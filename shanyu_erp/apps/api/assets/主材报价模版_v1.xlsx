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21980"/>
  </bookViews>
  <sheets>
    <sheet name="主材报价模板 " sheetId="1" r:id="rId1"/>
  </sheets>
  <externalReferences>
    <externalReference r:id="rId2"/>
  </externalReferences>
  <definedNames>
    <definedName name="_xlnm.Print_Area" localSheetId="0">'主材报价模板 '!$A$1:$I$132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<sst xmlns="http://schemas.openxmlformats.org/spreadsheetml/2006/main" count="378" uniqueCount="211">
  <si>
    <t>主材报价明细表</t>
  </si>
  <si>
    <t>客户名称：</t>
  </si>
  <si>
    <t>建筑面积（㎡）：</t>
  </si>
  <si>
    <t>工程地址：</t>
  </si>
  <si>
    <t>编号</t>
  </si>
  <si>
    <t>材料名称</t>
  </si>
  <si>
    <t>规格</t>
  </si>
  <si>
    <t>单位</t>
  </si>
  <si>
    <t>数量</t>
  </si>
  <si>
    <t>工 程 造 价</t>
  </si>
  <si>
    <t>品牌</t>
  </si>
  <si>
    <t>单价</t>
  </si>
  <si>
    <t>金额</t>
  </si>
  <si>
    <t>【一、瓷 砖】</t>
  </si>
  <si>
    <t>广东一线冠珠</t>
  </si>
  <si>
    <t>600*1200</t>
  </si>
  <si>
    <r>
      <rPr>
        <sz val="10"/>
        <rFont val="Times New Roman"/>
        <charset val="0"/>
      </rPr>
      <t>M</t>
    </r>
    <r>
      <rPr>
        <vertAlign val="superscript"/>
        <sz val="10"/>
        <rFont val="Times New Roman"/>
        <charset val="0"/>
      </rPr>
      <t>2</t>
    </r>
  </si>
  <si>
    <t>冠珠柔/亮光砖</t>
  </si>
  <si>
    <t>750*1500</t>
  </si>
  <si>
    <t>冠珠莱姆石质感砖</t>
  </si>
  <si>
    <t>KT木纹板</t>
  </si>
  <si>
    <t>KT木纹板（阿童木微模质感面）</t>
  </si>
  <si>
    <t>KT南美橡木（微模质感面）</t>
  </si>
  <si>
    <t>200*1200</t>
  </si>
  <si>
    <t>广东一线欧文莱</t>
  </si>
  <si>
    <t>900*1800</t>
  </si>
  <si>
    <t>古堡砖</t>
  </si>
  <si>
    <t>多规格</t>
  </si>
  <si>
    <t>土豆/印象</t>
  </si>
  <si>
    <t>德祥筑家定制砖</t>
  </si>
  <si>
    <t>德祥筑家</t>
  </si>
  <si>
    <t>定制小砖</t>
  </si>
  <si>
    <t>700*200/750*300/120*120</t>
  </si>
  <si>
    <t>广东一线HBI</t>
  </si>
  <si>
    <t>广东一线HBI瓷砖（柔/亮面）</t>
  </si>
  <si>
    <t>广东一线HBI瓷砖（凹凸面）</t>
  </si>
  <si>
    <t>广东一线HBI瓷砖</t>
  </si>
  <si>
    <t>【二、美 缝】</t>
  </si>
  <si>
    <t>美缝</t>
  </si>
  <si>
    <t>梵聚匠/汉高百得</t>
  </si>
  <si>
    <t>打胶收口</t>
  </si>
  <si>
    <t>瓦克（外框面积计算）</t>
  </si>
  <si>
    <t>小砖环氧彩砂</t>
  </si>
  <si>
    <t>梵聚匠/汉高百得（规格10*100/100/200）压缝工艺（调色增加500元一个色）</t>
  </si>
  <si>
    <t>马贝环氧彩砂</t>
  </si>
  <si>
    <t>米</t>
  </si>
  <si>
    <t>马贝环氧彩砂（平缝工艺）</t>
  </si>
  <si>
    <t>小计：</t>
  </si>
  <si>
    <t>【三、木 地 板】</t>
  </si>
  <si>
    <t>木地板</t>
  </si>
  <si>
    <t>根据款式每款价格都不一样</t>
  </si>
  <si>
    <t>木龙骨</t>
  </si>
  <si>
    <t>木龙骨基层找平，间距30CM，门框位置加密</t>
  </si>
  <si>
    <t>饰面木质踢脚线</t>
  </si>
  <si>
    <t>M</t>
  </si>
  <si>
    <t>成品木质踢脚线（无盯眼安装）</t>
  </si>
  <si>
    <t>烤漆踢脚线</t>
  </si>
  <si>
    <t>定制烤漆踢脚线</t>
  </si>
  <si>
    <t>圆弧踢脚线</t>
  </si>
  <si>
    <t>处</t>
  </si>
  <si>
    <t>平铺</t>
  </si>
  <si>
    <t>平铺，防潮垫，保护膜包含在内</t>
  </si>
  <si>
    <t>人字/鱼骨/异形拼</t>
  </si>
  <si>
    <t>龙骨铺贴</t>
  </si>
  <si>
    <t>满胶铺贴</t>
  </si>
  <si>
    <t>法国波士胶粘合剂（满胶铺贴）</t>
  </si>
  <si>
    <t>点胶铺贴</t>
  </si>
  <si>
    <t>法国波士胶粘合剂（点胶铺贴）</t>
  </si>
  <si>
    <t>铝合金踢脚线</t>
  </si>
  <si>
    <t>成品铝合金踢脚线（根据款式选定）</t>
  </si>
  <si>
    <t>不锈钢踢脚线</t>
  </si>
  <si>
    <t>不锈钢踢脚线安装（根据款式选定）</t>
  </si>
  <si>
    <t>定制内嵌踢脚线</t>
  </si>
  <si>
    <t>不含开槽（根据款式选定）</t>
  </si>
  <si>
    <t>瓷砖踢脚线</t>
  </si>
  <si>
    <r>
      <t xml:space="preserve">【四、房 门 | 门 套】 </t>
    </r>
    <r>
      <rPr>
        <b/>
        <sz val="11"/>
        <color rgb="FFFF0000"/>
        <rFont val="宋体"/>
        <charset val="134"/>
      </rPr>
      <t>- 玻璃门</t>
    </r>
  </si>
  <si>
    <t>4012双吊轨完美系统移门</t>
  </si>
  <si>
    <t>铂屿定制（杜格铝材、欧派克五金、40*13完美系统、最大尺寸2700*900）</t>
  </si>
  <si>
    <t>4012三吊轨完美系统移门</t>
  </si>
  <si>
    <t>4516双吊轨完美系统移门</t>
  </si>
  <si>
    <t>铂屿定制（杜格铝材、欧派克五金、40*16完美系统、最大尺寸3000*1200）</t>
  </si>
  <si>
    <t>4503双吊轨完美系统移门（双玻）</t>
  </si>
  <si>
    <t>铂屿定制（杜格铝材、欧派克五金、40*03完美系统、最大尺寸3000*1200）</t>
  </si>
  <si>
    <t>4516三吊轨完美系统移门</t>
  </si>
  <si>
    <t>4503三吊轨完美系统移门（双玻）</t>
  </si>
  <si>
    <t>4013格栅完美系统移门</t>
  </si>
  <si>
    <t>4516格栅完美系统移门</t>
  </si>
  <si>
    <t>铝合金门套</t>
  </si>
  <si>
    <t>铝合金双包套</t>
  </si>
  <si>
    <t>杜格平开门</t>
  </si>
  <si>
    <t>樘</t>
  </si>
  <si>
    <t>铂屿定制（杜格铝材、欧派克五金、40*13、2.5米以内）</t>
  </si>
  <si>
    <t>杜格法式平开门</t>
  </si>
  <si>
    <t>杜格4505隐框门
魅影平开（外平内开）</t>
  </si>
  <si>
    <t>杜格4516完美折叠门</t>
  </si>
  <si>
    <t>铂屿定制（杜格铝材、欧派克五金、45*16、2.5米以内）</t>
  </si>
  <si>
    <t>重型门
（杜格铝材）</t>
  </si>
  <si>
    <t>标配：5+20+5中空玻璃
轨道参数：两轨：45*109 / 三轨：45*164
21边框，45高轨/不锈钢自粘地轨</t>
  </si>
  <si>
    <t>偏轴门/中轴门（杜格铝材）</t>
  </si>
  <si>
    <t>4518 4503（手动)</t>
  </si>
  <si>
    <t>偏轴门/中轴门（手动预埋五金）</t>
  </si>
  <si>
    <t>套</t>
  </si>
  <si>
    <t xml:space="preserve">限定70公斤                                                                               </t>
  </si>
  <si>
    <t xml:space="preserve">限定150公斤                                                                               </t>
  </si>
  <si>
    <t>偏轴门/中轴门（电机预埋五金）</t>
  </si>
  <si>
    <t>电动配件</t>
  </si>
  <si>
    <t>固定屏风（杜格铝材）</t>
  </si>
  <si>
    <t>4510（3.0）瓷泳黑 / 瓷泳灰 / 珐琅铜 / 拉丝灰 / 波光白</t>
  </si>
  <si>
    <t>定制玻璃</t>
  </si>
  <si>
    <t>特殊玻璃</t>
  </si>
  <si>
    <t>【五、集 成 吊 顶】</t>
  </si>
  <si>
    <t>集成吊顶</t>
  </si>
  <si>
    <t>300*600</t>
  </si>
  <si>
    <t>本科集成吊顶</t>
  </si>
  <si>
    <t>蜂窝板吊顶</t>
  </si>
  <si>
    <t>线性风暖</t>
  </si>
  <si>
    <t>个</t>
  </si>
  <si>
    <t>本科理想L9线性风暖</t>
  </si>
  <si>
    <t>风暖</t>
  </si>
  <si>
    <t>本科雷霆t9五合一 风暖</t>
  </si>
  <si>
    <t>方灯</t>
  </si>
  <si>
    <t>300*600方灯</t>
  </si>
  <si>
    <t>排风扇</t>
  </si>
  <si>
    <t>300*300</t>
  </si>
  <si>
    <t>【六、卫 浴】</t>
  </si>
  <si>
    <t>德国顾朗暗装龙头</t>
  </si>
  <si>
    <r>
      <rPr>
        <sz val="10"/>
        <rFont val="宋体"/>
        <charset val="134"/>
      </rPr>
      <t>L-4402</t>
    </r>
    <r>
      <rPr>
        <sz val="10"/>
        <color rgb="FF231F20"/>
        <rFont val="宋体"/>
        <charset val="134"/>
      </rPr>
      <t>（</t>
    </r>
    <r>
      <rPr>
        <sz val="10"/>
        <color rgb="FF231F20"/>
        <rFont val="FuturaBT-Medium"/>
        <charset val="134"/>
      </rPr>
      <t>HB/DB/NB/WB/JA/EB/QB/CA</t>
    </r>
    <r>
      <rPr>
        <sz val="10"/>
        <color rgb="FF231F20"/>
        <rFont val="宋体"/>
        <charset val="134"/>
      </rPr>
      <t>（长度在</t>
    </r>
    <r>
      <rPr>
        <sz val="10"/>
        <color rgb="FF231F20"/>
        <rFont val="FuturaBT-Medium"/>
        <charset val="134"/>
      </rPr>
      <t>18.2cm</t>
    </r>
    <r>
      <rPr>
        <sz val="10"/>
        <color rgb="FF231F20"/>
        <rFont val="宋体"/>
        <charset val="134"/>
      </rPr>
      <t>左右）</t>
    </r>
  </si>
  <si>
    <r>
      <rPr>
        <sz val="10"/>
        <rFont val="宋体"/>
        <charset val="134"/>
      </rPr>
      <t>L-4426</t>
    </r>
    <r>
      <rPr>
        <sz val="10"/>
        <color rgb="FF231F20"/>
        <rFont val="宋体"/>
        <charset val="134"/>
      </rPr>
      <t>（</t>
    </r>
    <r>
      <rPr>
        <sz val="10"/>
        <color rgb="FF231F20"/>
        <rFont val="FuturaBT-Medium"/>
        <charset val="134"/>
      </rPr>
      <t>HB/DB/NB/WB/JA/EB/QB/CA</t>
    </r>
    <r>
      <rPr>
        <sz val="10"/>
        <color rgb="FF231F20"/>
        <rFont val="宋体"/>
        <charset val="134"/>
      </rPr>
      <t>（长度在</t>
    </r>
    <r>
      <rPr>
        <sz val="10"/>
        <color rgb="FF231F20"/>
        <rFont val="FuturaBT-Medium"/>
        <charset val="134"/>
      </rPr>
      <t>20cm</t>
    </r>
    <r>
      <rPr>
        <sz val="10"/>
        <color rgb="FF231F20"/>
        <rFont val="宋体"/>
        <charset val="134"/>
      </rPr>
      <t>左右）</t>
    </r>
  </si>
  <si>
    <r>
      <rPr>
        <sz val="10"/>
        <rFont val="宋体"/>
        <charset val="134"/>
      </rPr>
      <t>L-4427</t>
    </r>
    <r>
      <rPr>
        <sz val="10"/>
        <color rgb="FF231F20"/>
        <rFont val="宋体"/>
        <charset val="134"/>
      </rPr>
      <t>（</t>
    </r>
    <r>
      <rPr>
        <sz val="10"/>
        <color rgb="FF231F20"/>
        <rFont val="FuturaBT-Medium"/>
        <charset val="134"/>
      </rPr>
      <t>HB/DB/NB/WB/JA/EB/QB/CA</t>
    </r>
    <r>
      <rPr>
        <sz val="10"/>
        <color rgb="FF231F20"/>
        <rFont val="宋体"/>
        <charset val="134"/>
      </rPr>
      <t>（长度在</t>
    </r>
    <r>
      <rPr>
        <sz val="10"/>
        <color rgb="FF231F20"/>
        <rFont val="FuturaBT-Medium"/>
        <charset val="134"/>
      </rPr>
      <t>20.8cm</t>
    </r>
    <r>
      <rPr>
        <sz val="10"/>
        <color rgb="FF231F20"/>
        <rFont val="宋体"/>
        <charset val="134"/>
      </rPr>
      <t>左右）</t>
    </r>
  </si>
  <si>
    <t>德国顾朗单柄面盆龙头</t>
  </si>
  <si>
    <r>
      <rPr>
        <sz val="10"/>
        <rFont val="宋体"/>
        <charset val="134"/>
      </rPr>
      <t>L-4386</t>
    </r>
    <r>
      <rPr>
        <sz val="10"/>
        <color rgb="FF231F20"/>
        <rFont val="宋体"/>
        <charset val="134"/>
      </rPr>
      <t>（</t>
    </r>
    <r>
      <rPr>
        <sz val="10"/>
        <color rgb="FF231F20"/>
        <rFont val="FuturaBT-Medium"/>
        <charset val="134"/>
      </rPr>
      <t>HB/DB/NB/WB/JA/EB/QB/CA</t>
    </r>
    <r>
      <rPr>
        <sz val="10"/>
        <color rgb="FF231F20"/>
        <rFont val="宋体"/>
        <charset val="134"/>
      </rPr>
      <t>（高度在</t>
    </r>
    <r>
      <rPr>
        <sz val="10"/>
        <color rgb="FF231F20"/>
        <rFont val="FuturaBT-Medium"/>
        <charset val="134"/>
      </rPr>
      <t>18cm</t>
    </r>
    <r>
      <rPr>
        <sz val="10"/>
        <color rgb="FF231F20"/>
        <rFont val="宋体"/>
        <charset val="134"/>
      </rPr>
      <t>左右）</t>
    </r>
  </si>
  <si>
    <r>
      <rPr>
        <sz val="10"/>
        <rFont val="宋体"/>
        <charset val="134"/>
      </rPr>
      <t>L-4381</t>
    </r>
    <r>
      <rPr>
        <sz val="10"/>
        <color rgb="FF231F20"/>
        <rFont val="宋体"/>
        <charset val="134"/>
      </rPr>
      <t>（</t>
    </r>
    <r>
      <rPr>
        <sz val="10"/>
        <color rgb="FF231F20"/>
        <rFont val="FuturaBT-Medium"/>
        <charset val="134"/>
      </rPr>
      <t>HB/DB/NB/WB/JA/EB/QB/CA</t>
    </r>
    <r>
      <rPr>
        <sz val="10"/>
        <color rgb="FF231F20"/>
        <rFont val="宋体"/>
        <charset val="134"/>
      </rPr>
      <t>（高度在</t>
    </r>
    <r>
      <rPr>
        <sz val="10"/>
        <color rgb="FF231F20"/>
        <rFont val="FuturaBT-Medium"/>
        <charset val="134"/>
      </rPr>
      <t>18cm</t>
    </r>
    <r>
      <rPr>
        <sz val="10"/>
        <color rgb="FF231F20"/>
        <rFont val="宋体"/>
        <charset val="134"/>
      </rPr>
      <t>左右）</t>
    </r>
  </si>
  <si>
    <t>汉斯格雅暗装龙头</t>
  </si>
  <si>
    <t>汉斯格雅预埋龙头（型号71256007）</t>
  </si>
  <si>
    <t>德利丰免漆浴室柜（主卫）</t>
  </si>
  <si>
    <t>德利丰岩板台面,定制镜柜，免漆柜体，科勒陶瓷盆（按米收费）（德利丰大板可选）（不含龙头）</t>
  </si>
  <si>
    <t>德利丰免漆浴室柜（公卫）</t>
  </si>
  <si>
    <t>德利丰烤漆浴室柜（主卫）</t>
  </si>
  <si>
    <t>德利丰岩板台面,定制镜柜，烤漆柜体，科勒陶瓷盆（按米收费）（德利丰大板可选）（不含龙头）</t>
  </si>
  <si>
    <t>德利丰烤漆浴室柜（公卫）</t>
  </si>
  <si>
    <t>法恩莎轻智能马桶</t>
  </si>
  <si>
    <t>法恩莎轻智能马桶（型号FLP0834D）</t>
  </si>
  <si>
    <t>科勒轻智能马桶</t>
  </si>
  <si>
    <t>科勒轻智能马桶（型号k-32370t-0）</t>
  </si>
  <si>
    <t>杜拉维特轻智能马桶</t>
  </si>
  <si>
    <t>杜拉维特轻智能马桶（型号60006）</t>
  </si>
  <si>
    <t>汉斯格雅轻智能马桶</t>
  </si>
  <si>
    <t>汉斯格雅轻智能马桶（型号22478007）</t>
  </si>
  <si>
    <t>汉斯格雅全智能马桶</t>
  </si>
  <si>
    <t>汉斯格雅全智能马桶（型号HG2245507）</t>
  </si>
  <si>
    <t>法恩莎墙排马桶</t>
  </si>
  <si>
    <t>法恩莎壁挂马桶（普通马桶）</t>
  </si>
  <si>
    <t>德国顾朗明装花洒</t>
  </si>
  <si>
    <t>L-8551/8550/8577CA/8577NB/8577HB</t>
  </si>
  <si>
    <t>L-8560（EB/QB）/8567/8580CA</t>
  </si>
  <si>
    <t>德国顾朗暗装花洒</t>
  </si>
  <si>
    <r>
      <t xml:space="preserve">L-8325/ NB / WB / CA / </t>
    </r>
    <r>
      <rPr>
        <sz val="10"/>
        <color rgb="FFFF0000"/>
        <rFont val="宋体"/>
        <charset val="134"/>
        <scheme val="minor"/>
      </rPr>
      <t>HB</t>
    </r>
    <r>
      <rPr>
        <sz val="10"/>
        <color rgb="FF231F20"/>
        <rFont val="宋体"/>
        <charset val="134"/>
        <scheme val="minor"/>
      </rPr>
      <t xml:space="preserve"> / EB/8345CA/8366CA</t>
    </r>
  </si>
  <si>
    <t>L-8345/ HB / EB/QB</t>
  </si>
  <si>
    <t>L-8352/ JA/ QB  / NB / HB</t>
  </si>
  <si>
    <t>顶喷花洒</t>
  </si>
  <si>
    <t>汉斯格雅暗装花洒</t>
  </si>
  <si>
    <t>驰悦系列</t>
  </si>
  <si>
    <t>飞雨系列</t>
  </si>
  <si>
    <t>地漏</t>
  </si>
  <si>
    <t>定制防臭地漏（含安装）</t>
  </si>
  <si>
    <t>【七、淋 浴 房】</t>
  </si>
  <si>
    <t>一固一移淋浴房</t>
  </si>
  <si>
    <t>朗格46A全包框（超白玻，304不锈钢，一字型拉手，缓冲器，防爆膜）</t>
  </si>
  <si>
    <t>一固一开淋浴房</t>
  </si>
  <si>
    <t>朗格34A全包框（超白玻，304不锈钢，一字型拉手，缓冲器，防爆膜）</t>
  </si>
  <si>
    <t>钻石型淋浴房</t>
  </si>
  <si>
    <t>T型淋浴房（一门俩用）</t>
  </si>
  <si>
    <t>朗格21AT全包框（超白玻，304不锈钢，一字型拉手，缓冲器，防爆膜）</t>
  </si>
  <si>
    <t>T型淋浴房（内外开）</t>
  </si>
  <si>
    <t>固定玻璃角码</t>
  </si>
  <si>
    <t>固定角码(超白玻，304不锈钢，一字型拉手，缓冲器，防爆膜）</t>
  </si>
  <si>
    <t>【八、石 材 | 岩 板】</t>
  </si>
  <si>
    <t>人造石</t>
  </si>
  <si>
    <t xml:space="preserve">（根据款式）
</t>
  </si>
  <si>
    <t>天然大理石</t>
  </si>
  <si>
    <t>德利丰岩板</t>
  </si>
  <si>
    <t>1.2m x 2.7m x 6mm</t>
  </si>
  <si>
    <t>片</t>
  </si>
  <si>
    <t>德利丰岩板1200*2700*6</t>
  </si>
  <si>
    <t>1.6m x 3.2m x 12mm</t>
  </si>
  <si>
    <t>德利丰岩板1600*3200*12</t>
  </si>
  <si>
    <t>1000一米</t>
  </si>
  <si>
    <t>其他岩板</t>
  </si>
  <si>
    <t>要求备注品牌、尺寸规格1200*2700</t>
  </si>
  <si>
    <t>【九、开 关 面 板】</t>
  </si>
  <si>
    <t>全屋开关插座面板</t>
  </si>
  <si>
    <t>施耐德珍铂系列（标配白色，其他颜色增加5元每平）</t>
  </si>
  <si>
    <t>【十、定 制 类】</t>
  </si>
  <si>
    <t>浴室柜钢架焊接</t>
  </si>
  <si>
    <t>1米以内（按米收费）</t>
  </si>
  <si>
    <t>其他钢架焊接</t>
  </si>
  <si>
    <t>收口型材</t>
  </si>
  <si>
    <t>铝合金型材预埋，界面剂涂刷，油漆收口</t>
  </si>
  <si>
    <t>阴影缝型材</t>
  </si>
  <si>
    <t>斜面灯槽型材</t>
  </si>
  <si>
    <t>平面脱缝型材</t>
  </si>
  <si>
    <t>【十一、工 程 汇 总】</t>
  </si>
  <si>
    <t>（1）</t>
  </si>
  <si>
    <t>直接费</t>
  </si>
  <si>
    <t>元</t>
  </si>
  <si>
    <t>（2）</t>
  </si>
  <si>
    <t>服务费</t>
  </si>
  <si>
    <t>管理费统一按工程总价10%计算。</t>
  </si>
  <si>
    <t>（3）</t>
  </si>
  <si>
    <t>总造价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</si>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</sst>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5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0"/>
      <name val="Times New Roman"/>
      <charset val="0"/>
    </font>
    <font>
      <sz val="10"/>
      <color indexed="12"/>
      <name val="宋体"/>
      <charset val="134"/>
    </font>
    <font>
      <sz val="10"/>
      <color theme="1"/>
      <name val="宋体"/>
      <charset val="134"/>
    </font>
    <font>
      <b/>
      <sz val="24"/>
      <color indexed="8"/>
      <name val="宋体"/>
      <charset val="134"/>
    </font>
    <font>
      <b/>
      <sz val="11"/>
      <color indexed="8"/>
      <name val="宋体"/>
      <charset val="134"/>
    </font>
    <font>
      <sz val="10"/>
      <name val="新宋体"/>
      <charset val="134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name val="宋体"/>
      <charset val="0"/>
    </font>
    <font>
      <sz val="10"/>
      <color rgb="FFFF0000"/>
      <name val="宋体"/>
      <charset val="0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sz val="11"/>
      <name val="宋体"/>
      <charset val="134"/>
    </font>
    <font>
      <sz val="10"/>
      <color rgb="FF231F2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  <font>
      <sz val="10"/>
      <color rgb="FF231F20"/>
      <name val="宋体"/>
      <charset val="134"/>
    </font>
    <font>
      <sz val="10"/>
      <color rgb="FF231F20"/>
      <name val="FuturaBT-Medium"/>
      <charset val="134"/>
    </font>
    <font>
      <b/>
      <sz val="11"/>
      <color rgb="FFFF0000"/>
      <name val="宋体"/>
      <charset val="134"/>
    </font>
    <font>
      <vertAlign val="superscript"/>
      <sz val="10"/>
      <name val="Times New Roman"/>
      <charset val="0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20" applyNumberFormat="0" applyAlignment="0" applyProtection="0">
      <alignment vertical="center"/>
    </xf>
    <xf numFmtId="0" fontId="30" fillId="10" borderId="21" applyNumberFormat="0" applyAlignment="0" applyProtection="0">
      <alignment vertical="center"/>
    </xf>
    <xf numFmtId="0" fontId="31" fillId="10" borderId="20" applyNumberFormat="0" applyAlignment="0" applyProtection="0">
      <alignment vertical="center"/>
    </xf>
    <xf numFmtId="0" fontId="32" fillId="11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/>
    <xf numFmtId="0" fontId="0" fillId="0" borderId="0" xfId="0" applyBorder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 applyProtection="1">
      <alignment horizontal="left" vertical="center"/>
      <protection hidden="1"/>
    </xf>
    <xf numFmtId="0" fontId="2" fillId="2" borderId="10" xfId="0" applyFont="1" applyFill="1" applyBorder="1" applyAlignment="1" applyProtection="1">
      <alignment horizontal="left" vertical="center"/>
      <protection hidden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/>
      <protection hidden="1"/>
    </xf>
    <xf numFmtId="0" fontId="12" fillId="0" borderId="8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6" fontId="1" fillId="5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15" fillId="0" borderId="0" xfId="0" applyFont="1" applyFill="1" applyBorder="1" applyAlignment="1" applyProtection="1">
      <alignment horizontal="center" vertical="center"/>
    </xf>
    <xf numFmtId="0" fontId="2" fillId="2" borderId="13" xfId="0" applyFont="1" applyFill="1" applyBorder="1" applyAlignment="1" applyProtection="1">
      <alignment horizontal="left" vertical="center"/>
      <protection hidden="1"/>
    </xf>
    <xf numFmtId="0" fontId="16" fillId="0" borderId="0" xfId="0" applyFont="1" applyFill="1" applyBorder="1" applyAlignment="1" applyProtection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" fillId="6" borderId="1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8" fillId="0" borderId="4" xfId="0" applyFont="1" applyBorder="1">
      <alignment vertical="center"/>
    </xf>
    <xf numFmtId="0" fontId="18" fillId="5" borderId="4" xfId="0" applyFont="1" applyFill="1" applyBorder="1">
      <alignment vertical="center"/>
    </xf>
    <xf numFmtId="0" fontId="19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 applyProtection="1">
      <alignment horizontal="left" vertical="center"/>
      <protection hidden="1"/>
    </xf>
    <xf numFmtId="0" fontId="11" fillId="7" borderId="9" xfId="0" applyFont="1" applyFill="1" applyBorder="1" applyAlignment="1">
      <alignment vertical="center"/>
    </xf>
    <xf numFmtId="49" fontId="20" fillId="7" borderId="10" xfId="0" applyNumberFormat="1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vertical="center"/>
    </xf>
    <xf numFmtId="49" fontId="20" fillId="7" borderId="15" xfId="0" applyNumberFormat="1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left" vertical="center"/>
    </xf>
    <xf numFmtId="0" fontId="20" fillId="7" borderId="10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vertical="center"/>
    </xf>
    <xf numFmtId="176" fontId="1" fillId="7" borderId="10" xfId="0" applyNumberFormat="1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vertical="center"/>
    </xf>
    <xf numFmtId="176" fontId="1" fillId="7" borderId="15" xfId="0" applyNumberFormat="1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left" vertical="center"/>
    </xf>
    <xf numFmtId="0" fontId="20" fillId="7" borderId="13" xfId="0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u val="none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86360</xdr:colOff>
      <xdr:row>0</xdr:row>
      <xdr:rowOff>29845</xdr:rowOff>
    </xdr:from>
    <xdr:to>
      <xdr:col>2</xdr:col>
      <xdr:colOff>1049020</xdr:colOff>
      <xdr:row>0</xdr:row>
      <xdr:rowOff>619125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6090" y="29845"/>
          <a:ext cx="1342390" cy="589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27;&#26448;&#25253;&#20215;&#27169;&#29256;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预算说明书 "/>
      <sheetName val="辅材明细表"/>
      <sheetName val="主材明细表"/>
      <sheetName val="半包报价模板"/>
      <sheetName val="主材报价模板 "/>
      <sheetName val="全屋窗帘+百叶"/>
      <sheetName val="封 窗 户|主卫玻璃隔断及门"/>
      <sheetName val="家电"/>
      <sheetName val="电器"/>
      <sheetName val="全案汇总 "/>
      <sheetName val="工程变动"/>
      <sheetName val="土建"/>
      <sheetName val="墙面"/>
      <sheetName val="顶面"/>
      <sheetName val="地面"/>
      <sheetName val="水电 "/>
      <sheetName val="其他"/>
      <sheetName val="主材 卫浴"/>
      <sheetName val="主材 岩板"/>
      <sheetName val="主材定制门"/>
      <sheetName val="其他主材 "/>
    </sheetNames>
    <sheetDataSet>
      <sheetData sheetId="0"/>
      <sheetData sheetId="1"/>
      <sheetData sheetId="2"/>
      <sheetData sheetId="3"/>
      <sheetData sheetId="4">
        <row r="2">
          <cell r="G2">
            <v>130</v>
          </cell>
        </row>
        <row r="33">
          <cell r="F33">
            <v>50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247">
          <cell r="F247">
            <v>0</v>
          </cell>
        </row>
        <row r="270">
          <cell r="F27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138"/>
  <sheetViews>
    <sheetView tabSelected="1" view="pageBreakPreview" zoomScale="120" zoomScaleNormal="100" workbookViewId="0">
      <pane ySplit="4" topLeftCell="A109" activePane="bottomLeft" state="frozen"/>
      <selection/>
      <selection pane="bottomLeft" activeCell="C126" sqref="C126"/>
    </sheetView>
  </sheetViews>
  <sheetFormatPr defaultColWidth="9" defaultRowHeight="15.95" customHeight="1"/>
  <cols>
    <col min="1" max="1" width="5.75" style="9" customWidth="1"/>
    <col min="2" max="2" width="5.75" style="10" customWidth="1"/>
    <col min="3" max="3" width="31.5865384615385" style="11" customWidth="1"/>
    <col min="4" max="4" width="12.125" style="11" customWidth="1"/>
    <col min="5" max="5" width="12.625" style="12" customWidth="1"/>
    <col min="6" max="6" width="12.625" style="13" customWidth="1"/>
    <col min="7" max="7" width="12.625" style="14" customWidth="1"/>
    <col min="8" max="8" width="12.625" style="13" customWidth="1"/>
    <col min="9" max="9" width="63.375" style="15" customWidth="1"/>
    <col min="10" max="10" width="9" style="16"/>
    <col min="11" max="11" width="17.25" style="1" customWidth="1"/>
    <col min="12" max="12" width="10.3846153846154" style="1" customWidth="1"/>
    <col min="13" max="13" width="9.5" style="1"/>
    <col min="14" max="249" width="9" style="1"/>
    <col min="250" max="16379" width="9" style="4"/>
    <col min="16380" max="16382" width="9" style="9"/>
  </cols>
  <sheetData>
    <row r="1" s="1" customFormat="1" ht="50" customHeight="1" spans="1:10">
      <c r="A1" s="17" t="s">
        <v>0</v>
      </c>
      <c r="B1" s="18"/>
      <c r="C1" s="18"/>
      <c r="D1" s="18"/>
      <c r="E1" s="18"/>
      <c r="F1" s="18"/>
      <c r="G1" s="18"/>
      <c r="H1" s="18"/>
      <c r="I1" s="49"/>
      <c r="J1" s="16"/>
    </row>
    <row r="2" s="1" customFormat="1" ht="30" customHeight="1" spans="1:10">
      <c r="A2" s="19" t="s">
        <v>1</v>
      </c>
      <c r="B2" s="20"/>
      <c r="C2" s="21"/>
      <c r="D2" s="22"/>
      <c r="E2" s="20" t="s">
        <v>2</v>
      </c>
      <c r="F2" s="20"/>
      <c r="G2" s="20">
        <f>[1]半包报价模板!G2</f>
        <v>130</v>
      </c>
      <c r="H2" s="20" t="s">
        <v>3</v>
      </c>
      <c r="I2" s="50">
        <f>[1]半包报价模板!I2</f>
        <v>0</v>
      </c>
      <c r="J2" s="16"/>
    </row>
    <row r="3" s="2" customFormat="1" ht="15" customHeight="1" spans="1:10">
      <c r="A3" s="19" t="s">
        <v>4</v>
      </c>
      <c r="B3" s="20"/>
      <c r="C3" s="20" t="s">
        <v>5</v>
      </c>
      <c r="D3" s="20" t="s">
        <v>6</v>
      </c>
      <c r="E3" s="40" t="s">
        <v>7</v>
      </c>
      <c r="F3" s="40" t="s">
        <v>8</v>
      </c>
      <c r="G3" s="20" t="s">
        <v>9</v>
      </c>
      <c r="H3" s="20"/>
      <c r="I3" s="51" t="s">
        <v>10</v>
      </c>
      <c r="J3" s="52"/>
    </row>
    <row r="4" s="2" customFormat="1" ht="15" customHeight="1" spans="1:10">
      <c r="A4" s="23"/>
      <c r="B4" s="24"/>
      <c r="C4" s="20"/>
      <c r="D4" s="20"/>
      <c r="E4" s="40"/>
      <c r="F4" s="40"/>
      <c r="G4" s="40" t="s">
        <v>11</v>
      </c>
      <c r="H4" s="40" t="s">
        <v>12</v>
      </c>
      <c r="I4" s="51"/>
      <c r="J4" s="52"/>
    </row>
    <row r="5" s="3" customFormat="1" ht="25" customHeight="1" spans="1:10">
      <c r="A5" s="25" t="s">
        <v>13</v>
      </c>
      <c r="B5" s="26"/>
      <c r="C5" s="26"/>
      <c r="D5" s="26"/>
      <c r="E5" s="26"/>
      <c r="F5" s="26"/>
      <c r="G5" s="26"/>
      <c r="H5" s="26"/>
      <c r="I5" s="53"/>
      <c r="J5" s="54"/>
    </row>
    <row r="6" s="4" customFormat="1" ht="25" customHeight="1" spans="1:249">
      <c r="A6" s="27">
        <v>1</v>
      </c>
      <c r="B6" s="28"/>
      <c r="C6" s="29" t="s">
        <v>14</v>
      </c>
      <c r="D6" s="30" t="s">
        <v>15</v>
      </c>
      <c r="E6" s="41" t="s">
        <v>16</v>
      </c>
      <c r="F6" s="42">
        <f>[1]半包报价模板!F33*1.15</f>
        <v>57.5</v>
      </c>
      <c r="G6" s="42">
        <v>105</v>
      </c>
      <c r="H6" s="42">
        <f>F6*G6</f>
        <v>6037.5</v>
      </c>
      <c r="I6" s="29" t="s">
        <v>17</v>
      </c>
      <c r="J6" s="16">
        <v>65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</row>
    <row r="7" s="4" customFormat="1" ht="25" customHeight="1" spans="1:249">
      <c r="A7" s="27">
        <v>2</v>
      </c>
      <c r="B7" s="28"/>
      <c r="C7" s="29" t="s">
        <v>14</v>
      </c>
      <c r="D7" s="30" t="s">
        <v>18</v>
      </c>
      <c r="E7" s="41" t="s">
        <v>16</v>
      </c>
      <c r="F7" s="42">
        <f>[1]半包报价模板!F34*1.15</f>
        <v>0</v>
      </c>
      <c r="G7" s="42">
        <v>113</v>
      </c>
      <c r="H7" s="42">
        <f>F7*G7</f>
        <v>0</v>
      </c>
      <c r="I7" s="29" t="s">
        <v>17</v>
      </c>
      <c r="J7" s="16">
        <v>70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</row>
    <row r="8" s="4" customFormat="1" ht="25" customHeight="1" spans="1:249">
      <c r="A8" s="27">
        <v>3</v>
      </c>
      <c r="B8" s="28"/>
      <c r="C8" s="29" t="s">
        <v>14</v>
      </c>
      <c r="D8" s="30" t="s">
        <v>15</v>
      </c>
      <c r="E8" s="41" t="s">
        <v>16</v>
      </c>
      <c r="F8" s="42">
        <f>[1]半包报价模板!F35*1.15</f>
        <v>0</v>
      </c>
      <c r="G8" s="42">
        <v>153</v>
      </c>
      <c r="H8" s="42">
        <f>F8*G8</f>
        <v>0</v>
      </c>
      <c r="I8" s="29" t="s">
        <v>19</v>
      </c>
      <c r="J8" s="16">
        <v>95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</row>
    <row r="9" s="4" customFormat="1" ht="25" customHeight="1" spans="1:249">
      <c r="A9" s="27">
        <v>4</v>
      </c>
      <c r="B9" s="28"/>
      <c r="C9" s="29" t="s">
        <v>14</v>
      </c>
      <c r="D9" s="30" t="s">
        <v>18</v>
      </c>
      <c r="E9" s="41" t="s">
        <v>16</v>
      </c>
      <c r="F9" s="42">
        <f>[1]半包报价模板!F36*1.15</f>
        <v>0</v>
      </c>
      <c r="G9" s="42">
        <v>170</v>
      </c>
      <c r="H9" s="42">
        <f>F9*G9</f>
        <v>0</v>
      </c>
      <c r="I9" s="29" t="s">
        <v>19</v>
      </c>
      <c r="J9" s="16">
        <v>105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</row>
    <row r="10" s="4" customFormat="1" ht="25" customHeight="1" spans="1:249">
      <c r="A10" s="27">
        <v>5</v>
      </c>
      <c r="B10" s="28"/>
      <c r="C10" s="29" t="s">
        <v>20</v>
      </c>
      <c r="D10" s="30" t="s">
        <v>15</v>
      </c>
      <c r="E10" s="41" t="s">
        <v>16</v>
      </c>
      <c r="F10" s="42">
        <v>0</v>
      </c>
      <c r="G10" s="42">
        <v>105</v>
      </c>
      <c r="H10" s="42">
        <f t="shared" ref="H10:H22" si="0">F10*G10</f>
        <v>0</v>
      </c>
      <c r="I10" s="29" t="s">
        <v>20</v>
      </c>
      <c r="J10" s="16">
        <v>65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</row>
    <row r="11" s="5" customFormat="1" ht="25" customHeight="1" spans="1:249">
      <c r="A11" s="27">
        <v>6</v>
      </c>
      <c r="B11" s="28"/>
      <c r="C11" s="29" t="s">
        <v>21</v>
      </c>
      <c r="D11" s="30" t="s">
        <v>15</v>
      </c>
      <c r="E11" s="41" t="s">
        <v>16</v>
      </c>
      <c r="F11" s="42">
        <v>0</v>
      </c>
      <c r="G11" s="42">
        <v>138</v>
      </c>
      <c r="H11" s="42">
        <f t="shared" si="0"/>
        <v>0</v>
      </c>
      <c r="I11" s="29" t="s">
        <v>21</v>
      </c>
      <c r="J11" s="16">
        <v>87.5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</row>
    <row r="12" s="5" customFormat="1" ht="25" customHeight="1" spans="1:249">
      <c r="A12" s="27">
        <v>7</v>
      </c>
      <c r="B12" s="28"/>
      <c r="C12" s="29" t="s">
        <v>22</v>
      </c>
      <c r="D12" s="30" t="s">
        <v>23</v>
      </c>
      <c r="E12" s="41" t="s">
        <v>16</v>
      </c>
      <c r="F12" s="42">
        <f>[1]半包报价模板!F258*1.15</f>
        <v>0</v>
      </c>
      <c r="G12" s="42">
        <v>113</v>
      </c>
      <c r="H12" s="42">
        <f t="shared" si="0"/>
        <v>0</v>
      </c>
      <c r="I12" s="29" t="s">
        <v>22</v>
      </c>
      <c r="J12" s="16">
        <v>70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</row>
    <row r="13" s="5" customFormat="1" ht="25" customHeight="1" spans="1:249">
      <c r="A13" s="27">
        <v>8</v>
      </c>
      <c r="B13" s="28"/>
      <c r="C13" s="29" t="s">
        <v>24</v>
      </c>
      <c r="D13" s="30" t="s">
        <v>15</v>
      </c>
      <c r="E13" s="41" t="s">
        <v>16</v>
      </c>
      <c r="F13" s="42">
        <v>0</v>
      </c>
      <c r="G13" s="42">
        <v>190</v>
      </c>
      <c r="H13" s="42">
        <f t="shared" si="0"/>
        <v>0</v>
      </c>
      <c r="I13" s="29" t="s">
        <v>24</v>
      </c>
      <c r="J13" s="16">
        <v>118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</row>
    <row r="14" s="5" customFormat="1" ht="25" customHeight="1" spans="1:249">
      <c r="A14" s="27">
        <v>9</v>
      </c>
      <c r="B14" s="28"/>
      <c r="C14" s="29" t="s">
        <v>24</v>
      </c>
      <c r="D14" s="30" t="s">
        <v>18</v>
      </c>
      <c r="E14" s="41" t="s">
        <v>16</v>
      </c>
      <c r="F14" s="42">
        <v>0</v>
      </c>
      <c r="G14" s="42">
        <v>208</v>
      </c>
      <c r="H14" s="42">
        <f t="shared" si="0"/>
        <v>0</v>
      </c>
      <c r="I14" s="29" t="s">
        <v>24</v>
      </c>
      <c r="J14" s="16">
        <v>128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</row>
    <row r="15" s="5" customFormat="1" ht="25" customHeight="1" spans="1:249">
      <c r="A15" s="27">
        <v>10</v>
      </c>
      <c r="B15" s="28"/>
      <c r="C15" s="29" t="s">
        <v>24</v>
      </c>
      <c r="D15" s="30" t="s">
        <v>25</v>
      </c>
      <c r="E15" s="41" t="s">
        <v>16</v>
      </c>
      <c r="F15" s="42">
        <v>0</v>
      </c>
      <c r="G15" s="42">
        <v>367</v>
      </c>
      <c r="H15" s="42">
        <f t="shared" si="0"/>
        <v>0</v>
      </c>
      <c r="I15" s="29" t="s">
        <v>24</v>
      </c>
      <c r="J15" s="16">
        <v>228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</row>
    <row r="16" s="4" customFormat="1" ht="25" customHeight="1" spans="1:249">
      <c r="A16" s="27">
        <v>11</v>
      </c>
      <c r="B16" s="28"/>
      <c r="C16" s="29" t="s">
        <v>26</v>
      </c>
      <c r="D16" s="30" t="s">
        <v>27</v>
      </c>
      <c r="E16" s="41" t="s">
        <v>16</v>
      </c>
      <c r="F16" s="42">
        <v>0</v>
      </c>
      <c r="G16" s="42">
        <v>230</v>
      </c>
      <c r="H16" s="42">
        <f t="shared" si="0"/>
        <v>0</v>
      </c>
      <c r="I16" s="29" t="s">
        <v>28</v>
      </c>
      <c r="J16" s="16">
        <v>145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</row>
    <row r="17" s="4" customFormat="1" ht="25" customHeight="1" spans="1:249">
      <c r="A17" s="27">
        <v>12</v>
      </c>
      <c r="B17" s="28"/>
      <c r="C17" s="29" t="s">
        <v>29</v>
      </c>
      <c r="D17" s="30" t="s">
        <v>27</v>
      </c>
      <c r="E17" s="41" t="s">
        <v>16</v>
      </c>
      <c r="F17" s="42">
        <v>0</v>
      </c>
      <c r="G17" s="42">
        <v>238</v>
      </c>
      <c r="H17" s="42">
        <f t="shared" si="0"/>
        <v>0</v>
      </c>
      <c r="I17" s="29" t="s">
        <v>30</v>
      </c>
      <c r="J17" s="16">
        <v>158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</row>
    <row r="18" s="4" customFormat="1" ht="46" spans="1:249">
      <c r="A18" s="27">
        <v>13</v>
      </c>
      <c r="B18" s="28"/>
      <c r="C18" s="29" t="s">
        <v>31</v>
      </c>
      <c r="D18" s="30" t="s">
        <v>32</v>
      </c>
      <c r="E18" s="41" t="s">
        <v>16</v>
      </c>
      <c r="F18" s="42">
        <v>0</v>
      </c>
      <c r="G18" s="42">
        <v>280</v>
      </c>
      <c r="H18" s="42">
        <f t="shared" si="0"/>
        <v>0</v>
      </c>
      <c r="I18" s="29" t="s">
        <v>31</v>
      </c>
      <c r="J18" s="16">
        <v>190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</row>
    <row r="19" s="4" customFormat="1" ht="25" customHeight="1" spans="1:249">
      <c r="A19" s="27">
        <v>14</v>
      </c>
      <c r="B19" s="28"/>
      <c r="C19" s="29" t="s">
        <v>33</v>
      </c>
      <c r="D19" s="30" t="s">
        <v>15</v>
      </c>
      <c r="E19" s="41" t="s">
        <v>16</v>
      </c>
      <c r="F19" s="42">
        <v>0</v>
      </c>
      <c r="G19" s="42">
        <v>113</v>
      </c>
      <c r="H19" s="42">
        <f t="shared" si="0"/>
        <v>0</v>
      </c>
      <c r="I19" s="29" t="s">
        <v>34</v>
      </c>
      <c r="J19" s="16">
        <v>70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</row>
    <row r="20" s="4" customFormat="1" ht="25" customHeight="1" spans="1:249">
      <c r="A20" s="27">
        <v>15</v>
      </c>
      <c r="B20" s="28"/>
      <c r="C20" s="29" t="s">
        <v>33</v>
      </c>
      <c r="D20" s="30" t="s">
        <v>18</v>
      </c>
      <c r="E20" s="41" t="s">
        <v>16</v>
      </c>
      <c r="F20" s="42">
        <v>0</v>
      </c>
      <c r="G20" s="42">
        <v>120</v>
      </c>
      <c r="H20" s="42">
        <f t="shared" si="0"/>
        <v>0</v>
      </c>
      <c r="I20" s="29" t="s">
        <v>34</v>
      </c>
      <c r="J20" s="16">
        <v>75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</row>
    <row r="21" s="4" customFormat="1" ht="25" customHeight="1" spans="1:249">
      <c r="A21" s="27">
        <v>16</v>
      </c>
      <c r="B21" s="28"/>
      <c r="C21" s="29" t="s">
        <v>33</v>
      </c>
      <c r="D21" s="30" t="s">
        <v>18</v>
      </c>
      <c r="E21" s="41" t="s">
        <v>16</v>
      </c>
      <c r="F21" s="42">
        <v>0</v>
      </c>
      <c r="G21" s="42">
        <v>162</v>
      </c>
      <c r="H21" s="42">
        <f t="shared" si="0"/>
        <v>0</v>
      </c>
      <c r="I21" s="29" t="s">
        <v>35</v>
      </c>
      <c r="J21" s="16">
        <v>100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</row>
    <row r="22" s="4" customFormat="1" ht="25" customHeight="1" spans="1:249">
      <c r="A22" s="27">
        <v>17</v>
      </c>
      <c r="B22" s="28"/>
      <c r="C22" s="29" t="s">
        <v>33</v>
      </c>
      <c r="D22" s="30" t="s">
        <v>25</v>
      </c>
      <c r="E22" s="41" t="s">
        <v>16</v>
      </c>
      <c r="F22" s="42">
        <v>0</v>
      </c>
      <c r="G22" s="42">
        <v>218</v>
      </c>
      <c r="H22" s="42">
        <f t="shared" si="0"/>
        <v>0</v>
      </c>
      <c r="I22" s="29" t="s">
        <v>36</v>
      </c>
      <c r="J22" s="16">
        <v>135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</row>
    <row r="23" ht="25" customHeight="1" spans="1:9">
      <c r="A23" s="31"/>
      <c r="B23" s="32"/>
      <c r="C23" s="32"/>
      <c r="D23" s="32"/>
      <c r="E23" s="32"/>
      <c r="F23" s="32"/>
      <c r="G23" s="32"/>
      <c r="H23" s="43">
        <f>SUM(H6:H22)</f>
        <v>6037.5</v>
      </c>
      <c r="I23" s="55"/>
    </row>
    <row r="24" s="3" customFormat="1" ht="25" customHeight="1" spans="1:10">
      <c r="A24" s="25" t="s">
        <v>37</v>
      </c>
      <c r="B24" s="26"/>
      <c r="C24" s="26"/>
      <c r="D24" s="26"/>
      <c r="E24" s="26"/>
      <c r="F24" s="26"/>
      <c r="G24" s="26"/>
      <c r="H24" s="26"/>
      <c r="I24" s="53"/>
      <c r="J24" s="54"/>
    </row>
    <row r="25" s="4" customFormat="1" ht="25" customHeight="1" spans="1:249">
      <c r="A25" s="27">
        <v>1</v>
      </c>
      <c r="B25" s="28"/>
      <c r="C25" s="33" t="s">
        <v>38</v>
      </c>
      <c r="D25" s="33"/>
      <c r="E25" s="41" t="s">
        <v>16</v>
      </c>
      <c r="F25" s="42">
        <v>0</v>
      </c>
      <c r="G25" s="44">
        <v>25</v>
      </c>
      <c r="H25" s="42">
        <f>F25*G25</f>
        <v>0</v>
      </c>
      <c r="I25" s="56" t="s">
        <v>39</v>
      </c>
      <c r="J25" s="16">
        <v>16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</row>
    <row r="26" s="6" customFormat="1" ht="25" customHeight="1" spans="1:249">
      <c r="A26" s="27">
        <v>2</v>
      </c>
      <c r="B26" s="28"/>
      <c r="C26" s="33" t="s">
        <v>40</v>
      </c>
      <c r="D26" s="33"/>
      <c r="E26" s="41" t="s">
        <v>16</v>
      </c>
      <c r="F26" s="42">
        <v>125</v>
      </c>
      <c r="G26" s="44">
        <v>10</v>
      </c>
      <c r="H26" s="42">
        <f t="shared" ref="H25:H28" si="1">F26*G26</f>
        <v>1250</v>
      </c>
      <c r="I26" s="56" t="s">
        <v>41</v>
      </c>
      <c r="J26" s="16">
        <v>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</row>
    <row r="27" s="6" customFormat="1" ht="25" customHeight="1" spans="1:249">
      <c r="A27" s="27">
        <v>3</v>
      </c>
      <c r="B27" s="28"/>
      <c r="C27" s="33" t="s">
        <v>42</v>
      </c>
      <c r="D27" s="33"/>
      <c r="E27" s="41" t="s">
        <v>16</v>
      </c>
      <c r="F27" s="44">
        <v>1</v>
      </c>
      <c r="G27" s="44">
        <v>180</v>
      </c>
      <c r="H27" s="42">
        <f t="shared" si="1"/>
        <v>180</v>
      </c>
      <c r="I27" s="56" t="s">
        <v>43</v>
      </c>
      <c r="J27" s="16">
        <v>100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</row>
    <row r="28" customFormat="1" ht="25" customHeight="1" spans="1:249">
      <c r="A28" s="27">
        <v>4</v>
      </c>
      <c r="B28" s="28"/>
      <c r="C28" s="33" t="s">
        <v>44</v>
      </c>
      <c r="D28" s="33"/>
      <c r="E28" s="45" t="s">
        <v>45</v>
      </c>
      <c r="F28" s="42">
        <v>1</v>
      </c>
      <c r="G28" s="44">
        <v>20</v>
      </c>
      <c r="H28" s="42">
        <f t="shared" si="1"/>
        <v>20</v>
      </c>
      <c r="I28" s="57" t="s">
        <v>46</v>
      </c>
      <c r="J28" s="13">
        <v>12</v>
      </c>
      <c r="K28" s="1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</row>
    <row r="29" ht="25" customHeight="1" spans="1:9">
      <c r="A29" s="31" t="s">
        <v>47</v>
      </c>
      <c r="B29" s="32"/>
      <c r="C29" s="32"/>
      <c r="D29" s="32"/>
      <c r="E29" s="32"/>
      <c r="F29" s="32"/>
      <c r="G29" s="32"/>
      <c r="H29" s="43">
        <f>SUM(H25:H28)</f>
        <v>1450</v>
      </c>
      <c r="I29" s="55"/>
    </row>
    <row r="30" s="3" customFormat="1" ht="25" customHeight="1" spans="1:10">
      <c r="A30" s="25" t="s">
        <v>48</v>
      </c>
      <c r="B30" s="26"/>
      <c r="C30" s="26"/>
      <c r="D30" s="26"/>
      <c r="E30" s="26"/>
      <c r="F30" s="26"/>
      <c r="G30" s="26"/>
      <c r="H30" s="26"/>
      <c r="I30" s="53"/>
      <c r="J30" s="54"/>
    </row>
    <row r="31" s="4" customFormat="1" ht="25" customHeight="1" spans="1:249">
      <c r="A31" s="34">
        <v>1</v>
      </c>
      <c r="B31" s="35"/>
      <c r="C31" s="36" t="s">
        <v>49</v>
      </c>
      <c r="D31" s="36"/>
      <c r="E31" s="46" t="s">
        <v>16</v>
      </c>
      <c r="F31" s="47">
        <v>0</v>
      </c>
      <c r="G31" s="47">
        <v>218</v>
      </c>
      <c r="H31" s="47">
        <f t="shared" ref="H31:H44" si="2">F31*G31</f>
        <v>0</v>
      </c>
      <c r="I31" s="58" t="s">
        <v>50</v>
      </c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</row>
    <row r="32" s="7" customFormat="1" ht="25" customHeight="1" spans="1:10">
      <c r="A32" s="27">
        <v>2</v>
      </c>
      <c r="B32" s="28"/>
      <c r="C32" s="30" t="s">
        <v>51</v>
      </c>
      <c r="D32" s="33"/>
      <c r="E32" s="41" t="s">
        <v>16</v>
      </c>
      <c r="F32" s="42">
        <v>0</v>
      </c>
      <c r="G32" s="42">
        <v>80</v>
      </c>
      <c r="H32" s="42">
        <f t="shared" si="2"/>
        <v>0</v>
      </c>
      <c r="I32" s="59" t="s">
        <v>52</v>
      </c>
      <c r="J32" s="16">
        <v>50</v>
      </c>
    </row>
    <row r="33" s="7" customFormat="1" ht="25" customHeight="1" spans="1:10">
      <c r="A33" s="27">
        <v>3</v>
      </c>
      <c r="B33" s="28"/>
      <c r="C33" s="30" t="s">
        <v>53</v>
      </c>
      <c r="D33" s="33"/>
      <c r="E33" s="41" t="s">
        <v>54</v>
      </c>
      <c r="F33" s="42">
        <v>0</v>
      </c>
      <c r="G33" s="42">
        <v>38</v>
      </c>
      <c r="H33" s="42">
        <f t="shared" si="2"/>
        <v>0</v>
      </c>
      <c r="I33" s="60" t="s">
        <v>55</v>
      </c>
      <c r="J33" s="16">
        <v>25</v>
      </c>
    </row>
    <row r="34" s="7" customFormat="1" ht="25" customHeight="1" spans="1:10">
      <c r="A34" s="27">
        <v>4</v>
      </c>
      <c r="B34" s="28"/>
      <c r="C34" s="30" t="s">
        <v>56</v>
      </c>
      <c r="D34" s="37"/>
      <c r="E34" s="41" t="s">
        <v>54</v>
      </c>
      <c r="F34" s="42">
        <v>0</v>
      </c>
      <c r="G34" s="42">
        <v>50</v>
      </c>
      <c r="H34" s="42">
        <f t="shared" si="2"/>
        <v>0</v>
      </c>
      <c r="I34" s="61" t="s">
        <v>57</v>
      </c>
      <c r="J34" s="16">
        <v>30</v>
      </c>
    </row>
    <row r="35" s="7" customFormat="1" ht="25" customHeight="1" spans="1:10">
      <c r="A35" s="27">
        <v>5</v>
      </c>
      <c r="B35" s="28"/>
      <c r="C35" s="30" t="s">
        <v>58</v>
      </c>
      <c r="D35" s="33"/>
      <c r="E35" s="48" t="s">
        <v>59</v>
      </c>
      <c r="F35" s="42">
        <v>0</v>
      </c>
      <c r="G35" s="42">
        <v>350</v>
      </c>
      <c r="H35" s="42">
        <f t="shared" si="2"/>
        <v>0</v>
      </c>
      <c r="I35" s="62"/>
      <c r="J35" s="16">
        <v>200</v>
      </c>
    </row>
    <row r="36" s="7" customFormat="1" ht="25" customHeight="1" spans="1:10">
      <c r="A36" s="27">
        <v>6</v>
      </c>
      <c r="B36" s="28"/>
      <c r="C36" s="30" t="s">
        <v>60</v>
      </c>
      <c r="D36" s="33"/>
      <c r="E36" s="41" t="s">
        <v>16</v>
      </c>
      <c r="F36" s="42">
        <v>0</v>
      </c>
      <c r="G36" s="42">
        <v>40</v>
      </c>
      <c r="H36" s="42">
        <f t="shared" si="2"/>
        <v>0</v>
      </c>
      <c r="I36" s="62" t="s">
        <v>61</v>
      </c>
      <c r="J36" s="16">
        <v>30</v>
      </c>
    </row>
    <row r="37" s="7" customFormat="1" ht="25" customHeight="1" spans="1:10">
      <c r="A37" s="27">
        <v>7</v>
      </c>
      <c r="B37" s="28"/>
      <c r="C37" s="30" t="s">
        <v>62</v>
      </c>
      <c r="D37" s="33"/>
      <c r="E37" s="41" t="s">
        <v>16</v>
      </c>
      <c r="F37" s="42">
        <v>0</v>
      </c>
      <c r="G37" s="42">
        <v>60</v>
      </c>
      <c r="H37" s="42">
        <f t="shared" si="2"/>
        <v>0</v>
      </c>
      <c r="I37" s="62" t="s">
        <v>61</v>
      </c>
      <c r="J37" s="16">
        <v>55</v>
      </c>
    </row>
    <row r="38" s="7" customFormat="1" ht="25" customHeight="1" spans="1:10">
      <c r="A38" s="27">
        <v>8</v>
      </c>
      <c r="B38" s="28"/>
      <c r="C38" s="30" t="s">
        <v>63</v>
      </c>
      <c r="D38" s="33"/>
      <c r="E38" s="41" t="s">
        <v>16</v>
      </c>
      <c r="F38" s="42">
        <v>0</v>
      </c>
      <c r="G38" s="42">
        <v>80</v>
      </c>
      <c r="H38" s="42">
        <f t="shared" si="2"/>
        <v>0</v>
      </c>
      <c r="I38" s="62" t="s">
        <v>52</v>
      </c>
      <c r="J38" s="16">
        <v>65</v>
      </c>
    </row>
    <row r="39" s="7" customFormat="1" ht="25" customHeight="1" spans="1:10">
      <c r="A39" s="27">
        <v>9</v>
      </c>
      <c r="B39" s="28"/>
      <c r="C39" s="30" t="s">
        <v>64</v>
      </c>
      <c r="D39" s="33"/>
      <c r="E39" s="41" t="s">
        <v>16</v>
      </c>
      <c r="F39" s="42">
        <v>0</v>
      </c>
      <c r="G39" s="42">
        <v>150</v>
      </c>
      <c r="H39" s="42">
        <f t="shared" si="2"/>
        <v>0</v>
      </c>
      <c r="I39" s="63" t="s">
        <v>65</v>
      </c>
      <c r="J39" s="16">
        <v>120</v>
      </c>
    </row>
    <row r="40" s="7" customFormat="1" ht="25" customHeight="1" spans="1:10">
      <c r="A40" s="27">
        <v>10</v>
      </c>
      <c r="B40" s="28"/>
      <c r="C40" s="30" t="s">
        <v>66</v>
      </c>
      <c r="D40" s="33"/>
      <c r="E40" s="41" t="s">
        <v>16</v>
      </c>
      <c r="F40" s="42">
        <v>0</v>
      </c>
      <c r="G40" s="42">
        <v>100</v>
      </c>
      <c r="H40" s="42">
        <f t="shared" si="2"/>
        <v>0</v>
      </c>
      <c r="I40" s="63" t="s">
        <v>67</v>
      </c>
      <c r="J40" s="16">
        <v>80</v>
      </c>
    </row>
    <row r="41" s="7" customFormat="1" ht="25" customHeight="1" spans="1:10">
      <c r="A41" s="27">
        <v>11</v>
      </c>
      <c r="B41" s="28"/>
      <c r="C41" s="30" t="s">
        <v>68</v>
      </c>
      <c r="D41" s="33"/>
      <c r="E41" s="41" t="s">
        <v>54</v>
      </c>
      <c r="F41" s="42">
        <v>0</v>
      </c>
      <c r="G41" s="42">
        <v>40</v>
      </c>
      <c r="H41" s="42">
        <f t="shared" si="2"/>
        <v>0</v>
      </c>
      <c r="I41" s="60" t="s">
        <v>69</v>
      </c>
      <c r="J41" s="16">
        <v>20</v>
      </c>
    </row>
    <row r="42" s="7" customFormat="1" ht="25" customHeight="1" spans="1:10">
      <c r="A42" s="27">
        <v>12</v>
      </c>
      <c r="B42" s="28"/>
      <c r="C42" s="30" t="s">
        <v>70</v>
      </c>
      <c r="D42" s="33"/>
      <c r="E42" s="41" t="s">
        <v>54</v>
      </c>
      <c r="F42" s="42">
        <v>0</v>
      </c>
      <c r="G42" s="42">
        <v>58</v>
      </c>
      <c r="H42" s="42">
        <f t="shared" si="2"/>
        <v>0</v>
      </c>
      <c r="I42" s="61" t="s">
        <v>71</v>
      </c>
      <c r="J42" s="16">
        <v>35</v>
      </c>
    </row>
    <row r="43" customFormat="1" ht="25" customHeight="1" spans="1:10">
      <c r="A43" s="27">
        <v>13</v>
      </c>
      <c r="B43" s="28"/>
      <c r="C43" s="30" t="s">
        <v>72</v>
      </c>
      <c r="D43" s="37"/>
      <c r="E43" s="41" t="s">
        <v>54</v>
      </c>
      <c r="F43" s="42">
        <v>0</v>
      </c>
      <c r="G43" s="42">
        <v>58</v>
      </c>
      <c r="H43" s="42">
        <f t="shared" si="2"/>
        <v>0</v>
      </c>
      <c r="I43" s="61" t="s">
        <v>73</v>
      </c>
      <c r="J43" s="16">
        <v>40</v>
      </c>
    </row>
    <row r="44" customFormat="1" ht="25" customHeight="1" spans="1:10">
      <c r="A44" s="27">
        <v>14</v>
      </c>
      <c r="B44" s="28"/>
      <c r="C44" s="30" t="s">
        <v>74</v>
      </c>
      <c r="D44" s="38"/>
      <c r="E44" s="41" t="s">
        <v>54</v>
      </c>
      <c r="F44" s="42">
        <v>0</v>
      </c>
      <c r="G44" s="42">
        <v>38</v>
      </c>
      <c r="H44" s="42">
        <f t="shared" si="2"/>
        <v>0</v>
      </c>
      <c r="I44" s="61" t="s">
        <v>73</v>
      </c>
      <c r="J44" s="16">
        <v>30</v>
      </c>
    </row>
    <row r="45" ht="25" customHeight="1" spans="1:9">
      <c r="A45" s="31" t="s">
        <v>47</v>
      </c>
      <c r="B45" s="32"/>
      <c r="C45" s="32"/>
      <c r="D45" s="32"/>
      <c r="E45" s="32"/>
      <c r="F45" s="32"/>
      <c r="G45" s="32"/>
      <c r="H45" s="43">
        <f>SUM(H31:H43)</f>
        <v>0</v>
      </c>
      <c r="I45" s="55"/>
    </row>
    <row r="46" s="3" customFormat="1" ht="25" customHeight="1" spans="1:10">
      <c r="A46" s="25" t="s">
        <v>75</v>
      </c>
      <c r="B46" s="26"/>
      <c r="C46" s="26"/>
      <c r="D46" s="26"/>
      <c r="E46" s="26"/>
      <c r="F46" s="26"/>
      <c r="G46" s="26"/>
      <c r="H46" s="26"/>
      <c r="I46" s="53"/>
      <c r="J46" s="54"/>
    </row>
    <row r="47" s="4" customFormat="1" ht="21" customHeight="1" spans="1:249">
      <c r="A47" s="28">
        <v>1</v>
      </c>
      <c r="B47" s="28"/>
      <c r="C47" s="33" t="s">
        <v>76</v>
      </c>
      <c r="D47" s="33"/>
      <c r="E47" s="41" t="s">
        <v>16</v>
      </c>
      <c r="F47" s="42">
        <v>0</v>
      </c>
      <c r="G47" s="42">
        <v>950</v>
      </c>
      <c r="H47" s="42">
        <f>SUM(F47*G47)</f>
        <v>0</v>
      </c>
      <c r="I47" s="56" t="s">
        <v>77</v>
      </c>
      <c r="J47" s="10">
        <v>550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</row>
    <row r="48" s="4" customFormat="1" ht="20" customHeight="1" spans="1:249">
      <c r="A48" s="28">
        <v>2</v>
      </c>
      <c r="B48" s="28"/>
      <c r="C48" s="33" t="s">
        <v>78</v>
      </c>
      <c r="D48" s="33"/>
      <c r="E48" s="41" t="s">
        <v>16</v>
      </c>
      <c r="F48" s="42">
        <v>0</v>
      </c>
      <c r="G48" s="42">
        <v>1050</v>
      </c>
      <c r="H48" s="42">
        <f>SUM(F48*G48)</f>
        <v>0</v>
      </c>
      <c r="I48" s="56" t="s">
        <v>77</v>
      </c>
      <c r="J48" s="16">
        <v>650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="4" customFormat="1" ht="20" customHeight="1" spans="1:249">
      <c r="A49" s="28">
        <v>3</v>
      </c>
      <c r="B49" s="28"/>
      <c r="C49" s="33" t="s">
        <v>79</v>
      </c>
      <c r="D49" s="33"/>
      <c r="E49" s="41" t="s">
        <v>16</v>
      </c>
      <c r="F49" s="42">
        <v>0</v>
      </c>
      <c r="G49" s="42">
        <v>1150</v>
      </c>
      <c r="H49" s="42">
        <f t="shared" ref="H49:H61" si="3">F49*G49</f>
        <v>0</v>
      </c>
      <c r="I49" s="56" t="s">
        <v>80</v>
      </c>
      <c r="J49" s="16">
        <v>750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</row>
    <row r="50" s="4" customFormat="1" ht="20" customHeight="1" spans="1:249">
      <c r="A50" s="28">
        <v>4</v>
      </c>
      <c r="B50" s="28"/>
      <c r="C50" s="33" t="s">
        <v>81</v>
      </c>
      <c r="D50" s="33"/>
      <c r="E50" s="41" t="s">
        <v>16</v>
      </c>
      <c r="F50" s="42">
        <v>0</v>
      </c>
      <c r="G50" s="42">
        <v>1250</v>
      </c>
      <c r="H50" s="42">
        <f t="shared" si="3"/>
        <v>0</v>
      </c>
      <c r="I50" s="56" t="s">
        <v>82</v>
      </c>
      <c r="J50" s="16">
        <v>800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</row>
    <row r="51" s="4" customFormat="1" ht="20" customHeight="1" spans="1:249">
      <c r="A51" s="28">
        <v>5</v>
      </c>
      <c r="B51" s="28"/>
      <c r="C51" s="33" t="s">
        <v>83</v>
      </c>
      <c r="D51" s="33"/>
      <c r="E51" s="41" t="s">
        <v>16</v>
      </c>
      <c r="F51" s="42">
        <v>0</v>
      </c>
      <c r="G51" s="42">
        <v>1350</v>
      </c>
      <c r="H51" s="42">
        <f t="shared" si="3"/>
        <v>0</v>
      </c>
      <c r="I51" s="56" t="s">
        <v>80</v>
      </c>
      <c r="J51" s="16">
        <v>850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</row>
    <row r="52" s="4" customFormat="1" ht="20" customHeight="1" spans="1:249">
      <c r="A52" s="28">
        <v>6</v>
      </c>
      <c r="B52" s="28"/>
      <c r="C52" s="33" t="s">
        <v>84</v>
      </c>
      <c r="D52" s="33"/>
      <c r="E52" s="41" t="s">
        <v>16</v>
      </c>
      <c r="F52" s="42">
        <v>0</v>
      </c>
      <c r="G52" s="42">
        <v>1450</v>
      </c>
      <c r="H52" s="42">
        <f t="shared" si="3"/>
        <v>0</v>
      </c>
      <c r="I52" s="56" t="s">
        <v>80</v>
      </c>
      <c r="J52" s="16">
        <v>950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="4" customFormat="1" ht="20" customHeight="1" spans="1:249">
      <c r="A53" s="28">
        <v>7</v>
      </c>
      <c r="B53" s="28"/>
      <c r="C53" s="33" t="s">
        <v>85</v>
      </c>
      <c r="D53" s="33"/>
      <c r="E53" s="41" t="s">
        <v>16</v>
      </c>
      <c r="F53" s="42">
        <v>0</v>
      </c>
      <c r="G53" s="42">
        <v>1350</v>
      </c>
      <c r="H53" s="42">
        <f t="shared" si="3"/>
        <v>0</v>
      </c>
      <c r="I53" s="56" t="s">
        <v>77</v>
      </c>
      <c r="J53" s="16">
        <v>950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="4" customFormat="1" ht="20" customHeight="1" spans="1:249">
      <c r="A54" s="28">
        <v>8</v>
      </c>
      <c r="B54" s="28"/>
      <c r="C54" s="33" t="s">
        <v>86</v>
      </c>
      <c r="D54" s="33"/>
      <c r="E54" s="41" t="s">
        <v>16</v>
      </c>
      <c r="F54" s="42">
        <v>0</v>
      </c>
      <c r="G54" s="42">
        <v>1450</v>
      </c>
      <c r="H54" s="42">
        <f t="shared" si="3"/>
        <v>0</v>
      </c>
      <c r="I54" s="56" t="s">
        <v>80</v>
      </c>
      <c r="J54" s="16">
        <v>1000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="4" customFormat="1" ht="20" customHeight="1" spans="1:249">
      <c r="A55" s="28">
        <v>9</v>
      </c>
      <c r="B55" s="28"/>
      <c r="C55" s="33" t="s">
        <v>87</v>
      </c>
      <c r="D55" s="33"/>
      <c r="E55" s="41" t="s">
        <v>54</v>
      </c>
      <c r="F55" s="42">
        <v>0</v>
      </c>
      <c r="G55" s="42">
        <v>200</v>
      </c>
      <c r="H55" s="42">
        <f t="shared" si="3"/>
        <v>0</v>
      </c>
      <c r="I55" s="59" t="s">
        <v>88</v>
      </c>
      <c r="J55" s="16">
        <v>120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  <row r="56" s="4" customFormat="1" ht="20" customHeight="1" spans="1:249">
      <c r="A56" s="28">
        <v>10</v>
      </c>
      <c r="B56" s="28"/>
      <c r="C56" s="33" t="s">
        <v>89</v>
      </c>
      <c r="D56" s="33"/>
      <c r="E56" s="45" t="s">
        <v>90</v>
      </c>
      <c r="F56" s="42">
        <v>0</v>
      </c>
      <c r="G56" s="42">
        <v>2200</v>
      </c>
      <c r="H56" s="42">
        <f t="shared" si="3"/>
        <v>0</v>
      </c>
      <c r="I56" s="59" t="s">
        <v>91</v>
      </c>
      <c r="J56" s="16">
        <v>1350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</row>
    <row r="57" s="4" customFormat="1" ht="20" customHeight="1" spans="1:249">
      <c r="A57" s="28">
        <v>11</v>
      </c>
      <c r="B57" s="28"/>
      <c r="C57" s="33" t="s">
        <v>92</v>
      </c>
      <c r="D57" s="33"/>
      <c r="E57" s="45" t="s">
        <v>90</v>
      </c>
      <c r="F57" s="42">
        <v>0</v>
      </c>
      <c r="G57" s="42">
        <v>3000</v>
      </c>
      <c r="H57" s="42">
        <f t="shared" si="3"/>
        <v>0</v>
      </c>
      <c r="I57" s="59" t="s">
        <v>91</v>
      </c>
      <c r="J57" s="16">
        <v>2000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</row>
    <row r="58" s="4" customFormat="1" ht="31" spans="1:249">
      <c r="A58" s="28">
        <v>12</v>
      </c>
      <c r="B58" s="28"/>
      <c r="C58" s="33" t="s">
        <v>93</v>
      </c>
      <c r="D58" s="33"/>
      <c r="E58" s="45" t="s">
        <v>90</v>
      </c>
      <c r="F58" s="42">
        <v>0</v>
      </c>
      <c r="G58" s="42">
        <v>3000</v>
      </c>
      <c r="H58" s="42">
        <f t="shared" si="3"/>
        <v>0</v>
      </c>
      <c r="I58" s="59" t="s">
        <v>91</v>
      </c>
      <c r="J58" s="64">
        <v>2000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</row>
    <row r="59" customFormat="1" ht="20" customHeight="1" spans="1:249">
      <c r="A59" s="28">
        <v>13</v>
      </c>
      <c r="B59" s="28"/>
      <c r="C59" s="33" t="s">
        <v>94</v>
      </c>
      <c r="D59" s="33"/>
      <c r="E59" s="41" t="s">
        <v>16</v>
      </c>
      <c r="F59" s="42">
        <v>0</v>
      </c>
      <c r="G59" s="42">
        <v>1500</v>
      </c>
      <c r="H59" s="42">
        <f t="shared" si="3"/>
        <v>0</v>
      </c>
      <c r="I59" s="59" t="s">
        <v>95</v>
      </c>
      <c r="J59" s="16">
        <v>900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</row>
    <row r="60" customFormat="1" ht="46" spans="1:249">
      <c r="A60" s="28">
        <v>14</v>
      </c>
      <c r="B60" s="28"/>
      <c r="C60" s="33" t="s">
        <v>96</v>
      </c>
      <c r="D60" s="33"/>
      <c r="E60" s="41" t="s">
        <v>16</v>
      </c>
      <c r="F60" s="42">
        <v>0</v>
      </c>
      <c r="G60" s="42">
        <v>1600</v>
      </c>
      <c r="H60" s="42">
        <f t="shared" si="3"/>
        <v>0</v>
      </c>
      <c r="I60" s="59" t="s">
        <v>97</v>
      </c>
      <c r="J60" s="16">
        <v>1000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</row>
    <row r="61" customFormat="1" ht="20" customHeight="1" spans="1:249">
      <c r="A61" s="28">
        <v>15</v>
      </c>
      <c r="B61" s="28"/>
      <c r="C61" s="39" t="s">
        <v>98</v>
      </c>
      <c r="D61" s="33"/>
      <c r="E61" s="41" t="s">
        <v>16</v>
      </c>
      <c r="F61" s="42">
        <v>0</v>
      </c>
      <c r="G61" s="42">
        <v>1200</v>
      </c>
      <c r="H61" s="42">
        <f t="shared" si="3"/>
        <v>0</v>
      </c>
      <c r="I61" s="59" t="s">
        <v>99</v>
      </c>
      <c r="J61" s="16">
        <v>650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</row>
    <row r="62" customFormat="1" ht="20" customHeight="1" spans="1:249">
      <c r="A62" s="28">
        <v>16</v>
      </c>
      <c r="B62" s="28"/>
      <c r="C62" s="33" t="s">
        <v>100</v>
      </c>
      <c r="D62" s="33"/>
      <c r="E62" s="45" t="s">
        <v>101</v>
      </c>
      <c r="F62" s="42">
        <v>0</v>
      </c>
      <c r="G62" s="42">
        <v>1000</v>
      </c>
      <c r="H62" s="42"/>
      <c r="I62" s="59" t="s">
        <v>102</v>
      </c>
      <c r="J62" s="16">
        <v>700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</row>
    <row r="63" customFormat="1" ht="20" customHeight="1" spans="1:249">
      <c r="A63" s="28">
        <v>17</v>
      </c>
      <c r="B63" s="28"/>
      <c r="C63" s="33" t="s">
        <v>100</v>
      </c>
      <c r="D63" s="33"/>
      <c r="E63" s="45" t="s">
        <v>101</v>
      </c>
      <c r="F63" s="42">
        <v>0</v>
      </c>
      <c r="G63" s="42">
        <v>1500</v>
      </c>
      <c r="H63" s="42"/>
      <c r="I63" s="59" t="s">
        <v>103</v>
      </c>
      <c r="J63" s="16">
        <v>1000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64" customFormat="1" ht="20" customHeight="1" spans="1:249">
      <c r="A64" s="28">
        <v>18</v>
      </c>
      <c r="B64" s="28"/>
      <c r="C64" s="33" t="s">
        <v>104</v>
      </c>
      <c r="D64" s="33"/>
      <c r="E64" s="45" t="s">
        <v>101</v>
      </c>
      <c r="F64" s="42">
        <v>0</v>
      </c>
      <c r="G64" s="42">
        <v>2500</v>
      </c>
      <c r="H64" s="42"/>
      <c r="I64" s="59" t="s">
        <v>105</v>
      </c>
      <c r="J64" s="16">
        <v>1800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</row>
    <row r="65" customFormat="1" ht="20" customHeight="1" spans="1:249">
      <c r="A65" s="28">
        <v>19</v>
      </c>
      <c r="B65" s="28"/>
      <c r="C65" s="33" t="s">
        <v>106</v>
      </c>
      <c r="D65" s="33"/>
      <c r="E65" s="41" t="s">
        <v>16</v>
      </c>
      <c r="F65" s="42">
        <v>0</v>
      </c>
      <c r="G65" s="42">
        <v>900</v>
      </c>
      <c r="H65" s="42">
        <f t="shared" ref="H65:H74" si="4">F65*G65</f>
        <v>0</v>
      </c>
      <c r="I65" s="59" t="s">
        <v>107</v>
      </c>
      <c r="J65" s="16">
        <v>550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</row>
    <row r="66" customFormat="1" ht="20" customHeight="1" spans="1:249">
      <c r="A66" s="28">
        <v>20</v>
      </c>
      <c r="B66" s="28"/>
      <c r="C66" s="33" t="s">
        <v>108</v>
      </c>
      <c r="D66" s="33"/>
      <c r="E66" s="41" t="s">
        <v>16</v>
      </c>
      <c r="F66" s="42">
        <v>0</v>
      </c>
      <c r="G66" s="42">
        <v>200</v>
      </c>
      <c r="H66" s="42">
        <f t="shared" si="4"/>
        <v>0</v>
      </c>
      <c r="I66" s="59" t="s">
        <v>109</v>
      </c>
      <c r="J66" s="16">
        <v>150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</row>
    <row r="67" ht="25" customHeight="1" spans="1:9">
      <c r="A67" s="31" t="s">
        <v>47</v>
      </c>
      <c r="B67" s="32"/>
      <c r="C67" s="32"/>
      <c r="D67" s="32"/>
      <c r="E67" s="32"/>
      <c r="F67" s="32"/>
      <c r="G67" s="32"/>
      <c r="H67" s="43">
        <f>SUM(H47:H58)</f>
        <v>0</v>
      </c>
      <c r="I67" s="55"/>
    </row>
    <row r="68" s="3" customFormat="1" ht="25" customHeight="1" spans="1:10">
      <c r="A68" s="25" t="s">
        <v>110</v>
      </c>
      <c r="B68" s="26"/>
      <c r="C68" s="26"/>
      <c r="D68" s="26"/>
      <c r="E68" s="26"/>
      <c r="F68" s="26"/>
      <c r="G68" s="26"/>
      <c r="H68" s="26"/>
      <c r="I68" s="53"/>
      <c r="J68" s="54"/>
    </row>
    <row r="69" s="4" customFormat="1" ht="25" customHeight="1" spans="1:249">
      <c r="A69" s="65">
        <v>1</v>
      </c>
      <c r="B69" s="66"/>
      <c r="C69" s="67" t="s">
        <v>111</v>
      </c>
      <c r="D69" s="67" t="s">
        <v>112</v>
      </c>
      <c r="E69" s="73" t="s">
        <v>16</v>
      </c>
      <c r="F69" s="74">
        <v>0</v>
      </c>
      <c r="G69" s="74">
        <v>180</v>
      </c>
      <c r="H69" s="74">
        <f t="shared" si="4"/>
        <v>0</v>
      </c>
      <c r="I69" s="79" t="s">
        <v>113</v>
      </c>
      <c r="J69" s="16">
        <v>120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</row>
    <row r="70" s="4" customFormat="1" ht="25" customHeight="1" spans="1:249">
      <c r="A70" s="65">
        <v>2</v>
      </c>
      <c r="B70" s="66"/>
      <c r="C70" s="67" t="s">
        <v>114</v>
      </c>
      <c r="D70" s="67"/>
      <c r="E70" s="73" t="s">
        <v>16</v>
      </c>
      <c r="F70" s="74">
        <v>0</v>
      </c>
      <c r="G70" s="74">
        <v>280</v>
      </c>
      <c r="H70" s="74">
        <f t="shared" si="4"/>
        <v>0</v>
      </c>
      <c r="I70" s="79" t="s">
        <v>113</v>
      </c>
      <c r="J70" s="16">
        <v>200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</row>
    <row r="71" s="4" customFormat="1" ht="25" customHeight="1" spans="1:249">
      <c r="A71" s="27">
        <v>3</v>
      </c>
      <c r="B71" s="28"/>
      <c r="C71" s="33" t="s">
        <v>115</v>
      </c>
      <c r="D71" s="33"/>
      <c r="E71" s="45" t="s">
        <v>116</v>
      </c>
      <c r="F71" s="42">
        <v>2</v>
      </c>
      <c r="G71" s="42">
        <v>1280</v>
      </c>
      <c r="H71" s="42">
        <f t="shared" si="4"/>
        <v>2560</v>
      </c>
      <c r="I71" s="80" t="s">
        <v>117</v>
      </c>
      <c r="J71" s="16">
        <v>620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</row>
    <row r="72" s="4" customFormat="1" ht="25" customHeight="1" spans="1:249">
      <c r="A72" s="27">
        <v>4</v>
      </c>
      <c r="B72" s="28"/>
      <c r="C72" s="33" t="s">
        <v>118</v>
      </c>
      <c r="D72" s="33" t="s">
        <v>112</v>
      </c>
      <c r="E72" s="45" t="s">
        <v>116</v>
      </c>
      <c r="F72" s="42">
        <v>0</v>
      </c>
      <c r="G72" s="42">
        <v>499</v>
      </c>
      <c r="H72" s="42">
        <f t="shared" si="4"/>
        <v>0</v>
      </c>
      <c r="I72" s="80" t="s">
        <v>119</v>
      </c>
      <c r="J72" s="16">
        <v>350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</row>
    <row r="73" customFormat="1" ht="25" customHeight="1" spans="1:249">
      <c r="A73" s="27">
        <v>5</v>
      </c>
      <c r="B73" s="28"/>
      <c r="C73" s="33" t="s">
        <v>120</v>
      </c>
      <c r="D73" s="33" t="s">
        <v>112</v>
      </c>
      <c r="E73" s="45" t="s">
        <v>116</v>
      </c>
      <c r="F73" s="42">
        <v>0</v>
      </c>
      <c r="G73" s="42">
        <v>120</v>
      </c>
      <c r="H73" s="42">
        <f t="shared" si="4"/>
        <v>0</v>
      </c>
      <c r="I73" s="80" t="s">
        <v>121</v>
      </c>
      <c r="J73" s="16">
        <v>70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</row>
    <row r="74" customFormat="1" ht="25" customHeight="1" spans="1:249">
      <c r="A74" s="65">
        <v>6</v>
      </c>
      <c r="B74" s="66"/>
      <c r="C74" s="67" t="s">
        <v>122</v>
      </c>
      <c r="D74" s="67" t="s">
        <v>123</v>
      </c>
      <c r="E74" s="75" t="s">
        <v>116</v>
      </c>
      <c r="F74" s="74">
        <v>0</v>
      </c>
      <c r="G74" s="74">
        <v>200</v>
      </c>
      <c r="H74" s="74">
        <f t="shared" si="4"/>
        <v>0</v>
      </c>
      <c r="I74" s="79" t="s">
        <v>122</v>
      </c>
      <c r="J74" s="16">
        <v>80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</row>
    <row r="75" ht="25" customHeight="1" spans="1:9">
      <c r="A75" s="31" t="s">
        <v>47</v>
      </c>
      <c r="B75" s="32"/>
      <c r="C75" s="32"/>
      <c r="D75" s="32"/>
      <c r="E75" s="32"/>
      <c r="F75" s="32"/>
      <c r="G75" s="32"/>
      <c r="H75" s="43">
        <f>SUM(H69:H73)</f>
        <v>2560</v>
      </c>
      <c r="I75" s="55"/>
    </row>
    <row r="76" s="3" customFormat="1" ht="25" customHeight="1" spans="1:10">
      <c r="A76" s="25" t="s">
        <v>124</v>
      </c>
      <c r="B76" s="26"/>
      <c r="C76" s="26"/>
      <c r="D76" s="26"/>
      <c r="E76" s="26"/>
      <c r="F76" s="26"/>
      <c r="G76" s="26"/>
      <c r="H76" s="26"/>
      <c r="I76" s="53"/>
      <c r="J76" s="54"/>
    </row>
    <row r="77" s="4" customFormat="1" ht="25" customHeight="1" spans="1:249">
      <c r="A77" s="27">
        <v>1</v>
      </c>
      <c r="B77" s="28"/>
      <c r="C77" s="33" t="s">
        <v>125</v>
      </c>
      <c r="D77" s="68"/>
      <c r="E77" s="68" t="s">
        <v>116</v>
      </c>
      <c r="F77" s="68">
        <v>0</v>
      </c>
      <c r="G77" s="68">
        <v>1380</v>
      </c>
      <c r="H77" s="42">
        <f t="shared" ref="H77:H101" si="5">F77*G77</f>
        <v>0</v>
      </c>
      <c r="I77" s="80" t="s">
        <v>126</v>
      </c>
      <c r="J77" s="16">
        <v>700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</row>
    <row r="78" s="4" customFormat="1" ht="25" customHeight="1" spans="1:249">
      <c r="A78" s="27">
        <v>2</v>
      </c>
      <c r="B78" s="28"/>
      <c r="C78" s="33" t="s">
        <v>125</v>
      </c>
      <c r="D78" s="68"/>
      <c r="E78" s="68" t="s">
        <v>116</v>
      </c>
      <c r="F78" s="68"/>
      <c r="G78" s="68">
        <v>1380</v>
      </c>
      <c r="H78" s="42">
        <f t="shared" si="5"/>
        <v>0</v>
      </c>
      <c r="I78" s="80" t="s">
        <v>127</v>
      </c>
      <c r="J78" s="16">
        <v>700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</row>
    <row r="79" s="4" customFormat="1" ht="25" customHeight="1" spans="1:249">
      <c r="A79" s="27">
        <v>3</v>
      </c>
      <c r="B79" s="28"/>
      <c r="C79" s="69" t="s">
        <v>125</v>
      </c>
      <c r="D79" s="70"/>
      <c r="E79" s="70" t="s">
        <v>116</v>
      </c>
      <c r="F79" s="70"/>
      <c r="G79" s="70">
        <v>1380</v>
      </c>
      <c r="H79" s="76">
        <f t="shared" si="5"/>
        <v>0</v>
      </c>
      <c r="I79" s="80" t="s">
        <v>128</v>
      </c>
      <c r="J79" s="16">
        <v>700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</row>
    <row r="80" s="4" customFormat="1" ht="25" customHeight="1" spans="1:249">
      <c r="A80" s="27">
        <v>4</v>
      </c>
      <c r="B80" s="28"/>
      <c r="C80" s="33" t="s">
        <v>129</v>
      </c>
      <c r="D80" s="33"/>
      <c r="E80" s="45" t="s">
        <v>116</v>
      </c>
      <c r="F80" s="42">
        <v>0</v>
      </c>
      <c r="G80" s="42">
        <v>580</v>
      </c>
      <c r="H80" s="42">
        <f t="shared" si="5"/>
        <v>0</v>
      </c>
      <c r="I80" s="80" t="s">
        <v>130</v>
      </c>
      <c r="J80" s="16">
        <v>290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</row>
    <row r="81" s="4" customFormat="1" ht="25" customHeight="1" spans="1:249">
      <c r="A81" s="27">
        <v>5</v>
      </c>
      <c r="B81" s="28"/>
      <c r="C81" s="33" t="s">
        <v>129</v>
      </c>
      <c r="D81" s="33"/>
      <c r="E81" s="45" t="s">
        <v>116</v>
      </c>
      <c r="F81" s="42"/>
      <c r="G81" s="42">
        <v>580</v>
      </c>
      <c r="H81" s="42">
        <f t="shared" si="5"/>
        <v>0</v>
      </c>
      <c r="I81" s="80" t="s">
        <v>131</v>
      </c>
      <c r="J81" s="16">
        <v>290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</row>
    <row r="82" s="4" customFormat="1" ht="25" customHeight="1" spans="1:249">
      <c r="A82" s="27">
        <v>6</v>
      </c>
      <c r="B82" s="28"/>
      <c r="C82" s="69" t="s">
        <v>132</v>
      </c>
      <c r="D82" s="33"/>
      <c r="E82" s="45" t="s">
        <v>116</v>
      </c>
      <c r="F82" s="42"/>
      <c r="G82" s="42">
        <v>2500</v>
      </c>
      <c r="H82" s="42">
        <f t="shared" si="5"/>
        <v>0</v>
      </c>
      <c r="I82" s="61" t="s">
        <v>133</v>
      </c>
      <c r="J82" s="16">
        <v>1900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</row>
    <row r="83" s="4" customFormat="1" ht="31" spans="1:249">
      <c r="A83" s="34">
        <v>7</v>
      </c>
      <c r="B83" s="35"/>
      <c r="C83" s="36" t="s">
        <v>134</v>
      </c>
      <c r="D83" s="36"/>
      <c r="E83" s="46" t="s">
        <v>54</v>
      </c>
      <c r="F83" s="47">
        <v>1.3</v>
      </c>
      <c r="G83" s="47">
        <v>4500</v>
      </c>
      <c r="H83" s="47">
        <f t="shared" si="5"/>
        <v>5850</v>
      </c>
      <c r="I83" s="81" t="s">
        <v>135</v>
      </c>
      <c r="J83" s="16">
        <v>2800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</row>
    <row r="84" s="4" customFormat="1" ht="31" spans="1:249">
      <c r="A84" s="34">
        <v>8</v>
      </c>
      <c r="B84" s="35"/>
      <c r="C84" s="36" t="s">
        <v>136</v>
      </c>
      <c r="D84" s="36"/>
      <c r="E84" s="46" t="s">
        <v>54</v>
      </c>
      <c r="F84" s="47">
        <f>0.9</f>
        <v>0.9</v>
      </c>
      <c r="G84" s="47">
        <v>4500</v>
      </c>
      <c r="H84" s="47">
        <f t="shared" si="5"/>
        <v>4050</v>
      </c>
      <c r="I84" s="81" t="s">
        <v>135</v>
      </c>
      <c r="J84" s="16">
        <v>2800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</row>
    <row r="85" s="4" customFormat="1" ht="31" spans="1:249">
      <c r="A85" s="34">
        <v>9</v>
      </c>
      <c r="B85" s="35"/>
      <c r="C85" s="36" t="s">
        <v>137</v>
      </c>
      <c r="D85" s="36"/>
      <c r="E85" s="46" t="s">
        <v>54</v>
      </c>
      <c r="F85" s="47"/>
      <c r="G85" s="47">
        <v>5500</v>
      </c>
      <c r="H85" s="47">
        <f t="shared" si="5"/>
        <v>0</v>
      </c>
      <c r="I85" s="81" t="s">
        <v>138</v>
      </c>
      <c r="J85" s="16">
        <v>3500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</row>
    <row r="86" s="4" customFormat="1" ht="31" spans="1:249">
      <c r="A86" s="34">
        <v>10</v>
      </c>
      <c r="B86" s="35"/>
      <c r="C86" s="36" t="s">
        <v>139</v>
      </c>
      <c r="D86" s="36"/>
      <c r="E86" s="46" t="s">
        <v>54</v>
      </c>
      <c r="F86" s="47"/>
      <c r="G86" s="47">
        <v>5500</v>
      </c>
      <c r="H86" s="47">
        <f t="shared" si="5"/>
        <v>0</v>
      </c>
      <c r="I86" s="81" t="s">
        <v>138</v>
      </c>
      <c r="J86" s="16">
        <v>3500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</row>
    <row r="87" s="4" customFormat="1" ht="25" customHeight="1" spans="1:249">
      <c r="A87" s="27">
        <v>11</v>
      </c>
      <c r="B87" s="28"/>
      <c r="C87" s="33" t="s">
        <v>140</v>
      </c>
      <c r="D87" s="33"/>
      <c r="E87" s="45" t="s">
        <v>116</v>
      </c>
      <c r="F87" s="42">
        <v>0</v>
      </c>
      <c r="G87" s="42">
        <v>2200</v>
      </c>
      <c r="H87" s="42">
        <f t="shared" si="5"/>
        <v>0</v>
      </c>
      <c r="I87" s="61" t="s">
        <v>141</v>
      </c>
      <c r="J87" s="16">
        <v>1700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</row>
    <row r="88" s="4" customFormat="1" ht="25" customHeight="1" spans="1:249">
      <c r="A88" s="27">
        <v>12</v>
      </c>
      <c r="B88" s="28"/>
      <c r="C88" s="33" t="s">
        <v>142</v>
      </c>
      <c r="D88" s="33"/>
      <c r="E88" s="45" t="s">
        <v>116</v>
      </c>
      <c r="F88" s="42">
        <v>0</v>
      </c>
      <c r="G88" s="42">
        <v>3300</v>
      </c>
      <c r="H88" s="42">
        <f t="shared" si="5"/>
        <v>0</v>
      </c>
      <c r="I88" s="61" t="s">
        <v>143</v>
      </c>
      <c r="J88" s="16">
        <v>2800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</row>
    <row r="89" s="4" customFormat="1" ht="25" customHeight="1" spans="1:249">
      <c r="A89" s="27">
        <v>13</v>
      </c>
      <c r="B89" s="28"/>
      <c r="C89" s="33" t="s">
        <v>144</v>
      </c>
      <c r="D89" s="33"/>
      <c r="E89" s="45" t="s">
        <v>116</v>
      </c>
      <c r="F89" s="42">
        <v>0</v>
      </c>
      <c r="G89" s="42">
        <v>4300</v>
      </c>
      <c r="H89" s="42">
        <f t="shared" si="5"/>
        <v>0</v>
      </c>
      <c r="I89" s="61" t="s">
        <v>145</v>
      </c>
      <c r="J89" s="16">
        <v>3200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</row>
    <row r="90" s="4" customFormat="1" ht="25" customHeight="1" spans="1:249">
      <c r="A90" s="27">
        <v>14</v>
      </c>
      <c r="B90" s="28"/>
      <c r="C90" s="33" t="s">
        <v>146</v>
      </c>
      <c r="D90" s="33"/>
      <c r="E90" s="45" t="s">
        <v>116</v>
      </c>
      <c r="F90" s="42">
        <v>0</v>
      </c>
      <c r="G90" s="42">
        <v>4500</v>
      </c>
      <c r="H90" s="42">
        <f t="shared" si="5"/>
        <v>0</v>
      </c>
      <c r="I90" s="61" t="s">
        <v>147</v>
      </c>
      <c r="J90" s="16">
        <v>3500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</row>
    <row r="91" s="4" customFormat="1" ht="25" customHeight="1" spans="1:249">
      <c r="A91" s="34">
        <v>15</v>
      </c>
      <c r="B91" s="35"/>
      <c r="C91" s="36" t="s">
        <v>148</v>
      </c>
      <c r="D91" s="36"/>
      <c r="E91" s="77" t="s">
        <v>116</v>
      </c>
      <c r="F91" s="47">
        <v>0</v>
      </c>
      <c r="G91" s="47">
        <v>7500</v>
      </c>
      <c r="H91" s="47">
        <f t="shared" si="5"/>
        <v>0</v>
      </c>
      <c r="I91" s="81" t="s">
        <v>149</v>
      </c>
      <c r="J91" s="16">
        <v>5500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</row>
    <row r="92" s="4" customFormat="1" ht="25" customHeight="1" spans="1:249">
      <c r="A92" s="27">
        <v>16</v>
      </c>
      <c r="B92" s="28"/>
      <c r="C92" s="33" t="s">
        <v>150</v>
      </c>
      <c r="D92" s="33"/>
      <c r="E92" s="45" t="s">
        <v>116</v>
      </c>
      <c r="F92" s="42">
        <v>0</v>
      </c>
      <c r="G92" s="42">
        <v>4000</v>
      </c>
      <c r="H92" s="42">
        <f t="shared" si="5"/>
        <v>0</v>
      </c>
      <c r="I92" s="61" t="s">
        <v>151</v>
      </c>
      <c r="J92" s="16">
        <v>3200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</row>
    <row r="93" s="4" customFormat="1" ht="25" customHeight="1" spans="1:249">
      <c r="A93" s="27">
        <v>17</v>
      </c>
      <c r="B93" s="28"/>
      <c r="C93" s="33" t="s">
        <v>152</v>
      </c>
      <c r="D93" s="33"/>
      <c r="E93" s="45" t="s">
        <v>116</v>
      </c>
      <c r="F93" s="42">
        <v>0</v>
      </c>
      <c r="G93" s="42">
        <v>1600</v>
      </c>
      <c r="H93" s="42">
        <f t="shared" si="5"/>
        <v>0</v>
      </c>
      <c r="I93" s="82" t="s">
        <v>153</v>
      </c>
      <c r="J93" s="16">
        <v>800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</row>
    <row r="94" s="4" customFormat="1" ht="25" customHeight="1" spans="1:249">
      <c r="A94" s="27">
        <v>18</v>
      </c>
      <c r="B94" s="28"/>
      <c r="C94" s="33" t="s">
        <v>152</v>
      </c>
      <c r="D94" s="33"/>
      <c r="E94" s="45" t="s">
        <v>116</v>
      </c>
      <c r="F94" s="42"/>
      <c r="G94" s="42">
        <v>2300</v>
      </c>
      <c r="H94" s="42">
        <f t="shared" si="5"/>
        <v>0</v>
      </c>
      <c r="I94" s="82" t="s">
        <v>154</v>
      </c>
      <c r="J94" s="16">
        <v>1300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</row>
    <row r="95" s="4" customFormat="1" ht="25" customHeight="1" spans="1:249">
      <c r="A95" s="27">
        <v>19</v>
      </c>
      <c r="B95" s="28"/>
      <c r="C95" s="33" t="s">
        <v>155</v>
      </c>
      <c r="D95" s="33"/>
      <c r="E95" s="45" t="s">
        <v>116</v>
      </c>
      <c r="F95" s="42"/>
      <c r="G95" s="42">
        <v>2800</v>
      </c>
      <c r="H95" s="42">
        <f t="shared" si="5"/>
        <v>0</v>
      </c>
      <c r="I95" s="82" t="s">
        <v>156</v>
      </c>
      <c r="J95" s="16">
        <v>1800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</row>
    <row r="96" s="4" customFormat="1" ht="25" customHeight="1" spans="1:249">
      <c r="A96" s="27">
        <v>20</v>
      </c>
      <c r="B96" s="28"/>
      <c r="C96" s="33" t="s">
        <v>155</v>
      </c>
      <c r="D96" s="33"/>
      <c r="E96" s="45" t="s">
        <v>116</v>
      </c>
      <c r="F96" s="42"/>
      <c r="G96" s="42">
        <v>4000</v>
      </c>
      <c r="H96" s="42">
        <f t="shared" si="5"/>
        <v>0</v>
      </c>
      <c r="I96" s="82" t="s">
        <v>157</v>
      </c>
      <c r="J96" s="16">
        <v>2400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</row>
    <row r="97" s="4" customFormat="1" ht="25" customHeight="1" spans="1:249">
      <c r="A97" s="27">
        <v>21</v>
      </c>
      <c r="B97" s="28"/>
      <c r="C97" s="33" t="s">
        <v>155</v>
      </c>
      <c r="D97" s="33"/>
      <c r="E97" s="45" t="s">
        <v>116</v>
      </c>
      <c r="F97" s="42"/>
      <c r="G97" s="42">
        <v>5000</v>
      </c>
      <c r="H97" s="42">
        <f t="shared" si="5"/>
        <v>0</v>
      </c>
      <c r="I97" s="82" t="s">
        <v>158</v>
      </c>
      <c r="J97" s="16">
        <v>2900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</row>
    <row r="98" s="4" customFormat="1" ht="25" customHeight="1" spans="1:249">
      <c r="A98" s="34">
        <v>22</v>
      </c>
      <c r="B98" s="35"/>
      <c r="C98" s="36" t="s">
        <v>155</v>
      </c>
      <c r="D98" s="36"/>
      <c r="E98" s="77" t="s">
        <v>116</v>
      </c>
      <c r="F98" s="47"/>
      <c r="G98" s="47">
        <v>6500</v>
      </c>
      <c r="H98" s="47">
        <f t="shared" si="5"/>
        <v>0</v>
      </c>
      <c r="I98" s="83" t="s">
        <v>159</v>
      </c>
      <c r="J98" s="16">
        <v>4000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</row>
    <row r="99" s="4" customFormat="1" ht="25" customHeight="1" spans="1:249">
      <c r="A99" s="27">
        <v>23</v>
      </c>
      <c r="B99" s="28"/>
      <c r="C99" s="33" t="s">
        <v>160</v>
      </c>
      <c r="D99" s="33"/>
      <c r="E99" s="45" t="s">
        <v>116</v>
      </c>
      <c r="F99" s="42"/>
      <c r="G99" s="42">
        <v>4000</v>
      </c>
      <c r="H99" s="42">
        <f t="shared" si="5"/>
        <v>0</v>
      </c>
      <c r="I99" s="82" t="s">
        <v>161</v>
      </c>
      <c r="J99" s="16">
        <v>2800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</row>
    <row r="100" s="4" customFormat="1" ht="25" customHeight="1" spans="1:249">
      <c r="A100" s="34">
        <v>24</v>
      </c>
      <c r="B100" s="35"/>
      <c r="C100" s="36" t="s">
        <v>160</v>
      </c>
      <c r="D100" s="36"/>
      <c r="E100" s="77" t="s">
        <v>116</v>
      </c>
      <c r="F100" s="47"/>
      <c r="G100" s="47">
        <v>6000</v>
      </c>
      <c r="H100" s="47">
        <f t="shared" si="5"/>
        <v>0</v>
      </c>
      <c r="I100" s="83" t="s">
        <v>162</v>
      </c>
      <c r="J100" s="16">
        <v>4800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</row>
    <row r="101" s="4" customFormat="1" ht="25" customHeight="1" spans="1:249">
      <c r="A101" s="27">
        <v>25</v>
      </c>
      <c r="B101" s="28"/>
      <c r="C101" s="33" t="s">
        <v>163</v>
      </c>
      <c r="D101" s="33"/>
      <c r="E101" s="28" t="s">
        <v>116</v>
      </c>
      <c r="F101" s="42">
        <v>5</v>
      </c>
      <c r="G101" s="42">
        <v>88</v>
      </c>
      <c r="H101" s="42">
        <f t="shared" si="5"/>
        <v>440</v>
      </c>
      <c r="I101" s="84" t="s">
        <v>164</v>
      </c>
      <c r="J101" s="16">
        <v>50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</row>
    <row r="102" ht="25" customHeight="1" spans="1:9">
      <c r="A102" s="31" t="s">
        <v>47</v>
      </c>
      <c r="B102" s="32"/>
      <c r="C102" s="32"/>
      <c r="D102" s="32"/>
      <c r="E102" s="32"/>
      <c r="F102" s="32"/>
      <c r="G102" s="32"/>
      <c r="H102" s="43">
        <f>SUM(H77:H101)</f>
        <v>10340</v>
      </c>
      <c r="I102" s="55"/>
    </row>
    <row r="103" s="3" customFormat="1" ht="25" customHeight="1" spans="1:10">
      <c r="A103" s="25" t="s">
        <v>165</v>
      </c>
      <c r="B103" s="26"/>
      <c r="C103" s="26"/>
      <c r="D103" s="26"/>
      <c r="E103" s="26"/>
      <c r="F103" s="26"/>
      <c r="G103" s="26"/>
      <c r="H103" s="26"/>
      <c r="I103" s="53"/>
      <c r="J103" s="54"/>
    </row>
    <row r="104" customFormat="1" ht="25" customHeight="1" spans="1:249">
      <c r="A104" s="71">
        <v>1</v>
      </c>
      <c r="B104" s="71"/>
      <c r="C104" s="67" t="s">
        <v>166</v>
      </c>
      <c r="D104" s="67"/>
      <c r="E104" s="73" t="s">
        <v>16</v>
      </c>
      <c r="F104" s="78">
        <f>1.29*2.2</f>
        <v>2.838</v>
      </c>
      <c r="G104" s="78">
        <v>1250</v>
      </c>
      <c r="H104" s="78">
        <f t="shared" ref="H104:H107" si="6">F104*G104</f>
        <v>3547.5</v>
      </c>
      <c r="I104" s="85" t="s">
        <v>167</v>
      </c>
      <c r="J104" s="13">
        <v>750</v>
      </c>
      <c r="K104" s="8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</row>
    <row r="105" customFormat="1" ht="25" customHeight="1" spans="1:249">
      <c r="A105" s="71">
        <v>2</v>
      </c>
      <c r="B105" s="71"/>
      <c r="C105" s="67" t="s">
        <v>168</v>
      </c>
      <c r="D105" s="67"/>
      <c r="E105" s="73" t="s">
        <v>16</v>
      </c>
      <c r="F105" s="78">
        <f>0.9*2.2</f>
        <v>1.98</v>
      </c>
      <c r="G105" s="78">
        <v>1250</v>
      </c>
      <c r="H105" s="78">
        <f t="shared" si="6"/>
        <v>2475</v>
      </c>
      <c r="I105" s="85" t="s">
        <v>169</v>
      </c>
      <c r="J105" s="13">
        <v>800</v>
      </c>
      <c r="K105" s="8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</row>
    <row r="106" customFormat="1" ht="25" customHeight="1" spans="1:249">
      <c r="A106" s="71">
        <v>4</v>
      </c>
      <c r="B106" s="71"/>
      <c r="C106" s="67" t="s">
        <v>170</v>
      </c>
      <c r="D106" s="67"/>
      <c r="E106" s="73" t="s">
        <v>16</v>
      </c>
      <c r="F106" s="78"/>
      <c r="G106" s="78">
        <v>1250</v>
      </c>
      <c r="H106" s="78">
        <f t="shared" si="6"/>
        <v>0</v>
      </c>
      <c r="I106" s="85" t="s">
        <v>169</v>
      </c>
      <c r="J106" s="13">
        <v>800</v>
      </c>
      <c r="K106" s="8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</row>
    <row r="107" customFormat="1" ht="25" customHeight="1" spans="1:249">
      <c r="A107" s="71">
        <v>5</v>
      </c>
      <c r="B107" s="71"/>
      <c r="C107" s="67" t="s">
        <v>171</v>
      </c>
      <c r="D107" s="67"/>
      <c r="E107" s="73" t="s">
        <v>16</v>
      </c>
      <c r="F107" s="78"/>
      <c r="G107" s="78">
        <v>1250</v>
      </c>
      <c r="H107" s="78">
        <f t="shared" si="6"/>
        <v>0</v>
      </c>
      <c r="I107" s="85" t="s">
        <v>172</v>
      </c>
      <c r="J107" s="13">
        <v>750</v>
      </c>
      <c r="K107" s="86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</row>
    <row r="108" customFormat="1" ht="25" customHeight="1" spans="1:249">
      <c r="A108" s="71">
        <v>6</v>
      </c>
      <c r="B108" s="71"/>
      <c r="C108" s="67" t="s">
        <v>173</v>
      </c>
      <c r="D108" s="67"/>
      <c r="E108" s="73" t="s">
        <v>16</v>
      </c>
      <c r="F108" s="78"/>
      <c r="G108" s="78">
        <v>1350</v>
      </c>
      <c r="H108" s="78"/>
      <c r="I108" s="85" t="s">
        <v>169</v>
      </c>
      <c r="J108" s="13">
        <v>800</v>
      </c>
      <c r="K108" s="8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</row>
    <row r="109" customFormat="1" ht="25" customHeight="1" spans="1:249">
      <c r="A109" s="71">
        <v>7</v>
      </c>
      <c r="B109" s="71"/>
      <c r="C109" s="67" t="s">
        <v>174</v>
      </c>
      <c r="D109" s="67"/>
      <c r="E109" s="73" t="s">
        <v>16</v>
      </c>
      <c r="F109" s="78">
        <f>1.34*2.45</f>
        <v>3.283</v>
      </c>
      <c r="G109" s="78">
        <v>850</v>
      </c>
      <c r="H109" s="78">
        <f t="shared" ref="H109:H113" si="7">F109*G109</f>
        <v>2790.55</v>
      </c>
      <c r="I109" s="85" t="s">
        <v>175</v>
      </c>
      <c r="J109" s="16">
        <v>500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</row>
    <row r="110" ht="25" customHeight="1" spans="1:9">
      <c r="A110" s="31" t="s">
        <v>47</v>
      </c>
      <c r="B110" s="32"/>
      <c r="C110" s="32"/>
      <c r="D110" s="32"/>
      <c r="E110" s="32"/>
      <c r="F110" s="32"/>
      <c r="G110" s="32"/>
      <c r="H110" s="43">
        <f>SUM(H104:H109)</f>
        <v>8813.05</v>
      </c>
      <c r="I110" s="55"/>
    </row>
    <row r="111" s="3" customFormat="1" ht="25" customHeight="1" spans="1:10">
      <c r="A111" s="25" t="s">
        <v>176</v>
      </c>
      <c r="B111" s="26"/>
      <c r="C111" s="26"/>
      <c r="D111" s="26"/>
      <c r="E111" s="26"/>
      <c r="F111" s="26"/>
      <c r="G111" s="26"/>
      <c r="H111" s="26"/>
      <c r="I111" s="53"/>
      <c r="J111" s="54"/>
    </row>
    <row r="112" s="4" customFormat="1" ht="40" customHeight="1" spans="1:249">
      <c r="A112" s="27">
        <v>1</v>
      </c>
      <c r="B112" s="28"/>
      <c r="C112" s="33" t="s">
        <v>177</v>
      </c>
      <c r="D112" s="33"/>
      <c r="E112" s="73" t="s">
        <v>16</v>
      </c>
      <c r="F112" s="42">
        <f>[1]半包报价模板!F27+[1]半包报价模板!F247+[1]半包报价模板!F270</f>
        <v>0</v>
      </c>
      <c r="G112" s="42">
        <v>699</v>
      </c>
      <c r="H112" s="42">
        <f t="shared" si="7"/>
        <v>0</v>
      </c>
      <c r="I112" s="80" t="s">
        <v>178</v>
      </c>
      <c r="J112" s="16">
        <v>300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</row>
    <row r="113" s="4" customFormat="1" ht="40" customHeight="1" spans="1:249">
      <c r="A113" s="27">
        <v>2</v>
      </c>
      <c r="B113" s="28"/>
      <c r="C113" s="33" t="s">
        <v>179</v>
      </c>
      <c r="D113" s="33"/>
      <c r="E113" s="73" t="s">
        <v>16</v>
      </c>
      <c r="F113" s="42"/>
      <c r="G113" s="42">
        <v>1000</v>
      </c>
      <c r="H113" s="42">
        <f t="shared" si="7"/>
        <v>0</v>
      </c>
      <c r="I113" s="80" t="s">
        <v>178</v>
      </c>
      <c r="J113" s="16">
        <v>650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</row>
    <row r="114" s="6" customFormat="1" ht="40" customHeight="1" spans="1:249">
      <c r="A114" s="34"/>
      <c r="B114" s="35"/>
      <c r="C114" s="36" t="s">
        <v>180</v>
      </c>
      <c r="D114" s="36" t="s">
        <v>181</v>
      </c>
      <c r="E114" s="35" t="s">
        <v>182</v>
      </c>
      <c r="F114" s="47"/>
      <c r="G114" s="47">
        <v>4000</v>
      </c>
      <c r="H114" s="47"/>
      <c r="I114" s="87" t="s">
        <v>183</v>
      </c>
      <c r="J114" s="16">
        <v>2500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</row>
    <row r="115" customFormat="1" ht="31" spans="1:249">
      <c r="A115" s="34"/>
      <c r="B115" s="35"/>
      <c r="C115" s="36" t="s">
        <v>180</v>
      </c>
      <c r="D115" s="36" t="s">
        <v>184</v>
      </c>
      <c r="E115" s="35" t="s">
        <v>54</v>
      </c>
      <c r="F115" s="47"/>
      <c r="G115" s="47">
        <v>1600</v>
      </c>
      <c r="H115" s="47"/>
      <c r="I115" s="87" t="s">
        <v>185</v>
      </c>
      <c r="J115" s="16" t="s">
        <v>186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</row>
    <row r="116" customFormat="1" ht="38" customHeight="1" spans="1:249">
      <c r="A116" s="34"/>
      <c r="B116" s="35"/>
      <c r="C116" s="36" t="s">
        <v>187</v>
      </c>
      <c r="D116" s="36"/>
      <c r="E116" s="35" t="s">
        <v>182</v>
      </c>
      <c r="F116" s="47"/>
      <c r="G116" s="47">
        <v>2500</v>
      </c>
      <c r="H116" s="47"/>
      <c r="I116" s="87" t="s">
        <v>188</v>
      </c>
      <c r="J116" s="1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</row>
    <row r="117" ht="25" customHeight="1" spans="1:9">
      <c r="A117" s="31" t="s">
        <v>47</v>
      </c>
      <c r="B117" s="32"/>
      <c r="C117" s="32"/>
      <c r="D117" s="32"/>
      <c r="E117" s="32"/>
      <c r="F117" s="32"/>
      <c r="G117" s="32"/>
      <c r="H117" s="43">
        <f>SUM(H112:H113)</f>
        <v>0</v>
      </c>
      <c r="I117" s="55"/>
    </row>
    <row r="118" s="3" customFormat="1" ht="25" customHeight="1" spans="1:10">
      <c r="A118" s="25" t="s">
        <v>189</v>
      </c>
      <c r="B118" s="26"/>
      <c r="C118" s="26"/>
      <c r="D118" s="26"/>
      <c r="E118" s="26"/>
      <c r="F118" s="26"/>
      <c r="G118" s="26"/>
      <c r="H118" s="26"/>
      <c r="I118" s="53"/>
      <c r="J118" s="54"/>
    </row>
    <row r="119" s="4" customFormat="1" ht="25" customHeight="1" spans="1:249">
      <c r="A119" s="27">
        <v>1</v>
      </c>
      <c r="B119" s="28"/>
      <c r="C119" s="33" t="s">
        <v>190</v>
      </c>
      <c r="D119" s="33"/>
      <c r="E119" s="41" t="s">
        <v>16</v>
      </c>
      <c r="F119" s="42">
        <v>0</v>
      </c>
      <c r="G119" s="42">
        <v>30</v>
      </c>
      <c r="H119" s="42">
        <f t="shared" ref="H119:H127" si="8">F119*G119</f>
        <v>0</v>
      </c>
      <c r="I119" s="88" t="s">
        <v>191</v>
      </c>
      <c r="J119" s="1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</row>
    <row r="120" ht="25" customHeight="1" spans="1:9">
      <c r="A120" s="31" t="s">
        <v>47</v>
      </c>
      <c r="B120" s="32"/>
      <c r="C120" s="32"/>
      <c r="D120" s="32"/>
      <c r="E120" s="32"/>
      <c r="F120" s="32"/>
      <c r="G120" s="32"/>
      <c r="H120" s="43">
        <f>SUM(H119)</f>
        <v>0</v>
      </c>
      <c r="I120" s="55"/>
    </row>
    <row r="121" s="3" customFormat="1" ht="25" customHeight="1" spans="1:10">
      <c r="A121" s="25" t="s">
        <v>192</v>
      </c>
      <c r="B121" s="26"/>
      <c r="C121" s="26"/>
      <c r="D121" s="26"/>
      <c r="E121" s="26"/>
      <c r="F121" s="26"/>
      <c r="G121" s="26"/>
      <c r="H121" s="26"/>
      <c r="I121" s="53"/>
      <c r="J121" s="54"/>
    </row>
    <row r="122" s="4" customFormat="1" ht="25" customHeight="1" spans="1:249">
      <c r="A122" s="34">
        <v>1</v>
      </c>
      <c r="B122" s="35"/>
      <c r="C122" s="36" t="s">
        <v>193</v>
      </c>
      <c r="D122" s="36"/>
      <c r="E122" s="41" t="s">
        <v>54</v>
      </c>
      <c r="F122" s="47">
        <v>1.75</v>
      </c>
      <c r="G122" s="47">
        <v>700</v>
      </c>
      <c r="H122" s="47">
        <f t="shared" si="8"/>
        <v>1225</v>
      </c>
      <c r="I122" s="81" t="s">
        <v>194</v>
      </c>
      <c r="J122" s="16">
        <v>500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</row>
    <row r="123" s="4" customFormat="1" ht="25" customHeight="1" spans="1:249">
      <c r="A123" s="34">
        <v>9</v>
      </c>
      <c r="B123" s="35"/>
      <c r="C123" s="36" t="s">
        <v>195</v>
      </c>
      <c r="D123" s="36"/>
      <c r="E123" s="41" t="s">
        <v>54</v>
      </c>
      <c r="F123" s="47"/>
      <c r="G123" s="47">
        <v>700</v>
      </c>
      <c r="H123" s="47">
        <f t="shared" si="8"/>
        <v>0</v>
      </c>
      <c r="I123" s="81" t="s">
        <v>194</v>
      </c>
      <c r="J123" s="16">
        <v>500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</row>
    <row r="124" customFormat="1" ht="25" customHeight="1" spans="1:10">
      <c r="A124" s="27">
        <v>3</v>
      </c>
      <c r="B124" s="28"/>
      <c r="C124" s="72" t="s">
        <v>196</v>
      </c>
      <c r="D124" s="72"/>
      <c r="E124" s="41" t="s">
        <v>54</v>
      </c>
      <c r="F124" s="42">
        <v>0</v>
      </c>
      <c r="G124" s="42">
        <v>30</v>
      </c>
      <c r="H124" s="42">
        <f t="shared" si="8"/>
        <v>0</v>
      </c>
      <c r="I124" s="59" t="s">
        <v>197</v>
      </c>
      <c r="J124" s="16">
        <v>20</v>
      </c>
    </row>
    <row r="125" customFormat="1" ht="25" customHeight="1" spans="1:10">
      <c r="A125" s="27">
        <v>4</v>
      </c>
      <c r="B125" s="28"/>
      <c r="C125" s="72" t="s">
        <v>198</v>
      </c>
      <c r="D125" s="72"/>
      <c r="E125" s="41" t="s">
        <v>54</v>
      </c>
      <c r="F125" s="42">
        <v>0</v>
      </c>
      <c r="G125" s="42">
        <v>30</v>
      </c>
      <c r="H125" s="42">
        <f t="shared" si="8"/>
        <v>0</v>
      </c>
      <c r="I125" s="59" t="s">
        <v>197</v>
      </c>
      <c r="J125" s="16">
        <v>20</v>
      </c>
    </row>
    <row r="126" customFormat="1" ht="25" customHeight="1" spans="1:10">
      <c r="A126" s="27">
        <v>5</v>
      </c>
      <c r="B126" s="28"/>
      <c r="C126" s="72" t="s">
        <v>199</v>
      </c>
      <c r="D126" s="72"/>
      <c r="E126" s="41" t="s">
        <v>54</v>
      </c>
      <c r="F126" s="42">
        <v>0</v>
      </c>
      <c r="G126" s="42">
        <v>60</v>
      </c>
      <c r="H126" s="42">
        <f t="shared" si="8"/>
        <v>0</v>
      </c>
      <c r="I126" s="59" t="s">
        <v>197</v>
      </c>
      <c r="J126" s="16">
        <v>30</v>
      </c>
    </row>
    <row r="127" customFormat="1" ht="25" customHeight="1" spans="1:10">
      <c r="A127" s="27">
        <v>6</v>
      </c>
      <c r="B127" s="28"/>
      <c r="C127" s="72" t="s">
        <v>200</v>
      </c>
      <c r="D127" s="72"/>
      <c r="E127" s="41" t="s">
        <v>54</v>
      </c>
      <c r="F127" s="42">
        <v>0</v>
      </c>
      <c r="G127" s="42">
        <v>40</v>
      </c>
      <c r="H127" s="42">
        <f t="shared" si="8"/>
        <v>0</v>
      </c>
      <c r="I127" s="59" t="s">
        <v>197</v>
      </c>
      <c r="J127" s="16">
        <v>20</v>
      </c>
    </row>
    <row r="128" customFormat="1" ht="25" customHeight="1" spans="1:10">
      <c r="A128" s="31"/>
      <c r="B128" s="32"/>
      <c r="C128" s="32"/>
      <c r="D128" s="32"/>
      <c r="E128" s="32"/>
      <c r="F128" s="32"/>
      <c r="G128" s="32"/>
      <c r="H128" s="43">
        <f>SUM(H122:H127)</f>
        <v>1225</v>
      </c>
      <c r="I128" s="55"/>
      <c r="J128" s="16"/>
    </row>
    <row r="129" s="3" customFormat="1" ht="25" customHeight="1" spans="1:10">
      <c r="A129" s="25" t="s">
        <v>201</v>
      </c>
      <c r="B129" s="26"/>
      <c r="C129" s="26"/>
      <c r="D129" s="26"/>
      <c r="E129" s="26"/>
      <c r="F129" s="26"/>
      <c r="G129" s="26"/>
      <c r="H129" s="26"/>
      <c r="I129" s="53"/>
      <c r="J129" s="54"/>
    </row>
    <row r="130" s="8" customFormat="1" ht="25" customHeight="1" spans="1:249">
      <c r="A130" s="89"/>
      <c r="B130" s="90" t="s">
        <v>202</v>
      </c>
      <c r="C130" s="91" t="s">
        <v>203</v>
      </c>
      <c r="D130" s="92"/>
      <c r="E130" s="97" t="s">
        <v>204</v>
      </c>
      <c r="F130" s="98"/>
      <c r="G130" s="99">
        <f>H23+H29+H45+H67+H75+H102+H110+H117+H120+H128</f>
        <v>30425.55</v>
      </c>
      <c r="H130" s="99"/>
      <c r="I130" s="103"/>
      <c r="J130" s="1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</row>
    <row r="131" s="8" customFormat="1" ht="25" customHeight="1" spans="1:249">
      <c r="A131" s="89"/>
      <c r="B131" s="90" t="s">
        <v>205</v>
      </c>
      <c r="C131" s="91" t="s">
        <v>206</v>
      </c>
      <c r="D131" s="92"/>
      <c r="E131" s="97" t="s">
        <v>204</v>
      </c>
      <c r="F131" s="98"/>
      <c r="G131" s="99">
        <f>G130*0.1</f>
        <v>3042.555</v>
      </c>
      <c r="H131" s="99"/>
      <c r="I131" s="104" t="s">
        <v>207</v>
      </c>
      <c r="J131" s="1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</row>
    <row r="132" s="8" customFormat="1" ht="25" customHeight="1" spans="1:249">
      <c r="A132" s="93"/>
      <c r="B132" s="94" t="s">
        <v>208</v>
      </c>
      <c r="C132" s="95" t="s">
        <v>209</v>
      </c>
      <c r="D132" s="96"/>
      <c r="E132" s="100" t="s">
        <v>204</v>
      </c>
      <c r="F132" s="101"/>
      <c r="G132" s="102">
        <f>SUM(G130:G131)</f>
        <v>33468.105</v>
      </c>
      <c r="H132" s="102"/>
      <c r="I132" s="105"/>
      <c r="J132" s="1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</row>
    <row r="138" customHeight="1" spans="11:11">
      <c r="K138" s="1" t="s">
        <v>210</v>
      </c>
    </row>
  </sheetData>
  <mergeCells count="136">
    <mergeCell ref="A1:I1"/>
    <mergeCell ref="A2:B2"/>
    <mergeCell ref="C2:D2"/>
    <mergeCell ref="E2:F2"/>
    <mergeCell ref="G3:H3"/>
    <mergeCell ref="A5:I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G23"/>
    <mergeCell ref="A24:I24"/>
    <mergeCell ref="A25:B25"/>
    <mergeCell ref="A26:B26"/>
    <mergeCell ref="A27:B27"/>
    <mergeCell ref="A28:B28"/>
    <mergeCell ref="A29:G29"/>
    <mergeCell ref="A30:I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G45"/>
    <mergeCell ref="A46:I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G67"/>
    <mergeCell ref="A68:I68"/>
    <mergeCell ref="A69:B69"/>
    <mergeCell ref="A70:B70"/>
    <mergeCell ref="A71:B71"/>
    <mergeCell ref="A72:B72"/>
    <mergeCell ref="A73:B73"/>
    <mergeCell ref="A74:B74"/>
    <mergeCell ref="A75:G75"/>
    <mergeCell ref="A76:I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G102"/>
    <mergeCell ref="A103:I103"/>
    <mergeCell ref="A104:B104"/>
    <mergeCell ref="A105:B105"/>
    <mergeCell ref="A106:B106"/>
    <mergeCell ref="A107:B107"/>
    <mergeCell ref="A108:B108"/>
    <mergeCell ref="A109:B109"/>
    <mergeCell ref="A110:G110"/>
    <mergeCell ref="A111:I111"/>
    <mergeCell ref="A112:B112"/>
    <mergeCell ref="A113:B113"/>
    <mergeCell ref="A114:B114"/>
    <mergeCell ref="A115:B115"/>
    <mergeCell ref="A116:B116"/>
    <mergeCell ref="A117:G117"/>
    <mergeCell ref="A118:I118"/>
    <mergeCell ref="A119:B119"/>
    <mergeCell ref="A120:G120"/>
    <mergeCell ref="A121:I121"/>
    <mergeCell ref="A122:B122"/>
    <mergeCell ref="A123:B123"/>
    <mergeCell ref="A124:B124"/>
    <mergeCell ref="A125:B125"/>
    <mergeCell ref="A126:B126"/>
    <mergeCell ref="A127:B127"/>
    <mergeCell ref="A128:G128"/>
    <mergeCell ref="A129:I129"/>
    <mergeCell ref="C3:C4"/>
    <mergeCell ref="D3:D4"/>
    <mergeCell ref="E3:E4"/>
    <mergeCell ref="F3:F4"/>
    <mergeCell ref="I3:I4"/>
    <mergeCell ref="A3:B4"/>
  </mergeCells>
  <conditionalFormatting sqref="E3">
    <cfRule type="cellIs" dxfId="0" priority="607" stopIfTrue="1" operator="equal">
      <formula>0</formula>
    </cfRule>
  </conditionalFormatting>
  <conditionalFormatting sqref="D6">
    <cfRule type="cellIs" dxfId="0" priority="528" stopIfTrue="1" operator="equal">
      <formula>0</formula>
    </cfRule>
  </conditionalFormatting>
  <conditionalFormatting sqref="E6">
    <cfRule type="cellIs" dxfId="0" priority="529" stopIfTrue="1" operator="equal">
      <formula>0</formula>
    </cfRule>
  </conditionalFormatting>
  <conditionalFormatting sqref="F6">
    <cfRule type="cellIs" dxfId="0" priority="19" stopIfTrue="1" operator="equal">
      <formula>0</formula>
    </cfRule>
  </conditionalFormatting>
  <conditionalFormatting sqref="G6">
    <cfRule type="cellIs" dxfId="0" priority="350" stopIfTrue="1" operator="equal">
      <formula>0</formula>
    </cfRule>
  </conditionalFormatting>
  <conditionalFormatting sqref="E7">
    <cfRule type="cellIs" dxfId="0" priority="85" stopIfTrue="1" operator="equal">
      <formula>0</formula>
    </cfRule>
  </conditionalFormatting>
  <conditionalFormatting sqref="G7">
    <cfRule type="cellIs" dxfId="0" priority="84" stopIfTrue="1" operator="equal">
      <formula>0</formula>
    </cfRule>
  </conditionalFormatting>
  <conditionalFormatting sqref="J7:IR7">
    <cfRule type="cellIs" dxfId="0" priority="526" stopIfTrue="1" operator="equal">
      <formula>0</formula>
    </cfRule>
  </conditionalFormatting>
  <conditionalFormatting sqref="E8">
    <cfRule type="cellIs" dxfId="0" priority="82" stopIfTrue="1" operator="equal">
      <formula>0</formula>
    </cfRule>
  </conditionalFormatting>
  <conditionalFormatting sqref="G8">
    <cfRule type="cellIs" dxfId="0" priority="81" stopIfTrue="1" operator="equal">
      <formula>0</formula>
    </cfRule>
  </conditionalFormatting>
  <conditionalFormatting sqref="J8:IR8">
    <cfRule type="cellIs" dxfId="0" priority="523" stopIfTrue="1" operator="equal">
      <formula>0</formula>
    </cfRule>
  </conditionalFormatting>
  <conditionalFormatting sqref="E9">
    <cfRule type="cellIs" dxfId="0" priority="79" stopIfTrue="1" operator="equal">
      <formula>0</formula>
    </cfRule>
  </conditionalFormatting>
  <conditionalFormatting sqref="G9">
    <cfRule type="cellIs" dxfId="0" priority="78" stopIfTrue="1" operator="equal">
      <formula>0</formula>
    </cfRule>
  </conditionalFormatting>
  <conditionalFormatting sqref="J9:IR9">
    <cfRule type="cellIs" dxfId="0" priority="349" stopIfTrue="1" operator="equal">
      <formula>0</formula>
    </cfRule>
  </conditionalFormatting>
  <conditionalFormatting sqref="E10">
    <cfRule type="cellIs" dxfId="0" priority="320" stopIfTrue="1" operator="equal">
      <formula>0</formula>
    </cfRule>
  </conditionalFormatting>
  <conditionalFormatting sqref="G10">
    <cfRule type="cellIs" dxfId="0" priority="77" stopIfTrue="1" operator="equal">
      <formula>0</formula>
    </cfRule>
  </conditionalFormatting>
  <conditionalFormatting sqref="E11">
    <cfRule type="cellIs" dxfId="0" priority="75" stopIfTrue="1" operator="equal">
      <formula>0</formula>
    </cfRule>
  </conditionalFormatting>
  <conditionalFormatting sqref="G11">
    <cfRule type="cellIs" dxfId="0" priority="74" stopIfTrue="1" operator="equal">
      <formula>0</formula>
    </cfRule>
  </conditionalFormatting>
  <conditionalFormatting sqref="H11">
    <cfRule type="cellIs" dxfId="0" priority="76" stopIfTrue="1" operator="equal">
      <formula>0</formula>
    </cfRule>
  </conditionalFormatting>
  <conditionalFormatting sqref="J11:IR11">
    <cfRule type="cellIs" dxfId="0" priority="536" stopIfTrue="1" operator="equal">
      <formula>0</formula>
    </cfRule>
  </conditionalFormatting>
  <conditionalFormatting sqref="E12">
    <cfRule type="cellIs" dxfId="0" priority="533" stopIfTrue="1" operator="equal">
      <formula>0</formula>
    </cfRule>
  </conditionalFormatting>
  <conditionalFormatting sqref="G12">
    <cfRule type="cellIs" dxfId="0" priority="505" stopIfTrue="1" operator="equal">
      <formula>0</formula>
    </cfRule>
  </conditionalFormatting>
  <conditionalFormatting sqref="J12:IR12">
    <cfRule type="cellIs" dxfId="0" priority="535" stopIfTrue="1" operator="equal">
      <formula>0</formula>
    </cfRule>
  </conditionalFormatting>
  <conditionalFormatting sqref="E13">
    <cfRule type="cellIs" dxfId="0" priority="72" stopIfTrue="1" operator="equal">
      <formula>0</formula>
    </cfRule>
  </conditionalFormatting>
  <conditionalFormatting sqref="G13">
    <cfRule type="cellIs" dxfId="0" priority="71" stopIfTrue="1" operator="equal">
      <formula>0</formula>
    </cfRule>
  </conditionalFormatting>
  <conditionalFormatting sqref="J13:IR13">
    <cfRule type="cellIs" dxfId="0" priority="532" stopIfTrue="1" operator="equal">
      <formula>0</formula>
    </cfRule>
  </conditionalFormatting>
  <conditionalFormatting sqref="E14">
    <cfRule type="cellIs" dxfId="0" priority="69" stopIfTrue="1" operator="equal">
      <formula>0</formula>
    </cfRule>
  </conditionalFormatting>
  <conditionalFormatting sqref="G14">
    <cfRule type="cellIs" dxfId="0" priority="68" stopIfTrue="1" operator="equal">
      <formula>0</formula>
    </cfRule>
  </conditionalFormatting>
  <conditionalFormatting sqref="J14:IR14">
    <cfRule type="cellIs" dxfId="0" priority="517" stopIfTrue="1" operator="equal">
      <formula>0</formula>
    </cfRule>
  </conditionalFormatting>
  <conditionalFormatting sqref="E15">
    <cfRule type="cellIs" dxfId="0" priority="66" stopIfTrue="1" operator="equal">
      <formula>0</formula>
    </cfRule>
  </conditionalFormatting>
  <conditionalFormatting sqref="G15">
    <cfRule type="cellIs" dxfId="0" priority="65" stopIfTrue="1" operator="equal">
      <formula>0</formula>
    </cfRule>
  </conditionalFormatting>
  <conditionalFormatting sqref="E16">
    <cfRule type="cellIs" dxfId="0" priority="63" stopIfTrue="1" operator="equal">
      <formula>0</formula>
    </cfRule>
  </conditionalFormatting>
  <conditionalFormatting sqref="G16">
    <cfRule type="cellIs" dxfId="0" priority="62" stopIfTrue="1" operator="equal">
      <formula>0</formula>
    </cfRule>
  </conditionalFormatting>
  <conditionalFormatting sqref="D17">
    <cfRule type="cellIs" dxfId="0" priority="11" stopIfTrue="1" operator="equal">
      <formula>0</formula>
    </cfRule>
  </conditionalFormatting>
  <conditionalFormatting sqref="E17">
    <cfRule type="cellIs" dxfId="0" priority="14" stopIfTrue="1" operator="equal">
      <formula>0</formula>
    </cfRule>
  </conditionalFormatting>
  <conditionalFormatting sqref="G17">
    <cfRule type="cellIs" dxfId="0" priority="13" stopIfTrue="1" operator="equal">
      <formula>0</formula>
    </cfRule>
  </conditionalFormatting>
  <conditionalFormatting sqref="I17">
    <cfRule type="cellIs" dxfId="0" priority="12" stopIfTrue="1" operator="equal">
      <formula>0</formula>
    </cfRule>
  </conditionalFormatting>
  <conditionalFormatting sqref="E18">
    <cfRule type="cellIs" dxfId="0" priority="40" stopIfTrue="1" operator="equal">
      <formula>0</formula>
    </cfRule>
  </conditionalFormatting>
  <conditionalFormatting sqref="G18">
    <cfRule type="cellIs" dxfId="0" priority="39" stopIfTrue="1" operator="equal">
      <formula>0</formula>
    </cfRule>
  </conditionalFormatting>
  <conditionalFormatting sqref="C19">
    <cfRule type="cellIs" dxfId="0" priority="58" stopIfTrue="1" operator="equal">
      <formula>0</formula>
    </cfRule>
  </conditionalFormatting>
  <conditionalFormatting sqref="E19">
    <cfRule type="cellIs" dxfId="0" priority="60" stopIfTrue="1" operator="equal">
      <formula>0</formula>
    </cfRule>
  </conditionalFormatting>
  <conditionalFormatting sqref="G19">
    <cfRule type="cellIs" dxfId="0" priority="59" stopIfTrue="1" operator="equal">
      <formula>0</formula>
    </cfRule>
  </conditionalFormatting>
  <conditionalFormatting sqref="I19">
    <cfRule type="cellIs" dxfId="0" priority="57" stopIfTrue="1" operator="equal">
      <formula>0</formula>
    </cfRule>
  </conditionalFormatting>
  <conditionalFormatting sqref="C20">
    <cfRule type="cellIs" dxfId="0" priority="53" stopIfTrue="1" operator="equal">
      <formula>0</formula>
    </cfRule>
  </conditionalFormatting>
  <conditionalFormatting sqref="E20">
    <cfRule type="cellIs" dxfId="0" priority="55" stopIfTrue="1" operator="equal">
      <formula>0</formula>
    </cfRule>
  </conditionalFormatting>
  <conditionalFormatting sqref="G20">
    <cfRule type="cellIs" dxfId="0" priority="54" stopIfTrue="1" operator="equal">
      <formula>0</formula>
    </cfRule>
  </conditionalFormatting>
  <conditionalFormatting sqref="I20">
    <cfRule type="cellIs" dxfId="0" priority="47" stopIfTrue="1" operator="equal">
      <formula>0</formula>
    </cfRule>
  </conditionalFormatting>
  <conditionalFormatting sqref="C21">
    <cfRule type="cellIs" dxfId="0" priority="49" stopIfTrue="1" operator="equal">
      <formula>0</formula>
    </cfRule>
  </conditionalFormatting>
  <conditionalFormatting sqref="E21">
    <cfRule type="cellIs" dxfId="0" priority="51" stopIfTrue="1" operator="equal">
      <formula>0</formula>
    </cfRule>
  </conditionalFormatting>
  <conditionalFormatting sqref="G21">
    <cfRule type="cellIs" dxfId="0" priority="50" stopIfTrue="1" operator="equal">
      <formula>0</formula>
    </cfRule>
  </conditionalFormatting>
  <conditionalFormatting sqref="I21">
    <cfRule type="cellIs" dxfId="0" priority="48" stopIfTrue="1" operator="equal">
      <formula>0</formula>
    </cfRule>
  </conditionalFormatting>
  <conditionalFormatting sqref="C22">
    <cfRule type="cellIs" dxfId="0" priority="43" stopIfTrue="1" operator="equal">
      <formula>0</formula>
    </cfRule>
  </conditionalFormatting>
  <conditionalFormatting sqref="E22">
    <cfRule type="cellIs" dxfId="0" priority="45" stopIfTrue="1" operator="equal">
      <formula>0</formula>
    </cfRule>
  </conditionalFormatting>
  <conditionalFormatting sqref="G22">
    <cfRule type="cellIs" dxfId="0" priority="44" stopIfTrue="1" operator="equal">
      <formula>0</formula>
    </cfRule>
  </conditionalFormatting>
  <conditionalFormatting sqref="I22">
    <cfRule type="cellIs" dxfId="0" priority="42" stopIfTrue="1" operator="equal">
      <formula>0</formula>
    </cfRule>
  </conditionalFormatting>
  <conditionalFormatting sqref="C25">
    <cfRule type="cellIs" dxfId="0" priority="598" stopIfTrue="1" operator="equal">
      <formula>0</formula>
    </cfRule>
  </conditionalFormatting>
  <conditionalFormatting sqref="D25">
    <cfRule type="cellIs" dxfId="0" priority="599" stopIfTrue="1" operator="equal">
      <formula>0</formula>
    </cfRule>
  </conditionalFormatting>
  <conditionalFormatting sqref="E25">
    <cfRule type="cellIs" dxfId="0" priority="601" stopIfTrue="1" operator="equal">
      <formula>0</formula>
    </cfRule>
  </conditionalFormatting>
  <conditionalFormatting sqref="G25">
    <cfRule type="cellIs" dxfId="0" priority="507" stopIfTrue="1" operator="equal">
      <formula>0</formula>
    </cfRule>
  </conditionalFormatting>
  <conditionalFormatting sqref="H25">
    <cfRule type="cellIs" dxfId="0" priority="600" stopIfTrue="1" operator="equal">
      <formula>0</formula>
    </cfRule>
  </conditionalFormatting>
  <conditionalFormatting sqref="I25">
    <cfRule type="cellIs" dxfId="0" priority="467" stopIfTrue="1" operator="equal">
      <formula>0</formula>
    </cfRule>
  </conditionalFormatting>
  <conditionalFormatting sqref="C26">
    <cfRule type="cellIs" dxfId="0" priority="313" stopIfTrue="1" operator="equal">
      <formula>0</formula>
    </cfRule>
  </conditionalFormatting>
  <conditionalFormatting sqref="D26">
    <cfRule type="cellIs" dxfId="0" priority="314" stopIfTrue="1" operator="equal">
      <formula>0</formula>
    </cfRule>
  </conditionalFormatting>
  <conditionalFormatting sqref="E26">
    <cfRule type="cellIs" dxfId="0" priority="316" stopIfTrue="1" operator="equal">
      <formula>0</formula>
    </cfRule>
  </conditionalFormatting>
  <conditionalFormatting sqref="F26">
    <cfRule type="cellIs" dxfId="0" priority="317" stopIfTrue="1" operator="equal">
      <formula>0</formula>
    </cfRule>
  </conditionalFormatting>
  <conditionalFormatting sqref="G26">
    <cfRule type="cellIs" dxfId="0" priority="312" stopIfTrue="1" operator="equal">
      <formula>0</formula>
    </cfRule>
  </conditionalFormatting>
  <conditionalFormatting sqref="H26">
    <cfRule type="cellIs" dxfId="0" priority="315" stopIfTrue="1" operator="equal">
      <formula>0</formula>
    </cfRule>
  </conditionalFormatting>
  <conditionalFormatting sqref="I26">
    <cfRule type="cellIs" dxfId="0" priority="311" stopIfTrue="1" operator="equal">
      <formula>0</formula>
    </cfRule>
  </conditionalFormatting>
  <conditionalFormatting sqref="C27">
    <cfRule type="cellIs" dxfId="0" priority="310" stopIfTrue="1" operator="equal">
      <formula>0</formula>
    </cfRule>
  </conditionalFormatting>
  <conditionalFormatting sqref="D27">
    <cfRule type="cellIs" dxfId="0" priority="465" stopIfTrue="1" operator="equal">
      <formula>0</formula>
    </cfRule>
  </conditionalFormatting>
  <conditionalFormatting sqref="E27">
    <cfRule type="cellIs" dxfId="0" priority="466" stopIfTrue="1" operator="equal">
      <formula>0</formula>
    </cfRule>
  </conditionalFormatting>
  <conditionalFormatting sqref="F27">
    <cfRule type="cellIs" dxfId="0" priority="309" stopIfTrue="1" operator="equal">
      <formula>0</formula>
    </cfRule>
  </conditionalFormatting>
  <conditionalFormatting sqref="H27">
    <cfRule type="cellIs" dxfId="0" priority="307" stopIfTrue="1" operator="equal">
      <formula>0</formula>
    </cfRule>
  </conditionalFormatting>
  <conditionalFormatting sqref="C28">
    <cfRule type="cellIs" dxfId="0" priority="303" stopIfTrue="1" operator="equal">
      <formula>0</formula>
    </cfRule>
  </conditionalFormatting>
  <conditionalFormatting sqref="D28">
    <cfRule type="cellIs" dxfId="0" priority="304" stopIfTrue="1" operator="equal">
      <formula>0</formula>
    </cfRule>
  </conditionalFormatting>
  <conditionalFormatting sqref="E28">
    <cfRule type="cellIs" dxfId="0" priority="302" stopIfTrue="1" operator="equal">
      <formula>0</formula>
    </cfRule>
  </conditionalFormatting>
  <conditionalFormatting sqref="H28">
    <cfRule type="cellIs" dxfId="0" priority="305" stopIfTrue="1" operator="equal">
      <formula>0</formula>
    </cfRule>
  </conditionalFormatting>
  <conditionalFormatting sqref="J28">
    <cfRule type="cellIs" dxfId="0" priority="463" stopIfTrue="1" operator="equal">
      <formula>0</formula>
    </cfRule>
  </conditionalFormatting>
  <conditionalFormatting sqref="K28">
    <cfRule type="cellIs" dxfId="0" priority="464" stopIfTrue="1" operator="equal">
      <formula>0</formula>
    </cfRule>
  </conditionalFormatting>
  <conditionalFormatting sqref="H29:IR29">
    <cfRule type="cellIs" dxfId="0" priority="597" stopIfTrue="1" operator="equal">
      <formula>0</formula>
    </cfRule>
  </conditionalFormatting>
  <conditionalFormatting sqref="D31">
    <cfRule type="cellIs" dxfId="0" priority="458" stopIfTrue="1" operator="equal">
      <formula>0</formula>
    </cfRule>
  </conditionalFormatting>
  <conditionalFormatting sqref="E31">
    <cfRule type="cellIs" dxfId="0" priority="460" stopIfTrue="1" operator="equal">
      <formula>0</formula>
    </cfRule>
  </conditionalFormatting>
  <conditionalFormatting sqref="F31:G31">
    <cfRule type="cellIs" dxfId="0" priority="462" stopIfTrue="1" operator="equal">
      <formula>0</formula>
    </cfRule>
  </conditionalFormatting>
  <conditionalFormatting sqref="H31">
    <cfRule type="cellIs" dxfId="0" priority="459" stopIfTrue="1" operator="equal">
      <formula>0</formula>
    </cfRule>
  </conditionalFormatting>
  <conditionalFormatting sqref="I31">
    <cfRule type="cellIs" dxfId="0" priority="461" stopIfTrue="1" operator="equal">
      <formula>0</formula>
    </cfRule>
  </conditionalFormatting>
  <conditionalFormatting sqref="J31:IR31">
    <cfRule type="cellIs" dxfId="0" priority="595" stopIfTrue="1" operator="equal">
      <formula>0</formula>
    </cfRule>
  </conditionalFormatting>
  <conditionalFormatting sqref="D32">
    <cfRule type="cellIs" dxfId="0" priority="452" stopIfTrue="1" operator="equal">
      <formula>0</formula>
    </cfRule>
  </conditionalFormatting>
  <conditionalFormatting sqref="E32">
    <cfRule type="cellIs" dxfId="0" priority="454" stopIfTrue="1" operator="equal">
      <formula>0</formula>
    </cfRule>
  </conditionalFormatting>
  <conditionalFormatting sqref="F32:G32">
    <cfRule type="cellIs" dxfId="0" priority="456" stopIfTrue="1" operator="equal">
      <formula>0</formula>
    </cfRule>
  </conditionalFormatting>
  <conditionalFormatting sqref="I32">
    <cfRule type="cellIs" dxfId="0" priority="455" stopIfTrue="1" operator="equal">
      <formula>0</formula>
    </cfRule>
  </conditionalFormatting>
  <conditionalFormatting sqref="J32:IR32">
    <cfRule type="cellIs" dxfId="0" priority="593" stopIfTrue="1" operator="equal">
      <formula>0</formula>
    </cfRule>
  </conditionalFormatting>
  <conditionalFormatting sqref="D33">
    <cfRule type="cellIs" dxfId="0" priority="590" stopIfTrue="1" operator="equal">
      <formula>0</formula>
    </cfRule>
  </conditionalFormatting>
  <conditionalFormatting sqref="E33">
    <cfRule type="cellIs" dxfId="0" priority="591" stopIfTrue="1" operator="equal">
      <formula>0</formula>
    </cfRule>
  </conditionalFormatting>
  <conditionalFormatting sqref="E36">
    <cfRule type="cellIs" dxfId="0" priority="448" stopIfTrue="1" operator="equal">
      <formula>0</formula>
    </cfRule>
  </conditionalFormatting>
  <conditionalFormatting sqref="G36">
    <cfRule type="cellIs" dxfId="0" priority="450" stopIfTrue="1" operator="equal">
      <formula>0</formula>
    </cfRule>
  </conditionalFormatting>
  <conditionalFormatting sqref="I36">
    <cfRule type="cellIs" dxfId="0" priority="449" stopIfTrue="1" operator="equal">
      <formula>0</formula>
    </cfRule>
  </conditionalFormatting>
  <conditionalFormatting sqref="E37">
    <cfRule type="cellIs" dxfId="0" priority="27" stopIfTrue="1" operator="equal">
      <formula>0</formula>
    </cfRule>
  </conditionalFormatting>
  <conditionalFormatting sqref="F37">
    <cfRule type="cellIs" dxfId="0" priority="26" stopIfTrue="1" operator="equal">
      <formula>0</formula>
    </cfRule>
  </conditionalFormatting>
  <conditionalFormatting sqref="G37">
    <cfRule type="cellIs" dxfId="0" priority="29" stopIfTrue="1" operator="equal">
      <formula>0</formula>
    </cfRule>
  </conditionalFormatting>
  <conditionalFormatting sqref="H37">
    <cfRule type="cellIs" dxfId="0" priority="30" stopIfTrue="1" operator="equal">
      <formula>0</formula>
    </cfRule>
  </conditionalFormatting>
  <conditionalFormatting sqref="I37">
    <cfRule type="cellIs" dxfId="0" priority="28" stopIfTrue="1" operator="equal">
      <formula>0</formula>
    </cfRule>
  </conditionalFormatting>
  <conditionalFormatting sqref="E38">
    <cfRule type="cellIs" dxfId="0" priority="22" stopIfTrue="1" operator="equal">
      <formula>0</formula>
    </cfRule>
  </conditionalFormatting>
  <conditionalFormatting sqref="F38">
    <cfRule type="cellIs" dxfId="0" priority="21" stopIfTrue="1" operator="equal">
      <formula>0</formula>
    </cfRule>
  </conditionalFormatting>
  <conditionalFormatting sqref="G38">
    <cfRule type="cellIs" dxfId="0" priority="24" stopIfTrue="1" operator="equal">
      <formula>0</formula>
    </cfRule>
  </conditionalFormatting>
  <conditionalFormatting sqref="H38">
    <cfRule type="cellIs" dxfId="0" priority="25" stopIfTrue="1" operator="equal">
      <formula>0</formula>
    </cfRule>
  </conditionalFormatting>
  <conditionalFormatting sqref="I38">
    <cfRule type="cellIs" dxfId="0" priority="23" stopIfTrue="1" operator="equal">
      <formula>0</formula>
    </cfRule>
  </conditionalFormatting>
  <conditionalFormatting sqref="D39">
    <cfRule type="cellIs" dxfId="0" priority="438" stopIfTrue="1" operator="equal">
      <formula>0</formula>
    </cfRule>
  </conditionalFormatting>
  <conditionalFormatting sqref="E39">
    <cfRule type="cellIs" dxfId="0" priority="439" stopIfTrue="1" operator="equal">
      <formula>0</formula>
    </cfRule>
  </conditionalFormatting>
  <conditionalFormatting sqref="G39">
    <cfRule type="cellIs" dxfId="0" priority="440" stopIfTrue="1" operator="equal">
      <formula>0</formula>
    </cfRule>
  </conditionalFormatting>
  <conditionalFormatting sqref="I39">
    <cfRule type="cellIs" dxfId="0" priority="245" stopIfTrue="1" operator="equal">
      <formula>0</formula>
    </cfRule>
  </conditionalFormatting>
  <conditionalFormatting sqref="D40">
    <cfRule type="cellIs" dxfId="0" priority="248" stopIfTrue="1" operator="equal">
      <formula>0</formula>
    </cfRule>
  </conditionalFormatting>
  <conditionalFormatting sqref="E40">
    <cfRule type="cellIs" dxfId="0" priority="249" stopIfTrue="1" operator="equal">
      <formula>0</formula>
    </cfRule>
  </conditionalFormatting>
  <conditionalFormatting sqref="G40">
    <cfRule type="cellIs" dxfId="0" priority="250" stopIfTrue="1" operator="equal">
      <formula>0</formula>
    </cfRule>
  </conditionalFormatting>
  <conditionalFormatting sqref="I40">
    <cfRule type="cellIs" dxfId="0" priority="246" stopIfTrue="1" operator="equal">
      <formula>0</formula>
    </cfRule>
  </conditionalFormatting>
  <conditionalFormatting sqref="D41">
    <cfRule type="cellIs" dxfId="0" priority="443" stopIfTrue="1" operator="equal">
      <formula>0</formula>
    </cfRule>
  </conditionalFormatting>
  <conditionalFormatting sqref="E41">
    <cfRule type="cellIs" dxfId="0" priority="444" stopIfTrue="1" operator="equal">
      <formula>0</formula>
    </cfRule>
  </conditionalFormatting>
  <conditionalFormatting sqref="G41">
    <cfRule type="cellIs" dxfId="0" priority="445" stopIfTrue="1" operator="equal">
      <formula>0</formula>
    </cfRule>
  </conditionalFormatting>
  <conditionalFormatting sqref="I41">
    <cfRule type="cellIs" dxfId="0" priority="441" stopIfTrue="1" operator="equal">
      <formula>0</formula>
    </cfRule>
  </conditionalFormatting>
  <conditionalFormatting sqref="D42">
    <cfRule type="cellIs" dxfId="0" priority="434" stopIfTrue="1" operator="equal">
      <formula>0</formula>
    </cfRule>
  </conditionalFormatting>
  <conditionalFormatting sqref="E42">
    <cfRule type="cellIs" dxfId="0" priority="435" stopIfTrue="1" operator="equal">
      <formula>0</formula>
    </cfRule>
  </conditionalFormatting>
  <conditionalFormatting sqref="D43">
    <cfRule type="cellIs" dxfId="0" priority="432" stopIfTrue="1" operator="equal">
      <formula>0</formula>
    </cfRule>
  </conditionalFormatting>
  <conditionalFormatting sqref="E43">
    <cfRule type="cellIs" dxfId="0" priority="429" stopIfTrue="1" operator="equal">
      <formula>0</formula>
    </cfRule>
  </conditionalFormatting>
  <conditionalFormatting sqref="J43">
    <cfRule type="cellIs" dxfId="0" priority="155" stopIfTrue="1" operator="equal">
      <formula>0</formula>
    </cfRule>
  </conditionalFormatting>
  <conditionalFormatting sqref="D44">
    <cfRule type="cellIs" dxfId="0" priority="240" stopIfTrue="1" operator="equal">
      <formula>0</formula>
    </cfRule>
  </conditionalFormatting>
  <conditionalFormatting sqref="E44">
    <cfRule type="cellIs" dxfId="0" priority="156" stopIfTrue="1" operator="equal">
      <formula>0</formula>
    </cfRule>
  </conditionalFormatting>
  <conditionalFormatting sqref="J44">
    <cfRule type="cellIs" dxfId="0" priority="494" stopIfTrue="1" operator="equal">
      <formula>0</formula>
    </cfRule>
  </conditionalFormatting>
  <conditionalFormatting sqref="H45:IR45">
    <cfRule type="cellIs" dxfId="0" priority="588" stopIfTrue="1" operator="equal">
      <formula>0</formula>
    </cfRule>
  </conditionalFormatting>
  <conditionalFormatting sqref="C47">
    <cfRule type="cellIs" dxfId="0" priority="419" stopIfTrue="1" operator="equal">
      <formula>0</formula>
    </cfRule>
  </conditionalFormatting>
  <conditionalFormatting sqref="D47">
    <cfRule type="cellIs" dxfId="0" priority="420" stopIfTrue="1" operator="equal">
      <formula>0</formula>
    </cfRule>
  </conditionalFormatting>
  <conditionalFormatting sqref="F47:G47">
    <cfRule type="cellIs" dxfId="0" priority="422" stopIfTrue="1" operator="equal">
      <formula>0</formula>
    </cfRule>
  </conditionalFormatting>
  <conditionalFormatting sqref="H47">
    <cfRule type="cellIs" dxfId="0" priority="421" stopIfTrue="1" operator="equal">
      <formula>0</formula>
    </cfRule>
  </conditionalFormatting>
  <conditionalFormatting sqref="I47">
    <cfRule type="cellIs" dxfId="0" priority="301" stopIfTrue="1" operator="equal">
      <formula>0</formula>
    </cfRule>
  </conditionalFormatting>
  <conditionalFormatting sqref="C48">
    <cfRule type="cellIs" dxfId="0" priority="151" stopIfTrue="1" operator="equal">
      <formula>0</formula>
    </cfRule>
  </conditionalFormatting>
  <conditionalFormatting sqref="D48">
    <cfRule type="cellIs" dxfId="0" priority="152" stopIfTrue="1" operator="equal">
      <formula>0</formula>
    </cfRule>
  </conditionalFormatting>
  <conditionalFormatting sqref="F48:G48">
    <cfRule type="cellIs" dxfId="0" priority="154" stopIfTrue="1" operator="equal">
      <formula>0</formula>
    </cfRule>
  </conditionalFormatting>
  <conditionalFormatting sqref="H48">
    <cfRule type="cellIs" dxfId="0" priority="153" stopIfTrue="1" operator="equal">
      <formula>0</formula>
    </cfRule>
  </conditionalFormatting>
  <conditionalFormatting sqref="I48">
    <cfRule type="cellIs" dxfId="0" priority="149" stopIfTrue="1" operator="equal">
      <formula>0</formula>
    </cfRule>
  </conditionalFormatting>
  <conditionalFormatting sqref="C49">
    <cfRule type="cellIs" dxfId="0" priority="142" stopIfTrue="1" operator="equal">
      <formula>0</formula>
    </cfRule>
  </conditionalFormatting>
  <conditionalFormatting sqref="D49">
    <cfRule type="cellIs" dxfId="0" priority="416" stopIfTrue="1" operator="equal">
      <formula>0</formula>
    </cfRule>
  </conditionalFormatting>
  <conditionalFormatting sqref="G49">
    <cfRule type="cellIs" dxfId="0" priority="417" stopIfTrue="1" operator="equal">
      <formula>0</formula>
    </cfRule>
  </conditionalFormatting>
  <conditionalFormatting sqref="H49">
    <cfRule type="cellIs" dxfId="0" priority="348" stopIfTrue="1" operator="equal">
      <formula>0</formula>
    </cfRule>
  </conditionalFormatting>
  <conditionalFormatting sqref="I49">
    <cfRule type="cellIs" dxfId="0" priority="300" stopIfTrue="1" operator="equal">
      <formula>0</formula>
    </cfRule>
  </conditionalFormatting>
  <conditionalFormatting sqref="C50">
    <cfRule type="cellIs" dxfId="0" priority="136" stopIfTrue="1" operator="equal">
      <formula>0</formula>
    </cfRule>
  </conditionalFormatting>
  <conditionalFormatting sqref="D50">
    <cfRule type="cellIs" dxfId="0" priority="140" stopIfTrue="1" operator="equal">
      <formula>0</formula>
    </cfRule>
  </conditionalFormatting>
  <conditionalFormatting sqref="G50">
    <cfRule type="cellIs" dxfId="0" priority="141" stopIfTrue="1" operator="equal">
      <formula>0</formula>
    </cfRule>
  </conditionalFormatting>
  <conditionalFormatting sqref="H50">
    <cfRule type="cellIs" dxfId="0" priority="138" stopIfTrue="1" operator="equal">
      <formula>0</formula>
    </cfRule>
  </conditionalFormatting>
  <conditionalFormatting sqref="I50">
    <cfRule type="cellIs" dxfId="0" priority="137" stopIfTrue="1" operator="equal">
      <formula>0</formula>
    </cfRule>
  </conditionalFormatting>
  <conditionalFormatting sqref="C51">
    <cfRule type="cellIs" dxfId="0" priority="125" stopIfTrue="1" operator="equal">
      <formula>0</formula>
    </cfRule>
  </conditionalFormatting>
  <conditionalFormatting sqref="D51">
    <cfRule type="cellIs" dxfId="0" priority="129" stopIfTrue="1" operator="equal">
      <formula>0</formula>
    </cfRule>
  </conditionalFormatting>
  <conditionalFormatting sqref="G51">
    <cfRule type="cellIs" dxfId="0" priority="130" stopIfTrue="1" operator="equal">
      <formula>0</formula>
    </cfRule>
  </conditionalFormatting>
  <conditionalFormatting sqref="H51">
    <cfRule type="cellIs" dxfId="0" priority="127" stopIfTrue="1" operator="equal">
      <formula>0</formula>
    </cfRule>
  </conditionalFormatting>
  <conditionalFormatting sqref="I51">
    <cfRule type="cellIs" dxfId="0" priority="126" stopIfTrue="1" operator="equal">
      <formula>0</formula>
    </cfRule>
  </conditionalFormatting>
  <conditionalFormatting sqref="C52">
    <cfRule type="cellIs" dxfId="0" priority="124" stopIfTrue="1" operator="equal">
      <formula>0</formula>
    </cfRule>
  </conditionalFormatting>
  <conditionalFormatting sqref="D52">
    <cfRule type="cellIs" dxfId="0" priority="134" stopIfTrue="1" operator="equal">
      <formula>0</formula>
    </cfRule>
  </conditionalFormatting>
  <conditionalFormatting sqref="G52">
    <cfRule type="cellIs" dxfId="0" priority="135" stopIfTrue="1" operator="equal">
      <formula>0</formula>
    </cfRule>
  </conditionalFormatting>
  <conditionalFormatting sqref="H52">
    <cfRule type="cellIs" dxfId="0" priority="132" stopIfTrue="1" operator="equal">
      <formula>0</formula>
    </cfRule>
  </conditionalFormatting>
  <conditionalFormatting sqref="I52">
    <cfRule type="cellIs" dxfId="0" priority="131" stopIfTrue="1" operator="equal">
      <formula>0</formula>
    </cfRule>
  </conditionalFormatting>
  <conditionalFormatting sqref="C53">
    <cfRule type="cellIs" dxfId="0" priority="146" stopIfTrue="1" operator="equal">
      <formula>0</formula>
    </cfRule>
  </conditionalFormatting>
  <conditionalFormatting sqref="D53">
    <cfRule type="cellIs" dxfId="0" priority="147" stopIfTrue="1" operator="equal">
      <formula>0</formula>
    </cfRule>
  </conditionalFormatting>
  <conditionalFormatting sqref="G53">
    <cfRule type="cellIs" dxfId="0" priority="148" stopIfTrue="1" operator="equal">
      <formula>0</formula>
    </cfRule>
  </conditionalFormatting>
  <conditionalFormatting sqref="H53">
    <cfRule type="cellIs" dxfId="0" priority="144" stopIfTrue="1" operator="equal">
      <formula>0</formula>
    </cfRule>
  </conditionalFormatting>
  <conditionalFormatting sqref="I53">
    <cfRule type="cellIs" dxfId="0" priority="143" stopIfTrue="1" operator="equal">
      <formula>0</formula>
    </cfRule>
  </conditionalFormatting>
  <conditionalFormatting sqref="C54">
    <cfRule type="cellIs" dxfId="0" priority="121" stopIfTrue="1" operator="equal">
      <formula>0</formula>
    </cfRule>
  </conditionalFormatting>
  <conditionalFormatting sqref="D54">
    <cfRule type="cellIs" dxfId="0" priority="122" stopIfTrue="1" operator="equal">
      <formula>0</formula>
    </cfRule>
  </conditionalFormatting>
  <conditionalFormatting sqref="G54">
    <cfRule type="cellIs" dxfId="0" priority="123" stopIfTrue="1" operator="equal">
      <formula>0</formula>
    </cfRule>
  </conditionalFormatting>
  <conditionalFormatting sqref="H54">
    <cfRule type="cellIs" dxfId="0" priority="119" stopIfTrue="1" operator="equal">
      <formula>0</formula>
    </cfRule>
  </conditionalFormatting>
  <conditionalFormatting sqref="I54">
    <cfRule type="cellIs" dxfId="0" priority="118" stopIfTrue="1" operator="equal">
      <formula>0</formula>
    </cfRule>
  </conditionalFormatting>
  <conditionalFormatting sqref="C55">
    <cfRule type="cellIs" dxfId="0" priority="423" stopIfTrue="1" operator="equal">
      <formula>0</formula>
    </cfRule>
  </conditionalFormatting>
  <conditionalFormatting sqref="D55">
    <cfRule type="cellIs" dxfId="0" priority="424" stopIfTrue="1" operator="equal">
      <formula>0</formula>
    </cfRule>
  </conditionalFormatting>
  <conditionalFormatting sqref="E55">
    <cfRule type="cellIs" dxfId="0" priority="426" stopIfTrue="1" operator="equal">
      <formula>0</formula>
    </cfRule>
  </conditionalFormatting>
  <conditionalFormatting sqref="H55">
    <cfRule type="cellIs" dxfId="0" priority="425" stopIfTrue="1" operator="equal">
      <formula>0</formula>
    </cfRule>
  </conditionalFormatting>
  <conditionalFormatting sqref="J55:IR55">
    <cfRule type="cellIs" dxfId="0" priority="516" stopIfTrue="1" operator="equal">
      <formula>0</formula>
    </cfRule>
  </conditionalFormatting>
  <conditionalFormatting sqref="C56">
    <cfRule type="cellIs" dxfId="0" priority="296" stopIfTrue="1" operator="equal">
      <formula>0</formula>
    </cfRule>
  </conditionalFormatting>
  <conditionalFormatting sqref="D56">
    <cfRule type="cellIs" dxfId="0" priority="297" stopIfTrue="1" operator="equal">
      <formula>0</formula>
    </cfRule>
  </conditionalFormatting>
  <conditionalFormatting sqref="H56">
    <cfRule type="cellIs" dxfId="0" priority="298" stopIfTrue="1" operator="equal">
      <formula>0</formula>
    </cfRule>
  </conditionalFormatting>
  <conditionalFormatting sqref="C57">
    <cfRule type="cellIs" dxfId="0" priority="292" stopIfTrue="1" operator="equal">
      <formula>0</formula>
    </cfRule>
  </conditionalFormatting>
  <conditionalFormatting sqref="D57">
    <cfRule type="cellIs" dxfId="0" priority="293" stopIfTrue="1" operator="equal">
      <formula>0</formula>
    </cfRule>
  </conditionalFormatting>
  <conditionalFormatting sqref="H57">
    <cfRule type="cellIs" dxfId="0" priority="294" stopIfTrue="1" operator="equal">
      <formula>0</formula>
    </cfRule>
  </conditionalFormatting>
  <conditionalFormatting sqref="C58">
    <cfRule type="cellIs" dxfId="0" priority="288" stopIfTrue="1" operator="equal">
      <formula>0</formula>
    </cfRule>
  </conditionalFormatting>
  <conditionalFormatting sqref="D58">
    <cfRule type="cellIs" dxfId="0" priority="289" stopIfTrue="1" operator="equal">
      <formula>0</formula>
    </cfRule>
  </conditionalFormatting>
  <conditionalFormatting sqref="H58">
    <cfRule type="cellIs" dxfId="0" priority="290" stopIfTrue="1" operator="equal">
      <formula>0</formula>
    </cfRule>
  </conditionalFormatting>
  <conditionalFormatting sqref="C59">
    <cfRule type="cellIs" dxfId="0" priority="31" stopIfTrue="1" operator="equal">
      <formula>0</formula>
    </cfRule>
  </conditionalFormatting>
  <conditionalFormatting sqref="H59">
    <cfRule type="cellIs" dxfId="0" priority="116" stopIfTrue="1" operator="equal">
      <formula>0</formula>
    </cfRule>
  </conditionalFormatting>
  <conditionalFormatting sqref="H60">
    <cfRule type="cellIs" dxfId="0" priority="111" stopIfTrue="1" operator="equal">
      <formula>0</formula>
    </cfRule>
  </conditionalFormatting>
  <conditionalFormatting sqref="C61">
    <cfRule type="cellIs" dxfId="0" priority="106" stopIfTrue="1" operator="equal">
      <formula>0</formula>
    </cfRule>
  </conditionalFormatting>
  <conditionalFormatting sqref="D61">
    <cfRule type="cellIs" dxfId="0" priority="107" stopIfTrue="1" operator="equal">
      <formula>0</formula>
    </cfRule>
  </conditionalFormatting>
  <conditionalFormatting sqref="G61">
    <cfRule type="cellIs" dxfId="0" priority="109" stopIfTrue="1" operator="equal">
      <formula>0</formula>
    </cfRule>
  </conditionalFormatting>
  <conditionalFormatting sqref="H61">
    <cfRule type="cellIs" dxfId="0" priority="108" stopIfTrue="1" operator="equal">
      <formula>0</formula>
    </cfRule>
  </conditionalFormatting>
  <conditionalFormatting sqref="I61">
    <cfRule type="cellIs" dxfId="0" priority="8" stopIfTrue="1" operator="equal">
      <formula>0</formula>
    </cfRule>
  </conditionalFormatting>
  <conditionalFormatting sqref="C62">
    <cfRule type="cellIs" dxfId="0" priority="100" stopIfTrue="1" operator="equal">
      <formula>0</formula>
    </cfRule>
  </conditionalFormatting>
  <conditionalFormatting sqref="D62">
    <cfRule type="cellIs" dxfId="0" priority="101" stopIfTrue="1" operator="equal">
      <formula>0</formula>
    </cfRule>
  </conditionalFormatting>
  <conditionalFormatting sqref="E62">
    <cfRule type="cellIs" dxfId="0" priority="97" stopIfTrue="1" operator="equal">
      <formula>0</formula>
    </cfRule>
  </conditionalFormatting>
  <conditionalFormatting sqref="H62">
    <cfRule type="cellIs" dxfId="0" priority="98" stopIfTrue="1" operator="equal">
      <formula>0</formula>
    </cfRule>
  </conditionalFormatting>
  <conditionalFormatting sqref="C63">
    <cfRule type="cellIs" dxfId="0" priority="95" stopIfTrue="1" operator="equal">
      <formula>0</formula>
    </cfRule>
  </conditionalFormatting>
  <conditionalFormatting sqref="D63">
    <cfRule type="cellIs" dxfId="0" priority="96" stopIfTrue="1" operator="equal">
      <formula>0</formula>
    </cfRule>
  </conditionalFormatting>
  <conditionalFormatting sqref="E63">
    <cfRule type="cellIs" dxfId="0" priority="92" stopIfTrue="1" operator="equal">
      <formula>0</formula>
    </cfRule>
  </conditionalFormatting>
  <conditionalFormatting sqref="H63">
    <cfRule type="cellIs" dxfId="0" priority="93" stopIfTrue="1" operator="equal">
      <formula>0</formula>
    </cfRule>
  </conditionalFormatting>
  <conditionalFormatting sqref="C64">
    <cfRule type="cellIs" dxfId="0" priority="90" stopIfTrue="1" operator="equal">
      <formula>0</formula>
    </cfRule>
  </conditionalFormatting>
  <conditionalFormatting sqref="D64">
    <cfRule type="cellIs" dxfId="0" priority="91" stopIfTrue="1" operator="equal">
      <formula>0</formula>
    </cfRule>
  </conditionalFormatting>
  <conditionalFormatting sqref="E64">
    <cfRule type="cellIs" dxfId="0" priority="87" stopIfTrue="1" operator="equal">
      <formula>0</formula>
    </cfRule>
  </conditionalFormatting>
  <conditionalFormatting sqref="H64">
    <cfRule type="cellIs" dxfId="0" priority="88" stopIfTrue="1" operator="equal">
      <formula>0</formula>
    </cfRule>
  </conditionalFormatting>
  <conditionalFormatting sqref="G65">
    <cfRule type="cellIs" dxfId="0" priority="104" stopIfTrue="1" operator="equal">
      <formula>0</formula>
    </cfRule>
  </conditionalFormatting>
  <conditionalFormatting sqref="H65">
    <cfRule type="cellIs" dxfId="0" priority="103" stopIfTrue="1" operator="equal">
      <formula>0</formula>
    </cfRule>
  </conditionalFormatting>
  <conditionalFormatting sqref="C66">
    <cfRule type="cellIs" dxfId="0" priority="252" stopIfTrue="1" operator="equal">
      <formula>0</formula>
    </cfRule>
  </conditionalFormatting>
  <conditionalFormatting sqref="D66">
    <cfRule type="cellIs" dxfId="0" priority="253" stopIfTrue="1" operator="equal">
      <formula>0</formula>
    </cfRule>
  </conditionalFormatting>
  <conditionalFormatting sqref="H66">
    <cfRule type="cellIs" dxfId="0" priority="254" stopIfTrue="1" operator="equal">
      <formula>0</formula>
    </cfRule>
  </conditionalFormatting>
  <conditionalFormatting sqref="H67:IR67">
    <cfRule type="cellIs" dxfId="0" priority="585" stopIfTrue="1" operator="equal">
      <formula>0</formula>
    </cfRule>
  </conditionalFormatting>
  <conditionalFormatting sqref="C69">
    <cfRule type="cellIs" dxfId="0" priority="578" stopIfTrue="1" operator="equal">
      <formula>0</formula>
    </cfRule>
  </conditionalFormatting>
  <conditionalFormatting sqref="D69">
    <cfRule type="cellIs" dxfId="0" priority="579" stopIfTrue="1" operator="equal">
      <formula>0</formula>
    </cfRule>
  </conditionalFormatting>
  <conditionalFormatting sqref="E69">
    <cfRule type="cellIs" dxfId="0" priority="581" stopIfTrue="1" operator="equal">
      <formula>0</formula>
    </cfRule>
  </conditionalFormatting>
  <conditionalFormatting sqref="H69">
    <cfRule type="cellIs" dxfId="0" priority="580" stopIfTrue="1" operator="equal">
      <formula>0</formula>
    </cfRule>
  </conditionalFormatting>
  <conditionalFormatting sqref="I69">
    <cfRule type="cellIs" dxfId="0" priority="354" stopIfTrue="1" operator="equal">
      <formula>0</formula>
    </cfRule>
  </conditionalFormatting>
  <conditionalFormatting sqref="C70">
    <cfRule type="cellIs" dxfId="0" priority="497" stopIfTrue="1" operator="equal">
      <formula>0</formula>
    </cfRule>
  </conditionalFormatting>
  <conditionalFormatting sqref="D70">
    <cfRule type="cellIs" dxfId="0" priority="496" stopIfTrue="1" operator="equal">
      <formula>0</formula>
    </cfRule>
  </conditionalFormatting>
  <conditionalFormatting sqref="E70">
    <cfRule type="cellIs" dxfId="0" priority="495" stopIfTrue="1" operator="equal">
      <formula>0</formula>
    </cfRule>
  </conditionalFormatting>
  <conditionalFormatting sqref="H70">
    <cfRule type="cellIs" dxfId="0" priority="498" stopIfTrue="1" operator="equal">
      <formula>0</formula>
    </cfRule>
  </conditionalFormatting>
  <conditionalFormatting sqref="I70">
    <cfRule type="cellIs" dxfId="0" priority="499" stopIfTrue="1" operator="equal">
      <formula>0</formula>
    </cfRule>
  </conditionalFormatting>
  <conditionalFormatting sqref="C71">
    <cfRule type="cellIs" dxfId="0" priority="502" stopIfTrue="1" operator="equal">
      <formula>0</formula>
    </cfRule>
  </conditionalFormatting>
  <conditionalFormatting sqref="D71">
    <cfRule type="cellIs" dxfId="0" priority="501" stopIfTrue="1" operator="equal">
      <formula>0</formula>
    </cfRule>
  </conditionalFormatting>
  <conditionalFormatting sqref="H71">
    <cfRule type="cellIs" dxfId="0" priority="503" stopIfTrue="1" operator="equal">
      <formula>0</formula>
    </cfRule>
  </conditionalFormatting>
  <conditionalFormatting sqref="I71">
    <cfRule type="cellIs" dxfId="0" priority="244" stopIfTrue="1" operator="equal">
      <formula>0</formula>
    </cfRule>
  </conditionalFormatting>
  <conditionalFormatting sqref="C72">
    <cfRule type="cellIs" dxfId="0" priority="575" stopIfTrue="1" operator="equal">
      <formula>0</formula>
    </cfRule>
  </conditionalFormatting>
  <conditionalFormatting sqref="D72">
    <cfRule type="cellIs" dxfId="0" priority="574" stopIfTrue="1" operator="equal">
      <formula>0</formula>
    </cfRule>
  </conditionalFormatting>
  <conditionalFormatting sqref="H72">
    <cfRule type="cellIs" dxfId="0" priority="576" stopIfTrue="1" operator="equal">
      <formula>0</formula>
    </cfRule>
  </conditionalFormatting>
  <conditionalFormatting sqref="I72">
    <cfRule type="cellIs" dxfId="0" priority="243" stopIfTrue="1" operator="equal">
      <formula>0</formula>
    </cfRule>
  </conditionalFormatting>
  <conditionalFormatting sqref="C73">
    <cfRule type="cellIs" dxfId="0" priority="509" stopIfTrue="1" operator="equal">
      <formula>0</formula>
    </cfRule>
  </conditionalFormatting>
  <conditionalFormatting sqref="D73">
    <cfRule type="cellIs" dxfId="0" priority="508" stopIfTrue="1" operator="equal">
      <formula>0</formula>
    </cfRule>
  </conditionalFormatting>
  <conditionalFormatting sqref="E73:G73">
    <cfRule type="cellIs" dxfId="0" priority="512" stopIfTrue="1" operator="equal">
      <formula>0</formula>
    </cfRule>
  </conditionalFormatting>
  <conditionalFormatting sqref="H73">
    <cfRule type="cellIs" dxfId="0" priority="510" stopIfTrue="1" operator="equal">
      <formula>0</formula>
    </cfRule>
  </conditionalFormatting>
  <conditionalFormatting sqref="I73">
    <cfRule type="cellIs" dxfId="0" priority="511" stopIfTrue="1" operator="equal">
      <formula>0</formula>
    </cfRule>
  </conditionalFormatting>
  <conditionalFormatting sqref="C74">
    <cfRule type="cellIs" dxfId="0" priority="9" stopIfTrue="1" operator="equal">
      <formula>0</formula>
    </cfRule>
  </conditionalFormatting>
  <conditionalFormatting sqref="D74">
    <cfRule type="cellIs" dxfId="0" priority="162" stopIfTrue="1" operator="equal">
      <formula>0</formula>
    </cfRule>
  </conditionalFormatting>
  <conditionalFormatting sqref="E74:G74">
    <cfRule type="cellIs" dxfId="0" priority="165" stopIfTrue="1" operator="equal">
      <formula>0</formula>
    </cfRule>
  </conditionalFormatting>
  <conditionalFormatting sqref="H74">
    <cfRule type="cellIs" dxfId="0" priority="163" stopIfTrue="1" operator="equal">
      <formula>0</formula>
    </cfRule>
  </conditionalFormatting>
  <conditionalFormatting sqref="I74">
    <cfRule type="cellIs" dxfId="0" priority="164" stopIfTrue="1" operator="equal">
      <formula>0</formula>
    </cfRule>
  </conditionalFormatting>
  <conditionalFormatting sqref="H75:IR75">
    <cfRule type="cellIs" dxfId="0" priority="573" stopIfTrue="1" operator="equal">
      <formula>0</formula>
    </cfRule>
  </conditionalFormatting>
  <conditionalFormatting sqref="C77">
    <cfRule type="cellIs" dxfId="0" priority="410" stopIfTrue="1" operator="equal">
      <formula>0</formula>
    </cfRule>
  </conditionalFormatting>
  <conditionalFormatting sqref="H77">
    <cfRule type="cellIs" dxfId="0" priority="409" stopIfTrue="1" operator="equal">
      <formula>0</formula>
    </cfRule>
  </conditionalFormatting>
  <conditionalFormatting sqref="C78">
    <cfRule type="cellIs" dxfId="0" priority="407" stopIfTrue="1" operator="equal">
      <formula>0</formula>
    </cfRule>
  </conditionalFormatting>
  <conditionalFormatting sqref="H78">
    <cfRule type="cellIs" dxfId="0" priority="406" stopIfTrue="1" operator="equal">
      <formula>0</formula>
    </cfRule>
  </conditionalFormatting>
  <conditionalFormatting sqref="C79">
    <cfRule type="cellIs" dxfId="0" priority="404" stopIfTrue="1" operator="equal">
      <formula>0</formula>
    </cfRule>
  </conditionalFormatting>
  <conditionalFormatting sqref="H79">
    <cfRule type="cellIs" dxfId="0" priority="403" stopIfTrue="1" operator="equal">
      <formula>0</formula>
    </cfRule>
  </conditionalFormatting>
  <conditionalFormatting sqref="C80">
    <cfRule type="cellIs" dxfId="0" priority="398" stopIfTrue="1" operator="equal">
      <formula>0</formula>
    </cfRule>
  </conditionalFormatting>
  <conditionalFormatting sqref="D80">
    <cfRule type="cellIs" dxfId="0" priority="399" stopIfTrue="1" operator="equal">
      <formula>0</formula>
    </cfRule>
  </conditionalFormatting>
  <conditionalFormatting sqref="E80">
    <cfRule type="cellIs" dxfId="0" priority="397" stopIfTrue="1" operator="equal">
      <formula>0</formula>
    </cfRule>
  </conditionalFormatting>
  <conditionalFormatting sqref="F80:G80">
    <cfRule type="cellIs" dxfId="0" priority="401" stopIfTrue="1" operator="equal">
      <formula>0</formula>
    </cfRule>
  </conditionalFormatting>
  <conditionalFormatting sqref="H80">
    <cfRule type="cellIs" dxfId="0" priority="400" stopIfTrue="1" operator="equal">
      <formula>0</formula>
    </cfRule>
  </conditionalFormatting>
  <conditionalFormatting sqref="C81">
    <cfRule type="cellIs" dxfId="0" priority="392" stopIfTrue="1" operator="equal">
      <formula>0</formula>
    </cfRule>
  </conditionalFormatting>
  <conditionalFormatting sqref="D81">
    <cfRule type="cellIs" dxfId="0" priority="393" stopIfTrue="1" operator="equal">
      <formula>0</formula>
    </cfRule>
  </conditionalFormatting>
  <conditionalFormatting sqref="E81">
    <cfRule type="cellIs" dxfId="0" priority="391" stopIfTrue="1" operator="equal">
      <formula>0</formula>
    </cfRule>
  </conditionalFormatting>
  <conditionalFormatting sqref="F81:G81">
    <cfRule type="cellIs" dxfId="0" priority="395" stopIfTrue="1" operator="equal">
      <formula>0</formula>
    </cfRule>
  </conditionalFormatting>
  <conditionalFormatting sqref="H81">
    <cfRule type="cellIs" dxfId="0" priority="394" stopIfTrue="1" operator="equal">
      <formula>0</formula>
    </cfRule>
  </conditionalFormatting>
  <conditionalFormatting sqref="C82">
    <cfRule type="cellIs" dxfId="0" priority="179" stopIfTrue="1" operator="equal">
      <formula>0</formula>
    </cfRule>
  </conditionalFormatting>
  <conditionalFormatting sqref="D82">
    <cfRule type="cellIs" dxfId="0" priority="181" stopIfTrue="1" operator="equal">
      <formula>0</formula>
    </cfRule>
  </conditionalFormatting>
  <conditionalFormatting sqref="E82">
    <cfRule type="cellIs" dxfId="0" priority="180" stopIfTrue="1" operator="equal">
      <formula>0</formula>
    </cfRule>
  </conditionalFormatting>
  <conditionalFormatting sqref="F82:G82">
    <cfRule type="cellIs" dxfId="0" priority="183" stopIfTrue="1" operator="equal">
      <formula>0</formula>
    </cfRule>
  </conditionalFormatting>
  <conditionalFormatting sqref="H82">
    <cfRule type="cellIs" dxfId="0" priority="182" stopIfTrue="1" operator="equal">
      <formula>0</formula>
    </cfRule>
  </conditionalFormatting>
  <conditionalFormatting sqref="I82">
    <cfRule type="cellIs" dxfId="0" priority="178" stopIfTrue="1" operator="equal">
      <formula>0</formula>
    </cfRule>
  </conditionalFormatting>
  <conditionalFormatting sqref="C83">
    <cfRule type="cellIs" dxfId="0" priority="322" stopIfTrue="1" operator="equal">
      <formula>0</formula>
    </cfRule>
  </conditionalFormatting>
  <conditionalFormatting sqref="D83">
    <cfRule type="cellIs" dxfId="0" priority="324" stopIfTrue="1" operator="equal">
      <formula>0</formula>
    </cfRule>
  </conditionalFormatting>
  <conditionalFormatting sqref="H83">
    <cfRule type="cellIs" dxfId="0" priority="325" stopIfTrue="1" operator="equal">
      <formula>0</formula>
    </cfRule>
  </conditionalFormatting>
  <conditionalFormatting sqref="J83:IR83">
    <cfRule type="cellIs" dxfId="0" priority="327" stopIfTrue="1" operator="equal">
      <formula>0</formula>
    </cfRule>
  </conditionalFormatting>
  <conditionalFormatting sqref="C84">
    <cfRule type="cellIs" dxfId="0" priority="385" stopIfTrue="1" operator="equal">
      <formula>0</formula>
    </cfRule>
  </conditionalFormatting>
  <conditionalFormatting sqref="D84">
    <cfRule type="cellIs" dxfId="0" priority="387" stopIfTrue="1" operator="equal">
      <formula>0</formula>
    </cfRule>
  </conditionalFormatting>
  <conditionalFormatting sqref="H84">
    <cfRule type="cellIs" dxfId="0" priority="388" stopIfTrue="1" operator="equal">
      <formula>0</formula>
    </cfRule>
  </conditionalFormatting>
  <conditionalFormatting sqref="C85">
    <cfRule type="cellIs" dxfId="0" priority="206" stopIfTrue="1" operator="equal">
      <formula>0</formula>
    </cfRule>
  </conditionalFormatting>
  <conditionalFormatting sqref="F85:G85">
    <cfRule type="cellIs" dxfId="0" priority="384" stopIfTrue="1" operator="equal">
      <formula>0</formula>
    </cfRule>
  </conditionalFormatting>
  <conditionalFormatting sqref="H85">
    <cfRule type="cellIs" dxfId="0" priority="383" stopIfTrue="1" operator="equal">
      <formula>0</formula>
    </cfRule>
  </conditionalFormatting>
  <conditionalFormatting sqref="I85">
    <cfRule type="cellIs" dxfId="0" priority="380" stopIfTrue="1" operator="equal">
      <formula>0</formula>
    </cfRule>
  </conditionalFormatting>
  <conditionalFormatting sqref="C86">
    <cfRule type="cellIs" dxfId="0" priority="205" stopIfTrue="1" operator="equal">
      <formula>0</formula>
    </cfRule>
  </conditionalFormatting>
  <conditionalFormatting sqref="F86:G86">
    <cfRule type="cellIs" dxfId="0" priority="204" stopIfTrue="1" operator="equal">
      <formula>0</formula>
    </cfRule>
  </conditionalFormatting>
  <conditionalFormatting sqref="H86">
    <cfRule type="cellIs" dxfId="0" priority="203" stopIfTrue="1" operator="equal">
      <formula>0</formula>
    </cfRule>
  </conditionalFormatting>
  <conditionalFormatting sqref="I86">
    <cfRule type="cellIs" dxfId="0" priority="201" stopIfTrue="1" operator="equal">
      <formula>0</formula>
    </cfRule>
  </conditionalFormatting>
  <conditionalFormatting sqref="C87">
    <cfRule type="cellIs" dxfId="0" priority="411" stopIfTrue="1" operator="equal">
      <formula>0</formula>
    </cfRule>
  </conditionalFormatting>
  <conditionalFormatting sqref="D87">
    <cfRule type="cellIs" dxfId="0" priority="412" stopIfTrue="1" operator="equal">
      <formula>0</formula>
    </cfRule>
  </conditionalFormatting>
  <conditionalFormatting sqref="H87">
    <cfRule type="cellIs" dxfId="0" priority="413" stopIfTrue="1" operator="equal">
      <formula>0</formula>
    </cfRule>
  </conditionalFormatting>
  <conditionalFormatting sqref="C88">
    <cfRule type="cellIs" dxfId="0" priority="188" stopIfTrue="1" operator="equal">
      <formula>0</formula>
    </cfRule>
  </conditionalFormatting>
  <conditionalFormatting sqref="D88">
    <cfRule type="cellIs" dxfId="0" priority="189" stopIfTrue="1" operator="equal">
      <formula>0</formula>
    </cfRule>
  </conditionalFormatting>
  <conditionalFormatting sqref="H88">
    <cfRule type="cellIs" dxfId="0" priority="190" stopIfTrue="1" operator="equal">
      <formula>0</formula>
    </cfRule>
  </conditionalFormatting>
  <conditionalFormatting sqref="C89">
    <cfRule type="cellIs" dxfId="0" priority="184" stopIfTrue="1" operator="equal">
      <formula>0</formula>
    </cfRule>
  </conditionalFormatting>
  <conditionalFormatting sqref="D89">
    <cfRule type="cellIs" dxfId="0" priority="185" stopIfTrue="1" operator="equal">
      <formula>0</formula>
    </cfRule>
  </conditionalFormatting>
  <conditionalFormatting sqref="H89">
    <cfRule type="cellIs" dxfId="0" priority="186" stopIfTrue="1" operator="equal">
      <formula>0</formula>
    </cfRule>
  </conditionalFormatting>
  <conditionalFormatting sqref="C90">
    <cfRule type="cellIs" dxfId="0" priority="197" stopIfTrue="1" operator="equal">
      <formula>0</formula>
    </cfRule>
  </conditionalFormatting>
  <conditionalFormatting sqref="D90">
    <cfRule type="cellIs" dxfId="0" priority="198" stopIfTrue="1" operator="equal">
      <formula>0</formula>
    </cfRule>
  </conditionalFormatting>
  <conditionalFormatting sqref="H90">
    <cfRule type="cellIs" dxfId="0" priority="199" stopIfTrue="1" operator="equal">
      <formula>0</formula>
    </cfRule>
  </conditionalFormatting>
  <conditionalFormatting sqref="C91">
    <cfRule type="cellIs" dxfId="0" priority="192" stopIfTrue="1" operator="equal">
      <formula>0</formula>
    </cfRule>
  </conditionalFormatting>
  <conditionalFormatting sqref="D91">
    <cfRule type="cellIs" dxfId="0" priority="193" stopIfTrue="1" operator="equal">
      <formula>0</formula>
    </cfRule>
  </conditionalFormatting>
  <conditionalFormatting sqref="H91">
    <cfRule type="cellIs" dxfId="0" priority="194" stopIfTrue="1" operator="equal">
      <formula>0</formula>
    </cfRule>
  </conditionalFormatting>
  <conditionalFormatting sqref="J91">
    <cfRule type="cellIs" dxfId="0" priority="196" stopIfTrue="1" operator="equal">
      <formula>0</formula>
    </cfRule>
  </conditionalFormatting>
  <conditionalFormatting sqref="C92">
    <cfRule type="cellIs" dxfId="0" priority="344" stopIfTrue="1" operator="equal">
      <formula>0</formula>
    </cfRule>
  </conditionalFormatting>
  <conditionalFormatting sqref="D92">
    <cfRule type="cellIs" dxfId="0" priority="345" stopIfTrue="1" operator="equal">
      <formula>0</formula>
    </cfRule>
  </conditionalFormatting>
  <conditionalFormatting sqref="H92">
    <cfRule type="cellIs" dxfId="0" priority="346" stopIfTrue="1" operator="equal">
      <formula>0</formula>
    </cfRule>
  </conditionalFormatting>
  <conditionalFormatting sqref="C93">
    <cfRule type="cellIs" dxfId="0" priority="376" stopIfTrue="1" operator="equal">
      <formula>0</formula>
    </cfRule>
  </conditionalFormatting>
  <conditionalFormatting sqref="D93">
    <cfRule type="cellIs" dxfId="0" priority="377" stopIfTrue="1" operator="equal">
      <formula>0</formula>
    </cfRule>
  </conditionalFormatting>
  <conditionalFormatting sqref="E93">
    <cfRule type="cellIs" dxfId="0" priority="375" stopIfTrue="1" operator="equal">
      <formula>0</formula>
    </cfRule>
  </conditionalFormatting>
  <conditionalFormatting sqref="F93:G93">
    <cfRule type="cellIs" dxfId="0" priority="379" stopIfTrue="1" operator="equal">
      <formula>0</formula>
    </cfRule>
  </conditionalFormatting>
  <conditionalFormatting sqref="H93">
    <cfRule type="cellIs" dxfId="0" priority="378" stopIfTrue="1" operator="equal">
      <formula>0</formula>
    </cfRule>
  </conditionalFormatting>
  <conditionalFormatting sqref="I93">
    <cfRule type="cellIs" dxfId="0" priority="374" stopIfTrue="1" operator="equal">
      <formula>0</formula>
    </cfRule>
  </conditionalFormatting>
  <conditionalFormatting sqref="C94">
    <cfRule type="cellIs" dxfId="0" priority="282" stopIfTrue="1" operator="equal">
      <formula>0</formula>
    </cfRule>
  </conditionalFormatting>
  <conditionalFormatting sqref="D94">
    <cfRule type="cellIs" dxfId="0" priority="285" stopIfTrue="1" operator="equal">
      <formula>0</formula>
    </cfRule>
  </conditionalFormatting>
  <conditionalFormatting sqref="E94">
    <cfRule type="cellIs" dxfId="0" priority="284" stopIfTrue="1" operator="equal">
      <formula>0</formula>
    </cfRule>
  </conditionalFormatting>
  <conditionalFormatting sqref="F94:G94">
    <cfRule type="cellIs" dxfId="0" priority="287" stopIfTrue="1" operator="equal">
      <formula>0</formula>
    </cfRule>
  </conditionalFormatting>
  <conditionalFormatting sqref="H94">
    <cfRule type="cellIs" dxfId="0" priority="286" stopIfTrue="1" operator="equal">
      <formula>0</formula>
    </cfRule>
  </conditionalFormatting>
  <conditionalFormatting sqref="I94">
    <cfRule type="cellIs" dxfId="0" priority="283" stopIfTrue="1" operator="equal">
      <formula>0</formula>
    </cfRule>
  </conditionalFormatting>
  <conditionalFormatting sqref="C95">
    <cfRule type="cellIs" dxfId="0" priority="278" stopIfTrue="1" operator="equal">
      <formula>0</formula>
    </cfRule>
  </conditionalFormatting>
  <conditionalFormatting sqref="D95">
    <cfRule type="cellIs" dxfId="0" priority="279" stopIfTrue="1" operator="equal">
      <formula>0</formula>
    </cfRule>
  </conditionalFormatting>
  <conditionalFormatting sqref="E95">
    <cfRule type="cellIs" dxfId="0" priority="277" stopIfTrue="1" operator="equal">
      <formula>0</formula>
    </cfRule>
  </conditionalFormatting>
  <conditionalFormatting sqref="F95:G95">
    <cfRule type="cellIs" dxfId="0" priority="281" stopIfTrue="1" operator="equal">
      <formula>0</formula>
    </cfRule>
  </conditionalFormatting>
  <conditionalFormatting sqref="H95">
    <cfRule type="cellIs" dxfId="0" priority="280" stopIfTrue="1" operator="equal">
      <formula>0</formula>
    </cfRule>
  </conditionalFormatting>
  <conditionalFormatting sqref="I95">
    <cfRule type="cellIs" dxfId="0" priority="276" stopIfTrue="1" operator="equal">
      <formula>0</formula>
    </cfRule>
  </conditionalFormatting>
  <conditionalFormatting sqref="C96">
    <cfRule type="cellIs" dxfId="0" priority="271" stopIfTrue="1" operator="equal">
      <formula>0</formula>
    </cfRule>
  </conditionalFormatting>
  <conditionalFormatting sqref="D96">
    <cfRule type="cellIs" dxfId="0" priority="273" stopIfTrue="1" operator="equal">
      <formula>0</formula>
    </cfRule>
  </conditionalFormatting>
  <conditionalFormatting sqref="E96">
    <cfRule type="cellIs" dxfId="0" priority="272" stopIfTrue="1" operator="equal">
      <formula>0</formula>
    </cfRule>
  </conditionalFormatting>
  <conditionalFormatting sqref="F96:G96">
    <cfRule type="cellIs" dxfId="0" priority="275" stopIfTrue="1" operator="equal">
      <formula>0</formula>
    </cfRule>
  </conditionalFormatting>
  <conditionalFormatting sqref="H96">
    <cfRule type="cellIs" dxfId="0" priority="274" stopIfTrue="1" operator="equal">
      <formula>0</formula>
    </cfRule>
  </conditionalFormatting>
  <conditionalFormatting sqref="I96">
    <cfRule type="cellIs" dxfId="0" priority="270" stopIfTrue="1" operator="equal">
      <formula>0</formula>
    </cfRule>
  </conditionalFormatting>
  <conditionalFormatting sqref="C97">
    <cfRule type="cellIs" dxfId="0" priority="265" stopIfTrue="1" operator="equal">
      <formula>0</formula>
    </cfRule>
  </conditionalFormatting>
  <conditionalFormatting sqref="D97">
    <cfRule type="cellIs" dxfId="0" priority="267" stopIfTrue="1" operator="equal">
      <formula>0</formula>
    </cfRule>
  </conditionalFormatting>
  <conditionalFormatting sqref="E97">
    <cfRule type="cellIs" dxfId="0" priority="266" stopIfTrue="1" operator="equal">
      <formula>0</formula>
    </cfRule>
  </conditionalFormatting>
  <conditionalFormatting sqref="F97:G97">
    <cfRule type="cellIs" dxfId="0" priority="269" stopIfTrue="1" operator="equal">
      <formula>0</formula>
    </cfRule>
  </conditionalFormatting>
  <conditionalFormatting sqref="H97">
    <cfRule type="cellIs" dxfId="0" priority="268" stopIfTrue="1" operator="equal">
      <formula>0</formula>
    </cfRule>
  </conditionalFormatting>
  <conditionalFormatting sqref="I97">
    <cfRule type="cellIs" dxfId="0" priority="264" stopIfTrue="1" operator="equal">
      <formula>0</formula>
    </cfRule>
  </conditionalFormatting>
  <conditionalFormatting sqref="C98">
    <cfRule type="cellIs" dxfId="0" priority="259" stopIfTrue="1" operator="equal">
      <formula>0</formula>
    </cfRule>
  </conditionalFormatting>
  <conditionalFormatting sqref="D98">
    <cfRule type="cellIs" dxfId="0" priority="261" stopIfTrue="1" operator="equal">
      <formula>0</formula>
    </cfRule>
  </conditionalFormatting>
  <conditionalFormatting sqref="E98">
    <cfRule type="cellIs" dxfId="0" priority="260" stopIfTrue="1" operator="equal">
      <formula>0</formula>
    </cfRule>
  </conditionalFormatting>
  <conditionalFormatting sqref="F98:G98">
    <cfRule type="cellIs" dxfId="0" priority="263" stopIfTrue="1" operator="equal">
      <formula>0</formula>
    </cfRule>
  </conditionalFormatting>
  <conditionalFormatting sqref="H98">
    <cfRule type="cellIs" dxfId="0" priority="262" stopIfTrue="1" operator="equal">
      <formula>0</formula>
    </cfRule>
  </conditionalFormatting>
  <conditionalFormatting sqref="I98">
    <cfRule type="cellIs" dxfId="0" priority="258" stopIfTrue="1" operator="equal">
      <formula>0</formula>
    </cfRule>
  </conditionalFormatting>
  <conditionalFormatting sqref="C99">
    <cfRule type="cellIs" dxfId="0" priority="172" stopIfTrue="1" operator="equal">
      <formula>0</formula>
    </cfRule>
  </conditionalFormatting>
  <conditionalFormatting sqref="D99">
    <cfRule type="cellIs" dxfId="0" priority="175" stopIfTrue="1" operator="equal">
      <formula>0</formula>
    </cfRule>
  </conditionalFormatting>
  <conditionalFormatting sqref="E99">
    <cfRule type="cellIs" dxfId="0" priority="174" stopIfTrue="1" operator="equal">
      <formula>0</formula>
    </cfRule>
  </conditionalFormatting>
  <conditionalFormatting sqref="F99:G99">
    <cfRule type="cellIs" dxfId="0" priority="177" stopIfTrue="1" operator="equal">
      <formula>0</formula>
    </cfRule>
  </conditionalFormatting>
  <conditionalFormatting sqref="H99">
    <cfRule type="cellIs" dxfId="0" priority="176" stopIfTrue="1" operator="equal">
      <formula>0</formula>
    </cfRule>
  </conditionalFormatting>
  <conditionalFormatting sqref="I99">
    <cfRule type="cellIs" dxfId="0" priority="173" stopIfTrue="1" operator="equal">
      <formula>0</formula>
    </cfRule>
  </conditionalFormatting>
  <conditionalFormatting sqref="C100">
    <cfRule type="cellIs" dxfId="0" priority="166" stopIfTrue="1" operator="equal">
      <formula>0</formula>
    </cfRule>
  </conditionalFormatting>
  <conditionalFormatting sqref="D100">
    <cfRule type="cellIs" dxfId="0" priority="169" stopIfTrue="1" operator="equal">
      <formula>0</formula>
    </cfRule>
  </conditionalFormatting>
  <conditionalFormatting sqref="E100">
    <cfRule type="cellIs" dxfId="0" priority="168" stopIfTrue="1" operator="equal">
      <formula>0</formula>
    </cfRule>
  </conditionalFormatting>
  <conditionalFormatting sqref="F100:G100">
    <cfRule type="cellIs" dxfId="0" priority="171" stopIfTrue="1" operator="equal">
      <formula>0</formula>
    </cfRule>
  </conditionalFormatting>
  <conditionalFormatting sqref="H100">
    <cfRule type="cellIs" dxfId="0" priority="170" stopIfTrue="1" operator="equal">
      <formula>0</formula>
    </cfRule>
  </conditionalFormatting>
  <conditionalFormatting sqref="I100">
    <cfRule type="cellIs" dxfId="0" priority="167" stopIfTrue="1" operator="equal">
      <formula>0</formula>
    </cfRule>
  </conditionalFormatting>
  <conditionalFormatting sqref="C101">
    <cfRule type="cellIs" dxfId="0" priority="565" stopIfTrue="1" operator="equal">
      <formula>0</formula>
    </cfRule>
  </conditionalFormatting>
  <conditionalFormatting sqref="D101">
    <cfRule type="cellIs" dxfId="0" priority="566" stopIfTrue="1" operator="equal">
      <formula>0</formula>
    </cfRule>
  </conditionalFormatting>
  <conditionalFormatting sqref="H101">
    <cfRule type="cellIs" dxfId="0" priority="567" stopIfTrue="1" operator="equal">
      <formula>0</formula>
    </cfRule>
  </conditionalFormatting>
  <conditionalFormatting sqref="H102:IR102">
    <cfRule type="cellIs" dxfId="0" priority="564" stopIfTrue="1" operator="equal">
      <formula>0</formula>
    </cfRule>
  </conditionalFormatting>
  <conditionalFormatting sqref="C104">
    <cfRule type="cellIs" dxfId="0" priority="366" stopIfTrue="1" operator="equal">
      <formula>0</formula>
    </cfRule>
  </conditionalFormatting>
  <conditionalFormatting sqref="D104">
    <cfRule type="cellIs" dxfId="0" priority="367" stopIfTrue="1" operator="equal">
      <formula>0</formula>
    </cfRule>
  </conditionalFormatting>
  <conditionalFormatting sqref="H104">
    <cfRule type="cellIs" dxfId="0" priority="368" stopIfTrue="1" operator="equal">
      <formula>0</formula>
    </cfRule>
  </conditionalFormatting>
  <conditionalFormatting sqref="J104">
    <cfRule type="cellIs" dxfId="0" priority="471" stopIfTrue="1" operator="equal">
      <formula>0</formula>
    </cfRule>
  </conditionalFormatting>
  <conditionalFormatting sqref="K104">
    <cfRule type="cellIs" dxfId="0" priority="472" stopIfTrue="1" operator="equal">
      <formula>0</formula>
    </cfRule>
  </conditionalFormatting>
  <conditionalFormatting sqref="C105">
    <cfRule type="cellIs" dxfId="0" priority="329" stopIfTrue="1" operator="equal">
      <formula>0</formula>
    </cfRule>
  </conditionalFormatting>
  <conditionalFormatting sqref="D105">
    <cfRule type="cellIs" dxfId="0" priority="330" stopIfTrue="1" operator="equal">
      <formula>0</formula>
    </cfRule>
  </conditionalFormatting>
  <conditionalFormatting sqref="F105:G105">
    <cfRule type="cellIs" dxfId="0" priority="332" stopIfTrue="1" operator="equal">
      <formula>0</formula>
    </cfRule>
  </conditionalFormatting>
  <conditionalFormatting sqref="H105">
    <cfRule type="cellIs" dxfId="0" priority="331" stopIfTrue="1" operator="equal">
      <formula>0</formula>
    </cfRule>
  </conditionalFormatting>
  <conditionalFormatting sqref="I105">
    <cfRule type="cellIs" dxfId="0" priority="210" stopIfTrue="1" operator="equal">
      <formula>0</formula>
    </cfRule>
  </conditionalFormatting>
  <conditionalFormatting sqref="J105">
    <cfRule type="cellIs" dxfId="0" priority="333" stopIfTrue="1" operator="equal">
      <formula>0</formula>
    </cfRule>
  </conditionalFormatting>
  <conditionalFormatting sqref="K105">
    <cfRule type="cellIs" dxfId="0" priority="334" stopIfTrue="1" operator="equal">
      <formula>0</formula>
    </cfRule>
  </conditionalFormatting>
  <conditionalFormatting sqref="L105:IR105">
    <cfRule type="cellIs" dxfId="0" priority="335" stopIfTrue="1" operator="equal">
      <formula>0</formula>
    </cfRule>
  </conditionalFormatting>
  <conditionalFormatting sqref="C106">
    <cfRule type="cellIs" dxfId="0" priority="370" stopIfTrue="1" operator="equal">
      <formula>0</formula>
    </cfRule>
  </conditionalFormatting>
  <conditionalFormatting sqref="D106">
    <cfRule type="cellIs" dxfId="0" priority="371" stopIfTrue="1" operator="equal">
      <formula>0</formula>
    </cfRule>
  </conditionalFormatting>
  <conditionalFormatting sqref="F106:G106">
    <cfRule type="cellIs" dxfId="0" priority="373" stopIfTrue="1" operator="equal">
      <formula>0</formula>
    </cfRule>
  </conditionalFormatting>
  <conditionalFormatting sqref="H106">
    <cfRule type="cellIs" dxfId="0" priority="372" stopIfTrue="1" operator="equal">
      <formula>0</formula>
    </cfRule>
  </conditionalFormatting>
  <conditionalFormatting sqref="I106">
    <cfRule type="cellIs" dxfId="0" priority="209" stopIfTrue="1" operator="equal">
      <formula>0</formula>
    </cfRule>
  </conditionalFormatting>
  <conditionalFormatting sqref="J106">
    <cfRule type="cellIs" dxfId="0" priority="473" stopIfTrue="1" operator="equal">
      <formula>0</formula>
    </cfRule>
  </conditionalFormatting>
  <conditionalFormatting sqref="K106">
    <cfRule type="cellIs" dxfId="0" priority="474" stopIfTrue="1" operator="equal">
      <formula>0</formula>
    </cfRule>
  </conditionalFormatting>
  <conditionalFormatting sqref="I107">
    <cfRule type="cellIs" dxfId="0" priority="208" stopIfTrue="1" operator="equal">
      <formula>0</formula>
    </cfRule>
  </conditionalFormatting>
  <conditionalFormatting sqref="I108">
    <cfRule type="cellIs" dxfId="0" priority="207" stopIfTrue="1" operator="equal">
      <formula>0</formula>
    </cfRule>
  </conditionalFormatting>
  <conditionalFormatting sqref="C109">
    <cfRule type="cellIs" dxfId="0" priority="351" stopIfTrue="1" operator="equal">
      <formula>0</formula>
    </cfRule>
  </conditionalFormatting>
  <conditionalFormatting sqref="D109">
    <cfRule type="cellIs" dxfId="0" priority="352" stopIfTrue="1" operator="equal">
      <formula>0</formula>
    </cfRule>
  </conditionalFormatting>
  <conditionalFormatting sqref="H109">
    <cfRule type="cellIs" dxfId="0" priority="336" stopIfTrue="1" operator="equal">
      <formula>0</formula>
    </cfRule>
  </conditionalFormatting>
  <conditionalFormatting sqref="H110:IR110">
    <cfRule type="cellIs" dxfId="0" priority="561" stopIfTrue="1" operator="equal">
      <formula>0</formula>
    </cfRule>
  </conditionalFormatting>
  <conditionalFormatting sqref="C112">
    <cfRule type="cellIs" dxfId="0" priority="555" stopIfTrue="1" operator="equal">
      <formula>0</formula>
    </cfRule>
  </conditionalFormatting>
  <conditionalFormatting sqref="D112">
    <cfRule type="cellIs" dxfId="0" priority="556" stopIfTrue="1" operator="equal">
      <formula>0</formula>
    </cfRule>
  </conditionalFormatting>
  <conditionalFormatting sqref="H112">
    <cfRule type="cellIs" dxfId="0" priority="557" stopIfTrue="1" operator="equal">
      <formula>0</formula>
    </cfRule>
  </conditionalFormatting>
  <conditionalFormatting sqref="I112">
    <cfRule type="cellIs" dxfId="0" priority="318" stopIfTrue="1" operator="equal">
      <formula>0</formula>
    </cfRule>
  </conditionalFormatting>
  <conditionalFormatting sqref="C113">
    <cfRule type="cellIs" dxfId="0" priority="551" stopIfTrue="1" operator="equal">
      <formula>0</formula>
    </cfRule>
  </conditionalFormatting>
  <conditionalFormatting sqref="D113">
    <cfRule type="cellIs" dxfId="0" priority="552" stopIfTrue="1" operator="equal">
      <formula>0</formula>
    </cfRule>
  </conditionalFormatting>
  <conditionalFormatting sqref="H113">
    <cfRule type="cellIs" dxfId="0" priority="553" stopIfTrue="1" operator="equal">
      <formula>0</formula>
    </cfRule>
  </conditionalFormatting>
  <conditionalFormatting sqref="I113">
    <cfRule type="cellIs" dxfId="0" priority="319" stopIfTrue="1" operator="equal">
      <formula>0</formula>
    </cfRule>
  </conditionalFormatting>
  <conditionalFormatting sqref="A114">
    <cfRule type="cellIs" dxfId="0" priority="232" stopIfTrue="1" operator="equal">
      <formula>0</formula>
    </cfRule>
  </conditionalFormatting>
  <conditionalFormatting sqref="C114">
    <cfRule type="cellIs" dxfId="0" priority="228" stopIfTrue="1" operator="equal">
      <formula>0</formula>
    </cfRule>
  </conditionalFormatting>
  <conditionalFormatting sqref="D114">
    <cfRule type="cellIs" dxfId="0" priority="229" stopIfTrue="1" operator="equal">
      <formula>0</formula>
    </cfRule>
  </conditionalFormatting>
  <conditionalFormatting sqref="E114">
    <cfRule type="cellIs" dxfId="0" priority="226" stopIfTrue="1" operator="equal">
      <formula>0</formula>
    </cfRule>
  </conditionalFormatting>
  <conditionalFormatting sqref="F114:G114">
    <cfRule type="cellIs" dxfId="0" priority="231" stopIfTrue="1" operator="equal">
      <formula>0</formula>
    </cfRule>
  </conditionalFormatting>
  <conditionalFormatting sqref="H114">
    <cfRule type="cellIs" dxfId="0" priority="230" stopIfTrue="1" operator="equal">
      <formula>0</formula>
    </cfRule>
  </conditionalFormatting>
  <conditionalFormatting sqref="I114">
    <cfRule type="cellIs" dxfId="0" priority="227" stopIfTrue="1" operator="equal">
      <formula>0</formula>
    </cfRule>
  </conditionalFormatting>
  <conditionalFormatting sqref="A115">
    <cfRule type="cellIs" dxfId="0" priority="238" stopIfTrue="1" operator="equal">
      <formula>0</formula>
    </cfRule>
  </conditionalFormatting>
  <conditionalFormatting sqref="C115">
    <cfRule type="cellIs" dxfId="0" priority="234" stopIfTrue="1" operator="equal">
      <formula>0</formula>
    </cfRule>
  </conditionalFormatting>
  <conditionalFormatting sqref="D115">
    <cfRule type="cellIs" dxfId="0" priority="235" stopIfTrue="1" operator="equal">
      <formula>0</formula>
    </cfRule>
  </conditionalFormatting>
  <conditionalFormatting sqref="E115">
    <cfRule type="cellIs" dxfId="0" priority="233" stopIfTrue="1" operator="equal">
      <formula>0</formula>
    </cfRule>
  </conditionalFormatting>
  <conditionalFormatting sqref="F115:G115">
    <cfRule type="cellIs" dxfId="0" priority="237" stopIfTrue="1" operator="equal">
      <formula>0</formula>
    </cfRule>
  </conditionalFormatting>
  <conditionalFormatting sqref="H115">
    <cfRule type="cellIs" dxfId="0" priority="236" stopIfTrue="1" operator="equal">
      <formula>0</formula>
    </cfRule>
  </conditionalFormatting>
  <conditionalFormatting sqref="I115">
    <cfRule type="cellIs" dxfId="0" priority="211" stopIfTrue="1" operator="equal">
      <formula>0</formula>
    </cfRule>
  </conditionalFormatting>
  <conditionalFormatting sqref="A116">
    <cfRule type="cellIs" dxfId="0" priority="224" stopIfTrue="1" operator="equal">
      <formula>0</formula>
    </cfRule>
  </conditionalFormatting>
  <conditionalFormatting sqref="C116">
    <cfRule type="cellIs" dxfId="0" priority="220" stopIfTrue="1" operator="equal">
      <formula>0</formula>
    </cfRule>
  </conditionalFormatting>
  <conditionalFormatting sqref="D116">
    <cfRule type="cellIs" dxfId="0" priority="221" stopIfTrue="1" operator="equal">
      <formula>0</formula>
    </cfRule>
  </conditionalFormatting>
  <conditionalFormatting sqref="E116">
    <cfRule type="cellIs" dxfId="0" priority="218" stopIfTrue="1" operator="equal">
      <formula>0</formula>
    </cfRule>
  </conditionalFormatting>
  <conditionalFormatting sqref="F116:G116">
    <cfRule type="cellIs" dxfId="0" priority="223" stopIfTrue="1" operator="equal">
      <formula>0</formula>
    </cfRule>
  </conditionalFormatting>
  <conditionalFormatting sqref="H116">
    <cfRule type="cellIs" dxfId="0" priority="222" stopIfTrue="1" operator="equal">
      <formula>0</formula>
    </cfRule>
  </conditionalFormatting>
  <conditionalFormatting sqref="I116">
    <cfRule type="cellIs" dxfId="0" priority="219" stopIfTrue="1" operator="equal">
      <formula>0</formula>
    </cfRule>
  </conditionalFormatting>
  <conditionalFormatting sqref="J116:IR116">
    <cfRule type="cellIs" dxfId="0" priority="225" stopIfTrue="1" operator="equal">
      <formula>0</formula>
    </cfRule>
  </conditionalFormatting>
  <conditionalFormatting sqref="H117:IR117">
    <cfRule type="cellIs" dxfId="0" priority="550" stopIfTrue="1" operator="equal">
      <formula>0</formula>
    </cfRule>
  </conditionalFormatting>
  <conditionalFormatting sqref="A119">
    <cfRule type="cellIs" dxfId="0" priority="547" stopIfTrue="1" operator="equal">
      <formula>0</formula>
    </cfRule>
  </conditionalFormatting>
  <conditionalFormatting sqref="C119">
    <cfRule type="cellIs" dxfId="0" priority="355" stopIfTrue="1" operator="equal">
      <formula>0</formula>
    </cfRule>
  </conditionalFormatting>
  <conditionalFormatting sqref="D119">
    <cfRule type="cellIs" dxfId="0" priority="356" stopIfTrue="1" operator="equal">
      <formula>0</formula>
    </cfRule>
  </conditionalFormatting>
  <conditionalFormatting sqref="E119">
    <cfRule type="cellIs" dxfId="0" priority="358" stopIfTrue="1" operator="equal">
      <formula>0</formula>
    </cfRule>
  </conditionalFormatting>
  <conditionalFormatting sqref="H119">
    <cfRule type="cellIs" dxfId="0" priority="357" stopIfTrue="1" operator="equal">
      <formula>0</formula>
    </cfRule>
  </conditionalFormatting>
  <conditionalFormatting sqref="J119:IR119">
    <cfRule type="cellIs" dxfId="0" priority="548" stopIfTrue="1" operator="equal">
      <formula>0</formula>
    </cfRule>
  </conditionalFormatting>
  <conditionalFormatting sqref="H120:IR120">
    <cfRule type="cellIs" dxfId="0" priority="546" stopIfTrue="1" operator="equal">
      <formula>0</formula>
    </cfRule>
  </conditionalFormatting>
  <conditionalFormatting sqref="C122">
    <cfRule type="cellIs" dxfId="0" priority="338" stopIfTrue="1" operator="equal">
      <formula>0</formula>
    </cfRule>
  </conditionalFormatting>
  <conditionalFormatting sqref="D122">
    <cfRule type="cellIs" dxfId="0" priority="339" stopIfTrue="1" operator="equal">
      <formula>0</formula>
    </cfRule>
  </conditionalFormatting>
  <conditionalFormatting sqref="H122">
    <cfRule type="cellIs" dxfId="0" priority="340" stopIfTrue="1" operator="equal">
      <formula>0</formula>
    </cfRule>
  </conditionalFormatting>
  <conditionalFormatting sqref="A123">
    <cfRule type="cellIs" dxfId="0" priority="217" stopIfTrue="1" operator="equal">
      <formula>0</formula>
    </cfRule>
  </conditionalFormatting>
  <conditionalFormatting sqref="C123">
    <cfRule type="cellIs" dxfId="0" priority="213" stopIfTrue="1" operator="equal">
      <formula>0</formula>
    </cfRule>
  </conditionalFormatting>
  <conditionalFormatting sqref="D123">
    <cfRule type="cellIs" dxfId="0" priority="214" stopIfTrue="1" operator="equal">
      <formula>0</formula>
    </cfRule>
  </conditionalFormatting>
  <conditionalFormatting sqref="H123">
    <cfRule type="cellIs" dxfId="0" priority="215" stopIfTrue="1" operator="equal">
      <formula>0</formula>
    </cfRule>
  </conditionalFormatting>
  <conditionalFormatting sqref="I124">
    <cfRule type="cellIs" dxfId="0" priority="492" stopIfTrue="1" operator="equal">
      <formula>0</formula>
    </cfRule>
  </conditionalFormatting>
  <conditionalFormatting sqref="I125">
    <cfRule type="cellIs" dxfId="0" priority="491" stopIfTrue="1" operator="equal">
      <formula>0</formula>
    </cfRule>
  </conditionalFormatting>
  <conditionalFormatting sqref="C126">
    <cfRule type="cellIs" dxfId="0" priority="481" stopIfTrue="1" operator="equal">
      <formula>0</formula>
    </cfRule>
  </conditionalFormatting>
  <conditionalFormatting sqref="D126">
    <cfRule type="cellIs" dxfId="0" priority="482" stopIfTrue="1" operator="equal">
      <formula>0</formula>
    </cfRule>
  </conditionalFormatting>
  <conditionalFormatting sqref="E126">
    <cfRule type="cellIs" dxfId="0" priority="484" stopIfTrue="1" operator="equal">
      <formula>0</formula>
    </cfRule>
  </conditionalFormatting>
  <conditionalFormatting sqref="F126:G126">
    <cfRule type="cellIs" dxfId="0" priority="486" stopIfTrue="1" operator="equal">
      <formula>0</formula>
    </cfRule>
  </conditionalFormatting>
  <conditionalFormatting sqref="H126">
    <cfRule type="cellIs" dxfId="0" priority="483" stopIfTrue="1" operator="equal">
      <formula>0</formula>
    </cfRule>
  </conditionalFormatting>
  <conditionalFormatting sqref="I126">
    <cfRule type="cellIs" dxfId="0" priority="485" stopIfTrue="1" operator="equal">
      <formula>0</formula>
    </cfRule>
  </conditionalFormatting>
  <conditionalFormatting sqref="C127">
    <cfRule type="cellIs" dxfId="0" priority="475" stopIfTrue="1" operator="equal">
      <formula>0</formula>
    </cfRule>
  </conditionalFormatting>
  <conditionalFormatting sqref="D127">
    <cfRule type="cellIs" dxfId="0" priority="476" stopIfTrue="1" operator="equal">
      <formula>0</formula>
    </cfRule>
  </conditionalFormatting>
  <conditionalFormatting sqref="E127">
    <cfRule type="cellIs" dxfId="0" priority="478" stopIfTrue="1" operator="equal">
      <formula>0</formula>
    </cfRule>
  </conditionalFormatting>
  <conditionalFormatting sqref="F127:G127">
    <cfRule type="cellIs" dxfId="0" priority="480" stopIfTrue="1" operator="equal">
      <formula>0</formula>
    </cfRule>
  </conditionalFormatting>
  <conditionalFormatting sqref="H127">
    <cfRule type="cellIs" dxfId="0" priority="477" stopIfTrue="1" operator="equal">
      <formula>0</formula>
    </cfRule>
  </conditionalFormatting>
  <conditionalFormatting sqref="I127">
    <cfRule type="cellIs" dxfId="0" priority="479" stopIfTrue="1" operator="equal">
      <formula>0</formula>
    </cfRule>
  </conditionalFormatting>
  <conditionalFormatting sqref="H128:IR128">
    <cfRule type="cellIs" dxfId="0" priority="514" stopIfTrue="1" operator="equal">
      <formula>0</formula>
    </cfRule>
  </conditionalFormatting>
  <conditionalFormatting sqref="I131">
    <cfRule type="cellIs" dxfId="0" priority="538" stopIfTrue="1" operator="equal">
      <formula>0</formula>
    </cfRule>
  </conditionalFormatting>
  <conditionalFormatting sqref="A6:A22">
    <cfRule type="cellIs" dxfId="0" priority="10" stopIfTrue="1" operator="equal">
      <formula>0</formula>
    </cfRule>
  </conditionalFormatting>
  <conditionalFormatting sqref="A25:A28">
    <cfRule type="cellIs" dxfId="0" priority="602" stopIfTrue="1" operator="equal">
      <formula>0</formula>
    </cfRule>
  </conditionalFormatting>
  <conditionalFormatting sqref="A31:A44">
    <cfRule type="cellIs" dxfId="0" priority="594" stopIfTrue="1" operator="equal">
      <formula>0</formula>
    </cfRule>
  </conditionalFormatting>
  <conditionalFormatting sqref="A47:A66">
    <cfRule type="cellIs" dxfId="0" priority="428" stopIfTrue="1" operator="equal">
      <formula>0</formula>
    </cfRule>
  </conditionalFormatting>
  <conditionalFormatting sqref="A69:A74">
    <cfRule type="cellIs" dxfId="0" priority="582" stopIfTrue="1" operator="equal">
      <formula>0</formula>
    </cfRule>
  </conditionalFormatting>
  <conditionalFormatting sqref="A77:A101">
    <cfRule type="cellIs" dxfId="0" priority="520" stopIfTrue="1" operator="equal">
      <formula>0</formula>
    </cfRule>
  </conditionalFormatting>
  <conditionalFormatting sqref="A104:A109">
    <cfRule type="cellIs" dxfId="0" priority="468" stopIfTrue="1" operator="equal">
      <formula>0</formula>
    </cfRule>
  </conditionalFormatting>
  <conditionalFormatting sqref="A112:A113">
    <cfRule type="cellIs" dxfId="0" priority="558" stopIfTrue="1" operator="equal">
      <formula>0</formula>
    </cfRule>
  </conditionalFormatting>
  <conditionalFormatting sqref="C6:C18">
    <cfRule type="cellIs" dxfId="0" priority="38" stopIfTrue="1" operator="equal">
      <formula>0</formula>
    </cfRule>
  </conditionalFormatting>
  <conditionalFormatting sqref="C31:C44">
    <cfRule type="cellIs" dxfId="0" priority="18" stopIfTrue="1" operator="equal">
      <formula>0</formula>
    </cfRule>
  </conditionalFormatting>
  <conditionalFormatting sqref="C107:C108">
    <cfRule type="cellIs" dxfId="0" priority="362" stopIfTrue="1" operator="equal">
      <formula>0</formula>
    </cfRule>
  </conditionalFormatting>
  <conditionalFormatting sqref="C124:C125">
    <cfRule type="cellIs" dxfId="0" priority="487" stopIfTrue="1" operator="equal">
      <formula>0</formula>
    </cfRule>
  </conditionalFormatting>
  <conditionalFormatting sqref="D34:D35">
    <cfRule type="cellIs" dxfId="0" priority="161" stopIfTrue="1" operator="equal">
      <formula>0</formula>
    </cfRule>
  </conditionalFormatting>
  <conditionalFormatting sqref="D36:D38">
    <cfRule type="cellIs" dxfId="0" priority="447" stopIfTrue="1" operator="equal">
      <formula>0</formula>
    </cfRule>
  </conditionalFormatting>
  <conditionalFormatting sqref="D85:D86">
    <cfRule type="cellIs" dxfId="0" priority="382" stopIfTrue="1" operator="equal">
      <formula>0</formula>
    </cfRule>
  </conditionalFormatting>
  <conditionalFormatting sqref="D107:D108">
    <cfRule type="cellIs" dxfId="0" priority="363" stopIfTrue="1" operator="equal">
      <formula>0</formula>
    </cfRule>
  </conditionalFormatting>
  <conditionalFormatting sqref="D124:D125">
    <cfRule type="cellIs" dxfId="0" priority="488" stopIfTrue="1" operator="equal">
      <formula>0</formula>
    </cfRule>
  </conditionalFormatting>
  <conditionalFormatting sqref="E34:E35">
    <cfRule type="cellIs" dxfId="0" priority="158" stopIfTrue="1" operator="equal">
      <formula>0</formula>
    </cfRule>
  </conditionalFormatting>
  <conditionalFormatting sqref="E47:E54">
    <cfRule type="cellIs" dxfId="0" priority="7" stopIfTrue="1" operator="equal">
      <formula>0</formula>
    </cfRule>
  </conditionalFormatting>
  <conditionalFormatting sqref="E59:E61">
    <cfRule type="cellIs" dxfId="0" priority="6" stopIfTrue="1" operator="equal">
      <formula>0</formula>
    </cfRule>
  </conditionalFormatting>
  <conditionalFormatting sqref="E65:E66">
    <cfRule type="cellIs" dxfId="0" priority="5" stopIfTrue="1" operator="equal">
      <formula>0</formula>
    </cfRule>
  </conditionalFormatting>
  <conditionalFormatting sqref="E83:E86">
    <cfRule type="cellIs" dxfId="0" priority="4" stopIfTrue="1" operator="equal">
      <formula>0</formula>
    </cfRule>
  </conditionalFormatting>
  <conditionalFormatting sqref="E104:E109">
    <cfRule type="cellIs" dxfId="0" priority="3" stopIfTrue="1" operator="equal">
      <formula>0</formula>
    </cfRule>
  </conditionalFormatting>
  <conditionalFormatting sqref="E112:E113">
    <cfRule type="cellIs" dxfId="0" priority="2" stopIfTrue="1" operator="equal">
      <formula>0</formula>
    </cfRule>
  </conditionalFormatting>
  <conditionalFormatting sqref="E122:E123">
    <cfRule type="cellIs" dxfId="0" priority="1" stopIfTrue="1" operator="equal">
      <formula>0</formula>
    </cfRule>
  </conditionalFormatting>
  <conditionalFormatting sqref="E124:E125">
    <cfRule type="cellIs" dxfId="0" priority="490" stopIfTrue="1" operator="equal">
      <formula>0</formula>
    </cfRule>
  </conditionalFormatting>
  <conditionalFormatting sqref="F10:F11">
    <cfRule type="cellIs" dxfId="0" priority="35" stopIfTrue="1" operator="equal">
      <formula>0</formula>
    </cfRule>
  </conditionalFormatting>
  <conditionalFormatting sqref="F49:F54">
    <cfRule type="cellIs" dxfId="0" priority="34" stopIfTrue="1" operator="equal">
      <formula>0</formula>
    </cfRule>
  </conditionalFormatting>
  <conditionalFormatting sqref="F56:F61">
    <cfRule type="cellIs" dxfId="0" priority="33" stopIfTrue="1" operator="equal">
      <formula>0</formula>
    </cfRule>
  </conditionalFormatting>
  <conditionalFormatting sqref="F62:F66">
    <cfRule type="cellIs" dxfId="0" priority="32" stopIfTrue="1" operator="equal">
      <formula>0</formula>
    </cfRule>
  </conditionalFormatting>
  <conditionalFormatting sqref="H107:H108">
    <cfRule type="cellIs" dxfId="0" priority="364" stopIfTrue="1" operator="equal">
      <formula>0</formula>
    </cfRule>
  </conditionalFormatting>
  <conditionalFormatting sqref="H124:H125">
    <cfRule type="cellIs" dxfId="0" priority="489" stopIfTrue="1" operator="equal">
      <formula>0</formula>
    </cfRule>
  </conditionalFormatting>
  <conditionalFormatting sqref="I77:I81">
    <cfRule type="cellIs" dxfId="0" priority="16" stopIfTrue="1" operator="equal">
      <formula>0</formula>
    </cfRule>
  </conditionalFormatting>
  <conditionalFormatting sqref="J107:J109">
    <cfRule type="cellIs" dxfId="0" priority="469" stopIfTrue="1" operator="equal">
      <formula>0</formula>
    </cfRule>
  </conditionalFormatting>
  <conditionalFormatting sqref="K107:K109">
    <cfRule type="cellIs" dxfId="0" priority="470" stopIfTrue="1" operator="equal">
      <formula>0</formula>
    </cfRule>
  </conditionalFormatting>
  <conditionalFormatting sqref="F3 G4:H4 J3:IR4">
    <cfRule type="cellIs" dxfId="0" priority="608" stopIfTrue="1" operator="equal">
      <formula>0</formula>
    </cfRule>
  </conditionalFormatting>
  <conditionalFormatting sqref="A5 J5:IR5">
    <cfRule type="cellIs" dxfId="0" priority="606" stopIfTrue="1" operator="equal">
      <formula>0</formula>
    </cfRule>
  </conditionalFormatting>
  <conditionalFormatting sqref="H6 J6:IR6">
    <cfRule type="cellIs" dxfId="0" priority="531" stopIfTrue="1" operator="equal">
      <formula>0</formula>
    </cfRule>
  </conditionalFormatting>
  <conditionalFormatting sqref="I6:I16 I18">
    <cfRule type="cellIs" dxfId="0" priority="37" stopIfTrue="1" operator="equal">
      <formula>0</formula>
    </cfRule>
  </conditionalFormatting>
  <conditionalFormatting sqref="D7:D16 D18:D22">
    <cfRule type="cellIs" dxfId="0" priority="20" stopIfTrue="1" operator="equal">
      <formula>0</formula>
    </cfRule>
  </conditionalFormatting>
  <conditionalFormatting sqref="F7 H7">
    <cfRule type="cellIs" dxfId="0" priority="86" stopIfTrue="1" operator="equal">
      <formula>0</formula>
    </cfRule>
  </conditionalFormatting>
  <conditionalFormatting sqref="F8 H8">
    <cfRule type="cellIs" dxfId="0" priority="83" stopIfTrue="1" operator="equal">
      <formula>0</formula>
    </cfRule>
  </conditionalFormatting>
  <conditionalFormatting sqref="F9 H9">
    <cfRule type="cellIs" dxfId="0" priority="80" stopIfTrue="1" operator="equal">
      <formula>0</formula>
    </cfRule>
  </conditionalFormatting>
  <conditionalFormatting sqref="H10 J10:IR10">
    <cfRule type="cellIs" dxfId="0" priority="321" stopIfTrue="1" operator="equal">
      <formula>0</formula>
    </cfRule>
  </conditionalFormatting>
  <conditionalFormatting sqref="F12 H12">
    <cfRule type="cellIs" dxfId="0" priority="534" stopIfTrue="1" operator="equal">
      <formula>0</formula>
    </cfRule>
  </conditionalFormatting>
  <conditionalFormatting sqref="F13 H13">
    <cfRule type="cellIs" dxfId="0" priority="73" stopIfTrue="1" operator="equal">
      <formula>0</formula>
    </cfRule>
  </conditionalFormatting>
  <conditionalFormatting sqref="F14 H14">
    <cfRule type="cellIs" dxfId="0" priority="70" stopIfTrue="1" operator="equal">
      <formula>0</formula>
    </cfRule>
  </conditionalFormatting>
  <conditionalFormatting sqref="F15 H15">
    <cfRule type="cellIs" dxfId="0" priority="67" stopIfTrue="1" operator="equal">
      <formula>0</formula>
    </cfRule>
  </conditionalFormatting>
  <conditionalFormatting sqref="J15:IR22">
    <cfRule type="cellIs" dxfId="0" priority="605" stopIfTrue="1" operator="equal">
      <formula>0</formula>
    </cfRule>
  </conditionalFormatting>
  <conditionalFormatting sqref="F16 H16">
    <cfRule type="cellIs" dxfId="0" priority="64" stopIfTrue="1" operator="equal">
      <formula>0</formula>
    </cfRule>
  </conditionalFormatting>
  <conditionalFormatting sqref="F17 H17">
    <cfRule type="cellIs" dxfId="0" priority="15" stopIfTrue="1" operator="equal">
      <formula>0</formula>
    </cfRule>
  </conditionalFormatting>
  <conditionalFormatting sqref="F18 H18">
    <cfRule type="cellIs" dxfId="0" priority="41" stopIfTrue="1" operator="equal">
      <formula>0</formula>
    </cfRule>
  </conditionalFormatting>
  <conditionalFormatting sqref="F19 H19">
    <cfRule type="cellIs" dxfId="0" priority="61" stopIfTrue="1" operator="equal">
      <formula>0</formula>
    </cfRule>
  </conditionalFormatting>
  <conditionalFormatting sqref="F20 H20">
    <cfRule type="cellIs" dxfId="0" priority="56" stopIfTrue="1" operator="equal">
      <formula>0</formula>
    </cfRule>
  </conditionalFormatting>
  <conditionalFormatting sqref="F21 H21">
    <cfRule type="cellIs" dxfId="0" priority="52" stopIfTrue="1" operator="equal">
      <formula>0</formula>
    </cfRule>
  </conditionalFormatting>
  <conditionalFormatting sqref="F22 H22">
    <cfRule type="cellIs" dxfId="0" priority="46" stopIfTrue="1" operator="equal">
      <formula>0</formula>
    </cfRule>
  </conditionalFormatting>
  <conditionalFormatting sqref="H23:IR23 B133:IR65326">
    <cfRule type="cellIs" dxfId="0" priority="609" stopIfTrue="1" operator="equal">
      <formula>0</formula>
    </cfRule>
  </conditionalFormatting>
  <conditionalFormatting sqref="A24 J24:IR24">
    <cfRule type="cellIs" dxfId="0" priority="604" stopIfTrue="1" operator="equal">
      <formula>0</formula>
    </cfRule>
  </conditionalFormatting>
  <conditionalFormatting sqref="F25 L28:IR28 J25:IR27">
    <cfRule type="cellIs" dxfId="0" priority="603" stopIfTrue="1" operator="equal">
      <formula>0</formula>
    </cfRule>
  </conditionalFormatting>
  <conditionalFormatting sqref="G27 I27">
    <cfRule type="cellIs" dxfId="0" priority="308" stopIfTrue="1" operator="equal">
      <formula>0</formula>
    </cfRule>
  </conditionalFormatting>
  <conditionalFormatting sqref="F28:G28 I28">
    <cfRule type="cellIs" dxfId="0" priority="306" stopIfTrue="1" operator="equal">
      <formula>0</formula>
    </cfRule>
  </conditionalFormatting>
  <conditionalFormatting sqref="A30 J30:IR30">
    <cfRule type="cellIs" dxfId="0" priority="596" stopIfTrue="1" operator="equal">
      <formula>0</formula>
    </cfRule>
  </conditionalFormatting>
  <conditionalFormatting sqref="H32:H36 H39:H44">
    <cfRule type="cellIs" dxfId="0" priority="453" stopIfTrue="1" operator="equal">
      <formula>0</formula>
    </cfRule>
  </conditionalFormatting>
  <conditionalFormatting sqref="F33:G33 J34:IR41 I33:IR33">
    <cfRule type="cellIs" dxfId="0" priority="592" stopIfTrue="1" operator="equal">
      <formula>0</formula>
    </cfRule>
  </conditionalFormatting>
  <conditionalFormatting sqref="F34:F36 F39:F44">
    <cfRule type="cellIs" dxfId="0" priority="36" stopIfTrue="1" operator="equal">
      <formula>0</formula>
    </cfRule>
  </conditionalFormatting>
  <conditionalFormatting sqref="G34:G35 I34:I35">
    <cfRule type="cellIs" dxfId="0" priority="159" stopIfTrue="1" operator="equal">
      <formula>0</formula>
    </cfRule>
  </conditionalFormatting>
  <conditionalFormatting sqref="G42 I42">
    <cfRule type="cellIs" dxfId="0" priority="436" stopIfTrue="1" operator="equal">
      <formula>0</formula>
    </cfRule>
  </conditionalFormatting>
  <conditionalFormatting sqref="J42:IR42 K43:IR44">
    <cfRule type="cellIs" dxfId="0" priority="518" stopIfTrue="1" operator="equal">
      <formula>0</formula>
    </cfRule>
  </conditionalFormatting>
  <conditionalFormatting sqref="G43 I43">
    <cfRule type="cellIs" dxfId="0" priority="430" stopIfTrue="1" operator="equal">
      <formula>0</formula>
    </cfRule>
  </conditionalFormatting>
  <conditionalFormatting sqref="G44 I44">
    <cfRule type="cellIs" dxfId="0" priority="157" stopIfTrue="1" operator="equal">
      <formula>0</formula>
    </cfRule>
  </conditionalFormatting>
  <conditionalFormatting sqref="A46 J46:IR46">
    <cfRule type="cellIs" dxfId="0" priority="587" stopIfTrue="1" operator="equal">
      <formula>0</formula>
    </cfRule>
  </conditionalFormatting>
  <conditionalFormatting sqref="J47:IR54">
    <cfRule type="cellIs" dxfId="0" priority="527" stopIfTrue="1" operator="equal">
      <formula>0</formula>
    </cfRule>
  </conditionalFormatting>
  <conditionalFormatting sqref="F55:G55 I55">
    <cfRule type="cellIs" dxfId="0" priority="427" stopIfTrue="1" operator="equal">
      <formula>0</formula>
    </cfRule>
  </conditionalFormatting>
  <conditionalFormatting sqref="E56 I56 G56">
    <cfRule type="cellIs" dxfId="0" priority="299" stopIfTrue="1" operator="equal">
      <formula>0</formula>
    </cfRule>
  </conditionalFormatting>
  <conditionalFormatting sqref="J56:IR57">
    <cfRule type="cellIs" dxfId="0" priority="522" stopIfTrue="1" operator="equal">
      <formula>0</formula>
    </cfRule>
  </conditionalFormatting>
  <conditionalFormatting sqref="E57 I57 G57">
    <cfRule type="cellIs" dxfId="0" priority="295" stopIfTrue="1" operator="equal">
      <formula>0</formula>
    </cfRule>
  </conditionalFormatting>
  <conditionalFormatting sqref="E58 I58 G58">
    <cfRule type="cellIs" dxfId="0" priority="291" stopIfTrue="1" operator="equal">
      <formula>0</formula>
    </cfRule>
  </conditionalFormatting>
  <conditionalFormatting sqref="K58:IR66">
    <cfRule type="cellIs" dxfId="0" priority="586" stopIfTrue="1" operator="equal">
      <formula>0</formula>
    </cfRule>
  </conditionalFormatting>
  <conditionalFormatting sqref="D59:D60 D65">
    <cfRule type="cellIs" dxfId="0" priority="115" stopIfTrue="1" operator="equal">
      <formula>0</formula>
    </cfRule>
  </conditionalFormatting>
  <conditionalFormatting sqref="G59 I59">
    <cfRule type="cellIs" dxfId="0" priority="117" stopIfTrue="1" operator="equal">
      <formula>0</formula>
    </cfRule>
  </conditionalFormatting>
  <conditionalFormatting sqref="C60 C65">
    <cfRule type="cellIs" dxfId="0" priority="114" stopIfTrue="1" operator="equal">
      <formula>0</formula>
    </cfRule>
  </conditionalFormatting>
  <conditionalFormatting sqref="G60 I60 I65">
    <cfRule type="cellIs" dxfId="0" priority="112" stopIfTrue="1" operator="equal">
      <formula>0</formula>
    </cfRule>
  </conditionalFormatting>
  <conditionalFormatting sqref="G62 I62">
    <cfRule type="cellIs" dxfId="0" priority="99" stopIfTrue="1" operator="equal">
      <formula>0</formula>
    </cfRule>
  </conditionalFormatting>
  <conditionalFormatting sqref="G63 I63">
    <cfRule type="cellIs" dxfId="0" priority="94" stopIfTrue="1" operator="equal">
      <formula>0</formula>
    </cfRule>
  </conditionalFormatting>
  <conditionalFormatting sqref="G64 I64">
    <cfRule type="cellIs" dxfId="0" priority="89" stopIfTrue="1" operator="equal">
      <formula>0</formula>
    </cfRule>
  </conditionalFormatting>
  <conditionalFormatting sqref="G66 I66">
    <cfRule type="cellIs" dxfId="0" priority="255" stopIfTrue="1" operator="equal">
      <formula>0</formula>
    </cfRule>
  </conditionalFormatting>
  <conditionalFormatting sqref="A68 J68:IR68">
    <cfRule type="cellIs" dxfId="0" priority="584" stopIfTrue="1" operator="equal">
      <formula>0</formula>
    </cfRule>
  </conditionalFormatting>
  <conditionalFormatting sqref="F69:G69 J69:IR69">
    <cfRule type="cellIs" dxfId="0" priority="583" stopIfTrue="1" operator="equal">
      <formula>0</formula>
    </cfRule>
  </conditionalFormatting>
  <conditionalFormatting sqref="F70:G70 J70:IR70">
    <cfRule type="cellIs" dxfId="0" priority="500" stopIfTrue="1" operator="equal">
      <formula>0</formula>
    </cfRule>
  </conditionalFormatting>
  <conditionalFormatting sqref="E71:G71 J71:IR71">
    <cfRule type="cellIs" dxfId="0" priority="504" stopIfTrue="1" operator="equal">
      <formula>0</formula>
    </cfRule>
  </conditionalFormatting>
  <conditionalFormatting sqref="E72:G72 J72:IR74">
    <cfRule type="cellIs" dxfId="0" priority="577" stopIfTrue="1" operator="equal">
      <formula>0</formula>
    </cfRule>
  </conditionalFormatting>
  <conditionalFormatting sqref="A76 J76:IR76">
    <cfRule type="cellIs" dxfId="0" priority="572" stopIfTrue="1" operator="equal">
      <formula>0</formula>
    </cfRule>
  </conditionalFormatting>
  <conditionalFormatting sqref="J77:IR79">
    <cfRule type="cellIs" dxfId="0" priority="521" stopIfTrue="1" operator="equal">
      <formula>0</formula>
    </cfRule>
  </conditionalFormatting>
  <conditionalFormatting sqref="J80:IR82">
    <cfRule type="cellIs" dxfId="0" priority="570" stopIfTrue="1" operator="equal">
      <formula>0</formula>
    </cfRule>
  </conditionalFormatting>
  <conditionalFormatting sqref="F83:G83 I83">
    <cfRule type="cellIs" dxfId="0" priority="326" stopIfTrue="1" operator="equal">
      <formula>0</formula>
    </cfRule>
  </conditionalFormatting>
  <conditionalFormatting sqref="F84:G84 I84">
    <cfRule type="cellIs" dxfId="0" priority="389" stopIfTrue="1" operator="equal">
      <formula>0</formula>
    </cfRule>
  </conditionalFormatting>
  <conditionalFormatting sqref="J84:IR86">
    <cfRule type="cellIs" dxfId="0" priority="537" stopIfTrue="1" operator="equal">
      <formula>0</formula>
    </cfRule>
  </conditionalFormatting>
  <conditionalFormatting sqref="E87:G87 I87">
    <cfRule type="cellIs" dxfId="0" priority="414" stopIfTrue="1" operator="equal">
      <formula>0</formula>
    </cfRule>
  </conditionalFormatting>
  <conditionalFormatting sqref="J87:IR90 K91:IR91">
    <cfRule type="cellIs" dxfId="0" priority="571" stopIfTrue="1" operator="equal">
      <formula>0</formula>
    </cfRule>
  </conditionalFormatting>
  <conditionalFormatting sqref="E88:G88 I88">
    <cfRule type="cellIs" dxfId="0" priority="191" stopIfTrue="1" operator="equal">
      <formula>0</formula>
    </cfRule>
  </conditionalFormatting>
  <conditionalFormatting sqref="E89:G89 I89">
    <cfRule type="cellIs" dxfId="0" priority="187" stopIfTrue="1" operator="equal">
      <formula>0</formula>
    </cfRule>
  </conditionalFormatting>
  <conditionalFormatting sqref="E90:G90 I90">
    <cfRule type="cellIs" dxfId="0" priority="200" stopIfTrue="1" operator="equal">
      <formula>0</formula>
    </cfRule>
  </conditionalFormatting>
  <conditionalFormatting sqref="E91:G91 I91">
    <cfRule type="cellIs" dxfId="0" priority="195" stopIfTrue="1" operator="equal">
      <formula>0</formula>
    </cfRule>
  </conditionalFormatting>
  <conditionalFormatting sqref="E92:G92 I92:IR92">
    <cfRule type="cellIs" dxfId="0" priority="347" stopIfTrue="1" operator="equal">
      <formula>0</formula>
    </cfRule>
  </conditionalFormatting>
  <conditionalFormatting sqref="J93:IR94">
    <cfRule type="cellIs" dxfId="0" priority="519" stopIfTrue="1" operator="equal">
      <formula>0</formula>
    </cfRule>
  </conditionalFormatting>
  <conditionalFormatting sqref="J95:IR100">
    <cfRule type="cellIs" dxfId="0" priority="569" stopIfTrue="1" operator="equal">
      <formula>0</formula>
    </cfRule>
  </conditionalFormatting>
  <conditionalFormatting sqref="E101:G101 I101:IR101">
    <cfRule type="cellIs" dxfId="0" priority="568" stopIfTrue="1" operator="equal">
      <formula>0</formula>
    </cfRule>
  </conditionalFormatting>
  <conditionalFormatting sqref="A103 J103:IR103">
    <cfRule type="cellIs" dxfId="0" priority="563" stopIfTrue="1" operator="equal">
      <formula>0</formula>
    </cfRule>
  </conditionalFormatting>
  <conditionalFormatting sqref="F104:G104 I104">
    <cfRule type="cellIs" dxfId="0" priority="369" stopIfTrue="1" operator="equal">
      <formula>0</formula>
    </cfRule>
  </conditionalFormatting>
  <conditionalFormatting sqref="L104:IR104 L106:IR109">
    <cfRule type="cellIs" dxfId="0" priority="562" stopIfTrue="1" operator="equal">
      <formula>0</formula>
    </cfRule>
  </conditionalFormatting>
  <conditionalFormatting sqref="F107:G108">
    <cfRule type="cellIs" dxfId="0" priority="365" stopIfTrue="1" operator="equal">
      <formula>0</formula>
    </cfRule>
  </conditionalFormatting>
  <conditionalFormatting sqref="F109:G109 I109">
    <cfRule type="cellIs" dxfId="0" priority="353" stopIfTrue="1" operator="equal">
      <formula>0</formula>
    </cfRule>
  </conditionalFormatting>
  <conditionalFormatting sqref="A111 J111:IR111">
    <cfRule type="cellIs" dxfId="0" priority="560" stopIfTrue="1" operator="equal">
      <formula>0</formula>
    </cfRule>
  </conditionalFormatting>
  <conditionalFormatting sqref="F112:G112 J112:IR112">
    <cfRule type="cellIs" dxfId="0" priority="559" stopIfTrue="1" operator="equal">
      <formula>0</formula>
    </cfRule>
  </conditionalFormatting>
  <conditionalFormatting sqref="F113:G113 J113:IR115">
    <cfRule type="cellIs" dxfId="0" priority="554" stopIfTrue="1" operator="equal">
      <formula>0</formula>
    </cfRule>
  </conditionalFormatting>
  <conditionalFormatting sqref="A118 J118:IR118">
    <cfRule type="cellIs" dxfId="0" priority="549" stopIfTrue="1" operator="equal">
      <formula>0</formula>
    </cfRule>
  </conditionalFormatting>
  <conditionalFormatting sqref="F119:G119 I119">
    <cfRule type="cellIs" dxfId="0" priority="359" stopIfTrue="1" operator="equal">
      <formula>0</formula>
    </cfRule>
  </conditionalFormatting>
  <conditionalFormatting sqref="A121 J121:IR121">
    <cfRule type="cellIs" dxfId="0" priority="515" stopIfTrue="1" operator="equal">
      <formula>0</formula>
    </cfRule>
  </conditionalFormatting>
  <conditionalFormatting sqref="A122 A124:A127">
    <cfRule type="cellIs" dxfId="0" priority="342" stopIfTrue="1" operator="equal">
      <formula>0</formula>
    </cfRule>
  </conditionalFormatting>
  <conditionalFormatting sqref="F122:G122 I122">
    <cfRule type="cellIs" dxfId="0" priority="341" stopIfTrue="1" operator="equal">
      <formula>0</formula>
    </cfRule>
  </conditionalFormatting>
  <conditionalFormatting sqref="J122:IR123">
    <cfRule type="cellIs" dxfId="0" priority="343" stopIfTrue="1" operator="equal">
      <formula>0</formula>
    </cfRule>
  </conditionalFormatting>
  <conditionalFormatting sqref="F123:G123 I123">
    <cfRule type="cellIs" dxfId="0" priority="216" stopIfTrue="1" operator="equal">
      <formula>0</formula>
    </cfRule>
  </conditionalFormatting>
  <conditionalFormatting sqref="F124:G125">
    <cfRule type="cellIs" dxfId="0" priority="493" stopIfTrue="1" operator="equal">
      <formula>0</formula>
    </cfRule>
  </conditionalFormatting>
  <conditionalFormatting sqref="J124:IR127">
    <cfRule type="cellIs" dxfId="0" priority="513" stopIfTrue="1" operator="equal">
      <formula>0</formula>
    </cfRule>
  </conditionalFormatting>
  <conditionalFormatting sqref="A129 J129:IR129">
    <cfRule type="cellIs" dxfId="0" priority="545" stopIfTrue="1" operator="equal">
      <formula>0</formula>
    </cfRule>
  </conditionalFormatting>
  <conditionalFormatting sqref="B130:C130 E130">
    <cfRule type="cellIs" dxfId="0" priority="543" stopIfTrue="1" operator="equal">
      <formula>0</formula>
    </cfRule>
  </conditionalFormatting>
  <conditionalFormatting sqref="G130 I130:IR130">
    <cfRule type="cellIs" dxfId="0" priority="544" stopIfTrue="1" operator="equal">
      <formula>0</formula>
    </cfRule>
  </conditionalFormatting>
  <conditionalFormatting sqref="B131:C131 E131">
    <cfRule type="cellIs" dxfId="0" priority="541" stopIfTrue="1" operator="equal">
      <formula>0</formula>
    </cfRule>
  </conditionalFormatting>
  <conditionalFormatting sqref="G131 J131:IR131">
    <cfRule type="cellIs" dxfId="0" priority="542" stopIfTrue="1" operator="equal">
      <formula>0</formula>
    </cfRule>
  </conditionalFormatting>
  <conditionalFormatting sqref="B132:C132 E132">
    <cfRule type="cellIs" dxfId="0" priority="539" stopIfTrue="1" operator="equal">
      <formula>0</formula>
    </cfRule>
  </conditionalFormatting>
  <conditionalFormatting sqref="G132 I132:IR132">
    <cfRule type="cellIs" dxfId="0" priority="540" stopIfTrue="1" operator="equal">
      <formula>0</formula>
    </cfRule>
  </conditionalFormatting>
  <printOptions horizontalCentered="1"/>
  <pageMargins left="0.432638888888889" right="0.393055555555556" top="0.354166666666667" bottom="0.393055555555556" header="0.354166666666667" footer="0.196527777777778"/>
  <pageSetup paperSize="9" scale="85" orientation="landscape" horizontalDpi="600"/>
  <headerFooter>
    <oddFooter>&amp;L编制日期:&amp;D共&amp;N页  第&amp;P页&amp;C嘉兴山屿装饰设计有限公司&amp;R客户签名:______________</oddFooter>
  </headerFooter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主材报价模板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</dc:creator>
  <cp:lastModifiedBy>lulu</cp:lastModifiedBy>
  <dcterms:created xsi:type="dcterms:W3CDTF">2026-09-08T05:49:00Z</dcterms:created>
  <dcterms:modified xsi:type="dcterms:W3CDTF">2026-09-08T06:48:39Z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C6142D5DADB8DE3B77509E6A8D5A2BC9_41</vt:lpwstr>
  </property>
  <property fmtid="{D5CDD505-2E9C-101B-9397-08002B2CF9AE}" pid="3" name="KSOProductBuildVer">
    <vt:lpwstr>2052-7.2.2.8955</vt:lpwstr>
  </property>
</Properties>
</file>