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420" windowHeight="11880"/>
  </bookViews>
  <sheets>
    <sheet name="半包报价模板" sheetId="1" r:id="rId1"/>
  </sheets>
  <definedNames>
    <definedName name="_xlnm.Print_Area" localSheetId="0">半包报价模板!$A$1:$I$204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<sst xmlns="http://schemas.openxmlformats.org/spreadsheetml/2006/main" count="603" uniqueCount="225">
  <si>
    <t>基础报价明细表</t>
  </si>
  <si>
    <t>客户名称：</t>
  </si>
  <si>
    <t>建筑面积（㎡）：</t>
  </si>
  <si>
    <t>工程地址：</t>
  </si>
  <si>
    <t>编号</t>
  </si>
  <si>
    <t>工程项目</t>
  </si>
  <si>
    <t>单位</t>
  </si>
  <si>
    <t>数量</t>
  </si>
  <si>
    <t>工 程 造 价</t>
  </si>
  <si>
    <t>备       注</t>
  </si>
  <si>
    <t>单价</t>
  </si>
  <si>
    <t>金额</t>
  </si>
  <si>
    <t xml:space="preserve">【一、砌墙工程】 </t>
  </si>
  <si>
    <t>面积（㎡)：</t>
  </si>
  <si>
    <t>周长（m):</t>
  </si>
  <si>
    <t>层高（m):</t>
  </si>
  <si>
    <t>内墙顶涂料铲除及打毛处理</t>
  </si>
  <si>
    <r>
      <rPr>
        <sz val="10"/>
        <rFont val="Times New Roman"/>
        <charset val="0"/>
      </rPr>
      <t>M</t>
    </r>
    <r>
      <rPr>
        <vertAlign val="superscript"/>
        <sz val="10"/>
        <rFont val="Times New Roman"/>
        <charset val="0"/>
      </rPr>
      <t>2</t>
    </r>
  </si>
  <si>
    <t xml:space="preserve">1、人工费；
2、垃圾装袋运至小区指定点，如需要运到小区外费用另计。 </t>
  </si>
  <si>
    <t>120墙体拆除</t>
  </si>
  <si>
    <t xml:space="preserve">1、指不违反物业规定的非承重墙；
2、人工费；
3、垃圾装袋运至小区指定点，如需要运到小区外费用另计。 </t>
  </si>
  <si>
    <t>240墙体拆除</t>
  </si>
  <si>
    <t>构造墙切割</t>
  </si>
  <si>
    <t>处</t>
  </si>
  <si>
    <t>横梁剥皮</t>
  </si>
  <si>
    <t>项</t>
  </si>
  <si>
    <t>原有飘窗拆除</t>
  </si>
  <si>
    <t>M</t>
  </si>
  <si>
    <t>1、人工费；
2、垃圾装袋运至小区指定点，如需要运到小区外费用另计。
3、如遇混凝土及钢结构飘窗费用另计</t>
  </si>
  <si>
    <t>敲半墙</t>
  </si>
  <si>
    <t>1、指不违反物业规定的非承重墙；
2、人工费；
3、垃圾装袋运至小区指定点，如需要运到小区外费用另计。
4、如遇轻质砖墙或空斗砖墙，需整体拆墙后，再重新砌墙粉刷，费用另计</t>
  </si>
  <si>
    <t>挖半墙后墙面修补抹灰</t>
  </si>
  <si>
    <t>水泥砂浆粉面抹灰</t>
  </si>
  <si>
    <t>普通地梁浇筑</t>
  </si>
  <si>
    <t>1、强度32.5普通硅酸盐水泥；             
2、瓜子片浇筑； 钢筋植入，打入植筋胶                        
3、现浇地梁高度≥200mm</t>
  </si>
  <si>
    <t>地梁浇筑</t>
  </si>
  <si>
    <t>1、强度32.5普通硅酸盐水泥；             
2、瓜子片浇筑； 钢筋植入，打入植筋胶                        
3、木板支模现浇地梁高度≥200mm</t>
  </si>
  <si>
    <t>快装龙骨隔墙（防水板/干湿区砌墙专用）</t>
  </si>
  <si>
    <t>1、使用快装龙骨+背衬板打底 （免焊龙骨规格34*34）                     2、墙厚≤60mm，工程量按单面立面面积计。</t>
  </si>
  <si>
    <t>快装龙骨隔墙（石膏板饰面/欧松板饰面）</t>
  </si>
  <si>
    <t>1、使用快装龙骨+石膏板 （免焊龙骨规格34*34）
2、墙厚≤80mm，工程量按单面立面面积计。</t>
  </si>
  <si>
    <t>快装龙骨隔墙（欧松板打底+石膏板饰面）</t>
  </si>
  <si>
    <t>1、使用快装龙骨+石膏板+欧松板打底 （免焊龙骨规格34*34）                  
2、墙厚≤100mm，工程量按单面立面面积计。</t>
  </si>
  <si>
    <t>多孔120红砖砌墙</t>
  </si>
  <si>
    <t>1、使用多孔砖，强度32.5普通硅酸盐水泥砂浆砌筑；
2、墙厚≤120mm，工程量按单面立面面积计。4：墙面水泥砂浆抹灰</t>
  </si>
  <si>
    <t>多孔240红砖砌墙</t>
  </si>
  <si>
    <t>1、使用多孔砖，强度32.5普通硅酸盐水泥砂浆砌筑；                               2、墙厚≤60mm，工程量按单面立面面积计；
3、墙面水泥砂浆抹灰。</t>
  </si>
  <si>
    <t>砌墙弧形墙造型</t>
  </si>
  <si>
    <t>个</t>
  </si>
  <si>
    <t xml:space="preserve">1、弧形墙人工费； </t>
  </si>
  <si>
    <t>双面石膏板隔墙</t>
  </si>
  <si>
    <t xml:space="preserve">1、轻钢龙骨基架，间距≤400mm，双面封9.5mm厚纸面石膏板，全封闭不带门窗，墙厚950mm; 
2、石膏板自攻螺丝钉固定，钉帽涂防锈漆，板接缝处填嵌缝石膏，粘帖专用绷带；     
</t>
  </si>
  <si>
    <t>石膏板隔墙隔音棉</t>
  </si>
  <si>
    <t>1、轻钢龙骨基架，间距≤400mm，双面封9mm厚纸面石膏板，全封闭不带门窗，墙厚120mm; 
2、石膏板自攻螺丝钉固定，钉帽涂防锈漆，板接缝处填嵌缝石膏，粘帖专用绷带；     
3、批腻子和面层装饰另计；               
4、隔断内填充保温隔音材料费用另计；     
5、工程量按单面立面面积计算；           
6、弧形工艺上浮30%。
7、15MM欧松板找平，打底。</t>
  </si>
  <si>
    <t>砖墙门洞过梁</t>
  </si>
  <si>
    <t>混凝土过梁或4号角铁过梁1.0米以内为一个</t>
  </si>
  <si>
    <t>小计：</t>
  </si>
  <si>
    <t>【二、客餐厅工程】</t>
  </si>
  <si>
    <t>门槛石安装</t>
  </si>
  <si>
    <t>水泥黄沙铺贴（不足1米按1米算）</t>
  </si>
  <si>
    <t>石材窗台板铺设</t>
  </si>
  <si>
    <t>1、轻工辅料，宽度≤300mm;                               
2、干性水泥砂浆铺贴，玻璃胶填缝；       
3、不含抛光打蜡。</t>
  </si>
  <si>
    <t>成品保护</t>
  </si>
  <si>
    <t>乙方提供成品保护材料对于施工完成的半成品及成品进行保护。</t>
  </si>
  <si>
    <t>防水</t>
  </si>
  <si>
    <t>地面水性防水涂料（地暖地面要算2遍）</t>
  </si>
  <si>
    <t>1、地面清理，四周防水带，内外角防水贴，淋浴水管根套             
2、一般墙面上返300mm
3、做24小时蓄水试验（甲方验收签字）；                   
4、不包含原地面装饰层拆除；
5、按实际涂刷面积计算工程量。</t>
  </si>
  <si>
    <t>墙面水性防水涂料</t>
  </si>
  <si>
    <t>1、墙面清理，四周防水带，内外角防水贴，淋浴水管根套                 
2、卫生间墙面涂刷2000mm；                     
3、做24小时蓄水试验（甲方验收签字）；                   
4、不包含原地面装饰层拆除；
5、按实际涂刷面积计算工程量。</t>
  </si>
  <si>
    <t>泥工贴砖</t>
  </si>
  <si>
    <t>800*800mm地砖（水泥砂浆粘贴）</t>
  </si>
  <si>
    <t>水泥黄沙铺贴，斜铺、错缝、不规则、走边铺贴费用另计，不含美缝、胶泥。</t>
  </si>
  <si>
    <t>600*1200mm地砖（水泥砂浆粘贴）</t>
  </si>
  <si>
    <t>750*1500mm地砖（水泥砂浆粘贴）</t>
  </si>
  <si>
    <t>900*1800mm地砖（水泥砂浆粘贴）</t>
  </si>
  <si>
    <t>多规格古堡砖（水泥砂浆粘贴）</t>
  </si>
  <si>
    <t>200*200 / 200*400 / 400*400 / 400*600 拼砖
水泥黄沙铺贴，斜铺、错缝、不规则、走边铺贴费用另计，不含美缝、胶泥。</t>
  </si>
  <si>
    <t>木纹砖长条150*900（水泥砂浆粘贴）</t>
  </si>
  <si>
    <t>木纹砖长条200*1200（水泥砂浆粘贴）</t>
  </si>
  <si>
    <t>70*200mm小砖（胶泥粘帖）</t>
  </si>
  <si>
    <t xml:space="preserve">1、轻工辅料，
2、马贝胶泥铺贴； </t>
  </si>
  <si>
    <t>70*300mm小砖（胶泥粘帖）</t>
  </si>
  <si>
    <t>100*100mm小砖（胶泥粘帖）</t>
  </si>
  <si>
    <t>200*200mm小砖（胶泥粘帖）</t>
  </si>
  <si>
    <t>800*800mm墙砖（胶泥粘帖）</t>
  </si>
  <si>
    <t>600*1200mm墙砖（胶泥粘帖）</t>
  </si>
  <si>
    <t>750*1500mm墙砖（胶泥粘帖）</t>
  </si>
  <si>
    <t>900*1800mm墙砖（胶泥粘帖）</t>
  </si>
  <si>
    <t>斜铺/人字贴人工费</t>
  </si>
  <si>
    <t>斜铺/人字贴人工费补差</t>
  </si>
  <si>
    <t>（薄贴）瓷砖增加人工费</t>
  </si>
  <si>
    <t>薄贴人工费补差</t>
  </si>
  <si>
    <t>找平</t>
  </si>
  <si>
    <t>粗找平</t>
  </si>
  <si>
    <t>水泥黄沙瓜子片地暖找平，厚度≤50mm</t>
  </si>
  <si>
    <t>瓜子片豆石精找平</t>
  </si>
  <si>
    <t>水泥黄沙瓜子片豆石精找平（地砖薄贴专用，误差3mm）（厚度3到5cm）</t>
  </si>
  <si>
    <t>半干成品砂浆找平</t>
  </si>
  <si>
    <t>半干砂浆找平（地板找平专用，误差3mm以内）（厚度3到5cm）</t>
  </si>
  <si>
    <t>木工吊顶</t>
  </si>
  <si>
    <t>石膏板吊平顶</t>
  </si>
  <si>
    <t xml:space="preserve">1、轻钢骨架，间距一般为400mm,打孔下膨胀螺栓固定；                           2、9.5mm厚纸面石膏板罩面，自攻螺丝钉固定，钉眼点涂防锈漆，石膏板接缝处填嵌石膏，粘帖专用绷带；                         </t>
  </si>
  <si>
    <t>欧松板基层处理</t>
  </si>
  <si>
    <t>千年舟12/15MM欧松板基础打底</t>
  </si>
  <si>
    <t>欧松板基层石膏板饰面</t>
  </si>
  <si>
    <t>1、15MM欧松板找平，打底。
2、9mm厚纸面石膏板罩面，自攻螺丝钉固定，钉眼点涂防锈漆，石膏板接缝处填嵌石膏，粘帖专用绷带；</t>
  </si>
  <si>
    <t>双层石膏板（墙面找平）</t>
  </si>
  <si>
    <t xml:space="preserve">墙面木楔找平                       </t>
  </si>
  <si>
    <t>双层石膏板吊顶（顶面）</t>
  </si>
  <si>
    <t xml:space="preserve">1、轻钢骨架，间距一般为400mm,打孔下膨胀螺栓固定；                           2、9.5mm厚纸面石膏板罩面，加欧松板自攻螺丝钉固定，钉眼点涂防锈漆，石膏板接缝处填嵌石膏，粘帖专用绷带；                         </t>
  </si>
  <si>
    <t>石膏板吊斜顶</t>
  </si>
  <si>
    <t>防水石膏板吊平顶</t>
  </si>
  <si>
    <t>石膏板异性造型吊顶</t>
  </si>
  <si>
    <t xml:space="preserve">1、轻钢骨架，间距一般为400mm,打孔下膨胀螺栓固定；                           2、9.5mm厚纸面石膏板罩面，自攻螺丝钉固定，钉眼点涂防锈漆，石膏板接缝处填嵌石膏，粘帖专用绷带；  </t>
  </si>
  <si>
    <t>石膏板普通单层边吊（≤300mm）</t>
  </si>
  <si>
    <t xml:space="preserve">1、轻钢骨架，间距一般为400mm,打孔下膨胀螺栓固定；                           2、9.5mm厚纸面石膏板罩面，自攻螺丝钉固定，钉眼点涂防锈漆，石膏板接缝处填嵌石膏，粘帖专用绷带；
3、宽度不大于60mm。                          </t>
  </si>
  <si>
    <t>石膏板单级走边（≤200mm）</t>
  </si>
  <si>
    <t>木板基层，石膏板封边，宽度少于20mm</t>
  </si>
  <si>
    <t>石膏板双级走边/双眼皮走边</t>
  </si>
  <si>
    <t>禅翼型材灯线安装</t>
  </si>
  <si>
    <t>吊顶凹槽造型/线型灯</t>
  </si>
  <si>
    <t>留槽工艺</t>
  </si>
  <si>
    <t>反光灯槽吊顶</t>
  </si>
  <si>
    <t>木工板基层，石膏板封边</t>
  </si>
  <si>
    <t>空调出风或回风口框架</t>
  </si>
  <si>
    <t>欧松板框架，龙骨角条固定长度≤2000mm</t>
  </si>
  <si>
    <t>窗帘盒</t>
  </si>
  <si>
    <t xml:space="preserve">1、优等欧松板做底板与立板，石膏板贴面                          2、宽度≤280mm；                        
</t>
  </si>
  <si>
    <t>石膏板弧形造型（按人工补差）</t>
  </si>
  <si>
    <t>圆弧造型补差人工费</t>
  </si>
  <si>
    <t>电视背景反光灯槽</t>
  </si>
  <si>
    <t>1、15MM欧松板找平，打底。
2、9.5mm厚纸面石膏板罩面，自攻螺丝钉固定，钉眼点涂防锈漆，石膏板接缝处填嵌石膏，粘帖专用绷带；</t>
  </si>
  <si>
    <t>木制地台（一级细木工板）</t>
  </si>
  <si>
    <t>1、松木方或优等细木工板开条做骨架，上铺优等细木工板，抽屉另计；               
2、地板、地毯、石塑等面层铺设另计；     
3、按平面面积计算工程量，高度≤200mm。</t>
  </si>
  <si>
    <t>油漆</t>
  </si>
  <si>
    <t>顶面基层处理</t>
  </si>
  <si>
    <t>1、刷界面剂一遍，批刮腻子三遍，打磨平整；                                   2、顶面水泥砂浆处理、沙灰墙铲除、原顶面涂层铲除及贴布等费用另计；             
3、原顶面平整度误差超过1.5cm、垂直误差超过1.5cm需找平，费用另计。</t>
  </si>
  <si>
    <t>顶面乳胶漆</t>
  </si>
  <si>
    <t>1、一遍底涂
2、两遍面涂及人工。</t>
  </si>
  <si>
    <t>墙面基层处理</t>
  </si>
  <si>
    <t>1、刷界面剂一遍，批刮腻子三遍，打磨平整；                                   2、顶面水泥砂浆处理、沙灰墙铲除、原顶面涂层铲除及贴布等费用另计；
3、原顶面平整度误差超过1.5cm、垂直误差超过1.5cm需找平，费用另计。</t>
  </si>
  <si>
    <t>墙面乳胶漆</t>
  </si>
  <si>
    <t>包管</t>
  </si>
  <si>
    <t>包管道（1根）</t>
  </si>
  <si>
    <t>1、成品现浇混凝土或红砖包管，含人工、辅料，
2、未包管部分下水管采用EVA材料保护、专用扎带固定</t>
  </si>
  <si>
    <t>包管道（2根）</t>
  </si>
  <si>
    <t>包管道（3根）</t>
  </si>
  <si>
    <t>【三、卧室工程】</t>
  </si>
  <si>
    <t>石材窗台板铺设（飘窗）</t>
  </si>
  <si>
    <t>1、轻工辅料，，宽度≤800mm;                               
2、干性水泥砂浆铺贴，玻璃胶填缝；       
3、不含抛光打蜡。</t>
  </si>
  <si>
    <t>【七、阳台工程】</t>
  </si>
  <si>
    <t>【八、厨卫工程】</t>
  </si>
  <si>
    <t>下沉式卫生间地面填充</t>
  </si>
  <si>
    <t>陶粒填充</t>
  </si>
  <si>
    <t>填充后细石砼地面找平</t>
  </si>
  <si>
    <t xml:space="preserve">水泥砂浆找平，厚度≤5cm，放6mm钢筋，间距15cm*15cm   </t>
  </si>
  <si>
    <t>水泥黄沙瓜子片豆石精找平（地砖博贴专用，误差3mm）（厚度3到5cm）</t>
  </si>
  <si>
    <t>下沉式淋浴房工艺</t>
  </si>
  <si>
    <t>壁龛工艺增加</t>
  </si>
  <si>
    <t>人工费</t>
  </si>
  <si>
    <t>顶面基层处理(防水腻子）</t>
  </si>
  <si>
    <t>顶面防水乳胶漆</t>
  </si>
  <si>
    <t>间</t>
  </si>
  <si>
    <t>防水乳胶漆</t>
  </si>
  <si>
    <t>厨房卫生间同步，去掉“下沉式淋浴房工艺”、“壁龛工艺增加”两个工程项</t>
  </si>
  <si>
    <t>【十、油漆工程】</t>
  </si>
  <si>
    <t>3D放样</t>
  </si>
  <si>
    <t>人工费及辅料费</t>
  </si>
  <si>
    <t>PVC常规型阴阳角线</t>
  </si>
  <si>
    <t>1、专业阴阳角线条处理。
2、按外框面积计算</t>
  </si>
  <si>
    <t>吊顶石膏板接缝、干壁钉防锈处理</t>
  </si>
  <si>
    <t>1、接缝纸接石膏板接缝、干壁钉防锈漆处理。
2、按外框面积计算</t>
  </si>
  <si>
    <t>【十一、水电工程】</t>
  </si>
  <si>
    <t>开管线槽</t>
  </si>
  <si>
    <t>1 切割片 垃圾袋。</t>
  </si>
  <si>
    <t>打孔穿线</t>
  </si>
  <si>
    <t>1 人工费 垃圾袋。</t>
  </si>
  <si>
    <t>给水工程（PPR）</t>
  </si>
  <si>
    <t>1、【保利橙色管25直径，壁厚4.2】ppr水管热熔连接；
2、开槽、定位； 
3、冷热水管EVA保温防潮工艺（顶面走向）</t>
  </si>
  <si>
    <t>排水工程（PVC）</t>
  </si>
  <si>
    <t>保利PVC排水管、定位.</t>
  </si>
  <si>
    <t>强电工程（1.5；2.5BV线；4.0Bvr线）</t>
  </si>
  <si>
    <t>【正泰】阻燃电线、86底盒、定位.</t>
  </si>
  <si>
    <t>弱电工程（6类网线，电视线）</t>
  </si>
  <si>
    <t>【正泰】超六类网线、86底盒、定位.</t>
  </si>
  <si>
    <t>风管机/中央空调外机强电穿线</t>
  </si>
  <si>
    <t xml:space="preserve">1、国标单芯铜线 
2、PVC阻燃双色线管开槽铺设安装（4-6平方布线）                                                                                                                                                               </t>
  </si>
  <si>
    <t>智能布线</t>
  </si>
  <si>
    <t>正泰空开更换</t>
  </si>
  <si>
    <t>正泰（含总开、漏电保护器、空开，单个电箱配置）按外框面积计算</t>
  </si>
  <si>
    <t>施耐德空开更换</t>
  </si>
  <si>
    <t>施耐德m9系列（含总开、漏电保护器、空开，单个电箱配置）按外框面积计算</t>
  </si>
  <si>
    <t>小热水循环水布管</t>
  </si>
  <si>
    <t>按建筑面积外框计算</t>
  </si>
  <si>
    <t>大热水循环水布管</t>
  </si>
  <si>
    <t>强电箱移位</t>
  </si>
  <si>
    <t>只</t>
  </si>
  <si>
    <t>含PVC管、开槽，敷设人工,含箱子</t>
  </si>
  <si>
    <t>弱电箱移位</t>
  </si>
  <si>
    <t>暗藏花洒预埋</t>
  </si>
  <si>
    <t>套</t>
  </si>
  <si>
    <t>人工费，不含主材、辅材</t>
  </si>
  <si>
    <t>暗藏龙头预埋</t>
  </si>
  <si>
    <t>下水管隔音处理（卫生间、阳台）</t>
  </si>
  <si>
    <t>1、包管部分下水管采用黄金阻尼片，隔音棉材料保护、专用扎带固定</t>
  </si>
  <si>
    <t>【十二、其他工程】</t>
  </si>
  <si>
    <t>装修建筑垃圾外运</t>
  </si>
  <si>
    <t>车</t>
  </si>
  <si>
    <t>遇物业不负责垃圾外运时，装修所产生的建筑垃圾外运费用。</t>
  </si>
  <si>
    <t>装潢垃圾清理费</t>
  </si>
  <si>
    <t>施工现场的垃圾物业指定堆放处（不含其它材料商产生的垃圾）</t>
  </si>
  <si>
    <t>室内家政服务费</t>
  </si>
  <si>
    <t>完工时对工地进行室内家政服务。</t>
  </si>
  <si>
    <t>【十三、工程汇总】</t>
  </si>
  <si>
    <t>（1）</t>
  </si>
  <si>
    <t>直接费</t>
  </si>
  <si>
    <t>元</t>
  </si>
  <si>
    <r>
      <rPr>
        <sz val="11"/>
        <rFont val="宋体"/>
        <charset val="134"/>
      </rPr>
      <t>（</t>
    </r>
    <r>
      <rPr>
        <sz val="11"/>
        <rFont val="Times New Roman"/>
        <charset val="0"/>
      </rPr>
      <t>2</t>
    </r>
    <r>
      <rPr>
        <sz val="11"/>
        <rFont val="宋体"/>
        <charset val="134"/>
      </rPr>
      <t>）</t>
    </r>
  </si>
  <si>
    <t>管理费</t>
  </si>
  <si>
    <t>管理费统一按工程总价10%计算。</t>
  </si>
  <si>
    <t>（3）</t>
  </si>
  <si>
    <t>税金</t>
  </si>
  <si>
    <t>税金统一按工程总价6%计算。</t>
  </si>
  <si>
    <t>（4）</t>
  </si>
  <si>
    <t>总造价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</si>
</sst>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;[Red]0.00"/>
  </numFmts>
  <fonts count="40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strike/>
      <sz val="12"/>
      <name val="宋体"/>
      <charset val="134"/>
    </font>
    <font>
      <sz val="10"/>
      <name val="Times New Roman"/>
      <charset val="0"/>
    </font>
    <font>
      <sz val="10"/>
      <color indexed="12"/>
      <name val="宋体"/>
      <charset val="134"/>
    </font>
    <font>
      <b/>
      <sz val="24"/>
      <name val="宋体"/>
      <charset val="134"/>
    </font>
    <font>
      <sz val="10"/>
      <name val="新宋体"/>
      <charset val="134"/>
    </font>
    <font>
      <b/>
      <sz val="10"/>
      <name val="宋体"/>
      <charset val="134"/>
      <scheme val="minor"/>
    </font>
    <font>
      <sz val="24"/>
      <name val="宋体"/>
      <charset val="134"/>
    </font>
    <font>
      <sz val="14"/>
      <name val="宋体"/>
      <charset val="134"/>
    </font>
    <font>
      <sz val="16"/>
      <name val="宋体"/>
      <charset val="134"/>
    </font>
    <font>
      <sz val="10"/>
      <name val="宋体"/>
      <charset val="0"/>
    </font>
    <font>
      <sz val="10"/>
      <color theme="1"/>
      <name val="宋体"/>
      <charset val="134"/>
    </font>
    <font>
      <sz val="9"/>
      <name val="宋体"/>
      <charset val="134"/>
    </font>
    <font>
      <strike/>
      <sz val="10"/>
      <name val="宋体"/>
      <charset val="134"/>
    </font>
    <font>
      <strike/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name val="Times New Roman"/>
      <charset val="0"/>
    </font>
    <font>
      <sz val="11"/>
      <name val="Times New Roman"/>
      <charset val="0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3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2" applyNumberFormat="0" applyFill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34" applyNumberFormat="0" applyAlignment="0" applyProtection="0">
      <alignment vertical="center"/>
    </xf>
    <xf numFmtId="0" fontId="28" fillId="8" borderId="35" applyNumberFormat="0" applyAlignment="0" applyProtection="0">
      <alignment vertical="center"/>
    </xf>
    <xf numFmtId="0" fontId="29" fillId="8" borderId="34" applyNumberFormat="0" applyAlignment="0" applyProtection="0">
      <alignment vertical="center"/>
    </xf>
    <xf numFmtId="0" fontId="30" fillId="9" borderId="36" applyNumberFormat="0" applyAlignment="0" applyProtection="0">
      <alignment vertical="center"/>
    </xf>
    <xf numFmtId="0" fontId="31" fillId="0" borderId="37" applyNumberFormat="0" applyFill="0" applyAlignment="0" applyProtection="0">
      <alignment vertical="center"/>
    </xf>
    <xf numFmtId="0" fontId="32" fillId="0" borderId="38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" fillId="0" borderId="0"/>
  </cellStyleXfs>
  <cellXfs count="14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/>
    <xf numFmtId="0" fontId="3" fillId="2" borderId="0" xfId="0" applyFont="1" applyFill="1" applyBorder="1" applyAlignment="1"/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 applyProtection="1">
      <alignment horizontal="left" vertical="center" wrapText="1"/>
      <protection hidden="1"/>
    </xf>
    <xf numFmtId="0" fontId="2" fillId="3" borderId="13" xfId="0" applyFont="1" applyFill="1" applyBorder="1" applyAlignment="1" applyProtection="1">
      <alignment horizontal="left" vertical="center"/>
      <protection hidden="1"/>
    </xf>
    <xf numFmtId="0" fontId="2" fillId="3" borderId="13" xfId="0" applyFont="1" applyFill="1" applyBorder="1" applyAlignment="1" applyProtection="1">
      <alignment horizontal="center" vertical="center"/>
      <protection hidden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 applyProtection="1">
      <alignment horizontal="left" vertical="center" wrapText="1"/>
      <protection hidden="1"/>
    </xf>
    <xf numFmtId="0" fontId="2" fillId="3" borderId="15" xfId="0" applyFont="1" applyFill="1" applyBorder="1" applyAlignment="1" applyProtection="1">
      <alignment horizontal="left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1" fillId="0" borderId="1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11" fillId="0" borderId="14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vertical="center"/>
    </xf>
    <xf numFmtId="0" fontId="1" fillId="0" borderId="19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2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176" fontId="2" fillId="3" borderId="20" xfId="0" applyNumberFormat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176" fontId="2" fillId="3" borderId="11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6" fontId="1" fillId="0" borderId="13" xfId="0" applyNumberFormat="1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 applyProtection="1">
      <alignment horizontal="left" vertical="center"/>
      <protection hidden="1"/>
    </xf>
    <xf numFmtId="0" fontId="8" fillId="0" borderId="22" xfId="0" applyFont="1" applyFill="1" applyBorder="1" applyAlignment="1">
      <alignment horizontal="left" vertical="center" wrapText="1"/>
    </xf>
    <xf numFmtId="0" fontId="8" fillId="0" borderId="22" xfId="0" applyNumberFormat="1" applyFont="1" applyFill="1" applyBorder="1" applyAlignment="1">
      <alignment horizontal="left" vertical="center" wrapText="1"/>
    </xf>
    <xf numFmtId="176" fontId="14" fillId="0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  <xf numFmtId="0" fontId="1" fillId="0" borderId="25" xfId="0" applyFont="1" applyFill="1" applyBorder="1" applyAlignment="1">
      <alignment horizontal="left" vertical="center"/>
    </xf>
    <xf numFmtId="0" fontId="2" fillId="3" borderId="26" xfId="0" applyFont="1" applyFill="1" applyBorder="1" applyAlignment="1" applyProtection="1">
      <alignment horizontal="left" vertical="center"/>
      <protection hidden="1"/>
    </xf>
    <xf numFmtId="176" fontId="15" fillId="0" borderId="22" xfId="0" applyNumberFormat="1" applyFont="1" applyFill="1" applyBorder="1" applyAlignment="1">
      <alignment horizontal="left" vertical="center" wrapText="1"/>
    </xf>
    <xf numFmtId="0" fontId="8" fillId="0" borderId="5" xfId="0" applyNumberFormat="1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14" xfId="0" applyFont="1" applyFill="1" applyBorder="1" applyAlignment="1" applyProtection="1">
      <alignment horizontal="left" vertical="center" wrapText="1"/>
      <protection hidden="1"/>
    </xf>
    <xf numFmtId="0" fontId="2" fillId="0" borderId="15" xfId="0" applyFont="1" applyFill="1" applyBorder="1" applyAlignment="1" applyProtection="1">
      <alignment horizontal="left" vertical="center"/>
      <protection hidden="1"/>
    </xf>
    <xf numFmtId="0" fontId="2" fillId="0" borderId="15" xfId="0" applyFont="1" applyFill="1" applyBorder="1" applyAlignment="1" applyProtection="1">
      <alignment horizontal="center" vertical="center"/>
      <protection hidden="1"/>
    </xf>
    <xf numFmtId="0" fontId="1" fillId="0" borderId="4" xfId="49" applyFont="1" applyFill="1" applyBorder="1" applyAlignment="1">
      <alignment horizontal="center" vertical="center"/>
    </xf>
    <xf numFmtId="0" fontId="1" fillId="0" borderId="5" xfId="49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 wrapText="1"/>
    </xf>
    <xf numFmtId="176" fontId="1" fillId="0" borderId="5" xfId="49" applyNumberFormat="1" applyFont="1" applyFill="1" applyBorder="1" applyAlignment="1">
      <alignment horizontal="center" vertical="center" wrapText="1"/>
    </xf>
    <xf numFmtId="0" fontId="1" fillId="0" borderId="5" xfId="49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/>
    </xf>
    <xf numFmtId="0" fontId="8" fillId="0" borderId="5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26" xfId="0" applyFont="1" applyFill="1" applyBorder="1" applyAlignment="1" applyProtection="1">
      <alignment horizontal="left" vertical="center"/>
      <protection hidden="1"/>
    </xf>
    <xf numFmtId="0" fontId="14" fillId="4" borderId="0" xfId="0" applyFont="1" applyFill="1" applyBorder="1" applyAlignment="1">
      <alignment horizontal="center" vertical="center"/>
    </xf>
    <xf numFmtId="0" fontId="1" fillId="0" borderId="22" xfId="49" applyFont="1" applyFill="1" applyBorder="1" applyAlignment="1">
      <alignment horizontal="left" vertical="center" wrapText="1" shrinkToFit="1"/>
    </xf>
    <xf numFmtId="0" fontId="1" fillId="0" borderId="22" xfId="0" applyFont="1" applyFill="1" applyBorder="1" applyAlignment="1">
      <alignment horizontal="left" vertical="center" wrapText="1"/>
    </xf>
    <xf numFmtId="178" fontId="1" fillId="0" borderId="22" xfId="49" applyNumberFormat="1" applyFont="1" applyFill="1" applyBorder="1" applyAlignment="1">
      <alignment horizontal="left" vertical="center" wrapText="1"/>
    </xf>
    <xf numFmtId="0" fontId="1" fillId="0" borderId="22" xfId="49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5" xfId="49" applyFont="1" applyFill="1" applyBorder="1" applyAlignment="1">
      <alignment horizontal="left" vertical="center" wrapText="1" shrinkToFit="1"/>
    </xf>
    <xf numFmtId="0" fontId="4" fillId="2" borderId="0" xfId="0" applyFont="1" applyFill="1" applyBorder="1" applyAlignment="1">
      <alignment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9" fillId="5" borderId="12" xfId="0" applyFont="1" applyFill="1" applyBorder="1" applyAlignment="1">
      <alignment vertical="center"/>
    </xf>
    <xf numFmtId="49" fontId="18" fillId="5" borderId="13" xfId="0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left" vertical="center"/>
    </xf>
    <xf numFmtId="0" fontId="9" fillId="5" borderId="28" xfId="0" applyFont="1" applyFill="1" applyBorder="1" applyAlignment="1">
      <alignment vertical="center"/>
    </xf>
    <xf numFmtId="49" fontId="18" fillId="5" borderId="29" xfId="0" applyNumberFormat="1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vertical="center"/>
    </xf>
    <xf numFmtId="176" fontId="1" fillId="5" borderId="13" xfId="0" applyNumberFormat="1" applyFont="1" applyFill="1" applyBorder="1" applyAlignment="1">
      <alignment horizontal="center" vertical="center"/>
    </xf>
    <xf numFmtId="0" fontId="18" fillId="5" borderId="29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vertical="center"/>
    </xf>
    <xf numFmtId="176" fontId="1" fillId="5" borderId="29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left" vertical="center"/>
    </xf>
    <xf numFmtId="0" fontId="18" fillId="5" borderId="25" xfId="0" applyFont="1" applyFill="1" applyBorder="1" applyAlignment="1">
      <alignment horizontal="left" vertical="center" wrapText="1"/>
    </xf>
    <xf numFmtId="0" fontId="1" fillId="5" borderId="3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3" xfId="49"/>
  </cellStyles>
  <dxfs count="18">
    <dxf>
      <font>
        <u val="none"/>
        <color indexed="1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0</xdr:row>
      <xdr:rowOff>48260</xdr:rowOff>
    </xdr:from>
    <xdr:to>
      <xdr:col>2</xdr:col>
      <xdr:colOff>878205</xdr:colOff>
      <xdr:row>0</xdr:row>
      <xdr:rowOff>580390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0050" y="48260"/>
          <a:ext cx="1221105" cy="532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08"/>
  <sheetViews>
    <sheetView tabSelected="1" view="pageBreakPreview" zoomScaleNormal="100" workbookViewId="0">
      <selection activeCell="A1" sqref="A1:I1"/>
    </sheetView>
  </sheetViews>
  <sheetFormatPr defaultColWidth="9" defaultRowHeight="15.95" customHeight="1"/>
  <cols>
    <col min="1" max="1" width="5.625" style="10" customWidth="1"/>
    <col min="2" max="2" width="5.625" style="11" customWidth="1"/>
    <col min="3" max="3" width="20.625" style="12" customWidth="1"/>
    <col min="4" max="4" width="20.7788461538462" style="12" customWidth="1"/>
    <col min="5" max="5" width="12.625" style="13" customWidth="1"/>
    <col min="6" max="6" width="12.625" style="14" customWidth="1"/>
    <col min="7" max="7" width="12.625" style="15" customWidth="1"/>
    <col min="8" max="8" width="12.625" style="14" customWidth="1"/>
    <col min="9" max="9" width="55.625" style="16" customWidth="1"/>
    <col min="10" max="10" width="17.25" style="1" customWidth="1"/>
    <col min="11" max="11" width="10.3846153846154" style="1" customWidth="1"/>
    <col min="12" max="12" width="9.5" style="1"/>
    <col min="13" max="248" width="9" style="1"/>
    <col min="249" max="16378" width="9" style="17"/>
    <col min="16379" max="16382" width="9" style="10"/>
    <col min="16383" max="16384" width="9" style="18"/>
  </cols>
  <sheetData>
    <row r="1" s="1" customFormat="1" ht="50" customHeight="1" spans="1:9">
      <c r="A1" s="19" t="s">
        <v>0</v>
      </c>
      <c r="B1" s="20"/>
      <c r="C1" s="20"/>
      <c r="D1" s="20"/>
      <c r="E1" s="20"/>
      <c r="F1" s="20"/>
      <c r="G1" s="20"/>
      <c r="H1" s="20"/>
      <c r="I1" s="74"/>
    </row>
    <row r="2" s="1" customFormat="1" ht="30" customHeight="1" spans="1:9">
      <c r="A2" s="21" t="s">
        <v>1</v>
      </c>
      <c r="B2" s="22"/>
      <c r="C2" s="23"/>
      <c r="D2" s="24"/>
      <c r="E2" s="22" t="s">
        <v>2</v>
      </c>
      <c r="F2" s="22"/>
      <c r="G2" s="22">
        <v>130</v>
      </c>
      <c r="H2" s="22" t="s">
        <v>3</v>
      </c>
      <c r="I2" s="75"/>
    </row>
    <row r="3" s="2" customFormat="1" ht="15" customHeight="1" spans="1:9">
      <c r="A3" s="21" t="s">
        <v>4</v>
      </c>
      <c r="B3" s="22"/>
      <c r="C3" s="25" t="s">
        <v>5</v>
      </c>
      <c r="D3" s="26"/>
      <c r="E3" s="64" t="s">
        <v>6</v>
      </c>
      <c r="F3" s="64" t="s">
        <v>7</v>
      </c>
      <c r="G3" s="65" t="s">
        <v>8</v>
      </c>
      <c r="H3" s="65"/>
      <c r="I3" s="76" t="s">
        <v>9</v>
      </c>
    </row>
    <row r="4" s="2" customFormat="1" ht="15" customHeight="1" spans="1:9">
      <c r="A4" s="27"/>
      <c r="B4" s="28"/>
      <c r="C4" s="25"/>
      <c r="D4" s="26"/>
      <c r="E4" s="66"/>
      <c r="F4" s="66"/>
      <c r="G4" s="66" t="s">
        <v>10</v>
      </c>
      <c r="H4" s="66" t="s">
        <v>11</v>
      </c>
      <c r="I4" s="77"/>
    </row>
    <row r="5" s="3" customFormat="1" ht="25" customHeight="1" spans="1:248">
      <c r="A5" s="29" t="s">
        <v>12</v>
      </c>
      <c r="B5" s="30"/>
      <c r="C5" s="30"/>
      <c r="D5" s="31" t="s">
        <v>13</v>
      </c>
      <c r="E5" s="31"/>
      <c r="F5" s="31" t="s">
        <v>14</v>
      </c>
      <c r="G5" s="31"/>
      <c r="H5" s="31" t="s">
        <v>15</v>
      </c>
      <c r="I5" s="78">
        <v>2.91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</row>
    <row r="6" s="4" customFormat="1" ht="31" spans="1:248">
      <c r="A6" s="32">
        <v>1</v>
      </c>
      <c r="B6" s="33"/>
      <c r="C6" s="34" t="s">
        <v>16</v>
      </c>
      <c r="D6" s="35"/>
      <c r="E6" s="67" t="s">
        <v>17</v>
      </c>
      <c r="F6" s="68">
        <v>0</v>
      </c>
      <c r="G6" s="69">
        <v>8</v>
      </c>
      <c r="H6" s="68">
        <f t="shared" ref="H6:H24" si="0">F6*G6</f>
        <v>0</v>
      </c>
      <c r="I6" s="79" t="s">
        <v>18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</row>
    <row r="7" s="1" customFormat="1" ht="46" spans="1:9">
      <c r="A7" s="32">
        <v>2</v>
      </c>
      <c r="B7" s="33"/>
      <c r="C7" s="34" t="s">
        <v>19</v>
      </c>
      <c r="D7" s="35"/>
      <c r="E7" s="67" t="s">
        <v>17</v>
      </c>
      <c r="F7" s="68">
        <v>0</v>
      </c>
      <c r="G7" s="69">
        <v>62</v>
      </c>
      <c r="H7" s="68">
        <f t="shared" si="0"/>
        <v>0</v>
      </c>
      <c r="I7" s="80" t="s">
        <v>20</v>
      </c>
    </row>
    <row r="8" s="1" customFormat="1" ht="46" spans="1:9">
      <c r="A8" s="32">
        <v>3</v>
      </c>
      <c r="B8" s="33"/>
      <c r="C8" s="34" t="s">
        <v>21</v>
      </c>
      <c r="D8" s="35"/>
      <c r="E8" s="67" t="s">
        <v>17</v>
      </c>
      <c r="F8" s="68">
        <v>0</v>
      </c>
      <c r="G8" s="69">
        <v>72</v>
      </c>
      <c r="H8" s="68">
        <f t="shared" si="0"/>
        <v>0</v>
      </c>
      <c r="I8" s="80" t="s">
        <v>20</v>
      </c>
    </row>
    <row r="9" s="1" customFormat="1" ht="46" spans="1:9">
      <c r="A9" s="32">
        <v>4</v>
      </c>
      <c r="B9" s="33"/>
      <c r="C9" s="34" t="s">
        <v>22</v>
      </c>
      <c r="D9" s="35"/>
      <c r="E9" s="70" t="s">
        <v>23</v>
      </c>
      <c r="F9" s="68">
        <v>0</v>
      </c>
      <c r="G9" s="69">
        <v>1000</v>
      </c>
      <c r="H9" s="68">
        <f t="shared" si="0"/>
        <v>0</v>
      </c>
      <c r="I9" s="80" t="s">
        <v>20</v>
      </c>
    </row>
    <row r="10" s="1" customFormat="1" ht="46" spans="1:9">
      <c r="A10" s="32">
        <v>5</v>
      </c>
      <c r="B10" s="33"/>
      <c r="C10" s="34" t="s">
        <v>24</v>
      </c>
      <c r="D10" s="35"/>
      <c r="E10" s="70" t="s">
        <v>25</v>
      </c>
      <c r="F10" s="68">
        <v>0</v>
      </c>
      <c r="G10" s="69">
        <v>500</v>
      </c>
      <c r="H10" s="68">
        <f t="shared" si="0"/>
        <v>0</v>
      </c>
      <c r="I10" s="80" t="s">
        <v>20</v>
      </c>
    </row>
    <row r="11" s="4" customFormat="1" ht="46" spans="1:248">
      <c r="A11" s="32">
        <v>6</v>
      </c>
      <c r="B11" s="33"/>
      <c r="C11" s="34" t="s">
        <v>26</v>
      </c>
      <c r="D11" s="35"/>
      <c r="E11" s="67" t="s">
        <v>27</v>
      </c>
      <c r="F11" s="68">
        <v>0</v>
      </c>
      <c r="G11" s="69">
        <v>260</v>
      </c>
      <c r="H11" s="68">
        <f t="shared" si="0"/>
        <v>0</v>
      </c>
      <c r="I11" s="79" t="s">
        <v>28</v>
      </c>
      <c r="J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</row>
    <row r="12" s="4" customFormat="1" ht="76" spans="1:248">
      <c r="A12" s="32">
        <v>7</v>
      </c>
      <c r="B12" s="33"/>
      <c r="C12" s="34" t="s">
        <v>29</v>
      </c>
      <c r="D12" s="35"/>
      <c r="E12" s="67" t="s">
        <v>17</v>
      </c>
      <c r="F12" s="68">
        <v>0</v>
      </c>
      <c r="G12" s="69">
        <v>118</v>
      </c>
      <c r="H12" s="68">
        <f t="shared" si="0"/>
        <v>0</v>
      </c>
      <c r="I12" s="80" t="s">
        <v>30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</row>
    <row r="13" s="4" customFormat="1" ht="25" customHeight="1" spans="1:248">
      <c r="A13" s="32">
        <v>8</v>
      </c>
      <c r="B13" s="33"/>
      <c r="C13" s="34" t="s">
        <v>31</v>
      </c>
      <c r="D13" s="35"/>
      <c r="E13" s="67" t="s">
        <v>17</v>
      </c>
      <c r="F13" s="68">
        <v>0</v>
      </c>
      <c r="G13" s="69">
        <v>50</v>
      </c>
      <c r="H13" s="68">
        <f t="shared" si="0"/>
        <v>0</v>
      </c>
      <c r="I13" s="79" t="s">
        <v>32</v>
      </c>
      <c r="J13" s="8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</row>
    <row r="14" s="4" customFormat="1" ht="46" spans="1:248">
      <c r="A14" s="32">
        <v>9</v>
      </c>
      <c r="B14" s="33"/>
      <c r="C14" s="34" t="s">
        <v>33</v>
      </c>
      <c r="D14" s="35"/>
      <c r="E14" s="67" t="s">
        <v>27</v>
      </c>
      <c r="F14" s="71">
        <f>0.41+0.66+0.98+0.94+0.5+0.36</f>
        <v>3.85</v>
      </c>
      <c r="G14" s="71">
        <v>50</v>
      </c>
      <c r="H14" s="68">
        <f t="shared" si="0"/>
        <v>192.5</v>
      </c>
      <c r="I14" s="79" t="s">
        <v>34</v>
      </c>
      <c r="J14" s="8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</row>
    <row r="15" s="4" customFormat="1" ht="46" spans="1:248">
      <c r="A15" s="32">
        <v>10</v>
      </c>
      <c r="B15" s="33"/>
      <c r="C15" s="34" t="s">
        <v>35</v>
      </c>
      <c r="D15" s="35"/>
      <c r="E15" s="67" t="s">
        <v>27</v>
      </c>
      <c r="F15" s="68">
        <v>0</v>
      </c>
      <c r="G15" s="71">
        <v>220</v>
      </c>
      <c r="H15" s="68">
        <f t="shared" si="0"/>
        <v>0</v>
      </c>
      <c r="I15" s="79" t="s">
        <v>36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</row>
    <row r="16" s="4" customFormat="1" ht="31" spans="1:248">
      <c r="A16" s="32">
        <v>11</v>
      </c>
      <c r="B16" s="33"/>
      <c r="C16" s="34" t="s">
        <v>37</v>
      </c>
      <c r="D16" s="35"/>
      <c r="E16" s="67" t="s">
        <v>17</v>
      </c>
      <c r="F16" s="68">
        <v>0</v>
      </c>
      <c r="G16" s="71">
        <v>258</v>
      </c>
      <c r="H16" s="68">
        <f t="shared" si="0"/>
        <v>0</v>
      </c>
      <c r="I16" s="79" t="s">
        <v>38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</row>
    <row r="17" s="4" customFormat="1" ht="31" spans="1:248">
      <c r="A17" s="32">
        <v>12</v>
      </c>
      <c r="B17" s="33"/>
      <c r="C17" s="34" t="s">
        <v>39</v>
      </c>
      <c r="D17" s="35"/>
      <c r="E17" s="67" t="s">
        <v>17</v>
      </c>
      <c r="F17" s="68">
        <v>0</v>
      </c>
      <c r="G17" s="71">
        <v>208</v>
      </c>
      <c r="H17" s="68">
        <f t="shared" si="0"/>
        <v>0</v>
      </c>
      <c r="I17" s="79" t="s">
        <v>40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</row>
    <row r="18" s="4" customFormat="1" ht="31" spans="1:248">
      <c r="A18" s="32">
        <v>13</v>
      </c>
      <c r="B18" s="33"/>
      <c r="C18" s="34" t="s">
        <v>41</v>
      </c>
      <c r="D18" s="35"/>
      <c r="E18" s="67" t="s">
        <v>17</v>
      </c>
      <c r="F18" s="68">
        <v>0</v>
      </c>
      <c r="G18" s="71">
        <v>288</v>
      </c>
      <c r="H18" s="68">
        <f t="shared" si="0"/>
        <v>0</v>
      </c>
      <c r="I18" s="79" t="s">
        <v>42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</row>
    <row r="19" s="4" customFormat="1" ht="46" spans="1:248">
      <c r="A19" s="32">
        <v>14</v>
      </c>
      <c r="B19" s="33"/>
      <c r="C19" s="34" t="s">
        <v>43</v>
      </c>
      <c r="D19" s="35"/>
      <c r="E19" s="67" t="s">
        <v>17</v>
      </c>
      <c r="F19" s="71">
        <f>(0.41+0.66+0.92+0.9+0.36+3.1+1.28+1.51+1.58+1.06+0.38+0.33+0.35+1.88+0.56+0.84+0.38+1.44+0.56+1.58)*I5</f>
        <v>58.4328</v>
      </c>
      <c r="G19" s="71">
        <v>188</v>
      </c>
      <c r="H19" s="68">
        <f t="shared" si="0"/>
        <v>10985.3664</v>
      </c>
      <c r="I19" s="79" t="s">
        <v>44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</row>
    <row r="20" s="4" customFormat="1" ht="46" spans="1:248">
      <c r="A20" s="32">
        <v>15</v>
      </c>
      <c r="B20" s="33"/>
      <c r="C20" s="34" t="s">
        <v>45</v>
      </c>
      <c r="D20" s="35"/>
      <c r="E20" s="67" t="s">
        <v>17</v>
      </c>
      <c r="F20" s="71">
        <f>(0.22)*I5</f>
        <v>0.6402</v>
      </c>
      <c r="G20" s="71">
        <v>288</v>
      </c>
      <c r="H20" s="68">
        <f t="shared" si="0"/>
        <v>184.3776</v>
      </c>
      <c r="I20" s="79" t="s">
        <v>46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</row>
    <row r="21" s="5" customFormat="1" ht="30" customHeight="1" spans="1:16383">
      <c r="A21" s="32">
        <v>16</v>
      </c>
      <c r="B21" s="33"/>
      <c r="C21" s="34" t="s">
        <v>47</v>
      </c>
      <c r="D21" s="35"/>
      <c r="E21" s="70" t="s">
        <v>48</v>
      </c>
      <c r="F21" s="71">
        <v>1</v>
      </c>
      <c r="G21" s="71">
        <v>400</v>
      </c>
      <c r="H21" s="68">
        <f t="shared" si="0"/>
        <v>400</v>
      </c>
      <c r="I21" s="79" t="s">
        <v>49</v>
      </c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/>
      <c r="CM21" s="82"/>
      <c r="CN21" s="82"/>
      <c r="CO21" s="82"/>
      <c r="CP21" s="82"/>
      <c r="CQ21" s="82"/>
      <c r="CR21" s="82"/>
      <c r="CS21" s="82"/>
      <c r="CT21" s="82"/>
      <c r="CU21" s="82"/>
      <c r="CV21" s="82"/>
      <c r="CW21" s="82"/>
      <c r="CX21" s="82"/>
      <c r="CY21" s="82"/>
      <c r="CZ21" s="82"/>
      <c r="DA21" s="82"/>
      <c r="DB21" s="82"/>
      <c r="DC21" s="82"/>
      <c r="DD21" s="82"/>
      <c r="DE21" s="82"/>
      <c r="DF21" s="82"/>
      <c r="DG21" s="82"/>
      <c r="DH21" s="82"/>
      <c r="DI21" s="82"/>
      <c r="DJ21" s="82"/>
      <c r="DK21" s="82"/>
      <c r="DL21" s="82"/>
      <c r="DM21" s="82"/>
      <c r="DN21" s="82"/>
      <c r="DO21" s="82"/>
      <c r="DP21" s="82"/>
      <c r="DQ21" s="82"/>
      <c r="DR21" s="82"/>
      <c r="DS21" s="82"/>
      <c r="DT21" s="82"/>
      <c r="DU21" s="82"/>
      <c r="DV21" s="82"/>
      <c r="DW21" s="82"/>
      <c r="DX21" s="82"/>
      <c r="DY21" s="82"/>
      <c r="DZ21" s="82"/>
      <c r="EA21" s="82"/>
      <c r="EB21" s="82"/>
      <c r="EC21" s="82"/>
      <c r="ED21" s="82"/>
      <c r="EE21" s="82"/>
      <c r="EF21" s="82"/>
      <c r="EG21" s="82"/>
      <c r="EH21" s="82"/>
      <c r="EI21" s="82"/>
      <c r="EJ21" s="82"/>
      <c r="EK21" s="82"/>
      <c r="EL21" s="82"/>
      <c r="EM21" s="82"/>
      <c r="EN21" s="82"/>
      <c r="EO21" s="82"/>
      <c r="EP21" s="82"/>
      <c r="EQ21" s="82"/>
      <c r="ER21" s="82"/>
      <c r="ES21" s="82"/>
      <c r="ET21" s="82"/>
      <c r="EU21" s="82"/>
      <c r="EV21" s="82"/>
      <c r="EW21" s="82"/>
      <c r="EX21" s="82"/>
      <c r="EY21" s="82"/>
      <c r="EZ21" s="82"/>
      <c r="FA21" s="82"/>
      <c r="FB21" s="82"/>
      <c r="FC21" s="82"/>
      <c r="FD21" s="82"/>
      <c r="FE21" s="82"/>
      <c r="FF21" s="82"/>
      <c r="FG21" s="82"/>
      <c r="FH21" s="82"/>
      <c r="FI21" s="82"/>
      <c r="FJ21" s="82"/>
      <c r="FK21" s="82"/>
      <c r="FL21" s="82"/>
      <c r="FM21" s="82"/>
      <c r="FN21" s="82"/>
      <c r="FO21" s="82"/>
      <c r="FP21" s="82"/>
      <c r="FQ21" s="82"/>
      <c r="FR21" s="82"/>
      <c r="FS21" s="82"/>
      <c r="FT21" s="82"/>
      <c r="FU21" s="82"/>
      <c r="FV21" s="82"/>
      <c r="FW21" s="82"/>
      <c r="FX21" s="82"/>
      <c r="FY21" s="82"/>
      <c r="FZ21" s="82"/>
      <c r="GA21" s="82"/>
      <c r="GB21" s="82"/>
      <c r="GC21" s="82"/>
      <c r="GD21" s="82"/>
      <c r="GE21" s="82"/>
      <c r="GF21" s="82"/>
      <c r="GG21" s="82"/>
      <c r="GH21" s="82"/>
      <c r="GI21" s="82"/>
      <c r="GJ21" s="82"/>
      <c r="GK21" s="82"/>
      <c r="GL21" s="82"/>
      <c r="GM21" s="82"/>
      <c r="GN21" s="82"/>
      <c r="GO21" s="82"/>
      <c r="GP21" s="82"/>
      <c r="GQ21" s="82"/>
      <c r="GR21" s="82"/>
      <c r="GS21" s="82"/>
      <c r="GT21" s="82"/>
      <c r="GU21" s="82"/>
      <c r="GV21" s="82"/>
      <c r="GW21" s="82"/>
      <c r="GX21" s="82"/>
      <c r="GY21" s="82"/>
      <c r="GZ21" s="82"/>
      <c r="HA21" s="82"/>
      <c r="HB21" s="82"/>
      <c r="HC21" s="82"/>
      <c r="HD21" s="82"/>
      <c r="HE21" s="82"/>
      <c r="HF21" s="82"/>
      <c r="HG21" s="82"/>
      <c r="HH21" s="82"/>
      <c r="HI21" s="82"/>
      <c r="HJ21" s="82"/>
      <c r="HK21" s="82"/>
      <c r="HL21" s="82"/>
      <c r="HM21" s="82"/>
      <c r="HN21" s="82"/>
      <c r="HO21" s="82"/>
      <c r="HP21" s="82"/>
      <c r="HQ21" s="82"/>
      <c r="HR21" s="82"/>
      <c r="HS21" s="82"/>
      <c r="HT21" s="82"/>
      <c r="HU21" s="82"/>
      <c r="HV21" s="82"/>
      <c r="HW21" s="82"/>
      <c r="HX21" s="82"/>
      <c r="HY21" s="82"/>
      <c r="HZ21" s="82"/>
      <c r="IA21" s="82"/>
      <c r="IB21" s="82"/>
      <c r="IC21" s="82"/>
      <c r="ID21" s="82"/>
      <c r="IE21" s="82"/>
      <c r="IF21" s="82"/>
      <c r="IG21" s="82"/>
      <c r="IH21" s="82"/>
      <c r="II21" s="82"/>
      <c r="IJ21" s="82"/>
      <c r="IK21" s="82"/>
      <c r="IL21" s="82"/>
      <c r="IM21" s="82"/>
      <c r="IN21" s="82"/>
      <c r="IO21" s="87"/>
      <c r="IP21" s="87"/>
      <c r="IQ21" s="87"/>
      <c r="IR21" s="87"/>
      <c r="IS21" s="87"/>
      <c r="IT21" s="87"/>
      <c r="IU21" s="87"/>
      <c r="IV21" s="87"/>
      <c r="IW21" s="87"/>
      <c r="IX21" s="87"/>
      <c r="IY21" s="87"/>
      <c r="IZ21" s="87"/>
      <c r="JA21" s="87"/>
      <c r="JB21" s="87"/>
      <c r="JC21" s="87"/>
      <c r="JD21" s="87"/>
      <c r="JE21" s="87"/>
      <c r="JF21" s="87"/>
      <c r="JG21" s="87"/>
      <c r="JH21" s="87"/>
      <c r="JI21" s="87"/>
      <c r="JJ21" s="87"/>
      <c r="JK21" s="87"/>
      <c r="JL21" s="87"/>
      <c r="JM21" s="87"/>
      <c r="JN21" s="87"/>
      <c r="JO21" s="87"/>
      <c r="JP21" s="87"/>
      <c r="JQ21" s="87"/>
      <c r="JR21" s="87"/>
      <c r="JS21" s="87"/>
      <c r="JT21" s="87"/>
      <c r="JU21" s="87"/>
      <c r="JV21" s="87"/>
      <c r="JW21" s="87"/>
      <c r="JX21" s="87"/>
      <c r="JY21" s="87"/>
      <c r="JZ21" s="87"/>
      <c r="KA21" s="87"/>
      <c r="KB21" s="87"/>
      <c r="KC21" s="87"/>
      <c r="KD21" s="87"/>
      <c r="KE21" s="87"/>
      <c r="KF21" s="87"/>
      <c r="KG21" s="87"/>
      <c r="KH21" s="87"/>
      <c r="KI21" s="87"/>
      <c r="KJ21" s="87"/>
      <c r="KK21" s="87"/>
      <c r="KL21" s="87"/>
      <c r="KM21" s="87"/>
      <c r="KN21" s="87"/>
      <c r="KO21" s="87"/>
      <c r="KP21" s="87"/>
      <c r="KQ21" s="87"/>
      <c r="KR21" s="87"/>
      <c r="KS21" s="87"/>
      <c r="KT21" s="87"/>
      <c r="KU21" s="87"/>
      <c r="KV21" s="87"/>
      <c r="KW21" s="87"/>
      <c r="KX21" s="87"/>
      <c r="KY21" s="87"/>
      <c r="KZ21" s="87"/>
      <c r="LA21" s="87"/>
      <c r="LB21" s="87"/>
      <c r="LC21" s="87"/>
      <c r="LD21" s="87"/>
      <c r="LE21" s="87"/>
      <c r="LF21" s="87"/>
      <c r="LG21" s="87"/>
      <c r="LH21" s="87"/>
      <c r="LI21" s="87"/>
      <c r="LJ21" s="87"/>
      <c r="LK21" s="87"/>
      <c r="LL21" s="87"/>
      <c r="LM21" s="87"/>
      <c r="LN21" s="87"/>
      <c r="LO21" s="87"/>
      <c r="LP21" s="87"/>
      <c r="LQ21" s="87"/>
      <c r="LR21" s="87"/>
      <c r="LS21" s="87"/>
      <c r="LT21" s="87"/>
      <c r="LU21" s="87"/>
      <c r="LV21" s="87"/>
      <c r="LW21" s="87"/>
      <c r="LX21" s="87"/>
      <c r="LY21" s="87"/>
      <c r="LZ21" s="87"/>
      <c r="MA21" s="87"/>
      <c r="MB21" s="87"/>
      <c r="MC21" s="87"/>
      <c r="MD21" s="87"/>
      <c r="ME21" s="87"/>
      <c r="MF21" s="87"/>
      <c r="MG21" s="87"/>
      <c r="MH21" s="87"/>
      <c r="MI21" s="87"/>
      <c r="MJ21" s="87"/>
      <c r="MK21" s="87"/>
      <c r="ML21" s="87"/>
      <c r="MM21" s="87"/>
      <c r="MN21" s="87"/>
      <c r="MO21" s="87"/>
      <c r="MP21" s="87"/>
      <c r="MQ21" s="87"/>
      <c r="MR21" s="87"/>
      <c r="MS21" s="87"/>
      <c r="MT21" s="87"/>
      <c r="MU21" s="87"/>
      <c r="MV21" s="87"/>
      <c r="MW21" s="87"/>
      <c r="MX21" s="87"/>
      <c r="MY21" s="87"/>
      <c r="MZ21" s="87"/>
      <c r="NA21" s="87"/>
      <c r="NB21" s="87"/>
      <c r="NC21" s="87"/>
      <c r="ND21" s="87"/>
      <c r="NE21" s="87"/>
      <c r="NF21" s="87"/>
      <c r="NG21" s="87"/>
      <c r="NH21" s="87"/>
      <c r="NI21" s="87"/>
      <c r="NJ21" s="87"/>
      <c r="NK21" s="87"/>
      <c r="NL21" s="87"/>
      <c r="NM21" s="87"/>
      <c r="NN21" s="87"/>
      <c r="NO21" s="87"/>
      <c r="NP21" s="87"/>
      <c r="NQ21" s="87"/>
      <c r="NR21" s="87"/>
      <c r="NS21" s="87"/>
      <c r="NT21" s="87"/>
      <c r="NU21" s="87"/>
      <c r="NV21" s="87"/>
      <c r="NW21" s="87"/>
      <c r="NX21" s="87"/>
      <c r="NY21" s="87"/>
      <c r="NZ21" s="87"/>
      <c r="OA21" s="87"/>
      <c r="OB21" s="87"/>
      <c r="OC21" s="87"/>
      <c r="OD21" s="87"/>
      <c r="OE21" s="87"/>
      <c r="OF21" s="87"/>
      <c r="OG21" s="87"/>
      <c r="OH21" s="87"/>
      <c r="OI21" s="87"/>
      <c r="OJ21" s="87"/>
      <c r="OK21" s="87"/>
      <c r="OL21" s="87"/>
      <c r="OM21" s="87"/>
      <c r="ON21" s="87"/>
      <c r="OO21" s="87"/>
      <c r="OP21" s="87"/>
      <c r="OQ21" s="87"/>
      <c r="OR21" s="87"/>
      <c r="OS21" s="87"/>
      <c r="OT21" s="87"/>
      <c r="OU21" s="87"/>
      <c r="OV21" s="87"/>
      <c r="OW21" s="87"/>
      <c r="OX21" s="87"/>
      <c r="OY21" s="87"/>
      <c r="OZ21" s="87"/>
      <c r="PA21" s="87"/>
      <c r="PB21" s="87"/>
      <c r="PC21" s="87"/>
      <c r="PD21" s="87"/>
      <c r="PE21" s="87"/>
      <c r="PF21" s="87"/>
      <c r="PG21" s="87"/>
      <c r="PH21" s="87"/>
      <c r="PI21" s="87"/>
      <c r="PJ21" s="87"/>
      <c r="PK21" s="87"/>
      <c r="PL21" s="87"/>
      <c r="PM21" s="87"/>
      <c r="PN21" s="87"/>
      <c r="PO21" s="87"/>
      <c r="PP21" s="87"/>
      <c r="PQ21" s="87"/>
      <c r="PR21" s="87"/>
      <c r="PS21" s="87"/>
      <c r="PT21" s="87"/>
      <c r="PU21" s="87"/>
      <c r="PV21" s="87"/>
      <c r="PW21" s="87"/>
      <c r="PX21" s="87"/>
      <c r="PY21" s="87"/>
      <c r="PZ21" s="87"/>
      <c r="QA21" s="87"/>
      <c r="QB21" s="87"/>
      <c r="QC21" s="87"/>
      <c r="QD21" s="87"/>
      <c r="QE21" s="87"/>
      <c r="QF21" s="87"/>
      <c r="QG21" s="87"/>
      <c r="QH21" s="87"/>
      <c r="QI21" s="87"/>
      <c r="QJ21" s="87"/>
      <c r="QK21" s="87"/>
      <c r="QL21" s="87"/>
      <c r="QM21" s="87"/>
      <c r="QN21" s="87"/>
      <c r="QO21" s="87"/>
      <c r="QP21" s="87"/>
      <c r="QQ21" s="87"/>
      <c r="QR21" s="87"/>
      <c r="QS21" s="87"/>
      <c r="QT21" s="87"/>
      <c r="QU21" s="87"/>
      <c r="QV21" s="87"/>
      <c r="QW21" s="87"/>
      <c r="QX21" s="87"/>
      <c r="QY21" s="87"/>
      <c r="QZ21" s="87"/>
      <c r="RA21" s="87"/>
      <c r="RB21" s="87"/>
      <c r="RC21" s="87"/>
      <c r="RD21" s="87"/>
      <c r="RE21" s="87"/>
      <c r="RF21" s="87"/>
      <c r="RG21" s="87"/>
      <c r="RH21" s="87"/>
      <c r="RI21" s="87"/>
      <c r="RJ21" s="87"/>
      <c r="RK21" s="87"/>
      <c r="RL21" s="87"/>
      <c r="RM21" s="87"/>
      <c r="RN21" s="87"/>
      <c r="RO21" s="87"/>
      <c r="RP21" s="87"/>
      <c r="RQ21" s="87"/>
      <c r="RR21" s="87"/>
      <c r="RS21" s="87"/>
      <c r="RT21" s="87"/>
      <c r="RU21" s="87"/>
      <c r="RV21" s="87"/>
      <c r="RW21" s="87"/>
      <c r="RX21" s="87"/>
      <c r="RY21" s="87"/>
      <c r="RZ21" s="87"/>
      <c r="SA21" s="87"/>
      <c r="SB21" s="87"/>
      <c r="SC21" s="87"/>
      <c r="SD21" s="87"/>
      <c r="SE21" s="87"/>
      <c r="SF21" s="87"/>
      <c r="SG21" s="87"/>
      <c r="SH21" s="87"/>
      <c r="SI21" s="87"/>
      <c r="SJ21" s="87"/>
      <c r="SK21" s="87"/>
      <c r="SL21" s="87"/>
      <c r="SM21" s="87"/>
      <c r="SN21" s="87"/>
      <c r="SO21" s="87"/>
      <c r="SP21" s="87"/>
      <c r="SQ21" s="87"/>
      <c r="SR21" s="87"/>
      <c r="SS21" s="87"/>
      <c r="ST21" s="87"/>
      <c r="SU21" s="87"/>
      <c r="SV21" s="87"/>
      <c r="SW21" s="87"/>
      <c r="SX21" s="87"/>
      <c r="SY21" s="87"/>
      <c r="SZ21" s="87"/>
      <c r="TA21" s="87"/>
      <c r="TB21" s="87"/>
      <c r="TC21" s="87"/>
      <c r="TD21" s="87"/>
      <c r="TE21" s="87"/>
      <c r="TF21" s="87"/>
      <c r="TG21" s="87"/>
      <c r="TH21" s="87"/>
      <c r="TI21" s="87"/>
      <c r="TJ21" s="87"/>
      <c r="TK21" s="87"/>
      <c r="TL21" s="87"/>
      <c r="TM21" s="87"/>
      <c r="TN21" s="87"/>
      <c r="TO21" s="87"/>
      <c r="TP21" s="87"/>
      <c r="TQ21" s="87"/>
      <c r="TR21" s="87"/>
      <c r="TS21" s="87"/>
      <c r="TT21" s="87"/>
      <c r="TU21" s="87"/>
      <c r="TV21" s="87"/>
      <c r="TW21" s="87"/>
      <c r="TX21" s="87"/>
      <c r="TY21" s="87"/>
      <c r="TZ21" s="87"/>
      <c r="UA21" s="87"/>
      <c r="UB21" s="87"/>
      <c r="UC21" s="87"/>
      <c r="UD21" s="87"/>
      <c r="UE21" s="87"/>
      <c r="UF21" s="87"/>
      <c r="UG21" s="87"/>
      <c r="UH21" s="87"/>
      <c r="UI21" s="87"/>
      <c r="UJ21" s="87"/>
      <c r="UK21" s="87"/>
      <c r="UL21" s="87"/>
      <c r="UM21" s="87"/>
      <c r="UN21" s="87"/>
      <c r="UO21" s="87"/>
      <c r="UP21" s="87"/>
      <c r="UQ21" s="87"/>
      <c r="UR21" s="87"/>
      <c r="US21" s="87"/>
      <c r="UT21" s="87"/>
      <c r="UU21" s="87"/>
      <c r="UV21" s="87"/>
      <c r="UW21" s="87"/>
      <c r="UX21" s="87"/>
      <c r="UY21" s="87"/>
      <c r="UZ21" s="87"/>
      <c r="VA21" s="87"/>
      <c r="VB21" s="87"/>
      <c r="VC21" s="87"/>
      <c r="VD21" s="87"/>
      <c r="VE21" s="87"/>
      <c r="VF21" s="87"/>
      <c r="VG21" s="87"/>
      <c r="VH21" s="87"/>
      <c r="VI21" s="87"/>
      <c r="VJ21" s="87"/>
      <c r="VK21" s="87"/>
      <c r="VL21" s="87"/>
      <c r="VM21" s="87"/>
      <c r="VN21" s="87"/>
      <c r="VO21" s="87"/>
      <c r="VP21" s="87"/>
      <c r="VQ21" s="87"/>
      <c r="VR21" s="87"/>
      <c r="VS21" s="87"/>
      <c r="VT21" s="87"/>
      <c r="VU21" s="87"/>
      <c r="VV21" s="87"/>
      <c r="VW21" s="87"/>
      <c r="VX21" s="87"/>
      <c r="VY21" s="87"/>
      <c r="VZ21" s="87"/>
      <c r="WA21" s="87"/>
      <c r="WB21" s="87"/>
      <c r="WC21" s="87"/>
      <c r="WD21" s="87"/>
      <c r="WE21" s="87"/>
      <c r="WF21" s="87"/>
      <c r="WG21" s="87"/>
      <c r="WH21" s="87"/>
      <c r="WI21" s="87"/>
      <c r="WJ21" s="87"/>
      <c r="WK21" s="87"/>
      <c r="WL21" s="87"/>
      <c r="WM21" s="87"/>
      <c r="WN21" s="87"/>
      <c r="WO21" s="87"/>
      <c r="WP21" s="87"/>
      <c r="WQ21" s="87"/>
      <c r="WR21" s="87"/>
      <c r="WS21" s="87"/>
      <c r="WT21" s="87"/>
      <c r="WU21" s="87"/>
      <c r="WV21" s="87"/>
      <c r="WW21" s="87"/>
      <c r="WX21" s="87"/>
      <c r="WY21" s="87"/>
      <c r="WZ21" s="87"/>
      <c r="XA21" s="87"/>
      <c r="XB21" s="87"/>
      <c r="XC21" s="87"/>
      <c r="XD21" s="87"/>
      <c r="XE21" s="87"/>
      <c r="XF21" s="87"/>
      <c r="XG21" s="87"/>
      <c r="XH21" s="87"/>
      <c r="XI21" s="87"/>
      <c r="XJ21" s="87"/>
      <c r="XK21" s="87"/>
      <c r="XL21" s="87"/>
      <c r="XM21" s="87"/>
      <c r="XN21" s="87"/>
      <c r="XO21" s="87"/>
      <c r="XP21" s="87"/>
      <c r="XQ21" s="87"/>
      <c r="XR21" s="87"/>
      <c r="XS21" s="87"/>
      <c r="XT21" s="87"/>
      <c r="XU21" s="87"/>
      <c r="XV21" s="87"/>
      <c r="XW21" s="87"/>
      <c r="XX21" s="87"/>
      <c r="XY21" s="87"/>
      <c r="XZ21" s="87"/>
      <c r="YA21" s="87"/>
      <c r="YB21" s="87"/>
      <c r="YC21" s="87"/>
      <c r="YD21" s="87"/>
      <c r="YE21" s="87"/>
      <c r="YF21" s="87"/>
      <c r="YG21" s="87"/>
      <c r="YH21" s="87"/>
      <c r="YI21" s="87"/>
      <c r="YJ21" s="87"/>
      <c r="YK21" s="87"/>
      <c r="YL21" s="87"/>
      <c r="YM21" s="87"/>
      <c r="YN21" s="87"/>
      <c r="YO21" s="87"/>
      <c r="YP21" s="87"/>
      <c r="YQ21" s="87"/>
      <c r="YR21" s="87"/>
      <c r="YS21" s="87"/>
      <c r="YT21" s="87"/>
      <c r="YU21" s="87"/>
      <c r="YV21" s="87"/>
      <c r="YW21" s="87"/>
      <c r="YX21" s="87"/>
      <c r="YY21" s="87"/>
      <c r="YZ21" s="87"/>
      <c r="ZA21" s="87"/>
      <c r="ZB21" s="87"/>
      <c r="ZC21" s="87"/>
      <c r="ZD21" s="87"/>
      <c r="ZE21" s="87"/>
      <c r="ZF21" s="87"/>
      <c r="ZG21" s="87"/>
      <c r="ZH21" s="87"/>
      <c r="ZI21" s="87"/>
      <c r="ZJ21" s="87"/>
      <c r="ZK21" s="87"/>
      <c r="ZL21" s="87"/>
      <c r="ZM21" s="87"/>
      <c r="ZN21" s="87"/>
      <c r="ZO21" s="87"/>
      <c r="ZP21" s="87"/>
      <c r="ZQ21" s="87"/>
      <c r="ZR21" s="87"/>
      <c r="ZS21" s="87"/>
      <c r="ZT21" s="87"/>
      <c r="ZU21" s="87"/>
      <c r="ZV21" s="87"/>
      <c r="ZW21" s="87"/>
      <c r="ZX21" s="87"/>
      <c r="ZY21" s="87"/>
      <c r="ZZ21" s="87"/>
      <c r="AAA21" s="87"/>
      <c r="AAB21" s="87"/>
      <c r="AAC21" s="87"/>
      <c r="AAD21" s="87"/>
      <c r="AAE21" s="87"/>
      <c r="AAF21" s="87"/>
      <c r="AAG21" s="87"/>
      <c r="AAH21" s="87"/>
      <c r="AAI21" s="87"/>
      <c r="AAJ21" s="87"/>
      <c r="AAK21" s="87"/>
      <c r="AAL21" s="87"/>
      <c r="AAM21" s="87"/>
      <c r="AAN21" s="87"/>
      <c r="AAO21" s="87"/>
      <c r="AAP21" s="87"/>
      <c r="AAQ21" s="87"/>
      <c r="AAR21" s="87"/>
      <c r="AAS21" s="87"/>
      <c r="AAT21" s="87"/>
      <c r="AAU21" s="87"/>
      <c r="AAV21" s="87"/>
      <c r="AAW21" s="87"/>
      <c r="AAX21" s="87"/>
      <c r="AAY21" s="87"/>
      <c r="AAZ21" s="87"/>
      <c r="ABA21" s="87"/>
      <c r="ABB21" s="87"/>
      <c r="ABC21" s="87"/>
      <c r="ABD21" s="87"/>
      <c r="ABE21" s="87"/>
      <c r="ABF21" s="87"/>
      <c r="ABG21" s="87"/>
      <c r="ABH21" s="87"/>
      <c r="ABI21" s="87"/>
      <c r="ABJ21" s="87"/>
      <c r="ABK21" s="87"/>
      <c r="ABL21" s="87"/>
      <c r="ABM21" s="87"/>
      <c r="ABN21" s="87"/>
      <c r="ABO21" s="87"/>
      <c r="ABP21" s="87"/>
      <c r="ABQ21" s="87"/>
      <c r="ABR21" s="87"/>
      <c r="ABS21" s="87"/>
      <c r="ABT21" s="87"/>
      <c r="ABU21" s="87"/>
      <c r="ABV21" s="87"/>
      <c r="ABW21" s="87"/>
      <c r="ABX21" s="87"/>
      <c r="ABY21" s="87"/>
      <c r="ABZ21" s="87"/>
      <c r="ACA21" s="87"/>
      <c r="ACB21" s="87"/>
      <c r="ACC21" s="87"/>
      <c r="ACD21" s="87"/>
      <c r="ACE21" s="87"/>
      <c r="ACF21" s="87"/>
      <c r="ACG21" s="87"/>
      <c r="ACH21" s="87"/>
      <c r="ACI21" s="87"/>
      <c r="ACJ21" s="87"/>
      <c r="ACK21" s="87"/>
      <c r="ACL21" s="87"/>
      <c r="ACM21" s="87"/>
      <c r="ACN21" s="87"/>
      <c r="ACO21" s="87"/>
      <c r="ACP21" s="87"/>
      <c r="ACQ21" s="87"/>
      <c r="ACR21" s="87"/>
      <c r="ACS21" s="87"/>
      <c r="ACT21" s="87"/>
      <c r="ACU21" s="87"/>
      <c r="ACV21" s="87"/>
      <c r="ACW21" s="87"/>
      <c r="ACX21" s="87"/>
      <c r="ACY21" s="87"/>
      <c r="ACZ21" s="87"/>
      <c r="ADA21" s="87"/>
      <c r="ADB21" s="87"/>
      <c r="ADC21" s="87"/>
      <c r="ADD21" s="87"/>
      <c r="ADE21" s="87"/>
      <c r="ADF21" s="87"/>
      <c r="ADG21" s="87"/>
      <c r="ADH21" s="87"/>
      <c r="ADI21" s="87"/>
      <c r="ADJ21" s="87"/>
      <c r="ADK21" s="87"/>
      <c r="ADL21" s="87"/>
      <c r="ADM21" s="87"/>
      <c r="ADN21" s="87"/>
      <c r="ADO21" s="87"/>
      <c r="ADP21" s="87"/>
      <c r="ADQ21" s="87"/>
      <c r="ADR21" s="87"/>
      <c r="ADS21" s="87"/>
      <c r="ADT21" s="87"/>
      <c r="ADU21" s="87"/>
      <c r="ADV21" s="87"/>
      <c r="ADW21" s="87"/>
      <c r="ADX21" s="87"/>
      <c r="ADY21" s="87"/>
      <c r="ADZ21" s="87"/>
      <c r="AEA21" s="87"/>
      <c r="AEB21" s="87"/>
      <c r="AEC21" s="87"/>
      <c r="AED21" s="87"/>
      <c r="AEE21" s="87"/>
      <c r="AEF21" s="87"/>
      <c r="AEG21" s="87"/>
      <c r="AEH21" s="87"/>
      <c r="AEI21" s="87"/>
      <c r="AEJ21" s="87"/>
      <c r="AEK21" s="87"/>
      <c r="AEL21" s="87"/>
      <c r="AEM21" s="87"/>
      <c r="AEN21" s="87"/>
      <c r="AEO21" s="87"/>
      <c r="AEP21" s="87"/>
      <c r="AEQ21" s="87"/>
      <c r="AER21" s="87"/>
      <c r="AES21" s="87"/>
      <c r="AET21" s="87"/>
      <c r="AEU21" s="87"/>
      <c r="AEV21" s="87"/>
      <c r="AEW21" s="87"/>
      <c r="AEX21" s="87"/>
      <c r="AEY21" s="87"/>
      <c r="AEZ21" s="87"/>
      <c r="AFA21" s="87"/>
      <c r="AFB21" s="87"/>
      <c r="AFC21" s="87"/>
      <c r="AFD21" s="87"/>
      <c r="AFE21" s="87"/>
      <c r="AFF21" s="87"/>
      <c r="AFG21" s="87"/>
      <c r="AFH21" s="87"/>
      <c r="AFI21" s="87"/>
      <c r="AFJ21" s="87"/>
      <c r="AFK21" s="87"/>
      <c r="AFL21" s="87"/>
      <c r="AFM21" s="87"/>
      <c r="AFN21" s="87"/>
      <c r="AFO21" s="87"/>
      <c r="AFP21" s="87"/>
      <c r="AFQ21" s="87"/>
      <c r="AFR21" s="87"/>
      <c r="AFS21" s="87"/>
      <c r="AFT21" s="87"/>
      <c r="AFU21" s="87"/>
      <c r="AFV21" s="87"/>
      <c r="AFW21" s="87"/>
      <c r="AFX21" s="87"/>
      <c r="AFY21" s="87"/>
      <c r="AFZ21" s="87"/>
      <c r="AGA21" s="87"/>
      <c r="AGB21" s="87"/>
      <c r="AGC21" s="87"/>
      <c r="AGD21" s="87"/>
      <c r="AGE21" s="87"/>
      <c r="AGF21" s="87"/>
      <c r="AGG21" s="87"/>
      <c r="AGH21" s="87"/>
      <c r="AGI21" s="87"/>
      <c r="AGJ21" s="87"/>
      <c r="AGK21" s="87"/>
      <c r="AGL21" s="87"/>
      <c r="AGM21" s="87"/>
      <c r="AGN21" s="87"/>
      <c r="AGO21" s="87"/>
      <c r="AGP21" s="87"/>
      <c r="AGQ21" s="87"/>
      <c r="AGR21" s="87"/>
      <c r="AGS21" s="87"/>
      <c r="AGT21" s="87"/>
      <c r="AGU21" s="87"/>
      <c r="AGV21" s="87"/>
      <c r="AGW21" s="87"/>
      <c r="AGX21" s="87"/>
      <c r="AGY21" s="87"/>
      <c r="AGZ21" s="87"/>
      <c r="AHA21" s="87"/>
      <c r="AHB21" s="87"/>
      <c r="AHC21" s="87"/>
      <c r="AHD21" s="87"/>
      <c r="AHE21" s="87"/>
      <c r="AHF21" s="87"/>
      <c r="AHG21" s="87"/>
      <c r="AHH21" s="87"/>
      <c r="AHI21" s="87"/>
      <c r="AHJ21" s="87"/>
      <c r="AHK21" s="87"/>
      <c r="AHL21" s="87"/>
      <c r="AHM21" s="87"/>
      <c r="AHN21" s="87"/>
      <c r="AHO21" s="87"/>
      <c r="AHP21" s="87"/>
      <c r="AHQ21" s="87"/>
      <c r="AHR21" s="87"/>
      <c r="AHS21" s="87"/>
      <c r="AHT21" s="87"/>
      <c r="AHU21" s="87"/>
      <c r="AHV21" s="87"/>
      <c r="AHW21" s="87"/>
      <c r="AHX21" s="87"/>
      <c r="AHY21" s="87"/>
      <c r="AHZ21" s="87"/>
      <c r="AIA21" s="87"/>
      <c r="AIB21" s="87"/>
      <c r="AIC21" s="87"/>
      <c r="AID21" s="87"/>
      <c r="AIE21" s="87"/>
      <c r="AIF21" s="87"/>
      <c r="AIG21" s="87"/>
      <c r="AIH21" s="87"/>
      <c r="AII21" s="87"/>
      <c r="AIJ21" s="87"/>
      <c r="AIK21" s="87"/>
      <c r="AIL21" s="87"/>
      <c r="AIM21" s="87"/>
      <c r="AIN21" s="87"/>
      <c r="AIO21" s="87"/>
      <c r="AIP21" s="87"/>
      <c r="AIQ21" s="87"/>
      <c r="AIR21" s="87"/>
      <c r="AIS21" s="87"/>
      <c r="AIT21" s="87"/>
      <c r="AIU21" s="87"/>
      <c r="AIV21" s="87"/>
      <c r="AIW21" s="87"/>
      <c r="AIX21" s="87"/>
      <c r="AIY21" s="87"/>
      <c r="AIZ21" s="87"/>
      <c r="AJA21" s="87"/>
      <c r="AJB21" s="87"/>
      <c r="AJC21" s="87"/>
      <c r="AJD21" s="87"/>
      <c r="AJE21" s="87"/>
      <c r="AJF21" s="87"/>
      <c r="AJG21" s="87"/>
      <c r="AJH21" s="87"/>
      <c r="AJI21" s="87"/>
      <c r="AJJ21" s="87"/>
      <c r="AJK21" s="87"/>
      <c r="AJL21" s="87"/>
      <c r="AJM21" s="87"/>
      <c r="AJN21" s="87"/>
      <c r="AJO21" s="87"/>
      <c r="AJP21" s="87"/>
      <c r="AJQ21" s="87"/>
      <c r="AJR21" s="87"/>
      <c r="AJS21" s="87"/>
      <c r="AJT21" s="87"/>
      <c r="AJU21" s="87"/>
      <c r="AJV21" s="87"/>
      <c r="AJW21" s="87"/>
      <c r="AJX21" s="87"/>
      <c r="AJY21" s="87"/>
      <c r="AJZ21" s="87"/>
      <c r="AKA21" s="87"/>
      <c r="AKB21" s="87"/>
      <c r="AKC21" s="87"/>
      <c r="AKD21" s="87"/>
      <c r="AKE21" s="87"/>
      <c r="AKF21" s="87"/>
      <c r="AKG21" s="87"/>
      <c r="AKH21" s="87"/>
      <c r="AKI21" s="87"/>
      <c r="AKJ21" s="87"/>
      <c r="AKK21" s="87"/>
      <c r="AKL21" s="87"/>
      <c r="AKM21" s="87"/>
      <c r="AKN21" s="87"/>
      <c r="AKO21" s="87"/>
      <c r="AKP21" s="87"/>
      <c r="AKQ21" s="87"/>
      <c r="AKR21" s="87"/>
      <c r="AKS21" s="87"/>
      <c r="AKT21" s="87"/>
      <c r="AKU21" s="87"/>
      <c r="AKV21" s="87"/>
      <c r="AKW21" s="87"/>
      <c r="AKX21" s="87"/>
      <c r="AKY21" s="87"/>
      <c r="AKZ21" s="87"/>
      <c r="ALA21" s="87"/>
      <c r="ALB21" s="87"/>
      <c r="ALC21" s="87"/>
      <c r="ALD21" s="87"/>
      <c r="ALE21" s="87"/>
      <c r="ALF21" s="87"/>
      <c r="ALG21" s="87"/>
      <c r="ALH21" s="87"/>
      <c r="ALI21" s="87"/>
      <c r="ALJ21" s="87"/>
      <c r="ALK21" s="87"/>
      <c r="ALL21" s="87"/>
      <c r="ALM21" s="87"/>
      <c r="ALN21" s="87"/>
      <c r="ALO21" s="87"/>
      <c r="ALP21" s="87"/>
      <c r="ALQ21" s="87"/>
      <c r="ALR21" s="87"/>
      <c r="ALS21" s="87"/>
      <c r="ALT21" s="87"/>
      <c r="ALU21" s="87"/>
      <c r="ALV21" s="87"/>
      <c r="ALW21" s="87"/>
      <c r="ALX21" s="87"/>
      <c r="ALY21" s="87"/>
      <c r="ALZ21" s="87"/>
      <c r="AMA21" s="87"/>
      <c r="AMB21" s="87"/>
      <c r="AMC21" s="87"/>
      <c r="AMD21" s="87"/>
      <c r="AME21" s="87"/>
      <c r="AMF21" s="87"/>
      <c r="AMG21" s="87"/>
      <c r="AMH21" s="87"/>
      <c r="AMI21" s="87"/>
      <c r="AMJ21" s="87"/>
      <c r="AMK21" s="87"/>
      <c r="AML21" s="87"/>
      <c r="AMM21" s="87"/>
      <c r="AMN21" s="87"/>
      <c r="AMO21" s="87"/>
      <c r="AMP21" s="87"/>
      <c r="AMQ21" s="87"/>
      <c r="AMR21" s="87"/>
      <c r="AMS21" s="87"/>
      <c r="AMT21" s="87"/>
      <c r="AMU21" s="87"/>
      <c r="AMV21" s="87"/>
      <c r="AMW21" s="87"/>
      <c r="AMX21" s="87"/>
      <c r="AMY21" s="87"/>
      <c r="AMZ21" s="87"/>
      <c r="ANA21" s="87"/>
      <c r="ANB21" s="87"/>
      <c r="ANC21" s="87"/>
      <c r="AND21" s="87"/>
      <c r="ANE21" s="87"/>
      <c r="ANF21" s="87"/>
      <c r="ANG21" s="87"/>
      <c r="ANH21" s="87"/>
      <c r="ANI21" s="87"/>
      <c r="ANJ21" s="87"/>
      <c r="ANK21" s="87"/>
      <c r="ANL21" s="87"/>
      <c r="ANM21" s="87"/>
      <c r="ANN21" s="87"/>
      <c r="ANO21" s="87"/>
      <c r="ANP21" s="87"/>
      <c r="ANQ21" s="87"/>
      <c r="ANR21" s="87"/>
      <c r="ANS21" s="87"/>
      <c r="ANT21" s="87"/>
      <c r="ANU21" s="87"/>
      <c r="ANV21" s="87"/>
      <c r="ANW21" s="87"/>
      <c r="ANX21" s="87"/>
      <c r="ANY21" s="87"/>
      <c r="ANZ21" s="87"/>
      <c r="AOA21" s="87"/>
      <c r="AOB21" s="87"/>
      <c r="AOC21" s="87"/>
      <c r="AOD21" s="87"/>
      <c r="AOE21" s="87"/>
      <c r="AOF21" s="87"/>
      <c r="AOG21" s="87"/>
      <c r="AOH21" s="87"/>
      <c r="AOI21" s="87"/>
      <c r="AOJ21" s="87"/>
      <c r="AOK21" s="87"/>
      <c r="AOL21" s="87"/>
      <c r="AOM21" s="87"/>
      <c r="AON21" s="87"/>
      <c r="AOO21" s="87"/>
      <c r="AOP21" s="87"/>
      <c r="AOQ21" s="87"/>
      <c r="AOR21" s="87"/>
      <c r="AOS21" s="87"/>
      <c r="AOT21" s="87"/>
      <c r="AOU21" s="87"/>
      <c r="AOV21" s="87"/>
      <c r="AOW21" s="87"/>
      <c r="AOX21" s="87"/>
      <c r="AOY21" s="87"/>
      <c r="AOZ21" s="87"/>
      <c r="APA21" s="87"/>
      <c r="APB21" s="87"/>
      <c r="APC21" s="87"/>
      <c r="APD21" s="87"/>
      <c r="APE21" s="87"/>
      <c r="APF21" s="87"/>
      <c r="APG21" s="87"/>
      <c r="APH21" s="87"/>
      <c r="API21" s="87"/>
      <c r="APJ21" s="87"/>
      <c r="APK21" s="87"/>
      <c r="APL21" s="87"/>
      <c r="APM21" s="87"/>
      <c r="APN21" s="87"/>
      <c r="APO21" s="87"/>
      <c r="APP21" s="87"/>
      <c r="APQ21" s="87"/>
      <c r="APR21" s="87"/>
      <c r="APS21" s="87"/>
      <c r="APT21" s="87"/>
      <c r="APU21" s="87"/>
      <c r="APV21" s="87"/>
      <c r="APW21" s="87"/>
      <c r="APX21" s="87"/>
      <c r="APY21" s="87"/>
      <c r="APZ21" s="87"/>
      <c r="AQA21" s="87"/>
      <c r="AQB21" s="87"/>
      <c r="AQC21" s="87"/>
      <c r="AQD21" s="87"/>
      <c r="AQE21" s="87"/>
      <c r="AQF21" s="87"/>
      <c r="AQG21" s="87"/>
      <c r="AQH21" s="87"/>
      <c r="AQI21" s="87"/>
      <c r="AQJ21" s="87"/>
      <c r="AQK21" s="87"/>
      <c r="AQL21" s="87"/>
      <c r="AQM21" s="87"/>
      <c r="AQN21" s="87"/>
      <c r="AQO21" s="87"/>
      <c r="AQP21" s="87"/>
      <c r="AQQ21" s="87"/>
      <c r="AQR21" s="87"/>
      <c r="AQS21" s="87"/>
      <c r="AQT21" s="87"/>
      <c r="AQU21" s="87"/>
      <c r="AQV21" s="87"/>
      <c r="AQW21" s="87"/>
      <c r="AQX21" s="87"/>
      <c r="AQY21" s="87"/>
      <c r="AQZ21" s="87"/>
      <c r="ARA21" s="87"/>
      <c r="ARB21" s="87"/>
      <c r="ARC21" s="87"/>
      <c r="ARD21" s="87"/>
      <c r="ARE21" s="87"/>
      <c r="ARF21" s="87"/>
      <c r="ARG21" s="87"/>
      <c r="ARH21" s="87"/>
      <c r="ARI21" s="87"/>
      <c r="ARJ21" s="87"/>
      <c r="ARK21" s="87"/>
      <c r="ARL21" s="87"/>
      <c r="ARM21" s="87"/>
      <c r="ARN21" s="87"/>
      <c r="ARO21" s="87"/>
      <c r="ARP21" s="87"/>
      <c r="ARQ21" s="87"/>
      <c r="ARR21" s="87"/>
      <c r="ARS21" s="87"/>
      <c r="ART21" s="87"/>
      <c r="ARU21" s="87"/>
      <c r="ARV21" s="87"/>
      <c r="ARW21" s="87"/>
      <c r="ARX21" s="87"/>
      <c r="ARY21" s="87"/>
      <c r="ARZ21" s="87"/>
      <c r="ASA21" s="87"/>
      <c r="ASB21" s="87"/>
      <c r="ASC21" s="87"/>
      <c r="ASD21" s="87"/>
      <c r="ASE21" s="87"/>
      <c r="ASF21" s="87"/>
      <c r="ASG21" s="87"/>
      <c r="ASH21" s="87"/>
      <c r="ASI21" s="87"/>
      <c r="ASJ21" s="87"/>
      <c r="ASK21" s="87"/>
      <c r="ASL21" s="87"/>
      <c r="ASM21" s="87"/>
      <c r="ASN21" s="87"/>
      <c r="ASO21" s="87"/>
      <c r="ASP21" s="87"/>
      <c r="ASQ21" s="87"/>
      <c r="ASR21" s="87"/>
      <c r="ASS21" s="87"/>
      <c r="AST21" s="87"/>
      <c r="ASU21" s="87"/>
      <c r="ASV21" s="87"/>
      <c r="ASW21" s="87"/>
      <c r="ASX21" s="87"/>
      <c r="ASY21" s="87"/>
      <c r="ASZ21" s="87"/>
      <c r="ATA21" s="87"/>
      <c r="ATB21" s="87"/>
      <c r="ATC21" s="87"/>
      <c r="ATD21" s="87"/>
      <c r="ATE21" s="87"/>
      <c r="ATF21" s="87"/>
      <c r="ATG21" s="87"/>
      <c r="ATH21" s="87"/>
      <c r="ATI21" s="87"/>
      <c r="ATJ21" s="87"/>
      <c r="ATK21" s="87"/>
      <c r="ATL21" s="87"/>
      <c r="ATM21" s="87"/>
      <c r="ATN21" s="87"/>
      <c r="ATO21" s="87"/>
      <c r="ATP21" s="87"/>
      <c r="ATQ21" s="87"/>
      <c r="ATR21" s="87"/>
      <c r="ATS21" s="87"/>
      <c r="ATT21" s="87"/>
      <c r="ATU21" s="87"/>
      <c r="ATV21" s="87"/>
      <c r="ATW21" s="87"/>
      <c r="ATX21" s="87"/>
      <c r="ATY21" s="87"/>
      <c r="ATZ21" s="87"/>
      <c r="AUA21" s="87"/>
      <c r="AUB21" s="87"/>
      <c r="AUC21" s="87"/>
      <c r="AUD21" s="87"/>
      <c r="AUE21" s="87"/>
      <c r="AUF21" s="87"/>
      <c r="AUG21" s="87"/>
      <c r="AUH21" s="87"/>
      <c r="AUI21" s="87"/>
      <c r="AUJ21" s="87"/>
      <c r="AUK21" s="87"/>
      <c r="AUL21" s="87"/>
      <c r="AUM21" s="87"/>
      <c r="AUN21" s="87"/>
      <c r="AUO21" s="87"/>
      <c r="AUP21" s="87"/>
      <c r="AUQ21" s="87"/>
      <c r="AUR21" s="87"/>
      <c r="AUS21" s="87"/>
      <c r="AUT21" s="87"/>
      <c r="AUU21" s="87"/>
      <c r="AUV21" s="87"/>
      <c r="AUW21" s="87"/>
      <c r="AUX21" s="87"/>
      <c r="AUY21" s="87"/>
      <c r="AUZ21" s="87"/>
      <c r="AVA21" s="87"/>
      <c r="AVB21" s="87"/>
      <c r="AVC21" s="87"/>
      <c r="AVD21" s="87"/>
      <c r="AVE21" s="87"/>
      <c r="AVF21" s="87"/>
      <c r="AVG21" s="87"/>
      <c r="AVH21" s="87"/>
      <c r="AVI21" s="87"/>
      <c r="AVJ21" s="87"/>
      <c r="AVK21" s="87"/>
      <c r="AVL21" s="87"/>
      <c r="AVM21" s="87"/>
      <c r="AVN21" s="87"/>
      <c r="AVO21" s="87"/>
      <c r="AVP21" s="87"/>
      <c r="AVQ21" s="87"/>
      <c r="AVR21" s="87"/>
      <c r="AVS21" s="87"/>
      <c r="AVT21" s="87"/>
      <c r="AVU21" s="87"/>
      <c r="AVV21" s="87"/>
      <c r="AVW21" s="87"/>
      <c r="AVX21" s="87"/>
      <c r="AVY21" s="87"/>
      <c r="AVZ21" s="87"/>
      <c r="AWA21" s="87"/>
      <c r="AWB21" s="87"/>
      <c r="AWC21" s="87"/>
      <c r="AWD21" s="87"/>
      <c r="AWE21" s="87"/>
      <c r="AWF21" s="87"/>
      <c r="AWG21" s="87"/>
      <c r="AWH21" s="87"/>
      <c r="AWI21" s="87"/>
      <c r="AWJ21" s="87"/>
      <c r="AWK21" s="87"/>
      <c r="AWL21" s="87"/>
      <c r="AWM21" s="87"/>
      <c r="AWN21" s="87"/>
      <c r="AWO21" s="87"/>
      <c r="AWP21" s="87"/>
      <c r="AWQ21" s="87"/>
      <c r="AWR21" s="87"/>
      <c r="AWS21" s="87"/>
      <c r="AWT21" s="87"/>
      <c r="AWU21" s="87"/>
      <c r="AWV21" s="87"/>
      <c r="AWW21" s="87"/>
      <c r="AWX21" s="87"/>
      <c r="AWY21" s="87"/>
      <c r="AWZ21" s="87"/>
      <c r="AXA21" s="87"/>
      <c r="AXB21" s="87"/>
      <c r="AXC21" s="87"/>
      <c r="AXD21" s="87"/>
      <c r="AXE21" s="87"/>
      <c r="AXF21" s="87"/>
      <c r="AXG21" s="87"/>
      <c r="AXH21" s="87"/>
      <c r="AXI21" s="87"/>
      <c r="AXJ21" s="87"/>
      <c r="AXK21" s="87"/>
      <c r="AXL21" s="87"/>
      <c r="AXM21" s="87"/>
      <c r="AXN21" s="87"/>
      <c r="AXO21" s="87"/>
      <c r="AXP21" s="87"/>
      <c r="AXQ21" s="87"/>
      <c r="AXR21" s="87"/>
      <c r="AXS21" s="87"/>
      <c r="AXT21" s="87"/>
      <c r="AXU21" s="87"/>
      <c r="AXV21" s="87"/>
      <c r="AXW21" s="87"/>
      <c r="AXX21" s="87"/>
      <c r="AXY21" s="87"/>
      <c r="AXZ21" s="87"/>
      <c r="AYA21" s="87"/>
      <c r="AYB21" s="87"/>
      <c r="AYC21" s="87"/>
      <c r="AYD21" s="87"/>
      <c r="AYE21" s="87"/>
      <c r="AYF21" s="87"/>
      <c r="AYG21" s="87"/>
      <c r="AYH21" s="87"/>
      <c r="AYI21" s="87"/>
      <c r="AYJ21" s="87"/>
      <c r="AYK21" s="87"/>
      <c r="AYL21" s="87"/>
      <c r="AYM21" s="87"/>
      <c r="AYN21" s="87"/>
      <c r="AYO21" s="87"/>
      <c r="AYP21" s="87"/>
      <c r="AYQ21" s="87"/>
      <c r="AYR21" s="87"/>
      <c r="AYS21" s="87"/>
      <c r="AYT21" s="87"/>
      <c r="AYU21" s="87"/>
      <c r="AYV21" s="87"/>
      <c r="AYW21" s="87"/>
      <c r="AYX21" s="87"/>
      <c r="AYY21" s="87"/>
      <c r="AYZ21" s="87"/>
      <c r="AZA21" s="87"/>
      <c r="AZB21" s="87"/>
      <c r="AZC21" s="87"/>
      <c r="AZD21" s="87"/>
      <c r="AZE21" s="87"/>
      <c r="AZF21" s="87"/>
      <c r="AZG21" s="87"/>
      <c r="AZH21" s="87"/>
      <c r="AZI21" s="87"/>
      <c r="AZJ21" s="87"/>
      <c r="AZK21" s="87"/>
      <c r="AZL21" s="87"/>
      <c r="AZM21" s="87"/>
      <c r="AZN21" s="87"/>
      <c r="AZO21" s="87"/>
      <c r="AZP21" s="87"/>
      <c r="AZQ21" s="87"/>
      <c r="AZR21" s="87"/>
      <c r="AZS21" s="87"/>
      <c r="AZT21" s="87"/>
      <c r="AZU21" s="87"/>
      <c r="AZV21" s="87"/>
      <c r="AZW21" s="87"/>
      <c r="AZX21" s="87"/>
      <c r="AZY21" s="87"/>
      <c r="AZZ21" s="87"/>
      <c r="BAA21" s="87"/>
      <c r="BAB21" s="87"/>
      <c r="BAC21" s="87"/>
      <c r="BAD21" s="87"/>
      <c r="BAE21" s="87"/>
      <c r="BAF21" s="87"/>
      <c r="BAG21" s="87"/>
      <c r="BAH21" s="87"/>
      <c r="BAI21" s="87"/>
      <c r="BAJ21" s="87"/>
      <c r="BAK21" s="87"/>
      <c r="BAL21" s="87"/>
      <c r="BAM21" s="87"/>
      <c r="BAN21" s="87"/>
      <c r="BAO21" s="87"/>
      <c r="BAP21" s="87"/>
      <c r="BAQ21" s="87"/>
      <c r="BAR21" s="87"/>
      <c r="BAS21" s="87"/>
      <c r="BAT21" s="87"/>
      <c r="BAU21" s="87"/>
      <c r="BAV21" s="87"/>
      <c r="BAW21" s="87"/>
      <c r="BAX21" s="87"/>
      <c r="BAY21" s="87"/>
      <c r="BAZ21" s="87"/>
      <c r="BBA21" s="87"/>
      <c r="BBB21" s="87"/>
      <c r="BBC21" s="87"/>
      <c r="BBD21" s="87"/>
      <c r="BBE21" s="87"/>
      <c r="BBF21" s="87"/>
      <c r="BBG21" s="87"/>
      <c r="BBH21" s="87"/>
      <c r="BBI21" s="87"/>
      <c r="BBJ21" s="87"/>
      <c r="BBK21" s="87"/>
      <c r="BBL21" s="87"/>
      <c r="BBM21" s="87"/>
      <c r="BBN21" s="87"/>
      <c r="BBO21" s="87"/>
      <c r="BBP21" s="87"/>
      <c r="BBQ21" s="87"/>
      <c r="BBR21" s="87"/>
      <c r="BBS21" s="87"/>
      <c r="BBT21" s="87"/>
      <c r="BBU21" s="87"/>
      <c r="BBV21" s="87"/>
      <c r="BBW21" s="87"/>
      <c r="BBX21" s="87"/>
      <c r="BBY21" s="87"/>
      <c r="BBZ21" s="87"/>
      <c r="BCA21" s="87"/>
      <c r="BCB21" s="87"/>
      <c r="BCC21" s="87"/>
      <c r="BCD21" s="87"/>
      <c r="BCE21" s="87"/>
      <c r="BCF21" s="87"/>
      <c r="BCG21" s="87"/>
      <c r="BCH21" s="87"/>
      <c r="BCI21" s="87"/>
      <c r="BCJ21" s="87"/>
      <c r="BCK21" s="87"/>
      <c r="BCL21" s="87"/>
      <c r="BCM21" s="87"/>
      <c r="BCN21" s="87"/>
      <c r="BCO21" s="87"/>
      <c r="BCP21" s="87"/>
      <c r="BCQ21" s="87"/>
      <c r="BCR21" s="87"/>
      <c r="BCS21" s="87"/>
      <c r="BCT21" s="87"/>
      <c r="BCU21" s="87"/>
      <c r="BCV21" s="87"/>
      <c r="BCW21" s="87"/>
      <c r="BCX21" s="87"/>
      <c r="BCY21" s="87"/>
      <c r="BCZ21" s="87"/>
      <c r="BDA21" s="87"/>
      <c r="BDB21" s="87"/>
      <c r="BDC21" s="87"/>
      <c r="BDD21" s="87"/>
      <c r="BDE21" s="87"/>
      <c r="BDF21" s="87"/>
      <c r="BDG21" s="87"/>
      <c r="BDH21" s="87"/>
      <c r="BDI21" s="87"/>
      <c r="BDJ21" s="87"/>
      <c r="BDK21" s="87"/>
      <c r="BDL21" s="87"/>
      <c r="BDM21" s="87"/>
      <c r="BDN21" s="87"/>
      <c r="BDO21" s="87"/>
      <c r="BDP21" s="87"/>
      <c r="BDQ21" s="87"/>
      <c r="BDR21" s="87"/>
      <c r="BDS21" s="87"/>
      <c r="BDT21" s="87"/>
      <c r="BDU21" s="87"/>
      <c r="BDV21" s="87"/>
      <c r="BDW21" s="87"/>
      <c r="BDX21" s="87"/>
      <c r="BDY21" s="87"/>
      <c r="BDZ21" s="87"/>
      <c r="BEA21" s="87"/>
      <c r="BEB21" s="87"/>
      <c r="BEC21" s="87"/>
      <c r="BED21" s="87"/>
      <c r="BEE21" s="87"/>
      <c r="BEF21" s="87"/>
      <c r="BEG21" s="87"/>
      <c r="BEH21" s="87"/>
      <c r="BEI21" s="87"/>
      <c r="BEJ21" s="87"/>
      <c r="BEK21" s="87"/>
      <c r="BEL21" s="87"/>
      <c r="BEM21" s="87"/>
      <c r="BEN21" s="87"/>
      <c r="BEO21" s="87"/>
      <c r="BEP21" s="87"/>
      <c r="BEQ21" s="87"/>
      <c r="BER21" s="87"/>
      <c r="BES21" s="87"/>
      <c r="BET21" s="87"/>
      <c r="BEU21" s="87"/>
      <c r="BEV21" s="87"/>
      <c r="BEW21" s="87"/>
      <c r="BEX21" s="87"/>
      <c r="BEY21" s="87"/>
      <c r="BEZ21" s="87"/>
      <c r="BFA21" s="87"/>
      <c r="BFB21" s="87"/>
      <c r="BFC21" s="87"/>
      <c r="BFD21" s="87"/>
      <c r="BFE21" s="87"/>
      <c r="BFF21" s="87"/>
      <c r="BFG21" s="87"/>
      <c r="BFH21" s="87"/>
      <c r="BFI21" s="87"/>
      <c r="BFJ21" s="87"/>
      <c r="BFK21" s="87"/>
      <c r="BFL21" s="87"/>
      <c r="BFM21" s="87"/>
      <c r="BFN21" s="87"/>
      <c r="BFO21" s="87"/>
      <c r="BFP21" s="87"/>
      <c r="BFQ21" s="87"/>
      <c r="BFR21" s="87"/>
      <c r="BFS21" s="87"/>
      <c r="BFT21" s="87"/>
      <c r="BFU21" s="87"/>
      <c r="BFV21" s="87"/>
      <c r="BFW21" s="87"/>
      <c r="BFX21" s="87"/>
      <c r="BFY21" s="87"/>
      <c r="BFZ21" s="87"/>
      <c r="BGA21" s="87"/>
      <c r="BGB21" s="87"/>
      <c r="BGC21" s="87"/>
      <c r="BGD21" s="87"/>
      <c r="BGE21" s="87"/>
      <c r="BGF21" s="87"/>
      <c r="BGG21" s="87"/>
      <c r="BGH21" s="87"/>
      <c r="BGI21" s="87"/>
      <c r="BGJ21" s="87"/>
      <c r="BGK21" s="87"/>
      <c r="BGL21" s="87"/>
      <c r="BGM21" s="87"/>
      <c r="BGN21" s="87"/>
      <c r="BGO21" s="87"/>
      <c r="BGP21" s="87"/>
      <c r="BGQ21" s="87"/>
      <c r="BGR21" s="87"/>
      <c r="BGS21" s="87"/>
      <c r="BGT21" s="87"/>
      <c r="BGU21" s="87"/>
      <c r="BGV21" s="87"/>
      <c r="BGW21" s="87"/>
      <c r="BGX21" s="87"/>
      <c r="BGY21" s="87"/>
      <c r="BGZ21" s="87"/>
      <c r="BHA21" s="87"/>
      <c r="BHB21" s="87"/>
      <c r="BHC21" s="87"/>
      <c r="BHD21" s="87"/>
      <c r="BHE21" s="87"/>
      <c r="BHF21" s="87"/>
      <c r="BHG21" s="87"/>
      <c r="BHH21" s="87"/>
      <c r="BHI21" s="87"/>
      <c r="BHJ21" s="87"/>
      <c r="BHK21" s="87"/>
      <c r="BHL21" s="87"/>
      <c r="BHM21" s="87"/>
      <c r="BHN21" s="87"/>
      <c r="BHO21" s="87"/>
      <c r="BHP21" s="87"/>
      <c r="BHQ21" s="87"/>
      <c r="BHR21" s="87"/>
      <c r="BHS21" s="87"/>
      <c r="BHT21" s="87"/>
      <c r="BHU21" s="87"/>
      <c r="BHV21" s="87"/>
      <c r="BHW21" s="87"/>
      <c r="BHX21" s="87"/>
      <c r="BHY21" s="87"/>
      <c r="BHZ21" s="87"/>
      <c r="BIA21" s="87"/>
      <c r="BIB21" s="87"/>
      <c r="BIC21" s="87"/>
      <c r="BID21" s="87"/>
      <c r="BIE21" s="87"/>
      <c r="BIF21" s="87"/>
      <c r="BIG21" s="87"/>
      <c r="BIH21" s="87"/>
      <c r="BII21" s="87"/>
      <c r="BIJ21" s="87"/>
      <c r="BIK21" s="87"/>
      <c r="BIL21" s="87"/>
      <c r="BIM21" s="87"/>
      <c r="BIN21" s="87"/>
      <c r="BIO21" s="87"/>
      <c r="BIP21" s="87"/>
      <c r="BIQ21" s="87"/>
      <c r="BIR21" s="87"/>
      <c r="BIS21" s="87"/>
      <c r="BIT21" s="87"/>
      <c r="BIU21" s="87"/>
      <c r="BIV21" s="87"/>
      <c r="BIW21" s="87"/>
      <c r="BIX21" s="87"/>
      <c r="BIY21" s="87"/>
      <c r="BIZ21" s="87"/>
      <c r="BJA21" s="87"/>
      <c r="BJB21" s="87"/>
      <c r="BJC21" s="87"/>
      <c r="BJD21" s="87"/>
      <c r="BJE21" s="87"/>
      <c r="BJF21" s="87"/>
      <c r="BJG21" s="87"/>
      <c r="BJH21" s="87"/>
      <c r="BJI21" s="87"/>
      <c r="BJJ21" s="87"/>
      <c r="BJK21" s="87"/>
      <c r="BJL21" s="87"/>
      <c r="BJM21" s="87"/>
      <c r="BJN21" s="87"/>
      <c r="BJO21" s="87"/>
      <c r="BJP21" s="87"/>
      <c r="BJQ21" s="87"/>
      <c r="BJR21" s="87"/>
      <c r="BJS21" s="87"/>
      <c r="BJT21" s="87"/>
      <c r="BJU21" s="87"/>
      <c r="BJV21" s="87"/>
      <c r="BJW21" s="87"/>
      <c r="BJX21" s="87"/>
      <c r="BJY21" s="87"/>
      <c r="BJZ21" s="87"/>
      <c r="BKA21" s="87"/>
      <c r="BKB21" s="87"/>
      <c r="BKC21" s="87"/>
      <c r="BKD21" s="87"/>
      <c r="BKE21" s="87"/>
      <c r="BKF21" s="87"/>
      <c r="BKG21" s="87"/>
      <c r="BKH21" s="87"/>
      <c r="BKI21" s="87"/>
      <c r="BKJ21" s="87"/>
      <c r="BKK21" s="87"/>
      <c r="BKL21" s="87"/>
      <c r="BKM21" s="87"/>
      <c r="BKN21" s="87"/>
      <c r="BKO21" s="87"/>
      <c r="BKP21" s="87"/>
      <c r="BKQ21" s="87"/>
      <c r="BKR21" s="87"/>
      <c r="BKS21" s="87"/>
      <c r="BKT21" s="87"/>
      <c r="BKU21" s="87"/>
      <c r="BKV21" s="87"/>
      <c r="BKW21" s="87"/>
      <c r="BKX21" s="87"/>
      <c r="BKY21" s="87"/>
      <c r="BKZ21" s="87"/>
      <c r="BLA21" s="87"/>
      <c r="BLB21" s="87"/>
      <c r="BLC21" s="87"/>
      <c r="BLD21" s="87"/>
      <c r="BLE21" s="87"/>
      <c r="BLF21" s="87"/>
      <c r="BLG21" s="87"/>
      <c r="BLH21" s="87"/>
      <c r="BLI21" s="87"/>
      <c r="BLJ21" s="87"/>
      <c r="BLK21" s="87"/>
      <c r="BLL21" s="87"/>
      <c r="BLM21" s="87"/>
      <c r="BLN21" s="87"/>
      <c r="BLO21" s="87"/>
      <c r="BLP21" s="87"/>
      <c r="BLQ21" s="87"/>
      <c r="BLR21" s="87"/>
      <c r="BLS21" s="87"/>
      <c r="BLT21" s="87"/>
      <c r="BLU21" s="87"/>
      <c r="BLV21" s="87"/>
      <c r="BLW21" s="87"/>
      <c r="BLX21" s="87"/>
      <c r="BLY21" s="87"/>
      <c r="BLZ21" s="87"/>
      <c r="BMA21" s="87"/>
      <c r="BMB21" s="87"/>
      <c r="BMC21" s="87"/>
      <c r="BMD21" s="87"/>
      <c r="BME21" s="87"/>
      <c r="BMF21" s="87"/>
      <c r="BMG21" s="87"/>
      <c r="BMH21" s="87"/>
      <c r="BMI21" s="87"/>
      <c r="BMJ21" s="87"/>
      <c r="BMK21" s="87"/>
      <c r="BML21" s="87"/>
      <c r="BMM21" s="87"/>
      <c r="BMN21" s="87"/>
      <c r="BMO21" s="87"/>
      <c r="BMP21" s="87"/>
      <c r="BMQ21" s="87"/>
      <c r="BMR21" s="87"/>
      <c r="BMS21" s="87"/>
      <c r="BMT21" s="87"/>
      <c r="BMU21" s="87"/>
      <c r="BMV21" s="87"/>
      <c r="BMW21" s="87"/>
      <c r="BMX21" s="87"/>
      <c r="BMY21" s="87"/>
      <c r="BMZ21" s="87"/>
      <c r="BNA21" s="87"/>
      <c r="BNB21" s="87"/>
      <c r="BNC21" s="87"/>
      <c r="BND21" s="87"/>
      <c r="BNE21" s="87"/>
      <c r="BNF21" s="87"/>
      <c r="BNG21" s="87"/>
      <c r="BNH21" s="87"/>
      <c r="BNI21" s="87"/>
      <c r="BNJ21" s="87"/>
      <c r="BNK21" s="87"/>
      <c r="BNL21" s="87"/>
      <c r="BNM21" s="87"/>
      <c r="BNN21" s="87"/>
      <c r="BNO21" s="87"/>
      <c r="BNP21" s="87"/>
      <c r="BNQ21" s="87"/>
      <c r="BNR21" s="87"/>
      <c r="BNS21" s="87"/>
      <c r="BNT21" s="87"/>
      <c r="BNU21" s="87"/>
      <c r="BNV21" s="87"/>
      <c r="BNW21" s="87"/>
      <c r="BNX21" s="87"/>
      <c r="BNY21" s="87"/>
      <c r="BNZ21" s="87"/>
      <c r="BOA21" s="87"/>
      <c r="BOB21" s="87"/>
      <c r="BOC21" s="87"/>
      <c r="BOD21" s="87"/>
      <c r="BOE21" s="87"/>
      <c r="BOF21" s="87"/>
      <c r="BOG21" s="87"/>
      <c r="BOH21" s="87"/>
      <c r="BOI21" s="87"/>
      <c r="BOJ21" s="87"/>
      <c r="BOK21" s="87"/>
      <c r="BOL21" s="87"/>
      <c r="BOM21" s="87"/>
      <c r="BON21" s="87"/>
      <c r="BOO21" s="87"/>
      <c r="BOP21" s="87"/>
      <c r="BOQ21" s="87"/>
      <c r="BOR21" s="87"/>
      <c r="BOS21" s="87"/>
      <c r="BOT21" s="87"/>
      <c r="BOU21" s="87"/>
      <c r="BOV21" s="87"/>
      <c r="BOW21" s="87"/>
      <c r="BOX21" s="87"/>
      <c r="BOY21" s="87"/>
      <c r="BOZ21" s="87"/>
      <c r="BPA21" s="87"/>
      <c r="BPB21" s="87"/>
      <c r="BPC21" s="87"/>
      <c r="BPD21" s="87"/>
      <c r="BPE21" s="87"/>
      <c r="BPF21" s="87"/>
      <c r="BPG21" s="87"/>
      <c r="BPH21" s="87"/>
      <c r="BPI21" s="87"/>
      <c r="BPJ21" s="87"/>
      <c r="BPK21" s="87"/>
      <c r="BPL21" s="87"/>
      <c r="BPM21" s="87"/>
      <c r="BPN21" s="87"/>
      <c r="BPO21" s="87"/>
      <c r="BPP21" s="87"/>
      <c r="BPQ21" s="87"/>
      <c r="BPR21" s="87"/>
      <c r="BPS21" s="87"/>
      <c r="BPT21" s="87"/>
      <c r="BPU21" s="87"/>
      <c r="BPV21" s="87"/>
      <c r="BPW21" s="87"/>
      <c r="BPX21" s="87"/>
      <c r="BPY21" s="87"/>
      <c r="BPZ21" s="87"/>
      <c r="BQA21" s="87"/>
      <c r="BQB21" s="87"/>
      <c r="BQC21" s="87"/>
      <c r="BQD21" s="87"/>
      <c r="BQE21" s="87"/>
      <c r="BQF21" s="87"/>
      <c r="BQG21" s="87"/>
      <c r="BQH21" s="87"/>
      <c r="BQI21" s="87"/>
      <c r="BQJ21" s="87"/>
      <c r="BQK21" s="87"/>
      <c r="BQL21" s="87"/>
      <c r="BQM21" s="87"/>
      <c r="BQN21" s="87"/>
      <c r="BQO21" s="87"/>
      <c r="BQP21" s="87"/>
      <c r="BQQ21" s="87"/>
      <c r="BQR21" s="87"/>
      <c r="BQS21" s="87"/>
      <c r="BQT21" s="87"/>
      <c r="BQU21" s="87"/>
      <c r="BQV21" s="87"/>
      <c r="BQW21" s="87"/>
      <c r="BQX21" s="87"/>
      <c r="BQY21" s="87"/>
      <c r="BQZ21" s="87"/>
      <c r="BRA21" s="87"/>
      <c r="BRB21" s="87"/>
      <c r="BRC21" s="87"/>
      <c r="BRD21" s="87"/>
      <c r="BRE21" s="87"/>
      <c r="BRF21" s="87"/>
      <c r="BRG21" s="87"/>
      <c r="BRH21" s="87"/>
      <c r="BRI21" s="87"/>
      <c r="BRJ21" s="87"/>
      <c r="BRK21" s="87"/>
      <c r="BRL21" s="87"/>
      <c r="BRM21" s="87"/>
      <c r="BRN21" s="87"/>
      <c r="BRO21" s="87"/>
      <c r="BRP21" s="87"/>
      <c r="BRQ21" s="87"/>
      <c r="BRR21" s="87"/>
      <c r="BRS21" s="87"/>
      <c r="BRT21" s="87"/>
      <c r="BRU21" s="87"/>
      <c r="BRV21" s="87"/>
      <c r="BRW21" s="87"/>
      <c r="BRX21" s="87"/>
      <c r="BRY21" s="87"/>
      <c r="BRZ21" s="87"/>
      <c r="BSA21" s="87"/>
      <c r="BSB21" s="87"/>
      <c r="BSC21" s="87"/>
      <c r="BSD21" s="87"/>
      <c r="BSE21" s="87"/>
      <c r="BSF21" s="87"/>
      <c r="BSG21" s="87"/>
      <c r="BSH21" s="87"/>
      <c r="BSI21" s="87"/>
      <c r="BSJ21" s="87"/>
      <c r="BSK21" s="87"/>
      <c r="BSL21" s="87"/>
      <c r="BSM21" s="87"/>
      <c r="BSN21" s="87"/>
      <c r="BSO21" s="87"/>
      <c r="BSP21" s="87"/>
      <c r="BSQ21" s="87"/>
      <c r="BSR21" s="87"/>
      <c r="BSS21" s="87"/>
      <c r="BST21" s="87"/>
      <c r="BSU21" s="87"/>
      <c r="BSV21" s="87"/>
      <c r="BSW21" s="87"/>
      <c r="BSX21" s="87"/>
      <c r="BSY21" s="87"/>
      <c r="BSZ21" s="87"/>
      <c r="BTA21" s="87"/>
      <c r="BTB21" s="87"/>
      <c r="BTC21" s="87"/>
      <c r="BTD21" s="87"/>
      <c r="BTE21" s="87"/>
      <c r="BTF21" s="87"/>
      <c r="BTG21" s="87"/>
      <c r="BTH21" s="87"/>
      <c r="BTI21" s="87"/>
      <c r="BTJ21" s="87"/>
      <c r="BTK21" s="87"/>
      <c r="BTL21" s="87"/>
      <c r="BTM21" s="87"/>
      <c r="BTN21" s="87"/>
      <c r="BTO21" s="87"/>
      <c r="BTP21" s="87"/>
      <c r="BTQ21" s="87"/>
      <c r="BTR21" s="87"/>
      <c r="BTS21" s="87"/>
      <c r="BTT21" s="87"/>
      <c r="BTU21" s="87"/>
      <c r="BTV21" s="87"/>
      <c r="BTW21" s="87"/>
      <c r="BTX21" s="87"/>
      <c r="BTY21" s="87"/>
      <c r="BTZ21" s="87"/>
      <c r="BUA21" s="87"/>
      <c r="BUB21" s="87"/>
      <c r="BUC21" s="87"/>
      <c r="BUD21" s="87"/>
      <c r="BUE21" s="87"/>
      <c r="BUF21" s="87"/>
      <c r="BUG21" s="87"/>
      <c r="BUH21" s="87"/>
      <c r="BUI21" s="87"/>
      <c r="BUJ21" s="87"/>
      <c r="BUK21" s="87"/>
      <c r="BUL21" s="87"/>
      <c r="BUM21" s="87"/>
      <c r="BUN21" s="87"/>
      <c r="BUO21" s="87"/>
      <c r="BUP21" s="87"/>
      <c r="BUQ21" s="87"/>
      <c r="BUR21" s="87"/>
      <c r="BUS21" s="87"/>
      <c r="BUT21" s="87"/>
      <c r="BUU21" s="87"/>
      <c r="BUV21" s="87"/>
      <c r="BUW21" s="87"/>
      <c r="BUX21" s="87"/>
      <c r="BUY21" s="87"/>
      <c r="BUZ21" s="87"/>
      <c r="BVA21" s="87"/>
      <c r="BVB21" s="87"/>
      <c r="BVC21" s="87"/>
      <c r="BVD21" s="87"/>
      <c r="BVE21" s="87"/>
      <c r="BVF21" s="87"/>
      <c r="BVG21" s="87"/>
      <c r="BVH21" s="87"/>
      <c r="BVI21" s="87"/>
      <c r="BVJ21" s="87"/>
      <c r="BVK21" s="87"/>
      <c r="BVL21" s="87"/>
      <c r="BVM21" s="87"/>
      <c r="BVN21" s="87"/>
      <c r="BVO21" s="87"/>
      <c r="BVP21" s="87"/>
      <c r="BVQ21" s="87"/>
      <c r="BVR21" s="87"/>
      <c r="BVS21" s="87"/>
      <c r="BVT21" s="87"/>
      <c r="BVU21" s="87"/>
      <c r="BVV21" s="87"/>
      <c r="BVW21" s="87"/>
      <c r="BVX21" s="87"/>
      <c r="BVY21" s="87"/>
      <c r="BVZ21" s="87"/>
      <c r="BWA21" s="87"/>
      <c r="BWB21" s="87"/>
      <c r="BWC21" s="87"/>
      <c r="BWD21" s="87"/>
      <c r="BWE21" s="87"/>
      <c r="BWF21" s="87"/>
      <c r="BWG21" s="87"/>
      <c r="BWH21" s="87"/>
      <c r="BWI21" s="87"/>
      <c r="BWJ21" s="87"/>
      <c r="BWK21" s="87"/>
      <c r="BWL21" s="87"/>
      <c r="BWM21" s="87"/>
      <c r="BWN21" s="87"/>
      <c r="BWO21" s="87"/>
      <c r="BWP21" s="87"/>
      <c r="BWQ21" s="87"/>
      <c r="BWR21" s="87"/>
      <c r="BWS21" s="87"/>
      <c r="BWT21" s="87"/>
      <c r="BWU21" s="87"/>
      <c r="BWV21" s="87"/>
      <c r="BWW21" s="87"/>
      <c r="BWX21" s="87"/>
      <c r="BWY21" s="87"/>
      <c r="BWZ21" s="87"/>
      <c r="BXA21" s="87"/>
      <c r="BXB21" s="87"/>
      <c r="BXC21" s="87"/>
      <c r="BXD21" s="87"/>
      <c r="BXE21" s="87"/>
      <c r="BXF21" s="87"/>
      <c r="BXG21" s="87"/>
      <c r="BXH21" s="87"/>
      <c r="BXI21" s="87"/>
      <c r="BXJ21" s="87"/>
      <c r="BXK21" s="87"/>
      <c r="BXL21" s="87"/>
      <c r="BXM21" s="87"/>
      <c r="BXN21" s="87"/>
      <c r="BXO21" s="87"/>
      <c r="BXP21" s="87"/>
      <c r="BXQ21" s="87"/>
      <c r="BXR21" s="87"/>
      <c r="BXS21" s="87"/>
      <c r="BXT21" s="87"/>
      <c r="BXU21" s="87"/>
      <c r="BXV21" s="87"/>
      <c r="BXW21" s="87"/>
      <c r="BXX21" s="87"/>
      <c r="BXY21" s="87"/>
      <c r="BXZ21" s="87"/>
      <c r="BYA21" s="87"/>
      <c r="BYB21" s="87"/>
      <c r="BYC21" s="87"/>
      <c r="BYD21" s="87"/>
      <c r="BYE21" s="87"/>
      <c r="BYF21" s="87"/>
      <c r="BYG21" s="87"/>
      <c r="BYH21" s="87"/>
      <c r="BYI21" s="87"/>
      <c r="BYJ21" s="87"/>
      <c r="BYK21" s="87"/>
      <c r="BYL21" s="87"/>
      <c r="BYM21" s="87"/>
      <c r="BYN21" s="87"/>
      <c r="BYO21" s="87"/>
      <c r="BYP21" s="87"/>
      <c r="BYQ21" s="87"/>
      <c r="BYR21" s="87"/>
      <c r="BYS21" s="87"/>
      <c r="BYT21" s="87"/>
      <c r="BYU21" s="87"/>
      <c r="BYV21" s="87"/>
      <c r="BYW21" s="87"/>
      <c r="BYX21" s="87"/>
      <c r="BYY21" s="87"/>
      <c r="BYZ21" s="87"/>
      <c r="BZA21" s="87"/>
      <c r="BZB21" s="87"/>
      <c r="BZC21" s="87"/>
      <c r="BZD21" s="87"/>
      <c r="BZE21" s="87"/>
      <c r="BZF21" s="87"/>
      <c r="BZG21" s="87"/>
      <c r="BZH21" s="87"/>
      <c r="BZI21" s="87"/>
      <c r="BZJ21" s="87"/>
      <c r="BZK21" s="87"/>
      <c r="BZL21" s="87"/>
      <c r="BZM21" s="87"/>
      <c r="BZN21" s="87"/>
      <c r="BZO21" s="87"/>
      <c r="BZP21" s="87"/>
      <c r="BZQ21" s="87"/>
      <c r="BZR21" s="87"/>
      <c r="BZS21" s="87"/>
      <c r="BZT21" s="87"/>
      <c r="BZU21" s="87"/>
      <c r="BZV21" s="87"/>
      <c r="BZW21" s="87"/>
      <c r="BZX21" s="87"/>
      <c r="BZY21" s="87"/>
      <c r="BZZ21" s="87"/>
      <c r="CAA21" s="87"/>
      <c r="CAB21" s="87"/>
      <c r="CAC21" s="87"/>
      <c r="CAD21" s="87"/>
      <c r="CAE21" s="87"/>
      <c r="CAF21" s="87"/>
      <c r="CAG21" s="87"/>
      <c r="CAH21" s="87"/>
      <c r="CAI21" s="87"/>
      <c r="CAJ21" s="87"/>
      <c r="CAK21" s="87"/>
      <c r="CAL21" s="87"/>
      <c r="CAM21" s="87"/>
      <c r="CAN21" s="87"/>
      <c r="CAO21" s="87"/>
      <c r="CAP21" s="87"/>
      <c r="CAQ21" s="87"/>
      <c r="CAR21" s="87"/>
      <c r="CAS21" s="87"/>
      <c r="CAT21" s="87"/>
      <c r="CAU21" s="87"/>
      <c r="CAV21" s="87"/>
      <c r="CAW21" s="87"/>
      <c r="CAX21" s="87"/>
      <c r="CAY21" s="87"/>
      <c r="CAZ21" s="87"/>
      <c r="CBA21" s="87"/>
      <c r="CBB21" s="87"/>
      <c r="CBC21" s="87"/>
      <c r="CBD21" s="87"/>
      <c r="CBE21" s="87"/>
      <c r="CBF21" s="87"/>
      <c r="CBG21" s="87"/>
      <c r="CBH21" s="87"/>
      <c r="CBI21" s="87"/>
      <c r="CBJ21" s="87"/>
      <c r="CBK21" s="87"/>
      <c r="CBL21" s="87"/>
      <c r="CBM21" s="87"/>
      <c r="CBN21" s="87"/>
      <c r="CBO21" s="87"/>
      <c r="CBP21" s="87"/>
      <c r="CBQ21" s="87"/>
      <c r="CBR21" s="87"/>
      <c r="CBS21" s="87"/>
      <c r="CBT21" s="87"/>
      <c r="CBU21" s="87"/>
      <c r="CBV21" s="87"/>
      <c r="CBW21" s="87"/>
      <c r="CBX21" s="87"/>
      <c r="CBY21" s="87"/>
      <c r="CBZ21" s="87"/>
      <c r="CCA21" s="87"/>
      <c r="CCB21" s="87"/>
      <c r="CCC21" s="87"/>
      <c r="CCD21" s="87"/>
      <c r="CCE21" s="87"/>
      <c r="CCF21" s="87"/>
      <c r="CCG21" s="87"/>
      <c r="CCH21" s="87"/>
      <c r="CCI21" s="87"/>
      <c r="CCJ21" s="87"/>
      <c r="CCK21" s="87"/>
      <c r="CCL21" s="87"/>
      <c r="CCM21" s="87"/>
      <c r="CCN21" s="87"/>
      <c r="CCO21" s="87"/>
      <c r="CCP21" s="87"/>
      <c r="CCQ21" s="87"/>
      <c r="CCR21" s="87"/>
      <c r="CCS21" s="87"/>
      <c r="CCT21" s="87"/>
      <c r="CCU21" s="87"/>
      <c r="CCV21" s="87"/>
      <c r="CCW21" s="87"/>
      <c r="CCX21" s="87"/>
      <c r="CCY21" s="87"/>
      <c r="CCZ21" s="87"/>
      <c r="CDA21" s="87"/>
      <c r="CDB21" s="87"/>
      <c r="CDC21" s="87"/>
      <c r="CDD21" s="87"/>
      <c r="CDE21" s="87"/>
      <c r="CDF21" s="87"/>
      <c r="CDG21" s="87"/>
      <c r="CDH21" s="87"/>
      <c r="CDI21" s="87"/>
      <c r="CDJ21" s="87"/>
      <c r="CDK21" s="87"/>
      <c r="CDL21" s="87"/>
      <c r="CDM21" s="87"/>
      <c r="CDN21" s="87"/>
      <c r="CDO21" s="87"/>
      <c r="CDP21" s="87"/>
      <c r="CDQ21" s="87"/>
      <c r="CDR21" s="87"/>
      <c r="CDS21" s="87"/>
      <c r="CDT21" s="87"/>
      <c r="CDU21" s="87"/>
      <c r="CDV21" s="87"/>
      <c r="CDW21" s="87"/>
      <c r="CDX21" s="87"/>
      <c r="CDY21" s="87"/>
      <c r="CDZ21" s="87"/>
      <c r="CEA21" s="87"/>
      <c r="CEB21" s="87"/>
      <c r="CEC21" s="87"/>
      <c r="CED21" s="87"/>
      <c r="CEE21" s="87"/>
      <c r="CEF21" s="87"/>
      <c r="CEG21" s="87"/>
      <c r="CEH21" s="87"/>
      <c r="CEI21" s="87"/>
      <c r="CEJ21" s="87"/>
      <c r="CEK21" s="87"/>
      <c r="CEL21" s="87"/>
      <c r="CEM21" s="87"/>
      <c r="CEN21" s="87"/>
      <c r="CEO21" s="87"/>
      <c r="CEP21" s="87"/>
      <c r="CEQ21" s="87"/>
      <c r="CER21" s="87"/>
      <c r="CES21" s="87"/>
      <c r="CET21" s="87"/>
      <c r="CEU21" s="87"/>
      <c r="CEV21" s="87"/>
      <c r="CEW21" s="87"/>
      <c r="CEX21" s="87"/>
      <c r="CEY21" s="87"/>
      <c r="CEZ21" s="87"/>
      <c r="CFA21" s="87"/>
      <c r="CFB21" s="87"/>
      <c r="CFC21" s="87"/>
      <c r="CFD21" s="87"/>
      <c r="CFE21" s="87"/>
      <c r="CFF21" s="87"/>
      <c r="CFG21" s="87"/>
      <c r="CFH21" s="87"/>
      <c r="CFI21" s="87"/>
      <c r="CFJ21" s="87"/>
      <c r="CFK21" s="87"/>
      <c r="CFL21" s="87"/>
      <c r="CFM21" s="87"/>
      <c r="CFN21" s="87"/>
      <c r="CFO21" s="87"/>
      <c r="CFP21" s="87"/>
      <c r="CFQ21" s="87"/>
      <c r="CFR21" s="87"/>
      <c r="CFS21" s="87"/>
      <c r="CFT21" s="87"/>
      <c r="CFU21" s="87"/>
      <c r="CFV21" s="87"/>
      <c r="CFW21" s="87"/>
      <c r="CFX21" s="87"/>
      <c r="CFY21" s="87"/>
      <c r="CFZ21" s="87"/>
      <c r="CGA21" s="87"/>
      <c r="CGB21" s="87"/>
      <c r="CGC21" s="87"/>
      <c r="CGD21" s="87"/>
      <c r="CGE21" s="87"/>
      <c r="CGF21" s="87"/>
      <c r="CGG21" s="87"/>
      <c r="CGH21" s="87"/>
      <c r="CGI21" s="87"/>
      <c r="CGJ21" s="87"/>
      <c r="CGK21" s="87"/>
      <c r="CGL21" s="87"/>
      <c r="CGM21" s="87"/>
      <c r="CGN21" s="87"/>
      <c r="CGO21" s="87"/>
      <c r="CGP21" s="87"/>
      <c r="CGQ21" s="87"/>
      <c r="CGR21" s="87"/>
      <c r="CGS21" s="87"/>
      <c r="CGT21" s="87"/>
      <c r="CGU21" s="87"/>
      <c r="CGV21" s="87"/>
      <c r="CGW21" s="87"/>
      <c r="CGX21" s="87"/>
      <c r="CGY21" s="87"/>
      <c r="CGZ21" s="87"/>
      <c r="CHA21" s="87"/>
      <c r="CHB21" s="87"/>
      <c r="CHC21" s="87"/>
      <c r="CHD21" s="87"/>
      <c r="CHE21" s="87"/>
      <c r="CHF21" s="87"/>
      <c r="CHG21" s="87"/>
      <c r="CHH21" s="87"/>
      <c r="CHI21" s="87"/>
      <c r="CHJ21" s="87"/>
      <c r="CHK21" s="87"/>
      <c r="CHL21" s="87"/>
      <c r="CHM21" s="87"/>
      <c r="CHN21" s="87"/>
      <c r="CHO21" s="87"/>
      <c r="CHP21" s="87"/>
      <c r="CHQ21" s="87"/>
      <c r="CHR21" s="87"/>
      <c r="CHS21" s="87"/>
      <c r="CHT21" s="87"/>
      <c r="CHU21" s="87"/>
      <c r="CHV21" s="87"/>
      <c r="CHW21" s="87"/>
      <c r="CHX21" s="87"/>
      <c r="CHY21" s="87"/>
      <c r="CHZ21" s="87"/>
      <c r="CIA21" s="87"/>
      <c r="CIB21" s="87"/>
      <c r="CIC21" s="87"/>
      <c r="CID21" s="87"/>
      <c r="CIE21" s="87"/>
      <c r="CIF21" s="87"/>
      <c r="CIG21" s="87"/>
      <c r="CIH21" s="87"/>
      <c r="CII21" s="87"/>
      <c r="CIJ21" s="87"/>
      <c r="CIK21" s="87"/>
      <c r="CIL21" s="87"/>
      <c r="CIM21" s="87"/>
      <c r="CIN21" s="87"/>
      <c r="CIO21" s="87"/>
      <c r="CIP21" s="87"/>
      <c r="CIQ21" s="87"/>
      <c r="CIR21" s="87"/>
      <c r="CIS21" s="87"/>
      <c r="CIT21" s="87"/>
      <c r="CIU21" s="87"/>
      <c r="CIV21" s="87"/>
      <c r="CIW21" s="87"/>
      <c r="CIX21" s="87"/>
      <c r="CIY21" s="87"/>
      <c r="CIZ21" s="87"/>
      <c r="CJA21" s="87"/>
      <c r="CJB21" s="87"/>
      <c r="CJC21" s="87"/>
      <c r="CJD21" s="87"/>
      <c r="CJE21" s="87"/>
      <c r="CJF21" s="87"/>
      <c r="CJG21" s="87"/>
      <c r="CJH21" s="87"/>
      <c r="CJI21" s="87"/>
      <c r="CJJ21" s="87"/>
      <c r="CJK21" s="87"/>
      <c r="CJL21" s="87"/>
      <c r="CJM21" s="87"/>
      <c r="CJN21" s="87"/>
      <c r="CJO21" s="87"/>
      <c r="CJP21" s="87"/>
      <c r="CJQ21" s="87"/>
      <c r="CJR21" s="87"/>
      <c r="CJS21" s="87"/>
      <c r="CJT21" s="87"/>
      <c r="CJU21" s="87"/>
      <c r="CJV21" s="87"/>
      <c r="CJW21" s="87"/>
      <c r="CJX21" s="87"/>
      <c r="CJY21" s="87"/>
      <c r="CJZ21" s="87"/>
      <c r="CKA21" s="87"/>
      <c r="CKB21" s="87"/>
      <c r="CKC21" s="87"/>
      <c r="CKD21" s="87"/>
      <c r="CKE21" s="87"/>
      <c r="CKF21" s="87"/>
      <c r="CKG21" s="87"/>
      <c r="CKH21" s="87"/>
      <c r="CKI21" s="87"/>
      <c r="CKJ21" s="87"/>
      <c r="CKK21" s="87"/>
      <c r="CKL21" s="87"/>
      <c r="CKM21" s="87"/>
      <c r="CKN21" s="87"/>
      <c r="CKO21" s="87"/>
      <c r="CKP21" s="87"/>
      <c r="CKQ21" s="87"/>
      <c r="CKR21" s="87"/>
      <c r="CKS21" s="87"/>
      <c r="CKT21" s="87"/>
      <c r="CKU21" s="87"/>
      <c r="CKV21" s="87"/>
      <c r="CKW21" s="87"/>
      <c r="CKX21" s="87"/>
      <c r="CKY21" s="87"/>
      <c r="CKZ21" s="87"/>
      <c r="CLA21" s="87"/>
      <c r="CLB21" s="87"/>
      <c r="CLC21" s="87"/>
      <c r="CLD21" s="87"/>
      <c r="CLE21" s="87"/>
      <c r="CLF21" s="87"/>
      <c r="CLG21" s="87"/>
      <c r="CLH21" s="87"/>
      <c r="CLI21" s="87"/>
      <c r="CLJ21" s="87"/>
      <c r="CLK21" s="87"/>
      <c r="CLL21" s="87"/>
      <c r="CLM21" s="87"/>
      <c r="CLN21" s="87"/>
      <c r="CLO21" s="87"/>
      <c r="CLP21" s="87"/>
      <c r="CLQ21" s="87"/>
      <c r="CLR21" s="87"/>
      <c r="CLS21" s="87"/>
      <c r="CLT21" s="87"/>
      <c r="CLU21" s="87"/>
      <c r="CLV21" s="87"/>
      <c r="CLW21" s="87"/>
      <c r="CLX21" s="87"/>
      <c r="CLY21" s="87"/>
      <c r="CLZ21" s="87"/>
      <c r="CMA21" s="87"/>
      <c r="CMB21" s="87"/>
      <c r="CMC21" s="87"/>
      <c r="CMD21" s="87"/>
      <c r="CME21" s="87"/>
      <c r="CMF21" s="87"/>
      <c r="CMG21" s="87"/>
      <c r="CMH21" s="87"/>
      <c r="CMI21" s="87"/>
      <c r="CMJ21" s="87"/>
      <c r="CMK21" s="87"/>
      <c r="CML21" s="87"/>
      <c r="CMM21" s="87"/>
      <c r="CMN21" s="87"/>
      <c r="CMO21" s="87"/>
      <c r="CMP21" s="87"/>
      <c r="CMQ21" s="87"/>
      <c r="CMR21" s="87"/>
      <c r="CMS21" s="87"/>
      <c r="CMT21" s="87"/>
      <c r="CMU21" s="87"/>
      <c r="CMV21" s="87"/>
      <c r="CMW21" s="87"/>
      <c r="CMX21" s="87"/>
      <c r="CMY21" s="87"/>
      <c r="CMZ21" s="87"/>
      <c r="CNA21" s="87"/>
      <c r="CNB21" s="87"/>
      <c r="CNC21" s="87"/>
      <c r="CND21" s="87"/>
      <c r="CNE21" s="87"/>
      <c r="CNF21" s="87"/>
      <c r="CNG21" s="87"/>
      <c r="CNH21" s="87"/>
      <c r="CNI21" s="87"/>
      <c r="CNJ21" s="87"/>
      <c r="CNK21" s="87"/>
      <c r="CNL21" s="87"/>
      <c r="CNM21" s="87"/>
      <c r="CNN21" s="87"/>
      <c r="CNO21" s="87"/>
      <c r="CNP21" s="87"/>
      <c r="CNQ21" s="87"/>
      <c r="CNR21" s="87"/>
      <c r="CNS21" s="87"/>
      <c r="CNT21" s="87"/>
      <c r="CNU21" s="87"/>
      <c r="CNV21" s="87"/>
      <c r="CNW21" s="87"/>
      <c r="CNX21" s="87"/>
      <c r="CNY21" s="87"/>
      <c r="CNZ21" s="87"/>
      <c r="COA21" s="87"/>
      <c r="COB21" s="87"/>
      <c r="COC21" s="87"/>
      <c r="COD21" s="87"/>
      <c r="COE21" s="87"/>
      <c r="COF21" s="87"/>
      <c r="COG21" s="87"/>
      <c r="COH21" s="87"/>
      <c r="COI21" s="87"/>
      <c r="COJ21" s="87"/>
      <c r="COK21" s="87"/>
      <c r="COL21" s="87"/>
      <c r="COM21" s="87"/>
      <c r="CON21" s="87"/>
      <c r="COO21" s="87"/>
      <c r="COP21" s="87"/>
      <c r="COQ21" s="87"/>
      <c r="COR21" s="87"/>
      <c r="COS21" s="87"/>
      <c r="COT21" s="87"/>
      <c r="COU21" s="87"/>
      <c r="COV21" s="87"/>
      <c r="COW21" s="87"/>
      <c r="COX21" s="87"/>
      <c r="COY21" s="87"/>
      <c r="COZ21" s="87"/>
      <c r="CPA21" s="87"/>
      <c r="CPB21" s="87"/>
      <c r="CPC21" s="87"/>
      <c r="CPD21" s="87"/>
      <c r="CPE21" s="87"/>
      <c r="CPF21" s="87"/>
      <c r="CPG21" s="87"/>
      <c r="CPH21" s="87"/>
      <c r="CPI21" s="87"/>
      <c r="CPJ21" s="87"/>
      <c r="CPK21" s="87"/>
      <c r="CPL21" s="87"/>
      <c r="CPM21" s="87"/>
      <c r="CPN21" s="87"/>
      <c r="CPO21" s="87"/>
      <c r="CPP21" s="87"/>
      <c r="CPQ21" s="87"/>
      <c r="CPR21" s="87"/>
      <c r="CPS21" s="87"/>
      <c r="CPT21" s="87"/>
      <c r="CPU21" s="87"/>
      <c r="CPV21" s="87"/>
      <c r="CPW21" s="87"/>
      <c r="CPX21" s="87"/>
      <c r="CPY21" s="87"/>
      <c r="CPZ21" s="87"/>
      <c r="CQA21" s="87"/>
      <c r="CQB21" s="87"/>
      <c r="CQC21" s="87"/>
      <c r="CQD21" s="87"/>
      <c r="CQE21" s="87"/>
      <c r="CQF21" s="87"/>
      <c r="CQG21" s="87"/>
      <c r="CQH21" s="87"/>
      <c r="CQI21" s="87"/>
      <c r="CQJ21" s="87"/>
      <c r="CQK21" s="87"/>
      <c r="CQL21" s="87"/>
      <c r="CQM21" s="87"/>
      <c r="CQN21" s="87"/>
      <c r="CQO21" s="87"/>
      <c r="CQP21" s="87"/>
      <c r="CQQ21" s="87"/>
      <c r="CQR21" s="87"/>
      <c r="CQS21" s="87"/>
      <c r="CQT21" s="87"/>
      <c r="CQU21" s="87"/>
      <c r="CQV21" s="87"/>
      <c r="CQW21" s="87"/>
      <c r="CQX21" s="87"/>
      <c r="CQY21" s="87"/>
      <c r="CQZ21" s="87"/>
      <c r="CRA21" s="87"/>
      <c r="CRB21" s="87"/>
      <c r="CRC21" s="87"/>
      <c r="CRD21" s="87"/>
      <c r="CRE21" s="87"/>
      <c r="CRF21" s="87"/>
      <c r="CRG21" s="87"/>
      <c r="CRH21" s="87"/>
      <c r="CRI21" s="87"/>
      <c r="CRJ21" s="87"/>
      <c r="CRK21" s="87"/>
      <c r="CRL21" s="87"/>
      <c r="CRM21" s="87"/>
      <c r="CRN21" s="87"/>
      <c r="CRO21" s="87"/>
      <c r="CRP21" s="87"/>
      <c r="CRQ21" s="87"/>
      <c r="CRR21" s="87"/>
      <c r="CRS21" s="87"/>
      <c r="CRT21" s="87"/>
      <c r="CRU21" s="87"/>
      <c r="CRV21" s="87"/>
      <c r="CRW21" s="87"/>
      <c r="CRX21" s="87"/>
      <c r="CRY21" s="87"/>
      <c r="CRZ21" s="87"/>
      <c r="CSA21" s="87"/>
      <c r="CSB21" s="87"/>
      <c r="CSC21" s="87"/>
      <c r="CSD21" s="87"/>
      <c r="CSE21" s="87"/>
      <c r="CSF21" s="87"/>
      <c r="CSG21" s="87"/>
      <c r="CSH21" s="87"/>
      <c r="CSI21" s="87"/>
      <c r="CSJ21" s="87"/>
      <c r="CSK21" s="87"/>
      <c r="CSL21" s="87"/>
      <c r="CSM21" s="87"/>
      <c r="CSN21" s="87"/>
      <c r="CSO21" s="87"/>
      <c r="CSP21" s="87"/>
      <c r="CSQ21" s="87"/>
      <c r="CSR21" s="87"/>
      <c r="CSS21" s="87"/>
      <c r="CST21" s="87"/>
      <c r="CSU21" s="87"/>
      <c r="CSV21" s="87"/>
      <c r="CSW21" s="87"/>
      <c r="CSX21" s="87"/>
      <c r="CSY21" s="87"/>
      <c r="CSZ21" s="87"/>
      <c r="CTA21" s="87"/>
      <c r="CTB21" s="87"/>
      <c r="CTC21" s="87"/>
      <c r="CTD21" s="87"/>
      <c r="CTE21" s="87"/>
      <c r="CTF21" s="87"/>
      <c r="CTG21" s="87"/>
      <c r="CTH21" s="87"/>
      <c r="CTI21" s="87"/>
      <c r="CTJ21" s="87"/>
      <c r="CTK21" s="87"/>
      <c r="CTL21" s="87"/>
      <c r="CTM21" s="87"/>
      <c r="CTN21" s="87"/>
      <c r="CTO21" s="87"/>
      <c r="CTP21" s="87"/>
      <c r="CTQ21" s="87"/>
      <c r="CTR21" s="87"/>
      <c r="CTS21" s="87"/>
      <c r="CTT21" s="87"/>
      <c r="CTU21" s="87"/>
      <c r="CTV21" s="87"/>
      <c r="CTW21" s="87"/>
      <c r="CTX21" s="87"/>
      <c r="CTY21" s="87"/>
      <c r="CTZ21" s="87"/>
      <c r="CUA21" s="87"/>
      <c r="CUB21" s="87"/>
      <c r="CUC21" s="87"/>
      <c r="CUD21" s="87"/>
      <c r="CUE21" s="87"/>
      <c r="CUF21" s="87"/>
      <c r="CUG21" s="87"/>
      <c r="CUH21" s="87"/>
      <c r="CUI21" s="87"/>
      <c r="CUJ21" s="87"/>
      <c r="CUK21" s="87"/>
      <c r="CUL21" s="87"/>
      <c r="CUM21" s="87"/>
      <c r="CUN21" s="87"/>
      <c r="CUO21" s="87"/>
      <c r="CUP21" s="87"/>
      <c r="CUQ21" s="87"/>
      <c r="CUR21" s="87"/>
      <c r="CUS21" s="87"/>
      <c r="CUT21" s="87"/>
      <c r="CUU21" s="87"/>
      <c r="CUV21" s="87"/>
      <c r="CUW21" s="87"/>
      <c r="CUX21" s="87"/>
      <c r="CUY21" s="87"/>
      <c r="CUZ21" s="87"/>
      <c r="CVA21" s="87"/>
      <c r="CVB21" s="87"/>
      <c r="CVC21" s="87"/>
      <c r="CVD21" s="87"/>
      <c r="CVE21" s="87"/>
      <c r="CVF21" s="87"/>
      <c r="CVG21" s="87"/>
      <c r="CVH21" s="87"/>
      <c r="CVI21" s="87"/>
      <c r="CVJ21" s="87"/>
      <c r="CVK21" s="87"/>
      <c r="CVL21" s="87"/>
      <c r="CVM21" s="87"/>
      <c r="CVN21" s="87"/>
      <c r="CVO21" s="87"/>
      <c r="CVP21" s="87"/>
      <c r="CVQ21" s="87"/>
      <c r="CVR21" s="87"/>
      <c r="CVS21" s="87"/>
      <c r="CVT21" s="87"/>
      <c r="CVU21" s="87"/>
      <c r="CVV21" s="87"/>
      <c r="CVW21" s="87"/>
      <c r="CVX21" s="87"/>
      <c r="CVY21" s="87"/>
      <c r="CVZ21" s="87"/>
      <c r="CWA21" s="87"/>
      <c r="CWB21" s="87"/>
      <c r="CWC21" s="87"/>
      <c r="CWD21" s="87"/>
      <c r="CWE21" s="87"/>
      <c r="CWF21" s="87"/>
      <c r="CWG21" s="87"/>
      <c r="CWH21" s="87"/>
      <c r="CWI21" s="87"/>
      <c r="CWJ21" s="87"/>
      <c r="CWK21" s="87"/>
      <c r="CWL21" s="87"/>
      <c r="CWM21" s="87"/>
      <c r="CWN21" s="87"/>
      <c r="CWO21" s="87"/>
      <c r="CWP21" s="87"/>
      <c r="CWQ21" s="87"/>
      <c r="CWR21" s="87"/>
      <c r="CWS21" s="87"/>
      <c r="CWT21" s="87"/>
      <c r="CWU21" s="87"/>
      <c r="CWV21" s="87"/>
      <c r="CWW21" s="87"/>
      <c r="CWX21" s="87"/>
      <c r="CWY21" s="87"/>
      <c r="CWZ21" s="87"/>
      <c r="CXA21" s="87"/>
      <c r="CXB21" s="87"/>
      <c r="CXC21" s="87"/>
      <c r="CXD21" s="87"/>
      <c r="CXE21" s="87"/>
      <c r="CXF21" s="87"/>
      <c r="CXG21" s="87"/>
      <c r="CXH21" s="87"/>
      <c r="CXI21" s="87"/>
      <c r="CXJ21" s="87"/>
      <c r="CXK21" s="87"/>
      <c r="CXL21" s="87"/>
      <c r="CXM21" s="87"/>
      <c r="CXN21" s="87"/>
      <c r="CXO21" s="87"/>
      <c r="CXP21" s="87"/>
      <c r="CXQ21" s="87"/>
      <c r="CXR21" s="87"/>
      <c r="CXS21" s="87"/>
      <c r="CXT21" s="87"/>
      <c r="CXU21" s="87"/>
      <c r="CXV21" s="87"/>
      <c r="CXW21" s="87"/>
      <c r="CXX21" s="87"/>
      <c r="CXY21" s="87"/>
      <c r="CXZ21" s="87"/>
      <c r="CYA21" s="87"/>
      <c r="CYB21" s="87"/>
      <c r="CYC21" s="87"/>
      <c r="CYD21" s="87"/>
      <c r="CYE21" s="87"/>
      <c r="CYF21" s="87"/>
      <c r="CYG21" s="87"/>
      <c r="CYH21" s="87"/>
      <c r="CYI21" s="87"/>
      <c r="CYJ21" s="87"/>
      <c r="CYK21" s="87"/>
      <c r="CYL21" s="87"/>
      <c r="CYM21" s="87"/>
      <c r="CYN21" s="87"/>
      <c r="CYO21" s="87"/>
      <c r="CYP21" s="87"/>
      <c r="CYQ21" s="87"/>
      <c r="CYR21" s="87"/>
      <c r="CYS21" s="87"/>
      <c r="CYT21" s="87"/>
      <c r="CYU21" s="87"/>
      <c r="CYV21" s="87"/>
      <c r="CYW21" s="87"/>
      <c r="CYX21" s="87"/>
      <c r="CYY21" s="87"/>
      <c r="CYZ21" s="87"/>
      <c r="CZA21" s="87"/>
      <c r="CZB21" s="87"/>
      <c r="CZC21" s="87"/>
      <c r="CZD21" s="87"/>
      <c r="CZE21" s="87"/>
      <c r="CZF21" s="87"/>
      <c r="CZG21" s="87"/>
      <c r="CZH21" s="87"/>
      <c r="CZI21" s="87"/>
      <c r="CZJ21" s="87"/>
      <c r="CZK21" s="87"/>
      <c r="CZL21" s="87"/>
      <c r="CZM21" s="87"/>
      <c r="CZN21" s="87"/>
      <c r="CZO21" s="87"/>
      <c r="CZP21" s="87"/>
      <c r="CZQ21" s="87"/>
      <c r="CZR21" s="87"/>
      <c r="CZS21" s="87"/>
      <c r="CZT21" s="87"/>
      <c r="CZU21" s="87"/>
      <c r="CZV21" s="87"/>
      <c r="CZW21" s="87"/>
      <c r="CZX21" s="87"/>
      <c r="CZY21" s="87"/>
      <c r="CZZ21" s="87"/>
      <c r="DAA21" s="87"/>
      <c r="DAB21" s="87"/>
      <c r="DAC21" s="87"/>
      <c r="DAD21" s="87"/>
      <c r="DAE21" s="87"/>
      <c r="DAF21" s="87"/>
      <c r="DAG21" s="87"/>
      <c r="DAH21" s="87"/>
      <c r="DAI21" s="87"/>
      <c r="DAJ21" s="87"/>
      <c r="DAK21" s="87"/>
      <c r="DAL21" s="87"/>
      <c r="DAM21" s="87"/>
      <c r="DAN21" s="87"/>
      <c r="DAO21" s="87"/>
      <c r="DAP21" s="87"/>
      <c r="DAQ21" s="87"/>
      <c r="DAR21" s="87"/>
      <c r="DAS21" s="87"/>
      <c r="DAT21" s="87"/>
      <c r="DAU21" s="87"/>
      <c r="DAV21" s="87"/>
      <c r="DAW21" s="87"/>
      <c r="DAX21" s="87"/>
      <c r="DAY21" s="87"/>
      <c r="DAZ21" s="87"/>
      <c r="DBA21" s="87"/>
      <c r="DBB21" s="87"/>
      <c r="DBC21" s="87"/>
      <c r="DBD21" s="87"/>
      <c r="DBE21" s="87"/>
      <c r="DBF21" s="87"/>
      <c r="DBG21" s="87"/>
      <c r="DBH21" s="87"/>
      <c r="DBI21" s="87"/>
      <c r="DBJ21" s="87"/>
      <c r="DBK21" s="87"/>
      <c r="DBL21" s="87"/>
      <c r="DBM21" s="87"/>
      <c r="DBN21" s="87"/>
      <c r="DBO21" s="87"/>
      <c r="DBP21" s="87"/>
      <c r="DBQ21" s="87"/>
      <c r="DBR21" s="87"/>
      <c r="DBS21" s="87"/>
      <c r="DBT21" s="87"/>
      <c r="DBU21" s="87"/>
      <c r="DBV21" s="87"/>
      <c r="DBW21" s="87"/>
      <c r="DBX21" s="87"/>
      <c r="DBY21" s="87"/>
      <c r="DBZ21" s="87"/>
      <c r="DCA21" s="87"/>
      <c r="DCB21" s="87"/>
      <c r="DCC21" s="87"/>
      <c r="DCD21" s="87"/>
      <c r="DCE21" s="87"/>
      <c r="DCF21" s="87"/>
      <c r="DCG21" s="87"/>
      <c r="DCH21" s="87"/>
      <c r="DCI21" s="87"/>
      <c r="DCJ21" s="87"/>
      <c r="DCK21" s="87"/>
      <c r="DCL21" s="87"/>
      <c r="DCM21" s="87"/>
      <c r="DCN21" s="87"/>
      <c r="DCO21" s="87"/>
      <c r="DCP21" s="87"/>
      <c r="DCQ21" s="87"/>
      <c r="DCR21" s="87"/>
      <c r="DCS21" s="87"/>
      <c r="DCT21" s="87"/>
      <c r="DCU21" s="87"/>
      <c r="DCV21" s="87"/>
      <c r="DCW21" s="87"/>
      <c r="DCX21" s="87"/>
      <c r="DCY21" s="87"/>
      <c r="DCZ21" s="87"/>
      <c r="DDA21" s="87"/>
      <c r="DDB21" s="87"/>
      <c r="DDC21" s="87"/>
      <c r="DDD21" s="87"/>
      <c r="DDE21" s="87"/>
      <c r="DDF21" s="87"/>
      <c r="DDG21" s="87"/>
      <c r="DDH21" s="87"/>
      <c r="DDI21" s="87"/>
      <c r="DDJ21" s="87"/>
      <c r="DDK21" s="87"/>
      <c r="DDL21" s="87"/>
      <c r="DDM21" s="87"/>
      <c r="DDN21" s="87"/>
      <c r="DDO21" s="87"/>
      <c r="DDP21" s="87"/>
      <c r="DDQ21" s="87"/>
      <c r="DDR21" s="87"/>
      <c r="DDS21" s="87"/>
      <c r="DDT21" s="87"/>
      <c r="DDU21" s="87"/>
      <c r="DDV21" s="87"/>
      <c r="DDW21" s="87"/>
      <c r="DDX21" s="87"/>
      <c r="DDY21" s="87"/>
      <c r="DDZ21" s="87"/>
      <c r="DEA21" s="87"/>
      <c r="DEB21" s="87"/>
      <c r="DEC21" s="87"/>
      <c r="DED21" s="87"/>
      <c r="DEE21" s="87"/>
      <c r="DEF21" s="87"/>
      <c r="DEG21" s="87"/>
      <c r="DEH21" s="87"/>
      <c r="DEI21" s="87"/>
      <c r="DEJ21" s="87"/>
      <c r="DEK21" s="87"/>
      <c r="DEL21" s="87"/>
      <c r="DEM21" s="87"/>
      <c r="DEN21" s="87"/>
      <c r="DEO21" s="87"/>
      <c r="DEP21" s="87"/>
      <c r="DEQ21" s="87"/>
      <c r="DER21" s="87"/>
      <c r="DES21" s="87"/>
      <c r="DET21" s="87"/>
      <c r="DEU21" s="87"/>
      <c r="DEV21" s="87"/>
      <c r="DEW21" s="87"/>
      <c r="DEX21" s="87"/>
      <c r="DEY21" s="87"/>
      <c r="DEZ21" s="87"/>
      <c r="DFA21" s="87"/>
      <c r="DFB21" s="87"/>
      <c r="DFC21" s="87"/>
      <c r="DFD21" s="87"/>
      <c r="DFE21" s="87"/>
      <c r="DFF21" s="87"/>
      <c r="DFG21" s="87"/>
      <c r="DFH21" s="87"/>
      <c r="DFI21" s="87"/>
      <c r="DFJ21" s="87"/>
      <c r="DFK21" s="87"/>
      <c r="DFL21" s="87"/>
      <c r="DFM21" s="87"/>
      <c r="DFN21" s="87"/>
      <c r="DFO21" s="87"/>
      <c r="DFP21" s="87"/>
      <c r="DFQ21" s="87"/>
      <c r="DFR21" s="87"/>
      <c r="DFS21" s="87"/>
      <c r="DFT21" s="87"/>
      <c r="DFU21" s="87"/>
      <c r="DFV21" s="87"/>
      <c r="DFW21" s="87"/>
      <c r="DFX21" s="87"/>
      <c r="DFY21" s="87"/>
      <c r="DFZ21" s="87"/>
      <c r="DGA21" s="87"/>
      <c r="DGB21" s="87"/>
      <c r="DGC21" s="87"/>
      <c r="DGD21" s="87"/>
      <c r="DGE21" s="87"/>
      <c r="DGF21" s="87"/>
      <c r="DGG21" s="87"/>
      <c r="DGH21" s="87"/>
      <c r="DGI21" s="87"/>
      <c r="DGJ21" s="87"/>
      <c r="DGK21" s="87"/>
      <c r="DGL21" s="87"/>
      <c r="DGM21" s="87"/>
      <c r="DGN21" s="87"/>
      <c r="DGO21" s="87"/>
      <c r="DGP21" s="87"/>
      <c r="DGQ21" s="87"/>
      <c r="DGR21" s="87"/>
      <c r="DGS21" s="87"/>
      <c r="DGT21" s="87"/>
      <c r="DGU21" s="87"/>
      <c r="DGV21" s="87"/>
      <c r="DGW21" s="87"/>
      <c r="DGX21" s="87"/>
      <c r="DGY21" s="87"/>
      <c r="DGZ21" s="87"/>
      <c r="DHA21" s="87"/>
      <c r="DHB21" s="87"/>
      <c r="DHC21" s="87"/>
      <c r="DHD21" s="87"/>
      <c r="DHE21" s="87"/>
      <c r="DHF21" s="87"/>
      <c r="DHG21" s="87"/>
      <c r="DHH21" s="87"/>
      <c r="DHI21" s="87"/>
      <c r="DHJ21" s="87"/>
      <c r="DHK21" s="87"/>
      <c r="DHL21" s="87"/>
      <c r="DHM21" s="87"/>
      <c r="DHN21" s="87"/>
      <c r="DHO21" s="87"/>
      <c r="DHP21" s="87"/>
      <c r="DHQ21" s="87"/>
      <c r="DHR21" s="87"/>
      <c r="DHS21" s="87"/>
      <c r="DHT21" s="87"/>
      <c r="DHU21" s="87"/>
      <c r="DHV21" s="87"/>
      <c r="DHW21" s="87"/>
      <c r="DHX21" s="87"/>
      <c r="DHY21" s="87"/>
      <c r="DHZ21" s="87"/>
      <c r="DIA21" s="87"/>
      <c r="DIB21" s="87"/>
      <c r="DIC21" s="87"/>
      <c r="DID21" s="87"/>
      <c r="DIE21" s="87"/>
      <c r="DIF21" s="87"/>
      <c r="DIG21" s="87"/>
      <c r="DIH21" s="87"/>
      <c r="DII21" s="87"/>
      <c r="DIJ21" s="87"/>
      <c r="DIK21" s="87"/>
      <c r="DIL21" s="87"/>
      <c r="DIM21" s="87"/>
      <c r="DIN21" s="87"/>
      <c r="DIO21" s="87"/>
      <c r="DIP21" s="87"/>
      <c r="DIQ21" s="87"/>
      <c r="DIR21" s="87"/>
      <c r="DIS21" s="87"/>
      <c r="DIT21" s="87"/>
      <c r="DIU21" s="87"/>
      <c r="DIV21" s="87"/>
      <c r="DIW21" s="87"/>
      <c r="DIX21" s="87"/>
      <c r="DIY21" s="87"/>
      <c r="DIZ21" s="87"/>
      <c r="DJA21" s="87"/>
      <c r="DJB21" s="87"/>
      <c r="DJC21" s="87"/>
      <c r="DJD21" s="87"/>
      <c r="DJE21" s="87"/>
      <c r="DJF21" s="87"/>
      <c r="DJG21" s="87"/>
      <c r="DJH21" s="87"/>
      <c r="DJI21" s="87"/>
      <c r="DJJ21" s="87"/>
      <c r="DJK21" s="87"/>
      <c r="DJL21" s="87"/>
      <c r="DJM21" s="87"/>
      <c r="DJN21" s="87"/>
      <c r="DJO21" s="87"/>
      <c r="DJP21" s="87"/>
      <c r="DJQ21" s="87"/>
      <c r="DJR21" s="87"/>
      <c r="DJS21" s="87"/>
      <c r="DJT21" s="87"/>
      <c r="DJU21" s="87"/>
      <c r="DJV21" s="87"/>
      <c r="DJW21" s="87"/>
      <c r="DJX21" s="87"/>
      <c r="DJY21" s="87"/>
      <c r="DJZ21" s="87"/>
      <c r="DKA21" s="87"/>
      <c r="DKB21" s="87"/>
      <c r="DKC21" s="87"/>
      <c r="DKD21" s="87"/>
      <c r="DKE21" s="87"/>
      <c r="DKF21" s="87"/>
      <c r="DKG21" s="87"/>
      <c r="DKH21" s="87"/>
      <c r="DKI21" s="87"/>
      <c r="DKJ21" s="87"/>
      <c r="DKK21" s="87"/>
      <c r="DKL21" s="87"/>
      <c r="DKM21" s="87"/>
      <c r="DKN21" s="87"/>
      <c r="DKO21" s="87"/>
      <c r="DKP21" s="87"/>
      <c r="DKQ21" s="87"/>
      <c r="DKR21" s="87"/>
      <c r="DKS21" s="87"/>
      <c r="DKT21" s="87"/>
      <c r="DKU21" s="87"/>
      <c r="DKV21" s="87"/>
      <c r="DKW21" s="87"/>
      <c r="DKX21" s="87"/>
      <c r="DKY21" s="87"/>
      <c r="DKZ21" s="87"/>
      <c r="DLA21" s="87"/>
      <c r="DLB21" s="87"/>
      <c r="DLC21" s="87"/>
      <c r="DLD21" s="87"/>
      <c r="DLE21" s="87"/>
      <c r="DLF21" s="87"/>
      <c r="DLG21" s="87"/>
      <c r="DLH21" s="87"/>
      <c r="DLI21" s="87"/>
      <c r="DLJ21" s="87"/>
      <c r="DLK21" s="87"/>
      <c r="DLL21" s="87"/>
      <c r="DLM21" s="87"/>
      <c r="DLN21" s="87"/>
      <c r="DLO21" s="87"/>
      <c r="DLP21" s="87"/>
      <c r="DLQ21" s="87"/>
      <c r="DLR21" s="87"/>
      <c r="DLS21" s="87"/>
      <c r="DLT21" s="87"/>
      <c r="DLU21" s="87"/>
      <c r="DLV21" s="87"/>
      <c r="DLW21" s="87"/>
      <c r="DLX21" s="87"/>
      <c r="DLY21" s="87"/>
      <c r="DLZ21" s="87"/>
      <c r="DMA21" s="87"/>
      <c r="DMB21" s="87"/>
      <c r="DMC21" s="87"/>
      <c r="DMD21" s="87"/>
      <c r="DME21" s="87"/>
      <c r="DMF21" s="87"/>
      <c r="DMG21" s="87"/>
      <c r="DMH21" s="87"/>
      <c r="DMI21" s="87"/>
      <c r="DMJ21" s="87"/>
      <c r="DMK21" s="87"/>
      <c r="DML21" s="87"/>
      <c r="DMM21" s="87"/>
      <c r="DMN21" s="87"/>
      <c r="DMO21" s="87"/>
      <c r="DMP21" s="87"/>
      <c r="DMQ21" s="87"/>
      <c r="DMR21" s="87"/>
      <c r="DMS21" s="87"/>
      <c r="DMT21" s="87"/>
      <c r="DMU21" s="87"/>
      <c r="DMV21" s="87"/>
      <c r="DMW21" s="87"/>
      <c r="DMX21" s="87"/>
      <c r="DMY21" s="87"/>
      <c r="DMZ21" s="87"/>
      <c r="DNA21" s="87"/>
      <c r="DNB21" s="87"/>
      <c r="DNC21" s="87"/>
      <c r="DND21" s="87"/>
      <c r="DNE21" s="87"/>
      <c r="DNF21" s="87"/>
      <c r="DNG21" s="87"/>
      <c r="DNH21" s="87"/>
      <c r="DNI21" s="87"/>
      <c r="DNJ21" s="87"/>
      <c r="DNK21" s="87"/>
      <c r="DNL21" s="87"/>
      <c r="DNM21" s="87"/>
      <c r="DNN21" s="87"/>
      <c r="DNO21" s="87"/>
      <c r="DNP21" s="87"/>
      <c r="DNQ21" s="87"/>
      <c r="DNR21" s="87"/>
      <c r="DNS21" s="87"/>
      <c r="DNT21" s="87"/>
      <c r="DNU21" s="87"/>
      <c r="DNV21" s="87"/>
      <c r="DNW21" s="87"/>
      <c r="DNX21" s="87"/>
      <c r="DNY21" s="87"/>
      <c r="DNZ21" s="87"/>
      <c r="DOA21" s="87"/>
      <c r="DOB21" s="87"/>
      <c r="DOC21" s="87"/>
      <c r="DOD21" s="87"/>
      <c r="DOE21" s="87"/>
      <c r="DOF21" s="87"/>
      <c r="DOG21" s="87"/>
      <c r="DOH21" s="87"/>
      <c r="DOI21" s="87"/>
      <c r="DOJ21" s="87"/>
      <c r="DOK21" s="87"/>
      <c r="DOL21" s="87"/>
      <c r="DOM21" s="87"/>
      <c r="DON21" s="87"/>
      <c r="DOO21" s="87"/>
      <c r="DOP21" s="87"/>
      <c r="DOQ21" s="87"/>
      <c r="DOR21" s="87"/>
      <c r="DOS21" s="87"/>
      <c r="DOT21" s="87"/>
      <c r="DOU21" s="87"/>
      <c r="DOV21" s="87"/>
      <c r="DOW21" s="87"/>
      <c r="DOX21" s="87"/>
      <c r="DOY21" s="87"/>
      <c r="DOZ21" s="87"/>
      <c r="DPA21" s="87"/>
      <c r="DPB21" s="87"/>
      <c r="DPC21" s="87"/>
      <c r="DPD21" s="87"/>
      <c r="DPE21" s="87"/>
      <c r="DPF21" s="87"/>
      <c r="DPG21" s="87"/>
      <c r="DPH21" s="87"/>
      <c r="DPI21" s="87"/>
      <c r="DPJ21" s="87"/>
      <c r="DPK21" s="87"/>
      <c r="DPL21" s="87"/>
      <c r="DPM21" s="87"/>
      <c r="DPN21" s="87"/>
      <c r="DPO21" s="87"/>
      <c r="DPP21" s="87"/>
      <c r="DPQ21" s="87"/>
      <c r="DPR21" s="87"/>
      <c r="DPS21" s="87"/>
      <c r="DPT21" s="87"/>
      <c r="DPU21" s="87"/>
      <c r="DPV21" s="87"/>
      <c r="DPW21" s="87"/>
      <c r="DPX21" s="87"/>
      <c r="DPY21" s="87"/>
      <c r="DPZ21" s="87"/>
      <c r="DQA21" s="87"/>
      <c r="DQB21" s="87"/>
      <c r="DQC21" s="87"/>
      <c r="DQD21" s="87"/>
      <c r="DQE21" s="87"/>
      <c r="DQF21" s="87"/>
      <c r="DQG21" s="87"/>
      <c r="DQH21" s="87"/>
      <c r="DQI21" s="87"/>
      <c r="DQJ21" s="87"/>
      <c r="DQK21" s="87"/>
      <c r="DQL21" s="87"/>
      <c r="DQM21" s="87"/>
      <c r="DQN21" s="87"/>
      <c r="DQO21" s="87"/>
      <c r="DQP21" s="87"/>
      <c r="DQQ21" s="87"/>
      <c r="DQR21" s="87"/>
      <c r="DQS21" s="87"/>
      <c r="DQT21" s="87"/>
      <c r="DQU21" s="87"/>
      <c r="DQV21" s="87"/>
      <c r="DQW21" s="87"/>
      <c r="DQX21" s="87"/>
      <c r="DQY21" s="87"/>
      <c r="DQZ21" s="87"/>
      <c r="DRA21" s="87"/>
      <c r="DRB21" s="87"/>
      <c r="DRC21" s="87"/>
      <c r="DRD21" s="87"/>
      <c r="DRE21" s="87"/>
      <c r="DRF21" s="87"/>
      <c r="DRG21" s="87"/>
      <c r="DRH21" s="87"/>
      <c r="DRI21" s="87"/>
      <c r="DRJ21" s="87"/>
      <c r="DRK21" s="87"/>
      <c r="DRL21" s="87"/>
      <c r="DRM21" s="87"/>
      <c r="DRN21" s="87"/>
      <c r="DRO21" s="87"/>
      <c r="DRP21" s="87"/>
      <c r="DRQ21" s="87"/>
      <c r="DRR21" s="87"/>
      <c r="DRS21" s="87"/>
      <c r="DRT21" s="87"/>
      <c r="DRU21" s="87"/>
      <c r="DRV21" s="87"/>
      <c r="DRW21" s="87"/>
      <c r="DRX21" s="87"/>
      <c r="DRY21" s="87"/>
      <c r="DRZ21" s="87"/>
      <c r="DSA21" s="87"/>
      <c r="DSB21" s="87"/>
      <c r="DSC21" s="87"/>
      <c r="DSD21" s="87"/>
      <c r="DSE21" s="87"/>
      <c r="DSF21" s="87"/>
      <c r="DSG21" s="87"/>
      <c r="DSH21" s="87"/>
      <c r="DSI21" s="87"/>
      <c r="DSJ21" s="87"/>
      <c r="DSK21" s="87"/>
      <c r="DSL21" s="87"/>
      <c r="DSM21" s="87"/>
      <c r="DSN21" s="87"/>
      <c r="DSO21" s="87"/>
      <c r="DSP21" s="87"/>
      <c r="DSQ21" s="87"/>
      <c r="DSR21" s="87"/>
      <c r="DSS21" s="87"/>
      <c r="DST21" s="87"/>
      <c r="DSU21" s="87"/>
      <c r="DSV21" s="87"/>
      <c r="DSW21" s="87"/>
      <c r="DSX21" s="87"/>
      <c r="DSY21" s="87"/>
      <c r="DSZ21" s="87"/>
      <c r="DTA21" s="87"/>
      <c r="DTB21" s="87"/>
      <c r="DTC21" s="87"/>
      <c r="DTD21" s="87"/>
      <c r="DTE21" s="87"/>
      <c r="DTF21" s="87"/>
      <c r="DTG21" s="87"/>
      <c r="DTH21" s="87"/>
      <c r="DTI21" s="87"/>
      <c r="DTJ21" s="87"/>
      <c r="DTK21" s="87"/>
      <c r="DTL21" s="87"/>
      <c r="DTM21" s="87"/>
      <c r="DTN21" s="87"/>
      <c r="DTO21" s="87"/>
      <c r="DTP21" s="87"/>
      <c r="DTQ21" s="87"/>
      <c r="DTR21" s="87"/>
      <c r="DTS21" s="87"/>
      <c r="DTT21" s="87"/>
      <c r="DTU21" s="87"/>
      <c r="DTV21" s="87"/>
      <c r="DTW21" s="87"/>
      <c r="DTX21" s="87"/>
      <c r="DTY21" s="87"/>
      <c r="DTZ21" s="87"/>
      <c r="DUA21" s="87"/>
      <c r="DUB21" s="87"/>
      <c r="DUC21" s="87"/>
      <c r="DUD21" s="87"/>
      <c r="DUE21" s="87"/>
      <c r="DUF21" s="87"/>
      <c r="DUG21" s="87"/>
      <c r="DUH21" s="87"/>
      <c r="DUI21" s="87"/>
      <c r="DUJ21" s="87"/>
      <c r="DUK21" s="87"/>
      <c r="DUL21" s="87"/>
      <c r="DUM21" s="87"/>
      <c r="DUN21" s="87"/>
      <c r="DUO21" s="87"/>
      <c r="DUP21" s="87"/>
      <c r="DUQ21" s="87"/>
      <c r="DUR21" s="87"/>
      <c r="DUS21" s="87"/>
      <c r="DUT21" s="87"/>
      <c r="DUU21" s="87"/>
      <c r="DUV21" s="87"/>
      <c r="DUW21" s="87"/>
      <c r="DUX21" s="87"/>
      <c r="DUY21" s="87"/>
      <c r="DUZ21" s="87"/>
      <c r="DVA21" s="87"/>
      <c r="DVB21" s="87"/>
      <c r="DVC21" s="87"/>
      <c r="DVD21" s="87"/>
      <c r="DVE21" s="87"/>
      <c r="DVF21" s="87"/>
      <c r="DVG21" s="87"/>
      <c r="DVH21" s="87"/>
      <c r="DVI21" s="87"/>
      <c r="DVJ21" s="87"/>
      <c r="DVK21" s="87"/>
      <c r="DVL21" s="87"/>
      <c r="DVM21" s="87"/>
      <c r="DVN21" s="87"/>
      <c r="DVO21" s="87"/>
      <c r="DVP21" s="87"/>
      <c r="DVQ21" s="87"/>
      <c r="DVR21" s="87"/>
      <c r="DVS21" s="87"/>
      <c r="DVT21" s="87"/>
      <c r="DVU21" s="87"/>
      <c r="DVV21" s="87"/>
      <c r="DVW21" s="87"/>
      <c r="DVX21" s="87"/>
      <c r="DVY21" s="87"/>
      <c r="DVZ21" s="87"/>
      <c r="DWA21" s="87"/>
      <c r="DWB21" s="87"/>
      <c r="DWC21" s="87"/>
      <c r="DWD21" s="87"/>
      <c r="DWE21" s="87"/>
      <c r="DWF21" s="87"/>
      <c r="DWG21" s="87"/>
      <c r="DWH21" s="87"/>
      <c r="DWI21" s="87"/>
      <c r="DWJ21" s="87"/>
      <c r="DWK21" s="87"/>
      <c r="DWL21" s="87"/>
      <c r="DWM21" s="87"/>
      <c r="DWN21" s="87"/>
      <c r="DWO21" s="87"/>
      <c r="DWP21" s="87"/>
      <c r="DWQ21" s="87"/>
      <c r="DWR21" s="87"/>
      <c r="DWS21" s="87"/>
      <c r="DWT21" s="87"/>
      <c r="DWU21" s="87"/>
      <c r="DWV21" s="87"/>
      <c r="DWW21" s="87"/>
      <c r="DWX21" s="87"/>
      <c r="DWY21" s="87"/>
      <c r="DWZ21" s="87"/>
      <c r="DXA21" s="87"/>
      <c r="DXB21" s="87"/>
      <c r="DXC21" s="87"/>
      <c r="DXD21" s="87"/>
      <c r="DXE21" s="87"/>
      <c r="DXF21" s="87"/>
      <c r="DXG21" s="87"/>
      <c r="DXH21" s="87"/>
      <c r="DXI21" s="87"/>
      <c r="DXJ21" s="87"/>
      <c r="DXK21" s="87"/>
      <c r="DXL21" s="87"/>
      <c r="DXM21" s="87"/>
      <c r="DXN21" s="87"/>
      <c r="DXO21" s="87"/>
      <c r="DXP21" s="87"/>
      <c r="DXQ21" s="87"/>
      <c r="DXR21" s="87"/>
      <c r="DXS21" s="87"/>
      <c r="DXT21" s="87"/>
      <c r="DXU21" s="87"/>
      <c r="DXV21" s="87"/>
      <c r="DXW21" s="87"/>
      <c r="DXX21" s="87"/>
      <c r="DXY21" s="87"/>
      <c r="DXZ21" s="87"/>
      <c r="DYA21" s="87"/>
      <c r="DYB21" s="87"/>
      <c r="DYC21" s="87"/>
      <c r="DYD21" s="87"/>
      <c r="DYE21" s="87"/>
      <c r="DYF21" s="87"/>
      <c r="DYG21" s="87"/>
      <c r="DYH21" s="87"/>
      <c r="DYI21" s="87"/>
      <c r="DYJ21" s="87"/>
      <c r="DYK21" s="87"/>
      <c r="DYL21" s="87"/>
      <c r="DYM21" s="87"/>
      <c r="DYN21" s="87"/>
      <c r="DYO21" s="87"/>
      <c r="DYP21" s="87"/>
      <c r="DYQ21" s="87"/>
      <c r="DYR21" s="87"/>
      <c r="DYS21" s="87"/>
      <c r="DYT21" s="87"/>
      <c r="DYU21" s="87"/>
      <c r="DYV21" s="87"/>
      <c r="DYW21" s="87"/>
      <c r="DYX21" s="87"/>
      <c r="DYY21" s="87"/>
      <c r="DYZ21" s="87"/>
      <c r="DZA21" s="87"/>
      <c r="DZB21" s="87"/>
      <c r="DZC21" s="87"/>
      <c r="DZD21" s="87"/>
      <c r="DZE21" s="87"/>
      <c r="DZF21" s="87"/>
      <c r="DZG21" s="87"/>
      <c r="DZH21" s="87"/>
      <c r="DZI21" s="87"/>
      <c r="DZJ21" s="87"/>
      <c r="DZK21" s="87"/>
      <c r="DZL21" s="87"/>
      <c r="DZM21" s="87"/>
      <c r="DZN21" s="87"/>
      <c r="DZO21" s="87"/>
      <c r="DZP21" s="87"/>
      <c r="DZQ21" s="87"/>
      <c r="DZR21" s="87"/>
      <c r="DZS21" s="87"/>
      <c r="DZT21" s="87"/>
      <c r="DZU21" s="87"/>
      <c r="DZV21" s="87"/>
      <c r="DZW21" s="87"/>
      <c r="DZX21" s="87"/>
      <c r="DZY21" s="87"/>
      <c r="DZZ21" s="87"/>
      <c r="EAA21" s="87"/>
      <c r="EAB21" s="87"/>
      <c r="EAC21" s="87"/>
      <c r="EAD21" s="87"/>
      <c r="EAE21" s="87"/>
      <c r="EAF21" s="87"/>
      <c r="EAG21" s="87"/>
      <c r="EAH21" s="87"/>
      <c r="EAI21" s="87"/>
      <c r="EAJ21" s="87"/>
      <c r="EAK21" s="87"/>
      <c r="EAL21" s="87"/>
      <c r="EAM21" s="87"/>
      <c r="EAN21" s="87"/>
      <c r="EAO21" s="87"/>
      <c r="EAP21" s="87"/>
      <c r="EAQ21" s="87"/>
      <c r="EAR21" s="87"/>
      <c r="EAS21" s="87"/>
      <c r="EAT21" s="87"/>
      <c r="EAU21" s="87"/>
      <c r="EAV21" s="87"/>
      <c r="EAW21" s="87"/>
      <c r="EAX21" s="87"/>
      <c r="EAY21" s="87"/>
      <c r="EAZ21" s="87"/>
      <c r="EBA21" s="87"/>
      <c r="EBB21" s="87"/>
      <c r="EBC21" s="87"/>
      <c r="EBD21" s="87"/>
      <c r="EBE21" s="87"/>
      <c r="EBF21" s="87"/>
      <c r="EBG21" s="87"/>
      <c r="EBH21" s="87"/>
      <c r="EBI21" s="87"/>
      <c r="EBJ21" s="87"/>
      <c r="EBK21" s="87"/>
      <c r="EBL21" s="87"/>
      <c r="EBM21" s="87"/>
      <c r="EBN21" s="87"/>
      <c r="EBO21" s="87"/>
      <c r="EBP21" s="87"/>
      <c r="EBQ21" s="87"/>
      <c r="EBR21" s="87"/>
      <c r="EBS21" s="87"/>
      <c r="EBT21" s="87"/>
      <c r="EBU21" s="87"/>
      <c r="EBV21" s="87"/>
      <c r="EBW21" s="87"/>
      <c r="EBX21" s="87"/>
      <c r="EBY21" s="87"/>
      <c r="EBZ21" s="87"/>
      <c r="ECA21" s="87"/>
      <c r="ECB21" s="87"/>
      <c r="ECC21" s="87"/>
      <c r="ECD21" s="87"/>
      <c r="ECE21" s="87"/>
      <c r="ECF21" s="87"/>
      <c r="ECG21" s="87"/>
      <c r="ECH21" s="87"/>
      <c r="ECI21" s="87"/>
      <c r="ECJ21" s="87"/>
      <c r="ECK21" s="87"/>
      <c r="ECL21" s="87"/>
      <c r="ECM21" s="87"/>
      <c r="ECN21" s="87"/>
      <c r="ECO21" s="87"/>
      <c r="ECP21" s="87"/>
      <c r="ECQ21" s="87"/>
      <c r="ECR21" s="87"/>
      <c r="ECS21" s="87"/>
      <c r="ECT21" s="87"/>
      <c r="ECU21" s="87"/>
      <c r="ECV21" s="87"/>
      <c r="ECW21" s="87"/>
      <c r="ECX21" s="87"/>
      <c r="ECY21" s="87"/>
      <c r="ECZ21" s="87"/>
      <c r="EDA21" s="87"/>
      <c r="EDB21" s="87"/>
      <c r="EDC21" s="87"/>
      <c r="EDD21" s="87"/>
      <c r="EDE21" s="87"/>
      <c r="EDF21" s="87"/>
      <c r="EDG21" s="87"/>
      <c r="EDH21" s="87"/>
      <c r="EDI21" s="87"/>
      <c r="EDJ21" s="87"/>
      <c r="EDK21" s="87"/>
      <c r="EDL21" s="87"/>
      <c r="EDM21" s="87"/>
      <c r="EDN21" s="87"/>
      <c r="EDO21" s="87"/>
      <c r="EDP21" s="87"/>
      <c r="EDQ21" s="87"/>
      <c r="EDR21" s="87"/>
      <c r="EDS21" s="87"/>
      <c r="EDT21" s="87"/>
      <c r="EDU21" s="87"/>
      <c r="EDV21" s="87"/>
      <c r="EDW21" s="87"/>
      <c r="EDX21" s="87"/>
      <c r="EDY21" s="87"/>
      <c r="EDZ21" s="87"/>
      <c r="EEA21" s="87"/>
      <c r="EEB21" s="87"/>
      <c r="EEC21" s="87"/>
      <c r="EED21" s="87"/>
      <c r="EEE21" s="87"/>
      <c r="EEF21" s="87"/>
      <c r="EEG21" s="87"/>
      <c r="EEH21" s="87"/>
      <c r="EEI21" s="87"/>
      <c r="EEJ21" s="87"/>
      <c r="EEK21" s="87"/>
      <c r="EEL21" s="87"/>
      <c r="EEM21" s="87"/>
      <c r="EEN21" s="87"/>
      <c r="EEO21" s="87"/>
      <c r="EEP21" s="87"/>
      <c r="EEQ21" s="87"/>
      <c r="EER21" s="87"/>
      <c r="EES21" s="87"/>
      <c r="EET21" s="87"/>
      <c r="EEU21" s="87"/>
      <c r="EEV21" s="87"/>
      <c r="EEW21" s="87"/>
      <c r="EEX21" s="87"/>
      <c r="EEY21" s="87"/>
      <c r="EEZ21" s="87"/>
      <c r="EFA21" s="87"/>
      <c r="EFB21" s="87"/>
      <c r="EFC21" s="87"/>
      <c r="EFD21" s="87"/>
      <c r="EFE21" s="87"/>
      <c r="EFF21" s="87"/>
      <c r="EFG21" s="87"/>
      <c r="EFH21" s="87"/>
      <c r="EFI21" s="87"/>
      <c r="EFJ21" s="87"/>
      <c r="EFK21" s="87"/>
      <c r="EFL21" s="87"/>
      <c r="EFM21" s="87"/>
      <c r="EFN21" s="87"/>
      <c r="EFO21" s="87"/>
      <c r="EFP21" s="87"/>
      <c r="EFQ21" s="87"/>
      <c r="EFR21" s="87"/>
      <c r="EFS21" s="87"/>
      <c r="EFT21" s="87"/>
      <c r="EFU21" s="87"/>
      <c r="EFV21" s="87"/>
      <c r="EFW21" s="87"/>
      <c r="EFX21" s="87"/>
      <c r="EFY21" s="87"/>
      <c r="EFZ21" s="87"/>
      <c r="EGA21" s="87"/>
      <c r="EGB21" s="87"/>
      <c r="EGC21" s="87"/>
      <c r="EGD21" s="87"/>
      <c r="EGE21" s="87"/>
      <c r="EGF21" s="87"/>
      <c r="EGG21" s="87"/>
      <c r="EGH21" s="87"/>
      <c r="EGI21" s="87"/>
      <c r="EGJ21" s="87"/>
      <c r="EGK21" s="87"/>
      <c r="EGL21" s="87"/>
      <c r="EGM21" s="87"/>
      <c r="EGN21" s="87"/>
      <c r="EGO21" s="87"/>
      <c r="EGP21" s="87"/>
      <c r="EGQ21" s="87"/>
      <c r="EGR21" s="87"/>
      <c r="EGS21" s="87"/>
      <c r="EGT21" s="87"/>
      <c r="EGU21" s="87"/>
      <c r="EGV21" s="87"/>
      <c r="EGW21" s="87"/>
      <c r="EGX21" s="87"/>
      <c r="EGY21" s="87"/>
      <c r="EGZ21" s="87"/>
      <c r="EHA21" s="87"/>
      <c r="EHB21" s="87"/>
      <c r="EHC21" s="87"/>
      <c r="EHD21" s="87"/>
      <c r="EHE21" s="87"/>
      <c r="EHF21" s="87"/>
      <c r="EHG21" s="87"/>
      <c r="EHH21" s="87"/>
      <c r="EHI21" s="87"/>
      <c r="EHJ21" s="87"/>
      <c r="EHK21" s="87"/>
      <c r="EHL21" s="87"/>
      <c r="EHM21" s="87"/>
      <c r="EHN21" s="87"/>
      <c r="EHO21" s="87"/>
      <c r="EHP21" s="87"/>
      <c r="EHQ21" s="87"/>
      <c r="EHR21" s="87"/>
      <c r="EHS21" s="87"/>
      <c r="EHT21" s="87"/>
      <c r="EHU21" s="87"/>
      <c r="EHV21" s="87"/>
      <c r="EHW21" s="87"/>
      <c r="EHX21" s="87"/>
      <c r="EHY21" s="87"/>
      <c r="EHZ21" s="87"/>
      <c r="EIA21" s="87"/>
      <c r="EIB21" s="87"/>
      <c r="EIC21" s="87"/>
      <c r="EID21" s="87"/>
      <c r="EIE21" s="87"/>
      <c r="EIF21" s="87"/>
      <c r="EIG21" s="87"/>
      <c r="EIH21" s="87"/>
      <c r="EII21" s="87"/>
      <c r="EIJ21" s="87"/>
      <c r="EIK21" s="87"/>
      <c r="EIL21" s="87"/>
      <c r="EIM21" s="87"/>
      <c r="EIN21" s="87"/>
      <c r="EIO21" s="87"/>
      <c r="EIP21" s="87"/>
      <c r="EIQ21" s="87"/>
      <c r="EIR21" s="87"/>
      <c r="EIS21" s="87"/>
      <c r="EIT21" s="87"/>
      <c r="EIU21" s="87"/>
      <c r="EIV21" s="87"/>
      <c r="EIW21" s="87"/>
      <c r="EIX21" s="87"/>
      <c r="EIY21" s="87"/>
      <c r="EIZ21" s="87"/>
      <c r="EJA21" s="87"/>
      <c r="EJB21" s="87"/>
      <c r="EJC21" s="87"/>
      <c r="EJD21" s="87"/>
      <c r="EJE21" s="87"/>
      <c r="EJF21" s="87"/>
      <c r="EJG21" s="87"/>
      <c r="EJH21" s="87"/>
      <c r="EJI21" s="87"/>
      <c r="EJJ21" s="87"/>
      <c r="EJK21" s="87"/>
      <c r="EJL21" s="87"/>
      <c r="EJM21" s="87"/>
      <c r="EJN21" s="87"/>
      <c r="EJO21" s="87"/>
      <c r="EJP21" s="87"/>
      <c r="EJQ21" s="87"/>
      <c r="EJR21" s="87"/>
      <c r="EJS21" s="87"/>
      <c r="EJT21" s="87"/>
      <c r="EJU21" s="87"/>
      <c r="EJV21" s="87"/>
      <c r="EJW21" s="87"/>
      <c r="EJX21" s="87"/>
      <c r="EJY21" s="87"/>
      <c r="EJZ21" s="87"/>
      <c r="EKA21" s="87"/>
      <c r="EKB21" s="87"/>
      <c r="EKC21" s="87"/>
      <c r="EKD21" s="87"/>
      <c r="EKE21" s="87"/>
      <c r="EKF21" s="87"/>
      <c r="EKG21" s="87"/>
      <c r="EKH21" s="87"/>
      <c r="EKI21" s="87"/>
      <c r="EKJ21" s="87"/>
      <c r="EKK21" s="87"/>
      <c r="EKL21" s="87"/>
      <c r="EKM21" s="87"/>
      <c r="EKN21" s="87"/>
      <c r="EKO21" s="87"/>
      <c r="EKP21" s="87"/>
      <c r="EKQ21" s="87"/>
      <c r="EKR21" s="87"/>
      <c r="EKS21" s="87"/>
      <c r="EKT21" s="87"/>
      <c r="EKU21" s="87"/>
      <c r="EKV21" s="87"/>
      <c r="EKW21" s="87"/>
      <c r="EKX21" s="87"/>
      <c r="EKY21" s="87"/>
      <c r="EKZ21" s="87"/>
      <c r="ELA21" s="87"/>
      <c r="ELB21" s="87"/>
      <c r="ELC21" s="87"/>
      <c r="ELD21" s="87"/>
      <c r="ELE21" s="87"/>
      <c r="ELF21" s="87"/>
      <c r="ELG21" s="87"/>
      <c r="ELH21" s="87"/>
      <c r="ELI21" s="87"/>
      <c r="ELJ21" s="87"/>
      <c r="ELK21" s="87"/>
      <c r="ELL21" s="87"/>
      <c r="ELM21" s="87"/>
      <c r="ELN21" s="87"/>
      <c r="ELO21" s="87"/>
      <c r="ELP21" s="87"/>
      <c r="ELQ21" s="87"/>
      <c r="ELR21" s="87"/>
      <c r="ELS21" s="87"/>
      <c r="ELT21" s="87"/>
      <c r="ELU21" s="87"/>
      <c r="ELV21" s="87"/>
      <c r="ELW21" s="87"/>
      <c r="ELX21" s="87"/>
      <c r="ELY21" s="87"/>
      <c r="ELZ21" s="87"/>
      <c r="EMA21" s="87"/>
      <c r="EMB21" s="87"/>
      <c r="EMC21" s="87"/>
      <c r="EMD21" s="87"/>
      <c r="EME21" s="87"/>
      <c r="EMF21" s="87"/>
      <c r="EMG21" s="87"/>
      <c r="EMH21" s="87"/>
      <c r="EMI21" s="87"/>
      <c r="EMJ21" s="87"/>
      <c r="EMK21" s="87"/>
      <c r="EML21" s="87"/>
      <c r="EMM21" s="87"/>
      <c r="EMN21" s="87"/>
      <c r="EMO21" s="87"/>
      <c r="EMP21" s="87"/>
      <c r="EMQ21" s="87"/>
      <c r="EMR21" s="87"/>
      <c r="EMS21" s="87"/>
      <c r="EMT21" s="87"/>
      <c r="EMU21" s="87"/>
      <c r="EMV21" s="87"/>
      <c r="EMW21" s="87"/>
      <c r="EMX21" s="87"/>
      <c r="EMY21" s="87"/>
      <c r="EMZ21" s="87"/>
      <c r="ENA21" s="87"/>
      <c r="ENB21" s="87"/>
      <c r="ENC21" s="87"/>
      <c r="END21" s="87"/>
      <c r="ENE21" s="87"/>
      <c r="ENF21" s="87"/>
      <c r="ENG21" s="87"/>
      <c r="ENH21" s="87"/>
      <c r="ENI21" s="87"/>
      <c r="ENJ21" s="87"/>
      <c r="ENK21" s="87"/>
      <c r="ENL21" s="87"/>
      <c r="ENM21" s="87"/>
      <c r="ENN21" s="87"/>
      <c r="ENO21" s="87"/>
      <c r="ENP21" s="87"/>
      <c r="ENQ21" s="87"/>
      <c r="ENR21" s="87"/>
      <c r="ENS21" s="87"/>
      <c r="ENT21" s="87"/>
      <c r="ENU21" s="87"/>
      <c r="ENV21" s="87"/>
      <c r="ENW21" s="87"/>
      <c r="ENX21" s="87"/>
      <c r="ENY21" s="87"/>
      <c r="ENZ21" s="87"/>
      <c r="EOA21" s="87"/>
      <c r="EOB21" s="87"/>
      <c r="EOC21" s="87"/>
      <c r="EOD21" s="87"/>
      <c r="EOE21" s="87"/>
      <c r="EOF21" s="87"/>
      <c r="EOG21" s="87"/>
      <c r="EOH21" s="87"/>
      <c r="EOI21" s="87"/>
      <c r="EOJ21" s="87"/>
      <c r="EOK21" s="87"/>
      <c r="EOL21" s="87"/>
      <c r="EOM21" s="87"/>
      <c r="EON21" s="87"/>
      <c r="EOO21" s="87"/>
      <c r="EOP21" s="87"/>
      <c r="EOQ21" s="87"/>
      <c r="EOR21" s="87"/>
      <c r="EOS21" s="87"/>
      <c r="EOT21" s="87"/>
      <c r="EOU21" s="87"/>
      <c r="EOV21" s="87"/>
      <c r="EOW21" s="87"/>
      <c r="EOX21" s="87"/>
      <c r="EOY21" s="87"/>
      <c r="EOZ21" s="87"/>
      <c r="EPA21" s="87"/>
      <c r="EPB21" s="87"/>
      <c r="EPC21" s="87"/>
      <c r="EPD21" s="87"/>
      <c r="EPE21" s="87"/>
      <c r="EPF21" s="87"/>
      <c r="EPG21" s="87"/>
      <c r="EPH21" s="87"/>
      <c r="EPI21" s="87"/>
      <c r="EPJ21" s="87"/>
      <c r="EPK21" s="87"/>
      <c r="EPL21" s="87"/>
      <c r="EPM21" s="87"/>
      <c r="EPN21" s="87"/>
      <c r="EPO21" s="87"/>
      <c r="EPP21" s="87"/>
      <c r="EPQ21" s="87"/>
      <c r="EPR21" s="87"/>
      <c r="EPS21" s="87"/>
      <c r="EPT21" s="87"/>
      <c r="EPU21" s="87"/>
      <c r="EPV21" s="87"/>
      <c r="EPW21" s="87"/>
      <c r="EPX21" s="87"/>
      <c r="EPY21" s="87"/>
      <c r="EPZ21" s="87"/>
      <c r="EQA21" s="87"/>
      <c r="EQB21" s="87"/>
      <c r="EQC21" s="87"/>
      <c r="EQD21" s="87"/>
      <c r="EQE21" s="87"/>
      <c r="EQF21" s="87"/>
      <c r="EQG21" s="87"/>
      <c r="EQH21" s="87"/>
      <c r="EQI21" s="87"/>
      <c r="EQJ21" s="87"/>
      <c r="EQK21" s="87"/>
      <c r="EQL21" s="87"/>
      <c r="EQM21" s="87"/>
      <c r="EQN21" s="87"/>
      <c r="EQO21" s="87"/>
      <c r="EQP21" s="87"/>
      <c r="EQQ21" s="87"/>
      <c r="EQR21" s="87"/>
      <c r="EQS21" s="87"/>
      <c r="EQT21" s="87"/>
      <c r="EQU21" s="87"/>
      <c r="EQV21" s="87"/>
      <c r="EQW21" s="87"/>
      <c r="EQX21" s="87"/>
      <c r="EQY21" s="87"/>
      <c r="EQZ21" s="87"/>
      <c r="ERA21" s="87"/>
      <c r="ERB21" s="87"/>
      <c r="ERC21" s="87"/>
      <c r="ERD21" s="87"/>
      <c r="ERE21" s="87"/>
      <c r="ERF21" s="87"/>
      <c r="ERG21" s="87"/>
      <c r="ERH21" s="87"/>
      <c r="ERI21" s="87"/>
      <c r="ERJ21" s="87"/>
      <c r="ERK21" s="87"/>
      <c r="ERL21" s="87"/>
      <c r="ERM21" s="87"/>
      <c r="ERN21" s="87"/>
      <c r="ERO21" s="87"/>
      <c r="ERP21" s="87"/>
      <c r="ERQ21" s="87"/>
      <c r="ERR21" s="87"/>
      <c r="ERS21" s="87"/>
      <c r="ERT21" s="87"/>
      <c r="ERU21" s="87"/>
      <c r="ERV21" s="87"/>
      <c r="ERW21" s="87"/>
      <c r="ERX21" s="87"/>
      <c r="ERY21" s="87"/>
      <c r="ERZ21" s="87"/>
      <c r="ESA21" s="87"/>
      <c r="ESB21" s="87"/>
      <c r="ESC21" s="87"/>
      <c r="ESD21" s="87"/>
      <c r="ESE21" s="87"/>
      <c r="ESF21" s="87"/>
      <c r="ESG21" s="87"/>
      <c r="ESH21" s="87"/>
      <c r="ESI21" s="87"/>
      <c r="ESJ21" s="87"/>
      <c r="ESK21" s="87"/>
      <c r="ESL21" s="87"/>
      <c r="ESM21" s="87"/>
      <c r="ESN21" s="87"/>
      <c r="ESO21" s="87"/>
      <c r="ESP21" s="87"/>
      <c r="ESQ21" s="87"/>
      <c r="ESR21" s="87"/>
      <c r="ESS21" s="87"/>
      <c r="EST21" s="87"/>
      <c r="ESU21" s="87"/>
      <c r="ESV21" s="87"/>
      <c r="ESW21" s="87"/>
      <c r="ESX21" s="87"/>
      <c r="ESY21" s="87"/>
      <c r="ESZ21" s="87"/>
      <c r="ETA21" s="87"/>
      <c r="ETB21" s="87"/>
      <c r="ETC21" s="87"/>
      <c r="ETD21" s="87"/>
      <c r="ETE21" s="87"/>
      <c r="ETF21" s="87"/>
      <c r="ETG21" s="87"/>
      <c r="ETH21" s="87"/>
      <c r="ETI21" s="87"/>
      <c r="ETJ21" s="87"/>
      <c r="ETK21" s="87"/>
      <c r="ETL21" s="87"/>
      <c r="ETM21" s="87"/>
      <c r="ETN21" s="87"/>
      <c r="ETO21" s="87"/>
      <c r="ETP21" s="87"/>
      <c r="ETQ21" s="87"/>
      <c r="ETR21" s="87"/>
      <c r="ETS21" s="87"/>
      <c r="ETT21" s="87"/>
      <c r="ETU21" s="87"/>
      <c r="ETV21" s="87"/>
      <c r="ETW21" s="87"/>
      <c r="ETX21" s="87"/>
      <c r="ETY21" s="87"/>
      <c r="ETZ21" s="87"/>
      <c r="EUA21" s="87"/>
      <c r="EUB21" s="87"/>
      <c r="EUC21" s="87"/>
      <c r="EUD21" s="87"/>
      <c r="EUE21" s="87"/>
      <c r="EUF21" s="87"/>
      <c r="EUG21" s="87"/>
      <c r="EUH21" s="87"/>
      <c r="EUI21" s="87"/>
      <c r="EUJ21" s="87"/>
      <c r="EUK21" s="87"/>
      <c r="EUL21" s="87"/>
      <c r="EUM21" s="87"/>
      <c r="EUN21" s="87"/>
      <c r="EUO21" s="87"/>
      <c r="EUP21" s="87"/>
      <c r="EUQ21" s="87"/>
      <c r="EUR21" s="87"/>
      <c r="EUS21" s="87"/>
      <c r="EUT21" s="87"/>
      <c r="EUU21" s="87"/>
      <c r="EUV21" s="87"/>
      <c r="EUW21" s="87"/>
      <c r="EUX21" s="87"/>
      <c r="EUY21" s="87"/>
      <c r="EUZ21" s="87"/>
      <c r="EVA21" s="87"/>
      <c r="EVB21" s="87"/>
      <c r="EVC21" s="87"/>
      <c r="EVD21" s="87"/>
      <c r="EVE21" s="87"/>
      <c r="EVF21" s="87"/>
      <c r="EVG21" s="87"/>
      <c r="EVH21" s="87"/>
      <c r="EVI21" s="87"/>
      <c r="EVJ21" s="87"/>
      <c r="EVK21" s="87"/>
      <c r="EVL21" s="87"/>
      <c r="EVM21" s="87"/>
      <c r="EVN21" s="87"/>
      <c r="EVO21" s="87"/>
      <c r="EVP21" s="87"/>
      <c r="EVQ21" s="87"/>
      <c r="EVR21" s="87"/>
      <c r="EVS21" s="87"/>
      <c r="EVT21" s="87"/>
      <c r="EVU21" s="87"/>
      <c r="EVV21" s="87"/>
      <c r="EVW21" s="87"/>
      <c r="EVX21" s="87"/>
      <c r="EVY21" s="87"/>
      <c r="EVZ21" s="87"/>
      <c r="EWA21" s="87"/>
      <c r="EWB21" s="87"/>
      <c r="EWC21" s="87"/>
      <c r="EWD21" s="87"/>
      <c r="EWE21" s="87"/>
      <c r="EWF21" s="87"/>
      <c r="EWG21" s="87"/>
      <c r="EWH21" s="87"/>
      <c r="EWI21" s="87"/>
      <c r="EWJ21" s="87"/>
      <c r="EWK21" s="87"/>
      <c r="EWL21" s="87"/>
      <c r="EWM21" s="87"/>
      <c r="EWN21" s="87"/>
      <c r="EWO21" s="87"/>
      <c r="EWP21" s="87"/>
      <c r="EWQ21" s="87"/>
      <c r="EWR21" s="87"/>
      <c r="EWS21" s="87"/>
      <c r="EWT21" s="87"/>
      <c r="EWU21" s="87"/>
      <c r="EWV21" s="87"/>
      <c r="EWW21" s="87"/>
      <c r="EWX21" s="87"/>
      <c r="EWY21" s="87"/>
      <c r="EWZ21" s="87"/>
      <c r="EXA21" s="87"/>
      <c r="EXB21" s="87"/>
      <c r="EXC21" s="87"/>
      <c r="EXD21" s="87"/>
      <c r="EXE21" s="87"/>
      <c r="EXF21" s="87"/>
      <c r="EXG21" s="87"/>
      <c r="EXH21" s="87"/>
      <c r="EXI21" s="87"/>
      <c r="EXJ21" s="87"/>
      <c r="EXK21" s="87"/>
      <c r="EXL21" s="87"/>
      <c r="EXM21" s="87"/>
      <c r="EXN21" s="87"/>
      <c r="EXO21" s="87"/>
      <c r="EXP21" s="87"/>
      <c r="EXQ21" s="87"/>
      <c r="EXR21" s="87"/>
      <c r="EXS21" s="87"/>
      <c r="EXT21" s="87"/>
      <c r="EXU21" s="87"/>
      <c r="EXV21" s="87"/>
      <c r="EXW21" s="87"/>
      <c r="EXX21" s="87"/>
      <c r="EXY21" s="87"/>
      <c r="EXZ21" s="87"/>
      <c r="EYA21" s="87"/>
      <c r="EYB21" s="87"/>
      <c r="EYC21" s="87"/>
      <c r="EYD21" s="87"/>
      <c r="EYE21" s="87"/>
      <c r="EYF21" s="87"/>
      <c r="EYG21" s="87"/>
      <c r="EYH21" s="87"/>
      <c r="EYI21" s="87"/>
      <c r="EYJ21" s="87"/>
      <c r="EYK21" s="87"/>
      <c r="EYL21" s="87"/>
      <c r="EYM21" s="87"/>
      <c r="EYN21" s="87"/>
      <c r="EYO21" s="87"/>
      <c r="EYP21" s="87"/>
      <c r="EYQ21" s="87"/>
      <c r="EYR21" s="87"/>
      <c r="EYS21" s="87"/>
      <c r="EYT21" s="87"/>
      <c r="EYU21" s="87"/>
      <c r="EYV21" s="87"/>
      <c r="EYW21" s="87"/>
      <c r="EYX21" s="87"/>
      <c r="EYY21" s="87"/>
      <c r="EYZ21" s="87"/>
      <c r="EZA21" s="87"/>
      <c r="EZB21" s="87"/>
      <c r="EZC21" s="87"/>
      <c r="EZD21" s="87"/>
      <c r="EZE21" s="87"/>
      <c r="EZF21" s="87"/>
      <c r="EZG21" s="87"/>
      <c r="EZH21" s="87"/>
      <c r="EZI21" s="87"/>
      <c r="EZJ21" s="87"/>
      <c r="EZK21" s="87"/>
      <c r="EZL21" s="87"/>
      <c r="EZM21" s="87"/>
      <c r="EZN21" s="87"/>
      <c r="EZO21" s="87"/>
      <c r="EZP21" s="87"/>
      <c r="EZQ21" s="87"/>
      <c r="EZR21" s="87"/>
      <c r="EZS21" s="87"/>
      <c r="EZT21" s="87"/>
      <c r="EZU21" s="87"/>
      <c r="EZV21" s="87"/>
      <c r="EZW21" s="87"/>
      <c r="EZX21" s="87"/>
      <c r="EZY21" s="87"/>
      <c r="EZZ21" s="87"/>
      <c r="FAA21" s="87"/>
      <c r="FAB21" s="87"/>
      <c r="FAC21" s="87"/>
      <c r="FAD21" s="87"/>
      <c r="FAE21" s="87"/>
      <c r="FAF21" s="87"/>
      <c r="FAG21" s="87"/>
      <c r="FAH21" s="87"/>
      <c r="FAI21" s="87"/>
      <c r="FAJ21" s="87"/>
      <c r="FAK21" s="87"/>
      <c r="FAL21" s="87"/>
      <c r="FAM21" s="87"/>
      <c r="FAN21" s="87"/>
      <c r="FAO21" s="87"/>
      <c r="FAP21" s="87"/>
      <c r="FAQ21" s="87"/>
      <c r="FAR21" s="87"/>
      <c r="FAS21" s="87"/>
      <c r="FAT21" s="87"/>
      <c r="FAU21" s="87"/>
      <c r="FAV21" s="87"/>
      <c r="FAW21" s="87"/>
      <c r="FAX21" s="87"/>
      <c r="FAY21" s="87"/>
      <c r="FAZ21" s="87"/>
      <c r="FBA21" s="87"/>
      <c r="FBB21" s="87"/>
      <c r="FBC21" s="87"/>
      <c r="FBD21" s="87"/>
      <c r="FBE21" s="87"/>
      <c r="FBF21" s="87"/>
      <c r="FBG21" s="87"/>
      <c r="FBH21" s="87"/>
      <c r="FBI21" s="87"/>
      <c r="FBJ21" s="87"/>
      <c r="FBK21" s="87"/>
      <c r="FBL21" s="87"/>
      <c r="FBM21" s="87"/>
      <c r="FBN21" s="87"/>
      <c r="FBO21" s="87"/>
      <c r="FBP21" s="87"/>
      <c r="FBQ21" s="87"/>
      <c r="FBR21" s="87"/>
      <c r="FBS21" s="87"/>
      <c r="FBT21" s="87"/>
      <c r="FBU21" s="87"/>
      <c r="FBV21" s="87"/>
      <c r="FBW21" s="87"/>
      <c r="FBX21" s="87"/>
      <c r="FBY21" s="87"/>
      <c r="FBZ21" s="87"/>
      <c r="FCA21" s="87"/>
      <c r="FCB21" s="87"/>
      <c r="FCC21" s="87"/>
      <c r="FCD21" s="87"/>
      <c r="FCE21" s="87"/>
      <c r="FCF21" s="87"/>
      <c r="FCG21" s="87"/>
      <c r="FCH21" s="87"/>
      <c r="FCI21" s="87"/>
      <c r="FCJ21" s="87"/>
      <c r="FCK21" s="87"/>
      <c r="FCL21" s="87"/>
      <c r="FCM21" s="87"/>
      <c r="FCN21" s="87"/>
      <c r="FCO21" s="87"/>
      <c r="FCP21" s="87"/>
      <c r="FCQ21" s="87"/>
      <c r="FCR21" s="87"/>
      <c r="FCS21" s="87"/>
      <c r="FCT21" s="87"/>
      <c r="FCU21" s="87"/>
      <c r="FCV21" s="87"/>
      <c r="FCW21" s="87"/>
      <c r="FCX21" s="87"/>
      <c r="FCY21" s="87"/>
      <c r="FCZ21" s="87"/>
      <c r="FDA21" s="87"/>
      <c r="FDB21" s="87"/>
      <c r="FDC21" s="87"/>
      <c r="FDD21" s="87"/>
      <c r="FDE21" s="87"/>
      <c r="FDF21" s="87"/>
      <c r="FDG21" s="87"/>
      <c r="FDH21" s="87"/>
      <c r="FDI21" s="87"/>
      <c r="FDJ21" s="87"/>
      <c r="FDK21" s="87"/>
      <c r="FDL21" s="87"/>
      <c r="FDM21" s="87"/>
      <c r="FDN21" s="87"/>
      <c r="FDO21" s="87"/>
      <c r="FDP21" s="87"/>
      <c r="FDQ21" s="87"/>
      <c r="FDR21" s="87"/>
      <c r="FDS21" s="87"/>
      <c r="FDT21" s="87"/>
      <c r="FDU21" s="87"/>
      <c r="FDV21" s="87"/>
      <c r="FDW21" s="87"/>
      <c r="FDX21" s="87"/>
      <c r="FDY21" s="87"/>
      <c r="FDZ21" s="87"/>
      <c r="FEA21" s="87"/>
      <c r="FEB21" s="87"/>
      <c r="FEC21" s="87"/>
      <c r="FED21" s="87"/>
      <c r="FEE21" s="87"/>
      <c r="FEF21" s="87"/>
      <c r="FEG21" s="87"/>
      <c r="FEH21" s="87"/>
      <c r="FEI21" s="87"/>
      <c r="FEJ21" s="87"/>
      <c r="FEK21" s="87"/>
      <c r="FEL21" s="87"/>
      <c r="FEM21" s="87"/>
      <c r="FEN21" s="87"/>
      <c r="FEO21" s="87"/>
      <c r="FEP21" s="87"/>
      <c r="FEQ21" s="87"/>
      <c r="FER21" s="87"/>
      <c r="FES21" s="87"/>
      <c r="FET21" s="87"/>
      <c r="FEU21" s="87"/>
      <c r="FEV21" s="87"/>
      <c r="FEW21" s="87"/>
      <c r="FEX21" s="87"/>
      <c r="FEY21" s="87"/>
      <c r="FEZ21" s="87"/>
      <c r="FFA21" s="87"/>
      <c r="FFB21" s="87"/>
      <c r="FFC21" s="87"/>
      <c r="FFD21" s="87"/>
      <c r="FFE21" s="87"/>
      <c r="FFF21" s="87"/>
      <c r="FFG21" s="87"/>
      <c r="FFH21" s="87"/>
      <c r="FFI21" s="87"/>
      <c r="FFJ21" s="87"/>
      <c r="FFK21" s="87"/>
      <c r="FFL21" s="87"/>
      <c r="FFM21" s="87"/>
      <c r="FFN21" s="87"/>
      <c r="FFO21" s="87"/>
      <c r="FFP21" s="87"/>
      <c r="FFQ21" s="87"/>
      <c r="FFR21" s="87"/>
      <c r="FFS21" s="87"/>
      <c r="FFT21" s="87"/>
      <c r="FFU21" s="87"/>
      <c r="FFV21" s="87"/>
      <c r="FFW21" s="87"/>
      <c r="FFX21" s="87"/>
      <c r="FFY21" s="87"/>
      <c r="FFZ21" s="87"/>
      <c r="FGA21" s="87"/>
      <c r="FGB21" s="87"/>
      <c r="FGC21" s="87"/>
      <c r="FGD21" s="87"/>
      <c r="FGE21" s="87"/>
      <c r="FGF21" s="87"/>
      <c r="FGG21" s="87"/>
      <c r="FGH21" s="87"/>
      <c r="FGI21" s="87"/>
      <c r="FGJ21" s="87"/>
      <c r="FGK21" s="87"/>
      <c r="FGL21" s="87"/>
      <c r="FGM21" s="87"/>
      <c r="FGN21" s="87"/>
      <c r="FGO21" s="87"/>
      <c r="FGP21" s="87"/>
      <c r="FGQ21" s="87"/>
      <c r="FGR21" s="87"/>
      <c r="FGS21" s="87"/>
      <c r="FGT21" s="87"/>
      <c r="FGU21" s="87"/>
      <c r="FGV21" s="87"/>
      <c r="FGW21" s="87"/>
      <c r="FGX21" s="87"/>
      <c r="FGY21" s="87"/>
      <c r="FGZ21" s="87"/>
      <c r="FHA21" s="87"/>
      <c r="FHB21" s="87"/>
      <c r="FHC21" s="87"/>
      <c r="FHD21" s="87"/>
      <c r="FHE21" s="87"/>
      <c r="FHF21" s="87"/>
      <c r="FHG21" s="87"/>
      <c r="FHH21" s="87"/>
      <c r="FHI21" s="87"/>
      <c r="FHJ21" s="87"/>
      <c r="FHK21" s="87"/>
      <c r="FHL21" s="87"/>
      <c r="FHM21" s="87"/>
      <c r="FHN21" s="87"/>
      <c r="FHO21" s="87"/>
      <c r="FHP21" s="87"/>
      <c r="FHQ21" s="87"/>
      <c r="FHR21" s="87"/>
      <c r="FHS21" s="87"/>
      <c r="FHT21" s="87"/>
      <c r="FHU21" s="87"/>
      <c r="FHV21" s="87"/>
      <c r="FHW21" s="87"/>
      <c r="FHX21" s="87"/>
      <c r="FHY21" s="87"/>
      <c r="FHZ21" s="87"/>
      <c r="FIA21" s="87"/>
      <c r="FIB21" s="87"/>
      <c r="FIC21" s="87"/>
      <c r="FID21" s="87"/>
      <c r="FIE21" s="87"/>
      <c r="FIF21" s="87"/>
      <c r="FIG21" s="87"/>
      <c r="FIH21" s="87"/>
      <c r="FII21" s="87"/>
      <c r="FIJ21" s="87"/>
      <c r="FIK21" s="87"/>
      <c r="FIL21" s="87"/>
      <c r="FIM21" s="87"/>
      <c r="FIN21" s="87"/>
      <c r="FIO21" s="87"/>
      <c r="FIP21" s="87"/>
      <c r="FIQ21" s="87"/>
      <c r="FIR21" s="87"/>
      <c r="FIS21" s="87"/>
      <c r="FIT21" s="87"/>
      <c r="FIU21" s="87"/>
      <c r="FIV21" s="87"/>
      <c r="FIW21" s="87"/>
      <c r="FIX21" s="87"/>
      <c r="FIY21" s="87"/>
      <c r="FIZ21" s="87"/>
      <c r="FJA21" s="87"/>
      <c r="FJB21" s="87"/>
      <c r="FJC21" s="87"/>
      <c r="FJD21" s="87"/>
      <c r="FJE21" s="87"/>
      <c r="FJF21" s="87"/>
      <c r="FJG21" s="87"/>
      <c r="FJH21" s="87"/>
      <c r="FJI21" s="87"/>
      <c r="FJJ21" s="87"/>
      <c r="FJK21" s="87"/>
      <c r="FJL21" s="87"/>
      <c r="FJM21" s="87"/>
      <c r="FJN21" s="87"/>
      <c r="FJO21" s="87"/>
      <c r="FJP21" s="87"/>
      <c r="FJQ21" s="87"/>
      <c r="FJR21" s="87"/>
      <c r="FJS21" s="87"/>
      <c r="FJT21" s="87"/>
      <c r="FJU21" s="87"/>
      <c r="FJV21" s="87"/>
      <c r="FJW21" s="87"/>
      <c r="FJX21" s="87"/>
      <c r="FJY21" s="87"/>
      <c r="FJZ21" s="87"/>
      <c r="FKA21" s="87"/>
      <c r="FKB21" s="87"/>
      <c r="FKC21" s="87"/>
      <c r="FKD21" s="87"/>
      <c r="FKE21" s="87"/>
      <c r="FKF21" s="87"/>
      <c r="FKG21" s="87"/>
      <c r="FKH21" s="87"/>
      <c r="FKI21" s="87"/>
      <c r="FKJ21" s="87"/>
      <c r="FKK21" s="87"/>
      <c r="FKL21" s="87"/>
      <c r="FKM21" s="87"/>
      <c r="FKN21" s="87"/>
      <c r="FKO21" s="87"/>
      <c r="FKP21" s="87"/>
      <c r="FKQ21" s="87"/>
      <c r="FKR21" s="87"/>
      <c r="FKS21" s="87"/>
      <c r="FKT21" s="87"/>
      <c r="FKU21" s="87"/>
      <c r="FKV21" s="87"/>
      <c r="FKW21" s="87"/>
      <c r="FKX21" s="87"/>
      <c r="FKY21" s="87"/>
      <c r="FKZ21" s="87"/>
      <c r="FLA21" s="87"/>
      <c r="FLB21" s="87"/>
      <c r="FLC21" s="87"/>
      <c r="FLD21" s="87"/>
      <c r="FLE21" s="87"/>
      <c r="FLF21" s="87"/>
      <c r="FLG21" s="87"/>
      <c r="FLH21" s="87"/>
      <c r="FLI21" s="87"/>
      <c r="FLJ21" s="87"/>
      <c r="FLK21" s="87"/>
      <c r="FLL21" s="87"/>
      <c r="FLM21" s="87"/>
      <c r="FLN21" s="87"/>
      <c r="FLO21" s="87"/>
      <c r="FLP21" s="87"/>
      <c r="FLQ21" s="87"/>
      <c r="FLR21" s="87"/>
      <c r="FLS21" s="87"/>
      <c r="FLT21" s="87"/>
      <c r="FLU21" s="87"/>
      <c r="FLV21" s="87"/>
      <c r="FLW21" s="87"/>
      <c r="FLX21" s="87"/>
      <c r="FLY21" s="87"/>
      <c r="FLZ21" s="87"/>
      <c r="FMA21" s="87"/>
      <c r="FMB21" s="87"/>
      <c r="FMC21" s="87"/>
      <c r="FMD21" s="87"/>
      <c r="FME21" s="87"/>
      <c r="FMF21" s="87"/>
      <c r="FMG21" s="87"/>
      <c r="FMH21" s="87"/>
      <c r="FMI21" s="87"/>
      <c r="FMJ21" s="87"/>
      <c r="FMK21" s="87"/>
      <c r="FML21" s="87"/>
      <c r="FMM21" s="87"/>
      <c r="FMN21" s="87"/>
      <c r="FMO21" s="87"/>
      <c r="FMP21" s="87"/>
      <c r="FMQ21" s="87"/>
      <c r="FMR21" s="87"/>
      <c r="FMS21" s="87"/>
      <c r="FMT21" s="87"/>
      <c r="FMU21" s="87"/>
      <c r="FMV21" s="87"/>
      <c r="FMW21" s="87"/>
      <c r="FMX21" s="87"/>
      <c r="FMY21" s="87"/>
      <c r="FMZ21" s="87"/>
      <c r="FNA21" s="87"/>
      <c r="FNB21" s="87"/>
      <c r="FNC21" s="87"/>
      <c r="FND21" s="87"/>
      <c r="FNE21" s="87"/>
      <c r="FNF21" s="87"/>
      <c r="FNG21" s="87"/>
      <c r="FNH21" s="87"/>
      <c r="FNI21" s="87"/>
      <c r="FNJ21" s="87"/>
      <c r="FNK21" s="87"/>
      <c r="FNL21" s="87"/>
      <c r="FNM21" s="87"/>
      <c r="FNN21" s="87"/>
      <c r="FNO21" s="87"/>
      <c r="FNP21" s="87"/>
      <c r="FNQ21" s="87"/>
      <c r="FNR21" s="87"/>
      <c r="FNS21" s="87"/>
      <c r="FNT21" s="87"/>
      <c r="FNU21" s="87"/>
      <c r="FNV21" s="87"/>
      <c r="FNW21" s="87"/>
      <c r="FNX21" s="87"/>
      <c r="FNY21" s="87"/>
      <c r="FNZ21" s="87"/>
      <c r="FOA21" s="87"/>
      <c r="FOB21" s="87"/>
      <c r="FOC21" s="87"/>
      <c r="FOD21" s="87"/>
      <c r="FOE21" s="87"/>
      <c r="FOF21" s="87"/>
      <c r="FOG21" s="87"/>
      <c r="FOH21" s="87"/>
      <c r="FOI21" s="87"/>
      <c r="FOJ21" s="87"/>
      <c r="FOK21" s="87"/>
      <c r="FOL21" s="87"/>
      <c r="FOM21" s="87"/>
      <c r="FON21" s="87"/>
      <c r="FOO21" s="87"/>
      <c r="FOP21" s="87"/>
      <c r="FOQ21" s="87"/>
      <c r="FOR21" s="87"/>
      <c r="FOS21" s="87"/>
      <c r="FOT21" s="87"/>
      <c r="FOU21" s="87"/>
      <c r="FOV21" s="87"/>
      <c r="FOW21" s="87"/>
      <c r="FOX21" s="87"/>
      <c r="FOY21" s="87"/>
      <c r="FOZ21" s="87"/>
      <c r="FPA21" s="87"/>
      <c r="FPB21" s="87"/>
      <c r="FPC21" s="87"/>
      <c r="FPD21" s="87"/>
      <c r="FPE21" s="87"/>
      <c r="FPF21" s="87"/>
      <c r="FPG21" s="87"/>
      <c r="FPH21" s="87"/>
      <c r="FPI21" s="87"/>
      <c r="FPJ21" s="87"/>
      <c r="FPK21" s="87"/>
      <c r="FPL21" s="87"/>
      <c r="FPM21" s="87"/>
      <c r="FPN21" s="87"/>
      <c r="FPO21" s="87"/>
      <c r="FPP21" s="87"/>
      <c r="FPQ21" s="87"/>
      <c r="FPR21" s="87"/>
      <c r="FPS21" s="87"/>
      <c r="FPT21" s="87"/>
      <c r="FPU21" s="87"/>
      <c r="FPV21" s="87"/>
      <c r="FPW21" s="87"/>
      <c r="FPX21" s="87"/>
      <c r="FPY21" s="87"/>
      <c r="FPZ21" s="87"/>
      <c r="FQA21" s="87"/>
      <c r="FQB21" s="87"/>
      <c r="FQC21" s="87"/>
      <c r="FQD21" s="87"/>
      <c r="FQE21" s="87"/>
      <c r="FQF21" s="87"/>
      <c r="FQG21" s="87"/>
      <c r="FQH21" s="87"/>
      <c r="FQI21" s="87"/>
      <c r="FQJ21" s="87"/>
      <c r="FQK21" s="87"/>
      <c r="FQL21" s="87"/>
      <c r="FQM21" s="87"/>
      <c r="FQN21" s="87"/>
      <c r="FQO21" s="87"/>
      <c r="FQP21" s="87"/>
      <c r="FQQ21" s="87"/>
      <c r="FQR21" s="87"/>
      <c r="FQS21" s="87"/>
      <c r="FQT21" s="87"/>
      <c r="FQU21" s="87"/>
      <c r="FQV21" s="87"/>
      <c r="FQW21" s="87"/>
      <c r="FQX21" s="87"/>
      <c r="FQY21" s="87"/>
      <c r="FQZ21" s="87"/>
      <c r="FRA21" s="87"/>
      <c r="FRB21" s="87"/>
      <c r="FRC21" s="87"/>
      <c r="FRD21" s="87"/>
      <c r="FRE21" s="87"/>
      <c r="FRF21" s="87"/>
      <c r="FRG21" s="87"/>
      <c r="FRH21" s="87"/>
      <c r="FRI21" s="87"/>
      <c r="FRJ21" s="87"/>
      <c r="FRK21" s="87"/>
      <c r="FRL21" s="87"/>
      <c r="FRM21" s="87"/>
      <c r="FRN21" s="87"/>
      <c r="FRO21" s="87"/>
      <c r="FRP21" s="87"/>
      <c r="FRQ21" s="87"/>
      <c r="FRR21" s="87"/>
      <c r="FRS21" s="87"/>
      <c r="FRT21" s="87"/>
      <c r="FRU21" s="87"/>
      <c r="FRV21" s="87"/>
      <c r="FRW21" s="87"/>
      <c r="FRX21" s="87"/>
      <c r="FRY21" s="87"/>
      <c r="FRZ21" s="87"/>
      <c r="FSA21" s="87"/>
      <c r="FSB21" s="87"/>
      <c r="FSC21" s="87"/>
      <c r="FSD21" s="87"/>
      <c r="FSE21" s="87"/>
      <c r="FSF21" s="87"/>
      <c r="FSG21" s="87"/>
      <c r="FSH21" s="87"/>
      <c r="FSI21" s="87"/>
      <c r="FSJ21" s="87"/>
      <c r="FSK21" s="87"/>
      <c r="FSL21" s="87"/>
      <c r="FSM21" s="87"/>
      <c r="FSN21" s="87"/>
      <c r="FSO21" s="87"/>
      <c r="FSP21" s="87"/>
      <c r="FSQ21" s="87"/>
      <c r="FSR21" s="87"/>
      <c r="FSS21" s="87"/>
      <c r="FST21" s="87"/>
      <c r="FSU21" s="87"/>
      <c r="FSV21" s="87"/>
      <c r="FSW21" s="87"/>
      <c r="FSX21" s="87"/>
      <c r="FSY21" s="87"/>
      <c r="FSZ21" s="87"/>
      <c r="FTA21" s="87"/>
      <c r="FTB21" s="87"/>
      <c r="FTC21" s="87"/>
      <c r="FTD21" s="87"/>
      <c r="FTE21" s="87"/>
      <c r="FTF21" s="87"/>
      <c r="FTG21" s="87"/>
      <c r="FTH21" s="87"/>
      <c r="FTI21" s="87"/>
      <c r="FTJ21" s="87"/>
      <c r="FTK21" s="87"/>
      <c r="FTL21" s="87"/>
      <c r="FTM21" s="87"/>
      <c r="FTN21" s="87"/>
      <c r="FTO21" s="87"/>
      <c r="FTP21" s="87"/>
      <c r="FTQ21" s="87"/>
      <c r="FTR21" s="87"/>
      <c r="FTS21" s="87"/>
      <c r="FTT21" s="87"/>
      <c r="FTU21" s="87"/>
      <c r="FTV21" s="87"/>
      <c r="FTW21" s="87"/>
      <c r="FTX21" s="87"/>
      <c r="FTY21" s="87"/>
      <c r="FTZ21" s="87"/>
      <c r="FUA21" s="87"/>
      <c r="FUB21" s="87"/>
      <c r="FUC21" s="87"/>
      <c r="FUD21" s="87"/>
      <c r="FUE21" s="87"/>
      <c r="FUF21" s="87"/>
      <c r="FUG21" s="87"/>
      <c r="FUH21" s="87"/>
      <c r="FUI21" s="87"/>
      <c r="FUJ21" s="87"/>
      <c r="FUK21" s="87"/>
      <c r="FUL21" s="87"/>
      <c r="FUM21" s="87"/>
      <c r="FUN21" s="87"/>
      <c r="FUO21" s="87"/>
      <c r="FUP21" s="87"/>
      <c r="FUQ21" s="87"/>
      <c r="FUR21" s="87"/>
      <c r="FUS21" s="87"/>
      <c r="FUT21" s="87"/>
      <c r="FUU21" s="87"/>
      <c r="FUV21" s="87"/>
      <c r="FUW21" s="87"/>
      <c r="FUX21" s="87"/>
      <c r="FUY21" s="87"/>
      <c r="FUZ21" s="87"/>
      <c r="FVA21" s="87"/>
      <c r="FVB21" s="87"/>
      <c r="FVC21" s="87"/>
      <c r="FVD21" s="87"/>
      <c r="FVE21" s="87"/>
      <c r="FVF21" s="87"/>
      <c r="FVG21" s="87"/>
      <c r="FVH21" s="87"/>
      <c r="FVI21" s="87"/>
      <c r="FVJ21" s="87"/>
      <c r="FVK21" s="87"/>
      <c r="FVL21" s="87"/>
      <c r="FVM21" s="87"/>
      <c r="FVN21" s="87"/>
      <c r="FVO21" s="87"/>
      <c r="FVP21" s="87"/>
      <c r="FVQ21" s="87"/>
      <c r="FVR21" s="87"/>
      <c r="FVS21" s="87"/>
      <c r="FVT21" s="87"/>
      <c r="FVU21" s="87"/>
      <c r="FVV21" s="87"/>
      <c r="FVW21" s="87"/>
      <c r="FVX21" s="87"/>
      <c r="FVY21" s="87"/>
      <c r="FVZ21" s="87"/>
      <c r="FWA21" s="87"/>
      <c r="FWB21" s="87"/>
      <c r="FWC21" s="87"/>
      <c r="FWD21" s="87"/>
      <c r="FWE21" s="87"/>
      <c r="FWF21" s="87"/>
      <c r="FWG21" s="87"/>
      <c r="FWH21" s="87"/>
      <c r="FWI21" s="87"/>
      <c r="FWJ21" s="87"/>
      <c r="FWK21" s="87"/>
      <c r="FWL21" s="87"/>
      <c r="FWM21" s="87"/>
      <c r="FWN21" s="87"/>
      <c r="FWO21" s="87"/>
      <c r="FWP21" s="87"/>
      <c r="FWQ21" s="87"/>
      <c r="FWR21" s="87"/>
      <c r="FWS21" s="87"/>
      <c r="FWT21" s="87"/>
      <c r="FWU21" s="87"/>
      <c r="FWV21" s="87"/>
      <c r="FWW21" s="87"/>
      <c r="FWX21" s="87"/>
      <c r="FWY21" s="87"/>
      <c r="FWZ21" s="87"/>
      <c r="FXA21" s="87"/>
      <c r="FXB21" s="87"/>
      <c r="FXC21" s="87"/>
      <c r="FXD21" s="87"/>
      <c r="FXE21" s="87"/>
      <c r="FXF21" s="87"/>
      <c r="FXG21" s="87"/>
      <c r="FXH21" s="87"/>
      <c r="FXI21" s="87"/>
      <c r="FXJ21" s="87"/>
      <c r="FXK21" s="87"/>
      <c r="FXL21" s="87"/>
      <c r="FXM21" s="87"/>
      <c r="FXN21" s="87"/>
      <c r="FXO21" s="87"/>
      <c r="FXP21" s="87"/>
      <c r="FXQ21" s="87"/>
      <c r="FXR21" s="87"/>
      <c r="FXS21" s="87"/>
      <c r="FXT21" s="87"/>
      <c r="FXU21" s="87"/>
      <c r="FXV21" s="87"/>
      <c r="FXW21" s="87"/>
      <c r="FXX21" s="87"/>
      <c r="FXY21" s="87"/>
      <c r="FXZ21" s="87"/>
      <c r="FYA21" s="87"/>
      <c r="FYB21" s="87"/>
      <c r="FYC21" s="87"/>
      <c r="FYD21" s="87"/>
      <c r="FYE21" s="87"/>
      <c r="FYF21" s="87"/>
      <c r="FYG21" s="87"/>
      <c r="FYH21" s="87"/>
      <c r="FYI21" s="87"/>
      <c r="FYJ21" s="87"/>
      <c r="FYK21" s="87"/>
      <c r="FYL21" s="87"/>
      <c r="FYM21" s="87"/>
      <c r="FYN21" s="87"/>
      <c r="FYO21" s="87"/>
      <c r="FYP21" s="87"/>
      <c r="FYQ21" s="87"/>
      <c r="FYR21" s="87"/>
      <c r="FYS21" s="87"/>
      <c r="FYT21" s="87"/>
      <c r="FYU21" s="87"/>
      <c r="FYV21" s="87"/>
      <c r="FYW21" s="87"/>
      <c r="FYX21" s="87"/>
      <c r="FYY21" s="87"/>
      <c r="FYZ21" s="87"/>
      <c r="FZA21" s="87"/>
      <c r="FZB21" s="87"/>
      <c r="FZC21" s="87"/>
      <c r="FZD21" s="87"/>
      <c r="FZE21" s="87"/>
      <c r="FZF21" s="87"/>
      <c r="FZG21" s="87"/>
      <c r="FZH21" s="87"/>
      <c r="FZI21" s="87"/>
      <c r="FZJ21" s="87"/>
      <c r="FZK21" s="87"/>
      <c r="FZL21" s="87"/>
      <c r="FZM21" s="87"/>
      <c r="FZN21" s="87"/>
      <c r="FZO21" s="87"/>
      <c r="FZP21" s="87"/>
      <c r="FZQ21" s="87"/>
      <c r="FZR21" s="87"/>
      <c r="FZS21" s="87"/>
      <c r="FZT21" s="87"/>
      <c r="FZU21" s="87"/>
      <c r="FZV21" s="87"/>
      <c r="FZW21" s="87"/>
      <c r="FZX21" s="87"/>
      <c r="FZY21" s="87"/>
      <c r="FZZ21" s="87"/>
      <c r="GAA21" s="87"/>
      <c r="GAB21" s="87"/>
      <c r="GAC21" s="87"/>
      <c r="GAD21" s="87"/>
      <c r="GAE21" s="87"/>
      <c r="GAF21" s="87"/>
      <c r="GAG21" s="87"/>
      <c r="GAH21" s="87"/>
      <c r="GAI21" s="87"/>
      <c r="GAJ21" s="87"/>
      <c r="GAK21" s="87"/>
      <c r="GAL21" s="87"/>
      <c r="GAM21" s="87"/>
      <c r="GAN21" s="87"/>
      <c r="GAO21" s="87"/>
      <c r="GAP21" s="87"/>
      <c r="GAQ21" s="87"/>
      <c r="GAR21" s="87"/>
      <c r="GAS21" s="87"/>
      <c r="GAT21" s="87"/>
      <c r="GAU21" s="87"/>
      <c r="GAV21" s="87"/>
      <c r="GAW21" s="87"/>
      <c r="GAX21" s="87"/>
      <c r="GAY21" s="87"/>
      <c r="GAZ21" s="87"/>
      <c r="GBA21" s="87"/>
      <c r="GBB21" s="87"/>
      <c r="GBC21" s="87"/>
      <c r="GBD21" s="87"/>
      <c r="GBE21" s="87"/>
      <c r="GBF21" s="87"/>
      <c r="GBG21" s="87"/>
      <c r="GBH21" s="87"/>
      <c r="GBI21" s="87"/>
      <c r="GBJ21" s="87"/>
      <c r="GBK21" s="87"/>
      <c r="GBL21" s="87"/>
      <c r="GBM21" s="87"/>
      <c r="GBN21" s="87"/>
      <c r="GBO21" s="87"/>
      <c r="GBP21" s="87"/>
      <c r="GBQ21" s="87"/>
      <c r="GBR21" s="87"/>
      <c r="GBS21" s="87"/>
      <c r="GBT21" s="87"/>
      <c r="GBU21" s="87"/>
      <c r="GBV21" s="87"/>
      <c r="GBW21" s="87"/>
      <c r="GBX21" s="87"/>
      <c r="GBY21" s="87"/>
      <c r="GBZ21" s="87"/>
      <c r="GCA21" s="87"/>
      <c r="GCB21" s="87"/>
      <c r="GCC21" s="87"/>
      <c r="GCD21" s="87"/>
      <c r="GCE21" s="87"/>
      <c r="GCF21" s="87"/>
      <c r="GCG21" s="87"/>
      <c r="GCH21" s="87"/>
      <c r="GCI21" s="87"/>
      <c r="GCJ21" s="87"/>
      <c r="GCK21" s="87"/>
      <c r="GCL21" s="87"/>
      <c r="GCM21" s="87"/>
      <c r="GCN21" s="87"/>
      <c r="GCO21" s="87"/>
      <c r="GCP21" s="87"/>
      <c r="GCQ21" s="87"/>
      <c r="GCR21" s="87"/>
      <c r="GCS21" s="87"/>
      <c r="GCT21" s="87"/>
      <c r="GCU21" s="87"/>
      <c r="GCV21" s="87"/>
      <c r="GCW21" s="87"/>
      <c r="GCX21" s="87"/>
      <c r="GCY21" s="87"/>
      <c r="GCZ21" s="87"/>
      <c r="GDA21" s="87"/>
      <c r="GDB21" s="87"/>
      <c r="GDC21" s="87"/>
      <c r="GDD21" s="87"/>
      <c r="GDE21" s="87"/>
      <c r="GDF21" s="87"/>
      <c r="GDG21" s="87"/>
      <c r="GDH21" s="87"/>
      <c r="GDI21" s="87"/>
      <c r="GDJ21" s="87"/>
      <c r="GDK21" s="87"/>
      <c r="GDL21" s="87"/>
      <c r="GDM21" s="87"/>
      <c r="GDN21" s="87"/>
      <c r="GDO21" s="87"/>
      <c r="GDP21" s="87"/>
      <c r="GDQ21" s="87"/>
      <c r="GDR21" s="87"/>
      <c r="GDS21" s="87"/>
      <c r="GDT21" s="87"/>
      <c r="GDU21" s="87"/>
      <c r="GDV21" s="87"/>
      <c r="GDW21" s="87"/>
      <c r="GDX21" s="87"/>
      <c r="GDY21" s="87"/>
      <c r="GDZ21" s="87"/>
      <c r="GEA21" s="87"/>
      <c r="GEB21" s="87"/>
      <c r="GEC21" s="87"/>
      <c r="GED21" s="87"/>
      <c r="GEE21" s="87"/>
      <c r="GEF21" s="87"/>
      <c r="GEG21" s="87"/>
      <c r="GEH21" s="87"/>
      <c r="GEI21" s="87"/>
      <c r="GEJ21" s="87"/>
      <c r="GEK21" s="87"/>
      <c r="GEL21" s="87"/>
      <c r="GEM21" s="87"/>
      <c r="GEN21" s="87"/>
      <c r="GEO21" s="87"/>
      <c r="GEP21" s="87"/>
      <c r="GEQ21" s="87"/>
      <c r="GER21" s="87"/>
      <c r="GES21" s="87"/>
      <c r="GET21" s="87"/>
      <c r="GEU21" s="87"/>
      <c r="GEV21" s="87"/>
      <c r="GEW21" s="87"/>
      <c r="GEX21" s="87"/>
      <c r="GEY21" s="87"/>
      <c r="GEZ21" s="87"/>
      <c r="GFA21" s="87"/>
      <c r="GFB21" s="87"/>
      <c r="GFC21" s="87"/>
      <c r="GFD21" s="87"/>
      <c r="GFE21" s="87"/>
      <c r="GFF21" s="87"/>
      <c r="GFG21" s="87"/>
      <c r="GFH21" s="87"/>
      <c r="GFI21" s="87"/>
      <c r="GFJ21" s="87"/>
      <c r="GFK21" s="87"/>
      <c r="GFL21" s="87"/>
      <c r="GFM21" s="87"/>
      <c r="GFN21" s="87"/>
      <c r="GFO21" s="87"/>
      <c r="GFP21" s="87"/>
      <c r="GFQ21" s="87"/>
      <c r="GFR21" s="87"/>
      <c r="GFS21" s="87"/>
      <c r="GFT21" s="87"/>
      <c r="GFU21" s="87"/>
      <c r="GFV21" s="87"/>
      <c r="GFW21" s="87"/>
      <c r="GFX21" s="87"/>
      <c r="GFY21" s="87"/>
      <c r="GFZ21" s="87"/>
      <c r="GGA21" s="87"/>
      <c r="GGB21" s="87"/>
      <c r="GGC21" s="87"/>
      <c r="GGD21" s="87"/>
      <c r="GGE21" s="87"/>
      <c r="GGF21" s="87"/>
      <c r="GGG21" s="87"/>
      <c r="GGH21" s="87"/>
      <c r="GGI21" s="87"/>
      <c r="GGJ21" s="87"/>
      <c r="GGK21" s="87"/>
      <c r="GGL21" s="87"/>
      <c r="GGM21" s="87"/>
      <c r="GGN21" s="87"/>
      <c r="GGO21" s="87"/>
      <c r="GGP21" s="87"/>
      <c r="GGQ21" s="87"/>
      <c r="GGR21" s="87"/>
      <c r="GGS21" s="87"/>
      <c r="GGT21" s="87"/>
      <c r="GGU21" s="87"/>
      <c r="GGV21" s="87"/>
      <c r="GGW21" s="87"/>
      <c r="GGX21" s="87"/>
      <c r="GGY21" s="87"/>
      <c r="GGZ21" s="87"/>
      <c r="GHA21" s="87"/>
      <c r="GHB21" s="87"/>
      <c r="GHC21" s="87"/>
      <c r="GHD21" s="87"/>
      <c r="GHE21" s="87"/>
      <c r="GHF21" s="87"/>
      <c r="GHG21" s="87"/>
      <c r="GHH21" s="87"/>
      <c r="GHI21" s="87"/>
      <c r="GHJ21" s="87"/>
      <c r="GHK21" s="87"/>
      <c r="GHL21" s="87"/>
      <c r="GHM21" s="87"/>
      <c r="GHN21" s="87"/>
      <c r="GHO21" s="87"/>
      <c r="GHP21" s="87"/>
      <c r="GHQ21" s="87"/>
      <c r="GHR21" s="87"/>
      <c r="GHS21" s="87"/>
      <c r="GHT21" s="87"/>
      <c r="GHU21" s="87"/>
      <c r="GHV21" s="87"/>
      <c r="GHW21" s="87"/>
      <c r="GHX21" s="87"/>
      <c r="GHY21" s="87"/>
      <c r="GHZ21" s="87"/>
      <c r="GIA21" s="87"/>
      <c r="GIB21" s="87"/>
      <c r="GIC21" s="87"/>
      <c r="GID21" s="87"/>
      <c r="GIE21" s="87"/>
      <c r="GIF21" s="87"/>
      <c r="GIG21" s="87"/>
      <c r="GIH21" s="87"/>
      <c r="GII21" s="87"/>
      <c r="GIJ21" s="87"/>
      <c r="GIK21" s="87"/>
      <c r="GIL21" s="87"/>
      <c r="GIM21" s="87"/>
      <c r="GIN21" s="87"/>
      <c r="GIO21" s="87"/>
      <c r="GIP21" s="87"/>
      <c r="GIQ21" s="87"/>
      <c r="GIR21" s="87"/>
      <c r="GIS21" s="87"/>
      <c r="GIT21" s="87"/>
      <c r="GIU21" s="87"/>
      <c r="GIV21" s="87"/>
      <c r="GIW21" s="87"/>
      <c r="GIX21" s="87"/>
      <c r="GIY21" s="87"/>
      <c r="GIZ21" s="87"/>
      <c r="GJA21" s="87"/>
      <c r="GJB21" s="87"/>
      <c r="GJC21" s="87"/>
      <c r="GJD21" s="87"/>
      <c r="GJE21" s="87"/>
      <c r="GJF21" s="87"/>
      <c r="GJG21" s="87"/>
      <c r="GJH21" s="87"/>
      <c r="GJI21" s="87"/>
      <c r="GJJ21" s="87"/>
      <c r="GJK21" s="87"/>
      <c r="GJL21" s="87"/>
      <c r="GJM21" s="87"/>
      <c r="GJN21" s="87"/>
      <c r="GJO21" s="87"/>
      <c r="GJP21" s="87"/>
      <c r="GJQ21" s="87"/>
      <c r="GJR21" s="87"/>
      <c r="GJS21" s="87"/>
      <c r="GJT21" s="87"/>
      <c r="GJU21" s="87"/>
      <c r="GJV21" s="87"/>
      <c r="GJW21" s="87"/>
      <c r="GJX21" s="87"/>
      <c r="GJY21" s="87"/>
      <c r="GJZ21" s="87"/>
      <c r="GKA21" s="87"/>
      <c r="GKB21" s="87"/>
      <c r="GKC21" s="87"/>
      <c r="GKD21" s="87"/>
      <c r="GKE21" s="87"/>
      <c r="GKF21" s="87"/>
      <c r="GKG21" s="87"/>
      <c r="GKH21" s="87"/>
      <c r="GKI21" s="87"/>
      <c r="GKJ21" s="87"/>
      <c r="GKK21" s="87"/>
      <c r="GKL21" s="87"/>
      <c r="GKM21" s="87"/>
      <c r="GKN21" s="87"/>
      <c r="GKO21" s="87"/>
      <c r="GKP21" s="87"/>
      <c r="GKQ21" s="87"/>
      <c r="GKR21" s="87"/>
      <c r="GKS21" s="87"/>
      <c r="GKT21" s="87"/>
      <c r="GKU21" s="87"/>
      <c r="GKV21" s="87"/>
      <c r="GKW21" s="87"/>
      <c r="GKX21" s="87"/>
      <c r="GKY21" s="87"/>
      <c r="GKZ21" s="87"/>
      <c r="GLA21" s="87"/>
      <c r="GLB21" s="87"/>
      <c r="GLC21" s="87"/>
      <c r="GLD21" s="87"/>
      <c r="GLE21" s="87"/>
      <c r="GLF21" s="87"/>
      <c r="GLG21" s="87"/>
      <c r="GLH21" s="87"/>
      <c r="GLI21" s="87"/>
      <c r="GLJ21" s="87"/>
      <c r="GLK21" s="87"/>
      <c r="GLL21" s="87"/>
      <c r="GLM21" s="87"/>
      <c r="GLN21" s="87"/>
      <c r="GLO21" s="87"/>
      <c r="GLP21" s="87"/>
      <c r="GLQ21" s="87"/>
      <c r="GLR21" s="87"/>
      <c r="GLS21" s="87"/>
      <c r="GLT21" s="87"/>
      <c r="GLU21" s="87"/>
      <c r="GLV21" s="87"/>
      <c r="GLW21" s="87"/>
      <c r="GLX21" s="87"/>
      <c r="GLY21" s="87"/>
      <c r="GLZ21" s="87"/>
      <c r="GMA21" s="87"/>
      <c r="GMB21" s="87"/>
      <c r="GMC21" s="87"/>
      <c r="GMD21" s="87"/>
      <c r="GME21" s="87"/>
      <c r="GMF21" s="87"/>
      <c r="GMG21" s="87"/>
      <c r="GMH21" s="87"/>
      <c r="GMI21" s="87"/>
      <c r="GMJ21" s="87"/>
      <c r="GMK21" s="87"/>
      <c r="GML21" s="87"/>
      <c r="GMM21" s="87"/>
      <c r="GMN21" s="87"/>
      <c r="GMO21" s="87"/>
      <c r="GMP21" s="87"/>
      <c r="GMQ21" s="87"/>
      <c r="GMR21" s="87"/>
      <c r="GMS21" s="87"/>
      <c r="GMT21" s="87"/>
      <c r="GMU21" s="87"/>
      <c r="GMV21" s="87"/>
      <c r="GMW21" s="87"/>
      <c r="GMX21" s="87"/>
      <c r="GMY21" s="87"/>
      <c r="GMZ21" s="87"/>
      <c r="GNA21" s="87"/>
      <c r="GNB21" s="87"/>
      <c r="GNC21" s="87"/>
      <c r="GND21" s="87"/>
      <c r="GNE21" s="87"/>
      <c r="GNF21" s="87"/>
      <c r="GNG21" s="87"/>
      <c r="GNH21" s="87"/>
      <c r="GNI21" s="87"/>
      <c r="GNJ21" s="87"/>
      <c r="GNK21" s="87"/>
      <c r="GNL21" s="87"/>
      <c r="GNM21" s="87"/>
      <c r="GNN21" s="87"/>
      <c r="GNO21" s="87"/>
      <c r="GNP21" s="87"/>
      <c r="GNQ21" s="87"/>
      <c r="GNR21" s="87"/>
      <c r="GNS21" s="87"/>
      <c r="GNT21" s="87"/>
      <c r="GNU21" s="87"/>
      <c r="GNV21" s="87"/>
      <c r="GNW21" s="87"/>
      <c r="GNX21" s="87"/>
      <c r="GNY21" s="87"/>
      <c r="GNZ21" s="87"/>
      <c r="GOA21" s="87"/>
      <c r="GOB21" s="87"/>
      <c r="GOC21" s="87"/>
      <c r="GOD21" s="87"/>
      <c r="GOE21" s="87"/>
      <c r="GOF21" s="87"/>
      <c r="GOG21" s="87"/>
      <c r="GOH21" s="87"/>
      <c r="GOI21" s="87"/>
      <c r="GOJ21" s="87"/>
      <c r="GOK21" s="87"/>
      <c r="GOL21" s="87"/>
      <c r="GOM21" s="87"/>
      <c r="GON21" s="87"/>
      <c r="GOO21" s="87"/>
      <c r="GOP21" s="87"/>
      <c r="GOQ21" s="87"/>
      <c r="GOR21" s="87"/>
      <c r="GOS21" s="87"/>
      <c r="GOT21" s="87"/>
      <c r="GOU21" s="87"/>
      <c r="GOV21" s="87"/>
      <c r="GOW21" s="87"/>
      <c r="GOX21" s="87"/>
      <c r="GOY21" s="87"/>
      <c r="GOZ21" s="87"/>
      <c r="GPA21" s="87"/>
      <c r="GPB21" s="87"/>
      <c r="GPC21" s="87"/>
      <c r="GPD21" s="87"/>
      <c r="GPE21" s="87"/>
      <c r="GPF21" s="87"/>
      <c r="GPG21" s="87"/>
      <c r="GPH21" s="87"/>
      <c r="GPI21" s="87"/>
      <c r="GPJ21" s="87"/>
      <c r="GPK21" s="87"/>
      <c r="GPL21" s="87"/>
      <c r="GPM21" s="87"/>
      <c r="GPN21" s="87"/>
      <c r="GPO21" s="87"/>
      <c r="GPP21" s="87"/>
      <c r="GPQ21" s="87"/>
      <c r="GPR21" s="87"/>
      <c r="GPS21" s="87"/>
      <c r="GPT21" s="87"/>
      <c r="GPU21" s="87"/>
      <c r="GPV21" s="87"/>
      <c r="GPW21" s="87"/>
      <c r="GPX21" s="87"/>
      <c r="GPY21" s="87"/>
      <c r="GPZ21" s="87"/>
      <c r="GQA21" s="87"/>
      <c r="GQB21" s="87"/>
      <c r="GQC21" s="87"/>
      <c r="GQD21" s="87"/>
      <c r="GQE21" s="87"/>
      <c r="GQF21" s="87"/>
      <c r="GQG21" s="87"/>
      <c r="GQH21" s="87"/>
      <c r="GQI21" s="87"/>
      <c r="GQJ21" s="87"/>
      <c r="GQK21" s="87"/>
      <c r="GQL21" s="87"/>
      <c r="GQM21" s="87"/>
      <c r="GQN21" s="87"/>
      <c r="GQO21" s="87"/>
      <c r="GQP21" s="87"/>
      <c r="GQQ21" s="87"/>
      <c r="GQR21" s="87"/>
      <c r="GQS21" s="87"/>
      <c r="GQT21" s="87"/>
      <c r="GQU21" s="87"/>
      <c r="GQV21" s="87"/>
      <c r="GQW21" s="87"/>
      <c r="GQX21" s="87"/>
      <c r="GQY21" s="87"/>
      <c r="GQZ21" s="87"/>
      <c r="GRA21" s="87"/>
      <c r="GRB21" s="87"/>
      <c r="GRC21" s="87"/>
      <c r="GRD21" s="87"/>
      <c r="GRE21" s="87"/>
      <c r="GRF21" s="87"/>
      <c r="GRG21" s="87"/>
      <c r="GRH21" s="87"/>
      <c r="GRI21" s="87"/>
      <c r="GRJ21" s="87"/>
      <c r="GRK21" s="87"/>
      <c r="GRL21" s="87"/>
      <c r="GRM21" s="87"/>
      <c r="GRN21" s="87"/>
      <c r="GRO21" s="87"/>
      <c r="GRP21" s="87"/>
      <c r="GRQ21" s="87"/>
      <c r="GRR21" s="87"/>
      <c r="GRS21" s="87"/>
      <c r="GRT21" s="87"/>
      <c r="GRU21" s="87"/>
      <c r="GRV21" s="87"/>
      <c r="GRW21" s="87"/>
      <c r="GRX21" s="87"/>
      <c r="GRY21" s="87"/>
      <c r="GRZ21" s="87"/>
      <c r="GSA21" s="87"/>
      <c r="GSB21" s="87"/>
      <c r="GSC21" s="87"/>
      <c r="GSD21" s="87"/>
      <c r="GSE21" s="87"/>
      <c r="GSF21" s="87"/>
      <c r="GSG21" s="87"/>
      <c r="GSH21" s="87"/>
      <c r="GSI21" s="87"/>
      <c r="GSJ21" s="87"/>
      <c r="GSK21" s="87"/>
      <c r="GSL21" s="87"/>
      <c r="GSM21" s="87"/>
      <c r="GSN21" s="87"/>
      <c r="GSO21" s="87"/>
      <c r="GSP21" s="87"/>
      <c r="GSQ21" s="87"/>
      <c r="GSR21" s="87"/>
      <c r="GSS21" s="87"/>
      <c r="GST21" s="87"/>
      <c r="GSU21" s="87"/>
      <c r="GSV21" s="87"/>
      <c r="GSW21" s="87"/>
      <c r="GSX21" s="87"/>
      <c r="GSY21" s="87"/>
      <c r="GSZ21" s="87"/>
      <c r="GTA21" s="87"/>
      <c r="GTB21" s="87"/>
      <c r="GTC21" s="87"/>
      <c r="GTD21" s="87"/>
      <c r="GTE21" s="87"/>
      <c r="GTF21" s="87"/>
      <c r="GTG21" s="87"/>
      <c r="GTH21" s="87"/>
      <c r="GTI21" s="87"/>
      <c r="GTJ21" s="87"/>
      <c r="GTK21" s="87"/>
      <c r="GTL21" s="87"/>
      <c r="GTM21" s="87"/>
      <c r="GTN21" s="87"/>
      <c r="GTO21" s="87"/>
      <c r="GTP21" s="87"/>
      <c r="GTQ21" s="87"/>
      <c r="GTR21" s="87"/>
      <c r="GTS21" s="87"/>
      <c r="GTT21" s="87"/>
      <c r="GTU21" s="87"/>
      <c r="GTV21" s="87"/>
      <c r="GTW21" s="87"/>
      <c r="GTX21" s="87"/>
      <c r="GTY21" s="87"/>
      <c r="GTZ21" s="87"/>
      <c r="GUA21" s="87"/>
      <c r="GUB21" s="87"/>
      <c r="GUC21" s="87"/>
      <c r="GUD21" s="87"/>
      <c r="GUE21" s="87"/>
      <c r="GUF21" s="87"/>
      <c r="GUG21" s="87"/>
      <c r="GUH21" s="87"/>
      <c r="GUI21" s="87"/>
      <c r="GUJ21" s="87"/>
      <c r="GUK21" s="87"/>
      <c r="GUL21" s="87"/>
      <c r="GUM21" s="87"/>
      <c r="GUN21" s="87"/>
      <c r="GUO21" s="87"/>
      <c r="GUP21" s="87"/>
      <c r="GUQ21" s="87"/>
      <c r="GUR21" s="87"/>
      <c r="GUS21" s="87"/>
      <c r="GUT21" s="87"/>
      <c r="GUU21" s="87"/>
      <c r="GUV21" s="87"/>
      <c r="GUW21" s="87"/>
      <c r="GUX21" s="87"/>
      <c r="GUY21" s="87"/>
      <c r="GUZ21" s="87"/>
      <c r="GVA21" s="87"/>
      <c r="GVB21" s="87"/>
      <c r="GVC21" s="87"/>
      <c r="GVD21" s="87"/>
      <c r="GVE21" s="87"/>
      <c r="GVF21" s="87"/>
      <c r="GVG21" s="87"/>
      <c r="GVH21" s="87"/>
      <c r="GVI21" s="87"/>
      <c r="GVJ21" s="87"/>
      <c r="GVK21" s="87"/>
      <c r="GVL21" s="87"/>
      <c r="GVM21" s="87"/>
      <c r="GVN21" s="87"/>
      <c r="GVO21" s="87"/>
      <c r="GVP21" s="87"/>
      <c r="GVQ21" s="87"/>
      <c r="GVR21" s="87"/>
      <c r="GVS21" s="87"/>
      <c r="GVT21" s="87"/>
      <c r="GVU21" s="87"/>
      <c r="GVV21" s="87"/>
      <c r="GVW21" s="87"/>
      <c r="GVX21" s="87"/>
      <c r="GVY21" s="87"/>
      <c r="GVZ21" s="87"/>
      <c r="GWA21" s="87"/>
      <c r="GWB21" s="87"/>
      <c r="GWC21" s="87"/>
      <c r="GWD21" s="87"/>
      <c r="GWE21" s="87"/>
      <c r="GWF21" s="87"/>
      <c r="GWG21" s="87"/>
      <c r="GWH21" s="87"/>
      <c r="GWI21" s="87"/>
      <c r="GWJ21" s="87"/>
      <c r="GWK21" s="87"/>
      <c r="GWL21" s="87"/>
      <c r="GWM21" s="87"/>
      <c r="GWN21" s="87"/>
      <c r="GWO21" s="87"/>
      <c r="GWP21" s="87"/>
      <c r="GWQ21" s="87"/>
      <c r="GWR21" s="87"/>
      <c r="GWS21" s="87"/>
      <c r="GWT21" s="87"/>
      <c r="GWU21" s="87"/>
      <c r="GWV21" s="87"/>
      <c r="GWW21" s="87"/>
      <c r="GWX21" s="87"/>
      <c r="GWY21" s="87"/>
      <c r="GWZ21" s="87"/>
      <c r="GXA21" s="87"/>
      <c r="GXB21" s="87"/>
      <c r="GXC21" s="87"/>
      <c r="GXD21" s="87"/>
      <c r="GXE21" s="87"/>
      <c r="GXF21" s="87"/>
      <c r="GXG21" s="87"/>
      <c r="GXH21" s="87"/>
      <c r="GXI21" s="87"/>
      <c r="GXJ21" s="87"/>
      <c r="GXK21" s="87"/>
      <c r="GXL21" s="87"/>
      <c r="GXM21" s="87"/>
      <c r="GXN21" s="87"/>
      <c r="GXO21" s="87"/>
      <c r="GXP21" s="87"/>
      <c r="GXQ21" s="87"/>
      <c r="GXR21" s="87"/>
      <c r="GXS21" s="87"/>
      <c r="GXT21" s="87"/>
      <c r="GXU21" s="87"/>
      <c r="GXV21" s="87"/>
      <c r="GXW21" s="87"/>
      <c r="GXX21" s="87"/>
      <c r="GXY21" s="87"/>
      <c r="GXZ21" s="87"/>
      <c r="GYA21" s="87"/>
      <c r="GYB21" s="87"/>
      <c r="GYC21" s="87"/>
      <c r="GYD21" s="87"/>
      <c r="GYE21" s="87"/>
      <c r="GYF21" s="87"/>
      <c r="GYG21" s="87"/>
      <c r="GYH21" s="87"/>
      <c r="GYI21" s="87"/>
      <c r="GYJ21" s="87"/>
      <c r="GYK21" s="87"/>
      <c r="GYL21" s="87"/>
      <c r="GYM21" s="87"/>
      <c r="GYN21" s="87"/>
      <c r="GYO21" s="87"/>
      <c r="GYP21" s="87"/>
      <c r="GYQ21" s="87"/>
      <c r="GYR21" s="87"/>
      <c r="GYS21" s="87"/>
      <c r="GYT21" s="87"/>
      <c r="GYU21" s="87"/>
      <c r="GYV21" s="87"/>
      <c r="GYW21" s="87"/>
      <c r="GYX21" s="87"/>
      <c r="GYY21" s="87"/>
      <c r="GYZ21" s="87"/>
      <c r="GZA21" s="87"/>
      <c r="GZB21" s="87"/>
      <c r="GZC21" s="87"/>
      <c r="GZD21" s="87"/>
      <c r="GZE21" s="87"/>
      <c r="GZF21" s="87"/>
      <c r="GZG21" s="87"/>
      <c r="GZH21" s="87"/>
      <c r="GZI21" s="87"/>
      <c r="GZJ21" s="87"/>
      <c r="GZK21" s="87"/>
      <c r="GZL21" s="87"/>
      <c r="GZM21" s="87"/>
      <c r="GZN21" s="87"/>
      <c r="GZO21" s="87"/>
      <c r="GZP21" s="87"/>
      <c r="GZQ21" s="87"/>
      <c r="GZR21" s="87"/>
      <c r="GZS21" s="87"/>
      <c r="GZT21" s="87"/>
      <c r="GZU21" s="87"/>
      <c r="GZV21" s="87"/>
      <c r="GZW21" s="87"/>
      <c r="GZX21" s="87"/>
      <c r="GZY21" s="87"/>
      <c r="GZZ21" s="87"/>
      <c r="HAA21" s="87"/>
      <c r="HAB21" s="87"/>
      <c r="HAC21" s="87"/>
      <c r="HAD21" s="87"/>
      <c r="HAE21" s="87"/>
      <c r="HAF21" s="87"/>
      <c r="HAG21" s="87"/>
      <c r="HAH21" s="87"/>
      <c r="HAI21" s="87"/>
      <c r="HAJ21" s="87"/>
      <c r="HAK21" s="87"/>
      <c r="HAL21" s="87"/>
      <c r="HAM21" s="87"/>
      <c r="HAN21" s="87"/>
      <c r="HAO21" s="87"/>
      <c r="HAP21" s="87"/>
      <c r="HAQ21" s="87"/>
      <c r="HAR21" s="87"/>
      <c r="HAS21" s="87"/>
      <c r="HAT21" s="87"/>
      <c r="HAU21" s="87"/>
      <c r="HAV21" s="87"/>
      <c r="HAW21" s="87"/>
      <c r="HAX21" s="87"/>
      <c r="HAY21" s="87"/>
      <c r="HAZ21" s="87"/>
      <c r="HBA21" s="87"/>
      <c r="HBB21" s="87"/>
      <c r="HBC21" s="87"/>
      <c r="HBD21" s="87"/>
      <c r="HBE21" s="87"/>
      <c r="HBF21" s="87"/>
      <c r="HBG21" s="87"/>
      <c r="HBH21" s="87"/>
      <c r="HBI21" s="87"/>
      <c r="HBJ21" s="87"/>
      <c r="HBK21" s="87"/>
      <c r="HBL21" s="87"/>
      <c r="HBM21" s="87"/>
      <c r="HBN21" s="87"/>
      <c r="HBO21" s="87"/>
      <c r="HBP21" s="87"/>
      <c r="HBQ21" s="87"/>
      <c r="HBR21" s="87"/>
      <c r="HBS21" s="87"/>
      <c r="HBT21" s="87"/>
      <c r="HBU21" s="87"/>
      <c r="HBV21" s="87"/>
      <c r="HBW21" s="87"/>
      <c r="HBX21" s="87"/>
      <c r="HBY21" s="87"/>
      <c r="HBZ21" s="87"/>
      <c r="HCA21" s="87"/>
      <c r="HCB21" s="87"/>
      <c r="HCC21" s="87"/>
      <c r="HCD21" s="87"/>
      <c r="HCE21" s="87"/>
      <c r="HCF21" s="87"/>
      <c r="HCG21" s="87"/>
      <c r="HCH21" s="87"/>
      <c r="HCI21" s="87"/>
      <c r="HCJ21" s="87"/>
      <c r="HCK21" s="87"/>
      <c r="HCL21" s="87"/>
      <c r="HCM21" s="87"/>
      <c r="HCN21" s="87"/>
      <c r="HCO21" s="87"/>
      <c r="HCP21" s="87"/>
      <c r="HCQ21" s="87"/>
      <c r="HCR21" s="87"/>
      <c r="HCS21" s="87"/>
      <c r="HCT21" s="87"/>
      <c r="HCU21" s="87"/>
      <c r="HCV21" s="87"/>
      <c r="HCW21" s="87"/>
      <c r="HCX21" s="87"/>
      <c r="HCY21" s="87"/>
      <c r="HCZ21" s="87"/>
      <c r="HDA21" s="87"/>
      <c r="HDB21" s="87"/>
      <c r="HDC21" s="87"/>
      <c r="HDD21" s="87"/>
      <c r="HDE21" s="87"/>
      <c r="HDF21" s="87"/>
      <c r="HDG21" s="87"/>
      <c r="HDH21" s="87"/>
      <c r="HDI21" s="87"/>
      <c r="HDJ21" s="87"/>
      <c r="HDK21" s="87"/>
      <c r="HDL21" s="87"/>
      <c r="HDM21" s="87"/>
      <c r="HDN21" s="87"/>
      <c r="HDO21" s="87"/>
      <c r="HDP21" s="87"/>
      <c r="HDQ21" s="87"/>
      <c r="HDR21" s="87"/>
      <c r="HDS21" s="87"/>
      <c r="HDT21" s="87"/>
      <c r="HDU21" s="87"/>
      <c r="HDV21" s="87"/>
      <c r="HDW21" s="87"/>
      <c r="HDX21" s="87"/>
      <c r="HDY21" s="87"/>
      <c r="HDZ21" s="87"/>
      <c r="HEA21" s="87"/>
      <c r="HEB21" s="87"/>
      <c r="HEC21" s="87"/>
      <c r="HED21" s="87"/>
      <c r="HEE21" s="87"/>
      <c r="HEF21" s="87"/>
      <c r="HEG21" s="87"/>
      <c r="HEH21" s="87"/>
      <c r="HEI21" s="87"/>
      <c r="HEJ21" s="87"/>
      <c r="HEK21" s="87"/>
      <c r="HEL21" s="87"/>
      <c r="HEM21" s="87"/>
      <c r="HEN21" s="87"/>
      <c r="HEO21" s="87"/>
      <c r="HEP21" s="87"/>
      <c r="HEQ21" s="87"/>
      <c r="HER21" s="87"/>
      <c r="HES21" s="87"/>
      <c r="HET21" s="87"/>
      <c r="HEU21" s="87"/>
      <c r="HEV21" s="87"/>
      <c r="HEW21" s="87"/>
      <c r="HEX21" s="87"/>
      <c r="HEY21" s="87"/>
      <c r="HEZ21" s="87"/>
      <c r="HFA21" s="87"/>
      <c r="HFB21" s="87"/>
      <c r="HFC21" s="87"/>
      <c r="HFD21" s="87"/>
      <c r="HFE21" s="87"/>
      <c r="HFF21" s="87"/>
      <c r="HFG21" s="87"/>
      <c r="HFH21" s="87"/>
      <c r="HFI21" s="87"/>
      <c r="HFJ21" s="87"/>
      <c r="HFK21" s="87"/>
      <c r="HFL21" s="87"/>
      <c r="HFM21" s="87"/>
      <c r="HFN21" s="87"/>
      <c r="HFO21" s="87"/>
      <c r="HFP21" s="87"/>
      <c r="HFQ21" s="87"/>
      <c r="HFR21" s="87"/>
      <c r="HFS21" s="87"/>
      <c r="HFT21" s="87"/>
      <c r="HFU21" s="87"/>
      <c r="HFV21" s="87"/>
      <c r="HFW21" s="87"/>
      <c r="HFX21" s="87"/>
      <c r="HFY21" s="87"/>
      <c r="HFZ21" s="87"/>
      <c r="HGA21" s="87"/>
      <c r="HGB21" s="87"/>
      <c r="HGC21" s="87"/>
      <c r="HGD21" s="87"/>
      <c r="HGE21" s="87"/>
      <c r="HGF21" s="87"/>
      <c r="HGG21" s="87"/>
      <c r="HGH21" s="87"/>
      <c r="HGI21" s="87"/>
      <c r="HGJ21" s="87"/>
      <c r="HGK21" s="87"/>
      <c r="HGL21" s="87"/>
      <c r="HGM21" s="87"/>
      <c r="HGN21" s="87"/>
      <c r="HGO21" s="87"/>
      <c r="HGP21" s="87"/>
      <c r="HGQ21" s="87"/>
      <c r="HGR21" s="87"/>
      <c r="HGS21" s="87"/>
      <c r="HGT21" s="87"/>
      <c r="HGU21" s="87"/>
      <c r="HGV21" s="87"/>
      <c r="HGW21" s="87"/>
      <c r="HGX21" s="87"/>
      <c r="HGY21" s="87"/>
      <c r="HGZ21" s="87"/>
      <c r="HHA21" s="87"/>
      <c r="HHB21" s="87"/>
      <c r="HHC21" s="87"/>
      <c r="HHD21" s="87"/>
      <c r="HHE21" s="87"/>
      <c r="HHF21" s="87"/>
      <c r="HHG21" s="87"/>
      <c r="HHH21" s="87"/>
      <c r="HHI21" s="87"/>
      <c r="HHJ21" s="87"/>
      <c r="HHK21" s="87"/>
      <c r="HHL21" s="87"/>
      <c r="HHM21" s="87"/>
      <c r="HHN21" s="87"/>
      <c r="HHO21" s="87"/>
      <c r="HHP21" s="87"/>
      <c r="HHQ21" s="87"/>
      <c r="HHR21" s="87"/>
      <c r="HHS21" s="87"/>
      <c r="HHT21" s="87"/>
      <c r="HHU21" s="87"/>
      <c r="HHV21" s="87"/>
      <c r="HHW21" s="87"/>
      <c r="HHX21" s="87"/>
      <c r="HHY21" s="87"/>
      <c r="HHZ21" s="87"/>
      <c r="HIA21" s="87"/>
      <c r="HIB21" s="87"/>
      <c r="HIC21" s="87"/>
      <c r="HID21" s="87"/>
      <c r="HIE21" s="87"/>
      <c r="HIF21" s="87"/>
      <c r="HIG21" s="87"/>
      <c r="HIH21" s="87"/>
      <c r="HII21" s="87"/>
      <c r="HIJ21" s="87"/>
      <c r="HIK21" s="87"/>
      <c r="HIL21" s="87"/>
      <c r="HIM21" s="87"/>
      <c r="HIN21" s="87"/>
      <c r="HIO21" s="87"/>
      <c r="HIP21" s="87"/>
      <c r="HIQ21" s="87"/>
      <c r="HIR21" s="87"/>
      <c r="HIS21" s="87"/>
      <c r="HIT21" s="87"/>
      <c r="HIU21" s="87"/>
      <c r="HIV21" s="87"/>
      <c r="HIW21" s="87"/>
      <c r="HIX21" s="87"/>
      <c r="HIY21" s="87"/>
      <c r="HIZ21" s="87"/>
      <c r="HJA21" s="87"/>
      <c r="HJB21" s="87"/>
      <c r="HJC21" s="87"/>
      <c r="HJD21" s="87"/>
      <c r="HJE21" s="87"/>
      <c r="HJF21" s="87"/>
      <c r="HJG21" s="87"/>
      <c r="HJH21" s="87"/>
      <c r="HJI21" s="87"/>
      <c r="HJJ21" s="87"/>
      <c r="HJK21" s="87"/>
      <c r="HJL21" s="87"/>
      <c r="HJM21" s="87"/>
      <c r="HJN21" s="87"/>
      <c r="HJO21" s="87"/>
      <c r="HJP21" s="87"/>
      <c r="HJQ21" s="87"/>
      <c r="HJR21" s="87"/>
      <c r="HJS21" s="87"/>
      <c r="HJT21" s="87"/>
      <c r="HJU21" s="87"/>
      <c r="HJV21" s="87"/>
      <c r="HJW21" s="87"/>
      <c r="HJX21" s="87"/>
      <c r="HJY21" s="87"/>
      <c r="HJZ21" s="87"/>
      <c r="HKA21" s="87"/>
      <c r="HKB21" s="87"/>
      <c r="HKC21" s="87"/>
      <c r="HKD21" s="87"/>
      <c r="HKE21" s="87"/>
      <c r="HKF21" s="87"/>
      <c r="HKG21" s="87"/>
      <c r="HKH21" s="87"/>
      <c r="HKI21" s="87"/>
      <c r="HKJ21" s="87"/>
      <c r="HKK21" s="87"/>
      <c r="HKL21" s="87"/>
      <c r="HKM21" s="87"/>
      <c r="HKN21" s="87"/>
      <c r="HKO21" s="87"/>
      <c r="HKP21" s="87"/>
      <c r="HKQ21" s="87"/>
      <c r="HKR21" s="87"/>
      <c r="HKS21" s="87"/>
      <c r="HKT21" s="87"/>
      <c r="HKU21" s="87"/>
      <c r="HKV21" s="87"/>
      <c r="HKW21" s="87"/>
      <c r="HKX21" s="87"/>
      <c r="HKY21" s="87"/>
      <c r="HKZ21" s="87"/>
      <c r="HLA21" s="87"/>
      <c r="HLB21" s="87"/>
      <c r="HLC21" s="87"/>
      <c r="HLD21" s="87"/>
      <c r="HLE21" s="87"/>
      <c r="HLF21" s="87"/>
      <c r="HLG21" s="87"/>
      <c r="HLH21" s="87"/>
      <c r="HLI21" s="87"/>
      <c r="HLJ21" s="87"/>
      <c r="HLK21" s="87"/>
      <c r="HLL21" s="87"/>
      <c r="HLM21" s="87"/>
      <c r="HLN21" s="87"/>
      <c r="HLO21" s="87"/>
      <c r="HLP21" s="87"/>
      <c r="HLQ21" s="87"/>
      <c r="HLR21" s="87"/>
      <c r="HLS21" s="87"/>
      <c r="HLT21" s="87"/>
      <c r="HLU21" s="87"/>
      <c r="HLV21" s="87"/>
      <c r="HLW21" s="87"/>
      <c r="HLX21" s="87"/>
      <c r="HLY21" s="87"/>
      <c r="HLZ21" s="87"/>
      <c r="HMA21" s="87"/>
      <c r="HMB21" s="87"/>
      <c r="HMC21" s="87"/>
      <c r="HMD21" s="87"/>
      <c r="HME21" s="87"/>
      <c r="HMF21" s="87"/>
      <c r="HMG21" s="87"/>
      <c r="HMH21" s="87"/>
      <c r="HMI21" s="87"/>
      <c r="HMJ21" s="87"/>
      <c r="HMK21" s="87"/>
      <c r="HML21" s="87"/>
      <c r="HMM21" s="87"/>
      <c r="HMN21" s="87"/>
      <c r="HMO21" s="87"/>
      <c r="HMP21" s="87"/>
      <c r="HMQ21" s="87"/>
      <c r="HMR21" s="87"/>
      <c r="HMS21" s="87"/>
      <c r="HMT21" s="87"/>
      <c r="HMU21" s="87"/>
      <c r="HMV21" s="87"/>
      <c r="HMW21" s="87"/>
      <c r="HMX21" s="87"/>
      <c r="HMY21" s="87"/>
      <c r="HMZ21" s="87"/>
      <c r="HNA21" s="87"/>
      <c r="HNB21" s="87"/>
      <c r="HNC21" s="87"/>
      <c r="HND21" s="87"/>
      <c r="HNE21" s="87"/>
      <c r="HNF21" s="87"/>
      <c r="HNG21" s="87"/>
      <c r="HNH21" s="87"/>
      <c r="HNI21" s="87"/>
      <c r="HNJ21" s="87"/>
      <c r="HNK21" s="87"/>
      <c r="HNL21" s="87"/>
      <c r="HNM21" s="87"/>
      <c r="HNN21" s="87"/>
      <c r="HNO21" s="87"/>
      <c r="HNP21" s="87"/>
      <c r="HNQ21" s="87"/>
      <c r="HNR21" s="87"/>
      <c r="HNS21" s="87"/>
      <c r="HNT21" s="87"/>
      <c r="HNU21" s="87"/>
      <c r="HNV21" s="87"/>
      <c r="HNW21" s="87"/>
      <c r="HNX21" s="87"/>
      <c r="HNY21" s="87"/>
      <c r="HNZ21" s="87"/>
      <c r="HOA21" s="87"/>
      <c r="HOB21" s="87"/>
      <c r="HOC21" s="87"/>
      <c r="HOD21" s="87"/>
      <c r="HOE21" s="87"/>
      <c r="HOF21" s="87"/>
      <c r="HOG21" s="87"/>
      <c r="HOH21" s="87"/>
      <c r="HOI21" s="87"/>
      <c r="HOJ21" s="87"/>
      <c r="HOK21" s="87"/>
      <c r="HOL21" s="87"/>
      <c r="HOM21" s="87"/>
      <c r="HON21" s="87"/>
      <c r="HOO21" s="87"/>
      <c r="HOP21" s="87"/>
      <c r="HOQ21" s="87"/>
      <c r="HOR21" s="87"/>
      <c r="HOS21" s="87"/>
      <c r="HOT21" s="87"/>
      <c r="HOU21" s="87"/>
      <c r="HOV21" s="87"/>
      <c r="HOW21" s="87"/>
      <c r="HOX21" s="87"/>
      <c r="HOY21" s="87"/>
      <c r="HOZ21" s="87"/>
      <c r="HPA21" s="87"/>
      <c r="HPB21" s="87"/>
      <c r="HPC21" s="87"/>
      <c r="HPD21" s="87"/>
      <c r="HPE21" s="87"/>
      <c r="HPF21" s="87"/>
      <c r="HPG21" s="87"/>
      <c r="HPH21" s="87"/>
      <c r="HPI21" s="87"/>
      <c r="HPJ21" s="87"/>
      <c r="HPK21" s="87"/>
      <c r="HPL21" s="87"/>
      <c r="HPM21" s="87"/>
      <c r="HPN21" s="87"/>
      <c r="HPO21" s="87"/>
      <c r="HPP21" s="87"/>
      <c r="HPQ21" s="87"/>
      <c r="HPR21" s="87"/>
      <c r="HPS21" s="87"/>
      <c r="HPT21" s="87"/>
      <c r="HPU21" s="87"/>
      <c r="HPV21" s="87"/>
      <c r="HPW21" s="87"/>
      <c r="HPX21" s="87"/>
      <c r="HPY21" s="87"/>
      <c r="HPZ21" s="87"/>
      <c r="HQA21" s="87"/>
      <c r="HQB21" s="87"/>
      <c r="HQC21" s="87"/>
      <c r="HQD21" s="87"/>
      <c r="HQE21" s="87"/>
      <c r="HQF21" s="87"/>
      <c r="HQG21" s="87"/>
      <c r="HQH21" s="87"/>
      <c r="HQI21" s="87"/>
      <c r="HQJ21" s="87"/>
      <c r="HQK21" s="87"/>
      <c r="HQL21" s="87"/>
      <c r="HQM21" s="87"/>
      <c r="HQN21" s="87"/>
      <c r="HQO21" s="87"/>
      <c r="HQP21" s="87"/>
      <c r="HQQ21" s="87"/>
      <c r="HQR21" s="87"/>
      <c r="HQS21" s="87"/>
      <c r="HQT21" s="87"/>
      <c r="HQU21" s="87"/>
      <c r="HQV21" s="87"/>
      <c r="HQW21" s="87"/>
      <c r="HQX21" s="87"/>
      <c r="HQY21" s="87"/>
      <c r="HQZ21" s="87"/>
      <c r="HRA21" s="87"/>
      <c r="HRB21" s="87"/>
      <c r="HRC21" s="87"/>
      <c r="HRD21" s="87"/>
      <c r="HRE21" s="87"/>
      <c r="HRF21" s="87"/>
      <c r="HRG21" s="87"/>
      <c r="HRH21" s="87"/>
      <c r="HRI21" s="87"/>
      <c r="HRJ21" s="87"/>
      <c r="HRK21" s="87"/>
      <c r="HRL21" s="87"/>
      <c r="HRM21" s="87"/>
      <c r="HRN21" s="87"/>
      <c r="HRO21" s="87"/>
      <c r="HRP21" s="87"/>
      <c r="HRQ21" s="87"/>
      <c r="HRR21" s="87"/>
      <c r="HRS21" s="87"/>
      <c r="HRT21" s="87"/>
      <c r="HRU21" s="87"/>
      <c r="HRV21" s="87"/>
      <c r="HRW21" s="87"/>
      <c r="HRX21" s="87"/>
      <c r="HRY21" s="87"/>
      <c r="HRZ21" s="87"/>
      <c r="HSA21" s="87"/>
      <c r="HSB21" s="87"/>
      <c r="HSC21" s="87"/>
      <c r="HSD21" s="87"/>
      <c r="HSE21" s="87"/>
      <c r="HSF21" s="87"/>
      <c r="HSG21" s="87"/>
      <c r="HSH21" s="87"/>
      <c r="HSI21" s="87"/>
      <c r="HSJ21" s="87"/>
      <c r="HSK21" s="87"/>
      <c r="HSL21" s="87"/>
      <c r="HSM21" s="87"/>
      <c r="HSN21" s="87"/>
      <c r="HSO21" s="87"/>
      <c r="HSP21" s="87"/>
      <c r="HSQ21" s="87"/>
      <c r="HSR21" s="87"/>
      <c r="HSS21" s="87"/>
      <c r="HST21" s="87"/>
      <c r="HSU21" s="87"/>
      <c r="HSV21" s="87"/>
      <c r="HSW21" s="87"/>
      <c r="HSX21" s="87"/>
      <c r="HSY21" s="87"/>
      <c r="HSZ21" s="87"/>
      <c r="HTA21" s="87"/>
      <c r="HTB21" s="87"/>
      <c r="HTC21" s="87"/>
      <c r="HTD21" s="87"/>
      <c r="HTE21" s="87"/>
      <c r="HTF21" s="87"/>
      <c r="HTG21" s="87"/>
      <c r="HTH21" s="87"/>
      <c r="HTI21" s="87"/>
      <c r="HTJ21" s="87"/>
      <c r="HTK21" s="87"/>
      <c r="HTL21" s="87"/>
      <c r="HTM21" s="87"/>
      <c r="HTN21" s="87"/>
      <c r="HTO21" s="87"/>
      <c r="HTP21" s="87"/>
      <c r="HTQ21" s="87"/>
      <c r="HTR21" s="87"/>
      <c r="HTS21" s="87"/>
      <c r="HTT21" s="87"/>
      <c r="HTU21" s="87"/>
      <c r="HTV21" s="87"/>
      <c r="HTW21" s="87"/>
      <c r="HTX21" s="87"/>
      <c r="HTY21" s="87"/>
      <c r="HTZ21" s="87"/>
      <c r="HUA21" s="87"/>
      <c r="HUB21" s="87"/>
      <c r="HUC21" s="87"/>
      <c r="HUD21" s="87"/>
      <c r="HUE21" s="87"/>
      <c r="HUF21" s="87"/>
      <c r="HUG21" s="87"/>
      <c r="HUH21" s="87"/>
      <c r="HUI21" s="87"/>
      <c r="HUJ21" s="87"/>
      <c r="HUK21" s="87"/>
      <c r="HUL21" s="87"/>
      <c r="HUM21" s="87"/>
      <c r="HUN21" s="87"/>
      <c r="HUO21" s="87"/>
      <c r="HUP21" s="87"/>
      <c r="HUQ21" s="87"/>
      <c r="HUR21" s="87"/>
      <c r="HUS21" s="87"/>
      <c r="HUT21" s="87"/>
      <c r="HUU21" s="87"/>
      <c r="HUV21" s="87"/>
      <c r="HUW21" s="87"/>
      <c r="HUX21" s="87"/>
      <c r="HUY21" s="87"/>
      <c r="HUZ21" s="87"/>
      <c r="HVA21" s="87"/>
      <c r="HVB21" s="87"/>
      <c r="HVC21" s="87"/>
      <c r="HVD21" s="87"/>
      <c r="HVE21" s="87"/>
      <c r="HVF21" s="87"/>
      <c r="HVG21" s="87"/>
      <c r="HVH21" s="87"/>
      <c r="HVI21" s="87"/>
      <c r="HVJ21" s="87"/>
      <c r="HVK21" s="87"/>
      <c r="HVL21" s="87"/>
      <c r="HVM21" s="87"/>
      <c r="HVN21" s="87"/>
      <c r="HVO21" s="87"/>
      <c r="HVP21" s="87"/>
      <c r="HVQ21" s="87"/>
      <c r="HVR21" s="87"/>
      <c r="HVS21" s="87"/>
      <c r="HVT21" s="87"/>
      <c r="HVU21" s="87"/>
      <c r="HVV21" s="87"/>
      <c r="HVW21" s="87"/>
      <c r="HVX21" s="87"/>
      <c r="HVY21" s="87"/>
      <c r="HVZ21" s="87"/>
      <c r="HWA21" s="87"/>
      <c r="HWB21" s="87"/>
      <c r="HWC21" s="87"/>
      <c r="HWD21" s="87"/>
      <c r="HWE21" s="87"/>
      <c r="HWF21" s="87"/>
      <c r="HWG21" s="87"/>
      <c r="HWH21" s="87"/>
      <c r="HWI21" s="87"/>
      <c r="HWJ21" s="87"/>
      <c r="HWK21" s="87"/>
      <c r="HWL21" s="87"/>
      <c r="HWM21" s="87"/>
      <c r="HWN21" s="87"/>
      <c r="HWO21" s="87"/>
      <c r="HWP21" s="87"/>
      <c r="HWQ21" s="87"/>
      <c r="HWR21" s="87"/>
      <c r="HWS21" s="87"/>
      <c r="HWT21" s="87"/>
      <c r="HWU21" s="87"/>
      <c r="HWV21" s="87"/>
      <c r="HWW21" s="87"/>
      <c r="HWX21" s="87"/>
      <c r="HWY21" s="87"/>
      <c r="HWZ21" s="87"/>
      <c r="HXA21" s="87"/>
      <c r="HXB21" s="87"/>
      <c r="HXC21" s="87"/>
      <c r="HXD21" s="87"/>
      <c r="HXE21" s="87"/>
      <c r="HXF21" s="87"/>
      <c r="HXG21" s="87"/>
      <c r="HXH21" s="87"/>
      <c r="HXI21" s="87"/>
      <c r="HXJ21" s="87"/>
      <c r="HXK21" s="87"/>
      <c r="HXL21" s="87"/>
      <c r="HXM21" s="87"/>
      <c r="HXN21" s="87"/>
      <c r="HXO21" s="87"/>
      <c r="HXP21" s="87"/>
      <c r="HXQ21" s="87"/>
      <c r="HXR21" s="87"/>
      <c r="HXS21" s="87"/>
      <c r="HXT21" s="87"/>
      <c r="HXU21" s="87"/>
      <c r="HXV21" s="87"/>
      <c r="HXW21" s="87"/>
      <c r="HXX21" s="87"/>
      <c r="HXY21" s="87"/>
      <c r="HXZ21" s="87"/>
      <c r="HYA21" s="87"/>
      <c r="HYB21" s="87"/>
      <c r="HYC21" s="87"/>
      <c r="HYD21" s="87"/>
      <c r="HYE21" s="87"/>
      <c r="HYF21" s="87"/>
      <c r="HYG21" s="87"/>
      <c r="HYH21" s="87"/>
      <c r="HYI21" s="87"/>
      <c r="HYJ21" s="87"/>
      <c r="HYK21" s="87"/>
      <c r="HYL21" s="87"/>
      <c r="HYM21" s="87"/>
      <c r="HYN21" s="87"/>
      <c r="HYO21" s="87"/>
      <c r="HYP21" s="87"/>
      <c r="HYQ21" s="87"/>
      <c r="HYR21" s="87"/>
      <c r="HYS21" s="87"/>
      <c r="HYT21" s="87"/>
      <c r="HYU21" s="87"/>
      <c r="HYV21" s="87"/>
      <c r="HYW21" s="87"/>
      <c r="HYX21" s="87"/>
      <c r="HYY21" s="87"/>
      <c r="HYZ21" s="87"/>
      <c r="HZA21" s="87"/>
      <c r="HZB21" s="87"/>
      <c r="HZC21" s="87"/>
      <c r="HZD21" s="87"/>
      <c r="HZE21" s="87"/>
      <c r="HZF21" s="87"/>
      <c r="HZG21" s="87"/>
      <c r="HZH21" s="87"/>
      <c r="HZI21" s="87"/>
      <c r="HZJ21" s="87"/>
      <c r="HZK21" s="87"/>
      <c r="HZL21" s="87"/>
      <c r="HZM21" s="87"/>
      <c r="HZN21" s="87"/>
      <c r="HZO21" s="87"/>
      <c r="HZP21" s="87"/>
      <c r="HZQ21" s="87"/>
      <c r="HZR21" s="87"/>
      <c r="HZS21" s="87"/>
      <c r="HZT21" s="87"/>
      <c r="HZU21" s="87"/>
      <c r="HZV21" s="87"/>
      <c r="HZW21" s="87"/>
      <c r="HZX21" s="87"/>
      <c r="HZY21" s="87"/>
      <c r="HZZ21" s="87"/>
      <c r="IAA21" s="87"/>
      <c r="IAB21" s="87"/>
      <c r="IAC21" s="87"/>
      <c r="IAD21" s="87"/>
      <c r="IAE21" s="87"/>
      <c r="IAF21" s="87"/>
      <c r="IAG21" s="87"/>
      <c r="IAH21" s="87"/>
      <c r="IAI21" s="87"/>
      <c r="IAJ21" s="87"/>
      <c r="IAK21" s="87"/>
      <c r="IAL21" s="87"/>
      <c r="IAM21" s="87"/>
      <c r="IAN21" s="87"/>
      <c r="IAO21" s="87"/>
      <c r="IAP21" s="87"/>
      <c r="IAQ21" s="87"/>
      <c r="IAR21" s="87"/>
      <c r="IAS21" s="87"/>
      <c r="IAT21" s="87"/>
      <c r="IAU21" s="87"/>
      <c r="IAV21" s="87"/>
      <c r="IAW21" s="87"/>
      <c r="IAX21" s="87"/>
      <c r="IAY21" s="87"/>
      <c r="IAZ21" s="87"/>
      <c r="IBA21" s="87"/>
      <c r="IBB21" s="87"/>
      <c r="IBC21" s="87"/>
      <c r="IBD21" s="87"/>
      <c r="IBE21" s="87"/>
      <c r="IBF21" s="87"/>
      <c r="IBG21" s="87"/>
      <c r="IBH21" s="87"/>
      <c r="IBI21" s="87"/>
      <c r="IBJ21" s="87"/>
      <c r="IBK21" s="87"/>
      <c r="IBL21" s="87"/>
      <c r="IBM21" s="87"/>
      <c r="IBN21" s="87"/>
      <c r="IBO21" s="87"/>
      <c r="IBP21" s="87"/>
      <c r="IBQ21" s="87"/>
      <c r="IBR21" s="87"/>
      <c r="IBS21" s="87"/>
      <c r="IBT21" s="87"/>
      <c r="IBU21" s="87"/>
      <c r="IBV21" s="87"/>
      <c r="IBW21" s="87"/>
      <c r="IBX21" s="87"/>
      <c r="IBY21" s="87"/>
      <c r="IBZ21" s="87"/>
      <c r="ICA21" s="87"/>
      <c r="ICB21" s="87"/>
      <c r="ICC21" s="87"/>
      <c r="ICD21" s="87"/>
      <c r="ICE21" s="87"/>
      <c r="ICF21" s="87"/>
      <c r="ICG21" s="87"/>
      <c r="ICH21" s="87"/>
      <c r="ICI21" s="87"/>
      <c r="ICJ21" s="87"/>
      <c r="ICK21" s="87"/>
      <c r="ICL21" s="87"/>
      <c r="ICM21" s="87"/>
      <c r="ICN21" s="87"/>
      <c r="ICO21" s="87"/>
      <c r="ICP21" s="87"/>
      <c r="ICQ21" s="87"/>
      <c r="ICR21" s="87"/>
      <c r="ICS21" s="87"/>
      <c r="ICT21" s="87"/>
      <c r="ICU21" s="87"/>
      <c r="ICV21" s="87"/>
      <c r="ICW21" s="87"/>
      <c r="ICX21" s="87"/>
      <c r="ICY21" s="87"/>
      <c r="ICZ21" s="87"/>
      <c r="IDA21" s="87"/>
      <c r="IDB21" s="87"/>
      <c r="IDC21" s="87"/>
      <c r="IDD21" s="87"/>
      <c r="IDE21" s="87"/>
      <c r="IDF21" s="87"/>
      <c r="IDG21" s="87"/>
      <c r="IDH21" s="87"/>
      <c r="IDI21" s="87"/>
      <c r="IDJ21" s="87"/>
      <c r="IDK21" s="87"/>
      <c r="IDL21" s="87"/>
      <c r="IDM21" s="87"/>
      <c r="IDN21" s="87"/>
      <c r="IDO21" s="87"/>
      <c r="IDP21" s="87"/>
      <c r="IDQ21" s="87"/>
      <c r="IDR21" s="87"/>
      <c r="IDS21" s="87"/>
      <c r="IDT21" s="87"/>
      <c r="IDU21" s="87"/>
      <c r="IDV21" s="87"/>
      <c r="IDW21" s="87"/>
      <c r="IDX21" s="87"/>
      <c r="IDY21" s="87"/>
      <c r="IDZ21" s="87"/>
      <c r="IEA21" s="87"/>
      <c r="IEB21" s="87"/>
      <c r="IEC21" s="87"/>
      <c r="IED21" s="87"/>
      <c r="IEE21" s="87"/>
      <c r="IEF21" s="87"/>
      <c r="IEG21" s="87"/>
      <c r="IEH21" s="87"/>
      <c r="IEI21" s="87"/>
      <c r="IEJ21" s="87"/>
      <c r="IEK21" s="87"/>
      <c r="IEL21" s="87"/>
      <c r="IEM21" s="87"/>
      <c r="IEN21" s="87"/>
      <c r="IEO21" s="87"/>
      <c r="IEP21" s="87"/>
      <c r="IEQ21" s="87"/>
      <c r="IER21" s="87"/>
      <c r="IES21" s="87"/>
      <c r="IET21" s="87"/>
      <c r="IEU21" s="87"/>
      <c r="IEV21" s="87"/>
      <c r="IEW21" s="87"/>
      <c r="IEX21" s="87"/>
      <c r="IEY21" s="87"/>
      <c r="IEZ21" s="87"/>
      <c r="IFA21" s="87"/>
      <c r="IFB21" s="87"/>
      <c r="IFC21" s="87"/>
      <c r="IFD21" s="87"/>
      <c r="IFE21" s="87"/>
      <c r="IFF21" s="87"/>
      <c r="IFG21" s="87"/>
      <c r="IFH21" s="87"/>
      <c r="IFI21" s="87"/>
      <c r="IFJ21" s="87"/>
      <c r="IFK21" s="87"/>
      <c r="IFL21" s="87"/>
      <c r="IFM21" s="87"/>
      <c r="IFN21" s="87"/>
      <c r="IFO21" s="87"/>
      <c r="IFP21" s="87"/>
      <c r="IFQ21" s="87"/>
      <c r="IFR21" s="87"/>
      <c r="IFS21" s="87"/>
      <c r="IFT21" s="87"/>
      <c r="IFU21" s="87"/>
      <c r="IFV21" s="87"/>
      <c r="IFW21" s="87"/>
      <c r="IFX21" s="87"/>
      <c r="IFY21" s="87"/>
      <c r="IFZ21" s="87"/>
      <c r="IGA21" s="87"/>
      <c r="IGB21" s="87"/>
      <c r="IGC21" s="87"/>
      <c r="IGD21" s="87"/>
      <c r="IGE21" s="87"/>
      <c r="IGF21" s="87"/>
      <c r="IGG21" s="87"/>
      <c r="IGH21" s="87"/>
      <c r="IGI21" s="87"/>
      <c r="IGJ21" s="87"/>
      <c r="IGK21" s="87"/>
      <c r="IGL21" s="87"/>
      <c r="IGM21" s="87"/>
      <c r="IGN21" s="87"/>
      <c r="IGO21" s="87"/>
      <c r="IGP21" s="87"/>
      <c r="IGQ21" s="87"/>
      <c r="IGR21" s="87"/>
      <c r="IGS21" s="87"/>
      <c r="IGT21" s="87"/>
      <c r="IGU21" s="87"/>
      <c r="IGV21" s="87"/>
      <c r="IGW21" s="87"/>
      <c r="IGX21" s="87"/>
      <c r="IGY21" s="87"/>
      <c r="IGZ21" s="87"/>
      <c r="IHA21" s="87"/>
      <c r="IHB21" s="87"/>
      <c r="IHC21" s="87"/>
      <c r="IHD21" s="87"/>
      <c r="IHE21" s="87"/>
      <c r="IHF21" s="87"/>
      <c r="IHG21" s="87"/>
      <c r="IHH21" s="87"/>
      <c r="IHI21" s="87"/>
      <c r="IHJ21" s="87"/>
      <c r="IHK21" s="87"/>
      <c r="IHL21" s="87"/>
      <c r="IHM21" s="87"/>
      <c r="IHN21" s="87"/>
      <c r="IHO21" s="87"/>
      <c r="IHP21" s="87"/>
      <c r="IHQ21" s="87"/>
      <c r="IHR21" s="87"/>
      <c r="IHS21" s="87"/>
      <c r="IHT21" s="87"/>
      <c r="IHU21" s="87"/>
      <c r="IHV21" s="87"/>
      <c r="IHW21" s="87"/>
      <c r="IHX21" s="87"/>
      <c r="IHY21" s="87"/>
      <c r="IHZ21" s="87"/>
      <c r="IIA21" s="87"/>
      <c r="IIB21" s="87"/>
      <c r="IIC21" s="87"/>
      <c r="IID21" s="87"/>
      <c r="IIE21" s="87"/>
      <c r="IIF21" s="87"/>
      <c r="IIG21" s="87"/>
      <c r="IIH21" s="87"/>
      <c r="III21" s="87"/>
      <c r="IIJ21" s="87"/>
      <c r="IIK21" s="87"/>
      <c r="IIL21" s="87"/>
      <c r="IIM21" s="87"/>
      <c r="IIN21" s="87"/>
      <c r="IIO21" s="87"/>
      <c r="IIP21" s="87"/>
      <c r="IIQ21" s="87"/>
      <c r="IIR21" s="87"/>
      <c r="IIS21" s="87"/>
      <c r="IIT21" s="87"/>
      <c r="IIU21" s="87"/>
      <c r="IIV21" s="87"/>
      <c r="IIW21" s="87"/>
      <c r="IIX21" s="87"/>
      <c r="IIY21" s="87"/>
      <c r="IIZ21" s="87"/>
      <c r="IJA21" s="87"/>
      <c r="IJB21" s="87"/>
      <c r="IJC21" s="87"/>
      <c r="IJD21" s="87"/>
      <c r="IJE21" s="87"/>
      <c r="IJF21" s="87"/>
      <c r="IJG21" s="87"/>
      <c r="IJH21" s="87"/>
      <c r="IJI21" s="87"/>
      <c r="IJJ21" s="87"/>
      <c r="IJK21" s="87"/>
      <c r="IJL21" s="87"/>
      <c r="IJM21" s="87"/>
      <c r="IJN21" s="87"/>
      <c r="IJO21" s="87"/>
      <c r="IJP21" s="87"/>
      <c r="IJQ21" s="87"/>
      <c r="IJR21" s="87"/>
      <c r="IJS21" s="87"/>
      <c r="IJT21" s="87"/>
      <c r="IJU21" s="87"/>
      <c r="IJV21" s="87"/>
      <c r="IJW21" s="87"/>
      <c r="IJX21" s="87"/>
      <c r="IJY21" s="87"/>
      <c r="IJZ21" s="87"/>
      <c r="IKA21" s="87"/>
      <c r="IKB21" s="87"/>
      <c r="IKC21" s="87"/>
      <c r="IKD21" s="87"/>
      <c r="IKE21" s="87"/>
      <c r="IKF21" s="87"/>
      <c r="IKG21" s="87"/>
      <c r="IKH21" s="87"/>
      <c r="IKI21" s="87"/>
      <c r="IKJ21" s="87"/>
      <c r="IKK21" s="87"/>
      <c r="IKL21" s="87"/>
      <c r="IKM21" s="87"/>
      <c r="IKN21" s="87"/>
      <c r="IKO21" s="87"/>
      <c r="IKP21" s="87"/>
      <c r="IKQ21" s="87"/>
      <c r="IKR21" s="87"/>
      <c r="IKS21" s="87"/>
      <c r="IKT21" s="87"/>
      <c r="IKU21" s="87"/>
      <c r="IKV21" s="87"/>
      <c r="IKW21" s="87"/>
      <c r="IKX21" s="87"/>
      <c r="IKY21" s="87"/>
      <c r="IKZ21" s="87"/>
      <c r="ILA21" s="87"/>
      <c r="ILB21" s="87"/>
      <c r="ILC21" s="87"/>
      <c r="ILD21" s="87"/>
      <c r="ILE21" s="87"/>
      <c r="ILF21" s="87"/>
      <c r="ILG21" s="87"/>
      <c r="ILH21" s="87"/>
      <c r="ILI21" s="87"/>
      <c r="ILJ21" s="87"/>
      <c r="ILK21" s="87"/>
      <c r="ILL21" s="87"/>
      <c r="ILM21" s="87"/>
      <c r="ILN21" s="87"/>
      <c r="ILO21" s="87"/>
      <c r="ILP21" s="87"/>
      <c r="ILQ21" s="87"/>
      <c r="ILR21" s="87"/>
      <c r="ILS21" s="87"/>
      <c r="ILT21" s="87"/>
      <c r="ILU21" s="87"/>
      <c r="ILV21" s="87"/>
      <c r="ILW21" s="87"/>
      <c r="ILX21" s="87"/>
      <c r="ILY21" s="87"/>
      <c r="ILZ21" s="87"/>
      <c r="IMA21" s="87"/>
      <c r="IMB21" s="87"/>
      <c r="IMC21" s="87"/>
      <c r="IMD21" s="87"/>
      <c r="IME21" s="87"/>
      <c r="IMF21" s="87"/>
      <c r="IMG21" s="87"/>
      <c r="IMH21" s="87"/>
      <c r="IMI21" s="87"/>
      <c r="IMJ21" s="87"/>
      <c r="IMK21" s="87"/>
      <c r="IML21" s="87"/>
      <c r="IMM21" s="87"/>
      <c r="IMN21" s="87"/>
      <c r="IMO21" s="87"/>
      <c r="IMP21" s="87"/>
      <c r="IMQ21" s="87"/>
      <c r="IMR21" s="87"/>
      <c r="IMS21" s="87"/>
      <c r="IMT21" s="87"/>
      <c r="IMU21" s="87"/>
      <c r="IMV21" s="87"/>
      <c r="IMW21" s="87"/>
      <c r="IMX21" s="87"/>
      <c r="IMY21" s="87"/>
      <c r="IMZ21" s="87"/>
      <c r="INA21" s="87"/>
      <c r="INB21" s="87"/>
      <c r="INC21" s="87"/>
      <c r="IND21" s="87"/>
      <c r="INE21" s="87"/>
      <c r="INF21" s="87"/>
      <c r="ING21" s="87"/>
      <c r="INH21" s="87"/>
      <c r="INI21" s="87"/>
      <c r="INJ21" s="87"/>
      <c r="INK21" s="87"/>
      <c r="INL21" s="87"/>
      <c r="INM21" s="87"/>
      <c r="INN21" s="87"/>
      <c r="INO21" s="87"/>
      <c r="INP21" s="87"/>
      <c r="INQ21" s="87"/>
      <c r="INR21" s="87"/>
      <c r="INS21" s="87"/>
      <c r="INT21" s="87"/>
      <c r="INU21" s="87"/>
      <c r="INV21" s="87"/>
      <c r="INW21" s="87"/>
      <c r="INX21" s="87"/>
      <c r="INY21" s="87"/>
      <c r="INZ21" s="87"/>
      <c r="IOA21" s="87"/>
      <c r="IOB21" s="87"/>
      <c r="IOC21" s="87"/>
      <c r="IOD21" s="87"/>
      <c r="IOE21" s="87"/>
      <c r="IOF21" s="87"/>
      <c r="IOG21" s="87"/>
      <c r="IOH21" s="87"/>
      <c r="IOI21" s="87"/>
      <c r="IOJ21" s="87"/>
      <c r="IOK21" s="87"/>
      <c r="IOL21" s="87"/>
      <c r="IOM21" s="87"/>
      <c r="ION21" s="87"/>
      <c r="IOO21" s="87"/>
      <c r="IOP21" s="87"/>
      <c r="IOQ21" s="87"/>
      <c r="IOR21" s="87"/>
      <c r="IOS21" s="87"/>
      <c r="IOT21" s="87"/>
      <c r="IOU21" s="87"/>
      <c r="IOV21" s="87"/>
      <c r="IOW21" s="87"/>
      <c r="IOX21" s="87"/>
      <c r="IOY21" s="87"/>
      <c r="IOZ21" s="87"/>
      <c r="IPA21" s="87"/>
      <c r="IPB21" s="87"/>
      <c r="IPC21" s="87"/>
      <c r="IPD21" s="87"/>
      <c r="IPE21" s="87"/>
      <c r="IPF21" s="87"/>
      <c r="IPG21" s="87"/>
      <c r="IPH21" s="87"/>
      <c r="IPI21" s="87"/>
      <c r="IPJ21" s="87"/>
      <c r="IPK21" s="87"/>
      <c r="IPL21" s="87"/>
      <c r="IPM21" s="87"/>
      <c r="IPN21" s="87"/>
      <c r="IPO21" s="87"/>
      <c r="IPP21" s="87"/>
      <c r="IPQ21" s="87"/>
      <c r="IPR21" s="87"/>
      <c r="IPS21" s="87"/>
      <c r="IPT21" s="87"/>
      <c r="IPU21" s="87"/>
      <c r="IPV21" s="87"/>
      <c r="IPW21" s="87"/>
      <c r="IPX21" s="87"/>
      <c r="IPY21" s="87"/>
      <c r="IPZ21" s="87"/>
      <c r="IQA21" s="87"/>
      <c r="IQB21" s="87"/>
      <c r="IQC21" s="87"/>
      <c r="IQD21" s="87"/>
      <c r="IQE21" s="87"/>
      <c r="IQF21" s="87"/>
      <c r="IQG21" s="87"/>
      <c r="IQH21" s="87"/>
      <c r="IQI21" s="87"/>
      <c r="IQJ21" s="87"/>
      <c r="IQK21" s="87"/>
      <c r="IQL21" s="87"/>
      <c r="IQM21" s="87"/>
      <c r="IQN21" s="87"/>
      <c r="IQO21" s="87"/>
      <c r="IQP21" s="87"/>
      <c r="IQQ21" s="87"/>
      <c r="IQR21" s="87"/>
      <c r="IQS21" s="87"/>
      <c r="IQT21" s="87"/>
      <c r="IQU21" s="87"/>
      <c r="IQV21" s="87"/>
      <c r="IQW21" s="87"/>
      <c r="IQX21" s="87"/>
      <c r="IQY21" s="87"/>
      <c r="IQZ21" s="87"/>
      <c r="IRA21" s="87"/>
      <c r="IRB21" s="87"/>
      <c r="IRC21" s="87"/>
      <c r="IRD21" s="87"/>
      <c r="IRE21" s="87"/>
      <c r="IRF21" s="87"/>
      <c r="IRG21" s="87"/>
      <c r="IRH21" s="87"/>
      <c r="IRI21" s="87"/>
      <c r="IRJ21" s="87"/>
      <c r="IRK21" s="87"/>
      <c r="IRL21" s="87"/>
      <c r="IRM21" s="87"/>
      <c r="IRN21" s="87"/>
      <c r="IRO21" s="87"/>
      <c r="IRP21" s="87"/>
      <c r="IRQ21" s="87"/>
      <c r="IRR21" s="87"/>
      <c r="IRS21" s="87"/>
      <c r="IRT21" s="87"/>
      <c r="IRU21" s="87"/>
      <c r="IRV21" s="87"/>
      <c r="IRW21" s="87"/>
      <c r="IRX21" s="87"/>
      <c r="IRY21" s="87"/>
      <c r="IRZ21" s="87"/>
      <c r="ISA21" s="87"/>
      <c r="ISB21" s="87"/>
      <c r="ISC21" s="87"/>
      <c r="ISD21" s="87"/>
      <c r="ISE21" s="87"/>
      <c r="ISF21" s="87"/>
      <c r="ISG21" s="87"/>
      <c r="ISH21" s="87"/>
      <c r="ISI21" s="87"/>
      <c r="ISJ21" s="87"/>
      <c r="ISK21" s="87"/>
      <c r="ISL21" s="87"/>
      <c r="ISM21" s="87"/>
      <c r="ISN21" s="87"/>
      <c r="ISO21" s="87"/>
      <c r="ISP21" s="87"/>
      <c r="ISQ21" s="87"/>
      <c r="ISR21" s="87"/>
      <c r="ISS21" s="87"/>
      <c r="IST21" s="87"/>
      <c r="ISU21" s="87"/>
      <c r="ISV21" s="87"/>
      <c r="ISW21" s="87"/>
      <c r="ISX21" s="87"/>
      <c r="ISY21" s="87"/>
      <c r="ISZ21" s="87"/>
      <c r="ITA21" s="87"/>
      <c r="ITB21" s="87"/>
      <c r="ITC21" s="87"/>
      <c r="ITD21" s="87"/>
      <c r="ITE21" s="87"/>
      <c r="ITF21" s="87"/>
      <c r="ITG21" s="87"/>
      <c r="ITH21" s="87"/>
      <c r="ITI21" s="87"/>
      <c r="ITJ21" s="87"/>
      <c r="ITK21" s="87"/>
      <c r="ITL21" s="87"/>
      <c r="ITM21" s="87"/>
      <c r="ITN21" s="87"/>
      <c r="ITO21" s="87"/>
      <c r="ITP21" s="87"/>
      <c r="ITQ21" s="87"/>
      <c r="ITR21" s="87"/>
      <c r="ITS21" s="87"/>
      <c r="ITT21" s="87"/>
      <c r="ITU21" s="87"/>
      <c r="ITV21" s="87"/>
      <c r="ITW21" s="87"/>
      <c r="ITX21" s="87"/>
      <c r="ITY21" s="87"/>
      <c r="ITZ21" s="87"/>
      <c r="IUA21" s="87"/>
      <c r="IUB21" s="87"/>
      <c r="IUC21" s="87"/>
      <c r="IUD21" s="87"/>
      <c r="IUE21" s="87"/>
      <c r="IUF21" s="87"/>
      <c r="IUG21" s="87"/>
      <c r="IUH21" s="87"/>
      <c r="IUI21" s="87"/>
      <c r="IUJ21" s="87"/>
      <c r="IUK21" s="87"/>
      <c r="IUL21" s="87"/>
      <c r="IUM21" s="87"/>
      <c r="IUN21" s="87"/>
      <c r="IUO21" s="87"/>
      <c r="IUP21" s="87"/>
      <c r="IUQ21" s="87"/>
      <c r="IUR21" s="87"/>
      <c r="IUS21" s="87"/>
      <c r="IUT21" s="87"/>
      <c r="IUU21" s="87"/>
      <c r="IUV21" s="87"/>
      <c r="IUW21" s="87"/>
      <c r="IUX21" s="87"/>
      <c r="IUY21" s="87"/>
      <c r="IUZ21" s="87"/>
      <c r="IVA21" s="87"/>
      <c r="IVB21" s="87"/>
      <c r="IVC21" s="87"/>
      <c r="IVD21" s="87"/>
      <c r="IVE21" s="87"/>
      <c r="IVF21" s="87"/>
      <c r="IVG21" s="87"/>
      <c r="IVH21" s="87"/>
      <c r="IVI21" s="87"/>
      <c r="IVJ21" s="87"/>
      <c r="IVK21" s="87"/>
      <c r="IVL21" s="87"/>
      <c r="IVM21" s="87"/>
      <c r="IVN21" s="87"/>
      <c r="IVO21" s="87"/>
      <c r="IVP21" s="87"/>
      <c r="IVQ21" s="87"/>
      <c r="IVR21" s="87"/>
      <c r="IVS21" s="87"/>
      <c r="IVT21" s="87"/>
      <c r="IVU21" s="87"/>
      <c r="IVV21" s="87"/>
      <c r="IVW21" s="87"/>
      <c r="IVX21" s="87"/>
      <c r="IVY21" s="87"/>
      <c r="IVZ21" s="87"/>
      <c r="IWA21" s="87"/>
      <c r="IWB21" s="87"/>
      <c r="IWC21" s="87"/>
      <c r="IWD21" s="87"/>
      <c r="IWE21" s="87"/>
      <c r="IWF21" s="87"/>
      <c r="IWG21" s="87"/>
      <c r="IWH21" s="87"/>
      <c r="IWI21" s="87"/>
      <c r="IWJ21" s="87"/>
      <c r="IWK21" s="87"/>
      <c r="IWL21" s="87"/>
      <c r="IWM21" s="87"/>
      <c r="IWN21" s="87"/>
      <c r="IWO21" s="87"/>
      <c r="IWP21" s="87"/>
      <c r="IWQ21" s="87"/>
      <c r="IWR21" s="87"/>
      <c r="IWS21" s="87"/>
      <c r="IWT21" s="87"/>
      <c r="IWU21" s="87"/>
      <c r="IWV21" s="87"/>
      <c r="IWW21" s="87"/>
      <c r="IWX21" s="87"/>
      <c r="IWY21" s="87"/>
      <c r="IWZ21" s="87"/>
      <c r="IXA21" s="87"/>
      <c r="IXB21" s="87"/>
      <c r="IXC21" s="87"/>
      <c r="IXD21" s="87"/>
      <c r="IXE21" s="87"/>
      <c r="IXF21" s="87"/>
      <c r="IXG21" s="87"/>
      <c r="IXH21" s="87"/>
      <c r="IXI21" s="87"/>
      <c r="IXJ21" s="87"/>
      <c r="IXK21" s="87"/>
      <c r="IXL21" s="87"/>
      <c r="IXM21" s="87"/>
      <c r="IXN21" s="87"/>
      <c r="IXO21" s="87"/>
      <c r="IXP21" s="87"/>
      <c r="IXQ21" s="87"/>
      <c r="IXR21" s="87"/>
      <c r="IXS21" s="87"/>
      <c r="IXT21" s="87"/>
      <c r="IXU21" s="87"/>
      <c r="IXV21" s="87"/>
      <c r="IXW21" s="87"/>
      <c r="IXX21" s="87"/>
      <c r="IXY21" s="87"/>
      <c r="IXZ21" s="87"/>
      <c r="IYA21" s="87"/>
      <c r="IYB21" s="87"/>
      <c r="IYC21" s="87"/>
      <c r="IYD21" s="87"/>
      <c r="IYE21" s="87"/>
      <c r="IYF21" s="87"/>
      <c r="IYG21" s="87"/>
      <c r="IYH21" s="87"/>
      <c r="IYI21" s="87"/>
      <c r="IYJ21" s="87"/>
      <c r="IYK21" s="87"/>
      <c r="IYL21" s="87"/>
      <c r="IYM21" s="87"/>
      <c r="IYN21" s="87"/>
      <c r="IYO21" s="87"/>
      <c r="IYP21" s="87"/>
      <c r="IYQ21" s="87"/>
      <c r="IYR21" s="87"/>
      <c r="IYS21" s="87"/>
      <c r="IYT21" s="87"/>
      <c r="IYU21" s="87"/>
      <c r="IYV21" s="87"/>
      <c r="IYW21" s="87"/>
      <c r="IYX21" s="87"/>
      <c r="IYY21" s="87"/>
      <c r="IYZ21" s="87"/>
      <c r="IZA21" s="87"/>
      <c r="IZB21" s="87"/>
      <c r="IZC21" s="87"/>
      <c r="IZD21" s="87"/>
      <c r="IZE21" s="87"/>
      <c r="IZF21" s="87"/>
      <c r="IZG21" s="87"/>
      <c r="IZH21" s="87"/>
      <c r="IZI21" s="87"/>
      <c r="IZJ21" s="87"/>
      <c r="IZK21" s="87"/>
      <c r="IZL21" s="87"/>
      <c r="IZM21" s="87"/>
      <c r="IZN21" s="87"/>
      <c r="IZO21" s="87"/>
      <c r="IZP21" s="87"/>
      <c r="IZQ21" s="87"/>
      <c r="IZR21" s="87"/>
      <c r="IZS21" s="87"/>
      <c r="IZT21" s="87"/>
      <c r="IZU21" s="87"/>
      <c r="IZV21" s="87"/>
      <c r="IZW21" s="87"/>
      <c r="IZX21" s="87"/>
      <c r="IZY21" s="87"/>
      <c r="IZZ21" s="87"/>
      <c r="JAA21" s="87"/>
      <c r="JAB21" s="87"/>
      <c r="JAC21" s="87"/>
      <c r="JAD21" s="87"/>
      <c r="JAE21" s="87"/>
      <c r="JAF21" s="87"/>
      <c r="JAG21" s="87"/>
      <c r="JAH21" s="87"/>
      <c r="JAI21" s="87"/>
      <c r="JAJ21" s="87"/>
      <c r="JAK21" s="87"/>
      <c r="JAL21" s="87"/>
      <c r="JAM21" s="87"/>
      <c r="JAN21" s="87"/>
      <c r="JAO21" s="87"/>
      <c r="JAP21" s="87"/>
      <c r="JAQ21" s="87"/>
      <c r="JAR21" s="87"/>
      <c r="JAS21" s="87"/>
      <c r="JAT21" s="87"/>
      <c r="JAU21" s="87"/>
      <c r="JAV21" s="87"/>
      <c r="JAW21" s="87"/>
      <c r="JAX21" s="87"/>
      <c r="JAY21" s="87"/>
      <c r="JAZ21" s="87"/>
      <c r="JBA21" s="87"/>
      <c r="JBB21" s="87"/>
      <c r="JBC21" s="87"/>
      <c r="JBD21" s="87"/>
      <c r="JBE21" s="87"/>
      <c r="JBF21" s="87"/>
      <c r="JBG21" s="87"/>
      <c r="JBH21" s="87"/>
      <c r="JBI21" s="87"/>
      <c r="JBJ21" s="87"/>
      <c r="JBK21" s="87"/>
      <c r="JBL21" s="87"/>
      <c r="JBM21" s="87"/>
      <c r="JBN21" s="87"/>
      <c r="JBO21" s="87"/>
      <c r="JBP21" s="87"/>
      <c r="JBQ21" s="87"/>
      <c r="JBR21" s="87"/>
      <c r="JBS21" s="87"/>
      <c r="JBT21" s="87"/>
      <c r="JBU21" s="87"/>
      <c r="JBV21" s="87"/>
      <c r="JBW21" s="87"/>
      <c r="JBX21" s="87"/>
      <c r="JBY21" s="87"/>
      <c r="JBZ21" s="87"/>
      <c r="JCA21" s="87"/>
      <c r="JCB21" s="87"/>
      <c r="JCC21" s="87"/>
      <c r="JCD21" s="87"/>
      <c r="JCE21" s="87"/>
      <c r="JCF21" s="87"/>
      <c r="JCG21" s="87"/>
      <c r="JCH21" s="87"/>
      <c r="JCI21" s="87"/>
      <c r="JCJ21" s="87"/>
      <c r="JCK21" s="87"/>
      <c r="JCL21" s="87"/>
      <c r="JCM21" s="87"/>
      <c r="JCN21" s="87"/>
      <c r="JCO21" s="87"/>
      <c r="JCP21" s="87"/>
      <c r="JCQ21" s="87"/>
      <c r="JCR21" s="87"/>
      <c r="JCS21" s="87"/>
      <c r="JCT21" s="87"/>
      <c r="JCU21" s="87"/>
      <c r="JCV21" s="87"/>
      <c r="JCW21" s="87"/>
      <c r="JCX21" s="87"/>
      <c r="JCY21" s="87"/>
      <c r="JCZ21" s="87"/>
      <c r="JDA21" s="87"/>
      <c r="JDB21" s="87"/>
      <c r="JDC21" s="87"/>
      <c r="JDD21" s="87"/>
      <c r="JDE21" s="87"/>
      <c r="JDF21" s="87"/>
      <c r="JDG21" s="87"/>
      <c r="JDH21" s="87"/>
      <c r="JDI21" s="87"/>
      <c r="JDJ21" s="87"/>
      <c r="JDK21" s="87"/>
      <c r="JDL21" s="87"/>
      <c r="JDM21" s="87"/>
      <c r="JDN21" s="87"/>
      <c r="JDO21" s="87"/>
      <c r="JDP21" s="87"/>
      <c r="JDQ21" s="87"/>
      <c r="JDR21" s="87"/>
      <c r="JDS21" s="87"/>
      <c r="JDT21" s="87"/>
      <c r="JDU21" s="87"/>
      <c r="JDV21" s="87"/>
      <c r="JDW21" s="87"/>
      <c r="JDX21" s="87"/>
      <c r="JDY21" s="87"/>
      <c r="JDZ21" s="87"/>
      <c r="JEA21" s="87"/>
      <c r="JEB21" s="87"/>
      <c r="JEC21" s="87"/>
      <c r="JED21" s="87"/>
      <c r="JEE21" s="87"/>
      <c r="JEF21" s="87"/>
      <c r="JEG21" s="87"/>
      <c r="JEH21" s="87"/>
      <c r="JEI21" s="87"/>
      <c r="JEJ21" s="87"/>
      <c r="JEK21" s="87"/>
      <c r="JEL21" s="87"/>
      <c r="JEM21" s="87"/>
      <c r="JEN21" s="87"/>
      <c r="JEO21" s="87"/>
      <c r="JEP21" s="87"/>
      <c r="JEQ21" s="87"/>
      <c r="JER21" s="87"/>
      <c r="JES21" s="87"/>
      <c r="JET21" s="87"/>
      <c r="JEU21" s="87"/>
      <c r="JEV21" s="87"/>
      <c r="JEW21" s="87"/>
      <c r="JEX21" s="87"/>
      <c r="JEY21" s="87"/>
      <c r="JEZ21" s="87"/>
      <c r="JFA21" s="87"/>
      <c r="JFB21" s="87"/>
      <c r="JFC21" s="87"/>
      <c r="JFD21" s="87"/>
      <c r="JFE21" s="87"/>
      <c r="JFF21" s="87"/>
      <c r="JFG21" s="87"/>
      <c r="JFH21" s="87"/>
      <c r="JFI21" s="87"/>
      <c r="JFJ21" s="87"/>
      <c r="JFK21" s="87"/>
      <c r="JFL21" s="87"/>
      <c r="JFM21" s="87"/>
      <c r="JFN21" s="87"/>
      <c r="JFO21" s="87"/>
      <c r="JFP21" s="87"/>
      <c r="JFQ21" s="87"/>
      <c r="JFR21" s="87"/>
      <c r="JFS21" s="87"/>
      <c r="JFT21" s="87"/>
      <c r="JFU21" s="87"/>
      <c r="JFV21" s="87"/>
      <c r="JFW21" s="87"/>
      <c r="JFX21" s="87"/>
      <c r="JFY21" s="87"/>
      <c r="JFZ21" s="87"/>
      <c r="JGA21" s="87"/>
      <c r="JGB21" s="87"/>
      <c r="JGC21" s="87"/>
      <c r="JGD21" s="87"/>
      <c r="JGE21" s="87"/>
      <c r="JGF21" s="87"/>
      <c r="JGG21" s="87"/>
      <c r="JGH21" s="87"/>
      <c r="JGI21" s="87"/>
      <c r="JGJ21" s="87"/>
      <c r="JGK21" s="87"/>
      <c r="JGL21" s="87"/>
      <c r="JGM21" s="87"/>
      <c r="JGN21" s="87"/>
      <c r="JGO21" s="87"/>
      <c r="JGP21" s="87"/>
      <c r="JGQ21" s="87"/>
      <c r="JGR21" s="87"/>
      <c r="JGS21" s="87"/>
      <c r="JGT21" s="87"/>
      <c r="JGU21" s="87"/>
      <c r="JGV21" s="87"/>
      <c r="JGW21" s="87"/>
      <c r="JGX21" s="87"/>
      <c r="JGY21" s="87"/>
      <c r="JGZ21" s="87"/>
      <c r="JHA21" s="87"/>
      <c r="JHB21" s="87"/>
      <c r="JHC21" s="87"/>
      <c r="JHD21" s="87"/>
      <c r="JHE21" s="87"/>
      <c r="JHF21" s="87"/>
      <c r="JHG21" s="87"/>
      <c r="JHH21" s="87"/>
      <c r="JHI21" s="87"/>
      <c r="JHJ21" s="87"/>
      <c r="JHK21" s="87"/>
      <c r="JHL21" s="87"/>
      <c r="JHM21" s="87"/>
      <c r="JHN21" s="87"/>
      <c r="JHO21" s="87"/>
      <c r="JHP21" s="87"/>
      <c r="JHQ21" s="87"/>
      <c r="JHR21" s="87"/>
      <c r="JHS21" s="87"/>
      <c r="JHT21" s="87"/>
      <c r="JHU21" s="87"/>
      <c r="JHV21" s="87"/>
      <c r="JHW21" s="87"/>
      <c r="JHX21" s="87"/>
      <c r="JHY21" s="87"/>
      <c r="JHZ21" s="87"/>
      <c r="JIA21" s="87"/>
      <c r="JIB21" s="87"/>
      <c r="JIC21" s="87"/>
      <c r="JID21" s="87"/>
      <c r="JIE21" s="87"/>
      <c r="JIF21" s="87"/>
      <c r="JIG21" s="87"/>
      <c r="JIH21" s="87"/>
      <c r="JII21" s="87"/>
      <c r="JIJ21" s="87"/>
      <c r="JIK21" s="87"/>
      <c r="JIL21" s="87"/>
      <c r="JIM21" s="87"/>
      <c r="JIN21" s="87"/>
      <c r="JIO21" s="87"/>
      <c r="JIP21" s="87"/>
      <c r="JIQ21" s="87"/>
      <c r="JIR21" s="87"/>
      <c r="JIS21" s="87"/>
      <c r="JIT21" s="87"/>
      <c r="JIU21" s="87"/>
      <c r="JIV21" s="87"/>
      <c r="JIW21" s="87"/>
      <c r="JIX21" s="87"/>
      <c r="JIY21" s="87"/>
      <c r="JIZ21" s="87"/>
      <c r="JJA21" s="87"/>
      <c r="JJB21" s="87"/>
      <c r="JJC21" s="87"/>
      <c r="JJD21" s="87"/>
      <c r="JJE21" s="87"/>
      <c r="JJF21" s="87"/>
      <c r="JJG21" s="87"/>
      <c r="JJH21" s="87"/>
      <c r="JJI21" s="87"/>
      <c r="JJJ21" s="87"/>
      <c r="JJK21" s="87"/>
      <c r="JJL21" s="87"/>
      <c r="JJM21" s="87"/>
      <c r="JJN21" s="87"/>
      <c r="JJO21" s="87"/>
      <c r="JJP21" s="87"/>
      <c r="JJQ21" s="87"/>
      <c r="JJR21" s="87"/>
      <c r="JJS21" s="87"/>
      <c r="JJT21" s="87"/>
      <c r="JJU21" s="87"/>
      <c r="JJV21" s="87"/>
      <c r="JJW21" s="87"/>
      <c r="JJX21" s="87"/>
      <c r="JJY21" s="87"/>
      <c r="JJZ21" s="87"/>
      <c r="JKA21" s="87"/>
      <c r="JKB21" s="87"/>
      <c r="JKC21" s="87"/>
      <c r="JKD21" s="87"/>
      <c r="JKE21" s="87"/>
      <c r="JKF21" s="87"/>
      <c r="JKG21" s="87"/>
      <c r="JKH21" s="87"/>
      <c r="JKI21" s="87"/>
      <c r="JKJ21" s="87"/>
      <c r="JKK21" s="87"/>
      <c r="JKL21" s="87"/>
      <c r="JKM21" s="87"/>
      <c r="JKN21" s="87"/>
      <c r="JKO21" s="87"/>
      <c r="JKP21" s="87"/>
      <c r="JKQ21" s="87"/>
      <c r="JKR21" s="87"/>
      <c r="JKS21" s="87"/>
      <c r="JKT21" s="87"/>
      <c r="JKU21" s="87"/>
      <c r="JKV21" s="87"/>
      <c r="JKW21" s="87"/>
      <c r="JKX21" s="87"/>
      <c r="JKY21" s="87"/>
      <c r="JKZ21" s="87"/>
      <c r="JLA21" s="87"/>
      <c r="JLB21" s="87"/>
      <c r="JLC21" s="87"/>
      <c r="JLD21" s="87"/>
      <c r="JLE21" s="87"/>
      <c r="JLF21" s="87"/>
      <c r="JLG21" s="87"/>
      <c r="JLH21" s="87"/>
      <c r="JLI21" s="87"/>
      <c r="JLJ21" s="87"/>
      <c r="JLK21" s="87"/>
      <c r="JLL21" s="87"/>
      <c r="JLM21" s="87"/>
      <c r="JLN21" s="87"/>
      <c r="JLO21" s="87"/>
      <c r="JLP21" s="87"/>
      <c r="JLQ21" s="87"/>
      <c r="JLR21" s="87"/>
      <c r="JLS21" s="87"/>
      <c r="JLT21" s="87"/>
      <c r="JLU21" s="87"/>
      <c r="JLV21" s="87"/>
      <c r="JLW21" s="87"/>
      <c r="JLX21" s="87"/>
      <c r="JLY21" s="87"/>
      <c r="JLZ21" s="87"/>
      <c r="JMA21" s="87"/>
      <c r="JMB21" s="87"/>
      <c r="JMC21" s="87"/>
      <c r="JMD21" s="87"/>
      <c r="JME21" s="87"/>
      <c r="JMF21" s="87"/>
      <c r="JMG21" s="87"/>
      <c r="JMH21" s="87"/>
      <c r="JMI21" s="87"/>
      <c r="JMJ21" s="87"/>
      <c r="JMK21" s="87"/>
      <c r="JML21" s="87"/>
      <c r="JMM21" s="87"/>
      <c r="JMN21" s="87"/>
      <c r="JMO21" s="87"/>
      <c r="JMP21" s="87"/>
      <c r="JMQ21" s="87"/>
      <c r="JMR21" s="87"/>
      <c r="JMS21" s="87"/>
      <c r="JMT21" s="87"/>
      <c r="JMU21" s="87"/>
      <c r="JMV21" s="87"/>
      <c r="JMW21" s="87"/>
      <c r="JMX21" s="87"/>
      <c r="JMY21" s="87"/>
      <c r="JMZ21" s="87"/>
      <c r="JNA21" s="87"/>
      <c r="JNB21" s="87"/>
      <c r="JNC21" s="87"/>
      <c r="JND21" s="87"/>
      <c r="JNE21" s="87"/>
      <c r="JNF21" s="87"/>
      <c r="JNG21" s="87"/>
      <c r="JNH21" s="87"/>
      <c r="JNI21" s="87"/>
      <c r="JNJ21" s="87"/>
      <c r="JNK21" s="87"/>
      <c r="JNL21" s="87"/>
      <c r="JNM21" s="87"/>
      <c r="JNN21" s="87"/>
      <c r="JNO21" s="87"/>
      <c r="JNP21" s="87"/>
      <c r="JNQ21" s="87"/>
      <c r="JNR21" s="87"/>
      <c r="JNS21" s="87"/>
      <c r="JNT21" s="87"/>
      <c r="JNU21" s="87"/>
      <c r="JNV21" s="87"/>
      <c r="JNW21" s="87"/>
      <c r="JNX21" s="87"/>
      <c r="JNY21" s="87"/>
      <c r="JNZ21" s="87"/>
      <c r="JOA21" s="87"/>
      <c r="JOB21" s="87"/>
      <c r="JOC21" s="87"/>
      <c r="JOD21" s="87"/>
      <c r="JOE21" s="87"/>
      <c r="JOF21" s="87"/>
      <c r="JOG21" s="87"/>
      <c r="JOH21" s="87"/>
      <c r="JOI21" s="87"/>
      <c r="JOJ21" s="87"/>
      <c r="JOK21" s="87"/>
      <c r="JOL21" s="87"/>
      <c r="JOM21" s="87"/>
      <c r="JON21" s="87"/>
      <c r="JOO21" s="87"/>
      <c r="JOP21" s="87"/>
      <c r="JOQ21" s="87"/>
      <c r="JOR21" s="87"/>
      <c r="JOS21" s="87"/>
      <c r="JOT21" s="87"/>
      <c r="JOU21" s="87"/>
      <c r="JOV21" s="87"/>
      <c r="JOW21" s="87"/>
      <c r="JOX21" s="87"/>
      <c r="JOY21" s="87"/>
      <c r="JOZ21" s="87"/>
      <c r="JPA21" s="87"/>
      <c r="JPB21" s="87"/>
      <c r="JPC21" s="87"/>
      <c r="JPD21" s="87"/>
      <c r="JPE21" s="87"/>
      <c r="JPF21" s="87"/>
      <c r="JPG21" s="87"/>
      <c r="JPH21" s="87"/>
      <c r="JPI21" s="87"/>
      <c r="JPJ21" s="87"/>
      <c r="JPK21" s="87"/>
      <c r="JPL21" s="87"/>
      <c r="JPM21" s="87"/>
      <c r="JPN21" s="87"/>
      <c r="JPO21" s="87"/>
      <c r="JPP21" s="87"/>
      <c r="JPQ21" s="87"/>
      <c r="JPR21" s="87"/>
      <c r="JPS21" s="87"/>
      <c r="JPT21" s="87"/>
      <c r="JPU21" s="87"/>
      <c r="JPV21" s="87"/>
      <c r="JPW21" s="87"/>
      <c r="JPX21" s="87"/>
      <c r="JPY21" s="87"/>
      <c r="JPZ21" s="87"/>
      <c r="JQA21" s="87"/>
      <c r="JQB21" s="87"/>
      <c r="JQC21" s="87"/>
      <c r="JQD21" s="87"/>
      <c r="JQE21" s="87"/>
      <c r="JQF21" s="87"/>
      <c r="JQG21" s="87"/>
      <c r="JQH21" s="87"/>
      <c r="JQI21" s="87"/>
      <c r="JQJ21" s="87"/>
      <c r="JQK21" s="87"/>
      <c r="JQL21" s="87"/>
      <c r="JQM21" s="87"/>
      <c r="JQN21" s="87"/>
      <c r="JQO21" s="87"/>
      <c r="JQP21" s="87"/>
      <c r="JQQ21" s="87"/>
      <c r="JQR21" s="87"/>
      <c r="JQS21" s="87"/>
      <c r="JQT21" s="87"/>
      <c r="JQU21" s="87"/>
      <c r="JQV21" s="87"/>
      <c r="JQW21" s="87"/>
      <c r="JQX21" s="87"/>
      <c r="JQY21" s="87"/>
      <c r="JQZ21" s="87"/>
      <c r="JRA21" s="87"/>
      <c r="JRB21" s="87"/>
      <c r="JRC21" s="87"/>
      <c r="JRD21" s="87"/>
      <c r="JRE21" s="87"/>
      <c r="JRF21" s="87"/>
      <c r="JRG21" s="87"/>
      <c r="JRH21" s="87"/>
      <c r="JRI21" s="87"/>
      <c r="JRJ21" s="87"/>
      <c r="JRK21" s="87"/>
      <c r="JRL21" s="87"/>
      <c r="JRM21" s="87"/>
      <c r="JRN21" s="87"/>
      <c r="JRO21" s="87"/>
      <c r="JRP21" s="87"/>
      <c r="JRQ21" s="87"/>
      <c r="JRR21" s="87"/>
      <c r="JRS21" s="87"/>
      <c r="JRT21" s="87"/>
      <c r="JRU21" s="87"/>
      <c r="JRV21" s="87"/>
      <c r="JRW21" s="87"/>
      <c r="JRX21" s="87"/>
      <c r="JRY21" s="87"/>
      <c r="JRZ21" s="87"/>
      <c r="JSA21" s="87"/>
      <c r="JSB21" s="87"/>
      <c r="JSC21" s="87"/>
      <c r="JSD21" s="87"/>
      <c r="JSE21" s="87"/>
      <c r="JSF21" s="87"/>
      <c r="JSG21" s="87"/>
      <c r="JSH21" s="87"/>
      <c r="JSI21" s="87"/>
      <c r="JSJ21" s="87"/>
      <c r="JSK21" s="87"/>
      <c r="JSL21" s="87"/>
      <c r="JSM21" s="87"/>
      <c r="JSN21" s="87"/>
      <c r="JSO21" s="87"/>
      <c r="JSP21" s="87"/>
      <c r="JSQ21" s="87"/>
      <c r="JSR21" s="87"/>
      <c r="JSS21" s="87"/>
      <c r="JST21" s="87"/>
      <c r="JSU21" s="87"/>
      <c r="JSV21" s="87"/>
      <c r="JSW21" s="87"/>
      <c r="JSX21" s="87"/>
      <c r="JSY21" s="87"/>
      <c r="JSZ21" s="87"/>
      <c r="JTA21" s="87"/>
      <c r="JTB21" s="87"/>
      <c r="JTC21" s="87"/>
      <c r="JTD21" s="87"/>
      <c r="JTE21" s="87"/>
      <c r="JTF21" s="87"/>
      <c r="JTG21" s="87"/>
      <c r="JTH21" s="87"/>
      <c r="JTI21" s="87"/>
      <c r="JTJ21" s="87"/>
      <c r="JTK21" s="87"/>
      <c r="JTL21" s="87"/>
      <c r="JTM21" s="87"/>
      <c r="JTN21" s="87"/>
      <c r="JTO21" s="87"/>
      <c r="JTP21" s="87"/>
      <c r="JTQ21" s="87"/>
      <c r="JTR21" s="87"/>
      <c r="JTS21" s="87"/>
      <c r="JTT21" s="87"/>
      <c r="JTU21" s="87"/>
      <c r="JTV21" s="87"/>
      <c r="JTW21" s="87"/>
      <c r="JTX21" s="87"/>
      <c r="JTY21" s="87"/>
      <c r="JTZ21" s="87"/>
      <c r="JUA21" s="87"/>
      <c r="JUB21" s="87"/>
      <c r="JUC21" s="87"/>
      <c r="JUD21" s="87"/>
      <c r="JUE21" s="87"/>
      <c r="JUF21" s="87"/>
      <c r="JUG21" s="87"/>
      <c r="JUH21" s="87"/>
      <c r="JUI21" s="87"/>
      <c r="JUJ21" s="87"/>
      <c r="JUK21" s="87"/>
      <c r="JUL21" s="87"/>
      <c r="JUM21" s="87"/>
      <c r="JUN21" s="87"/>
      <c r="JUO21" s="87"/>
      <c r="JUP21" s="87"/>
      <c r="JUQ21" s="87"/>
      <c r="JUR21" s="87"/>
      <c r="JUS21" s="87"/>
      <c r="JUT21" s="87"/>
      <c r="JUU21" s="87"/>
      <c r="JUV21" s="87"/>
      <c r="JUW21" s="87"/>
      <c r="JUX21" s="87"/>
      <c r="JUY21" s="87"/>
      <c r="JUZ21" s="87"/>
      <c r="JVA21" s="87"/>
      <c r="JVB21" s="87"/>
      <c r="JVC21" s="87"/>
      <c r="JVD21" s="87"/>
      <c r="JVE21" s="87"/>
      <c r="JVF21" s="87"/>
      <c r="JVG21" s="87"/>
      <c r="JVH21" s="87"/>
      <c r="JVI21" s="87"/>
      <c r="JVJ21" s="87"/>
      <c r="JVK21" s="87"/>
      <c r="JVL21" s="87"/>
      <c r="JVM21" s="87"/>
      <c r="JVN21" s="87"/>
      <c r="JVO21" s="87"/>
      <c r="JVP21" s="87"/>
      <c r="JVQ21" s="87"/>
      <c r="JVR21" s="87"/>
      <c r="JVS21" s="87"/>
      <c r="JVT21" s="87"/>
      <c r="JVU21" s="87"/>
      <c r="JVV21" s="87"/>
      <c r="JVW21" s="87"/>
      <c r="JVX21" s="87"/>
      <c r="JVY21" s="87"/>
      <c r="JVZ21" s="87"/>
      <c r="JWA21" s="87"/>
      <c r="JWB21" s="87"/>
      <c r="JWC21" s="87"/>
      <c r="JWD21" s="87"/>
      <c r="JWE21" s="87"/>
      <c r="JWF21" s="87"/>
      <c r="JWG21" s="87"/>
      <c r="JWH21" s="87"/>
      <c r="JWI21" s="87"/>
      <c r="JWJ21" s="87"/>
      <c r="JWK21" s="87"/>
      <c r="JWL21" s="87"/>
      <c r="JWM21" s="87"/>
      <c r="JWN21" s="87"/>
      <c r="JWO21" s="87"/>
      <c r="JWP21" s="87"/>
      <c r="JWQ21" s="87"/>
      <c r="JWR21" s="87"/>
      <c r="JWS21" s="87"/>
      <c r="JWT21" s="87"/>
      <c r="JWU21" s="87"/>
      <c r="JWV21" s="87"/>
      <c r="JWW21" s="87"/>
      <c r="JWX21" s="87"/>
      <c r="JWY21" s="87"/>
      <c r="JWZ21" s="87"/>
      <c r="JXA21" s="87"/>
      <c r="JXB21" s="87"/>
      <c r="JXC21" s="87"/>
      <c r="JXD21" s="87"/>
      <c r="JXE21" s="87"/>
      <c r="JXF21" s="87"/>
      <c r="JXG21" s="87"/>
      <c r="JXH21" s="87"/>
      <c r="JXI21" s="87"/>
      <c r="JXJ21" s="87"/>
      <c r="JXK21" s="87"/>
      <c r="JXL21" s="87"/>
      <c r="JXM21" s="87"/>
      <c r="JXN21" s="87"/>
      <c r="JXO21" s="87"/>
      <c r="JXP21" s="87"/>
      <c r="JXQ21" s="87"/>
      <c r="JXR21" s="87"/>
      <c r="JXS21" s="87"/>
      <c r="JXT21" s="87"/>
      <c r="JXU21" s="87"/>
      <c r="JXV21" s="87"/>
      <c r="JXW21" s="87"/>
      <c r="JXX21" s="87"/>
      <c r="JXY21" s="87"/>
      <c r="JXZ21" s="87"/>
      <c r="JYA21" s="87"/>
      <c r="JYB21" s="87"/>
      <c r="JYC21" s="87"/>
      <c r="JYD21" s="87"/>
      <c r="JYE21" s="87"/>
      <c r="JYF21" s="87"/>
      <c r="JYG21" s="87"/>
      <c r="JYH21" s="87"/>
      <c r="JYI21" s="87"/>
      <c r="JYJ21" s="87"/>
      <c r="JYK21" s="87"/>
      <c r="JYL21" s="87"/>
      <c r="JYM21" s="87"/>
      <c r="JYN21" s="87"/>
      <c r="JYO21" s="87"/>
      <c r="JYP21" s="87"/>
      <c r="JYQ21" s="87"/>
      <c r="JYR21" s="87"/>
      <c r="JYS21" s="87"/>
      <c r="JYT21" s="87"/>
      <c r="JYU21" s="87"/>
      <c r="JYV21" s="87"/>
      <c r="JYW21" s="87"/>
      <c r="JYX21" s="87"/>
      <c r="JYY21" s="87"/>
      <c r="JYZ21" s="87"/>
      <c r="JZA21" s="87"/>
      <c r="JZB21" s="87"/>
      <c r="JZC21" s="87"/>
      <c r="JZD21" s="87"/>
      <c r="JZE21" s="87"/>
      <c r="JZF21" s="87"/>
      <c r="JZG21" s="87"/>
      <c r="JZH21" s="87"/>
      <c r="JZI21" s="87"/>
      <c r="JZJ21" s="87"/>
      <c r="JZK21" s="87"/>
      <c r="JZL21" s="87"/>
      <c r="JZM21" s="87"/>
      <c r="JZN21" s="87"/>
      <c r="JZO21" s="87"/>
      <c r="JZP21" s="87"/>
      <c r="JZQ21" s="87"/>
      <c r="JZR21" s="87"/>
      <c r="JZS21" s="87"/>
      <c r="JZT21" s="87"/>
      <c r="JZU21" s="87"/>
      <c r="JZV21" s="87"/>
      <c r="JZW21" s="87"/>
      <c r="JZX21" s="87"/>
      <c r="JZY21" s="87"/>
      <c r="JZZ21" s="87"/>
      <c r="KAA21" s="87"/>
      <c r="KAB21" s="87"/>
      <c r="KAC21" s="87"/>
      <c r="KAD21" s="87"/>
      <c r="KAE21" s="87"/>
      <c r="KAF21" s="87"/>
      <c r="KAG21" s="87"/>
      <c r="KAH21" s="87"/>
      <c r="KAI21" s="87"/>
      <c r="KAJ21" s="87"/>
      <c r="KAK21" s="87"/>
      <c r="KAL21" s="87"/>
      <c r="KAM21" s="87"/>
      <c r="KAN21" s="87"/>
      <c r="KAO21" s="87"/>
      <c r="KAP21" s="87"/>
      <c r="KAQ21" s="87"/>
      <c r="KAR21" s="87"/>
      <c r="KAS21" s="87"/>
      <c r="KAT21" s="87"/>
      <c r="KAU21" s="87"/>
      <c r="KAV21" s="87"/>
      <c r="KAW21" s="87"/>
      <c r="KAX21" s="87"/>
      <c r="KAY21" s="87"/>
      <c r="KAZ21" s="87"/>
      <c r="KBA21" s="87"/>
      <c r="KBB21" s="87"/>
      <c r="KBC21" s="87"/>
      <c r="KBD21" s="87"/>
      <c r="KBE21" s="87"/>
      <c r="KBF21" s="87"/>
      <c r="KBG21" s="87"/>
      <c r="KBH21" s="87"/>
      <c r="KBI21" s="87"/>
      <c r="KBJ21" s="87"/>
      <c r="KBK21" s="87"/>
      <c r="KBL21" s="87"/>
      <c r="KBM21" s="87"/>
      <c r="KBN21" s="87"/>
      <c r="KBO21" s="87"/>
      <c r="KBP21" s="87"/>
      <c r="KBQ21" s="87"/>
      <c r="KBR21" s="87"/>
      <c r="KBS21" s="87"/>
      <c r="KBT21" s="87"/>
      <c r="KBU21" s="87"/>
      <c r="KBV21" s="87"/>
      <c r="KBW21" s="87"/>
      <c r="KBX21" s="87"/>
      <c r="KBY21" s="87"/>
      <c r="KBZ21" s="87"/>
      <c r="KCA21" s="87"/>
      <c r="KCB21" s="87"/>
      <c r="KCC21" s="87"/>
      <c r="KCD21" s="87"/>
      <c r="KCE21" s="87"/>
      <c r="KCF21" s="87"/>
      <c r="KCG21" s="87"/>
      <c r="KCH21" s="87"/>
      <c r="KCI21" s="87"/>
      <c r="KCJ21" s="87"/>
      <c r="KCK21" s="87"/>
      <c r="KCL21" s="87"/>
      <c r="KCM21" s="87"/>
      <c r="KCN21" s="87"/>
      <c r="KCO21" s="87"/>
      <c r="KCP21" s="87"/>
      <c r="KCQ21" s="87"/>
      <c r="KCR21" s="87"/>
      <c r="KCS21" s="87"/>
      <c r="KCT21" s="87"/>
      <c r="KCU21" s="87"/>
      <c r="KCV21" s="87"/>
      <c r="KCW21" s="87"/>
      <c r="KCX21" s="87"/>
      <c r="KCY21" s="87"/>
      <c r="KCZ21" s="87"/>
      <c r="KDA21" s="87"/>
      <c r="KDB21" s="87"/>
      <c r="KDC21" s="87"/>
      <c r="KDD21" s="87"/>
      <c r="KDE21" s="87"/>
      <c r="KDF21" s="87"/>
      <c r="KDG21" s="87"/>
      <c r="KDH21" s="87"/>
      <c r="KDI21" s="87"/>
      <c r="KDJ21" s="87"/>
      <c r="KDK21" s="87"/>
      <c r="KDL21" s="87"/>
      <c r="KDM21" s="87"/>
      <c r="KDN21" s="87"/>
      <c r="KDO21" s="87"/>
      <c r="KDP21" s="87"/>
      <c r="KDQ21" s="87"/>
      <c r="KDR21" s="87"/>
      <c r="KDS21" s="87"/>
      <c r="KDT21" s="87"/>
      <c r="KDU21" s="87"/>
      <c r="KDV21" s="87"/>
      <c r="KDW21" s="87"/>
      <c r="KDX21" s="87"/>
      <c r="KDY21" s="87"/>
      <c r="KDZ21" s="87"/>
      <c r="KEA21" s="87"/>
      <c r="KEB21" s="87"/>
      <c r="KEC21" s="87"/>
      <c r="KED21" s="87"/>
      <c r="KEE21" s="87"/>
      <c r="KEF21" s="87"/>
      <c r="KEG21" s="87"/>
      <c r="KEH21" s="87"/>
      <c r="KEI21" s="87"/>
      <c r="KEJ21" s="87"/>
      <c r="KEK21" s="87"/>
      <c r="KEL21" s="87"/>
      <c r="KEM21" s="87"/>
      <c r="KEN21" s="87"/>
      <c r="KEO21" s="87"/>
      <c r="KEP21" s="87"/>
      <c r="KEQ21" s="87"/>
      <c r="KER21" s="87"/>
      <c r="KES21" s="87"/>
      <c r="KET21" s="87"/>
      <c r="KEU21" s="87"/>
      <c r="KEV21" s="87"/>
      <c r="KEW21" s="87"/>
      <c r="KEX21" s="87"/>
      <c r="KEY21" s="87"/>
      <c r="KEZ21" s="87"/>
      <c r="KFA21" s="87"/>
      <c r="KFB21" s="87"/>
      <c r="KFC21" s="87"/>
      <c r="KFD21" s="87"/>
      <c r="KFE21" s="87"/>
      <c r="KFF21" s="87"/>
      <c r="KFG21" s="87"/>
      <c r="KFH21" s="87"/>
      <c r="KFI21" s="87"/>
      <c r="KFJ21" s="87"/>
      <c r="KFK21" s="87"/>
      <c r="KFL21" s="87"/>
      <c r="KFM21" s="87"/>
      <c r="KFN21" s="87"/>
      <c r="KFO21" s="87"/>
      <c r="KFP21" s="87"/>
      <c r="KFQ21" s="87"/>
      <c r="KFR21" s="87"/>
      <c r="KFS21" s="87"/>
      <c r="KFT21" s="87"/>
      <c r="KFU21" s="87"/>
      <c r="KFV21" s="87"/>
      <c r="KFW21" s="87"/>
      <c r="KFX21" s="87"/>
      <c r="KFY21" s="87"/>
      <c r="KFZ21" s="87"/>
      <c r="KGA21" s="87"/>
      <c r="KGB21" s="87"/>
      <c r="KGC21" s="87"/>
      <c r="KGD21" s="87"/>
      <c r="KGE21" s="87"/>
      <c r="KGF21" s="87"/>
      <c r="KGG21" s="87"/>
      <c r="KGH21" s="87"/>
      <c r="KGI21" s="87"/>
      <c r="KGJ21" s="87"/>
      <c r="KGK21" s="87"/>
      <c r="KGL21" s="87"/>
      <c r="KGM21" s="87"/>
      <c r="KGN21" s="87"/>
      <c r="KGO21" s="87"/>
      <c r="KGP21" s="87"/>
      <c r="KGQ21" s="87"/>
      <c r="KGR21" s="87"/>
      <c r="KGS21" s="87"/>
      <c r="KGT21" s="87"/>
      <c r="KGU21" s="87"/>
      <c r="KGV21" s="87"/>
      <c r="KGW21" s="87"/>
      <c r="KGX21" s="87"/>
      <c r="KGY21" s="87"/>
      <c r="KGZ21" s="87"/>
      <c r="KHA21" s="87"/>
      <c r="KHB21" s="87"/>
      <c r="KHC21" s="87"/>
      <c r="KHD21" s="87"/>
      <c r="KHE21" s="87"/>
      <c r="KHF21" s="87"/>
      <c r="KHG21" s="87"/>
      <c r="KHH21" s="87"/>
      <c r="KHI21" s="87"/>
      <c r="KHJ21" s="87"/>
      <c r="KHK21" s="87"/>
      <c r="KHL21" s="87"/>
      <c r="KHM21" s="87"/>
      <c r="KHN21" s="87"/>
      <c r="KHO21" s="87"/>
      <c r="KHP21" s="87"/>
      <c r="KHQ21" s="87"/>
      <c r="KHR21" s="87"/>
      <c r="KHS21" s="87"/>
      <c r="KHT21" s="87"/>
      <c r="KHU21" s="87"/>
      <c r="KHV21" s="87"/>
      <c r="KHW21" s="87"/>
      <c r="KHX21" s="87"/>
      <c r="KHY21" s="87"/>
      <c r="KHZ21" s="87"/>
      <c r="KIA21" s="87"/>
      <c r="KIB21" s="87"/>
      <c r="KIC21" s="87"/>
      <c r="KID21" s="87"/>
      <c r="KIE21" s="87"/>
      <c r="KIF21" s="87"/>
      <c r="KIG21" s="87"/>
      <c r="KIH21" s="87"/>
      <c r="KII21" s="87"/>
      <c r="KIJ21" s="87"/>
      <c r="KIK21" s="87"/>
      <c r="KIL21" s="87"/>
      <c r="KIM21" s="87"/>
      <c r="KIN21" s="87"/>
      <c r="KIO21" s="87"/>
      <c r="KIP21" s="87"/>
      <c r="KIQ21" s="87"/>
      <c r="KIR21" s="87"/>
      <c r="KIS21" s="87"/>
      <c r="KIT21" s="87"/>
      <c r="KIU21" s="87"/>
      <c r="KIV21" s="87"/>
      <c r="KIW21" s="87"/>
      <c r="KIX21" s="87"/>
      <c r="KIY21" s="87"/>
      <c r="KIZ21" s="87"/>
      <c r="KJA21" s="87"/>
      <c r="KJB21" s="87"/>
      <c r="KJC21" s="87"/>
      <c r="KJD21" s="87"/>
      <c r="KJE21" s="87"/>
      <c r="KJF21" s="87"/>
      <c r="KJG21" s="87"/>
      <c r="KJH21" s="87"/>
      <c r="KJI21" s="87"/>
      <c r="KJJ21" s="87"/>
      <c r="KJK21" s="87"/>
      <c r="KJL21" s="87"/>
      <c r="KJM21" s="87"/>
      <c r="KJN21" s="87"/>
      <c r="KJO21" s="87"/>
      <c r="KJP21" s="87"/>
      <c r="KJQ21" s="87"/>
      <c r="KJR21" s="87"/>
      <c r="KJS21" s="87"/>
      <c r="KJT21" s="87"/>
      <c r="KJU21" s="87"/>
      <c r="KJV21" s="87"/>
      <c r="KJW21" s="87"/>
      <c r="KJX21" s="87"/>
      <c r="KJY21" s="87"/>
      <c r="KJZ21" s="87"/>
      <c r="KKA21" s="87"/>
      <c r="KKB21" s="87"/>
      <c r="KKC21" s="87"/>
      <c r="KKD21" s="87"/>
      <c r="KKE21" s="87"/>
      <c r="KKF21" s="87"/>
      <c r="KKG21" s="87"/>
      <c r="KKH21" s="87"/>
      <c r="KKI21" s="87"/>
      <c r="KKJ21" s="87"/>
      <c r="KKK21" s="87"/>
      <c r="KKL21" s="87"/>
      <c r="KKM21" s="87"/>
      <c r="KKN21" s="87"/>
      <c r="KKO21" s="87"/>
      <c r="KKP21" s="87"/>
      <c r="KKQ21" s="87"/>
      <c r="KKR21" s="87"/>
      <c r="KKS21" s="87"/>
      <c r="KKT21" s="87"/>
      <c r="KKU21" s="87"/>
      <c r="KKV21" s="87"/>
      <c r="KKW21" s="87"/>
      <c r="KKX21" s="87"/>
      <c r="KKY21" s="87"/>
      <c r="KKZ21" s="87"/>
      <c r="KLA21" s="87"/>
      <c r="KLB21" s="87"/>
      <c r="KLC21" s="87"/>
      <c r="KLD21" s="87"/>
      <c r="KLE21" s="87"/>
      <c r="KLF21" s="87"/>
      <c r="KLG21" s="87"/>
      <c r="KLH21" s="87"/>
      <c r="KLI21" s="87"/>
      <c r="KLJ21" s="87"/>
      <c r="KLK21" s="87"/>
      <c r="KLL21" s="87"/>
      <c r="KLM21" s="87"/>
      <c r="KLN21" s="87"/>
      <c r="KLO21" s="87"/>
      <c r="KLP21" s="87"/>
      <c r="KLQ21" s="87"/>
      <c r="KLR21" s="87"/>
      <c r="KLS21" s="87"/>
      <c r="KLT21" s="87"/>
      <c r="KLU21" s="87"/>
      <c r="KLV21" s="87"/>
      <c r="KLW21" s="87"/>
      <c r="KLX21" s="87"/>
      <c r="KLY21" s="87"/>
      <c r="KLZ21" s="87"/>
      <c r="KMA21" s="87"/>
      <c r="KMB21" s="87"/>
      <c r="KMC21" s="87"/>
      <c r="KMD21" s="87"/>
      <c r="KME21" s="87"/>
      <c r="KMF21" s="87"/>
      <c r="KMG21" s="87"/>
      <c r="KMH21" s="87"/>
      <c r="KMI21" s="87"/>
      <c r="KMJ21" s="87"/>
      <c r="KMK21" s="87"/>
      <c r="KML21" s="87"/>
      <c r="KMM21" s="87"/>
      <c r="KMN21" s="87"/>
      <c r="KMO21" s="87"/>
      <c r="KMP21" s="87"/>
      <c r="KMQ21" s="87"/>
      <c r="KMR21" s="87"/>
      <c r="KMS21" s="87"/>
      <c r="KMT21" s="87"/>
      <c r="KMU21" s="87"/>
      <c r="KMV21" s="87"/>
      <c r="KMW21" s="87"/>
      <c r="KMX21" s="87"/>
      <c r="KMY21" s="87"/>
      <c r="KMZ21" s="87"/>
      <c r="KNA21" s="87"/>
      <c r="KNB21" s="87"/>
      <c r="KNC21" s="87"/>
      <c r="KND21" s="87"/>
      <c r="KNE21" s="87"/>
      <c r="KNF21" s="87"/>
      <c r="KNG21" s="87"/>
      <c r="KNH21" s="87"/>
      <c r="KNI21" s="87"/>
      <c r="KNJ21" s="87"/>
      <c r="KNK21" s="87"/>
      <c r="KNL21" s="87"/>
      <c r="KNM21" s="87"/>
      <c r="KNN21" s="87"/>
      <c r="KNO21" s="87"/>
      <c r="KNP21" s="87"/>
      <c r="KNQ21" s="87"/>
      <c r="KNR21" s="87"/>
      <c r="KNS21" s="87"/>
      <c r="KNT21" s="87"/>
      <c r="KNU21" s="87"/>
      <c r="KNV21" s="87"/>
      <c r="KNW21" s="87"/>
      <c r="KNX21" s="87"/>
      <c r="KNY21" s="87"/>
      <c r="KNZ21" s="87"/>
      <c r="KOA21" s="87"/>
      <c r="KOB21" s="87"/>
      <c r="KOC21" s="87"/>
      <c r="KOD21" s="87"/>
      <c r="KOE21" s="87"/>
      <c r="KOF21" s="87"/>
      <c r="KOG21" s="87"/>
      <c r="KOH21" s="87"/>
      <c r="KOI21" s="87"/>
      <c r="KOJ21" s="87"/>
      <c r="KOK21" s="87"/>
      <c r="KOL21" s="87"/>
      <c r="KOM21" s="87"/>
      <c r="KON21" s="87"/>
      <c r="KOO21" s="87"/>
      <c r="KOP21" s="87"/>
      <c r="KOQ21" s="87"/>
      <c r="KOR21" s="87"/>
      <c r="KOS21" s="87"/>
      <c r="KOT21" s="87"/>
      <c r="KOU21" s="87"/>
      <c r="KOV21" s="87"/>
      <c r="KOW21" s="87"/>
      <c r="KOX21" s="87"/>
      <c r="KOY21" s="87"/>
      <c r="KOZ21" s="87"/>
      <c r="KPA21" s="87"/>
      <c r="KPB21" s="87"/>
      <c r="KPC21" s="87"/>
      <c r="KPD21" s="87"/>
      <c r="KPE21" s="87"/>
      <c r="KPF21" s="87"/>
      <c r="KPG21" s="87"/>
      <c r="KPH21" s="87"/>
      <c r="KPI21" s="87"/>
      <c r="KPJ21" s="87"/>
      <c r="KPK21" s="87"/>
      <c r="KPL21" s="87"/>
      <c r="KPM21" s="87"/>
      <c r="KPN21" s="87"/>
      <c r="KPO21" s="87"/>
      <c r="KPP21" s="87"/>
      <c r="KPQ21" s="87"/>
      <c r="KPR21" s="87"/>
      <c r="KPS21" s="87"/>
      <c r="KPT21" s="87"/>
      <c r="KPU21" s="87"/>
      <c r="KPV21" s="87"/>
      <c r="KPW21" s="87"/>
      <c r="KPX21" s="87"/>
      <c r="KPY21" s="87"/>
      <c r="KPZ21" s="87"/>
      <c r="KQA21" s="87"/>
      <c r="KQB21" s="87"/>
      <c r="KQC21" s="87"/>
      <c r="KQD21" s="87"/>
      <c r="KQE21" s="87"/>
      <c r="KQF21" s="87"/>
      <c r="KQG21" s="87"/>
      <c r="KQH21" s="87"/>
      <c r="KQI21" s="87"/>
      <c r="KQJ21" s="87"/>
      <c r="KQK21" s="87"/>
      <c r="KQL21" s="87"/>
      <c r="KQM21" s="87"/>
      <c r="KQN21" s="87"/>
      <c r="KQO21" s="87"/>
      <c r="KQP21" s="87"/>
      <c r="KQQ21" s="87"/>
      <c r="KQR21" s="87"/>
      <c r="KQS21" s="87"/>
      <c r="KQT21" s="87"/>
      <c r="KQU21" s="87"/>
      <c r="KQV21" s="87"/>
      <c r="KQW21" s="87"/>
      <c r="KQX21" s="87"/>
      <c r="KQY21" s="87"/>
      <c r="KQZ21" s="87"/>
      <c r="KRA21" s="87"/>
      <c r="KRB21" s="87"/>
      <c r="KRC21" s="87"/>
      <c r="KRD21" s="87"/>
      <c r="KRE21" s="87"/>
      <c r="KRF21" s="87"/>
      <c r="KRG21" s="87"/>
      <c r="KRH21" s="87"/>
      <c r="KRI21" s="87"/>
      <c r="KRJ21" s="87"/>
      <c r="KRK21" s="87"/>
      <c r="KRL21" s="87"/>
      <c r="KRM21" s="87"/>
      <c r="KRN21" s="87"/>
      <c r="KRO21" s="87"/>
      <c r="KRP21" s="87"/>
      <c r="KRQ21" s="87"/>
      <c r="KRR21" s="87"/>
      <c r="KRS21" s="87"/>
      <c r="KRT21" s="87"/>
      <c r="KRU21" s="87"/>
      <c r="KRV21" s="87"/>
      <c r="KRW21" s="87"/>
      <c r="KRX21" s="87"/>
      <c r="KRY21" s="87"/>
      <c r="KRZ21" s="87"/>
      <c r="KSA21" s="87"/>
      <c r="KSB21" s="87"/>
      <c r="KSC21" s="87"/>
      <c r="KSD21" s="87"/>
      <c r="KSE21" s="87"/>
      <c r="KSF21" s="87"/>
      <c r="KSG21" s="87"/>
      <c r="KSH21" s="87"/>
      <c r="KSI21" s="87"/>
      <c r="KSJ21" s="87"/>
      <c r="KSK21" s="87"/>
      <c r="KSL21" s="87"/>
      <c r="KSM21" s="87"/>
      <c r="KSN21" s="87"/>
      <c r="KSO21" s="87"/>
      <c r="KSP21" s="87"/>
      <c r="KSQ21" s="87"/>
      <c r="KSR21" s="87"/>
      <c r="KSS21" s="87"/>
      <c r="KST21" s="87"/>
      <c r="KSU21" s="87"/>
      <c r="KSV21" s="87"/>
      <c r="KSW21" s="87"/>
      <c r="KSX21" s="87"/>
      <c r="KSY21" s="87"/>
      <c r="KSZ21" s="87"/>
      <c r="KTA21" s="87"/>
      <c r="KTB21" s="87"/>
      <c r="KTC21" s="87"/>
      <c r="KTD21" s="87"/>
      <c r="KTE21" s="87"/>
      <c r="KTF21" s="87"/>
      <c r="KTG21" s="87"/>
      <c r="KTH21" s="87"/>
      <c r="KTI21" s="87"/>
      <c r="KTJ21" s="87"/>
      <c r="KTK21" s="87"/>
      <c r="KTL21" s="87"/>
      <c r="KTM21" s="87"/>
      <c r="KTN21" s="87"/>
      <c r="KTO21" s="87"/>
      <c r="KTP21" s="87"/>
      <c r="KTQ21" s="87"/>
      <c r="KTR21" s="87"/>
      <c r="KTS21" s="87"/>
      <c r="KTT21" s="87"/>
      <c r="KTU21" s="87"/>
      <c r="KTV21" s="87"/>
      <c r="KTW21" s="87"/>
      <c r="KTX21" s="87"/>
      <c r="KTY21" s="87"/>
      <c r="KTZ21" s="87"/>
      <c r="KUA21" s="87"/>
      <c r="KUB21" s="87"/>
      <c r="KUC21" s="87"/>
      <c r="KUD21" s="87"/>
      <c r="KUE21" s="87"/>
      <c r="KUF21" s="87"/>
      <c r="KUG21" s="87"/>
      <c r="KUH21" s="87"/>
      <c r="KUI21" s="87"/>
      <c r="KUJ21" s="87"/>
      <c r="KUK21" s="87"/>
      <c r="KUL21" s="87"/>
      <c r="KUM21" s="87"/>
      <c r="KUN21" s="87"/>
      <c r="KUO21" s="87"/>
      <c r="KUP21" s="87"/>
      <c r="KUQ21" s="87"/>
      <c r="KUR21" s="87"/>
      <c r="KUS21" s="87"/>
      <c r="KUT21" s="87"/>
      <c r="KUU21" s="87"/>
      <c r="KUV21" s="87"/>
      <c r="KUW21" s="87"/>
      <c r="KUX21" s="87"/>
      <c r="KUY21" s="87"/>
      <c r="KUZ21" s="87"/>
      <c r="KVA21" s="87"/>
      <c r="KVB21" s="87"/>
      <c r="KVC21" s="87"/>
      <c r="KVD21" s="87"/>
      <c r="KVE21" s="87"/>
      <c r="KVF21" s="87"/>
      <c r="KVG21" s="87"/>
      <c r="KVH21" s="87"/>
      <c r="KVI21" s="87"/>
      <c r="KVJ21" s="87"/>
      <c r="KVK21" s="87"/>
      <c r="KVL21" s="87"/>
      <c r="KVM21" s="87"/>
      <c r="KVN21" s="87"/>
      <c r="KVO21" s="87"/>
      <c r="KVP21" s="87"/>
      <c r="KVQ21" s="87"/>
      <c r="KVR21" s="87"/>
      <c r="KVS21" s="87"/>
      <c r="KVT21" s="87"/>
      <c r="KVU21" s="87"/>
      <c r="KVV21" s="87"/>
      <c r="KVW21" s="87"/>
      <c r="KVX21" s="87"/>
      <c r="KVY21" s="87"/>
      <c r="KVZ21" s="87"/>
      <c r="KWA21" s="87"/>
      <c r="KWB21" s="87"/>
      <c r="KWC21" s="87"/>
      <c r="KWD21" s="87"/>
      <c r="KWE21" s="87"/>
      <c r="KWF21" s="87"/>
      <c r="KWG21" s="87"/>
      <c r="KWH21" s="87"/>
      <c r="KWI21" s="87"/>
      <c r="KWJ21" s="87"/>
      <c r="KWK21" s="87"/>
      <c r="KWL21" s="87"/>
      <c r="KWM21" s="87"/>
      <c r="KWN21" s="87"/>
      <c r="KWO21" s="87"/>
      <c r="KWP21" s="87"/>
      <c r="KWQ21" s="87"/>
      <c r="KWR21" s="87"/>
      <c r="KWS21" s="87"/>
      <c r="KWT21" s="87"/>
      <c r="KWU21" s="87"/>
      <c r="KWV21" s="87"/>
      <c r="KWW21" s="87"/>
      <c r="KWX21" s="87"/>
      <c r="KWY21" s="87"/>
      <c r="KWZ21" s="87"/>
      <c r="KXA21" s="87"/>
      <c r="KXB21" s="87"/>
      <c r="KXC21" s="87"/>
      <c r="KXD21" s="87"/>
      <c r="KXE21" s="87"/>
      <c r="KXF21" s="87"/>
      <c r="KXG21" s="87"/>
      <c r="KXH21" s="87"/>
      <c r="KXI21" s="87"/>
      <c r="KXJ21" s="87"/>
      <c r="KXK21" s="87"/>
      <c r="KXL21" s="87"/>
      <c r="KXM21" s="87"/>
      <c r="KXN21" s="87"/>
      <c r="KXO21" s="87"/>
      <c r="KXP21" s="87"/>
      <c r="KXQ21" s="87"/>
      <c r="KXR21" s="87"/>
      <c r="KXS21" s="87"/>
      <c r="KXT21" s="87"/>
      <c r="KXU21" s="87"/>
      <c r="KXV21" s="87"/>
      <c r="KXW21" s="87"/>
      <c r="KXX21" s="87"/>
      <c r="KXY21" s="87"/>
      <c r="KXZ21" s="87"/>
      <c r="KYA21" s="87"/>
      <c r="KYB21" s="87"/>
      <c r="KYC21" s="87"/>
      <c r="KYD21" s="87"/>
      <c r="KYE21" s="87"/>
      <c r="KYF21" s="87"/>
      <c r="KYG21" s="87"/>
      <c r="KYH21" s="87"/>
      <c r="KYI21" s="87"/>
      <c r="KYJ21" s="87"/>
      <c r="KYK21" s="87"/>
      <c r="KYL21" s="87"/>
      <c r="KYM21" s="87"/>
      <c r="KYN21" s="87"/>
      <c r="KYO21" s="87"/>
      <c r="KYP21" s="87"/>
      <c r="KYQ21" s="87"/>
      <c r="KYR21" s="87"/>
      <c r="KYS21" s="87"/>
      <c r="KYT21" s="87"/>
      <c r="KYU21" s="87"/>
      <c r="KYV21" s="87"/>
      <c r="KYW21" s="87"/>
      <c r="KYX21" s="87"/>
      <c r="KYY21" s="87"/>
      <c r="KYZ21" s="87"/>
      <c r="KZA21" s="87"/>
      <c r="KZB21" s="87"/>
      <c r="KZC21" s="87"/>
      <c r="KZD21" s="87"/>
      <c r="KZE21" s="87"/>
      <c r="KZF21" s="87"/>
      <c r="KZG21" s="87"/>
      <c r="KZH21" s="87"/>
      <c r="KZI21" s="87"/>
      <c r="KZJ21" s="87"/>
      <c r="KZK21" s="87"/>
      <c r="KZL21" s="87"/>
      <c r="KZM21" s="87"/>
      <c r="KZN21" s="87"/>
      <c r="KZO21" s="87"/>
      <c r="KZP21" s="87"/>
      <c r="KZQ21" s="87"/>
      <c r="KZR21" s="87"/>
      <c r="KZS21" s="87"/>
      <c r="KZT21" s="87"/>
      <c r="KZU21" s="87"/>
      <c r="KZV21" s="87"/>
      <c r="KZW21" s="87"/>
      <c r="KZX21" s="87"/>
      <c r="KZY21" s="87"/>
      <c r="KZZ21" s="87"/>
      <c r="LAA21" s="87"/>
      <c r="LAB21" s="87"/>
      <c r="LAC21" s="87"/>
      <c r="LAD21" s="87"/>
      <c r="LAE21" s="87"/>
      <c r="LAF21" s="87"/>
      <c r="LAG21" s="87"/>
      <c r="LAH21" s="87"/>
      <c r="LAI21" s="87"/>
      <c r="LAJ21" s="87"/>
      <c r="LAK21" s="87"/>
      <c r="LAL21" s="87"/>
      <c r="LAM21" s="87"/>
      <c r="LAN21" s="87"/>
      <c r="LAO21" s="87"/>
      <c r="LAP21" s="87"/>
      <c r="LAQ21" s="87"/>
      <c r="LAR21" s="87"/>
      <c r="LAS21" s="87"/>
      <c r="LAT21" s="87"/>
      <c r="LAU21" s="87"/>
      <c r="LAV21" s="87"/>
      <c r="LAW21" s="87"/>
      <c r="LAX21" s="87"/>
      <c r="LAY21" s="87"/>
      <c r="LAZ21" s="87"/>
      <c r="LBA21" s="87"/>
      <c r="LBB21" s="87"/>
      <c r="LBC21" s="87"/>
      <c r="LBD21" s="87"/>
      <c r="LBE21" s="87"/>
      <c r="LBF21" s="87"/>
      <c r="LBG21" s="87"/>
      <c r="LBH21" s="87"/>
      <c r="LBI21" s="87"/>
      <c r="LBJ21" s="87"/>
      <c r="LBK21" s="87"/>
      <c r="LBL21" s="87"/>
      <c r="LBM21" s="87"/>
      <c r="LBN21" s="87"/>
      <c r="LBO21" s="87"/>
      <c r="LBP21" s="87"/>
      <c r="LBQ21" s="87"/>
      <c r="LBR21" s="87"/>
      <c r="LBS21" s="87"/>
      <c r="LBT21" s="87"/>
      <c r="LBU21" s="87"/>
      <c r="LBV21" s="87"/>
      <c r="LBW21" s="87"/>
      <c r="LBX21" s="87"/>
      <c r="LBY21" s="87"/>
      <c r="LBZ21" s="87"/>
      <c r="LCA21" s="87"/>
      <c r="LCB21" s="87"/>
      <c r="LCC21" s="87"/>
      <c r="LCD21" s="87"/>
      <c r="LCE21" s="87"/>
      <c r="LCF21" s="87"/>
      <c r="LCG21" s="87"/>
      <c r="LCH21" s="87"/>
      <c r="LCI21" s="87"/>
      <c r="LCJ21" s="87"/>
      <c r="LCK21" s="87"/>
      <c r="LCL21" s="87"/>
      <c r="LCM21" s="87"/>
      <c r="LCN21" s="87"/>
      <c r="LCO21" s="87"/>
      <c r="LCP21" s="87"/>
      <c r="LCQ21" s="87"/>
      <c r="LCR21" s="87"/>
      <c r="LCS21" s="87"/>
      <c r="LCT21" s="87"/>
      <c r="LCU21" s="87"/>
      <c r="LCV21" s="87"/>
      <c r="LCW21" s="87"/>
      <c r="LCX21" s="87"/>
      <c r="LCY21" s="87"/>
      <c r="LCZ21" s="87"/>
      <c r="LDA21" s="87"/>
      <c r="LDB21" s="87"/>
      <c r="LDC21" s="87"/>
      <c r="LDD21" s="87"/>
      <c r="LDE21" s="87"/>
      <c r="LDF21" s="87"/>
      <c r="LDG21" s="87"/>
      <c r="LDH21" s="87"/>
      <c r="LDI21" s="87"/>
      <c r="LDJ21" s="87"/>
      <c r="LDK21" s="87"/>
      <c r="LDL21" s="87"/>
      <c r="LDM21" s="87"/>
      <c r="LDN21" s="87"/>
      <c r="LDO21" s="87"/>
      <c r="LDP21" s="87"/>
      <c r="LDQ21" s="87"/>
      <c r="LDR21" s="87"/>
      <c r="LDS21" s="87"/>
      <c r="LDT21" s="87"/>
      <c r="LDU21" s="87"/>
      <c r="LDV21" s="87"/>
      <c r="LDW21" s="87"/>
      <c r="LDX21" s="87"/>
      <c r="LDY21" s="87"/>
      <c r="LDZ21" s="87"/>
      <c r="LEA21" s="87"/>
      <c r="LEB21" s="87"/>
      <c r="LEC21" s="87"/>
      <c r="LED21" s="87"/>
      <c r="LEE21" s="87"/>
      <c r="LEF21" s="87"/>
      <c r="LEG21" s="87"/>
      <c r="LEH21" s="87"/>
      <c r="LEI21" s="87"/>
      <c r="LEJ21" s="87"/>
      <c r="LEK21" s="87"/>
      <c r="LEL21" s="87"/>
      <c r="LEM21" s="87"/>
      <c r="LEN21" s="87"/>
      <c r="LEO21" s="87"/>
      <c r="LEP21" s="87"/>
      <c r="LEQ21" s="87"/>
      <c r="LER21" s="87"/>
      <c r="LES21" s="87"/>
      <c r="LET21" s="87"/>
      <c r="LEU21" s="87"/>
      <c r="LEV21" s="87"/>
      <c r="LEW21" s="87"/>
      <c r="LEX21" s="87"/>
      <c r="LEY21" s="87"/>
      <c r="LEZ21" s="87"/>
      <c r="LFA21" s="87"/>
      <c r="LFB21" s="87"/>
      <c r="LFC21" s="87"/>
      <c r="LFD21" s="87"/>
      <c r="LFE21" s="87"/>
      <c r="LFF21" s="87"/>
      <c r="LFG21" s="87"/>
      <c r="LFH21" s="87"/>
      <c r="LFI21" s="87"/>
      <c r="LFJ21" s="87"/>
      <c r="LFK21" s="87"/>
      <c r="LFL21" s="87"/>
      <c r="LFM21" s="87"/>
      <c r="LFN21" s="87"/>
      <c r="LFO21" s="87"/>
      <c r="LFP21" s="87"/>
      <c r="LFQ21" s="87"/>
      <c r="LFR21" s="87"/>
      <c r="LFS21" s="87"/>
      <c r="LFT21" s="87"/>
      <c r="LFU21" s="87"/>
      <c r="LFV21" s="87"/>
      <c r="LFW21" s="87"/>
      <c r="LFX21" s="87"/>
      <c r="LFY21" s="87"/>
      <c r="LFZ21" s="87"/>
      <c r="LGA21" s="87"/>
      <c r="LGB21" s="87"/>
      <c r="LGC21" s="87"/>
      <c r="LGD21" s="87"/>
      <c r="LGE21" s="87"/>
      <c r="LGF21" s="87"/>
      <c r="LGG21" s="87"/>
      <c r="LGH21" s="87"/>
      <c r="LGI21" s="87"/>
      <c r="LGJ21" s="87"/>
      <c r="LGK21" s="87"/>
      <c r="LGL21" s="87"/>
      <c r="LGM21" s="87"/>
      <c r="LGN21" s="87"/>
      <c r="LGO21" s="87"/>
      <c r="LGP21" s="87"/>
      <c r="LGQ21" s="87"/>
      <c r="LGR21" s="87"/>
      <c r="LGS21" s="87"/>
      <c r="LGT21" s="87"/>
      <c r="LGU21" s="87"/>
      <c r="LGV21" s="87"/>
      <c r="LGW21" s="87"/>
      <c r="LGX21" s="87"/>
      <c r="LGY21" s="87"/>
      <c r="LGZ21" s="87"/>
      <c r="LHA21" s="87"/>
      <c r="LHB21" s="87"/>
      <c r="LHC21" s="87"/>
      <c r="LHD21" s="87"/>
      <c r="LHE21" s="87"/>
      <c r="LHF21" s="87"/>
      <c r="LHG21" s="87"/>
      <c r="LHH21" s="87"/>
      <c r="LHI21" s="87"/>
      <c r="LHJ21" s="87"/>
      <c r="LHK21" s="87"/>
      <c r="LHL21" s="87"/>
      <c r="LHM21" s="87"/>
      <c r="LHN21" s="87"/>
      <c r="LHO21" s="87"/>
      <c r="LHP21" s="87"/>
      <c r="LHQ21" s="87"/>
      <c r="LHR21" s="87"/>
      <c r="LHS21" s="87"/>
      <c r="LHT21" s="87"/>
      <c r="LHU21" s="87"/>
      <c r="LHV21" s="87"/>
      <c r="LHW21" s="87"/>
      <c r="LHX21" s="87"/>
      <c r="LHY21" s="87"/>
      <c r="LHZ21" s="87"/>
      <c r="LIA21" s="87"/>
      <c r="LIB21" s="87"/>
      <c r="LIC21" s="87"/>
      <c r="LID21" s="87"/>
      <c r="LIE21" s="87"/>
      <c r="LIF21" s="87"/>
      <c r="LIG21" s="87"/>
      <c r="LIH21" s="87"/>
      <c r="LII21" s="87"/>
      <c r="LIJ21" s="87"/>
      <c r="LIK21" s="87"/>
      <c r="LIL21" s="87"/>
      <c r="LIM21" s="87"/>
      <c r="LIN21" s="87"/>
      <c r="LIO21" s="87"/>
      <c r="LIP21" s="87"/>
      <c r="LIQ21" s="87"/>
      <c r="LIR21" s="87"/>
      <c r="LIS21" s="87"/>
      <c r="LIT21" s="87"/>
      <c r="LIU21" s="87"/>
      <c r="LIV21" s="87"/>
      <c r="LIW21" s="87"/>
      <c r="LIX21" s="87"/>
      <c r="LIY21" s="87"/>
      <c r="LIZ21" s="87"/>
      <c r="LJA21" s="87"/>
      <c r="LJB21" s="87"/>
      <c r="LJC21" s="87"/>
      <c r="LJD21" s="87"/>
      <c r="LJE21" s="87"/>
      <c r="LJF21" s="87"/>
      <c r="LJG21" s="87"/>
      <c r="LJH21" s="87"/>
      <c r="LJI21" s="87"/>
      <c r="LJJ21" s="87"/>
      <c r="LJK21" s="87"/>
      <c r="LJL21" s="87"/>
      <c r="LJM21" s="87"/>
      <c r="LJN21" s="87"/>
      <c r="LJO21" s="87"/>
      <c r="LJP21" s="87"/>
      <c r="LJQ21" s="87"/>
      <c r="LJR21" s="87"/>
      <c r="LJS21" s="87"/>
      <c r="LJT21" s="87"/>
      <c r="LJU21" s="87"/>
      <c r="LJV21" s="87"/>
      <c r="LJW21" s="87"/>
      <c r="LJX21" s="87"/>
      <c r="LJY21" s="87"/>
      <c r="LJZ21" s="87"/>
      <c r="LKA21" s="87"/>
      <c r="LKB21" s="87"/>
      <c r="LKC21" s="87"/>
      <c r="LKD21" s="87"/>
      <c r="LKE21" s="87"/>
      <c r="LKF21" s="87"/>
      <c r="LKG21" s="87"/>
      <c r="LKH21" s="87"/>
      <c r="LKI21" s="87"/>
      <c r="LKJ21" s="87"/>
      <c r="LKK21" s="87"/>
      <c r="LKL21" s="87"/>
      <c r="LKM21" s="87"/>
      <c r="LKN21" s="87"/>
      <c r="LKO21" s="87"/>
      <c r="LKP21" s="87"/>
      <c r="LKQ21" s="87"/>
      <c r="LKR21" s="87"/>
      <c r="LKS21" s="87"/>
      <c r="LKT21" s="87"/>
      <c r="LKU21" s="87"/>
      <c r="LKV21" s="87"/>
      <c r="LKW21" s="87"/>
      <c r="LKX21" s="87"/>
      <c r="LKY21" s="87"/>
      <c r="LKZ21" s="87"/>
      <c r="LLA21" s="87"/>
      <c r="LLB21" s="87"/>
      <c r="LLC21" s="87"/>
      <c r="LLD21" s="87"/>
      <c r="LLE21" s="87"/>
      <c r="LLF21" s="87"/>
      <c r="LLG21" s="87"/>
      <c r="LLH21" s="87"/>
      <c r="LLI21" s="87"/>
      <c r="LLJ21" s="87"/>
      <c r="LLK21" s="87"/>
      <c r="LLL21" s="87"/>
      <c r="LLM21" s="87"/>
      <c r="LLN21" s="87"/>
      <c r="LLO21" s="87"/>
      <c r="LLP21" s="87"/>
      <c r="LLQ21" s="87"/>
      <c r="LLR21" s="87"/>
      <c r="LLS21" s="87"/>
      <c r="LLT21" s="87"/>
      <c r="LLU21" s="87"/>
      <c r="LLV21" s="87"/>
      <c r="LLW21" s="87"/>
      <c r="LLX21" s="87"/>
      <c r="LLY21" s="87"/>
      <c r="LLZ21" s="87"/>
      <c r="LMA21" s="87"/>
      <c r="LMB21" s="87"/>
      <c r="LMC21" s="87"/>
      <c r="LMD21" s="87"/>
      <c r="LME21" s="87"/>
      <c r="LMF21" s="87"/>
      <c r="LMG21" s="87"/>
      <c r="LMH21" s="87"/>
      <c r="LMI21" s="87"/>
      <c r="LMJ21" s="87"/>
      <c r="LMK21" s="87"/>
      <c r="LML21" s="87"/>
      <c r="LMM21" s="87"/>
      <c r="LMN21" s="87"/>
      <c r="LMO21" s="87"/>
      <c r="LMP21" s="87"/>
      <c r="LMQ21" s="87"/>
      <c r="LMR21" s="87"/>
      <c r="LMS21" s="87"/>
      <c r="LMT21" s="87"/>
      <c r="LMU21" s="87"/>
      <c r="LMV21" s="87"/>
      <c r="LMW21" s="87"/>
      <c r="LMX21" s="87"/>
      <c r="LMY21" s="87"/>
      <c r="LMZ21" s="87"/>
      <c r="LNA21" s="87"/>
      <c r="LNB21" s="87"/>
      <c r="LNC21" s="87"/>
      <c r="LND21" s="87"/>
      <c r="LNE21" s="87"/>
      <c r="LNF21" s="87"/>
      <c r="LNG21" s="87"/>
      <c r="LNH21" s="87"/>
      <c r="LNI21" s="87"/>
      <c r="LNJ21" s="87"/>
      <c r="LNK21" s="87"/>
      <c r="LNL21" s="87"/>
      <c r="LNM21" s="87"/>
      <c r="LNN21" s="87"/>
      <c r="LNO21" s="87"/>
      <c r="LNP21" s="87"/>
      <c r="LNQ21" s="87"/>
      <c r="LNR21" s="87"/>
      <c r="LNS21" s="87"/>
      <c r="LNT21" s="87"/>
      <c r="LNU21" s="87"/>
      <c r="LNV21" s="87"/>
      <c r="LNW21" s="87"/>
      <c r="LNX21" s="87"/>
      <c r="LNY21" s="87"/>
      <c r="LNZ21" s="87"/>
      <c r="LOA21" s="87"/>
      <c r="LOB21" s="87"/>
      <c r="LOC21" s="87"/>
      <c r="LOD21" s="87"/>
      <c r="LOE21" s="87"/>
      <c r="LOF21" s="87"/>
      <c r="LOG21" s="87"/>
      <c r="LOH21" s="87"/>
      <c r="LOI21" s="87"/>
      <c r="LOJ21" s="87"/>
      <c r="LOK21" s="87"/>
      <c r="LOL21" s="87"/>
      <c r="LOM21" s="87"/>
      <c r="LON21" s="87"/>
      <c r="LOO21" s="87"/>
      <c r="LOP21" s="87"/>
      <c r="LOQ21" s="87"/>
      <c r="LOR21" s="87"/>
      <c r="LOS21" s="87"/>
      <c r="LOT21" s="87"/>
      <c r="LOU21" s="87"/>
      <c r="LOV21" s="87"/>
      <c r="LOW21" s="87"/>
      <c r="LOX21" s="87"/>
      <c r="LOY21" s="87"/>
      <c r="LOZ21" s="87"/>
      <c r="LPA21" s="87"/>
      <c r="LPB21" s="87"/>
      <c r="LPC21" s="87"/>
      <c r="LPD21" s="87"/>
      <c r="LPE21" s="87"/>
      <c r="LPF21" s="87"/>
      <c r="LPG21" s="87"/>
      <c r="LPH21" s="87"/>
      <c r="LPI21" s="87"/>
      <c r="LPJ21" s="87"/>
      <c r="LPK21" s="87"/>
      <c r="LPL21" s="87"/>
      <c r="LPM21" s="87"/>
      <c r="LPN21" s="87"/>
      <c r="LPO21" s="87"/>
      <c r="LPP21" s="87"/>
      <c r="LPQ21" s="87"/>
      <c r="LPR21" s="87"/>
      <c r="LPS21" s="87"/>
      <c r="LPT21" s="87"/>
      <c r="LPU21" s="87"/>
      <c r="LPV21" s="87"/>
      <c r="LPW21" s="87"/>
      <c r="LPX21" s="87"/>
      <c r="LPY21" s="87"/>
      <c r="LPZ21" s="87"/>
      <c r="LQA21" s="87"/>
      <c r="LQB21" s="87"/>
      <c r="LQC21" s="87"/>
      <c r="LQD21" s="87"/>
      <c r="LQE21" s="87"/>
      <c r="LQF21" s="87"/>
      <c r="LQG21" s="87"/>
      <c r="LQH21" s="87"/>
      <c r="LQI21" s="87"/>
      <c r="LQJ21" s="87"/>
      <c r="LQK21" s="87"/>
      <c r="LQL21" s="87"/>
      <c r="LQM21" s="87"/>
      <c r="LQN21" s="87"/>
      <c r="LQO21" s="87"/>
      <c r="LQP21" s="87"/>
      <c r="LQQ21" s="87"/>
      <c r="LQR21" s="87"/>
      <c r="LQS21" s="87"/>
      <c r="LQT21" s="87"/>
      <c r="LQU21" s="87"/>
      <c r="LQV21" s="87"/>
      <c r="LQW21" s="87"/>
      <c r="LQX21" s="87"/>
      <c r="LQY21" s="87"/>
      <c r="LQZ21" s="87"/>
      <c r="LRA21" s="87"/>
      <c r="LRB21" s="87"/>
      <c r="LRC21" s="87"/>
      <c r="LRD21" s="87"/>
      <c r="LRE21" s="87"/>
      <c r="LRF21" s="87"/>
      <c r="LRG21" s="87"/>
      <c r="LRH21" s="87"/>
      <c r="LRI21" s="87"/>
      <c r="LRJ21" s="87"/>
      <c r="LRK21" s="87"/>
      <c r="LRL21" s="87"/>
      <c r="LRM21" s="87"/>
      <c r="LRN21" s="87"/>
      <c r="LRO21" s="87"/>
      <c r="LRP21" s="87"/>
      <c r="LRQ21" s="87"/>
      <c r="LRR21" s="87"/>
      <c r="LRS21" s="87"/>
      <c r="LRT21" s="87"/>
      <c r="LRU21" s="87"/>
      <c r="LRV21" s="87"/>
      <c r="LRW21" s="87"/>
      <c r="LRX21" s="87"/>
      <c r="LRY21" s="87"/>
      <c r="LRZ21" s="87"/>
      <c r="LSA21" s="87"/>
      <c r="LSB21" s="87"/>
      <c r="LSC21" s="87"/>
      <c r="LSD21" s="87"/>
      <c r="LSE21" s="87"/>
      <c r="LSF21" s="87"/>
      <c r="LSG21" s="87"/>
      <c r="LSH21" s="87"/>
      <c r="LSI21" s="87"/>
      <c r="LSJ21" s="87"/>
      <c r="LSK21" s="87"/>
      <c r="LSL21" s="87"/>
      <c r="LSM21" s="87"/>
      <c r="LSN21" s="87"/>
      <c r="LSO21" s="87"/>
      <c r="LSP21" s="87"/>
      <c r="LSQ21" s="87"/>
      <c r="LSR21" s="87"/>
      <c r="LSS21" s="87"/>
      <c r="LST21" s="87"/>
      <c r="LSU21" s="87"/>
      <c r="LSV21" s="87"/>
      <c r="LSW21" s="87"/>
      <c r="LSX21" s="87"/>
      <c r="LSY21" s="87"/>
      <c r="LSZ21" s="87"/>
      <c r="LTA21" s="87"/>
      <c r="LTB21" s="87"/>
      <c r="LTC21" s="87"/>
      <c r="LTD21" s="87"/>
      <c r="LTE21" s="87"/>
      <c r="LTF21" s="87"/>
      <c r="LTG21" s="87"/>
      <c r="LTH21" s="87"/>
      <c r="LTI21" s="87"/>
      <c r="LTJ21" s="87"/>
      <c r="LTK21" s="87"/>
      <c r="LTL21" s="87"/>
      <c r="LTM21" s="87"/>
      <c r="LTN21" s="87"/>
      <c r="LTO21" s="87"/>
      <c r="LTP21" s="87"/>
      <c r="LTQ21" s="87"/>
      <c r="LTR21" s="87"/>
      <c r="LTS21" s="87"/>
      <c r="LTT21" s="87"/>
      <c r="LTU21" s="87"/>
      <c r="LTV21" s="87"/>
      <c r="LTW21" s="87"/>
      <c r="LTX21" s="87"/>
      <c r="LTY21" s="87"/>
      <c r="LTZ21" s="87"/>
      <c r="LUA21" s="87"/>
      <c r="LUB21" s="87"/>
      <c r="LUC21" s="87"/>
      <c r="LUD21" s="87"/>
      <c r="LUE21" s="87"/>
      <c r="LUF21" s="87"/>
      <c r="LUG21" s="87"/>
      <c r="LUH21" s="87"/>
      <c r="LUI21" s="87"/>
      <c r="LUJ21" s="87"/>
      <c r="LUK21" s="87"/>
      <c r="LUL21" s="87"/>
      <c r="LUM21" s="87"/>
      <c r="LUN21" s="87"/>
      <c r="LUO21" s="87"/>
      <c r="LUP21" s="87"/>
      <c r="LUQ21" s="87"/>
      <c r="LUR21" s="87"/>
      <c r="LUS21" s="87"/>
      <c r="LUT21" s="87"/>
      <c r="LUU21" s="87"/>
      <c r="LUV21" s="87"/>
      <c r="LUW21" s="87"/>
      <c r="LUX21" s="87"/>
      <c r="LUY21" s="87"/>
      <c r="LUZ21" s="87"/>
      <c r="LVA21" s="87"/>
      <c r="LVB21" s="87"/>
      <c r="LVC21" s="87"/>
      <c r="LVD21" s="87"/>
      <c r="LVE21" s="87"/>
      <c r="LVF21" s="87"/>
      <c r="LVG21" s="87"/>
      <c r="LVH21" s="87"/>
      <c r="LVI21" s="87"/>
      <c r="LVJ21" s="87"/>
      <c r="LVK21" s="87"/>
      <c r="LVL21" s="87"/>
      <c r="LVM21" s="87"/>
      <c r="LVN21" s="87"/>
      <c r="LVO21" s="87"/>
      <c r="LVP21" s="87"/>
      <c r="LVQ21" s="87"/>
      <c r="LVR21" s="87"/>
      <c r="LVS21" s="87"/>
      <c r="LVT21" s="87"/>
      <c r="LVU21" s="87"/>
      <c r="LVV21" s="87"/>
      <c r="LVW21" s="87"/>
      <c r="LVX21" s="87"/>
      <c r="LVY21" s="87"/>
      <c r="LVZ21" s="87"/>
      <c r="LWA21" s="87"/>
      <c r="LWB21" s="87"/>
      <c r="LWC21" s="87"/>
      <c r="LWD21" s="87"/>
      <c r="LWE21" s="87"/>
      <c r="LWF21" s="87"/>
      <c r="LWG21" s="87"/>
      <c r="LWH21" s="87"/>
      <c r="LWI21" s="87"/>
      <c r="LWJ21" s="87"/>
      <c r="LWK21" s="87"/>
      <c r="LWL21" s="87"/>
      <c r="LWM21" s="87"/>
      <c r="LWN21" s="87"/>
      <c r="LWO21" s="87"/>
      <c r="LWP21" s="87"/>
      <c r="LWQ21" s="87"/>
      <c r="LWR21" s="87"/>
      <c r="LWS21" s="87"/>
      <c r="LWT21" s="87"/>
      <c r="LWU21" s="87"/>
      <c r="LWV21" s="87"/>
      <c r="LWW21" s="87"/>
      <c r="LWX21" s="87"/>
      <c r="LWY21" s="87"/>
      <c r="LWZ21" s="87"/>
      <c r="LXA21" s="87"/>
      <c r="LXB21" s="87"/>
      <c r="LXC21" s="87"/>
      <c r="LXD21" s="87"/>
      <c r="LXE21" s="87"/>
      <c r="LXF21" s="87"/>
      <c r="LXG21" s="87"/>
      <c r="LXH21" s="87"/>
      <c r="LXI21" s="87"/>
      <c r="LXJ21" s="87"/>
      <c r="LXK21" s="87"/>
      <c r="LXL21" s="87"/>
      <c r="LXM21" s="87"/>
      <c r="LXN21" s="87"/>
      <c r="LXO21" s="87"/>
      <c r="LXP21" s="87"/>
      <c r="LXQ21" s="87"/>
      <c r="LXR21" s="87"/>
      <c r="LXS21" s="87"/>
      <c r="LXT21" s="87"/>
      <c r="LXU21" s="87"/>
      <c r="LXV21" s="87"/>
      <c r="LXW21" s="87"/>
      <c r="LXX21" s="87"/>
      <c r="LXY21" s="87"/>
      <c r="LXZ21" s="87"/>
      <c r="LYA21" s="87"/>
      <c r="LYB21" s="87"/>
      <c r="LYC21" s="87"/>
      <c r="LYD21" s="87"/>
      <c r="LYE21" s="87"/>
      <c r="LYF21" s="87"/>
      <c r="LYG21" s="87"/>
      <c r="LYH21" s="87"/>
      <c r="LYI21" s="87"/>
      <c r="LYJ21" s="87"/>
      <c r="LYK21" s="87"/>
      <c r="LYL21" s="87"/>
      <c r="LYM21" s="87"/>
      <c r="LYN21" s="87"/>
      <c r="LYO21" s="87"/>
      <c r="LYP21" s="87"/>
      <c r="LYQ21" s="87"/>
      <c r="LYR21" s="87"/>
      <c r="LYS21" s="87"/>
      <c r="LYT21" s="87"/>
      <c r="LYU21" s="87"/>
      <c r="LYV21" s="87"/>
      <c r="LYW21" s="87"/>
      <c r="LYX21" s="87"/>
      <c r="LYY21" s="87"/>
      <c r="LYZ21" s="87"/>
      <c r="LZA21" s="87"/>
      <c r="LZB21" s="87"/>
      <c r="LZC21" s="87"/>
      <c r="LZD21" s="87"/>
      <c r="LZE21" s="87"/>
      <c r="LZF21" s="87"/>
      <c r="LZG21" s="87"/>
      <c r="LZH21" s="87"/>
      <c r="LZI21" s="87"/>
      <c r="LZJ21" s="87"/>
      <c r="LZK21" s="87"/>
      <c r="LZL21" s="87"/>
      <c r="LZM21" s="87"/>
      <c r="LZN21" s="87"/>
      <c r="LZO21" s="87"/>
      <c r="LZP21" s="87"/>
      <c r="LZQ21" s="87"/>
      <c r="LZR21" s="87"/>
      <c r="LZS21" s="87"/>
      <c r="LZT21" s="87"/>
      <c r="LZU21" s="87"/>
      <c r="LZV21" s="87"/>
      <c r="LZW21" s="87"/>
      <c r="LZX21" s="87"/>
      <c r="LZY21" s="87"/>
      <c r="LZZ21" s="87"/>
      <c r="MAA21" s="87"/>
      <c r="MAB21" s="87"/>
      <c r="MAC21" s="87"/>
      <c r="MAD21" s="87"/>
      <c r="MAE21" s="87"/>
      <c r="MAF21" s="87"/>
      <c r="MAG21" s="87"/>
      <c r="MAH21" s="87"/>
      <c r="MAI21" s="87"/>
      <c r="MAJ21" s="87"/>
      <c r="MAK21" s="87"/>
      <c r="MAL21" s="87"/>
      <c r="MAM21" s="87"/>
      <c r="MAN21" s="87"/>
      <c r="MAO21" s="87"/>
      <c r="MAP21" s="87"/>
      <c r="MAQ21" s="87"/>
      <c r="MAR21" s="87"/>
      <c r="MAS21" s="87"/>
      <c r="MAT21" s="87"/>
      <c r="MAU21" s="87"/>
      <c r="MAV21" s="87"/>
      <c r="MAW21" s="87"/>
      <c r="MAX21" s="87"/>
      <c r="MAY21" s="87"/>
      <c r="MAZ21" s="87"/>
      <c r="MBA21" s="87"/>
      <c r="MBB21" s="87"/>
      <c r="MBC21" s="87"/>
      <c r="MBD21" s="87"/>
      <c r="MBE21" s="87"/>
      <c r="MBF21" s="87"/>
      <c r="MBG21" s="87"/>
      <c r="MBH21" s="87"/>
      <c r="MBI21" s="87"/>
      <c r="MBJ21" s="87"/>
      <c r="MBK21" s="87"/>
      <c r="MBL21" s="87"/>
      <c r="MBM21" s="87"/>
      <c r="MBN21" s="87"/>
      <c r="MBO21" s="87"/>
      <c r="MBP21" s="87"/>
      <c r="MBQ21" s="87"/>
      <c r="MBR21" s="87"/>
      <c r="MBS21" s="87"/>
      <c r="MBT21" s="87"/>
      <c r="MBU21" s="87"/>
      <c r="MBV21" s="87"/>
      <c r="MBW21" s="87"/>
      <c r="MBX21" s="87"/>
      <c r="MBY21" s="87"/>
      <c r="MBZ21" s="87"/>
      <c r="MCA21" s="87"/>
      <c r="MCB21" s="87"/>
      <c r="MCC21" s="87"/>
      <c r="MCD21" s="87"/>
      <c r="MCE21" s="87"/>
      <c r="MCF21" s="87"/>
      <c r="MCG21" s="87"/>
      <c r="MCH21" s="87"/>
      <c r="MCI21" s="87"/>
      <c r="MCJ21" s="87"/>
      <c r="MCK21" s="87"/>
      <c r="MCL21" s="87"/>
      <c r="MCM21" s="87"/>
      <c r="MCN21" s="87"/>
      <c r="MCO21" s="87"/>
      <c r="MCP21" s="87"/>
      <c r="MCQ21" s="87"/>
      <c r="MCR21" s="87"/>
      <c r="MCS21" s="87"/>
      <c r="MCT21" s="87"/>
      <c r="MCU21" s="87"/>
      <c r="MCV21" s="87"/>
      <c r="MCW21" s="87"/>
      <c r="MCX21" s="87"/>
      <c r="MCY21" s="87"/>
      <c r="MCZ21" s="87"/>
      <c r="MDA21" s="87"/>
      <c r="MDB21" s="87"/>
      <c r="MDC21" s="87"/>
      <c r="MDD21" s="87"/>
      <c r="MDE21" s="87"/>
      <c r="MDF21" s="87"/>
      <c r="MDG21" s="87"/>
      <c r="MDH21" s="87"/>
      <c r="MDI21" s="87"/>
      <c r="MDJ21" s="87"/>
      <c r="MDK21" s="87"/>
      <c r="MDL21" s="87"/>
      <c r="MDM21" s="87"/>
      <c r="MDN21" s="87"/>
      <c r="MDO21" s="87"/>
      <c r="MDP21" s="87"/>
      <c r="MDQ21" s="87"/>
      <c r="MDR21" s="87"/>
      <c r="MDS21" s="87"/>
      <c r="MDT21" s="87"/>
      <c r="MDU21" s="87"/>
      <c r="MDV21" s="87"/>
      <c r="MDW21" s="87"/>
      <c r="MDX21" s="87"/>
      <c r="MDY21" s="87"/>
      <c r="MDZ21" s="87"/>
      <c r="MEA21" s="87"/>
      <c r="MEB21" s="87"/>
      <c r="MEC21" s="87"/>
      <c r="MED21" s="87"/>
      <c r="MEE21" s="87"/>
      <c r="MEF21" s="87"/>
      <c r="MEG21" s="87"/>
      <c r="MEH21" s="87"/>
      <c r="MEI21" s="87"/>
      <c r="MEJ21" s="87"/>
      <c r="MEK21" s="87"/>
      <c r="MEL21" s="87"/>
      <c r="MEM21" s="87"/>
      <c r="MEN21" s="87"/>
      <c r="MEO21" s="87"/>
      <c r="MEP21" s="87"/>
      <c r="MEQ21" s="87"/>
      <c r="MER21" s="87"/>
      <c r="MES21" s="87"/>
      <c r="MET21" s="87"/>
      <c r="MEU21" s="87"/>
      <c r="MEV21" s="87"/>
      <c r="MEW21" s="87"/>
      <c r="MEX21" s="87"/>
      <c r="MEY21" s="87"/>
      <c r="MEZ21" s="87"/>
      <c r="MFA21" s="87"/>
      <c r="MFB21" s="87"/>
      <c r="MFC21" s="87"/>
      <c r="MFD21" s="87"/>
      <c r="MFE21" s="87"/>
      <c r="MFF21" s="87"/>
      <c r="MFG21" s="87"/>
      <c r="MFH21" s="87"/>
      <c r="MFI21" s="87"/>
      <c r="MFJ21" s="87"/>
      <c r="MFK21" s="87"/>
      <c r="MFL21" s="87"/>
      <c r="MFM21" s="87"/>
      <c r="MFN21" s="87"/>
      <c r="MFO21" s="87"/>
      <c r="MFP21" s="87"/>
      <c r="MFQ21" s="87"/>
      <c r="MFR21" s="87"/>
      <c r="MFS21" s="87"/>
      <c r="MFT21" s="87"/>
      <c r="MFU21" s="87"/>
      <c r="MFV21" s="87"/>
      <c r="MFW21" s="87"/>
      <c r="MFX21" s="87"/>
      <c r="MFY21" s="87"/>
      <c r="MFZ21" s="87"/>
      <c r="MGA21" s="87"/>
      <c r="MGB21" s="87"/>
      <c r="MGC21" s="87"/>
      <c r="MGD21" s="87"/>
      <c r="MGE21" s="87"/>
      <c r="MGF21" s="87"/>
      <c r="MGG21" s="87"/>
      <c r="MGH21" s="87"/>
      <c r="MGI21" s="87"/>
      <c r="MGJ21" s="87"/>
      <c r="MGK21" s="87"/>
      <c r="MGL21" s="87"/>
      <c r="MGM21" s="87"/>
      <c r="MGN21" s="87"/>
      <c r="MGO21" s="87"/>
      <c r="MGP21" s="87"/>
      <c r="MGQ21" s="87"/>
      <c r="MGR21" s="87"/>
      <c r="MGS21" s="87"/>
      <c r="MGT21" s="87"/>
      <c r="MGU21" s="87"/>
      <c r="MGV21" s="87"/>
      <c r="MGW21" s="87"/>
      <c r="MGX21" s="87"/>
      <c r="MGY21" s="87"/>
      <c r="MGZ21" s="87"/>
      <c r="MHA21" s="87"/>
      <c r="MHB21" s="87"/>
      <c r="MHC21" s="87"/>
      <c r="MHD21" s="87"/>
      <c r="MHE21" s="87"/>
      <c r="MHF21" s="87"/>
      <c r="MHG21" s="87"/>
      <c r="MHH21" s="87"/>
      <c r="MHI21" s="87"/>
      <c r="MHJ21" s="87"/>
      <c r="MHK21" s="87"/>
      <c r="MHL21" s="87"/>
      <c r="MHM21" s="87"/>
      <c r="MHN21" s="87"/>
      <c r="MHO21" s="87"/>
      <c r="MHP21" s="87"/>
      <c r="MHQ21" s="87"/>
      <c r="MHR21" s="87"/>
      <c r="MHS21" s="87"/>
      <c r="MHT21" s="87"/>
      <c r="MHU21" s="87"/>
      <c r="MHV21" s="87"/>
      <c r="MHW21" s="87"/>
      <c r="MHX21" s="87"/>
      <c r="MHY21" s="87"/>
      <c r="MHZ21" s="87"/>
      <c r="MIA21" s="87"/>
      <c r="MIB21" s="87"/>
      <c r="MIC21" s="87"/>
      <c r="MID21" s="87"/>
      <c r="MIE21" s="87"/>
      <c r="MIF21" s="87"/>
      <c r="MIG21" s="87"/>
      <c r="MIH21" s="87"/>
      <c r="MII21" s="87"/>
      <c r="MIJ21" s="87"/>
      <c r="MIK21" s="87"/>
      <c r="MIL21" s="87"/>
      <c r="MIM21" s="87"/>
      <c r="MIN21" s="87"/>
      <c r="MIO21" s="87"/>
      <c r="MIP21" s="87"/>
      <c r="MIQ21" s="87"/>
      <c r="MIR21" s="87"/>
      <c r="MIS21" s="87"/>
      <c r="MIT21" s="87"/>
      <c r="MIU21" s="87"/>
      <c r="MIV21" s="87"/>
      <c r="MIW21" s="87"/>
      <c r="MIX21" s="87"/>
      <c r="MIY21" s="87"/>
      <c r="MIZ21" s="87"/>
      <c r="MJA21" s="87"/>
      <c r="MJB21" s="87"/>
      <c r="MJC21" s="87"/>
      <c r="MJD21" s="87"/>
      <c r="MJE21" s="87"/>
      <c r="MJF21" s="87"/>
      <c r="MJG21" s="87"/>
      <c r="MJH21" s="87"/>
      <c r="MJI21" s="87"/>
      <c r="MJJ21" s="87"/>
      <c r="MJK21" s="87"/>
      <c r="MJL21" s="87"/>
      <c r="MJM21" s="87"/>
      <c r="MJN21" s="87"/>
      <c r="MJO21" s="87"/>
      <c r="MJP21" s="87"/>
      <c r="MJQ21" s="87"/>
      <c r="MJR21" s="87"/>
      <c r="MJS21" s="87"/>
      <c r="MJT21" s="87"/>
      <c r="MJU21" s="87"/>
      <c r="MJV21" s="87"/>
      <c r="MJW21" s="87"/>
      <c r="MJX21" s="87"/>
      <c r="MJY21" s="87"/>
      <c r="MJZ21" s="87"/>
      <c r="MKA21" s="87"/>
      <c r="MKB21" s="87"/>
      <c r="MKC21" s="87"/>
      <c r="MKD21" s="87"/>
      <c r="MKE21" s="87"/>
      <c r="MKF21" s="87"/>
      <c r="MKG21" s="87"/>
      <c r="MKH21" s="87"/>
      <c r="MKI21" s="87"/>
      <c r="MKJ21" s="87"/>
      <c r="MKK21" s="87"/>
      <c r="MKL21" s="87"/>
      <c r="MKM21" s="87"/>
      <c r="MKN21" s="87"/>
      <c r="MKO21" s="87"/>
      <c r="MKP21" s="87"/>
      <c r="MKQ21" s="87"/>
      <c r="MKR21" s="87"/>
      <c r="MKS21" s="87"/>
      <c r="MKT21" s="87"/>
      <c r="MKU21" s="87"/>
      <c r="MKV21" s="87"/>
      <c r="MKW21" s="87"/>
      <c r="MKX21" s="87"/>
      <c r="MKY21" s="87"/>
      <c r="MKZ21" s="87"/>
      <c r="MLA21" s="87"/>
      <c r="MLB21" s="87"/>
      <c r="MLC21" s="87"/>
      <c r="MLD21" s="87"/>
      <c r="MLE21" s="87"/>
      <c r="MLF21" s="87"/>
      <c r="MLG21" s="87"/>
      <c r="MLH21" s="87"/>
      <c r="MLI21" s="87"/>
      <c r="MLJ21" s="87"/>
      <c r="MLK21" s="87"/>
      <c r="MLL21" s="87"/>
      <c r="MLM21" s="87"/>
      <c r="MLN21" s="87"/>
      <c r="MLO21" s="87"/>
      <c r="MLP21" s="87"/>
      <c r="MLQ21" s="87"/>
      <c r="MLR21" s="87"/>
      <c r="MLS21" s="87"/>
      <c r="MLT21" s="87"/>
      <c r="MLU21" s="87"/>
      <c r="MLV21" s="87"/>
      <c r="MLW21" s="87"/>
      <c r="MLX21" s="87"/>
      <c r="MLY21" s="87"/>
      <c r="MLZ21" s="87"/>
      <c r="MMA21" s="87"/>
      <c r="MMB21" s="87"/>
      <c r="MMC21" s="87"/>
      <c r="MMD21" s="87"/>
      <c r="MME21" s="87"/>
      <c r="MMF21" s="87"/>
      <c r="MMG21" s="87"/>
      <c r="MMH21" s="87"/>
      <c r="MMI21" s="87"/>
      <c r="MMJ21" s="87"/>
      <c r="MMK21" s="87"/>
      <c r="MML21" s="87"/>
      <c r="MMM21" s="87"/>
      <c r="MMN21" s="87"/>
      <c r="MMO21" s="87"/>
      <c r="MMP21" s="87"/>
      <c r="MMQ21" s="87"/>
      <c r="MMR21" s="87"/>
      <c r="MMS21" s="87"/>
      <c r="MMT21" s="87"/>
      <c r="MMU21" s="87"/>
      <c r="MMV21" s="87"/>
      <c r="MMW21" s="87"/>
      <c r="MMX21" s="87"/>
      <c r="MMY21" s="87"/>
      <c r="MMZ21" s="87"/>
      <c r="MNA21" s="87"/>
      <c r="MNB21" s="87"/>
      <c r="MNC21" s="87"/>
      <c r="MND21" s="87"/>
      <c r="MNE21" s="87"/>
      <c r="MNF21" s="87"/>
      <c r="MNG21" s="87"/>
      <c r="MNH21" s="87"/>
      <c r="MNI21" s="87"/>
      <c r="MNJ21" s="87"/>
      <c r="MNK21" s="87"/>
      <c r="MNL21" s="87"/>
      <c r="MNM21" s="87"/>
      <c r="MNN21" s="87"/>
      <c r="MNO21" s="87"/>
      <c r="MNP21" s="87"/>
      <c r="MNQ21" s="87"/>
      <c r="MNR21" s="87"/>
      <c r="MNS21" s="87"/>
      <c r="MNT21" s="87"/>
      <c r="MNU21" s="87"/>
      <c r="MNV21" s="87"/>
      <c r="MNW21" s="87"/>
      <c r="MNX21" s="87"/>
      <c r="MNY21" s="87"/>
      <c r="MNZ21" s="87"/>
      <c r="MOA21" s="87"/>
      <c r="MOB21" s="87"/>
      <c r="MOC21" s="87"/>
      <c r="MOD21" s="87"/>
      <c r="MOE21" s="87"/>
      <c r="MOF21" s="87"/>
      <c r="MOG21" s="87"/>
      <c r="MOH21" s="87"/>
      <c r="MOI21" s="87"/>
      <c r="MOJ21" s="87"/>
      <c r="MOK21" s="87"/>
      <c r="MOL21" s="87"/>
      <c r="MOM21" s="87"/>
      <c r="MON21" s="87"/>
      <c r="MOO21" s="87"/>
      <c r="MOP21" s="87"/>
      <c r="MOQ21" s="87"/>
      <c r="MOR21" s="87"/>
      <c r="MOS21" s="87"/>
      <c r="MOT21" s="87"/>
      <c r="MOU21" s="87"/>
      <c r="MOV21" s="87"/>
      <c r="MOW21" s="87"/>
      <c r="MOX21" s="87"/>
      <c r="MOY21" s="87"/>
      <c r="MOZ21" s="87"/>
      <c r="MPA21" s="87"/>
      <c r="MPB21" s="87"/>
      <c r="MPC21" s="87"/>
      <c r="MPD21" s="87"/>
      <c r="MPE21" s="87"/>
      <c r="MPF21" s="87"/>
      <c r="MPG21" s="87"/>
      <c r="MPH21" s="87"/>
      <c r="MPI21" s="87"/>
      <c r="MPJ21" s="87"/>
      <c r="MPK21" s="87"/>
      <c r="MPL21" s="87"/>
      <c r="MPM21" s="87"/>
      <c r="MPN21" s="87"/>
      <c r="MPO21" s="87"/>
      <c r="MPP21" s="87"/>
      <c r="MPQ21" s="87"/>
      <c r="MPR21" s="87"/>
      <c r="MPS21" s="87"/>
      <c r="MPT21" s="87"/>
      <c r="MPU21" s="87"/>
      <c r="MPV21" s="87"/>
      <c r="MPW21" s="87"/>
      <c r="MPX21" s="87"/>
      <c r="MPY21" s="87"/>
      <c r="MPZ21" s="87"/>
      <c r="MQA21" s="87"/>
      <c r="MQB21" s="87"/>
      <c r="MQC21" s="87"/>
      <c r="MQD21" s="87"/>
      <c r="MQE21" s="87"/>
      <c r="MQF21" s="87"/>
      <c r="MQG21" s="87"/>
      <c r="MQH21" s="87"/>
      <c r="MQI21" s="87"/>
      <c r="MQJ21" s="87"/>
      <c r="MQK21" s="87"/>
      <c r="MQL21" s="87"/>
      <c r="MQM21" s="87"/>
      <c r="MQN21" s="87"/>
      <c r="MQO21" s="87"/>
      <c r="MQP21" s="87"/>
      <c r="MQQ21" s="87"/>
      <c r="MQR21" s="87"/>
      <c r="MQS21" s="87"/>
      <c r="MQT21" s="87"/>
      <c r="MQU21" s="87"/>
      <c r="MQV21" s="87"/>
      <c r="MQW21" s="87"/>
      <c r="MQX21" s="87"/>
      <c r="MQY21" s="87"/>
      <c r="MQZ21" s="87"/>
      <c r="MRA21" s="87"/>
      <c r="MRB21" s="87"/>
      <c r="MRC21" s="87"/>
      <c r="MRD21" s="87"/>
      <c r="MRE21" s="87"/>
      <c r="MRF21" s="87"/>
      <c r="MRG21" s="87"/>
      <c r="MRH21" s="87"/>
      <c r="MRI21" s="87"/>
      <c r="MRJ21" s="87"/>
      <c r="MRK21" s="87"/>
      <c r="MRL21" s="87"/>
      <c r="MRM21" s="87"/>
      <c r="MRN21" s="87"/>
      <c r="MRO21" s="87"/>
      <c r="MRP21" s="87"/>
      <c r="MRQ21" s="87"/>
      <c r="MRR21" s="87"/>
      <c r="MRS21" s="87"/>
      <c r="MRT21" s="87"/>
      <c r="MRU21" s="87"/>
      <c r="MRV21" s="87"/>
      <c r="MRW21" s="87"/>
      <c r="MRX21" s="87"/>
      <c r="MRY21" s="87"/>
      <c r="MRZ21" s="87"/>
      <c r="MSA21" s="87"/>
      <c r="MSB21" s="87"/>
      <c r="MSC21" s="87"/>
      <c r="MSD21" s="87"/>
      <c r="MSE21" s="87"/>
      <c r="MSF21" s="87"/>
      <c r="MSG21" s="87"/>
      <c r="MSH21" s="87"/>
      <c r="MSI21" s="87"/>
      <c r="MSJ21" s="87"/>
      <c r="MSK21" s="87"/>
      <c r="MSL21" s="87"/>
      <c r="MSM21" s="87"/>
      <c r="MSN21" s="87"/>
      <c r="MSO21" s="87"/>
      <c r="MSP21" s="87"/>
      <c r="MSQ21" s="87"/>
      <c r="MSR21" s="87"/>
      <c r="MSS21" s="87"/>
      <c r="MST21" s="87"/>
      <c r="MSU21" s="87"/>
      <c r="MSV21" s="87"/>
      <c r="MSW21" s="87"/>
      <c r="MSX21" s="87"/>
      <c r="MSY21" s="87"/>
      <c r="MSZ21" s="87"/>
      <c r="MTA21" s="87"/>
      <c r="MTB21" s="87"/>
      <c r="MTC21" s="87"/>
      <c r="MTD21" s="87"/>
      <c r="MTE21" s="87"/>
      <c r="MTF21" s="87"/>
      <c r="MTG21" s="87"/>
      <c r="MTH21" s="87"/>
      <c r="MTI21" s="87"/>
      <c r="MTJ21" s="87"/>
      <c r="MTK21" s="87"/>
      <c r="MTL21" s="87"/>
      <c r="MTM21" s="87"/>
      <c r="MTN21" s="87"/>
      <c r="MTO21" s="87"/>
      <c r="MTP21" s="87"/>
      <c r="MTQ21" s="87"/>
      <c r="MTR21" s="87"/>
      <c r="MTS21" s="87"/>
      <c r="MTT21" s="87"/>
      <c r="MTU21" s="87"/>
      <c r="MTV21" s="87"/>
      <c r="MTW21" s="87"/>
      <c r="MTX21" s="87"/>
      <c r="MTY21" s="87"/>
      <c r="MTZ21" s="87"/>
      <c r="MUA21" s="87"/>
      <c r="MUB21" s="87"/>
      <c r="MUC21" s="87"/>
      <c r="MUD21" s="87"/>
      <c r="MUE21" s="87"/>
      <c r="MUF21" s="87"/>
      <c r="MUG21" s="87"/>
      <c r="MUH21" s="87"/>
      <c r="MUI21" s="87"/>
      <c r="MUJ21" s="87"/>
      <c r="MUK21" s="87"/>
      <c r="MUL21" s="87"/>
      <c r="MUM21" s="87"/>
      <c r="MUN21" s="87"/>
      <c r="MUO21" s="87"/>
      <c r="MUP21" s="87"/>
      <c r="MUQ21" s="87"/>
      <c r="MUR21" s="87"/>
      <c r="MUS21" s="87"/>
      <c r="MUT21" s="87"/>
      <c r="MUU21" s="87"/>
      <c r="MUV21" s="87"/>
      <c r="MUW21" s="87"/>
      <c r="MUX21" s="87"/>
      <c r="MUY21" s="87"/>
      <c r="MUZ21" s="87"/>
      <c r="MVA21" s="87"/>
      <c r="MVB21" s="87"/>
      <c r="MVC21" s="87"/>
      <c r="MVD21" s="87"/>
      <c r="MVE21" s="87"/>
      <c r="MVF21" s="87"/>
      <c r="MVG21" s="87"/>
      <c r="MVH21" s="87"/>
      <c r="MVI21" s="87"/>
      <c r="MVJ21" s="87"/>
      <c r="MVK21" s="87"/>
      <c r="MVL21" s="87"/>
      <c r="MVM21" s="87"/>
      <c r="MVN21" s="87"/>
      <c r="MVO21" s="87"/>
      <c r="MVP21" s="87"/>
      <c r="MVQ21" s="87"/>
      <c r="MVR21" s="87"/>
      <c r="MVS21" s="87"/>
      <c r="MVT21" s="87"/>
      <c r="MVU21" s="87"/>
      <c r="MVV21" s="87"/>
      <c r="MVW21" s="87"/>
      <c r="MVX21" s="87"/>
      <c r="MVY21" s="87"/>
      <c r="MVZ21" s="87"/>
      <c r="MWA21" s="87"/>
      <c r="MWB21" s="87"/>
      <c r="MWC21" s="87"/>
      <c r="MWD21" s="87"/>
      <c r="MWE21" s="87"/>
      <c r="MWF21" s="87"/>
      <c r="MWG21" s="87"/>
      <c r="MWH21" s="87"/>
      <c r="MWI21" s="87"/>
      <c r="MWJ21" s="87"/>
      <c r="MWK21" s="87"/>
      <c r="MWL21" s="87"/>
      <c r="MWM21" s="87"/>
      <c r="MWN21" s="87"/>
      <c r="MWO21" s="87"/>
      <c r="MWP21" s="87"/>
      <c r="MWQ21" s="87"/>
      <c r="MWR21" s="87"/>
      <c r="MWS21" s="87"/>
      <c r="MWT21" s="87"/>
      <c r="MWU21" s="87"/>
      <c r="MWV21" s="87"/>
      <c r="MWW21" s="87"/>
      <c r="MWX21" s="87"/>
      <c r="MWY21" s="87"/>
      <c r="MWZ21" s="87"/>
      <c r="MXA21" s="87"/>
      <c r="MXB21" s="87"/>
      <c r="MXC21" s="87"/>
      <c r="MXD21" s="87"/>
      <c r="MXE21" s="87"/>
      <c r="MXF21" s="87"/>
      <c r="MXG21" s="87"/>
      <c r="MXH21" s="87"/>
      <c r="MXI21" s="87"/>
      <c r="MXJ21" s="87"/>
      <c r="MXK21" s="87"/>
      <c r="MXL21" s="87"/>
      <c r="MXM21" s="87"/>
      <c r="MXN21" s="87"/>
      <c r="MXO21" s="87"/>
      <c r="MXP21" s="87"/>
      <c r="MXQ21" s="87"/>
      <c r="MXR21" s="87"/>
      <c r="MXS21" s="87"/>
      <c r="MXT21" s="87"/>
      <c r="MXU21" s="87"/>
      <c r="MXV21" s="87"/>
      <c r="MXW21" s="87"/>
      <c r="MXX21" s="87"/>
      <c r="MXY21" s="87"/>
      <c r="MXZ21" s="87"/>
      <c r="MYA21" s="87"/>
      <c r="MYB21" s="87"/>
      <c r="MYC21" s="87"/>
      <c r="MYD21" s="87"/>
      <c r="MYE21" s="87"/>
      <c r="MYF21" s="87"/>
      <c r="MYG21" s="87"/>
      <c r="MYH21" s="87"/>
      <c r="MYI21" s="87"/>
      <c r="MYJ21" s="87"/>
      <c r="MYK21" s="87"/>
      <c r="MYL21" s="87"/>
      <c r="MYM21" s="87"/>
      <c r="MYN21" s="87"/>
      <c r="MYO21" s="87"/>
      <c r="MYP21" s="87"/>
      <c r="MYQ21" s="87"/>
      <c r="MYR21" s="87"/>
      <c r="MYS21" s="87"/>
      <c r="MYT21" s="87"/>
      <c r="MYU21" s="87"/>
      <c r="MYV21" s="87"/>
      <c r="MYW21" s="87"/>
      <c r="MYX21" s="87"/>
      <c r="MYY21" s="87"/>
      <c r="MYZ21" s="87"/>
      <c r="MZA21" s="87"/>
      <c r="MZB21" s="87"/>
      <c r="MZC21" s="87"/>
      <c r="MZD21" s="87"/>
      <c r="MZE21" s="87"/>
      <c r="MZF21" s="87"/>
      <c r="MZG21" s="87"/>
      <c r="MZH21" s="87"/>
      <c r="MZI21" s="87"/>
      <c r="MZJ21" s="87"/>
      <c r="MZK21" s="87"/>
      <c r="MZL21" s="87"/>
      <c r="MZM21" s="87"/>
      <c r="MZN21" s="87"/>
      <c r="MZO21" s="87"/>
      <c r="MZP21" s="87"/>
      <c r="MZQ21" s="87"/>
      <c r="MZR21" s="87"/>
      <c r="MZS21" s="87"/>
      <c r="MZT21" s="87"/>
      <c r="MZU21" s="87"/>
      <c r="MZV21" s="87"/>
      <c r="MZW21" s="87"/>
      <c r="MZX21" s="87"/>
      <c r="MZY21" s="87"/>
      <c r="MZZ21" s="87"/>
      <c r="NAA21" s="87"/>
      <c r="NAB21" s="87"/>
      <c r="NAC21" s="87"/>
      <c r="NAD21" s="87"/>
      <c r="NAE21" s="87"/>
      <c r="NAF21" s="87"/>
      <c r="NAG21" s="87"/>
      <c r="NAH21" s="87"/>
      <c r="NAI21" s="87"/>
      <c r="NAJ21" s="87"/>
      <c r="NAK21" s="87"/>
      <c r="NAL21" s="87"/>
      <c r="NAM21" s="87"/>
      <c r="NAN21" s="87"/>
      <c r="NAO21" s="87"/>
      <c r="NAP21" s="87"/>
      <c r="NAQ21" s="87"/>
      <c r="NAR21" s="87"/>
      <c r="NAS21" s="87"/>
      <c r="NAT21" s="87"/>
      <c r="NAU21" s="87"/>
      <c r="NAV21" s="87"/>
      <c r="NAW21" s="87"/>
      <c r="NAX21" s="87"/>
      <c r="NAY21" s="87"/>
      <c r="NAZ21" s="87"/>
      <c r="NBA21" s="87"/>
      <c r="NBB21" s="87"/>
      <c r="NBC21" s="87"/>
      <c r="NBD21" s="87"/>
      <c r="NBE21" s="87"/>
      <c r="NBF21" s="87"/>
      <c r="NBG21" s="87"/>
      <c r="NBH21" s="87"/>
      <c r="NBI21" s="87"/>
      <c r="NBJ21" s="87"/>
      <c r="NBK21" s="87"/>
      <c r="NBL21" s="87"/>
      <c r="NBM21" s="87"/>
      <c r="NBN21" s="87"/>
      <c r="NBO21" s="87"/>
      <c r="NBP21" s="87"/>
      <c r="NBQ21" s="87"/>
      <c r="NBR21" s="87"/>
      <c r="NBS21" s="87"/>
      <c r="NBT21" s="87"/>
      <c r="NBU21" s="87"/>
      <c r="NBV21" s="87"/>
      <c r="NBW21" s="87"/>
      <c r="NBX21" s="87"/>
      <c r="NBY21" s="87"/>
      <c r="NBZ21" s="87"/>
      <c r="NCA21" s="87"/>
      <c r="NCB21" s="87"/>
      <c r="NCC21" s="87"/>
      <c r="NCD21" s="87"/>
      <c r="NCE21" s="87"/>
      <c r="NCF21" s="87"/>
      <c r="NCG21" s="87"/>
      <c r="NCH21" s="87"/>
      <c r="NCI21" s="87"/>
      <c r="NCJ21" s="87"/>
      <c r="NCK21" s="87"/>
      <c r="NCL21" s="87"/>
      <c r="NCM21" s="87"/>
      <c r="NCN21" s="87"/>
      <c r="NCO21" s="87"/>
      <c r="NCP21" s="87"/>
      <c r="NCQ21" s="87"/>
      <c r="NCR21" s="87"/>
      <c r="NCS21" s="87"/>
      <c r="NCT21" s="87"/>
      <c r="NCU21" s="87"/>
      <c r="NCV21" s="87"/>
      <c r="NCW21" s="87"/>
      <c r="NCX21" s="87"/>
      <c r="NCY21" s="87"/>
      <c r="NCZ21" s="87"/>
      <c r="NDA21" s="87"/>
      <c r="NDB21" s="87"/>
      <c r="NDC21" s="87"/>
      <c r="NDD21" s="87"/>
      <c r="NDE21" s="87"/>
      <c r="NDF21" s="87"/>
      <c r="NDG21" s="87"/>
      <c r="NDH21" s="87"/>
      <c r="NDI21" s="87"/>
      <c r="NDJ21" s="87"/>
      <c r="NDK21" s="87"/>
      <c r="NDL21" s="87"/>
      <c r="NDM21" s="87"/>
      <c r="NDN21" s="87"/>
      <c r="NDO21" s="87"/>
      <c r="NDP21" s="87"/>
      <c r="NDQ21" s="87"/>
      <c r="NDR21" s="87"/>
      <c r="NDS21" s="87"/>
      <c r="NDT21" s="87"/>
      <c r="NDU21" s="87"/>
      <c r="NDV21" s="87"/>
      <c r="NDW21" s="87"/>
      <c r="NDX21" s="87"/>
      <c r="NDY21" s="87"/>
      <c r="NDZ21" s="87"/>
      <c r="NEA21" s="87"/>
      <c r="NEB21" s="87"/>
      <c r="NEC21" s="87"/>
      <c r="NED21" s="87"/>
      <c r="NEE21" s="87"/>
      <c r="NEF21" s="87"/>
      <c r="NEG21" s="87"/>
      <c r="NEH21" s="87"/>
      <c r="NEI21" s="87"/>
      <c r="NEJ21" s="87"/>
      <c r="NEK21" s="87"/>
      <c r="NEL21" s="87"/>
      <c r="NEM21" s="87"/>
      <c r="NEN21" s="87"/>
      <c r="NEO21" s="87"/>
      <c r="NEP21" s="87"/>
      <c r="NEQ21" s="87"/>
      <c r="NER21" s="87"/>
      <c r="NES21" s="87"/>
      <c r="NET21" s="87"/>
      <c r="NEU21" s="87"/>
      <c r="NEV21" s="87"/>
      <c r="NEW21" s="87"/>
      <c r="NEX21" s="87"/>
      <c r="NEY21" s="87"/>
      <c r="NEZ21" s="87"/>
      <c r="NFA21" s="87"/>
      <c r="NFB21" s="87"/>
      <c r="NFC21" s="87"/>
      <c r="NFD21" s="87"/>
      <c r="NFE21" s="87"/>
      <c r="NFF21" s="87"/>
      <c r="NFG21" s="87"/>
      <c r="NFH21" s="87"/>
      <c r="NFI21" s="87"/>
      <c r="NFJ21" s="87"/>
      <c r="NFK21" s="87"/>
      <c r="NFL21" s="87"/>
      <c r="NFM21" s="87"/>
      <c r="NFN21" s="87"/>
      <c r="NFO21" s="87"/>
      <c r="NFP21" s="87"/>
      <c r="NFQ21" s="87"/>
      <c r="NFR21" s="87"/>
      <c r="NFS21" s="87"/>
      <c r="NFT21" s="87"/>
      <c r="NFU21" s="87"/>
      <c r="NFV21" s="87"/>
      <c r="NFW21" s="87"/>
      <c r="NFX21" s="87"/>
      <c r="NFY21" s="87"/>
      <c r="NFZ21" s="87"/>
      <c r="NGA21" s="87"/>
      <c r="NGB21" s="87"/>
      <c r="NGC21" s="87"/>
      <c r="NGD21" s="87"/>
      <c r="NGE21" s="87"/>
      <c r="NGF21" s="87"/>
      <c r="NGG21" s="87"/>
      <c r="NGH21" s="87"/>
      <c r="NGI21" s="87"/>
      <c r="NGJ21" s="87"/>
      <c r="NGK21" s="87"/>
      <c r="NGL21" s="87"/>
      <c r="NGM21" s="87"/>
      <c r="NGN21" s="87"/>
      <c r="NGO21" s="87"/>
      <c r="NGP21" s="87"/>
      <c r="NGQ21" s="87"/>
      <c r="NGR21" s="87"/>
      <c r="NGS21" s="87"/>
      <c r="NGT21" s="87"/>
      <c r="NGU21" s="87"/>
      <c r="NGV21" s="87"/>
      <c r="NGW21" s="87"/>
      <c r="NGX21" s="87"/>
      <c r="NGY21" s="87"/>
      <c r="NGZ21" s="87"/>
      <c r="NHA21" s="87"/>
      <c r="NHB21" s="87"/>
      <c r="NHC21" s="87"/>
      <c r="NHD21" s="87"/>
      <c r="NHE21" s="87"/>
      <c r="NHF21" s="87"/>
      <c r="NHG21" s="87"/>
      <c r="NHH21" s="87"/>
      <c r="NHI21" s="87"/>
      <c r="NHJ21" s="87"/>
      <c r="NHK21" s="87"/>
      <c r="NHL21" s="87"/>
      <c r="NHM21" s="87"/>
      <c r="NHN21" s="87"/>
      <c r="NHO21" s="87"/>
      <c r="NHP21" s="87"/>
      <c r="NHQ21" s="87"/>
      <c r="NHR21" s="87"/>
      <c r="NHS21" s="87"/>
      <c r="NHT21" s="87"/>
      <c r="NHU21" s="87"/>
      <c r="NHV21" s="87"/>
      <c r="NHW21" s="87"/>
      <c r="NHX21" s="87"/>
      <c r="NHY21" s="87"/>
      <c r="NHZ21" s="87"/>
      <c r="NIA21" s="87"/>
      <c r="NIB21" s="87"/>
      <c r="NIC21" s="87"/>
      <c r="NID21" s="87"/>
      <c r="NIE21" s="87"/>
      <c r="NIF21" s="87"/>
      <c r="NIG21" s="87"/>
      <c r="NIH21" s="87"/>
      <c r="NII21" s="87"/>
      <c r="NIJ21" s="87"/>
      <c r="NIK21" s="87"/>
      <c r="NIL21" s="87"/>
      <c r="NIM21" s="87"/>
      <c r="NIN21" s="87"/>
      <c r="NIO21" s="87"/>
      <c r="NIP21" s="87"/>
      <c r="NIQ21" s="87"/>
      <c r="NIR21" s="87"/>
      <c r="NIS21" s="87"/>
      <c r="NIT21" s="87"/>
      <c r="NIU21" s="87"/>
      <c r="NIV21" s="87"/>
      <c r="NIW21" s="87"/>
      <c r="NIX21" s="87"/>
      <c r="NIY21" s="87"/>
      <c r="NIZ21" s="87"/>
      <c r="NJA21" s="87"/>
      <c r="NJB21" s="87"/>
      <c r="NJC21" s="87"/>
      <c r="NJD21" s="87"/>
      <c r="NJE21" s="87"/>
      <c r="NJF21" s="87"/>
      <c r="NJG21" s="87"/>
      <c r="NJH21" s="87"/>
      <c r="NJI21" s="87"/>
      <c r="NJJ21" s="87"/>
      <c r="NJK21" s="87"/>
      <c r="NJL21" s="87"/>
      <c r="NJM21" s="87"/>
      <c r="NJN21" s="87"/>
      <c r="NJO21" s="87"/>
      <c r="NJP21" s="87"/>
      <c r="NJQ21" s="87"/>
      <c r="NJR21" s="87"/>
      <c r="NJS21" s="87"/>
      <c r="NJT21" s="87"/>
      <c r="NJU21" s="87"/>
      <c r="NJV21" s="87"/>
      <c r="NJW21" s="87"/>
      <c r="NJX21" s="87"/>
      <c r="NJY21" s="87"/>
      <c r="NJZ21" s="87"/>
      <c r="NKA21" s="87"/>
      <c r="NKB21" s="87"/>
      <c r="NKC21" s="87"/>
      <c r="NKD21" s="87"/>
      <c r="NKE21" s="87"/>
      <c r="NKF21" s="87"/>
      <c r="NKG21" s="87"/>
      <c r="NKH21" s="87"/>
      <c r="NKI21" s="87"/>
      <c r="NKJ21" s="87"/>
      <c r="NKK21" s="87"/>
      <c r="NKL21" s="87"/>
      <c r="NKM21" s="87"/>
      <c r="NKN21" s="87"/>
      <c r="NKO21" s="87"/>
      <c r="NKP21" s="87"/>
      <c r="NKQ21" s="87"/>
      <c r="NKR21" s="87"/>
      <c r="NKS21" s="87"/>
      <c r="NKT21" s="87"/>
      <c r="NKU21" s="87"/>
      <c r="NKV21" s="87"/>
      <c r="NKW21" s="87"/>
      <c r="NKX21" s="87"/>
      <c r="NKY21" s="87"/>
      <c r="NKZ21" s="87"/>
      <c r="NLA21" s="87"/>
      <c r="NLB21" s="87"/>
      <c r="NLC21" s="87"/>
      <c r="NLD21" s="87"/>
      <c r="NLE21" s="87"/>
      <c r="NLF21" s="87"/>
      <c r="NLG21" s="87"/>
      <c r="NLH21" s="87"/>
      <c r="NLI21" s="87"/>
      <c r="NLJ21" s="87"/>
      <c r="NLK21" s="87"/>
      <c r="NLL21" s="87"/>
      <c r="NLM21" s="87"/>
      <c r="NLN21" s="87"/>
      <c r="NLO21" s="87"/>
      <c r="NLP21" s="87"/>
      <c r="NLQ21" s="87"/>
      <c r="NLR21" s="87"/>
      <c r="NLS21" s="87"/>
      <c r="NLT21" s="87"/>
      <c r="NLU21" s="87"/>
      <c r="NLV21" s="87"/>
      <c r="NLW21" s="87"/>
      <c r="NLX21" s="87"/>
      <c r="NLY21" s="87"/>
      <c r="NLZ21" s="87"/>
      <c r="NMA21" s="87"/>
      <c r="NMB21" s="87"/>
      <c r="NMC21" s="87"/>
      <c r="NMD21" s="87"/>
      <c r="NME21" s="87"/>
      <c r="NMF21" s="87"/>
      <c r="NMG21" s="87"/>
      <c r="NMH21" s="87"/>
      <c r="NMI21" s="87"/>
      <c r="NMJ21" s="87"/>
      <c r="NMK21" s="87"/>
      <c r="NML21" s="87"/>
      <c r="NMM21" s="87"/>
      <c r="NMN21" s="87"/>
      <c r="NMO21" s="87"/>
      <c r="NMP21" s="87"/>
      <c r="NMQ21" s="87"/>
      <c r="NMR21" s="87"/>
      <c r="NMS21" s="87"/>
      <c r="NMT21" s="87"/>
      <c r="NMU21" s="87"/>
      <c r="NMV21" s="87"/>
      <c r="NMW21" s="87"/>
      <c r="NMX21" s="87"/>
      <c r="NMY21" s="87"/>
      <c r="NMZ21" s="87"/>
      <c r="NNA21" s="87"/>
      <c r="NNB21" s="87"/>
      <c r="NNC21" s="87"/>
      <c r="NND21" s="87"/>
      <c r="NNE21" s="87"/>
      <c r="NNF21" s="87"/>
      <c r="NNG21" s="87"/>
      <c r="NNH21" s="87"/>
      <c r="NNI21" s="87"/>
      <c r="NNJ21" s="87"/>
      <c r="NNK21" s="87"/>
      <c r="NNL21" s="87"/>
      <c r="NNM21" s="87"/>
      <c r="NNN21" s="87"/>
      <c r="NNO21" s="87"/>
      <c r="NNP21" s="87"/>
      <c r="NNQ21" s="87"/>
      <c r="NNR21" s="87"/>
      <c r="NNS21" s="87"/>
      <c r="NNT21" s="87"/>
      <c r="NNU21" s="87"/>
      <c r="NNV21" s="87"/>
      <c r="NNW21" s="87"/>
      <c r="NNX21" s="87"/>
      <c r="NNY21" s="87"/>
      <c r="NNZ21" s="87"/>
      <c r="NOA21" s="87"/>
      <c r="NOB21" s="87"/>
      <c r="NOC21" s="87"/>
      <c r="NOD21" s="87"/>
      <c r="NOE21" s="87"/>
      <c r="NOF21" s="87"/>
      <c r="NOG21" s="87"/>
      <c r="NOH21" s="87"/>
      <c r="NOI21" s="87"/>
      <c r="NOJ21" s="87"/>
      <c r="NOK21" s="87"/>
      <c r="NOL21" s="87"/>
      <c r="NOM21" s="87"/>
      <c r="NON21" s="87"/>
      <c r="NOO21" s="87"/>
      <c r="NOP21" s="87"/>
      <c r="NOQ21" s="87"/>
      <c r="NOR21" s="87"/>
      <c r="NOS21" s="87"/>
      <c r="NOT21" s="87"/>
      <c r="NOU21" s="87"/>
      <c r="NOV21" s="87"/>
      <c r="NOW21" s="87"/>
      <c r="NOX21" s="87"/>
      <c r="NOY21" s="87"/>
      <c r="NOZ21" s="87"/>
      <c r="NPA21" s="87"/>
      <c r="NPB21" s="87"/>
      <c r="NPC21" s="87"/>
      <c r="NPD21" s="87"/>
      <c r="NPE21" s="87"/>
      <c r="NPF21" s="87"/>
      <c r="NPG21" s="87"/>
      <c r="NPH21" s="87"/>
      <c r="NPI21" s="87"/>
      <c r="NPJ21" s="87"/>
      <c r="NPK21" s="87"/>
      <c r="NPL21" s="87"/>
      <c r="NPM21" s="87"/>
      <c r="NPN21" s="87"/>
      <c r="NPO21" s="87"/>
      <c r="NPP21" s="87"/>
      <c r="NPQ21" s="87"/>
      <c r="NPR21" s="87"/>
      <c r="NPS21" s="87"/>
      <c r="NPT21" s="87"/>
      <c r="NPU21" s="87"/>
      <c r="NPV21" s="87"/>
      <c r="NPW21" s="87"/>
      <c r="NPX21" s="87"/>
      <c r="NPY21" s="87"/>
      <c r="NPZ21" s="87"/>
      <c r="NQA21" s="87"/>
      <c r="NQB21" s="87"/>
      <c r="NQC21" s="87"/>
      <c r="NQD21" s="87"/>
      <c r="NQE21" s="87"/>
      <c r="NQF21" s="87"/>
      <c r="NQG21" s="87"/>
      <c r="NQH21" s="87"/>
      <c r="NQI21" s="87"/>
      <c r="NQJ21" s="87"/>
      <c r="NQK21" s="87"/>
      <c r="NQL21" s="87"/>
      <c r="NQM21" s="87"/>
      <c r="NQN21" s="87"/>
      <c r="NQO21" s="87"/>
      <c r="NQP21" s="87"/>
      <c r="NQQ21" s="87"/>
      <c r="NQR21" s="87"/>
      <c r="NQS21" s="87"/>
      <c r="NQT21" s="87"/>
      <c r="NQU21" s="87"/>
      <c r="NQV21" s="87"/>
      <c r="NQW21" s="87"/>
      <c r="NQX21" s="87"/>
      <c r="NQY21" s="87"/>
      <c r="NQZ21" s="87"/>
      <c r="NRA21" s="87"/>
      <c r="NRB21" s="87"/>
      <c r="NRC21" s="87"/>
      <c r="NRD21" s="87"/>
      <c r="NRE21" s="87"/>
      <c r="NRF21" s="87"/>
      <c r="NRG21" s="87"/>
      <c r="NRH21" s="87"/>
      <c r="NRI21" s="87"/>
      <c r="NRJ21" s="87"/>
      <c r="NRK21" s="87"/>
      <c r="NRL21" s="87"/>
      <c r="NRM21" s="87"/>
      <c r="NRN21" s="87"/>
      <c r="NRO21" s="87"/>
      <c r="NRP21" s="87"/>
      <c r="NRQ21" s="87"/>
      <c r="NRR21" s="87"/>
      <c r="NRS21" s="87"/>
      <c r="NRT21" s="87"/>
      <c r="NRU21" s="87"/>
      <c r="NRV21" s="87"/>
      <c r="NRW21" s="87"/>
      <c r="NRX21" s="87"/>
      <c r="NRY21" s="87"/>
      <c r="NRZ21" s="87"/>
      <c r="NSA21" s="87"/>
      <c r="NSB21" s="87"/>
      <c r="NSC21" s="87"/>
      <c r="NSD21" s="87"/>
      <c r="NSE21" s="87"/>
      <c r="NSF21" s="87"/>
      <c r="NSG21" s="87"/>
      <c r="NSH21" s="87"/>
      <c r="NSI21" s="87"/>
      <c r="NSJ21" s="87"/>
      <c r="NSK21" s="87"/>
      <c r="NSL21" s="87"/>
      <c r="NSM21" s="87"/>
      <c r="NSN21" s="87"/>
      <c r="NSO21" s="87"/>
      <c r="NSP21" s="87"/>
      <c r="NSQ21" s="87"/>
      <c r="NSR21" s="87"/>
      <c r="NSS21" s="87"/>
      <c r="NST21" s="87"/>
      <c r="NSU21" s="87"/>
      <c r="NSV21" s="87"/>
      <c r="NSW21" s="87"/>
      <c r="NSX21" s="87"/>
      <c r="NSY21" s="87"/>
      <c r="NSZ21" s="87"/>
      <c r="NTA21" s="87"/>
      <c r="NTB21" s="87"/>
      <c r="NTC21" s="87"/>
      <c r="NTD21" s="87"/>
      <c r="NTE21" s="87"/>
      <c r="NTF21" s="87"/>
      <c r="NTG21" s="87"/>
      <c r="NTH21" s="87"/>
      <c r="NTI21" s="87"/>
      <c r="NTJ21" s="87"/>
      <c r="NTK21" s="87"/>
      <c r="NTL21" s="87"/>
      <c r="NTM21" s="87"/>
      <c r="NTN21" s="87"/>
      <c r="NTO21" s="87"/>
      <c r="NTP21" s="87"/>
      <c r="NTQ21" s="87"/>
      <c r="NTR21" s="87"/>
      <c r="NTS21" s="87"/>
      <c r="NTT21" s="87"/>
      <c r="NTU21" s="87"/>
      <c r="NTV21" s="87"/>
      <c r="NTW21" s="87"/>
      <c r="NTX21" s="87"/>
      <c r="NTY21" s="87"/>
      <c r="NTZ21" s="87"/>
      <c r="NUA21" s="87"/>
      <c r="NUB21" s="87"/>
      <c r="NUC21" s="87"/>
      <c r="NUD21" s="87"/>
      <c r="NUE21" s="87"/>
      <c r="NUF21" s="87"/>
      <c r="NUG21" s="87"/>
      <c r="NUH21" s="87"/>
      <c r="NUI21" s="87"/>
      <c r="NUJ21" s="87"/>
      <c r="NUK21" s="87"/>
      <c r="NUL21" s="87"/>
      <c r="NUM21" s="87"/>
      <c r="NUN21" s="87"/>
      <c r="NUO21" s="87"/>
      <c r="NUP21" s="87"/>
      <c r="NUQ21" s="87"/>
      <c r="NUR21" s="87"/>
      <c r="NUS21" s="87"/>
      <c r="NUT21" s="87"/>
      <c r="NUU21" s="87"/>
      <c r="NUV21" s="87"/>
      <c r="NUW21" s="87"/>
      <c r="NUX21" s="87"/>
      <c r="NUY21" s="87"/>
      <c r="NUZ21" s="87"/>
      <c r="NVA21" s="87"/>
      <c r="NVB21" s="87"/>
      <c r="NVC21" s="87"/>
      <c r="NVD21" s="87"/>
      <c r="NVE21" s="87"/>
      <c r="NVF21" s="87"/>
      <c r="NVG21" s="87"/>
      <c r="NVH21" s="87"/>
      <c r="NVI21" s="87"/>
      <c r="NVJ21" s="87"/>
      <c r="NVK21" s="87"/>
      <c r="NVL21" s="87"/>
      <c r="NVM21" s="87"/>
      <c r="NVN21" s="87"/>
      <c r="NVO21" s="87"/>
      <c r="NVP21" s="87"/>
      <c r="NVQ21" s="87"/>
      <c r="NVR21" s="87"/>
      <c r="NVS21" s="87"/>
      <c r="NVT21" s="87"/>
      <c r="NVU21" s="87"/>
      <c r="NVV21" s="87"/>
      <c r="NVW21" s="87"/>
      <c r="NVX21" s="87"/>
      <c r="NVY21" s="87"/>
      <c r="NVZ21" s="87"/>
      <c r="NWA21" s="87"/>
      <c r="NWB21" s="87"/>
      <c r="NWC21" s="87"/>
      <c r="NWD21" s="87"/>
      <c r="NWE21" s="87"/>
      <c r="NWF21" s="87"/>
      <c r="NWG21" s="87"/>
      <c r="NWH21" s="87"/>
      <c r="NWI21" s="87"/>
      <c r="NWJ21" s="87"/>
      <c r="NWK21" s="87"/>
      <c r="NWL21" s="87"/>
      <c r="NWM21" s="87"/>
      <c r="NWN21" s="87"/>
      <c r="NWO21" s="87"/>
      <c r="NWP21" s="87"/>
      <c r="NWQ21" s="87"/>
      <c r="NWR21" s="87"/>
      <c r="NWS21" s="87"/>
      <c r="NWT21" s="87"/>
      <c r="NWU21" s="87"/>
      <c r="NWV21" s="87"/>
      <c r="NWW21" s="87"/>
      <c r="NWX21" s="87"/>
      <c r="NWY21" s="87"/>
      <c r="NWZ21" s="87"/>
      <c r="NXA21" s="87"/>
      <c r="NXB21" s="87"/>
      <c r="NXC21" s="87"/>
      <c r="NXD21" s="87"/>
      <c r="NXE21" s="87"/>
      <c r="NXF21" s="87"/>
      <c r="NXG21" s="87"/>
      <c r="NXH21" s="87"/>
      <c r="NXI21" s="87"/>
      <c r="NXJ21" s="87"/>
      <c r="NXK21" s="87"/>
      <c r="NXL21" s="87"/>
      <c r="NXM21" s="87"/>
      <c r="NXN21" s="87"/>
      <c r="NXO21" s="87"/>
      <c r="NXP21" s="87"/>
      <c r="NXQ21" s="87"/>
      <c r="NXR21" s="87"/>
      <c r="NXS21" s="87"/>
      <c r="NXT21" s="87"/>
      <c r="NXU21" s="87"/>
      <c r="NXV21" s="87"/>
      <c r="NXW21" s="87"/>
      <c r="NXX21" s="87"/>
      <c r="NXY21" s="87"/>
      <c r="NXZ21" s="87"/>
      <c r="NYA21" s="87"/>
      <c r="NYB21" s="87"/>
      <c r="NYC21" s="87"/>
      <c r="NYD21" s="87"/>
      <c r="NYE21" s="87"/>
      <c r="NYF21" s="87"/>
      <c r="NYG21" s="87"/>
      <c r="NYH21" s="87"/>
      <c r="NYI21" s="87"/>
      <c r="NYJ21" s="87"/>
      <c r="NYK21" s="87"/>
      <c r="NYL21" s="87"/>
      <c r="NYM21" s="87"/>
      <c r="NYN21" s="87"/>
      <c r="NYO21" s="87"/>
      <c r="NYP21" s="87"/>
      <c r="NYQ21" s="87"/>
      <c r="NYR21" s="87"/>
      <c r="NYS21" s="87"/>
      <c r="NYT21" s="87"/>
      <c r="NYU21" s="87"/>
      <c r="NYV21" s="87"/>
      <c r="NYW21" s="87"/>
      <c r="NYX21" s="87"/>
      <c r="NYY21" s="87"/>
      <c r="NYZ21" s="87"/>
      <c r="NZA21" s="87"/>
      <c r="NZB21" s="87"/>
      <c r="NZC21" s="87"/>
      <c r="NZD21" s="87"/>
      <c r="NZE21" s="87"/>
      <c r="NZF21" s="87"/>
      <c r="NZG21" s="87"/>
      <c r="NZH21" s="87"/>
      <c r="NZI21" s="87"/>
      <c r="NZJ21" s="87"/>
      <c r="NZK21" s="87"/>
      <c r="NZL21" s="87"/>
      <c r="NZM21" s="87"/>
      <c r="NZN21" s="87"/>
      <c r="NZO21" s="87"/>
      <c r="NZP21" s="87"/>
      <c r="NZQ21" s="87"/>
      <c r="NZR21" s="87"/>
      <c r="NZS21" s="87"/>
      <c r="NZT21" s="87"/>
      <c r="NZU21" s="87"/>
      <c r="NZV21" s="87"/>
      <c r="NZW21" s="87"/>
      <c r="NZX21" s="87"/>
      <c r="NZY21" s="87"/>
      <c r="NZZ21" s="87"/>
      <c r="OAA21" s="87"/>
      <c r="OAB21" s="87"/>
      <c r="OAC21" s="87"/>
      <c r="OAD21" s="87"/>
      <c r="OAE21" s="87"/>
      <c r="OAF21" s="87"/>
      <c r="OAG21" s="87"/>
      <c r="OAH21" s="87"/>
      <c r="OAI21" s="87"/>
      <c r="OAJ21" s="87"/>
      <c r="OAK21" s="87"/>
      <c r="OAL21" s="87"/>
      <c r="OAM21" s="87"/>
      <c r="OAN21" s="87"/>
      <c r="OAO21" s="87"/>
      <c r="OAP21" s="87"/>
      <c r="OAQ21" s="87"/>
      <c r="OAR21" s="87"/>
      <c r="OAS21" s="87"/>
      <c r="OAT21" s="87"/>
      <c r="OAU21" s="87"/>
      <c r="OAV21" s="87"/>
      <c r="OAW21" s="87"/>
      <c r="OAX21" s="87"/>
      <c r="OAY21" s="87"/>
      <c r="OAZ21" s="87"/>
      <c r="OBA21" s="87"/>
      <c r="OBB21" s="87"/>
      <c r="OBC21" s="87"/>
      <c r="OBD21" s="87"/>
      <c r="OBE21" s="87"/>
      <c r="OBF21" s="87"/>
      <c r="OBG21" s="87"/>
      <c r="OBH21" s="87"/>
      <c r="OBI21" s="87"/>
      <c r="OBJ21" s="87"/>
      <c r="OBK21" s="87"/>
      <c r="OBL21" s="87"/>
      <c r="OBM21" s="87"/>
      <c r="OBN21" s="87"/>
      <c r="OBO21" s="87"/>
      <c r="OBP21" s="87"/>
      <c r="OBQ21" s="87"/>
      <c r="OBR21" s="87"/>
      <c r="OBS21" s="87"/>
      <c r="OBT21" s="87"/>
      <c r="OBU21" s="87"/>
      <c r="OBV21" s="87"/>
      <c r="OBW21" s="87"/>
      <c r="OBX21" s="87"/>
      <c r="OBY21" s="87"/>
      <c r="OBZ21" s="87"/>
      <c r="OCA21" s="87"/>
      <c r="OCB21" s="87"/>
      <c r="OCC21" s="87"/>
      <c r="OCD21" s="87"/>
      <c r="OCE21" s="87"/>
      <c r="OCF21" s="87"/>
      <c r="OCG21" s="87"/>
      <c r="OCH21" s="87"/>
      <c r="OCI21" s="87"/>
      <c r="OCJ21" s="87"/>
      <c r="OCK21" s="87"/>
      <c r="OCL21" s="87"/>
      <c r="OCM21" s="87"/>
      <c r="OCN21" s="87"/>
      <c r="OCO21" s="87"/>
      <c r="OCP21" s="87"/>
      <c r="OCQ21" s="87"/>
      <c r="OCR21" s="87"/>
      <c r="OCS21" s="87"/>
      <c r="OCT21" s="87"/>
      <c r="OCU21" s="87"/>
      <c r="OCV21" s="87"/>
      <c r="OCW21" s="87"/>
      <c r="OCX21" s="87"/>
      <c r="OCY21" s="87"/>
      <c r="OCZ21" s="87"/>
      <c r="ODA21" s="87"/>
      <c r="ODB21" s="87"/>
      <c r="ODC21" s="87"/>
      <c r="ODD21" s="87"/>
      <c r="ODE21" s="87"/>
      <c r="ODF21" s="87"/>
      <c r="ODG21" s="87"/>
      <c r="ODH21" s="87"/>
      <c r="ODI21" s="87"/>
      <c r="ODJ21" s="87"/>
      <c r="ODK21" s="87"/>
      <c r="ODL21" s="87"/>
      <c r="ODM21" s="87"/>
      <c r="ODN21" s="87"/>
      <c r="ODO21" s="87"/>
      <c r="ODP21" s="87"/>
      <c r="ODQ21" s="87"/>
      <c r="ODR21" s="87"/>
      <c r="ODS21" s="87"/>
      <c r="ODT21" s="87"/>
      <c r="ODU21" s="87"/>
      <c r="ODV21" s="87"/>
      <c r="ODW21" s="87"/>
      <c r="ODX21" s="87"/>
      <c r="ODY21" s="87"/>
      <c r="ODZ21" s="87"/>
      <c r="OEA21" s="87"/>
      <c r="OEB21" s="87"/>
      <c r="OEC21" s="87"/>
      <c r="OED21" s="87"/>
      <c r="OEE21" s="87"/>
      <c r="OEF21" s="87"/>
      <c r="OEG21" s="87"/>
      <c r="OEH21" s="87"/>
      <c r="OEI21" s="87"/>
      <c r="OEJ21" s="87"/>
      <c r="OEK21" s="87"/>
      <c r="OEL21" s="87"/>
      <c r="OEM21" s="87"/>
      <c r="OEN21" s="87"/>
      <c r="OEO21" s="87"/>
      <c r="OEP21" s="87"/>
      <c r="OEQ21" s="87"/>
      <c r="OER21" s="87"/>
      <c r="OES21" s="87"/>
      <c r="OET21" s="87"/>
      <c r="OEU21" s="87"/>
      <c r="OEV21" s="87"/>
      <c r="OEW21" s="87"/>
      <c r="OEX21" s="87"/>
      <c r="OEY21" s="87"/>
      <c r="OEZ21" s="87"/>
      <c r="OFA21" s="87"/>
      <c r="OFB21" s="87"/>
      <c r="OFC21" s="87"/>
      <c r="OFD21" s="87"/>
      <c r="OFE21" s="87"/>
      <c r="OFF21" s="87"/>
      <c r="OFG21" s="87"/>
      <c r="OFH21" s="87"/>
      <c r="OFI21" s="87"/>
      <c r="OFJ21" s="87"/>
      <c r="OFK21" s="87"/>
      <c r="OFL21" s="87"/>
      <c r="OFM21" s="87"/>
      <c r="OFN21" s="87"/>
      <c r="OFO21" s="87"/>
      <c r="OFP21" s="87"/>
      <c r="OFQ21" s="87"/>
      <c r="OFR21" s="87"/>
      <c r="OFS21" s="87"/>
      <c r="OFT21" s="87"/>
      <c r="OFU21" s="87"/>
      <c r="OFV21" s="87"/>
      <c r="OFW21" s="87"/>
      <c r="OFX21" s="87"/>
      <c r="OFY21" s="87"/>
      <c r="OFZ21" s="87"/>
      <c r="OGA21" s="87"/>
      <c r="OGB21" s="87"/>
      <c r="OGC21" s="87"/>
      <c r="OGD21" s="87"/>
      <c r="OGE21" s="87"/>
      <c r="OGF21" s="87"/>
      <c r="OGG21" s="87"/>
      <c r="OGH21" s="87"/>
      <c r="OGI21" s="87"/>
      <c r="OGJ21" s="87"/>
      <c r="OGK21" s="87"/>
      <c r="OGL21" s="87"/>
      <c r="OGM21" s="87"/>
      <c r="OGN21" s="87"/>
      <c r="OGO21" s="87"/>
      <c r="OGP21" s="87"/>
      <c r="OGQ21" s="87"/>
      <c r="OGR21" s="87"/>
      <c r="OGS21" s="87"/>
      <c r="OGT21" s="87"/>
      <c r="OGU21" s="87"/>
      <c r="OGV21" s="87"/>
      <c r="OGW21" s="87"/>
      <c r="OGX21" s="87"/>
      <c r="OGY21" s="87"/>
      <c r="OGZ21" s="87"/>
      <c r="OHA21" s="87"/>
      <c r="OHB21" s="87"/>
      <c r="OHC21" s="87"/>
      <c r="OHD21" s="87"/>
      <c r="OHE21" s="87"/>
      <c r="OHF21" s="87"/>
      <c r="OHG21" s="87"/>
      <c r="OHH21" s="87"/>
      <c r="OHI21" s="87"/>
      <c r="OHJ21" s="87"/>
      <c r="OHK21" s="87"/>
      <c r="OHL21" s="87"/>
      <c r="OHM21" s="87"/>
      <c r="OHN21" s="87"/>
      <c r="OHO21" s="87"/>
      <c r="OHP21" s="87"/>
      <c r="OHQ21" s="87"/>
      <c r="OHR21" s="87"/>
      <c r="OHS21" s="87"/>
      <c r="OHT21" s="87"/>
      <c r="OHU21" s="87"/>
      <c r="OHV21" s="87"/>
      <c r="OHW21" s="87"/>
      <c r="OHX21" s="87"/>
      <c r="OHY21" s="87"/>
      <c r="OHZ21" s="87"/>
      <c r="OIA21" s="87"/>
      <c r="OIB21" s="87"/>
      <c r="OIC21" s="87"/>
      <c r="OID21" s="87"/>
      <c r="OIE21" s="87"/>
      <c r="OIF21" s="87"/>
      <c r="OIG21" s="87"/>
      <c r="OIH21" s="87"/>
      <c r="OII21" s="87"/>
      <c r="OIJ21" s="87"/>
      <c r="OIK21" s="87"/>
      <c r="OIL21" s="87"/>
      <c r="OIM21" s="87"/>
      <c r="OIN21" s="87"/>
      <c r="OIO21" s="87"/>
      <c r="OIP21" s="87"/>
      <c r="OIQ21" s="87"/>
      <c r="OIR21" s="87"/>
      <c r="OIS21" s="87"/>
      <c r="OIT21" s="87"/>
      <c r="OIU21" s="87"/>
      <c r="OIV21" s="87"/>
      <c r="OIW21" s="87"/>
      <c r="OIX21" s="87"/>
      <c r="OIY21" s="87"/>
      <c r="OIZ21" s="87"/>
      <c r="OJA21" s="87"/>
      <c r="OJB21" s="87"/>
      <c r="OJC21" s="87"/>
      <c r="OJD21" s="87"/>
      <c r="OJE21" s="87"/>
      <c r="OJF21" s="87"/>
      <c r="OJG21" s="87"/>
      <c r="OJH21" s="87"/>
      <c r="OJI21" s="87"/>
      <c r="OJJ21" s="87"/>
      <c r="OJK21" s="87"/>
      <c r="OJL21" s="87"/>
      <c r="OJM21" s="87"/>
      <c r="OJN21" s="87"/>
      <c r="OJO21" s="87"/>
      <c r="OJP21" s="87"/>
      <c r="OJQ21" s="87"/>
      <c r="OJR21" s="87"/>
      <c r="OJS21" s="87"/>
      <c r="OJT21" s="87"/>
      <c r="OJU21" s="87"/>
      <c r="OJV21" s="87"/>
      <c r="OJW21" s="87"/>
      <c r="OJX21" s="87"/>
      <c r="OJY21" s="87"/>
      <c r="OJZ21" s="87"/>
      <c r="OKA21" s="87"/>
      <c r="OKB21" s="87"/>
      <c r="OKC21" s="87"/>
      <c r="OKD21" s="87"/>
      <c r="OKE21" s="87"/>
      <c r="OKF21" s="87"/>
      <c r="OKG21" s="87"/>
      <c r="OKH21" s="87"/>
      <c r="OKI21" s="87"/>
      <c r="OKJ21" s="87"/>
      <c r="OKK21" s="87"/>
      <c r="OKL21" s="87"/>
      <c r="OKM21" s="87"/>
      <c r="OKN21" s="87"/>
      <c r="OKO21" s="87"/>
      <c r="OKP21" s="87"/>
      <c r="OKQ21" s="87"/>
      <c r="OKR21" s="87"/>
      <c r="OKS21" s="87"/>
      <c r="OKT21" s="87"/>
      <c r="OKU21" s="87"/>
      <c r="OKV21" s="87"/>
      <c r="OKW21" s="87"/>
      <c r="OKX21" s="87"/>
      <c r="OKY21" s="87"/>
      <c r="OKZ21" s="87"/>
      <c r="OLA21" s="87"/>
      <c r="OLB21" s="87"/>
      <c r="OLC21" s="87"/>
      <c r="OLD21" s="87"/>
      <c r="OLE21" s="87"/>
      <c r="OLF21" s="87"/>
      <c r="OLG21" s="87"/>
      <c r="OLH21" s="87"/>
      <c r="OLI21" s="87"/>
      <c r="OLJ21" s="87"/>
      <c r="OLK21" s="87"/>
      <c r="OLL21" s="87"/>
      <c r="OLM21" s="87"/>
      <c r="OLN21" s="87"/>
      <c r="OLO21" s="87"/>
      <c r="OLP21" s="87"/>
      <c r="OLQ21" s="87"/>
      <c r="OLR21" s="87"/>
      <c r="OLS21" s="87"/>
      <c r="OLT21" s="87"/>
      <c r="OLU21" s="87"/>
      <c r="OLV21" s="87"/>
      <c r="OLW21" s="87"/>
      <c r="OLX21" s="87"/>
      <c r="OLY21" s="87"/>
      <c r="OLZ21" s="87"/>
      <c r="OMA21" s="87"/>
      <c r="OMB21" s="87"/>
      <c r="OMC21" s="87"/>
      <c r="OMD21" s="87"/>
      <c r="OME21" s="87"/>
      <c r="OMF21" s="87"/>
      <c r="OMG21" s="87"/>
      <c r="OMH21" s="87"/>
      <c r="OMI21" s="87"/>
      <c r="OMJ21" s="87"/>
      <c r="OMK21" s="87"/>
      <c r="OML21" s="87"/>
      <c r="OMM21" s="87"/>
      <c r="OMN21" s="87"/>
      <c r="OMO21" s="87"/>
      <c r="OMP21" s="87"/>
      <c r="OMQ21" s="87"/>
      <c r="OMR21" s="87"/>
      <c r="OMS21" s="87"/>
      <c r="OMT21" s="87"/>
      <c r="OMU21" s="87"/>
      <c r="OMV21" s="87"/>
      <c r="OMW21" s="87"/>
      <c r="OMX21" s="87"/>
      <c r="OMY21" s="87"/>
      <c r="OMZ21" s="87"/>
      <c r="ONA21" s="87"/>
      <c r="ONB21" s="87"/>
      <c r="ONC21" s="87"/>
      <c r="OND21" s="87"/>
      <c r="ONE21" s="87"/>
      <c r="ONF21" s="87"/>
      <c r="ONG21" s="87"/>
      <c r="ONH21" s="87"/>
      <c r="ONI21" s="87"/>
      <c r="ONJ21" s="87"/>
      <c r="ONK21" s="87"/>
      <c r="ONL21" s="87"/>
      <c r="ONM21" s="87"/>
      <c r="ONN21" s="87"/>
      <c r="ONO21" s="87"/>
      <c r="ONP21" s="87"/>
      <c r="ONQ21" s="87"/>
      <c r="ONR21" s="87"/>
      <c r="ONS21" s="87"/>
      <c r="ONT21" s="87"/>
      <c r="ONU21" s="87"/>
      <c r="ONV21" s="87"/>
      <c r="ONW21" s="87"/>
      <c r="ONX21" s="87"/>
      <c r="ONY21" s="87"/>
      <c r="ONZ21" s="87"/>
      <c r="OOA21" s="87"/>
      <c r="OOB21" s="87"/>
      <c r="OOC21" s="87"/>
      <c r="OOD21" s="87"/>
      <c r="OOE21" s="87"/>
      <c r="OOF21" s="87"/>
      <c r="OOG21" s="87"/>
      <c r="OOH21" s="87"/>
      <c r="OOI21" s="87"/>
      <c r="OOJ21" s="87"/>
      <c r="OOK21" s="87"/>
      <c r="OOL21" s="87"/>
      <c r="OOM21" s="87"/>
      <c r="OON21" s="87"/>
      <c r="OOO21" s="87"/>
      <c r="OOP21" s="87"/>
      <c r="OOQ21" s="87"/>
      <c r="OOR21" s="87"/>
      <c r="OOS21" s="87"/>
      <c r="OOT21" s="87"/>
      <c r="OOU21" s="87"/>
      <c r="OOV21" s="87"/>
      <c r="OOW21" s="87"/>
      <c r="OOX21" s="87"/>
      <c r="OOY21" s="87"/>
      <c r="OOZ21" s="87"/>
      <c r="OPA21" s="87"/>
      <c r="OPB21" s="87"/>
      <c r="OPC21" s="87"/>
      <c r="OPD21" s="87"/>
      <c r="OPE21" s="87"/>
      <c r="OPF21" s="87"/>
      <c r="OPG21" s="87"/>
      <c r="OPH21" s="87"/>
      <c r="OPI21" s="87"/>
      <c r="OPJ21" s="87"/>
      <c r="OPK21" s="87"/>
      <c r="OPL21" s="87"/>
      <c r="OPM21" s="87"/>
      <c r="OPN21" s="87"/>
      <c r="OPO21" s="87"/>
      <c r="OPP21" s="87"/>
      <c r="OPQ21" s="87"/>
      <c r="OPR21" s="87"/>
      <c r="OPS21" s="87"/>
      <c r="OPT21" s="87"/>
      <c r="OPU21" s="87"/>
      <c r="OPV21" s="87"/>
      <c r="OPW21" s="87"/>
      <c r="OPX21" s="87"/>
      <c r="OPY21" s="87"/>
      <c r="OPZ21" s="87"/>
      <c r="OQA21" s="87"/>
      <c r="OQB21" s="87"/>
      <c r="OQC21" s="87"/>
      <c r="OQD21" s="87"/>
      <c r="OQE21" s="87"/>
      <c r="OQF21" s="87"/>
      <c r="OQG21" s="87"/>
      <c r="OQH21" s="87"/>
      <c r="OQI21" s="87"/>
      <c r="OQJ21" s="87"/>
      <c r="OQK21" s="87"/>
      <c r="OQL21" s="87"/>
      <c r="OQM21" s="87"/>
      <c r="OQN21" s="87"/>
      <c r="OQO21" s="87"/>
      <c r="OQP21" s="87"/>
      <c r="OQQ21" s="87"/>
      <c r="OQR21" s="87"/>
      <c r="OQS21" s="87"/>
      <c r="OQT21" s="87"/>
      <c r="OQU21" s="87"/>
      <c r="OQV21" s="87"/>
      <c r="OQW21" s="87"/>
      <c r="OQX21" s="87"/>
      <c r="OQY21" s="87"/>
      <c r="OQZ21" s="87"/>
      <c r="ORA21" s="87"/>
      <c r="ORB21" s="87"/>
      <c r="ORC21" s="87"/>
      <c r="ORD21" s="87"/>
      <c r="ORE21" s="87"/>
      <c r="ORF21" s="87"/>
      <c r="ORG21" s="87"/>
      <c r="ORH21" s="87"/>
      <c r="ORI21" s="87"/>
      <c r="ORJ21" s="87"/>
      <c r="ORK21" s="87"/>
      <c r="ORL21" s="87"/>
      <c r="ORM21" s="87"/>
      <c r="ORN21" s="87"/>
      <c r="ORO21" s="87"/>
      <c r="ORP21" s="87"/>
      <c r="ORQ21" s="87"/>
      <c r="ORR21" s="87"/>
      <c r="ORS21" s="87"/>
      <c r="ORT21" s="87"/>
      <c r="ORU21" s="87"/>
      <c r="ORV21" s="87"/>
      <c r="ORW21" s="87"/>
      <c r="ORX21" s="87"/>
      <c r="ORY21" s="87"/>
      <c r="ORZ21" s="87"/>
      <c r="OSA21" s="87"/>
      <c r="OSB21" s="87"/>
      <c r="OSC21" s="87"/>
      <c r="OSD21" s="87"/>
      <c r="OSE21" s="87"/>
      <c r="OSF21" s="87"/>
      <c r="OSG21" s="87"/>
      <c r="OSH21" s="87"/>
      <c r="OSI21" s="87"/>
      <c r="OSJ21" s="87"/>
      <c r="OSK21" s="87"/>
      <c r="OSL21" s="87"/>
      <c r="OSM21" s="87"/>
      <c r="OSN21" s="87"/>
      <c r="OSO21" s="87"/>
      <c r="OSP21" s="87"/>
      <c r="OSQ21" s="87"/>
      <c r="OSR21" s="87"/>
      <c r="OSS21" s="87"/>
      <c r="OST21" s="87"/>
      <c r="OSU21" s="87"/>
      <c r="OSV21" s="87"/>
      <c r="OSW21" s="87"/>
      <c r="OSX21" s="87"/>
      <c r="OSY21" s="87"/>
      <c r="OSZ21" s="87"/>
      <c r="OTA21" s="87"/>
      <c r="OTB21" s="87"/>
      <c r="OTC21" s="87"/>
      <c r="OTD21" s="87"/>
      <c r="OTE21" s="87"/>
      <c r="OTF21" s="87"/>
      <c r="OTG21" s="87"/>
      <c r="OTH21" s="87"/>
      <c r="OTI21" s="87"/>
      <c r="OTJ21" s="87"/>
      <c r="OTK21" s="87"/>
      <c r="OTL21" s="87"/>
      <c r="OTM21" s="87"/>
      <c r="OTN21" s="87"/>
      <c r="OTO21" s="87"/>
      <c r="OTP21" s="87"/>
      <c r="OTQ21" s="87"/>
      <c r="OTR21" s="87"/>
      <c r="OTS21" s="87"/>
      <c r="OTT21" s="87"/>
      <c r="OTU21" s="87"/>
      <c r="OTV21" s="87"/>
      <c r="OTW21" s="87"/>
      <c r="OTX21" s="87"/>
      <c r="OTY21" s="87"/>
      <c r="OTZ21" s="87"/>
      <c r="OUA21" s="87"/>
      <c r="OUB21" s="87"/>
      <c r="OUC21" s="87"/>
      <c r="OUD21" s="87"/>
      <c r="OUE21" s="87"/>
      <c r="OUF21" s="87"/>
      <c r="OUG21" s="87"/>
      <c r="OUH21" s="87"/>
      <c r="OUI21" s="87"/>
      <c r="OUJ21" s="87"/>
      <c r="OUK21" s="87"/>
      <c r="OUL21" s="87"/>
      <c r="OUM21" s="87"/>
      <c r="OUN21" s="87"/>
      <c r="OUO21" s="87"/>
      <c r="OUP21" s="87"/>
      <c r="OUQ21" s="87"/>
      <c r="OUR21" s="87"/>
      <c r="OUS21" s="87"/>
      <c r="OUT21" s="87"/>
      <c r="OUU21" s="87"/>
      <c r="OUV21" s="87"/>
      <c r="OUW21" s="87"/>
      <c r="OUX21" s="87"/>
      <c r="OUY21" s="87"/>
      <c r="OUZ21" s="87"/>
      <c r="OVA21" s="87"/>
      <c r="OVB21" s="87"/>
      <c r="OVC21" s="87"/>
      <c r="OVD21" s="87"/>
      <c r="OVE21" s="87"/>
      <c r="OVF21" s="87"/>
      <c r="OVG21" s="87"/>
      <c r="OVH21" s="87"/>
      <c r="OVI21" s="87"/>
      <c r="OVJ21" s="87"/>
      <c r="OVK21" s="87"/>
      <c r="OVL21" s="87"/>
      <c r="OVM21" s="87"/>
      <c r="OVN21" s="87"/>
      <c r="OVO21" s="87"/>
      <c r="OVP21" s="87"/>
      <c r="OVQ21" s="87"/>
      <c r="OVR21" s="87"/>
      <c r="OVS21" s="87"/>
      <c r="OVT21" s="87"/>
      <c r="OVU21" s="87"/>
      <c r="OVV21" s="87"/>
      <c r="OVW21" s="87"/>
      <c r="OVX21" s="87"/>
      <c r="OVY21" s="87"/>
      <c r="OVZ21" s="87"/>
      <c r="OWA21" s="87"/>
      <c r="OWB21" s="87"/>
      <c r="OWC21" s="87"/>
      <c r="OWD21" s="87"/>
      <c r="OWE21" s="87"/>
      <c r="OWF21" s="87"/>
      <c r="OWG21" s="87"/>
      <c r="OWH21" s="87"/>
      <c r="OWI21" s="87"/>
      <c r="OWJ21" s="87"/>
      <c r="OWK21" s="87"/>
      <c r="OWL21" s="87"/>
      <c r="OWM21" s="87"/>
      <c r="OWN21" s="87"/>
      <c r="OWO21" s="87"/>
      <c r="OWP21" s="87"/>
      <c r="OWQ21" s="87"/>
      <c r="OWR21" s="87"/>
      <c r="OWS21" s="87"/>
      <c r="OWT21" s="87"/>
      <c r="OWU21" s="87"/>
      <c r="OWV21" s="87"/>
      <c r="OWW21" s="87"/>
      <c r="OWX21" s="87"/>
      <c r="OWY21" s="87"/>
      <c r="OWZ21" s="87"/>
      <c r="OXA21" s="87"/>
      <c r="OXB21" s="87"/>
      <c r="OXC21" s="87"/>
      <c r="OXD21" s="87"/>
      <c r="OXE21" s="87"/>
      <c r="OXF21" s="87"/>
      <c r="OXG21" s="87"/>
      <c r="OXH21" s="87"/>
      <c r="OXI21" s="87"/>
      <c r="OXJ21" s="87"/>
      <c r="OXK21" s="87"/>
      <c r="OXL21" s="87"/>
      <c r="OXM21" s="87"/>
      <c r="OXN21" s="87"/>
      <c r="OXO21" s="87"/>
      <c r="OXP21" s="87"/>
      <c r="OXQ21" s="87"/>
      <c r="OXR21" s="87"/>
      <c r="OXS21" s="87"/>
      <c r="OXT21" s="87"/>
      <c r="OXU21" s="87"/>
      <c r="OXV21" s="87"/>
      <c r="OXW21" s="87"/>
      <c r="OXX21" s="87"/>
      <c r="OXY21" s="87"/>
      <c r="OXZ21" s="87"/>
      <c r="OYA21" s="87"/>
      <c r="OYB21" s="87"/>
      <c r="OYC21" s="87"/>
      <c r="OYD21" s="87"/>
      <c r="OYE21" s="87"/>
      <c r="OYF21" s="87"/>
      <c r="OYG21" s="87"/>
      <c r="OYH21" s="87"/>
      <c r="OYI21" s="87"/>
      <c r="OYJ21" s="87"/>
      <c r="OYK21" s="87"/>
      <c r="OYL21" s="87"/>
      <c r="OYM21" s="87"/>
      <c r="OYN21" s="87"/>
      <c r="OYO21" s="87"/>
      <c r="OYP21" s="87"/>
      <c r="OYQ21" s="87"/>
      <c r="OYR21" s="87"/>
      <c r="OYS21" s="87"/>
      <c r="OYT21" s="87"/>
      <c r="OYU21" s="87"/>
      <c r="OYV21" s="87"/>
      <c r="OYW21" s="87"/>
      <c r="OYX21" s="87"/>
      <c r="OYY21" s="87"/>
      <c r="OYZ21" s="87"/>
      <c r="OZA21" s="87"/>
      <c r="OZB21" s="87"/>
      <c r="OZC21" s="87"/>
      <c r="OZD21" s="87"/>
      <c r="OZE21" s="87"/>
      <c r="OZF21" s="87"/>
      <c r="OZG21" s="87"/>
      <c r="OZH21" s="87"/>
      <c r="OZI21" s="87"/>
      <c r="OZJ21" s="87"/>
      <c r="OZK21" s="87"/>
      <c r="OZL21" s="87"/>
      <c r="OZM21" s="87"/>
      <c r="OZN21" s="87"/>
      <c r="OZO21" s="87"/>
      <c r="OZP21" s="87"/>
      <c r="OZQ21" s="87"/>
      <c r="OZR21" s="87"/>
      <c r="OZS21" s="87"/>
      <c r="OZT21" s="87"/>
      <c r="OZU21" s="87"/>
      <c r="OZV21" s="87"/>
      <c r="OZW21" s="87"/>
      <c r="OZX21" s="87"/>
      <c r="OZY21" s="87"/>
      <c r="OZZ21" s="87"/>
      <c r="PAA21" s="87"/>
      <c r="PAB21" s="87"/>
      <c r="PAC21" s="87"/>
      <c r="PAD21" s="87"/>
      <c r="PAE21" s="87"/>
      <c r="PAF21" s="87"/>
      <c r="PAG21" s="87"/>
      <c r="PAH21" s="87"/>
      <c r="PAI21" s="87"/>
      <c r="PAJ21" s="87"/>
      <c r="PAK21" s="87"/>
      <c r="PAL21" s="87"/>
      <c r="PAM21" s="87"/>
      <c r="PAN21" s="87"/>
      <c r="PAO21" s="87"/>
      <c r="PAP21" s="87"/>
      <c r="PAQ21" s="87"/>
      <c r="PAR21" s="87"/>
      <c r="PAS21" s="87"/>
      <c r="PAT21" s="87"/>
      <c r="PAU21" s="87"/>
      <c r="PAV21" s="87"/>
      <c r="PAW21" s="87"/>
      <c r="PAX21" s="87"/>
      <c r="PAY21" s="87"/>
      <c r="PAZ21" s="87"/>
      <c r="PBA21" s="87"/>
      <c r="PBB21" s="87"/>
      <c r="PBC21" s="87"/>
      <c r="PBD21" s="87"/>
      <c r="PBE21" s="87"/>
      <c r="PBF21" s="87"/>
      <c r="PBG21" s="87"/>
      <c r="PBH21" s="87"/>
      <c r="PBI21" s="87"/>
      <c r="PBJ21" s="87"/>
      <c r="PBK21" s="87"/>
      <c r="PBL21" s="87"/>
      <c r="PBM21" s="87"/>
      <c r="PBN21" s="87"/>
      <c r="PBO21" s="87"/>
      <c r="PBP21" s="87"/>
      <c r="PBQ21" s="87"/>
      <c r="PBR21" s="87"/>
      <c r="PBS21" s="87"/>
      <c r="PBT21" s="87"/>
      <c r="PBU21" s="87"/>
      <c r="PBV21" s="87"/>
      <c r="PBW21" s="87"/>
      <c r="PBX21" s="87"/>
      <c r="PBY21" s="87"/>
      <c r="PBZ21" s="87"/>
      <c r="PCA21" s="87"/>
      <c r="PCB21" s="87"/>
      <c r="PCC21" s="87"/>
      <c r="PCD21" s="87"/>
      <c r="PCE21" s="87"/>
      <c r="PCF21" s="87"/>
      <c r="PCG21" s="87"/>
      <c r="PCH21" s="87"/>
      <c r="PCI21" s="87"/>
      <c r="PCJ21" s="87"/>
      <c r="PCK21" s="87"/>
      <c r="PCL21" s="87"/>
      <c r="PCM21" s="87"/>
      <c r="PCN21" s="87"/>
      <c r="PCO21" s="87"/>
      <c r="PCP21" s="87"/>
      <c r="PCQ21" s="87"/>
      <c r="PCR21" s="87"/>
      <c r="PCS21" s="87"/>
      <c r="PCT21" s="87"/>
      <c r="PCU21" s="87"/>
      <c r="PCV21" s="87"/>
      <c r="PCW21" s="87"/>
      <c r="PCX21" s="87"/>
      <c r="PCY21" s="87"/>
      <c r="PCZ21" s="87"/>
      <c r="PDA21" s="87"/>
      <c r="PDB21" s="87"/>
      <c r="PDC21" s="87"/>
      <c r="PDD21" s="87"/>
      <c r="PDE21" s="87"/>
      <c r="PDF21" s="87"/>
      <c r="PDG21" s="87"/>
      <c r="PDH21" s="87"/>
      <c r="PDI21" s="87"/>
      <c r="PDJ21" s="87"/>
      <c r="PDK21" s="87"/>
      <c r="PDL21" s="87"/>
      <c r="PDM21" s="87"/>
      <c r="PDN21" s="87"/>
      <c r="PDO21" s="87"/>
      <c r="PDP21" s="87"/>
      <c r="PDQ21" s="87"/>
      <c r="PDR21" s="87"/>
      <c r="PDS21" s="87"/>
      <c r="PDT21" s="87"/>
      <c r="PDU21" s="87"/>
      <c r="PDV21" s="87"/>
      <c r="PDW21" s="87"/>
      <c r="PDX21" s="87"/>
      <c r="PDY21" s="87"/>
      <c r="PDZ21" s="87"/>
      <c r="PEA21" s="87"/>
      <c r="PEB21" s="87"/>
      <c r="PEC21" s="87"/>
      <c r="PED21" s="87"/>
      <c r="PEE21" s="87"/>
      <c r="PEF21" s="87"/>
      <c r="PEG21" s="87"/>
      <c r="PEH21" s="87"/>
      <c r="PEI21" s="87"/>
      <c r="PEJ21" s="87"/>
      <c r="PEK21" s="87"/>
      <c r="PEL21" s="87"/>
      <c r="PEM21" s="87"/>
      <c r="PEN21" s="87"/>
      <c r="PEO21" s="87"/>
      <c r="PEP21" s="87"/>
      <c r="PEQ21" s="87"/>
      <c r="PER21" s="87"/>
      <c r="PES21" s="87"/>
      <c r="PET21" s="87"/>
      <c r="PEU21" s="87"/>
      <c r="PEV21" s="87"/>
      <c r="PEW21" s="87"/>
      <c r="PEX21" s="87"/>
      <c r="PEY21" s="87"/>
      <c r="PEZ21" s="87"/>
      <c r="PFA21" s="87"/>
      <c r="PFB21" s="87"/>
      <c r="PFC21" s="87"/>
      <c r="PFD21" s="87"/>
      <c r="PFE21" s="87"/>
      <c r="PFF21" s="87"/>
      <c r="PFG21" s="87"/>
      <c r="PFH21" s="87"/>
      <c r="PFI21" s="87"/>
      <c r="PFJ21" s="87"/>
      <c r="PFK21" s="87"/>
      <c r="PFL21" s="87"/>
      <c r="PFM21" s="87"/>
      <c r="PFN21" s="87"/>
      <c r="PFO21" s="87"/>
      <c r="PFP21" s="87"/>
      <c r="PFQ21" s="87"/>
      <c r="PFR21" s="87"/>
      <c r="PFS21" s="87"/>
      <c r="PFT21" s="87"/>
      <c r="PFU21" s="87"/>
      <c r="PFV21" s="87"/>
      <c r="PFW21" s="87"/>
      <c r="PFX21" s="87"/>
      <c r="PFY21" s="87"/>
      <c r="PFZ21" s="87"/>
      <c r="PGA21" s="87"/>
      <c r="PGB21" s="87"/>
      <c r="PGC21" s="87"/>
      <c r="PGD21" s="87"/>
      <c r="PGE21" s="87"/>
      <c r="PGF21" s="87"/>
      <c r="PGG21" s="87"/>
      <c r="PGH21" s="87"/>
      <c r="PGI21" s="87"/>
      <c r="PGJ21" s="87"/>
      <c r="PGK21" s="87"/>
      <c r="PGL21" s="87"/>
      <c r="PGM21" s="87"/>
      <c r="PGN21" s="87"/>
      <c r="PGO21" s="87"/>
      <c r="PGP21" s="87"/>
      <c r="PGQ21" s="87"/>
      <c r="PGR21" s="87"/>
      <c r="PGS21" s="87"/>
      <c r="PGT21" s="87"/>
      <c r="PGU21" s="87"/>
      <c r="PGV21" s="87"/>
      <c r="PGW21" s="87"/>
      <c r="PGX21" s="87"/>
      <c r="PGY21" s="87"/>
      <c r="PGZ21" s="87"/>
      <c r="PHA21" s="87"/>
      <c r="PHB21" s="87"/>
      <c r="PHC21" s="87"/>
      <c r="PHD21" s="87"/>
      <c r="PHE21" s="87"/>
      <c r="PHF21" s="87"/>
      <c r="PHG21" s="87"/>
      <c r="PHH21" s="87"/>
      <c r="PHI21" s="87"/>
      <c r="PHJ21" s="87"/>
      <c r="PHK21" s="87"/>
      <c r="PHL21" s="87"/>
      <c r="PHM21" s="87"/>
      <c r="PHN21" s="87"/>
      <c r="PHO21" s="87"/>
      <c r="PHP21" s="87"/>
      <c r="PHQ21" s="87"/>
      <c r="PHR21" s="87"/>
      <c r="PHS21" s="87"/>
      <c r="PHT21" s="87"/>
      <c r="PHU21" s="87"/>
      <c r="PHV21" s="87"/>
      <c r="PHW21" s="87"/>
      <c r="PHX21" s="87"/>
      <c r="PHY21" s="87"/>
      <c r="PHZ21" s="87"/>
      <c r="PIA21" s="87"/>
      <c r="PIB21" s="87"/>
      <c r="PIC21" s="87"/>
      <c r="PID21" s="87"/>
      <c r="PIE21" s="87"/>
      <c r="PIF21" s="87"/>
      <c r="PIG21" s="87"/>
      <c r="PIH21" s="87"/>
      <c r="PII21" s="87"/>
      <c r="PIJ21" s="87"/>
      <c r="PIK21" s="87"/>
      <c r="PIL21" s="87"/>
      <c r="PIM21" s="87"/>
      <c r="PIN21" s="87"/>
      <c r="PIO21" s="87"/>
      <c r="PIP21" s="87"/>
      <c r="PIQ21" s="87"/>
      <c r="PIR21" s="87"/>
      <c r="PIS21" s="87"/>
      <c r="PIT21" s="87"/>
      <c r="PIU21" s="87"/>
      <c r="PIV21" s="87"/>
      <c r="PIW21" s="87"/>
      <c r="PIX21" s="87"/>
      <c r="PIY21" s="87"/>
      <c r="PIZ21" s="87"/>
      <c r="PJA21" s="87"/>
      <c r="PJB21" s="87"/>
      <c r="PJC21" s="87"/>
      <c r="PJD21" s="87"/>
      <c r="PJE21" s="87"/>
      <c r="PJF21" s="87"/>
      <c r="PJG21" s="87"/>
      <c r="PJH21" s="87"/>
      <c r="PJI21" s="87"/>
      <c r="PJJ21" s="87"/>
      <c r="PJK21" s="87"/>
      <c r="PJL21" s="87"/>
      <c r="PJM21" s="87"/>
      <c r="PJN21" s="87"/>
      <c r="PJO21" s="87"/>
      <c r="PJP21" s="87"/>
      <c r="PJQ21" s="87"/>
      <c r="PJR21" s="87"/>
      <c r="PJS21" s="87"/>
      <c r="PJT21" s="87"/>
      <c r="PJU21" s="87"/>
      <c r="PJV21" s="87"/>
      <c r="PJW21" s="87"/>
      <c r="PJX21" s="87"/>
      <c r="PJY21" s="87"/>
      <c r="PJZ21" s="87"/>
      <c r="PKA21" s="87"/>
      <c r="PKB21" s="87"/>
      <c r="PKC21" s="87"/>
      <c r="PKD21" s="87"/>
      <c r="PKE21" s="87"/>
      <c r="PKF21" s="87"/>
      <c r="PKG21" s="87"/>
      <c r="PKH21" s="87"/>
      <c r="PKI21" s="87"/>
      <c r="PKJ21" s="87"/>
      <c r="PKK21" s="87"/>
      <c r="PKL21" s="87"/>
      <c r="PKM21" s="87"/>
      <c r="PKN21" s="87"/>
      <c r="PKO21" s="87"/>
      <c r="PKP21" s="87"/>
      <c r="PKQ21" s="87"/>
      <c r="PKR21" s="87"/>
      <c r="PKS21" s="87"/>
      <c r="PKT21" s="87"/>
      <c r="PKU21" s="87"/>
      <c r="PKV21" s="87"/>
      <c r="PKW21" s="87"/>
      <c r="PKX21" s="87"/>
      <c r="PKY21" s="87"/>
      <c r="PKZ21" s="87"/>
      <c r="PLA21" s="87"/>
      <c r="PLB21" s="87"/>
      <c r="PLC21" s="87"/>
      <c r="PLD21" s="87"/>
      <c r="PLE21" s="87"/>
      <c r="PLF21" s="87"/>
      <c r="PLG21" s="87"/>
      <c r="PLH21" s="87"/>
      <c r="PLI21" s="87"/>
      <c r="PLJ21" s="87"/>
      <c r="PLK21" s="87"/>
      <c r="PLL21" s="87"/>
      <c r="PLM21" s="87"/>
      <c r="PLN21" s="87"/>
      <c r="PLO21" s="87"/>
      <c r="PLP21" s="87"/>
      <c r="PLQ21" s="87"/>
      <c r="PLR21" s="87"/>
      <c r="PLS21" s="87"/>
      <c r="PLT21" s="87"/>
      <c r="PLU21" s="87"/>
      <c r="PLV21" s="87"/>
      <c r="PLW21" s="87"/>
      <c r="PLX21" s="87"/>
      <c r="PLY21" s="87"/>
      <c r="PLZ21" s="87"/>
      <c r="PMA21" s="87"/>
      <c r="PMB21" s="87"/>
      <c r="PMC21" s="87"/>
      <c r="PMD21" s="87"/>
      <c r="PME21" s="87"/>
      <c r="PMF21" s="87"/>
      <c r="PMG21" s="87"/>
      <c r="PMH21" s="87"/>
      <c r="PMI21" s="87"/>
      <c r="PMJ21" s="87"/>
      <c r="PMK21" s="87"/>
      <c r="PML21" s="87"/>
      <c r="PMM21" s="87"/>
      <c r="PMN21" s="87"/>
      <c r="PMO21" s="87"/>
      <c r="PMP21" s="87"/>
      <c r="PMQ21" s="87"/>
      <c r="PMR21" s="87"/>
      <c r="PMS21" s="87"/>
      <c r="PMT21" s="87"/>
      <c r="PMU21" s="87"/>
      <c r="PMV21" s="87"/>
      <c r="PMW21" s="87"/>
      <c r="PMX21" s="87"/>
      <c r="PMY21" s="87"/>
      <c r="PMZ21" s="87"/>
      <c r="PNA21" s="87"/>
      <c r="PNB21" s="87"/>
      <c r="PNC21" s="87"/>
      <c r="PND21" s="87"/>
      <c r="PNE21" s="87"/>
      <c r="PNF21" s="87"/>
      <c r="PNG21" s="87"/>
      <c r="PNH21" s="87"/>
      <c r="PNI21" s="87"/>
      <c r="PNJ21" s="87"/>
      <c r="PNK21" s="87"/>
      <c r="PNL21" s="87"/>
      <c r="PNM21" s="87"/>
      <c r="PNN21" s="87"/>
      <c r="PNO21" s="87"/>
      <c r="PNP21" s="87"/>
      <c r="PNQ21" s="87"/>
      <c r="PNR21" s="87"/>
      <c r="PNS21" s="87"/>
      <c r="PNT21" s="87"/>
      <c r="PNU21" s="87"/>
      <c r="PNV21" s="87"/>
      <c r="PNW21" s="87"/>
      <c r="PNX21" s="87"/>
      <c r="PNY21" s="87"/>
      <c r="PNZ21" s="87"/>
      <c r="POA21" s="87"/>
      <c r="POB21" s="87"/>
      <c r="POC21" s="87"/>
      <c r="POD21" s="87"/>
      <c r="POE21" s="87"/>
      <c r="POF21" s="87"/>
      <c r="POG21" s="87"/>
      <c r="POH21" s="87"/>
      <c r="POI21" s="87"/>
      <c r="POJ21" s="87"/>
      <c r="POK21" s="87"/>
      <c r="POL21" s="87"/>
      <c r="POM21" s="87"/>
      <c r="PON21" s="87"/>
      <c r="POO21" s="87"/>
      <c r="POP21" s="87"/>
      <c r="POQ21" s="87"/>
      <c r="POR21" s="87"/>
      <c r="POS21" s="87"/>
      <c r="POT21" s="87"/>
      <c r="POU21" s="87"/>
      <c r="POV21" s="87"/>
      <c r="POW21" s="87"/>
      <c r="POX21" s="87"/>
      <c r="POY21" s="87"/>
      <c r="POZ21" s="87"/>
      <c r="PPA21" s="87"/>
      <c r="PPB21" s="87"/>
      <c r="PPC21" s="87"/>
      <c r="PPD21" s="87"/>
      <c r="PPE21" s="87"/>
      <c r="PPF21" s="87"/>
      <c r="PPG21" s="87"/>
      <c r="PPH21" s="87"/>
      <c r="PPI21" s="87"/>
      <c r="PPJ21" s="87"/>
      <c r="PPK21" s="87"/>
      <c r="PPL21" s="87"/>
      <c r="PPM21" s="87"/>
      <c r="PPN21" s="87"/>
      <c r="PPO21" s="87"/>
      <c r="PPP21" s="87"/>
      <c r="PPQ21" s="87"/>
      <c r="PPR21" s="87"/>
      <c r="PPS21" s="87"/>
      <c r="PPT21" s="87"/>
      <c r="PPU21" s="87"/>
      <c r="PPV21" s="87"/>
      <c r="PPW21" s="87"/>
      <c r="PPX21" s="87"/>
      <c r="PPY21" s="87"/>
      <c r="PPZ21" s="87"/>
      <c r="PQA21" s="87"/>
      <c r="PQB21" s="87"/>
      <c r="PQC21" s="87"/>
      <c r="PQD21" s="87"/>
      <c r="PQE21" s="87"/>
      <c r="PQF21" s="87"/>
      <c r="PQG21" s="87"/>
      <c r="PQH21" s="87"/>
      <c r="PQI21" s="87"/>
      <c r="PQJ21" s="87"/>
      <c r="PQK21" s="87"/>
      <c r="PQL21" s="87"/>
      <c r="PQM21" s="87"/>
      <c r="PQN21" s="87"/>
      <c r="PQO21" s="87"/>
      <c r="PQP21" s="87"/>
      <c r="PQQ21" s="87"/>
      <c r="PQR21" s="87"/>
      <c r="PQS21" s="87"/>
      <c r="PQT21" s="87"/>
      <c r="PQU21" s="87"/>
      <c r="PQV21" s="87"/>
      <c r="PQW21" s="87"/>
      <c r="PQX21" s="87"/>
      <c r="PQY21" s="87"/>
      <c r="PQZ21" s="87"/>
      <c r="PRA21" s="87"/>
      <c r="PRB21" s="87"/>
      <c r="PRC21" s="87"/>
      <c r="PRD21" s="87"/>
      <c r="PRE21" s="87"/>
      <c r="PRF21" s="87"/>
      <c r="PRG21" s="87"/>
      <c r="PRH21" s="87"/>
      <c r="PRI21" s="87"/>
      <c r="PRJ21" s="87"/>
      <c r="PRK21" s="87"/>
      <c r="PRL21" s="87"/>
      <c r="PRM21" s="87"/>
      <c r="PRN21" s="87"/>
      <c r="PRO21" s="87"/>
      <c r="PRP21" s="87"/>
      <c r="PRQ21" s="87"/>
      <c r="PRR21" s="87"/>
      <c r="PRS21" s="87"/>
      <c r="PRT21" s="87"/>
      <c r="PRU21" s="87"/>
      <c r="PRV21" s="87"/>
      <c r="PRW21" s="87"/>
      <c r="PRX21" s="87"/>
      <c r="PRY21" s="87"/>
      <c r="PRZ21" s="87"/>
      <c r="PSA21" s="87"/>
      <c r="PSB21" s="87"/>
      <c r="PSC21" s="87"/>
      <c r="PSD21" s="87"/>
      <c r="PSE21" s="87"/>
      <c r="PSF21" s="87"/>
      <c r="PSG21" s="87"/>
      <c r="PSH21" s="87"/>
      <c r="PSI21" s="87"/>
      <c r="PSJ21" s="87"/>
      <c r="PSK21" s="87"/>
      <c r="PSL21" s="87"/>
      <c r="PSM21" s="87"/>
      <c r="PSN21" s="87"/>
      <c r="PSO21" s="87"/>
      <c r="PSP21" s="87"/>
      <c r="PSQ21" s="87"/>
      <c r="PSR21" s="87"/>
      <c r="PSS21" s="87"/>
      <c r="PST21" s="87"/>
      <c r="PSU21" s="87"/>
      <c r="PSV21" s="87"/>
      <c r="PSW21" s="87"/>
      <c r="PSX21" s="87"/>
      <c r="PSY21" s="87"/>
      <c r="PSZ21" s="87"/>
      <c r="PTA21" s="87"/>
      <c r="PTB21" s="87"/>
      <c r="PTC21" s="87"/>
      <c r="PTD21" s="87"/>
      <c r="PTE21" s="87"/>
      <c r="PTF21" s="87"/>
      <c r="PTG21" s="87"/>
      <c r="PTH21" s="87"/>
      <c r="PTI21" s="87"/>
      <c r="PTJ21" s="87"/>
      <c r="PTK21" s="87"/>
      <c r="PTL21" s="87"/>
      <c r="PTM21" s="87"/>
      <c r="PTN21" s="87"/>
      <c r="PTO21" s="87"/>
      <c r="PTP21" s="87"/>
      <c r="PTQ21" s="87"/>
      <c r="PTR21" s="87"/>
      <c r="PTS21" s="87"/>
      <c r="PTT21" s="87"/>
      <c r="PTU21" s="87"/>
      <c r="PTV21" s="87"/>
      <c r="PTW21" s="87"/>
      <c r="PTX21" s="87"/>
      <c r="PTY21" s="87"/>
      <c r="PTZ21" s="87"/>
      <c r="PUA21" s="87"/>
      <c r="PUB21" s="87"/>
      <c r="PUC21" s="87"/>
      <c r="PUD21" s="87"/>
      <c r="PUE21" s="87"/>
      <c r="PUF21" s="87"/>
      <c r="PUG21" s="87"/>
      <c r="PUH21" s="87"/>
      <c r="PUI21" s="87"/>
      <c r="PUJ21" s="87"/>
      <c r="PUK21" s="87"/>
      <c r="PUL21" s="87"/>
      <c r="PUM21" s="87"/>
      <c r="PUN21" s="87"/>
      <c r="PUO21" s="87"/>
      <c r="PUP21" s="87"/>
      <c r="PUQ21" s="87"/>
      <c r="PUR21" s="87"/>
      <c r="PUS21" s="87"/>
      <c r="PUT21" s="87"/>
      <c r="PUU21" s="87"/>
      <c r="PUV21" s="87"/>
      <c r="PUW21" s="87"/>
      <c r="PUX21" s="87"/>
      <c r="PUY21" s="87"/>
      <c r="PUZ21" s="87"/>
      <c r="PVA21" s="87"/>
      <c r="PVB21" s="87"/>
      <c r="PVC21" s="87"/>
      <c r="PVD21" s="87"/>
      <c r="PVE21" s="87"/>
      <c r="PVF21" s="87"/>
      <c r="PVG21" s="87"/>
      <c r="PVH21" s="87"/>
      <c r="PVI21" s="87"/>
      <c r="PVJ21" s="87"/>
      <c r="PVK21" s="87"/>
      <c r="PVL21" s="87"/>
      <c r="PVM21" s="87"/>
      <c r="PVN21" s="87"/>
      <c r="PVO21" s="87"/>
      <c r="PVP21" s="87"/>
      <c r="PVQ21" s="87"/>
      <c r="PVR21" s="87"/>
      <c r="PVS21" s="87"/>
      <c r="PVT21" s="87"/>
      <c r="PVU21" s="87"/>
      <c r="PVV21" s="87"/>
      <c r="PVW21" s="87"/>
      <c r="PVX21" s="87"/>
      <c r="PVY21" s="87"/>
      <c r="PVZ21" s="87"/>
      <c r="PWA21" s="87"/>
      <c r="PWB21" s="87"/>
      <c r="PWC21" s="87"/>
      <c r="PWD21" s="87"/>
      <c r="PWE21" s="87"/>
      <c r="PWF21" s="87"/>
      <c r="PWG21" s="87"/>
      <c r="PWH21" s="87"/>
      <c r="PWI21" s="87"/>
      <c r="PWJ21" s="87"/>
      <c r="PWK21" s="87"/>
      <c r="PWL21" s="87"/>
      <c r="PWM21" s="87"/>
      <c r="PWN21" s="87"/>
      <c r="PWO21" s="87"/>
      <c r="PWP21" s="87"/>
      <c r="PWQ21" s="87"/>
      <c r="PWR21" s="87"/>
      <c r="PWS21" s="87"/>
      <c r="PWT21" s="87"/>
      <c r="PWU21" s="87"/>
      <c r="PWV21" s="87"/>
      <c r="PWW21" s="87"/>
      <c r="PWX21" s="87"/>
      <c r="PWY21" s="87"/>
      <c r="PWZ21" s="87"/>
      <c r="PXA21" s="87"/>
      <c r="PXB21" s="87"/>
      <c r="PXC21" s="87"/>
      <c r="PXD21" s="87"/>
      <c r="PXE21" s="87"/>
      <c r="PXF21" s="87"/>
      <c r="PXG21" s="87"/>
      <c r="PXH21" s="87"/>
      <c r="PXI21" s="87"/>
      <c r="PXJ21" s="87"/>
      <c r="PXK21" s="87"/>
      <c r="PXL21" s="87"/>
      <c r="PXM21" s="87"/>
      <c r="PXN21" s="87"/>
      <c r="PXO21" s="87"/>
      <c r="PXP21" s="87"/>
      <c r="PXQ21" s="87"/>
      <c r="PXR21" s="87"/>
      <c r="PXS21" s="87"/>
      <c r="PXT21" s="87"/>
      <c r="PXU21" s="87"/>
      <c r="PXV21" s="87"/>
      <c r="PXW21" s="87"/>
      <c r="PXX21" s="87"/>
      <c r="PXY21" s="87"/>
      <c r="PXZ21" s="87"/>
      <c r="PYA21" s="87"/>
      <c r="PYB21" s="87"/>
      <c r="PYC21" s="87"/>
      <c r="PYD21" s="87"/>
      <c r="PYE21" s="87"/>
      <c r="PYF21" s="87"/>
      <c r="PYG21" s="87"/>
      <c r="PYH21" s="87"/>
      <c r="PYI21" s="87"/>
      <c r="PYJ21" s="87"/>
      <c r="PYK21" s="87"/>
      <c r="PYL21" s="87"/>
      <c r="PYM21" s="87"/>
      <c r="PYN21" s="87"/>
      <c r="PYO21" s="87"/>
      <c r="PYP21" s="87"/>
      <c r="PYQ21" s="87"/>
      <c r="PYR21" s="87"/>
      <c r="PYS21" s="87"/>
      <c r="PYT21" s="87"/>
      <c r="PYU21" s="87"/>
      <c r="PYV21" s="87"/>
      <c r="PYW21" s="87"/>
      <c r="PYX21" s="87"/>
      <c r="PYY21" s="87"/>
      <c r="PYZ21" s="87"/>
      <c r="PZA21" s="87"/>
      <c r="PZB21" s="87"/>
      <c r="PZC21" s="87"/>
      <c r="PZD21" s="87"/>
      <c r="PZE21" s="87"/>
      <c r="PZF21" s="87"/>
      <c r="PZG21" s="87"/>
      <c r="PZH21" s="87"/>
      <c r="PZI21" s="87"/>
      <c r="PZJ21" s="87"/>
      <c r="PZK21" s="87"/>
      <c r="PZL21" s="87"/>
      <c r="PZM21" s="87"/>
      <c r="PZN21" s="87"/>
      <c r="PZO21" s="87"/>
      <c r="PZP21" s="87"/>
      <c r="PZQ21" s="87"/>
      <c r="PZR21" s="87"/>
      <c r="PZS21" s="87"/>
      <c r="PZT21" s="87"/>
      <c r="PZU21" s="87"/>
      <c r="PZV21" s="87"/>
      <c r="PZW21" s="87"/>
      <c r="PZX21" s="87"/>
      <c r="PZY21" s="87"/>
      <c r="PZZ21" s="87"/>
      <c r="QAA21" s="87"/>
      <c r="QAB21" s="87"/>
      <c r="QAC21" s="87"/>
      <c r="QAD21" s="87"/>
      <c r="QAE21" s="87"/>
      <c r="QAF21" s="87"/>
      <c r="QAG21" s="87"/>
      <c r="QAH21" s="87"/>
      <c r="QAI21" s="87"/>
      <c r="QAJ21" s="87"/>
      <c r="QAK21" s="87"/>
      <c r="QAL21" s="87"/>
      <c r="QAM21" s="87"/>
      <c r="QAN21" s="87"/>
      <c r="QAO21" s="87"/>
      <c r="QAP21" s="87"/>
      <c r="QAQ21" s="87"/>
      <c r="QAR21" s="87"/>
      <c r="QAS21" s="87"/>
      <c r="QAT21" s="87"/>
      <c r="QAU21" s="87"/>
      <c r="QAV21" s="87"/>
      <c r="QAW21" s="87"/>
      <c r="QAX21" s="87"/>
      <c r="QAY21" s="87"/>
      <c r="QAZ21" s="87"/>
      <c r="QBA21" s="87"/>
      <c r="QBB21" s="87"/>
      <c r="QBC21" s="87"/>
      <c r="QBD21" s="87"/>
      <c r="QBE21" s="87"/>
      <c r="QBF21" s="87"/>
      <c r="QBG21" s="87"/>
      <c r="QBH21" s="87"/>
      <c r="QBI21" s="87"/>
      <c r="QBJ21" s="87"/>
      <c r="QBK21" s="87"/>
      <c r="QBL21" s="87"/>
      <c r="QBM21" s="87"/>
      <c r="QBN21" s="87"/>
      <c r="QBO21" s="87"/>
      <c r="QBP21" s="87"/>
      <c r="QBQ21" s="87"/>
      <c r="QBR21" s="87"/>
      <c r="QBS21" s="87"/>
      <c r="QBT21" s="87"/>
      <c r="QBU21" s="87"/>
      <c r="QBV21" s="87"/>
      <c r="QBW21" s="87"/>
      <c r="QBX21" s="87"/>
      <c r="QBY21" s="87"/>
      <c r="QBZ21" s="87"/>
      <c r="QCA21" s="87"/>
      <c r="QCB21" s="87"/>
      <c r="QCC21" s="87"/>
      <c r="QCD21" s="87"/>
      <c r="QCE21" s="87"/>
      <c r="QCF21" s="87"/>
      <c r="QCG21" s="87"/>
      <c r="QCH21" s="87"/>
      <c r="QCI21" s="87"/>
      <c r="QCJ21" s="87"/>
      <c r="QCK21" s="87"/>
      <c r="QCL21" s="87"/>
      <c r="QCM21" s="87"/>
      <c r="QCN21" s="87"/>
      <c r="QCO21" s="87"/>
      <c r="QCP21" s="87"/>
      <c r="QCQ21" s="87"/>
      <c r="QCR21" s="87"/>
      <c r="QCS21" s="87"/>
      <c r="QCT21" s="87"/>
      <c r="QCU21" s="87"/>
      <c r="QCV21" s="87"/>
      <c r="QCW21" s="87"/>
      <c r="QCX21" s="87"/>
      <c r="QCY21" s="87"/>
      <c r="QCZ21" s="87"/>
      <c r="QDA21" s="87"/>
      <c r="QDB21" s="87"/>
      <c r="QDC21" s="87"/>
      <c r="QDD21" s="87"/>
      <c r="QDE21" s="87"/>
      <c r="QDF21" s="87"/>
      <c r="QDG21" s="87"/>
      <c r="QDH21" s="87"/>
      <c r="QDI21" s="87"/>
      <c r="QDJ21" s="87"/>
      <c r="QDK21" s="87"/>
      <c r="QDL21" s="87"/>
      <c r="QDM21" s="87"/>
      <c r="QDN21" s="87"/>
      <c r="QDO21" s="87"/>
      <c r="QDP21" s="87"/>
      <c r="QDQ21" s="87"/>
      <c r="QDR21" s="87"/>
      <c r="QDS21" s="87"/>
      <c r="QDT21" s="87"/>
      <c r="QDU21" s="87"/>
      <c r="QDV21" s="87"/>
      <c r="QDW21" s="87"/>
      <c r="QDX21" s="87"/>
      <c r="QDY21" s="87"/>
      <c r="QDZ21" s="87"/>
      <c r="QEA21" s="87"/>
      <c r="QEB21" s="87"/>
      <c r="QEC21" s="87"/>
      <c r="QED21" s="87"/>
      <c r="QEE21" s="87"/>
      <c r="QEF21" s="87"/>
      <c r="QEG21" s="87"/>
      <c r="QEH21" s="87"/>
      <c r="QEI21" s="87"/>
      <c r="QEJ21" s="87"/>
      <c r="QEK21" s="87"/>
      <c r="QEL21" s="87"/>
      <c r="QEM21" s="87"/>
      <c r="QEN21" s="87"/>
      <c r="QEO21" s="87"/>
      <c r="QEP21" s="87"/>
      <c r="QEQ21" s="87"/>
      <c r="QER21" s="87"/>
      <c r="QES21" s="87"/>
      <c r="QET21" s="87"/>
      <c r="QEU21" s="87"/>
      <c r="QEV21" s="87"/>
      <c r="QEW21" s="87"/>
      <c r="QEX21" s="87"/>
      <c r="QEY21" s="87"/>
      <c r="QEZ21" s="87"/>
      <c r="QFA21" s="87"/>
      <c r="QFB21" s="87"/>
      <c r="QFC21" s="87"/>
      <c r="QFD21" s="87"/>
      <c r="QFE21" s="87"/>
      <c r="QFF21" s="87"/>
      <c r="QFG21" s="87"/>
      <c r="QFH21" s="87"/>
      <c r="QFI21" s="87"/>
      <c r="QFJ21" s="87"/>
      <c r="QFK21" s="87"/>
      <c r="QFL21" s="87"/>
      <c r="QFM21" s="87"/>
      <c r="QFN21" s="87"/>
      <c r="QFO21" s="87"/>
      <c r="QFP21" s="87"/>
      <c r="QFQ21" s="87"/>
      <c r="QFR21" s="87"/>
      <c r="QFS21" s="87"/>
      <c r="QFT21" s="87"/>
      <c r="QFU21" s="87"/>
      <c r="QFV21" s="87"/>
      <c r="QFW21" s="87"/>
      <c r="QFX21" s="87"/>
      <c r="QFY21" s="87"/>
      <c r="QFZ21" s="87"/>
      <c r="QGA21" s="87"/>
      <c r="QGB21" s="87"/>
      <c r="QGC21" s="87"/>
      <c r="QGD21" s="87"/>
      <c r="QGE21" s="87"/>
      <c r="QGF21" s="87"/>
      <c r="QGG21" s="87"/>
      <c r="QGH21" s="87"/>
      <c r="QGI21" s="87"/>
      <c r="QGJ21" s="87"/>
      <c r="QGK21" s="87"/>
      <c r="QGL21" s="87"/>
      <c r="QGM21" s="87"/>
      <c r="QGN21" s="87"/>
      <c r="QGO21" s="87"/>
      <c r="QGP21" s="87"/>
      <c r="QGQ21" s="87"/>
      <c r="QGR21" s="87"/>
      <c r="QGS21" s="87"/>
      <c r="QGT21" s="87"/>
      <c r="QGU21" s="87"/>
      <c r="QGV21" s="87"/>
      <c r="QGW21" s="87"/>
      <c r="QGX21" s="87"/>
      <c r="QGY21" s="87"/>
      <c r="QGZ21" s="87"/>
      <c r="QHA21" s="87"/>
      <c r="QHB21" s="87"/>
      <c r="QHC21" s="87"/>
      <c r="QHD21" s="87"/>
      <c r="QHE21" s="87"/>
      <c r="QHF21" s="87"/>
      <c r="QHG21" s="87"/>
      <c r="QHH21" s="87"/>
      <c r="QHI21" s="87"/>
      <c r="QHJ21" s="87"/>
      <c r="QHK21" s="87"/>
      <c r="QHL21" s="87"/>
      <c r="QHM21" s="87"/>
      <c r="QHN21" s="87"/>
      <c r="QHO21" s="87"/>
      <c r="QHP21" s="87"/>
      <c r="QHQ21" s="87"/>
      <c r="QHR21" s="87"/>
      <c r="QHS21" s="87"/>
      <c r="QHT21" s="87"/>
      <c r="QHU21" s="87"/>
      <c r="QHV21" s="87"/>
      <c r="QHW21" s="87"/>
      <c r="QHX21" s="87"/>
      <c r="QHY21" s="87"/>
      <c r="QHZ21" s="87"/>
      <c r="QIA21" s="87"/>
      <c r="QIB21" s="87"/>
      <c r="QIC21" s="87"/>
      <c r="QID21" s="87"/>
      <c r="QIE21" s="87"/>
      <c r="QIF21" s="87"/>
      <c r="QIG21" s="87"/>
      <c r="QIH21" s="87"/>
      <c r="QII21" s="87"/>
      <c r="QIJ21" s="87"/>
      <c r="QIK21" s="87"/>
      <c r="QIL21" s="87"/>
      <c r="QIM21" s="87"/>
      <c r="QIN21" s="87"/>
      <c r="QIO21" s="87"/>
      <c r="QIP21" s="87"/>
      <c r="QIQ21" s="87"/>
      <c r="QIR21" s="87"/>
      <c r="QIS21" s="87"/>
      <c r="QIT21" s="87"/>
      <c r="QIU21" s="87"/>
      <c r="QIV21" s="87"/>
      <c r="QIW21" s="87"/>
      <c r="QIX21" s="87"/>
      <c r="QIY21" s="87"/>
      <c r="QIZ21" s="87"/>
      <c r="QJA21" s="87"/>
      <c r="QJB21" s="87"/>
      <c r="QJC21" s="87"/>
      <c r="QJD21" s="87"/>
      <c r="QJE21" s="87"/>
      <c r="QJF21" s="87"/>
      <c r="QJG21" s="87"/>
      <c r="QJH21" s="87"/>
      <c r="QJI21" s="87"/>
      <c r="QJJ21" s="87"/>
      <c r="QJK21" s="87"/>
      <c r="QJL21" s="87"/>
      <c r="QJM21" s="87"/>
      <c r="QJN21" s="87"/>
      <c r="QJO21" s="87"/>
      <c r="QJP21" s="87"/>
      <c r="QJQ21" s="87"/>
      <c r="QJR21" s="87"/>
      <c r="QJS21" s="87"/>
      <c r="QJT21" s="87"/>
      <c r="QJU21" s="87"/>
      <c r="QJV21" s="87"/>
      <c r="QJW21" s="87"/>
      <c r="QJX21" s="87"/>
      <c r="QJY21" s="87"/>
      <c r="QJZ21" s="87"/>
      <c r="QKA21" s="87"/>
      <c r="QKB21" s="87"/>
      <c r="QKC21" s="87"/>
      <c r="QKD21" s="87"/>
      <c r="QKE21" s="87"/>
      <c r="QKF21" s="87"/>
      <c r="QKG21" s="87"/>
      <c r="QKH21" s="87"/>
      <c r="QKI21" s="87"/>
      <c r="QKJ21" s="87"/>
      <c r="QKK21" s="87"/>
      <c r="QKL21" s="87"/>
      <c r="QKM21" s="87"/>
      <c r="QKN21" s="87"/>
      <c r="QKO21" s="87"/>
      <c r="QKP21" s="87"/>
      <c r="QKQ21" s="87"/>
      <c r="QKR21" s="87"/>
      <c r="QKS21" s="87"/>
      <c r="QKT21" s="87"/>
      <c r="QKU21" s="87"/>
      <c r="QKV21" s="87"/>
      <c r="QKW21" s="87"/>
      <c r="QKX21" s="87"/>
      <c r="QKY21" s="87"/>
      <c r="QKZ21" s="87"/>
      <c r="QLA21" s="87"/>
      <c r="QLB21" s="87"/>
      <c r="QLC21" s="87"/>
      <c r="QLD21" s="87"/>
      <c r="QLE21" s="87"/>
      <c r="QLF21" s="87"/>
      <c r="QLG21" s="87"/>
      <c r="QLH21" s="87"/>
      <c r="QLI21" s="87"/>
      <c r="QLJ21" s="87"/>
      <c r="QLK21" s="87"/>
      <c r="QLL21" s="87"/>
      <c r="QLM21" s="87"/>
      <c r="QLN21" s="87"/>
      <c r="QLO21" s="87"/>
      <c r="QLP21" s="87"/>
      <c r="QLQ21" s="87"/>
      <c r="QLR21" s="87"/>
      <c r="QLS21" s="87"/>
      <c r="QLT21" s="87"/>
      <c r="QLU21" s="87"/>
      <c r="QLV21" s="87"/>
      <c r="QLW21" s="87"/>
      <c r="QLX21" s="87"/>
      <c r="QLY21" s="87"/>
      <c r="QLZ21" s="87"/>
      <c r="QMA21" s="87"/>
      <c r="QMB21" s="87"/>
      <c r="QMC21" s="87"/>
      <c r="QMD21" s="87"/>
      <c r="QME21" s="87"/>
      <c r="QMF21" s="87"/>
      <c r="QMG21" s="87"/>
      <c r="QMH21" s="87"/>
      <c r="QMI21" s="87"/>
      <c r="QMJ21" s="87"/>
      <c r="QMK21" s="87"/>
      <c r="QML21" s="87"/>
      <c r="QMM21" s="87"/>
      <c r="QMN21" s="87"/>
      <c r="QMO21" s="87"/>
      <c r="QMP21" s="87"/>
      <c r="QMQ21" s="87"/>
      <c r="QMR21" s="87"/>
      <c r="QMS21" s="87"/>
      <c r="QMT21" s="87"/>
      <c r="QMU21" s="87"/>
      <c r="QMV21" s="87"/>
      <c r="QMW21" s="87"/>
      <c r="QMX21" s="87"/>
      <c r="QMY21" s="87"/>
      <c r="QMZ21" s="87"/>
      <c r="QNA21" s="87"/>
      <c r="QNB21" s="87"/>
      <c r="QNC21" s="87"/>
      <c r="QND21" s="87"/>
      <c r="QNE21" s="87"/>
      <c r="QNF21" s="87"/>
      <c r="QNG21" s="87"/>
      <c r="QNH21" s="87"/>
      <c r="QNI21" s="87"/>
      <c r="QNJ21" s="87"/>
      <c r="QNK21" s="87"/>
      <c r="QNL21" s="87"/>
      <c r="QNM21" s="87"/>
      <c r="QNN21" s="87"/>
      <c r="QNO21" s="87"/>
      <c r="QNP21" s="87"/>
      <c r="QNQ21" s="87"/>
      <c r="QNR21" s="87"/>
      <c r="QNS21" s="87"/>
      <c r="QNT21" s="87"/>
      <c r="QNU21" s="87"/>
      <c r="QNV21" s="87"/>
      <c r="QNW21" s="87"/>
      <c r="QNX21" s="87"/>
      <c r="QNY21" s="87"/>
      <c r="QNZ21" s="87"/>
      <c r="QOA21" s="87"/>
      <c r="QOB21" s="87"/>
      <c r="QOC21" s="87"/>
      <c r="QOD21" s="87"/>
      <c r="QOE21" s="87"/>
      <c r="QOF21" s="87"/>
      <c r="QOG21" s="87"/>
      <c r="QOH21" s="87"/>
      <c r="QOI21" s="87"/>
      <c r="QOJ21" s="87"/>
      <c r="QOK21" s="87"/>
      <c r="QOL21" s="87"/>
      <c r="QOM21" s="87"/>
      <c r="QON21" s="87"/>
      <c r="QOO21" s="87"/>
      <c r="QOP21" s="87"/>
      <c r="QOQ21" s="87"/>
      <c r="QOR21" s="87"/>
      <c r="QOS21" s="87"/>
      <c r="QOT21" s="87"/>
      <c r="QOU21" s="87"/>
      <c r="QOV21" s="87"/>
      <c r="QOW21" s="87"/>
      <c r="QOX21" s="87"/>
      <c r="QOY21" s="87"/>
      <c r="QOZ21" s="87"/>
      <c r="QPA21" s="87"/>
      <c r="QPB21" s="87"/>
      <c r="QPC21" s="87"/>
      <c r="QPD21" s="87"/>
      <c r="QPE21" s="87"/>
      <c r="QPF21" s="87"/>
      <c r="QPG21" s="87"/>
      <c r="QPH21" s="87"/>
      <c r="QPI21" s="87"/>
      <c r="QPJ21" s="87"/>
      <c r="QPK21" s="87"/>
      <c r="QPL21" s="87"/>
      <c r="QPM21" s="87"/>
      <c r="QPN21" s="87"/>
      <c r="QPO21" s="87"/>
      <c r="QPP21" s="87"/>
      <c r="QPQ21" s="87"/>
      <c r="QPR21" s="87"/>
      <c r="QPS21" s="87"/>
      <c r="QPT21" s="87"/>
      <c r="QPU21" s="87"/>
      <c r="QPV21" s="87"/>
      <c r="QPW21" s="87"/>
      <c r="QPX21" s="87"/>
      <c r="QPY21" s="87"/>
      <c r="QPZ21" s="87"/>
      <c r="QQA21" s="87"/>
      <c r="QQB21" s="87"/>
      <c r="QQC21" s="87"/>
      <c r="QQD21" s="87"/>
      <c r="QQE21" s="87"/>
      <c r="QQF21" s="87"/>
      <c r="QQG21" s="87"/>
      <c r="QQH21" s="87"/>
      <c r="QQI21" s="87"/>
      <c r="QQJ21" s="87"/>
      <c r="QQK21" s="87"/>
      <c r="QQL21" s="87"/>
      <c r="QQM21" s="87"/>
      <c r="QQN21" s="87"/>
      <c r="QQO21" s="87"/>
      <c r="QQP21" s="87"/>
      <c r="QQQ21" s="87"/>
      <c r="QQR21" s="87"/>
      <c r="QQS21" s="87"/>
      <c r="QQT21" s="87"/>
      <c r="QQU21" s="87"/>
      <c r="QQV21" s="87"/>
      <c r="QQW21" s="87"/>
      <c r="QQX21" s="87"/>
      <c r="QQY21" s="87"/>
      <c r="QQZ21" s="87"/>
      <c r="QRA21" s="87"/>
      <c r="QRB21" s="87"/>
      <c r="QRC21" s="87"/>
      <c r="QRD21" s="87"/>
      <c r="QRE21" s="87"/>
      <c r="QRF21" s="87"/>
      <c r="QRG21" s="87"/>
      <c r="QRH21" s="87"/>
      <c r="QRI21" s="87"/>
      <c r="QRJ21" s="87"/>
      <c r="QRK21" s="87"/>
      <c r="QRL21" s="87"/>
      <c r="QRM21" s="87"/>
      <c r="QRN21" s="87"/>
      <c r="QRO21" s="87"/>
      <c r="QRP21" s="87"/>
      <c r="QRQ21" s="87"/>
      <c r="QRR21" s="87"/>
      <c r="QRS21" s="87"/>
      <c r="QRT21" s="87"/>
      <c r="QRU21" s="87"/>
      <c r="QRV21" s="87"/>
      <c r="QRW21" s="87"/>
      <c r="QRX21" s="87"/>
      <c r="QRY21" s="87"/>
      <c r="QRZ21" s="87"/>
      <c r="QSA21" s="87"/>
      <c r="QSB21" s="87"/>
      <c r="QSC21" s="87"/>
      <c r="QSD21" s="87"/>
      <c r="QSE21" s="87"/>
      <c r="QSF21" s="87"/>
      <c r="QSG21" s="87"/>
      <c r="QSH21" s="87"/>
      <c r="QSI21" s="87"/>
      <c r="QSJ21" s="87"/>
      <c r="QSK21" s="87"/>
      <c r="QSL21" s="87"/>
      <c r="QSM21" s="87"/>
      <c r="QSN21" s="87"/>
      <c r="QSO21" s="87"/>
      <c r="QSP21" s="87"/>
      <c r="QSQ21" s="87"/>
      <c r="QSR21" s="87"/>
      <c r="QSS21" s="87"/>
      <c r="QST21" s="87"/>
      <c r="QSU21" s="87"/>
      <c r="QSV21" s="87"/>
      <c r="QSW21" s="87"/>
      <c r="QSX21" s="87"/>
      <c r="QSY21" s="87"/>
      <c r="QSZ21" s="87"/>
      <c r="QTA21" s="87"/>
      <c r="QTB21" s="87"/>
      <c r="QTC21" s="87"/>
      <c r="QTD21" s="87"/>
      <c r="QTE21" s="87"/>
      <c r="QTF21" s="87"/>
      <c r="QTG21" s="87"/>
      <c r="QTH21" s="87"/>
      <c r="QTI21" s="87"/>
      <c r="QTJ21" s="87"/>
      <c r="QTK21" s="87"/>
      <c r="QTL21" s="87"/>
      <c r="QTM21" s="87"/>
      <c r="QTN21" s="87"/>
      <c r="QTO21" s="87"/>
      <c r="QTP21" s="87"/>
      <c r="QTQ21" s="87"/>
      <c r="QTR21" s="87"/>
      <c r="QTS21" s="87"/>
      <c r="QTT21" s="87"/>
      <c r="QTU21" s="87"/>
      <c r="QTV21" s="87"/>
      <c r="QTW21" s="87"/>
      <c r="QTX21" s="87"/>
      <c r="QTY21" s="87"/>
      <c r="QTZ21" s="87"/>
      <c r="QUA21" s="87"/>
      <c r="QUB21" s="87"/>
      <c r="QUC21" s="87"/>
      <c r="QUD21" s="87"/>
      <c r="QUE21" s="87"/>
      <c r="QUF21" s="87"/>
      <c r="QUG21" s="87"/>
      <c r="QUH21" s="87"/>
      <c r="QUI21" s="87"/>
      <c r="QUJ21" s="87"/>
      <c r="QUK21" s="87"/>
      <c r="QUL21" s="87"/>
      <c r="QUM21" s="87"/>
      <c r="QUN21" s="87"/>
      <c r="QUO21" s="87"/>
      <c r="QUP21" s="87"/>
      <c r="QUQ21" s="87"/>
      <c r="QUR21" s="87"/>
      <c r="QUS21" s="87"/>
      <c r="QUT21" s="87"/>
      <c r="QUU21" s="87"/>
      <c r="QUV21" s="87"/>
      <c r="QUW21" s="87"/>
      <c r="QUX21" s="87"/>
      <c r="QUY21" s="87"/>
      <c r="QUZ21" s="87"/>
      <c r="QVA21" s="87"/>
      <c r="QVB21" s="87"/>
      <c r="QVC21" s="87"/>
      <c r="QVD21" s="87"/>
      <c r="QVE21" s="87"/>
      <c r="QVF21" s="87"/>
      <c r="QVG21" s="87"/>
      <c r="QVH21" s="87"/>
      <c r="QVI21" s="87"/>
      <c r="QVJ21" s="87"/>
      <c r="QVK21" s="87"/>
      <c r="QVL21" s="87"/>
      <c r="QVM21" s="87"/>
      <c r="QVN21" s="87"/>
      <c r="QVO21" s="87"/>
      <c r="QVP21" s="87"/>
      <c r="QVQ21" s="87"/>
      <c r="QVR21" s="87"/>
      <c r="QVS21" s="87"/>
      <c r="QVT21" s="87"/>
      <c r="QVU21" s="87"/>
      <c r="QVV21" s="87"/>
      <c r="QVW21" s="87"/>
      <c r="QVX21" s="87"/>
      <c r="QVY21" s="87"/>
      <c r="QVZ21" s="87"/>
      <c r="QWA21" s="87"/>
      <c r="QWB21" s="87"/>
      <c r="QWC21" s="87"/>
      <c r="QWD21" s="87"/>
      <c r="QWE21" s="87"/>
      <c r="QWF21" s="87"/>
      <c r="QWG21" s="87"/>
      <c r="QWH21" s="87"/>
      <c r="QWI21" s="87"/>
      <c r="QWJ21" s="87"/>
      <c r="QWK21" s="87"/>
      <c r="QWL21" s="87"/>
      <c r="QWM21" s="87"/>
      <c r="QWN21" s="87"/>
      <c r="QWO21" s="87"/>
      <c r="QWP21" s="87"/>
      <c r="QWQ21" s="87"/>
      <c r="QWR21" s="87"/>
      <c r="QWS21" s="87"/>
      <c r="QWT21" s="87"/>
      <c r="QWU21" s="87"/>
      <c r="QWV21" s="87"/>
      <c r="QWW21" s="87"/>
      <c r="QWX21" s="87"/>
      <c r="QWY21" s="87"/>
      <c r="QWZ21" s="87"/>
      <c r="QXA21" s="87"/>
      <c r="QXB21" s="87"/>
      <c r="QXC21" s="87"/>
      <c r="QXD21" s="87"/>
      <c r="QXE21" s="87"/>
      <c r="QXF21" s="87"/>
      <c r="QXG21" s="87"/>
      <c r="QXH21" s="87"/>
      <c r="QXI21" s="87"/>
      <c r="QXJ21" s="87"/>
      <c r="QXK21" s="87"/>
      <c r="QXL21" s="87"/>
      <c r="QXM21" s="87"/>
      <c r="QXN21" s="87"/>
      <c r="QXO21" s="87"/>
      <c r="QXP21" s="87"/>
      <c r="QXQ21" s="87"/>
      <c r="QXR21" s="87"/>
      <c r="QXS21" s="87"/>
      <c r="QXT21" s="87"/>
      <c r="QXU21" s="87"/>
      <c r="QXV21" s="87"/>
      <c r="QXW21" s="87"/>
      <c r="QXX21" s="87"/>
      <c r="QXY21" s="87"/>
      <c r="QXZ21" s="87"/>
      <c r="QYA21" s="87"/>
      <c r="QYB21" s="87"/>
      <c r="QYC21" s="87"/>
      <c r="QYD21" s="87"/>
      <c r="QYE21" s="87"/>
      <c r="QYF21" s="87"/>
      <c r="QYG21" s="87"/>
      <c r="QYH21" s="87"/>
      <c r="QYI21" s="87"/>
      <c r="QYJ21" s="87"/>
      <c r="QYK21" s="87"/>
      <c r="QYL21" s="87"/>
      <c r="QYM21" s="87"/>
      <c r="QYN21" s="87"/>
      <c r="QYO21" s="87"/>
      <c r="QYP21" s="87"/>
      <c r="QYQ21" s="87"/>
      <c r="QYR21" s="87"/>
      <c r="QYS21" s="87"/>
      <c r="QYT21" s="87"/>
      <c r="QYU21" s="87"/>
      <c r="QYV21" s="87"/>
      <c r="QYW21" s="87"/>
      <c r="QYX21" s="87"/>
      <c r="QYY21" s="87"/>
      <c r="QYZ21" s="87"/>
      <c r="QZA21" s="87"/>
      <c r="QZB21" s="87"/>
      <c r="QZC21" s="87"/>
      <c r="QZD21" s="87"/>
      <c r="QZE21" s="87"/>
      <c r="QZF21" s="87"/>
      <c r="QZG21" s="87"/>
      <c r="QZH21" s="87"/>
      <c r="QZI21" s="87"/>
      <c r="QZJ21" s="87"/>
      <c r="QZK21" s="87"/>
      <c r="QZL21" s="87"/>
      <c r="QZM21" s="87"/>
      <c r="QZN21" s="87"/>
      <c r="QZO21" s="87"/>
      <c r="QZP21" s="87"/>
      <c r="QZQ21" s="87"/>
      <c r="QZR21" s="87"/>
      <c r="QZS21" s="87"/>
      <c r="QZT21" s="87"/>
      <c r="QZU21" s="87"/>
      <c r="QZV21" s="87"/>
      <c r="QZW21" s="87"/>
      <c r="QZX21" s="87"/>
      <c r="QZY21" s="87"/>
      <c r="QZZ21" s="87"/>
      <c r="RAA21" s="87"/>
      <c r="RAB21" s="87"/>
      <c r="RAC21" s="87"/>
      <c r="RAD21" s="87"/>
      <c r="RAE21" s="87"/>
      <c r="RAF21" s="87"/>
      <c r="RAG21" s="87"/>
      <c r="RAH21" s="87"/>
      <c r="RAI21" s="87"/>
      <c r="RAJ21" s="87"/>
      <c r="RAK21" s="87"/>
      <c r="RAL21" s="87"/>
      <c r="RAM21" s="87"/>
      <c r="RAN21" s="87"/>
      <c r="RAO21" s="87"/>
      <c r="RAP21" s="87"/>
      <c r="RAQ21" s="87"/>
      <c r="RAR21" s="87"/>
      <c r="RAS21" s="87"/>
      <c r="RAT21" s="87"/>
      <c r="RAU21" s="87"/>
      <c r="RAV21" s="87"/>
      <c r="RAW21" s="87"/>
      <c r="RAX21" s="87"/>
      <c r="RAY21" s="87"/>
      <c r="RAZ21" s="87"/>
      <c r="RBA21" s="87"/>
      <c r="RBB21" s="87"/>
      <c r="RBC21" s="87"/>
      <c r="RBD21" s="87"/>
      <c r="RBE21" s="87"/>
      <c r="RBF21" s="87"/>
      <c r="RBG21" s="87"/>
      <c r="RBH21" s="87"/>
      <c r="RBI21" s="87"/>
      <c r="RBJ21" s="87"/>
      <c r="RBK21" s="87"/>
      <c r="RBL21" s="87"/>
      <c r="RBM21" s="87"/>
      <c r="RBN21" s="87"/>
      <c r="RBO21" s="87"/>
      <c r="RBP21" s="87"/>
      <c r="RBQ21" s="87"/>
      <c r="RBR21" s="87"/>
      <c r="RBS21" s="87"/>
      <c r="RBT21" s="87"/>
      <c r="RBU21" s="87"/>
      <c r="RBV21" s="87"/>
      <c r="RBW21" s="87"/>
      <c r="RBX21" s="87"/>
      <c r="RBY21" s="87"/>
      <c r="RBZ21" s="87"/>
      <c r="RCA21" s="87"/>
      <c r="RCB21" s="87"/>
      <c r="RCC21" s="87"/>
      <c r="RCD21" s="87"/>
      <c r="RCE21" s="87"/>
      <c r="RCF21" s="87"/>
      <c r="RCG21" s="87"/>
      <c r="RCH21" s="87"/>
      <c r="RCI21" s="87"/>
      <c r="RCJ21" s="87"/>
      <c r="RCK21" s="87"/>
      <c r="RCL21" s="87"/>
      <c r="RCM21" s="87"/>
      <c r="RCN21" s="87"/>
      <c r="RCO21" s="87"/>
      <c r="RCP21" s="87"/>
      <c r="RCQ21" s="87"/>
      <c r="RCR21" s="87"/>
      <c r="RCS21" s="87"/>
      <c r="RCT21" s="87"/>
      <c r="RCU21" s="87"/>
      <c r="RCV21" s="87"/>
      <c r="RCW21" s="87"/>
      <c r="RCX21" s="87"/>
      <c r="RCY21" s="87"/>
      <c r="RCZ21" s="87"/>
      <c r="RDA21" s="87"/>
      <c r="RDB21" s="87"/>
      <c r="RDC21" s="87"/>
      <c r="RDD21" s="87"/>
      <c r="RDE21" s="87"/>
      <c r="RDF21" s="87"/>
      <c r="RDG21" s="87"/>
      <c r="RDH21" s="87"/>
      <c r="RDI21" s="87"/>
      <c r="RDJ21" s="87"/>
      <c r="RDK21" s="87"/>
      <c r="RDL21" s="87"/>
      <c r="RDM21" s="87"/>
      <c r="RDN21" s="87"/>
      <c r="RDO21" s="87"/>
      <c r="RDP21" s="87"/>
      <c r="RDQ21" s="87"/>
      <c r="RDR21" s="87"/>
      <c r="RDS21" s="87"/>
      <c r="RDT21" s="87"/>
      <c r="RDU21" s="87"/>
      <c r="RDV21" s="87"/>
      <c r="RDW21" s="87"/>
      <c r="RDX21" s="87"/>
      <c r="RDY21" s="87"/>
      <c r="RDZ21" s="87"/>
      <c r="REA21" s="87"/>
      <c r="REB21" s="87"/>
      <c r="REC21" s="87"/>
      <c r="RED21" s="87"/>
      <c r="REE21" s="87"/>
      <c r="REF21" s="87"/>
      <c r="REG21" s="87"/>
      <c r="REH21" s="87"/>
      <c r="REI21" s="87"/>
      <c r="REJ21" s="87"/>
      <c r="REK21" s="87"/>
      <c r="REL21" s="87"/>
      <c r="REM21" s="87"/>
      <c r="REN21" s="87"/>
      <c r="REO21" s="87"/>
      <c r="REP21" s="87"/>
      <c r="REQ21" s="87"/>
      <c r="RER21" s="87"/>
      <c r="RES21" s="87"/>
      <c r="RET21" s="87"/>
      <c r="REU21" s="87"/>
      <c r="REV21" s="87"/>
      <c r="REW21" s="87"/>
      <c r="REX21" s="87"/>
      <c r="REY21" s="87"/>
      <c r="REZ21" s="87"/>
      <c r="RFA21" s="87"/>
      <c r="RFB21" s="87"/>
      <c r="RFC21" s="87"/>
      <c r="RFD21" s="87"/>
      <c r="RFE21" s="87"/>
      <c r="RFF21" s="87"/>
      <c r="RFG21" s="87"/>
      <c r="RFH21" s="87"/>
      <c r="RFI21" s="87"/>
      <c r="RFJ21" s="87"/>
      <c r="RFK21" s="87"/>
      <c r="RFL21" s="87"/>
      <c r="RFM21" s="87"/>
      <c r="RFN21" s="87"/>
      <c r="RFO21" s="87"/>
      <c r="RFP21" s="87"/>
      <c r="RFQ21" s="87"/>
      <c r="RFR21" s="87"/>
      <c r="RFS21" s="87"/>
      <c r="RFT21" s="87"/>
      <c r="RFU21" s="87"/>
      <c r="RFV21" s="87"/>
      <c r="RFW21" s="87"/>
      <c r="RFX21" s="87"/>
      <c r="RFY21" s="87"/>
      <c r="RFZ21" s="87"/>
      <c r="RGA21" s="87"/>
      <c r="RGB21" s="87"/>
      <c r="RGC21" s="87"/>
      <c r="RGD21" s="87"/>
      <c r="RGE21" s="87"/>
      <c r="RGF21" s="87"/>
      <c r="RGG21" s="87"/>
      <c r="RGH21" s="87"/>
      <c r="RGI21" s="87"/>
      <c r="RGJ21" s="87"/>
      <c r="RGK21" s="87"/>
      <c r="RGL21" s="87"/>
      <c r="RGM21" s="87"/>
      <c r="RGN21" s="87"/>
      <c r="RGO21" s="87"/>
      <c r="RGP21" s="87"/>
      <c r="RGQ21" s="87"/>
      <c r="RGR21" s="87"/>
      <c r="RGS21" s="87"/>
      <c r="RGT21" s="87"/>
      <c r="RGU21" s="87"/>
      <c r="RGV21" s="87"/>
      <c r="RGW21" s="87"/>
      <c r="RGX21" s="87"/>
      <c r="RGY21" s="87"/>
      <c r="RGZ21" s="87"/>
      <c r="RHA21" s="87"/>
      <c r="RHB21" s="87"/>
      <c r="RHC21" s="87"/>
      <c r="RHD21" s="87"/>
      <c r="RHE21" s="87"/>
      <c r="RHF21" s="87"/>
      <c r="RHG21" s="87"/>
      <c r="RHH21" s="87"/>
      <c r="RHI21" s="87"/>
      <c r="RHJ21" s="87"/>
      <c r="RHK21" s="87"/>
      <c r="RHL21" s="87"/>
      <c r="RHM21" s="87"/>
      <c r="RHN21" s="87"/>
      <c r="RHO21" s="87"/>
      <c r="RHP21" s="87"/>
      <c r="RHQ21" s="87"/>
      <c r="RHR21" s="87"/>
      <c r="RHS21" s="87"/>
      <c r="RHT21" s="87"/>
      <c r="RHU21" s="87"/>
      <c r="RHV21" s="87"/>
      <c r="RHW21" s="87"/>
      <c r="RHX21" s="87"/>
      <c r="RHY21" s="87"/>
      <c r="RHZ21" s="87"/>
      <c r="RIA21" s="87"/>
      <c r="RIB21" s="87"/>
      <c r="RIC21" s="87"/>
      <c r="RID21" s="87"/>
      <c r="RIE21" s="87"/>
      <c r="RIF21" s="87"/>
      <c r="RIG21" s="87"/>
      <c r="RIH21" s="87"/>
      <c r="RII21" s="87"/>
      <c r="RIJ21" s="87"/>
      <c r="RIK21" s="87"/>
      <c r="RIL21" s="87"/>
      <c r="RIM21" s="87"/>
      <c r="RIN21" s="87"/>
      <c r="RIO21" s="87"/>
      <c r="RIP21" s="87"/>
      <c r="RIQ21" s="87"/>
      <c r="RIR21" s="87"/>
      <c r="RIS21" s="87"/>
      <c r="RIT21" s="87"/>
      <c r="RIU21" s="87"/>
      <c r="RIV21" s="87"/>
      <c r="RIW21" s="87"/>
      <c r="RIX21" s="87"/>
      <c r="RIY21" s="87"/>
      <c r="RIZ21" s="87"/>
      <c r="RJA21" s="87"/>
      <c r="RJB21" s="87"/>
      <c r="RJC21" s="87"/>
      <c r="RJD21" s="87"/>
      <c r="RJE21" s="87"/>
      <c r="RJF21" s="87"/>
      <c r="RJG21" s="87"/>
      <c r="RJH21" s="87"/>
      <c r="RJI21" s="87"/>
      <c r="RJJ21" s="87"/>
      <c r="RJK21" s="87"/>
      <c r="RJL21" s="87"/>
      <c r="RJM21" s="87"/>
      <c r="RJN21" s="87"/>
      <c r="RJO21" s="87"/>
      <c r="RJP21" s="87"/>
      <c r="RJQ21" s="87"/>
      <c r="RJR21" s="87"/>
      <c r="RJS21" s="87"/>
      <c r="RJT21" s="87"/>
      <c r="RJU21" s="87"/>
      <c r="RJV21" s="87"/>
      <c r="RJW21" s="87"/>
      <c r="RJX21" s="87"/>
      <c r="RJY21" s="87"/>
      <c r="RJZ21" s="87"/>
      <c r="RKA21" s="87"/>
      <c r="RKB21" s="87"/>
      <c r="RKC21" s="87"/>
      <c r="RKD21" s="87"/>
      <c r="RKE21" s="87"/>
      <c r="RKF21" s="87"/>
      <c r="RKG21" s="87"/>
      <c r="RKH21" s="87"/>
      <c r="RKI21" s="87"/>
      <c r="RKJ21" s="87"/>
      <c r="RKK21" s="87"/>
      <c r="RKL21" s="87"/>
      <c r="RKM21" s="87"/>
      <c r="RKN21" s="87"/>
      <c r="RKO21" s="87"/>
      <c r="RKP21" s="87"/>
      <c r="RKQ21" s="87"/>
      <c r="RKR21" s="87"/>
      <c r="RKS21" s="87"/>
      <c r="RKT21" s="87"/>
      <c r="RKU21" s="87"/>
      <c r="RKV21" s="87"/>
      <c r="RKW21" s="87"/>
      <c r="RKX21" s="87"/>
      <c r="RKY21" s="87"/>
      <c r="RKZ21" s="87"/>
      <c r="RLA21" s="87"/>
      <c r="RLB21" s="87"/>
      <c r="RLC21" s="87"/>
      <c r="RLD21" s="87"/>
      <c r="RLE21" s="87"/>
      <c r="RLF21" s="87"/>
      <c r="RLG21" s="87"/>
      <c r="RLH21" s="87"/>
      <c r="RLI21" s="87"/>
      <c r="RLJ21" s="87"/>
      <c r="RLK21" s="87"/>
      <c r="RLL21" s="87"/>
      <c r="RLM21" s="87"/>
      <c r="RLN21" s="87"/>
      <c r="RLO21" s="87"/>
      <c r="RLP21" s="87"/>
      <c r="RLQ21" s="87"/>
      <c r="RLR21" s="87"/>
      <c r="RLS21" s="87"/>
      <c r="RLT21" s="87"/>
      <c r="RLU21" s="87"/>
      <c r="RLV21" s="87"/>
      <c r="RLW21" s="87"/>
      <c r="RLX21" s="87"/>
      <c r="RLY21" s="87"/>
      <c r="RLZ21" s="87"/>
      <c r="RMA21" s="87"/>
      <c r="RMB21" s="87"/>
      <c r="RMC21" s="87"/>
      <c r="RMD21" s="87"/>
      <c r="RME21" s="87"/>
      <c r="RMF21" s="87"/>
      <c r="RMG21" s="87"/>
      <c r="RMH21" s="87"/>
      <c r="RMI21" s="87"/>
      <c r="RMJ21" s="87"/>
      <c r="RMK21" s="87"/>
      <c r="RML21" s="87"/>
      <c r="RMM21" s="87"/>
      <c r="RMN21" s="87"/>
      <c r="RMO21" s="87"/>
      <c r="RMP21" s="87"/>
      <c r="RMQ21" s="87"/>
      <c r="RMR21" s="87"/>
      <c r="RMS21" s="87"/>
      <c r="RMT21" s="87"/>
      <c r="RMU21" s="87"/>
      <c r="RMV21" s="87"/>
      <c r="RMW21" s="87"/>
      <c r="RMX21" s="87"/>
      <c r="RMY21" s="87"/>
      <c r="RMZ21" s="87"/>
      <c r="RNA21" s="87"/>
      <c r="RNB21" s="87"/>
      <c r="RNC21" s="87"/>
      <c r="RND21" s="87"/>
      <c r="RNE21" s="87"/>
      <c r="RNF21" s="87"/>
      <c r="RNG21" s="87"/>
      <c r="RNH21" s="87"/>
      <c r="RNI21" s="87"/>
      <c r="RNJ21" s="87"/>
      <c r="RNK21" s="87"/>
      <c r="RNL21" s="87"/>
      <c r="RNM21" s="87"/>
      <c r="RNN21" s="87"/>
      <c r="RNO21" s="87"/>
      <c r="RNP21" s="87"/>
      <c r="RNQ21" s="87"/>
      <c r="RNR21" s="87"/>
      <c r="RNS21" s="87"/>
      <c r="RNT21" s="87"/>
      <c r="RNU21" s="87"/>
      <c r="RNV21" s="87"/>
      <c r="RNW21" s="87"/>
      <c r="RNX21" s="87"/>
      <c r="RNY21" s="87"/>
      <c r="RNZ21" s="87"/>
      <c r="ROA21" s="87"/>
      <c r="ROB21" s="87"/>
      <c r="ROC21" s="87"/>
      <c r="ROD21" s="87"/>
      <c r="ROE21" s="87"/>
      <c r="ROF21" s="87"/>
      <c r="ROG21" s="87"/>
      <c r="ROH21" s="87"/>
      <c r="ROI21" s="87"/>
      <c r="ROJ21" s="87"/>
      <c r="ROK21" s="87"/>
      <c r="ROL21" s="87"/>
      <c r="ROM21" s="87"/>
      <c r="RON21" s="87"/>
      <c r="ROO21" s="87"/>
      <c r="ROP21" s="87"/>
      <c r="ROQ21" s="87"/>
      <c r="ROR21" s="87"/>
      <c r="ROS21" s="87"/>
      <c r="ROT21" s="87"/>
      <c r="ROU21" s="87"/>
      <c r="ROV21" s="87"/>
      <c r="ROW21" s="87"/>
      <c r="ROX21" s="87"/>
      <c r="ROY21" s="87"/>
      <c r="ROZ21" s="87"/>
      <c r="RPA21" s="87"/>
      <c r="RPB21" s="87"/>
      <c r="RPC21" s="87"/>
      <c r="RPD21" s="87"/>
      <c r="RPE21" s="87"/>
      <c r="RPF21" s="87"/>
      <c r="RPG21" s="87"/>
      <c r="RPH21" s="87"/>
      <c r="RPI21" s="87"/>
      <c r="RPJ21" s="87"/>
      <c r="RPK21" s="87"/>
      <c r="RPL21" s="87"/>
      <c r="RPM21" s="87"/>
      <c r="RPN21" s="87"/>
      <c r="RPO21" s="87"/>
      <c r="RPP21" s="87"/>
      <c r="RPQ21" s="87"/>
      <c r="RPR21" s="87"/>
      <c r="RPS21" s="87"/>
      <c r="RPT21" s="87"/>
      <c r="RPU21" s="87"/>
      <c r="RPV21" s="87"/>
      <c r="RPW21" s="87"/>
      <c r="RPX21" s="87"/>
      <c r="RPY21" s="87"/>
      <c r="RPZ21" s="87"/>
      <c r="RQA21" s="87"/>
      <c r="RQB21" s="87"/>
      <c r="RQC21" s="87"/>
      <c r="RQD21" s="87"/>
      <c r="RQE21" s="87"/>
      <c r="RQF21" s="87"/>
      <c r="RQG21" s="87"/>
      <c r="RQH21" s="87"/>
      <c r="RQI21" s="87"/>
      <c r="RQJ21" s="87"/>
      <c r="RQK21" s="87"/>
      <c r="RQL21" s="87"/>
      <c r="RQM21" s="87"/>
      <c r="RQN21" s="87"/>
      <c r="RQO21" s="87"/>
      <c r="RQP21" s="87"/>
      <c r="RQQ21" s="87"/>
      <c r="RQR21" s="87"/>
      <c r="RQS21" s="87"/>
      <c r="RQT21" s="87"/>
      <c r="RQU21" s="87"/>
      <c r="RQV21" s="87"/>
      <c r="RQW21" s="87"/>
      <c r="RQX21" s="87"/>
      <c r="RQY21" s="87"/>
      <c r="RQZ21" s="87"/>
      <c r="RRA21" s="87"/>
      <c r="RRB21" s="87"/>
      <c r="RRC21" s="87"/>
      <c r="RRD21" s="87"/>
      <c r="RRE21" s="87"/>
      <c r="RRF21" s="87"/>
      <c r="RRG21" s="87"/>
      <c r="RRH21" s="87"/>
      <c r="RRI21" s="87"/>
      <c r="RRJ21" s="87"/>
      <c r="RRK21" s="87"/>
      <c r="RRL21" s="87"/>
      <c r="RRM21" s="87"/>
      <c r="RRN21" s="87"/>
      <c r="RRO21" s="87"/>
      <c r="RRP21" s="87"/>
      <c r="RRQ21" s="87"/>
      <c r="RRR21" s="87"/>
      <c r="RRS21" s="87"/>
      <c r="RRT21" s="87"/>
      <c r="RRU21" s="87"/>
      <c r="RRV21" s="87"/>
      <c r="RRW21" s="87"/>
      <c r="RRX21" s="87"/>
      <c r="RRY21" s="87"/>
      <c r="RRZ21" s="87"/>
      <c r="RSA21" s="87"/>
      <c r="RSB21" s="87"/>
      <c r="RSC21" s="87"/>
      <c r="RSD21" s="87"/>
      <c r="RSE21" s="87"/>
      <c r="RSF21" s="87"/>
      <c r="RSG21" s="87"/>
      <c r="RSH21" s="87"/>
      <c r="RSI21" s="87"/>
      <c r="RSJ21" s="87"/>
      <c r="RSK21" s="87"/>
      <c r="RSL21" s="87"/>
      <c r="RSM21" s="87"/>
      <c r="RSN21" s="87"/>
      <c r="RSO21" s="87"/>
      <c r="RSP21" s="87"/>
      <c r="RSQ21" s="87"/>
      <c r="RSR21" s="87"/>
      <c r="RSS21" s="87"/>
      <c r="RST21" s="87"/>
      <c r="RSU21" s="87"/>
      <c r="RSV21" s="87"/>
      <c r="RSW21" s="87"/>
      <c r="RSX21" s="87"/>
      <c r="RSY21" s="87"/>
      <c r="RSZ21" s="87"/>
      <c r="RTA21" s="87"/>
      <c r="RTB21" s="87"/>
      <c r="RTC21" s="87"/>
      <c r="RTD21" s="87"/>
      <c r="RTE21" s="87"/>
      <c r="RTF21" s="87"/>
      <c r="RTG21" s="87"/>
      <c r="RTH21" s="87"/>
      <c r="RTI21" s="87"/>
      <c r="RTJ21" s="87"/>
      <c r="RTK21" s="87"/>
      <c r="RTL21" s="87"/>
      <c r="RTM21" s="87"/>
      <c r="RTN21" s="87"/>
      <c r="RTO21" s="87"/>
      <c r="RTP21" s="87"/>
      <c r="RTQ21" s="87"/>
      <c r="RTR21" s="87"/>
      <c r="RTS21" s="87"/>
      <c r="RTT21" s="87"/>
      <c r="RTU21" s="87"/>
      <c r="RTV21" s="87"/>
      <c r="RTW21" s="87"/>
      <c r="RTX21" s="87"/>
      <c r="RTY21" s="87"/>
      <c r="RTZ21" s="87"/>
      <c r="RUA21" s="87"/>
      <c r="RUB21" s="87"/>
      <c r="RUC21" s="87"/>
      <c r="RUD21" s="87"/>
      <c r="RUE21" s="87"/>
      <c r="RUF21" s="87"/>
      <c r="RUG21" s="87"/>
      <c r="RUH21" s="87"/>
      <c r="RUI21" s="87"/>
      <c r="RUJ21" s="87"/>
      <c r="RUK21" s="87"/>
      <c r="RUL21" s="87"/>
      <c r="RUM21" s="87"/>
      <c r="RUN21" s="87"/>
      <c r="RUO21" s="87"/>
      <c r="RUP21" s="87"/>
      <c r="RUQ21" s="87"/>
      <c r="RUR21" s="87"/>
      <c r="RUS21" s="87"/>
      <c r="RUT21" s="87"/>
      <c r="RUU21" s="87"/>
      <c r="RUV21" s="87"/>
      <c r="RUW21" s="87"/>
      <c r="RUX21" s="87"/>
      <c r="RUY21" s="87"/>
      <c r="RUZ21" s="87"/>
      <c r="RVA21" s="87"/>
      <c r="RVB21" s="87"/>
      <c r="RVC21" s="87"/>
      <c r="RVD21" s="87"/>
      <c r="RVE21" s="87"/>
      <c r="RVF21" s="87"/>
      <c r="RVG21" s="87"/>
      <c r="RVH21" s="87"/>
      <c r="RVI21" s="87"/>
      <c r="RVJ21" s="87"/>
      <c r="RVK21" s="87"/>
      <c r="RVL21" s="87"/>
      <c r="RVM21" s="87"/>
      <c r="RVN21" s="87"/>
      <c r="RVO21" s="87"/>
      <c r="RVP21" s="87"/>
      <c r="RVQ21" s="87"/>
      <c r="RVR21" s="87"/>
      <c r="RVS21" s="87"/>
      <c r="RVT21" s="87"/>
      <c r="RVU21" s="87"/>
      <c r="RVV21" s="87"/>
      <c r="RVW21" s="87"/>
      <c r="RVX21" s="87"/>
      <c r="RVY21" s="87"/>
      <c r="RVZ21" s="87"/>
      <c r="RWA21" s="87"/>
      <c r="RWB21" s="87"/>
      <c r="RWC21" s="87"/>
      <c r="RWD21" s="87"/>
      <c r="RWE21" s="87"/>
      <c r="RWF21" s="87"/>
      <c r="RWG21" s="87"/>
      <c r="RWH21" s="87"/>
      <c r="RWI21" s="87"/>
      <c r="RWJ21" s="87"/>
      <c r="RWK21" s="87"/>
      <c r="RWL21" s="87"/>
      <c r="RWM21" s="87"/>
      <c r="RWN21" s="87"/>
      <c r="RWO21" s="87"/>
      <c r="RWP21" s="87"/>
      <c r="RWQ21" s="87"/>
      <c r="RWR21" s="87"/>
      <c r="RWS21" s="87"/>
      <c r="RWT21" s="87"/>
      <c r="RWU21" s="87"/>
      <c r="RWV21" s="87"/>
      <c r="RWW21" s="87"/>
      <c r="RWX21" s="87"/>
      <c r="RWY21" s="87"/>
      <c r="RWZ21" s="87"/>
      <c r="RXA21" s="87"/>
      <c r="RXB21" s="87"/>
      <c r="RXC21" s="87"/>
      <c r="RXD21" s="87"/>
      <c r="RXE21" s="87"/>
      <c r="RXF21" s="87"/>
      <c r="RXG21" s="87"/>
      <c r="RXH21" s="87"/>
      <c r="RXI21" s="87"/>
      <c r="RXJ21" s="87"/>
      <c r="RXK21" s="87"/>
      <c r="RXL21" s="87"/>
      <c r="RXM21" s="87"/>
      <c r="RXN21" s="87"/>
      <c r="RXO21" s="87"/>
      <c r="RXP21" s="87"/>
      <c r="RXQ21" s="87"/>
      <c r="RXR21" s="87"/>
      <c r="RXS21" s="87"/>
      <c r="RXT21" s="87"/>
      <c r="RXU21" s="87"/>
      <c r="RXV21" s="87"/>
      <c r="RXW21" s="87"/>
      <c r="RXX21" s="87"/>
      <c r="RXY21" s="87"/>
      <c r="RXZ21" s="87"/>
      <c r="RYA21" s="87"/>
      <c r="RYB21" s="87"/>
      <c r="RYC21" s="87"/>
      <c r="RYD21" s="87"/>
      <c r="RYE21" s="87"/>
      <c r="RYF21" s="87"/>
      <c r="RYG21" s="87"/>
      <c r="RYH21" s="87"/>
      <c r="RYI21" s="87"/>
      <c r="RYJ21" s="87"/>
      <c r="RYK21" s="87"/>
      <c r="RYL21" s="87"/>
      <c r="RYM21" s="87"/>
      <c r="RYN21" s="87"/>
      <c r="RYO21" s="87"/>
      <c r="RYP21" s="87"/>
      <c r="RYQ21" s="87"/>
      <c r="RYR21" s="87"/>
      <c r="RYS21" s="87"/>
      <c r="RYT21" s="87"/>
      <c r="RYU21" s="87"/>
      <c r="RYV21" s="87"/>
      <c r="RYW21" s="87"/>
      <c r="RYX21" s="87"/>
      <c r="RYY21" s="87"/>
      <c r="RYZ21" s="87"/>
      <c r="RZA21" s="87"/>
      <c r="RZB21" s="87"/>
      <c r="RZC21" s="87"/>
      <c r="RZD21" s="87"/>
      <c r="RZE21" s="87"/>
      <c r="RZF21" s="87"/>
      <c r="RZG21" s="87"/>
      <c r="RZH21" s="87"/>
      <c r="RZI21" s="87"/>
      <c r="RZJ21" s="87"/>
      <c r="RZK21" s="87"/>
      <c r="RZL21" s="87"/>
      <c r="RZM21" s="87"/>
      <c r="RZN21" s="87"/>
      <c r="RZO21" s="87"/>
      <c r="RZP21" s="87"/>
      <c r="RZQ21" s="87"/>
      <c r="RZR21" s="87"/>
      <c r="RZS21" s="87"/>
      <c r="RZT21" s="87"/>
      <c r="RZU21" s="87"/>
      <c r="RZV21" s="87"/>
      <c r="RZW21" s="87"/>
      <c r="RZX21" s="87"/>
      <c r="RZY21" s="87"/>
      <c r="RZZ21" s="87"/>
      <c r="SAA21" s="87"/>
      <c r="SAB21" s="87"/>
      <c r="SAC21" s="87"/>
      <c r="SAD21" s="87"/>
      <c r="SAE21" s="87"/>
      <c r="SAF21" s="87"/>
      <c r="SAG21" s="87"/>
      <c r="SAH21" s="87"/>
      <c r="SAI21" s="87"/>
      <c r="SAJ21" s="87"/>
      <c r="SAK21" s="87"/>
      <c r="SAL21" s="87"/>
      <c r="SAM21" s="87"/>
      <c r="SAN21" s="87"/>
      <c r="SAO21" s="87"/>
      <c r="SAP21" s="87"/>
      <c r="SAQ21" s="87"/>
      <c r="SAR21" s="87"/>
      <c r="SAS21" s="87"/>
      <c r="SAT21" s="87"/>
      <c r="SAU21" s="87"/>
      <c r="SAV21" s="87"/>
      <c r="SAW21" s="87"/>
      <c r="SAX21" s="87"/>
      <c r="SAY21" s="87"/>
      <c r="SAZ21" s="87"/>
      <c r="SBA21" s="87"/>
      <c r="SBB21" s="87"/>
      <c r="SBC21" s="87"/>
      <c r="SBD21" s="87"/>
      <c r="SBE21" s="87"/>
      <c r="SBF21" s="87"/>
      <c r="SBG21" s="87"/>
      <c r="SBH21" s="87"/>
      <c r="SBI21" s="87"/>
      <c r="SBJ21" s="87"/>
      <c r="SBK21" s="87"/>
      <c r="SBL21" s="87"/>
      <c r="SBM21" s="87"/>
      <c r="SBN21" s="87"/>
      <c r="SBO21" s="87"/>
      <c r="SBP21" s="87"/>
      <c r="SBQ21" s="87"/>
      <c r="SBR21" s="87"/>
      <c r="SBS21" s="87"/>
      <c r="SBT21" s="87"/>
      <c r="SBU21" s="87"/>
      <c r="SBV21" s="87"/>
      <c r="SBW21" s="87"/>
      <c r="SBX21" s="87"/>
      <c r="SBY21" s="87"/>
      <c r="SBZ21" s="87"/>
      <c r="SCA21" s="87"/>
      <c r="SCB21" s="87"/>
      <c r="SCC21" s="87"/>
      <c r="SCD21" s="87"/>
      <c r="SCE21" s="87"/>
      <c r="SCF21" s="87"/>
      <c r="SCG21" s="87"/>
      <c r="SCH21" s="87"/>
      <c r="SCI21" s="87"/>
      <c r="SCJ21" s="87"/>
      <c r="SCK21" s="87"/>
      <c r="SCL21" s="87"/>
      <c r="SCM21" s="87"/>
      <c r="SCN21" s="87"/>
      <c r="SCO21" s="87"/>
      <c r="SCP21" s="87"/>
      <c r="SCQ21" s="87"/>
      <c r="SCR21" s="87"/>
      <c r="SCS21" s="87"/>
      <c r="SCT21" s="87"/>
      <c r="SCU21" s="87"/>
      <c r="SCV21" s="87"/>
      <c r="SCW21" s="87"/>
      <c r="SCX21" s="87"/>
      <c r="SCY21" s="87"/>
      <c r="SCZ21" s="87"/>
      <c r="SDA21" s="87"/>
      <c r="SDB21" s="87"/>
      <c r="SDC21" s="87"/>
      <c r="SDD21" s="87"/>
      <c r="SDE21" s="87"/>
      <c r="SDF21" s="87"/>
      <c r="SDG21" s="87"/>
      <c r="SDH21" s="87"/>
      <c r="SDI21" s="87"/>
      <c r="SDJ21" s="87"/>
      <c r="SDK21" s="87"/>
      <c r="SDL21" s="87"/>
      <c r="SDM21" s="87"/>
      <c r="SDN21" s="87"/>
      <c r="SDO21" s="87"/>
      <c r="SDP21" s="87"/>
      <c r="SDQ21" s="87"/>
      <c r="SDR21" s="87"/>
      <c r="SDS21" s="87"/>
      <c r="SDT21" s="87"/>
      <c r="SDU21" s="87"/>
      <c r="SDV21" s="87"/>
      <c r="SDW21" s="87"/>
      <c r="SDX21" s="87"/>
      <c r="SDY21" s="87"/>
      <c r="SDZ21" s="87"/>
      <c r="SEA21" s="87"/>
      <c r="SEB21" s="87"/>
      <c r="SEC21" s="87"/>
      <c r="SED21" s="87"/>
      <c r="SEE21" s="87"/>
      <c r="SEF21" s="87"/>
      <c r="SEG21" s="87"/>
      <c r="SEH21" s="87"/>
      <c r="SEI21" s="87"/>
      <c r="SEJ21" s="87"/>
      <c r="SEK21" s="87"/>
      <c r="SEL21" s="87"/>
      <c r="SEM21" s="87"/>
      <c r="SEN21" s="87"/>
      <c r="SEO21" s="87"/>
      <c r="SEP21" s="87"/>
      <c r="SEQ21" s="87"/>
      <c r="SER21" s="87"/>
      <c r="SES21" s="87"/>
      <c r="SET21" s="87"/>
      <c r="SEU21" s="87"/>
      <c r="SEV21" s="87"/>
      <c r="SEW21" s="87"/>
      <c r="SEX21" s="87"/>
      <c r="SEY21" s="87"/>
      <c r="SEZ21" s="87"/>
      <c r="SFA21" s="87"/>
      <c r="SFB21" s="87"/>
      <c r="SFC21" s="87"/>
      <c r="SFD21" s="87"/>
      <c r="SFE21" s="87"/>
      <c r="SFF21" s="87"/>
      <c r="SFG21" s="87"/>
      <c r="SFH21" s="87"/>
      <c r="SFI21" s="87"/>
      <c r="SFJ21" s="87"/>
      <c r="SFK21" s="87"/>
      <c r="SFL21" s="87"/>
      <c r="SFM21" s="87"/>
      <c r="SFN21" s="87"/>
      <c r="SFO21" s="87"/>
      <c r="SFP21" s="87"/>
      <c r="SFQ21" s="87"/>
      <c r="SFR21" s="87"/>
      <c r="SFS21" s="87"/>
      <c r="SFT21" s="87"/>
      <c r="SFU21" s="87"/>
      <c r="SFV21" s="87"/>
      <c r="SFW21" s="87"/>
      <c r="SFX21" s="87"/>
      <c r="SFY21" s="87"/>
      <c r="SFZ21" s="87"/>
      <c r="SGA21" s="87"/>
      <c r="SGB21" s="87"/>
      <c r="SGC21" s="87"/>
      <c r="SGD21" s="87"/>
      <c r="SGE21" s="87"/>
      <c r="SGF21" s="87"/>
      <c r="SGG21" s="87"/>
      <c r="SGH21" s="87"/>
      <c r="SGI21" s="87"/>
      <c r="SGJ21" s="87"/>
      <c r="SGK21" s="87"/>
      <c r="SGL21" s="87"/>
      <c r="SGM21" s="87"/>
      <c r="SGN21" s="87"/>
      <c r="SGO21" s="87"/>
      <c r="SGP21" s="87"/>
      <c r="SGQ21" s="87"/>
      <c r="SGR21" s="87"/>
      <c r="SGS21" s="87"/>
      <c r="SGT21" s="87"/>
      <c r="SGU21" s="87"/>
      <c r="SGV21" s="87"/>
      <c r="SGW21" s="87"/>
      <c r="SGX21" s="87"/>
      <c r="SGY21" s="87"/>
      <c r="SGZ21" s="87"/>
      <c r="SHA21" s="87"/>
      <c r="SHB21" s="87"/>
      <c r="SHC21" s="87"/>
      <c r="SHD21" s="87"/>
      <c r="SHE21" s="87"/>
      <c r="SHF21" s="87"/>
      <c r="SHG21" s="87"/>
      <c r="SHH21" s="87"/>
      <c r="SHI21" s="87"/>
      <c r="SHJ21" s="87"/>
      <c r="SHK21" s="87"/>
      <c r="SHL21" s="87"/>
      <c r="SHM21" s="87"/>
      <c r="SHN21" s="87"/>
      <c r="SHO21" s="87"/>
      <c r="SHP21" s="87"/>
      <c r="SHQ21" s="87"/>
      <c r="SHR21" s="87"/>
      <c r="SHS21" s="87"/>
      <c r="SHT21" s="87"/>
      <c r="SHU21" s="87"/>
      <c r="SHV21" s="87"/>
      <c r="SHW21" s="87"/>
      <c r="SHX21" s="87"/>
      <c r="SHY21" s="87"/>
      <c r="SHZ21" s="87"/>
      <c r="SIA21" s="87"/>
      <c r="SIB21" s="87"/>
      <c r="SIC21" s="87"/>
      <c r="SID21" s="87"/>
      <c r="SIE21" s="87"/>
      <c r="SIF21" s="87"/>
      <c r="SIG21" s="87"/>
      <c r="SIH21" s="87"/>
      <c r="SII21" s="87"/>
      <c r="SIJ21" s="87"/>
      <c r="SIK21" s="87"/>
      <c r="SIL21" s="87"/>
      <c r="SIM21" s="87"/>
      <c r="SIN21" s="87"/>
      <c r="SIO21" s="87"/>
      <c r="SIP21" s="87"/>
      <c r="SIQ21" s="87"/>
      <c r="SIR21" s="87"/>
      <c r="SIS21" s="87"/>
      <c r="SIT21" s="87"/>
      <c r="SIU21" s="87"/>
      <c r="SIV21" s="87"/>
      <c r="SIW21" s="87"/>
      <c r="SIX21" s="87"/>
      <c r="SIY21" s="87"/>
      <c r="SIZ21" s="87"/>
      <c r="SJA21" s="87"/>
      <c r="SJB21" s="87"/>
      <c r="SJC21" s="87"/>
      <c r="SJD21" s="87"/>
      <c r="SJE21" s="87"/>
      <c r="SJF21" s="87"/>
      <c r="SJG21" s="87"/>
      <c r="SJH21" s="87"/>
      <c r="SJI21" s="87"/>
      <c r="SJJ21" s="87"/>
      <c r="SJK21" s="87"/>
      <c r="SJL21" s="87"/>
      <c r="SJM21" s="87"/>
      <c r="SJN21" s="87"/>
      <c r="SJO21" s="87"/>
      <c r="SJP21" s="87"/>
      <c r="SJQ21" s="87"/>
      <c r="SJR21" s="87"/>
      <c r="SJS21" s="87"/>
      <c r="SJT21" s="87"/>
      <c r="SJU21" s="87"/>
      <c r="SJV21" s="87"/>
      <c r="SJW21" s="87"/>
      <c r="SJX21" s="87"/>
      <c r="SJY21" s="87"/>
      <c r="SJZ21" s="87"/>
      <c r="SKA21" s="87"/>
      <c r="SKB21" s="87"/>
      <c r="SKC21" s="87"/>
      <c r="SKD21" s="87"/>
      <c r="SKE21" s="87"/>
      <c r="SKF21" s="87"/>
      <c r="SKG21" s="87"/>
      <c r="SKH21" s="87"/>
      <c r="SKI21" s="87"/>
      <c r="SKJ21" s="87"/>
      <c r="SKK21" s="87"/>
      <c r="SKL21" s="87"/>
      <c r="SKM21" s="87"/>
      <c r="SKN21" s="87"/>
      <c r="SKO21" s="87"/>
      <c r="SKP21" s="87"/>
      <c r="SKQ21" s="87"/>
      <c r="SKR21" s="87"/>
      <c r="SKS21" s="87"/>
      <c r="SKT21" s="87"/>
      <c r="SKU21" s="87"/>
      <c r="SKV21" s="87"/>
      <c r="SKW21" s="87"/>
      <c r="SKX21" s="87"/>
      <c r="SKY21" s="87"/>
      <c r="SKZ21" s="87"/>
      <c r="SLA21" s="87"/>
      <c r="SLB21" s="87"/>
      <c r="SLC21" s="87"/>
      <c r="SLD21" s="87"/>
      <c r="SLE21" s="87"/>
      <c r="SLF21" s="87"/>
      <c r="SLG21" s="87"/>
      <c r="SLH21" s="87"/>
      <c r="SLI21" s="87"/>
      <c r="SLJ21" s="87"/>
      <c r="SLK21" s="87"/>
      <c r="SLL21" s="87"/>
      <c r="SLM21" s="87"/>
      <c r="SLN21" s="87"/>
      <c r="SLO21" s="87"/>
      <c r="SLP21" s="87"/>
      <c r="SLQ21" s="87"/>
      <c r="SLR21" s="87"/>
      <c r="SLS21" s="87"/>
      <c r="SLT21" s="87"/>
      <c r="SLU21" s="87"/>
      <c r="SLV21" s="87"/>
      <c r="SLW21" s="87"/>
      <c r="SLX21" s="87"/>
      <c r="SLY21" s="87"/>
      <c r="SLZ21" s="87"/>
      <c r="SMA21" s="87"/>
      <c r="SMB21" s="87"/>
      <c r="SMC21" s="87"/>
      <c r="SMD21" s="87"/>
      <c r="SME21" s="87"/>
      <c r="SMF21" s="87"/>
      <c r="SMG21" s="87"/>
      <c r="SMH21" s="87"/>
      <c r="SMI21" s="87"/>
      <c r="SMJ21" s="87"/>
      <c r="SMK21" s="87"/>
      <c r="SML21" s="87"/>
      <c r="SMM21" s="87"/>
      <c r="SMN21" s="87"/>
      <c r="SMO21" s="87"/>
      <c r="SMP21" s="87"/>
      <c r="SMQ21" s="87"/>
      <c r="SMR21" s="87"/>
      <c r="SMS21" s="87"/>
      <c r="SMT21" s="87"/>
      <c r="SMU21" s="87"/>
      <c r="SMV21" s="87"/>
      <c r="SMW21" s="87"/>
      <c r="SMX21" s="87"/>
      <c r="SMY21" s="87"/>
      <c r="SMZ21" s="87"/>
      <c r="SNA21" s="87"/>
      <c r="SNB21" s="87"/>
      <c r="SNC21" s="87"/>
      <c r="SND21" s="87"/>
      <c r="SNE21" s="87"/>
      <c r="SNF21" s="87"/>
      <c r="SNG21" s="87"/>
      <c r="SNH21" s="87"/>
      <c r="SNI21" s="87"/>
      <c r="SNJ21" s="87"/>
      <c r="SNK21" s="87"/>
      <c r="SNL21" s="87"/>
      <c r="SNM21" s="87"/>
      <c r="SNN21" s="87"/>
      <c r="SNO21" s="87"/>
      <c r="SNP21" s="87"/>
      <c r="SNQ21" s="87"/>
      <c r="SNR21" s="87"/>
      <c r="SNS21" s="87"/>
      <c r="SNT21" s="87"/>
      <c r="SNU21" s="87"/>
      <c r="SNV21" s="87"/>
      <c r="SNW21" s="87"/>
      <c r="SNX21" s="87"/>
      <c r="SNY21" s="87"/>
      <c r="SNZ21" s="87"/>
      <c r="SOA21" s="87"/>
      <c r="SOB21" s="87"/>
      <c r="SOC21" s="87"/>
      <c r="SOD21" s="87"/>
      <c r="SOE21" s="87"/>
      <c r="SOF21" s="87"/>
      <c r="SOG21" s="87"/>
      <c r="SOH21" s="87"/>
      <c r="SOI21" s="87"/>
      <c r="SOJ21" s="87"/>
      <c r="SOK21" s="87"/>
      <c r="SOL21" s="87"/>
      <c r="SOM21" s="87"/>
      <c r="SON21" s="87"/>
      <c r="SOO21" s="87"/>
      <c r="SOP21" s="87"/>
      <c r="SOQ21" s="87"/>
      <c r="SOR21" s="87"/>
      <c r="SOS21" s="87"/>
      <c r="SOT21" s="87"/>
      <c r="SOU21" s="87"/>
      <c r="SOV21" s="87"/>
      <c r="SOW21" s="87"/>
      <c r="SOX21" s="87"/>
      <c r="SOY21" s="87"/>
      <c r="SOZ21" s="87"/>
      <c r="SPA21" s="87"/>
      <c r="SPB21" s="87"/>
      <c r="SPC21" s="87"/>
      <c r="SPD21" s="87"/>
      <c r="SPE21" s="87"/>
      <c r="SPF21" s="87"/>
      <c r="SPG21" s="87"/>
      <c r="SPH21" s="87"/>
      <c r="SPI21" s="87"/>
      <c r="SPJ21" s="87"/>
      <c r="SPK21" s="87"/>
      <c r="SPL21" s="87"/>
      <c r="SPM21" s="87"/>
      <c r="SPN21" s="87"/>
      <c r="SPO21" s="87"/>
      <c r="SPP21" s="87"/>
      <c r="SPQ21" s="87"/>
      <c r="SPR21" s="87"/>
      <c r="SPS21" s="87"/>
      <c r="SPT21" s="87"/>
      <c r="SPU21" s="87"/>
      <c r="SPV21" s="87"/>
      <c r="SPW21" s="87"/>
      <c r="SPX21" s="87"/>
      <c r="SPY21" s="87"/>
      <c r="SPZ21" s="87"/>
      <c r="SQA21" s="87"/>
      <c r="SQB21" s="87"/>
      <c r="SQC21" s="87"/>
      <c r="SQD21" s="87"/>
      <c r="SQE21" s="87"/>
      <c r="SQF21" s="87"/>
      <c r="SQG21" s="87"/>
      <c r="SQH21" s="87"/>
      <c r="SQI21" s="87"/>
      <c r="SQJ21" s="87"/>
      <c r="SQK21" s="87"/>
      <c r="SQL21" s="87"/>
      <c r="SQM21" s="87"/>
      <c r="SQN21" s="87"/>
      <c r="SQO21" s="87"/>
      <c r="SQP21" s="87"/>
      <c r="SQQ21" s="87"/>
      <c r="SQR21" s="87"/>
      <c r="SQS21" s="87"/>
      <c r="SQT21" s="87"/>
      <c r="SQU21" s="87"/>
      <c r="SQV21" s="87"/>
      <c r="SQW21" s="87"/>
      <c r="SQX21" s="87"/>
      <c r="SQY21" s="87"/>
      <c r="SQZ21" s="87"/>
      <c r="SRA21" s="87"/>
      <c r="SRB21" s="87"/>
      <c r="SRC21" s="87"/>
      <c r="SRD21" s="87"/>
      <c r="SRE21" s="87"/>
      <c r="SRF21" s="87"/>
      <c r="SRG21" s="87"/>
      <c r="SRH21" s="87"/>
      <c r="SRI21" s="87"/>
      <c r="SRJ21" s="87"/>
      <c r="SRK21" s="87"/>
      <c r="SRL21" s="87"/>
      <c r="SRM21" s="87"/>
      <c r="SRN21" s="87"/>
      <c r="SRO21" s="87"/>
      <c r="SRP21" s="87"/>
      <c r="SRQ21" s="87"/>
      <c r="SRR21" s="87"/>
      <c r="SRS21" s="87"/>
      <c r="SRT21" s="87"/>
      <c r="SRU21" s="87"/>
      <c r="SRV21" s="87"/>
      <c r="SRW21" s="87"/>
      <c r="SRX21" s="87"/>
      <c r="SRY21" s="87"/>
      <c r="SRZ21" s="87"/>
      <c r="SSA21" s="87"/>
      <c r="SSB21" s="87"/>
      <c r="SSC21" s="87"/>
      <c r="SSD21" s="87"/>
      <c r="SSE21" s="87"/>
      <c r="SSF21" s="87"/>
      <c r="SSG21" s="87"/>
      <c r="SSH21" s="87"/>
      <c r="SSI21" s="87"/>
      <c r="SSJ21" s="87"/>
      <c r="SSK21" s="87"/>
      <c r="SSL21" s="87"/>
      <c r="SSM21" s="87"/>
      <c r="SSN21" s="87"/>
      <c r="SSO21" s="87"/>
      <c r="SSP21" s="87"/>
      <c r="SSQ21" s="87"/>
      <c r="SSR21" s="87"/>
      <c r="SSS21" s="87"/>
      <c r="SST21" s="87"/>
      <c r="SSU21" s="87"/>
      <c r="SSV21" s="87"/>
      <c r="SSW21" s="87"/>
      <c r="SSX21" s="87"/>
      <c r="SSY21" s="87"/>
      <c r="SSZ21" s="87"/>
      <c r="STA21" s="87"/>
      <c r="STB21" s="87"/>
      <c r="STC21" s="87"/>
      <c r="STD21" s="87"/>
      <c r="STE21" s="87"/>
      <c r="STF21" s="87"/>
      <c r="STG21" s="87"/>
      <c r="STH21" s="87"/>
      <c r="STI21" s="87"/>
      <c r="STJ21" s="87"/>
      <c r="STK21" s="87"/>
      <c r="STL21" s="87"/>
      <c r="STM21" s="87"/>
      <c r="STN21" s="87"/>
      <c r="STO21" s="87"/>
      <c r="STP21" s="87"/>
      <c r="STQ21" s="87"/>
      <c r="STR21" s="87"/>
      <c r="STS21" s="87"/>
      <c r="STT21" s="87"/>
      <c r="STU21" s="87"/>
      <c r="STV21" s="87"/>
      <c r="STW21" s="87"/>
      <c r="STX21" s="87"/>
      <c r="STY21" s="87"/>
      <c r="STZ21" s="87"/>
      <c r="SUA21" s="87"/>
      <c r="SUB21" s="87"/>
      <c r="SUC21" s="87"/>
      <c r="SUD21" s="87"/>
      <c r="SUE21" s="87"/>
      <c r="SUF21" s="87"/>
      <c r="SUG21" s="87"/>
      <c r="SUH21" s="87"/>
      <c r="SUI21" s="87"/>
      <c r="SUJ21" s="87"/>
      <c r="SUK21" s="87"/>
      <c r="SUL21" s="87"/>
      <c r="SUM21" s="87"/>
      <c r="SUN21" s="87"/>
      <c r="SUO21" s="87"/>
      <c r="SUP21" s="87"/>
      <c r="SUQ21" s="87"/>
      <c r="SUR21" s="87"/>
      <c r="SUS21" s="87"/>
      <c r="SUT21" s="87"/>
      <c r="SUU21" s="87"/>
      <c r="SUV21" s="87"/>
      <c r="SUW21" s="87"/>
      <c r="SUX21" s="87"/>
      <c r="SUY21" s="87"/>
      <c r="SUZ21" s="87"/>
      <c r="SVA21" s="87"/>
      <c r="SVB21" s="87"/>
      <c r="SVC21" s="87"/>
      <c r="SVD21" s="87"/>
      <c r="SVE21" s="87"/>
      <c r="SVF21" s="87"/>
      <c r="SVG21" s="87"/>
      <c r="SVH21" s="87"/>
      <c r="SVI21" s="87"/>
      <c r="SVJ21" s="87"/>
      <c r="SVK21" s="87"/>
      <c r="SVL21" s="87"/>
      <c r="SVM21" s="87"/>
      <c r="SVN21" s="87"/>
      <c r="SVO21" s="87"/>
      <c r="SVP21" s="87"/>
      <c r="SVQ21" s="87"/>
      <c r="SVR21" s="87"/>
      <c r="SVS21" s="87"/>
      <c r="SVT21" s="87"/>
      <c r="SVU21" s="87"/>
      <c r="SVV21" s="87"/>
      <c r="SVW21" s="87"/>
      <c r="SVX21" s="87"/>
      <c r="SVY21" s="87"/>
      <c r="SVZ21" s="87"/>
      <c r="SWA21" s="87"/>
      <c r="SWB21" s="87"/>
      <c r="SWC21" s="87"/>
      <c r="SWD21" s="87"/>
      <c r="SWE21" s="87"/>
      <c r="SWF21" s="87"/>
      <c r="SWG21" s="87"/>
      <c r="SWH21" s="87"/>
      <c r="SWI21" s="87"/>
      <c r="SWJ21" s="87"/>
      <c r="SWK21" s="87"/>
      <c r="SWL21" s="87"/>
      <c r="SWM21" s="87"/>
      <c r="SWN21" s="87"/>
      <c r="SWO21" s="87"/>
      <c r="SWP21" s="87"/>
      <c r="SWQ21" s="87"/>
      <c r="SWR21" s="87"/>
      <c r="SWS21" s="87"/>
      <c r="SWT21" s="87"/>
      <c r="SWU21" s="87"/>
      <c r="SWV21" s="87"/>
      <c r="SWW21" s="87"/>
      <c r="SWX21" s="87"/>
      <c r="SWY21" s="87"/>
      <c r="SWZ21" s="87"/>
      <c r="SXA21" s="87"/>
      <c r="SXB21" s="87"/>
      <c r="SXC21" s="87"/>
      <c r="SXD21" s="87"/>
      <c r="SXE21" s="87"/>
      <c r="SXF21" s="87"/>
      <c r="SXG21" s="87"/>
      <c r="SXH21" s="87"/>
      <c r="SXI21" s="87"/>
      <c r="SXJ21" s="87"/>
      <c r="SXK21" s="87"/>
      <c r="SXL21" s="87"/>
      <c r="SXM21" s="87"/>
      <c r="SXN21" s="87"/>
      <c r="SXO21" s="87"/>
      <c r="SXP21" s="87"/>
      <c r="SXQ21" s="87"/>
      <c r="SXR21" s="87"/>
      <c r="SXS21" s="87"/>
      <c r="SXT21" s="87"/>
      <c r="SXU21" s="87"/>
      <c r="SXV21" s="87"/>
      <c r="SXW21" s="87"/>
      <c r="SXX21" s="87"/>
      <c r="SXY21" s="87"/>
      <c r="SXZ21" s="87"/>
      <c r="SYA21" s="87"/>
      <c r="SYB21" s="87"/>
      <c r="SYC21" s="87"/>
      <c r="SYD21" s="87"/>
      <c r="SYE21" s="87"/>
      <c r="SYF21" s="87"/>
      <c r="SYG21" s="87"/>
      <c r="SYH21" s="87"/>
      <c r="SYI21" s="87"/>
      <c r="SYJ21" s="87"/>
      <c r="SYK21" s="87"/>
      <c r="SYL21" s="87"/>
      <c r="SYM21" s="87"/>
      <c r="SYN21" s="87"/>
      <c r="SYO21" s="87"/>
      <c r="SYP21" s="87"/>
      <c r="SYQ21" s="87"/>
      <c r="SYR21" s="87"/>
      <c r="SYS21" s="87"/>
      <c r="SYT21" s="87"/>
      <c r="SYU21" s="87"/>
      <c r="SYV21" s="87"/>
      <c r="SYW21" s="87"/>
      <c r="SYX21" s="87"/>
      <c r="SYY21" s="87"/>
      <c r="SYZ21" s="87"/>
      <c r="SZA21" s="87"/>
      <c r="SZB21" s="87"/>
      <c r="SZC21" s="87"/>
      <c r="SZD21" s="87"/>
      <c r="SZE21" s="87"/>
      <c r="SZF21" s="87"/>
      <c r="SZG21" s="87"/>
      <c r="SZH21" s="87"/>
      <c r="SZI21" s="87"/>
      <c r="SZJ21" s="87"/>
      <c r="SZK21" s="87"/>
      <c r="SZL21" s="87"/>
      <c r="SZM21" s="87"/>
      <c r="SZN21" s="87"/>
      <c r="SZO21" s="87"/>
      <c r="SZP21" s="87"/>
      <c r="SZQ21" s="87"/>
      <c r="SZR21" s="87"/>
      <c r="SZS21" s="87"/>
      <c r="SZT21" s="87"/>
      <c r="SZU21" s="87"/>
      <c r="SZV21" s="87"/>
      <c r="SZW21" s="87"/>
      <c r="SZX21" s="87"/>
      <c r="SZY21" s="87"/>
      <c r="SZZ21" s="87"/>
      <c r="TAA21" s="87"/>
      <c r="TAB21" s="87"/>
      <c r="TAC21" s="87"/>
      <c r="TAD21" s="87"/>
      <c r="TAE21" s="87"/>
      <c r="TAF21" s="87"/>
      <c r="TAG21" s="87"/>
      <c r="TAH21" s="87"/>
      <c r="TAI21" s="87"/>
      <c r="TAJ21" s="87"/>
      <c r="TAK21" s="87"/>
      <c r="TAL21" s="87"/>
      <c r="TAM21" s="87"/>
      <c r="TAN21" s="87"/>
      <c r="TAO21" s="87"/>
      <c r="TAP21" s="87"/>
      <c r="TAQ21" s="87"/>
      <c r="TAR21" s="87"/>
      <c r="TAS21" s="87"/>
      <c r="TAT21" s="87"/>
      <c r="TAU21" s="87"/>
      <c r="TAV21" s="87"/>
      <c r="TAW21" s="87"/>
      <c r="TAX21" s="87"/>
      <c r="TAY21" s="87"/>
      <c r="TAZ21" s="87"/>
      <c r="TBA21" s="87"/>
      <c r="TBB21" s="87"/>
      <c r="TBC21" s="87"/>
      <c r="TBD21" s="87"/>
      <c r="TBE21" s="87"/>
      <c r="TBF21" s="87"/>
      <c r="TBG21" s="87"/>
      <c r="TBH21" s="87"/>
      <c r="TBI21" s="87"/>
      <c r="TBJ21" s="87"/>
      <c r="TBK21" s="87"/>
      <c r="TBL21" s="87"/>
      <c r="TBM21" s="87"/>
      <c r="TBN21" s="87"/>
      <c r="TBO21" s="87"/>
      <c r="TBP21" s="87"/>
      <c r="TBQ21" s="87"/>
      <c r="TBR21" s="87"/>
      <c r="TBS21" s="87"/>
      <c r="TBT21" s="87"/>
      <c r="TBU21" s="87"/>
      <c r="TBV21" s="87"/>
      <c r="TBW21" s="87"/>
      <c r="TBX21" s="87"/>
      <c r="TBY21" s="87"/>
      <c r="TBZ21" s="87"/>
      <c r="TCA21" s="87"/>
      <c r="TCB21" s="87"/>
      <c r="TCC21" s="87"/>
      <c r="TCD21" s="87"/>
      <c r="TCE21" s="87"/>
      <c r="TCF21" s="87"/>
      <c r="TCG21" s="87"/>
      <c r="TCH21" s="87"/>
      <c r="TCI21" s="87"/>
      <c r="TCJ21" s="87"/>
      <c r="TCK21" s="87"/>
      <c r="TCL21" s="87"/>
      <c r="TCM21" s="87"/>
      <c r="TCN21" s="87"/>
      <c r="TCO21" s="87"/>
      <c r="TCP21" s="87"/>
      <c r="TCQ21" s="87"/>
      <c r="TCR21" s="87"/>
      <c r="TCS21" s="87"/>
      <c r="TCT21" s="87"/>
      <c r="TCU21" s="87"/>
      <c r="TCV21" s="87"/>
      <c r="TCW21" s="87"/>
      <c r="TCX21" s="87"/>
      <c r="TCY21" s="87"/>
      <c r="TCZ21" s="87"/>
      <c r="TDA21" s="87"/>
      <c r="TDB21" s="87"/>
      <c r="TDC21" s="87"/>
      <c r="TDD21" s="87"/>
      <c r="TDE21" s="87"/>
      <c r="TDF21" s="87"/>
      <c r="TDG21" s="87"/>
      <c r="TDH21" s="87"/>
      <c r="TDI21" s="87"/>
      <c r="TDJ21" s="87"/>
      <c r="TDK21" s="87"/>
      <c r="TDL21" s="87"/>
      <c r="TDM21" s="87"/>
      <c r="TDN21" s="87"/>
      <c r="TDO21" s="87"/>
      <c r="TDP21" s="87"/>
      <c r="TDQ21" s="87"/>
      <c r="TDR21" s="87"/>
      <c r="TDS21" s="87"/>
      <c r="TDT21" s="87"/>
      <c r="TDU21" s="87"/>
      <c r="TDV21" s="87"/>
      <c r="TDW21" s="87"/>
      <c r="TDX21" s="87"/>
      <c r="TDY21" s="87"/>
      <c r="TDZ21" s="87"/>
      <c r="TEA21" s="87"/>
      <c r="TEB21" s="87"/>
      <c r="TEC21" s="87"/>
      <c r="TED21" s="87"/>
      <c r="TEE21" s="87"/>
      <c r="TEF21" s="87"/>
      <c r="TEG21" s="87"/>
      <c r="TEH21" s="87"/>
      <c r="TEI21" s="87"/>
      <c r="TEJ21" s="87"/>
      <c r="TEK21" s="87"/>
      <c r="TEL21" s="87"/>
      <c r="TEM21" s="87"/>
      <c r="TEN21" s="87"/>
      <c r="TEO21" s="87"/>
      <c r="TEP21" s="87"/>
      <c r="TEQ21" s="87"/>
      <c r="TER21" s="87"/>
      <c r="TES21" s="87"/>
      <c r="TET21" s="87"/>
      <c r="TEU21" s="87"/>
      <c r="TEV21" s="87"/>
      <c r="TEW21" s="87"/>
      <c r="TEX21" s="87"/>
      <c r="TEY21" s="87"/>
      <c r="TEZ21" s="87"/>
      <c r="TFA21" s="87"/>
      <c r="TFB21" s="87"/>
      <c r="TFC21" s="87"/>
      <c r="TFD21" s="87"/>
      <c r="TFE21" s="87"/>
      <c r="TFF21" s="87"/>
      <c r="TFG21" s="87"/>
      <c r="TFH21" s="87"/>
      <c r="TFI21" s="87"/>
      <c r="TFJ21" s="87"/>
      <c r="TFK21" s="87"/>
      <c r="TFL21" s="87"/>
      <c r="TFM21" s="87"/>
      <c r="TFN21" s="87"/>
      <c r="TFO21" s="87"/>
      <c r="TFP21" s="87"/>
      <c r="TFQ21" s="87"/>
      <c r="TFR21" s="87"/>
      <c r="TFS21" s="87"/>
      <c r="TFT21" s="87"/>
      <c r="TFU21" s="87"/>
      <c r="TFV21" s="87"/>
      <c r="TFW21" s="87"/>
      <c r="TFX21" s="87"/>
      <c r="TFY21" s="87"/>
      <c r="TFZ21" s="87"/>
      <c r="TGA21" s="87"/>
      <c r="TGB21" s="87"/>
      <c r="TGC21" s="87"/>
      <c r="TGD21" s="87"/>
      <c r="TGE21" s="87"/>
      <c r="TGF21" s="87"/>
      <c r="TGG21" s="87"/>
      <c r="TGH21" s="87"/>
      <c r="TGI21" s="87"/>
      <c r="TGJ21" s="87"/>
      <c r="TGK21" s="87"/>
      <c r="TGL21" s="87"/>
      <c r="TGM21" s="87"/>
      <c r="TGN21" s="87"/>
      <c r="TGO21" s="87"/>
      <c r="TGP21" s="87"/>
      <c r="TGQ21" s="87"/>
      <c r="TGR21" s="87"/>
      <c r="TGS21" s="87"/>
      <c r="TGT21" s="87"/>
      <c r="TGU21" s="87"/>
      <c r="TGV21" s="87"/>
      <c r="TGW21" s="87"/>
      <c r="TGX21" s="87"/>
      <c r="TGY21" s="87"/>
      <c r="TGZ21" s="87"/>
      <c r="THA21" s="87"/>
      <c r="THB21" s="87"/>
      <c r="THC21" s="87"/>
      <c r="THD21" s="87"/>
      <c r="THE21" s="87"/>
      <c r="THF21" s="87"/>
      <c r="THG21" s="87"/>
      <c r="THH21" s="87"/>
      <c r="THI21" s="87"/>
      <c r="THJ21" s="87"/>
      <c r="THK21" s="87"/>
      <c r="THL21" s="87"/>
      <c r="THM21" s="87"/>
      <c r="THN21" s="87"/>
      <c r="THO21" s="87"/>
      <c r="THP21" s="87"/>
      <c r="THQ21" s="87"/>
      <c r="THR21" s="87"/>
      <c r="THS21" s="87"/>
      <c r="THT21" s="87"/>
      <c r="THU21" s="87"/>
      <c r="THV21" s="87"/>
      <c r="THW21" s="87"/>
      <c r="THX21" s="87"/>
      <c r="THY21" s="87"/>
      <c r="THZ21" s="87"/>
      <c r="TIA21" s="87"/>
      <c r="TIB21" s="87"/>
      <c r="TIC21" s="87"/>
      <c r="TID21" s="87"/>
      <c r="TIE21" s="87"/>
      <c r="TIF21" s="87"/>
      <c r="TIG21" s="87"/>
      <c r="TIH21" s="87"/>
      <c r="TII21" s="87"/>
      <c r="TIJ21" s="87"/>
      <c r="TIK21" s="87"/>
      <c r="TIL21" s="87"/>
      <c r="TIM21" s="87"/>
      <c r="TIN21" s="87"/>
      <c r="TIO21" s="87"/>
      <c r="TIP21" s="87"/>
      <c r="TIQ21" s="87"/>
      <c r="TIR21" s="87"/>
      <c r="TIS21" s="87"/>
      <c r="TIT21" s="87"/>
      <c r="TIU21" s="87"/>
      <c r="TIV21" s="87"/>
      <c r="TIW21" s="87"/>
      <c r="TIX21" s="87"/>
      <c r="TIY21" s="87"/>
      <c r="TIZ21" s="87"/>
      <c r="TJA21" s="87"/>
      <c r="TJB21" s="87"/>
      <c r="TJC21" s="87"/>
      <c r="TJD21" s="87"/>
      <c r="TJE21" s="87"/>
      <c r="TJF21" s="87"/>
      <c r="TJG21" s="87"/>
      <c r="TJH21" s="87"/>
      <c r="TJI21" s="87"/>
      <c r="TJJ21" s="87"/>
      <c r="TJK21" s="87"/>
      <c r="TJL21" s="87"/>
      <c r="TJM21" s="87"/>
      <c r="TJN21" s="87"/>
      <c r="TJO21" s="87"/>
      <c r="TJP21" s="87"/>
      <c r="TJQ21" s="87"/>
      <c r="TJR21" s="87"/>
      <c r="TJS21" s="87"/>
      <c r="TJT21" s="87"/>
      <c r="TJU21" s="87"/>
      <c r="TJV21" s="87"/>
      <c r="TJW21" s="87"/>
      <c r="TJX21" s="87"/>
      <c r="TJY21" s="87"/>
      <c r="TJZ21" s="87"/>
      <c r="TKA21" s="87"/>
      <c r="TKB21" s="87"/>
      <c r="TKC21" s="87"/>
      <c r="TKD21" s="87"/>
      <c r="TKE21" s="87"/>
      <c r="TKF21" s="87"/>
      <c r="TKG21" s="87"/>
      <c r="TKH21" s="87"/>
      <c r="TKI21" s="87"/>
      <c r="TKJ21" s="87"/>
      <c r="TKK21" s="87"/>
      <c r="TKL21" s="87"/>
      <c r="TKM21" s="87"/>
      <c r="TKN21" s="87"/>
      <c r="TKO21" s="87"/>
      <c r="TKP21" s="87"/>
      <c r="TKQ21" s="87"/>
      <c r="TKR21" s="87"/>
      <c r="TKS21" s="87"/>
      <c r="TKT21" s="87"/>
      <c r="TKU21" s="87"/>
      <c r="TKV21" s="87"/>
      <c r="TKW21" s="87"/>
      <c r="TKX21" s="87"/>
      <c r="TKY21" s="87"/>
      <c r="TKZ21" s="87"/>
      <c r="TLA21" s="87"/>
      <c r="TLB21" s="87"/>
      <c r="TLC21" s="87"/>
      <c r="TLD21" s="87"/>
      <c r="TLE21" s="87"/>
      <c r="TLF21" s="87"/>
      <c r="TLG21" s="87"/>
      <c r="TLH21" s="87"/>
      <c r="TLI21" s="87"/>
      <c r="TLJ21" s="87"/>
      <c r="TLK21" s="87"/>
      <c r="TLL21" s="87"/>
      <c r="TLM21" s="87"/>
      <c r="TLN21" s="87"/>
      <c r="TLO21" s="87"/>
      <c r="TLP21" s="87"/>
      <c r="TLQ21" s="87"/>
      <c r="TLR21" s="87"/>
      <c r="TLS21" s="87"/>
      <c r="TLT21" s="87"/>
      <c r="TLU21" s="87"/>
      <c r="TLV21" s="87"/>
      <c r="TLW21" s="87"/>
      <c r="TLX21" s="87"/>
      <c r="TLY21" s="87"/>
      <c r="TLZ21" s="87"/>
      <c r="TMA21" s="87"/>
      <c r="TMB21" s="87"/>
      <c r="TMC21" s="87"/>
      <c r="TMD21" s="87"/>
      <c r="TME21" s="87"/>
      <c r="TMF21" s="87"/>
      <c r="TMG21" s="87"/>
      <c r="TMH21" s="87"/>
      <c r="TMI21" s="87"/>
      <c r="TMJ21" s="87"/>
      <c r="TMK21" s="87"/>
      <c r="TML21" s="87"/>
      <c r="TMM21" s="87"/>
      <c r="TMN21" s="87"/>
      <c r="TMO21" s="87"/>
      <c r="TMP21" s="87"/>
      <c r="TMQ21" s="87"/>
      <c r="TMR21" s="87"/>
      <c r="TMS21" s="87"/>
      <c r="TMT21" s="87"/>
      <c r="TMU21" s="87"/>
      <c r="TMV21" s="87"/>
      <c r="TMW21" s="87"/>
      <c r="TMX21" s="87"/>
      <c r="TMY21" s="87"/>
      <c r="TMZ21" s="87"/>
      <c r="TNA21" s="87"/>
      <c r="TNB21" s="87"/>
      <c r="TNC21" s="87"/>
      <c r="TND21" s="87"/>
      <c r="TNE21" s="87"/>
      <c r="TNF21" s="87"/>
      <c r="TNG21" s="87"/>
      <c r="TNH21" s="87"/>
      <c r="TNI21" s="87"/>
      <c r="TNJ21" s="87"/>
      <c r="TNK21" s="87"/>
      <c r="TNL21" s="87"/>
      <c r="TNM21" s="87"/>
      <c r="TNN21" s="87"/>
      <c r="TNO21" s="87"/>
      <c r="TNP21" s="87"/>
      <c r="TNQ21" s="87"/>
      <c r="TNR21" s="87"/>
      <c r="TNS21" s="87"/>
      <c r="TNT21" s="87"/>
      <c r="TNU21" s="87"/>
      <c r="TNV21" s="87"/>
      <c r="TNW21" s="87"/>
      <c r="TNX21" s="87"/>
      <c r="TNY21" s="87"/>
      <c r="TNZ21" s="87"/>
      <c r="TOA21" s="87"/>
      <c r="TOB21" s="87"/>
      <c r="TOC21" s="87"/>
      <c r="TOD21" s="87"/>
      <c r="TOE21" s="87"/>
      <c r="TOF21" s="87"/>
      <c r="TOG21" s="87"/>
      <c r="TOH21" s="87"/>
      <c r="TOI21" s="87"/>
      <c r="TOJ21" s="87"/>
      <c r="TOK21" s="87"/>
      <c r="TOL21" s="87"/>
      <c r="TOM21" s="87"/>
      <c r="TON21" s="87"/>
      <c r="TOO21" s="87"/>
      <c r="TOP21" s="87"/>
      <c r="TOQ21" s="87"/>
      <c r="TOR21" s="87"/>
      <c r="TOS21" s="87"/>
      <c r="TOT21" s="87"/>
      <c r="TOU21" s="87"/>
      <c r="TOV21" s="87"/>
      <c r="TOW21" s="87"/>
      <c r="TOX21" s="87"/>
      <c r="TOY21" s="87"/>
      <c r="TOZ21" s="87"/>
      <c r="TPA21" s="87"/>
      <c r="TPB21" s="87"/>
      <c r="TPC21" s="87"/>
      <c r="TPD21" s="87"/>
      <c r="TPE21" s="87"/>
      <c r="TPF21" s="87"/>
      <c r="TPG21" s="87"/>
      <c r="TPH21" s="87"/>
      <c r="TPI21" s="87"/>
      <c r="TPJ21" s="87"/>
      <c r="TPK21" s="87"/>
      <c r="TPL21" s="87"/>
      <c r="TPM21" s="87"/>
      <c r="TPN21" s="87"/>
      <c r="TPO21" s="87"/>
      <c r="TPP21" s="87"/>
      <c r="TPQ21" s="87"/>
      <c r="TPR21" s="87"/>
      <c r="TPS21" s="87"/>
      <c r="TPT21" s="87"/>
      <c r="TPU21" s="87"/>
      <c r="TPV21" s="87"/>
      <c r="TPW21" s="87"/>
      <c r="TPX21" s="87"/>
      <c r="TPY21" s="87"/>
      <c r="TPZ21" s="87"/>
      <c r="TQA21" s="87"/>
      <c r="TQB21" s="87"/>
      <c r="TQC21" s="87"/>
      <c r="TQD21" s="87"/>
      <c r="TQE21" s="87"/>
      <c r="TQF21" s="87"/>
      <c r="TQG21" s="87"/>
      <c r="TQH21" s="87"/>
      <c r="TQI21" s="87"/>
      <c r="TQJ21" s="87"/>
      <c r="TQK21" s="87"/>
      <c r="TQL21" s="87"/>
      <c r="TQM21" s="87"/>
      <c r="TQN21" s="87"/>
      <c r="TQO21" s="87"/>
      <c r="TQP21" s="87"/>
      <c r="TQQ21" s="87"/>
      <c r="TQR21" s="87"/>
      <c r="TQS21" s="87"/>
      <c r="TQT21" s="87"/>
      <c r="TQU21" s="87"/>
      <c r="TQV21" s="87"/>
      <c r="TQW21" s="87"/>
      <c r="TQX21" s="87"/>
      <c r="TQY21" s="87"/>
      <c r="TQZ21" s="87"/>
      <c r="TRA21" s="87"/>
      <c r="TRB21" s="87"/>
      <c r="TRC21" s="87"/>
      <c r="TRD21" s="87"/>
      <c r="TRE21" s="87"/>
      <c r="TRF21" s="87"/>
      <c r="TRG21" s="87"/>
      <c r="TRH21" s="87"/>
      <c r="TRI21" s="87"/>
      <c r="TRJ21" s="87"/>
      <c r="TRK21" s="87"/>
      <c r="TRL21" s="87"/>
      <c r="TRM21" s="87"/>
      <c r="TRN21" s="87"/>
      <c r="TRO21" s="87"/>
      <c r="TRP21" s="87"/>
      <c r="TRQ21" s="87"/>
      <c r="TRR21" s="87"/>
      <c r="TRS21" s="87"/>
      <c r="TRT21" s="87"/>
      <c r="TRU21" s="87"/>
      <c r="TRV21" s="87"/>
      <c r="TRW21" s="87"/>
      <c r="TRX21" s="87"/>
      <c r="TRY21" s="87"/>
      <c r="TRZ21" s="87"/>
      <c r="TSA21" s="87"/>
      <c r="TSB21" s="87"/>
      <c r="TSC21" s="87"/>
      <c r="TSD21" s="87"/>
      <c r="TSE21" s="87"/>
      <c r="TSF21" s="87"/>
      <c r="TSG21" s="87"/>
      <c r="TSH21" s="87"/>
      <c r="TSI21" s="87"/>
      <c r="TSJ21" s="87"/>
      <c r="TSK21" s="87"/>
      <c r="TSL21" s="87"/>
      <c r="TSM21" s="87"/>
      <c r="TSN21" s="87"/>
      <c r="TSO21" s="87"/>
      <c r="TSP21" s="87"/>
      <c r="TSQ21" s="87"/>
      <c r="TSR21" s="87"/>
      <c r="TSS21" s="87"/>
      <c r="TST21" s="87"/>
      <c r="TSU21" s="87"/>
      <c r="TSV21" s="87"/>
      <c r="TSW21" s="87"/>
      <c r="TSX21" s="87"/>
      <c r="TSY21" s="87"/>
      <c r="TSZ21" s="87"/>
      <c r="TTA21" s="87"/>
      <c r="TTB21" s="87"/>
      <c r="TTC21" s="87"/>
      <c r="TTD21" s="87"/>
      <c r="TTE21" s="87"/>
      <c r="TTF21" s="87"/>
      <c r="TTG21" s="87"/>
      <c r="TTH21" s="87"/>
      <c r="TTI21" s="87"/>
      <c r="TTJ21" s="87"/>
      <c r="TTK21" s="87"/>
      <c r="TTL21" s="87"/>
      <c r="TTM21" s="87"/>
      <c r="TTN21" s="87"/>
      <c r="TTO21" s="87"/>
      <c r="TTP21" s="87"/>
      <c r="TTQ21" s="87"/>
      <c r="TTR21" s="87"/>
      <c r="TTS21" s="87"/>
      <c r="TTT21" s="87"/>
      <c r="TTU21" s="87"/>
      <c r="TTV21" s="87"/>
      <c r="TTW21" s="87"/>
      <c r="TTX21" s="87"/>
      <c r="TTY21" s="87"/>
      <c r="TTZ21" s="87"/>
      <c r="TUA21" s="87"/>
      <c r="TUB21" s="87"/>
      <c r="TUC21" s="87"/>
      <c r="TUD21" s="87"/>
      <c r="TUE21" s="87"/>
      <c r="TUF21" s="87"/>
      <c r="TUG21" s="87"/>
      <c r="TUH21" s="87"/>
      <c r="TUI21" s="87"/>
      <c r="TUJ21" s="87"/>
      <c r="TUK21" s="87"/>
      <c r="TUL21" s="87"/>
      <c r="TUM21" s="87"/>
      <c r="TUN21" s="87"/>
      <c r="TUO21" s="87"/>
      <c r="TUP21" s="87"/>
      <c r="TUQ21" s="87"/>
      <c r="TUR21" s="87"/>
      <c r="TUS21" s="87"/>
      <c r="TUT21" s="87"/>
      <c r="TUU21" s="87"/>
      <c r="TUV21" s="87"/>
      <c r="TUW21" s="87"/>
      <c r="TUX21" s="87"/>
      <c r="TUY21" s="87"/>
      <c r="TUZ21" s="87"/>
      <c r="TVA21" s="87"/>
      <c r="TVB21" s="87"/>
      <c r="TVC21" s="87"/>
      <c r="TVD21" s="87"/>
      <c r="TVE21" s="87"/>
      <c r="TVF21" s="87"/>
      <c r="TVG21" s="87"/>
      <c r="TVH21" s="87"/>
      <c r="TVI21" s="87"/>
      <c r="TVJ21" s="87"/>
      <c r="TVK21" s="87"/>
      <c r="TVL21" s="87"/>
      <c r="TVM21" s="87"/>
      <c r="TVN21" s="87"/>
      <c r="TVO21" s="87"/>
      <c r="TVP21" s="87"/>
      <c r="TVQ21" s="87"/>
      <c r="TVR21" s="87"/>
      <c r="TVS21" s="87"/>
      <c r="TVT21" s="87"/>
      <c r="TVU21" s="87"/>
      <c r="TVV21" s="87"/>
      <c r="TVW21" s="87"/>
      <c r="TVX21" s="87"/>
      <c r="TVY21" s="87"/>
      <c r="TVZ21" s="87"/>
      <c r="TWA21" s="87"/>
      <c r="TWB21" s="87"/>
      <c r="TWC21" s="87"/>
      <c r="TWD21" s="87"/>
      <c r="TWE21" s="87"/>
      <c r="TWF21" s="87"/>
      <c r="TWG21" s="87"/>
      <c r="TWH21" s="87"/>
      <c r="TWI21" s="87"/>
      <c r="TWJ21" s="87"/>
      <c r="TWK21" s="87"/>
      <c r="TWL21" s="87"/>
      <c r="TWM21" s="87"/>
      <c r="TWN21" s="87"/>
      <c r="TWO21" s="87"/>
      <c r="TWP21" s="87"/>
      <c r="TWQ21" s="87"/>
      <c r="TWR21" s="87"/>
      <c r="TWS21" s="87"/>
      <c r="TWT21" s="87"/>
      <c r="TWU21" s="87"/>
      <c r="TWV21" s="87"/>
      <c r="TWW21" s="87"/>
      <c r="TWX21" s="87"/>
      <c r="TWY21" s="87"/>
      <c r="TWZ21" s="87"/>
      <c r="TXA21" s="87"/>
      <c r="TXB21" s="87"/>
      <c r="TXC21" s="87"/>
      <c r="TXD21" s="87"/>
      <c r="TXE21" s="87"/>
      <c r="TXF21" s="87"/>
      <c r="TXG21" s="87"/>
      <c r="TXH21" s="87"/>
      <c r="TXI21" s="87"/>
      <c r="TXJ21" s="87"/>
      <c r="TXK21" s="87"/>
      <c r="TXL21" s="87"/>
      <c r="TXM21" s="87"/>
      <c r="TXN21" s="87"/>
      <c r="TXO21" s="87"/>
      <c r="TXP21" s="87"/>
      <c r="TXQ21" s="87"/>
      <c r="TXR21" s="87"/>
      <c r="TXS21" s="87"/>
      <c r="TXT21" s="87"/>
      <c r="TXU21" s="87"/>
      <c r="TXV21" s="87"/>
      <c r="TXW21" s="87"/>
      <c r="TXX21" s="87"/>
      <c r="TXY21" s="87"/>
      <c r="TXZ21" s="87"/>
      <c r="TYA21" s="87"/>
      <c r="TYB21" s="87"/>
      <c r="TYC21" s="87"/>
      <c r="TYD21" s="87"/>
      <c r="TYE21" s="87"/>
      <c r="TYF21" s="87"/>
      <c r="TYG21" s="87"/>
      <c r="TYH21" s="87"/>
      <c r="TYI21" s="87"/>
      <c r="TYJ21" s="87"/>
      <c r="TYK21" s="87"/>
      <c r="TYL21" s="87"/>
      <c r="TYM21" s="87"/>
      <c r="TYN21" s="87"/>
      <c r="TYO21" s="87"/>
      <c r="TYP21" s="87"/>
      <c r="TYQ21" s="87"/>
      <c r="TYR21" s="87"/>
      <c r="TYS21" s="87"/>
      <c r="TYT21" s="87"/>
      <c r="TYU21" s="87"/>
      <c r="TYV21" s="87"/>
      <c r="TYW21" s="87"/>
      <c r="TYX21" s="87"/>
      <c r="TYY21" s="87"/>
      <c r="TYZ21" s="87"/>
      <c r="TZA21" s="87"/>
      <c r="TZB21" s="87"/>
      <c r="TZC21" s="87"/>
      <c r="TZD21" s="87"/>
      <c r="TZE21" s="87"/>
      <c r="TZF21" s="87"/>
      <c r="TZG21" s="87"/>
      <c r="TZH21" s="87"/>
      <c r="TZI21" s="87"/>
      <c r="TZJ21" s="87"/>
      <c r="TZK21" s="87"/>
      <c r="TZL21" s="87"/>
      <c r="TZM21" s="87"/>
      <c r="TZN21" s="87"/>
      <c r="TZO21" s="87"/>
      <c r="TZP21" s="87"/>
      <c r="TZQ21" s="87"/>
      <c r="TZR21" s="87"/>
      <c r="TZS21" s="87"/>
      <c r="TZT21" s="87"/>
      <c r="TZU21" s="87"/>
      <c r="TZV21" s="87"/>
      <c r="TZW21" s="87"/>
      <c r="TZX21" s="87"/>
      <c r="TZY21" s="87"/>
      <c r="TZZ21" s="87"/>
      <c r="UAA21" s="87"/>
      <c r="UAB21" s="87"/>
      <c r="UAC21" s="87"/>
      <c r="UAD21" s="87"/>
      <c r="UAE21" s="87"/>
      <c r="UAF21" s="87"/>
      <c r="UAG21" s="87"/>
      <c r="UAH21" s="87"/>
      <c r="UAI21" s="87"/>
      <c r="UAJ21" s="87"/>
      <c r="UAK21" s="87"/>
      <c r="UAL21" s="87"/>
      <c r="UAM21" s="87"/>
      <c r="UAN21" s="87"/>
      <c r="UAO21" s="87"/>
      <c r="UAP21" s="87"/>
      <c r="UAQ21" s="87"/>
      <c r="UAR21" s="87"/>
      <c r="UAS21" s="87"/>
      <c r="UAT21" s="87"/>
      <c r="UAU21" s="87"/>
      <c r="UAV21" s="87"/>
      <c r="UAW21" s="87"/>
      <c r="UAX21" s="87"/>
      <c r="UAY21" s="87"/>
      <c r="UAZ21" s="87"/>
      <c r="UBA21" s="87"/>
      <c r="UBB21" s="87"/>
      <c r="UBC21" s="87"/>
      <c r="UBD21" s="87"/>
      <c r="UBE21" s="87"/>
      <c r="UBF21" s="87"/>
      <c r="UBG21" s="87"/>
      <c r="UBH21" s="87"/>
      <c r="UBI21" s="87"/>
      <c r="UBJ21" s="87"/>
      <c r="UBK21" s="87"/>
      <c r="UBL21" s="87"/>
      <c r="UBM21" s="87"/>
      <c r="UBN21" s="87"/>
      <c r="UBO21" s="87"/>
      <c r="UBP21" s="87"/>
      <c r="UBQ21" s="87"/>
      <c r="UBR21" s="87"/>
      <c r="UBS21" s="87"/>
      <c r="UBT21" s="87"/>
      <c r="UBU21" s="87"/>
      <c r="UBV21" s="87"/>
      <c r="UBW21" s="87"/>
      <c r="UBX21" s="87"/>
      <c r="UBY21" s="87"/>
      <c r="UBZ21" s="87"/>
      <c r="UCA21" s="87"/>
      <c r="UCB21" s="87"/>
      <c r="UCC21" s="87"/>
      <c r="UCD21" s="87"/>
      <c r="UCE21" s="87"/>
      <c r="UCF21" s="87"/>
      <c r="UCG21" s="87"/>
      <c r="UCH21" s="87"/>
      <c r="UCI21" s="87"/>
      <c r="UCJ21" s="87"/>
      <c r="UCK21" s="87"/>
      <c r="UCL21" s="87"/>
      <c r="UCM21" s="87"/>
      <c r="UCN21" s="87"/>
      <c r="UCO21" s="87"/>
      <c r="UCP21" s="87"/>
      <c r="UCQ21" s="87"/>
      <c r="UCR21" s="87"/>
      <c r="UCS21" s="87"/>
      <c r="UCT21" s="87"/>
      <c r="UCU21" s="87"/>
      <c r="UCV21" s="87"/>
      <c r="UCW21" s="87"/>
      <c r="UCX21" s="87"/>
      <c r="UCY21" s="87"/>
      <c r="UCZ21" s="87"/>
      <c r="UDA21" s="87"/>
      <c r="UDB21" s="87"/>
      <c r="UDC21" s="87"/>
      <c r="UDD21" s="87"/>
      <c r="UDE21" s="87"/>
      <c r="UDF21" s="87"/>
      <c r="UDG21" s="87"/>
      <c r="UDH21" s="87"/>
      <c r="UDI21" s="87"/>
      <c r="UDJ21" s="87"/>
      <c r="UDK21" s="87"/>
      <c r="UDL21" s="87"/>
      <c r="UDM21" s="87"/>
      <c r="UDN21" s="87"/>
      <c r="UDO21" s="87"/>
      <c r="UDP21" s="87"/>
      <c r="UDQ21" s="87"/>
      <c r="UDR21" s="87"/>
      <c r="UDS21" s="87"/>
      <c r="UDT21" s="87"/>
      <c r="UDU21" s="87"/>
      <c r="UDV21" s="87"/>
      <c r="UDW21" s="87"/>
      <c r="UDX21" s="87"/>
      <c r="UDY21" s="87"/>
      <c r="UDZ21" s="87"/>
      <c r="UEA21" s="87"/>
      <c r="UEB21" s="87"/>
      <c r="UEC21" s="87"/>
      <c r="UED21" s="87"/>
      <c r="UEE21" s="87"/>
      <c r="UEF21" s="87"/>
      <c r="UEG21" s="87"/>
      <c r="UEH21" s="87"/>
      <c r="UEI21" s="87"/>
      <c r="UEJ21" s="87"/>
      <c r="UEK21" s="87"/>
      <c r="UEL21" s="87"/>
      <c r="UEM21" s="87"/>
      <c r="UEN21" s="87"/>
      <c r="UEO21" s="87"/>
      <c r="UEP21" s="87"/>
      <c r="UEQ21" s="87"/>
      <c r="UER21" s="87"/>
      <c r="UES21" s="87"/>
      <c r="UET21" s="87"/>
      <c r="UEU21" s="87"/>
      <c r="UEV21" s="87"/>
      <c r="UEW21" s="87"/>
      <c r="UEX21" s="87"/>
      <c r="UEY21" s="87"/>
      <c r="UEZ21" s="87"/>
      <c r="UFA21" s="87"/>
      <c r="UFB21" s="87"/>
      <c r="UFC21" s="87"/>
      <c r="UFD21" s="87"/>
      <c r="UFE21" s="87"/>
      <c r="UFF21" s="87"/>
      <c r="UFG21" s="87"/>
      <c r="UFH21" s="87"/>
      <c r="UFI21" s="87"/>
      <c r="UFJ21" s="87"/>
      <c r="UFK21" s="87"/>
      <c r="UFL21" s="87"/>
      <c r="UFM21" s="87"/>
      <c r="UFN21" s="87"/>
      <c r="UFO21" s="87"/>
      <c r="UFP21" s="87"/>
      <c r="UFQ21" s="87"/>
      <c r="UFR21" s="87"/>
      <c r="UFS21" s="87"/>
      <c r="UFT21" s="87"/>
      <c r="UFU21" s="87"/>
      <c r="UFV21" s="87"/>
      <c r="UFW21" s="87"/>
      <c r="UFX21" s="87"/>
      <c r="UFY21" s="87"/>
      <c r="UFZ21" s="87"/>
      <c r="UGA21" s="87"/>
      <c r="UGB21" s="87"/>
      <c r="UGC21" s="87"/>
      <c r="UGD21" s="87"/>
      <c r="UGE21" s="87"/>
      <c r="UGF21" s="87"/>
      <c r="UGG21" s="87"/>
      <c r="UGH21" s="87"/>
      <c r="UGI21" s="87"/>
      <c r="UGJ21" s="87"/>
      <c r="UGK21" s="87"/>
      <c r="UGL21" s="87"/>
      <c r="UGM21" s="87"/>
      <c r="UGN21" s="87"/>
      <c r="UGO21" s="87"/>
      <c r="UGP21" s="87"/>
      <c r="UGQ21" s="87"/>
      <c r="UGR21" s="87"/>
      <c r="UGS21" s="87"/>
      <c r="UGT21" s="87"/>
      <c r="UGU21" s="87"/>
      <c r="UGV21" s="87"/>
      <c r="UGW21" s="87"/>
      <c r="UGX21" s="87"/>
      <c r="UGY21" s="87"/>
      <c r="UGZ21" s="87"/>
      <c r="UHA21" s="87"/>
      <c r="UHB21" s="87"/>
      <c r="UHC21" s="87"/>
      <c r="UHD21" s="87"/>
      <c r="UHE21" s="87"/>
      <c r="UHF21" s="87"/>
      <c r="UHG21" s="87"/>
      <c r="UHH21" s="87"/>
      <c r="UHI21" s="87"/>
      <c r="UHJ21" s="87"/>
      <c r="UHK21" s="87"/>
      <c r="UHL21" s="87"/>
      <c r="UHM21" s="87"/>
      <c r="UHN21" s="87"/>
      <c r="UHO21" s="87"/>
      <c r="UHP21" s="87"/>
      <c r="UHQ21" s="87"/>
      <c r="UHR21" s="87"/>
      <c r="UHS21" s="87"/>
      <c r="UHT21" s="87"/>
      <c r="UHU21" s="87"/>
      <c r="UHV21" s="87"/>
      <c r="UHW21" s="87"/>
      <c r="UHX21" s="87"/>
      <c r="UHY21" s="87"/>
      <c r="UHZ21" s="87"/>
      <c r="UIA21" s="87"/>
      <c r="UIB21" s="87"/>
      <c r="UIC21" s="87"/>
      <c r="UID21" s="87"/>
      <c r="UIE21" s="87"/>
      <c r="UIF21" s="87"/>
      <c r="UIG21" s="87"/>
      <c r="UIH21" s="87"/>
      <c r="UII21" s="87"/>
      <c r="UIJ21" s="87"/>
      <c r="UIK21" s="87"/>
      <c r="UIL21" s="87"/>
      <c r="UIM21" s="87"/>
      <c r="UIN21" s="87"/>
      <c r="UIO21" s="87"/>
      <c r="UIP21" s="87"/>
      <c r="UIQ21" s="87"/>
      <c r="UIR21" s="87"/>
      <c r="UIS21" s="87"/>
      <c r="UIT21" s="87"/>
      <c r="UIU21" s="87"/>
      <c r="UIV21" s="87"/>
      <c r="UIW21" s="87"/>
      <c r="UIX21" s="87"/>
      <c r="UIY21" s="87"/>
      <c r="UIZ21" s="87"/>
      <c r="UJA21" s="87"/>
      <c r="UJB21" s="87"/>
      <c r="UJC21" s="87"/>
      <c r="UJD21" s="87"/>
      <c r="UJE21" s="87"/>
      <c r="UJF21" s="87"/>
      <c r="UJG21" s="87"/>
      <c r="UJH21" s="87"/>
      <c r="UJI21" s="87"/>
      <c r="UJJ21" s="87"/>
      <c r="UJK21" s="87"/>
      <c r="UJL21" s="87"/>
      <c r="UJM21" s="87"/>
      <c r="UJN21" s="87"/>
      <c r="UJO21" s="87"/>
      <c r="UJP21" s="87"/>
      <c r="UJQ21" s="87"/>
      <c r="UJR21" s="87"/>
      <c r="UJS21" s="87"/>
      <c r="UJT21" s="87"/>
      <c r="UJU21" s="87"/>
      <c r="UJV21" s="87"/>
      <c r="UJW21" s="87"/>
      <c r="UJX21" s="87"/>
      <c r="UJY21" s="87"/>
      <c r="UJZ21" s="87"/>
      <c r="UKA21" s="87"/>
      <c r="UKB21" s="87"/>
      <c r="UKC21" s="87"/>
      <c r="UKD21" s="87"/>
      <c r="UKE21" s="87"/>
      <c r="UKF21" s="87"/>
      <c r="UKG21" s="87"/>
      <c r="UKH21" s="87"/>
      <c r="UKI21" s="87"/>
      <c r="UKJ21" s="87"/>
      <c r="UKK21" s="87"/>
      <c r="UKL21" s="87"/>
      <c r="UKM21" s="87"/>
      <c r="UKN21" s="87"/>
      <c r="UKO21" s="87"/>
      <c r="UKP21" s="87"/>
      <c r="UKQ21" s="87"/>
      <c r="UKR21" s="87"/>
      <c r="UKS21" s="87"/>
      <c r="UKT21" s="87"/>
      <c r="UKU21" s="87"/>
      <c r="UKV21" s="87"/>
      <c r="UKW21" s="87"/>
      <c r="UKX21" s="87"/>
      <c r="UKY21" s="87"/>
      <c r="UKZ21" s="87"/>
      <c r="ULA21" s="87"/>
      <c r="ULB21" s="87"/>
      <c r="ULC21" s="87"/>
      <c r="ULD21" s="87"/>
      <c r="ULE21" s="87"/>
      <c r="ULF21" s="87"/>
      <c r="ULG21" s="87"/>
      <c r="ULH21" s="87"/>
      <c r="ULI21" s="87"/>
      <c r="ULJ21" s="87"/>
      <c r="ULK21" s="87"/>
      <c r="ULL21" s="87"/>
      <c r="ULM21" s="87"/>
      <c r="ULN21" s="87"/>
      <c r="ULO21" s="87"/>
      <c r="ULP21" s="87"/>
      <c r="ULQ21" s="87"/>
      <c r="ULR21" s="87"/>
      <c r="ULS21" s="87"/>
      <c r="ULT21" s="87"/>
      <c r="ULU21" s="87"/>
      <c r="ULV21" s="87"/>
      <c r="ULW21" s="87"/>
      <c r="ULX21" s="87"/>
      <c r="ULY21" s="87"/>
      <c r="ULZ21" s="87"/>
      <c r="UMA21" s="87"/>
      <c r="UMB21" s="87"/>
      <c r="UMC21" s="87"/>
      <c r="UMD21" s="87"/>
      <c r="UME21" s="87"/>
      <c r="UMF21" s="87"/>
      <c r="UMG21" s="87"/>
      <c r="UMH21" s="87"/>
      <c r="UMI21" s="87"/>
      <c r="UMJ21" s="87"/>
      <c r="UMK21" s="87"/>
      <c r="UML21" s="87"/>
      <c r="UMM21" s="87"/>
      <c r="UMN21" s="87"/>
      <c r="UMO21" s="87"/>
      <c r="UMP21" s="87"/>
      <c r="UMQ21" s="87"/>
      <c r="UMR21" s="87"/>
      <c r="UMS21" s="87"/>
      <c r="UMT21" s="87"/>
      <c r="UMU21" s="87"/>
      <c r="UMV21" s="87"/>
      <c r="UMW21" s="87"/>
      <c r="UMX21" s="87"/>
      <c r="UMY21" s="87"/>
      <c r="UMZ21" s="87"/>
      <c r="UNA21" s="87"/>
      <c r="UNB21" s="87"/>
      <c r="UNC21" s="87"/>
      <c r="UND21" s="87"/>
      <c r="UNE21" s="87"/>
      <c r="UNF21" s="87"/>
      <c r="UNG21" s="87"/>
      <c r="UNH21" s="87"/>
      <c r="UNI21" s="87"/>
      <c r="UNJ21" s="87"/>
      <c r="UNK21" s="87"/>
      <c r="UNL21" s="87"/>
      <c r="UNM21" s="87"/>
      <c r="UNN21" s="87"/>
      <c r="UNO21" s="87"/>
      <c r="UNP21" s="87"/>
      <c r="UNQ21" s="87"/>
      <c r="UNR21" s="87"/>
      <c r="UNS21" s="87"/>
      <c r="UNT21" s="87"/>
      <c r="UNU21" s="87"/>
      <c r="UNV21" s="87"/>
      <c r="UNW21" s="87"/>
      <c r="UNX21" s="87"/>
      <c r="UNY21" s="87"/>
      <c r="UNZ21" s="87"/>
      <c r="UOA21" s="87"/>
      <c r="UOB21" s="87"/>
      <c r="UOC21" s="87"/>
      <c r="UOD21" s="87"/>
      <c r="UOE21" s="87"/>
      <c r="UOF21" s="87"/>
      <c r="UOG21" s="87"/>
      <c r="UOH21" s="87"/>
      <c r="UOI21" s="87"/>
      <c r="UOJ21" s="87"/>
      <c r="UOK21" s="87"/>
      <c r="UOL21" s="87"/>
      <c r="UOM21" s="87"/>
      <c r="UON21" s="87"/>
      <c r="UOO21" s="87"/>
      <c r="UOP21" s="87"/>
      <c r="UOQ21" s="87"/>
      <c r="UOR21" s="87"/>
      <c r="UOS21" s="87"/>
      <c r="UOT21" s="87"/>
      <c r="UOU21" s="87"/>
      <c r="UOV21" s="87"/>
      <c r="UOW21" s="87"/>
      <c r="UOX21" s="87"/>
      <c r="UOY21" s="87"/>
      <c r="UOZ21" s="87"/>
      <c r="UPA21" s="87"/>
      <c r="UPB21" s="87"/>
      <c r="UPC21" s="87"/>
      <c r="UPD21" s="87"/>
      <c r="UPE21" s="87"/>
      <c r="UPF21" s="87"/>
      <c r="UPG21" s="87"/>
      <c r="UPH21" s="87"/>
      <c r="UPI21" s="87"/>
      <c r="UPJ21" s="87"/>
      <c r="UPK21" s="87"/>
      <c r="UPL21" s="87"/>
      <c r="UPM21" s="87"/>
      <c r="UPN21" s="87"/>
      <c r="UPO21" s="87"/>
      <c r="UPP21" s="87"/>
      <c r="UPQ21" s="87"/>
      <c r="UPR21" s="87"/>
      <c r="UPS21" s="87"/>
      <c r="UPT21" s="87"/>
      <c r="UPU21" s="87"/>
      <c r="UPV21" s="87"/>
      <c r="UPW21" s="87"/>
      <c r="UPX21" s="87"/>
      <c r="UPY21" s="87"/>
      <c r="UPZ21" s="87"/>
      <c r="UQA21" s="87"/>
      <c r="UQB21" s="87"/>
      <c r="UQC21" s="87"/>
      <c r="UQD21" s="87"/>
      <c r="UQE21" s="87"/>
      <c r="UQF21" s="87"/>
      <c r="UQG21" s="87"/>
      <c r="UQH21" s="87"/>
      <c r="UQI21" s="87"/>
      <c r="UQJ21" s="87"/>
      <c r="UQK21" s="87"/>
      <c r="UQL21" s="87"/>
      <c r="UQM21" s="87"/>
      <c r="UQN21" s="87"/>
      <c r="UQO21" s="87"/>
      <c r="UQP21" s="87"/>
      <c r="UQQ21" s="87"/>
      <c r="UQR21" s="87"/>
      <c r="UQS21" s="87"/>
      <c r="UQT21" s="87"/>
      <c r="UQU21" s="87"/>
      <c r="UQV21" s="87"/>
      <c r="UQW21" s="87"/>
      <c r="UQX21" s="87"/>
      <c r="UQY21" s="87"/>
      <c r="UQZ21" s="87"/>
      <c r="URA21" s="87"/>
      <c r="URB21" s="87"/>
      <c r="URC21" s="87"/>
      <c r="URD21" s="87"/>
      <c r="URE21" s="87"/>
      <c r="URF21" s="87"/>
      <c r="URG21" s="87"/>
      <c r="URH21" s="87"/>
      <c r="URI21" s="87"/>
      <c r="URJ21" s="87"/>
      <c r="URK21" s="87"/>
      <c r="URL21" s="87"/>
      <c r="URM21" s="87"/>
      <c r="URN21" s="87"/>
      <c r="URO21" s="87"/>
      <c r="URP21" s="87"/>
      <c r="URQ21" s="87"/>
      <c r="URR21" s="87"/>
      <c r="URS21" s="87"/>
      <c r="URT21" s="87"/>
      <c r="URU21" s="87"/>
      <c r="URV21" s="87"/>
      <c r="URW21" s="87"/>
      <c r="URX21" s="87"/>
      <c r="URY21" s="87"/>
      <c r="URZ21" s="87"/>
      <c r="USA21" s="87"/>
      <c r="USB21" s="87"/>
      <c r="USC21" s="87"/>
      <c r="USD21" s="87"/>
      <c r="USE21" s="87"/>
      <c r="USF21" s="87"/>
      <c r="USG21" s="87"/>
      <c r="USH21" s="87"/>
      <c r="USI21" s="87"/>
      <c r="USJ21" s="87"/>
      <c r="USK21" s="87"/>
      <c r="USL21" s="87"/>
      <c r="USM21" s="87"/>
      <c r="USN21" s="87"/>
      <c r="USO21" s="87"/>
      <c r="USP21" s="87"/>
      <c r="USQ21" s="87"/>
      <c r="USR21" s="87"/>
      <c r="USS21" s="87"/>
      <c r="UST21" s="87"/>
      <c r="USU21" s="87"/>
      <c r="USV21" s="87"/>
      <c r="USW21" s="87"/>
      <c r="USX21" s="87"/>
      <c r="USY21" s="87"/>
      <c r="USZ21" s="87"/>
      <c r="UTA21" s="87"/>
      <c r="UTB21" s="87"/>
      <c r="UTC21" s="87"/>
      <c r="UTD21" s="87"/>
      <c r="UTE21" s="87"/>
      <c r="UTF21" s="87"/>
      <c r="UTG21" s="87"/>
      <c r="UTH21" s="87"/>
      <c r="UTI21" s="87"/>
      <c r="UTJ21" s="87"/>
      <c r="UTK21" s="87"/>
      <c r="UTL21" s="87"/>
      <c r="UTM21" s="87"/>
      <c r="UTN21" s="87"/>
      <c r="UTO21" s="87"/>
      <c r="UTP21" s="87"/>
      <c r="UTQ21" s="87"/>
      <c r="UTR21" s="87"/>
      <c r="UTS21" s="87"/>
      <c r="UTT21" s="87"/>
      <c r="UTU21" s="87"/>
      <c r="UTV21" s="87"/>
      <c r="UTW21" s="87"/>
      <c r="UTX21" s="87"/>
      <c r="UTY21" s="87"/>
      <c r="UTZ21" s="87"/>
      <c r="UUA21" s="87"/>
      <c r="UUB21" s="87"/>
      <c r="UUC21" s="87"/>
      <c r="UUD21" s="87"/>
      <c r="UUE21" s="87"/>
      <c r="UUF21" s="87"/>
      <c r="UUG21" s="87"/>
      <c r="UUH21" s="87"/>
      <c r="UUI21" s="87"/>
      <c r="UUJ21" s="87"/>
      <c r="UUK21" s="87"/>
      <c r="UUL21" s="87"/>
      <c r="UUM21" s="87"/>
      <c r="UUN21" s="87"/>
      <c r="UUO21" s="87"/>
      <c r="UUP21" s="87"/>
      <c r="UUQ21" s="87"/>
      <c r="UUR21" s="87"/>
      <c r="UUS21" s="87"/>
      <c r="UUT21" s="87"/>
      <c r="UUU21" s="87"/>
      <c r="UUV21" s="87"/>
      <c r="UUW21" s="87"/>
      <c r="UUX21" s="87"/>
      <c r="UUY21" s="87"/>
      <c r="UUZ21" s="87"/>
      <c r="UVA21" s="87"/>
      <c r="UVB21" s="87"/>
      <c r="UVC21" s="87"/>
      <c r="UVD21" s="87"/>
      <c r="UVE21" s="87"/>
      <c r="UVF21" s="87"/>
      <c r="UVG21" s="87"/>
      <c r="UVH21" s="87"/>
      <c r="UVI21" s="87"/>
      <c r="UVJ21" s="87"/>
      <c r="UVK21" s="87"/>
      <c r="UVL21" s="87"/>
      <c r="UVM21" s="87"/>
      <c r="UVN21" s="87"/>
      <c r="UVO21" s="87"/>
      <c r="UVP21" s="87"/>
      <c r="UVQ21" s="87"/>
      <c r="UVR21" s="87"/>
      <c r="UVS21" s="87"/>
      <c r="UVT21" s="87"/>
      <c r="UVU21" s="87"/>
      <c r="UVV21" s="87"/>
      <c r="UVW21" s="87"/>
      <c r="UVX21" s="87"/>
      <c r="UVY21" s="87"/>
      <c r="UVZ21" s="87"/>
      <c r="UWA21" s="87"/>
      <c r="UWB21" s="87"/>
      <c r="UWC21" s="87"/>
      <c r="UWD21" s="87"/>
      <c r="UWE21" s="87"/>
      <c r="UWF21" s="87"/>
      <c r="UWG21" s="87"/>
      <c r="UWH21" s="87"/>
      <c r="UWI21" s="87"/>
      <c r="UWJ21" s="87"/>
      <c r="UWK21" s="87"/>
      <c r="UWL21" s="87"/>
      <c r="UWM21" s="87"/>
      <c r="UWN21" s="87"/>
      <c r="UWO21" s="87"/>
      <c r="UWP21" s="87"/>
      <c r="UWQ21" s="87"/>
      <c r="UWR21" s="87"/>
      <c r="UWS21" s="87"/>
      <c r="UWT21" s="87"/>
      <c r="UWU21" s="87"/>
      <c r="UWV21" s="87"/>
      <c r="UWW21" s="87"/>
      <c r="UWX21" s="87"/>
      <c r="UWY21" s="87"/>
      <c r="UWZ21" s="87"/>
      <c r="UXA21" s="87"/>
      <c r="UXB21" s="87"/>
      <c r="UXC21" s="87"/>
      <c r="UXD21" s="87"/>
      <c r="UXE21" s="87"/>
      <c r="UXF21" s="87"/>
      <c r="UXG21" s="87"/>
      <c r="UXH21" s="87"/>
      <c r="UXI21" s="87"/>
      <c r="UXJ21" s="87"/>
      <c r="UXK21" s="87"/>
      <c r="UXL21" s="87"/>
      <c r="UXM21" s="87"/>
      <c r="UXN21" s="87"/>
      <c r="UXO21" s="87"/>
      <c r="UXP21" s="87"/>
      <c r="UXQ21" s="87"/>
      <c r="UXR21" s="87"/>
      <c r="UXS21" s="87"/>
      <c r="UXT21" s="87"/>
      <c r="UXU21" s="87"/>
      <c r="UXV21" s="87"/>
      <c r="UXW21" s="87"/>
      <c r="UXX21" s="87"/>
      <c r="UXY21" s="87"/>
      <c r="UXZ21" s="87"/>
      <c r="UYA21" s="87"/>
      <c r="UYB21" s="87"/>
      <c r="UYC21" s="87"/>
      <c r="UYD21" s="87"/>
      <c r="UYE21" s="87"/>
      <c r="UYF21" s="87"/>
      <c r="UYG21" s="87"/>
      <c r="UYH21" s="87"/>
      <c r="UYI21" s="87"/>
      <c r="UYJ21" s="87"/>
      <c r="UYK21" s="87"/>
      <c r="UYL21" s="87"/>
      <c r="UYM21" s="87"/>
      <c r="UYN21" s="87"/>
      <c r="UYO21" s="87"/>
      <c r="UYP21" s="87"/>
      <c r="UYQ21" s="87"/>
      <c r="UYR21" s="87"/>
      <c r="UYS21" s="87"/>
      <c r="UYT21" s="87"/>
      <c r="UYU21" s="87"/>
      <c r="UYV21" s="87"/>
      <c r="UYW21" s="87"/>
      <c r="UYX21" s="87"/>
      <c r="UYY21" s="87"/>
      <c r="UYZ21" s="87"/>
      <c r="UZA21" s="87"/>
      <c r="UZB21" s="87"/>
      <c r="UZC21" s="87"/>
      <c r="UZD21" s="87"/>
      <c r="UZE21" s="87"/>
      <c r="UZF21" s="87"/>
      <c r="UZG21" s="87"/>
      <c r="UZH21" s="87"/>
      <c r="UZI21" s="87"/>
      <c r="UZJ21" s="87"/>
      <c r="UZK21" s="87"/>
      <c r="UZL21" s="87"/>
      <c r="UZM21" s="87"/>
      <c r="UZN21" s="87"/>
      <c r="UZO21" s="87"/>
      <c r="UZP21" s="87"/>
      <c r="UZQ21" s="87"/>
      <c r="UZR21" s="87"/>
      <c r="UZS21" s="87"/>
      <c r="UZT21" s="87"/>
      <c r="UZU21" s="87"/>
      <c r="UZV21" s="87"/>
      <c r="UZW21" s="87"/>
      <c r="UZX21" s="87"/>
      <c r="UZY21" s="87"/>
      <c r="UZZ21" s="87"/>
      <c r="VAA21" s="87"/>
      <c r="VAB21" s="87"/>
      <c r="VAC21" s="87"/>
      <c r="VAD21" s="87"/>
      <c r="VAE21" s="87"/>
      <c r="VAF21" s="87"/>
      <c r="VAG21" s="87"/>
      <c r="VAH21" s="87"/>
      <c r="VAI21" s="87"/>
      <c r="VAJ21" s="87"/>
      <c r="VAK21" s="87"/>
      <c r="VAL21" s="87"/>
      <c r="VAM21" s="87"/>
      <c r="VAN21" s="87"/>
      <c r="VAO21" s="87"/>
      <c r="VAP21" s="87"/>
      <c r="VAQ21" s="87"/>
      <c r="VAR21" s="87"/>
      <c r="VAS21" s="87"/>
      <c r="VAT21" s="87"/>
      <c r="VAU21" s="87"/>
      <c r="VAV21" s="87"/>
      <c r="VAW21" s="87"/>
      <c r="VAX21" s="87"/>
      <c r="VAY21" s="87"/>
      <c r="VAZ21" s="87"/>
      <c r="VBA21" s="87"/>
      <c r="VBB21" s="87"/>
      <c r="VBC21" s="87"/>
      <c r="VBD21" s="87"/>
      <c r="VBE21" s="87"/>
      <c r="VBF21" s="87"/>
      <c r="VBG21" s="87"/>
      <c r="VBH21" s="87"/>
      <c r="VBI21" s="87"/>
      <c r="VBJ21" s="87"/>
      <c r="VBK21" s="87"/>
      <c r="VBL21" s="87"/>
      <c r="VBM21" s="87"/>
      <c r="VBN21" s="87"/>
      <c r="VBO21" s="87"/>
      <c r="VBP21" s="87"/>
      <c r="VBQ21" s="87"/>
      <c r="VBR21" s="87"/>
      <c r="VBS21" s="87"/>
      <c r="VBT21" s="87"/>
      <c r="VBU21" s="87"/>
      <c r="VBV21" s="87"/>
      <c r="VBW21" s="87"/>
      <c r="VBX21" s="87"/>
      <c r="VBY21" s="87"/>
      <c r="VBZ21" s="87"/>
      <c r="VCA21" s="87"/>
      <c r="VCB21" s="87"/>
      <c r="VCC21" s="87"/>
      <c r="VCD21" s="87"/>
      <c r="VCE21" s="87"/>
      <c r="VCF21" s="87"/>
      <c r="VCG21" s="87"/>
      <c r="VCH21" s="87"/>
      <c r="VCI21" s="87"/>
      <c r="VCJ21" s="87"/>
      <c r="VCK21" s="87"/>
      <c r="VCL21" s="87"/>
      <c r="VCM21" s="87"/>
      <c r="VCN21" s="87"/>
      <c r="VCO21" s="87"/>
      <c r="VCP21" s="87"/>
      <c r="VCQ21" s="87"/>
      <c r="VCR21" s="87"/>
      <c r="VCS21" s="87"/>
      <c r="VCT21" s="87"/>
      <c r="VCU21" s="87"/>
      <c r="VCV21" s="87"/>
      <c r="VCW21" s="87"/>
      <c r="VCX21" s="87"/>
      <c r="VCY21" s="87"/>
      <c r="VCZ21" s="87"/>
      <c r="VDA21" s="87"/>
      <c r="VDB21" s="87"/>
      <c r="VDC21" s="87"/>
      <c r="VDD21" s="87"/>
      <c r="VDE21" s="87"/>
      <c r="VDF21" s="87"/>
      <c r="VDG21" s="87"/>
      <c r="VDH21" s="87"/>
      <c r="VDI21" s="87"/>
      <c r="VDJ21" s="87"/>
      <c r="VDK21" s="87"/>
      <c r="VDL21" s="87"/>
      <c r="VDM21" s="87"/>
      <c r="VDN21" s="87"/>
      <c r="VDO21" s="87"/>
      <c r="VDP21" s="87"/>
      <c r="VDQ21" s="87"/>
      <c r="VDR21" s="87"/>
      <c r="VDS21" s="87"/>
      <c r="VDT21" s="87"/>
      <c r="VDU21" s="87"/>
      <c r="VDV21" s="87"/>
      <c r="VDW21" s="87"/>
      <c r="VDX21" s="87"/>
      <c r="VDY21" s="87"/>
      <c r="VDZ21" s="87"/>
      <c r="VEA21" s="87"/>
      <c r="VEB21" s="87"/>
      <c r="VEC21" s="87"/>
      <c r="VED21" s="87"/>
      <c r="VEE21" s="87"/>
      <c r="VEF21" s="87"/>
      <c r="VEG21" s="87"/>
      <c r="VEH21" s="87"/>
      <c r="VEI21" s="87"/>
      <c r="VEJ21" s="87"/>
      <c r="VEK21" s="87"/>
      <c r="VEL21" s="87"/>
      <c r="VEM21" s="87"/>
      <c r="VEN21" s="87"/>
      <c r="VEO21" s="87"/>
      <c r="VEP21" s="87"/>
      <c r="VEQ21" s="87"/>
      <c r="VER21" s="87"/>
      <c r="VES21" s="87"/>
      <c r="VET21" s="87"/>
      <c r="VEU21" s="87"/>
      <c r="VEV21" s="87"/>
      <c r="VEW21" s="87"/>
      <c r="VEX21" s="87"/>
      <c r="VEY21" s="87"/>
      <c r="VEZ21" s="87"/>
      <c r="VFA21" s="87"/>
      <c r="VFB21" s="87"/>
      <c r="VFC21" s="87"/>
      <c r="VFD21" s="87"/>
      <c r="VFE21" s="87"/>
      <c r="VFF21" s="87"/>
      <c r="VFG21" s="87"/>
      <c r="VFH21" s="87"/>
      <c r="VFI21" s="87"/>
      <c r="VFJ21" s="87"/>
      <c r="VFK21" s="87"/>
      <c r="VFL21" s="87"/>
      <c r="VFM21" s="87"/>
      <c r="VFN21" s="87"/>
      <c r="VFO21" s="87"/>
      <c r="VFP21" s="87"/>
      <c r="VFQ21" s="87"/>
      <c r="VFR21" s="87"/>
      <c r="VFS21" s="87"/>
      <c r="VFT21" s="87"/>
      <c r="VFU21" s="87"/>
      <c r="VFV21" s="87"/>
      <c r="VFW21" s="87"/>
      <c r="VFX21" s="87"/>
      <c r="VFY21" s="87"/>
      <c r="VFZ21" s="87"/>
      <c r="VGA21" s="87"/>
      <c r="VGB21" s="87"/>
      <c r="VGC21" s="87"/>
      <c r="VGD21" s="87"/>
      <c r="VGE21" s="87"/>
      <c r="VGF21" s="87"/>
      <c r="VGG21" s="87"/>
      <c r="VGH21" s="87"/>
      <c r="VGI21" s="87"/>
      <c r="VGJ21" s="87"/>
      <c r="VGK21" s="87"/>
      <c r="VGL21" s="87"/>
      <c r="VGM21" s="87"/>
      <c r="VGN21" s="87"/>
      <c r="VGO21" s="87"/>
      <c r="VGP21" s="87"/>
      <c r="VGQ21" s="87"/>
      <c r="VGR21" s="87"/>
      <c r="VGS21" s="87"/>
      <c r="VGT21" s="87"/>
      <c r="VGU21" s="87"/>
      <c r="VGV21" s="87"/>
      <c r="VGW21" s="87"/>
      <c r="VGX21" s="87"/>
      <c r="VGY21" s="87"/>
      <c r="VGZ21" s="87"/>
      <c r="VHA21" s="87"/>
      <c r="VHB21" s="87"/>
      <c r="VHC21" s="87"/>
      <c r="VHD21" s="87"/>
      <c r="VHE21" s="87"/>
      <c r="VHF21" s="87"/>
      <c r="VHG21" s="87"/>
      <c r="VHH21" s="87"/>
      <c r="VHI21" s="87"/>
      <c r="VHJ21" s="87"/>
      <c r="VHK21" s="87"/>
      <c r="VHL21" s="87"/>
      <c r="VHM21" s="87"/>
      <c r="VHN21" s="87"/>
      <c r="VHO21" s="87"/>
      <c r="VHP21" s="87"/>
      <c r="VHQ21" s="87"/>
      <c r="VHR21" s="87"/>
      <c r="VHS21" s="87"/>
      <c r="VHT21" s="87"/>
      <c r="VHU21" s="87"/>
      <c r="VHV21" s="87"/>
      <c r="VHW21" s="87"/>
      <c r="VHX21" s="87"/>
      <c r="VHY21" s="87"/>
      <c r="VHZ21" s="87"/>
      <c r="VIA21" s="87"/>
      <c r="VIB21" s="87"/>
      <c r="VIC21" s="87"/>
      <c r="VID21" s="87"/>
      <c r="VIE21" s="87"/>
      <c r="VIF21" s="87"/>
      <c r="VIG21" s="87"/>
      <c r="VIH21" s="87"/>
      <c r="VII21" s="87"/>
      <c r="VIJ21" s="87"/>
      <c r="VIK21" s="87"/>
      <c r="VIL21" s="87"/>
      <c r="VIM21" s="87"/>
      <c r="VIN21" s="87"/>
      <c r="VIO21" s="87"/>
      <c r="VIP21" s="87"/>
      <c r="VIQ21" s="87"/>
      <c r="VIR21" s="87"/>
      <c r="VIS21" s="87"/>
      <c r="VIT21" s="87"/>
      <c r="VIU21" s="87"/>
      <c r="VIV21" s="87"/>
      <c r="VIW21" s="87"/>
      <c r="VIX21" s="87"/>
      <c r="VIY21" s="87"/>
      <c r="VIZ21" s="87"/>
      <c r="VJA21" s="87"/>
      <c r="VJB21" s="87"/>
      <c r="VJC21" s="87"/>
      <c r="VJD21" s="87"/>
      <c r="VJE21" s="87"/>
      <c r="VJF21" s="87"/>
      <c r="VJG21" s="87"/>
      <c r="VJH21" s="87"/>
      <c r="VJI21" s="87"/>
      <c r="VJJ21" s="87"/>
      <c r="VJK21" s="87"/>
      <c r="VJL21" s="87"/>
      <c r="VJM21" s="87"/>
      <c r="VJN21" s="87"/>
      <c r="VJO21" s="87"/>
      <c r="VJP21" s="87"/>
      <c r="VJQ21" s="87"/>
      <c r="VJR21" s="87"/>
      <c r="VJS21" s="87"/>
      <c r="VJT21" s="87"/>
      <c r="VJU21" s="87"/>
      <c r="VJV21" s="87"/>
      <c r="VJW21" s="87"/>
      <c r="VJX21" s="87"/>
      <c r="VJY21" s="87"/>
      <c r="VJZ21" s="87"/>
      <c r="VKA21" s="87"/>
      <c r="VKB21" s="87"/>
      <c r="VKC21" s="87"/>
      <c r="VKD21" s="87"/>
      <c r="VKE21" s="87"/>
      <c r="VKF21" s="87"/>
      <c r="VKG21" s="87"/>
      <c r="VKH21" s="87"/>
      <c r="VKI21" s="87"/>
      <c r="VKJ21" s="87"/>
      <c r="VKK21" s="87"/>
      <c r="VKL21" s="87"/>
      <c r="VKM21" s="87"/>
      <c r="VKN21" s="87"/>
      <c r="VKO21" s="87"/>
      <c r="VKP21" s="87"/>
      <c r="VKQ21" s="87"/>
      <c r="VKR21" s="87"/>
      <c r="VKS21" s="87"/>
      <c r="VKT21" s="87"/>
      <c r="VKU21" s="87"/>
      <c r="VKV21" s="87"/>
      <c r="VKW21" s="87"/>
      <c r="VKX21" s="87"/>
      <c r="VKY21" s="87"/>
      <c r="VKZ21" s="87"/>
      <c r="VLA21" s="87"/>
      <c r="VLB21" s="87"/>
      <c r="VLC21" s="87"/>
      <c r="VLD21" s="87"/>
      <c r="VLE21" s="87"/>
      <c r="VLF21" s="87"/>
      <c r="VLG21" s="87"/>
      <c r="VLH21" s="87"/>
      <c r="VLI21" s="87"/>
      <c r="VLJ21" s="87"/>
      <c r="VLK21" s="87"/>
      <c r="VLL21" s="87"/>
      <c r="VLM21" s="87"/>
      <c r="VLN21" s="87"/>
      <c r="VLO21" s="87"/>
      <c r="VLP21" s="87"/>
      <c r="VLQ21" s="87"/>
      <c r="VLR21" s="87"/>
      <c r="VLS21" s="87"/>
      <c r="VLT21" s="87"/>
      <c r="VLU21" s="87"/>
      <c r="VLV21" s="87"/>
      <c r="VLW21" s="87"/>
      <c r="VLX21" s="87"/>
      <c r="VLY21" s="87"/>
      <c r="VLZ21" s="87"/>
      <c r="VMA21" s="87"/>
      <c r="VMB21" s="87"/>
      <c r="VMC21" s="87"/>
      <c r="VMD21" s="87"/>
      <c r="VME21" s="87"/>
      <c r="VMF21" s="87"/>
      <c r="VMG21" s="87"/>
      <c r="VMH21" s="87"/>
      <c r="VMI21" s="87"/>
      <c r="VMJ21" s="87"/>
      <c r="VMK21" s="87"/>
      <c r="VML21" s="87"/>
      <c r="VMM21" s="87"/>
      <c r="VMN21" s="87"/>
      <c r="VMO21" s="87"/>
      <c r="VMP21" s="87"/>
      <c r="VMQ21" s="87"/>
      <c r="VMR21" s="87"/>
      <c r="VMS21" s="87"/>
      <c r="VMT21" s="87"/>
      <c r="VMU21" s="87"/>
      <c r="VMV21" s="87"/>
      <c r="VMW21" s="87"/>
      <c r="VMX21" s="87"/>
      <c r="VMY21" s="87"/>
      <c r="VMZ21" s="87"/>
      <c r="VNA21" s="87"/>
      <c r="VNB21" s="87"/>
      <c r="VNC21" s="87"/>
      <c r="VND21" s="87"/>
      <c r="VNE21" s="87"/>
      <c r="VNF21" s="87"/>
      <c r="VNG21" s="87"/>
      <c r="VNH21" s="87"/>
      <c r="VNI21" s="87"/>
      <c r="VNJ21" s="87"/>
      <c r="VNK21" s="87"/>
      <c r="VNL21" s="87"/>
      <c r="VNM21" s="87"/>
      <c r="VNN21" s="87"/>
      <c r="VNO21" s="87"/>
      <c r="VNP21" s="87"/>
      <c r="VNQ21" s="87"/>
      <c r="VNR21" s="87"/>
      <c r="VNS21" s="87"/>
      <c r="VNT21" s="87"/>
      <c r="VNU21" s="87"/>
      <c r="VNV21" s="87"/>
      <c r="VNW21" s="87"/>
      <c r="VNX21" s="87"/>
      <c r="VNY21" s="87"/>
      <c r="VNZ21" s="87"/>
      <c r="VOA21" s="87"/>
      <c r="VOB21" s="87"/>
      <c r="VOC21" s="87"/>
      <c r="VOD21" s="87"/>
      <c r="VOE21" s="87"/>
      <c r="VOF21" s="87"/>
      <c r="VOG21" s="87"/>
      <c r="VOH21" s="87"/>
      <c r="VOI21" s="87"/>
      <c r="VOJ21" s="87"/>
      <c r="VOK21" s="87"/>
      <c r="VOL21" s="87"/>
      <c r="VOM21" s="87"/>
      <c r="VON21" s="87"/>
      <c r="VOO21" s="87"/>
      <c r="VOP21" s="87"/>
      <c r="VOQ21" s="87"/>
      <c r="VOR21" s="87"/>
      <c r="VOS21" s="87"/>
      <c r="VOT21" s="87"/>
      <c r="VOU21" s="87"/>
      <c r="VOV21" s="87"/>
      <c r="VOW21" s="87"/>
      <c r="VOX21" s="87"/>
      <c r="VOY21" s="87"/>
      <c r="VOZ21" s="87"/>
      <c r="VPA21" s="87"/>
      <c r="VPB21" s="87"/>
      <c r="VPC21" s="87"/>
      <c r="VPD21" s="87"/>
      <c r="VPE21" s="87"/>
      <c r="VPF21" s="87"/>
      <c r="VPG21" s="87"/>
      <c r="VPH21" s="87"/>
      <c r="VPI21" s="87"/>
      <c r="VPJ21" s="87"/>
      <c r="VPK21" s="87"/>
      <c r="VPL21" s="87"/>
      <c r="VPM21" s="87"/>
      <c r="VPN21" s="87"/>
      <c r="VPO21" s="87"/>
      <c r="VPP21" s="87"/>
      <c r="VPQ21" s="87"/>
      <c r="VPR21" s="87"/>
      <c r="VPS21" s="87"/>
      <c r="VPT21" s="87"/>
      <c r="VPU21" s="87"/>
      <c r="VPV21" s="87"/>
      <c r="VPW21" s="87"/>
      <c r="VPX21" s="87"/>
      <c r="VPY21" s="87"/>
      <c r="VPZ21" s="87"/>
      <c r="VQA21" s="87"/>
      <c r="VQB21" s="87"/>
      <c r="VQC21" s="87"/>
      <c r="VQD21" s="87"/>
      <c r="VQE21" s="87"/>
      <c r="VQF21" s="87"/>
      <c r="VQG21" s="87"/>
      <c r="VQH21" s="87"/>
      <c r="VQI21" s="87"/>
      <c r="VQJ21" s="87"/>
      <c r="VQK21" s="87"/>
      <c r="VQL21" s="87"/>
      <c r="VQM21" s="87"/>
      <c r="VQN21" s="87"/>
      <c r="VQO21" s="87"/>
      <c r="VQP21" s="87"/>
      <c r="VQQ21" s="87"/>
      <c r="VQR21" s="87"/>
      <c r="VQS21" s="87"/>
      <c r="VQT21" s="87"/>
      <c r="VQU21" s="87"/>
      <c r="VQV21" s="87"/>
      <c r="VQW21" s="87"/>
      <c r="VQX21" s="87"/>
      <c r="VQY21" s="87"/>
      <c r="VQZ21" s="87"/>
      <c r="VRA21" s="87"/>
      <c r="VRB21" s="87"/>
      <c r="VRC21" s="87"/>
      <c r="VRD21" s="87"/>
      <c r="VRE21" s="87"/>
      <c r="VRF21" s="87"/>
      <c r="VRG21" s="87"/>
      <c r="VRH21" s="87"/>
      <c r="VRI21" s="87"/>
      <c r="VRJ21" s="87"/>
      <c r="VRK21" s="87"/>
      <c r="VRL21" s="87"/>
      <c r="VRM21" s="87"/>
      <c r="VRN21" s="87"/>
      <c r="VRO21" s="87"/>
      <c r="VRP21" s="87"/>
      <c r="VRQ21" s="87"/>
      <c r="VRR21" s="87"/>
      <c r="VRS21" s="87"/>
      <c r="VRT21" s="87"/>
      <c r="VRU21" s="87"/>
      <c r="VRV21" s="87"/>
      <c r="VRW21" s="87"/>
      <c r="VRX21" s="87"/>
      <c r="VRY21" s="87"/>
      <c r="VRZ21" s="87"/>
      <c r="VSA21" s="87"/>
      <c r="VSB21" s="87"/>
      <c r="VSC21" s="87"/>
      <c r="VSD21" s="87"/>
      <c r="VSE21" s="87"/>
      <c r="VSF21" s="87"/>
      <c r="VSG21" s="87"/>
      <c r="VSH21" s="87"/>
      <c r="VSI21" s="87"/>
      <c r="VSJ21" s="87"/>
      <c r="VSK21" s="87"/>
      <c r="VSL21" s="87"/>
      <c r="VSM21" s="87"/>
      <c r="VSN21" s="87"/>
      <c r="VSO21" s="87"/>
      <c r="VSP21" s="87"/>
      <c r="VSQ21" s="87"/>
      <c r="VSR21" s="87"/>
      <c r="VSS21" s="87"/>
      <c r="VST21" s="87"/>
      <c r="VSU21" s="87"/>
      <c r="VSV21" s="87"/>
      <c r="VSW21" s="87"/>
      <c r="VSX21" s="87"/>
      <c r="VSY21" s="87"/>
      <c r="VSZ21" s="87"/>
      <c r="VTA21" s="87"/>
      <c r="VTB21" s="87"/>
      <c r="VTC21" s="87"/>
      <c r="VTD21" s="87"/>
      <c r="VTE21" s="87"/>
      <c r="VTF21" s="87"/>
      <c r="VTG21" s="87"/>
      <c r="VTH21" s="87"/>
      <c r="VTI21" s="87"/>
      <c r="VTJ21" s="87"/>
      <c r="VTK21" s="87"/>
      <c r="VTL21" s="87"/>
      <c r="VTM21" s="87"/>
      <c r="VTN21" s="87"/>
      <c r="VTO21" s="87"/>
      <c r="VTP21" s="87"/>
      <c r="VTQ21" s="87"/>
      <c r="VTR21" s="87"/>
      <c r="VTS21" s="87"/>
      <c r="VTT21" s="87"/>
      <c r="VTU21" s="87"/>
      <c r="VTV21" s="87"/>
      <c r="VTW21" s="87"/>
      <c r="VTX21" s="87"/>
      <c r="VTY21" s="87"/>
      <c r="VTZ21" s="87"/>
      <c r="VUA21" s="87"/>
      <c r="VUB21" s="87"/>
      <c r="VUC21" s="87"/>
      <c r="VUD21" s="87"/>
      <c r="VUE21" s="87"/>
      <c r="VUF21" s="87"/>
      <c r="VUG21" s="87"/>
      <c r="VUH21" s="87"/>
      <c r="VUI21" s="87"/>
      <c r="VUJ21" s="87"/>
      <c r="VUK21" s="87"/>
      <c r="VUL21" s="87"/>
      <c r="VUM21" s="87"/>
      <c r="VUN21" s="87"/>
      <c r="VUO21" s="87"/>
      <c r="VUP21" s="87"/>
      <c r="VUQ21" s="87"/>
      <c r="VUR21" s="87"/>
      <c r="VUS21" s="87"/>
      <c r="VUT21" s="87"/>
      <c r="VUU21" s="87"/>
      <c r="VUV21" s="87"/>
      <c r="VUW21" s="87"/>
      <c r="VUX21" s="87"/>
      <c r="VUY21" s="87"/>
      <c r="VUZ21" s="87"/>
      <c r="VVA21" s="87"/>
      <c r="VVB21" s="87"/>
      <c r="VVC21" s="87"/>
      <c r="VVD21" s="87"/>
      <c r="VVE21" s="87"/>
      <c r="VVF21" s="87"/>
      <c r="VVG21" s="87"/>
      <c r="VVH21" s="87"/>
      <c r="VVI21" s="87"/>
      <c r="VVJ21" s="87"/>
      <c r="VVK21" s="87"/>
      <c r="VVL21" s="87"/>
      <c r="VVM21" s="87"/>
      <c r="VVN21" s="87"/>
      <c r="VVO21" s="87"/>
      <c r="VVP21" s="87"/>
      <c r="VVQ21" s="87"/>
      <c r="VVR21" s="87"/>
      <c r="VVS21" s="87"/>
      <c r="VVT21" s="87"/>
      <c r="VVU21" s="87"/>
      <c r="VVV21" s="87"/>
      <c r="VVW21" s="87"/>
      <c r="VVX21" s="87"/>
      <c r="VVY21" s="87"/>
      <c r="VVZ21" s="87"/>
      <c r="VWA21" s="87"/>
      <c r="VWB21" s="87"/>
      <c r="VWC21" s="87"/>
      <c r="VWD21" s="87"/>
      <c r="VWE21" s="87"/>
      <c r="VWF21" s="87"/>
      <c r="VWG21" s="87"/>
      <c r="VWH21" s="87"/>
      <c r="VWI21" s="87"/>
      <c r="VWJ21" s="87"/>
      <c r="VWK21" s="87"/>
      <c r="VWL21" s="87"/>
      <c r="VWM21" s="87"/>
      <c r="VWN21" s="87"/>
      <c r="VWO21" s="87"/>
      <c r="VWP21" s="87"/>
      <c r="VWQ21" s="87"/>
      <c r="VWR21" s="87"/>
      <c r="VWS21" s="87"/>
      <c r="VWT21" s="87"/>
      <c r="VWU21" s="87"/>
      <c r="VWV21" s="87"/>
      <c r="VWW21" s="87"/>
      <c r="VWX21" s="87"/>
      <c r="VWY21" s="87"/>
      <c r="VWZ21" s="87"/>
      <c r="VXA21" s="87"/>
      <c r="VXB21" s="87"/>
      <c r="VXC21" s="87"/>
      <c r="VXD21" s="87"/>
      <c r="VXE21" s="87"/>
      <c r="VXF21" s="87"/>
      <c r="VXG21" s="87"/>
      <c r="VXH21" s="87"/>
      <c r="VXI21" s="87"/>
      <c r="VXJ21" s="87"/>
      <c r="VXK21" s="87"/>
      <c r="VXL21" s="87"/>
      <c r="VXM21" s="87"/>
      <c r="VXN21" s="87"/>
      <c r="VXO21" s="87"/>
      <c r="VXP21" s="87"/>
      <c r="VXQ21" s="87"/>
      <c r="VXR21" s="87"/>
      <c r="VXS21" s="87"/>
      <c r="VXT21" s="87"/>
      <c r="VXU21" s="87"/>
      <c r="VXV21" s="87"/>
      <c r="VXW21" s="87"/>
      <c r="VXX21" s="87"/>
      <c r="VXY21" s="87"/>
      <c r="VXZ21" s="87"/>
      <c r="VYA21" s="87"/>
      <c r="VYB21" s="87"/>
      <c r="VYC21" s="87"/>
      <c r="VYD21" s="87"/>
      <c r="VYE21" s="87"/>
      <c r="VYF21" s="87"/>
      <c r="VYG21" s="87"/>
      <c r="VYH21" s="87"/>
      <c r="VYI21" s="87"/>
      <c r="VYJ21" s="87"/>
      <c r="VYK21" s="87"/>
      <c r="VYL21" s="87"/>
      <c r="VYM21" s="87"/>
      <c r="VYN21" s="87"/>
      <c r="VYO21" s="87"/>
      <c r="VYP21" s="87"/>
      <c r="VYQ21" s="87"/>
      <c r="VYR21" s="87"/>
      <c r="VYS21" s="87"/>
      <c r="VYT21" s="87"/>
      <c r="VYU21" s="87"/>
      <c r="VYV21" s="87"/>
      <c r="VYW21" s="87"/>
      <c r="VYX21" s="87"/>
      <c r="VYY21" s="87"/>
      <c r="VYZ21" s="87"/>
      <c r="VZA21" s="87"/>
      <c r="VZB21" s="87"/>
      <c r="VZC21" s="87"/>
      <c r="VZD21" s="87"/>
      <c r="VZE21" s="87"/>
      <c r="VZF21" s="87"/>
      <c r="VZG21" s="87"/>
      <c r="VZH21" s="87"/>
      <c r="VZI21" s="87"/>
      <c r="VZJ21" s="87"/>
      <c r="VZK21" s="87"/>
      <c r="VZL21" s="87"/>
      <c r="VZM21" s="87"/>
      <c r="VZN21" s="87"/>
      <c r="VZO21" s="87"/>
      <c r="VZP21" s="87"/>
      <c r="VZQ21" s="87"/>
      <c r="VZR21" s="87"/>
      <c r="VZS21" s="87"/>
      <c r="VZT21" s="87"/>
      <c r="VZU21" s="87"/>
      <c r="VZV21" s="87"/>
      <c r="VZW21" s="87"/>
      <c r="VZX21" s="87"/>
      <c r="VZY21" s="87"/>
      <c r="VZZ21" s="87"/>
      <c r="WAA21" s="87"/>
      <c r="WAB21" s="87"/>
      <c r="WAC21" s="87"/>
      <c r="WAD21" s="87"/>
      <c r="WAE21" s="87"/>
      <c r="WAF21" s="87"/>
      <c r="WAG21" s="87"/>
      <c r="WAH21" s="87"/>
      <c r="WAI21" s="87"/>
      <c r="WAJ21" s="87"/>
      <c r="WAK21" s="87"/>
      <c r="WAL21" s="87"/>
      <c r="WAM21" s="87"/>
      <c r="WAN21" s="87"/>
      <c r="WAO21" s="87"/>
      <c r="WAP21" s="87"/>
      <c r="WAQ21" s="87"/>
      <c r="WAR21" s="87"/>
      <c r="WAS21" s="87"/>
      <c r="WAT21" s="87"/>
      <c r="WAU21" s="87"/>
      <c r="WAV21" s="87"/>
      <c r="WAW21" s="87"/>
      <c r="WAX21" s="87"/>
      <c r="WAY21" s="87"/>
      <c r="WAZ21" s="87"/>
      <c r="WBA21" s="87"/>
      <c r="WBB21" s="87"/>
      <c r="WBC21" s="87"/>
      <c r="WBD21" s="87"/>
      <c r="WBE21" s="87"/>
      <c r="WBF21" s="87"/>
      <c r="WBG21" s="87"/>
      <c r="WBH21" s="87"/>
      <c r="WBI21" s="87"/>
      <c r="WBJ21" s="87"/>
      <c r="WBK21" s="87"/>
      <c r="WBL21" s="87"/>
      <c r="WBM21" s="87"/>
      <c r="WBN21" s="87"/>
      <c r="WBO21" s="87"/>
      <c r="WBP21" s="87"/>
      <c r="WBQ21" s="87"/>
      <c r="WBR21" s="87"/>
      <c r="WBS21" s="87"/>
      <c r="WBT21" s="87"/>
      <c r="WBU21" s="87"/>
      <c r="WBV21" s="87"/>
      <c r="WBW21" s="87"/>
      <c r="WBX21" s="87"/>
      <c r="WBY21" s="87"/>
      <c r="WBZ21" s="87"/>
      <c r="WCA21" s="87"/>
      <c r="WCB21" s="87"/>
      <c r="WCC21" s="87"/>
      <c r="WCD21" s="87"/>
      <c r="WCE21" s="87"/>
      <c r="WCF21" s="87"/>
      <c r="WCG21" s="87"/>
      <c r="WCH21" s="87"/>
      <c r="WCI21" s="87"/>
      <c r="WCJ21" s="87"/>
      <c r="WCK21" s="87"/>
      <c r="WCL21" s="87"/>
      <c r="WCM21" s="87"/>
      <c r="WCN21" s="87"/>
      <c r="WCO21" s="87"/>
      <c r="WCP21" s="87"/>
      <c r="WCQ21" s="87"/>
      <c r="WCR21" s="87"/>
      <c r="WCS21" s="87"/>
      <c r="WCT21" s="87"/>
      <c r="WCU21" s="87"/>
      <c r="WCV21" s="87"/>
      <c r="WCW21" s="87"/>
      <c r="WCX21" s="87"/>
      <c r="WCY21" s="87"/>
      <c r="WCZ21" s="87"/>
      <c r="WDA21" s="87"/>
      <c r="WDB21" s="87"/>
      <c r="WDC21" s="87"/>
      <c r="WDD21" s="87"/>
      <c r="WDE21" s="87"/>
      <c r="WDF21" s="87"/>
      <c r="WDG21" s="87"/>
      <c r="WDH21" s="87"/>
      <c r="WDI21" s="87"/>
      <c r="WDJ21" s="87"/>
      <c r="WDK21" s="87"/>
      <c r="WDL21" s="87"/>
      <c r="WDM21" s="87"/>
      <c r="WDN21" s="87"/>
      <c r="WDO21" s="87"/>
      <c r="WDP21" s="87"/>
      <c r="WDQ21" s="87"/>
      <c r="WDR21" s="87"/>
      <c r="WDS21" s="87"/>
      <c r="WDT21" s="87"/>
      <c r="WDU21" s="87"/>
      <c r="WDV21" s="87"/>
      <c r="WDW21" s="87"/>
      <c r="WDX21" s="87"/>
      <c r="WDY21" s="87"/>
      <c r="WDZ21" s="87"/>
      <c r="WEA21" s="87"/>
      <c r="WEB21" s="87"/>
      <c r="WEC21" s="87"/>
      <c r="WED21" s="87"/>
      <c r="WEE21" s="87"/>
      <c r="WEF21" s="87"/>
      <c r="WEG21" s="87"/>
      <c r="WEH21" s="87"/>
      <c r="WEI21" s="87"/>
      <c r="WEJ21" s="87"/>
      <c r="WEK21" s="87"/>
      <c r="WEL21" s="87"/>
      <c r="WEM21" s="87"/>
      <c r="WEN21" s="87"/>
      <c r="WEO21" s="87"/>
      <c r="WEP21" s="87"/>
      <c r="WEQ21" s="87"/>
      <c r="WER21" s="87"/>
      <c r="WES21" s="87"/>
      <c r="WET21" s="87"/>
      <c r="WEU21" s="87"/>
      <c r="WEV21" s="87"/>
      <c r="WEW21" s="87"/>
      <c r="WEX21" s="87"/>
      <c r="WEY21" s="87"/>
      <c r="WEZ21" s="87"/>
      <c r="WFA21" s="87"/>
      <c r="WFB21" s="87"/>
      <c r="WFC21" s="87"/>
      <c r="WFD21" s="87"/>
      <c r="WFE21" s="87"/>
      <c r="WFF21" s="87"/>
      <c r="WFG21" s="87"/>
      <c r="WFH21" s="87"/>
      <c r="WFI21" s="87"/>
      <c r="WFJ21" s="87"/>
      <c r="WFK21" s="87"/>
      <c r="WFL21" s="87"/>
      <c r="WFM21" s="87"/>
      <c r="WFN21" s="87"/>
      <c r="WFO21" s="87"/>
      <c r="WFP21" s="87"/>
      <c r="WFQ21" s="87"/>
      <c r="WFR21" s="87"/>
      <c r="WFS21" s="87"/>
      <c r="WFT21" s="87"/>
      <c r="WFU21" s="87"/>
      <c r="WFV21" s="87"/>
      <c r="WFW21" s="87"/>
      <c r="WFX21" s="87"/>
      <c r="WFY21" s="87"/>
      <c r="WFZ21" s="87"/>
      <c r="WGA21" s="87"/>
      <c r="WGB21" s="87"/>
      <c r="WGC21" s="87"/>
      <c r="WGD21" s="87"/>
      <c r="WGE21" s="87"/>
      <c r="WGF21" s="87"/>
      <c r="WGG21" s="87"/>
      <c r="WGH21" s="87"/>
      <c r="WGI21" s="87"/>
      <c r="WGJ21" s="87"/>
      <c r="WGK21" s="87"/>
      <c r="WGL21" s="87"/>
      <c r="WGM21" s="87"/>
      <c r="WGN21" s="87"/>
      <c r="WGO21" s="87"/>
      <c r="WGP21" s="87"/>
      <c r="WGQ21" s="87"/>
      <c r="WGR21" s="87"/>
      <c r="WGS21" s="87"/>
      <c r="WGT21" s="87"/>
      <c r="WGU21" s="87"/>
      <c r="WGV21" s="87"/>
      <c r="WGW21" s="87"/>
      <c r="WGX21" s="87"/>
      <c r="WGY21" s="87"/>
      <c r="WGZ21" s="87"/>
      <c r="WHA21" s="87"/>
      <c r="WHB21" s="87"/>
      <c r="WHC21" s="87"/>
      <c r="WHD21" s="87"/>
      <c r="WHE21" s="87"/>
      <c r="WHF21" s="87"/>
      <c r="WHG21" s="87"/>
      <c r="WHH21" s="87"/>
      <c r="WHI21" s="87"/>
      <c r="WHJ21" s="87"/>
      <c r="WHK21" s="87"/>
      <c r="WHL21" s="87"/>
      <c r="WHM21" s="87"/>
      <c r="WHN21" s="87"/>
      <c r="WHO21" s="87"/>
      <c r="WHP21" s="87"/>
      <c r="WHQ21" s="87"/>
      <c r="WHR21" s="87"/>
      <c r="WHS21" s="87"/>
      <c r="WHT21" s="87"/>
      <c r="WHU21" s="87"/>
      <c r="WHV21" s="87"/>
      <c r="WHW21" s="87"/>
      <c r="WHX21" s="87"/>
      <c r="WHY21" s="87"/>
      <c r="WHZ21" s="87"/>
      <c r="WIA21" s="87"/>
      <c r="WIB21" s="87"/>
      <c r="WIC21" s="87"/>
      <c r="WID21" s="87"/>
      <c r="WIE21" s="87"/>
      <c r="WIF21" s="87"/>
      <c r="WIG21" s="87"/>
      <c r="WIH21" s="87"/>
      <c r="WII21" s="87"/>
      <c r="WIJ21" s="87"/>
      <c r="WIK21" s="87"/>
      <c r="WIL21" s="87"/>
      <c r="WIM21" s="87"/>
      <c r="WIN21" s="87"/>
      <c r="WIO21" s="87"/>
      <c r="WIP21" s="87"/>
      <c r="WIQ21" s="87"/>
      <c r="WIR21" s="87"/>
      <c r="WIS21" s="87"/>
      <c r="WIT21" s="87"/>
      <c r="WIU21" s="87"/>
      <c r="WIV21" s="87"/>
      <c r="WIW21" s="87"/>
      <c r="WIX21" s="87"/>
      <c r="WIY21" s="87"/>
      <c r="WIZ21" s="87"/>
      <c r="WJA21" s="87"/>
      <c r="WJB21" s="87"/>
      <c r="WJC21" s="87"/>
      <c r="WJD21" s="87"/>
      <c r="WJE21" s="87"/>
      <c r="WJF21" s="87"/>
      <c r="WJG21" s="87"/>
      <c r="WJH21" s="87"/>
      <c r="WJI21" s="87"/>
      <c r="WJJ21" s="87"/>
      <c r="WJK21" s="87"/>
      <c r="WJL21" s="87"/>
      <c r="WJM21" s="87"/>
      <c r="WJN21" s="87"/>
      <c r="WJO21" s="87"/>
      <c r="WJP21" s="87"/>
      <c r="WJQ21" s="87"/>
      <c r="WJR21" s="87"/>
      <c r="WJS21" s="87"/>
      <c r="WJT21" s="87"/>
      <c r="WJU21" s="87"/>
      <c r="WJV21" s="87"/>
      <c r="WJW21" s="87"/>
      <c r="WJX21" s="87"/>
      <c r="WJY21" s="87"/>
      <c r="WJZ21" s="87"/>
      <c r="WKA21" s="87"/>
      <c r="WKB21" s="87"/>
      <c r="WKC21" s="87"/>
      <c r="WKD21" s="87"/>
      <c r="WKE21" s="87"/>
      <c r="WKF21" s="87"/>
      <c r="WKG21" s="87"/>
      <c r="WKH21" s="87"/>
      <c r="WKI21" s="87"/>
      <c r="WKJ21" s="87"/>
      <c r="WKK21" s="87"/>
      <c r="WKL21" s="87"/>
      <c r="WKM21" s="87"/>
      <c r="WKN21" s="87"/>
      <c r="WKO21" s="87"/>
      <c r="WKP21" s="87"/>
      <c r="WKQ21" s="87"/>
      <c r="WKR21" s="87"/>
      <c r="WKS21" s="87"/>
      <c r="WKT21" s="87"/>
      <c r="WKU21" s="87"/>
      <c r="WKV21" s="87"/>
      <c r="WKW21" s="87"/>
      <c r="WKX21" s="87"/>
      <c r="WKY21" s="87"/>
      <c r="WKZ21" s="87"/>
      <c r="WLA21" s="87"/>
      <c r="WLB21" s="87"/>
      <c r="WLC21" s="87"/>
      <c r="WLD21" s="87"/>
      <c r="WLE21" s="87"/>
      <c r="WLF21" s="87"/>
      <c r="WLG21" s="87"/>
      <c r="WLH21" s="87"/>
      <c r="WLI21" s="87"/>
      <c r="WLJ21" s="87"/>
      <c r="WLK21" s="87"/>
      <c r="WLL21" s="87"/>
      <c r="WLM21" s="87"/>
      <c r="WLN21" s="87"/>
      <c r="WLO21" s="87"/>
      <c r="WLP21" s="87"/>
      <c r="WLQ21" s="87"/>
      <c r="WLR21" s="87"/>
      <c r="WLS21" s="87"/>
      <c r="WLT21" s="87"/>
      <c r="WLU21" s="87"/>
      <c r="WLV21" s="87"/>
      <c r="WLW21" s="87"/>
      <c r="WLX21" s="87"/>
      <c r="WLY21" s="87"/>
      <c r="WLZ21" s="87"/>
      <c r="WMA21" s="87"/>
      <c r="WMB21" s="87"/>
      <c r="WMC21" s="87"/>
      <c r="WMD21" s="87"/>
      <c r="WME21" s="87"/>
      <c r="WMF21" s="87"/>
      <c r="WMG21" s="87"/>
      <c r="WMH21" s="87"/>
      <c r="WMI21" s="87"/>
      <c r="WMJ21" s="87"/>
      <c r="WMK21" s="87"/>
      <c r="WML21" s="87"/>
      <c r="WMM21" s="87"/>
      <c r="WMN21" s="87"/>
      <c r="WMO21" s="87"/>
      <c r="WMP21" s="87"/>
      <c r="WMQ21" s="87"/>
      <c r="WMR21" s="87"/>
      <c r="WMS21" s="87"/>
      <c r="WMT21" s="87"/>
      <c r="WMU21" s="87"/>
      <c r="WMV21" s="87"/>
      <c r="WMW21" s="87"/>
      <c r="WMX21" s="87"/>
      <c r="WMY21" s="87"/>
      <c r="WMZ21" s="87"/>
      <c r="WNA21" s="87"/>
      <c r="WNB21" s="87"/>
      <c r="WNC21" s="87"/>
      <c r="WND21" s="87"/>
      <c r="WNE21" s="87"/>
      <c r="WNF21" s="87"/>
      <c r="WNG21" s="87"/>
      <c r="WNH21" s="87"/>
      <c r="WNI21" s="87"/>
      <c r="WNJ21" s="87"/>
      <c r="WNK21" s="87"/>
      <c r="WNL21" s="87"/>
      <c r="WNM21" s="87"/>
      <c r="WNN21" s="87"/>
      <c r="WNO21" s="87"/>
      <c r="WNP21" s="87"/>
      <c r="WNQ21" s="87"/>
      <c r="WNR21" s="87"/>
      <c r="WNS21" s="87"/>
      <c r="WNT21" s="87"/>
      <c r="WNU21" s="87"/>
      <c r="WNV21" s="87"/>
      <c r="WNW21" s="87"/>
      <c r="WNX21" s="87"/>
      <c r="WNY21" s="87"/>
      <c r="WNZ21" s="87"/>
      <c r="WOA21" s="87"/>
      <c r="WOB21" s="87"/>
      <c r="WOC21" s="87"/>
      <c r="WOD21" s="87"/>
      <c r="WOE21" s="87"/>
      <c r="WOF21" s="87"/>
      <c r="WOG21" s="87"/>
      <c r="WOH21" s="87"/>
      <c r="WOI21" s="87"/>
      <c r="WOJ21" s="87"/>
      <c r="WOK21" s="87"/>
      <c r="WOL21" s="87"/>
      <c r="WOM21" s="87"/>
      <c r="WON21" s="87"/>
      <c r="WOO21" s="87"/>
      <c r="WOP21" s="87"/>
      <c r="WOQ21" s="87"/>
      <c r="WOR21" s="87"/>
      <c r="WOS21" s="87"/>
      <c r="WOT21" s="87"/>
      <c r="WOU21" s="87"/>
      <c r="WOV21" s="87"/>
      <c r="WOW21" s="87"/>
      <c r="WOX21" s="87"/>
      <c r="WOY21" s="87"/>
      <c r="WOZ21" s="87"/>
      <c r="WPA21" s="87"/>
      <c r="WPB21" s="87"/>
      <c r="WPC21" s="87"/>
      <c r="WPD21" s="87"/>
      <c r="WPE21" s="87"/>
      <c r="WPF21" s="87"/>
      <c r="WPG21" s="87"/>
      <c r="WPH21" s="87"/>
      <c r="WPI21" s="87"/>
      <c r="WPJ21" s="87"/>
      <c r="WPK21" s="87"/>
      <c r="WPL21" s="87"/>
      <c r="WPM21" s="87"/>
      <c r="WPN21" s="87"/>
      <c r="WPO21" s="87"/>
      <c r="WPP21" s="87"/>
      <c r="WPQ21" s="87"/>
      <c r="WPR21" s="87"/>
      <c r="WPS21" s="87"/>
      <c r="WPT21" s="87"/>
      <c r="WPU21" s="87"/>
      <c r="WPV21" s="87"/>
      <c r="WPW21" s="87"/>
      <c r="WPX21" s="87"/>
      <c r="WPY21" s="87"/>
      <c r="WPZ21" s="87"/>
      <c r="WQA21" s="87"/>
      <c r="WQB21" s="87"/>
      <c r="WQC21" s="87"/>
      <c r="WQD21" s="87"/>
      <c r="WQE21" s="87"/>
      <c r="WQF21" s="87"/>
      <c r="WQG21" s="87"/>
      <c r="WQH21" s="87"/>
      <c r="WQI21" s="87"/>
      <c r="WQJ21" s="87"/>
      <c r="WQK21" s="87"/>
      <c r="WQL21" s="87"/>
      <c r="WQM21" s="87"/>
      <c r="WQN21" s="87"/>
      <c r="WQO21" s="87"/>
      <c r="WQP21" s="87"/>
      <c r="WQQ21" s="87"/>
      <c r="WQR21" s="87"/>
      <c r="WQS21" s="87"/>
      <c r="WQT21" s="87"/>
      <c r="WQU21" s="87"/>
      <c r="WQV21" s="87"/>
      <c r="WQW21" s="87"/>
      <c r="WQX21" s="87"/>
      <c r="WQY21" s="87"/>
      <c r="WQZ21" s="87"/>
      <c r="WRA21" s="87"/>
      <c r="WRB21" s="87"/>
      <c r="WRC21" s="87"/>
      <c r="WRD21" s="87"/>
      <c r="WRE21" s="87"/>
      <c r="WRF21" s="87"/>
      <c r="WRG21" s="87"/>
      <c r="WRH21" s="87"/>
      <c r="WRI21" s="87"/>
      <c r="WRJ21" s="87"/>
      <c r="WRK21" s="87"/>
      <c r="WRL21" s="87"/>
      <c r="WRM21" s="87"/>
      <c r="WRN21" s="87"/>
      <c r="WRO21" s="87"/>
      <c r="WRP21" s="87"/>
      <c r="WRQ21" s="87"/>
      <c r="WRR21" s="87"/>
      <c r="WRS21" s="87"/>
      <c r="WRT21" s="87"/>
      <c r="WRU21" s="87"/>
      <c r="WRV21" s="87"/>
      <c r="WRW21" s="87"/>
      <c r="WRX21" s="87"/>
      <c r="WRY21" s="87"/>
      <c r="WRZ21" s="87"/>
      <c r="WSA21" s="87"/>
      <c r="WSB21" s="87"/>
      <c r="WSC21" s="87"/>
      <c r="WSD21" s="87"/>
      <c r="WSE21" s="87"/>
      <c r="WSF21" s="87"/>
      <c r="WSG21" s="87"/>
      <c r="WSH21" s="87"/>
      <c r="WSI21" s="87"/>
      <c r="WSJ21" s="87"/>
      <c r="WSK21" s="87"/>
      <c r="WSL21" s="87"/>
      <c r="WSM21" s="87"/>
      <c r="WSN21" s="87"/>
      <c r="WSO21" s="87"/>
      <c r="WSP21" s="87"/>
      <c r="WSQ21" s="87"/>
      <c r="WSR21" s="87"/>
      <c r="WSS21" s="87"/>
      <c r="WST21" s="87"/>
      <c r="WSU21" s="87"/>
      <c r="WSV21" s="87"/>
      <c r="WSW21" s="87"/>
      <c r="WSX21" s="87"/>
      <c r="WSY21" s="87"/>
      <c r="WSZ21" s="87"/>
      <c r="WTA21" s="87"/>
      <c r="WTB21" s="87"/>
      <c r="WTC21" s="87"/>
      <c r="WTD21" s="87"/>
      <c r="WTE21" s="87"/>
      <c r="WTF21" s="87"/>
      <c r="WTG21" s="87"/>
      <c r="WTH21" s="87"/>
      <c r="WTI21" s="87"/>
      <c r="WTJ21" s="87"/>
      <c r="WTK21" s="87"/>
      <c r="WTL21" s="87"/>
      <c r="WTM21" s="87"/>
      <c r="WTN21" s="87"/>
      <c r="WTO21" s="87"/>
      <c r="WTP21" s="87"/>
      <c r="WTQ21" s="87"/>
      <c r="WTR21" s="87"/>
      <c r="WTS21" s="87"/>
      <c r="WTT21" s="87"/>
      <c r="WTU21" s="87"/>
      <c r="WTV21" s="87"/>
      <c r="WTW21" s="87"/>
      <c r="WTX21" s="87"/>
      <c r="WTY21" s="87"/>
      <c r="WTZ21" s="87"/>
      <c r="WUA21" s="87"/>
      <c r="WUB21" s="87"/>
      <c r="WUC21" s="87"/>
      <c r="WUD21" s="87"/>
      <c r="WUE21" s="87"/>
      <c r="WUF21" s="87"/>
      <c r="WUG21" s="87"/>
      <c r="WUH21" s="87"/>
      <c r="WUI21" s="87"/>
      <c r="WUJ21" s="87"/>
      <c r="WUK21" s="87"/>
      <c r="WUL21" s="87"/>
      <c r="WUM21" s="87"/>
      <c r="WUN21" s="87"/>
      <c r="WUO21" s="87"/>
      <c r="WUP21" s="87"/>
      <c r="WUQ21" s="87"/>
      <c r="WUR21" s="87"/>
      <c r="WUS21" s="87"/>
      <c r="WUT21" s="87"/>
      <c r="WUU21" s="87"/>
      <c r="WUV21" s="87"/>
      <c r="WUW21" s="87"/>
      <c r="WUX21" s="87"/>
      <c r="WUY21" s="87"/>
      <c r="WUZ21" s="87"/>
      <c r="WVA21" s="87"/>
      <c r="WVB21" s="87"/>
      <c r="WVC21" s="87"/>
      <c r="WVD21" s="87"/>
      <c r="WVE21" s="87"/>
      <c r="WVF21" s="87"/>
      <c r="WVG21" s="87"/>
      <c r="WVH21" s="87"/>
      <c r="WVI21" s="87"/>
      <c r="WVJ21" s="87"/>
      <c r="WVK21" s="87"/>
      <c r="WVL21" s="87"/>
      <c r="WVM21" s="87"/>
      <c r="WVN21" s="87"/>
      <c r="WVO21" s="87"/>
      <c r="WVP21" s="87"/>
      <c r="WVQ21" s="87"/>
      <c r="WVR21" s="87"/>
      <c r="WVS21" s="87"/>
      <c r="WVT21" s="87"/>
      <c r="WVU21" s="87"/>
      <c r="WVV21" s="87"/>
      <c r="WVW21" s="87"/>
      <c r="WVX21" s="87"/>
      <c r="WVY21" s="87"/>
      <c r="WVZ21" s="87"/>
      <c r="WWA21" s="87"/>
      <c r="WWB21" s="87"/>
      <c r="WWC21" s="87"/>
      <c r="WWD21" s="87"/>
      <c r="WWE21" s="87"/>
      <c r="WWF21" s="87"/>
      <c r="WWG21" s="87"/>
      <c r="WWH21" s="87"/>
      <c r="WWI21" s="87"/>
      <c r="WWJ21" s="87"/>
      <c r="WWK21" s="87"/>
      <c r="WWL21" s="87"/>
      <c r="WWM21" s="87"/>
      <c r="WWN21" s="87"/>
      <c r="WWO21" s="87"/>
      <c r="WWP21" s="87"/>
      <c r="WWQ21" s="87"/>
      <c r="WWR21" s="87"/>
      <c r="WWS21" s="87"/>
      <c r="WWT21" s="87"/>
      <c r="WWU21" s="87"/>
      <c r="WWV21" s="87"/>
      <c r="WWW21" s="87"/>
      <c r="WWX21" s="87"/>
      <c r="WWY21" s="87"/>
      <c r="WWZ21" s="87"/>
      <c r="WXA21" s="87"/>
      <c r="WXB21" s="87"/>
      <c r="WXC21" s="87"/>
      <c r="WXD21" s="87"/>
      <c r="WXE21" s="87"/>
      <c r="WXF21" s="87"/>
      <c r="WXG21" s="87"/>
      <c r="WXH21" s="87"/>
      <c r="WXI21" s="87"/>
      <c r="WXJ21" s="87"/>
      <c r="WXK21" s="87"/>
      <c r="WXL21" s="87"/>
      <c r="WXM21" s="87"/>
      <c r="WXN21" s="87"/>
      <c r="WXO21" s="87"/>
      <c r="WXP21" s="87"/>
      <c r="WXQ21" s="87"/>
      <c r="WXR21" s="87"/>
      <c r="WXS21" s="87"/>
      <c r="WXT21" s="87"/>
      <c r="WXU21" s="87"/>
      <c r="WXV21" s="87"/>
      <c r="WXW21" s="87"/>
      <c r="WXX21" s="87"/>
      <c r="WXY21" s="87"/>
      <c r="WXZ21" s="87"/>
      <c r="WYA21" s="87"/>
      <c r="WYB21" s="87"/>
      <c r="WYC21" s="87"/>
      <c r="WYD21" s="87"/>
      <c r="WYE21" s="87"/>
      <c r="WYF21" s="87"/>
      <c r="WYG21" s="87"/>
      <c r="WYH21" s="87"/>
      <c r="WYI21" s="87"/>
      <c r="WYJ21" s="87"/>
      <c r="WYK21" s="87"/>
      <c r="WYL21" s="87"/>
      <c r="WYM21" s="87"/>
      <c r="WYN21" s="87"/>
      <c r="WYO21" s="87"/>
      <c r="WYP21" s="87"/>
      <c r="WYQ21" s="87"/>
      <c r="WYR21" s="87"/>
      <c r="WYS21" s="87"/>
      <c r="WYT21" s="87"/>
      <c r="WYU21" s="87"/>
      <c r="WYV21" s="87"/>
      <c r="WYW21" s="87"/>
      <c r="WYX21" s="87"/>
      <c r="WYY21" s="87"/>
      <c r="WYZ21" s="87"/>
      <c r="WZA21" s="87"/>
      <c r="WZB21" s="87"/>
      <c r="WZC21" s="87"/>
      <c r="WZD21" s="87"/>
      <c r="WZE21" s="87"/>
      <c r="WZF21" s="87"/>
      <c r="WZG21" s="87"/>
      <c r="WZH21" s="87"/>
      <c r="WZI21" s="87"/>
      <c r="WZJ21" s="87"/>
      <c r="WZK21" s="87"/>
      <c r="WZL21" s="87"/>
      <c r="WZM21" s="87"/>
      <c r="WZN21" s="87"/>
      <c r="WZO21" s="87"/>
      <c r="WZP21" s="87"/>
      <c r="WZQ21" s="87"/>
      <c r="WZR21" s="87"/>
      <c r="WZS21" s="87"/>
      <c r="WZT21" s="87"/>
      <c r="WZU21" s="87"/>
      <c r="WZV21" s="87"/>
      <c r="WZW21" s="87"/>
      <c r="WZX21" s="87"/>
      <c r="WZY21" s="87"/>
      <c r="WZZ21" s="87"/>
      <c r="XAA21" s="87"/>
      <c r="XAB21" s="87"/>
      <c r="XAC21" s="87"/>
      <c r="XAD21" s="87"/>
      <c r="XAE21" s="87"/>
      <c r="XAF21" s="87"/>
      <c r="XAG21" s="87"/>
      <c r="XAH21" s="87"/>
      <c r="XAI21" s="87"/>
      <c r="XAJ21" s="87"/>
      <c r="XAK21" s="87"/>
      <c r="XAL21" s="87"/>
      <c r="XAM21" s="87"/>
      <c r="XAN21" s="87"/>
      <c r="XAO21" s="87"/>
      <c r="XAP21" s="87"/>
      <c r="XAQ21" s="87"/>
      <c r="XAR21" s="87"/>
      <c r="XAS21" s="87"/>
      <c r="XAT21" s="87"/>
      <c r="XAU21" s="87"/>
      <c r="XAV21" s="87"/>
      <c r="XAW21" s="87"/>
      <c r="XAX21" s="87"/>
      <c r="XAY21" s="87"/>
      <c r="XAZ21" s="87"/>
      <c r="XBA21" s="87"/>
      <c r="XBB21" s="87"/>
      <c r="XBC21" s="87"/>
      <c r="XBD21" s="87"/>
      <c r="XBE21" s="87"/>
      <c r="XBF21" s="87"/>
      <c r="XBG21" s="87"/>
      <c r="XBH21" s="87"/>
      <c r="XBI21" s="87"/>
      <c r="XBJ21" s="87"/>
      <c r="XBK21" s="87"/>
      <c r="XBL21" s="87"/>
      <c r="XBM21" s="87"/>
      <c r="XBN21" s="87"/>
      <c r="XBO21" s="87"/>
      <c r="XBP21" s="87"/>
      <c r="XBQ21" s="87"/>
      <c r="XBR21" s="87"/>
      <c r="XBS21" s="87"/>
      <c r="XBT21" s="87"/>
      <c r="XBU21" s="87"/>
      <c r="XBV21" s="87"/>
      <c r="XBW21" s="87"/>
      <c r="XBX21" s="87"/>
      <c r="XBY21" s="87"/>
      <c r="XBZ21" s="87"/>
      <c r="XCA21" s="87"/>
      <c r="XCB21" s="87"/>
      <c r="XCC21" s="87"/>
      <c r="XCD21" s="87"/>
      <c r="XCE21" s="87"/>
      <c r="XCF21" s="87"/>
      <c r="XCG21" s="87"/>
      <c r="XCH21" s="87"/>
      <c r="XCI21" s="87"/>
      <c r="XCJ21" s="87"/>
      <c r="XCK21" s="87"/>
      <c r="XCL21" s="87"/>
      <c r="XCM21" s="87"/>
      <c r="XCN21" s="87"/>
      <c r="XCO21" s="87"/>
      <c r="XCP21" s="87"/>
      <c r="XCQ21" s="87"/>
      <c r="XCR21" s="87"/>
      <c r="XCS21" s="87"/>
      <c r="XCT21" s="87"/>
      <c r="XCU21" s="87"/>
      <c r="XCV21" s="87"/>
      <c r="XCW21" s="87"/>
      <c r="XCX21" s="87"/>
      <c r="XCY21" s="87"/>
      <c r="XCZ21" s="87"/>
      <c r="XDA21" s="87"/>
      <c r="XDB21" s="87"/>
      <c r="XDC21" s="87"/>
      <c r="XDD21" s="87"/>
      <c r="XDE21" s="87"/>
      <c r="XDF21" s="87"/>
      <c r="XDG21" s="87"/>
      <c r="XDH21" s="87"/>
      <c r="XDI21" s="87"/>
      <c r="XDJ21" s="87"/>
      <c r="XDK21" s="87"/>
      <c r="XDL21" s="87"/>
      <c r="XDM21" s="87"/>
      <c r="XDN21" s="87"/>
      <c r="XDO21" s="87"/>
      <c r="XDP21" s="87"/>
      <c r="XDQ21" s="87"/>
      <c r="XDR21" s="87"/>
      <c r="XDS21" s="87"/>
      <c r="XDT21" s="87"/>
      <c r="XDU21" s="87"/>
      <c r="XDV21" s="87"/>
      <c r="XDW21" s="87"/>
      <c r="XDX21" s="87"/>
      <c r="XDY21" s="87"/>
      <c r="XDZ21" s="87"/>
      <c r="XEA21" s="87"/>
      <c r="XEB21" s="87"/>
      <c r="XEC21" s="87"/>
      <c r="XED21" s="87"/>
      <c r="XEE21" s="87"/>
      <c r="XEF21" s="87"/>
      <c r="XEG21" s="87"/>
      <c r="XEH21" s="87"/>
      <c r="XEI21" s="87"/>
      <c r="XEJ21" s="87"/>
      <c r="XEK21" s="87"/>
      <c r="XEL21" s="87"/>
      <c r="XEM21" s="87"/>
      <c r="XEN21" s="87"/>
      <c r="XEO21" s="87"/>
      <c r="XEP21" s="87"/>
      <c r="XEQ21" s="87"/>
      <c r="XER21" s="87"/>
      <c r="XES21" s="87"/>
      <c r="XET21" s="87"/>
      <c r="XEU21" s="87"/>
      <c r="XEV21" s="87"/>
      <c r="XEW21" s="87"/>
      <c r="XEX21" s="87"/>
      <c r="XEY21" s="88"/>
      <c r="XEZ21" s="88"/>
      <c r="XFA21" s="88"/>
      <c r="XFB21" s="88"/>
      <c r="XFC21" s="89"/>
    </row>
    <row r="22" s="4" customFormat="1" ht="76" spans="1:248">
      <c r="A22" s="32">
        <v>17</v>
      </c>
      <c r="B22" s="33"/>
      <c r="C22" s="34" t="s">
        <v>50</v>
      </c>
      <c r="D22" s="35"/>
      <c r="E22" s="67" t="s">
        <v>17</v>
      </c>
      <c r="F22" s="71">
        <f>(0.33+0.21+0.26+0.66)*2.41</f>
        <v>3.5186</v>
      </c>
      <c r="G22" s="71">
        <v>138</v>
      </c>
      <c r="H22" s="68">
        <f t="shared" si="0"/>
        <v>485.5668</v>
      </c>
      <c r="I22" s="79" t="s">
        <v>51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</row>
    <row r="23" s="4" customFormat="1" ht="137" spans="1:248">
      <c r="A23" s="32">
        <v>18</v>
      </c>
      <c r="B23" s="33"/>
      <c r="C23" s="34" t="s">
        <v>52</v>
      </c>
      <c r="D23" s="35"/>
      <c r="E23" s="67" t="s">
        <v>17</v>
      </c>
      <c r="F23" s="71">
        <f>SUM(F22)</f>
        <v>3.5186</v>
      </c>
      <c r="G23" s="71">
        <v>30</v>
      </c>
      <c r="H23" s="68">
        <f t="shared" si="0"/>
        <v>105.558</v>
      </c>
      <c r="I23" s="79" t="s">
        <v>53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</row>
    <row r="24" s="4" customFormat="1" ht="25" customHeight="1" spans="1:248">
      <c r="A24" s="32">
        <v>20</v>
      </c>
      <c r="B24" s="33"/>
      <c r="C24" s="34" t="s">
        <v>54</v>
      </c>
      <c r="D24" s="35"/>
      <c r="E24" s="72" t="s">
        <v>48</v>
      </c>
      <c r="F24" s="71">
        <v>5</v>
      </c>
      <c r="G24" s="71">
        <v>100</v>
      </c>
      <c r="H24" s="68">
        <f t="shared" si="0"/>
        <v>500</v>
      </c>
      <c r="I24" s="79" t="s">
        <v>55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</row>
    <row r="25" ht="25" customHeight="1" spans="1:9">
      <c r="A25" s="36" t="s">
        <v>56</v>
      </c>
      <c r="B25" s="37"/>
      <c r="C25" s="38"/>
      <c r="D25" s="38"/>
      <c r="E25" s="37"/>
      <c r="F25" s="37"/>
      <c r="G25" s="37"/>
      <c r="H25" s="73">
        <f>SUM(H6:H24)</f>
        <v>12853.3688</v>
      </c>
      <c r="I25" s="83"/>
    </row>
    <row r="26" s="3" customFormat="1" ht="25" customHeight="1" spans="1:248">
      <c r="A26" s="39" t="s">
        <v>57</v>
      </c>
      <c r="B26" s="40"/>
      <c r="C26" s="40"/>
      <c r="D26" s="41" t="s">
        <v>13</v>
      </c>
      <c r="E26" s="41">
        <v>50</v>
      </c>
      <c r="F26" s="41" t="s">
        <v>14</v>
      </c>
      <c r="G26" s="41">
        <v>40</v>
      </c>
      <c r="H26" s="41" t="s">
        <v>15</v>
      </c>
      <c r="I26" s="84">
        <v>2.8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</row>
    <row r="27" s="4" customFormat="1" ht="25" customHeight="1" spans="1:248">
      <c r="A27" s="42"/>
      <c r="B27" s="43"/>
      <c r="C27" s="34" t="s">
        <v>58</v>
      </c>
      <c r="D27" s="35"/>
      <c r="E27" s="67" t="s">
        <v>27</v>
      </c>
      <c r="F27" s="71"/>
      <c r="G27" s="71">
        <v>100</v>
      </c>
      <c r="H27" s="71">
        <f>F27*G27</f>
        <v>0</v>
      </c>
      <c r="I27" s="80" t="s">
        <v>59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</row>
    <row r="28" s="4" customFormat="1" ht="46" spans="1:248">
      <c r="A28" s="42"/>
      <c r="B28" s="43"/>
      <c r="C28" s="34" t="s">
        <v>60</v>
      </c>
      <c r="D28" s="35"/>
      <c r="E28" s="67" t="s">
        <v>27</v>
      </c>
      <c r="F28" s="71"/>
      <c r="G28" s="71">
        <v>100</v>
      </c>
      <c r="H28" s="71">
        <f>F28*G28</f>
        <v>0</v>
      </c>
      <c r="I28" s="80" t="s">
        <v>61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</row>
    <row r="29" s="4" customFormat="1" ht="34.4" spans="1:248">
      <c r="A29" s="44"/>
      <c r="B29" s="45"/>
      <c r="C29" s="34" t="s">
        <v>62</v>
      </c>
      <c r="D29" s="35"/>
      <c r="E29" s="67" t="s">
        <v>17</v>
      </c>
      <c r="F29" s="71">
        <f>SUM(E26)</f>
        <v>50</v>
      </c>
      <c r="G29" s="71">
        <v>12</v>
      </c>
      <c r="H29" s="71">
        <f>F29*G29</f>
        <v>600</v>
      </c>
      <c r="I29" s="79" t="s">
        <v>63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</row>
    <row r="30" s="4" customFormat="1" ht="76" spans="1:248">
      <c r="A30" s="44" t="s">
        <v>64</v>
      </c>
      <c r="B30" s="45"/>
      <c r="C30" s="34" t="s">
        <v>65</v>
      </c>
      <c r="D30" s="35"/>
      <c r="E30" s="67" t="s">
        <v>17</v>
      </c>
      <c r="F30" s="68">
        <v>0</v>
      </c>
      <c r="G30" s="71">
        <v>65</v>
      </c>
      <c r="H30" s="71">
        <f>F30*G30</f>
        <v>0</v>
      </c>
      <c r="I30" s="80" t="s">
        <v>66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</row>
    <row r="31" s="4" customFormat="1" ht="76" spans="1:248">
      <c r="A31" s="46"/>
      <c r="B31" s="47"/>
      <c r="C31" s="34" t="s">
        <v>67</v>
      </c>
      <c r="D31" s="35"/>
      <c r="E31" s="67" t="s">
        <v>17</v>
      </c>
      <c r="F31" s="68">
        <v>0</v>
      </c>
      <c r="G31" s="71">
        <v>65</v>
      </c>
      <c r="H31" s="71">
        <f t="shared" ref="H31:H41" si="1">F31*G31</f>
        <v>0</v>
      </c>
      <c r="I31" s="80" t="s">
        <v>68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</row>
    <row r="32" s="4" customFormat="1" ht="31" spans="1:248">
      <c r="A32" s="48" t="s">
        <v>69</v>
      </c>
      <c r="B32" s="49"/>
      <c r="C32" s="34" t="s">
        <v>70</v>
      </c>
      <c r="D32" s="35"/>
      <c r="E32" s="67" t="s">
        <v>17</v>
      </c>
      <c r="F32" s="68">
        <v>0</v>
      </c>
      <c r="G32" s="71">
        <v>150</v>
      </c>
      <c r="H32" s="71">
        <f t="shared" si="1"/>
        <v>0</v>
      </c>
      <c r="I32" s="80" t="s">
        <v>71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</row>
    <row r="33" s="4" customFormat="1" ht="31" spans="1:248">
      <c r="A33" s="50"/>
      <c r="B33" s="51"/>
      <c r="C33" s="34" t="s">
        <v>72</v>
      </c>
      <c r="D33" s="35"/>
      <c r="E33" s="67" t="s">
        <v>17</v>
      </c>
      <c r="F33" s="71">
        <f>E26</f>
        <v>50</v>
      </c>
      <c r="G33" s="71">
        <v>160</v>
      </c>
      <c r="H33" s="71">
        <f t="shared" si="1"/>
        <v>8000</v>
      </c>
      <c r="I33" s="80" t="s">
        <v>71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</row>
    <row r="34" s="4" customFormat="1" ht="31" spans="1:248">
      <c r="A34" s="50"/>
      <c r="B34" s="51"/>
      <c r="C34" s="52" t="s">
        <v>73</v>
      </c>
      <c r="D34" s="53"/>
      <c r="E34" s="67" t="s">
        <v>17</v>
      </c>
      <c r="F34" s="68">
        <v>0</v>
      </c>
      <c r="G34" s="71">
        <v>170</v>
      </c>
      <c r="H34" s="71">
        <f t="shared" si="1"/>
        <v>0</v>
      </c>
      <c r="I34" s="80" t="s">
        <v>71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</row>
    <row r="35" s="4" customFormat="1" ht="31" spans="1:248">
      <c r="A35" s="50"/>
      <c r="B35" s="51"/>
      <c r="C35" s="52" t="s">
        <v>74</v>
      </c>
      <c r="D35" s="53"/>
      <c r="E35" s="67" t="s">
        <v>17</v>
      </c>
      <c r="F35" s="68">
        <v>0</v>
      </c>
      <c r="G35" s="71">
        <v>200</v>
      </c>
      <c r="H35" s="71">
        <f t="shared" si="1"/>
        <v>0</v>
      </c>
      <c r="I35" s="80" t="s">
        <v>71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</row>
    <row r="36" s="4" customFormat="1" ht="46" spans="1:248">
      <c r="A36" s="50"/>
      <c r="B36" s="51"/>
      <c r="C36" s="52" t="s">
        <v>75</v>
      </c>
      <c r="D36" s="53"/>
      <c r="E36" s="67" t="s">
        <v>17</v>
      </c>
      <c r="F36" s="68">
        <v>0</v>
      </c>
      <c r="G36" s="71">
        <v>185</v>
      </c>
      <c r="H36" s="71">
        <f t="shared" si="1"/>
        <v>0</v>
      </c>
      <c r="I36" s="80" t="s">
        <v>76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</row>
    <row r="37" s="4" customFormat="1" ht="31" spans="1:248">
      <c r="A37" s="50"/>
      <c r="B37" s="51"/>
      <c r="C37" s="52" t="s">
        <v>77</v>
      </c>
      <c r="D37" s="53"/>
      <c r="E37" s="67" t="s">
        <v>17</v>
      </c>
      <c r="F37" s="68">
        <v>0</v>
      </c>
      <c r="G37" s="71">
        <v>195</v>
      </c>
      <c r="H37" s="71">
        <f t="shared" si="1"/>
        <v>0</v>
      </c>
      <c r="I37" s="80" t="s">
        <v>71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</row>
    <row r="38" s="4" customFormat="1" ht="31" spans="1:248">
      <c r="A38" s="50"/>
      <c r="B38" s="51"/>
      <c r="C38" s="52" t="s">
        <v>78</v>
      </c>
      <c r="D38" s="53"/>
      <c r="E38" s="67" t="s">
        <v>17</v>
      </c>
      <c r="F38" s="68">
        <v>0</v>
      </c>
      <c r="G38" s="71">
        <v>190</v>
      </c>
      <c r="H38" s="71">
        <f t="shared" si="1"/>
        <v>0</v>
      </c>
      <c r="I38" s="80" t="s">
        <v>71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</row>
    <row r="39" s="4" customFormat="1" ht="31" spans="1:248">
      <c r="A39" s="50"/>
      <c r="B39" s="51"/>
      <c r="C39" s="52" t="s">
        <v>79</v>
      </c>
      <c r="D39" s="53"/>
      <c r="E39" s="67" t="s">
        <v>17</v>
      </c>
      <c r="F39" s="68">
        <v>0</v>
      </c>
      <c r="G39" s="71">
        <v>200</v>
      </c>
      <c r="H39" s="71">
        <f t="shared" si="1"/>
        <v>0</v>
      </c>
      <c r="I39" s="79" t="s">
        <v>80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</row>
    <row r="40" s="4" customFormat="1" ht="31" spans="1:248">
      <c r="A40" s="50"/>
      <c r="B40" s="51"/>
      <c r="C40" s="52" t="s">
        <v>81</v>
      </c>
      <c r="D40" s="53"/>
      <c r="E40" s="67" t="s">
        <v>17</v>
      </c>
      <c r="F40" s="68">
        <v>0</v>
      </c>
      <c r="G40" s="71">
        <v>200</v>
      </c>
      <c r="H40" s="71">
        <f t="shared" si="1"/>
        <v>0</v>
      </c>
      <c r="I40" s="79" t="s">
        <v>80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</row>
    <row r="41" s="4" customFormat="1" ht="31" spans="1:248">
      <c r="A41" s="50"/>
      <c r="B41" s="51"/>
      <c r="C41" s="52" t="s">
        <v>82</v>
      </c>
      <c r="D41" s="53"/>
      <c r="E41" s="67" t="s">
        <v>17</v>
      </c>
      <c r="F41" s="68">
        <v>0</v>
      </c>
      <c r="G41" s="71">
        <v>200</v>
      </c>
      <c r="H41" s="71">
        <f t="shared" si="1"/>
        <v>0</v>
      </c>
      <c r="I41" s="79" t="s">
        <v>80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</row>
    <row r="42" s="4" customFormat="1" ht="31" spans="1:248">
      <c r="A42" s="50"/>
      <c r="B42" s="51"/>
      <c r="C42" s="52" t="s">
        <v>83</v>
      </c>
      <c r="D42" s="53"/>
      <c r="E42" s="67" t="s">
        <v>17</v>
      </c>
      <c r="F42" s="68">
        <v>0</v>
      </c>
      <c r="G42" s="71">
        <v>180</v>
      </c>
      <c r="H42" s="71">
        <f t="shared" ref="H42:H47" si="2">F42*G42</f>
        <v>0</v>
      </c>
      <c r="I42" s="79" t="s">
        <v>80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</row>
    <row r="43" s="4" customFormat="1" ht="31" spans="1:248">
      <c r="A43" s="50"/>
      <c r="B43" s="51"/>
      <c r="C43" s="34" t="s">
        <v>84</v>
      </c>
      <c r="D43" s="35"/>
      <c r="E43" s="67" t="s">
        <v>17</v>
      </c>
      <c r="F43" s="68">
        <v>0</v>
      </c>
      <c r="G43" s="71">
        <v>160</v>
      </c>
      <c r="H43" s="71">
        <f t="shared" si="2"/>
        <v>0</v>
      </c>
      <c r="I43" s="79" t="s">
        <v>80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</row>
    <row r="44" s="4" customFormat="1" ht="31" spans="1:248">
      <c r="A44" s="50"/>
      <c r="B44" s="51"/>
      <c r="C44" s="52" t="s">
        <v>85</v>
      </c>
      <c r="D44" s="53"/>
      <c r="E44" s="67" t="s">
        <v>17</v>
      </c>
      <c r="F44" s="68">
        <v>0</v>
      </c>
      <c r="G44" s="71">
        <v>170</v>
      </c>
      <c r="H44" s="71">
        <f t="shared" si="2"/>
        <v>0</v>
      </c>
      <c r="I44" s="79" t="s">
        <v>80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</row>
    <row r="45" s="4" customFormat="1" ht="31" spans="1:248">
      <c r="A45" s="50"/>
      <c r="B45" s="51"/>
      <c r="C45" s="52" t="s">
        <v>86</v>
      </c>
      <c r="D45" s="53"/>
      <c r="E45" s="67" t="s">
        <v>17</v>
      </c>
      <c r="F45" s="68">
        <v>0</v>
      </c>
      <c r="G45" s="71">
        <v>180</v>
      </c>
      <c r="H45" s="71">
        <f t="shared" si="2"/>
        <v>0</v>
      </c>
      <c r="I45" s="79" t="s">
        <v>80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</row>
    <row r="46" s="4" customFormat="1" ht="31" spans="1:248">
      <c r="A46" s="50"/>
      <c r="B46" s="51"/>
      <c r="C46" s="52" t="s">
        <v>87</v>
      </c>
      <c r="D46" s="53"/>
      <c r="E46" s="67" t="s">
        <v>17</v>
      </c>
      <c r="F46" s="68">
        <v>0</v>
      </c>
      <c r="G46" s="71">
        <v>220</v>
      </c>
      <c r="H46" s="71">
        <f t="shared" si="2"/>
        <v>0</v>
      </c>
      <c r="I46" s="79" t="s">
        <v>80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</row>
    <row r="47" s="4" customFormat="1" ht="17.6" spans="1:248">
      <c r="A47" s="50"/>
      <c r="B47" s="51"/>
      <c r="C47" s="52" t="s">
        <v>88</v>
      </c>
      <c r="D47" s="53"/>
      <c r="E47" s="67" t="s">
        <v>17</v>
      </c>
      <c r="F47" s="68">
        <v>0</v>
      </c>
      <c r="G47" s="71">
        <v>10</v>
      </c>
      <c r="H47" s="71">
        <f t="shared" si="2"/>
        <v>0</v>
      </c>
      <c r="I47" s="80" t="s">
        <v>89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</row>
    <row r="48" s="4" customFormat="1" ht="17.6" spans="1:248">
      <c r="A48" s="54"/>
      <c r="B48" s="55"/>
      <c r="C48" s="52" t="s">
        <v>90</v>
      </c>
      <c r="D48" s="53"/>
      <c r="E48" s="67" t="s">
        <v>17</v>
      </c>
      <c r="F48" s="68">
        <v>0</v>
      </c>
      <c r="G48" s="71">
        <v>20</v>
      </c>
      <c r="H48" s="71">
        <f t="shared" ref="H48:H78" si="3">F48*G48</f>
        <v>0</v>
      </c>
      <c r="I48" s="85" t="s">
        <v>91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</row>
    <row r="49" s="4" customFormat="1" ht="31" customHeight="1" spans="1:248">
      <c r="A49" s="56" t="s">
        <v>92</v>
      </c>
      <c r="B49" s="45"/>
      <c r="C49" s="34" t="s">
        <v>93</v>
      </c>
      <c r="D49" s="35"/>
      <c r="E49" s="67" t="s">
        <v>17</v>
      </c>
      <c r="F49" s="68">
        <v>0</v>
      </c>
      <c r="G49" s="71">
        <v>58</v>
      </c>
      <c r="H49" s="71">
        <f t="shared" si="3"/>
        <v>0</v>
      </c>
      <c r="I49" s="85" t="s">
        <v>94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</row>
    <row r="50" s="4" customFormat="1" ht="31" customHeight="1" spans="1:248">
      <c r="A50" s="57"/>
      <c r="B50" s="58"/>
      <c r="C50" s="34" t="s">
        <v>95</v>
      </c>
      <c r="D50" s="35"/>
      <c r="E50" s="67" t="s">
        <v>17</v>
      </c>
      <c r="F50" s="68">
        <v>0</v>
      </c>
      <c r="G50" s="71">
        <v>78</v>
      </c>
      <c r="H50" s="71">
        <f t="shared" si="3"/>
        <v>0</v>
      </c>
      <c r="I50" s="85" t="s">
        <v>96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</row>
    <row r="51" s="4" customFormat="1" ht="25" customHeight="1" spans="1:248">
      <c r="A51" s="46"/>
      <c r="B51" s="47"/>
      <c r="C51" s="34" t="s">
        <v>97</v>
      </c>
      <c r="D51" s="35"/>
      <c r="E51" s="67" t="s">
        <v>17</v>
      </c>
      <c r="F51" s="68">
        <v>0</v>
      </c>
      <c r="G51" s="71">
        <v>98</v>
      </c>
      <c r="H51" s="71">
        <f t="shared" si="3"/>
        <v>0</v>
      </c>
      <c r="I51" s="85" t="s">
        <v>98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</row>
    <row r="52" s="4" customFormat="1" ht="46" spans="1:248">
      <c r="A52" s="59" t="s">
        <v>99</v>
      </c>
      <c r="B52" s="60"/>
      <c r="C52" s="34" t="s">
        <v>100</v>
      </c>
      <c r="D52" s="35"/>
      <c r="E52" s="67" t="s">
        <v>17</v>
      </c>
      <c r="F52" s="71">
        <f>E26-11.6</f>
        <v>38.4</v>
      </c>
      <c r="G52" s="71">
        <v>168</v>
      </c>
      <c r="H52" s="71">
        <f t="shared" si="3"/>
        <v>6451.2</v>
      </c>
      <c r="I52" s="80" t="s">
        <v>101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</row>
    <row r="53" s="4" customFormat="1" ht="17.6" spans="1:248">
      <c r="A53" s="61"/>
      <c r="B53" s="62"/>
      <c r="C53" s="63" t="s">
        <v>102</v>
      </c>
      <c r="D53" s="63"/>
      <c r="E53" s="67" t="s">
        <v>27</v>
      </c>
      <c r="F53" s="68">
        <v>0</v>
      </c>
      <c r="G53" s="71">
        <v>168</v>
      </c>
      <c r="H53" s="71">
        <f t="shared" si="3"/>
        <v>0</v>
      </c>
      <c r="I53" s="80" t="s">
        <v>103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</row>
    <row r="54" s="4" customFormat="1" ht="46" spans="1:248">
      <c r="A54" s="61"/>
      <c r="B54" s="62"/>
      <c r="C54" s="63" t="s">
        <v>104</v>
      </c>
      <c r="D54" s="63"/>
      <c r="E54" s="67" t="s">
        <v>17</v>
      </c>
      <c r="F54" s="68">
        <v>0</v>
      </c>
      <c r="G54" s="71">
        <v>240</v>
      </c>
      <c r="H54" s="71">
        <f t="shared" si="3"/>
        <v>0</v>
      </c>
      <c r="I54" s="80" t="s">
        <v>105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</row>
    <row r="55" s="4" customFormat="1" ht="17.6" spans="1:248">
      <c r="A55" s="61"/>
      <c r="B55" s="62"/>
      <c r="C55" s="34" t="s">
        <v>106</v>
      </c>
      <c r="D55" s="35"/>
      <c r="E55" s="67" t="s">
        <v>17</v>
      </c>
      <c r="F55" s="68">
        <v>0</v>
      </c>
      <c r="G55" s="71">
        <v>188</v>
      </c>
      <c r="H55" s="71">
        <f t="shared" si="3"/>
        <v>0</v>
      </c>
      <c r="I55" s="86" t="s">
        <v>107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</row>
    <row r="56" s="4" customFormat="1" ht="46" spans="1:248">
      <c r="A56" s="61"/>
      <c r="B56" s="62"/>
      <c r="C56" s="34" t="s">
        <v>108</v>
      </c>
      <c r="D56" s="35"/>
      <c r="E56" s="67" t="s">
        <v>17</v>
      </c>
      <c r="F56" s="68">
        <v>0</v>
      </c>
      <c r="G56" s="71">
        <v>238</v>
      </c>
      <c r="H56" s="71">
        <f t="shared" si="3"/>
        <v>0</v>
      </c>
      <c r="I56" s="86" t="s">
        <v>109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</row>
    <row r="57" s="4" customFormat="1" ht="46" spans="1:248">
      <c r="A57" s="61"/>
      <c r="B57" s="62"/>
      <c r="C57" s="34" t="s">
        <v>110</v>
      </c>
      <c r="D57" s="35"/>
      <c r="E57" s="67" t="s">
        <v>17</v>
      </c>
      <c r="F57" s="68">
        <v>0</v>
      </c>
      <c r="G57" s="71">
        <v>188</v>
      </c>
      <c r="H57" s="71">
        <f t="shared" si="3"/>
        <v>0</v>
      </c>
      <c r="I57" s="80" t="s">
        <v>101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</row>
    <row r="58" s="4" customFormat="1" ht="46" spans="1:248">
      <c r="A58" s="61"/>
      <c r="B58" s="62"/>
      <c r="C58" s="34" t="s">
        <v>111</v>
      </c>
      <c r="D58" s="35"/>
      <c r="E58" s="67" t="s">
        <v>17</v>
      </c>
      <c r="F58" s="68">
        <v>0</v>
      </c>
      <c r="G58" s="71">
        <v>198</v>
      </c>
      <c r="H58" s="71">
        <f t="shared" si="3"/>
        <v>0</v>
      </c>
      <c r="I58" s="80" t="s">
        <v>101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</row>
    <row r="59" s="4" customFormat="1" ht="46" spans="1:248">
      <c r="A59" s="61"/>
      <c r="B59" s="62"/>
      <c r="C59" s="34" t="s">
        <v>112</v>
      </c>
      <c r="D59" s="35"/>
      <c r="E59" s="67" t="s">
        <v>17</v>
      </c>
      <c r="F59" s="71">
        <f>0.9*7.71+1.57*3.21+0.13*11.1</f>
        <v>13.4217</v>
      </c>
      <c r="G59" s="71">
        <v>258</v>
      </c>
      <c r="H59" s="71">
        <f t="shared" si="3"/>
        <v>3462.7986</v>
      </c>
      <c r="I59" s="80" t="s">
        <v>113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</row>
    <row r="60" s="4" customFormat="1" ht="61" spans="1:248">
      <c r="A60" s="61"/>
      <c r="B60" s="62"/>
      <c r="C60" s="34" t="s">
        <v>114</v>
      </c>
      <c r="D60" s="35"/>
      <c r="E60" s="67" t="s">
        <v>27</v>
      </c>
      <c r="F60" s="68">
        <v>0</v>
      </c>
      <c r="G60" s="71">
        <v>208</v>
      </c>
      <c r="H60" s="71">
        <f t="shared" si="3"/>
        <v>0</v>
      </c>
      <c r="I60" s="80" t="s">
        <v>115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</row>
    <row r="61" s="4" customFormat="1" ht="25" customHeight="1" spans="1:248">
      <c r="A61" s="61"/>
      <c r="B61" s="62"/>
      <c r="C61" s="34" t="s">
        <v>116</v>
      </c>
      <c r="D61" s="35"/>
      <c r="E61" s="67" t="s">
        <v>27</v>
      </c>
      <c r="F61" s="71">
        <f>9.8+6.9</f>
        <v>16.7</v>
      </c>
      <c r="G61" s="71">
        <v>80</v>
      </c>
      <c r="H61" s="71">
        <f t="shared" si="3"/>
        <v>1336</v>
      </c>
      <c r="I61" s="80" t="s">
        <v>117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</row>
    <row r="62" s="4" customFormat="1" ht="25" customHeight="1" spans="1:248">
      <c r="A62" s="61"/>
      <c r="B62" s="62"/>
      <c r="C62" s="34" t="s">
        <v>118</v>
      </c>
      <c r="D62" s="35"/>
      <c r="E62" s="67" t="s">
        <v>27</v>
      </c>
      <c r="F62" s="68">
        <v>0</v>
      </c>
      <c r="G62" s="71">
        <v>100</v>
      </c>
      <c r="H62" s="71">
        <f t="shared" si="3"/>
        <v>0</v>
      </c>
      <c r="I62" s="80" t="s">
        <v>117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</row>
    <row r="63" s="4" customFormat="1" ht="25" customHeight="1" spans="1:248">
      <c r="A63" s="61"/>
      <c r="B63" s="62"/>
      <c r="C63" s="34" t="s">
        <v>119</v>
      </c>
      <c r="D63" s="35"/>
      <c r="E63" s="67" t="s">
        <v>27</v>
      </c>
      <c r="F63" s="68">
        <v>0</v>
      </c>
      <c r="G63" s="71">
        <v>40</v>
      </c>
      <c r="H63" s="71">
        <f t="shared" si="3"/>
        <v>0</v>
      </c>
      <c r="I63" s="8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</row>
    <row r="64" s="4" customFormat="1" ht="25" customHeight="1" spans="1:248">
      <c r="A64" s="61"/>
      <c r="B64" s="62"/>
      <c r="C64" s="34" t="s">
        <v>120</v>
      </c>
      <c r="D64" s="35"/>
      <c r="E64" s="67" t="s">
        <v>27</v>
      </c>
      <c r="F64" s="71">
        <f>13+1.89+11</f>
        <v>25.89</v>
      </c>
      <c r="G64" s="71">
        <v>50</v>
      </c>
      <c r="H64" s="71">
        <f t="shared" si="3"/>
        <v>1294.5</v>
      </c>
      <c r="I64" s="80" t="s">
        <v>121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</row>
    <row r="65" s="4" customFormat="1" ht="25" customHeight="1" spans="1:248">
      <c r="A65" s="61"/>
      <c r="B65" s="62"/>
      <c r="C65" s="34" t="s">
        <v>122</v>
      </c>
      <c r="D65" s="35"/>
      <c r="E65" s="67" t="s">
        <v>27</v>
      </c>
      <c r="F65" s="71">
        <f>7.7</f>
        <v>7.7</v>
      </c>
      <c r="G65" s="71">
        <v>60</v>
      </c>
      <c r="H65" s="71">
        <f t="shared" si="3"/>
        <v>462</v>
      </c>
      <c r="I65" s="80" t="s">
        <v>123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</row>
    <row r="66" s="4" customFormat="1" ht="25" customHeight="1" spans="1:248">
      <c r="A66" s="61"/>
      <c r="B66" s="62"/>
      <c r="C66" s="34" t="s">
        <v>124</v>
      </c>
      <c r="D66" s="35"/>
      <c r="E66" s="67" t="s">
        <v>27</v>
      </c>
      <c r="F66" s="71">
        <v>6</v>
      </c>
      <c r="G66" s="71">
        <v>200</v>
      </c>
      <c r="H66" s="71">
        <f t="shared" si="3"/>
        <v>1200</v>
      </c>
      <c r="I66" s="80" t="s">
        <v>125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</row>
    <row r="67" s="4" customFormat="1" ht="46" spans="1:248">
      <c r="A67" s="61"/>
      <c r="B67" s="62"/>
      <c r="C67" s="63" t="s">
        <v>126</v>
      </c>
      <c r="D67" s="63"/>
      <c r="E67" s="67" t="s">
        <v>27</v>
      </c>
      <c r="F67" s="71">
        <v>6.1</v>
      </c>
      <c r="G67" s="71">
        <v>208</v>
      </c>
      <c r="H67" s="71">
        <f t="shared" si="3"/>
        <v>1268.8</v>
      </c>
      <c r="I67" s="80" t="s">
        <v>127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</row>
    <row r="68" s="5" customFormat="1" ht="42" customHeight="1" spans="1:16383">
      <c r="A68" s="61"/>
      <c r="B68" s="62"/>
      <c r="C68" s="63" t="s">
        <v>128</v>
      </c>
      <c r="D68" s="63"/>
      <c r="E68" s="70" t="s">
        <v>48</v>
      </c>
      <c r="F68" s="71">
        <v>4</v>
      </c>
      <c r="G68" s="71">
        <v>600</v>
      </c>
      <c r="H68" s="71">
        <f t="shared" si="3"/>
        <v>2400</v>
      </c>
      <c r="I68" s="80" t="s">
        <v>129</v>
      </c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82"/>
      <c r="CB68" s="82"/>
      <c r="CC68" s="82"/>
      <c r="CD68" s="82"/>
      <c r="CE68" s="82"/>
      <c r="CF68" s="82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/>
      <c r="CU68" s="82"/>
      <c r="CV68" s="82"/>
      <c r="CW68" s="82"/>
      <c r="CX68" s="82"/>
      <c r="CY68" s="82"/>
      <c r="CZ68" s="82"/>
      <c r="DA68" s="82"/>
      <c r="DB68" s="82"/>
      <c r="DC68" s="82"/>
      <c r="DD68" s="82"/>
      <c r="DE68" s="82"/>
      <c r="DF68" s="82"/>
      <c r="DG68" s="82"/>
      <c r="DH68" s="82"/>
      <c r="DI68" s="82"/>
      <c r="DJ68" s="82"/>
      <c r="DK68" s="82"/>
      <c r="DL68" s="82"/>
      <c r="DM68" s="82"/>
      <c r="DN68" s="82"/>
      <c r="DO68" s="82"/>
      <c r="DP68" s="82"/>
      <c r="DQ68" s="82"/>
      <c r="DR68" s="82"/>
      <c r="DS68" s="82"/>
      <c r="DT68" s="82"/>
      <c r="DU68" s="82"/>
      <c r="DV68" s="82"/>
      <c r="DW68" s="82"/>
      <c r="DX68" s="82"/>
      <c r="DY68" s="82"/>
      <c r="DZ68" s="82"/>
      <c r="EA68" s="82"/>
      <c r="EB68" s="82"/>
      <c r="EC68" s="82"/>
      <c r="ED68" s="82"/>
      <c r="EE68" s="82"/>
      <c r="EF68" s="82"/>
      <c r="EG68" s="82"/>
      <c r="EH68" s="82"/>
      <c r="EI68" s="82"/>
      <c r="EJ68" s="82"/>
      <c r="EK68" s="82"/>
      <c r="EL68" s="82"/>
      <c r="EM68" s="82"/>
      <c r="EN68" s="82"/>
      <c r="EO68" s="82"/>
      <c r="EP68" s="82"/>
      <c r="EQ68" s="82"/>
      <c r="ER68" s="82"/>
      <c r="ES68" s="82"/>
      <c r="ET68" s="82"/>
      <c r="EU68" s="82"/>
      <c r="EV68" s="82"/>
      <c r="EW68" s="82"/>
      <c r="EX68" s="82"/>
      <c r="EY68" s="82"/>
      <c r="EZ68" s="82"/>
      <c r="FA68" s="82"/>
      <c r="FB68" s="82"/>
      <c r="FC68" s="82"/>
      <c r="FD68" s="82"/>
      <c r="FE68" s="82"/>
      <c r="FF68" s="82"/>
      <c r="FG68" s="82"/>
      <c r="FH68" s="82"/>
      <c r="FI68" s="82"/>
      <c r="FJ68" s="82"/>
      <c r="FK68" s="82"/>
      <c r="FL68" s="82"/>
      <c r="FM68" s="82"/>
      <c r="FN68" s="82"/>
      <c r="FO68" s="82"/>
      <c r="FP68" s="82"/>
      <c r="FQ68" s="82"/>
      <c r="FR68" s="82"/>
      <c r="FS68" s="82"/>
      <c r="FT68" s="82"/>
      <c r="FU68" s="82"/>
      <c r="FV68" s="82"/>
      <c r="FW68" s="82"/>
      <c r="FX68" s="82"/>
      <c r="FY68" s="82"/>
      <c r="FZ68" s="82"/>
      <c r="GA68" s="82"/>
      <c r="GB68" s="82"/>
      <c r="GC68" s="82"/>
      <c r="GD68" s="82"/>
      <c r="GE68" s="82"/>
      <c r="GF68" s="82"/>
      <c r="GG68" s="82"/>
      <c r="GH68" s="82"/>
      <c r="GI68" s="82"/>
      <c r="GJ68" s="82"/>
      <c r="GK68" s="82"/>
      <c r="GL68" s="82"/>
      <c r="GM68" s="82"/>
      <c r="GN68" s="82"/>
      <c r="GO68" s="82"/>
      <c r="GP68" s="82"/>
      <c r="GQ68" s="82"/>
      <c r="GR68" s="82"/>
      <c r="GS68" s="82"/>
      <c r="GT68" s="82"/>
      <c r="GU68" s="82"/>
      <c r="GV68" s="82"/>
      <c r="GW68" s="82"/>
      <c r="GX68" s="82"/>
      <c r="GY68" s="82"/>
      <c r="GZ68" s="82"/>
      <c r="HA68" s="82"/>
      <c r="HB68" s="82"/>
      <c r="HC68" s="82"/>
      <c r="HD68" s="82"/>
      <c r="HE68" s="82"/>
      <c r="HF68" s="82"/>
      <c r="HG68" s="82"/>
      <c r="HH68" s="82"/>
      <c r="HI68" s="82"/>
      <c r="HJ68" s="82"/>
      <c r="HK68" s="82"/>
      <c r="HL68" s="82"/>
      <c r="HM68" s="82"/>
      <c r="HN68" s="82"/>
      <c r="HO68" s="82"/>
      <c r="HP68" s="82"/>
      <c r="HQ68" s="82"/>
      <c r="HR68" s="82"/>
      <c r="HS68" s="82"/>
      <c r="HT68" s="82"/>
      <c r="HU68" s="82"/>
      <c r="HV68" s="82"/>
      <c r="HW68" s="82"/>
      <c r="HX68" s="82"/>
      <c r="HY68" s="82"/>
      <c r="HZ68" s="82"/>
      <c r="IA68" s="82"/>
      <c r="IB68" s="82"/>
      <c r="IC68" s="82"/>
      <c r="ID68" s="82"/>
      <c r="IE68" s="82"/>
      <c r="IF68" s="82"/>
      <c r="IG68" s="82"/>
      <c r="IH68" s="82"/>
      <c r="II68" s="82"/>
      <c r="IJ68" s="82"/>
      <c r="IK68" s="82"/>
      <c r="IL68" s="82"/>
      <c r="IM68" s="82"/>
      <c r="IN68" s="82"/>
      <c r="IO68" s="87"/>
      <c r="IP68" s="87"/>
      <c r="IQ68" s="87"/>
      <c r="IR68" s="87"/>
      <c r="IS68" s="87"/>
      <c r="IT68" s="87"/>
      <c r="IU68" s="87"/>
      <c r="IV68" s="87"/>
      <c r="IW68" s="87"/>
      <c r="IX68" s="87"/>
      <c r="IY68" s="87"/>
      <c r="IZ68" s="87"/>
      <c r="JA68" s="87"/>
      <c r="JB68" s="87"/>
      <c r="JC68" s="87"/>
      <c r="JD68" s="87"/>
      <c r="JE68" s="87"/>
      <c r="JF68" s="87"/>
      <c r="JG68" s="87"/>
      <c r="JH68" s="87"/>
      <c r="JI68" s="87"/>
      <c r="JJ68" s="87"/>
      <c r="JK68" s="87"/>
      <c r="JL68" s="87"/>
      <c r="JM68" s="87"/>
      <c r="JN68" s="87"/>
      <c r="JO68" s="87"/>
      <c r="JP68" s="87"/>
      <c r="JQ68" s="87"/>
      <c r="JR68" s="87"/>
      <c r="JS68" s="87"/>
      <c r="JT68" s="87"/>
      <c r="JU68" s="87"/>
      <c r="JV68" s="87"/>
      <c r="JW68" s="87"/>
      <c r="JX68" s="87"/>
      <c r="JY68" s="87"/>
      <c r="JZ68" s="87"/>
      <c r="KA68" s="87"/>
      <c r="KB68" s="87"/>
      <c r="KC68" s="87"/>
      <c r="KD68" s="87"/>
      <c r="KE68" s="87"/>
      <c r="KF68" s="87"/>
      <c r="KG68" s="87"/>
      <c r="KH68" s="87"/>
      <c r="KI68" s="87"/>
      <c r="KJ68" s="87"/>
      <c r="KK68" s="87"/>
      <c r="KL68" s="87"/>
      <c r="KM68" s="87"/>
      <c r="KN68" s="87"/>
      <c r="KO68" s="87"/>
      <c r="KP68" s="87"/>
      <c r="KQ68" s="87"/>
      <c r="KR68" s="87"/>
      <c r="KS68" s="87"/>
      <c r="KT68" s="87"/>
      <c r="KU68" s="87"/>
      <c r="KV68" s="87"/>
      <c r="KW68" s="87"/>
      <c r="KX68" s="87"/>
      <c r="KY68" s="87"/>
      <c r="KZ68" s="87"/>
      <c r="LA68" s="87"/>
      <c r="LB68" s="87"/>
      <c r="LC68" s="87"/>
      <c r="LD68" s="87"/>
      <c r="LE68" s="87"/>
      <c r="LF68" s="87"/>
      <c r="LG68" s="87"/>
      <c r="LH68" s="87"/>
      <c r="LI68" s="87"/>
      <c r="LJ68" s="87"/>
      <c r="LK68" s="87"/>
      <c r="LL68" s="87"/>
      <c r="LM68" s="87"/>
      <c r="LN68" s="87"/>
      <c r="LO68" s="87"/>
      <c r="LP68" s="87"/>
      <c r="LQ68" s="87"/>
      <c r="LR68" s="87"/>
      <c r="LS68" s="87"/>
      <c r="LT68" s="87"/>
      <c r="LU68" s="87"/>
      <c r="LV68" s="87"/>
      <c r="LW68" s="87"/>
      <c r="LX68" s="87"/>
      <c r="LY68" s="87"/>
      <c r="LZ68" s="87"/>
      <c r="MA68" s="87"/>
      <c r="MB68" s="87"/>
      <c r="MC68" s="87"/>
      <c r="MD68" s="87"/>
      <c r="ME68" s="87"/>
      <c r="MF68" s="87"/>
      <c r="MG68" s="87"/>
      <c r="MH68" s="87"/>
      <c r="MI68" s="87"/>
      <c r="MJ68" s="87"/>
      <c r="MK68" s="87"/>
      <c r="ML68" s="87"/>
      <c r="MM68" s="87"/>
      <c r="MN68" s="87"/>
      <c r="MO68" s="87"/>
      <c r="MP68" s="87"/>
      <c r="MQ68" s="87"/>
      <c r="MR68" s="87"/>
      <c r="MS68" s="87"/>
      <c r="MT68" s="87"/>
      <c r="MU68" s="87"/>
      <c r="MV68" s="87"/>
      <c r="MW68" s="87"/>
      <c r="MX68" s="87"/>
      <c r="MY68" s="87"/>
      <c r="MZ68" s="87"/>
      <c r="NA68" s="87"/>
      <c r="NB68" s="87"/>
      <c r="NC68" s="87"/>
      <c r="ND68" s="87"/>
      <c r="NE68" s="87"/>
      <c r="NF68" s="87"/>
      <c r="NG68" s="87"/>
      <c r="NH68" s="87"/>
      <c r="NI68" s="87"/>
      <c r="NJ68" s="87"/>
      <c r="NK68" s="87"/>
      <c r="NL68" s="87"/>
      <c r="NM68" s="87"/>
      <c r="NN68" s="87"/>
      <c r="NO68" s="87"/>
      <c r="NP68" s="87"/>
      <c r="NQ68" s="87"/>
      <c r="NR68" s="87"/>
      <c r="NS68" s="87"/>
      <c r="NT68" s="87"/>
      <c r="NU68" s="87"/>
      <c r="NV68" s="87"/>
      <c r="NW68" s="87"/>
      <c r="NX68" s="87"/>
      <c r="NY68" s="87"/>
      <c r="NZ68" s="87"/>
      <c r="OA68" s="87"/>
      <c r="OB68" s="87"/>
      <c r="OC68" s="87"/>
      <c r="OD68" s="87"/>
      <c r="OE68" s="87"/>
      <c r="OF68" s="87"/>
      <c r="OG68" s="87"/>
      <c r="OH68" s="87"/>
      <c r="OI68" s="87"/>
      <c r="OJ68" s="87"/>
      <c r="OK68" s="87"/>
      <c r="OL68" s="87"/>
      <c r="OM68" s="87"/>
      <c r="ON68" s="87"/>
      <c r="OO68" s="87"/>
      <c r="OP68" s="87"/>
      <c r="OQ68" s="87"/>
      <c r="OR68" s="87"/>
      <c r="OS68" s="87"/>
      <c r="OT68" s="87"/>
      <c r="OU68" s="87"/>
      <c r="OV68" s="87"/>
      <c r="OW68" s="87"/>
      <c r="OX68" s="87"/>
      <c r="OY68" s="87"/>
      <c r="OZ68" s="87"/>
      <c r="PA68" s="87"/>
      <c r="PB68" s="87"/>
      <c r="PC68" s="87"/>
      <c r="PD68" s="87"/>
      <c r="PE68" s="87"/>
      <c r="PF68" s="87"/>
      <c r="PG68" s="87"/>
      <c r="PH68" s="87"/>
      <c r="PI68" s="87"/>
      <c r="PJ68" s="87"/>
      <c r="PK68" s="87"/>
      <c r="PL68" s="87"/>
      <c r="PM68" s="87"/>
      <c r="PN68" s="87"/>
      <c r="PO68" s="87"/>
      <c r="PP68" s="87"/>
      <c r="PQ68" s="87"/>
      <c r="PR68" s="87"/>
      <c r="PS68" s="87"/>
      <c r="PT68" s="87"/>
      <c r="PU68" s="87"/>
      <c r="PV68" s="87"/>
      <c r="PW68" s="87"/>
      <c r="PX68" s="87"/>
      <c r="PY68" s="87"/>
      <c r="PZ68" s="87"/>
      <c r="QA68" s="87"/>
      <c r="QB68" s="87"/>
      <c r="QC68" s="87"/>
      <c r="QD68" s="87"/>
      <c r="QE68" s="87"/>
      <c r="QF68" s="87"/>
      <c r="QG68" s="87"/>
      <c r="QH68" s="87"/>
      <c r="QI68" s="87"/>
      <c r="QJ68" s="87"/>
      <c r="QK68" s="87"/>
      <c r="QL68" s="87"/>
      <c r="QM68" s="87"/>
      <c r="QN68" s="87"/>
      <c r="QO68" s="87"/>
      <c r="QP68" s="87"/>
      <c r="QQ68" s="87"/>
      <c r="QR68" s="87"/>
      <c r="QS68" s="87"/>
      <c r="QT68" s="87"/>
      <c r="QU68" s="87"/>
      <c r="QV68" s="87"/>
      <c r="QW68" s="87"/>
      <c r="QX68" s="87"/>
      <c r="QY68" s="87"/>
      <c r="QZ68" s="87"/>
      <c r="RA68" s="87"/>
      <c r="RB68" s="87"/>
      <c r="RC68" s="87"/>
      <c r="RD68" s="87"/>
      <c r="RE68" s="87"/>
      <c r="RF68" s="87"/>
      <c r="RG68" s="87"/>
      <c r="RH68" s="87"/>
      <c r="RI68" s="87"/>
      <c r="RJ68" s="87"/>
      <c r="RK68" s="87"/>
      <c r="RL68" s="87"/>
      <c r="RM68" s="87"/>
      <c r="RN68" s="87"/>
      <c r="RO68" s="87"/>
      <c r="RP68" s="87"/>
      <c r="RQ68" s="87"/>
      <c r="RR68" s="87"/>
      <c r="RS68" s="87"/>
      <c r="RT68" s="87"/>
      <c r="RU68" s="87"/>
      <c r="RV68" s="87"/>
      <c r="RW68" s="87"/>
      <c r="RX68" s="87"/>
      <c r="RY68" s="87"/>
      <c r="RZ68" s="87"/>
      <c r="SA68" s="87"/>
      <c r="SB68" s="87"/>
      <c r="SC68" s="87"/>
      <c r="SD68" s="87"/>
      <c r="SE68" s="87"/>
      <c r="SF68" s="87"/>
      <c r="SG68" s="87"/>
      <c r="SH68" s="87"/>
      <c r="SI68" s="87"/>
      <c r="SJ68" s="87"/>
      <c r="SK68" s="87"/>
      <c r="SL68" s="87"/>
      <c r="SM68" s="87"/>
      <c r="SN68" s="87"/>
      <c r="SO68" s="87"/>
      <c r="SP68" s="87"/>
      <c r="SQ68" s="87"/>
      <c r="SR68" s="87"/>
      <c r="SS68" s="87"/>
      <c r="ST68" s="87"/>
      <c r="SU68" s="87"/>
      <c r="SV68" s="87"/>
      <c r="SW68" s="87"/>
      <c r="SX68" s="87"/>
      <c r="SY68" s="87"/>
      <c r="SZ68" s="87"/>
      <c r="TA68" s="87"/>
      <c r="TB68" s="87"/>
      <c r="TC68" s="87"/>
      <c r="TD68" s="87"/>
      <c r="TE68" s="87"/>
      <c r="TF68" s="87"/>
      <c r="TG68" s="87"/>
      <c r="TH68" s="87"/>
      <c r="TI68" s="87"/>
      <c r="TJ68" s="87"/>
      <c r="TK68" s="87"/>
      <c r="TL68" s="87"/>
      <c r="TM68" s="87"/>
      <c r="TN68" s="87"/>
      <c r="TO68" s="87"/>
      <c r="TP68" s="87"/>
      <c r="TQ68" s="87"/>
      <c r="TR68" s="87"/>
      <c r="TS68" s="87"/>
      <c r="TT68" s="87"/>
      <c r="TU68" s="87"/>
      <c r="TV68" s="87"/>
      <c r="TW68" s="87"/>
      <c r="TX68" s="87"/>
      <c r="TY68" s="87"/>
      <c r="TZ68" s="87"/>
      <c r="UA68" s="87"/>
      <c r="UB68" s="87"/>
      <c r="UC68" s="87"/>
      <c r="UD68" s="87"/>
      <c r="UE68" s="87"/>
      <c r="UF68" s="87"/>
      <c r="UG68" s="87"/>
      <c r="UH68" s="87"/>
      <c r="UI68" s="87"/>
      <c r="UJ68" s="87"/>
      <c r="UK68" s="87"/>
      <c r="UL68" s="87"/>
      <c r="UM68" s="87"/>
      <c r="UN68" s="87"/>
      <c r="UO68" s="87"/>
      <c r="UP68" s="87"/>
      <c r="UQ68" s="87"/>
      <c r="UR68" s="87"/>
      <c r="US68" s="87"/>
      <c r="UT68" s="87"/>
      <c r="UU68" s="87"/>
      <c r="UV68" s="87"/>
      <c r="UW68" s="87"/>
      <c r="UX68" s="87"/>
      <c r="UY68" s="87"/>
      <c r="UZ68" s="87"/>
      <c r="VA68" s="87"/>
      <c r="VB68" s="87"/>
      <c r="VC68" s="87"/>
      <c r="VD68" s="87"/>
      <c r="VE68" s="87"/>
      <c r="VF68" s="87"/>
      <c r="VG68" s="87"/>
      <c r="VH68" s="87"/>
      <c r="VI68" s="87"/>
      <c r="VJ68" s="87"/>
      <c r="VK68" s="87"/>
      <c r="VL68" s="87"/>
      <c r="VM68" s="87"/>
      <c r="VN68" s="87"/>
      <c r="VO68" s="87"/>
      <c r="VP68" s="87"/>
      <c r="VQ68" s="87"/>
      <c r="VR68" s="87"/>
      <c r="VS68" s="87"/>
      <c r="VT68" s="87"/>
      <c r="VU68" s="87"/>
      <c r="VV68" s="87"/>
      <c r="VW68" s="87"/>
      <c r="VX68" s="87"/>
      <c r="VY68" s="87"/>
      <c r="VZ68" s="87"/>
      <c r="WA68" s="87"/>
      <c r="WB68" s="87"/>
      <c r="WC68" s="87"/>
      <c r="WD68" s="87"/>
      <c r="WE68" s="87"/>
      <c r="WF68" s="87"/>
      <c r="WG68" s="87"/>
      <c r="WH68" s="87"/>
      <c r="WI68" s="87"/>
      <c r="WJ68" s="87"/>
      <c r="WK68" s="87"/>
      <c r="WL68" s="87"/>
      <c r="WM68" s="87"/>
      <c r="WN68" s="87"/>
      <c r="WO68" s="87"/>
      <c r="WP68" s="87"/>
      <c r="WQ68" s="87"/>
      <c r="WR68" s="87"/>
      <c r="WS68" s="87"/>
      <c r="WT68" s="87"/>
      <c r="WU68" s="87"/>
      <c r="WV68" s="87"/>
      <c r="WW68" s="87"/>
      <c r="WX68" s="87"/>
      <c r="WY68" s="87"/>
      <c r="WZ68" s="87"/>
      <c r="XA68" s="87"/>
      <c r="XB68" s="87"/>
      <c r="XC68" s="87"/>
      <c r="XD68" s="87"/>
      <c r="XE68" s="87"/>
      <c r="XF68" s="87"/>
      <c r="XG68" s="87"/>
      <c r="XH68" s="87"/>
      <c r="XI68" s="87"/>
      <c r="XJ68" s="87"/>
      <c r="XK68" s="87"/>
      <c r="XL68" s="87"/>
      <c r="XM68" s="87"/>
      <c r="XN68" s="87"/>
      <c r="XO68" s="87"/>
      <c r="XP68" s="87"/>
      <c r="XQ68" s="87"/>
      <c r="XR68" s="87"/>
      <c r="XS68" s="87"/>
      <c r="XT68" s="87"/>
      <c r="XU68" s="87"/>
      <c r="XV68" s="87"/>
      <c r="XW68" s="87"/>
      <c r="XX68" s="87"/>
      <c r="XY68" s="87"/>
      <c r="XZ68" s="87"/>
      <c r="YA68" s="87"/>
      <c r="YB68" s="87"/>
      <c r="YC68" s="87"/>
      <c r="YD68" s="87"/>
      <c r="YE68" s="87"/>
      <c r="YF68" s="87"/>
      <c r="YG68" s="87"/>
      <c r="YH68" s="87"/>
      <c r="YI68" s="87"/>
      <c r="YJ68" s="87"/>
      <c r="YK68" s="87"/>
      <c r="YL68" s="87"/>
      <c r="YM68" s="87"/>
      <c r="YN68" s="87"/>
      <c r="YO68" s="87"/>
      <c r="YP68" s="87"/>
      <c r="YQ68" s="87"/>
      <c r="YR68" s="87"/>
      <c r="YS68" s="87"/>
      <c r="YT68" s="87"/>
      <c r="YU68" s="87"/>
      <c r="YV68" s="87"/>
      <c r="YW68" s="87"/>
      <c r="YX68" s="87"/>
      <c r="YY68" s="87"/>
      <c r="YZ68" s="87"/>
      <c r="ZA68" s="87"/>
      <c r="ZB68" s="87"/>
      <c r="ZC68" s="87"/>
      <c r="ZD68" s="87"/>
      <c r="ZE68" s="87"/>
      <c r="ZF68" s="87"/>
      <c r="ZG68" s="87"/>
      <c r="ZH68" s="87"/>
      <c r="ZI68" s="87"/>
      <c r="ZJ68" s="87"/>
      <c r="ZK68" s="87"/>
      <c r="ZL68" s="87"/>
      <c r="ZM68" s="87"/>
      <c r="ZN68" s="87"/>
      <c r="ZO68" s="87"/>
      <c r="ZP68" s="87"/>
      <c r="ZQ68" s="87"/>
      <c r="ZR68" s="87"/>
      <c r="ZS68" s="87"/>
      <c r="ZT68" s="87"/>
      <c r="ZU68" s="87"/>
      <c r="ZV68" s="87"/>
      <c r="ZW68" s="87"/>
      <c r="ZX68" s="87"/>
      <c r="ZY68" s="87"/>
      <c r="ZZ68" s="87"/>
      <c r="AAA68" s="87"/>
      <c r="AAB68" s="87"/>
      <c r="AAC68" s="87"/>
      <c r="AAD68" s="87"/>
      <c r="AAE68" s="87"/>
      <c r="AAF68" s="87"/>
      <c r="AAG68" s="87"/>
      <c r="AAH68" s="87"/>
      <c r="AAI68" s="87"/>
      <c r="AAJ68" s="87"/>
      <c r="AAK68" s="87"/>
      <c r="AAL68" s="87"/>
      <c r="AAM68" s="87"/>
      <c r="AAN68" s="87"/>
      <c r="AAO68" s="87"/>
      <c r="AAP68" s="87"/>
      <c r="AAQ68" s="87"/>
      <c r="AAR68" s="87"/>
      <c r="AAS68" s="87"/>
      <c r="AAT68" s="87"/>
      <c r="AAU68" s="87"/>
      <c r="AAV68" s="87"/>
      <c r="AAW68" s="87"/>
      <c r="AAX68" s="87"/>
      <c r="AAY68" s="87"/>
      <c r="AAZ68" s="87"/>
      <c r="ABA68" s="87"/>
      <c r="ABB68" s="87"/>
      <c r="ABC68" s="87"/>
      <c r="ABD68" s="87"/>
      <c r="ABE68" s="87"/>
      <c r="ABF68" s="87"/>
      <c r="ABG68" s="87"/>
      <c r="ABH68" s="87"/>
      <c r="ABI68" s="87"/>
      <c r="ABJ68" s="87"/>
      <c r="ABK68" s="87"/>
      <c r="ABL68" s="87"/>
      <c r="ABM68" s="87"/>
      <c r="ABN68" s="87"/>
      <c r="ABO68" s="87"/>
      <c r="ABP68" s="87"/>
      <c r="ABQ68" s="87"/>
      <c r="ABR68" s="87"/>
      <c r="ABS68" s="87"/>
      <c r="ABT68" s="87"/>
      <c r="ABU68" s="87"/>
      <c r="ABV68" s="87"/>
      <c r="ABW68" s="87"/>
      <c r="ABX68" s="87"/>
      <c r="ABY68" s="87"/>
      <c r="ABZ68" s="87"/>
      <c r="ACA68" s="87"/>
      <c r="ACB68" s="87"/>
      <c r="ACC68" s="87"/>
      <c r="ACD68" s="87"/>
      <c r="ACE68" s="87"/>
      <c r="ACF68" s="87"/>
      <c r="ACG68" s="87"/>
      <c r="ACH68" s="87"/>
      <c r="ACI68" s="87"/>
      <c r="ACJ68" s="87"/>
      <c r="ACK68" s="87"/>
      <c r="ACL68" s="87"/>
      <c r="ACM68" s="87"/>
      <c r="ACN68" s="87"/>
      <c r="ACO68" s="87"/>
      <c r="ACP68" s="87"/>
      <c r="ACQ68" s="87"/>
      <c r="ACR68" s="87"/>
      <c r="ACS68" s="87"/>
      <c r="ACT68" s="87"/>
      <c r="ACU68" s="87"/>
      <c r="ACV68" s="87"/>
      <c r="ACW68" s="87"/>
      <c r="ACX68" s="87"/>
      <c r="ACY68" s="87"/>
      <c r="ACZ68" s="87"/>
      <c r="ADA68" s="87"/>
      <c r="ADB68" s="87"/>
      <c r="ADC68" s="87"/>
      <c r="ADD68" s="87"/>
      <c r="ADE68" s="87"/>
      <c r="ADF68" s="87"/>
      <c r="ADG68" s="87"/>
      <c r="ADH68" s="87"/>
      <c r="ADI68" s="87"/>
      <c r="ADJ68" s="87"/>
      <c r="ADK68" s="87"/>
      <c r="ADL68" s="87"/>
      <c r="ADM68" s="87"/>
      <c r="ADN68" s="87"/>
      <c r="ADO68" s="87"/>
      <c r="ADP68" s="87"/>
      <c r="ADQ68" s="87"/>
      <c r="ADR68" s="87"/>
      <c r="ADS68" s="87"/>
      <c r="ADT68" s="87"/>
      <c r="ADU68" s="87"/>
      <c r="ADV68" s="87"/>
      <c r="ADW68" s="87"/>
      <c r="ADX68" s="87"/>
      <c r="ADY68" s="87"/>
      <c r="ADZ68" s="87"/>
      <c r="AEA68" s="87"/>
      <c r="AEB68" s="87"/>
      <c r="AEC68" s="87"/>
      <c r="AED68" s="87"/>
      <c r="AEE68" s="87"/>
      <c r="AEF68" s="87"/>
      <c r="AEG68" s="87"/>
      <c r="AEH68" s="87"/>
      <c r="AEI68" s="87"/>
      <c r="AEJ68" s="87"/>
      <c r="AEK68" s="87"/>
      <c r="AEL68" s="87"/>
      <c r="AEM68" s="87"/>
      <c r="AEN68" s="87"/>
      <c r="AEO68" s="87"/>
      <c r="AEP68" s="87"/>
      <c r="AEQ68" s="87"/>
      <c r="AER68" s="87"/>
      <c r="AES68" s="87"/>
      <c r="AET68" s="87"/>
      <c r="AEU68" s="87"/>
      <c r="AEV68" s="87"/>
      <c r="AEW68" s="87"/>
      <c r="AEX68" s="87"/>
      <c r="AEY68" s="87"/>
      <c r="AEZ68" s="87"/>
      <c r="AFA68" s="87"/>
      <c r="AFB68" s="87"/>
      <c r="AFC68" s="87"/>
      <c r="AFD68" s="87"/>
      <c r="AFE68" s="87"/>
      <c r="AFF68" s="87"/>
      <c r="AFG68" s="87"/>
      <c r="AFH68" s="87"/>
      <c r="AFI68" s="87"/>
      <c r="AFJ68" s="87"/>
      <c r="AFK68" s="87"/>
      <c r="AFL68" s="87"/>
      <c r="AFM68" s="87"/>
      <c r="AFN68" s="87"/>
      <c r="AFO68" s="87"/>
      <c r="AFP68" s="87"/>
      <c r="AFQ68" s="87"/>
      <c r="AFR68" s="87"/>
      <c r="AFS68" s="87"/>
      <c r="AFT68" s="87"/>
      <c r="AFU68" s="87"/>
      <c r="AFV68" s="87"/>
      <c r="AFW68" s="87"/>
      <c r="AFX68" s="87"/>
      <c r="AFY68" s="87"/>
      <c r="AFZ68" s="87"/>
      <c r="AGA68" s="87"/>
      <c r="AGB68" s="87"/>
      <c r="AGC68" s="87"/>
      <c r="AGD68" s="87"/>
      <c r="AGE68" s="87"/>
      <c r="AGF68" s="87"/>
      <c r="AGG68" s="87"/>
      <c r="AGH68" s="87"/>
      <c r="AGI68" s="87"/>
      <c r="AGJ68" s="87"/>
      <c r="AGK68" s="87"/>
      <c r="AGL68" s="87"/>
      <c r="AGM68" s="87"/>
      <c r="AGN68" s="87"/>
      <c r="AGO68" s="87"/>
      <c r="AGP68" s="87"/>
      <c r="AGQ68" s="87"/>
      <c r="AGR68" s="87"/>
      <c r="AGS68" s="87"/>
      <c r="AGT68" s="87"/>
      <c r="AGU68" s="87"/>
      <c r="AGV68" s="87"/>
      <c r="AGW68" s="87"/>
      <c r="AGX68" s="87"/>
      <c r="AGY68" s="87"/>
      <c r="AGZ68" s="87"/>
      <c r="AHA68" s="87"/>
      <c r="AHB68" s="87"/>
      <c r="AHC68" s="87"/>
      <c r="AHD68" s="87"/>
      <c r="AHE68" s="87"/>
      <c r="AHF68" s="87"/>
      <c r="AHG68" s="87"/>
      <c r="AHH68" s="87"/>
      <c r="AHI68" s="87"/>
      <c r="AHJ68" s="87"/>
      <c r="AHK68" s="87"/>
      <c r="AHL68" s="87"/>
      <c r="AHM68" s="87"/>
      <c r="AHN68" s="87"/>
      <c r="AHO68" s="87"/>
      <c r="AHP68" s="87"/>
      <c r="AHQ68" s="87"/>
      <c r="AHR68" s="87"/>
      <c r="AHS68" s="87"/>
      <c r="AHT68" s="87"/>
      <c r="AHU68" s="87"/>
      <c r="AHV68" s="87"/>
      <c r="AHW68" s="87"/>
      <c r="AHX68" s="87"/>
      <c r="AHY68" s="87"/>
      <c r="AHZ68" s="87"/>
      <c r="AIA68" s="87"/>
      <c r="AIB68" s="87"/>
      <c r="AIC68" s="87"/>
      <c r="AID68" s="87"/>
      <c r="AIE68" s="87"/>
      <c r="AIF68" s="87"/>
      <c r="AIG68" s="87"/>
      <c r="AIH68" s="87"/>
      <c r="AII68" s="87"/>
      <c r="AIJ68" s="87"/>
      <c r="AIK68" s="87"/>
      <c r="AIL68" s="87"/>
      <c r="AIM68" s="87"/>
      <c r="AIN68" s="87"/>
      <c r="AIO68" s="87"/>
      <c r="AIP68" s="87"/>
      <c r="AIQ68" s="87"/>
      <c r="AIR68" s="87"/>
      <c r="AIS68" s="87"/>
      <c r="AIT68" s="87"/>
      <c r="AIU68" s="87"/>
      <c r="AIV68" s="87"/>
      <c r="AIW68" s="87"/>
      <c r="AIX68" s="87"/>
      <c r="AIY68" s="87"/>
      <c r="AIZ68" s="87"/>
      <c r="AJA68" s="87"/>
      <c r="AJB68" s="87"/>
      <c r="AJC68" s="87"/>
      <c r="AJD68" s="87"/>
      <c r="AJE68" s="87"/>
      <c r="AJF68" s="87"/>
      <c r="AJG68" s="87"/>
      <c r="AJH68" s="87"/>
      <c r="AJI68" s="87"/>
      <c r="AJJ68" s="87"/>
      <c r="AJK68" s="87"/>
      <c r="AJL68" s="87"/>
      <c r="AJM68" s="87"/>
      <c r="AJN68" s="87"/>
      <c r="AJO68" s="87"/>
      <c r="AJP68" s="87"/>
      <c r="AJQ68" s="87"/>
      <c r="AJR68" s="87"/>
      <c r="AJS68" s="87"/>
      <c r="AJT68" s="87"/>
      <c r="AJU68" s="87"/>
      <c r="AJV68" s="87"/>
      <c r="AJW68" s="87"/>
      <c r="AJX68" s="87"/>
      <c r="AJY68" s="87"/>
      <c r="AJZ68" s="87"/>
      <c r="AKA68" s="87"/>
      <c r="AKB68" s="87"/>
      <c r="AKC68" s="87"/>
      <c r="AKD68" s="87"/>
      <c r="AKE68" s="87"/>
      <c r="AKF68" s="87"/>
      <c r="AKG68" s="87"/>
      <c r="AKH68" s="87"/>
      <c r="AKI68" s="87"/>
      <c r="AKJ68" s="87"/>
      <c r="AKK68" s="87"/>
      <c r="AKL68" s="87"/>
      <c r="AKM68" s="87"/>
      <c r="AKN68" s="87"/>
      <c r="AKO68" s="87"/>
      <c r="AKP68" s="87"/>
      <c r="AKQ68" s="87"/>
      <c r="AKR68" s="87"/>
      <c r="AKS68" s="87"/>
      <c r="AKT68" s="87"/>
      <c r="AKU68" s="87"/>
      <c r="AKV68" s="87"/>
      <c r="AKW68" s="87"/>
      <c r="AKX68" s="87"/>
      <c r="AKY68" s="87"/>
      <c r="AKZ68" s="87"/>
      <c r="ALA68" s="87"/>
      <c r="ALB68" s="87"/>
      <c r="ALC68" s="87"/>
      <c r="ALD68" s="87"/>
      <c r="ALE68" s="87"/>
      <c r="ALF68" s="87"/>
      <c r="ALG68" s="87"/>
      <c r="ALH68" s="87"/>
      <c r="ALI68" s="87"/>
      <c r="ALJ68" s="87"/>
      <c r="ALK68" s="87"/>
      <c r="ALL68" s="87"/>
      <c r="ALM68" s="87"/>
      <c r="ALN68" s="87"/>
      <c r="ALO68" s="87"/>
      <c r="ALP68" s="87"/>
      <c r="ALQ68" s="87"/>
      <c r="ALR68" s="87"/>
      <c r="ALS68" s="87"/>
      <c r="ALT68" s="87"/>
      <c r="ALU68" s="87"/>
      <c r="ALV68" s="87"/>
      <c r="ALW68" s="87"/>
      <c r="ALX68" s="87"/>
      <c r="ALY68" s="87"/>
      <c r="ALZ68" s="87"/>
      <c r="AMA68" s="87"/>
      <c r="AMB68" s="87"/>
      <c r="AMC68" s="87"/>
      <c r="AMD68" s="87"/>
      <c r="AME68" s="87"/>
      <c r="AMF68" s="87"/>
      <c r="AMG68" s="87"/>
      <c r="AMH68" s="87"/>
      <c r="AMI68" s="87"/>
      <c r="AMJ68" s="87"/>
      <c r="AMK68" s="87"/>
      <c r="AML68" s="87"/>
      <c r="AMM68" s="87"/>
      <c r="AMN68" s="87"/>
      <c r="AMO68" s="87"/>
      <c r="AMP68" s="87"/>
      <c r="AMQ68" s="87"/>
      <c r="AMR68" s="87"/>
      <c r="AMS68" s="87"/>
      <c r="AMT68" s="87"/>
      <c r="AMU68" s="87"/>
      <c r="AMV68" s="87"/>
      <c r="AMW68" s="87"/>
      <c r="AMX68" s="87"/>
      <c r="AMY68" s="87"/>
      <c r="AMZ68" s="87"/>
      <c r="ANA68" s="87"/>
      <c r="ANB68" s="87"/>
      <c r="ANC68" s="87"/>
      <c r="AND68" s="87"/>
      <c r="ANE68" s="87"/>
      <c r="ANF68" s="87"/>
      <c r="ANG68" s="87"/>
      <c r="ANH68" s="87"/>
      <c r="ANI68" s="87"/>
      <c r="ANJ68" s="87"/>
      <c r="ANK68" s="87"/>
      <c r="ANL68" s="87"/>
      <c r="ANM68" s="87"/>
      <c r="ANN68" s="87"/>
      <c r="ANO68" s="87"/>
      <c r="ANP68" s="87"/>
      <c r="ANQ68" s="87"/>
      <c r="ANR68" s="87"/>
      <c r="ANS68" s="87"/>
      <c r="ANT68" s="87"/>
      <c r="ANU68" s="87"/>
      <c r="ANV68" s="87"/>
      <c r="ANW68" s="87"/>
      <c r="ANX68" s="87"/>
      <c r="ANY68" s="87"/>
      <c r="ANZ68" s="87"/>
      <c r="AOA68" s="87"/>
      <c r="AOB68" s="87"/>
      <c r="AOC68" s="87"/>
      <c r="AOD68" s="87"/>
      <c r="AOE68" s="87"/>
      <c r="AOF68" s="87"/>
      <c r="AOG68" s="87"/>
      <c r="AOH68" s="87"/>
      <c r="AOI68" s="87"/>
      <c r="AOJ68" s="87"/>
      <c r="AOK68" s="87"/>
      <c r="AOL68" s="87"/>
      <c r="AOM68" s="87"/>
      <c r="AON68" s="87"/>
      <c r="AOO68" s="87"/>
      <c r="AOP68" s="87"/>
      <c r="AOQ68" s="87"/>
      <c r="AOR68" s="87"/>
      <c r="AOS68" s="87"/>
      <c r="AOT68" s="87"/>
      <c r="AOU68" s="87"/>
      <c r="AOV68" s="87"/>
      <c r="AOW68" s="87"/>
      <c r="AOX68" s="87"/>
      <c r="AOY68" s="87"/>
      <c r="AOZ68" s="87"/>
      <c r="APA68" s="87"/>
      <c r="APB68" s="87"/>
      <c r="APC68" s="87"/>
      <c r="APD68" s="87"/>
      <c r="APE68" s="87"/>
      <c r="APF68" s="87"/>
      <c r="APG68" s="87"/>
      <c r="APH68" s="87"/>
      <c r="API68" s="87"/>
      <c r="APJ68" s="87"/>
      <c r="APK68" s="87"/>
      <c r="APL68" s="87"/>
      <c r="APM68" s="87"/>
      <c r="APN68" s="87"/>
      <c r="APO68" s="87"/>
      <c r="APP68" s="87"/>
      <c r="APQ68" s="87"/>
      <c r="APR68" s="87"/>
      <c r="APS68" s="87"/>
      <c r="APT68" s="87"/>
      <c r="APU68" s="87"/>
      <c r="APV68" s="87"/>
      <c r="APW68" s="87"/>
      <c r="APX68" s="87"/>
      <c r="APY68" s="87"/>
      <c r="APZ68" s="87"/>
      <c r="AQA68" s="87"/>
      <c r="AQB68" s="87"/>
      <c r="AQC68" s="87"/>
      <c r="AQD68" s="87"/>
      <c r="AQE68" s="87"/>
      <c r="AQF68" s="87"/>
      <c r="AQG68" s="87"/>
      <c r="AQH68" s="87"/>
      <c r="AQI68" s="87"/>
      <c r="AQJ68" s="87"/>
      <c r="AQK68" s="87"/>
      <c r="AQL68" s="87"/>
      <c r="AQM68" s="87"/>
      <c r="AQN68" s="87"/>
      <c r="AQO68" s="87"/>
      <c r="AQP68" s="87"/>
      <c r="AQQ68" s="87"/>
      <c r="AQR68" s="87"/>
      <c r="AQS68" s="87"/>
      <c r="AQT68" s="87"/>
      <c r="AQU68" s="87"/>
      <c r="AQV68" s="87"/>
      <c r="AQW68" s="87"/>
      <c r="AQX68" s="87"/>
      <c r="AQY68" s="87"/>
      <c r="AQZ68" s="87"/>
      <c r="ARA68" s="87"/>
      <c r="ARB68" s="87"/>
      <c r="ARC68" s="87"/>
      <c r="ARD68" s="87"/>
      <c r="ARE68" s="87"/>
      <c r="ARF68" s="87"/>
      <c r="ARG68" s="87"/>
      <c r="ARH68" s="87"/>
      <c r="ARI68" s="87"/>
      <c r="ARJ68" s="87"/>
      <c r="ARK68" s="87"/>
      <c r="ARL68" s="87"/>
      <c r="ARM68" s="87"/>
      <c r="ARN68" s="87"/>
      <c r="ARO68" s="87"/>
      <c r="ARP68" s="87"/>
      <c r="ARQ68" s="87"/>
      <c r="ARR68" s="87"/>
      <c r="ARS68" s="87"/>
      <c r="ART68" s="87"/>
      <c r="ARU68" s="87"/>
      <c r="ARV68" s="87"/>
      <c r="ARW68" s="87"/>
      <c r="ARX68" s="87"/>
      <c r="ARY68" s="87"/>
      <c r="ARZ68" s="87"/>
      <c r="ASA68" s="87"/>
      <c r="ASB68" s="87"/>
      <c r="ASC68" s="87"/>
      <c r="ASD68" s="87"/>
      <c r="ASE68" s="87"/>
      <c r="ASF68" s="87"/>
      <c r="ASG68" s="87"/>
      <c r="ASH68" s="87"/>
      <c r="ASI68" s="87"/>
      <c r="ASJ68" s="87"/>
      <c r="ASK68" s="87"/>
      <c r="ASL68" s="87"/>
      <c r="ASM68" s="87"/>
      <c r="ASN68" s="87"/>
      <c r="ASO68" s="87"/>
      <c r="ASP68" s="87"/>
      <c r="ASQ68" s="87"/>
      <c r="ASR68" s="87"/>
      <c r="ASS68" s="87"/>
      <c r="AST68" s="87"/>
      <c r="ASU68" s="87"/>
      <c r="ASV68" s="87"/>
      <c r="ASW68" s="87"/>
      <c r="ASX68" s="87"/>
      <c r="ASY68" s="87"/>
      <c r="ASZ68" s="87"/>
      <c r="ATA68" s="87"/>
      <c r="ATB68" s="87"/>
      <c r="ATC68" s="87"/>
      <c r="ATD68" s="87"/>
      <c r="ATE68" s="87"/>
      <c r="ATF68" s="87"/>
      <c r="ATG68" s="87"/>
      <c r="ATH68" s="87"/>
      <c r="ATI68" s="87"/>
      <c r="ATJ68" s="87"/>
      <c r="ATK68" s="87"/>
      <c r="ATL68" s="87"/>
      <c r="ATM68" s="87"/>
      <c r="ATN68" s="87"/>
      <c r="ATO68" s="87"/>
      <c r="ATP68" s="87"/>
      <c r="ATQ68" s="87"/>
      <c r="ATR68" s="87"/>
      <c r="ATS68" s="87"/>
      <c r="ATT68" s="87"/>
      <c r="ATU68" s="87"/>
      <c r="ATV68" s="87"/>
      <c r="ATW68" s="87"/>
      <c r="ATX68" s="87"/>
      <c r="ATY68" s="87"/>
      <c r="ATZ68" s="87"/>
      <c r="AUA68" s="87"/>
      <c r="AUB68" s="87"/>
      <c r="AUC68" s="87"/>
      <c r="AUD68" s="87"/>
      <c r="AUE68" s="87"/>
      <c r="AUF68" s="87"/>
      <c r="AUG68" s="87"/>
      <c r="AUH68" s="87"/>
      <c r="AUI68" s="87"/>
      <c r="AUJ68" s="87"/>
      <c r="AUK68" s="87"/>
      <c r="AUL68" s="87"/>
      <c r="AUM68" s="87"/>
      <c r="AUN68" s="87"/>
      <c r="AUO68" s="87"/>
      <c r="AUP68" s="87"/>
      <c r="AUQ68" s="87"/>
      <c r="AUR68" s="87"/>
      <c r="AUS68" s="87"/>
      <c r="AUT68" s="87"/>
      <c r="AUU68" s="87"/>
      <c r="AUV68" s="87"/>
      <c r="AUW68" s="87"/>
      <c r="AUX68" s="87"/>
      <c r="AUY68" s="87"/>
      <c r="AUZ68" s="87"/>
      <c r="AVA68" s="87"/>
      <c r="AVB68" s="87"/>
      <c r="AVC68" s="87"/>
      <c r="AVD68" s="87"/>
      <c r="AVE68" s="87"/>
      <c r="AVF68" s="87"/>
      <c r="AVG68" s="87"/>
      <c r="AVH68" s="87"/>
      <c r="AVI68" s="87"/>
      <c r="AVJ68" s="87"/>
      <c r="AVK68" s="87"/>
      <c r="AVL68" s="87"/>
      <c r="AVM68" s="87"/>
      <c r="AVN68" s="87"/>
      <c r="AVO68" s="87"/>
      <c r="AVP68" s="87"/>
      <c r="AVQ68" s="87"/>
      <c r="AVR68" s="87"/>
      <c r="AVS68" s="87"/>
      <c r="AVT68" s="87"/>
      <c r="AVU68" s="87"/>
      <c r="AVV68" s="87"/>
      <c r="AVW68" s="87"/>
      <c r="AVX68" s="87"/>
      <c r="AVY68" s="87"/>
      <c r="AVZ68" s="87"/>
      <c r="AWA68" s="87"/>
      <c r="AWB68" s="87"/>
      <c r="AWC68" s="87"/>
      <c r="AWD68" s="87"/>
      <c r="AWE68" s="87"/>
      <c r="AWF68" s="87"/>
      <c r="AWG68" s="87"/>
      <c r="AWH68" s="87"/>
      <c r="AWI68" s="87"/>
      <c r="AWJ68" s="87"/>
      <c r="AWK68" s="87"/>
      <c r="AWL68" s="87"/>
      <c r="AWM68" s="87"/>
      <c r="AWN68" s="87"/>
      <c r="AWO68" s="87"/>
      <c r="AWP68" s="87"/>
      <c r="AWQ68" s="87"/>
      <c r="AWR68" s="87"/>
      <c r="AWS68" s="87"/>
      <c r="AWT68" s="87"/>
      <c r="AWU68" s="87"/>
      <c r="AWV68" s="87"/>
      <c r="AWW68" s="87"/>
      <c r="AWX68" s="87"/>
      <c r="AWY68" s="87"/>
      <c r="AWZ68" s="87"/>
      <c r="AXA68" s="87"/>
      <c r="AXB68" s="87"/>
      <c r="AXC68" s="87"/>
      <c r="AXD68" s="87"/>
      <c r="AXE68" s="87"/>
      <c r="AXF68" s="87"/>
      <c r="AXG68" s="87"/>
      <c r="AXH68" s="87"/>
      <c r="AXI68" s="87"/>
      <c r="AXJ68" s="87"/>
      <c r="AXK68" s="87"/>
      <c r="AXL68" s="87"/>
      <c r="AXM68" s="87"/>
      <c r="AXN68" s="87"/>
      <c r="AXO68" s="87"/>
      <c r="AXP68" s="87"/>
      <c r="AXQ68" s="87"/>
      <c r="AXR68" s="87"/>
      <c r="AXS68" s="87"/>
      <c r="AXT68" s="87"/>
      <c r="AXU68" s="87"/>
      <c r="AXV68" s="87"/>
      <c r="AXW68" s="87"/>
      <c r="AXX68" s="87"/>
      <c r="AXY68" s="87"/>
      <c r="AXZ68" s="87"/>
      <c r="AYA68" s="87"/>
      <c r="AYB68" s="87"/>
      <c r="AYC68" s="87"/>
      <c r="AYD68" s="87"/>
      <c r="AYE68" s="87"/>
      <c r="AYF68" s="87"/>
      <c r="AYG68" s="87"/>
      <c r="AYH68" s="87"/>
      <c r="AYI68" s="87"/>
      <c r="AYJ68" s="87"/>
      <c r="AYK68" s="87"/>
      <c r="AYL68" s="87"/>
      <c r="AYM68" s="87"/>
      <c r="AYN68" s="87"/>
      <c r="AYO68" s="87"/>
      <c r="AYP68" s="87"/>
      <c r="AYQ68" s="87"/>
      <c r="AYR68" s="87"/>
      <c r="AYS68" s="87"/>
      <c r="AYT68" s="87"/>
      <c r="AYU68" s="87"/>
      <c r="AYV68" s="87"/>
      <c r="AYW68" s="87"/>
      <c r="AYX68" s="87"/>
      <c r="AYY68" s="87"/>
      <c r="AYZ68" s="87"/>
      <c r="AZA68" s="87"/>
      <c r="AZB68" s="87"/>
      <c r="AZC68" s="87"/>
      <c r="AZD68" s="87"/>
      <c r="AZE68" s="87"/>
      <c r="AZF68" s="87"/>
      <c r="AZG68" s="87"/>
      <c r="AZH68" s="87"/>
      <c r="AZI68" s="87"/>
      <c r="AZJ68" s="87"/>
      <c r="AZK68" s="87"/>
      <c r="AZL68" s="87"/>
      <c r="AZM68" s="87"/>
      <c r="AZN68" s="87"/>
      <c r="AZO68" s="87"/>
      <c r="AZP68" s="87"/>
      <c r="AZQ68" s="87"/>
      <c r="AZR68" s="87"/>
      <c r="AZS68" s="87"/>
      <c r="AZT68" s="87"/>
      <c r="AZU68" s="87"/>
      <c r="AZV68" s="87"/>
      <c r="AZW68" s="87"/>
      <c r="AZX68" s="87"/>
      <c r="AZY68" s="87"/>
      <c r="AZZ68" s="87"/>
      <c r="BAA68" s="87"/>
      <c r="BAB68" s="87"/>
      <c r="BAC68" s="87"/>
      <c r="BAD68" s="87"/>
      <c r="BAE68" s="87"/>
      <c r="BAF68" s="87"/>
      <c r="BAG68" s="87"/>
      <c r="BAH68" s="87"/>
      <c r="BAI68" s="87"/>
      <c r="BAJ68" s="87"/>
      <c r="BAK68" s="87"/>
      <c r="BAL68" s="87"/>
      <c r="BAM68" s="87"/>
      <c r="BAN68" s="87"/>
      <c r="BAO68" s="87"/>
      <c r="BAP68" s="87"/>
      <c r="BAQ68" s="87"/>
      <c r="BAR68" s="87"/>
      <c r="BAS68" s="87"/>
      <c r="BAT68" s="87"/>
      <c r="BAU68" s="87"/>
      <c r="BAV68" s="87"/>
      <c r="BAW68" s="87"/>
      <c r="BAX68" s="87"/>
      <c r="BAY68" s="87"/>
      <c r="BAZ68" s="87"/>
      <c r="BBA68" s="87"/>
      <c r="BBB68" s="87"/>
      <c r="BBC68" s="87"/>
      <c r="BBD68" s="87"/>
      <c r="BBE68" s="87"/>
      <c r="BBF68" s="87"/>
      <c r="BBG68" s="87"/>
      <c r="BBH68" s="87"/>
      <c r="BBI68" s="87"/>
      <c r="BBJ68" s="87"/>
      <c r="BBK68" s="87"/>
      <c r="BBL68" s="87"/>
      <c r="BBM68" s="87"/>
      <c r="BBN68" s="87"/>
      <c r="BBO68" s="87"/>
      <c r="BBP68" s="87"/>
      <c r="BBQ68" s="87"/>
      <c r="BBR68" s="87"/>
      <c r="BBS68" s="87"/>
      <c r="BBT68" s="87"/>
      <c r="BBU68" s="87"/>
      <c r="BBV68" s="87"/>
      <c r="BBW68" s="87"/>
      <c r="BBX68" s="87"/>
      <c r="BBY68" s="87"/>
      <c r="BBZ68" s="87"/>
      <c r="BCA68" s="87"/>
      <c r="BCB68" s="87"/>
      <c r="BCC68" s="87"/>
      <c r="BCD68" s="87"/>
      <c r="BCE68" s="87"/>
      <c r="BCF68" s="87"/>
      <c r="BCG68" s="87"/>
      <c r="BCH68" s="87"/>
      <c r="BCI68" s="87"/>
      <c r="BCJ68" s="87"/>
      <c r="BCK68" s="87"/>
      <c r="BCL68" s="87"/>
      <c r="BCM68" s="87"/>
      <c r="BCN68" s="87"/>
      <c r="BCO68" s="87"/>
      <c r="BCP68" s="87"/>
      <c r="BCQ68" s="87"/>
      <c r="BCR68" s="87"/>
      <c r="BCS68" s="87"/>
      <c r="BCT68" s="87"/>
      <c r="BCU68" s="87"/>
      <c r="BCV68" s="87"/>
      <c r="BCW68" s="87"/>
      <c r="BCX68" s="87"/>
      <c r="BCY68" s="87"/>
      <c r="BCZ68" s="87"/>
      <c r="BDA68" s="87"/>
      <c r="BDB68" s="87"/>
      <c r="BDC68" s="87"/>
      <c r="BDD68" s="87"/>
      <c r="BDE68" s="87"/>
      <c r="BDF68" s="87"/>
      <c r="BDG68" s="87"/>
      <c r="BDH68" s="87"/>
      <c r="BDI68" s="87"/>
      <c r="BDJ68" s="87"/>
      <c r="BDK68" s="87"/>
      <c r="BDL68" s="87"/>
      <c r="BDM68" s="87"/>
      <c r="BDN68" s="87"/>
      <c r="BDO68" s="87"/>
      <c r="BDP68" s="87"/>
      <c r="BDQ68" s="87"/>
      <c r="BDR68" s="87"/>
      <c r="BDS68" s="87"/>
      <c r="BDT68" s="87"/>
      <c r="BDU68" s="87"/>
      <c r="BDV68" s="87"/>
      <c r="BDW68" s="87"/>
      <c r="BDX68" s="87"/>
      <c r="BDY68" s="87"/>
      <c r="BDZ68" s="87"/>
      <c r="BEA68" s="87"/>
      <c r="BEB68" s="87"/>
      <c r="BEC68" s="87"/>
      <c r="BED68" s="87"/>
      <c r="BEE68" s="87"/>
      <c r="BEF68" s="87"/>
      <c r="BEG68" s="87"/>
      <c r="BEH68" s="87"/>
      <c r="BEI68" s="87"/>
      <c r="BEJ68" s="87"/>
      <c r="BEK68" s="87"/>
      <c r="BEL68" s="87"/>
      <c r="BEM68" s="87"/>
      <c r="BEN68" s="87"/>
      <c r="BEO68" s="87"/>
      <c r="BEP68" s="87"/>
      <c r="BEQ68" s="87"/>
      <c r="BER68" s="87"/>
      <c r="BES68" s="87"/>
      <c r="BET68" s="87"/>
      <c r="BEU68" s="87"/>
      <c r="BEV68" s="87"/>
      <c r="BEW68" s="87"/>
      <c r="BEX68" s="87"/>
      <c r="BEY68" s="87"/>
      <c r="BEZ68" s="87"/>
      <c r="BFA68" s="87"/>
      <c r="BFB68" s="87"/>
      <c r="BFC68" s="87"/>
      <c r="BFD68" s="87"/>
      <c r="BFE68" s="87"/>
      <c r="BFF68" s="87"/>
      <c r="BFG68" s="87"/>
      <c r="BFH68" s="87"/>
      <c r="BFI68" s="87"/>
      <c r="BFJ68" s="87"/>
      <c r="BFK68" s="87"/>
      <c r="BFL68" s="87"/>
      <c r="BFM68" s="87"/>
      <c r="BFN68" s="87"/>
      <c r="BFO68" s="87"/>
      <c r="BFP68" s="87"/>
      <c r="BFQ68" s="87"/>
      <c r="BFR68" s="87"/>
      <c r="BFS68" s="87"/>
      <c r="BFT68" s="87"/>
      <c r="BFU68" s="87"/>
      <c r="BFV68" s="87"/>
      <c r="BFW68" s="87"/>
      <c r="BFX68" s="87"/>
      <c r="BFY68" s="87"/>
      <c r="BFZ68" s="87"/>
      <c r="BGA68" s="87"/>
      <c r="BGB68" s="87"/>
      <c r="BGC68" s="87"/>
      <c r="BGD68" s="87"/>
      <c r="BGE68" s="87"/>
      <c r="BGF68" s="87"/>
      <c r="BGG68" s="87"/>
      <c r="BGH68" s="87"/>
      <c r="BGI68" s="87"/>
      <c r="BGJ68" s="87"/>
      <c r="BGK68" s="87"/>
      <c r="BGL68" s="87"/>
      <c r="BGM68" s="87"/>
      <c r="BGN68" s="87"/>
      <c r="BGO68" s="87"/>
      <c r="BGP68" s="87"/>
      <c r="BGQ68" s="87"/>
      <c r="BGR68" s="87"/>
      <c r="BGS68" s="87"/>
      <c r="BGT68" s="87"/>
      <c r="BGU68" s="87"/>
      <c r="BGV68" s="87"/>
      <c r="BGW68" s="87"/>
      <c r="BGX68" s="87"/>
      <c r="BGY68" s="87"/>
      <c r="BGZ68" s="87"/>
      <c r="BHA68" s="87"/>
      <c r="BHB68" s="87"/>
      <c r="BHC68" s="87"/>
      <c r="BHD68" s="87"/>
      <c r="BHE68" s="87"/>
      <c r="BHF68" s="87"/>
      <c r="BHG68" s="87"/>
      <c r="BHH68" s="87"/>
      <c r="BHI68" s="87"/>
      <c r="BHJ68" s="87"/>
      <c r="BHK68" s="87"/>
      <c r="BHL68" s="87"/>
      <c r="BHM68" s="87"/>
      <c r="BHN68" s="87"/>
      <c r="BHO68" s="87"/>
      <c r="BHP68" s="87"/>
      <c r="BHQ68" s="87"/>
      <c r="BHR68" s="87"/>
      <c r="BHS68" s="87"/>
      <c r="BHT68" s="87"/>
      <c r="BHU68" s="87"/>
      <c r="BHV68" s="87"/>
      <c r="BHW68" s="87"/>
      <c r="BHX68" s="87"/>
      <c r="BHY68" s="87"/>
      <c r="BHZ68" s="87"/>
      <c r="BIA68" s="87"/>
      <c r="BIB68" s="87"/>
      <c r="BIC68" s="87"/>
      <c r="BID68" s="87"/>
      <c r="BIE68" s="87"/>
      <c r="BIF68" s="87"/>
      <c r="BIG68" s="87"/>
      <c r="BIH68" s="87"/>
      <c r="BII68" s="87"/>
      <c r="BIJ68" s="87"/>
      <c r="BIK68" s="87"/>
      <c r="BIL68" s="87"/>
      <c r="BIM68" s="87"/>
      <c r="BIN68" s="87"/>
      <c r="BIO68" s="87"/>
      <c r="BIP68" s="87"/>
      <c r="BIQ68" s="87"/>
      <c r="BIR68" s="87"/>
      <c r="BIS68" s="87"/>
      <c r="BIT68" s="87"/>
      <c r="BIU68" s="87"/>
      <c r="BIV68" s="87"/>
      <c r="BIW68" s="87"/>
      <c r="BIX68" s="87"/>
      <c r="BIY68" s="87"/>
      <c r="BIZ68" s="87"/>
      <c r="BJA68" s="87"/>
      <c r="BJB68" s="87"/>
      <c r="BJC68" s="87"/>
      <c r="BJD68" s="87"/>
      <c r="BJE68" s="87"/>
      <c r="BJF68" s="87"/>
      <c r="BJG68" s="87"/>
      <c r="BJH68" s="87"/>
      <c r="BJI68" s="87"/>
      <c r="BJJ68" s="87"/>
      <c r="BJK68" s="87"/>
      <c r="BJL68" s="87"/>
      <c r="BJM68" s="87"/>
      <c r="BJN68" s="87"/>
      <c r="BJO68" s="87"/>
      <c r="BJP68" s="87"/>
      <c r="BJQ68" s="87"/>
      <c r="BJR68" s="87"/>
      <c r="BJS68" s="87"/>
      <c r="BJT68" s="87"/>
      <c r="BJU68" s="87"/>
      <c r="BJV68" s="87"/>
      <c r="BJW68" s="87"/>
      <c r="BJX68" s="87"/>
      <c r="BJY68" s="87"/>
      <c r="BJZ68" s="87"/>
      <c r="BKA68" s="87"/>
      <c r="BKB68" s="87"/>
      <c r="BKC68" s="87"/>
      <c r="BKD68" s="87"/>
      <c r="BKE68" s="87"/>
      <c r="BKF68" s="87"/>
      <c r="BKG68" s="87"/>
      <c r="BKH68" s="87"/>
      <c r="BKI68" s="87"/>
      <c r="BKJ68" s="87"/>
      <c r="BKK68" s="87"/>
      <c r="BKL68" s="87"/>
      <c r="BKM68" s="87"/>
      <c r="BKN68" s="87"/>
      <c r="BKO68" s="87"/>
      <c r="BKP68" s="87"/>
      <c r="BKQ68" s="87"/>
      <c r="BKR68" s="87"/>
      <c r="BKS68" s="87"/>
      <c r="BKT68" s="87"/>
      <c r="BKU68" s="87"/>
      <c r="BKV68" s="87"/>
      <c r="BKW68" s="87"/>
      <c r="BKX68" s="87"/>
      <c r="BKY68" s="87"/>
      <c r="BKZ68" s="87"/>
      <c r="BLA68" s="87"/>
      <c r="BLB68" s="87"/>
      <c r="BLC68" s="87"/>
      <c r="BLD68" s="87"/>
      <c r="BLE68" s="87"/>
      <c r="BLF68" s="87"/>
      <c r="BLG68" s="87"/>
      <c r="BLH68" s="87"/>
      <c r="BLI68" s="87"/>
      <c r="BLJ68" s="87"/>
      <c r="BLK68" s="87"/>
      <c r="BLL68" s="87"/>
      <c r="BLM68" s="87"/>
      <c r="BLN68" s="87"/>
      <c r="BLO68" s="87"/>
      <c r="BLP68" s="87"/>
      <c r="BLQ68" s="87"/>
      <c r="BLR68" s="87"/>
      <c r="BLS68" s="87"/>
      <c r="BLT68" s="87"/>
      <c r="BLU68" s="87"/>
      <c r="BLV68" s="87"/>
      <c r="BLW68" s="87"/>
      <c r="BLX68" s="87"/>
      <c r="BLY68" s="87"/>
      <c r="BLZ68" s="87"/>
      <c r="BMA68" s="87"/>
      <c r="BMB68" s="87"/>
      <c r="BMC68" s="87"/>
      <c r="BMD68" s="87"/>
      <c r="BME68" s="87"/>
      <c r="BMF68" s="87"/>
      <c r="BMG68" s="87"/>
      <c r="BMH68" s="87"/>
      <c r="BMI68" s="87"/>
      <c r="BMJ68" s="87"/>
      <c r="BMK68" s="87"/>
      <c r="BML68" s="87"/>
      <c r="BMM68" s="87"/>
      <c r="BMN68" s="87"/>
      <c r="BMO68" s="87"/>
      <c r="BMP68" s="87"/>
      <c r="BMQ68" s="87"/>
      <c r="BMR68" s="87"/>
      <c r="BMS68" s="87"/>
      <c r="BMT68" s="87"/>
      <c r="BMU68" s="87"/>
      <c r="BMV68" s="87"/>
      <c r="BMW68" s="87"/>
      <c r="BMX68" s="87"/>
      <c r="BMY68" s="87"/>
      <c r="BMZ68" s="87"/>
      <c r="BNA68" s="87"/>
      <c r="BNB68" s="87"/>
      <c r="BNC68" s="87"/>
      <c r="BND68" s="87"/>
      <c r="BNE68" s="87"/>
      <c r="BNF68" s="87"/>
      <c r="BNG68" s="87"/>
      <c r="BNH68" s="87"/>
      <c r="BNI68" s="87"/>
      <c r="BNJ68" s="87"/>
      <c r="BNK68" s="87"/>
      <c r="BNL68" s="87"/>
      <c r="BNM68" s="87"/>
      <c r="BNN68" s="87"/>
      <c r="BNO68" s="87"/>
      <c r="BNP68" s="87"/>
      <c r="BNQ68" s="87"/>
      <c r="BNR68" s="87"/>
      <c r="BNS68" s="87"/>
      <c r="BNT68" s="87"/>
      <c r="BNU68" s="87"/>
      <c r="BNV68" s="87"/>
      <c r="BNW68" s="87"/>
      <c r="BNX68" s="87"/>
      <c r="BNY68" s="87"/>
      <c r="BNZ68" s="87"/>
      <c r="BOA68" s="87"/>
      <c r="BOB68" s="87"/>
      <c r="BOC68" s="87"/>
      <c r="BOD68" s="87"/>
      <c r="BOE68" s="87"/>
      <c r="BOF68" s="87"/>
      <c r="BOG68" s="87"/>
      <c r="BOH68" s="87"/>
      <c r="BOI68" s="87"/>
      <c r="BOJ68" s="87"/>
      <c r="BOK68" s="87"/>
      <c r="BOL68" s="87"/>
      <c r="BOM68" s="87"/>
      <c r="BON68" s="87"/>
      <c r="BOO68" s="87"/>
      <c r="BOP68" s="87"/>
      <c r="BOQ68" s="87"/>
      <c r="BOR68" s="87"/>
      <c r="BOS68" s="87"/>
      <c r="BOT68" s="87"/>
      <c r="BOU68" s="87"/>
      <c r="BOV68" s="87"/>
      <c r="BOW68" s="87"/>
      <c r="BOX68" s="87"/>
      <c r="BOY68" s="87"/>
      <c r="BOZ68" s="87"/>
      <c r="BPA68" s="87"/>
      <c r="BPB68" s="87"/>
      <c r="BPC68" s="87"/>
      <c r="BPD68" s="87"/>
      <c r="BPE68" s="87"/>
      <c r="BPF68" s="87"/>
      <c r="BPG68" s="87"/>
      <c r="BPH68" s="87"/>
      <c r="BPI68" s="87"/>
      <c r="BPJ68" s="87"/>
      <c r="BPK68" s="87"/>
      <c r="BPL68" s="87"/>
      <c r="BPM68" s="87"/>
      <c r="BPN68" s="87"/>
      <c r="BPO68" s="87"/>
      <c r="BPP68" s="87"/>
      <c r="BPQ68" s="87"/>
      <c r="BPR68" s="87"/>
      <c r="BPS68" s="87"/>
      <c r="BPT68" s="87"/>
      <c r="BPU68" s="87"/>
      <c r="BPV68" s="87"/>
      <c r="BPW68" s="87"/>
      <c r="BPX68" s="87"/>
      <c r="BPY68" s="87"/>
      <c r="BPZ68" s="87"/>
      <c r="BQA68" s="87"/>
      <c r="BQB68" s="87"/>
      <c r="BQC68" s="87"/>
      <c r="BQD68" s="87"/>
      <c r="BQE68" s="87"/>
      <c r="BQF68" s="87"/>
      <c r="BQG68" s="87"/>
      <c r="BQH68" s="87"/>
      <c r="BQI68" s="87"/>
      <c r="BQJ68" s="87"/>
      <c r="BQK68" s="87"/>
      <c r="BQL68" s="87"/>
      <c r="BQM68" s="87"/>
      <c r="BQN68" s="87"/>
      <c r="BQO68" s="87"/>
      <c r="BQP68" s="87"/>
      <c r="BQQ68" s="87"/>
      <c r="BQR68" s="87"/>
      <c r="BQS68" s="87"/>
      <c r="BQT68" s="87"/>
      <c r="BQU68" s="87"/>
      <c r="BQV68" s="87"/>
      <c r="BQW68" s="87"/>
      <c r="BQX68" s="87"/>
      <c r="BQY68" s="87"/>
      <c r="BQZ68" s="87"/>
      <c r="BRA68" s="87"/>
      <c r="BRB68" s="87"/>
      <c r="BRC68" s="87"/>
      <c r="BRD68" s="87"/>
      <c r="BRE68" s="87"/>
      <c r="BRF68" s="87"/>
      <c r="BRG68" s="87"/>
      <c r="BRH68" s="87"/>
      <c r="BRI68" s="87"/>
      <c r="BRJ68" s="87"/>
      <c r="BRK68" s="87"/>
      <c r="BRL68" s="87"/>
      <c r="BRM68" s="87"/>
      <c r="BRN68" s="87"/>
      <c r="BRO68" s="87"/>
      <c r="BRP68" s="87"/>
      <c r="BRQ68" s="87"/>
      <c r="BRR68" s="87"/>
      <c r="BRS68" s="87"/>
      <c r="BRT68" s="87"/>
      <c r="BRU68" s="87"/>
      <c r="BRV68" s="87"/>
      <c r="BRW68" s="87"/>
      <c r="BRX68" s="87"/>
      <c r="BRY68" s="87"/>
      <c r="BRZ68" s="87"/>
      <c r="BSA68" s="87"/>
      <c r="BSB68" s="87"/>
      <c r="BSC68" s="87"/>
      <c r="BSD68" s="87"/>
      <c r="BSE68" s="87"/>
      <c r="BSF68" s="87"/>
      <c r="BSG68" s="87"/>
      <c r="BSH68" s="87"/>
      <c r="BSI68" s="87"/>
      <c r="BSJ68" s="87"/>
      <c r="BSK68" s="87"/>
      <c r="BSL68" s="87"/>
      <c r="BSM68" s="87"/>
      <c r="BSN68" s="87"/>
      <c r="BSO68" s="87"/>
      <c r="BSP68" s="87"/>
      <c r="BSQ68" s="87"/>
      <c r="BSR68" s="87"/>
      <c r="BSS68" s="87"/>
      <c r="BST68" s="87"/>
      <c r="BSU68" s="87"/>
      <c r="BSV68" s="87"/>
      <c r="BSW68" s="87"/>
      <c r="BSX68" s="87"/>
      <c r="BSY68" s="87"/>
      <c r="BSZ68" s="87"/>
      <c r="BTA68" s="87"/>
      <c r="BTB68" s="87"/>
      <c r="BTC68" s="87"/>
      <c r="BTD68" s="87"/>
      <c r="BTE68" s="87"/>
      <c r="BTF68" s="87"/>
      <c r="BTG68" s="87"/>
      <c r="BTH68" s="87"/>
      <c r="BTI68" s="87"/>
      <c r="BTJ68" s="87"/>
      <c r="BTK68" s="87"/>
      <c r="BTL68" s="87"/>
      <c r="BTM68" s="87"/>
      <c r="BTN68" s="87"/>
      <c r="BTO68" s="87"/>
      <c r="BTP68" s="87"/>
      <c r="BTQ68" s="87"/>
      <c r="BTR68" s="87"/>
      <c r="BTS68" s="87"/>
      <c r="BTT68" s="87"/>
      <c r="BTU68" s="87"/>
      <c r="BTV68" s="87"/>
      <c r="BTW68" s="87"/>
      <c r="BTX68" s="87"/>
      <c r="BTY68" s="87"/>
      <c r="BTZ68" s="87"/>
      <c r="BUA68" s="87"/>
      <c r="BUB68" s="87"/>
      <c r="BUC68" s="87"/>
      <c r="BUD68" s="87"/>
      <c r="BUE68" s="87"/>
      <c r="BUF68" s="87"/>
      <c r="BUG68" s="87"/>
      <c r="BUH68" s="87"/>
      <c r="BUI68" s="87"/>
      <c r="BUJ68" s="87"/>
      <c r="BUK68" s="87"/>
      <c r="BUL68" s="87"/>
      <c r="BUM68" s="87"/>
      <c r="BUN68" s="87"/>
      <c r="BUO68" s="87"/>
      <c r="BUP68" s="87"/>
      <c r="BUQ68" s="87"/>
      <c r="BUR68" s="87"/>
      <c r="BUS68" s="87"/>
      <c r="BUT68" s="87"/>
      <c r="BUU68" s="87"/>
      <c r="BUV68" s="87"/>
      <c r="BUW68" s="87"/>
      <c r="BUX68" s="87"/>
      <c r="BUY68" s="87"/>
      <c r="BUZ68" s="87"/>
      <c r="BVA68" s="87"/>
      <c r="BVB68" s="87"/>
      <c r="BVC68" s="87"/>
      <c r="BVD68" s="87"/>
      <c r="BVE68" s="87"/>
      <c r="BVF68" s="87"/>
      <c r="BVG68" s="87"/>
      <c r="BVH68" s="87"/>
      <c r="BVI68" s="87"/>
      <c r="BVJ68" s="87"/>
      <c r="BVK68" s="87"/>
      <c r="BVL68" s="87"/>
      <c r="BVM68" s="87"/>
      <c r="BVN68" s="87"/>
      <c r="BVO68" s="87"/>
      <c r="BVP68" s="87"/>
      <c r="BVQ68" s="87"/>
      <c r="BVR68" s="87"/>
      <c r="BVS68" s="87"/>
      <c r="BVT68" s="87"/>
      <c r="BVU68" s="87"/>
      <c r="BVV68" s="87"/>
      <c r="BVW68" s="87"/>
      <c r="BVX68" s="87"/>
      <c r="BVY68" s="87"/>
      <c r="BVZ68" s="87"/>
      <c r="BWA68" s="87"/>
      <c r="BWB68" s="87"/>
      <c r="BWC68" s="87"/>
      <c r="BWD68" s="87"/>
      <c r="BWE68" s="87"/>
      <c r="BWF68" s="87"/>
      <c r="BWG68" s="87"/>
      <c r="BWH68" s="87"/>
      <c r="BWI68" s="87"/>
      <c r="BWJ68" s="87"/>
      <c r="BWK68" s="87"/>
      <c r="BWL68" s="87"/>
      <c r="BWM68" s="87"/>
      <c r="BWN68" s="87"/>
      <c r="BWO68" s="87"/>
      <c r="BWP68" s="87"/>
      <c r="BWQ68" s="87"/>
      <c r="BWR68" s="87"/>
      <c r="BWS68" s="87"/>
      <c r="BWT68" s="87"/>
      <c r="BWU68" s="87"/>
      <c r="BWV68" s="87"/>
      <c r="BWW68" s="87"/>
      <c r="BWX68" s="87"/>
      <c r="BWY68" s="87"/>
      <c r="BWZ68" s="87"/>
      <c r="BXA68" s="87"/>
      <c r="BXB68" s="87"/>
      <c r="BXC68" s="87"/>
      <c r="BXD68" s="87"/>
      <c r="BXE68" s="87"/>
      <c r="BXF68" s="87"/>
      <c r="BXG68" s="87"/>
      <c r="BXH68" s="87"/>
      <c r="BXI68" s="87"/>
      <c r="BXJ68" s="87"/>
      <c r="BXK68" s="87"/>
      <c r="BXL68" s="87"/>
      <c r="BXM68" s="87"/>
      <c r="BXN68" s="87"/>
      <c r="BXO68" s="87"/>
      <c r="BXP68" s="87"/>
      <c r="BXQ68" s="87"/>
      <c r="BXR68" s="87"/>
      <c r="BXS68" s="87"/>
      <c r="BXT68" s="87"/>
      <c r="BXU68" s="87"/>
      <c r="BXV68" s="87"/>
      <c r="BXW68" s="87"/>
      <c r="BXX68" s="87"/>
      <c r="BXY68" s="87"/>
      <c r="BXZ68" s="87"/>
      <c r="BYA68" s="87"/>
      <c r="BYB68" s="87"/>
      <c r="BYC68" s="87"/>
      <c r="BYD68" s="87"/>
      <c r="BYE68" s="87"/>
      <c r="BYF68" s="87"/>
      <c r="BYG68" s="87"/>
      <c r="BYH68" s="87"/>
      <c r="BYI68" s="87"/>
      <c r="BYJ68" s="87"/>
      <c r="BYK68" s="87"/>
      <c r="BYL68" s="87"/>
      <c r="BYM68" s="87"/>
      <c r="BYN68" s="87"/>
      <c r="BYO68" s="87"/>
      <c r="BYP68" s="87"/>
      <c r="BYQ68" s="87"/>
      <c r="BYR68" s="87"/>
      <c r="BYS68" s="87"/>
      <c r="BYT68" s="87"/>
      <c r="BYU68" s="87"/>
      <c r="BYV68" s="87"/>
      <c r="BYW68" s="87"/>
      <c r="BYX68" s="87"/>
      <c r="BYY68" s="87"/>
      <c r="BYZ68" s="87"/>
      <c r="BZA68" s="87"/>
      <c r="BZB68" s="87"/>
      <c r="BZC68" s="87"/>
      <c r="BZD68" s="87"/>
      <c r="BZE68" s="87"/>
      <c r="BZF68" s="87"/>
      <c r="BZG68" s="87"/>
      <c r="BZH68" s="87"/>
      <c r="BZI68" s="87"/>
      <c r="BZJ68" s="87"/>
      <c r="BZK68" s="87"/>
      <c r="BZL68" s="87"/>
      <c r="BZM68" s="87"/>
      <c r="BZN68" s="87"/>
      <c r="BZO68" s="87"/>
      <c r="BZP68" s="87"/>
      <c r="BZQ68" s="87"/>
      <c r="BZR68" s="87"/>
      <c r="BZS68" s="87"/>
      <c r="BZT68" s="87"/>
      <c r="BZU68" s="87"/>
      <c r="BZV68" s="87"/>
      <c r="BZW68" s="87"/>
      <c r="BZX68" s="87"/>
      <c r="BZY68" s="87"/>
      <c r="BZZ68" s="87"/>
      <c r="CAA68" s="87"/>
      <c r="CAB68" s="87"/>
      <c r="CAC68" s="87"/>
      <c r="CAD68" s="87"/>
      <c r="CAE68" s="87"/>
      <c r="CAF68" s="87"/>
      <c r="CAG68" s="87"/>
      <c r="CAH68" s="87"/>
      <c r="CAI68" s="87"/>
      <c r="CAJ68" s="87"/>
      <c r="CAK68" s="87"/>
      <c r="CAL68" s="87"/>
      <c r="CAM68" s="87"/>
      <c r="CAN68" s="87"/>
      <c r="CAO68" s="87"/>
      <c r="CAP68" s="87"/>
      <c r="CAQ68" s="87"/>
      <c r="CAR68" s="87"/>
      <c r="CAS68" s="87"/>
      <c r="CAT68" s="87"/>
      <c r="CAU68" s="87"/>
      <c r="CAV68" s="87"/>
      <c r="CAW68" s="87"/>
      <c r="CAX68" s="87"/>
      <c r="CAY68" s="87"/>
      <c r="CAZ68" s="87"/>
      <c r="CBA68" s="87"/>
      <c r="CBB68" s="87"/>
      <c r="CBC68" s="87"/>
      <c r="CBD68" s="87"/>
      <c r="CBE68" s="87"/>
      <c r="CBF68" s="87"/>
      <c r="CBG68" s="87"/>
      <c r="CBH68" s="87"/>
      <c r="CBI68" s="87"/>
      <c r="CBJ68" s="87"/>
      <c r="CBK68" s="87"/>
      <c r="CBL68" s="87"/>
      <c r="CBM68" s="87"/>
      <c r="CBN68" s="87"/>
      <c r="CBO68" s="87"/>
      <c r="CBP68" s="87"/>
      <c r="CBQ68" s="87"/>
      <c r="CBR68" s="87"/>
      <c r="CBS68" s="87"/>
      <c r="CBT68" s="87"/>
      <c r="CBU68" s="87"/>
      <c r="CBV68" s="87"/>
      <c r="CBW68" s="87"/>
      <c r="CBX68" s="87"/>
      <c r="CBY68" s="87"/>
      <c r="CBZ68" s="87"/>
      <c r="CCA68" s="87"/>
      <c r="CCB68" s="87"/>
      <c r="CCC68" s="87"/>
      <c r="CCD68" s="87"/>
      <c r="CCE68" s="87"/>
      <c r="CCF68" s="87"/>
      <c r="CCG68" s="87"/>
      <c r="CCH68" s="87"/>
      <c r="CCI68" s="87"/>
      <c r="CCJ68" s="87"/>
      <c r="CCK68" s="87"/>
      <c r="CCL68" s="87"/>
      <c r="CCM68" s="87"/>
      <c r="CCN68" s="87"/>
      <c r="CCO68" s="87"/>
      <c r="CCP68" s="87"/>
      <c r="CCQ68" s="87"/>
      <c r="CCR68" s="87"/>
      <c r="CCS68" s="87"/>
      <c r="CCT68" s="87"/>
      <c r="CCU68" s="87"/>
      <c r="CCV68" s="87"/>
      <c r="CCW68" s="87"/>
      <c r="CCX68" s="87"/>
      <c r="CCY68" s="87"/>
      <c r="CCZ68" s="87"/>
      <c r="CDA68" s="87"/>
      <c r="CDB68" s="87"/>
      <c r="CDC68" s="87"/>
      <c r="CDD68" s="87"/>
      <c r="CDE68" s="87"/>
      <c r="CDF68" s="87"/>
      <c r="CDG68" s="87"/>
      <c r="CDH68" s="87"/>
      <c r="CDI68" s="87"/>
      <c r="CDJ68" s="87"/>
      <c r="CDK68" s="87"/>
      <c r="CDL68" s="87"/>
      <c r="CDM68" s="87"/>
      <c r="CDN68" s="87"/>
      <c r="CDO68" s="87"/>
      <c r="CDP68" s="87"/>
      <c r="CDQ68" s="87"/>
      <c r="CDR68" s="87"/>
      <c r="CDS68" s="87"/>
      <c r="CDT68" s="87"/>
      <c r="CDU68" s="87"/>
      <c r="CDV68" s="87"/>
      <c r="CDW68" s="87"/>
      <c r="CDX68" s="87"/>
      <c r="CDY68" s="87"/>
      <c r="CDZ68" s="87"/>
      <c r="CEA68" s="87"/>
      <c r="CEB68" s="87"/>
      <c r="CEC68" s="87"/>
      <c r="CED68" s="87"/>
      <c r="CEE68" s="87"/>
      <c r="CEF68" s="87"/>
      <c r="CEG68" s="87"/>
      <c r="CEH68" s="87"/>
      <c r="CEI68" s="87"/>
      <c r="CEJ68" s="87"/>
      <c r="CEK68" s="87"/>
      <c r="CEL68" s="87"/>
      <c r="CEM68" s="87"/>
      <c r="CEN68" s="87"/>
      <c r="CEO68" s="87"/>
      <c r="CEP68" s="87"/>
      <c r="CEQ68" s="87"/>
      <c r="CER68" s="87"/>
      <c r="CES68" s="87"/>
      <c r="CET68" s="87"/>
      <c r="CEU68" s="87"/>
      <c r="CEV68" s="87"/>
      <c r="CEW68" s="87"/>
      <c r="CEX68" s="87"/>
      <c r="CEY68" s="87"/>
      <c r="CEZ68" s="87"/>
      <c r="CFA68" s="87"/>
      <c r="CFB68" s="87"/>
      <c r="CFC68" s="87"/>
      <c r="CFD68" s="87"/>
      <c r="CFE68" s="87"/>
      <c r="CFF68" s="87"/>
      <c r="CFG68" s="87"/>
      <c r="CFH68" s="87"/>
      <c r="CFI68" s="87"/>
      <c r="CFJ68" s="87"/>
      <c r="CFK68" s="87"/>
      <c r="CFL68" s="87"/>
      <c r="CFM68" s="87"/>
      <c r="CFN68" s="87"/>
      <c r="CFO68" s="87"/>
      <c r="CFP68" s="87"/>
      <c r="CFQ68" s="87"/>
      <c r="CFR68" s="87"/>
      <c r="CFS68" s="87"/>
      <c r="CFT68" s="87"/>
      <c r="CFU68" s="87"/>
      <c r="CFV68" s="87"/>
      <c r="CFW68" s="87"/>
      <c r="CFX68" s="87"/>
      <c r="CFY68" s="87"/>
      <c r="CFZ68" s="87"/>
      <c r="CGA68" s="87"/>
      <c r="CGB68" s="87"/>
      <c r="CGC68" s="87"/>
      <c r="CGD68" s="87"/>
      <c r="CGE68" s="87"/>
      <c r="CGF68" s="87"/>
      <c r="CGG68" s="87"/>
      <c r="CGH68" s="87"/>
      <c r="CGI68" s="87"/>
      <c r="CGJ68" s="87"/>
      <c r="CGK68" s="87"/>
      <c r="CGL68" s="87"/>
      <c r="CGM68" s="87"/>
      <c r="CGN68" s="87"/>
      <c r="CGO68" s="87"/>
      <c r="CGP68" s="87"/>
      <c r="CGQ68" s="87"/>
      <c r="CGR68" s="87"/>
      <c r="CGS68" s="87"/>
      <c r="CGT68" s="87"/>
      <c r="CGU68" s="87"/>
      <c r="CGV68" s="87"/>
      <c r="CGW68" s="87"/>
      <c r="CGX68" s="87"/>
      <c r="CGY68" s="87"/>
      <c r="CGZ68" s="87"/>
      <c r="CHA68" s="87"/>
      <c r="CHB68" s="87"/>
      <c r="CHC68" s="87"/>
      <c r="CHD68" s="87"/>
      <c r="CHE68" s="87"/>
      <c r="CHF68" s="87"/>
      <c r="CHG68" s="87"/>
      <c r="CHH68" s="87"/>
      <c r="CHI68" s="87"/>
      <c r="CHJ68" s="87"/>
      <c r="CHK68" s="87"/>
      <c r="CHL68" s="87"/>
      <c r="CHM68" s="87"/>
      <c r="CHN68" s="87"/>
      <c r="CHO68" s="87"/>
      <c r="CHP68" s="87"/>
      <c r="CHQ68" s="87"/>
      <c r="CHR68" s="87"/>
      <c r="CHS68" s="87"/>
      <c r="CHT68" s="87"/>
      <c r="CHU68" s="87"/>
      <c r="CHV68" s="87"/>
      <c r="CHW68" s="87"/>
      <c r="CHX68" s="87"/>
      <c r="CHY68" s="87"/>
      <c r="CHZ68" s="87"/>
      <c r="CIA68" s="87"/>
      <c r="CIB68" s="87"/>
      <c r="CIC68" s="87"/>
      <c r="CID68" s="87"/>
      <c r="CIE68" s="87"/>
      <c r="CIF68" s="87"/>
      <c r="CIG68" s="87"/>
      <c r="CIH68" s="87"/>
      <c r="CII68" s="87"/>
      <c r="CIJ68" s="87"/>
      <c r="CIK68" s="87"/>
      <c r="CIL68" s="87"/>
      <c r="CIM68" s="87"/>
      <c r="CIN68" s="87"/>
      <c r="CIO68" s="87"/>
      <c r="CIP68" s="87"/>
      <c r="CIQ68" s="87"/>
      <c r="CIR68" s="87"/>
      <c r="CIS68" s="87"/>
      <c r="CIT68" s="87"/>
      <c r="CIU68" s="87"/>
      <c r="CIV68" s="87"/>
      <c r="CIW68" s="87"/>
      <c r="CIX68" s="87"/>
      <c r="CIY68" s="87"/>
      <c r="CIZ68" s="87"/>
      <c r="CJA68" s="87"/>
      <c r="CJB68" s="87"/>
      <c r="CJC68" s="87"/>
      <c r="CJD68" s="87"/>
      <c r="CJE68" s="87"/>
      <c r="CJF68" s="87"/>
      <c r="CJG68" s="87"/>
      <c r="CJH68" s="87"/>
      <c r="CJI68" s="87"/>
      <c r="CJJ68" s="87"/>
      <c r="CJK68" s="87"/>
      <c r="CJL68" s="87"/>
      <c r="CJM68" s="87"/>
      <c r="CJN68" s="87"/>
      <c r="CJO68" s="87"/>
      <c r="CJP68" s="87"/>
      <c r="CJQ68" s="87"/>
      <c r="CJR68" s="87"/>
      <c r="CJS68" s="87"/>
      <c r="CJT68" s="87"/>
      <c r="CJU68" s="87"/>
      <c r="CJV68" s="87"/>
      <c r="CJW68" s="87"/>
      <c r="CJX68" s="87"/>
      <c r="CJY68" s="87"/>
      <c r="CJZ68" s="87"/>
      <c r="CKA68" s="87"/>
      <c r="CKB68" s="87"/>
      <c r="CKC68" s="87"/>
      <c r="CKD68" s="87"/>
      <c r="CKE68" s="87"/>
      <c r="CKF68" s="87"/>
      <c r="CKG68" s="87"/>
      <c r="CKH68" s="87"/>
      <c r="CKI68" s="87"/>
      <c r="CKJ68" s="87"/>
      <c r="CKK68" s="87"/>
      <c r="CKL68" s="87"/>
      <c r="CKM68" s="87"/>
      <c r="CKN68" s="87"/>
      <c r="CKO68" s="87"/>
      <c r="CKP68" s="87"/>
      <c r="CKQ68" s="87"/>
      <c r="CKR68" s="87"/>
      <c r="CKS68" s="87"/>
      <c r="CKT68" s="87"/>
      <c r="CKU68" s="87"/>
      <c r="CKV68" s="87"/>
      <c r="CKW68" s="87"/>
      <c r="CKX68" s="87"/>
      <c r="CKY68" s="87"/>
      <c r="CKZ68" s="87"/>
      <c r="CLA68" s="87"/>
      <c r="CLB68" s="87"/>
      <c r="CLC68" s="87"/>
      <c r="CLD68" s="87"/>
      <c r="CLE68" s="87"/>
      <c r="CLF68" s="87"/>
      <c r="CLG68" s="87"/>
      <c r="CLH68" s="87"/>
      <c r="CLI68" s="87"/>
      <c r="CLJ68" s="87"/>
      <c r="CLK68" s="87"/>
      <c r="CLL68" s="87"/>
      <c r="CLM68" s="87"/>
      <c r="CLN68" s="87"/>
      <c r="CLO68" s="87"/>
      <c r="CLP68" s="87"/>
      <c r="CLQ68" s="87"/>
      <c r="CLR68" s="87"/>
      <c r="CLS68" s="87"/>
      <c r="CLT68" s="87"/>
      <c r="CLU68" s="87"/>
      <c r="CLV68" s="87"/>
      <c r="CLW68" s="87"/>
      <c r="CLX68" s="87"/>
      <c r="CLY68" s="87"/>
      <c r="CLZ68" s="87"/>
      <c r="CMA68" s="87"/>
      <c r="CMB68" s="87"/>
      <c r="CMC68" s="87"/>
      <c r="CMD68" s="87"/>
      <c r="CME68" s="87"/>
      <c r="CMF68" s="87"/>
      <c r="CMG68" s="87"/>
      <c r="CMH68" s="87"/>
      <c r="CMI68" s="87"/>
      <c r="CMJ68" s="87"/>
      <c r="CMK68" s="87"/>
      <c r="CML68" s="87"/>
      <c r="CMM68" s="87"/>
      <c r="CMN68" s="87"/>
      <c r="CMO68" s="87"/>
      <c r="CMP68" s="87"/>
      <c r="CMQ68" s="87"/>
      <c r="CMR68" s="87"/>
      <c r="CMS68" s="87"/>
      <c r="CMT68" s="87"/>
      <c r="CMU68" s="87"/>
      <c r="CMV68" s="87"/>
      <c r="CMW68" s="87"/>
      <c r="CMX68" s="87"/>
      <c r="CMY68" s="87"/>
      <c r="CMZ68" s="87"/>
      <c r="CNA68" s="87"/>
      <c r="CNB68" s="87"/>
      <c r="CNC68" s="87"/>
      <c r="CND68" s="87"/>
      <c r="CNE68" s="87"/>
      <c r="CNF68" s="87"/>
      <c r="CNG68" s="87"/>
      <c r="CNH68" s="87"/>
      <c r="CNI68" s="87"/>
      <c r="CNJ68" s="87"/>
      <c r="CNK68" s="87"/>
      <c r="CNL68" s="87"/>
      <c r="CNM68" s="87"/>
      <c r="CNN68" s="87"/>
      <c r="CNO68" s="87"/>
      <c r="CNP68" s="87"/>
      <c r="CNQ68" s="87"/>
      <c r="CNR68" s="87"/>
      <c r="CNS68" s="87"/>
      <c r="CNT68" s="87"/>
      <c r="CNU68" s="87"/>
      <c r="CNV68" s="87"/>
      <c r="CNW68" s="87"/>
      <c r="CNX68" s="87"/>
      <c r="CNY68" s="87"/>
      <c r="CNZ68" s="87"/>
      <c r="COA68" s="87"/>
      <c r="COB68" s="87"/>
      <c r="COC68" s="87"/>
      <c r="COD68" s="87"/>
      <c r="COE68" s="87"/>
      <c r="COF68" s="87"/>
      <c r="COG68" s="87"/>
      <c r="COH68" s="87"/>
      <c r="COI68" s="87"/>
      <c r="COJ68" s="87"/>
      <c r="COK68" s="87"/>
      <c r="COL68" s="87"/>
      <c r="COM68" s="87"/>
      <c r="CON68" s="87"/>
      <c r="COO68" s="87"/>
      <c r="COP68" s="87"/>
      <c r="COQ68" s="87"/>
      <c r="COR68" s="87"/>
      <c r="COS68" s="87"/>
      <c r="COT68" s="87"/>
      <c r="COU68" s="87"/>
      <c r="COV68" s="87"/>
      <c r="COW68" s="87"/>
      <c r="COX68" s="87"/>
      <c r="COY68" s="87"/>
      <c r="COZ68" s="87"/>
      <c r="CPA68" s="87"/>
      <c r="CPB68" s="87"/>
      <c r="CPC68" s="87"/>
      <c r="CPD68" s="87"/>
      <c r="CPE68" s="87"/>
      <c r="CPF68" s="87"/>
      <c r="CPG68" s="87"/>
      <c r="CPH68" s="87"/>
      <c r="CPI68" s="87"/>
      <c r="CPJ68" s="87"/>
      <c r="CPK68" s="87"/>
      <c r="CPL68" s="87"/>
      <c r="CPM68" s="87"/>
      <c r="CPN68" s="87"/>
      <c r="CPO68" s="87"/>
      <c r="CPP68" s="87"/>
      <c r="CPQ68" s="87"/>
      <c r="CPR68" s="87"/>
      <c r="CPS68" s="87"/>
      <c r="CPT68" s="87"/>
      <c r="CPU68" s="87"/>
      <c r="CPV68" s="87"/>
      <c r="CPW68" s="87"/>
      <c r="CPX68" s="87"/>
      <c r="CPY68" s="87"/>
      <c r="CPZ68" s="87"/>
      <c r="CQA68" s="87"/>
      <c r="CQB68" s="87"/>
      <c r="CQC68" s="87"/>
      <c r="CQD68" s="87"/>
      <c r="CQE68" s="87"/>
      <c r="CQF68" s="87"/>
      <c r="CQG68" s="87"/>
      <c r="CQH68" s="87"/>
      <c r="CQI68" s="87"/>
      <c r="CQJ68" s="87"/>
      <c r="CQK68" s="87"/>
      <c r="CQL68" s="87"/>
      <c r="CQM68" s="87"/>
      <c r="CQN68" s="87"/>
      <c r="CQO68" s="87"/>
      <c r="CQP68" s="87"/>
      <c r="CQQ68" s="87"/>
      <c r="CQR68" s="87"/>
      <c r="CQS68" s="87"/>
      <c r="CQT68" s="87"/>
      <c r="CQU68" s="87"/>
      <c r="CQV68" s="87"/>
      <c r="CQW68" s="87"/>
      <c r="CQX68" s="87"/>
      <c r="CQY68" s="87"/>
      <c r="CQZ68" s="87"/>
      <c r="CRA68" s="87"/>
      <c r="CRB68" s="87"/>
      <c r="CRC68" s="87"/>
      <c r="CRD68" s="87"/>
      <c r="CRE68" s="87"/>
      <c r="CRF68" s="87"/>
      <c r="CRG68" s="87"/>
      <c r="CRH68" s="87"/>
      <c r="CRI68" s="87"/>
      <c r="CRJ68" s="87"/>
      <c r="CRK68" s="87"/>
      <c r="CRL68" s="87"/>
      <c r="CRM68" s="87"/>
      <c r="CRN68" s="87"/>
      <c r="CRO68" s="87"/>
      <c r="CRP68" s="87"/>
      <c r="CRQ68" s="87"/>
      <c r="CRR68" s="87"/>
      <c r="CRS68" s="87"/>
      <c r="CRT68" s="87"/>
      <c r="CRU68" s="87"/>
      <c r="CRV68" s="87"/>
      <c r="CRW68" s="87"/>
      <c r="CRX68" s="87"/>
      <c r="CRY68" s="87"/>
      <c r="CRZ68" s="87"/>
      <c r="CSA68" s="87"/>
      <c r="CSB68" s="87"/>
      <c r="CSC68" s="87"/>
      <c r="CSD68" s="87"/>
      <c r="CSE68" s="87"/>
      <c r="CSF68" s="87"/>
      <c r="CSG68" s="87"/>
      <c r="CSH68" s="87"/>
      <c r="CSI68" s="87"/>
      <c r="CSJ68" s="87"/>
      <c r="CSK68" s="87"/>
      <c r="CSL68" s="87"/>
      <c r="CSM68" s="87"/>
      <c r="CSN68" s="87"/>
      <c r="CSO68" s="87"/>
      <c r="CSP68" s="87"/>
      <c r="CSQ68" s="87"/>
      <c r="CSR68" s="87"/>
      <c r="CSS68" s="87"/>
      <c r="CST68" s="87"/>
      <c r="CSU68" s="87"/>
      <c r="CSV68" s="87"/>
      <c r="CSW68" s="87"/>
      <c r="CSX68" s="87"/>
      <c r="CSY68" s="87"/>
      <c r="CSZ68" s="87"/>
      <c r="CTA68" s="87"/>
      <c r="CTB68" s="87"/>
      <c r="CTC68" s="87"/>
      <c r="CTD68" s="87"/>
      <c r="CTE68" s="87"/>
      <c r="CTF68" s="87"/>
      <c r="CTG68" s="87"/>
      <c r="CTH68" s="87"/>
      <c r="CTI68" s="87"/>
      <c r="CTJ68" s="87"/>
      <c r="CTK68" s="87"/>
      <c r="CTL68" s="87"/>
      <c r="CTM68" s="87"/>
      <c r="CTN68" s="87"/>
      <c r="CTO68" s="87"/>
      <c r="CTP68" s="87"/>
      <c r="CTQ68" s="87"/>
      <c r="CTR68" s="87"/>
      <c r="CTS68" s="87"/>
      <c r="CTT68" s="87"/>
      <c r="CTU68" s="87"/>
      <c r="CTV68" s="87"/>
      <c r="CTW68" s="87"/>
      <c r="CTX68" s="87"/>
      <c r="CTY68" s="87"/>
      <c r="CTZ68" s="87"/>
      <c r="CUA68" s="87"/>
      <c r="CUB68" s="87"/>
      <c r="CUC68" s="87"/>
      <c r="CUD68" s="87"/>
      <c r="CUE68" s="87"/>
      <c r="CUF68" s="87"/>
      <c r="CUG68" s="87"/>
      <c r="CUH68" s="87"/>
      <c r="CUI68" s="87"/>
      <c r="CUJ68" s="87"/>
      <c r="CUK68" s="87"/>
      <c r="CUL68" s="87"/>
      <c r="CUM68" s="87"/>
      <c r="CUN68" s="87"/>
      <c r="CUO68" s="87"/>
      <c r="CUP68" s="87"/>
      <c r="CUQ68" s="87"/>
      <c r="CUR68" s="87"/>
      <c r="CUS68" s="87"/>
      <c r="CUT68" s="87"/>
      <c r="CUU68" s="87"/>
      <c r="CUV68" s="87"/>
      <c r="CUW68" s="87"/>
      <c r="CUX68" s="87"/>
      <c r="CUY68" s="87"/>
      <c r="CUZ68" s="87"/>
      <c r="CVA68" s="87"/>
      <c r="CVB68" s="87"/>
      <c r="CVC68" s="87"/>
      <c r="CVD68" s="87"/>
      <c r="CVE68" s="87"/>
      <c r="CVF68" s="87"/>
      <c r="CVG68" s="87"/>
      <c r="CVH68" s="87"/>
      <c r="CVI68" s="87"/>
      <c r="CVJ68" s="87"/>
      <c r="CVK68" s="87"/>
      <c r="CVL68" s="87"/>
      <c r="CVM68" s="87"/>
      <c r="CVN68" s="87"/>
      <c r="CVO68" s="87"/>
      <c r="CVP68" s="87"/>
      <c r="CVQ68" s="87"/>
      <c r="CVR68" s="87"/>
      <c r="CVS68" s="87"/>
      <c r="CVT68" s="87"/>
      <c r="CVU68" s="87"/>
      <c r="CVV68" s="87"/>
      <c r="CVW68" s="87"/>
      <c r="CVX68" s="87"/>
      <c r="CVY68" s="87"/>
      <c r="CVZ68" s="87"/>
      <c r="CWA68" s="87"/>
      <c r="CWB68" s="87"/>
      <c r="CWC68" s="87"/>
      <c r="CWD68" s="87"/>
      <c r="CWE68" s="87"/>
      <c r="CWF68" s="87"/>
      <c r="CWG68" s="87"/>
      <c r="CWH68" s="87"/>
      <c r="CWI68" s="87"/>
      <c r="CWJ68" s="87"/>
      <c r="CWK68" s="87"/>
      <c r="CWL68" s="87"/>
      <c r="CWM68" s="87"/>
      <c r="CWN68" s="87"/>
      <c r="CWO68" s="87"/>
      <c r="CWP68" s="87"/>
      <c r="CWQ68" s="87"/>
      <c r="CWR68" s="87"/>
      <c r="CWS68" s="87"/>
      <c r="CWT68" s="87"/>
      <c r="CWU68" s="87"/>
      <c r="CWV68" s="87"/>
      <c r="CWW68" s="87"/>
      <c r="CWX68" s="87"/>
      <c r="CWY68" s="87"/>
      <c r="CWZ68" s="87"/>
      <c r="CXA68" s="87"/>
      <c r="CXB68" s="87"/>
      <c r="CXC68" s="87"/>
      <c r="CXD68" s="87"/>
      <c r="CXE68" s="87"/>
      <c r="CXF68" s="87"/>
      <c r="CXG68" s="87"/>
      <c r="CXH68" s="87"/>
      <c r="CXI68" s="87"/>
      <c r="CXJ68" s="87"/>
      <c r="CXK68" s="87"/>
      <c r="CXL68" s="87"/>
      <c r="CXM68" s="87"/>
      <c r="CXN68" s="87"/>
      <c r="CXO68" s="87"/>
      <c r="CXP68" s="87"/>
      <c r="CXQ68" s="87"/>
      <c r="CXR68" s="87"/>
      <c r="CXS68" s="87"/>
      <c r="CXT68" s="87"/>
      <c r="CXU68" s="87"/>
      <c r="CXV68" s="87"/>
      <c r="CXW68" s="87"/>
      <c r="CXX68" s="87"/>
      <c r="CXY68" s="87"/>
      <c r="CXZ68" s="87"/>
      <c r="CYA68" s="87"/>
      <c r="CYB68" s="87"/>
      <c r="CYC68" s="87"/>
      <c r="CYD68" s="87"/>
      <c r="CYE68" s="87"/>
      <c r="CYF68" s="87"/>
      <c r="CYG68" s="87"/>
      <c r="CYH68" s="87"/>
      <c r="CYI68" s="87"/>
      <c r="CYJ68" s="87"/>
      <c r="CYK68" s="87"/>
      <c r="CYL68" s="87"/>
      <c r="CYM68" s="87"/>
      <c r="CYN68" s="87"/>
      <c r="CYO68" s="87"/>
      <c r="CYP68" s="87"/>
      <c r="CYQ68" s="87"/>
      <c r="CYR68" s="87"/>
      <c r="CYS68" s="87"/>
      <c r="CYT68" s="87"/>
      <c r="CYU68" s="87"/>
      <c r="CYV68" s="87"/>
      <c r="CYW68" s="87"/>
      <c r="CYX68" s="87"/>
      <c r="CYY68" s="87"/>
      <c r="CYZ68" s="87"/>
      <c r="CZA68" s="87"/>
      <c r="CZB68" s="87"/>
      <c r="CZC68" s="87"/>
      <c r="CZD68" s="87"/>
      <c r="CZE68" s="87"/>
      <c r="CZF68" s="87"/>
      <c r="CZG68" s="87"/>
      <c r="CZH68" s="87"/>
      <c r="CZI68" s="87"/>
      <c r="CZJ68" s="87"/>
      <c r="CZK68" s="87"/>
      <c r="CZL68" s="87"/>
      <c r="CZM68" s="87"/>
      <c r="CZN68" s="87"/>
      <c r="CZO68" s="87"/>
      <c r="CZP68" s="87"/>
      <c r="CZQ68" s="87"/>
      <c r="CZR68" s="87"/>
      <c r="CZS68" s="87"/>
      <c r="CZT68" s="87"/>
      <c r="CZU68" s="87"/>
      <c r="CZV68" s="87"/>
      <c r="CZW68" s="87"/>
      <c r="CZX68" s="87"/>
      <c r="CZY68" s="87"/>
      <c r="CZZ68" s="87"/>
      <c r="DAA68" s="87"/>
      <c r="DAB68" s="87"/>
      <c r="DAC68" s="87"/>
      <c r="DAD68" s="87"/>
      <c r="DAE68" s="87"/>
      <c r="DAF68" s="87"/>
      <c r="DAG68" s="87"/>
      <c r="DAH68" s="87"/>
      <c r="DAI68" s="87"/>
      <c r="DAJ68" s="87"/>
      <c r="DAK68" s="87"/>
      <c r="DAL68" s="87"/>
      <c r="DAM68" s="87"/>
      <c r="DAN68" s="87"/>
      <c r="DAO68" s="87"/>
      <c r="DAP68" s="87"/>
      <c r="DAQ68" s="87"/>
      <c r="DAR68" s="87"/>
      <c r="DAS68" s="87"/>
      <c r="DAT68" s="87"/>
      <c r="DAU68" s="87"/>
      <c r="DAV68" s="87"/>
      <c r="DAW68" s="87"/>
      <c r="DAX68" s="87"/>
      <c r="DAY68" s="87"/>
      <c r="DAZ68" s="87"/>
      <c r="DBA68" s="87"/>
      <c r="DBB68" s="87"/>
      <c r="DBC68" s="87"/>
      <c r="DBD68" s="87"/>
      <c r="DBE68" s="87"/>
      <c r="DBF68" s="87"/>
      <c r="DBG68" s="87"/>
      <c r="DBH68" s="87"/>
      <c r="DBI68" s="87"/>
      <c r="DBJ68" s="87"/>
      <c r="DBK68" s="87"/>
      <c r="DBL68" s="87"/>
      <c r="DBM68" s="87"/>
      <c r="DBN68" s="87"/>
      <c r="DBO68" s="87"/>
      <c r="DBP68" s="87"/>
      <c r="DBQ68" s="87"/>
      <c r="DBR68" s="87"/>
      <c r="DBS68" s="87"/>
      <c r="DBT68" s="87"/>
      <c r="DBU68" s="87"/>
      <c r="DBV68" s="87"/>
      <c r="DBW68" s="87"/>
      <c r="DBX68" s="87"/>
      <c r="DBY68" s="87"/>
      <c r="DBZ68" s="87"/>
      <c r="DCA68" s="87"/>
      <c r="DCB68" s="87"/>
      <c r="DCC68" s="87"/>
      <c r="DCD68" s="87"/>
      <c r="DCE68" s="87"/>
      <c r="DCF68" s="87"/>
      <c r="DCG68" s="87"/>
      <c r="DCH68" s="87"/>
      <c r="DCI68" s="87"/>
      <c r="DCJ68" s="87"/>
      <c r="DCK68" s="87"/>
      <c r="DCL68" s="87"/>
      <c r="DCM68" s="87"/>
      <c r="DCN68" s="87"/>
      <c r="DCO68" s="87"/>
      <c r="DCP68" s="87"/>
      <c r="DCQ68" s="87"/>
      <c r="DCR68" s="87"/>
      <c r="DCS68" s="87"/>
      <c r="DCT68" s="87"/>
      <c r="DCU68" s="87"/>
      <c r="DCV68" s="87"/>
      <c r="DCW68" s="87"/>
      <c r="DCX68" s="87"/>
      <c r="DCY68" s="87"/>
      <c r="DCZ68" s="87"/>
      <c r="DDA68" s="87"/>
      <c r="DDB68" s="87"/>
      <c r="DDC68" s="87"/>
      <c r="DDD68" s="87"/>
      <c r="DDE68" s="87"/>
      <c r="DDF68" s="87"/>
      <c r="DDG68" s="87"/>
      <c r="DDH68" s="87"/>
      <c r="DDI68" s="87"/>
      <c r="DDJ68" s="87"/>
      <c r="DDK68" s="87"/>
      <c r="DDL68" s="87"/>
      <c r="DDM68" s="87"/>
      <c r="DDN68" s="87"/>
      <c r="DDO68" s="87"/>
      <c r="DDP68" s="87"/>
      <c r="DDQ68" s="87"/>
      <c r="DDR68" s="87"/>
      <c r="DDS68" s="87"/>
      <c r="DDT68" s="87"/>
      <c r="DDU68" s="87"/>
      <c r="DDV68" s="87"/>
      <c r="DDW68" s="87"/>
      <c r="DDX68" s="87"/>
      <c r="DDY68" s="87"/>
      <c r="DDZ68" s="87"/>
      <c r="DEA68" s="87"/>
      <c r="DEB68" s="87"/>
      <c r="DEC68" s="87"/>
      <c r="DED68" s="87"/>
      <c r="DEE68" s="87"/>
      <c r="DEF68" s="87"/>
      <c r="DEG68" s="87"/>
      <c r="DEH68" s="87"/>
      <c r="DEI68" s="87"/>
      <c r="DEJ68" s="87"/>
      <c r="DEK68" s="87"/>
      <c r="DEL68" s="87"/>
      <c r="DEM68" s="87"/>
      <c r="DEN68" s="87"/>
      <c r="DEO68" s="87"/>
      <c r="DEP68" s="87"/>
      <c r="DEQ68" s="87"/>
      <c r="DER68" s="87"/>
      <c r="DES68" s="87"/>
      <c r="DET68" s="87"/>
      <c r="DEU68" s="87"/>
      <c r="DEV68" s="87"/>
      <c r="DEW68" s="87"/>
      <c r="DEX68" s="87"/>
      <c r="DEY68" s="87"/>
      <c r="DEZ68" s="87"/>
      <c r="DFA68" s="87"/>
      <c r="DFB68" s="87"/>
      <c r="DFC68" s="87"/>
      <c r="DFD68" s="87"/>
      <c r="DFE68" s="87"/>
      <c r="DFF68" s="87"/>
      <c r="DFG68" s="87"/>
      <c r="DFH68" s="87"/>
      <c r="DFI68" s="87"/>
      <c r="DFJ68" s="87"/>
      <c r="DFK68" s="87"/>
      <c r="DFL68" s="87"/>
      <c r="DFM68" s="87"/>
      <c r="DFN68" s="87"/>
      <c r="DFO68" s="87"/>
      <c r="DFP68" s="87"/>
      <c r="DFQ68" s="87"/>
      <c r="DFR68" s="87"/>
      <c r="DFS68" s="87"/>
      <c r="DFT68" s="87"/>
      <c r="DFU68" s="87"/>
      <c r="DFV68" s="87"/>
      <c r="DFW68" s="87"/>
      <c r="DFX68" s="87"/>
      <c r="DFY68" s="87"/>
      <c r="DFZ68" s="87"/>
      <c r="DGA68" s="87"/>
      <c r="DGB68" s="87"/>
      <c r="DGC68" s="87"/>
      <c r="DGD68" s="87"/>
      <c r="DGE68" s="87"/>
      <c r="DGF68" s="87"/>
      <c r="DGG68" s="87"/>
      <c r="DGH68" s="87"/>
      <c r="DGI68" s="87"/>
      <c r="DGJ68" s="87"/>
      <c r="DGK68" s="87"/>
      <c r="DGL68" s="87"/>
      <c r="DGM68" s="87"/>
      <c r="DGN68" s="87"/>
      <c r="DGO68" s="87"/>
      <c r="DGP68" s="87"/>
      <c r="DGQ68" s="87"/>
      <c r="DGR68" s="87"/>
      <c r="DGS68" s="87"/>
      <c r="DGT68" s="87"/>
      <c r="DGU68" s="87"/>
      <c r="DGV68" s="87"/>
      <c r="DGW68" s="87"/>
      <c r="DGX68" s="87"/>
      <c r="DGY68" s="87"/>
      <c r="DGZ68" s="87"/>
      <c r="DHA68" s="87"/>
      <c r="DHB68" s="87"/>
      <c r="DHC68" s="87"/>
      <c r="DHD68" s="87"/>
      <c r="DHE68" s="87"/>
      <c r="DHF68" s="87"/>
      <c r="DHG68" s="87"/>
      <c r="DHH68" s="87"/>
      <c r="DHI68" s="87"/>
      <c r="DHJ68" s="87"/>
      <c r="DHK68" s="87"/>
      <c r="DHL68" s="87"/>
      <c r="DHM68" s="87"/>
      <c r="DHN68" s="87"/>
      <c r="DHO68" s="87"/>
      <c r="DHP68" s="87"/>
      <c r="DHQ68" s="87"/>
      <c r="DHR68" s="87"/>
      <c r="DHS68" s="87"/>
      <c r="DHT68" s="87"/>
      <c r="DHU68" s="87"/>
      <c r="DHV68" s="87"/>
      <c r="DHW68" s="87"/>
      <c r="DHX68" s="87"/>
      <c r="DHY68" s="87"/>
      <c r="DHZ68" s="87"/>
      <c r="DIA68" s="87"/>
      <c r="DIB68" s="87"/>
      <c r="DIC68" s="87"/>
      <c r="DID68" s="87"/>
      <c r="DIE68" s="87"/>
      <c r="DIF68" s="87"/>
      <c r="DIG68" s="87"/>
      <c r="DIH68" s="87"/>
      <c r="DII68" s="87"/>
      <c r="DIJ68" s="87"/>
      <c r="DIK68" s="87"/>
      <c r="DIL68" s="87"/>
      <c r="DIM68" s="87"/>
      <c r="DIN68" s="87"/>
      <c r="DIO68" s="87"/>
      <c r="DIP68" s="87"/>
      <c r="DIQ68" s="87"/>
      <c r="DIR68" s="87"/>
      <c r="DIS68" s="87"/>
      <c r="DIT68" s="87"/>
      <c r="DIU68" s="87"/>
      <c r="DIV68" s="87"/>
      <c r="DIW68" s="87"/>
      <c r="DIX68" s="87"/>
      <c r="DIY68" s="87"/>
      <c r="DIZ68" s="87"/>
      <c r="DJA68" s="87"/>
      <c r="DJB68" s="87"/>
      <c r="DJC68" s="87"/>
      <c r="DJD68" s="87"/>
      <c r="DJE68" s="87"/>
      <c r="DJF68" s="87"/>
      <c r="DJG68" s="87"/>
      <c r="DJH68" s="87"/>
      <c r="DJI68" s="87"/>
      <c r="DJJ68" s="87"/>
      <c r="DJK68" s="87"/>
      <c r="DJL68" s="87"/>
      <c r="DJM68" s="87"/>
      <c r="DJN68" s="87"/>
      <c r="DJO68" s="87"/>
      <c r="DJP68" s="87"/>
      <c r="DJQ68" s="87"/>
      <c r="DJR68" s="87"/>
      <c r="DJS68" s="87"/>
      <c r="DJT68" s="87"/>
      <c r="DJU68" s="87"/>
      <c r="DJV68" s="87"/>
      <c r="DJW68" s="87"/>
      <c r="DJX68" s="87"/>
      <c r="DJY68" s="87"/>
      <c r="DJZ68" s="87"/>
      <c r="DKA68" s="87"/>
      <c r="DKB68" s="87"/>
      <c r="DKC68" s="87"/>
      <c r="DKD68" s="87"/>
      <c r="DKE68" s="87"/>
      <c r="DKF68" s="87"/>
      <c r="DKG68" s="87"/>
      <c r="DKH68" s="87"/>
      <c r="DKI68" s="87"/>
      <c r="DKJ68" s="87"/>
      <c r="DKK68" s="87"/>
      <c r="DKL68" s="87"/>
      <c r="DKM68" s="87"/>
      <c r="DKN68" s="87"/>
      <c r="DKO68" s="87"/>
      <c r="DKP68" s="87"/>
      <c r="DKQ68" s="87"/>
      <c r="DKR68" s="87"/>
      <c r="DKS68" s="87"/>
      <c r="DKT68" s="87"/>
      <c r="DKU68" s="87"/>
      <c r="DKV68" s="87"/>
      <c r="DKW68" s="87"/>
      <c r="DKX68" s="87"/>
      <c r="DKY68" s="87"/>
      <c r="DKZ68" s="87"/>
      <c r="DLA68" s="87"/>
      <c r="DLB68" s="87"/>
      <c r="DLC68" s="87"/>
      <c r="DLD68" s="87"/>
      <c r="DLE68" s="87"/>
      <c r="DLF68" s="87"/>
      <c r="DLG68" s="87"/>
      <c r="DLH68" s="87"/>
      <c r="DLI68" s="87"/>
      <c r="DLJ68" s="87"/>
      <c r="DLK68" s="87"/>
      <c r="DLL68" s="87"/>
      <c r="DLM68" s="87"/>
      <c r="DLN68" s="87"/>
      <c r="DLO68" s="87"/>
      <c r="DLP68" s="87"/>
      <c r="DLQ68" s="87"/>
      <c r="DLR68" s="87"/>
      <c r="DLS68" s="87"/>
      <c r="DLT68" s="87"/>
      <c r="DLU68" s="87"/>
      <c r="DLV68" s="87"/>
      <c r="DLW68" s="87"/>
      <c r="DLX68" s="87"/>
      <c r="DLY68" s="87"/>
      <c r="DLZ68" s="87"/>
      <c r="DMA68" s="87"/>
      <c r="DMB68" s="87"/>
      <c r="DMC68" s="87"/>
      <c r="DMD68" s="87"/>
      <c r="DME68" s="87"/>
      <c r="DMF68" s="87"/>
      <c r="DMG68" s="87"/>
      <c r="DMH68" s="87"/>
      <c r="DMI68" s="87"/>
      <c r="DMJ68" s="87"/>
      <c r="DMK68" s="87"/>
      <c r="DML68" s="87"/>
      <c r="DMM68" s="87"/>
      <c r="DMN68" s="87"/>
      <c r="DMO68" s="87"/>
      <c r="DMP68" s="87"/>
      <c r="DMQ68" s="87"/>
      <c r="DMR68" s="87"/>
      <c r="DMS68" s="87"/>
      <c r="DMT68" s="87"/>
      <c r="DMU68" s="87"/>
      <c r="DMV68" s="87"/>
      <c r="DMW68" s="87"/>
      <c r="DMX68" s="87"/>
      <c r="DMY68" s="87"/>
      <c r="DMZ68" s="87"/>
      <c r="DNA68" s="87"/>
      <c r="DNB68" s="87"/>
      <c r="DNC68" s="87"/>
      <c r="DND68" s="87"/>
      <c r="DNE68" s="87"/>
      <c r="DNF68" s="87"/>
      <c r="DNG68" s="87"/>
      <c r="DNH68" s="87"/>
      <c r="DNI68" s="87"/>
      <c r="DNJ68" s="87"/>
      <c r="DNK68" s="87"/>
      <c r="DNL68" s="87"/>
      <c r="DNM68" s="87"/>
      <c r="DNN68" s="87"/>
      <c r="DNO68" s="87"/>
      <c r="DNP68" s="87"/>
      <c r="DNQ68" s="87"/>
      <c r="DNR68" s="87"/>
      <c r="DNS68" s="87"/>
      <c r="DNT68" s="87"/>
      <c r="DNU68" s="87"/>
      <c r="DNV68" s="87"/>
      <c r="DNW68" s="87"/>
      <c r="DNX68" s="87"/>
      <c r="DNY68" s="87"/>
      <c r="DNZ68" s="87"/>
      <c r="DOA68" s="87"/>
      <c r="DOB68" s="87"/>
      <c r="DOC68" s="87"/>
      <c r="DOD68" s="87"/>
      <c r="DOE68" s="87"/>
      <c r="DOF68" s="87"/>
      <c r="DOG68" s="87"/>
      <c r="DOH68" s="87"/>
      <c r="DOI68" s="87"/>
      <c r="DOJ68" s="87"/>
      <c r="DOK68" s="87"/>
      <c r="DOL68" s="87"/>
      <c r="DOM68" s="87"/>
      <c r="DON68" s="87"/>
      <c r="DOO68" s="87"/>
      <c r="DOP68" s="87"/>
      <c r="DOQ68" s="87"/>
      <c r="DOR68" s="87"/>
      <c r="DOS68" s="87"/>
      <c r="DOT68" s="87"/>
      <c r="DOU68" s="87"/>
      <c r="DOV68" s="87"/>
      <c r="DOW68" s="87"/>
      <c r="DOX68" s="87"/>
      <c r="DOY68" s="87"/>
      <c r="DOZ68" s="87"/>
      <c r="DPA68" s="87"/>
      <c r="DPB68" s="87"/>
      <c r="DPC68" s="87"/>
      <c r="DPD68" s="87"/>
      <c r="DPE68" s="87"/>
      <c r="DPF68" s="87"/>
      <c r="DPG68" s="87"/>
      <c r="DPH68" s="87"/>
      <c r="DPI68" s="87"/>
      <c r="DPJ68" s="87"/>
      <c r="DPK68" s="87"/>
      <c r="DPL68" s="87"/>
      <c r="DPM68" s="87"/>
      <c r="DPN68" s="87"/>
      <c r="DPO68" s="87"/>
      <c r="DPP68" s="87"/>
      <c r="DPQ68" s="87"/>
      <c r="DPR68" s="87"/>
      <c r="DPS68" s="87"/>
      <c r="DPT68" s="87"/>
      <c r="DPU68" s="87"/>
      <c r="DPV68" s="87"/>
      <c r="DPW68" s="87"/>
      <c r="DPX68" s="87"/>
      <c r="DPY68" s="87"/>
      <c r="DPZ68" s="87"/>
      <c r="DQA68" s="87"/>
      <c r="DQB68" s="87"/>
      <c r="DQC68" s="87"/>
      <c r="DQD68" s="87"/>
      <c r="DQE68" s="87"/>
      <c r="DQF68" s="87"/>
      <c r="DQG68" s="87"/>
      <c r="DQH68" s="87"/>
      <c r="DQI68" s="87"/>
      <c r="DQJ68" s="87"/>
      <c r="DQK68" s="87"/>
      <c r="DQL68" s="87"/>
      <c r="DQM68" s="87"/>
      <c r="DQN68" s="87"/>
      <c r="DQO68" s="87"/>
      <c r="DQP68" s="87"/>
      <c r="DQQ68" s="87"/>
      <c r="DQR68" s="87"/>
      <c r="DQS68" s="87"/>
      <c r="DQT68" s="87"/>
      <c r="DQU68" s="87"/>
      <c r="DQV68" s="87"/>
      <c r="DQW68" s="87"/>
      <c r="DQX68" s="87"/>
      <c r="DQY68" s="87"/>
      <c r="DQZ68" s="87"/>
      <c r="DRA68" s="87"/>
      <c r="DRB68" s="87"/>
      <c r="DRC68" s="87"/>
      <c r="DRD68" s="87"/>
      <c r="DRE68" s="87"/>
      <c r="DRF68" s="87"/>
      <c r="DRG68" s="87"/>
      <c r="DRH68" s="87"/>
      <c r="DRI68" s="87"/>
      <c r="DRJ68" s="87"/>
      <c r="DRK68" s="87"/>
      <c r="DRL68" s="87"/>
      <c r="DRM68" s="87"/>
      <c r="DRN68" s="87"/>
      <c r="DRO68" s="87"/>
      <c r="DRP68" s="87"/>
      <c r="DRQ68" s="87"/>
      <c r="DRR68" s="87"/>
      <c r="DRS68" s="87"/>
      <c r="DRT68" s="87"/>
      <c r="DRU68" s="87"/>
      <c r="DRV68" s="87"/>
      <c r="DRW68" s="87"/>
      <c r="DRX68" s="87"/>
      <c r="DRY68" s="87"/>
      <c r="DRZ68" s="87"/>
      <c r="DSA68" s="87"/>
      <c r="DSB68" s="87"/>
      <c r="DSC68" s="87"/>
      <c r="DSD68" s="87"/>
      <c r="DSE68" s="87"/>
      <c r="DSF68" s="87"/>
      <c r="DSG68" s="87"/>
      <c r="DSH68" s="87"/>
      <c r="DSI68" s="87"/>
      <c r="DSJ68" s="87"/>
      <c r="DSK68" s="87"/>
      <c r="DSL68" s="87"/>
      <c r="DSM68" s="87"/>
      <c r="DSN68" s="87"/>
      <c r="DSO68" s="87"/>
      <c r="DSP68" s="87"/>
      <c r="DSQ68" s="87"/>
      <c r="DSR68" s="87"/>
      <c r="DSS68" s="87"/>
      <c r="DST68" s="87"/>
      <c r="DSU68" s="87"/>
      <c r="DSV68" s="87"/>
      <c r="DSW68" s="87"/>
      <c r="DSX68" s="87"/>
      <c r="DSY68" s="87"/>
      <c r="DSZ68" s="87"/>
      <c r="DTA68" s="87"/>
      <c r="DTB68" s="87"/>
      <c r="DTC68" s="87"/>
      <c r="DTD68" s="87"/>
      <c r="DTE68" s="87"/>
      <c r="DTF68" s="87"/>
      <c r="DTG68" s="87"/>
      <c r="DTH68" s="87"/>
      <c r="DTI68" s="87"/>
      <c r="DTJ68" s="87"/>
      <c r="DTK68" s="87"/>
      <c r="DTL68" s="87"/>
      <c r="DTM68" s="87"/>
      <c r="DTN68" s="87"/>
      <c r="DTO68" s="87"/>
      <c r="DTP68" s="87"/>
      <c r="DTQ68" s="87"/>
      <c r="DTR68" s="87"/>
      <c r="DTS68" s="87"/>
      <c r="DTT68" s="87"/>
      <c r="DTU68" s="87"/>
      <c r="DTV68" s="87"/>
      <c r="DTW68" s="87"/>
      <c r="DTX68" s="87"/>
      <c r="DTY68" s="87"/>
      <c r="DTZ68" s="87"/>
      <c r="DUA68" s="87"/>
      <c r="DUB68" s="87"/>
      <c r="DUC68" s="87"/>
      <c r="DUD68" s="87"/>
      <c r="DUE68" s="87"/>
      <c r="DUF68" s="87"/>
      <c r="DUG68" s="87"/>
      <c r="DUH68" s="87"/>
      <c r="DUI68" s="87"/>
      <c r="DUJ68" s="87"/>
      <c r="DUK68" s="87"/>
      <c r="DUL68" s="87"/>
      <c r="DUM68" s="87"/>
      <c r="DUN68" s="87"/>
      <c r="DUO68" s="87"/>
      <c r="DUP68" s="87"/>
      <c r="DUQ68" s="87"/>
      <c r="DUR68" s="87"/>
      <c r="DUS68" s="87"/>
      <c r="DUT68" s="87"/>
      <c r="DUU68" s="87"/>
      <c r="DUV68" s="87"/>
      <c r="DUW68" s="87"/>
      <c r="DUX68" s="87"/>
      <c r="DUY68" s="87"/>
      <c r="DUZ68" s="87"/>
      <c r="DVA68" s="87"/>
      <c r="DVB68" s="87"/>
      <c r="DVC68" s="87"/>
      <c r="DVD68" s="87"/>
      <c r="DVE68" s="87"/>
      <c r="DVF68" s="87"/>
      <c r="DVG68" s="87"/>
      <c r="DVH68" s="87"/>
      <c r="DVI68" s="87"/>
      <c r="DVJ68" s="87"/>
      <c r="DVK68" s="87"/>
      <c r="DVL68" s="87"/>
      <c r="DVM68" s="87"/>
      <c r="DVN68" s="87"/>
      <c r="DVO68" s="87"/>
      <c r="DVP68" s="87"/>
      <c r="DVQ68" s="87"/>
      <c r="DVR68" s="87"/>
      <c r="DVS68" s="87"/>
      <c r="DVT68" s="87"/>
      <c r="DVU68" s="87"/>
      <c r="DVV68" s="87"/>
      <c r="DVW68" s="87"/>
      <c r="DVX68" s="87"/>
      <c r="DVY68" s="87"/>
      <c r="DVZ68" s="87"/>
      <c r="DWA68" s="87"/>
      <c r="DWB68" s="87"/>
      <c r="DWC68" s="87"/>
      <c r="DWD68" s="87"/>
      <c r="DWE68" s="87"/>
      <c r="DWF68" s="87"/>
      <c r="DWG68" s="87"/>
      <c r="DWH68" s="87"/>
      <c r="DWI68" s="87"/>
      <c r="DWJ68" s="87"/>
      <c r="DWK68" s="87"/>
      <c r="DWL68" s="87"/>
      <c r="DWM68" s="87"/>
      <c r="DWN68" s="87"/>
      <c r="DWO68" s="87"/>
      <c r="DWP68" s="87"/>
      <c r="DWQ68" s="87"/>
      <c r="DWR68" s="87"/>
      <c r="DWS68" s="87"/>
      <c r="DWT68" s="87"/>
      <c r="DWU68" s="87"/>
      <c r="DWV68" s="87"/>
      <c r="DWW68" s="87"/>
      <c r="DWX68" s="87"/>
      <c r="DWY68" s="87"/>
      <c r="DWZ68" s="87"/>
      <c r="DXA68" s="87"/>
      <c r="DXB68" s="87"/>
      <c r="DXC68" s="87"/>
      <c r="DXD68" s="87"/>
      <c r="DXE68" s="87"/>
      <c r="DXF68" s="87"/>
      <c r="DXG68" s="87"/>
      <c r="DXH68" s="87"/>
      <c r="DXI68" s="87"/>
      <c r="DXJ68" s="87"/>
      <c r="DXK68" s="87"/>
      <c r="DXL68" s="87"/>
      <c r="DXM68" s="87"/>
      <c r="DXN68" s="87"/>
      <c r="DXO68" s="87"/>
      <c r="DXP68" s="87"/>
      <c r="DXQ68" s="87"/>
      <c r="DXR68" s="87"/>
      <c r="DXS68" s="87"/>
      <c r="DXT68" s="87"/>
      <c r="DXU68" s="87"/>
      <c r="DXV68" s="87"/>
      <c r="DXW68" s="87"/>
      <c r="DXX68" s="87"/>
      <c r="DXY68" s="87"/>
      <c r="DXZ68" s="87"/>
      <c r="DYA68" s="87"/>
      <c r="DYB68" s="87"/>
      <c r="DYC68" s="87"/>
      <c r="DYD68" s="87"/>
      <c r="DYE68" s="87"/>
      <c r="DYF68" s="87"/>
      <c r="DYG68" s="87"/>
      <c r="DYH68" s="87"/>
      <c r="DYI68" s="87"/>
      <c r="DYJ68" s="87"/>
      <c r="DYK68" s="87"/>
      <c r="DYL68" s="87"/>
      <c r="DYM68" s="87"/>
      <c r="DYN68" s="87"/>
      <c r="DYO68" s="87"/>
      <c r="DYP68" s="87"/>
      <c r="DYQ68" s="87"/>
      <c r="DYR68" s="87"/>
      <c r="DYS68" s="87"/>
      <c r="DYT68" s="87"/>
      <c r="DYU68" s="87"/>
      <c r="DYV68" s="87"/>
      <c r="DYW68" s="87"/>
      <c r="DYX68" s="87"/>
      <c r="DYY68" s="87"/>
      <c r="DYZ68" s="87"/>
      <c r="DZA68" s="87"/>
      <c r="DZB68" s="87"/>
      <c r="DZC68" s="87"/>
      <c r="DZD68" s="87"/>
      <c r="DZE68" s="87"/>
      <c r="DZF68" s="87"/>
      <c r="DZG68" s="87"/>
      <c r="DZH68" s="87"/>
      <c r="DZI68" s="87"/>
      <c r="DZJ68" s="87"/>
      <c r="DZK68" s="87"/>
      <c r="DZL68" s="87"/>
      <c r="DZM68" s="87"/>
      <c r="DZN68" s="87"/>
      <c r="DZO68" s="87"/>
      <c r="DZP68" s="87"/>
      <c r="DZQ68" s="87"/>
      <c r="DZR68" s="87"/>
      <c r="DZS68" s="87"/>
      <c r="DZT68" s="87"/>
      <c r="DZU68" s="87"/>
      <c r="DZV68" s="87"/>
      <c r="DZW68" s="87"/>
      <c r="DZX68" s="87"/>
      <c r="DZY68" s="87"/>
      <c r="DZZ68" s="87"/>
      <c r="EAA68" s="87"/>
      <c r="EAB68" s="87"/>
      <c r="EAC68" s="87"/>
      <c r="EAD68" s="87"/>
      <c r="EAE68" s="87"/>
      <c r="EAF68" s="87"/>
      <c r="EAG68" s="87"/>
      <c r="EAH68" s="87"/>
      <c r="EAI68" s="87"/>
      <c r="EAJ68" s="87"/>
      <c r="EAK68" s="87"/>
      <c r="EAL68" s="87"/>
      <c r="EAM68" s="87"/>
      <c r="EAN68" s="87"/>
      <c r="EAO68" s="87"/>
      <c r="EAP68" s="87"/>
      <c r="EAQ68" s="87"/>
      <c r="EAR68" s="87"/>
      <c r="EAS68" s="87"/>
      <c r="EAT68" s="87"/>
      <c r="EAU68" s="87"/>
      <c r="EAV68" s="87"/>
      <c r="EAW68" s="87"/>
      <c r="EAX68" s="87"/>
      <c r="EAY68" s="87"/>
      <c r="EAZ68" s="87"/>
      <c r="EBA68" s="87"/>
      <c r="EBB68" s="87"/>
      <c r="EBC68" s="87"/>
      <c r="EBD68" s="87"/>
      <c r="EBE68" s="87"/>
      <c r="EBF68" s="87"/>
      <c r="EBG68" s="87"/>
      <c r="EBH68" s="87"/>
      <c r="EBI68" s="87"/>
      <c r="EBJ68" s="87"/>
      <c r="EBK68" s="87"/>
      <c r="EBL68" s="87"/>
      <c r="EBM68" s="87"/>
      <c r="EBN68" s="87"/>
      <c r="EBO68" s="87"/>
      <c r="EBP68" s="87"/>
      <c r="EBQ68" s="87"/>
      <c r="EBR68" s="87"/>
      <c r="EBS68" s="87"/>
      <c r="EBT68" s="87"/>
      <c r="EBU68" s="87"/>
      <c r="EBV68" s="87"/>
      <c r="EBW68" s="87"/>
      <c r="EBX68" s="87"/>
      <c r="EBY68" s="87"/>
      <c r="EBZ68" s="87"/>
      <c r="ECA68" s="87"/>
      <c r="ECB68" s="87"/>
      <c r="ECC68" s="87"/>
      <c r="ECD68" s="87"/>
      <c r="ECE68" s="87"/>
      <c r="ECF68" s="87"/>
      <c r="ECG68" s="87"/>
      <c r="ECH68" s="87"/>
      <c r="ECI68" s="87"/>
      <c r="ECJ68" s="87"/>
      <c r="ECK68" s="87"/>
      <c r="ECL68" s="87"/>
      <c r="ECM68" s="87"/>
      <c r="ECN68" s="87"/>
      <c r="ECO68" s="87"/>
      <c r="ECP68" s="87"/>
      <c r="ECQ68" s="87"/>
      <c r="ECR68" s="87"/>
      <c r="ECS68" s="87"/>
      <c r="ECT68" s="87"/>
      <c r="ECU68" s="87"/>
      <c r="ECV68" s="87"/>
      <c r="ECW68" s="87"/>
      <c r="ECX68" s="87"/>
      <c r="ECY68" s="87"/>
      <c r="ECZ68" s="87"/>
      <c r="EDA68" s="87"/>
      <c r="EDB68" s="87"/>
      <c r="EDC68" s="87"/>
      <c r="EDD68" s="87"/>
      <c r="EDE68" s="87"/>
      <c r="EDF68" s="87"/>
      <c r="EDG68" s="87"/>
      <c r="EDH68" s="87"/>
      <c r="EDI68" s="87"/>
      <c r="EDJ68" s="87"/>
      <c r="EDK68" s="87"/>
      <c r="EDL68" s="87"/>
      <c r="EDM68" s="87"/>
      <c r="EDN68" s="87"/>
      <c r="EDO68" s="87"/>
      <c r="EDP68" s="87"/>
      <c r="EDQ68" s="87"/>
      <c r="EDR68" s="87"/>
      <c r="EDS68" s="87"/>
      <c r="EDT68" s="87"/>
      <c r="EDU68" s="87"/>
      <c r="EDV68" s="87"/>
      <c r="EDW68" s="87"/>
      <c r="EDX68" s="87"/>
      <c r="EDY68" s="87"/>
      <c r="EDZ68" s="87"/>
      <c r="EEA68" s="87"/>
      <c r="EEB68" s="87"/>
      <c r="EEC68" s="87"/>
      <c r="EED68" s="87"/>
      <c r="EEE68" s="87"/>
      <c r="EEF68" s="87"/>
      <c r="EEG68" s="87"/>
      <c r="EEH68" s="87"/>
      <c r="EEI68" s="87"/>
      <c r="EEJ68" s="87"/>
      <c r="EEK68" s="87"/>
      <c r="EEL68" s="87"/>
      <c r="EEM68" s="87"/>
      <c r="EEN68" s="87"/>
      <c r="EEO68" s="87"/>
      <c r="EEP68" s="87"/>
      <c r="EEQ68" s="87"/>
      <c r="EER68" s="87"/>
      <c r="EES68" s="87"/>
      <c r="EET68" s="87"/>
      <c r="EEU68" s="87"/>
      <c r="EEV68" s="87"/>
      <c r="EEW68" s="87"/>
      <c r="EEX68" s="87"/>
      <c r="EEY68" s="87"/>
      <c r="EEZ68" s="87"/>
      <c r="EFA68" s="87"/>
      <c r="EFB68" s="87"/>
      <c r="EFC68" s="87"/>
      <c r="EFD68" s="87"/>
      <c r="EFE68" s="87"/>
      <c r="EFF68" s="87"/>
      <c r="EFG68" s="87"/>
      <c r="EFH68" s="87"/>
      <c r="EFI68" s="87"/>
      <c r="EFJ68" s="87"/>
      <c r="EFK68" s="87"/>
      <c r="EFL68" s="87"/>
      <c r="EFM68" s="87"/>
      <c r="EFN68" s="87"/>
      <c r="EFO68" s="87"/>
      <c r="EFP68" s="87"/>
      <c r="EFQ68" s="87"/>
      <c r="EFR68" s="87"/>
      <c r="EFS68" s="87"/>
      <c r="EFT68" s="87"/>
      <c r="EFU68" s="87"/>
      <c r="EFV68" s="87"/>
      <c r="EFW68" s="87"/>
      <c r="EFX68" s="87"/>
      <c r="EFY68" s="87"/>
      <c r="EFZ68" s="87"/>
      <c r="EGA68" s="87"/>
      <c r="EGB68" s="87"/>
      <c r="EGC68" s="87"/>
      <c r="EGD68" s="87"/>
      <c r="EGE68" s="87"/>
      <c r="EGF68" s="87"/>
      <c r="EGG68" s="87"/>
      <c r="EGH68" s="87"/>
      <c r="EGI68" s="87"/>
      <c r="EGJ68" s="87"/>
      <c r="EGK68" s="87"/>
      <c r="EGL68" s="87"/>
      <c r="EGM68" s="87"/>
      <c r="EGN68" s="87"/>
      <c r="EGO68" s="87"/>
      <c r="EGP68" s="87"/>
      <c r="EGQ68" s="87"/>
      <c r="EGR68" s="87"/>
      <c r="EGS68" s="87"/>
      <c r="EGT68" s="87"/>
      <c r="EGU68" s="87"/>
      <c r="EGV68" s="87"/>
      <c r="EGW68" s="87"/>
      <c r="EGX68" s="87"/>
      <c r="EGY68" s="87"/>
      <c r="EGZ68" s="87"/>
      <c r="EHA68" s="87"/>
      <c r="EHB68" s="87"/>
      <c r="EHC68" s="87"/>
      <c r="EHD68" s="87"/>
      <c r="EHE68" s="87"/>
      <c r="EHF68" s="87"/>
      <c r="EHG68" s="87"/>
      <c r="EHH68" s="87"/>
      <c r="EHI68" s="87"/>
      <c r="EHJ68" s="87"/>
      <c r="EHK68" s="87"/>
      <c r="EHL68" s="87"/>
      <c r="EHM68" s="87"/>
      <c r="EHN68" s="87"/>
      <c r="EHO68" s="87"/>
      <c r="EHP68" s="87"/>
      <c r="EHQ68" s="87"/>
      <c r="EHR68" s="87"/>
      <c r="EHS68" s="87"/>
      <c r="EHT68" s="87"/>
      <c r="EHU68" s="87"/>
      <c r="EHV68" s="87"/>
      <c r="EHW68" s="87"/>
      <c r="EHX68" s="87"/>
      <c r="EHY68" s="87"/>
      <c r="EHZ68" s="87"/>
      <c r="EIA68" s="87"/>
      <c r="EIB68" s="87"/>
      <c r="EIC68" s="87"/>
      <c r="EID68" s="87"/>
      <c r="EIE68" s="87"/>
      <c r="EIF68" s="87"/>
      <c r="EIG68" s="87"/>
      <c r="EIH68" s="87"/>
      <c r="EII68" s="87"/>
      <c r="EIJ68" s="87"/>
      <c r="EIK68" s="87"/>
      <c r="EIL68" s="87"/>
      <c r="EIM68" s="87"/>
      <c r="EIN68" s="87"/>
      <c r="EIO68" s="87"/>
      <c r="EIP68" s="87"/>
      <c r="EIQ68" s="87"/>
      <c r="EIR68" s="87"/>
      <c r="EIS68" s="87"/>
      <c r="EIT68" s="87"/>
      <c r="EIU68" s="87"/>
      <c r="EIV68" s="87"/>
      <c r="EIW68" s="87"/>
      <c r="EIX68" s="87"/>
      <c r="EIY68" s="87"/>
      <c r="EIZ68" s="87"/>
      <c r="EJA68" s="87"/>
      <c r="EJB68" s="87"/>
      <c r="EJC68" s="87"/>
      <c r="EJD68" s="87"/>
      <c r="EJE68" s="87"/>
      <c r="EJF68" s="87"/>
      <c r="EJG68" s="87"/>
      <c r="EJH68" s="87"/>
      <c r="EJI68" s="87"/>
      <c r="EJJ68" s="87"/>
      <c r="EJK68" s="87"/>
      <c r="EJL68" s="87"/>
      <c r="EJM68" s="87"/>
      <c r="EJN68" s="87"/>
      <c r="EJO68" s="87"/>
      <c r="EJP68" s="87"/>
      <c r="EJQ68" s="87"/>
      <c r="EJR68" s="87"/>
      <c r="EJS68" s="87"/>
      <c r="EJT68" s="87"/>
      <c r="EJU68" s="87"/>
      <c r="EJV68" s="87"/>
      <c r="EJW68" s="87"/>
      <c r="EJX68" s="87"/>
      <c r="EJY68" s="87"/>
      <c r="EJZ68" s="87"/>
      <c r="EKA68" s="87"/>
      <c r="EKB68" s="87"/>
      <c r="EKC68" s="87"/>
      <c r="EKD68" s="87"/>
      <c r="EKE68" s="87"/>
      <c r="EKF68" s="87"/>
      <c r="EKG68" s="87"/>
      <c r="EKH68" s="87"/>
      <c r="EKI68" s="87"/>
      <c r="EKJ68" s="87"/>
      <c r="EKK68" s="87"/>
      <c r="EKL68" s="87"/>
      <c r="EKM68" s="87"/>
      <c r="EKN68" s="87"/>
      <c r="EKO68" s="87"/>
      <c r="EKP68" s="87"/>
      <c r="EKQ68" s="87"/>
      <c r="EKR68" s="87"/>
      <c r="EKS68" s="87"/>
      <c r="EKT68" s="87"/>
      <c r="EKU68" s="87"/>
      <c r="EKV68" s="87"/>
      <c r="EKW68" s="87"/>
      <c r="EKX68" s="87"/>
      <c r="EKY68" s="87"/>
      <c r="EKZ68" s="87"/>
      <c r="ELA68" s="87"/>
      <c r="ELB68" s="87"/>
      <c r="ELC68" s="87"/>
      <c r="ELD68" s="87"/>
      <c r="ELE68" s="87"/>
      <c r="ELF68" s="87"/>
      <c r="ELG68" s="87"/>
      <c r="ELH68" s="87"/>
      <c r="ELI68" s="87"/>
      <c r="ELJ68" s="87"/>
      <c r="ELK68" s="87"/>
      <c r="ELL68" s="87"/>
      <c r="ELM68" s="87"/>
      <c r="ELN68" s="87"/>
      <c r="ELO68" s="87"/>
      <c r="ELP68" s="87"/>
      <c r="ELQ68" s="87"/>
      <c r="ELR68" s="87"/>
      <c r="ELS68" s="87"/>
      <c r="ELT68" s="87"/>
      <c r="ELU68" s="87"/>
      <c r="ELV68" s="87"/>
      <c r="ELW68" s="87"/>
      <c r="ELX68" s="87"/>
      <c r="ELY68" s="87"/>
      <c r="ELZ68" s="87"/>
      <c r="EMA68" s="87"/>
      <c r="EMB68" s="87"/>
      <c r="EMC68" s="87"/>
      <c r="EMD68" s="87"/>
      <c r="EME68" s="87"/>
      <c r="EMF68" s="87"/>
      <c r="EMG68" s="87"/>
      <c r="EMH68" s="87"/>
      <c r="EMI68" s="87"/>
      <c r="EMJ68" s="87"/>
      <c r="EMK68" s="87"/>
      <c r="EML68" s="87"/>
      <c r="EMM68" s="87"/>
      <c r="EMN68" s="87"/>
      <c r="EMO68" s="87"/>
      <c r="EMP68" s="87"/>
      <c r="EMQ68" s="87"/>
      <c r="EMR68" s="87"/>
      <c r="EMS68" s="87"/>
      <c r="EMT68" s="87"/>
      <c r="EMU68" s="87"/>
      <c r="EMV68" s="87"/>
      <c r="EMW68" s="87"/>
      <c r="EMX68" s="87"/>
      <c r="EMY68" s="87"/>
      <c r="EMZ68" s="87"/>
      <c r="ENA68" s="87"/>
      <c r="ENB68" s="87"/>
      <c r="ENC68" s="87"/>
      <c r="END68" s="87"/>
      <c r="ENE68" s="87"/>
      <c r="ENF68" s="87"/>
      <c r="ENG68" s="87"/>
      <c r="ENH68" s="87"/>
      <c r="ENI68" s="87"/>
      <c r="ENJ68" s="87"/>
      <c r="ENK68" s="87"/>
      <c r="ENL68" s="87"/>
      <c r="ENM68" s="87"/>
      <c r="ENN68" s="87"/>
      <c r="ENO68" s="87"/>
      <c r="ENP68" s="87"/>
      <c r="ENQ68" s="87"/>
      <c r="ENR68" s="87"/>
      <c r="ENS68" s="87"/>
      <c r="ENT68" s="87"/>
      <c r="ENU68" s="87"/>
      <c r="ENV68" s="87"/>
      <c r="ENW68" s="87"/>
      <c r="ENX68" s="87"/>
      <c r="ENY68" s="87"/>
      <c r="ENZ68" s="87"/>
      <c r="EOA68" s="87"/>
      <c r="EOB68" s="87"/>
      <c r="EOC68" s="87"/>
      <c r="EOD68" s="87"/>
      <c r="EOE68" s="87"/>
      <c r="EOF68" s="87"/>
      <c r="EOG68" s="87"/>
      <c r="EOH68" s="87"/>
      <c r="EOI68" s="87"/>
      <c r="EOJ68" s="87"/>
      <c r="EOK68" s="87"/>
      <c r="EOL68" s="87"/>
      <c r="EOM68" s="87"/>
      <c r="EON68" s="87"/>
      <c r="EOO68" s="87"/>
      <c r="EOP68" s="87"/>
      <c r="EOQ68" s="87"/>
      <c r="EOR68" s="87"/>
      <c r="EOS68" s="87"/>
      <c r="EOT68" s="87"/>
      <c r="EOU68" s="87"/>
      <c r="EOV68" s="87"/>
      <c r="EOW68" s="87"/>
      <c r="EOX68" s="87"/>
      <c r="EOY68" s="87"/>
      <c r="EOZ68" s="87"/>
      <c r="EPA68" s="87"/>
      <c r="EPB68" s="87"/>
      <c r="EPC68" s="87"/>
      <c r="EPD68" s="87"/>
      <c r="EPE68" s="87"/>
      <c r="EPF68" s="87"/>
      <c r="EPG68" s="87"/>
      <c r="EPH68" s="87"/>
      <c r="EPI68" s="87"/>
      <c r="EPJ68" s="87"/>
      <c r="EPK68" s="87"/>
      <c r="EPL68" s="87"/>
      <c r="EPM68" s="87"/>
      <c r="EPN68" s="87"/>
      <c r="EPO68" s="87"/>
      <c r="EPP68" s="87"/>
      <c r="EPQ68" s="87"/>
      <c r="EPR68" s="87"/>
      <c r="EPS68" s="87"/>
      <c r="EPT68" s="87"/>
      <c r="EPU68" s="87"/>
      <c r="EPV68" s="87"/>
      <c r="EPW68" s="87"/>
      <c r="EPX68" s="87"/>
      <c r="EPY68" s="87"/>
      <c r="EPZ68" s="87"/>
      <c r="EQA68" s="87"/>
      <c r="EQB68" s="87"/>
      <c r="EQC68" s="87"/>
      <c r="EQD68" s="87"/>
      <c r="EQE68" s="87"/>
      <c r="EQF68" s="87"/>
      <c r="EQG68" s="87"/>
      <c r="EQH68" s="87"/>
      <c r="EQI68" s="87"/>
      <c r="EQJ68" s="87"/>
      <c r="EQK68" s="87"/>
      <c r="EQL68" s="87"/>
      <c r="EQM68" s="87"/>
      <c r="EQN68" s="87"/>
      <c r="EQO68" s="87"/>
      <c r="EQP68" s="87"/>
      <c r="EQQ68" s="87"/>
      <c r="EQR68" s="87"/>
      <c r="EQS68" s="87"/>
      <c r="EQT68" s="87"/>
      <c r="EQU68" s="87"/>
      <c r="EQV68" s="87"/>
      <c r="EQW68" s="87"/>
      <c r="EQX68" s="87"/>
      <c r="EQY68" s="87"/>
      <c r="EQZ68" s="87"/>
      <c r="ERA68" s="87"/>
      <c r="ERB68" s="87"/>
      <c r="ERC68" s="87"/>
      <c r="ERD68" s="87"/>
      <c r="ERE68" s="87"/>
      <c r="ERF68" s="87"/>
      <c r="ERG68" s="87"/>
      <c r="ERH68" s="87"/>
      <c r="ERI68" s="87"/>
      <c r="ERJ68" s="87"/>
      <c r="ERK68" s="87"/>
      <c r="ERL68" s="87"/>
      <c r="ERM68" s="87"/>
      <c r="ERN68" s="87"/>
      <c r="ERO68" s="87"/>
      <c r="ERP68" s="87"/>
      <c r="ERQ68" s="87"/>
      <c r="ERR68" s="87"/>
      <c r="ERS68" s="87"/>
      <c r="ERT68" s="87"/>
      <c r="ERU68" s="87"/>
      <c r="ERV68" s="87"/>
      <c r="ERW68" s="87"/>
      <c r="ERX68" s="87"/>
      <c r="ERY68" s="87"/>
      <c r="ERZ68" s="87"/>
      <c r="ESA68" s="87"/>
      <c r="ESB68" s="87"/>
      <c r="ESC68" s="87"/>
      <c r="ESD68" s="87"/>
      <c r="ESE68" s="87"/>
      <c r="ESF68" s="87"/>
      <c r="ESG68" s="87"/>
      <c r="ESH68" s="87"/>
      <c r="ESI68" s="87"/>
      <c r="ESJ68" s="87"/>
      <c r="ESK68" s="87"/>
      <c r="ESL68" s="87"/>
      <c r="ESM68" s="87"/>
      <c r="ESN68" s="87"/>
      <c r="ESO68" s="87"/>
      <c r="ESP68" s="87"/>
      <c r="ESQ68" s="87"/>
      <c r="ESR68" s="87"/>
      <c r="ESS68" s="87"/>
      <c r="EST68" s="87"/>
      <c r="ESU68" s="87"/>
      <c r="ESV68" s="87"/>
      <c r="ESW68" s="87"/>
      <c r="ESX68" s="87"/>
      <c r="ESY68" s="87"/>
      <c r="ESZ68" s="87"/>
      <c r="ETA68" s="87"/>
      <c r="ETB68" s="87"/>
      <c r="ETC68" s="87"/>
      <c r="ETD68" s="87"/>
      <c r="ETE68" s="87"/>
      <c r="ETF68" s="87"/>
      <c r="ETG68" s="87"/>
      <c r="ETH68" s="87"/>
      <c r="ETI68" s="87"/>
      <c r="ETJ68" s="87"/>
      <c r="ETK68" s="87"/>
      <c r="ETL68" s="87"/>
      <c r="ETM68" s="87"/>
      <c r="ETN68" s="87"/>
      <c r="ETO68" s="87"/>
      <c r="ETP68" s="87"/>
      <c r="ETQ68" s="87"/>
      <c r="ETR68" s="87"/>
      <c r="ETS68" s="87"/>
      <c r="ETT68" s="87"/>
      <c r="ETU68" s="87"/>
      <c r="ETV68" s="87"/>
      <c r="ETW68" s="87"/>
      <c r="ETX68" s="87"/>
      <c r="ETY68" s="87"/>
      <c r="ETZ68" s="87"/>
      <c r="EUA68" s="87"/>
      <c r="EUB68" s="87"/>
      <c r="EUC68" s="87"/>
      <c r="EUD68" s="87"/>
      <c r="EUE68" s="87"/>
      <c r="EUF68" s="87"/>
      <c r="EUG68" s="87"/>
      <c r="EUH68" s="87"/>
      <c r="EUI68" s="87"/>
      <c r="EUJ68" s="87"/>
      <c r="EUK68" s="87"/>
      <c r="EUL68" s="87"/>
      <c r="EUM68" s="87"/>
      <c r="EUN68" s="87"/>
      <c r="EUO68" s="87"/>
      <c r="EUP68" s="87"/>
      <c r="EUQ68" s="87"/>
      <c r="EUR68" s="87"/>
      <c r="EUS68" s="87"/>
      <c r="EUT68" s="87"/>
      <c r="EUU68" s="87"/>
      <c r="EUV68" s="87"/>
      <c r="EUW68" s="87"/>
      <c r="EUX68" s="87"/>
      <c r="EUY68" s="87"/>
      <c r="EUZ68" s="87"/>
      <c r="EVA68" s="87"/>
      <c r="EVB68" s="87"/>
      <c r="EVC68" s="87"/>
      <c r="EVD68" s="87"/>
      <c r="EVE68" s="87"/>
      <c r="EVF68" s="87"/>
      <c r="EVG68" s="87"/>
      <c r="EVH68" s="87"/>
      <c r="EVI68" s="87"/>
      <c r="EVJ68" s="87"/>
      <c r="EVK68" s="87"/>
      <c r="EVL68" s="87"/>
      <c r="EVM68" s="87"/>
      <c r="EVN68" s="87"/>
      <c r="EVO68" s="87"/>
      <c r="EVP68" s="87"/>
      <c r="EVQ68" s="87"/>
      <c r="EVR68" s="87"/>
      <c r="EVS68" s="87"/>
      <c r="EVT68" s="87"/>
      <c r="EVU68" s="87"/>
      <c r="EVV68" s="87"/>
      <c r="EVW68" s="87"/>
      <c r="EVX68" s="87"/>
      <c r="EVY68" s="87"/>
      <c r="EVZ68" s="87"/>
      <c r="EWA68" s="87"/>
      <c r="EWB68" s="87"/>
      <c r="EWC68" s="87"/>
      <c r="EWD68" s="87"/>
      <c r="EWE68" s="87"/>
      <c r="EWF68" s="87"/>
      <c r="EWG68" s="87"/>
      <c r="EWH68" s="87"/>
      <c r="EWI68" s="87"/>
      <c r="EWJ68" s="87"/>
      <c r="EWK68" s="87"/>
      <c r="EWL68" s="87"/>
      <c r="EWM68" s="87"/>
      <c r="EWN68" s="87"/>
      <c r="EWO68" s="87"/>
      <c r="EWP68" s="87"/>
      <c r="EWQ68" s="87"/>
      <c r="EWR68" s="87"/>
      <c r="EWS68" s="87"/>
      <c r="EWT68" s="87"/>
      <c r="EWU68" s="87"/>
      <c r="EWV68" s="87"/>
      <c r="EWW68" s="87"/>
      <c r="EWX68" s="87"/>
      <c r="EWY68" s="87"/>
      <c r="EWZ68" s="87"/>
      <c r="EXA68" s="87"/>
      <c r="EXB68" s="87"/>
      <c r="EXC68" s="87"/>
      <c r="EXD68" s="87"/>
      <c r="EXE68" s="87"/>
      <c r="EXF68" s="87"/>
      <c r="EXG68" s="87"/>
      <c r="EXH68" s="87"/>
      <c r="EXI68" s="87"/>
      <c r="EXJ68" s="87"/>
      <c r="EXK68" s="87"/>
      <c r="EXL68" s="87"/>
      <c r="EXM68" s="87"/>
      <c r="EXN68" s="87"/>
      <c r="EXO68" s="87"/>
      <c r="EXP68" s="87"/>
      <c r="EXQ68" s="87"/>
      <c r="EXR68" s="87"/>
      <c r="EXS68" s="87"/>
      <c r="EXT68" s="87"/>
      <c r="EXU68" s="87"/>
      <c r="EXV68" s="87"/>
      <c r="EXW68" s="87"/>
      <c r="EXX68" s="87"/>
      <c r="EXY68" s="87"/>
      <c r="EXZ68" s="87"/>
      <c r="EYA68" s="87"/>
      <c r="EYB68" s="87"/>
      <c r="EYC68" s="87"/>
      <c r="EYD68" s="87"/>
      <c r="EYE68" s="87"/>
      <c r="EYF68" s="87"/>
      <c r="EYG68" s="87"/>
      <c r="EYH68" s="87"/>
      <c r="EYI68" s="87"/>
      <c r="EYJ68" s="87"/>
      <c r="EYK68" s="87"/>
      <c r="EYL68" s="87"/>
      <c r="EYM68" s="87"/>
      <c r="EYN68" s="87"/>
      <c r="EYO68" s="87"/>
      <c r="EYP68" s="87"/>
      <c r="EYQ68" s="87"/>
      <c r="EYR68" s="87"/>
      <c r="EYS68" s="87"/>
      <c r="EYT68" s="87"/>
      <c r="EYU68" s="87"/>
      <c r="EYV68" s="87"/>
      <c r="EYW68" s="87"/>
      <c r="EYX68" s="87"/>
      <c r="EYY68" s="87"/>
      <c r="EYZ68" s="87"/>
      <c r="EZA68" s="87"/>
      <c r="EZB68" s="87"/>
      <c r="EZC68" s="87"/>
      <c r="EZD68" s="87"/>
      <c r="EZE68" s="87"/>
      <c r="EZF68" s="87"/>
      <c r="EZG68" s="87"/>
      <c r="EZH68" s="87"/>
      <c r="EZI68" s="87"/>
      <c r="EZJ68" s="87"/>
      <c r="EZK68" s="87"/>
      <c r="EZL68" s="87"/>
      <c r="EZM68" s="87"/>
      <c r="EZN68" s="87"/>
      <c r="EZO68" s="87"/>
      <c r="EZP68" s="87"/>
      <c r="EZQ68" s="87"/>
      <c r="EZR68" s="87"/>
      <c r="EZS68" s="87"/>
      <c r="EZT68" s="87"/>
      <c r="EZU68" s="87"/>
      <c r="EZV68" s="87"/>
      <c r="EZW68" s="87"/>
      <c r="EZX68" s="87"/>
      <c r="EZY68" s="87"/>
      <c r="EZZ68" s="87"/>
      <c r="FAA68" s="87"/>
      <c r="FAB68" s="87"/>
      <c r="FAC68" s="87"/>
      <c r="FAD68" s="87"/>
      <c r="FAE68" s="87"/>
      <c r="FAF68" s="87"/>
      <c r="FAG68" s="87"/>
      <c r="FAH68" s="87"/>
      <c r="FAI68" s="87"/>
      <c r="FAJ68" s="87"/>
      <c r="FAK68" s="87"/>
      <c r="FAL68" s="87"/>
      <c r="FAM68" s="87"/>
      <c r="FAN68" s="87"/>
      <c r="FAO68" s="87"/>
      <c r="FAP68" s="87"/>
      <c r="FAQ68" s="87"/>
      <c r="FAR68" s="87"/>
      <c r="FAS68" s="87"/>
      <c r="FAT68" s="87"/>
      <c r="FAU68" s="87"/>
      <c r="FAV68" s="87"/>
      <c r="FAW68" s="87"/>
      <c r="FAX68" s="87"/>
      <c r="FAY68" s="87"/>
      <c r="FAZ68" s="87"/>
      <c r="FBA68" s="87"/>
      <c r="FBB68" s="87"/>
      <c r="FBC68" s="87"/>
      <c r="FBD68" s="87"/>
      <c r="FBE68" s="87"/>
      <c r="FBF68" s="87"/>
      <c r="FBG68" s="87"/>
      <c r="FBH68" s="87"/>
      <c r="FBI68" s="87"/>
      <c r="FBJ68" s="87"/>
      <c r="FBK68" s="87"/>
      <c r="FBL68" s="87"/>
      <c r="FBM68" s="87"/>
      <c r="FBN68" s="87"/>
      <c r="FBO68" s="87"/>
      <c r="FBP68" s="87"/>
      <c r="FBQ68" s="87"/>
      <c r="FBR68" s="87"/>
      <c r="FBS68" s="87"/>
      <c r="FBT68" s="87"/>
      <c r="FBU68" s="87"/>
      <c r="FBV68" s="87"/>
      <c r="FBW68" s="87"/>
      <c r="FBX68" s="87"/>
      <c r="FBY68" s="87"/>
      <c r="FBZ68" s="87"/>
      <c r="FCA68" s="87"/>
      <c r="FCB68" s="87"/>
      <c r="FCC68" s="87"/>
      <c r="FCD68" s="87"/>
      <c r="FCE68" s="87"/>
      <c r="FCF68" s="87"/>
      <c r="FCG68" s="87"/>
      <c r="FCH68" s="87"/>
      <c r="FCI68" s="87"/>
      <c r="FCJ68" s="87"/>
      <c r="FCK68" s="87"/>
      <c r="FCL68" s="87"/>
      <c r="FCM68" s="87"/>
      <c r="FCN68" s="87"/>
      <c r="FCO68" s="87"/>
      <c r="FCP68" s="87"/>
      <c r="FCQ68" s="87"/>
      <c r="FCR68" s="87"/>
      <c r="FCS68" s="87"/>
      <c r="FCT68" s="87"/>
      <c r="FCU68" s="87"/>
      <c r="FCV68" s="87"/>
      <c r="FCW68" s="87"/>
      <c r="FCX68" s="87"/>
      <c r="FCY68" s="87"/>
      <c r="FCZ68" s="87"/>
      <c r="FDA68" s="87"/>
      <c r="FDB68" s="87"/>
      <c r="FDC68" s="87"/>
      <c r="FDD68" s="87"/>
      <c r="FDE68" s="87"/>
      <c r="FDF68" s="87"/>
      <c r="FDG68" s="87"/>
      <c r="FDH68" s="87"/>
      <c r="FDI68" s="87"/>
      <c r="FDJ68" s="87"/>
      <c r="FDK68" s="87"/>
      <c r="FDL68" s="87"/>
      <c r="FDM68" s="87"/>
      <c r="FDN68" s="87"/>
      <c r="FDO68" s="87"/>
      <c r="FDP68" s="87"/>
      <c r="FDQ68" s="87"/>
      <c r="FDR68" s="87"/>
      <c r="FDS68" s="87"/>
      <c r="FDT68" s="87"/>
      <c r="FDU68" s="87"/>
      <c r="FDV68" s="87"/>
      <c r="FDW68" s="87"/>
      <c r="FDX68" s="87"/>
      <c r="FDY68" s="87"/>
      <c r="FDZ68" s="87"/>
      <c r="FEA68" s="87"/>
      <c r="FEB68" s="87"/>
      <c r="FEC68" s="87"/>
      <c r="FED68" s="87"/>
      <c r="FEE68" s="87"/>
      <c r="FEF68" s="87"/>
      <c r="FEG68" s="87"/>
      <c r="FEH68" s="87"/>
      <c r="FEI68" s="87"/>
      <c r="FEJ68" s="87"/>
      <c r="FEK68" s="87"/>
      <c r="FEL68" s="87"/>
      <c r="FEM68" s="87"/>
      <c r="FEN68" s="87"/>
      <c r="FEO68" s="87"/>
      <c r="FEP68" s="87"/>
      <c r="FEQ68" s="87"/>
      <c r="FER68" s="87"/>
      <c r="FES68" s="87"/>
      <c r="FET68" s="87"/>
      <c r="FEU68" s="87"/>
      <c r="FEV68" s="87"/>
      <c r="FEW68" s="87"/>
      <c r="FEX68" s="87"/>
      <c r="FEY68" s="87"/>
      <c r="FEZ68" s="87"/>
      <c r="FFA68" s="87"/>
      <c r="FFB68" s="87"/>
      <c r="FFC68" s="87"/>
      <c r="FFD68" s="87"/>
      <c r="FFE68" s="87"/>
      <c r="FFF68" s="87"/>
      <c r="FFG68" s="87"/>
      <c r="FFH68" s="87"/>
      <c r="FFI68" s="87"/>
      <c r="FFJ68" s="87"/>
      <c r="FFK68" s="87"/>
      <c r="FFL68" s="87"/>
      <c r="FFM68" s="87"/>
      <c r="FFN68" s="87"/>
      <c r="FFO68" s="87"/>
      <c r="FFP68" s="87"/>
      <c r="FFQ68" s="87"/>
      <c r="FFR68" s="87"/>
      <c r="FFS68" s="87"/>
      <c r="FFT68" s="87"/>
      <c r="FFU68" s="87"/>
      <c r="FFV68" s="87"/>
      <c r="FFW68" s="87"/>
      <c r="FFX68" s="87"/>
      <c r="FFY68" s="87"/>
      <c r="FFZ68" s="87"/>
      <c r="FGA68" s="87"/>
      <c r="FGB68" s="87"/>
      <c r="FGC68" s="87"/>
      <c r="FGD68" s="87"/>
      <c r="FGE68" s="87"/>
      <c r="FGF68" s="87"/>
      <c r="FGG68" s="87"/>
      <c r="FGH68" s="87"/>
      <c r="FGI68" s="87"/>
      <c r="FGJ68" s="87"/>
      <c r="FGK68" s="87"/>
      <c r="FGL68" s="87"/>
      <c r="FGM68" s="87"/>
      <c r="FGN68" s="87"/>
      <c r="FGO68" s="87"/>
      <c r="FGP68" s="87"/>
      <c r="FGQ68" s="87"/>
      <c r="FGR68" s="87"/>
      <c r="FGS68" s="87"/>
      <c r="FGT68" s="87"/>
      <c r="FGU68" s="87"/>
      <c r="FGV68" s="87"/>
      <c r="FGW68" s="87"/>
      <c r="FGX68" s="87"/>
      <c r="FGY68" s="87"/>
      <c r="FGZ68" s="87"/>
      <c r="FHA68" s="87"/>
      <c r="FHB68" s="87"/>
      <c r="FHC68" s="87"/>
      <c r="FHD68" s="87"/>
      <c r="FHE68" s="87"/>
      <c r="FHF68" s="87"/>
      <c r="FHG68" s="87"/>
      <c r="FHH68" s="87"/>
      <c r="FHI68" s="87"/>
      <c r="FHJ68" s="87"/>
      <c r="FHK68" s="87"/>
      <c r="FHL68" s="87"/>
      <c r="FHM68" s="87"/>
      <c r="FHN68" s="87"/>
      <c r="FHO68" s="87"/>
      <c r="FHP68" s="87"/>
      <c r="FHQ68" s="87"/>
      <c r="FHR68" s="87"/>
      <c r="FHS68" s="87"/>
      <c r="FHT68" s="87"/>
      <c r="FHU68" s="87"/>
      <c r="FHV68" s="87"/>
      <c r="FHW68" s="87"/>
      <c r="FHX68" s="87"/>
      <c r="FHY68" s="87"/>
      <c r="FHZ68" s="87"/>
      <c r="FIA68" s="87"/>
      <c r="FIB68" s="87"/>
      <c r="FIC68" s="87"/>
      <c r="FID68" s="87"/>
      <c r="FIE68" s="87"/>
      <c r="FIF68" s="87"/>
      <c r="FIG68" s="87"/>
      <c r="FIH68" s="87"/>
      <c r="FII68" s="87"/>
      <c r="FIJ68" s="87"/>
      <c r="FIK68" s="87"/>
      <c r="FIL68" s="87"/>
      <c r="FIM68" s="87"/>
      <c r="FIN68" s="87"/>
      <c r="FIO68" s="87"/>
      <c r="FIP68" s="87"/>
      <c r="FIQ68" s="87"/>
      <c r="FIR68" s="87"/>
      <c r="FIS68" s="87"/>
      <c r="FIT68" s="87"/>
      <c r="FIU68" s="87"/>
      <c r="FIV68" s="87"/>
      <c r="FIW68" s="87"/>
      <c r="FIX68" s="87"/>
      <c r="FIY68" s="87"/>
      <c r="FIZ68" s="87"/>
      <c r="FJA68" s="87"/>
      <c r="FJB68" s="87"/>
      <c r="FJC68" s="87"/>
      <c r="FJD68" s="87"/>
      <c r="FJE68" s="87"/>
      <c r="FJF68" s="87"/>
      <c r="FJG68" s="87"/>
      <c r="FJH68" s="87"/>
      <c r="FJI68" s="87"/>
      <c r="FJJ68" s="87"/>
      <c r="FJK68" s="87"/>
      <c r="FJL68" s="87"/>
      <c r="FJM68" s="87"/>
      <c r="FJN68" s="87"/>
      <c r="FJO68" s="87"/>
      <c r="FJP68" s="87"/>
      <c r="FJQ68" s="87"/>
      <c r="FJR68" s="87"/>
      <c r="FJS68" s="87"/>
      <c r="FJT68" s="87"/>
      <c r="FJU68" s="87"/>
      <c r="FJV68" s="87"/>
      <c r="FJW68" s="87"/>
      <c r="FJX68" s="87"/>
      <c r="FJY68" s="87"/>
      <c r="FJZ68" s="87"/>
      <c r="FKA68" s="87"/>
      <c r="FKB68" s="87"/>
      <c r="FKC68" s="87"/>
      <c r="FKD68" s="87"/>
      <c r="FKE68" s="87"/>
      <c r="FKF68" s="87"/>
      <c r="FKG68" s="87"/>
      <c r="FKH68" s="87"/>
      <c r="FKI68" s="87"/>
      <c r="FKJ68" s="87"/>
      <c r="FKK68" s="87"/>
      <c r="FKL68" s="87"/>
      <c r="FKM68" s="87"/>
      <c r="FKN68" s="87"/>
      <c r="FKO68" s="87"/>
      <c r="FKP68" s="87"/>
      <c r="FKQ68" s="87"/>
      <c r="FKR68" s="87"/>
      <c r="FKS68" s="87"/>
      <c r="FKT68" s="87"/>
      <c r="FKU68" s="87"/>
      <c r="FKV68" s="87"/>
      <c r="FKW68" s="87"/>
      <c r="FKX68" s="87"/>
      <c r="FKY68" s="87"/>
      <c r="FKZ68" s="87"/>
      <c r="FLA68" s="87"/>
      <c r="FLB68" s="87"/>
      <c r="FLC68" s="87"/>
      <c r="FLD68" s="87"/>
      <c r="FLE68" s="87"/>
      <c r="FLF68" s="87"/>
      <c r="FLG68" s="87"/>
      <c r="FLH68" s="87"/>
      <c r="FLI68" s="87"/>
      <c r="FLJ68" s="87"/>
      <c r="FLK68" s="87"/>
      <c r="FLL68" s="87"/>
      <c r="FLM68" s="87"/>
      <c r="FLN68" s="87"/>
      <c r="FLO68" s="87"/>
      <c r="FLP68" s="87"/>
      <c r="FLQ68" s="87"/>
      <c r="FLR68" s="87"/>
      <c r="FLS68" s="87"/>
      <c r="FLT68" s="87"/>
      <c r="FLU68" s="87"/>
      <c r="FLV68" s="87"/>
      <c r="FLW68" s="87"/>
      <c r="FLX68" s="87"/>
      <c r="FLY68" s="87"/>
      <c r="FLZ68" s="87"/>
      <c r="FMA68" s="87"/>
      <c r="FMB68" s="87"/>
      <c r="FMC68" s="87"/>
      <c r="FMD68" s="87"/>
      <c r="FME68" s="87"/>
      <c r="FMF68" s="87"/>
      <c r="FMG68" s="87"/>
      <c r="FMH68" s="87"/>
      <c r="FMI68" s="87"/>
      <c r="FMJ68" s="87"/>
      <c r="FMK68" s="87"/>
      <c r="FML68" s="87"/>
      <c r="FMM68" s="87"/>
      <c r="FMN68" s="87"/>
      <c r="FMO68" s="87"/>
      <c r="FMP68" s="87"/>
      <c r="FMQ68" s="87"/>
      <c r="FMR68" s="87"/>
      <c r="FMS68" s="87"/>
      <c r="FMT68" s="87"/>
      <c r="FMU68" s="87"/>
      <c r="FMV68" s="87"/>
      <c r="FMW68" s="87"/>
      <c r="FMX68" s="87"/>
      <c r="FMY68" s="87"/>
      <c r="FMZ68" s="87"/>
      <c r="FNA68" s="87"/>
      <c r="FNB68" s="87"/>
      <c r="FNC68" s="87"/>
      <c r="FND68" s="87"/>
      <c r="FNE68" s="87"/>
      <c r="FNF68" s="87"/>
      <c r="FNG68" s="87"/>
      <c r="FNH68" s="87"/>
      <c r="FNI68" s="87"/>
      <c r="FNJ68" s="87"/>
      <c r="FNK68" s="87"/>
      <c r="FNL68" s="87"/>
      <c r="FNM68" s="87"/>
      <c r="FNN68" s="87"/>
      <c r="FNO68" s="87"/>
      <c r="FNP68" s="87"/>
      <c r="FNQ68" s="87"/>
      <c r="FNR68" s="87"/>
      <c r="FNS68" s="87"/>
      <c r="FNT68" s="87"/>
      <c r="FNU68" s="87"/>
      <c r="FNV68" s="87"/>
      <c r="FNW68" s="87"/>
      <c r="FNX68" s="87"/>
      <c r="FNY68" s="87"/>
      <c r="FNZ68" s="87"/>
      <c r="FOA68" s="87"/>
      <c r="FOB68" s="87"/>
      <c r="FOC68" s="87"/>
      <c r="FOD68" s="87"/>
      <c r="FOE68" s="87"/>
      <c r="FOF68" s="87"/>
      <c r="FOG68" s="87"/>
      <c r="FOH68" s="87"/>
      <c r="FOI68" s="87"/>
      <c r="FOJ68" s="87"/>
      <c r="FOK68" s="87"/>
      <c r="FOL68" s="87"/>
      <c r="FOM68" s="87"/>
      <c r="FON68" s="87"/>
      <c r="FOO68" s="87"/>
      <c r="FOP68" s="87"/>
      <c r="FOQ68" s="87"/>
      <c r="FOR68" s="87"/>
      <c r="FOS68" s="87"/>
      <c r="FOT68" s="87"/>
      <c r="FOU68" s="87"/>
      <c r="FOV68" s="87"/>
      <c r="FOW68" s="87"/>
      <c r="FOX68" s="87"/>
      <c r="FOY68" s="87"/>
      <c r="FOZ68" s="87"/>
      <c r="FPA68" s="87"/>
      <c r="FPB68" s="87"/>
      <c r="FPC68" s="87"/>
      <c r="FPD68" s="87"/>
      <c r="FPE68" s="87"/>
      <c r="FPF68" s="87"/>
      <c r="FPG68" s="87"/>
      <c r="FPH68" s="87"/>
      <c r="FPI68" s="87"/>
      <c r="FPJ68" s="87"/>
      <c r="FPK68" s="87"/>
      <c r="FPL68" s="87"/>
      <c r="FPM68" s="87"/>
      <c r="FPN68" s="87"/>
      <c r="FPO68" s="87"/>
      <c r="FPP68" s="87"/>
      <c r="FPQ68" s="87"/>
      <c r="FPR68" s="87"/>
      <c r="FPS68" s="87"/>
      <c r="FPT68" s="87"/>
      <c r="FPU68" s="87"/>
      <c r="FPV68" s="87"/>
      <c r="FPW68" s="87"/>
      <c r="FPX68" s="87"/>
      <c r="FPY68" s="87"/>
      <c r="FPZ68" s="87"/>
      <c r="FQA68" s="87"/>
      <c r="FQB68" s="87"/>
      <c r="FQC68" s="87"/>
      <c r="FQD68" s="87"/>
      <c r="FQE68" s="87"/>
      <c r="FQF68" s="87"/>
      <c r="FQG68" s="87"/>
      <c r="FQH68" s="87"/>
      <c r="FQI68" s="87"/>
      <c r="FQJ68" s="87"/>
      <c r="FQK68" s="87"/>
      <c r="FQL68" s="87"/>
      <c r="FQM68" s="87"/>
      <c r="FQN68" s="87"/>
      <c r="FQO68" s="87"/>
      <c r="FQP68" s="87"/>
      <c r="FQQ68" s="87"/>
      <c r="FQR68" s="87"/>
      <c r="FQS68" s="87"/>
      <c r="FQT68" s="87"/>
      <c r="FQU68" s="87"/>
      <c r="FQV68" s="87"/>
      <c r="FQW68" s="87"/>
      <c r="FQX68" s="87"/>
      <c r="FQY68" s="87"/>
      <c r="FQZ68" s="87"/>
      <c r="FRA68" s="87"/>
      <c r="FRB68" s="87"/>
      <c r="FRC68" s="87"/>
      <c r="FRD68" s="87"/>
      <c r="FRE68" s="87"/>
      <c r="FRF68" s="87"/>
      <c r="FRG68" s="87"/>
      <c r="FRH68" s="87"/>
      <c r="FRI68" s="87"/>
      <c r="FRJ68" s="87"/>
      <c r="FRK68" s="87"/>
      <c r="FRL68" s="87"/>
      <c r="FRM68" s="87"/>
      <c r="FRN68" s="87"/>
      <c r="FRO68" s="87"/>
      <c r="FRP68" s="87"/>
      <c r="FRQ68" s="87"/>
      <c r="FRR68" s="87"/>
      <c r="FRS68" s="87"/>
      <c r="FRT68" s="87"/>
      <c r="FRU68" s="87"/>
      <c r="FRV68" s="87"/>
      <c r="FRW68" s="87"/>
      <c r="FRX68" s="87"/>
      <c r="FRY68" s="87"/>
      <c r="FRZ68" s="87"/>
      <c r="FSA68" s="87"/>
      <c r="FSB68" s="87"/>
      <c r="FSC68" s="87"/>
      <c r="FSD68" s="87"/>
      <c r="FSE68" s="87"/>
      <c r="FSF68" s="87"/>
      <c r="FSG68" s="87"/>
      <c r="FSH68" s="87"/>
      <c r="FSI68" s="87"/>
      <c r="FSJ68" s="87"/>
      <c r="FSK68" s="87"/>
      <c r="FSL68" s="87"/>
      <c r="FSM68" s="87"/>
      <c r="FSN68" s="87"/>
      <c r="FSO68" s="87"/>
      <c r="FSP68" s="87"/>
      <c r="FSQ68" s="87"/>
      <c r="FSR68" s="87"/>
      <c r="FSS68" s="87"/>
      <c r="FST68" s="87"/>
      <c r="FSU68" s="87"/>
      <c r="FSV68" s="87"/>
      <c r="FSW68" s="87"/>
      <c r="FSX68" s="87"/>
      <c r="FSY68" s="87"/>
      <c r="FSZ68" s="87"/>
      <c r="FTA68" s="87"/>
      <c r="FTB68" s="87"/>
      <c r="FTC68" s="87"/>
      <c r="FTD68" s="87"/>
      <c r="FTE68" s="87"/>
      <c r="FTF68" s="87"/>
      <c r="FTG68" s="87"/>
      <c r="FTH68" s="87"/>
      <c r="FTI68" s="87"/>
      <c r="FTJ68" s="87"/>
      <c r="FTK68" s="87"/>
      <c r="FTL68" s="87"/>
      <c r="FTM68" s="87"/>
      <c r="FTN68" s="87"/>
      <c r="FTO68" s="87"/>
      <c r="FTP68" s="87"/>
      <c r="FTQ68" s="87"/>
      <c r="FTR68" s="87"/>
      <c r="FTS68" s="87"/>
      <c r="FTT68" s="87"/>
      <c r="FTU68" s="87"/>
      <c r="FTV68" s="87"/>
      <c r="FTW68" s="87"/>
      <c r="FTX68" s="87"/>
      <c r="FTY68" s="87"/>
      <c r="FTZ68" s="87"/>
      <c r="FUA68" s="87"/>
      <c r="FUB68" s="87"/>
      <c r="FUC68" s="87"/>
      <c r="FUD68" s="87"/>
      <c r="FUE68" s="87"/>
      <c r="FUF68" s="87"/>
      <c r="FUG68" s="87"/>
      <c r="FUH68" s="87"/>
      <c r="FUI68" s="87"/>
      <c r="FUJ68" s="87"/>
      <c r="FUK68" s="87"/>
      <c r="FUL68" s="87"/>
      <c r="FUM68" s="87"/>
      <c r="FUN68" s="87"/>
      <c r="FUO68" s="87"/>
      <c r="FUP68" s="87"/>
      <c r="FUQ68" s="87"/>
      <c r="FUR68" s="87"/>
      <c r="FUS68" s="87"/>
      <c r="FUT68" s="87"/>
      <c r="FUU68" s="87"/>
      <c r="FUV68" s="87"/>
      <c r="FUW68" s="87"/>
      <c r="FUX68" s="87"/>
      <c r="FUY68" s="87"/>
      <c r="FUZ68" s="87"/>
      <c r="FVA68" s="87"/>
      <c r="FVB68" s="87"/>
      <c r="FVC68" s="87"/>
      <c r="FVD68" s="87"/>
      <c r="FVE68" s="87"/>
      <c r="FVF68" s="87"/>
      <c r="FVG68" s="87"/>
      <c r="FVH68" s="87"/>
      <c r="FVI68" s="87"/>
      <c r="FVJ68" s="87"/>
      <c r="FVK68" s="87"/>
      <c r="FVL68" s="87"/>
      <c r="FVM68" s="87"/>
      <c r="FVN68" s="87"/>
      <c r="FVO68" s="87"/>
      <c r="FVP68" s="87"/>
      <c r="FVQ68" s="87"/>
      <c r="FVR68" s="87"/>
      <c r="FVS68" s="87"/>
      <c r="FVT68" s="87"/>
      <c r="FVU68" s="87"/>
      <c r="FVV68" s="87"/>
      <c r="FVW68" s="87"/>
      <c r="FVX68" s="87"/>
      <c r="FVY68" s="87"/>
      <c r="FVZ68" s="87"/>
      <c r="FWA68" s="87"/>
      <c r="FWB68" s="87"/>
      <c r="FWC68" s="87"/>
      <c r="FWD68" s="87"/>
      <c r="FWE68" s="87"/>
      <c r="FWF68" s="87"/>
      <c r="FWG68" s="87"/>
      <c r="FWH68" s="87"/>
      <c r="FWI68" s="87"/>
      <c r="FWJ68" s="87"/>
      <c r="FWK68" s="87"/>
      <c r="FWL68" s="87"/>
      <c r="FWM68" s="87"/>
      <c r="FWN68" s="87"/>
      <c r="FWO68" s="87"/>
      <c r="FWP68" s="87"/>
      <c r="FWQ68" s="87"/>
      <c r="FWR68" s="87"/>
      <c r="FWS68" s="87"/>
      <c r="FWT68" s="87"/>
      <c r="FWU68" s="87"/>
      <c r="FWV68" s="87"/>
      <c r="FWW68" s="87"/>
      <c r="FWX68" s="87"/>
      <c r="FWY68" s="87"/>
      <c r="FWZ68" s="87"/>
      <c r="FXA68" s="87"/>
      <c r="FXB68" s="87"/>
      <c r="FXC68" s="87"/>
      <c r="FXD68" s="87"/>
      <c r="FXE68" s="87"/>
      <c r="FXF68" s="87"/>
      <c r="FXG68" s="87"/>
      <c r="FXH68" s="87"/>
      <c r="FXI68" s="87"/>
      <c r="FXJ68" s="87"/>
      <c r="FXK68" s="87"/>
      <c r="FXL68" s="87"/>
      <c r="FXM68" s="87"/>
      <c r="FXN68" s="87"/>
      <c r="FXO68" s="87"/>
      <c r="FXP68" s="87"/>
      <c r="FXQ68" s="87"/>
      <c r="FXR68" s="87"/>
      <c r="FXS68" s="87"/>
      <c r="FXT68" s="87"/>
      <c r="FXU68" s="87"/>
      <c r="FXV68" s="87"/>
      <c r="FXW68" s="87"/>
      <c r="FXX68" s="87"/>
      <c r="FXY68" s="87"/>
      <c r="FXZ68" s="87"/>
      <c r="FYA68" s="87"/>
      <c r="FYB68" s="87"/>
      <c r="FYC68" s="87"/>
      <c r="FYD68" s="87"/>
      <c r="FYE68" s="87"/>
      <c r="FYF68" s="87"/>
      <c r="FYG68" s="87"/>
      <c r="FYH68" s="87"/>
      <c r="FYI68" s="87"/>
      <c r="FYJ68" s="87"/>
      <c r="FYK68" s="87"/>
      <c r="FYL68" s="87"/>
      <c r="FYM68" s="87"/>
      <c r="FYN68" s="87"/>
      <c r="FYO68" s="87"/>
      <c r="FYP68" s="87"/>
      <c r="FYQ68" s="87"/>
      <c r="FYR68" s="87"/>
      <c r="FYS68" s="87"/>
      <c r="FYT68" s="87"/>
      <c r="FYU68" s="87"/>
      <c r="FYV68" s="87"/>
      <c r="FYW68" s="87"/>
      <c r="FYX68" s="87"/>
      <c r="FYY68" s="87"/>
      <c r="FYZ68" s="87"/>
      <c r="FZA68" s="87"/>
      <c r="FZB68" s="87"/>
      <c r="FZC68" s="87"/>
      <c r="FZD68" s="87"/>
      <c r="FZE68" s="87"/>
      <c r="FZF68" s="87"/>
      <c r="FZG68" s="87"/>
      <c r="FZH68" s="87"/>
      <c r="FZI68" s="87"/>
      <c r="FZJ68" s="87"/>
      <c r="FZK68" s="87"/>
      <c r="FZL68" s="87"/>
      <c r="FZM68" s="87"/>
      <c r="FZN68" s="87"/>
      <c r="FZO68" s="87"/>
      <c r="FZP68" s="87"/>
      <c r="FZQ68" s="87"/>
      <c r="FZR68" s="87"/>
      <c r="FZS68" s="87"/>
      <c r="FZT68" s="87"/>
      <c r="FZU68" s="87"/>
      <c r="FZV68" s="87"/>
      <c r="FZW68" s="87"/>
      <c r="FZX68" s="87"/>
      <c r="FZY68" s="87"/>
      <c r="FZZ68" s="87"/>
      <c r="GAA68" s="87"/>
      <c r="GAB68" s="87"/>
      <c r="GAC68" s="87"/>
      <c r="GAD68" s="87"/>
      <c r="GAE68" s="87"/>
      <c r="GAF68" s="87"/>
      <c r="GAG68" s="87"/>
      <c r="GAH68" s="87"/>
      <c r="GAI68" s="87"/>
      <c r="GAJ68" s="87"/>
      <c r="GAK68" s="87"/>
      <c r="GAL68" s="87"/>
      <c r="GAM68" s="87"/>
      <c r="GAN68" s="87"/>
      <c r="GAO68" s="87"/>
      <c r="GAP68" s="87"/>
      <c r="GAQ68" s="87"/>
      <c r="GAR68" s="87"/>
      <c r="GAS68" s="87"/>
      <c r="GAT68" s="87"/>
      <c r="GAU68" s="87"/>
      <c r="GAV68" s="87"/>
      <c r="GAW68" s="87"/>
      <c r="GAX68" s="87"/>
      <c r="GAY68" s="87"/>
      <c r="GAZ68" s="87"/>
      <c r="GBA68" s="87"/>
      <c r="GBB68" s="87"/>
      <c r="GBC68" s="87"/>
      <c r="GBD68" s="87"/>
      <c r="GBE68" s="87"/>
      <c r="GBF68" s="87"/>
      <c r="GBG68" s="87"/>
      <c r="GBH68" s="87"/>
      <c r="GBI68" s="87"/>
      <c r="GBJ68" s="87"/>
      <c r="GBK68" s="87"/>
      <c r="GBL68" s="87"/>
      <c r="GBM68" s="87"/>
      <c r="GBN68" s="87"/>
      <c r="GBO68" s="87"/>
      <c r="GBP68" s="87"/>
      <c r="GBQ68" s="87"/>
      <c r="GBR68" s="87"/>
      <c r="GBS68" s="87"/>
      <c r="GBT68" s="87"/>
      <c r="GBU68" s="87"/>
      <c r="GBV68" s="87"/>
      <c r="GBW68" s="87"/>
      <c r="GBX68" s="87"/>
      <c r="GBY68" s="87"/>
      <c r="GBZ68" s="87"/>
      <c r="GCA68" s="87"/>
      <c r="GCB68" s="87"/>
      <c r="GCC68" s="87"/>
      <c r="GCD68" s="87"/>
      <c r="GCE68" s="87"/>
      <c r="GCF68" s="87"/>
      <c r="GCG68" s="87"/>
      <c r="GCH68" s="87"/>
      <c r="GCI68" s="87"/>
      <c r="GCJ68" s="87"/>
      <c r="GCK68" s="87"/>
      <c r="GCL68" s="87"/>
      <c r="GCM68" s="87"/>
      <c r="GCN68" s="87"/>
      <c r="GCO68" s="87"/>
      <c r="GCP68" s="87"/>
      <c r="GCQ68" s="87"/>
      <c r="GCR68" s="87"/>
      <c r="GCS68" s="87"/>
      <c r="GCT68" s="87"/>
      <c r="GCU68" s="87"/>
      <c r="GCV68" s="87"/>
      <c r="GCW68" s="87"/>
      <c r="GCX68" s="87"/>
      <c r="GCY68" s="87"/>
      <c r="GCZ68" s="87"/>
      <c r="GDA68" s="87"/>
      <c r="GDB68" s="87"/>
      <c r="GDC68" s="87"/>
      <c r="GDD68" s="87"/>
      <c r="GDE68" s="87"/>
      <c r="GDF68" s="87"/>
      <c r="GDG68" s="87"/>
      <c r="GDH68" s="87"/>
      <c r="GDI68" s="87"/>
      <c r="GDJ68" s="87"/>
      <c r="GDK68" s="87"/>
      <c r="GDL68" s="87"/>
      <c r="GDM68" s="87"/>
      <c r="GDN68" s="87"/>
      <c r="GDO68" s="87"/>
      <c r="GDP68" s="87"/>
      <c r="GDQ68" s="87"/>
      <c r="GDR68" s="87"/>
      <c r="GDS68" s="87"/>
      <c r="GDT68" s="87"/>
      <c r="GDU68" s="87"/>
      <c r="GDV68" s="87"/>
      <c r="GDW68" s="87"/>
      <c r="GDX68" s="87"/>
      <c r="GDY68" s="87"/>
      <c r="GDZ68" s="87"/>
      <c r="GEA68" s="87"/>
      <c r="GEB68" s="87"/>
      <c r="GEC68" s="87"/>
      <c r="GED68" s="87"/>
      <c r="GEE68" s="87"/>
      <c r="GEF68" s="87"/>
      <c r="GEG68" s="87"/>
      <c r="GEH68" s="87"/>
      <c r="GEI68" s="87"/>
      <c r="GEJ68" s="87"/>
      <c r="GEK68" s="87"/>
      <c r="GEL68" s="87"/>
      <c r="GEM68" s="87"/>
      <c r="GEN68" s="87"/>
      <c r="GEO68" s="87"/>
      <c r="GEP68" s="87"/>
      <c r="GEQ68" s="87"/>
      <c r="GER68" s="87"/>
      <c r="GES68" s="87"/>
      <c r="GET68" s="87"/>
      <c r="GEU68" s="87"/>
      <c r="GEV68" s="87"/>
      <c r="GEW68" s="87"/>
      <c r="GEX68" s="87"/>
      <c r="GEY68" s="87"/>
      <c r="GEZ68" s="87"/>
      <c r="GFA68" s="87"/>
      <c r="GFB68" s="87"/>
      <c r="GFC68" s="87"/>
      <c r="GFD68" s="87"/>
      <c r="GFE68" s="87"/>
      <c r="GFF68" s="87"/>
      <c r="GFG68" s="87"/>
      <c r="GFH68" s="87"/>
      <c r="GFI68" s="87"/>
      <c r="GFJ68" s="87"/>
      <c r="GFK68" s="87"/>
      <c r="GFL68" s="87"/>
      <c r="GFM68" s="87"/>
      <c r="GFN68" s="87"/>
      <c r="GFO68" s="87"/>
      <c r="GFP68" s="87"/>
      <c r="GFQ68" s="87"/>
      <c r="GFR68" s="87"/>
      <c r="GFS68" s="87"/>
      <c r="GFT68" s="87"/>
      <c r="GFU68" s="87"/>
      <c r="GFV68" s="87"/>
      <c r="GFW68" s="87"/>
      <c r="GFX68" s="87"/>
      <c r="GFY68" s="87"/>
      <c r="GFZ68" s="87"/>
      <c r="GGA68" s="87"/>
      <c r="GGB68" s="87"/>
      <c r="GGC68" s="87"/>
      <c r="GGD68" s="87"/>
      <c r="GGE68" s="87"/>
      <c r="GGF68" s="87"/>
      <c r="GGG68" s="87"/>
      <c r="GGH68" s="87"/>
      <c r="GGI68" s="87"/>
      <c r="GGJ68" s="87"/>
      <c r="GGK68" s="87"/>
      <c r="GGL68" s="87"/>
      <c r="GGM68" s="87"/>
      <c r="GGN68" s="87"/>
      <c r="GGO68" s="87"/>
      <c r="GGP68" s="87"/>
      <c r="GGQ68" s="87"/>
      <c r="GGR68" s="87"/>
      <c r="GGS68" s="87"/>
      <c r="GGT68" s="87"/>
      <c r="GGU68" s="87"/>
      <c r="GGV68" s="87"/>
      <c r="GGW68" s="87"/>
      <c r="GGX68" s="87"/>
      <c r="GGY68" s="87"/>
      <c r="GGZ68" s="87"/>
      <c r="GHA68" s="87"/>
      <c r="GHB68" s="87"/>
      <c r="GHC68" s="87"/>
      <c r="GHD68" s="87"/>
      <c r="GHE68" s="87"/>
      <c r="GHF68" s="87"/>
      <c r="GHG68" s="87"/>
      <c r="GHH68" s="87"/>
      <c r="GHI68" s="87"/>
      <c r="GHJ68" s="87"/>
      <c r="GHK68" s="87"/>
      <c r="GHL68" s="87"/>
      <c r="GHM68" s="87"/>
      <c r="GHN68" s="87"/>
      <c r="GHO68" s="87"/>
      <c r="GHP68" s="87"/>
      <c r="GHQ68" s="87"/>
      <c r="GHR68" s="87"/>
      <c r="GHS68" s="87"/>
      <c r="GHT68" s="87"/>
      <c r="GHU68" s="87"/>
      <c r="GHV68" s="87"/>
      <c r="GHW68" s="87"/>
      <c r="GHX68" s="87"/>
      <c r="GHY68" s="87"/>
      <c r="GHZ68" s="87"/>
      <c r="GIA68" s="87"/>
      <c r="GIB68" s="87"/>
      <c r="GIC68" s="87"/>
      <c r="GID68" s="87"/>
      <c r="GIE68" s="87"/>
      <c r="GIF68" s="87"/>
      <c r="GIG68" s="87"/>
      <c r="GIH68" s="87"/>
      <c r="GII68" s="87"/>
      <c r="GIJ68" s="87"/>
      <c r="GIK68" s="87"/>
      <c r="GIL68" s="87"/>
      <c r="GIM68" s="87"/>
      <c r="GIN68" s="87"/>
      <c r="GIO68" s="87"/>
      <c r="GIP68" s="87"/>
      <c r="GIQ68" s="87"/>
      <c r="GIR68" s="87"/>
      <c r="GIS68" s="87"/>
      <c r="GIT68" s="87"/>
      <c r="GIU68" s="87"/>
      <c r="GIV68" s="87"/>
      <c r="GIW68" s="87"/>
      <c r="GIX68" s="87"/>
      <c r="GIY68" s="87"/>
      <c r="GIZ68" s="87"/>
      <c r="GJA68" s="87"/>
      <c r="GJB68" s="87"/>
      <c r="GJC68" s="87"/>
      <c r="GJD68" s="87"/>
      <c r="GJE68" s="87"/>
      <c r="GJF68" s="87"/>
      <c r="GJG68" s="87"/>
      <c r="GJH68" s="87"/>
      <c r="GJI68" s="87"/>
      <c r="GJJ68" s="87"/>
      <c r="GJK68" s="87"/>
      <c r="GJL68" s="87"/>
      <c r="GJM68" s="87"/>
      <c r="GJN68" s="87"/>
      <c r="GJO68" s="87"/>
      <c r="GJP68" s="87"/>
      <c r="GJQ68" s="87"/>
      <c r="GJR68" s="87"/>
      <c r="GJS68" s="87"/>
      <c r="GJT68" s="87"/>
      <c r="GJU68" s="87"/>
      <c r="GJV68" s="87"/>
      <c r="GJW68" s="87"/>
      <c r="GJX68" s="87"/>
      <c r="GJY68" s="87"/>
      <c r="GJZ68" s="87"/>
      <c r="GKA68" s="87"/>
      <c r="GKB68" s="87"/>
      <c r="GKC68" s="87"/>
      <c r="GKD68" s="87"/>
      <c r="GKE68" s="87"/>
      <c r="GKF68" s="87"/>
      <c r="GKG68" s="87"/>
      <c r="GKH68" s="87"/>
      <c r="GKI68" s="87"/>
      <c r="GKJ68" s="87"/>
      <c r="GKK68" s="87"/>
      <c r="GKL68" s="87"/>
      <c r="GKM68" s="87"/>
      <c r="GKN68" s="87"/>
      <c r="GKO68" s="87"/>
      <c r="GKP68" s="87"/>
      <c r="GKQ68" s="87"/>
      <c r="GKR68" s="87"/>
      <c r="GKS68" s="87"/>
      <c r="GKT68" s="87"/>
      <c r="GKU68" s="87"/>
      <c r="GKV68" s="87"/>
      <c r="GKW68" s="87"/>
      <c r="GKX68" s="87"/>
      <c r="GKY68" s="87"/>
      <c r="GKZ68" s="87"/>
      <c r="GLA68" s="87"/>
      <c r="GLB68" s="87"/>
      <c r="GLC68" s="87"/>
      <c r="GLD68" s="87"/>
      <c r="GLE68" s="87"/>
      <c r="GLF68" s="87"/>
      <c r="GLG68" s="87"/>
      <c r="GLH68" s="87"/>
      <c r="GLI68" s="87"/>
      <c r="GLJ68" s="87"/>
      <c r="GLK68" s="87"/>
      <c r="GLL68" s="87"/>
      <c r="GLM68" s="87"/>
      <c r="GLN68" s="87"/>
      <c r="GLO68" s="87"/>
      <c r="GLP68" s="87"/>
      <c r="GLQ68" s="87"/>
      <c r="GLR68" s="87"/>
      <c r="GLS68" s="87"/>
      <c r="GLT68" s="87"/>
      <c r="GLU68" s="87"/>
      <c r="GLV68" s="87"/>
      <c r="GLW68" s="87"/>
      <c r="GLX68" s="87"/>
      <c r="GLY68" s="87"/>
      <c r="GLZ68" s="87"/>
      <c r="GMA68" s="87"/>
      <c r="GMB68" s="87"/>
      <c r="GMC68" s="87"/>
      <c r="GMD68" s="87"/>
      <c r="GME68" s="87"/>
      <c r="GMF68" s="87"/>
      <c r="GMG68" s="87"/>
      <c r="GMH68" s="87"/>
      <c r="GMI68" s="87"/>
      <c r="GMJ68" s="87"/>
      <c r="GMK68" s="87"/>
      <c r="GML68" s="87"/>
      <c r="GMM68" s="87"/>
      <c r="GMN68" s="87"/>
      <c r="GMO68" s="87"/>
      <c r="GMP68" s="87"/>
      <c r="GMQ68" s="87"/>
      <c r="GMR68" s="87"/>
      <c r="GMS68" s="87"/>
      <c r="GMT68" s="87"/>
      <c r="GMU68" s="87"/>
      <c r="GMV68" s="87"/>
      <c r="GMW68" s="87"/>
      <c r="GMX68" s="87"/>
      <c r="GMY68" s="87"/>
      <c r="GMZ68" s="87"/>
      <c r="GNA68" s="87"/>
      <c r="GNB68" s="87"/>
      <c r="GNC68" s="87"/>
      <c r="GND68" s="87"/>
      <c r="GNE68" s="87"/>
      <c r="GNF68" s="87"/>
      <c r="GNG68" s="87"/>
      <c r="GNH68" s="87"/>
      <c r="GNI68" s="87"/>
      <c r="GNJ68" s="87"/>
      <c r="GNK68" s="87"/>
      <c r="GNL68" s="87"/>
      <c r="GNM68" s="87"/>
      <c r="GNN68" s="87"/>
      <c r="GNO68" s="87"/>
      <c r="GNP68" s="87"/>
      <c r="GNQ68" s="87"/>
      <c r="GNR68" s="87"/>
      <c r="GNS68" s="87"/>
      <c r="GNT68" s="87"/>
      <c r="GNU68" s="87"/>
      <c r="GNV68" s="87"/>
      <c r="GNW68" s="87"/>
      <c r="GNX68" s="87"/>
      <c r="GNY68" s="87"/>
      <c r="GNZ68" s="87"/>
      <c r="GOA68" s="87"/>
      <c r="GOB68" s="87"/>
      <c r="GOC68" s="87"/>
      <c r="GOD68" s="87"/>
      <c r="GOE68" s="87"/>
      <c r="GOF68" s="87"/>
      <c r="GOG68" s="87"/>
      <c r="GOH68" s="87"/>
      <c r="GOI68" s="87"/>
      <c r="GOJ68" s="87"/>
      <c r="GOK68" s="87"/>
      <c r="GOL68" s="87"/>
      <c r="GOM68" s="87"/>
      <c r="GON68" s="87"/>
      <c r="GOO68" s="87"/>
      <c r="GOP68" s="87"/>
      <c r="GOQ68" s="87"/>
      <c r="GOR68" s="87"/>
      <c r="GOS68" s="87"/>
      <c r="GOT68" s="87"/>
      <c r="GOU68" s="87"/>
      <c r="GOV68" s="87"/>
      <c r="GOW68" s="87"/>
      <c r="GOX68" s="87"/>
      <c r="GOY68" s="87"/>
      <c r="GOZ68" s="87"/>
      <c r="GPA68" s="87"/>
      <c r="GPB68" s="87"/>
      <c r="GPC68" s="87"/>
      <c r="GPD68" s="87"/>
      <c r="GPE68" s="87"/>
      <c r="GPF68" s="87"/>
      <c r="GPG68" s="87"/>
      <c r="GPH68" s="87"/>
      <c r="GPI68" s="87"/>
      <c r="GPJ68" s="87"/>
      <c r="GPK68" s="87"/>
      <c r="GPL68" s="87"/>
      <c r="GPM68" s="87"/>
      <c r="GPN68" s="87"/>
      <c r="GPO68" s="87"/>
      <c r="GPP68" s="87"/>
      <c r="GPQ68" s="87"/>
      <c r="GPR68" s="87"/>
      <c r="GPS68" s="87"/>
      <c r="GPT68" s="87"/>
      <c r="GPU68" s="87"/>
      <c r="GPV68" s="87"/>
      <c r="GPW68" s="87"/>
      <c r="GPX68" s="87"/>
      <c r="GPY68" s="87"/>
      <c r="GPZ68" s="87"/>
      <c r="GQA68" s="87"/>
      <c r="GQB68" s="87"/>
      <c r="GQC68" s="87"/>
      <c r="GQD68" s="87"/>
      <c r="GQE68" s="87"/>
      <c r="GQF68" s="87"/>
      <c r="GQG68" s="87"/>
      <c r="GQH68" s="87"/>
      <c r="GQI68" s="87"/>
      <c r="GQJ68" s="87"/>
      <c r="GQK68" s="87"/>
      <c r="GQL68" s="87"/>
      <c r="GQM68" s="87"/>
      <c r="GQN68" s="87"/>
      <c r="GQO68" s="87"/>
      <c r="GQP68" s="87"/>
      <c r="GQQ68" s="87"/>
      <c r="GQR68" s="87"/>
      <c r="GQS68" s="87"/>
      <c r="GQT68" s="87"/>
      <c r="GQU68" s="87"/>
      <c r="GQV68" s="87"/>
      <c r="GQW68" s="87"/>
      <c r="GQX68" s="87"/>
      <c r="GQY68" s="87"/>
      <c r="GQZ68" s="87"/>
      <c r="GRA68" s="87"/>
      <c r="GRB68" s="87"/>
      <c r="GRC68" s="87"/>
      <c r="GRD68" s="87"/>
      <c r="GRE68" s="87"/>
      <c r="GRF68" s="87"/>
      <c r="GRG68" s="87"/>
      <c r="GRH68" s="87"/>
      <c r="GRI68" s="87"/>
      <c r="GRJ68" s="87"/>
      <c r="GRK68" s="87"/>
      <c r="GRL68" s="87"/>
      <c r="GRM68" s="87"/>
      <c r="GRN68" s="87"/>
      <c r="GRO68" s="87"/>
      <c r="GRP68" s="87"/>
      <c r="GRQ68" s="87"/>
      <c r="GRR68" s="87"/>
      <c r="GRS68" s="87"/>
      <c r="GRT68" s="87"/>
      <c r="GRU68" s="87"/>
      <c r="GRV68" s="87"/>
      <c r="GRW68" s="87"/>
      <c r="GRX68" s="87"/>
      <c r="GRY68" s="87"/>
      <c r="GRZ68" s="87"/>
      <c r="GSA68" s="87"/>
      <c r="GSB68" s="87"/>
      <c r="GSC68" s="87"/>
      <c r="GSD68" s="87"/>
      <c r="GSE68" s="87"/>
      <c r="GSF68" s="87"/>
      <c r="GSG68" s="87"/>
      <c r="GSH68" s="87"/>
      <c r="GSI68" s="87"/>
      <c r="GSJ68" s="87"/>
      <c r="GSK68" s="87"/>
      <c r="GSL68" s="87"/>
      <c r="GSM68" s="87"/>
      <c r="GSN68" s="87"/>
      <c r="GSO68" s="87"/>
      <c r="GSP68" s="87"/>
      <c r="GSQ68" s="87"/>
      <c r="GSR68" s="87"/>
      <c r="GSS68" s="87"/>
      <c r="GST68" s="87"/>
      <c r="GSU68" s="87"/>
      <c r="GSV68" s="87"/>
      <c r="GSW68" s="87"/>
      <c r="GSX68" s="87"/>
      <c r="GSY68" s="87"/>
      <c r="GSZ68" s="87"/>
      <c r="GTA68" s="87"/>
      <c r="GTB68" s="87"/>
      <c r="GTC68" s="87"/>
      <c r="GTD68" s="87"/>
      <c r="GTE68" s="87"/>
      <c r="GTF68" s="87"/>
      <c r="GTG68" s="87"/>
      <c r="GTH68" s="87"/>
      <c r="GTI68" s="87"/>
      <c r="GTJ68" s="87"/>
      <c r="GTK68" s="87"/>
      <c r="GTL68" s="87"/>
      <c r="GTM68" s="87"/>
      <c r="GTN68" s="87"/>
      <c r="GTO68" s="87"/>
      <c r="GTP68" s="87"/>
      <c r="GTQ68" s="87"/>
      <c r="GTR68" s="87"/>
      <c r="GTS68" s="87"/>
      <c r="GTT68" s="87"/>
      <c r="GTU68" s="87"/>
      <c r="GTV68" s="87"/>
      <c r="GTW68" s="87"/>
      <c r="GTX68" s="87"/>
      <c r="GTY68" s="87"/>
      <c r="GTZ68" s="87"/>
      <c r="GUA68" s="87"/>
      <c r="GUB68" s="87"/>
      <c r="GUC68" s="87"/>
      <c r="GUD68" s="87"/>
      <c r="GUE68" s="87"/>
      <c r="GUF68" s="87"/>
      <c r="GUG68" s="87"/>
      <c r="GUH68" s="87"/>
      <c r="GUI68" s="87"/>
      <c r="GUJ68" s="87"/>
      <c r="GUK68" s="87"/>
      <c r="GUL68" s="87"/>
      <c r="GUM68" s="87"/>
      <c r="GUN68" s="87"/>
      <c r="GUO68" s="87"/>
      <c r="GUP68" s="87"/>
      <c r="GUQ68" s="87"/>
      <c r="GUR68" s="87"/>
      <c r="GUS68" s="87"/>
      <c r="GUT68" s="87"/>
      <c r="GUU68" s="87"/>
      <c r="GUV68" s="87"/>
      <c r="GUW68" s="87"/>
      <c r="GUX68" s="87"/>
      <c r="GUY68" s="87"/>
      <c r="GUZ68" s="87"/>
      <c r="GVA68" s="87"/>
      <c r="GVB68" s="87"/>
      <c r="GVC68" s="87"/>
      <c r="GVD68" s="87"/>
      <c r="GVE68" s="87"/>
      <c r="GVF68" s="87"/>
      <c r="GVG68" s="87"/>
      <c r="GVH68" s="87"/>
      <c r="GVI68" s="87"/>
      <c r="GVJ68" s="87"/>
      <c r="GVK68" s="87"/>
      <c r="GVL68" s="87"/>
      <c r="GVM68" s="87"/>
      <c r="GVN68" s="87"/>
      <c r="GVO68" s="87"/>
      <c r="GVP68" s="87"/>
      <c r="GVQ68" s="87"/>
      <c r="GVR68" s="87"/>
      <c r="GVS68" s="87"/>
      <c r="GVT68" s="87"/>
      <c r="GVU68" s="87"/>
      <c r="GVV68" s="87"/>
      <c r="GVW68" s="87"/>
      <c r="GVX68" s="87"/>
      <c r="GVY68" s="87"/>
      <c r="GVZ68" s="87"/>
      <c r="GWA68" s="87"/>
      <c r="GWB68" s="87"/>
      <c r="GWC68" s="87"/>
      <c r="GWD68" s="87"/>
      <c r="GWE68" s="87"/>
      <c r="GWF68" s="87"/>
      <c r="GWG68" s="87"/>
      <c r="GWH68" s="87"/>
      <c r="GWI68" s="87"/>
      <c r="GWJ68" s="87"/>
      <c r="GWK68" s="87"/>
      <c r="GWL68" s="87"/>
      <c r="GWM68" s="87"/>
      <c r="GWN68" s="87"/>
      <c r="GWO68" s="87"/>
      <c r="GWP68" s="87"/>
      <c r="GWQ68" s="87"/>
      <c r="GWR68" s="87"/>
      <c r="GWS68" s="87"/>
      <c r="GWT68" s="87"/>
      <c r="GWU68" s="87"/>
      <c r="GWV68" s="87"/>
      <c r="GWW68" s="87"/>
      <c r="GWX68" s="87"/>
      <c r="GWY68" s="87"/>
      <c r="GWZ68" s="87"/>
      <c r="GXA68" s="87"/>
      <c r="GXB68" s="87"/>
      <c r="GXC68" s="87"/>
      <c r="GXD68" s="87"/>
      <c r="GXE68" s="87"/>
      <c r="GXF68" s="87"/>
      <c r="GXG68" s="87"/>
      <c r="GXH68" s="87"/>
      <c r="GXI68" s="87"/>
      <c r="GXJ68" s="87"/>
      <c r="GXK68" s="87"/>
      <c r="GXL68" s="87"/>
      <c r="GXM68" s="87"/>
      <c r="GXN68" s="87"/>
      <c r="GXO68" s="87"/>
      <c r="GXP68" s="87"/>
      <c r="GXQ68" s="87"/>
      <c r="GXR68" s="87"/>
      <c r="GXS68" s="87"/>
      <c r="GXT68" s="87"/>
      <c r="GXU68" s="87"/>
      <c r="GXV68" s="87"/>
      <c r="GXW68" s="87"/>
      <c r="GXX68" s="87"/>
      <c r="GXY68" s="87"/>
      <c r="GXZ68" s="87"/>
      <c r="GYA68" s="87"/>
      <c r="GYB68" s="87"/>
      <c r="GYC68" s="87"/>
      <c r="GYD68" s="87"/>
      <c r="GYE68" s="87"/>
      <c r="GYF68" s="87"/>
      <c r="GYG68" s="87"/>
      <c r="GYH68" s="87"/>
      <c r="GYI68" s="87"/>
      <c r="GYJ68" s="87"/>
      <c r="GYK68" s="87"/>
      <c r="GYL68" s="87"/>
      <c r="GYM68" s="87"/>
      <c r="GYN68" s="87"/>
      <c r="GYO68" s="87"/>
      <c r="GYP68" s="87"/>
      <c r="GYQ68" s="87"/>
      <c r="GYR68" s="87"/>
      <c r="GYS68" s="87"/>
      <c r="GYT68" s="87"/>
      <c r="GYU68" s="87"/>
      <c r="GYV68" s="87"/>
      <c r="GYW68" s="87"/>
      <c r="GYX68" s="87"/>
      <c r="GYY68" s="87"/>
      <c r="GYZ68" s="87"/>
      <c r="GZA68" s="87"/>
      <c r="GZB68" s="87"/>
      <c r="GZC68" s="87"/>
      <c r="GZD68" s="87"/>
      <c r="GZE68" s="87"/>
      <c r="GZF68" s="87"/>
      <c r="GZG68" s="87"/>
      <c r="GZH68" s="87"/>
      <c r="GZI68" s="87"/>
      <c r="GZJ68" s="87"/>
      <c r="GZK68" s="87"/>
      <c r="GZL68" s="87"/>
      <c r="GZM68" s="87"/>
      <c r="GZN68" s="87"/>
      <c r="GZO68" s="87"/>
      <c r="GZP68" s="87"/>
      <c r="GZQ68" s="87"/>
      <c r="GZR68" s="87"/>
      <c r="GZS68" s="87"/>
      <c r="GZT68" s="87"/>
      <c r="GZU68" s="87"/>
      <c r="GZV68" s="87"/>
      <c r="GZW68" s="87"/>
      <c r="GZX68" s="87"/>
      <c r="GZY68" s="87"/>
      <c r="GZZ68" s="87"/>
      <c r="HAA68" s="87"/>
      <c r="HAB68" s="87"/>
      <c r="HAC68" s="87"/>
      <c r="HAD68" s="87"/>
      <c r="HAE68" s="87"/>
      <c r="HAF68" s="87"/>
      <c r="HAG68" s="87"/>
      <c r="HAH68" s="87"/>
      <c r="HAI68" s="87"/>
      <c r="HAJ68" s="87"/>
      <c r="HAK68" s="87"/>
      <c r="HAL68" s="87"/>
      <c r="HAM68" s="87"/>
      <c r="HAN68" s="87"/>
      <c r="HAO68" s="87"/>
      <c r="HAP68" s="87"/>
      <c r="HAQ68" s="87"/>
      <c r="HAR68" s="87"/>
      <c r="HAS68" s="87"/>
      <c r="HAT68" s="87"/>
      <c r="HAU68" s="87"/>
      <c r="HAV68" s="87"/>
      <c r="HAW68" s="87"/>
      <c r="HAX68" s="87"/>
      <c r="HAY68" s="87"/>
      <c r="HAZ68" s="87"/>
      <c r="HBA68" s="87"/>
      <c r="HBB68" s="87"/>
      <c r="HBC68" s="87"/>
      <c r="HBD68" s="87"/>
      <c r="HBE68" s="87"/>
      <c r="HBF68" s="87"/>
      <c r="HBG68" s="87"/>
      <c r="HBH68" s="87"/>
      <c r="HBI68" s="87"/>
      <c r="HBJ68" s="87"/>
      <c r="HBK68" s="87"/>
      <c r="HBL68" s="87"/>
      <c r="HBM68" s="87"/>
      <c r="HBN68" s="87"/>
      <c r="HBO68" s="87"/>
      <c r="HBP68" s="87"/>
      <c r="HBQ68" s="87"/>
      <c r="HBR68" s="87"/>
      <c r="HBS68" s="87"/>
      <c r="HBT68" s="87"/>
      <c r="HBU68" s="87"/>
      <c r="HBV68" s="87"/>
      <c r="HBW68" s="87"/>
      <c r="HBX68" s="87"/>
      <c r="HBY68" s="87"/>
      <c r="HBZ68" s="87"/>
      <c r="HCA68" s="87"/>
      <c r="HCB68" s="87"/>
      <c r="HCC68" s="87"/>
      <c r="HCD68" s="87"/>
      <c r="HCE68" s="87"/>
      <c r="HCF68" s="87"/>
      <c r="HCG68" s="87"/>
      <c r="HCH68" s="87"/>
      <c r="HCI68" s="87"/>
      <c r="HCJ68" s="87"/>
      <c r="HCK68" s="87"/>
      <c r="HCL68" s="87"/>
      <c r="HCM68" s="87"/>
      <c r="HCN68" s="87"/>
      <c r="HCO68" s="87"/>
      <c r="HCP68" s="87"/>
      <c r="HCQ68" s="87"/>
      <c r="HCR68" s="87"/>
      <c r="HCS68" s="87"/>
      <c r="HCT68" s="87"/>
      <c r="HCU68" s="87"/>
      <c r="HCV68" s="87"/>
      <c r="HCW68" s="87"/>
      <c r="HCX68" s="87"/>
      <c r="HCY68" s="87"/>
      <c r="HCZ68" s="87"/>
      <c r="HDA68" s="87"/>
      <c r="HDB68" s="87"/>
      <c r="HDC68" s="87"/>
      <c r="HDD68" s="87"/>
      <c r="HDE68" s="87"/>
      <c r="HDF68" s="87"/>
      <c r="HDG68" s="87"/>
      <c r="HDH68" s="87"/>
      <c r="HDI68" s="87"/>
      <c r="HDJ68" s="87"/>
      <c r="HDK68" s="87"/>
      <c r="HDL68" s="87"/>
      <c r="HDM68" s="87"/>
      <c r="HDN68" s="87"/>
      <c r="HDO68" s="87"/>
      <c r="HDP68" s="87"/>
      <c r="HDQ68" s="87"/>
      <c r="HDR68" s="87"/>
      <c r="HDS68" s="87"/>
      <c r="HDT68" s="87"/>
      <c r="HDU68" s="87"/>
      <c r="HDV68" s="87"/>
      <c r="HDW68" s="87"/>
      <c r="HDX68" s="87"/>
      <c r="HDY68" s="87"/>
      <c r="HDZ68" s="87"/>
      <c r="HEA68" s="87"/>
      <c r="HEB68" s="87"/>
      <c r="HEC68" s="87"/>
      <c r="HED68" s="87"/>
      <c r="HEE68" s="87"/>
      <c r="HEF68" s="87"/>
      <c r="HEG68" s="87"/>
      <c r="HEH68" s="87"/>
      <c r="HEI68" s="87"/>
      <c r="HEJ68" s="87"/>
      <c r="HEK68" s="87"/>
      <c r="HEL68" s="87"/>
      <c r="HEM68" s="87"/>
      <c r="HEN68" s="87"/>
      <c r="HEO68" s="87"/>
      <c r="HEP68" s="87"/>
      <c r="HEQ68" s="87"/>
      <c r="HER68" s="87"/>
      <c r="HES68" s="87"/>
      <c r="HET68" s="87"/>
      <c r="HEU68" s="87"/>
      <c r="HEV68" s="87"/>
      <c r="HEW68" s="87"/>
      <c r="HEX68" s="87"/>
      <c r="HEY68" s="87"/>
      <c r="HEZ68" s="87"/>
      <c r="HFA68" s="87"/>
      <c r="HFB68" s="87"/>
      <c r="HFC68" s="87"/>
      <c r="HFD68" s="87"/>
      <c r="HFE68" s="87"/>
      <c r="HFF68" s="87"/>
      <c r="HFG68" s="87"/>
      <c r="HFH68" s="87"/>
      <c r="HFI68" s="87"/>
      <c r="HFJ68" s="87"/>
      <c r="HFK68" s="87"/>
      <c r="HFL68" s="87"/>
      <c r="HFM68" s="87"/>
      <c r="HFN68" s="87"/>
      <c r="HFO68" s="87"/>
      <c r="HFP68" s="87"/>
      <c r="HFQ68" s="87"/>
      <c r="HFR68" s="87"/>
      <c r="HFS68" s="87"/>
      <c r="HFT68" s="87"/>
      <c r="HFU68" s="87"/>
      <c r="HFV68" s="87"/>
      <c r="HFW68" s="87"/>
      <c r="HFX68" s="87"/>
      <c r="HFY68" s="87"/>
      <c r="HFZ68" s="87"/>
      <c r="HGA68" s="87"/>
      <c r="HGB68" s="87"/>
      <c r="HGC68" s="87"/>
      <c r="HGD68" s="87"/>
      <c r="HGE68" s="87"/>
      <c r="HGF68" s="87"/>
      <c r="HGG68" s="87"/>
      <c r="HGH68" s="87"/>
      <c r="HGI68" s="87"/>
      <c r="HGJ68" s="87"/>
      <c r="HGK68" s="87"/>
      <c r="HGL68" s="87"/>
      <c r="HGM68" s="87"/>
      <c r="HGN68" s="87"/>
      <c r="HGO68" s="87"/>
      <c r="HGP68" s="87"/>
      <c r="HGQ68" s="87"/>
      <c r="HGR68" s="87"/>
      <c r="HGS68" s="87"/>
      <c r="HGT68" s="87"/>
      <c r="HGU68" s="87"/>
      <c r="HGV68" s="87"/>
      <c r="HGW68" s="87"/>
      <c r="HGX68" s="87"/>
      <c r="HGY68" s="87"/>
      <c r="HGZ68" s="87"/>
      <c r="HHA68" s="87"/>
      <c r="HHB68" s="87"/>
      <c r="HHC68" s="87"/>
      <c r="HHD68" s="87"/>
      <c r="HHE68" s="87"/>
      <c r="HHF68" s="87"/>
      <c r="HHG68" s="87"/>
      <c r="HHH68" s="87"/>
      <c r="HHI68" s="87"/>
      <c r="HHJ68" s="87"/>
      <c r="HHK68" s="87"/>
      <c r="HHL68" s="87"/>
      <c r="HHM68" s="87"/>
      <c r="HHN68" s="87"/>
      <c r="HHO68" s="87"/>
      <c r="HHP68" s="87"/>
      <c r="HHQ68" s="87"/>
      <c r="HHR68" s="87"/>
      <c r="HHS68" s="87"/>
      <c r="HHT68" s="87"/>
      <c r="HHU68" s="87"/>
      <c r="HHV68" s="87"/>
      <c r="HHW68" s="87"/>
      <c r="HHX68" s="87"/>
      <c r="HHY68" s="87"/>
      <c r="HHZ68" s="87"/>
      <c r="HIA68" s="87"/>
      <c r="HIB68" s="87"/>
      <c r="HIC68" s="87"/>
      <c r="HID68" s="87"/>
      <c r="HIE68" s="87"/>
      <c r="HIF68" s="87"/>
      <c r="HIG68" s="87"/>
      <c r="HIH68" s="87"/>
      <c r="HII68" s="87"/>
      <c r="HIJ68" s="87"/>
      <c r="HIK68" s="87"/>
      <c r="HIL68" s="87"/>
      <c r="HIM68" s="87"/>
      <c r="HIN68" s="87"/>
      <c r="HIO68" s="87"/>
      <c r="HIP68" s="87"/>
      <c r="HIQ68" s="87"/>
      <c r="HIR68" s="87"/>
      <c r="HIS68" s="87"/>
      <c r="HIT68" s="87"/>
      <c r="HIU68" s="87"/>
      <c r="HIV68" s="87"/>
      <c r="HIW68" s="87"/>
      <c r="HIX68" s="87"/>
      <c r="HIY68" s="87"/>
      <c r="HIZ68" s="87"/>
      <c r="HJA68" s="87"/>
      <c r="HJB68" s="87"/>
      <c r="HJC68" s="87"/>
      <c r="HJD68" s="87"/>
      <c r="HJE68" s="87"/>
      <c r="HJF68" s="87"/>
      <c r="HJG68" s="87"/>
      <c r="HJH68" s="87"/>
      <c r="HJI68" s="87"/>
      <c r="HJJ68" s="87"/>
      <c r="HJK68" s="87"/>
      <c r="HJL68" s="87"/>
      <c r="HJM68" s="87"/>
      <c r="HJN68" s="87"/>
      <c r="HJO68" s="87"/>
      <c r="HJP68" s="87"/>
      <c r="HJQ68" s="87"/>
      <c r="HJR68" s="87"/>
      <c r="HJS68" s="87"/>
      <c r="HJT68" s="87"/>
      <c r="HJU68" s="87"/>
      <c r="HJV68" s="87"/>
      <c r="HJW68" s="87"/>
      <c r="HJX68" s="87"/>
      <c r="HJY68" s="87"/>
      <c r="HJZ68" s="87"/>
      <c r="HKA68" s="87"/>
      <c r="HKB68" s="87"/>
      <c r="HKC68" s="87"/>
      <c r="HKD68" s="87"/>
      <c r="HKE68" s="87"/>
      <c r="HKF68" s="87"/>
      <c r="HKG68" s="87"/>
      <c r="HKH68" s="87"/>
      <c r="HKI68" s="87"/>
      <c r="HKJ68" s="87"/>
      <c r="HKK68" s="87"/>
      <c r="HKL68" s="87"/>
      <c r="HKM68" s="87"/>
      <c r="HKN68" s="87"/>
      <c r="HKO68" s="87"/>
      <c r="HKP68" s="87"/>
      <c r="HKQ68" s="87"/>
      <c r="HKR68" s="87"/>
      <c r="HKS68" s="87"/>
      <c r="HKT68" s="87"/>
      <c r="HKU68" s="87"/>
      <c r="HKV68" s="87"/>
      <c r="HKW68" s="87"/>
      <c r="HKX68" s="87"/>
      <c r="HKY68" s="87"/>
      <c r="HKZ68" s="87"/>
      <c r="HLA68" s="87"/>
      <c r="HLB68" s="87"/>
      <c r="HLC68" s="87"/>
      <c r="HLD68" s="87"/>
      <c r="HLE68" s="87"/>
      <c r="HLF68" s="87"/>
      <c r="HLG68" s="87"/>
      <c r="HLH68" s="87"/>
      <c r="HLI68" s="87"/>
      <c r="HLJ68" s="87"/>
      <c r="HLK68" s="87"/>
      <c r="HLL68" s="87"/>
      <c r="HLM68" s="87"/>
      <c r="HLN68" s="87"/>
      <c r="HLO68" s="87"/>
      <c r="HLP68" s="87"/>
      <c r="HLQ68" s="87"/>
      <c r="HLR68" s="87"/>
      <c r="HLS68" s="87"/>
      <c r="HLT68" s="87"/>
      <c r="HLU68" s="87"/>
      <c r="HLV68" s="87"/>
      <c r="HLW68" s="87"/>
      <c r="HLX68" s="87"/>
      <c r="HLY68" s="87"/>
      <c r="HLZ68" s="87"/>
      <c r="HMA68" s="87"/>
      <c r="HMB68" s="87"/>
      <c r="HMC68" s="87"/>
      <c r="HMD68" s="87"/>
      <c r="HME68" s="87"/>
      <c r="HMF68" s="87"/>
      <c r="HMG68" s="87"/>
      <c r="HMH68" s="87"/>
      <c r="HMI68" s="87"/>
      <c r="HMJ68" s="87"/>
      <c r="HMK68" s="87"/>
      <c r="HML68" s="87"/>
      <c r="HMM68" s="87"/>
      <c r="HMN68" s="87"/>
      <c r="HMO68" s="87"/>
      <c r="HMP68" s="87"/>
      <c r="HMQ68" s="87"/>
      <c r="HMR68" s="87"/>
      <c r="HMS68" s="87"/>
      <c r="HMT68" s="87"/>
      <c r="HMU68" s="87"/>
      <c r="HMV68" s="87"/>
      <c r="HMW68" s="87"/>
      <c r="HMX68" s="87"/>
      <c r="HMY68" s="87"/>
      <c r="HMZ68" s="87"/>
      <c r="HNA68" s="87"/>
      <c r="HNB68" s="87"/>
      <c r="HNC68" s="87"/>
      <c r="HND68" s="87"/>
      <c r="HNE68" s="87"/>
      <c r="HNF68" s="87"/>
      <c r="HNG68" s="87"/>
      <c r="HNH68" s="87"/>
      <c r="HNI68" s="87"/>
      <c r="HNJ68" s="87"/>
      <c r="HNK68" s="87"/>
      <c r="HNL68" s="87"/>
      <c r="HNM68" s="87"/>
      <c r="HNN68" s="87"/>
      <c r="HNO68" s="87"/>
      <c r="HNP68" s="87"/>
      <c r="HNQ68" s="87"/>
      <c r="HNR68" s="87"/>
      <c r="HNS68" s="87"/>
      <c r="HNT68" s="87"/>
      <c r="HNU68" s="87"/>
      <c r="HNV68" s="87"/>
      <c r="HNW68" s="87"/>
      <c r="HNX68" s="87"/>
      <c r="HNY68" s="87"/>
      <c r="HNZ68" s="87"/>
      <c r="HOA68" s="87"/>
      <c r="HOB68" s="87"/>
      <c r="HOC68" s="87"/>
      <c r="HOD68" s="87"/>
      <c r="HOE68" s="87"/>
      <c r="HOF68" s="87"/>
      <c r="HOG68" s="87"/>
      <c r="HOH68" s="87"/>
      <c r="HOI68" s="87"/>
      <c r="HOJ68" s="87"/>
      <c r="HOK68" s="87"/>
      <c r="HOL68" s="87"/>
      <c r="HOM68" s="87"/>
      <c r="HON68" s="87"/>
      <c r="HOO68" s="87"/>
      <c r="HOP68" s="87"/>
      <c r="HOQ68" s="87"/>
      <c r="HOR68" s="87"/>
      <c r="HOS68" s="87"/>
      <c r="HOT68" s="87"/>
      <c r="HOU68" s="87"/>
      <c r="HOV68" s="87"/>
      <c r="HOW68" s="87"/>
      <c r="HOX68" s="87"/>
      <c r="HOY68" s="87"/>
      <c r="HOZ68" s="87"/>
      <c r="HPA68" s="87"/>
      <c r="HPB68" s="87"/>
      <c r="HPC68" s="87"/>
      <c r="HPD68" s="87"/>
      <c r="HPE68" s="87"/>
      <c r="HPF68" s="87"/>
      <c r="HPG68" s="87"/>
      <c r="HPH68" s="87"/>
      <c r="HPI68" s="87"/>
      <c r="HPJ68" s="87"/>
      <c r="HPK68" s="87"/>
      <c r="HPL68" s="87"/>
      <c r="HPM68" s="87"/>
      <c r="HPN68" s="87"/>
      <c r="HPO68" s="87"/>
      <c r="HPP68" s="87"/>
      <c r="HPQ68" s="87"/>
      <c r="HPR68" s="87"/>
      <c r="HPS68" s="87"/>
      <c r="HPT68" s="87"/>
      <c r="HPU68" s="87"/>
      <c r="HPV68" s="87"/>
      <c r="HPW68" s="87"/>
      <c r="HPX68" s="87"/>
      <c r="HPY68" s="87"/>
      <c r="HPZ68" s="87"/>
      <c r="HQA68" s="87"/>
      <c r="HQB68" s="87"/>
      <c r="HQC68" s="87"/>
      <c r="HQD68" s="87"/>
      <c r="HQE68" s="87"/>
      <c r="HQF68" s="87"/>
      <c r="HQG68" s="87"/>
      <c r="HQH68" s="87"/>
      <c r="HQI68" s="87"/>
      <c r="HQJ68" s="87"/>
      <c r="HQK68" s="87"/>
      <c r="HQL68" s="87"/>
      <c r="HQM68" s="87"/>
      <c r="HQN68" s="87"/>
      <c r="HQO68" s="87"/>
      <c r="HQP68" s="87"/>
      <c r="HQQ68" s="87"/>
      <c r="HQR68" s="87"/>
      <c r="HQS68" s="87"/>
      <c r="HQT68" s="87"/>
      <c r="HQU68" s="87"/>
      <c r="HQV68" s="87"/>
      <c r="HQW68" s="87"/>
      <c r="HQX68" s="87"/>
      <c r="HQY68" s="87"/>
      <c r="HQZ68" s="87"/>
      <c r="HRA68" s="87"/>
      <c r="HRB68" s="87"/>
      <c r="HRC68" s="87"/>
      <c r="HRD68" s="87"/>
      <c r="HRE68" s="87"/>
      <c r="HRF68" s="87"/>
      <c r="HRG68" s="87"/>
      <c r="HRH68" s="87"/>
      <c r="HRI68" s="87"/>
      <c r="HRJ68" s="87"/>
      <c r="HRK68" s="87"/>
      <c r="HRL68" s="87"/>
      <c r="HRM68" s="87"/>
      <c r="HRN68" s="87"/>
      <c r="HRO68" s="87"/>
      <c r="HRP68" s="87"/>
      <c r="HRQ68" s="87"/>
      <c r="HRR68" s="87"/>
      <c r="HRS68" s="87"/>
      <c r="HRT68" s="87"/>
      <c r="HRU68" s="87"/>
      <c r="HRV68" s="87"/>
      <c r="HRW68" s="87"/>
      <c r="HRX68" s="87"/>
      <c r="HRY68" s="87"/>
      <c r="HRZ68" s="87"/>
      <c r="HSA68" s="87"/>
      <c r="HSB68" s="87"/>
      <c r="HSC68" s="87"/>
      <c r="HSD68" s="87"/>
      <c r="HSE68" s="87"/>
      <c r="HSF68" s="87"/>
      <c r="HSG68" s="87"/>
      <c r="HSH68" s="87"/>
      <c r="HSI68" s="87"/>
      <c r="HSJ68" s="87"/>
      <c r="HSK68" s="87"/>
      <c r="HSL68" s="87"/>
      <c r="HSM68" s="87"/>
      <c r="HSN68" s="87"/>
      <c r="HSO68" s="87"/>
      <c r="HSP68" s="87"/>
      <c r="HSQ68" s="87"/>
      <c r="HSR68" s="87"/>
      <c r="HSS68" s="87"/>
      <c r="HST68" s="87"/>
      <c r="HSU68" s="87"/>
      <c r="HSV68" s="87"/>
      <c r="HSW68" s="87"/>
      <c r="HSX68" s="87"/>
      <c r="HSY68" s="87"/>
      <c r="HSZ68" s="87"/>
      <c r="HTA68" s="87"/>
      <c r="HTB68" s="87"/>
      <c r="HTC68" s="87"/>
      <c r="HTD68" s="87"/>
      <c r="HTE68" s="87"/>
      <c r="HTF68" s="87"/>
      <c r="HTG68" s="87"/>
      <c r="HTH68" s="87"/>
      <c r="HTI68" s="87"/>
      <c r="HTJ68" s="87"/>
      <c r="HTK68" s="87"/>
      <c r="HTL68" s="87"/>
      <c r="HTM68" s="87"/>
      <c r="HTN68" s="87"/>
      <c r="HTO68" s="87"/>
      <c r="HTP68" s="87"/>
      <c r="HTQ68" s="87"/>
      <c r="HTR68" s="87"/>
      <c r="HTS68" s="87"/>
      <c r="HTT68" s="87"/>
      <c r="HTU68" s="87"/>
      <c r="HTV68" s="87"/>
      <c r="HTW68" s="87"/>
      <c r="HTX68" s="87"/>
      <c r="HTY68" s="87"/>
      <c r="HTZ68" s="87"/>
      <c r="HUA68" s="87"/>
      <c r="HUB68" s="87"/>
      <c r="HUC68" s="87"/>
      <c r="HUD68" s="87"/>
      <c r="HUE68" s="87"/>
      <c r="HUF68" s="87"/>
      <c r="HUG68" s="87"/>
      <c r="HUH68" s="87"/>
      <c r="HUI68" s="87"/>
      <c r="HUJ68" s="87"/>
      <c r="HUK68" s="87"/>
      <c r="HUL68" s="87"/>
      <c r="HUM68" s="87"/>
      <c r="HUN68" s="87"/>
      <c r="HUO68" s="87"/>
      <c r="HUP68" s="87"/>
      <c r="HUQ68" s="87"/>
      <c r="HUR68" s="87"/>
      <c r="HUS68" s="87"/>
      <c r="HUT68" s="87"/>
      <c r="HUU68" s="87"/>
      <c r="HUV68" s="87"/>
      <c r="HUW68" s="87"/>
      <c r="HUX68" s="87"/>
      <c r="HUY68" s="87"/>
      <c r="HUZ68" s="87"/>
      <c r="HVA68" s="87"/>
      <c r="HVB68" s="87"/>
      <c r="HVC68" s="87"/>
      <c r="HVD68" s="87"/>
      <c r="HVE68" s="87"/>
      <c r="HVF68" s="87"/>
      <c r="HVG68" s="87"/>
      <c r="HVH68" s="87"/>
      <c r="HVI68" s="87"/>
      <c r="HVJ68" s="87"/>
      <c r="HVK68" s="87"/>
      <c r="HVL68" s="87"/>
      <c r="HVM68" s="87"/>
      <c r="HVN68" s="87"/>
      <c r="HVO68" s="87"/>
      <c r="HVP68" s="87"/>
      <c r="HVQ68" s="87"/>
      <c r="HVR68" s="87"/>
      <c r="HVS68" s="87"/>
      <c r="HVT68" s="87"/>
      <c r="HVU68" s="87"/>
      <c r="HVV68" s="87"/>
      <c r="HVW68" s="87"/>
      <c r="HVX68" s="87"/>
      <c r="HVY68" s="87"/>
      <c r="HVZ68" s="87"/>
      <c r="HWA68" s="87"/>
      <c r="HWB68" s="87"/>
      <c r="HWC68" s="87"/>
      <c r="HWD68" s="87"/>
      <c r="HWE68" s="87"/>
      <c r="HWF68" s="87"/>
      <c r="HWG68" s="87"/>
      <c r="HWH68" s="87"/>
      <c r="HWI68" s="87"/>
      <c r="HWJ68" s="87"/>
      <c r="HWK68" s="87"/>
      <c r="HWL68" s="87"/>
      <c r="HWM68" s="87"/>
      <c r="HWN68" s="87"/>
      <c r="HWO68" s="87"/>
      <c r="HWP68" s="87"/>
      <c r="HWQ68" s="87"/>
      <c r="HWR68" s="87"/>
      <c r="HWS68" s="87"/>
      <c r="HWT68" s="87"/>
      <c r="HWU68" s="87"/>
      <c r="HWV68" s="87"/>
      <c r="HWW68" s="87"/>
      <c r="HWX68" s="87"/>
      <c r="HWY68" s="87"/>
      <c r="HWZ68" s="87"/>
      <c r="HXA68" s="87"/>
      <c r="HXB68" s="87"/>
      <c r="HXC68" s="87"/>
      <c r="HXD68" s="87"/>
      <c r="HXE68" s="87"/>
      <c r="HXF68" s="87"/>
      <c r="HXG68" s="87"/>
      <c r="HXH68" s="87"/>
      <c r="HXI68" s="87"/>
      <c r="HXJ68" s="87"/>
      <c r="HXK68" s="87"/>
      <c r="HXL68" s="87"/>
      <c r="HXM68" s="87"/>
      <c r="HXN68" s="87"/>
      <c r="HXO68" s="87"/>
      <c r="HXP68" s="87"/>
      <c r="HXQ68" s="87"/>
      <c r="HXR68" s="87"/>
      <c r="HXS68" s="87"/>
      <c r="HXT68" s="87"/>
      <c r="HXU68" s="87"/>
      <c r="HXV68" s="87"/>
      <c r="HXW68" s="87"/>
      <c r="HXX68" s="87"/>
      <c r="HXY68" s="87"/>
      <c r="HXZ68" s="87"/>
      <c r="HYA68" s="87"/>
      <c r="HYB68" s="87"/>
      <c r="HYC68" s="87"/>
      <c r="HYD68" s="87"/>
      <c r="HYE68" s="87"/>
      <c r="HYF68" s="87"/>
      <c r="HYG68" s="87"/>
      <c r="HYH68" s="87"/>
      <c r="HYI68" s="87"/>
      <c r="HYJ68" s="87"/>
      <c r="HYK68" s="87"/>
      <c r="HYL68" s="87"/>
      <c r="HYM68" s="87"/>
      <c r="HYN68" s="87"/>
      <c r="HYO68" s="87"/>
      <c r="HYP68" s="87"/>
      <c r="HYQ68" s="87"/>
      <c r="HYR68" s="87"/>
      <c r="HYS68" s="87"/>
      <c r="HYT68" s="87"/>
      <c r="HYU68" s="87"/>
      <c r="HYV68" s="87"/>
      <c r="HYW68" s="87"/>
      <c r="HYX68" s="87"/>
      <c r="HYY68" s="87"/>
      <c r="HYZ68" s="87"/>
      <c r="HZA68" s="87"/>
      <c r="HZB68" s="87"/>
      <c r="HZC68" s="87"/>
      <c r="HZD68" s="87"/>
      <c r="HZE68" s="87"/>
      <c r="HZF68" s="87"/>
      <c r="HZG68" s="87"/>
      <c r="HZH68" s="87"/>
      <c r="HZI68" s="87"/>
      <c r="HZJ68" s="87"/>
      <c r="HZK68" s="87"/>
      <c r="HZL68" s="87"/>
      <c r="HZM68" s="87"/>
      <c r="HZN68" s="87"/>
      <c r="HZO68" s="87"/>
      <c r="HZP68" s="87"/>
      <c r="HZQ68" s="87"/>
      <c r="HZR68" s="87"/>
      <c r="HZS68" s="87"/>
      <c r="HZT68" s="87"/>
      <c r="HZU68" s="87"/>
      <c r="HZV68" s="87"/>
      <c r="HZW68" s="87"/>
      <c r="HZX68" s="87"/>
      <c r="HZY68" s="87"/>
      <c r="HZZ68" s="87"/>
      <c r="IAA68" s="87"/>
      <c r="IAB68" s="87"/>
      <c r="IAC68" s="87"/>
      <c r="IAD68" s="87"/>
      <c r="IAE68" s="87"/>
      <c r="IAF68" s="87"/>
      <c r="IAG68" s="87"/>
      <c r="IAH68" s="87"/>
      <c r="IAI68" s="87"/>
      <c r="IAJ68" s="87"/>
      <c r="IAK68" s="87"/>
      <c r="IAL68" s="87"/>
      <c r="IAM68" s="87"/>
      <c r="IAN68" s="87"/>
      <c r="IAO68" s="87"/>
      <c r="IAP68" s="87"/>
      <c r="IAQ68" s="87"/>
      <c r="IAR68" s="87"/>
      <c r="IAS68" s="87"/>
      <c r="IAT68" s="87"/>
      <c r="IAU68" s="87"/>
      <c r="IAV68" s="87"/>
      <c r="IAW68" s="87"/>
      <c r="IAX68" s="87"/>
      <c r="IAY68" s="87"/>
      <c r="IAZ68" s="87"/>
      <c r="IBA68" s="87"/>
      <c r="IBB68" s="87"/>
      <c r="IBC68" s="87"/>
      <c r="IBD68" s="87"/>
      <c r="IBE68" s="87"/>
      <c r="IBF68" s="87"/>
      <c r="IBG68" s="87"/>
      <c r="IBH68" s="87"/>
      <c r="IBI68" s="87"/>
      <c r="IBJ68" s="87"/>
      <c r="IBK68" s="87"/>
      <c r="IBL68" s="87"/>
      <c r="IBM68" s="87"/>
      <c r="IBN68" s="87"/>
      <c r="IBO68" s="87"/>
      <c r="IBP68" s="87"/>
      <c r="IBQ68" s="87"/>
      <c r="IBR68" s="87"/>
      <c r="IBS68" s="87"/>
      <c r="IBT68" s="87"/>
      <c r="IBU68" s="87"/>
      <c r="IBV68" s="87"/>
      <c r="IBW68" s="87"/>
      <c r="IBX68" s="87"/>
      <c r="IBY68" s="87"/>
      <c r="IBZ68" s="87"/>
      <c r="ICA68" s="87"/>
      <c r="ICB68" s="87"/>
      <c r="ICC68" s="87"/>
      <c r="ICD68" s="87"/>
      <c r="ICE68" s="87"/>
      <c r="ICF68" s="87"/>
      <c r="ICG68" s="87"/>
      <c r="ICH68" s="87"/>
      <c r="ICI68" s="87"/>
      <c r="ICJ68" s="87"/>
      <c r="ICK68" s="87"/>
      <c r="ICL68" s="87"/>
      <c r="ICM68" s="87"/>
      <c r="ICN68" s="87"/>
      <c r="ICO68" s="87"/>
      <c r="ICP68" s="87"/>
      <c r="ICQ68" s="87"/>
      <c r="ICR68" s="87"/>
      <c r="ICS68" s="87"/>
      <c r="ICT68" s="87"/>
      <c r="ICU68" s="87"/>
      <c r="ICV68" s="87"/>
      <c r="ICW68" s="87"/>
      <c r="ICX68" s="87"/>
      <c r="ICY68" s="87"/>
      <c r="ICZ68" s="87"/>
      <c r="IDA68" s="87"/>
      <c r="IDB68" s="87"/>
      <c r="IDC68" s="87"/>
      <c r="IDD68" s="87"/>
      <c r="IDE68" s="87"/>
      <c r="IDF68" s="87"/>
      <c r="IDG68" s="87"/>
      <c r="IDH68" s="87"/>
      <c r="IDI68" s="87"/>
      <c r="IDJ68" s="87"/>
      <c r="IDK68" s="87"/>
      <c r="IDL68" s="87"/>
      <c r="IDM68" s="87"/>
      <c r="IDN68" s="87"/>
      <c r="IDO68" s="87"/>
      <c r="IDP68" s="87"/>
      <c r="IDQ68" s="87"/>
      <c r="IDR68" s="87"/>
      <c r="IDS68" s="87"/>
      <c r="IDT68" s="87"/>
      <c r="IDU68" s="87"/>
      <c r="IDV68" s="87"/>
      <c r="IDW68" s="87"/>
      <c r="IDX68" s="87"/>
      <c r="IDY68" s="87"/>
      <c r="IDZ68" s="87"/>
      <c r="IEA68" s="87"/>
      <c r="IEB68" s="87"/>
      <c r="IEC68" s="87"/>
      <c r="IED68" s="87"/>
      <c r="IEE68" s="87"/>
      <c r="IEF68" s="87"/>
      <c r="IEG68" s="87"/>
      <c r="IEH68" s="87"/>
      <c r="IEI68" s="87"/>
      <c r="IEJ68" s="87"/>
      <c r="IEK68" s="87"/>
      <c r="IEL68" s="87"/>
      <c r="IEM68" s="87"/>
      <c r="IEN68" s="87"/>
      <c r="IEO68" s="87"/>
      <c r="IEP68" s="87"/>
      <c r="IEQ68" s="87"/>
      <c r="IER68" s="87"/>
      <c r="IES68" s="87"/>
      <c r="IET68" s="87"/>
      <c r="IEU68" s="87"/>
      <c r="IEV68" s="87"/>
      <c r="IEW68" s="87"/>
      <c r="IEX68" s="87"/>
      <c r="IEY68" s="87"/>
      <c r="IEZ68" s="87"/>
      <c r="IFA68" s="87"/>
      <c r="IFB68" s="87"/>
      <c r="IFC68" s="87"/>
      <c r="IFD68" s="87"/>
      <c r="IFE68" s="87"/>
      <c r="IFF68" s="87"/>
      <c r="IFG68" s="87"/>
      <c r="IFH68" s="87"/>
      <c r="IFI68" s="87"/>
      <c r="IFJ68" s="87"/>
      <c r="IFK68" s="87"/>
      <c r="IFL68" s="87"/>
      <c r="IFM68" s="87"/>
      <c r="IFN68" s="87"/>
      <c r="IFO68" s="87"/>
      <c r="IFP68" s="87"/>
      <c r="IFQ68" s="87"/>
      <c r="IFR68" s="87"/>
      <c r="IFS68" s="87"/>
      <c r="IFT68" s="87"/>
      <c r="IFU68" s="87"/>
      <c r="IFV68" s="87"/>
      <c r="IFW68" s="87"/>
      <c r="IFX68" s="87"/>
      <c r="IFY68" s="87"/>
      <c r="IFZ68" s="87"/>
      <c r="IGA68" s="87"/>
      <c r="IGB68" s="87"/>
      <c r="IGC68" s="87"/>
      <c r="IGD68" s="87"/>
      <c r="IGE68" s="87"/>
      <c r="IGF68" s="87"/>
      <c r="IGG68" s="87"/>
      <c r="IGH68" s="87"/>
      <c r="IGI68" s="87"/>
      <c r="IGJ68" s="87"/>
      <c r="IGK68" s="87"/>
      <c r="IGL68" s="87"/>
      <c r="IGM68" s="87"/>
      <c r="IGN68" s="87"/>
      <c r="IGO68" s="87"/>
      <c r="IGP68" s="87"/>
      <c r="IGQ68" s="87"/>
      <c r="IGR68" s="87"/>
      <c r="IGS68" s="87"/>
      <c r="IGT68" s="87"/>
      <c r="IGU68" s="87"/>
      <c r="IGV68" s="87"/>
      <c r="IGW68" s="87"/>
      <c r="IGX68" s="87"/>
      <c r="IGY68" s="87"/>
      <c r="IGZ68" s="87"/>
      <c r="IHA68" s="87"/>
      <c r="IHB68" s="87"/>
      <c r="IHC68" s="87"/>
      <c r="IHD68" s="87"/>
      <c r="IHE68" s="87"/>
      <c r="IHF68" s="87"/>
      <c r="IHG68" s="87"/>
      <c r="IHH68" s="87"/>
      <c r="IHI68" s="87"/>
      <c r="IHJ68" s="87"/>
      <c r="IHK68" s="87"/>
      <c r="IHL68" s="87"/>
      <c r="IHM68" s="87"/>
      <c r="IHN68" s="87"/>
      <c r="IHO68" s="87"/>
      <c r="IHP68" s="87"/>
      <c r="IHQ68" s="87"/>
      <c r="IHR68" s="87"/>
      <c r="IHS68" s="87"/>
      <c r="IHT68" s="87"/>
      <c r="IHU68" s="87"/>
      <c r="IHV68" s="87"/>
      <c r="IHW68" s="87"/>
      <c r="IHX68" s="87"/>
      <c r="IHY68" s="87"/>
      <c r="IHZ68" s="87"/>
      <c r="IIA68" s="87"/>
      <c r="IIB68" s="87"/>
      <c r="IIC68" s="87"/>
      <c r="IID68" s="87"/>
      <c r="IIE68" s="87"/>
      <c r="IIF68" s="87"/>
      <c r="IIG68" s="87"/>
      <c r="IIH68" s="87"/>
      <c r="III68" s="87"/>
      <c r="IIJ68" s="87"/>
      <c r="IIK68" s="87"/>
      <c r="IIL68" s="87"/>
      <c r="IIM68" s="87"/>
      <c r="IIN68" s="87"/>
      <c r="IIO68" s="87"/>
      <c r="IIP68" s="87"/>
      <c r="IIQ68" s="87"/>
      <c r="IIR68" s="87"/>
      <c r="IIS68" s="87"/>
      <c r="IIT68" s="87"/>
      <c r="IIU68" s="87"/>
      <c r="IIV68" s="87"/>
      <c r="IIW68" s="87"/>
      <c r="IIX68" s="87"/>
      <c r="IIY68" s="87"/>
      <c r="IIZ68" s="87"/>
      <c r="IJA68" s="87"/>
      <c r="IJB68" s="87"/>
      <c r="IJC68" s="87"/>
      <c r="IJD68" s="87"/>
      <c r="IJE68" s="87"/>
      <c r="IJF68" s="87"/>
      <c r="IJG68" s="87"/>
      <c r="IJH68" s="87"/>
      <c r="IJI68" s="87"/>
      <c r="IJJ68" s="87"/>
      <c r="IJK68" s="87"/>
      <c r="IJL68" s="87"/>
      <c r="IJM68" s="87"/>
      <c r="IJN68" s="87"/>
      <c r="IJO68" s="87"/>
      <c r="IJP68" s="87"/>
      <c r="IJQ68" s="87"/>
      <c r="IJR68" s="87"/>
      <c r="IJS68" s="87"/>
      <c r="IJT68" s="87"/>
      <c r="IJU68" s="87"/>
      <c r="IJV68" s="87"/>
      <c r="IJW68" s="87"/>
      <c r="IJX68" s="87"/>
      <c r="IJY68" s="87"/>
      <c r="IJZ68" s="87"/>
      <c r="IKA68" s="87"/>
      <c r="IKB68" s="87"/>
      <c r="IKC68" s="87"/>
      <c r="IKD68" s="87"/>
      <c r="IKE68" s="87"/>
      <c r="IKF68" s="87"/>
      <c r="IKG68" s="87"/>
      <c r="IKH68" s="87"/>
      <c r="IKI68" s="87"/>
      <c r="IKJ68" s="87"/>
      <c r="IKK68" s="87"/>
      <c r="IKL68" s="87"/>
      <c r="IKM68" s="87"/>
      <c r="IKN68" s="87"/>
      <c r="IKO68" s="87"/>
      <c r="IKP68" s="87"/>
      <c r="IKQ68" s="87"/>
      <c r="IKR68" s="87"/>
      <c r="IKS68" s="87"/>
      <c r="IKT68" s="87"/>
      <c r="IKU68" s="87"/>
      <c r="IKV68" s="87"/>
      <c r="IKW68" s="87"/>
      <c r="IKX68" s="87"/>
      <c r="IKY68" s="87"/>
      <c r="IKZ68" s="87"/>
      <c r="ILA68" s="87"/>
      <c r="ILB68" s="87"/>
      <c r="ILC68" s="87"/>
      <c r="ILD68" s="87"/>
      <c r="ILE68" s="87"/>
      <c r="ILF68" s="87"/>
      <c r="ILG68" s="87"/>
      <c r="ILH68" s="87"/>
      <c r="ILI68" s="87"/>
      <c r="ILJ68" s="87"/>
      <c r="ILK68" s="87"/>
      <c r="ILL68" s="87"/>
      <c r="ILM68" s="87"/>
      <c r="ILN68" s="87"/>
      <c r="ILO68" s="87"/>
      <c r="ILP68" s="87"/>
      <c r="ILQ68" s="87"/>
      <c r="ILR68" s="87"/>
      <c r="ILS68" s="87"/>
      <c r="ILT68" s="87"/>
      <c r="ILU68" s="87"/>
      <c r="ILV68" s="87"/>
      <c r="ILW68" s="87"/>
      <c r="ILX68" s="87"/>
      <c r="ILY68" s="87"/>
      <c r="ILZ68" s="87"/>
      <c r="IMA68" s="87"/>
      <c r="IMB68" s="87"/>
      <c r="IMC68" s="87"/>
      <c r="IMD68" s="87"/>
      <c r="IME68" s="87"/>
      <c r="IMF68" s="87"/>
      <c r="IMG68" s="87"/>
      <c r="IMH68" s="87"/>
      <c r="IMI68" s="87"/>
      <c r="IMJ68" s="87"/>
      <c r="IMK68" s="87"/>
      <c r="IML68" s="87"/>
      <c r="IMM68" s="87"/>
      <c r="IMN68" s="87"/>
      <c r="IMO68" s="87"/>
      <c r="IMP68" s="87"/>
      <c r="IMQ68" s="87"/>
      <c r="IMR68" s="87"/>
      <c r="IMS68" s="87"/>
      <c r="IMT68" s="87"/>
      <c r="IMU68" s="87"/>
      <c r="IMV68" s="87"/>
      <c r="IMW68" s="87"/>
      <c r="IMX68" s="87"/>
      <c r="IMY68" s="87"/>
      <c r="IMZ68" s="87"/>
      <c r="INA68" s="87"/>
      <c r="INB68" s="87"/>
      <c r="INC68" s="87"/>
      <c r="IND68" s="87"/>
      <c r="INE68" s="87"/>
      <c r="INF68" s="87"/>
      <c r="ING68" s="87"/>
      <c r="INH68" s="87"/>
      <c r="INI68" s="87"/>
      <c r="INJ68" s="87"/>
      <c r="INK68" s="87"/>
      <c r="INL68" s="87"/>
      <c r="INM68" s="87"/>
      <c r="INN68" s="87"/>
      <c r="INO68" s="87"/>
      <c r="INP68" s="87"/>
      <c r="INQ68" s="87"/>
      <c r="INR68" s="87"/>
      <c r="INS68" s="87"/>
      <c r="INT68" s="87"/>
      <c r="INU68" s="87"/>
      <c r="INV68" s="87"/>
      <c r="INW68" s="87"/>
      <c r="INX68" s="87"/>
      <c r="INY68" s="87"/>
      <c r="INZ68" s="87"/>
      <c r="IOA68" s="87"/>
      <c r="IOB68" s="87"/>
      <c r="IOC68" s="87"/>
      <c r="IOD68" s="87"/>
      <c r="IOE68" s="87"/>
      <c r="IOF68" s="87"/>
      <c r="IOG68" s="87"/>
      <c r="IOH68" s="87"/>
      <c r="IOI68" s="87"/>
      <c r="IOJ68" s="87"/>
      <c r="IOK68" s="87"/>
      <c r="IOL68" s="87"/>
      <c r="IOM68" s="87"/>
      <c r="ION68" s="87"/>
      <c r="IOO68" s="87"/>
      <c r="IOP68" s="87"/>
      <c r="IOQ68" s="87"/>
      <c r="IOR68" s="87"/>
      <c r="IOS68" s="87"/>
      <c r="IOT68" s="87"/>
      <c r="IOU68" s="87"/>
      <c r="IOV68" s="87"/>
      <c r="IOW68" s="87"/>
      <c r="IOX68" s="87"/>
      <c r="IOY68" s="87"/>
      <c r="IOZ68" s="87"/>
      <c r="IPA68" s="87"/>
      <c r="IPB68" s="87"/>
      <c r="IPC68" s="87"/>
      <c r="IPD68" s="87"/>
      <c r="IPE68" s="87"/>
      <c r="IPF68" s="87"/>
      <c r="IPG68" s="87"/>
      <c r="IPH68" s="87"/>
      <c r="IPI68" s="87"/>
      <c r="IPJ68" s="87"/>
      <c r="IPK68" s="87"/>
      <c r="IPL68" s="87"/>
      <c r="IPM68" s="87"/>
      <c r="IPN68" s="87"/>
      <c r="IPO68" s="87"/>
      <c r="IPP68" s="87"/>
      <c r="IPQ68" s="87"/>
      <c r="IPR68" s="87"/>
      <c r="IPS68" s="87"/>
      <c r="IPT68" s="87"/>
      <c r="IPU68" s="87"/>
      <c r="IPV68" s="87"/>
      <c r="IPW68" s="87"/>
      <c r="IPX68" s="87"/>
      <c r="IPY68" s="87"/>
      <c r="IPZ68" s="87"/>
      <c r="IQA68" s="87"/>
      <c r="IQB68" s="87"/>
      <c r="IQC68" s="87"/>
      <c r="IQD68" s="87"/>
      <c r="IQE68" s="87"/>
      <c r="IQF68" s="87"/>
      <c r="IQG68" s="87"/>
      <c r="IQH68" s="87"/>
      <c r="IQI68" s="87"/>
      <c r="IQJ68" s="87"/>
      <c r="IQK68" s="87"/>
      <c r="IQL68" s="87"/>
      <c r="IQM68" s="87"/>
      <c r="IQN68" s="87"/>
      <c r="IQO68" s="87"/>
      <c r="IQP68" s="87"/>
      <c r="IQQ68" s="87"/>
      <c r="IQR68" s="87"/>
      <c r="IQS68" s="87"/>
      <c r="IQT68" s="87"/>
      <c r="IQU68" s="87"/>
      <c r="IQV68" s="87"/>
      <c r="IQW68" s="87"/>
      <c r="IQX68" s="87"/>
      <c r="IQY68" s="87"/>
      <c r="IQZ68" s="87"/>
      <c r="IRA68" s="87"/>
      <c r="IRB68" s="87"/>
      <c r="IRC68" s="87"/>
      <c r="IRD68" s="87"/>
      <c r="IRE68" s="87"/>
      <c r="IRF68" s="87"/>
      <c r="IRG68" s="87"/>
      <c r="IRH68" s="87"/>
      <c r="IRI68" s="87"/>
      <c r="IRJ68" s="87"/>
      <c r="IRK68" s="87"/>
      <c r="IRL68" s="87"/>
      <c r="IRM68" s="87"/>
      <c r="IRN68" s="87"/>
      <c r="IRO68" s="87"/>
      <c r="IRP68" s="87"/>
      <c r="IRQ68" s="87"/>
      <c r="IRR68" s="87"/>
      <c r="IRS68" s="87"/>
      <c r="IRT68" s="87"/>
      <c r="IRU68" s="87"/>
      <c r="IRV68" s="87"/>
      <c r="IRW68" s="87"/>
      <c r="IRX68" s="87"/>
      <c r="IRY68" s="87"/>
      <c r="IRZ68" s="87"/>
      <c r="ISA68" s="87"/>
      <c r="ISB68" s="87"/>
      <c r="ISC68" s="87"/>
      <c r="ISD68" s="87"/>
      <c r="ISE68" s="87"/>
      <c r="ISF68" s="87"/>
      <c r="ISG68" s="87"/>
      <c r="ISH68" s="87"/>
      <c r="ISI68" s="87"/>
      <c r="ISJ68" s="87"/>
      <c r="ISK68" s="87"/>
      <c r="ISL68" s="87"/>
      <c r="ISM68" s="87"/>
      <c r="ISN68" s="87"/>
      <c r="ISO68" s="87"/>
      <c r="ISP68" s="87"/>
      <c r="ISQ68" s="87"/>
      <c r="ISR68" s="87"/>
      <c r="ISS68" s="87"/>
      <c r="IST68" s="87"/>
      <c r="ISU68" s="87"/>
      <c r="ISV68" s="87"/>
      <c r="ISW68" s="87"/>
      <c r="ISX68" s="87"/>
      <c r="ISY68" s="87"/>
      <c r="ISZ68" s="87"/>
      <c r="ITA68" s="87"/>
      <c r="ITB68" s="87"/>
      <c r="ITC68" s="87"/>
      <c r="ITD68" s="87"/>
      <c r="ITE68" s="87"/>
      <c r="ITF68" s="87"/>
      <c r="ITG68" s="87"/>
      <c r="ITH68" s="87"/>
      <c r="ITI68" s="87"/>
      <c r="ITJ68" s="87"/>
      <c r="ITK68" s="87"/>
      <c r="ITL68" s="87"/>
      <c r="ITM68" s="87"/>
      <c r="ITN68" s="87"/>
      <c r="ITO68" s="87"/>
      <c r="ITP68" s="87"/>
      <c r="ITQ68" s="87"/>
      <c r="ITR68" s="87"/>
      <c r="ITS68" s="87"/>
      <c r="ITT68" s="87"/>
      <c r="ITU68" s="87"/>
      <c r="ITV68" s="87"/>
      <c r="ITW68" s="87"/>
      <c r="ITX68" s="87"/>
      <c r="ITY68" s="87"/>
      <c r="ITZ68" s="87"/>
      <c r="IUA68" s="87"/>
      <c r="IUB68" s="87"/>
      <c r="IUC68" s="87"/>
      <c r="IUD68" s="87"/>
      <c r="IUE68" s="87"/>
      <c r="IUF68" s="87"/>
      <c r="IUG68" s="87"/>
      <c r="IUH68" s="87"/>
      <c r="IUI68" s="87"/>
      <c r="IUJ68" s="87"/>
      <c r="IUK68" s="87"/>
      <c r="IUL68" s="87"/>
      <c r="IUM68" s="87"/>
      <c r="IUN68" s="87"/>
      <c r="IUO68" s="87"/>
      <c r="IUP68" s="87"/>
      <c r="IUQ68" s="87"/>
      <c r="IUR68" s="87"/>
      <c r="IUS68" s="87"/>
      <c r="IUT68" s="87"/>
      <c r="IUU68" s="87"/>
      <c r="IUV68" s="87"/>
      <c r="IUW68" s="87"/>
      <c r="IUX68" s="87"/>
      <c r="IUY68" s="87"/>
      <c r="IUZ68" s="87"/>
      <c r="IVA68" s="87"/>
      <c r="IVB68" s="87"/>
      <c r="IVC68" s="87"/>
      <c r="IVD68" s="87"/>
      <c r="IVE68" s="87"/>
      <c r="IVF68" s="87"/>
      <c r="IVG68" s="87"/>
      <c r="IVH68" s="87"/>
      <c r="IVI68" s="87"/>
      <c r="IVJ68" s="87"/>
      <c r="IVK68" s="87"/>
      <c r="IVL68" s="87"/>
      <c r="IVM68" s="87"/>
      <c r="IVN68" s="87"/>
      <c r="IVO68" s="87"/>
      <c r="IVP68" s="87"/>
      <c r="IVQ68" s="87"/>
      <c r="IVR68" s="87"/>
      <c r="IVS68" s="87"/>
      <c r="IVT68" s="87"/>
      <c r="IVU68" s="87"/>
      <c r="IVV68" s="87"/>
      <c r="IVW68" s="87"/>
      <c r="IVX68" s="87"/>
      <c r="IVY68" s="87"/>
      <c r="IVZ68" s="87"/>
      <c r="IWA68" s="87"/>
      <c r="IWB68" s="87"/>
      <c r="IWC68" s="87"/>
      <c r="IWD68" s="87"/>
      <c r="IWE68" s="87"/>
      <c r="IWF68" s="87"/>
      <c r="IWG68" s="87"/>
      <c r="IWH68" s="87"/>
      <c r="IWI68" s="87"/>
      <c r="IWJ68" s="87"/>
      <c r="IWK68" s="87"/>
      <c r="IWL68" s="87"/>
      <c r="IWM68" s="87"/>
      <c r="IWN68" s="87"/>
      <c r="IWO68" s="87"/>
      <c r="IWP68" s="87"/>
      <c r="IWQ68" s="87"/>
      <c r="IWR68" s="87"/>
      <c r="IWS68" s="87"/>
      <c r="IWT68" s="87"/>
      <c r="IWU68" s="87"/>
      <c r="IWV68" s="87"/>
      <c r="IWW68" s="87"/>
      <c r="IWX68" s="87"/>
      <c r="IWY68" s="87"/>
      <c r="IWZ68" s="87"/>
      <c r="IXA68" s="87"/>
      <c r="IXB68" s="87"/>
      <c r="IXC68" s="87"/>
      <c r="IXD68" s="87"/>
      <c r="IXE68" s="87"/>
      <c r="IXF68" s="87"/>
      <c r="IXG68" s="87"/>
      <c r="IXH68" s="87"/>
      <c r="IXI68" s="87"/>
      <c r="IXJ68" s="87"/>
      <c r="IXK68" s="87"/>
      <c r="IXL68" s="87"/>
      <c r="IXM68" s="87"/>
      <c r="IXN68" s="87"/>
      <c r="IXO68" s="87"/>
      <c r="IXP68" s="87"/>
      <c r="IXQ68" s="87"/>
      <c r="IXR68" s="87"/>
      <c r="IXS68" s="87"/>
      <c r="IXT68" s="87"/>
      <c r="IXU68" s="87"/>
      <c r="IXV68" s="87"/>
      <c r="IXW68" s="87"/>
      <c r="IXX68" s="87"/>
      <c r="IXY68" s="87"/>
      <c r="IXZ68" s="87"/>
      <c r="IYA68" s="87"/>
      <c r="IYB68" s="87"/>
      <c r="IYC68" s="87"/>
      <c r="IYD68" s="87"/>
      <c r="IYE68" s="87"/>
      <c r="IYF68" s="87"/>
      <c r="IYG68" s="87"/>
      <c r="IYH68" s="87"/>
      <c r="IYI68" s="87"/>
      <c r="IYJ68" s="87"/>
      <c r="IYK68" s="87"/>
      <c r="IYL68" s="87"/>
      <c r="IYM68" s="87"/>
      <c r="IYN68" s="87"/>
      <c r="IYO68" s="87"/>
      <c r="IYP68" s="87"/>
      <c r="IYQ68" s="87"/>
      <c r="IYR68" s="87"/>
      <c r="IYS68" s="87"/>
      <c r="IYT68" s="87"/>
      <c r="IYU68" s="87"/>
      <c r="IYV68" s="87"/>
      <c r="IYW68" s="87"/>
      <c r="IYX68" s="87"/>
      <c r="IYY68" s="87"/>
      <c r="IYZ68" s="87"/>
      <c r="IZA68" s="87"/>
      <c r="IZB68" s="87"/>
      <c r="IZC68" s="87"/>
      <c r="IZD68" s="87"/>
      <c r="IZE68" s="87"/>
      <c r="IZF68" s="87"/>
      <c r="IZG68" s="87"/>
      <c r="IZH68" s="87"/>
      <c r="IZI68" s="87"/>
      <c r="IZJ68" s="87"/>
      <c r="IZK68" s="87"/>
      <c r="IZL68" s="87"/>
      <c r="IZM68" s="87"/>
      <c r="IZN68" s="87"/>
      <c r="IZO68" s="87"/>
      <c r="IZP68" s="87"/>
      <c r="IZQ68" s="87"/>
      <c r="IZR68" s="87"/>
      <c r="IZS68" s="87"/>
      <c r="IZT68" s="87"/>
      <c r="IZU68" s="87"/>
      <c r="IZV68" s="87"/>
      <c r="IZW68" s="87"/>
      <c r="IZX68" s="87"/>
      <c r="IZY68" s="87"/>
      <c r="IZZ68" s="87"/>
      <c r="JAA68" s="87"/>
      <c r="JAB68" s="87"/>
      <c r="JAC68" s="87"/>
      <c r="JAD68" s="87"/>
      <c r="JAE68" s="87"/>
      <c r="JAF68" s="87"/>
      <c r="JAG68" s="87"/>
      <c r="JAH68" s="87"/>
      <c r="JAI68" s="87"/>
      <c r="JAJ68" s="87"/>
      <c r="JAK68" s="87"/>
      <c r="JAL68" s="87"/>
      <c r="JAM68" s="87"/>
      <c r="JAN68" s="87"/>
      <c r="JAO68" s="87"/>
      <c r="JAP68" s="87"/>
      <c r="JAQ68" s="87"/>
      <c r="JAR68" s="87"/>
      <c r="JAS68" s="87"/>
      <c r="JAT68" s="87"/>
      <c r="JAU68" s="87"/>
      <c r="JAV68" s="87"/>
      <c r="JAW68" s="87"/>
      <c r="JAX68" s="87"/>
      <c r="JAY68" s="87"/>
      <c r="JAZ68" s="87"/>
      <c r="JBA68" s="87"/>
      <c r="JBB68" s="87"/>
      <c r="JBC68" s="87"/>
      <c r="JBD68" s="87"/>
      <c r="JBE68" s="87"/>
      <c r="JBF68" s="87"/>
      <c r="JBG68" s="87"/>
      <c r="JBH68" s="87"/>
      <c r="JBI68" s="87"/>
      <c r="JBJ68" s="87"/>
      <c r="JBK68" s="87"/>
      <c r="JBL68" s="87"/>
      <c r="JBM68" s="87"/>
      <c r="JBN68" s="87"/>
      <c r="JBO68" s="87"/>
      <c r="JBP68" s="87"/>
      <c r="JBQ68" s="87"/>
      <c r="JBR68" s="87"/>
      <c r="JBS68" s="87"/>
      <c r="JBT68" s="87"/>
      <c r="JBU68" s="87"/>
      <c r="JBV68" s="87"/>
      <c r="JBW68" s="87"/>
      <c r="JBX68" s="87"/>
      <c r="JBY68" s="87"/>
      <c r="JBZ68" s="87"/>
      <c r="JCA68" s="87"/>
      <c r="JCB68" s="87"/>
      <c r="JCC68" s="87"/>
      <c r="JCD68" s="87"/>
      <c r="JCE68" s="87"/>
      <c r="JCF68" s="87"/>
      <c r="JCG68" s="87"/>
      <c r="JCH68" s="87"/>
      <c r="JCI68" s="87"/>
      <c r="JCJ68" s="87"/>
      <c r="JCK68" s="87"/>
      <c r="JCL68" s="87"/>
      <c r="JCM68" s="87"/>
      <c r="JCN68" s="87"/>
      <c r="JCO68" s="87"/>
      <c r="JCP68" s="87"/>
      <c r="JCQ68" s="87"/>
      <c r="JCR68" s="87"/>
      <c r="JCS68" s="87"/>
      <c r="JCT68" s="87"/>
      <c r="JCU68" s="87"/>
      <c r="JCV68" s="87"/>
      <c r="JCW68" s="87"/>
      <c r="JCX68" s="87"/>
      <c r="JCY68" s="87"/>
      <c r="JCZ68" s="87"/>
      <c r="JDA68" s="87"/>
      <c r="JDB68" s="87"/>
      <c r="JDC68" s="87"/>
      <c r="JDD68" s="87"/>
      <c r="JDE68" s="87"/>
      <c r="JDF68" s="87"/>
      <c r="JDG68" s="87"/>
      <c r="JDH68" s="87"/>
      <c r="JDI68" s="87"/>
      <c r="JDJ68" s="87"/>
      <c r="JDK68" s="87"/>
      <c r="JDL68" s="87"/>
      <c r="JDM68" s="87"/>
      <c r="JDN68" s="87"/>
      <c r="JDO68" s="87"/>
      <c r="JDP68" s="87"/>
      <c r="JDQ68" s="87"/>
      <c r="JDR68" s="87"/>
      <c r="JDS68" s="87"/>
      <c r="JDT68" s="87"/>
      <c r="JDU68" s="87"/>
      <c r="JDV68" s="87"/>
      <c r="JDW68" s="87"/>
      <c r="JDX68" s="87"/>
      <c r="JDY68" s="87"/>
      <c r="JDZ68" s="87"/>
      <c r="JEA68" s="87"/>
      <c r="JEB68" s="87"/>
      <c r="JEC68" s="87"/>
      <c r="JED68" s="87"/>
      <c r="JEE68" s="87"/>
      <c r="JEF68" s="87"/>
      <c r="JEG68" s="87"/>
      <c r="JEH68" s="87"/>
      <c r="JEI68" s="87"/>
      <c r="JEJ68" s="87"/>
      <c r="JEK68" s="87"/>
      <c r="JEL68" s="87"/>
      <c r="JEM68" s="87"/>
      <c r="JEN68" s="87"/>
      <c r="JEO68" s="87"/>
      <c r="JEP68" s="87"/>
      <c r="JEQ68" s="87"/>
      <c r="JER68" s="87"/>
      <c r="JES68" s="87"/>
      <c r="JET68" s="87"/>
      <c r="JEU68" s="87"/>
      <c r="JEV68" s="87"/>
      <c r="JEW68" s="87"/>
      <c r="JEX68" s="87"/>
      <c r="JEY68" s="87"/>
      <c r="JEZ68" s="87"/>
      <c r="JFA68" s="87"/>
      <c r="JFB68" s="87"/>
      <c r="JFC68" s="87"/>
      <c r="JFD68" s="87"/>
      <c r="JFE68" s="87"/>
      <c r="JFF68" s="87"/>
      <c r="JFG68" s="87"/>
      <c r="JFH68" s="87"/>
      <c r="JFI68" s="87"/>
      <c r="JFJ68" s="87"/>
      <c r="JFK68" s="87"/>
      <c r="JFL68" s="87"/>
      <c r="JFM68" s="87"/>
      <c r="JFN68" s="87"/>
      <c r="JFO68" s="87"/>
      <c r="JFP68" s="87"/>
      <c r="JFQ68" s="87"/>
      <c r="JFR68" s="87"/>
      <c r="JFS68" s="87"/>
      <c r="JFT68" s="87"/>
      <c r="JFU68" s="87"/>
      <c r="JFV68" s="87"/>
      <c r="JFW68" s="87"/>
      <c r="JFX68" s="87"/>
      <c r="JFY68" s="87"/>
      <c r="JFZ68" s="87"/>
      <c r="JGA68" s="87"/>
      <c r="JGB68" s="87"/>
      <c r="JGC68" s="87"/>
      <c r="JGD68" s="87"/>
      <c r="JGE68" s="87"/>
      <c r="JGF68" s="87"/>
      <c r="JGG68" s="87"/>
      <c r="JGH68" s="87"/>
      <c r="JGI68" s="87"/>
      <c r="JGJ68" s="87"/>
      <c r="JGK68" s="87"/>
      <c r="JGL68" s="87"/>
      <c r="JGM68" s="87"/>
      <c r="JGN68" s="87"/>
      <c r="JGO68" s="87"/>
      <c r="JGP68" s="87"/>
      <c r="JGQ68" s="87"/>
      <c r="JGR68" s="87"/>
      <c r="JGS68" s="87"/>
      <c r="JGT68" s="87"/>
      <c r="JGU68" s="87"/>
      <c r="JGV68" s="87"/>
      <c r="JGW68" s="87"/>
      <c r="JGX68" s="87"/>
      <c r="JGY68" s="87"/>
      <c r="JGZ68" s="87"/>
      <c r="JHA68" s="87"/>
      <c r="JHB68" s="87"/>
      <c r="JHC68" s="87"/>
      <c r="JHD68" s="87"/>
      <c r="JHE68" s="87"/>
      <c r="JHF68" s="87"/>
      <c r="JHG68" s="87"/>
      <c r="JHH68" s="87"/>
      <c r="JHI68" s="87"/>
      <c r="JHJ68" s="87"/>
      <c r="JHK68" s="87"/>
      <c r="JHL68" s="87"/>
      <c r="JHM68" s="87"/>
      <c r="JHN68" s="87"/>
      <c r="JHO68" s="87"/>
      <c r="JHP68" s="87"/>
      <c r="JHQ68" s="87"/>
      <c r="JHR68" s="87"/>
      <c r="JHS68" s="87"/>
      <c r="JHT68" s="87"/>
      <c r="JHU68" s="87"/>
      <c r="JHV68" s="87"/>
      <c r="JHW68" s="87"/>
      <c r="JHX68" s="87"/>
      <c r="JHY68" s="87"/>
      <c r="JHZ68" s="87"/>
      <c r="JIA68" s="87"/>
      <c r="JIB68" s="87"/>
      <c r="JIC68" s="87"/>
      <c r="JID68" s="87"/>
      <c r="JIE68" s="87"/>
      <c r="JIF68" s="87"/>
      <c r="JIG68" s="87"/>
      <c r="JIH68" s="87"/>
      <c r="JII68" s="87"/>
      <c r="JIJ68" s="87"/>
      <c r="JIK68" s="87"/>
      <c r="JIL68" s="87"/>
      <c r="JIM68" s="87"/>
      <c r="JIN68" s="87"/>
      <c r="JIO68" s="87"/>
      <c r="JIP68" s="87"/>
      <c r="JIQ68" s="87"/>
      <c r="JIR68" s="87"/>
      <c r="JIS68" s="87"/>
      <c r="JIT68" s="87"/>
      <c r="JIU68" s="87"/>
      <c r="JIV68" s="87"/>
      <c r="JIW68" s="87"/>
      <c r="JIX68" s="87"/>
      <c r="JIY68" s="87"/>
      <c r="JIZ68" s="87"/>
      <c r="JJA68" s="87"/>
      <c r="JJB68" s="87"/>
      <c r="JJC68" s="87"/>
      <c r="JJD68" s="87"/>
      <c r="JJE68" s="87"/>
      <c r="JJF68" s="87"/>
      <c r="JJG68" s="87"/>
      <c r="JJH68" s="87"/>
      <c r="JJI68" s="87"/>
      <c r="JJJ68" s="87"/>
      <c r="JJK68" s="87"/>
      <c r="JJL68" s="87"/>
      <c r="JJM68" s="87"/>
      <c r="JJN68" s="87"/>
      <c r="JJO68" s="87"/>
      <c r="JJP68" s="87"/>
      <c r="JJQ68" s="87"/>
      <c r="JJR68" s="87"/>
      <c r="JJS68" s="87"/>
      <c r="JJT68" s="87"/>
      <c r="JJU68" s="87"/>
      <c r="JJV68" s="87"/>
      <c r="JJW68" s="87"/>
      <c r="JJX68" s="87"/>
      <c r="JJY68" s="87"/>
      <c r="JJZ68" s="87"/>
      <c r="JKA68" s="87"/>
      <c r="JKB68" s="87"/>
      <c r="JKC68" s="87"/>
      <c r="JKD68" s="87"/>
      <c r="JKE68" s="87"/>
      <c r="JKF68" s="87"/>
      <c r="JKG68" s="87"/>
      <c r="JKH68" s="87"/>
      <c r="JKI68" s="87"/>
      <c r="JKJ68" s="87"/>
      <c r="JKK68" s="87"/>
      <c r="JKL68" s="87"/>
      <c r="JKM68" s="87"/>
      <c r="JKN68" s="87"/>
      <c r="JKO68" s="87"/>
      <c r="JKP68" s="87"/>
      <c r="JKQ68" s="87"/>
      <c r="JKR68" s="87"/>
      <c r="JKS68" s="87"/>
      <c r="JKT68" s="87"/>
      <c r="JKU68" s="87"/>
      <c r="JKV68" s="87"/>
      <c r="JKW68" s="87"/>
      <c r="JKX68" s="87"/>
      <c r="JKY68" s="87"/>
      <c r="JKZ68" s="87"/>
      <c r="JLA68" s="87"/>
      <c r="JLB68" s="87"/>
      <c r="JLC68" s="87"/>
      <c r="JLD68" s="87"/>
      <c r="JLE68" s="87"/>
      <c r="JLF68" s="87"/>
      <c r="JLG68" s="87"/>
      <c r="JLH68" s="87"/>
      <c r="JLI68" s="87"/>
      <c r="JLJ68" s="87"/>
      <c r="JLK68" s="87"/>
      <c r="JLL68" s="87"/>
      <c r="JLM68" s="87"/>
      <c r="JLN68" s="87"/>
      <c r="JLO68" s="87"/>
      <c r="JLP68" s="87"/>
      <c r="JLQ68" s="87"/>
      <c r="JLR68" s="87"/>
      <c r="JLS68" s="87"/>
      <c r="JLT68" s="87"/>
      <c r="JLU68" s="87"/>
      <c r="JLV68" s="87"/>
      <c r="JLW68" s="87"/>
      <c r="JLX68" s="87"/>
      <c r="JLY68" s="87"/>
      <c r="JLZ68" s="87"/>
      <c r="JMA68" s="87"/>
      <c r="JMB68" s="87"/>
      <c r="JMC68" s="87"/>
      <c r="JMD68" s="87"/>
      <c r="JME68" s="87"/>
      <c r="JMF68" s="87"/>
      <c r="JMG68" s="87"/>
      <c r="JMH68" s="87"/>
      <c r="JMI68" s="87"/>
      <c r="JMJ68" s="87"/>
      <c r="JMK68" s="87"/>
      <c r="JML68" s="87"/>
      <c r="JMM68" s="87"/>
      <c r="JMN68" s="87"/>
      <c r="JMO68" s="87"/>
      <c r="JMP68" s="87"/>
      <c r="JMQ68" s="87"/>
      <c r="JMR68" s="87"/>
      <c r="JMS68" s="87"/>
      <c r="JMT68" s="87"/>
      <c r="JMU68" s="87"/>
      <c r="JMV68" s="87"/>
      <c r="JMW68" s="87"/>
      <c r="JMX68" s="87"/>
      <c r="JMY68" s="87"/>
      <c r="JMZ68" s="87"/>
      <c r="JNA68" s="87"/>
      <c r="JNB68" s="87"/>
      <c r="JNC68" s="87"/>
      <c r="JND68" s="87"/>
      <c r="JNE68" s="87"/>
      <c r="JNF68" s="87"/>
      <c r="JNG68" s="87"/>
      <c r="JNH68" s="87"/>
      <c r="JNI68" s="87"/>
      <c r="JNJ68" s="87"/>
      <c r="JNK68" s="87"/>
      <c r="JNL68" s="87"/>
      <c r="JNM68" s="87"/>
      <c r="JNN68" s="87"/>
      <c r="JNO68" s="87"/>
      <c r="JNP68" s="87"/>
      <c r="JNQ68" s="87"/>
      <c r="JNR68" s="87"/>
      <c r="JNS68" s="87"/>
      <c r="JNT68" s="87"/>
      <c r="JNU68" s="87"/>
      <c r="JNV68" s="87"/>
      <c r="JNW68" s="87"/>
      <c r="JNX68" s="87"/>
      <c r="JNY68" s="87"/>
      <c r="JNZ68" s="87"/>
      <c r="JOA68" s="87"/>
      <c r="JOB68" s="87"/>
      <c r="JOC68" s="87"/>
      <c r="JOD68" s="87"/>
      <c r="JOE68" s="87"/>
      <c r="JOF68" s="87"/>
      <c r="JOG68" s="87"/>
      <c r="JOH68" s="87"/>
      <c r="JOI68" s="87"/>
      <c r="JOJ68" s="87"/>
      <c r="JOK68" s="87"/>
      <c r="JOL68" s="87"/>
      <c r="JOM68" s="87"/>
      <c r="JON68" s="87"/>
      <c r="JOO68" s="87"/>
      <c r="JOP68" s="87"/>
      <c r="JOQ68" s="87"/>
      <c r="JOR68" s="87"/>
      <c r="JOS68" s="87"/>
      <c r="JOT68" s="87"/>
      <c r="JOU68" s="87"/>
      <c r="JOV68" s="87"/>
      <c r="JOW68" s="87"/>
      <c r="JOX68" s="87"/>
      <c r="JOY68" s="87"/>
      <c r="JOZ68" s="87"/>
      <c r="JPA68" s="87"/>
      <c r="JPB68" s="87"/>
      <c r="JPC68" s="87"/>
      <c r="JPD68" s="87"/>
      <c r="JPE68" s="87"/>
      <c r="JPF68" s="87"/>
      <c r="JPG68" s="87"/>
      <c r="JPH68" s="87"/>
      <c r="JPI68" s="87"/>
      <c r="JPJ68" s="87"/>
      <c r="JPK68" s="87"/>
      <c r="JPL68" s="87"/>
      <c r="JPM68" s="87"/>
      <c r="JPN68" s="87"/>
      <c r="JPO68" s="87"/>
      <c r="JPP68" s="87"/>
      <c r="JPQ68" s="87"/>
      <c r="JPR68" s="87"/>
      <c r="JPS68" s="87"/>
      <c r="JPT68" s="87"/>
      <c r="JPU68" s="87"/>
      <c r="JPV68" s="87"/>
      <c r="JPW68" s="87"/>
      <c r="JPX68" s="87"/>
      <c r="JPY68" s="87"/>
      <c r="JPZ68" s="87"/>
      <c r="JQA68" s="87"/>
      <c r="JQB68" s="87"/>
      <c r="JQC68" s="87"/>
      <c r="JQD68" s="87"/>
      <c r="JQE68" s="87"/>
      <c r="JQF68" s="87"/>
      <c r="JQG68" s="87"/>
      <c r="JQH68" s="87"/>
      <c r="JQI68" s="87"/>
      <c r="JQJ68" s="87"/>
      <c r="JQK68" s="87"/>
      <c r="JQL68" s="87"/>
      <c r="JQM68" s="87"/>
      <c r="JQN68" s="87"/>
      <c r="JQO68" s="87"/>
      <c r="JQP68" s="87"/>
      <c r="JQQ68" s="87"/>
      <c r="JQR68" s="87"/>
      <c r="JQS68" s="87"/>
      <c r="JQT68" s="87"/>
      <c r="JQU68" s="87"/>
      <c r="JQV68" s="87"/>
      <c r="JQW68" s="87"/>
      <c r="JQX68" s="87"/>
      <c r="JQY68" s="87"/>
      <c r="JQZ68" s="87"/>
      <c r="JRA68" s="87"/>
      <c r="JRB68" s="87"/>
      <c r="JRC68" s="87"/>
      <c r="JRD68" s="87"/>
      <c r="JRE68" s="87"/>
      <c r="JRF68" s="87"/>
      <c r="JRG68" s="87"/>
      <c r="JRH68" s="87"/>
      <c r="JRI68" s="87"/>
      <c r="JRJ68" s="87"/>
      <c r="JRK68" s="87"/>
      <c r="JRL68" s="87"/>
      <c r="JRM68" s="87"/>
      <c r="JRN68" s="87"/>
      <c r="JRO68" s="87"/>
      <c r="JRP68" s="87"/>
      <c r="JRQ68" s="87"/>
      <c r="JRR68" s="87"/>
      <c r="JRS68" s="87"/>
      <c r="JRT68" s="87"/>
      <c r="JRU68" s="87"/>
      <c r="JRV68" s="87"/>
      <c r="JRW68" s="87"/>
      <c r="JRX68" s="87"/>
      <c r="JRY68" s="87"/>
      <c r="JRZ68" s="87"/>
      <c r="JSA68" s="87"/>
      <c r="JSB68" s="87"/>
      <c r="JSC68" s="87"/>
      <c r="JSD68" s="87"/>
      <c r="JSE68" s="87"/>
      <c r="JSF68" s="87"/>
      <c r="JSG68" s="87"/>
      <c r="JSH68" s="87"/>
      <c r="JSI68" s="87"/>
      <c r="JSJ68" s="87"/>
      <c r="JSK68" s="87"/>
      <c r="JSL68" s="87"/>
      <c r="JSM68" s="87"/>
      <c r="JSN68" s="87"/>
      <c r="JSO68" s="87"/>
      <c r="JSP68" s="87"/>
      <c r="JSQ68" s="87"/>
      <c r="JSR68" s="87"/>
      <c r="JSS68" s="87"/>
      <c r="JST68" s="87"/>
      <c r="JSU68" s="87"/>
      <c r="JSV68" s="87"/>
      <c r="JSW68" s="87"/>
      <c r="JSX68" s="87"/>
      <c r="JSY68" s="87"/>
      <c r="JSZ68" s="87"/>
      <c r="JTA68" s="87"/>
      <c r="JTB68" s="87"/>
      <c r="JTC68" s="87"/>
      <c r="JTD68" s="87"/>
      <c r="JTE68" s="87"/>
      <c r="JTF68" s="87"/>
      <c r="JTG68" s="87"/>
      <c r="JTH68" s="87"/>
      <c r="JTI68" s="87"/>
      <c r="JTJ68" s="87"/>
      <c r="JTK68" s="87"/>
      <c r="JTL68" s="87"/>
      <c r="JTM68" s="87"/>
      <c r="JTN68" s="87"/>
      <c r="JTO68" s="87"/>
      <c r="JTP68" s="87"/>
      <c r="JTQ68" s="87"/>
      <c r="JTR68" s="87"/>
      <c r="JTS68" s="87"/>
      <c r="JTT68" s="87"/>
      <c r="JTU68" s="87"/>
      <c r="JTV68" s="87"/>
      <c r="JTW68" s="87"/>
      <c r="JTX68" s="87"/>
      <c r="JTY68" s="87"/>
      <c r="JTZ68" s="87"/>
      <c r="JUA68" s="87"/>
      <c r="JUB68" s="87"/>
      <c r="JUC68" s="87"/>
      <c r="JUD68" s="87"/>
      <c r="JUE68" s="87"/>
      <c r="JUF68" s="87"/>
      <c r="JUG68" s="87"/>
      <c r="JUH68" s="87"/>
      <c r="JUI68" s="87"/>
      <c r="JUJ68" s="87"/>
      <c r="JUK68" s="87"/>
      <c r="JUL68" s="87"/>
      <c r="JUM68" s="87"/>
      <c r="JUN68" s="87"/>
      <c r="JUO68" s="87"/>
      <c r="JUP68" s="87"/>
      <c r="JUQ68" s="87"/>
      <c r="JUR68" s="87"/>
      <c r="JUS68" s="87"/>
      <c r="JUT68" s="87"/>
      <c r="JUU68" s="87"/>
      <c r="JUV68" s="87"/>
      <c r="JUW68" s="87"/>
      <c r="JUX68" s="87"/>
      <c r="JUY68" s="87"/>
      <c r="JUZ68" s="87"/>
      <c r="JVA68" s="87"/>
      <c r="JVB68" s="87"/>
      <c r="JVC68" s="87"/>
      <c r="JVD68" s="87"/>
      <c r="JVE68" s="87"/>
      <c r="JVF68" s="87"/>
      <c r="JVG68" s="87"/>
      <c r="JVH68" s="87"/>
      <c r="JVI68" s="87"/>
      <c r="JVJ68" s="87"/>
      <c r="JVK68" s="87"/>
      <c r="JVL68" s="87"/>
      <c r="JVM68" s="87"/>
      <c r="JVN68" s="87"/>
      <c r="JVO68" s="87"/>
      <c r="JVP68" s="87"/>
      <c r="JVQ68" s="87"/>
      <c r="JVR68" s="87"/>
      <c r="JVS68" s="87"/>
      <c r="JVT68" s="87"/>
      <c r="JVU68" s="87"/>
      <c r="JVV68" s="87"/>
      <c r="JVW68" s="87"/>
      <c r="JVX68" s="87"/>
      <c r="JVY68" s="87"/>
      <c r="JVZ68" s="87"/>
      <c r="JWA68" s="87"/>
      <c r="JWB68" s="87"/>
      <c r="JWC68" s="87"/>
      <c r="JWD68" s="87"/>
      <c r="JWE68" s="87"/>
      <c r="JWF68" s="87"/>
      <c r="JWG68" s="87"/>
      <c r="JWH68" s="87"/>
      <c r="JWI68" s="87"/>
      <c r="JWJ68" s="87"/>
      <c r="JWK68" s="87"/>
      <c r="JWL68" s="87"/>
      <c r="JWM68" s="87"/>
      <c r="JWN68" s="87"/>
      <c r="JWO68" s="87"/>
      <c r="JWP68" s="87"/>
      <c r="JWQ68" s="87"/>
      <c r="JWR68" s="87"/>
      <c r="JWS68" s="87"/>
      <c r="JWT68" s="87"/>
      <c r="JWU68" s="87"/>
      <c r="JWV68" s="87"/>
      <c r="JWW68" s="87"/>
      <c r="JWX68" s="87"/>
      <c r="JWY68" s="87"/>
      <c r="JWZ68" s="87"/>
      <c r="JXA68" s="87"/>
      <c r="JXB68" s="87"/>
      <c r="JXC68" s="87"/>
      <c r="JXD68" s="87"/>
      <c r="JXE68" s="87"/>
      <c r="JXF68" s="87"/>
      <c r="JXG68" s="87"/>
      <c r="JXH68" s="87"/>
      <c r="JXI68" s="87"/>
      <c r="JXJ68" s="87"/>
      <c r="JXK68" s="87"/>
      <c r="JXL68" s="87"/>
      <c r="JXM68" s="87"/>
      <c r="JXN68" s="87"/>
      <c r="JXO68" s="87"/>
      <c r="JXP68" s="87"/>
      <c r="JXQ68" s="87"/>
      <c r="JXR68" s="87"/>
      <c r="JXS68" s="87"/>
      <c r="JXT68" s="87"/>
      <c r="JXU68" s="87"/>
      <c r="JXV68" s="87"/>
      <c r="JXW68" s="87"/>
      <c r="JXX68" s="87"/>
      <c r="JXY68" s="87"/>
      <c r="JXZ68" s="87"/>
      <c r="JYA68" s="87"/>
      <c r="JYB68" s="87"/>
      <c r="JYC68" s="87"/>
      <c r="JYD68" s="87"/>
      <c r="JYE68" s="87"/>
      <c r="JYF68" s="87"/>
      <c r="JYG68" s="87"/>
      <c r="JYH68" s="87"/>
      <c r="JYI68" s="87"/>
      <c r="JYJ68" s="87"/>
      <c r="JYK68" s="87"/>
      <c r="JYL68" s="87"/>
      <c r="JYM68" s="87"/>
      <c r="JYN68" s="87"/>
      <c r="JYO68" s="87"/>
      <c r="JYP68" s="87"/>
      <c r="JYQ68" s="87"/>
      <c r="JYR68" s="87"/>
      <c r="JYS68" s="87"/>
      <c r="JYT68" s="87"/>
      <c r="JYU68" s="87"/>
      <c r="JYV68" s="87"/>
      <c r="JYW68" s="87"/>
      <c r="JYX68" s="87"/>
      <c r="JYY68" s="87"/>
      <c r="JYZ68" s="87"/>
      <c r="JZA68" s="87"/>
      <c r="JZB68" s="87"/>
      <c r="JZC68" s="87"/>
      <c r="JZD68" s="87"/>
      <c r="JZE68" s="87"/>
      <c r="JZF68" s="87"/>
      <c r="JZG68" s="87"/>
      <c r="JZH68" s="87"/>
      <c r="JZI68" s="87"/>
      <c r="JZJ68" s="87"/>
      <c r="JZK68" s="87"/>
      <c r="JZL68" s="87"/>
      <c r="JZM68" s="87"/>
      <c r="JZN68" s="87"/>
      <c r="JZO68" s="87"/>
      <c r="JZP68" s="87"/>
      <c r="JZQ68" s="87"/>
      <c r="JZR68" s="87"/>
      <c r="JZS68" s="87"/>
      <c r="JZT68" s="87"/>
      <c r="JZU68" s="87"/>
      <c r="JZV68" s="87"/>
      <c r="JZW68" s="87"/>
      <c r="JZX68" s="87"/>
      <c r="JZY68" s="87"/>
      <c r="JZZ68" s="87"/>
      <c r="KAA68" s="87"/>
      <c r="KAB68" s="87"/>
      <c r="KAC68" s="87"/>
      <c r="KAD68" s="87"/>
      <c r="KAE68" s="87"/>
      <c r="KAF68" s="87"/>
      <c r="KAG68" s="87"/>
      <c r="KAH68" s="87"/>
      <c r="KAI68" s="87"/>
      <c r="KAJ68" s="87"/>
      <c r="KAK68" s="87"/>
      <c r="KAL68" s="87"/>
      <c r="KAM68" s="87"/>
      <c r="KAN68" s="87"/>
      <c r="KAO68" s="87"/>
      <c r="KAP68" s="87"/>
      <c r="KAQ68" s="87"/>
      <c r="KAR68" s="87"/>
      <c r="KAS68" s="87"/>
      <c r="KAT68" s="87"/>
      <c r="KAU68" s="87"/>
      <c r="KAV68" s="87"/>
      <c r="KAW68" s="87"/>
      <c r="KAX68" s="87"/>
      <c r="KAY68" s="87"/>
      <c r="KAZ68" s="87"/>
      <c r="KBA68" s="87"/>
      <c r="KBB68" s="87"/>
      <c r="KBC68" s="87"/>
      <c r="KBD68" s="87"/>
      <c r="KBE68" s="87"/>
      <c r="KBF68" s="87"/>
      <c r="KBG68" s="87"/>
      <c r="KBH68" s="87"/>
      <c r="KBI68" s="87"/>
      <c r="KBJ68" s="87"/>
      <c r="KBK68" s="87"/>
      <c r="KBL68" s="87"/>
      <c r="KBM68" s="87"/>
      <c r="KBN68" s="87"/>
      <c r="KBO68" s="87"/>
      <c r="KBP68" s="87"/>
      <c r="KBQ68" s="87"/>
      <c r="KBR68" s="87"/>
      <c r="KBS68" s="87"/>
      <c r="KBT68" s="87"/>
      <c r="KBU68" s="87"/>
      <c r="KBV68" s="87"/>
      <c r="KBW68" s="87"/>
      <c r="KBX68" s="87"/>
      <c r="KBY68" s="87"/>
      <c r="KBZ68" s="87"/>
      <c r="KCA68" s="87"/>
      <c r="KCB68" s="87"/>
      <c r="KCC68" s="87"/>
      <c r="KCD68" s="87"/>
      <c r="KCE68" s="87"/>
      <c r="KCF68" s="87"/>
      <c r="KCG68" s="87"/>
      <c r="KCH68" s="87"/>
      <c r="KCI68" s="87"/>
      <c r="KCJ68" s="87"/>
      <c r="KCK68" s="87"/>
      <c r="KCL68" s="87"/>
      <c r="KCM68" s="87"/>
      <c r="KCN68" s="87"/>
      <c r="KCO68" s="87"/>
      <c r="KCP68" s="87"/>
      <c r="KCQ68" s="87"/>
      <c r="KCR68" s="87"/>
      <c r="KCS68" s="87"/>
      <c r="KCT68" s="87"/>
      <c r="KCU68" s="87"/>
      <c r="KCV68" s="87"/>
      <c r="KCW68" s="87"/>
      <c r="KCX68" s="87"/>
      <c r="KCY68" s="87"/>
      <c r="KCZ68" s="87"/>
      <c r="KDA68" s="87"/>
      <c r="KDB68" s="87"/>
      <c r="KDC68" s="87"/>
      <c r="KDD68" s="87"/>
      <c r="KDE68" s="87"/>
      <c r="KDF68" s="87"/>
      <c r="KDG68" s="87"/>
      <c r="KDH68" s="87"/>
      <c r="KDI68" s="87"/>
      <c r="KDJ68" s="87"/>
      <c r="KDK68" s="87"/>
      <c r="KDL68" s="87"/>
      <c r="KDM68" s="87"/>
      <c r="KDN68" s="87"/>
      <c r="KDO68" s="87"/>
      <c r="KDP68" s="87"/>
      <c r="KDQ68" s="87"/>
      <c r="KDR68" s="87"/>
      <c r="KDS68" s="87"/>
      <c r="KDT68" s="87"/>
      <c r="KDU68" s="87"/>
      <c r="KDV68" s="87"/>
      <c r="KDW68" s="87"/>
      <c r="KDX68" s="87"/>
      <c r="KDY68" s="87"/>
      <c r="KDZ68" s="87"/>
      <c r="KEA68" s="87"/>
      <c r="KEB68" s="87"/>
      <c r="KEC68" s="87"/>
      <c r="KED68" s="87"/>
      <c r="KEE68" s="87"/>
      <c r="KEF68" s="87"/>
      <c r="KEG68" s="87"/>
      <c r="KEH68" s="87"/>
      <c r="KEI68" s="87"/>
      <c r="KEJ68" s="87"/>
      <c r="KEK68" s="87"/>
      <c r="KEL68" s="87"/>
      <c r="KEM68" s="87"/>
      <c r="KEN68" s="87"/>
      <c r="KEO68" s="87"/>
      <c r="KEP68" s="87"/>
      <c r="KEQ68" s="87"/>
      <c r="KER68" s="87"/>
      <c r="KES68" s="87"/>
      <c r="KET68" s="87"/>
      <c r="KEU68" s="87"/>
      <c r="KEV68" s="87"/>
      <c r="KEW68" s="87"/>
      <c r="KEX68" s="87"/>
      <c r="KEY68" s="87"/>
      <c r="KEZ68" s="87"/>
      <c r="KFA68" s="87"/>
      <c r="KFB68" s="87"/>
      <c r="KFC68" s="87"/>
      <c r="KFD68" s="87"/>
      <c r="KFE68" s="87"/>
      <c r="KFF68" s="87"/>
      <c r="KFG68" s="87"/>
      <c r="KFH68" s="87"/>
      <c r="KFI68" s="87"/>
      <c r="KFJ68" s="87"/>
      <c r="KFK68" s="87"/>
      <c r="KFL68" s="87"/>
      <c r="KFM68" s="87"/>
      <c r="KFN68" s="87"/>
      <c r="KFO68" s="87"/>
      <c r="KFP68" s="87"/>
      <c r="KFQ68" s="87"/>
      <c r="KFR68" s="87"/>
      <c r="KFS68" s="87"/>
      <c r="KFT68" s="87"/>
      <c r="KFU68" s="87"/>
      <c r="KFV68" s="87"/>
      <c r="KFW68" s="87"/>
      <c r="KFX68" s="87"/>
      <c r="KFY68" s="87"/>
      <c r="KFZ68" s="87"/>
      <c r="KGA68" s="87"/>
      <c r="KGB68" s="87"/>
      <c r="KGC68" s="87"/>
      <c r="KGD68" s="87"/>
      <c r="KGE68" s="87"/>
      <c r="KGF68" s="87"/>
      <c r="KGG68" s="87"/>
      <c r="KGH68" s="87"/>
      <c r="KGI68" s="87"/>
      <c r="KGJ68" s="87"/>
      <c r="KGK68" s="87"/>
      <c r="KGL68" s="87"/>
      <c r="KGM68" s="87"/>
      <c r="KGN68" s="87"/>
      <c r="KGO68" s="87"/>
      <c r="KGP68" s="87"/>
      <c r="KGQ68" s="87"/>
      <c r="KGR68" s="87"/>
      <c r="KGS68" s="87"/>
      <c r="KGT68" s="87"/>
      <c r="KGU68" s="87"/>
      <c r="KGV68" s="87"/>
      <c r="KGW68" s="87"/>
      <c r="KGX68" s="87"/>
      <c r="KGY68" s="87"/>
      <c r="KGZ68" s="87"/>
      <c r="KHA68" s="87"/>
      <c r="KHB68" s="87"/>
      <c r="KHC68" s="87"/>
      <c r="KHD68" s="87"/>
      <c r="KHE68" s="87"/>
      <c r="KHF68" s="87"/>
      <c r="KHG68" s="87"/>
      <c r="KHH68" s="87"/>
      <c r="KHI68" s="87"/>
      <c r="KHJ68" s="87"/>
      <c r="KHK68" s="87"/>
      <c r="KHL68" s="87"/>
      <c r="KHM68" s="87"/>
      <c r="KHN68" s="87"/>
      <c r="KHO68" s="87"/>
      <c r="KHP68" s="87"/>
      <c r="KHQ68" s="87"/>
      <c r="KHR68" s="87"/>
      <c r="KHS68" s="87"/>
      <c r="KHT68" s="87"/>
      <c r="KHU68" s="87"/>
      <c r="KHV68" s="87"/>
      <c r="KHW68" s="87"/>
      <c r="KHX68" s="87"/>
      <c r="KHY68" s="87"/>
      <c r="KHZ68" s="87"/>
      <c r="KIA68" s="87"/>
      <c r="KIB68" s="87"/>
      <c r="KIC68" s="87"/>
      <c r="KID68" s="87"/>
      <c r="KIE68" s="87"/>
      <c r="KIF68" s="87"/>
      <c r="KIG68" s="87"/>
      <c r="KIH68" s="87"/>
      <c r="KII68" s="87"/>
      <c r="KIJ68" s="87"/>
      <c r="KIK68" s="87"/>
      <c r="KIL68" s="87"/>
      <c r="KIM68" s="87"/>
      <c r="KIN68" s="87"/>
      <c r="KIO68" s="87"/>
      <c r="KIP68" s="87"/>
      <c r="KIQ68" s="87"/>
      <c r="KIR68" s="87"/>
      <c r="KIS68" s="87"/>
      <c r="KIT68" s="87"/>
      <c r="KIU68" s="87"/>
      <c r="KIV68" s="87"/>
      <c r="KIW68" s="87"/>
      <c r="KIX68" s="87"/>
      <c r="KIY68" s="87"/>
      <c r="KIZ68" s="87"/>
      <c r="KJA68" s="87"/>
      <c r="KJB68" s="87"/>
      <c r="KJC68" s="87"/>
      <c r="KJD68" s="87"/>
      <c r="KJE68" s="87"/>
      <c r="KJF68" s="87"/>
      <c r="KJG68" s="87"/>
      <c r="KJH68" s="87"/>
      <c r="KJI68" s="87"/>
      <c r="KJJ68" s="87"/>
      <c r="KJK68" s="87"/>
      <c r="KJL68" s="87"/>
      <c r="KJM68" s="87"/>
      <c r="KJN68" s="87"/>
      <c r="KJO68" s="87"/>
      <c r="KJP68" s="87"/>
      <c r="KJQ68" s="87"/>
      <c r="KJR68" s="87"/>
      <c r="KJS68" s="87"/>
      <c r="KJT68" s="87"/>
      <c r="KJU68" s="87"/>
      <c r="KJV68" s="87"/>
      <c r="KJW68" s="87"/>
      <c r="KJX68" s="87"/>
      <c r="KJY68" s="87"/>
      <c r="KJZ68" s="87"/>
      <c r="KKA68" s="87"/>
      <c r="KKB68" s="87"/>
      <c r="KKC68" s="87"/>
      <c r="KKD68" s="87"/>
      <c r="KKE68" s="87"/>
      <c r="KKF68" s="87"/>
      <c r="KKG68" s="87"/>
      <c r="KKH68" s="87"/>
      <c r="KKI68" s="87"/>
      <c r="KKJ68" s="87"/>
      <c r="KKK68" s="87"/>
      <c r="KKL68" s="87"/>
      <c r="KKM68" s="87"/>
      <c r="KKN68" s="87"/>
      <c r="KKO68" s="87"/>
      <c r="KKP68" s="87"/>
      <c r="KKQ68" s="87"/>
      <c r="KKR68" s="87"/>
      <c r="KKS68" s="87"/>
      <c r="KKT68" s="87"/>
      <c r="KKU68" s="87"/>
      <c r="KKV68" s="87"/>
      <c r="KKW68" s="87"/>
      <c r="KKX68" s="87"/>
      <c r="KKY68" s="87"/>
      <c r="KKZ68" s="87"/>
      <c r="KLA68" s="87"/>
      <c r="KLB68" s="87"/>
      <c r="KLC68" s="87"/>
      <c r="KLD68" s="87"/>
      <c r="KLE68" s="87"/>
      <c r="KLF68" s="87"/>
      <c r="KLG68" s="87"/>
      <c r="KLH68" s="87"/>
      <c r="KLI68" s="87"/>
      <c r="KLJ68" s="87"/>
      <c r="KLK68" s="87"/>
      <c r="KLL68" s="87"/>
      <c r="KLM68" s="87"/>
      <c r="KLN68" s="87"/>
      <c r="KLO68" s="87"/>
      <c r="KLP68" s="87"/>
      <c r="KLQ68" s="87"/>
      <c r="KLR68" s="87"/>
      <c r="KLS68" s="87"/>
      <c r="KLT68" s="87"/>
      <c r="KLU68" s="87"/>
      <c r="KLV68" s="87"/>
      <c r="KLW68" s="87"/>
      <c r="KLX68" s="87"/>
      <c r="KLY68" s="87"/>
      <c r="KLZ68" s="87"/>
      <c r="KMA68" s="87"/>
      <c r="KMB68" s="87"/>
      <c r="KMC68" s="87"/>
      <c r="KMD68" s="87"/>
      <c r="KME68" s="87"/>
      <c r="KMF68" s="87"/>
      <c r="KMG68" s="87"/>
      <c r="KMH68" s="87"/>
      <c r="KMI68" s="87"/>
      <c r="KMJ68" s="87"/>
      <c r="KMK68" s="87"/>
      <c r="KML68" s="87"/>
      <c r="KMM68" s="87"/>
      <c r="KMN68" s="87"/>
      <c r="KMO68" s="87"/>
      <c r="KMP68" s="87"/>
      <c r="KMQ68" s="87"/>
      <c r="KMR68" s="87"/>
      <c r="KMS68" s="87"/>
      <c r="KMT68" s="87"/>
      <c r="KMU68" s="87"/>
      <c r="KMV68" s="87"/>
      <c r="KMW68" s="87"/>
      <c r="KMX68" s="87"/>
      <c r="KMY68" s="87"/>
      <c r="KMZ68" s="87"/>
      <c r="KNA68" s="87"/>
      <c r="KNB68" s="87"/>
      <c r="KNC68" s="87"/>
      <c r="KND68" s="87"/>
      <c r="KNE68" s="87"/>
      <c r="KNF68" s="87"/>
      <c r="KNG68" s="87"/>
      <c r="KNH68" s="87"/>
      <c r="KNI68" s="87"/>
      <c r="KNJ68" s="87"/>
      <c r="KNK68" s="87"/>
      <c r="KNL68" s="87"/>
      <c r="KNM68" s="87"/>
      <c r="KNN68" s="87"/>
      <c r="KNO68" s="87"/>
      <c r="KNP68" s="87"/>
      <c r="KNQ68" s="87"/>
      <c r="KNR68" s="87"/>
      <c r="KNS68" s="87"/>
      <c r="KNT68" s="87"/>
      <c r="KNU68" s="87"/>
      <c r="KNV68" s="87"/>
      <c r="KNW68" s="87"/>
      <c r="KNX68" s="87"/>
      <c r="KNY68" s="87"/>
      <c r="KNZ68" s="87"/>
      <c r="KOA68" s="87"/>
      <c r="KOB68" s="87"/>
      <c r="KOC68" s="87"/>
      <c r="KOD68" s="87"/>
      <c r="KOE68" s="87"/>
      <c r="KOF68" s="87"/>
      <c r="KOG68" s="87"/>
      <c r="KOH68" s="87"/>
      <c r="KOI68" s="87"/>
      <c r="KOJ68" s="87"/>
      <c r="KOK68" s="87"/>
      <c r="KOL68" s="87"/>
      <c r="KOM68" s="87"/>
      <c r="KON68" s="87"/>
      <c r="KOO68" s="87"/>
      <c r="KOP68" s="87"/>
      <c r="KOQ68" s="87"/>
      <c r="KOR68" s="87"/>
      <c r="KOS68" s="87"/>
      <c r="KOT68" s="87"/>
      <c r="KOU68" s="87"/>
      <c r="KOV68" s="87"/>
      <c r="KOW68" s="87"/>
      <c r="KOX68" s="87"/>
      <c r="KOY68" s="87"/>
      <c r="KOZ68" s="87"/>
      <c r="KPA68" s="87"/>
      <c r="KPB68" s="87"/>
      <c r="KPC68" s="87"/>
      <c r="KPD68" s="87"/>
      <c r="KPE68" s="87"/>
      <c r="KPF68" s="87"/>
      <c r="KPG68" s="87"/>
      <c r="KPH68" s="87"/>
      <c r="KPI68" s="87"/>
      <c r="KPJ68" s="87"/>
      <c r="KPK68" s="87"/>
      <c r="KPL68" s="87"/>
      <c r="KPM68" s="87"/>
      <c r="KPN68" s="87"/>
      <c r="KPO68" s="87"/>
      <c r="KPP68" s="87"/>
      <c r="KPQ68" s="87"/>
      <c r="KPR68" s="87"/>
      <c r="KPS68" s="87"/>
      <c r="KPT68" s="87"/>
      <c r="KPU68" s="87"/>
      <c r="KPV68" s="87"/>
      <c r="KPW68" s="87"/>
      <c r="KPX68" s="87"/>
      <c r="KPY68" s="87"/>
      <c r="KPZ68" s="87"/>
      <c r="KQA68" s="87"/>
      <c r="KQB68" s="87"/>
      <c r="KQC68" s="87"/>
      <c r="KQD68" s="87"/>
      <c r="KQE68" s="87"/>
      <c r="KQF68" s="87"/>
      <c r="KQG68" s="87"/>
      <c r="KQH68" s="87"/>
      <c r="KQI68" s="87"/>
      <c r="KQJ68" s="87"/>
      <c r="KQK68" s="87"/>
      <c r="KQL68" s="87"/>
      <c r="KQM68" s="87"/>
      <c r="KQN68" s="87"/>
      <c r="KQO68" s="87"/>
      <c r="KQP68" s="87"/>
      <c r="KQQ68" s="87"/>
      <c r="KQR68" s="87"/>
      <c r="KQS68" s="87"/>
      <c r="KQT68" s="87"/>
      <c r="KQU68" s="87"/>
      <c r="KQV68" s="87"/>
      <c r="KQW68" s="87"/>
      <c r="KQX68" s="87"/>
      <c r="KQY68" s="87"/>
      <c r="KQZ68" s="87"/>
      <c r="KRA68" s="87"/>
      <c r="KRB68" s="87"/>
      <c r="KRC68" s="87"/>
      <c r="KRD68" s="87"/>
      <c r="KRE68" s="87"/>
      <c r="KRF68" s="87"/>
      <c r="KRG68" s="87"/>
      <c r="KRH68" s="87"/>
      <c r="KRI68" s="87"/>
      <c r="KRJ68" s="87"/>
      <c r="KRK68" s="87"/>
      <c r="KRL68" s="87"/>
      <c r="KRM68" s="87"/>
      <c r="KRN68" s="87"/>
      <c r="KRO68" s="87"/>
      <c r="KRP68" s="87"/>
      <c r="KRQ68" s="87"/>
      <c r="KRR68" s="87"/>
      <c r="KRS68" s="87"/>
      <c r="KRT68" s="87"/>
      <c r="KRU68" s="87"/>
      <c r="KRV68" s="87"/>
      <c r="KRW68" s="87"/>
      <c r="KRX68" s="87"/>
      <c r="KRY68" s="87"/>
      <c r="KRZ68" s="87"/>
      <c r="KSA68" s="87"/>
      <c r="KSB68" s="87"/>
      <c r="KSC68" s="87"/>
      <c r="KSD68" s="87"/>
      <c r="KSE68" s="87"/>
      <c r="KSF68" s="87"/>
      <c r="KSG68" s="87"/>
      <c r="KSH68" s="87"/>
      <c r="KSI68" s="87"/>
      <c r="KSJ68" s="87"/>
      <c r="KSK68" s="87"/>
      <c r="KSL68" s="87"/>
      <c r="KSM68" s="87"/>
      <c r="KSN68" s="87"/>
      <c r="KSO68" s="87"/>
      <c r="KSP68" s="87"/>
      <c r="KSQ68" s="87"/>
      <c r="KSR68" s="87"/>
      <c r="KSS68" s="87"/>
      <c r="KST68" s="87"/>
      <c r="KSU68" s="87"/>
      <c r="KSV68" s="87"/>
      <c r="KSW68" s="87"/>
      <c r="KSX68" s="87"/>
      <c r="KSY68" s="87"/>
      <c r="KSZ68" s="87"/>
      <c r="KTA68" s="87"/>
      <c r="KTB68" s="87"/>
      <c r="KTC68" s="87"/>
      <c r="KTD68" s="87"/>
      <c r="KTE68" s="87"/>
      <c r="KTF68" s="87"/>
      <c r="KTG68" s="87"/>
      <c r="KTH68" s="87"/>
      <c r="KTI68" s="87"/>
      <c r="KTJ68" s="87"/>
      <c r="KTK68" s="87"/>
      <c r="KTL68" s="87"/>
      <c r="KTM68" s="87"/>
      <c r="KTN68" s="87"/>
      <c r="KTO68" s="87"/>
      <c r="KTP68" s="87"/>
      <c r="KTQ68" s="87"/>
      <c r="KTR68" s="87"/>
      <c r="KTS68" s="87"/>
      <c r="KTT68" s="87"/>
      <c r="KTU68" s="87"/>
      <c r="KTV68" s="87"/>
      <c r="KTW68" s="87"/>
      <c r="KTX68" s="87"/>
      <c r="KTY68" s="87"/>
      <c r="KTZ68" s="87"/>
      <c r="KUA68" s="87"/>
      <c r="KUB68" s="87"/>
      <c r="KUC68" s="87"/>
      <c r="KUD68" s="87"/>
      <c r="KUE68" s="87"/>
      <c r="KUF68" s="87"/>
      <c r="KUG68" s="87"/>
      <c r="KUH68" s="87"/>
      <c r="KUI68" s="87"/>
      <c r="KUJ68" s="87"/>
      <c r="KUK68" s="87"/>
      <c r="KUL68" s="87"/>
      <c r="KUM68" s="87"/>
      <c r="KUN68" s="87"/>
      <c r="KUO68" s="87"/>
      <c r="KUP68" s="87"/>
      <c r="KUQ68" s="87"/>
      <c r="KUR68" s="87"/>
      <c r="KUS68" s="87"/>
      <c r="KUT68" s="87"/>
      <c r="KUU68" s="87"/>
      <c r="KUV68" s="87"/>
      <c r="KUW68" s="87"/>
      <c r="KUX68" s="87"/>
      <c r="KUY68" s="87"/>
      <c r="KUZ68" s="87"/>
      <c r="KVA68" s="87"/>
      <c r="KVB68" s="87"/>
      <c r="KVC68" s="87"/>
      <c r="KVD68" s="87"/>
      <c r="KVE68" s="87"/>
      <c r="KVF68" s="87"/>
      <c r="KVG68" s="87"/>
      <c r="KVH68" s="87"/>
      <c r="KVI68" s="87"/>
      <c r="KVJ68" s="87"/>
      <c r="KVK68" s="87"/>
      <c r="KVL68" s="87"/>
      <c r="KVM68" s="87"/>
      <c r="KVN68" s="87"/>
      <c r="KVO68" s="87"/>
      <c r="KVP68" s="87"/>
      <c r="KVQ68" s="87"/>
      <c r="KVR68" s="87"/>
      <c r="KVS68" s="87"/>
      <c r="KVT68" s="87"/>
      <c r="KVU68" s="87"/>
      <c r="KVV68" s="87"/>
      <c r="KVW68" s="87"/>
      <c r="KVX68" s="87"/>
      <c r="KVY68" s="87"/>
      <c r="KVZ68" s="87"/>
      <c r="KWA68" s="87"/>
      <c r="KWB68" s="87"/>
      <c r="KWC68" s="87"/>
      <c r="KWD68" s="87"/>
      <c r="KWE68" s="87"/>
      <c r="KWF68" s="87"/>
      <c r="KWG68" s="87"/>
      <c r="KWH68" s="87"/>
      <c r="KWI68" s="87"/>
      <c r="KWJ68" s="87"/>
      <c r="KWK68" s="87"/>
      <c r="KWL68" s="87"/>
      <c r="KWM68" s="87"/>
      <c r="KWN68" s="87"/>
      <c r="KWO68" s="87"/>
      <c r="KWP68" s="87"/>
      <c r="KWQ68" s="87"/>
      <c r="KWR68" s="87"/>
      <c r="KWS68" s="87"/>
      <c r="KWT68" s="87"/>
      <c r="KWU68" s="87"/>
      <c r="KWV68" s="87"/>
      <c r="KWW68" s="87"/>
      <c r="KWX68" s="87"/>
      <c r="KWY68" s="87"/>
      <c r="KWZ68" s="87"/>
      <c r="KXA68" s="87"/>
      <c r="KXB68" s="87"/>
      <c r="KXC68" s="87"/>
      <c r="KXD68" s="87"/>
      <c r="KXE68" s="87"/>
      <c r="KXF68" s="87"/>
      <c r="KXG68" s="87"/>
      <c r="KXH68" s="87"/>
      <c r="KXI68" s="87"/>
      <c r="KXJ68" s="87"/>
      <c r="KXK68" s="87"/>
      <c r="KXL68" s="87"/>
      <c r="KXM68" s="87"/>
      <c r="KXN68" s="87"/>
      <c r="KXO68" s="87"/>
      <c r="KXP68" s="87"/>
      <c r="KXQ68" s="87"/>
      <c r="KXR68" s="87"/>
      <c r="KXS68" s="87"/>
      <c r="KXT68" s="87"/>
      <c r="KXU68" s="87"/>
      <c r="KXV68" s="87"/>
      <c r="KXW68" s="87"/>
      <c r="KXX68" s="87"/>
      <c r="KXY68" s="87"/>
      <c r="KXZ68" s="87"/>
      <c r="KYA68" s="87"/>
      <c r="KYB68" s="87"/>
      <c r="KYC68" s="87"/>
      <c r="KYD68" s="87"/>
      <c r="KYE68" s="87"/>
      <c r="KYF68" s="87"/>
      <c r="KYG68" s="87"/>
      <c r="KYH68" s="87"/>
      <c r="KYI68" s="87"/>
      <c r="KYJ68" s="87"/>
      <c r="KYK68" s="87"/>
      <c r="KYL68" s="87"/>
      <c r="KYM68" s="87"/>
      <c r="KYN68" s="87"/>
      <c r="KYO68" s="87"/>
      <c r="KYP68" s="87"/>
      <c r="KYQ68" s="87"/>
      <c r="KYR68" s="87"/>
      <c r="KYS68" s="87"/>
      <c r="KYT68" s="87"/>
      <c r="KYU68" s="87"/>
      <c r="KYV68" s="87"/>
      <c r="KYW68" s="87"/>
      <c r="KYX68" s="87"/>
      <c r="KYY68" s="87"/>
      <c r="KYZ68" s="87"/>
      <c r="KZA68" s="87"/>
      <c r="KZB68" s="87"/>
      <c r="KZC68" s="87"/>
      <c r="KZD68" s="87"/>
      <c r="KZE68" s="87"/>
      <c r="KZF68" s="87"/>
      <c r="KZG68" s="87"/>
      <c r="KZH68" s="87"/>
      <c r="KZI68" s="87"/>
      <c r="KZJ68" s="87"/>
      <c r="KZK68" s="87"/>
      <c r="KZL68" s="87"/>
      <c r="KZM68" s="87"/>
      <c r="KZN68" s="87"/>
      <c r="KZO68" s="87"/>
      <c r="KZP68" s="87"/>
      <c r="KZQ68" s="87"/>
      <c r="KZR68" s="87"/>
      <c r="KZS68" s="87"/>
      <c r="KZT68" s="87"/>
      <c r="KZU68" s="87"/>
      <c r="KZV68" s="87"/>
      <c r="KZW68" s="87"/>
      <c r="KZX68" s="87"/>
      <c r="KZY68" s="87"/>
      <c r="KZZ68" s="87"/>
      <c r="LAA68" s="87"/>
      <c r="LAB68" s="87"/>
      <c r="LAC68" s="87"/>
      <c r="LAD68" s="87"/>
      <c r="LAE68" s="87"/>
      <c r="LAF68" s="87"/>
      <c r="LAG68" s="87"/>
      <c r="LAH68" s="87"/>
      <c r="LAI68" s="87"/>
      <c r="LAJ68" s="87"/>
      <c r="LAK68" s="87"/>
      <c r="LAL68" s="87"/>
      <c r="LAM68" s="87"/>
      <c r="LAN68" s="87"/>
      <c r="LAO68" s="87"/>
      <c r="LAP68" s="87"/>
      <c r="LAQ68" s="87"/>
      <c r="LAR68" s="87"/>
      <c r="LAS68" s="87"/>
      <c r="LAT68" s="87"/>
      <c r="LAU68" s="87"/>
      <c r="LAV68" s="87"/>
      <c r="LAW68" s="87"/>
      <c r="LAX68" s="87"/>
      <c r="LAY68" s="87"/>
      <c r="LAZ68" s="87"/>
      <c r="LBA68" s="87"/>
      <c r="LBB68" s="87"/>
      <c r="LBC68" s="87"/>
      <c r="LBD68" s="87"/>
      <c r="LBE68" s="87"/>
      <c r="LBF68" s="87"/>
      <c r="LBG68" s="87"/>
      <c r="LBH68" s="87"/>
      <c r="LBI68" s="87"/>
      <c r="LBJ68" s="87"/>
      <c r="LBK68" s="87"/>
      <c r="LBL68" s="87"/>
      <c r="LBM68" s="87"/>
      <c r="LBN68" s="87"/>
      <c r="LBO68" s="87"/>
      <c r="LBP68" s="87"/>
      <c r="LBQ68" s="87"/>
      <c r="LBR68" s="87"/>
      <c r="LBS68" s="87"/>
      <c r="LBT68" s="87"/>
      <c r="LBU68" s="87"/>
      <c r="LBV68" s="87"/>
      <c r="LBW68" s="87"/>
      <c r="LBX68" s="87"/>
      <c r="LBY68" s="87"/>
      <c r="LBZ68" s="87"/>
      <c r="LCA68" s="87"/>
      <c r="LCB68" s="87"/>
      <c r="LCC68" s="87"/>
      <c r="LCD68" s="87"/>
      <c r="LCE68" s="87"/>
      <c r="LCF68" s="87"/>
      <c r="LCG68" s="87"/>
      <c r="LCH68" s="87"/>
      <c r="LCI68" s="87"/>
      <c r="LCJ68" s="87"/>
      <c r="LCK68" s="87"/>
      <c r="LCL68" s="87"/>
      <c r="LCM68" s="87"/>
      <c r="LCN68" s="87"/>
      <c r="LCO68" s="87"/>
      <c r="LCP68" s="87"/>
      <c r="LCQ68" s="87"/>
      <c r="LCR68" s="87"/>
      <c r="LCS68" s="87"/>
      <c r="LCT68" s="87"/>
      <c r="LCU68" s="87"/>
      <c r="LCV68" s="87"/>
      <c r="LCW68" s="87"/>
      <c r="LCX68" s="87"/>
      <c r="LCY68" s="87"/>
      <c r="LCZ68" s="87"/>
      <c r="LDA68" s="87"/>
      <c r="LDB68" s="87"/>
      <c r="LDC68" s="87"/>
      <c r="LDD68" s="87"/>
      <c r="LDE68" s="87"/>
      <c r="LDF68" s="87"/>
      <c r="LDG68" s="87"/>
      <c r="LDH68" s="87"/>
      <c r="LDI68" s="87"/>
      <c r="LDJ68" s="87"/>
      <c r="LDK68" s="87"/>
      <c r="LDL68" s="87"/>
      <c r="LDM68" s="87"/>
      <c r="LDN68" s="87"/>
      <c r="LDO68" s="87"/>
      <c r="LDP68" s="87"/>
      <c r="LDQ68" s="87"/>
      <c r="LDR68" s="87"/>
      <c r="LDS68" s="87"/>
      <c r="LDT68" s="87"/>
      <c r="LDU68" s="87"/>
      <c r="LDV68" s="87"/>
      <c r="LDW68" s="87"/>
      <c r="LDX68" s="87"/>
      <c r="LDY68" s="87"/>
      <c r="LDZ68" s="87"/>
      <c r="LEA68" s="87"/>
      <c r="LEB68" s="87"/>
      <c r="LEC68" s="87"/>
      <c r="LED68" s="87"/>
      <c r="LEE68" s="87"/>
      <c r="LEF68" s="87"/>
      <c r="LEG68" s="87"/>
      <c r="LEH68" s="87"/>
      <c r="LEI68" s="87"/>
      <c r="LEJ68" s="87"/>
      <c r="LEK68" s="87"/>
      <c r="LEL68" s="87"/>
      <c r="LEM68" s="87"/>
      <c r="LEN68" s="87"/>
      <c r="LEO68" s="87"/>
      <c r="LEP68" s="87"/>
      <c r="LEQ68" s="87"/>
      <c r="LER68" s="87"/>
      <c r="LES68" s="87"/>
      <c r="LET68" s="87"/>
      <c r="LEU68" s="87"/>
      <c r="LEV68" s="87"/>
      <c r="LEW68" s="87"/>
      <c r="LEX68" s="87"/>
      <c r="LEY68" s="87"/>
      <c r="LEZ68" s="87"/>
      <c r="LFA68" s="87"/>
      <c r="LFB68" s="87"/>
      <c r="LFC68" s="87"/>
      <c r="LFD68" s="87"/>
      <c r="LFE68" s="87"/>
      <c r="LFF68" s="87"/>
      <c r="LFG68" s="87"/>
      <c r="LFH68" s="87"/>
      <c r="LFI68" s="87"/>
      <c r="LFJ68" s="87"/>
      <c r="LFK68" s="87"/>
      <c r="LFL68" s="87"/>
      <c r="LFM68" s="87"/>
      <c r="LFN68" s="87"/>
      <c r="LFO68" s="87"/>
      <c r="LFP68" s="87"/>
      <c r="LFQ68" s="87"/>
      <c r="LFR68" s="87"/>
      <c r="LFS68" s="87"/>
      <c r="LFT68" s="87"/>
      <c r="LFU68" s="87"/>
      <c r="LFV68" s="87"/>
      <c r="LFW68" s="87"/>
      <c r="LFX68" s="87"/>
      <c r="LFY68" s="87"/>
      <c r="LFZ68" s="87"/>
      <c r="LGA68" s="87"/>
      <c r="LGB68" s="87"/>
      <c r="LGC68" s="87"/>
      <c r="LGD68" s="87"/>
      <c r="LGE68" s="87"/>
      <c r="LGF68" s="87"/>
      <c r="LGG68" s="87"/>
      <c r="LGH68" s="87"/>
      <c r="LGI68" s="87"/>
      <c r="LGJ68" s="87"/>
      <c r="LGK68" s="87"/>
      <c r="LGL68" s="87"/>
      <c r="LGM68" s="87"/>
      <c r="LGN68" s="87"/>
      <c r="LGO68" s="87"/>
      <c r="LGP68" s="87"/>
      <c r="LGQ68" s="87"/>
      <c r="LGR68" s="87"/>
      <c r="LGS68" s="87"/>
      <c r="LGT68" s="87"/>
      <c r="LGU68" s="87"/>
      <c r="LGV68" s="87"/>
      <c r="LGW68" s="87"/>
      <c r="LGX68" s="87"/>
      <c r="LGY68" s="87"/>
      <c r="LGZ68" s="87"/>
      <c r="LHA68" s="87"/>
      <c r="LHB68" s="87"/>
      <c r="LHC68" s="87"/>
      <c r="LHD68" s="87"/>
      <c r="LHE68" s="87"/>
      <c r="LHF68" s="87"/>
      <c r="LHG68" s="87"/>
      <c r="LHH68" s="87"/>
      <c r="LHI68" s="87"/>
      <c r="LHJ68" s="87"/>
      <c r="LHK68" s="87"/>
      <c r="LHL68" s="87"/>
      <c r="LHM68" s="87"/>
      <c r="LHN68" s="87"/>
      <c r="LHO68" s="87"/>
      <c r="LHP68" s="87"/>
      <c r="LHQ68" s="87"/>
      <c r="LHR68" s="87"/>
      <c r="LHS68" s="87"/>
      <c r="LHT68" s="87"/>
      <c r="LHU68" s="87"/>
      <c r="LHV68" s="87"/>
      <c r="LHW68" s="87"/>
      <c r="LHX68" s="87"/>
      <c r="LHY68" s="87"/>
      <c r="LHZ68" s="87"/>
      <c r="LIA68" s="87"/>
      <c r="LIB68" s="87"/>
      <c r="LIC68" s="87"/>
      <c r="LID68" s="87"/>
      <c r="LIE68" s="87"/>
      <c r="LIF68" s="87"/>
      <c r="LIG68" s="87"/>
      <c r="LIH68" s="87"/>
      <c r="LII68" s="87"/>
      <c r="LIJ68" s="87"/>
      <c r="LIK68" s="87"/>
      <c r="LIL68" s="87"/>
      <c r="LIM68" s="87"/>
      <c r="LIN68" s="87"/>
      <c r="LIO68" s="87"/>
      <c r="LIP68" s="87"/>
      <c r="LIQ68" s="87"/>
      <c r="LIR68" s="87"/>
      <c r="LIS68" s="87"/>
      <c r="LIT68" s="87"/>
      <c r="LIU68" s="87"/>
      <c r="LIV68" s="87"/>
      <c r="LIW68" s="87"/>
      <c r="LIX68" s="87"/>
      <c r="LIY68" s="87"/>
      <c r="LIZ68" s="87"/>
      <c r="LJA68" s="87"/>
      <c r="LJB68" s="87"/>
      <c r="LJC68" s="87"/>
      <c r="LJD68" s="87"/>
      <c r="LJE68" s="87"/>
      <c r="LJF68" s="87"/>
      <c r="LJG68" s="87"/>
      <c r="LJH68" s="87"/>
      <c r="LJI68" s="87"/>
      <c r="LJJ68" s="87"/>
      <c r="LJK68" s="87"/>
      <c r="LJL68" s="87"/>
      <c r="LJM68" s="87"/>
      <c r="LJN68" s="87"/>
      <c r="LJO68" s="87"/>
      <c r="LJP68" s="87"/>
      <c r="LJQ68" s="87"/>
      <c r="LJR68" s="87"/>
      <c r="LJS68" s="87"/>
      <c r="LJT68" s="87"/>
      <c r="LJU68" s="87"/>
      <c r="LJV68" s="87"/>
      <c r="LJW68" s="87"/>
      <c r="LJX68" s="87"/>
      <c r="LJY68" s="87"/>
      <c r="LJZ68" s="87"/>
      <c r="LKA68" s="87"/>
      <c r="LKB68" s="87"/>
      <c r="LKC68" s="87"/>
      <c r="LKD68" s="87"/>
      <c r="LKE68" s="87"/>
      <c r="LKF68" s="87"/>
      <c r="LKG68" s="87"/>
      <c r="LKH68" s="87"/>
      <c r="LKI68" s="87"/>
      <c r="LKJ68" s="87"/>
      <c r="LKK68" s="87"/>
      <c r="LKL68" s="87"/>
      <c r="LKM68" s="87"/>
      <c r="LKN68" s="87"/>
      <c r="LKO68" s="87"/>
      <c r="LKP68" s="87"/>
      <c r="LKQ68" s="87"/>
      <c r="LKR68" s="87"/>
      <c r="LKS68" s="87"/>
      <c r="LKT68" s="87"/>
      <c r="LKU68" s="87"/>
      <c r="LKV68" s="87"/>
      <c r="LKW68" s="87"/>
      <c r="LKX68" s="87"/>
      <c r="LKY68" s="87"/>
      <c r="LKZ68" s="87"/>
      <c r="LLA68" s="87"/>
      <c r="LLB68" s="87"/>
      <c r="LLC68" s="87"/>
      <c r="LLD68" s="87"/>
      <c r="LLE68" s="87"/>
      <c r="LLF68" s="87"/>
      <c r="LLG68" s="87"/>
      <c r="LLH68" s="87"/>
      <c r="LLI68" s="87"/>
      <c r="LLJ68" s="87"/>
      <c r="LLK68" s="87"/>
      <c r="LLL68" s="87"/>
      <c r="LLM68" s="87"/>
      <c r="LLN68" s="87"/>
      <c r="LLO68" s="87"/>
      <c r="LLP68" s="87"/>
      <c r="LLQ68" s="87"/>
      <c r="LLR68" s="87"/>
      <c r="LLS68" s="87"/>
      <c r="LLT68" s="87"/>
      <c r="LLU68" s="87"/>
      <c r="LLV68" s="87"/>
      <c r="LLW68" s="87"/>
      <c r="LLX68" s="87"/>
      <c r="LLY68" s="87"/>
      <c r="LLZ68" s="87"/>
      <c r="LMA68" s="87"/>
      <c r="LMB68" s="87"/>
      <c r="LMC68" s="87"/>
      <c r="LMD68" s="87"/>
      <c r="LME68" s="87"/>
      <c r="LMF68" s="87"/>
      <c r="LMG68" s="87"/>
      <c r="LMH68" s="87"/>
      <c r="LMI68" s="87"/>
      <c r="LMJ68" s="87"/>
      <c r="LMK68" s="87"/>
      <c r="LML68" s="87"/>
      <c r="LMM68" s="87"/>
      <c r="LMN68" s="87"/>
      <c r="LMO68" s="87"/>
      <c r="LMP68" s="87"/>
      <c r="LMQ68" s="87"/>
      <c r="LMR68" s="87"/>
      <c r="LMS68" s="87"/>
      <c r="LMT68" s="87"/>
      <c r="LMU68" s="87"/>
      <c r="LMV68" s="87"/>
      <c r="LMW68" s="87"/>
      <c r="LMX68" s="87"/>
      <c r="LMY68" s="87"/>
      <c r="LMZ68" s="87"/>
      <c r="LNA68" s="87"/>
      <c r="LNB68" s="87"/>
      <c r="LNC68" s="87"/>
      <c r="LND68" s="87"/>
      <c r="LNE68" s="87"/>
      <c r="LNF68" s="87"/>
      <c r="LNG68" s="87"/>
      <c r="LNH68" s="87"/>
      <c r="LNI68" s="87"/>
      <c r="LNJ68" s="87"/>
      <c r="LNK68" s="87"/>
      <c r="LNL68" s="87"/>
      <c r="LNM68" s="87"/>
      <c r="LNN68" s="87"/>
      <c r="LNO68" s="87"/>
      <c r="LNP68" s="87"/>
      <c r="LNQ68" s="87"/>
      <c r="LNR68" s="87"/>
      <c r="LNS68" s="87"/>
      <c r="LNT68" s="87"/>
      <c r="LNU68" s="87"/>
      <c r="LNV68" s="87"/>
      <c r="LNW68" s="87"/>
      <c r="LNX68" s="87"/>
      <c r="LNY68" s="87"/>
      <c r="LNZ68" s="87"/>
      <c r="LOA68" s="87"/>
      <c r="LOB68" s="87"/>
      <c r="LOC68" s="87"/>
      <c r="LOD68" s="87"/>
      <c r="LOE68" s="87"/>
      <c r="LOF68" s="87"/>
      <c r="LOG68" s="87"/>
      <c r="LOH68" s="87"/>
      <c r="LOI68" s="87"/>
      <c r="LOJ68" s="87"/>
      <c r="LOK68" s="87"/>
      <c r="LOL68" s="87"/>
      <c r="LOM68" s="87"/>
      <c r="LON68" s="87"/>
      <c r="LOO68" s="87"/>
      <c r="LOP68" s="87"/>
      <c r="LOQ68" s="87"/>
      <c r="LOR68" s="87"/>
      <c r="LOS68" s="87"/>
      <c r="LOT68" s="87"/>
      <c r="LOU68" s="87"/>
      <c r="LOV68" s="87"/>
      <c r="LOW68" s="87"/>
      <c r="LOX68" s="87"/>
      <c r="LOY68" s="87"/>
      <c r="LOZ68" s="87"/>
      <c r="LPA68" s="87"/>
      <c r="LPB68" s="87"/>
      <c r="LPC68" s="87"/>
      <c r="LPD68" s="87"/>
      <c r="LPE68" s="87"/>
      <c r="LPF68" s="87"/>
      <c r="LPG68" s="87"/>
      <c r="LPH68" s="87"/>
      <c r="LPI68" s="87"/>
      <c r="LPJ68" s="87"/>
      <c r="LPK68" s="87"/>
      <c r="LPL68" s="87"/>
      <c r="LPM68" s="87"/>
      <c r="LPN68" s="87"/>
      <c r="LPO68" s="87"/>
      <c r="LPP68" s="87"/>
      <c r="LPQ68" s="87"/>
      <c r="LPR68" s="87"/>
      <c r="LPS68" s="87"/>
      <c r="LPT68" s="87"/>
      <c r="LPU68" s="87"/>
      <c r="LPV68" s="87"/>
      <c r="LPW68" s="87"/>
      <c r="LPX68" s="87"/>
      <c r="LPY68" s="87"/>
      <c r="LPZ68" s="87"/>
      <c r="LQA68" s="87"/>
      <c r="LQB68" s="87"/>
      <c r="LQC68" s="87"/>
      <c r="LQD68" s="87"/>
      <c r="LQE68" s="87"/>
      <c r="LQF68" s="87"/>
      <c r="LQG68" s="87"/>
      <c r="LQH68" s="87"/>
      <c r="LQI68" s="87"/>
      <c r="LQJ68" s="87"/>
      <c r="LQK68" s="87"/>
      <c r="LQL68" s="87"/>
      <c r="LQM68" s="87"/>
      <c r="LQN68" s="87"/>
      <c r="LQO68" s="87"/>
      <c r="LQP68" s="87"/>
      <c r="LQQ68" s="87"/>
      <c r="LQR68" s="87"/>
      <c r="LQS68" s="87"/>
      <c r="LQT68" s="87"/>
      <c r="LQU68" s="87"/>
      <c r="LQV68" s="87"/>
      <c r="LQW68" s="87"/>
      <c r="LQX68" s="87"/>
      <c r="LQY68" s="87"/>
      <c r="LQZ68" s="87"/>
      <c r="LRA68" s="87"/>
      <c r="LRB68" s="87"/>
      <c r="LRC68" s="87"/>
      <c r="LRD68" s="87"/>
      <c r="LRE68" s="87"/>
      <c r="LRF68" s="87"/>
      <c r="LRG68" s="87"/>
      <c r="LRH68" s="87"/>
      <c r="LRI68" s="87"/>
      <c r="LRJ68" s="87"/>
      <c r="LRK68" s="87"/>
      <c r="LRL68" s="87"/>
      <c r="LRM68" s="87"/>
      <c r="LRN68" s="87"/>
      <c r="LRO68" s="87"/>
      <c r="LRP68" s="87"/>
      <c r="LRQ68" s="87"/>
      <c r="LRR68" s="87"/>
      <c r="LRS68" s="87"/>
      <c r="LRT68" s="87"/>
      <c r="LRU68" s="87"/>
      <c r="LRV68" s="87"/>
      <c r="LRW68" s="87"/>
      <c r="LRX68" s="87"/>
      <c r="LRY68" s="87"/>
      <c r="LRZ68" s="87"/>
      <c r="LSA68" s="87"/>
      <c r="LSB68" s="87"/>
      <c r="LSC68" s="87"/>
      <c r="LSD68" s="87"/>
      <c r="LSE68" s="87"/>
      <c r="LSF68" s="87"/>
      <c r="LSG68" s="87"/>
      <c r="LSH68" s="87"/>
      <c r="LSI68" s="87"/>
      <c r="LSJ68" s="87"/>
      <c r="LSK68" s="87"/>
      <c r="LSL68" s="87"/>
      <c r="LSM68" s="87"/>
      <c r="LSN68" s="87"/>
      <c r="LSO68" s="87"/>
      <c r="LSP68" s="87"/>
      <c r="LSQ68" s="87"/>
      <c r="LSR68" s="87"/>
      <c r="LSS68" s="87"/>
      <c r="LST68" s="87"/>
      <c r="LSU68" s="87"/>
      <c r="LSV68" s="87"/>
      <c r="LSW68" s="87"/>
      <c r="LSX68" s="87"/>
      <c r="LSY68" s="87"/>
      <c r="LSZ68" s="87"/>
      <c r="LTA68" s="87"/>
      <c r="LTB68" s="87"/>
      <c r="LTC68" s="87"/>
      <c r="LTD68" s="87"/>
      <c r="LTE68" s="87"/>
      <c r="LTF68" s="87"/>
      <c r="LTG68" s="87"/>
      <c r="LTH68" s="87"/>
      <c r="LTI68" s="87"/>
      <c r="LTJ68" s="87"/>
      <c r="LTK68" s="87"/>
      <c r="LTL68" s="87"/>
      <c r="LTM68" s="87"/>
      <c r="LTN68" s="87"/>
      <c r="LTO68" s="87"/>
      <c r="LTP68" s="87"/>
      <c r="LTQ68" s="87"/>
      <c r="LTR68" s="87"/>
      <c r="LTS68" s="87"/>
      <c r="LTT68" s="87"/>
      <c r="LTU68" s="87"/>
      <c r="LTV68" s="87"/>
      <c r="LTW68" s="87"/>
      <c r="LTX68" s="87"/>
      <c r="LTY68" s="87"/>
      <c r="LTZ68" s="87"/>
      <c r="LUA68" s="87"/>
      <c r="LUB68" s="87"/>
      <c r="LUC68" s="87"/>
      <c r="LUD68" s="87"/>
      <c r="LUE68" s="87"/>
      <c r="LUF68" s="87"/>
      <c r="LUG68" s="87"/>
      <c r="LUH68" s="87"/>
      <c r="LUI68" s="87"/>
      <c r="LUJ68" s="87"/>
      <c r="LUK68" s="87"/>
      <c r="LUL68" s="87"/>
      <c r="LUM68" s="87"/>
      <c r="LUN68" s="87"/>
      <c r="LUO68" s="87"/>
      <c r="LUP68" s="87"/>
      <c r="LUQ68" s="87"/>
      <c r="LUR68" s="87"/>
      <c r="LUS68" s="87"/>
      <c r="LUT68" s="87"/>
      <c r="LUU68" s="87"/>
      <c r="LUV68" s="87"/>
      <c r="LUW68" s="87"/>
      <c r="LUX68" s="87"/>
      <c r="LUY68" s="87"/>
      <c r="LUZ68" s="87"/>
      <c r="LVA68" s="87"/>
      <c r="LVB68" s="87"/>
      <c r="LVC68" s="87"/>
      <c r="LVD68" s="87"/>
      <c r="LVE68" s="87"/>
      <c r="LVF68" s="87"/>
      <c r="LVG68" s="87"/>
      <c r="LVH68" s="87"/>
      <c r="LVI68" s="87"/>
      <c r="LVJ68" s="87"/>
      <c r="LVK68" s="87"/>
      <c r="LVL68" s="87"/>
      <c r="LVM68" s="87"/>
      <c r="LVN68" s="87"/>
      <c r="LVO68" s="87"/>
      <c r="LVP68" s="87"/>
      <c r="LVQ68" s="87"/>
      <c r="LVR68" s="87"/>
      <c r="LVS68" s="87"/>
      <c r="LVT68" s="87"/>
      <c r="LVU68" s="87"/>
      <c r="LVV68" s="87"/>
      <c r="LVW68" s="87"/>
      <c r="LVX68" s="87"/>
      <c r="LVY68" s="87"/>
      <c r="LVZ68" s="87"/>
      <c r="LWA68" s="87"/>
      <c r="LWB68" s="87"/>
      <c r="LWC68" s="87"/>
      <c r="LWD68" s="87"/>
      <c r="LWE68" s="87"/>
      <c r="LWF68" s="87"/>
      <c r="LWG68" s="87"/>
      <c r="LWH68" s="87"/>
      <c r="LWI68" s="87"/>
      <c r="LWJ68" s="87"/>
      <c r="LWK68" s="87"/>
      <c r="LWL68" s="87"/>
      <c r="LWM68" s="87"/>
      <c r="LWN68" s="87"/>
      <c r="LWO68" s="87"/>
      <c r="LWP68" s="87"/>
      <c r="LWQ68" s="87"/>
      <c r="LWR68" s="87"/>
      <c r="LWS68" s="87"/>
      <c r="LWT68" s="87"/>
      <c r="LWU68" s="87"/>
      <c r="LWV68" s="87"/>
      <c r="LWW68" s="87"/>
      <c r="LWX68" s="87"/>
      <c r="LWY68" s="87"/>
      <c r="LWZ68" s="87"/>
      <c r="LXA68" s="87"/>
      <c r="LXB68" s="87"/>
      <c r="LXC68" s="87"/>
      <c r="LXD68" s="87"/>
      <c r="LXE68" s="87"/>
      <c r="LXF68" s="87"/>
      <c r="LXG68" s="87"/>
      <c r="LXH68" s="87"/>
      <c r="LXI68" s="87"/>
      <c r="LXJ68" s="87"/>
      <c r="LXK68" s="87"/>
      <c r="LXL68" s="87"/>
      <c r="LXM68" s="87"/>
      <c r="LXN68" s="87"/>
      <c r="LXO68" s="87"/>
      <c r="LXP68" s="87"/>
      <c r="LXQ68" s="87"/>
      <c r="LXR68" s="87"/>
      <c r="LXS68" s="87"/>
      <c r="LXT68" s="87"/>
      <c r="LXU68" s="87"/>
      <c r="LXV68" s="87"/>
      <c r="LXW68" s="87"/>
      <c r="LXX68" s="87"/>
      <c r="LXY68" s="87"/>
      <c r="LXZ68" s="87"/>
      <c r="LYA68" s="87"/>
      <c r="LYB68" s="87"/>
      <c r="LYC68" s="87"/>
      <c r="LYD68" s="87"/>
      <c r="LYE68" s="87"/>
      <c r="LYF68" s="87"/>
      <c r="LYG68" s="87"/>
      <c r="LYH68" s="87"/>
      <c r="LYI68" s="87"/>
      <c r="LYJ68" s="87"/>
      <c r="LYK68" s="87"/>
      <c r="LYL68" s="87"/>
      <c r="LYM68" s="87"/>
      <c r="LYN68" s="87"/>
      <c r="LYO68" s="87"/>
      <c r="LYP68" s="87"/>
      <c r="LYQ68" s="87"/>
      <c r="LYR68" s="87"/>
      <c r="LYS68" s="87"/>
      <c r="LYT68" s="87"/>
      <c r="LYU68" s="87"/>
      <c r="LYV68" s="87"/>
      <c r="LYW68" s="87"/>
      <c r="LYX68" s="87"/>
      <c r="LYY68" s="87"/>
      <c r="LYZ68" s="87"/>
      <c r="LZA68" s="87"/>
      <c r="LZB68" s="87"/>
      <c r="LZC68" s="87"/>
      <c r="LZD68" s="87"/>
      <c r="LZE68" s="87"/>
      <c r="LZF68" s="87"/>
      <c r="LZG68" s="87"/>
      <c r="LZH68" s="87"/>
      <c r="LZI68" s="87"/>
      <c r="LZJ68" s="87"/>
      <c r="LZK68" s="87"/>
      <c r="LZL68" s="87"/>
      <c r="LZM68" s="87"/>
      <c r="LZN68" s="87"/>
      <c r="LZO68" s="87"/>
      <c r="LZP68" s="87"/>
      <c r="LZQ68" s="87"/>
      <c r="LZR68" s="87"/>
      <c r="LZS68" s="87"/>
      <c r="LZT68" s="87"/>
      <c r="LZU68" s="87"/>
      <c r="LZV68" s="87"/>
      <c r="LZW68" s="87"/>
      <c r="LZX68" s="87"/>
      <c r="LZY68" s="87"/>
      <c r="LZZ68" s="87"/>
      <c r="MAA68" s="87"/>
      <c r="MAB68" s="87"/>
      <c r="MAC68" s="87"/>
      <c r="MAD68" s="87"/>
      <c r="MAE68" s="87"/>
      <c r="MAF68" s="87"/>
      <c r="MAG68" s="87"/>
      <c r="MAH68" s="87"/>
      <c r="MAI68" s="87"/>
      <c r="MAJ68" s="87"/>
      <c r="MAK68" s="87"/>
      <c r="MAL68" s="87"/>
      <c r="MAM68" s="87"/>
      <c r="MAN68" s="87"/>
      <c r="MAO68" s="87"/>
      <c r="MAP68" s="87"/>
      <c r="MAQ68" s="87"/>
      <c r="MAR68" s="87"/>
      <c r="MAS68" s="87"/>
      <c r="MAT68" s="87"/>
      <c r="MAU68" s="87"/>
      <c r="MAV68" s="87"/>
      <c r="MAW68" s="87"/>
      <c r="MAX68" s="87"/>
      <c r="MAY68" s="87"/>
      <c r="MAZ68" s="87"/>
      <c r="MBA68" s="87"/>
      <c r="MBB68" s="87"/>
      <c r="MBC68" s="87"/>
      <c r="MBD68" s="87"/>
      <c r="MBE68" s="87"/>
      <c r="MBF68" s="87"/>
      <c r="MBG68" s="87"/>
      <c r="MBH68" s="87"/>
      <c r="MBI68" s="87"/>
      <c r="MBJ68" s="87"/>
      <c r="MBK68" s="87"/>
      <c r="MBL68" s="87"/>
      <c r="MBM68" s="87"/>
      <c r="MBN68" s="87"/>
      <c r="MBO68" s="87"/>
      <c r="MBP68" s="87"/>
      <c r="MBQ68" s="87"/>
      <c r="MBR68" s="87"/>
      <c r="MBS68" s="87"/>
      <c r="MBT68" s="87"/>
      <c r="MBU68" s="87"/>
      <c r="MBV68" s="87"/>
      <c r="MBW68" s="87"/>
      <c r="MBX68" s="87"/>
      <c r="MBY68" s="87"/>
      <c r="MBZ68" s="87"/>
      <c r="MCA68" s="87"/>
      <c r="MCB68" s="87"/>
      <c r="MCC68" s="87"/>
      <c r="MCD68" s="87"/>
      <c r="MCE68" s="87"/>
      <c r="MCF68" s="87"/>
      <c r="MCG68" s="87"/>
      <c r="MCH68" s="87"/>
      <c r="MCI68" s="87"/>
      <c r="MCJ68" s="87"/>
      <c r="MCK68" s="87"/>
      <c r="MCL68" s="87"/>
      <c r="MCM68" s="87"/>
      <c r="MCN68" s="87"/>
      <c r="MCO68" s="87"/>
      <c r="MCP68" s="87"/>
      <c r="MCQ68" s="87"/>
      <c r="MCR68" s="87"/>
      <c r="MCS68" s="87"/>
      <c r="MCT68" s="87"/>
      <c r="MCU68" s="87"/>
      <c r="MCV68" s="87"/>
      <c r="MCW68" s="87"/>
      <c r="MCX68" s="87"/>
      <c r="MCY68" s="87"/>
      <c r="MCZ68" s="87"/>
      <c r="MDA68" s="87"/>
      <c r="MDB68" s="87"/>
      <c r="MDC68" s="87"/>
      <c r="MDD68" s="87"/>
      <c r="MDE68" s="87"/>
      <c r="MDF68" s="87"/>
      <c r="MDG68" s="87"/>
      <c r="MDH68" s="87"/>
      <c r="MDI68" s="87"/>
      <c r="MDJ68" s="87"/>
      <c r="MDK68" s="87"/>
      <c r="MDL68" s="87"/>
      <c r="MDM68" s="87"/>
      <c r="MDN68" s="87"/>
      <c r="MDO68" s="87"/>
      <c r="MDP68" s="87"/>
      <c r="MDQ68" s="87"/>
      <c r="MDR68" s="87"/>
      <c r="MDS68" s="87"/>
      <c r="MDT68" s="87"/>
      <c r="MDU68" s="87"/>
      <c r="MDV68" s="87"/>
      <c r="MDW68" s="87"/>
      <c r="MDX68" s="87"/>
      <c r="MDY68" s="87"/>
      <c r="MDZ68" s="87"/>
      <c r="MEA68" s="87"/>
      <c r="MEB68" s="87"/>
      <c r="MEC68" s="87"/>
      <c r="MED68" s="87"/>
      <c r="MEE68" s="87"/>
      <c r="MEF68" s="87"/>
      <c r="MEG68" s="87"/>
      <c r="MEH68" s="87"/>
      <c r="MEI68" s="87"/>
      <c r="MEJ68" s="87"/>
      <c r="MEK68" s="87"/>
      <c r="MEL68" s="87"/>
      <c r="MEM68" s="87"/>
      <c r="MEN68" s="87"/>
      <c r="MEO68" s="87"/>
      <c r="MEP68" s="87"/>
      <c r="MEQ68" s="87"/>
      <c r="MER68" s="87"/>
      <c r="MES68" s="87"/>
      <c r="MET68" s="87"/>
      <c r="MEU68" s="87"/>
      <c r="MEV68" s="87"/>
      <c r="MEW68" s="87"/>
      <c r="MEX68" s="87"/>
      <c r="MEY68" s="87"/>
      <c r="MEZ68" s="87"/>
      <c r="MFA68" s="87"/>
      <c r="MFB68" s="87"/>
      <c r="MFC68" s="87"/>
      <c r="MFD68" s="87"/>
      <c r="MFE68" s="87"/>
      <c r="MFF68" s="87"/>
      <c r="MFG68" s="87"/>
      <c r="MFH68" s="87"/>
      <c r="MFI68" s="87"/>
      <c r="MFJ68" s="87"/>
      <c r="MFK68" s="87"/>
      <c r="MFL68" s="87"/>
      <c r="MFM68" s="87"/>
      <c r="MFN68" s="87"/>
      <c r="MFO68" s="87"/>
      <c r="MFP68" s="87"/>
      <c r="MFQ68" s="87"/>
      <c r="MFR68" s="87"/>
      <c r="MFS68" s="87"/>
      <c r="MFT68" s="87"/>
      <c r="MFU68" s="87"/>
      <c r="MFV68" s="87"/>
      <c r="MFW68" s="87"/>
      <c r="MFX68" s="87"/>
      <c r="MFY68" s="87"/>
      <c r="MFZ68" s="87"/>
      <c r="MGA68" s="87"/>
      <c r="MGB68" s="87"/>
      <c r="MGC68" s="87"/>
      <c r="MGD68" s="87"/>
      <c r="MGE68" s="87"/>
      <c r="MGF68" s="87"/>
      <c r="MGG68" s="87"/>
      <c r="MGH68" s="87"/>
      <c r="MGI68" s="87"/>
      <c r="MGJ68" s="87"/>
      <c r="MGK68" s="87"/>
      <c r="MGL68" s="87"/>
      <c r="MGM68" s="87"/>
      <c r="MGN68" s="87"/>
      <c r="MGO68" s="87"/>
      <c r="MGP68" s="87"/>
      <c r="MGQ68" s="87"/>
      <c r="MGR68" s="87"/>
      <c r="MGS68" s="87"/>
      <c r="MGT68" s="87"/>
      <c r="MGU68" s="87"/>
      <c r="MGV68" s="87"/>
      <c r="MGW68" s="87"/>
      <c r="MGX68" s="87"/>
      <c r="MGY68" s="87"/>
      <c r="MGZ68" s="87"/>
      <c r="MHA68" s="87"/>
      <c r="MHB68" s="87"/>
      <c r="MHC68" s="87"/>
      <c r="MHD68" s="87"/>
      <c r="MHE68" s="87"/>
      <c r="MHF68" s="87"/>
      <c r="MHG68" s="87"/>
      <c r="MHH68" s="87"/>
      <c r="MHI68" s="87"/>
      <c r="MHJ68" s="87"/>
      <c r="MHK68" s="87"/>
      <c r="MHL68" s="87"/>
      <c r="MHM68" s="87"/>
      <c r="MHN68" s="87"/>
      <c r="MHO68" s="87"/>
      <c r="MHP68" s="87"/>
      <c r="MHQ68" s="87"/>
      <c r="MHR68" s="87"/>
      <c r="MHS68" s="87"/>
      <c r="MHT68" s="87"/>
      <c r="MHU68" s="87"/>
      <c r="MHV68" s="87"/>
      <c r="MHW68" s="87"/>
      <c r="MHX68" s="87"/>
      <c r="MHY68" s="87"/>
      <c r="MHZ68" s="87"/>
      <c r="MIA68" s="87"/>
      <c r="MIB68" s="87"/>
      <c r="MIC68" s="87"/>
      <c r="MID68" s="87"/>
      <c r="MIE68" s="87"/>
      <c r="MIF68" s="87"/>
      <c r="MIG68" s="87"/>
      <c r="MIH68" s="87"/>
      <c r="MII68" s="87"/>
      <c r="MIJ68" s="87"/>
      <c r="MIK68" s="87"/>
      <c r="MIL68" s="87"/>
      <c r="MIM68" s="87"/>
      <c r="MIN68" s="87"/>
      <c r="MIO68" s="87"/>
      <c r="MIP68" s="87"/>
      <c r="MIQ68" s="87"/>
      <c r="MIR68" s="87"/>
      <c r="MIS68" s="87"/>
      <c r="MIT68" s="87"/>
      <c r="MIU68" s="87"/>
      <c r="MIV68" s="87"/>
      <c r="MIW68" s="87"/>
      <c r="MIX68" s="87"/>
      <c r="MIY68" s="87"/>
      <c r="MIZ68" s="87"/>
      <c r="MJA68" s="87"/>
      <c r="MJB68" s="87"/>
      <c r="MJC68" s="87"/>
      <c r="MJD68" s="87"/>
      <c r="MJE68" s="87"/>
      <c r="MJF68" s="87"/>
      <c r="MJG68" s="87"/>
      <c r="MJH68" s="87"/>
      <c r="MJI68" s="87"/>
      <c r="MJJ68" s="87"/>
      <c r="MJK68" s="87"/>
      <c r="MJL68" s="87"/>
      <c r="MJM68" s="87"/>
      <c r="MJN68" s="87"/>
      <c r="MJO68" s="87"/>
      <c r="MJP68" s="87"/>
      <c r="MJQ68" s="87"/>
      <c r="MJR68" s="87"/>
      <c r="MJS68" s="87"/>
      <c r="MJT68" s="87"/>
      <c r="MJU68" s="87"/>
      <c r="MJV68" s="87"/>
      <c r="MJW68" s="87"/>
      <c r="MJX68" s="87"/>
      <c r="MJY68" s="87"/>
      <c r="MJZ68" s="87"/>
      <c r="MKA68" s="87"/>
      <c r="MKB68" s="87"/>
      <c r="MKC68" s="87"/>
      <c r="MKD68" s="87"/>
      <c r="MKE68" s="87"/>
      <c r="MKF68" s="87"/>
      <c r="MKG68" s="87"/>
      <c r="MKH68" s="87"/>
      <c r="MKI68" s="87"/>
      <c r="MKJ68" s="87"/>
      <c r="MKK68" s="87"/>
      <c r="MKL68" s="87"/>
      <c r="MKM68" s="87"/>
      <c r="MKN68" s="87"/>
      <c r="MKO68" s="87"/>
      <c r="MKP68" s="87"/>
      <c r="MKQ68" s="87"/>
      <c r="MKR68" s="87"/>
      <c r="MKS68" s="87"/>
      <c r="MKT68" s="87"/>
      <c r="MKU68" s="87"/>
      <c r="MKV68" s="87"/>
      <c r="MKW68" s="87"/>
      <c r="MKX68" s="87"/>
      <c r="MKY68" s="87"/>
      <c r="MKZ68" s="87"/>
      <c r="MLA68" s="87"/>
      <c r="MLB68" s="87"/>
      <c r="MLC68" s="87"/>
      <c r="MLD68" s="87"/>
      <c r="MLE68" s="87"/>
      <c r="MLF68" s="87"/>
      <c r="MLG68" s="87"/>
      <c r="MLH68" s="87"/>
      <c r="MLI68" s="87"/>
      <c r="MLJ68" s="87"/>
      <c r="MLK68" s="87"/>
      <c r="MLL68" s="87"/>
      <c r="MLM68" s="87"/>
      <c r="MLN68" s="87"/>
      <c r="MLO68" s="87"/>
      <c r="MLP68" s="87"/>
      <c r="MLQ68" s="87"/>
      <c r="MLR68" s="87"/>
      <c r="MLS68" s="87"/>
      <c r="MLT68" s="87"/>
      <c r="MLU68" s="87"/>
      <c r="MLV68" s="87"/>
      <c r="MLW68" s="87"/>
      <c r="MLX68" s="87"/>
      <c r="MLY68" s="87"/>
      <c r="MLZ68" s="87"/>
      <c r="MMA68" s="87"/>
      <c r="MMB68" s="87"/>
      <c r="MMC68" s="87"/>
      <c r="MMD68" s="87"/>
      <c r="MME68" s="87"/>
      <c r="MMF68" s="87"/>
      <c r="MMG68" s="87"/>
      <c r="MMH68" s="87"/>
      <c r="MMI68" s="87"/>
      <c r="MMJ68" s="87"/>
      <c r="MMK68" s="87"/>
      <c r="MML68" s="87"/>
      <c r="MMM68" s="87"/>
      <c r="MMN68" s="87"/>
      <c r="MMO68" s="87"/>
      <c r="MMP68" s="87"/>
      <c r="MMQ68" s="87"/>
      <c r="MMR68" s="87"/>
      <c r="MMS68" s="87"/>
      <c r="MMT68" s="87"/>
      <c r="MMU68" s="87"/>
      <c r="MMV68" s="87"/>
      <c r="MMW68" s="87"/>
      <c r="MMX68" s="87"/>
      <c r="MMY68" s="87"/>
      <c r="MMZ68" s="87"/>
      <c r="MNA68" s="87"/>
      <c r="MNB68" s="87"/>
      <c r="MNC68" s="87"/>
      <c r="MND68" s="87"/>
      <c r="MNE68" s="87"/>
      <c r="MNF68" s="87"/>
      <c r="MNG68" s="87"/>
      <c r="MNH68" s="87"/>
      <c r="MNI68" s="87"/>
      <c r="MNJ68" s="87"/>
      <c r="MNK68" s="87"/>
      <c r="MNL68" s="87"/>
      <c r="MNM68" s="87"/>
      <c r="MNN68" s="87"/>
      <c r="MNO68" s="87"/>
      <c r="MNP68" s="87"/>
      <c r="MNQ68" s="87"/>
      <c r="MNR68" s="87"/>
      <c r="MNS68" s="87"/>
      <c r="MNT68" s="87"/>
      <c r="MNU68" s="87"/>
      <c r="MNV68" s="87"/>
      <c r="MNW68" s="87"/>
      <c r="MNX68" s="87"/>
      <c r="MNY68" s="87"/>
      <c r="MNZ68" s="87"/>
      <c r="MOA68" s="87"/>
      <c r="MOB68" s="87"/>
      <c r="MOC68" s="87"/>
      <c r="MOD68" s="87"/>
      <c r="MOE68" s="87"/>
      <c r="MOF68" s="87"/>
      <c r="MOG68" s="87"/>
      <c r="MOH68" s="87"/>
      <c r="MOI68" s="87"/>
      <c r="MOJ68" s="87"/>
      <c r="MOK68" s="87"/>
      <c r="MOL68" s="87"/>
      <c r="MOM68" s="87"/>
      <c r="MON68" s="87"/>
      <c r="MOO68" s="87"/>
      <c r="MOP68" s="87"/>
      <c r="MOQ68" s="87"/>
      <c r="MOR68" s="87"/>
      <c r="MOS68" s="87"/>
      <c r="MOT68" s="87"/>
      <c r="MOU68" s="87"/>
      <c r="MOV68" s="87"/>
      <c r="MOW68" s="87"/>
      <c r="MOX68" s="87"/>
      <c r="MOY68" s="87"/>
      <c r="MOZ68" s="87"/>
      <c r="MPA68" s="87"/>
      <c r="MPB68" s="87"/>
      <c r="MPC68" s="87"/>
      <c r="MPD68" s="87"/>
      <c r="MPE68" s="87"/>
      <c r="MPF68" s="87"/>
      <c r="MPG68" s="87"/>
      <c r="MPH68" s="87"/>
      <c r="MPI68" s="87"/>
      <c r="MPJ68" s="87"/>
      <c r="MPK68" s="87"/>
      <c r="MPL68" s="87"/>
      <c r="MPM68" s="87"/>
      <c r="MPN68" s="87"/>
      <c r="MPO68" s="87"/>
      <c r="MPP68" s="87"/>
      <c r="MPQ68" s="87"/>
      <c r="MPR68" s="87"/>
      <c r="MPS68" s="87"/>
      <c r="MPT68" s="87"/>
      <c r="MPU68" s="87"/>
      <c r="MPV68" s="87"/>
      <c r="MPW68" s="87"/>
      <c r="MPX68" s="87"/>
      <c r="MPY68" s="87"/>
      <c r="MPZ68" s="87"/>
      <c r="MQA68" s="87"/>
      <c r="MQB68" s="87"/>
      <c r="MQC68" s="87"/>
      <c r="MQD68" s="87"/>
      <c r="MQE68" s="87"/>
      <c r="MQF68" s="87"/>
      <c r="MQG68" s="87"/>
      <c r="MQH68" s="87"/>
      <c r="MQI68" s="87"/>
      <c r="MQJ68" s="87"/>
      <c r="MQK68" s="87"/>
      <c r="MQL68" s="87"/>
      <c r="MQM68" s="87"/>
      <c r="MQN68" s="87"/>
      <c r="MQO68" s="87"/>
      <c r="MQP68" s="87"/>
      <c r="MQQ68" s="87"/>
      <c r="MQR68" s="87"/>
      <c r="MQS68" s="87"/>
      <c r="MQT68" s="87"/>
      <c r="MQU68" s="87"/>
      <c r="MQV68" s="87"/>
      <c r="MQW68" s="87"/>
      <c r="MQX68" s="87"/>
      <c r="MQY68" s="87"/>
      <c r="MQZ68" s="87"/>
      <c r="MRA68" s="87"/>
      <c r="MRB68" s="87"/>
      <c r="MRC68" s="87"/>
      <c r="MRD68" s="87"/>
      <c r="MRE68" s="87"/>
      <c r="MRF68" s="87"/>
      <c r="MRG68" s="87"/>
      <c r="MRH68" s="87"/>
      <c r="MRI68" s="87"/>
      <c r="MRJ68" s="87"/>
      <c r="MRK68" s="87"/>
      <c r="MRL68" s="87"/>
      <c r="MRM68" s="87"/>
      <c r="MRN68" s="87"/>
      <c r="MRO68" s="87"/>
      <c r="MRP68" s="87"/>
      <c r="MRQ68" s="87"/>
      <c r="MRR68" s="87"/>
      <c r="MRS68" s="87"/>
      <c r="MRT68" s="87"/>
      <c r="MRU68" s="87"/>
      <c r="MRV68" s="87"/>
      <c r="MRW68" s="87"/>
      <c r="MRX68" s="87"/>
      <c r="MRY68" s="87"/>
      <c r="MRZ68" s="87"/>
      <c r="MSA68" s="87"/>
      <c r="MSB68" s="87"/>
      <c r="MSC68" s="87"/>
      <c r="MSD68" s="87"/>
      <c r="MSE68" s="87"/>
      <c r="MSF68" s="87"/>
      <c r="MSG68" s="87"/>
      <c r="MSH68" s="87"/>
      <c r="MSI68" s="87"/>
      <c r="MSJ68" s="87"/>
      <c r="MSK68" s="87"/>
      <c r="MSL68" s="87"/>
      <c r="MSM68" s="87"/>
      <c r="MSN68" s="87"/>
      <c r="MSO68" s="87"/>
      <c r="MSP68" s="87"/>
      <c r="MSQ68" s="87"/>
      <c r="MSR68" s="87"/>
      <c r="MSS68" s="87"/>
      <c r="MST68" s="87"/>
      <c r="MSU68" s="87"/>
      <c r="MSV68" s="87"/>
      <c r="MSW68" s="87"/>
      <c r="MSX68" s="87"/>
      <c r="MSY68" s="87"/>
      <c r="MSZ68" s="87"/>
      <c r="MTA68" s="87"/>
      <c r="MTB68" s="87"/>
      <c r="MTC68" s="87"/>
      <c r="MTD68" s="87"/>
      <c r="MTE68" s="87"/>
      <c r="MTF68" s="87"/>
      <c r="MTG68" s="87"/>
      <c r="MTH68" s="87"/>
      <c r="MTI68" s="87"/>
      <c r="MTJ68" s="87"/>
      <c r="MTK68" s="87"/>
      <c r="MTL68" s="87"/>
      <c r="MTM68" s="87"/>
      <c r="MTN68" s="87"/>
      <c r="MTO68" s="87"/>
      <c r="MTP68" s="87"/>
      <c r="MTQ68" s="87"/>
      <c r="MTR68" s="87"/>
      <c r="MTS68" s="87"/>
      <c r="MTT68" s="87"/>
      <c r="MTU68" s="87"/>
      <c r="MTV68" s="87"/>
      <c r="MTW68" s="87"/>
      <c r="MTX68" s="87"/>
      <c r="MTY68" s="87"/>
      <c r="MTZ68" s="87"/>
      <c r="MUA68" s="87"/>
      <c r="MUB68" s="87"/>
      <c r="MUC68" s="87"/>
      <c r="MUD68" s="87"/>
      <c r="MUE68" s="87"/>
      <c r="MUF68" s="87"/>
      <c r="MUG68" s="87"/>
      <c r="MUH68" s="87"/>
      <c r="MUI68" s="87"/>
      <c r="MUJ68" s="87"/>
      <c r="MUK68" s="87"/>
      <c r="MUL68" s="87"/>
      <c r="MUM68" s="87"/>
      <c r="MUN68" s="87"/>
      <c r="MUO68" s="87"/>
      <c r="MUP68" s="87"/>
      <c r="MUQ68" s="87"/>
      <c r="MUR68" s="87"/>
      <c r="MUS68" s="87"/>
      <c r="MUT68" s="87"/>
      <c r="MUU68" s="87"/>
      <c r="MUV68" s="87"/>
      <c r="MUW68" s="87"/>
      <c r="MUX68" s="87"/>
      <c r="MUY68" s="87"/>
      <c r="MUZ68" s="87"/>
      <c r="MVA68" s="87"/>
      <c r="MVB68" s="87"/>
      <c r="MVC68" s="87"/>
      <c r="MVD68" s="87"/>
      <c r="MVE68" s="87"/>
      <c r="MVF68" s="87"/>
      <c r="MVG68" s="87"/>
      <c r="MVH68" s="87"/>
      <c r="MVI68" s="87"/>
      <c r="MVJ68" s="87"/>
      <c r="MVK68" s="87"/>
      <c r="MVL68" s="87"/>
      <c r="MVM68" s="87"/>
      <c r="MVN68" s="87"/>
      <c r="MVO68" s="87"/>
      <c r="MVP68" s="87"/>
      <c r="MVQ68" s="87"/>
      <c r="MVR68" s="87"/>
      <c r="MVS68" s="87"/>
      <c r="MVT68" s="87"/>
      <c r="MVU68" s="87"/>
      <c r="MVV68" s="87"/>
      <c r="MVW68" s="87"/>
      <c r="MVX68" s="87"/>
      <c r="MVY68" s="87"/>
      <c r="MVZ68" s="87"/>
      <c r="MWA68" s="87"/>
      <c r="MWB68" s="87"/>
      <c r="MWC68" s="87"/>
      <c r="MWD68" s="87"/>
      <c r="MWE68" s="87"/>
      <c r="MWF68" s="87"/>
      <c r="MWG68" s="87"/>
      <c r="MWH68" s="87"/>
      <c r="MWI68" s="87"/>
      <c r="MWJ68" s="87"/>
      <c r="MWK68" s="87"/>
      <c r="MWL68" s="87"/>
      <c r="MWM68" s="87"/>
      <c r="MWN68" s="87"/>
      <c r="MWO68" s="87"/>
      <c r="MWP68" s="87"/>
      <c r="MWQ68" s="87"/>
      <c r="MWR68" s="87"/>
      <c r="MWS68" s="87"/>
      <c r="MWT68" s="87"/>
      <c r="MWU68" s="87"/>
      <c r="MWV68" s="87"/>
      <c r="MWW68" s="87"/>
      <c r="MWX68" s="87"/>
      <c r="MWY68" s="87"/>
      <c r="MWZ68" s="87"/>
      <c r="MXA68" s="87"/>
      <c r="MXB68" s="87"/>
      <c r="MXC68" s="87"/>
      <c r="MXD68" s="87"/>
      <c r="MXE68" s="87"/>
      <c r="MXF68" s="87"/>
      <c r="MXG68" s="87"/>
      <c r="MXH68" s="87"/>
      <c r="MXI68" s="87"/>
      <c r="MXJ68" s="87"/>
      <c r="MXK68" s="87"/>
      <c r="MXL68" s="87"/>
      <c r="MXM68" s="87"/>
      <c r="MXN68" s="87"/>
      <c r="MXO68" s="87"/>
      <c r="MXP68" s="87"/>
      <c r="MXQ68" s="87"/>
      <c r="MXR68" s="87"/>
      <c r="MXS68" s="87"/>
      <c r="MXT68" s="87"/>
      <c r="MXU68" s="87"/>
      <c r="MXV68" s="87"/>
      <c r="MXW68" s="87"/>
      <c r="MXX68" s="87"/>
      <c r="MXY68" s="87"/>
      <c r="MXZ68" s="87"/>
      <c r="MYA68" s="87"/>
      <c r="MYB68" s="87"/>
      <c r="MYC68" s="87"/>
      <c r="MYD68" s="87"/>
      <c r="MYE68" s="87"/>
      <c r="MYF68" s="87"/>
      <c r="MYG68" s="87"/>
      <c r="MYH68" s="87"/>
      <c r="MYI68" s="87"/>
      <c r="MYJ68" s="87"/>
      <c r="MYK68" s="87"/>
      <c r="MYL68" s="87"/>
      <c r="MYM68" s="87"/>
      <c r="MYN68" s="87"/>
      <c r="MYO68" s="87"/>
      <c r="MYP68" s="87"/>
      <c r="MYQ68" s="87"/>
      <c r="MYR68" s="87"/>
      <c r="MYS68" s="87"/>
      <c r="MYT68" s="87"/>
      <c r="MYU68" s="87"/>
      <c r="MYV68" s="87"/>
      <c r="MYW68" s="87"/>
      <c r="MYX68" s="87"/>
      <c r="MYY68" s="87"/>
      <c r="MYZ68" s="87"/>
      <c r="MZA68" s="87"/>
      <c r="MZB68" s="87"/>
      <c r="MZC68" s="87"/>
      <c r="MZD68" s="87"/>
      <c r="MZE68" s="87"/>
      <c r="MZF68" s="87"/>
      <c r="MZG68" s="87"/>
      <c r="MZH68" s="87"/>
      <c r="MZI68" s="87"/>
      <c r="MZJ68" s="87"/>
      <c r="MZK68" s="87"/>
      <c r="MZL68" s="87"/>
      <c r="MZM68" s="87"/>
      <c r="MZN68" s="87"/>
      <c r="MZO68" s="87"/>
      <c r="MZP68" s="87"/>
      <c r="MZQ68" s="87"/>
      <c r="MZR68" s="87"/>
      <c r="MZS68" s="87"/>
      <c r="MZT68" s="87"/>
      <c r="MZU68" s="87"/>
      <c r="MZV68" s="87"/>
      <c r="MZW68" s="87"/>
      <c r="MZX68" s="87"/>
      <c r="MZY68" s="87"/>
      <c r="MZZ68" s="87"/>
      <c r="NAA68" s="87"/>
      <c r="NAB68" s="87"/>
      <c r="NAC68" s="87"/>
      <c r="NAD68" s="87"/>
      <c r="NAE68" s="87"/>
      <c r="NAF68" s="87"/>
      <c r="NAG68" s="87"/>
      <c r="NAH68" s="87"/>
      <c r="NAI68" s="87"/>
      <c r="NAJ68" s="87"/>
      <c r="NAK68" s="87"/>
      <c r="NAL68" s="87"/>
      <c r="NAM68" s="87"/>
      <c r="NAN68" s="87"/>
      <c r="NAO68" s="87"/>
      <c r="NAP68" s="87"/>
      <c r="NAQ68" s="87"/>
      <c r="NAR68" s="87"/>
      <c r="NAS68" s="87"/>
      <c r="NAT68" s="87"/>
      <c r="NAU68" s="87"/>
      <c r="NAV68" s="87"/>
      <c r="NAW68" s="87"/>
      <c r="NAX68" s="87"/>
      <c r="NAY68" s="87"/>
      <c r="NAZ68" s="87"/>
      <c r="NBA68" s="87"/>
      <c r="NBB68" s="87"/>
      <c r="NBC68" s="87"/>
      <c r="NBD68" s="87"/>
      <c r="NBE68" s="87"/>
      <c r="NBF68" s="87"/>
      <c r="NBG68" s="87"/>
      <c r="NBH68" s="87"/>
      <c r="NBI68" s="87"/>
      <c r="NBJ68" s="87"/>
      <c r="NBK68" s="87"/>
      <c r="NBL68" s="87"/>
      <c r="NBM68" s="87"/>
      <c r="NBN68" s="87"/>
      <c r="NBO68" s="87"/>
      <c r="NBP68" s="87"/>
      <c r="NBQ68" s="87"/>
      <c r="NBR68" s="87"/>
      <c r="NBS68" s="87"/>
      <c r="NBT68" s="87"/>
      <c r="NBU68" s="87"/>
      <c r="NBV68" s="87"/>
      <c r="NBW68" s="87"/>
      <c r="NBX68" s="87"/>
      <c r="NBY68" s="87"/>
      <c r="NBZ68" s="87"/>
      <c r="NCA68" s="87"/>
      <c r="NCB68" s="87"/>
      <c r="NCC68" s="87"/>
      <c r="NCD68" s="87"/>
      <c r="NCE68" s="87"/>
      <c r="NCF68" s="87"/>
      <c r="NCG68" s="87"/>
      <c r="NCH68" s="87"/>
      <c r="NCI68" s="87"/>
      <c r="NCJ68" s="87"/>
      <c r="NCK68" s="87"/>
      <c r="NCL68" s="87"/>
      <c r="NCM68" s="87"/>
      <c r="NCN68" s="87"/>
      <c r="NCO68" s="87"/>
      <c r="NCP68" s="87"/>
      <c r="NCQ68" s="87"/>
      <c r="NCR68" s="87"/>
      <c r="NCS68" s="87"/>
      <c r="NCT68" s="87"/>
      <c r="NCU68" s="87"/>
      <c r="NCV68" s="87"/>
      <c r="NCW68" s="87"/>
      <c r="NCX68" s="87"/>
      <c r="NCY68" s="87"/>
      <c r="NCZ68" s="87"/>
      <c r="NDA68" s="87"/>
      <c r="NDB68" s="87"/>
      <c r="NDC68" s="87"/>
      <c r="NDD68" s="87"/>
      <c r="NDE68" s="87"/>
      <c r="NDF68" s="87"/>
      <c r="NDG68" s="87"/>
      <c r="NDH68" s="87"/>
      <c r="NDI68" s="87"/>
      <c r="NDJ68" s="87"/>
      <c r="NDK68" s="87"/>
      <c r="NDL68" s="87"/>
      <c r="NDM68" s="87"/>
      <c r="NDN68" s="87"/>
      <c r="NDO68" s="87"/>
      <c r="NDP68" s="87"/>
      <c r="NDQ68" s="87"/>
      <c r="NDR68" s="87"/>
      <c r="NDS68" s="87"/>
      <c r="NDT68" s="87"/>
      <c r="NDU68" s="87"/>
      <c r="NDV68" s="87"/>
      <c r="NDW68" s="87"/>
      <c r="NDX68" s="87"/>
      <c r="NDY68" s="87"/>
      <c r="NDZ68" s="87"/>
      <c r="NEA68" s="87"/>
      <c r="NEB68" s="87"/>
      <c r="NEC68" s="87"/>
      <c r="NED68" s="87"/>
      <c r="NEE68" s="87"/>
      <c r="NEF68" s="87"/>
      <c r="NEG68" s="87"/>
      <c r="NEH68" s="87"/>
      <c r="NEI68" s="87"/>
      <c r="NEJ68" s="87"/>
      <c r="NEK68" s="87"/>
      <c r="NEL68" s="87"/>
      <c r="NEM68" s="87"/>
      <c r="NEN68" s="87"/>
      <c r="NEO68" s="87"/>
      <c r="NEP68" s="87"/>
      <c r="NEQ68" s="87"/>
      <c r="NER68" s="87"/>
      <c r="NES68" s="87"/>
      <c r="NET68" s="87"/>
      <c r="NEU68" s="87"/>
      <c r="NEV68" s="87"/>
      <c r="NEW68" s="87"/>
      <c r="NEX68" s="87"/>
      <c r="NEY68" s="87"/>
      <c r="NEZ68" s="87"/>
      <c r="NFA68" s="87"/>
      <c r="NFB68" s="87"/>
      <c r="NFC68" s="87"/>
      <c r="NFD68" s="87"/>
      <c r="NFE68" s="87"/>
      <c r="NFF68" s="87"/>
      <c r="NFG68" s="87"/>
      <c r="NFH68" s="87"/>
      <c r="NFI68" s="87"/>
      <c r="NFJ68" s="87"/>
      <c r="NFK68" s="87"/>
      <c r="NFL68" s="87"/>
      <c r="NFM68" s="87"/>
      <c r="NFN68" s="87"/>
      <c r="NFO68" s="87"/>
      <c r="NFP68" s="87"/>
      <c r="NFQ68" s="87"/>
      <c r="NFR68" s="87"/>
      <c r="NFS68" s="87"/>
      <c r="NFT68" s="87"/>
      <c r="NFU68" s="87"/>
      <c r="NFV68" s="87"/>
      <c r="NFW68" s="87"/>
      <c r="NFX68" s="87"/>
      <c r="NFY68" s="87"/>
      <c r="NFZ68" s="87"/>
      <c r="NGA68" s="87"/>
      <c r="NGB68" s="87"/>
      <c r="NGC68" s="87"/>
      <c r="NGD68" s="87"/>
      <c r="NGE68" s="87"/>
      <c r="NGF68" s="87"/>
      <c r="NGG68" s="87"/>
      <c r="NGH68" s="87"/>
      <c r="NGI68" s="87"/>
      <c r="NGJ68" s="87"/>
      <c r="NGK68" s="87"/>
      <c r="NGL68" s="87"/>
      <c r="NGM68" s="87"/>
      <c r="NGN68" s="87"/>
      <c r="NGO68" s="87"/>
      <c r="NGP68" s="87"/>
      <c r="NGQ68" s="87"/>
      <c r="NGR68" s="87"/>
      <c r="NGS68" s="87"/>
      <c r="NGT68" s="87"/>
      <c r="NGU68" s="87"/>
      <c r="NGV68" s="87"/>
      <c r="NGW68" s="87"/>
      <c r="NGX68" s="87"/>
      <c r="NGY68" s="87"/>
      <c r="NGZ68" s="87"/>
      <c r="NHA68" s="87"/>
      <c r="NHB68" s="87"/>
      <c r="NHC68" s="87"/>
      <c r="NHD68" s="87"/>
      <c r="NHE68" s="87"/>
      <c r="NHF68" s="87"/>
      <c r="NHG68" s="87"/>
      <c r="NHH68" s="87"/>
      <c r="NHI68" s="87"/>
      <c r="NHJ68" s="87"/>
      <c r="NHK68" s="87"/>
      <c r="NHL68" s="87"/>
      <c r="NHM68" s="87"/>
      <c r="NHN68" s="87"/>
      <c r="NHO68" s="87"/>
      <c r="NHP68" s="87"/>
      <c r="NHQ68" s="87"/>
      <c r="NHR68" s="87"/>
      <c r="NHS68" s="87"/>
      <c r="NHT68" s="87"/>
      <c r="NHU68" s="87"/>
      <c r="NHV68" s="87"/>
      <c r="NHW68" s="87"/>
      <c r="NHX68" s="87"/>
      <c r="NHY68" s="87"/>
      <c r="NHZ68" s="87"/>
      <c r="NIA68" s="87"/>
      <c r="NIB68" s="87"/>
      <c r="NIC68" s="87"/>
      <c r="NID68" s="87"/>
      <c r="NIE68" s="87"/>
      <c r="NIF68" s="87"/>
      <c r="NIG68" s="87"/>
      <c r="NIH68" s="87"/>
      <c r="NII68" s="87"/>
      <c r="NIJ68" s="87"/>
      <c r="NIK68" s="87"/>
      <c r="NIL68" s="87"/>
      <c r="NIM68" s="87"/>
      <c r="NIN68" s="87"/>
      <c r="NIO68" s="87"/>
      <c r="NIP68" s="87"/>
      <c r="NIQ68" s="87"/>
      <c r="NIR68" s="87"/>
      <c r="NIS68" s="87"/>
      <c r="NIT68" s="87"/>
      <c r="NIU68" s="87"/>
      <c r="NIV68" s="87"/>
      <c r="NIW68" s="87"/>
      <c r="NIX68" s="87"/>
      <c r="NIY68" s="87"/>
      <c r="NIZ68" s="87"/>
      <c r="NJA68" s="87"/>
      <c r="NJB68" s="87"/>
      <c r="NJC68" s="87"/>
      <c r="NJD68" s="87"/>
      <c r="NJE68" s="87"/>
      <c r="NJF68" s="87"/>
      <c r="NJG68" s="87"/>
      <c r="NJH68" s="87"/>
      <c r="NJI68" s="87"/>
      <c r="NJJ68" s="87"/>
      <c r="NJK68" s="87"/>
      <c r="NJL68" s="87"/>
      <c r="NJM68" s="87"/>
      <c r="NJN68" s="87"/>
      <c r="NJO68" s="87"/>
      <c r="NJP68" s="87"/>
      <c r="NJQ68" s="87"/>
      <c r="NJR68" s="87"/>
      <c r="NJS68" s="87"/>
      <c r="NJT68" s="87"/>
      <c r="NJU68" s="87"/>
      <c r="NJV68" s="87"/>
      <c r="NJW68" s="87"/>
      <c r="NJX68" s="87"/>
      <c r="NJY68" s="87"/>
      <c r="NJZ68" s="87"/>
      <c r="NKA68" s="87"/>
      <c r="NKB68" s="87"/>
      <c r="NKC68" s="87"/>
      <c r="NKD68" s="87"/>
      <c r="NKE68" s="87"/>
      <c r="NKF68" s="87"/>
      <c r="NKG68" s="87"/>
      <c r="NKH68" s="87"/>
      <c r="NKI68" s="87"/>
      <c r="NKJ68" s="87"/>
      <c r="NKK68" s="87"/>
      <c r="NKL68" s="87"/>
      <c r="NKM68" s="87"/>
      <c r="NKN68" s="87"/>
      <c r="NKO68" s="87"/>
      <c r="NKP68" s="87"/>
      <c r="NKQ68" s="87"/>
      <c r="NKR68" s="87"/>
      <c r="NKS68" s="87"/>
      <c r="NKT68" s="87"/>
      <c r="NKU68" s="87"/>
      <c r="NKV68" s="87"/>
      <c r="NKW68" s="87"/>
      <c r="NKX68" s="87"/>
      <c r="NKY68" s="87"/>
      <c r="NKZ68" s="87"/>
      <c r="NLA68" s="87"/>
      <c r="NLB68" s="87"/>
      <c r="NLC68" s="87"/>
      <c r="NLD68" s="87"/>
      <c r="NLE68" s="87"/>
      <c r="NLF68" s="87"/>
      <c r="NLG68" s="87"/>
      <c r="NLH68" s="87"/>
      <c r="NLI68" s="87"/>
      <c r="NLJ68" s="87"/>
      <c r="NLK68" s="87"/>
      <c r="NLL68" s="87"/>
      <c r="NLM68" s="87"/>
      <c r="NLN68" s="87"/>
      <c r="NLO68" s="87"/>
      <c r="NLP68" s="87"/>
      <c r="NLQ68" s="87"/>
      <c r="NLR68" s="87"/>
      <c r="NLS68" s="87"/>
      <c r="NLT68" s="87"/>
      <c r="NLU68" s="87"/>
      <c r="NLV68" s="87"/>
      <c r="NLW68" s="87"/>
      <c r="NLX68" s="87"/>
      <c r="NLY68" s="87"/>
      <c r="NLZ68" s="87"/>
      <c r="NMA68" s="87"/>
      <c r="NMB68" s="87"/>
      <c r="NMC68" s="87"/>
      <c r="NMD68" s="87"/>
      <c r="NME68" s="87"/>
      <c r="NMF68" s="87"/>
      <c r="NMG68" s="87"/>
      <c r="NMH68" s="87"/>
      <c r="NMI68" s="87"/>
      <c r="NMJ68" s="87"/>
      <c r="NMK68" s="87"/>
      <c r="NML68" s="87"/>
      <c r="NMM68" s="87"/>
      <c r="NMN68" s="87"/>
      <c r="NMO68" s="87"/>
      <c r="NMP68" s="87"/>
      <c r="NMQ68" s="87"/>
      <c r="NMR68" s="87"/>
      <c r="NMS68" s="87"/>
      <c r="NMT68" s="87"/>
      <c r="NMU68" s="87"/>
      <c r="NMV68" s="87"/>
      <c r="NMW68" s="87"/>
      <c r="NMX68" s="87"/>
      <c r="NMY68" s="87"/>
      <c r="NMZ68" s="87"/>
      <c r="NNA68" s="87"/>
      <c r="NNB68" s="87"/>
      <c r="NNC68" s="87"/>
      <c r="NND68" s="87"/>
      <c r="NNE68" s="87"/>
      <c r="NNF68" s="87"/>
      <c r="NNG68" s="87"/>
      <c r="NNH68" s="87"/>
      <c r="NNI68" s="87"/>
      <c r="NNJ68" s="87"/>
      <c r="NNK68" s="87"/>
      <c r="NNL68" s="87"/>
      <c r="NNM68" s="87"/>
      <c r="NNN68" s="87"/>
      <c r="NNO68" s="87"/>
      <c r="NNP68" s="87"/>
      <c r="NNQ68" s="87"/>
      <c r="NNR68" s="87"/>
      <c r="NNS68" s="87"/>
      <c r="NNT68" s="87"/>
      <c r="NNU68" s="87"/>
      <c r="NNV68" s="87"/>
      <c r="NNW68" s="87"/>
      <c r="NNX68" s="87"/>
      <c r="NNY68" s="87"/>
      <c r="NNZ68" s="87"/>
      <c r="NOA68" s="87"/>
      <c r="NOB68" s="87"/>
      <c r="NOC68" s="87"/>
      <c r="NOD68" s="87"/>
      <c r="NOE68" s="87"/>
      <c r="NOF68" s="87"/>
      <c r="NOG68" s="87"/>
      <c r="NOH68" s="87"/>
      <c r="NOI68" s="87"/>
      <c r="NOJ68" s="87"/>
      <c r="NOK68" s="87"/>
      <c r="NOL68" s="87"/>
      <c r="NOM68" s="87"/>
      <c r="NON68" s="87"/>
      <c r="NOO68" s="87"/>
      <c r="NOP68" s="87"/>
      <c r="NOQ68" s="87"/>
      <c r="NOR68" s="87"/>
      <c r="NOS68" s="87"/>
      <c r="NOT68" s="87"/>
      <c r="NOU68" s="87"/>
      <c r="NOV68" s="87"/>
      <c r="NOW68" s="87"/>
      <c r="NOX68" s="87"/>
      <c r="NOY68" s="87"/>
      <c r="NOZ68" s="87"/>
      <c r="NPA68" s="87"/>
      <c r="NPB68" s="87"/>
      <c r="NPC68" s="87"/>
      <c r="NPD68" s="87"/>
      <c r="NPE68" s="87"/>
      <c r="NPF68" s="87"/>
      <c r="NPG68" s="87"/>
      <c r="NPH68" s="87"/>
      <c r="NPI68" s="87"/>
      <c r="NPJ68" s="87"/>
      <c r="NPK68" s="87"/>
      <c r="NPL68" s="87"/>
      <c r="NPM68" s="87"/>
      <c r="NPN68" s="87"/>
      <c r="NPO68" s="87"/>
      <c r="NPP68" s="87"/>
      <c r="NPQ68" s="87"/>
      <c r="NPR68" s="87"/>
      <c r="NPS68" s="87"/>
      <c r="NPT68" s="87"/>
      <c r="NPU68" s="87"/>
      <c r="NPV68" s="87"/>
      <c r="NPW68" s="87"/>
      <c r="NPX68" s="87"/>
      <c r="NPY68" s="87"/>
      <c r="NPZ68" s="87"/>
      <c r="NQA68" s="87"/>
      <c r="NQB68" s="87"/>
      <c r="NQC68" s="87"/>
      <c r="NQD68" s="87"/>
      <c r="NQE68" s="87"/>
      <c r="NQF68" s="87"/>
      <c r="NQG68" s="87"/>
      <c r="NQH68" s="87"/>
      <c r="NQI68" s="87"/>
      <c r="NQJ68" s="87"/>
      <c r="NQK68" s="87"/>
      <c r="NQL68" s="87"/>
      <c r="NQM68" s="87"/>
      <c r="NQN68" s="87"/>
      <c r="NQO68" s="87"/>
      <c r="NQP68" s="87"/>
      <c r="NQQ68" s="87"/>
      <c r="NQR68" s="87"/>
      <c r="NQS68" s="87"/>
      <c r="NQT68" s="87"/>
      <c r="NQU68" s="87"/>
      <c r="NQV68" s="87"/>
      <c r="NQW68" s="87"/>
      <c r="NQX68" s="87"/>
      <c r="NQY68" s="87"/>
      <c r="NQZ68" s="87"/>
      <c r="NRA68" s="87"/>
      <c r="NRB68" s="87"/>
      <c r="NRC68" s="87"/>
      <c r="NRD68" s="87"/>
      <c r="NRE68" s="87"/>
      <c r="NRF68" s="87"/>
      <c r="NRG68" s="87"/>
      <c r="NRH68" s="87"/>
      <c r="NRI68" s="87"/>
      <c r="NRJ68" s="87"/>
      <c r="NRK68" s="87"/>
      <c r="NRL68" s="87"/>
      <c r="NRM68" s="87"/>
      <c r="NRN68" s="87"/>
      <c r="NRO68" s="87"/>
      <c r="NRP68" s="87"/>
      <c r="NRQ68" s="87"/>
      <c r="NRR68" s="87"/>
      <c r="NRS68" s="87"/>
      <c r="NRT68" s="87"/>
      <c r="NRU68" s="87"/>
      <c r="NRV68" s="87"/>
      <c r="NRW68" s="87"/>
      <c r="NRX68" s="87"/>
      <c r="NRY68" s="87"/>
      <c r="NRZ68" s="87"/>
      <c r="NSA68" s="87"/>
      <c r="NSB68" s="87"/>
      <c r="NSC68" s="87"/>
      <c r="NSD68" s="87"/>
      <c r="NSE68" s="87"/>
      <c r="NSF68" s="87"/>
      <c r="NSG68" s="87"/>
      <c r="NSH68" s="87"/>
      <c r="NSI68" s="87"/>
      <c r="NSJ68" s="87"/>
      <c r="NSK68" s="87"/>
      <c r="NSL68" s="87"/>
      <c r="NSM68" s="87"/>
      <c r="NSN68" s="87"/>
      <c r="NSO68" s="87"/>
      <c r="NSP68" s="87"/>
      <c r="NSQ68" s="87"/>
      <c r="NSR68" s="87"/>
      <c r="NSS68" s="87"/>
      <c r="NST68" s="87"/>
      <c r="NSU68" s="87"/>
      <c r="NSV68" s="87"/>
      <c r="NSW68" s="87"/>
      <c r="NSX68" s="87"/>
      <c r="NSY68" s="87"/>
      <c r="NSZ68" s="87"/>
      <c r="NTA68" s="87"/>
      <c r="NTB68" s="87"/>
      <c r="NTC68" s="87"/>
      <c r="NTD68" s="87"/>
      <c r="NTE68" s="87"/>
      <c r="NTF68" s="87"/>
      <c r="NTG68" s="87"/>
      <c r="NTH68" s="87"/>
      <c r="NTI68" s="87"/>
      <c r="NTJ68" s="87"/>
      <c r="NTK68" s="87"/>
      <c r="NTL68" s="87"/>
      <c r="NTM68" s="87"/>
      <c r="NTN68" s="87"/>
      <c r="NTO68" s="87"/>
      <c r="NTP68" s="87"/>
      <c r="NTQ68" s="87"/>
      <c r="NTR68" s="87"/>
      <c r="NTS68" s="87"/>
      <c r="NTT68" s="87"/>
      <c r="NTU68" s="87"/>
      <c r="NTV68" s="87"/>
      <c r="NTW68" s="87"/>
      <c r="NTX68" s="87"/>
      <c r="NTY68" s="87"/>
      <c r="NTZ68" s="87"/>
      <c r="NUA68" s="87"/>
      <c r="NUB68" s="87"/>
      <c r="NUC68" s="87"/>
      <c r="NUD68" s="87"/>
      <c r="NUE68" s="87"/>
      <c r="NUF68" s="87"/>
      <c r="NUG68" s="87"/>
      <c r="NUH68" s="87"/>
      <c r="NUI68" s="87"/>
      <c r="NUJ68" s="87"/>
      <c r="NUK68" s="87"/>
      <c r="NUL68" s="87"/>
      <c r="NUM68" s="87"/>
      <c r="NUN68" s="87"/>
      <c r="NUO68" s="87"/>
      <c r="NUP68" s="87"/>
      <c r="NUQ68" s="87"/>
      <c r="NUR68" s="87"/>
      <c r="NUS68" s="87"/>
      <c r="NUT68" s="87"/>
      <c r="NUU68" s="87"/>
      <c r="NUV68" s="87"/>
      <c r="NUW68" s="87"/>
      <c r="NUX68" s="87"/>
      <c r="NUY68" s="87"/>
      <c r="NUZ68" s="87"/>
      <c r="NVA68" s="87"/>
      <c r="NVB68" s="87"/>
      <c r="NVC68" s="87"/>
      <c r="NVD68" s="87"/>
      <c r="NVE68" s="87"/>
      <c r="NVF68" s="87"/>
      <c r="NVG68" s="87"/>
      <c r="NVH68" s="87"/>
      <c r="NVI68" s="87"/>
      <c r="NVJ68" s="87"/>
      <c r="NVK68" s="87"/>
      <c r="NVL68" s="87"/>
      <c r="NVM68" s="87"/>
      <c r="NVN68" s="87"/>
      <c r="NVO68" s="87"/>
      <c r="NVP68" s="87"/>
      <c r="NVQ68" s="87"/>
      <c r="NVR68" s="87"/>
      <c r="NVS68" s="87"/>
      <c r="NVT68" s="87"/>
      <c r="NVU68" s="87"/>
      <c r="NVV68" s="87"/>
      <c r="NVW68" s="87"/>
      <c r="NVX68" s="87"/>
      <c r="NVY68" s="87"/>
      <c r="NVZ68" s="87"/>
      <c r="NWA68" s="87"/>
      <c r="NWB68" s="87"/>
      <c r="NWC68" s="87"/>
      <c r="NWD68" s="87"/>
      <c r="NWE68" s="87"/>
      <c r="NWF68" s="87"/>
      <c r="NWG68" s="87"/>
      <c r="NWH68" s="87"/>
      <c r="NWI68" s="87"/>
      <c r="NWJ68" s="87"/>
      <c r="NWK68" s="87"/>
      <c r="NWL68" s="87"/>
      <c r="NWM68" s="87"/>
      <c r="NWN68" s="87"/>
      <c r="NWO68" s="87"/>
      <c r="NWP68" s="87"/>
      <c r="NWQ68" s="87"/>
      <c r="NWR68" s="87"/>
      <c r="NWS68" s="87"/>
      <c r="NWT68" s="87"/>
      <c r="NWU68" s="87"/>
      <c r="NWV68" s="87"/>
      <c r="NWW68" s="87"/>
      <c r="NWX68" s="87"/>
      <c r="NWY68" s="87"/>
      <c r="NWZ68" s="87"/>
      <c r="NXA68" s="87"/>
      <c r="NXB68" s="87"/>
      <c r="NXC68" s="87"/>
      <c r="NXD68" s="87"/>
      <c r="NXE68" s="87"/>
      <c r="NXF68" s="87"/>
      <c r="NXG68" s="87"/>
      <c r="NXH68" s="87"/>
      <c r="NXI68" s="87"/>
      <c r="NXJ68" s="87"/>
      <c r="NXK68" s="87"/>
      <c r="NXL68" s="87"/>
      <c r="NXM68" s="87"/>
      <c r="NXN68" s="87"/>
      <c r="NXO68" s="87"/>
      <c r="NXP68" s="87"/>
      <c r="NXQ68" s="87"/>
      <c r="NXR68" s="87"/>
      <c r="NXS68" s="87"/>
      <c r="NXT68" s="87"/>
      <c r="NXU68" s="87"/>
      <c r="NXV68" s="87"/>
      <c r="NXW68" s="87"/>
      <c r="NXX68" s="87"/>
      <c r="NXY68" s="87"/>
      <c r="NXZ68" s="87"/>
      <c r="NYA68" s="87"/>
      <c r="NYB68" s="87"/>
      <c r="NYC68" s="87"/>
      <c r="NYD68" s="87"/>
      <c r="NYE68" s="87"/>
      <c r="NYF68" s="87"/>
      <c r="NYG68" s="87"/>
      <c r="NYH68" s="87"/>
      <c r="NYI68" s="87"/>
      <c r="NYJ68" s="87"/>
      <c r="NYK68" s="87"/>
      <c r="NYL68" s="87"/>
      <c r="NYM68" s="87"/>
      <c r="NYN68" s="87"/>
      <c r="NYO68" s="87"/>
      <c r="NYP68" s="87"/>
      <c r="NYQ68" s="87"/>
      <c r="NYR68" s="87"/>
      <c r="NYS68" s="87"/>
      <c r="NYT68" s="87"/>
      <c r="NYU68" s="87"/>
      <c r="NYV68" s="87"/>
      <c r="NYW68" s="87"/>
      <c r="NYX68" s="87"/>
      <c r="NYY68" s="87"/>
      <c r="NYZ68" s="87"/>
      <c r="NZA68" s="87"/>
      <c r="NZB68" s="87"/>
      <c r="NZC68" s="87"/>
      <c r="NZD68" s="87"/>
      <c r="NZE68" s="87"/>
      <c r="NZF68" s="87"/>
      <c r="NZG68" s="87"/>
      <c r="NZH68" s="87"/>
      <c r="NZI68" s="87"/>
      <c r="NZJ68" s="87"/>
      <c r="NZK68" s="87"/>
      <c r="NZL68" s="87"/>
      <c r="NZM68" s="87"/>
      <c r="NZN68" s="87"/>
      <c r="NZO68" s="87"/>
      <c r="NZP68" s="87"/>
      <c r="NZQ68" s="87"/>
      <c r="NZR68" s="87"/>
      <c r="NZS68" s="87"/>
      <c r="NZT68" s="87"/>
      <c r="NZU68" s="87"/>
      <c r="NZV68" s="87"/>
      <c r="NZW68" s="87"/>
      <c r="NZX68" s="87"/>
      <c r="NZY68" s="87"/>
      <c r="NZZ68" s="87"/>
      <c r="OAA68" s="87"/>
      <c r="OAB68" s="87"/>
      <c r="OAC68" s="87"/>
      <c r="OAD68" s="87"/>
      <c r="OAE68" s="87"/>
      <c r="OAF68" s="87"/>
      <c r="OAG68" s="87"/>
      <c r="OAH68" s="87"/>
      <c r="OAI68" s="87"/>
      <c r="OAJ68" s="87"/>
      <c r="OAK68" s="87"/>
      <c r="OAL68" s="87"/>
      <c r="OAM68" s="87"/>
      <c r="OAN68" s="87"/>
      <c r="OAO68" s="87"/>
      <c r="OAP68" s="87"/>
      <c r="OAQ68" s="87"/>
      <c r="OAR68" s="87"/>
      <c r="OAS68" s="87"/>
      <c r="OAT68" s="87"/>
      <c r="OAU68" s="87"/>
      <c r="OAV68" s="87"/>
      <c r="OAW68" s="87"/>
      <c r="OAX68" s="87"/>
      <c r="OAY68" s="87"/>
      <c r="OAZ68" s="87"/>
      <c r="OBA68" s="87"/>
      <c r="OBB68" s="87"/>
      <c r="OBC68" s="87"/>
      <c r="OBD68" s="87"/>
      <c r="OBE68" s="87"/>
      <c r="OBF68" s="87"/>
      <c r="OBG68" s="87"/>
      <c r="OBH68" s="87"/>
      <c r="OBI68" s="87"/>
      <c r="OBJ68" s="87"/>
      <c r="OBK68" s="87"/>
      <c r="OBL68" s="87"/>
      <c r="OBM68" s="87"/>
      <c r="OBN68" s="87"/>
      <c r="OBO68" s="87"/>
      <c r="OBP68" s="87"/>
      <c r="OBQ68" s="87"/>
      <c r="OBR68" s="87"/>
      <c r="OBS68" s="87"/>
      <c r="OBT68" s="87"/>
      <c r="OBU68" s="87"/>
      <c r="OBV68" s="87"/>
      <c r="OBW68" s="87"/>
      <c r="OBX68" s="87"/>
      <c r="OBY68" s="87"/>
      <c r="OBZ68" s="87"/>
      <c r="OCA68" s="87"/>
      <c r="OCB68" s="87"/>
      <c r="OCC68" s="87"/>
      <c r="OCD68" s="87"/>
      <c r="OCE68" s="87"/>
      <c r="OCF68" s="87"/>
      <c r="OCG68" s="87"/>
      <c r="OCH68" s="87"/>
      <c r="OCI68" s="87"/>
      <c r="OCJ68" s="87"/>
      <c r="OCK68" s="87"/>
      <c r="OCL68" s="87"/>
      <c r="OCM68" s="87"/>
      <c r="OCN68" s="87"/>
      <c r="OCO68" s="87"/>
      <c r="OCP68" s="87"/>
      <c r="OCQ68" s="87"/>
      <c r="OCR68" s="87"/>
      <c r="OCS68" s="87"/>
      <c r="OCT68" s="87"/>
      <c r="OCU68" s="87"/>
      <c r="OCV68" s="87"/>
      <c r="OCW68" s="87"/>
      <c r="OCX68" s="87"/>
      <c r="OCY68" s="87"/>
      <c r="OCZ68" s="87"/>
      <c r="ODA68" s="87"/>
      <c r="ODB68" s="87"/>
      <c r="ODC68" s="87"/>
      <c r="ODD68" s="87"/>
      <c r="ODE68" s="87"/>
      <c r="ODF68" s="87"/>
      <c r="ODG68" s="87"/>
      <c r="ODH68" s="87"/>
      <c r="ODI68" s="87"/>
      <c r="ODJ68" s="87"/>
      <c r="ODK68" s="87"/>
      <c r="ODL68" s="87"/>
      <c r="ODM68" s="87"/>
      <c r="ODN68" s="87"/>
      <c r="ODO68" s="87"/>
      <c r="ODP68" s="87"/>
      <c r="ODQ68" s="87"/>
      <c r="ODR68" s="87"/>
      <c r="ODS68" s="87"/>
      <c r="ODT68" s="87"/>
      <c r="ODU68" s="87"/>
      <c r="ODV68" s="87"/>
      <c r="ODW68" s="87"/>
      <c r="ODX68" s="87"/>
      <c r="ODY68" s="87"/>
      <c r="ODZ68" s="87"/>
      <c r="OEA68" s="87"/>
      <c r="OEB68" s="87"/>
      <c r="OEC68" s="87"/>
      <c r="OED68" s="87"/>
      <c r="OEE68" s="87"/>
      <c r="OEF68" s="87"/>
      <c r="OEG68" s="87"/>
      <c r="OEH68" s="87"/>
      <c r="OEI68" s="87"/>
      <c r="OEJ68" s="87"/>
      <c r="OEK68" s="87"/>
      <c r="OEL68" s="87"/>
      <c r="OEM68" s="87"/>
      <c r="OEN68" s="87"/>
      <c r="OEO68" s="87"/>
      <c r="OEP68" s="87"/>
      <c r="OEQ68" s="87"/>
      <c r="OER68" s="87"/>
      <c r="OES68" s="87"/>
      <c r="OET68" s="87"/>
      <c r="OEU68" s="87"/>
      <c r="OEV68" s="87"/>
      <c r="OEW68" s="87"/>
      <c r="OEX68" s="87"/>
      <c r="OEY68" s="87"/>
      <c r="OEZ68" s="87"/>
      <c r="OFA68" s="87"/>
      <c r="OFB68" s="87"/>
      <c r="OFC68" s="87"/>
      <c r="OFD68" s="87"/>
      <c r="OFE68" s="87"/>
      <c r="OFF68" s="87"/>
      <c r="OFG68" s="87"/>
      <c r="OFH68" s="87"/>
      <c r="OFI68" s="87"/>
      <c r="OFJ68" s="87"/>
      <c r="OFK68" s="87"/>
      <c r="OFL68" s="87"/>
      <c r="OFM68" s="87"/>
      <c r="OFN68" s="87"/>
      <c r="OFO68" s="87"/>
      <c r="OFP68" s="87"/>
      <c r="OFQ68" s="87"/>
      <c r="OFR68" s="87"/>
      <c r="OFS68" s="87"/>
      <c r="OFT68" s="87"/>
      <c r="OFU68" s="87"/>
      <c r="OFV68" s="87"/>
      <c r="OFW68" s="87"/>
      <c r="OFX68" s="87"/>
      <c r="OFY68" s="87"/>
      <c r="OFZ68" s="87"/>
      <c r="OGA68" s="87"/>
      <c r="OGB68" s="87"/>
      <c r="OGC68" s="87"/>
      <c r="OGD68" s="87"/>
      <c r="OGE68" s="87"/>
      <c r="OGF68" s="87"/>
      <c r="OGG68" s="87"/>
      <c r="OGH68" s="87"/>
      <c r="OGI68" s="87"/>
      <c r="OGJ68" s="87"/>
      <c r="OGK68" s="87"/>
      <c r="OGL68" s="87"/>
      <c r="OGM68" s="87"/>
      <c r="OGN68" s="87"/>
      <c r="OGO68" s="87"/>
      <c r="OGP68" s="87"/>
      <c r="OGQ68" s="87"/>
      <c r="OGR68" s="87"/>
      <c r="OGS68" s="87"/>
      <c r="OGT68" s="87"/>
      <c r="OGU68" s="87"/>
      <c r="OGV68" s="87"/>
      <c r="OGW68" s="87"/>
      <c r="OGX68" s="87"/>
      <c r="OGY68" s="87"/>
      <c r="OGZ68" s="87"/>
      <c r="OHA68" s="87"/>
      <c r="OHB68" s="87"/>
      <c r="OHC68" s="87"/>
      <c r="OHD68" s="87"/>
      <c r="OHE68" s="87"/>
      <c r="OHF68" s="87"/>
      <c r="OHG68" s="87"/>
      <c r="OHH68" s="87"/>
      <c r="OHI68" s="87"/>
      <c r="OHJ68" s="87"/>
      <c r="OHK68" s="87"/>
      <c r="OHL68" s="87"/>
      <c r="OHM68" s="87"/>
      <c r="OHN68" s="87"/>
      <c r="OHO68" s="87"/>
      <c r="OHP68" s="87"/>
      <c r="OHQ68" s="87"/>
      <c r="OHR68" s="87"/>
      <c r="OHS68" s="87"/>
      <c r="OHT68" s="87"/>
      <c r="OHU68" s="87"/>
      <c r="OHV68" s="87"/>
      <c r="OHW68" s="87"/>
      <c r="OHX68" s="87"/>
      <c r="OHY68" s="87"/>
      <c r="OHZ68" s="87"/>
      <c r="OIA68" s="87"/>
      <c r="OIB68" s="87"/>
      <c r="OIC68" s="87"/>
      <c r="OID68" s="87"/>
      <c r="OIE68" s="87"/>
      <c r="OIF68" s="87"/>
      <c r="OIG68" s="87"/>
      <c r="OIH68" s="87"/>
      <c r="OII68" s="87"/>
      <c r="OIJ68" s="87"/>
      <c r="OIK68" s="87"/>
      <c r="OIL68" s="87"/>
      <c r="OIM68" s="87"/>
      <c r="OIN68" s="87"/>
      <c r="OIO68" s="87"/>
      <c r="OIP68" s="87"/>
      <c r="OIQ68" s="87"/>
      <c r="OIR68" s="87"/>
      <c r="OIS68" s="87"/>
      <c r="OIT68" s="87"/>
      <c r="OIU68" s="87"/>
      <c r="OIV68" s="87"/>
      <c r="OIW68" s="87"/>
      <c r="OIX68" s="87"/>
      <c r="OIY68" s="87"/>
      <c r="OIZ68" s="87"/>
      <c r="OJA68" s="87"/>
      <c r="OJB68" s="87"/>
      <c r="OJC68" s="87"/>
      <c r="OJD68" s="87"/>
      <c r="OJE68" s="87"/>
      <c r="OJF68" s="87"/>
      <c r="OJG68" s="87"/>
      <c r="OJH68" s="87"/>
      <c r="OJI68" s="87"/>
      <c r="OJJ68" s="87"/>
      <c r="OJK68" s="87"/>
      <c r="OJL68" s="87"/>
      <c r="OJM68" s="87"/>
      <c r="OJN68" s="87"/>
      <c r="OJO68" s="87"/>
      <c r="OJP68" s="87"/>
      <c r="OJQ68" s="87"/>
      <c r="OJR68" s="87"/>
      <c r="OJS68" s="87"/>
      <c r="OJT68" s="87"/>
      <c r="OJU68" s="87"/>
      <c r="OJV68" s="87"/>
      <c r="OJW68" s="87"/>
      <c r="OJX68" s="87"/>
      <c r="OJY68" s="87"/>
      <c r="OJZ68" s="87"/>
      <c r="OKA68" s="87"/>
      <c r="OKB68" s="87"/>
      <c r="OKC68" s="87"/>
      <c r="OKD68" s="87"/>
      <c r="OKE68" s="87"/>
      <c r="OKF68" s="87"/>
      <c r="OKG68" s="87"/>
      <c r="OKH68" s="87"/>
      <c r="OKI68" s="87"/>
      <c r="OKJ68" s="87"/>
      <c r="OKK68" s="87"/>
      <c r="OKL68" s="87"/>
      <c r="OKM68" s="87"/>
      <c r="OKN68" s="87"/>
      <c r="OKO68" s="87"/>
      <c r="OKP68" s="87"/>
      <c r="OKQ68" s="87"/>
      <c r="OKR68" s="87"/>
      <c r="OKS68" s="87"/>
      <c r="OKT68" s="87"/>
      <c r="OKU68" s="87"/>
      <c r="OKV68" s="87"/>
      <c r="OKW68" s="87"/>
      <c r="OKX68" s="87"/>
      <c r="OKY68" s="87"/>
      <c r="OKZ68" s="87"/>
      <c r="OLA68" s="87"/>
      <c r="OLB68" s="87"/>
      <c r="OLC68" s="87"/>
      <c r="OLD68" s="87"/>
      <c r="OLE68" s="87"/>
      <c r="OLF68" s="87"/>
      <c r="OLG68" s="87"/>
      <c r="OLH68" s="87"/>
      <c r="OLI68" s="87"/>
      <c r="OLJ68" s="87"/>
      <c r="OLK68" s="87"/>
      <c r="OLL68" s="87"/>
      <c r="OLM68" s="87"/>
      <c r="OLN68" s="87"/>
      <c r="OLO68" s="87"/>
      <c r="OLP68" s="87"/>
      <c r="OLQ68" s="87"/>
      <c r="OLR68" s="87"/>
      <c r="OLS68" s="87"/>
      <c r="OLT68" s="87"/>
      <c r="OLU68" s="87"/>
      <c r="OLV68" s="87"/>
      <c r="OLW68" s="87"/>
      <c r="OLX68" s="87"/>
      <c r="OLY68" s="87"/>
      <c r="OLZ68" s="87"/>
      <c r="OMA68" s="87"/>
      <c r="OMB68" s="87"/>
      <c r="OMC68" s="87"/>
      <c r="OMD68" s="87"/>
      <c r="OME68" s="87"/>
      <c r="OMF68" s="87"/>
      <c r="OMG68" s="87"/>
      <c r="OMH68" s="87"/>
      <c r="OMI68" s="87"/>
      <c r="OMJ68" s="87"/>
      <c r="OMK68" s="87"/>
      <c r="OML68" s="87"/>
      <c r="OMM68" s="87"/>
      <c r="OMN68" s="87"/>
      <c r="OMO68" s="87"/>
      <c r="OMP68" s="87"/>
      <c r="OMQ68" s="87"/>
      <c r="OMR68" s="87"/>
      <c r="OMS68" s="87"/>
      <c r="OMT68" s="87"/>
      <c r="OMU68" s="87"/>
      <c r="OMV68" s="87"/>
      <c r="OMW68" s="87"/>
      <c r="OMX68" s="87"/>
      <c r="OMY68" s="87"/>
      <c r="OMZ68" s="87"/>
      <c r="ONA68" s="87"/>
      <c r="ONB68" s="87"/>
      <c r="ONC68" s="87"/>
      <c r="OND68" s="87"/>
      <c r="ONE68" s="87"/>
      <c r="ONF68" s="87"/>
      <c r="ONG68" s="87"/>
      <c r="ONH68" s="87"/>
      <c r="ONI68" s="87"/>
      <c r="ONJ68" s="87"/>
      <c r="ONK68" s="87"/>
      <c r="ONL68" s="87"/>
      <c r="ONM68" s="87"/>
      <c r="ONN68" s="87"/>
      <c r="ONO68" s="87"/>
      <c r="ONP68" s="87"/>
      <c r="ONQ68" s="87"/>
      <c r="ONR68" s="87"/>
      <c r="ONS68" s="87"/>
      <c r="ONT68" s="87"/>
      <c r="ONU68" s="87"/>
      <c r="ONV68" s="87"/>
      <c r="ONW68" s="87"/>
      <c r="ONX68" s="87"/>
      <c r="ONY68" s="87"/>
      <c r="ONZ68" s="87"/>
      <c r="OOA68" s="87"/>
      <c r="OOB68" s="87"/>
      <c r="OOC68" s="87"/>
      <c r="OOD68" s="87"/>
      <c r="OOE68" s="87"/>
      <c r="OOF68" s="87"/>
      <c r="OOG68" s="87"/>
      <c r="OOH68" s="87"/>
      <c r="OOI68" s="87"/>
      <c r="OOJ68" s="87"/>
      <c r="OOK68" s="87"/>
      <c r="OOL68" s="87"/>
      <c r="OOM68" s="87"/>
      <c r="OON68" s="87"/>
      <c r="OOO68" s="87"/>
      <c r="OOP68" s="87"/>
      <c r="OOQ68" s="87"/>
      <c r="OOR68" s="87"/>
      <c r="OOS68" s="87"/>
      <c r="OOT68" s="87"/>
      <c r="OOU68" s="87"/>
      <c r="OOV68" s="87"/>
      <c r="OOW68" s="87"/>
      <c r="OOX68" s="87"/>
      <c r="OOY68" s="87"/>
      <c r="OOZ68" s="87"/>
      <c r="OPA68" s="87"/>
      <c r="OPB68" s="87"/>
      <c r="OPC68" s="87"/>
      <c r="OPD68" s="87"/>
      <c r="OPE68" s="87"/>
      <c r="OPF68" s="87"/>
      <c r="OPG68" s="87"/>
      <c r="OPH68" s="87"/>
      <c r="OPI68" s="87"/>
      <c r="OPJ68" s="87"/>
      <c r="OPK68" s="87"/>
      <c r="OPL68" s="87"/>
      <c r="OPM68" s="87"/>
      <c r="OPN68" s="87"/>
      <c r="OPO68" s="87"/>
      <c r="OPP68" s="87"/>
      <c r="OPQ68" s="87"/>
      <c r="OPR68" s="87"/>
      <c r="OPS68" s="87"/>
      <c r="OPT68" s="87"/>
      <c r="OPU68" s="87"/>
      <c r="OPV68" s="87"/>
      <c r="OPW68" s="87"/>
      <c r="OPX68" s="87"/>
      <c r="OPY68" s="87"/>
      <c r="OPZ68" s="87"/>
      <c r="OQA68" s="87"/>
      <c r="OQB68" s="87"/>
      <c r="OQC68" s="87"/>
      <c r="OQD68" s="87"/>
      <c r="OQE68" s="87"/>
      <c r="OQF68" s="87"/>
      <c r="OQG68" s="87"/>
      <c r="OQH68" s="87"/>
      <c r="OQI68" s="87"/>
      <c r="OQJ68" s="87"/>
      <c r="OQK68" s="87"/>
      <c r="OQL68" s="87"/>
      <c r="OQM68" s="87"/>
      <c r="OQN68" s="87"/>
      <c r="OQO68" s="87"/>
      <c r="OQP68" s="87"/>
      <c r="OQQ68" s="87"/>
      <c r="OQR68" s="87"/>
      <c r="OQS68" s="87"/>
      <c r="OQT68" s="87"/>
      <c r="OQU68" s="87"/>
      <c r="OQV68" s="87"/>
      <c r="OQW68" s="87"/>
      <c r="OQX68" s="87"/>
      <c r="OQY68" s="87"/>
      <c r="OQZ68" s="87"/>
      <c r="ORA68" s="87"/>
      <c r="ORB68" s="87"/>
      <c r="ORC68" s="87"/>
      <c r="ORD68" s="87"/>
      <c r="ORE68" s="87"/>
      <c r="ORF68" s="87"/>
      <c r="ORG68" s="87"/>
      <c r="ORH68" s="87"/>
      <c r="ORI68" s="87"/>
      <c r="ORJ68" s="87"/>
      <c r="ORK68" s="87"/>
      <c r="ORL68" s="87"/>
      <c r="ORM68" s="87"/>
      <c r="ORN68" s="87"/>
      <c r="ORO68" s="87"/>
      <c r="ORP68" s="87"/>
      <c r="ORQ68" s="87"/>
      <c r="ORR68" s="87"/>
      <c r="ORS68" s="87"/>
      <c r="ORT68" s="87"/>
      <c r="ORU68" s="87"/>
      <c r="ORV68" s="87"/>
      <c r="ORW68" s="87"/>
      <c r="ORX68" s="87"/>
      <c r="ORY68" s="87"/>
      <c r="ORZ68" s="87"/>
      <c r="OSA68" s="87"/>
      <c r="OSB68" s="87"/>
      <c r="OSC68" s="87"/>
      <c r="OSD68" s="87"/>
      <c r="OSE68" s="87"/>
      <c r="OSF68" s="87"/>
      <c r="OSG68" s="87"/>
      <c r="OSH68" s="87"/>
      <c r="OSI68" s="87"/>
      <c r="OSJ68" s="87"/>
      <c r="OSK68" s="87"/>
      <c r="OSL68" s="87"/>
      <c r="OSM68" s="87"/>
      <c r="OSN68" s="87"/>
      <c r="OSO68" s="87"/>
      <c r="OSP68" s="87"/>
      <c r="OSQ68" s="87"/>
      <c r="OSR68" s="87"/>
      <c r="OSS68" s="87"/>
      <c r="OST68" s="87"/>
      <c r="OSU68" s="87"/>
      <c r="OSV68" s="87"/>
      <c r="OSW68" s="87"/>
      <c r="OSX68" s="87"/>
      <c r="OSY68" s="87"/>
      <c r="OSZ68" s="87"/>
      <c r="OTA68" s="87"/>
      <c r="OTB68" s="87"/>
      <c r="OTC68" s="87"/>
      <c r="OTD68" s="87"/>
      <c r="OTE68" s="87"/>
      <c r="OTF68" s="87"/>
      <c r="OTG68" s="87"/>
      <c r="OTH68" s="87"/>
      <c r="OTI68" s="87"/>
      <c r="OTJ68" s="87"/>
      <c r="OTK68" s="87"/>
      <c r="OTL68" s="87"/>
      <c r="OTM68" s="87"/>
      <c r="OTN68" s="87"/>
      <c r="OTO68" s="87"/>
      <c r="OTP68" s="87"/>
      <c r="OTQ68" s="87"/>
      <c r="OTR68" s="87"/>
      <c r="OTS68" s="87"/>
      <c r="OTT68" s="87"/>
      <c r="OTU68" s="87"/>
      <c r="OTV68" s="87"/>
      <c r="OTW68" s="87"/>
      <c r="OTX68" s="87"/>
      <c r="OTY68" s="87"/>
      <c r="OTZ68" s="87"/>
      <c r="OUA68" s="87"/>
      <c r="OUB68" s="87"/>
      <c r="OUC68" s="87"/>
      <c r="OUD68" s="87"/>
      <c r="OUE68" s="87"/>
      <c r="OUF68" s="87"/>
      <c r="OUG68" s="87"/>
      <c r="OUH68" s="87"/>
      <c r="OUI68" s="87"/>
      <c r="OUJ68" s="87"/>
      <c r="OUK68" s="87"/>
      <c r="OUL68" s="87"/>
      <c r="OUM68" s="87"/>
      <c r="OUN68" s="87"/>
      <c r="OUO68" s="87"/>
      <c r="OUP68" s="87"/>
      <c r="OUQ68" s="87"/>
      <c r="OUR68" s="87"/>
      <c r="OUS68" s="87"/>
      <c r="OUT68" s="87"/>
      <c r="OUU68" s="87"/>
      <c r="OUV68" s="87"/>
      <c r="OUW68" s="87"/>
      <c r="OUX68" s="87"/>
      <c r="OUY68" s="87"/>
      <c r="OUZ68" s="87"/>
      <c r="OVA68" s="87"/>
      <c r="OVB68" s="87"/>
      <c r="OVC68" s="87"/>
      <c r="OVD68" s="87"/>
      <c r="OVE68" s="87"/>
      <c r="OVF68" s="87"/>
      <c r="OVG68" s="87"/>
      <c r="OVH68" s="87"/>
      <c r="OVI68" s="87"/>
      <c r="OVJ68" s="87"/>
      <c r="OVK68" s="87"/>
      <c r="OVL68" s="87"/>
      <c r="OVM68" s="87"/>
      <c r="OVN68" s="87"/>
      <c r="OVO68" s="87"/>
      <c r="OVP68" s="87"/>
      <c r="OVQ68" s="87"/>
      <c r="OVR68" s="87"/>
      <c r="OVS68" s="87"/>
      <c r="OVT68" s="87"/>
      <c r="OVU68" s="87"/>
      <c r="OVV68" s="87"/>
      <c r="OVW68" s="87"/>
      <c r="OVX68" s="87"/>
      <c r="OVY68" s="87"/>
      <c r="OVZ68" s="87"/>
      <c r="OWA68" s="87"/>
      <c r="OWB68" s="87"/>
      <c r="OWC68" s="87"/>
      <c r="OWD68" s="87"/>
      <c r="OWE68" s="87"/>
      <c r="OWF68" s="87"/>
      <c r="OWG68" s="87"/>
      <c r="OWH68" s="87"/>
      <c r="OWI68" s="87"/>
      <c r="OWJ68" s="87"/>
      <c r="OWK68" s="87"/>
      <c r="OWL68" s="87"/>
      <c r="OWM68" s="87"/>
      <c r="OWN68" s="87"/>
      <c r="OWO68" s="87"/>
      <c r="OWP68" s="87"/>
      <c r="OWQ68" s="87"/>
      <c r="OWR68" s="87"/>
      <c r="OWS68" s="87"/>
      <c r="OWT68" s="87"/>
      <c r="OWU68" s="87"/>
      <c r="OWV68" s="87"/>
      <c r="OWW68" s="87"/>
      <c r="OWX68" s="87"/>
      <c r="OWY68" s="87"/>
      <c r="OWZ68" s="87"/>
      <c r="OXA68" s="87"/>
      <c r="OXB68" s="87"/>
      <c r="OXC68" s="87"/>
      <c r="OXD68" s="87"/>
      <c r="OXE68" s="87"/>
      <c r="OXF68" s="87"/>
      <c r="OXG68" s="87"/>
      <c r="OXH68" s="87"/>
      <c r="OXI68" s="87"/>
      <c r="OXJ68" s="87"/>
      <c r="OXK68" s="87"/>
      <c r="OXL68" s="87"/>
      <c r="OXM68" s="87"/>
      <c r="OXN68" s="87"/>
      <c r="OXO68" s="87"/>
      <c r="OXP68" s="87"/>
      <c r="OXQ68" s="87"/>
      <c r="OXR68" s="87"/>
      <c r="OXS68" s="87"/>
      <c r="OXT68" s="87"/>
      <c r="OXU68" s="87"/>
      <c r="OXV68" s="87"/>
      <c r="OXW68" s="87"/>
      <c r="OXX68" s="87"/>
      <c r="OXY68" s="87"/>
      <c r="OXZ68" s="87"/>
      <c r="OYA68" s="87"/>
      <c r="OYB68" s="87"/>
      <c r="OYC68" s="87"/>
      <c r="OYD68" s="87"/>
      <c r="OYE68" s="87"/>
      <c r="OYF68" s="87"/>
      <c r="OYG68" s="87"/>
      <c r="OYH68" s="87"/>
      <c r="OYI68" s="87"/>
      <c r="OYJ68" s="87"/>
      <c r="OYK68" s="87"/>
      <c r="OYL68" s="87"/>
      <c r="OYM68" s="87"/>
      <c r="OYN68" s="87"/>
      <c r="OYO68" s="87"/>
      <c r="OYP68" s="87"/>
      <c r="OYQ68" s="87"/>
      <c r="OYR68" s="87"/>
      <c r="OYS68" s="87"/>
      <c r="OYT68" s="87"/>
      <c r="OYU68" s="87"/>
      <c r="OYV68" s="87"/>
      <c r="OYW68" s="87"/>
      <c r="OYX68" s="87"/>
      <c r="OYY68" s="87"/>
      <c r="OYZ68" s="87"/>
      <c r="OZA68" s="87"/>
      <c r="OZB68" s="87"/>
      <c r="OZC68" s="87"/>
      <c r="OZD68" s="87"/>
      <c r="OZE68" s="87"/>
      <c r="OZF68" s="87"/>
      <c r="OZG68" s="87"/>
      <c r="OZH68" s="87"/>
      <c r="OZI68" s="87"/>
      <c r="OZJ68" s="87"/>
      <c r="OZK68" s="87"/>
      <c r="OZL68" s="87"/>
      <c r="OZM68" s="87"/>
      <c r="OZN68" s="87"/>
      <c r="OZO68" s="87"/>
      <c r="OZP68" s="87"/>
      <c r="OZQ68" s="87"/>
      <c r="OZR68" s="87"/>
      <c r="OZS68" s="87"/>
      <c r="OZT68" s="87"/>
      <c r="OZU68" s="87"/>
      <c r="OZV68" s="87"/>
      <c r="OZW68" s="87"/>
      <c r="OZX68" s="87"/>
      <c r="OZY68" s="87"/>
      <c r="OZZ68" s="87"/>
      <c r="PAA68" s="87"/>
      <c r="PAB68" s="87"/>
      <c r="PAC68" s="87"/>
      <c r="PAD68" s="87"/>
      <c r="PAE68" s="87"/>
      <c r="PAF68" s="87"/>
      <c r="PAG68" s="87"/>
      <c r="PAH68" s="87"/>
      <c r="PAI68" s="87"/>
      <c r="PAJ68" s="87"/>
      <c r="PAK68" s="87"/>
      <c r="PAL68" s="87"/>
      <c r="PAM68" s="87"/>
      <c r="PAN68" s="87"/>
      <c r="PAO68" s="87"/>
      <c r="PAP68" s="87"/>
      <c r="PAQ68" s="87"/>
      <c r="PAR68" s="87"/>
      <c r="PAS68" s="87"/>
      <c r="PAT68" s="87"/>
      <c r="PAU68" s="87"/>
      <c r="PAV68" s="87"/>
      <c r="PAW68" s="87"/>
      <c r="PAX68" s="87"/>
      <c r="PAY68" s="87"/>
      <c r="PAZ68" s="87"/>
      <c r="PBA68" s="87"/>
      <c r="PBB68" s="87"/>
      <c r="PBC68" s="87"/>
      <c r="PBD68" s="87"/>
      <c r="PBE68" s="87"/>
      <c r="PBF68" s="87"/>
      <c r="PBG68" s="87"/>
      <c r="PBH68" s="87"/>
      <c r="PBI68" s="87"/>
      <c r="PBJ68" s="87"/>
      <c r="PBK68" s="87"/>
      <c r="PBL68" s="87"/>
      <c r="PBM68" s="87"/>
      <c r="PBN68" s="87"/>
      <c r="PBO68" s="87"/>
      <c r="PBP68" s="87"/>
      <c r="PBQ68" s="87"/>
      <c r="PBR68" s="87"/>
      <c r="PBS68" s="87"/>
      <c r="PBT68" s="87"/>
      <c r="PBU68" s="87"/>
      <c r="PBV68" s="87"/>
      <c r="PBW68" s="87"/>
      <c r="PBX68" s="87"/>
      <c r="PBY68" s="87"/>
      <c r="PBZ68" s="87"/>
      <c r="PCA68" s="87"/>
      <c r="PCB68" s="87"/>
      <c r="PCC68" s="87"/>
      <c r="PCD68" s="87"/>
      <c r="PCE68" s="87"/>
      <c r="PCF68" s="87"/>
      <c r="PCG68" s="87"/>
      <c r="PCH68" s="87"/>
      <c r="PCI68" s="87"/>
      <c r="PCJ68" s="87"/>
      <c r="PCK68" s="87"/>
      <c r="PCL68" s="87"/>
      <c r="PCM68" s="87"/>
      <c r="PCN68" s="87"/>
      <c r="PCO68" s="87"/>
      <c r="PCP68" s="87"/>
      <c r="PCQ68" s="87"/>
      <c r="PCR68" s="87"/>
      <c r="PCS68" s="87"/>
      <c r="PCT68" s="87"/>
      <c r="PCU68" s="87"/>
      <c r="PCV68" s="87"/>
      <c r="PCW68" s="87"/>
      <c r="PCX68" s="87"/>
      <c r="PCY68" s="87"/>
      <c r="PCZ68" s="87"/>
      <c r="PDA68" s="87"/>
      <c r="PDB68" s="87"/>
      <c r="PDC68" s="87"/>
      <c r="PDD68" s="87"/>
      <c r="PDE68" s="87"/>
      <c r="PDF68" s="87"/>
      <c r="PDG68" s="87"/>
      <c r="PDH68" s="87"/>
      <c r="PDI68" s="87"/>
      <c r="PDJ68" s="87"/>
      <c r="PDK68" s="87"/>
      <c r="PDL68" s="87"/>
      <c r="PDM68" s="87"/>
      <c r="PDN68" s="87"/>
      <c r="PDO68" s="87"/>
      <c r="PDP68" s="87"/>
      <c r="PDQ68" s="87"/>
      <c r="PDR68" s="87"/>
      <c r="PDS68" s="87"/>
      <c r="PDT68" s="87"/>
      <c r="PDU68" s="87"/>
      <c r="PDV68" s="87"/>
      <c r="PDW68" s="87"/>
      <c r="PDX68" s="87"/>
      <c r="PDY68" s="87"/>
      <c r="PDZ68" s="87"/>
      <c r="PEA68" s="87"/>
      <c r="PEB68" s="87"/>
      <c r="PEC68" s="87"/>
      <c r="PED68" s="87"/>
      <c r="PEE68" s="87"/>
      <c r="PEF68" s="87"/>
      <c r="PEG68" s="87"/>
      <c r="PEH68" s="87"/>
      <c r="PEI68" s="87"/>
      <c r="PEJ68" s="87"/>
      <c r="PEK68" s="87"/>
      <c r="PEL68" s="87"/>
      <c r="PEM68" s="87"/>
      <c r="PEN68" s="87"/>
      <c r="PEO68" s="87"/>
      <c r="PEP68" s="87"/>
      <c r="PEQ68" s="87"/>
      <c r="PER68" s="87"/>
      <c r="PES68" s="87"/>
      <c r="PET68" s="87"/>
      <c r="PEU68" s="87"/>
      <c r="PEV68" s="87"/>
      <c r="PEW68" s="87"/>
      <c r="PEX68" s="87"/>
      <c r="PEY68" s="87"/>
      <c r="PEZ68" s="87"/>
      <c r="PFA68" s="87"/>
      <c r="PFB68" s="87"/>
      <c r="PFC68" s="87"/>
      <c r="PFD68" s="87"/>
      <c r="PFE68" s="87"/>
      <c r="PFF68" s="87"/>
      <c r="PFG68" s="87"/>
      <c r="PFH68" s="87"/>
      <c r="PFI68" s="87"/>
      <c r="PFJ68" s="87"/>
      <c r="PFK68" s="87"/>
      <c r="PFL68" s="87"/>
      <c r="PFM68" s="87"/>
      <c r="PFN68" s="87"/>
      <c r="PFO68" s="87"/>
      <c r="PFP68" s="87"/>
      <c r="PFQ68" s="87"/>
      <c r="PFR68" s="87"/>
      <c r="PFS68" s="87"/>
      <c r="PFT68" s="87"/>
      <c r="PFU68" s="87"/>
      <c r="PFV68" s="87"/>
      <c r="PFW68" s="87"/>
      <c r="PFX68" s="87"/>
      <c r="PFY68" s="87"/>
      <c r="PFZ68" s="87"/>
      <c r="PGA68" s="87"/>
      <c r="PGB68" s="87"/>
      <c r="PGC68" s="87"/>
      <c r="PGD68" s="87"/>
      <c r="PGE68" s="87"/>
      <c r="PGF68" s="87"/>
      <c r="PGG68" s="87"/>
      <c r="PGH68" s="87"/>
      <c r="PGI68" s="87"/>
      <c r="PGJ68" s="87"/>
      <c r="PGK68" s="87"/>
      <c r="PGL68" s="87"/>
      <c r="PGM68" s="87"/>
      <c r="PGN68" s="87"/>
      <c r="PGO68" s="87"/>
      <c r="PGP68" s="87"/>
      <c r="PGQ68" s="87"/>
      <c r="PGR68" s="87"/>
      <c r="PGS68" s="87"/>
      <c r="PGT68" s="87"/>
      <c r="PGU68" s="87"/>
      <c r="PGV68" s="87"/>
      <c r="PGW68" s="87"/>
      <c r="PGX68" s="87"/>
      <c r="PGY68" s="87"/>
      <c r="PGZ68" s="87"/>
      <c r="PHA68" s="87"/>
      <c r="PHB68" s="87"/>
      <c r="PHC68" s="87"/>
      <c r="PHD68" s="87"/>
      <c r="PHE68" s="87"/>
      <c r="PHF68" s="87"/>
      <c r="PHG68" s="87"/>
      <c r="PHH68" s="87"/>
      <c r="PHI68" s="87"/>
      <c r="PHJ68" s="87"/>
      <c r="PHK68" s="87"/>
      <c r="PHL68" s="87"/>
      <c r="PHM68" s="87"/>
      <c r="PHN68" s="87"/>
      <c r="PHO68" s="87"/>
      <c r="PHP68" s="87"/>
      <c r="PHQ68" s="87"/>
      <c r="PHR68" s="87"/>
      <c r="PHS68" s="87"/>
      <c r="PHT68" s="87"/>
      <c r="PHU68" s="87"/>
      <c r="PHV68" s="87"/>
      <c r="PHW68" s="87"/>
      <c r="PHX68" s="87"/>
      <c r="PHY68" s="87"/>
      <c r="PHZ68" s="87"/>
      <c r="PIA68" s="87"/>
      <c r="PIB68" s="87"/>
      <c r="PIC68" s="87"/>
      <c r="PID68" s="87"/>
      <c r="PIE68" s="87"/>
      <c r="PIF68" s="87"/>
      <c r="PIG68" s="87"/>
      <c r="PIH68" s="87"/>
      <c r="PII68" s="87"/>
      <c r="PIJ68" s="87"/>
      <c r="PIK68" s="87"/>
      <c r="PIL68" s="87"/>
      <c r="PIM68" s="87"/>
      <c r="PIN68" s="87"/>
      <c r="PIO68" s="87"/>
      <c r="PIP68" s="87"/>
      <c r="PIQ68" s="87"/>
      <c r="PIR68" s="87"/>
      <c r="PIS68" s="87"/>
      <c r="PIT68" s="87"/>
      <c r="PIU68" s="87"/>
      <c r="PIV68" s="87"/>
      <c r="PIW68" s="87"/>
      <c r="PIX68" s="87"/>
      <c r="PIY68" s="87"/>
      <c r="PIZ68" s="87"/>
      <c r="PJA68" s="87"/>
      <c r="PJB68" s="87"/>
      <c r="PJC68" s="87"/>
      <c r="PJD68" s="87"/>
      <c r="PJE68" s="87"/>
      <c r="PJF68" s="87"/>
      <c r="PJG68" s="87"/>
      <c r="PJH68" s="87"/>
      <c r="PJI68" s="87"/>
      <c r="PJJ68" s="87"/>
      <c r="PJK68" s="87"/>
      <c r="PJL68" s="87"/>
      <c r="PJM68" s="87"/>
      <c r="PJN68" s="87"/>
      <c r="PJO68" s="87"/>
      <c r="PJP68" s="87"/>
      <c r="PJQ68" s="87"/>
      <c r="PJR68" s="87"/>
      <c r="PJS68" s="87"/>
      <c r="PJT68" s="87"/>
      <c r="PJU68" s="87"/>
      <c r="PJV68" s="87"/>
      <c r="PJW68" s="87"/>
      <c r="PJX68" s="87"/>
      <c r="PJY68" s="87"/>
      <c r="PJZ68" s="87"/>
      <c r="PKA68" s="87"/>
      <c r="PKB68" s="87"/>
      <c r="PKC68" s="87"/>
      <c r="PKD68" s="87"/>
      <c r="PKE68" s="87"/>
      <c r="PKF68" s="87"/>
      <c r="PKG68" s="87"/>
      <c r="PKH68" s="87"/>
      <c r="PKI68" s="87"/>
      <c r="PKJ68" s="87"/>
      <c r="PKK68" s="87"/>
      <c r="PKL68" s="87"/>
      <c r="PKM68" s="87"/>
      <c r="PKN68" s="87"/>
      <c r="PKO68" s="87"/>
      <c r="PKP68" s="87"/>
      <c r="PKQ68" s="87"/>
      <c r="PKR68" s="87"/>
      <c r="PKS68" s="87"/>
      <c r="PKT68" s="87"/>
      <c r="PKU68" s="87"/>
      <c r="PKV68" s="87"/>
      <c r="PKW68" s="87"/>
      <c r="PKX68" s="87"/>
      <c r="PKY68" s="87"/>
      <c r="PKZ68" s="87"/>
      <c r="PLA68" s="87"/>
      <c r="PLB68" s="87"/>
      <c r="PLC68" s="87"/>
      <c r="PLD68" s="87"/>
      <c r="PLE68" s="87"/>
      <c r="PLF68" s="87"/>
      <c r="PLG68" s="87"/>
      <c r="PLH68" s="87"/>
      <c r="PLI68" s="87"/>
      <c r="PLJ68" s="87"/>
      <c r="PLK68" s="87"/>
      <c r="PLL68" s="87"/>
      <c r="PLM68" s="87"/>
      <c r="PLN68" s="87"/>
      <c r="PLO68" s="87"/>
      <c r="PLP68" s="87"/>
      <c r="PLQ68" s="87"/>
      <c r="PLR68" s="87"/>
      <c r="PLS68" s="87"/>
      <c r="PLT68" s="87"/>
      <c r="PLU68" s="87"/>
      <c r="PLV68" s="87"/>
      <c r="PLW68" s="87"/>
      <c r="PLX68" s="87"/>
      <c r="PLY68" s="87"/>
      <c r="PLZ68" s="87"/>
      <c r="PMA68" s="87"/>
      <c r="PMB68" s="87"/>
      <c r="PMC68" s="87"/>
      <c r="PMD68" s="87"/>
      <c r="PME68" s="87"/>
      <c r="PMF68" s="87"/>
      <c r="PMG68" s="87"/>
      <c r="PMH68" s="87"/>
      <c r="PMI68" s="87"/>
      <c r="PMJ68" s="87"/>
      <c r="PMK68" s="87"/>
      <c r="PML68" s="87"/>
      <c r="PMM68" s="87"/>
      <c r="PMN68" s="87"/>
      <c r="PMO68" s="87"/>
      <c r="PMP68" s="87"/>
      <c r="PMQ68" s="87"/>
      <c r="PMR68" s="87"/>
      <c r="PMS68" s="87"/>
      <c r="PMT68" s="87"/>
      <c r="PMU68" s="87"/>
      <c r="PMV68" s="87"/>
      <c r="PMW68" s="87"/>
      <c r="PMX68" s="87"/>
      <c r="PMY68" s="87"/>
      <c r="PMZ68" s="87"/>
      <c r="PNA68" s="87"/>
      <c r="PNB68" s="87"/>
      <c r="PNC68" s="87"/>
      <c r="PND68" s="87"/>
      <c r="PNE68" s="87"/>
      <c r="PNF68" s="87"/>
      <c r="PNG68" s="87"/>
      <c r="PNH68" s="87"/>
      <c r="PNI68" s="87"/>
      <c r="PNJ68" s="87"/>
      <c r="PNK68" s="87"/>
      <c r="PNL68" s="87"/>
      <c r="PNM68" s="87"/>
      <c r="PNN68" s="87"/>
      <c r="PNO68" s="87"/>
      <c r="PNP68" s="87"/>
      <c r="PNQ68" s="87"/>
      <c r="PNR68" s="87"/>
      <c r="PNS68" s="87"/>
      <c r="PNT68" s="87"/>
      <c r="PNU68" s="87"/>
      <c r="PNV68" s="87"/>
      <c r="PNW68" s="87"/>
      <c r="PNX68" s="87"/>
      <c r="PNY68" s="87"/>
      <c r="PNZ68" s="87"/>
      <c r="POA68" s="87"/>
      <c r="POB68" s="87"/>
      <c r="POC68" s="87"/>
      <c r="POD68" s="87"/>
      <c r="POE68" s="87"/>
      <c r="POF68" s="87"/>
      <c r="POG68" s="87"/>
      <c r="POH68" s="87"/>
      <c r="POI68" s="87"/>
      <c r="POJ68" s="87"/>
      <c r="POK68" s="87"/>
      <c r="POL68" s="87"/>
      <c r="POM68" s="87"/>
      <c r="PON68" s="87"/>
      <c r="POO68" s="87"/>
      <c r="POP68" s="87"/>
      <c r="POQ68" s="87"/>
      <c r="POR68" s="87"/>
      <c r="POS68" s="87"/>
      <c r="POT68" s="87"/>
      <c r="POU68" s="87"/>
      <c r="POV68" s="87"/>
      <c r="POW68" s="87"/>
      <c r="POX68" s="87"/>
      <c r="POY68" s="87"/>
      <c r="POZ68" s="87"/>
      <c r="PPA68" s="87"/>
      <c r="PPB68" s="87"/>
      <c r="PPC68" s="87"/>
      <c r="PPD68" s="87"/>
      <c r="PPE68" s="87"/>
      <c r="PPF68" s="87"/>
      <c r="PPG68" s="87"/>
      <c r="PPH68" s="87"/>
      <c r="PPI68" s="87"/>
      <c r="PPJ68" s="87"/>
      <c r="PPK68" s="87"/>
      <c r="PPL68" s="87"/>
      <c r="PPM68" s="87"/>
      <c r="PPN68" s="87"/>
      <c r="PPO68" s="87"/>
      <c r="PPP68" s="87"/>
      <c r="PPQ68" s="87"/>
      <c r="PPR68" s="87"/>
      <c r="PPS68" s="87"/>
      <c r="PPT68" s="87"/>
      <c r="PPU68" s="87"/>
      <c r="PPV68" s="87"/>
      <c r="PPW68" s="87"/>
      <c r="PPX68" s="87"/>
      <c r="PPY68" s="87"/>
      <c r="PPZ68" s="87"/>
      <c r="PQA68" s="87"/>
      <c r="PQB68" s="87"/>
      <c r="PQC68" s="87"/>
      <c r="PQD68" s="87"/>
      <c r="PQE68" s="87"/>
      <c r="PQF68" s="87"/>
      <c r="PQG68" s="87"/>
      <c r="PQH68" s="87"/>
      <c r="PQI68" s="87"/>
      <c r="PQJ68" s="87"/>
      <c r="PQK68" s="87"/>
      <c r="PQL68" s="87"/>
      <c r="PQM68" s="87"/>
      <c r="PQN68" s="87"/>
      <c r="PQO68" s="87"/>
      <c r="PQP68" s="87"/>
      <c r="PQQ68" s="87"/>
      <c r="PQR68" s="87"/>
      <c r="PQS68" s="87"/>
      <c r="PQT68" s="87"/>
      <c r="PQU68" s="87"/>
      <c r="PQV68" s="87"/>
      <c r="PQW68" s="87"/>
      <c r="PQX68" s="87"/>
      <c r="PQY68" s="87"/>
      <c r="PQZ68" s="87"/>
      <c r="PRA68" s="87"/>
      <c r="PRB68" s="87"/>
      <c r="PRC68" s="87"/>
      <c r="PRD68" s="87"/>
      <c r="PRE68" s="87"/>
      <c r="PRF68" s="87"/>
      <c r="PRG68" s="87"/>
      <c r="PRH68" s="87"/>
      <c r="PRI68" s="87"/>
      <c r="PRJ68" s="87"/>
      <c r="PRK68" s="87"/>
      <c r="PRL68" s="87"/>
      <c r="PRM68" s="87"/>
      <c r="PRN68" s="87"/>
      <c r="PRO68" s="87"/>
      <c r="PRP68" s="87"/>
      <c r="PRQ68" s="87"/>
      <c r="PRR68" s="87"/>
      <c r="PRS68" s="87"/>
      <c r="PRT68" s="87"/>
      <c r="PRU68" s="87"/>
      <c r="PRV68" s="87"/>
      <c r="PRW68" s="87"/>
      <c r="PRX68" s="87"/>
      <c r="PRY68" s="87"/>
      <c r="PRZ68" s="87"/>
      <c r="PSA68" s="87"/>
      <c r="PSB68" s="87"/>
      <c r="PSC68" s="87"/>
      <c r="PSD68" s="87"/>
      <c r="PSE68" s="87"/>
      <c r="PSF68" s="87"/>
      <c r="PSG68" s="87"/>
      <c r="PSH68" s="87"/>
      <c r="PSI68" s="87"/>
      <c r="PSJ68" s="87"/>
      <c r="PSK68" s="87"/>
      <c r="PSL68" s="87"/>
      <c r="PSM68" s="87"/>
      <c r="PSN68" s="87"/>
      <c r="PSO68" s="87"/>
      <c r="PSP68" s="87"/>
      <c r="PSQ68" s="87"/>
      <c r="PSR68" s="87"/>
      <c r="PSS68" s="87"/>
      <c r="PST68" s="87"/>
      <c r="PSU68" s="87"/>
      <c r="PSV68" s="87"/>
      <c r="PSW68" s="87"/>
      <c r="PSX68" s="87"/>
      <c r="PSY68" s="87"/>
      <c r="PSZ68" s="87"/>
      <c r="PTA68" s="87"/>
      <c r="PTB68" s="87"/>
      <c r="PTC68" s="87"/>
      <c r="PTD68" s="87"/>
      <c r="PTE68" s="87"/>
      <c r="PTF68" s="87"/>
      <c r="PTG68" s="87"/>
      <c r="PTH68" s="87"/>
      <c r="PTI68" s="87"/>
      <c r="PTJ68" s="87"/>
      <c r="PTK68" s="87"/>
      <c r="PTL68" s="87"/>
      <c r="PTM68" s="87"/>
      <c r="PTN68" s="87"/>
      <c r="PTO68" s="87"/>
      <c r="PTP68" s="87"/>
      <c r="PTQ68" s="87"/>
      <c r="PTR68" s="87"/>
      <c r="PTS68" s="87"/>
      <c r="PTT68" s="87"/>
      <c r="PTU68" s="87"/>
      <c r="PTV68" s="87"/>
      <c r="PTW68" s="87"/>
      <c r="PTX68" s="87"/>
      <c r="PTY68" s="87"/>
      <c r="PTZ68" s="87"/>
      <c r="PUA68" s="87"/>
      <c r="PUB68" s="87"/>
      <c r="PUC68" s="87"/>
      <c r="PUD68" s="87"/>
      <c r="PUE68" s="87"/>
      <c r="PUF68" s="87"/>
      <c r="PUG68" s="87"/>
      <c r="PUH68" s="87"/>
      <c r="PUI68" s="87"/>
      <c r="PUJ68" s="87"/>
      <c r="PUK68" s="87"/>
      <c r="PUL68" s="87"/>
      <c r="PUM68" s="87"/>
      <c r="PUN68" s="87"/>
      <c r="PUO68" s="87"/>
      <c r="PUP68" s="87"/>
      <c r="PUQ68" s="87"/>
      <c r="PUR68" s="87"/>
      <c r="PUS68" s="87"/>
      <c r="PUT68" s="87"/>
      <c r="PUU68" s="87"/>
      <c r="PUV68" s="87"/>
      <c r="PUW68" s="87"/>
      <c r="PUX68" s="87"/>
      <c r="PUY68" s="87"/>
      <c r="PUZ68" s="87"/>
      <c r="PVA68" s="87"/>
      <c r="PVB68" s="87"/>
      <c r="PVC68" s="87"/>
      <c r="PVD68" s="87"/>
      <c r="PVE68" s="87"/>
      <c r="PVF68" s="87"/>
      <c r="PVG68" s="87"/>
      <c r="PVH68" s="87"/>
      <c r="PVI68" s="87"/>
      <c r="PVJ68" s="87"/>
      <c r="PVK68" s="87"/>
      <c r="PVL68" s="87"/>
      <c r="PVM68" s="87"/>
      <c r="PVN68" s="87"/>
      <c r="PVO68" s="87"/>
      <c r="PVP68" s="87"/>
      <c r="PVQ68" s="87"/>
      <c r="PVR68" s="87"/>
      <c r="PVS68" s="87"/>
      <c r="PVT68" s="87"/>
      <c r="PVU68" s="87"/>
      <c r="PVV68" s="87"/>
      <c r="PVW68" s="87"/>
      <c r="PVX68" s="87"/>
      <c r="PVY68" s="87"/>
      <c r="PVZ68" s="87"/>
      <c r="PWA68" s="87"/>
      <c r="PWB68" s="87"/>
      <c r="PWC68" s="87"/>
      <c r="PWD68" s="87"/>
      <c r="PWE68" s="87"/>
      <c r="PWF68" s="87"/>
      <c r="PWG68" s="87"/>
      <c r="PWH68" s="87"/>
      <c r="PWI68" s="87"/>
      <c r="PWJ68" s="87"/>
      <c r="PWK68" s="87"/>
      <c r="PWL68" s="87"/>
      <c r="PWM68" s="87"/>
      <c r="PWN68" s="87"/>
      <c r="PWO68" s="87"/>
      <c r="PWP68" s="87"/>
      <c r="PWQ68" s="87"/>
      <c r="PWR68" s="87"/>
      <c r="PWS68" s="87"/>
      <c r="PWT68" s="87"/>
      <c r="PWU68" s="87"/>
      <c r="PWV68" s="87"/>
      <c r="PWW68" s="87"/>
      <c r="PWX68" s="87"/>
      <c r="PWY68" s="87"/>
      <c r="PWZ68" s="87"/>
      <c r="PXA68" s="87"/>
      <c r="PXB68" s="87"/>
      <c r="PXC68" s="87"/>
      <c r="PXD68" s="87"/>
      <c r="PXE68" s="87"/>
      <c r="PXF68" s="87"/>
      <c r="PXG68" s="87"/>
      <c r="PXH68" s="87"/>
      <c r="PXI68" s="87"/>
      <c r="PXJ68" s="87"/>
      <c r="PXK68" s="87"/>
      <c r="PXL68" s="87"/>
      <c r="PXM68" s="87"/>
      <c r="PXN68" s="87"/>
      <c r="PXO68" s="87"/>
      <c r="PXP68" s="87"/>
      <c r="PXQ68" s="87"/>
      <c r="PXR68" s="87"/>
      <c r="PXS68" s="87"/>
      <c r="PXT68" s="87"/>
      <c r="PXU68" s="87"/>
      <c r="PXV68" s="87"/>
      <c r="PXW68" s="87"/>
      <c r="PXX68" s="87"/>
      <c r="PXY68" s="87"/>
      <c r="PXZ68" s="87"/>
      <c r="PYA68" s="87"/>
      <c r="PYB68" s="87"/>
      <c r="PYC68" s="87"/>
      <c r="PYD68" s="87"/>
      <c r="PYE68" s="87"/>
      <c r="PYF68" s="87"/>
      <c r="PYG68" s="87"/>
      <c r="PYH68" s="87"/>
      <c r="PYI68" s="87"/>
      <c r="PYJ68" s="87"/>
      <c r="PYK68" s="87"/>
      <c r="PYL68" s="87"/>
      <c r="PYM68" s="87"/>
      <c r="PYN68" s="87"/>
      <c r="PYO68" s="87"/>
      <c r="PYP68" s="87"/>
      <c r="PYQ68" s="87"/>
      <c r="PYR68" s="87"/>
      <c r="PYS68" s="87"/>
      <c r="PYT68" s="87"/>
      <c r="PYU68" s="87"/>
      <c r="PYV68" s="87"/>
      <c r="PYW68" s="87"/>
      <c r="PYX68" s="87"/>
      <c r="PYY68" s="87"/>
      <c r="PYZ68" s="87"/>
      <c r="PZA68" s="87"/>
      <c r="PZB68" s="87"/>
      <c r="PZC68" s="87"/>
      <c r="PZD68" s="87"/>
      <c r="PZE68" s="87"/>
      <c r="PZF68" s="87"/>
      <c r="PZG68" s="87"/>
      <c r="PZH68" s="87"/>
      <c r="PZI68" s="87"/>
      <c r="PZJ68" s="87"/>
      <c r="PZK68" s="87"/>
      <c r="PZL68" s="87"/>
      <c r="PZM68" s="87"/>
      <c r="PZN68" s="87"/>
      <c r="PZO68" s="87"/>
      <c r="PZP68" s="87"/>
      <c r="PZQ68" s="87"/>
      <c r="PZR68" s="87"/>
      <c r="PZS68" s="87"/>
      <c r="PZT68" s="87"/>
      <c r="PZU68" s="87"/>
      <c r="PZV68" s="87"/>
      <c r="PZW68" s="87"/>
      <c r="PZX68" s="87"/>
      <c r="PZY68" s="87"/>
      <c r="PZZ68" s="87"/>
      <c r="QAA68" s="87"/>
      <c r="QAB68" s="87"/>
      <c r="QAC68" s="87"/>
      <c r="QAD68" s="87"/>
      <c r="QAE68" s="87"/>
      <c r="QAF68" s="87"/>
      <c r="QAG68" s="87"/>
      <c r="QAH68" s="87"/>
      <c r="QAI68" s="87"/>
      <c r="QAJ68" s="87"/>
      <c r="QAK68" s="87"/>
      <c r="QAL68" s="87"/>
      <c r="QAM68" s="87"/>
      <c r="QAN68" s="87"/>
      <c r="QAO68" s="87"/>
      <c r="QAP68" s="87"/>
      <c r="QAQ68" s="87"/>
      <c r="QAR68" s="87"/>
      <c r="QAS68" s="87"/>
      <c r="QAT68" s="87"/>
      <c r="QAU68" s="87"/>
      <c r="QAV68" s="87"/>
      <c r="QAW68" s="87"/>
      <c r="QAX68" s="87"/>
      <c r="QAY68" s="87"/>
      <c r="QAZ68" s="87"/>
      <c r="QBA68" s="87"/>
      <c r="QBB68" s="87"/>
      <c r="QBC68" s="87"/>
      <c r="QBD68" s="87"/>
      <c r="QBE68" s="87"/>
      <c r="QBF68" s="87"/>
      <c r="QBG68" s="87"/>
      <c r="QBH68" s="87"/>
      <c r="QBI68" s="87"/>
      <c r="QBJ68" s="87"/>
      <c r="QBK68" s="87"/>
      <c r="QBL68" s="87"/>
      <c r="QBM68" s="87"/>
      <c r="QBN68" s="87"/>
      <c r="QBO68" s="87"/>
      <c r="QBP68" s="87"/>
      <c r="QBQ68" s="87"/>
      <c r="QBR68" s="87"/>
      <c r="QBS68" s="87"/>
      <c r="QBT68" s="87"/>
      <c r="QBU68" s="87"/>
      <c r="QBV68" s="87"/>
      <c r="QBW68" s="87"/>
      <c r="QBX68" s="87"/>
      <c r="QBY68" s="87"/>
      <c r="QBZ68" s="87"/>
      <c r="QCA68" s="87"/>
      <c r="QCB68" s="87"/>
      <c r="QCC68" s="87"/>
      <c r="QCD68" s="87"/>
      <c r="QCE68" s="87"/>
      <c r="QCF68" s="87"/>
      <c r="QCG68" s="87"/>
      <c r="QCH68" s="87"/>
      <c r="QCI68" s="87"/>
      <c r="QCJ68" s="87"/>
      <c r="QCK68" s="87"/>
      <c r="QCL68" s="87"/>
      <c r="QCM68" s="87"/>
      <c r="QCN68" s="87"/>
      <c r="QCO68" s="87"/>
      <c r="QCP68" s="87"/>
      <c r="QCQ68" s="87"/>
      <c r="QCR68" s="87"/>
      <c r="QCS68" s="87"/>
      <c r="QCT68" s="87"/>
      <c r="QCU68" s="87"/>
      <c r="QCV68" s="87"/>
      <c r="QCW68" s="87"/>
      <c r="QCX68" s="87"/>
      <c r="QCY68" s="87"/>
      <c r="QCZ68" s="87"/>
      <c r="QDA68" s="87"/>
      <c r="QDB68" s="87"/>
      <c r="QDC68" s="87"/>
      <c r="QDD68" s="87"/>
      <c r="QDE68" s="87"/>
      <c r="QDF68" s="87"/>
      <c r="QDG68" s="87"/>
      <c r="QDH68" s="87"/>
      <c r="QDI68" s="87"/>
      <c r="QDJ68" s="87"/>
      <c r="QDK68" s="87"/>
      <c r="QDL68" s="87"/>
      <c r="QDM68" s="87"/>
      <c r="QDN68" s="87"/>
      <c r="QDO68" s="87"/>
      <c r="QDP68" s="87"/>
      <c r="QDQ68" s="87"/>
      <c r="QDR68" s="87"/>
      <c r="QDS68" s="87"/>
      <c r="QDT68" s="87"/>
      <c r="QDU68" s="87"/>
      <c r="QDV68" s="87"/>
      <c r="QDW68" s="87"/>
      <c r="QDX68" s="87"/>
      <c r="QDY68" s="87"/>
      <c r="QDZ68" s="87"/>
      <c r="QEA68" s="87"/>
      <c r="QEB68" s="87"/>
      <c r="QEC68" s="87"/>
      <c r="QED68" s="87"/>
      <c r="QEE68" s="87"/>
      <c r="QEF68" s="87"/>
      <c r="QEG68" s="87"/>
      <c r="QEH68" s="87"/>
      <c r="QEI68" s="87"/>
      <c r="QEJ68" s="87"/>
      <c r="QEK68" s="87"/>
      <c r="QEL68" s="87"/>
      <c r="QEM68" s="87"/>
      <c r="QEN68" s="87"/>
      <c r="QEO68" s="87"/>
      <c r="QEP68" s="87"/>
      <c r="QEQ68" s="87"/>
      <c r="QER68" s="87"/>
      <c r="QES68" s="87"/>
      <c r="QET68" s="87"/>
      <c r="QEU68" s="87"/>
      <c r="QEV68" s="87"/>
      <c r="QEW68" s="87"/>
      <c r="QEX68" s="87"/>
      <c r="QEY68" s="87"/>
      <c r="QEZ68" s="87"/>
      <c r="QFA68" s="87"/>
      <c r="QFB68" s="87"/>
      <c r="QFC68" s="87"/>
      <c r="QFD68" s="87"/>
      <c r="QFE68" s="87"/>
      <c r="QFF68" s="87"/>
      <c r="QFG68" s="87"/>
      <c r="QFH68" s="87"/>
      <c r="QFI68" s="87"/>
      <c r="QFJ68" s="87"/>
      <c r="QFK68" s="87"/>
      <c r="QFL68" s="87"/>
      <c r="QFM68" s="87"/>
      <c r="QFN68" s="87"/>
      <c r="QFO68" s="87"/>
      <c r="QFP68" s="87"/>
      <c r="QFQ68" s="87"/>
      <c r="QFR68" s="87"/>
      <c r="QFS68" s="87"/>
      <c r="QFT68" s="87"/>
      <c r="QFU68" s="87"/>
      <c r="QFV68" s="87"/>
      <c r="QFW68" s="87"/>
      <c r="QFX68" s="87"/>
      <c r="QFY68" s="87"/>
      <c r="QFZ68" s="87"/>
      <c r="QGA68" s="87"/>
      <c r="QGB68" s="87"/>
      <c r="QGC68" s="87"/>
      <c r="QGD68" s="87"/>
      <c r="QGE68" s="87"/>
      <c r="QGF68" s="87"/>
      <c r="QGG68" s="87"/>
      <c r="QGH68" s="87"/>
      <c r="QGI68" s="87"/>
      <c r="QGJ68" s="87"/>
      <c r="QGK68" s="87"/>
      <c r="QGL68" s="87"/>
      <c r="QGM68" s="87"/>
      <c r="QGN68" s="87"/>
      <c r="QGO68" s="87"/>
      <c r="QGP68" s="87"/>
      <c r="QGQ68" s="87"/>
      <c r="QGR68" s="87"/>
      <c r="QGS68" s="87"/>
      <c r="QGT68" s="87"/>
      <c r="QGU68" s="87"/>
      <c r="QGV68" s="87"/>
      <c r="QGW68" s="87"/>
      <c r="QGX68" s="87"/>
      <c r="QGY68" s="87"/>
      <c r="QGZ68" s="87"/>
      <c r="QHA68" s="87"/>
      <c r="QHB68" s="87"/>
      <c r="QHC68" s="87"/>
      <c r="QHD68" s="87"/>
      <c r="QHE68" s="87"/>
      <c r="QHF68" s="87"/>
      <c r="QHG68" s="87"/>
      <c r="QHH68" s="87"/>
      <c r="QHI68" s="87"/>
      <c r="QHJ68" s="87"/>
      <c r="QHK68" s="87"/>
      <c r="QHL68" s="87"/>
      <c r="QHM68" s="87"/>
      <c r="QHN68" s="87"/>
      <c r="QHO68" s="87"/>
      <c r="QHP68" s="87"/>
      <c r="QHQ68" s="87"/>
      <c r="QHR68" s="87"/>
      <c r="QHS68" s="87"/>
      <c r="QHT68" s="87"/>
      <c r="QHU68" s="87"/>
      <c r="QHV68" s="87"/>
      <c r="QHW68" s="87"/>
      <c r="QHX68" s="87"/>
      <c r="QHY68" s="87"/>
      <c r="QHZ68" s="87"/>
      <c r="QIA68" s="87"/>
      <c r="QIB68" s="87"/>
      <c r="QIC68" s="87"/>
      <c r="QID68" s="87"/>
      <c r="QIE68" s="87"/>
      <c r="QIF68" s="87"/>
      <c r="QIG68" s="87"/>
      <c r="QIH68" s="87"/>
      <c r="QII68" s="87"/>
      <c r="QIJ68" s="87"/>
      <c r="QIK68" s="87"/>
      <c r="QIL68" s="87"/>
      <c r="QIM68" s="87"/>
      <c r="QIN68" s="87"/>
      <c r="QIO68" s="87"/>
      <c r="QIP68" s="87"/>
      <c r="QIQ68" s="87"/>
      <c r="QIR68" s="87"/>
      <c r="QIS68" s="87"/>
      <c r="QIT68" s="87"/>
      <c r="QIU68" s="87"/>
      <c r="QIV68" s="87"/>
      <c r="QIW68" s="87"/>
      <c r="QIX68" s="87"/>
      <c r="QIY68" s="87"/>
      <c r="QIZ68" s="87"/>
      <c r="QJA68" s="87"/>
      <c r="QJB68" s="87"/>
      <c r="QJC68" s="87"/>
      <c r="QJD68" s="87"/>
      <c r="QJE68" s="87"/>
      <c r="QJF68" s="87"/>
      <c r="QJG68" s="87"/>
      <c r="QJH68" s="87"/>
      <c r="QJI68" s="87"/>
      <c r="QJJ68" s="87"/>
      <c r="QJK68" s="87"/>
      <c r="QJL68" s="87"/>
      <c r="QJM68" s="87"/>
      <c r="QJN68" s="87"/>
      <c r="QJO68" s="87"/>
      <c r="QJP68" s="87"/>
      <c r="QJQ68" s="87"/>
      <c r="QJR68" s="87"/>
      <c r="QJS68" s="87"/>
      <c r="QJT68" s="87"/>
      <c r="QJU68" s="87"/>
      <c r="QJV68" s="87"/>
      <c r="QJW68" s="87"/>
      <c r="QJX68" s="87"/>
      <c r="QJY68" s="87"/>
      <c r="QJZ68" s="87"/>
      <c r="QKA68" s="87"/>
      <c r="QKB68" s="87"/>
      <c r="QKC68" s="87"/>
      <c r="QKD68" s="87"/>
      <c r="QKE68" s="87"/>
      <c r="QKF68" s="87"/>
      <c r="QKG68" s="87"/>
      <c r="QKH68" s="87"/>
      <c r="QKI68" s="87"/>
      <c r="QKJ68" s="87"/>
      <c r="QKK68" s="87"/>
      <c r="QKL68" s="87"/>
      <c r="QKM68" s="87"/>
      <c r="QKN68" s="87"/>
      <c r="QKO68" s="87"/>
      <c r="QKP68" s="87"/>
      <c r="QKQ68" s="87"/>
      <c r="QKR68" s="87"/>
      <c r="QKS68" s="87"/>
      <c r="QKT68" s="87"/>
      <c r="QKU68" s="87"/>
      <c r="QKV68" s="87"/>
      <c r="QKW68" s="87"/>
      <c r="QKX68" s="87"/>
      <c r="QKY68" s="87"/>
      <c r="QKZ68" s="87"/>
      <c r="QLA68" s="87"/>
      <c r="QLB68" s="87"/>
      <c r="QLC68" s="87"/>
      <c r="QLD68" s="87"/>
      <c r="QLE68" s="87"/>
      <c r="QLF68" s="87"/>
      <c r="QLG68" s="87"/>
      <c r="QLH68" s="87"/>
      <c r="QLI68" s="87"/>
      <c r="QLJ68" s="87"/>
      <c r="QLK68" s="87"/>
      <c r="QLL68" s="87"/>
      <c r="QLM68" s="87"/>
      <c r="QLN68" s="87"/>
      <c r="QLO68" s="87"/>
      <c r="QLP68" s="87"/>
      <c r="QLQ68" s="87"/>
      <c r="QLR68" s="87"/>
      <c r="QLS68" s="87"/>
      <c r="QLT68" s="87"/>
      <c r="QLU68" s="87"/>
      <c r="QLV68" s="87"/>
      <c r="QLW68" s="87"/>
      <c r="QLX68" s="87"/>
      <c r="QLY68" s="87"/>
      <c r="QLZ68" s="87"/>
      <c r="QMA68" s="87"/>
      <c r="QMB68" s="87"/>
      <c r="QMC68" s="87"/>
      <c r="QMD68" s="87"/>
      <c r="QME68" s="87"/>
      <c r="QMF68" s="87"/>
      <c r="QMG68" s="87"/>
      <c r="QMH68" s="87"/>
      <c r="QMI68" s="87"/>
      <c r="QMJ68" s="87"/>
      <c r="QMK68" s="87"/>
      <c r="QML68" s="87"/>
      <c r="QMM68" s="87"/>
      <c r="QMN68" s="87"/>
      <c r="QMO68" s="87"/>
      <c r="QMP68" s="87"/>
      <c r="QMQ68" s="87"/>
      <c r="QMR68" s="87"/>
      <c r="QMS68" s="87"/>
      <c r="QMT68" s="87"/>
      <c r="QMU68" s="87"/>
      <c r="QMV68" s="87"/>
      <c r="QMW68" s="87"/>
      <c r="QMX68" s="87"/>
      <c r="QMY68" s="87"/>
      <c r="QMZ68" s="87"/>
      <c r="QNA68" s="87"/>
      <c r="QNB68" s="87"/>
      <c r="QNC68" s="87"/>
      <c r="QND68" s="87"/>
      <c r="QNE68" s="87"/>
      <c r="QNF68" s="87"/>
      <c r="QNG68" s="87"/>
      <c r="QNH68" s="87"/>
      <c r="QNI68" s="87"/>
      <c r="QNJ68" s="87"/>
      <c r="QNK68" s="87"/>
      <c r="QNL68" s="87"/>
      <c r="QNM68" s="87"/>
      <c r="QNN68" s="87"/>
      <c r="QNO68" s="87"/>
      <c r="QNP68" s="87"/>
      <c r="QNQ68" s="87"/>
      <c r="QNR68" s="87"/>
      <c r="QNS68" s="87"/>
      <c r="QNT68" s="87"/>
      <c r="QNU68" s="87"/>
      <c r="QNV68" s="87"/>
      <c r="QNW68" s="87"/>
      <c r="QNX68" s="87"/>
      <c r="QNY68" s="87"/>
      <c r="QNZ68" s="87"/>
      <c r="QOA68" s="87"/>
      <c r="QOB68" s="87"/>
      <c r="QOC68" s="87"/>
      <c r="QOD68" s="87"/>
      <c r="QOE68" s="87"/>
      <c r="QOF68" s="87"/>
      <c r="QOG68" s="87"/>
      <c r="QOH68" s="87"/>
      <c r="QOI68" s="87"/>
      <c r="QOJ68" s="87"/>
      <c r="QOK68" s="87"/>
      <c r="QOL68" s="87"/>
      <c r="QOM68" s="87"/>
      <c r="QON68" s="87"/>
      <c r="QOO68" s="87"/>
      <c r="QOP68" s="87"/>
      <c r="QOQ68" s="87"/>
      <c r="QOR68" s="87"/>
      <c r="QOS68" s="87"/>
      <c r="QOT68" s="87"/>
      <c r="QOU68" s="87"/>
      <c r="QOV68" s="87"/>
      <c r="QOW68" s="87"/>
      <c r="QOX68" s="87"/>
      <c r="QOY68" s="87"/>
      <c r="QOZ68" s="87"/>
      <c r="QPA68" s="87"/>
      <c r="QPB68" s="87"/>
      <c r="QPC68" s="87"/>
      <c r="QPD68" s="87"/>
      <c r="QPE68" s="87"/>
      <c r="QPF68" s="87"/>
      <c r="QPG68" s="87"/>
      <c r="QPH68" s="87"/>
      <c r="QPI68" s="87"/>
      <c r="QPJ68" s="87"/>
      <c r="QPK68" s="87"/>
      <c r="QPL68" s="87"/>
      <c r="QPM68" s="87"/>
      <c r="QPN68" s="87"/>
      <c r="QPO68" s="87"/>
      <c r="QPP68" s="87"/>
      <c r="QPQ68" s="87"/>
      <c r="QPR68" s="87"/>
      <c r="QPS68" s="87"/>
      <c r="QPT68" s="87"/>
      <c r="QPU68" s="87"/>
      <c r="QPV68" s="87"/>
      <c r="QPW68" s="87"/>
      <c r="QPX68" s="87"/>
      <c r="QPY68" s="87"/>
      <c r="QPZ68" s="87"/>
      <c r="QQA68" s="87"/>
      <c r="QQB68" s="87"/>
      <c r="QQC68" s="87"/>
      <c r="QQD68" s="87"/>
      <c r="QQE68" s="87"/>
      <c r="QQF68" s="87"/>
      <c r="QQG68" s="87"/>
      <c r="QQH68" s="87"/>
      <c r="QQI68" s="87"/>
      <c r="QQJ68" s="87"/>
      <c r="QQK68" s="87"/>
      <c r="QQL68" s="87"/>
      <c r="QQM68" s="87"/>
      <c r="QQN68" s="87"/>
      <c r="QQO68" s="87"/>
      <c r="QQP68" s="87"/>
      <c r="QQQ68" s="87"/>
      <c r="QQR68" s="87"/>
      <c r="QQS68" s="87"/>
      <c r="QQT68" s="87"/>
      <c r="QQU68" s="87"/>
      <c r="QQV68" s="87"/>
      <c r="QQW68" s="87"/>
      <c r="QQX68" s="87"/>
      <c r="QQY68" s="87"/>
      <c r="QQZ68" s="87"/>
      <c r="QRA68" s="87"/>
      <c r="QRB68" s="87"/>
      <c r="QRC68" s="87"/>
      <c r="QRD68" s="87"/>
      <c r="QRE68" s="87"/>
      <c r="QRF68" s="87"/>
      <c r="QRG68" s="87"/>
      <c r="QRH68" s="87"/>
      <c r="QRI68" s="87"/>
      <c r="QRJ68" s="87"/>
      <c r="QRK68" s="87"/>
      <c r="QRL68" s="87"/>
      <c r="QRM68" s="87"/>
      <c r="QRN68" s="87"/>
      <c r="QRO68" s="87"/>
      <c r="QRP68" s="87"/>
      <c r="QRQ68" s="87"/>
      <c r="QRR68" s="87"/>
      <c r="QRS68" s="87"/>
      <c r="QRT68" s="87"/>
      <c r="QRU68" s="87"/>
      <c r="QRV68" s="87"/>
      <c r="QRW68" s="87"/>
      <c r="QRX68" s="87"/>
      <c r="QRY68" s="87"/>
      <c r="QRZ68" s="87"/>
      <c r="QSA68" s="87"/>
      <c r="QSB68" s="87"/>
      <c r="QSC68" s="87"/>
      <c r="QSD68" s="87"/>
      <c r="QSE68" s="87"/>
      <c r="QSF68" s="87"/>
      <c r="QSG68" s="87"/>
      <c r="QSH68" s="87"/>
      <c r="QSI68" s="87"/>
      <c r="QSJ68" s="87"/>
      <c r="QSK68" s="87"/>
      <c r="QSL68" s="87"/>
      <c r="QSM68" s="87"/>
      <c r="QSN68" s="87"/>
      <c r="QSO68" s="87"/>
      <c r="QSP68" s="87"/>
      <c r="QSQ68" s="87"/>
      <c r="QSR68" s="87"/>
      <c r="QSS68" s="87"/>
      <c r="QST68" s="87"/>
      <c r="QSU68" s="87"/>
      <c r="QSV68" s="87"/>
      <c r="QSW68" s="87"/>
      <c r="QSX68" s="87"/>
      <c r="QSY68" s="87"/>
      <c r="QSZ68" s="87"/>
      <c r="QTA68" s="87"/>
      <c r="QTB68" s="87"/>
      <c r="QTC68" s="87"/>
      <c r="QTD68" s="87"/>
      <c r="QTE68" s="87"/>
      <c r="QTF68" s="87"/>
      <c r="QTG68" s="87"/>
      <c r="QTH68" s="87"/>
      <c r="QTI68" s="87"/>
      <c r="QTJ68" s="87"/>
      <c r="QTK68" s="87"/>
      <c r="QTL68" s="87"/>
      <c r="QTM68" s="87"/>
      <c r="QTN68" s="87"/>
      <c r="QTO68" s="87"/>
      <c r="QTP68" s="87"/>
      <c r="QTQ68" s="87"/>
      <c r="QTR68" s="87"/>
      <c r="QTS68" s="87"/>
      <c r="QTT68" s="87"/>
      <c r="QTU68" s="87"/>
      <c r="QTV68" s="87"/>
      <c r="QTW68" s="87"/>
      <c r="QTX68" s="87"/>
      <c r="QTY68" s="87"/>
      <c r="QTZ68" s="87"/>
      <c r="QUA68" s="87"/>
      <c r="QUB68" s="87"/>
      <c r="QUC68" s="87"/>
      <c r="QUD68" s="87"/>
      <c r="QUE68" s="87"/>
      <c r="QUF68" s="87"/>
      <c r="QUG68" s="87"/>
      <c r="QUH68" s="87"/>
      <c r="QUI68" s="87"/>
      <c r="QUJ68" s="87"/>
      <c r="QUK68" s="87"/>
      <c r="QUL68" s="87"/>
      <c r="QUM68" s="87"/>
      <c r="QUN68" s="87"/>
      <c r="QUO68" s="87"/>
      <c r="QUP68" s="87"/>
      <c r="QUQ68" s="87"/>
      <c r="QUR68" s="87"/>
      <c r="QUS68" s="87"/>
      <c r="QUT68" s="87"/>
      <c r="QUU68" s="87"/>
      <c r="QUV68" s="87"/>
      <c r="QUW68" s="87"/>
      <c r="QUX68" s="87"/>
      <c r="QUY68" s="87"/>
      <c r="QUZ68" s="87"/>
      <c r="QVA68" s="87"/>
      <c r="QVB68" s="87"/>
      <c r="QVC68" s="87"/>
      <c r="QVD68" s="87"/>
      <c r="QVE68" s="87"/>
      <c r="QVF68" s="87"/>
      <c r="QVG68" s="87"/>
      <c r="QVH68" s="87"/>
      <c r="QVI68" s="87"/>
      <c r="QVJ68" s="87"/>
      <c r="QVK68" s="87"/>
      <c r="QVL68" s="87"/>
      <c r="QVM68" s="87"/>
      <c r="QVN68" s="87"/>
      <c r="QVO68" s="87"/>
      <c r="QVP68" s="87"/>
      <c r="QVQ68" s="87"/>
      <c r="QVR68" s="87"/>
      <c r="QVS68" s="87"/>
      <c r="QVT68" s="87"/>
      <c r="QVU68" s="87"/>
      <c r="QVV68" s="87"/>
      <c r="QVW68" s="87"/>
      <c r="QVX68" s="87"/>
      <c r="QVY68" s="87"/>
      <c r="QVZ68" s="87"/>
      <c r="QWA68" s="87"/>
      <c r="QWB68" s="87"/>
      <c r="QWC68" s="87"/>
      <c r="QWD68" s="87"/>
      <c r="QWE68" s="87"/>
      <c r="QWF68" s="87"/>
      <c r="QWG68" s="87"/>
      <c r="QWH68" s="87"/>
      <c r="QWI68" s="87"/>
      <c r="QWJ68" s="87"/>
      <c r="QWK68" s="87"/>
      <c r="QWL68" s="87"/>
      <c r="QWM68" s="87"/>
      <c r="QWN68" s="87"/>
      <c r="QWO68" s="87"/>
      <c r="QWP68" s="87"/>
      <c r="QWQ68" s="87"/>
      <c r="QWR68" s="87"/>
      <c r="QWS68" s="87"/>
      <c r="QWT68" s="87"/>
      <c r="QWU68" s="87"/>
      <c r="QWV68" s="87"/>
      <c r="QWW68" s="87"/>
      <c r="QWX68" s="87"/>
      <c r="QWY68" s="87"/>
      <c r="QWZ68" s="87"/>
      <c r="QXA68" s="87"/>
      <c r="QXB68" s="87"/>
      <c r="QXC68" s="87"/>
      <c r="QXD68" s="87"/>
      <c r="QXE68" s="87"/>
      <c r="QXF68" s="87"/>
      <c r="QXG68" s="87"/>
      <c r="QXH68" s="87"/>
      <c r="QXI68" s="87"/>
      <c r="QXJ68" s="87"/>
      <c r="QXK68" s="87"/>
      <c r="QXL68" s="87"/>
      <c r="QXM68" s="87"/>
      <c r="QXN68" s="87"/>
      <c r="QXO68" s="87"/>
      <c r="QXP68" s="87"/>
      <c r="QXQ68" s="87"/>
      <c r="QXR68" s="87"/>
      <c r="QXS68" s="87"/>
      <c r="QXT68" s="87"/>
      <c r="QXU68" s="87"/>
      <c r="QXV68" s="87"/>
      <c r="QXW68" s="87"/>
      <c r="QXX68" s="87"/>
      <c r="QXY68" s="87"/>
      <c r="QXZ68" s="87"/>
      <c r="QYA68" s="87"/>
      <c r="QYB68" s="87"/>
      <c r="QYC68" s="87"/>
      <c r="QYD68" s="87"/>
      <c r="QYE68" s="87"/>
      <c r="QYF68" s="87"/>
      <c r="QYG68" s="87"/>
      <c r="QYH68" s="87"/>
      <c r="QYI68" s="87"/>
      <c r="QYJ68" s="87"/>
      <c r="QYK68" s="87"/>
      <c r="QYL68" s="87"/>
      <c r="QYM68" s="87"/>
      <c r="QYN68" s="87"/>
      <c r="QYO68" s="87"/>
      <c r="QYP68" s="87"/>
      <c r="QYQ68" s="87"/>
      <c r="QYR68" s="87"/>
      <c r="QYS68" s="87"/>
      <c r="QYT68" s="87"/>
      <c r="QYU68" s="87"/>
      <c r="QYV68" s="87"/>
      <c r="QYW68" s="87"/>
      <c r="QYX68" s="87"/>
      <c r="QYY68" s="87"/>
      <c r="QYZ68" s="87"/>
      <c r="QZA68" s="87"/>
      <c r="QZB68" s="87"/>
      <c r="QZC68" s="87"/>
      <c r="QZD68" s="87"/>
      <c r="QZE68" s="87"/>
      <c r="QZF68" s="87"/>
      <c r="QZG68" s="87"/>
      <c r="QZH68" s="87"/>
      <c r="QZI68" s="87"/>
      <c r="QZJ68" s="87"/>
      <c r="QZK68" s="87"/>
      <c r="QZL68" s="87"/>
      <c r="QZM68" s="87"/>
      <c r="QZN68" s="87"/>
      <c r="QZO68" s="87"/>
      <c r="QZP68" s="87"/>
      <c r="QZQ68" s="87"/>
      <c r="QZR68" s="87"/>
      <c r="QZS68" s="87"/>
      <c r="QZT68" s="87"/>
      <c r="QZU68" s="87"/>
      <c r="QZV68" s="87"/>
      <c r="QZW68" s="87"/>
      <c r="QZX68" s="87"/>
      <c r="QZY68" s="87"/>
      <c r="QZZ68" s="87"/>
      <c r="RAA68" s="87"/>
      <c r="RAB68" s="87"/>
      <c r="RAC68" s="87"/>
      <c r="RAD68" s="87"/>
      <c r="RAE68" s="87"/>
      <c r="RAF68" s="87"/>
      <c r="RAG68" s="87"/>
      <c r="RAH68" s="87"/>
      <c r="RAI68" s="87"/>
      <c r="RAJ68" s="87"/>
      <c r="RAK68" s="87"/>
      <c r="RAL68" s="87"/>
      <c r="RAM68" s="87"/>
      <c r="RAN68" s="87"/>
      <c r="RAO68" s="87"/>
      <c r="RAP68" s="87"/>
      <c r="RAQ68" s="87"/>
      <c r="RAR68" s="87"/>
      <c r="RAS68" s="87"/>
      <c r="RAT68" s="87"/>
      <c r="RAU68" s="87"/>
      <c r="RAV68" s="87"/>
      <c r="RAW68" s="87"/>
      <c r="RAX68" s="87"/>
      <c r="RAY68" s="87"/>
      <c r="RAZ68" s="87"/>
      <c r="RBA68" s="87"/>
      <c r="RBB68" s="87"/>
      <c r="RBC68" s="87"/>
      <c r="RBD68" s="87"/>
      <c r="RBE68" s="87"/>
      <c r="RBF68" s="87"/>
      <c r="RBG68" s="87"/>
      <c r="RBH68" s="87"/>
      <c r="RBI68" s="87"/>
      <c r="RBJ68" s="87"/>
      <c r="RBK68" s="87"/>
      <c r="RBL68" s="87"/>
      <c r="RBM68" s="87"/>
      <c r="RBN68" s="87"/>
      <c r="RBO68" s="87"/>
      <c r="RBP68" s="87"/>
      <c r="RBQ68" s="87"/>
      <c r="RBR68" s="87"/>
      <c r="RBS68" s="87"/>
      <c r="RBT68" s="87"/>
      <c r="RBU68" s="87"/>
      <c r="RBV68" s="87"/>
      <c r="RBW68" s="87"/>
      <c r="RBX68" s="87"/>
      <c r="RBY68" s="87"/>
      <c r="RBZ68" s="87"/>
      <c r="RCA68" s="87"/>
      <c r="RCB68" s="87"/>
      <c r="RCC68" s="87"/>
      <c r="RCD68" s="87"/>
      <c r="RCE68" s="87"/>
      <c r="RCF68" s="87"/>
      <c r="RCG68" s="87"/>
      <c r="RCH68" s="87"/>
      <c r="RCI68" s="87"/>
      <c r="RCJ68" s="87"/>
      <c r="RCK68" s="87"/>
      <c r="RCL68" s="87"/>
      <c r="RCM68" s="87"/>
      <c r="RCN68" s="87"/>
      <c r="RCO68" s="87"/>
      <c r="RCP68" s="87"/>
      <c r="RCQ68" s="87"/>
      <c r="RCR68" s="87"/>
      <c r="RCS68" s="87"/>
      <c r="RCT68" s="87"/>
      <c r="RCU68" s="87"/>
      <c r="RCV68" s="87"/>
      <c r="RCW68" s="87"/>
      <c r="RCX68" s="87"/>
      <c r="RCY68" s="87"/>
      <c r="RCZ68" s="87"/>
      <c r="RDA68" s="87"/>
      <c r="RDB68" s="87"/>
      <c r="RDC68" s="87"/>
      <c r="RDD68" s="87"/>
      <c r="RDE68" s="87"/>
      <c r="RDF68" s="87"/>
      <c r="RDG68" s="87"/>
      <c r="RDH68" s="87"/>
      <c r="RDI68" s="87"/>
      <c r="RDJ68" s="87"/>
      <c r="RDK68" s="87"/>
      <c r="RDL68" s="87"/>
      <c r="RDM68" s="87"/>
      <c r="RDN68" s="87"/>
      <c r="RDO68" s="87"/>
      <c r="RDP68" s="87"/>
      <c r="RDQ68" s="87"/>
      <c r="RDR68" s="87"/>
      <c r="RDS68" s="87"/>
      <c r="RDT68" s="87"/>
      <c r="RDU68" s="87"/>
      <c r="RDV68" s="87"/>
      <c r="RDW68" s="87"/>
      <c r="RDX68" s="87"/>
      <c r="RDY68" s="87"/>
      <c r="RDZ68" s="87"/>
      <c r="REA68" s="87"/>
      <c r="REB68" s="87"/>
      <c r="REC68" s="87"/>
      <c r="RED68" s="87"/>
      <c r="REE68" s="87"/>
      <c r="REF68" s="87"/>
      <c r="REG68" s="87"/>
      <c r="REH68" s="87"/>
      <c r="REI68" s="87"/>
      <c r="REJ68" s="87"/>
      <c r="REK68" s="87"/>
      <c r="REL68" s="87"/>
      <c r="REM68" s="87"/>
      <c r="REN68" s="87"/>
      <c r="REO68" s="87"/>
      <c r="REP68" s="87"/>
      <c r="REQ68" s="87"/>
      <c r="RER68" s="87"/>
      <c r="RES68" s="87"/>
      <c r="RET68" s="87"/>
      <c r="REU68" s="87"/>
      <c r="REV68" s="87"/>
      <c r="REW68" s="87"/>
      <c r="REX68" s="87"/>
      <c r="REY68" s="87"/>
      <c r="REZ68" s="87"/>
      <c r="RFA68" s="87"/>
      <c r="RFB68" s="87"/>
      <c r="RFC68" s="87"/>
      <c r="RFD68" s="87"/>
      <c r="RFE68" s="87"/>
      <c r="RFF68" s="87"/>
      <c r="RFG68" s="87"/>
      <c r="RFH68" s="87"/>
      <c r="RFI68" s="87"/>
      <c r="RFJ68" s="87"/>
      <c r="RFK68" s="87"/>
      <c r="RFL68" s="87"/>
      <c r="RFM68" s="87"/>
      <c r="RFN68" s="87"/>
      <c r="RFO68" s="87"/>
      <c r="RFP68" s="87"/>
      <c r="RFQ68" s="87"/>
      <c r="RFR68" s="87"/>
      <c r="RFS68" s="87"/>
      <c r="RFT68" s="87"/>
      <c r="RFU68" s="87"/>
      <c r="RFV68" s="87"/>
      <c r="RFW68" s="87"/>
      <c r="RFX68" s="87"/>
      <c r="RFY68" s="87"/>
      <c r="RFZ68" s="87"/>
      <c r="RGA68" s="87"/>
      <c r="RGB68" s="87"/>
      <c r="RGC68" s="87"/>
      <c r="RGD68" s="87"/>
      <c r="RGE68" s="87"/>
      <c r="RGF68" s="87"/>
      <c r="RGG68" s="87"/>
      <c r="RGH68" s="87"/>
      <c r="RGI68" s="87"/>
      <c r="RGJ68" s="87"/>
      <c r="RGK68" s="87"/>
      <c r="RGL68" s="87"/>
      <c r="RGM68" s="87"/>
      <c r="RGN68" s="87"/>
      <c r="RGO68" s="87"/>
      <c r="RGP68" s="87"/>
      <c r="RGQ68" s="87"/>
      <c r="RGR68" s="87"/>
      <c r="RGS68" s="87"/>
      <c r="RGT68" s="87"/>
      <c r="RGU68" s="87"/>
      <c r="RGV68" s="87"/>
      <c r="RGW68" s="87"/>
      <c r="RGX68" s="87"/>
      <c r="RGY68" s="87"/>
      <c r="RGZ68" s="87"/>
      <c r="RHA68" s="87"/>
      <c r="RHB68" s="87"/>
      <c r="RHC68" s="87"/>
      <c r="RHD68" s="87"/>
      <c r="RHE68" s="87"/>
      <c r="RHF68" s="87"/>
      <c r="RHG68" s="87"/>
      <c r="RHH68" s="87"/>
      <c r="RHI68" s="87"/>
      <c r="RHJ68" s="87"/>
      <c r="RHK68" s="87"/>
      <c r="RHL68" s="87"/>
      <c r="RHM68" s="87"/>
      <c r="RHN68" s="87"/>
      <c r="RHO68" s="87"/>
      <c r="RHP68" s="87"/>
      <c r="RHQ68" s="87"/>
      <c r="RHR68" s="87"/>
      <c r="RHS68" s="87"/>
      <c r="RHT68" s="87"/>
      <c r="RHU68" s="87"/>
      <c r="RHV68" s="87"/>
      <c r="RHW68" s="87"/>
      <c r="RHX68" s="87"/>
      <c r="RHY68" s="87"/>
      <c r="RHZ68" s="87"/>
      <c r="RIA68" s="87"/>
      <c r="RIB68" s="87"/>
      <c r="RIC68" s="87"/>
      <c r="RID68" s="87"/>
      <c r="RIE68" s="87"/>
      <c r="RIF68" s="87"/>
      <c r="RIG68" s="87"/>
      <c r="RIH68" s="87"/>
      <c r="RII68" s="87"/>
      <c r="RIJ68" s="87"/>
      <c r="RIK68" s="87"/>
      <c r="RIL68" s="87"/>
      <c r="RIM68" s="87"/>
      <c r="RIN68" s="87"/>
      <c r="RIO68" s="87"/>
      <c r="RIP68" s="87"/>
      <c r="RIQ68" s="87"/>
      <c r="RIR68" s="87"/>
      <c r="RIS68" s="87"/>
      <c r="RIT68" s="87"/>
      <c r="RIU68" s="87"/>
      <c r="RIV68" s="87"/>
      <c r="RIW68" s="87"/>
      <c r="RIX68" s="87"/>
      <c r="RIY68" s="87"/>
      <c r="RIZ68" s="87"/>
      <c r="RJA68" s="87"/>
      <c r="RJB68" s="87"/>
      <c r="RJC68" s="87"/>
      <c r="RJD68" s="87"/>
      <c r="RJE68" s="87"/>
      <c r="RJF68" s="87"/>
      <c r="RJG68" s="87"/>
      <c r="RJH68" s="87"/>
      <c r="RJI68" s="87"/>
      <c r="RJJ68" s="87"/>
      <c r="RJK68" s="87"/>
      <c r="RJL68" s="87"/>
      <c r="RJM68" s="87"/>
      <c r="RJN68" s="87"/>
      <c r="RJO68" s="87"/>
      <c r="RJP68" s="87"/>
      <c r="RJQ68" s="87"/>
      <c r="RJR68" s="87"/>
      <c r="RJS68" s="87"/>
      <c r="RJT68" s="87"/>
      <c r="RJU68" s="87"/>
      <c r="RJV68" s="87"/>
      <c r="RJW68" s="87"/>
      <c r="RJX68" s="87"/>
      <c r="RJY68" s="87"/>
      <c r="RJZ68" s="87"/>
      <c r="RKA68" s="87"/>
      <c r="RKB68" s="87"/>
      <c r="RKC68" s="87"/>
      <c r="RKD68" s="87"/>
      <c r="RKE68" s="87"/>
      <c r="RKF68" s="87"/>
      <c r="RKG68" s="87"/>
      <c r="RKH68" s="87"/>
      <c r="RKI68" s="87"/>
      <c r="RKJ68" s="87"/>
      <c r="RKK68" s="87"/>
      <c r="RKL68" s="87"/>
      <c r="RKM68" s="87"/>
      <c r="RKN68" s="87"/>
      <c r="RKO68" s="87"/>
      <c r="RKP68" s="87"/>
      <c r="RKQ68" s="87"/>
      <c r="RKR68" s="87"/>
      <c r="RKS68" s="87"/>
      <c r="RKT68" s="87"/>
      <c r="RKU68" s="87"/>
      <c r="RKV68" s="87"/>
      <c r="RKW68" s="87"/>
      <c r="RKX68" s="87"/>
      <c r="RKY68" s="87"/>
      <c r="RKZ68" s="87"/>
      <c r="RLA68" s="87"/>
      <c r="RLB68" s="87"/>
      <c r="RLC68" s="87"/>
      <c r="RLD68" s="87"/>
      <c r="RLE68" s="87"/>
      <c r="RLF68" s="87"/>
      <c r="RLG68" s="87"/>
      <c r="RLH68" s="87"/>
      <c r="RLI68" s="87"/>
      <c r="RLJ68" s="87"/>
      <c r="RLK68" s="87"/>
      <c r="RLL68" s="87"/>
      <c r="RLM68" s="87"/>
      <c r="RLN68" s="87"/>
      <c r="RLO68" s="87"/>
      <c r="RLP68" s="87"/>
      <c r="RLQ68" s="87"/>
      <c r="RLR68" s="87"/>
      <c r="RLS68" s="87"/>
      <c r="RLT68" s="87"/>
      <c r="RLU68" s="87"/>
      <c r="RLV68" s="87"/>
      <c r="RLW68" s="87"/>
      <c r="RLX68" s="87"/>
      <c r="RLY68" s="87"/>
      <c r="RLZ68" s="87"/>
      <c r="RMA68" s="87"/>
      <c r="RMB68" s="87"/>
      <c r="RMC68" s="87"/>
      <c r="RMD68" s="87"/>
      <c r="RME68" s="87"/>
      <c r="RMF68" s="87"/>
      <c r="RMG68" s="87"/>
      <c r="RMH68" s="87"/>
      <c r="RMI68" s="87"/>
      <c r="RMJ68" s="87"/>
      <c r="RMK68" s="87"/>
      <c r="RML68" s="87"/>
      <c r="RMM68" s="87"/>
      <c r="RMN68" s="87"/>
      <c r="RMO68" s="87"/>
      <c r="RMP68" s="87"/>
      <c r="RMQ68" s="87"/>
      <c r="RMR68" s="87"/>
      <c r="RMS68" s="87"/>
      <c r="RMT68" s="87"/>
      <c r="RMU68" s="87"/>
      <c r="RMV68" s="87"/>
      <c r="RMW68" s="87"/>
      <c r="RMX68" s="87"/>
      <c r="RMY68" s="87"/>
      <c r="RMZ68" s="87"/>
      <c r="RNA68" s="87"/>
      <c r="RNB68" s="87"/>
      <c r="RNC68" s="87"/>
      <c r="RND68" s="87"/>
      <c r="RNE68" s="87"/>
      <c r="RNF68" s="87"/>
      <c r="RNG68" s="87"/>
      <c r="RNH68" s="87"/>
      <c r="RNI68" s="87"/>
      <c r="RNJ68" s="87"/>
      <c r="RNK68" s="87"/>
      <c r="RNL68" s="87"/>
      <c r="RNM68" s="87"/>
      <c r="RNN68" s="87"/>
      <c r="RNO68" s="87"/>
      <c r="RNP68" s="87"/>
      <c r="RNQ68" s="87"/>
      <c r="RNR68" s="87"/>
      <c r="RNS68" s="87"/>
      <c r="RNT68" s="87"/>
      <c r="RNU68" s="87"/>
      <c r="RNV68" s="87"/>
      <c r="RNW68" s="87"/>
      <c r="RNX68" s="87"/>
      <c r="RNY68" s="87"/>
      <c r="RNZ68" s="87"/>
      <c r="ROA68" s="87"/>
      <c r="ROB68" s="87"/>
      <c r="ROC68" s="87"/>
      <c r="ROD68" s="87"/>
      <c r="ROE68" s="87"/>
      <c r="ROF68" s="87"/>
      <c r="ROG68" s="87"/>
      <c r="ROH68" s="87"/>
      <c r="ROI68" s="87"/>
      <c r="ROJ68" s="87"/>
      <c r="ROK68" s="87"/>
      <c r="ROL68" s="87"/>
      <c r="ROM68" s="87"/>
      <c r="RON68" s="87"/>
      <c r="ROO68" s="87"/>
      <c r="ROP68" s="87"/>
      <c r="ROQ68" s="87"/>
      <c r="ROR68" s="87"/>
      <c r="ROS68" s="87"/>
      <c r="ROT68" s="87"/>
      <c r="ROU68" s="87"/>
      <c r="ROV68" s="87"/>
      <c r="ROW68" s="87"/>
      <c r="ROX68" s="87"/>
      <c r="ROY68" s="87"/>
      <c r="ROZ68" s="87"/>
      <c r="RPA68" s="87"/>
      <c r="RPB68" s="87"/>
      <c r="RPC68" s="87"/>
      <c r="RPD68" s="87"/>
      <c r="RPE68" s="87"/>
      <c r="RPF68" s="87"/>
      <c r="RPG68" s="87"/>
      <c r="RPH68" s="87"/>
      <c r="RPI68" s="87"/>
      <c r="RPJ68" s="87"/>
      <c r="RPK68" s="87"/>
      <c r="RPL68" s="87"/>
      <c r="RPM68" s="87"/>
      <c r="RPN68" s="87"/>
      <c r="RPO68" s="87"/>
      <c r="RPP68" s="87"/>
      <c r="RPQ68" s="87"/>
      <c r="RPR68" s="87"/>
      <c r="RPS68" s="87"/>
      <c r="RPT68" s="87"/>
      <c r="RPU68" s="87"/>
      <c r="RPV68" s="87"/>
      <c r="RPW68" s="87"/>
      <c r="RPX68" s="87"/>
      <c r="RPY68" s="87"/>
      <c r="RPZ68" s="87"/>
      <c r="RQA68" s="87"/>
      <c r="RQB68" s="87"/>
      <c r="RQC68" s="87"/>
      <c r="RQD68" s="87"/>
      <c r="RQE68" s="87"/>
      <c r="RQF68" s="87"/>
      <c r="RQG68" s="87"/>
      <c r="RQH68" s="87"/>
      <c r="RQI68" s="87"/>
      <c r="RQJ68" s="87"/>
      <c r="RQK68" s="87"/>
      <c r="RQL68" s="87"/>
      <c r="RQM68" s="87"/>
      <c r="RQN68" s="87"/>
      <c r="RQO68" s="87"/>
      <c r="RQP68" s="87"/>
      <c r="RQQ68" s="87"/>
      <c r="RQR68" s="87"/>
      <c r="RQS68" s="87"/>
      <c r="RQT68" s="87"/>
      <c r="RQU68" s="87"/>
      <c r="RQV68" s="87"/>
      <c r="RQW68" s="87"/>
      <c r="RQX68" s="87"/>
      <c r="RQY68" s="87"/>
      <c r="RQZ68" s="87"/>
      <c r="RRA68" s="87"/>
      <c r="RRB68" s="87"/>
      <c r="RRC68" s="87"/>
      <c r="RRD68" s="87"/>
      <c r="RRE68" s="87"/>
      <c r="RRF68" s="87"/>
      <c r="RRG68" s="87"/>
      <c r="RRH68" s="87"/>
      <c r="RRI68" s="87"/>
      <c r="RRJ68" s="87"/>
      <c r="RRK68" s="87"/>
      <c r="RRL68" s="87"/>
      <c r="RRM68" s="87"/>
      <c r="RRN68" s="87"/>
      <c r="RRO68" s="87"/>
      <c r="RRP68" s="87"/>
      <c r="RRQ68" s="87"/>
      <c r="RRR68" s="87"/>
      <c r="RRS68" s="87"/>
      <c r="RRT68" s="87"/>
      <c r="RRU68" s="87"/>
      <c r="RRV68" s="87"/>
      <c r="RRW68" s="87"/>
      <c r="RRX68" s="87"/>
      <c r="RRY68" s="87"/>
      <c r="RRZ68" s="87"/>
      <c r="RSA68" s="87"/>
      <c r="RSB68" s="87"/>
      <c r="RSC68" s="87"/>
      <c r="RSD68" s="87"/>
      <c r="RSE68" s="87"/>
      <c r="RSF68" s="87"/>
      <c r="RSG68" s="87"/>
      <c r="RSH68" s="87"/>
      <c r="RSI68" s="87"/>
      <c r="RSJ68" s="87"/>
      <c r="RSK68" s="87"/>
      <c r="RSL68" s="87"/>
      <c r="RSM68" s="87"/>
      <c r="RSN68" s="87"/>
      <c r="RSO68" s="87"/>
      <c r="RSP68" s="87"/>
      <c r="RSQ68" s="87"/>
      <c r="RSR68" s="87"/>
      <c r="RSS68" s="87"/>
      <c r="RST68" s="87"/>
      <c r="RSU68" s="87"/>
      <c r="RSV68" s="87"/>
      <c r="RSW68" s="87"/>
      <c r="RSX68" s="87"/>
      <c r="RSY68" s="87"/>
      <c r="RSZ68" s="87"/>
      <c r="RTA68" s="87"/>
      <c r="RTB68" s="87"/>
      <c r="RTC68" s="87"/>
      <c r="RTD68" s="87"/>
      <c r="RTE68" s="87"/>
      <c r="RTF68" s="87"/>
      <c r="RTG68" s="87"/>
      <c r="RTH68" s="87"/>
      <c r="RTI68" s="87"/>
      <c r="RTJ68" s="87"/>
      <c r="RTK68" s="87"/>
      <c r="RTL68" s="87"/>
      <c r="RTM68" s="87"/>
      <c r="RTN68" s="87"/>
      <c r="RTO68" s="87"/>
      <c r="RTP68" s="87"/>
      <c r="RTQ68" s="87"/>
      <c r="RTR68" s="87"/>
      <c r="RTS68" s="87"/>
      <c r="RTT68" s="87"/>
      <c r="RTU68" s="87"/>
      <c r="RTV68" s="87"/>
      <c r="RTW68" s="87"/>
      <c r="RTX68" s="87"/>
      <c r="RTY68" s="87"/>
      <c r="RTZ68" s="87"/>
      <c r="RUA68" s="87"/>
      <c r="RUB68" s="87"/>
      <c r="RUC68" s="87"/>
      <c r="RUD68" s="87"/>
      <c r="RUE68" s="87"/>
      <c r="RUF68" s="87"/>
      <c r="RUG68" s="87"/>
      <c r="RUH68" s="87"/>
      <c r="RUI68" s="87"/>
      <c r="RUJ68" s="87"/>
      <c r="RUK68" s="87"/>
      <c r="RUL68" s="87"/>
      <c r="RUM68" s="87"/>
      <c r="RUN68" s="87"/>
      <c r="RUO68" s="87"/>
      <c r="RUP68" s="87"/>
      <c r="RUQ68" s="87"/>
      <c r="RUR68" s="87"/>
      <c r="RUS68" s="87"/>
      <c r="RUT68" s="87"/>
      <c r="RUU68" s="87"/>
      <c r="RUV68" s="87"/>
      <c r="RUW68" s="87"/>
      <c r="RUX68" s="87"/>
      <c r="RUY68" s="87"/>
      <c r="RUZ68" s="87"/>
      <c r="RVA68" s="87"/>
      <c r="RVB68" s="87"/>
      <c r="RVC68" s="87"/>
      <c r="RVD68" s="87"/>
      <c r="RVE68" s="87"/>
      <c r="RVF68" s="87"/>
      <c r="RVG68" s="87"/>
      <c r="RVH68" s="87"/>
      <c r="RVI68" s="87"/>
      <c r="RVJ68" s="87"/>
      <c r="RVK68" s="87"/>
      <c r="RVL68" s="87"/>
      <c r="RVM68" s="87"/>
      <c r="RVN68" s="87"/>
      <c r="RVO68" s="87"/>
      <c r="RVP68" s="87"/>
      <c r="RVQ68" s="87"/>
      <c r="RVR68" s="87"/>
      <c r="RVS68" s="87"/>
      <c r="RVT68" s="87"/>
      <c r="RVU68" s="87"/>
      <c r="RVV68" s="87"/>
      <c r="RVW68" s="87"/>
      <c r="RVX68" s="87"/>
      <c r="RVY68" s="87"/>
      <c r="RVZ68" s="87"/>
      <c r="RWA68" s="87"/>
      <c r="RWB68" s="87"/>
      <c r="RWC68" s="87"/>
      <c r="RWD68" s="87"/>
      <c r="RWE68" s="87"/>
      <c r="RWF68" s="87"/>
      <c r="RWG68" s="87"/>
      <c r="RWH68" s="87"/>
      <c r="RWI68" s="87"/>
      <c r="RWJ68" s="87"/>
      <c r="RWK68" s="87"/>
      <c r="RWL68" s="87"/>
      <c r="RWM68" s="87"/>
      <c r="RWN68" s="87"/>
      <c r="RWO68" s="87"/>
      <c r="RWP68" s="87"/>
      <c r="RWQ68" s="87"/>
      <c r="RWR68" s="87"/>
      <c r="RWS68" s="87"/>
      <c r="RWT68" s="87"/>
      <c r="RWU68" s="87"/>
      <c r="RWV68" s="87"/>
      <c r="RWW68" s="87"/>
      <c r="RWX68" s="87"/>
      <c r="RWY68" s="87"/>
      <c r="RWZ68" s="87"/>
      <c r="RXA68" s="87"/>
      <c r="RXB68" s="87"/>
      <c r="RXC68" s="87"/>
      <c r="RXD68" s="87"/>
      <c r="RXE68" s="87"/>
      <c r="RXF68" s="87"/>
      <c r="RXG68" s="87"/>
      <c r="RXH68" s="87"/>
      <c r="RXI68" s="87"/>
      <c r="RXJ68" s="87"/>
      <c r="RXK68" s="87"/>
      <c r="RXL68" s="87"/>
      <c r="RXM68" s="87"/>
      <c r="RXN68" s="87"/>
      <c r="RXO68" s="87"/>
      <c r="RXP68" s="87"/>
      <c r="RXQ68" s="87"/>
      <c r="RXR68" s="87"/>
      <c r="RXS68" s="87"/>
      <c r="RXT68" s="87"/>
      <c r="RXU68" s="87"/>
      <c r="RXV68" s="87"/>
      <c r="RXW68" s="87"/>
      <c r="RXX68" s="87"/>
      <c r="RXY68" s="87"/>
      <c r="RXZ68" s="87"/>
      <c r="RYA68" s="87"/>
      <c r="RYB68" s="87"/>
      <c r="RYC68" s="87"/>
      <c r="RYD68" s="87"/>
      <c r="RYE68" s="87"/>
      <c r="RYF68" s="87"/>
      <c r="RYG68" s="87"/>
      <c r="RYH68" s="87"/>
      <c r="RYI68" s="87"/>
      <c r="RYJ68" s="87"/>
      <c r="RYK68" s="87"/>
      <c r="RYL68" s="87"/>
      <c r="RYM68" s="87"/>
      <c r="RYN68" s="87"/>
      <c r="RYO68" s="87"/>
      <c r="RYP68" s="87"/>
      <c r="RYQ68" s="87"/>
      <c r="RYR68" s="87"/>
      <c r="RYS68" s="87"/>
      <c r="RYT68" s="87"/>
      <c r="RYU68" s="87"/>
      <c r="RYV68" s="87"/>
      <c r="RYW68" s="87"/>
      <c r="RYX68" s="87"/>
      <c r="RYY68" s="87"/>
      <c r="RYZ68" s="87"/>
      <c r="RZA68" s="87"/>
      <c r="RZB68" s="87"/>
      <c r="RZC68" s="87"/>
      <c r="RZD68" s="87"/>
      <c r="RZE68" s="87"/>
      <c r="RZF68" s="87"/>
      <c r="RZG68" s="87"/>
      <c r="RZH68" s="87"/>
      <c r="RZI68" s="87"/>
      <c r="RZJ68" s="87"/>
      <c r="RZK68" s="87"/>
      <c r="RZL68" s="87"/>
      <c r="RZM68" s="87"/>
      <c r="RZN68" s="87"/>
      <c r="RZO68" s="87"/>
      <c r="RZP68" s="87"/>
      <c r="RZQ68" s="87"/>
      <c r="RZR68" s="87"/>
      <c r="RZS68" s="87"/>
      <c r="RZT68" s="87"/>
      <c r="RZU68" s="87"/>
      <c r="RZV68" s="87"/>
      <c r="RZW68" s="87"/>
      <c r="RZX68" s="87"/>
      <c r="RZY68" s="87"/>
      <c r="RZZ68" s="87"/>
      <c r="SAA68" s="87"/>
      <c r="SAB68" s="87"/>
      <c r="SAC68" s="87"/>
      <c r="SAD68" s="87"/>
      <c r="SAE68" s="87"/>
      <c r="SAF68" s="87"/>
      <c r="SAG68" s="87"/>
      <c r="SAH68" s="87"/>
      <c r="SAI68" s="87"/>
      <c r="SAJ68" s="87"/>
      <c r="SAK68" s="87"/>
      <c r="SAL68" s="87"/>
      <c r="SAM68" s="87"/>
      <c r="SAN68" s="87"/>
      <c r="SAO68" s="87"/>
      <c r="SAP68" s="87"/>
      <c r="SAQ68" s="87"/>
      <c r="SAR68" s="87"/>
      <c r="SAS68" s="87"/>
      <c r="SAT68" s="87"/>
      <c r="SAU68" s="87"/>
      <c r="SAV68" s="87"/>
      <c r="SAW68" s="87"/>
      <c r="SAX68" s="87"/>
      <c r="SAY68" s="87"/>
      <c r="SAZ68" s="87"/>
      <c r="SBA68" s="87"/>
      <c r="SBB68" s="87"/>
      <c r="SBC68" s="87"/>
      <c r="SBD68" s="87"/>
      <c r="SBE68" s="87"/>
      <c r="SBF68" s="87"/>
      <c r="SBG68" s="87"/>
      <c r="SBH68" s="87"/>
      <c r="SBI68" s="87"/>
      <c r="SBJ68" s="87"/>
      <c r="SBK68" s="87"/>
      <c r="SBL68" s="87"/>
      <c r="SBM68" s="87"/>
      <c r="SBN68" s="87"/>
      <c r="SBO68" s="87"/>
      <c r="SBP68" s="87"/>
      <c r="SBQ68" s="87"/>
      <c r="SBR68" s="87"/>
      <c r="SBS68" s="87"/>
      <c r="SBT68" s="87"/>
      <c r="SBU68" s="87"/>
      <c r="SBV68" s="87"/>
      <c r="SBW68" s="87"/>
      <c r="SBX68" s="87"/>
      <c r="SBY68" s="87"/>
      <c r="SBZ68" s="87"/>
      <c r="SCA68" s="87"/>
      <c r="SCB68" s="87"/>
      <c r="SCC68" s="87"/>
      <c r="SCD68" s="87"/>
      <c r="SCE68" s="87"/>
      <c r="SCF68" s="87"/>
      <c r="SCG68" s="87"/>
      <c r="SCH68" s="87"/>
      <c r="SCI68" s="87"/>
      <c r="SCJ68" s="87"/>
      <c r="SCK68" s="87"/>
      <c r="SCL68" s="87"/>
      <c r="SCM68" s="87"/>
      <c r="SCN68" s="87"/>
      <c r="SCO68" s="87"/>
      <c r="SCP68" s="87"/>
      <c r="SCQ68" s="87"/>
      <c r="SCR68" s="87"/>
      <c r="SCS68" s="87"/>
      <c r="SCT68" s="87"/>
      <c r="SCU68" s="87"/>
      <c r="SCV68" s="87"/>
      <c r="SCW68" s="87"/>
      <c r="SCX68" s="87"/>
      <c r="SCY68" s="87"/>
      <c r="SCZ68" s="87"/>
      <c r="SDA68" s="87"/>
      <c r="SDB68" s="87"/>
      <c r="SDC68" s="87"/>
      <c r="SDD68" s="87"/>
      <c r="SDE68" s="87"/>
      <c r="SDF68" s="87"/>
      <c r="SDG68" s="87"/>
      <c r="SDH68" s="87"/>
      <c r="SDI68" s="87"/>
      <c r="SDJ68" s="87"/>
      <c r="SDK68" s="87"/>
      <c r="SDL68" s="87"/>
      <c r="SDM68" s="87"/>
      <c r="SDN68" s="87"/>
      <c r="SDO68" s="87"/>
      <c r="SDP68" s="87"/>
      <c r="SDQ68" s="87"/>
      <c r="SDR68" s="87"/>
      <c r="SDS68" s="87"/>
      <c r="SDT68" s="87"/>
      <c r="SDU68" s="87"/>
      <c r="SDV68" s="87"/>
      <c r="SDW68" s="87"/>
      <c r="SDX68" s="87"/>
      <c r="SDY68" s="87"/>
      <c r="SDZ68" s="87"/>
      <c r="SEA68" s="87"/>
      <c r="SEB68" s="87"/>
      <c r="SEC68" s="87"/>
      <c r="SED68" s="87"/>
      <c r="SEE68" s="87"/>
      <c r="SEF68" s="87"/>
      <c r="SEG68" s="87"/>
      <c r="SEH68" s="87"/>
      <c r="SEI68" s="87"/>
      <c r="SEJ68" s="87"/>
      <c r="SEK68" s="87"/>
      <c r="SEL68" s="87"/>
      <c r="SEM68" s="87"/>
      <c r="SEN68" s="87"/>
      <c r="SEO68" s="87"/>
      <c r="SEP68" s="87"/>
      <c r="SEQ68" s="87"/>
      <c r="SER68" s="87"/>
      <c r="SES68" s="87"/>
      <c r="SET68" s="87"/>
      <c r="SEU68" s="87"/>
      <c r="SEV68" s="87"/>
      <c r="SEW68" s="87"/>
      <c r="SEX68" s="87"/>
      <c r="SEY68" s="87"/>
      <c r="SEZ68" s="87"/>
      <c r="SFA68" s="87"/>
      <c r="SFB68" s="87"/>
      <c r="SFC68" s="87"/>
      <c r="SFD68" s="87"/>
      <c r="SFE68" s="87"/>
      <c r="SFF68" s="87"/>
      <c r="SFG68" s="87"/>
      <c r="SFH68" s="87"/>
      <c r="SFI68" s="87"/>
      <c r="SFJ68" s="87"/>
      <c r="SFK68" s="87"/>
      <c r="SFL68" s="87"/>
      <c r="SFM68" s="87"/>
      <c r="SFN68" s="87"/>
      <c r="SFO68" s="87"/>
      <c r="SFP68" s="87"/>
      <c r="SFQ68" s="87"/>
      <c r="SFR68" s="87"/>
      <c r="SFS68" s="87"/>
      <c r="SFT68" s="87"/>
      <c r="SFU68" s="87"/>
      <c r="SFV68" s="87"/>
      <c r="SFW68" s="87"/>
      <c r="SFX68" s="87"/>
      <c r="SFY68" s="87"/>
      <c r="SFZ68" s="87"/>
      <c r="SGA68" s="87"/>
      <c r="SGB68" s="87"/>
      <c r="SGC68" s="87"/>
      <c r="SGD68" s="87"/>
      <c r="SGE68" s="87"/>
      <c r="SGF68" s="87"/>
      <c r="SGG68" s="87"/>
      <c r="SGH68" s="87"/>
      <c r="SGI68" s="87"/>
      <c r="SGJ68" s="87"/>
      <c r="SGK68" s="87"/>
      <c r="SGL68" s="87"/>
      <c r="SGM68" s="87"/>
      <c r="SGN68" s="87"/>
      <c r="SGO68" s="87"/>
      <c r="SGP68" s="87"/>
      <c r="SGQ68" s="87"/>
      <c r="SGR68" s="87"/>
      <c r="SGS68" s="87"/>
      <c r="SGT68" s="87"/>
      <c r="SGU68" s="87"/>
      <c r="SGV68" s="87"/>
      <c r="SGW68" s="87"/>
      <c r="SGX68" s="87"/>
      <c r="SGY68" s="87"/>
      <c r="SGZ68" s="87"/>
      <c r="SHA68" s="87"/>
      <c r="SHB68" s="87"/>
      <c r="SHC68" s="87"/>
      <c r="SHD68" s="87"/>
      <c r="SHE68" s="87"/>
      <c r="SHF68" s="87"/>
      <c r="SHG68" s="87"/>
      <c r="SHH68" s="87"/>
      <c r="SHI68" s="87"/>
      <c r="SHJ68" s="87"/>
      <c r="SHK68" s="87"/>
      <c r="SHL68" s="87"/>
      <c r="SHM68" s="87"/>
      <c r="SHN68" s="87"/>
      <c r="SHO68" s="87"/>
      <c r="SHP68" s="87"/>
      <c r="SHQ68" s="87"/>
      <c r="SHR68" s="87"/>
      <c r="SHS68" s="87"/>
      <c r="SHT68" s="87"/>
      <c r="SHU68" s="87"/>
      <c r="SHV68" s="87"/>
      <c r="SHW68" s="87"/>
      <c r="SHX68" s="87"/>
      <c r="SHY68" s="87"/>
      <c r="SHZ68" s="87"/>
      <c r="SIA68" s="87"/>
      <c r="SIB68" s="87"/>
      <c r="SIC68" s="87"/>
      <c r="SID68" s="87"/>
      <c r="SIE68" s="87"/>
      <c r="SIF68" s="87"/>
      <c r="SIG68" s="87"/>
      <c r="SIH68" s="87"/>
      <c r="SII68" s="87"/>
      <c r="SIJ68" s="87"/>
      <c r="SIK68" s="87"/>
      <c r="SIL68" s="87"/>
      <c r="SIM68" s="87"/>
      <c r="SIN68" s="87"/>
      <c r="SIO68" s="87"/>
      <c r="SIP68" s="87"/>
      <c r="SIQ68" s="87"/>
      <c r="SIR68" s="87"/>
      <c r="SIS68" s="87"/>
      <c r="SIT68" s="87"/>
      <c r="SIU68" s="87"/>
      <c r="SIV68" s="87"/>
      <c r="SIW68" s="87"/>
      <c r="SIX68" s="87"/>
      <c r="SIY68" s="87"/>
      <c r="SIZ68" s="87"/>
      <c r="SJA68" s="87"/>
      <c r="SJB68" s="87"/>
      <c r="SJC68" s="87"/>
      <c r="SJD68" s="87"/>
      <c r="SJE68" s="87"/>
      <c r="SJF68" s="87"/>
      <c r="SJG68" s="87"/>
      <c r="SJH68" s="87"/>
      <c r="SJI68" s="87"/>
      <c r="SJJ68" s="87"/>
      <c r="SJK68" s="87"/>
      <c r="SJL68" s="87"/>
      <c r="SJM68" s="87"/>
      <c r="SJN68" s="87"/>
      <c r="SJO68" s="87"/>
      <c r="SJP68" s="87"/>
      <c r="SJQ68" s="87"/>
      <c r="SJR68" s="87"/>
      <c r="SJS68" s="87"/>
      <c r="SJT68" s="87"/>
      <c r="SJU68" s="87"/>
      <c r="SJV68" s="87"/>
      <c r="SJW68" s="87"/>
      <c r="SJX68" s="87"/>
      <c r="SJY68" s="87"/>
      <c r="SJZ68" s="87"/>
      <c r="SKA68" s="87"/>
      <c r="SKB68" s="87"/>
      <c r="SKC68" s="87"/>
      <c r="SKD68" s="87"/>
      <c r="SKE68" s="87"/>
      <c r="SKF68" s="87"/>
      <c r="SKG68" s="87"/>
      <c r="SKH68" s="87"/>
      <c r="SKI68" s="87"/>
      <c r="SKJ68" s="87"/>
      <c r="SKK68" s="87"/>
      <c r="SKL68" s="87"/>
      <c r="SKM68" s="87"/>
      <c r="SKN68" s="87"/>
      <c r="SKO68" s="87"/>
      <c r="SKP68" s="87"/>
      <c r="SKQ68" s="87"/>
      <c r="SKR68" s="87"/>
      <c r="SKS68" s="87"/>
      <c r="SKT68" s="87"/>
      <c r="SKU68" s="87"/>
      <c r="SKV68" s="87"/>
      <c r="SKW68" s="87"/>
      <c r="SKX68" s="87"/>
      <c r="SKY68" s="87"/>
      <c r="SKZ68" s="87"/>
      <c r="SLA68" s="87"/>
      <c r="SLB68" s="87"/>
      <c r="SLC68" s="87"/>
      <c r="SLD68" s="87"/>
      <c r="SLE68" s="87"/>
      <c r="SLF68" s="87"/>
      <c r="SLG68" s="87"/>
      <c r="SLH68" s="87"/>
      <c r="SLI68" s="87"/>
      <c r="SLJ68" s="87"/>
      <c r="SLK68" s="87"/>
      <c r="SLL68" s="87"/>
      <c r="SLM68" s="87"/>
      <c r="SLN68" s="87"/>
      <c r="SLO68" s="87"/>
      <c r="SLP68" s="87"/>
      <c r="SLQ68" s="87"/>
      <c r="SLR68" s="87"/>
      <c r="SLS68" s="87"/>
      <c r="SLT68" s="87"/>
      <c r="SLU68" s="87"/>
      <c r="SLV68" s="87"/>
      <c r="SLW68" s="87"/>
      <c r="SLX68" s="87"/>
      <c r="SLY68" s="87"/>
      <c r="SLZ68" s="87"/>
      <c r="SMA68" s="87"/>
      <c r="SMB68" s="87"/>
      <c r="SMC68" s="87"/>
      <c r="SMD68" s="87"/>
      <c r="SME68" s="87"/>
      <c r="SMF68" s="87"/>
      <c r="SMG68" s="87"/>
      <c r="SMH68" s="87"/>
      <c r="SMI68" s="87"/>
      <c r="SMJ68" s="87"/>
      <c r="SMK68" s="87"/>
      <c r="SML68" s="87"/>
      <c r="SMM68" s="87"/>
      <c r="SMN68" s="87"/>
      <c r="SMO68" s="87"/>
      <c r="SMP68" s="87"/>
      <c r="SMQ68" s="87"/>
      <c r="SMR68" s="87"/>
      <c r="SMS68" s="87"/>
      <c r="SMT68" s="87"/>
      <c r="SMU68" s="87"/>
      <c r="SMV68" s="87"/>
      <c r="SMW68" s="87"/>
      <c r="SMX68" s="87"/>
      <c r="SMY68" s="87"/>
      <c r="SMZ68" s="87"/>
      <c r="SNA68" s="87"/>
      <c r="SNB68" s="87"/>
      <c r="SNC68" s="87"/>
      <c r="SND68" s="87"/>
      <c r="SNE68" s="87"/>
      <c r="SNF68" s="87"/>
      <c r="SNG68" s="87"/>
      <c r="SNH68" s="87"/>
      <c r="SNI68" s="87"/>
      <c r="SNJ68" s="87"/>
      <c r="SNK68" s="87"/>
      <c r="SNL68" s="87"/>
      <c r="SNM68" s="87"/>
      <c r="SNN68" s="87"/>
      <c r="SNO68" s="87"/>
      <c r="SNP68" s="87"/>
      <c r="SNQ68" s="87"/>
      <c r="SNR68" s="87"/>
      <c r="SNS68" s="87"/>
      <c r="SNT68" s="87"/>
      <c r="SNU68" s="87"/>
      <c r="SNV68" s="87"/>
      <c r="SNW68" s="87"/>
      <c r="SNX68" s="87"/>
      <c r="SNY68" s="87"/>
      <c r="SNZ68" s="87"/>
      <c r="SOA68" s="87"/>
      <c r="SOB68" s="87"/>
      <c r="SOC68" s="87"/>
      <c r="SOD68" s="87"/>
      <c r="SOE68" s="87"/>
      <c r="SOF68" s="87"/>
      <c r="SOG68" s="87"/>
      <c r="SOH68" s="87"/>
      <c r="SOI68" s="87"/>
      <c r="SOJ68" s="87"/>
      <c r="SOK68" s="87"/>
      <c r="SOL68" s="87"/>
      <c r="SOM68" s="87"/>
      <c r="SON68" s="87"/>
      <c r="SOO68" s="87"/>
      <c r="SOP68" s="87"/>
      <c r="SOQ68" s="87"/>
      <c r="SOR68" s="87"/>
      <c r="SOS68" s="87"/>
      <c r="SOT68" s="87"/>
      <c r="SOU68" s="87"/>
      <c r="SOV68" s="87"/>
      <c r="SOW68" s="87"/>
      <c r="SOX68" s="87"/>
      <c r="SOY68" s="87"/>
      <c r="SOZ68" s="87"/>
      <c r="SPA68" s="87"/>
      <c r="SPB68" s="87"/>
      <c r="SPC68" s="87"/>
      <c r="SPD68" s="87"/>
      <c r="SPE68" s="87"/>
      <c r="SPF68" s="87"/>
      <c r="SPG68" s="87"/>
      <c r="SPH68" s="87"/>
      <c r="SPI68" s="87"/>
      <c r="SPJ68" s="87"/>
      <c r="SPK68" s="87"/>
      <c r="SPL68" s="87"/>
      <c r="SPM68" s="87"/>
      <c r="SPN68" s="87"/>
      <c r="SPO68" s="87"/>
      <c r="SPP68" s="87"/>
      <c r="SPQ68" s="87"/>
      <c r="SPR68" s="87"/>
      <c r="SPS68" s="87"/>
      <c r="SPT68" s="87"/>
      <c r="SPU68" s="87"/>
      <c r="SPV68" s="87"/>
      <c r="SPW68" s="87"/>
      <c r="SPX68" s="87"/>
      <c r="SPY68" s="87"/>
      <c r="SPZ68" s="87"/>
      <c r="SQA68" s="87"/>
      <c r="SQB68" s="87"/>
      <c r="SQC68" s="87"/>
      <c r="SQD68" s="87"/>
      <c r="SQE68" s="87"/>
      <c r="SQF68" s="87"/>
      <c r="SQG68" s="87"/>
      <c r="SQH68" s="87"/>
      <c r="SQI68" s="87"/>
      <c r="SQJ68" s="87"/>
      <c r="SQK68" s="87"/>
      <c r="SQL68" s="87"/>
      <c r="SQM68" s="87"/>
      <c r="SQN68" s="87"/>
      <c r="SQO68" s="87"/>
      <c r="SQP68" s="87"/>
      <c r="SQQ68" s="87"/>
      <c r="SQR68" s="87"/>
      <c r="SQS68" s="87"/>
      <c r="SQT68" s="87"/>
      <c r="SQU68" s="87"/>
      <c r="SQV68" s="87"/>
      <c r="SQW68" s="87"/>
      <c r="SQX68" s="87"/>
      <c r="SQY68" s="87"/>
      <c r="SQZ68" s="87"/>
      <c r="SRA68" s="87"/>
      <c r="SRB68" s="87"/>
      <c r="SRC68" s="87"/>
      <c r="SRD68" s="87"/>
      <c r="SRE68" s="87"/>
      <c r="SRF68" s="87"/>
      <c r="SRG68" s="87"/>
      <c r="SRH68" s="87"/>
      <c r="SRI68" s="87"/>
      <c r="SRJ68" s="87"/>
      <c r="SRK68" s="87"/>
      <c r="SRL68" s="87"/>
      <c r="SRM68" s="87"/>
      <c r="SRN68" s="87"/>
      <c r="SRO68" s="87"/>
      <c r="SRP68" s="87"/>
      <c r="SRQ68" s="87"/>
      <c r="SRR68" s="87"/>
      <c r="SRS68" s="87"/>
      <c r="SRT68" s="87"/>
      <c r="SRU68" s="87"/>
      <c r="SRV68" s="87"/>
      <c r="SRW68" s="87"/>
      <c r="SRX68" s="87"/>
      <c r="SRY68" s="87"/>
      <c r="SRZ68" s="87"/>
      <c r="SSA68" s="87"/>
      <c r="SSB68" s="87"/>
      <c r="SSC68" s="87"/>
      <c r="SSD68" s="87"/>
      <c r="SSE68" s="87"/>
      <c r="SSF68" s="87"/>
      <c r="SSG68" s="87"/>
      <c r="SSH68" s="87"/>
      <c r="SSI68" s="87"/>
      <c r="SSJ68" s="87"/>
      <c r="SSK68" s="87"/>
      <c r="SSL68" s="87"/>
      <c r="SSM68" s="87"/>
      <c r="SSN68" s="87"/>
      <c r="SSO68" s="87"/>
      <c r="SSP68" s="87"/>
      <c r="SSQ68" s="87"/>
      <c r="SSR68" s="87"/>
      <c r="SSS68" s="87"/>
      <c r="SST68" s="87"/>
      <c r="SSU68" s="87"/>
      <c r="SSV68" s="87"/>
      <c r="SSW68" s="87"/>
      <c r="SSX68" s="87"/>
      <c r="SSY68" s="87"/>
      <c r="SSZ68" s="87"/>
      <c r="STA68" s="87"/>
      <c r="STB68" s="87"/>
      <c r="STC68" s="87"/>
      <c r="STD68" s="87"/>
      <c r="STE68" s="87"/>
      <c r="STF68" s="87"/>
      <c r="STG68" s="87"/>
      <c r="STH68" s="87"/>
      <c r="STI68" s="87"/>
      <c r="STJ68" s="87"/>
      <c r="STK68" s="87"/>
      <c r="STL68" s="87"/>
      <c r="STM68" s="87"/>
      <c r="STN68" s="87"/>
      <c r="STO68" s="87"/>
      <c r="STP68" s="87"/>
      <c r="STQ68" s="87"/>
      <c r="STR68" s="87"/>
      <c r="STS68" s="87"/>
      <c r="STT68" s="87"/>
      <c r="STU68" s="87"/>
      <c r="STV68" s="87"/>
      <c r="STW68" s="87"/>
      <c r="STX68" s="87"/>
      <c r="STY68" s="87"/>
      <c r="STZ68" s="87"/>
      <c r="SUA68" s="87"/>
      <c r="SUB68" s="87"/>
      <c r="SUC68" s="87"/>
      <c r="SUD68" s="87"/>
      <c r="SUE68" s="87"/>
      <c r="SUF68" s="87"/>
      <c r="SUG68" s="87"/>
      <c r="SUH68" s="87"/>
      <c r="SUI68" s="87"/>
      <c r="SUJ68" s="87"/>
      <c r="SUK68" s="87"/>
      <c r="SUL68" s="87"/>
      <c r="SUM68" s="87"/>
      <c r="SUN68" s="87"/>
      <c r="SUO68" s="87"/>
      <c r="SUP68" s="87"/>
      <c r="SUQ68" s="87"/>
      <c r="SUR68" s="87"/>
      <c r="SUS68" s="87"/>
      <c r="SUT68" s="87"/>
      <c r="SUU68" s="87"/>
      <c r="SUV68" s="87"/>
      <c r="SUW68" s="87"/>
      <c r="SUX68" s="87"/>
      <c r="SUY68" s="87"/>
      <c r="SUZ68" s="87"/>
      <c r="SVA68" s="87"/>
      <c r="SVB68" s="87"/>
      <c r="SVC68" s="87"/>
      <c r="SVD68" s="87"/>
      <c r="SVE68" s="87"/>
      <c r="SVF68" s="87"/>
      <c r="SVG68" s="87"/>
      <c r="SVH68" s="87"/>
      <c r="SVI68" s="87"/>
      <c r="SVJ68" s="87"/>
      <c r="SVK68" s="87"/>
      <c r="SVL68" s="87"/>
      <c r="SVM68" s="87"/>
      <c r="SVN68" s="87"/>
      <c r="SVO68" s="87"/>
      <c r="SVP68" s="87"/>
      <c r="SVQ68" s="87"/>
      <c r="SVR68" s="87"/>
      <c r="SVS68" s="87"/>
      <c r="SVT68" s="87"/>
      <c r="SVU68" s="87"/>
      <c r="SVV68" s="87"/>
      <c r="SVW68" s="87"/>
      <c r="SVX68" s="87"/>
      <c r="SVY68" s="87"/>
      <c r="SVZ68" s="87"/>
      <c r="SWA68" s="87"/>
      <c r="SWB68" s="87"/>
      <c r="SWC68" s="87"/>
      <c r="SWD68" s="87"/>
      <c r="SWE68" s="87"/>
      <c r="SWF68" s="87"/>
      <c r="SWG68" s="87"/>
      <c r="SWH68" s="87"/>
      <c r="SWI68" s="87"/>
      <c r="SWJ68" s="87"/>
      <c r="SWK68" s="87"/>
      <c r="SWL68" s="87"/>
      <c r="SWM68" s="87"/>
      <c r="SWN68" s="87"/>
      <c r="SWO68" s="87"/>
      <c r="SWP68" s="87"/>
      <c r="SWQ68" s="87"/>
      <c r="SWR68" s="87"/>
      <c r="SWS68" s="87"/>
      <c r="SWT68" s="87"/>
      <c r="SWU68" s="87"/>
      <c r="SWV68" s="87"/>
      <c r="SWW68" s="87"/>
      <c r="SWX68" s="87"/>
      <c r="SWY68" s="87"/>
      <c r="SWZ68" s="87"/>
      <c r="SXA68" s="87"/>
      <c r="SXB68" s="87"/>
      <c r="SXC68" s="87"/>
      <c r="SXD68" s="87"/>
      <c r="SXE68" s="87"/>
      <c r="SXF68" s="87"/>
      <c r="SXG68" s="87"/>
      <c r="SXH68" s="87"/>
      <c r="SXI68" s="87"/>
      <c r="SXJ68" s="87"/>
      <c r="SXK68" s="87"/>
      <c r="SXL68" s="87"/>
      <c r="SXM68" s="87"/>
      <c r="SXN68" s="87"/>
      <c r="SXO68" s="87"/>
      <c r="SXP68" s="87"/>
      <c r="SXQ68" s="87"/>
      <c r="SXR68" s="87"/>
      <c r="SXS68" s="87"/>
      <c r="SXT68" s="87"/>
      <c r="SXU68" s="87"/>
      <c r="SXV68" s="87"/>
      <c r="SXW68" s="87"/>
      <c r="SXX68" s="87"/>
      <c r="SXY68" s="87"/>
      <c r="SXZ68" s="87"/>
      <c r="SYA68" s="87"/>
      <c r="SYB68" s="87"/>
      <c r="SYC68" s="87"/>
      <c r="SYD68" s="87"/>
      <c r="SYE68" s="87"/>
      <c r="SYF68" s="87"/>
      <c r="SYG68" s="87"/>
      <c r="SYH68" s="87"/>
      <c r="SYI68" s="87"/>
      <c r="SYJ68" s="87"/>
      <c r="SYK68" s="87"/>
      <c r="SYL68" s="87"/>
      <c r="SYM68" s="87"/>
      <c r="SYN68" s="87"/>
      <c r="SYO68" s="87"/>
      <c r="SYP68" s="87"/>
      <c r="SYQ68" s="87"/>
      <c r="SYR68" s="87"/>
      <c r="SYS68" s="87"/>
      <c r="SYT68" s="87"/>
      <c r="SYU68" s="87"/>
      <c r="SYV68" s="87"/>
      <c r="SYW68" s="87"/>
      <c r="SYX68" s="87"/>
      <c r="SYY68" s="87"/>
      <c r="SYZ68" s="87"/>
      <c r="SZA68" s="87"/>
      <c r="SZB68" s="87"/>
      <c r="SZC68" s="87"/>
      <c r="SZD68" s="87"/>
      <c r="SZE68" s="87"/>
      <c r="SZF68" s="87"/>
      <c r="SZG68" s="87"/>
      <c r="SZH68" s="87"/>
      <c r="SZI68" s="87"/>
      <c r="SZJ68" s="87"/>
      <c r="SZK68" s="87"/>
      <c r="SZL68" s="87"/>
      <c r="SZM68" s="87"/>
      <c r="SZN68" s="87"/>
      <c r="SZO68" s="87"/>
      <c r="SZP68" s="87"/>
      <c r="SZQ68" s="87"/>
      <c r="SZR68" s="87"/>
      <c r="SZS68" s="87"/>
      <c r="SZT68" s="87"/>
      <c r="SZU68" s="87"/>
      <c r="SZV68" s="87"/>
      <c r="SZW68" s="87"/>
      <c r="SZX68" s="87"/>
      <c r="SZY68" s="87"/>
      <c r="SZZ68" s="87"/>
      <c r="TAA68" s="87"/>
      <c r="TAB68" s="87"/>
      <c r="TAC68" s="87"/>
      <c r="TAD68" s="87"/>
      <c r="TAE68" s="87"/>
      <c r="TAF68" s="87"/>
      <c r="TAG68" s="87"/>
      <c r="TAH68" s="87"/>
      <c r="TAI68" s="87"/>
      <c r="TAJ68" s="87"/>
      <c r="TAK68" s="87"/>
      <c r="TAL68" s="87"/>
      <c r="TAM68" s="87"/>
      <c r="TAN68" s="87"/>
      <c r="TAO68" s="87"/>
      <c r="TAP68" s="87"/>
      <c r="TAQ68" s="87"/>
      <c r="TAR68" s="87"/>
      <c r="TAS68" s="87"/>
      <c r="TAT68" s="87"/>
      <c r="TAU68" s="87"/>
      <c r="TAV68" s="87"/>
      <c r="TAW68" s="87"/>
      <c r="TAX68" s="87"/>
      <c r="TAY68" s="87"/>
      <c r="TAZ68" s="87"/>
      <c r="TBA68" s="87"/>
      <c r="TBB68" s="87"/>
      <c r="TBC68" s="87"/>
      <c r="TBD68" s="87"/>
      <c r="TBE68" s="87"/>
      <c r="TBF68" s="87"/>
      <c r="TBG68" s="87"/>
      <c r="TBH68" s="87"/>
      <c r="TBI68" s="87"/>
      <c r="TBJ68" s="87"/>
      <c r="TBK68" s="87"/>
      <c r="TBL68" s="87"/>
      <c r="TBM68" s="87"/>
      <c r="TBN68" s="87"/>
      <c r="TBO68" s="87"/>
      <c r="TBP68" s="87"/>
      <c r="TBQ68" s="87"/>
      <c r="TBR68" s="87"/>
      <c r="TBS68" s="87"/>
      <c r="TBT68" s="87"/>
      <c r="TBU68" s="87"/>
      <c r="TBV68" s="87"/>
      <c r="TBW68" s="87"/>
      <c r="TBX68" s="87"/>
      <c r="TBY68" s="87"/>
      <c r="TBZ68" s="87"/>
      <c r="TCA68" s="87"/>
      <c r="TCB68" s="87"/>
      <c r="TCC68" s="87"/>
      <c r="TCD68" s="87"/>
      <c r="TCE68" s="87"/>
      <c r="TCF68" s="87"/>
      <c r="TCG68" s="87"/>
      <c r="TCH68" s="87"/>
      <c r="TCI68" s="87"/>
      <c r="TCJ68" s="87"/>
      <c r="TCK68" s="87"/>
      <c r="TCL68" s="87"/>
      <c r="TCM68" s="87"/>
      <c r="TCN68" s="87"/>
      <c r="TCO68" s="87"/>
      <c r="TCP68" s="87"/>
      <c r="TCQ68" s="87"/>
      <c r="TCR68" s="87"/>
      <c r="TCS68" s="87"/>
      <c r="TCT68" s="87"/>
      <c r="TCU68" s="87"/>
      <c r="TCV68" s="87"/>
      <c r="TCW68" s="87"/>
      <c r="TCX68" s="87"/>
      <c r="TCY68" s="87"/>
      <c r="TCZ68" s="87"/>
      <c r="TDA68" s="87"/>
      <c r="TDB68" s="87"/>
      <c r="TDC68" s="87"/>
      <c r="TDD68" s="87"/>
      <c r="TDE68" s="87"/>
      <c r="TDF68" s="87"/>
      <c r="TDG68" s="87"/>
      <c r="TDH68" s="87"/>
      <c r="TDI68" s="87"/>
      <c r="TDJ68" s="87"/>
      <c r="TDK68" s="87"/>
      <c r="TDL68" s="87"/>
      <c r="TDM68" s="87"/>
      <c r="TDN68" s="87"/>
      <c r="TDO68" s="87"/>
      <c r="TDP68" s="87"/>
      <c r="TDQ68" s="87"/>
      <c r="TDR68" s="87"/>
      <c r="TDS68" s="87"/>
      <c r="TDT68" s="87"/>
      <c r="TDU68" s="87"/>
      <c r="TDV68" s="87"/>
      <c r="TDW68" s="87"/>
      <c r="TDX68" s="87"/>
      <c r="TDY68" s="87"/>
      <c r="TDZ68" s="87"/>
      <c r="TEA68" s="87"/>
      <c r="TEB68" s="87"/>
      <c r="TEC68" s="87"/>
      <c r="TED68" s="87"/>
      <c r="TEE68" s="87"/>
      <c r="TEF68" s="87"/>
      <c r="TEG68" s="87"/>
      <c r="TEH68" s="87"/>
      <c r="TEI68" s="87"/>
      <c r="TEJ68" s="87"/>
      <c r="TEK68" s="87"/>
      <c r="TEL68" s="87"/>
      <c r="TEM68" s="87"/>
      <c r="TEN68" s="87"/>
      <c r="TEO68" s="87"/>
      <c r="TEP68" s="87"/>
      <c r="TEQ68" s="87"/>
      <c r="TER68" s="87"/>
      <c r="TES68" s="87"/>
      <c r="TET68" s="87"/>
      <c r="TEU68" s="87"/>
      <c r="TEV68" s="87"/>
      <c r="TEW68" s="87"/>
      <c r="TEX68" s="87"/>
      <c r="TEY68" s="87"/>
      <c r="TEZ68" s="87"/>
      <c r="TFA68" s="87"/>
      <c r="TFB68" s="87"/>
      <c r="TFC68" s="87"/>
      <c r="TFD68" s="87"/>
      <c r="TFE68" s="87"/>
      <c r="TFF68" s="87"/>
      <c r="TFG68" s="87"/>
      <c r="TFH68" s="87"/>
      <c r="TFI68" s="87"/>
      <c r="TFJ68" s="87"/>
      <c r="TFK68" s="87"/>
      <c r="TFL68" s="87"/>
      <c r="TFM68" s="87"/>
      <c r="TFN68" s="87"/>
      <c r="TFO68" s="87"/>
      <c r="TFP68" s="87"/>
      <c r="TFQ68" s="87"/>
      <c r="TFR68" s="87"/>
      <c r="TFS68" s="87"/>
      <c r="TFT68" s="87"/>
      <c r="TFU68" s="87"/>
      <c r="TFV68" s="87"/>
      <c r="TFW68" s="87"/>
      <c r="TFX68" s="87"/>
      <c r="TFY68" s="87"/>
      <c r="TFZ68" s="87"/>
      <c r="TGA68" s="87"/>
      <c r="TGB68" s="87"/>
      <c r="TGC68" s="87"/>
      <c r="TGD68" s="87"/>
      <c r="TGE68" s="87"/>
      <c r="TGF68" s="87"/>
      <c r="TGG68" s="87"/>
      <c r="TGH68" s="87"/>
      <c r="TGI68" s="87"/>
      <c r="TGJ68" s="87"/>
      <c r="TGK68" s="87"/>
      <c r="TGL68" s="87"/>
      <c r="TGM68" s="87"/>
      <c r="TGN68" s="87"/>
      <c r="TGO68" s="87"/>
      <c r="TGP68" s="87"/>
      <c r="TGQ68" s="87"/>
      <c r="TGR68" s="87"/>
      <c r="TGS68" s="87"/>
      <c r="TGT68" s="87"/>
      <c r="TGU68" s="87"/>
      <c r="TGV68" s="87"/>
      <c r="TGW68" s="87"/>
      <c r="TGX68" s="87"/>
      <c r="TGY68" s="87"/>
      <c r="TGZ68" s="87"/>
      <c r="THA68" s="87"/>
      <c r="THB68" s="87"/>
      <c r="THC68" s="87"/>
      <c r="THD68" s="87"/>
      <c r="THE68" s="87"/>
      <c r="THF68" s="87"/>
      <c r="THG68" s="87"/>
      <c r="THH68" s="87"/>
      <c r="THI68" s="87"/>
      <c r="THJ68" s="87"/>
      <c r="THK68" s="87"/>
      <c r="THL68" s="87"/>
      <c r="THM68" s="87"/>
      <c r="THN68" s="87"/>
      <c r="THO68" s="87"/>
      <c r="THP68" s="87"/>
      <c r="THQ68" s="87"/>
      <c r="THR68" s="87"/>
      <c r="THS68" s="87"/>
      <c r="THT68" s="87"/>
      <c r="THU68" s="87"/>
      <c r="THV68" s="87"/>
      <c r="THW68" s="87"/>
      <c r="THX68" s="87"/>
      <c r="THY68" s="87"/>
      <c r="THZ68" s="87"/>
      <c r="TIA68" s="87"/>
      <c r="TIB68" s="87"/>
      <c r="TIC68" s="87"/>
      <c r="TID68" s="87"/>
      <c r="TIE68" s="87"/>
      <c r="TIF68" s="87"/>
      <c r="TIG68" s="87"/>
      <c r="TIH68" s="87"/>
      <c r="TII68" s="87"/>
      <c r="TIJ68" s="87"/>
      <c r="TIK68" s="87"/>
      <c r="TIL68" s="87"/>
      <c r="TIM68" s="87"/>
      <c r="TIN68" s="87"/>
      <c r="TIO68" s="87"/>
      <c r="TIP68" s="87"/>
      <c r="TIQ68" s="87"/>
      <c r="TIR68" s="87"/>
      <c r="TIS68" s="87"/>
      <c r="TIT68" s="87"/>
      <c r="TIU68" s="87"/>
      <c r="TIV68" s="87"/>
      <c r="TIW68" s="87"/>
      <c r="TIX68" s="87"/>
      <c r="TIY68" s="87"/>
      <c r="TIZ68" s="87"/>
      <c r="TJA68" s="87"/>
      <c r="TJB68" s="87"/>
      <c r="TJC68" s="87"/>
      <c r="TJD68" s="87"/>
      <c r="TJE68" s="87"/>
      <c r="TJF68" s="87"/>
      <c r="TJG68" s="87"/>
      <c r="TJH68" s="87"/>
      <c r="TJI68" s="87"/>
      <c r="TJJ68" s="87"/>
      <c r="TJK68" s="87"/>
      <c r="TJL68" s="87"/>
      <c r="TJM68" s="87"/>
      <c r="TJN68" s="87"/>
      <c r="TJO68" s="87"/>
      <c r="TJP68" s="87"/>
      <c r="TJQ68" s="87"/>
      <c r="TJR68" s="87"/>
      <c r="TJS68" s="87"/>
      <c r="TJT68" s="87"/>
      <c r="TJU68" s="87"/>
      <c r="TJV68" s="87"/>
      <c r="TJW68" s="87"/>
      <c r="TJX68" s="87"/>
      <c r="TJY68" s="87"/>
      <c r="TJZ68" s="87"/>
      <c r="TKA68" s="87"/>
      <c r="TKB68" s="87"/>
      <c r="TKC68" s="87"/>
      <c r="TKD68" s="87"/>
      <c r="TKE68" s="87"/>
      <c r="TKF68" s="87"/>
      <c r="TKG68" s="87"/>
      <c r="TKH68" s="87"/>
      <c r="TKI68" s="87"/>
      <c r="TKJ68" s="87"/>
      <c r="TKK68" s="87"/>
      <c r="TKL68" s="87"/>
      <c r="TKM68" s="87"/>
      <c r="TKN68" s="87"/>
      <c r="TKO68" s="87"/>
      <c r="TKP68" s="87"/>
      <c r="TKQ68" s="87"/>
      <c r="TKR68" s="87"/>
      <c r="TKS68" s="87"/>
      <c r="TKT68" s="87"/>
      <c r="TKU68" s="87"/>
      <c r="TKV68" s="87"/>
      <c r="TKW68" s="87"/>
      <c r="TKX68" s="87"/>
      <c r="TKY68" s="87"/>
      <c r="TKZ68" s="87"/>
      <c r="TLA68" s="87"/>
      <c r="TLB68" s="87"/>
      <c r="TLC68" s="87"/>
      <c r="TLD68" s="87"/>
      <c r="TLE68" s="87"/>
      <c r="TLF68" s="87"/>
      <c r="TLG68" s="87"/>
      <c r="TLH68" s="87"/>
      <c r="TLI68" s="87"/>
      <c r="TLJ68" s="87"/>
      <c r="TLK68" s="87"/>
      <c r="TLL68" s="87"/>
      <c r="TLM68" s="87"/>
      <c r="TLN68" s="87"/>
      <c r="TLO68" s="87"/>
      <c r="TLP68" s="87"/>
      <c r="TLQ68" s="87"/>
      <c r="TLR68" s="87"/>
      <c r="TLS68" s="87"/>
      <c r="TLT68" s="87"/>
      <c r="TLU68" s="87"/>
      <c r="TLV68" s="87"/>
      <c r="TLW68" s="87"/>
      <c r="TLX68" s="87"/>
      <c r="TLY68" s="87"/>
      <c r="TLZ68" s="87"/>
      <c r="TMA68" s="87"/>
      <c r="TMB68" s="87"/>
      <c r="TMC68" s="87"/>
      <c r="TMD68" s="87"/>
      <c r="TME68" s="87"/>
      <c r="TMF68" s="87"/>
      <c r="TMG68" s="87"/>
      <c r="TMH68" s="87"/>
      <c r="TMI68" s="87"/>
      <c r="TMJ68" s="87"/>
      <c r="TMK68" s="87"/>
      <c r="TML68" s="87"/>
      <c r="TMM68" s="87"/>
      <c r="TMN68" s="87"/>
      <c r="TMO68" s="87"/>
      <c r="TMP68" s="87"/>
      <c r="TMQ68" s="87"/>
      <c r="TMR68" s="87"/>
      <c r="TMS68" s="87"/>
      <c r="TMT68" s="87"/>
      <c r="TMU68" s="87"/>
      <c r="TMV68" s="87"/>
      <c r="TMW68" s="87"/>
      <c r="TMX68" s="87"/>
      <c r="TMY68" s="87"/>
      <c r="TMZ68" s="87"/>
      <c r="TNA68" s="87"/>
      <c r="TNB68" s="87"/>
      <c r="TNC68" s="87"/>
      <c r="TND68" s="87"/>
      <c r="TNE68" s="87"/>
      <c r="TNF68" s="87"/>
      <c r="TNG68" s="87"/>
      <c r="TNH68" s="87"/>
      <c r="TNI68" s="87"/>
      <c r="TNJ68" s="87"/>
      <c r="TNK68" s="87"/>
      <c r="TNL68" s="87"/>
      <c r="TNM68" s="87"/>
      <c r="TNN68" s="87"/>
      <c r="TNO68" s="87"/>
      <c r="TNP68" s="87"/>
      <c r="TNQ68" s="87"/>
      <c r="TNR68" s="87"/>
      <c r="TNS68" s="87"/>
      <c r="TNT68" s="87"/>
      <c r="TNU68" s="87"/>
      <c r="TNV68" s="87"/>
      <c r="TNW68" s="87"/>
      <c r="TNX68" s="87"/>
      <c r="TNY68" s="87"/>
      <c r="TNZ68" s="87"/>
      <c r="TOA68" s="87"/>
      <c r="TOB68" s="87"/>
      <c r="TOC68" s="87"/>
      <c r="TOD68" s="87"/>
      <c r="TOE68" s="87"/>
      <c r="TOF68" s="87"/>
      <c r="TOG68" s="87"/>
      <c r="TOH68" s="87"/>
      <c r="TOI68" s="87"/>
      <c r="TOJ68" s="87"/>
      <c r="TOK68" s="87"/>
      <c r="TOL68" s="87"/>
      <c r="TOM68" s="87"/>
      <c r="TON68" s="87"/>
      <c r="TOO68" s="87"/>
      <c r="TOP68" s="87"/>
      <c r="TOQ68" s="87"/>
      <c r="TOR68" s="87"/>
      <c r="TOS68" s="87"/>
      <c r="TOT68" s="87"/>
      <c r="TOU68" s="87"/>
      <c r="TOV68" s="87"/>
      <c r="TOW68" s="87"/>
      <c r="TOX68" s="87"/>
      <c r="TOY68" s="87"/>
      <c r="TOZ68" s="87"/>
      <c r="TPA68" s="87"/>
      <c r="TPB68" s="87"/>
      <c r="TPC68" s="87"/>
      <c r="TPD68" s="87"/>
      <c r="TPE68" s="87"/>
      <c r="TPF68" s="87"/>
      <c r="TPG68" s="87"/>
      <c r="TPH68" s="87"/>
      <c r="TPI68" s="87"/>
      <c r="TPJ68" s="87"/>
      <c r="TPK68" s="87"/>
      <c r="TPL68" s="87"/>
      <c r="TPM68" s="87"/>
      <c r="TPN68" s="87"/>
      <c r="TPO68" s="87"/>
      <c r="TPP68" s="87"/>
      <c r="TPQ68" s="87"/>
      <c r="TPR68" s="87"/>
      <c r="TPS68" s="87"/>
      <c r="TPT68" s="87"/>
      <c r="TPU68" s="87"/>
      <c r="TPV68" s="87"/>
      <c r="TPW68" s="87"/>
      <c r="TPX68" s="87"/>
      <c r="TPY68" s="87"/>
      <c r="TPZ68" s="87"/>
      <c r="TQA68" s="87"/>
      <c r="TQB68" s="87"/>
      <c r="TQC68" s="87"/>
      <c r="TQD68" s="87"/>
      <c r="TQE68" s="87"/>
      <c r="TQF68" s="87"/>
      <c r="TQG68" s="87"/>
      <c r="TQH68" s="87"/>
      <c r="TQI68" s="87"/>
      <c r="TQJ68" s="87"/>
      <c r="TQK68" s="87"/>
      <c r="TQL68" s="87"/>
      <c r="TQM68" s="87"/>
      <c r="TQN68" s="87"/>
      <c r="TQO68" s="87"/>
      <c r="TQP68" s="87"/>
      <c r="TQQ68" s="87"/>
      <c r="TQR68" s="87"/>
      <c r="TQS68" s="87"/>
      <c r="TQT68" s="87"/>
      <c r="TQU68" s="87"/>
      <c r="TQV68" s="87"/>
      <c r="TQW68" s="87"/>
      <c r="TQX68" s="87"/>
      <c r="TQY68" s="87"/>
      <c r="TQZ68" s="87"/>
      <c r="TRA68" s="87"/>
      <c r="TRB68" s="87"/>
      <c r="TRC68" s="87"/>
      <c r="TRD68" s="87"/>
      <c r="TRE68" s="87"/>
      <c r="TRF68" s="87"/>
      <c r="TRG68" s="87"/>
      <c r="TRH68" s="87"/>
      <c r="TRI68" s="87"/>
      <c r="TRJ68" s="87"/>
      <c r="TRK68" s="87"/>
      <c r="TRL68" s="87"/>
      <c r="TRM68" s="87"/>
      <c r="TRN68" s="87"/>
      <c r="TRO68" s="87"/>
      <c r="TRP68" s="87"/>
      <c r="TRQ68" s="87"/>
      <c r="TRR68" s="87"/>
      <c r="TRS68" s="87"/>
      <c r="TRT68" s="87"/>
      <c r="TRU68" s="87"/>
      <c r="TRV68" s="87"/>
      <c r="TRW68" s="87"/>
      <c r="TRX68" s="87"/>
      <c r="TRY68" s="87"/>
      <c r="TRZ68" s="87"/>
      <c r="TSA68" s="87"/>
      <c r="TSB68" s="87"/>
      <c r="TSC68" s="87"/>
      <c r="TSD68" s="87"/>
      <c r="TSE68" s="87"/>
      <c r="TSF68" s="87"/>
      <c r="TSG68" s="87"/>
      <c r="TSH68" s="87"/>
      <c r="TSI68" s="87"/>
      <c r="TSJ68" s="87"/>
      <c r="TSK68" s="87"/>
      <c r="TSL68" s="87"/>
      <c r="TSM68" s="87"/>
      <c r="TSN68" s="87"/>
      <c r="TSO68" s="87"/>
      <c r="TSP68" s="87"/>
      <c r="TSQ68" s="87"/>
      <c r="TSR68" s="87"/>
      <c r="TSS68" s="87"/>
      <c r="TST68" s="87"/>
      <c r="TSU68" s="87"/>
      <c r="TSV68" s="87"/>
      <c r="TSW68" s="87"/>
      <c r="TSX68" s="87"/>
      <c r="TSY68" s="87"/>
      <c r="TSZ68" s="87"/>
      <c r="TTA68" s="87"/>
      <c r="TTB68" s="87"/>
      <c r="TTC68" s="87"/>
      <c r="TTD68" s="87"/>
      <c r="TTE68" s="87"/>
      <c r="TTF68" s="87"/>
      <c r="TTG68" s="87"/>
      <c r="TTH68" s="87"/>
      <c r="TTI68" s="87"/>
      <c r="TTJ68" s="87"/>
      <c r="TTK68" s="87"/>
      <c r="TTL68" s="87"/>
      <c r="TTM68" s="87"/>
      <c r="TTN68" s="87"/>
      <c r="TTO68" s="87"/>
      <c r="TTP68" s="87"/>
      <c r="TTQ68" s="87"/>
      <c r="TTR68" s="87"/>
      <c r="TTS68" s="87"/>
      <c r="TTT68" s="87"/>
      <c r="TTU68" s="87"/>
      <c r="TTV68" s="87"/>
      <c r="TTW68" s="87"/>
      <c r="TTX68" s="87"/>
      <c r="TTY68" s="87"/>
      <c r="TTZ68" s="87"/>
      <c r="TUA68" s="87"/>
      <c r="TUB68" s="87"/>
      <c r="TUC68" s="87"/>
      <c r="TUD68" s="87"/>
      <c r="TUE68" s="87"/>
      <c r="TUF68" s="87"/>
      <c r="TUG68" s="87"/>
      <c r="TUH68" s="87"/>
      <c r="TUI68" s="87"/>
      <c r="TUJ68" s="87"/>
      <c r="TUK68" s="87"/>
      <c r="TUL68" s="87"/>
      <c r="TUM68" s="87"/>
      <c r="TUN68" s="87"/>
      <c r="TUO68" s="87"/>
      <c r="TUP68" s="87"/>
      <c r="TUQ68" s="87"/>
      <c r="TUR68" s="87"/>
      <c r="TUS68" s="87"/>
      <c r="TUT68" s="87"/>
      <c r="TUU68" s="87"/>
      <c r="TUV68" s="87"/>
      <c r="TUW68" s="87"/>
      <c r="TUX68" s="87"/>
      <c r="TUY68" s="87"/>
      <c r="TUZ68" s="87"/>
      <c r="TVA68" s="87"/>
      <c r="TVB68" s="87"/>
      <c r="TVC68" s="87"/>
      <c r="TVD68" s="87"/>
      <c r="TVE68" s="87"/>
      <c r="TVF68" s="87"/>
      <c r="TVG68" s="87"/>
      <c r="TVH68" s="87"/>
      <c r="TVI68" s="87"/>
      <c r="TVJ68" s="87"/>
      <c r="TVK68" s="87"/>
      <c r="TVL68" s="87"/>
      <c r="TVM68" s="87"/>
      <c r="TVN68" s="87"/>
      <c r="TVO68" s="87"/>
      <c r="TVP68" s="87"/>
      <c r="TVQ68" s="87"/>
      <c r="TVR68" s="87"/>
      <c r="TVS68" s="87"/>
      <c r="TVT68" s="87"/>
      <c r="TVU68" s="87"/>
      <c r="TVV68" s="87"/>
      <c r="TVW68" s="87"/>
      <c r="TVX68" s="87"/>
      <c r="TVY68" s="87"/>
      <c r="TVZ68" s="87"/>
      <c r="TWA68" s="87"/>
      <c r="TWB68" s="87"/>
      <c r="TWC68" s="87"/>
      <c r="TWD68" s="87"/>
      <c r="TWE68" s="87"/>
      <c r="TWF68" s="87"/>
      <c r="TWG68" s="87"/>
      <c r="TWH68" s="87"/>
      <c r="TWI68" s="87"/>
      <c r="TWJ68" s="87"/>
      <c r="TWK68" s="87"/>
      <c r="TWL68" s="87"/>
      <c r="TWM68" s="87"/>
      <c r="TWN68" s="87"/>
      <c r="TWO68" s="87"/>
      <c r="TWP68" s="87"/>
      <c r="TWQ68" s="87"/>
      <c r="TWR68" s="87"/>
      <c r="TWS68" s="87"/>
      <c r="TWT68" s="87"/>
      <c r="TWU68" s="87"/>
      <c r="TWV68" s="87"/>
      <c r="TWW68" s="87"/>
      <c r="TWX68" s="87"/>
      <c r="TWY68" s="87"/>
      <c r="TWZ68" s="87"/>
      <c r="TXA68" s="87"/>
      <c r="TXB68" s="87"/>
      <c r="TXC68" s="87"/>
      <c r="TXD68" s="87"/>
      <c r="TXE68" s="87"/>
      <c r="TXF68" s="87"/>
      <c r="TXG68" s="87"/>
      <c r="TXH68" s="87"/>
      <c r="TXI68" s="87"/>
      <c r="TXJ68" s="87"/>
      <c r="TXK68" s="87"/>
      <c r="TXL68" s="87"/>
      <c r="TXM68" s="87"/>
      <c r="TXN68" s="87"/>
      <c r="TXO68" s="87"/>
      <c r="TXP68" s="87"/>
      <c r="TXQ68" s="87"/>
      <c r="TXR68" s="87"/>
      <c r="TXS68" s="87"/>
      <c r="TXT68" s="87"/>
      <c r="TXU68" s="87"/>
      <c r="TXV68" s="87"/>
      <c r="TXW68" s="87"/>
      <c r="TXX68" s="87"/>
      <c r="TXY68" s="87"/>
      <c r="TXZ68" s="87"/>
      <c r="TYA68" s="87"/>
      <c r="TYB68" s="87"/>
      <c r="TYC68" s="87"/>
      <c r="TYD68" s="87"/>
      <c r="TYE68" s="87"/>
      <c r="TYF68" s="87"/>
      <c r="TYG68" s="87"/>
      <c r="TYH68" s="87"/>
      <c r="TYI68" s="87"/>
      <c r="TYJ68" s="87"/>
      <c r="TYK68" s="87"/>
      <c r="TYL68" s="87"/>
      <c r="TYM68" s="87"/>
      <c r="TYN68" s="87"/>
      <c r="TYO68" s="87"/>
      <c r="TYP68" s="87"/>
      <c r="TYQ68" s="87"/>
      <c r="TYR68" s="87"/>
      <c r="TYS68" s="87"/>
      <c r="TYT68" s="87"/>
      <c r="TYU68" s="87"/>
      <c r="TYV68" s="87"/>
      <c r="TYW68" s="87"/>
      <c r="TYX68" s="87"/>
      <c r="TYY68" s="87"/>
      <c r="TYZ68" s="87"/>
      <c r="TZA68" s="87"/>
      <c r="TZB68" s="87"/>
      <c r="TZC68" s="87"/>
      <c r="TZD68" s="87"/>
      <c r="TZE68" s="87"/>
      <c r="TZF68" s="87"/>
      <c r="TZG68" s="87"/>
      <c r="TZH68" s="87"/>
      <c r="TZI68" s="87"/>
      <c r="TZJ68" s="87"/>
      <c r="TZK68" s="87"/>
      <c r="TZL68" s="87"/>
      <c r="TZM68" s="87"/>
      <c r="TZN68" s="87"/>
      <c r="TZO68" s="87"/>
      <c r="TZP68" s="87"/>
      <c r="TZQ68" s="87"/>
      <c r="TZR68" s="87"/>
      <c r="TZS68" s="87"/>
      <c r="TZT68" s="87"/>
      <c r="TZU68" s="87"/>
      <c r="TZV68" s="87"/>
      <c r="TZW68" s="87"/>
      <c r="TZX68" s="87"/>
      <c r="TZY68" s="87"/>
      <c r="TZZ68" s="87"/>
      <c r="UAA68" s="87"/>
      <c r="UAB68" s="87"/>
      <c r="UAC68" s="87"/>
      <c r="UAD68" s="87"/>
      <c r="UAE68" s="87"/>
      <c r="UAF68" s="87"/>
      <c r="UAG68" s="87"/>
      <c r="UAH68" s="87"/>
      <c r="UAI68" s="87"/>
      <c r="UAJ68" s="87"/>
      <c r="UAK68" s="87"/>
      <c r="UAL68" s="87"/>
      <c r="UAM68" s="87"/>
      <c r="UAN68" s="87"/>
      <c r="UAO68" s="87"/>
      <c r="UAP68" s="87"/>
      <c r="UAQ68" s="87"/>
      <c r="UAR68" s="87"/>
      <c r="UAS68" s="87"/>
      <c r="UAT68" s="87"/>
      <c r="UAU68" s="87"/>
      <c r="UAV68" s="87"/>
      <c r="UAW68" s="87"/>
      <c r="UAX68" s="87"/>
      <c r="UAY68" s="87"/>
      <c r="UAZ68" s="87"/>
      <c r="UBA68" s="87"/>
      <c r="UBB68" s="87"/>
      <c r="UBC68" s="87"/>
      <c r="UBD68" s="87"/>
      <c r="UBE68" s="87"/>
      <c r="UBF68" s="87"/>
      <c r="UBG68" s="87"/>
      <c r="UBH68" s="87"/>
      <c r="UBI68" s="87"/>
      <c r="UBJ68" s="87"/>
      <c r="UBK68" s="87"/>
      <c r="UBL68" s="87"/>
      <c r="UBM68" s="87"/>
      <c r="UBN68" s="87"/>
      <c r="UBO68" s="87"/>
      <c r="UBP68" s="87"/>
      <c r="UBQ68" s="87"/>
      <c r="UBR68" s="87"/>
      <c r="UBS68" s="87"/>
      <c r="UBT68" s="87"/>
      <c r="UBU68" s="87"/>
      <c r="UBV68" s="87"/>
      <c r="UBW68" s="87"/>
      <c r="UBX68" s="87"/>
      <c r="UBY68" s="87"/>
      <c r="UBZ68" s="87"/>
      <c r="UCA68" s="87"/>
      <c r="UCB68" s="87"/>
      <c r="UCC68" s="87"/>
      <c r="UCD68" s="87"/>
      <c r="UCE68" s="87"/>
      <c r="UCF68" s="87"/>
      <c r="UCG68" s="87"/>
      <c r="UCH68" s="87"/>
      <c r="UCI68" s="87"/>
      <c r="UCJ68" s="87"/>
      <c r="UCK68" s="87"/>
      <c r="UCL68" s="87"/>
      <c r="UCM68" s="87"/>
      <c r="UCN68" s="87"/>
      <c r="UCO68" s="87"/>
      <c r="UCP68" s="87"/>
      <c r="UCQ68" s="87"/>
      <c r="UCR68" s="87"/>
      <c r="UCS68" s="87"/>
      <c r="UCT68" s="87"/>
      <c r="UCU68" s="87"/>
      <c r="UCV68" s="87"/>
      <c r="UCW68" s="87"/>
      <c r="UCX68" s="87"/>
      <c r="UCY68" s="87"/>
      <c r="UCZ68" s="87"/>
      <c r="UDA68" s="87"/>
      <c r="UDB68" s="87"/>
      <c r="UDC68" s="87"/>
      <c r="UDD68" s="87"/>
      <c r="UDE68" s="87"/>
      <c r="UDF68" s="87"/>
      <c r="UDG68" s="87"/>
      <c r="UDH68" s="87"/>
      <c r="UDI68" s="87"/>
      <c r="UDJ68" s="87"/>
      <c r="UDK68" s="87"/>
      <c r="UDL68" s="87"/>
      <c r="UDM68" s="87"/>
      <c r="UDN68" s="87"/>
      <c r="UDO68" s="87"/>
      <c r="UDP68" s="87"/>
      <c r="UDQ68" s="87"/>
      <c r="UDR68" s="87"/>
      <c r="UDS68" s="87"/>
      <c r="UDT68" s="87"/>
      <c r="UDU68" s="87"/>
      <c r="UDV68" s="87"/>
      <c r="UDW68" s="87"/>
      <c r="UDX68" s="87"/>
      <c r="UDY68" s="87"/>
      <c r="UDZ68" s="87"/>
      <c r="UEA68" s="87"/>
      <c r="UEB68" s="87"/>
      <c r="UEC68" s="87"/>
      <c r="UED68" s="87"/>
      <c r="UEE68" s="87"/>
      <c r="UEF68" s="87"/>
      <c r="UEG68" s="87"/>
      <c r="UEH68" s="87"/>
      <c r="UEI68" s="87"/>
      <c r="UEJ68" s="87"/>
      <c r="UEK68" s="87"/>
      <c r="UEL68" s="87"/>
      <c r="UEM68" s="87"/>
      <c r="UEN68" s="87"/>
      <c r="UEO68" s="87"/>
      <c r="UEP68" s="87"/>
      <c r="UEQ68" s="87"/>
      <c r="UER68" s="87"/>
      <c r="UES68" s="87"/>
      <c r="UET68" s="87"/>
      <c r="UEU68" s="87"/>
      <c r="UEV68" s="87"/>
      <c r="UEW68" s="87"/>
      <c r="UEX68" s="87"/>
      <c r="UEY68" s="87"/>
      <c r="UEZ68" s="87"/>
      <c r="UFA68" s="87"/>
      <c r="UFB68" s="87"/>
      <c r="UFC68" s="87"/>
      <c r="UFD68" s="87"/>
      <c r="UFE68" s="87"/>
      <c r="UFF68" s="87"/>
      <c r="UFG68" s="87"/>
      <c r="UFH68" s="87"/>
      <c r="UFI68" s="87"/>
      <c r="UFJ68" s="87"/>
      <c r="UFK68" s="87"/>
      <c r="UFL68" s="87"/>
      <c r="UFM68" s="87"/>
      <c r="UFN68" s="87"/>
      <c r="UFO68" s="87"/>
      <c r="UFP68" s="87"/>
      <c r="UFQ68" s="87"/>
      <c r="UFR68" s="87"/>
      <c r="UFS68" s="87"/>
      <c r="UFT68" s="87"/>
      <c r="UFU68" s="87"/>
      <c r="UFV68" s="87"/>
      <c r="UFW68" s="87"/>
      <c r="UFX68" s="87"/>
      <c r="UFY68" s="87"/>
      <c r="UFZ68" s="87"/>
      <c r="UGA68" s="87"/>
      <c r="UGB68" s="87"/>
      <c r="UGC68" s="87"/>
      <c r="UGD68" s="87"/>
      <c r="UGE68" s="87"/>
      <c r="UGF68" s="87"/>
      <c r="UGG68" s="87"/>
      <c r="UGH68" s="87"/>
      <c r="UGI68" s="87"/>
      <c r="UGJ68" s="87"/>
      <c r="UGK68" s="87"/>
      <c r="UGL68" s="87"/>
      <c r="UGM68" s="87"/>
      <c r="UGN68" s="87"/>
      <c r="UGO68" s="87"/>
      <c r="UGP68" s="87"/>
      <c r="UGQ68" s="87"/>
      <c r="UGR68" s="87"/>
      <c r="UGS68" s="87"/>
      <c r="UGT68" s="87"/>
      <c r="UGU68" s="87"/>
      <c r="UGV68" s="87"/>
      <c r="UGW68" s="87"/>
      <c r="UGX68" s="87"/>
      <c r="UGY68" s="87"/>
      <c r="UGZ68" s="87"/>
      <c r="UHA68" s="87"/>
      <c r="UHB68" s="87"/>
      <c r="UHC68" s="87"/>
      <c r="UHD68" s="87"/>
      <c r="UHE68" s="87"/>
      <c r="UHF68" s="87"/>
      <c r="UHG68" s="87"/>
      <c r="UHH68" s="87"/>
      <c r="UHI68" s="87"/>
      <c r="UHJ68" s="87"/>
      <c r="UHK68" s="87"/>
      <c r="UHL68" s="87"/>
      <c r="UHM68" s="87"/>
      <c r="UHN68" s="87"/>
      <c r="UHO68" s="87"/>
      <c r="UHP68" s="87"/>
      <c r="UHQ68" s="87"/>
      <c r="UHR68" s="87"/>
      <c r="UHS68" s="87"/>
      <c r="UHT68" s="87"/>
      <c r="UHU68" s="87"/>
      <c r="UHV68" s="87"/>
      <c r="UHW68" s="87"/>
      <c r="UHX68" s="87"/>
      <c r="UHY68" s="87"/>
      <c r="UHZ68" s="87"/>
      <c r="UIA68" s="87"/>
      <c r="UIB68" s="87"/>
      <c r="UIC68" s="87"/>
      <c r="UID68" s="87"/>
      <c r="UIE68" s="87"/>
      <c r="UIF68" s="87"/>
      <c r="UIG68" s="87"/>
      <c r="UIH68" s="87"/>
      <c r="UII68" s="87"/>
      <c r="UIJ68" s="87"/>
      <c r="UIK68" s="87"/>
      <c r="UIL68" s="87"/>
      <c r="UIM68" s="87"/>
      <c r="UIN68" s="87"/>
      <c r="UIO68" s="87"/>
      <c r="UIP68" s="87"/>
      <c r="UIQ68" s="87"/>
      <c r="UIR68" s="87"/>
      <c r="UIS68" s="87"/>
      <c r="UIT68" s="87"/>
      <c r="UIU68" s="87"/>
      <c r="UIV68" s="87"/>
      <c r="UIW68" s="87"/>
      <c r="UIX68" s="87"/>
      <c r="UIY68" s="87"/>
      <c r="UIZ68" s="87"/>
      <c r="UJA68" s="87"/>
      <c r="UJB68" s="87"/>
      <c r="UJC68" s="87"/>
      <c r="UJD68" s="87"/>
      <c r="UJE68" s="87"/>
      <c r="UJF68" s="87"/>
      <c r="UJG68" s="87"/>
      <c r="UJH68" s="87"/>
      <c r="UJI68" s="87"/>
      <c r="UJJ68" s="87"/>
      <c r="UJK68" s="87"/>
      <c r="UJL68" s="87"/>
      <c r="UJM68" s="87"/>
      <c r="UJN68" s="87"/>
      <c r="UJO68" s="87"/>
      <c r="UJP68" s="87"/>
      <c r="UJQ68" s="87"/>
      <c r="UJR68" s="87"/>
      <c r="UJS68" s="87"/>
      <c r="UJT68" s="87"/>
      <c r="UJU68" s="87"/>
      <c r="UJV68" s="87"/>
      <c r="UJW68" s="87"/>
      <c r="UJX68" s="87"/>
      <c r="UJY68" s="87"/>
      <c r="UJZ68" s="87"/>
      <c r="UKA68" s="87"/>
      <c r="UKB68" s="87"/>
      <c r="UKC68" s="87"/>
      <c r="UKD68" s="87"/>
      <c r="UKE68" s="87"/>
      <c r="UKF68" s="87"/>
      <c r="UKG68" s="87"/>
      <c r="UKH68" s="87"/>
      <c r="UKI68" s="87"/>
      <c r="UKJ68" s="87"/>
      <c r="UKK68" s="87"/>
      <c r="UKL68" s="87"/>
      <c r="UKM68" s="87"/>
      <c r="UKN68" s="87"/>
      <c r="UKO68" s="87"/>
      <c r="UKP68" s="87"/>
      <c r="UKQ68" s="87"/>
      <c r="UKR68" s="87"/>
      <c r="UKS68" s="87"/>
      <c r="UKT68" s="87"/>
      <c r="UKU68" s="87"/>
      <c r="UKV68" s="87"/>
      <c r="UKW68" s="87"/>
      <c r="UKX68" s="87"/>
      <c r="UKY68" s="87"/>
      <c r="UKZ68" s="87"/>
      <c r="ULA68" s="87"/>
      <c r="ULB68" s="87"/>
      <c r="ULC68" s="87"/>
      <c r="ULD68" s="87"/>
      <c r="ULE68" s="87"/>
      <c r="ULF68" s="87"/>
      <c r="ULG68" s="87"/>
      <c r="ULH68" s="87"/>
      <c r="ULI68" s="87"/>
      <c r="ULJ68" s="87"/>
      <c r="ULK68" s="87"/>
      <c r="ULL68" s="87"/>
      <c r="ULM68" s="87"/>
      <c r="ULN68" s="87"/>
      <c r="ULO68" s="87"/>
      <c r="ULP68" s="87"/>
      <c r="ULQ68" s="87"/>
      <c r="ULR68" s="87"/>
      <c r="ULS68" s="87"/>
      <c r="ULT68" s="87"/>
      <c r="ULU68" s="87"/>
      <c r="ULV68" s="87"/>
      <c r="ULW68" s="87"/>
      <c r="ULX68" s="87"/>
      <c r="ULY68" s="87"/>
      <c r="ULZ68" s="87"/>
      <c r="UMA68" s="87"/>
      <c r="UMB68" s="87"/>
      <c r="UMC68" s="87"/>
      <c r="UMD68" s="87"/>
      <c r="UME68" s="87"/>
      <c r="UMF68" s="87"/>
      <c r="UMG68" s="87"/>
      <c r="UMH68" s="87"/>
      <c r="UMI68" s="87"/>
      <c r="UMJ68" s="87"/>
      <c r="UMK68" s="87"/>
      <c r="UML68" s="87"/>
      <c r="UMM68" s="87"/>
      <c r="UMN68" s="87"/>
      <c r="UMO68" s="87"/>
      <c r="UMP68" s="87"/>
      <c r="UMQ68" s="87"/>
      <c r="UMR68" s="87"/>
      <c r="UMS68" s="87"/>
      <c r="UMT68" s="87"/>
      <c r="UMU68" s="87"/>
      <c r="UMV68" s="87"/>
      <c r="UMW68" s="87"/>
      <c r="UMX68" s="87"/>
      <c r="UMY68" s="87"/>
      <c r="UMZ68" s="87"/>
      <c r="UNA68" s="87"/>
      <c r="UNB68" s="87"/>
      <c r="UNC68" s="87"/>
      <c r="UND68" s="87"/>
      <c r="UNE68" s="87"/>
      <c r="UNF68" s="87"/>
      <c r="UNG68" s="87"/>
      <c r="UNH68" s="87"/>
      <c r="UNI68" s="87"/>
      <c r="UNJ68" s="87"/>
      <c r="UNK68" s="87"/>
      <c r="UNL68" s="87"/>
      <c r="UNM68" s="87"/>
      <c r="UNN68" s="87"/>
      <c r="UNO68" s="87"/>
      <c r="UNP68" s="87"/>
      <c r="UNQ68" s="87"/>
      <c r="UNR68" s="87"/>
      <c r="UNS68" s="87"/>
      <c r="UNT68" s="87"/>
      <c r="UNU68" s="87"/>
      <c r="UNV68" s="87"/>
      <c r="UNW68" s="87"/>
      <c r="UNX68" s="87"/>
      <c r="UNY68" s="87"/>
      <c r="UNZ68" s="87"/>
      <c r="UOA68" s="87"/>
      <c r="UOB68" s="87"/>
      <c r="UOC68" s="87"/>
      <c r="UOD68" s="87"/>
      <c r="UOE68" s="87"/>
      <c r="UOF68" s="87"/>
      <c r="UOG68" s="87"/>
      <c r="UOH68" s="87"/>
      <c r="UOI68" s="87"/>
      <c r="UOJ68" s="87"/>
      <c r="UOK68" s="87"/>
      <c r="UOL68" s="87"/>
      <c r="UOM68" s="87"/>
      <c r="UON68" s="87"/>
      <c r="UOO68" s="87"/>
      <c r="UOP68" s="87"/>
      <c r="UOQ68" s="87"/>
      <c r="UOR68" s="87"/>
      <c r="UOS68" s="87"/>
      <c r="UOT68" s="87"/>
      <c r="UOU68" s="87"/>
      <c r="UOV68" s="87"/>
      <c r="UOW68" s="87"/>
      <c r="UOX68" s="87"/>
      <c r="UOY68" s="87"/>
      <c r="UOZ68" s="87"/>
      <c r="UPA68" s="87"/>
      <c r="UPB68" s="87"/>
      <c r="UPC68" s="87"/>
      <c r="UPD68" s="87"/>
      <c r="UPE68" s="87"/>
      <c r="UPF68" s="87"/>
      <c r="UPG68" s="87"/>
      <c r="UPH68" s="87"/>
      <c r="UPI68" s="87"/>
      <c r="UPJ68" s="87"/>
      <c r="UPK68" s="87"/>
      <c r="UPL68" s="87"/>
      <c r="UPM68" s="87"/>
      <c r="UPN68" s="87"/>
      <c r="UPO68" s="87"/>
      <c r="UPP68" s="87"/>
      <c r="UPQ68" s="87"/>
      <c r="UPR68" s="87"/>
      <c r="UPS68" s="87"/>
      <c r="UPT68" s="87"/>
      <c r="UPU68" s="87"/>
      <c r="UPV68" s="87"/>
      <c r="UPW68" s="87"/>
      <c r="UPX68" s="87"/>
      <c r="UPY68" s="87"/>
      <c r="UPZ68" s="87"/>
      <c r="UQA68" s="87"/>
      <c r="UQB68" s="87"/>
      <c r="UQC68" s="87"/>
      <c r="UQD68" s="87"/>
      <c r="UQE68" s="87"/>
      <c r="UQF68" s="87"/>
      <c r="UQG68" s="87"/>
      <c r="UQH68" s="87"/>
      <c r="UQI68" s="87"/>
      <c r="UQJ68" s="87"/>
      <c r="UQK68" s="87"/>
      <c r="UQL68" s="87"/>
      <c r="UQM68" s="87"/>
      <c r="UQN68" s="87"/>
      <c r="UQO68" s="87"/>
      <c r="UQP68" s="87"/>
      <c r="UQQ68" s="87"/>
      <c r="UQR68" s="87"/>
      <c r="UQS68" s="87"/>
      <c r="UQT68" s="87"/>
      <c r="UQU68" s="87"/>
      <c r="UQV68" s="87"/>
      <c r="UQW68" s="87"/>
      <c r="UQX68" s="87"/>
      <c r="UQY68" s="87"/>
      <c r="UQZ68" s="87"/>
      <c r="URA68" s="87"/>
      <c r="URB68" s="87"/>
      <c r="URC68" s="87"/>
      <c r="URD68" s="87"/>
      <c r="URE68" s="87"/>
      <c r="URF68" s="87"/>
      <c r="URG68" s="87"/>
      <c r="URH68" s="87"/>
      <c r="URI68" s="87"/>
      <c r="URJ68" s="87"/>
      <c r="URK68" s="87"/>
      <c r="URL68" s="87"/>
      <c r="URM68" s="87"/>
      <c r="URN68" s="87"/>
      <c r="URO68" s="87"/>
      <c r="URP68" s="87"/>
      <c r="URQ68" s="87"/>
      <c r="URR68" s="87"/>
      <c r="URS68" s="87"/>
      <c r="URT68" s="87"/>
      <c r="URU68" s="87"/>
      <c r="URV68" s="87"/>
      <c r="URW68" s="87"/>
      <c r="URX68" s="87"/>
      <c r="URY68" s="87"/>
      <c r="URZ68" s="87"/>
      <c r="USA68" s="87"/>
      <c r="USB68" s="87"/>
      <c r="USC68" s="87"/>
      <c r="USD68" s="87"/>
      <c r="USE68" s="87"/>
      <c r="USF68" s="87"/>
      <c r="USG68" s="87"/>
      <c r="USH68" s="87"/>
      <c r="USI68" s="87"/>
      <c r="USJ68" s="87"/>
      <c r="USK68" s="87"/>
      <c r="USL68" s="87"/>
      <c r="USM68" s="87"/>
      <c r="USN68" s="87"/>
      <c r="USO68" s="87"/>
      <c r="USP68" s="87"/>
      <c r="USQ68" s="87"/>
      <c r="USR68" s="87"/>
      <c r="USS68" s="87"/>
      <c r="UST68" s="87"/>
      <c r="USU68" s="87"/>
      <c r="USV68" s="87"/>
      <c r="USW68" s="87"/>
      <c r="USX68" s="87"/>
      <c r="USY68" s="87"/>
      <c r="USZ68" s="87"/>
      <c r="UTA68" s="87"/>
      <c r="UTB68" s="87"/>
      <c r="UTC68" s="87"/>
      <c r="UTD68" s="87"/>
      <c r="UTE68" s="87"/>
      <c r="UTF68" s="87"/>
      <c r="UTG68" s="87"/>
      <c r="UTH68" s="87"/>
      <c r="UTI68" s="87"/>
      <c r="UTJ68" s="87"/>
      <c r="UTK68" s="87"/>
      <c r="UTL68" s="87"/>
      <c r="UTM68" s="87"/>
      <c r="UTN68" s="87"/>
      <c r="UTO68" s="87"/>
      <c r="UTP68" s="87"/>
      <c r="UTQ68" s="87"/>
      <c r="UTR68" s="87"/>
      <c r="UTS68" s="87"/>
      <c r="UTT68" s="87"/>
      <c r="UTU68" s="87"/>
      <c r="UTV68" s="87"/>
      <c r="UTW68" s="87"/>
      <c r="UTX68" s="87"/>
      <c r="UTY68" s="87"/>
      <c r="UTZ68" s="87"/>
      <c r="UUA68" s="87"/>
      <c r="UUB68" s="87"/>
      <c r="UUC68" s="87"/>
      <c r="UUD68" s="87"/>
      <c r="UUE68" s="87"/>
      <c r="UUF68" s="87"/>
      <c r="UUG68" s="87"/>
      <c r="UUH68" s="87"/>
      <c r="UUI68" s="87"/>
      <c r="UUJ68" s="87"/>
      <c r="UUK68" s="87"/>
      <c r="UUL68" s="87"/>
      <c r="UUM68" s="87"/>
      <c r="UUN68" s="87"/>
      <c r="UUO68" s="87"/>
      <c r="UUP68" s="87"/>
      <c r="UUQ68" s="87"/>
      <c r="UUR68" s="87"/>
      <c r="UUS68" s="87"/>
      <c r="UUT68" s="87"/>
      <c r="UUU68" s="87"/>
      <c r="UUV68" s="87"/>
      <c r="UUW68" s="87"/>
      <c r="UUX68" s="87"/>
      <c r="UUY68" s="87"/>
      <c r="UUZ68" s="87"/>
      <c r="UVA68" s="87"/>
      <c r="UVB68" s="87"/>
      <c r="UVC68" s="87"/>
      <c r="UVD68" s="87"/>
      <c r="UVE68" s="87"/>
      <c r="UVF68" s="87"/>
      <c r="UVG68" s="87"/>
      <c r="UVH68" s="87"/>
      <c r="UVI68" s="87"/>
      <c r="UVJ68" s="87"/>
      <c r="UVK68" s="87"/>
      <c r="UVL68" s="87"/>
      <c r="UVM68" s="87"/>
      <c r="UVN68" s="87"/>
      <c r="UVO68" s="87"/>
      <c r="UVP68" s="87"/>
      <c r="UVQ68" s="87"/>
      <c r="UVR68" s="87"/>
      <c r="UVS68" s="87"/>
      <c r="UVT68" s="87"/>
      <c r="UVU68" s="87"/>
      <c r="UVV68" s="87"/>
      <c r="UVW68" s="87"/>
      <c r="UVX68" s="87"/>
      <c r="UVY68" s="87"/>
      <c r="UVZ68" s="87"/>
      <c r="UWA68" s="87"/>
      <c r="UWB68" s="87"/>
      <c r="UWC68" s="87"/>
      <c r="UWD68" s="87"/>
      <c r="UWE68" s="87"/>
      <c r="UWF68" s="87"/>
      <c r="UWG68" s="87"/>
      <c r="UWH68" s="87"/>
      <c r="UWI68" s="87"/>
      <c r="UWJ68" s="87"/>
      <c r="UWK68" s="87"/>
      <c r="UWL68" s="87"/>
      <c r="UWM68" s="87"/>
      <c r="UWN68" s="87"/>
      <c r="UWO68" s="87"/>
      <c r="UWP68" s="87"/>
      <c r="UWQ68" s="87"/>
      <c r="UWR68" s="87"/>
      <c r="UWS68" s="87"/>
      <c r="UWT68" s="87"/>
      <c r="UWU68" s="87"/>
      <c r="UWV68" s="87"/>
      <c r="UWW68" s="87"/>
      <c r="UWX68" s="87"/>
      <c r="UWY68" s="87"/>
      <c r="UWZ68" s="87"/>
      <c r="UXA68" s="87"/>
      <c r="UXB68" s="87"/>
      <c r="UXC68" s="87"/>
      <c r="UXD68" s="87"/>
      <c r="UXE68" s="87"/>
      <c r="UXF68" s="87"/>
      <c r="UXG68" s="87"/>
      <c r="UXH68" s="87"/>
      <c r="UXI68" s="87"/>
      <c r="UXJ68" s="87"/>
      <c r="UXK68" s="87"/>
      <c r="UXL68" s="87"/>
      <c r="UXM68" s="87"/>
      <c r="UXN68" s="87"/>
      <c r="UXO68" s="87"/>
      <c r="UXP68" s="87"/>
      <c r="UXQ68" s="87"/>
      <c r="UXR68" s="87"/>
      <c r="UXS68" s="87"/>
      <c r="UXT68" s="87"/>
      <c r="UXU68" s="87"/>
      <c r="UXV68" s="87"/>
      <c r="UXW68" s="87"/>
      <c r="UXX68" s="87"/>
      <c r="UXY68" s="87"/>
      <c r="UXZ68" s="87"/>
      <c r="UYA68" s="87"/>
      <c r="UYB68" s="87"/>
      <c r="UYC68" s="87"/>
      <c r="UYD68" s="87"/>
      <c r="UYE68" s="87"/>
      <c r="UYF68" s="87"/>
      <c r="UYG68" s="87"/>
      <c r="UYH68" s="87"/>
      <c r="UYI68" s="87"/>
      <c r="UYJ68" s="87"/>
      <c r="UYK68" s="87"/>
      <c r="UYL68" s="87"/>
      <c r="UYM68" s="87"/>
      <c r="UYN68" s="87"/>
      <c r="UYO68" s="87"/>
      <c r="UYP68" s="87"/>
      <c r="UYQ68" s="87"/>
      <c r="UYR68" s="87"/>
      <c r="UYS68" s="87"/>
      <c r="UYT68" s="87"/>
      <c r="UYU68" s="87"/>
      <c r="UYV68" s="87"/>
      <c r="UYW68" s="87"/>
      <c r="UYX68" s="87"/>
      <c r="UYY68" s="87"/>
      <c r="UYZ68" s="87"/>
      <c r="UZA68" s="87"/>
      <c r="UZB68" s="87"/>
      <c r="UZC68" s="87"/>
      <c r="UZD68" s="87"/>
      <c r="UZE68" s="87"/>
      <c r="UZF68" s="87"/>
      <c r="UZG68" s="87"/>
      <c r="UZH68" s="87"/>
      <c r="UZI68" s="87"/>
      <c r="UZJ68" s="87"/>
      <c r="UZK68" s="87"/>
      <c r="UZL68" s="87"/>
      <c r="UZM68" s="87"/>
      <c r="UZN68" s="87"/>
      <c r="UZO68" s="87"/>
      <c r="UZP68" s="87"/>
      <c r="UZQ68" s="87"/>
      <c r="UZR68" s="87"/>
      <c r="UZS68" s="87"/>
      <c r="UZT68" s="87"/>
      <c r="UZU68" s="87"/>
      <c r="UZV68" s="87"/>
      <c r="UZW68" s="87"/>
      <c r="UZX68" s="87"/>
      <c r="UZY68" s="87"/>
      <c r="UZZ68" s="87"/>
      <c r="VAA68" s="87"/>
      <c r="VAB68" s="87"/>
      <c r="VAC68" s="87"/>
      <c r="VAD68" s="87"/>
      <c r="VAE68" s="87"/>
      <c r="VAF68" s="87"/>
      <c r="VAG68" s="87"/>
      <c r="VAH68" s="87"/>
      <c r="VAI68" s="87"/>
      <c r="VAJ68" s="87"/>
      <c r="VAK68" s="87"/>
      <c r="VAL68" s="87"/>
      <c r="VAM68" s="87"/>
      <c r="VAN68" s="87"/>
      <c r="VAO68" s="87"/>
      <c r="VAP68" s="87"/>
      <c r="VAQ68" s="87"/>
      <c r="VAR68" s="87"/>
      <c r="VAS68" s="87"/>
      <c r="VAT68" s="87"/>
      <c r="VAU68" s="87"/>
      <c r="VAV68" s="87"/>
      <c r="VAW68" s="87"/>
      <c r="VAX68" s="87"/>
      <c r="VAY68" s="87"/>
      <c r="VAZ68" s="87"/>
      <c r="VBA68" s="87"/>
      <c r="VBB68" s="87"/>
      <c r="VBC68" s="87"/>
      <c r="VBD68" s="87"/>
      <c r="VBE68" s="87"/>
      <c r="VBF68" s="87"/>
      <c r="VBG68" s="87"/>
      <c r="VBH68" s="87"/>
      <c r="VBI68" s="87"/>
      <c r="VBJ68" s="87"/>
      <c r="VBK68" s="87"/>
      <c r="VBL68" s="87"/>
      <c r="VBM68" s="87"/>
      <c r="VBN68" s="87"/>
      <c r="VBO68" s="87"/>
      <c r="VBP68" s="87"/>
      <c r="VBQ68" s="87"/>
      <c r="VBR68" s="87"/>
      <c r="VBS68" s="87"/>
      <c r="VBT68" s="87"/>
      <c r="VBU68" s="87"/>
      <c r="VBV68" s="87"/>
      <c r="VBW68" s="87"/>
      <c r="VBX68" s="87"/>
      <c r="VBY68" s="87"/>
      <c r="VBZ68" s="87"/>
      <c r="VCA68" s="87"/>
      <c r="VCB68" s="87"/>
      <c r="VCC68" s="87"/>
      <c r="VCD68" s="87"/>
      <c r="VCE68" s="87"/>
      <c r="VCF68" s="87"/>
      <c r="VCG68" s="87"/>
      <c r="VCH68" s="87"/>
      <c r="VCI68" s="87"/>
      <c r="VCJ68" s="87"/>
      <c r="VCK68" s="87"/>
      <c r="VCL68" s="87"/>
      <c r="VCM68" s="87"/>
      <c r="VCN68" s="87"/>
      <c r="VCO68" s="87"/>
      <c r="VCP68" s="87"/>
      <c r="VCQ68" s="87"/>
      <c r="VCR68" s="87"/>
      <c r="VCS68" s="87"/>
      <c r="VCT68" s="87"/>
      <c r="VCU68" s="87"/>
      <c r="VCV68" s="87"/>
      <c r="VCW68" s="87"/>
      <c r="VCX68" s="87"/>
      <c r="VCY68" s="87"/>
      <c r="VCZ68" s="87"/>
      <c r="VDA68" s="87"/>
      <c r="VDB68" s="87"/>
      <c r="VDC68" s="87"/>
      <c r="VDD68" s="87"/>
      <c r="VDE68" s="87"/>
      <c r="VDF68" s="87"/>
      <c r="VDG68" s="87"/>
      <c r="VDH68" s="87"/>
      <c r="VDI68" s="87"/>
      <c r="VDJ68" s="87"/>
      <c r="VDK68" s="87"/>
      <c r="VDL68" s="87"/>
      <c r="VDM68" s="87"/>
      <c r="VDN68" s="87"/>
      <c r="VDO68" s="87"/>
      <c r="VDP68" s="87"/>
      <c r="VDQ68" s="87"/>
      <c r="VDR68" s="87"/>
      <c r="VDS68" s="87"/>
      <c r="VDT68" s="87"/>
      <c r="VDU68" s="87"/>
      <c r="VDV68" s="87"/>
      <c r="VDW68" s="87"/>
      <c r="VDX68" s="87"/>
      <c r="VDY68" s="87"/>
      <c r="VDZ68" s="87"/>
      <c r="VEA68" s="87"/>
      <c r="VEB68" s="87"/>
      <c r="VEC68" s="87"/>
      <c r="VED68" s="87"/>
      <c r="VEE68" s="87"/>
      <c r="VEF68" s="87"/>
      <c r="VEG68" s="87"/>
      <c r="VEH68" s="87"/>
      <c r="VEI68" s="87"/>
      <c r="VEJ68" s="87"/>
      <c r="VEK68" s="87"/>
      <c r="VEL68" s="87"/>
      <c r="VEM68" s="87"/>
      <c r="VEN68" s="87"/>
      <c r="VEO68" s="87"/>
      <c r="VEP68" s="87"/>
      <c r="VEQ68" s="87"/>
      <c r="VER68" s="87"/>
      <c r="VES68" s="87"/>
      <c r="VET68" s="87"/>
      <c r="VEU68" s="87"/>
      <c r="VEV68" s="87"/>
      <c r="VEW68" s="87"/>
      <c r="VEX68" s="87"/>
      <c r="VEY68" s="87"/>
      <c r="VEZ68" s="87"/>
      <c r="VFA68" s="87"/>
      <c r="VFB68" s="87"/>
      <c r="VFC68" s="87"/>
      <c r="VFD68" s="87"/>
      <c r="VFE68" s="87"/>
      <c r="VFF68" s="87"/>
      <c r="VFG68" s="87"/>
      <c r="VFH68" s="87"/>
      <c r="VFI68" s="87"/>
      <c r="VFJ68" s="87"/>
      <c r="VFK68" s="87"/>
      <c r="VFL68" s="87"/>
      <c r="VFM68" s="87"/>
      <c r="VFN68" s="87"/>
      <c r="VFO68" s="87"/>
      <c r="VFP68" s="87"/>
      <c r="VFQ68" s="87"/>
      <c r="VFR68" s="87"/>
      <c r="VFS68" s="87"/>
      <c r="VFT68" s="87"/>
      <c r="VFU68" s="87"/>
      <c r="VFV68" s="87"/>
      <c r="VFW68" s="87"/>
      <c r="VFX68" s="87"/>
      <c r="VFY68" s="87"/>
      <c r="VFZ68" s="87"/>
      <c r="VGA68" s="87"/>
      <c r="VGB68" s="87"/>
      <c r="VGC68" s="87"/>
      <c r="VGD68" s="87"/>
      <c r="VGE68" s="87"/>
      <c r="VGF68" s="87"/>
      <c r="VGG68" s="87"/>
      <c r="VGH68" s="87"/>
      <c r="VGI68" s="87"/>
      <c r="VGJ68" s="87"/>
      <c r="VGK68" s="87"/>
      <c r="VGL68" s="87"/>
      <c r="VGM68" s="87"/>
      <c r="VGN68" s="87"/>
      <c r="VGO68" s="87"/>
      <c r="VGP68" s="87"/>
      <c r="VGQ68" s="87"/>
      <c r="VGR68" s="87"/>
      <c r="VGS68" s="87"/>
      <c r="VGT68" s="87"/>
      <c r="VGU68" s="87"/>
      <c r="VGV68" s="87"/>
      <c r="VGW68" s="87"/>
      <c r="VGX68" s="87"/>
      <c r="VGY68" s="87"/>
      <c r="VGZ68" s="87"/>
      <c r="VHA68" s="87"/>
      <c r="VHB68" s="87"/>
      <c r="VHC68" s="87"/>
      <c r="VHD68" s="87"/>
      <c r="VHE68" s="87"/>
      <c r="VHF68" s="87"/>
      <c r="VHG68" s="87"/>
      <c r="VHH68" s="87"/>
      <c r="VHI68" s="87"/>
      <c r="VHJ68" s="87"/>
      <c r="VHK68" s="87"/>
      <c r="VHL68" s="87"/>
      <c r="VHM68" s="87"/>
      <c r="VHN68" s="87"/>
      <c r="VHO68" s="87"/>
      <c r="VHP68" s="87"/>
      <c r="VHQ68" s="87"/>
      <c r="VHR68" s="87"/>
      <c r="VHS68" s="87"/>
      <c r="VHT68" s="87"/>
      <c r="VHU68" s="87"/>
      <c r="VHV68" s="87"/>
      <c r="VHW68" s="87"/>
      <c r="VHX68" s="87"/>
      <c r="VHY68" s="87"/>
      <c r="VHZ68" s="87"/>
      <c r="VIA68" s="87"/>
      <c r="VIB68" s="87"/>
      <c r="VIC68" s="87"/>
      <c r="VID68" s="87"/>
      <c r="VIE68" s="87"/>
      <c r="VIF68" s="87"/>
      <c r="VIG68" s="87"/>
      <c r="VIH68" s="87"/>
      <c r="VII68" s="87"/>
      <c r="VIJ68" s="87"/>
      <c r="VIK68" s="87"/>
      <c r="VIL68" s="87"/>
      <c r="VIM68" s="87"/>
      <c r="VIN68" s="87"/>
      <c r="VIO68" s="87"/>
      <c r="VIP68" s="87"/>
      <c r="VIQ68" s="87"/>
      <c r="VIR68" s="87"/>
      <c r="VIS68" s="87"/>
      <c r="VIT68" s="87"/>
      <c r="VIU68" s="87"/>
      <c r="VIV68" s="87"/>
      <c r="VIW68" s="87"/>
      <c r="VIX68" s="87"/>
      <c r="VIY68" s="87"/>
      <c r="VIZ68" s="87"/>
      <c r="VJA68" s="87"/>
      <c r="VJB68" s="87"/>
      <c r="VJC68" s="87"/>
      <c r="VJD68" s="87"/>
      <c r="VJE68" s="87"/>
      <c r="VJF68" s="87"/>
      <c r="VJG68" s="87"/>
      <c r="VJH68" s="87"/>
      <c r="VJI68" s="87"/>
      <c r="VJJ68" s="87"/>
      <c r="VJK68" s="87"/>
      <c r="VJL68" s="87"/>
      <c r="VJM68" s="87"/>
      <c r="VJN68" s="87"/>
      <c r="VJO68" s="87"/>
      <c r="VJP68" s="87"/>
      <c r="VJQ68" s="87"/>
      <c r="VJR68" s="87"/>
      <c r="VJS68" s="87"/>
      <c r="VJT68" s="87"/>
      <c r="VJU68" s="87"/>
      <c r="VJV68" s="87"/>
      <c r="VJW68" s="87"/>
      <c r="VJX68" s="87"/>
      <c r="VJY68" s="87"/>
      <c r="VJZ68" s="87"/>
      <c r="VKA68" s="87"/>
      <c r="VKB68" s="87"/>
      <c r="VKC68" s="87"/>
      <c r="VKD68" s="87"/>
      <c r="VKE68" s="87"/>
      <c r="VKF68" s="87"/>
      <c r="VKG68" s="87"/>
      <c r="VKH68" s="87"/>
      <c r="VKI68" s="87"/>
      <c r="VKJ68" s="87"/>
      <c r="VKK68" s="87"/>
      <c r="VKL68" s="87"/>
      <c r="VKM68" s="87"/>
      <c r="VKN68" s="87"/>
      <c r="VKO68" s="87"/>
      <c r="VKP68" s="87"/>
      <c r="VKQ68" s="87"/>
      <c r="VKR68" s="87"/>
      <c r="VKS68" s="87"/>
      <c r="VKT68" s="87"/>
      <c r="VKU68" s="87"/>
      <c r="VKV68" s="87"/>
      <c r="VKW68" s="87"/>
      <c r="VKX68" s="87"/>
      <c r="VKY68" s="87"/>
      <c r="VKZ68" s="87"/>
      <c r="VLA68" s="87"/>
      <c r="VLB68" s="87"/>
      <c r="VLC68" s="87"/>
      <c r="VLD68" s="87"/>
      <c r="VLE68" s="87"/>
      <c r="VLF68" s="87"/>
      <c r="VLG68" s="87"/>
      <c r="VLH68" s="87"/>
      <c r="VLI68" s="87"/>
      <c r="VLJ68" s="87"/>
      <c r="VLK68" s="87"/>
      <c r="VLL68" s="87"/>
      <c r="VLM68" s="87"/>
      <c r="VLN68" s="87"/>
      <c r="VLO68" s="87"/>
      <c r="VLP68" s="87"/>
      <c r="VLQ68" s="87"/>
      <c r="VLR68" s="87"/>
      <c r="VLS68" s="87"/>
      <c r="VLT68" s="87"/>
      <c r="VLU68" s="87"/>
      <c r="VLV68" s="87"/>
      <c r="VLW68" s="87"/>
      <c r="VLX68" s="87"/>
      <c r="VLY68" s="87"/>
      <c r="VLZ68" s="87"/>
      <c r="VMA68" s="87"/>
      <c r="VMB68" s="87"/>
      <c r="VMC68" s="87"/>
      <c r="VMD68" s="87"/>
      <c r="VME68" s="87"/>
      <c r="VMF68" s="87"/>
      <c r="VMG68" s="87"/>
      <c r="VMH68" s="87"/>
      <c r="VMI68" s="87"/>
      <c r="VMJ68" s="87"/>
      <c r="VMK68" s="87"/>
      <c r="VML68" s="87"/>
      <c r="VMM68" s="87"/>
      <c r="VMN68" s="87"/>
      <c r="VMO68" s="87"/>
      <c r="VMP68" s="87"/>
      <c r="VMQ68" s="87"/>
      <c r="VMR68" s="87"/>
      <c r="VMS68" s="87"/>
      <c r="VMT68" s="87"/>
      <c r="VMU68" s="87"/>
      <c r="VMV68" s="87"/>
      <c r="VMW68" s="87"/>
      <c r="VMX68" s="87"/>
      <c r="VMY68" s="87"/>
      <c r="VMZ68" s="87"/>
      <c r="VNA68" s="87"/>
      <c r="VNB68" s="87"/>
      <c r="VNC68" s="87"/>
      <c r="VND68" s="87"/>
      <c r="VNE68" s="87"/>
      <c r="VNF68" s="87"/>
      <c r="VNG68" s="87"/>
      <c r="VNH68" s="87"/>
      <c r="VNI68" s="87"/>
      <c r="VNJ68" s="87"/>
      <c r="VNK68" s="87"/>
      <c r="VNL68" s="87"/>
      <c r="VNM68" s="87"/>
      <c r="VNN68" s="87"/>
      <c r="VNO68" s="87"/>
      <c r="VNP68" s="87"/>
      <c r="VNQ68" s="87"/>
      <c r="VNR68" s="87"/>
      <c r="VNS68" s="87"/>
      <c r="VNT68" s="87"/>
      <c r="VNU68" s="87"/>
      <c r="VNV68" s="87"/>
      <c r="VNW68" s="87"/>
      <c r="VNX68" s="87"/>
      <c r="VNY68" s="87"/>
      <c r="VNZ68" s="87"/>
      <c r="VOA68" s="87"/>
      <c r="VOB68" s="87"/>
      <c r="VOC68" s="87"/>
      <c r="VOD68" s="87"/>
      <c r="VOE68" s="87"/>
      <c r="VOF68" s="87"/>
      <c r="VOG68" s="87"/>
      <c r="VOH68" s="87"/>
      <c r="VOI68" s="87"/>
      <c r="VOJ68" s="87"/>
      <c r="VOK68" s="87"/>
      <c r="VOL68" s="87"/>
      <c r="VOM68" s="87"/>
      <c r="VON68" s="87"/>
      <c r="VOO68" s="87"/>
      <c r="VOP68" s="87"/>
      <c r="VOQ68" s="87"/>
      <c r="VOR68" s="87"/>
      <c r="VOS68" s="87"/>
      <c r="VOT68" s="87"/>
      <c r="VOU68" s="87"/>
      <c r="VOV68" s="87"/>
      <c r="VOW68" s="87"/>
      <c r="VOX68" s="87"/>
      <c r="VOY68" s="87"/>
      <c r="VOZ68" s="87"/>
      <c r="VPA68" s="87"/>
      <c r="VPB68" s="87"/>
      <c r="VPC68" s="87"/>
      <c r="VPD68" s="87"/>
      <c r="VPE68" s="87"/>
      <c r="VPF68" s="87"/>
      <c r="VPG68" s="87"/>
      <c r="VPH68" s="87"/>
      <c r="VPI68" s="87"/>
      <c r="VPJ68" s="87"/>
      <c r="VPK68" s="87"/>
      <c r="VPL68" s="87"/>
      <c r="VPM68" s="87"/>
      <c r="VPN68" s="87"/>
      <c r="VPO68" s="87"/>
      <c r="VPP68" s="87"/>
      <c r="VPQ68" s="87"/>
      <c r="VPR68" s="87"/>
      <c r="VPS68" s="87"/>
      <c r="VPT68" s="87"/>
      <c r="VPU68" s="87"/>
      <c r="VPV68" s="87"/>
      <c r="VPW68" s="87"/>
      <c r="VPX68" s="87"/>
      <c r="VPY68" s="87"/>
      <c r="VPZ68" s="87"/>
      <c r="VQA68" s="87"/>
      <c r="VQB68" s="87"/>
      <c r="VQC68" s="87"/>
      <c r="VQD68" s="87"/>
      <c r="VQE68" s="87"/>
      <c r="VQF68" s="87"/>
      <c r="VQG68" s="87"/>
      <c r="VQH68" s="87"/>
      <c r="VQI68" s="87"/>
      <c r="VQJ68" s="87"/>
      <c r="VQK68" s="87"/>
      <c r="VQL68" s="87"/>
      <c r="VQM68" s="87"/>
      <c r="VQN68" s="87"/>
      <c r="VQO68" s="87"/>
      <c r="VQP68" s="87"/>
      <c r="VQQ68" s="87"/>
      <c r="VQR68" s="87"/>
      <c r="VQS68" s="87"/>
      <c r="VQT68" s="87"/>
      <c r="VQU68" s="87"/>
      <c r="VQV68" s="87"/>
      <c r="VQW68" s="87"/>
      <c r="VQX68" s="87"/>
      <c r="VQY68" s="87"/>
      <c r="VQZ68" s="87"/>
      <c r="VRA68" s="87"/>
      <c r="VRB68" s="87"/>
      <c r="VRC68" s="87"/>
      <c r="VRD68" s="87"/>
      <c r="VRE68" s="87"/>
      <c r="VRF68" s="87"/>
      <c r="VRG68" s="87"/>
      <c r="VRH68" s="87"/>
      <c r="VRI68" s="87"/>
      <c r="VRJ68" s="87"/>
      <c r="VRK68" s="87"/>
      <c r="VRL68" s="87"/>
      <c r="VRM68" s="87"/>
      <c r="VRN68" s="87"/>
      <c r="VRO68" s="87"/>
      <c r="VRP68" s="87"/>
      <c r="VRQ68" s="87"/>
      <c r="VRR68" s="87"/>
      <c r="VRS68" s="87"/>
      <c r="VRT68" s="87"/>
      <c r="VRU68" s="87"/>
      <c r="VRV68" s="87"/>
      <c r="VRW68" s="87"/>
      <c r="VRX68" s="87"/>
      <c r="VRY68" s="87"/>
      <c r="VRZ68" s="87"/>
      <c r="VSA68" s="87"/>
      <c r="VSB68" s="87"/>
      <c r="VSC68" s="87"/>
      <c r="VSD68" s="87"/>
      <c r="VSE68" s="87"/>
      <c r="VSF68" s="87"/>
      <c r="VSG68" s="87"/>
      <c r="VSH68" s="87"/>
      <c r="VSI68" s="87"/>
      <c r="VSJ68" s="87"/>
      <c r="VSK68" s="87"/>
      <c r="VSL68" s="87"/>
      <c r="VSM68" s="87"/>
      <c r="VSN68" s="87"/>
      <c r="VSO68" s="87"/>
      <c r="VSP68" s="87"/>
      <c r="VSQ68" s="87"/>
      <c r="VSR68" s="87"/>
      <c r="VSS68" s="87"/>
      <c r="VST68" s="87"/>
      <c r="VSU68" s="87"/>
      <c r="VSV68" s="87"/>
      <c r="VSW68" s="87"/>
      <c r="VSX68" s="87"/>
      <c r="VSY68" s="87"/>
      <c r="VSZ68" s="87"/>
      <c r="VTA68" s="87"/>
      <c r="VTB68" s="87"/>
      <c r="VTC68" s="87"/>
      <c r="VTD68" s="87"/>
      <c r="VTE68" s="87"/>
      <c r="VTF68" s="87"/>
      <c r="VTG68" s="87"/>
      <c r="VTH68" s="87"/>
      <c r="VTI68" s="87"/>
      <c r="VTJ68" s="87"/>
      <c r="VTK68" s="87"/>
      <c r="VTL68" s="87"/>
      <c r="VTM68" s="87"/>
      <c r="VTN68" s="87"/>
      <c r="VTO68" s="87"/>
      <c r="VTP68" s="87"/>
      <c r="VTQ68" s="87"/>
      <c r="VTR68" s="87"/>
      <c r="VTS68" s="87"/>
      <c r="VTT68" s="87"/>
      <c r="VTU68" s="87"/>
      <c r="VTV68" s="87"/>
      <c r="VTW68" s="87"/>
      <c r="VTX68" s="87"/>
      <c r="VTY68" s="87"/>
      <c r="VTZ68" s="87"/>
      <c r="VUA68" s="87"/>
      <c r="VUB68" s="87"/>
      <c r="VUC68" s="87"/>
      <c r="VUD68" s="87"/>
      <c r="VUE68" s="87"/>
      <c r="VUF68" s="87"/>
      <c r="VUG68" s="87"/>
      <c r="VUH68" s="87"/>
      <c r="VUI68" s="87"/>
      <c r="VUJ68" s="87"/>
      <c r="VUK68" s="87"/>
      <c r="VUL68" s="87"/>
      <c r="VUM68" s="87"/>
      <c r="VUN68" s="87"/>
      <c r="VUO68" s="87"/>
      <c r="VUP68" s="87"/>
      <c r="VUQ68" s="87"/>
      <c r="VUR68" s="87"/>
      <c r="VUS68" s="87"/>
      <c r="VUT68" s="87"/>
      <c r="VUU68" s="87"/>
      <c r="VUV68" s="87"/>
      <c r="VUW68" s="87"/>
      <c r="VUX68" s="87"/>
      <c r="VUY68" s="87"/>
      <c r="VUZ68" s="87"/>
      <c r="VVA68" s="87"/>
      <c r="VVB68" s="87"/>
      <c r="VVC68" s="87"/>
      <c r="VVD68" s="87"/>
      <c r="VVE68" s="87"/>
      <c r="VVF68" s="87"/>
      <c r="VVG68" s="87"/>
      <c r="VVH68" s="87"/>
      <c r="VVI68" s="87"/>
      <c r="VVJ68" s="87"/>
      <c r="VVK68" s="87"/>
      <c r="VVL68" s="87"/>
      <c r="VVM68" s="87"/>
      <c r="VVN68" s="87"/>
      <c r="VVO68" s="87"/>
      <c r="VVP68" s="87"/>
      <c r="VVQ68" s="87"/>
      <c r="VVR68" s="87"/>
      <c r="VVS68" s="87"/>
      <c r="VVT68" s="87"/>
      <c r="VVU68" s="87"/>
      <c r="VVV68" s="87"/>
      <c r="VVW68" s="87"/>
      <c r="VVX68" s="87"/>
      <c r="VVY68" s="87"/>
      <c r="VVZ68" s="87"/>
      <c r="VWA68" s="87"/>
      <c r="VWB68" s="87"/>
      <c r="VWC68" s="87"/>
      <c r="VWD68" s="87"/>
      <c r="VWE68" s="87"/>
      <c r="VWF68" s="87"/>
      <c r="VWG68" s="87"/>
      <c r="VWH68" s="87"/>
      <c r="VWI68" s="87"/>
      <c r="VWJ68" s="87"/>
      <c r="VWK68" s="87"/>
      <c r="VWL68" s="87"/>
      <c r="VWM68" s="87"/>
      <c r="VWN68" s="87"/>
      <c r="VWO68" s="87"/>
      <c r="VWP68" s="87"/>
      <c r="VWQ68" s="87"/>
      <c r="VWR68" s="87"/>
      <c r="VWS68" s="87"/>
      <c r="VWT68" s="87"/>
      <c r="VWU68" s="87"/>
      <c r="VWV68" s="87"/>
      <c r="VWW68" s="87"/>
      <c r="VWX68" s="87"/>
      <c r="VWY68" s="87"/>
      <c r="VWZ68" s="87"/>
      <c r="VXA68" s="87"/>
      <c r="VXB68" s="87"/>
      <c r="VXC68" s="87"/>
      <c r="VXD68" s="87"/>
      <c r="VXE68" s="87"/>
      <c r="VXF68" s="87"/>
      <c r="VXG68" s="87"/>
      <c r="VXH68" s="87"/>
      <c r="VXI68" s="87"/>
      <c r="VXJ68" s="87"/>
      <c r="VXK68" s="87"/>
      <c r="VXL68" s="87"/>
      <c r="VXM68" s="87"/>
      <c r="VXN68" s="87"/>
      <c r="VXO68" s="87"/>
      <c r="VXP68" s="87"/>
      <c r="VXQ68" s="87"/>
      <c r="VXR68" s="87"/>
      <c r="VXS68" s="87"/>
      <c r="VXT68" s="87"/>
      <c r="VXU68" s="87"/>
      <c r="VXV68" s="87"/>
      <c r="VXW68" s="87"/>
      <c r="VXX68" s="87"/>
      <c r="VXY68" s="87"/>
      <c r="VXZ68" s="87"/>
      <c r="VYA68" s="87"/>
      <c r="VYB68" s="87"/>
      <c r="VYC68" s="87"/>
      <c r="VYD68" s="87"/>
      <c r="VYE68" s="87"/>
      <c r="VYF68" s="87"/>
      <c r="VYG68" s="87"/>
      <c r="VYH68" s="87"/>
      <c r="VYI68" s="87"/>
      <c r="VYJ68" s="87"/>
      <c r="VYK68" s="87"/>
      <c r="VYL68" s="87"/>
      <c r="VYM68" s="87"/>
      <c r="VYN68" s="87"/>
      <c r="VYO68" s="87"/>
      <c r="VYP68" s="87"/>
      <c r="VYQ68" s="87"/>
      <c r="VYR68" s="87"/>
      <c r="VYS68" s="87"/>
      <c r="VYT68" s="87"/>
      <c r="VYU68" s="87"/>
      <c r="VYV68" s="87"/>
      <c r="VYW68" s="87"/>
      <c r="VYX68" s="87"/>
      <c r="VYY68" s="87"/>
      <c r="VYZ68" s="87"/>
      <c r="VZA68" s="87"/>
      <c r="VZB68" s="87"/>
      <c r="VZC68" s="87"/>
      <c r="VZD68" s="87"/>
      <c r="VZE68" s="87"/>
      <c r="VZF68" s="87"/>
      <c r="VZG68" s="87"/>
      <c r="VZH68" s="87"/>
      <c r="VZI68" s="87"/>
      <c r="VZJ68" s="87"/>
      <c r="VZK68" s="87"/>
      <c r="VZL68" s="87"/>
      <c r="VZM68" s="87"/>
      <c r="VZN68" s="87"/>
      <c r="VZO68" s="87"/>
      <c r="VZP68" s="87"/>
      <c r="VZQ68" s="87"/>
      <c r="VZR68" s="87"/>
      <c r="VZS68" s="87"/>
      <c r="VZT68" s="87"/>
      <c r="VZU68" s="87"/>
      <c r="VZV68" s="87"/>
      <c r="VZW68" s="87"/>
      <c r="VZX68" s="87"/>
      <c r="VZY68" s="87"/>
      <c r="VZZ68" s="87"/>
      <c r="WAA68" s="87"/>
      <c r="WAB68" s="87"/>
      <c r="WAC68" s="87"/>
      <c r="WAD68" s="87"/>
      <c r="WAE68" s="87"/>
      <c r="WAF68" s="87"/>
      <c r="WAG68" s="87"/>
      <c r="WAH68" s="87"/>
      <c r="WAI68" s="87"/>
      <c r="WAJ68" s="87"/>
      <c r="WAK68" s="87"/>
      <c r="WAL68" s="87"/>
      <c r="WAM68" s="87"/>
      <c r="WAN68" s="87"/>
      <c r="WAO68" s="87"/>
      <c r="WAP68" s="87"/>
      <c r="WAQ68" s="87"/>
      <c r="WAR68" s="87"/>
      <c r="WAS68" s="87"/>
      <c r="WAT68" s="87"/>
      <c r="WAU68" s="87"/>
      <c r="WAV68" s="87"/>
      <c r="WAW68" s="87"/>
      <c r="WAX68" s="87"/>
      <c r="WAY68" s="87"/>
      <c r="WAZ68" s="87"/>
      <c r="WBA68" s="87"/>
      <c r="WBB68" s="87"/>
      <c r="WBC68" s="87"/>
      <c r="WBD68" s="87"/>
      <c r="WBE68" s="87"/>
      <c r="WBF68" s="87"/>
      <c r="WBG68" s="87"/>
      <c r="WBH68" s="87"/>
      <c r="WBI68" s="87"/>
      <c r="WBJ68" s="87"/>
      <c r="WBK68" s="87"/>
      <c r="WBL68" s="87"/>
      <c r="WBM68" s="87"/>
      <c r="WBN68" s="87"/>
      <c r="WBO68" s="87"/>
      <c r="WBP68" s="87"/>
      <c r="WBQ68" s="87"/>
      <c r="WBR68" s="87"/>
      <c r="WBS68" s="87"/>
      <c r="WBT68" s="87"/>
      <c r="WBU68" s="87"/>
      <c r="WBV68" s="87"/>
      <c r="WBW68" s="87"/>
      <c r="WBX68" s="87"/>
      <c r="WBY68" s="87"/>
      <c r="WBZ68" s="87"/>
      <c r="WCA68" s="87"/>
      <c r="WCB68" s="87"/>
      <c r="WCC68" s="87"/>
      <c r="WCD68" s="87"/>
      <c r="WCE68" s="87"/>
      <c r="WCF68" s="87"/>
      <c r="WCG68" s="87"/>
      <c r="WCH68" s="87"/>
      <c r="WCI68" s="87"/>
      <c r="WCJ68" s="87"/>
      <c r="WCK68" s="87"/>
      <c r="WCL68" s="87"/>
      <c r="WCM68" s="87"/>
      <c r="WCN68" s="87"/>
      <c r="WCO68" s="87"/>
      <c r="WCP68" s="87"/>
      <c r="WCQ68" s="87"/>
      <c r="WCR68" s="87"/>
      <c r="WCS68" s="87"/>
      <c r="WCT68" s="87"/>
      <c r="WCU68" s="87"/>
      <c r="WCV68" s="87"/>
      <c r="WCW68" s="87"/>
      <c r="WCX68" s="87"/>
      <c r="WCY68" s="87"/>
      <c r="WCZ68" s="87"/>
      <c r="WDA68" s="87"/>
      <c r="WDB68" s="87"/>
      <c r="WDC68" s="87"/>
      <c r="WDD68" s="87"/>
      <c r="WDE68" s="87"/>
      <c r="WDF68" s="87"/>
      <c r="WDG68" s="87"/>
      <c r="WDH68" s="87"/>
      <c r="WDI68" s="87"/>
      <c r="WDJ68" s="87"/>
      <c r="WDK68" s="87"/>
      <c r="WDL68" s="87"/>
      <c r="WDM68" s="87"/>
      <c r="WDN68" s="87"/>
      <c r="WDO68" s="87"/>
      <c r="WDP68" s="87"/>
      <c r="WDQ68" s="87"/>
      <c r="WDR68" s="87"/>
      <c r="WDS68" s="87"/>
      <c r="WDT68" s="87"/>
      <c r="WDU68" s="87"/>
      <c r="WDV68" s="87"/>
      <c r="WDW68" s="87"/>
      <c r="WDX68" s="87"/>
      <c r="WDY68" s="87"/>
      <c r="WDZ68" s="87"/>
      <c r="WEA68" s="87"/>
      <c r="WEB68" s="87"/>
      <c r="WEC68" s="87"/>
      <c r="WED68" s="87"/>
      <c r="WEE68" s="87"/>
      <c r="WEF68" s="87"/>
      <c r="WEG68" s="87"/>
      <c r="WEH68" s="87"/>
      <c r="WEI68" s="87"/>
      <c r="WEJ68" s="87"/>
      <c r="WEK68" s="87"/>
      <c r="WEL68" s="87"/>
      <c r="WEM68" s="87"/>
      <c r="WEN68" s="87"/>
      <c r="WEO68" s="87"/>
      <c r="WEP68" s="87"/>
      <c r="WEQ68" s="87"/>
      <c r="WER68" s="87"/>
      <c r="WES68" s="87"/>
      <c r="WET68" s="87"/>
      <c r="WEU68" s="87"/>
      <c r="WEV68" s="87"/>
      <c r="WEW68" s="87"/>
      <c r="WEX68" s="87"/>
      <c r="WEY68" s="87"/>
      <c r="WEZ68" s="87"/>
      <c r="WFA68" s="87"/>
      <c r="WFB68" s="87"/>
      <c r="WFC68" s="87"/>
      <c r="WFD68" s="87"/>
      <c r="WFE68" s="87"/>
      <c r="WFF68" s="87"/>
      <c r="WFG68" s="87"/>
      <c r="WFH68" s="87"/>
      <c r="WFI68" s="87"/>
      <c r="WFJ68" s="87"/>
      <c r="WFK68" s="87"/>
      <c r="WFL68" s="87"/>
      <c r="WFM68" s="87"/>
      <c r="WFN68" s="87"/>
      <c r="WFO68" s="87"/>
      <c r="WFP68" s="87"/>
      <c r="WFQ68" s="87"/>
      <c r="WFR68" s="87"/>
      <c r="WFS68" s="87"/>
      <c r="WFT68" s="87"/>
      <c r="WFU68" s="87"/>
      <c r="WFV68" s="87"/>
      <c r="WFW68" s="87"/>
      <c r="WFX68" s="87"/>
      <c r="WFY68" s="87"/>
      <c r="WFZ68" s="87"/>
      <c r="WGA68" s="87"/>
      <c r="WGB68" s="87"/>
      <c r="WGC68" s="87"/>
      <c r="WGD68" s="87"/>
      <c r="WGE68" s="87"/>
      <c r="WGF68" s="87"/>
      <c r="WGG68" s="87"/>
      <c r="WGH68" s="87"/>
      <c r="WGI68" s="87"/>
      <c r="WGJ68" s="87"/>
      <c r="WGK68" s="87"/>
      <c r="WGL68" s="87"/>
      <c r="WGM68" s="87"/>
      <c r="WGN68" s="87"/>
      <c r="WGO68" s="87"/>
      <c r="WGP68" s="87"/>
      <c r="WGQ68" s="87"/>
      <c r="WGR68" s="87"/>
      <c r="WGS68" s="87"/>
      <c r="WGT68" s="87"/>
      <c r="WGU68" s="87"/>
      <c r="WGV68" s="87"/>
      <c r="WGW68" s="87"/>
      <c r="WGX68" s="87"/>
      <c r="WGY68" s="87"/>
      <c r="WGZ68" s="87"/>
      <c r="WHA68" s="87"/>
      <c r="WHB68" s="87"/>
      <c r="WHC68" s="87"/>
      <c r="WHD68" s="87"/>
      <c r="WHE68" s="87"/>
      <c r="WHF68" s="87"/>
      <c r="WHG68" s="87"/>
      <c r="WHH68" s="87"/>
      <c r="WHI68" s="87"/>
      <c r="WHJ68" s="87"/>
      <c r="WHK68" s="87"/>
      <c r="WHL68" s="87"/>
      <c r="WHM68" s="87"/>
      <c r="WHN68" s="87"/>
      <c r="WHO68" s="87"/>
      <c r="WHP68" s="87"/>
      <c r="WHQ68" s="87"/>
      <c r="WHR68" s="87"/>
      <c r="WHS68" s="87"/>
      <c r="WHT68" s="87"/>
      <c r="WHU68" s="87"/>
      <c r="WHV68" s="87"/>
      <c r="WHW68" s="87"/>
      <c r="WHX68" s="87"/>
      <c r="WHY68" s="87"/>
      <c r="WHZ68" s="87"/>
      <c r="WIA68" s="87"/>
      <c r="WIB68" s="87"/>
      <c r="WIC68" s="87"/>
      <c r="WID68" s="87"/>
      <c r="WIE68" s="87"/>
      <c r="WIF68" s="87"/>
      <c r="WIG68" s="87"/>
      <c r="WIH68" s="87"/>
      <c r="WII68" s="87"/>
      <c r="WIJ68" s="87"/>
      <c r="WIK68" s="87"/>
      <c r="WIL68" s="87"/>
      <c r="WIM68" s="87"/>
      <c r="WIN68" s="87"/>
      <c r="WIO68" s="87"/>
      <c r="WIP68" s="87"/>
      <c r="WIQ68" s="87"/>
      <c r="WIR68" s="87"/>
      <c r="WIS68" s="87"/>
      <c r="WIT68" s="87"/>
      <c r="WIU68" s="87"/>
      <c r="WIV68" s="87"/>
      <c r="WIW68" s="87"/>
      <c r="WIX68" s="87"/>
      <c r="WIY68" s="87"/>
      <c r="WIZ68" s="87"/>
      <c r="WJA68" s="87"/>
      <c r="WJB68" s="87"/>
      <c r="WJC68" s="87"/>
      <c r="WJD68" s="87"/>
      <c r="WJE68" s="87"/>
      <c r="WJF68" s="87"/>
      <c r="WJG68" s="87"/>
      <c r="WJH68" s="87"/>
      <c r="WJI68" s="87"/>
      <c r="WJJ68" s="87"/>
      <c r="WJK68" s="87"/>
      <c r="WJL68" s="87"/>
      <c r="WJM68" s="87"/>
      <c r="WJN68" s="87"/>
      <c r="WJO68" s="87"/>
      <c r="WJP68" s="87"/>
      <c r="WJQ68" s="87"/>
      <c r="WJR68" s="87"/>
      <c r="WJS68" s="87"/>
      <c r="WJT68" s="87"/>
      <c r="WJU68" s="87"/>
      <c r="WJV68" s="87"/>
      <c r="WJW68" s="87"/>
      <c r="WJX68" s="87"/>
      <c r="WJY68" s="87"/>
      <c r="WJZ68" s="87"/>
      <c r="WKA68" s="87"/>
      <c r="WKB68" s="87"/>
      <c r="WKC68" s="87"/>
      <c r="WKD68" s="87"/>
      <c r="WKE68" s="87"/>
      <c r="WKF68" s="87"/>
      <c r="WKG68" s="87"/>
      <c r="WKH68" s="87"/>
      <c r="WKI68" s="87"/>
      <c r="WKJ68" s="87"/>
      <c r="WKK68" s="87"/>
      <c r="WKL68" s="87"/>
      <c r="WKM68" s="87"/>
      <c r="WKN68" s="87"/>
      <c r="WKO68" s="87"/>
      <c r="WKP68" s="87"/>
      <c r="WKQ68" s="87"/>
      <c r="WKR68" s="87"/>
      <c r="WKS68" s="87"/>
      <c r="WKT68" s="87"/>
      <c r="WKU68" s="87"/>
      <c r="WKV68" s="87"/>
      <c r="WKW68" s="87"/>
      <c r="WKX68" s="87"/>
      <c r="WKY68" s="87"/>
      <c r="WKZ68" s="87"/>
      <c r="WLA68" s="87"/>
      <c r="WLB68" s="87"/>
      <c r="WLC68" s="87"/>
      <c r="WLD68" s="87"/>
      <c r="WLE68" s="87"/>
      <c r="WLF68" s="87"/>
      <c r="WLG68" s="87"/>
      <c r="WLH68" s="87"/>
      <c r="WLI68" s="87"/>
      <c r="WLJ68" s="87"/>
      <c r="WLK68" s="87"/>
      <c r="WLL68" s="87"/>
      <c r="WLM68" s="87"/>
      <c r="WLN68" s="87"/>
      <c r="WLO68" s="87"/>
      <c r="WLP68" s="87"/>
      <c r="WLQ68" s="87"/>
      <c r="WLR68" s="87"/>
      <c r="WLS68" s="87"/>
      <c r="WLT68" s="87"/>
      <c r="WLU68" s="87"/>
      <c r="WLV68" s="87"/>
      <c r="WLW68" s="87"/>
      <c r="WLX68" s="87"/>
      <c r="WLY68" s="87"/>
      <c r="WLZ68" s="87"/>
      <c r="WMA68" s="87"/>
      <c r="WMB68" s="87"/>
      <c r="WMC68" s="87"/>
      <c r="WMD68" s="87"/>
      <c r="WME68" s="87"/>
      <c r="WMF68" s="87"/>
      <c r="WMG68" s="87"/>
      <c r="WMH68" s="87"/>
      <c r="WMI68" s="87"/>
      <c r="WMJ68" s="87"/>
      <c r="WMK68" s="87"/>
      <c r="WML68" s="87"/>
      <c r="WMM68" s="87"/>
      <c r="WMN68" s="87"/>
      <c r="WMO68" s="87"/>
      <c r="WMP68" s="87"/>
      <c r="WMQ68" s="87"/>
      <c r="WMR68" s="87"/>
      <c r="WMS68" s="87"/>
      <c r="WMT68" s="87"/>
      <c r="WMU68" s="87"/>
      <c r="WMV68" s="87"/>
      <c r="WMW68" s="87"/>
      <c r="WMX68" s="87"/>
      <c r="WMY68" s="87"/>
      <c r="WMZ68" s="87"/>
      <c r="WNA68" s="87"/>
      <c r="WNB68" s="87"/>
      <c r="WNC68" s="87"/>
      <c r="WND68" s="87"/>
      <c r="WNE68" s="87"/>
      <c r="WNF68" s="87"/>
      <c r="WNG68" s="87"/>
      <c r="WNH68" s="87"/>
      <c r="WNI68" s="87"/>
      <c r="WNJ68" s="87"/>
      <c r="WNK68" s="87"/>
      <c r="WNL68" s="87"/>
      <c r="WNM68" s="87"/>
      <c r="WNN68" s="87"/>
      <c r="WNO68" s="87"/>
      <c r="WNP68" s="87"/>
      <c r="WNQ68" s="87"/>
      <c r="WNR68" s="87"/>
      <c r="WNS68" s="87"/>
      <c r="WNT68" s="87"/>
      <c r="WNU68" s="87"/>
      <c r="WNV68" s="87"/>
      <c r="WNW68" s="87"/>
      <c r="WNX68" s="87"/>
      <c r="WNY68" s="87"/>
      <c r="WNZ68" s="87"/>
      <c r="WOA68" s="87"/>
      <c r="WOB68" s="87"/>
      <c r="WOC68" s="87"/>
      <c r="WOD68" s="87"/>
      <c r="WOE68" s="87"/>
      <c r="WOF68" s="87"/>
      <c r="WOG68" s="87"/>
      <c r="WOH68" s="87"/>
      <c r="WOI68" s="87"/>
      <c r="WOJ68" s="87"/>
      <c r="WOK68" s="87"/>
      <c r="WOL68" s="87"/>
      <c r="WOM68" s="87"/>
      <c r="WON68" s="87"/>
      <c r="WOO68" s="87"/>
      <c r="WOP68" s="87"/>
      <c r="WOQ68" s="87"/>
      <c r="WOR68" s="87"/>
      <c r="WOS68" s="87"/>
      <c r="WOT68" s="87"/>
      <c r="WOU68" s="87"/>
      <c r="WOV68" s="87"/>
      <c r="WOW68" s="87"/>
      <c r="WOX68" s="87"/>
      <c r="WOY68" s="87"/>
      <c r="WOZ68" s="87"/>
      <c r="WPA68" s="87"/>
      <c r="WPB68" s="87"/>
      <c r="WPC68" s="87"/>
      <c r="WPD68" s="87"/>
      <c r="WPE68" s="87"/>
      <c r="WPF68" s="87"/>
      <c r="WPG68" s="87"/>
      <c r="WPH68" s="87"/>
      <c r="WPI68" s="87"/>
      <c r="WPJ68" s="87"/>
      <c r="WPK68" s="87"/>
      <c r="WPL68" s="87"/>
      <c r="WPM68" s="87"/>
      <c r="WPN68" s="87"/>
      <c r="WPO68" s="87"/>
      <c r="WPP68" s="87"/>
      <c r="WPQ68" s="87"/>
      <c r="WPR68" s="87"/>
      <c r="WPS68" s="87"/>
      <c r="WPT68" s="87"/>
      <c r="WPU68" s="87"/>
      <c r="WPV68" s="87"/>
      <c r="WPW68" s="87"/>
      <c r="WPX68" s="87"/>
      <c r="WPY68" s="87"/>
      <c r="WPZ68" s="87"/>
      <c r="WQA68" s="87"/>
      <c r="WQB68" s="87"/>
      <c r="WQC68" s="87"/>
      <c r="WQD68" s="87"/>
      <c r="WQE68" s="87"/>
      <c r="WQF68" s="87"/>
      <c r="WQG68" s="87"/>
      <c r="WQH68" s="87"/>
      <c r="WQI68" s="87"/>
      <c r="WQJ68" s="87"/>
      <c r="WQK68" s="87"/>
      <c r="WQL68" s="87"/>
      <c r="WQM68" s="87"/>
      <c r="WQN68" s="87"/>
      <c r="WQO68" s="87"/>
      <c r="WQP68" s="87"/>
      <c r="WQQ68" s="87"/>
      <c r="WQR68" s="87"/>
      <c r="WQS68" s="87"/>
      <c r="WQT68" s="87"/>
      <c r="WQU68" s="87"/>
      <c r="WQV68" s="87"/>
      <c r="WQW68" s="87"/>
      <c r="WQX68" s="87"/>
      <c r="WQY68" s="87"/>
      <c r="WQZ68" s="87"/>
      <c r="WRA68" s="87"/>
      <c r="WRB68" s="87"/>
      <c r="WRC68" s="87"/>
      <c r="WRD68" s="87"/>
      <c r="WRE68" s="87"/>
      <c r="WRF68" s="87"/>
      <c r="WRG68" s="87"/>
      <c r="WRH68" s="87"/>
      <c r="WRI68" s="87"/>
      <c r="WRJ68" s="87"/>
      <c r="WRK68" s="87"/>
      <c r="WRL68" s="87"/>
      <c r="WRM68" s="87"/>
      <c r="WRN68" s="87"/>
      <c r="WRO68" s="87"/>
      <c r="WRP68" s="87"/>
      <c r="WRQ68" s="87"/>
      <c r="WRR68" s="87"/>
      <c r="WRS68" s="87"/>
      <c r="WRT68" s="87"/>
      <c r="WRU68" s="87"/>
      <c r="WRV68" s="87"/>
      <c r="WRW68" s="87"/>
      <c r="WRX68" s="87"/>
      <c r="WRY68" s="87"/>
      <c r="WRZ68" s="87"/>
      <c r="WSA68" s="87"/>
      <c r="WSB68" s="87"/>
      <c r="WSC68" s="87"/>
      <c r="WSD68" s="87"/>
      <c r="WSE68" s="87"/>
      <c r="WSF68" s="87"/>
      <c r="WSG68" s="87"/>
      <c r="WSH68" s="87"/>
      <c r="WSI68" s="87"/>
      <c r="WSJ68" s="87"/>
      <c r="WSK68" s="87"/>
      <c r="WSL68" s="87"/>
      <c r="WSM68" s="87"/>
      <c r="WSN68" s="87"/>
      <c r="WSO68" s="87"/>
      <c r="WSP68" s="87"/>
      <c r="WSQ68" s="87"/>
      <c r="WSR68" s="87"/>
      <c r="WSS68" s="87"/>
      <c r="WST68" s="87"/>
      <c r="WSU68" s="87"/>
      <c r="WSV68" s="87"/>
      <c r="WSW68" s="87"/>
      <c r="WSX68" s="87"/>
      <c r="WSY68" s="87"/>
      <c r="WSZ68" s="87"/>
      <c r="WTA68" s="87"/>
      <c r="WTB68" s="87"/>
      <c r="WTC68" s="87"/>
      <c r="WTD68" s="87"/>
      <c r="WTE68" s="87"/>
      <c r="WTF68" s="87"/>
      <c r="WTG68" s="87"/>
      <c r="WTH68" s="87"/>
      <c r="WTI68" s="87"/>
      <c r="WTJ68" s="87"/>
      <c r="WTK68" s="87"/>
      <c r="WTL68" s="87"/>
      <c r="WTM68" s="87"/>
      <c r="WTN68" s="87"/>
      <c r="WTO68" s="87"/>
      <c r="WTP68" s="87"/>
      <c r="WTQ68" s="87"/>
      <c r="WTR68" s="87"/>
      <c r="WTS68" s="87"/>
      <c r="WTT68" s="87"/>
      <c r="WTU68" s="87"/>
      <c r="WTV68" s="87"/>
      <c r="WTW68" s="87"/>
      <c r="WTX68" s="87"/>
      <c r="WTY68" s="87"/>
      <c r="WTZ68" s="87"/>
      <c r="WUA68" s="87"/>
      <c r="WUB68" s="87"/>
      <c r="WUC68" s="87"/>
      <c r="WUD68" s="87"/>
      <c r="WUE68" s="87"/>
      <c r="WUF68" s="87"/>
      <c r="WUG68" s="87"/>
      <c r="WUH68" s="87"/>
      <c r="WUI68" s="87"/>
      <c r="WUJ68" s="87"/>
      <c r="WUK68" s="87"/>
      <c r="WUL68" s="87"/>
      <c r="WUM68" s="87"/>
      <c r="WUN68" s="87"/>
      <c r="WUO68" s="87"/>
      <c r="WUP68" s="87"/>
      <c r="WUQ68" s="87"/>
      <c r="WUR68" s="87"/>
      <c r="WUS68" s="87"/>
      <c r="WUT68" s="87"/>
      <c r="WUU68" s="87"/>
      <c r="WUV68" s="87"/>
      <c r="WUW68" s="87"/>
      <c r="WUX68" s="87"/>
      <c r="WUY68" s="87"/>
      <c r="WUZ68" s="87"/>
      <c r="WVA68" s="87"/>
      <c r="WVB68" s="87"/>
      <c r="WVC68" s="87"/>
      <c r="WVD68" s="87"/>
      <c r="WVE68" s="87"/>
      <c r="WVF68" s="87"/>
      <c r="WVG68" s="87"/>
      <c r="WVH68" s="87"/>
      <c r="WVI68" s="87"/>
      <c r="WVJ68" s="87"/>
      <c r="WVK68" s="87"/>
      <c r="WVL68" s="87"/>
      <c r="WVM68" s="87"/>
      <c r="WVN68" s="87"/>
      <c r="WVO68" s="87"/>
      <c r="WVP68" s="87"/>
      <c r="WVQ68" s="87"/>
      <c r="WVR68" s="87"/>
      <c r="WVS68" s="87"/>
      <c r="WVT68" s="87"/>
      <c r="WVU68" s="87"/>
      <c r="WVV68" s="87"/>
      <c r="WVW68" s="87"/>
      <c r="WVX68" s="87"/>
      <c r="WVY68" s="87"/>
      <c r="WVZ68" s="87"/>
      <c r="WWA68" s="87"/>
      <c r="WWB68" s="87"/>
      <c r="WWC68" s="87"/>
      <c r="WWD68" s="87"/>
      <c r="WWE68" s="87"/>
      <c r="WWF68" s="87"/>
      <c r="WWG68" s="87"/>
      <c r="WWH68" s="87"/>
      <c r="WWI68" s="87"/>
      <c r="WWJ68" s="87"/>
      <c r="WWK68" s="87"/>
      <c r="WWL68" s="87"/>
      <c r="WWM68" s="87"/>
      <c r="WWN68" s="87"/>
      <c r="WWO68" s="87"/>
      <c r="WWP68" s="87"/>
      <c r="WWQ68" s="87"/>
      <c r="WWR68" s="87"/>
      <c r="WWS68" s="87"/>
      <c r="WWT68" s="87"/>
      <c r="WWU68" s="87"/>
      <c r="WWV68" s="87"/>
      <c r="WWW68" s="87"/>
      <c r="WWX68" s="87"/>
      <c r="WWY68" s="87"/>
      <c r="WWZ68" s="87"/>
      <c r="WXA68" s="87"/>
      <c r="WXB68" s="87"/>
      <c r="WXC68" s="87"/>
      <c r="WXD68" s="87"/>
      <c r="WXE68" s="87"/>
      <c r="WXF68" s="87"/>
      <c r="WXG68" s="87"/>
      <c r="WXH68" s="87"/>
      <c r="WXI68" s="87"/>
      <c r="WXJ68" s="87"/>
      <c r="WXK68" s="87"/>
      <c r="WXL68" s="87"/>
      <c r="WXM68" s="87"/>
      <c r="WXN68" s="87"/>
      <c r="WXO68" s="87"/>
      <c r="WXP68" s="87"/>
      <c r="WXQ68" s="87"/>
      <c r="WXR68" s="87"/>
      <c r="WXS68" s="87"/>
      <c r="WXT68" s="87"/>
      <c r="WXU68" s="87"/>
      <c r="WXV68" s="87"/>
      <c r="WXW68" s="87"/>
      <c r="WXX68" s="87"/>
      <c r="WXY68" s="87"/>
      <c r="WXZ68" s="87"/>
      <c r="WYA68" s="87"/>
      <c r="WYB68" s="87"/>
      <c r="WYC68" s="87"/>
      <c r="WYD68" s="87"/>
      <c r="WYE68" s="87"/>
      <c r="WYF68" s="87"/>
      <c r="WYG68" s="87"/>
      <c r="WYH68" s="87"/>
      <c r="WYI68" s="87"/>
      <c r="WYJ68" s="87"/>
      <c r="WYK68" s="87"/>
      <c r="WYL68" s="87"/>
      <c r="WYM68" s="87"/>
      <c r="WYN68" s="87"/>
      <c r="WYO68" s="87"/>
      <c r="WYP68" s="87"/>
      <c r="WYQ68" s="87"/>
      <c r="WYR68" s="87"/>
      <c r="WYS68" s="87"/>
      <c r="WYT68" s="87"/>
      <c r="WYU68" s="87"/>
      <c r="WYV68" s="87"/>
      <c r="WYW68" s="87"/>
      <c r="WYX68" s="87"/>
      <c r="WYY68" s="87"/>
      <c r="WYZ68" s="87"/>
      <c r="WZA68" s="87"/>
      <c r="WZB68" s="87"/>
      <c r="WZC68" s="87"/>
      <c r="WZD68" s="87"/>
      <c r="WZE68" s="87"/>
      <c r="WZF68" s="87"/>
      <c r="WZG68" s="87"/>
      <c r="WZH68" s="87"/>
      <c r="WZI68" s="87"/>
      <c r="WZJ68" s="87"/>
      <c r="WZK68" s="87"/>
      <c r="WZL68" s="87"/>
      <c r="WZM68" s="87"/>
      <c r="WZN68" s="87"/>
      <c r="WZO68" s="87"/>
      <c r="WZP68" s="87"/>
      <c r="WZQ68" s="87"/>
      <c r="WZR68" s="87"/>
      <c r="WZS68" s="87"/>
      <c r="WZT68" s="87"/>
      <c r="WZU68" s="87"/>
      <c r="WZV68" s="87"/>
      <c r="WZW68" s="87"/>
      <c r="WZX68" s="87"/>
      <c r="WZY68" s="87"/>
      <c r="WZZ68" s="87"/>
      <c r="XAA68" s="87"/>
      <c r="XAB68" s="87"/>
      <c r="XAC68" s="87"/>
      <c r="XAD68" s="87"/>
      <c r="XAE68" s="87"/>
      <c r="XAF68" s="87"/>
      <c r="XAG68" s="87"/>
      <c r="XAH68" s="87"/>
      <c r="XAI68" s="87"/>
      <c r="XAJ68" s="87"/>
      <c r="XAK68" s="87"/>
      <c r="XAL68" s="87"/>
      <c r="XAM68" s="87"/>
      <c r="XAN68" s="87"/>
      <c r="XAO68" s="87"/>
      <c r="XAP68" s="87"/>
      <c r="XAQ68" s="87"/>
      <c r="XAR68" s="87"/>
      <c r="XAS68" s="87"/>
      <c r="XAT68" s="87"/>
      <c r="XAU68" s="87"/>
      <c r="XAV68" s="87"/>
      <c r="XAW68" s="87"/>
      <c r="XAX68" s="87"/>
      <c r="XAY68" s="87"/>
      <c r="XAZ68" s="87"/>
      <c r="XBA68" s="87"/>
      <c r="XBB68" s="87"/>
      <c r="XBC68" s="87"/>
      <c r="XBD68" s="87"/>
      <c r="XBE68" s="87"/>
      <c r="XBF68" s="87"/>
      <c r="XBG68" s="87"/>
      <c r="XBH68" s="87"/>
      <c r="XBI68" s="87"/>
      <c r="XBJ68" s="87"/>
      <c r="XBK68" s="87"/>
      <c r="XBL68" s="87"/>
      <c r="XBM68" s="87"/>
      <c r="XBN68" s="87"/>
      <c r="XBO68" s="87"/>
      <c r="XBP68" s="87"/>
      <c r="XBQ68" s="87"/>
      <c r="XBR68" s="87"/>
      <c r="XBS68" s="87"/>
      <c r="XBT68" s="87"/>
      <c r="XBU68" s="87"/>
      <c r="XBV68" s="87"/>
      <c r="XBW68" s="87"/>
      <c r="XBX68" s="87"/>
      <c r="XBY68" s="87"/>
      <c r="XBZ68" s="87"/>
      <c r="XCA68" s="87"/>
      <c r="XCB68" s="87"/>
      <c r="XCC68" s="87"/>
      <c r="XCD68" s="87"/>
      <c r="XCE68" s="87"/>
      <c r="XCF68" s="87"/>
      <c r="XCG68" s="87"/>
      <c r="XCH68" s="87"/>
      <c r="XCI68" s="87"/>
      <c r="XCJ68" s="87"/>
      <c r="XCK68" s="87"/>
      <c r="XCL68" s="87"/>
      <c r="XCM68" s="87"/>
      <c r="XCN68" s="87"/>
      <c r="XCO68" s="87"/>
      <c r="XCP68" s="87"/>
      <c r="XCQ68" s="87"/>
      <c r="XCR68" s="87"/>
      <c r="XCS68" s="87"/>
      <c r="XCT68" s="87"/>
      <c r="XCU68" s="87"/>
      <c r="XCV68" s="87"/>
      <c r="XCW68" s="87"/>
      <c r="XCX68" s="87"/>
      <c r="XCY68" s="87"/>
      <c r="XCZ68" s="87"/>
      <c r="XDA68" s="87"/>
      <c r="XDB68" s="87"/>
      <c r="XDC68" s="87"/>
      <c r="XDD68" s="87"/>
      <c r="XDE68" s="87"/>
      <c r="XDF68" s="87"/>
      <c r="XDG68" s="87"/>
      <c r="XDH68" s="87"/>
      <c r="XDI68" s="87"/>
      <c r="XDJ68" s="87"/>
      <c r="XDK68" s="87"/>
      <c r="XDL68" s="87"/>
      <c r="XDM68" s="87"/>
      <c r="XDN68" s="87"/>
      <c r="XDO68" s="87"/>
      <c r="XDP68" s="87"/>
      <c r="XDQ68" s="87"/>
      <c r="XDR68" s="87"/>
      <c r="XDS68" s="87"/>
      <c r="XDT68" s="87"/>
      <c r="XDU68" s="87"/>
      <c r="XDV68" s="87"/>
      <c r="XDW68" s="87"/>
      <c r="XDX68" s="87"/>
      <c r="XDY68" s="87"/>
      <c r="XDZ68" s="87"/>
      <c r="XEA68" s="87"/>
      <c r="XEB68" s="87"/>
      <c r="XEC68" s="87"/>
      <c r="XED68" s="87"/>
      <c r="XEE68" s="87"/>
      <c r="XEF68" s="87"/>
      <c r="XEG68" s="87"/>
      <c r="XEH68" s="87"/>
      <c r="XEI68" s="87"/>
      <c r="XEJ68" s="87"/>
      <c r="XEK68" s="87"/>
      <c r="XEL68" s="87"/>
      <c r="XEM68" s="87"/>
      <c r="XEN68" s="87"/>
      <c r="XEO68" s="87"/>
      <c r="XEP68" s="87"/>
      <c r="XEQ68" s="87"/>
      <c r="XER68" s="87"/>
      <c r="XES68" s="87"/>
      <c r="XET68" s="87"/>
      <c r="XEU68" s="87"/>
      <c r="XEV68" s="87"/>
      <c r="XEW68" s="87"/>
      <c r="XEX68" s="87"/>
      <c r="XEY68" s="88"/>
      <c r="XEZ68" s="88"/>
      <c r="XFA68" s="88"/>
      <c r="XFB68" s="88"/>
      <c r="XFC68" s="89"/>
    </row>
    <row r="69" s="4" customFormat="1" ht="25" customHeight="1" spans="1:248">
      <c r="A69" s="61"/>
      <c r="B69" s="62"/>
      <c r="C69" s="34" t="s">
        <v>130</v>
      </c>
      <c r="D69" s="35"/>
      <c r="E69" s="67" t="s">
        <v>27</v>
      </c>
      <c r="F69" s="68">
        <v>0</v>
      </c>
      <c r="G69" s="71">
        <v>60</v>
      </c>
      <c r="H69" s="71">
        <f t="shared" si="3"/>
        <v>0</v>
      </c>
      <c r="I69" s="80" t="s">
        <v>123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</row>
    <row r="70" s="4" customFormat="1" ht="42" customHeight="1" spans="1:248">
      <c r="A70" s="61"/>
      <c r="B70" s="62"/>
      <c r="C70" s="63" t="s">
        <v>104</v>
      </c>
      <c r="D70" s="63"/>
      <c r="E70" s="67" t="s">
        <v>17</v>
      </c>
      <c r="F70" s="68">
        <v>0</v>
      </c>
      <c r="G70" s="71">
        <v>240</v>
      </c>
      <c r="H70" s="71">
        <f t="shared" si="3"/>
        <v>0</v>
      </c>
      <c r="I70" s="80" t="s">
        <v>131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</row>
    <row r="71" s="4" customFormat="1" ht="61" spans="1:248">
      <c r="A71" s="90"/>
      <c r="B71" s="91"/>
      <c r="C71" s="34" t="s">
        <v>132</v>
      </c>
      <c r="D71" s="35"/>
      <c r="E71" s="67" t="s">
        <v>17</v>
      </c>
      <c r="F71" s="68">
        <v>0</v>
      </c>
      <c r="G71" s="71">
        <v>208</v>
      </c>
      <c r="H71" s="71">
        <f t="shared" si="3"/>
        <v>0</v>
      </c>
      <c r="I71" s="80" t="s">
        <v>133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</row>
    <row r="72" s="4" customFormat="1" ht="76" spans="1:248">
      <c r="A72" s="92" t="s">
        <v>134</v>
      </c>
      <c r="B72" s="60"/>
      <c r="C72" s="34" t="s">
        <v>135</v>
      </c>
      <c r="D72" s="35"/>
      <c r="E72" s="67" t="s">
        <v>17</v>
      </c>
      <c r="F72" s="71">
        <f>SUM(E26)</f>
        <v>50</v>
      </c>
      <c r="G72" s="71">
        <v>47</v>
      </c>
      <c r="H72" s="71">
        <f t="shared" si="3"/>
        <v>2350</v>
      </c>
      <c r="I72" s="80" t="s">
        <v>136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</row>
    <row r="73" s="4" customFormat="1" ht="31" spans="1:248">
      <c r="A73" s="61"/>
      <c r="B73" s="62"/>
      <c r="C73" s="34" t="s">
        <v>137</v>
      </c>
      <c r="D73" s="35"/>
      <c r="E73" s="67" t="s">
        <v>17</v>
      </c>
      <c r="F73" s="71">
        <f>F72</f>
        <v>50</v>
      </c>
      <c r="G73" s="71">
        <v>18</v>
      </c>
      <c r="H73" s="71">
        <f t="shared" si="3"/>
        <v>900</v>
      </c>
      <c r="I73" s="93" t="s">
        <v>138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</row>
    <row r="74" s="4" customFormat="1" ht="76" spans="1:248">
      <c r="A74" s="61"/>
      <c r="B74" s="62"/>
      <c r="C74" s="52" t="s">
        <v>139</v>
      </c>
      <c r="D74" s="53"/>
      <c r="E74" s="67" t="s">
        <v>17</v>
      </c>
      <c r="F74" s="71">
        <f>SUM(G26*I26)</f>
        <v>112</v>
      </c>
      <c r="G74" s="71">
        <v>47</v>
      </c>
      <c r="H74" s="71">
        <f t="shared" si="3"/>
        <v>5264</v>
      </c>
      <c r="I74" s="80" t="s">
        <v>140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</row>
    <row r="75" s="4" customFormat="1" ht="25" customHeight="1" spans="1:248">
      <c r="A75" s="90"/>
      <c r="B75" s="91"/>
      <c r="C75" s="52" t="s">
        <v>141</v>
      </c>
      <c r="D75" s="53"/>
      <c r="E75" s="67" t="s">
        <v>17</v>
      </c>
      <c r="F75" s="71">
        <f>SUM(F74:F74)</f>
        <v>112</v>
      </c>
      <c r="G75" s="71">
        <v>18</v>
      </c>
      <c r="H75" s="71">
        <f t="shared" si="3"/>
        <v>2016</v>
      </c>
      <c r="I75" s="93" t="s">
        <v>138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</row>
    <row r="76" s="4" customFormat="1" ht="31" spans="1:248">
      <c r="A76" s="56" t="s">
        <v>142</v>
      </c>
      <c r="B76" s="45"/>
      <c r="C76" s="34" t="s">
        <v>143</v>
      </c>
      <c r="D76" s="35"/>
      <c r="E76" s="72" t="s">
        <v>25</v>
      </c>
      <c r="F76" s="68">
        <v>0</v>
      </c>
      <c r="G76" s="71">
        <v>280</v>
      </c>
      <c r="H76" s="71">
        <f t="shared" si="3"/>
        <v>0</v>
      </c>
      <c r="I76" s="79" t="s">
        <v>144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</row>
    <row r="77" s="4" customFormat="1" ht="31" spans="1:248">
      <c r="A77" s="57"/>
      <c r="B77" s="58"/>
      <c r="C77" s="34" t="s">
        <v>145</v>
      </c>
      <c r="D77" s="35"/>
      <c r="E77" s="72" t="s">
        <v>25</v>
      </c>
      <c r="F77" s="68">
        <v>0</v>
      </c>
      <c r="G77" s="71">
        <v>380</v>
      </c>
      <c r="H77" s="71">
        <f t="shared" si="3"/>
        <v>0</v>
      </c>
      <c r="I77" s="79" t="s">
        <v>144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</row>
    <row r="78" s="4" customFormat="1" ht="31" spans="1:248">
      <c r="A78" s="46"/>
      <c r="B78" s="47"/>
      <c r="C78" s="34" t="s">
        <v>146</v>
      </c>
      <c r="D78" s="35"/>
      <c r="E78" s="72" t="s">
        <v>25</v>
      </c>
      <c r="F78" s="68">
        <v>0</v>
      </c>
      <c r="G78" s="71">
        <v>480</v>
      </c>
      <c r="H78" s="71">
        <f t="shared" si="3"/>
        <v>0</v>
      </c>
      <c r="I78" s="79" t="s">
        <v>144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</row>
    <row r="79" ht="25" customHeight="1" spans="1:9">
      <c r="A79" s="36" t="s">
        <v>56</v>
      </c>
      <c r="B79" s="37"/>
      <c r="C79" s="38"/>
      <c r="D79" s="38"/>
      <c r="E79" s="37"/>
      <c r="F79" s="37"/>
      <c r="G79" s="37"/>
      <c r="H79" s="73">
        <f>SUM(H27:H78)</f>
        <v>37005.2986</v>
      </c>
      <c r="I79" s="83"/>
    </row>
    <row r="80" s="3" customFormat="1" ht="25" customHeight="1" spans="1:248">
      <c r="A80" s="39" t="s">
        <v>147</v>
      </c>
      <c r="B80" s="40"/>
      <c r="C80" s="40"/>
      <c r="D80" s="41" t="s">
        <v>13</v>
      </c>
      <c r="E80" s="41">
        <v>20</v>
      </c>
      <c r="F80" s="41" t="s">
        <v>14</v>
      </c>
      <c r="G80" s="41">
        <v>20</v>
      </c>
      <c r="H80" s="41" t="s">
        <v>15</v>
      </c>
      <c r="I80" s="84">
        <v>2.91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</row>
    <row r="81" s="4" customFormat="1" ht="46" spans="1:248">
      <c r="A81" s="42"/>
      <c r="B81" s="43"/>
      <c r="C81" s="34" t="s">
        <v>148</v>
      </c>
      <c r="D81" s="35"/>
      <c r="E81" s="67" t="s">
        <v>27</v>
      </c>
      <c r="F81" s="68">
        <v>0</v>
      </c>
      <c r="G81" s="71">
        <v>160</v>
      </c>
      <c r="H81" s="71">
        <f t="shared" ref="H81:H87" si="4">F81*G81</f>
        <v>0</v>
      </c>
      <c r="I81" s="80" t="s">
        <v>149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</row>
    <row r="82" s="4" customFormat="1" ht="46" spans="1:248">
      <c r="A82" s="42"/>
      <c r="B82" s="43"/>
      <c r="C82" s="34" t="s">
        <v>60</v>
      </c>
      <c r="D82" s="35"/>
      <c r="E82" s="67" t="s">
        <v>27</v>
      </c>
      <c r="F82" s="71">
        <v>1.76</v>
      </c>
      <c r="G82" s="71">
        <v>100</v>
      </c>
      <c r="H82" s="71">
        <f t="shared" si="4"/>
        <v>176</v>
      </c>
      <c r="I82" s="80" t="s">
        <v>61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</row>
    <row r="83" s="4" customFormat="1" ht="25" customHeight="1" spans="1:248">
      <c r="A83" s="42"/>
      <c r="B83" s="43"/>
      <c r="C83" s="34" t="s">
        <v>62</v>
      </c>
      <c r="D83" s="35"/>
      <c r="E83" s="67" t="s">
        <v>17</v>
      </c>
      <c r="F83" s="68">
        <v>0</v>
      </c>
      <c r="G83" s="71">
        <v>12</v>
      </c>
      <c r="H83" s="71">
        <f t="shared" si="4"/>
        <v>0</v>
      </c>
      <c r="I83" s="79" t="s">
        <v>63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</row>
    <row r="84" s="4" customFormat="1" ht="31" spans="1:248">
      <c r="A84" s="48" t="s">
        <v>69</v>
      </c>
      <c r="B84" s="49"/>
      <c r="C84" s="34" t="s">
        <v>70</v>
      </c>
      <c r="D84" s="35"/>
      <c r="E84" s="67" t="s">
        <v>17</v>
      </c>
      <c r="F84" s="68">
        <v>0</v>
      </c>
      <c r="G84" s="71">
        <v>150</v>
      </c>
      <c r="H84" s="71">
        <f t="shared" si="4"/>
        <v>0</v>
      </c>
      <c r="I84" s="80" t="s">
        <v>71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</row>
    <row r="85" s="4" customFormat="1" ht="31" customHeight="1" spans="1:248">
      <c r="A85" s="50"/>
      <c r="B85" s="51"/>
      <c r="C85" s="34" t="s">
        <v>72</v>
      </c>
      <c r="D85" s="35"/>
      <c r="E85" s="67" t="s">
        <v>17</v>
      </c>
      <c r="F85" s="71">
        <f>SUM(E80)</f>
        <v>20</v>
      </c>
      <c r="G85" s="71">
        <v>160</v>
      </c>
      <c r="H85" s="71">
        <f t="shared" si="4"/>
        <v>3200</v>
      </c>
      <c r="I85" s="80" t="s">
        <v>71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</row>
    <row r="86" s="4" customFormat="1" ht="31" customHeight="1" spans="1:248">
      <c r="A86" s="50"/>
      <c r="B86" s="51"/>
      <c r="C86" s="52" t="s">
        <v>73</v>
      </c>
      <c r="D86" s="53"/>
      <c r="E86" s="67" t="s">
        <v>17</v>
      </c>
      <c r="F86" s="68">
        <v>0</v>
      </c>
      <c r="G86" s="71">
        <v>170</v>
      </c>
      <c r="H86" s="71">
        <f t="shared" si="4"/>
        <v>0</v>
      </c>
      <c r="I86" s="80" t="s">
        <v>71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</row>
    <row r="87" s="4" customFormat="1" ht="31" spans="1:248">
      <c r="A87" s="50"/>
      <c r="B87" s="51"/>
      <c r="C87" s="52" t="s">
        <v>74</v>
      </c>
      <c r="D87" s="53"/>
      <c r="E87" s="67" t="s">
        <v>17</v>
      </c>
      <c r="F87" s="68">
        <v>0</v>
      </c>
      <c r="G87" s="71">
        <v>200</v>
      </c>
      <c r="H87" s="71">
        <f t="shared" ref="H87:H99" si="5">F87*G87</f>
        <v>0</v>
      </c>
      <c r="I87" s="80" t="s">
        <v>71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</row>
    <row r="88" s="4" customFormat="1" ht="46" spans="1:248">
      <c r="A88" s="50"/>
      <c r="B88" s="51"/>
      <c r="C88" s="52" t="s">
        <v>75</v>
      </c>
      <c r="D88" s="53"/>
      <c r="E88" s="67" t="s">
        <v>17</v>
      </c>
      <c r="F88" s="68">
        <v>0</v>
      </c>
      <c r="G88" s="71">
        <v>185</v>
      </c>
      <c r="H88" s="71">
        <f t="shared" si="5"/>
        <v>0</v>
      </c>
      <c r="I88" s="80" t="s">
        <v>76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</row>
    <row r="89" s="4" customFormat="1" ht="31" spans="1:248">
      <c r="A89" s="50"/>
      <c r="B89" s="51"/>
      <c r="C89" s="52" t="s">
        <v>77</v>
      </c>
      <c r="D89" s="53"/>
      <c r="E89" s="67" t="s">
        <v>17</v>
      </c>
      <c r="F89" s="68">
        <v>0</v>
      </c>
      <c r="G89" s="71">
        <v>195</v>
      </c>
      <c r="H89" s="71">
        <f t="shared" si="5"/>
        <v>0</v>
      </c>
      <c r="I89" s="80" t="s">
        <v>71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</row>
    <row r="90" s="4" customFormat="1" ht="31" spans="1:248">
      <c r="A90" s="50"/>
      <c r="B90" s="51"/>
      <c r="C90" s="52" t="s">
        <v>78</v>
      </c>
      <c r="D90" s="53"/>
      <c r="E90" s="67" t="s">
        <v>17</v>
      </c>
      <c r="F90" s="68">
        <v>0</v>
      </c>
      <c r="G90" s="71">
        <v>190</v>
      </c>
      <c r="H90" s="71">
        <f t="shared" si="5"/>
        <v>0</v>
      </c>
      <c r="I90" s="80" t="s">
        <v>71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</row>
    <row r="91" s="4" customFormat="1" ht="31" spans="1:248">
      <c r="A91" s="50"/>
      <c r="B91" s="51"/>
      <c r="C91" s="52" t="s">
        <v>79</v>
      </c>
      <c r="D91" s="53"/>
      <c r="E91" s="67" t="s">
        <v>17</v>
      </c>
      <c r="F91" s="68">
        <v>0</v>
      </c>
      <c r="G91" s="71">
        <v>200</v>
      </c>
      <c r="H91" s="71">
        <f t="shared" si="5"/>
        <v>0</v>
      </c>
      <c r="I91" s="79" t="s">
        <v>80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</row>
    <row r="92" s="4" customFormat="1" ht="31" spans="1:248">
      <c r="A92" s="50"/>
      <c r="B92" s="51"/>
      <c r="C92" s="52" t="s">
        <v>81</v>
      </c>
      <c r="D92" s="53"/>
      <c r="E92" s="67" t="s">
        <v>17</v>
      </c>
      <c r="F92" s="68">
        <v>0</v>
      </c>
      <c r="G92" s="71">
        <v>200</v>
      </c>
      <c r="H92" s="71">
        <f t="shared" si="5"/>
        <v>0</v>
      </c>
      <c r="I92" s="79" t="s">
        <v>80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</row>
    <row r="93" s="4" customFormat="1" ht="31" spans="1:248">
      <c r="A93" s="50"/>
      <c r="B93" s="51"/>
      <c r="C93" s="52" t="s">
        <v>82</v>
      </c>
      <c r="D93" s="53"/>
      <c r="E93" s="67" t="s">
        <v>17</v>
      </c>
      <c r="F93" s="68">
        <v>0</v>
      </c>
      <c r="G93" s="71">
        <v>200</v>
      </c>
      <c r="H93" s="71">
        <f t="shared" si="5"/>
        <v>0</v>
      </c>
      <c r="I93" s="79" t="s">
        <v>80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</row>
    <row r="94" s="4" customFormat="1" ht="31" spans="1:248">
      <c r="A94" s="50"/>
      <c r="B94" s="51"/>
      <c r="C94" s="52" t="s">
        <v>83</v>
      </c>
      <c r="D94" s="53"/>
      <c r="E94" s="67" t="s">
        <v>17</v>
      </c>
      <c r="F94" s="68">
        <v>0</v>
      </c>
      <c r="G94" s="71">
        <v>180</v>
      </c>
      <c r="H94" s="71">
        <f t="shared" si="5"/>
        <v>0</v>
      </c>
      <c r="I94" s="79" t="s">
        <v>80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</row>
    <row r="95" s="4" customFormat="1" ht="31" spans="1:248">
      <c r="A95" s="50"/>
      <c r="B95" s="51"/>
      <c r="C95" s="34" t="s">
        <v>84</v>
      </c>
      <c r="D95" s="35"/>
      <c r="E95" s="67" t="s">
        <v>17</v>
      </c>
      <c r="F95" s="68">
        <v>0</v>
      </c>
      <c r="G95" s="71">
        <v>160</v>
      </c>
      <c r="H95" s="71">
        <f t="shared" si="5"/>
        <v>0</v>
      </c>
      <c r="I95" s="79" t="s">
        <v>80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</row>
    <row r="96" s="4" customFormat="1" ht="31" spans="1:248">
      <c r="A96" s="50"/>
      <c r="B96" s="51"/>
      <c r="C96" s="52" t="s">
        <v>85</v>
      </c>
      <c r="D96" s="53"/>
      <c r="E96" s="67" t="s">
        <v>17</v>
      </c>
      <c r="F96" s="68">
        <v>0</v>
      </c>
      <c r="G96" s="71">
        <v>170</v>
      </c>
      <c r="H96" s="71">
        <f t="shared" si="5"/>
        <v>0</v>
      </c>
      <c r="I96" s="79" t="s">
        <v>80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</row>
    <row r="97" s="4" customFormat="1" ht="31" spans="1:248">
      <c r="A97" s="50"/>
      <c r="B97" s="51"/>
      <c r="C97" s="52" t="s">
        <v>86</v>
      </c>
      <c r="D97" s="53"/>
      <c r="E97" s="67" t="s">
        <v>17</v>
      </c>
      <c r="F97" s="68">
        <v>0</v>
      </c>
      <c r="G97" s="71">
        <v>180</v>
      </c>
      <c r="H97" s="71">
        <f t="shared" si="5"/>
        <v>0</v>
      </c>
      <c r="I97" s="79" t="s">
        <v>80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</row>
    <row r="98" s="4" customFormat="1" ht="31" spans="1:16383">
      <c r="A98" s="50"/>
      <c r="B98" s="51"/>
      <c r="C98" s="52" t="s">
        <v>87</v>
      </c>
      <c r="D98" s="53"/>
      <c r="E98" s="67" t="s">
        <v>17</v>
      </c>
      <c r="F98" s="68">
        <v>0</v>
      </c>
      <c r="G98" s="71">
        <v>220</v>
      </c>
      <c r="H98" s="71">
        <f t="shared" si="5"/>
        <v>0</v>
      </c>
      <c r="I98" s="79" t="s">
        <v>80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  <c r="BYJ98" s="17"/>
      <c r="BYK98" s="17"/>
      <c r="BYL98" s="17"/>
      <c r="BYM98" s="17"/>
      <c r="BYN98" s="17"/>
      <c r="BYO98" s="17"/>
      <c r="BYP98" s="17"/>
      <c r="BYQ98" s="17"/>
      <c r="BYR98" s="17"/>
      <c r="BYS98" s="17"/>
      <c r="BYT98" s="17"/>
      <c r="BYU98" s="17"/>
      <c r="BYV98" s="17"/>
      <c r="BYW98" s="17"/>
      <c r="BYX98" s="17"/>
      <c r="BYY98" s="17"/>
      <c r="BYZ98" s="17"/>
      <c r="BZA98" s="17"/>
      <c r="BZB98" s="17"/>
      <c r="BZC98" s="17"/>
      <c r="BZD98" s="17"/>
      <c r="BZE98" s="17"/>
      <c r="BZF98" s="17"/>
      <c r="BZG98" s="17"/>
      <c r="BZH98" s="17"/>
      <c r="BZI98" s="17"/>
      <c r="BZJ98" s="17"/>
      <c r="BZK98" s="17"/>
      <c r="BZL98" s="17"/>
      <c r="BZM98" s="17"/>
      <c r="BZN98" s="17"/>
      <c r="BZO98" s="17"/>
      <c r="BZP98" s="17"/>
      <c r="BZQ98" s="17"/>
      <c r="BZR98" s="17"/>
      <c r="BZS98" s="17"/>
      <c r="BZT98" s="17"/>
      <c r="BZU98" s="17"/>
      <c r="BZV98" s="17"/>
      <c r="BZW98" s="17"/>
      <c r="BZX98" s="17"/>
      <c r="BZY98" s="17"/>
      <c r="BZZ98" s="17"/>
      <c r="CAA98" s="17"/>
      <c r="CAB98" s="17"/>
      <c r="CAC98" s="17"/>
      <c r="CAD98" s="17"/>
      <c r="CAE98" s="17"/>
      <c r="CAF98" s="17"/>
      <c r="CAG98" s="17"/>
      <c r="CAH98" s="17"/>
      <c r="CAI98" s="17"/>
      <c r="CAJ98" s="17"/>
      <c r="CAK98" s="17"/>
      <c r="CAL98" s="17"/>
      <c r="CAM98" s="17"/>
      <c r="CAN98" s="17"/>
      <c r="CAO98" s="17"/>
      <c r="CAP98" s="17"/>
      <c r="CAQ98" s="17"/>
      <c r="CAR98" s="17"/>
      <c r="CAS98" s="17"/>
      <c r="CAT98" s="17"/>
      <c r="CAU98" s="17"/>
      <c r="CAV98" s="17"/>
      <c r="CAW98" s="17"/>
      <c r="CAX98" s="17"/>
      <c r="CAY98" s="17"/>
      <c r="CAZ98" s="17"/>
      <c r="CBA98" s="17"/>
      <c r="CBB98" s="17"/>
      <c r="CBC98" s="17"/>
      <c r="CBD98" s="17"/>
      <c r="CBE98" s="17"/>
      <c r="CBF98" s="17"/>
      <c r="CBG98" s="17"/>
      <c r="CBH98" s="17"/>
      <c r="CBI98" s="17"/>
      <c r="CBJ98" s="17"/>
      <c r="CBK98" s="17"/>
      <c r="CBL98" s="17"/>
      <c r="CBM98" s="17"/>
      <c r="CBN98" s="17"/>
      <c r="CBO98" s="17"/>
      <c r="CBP98" s="17"/>
      <c r="CBQ98" s="17"/>
      <c r="CBR98" s="17"/>
      <c r="CBS98" s="17"/>
      <c r="CBT98" s="17"/>
      <c r="CBU98" s="17"/>
      <c r="CBV98" s="17"/>
      <c r="CBW98" s="17"/>
      <c r="CBX98" s="17"/>
      <c r="CBY98" s="17"/>
      <c r="CBZ98" s="17"/>
      <c r="CCA98" s="17"/>
      <c r="CCB98" s="17"/>
      <c r="CCC98" s="17"/>
      <c r="CCD98" s="17"/>
      <c r="CCE98" s="17"/>
      <c r="CCF98" s="17"/>
      <c r="CCG98" s="17"/>
      <c r="CCH98" s="17"/>
      <c r="CCI98" s="17"/>
      <c r="CCJ98" s="17"/>
      <c r="CCK98" s="17"/>
      <c r="CCL98" s="17"/>
      <c r="CCM98" s="17"/>
      <c r="CCN98" s="17"/>
      <c r="CCO98" s="17"/>
      <c r="CCP98" s="17"/>
      <c r="CCQ98" s="17"/>
      <c r="CCR98" s="17"/>
      <c r="CCS98" s="17"/>
      <c r="CCT98" s="17"/>
      <c r="CCU98" s="17"/>
      <c r="CCV98" s="17"/>
      <c r="CCW98" s="17"/>
      <c r="CCX98" s="17"/>
      <c r="CCY98" s="17"/>
      <c r="CCZ98" s="17"/>
      <c r="CDA98" s="17"/>
      <c r="CDB98" s="17"/>
      <c r="CDC98" s="17"/>
      <c r="CDD98" s="17"/>
      <c r="CDE98" s="17"/>
      <c r="CDF98" s="17"/>
      <c r="CDG98" s="17"/>
      <c r="CDH98" s="17"/>
      <c r="CDI98" s="17"/>
      <c r="CDJ98" s="17"/>
      <c r="CDK98" s="17"/>
      <c r="CDL98" s="17"/>
      <c r="CDM98" s="17"/>
      <c r="CDN98" s="17"/>
      <c r="CDO98" s="17"/>
      <c r="CDP98" s="17"/>
      <c r="CDQ98" s="17"/>
      <c r="CDR98" s="17"/>
      <c r="CDS98" s="17"/>
      <c r="CDT98" s="17"/>
      <c r="CDU98" s="17"/>
      <c r="CDV98" s="17"/>
      <c r="CDW98" s="17"/>
      <c r="CDX98" s="17"/>
      <c r="CDY98" s="17"/>
      <c r="CDZ98" s="17"/>
      <c r="CEA98" s="17"/>
      <c r="CEB98" s="17"/>
      <c r="CEC98" s="17"/>
      <c r="CED98" s="17"/>
      <c r="CEE98" s="17"/>
      <c r="CEF98" s="17"/>
      <c r="CEG98" s="17"/>
      <c r="CEH98" s="17"/>
      <c r="CEI98" s="17"/>
      <c r="CEJ98" s="17"/>
      <c r="CEK98" s="17"/>
      <c r="CEL98" s="17"/>
      <c r="CEM98" s="17"/>
      <c r="CEN98" s="17"/>
      <c r="CEO98" s="17"/>
      <c r="CEP98" s="17"/>
      <c r="CEQ98" s="17"/>
      <c r="CER98" s="17"/>
      <c r="CES98" s="17"/>
      <c r="CET98" s="17"/>
      <c r="CEU98" s="17"/>
      <c r="CEV98" s="17"/>
      <c r="CEW98" s="17"/>
      <c r="CEX98" s="17"/>
      <c r="CEY98" s="17"/>
      <c r="CEZ98" s="17"/>
      <c r="CFA98" s="17"/>
      <c r="CFB98" s="17"/>
      <c r="CFC98" s="17"/>
      <c r="CFD98" s="17"/>
      <c r="CFE98" s="17"/>
      <c r="CFF98" s="17"/>
      <c r="CFG98" s="17"/>
      <c r="CFH98" s="17"/>
      <c r="CFI98" s="17"/>
      <c r="CFJ98" s="17"/>
      <c r="CFK98" s="17"/>
      <c r="CFL98" s="17"/>
      <c r="CFM98" s="17"/>
      <c r="CFN98" s="17"/>
      <c r="CFO98" s="17"/>
      <c r="CFP98" s="17"/>
      <c r="CFQ98" s="17"/>
      <c r="CFR98" s="17"/>
      <c r="CFS98" s="17"/>
      <c r="CFT98" s="17"/>
      <c r="CFU98" s="17"/>
      <c r="CFV98" s="17"/>
      <c r="CFW98" s="17"/>
      <c r="CFX98" s="17"/>
      <c r="CFY98" s="17"/>
      <c r="CFZ98" s="17"/>
      <c r="CGA98" s="17"/>
      <c r="CGB98" s="17"/>
      <c r="CGC98" s="17"/>
      <c r="CGD98" s="17"/>
      <c r="CGE98" s="17"/>
      <c r="CGF98" s="17"/>
      <c r="CGG98" s="17"/>
      <c r="CGH98" s="17"/>
      <c r="CGI98" s="17"/>
      <c r="CGJ98" s="17"/>
      <c r="CGK98" s="17"/>
      <c r="CGL98" s="17"/>
      <c r="CGM98" s="17"/>
      <c r="CGN98" s="17"/>
      <c r="CGO98" s="17"/>
      <c r="CGP98" s="17"/>
      <c r="CGQ98" s="17"/>
      <c r="CGR98" s="17"/>
      <c r="CGS98" s="17"/>
      <c r="CGT98" s="17"/>
      <c r="CGU98" s="17"/>
      <c r="CGV98" s="17"/>
      <c r="CGW98" s="17"/>
      <c r="CGX98" s="17"/>
      <c r="CGY98" s="17"/>
      <c r="CGZ98" s="17"/>
      <c r="CHA98" s="17"/>
      <c r="CHB98" s="17"/>
      <c r="CHC98" s="17"/>
      <c r="CHD98" s="17"/>
      <c r="CHE98" s="17"/>
      <c r="CHF98" s="17"/>
      <c r="CHG98" s="17"/>
      <c r="CHH98" s="17"/>
      <c r="CHI98" s="17"/>
      <c r="CHJ98" s="17"/>
      <c r="CHK98" s="17"/>
      <c r="CHL98" s="17"/>
      <c r="CHM98" s="17"/>
      <c r="CHN98" s="17"/>
      <c r="CHO98" s="17"/>
      <c r="CHP98" s="17"/>
      <c r="CHQ98" s="17"/>
      <c r="CHR98" s="17"/>
      <c r="CHS98" s="17"/>
      <c r="CHT98" s="17"/>
      <c r="CHU98" s="17"/>
      <c r="CHV98" s="17"/>
      <c r="CHW98" s="17"/>
      <c r="CHX98" s="17"/>
      <c r="CHY98" s="17"/>
      <c r="CHZ98" s="17"/>
      <c r="CIA98" s="17"/>
      <c r="CIB98" s="17"/>
      <c r="CIC98" s="17"/>
      <c r="CID98" s="17"/>
      <c r="CIE98" s="17"/>
      <c r="CIF98" s="17"/>
      <c r="CIG98" s="17"/>
      <c r="CIH98" s="17"/>
      <c r="CII98" s="17"/>
      <c r="CIJ98" s="17"/>
      <c r="CIK98" s="17"/>
      <c r="CIL98" s="17"/>
      <c r="CIM98" s="17"/>
      <c r="CIN98" s="17"/>
      <c r="CIO98" s="17"/>
      <c r="CIP98" s="17"/>
      <c r="CIQ98" s="17"/>
      <c r="CIR98" s="17"/>
      <c r="CIS98" s="17"/>
      <c r="CIT98" s="17"/>
      <c r="CIU98" s="17"/>
      <c r="CIV98" s="17"/>
      <c r="CIW98" s="17"/>
      <c r="CIX98" s="17"/>
      <c r="CIY98" s="17"/>
      <c r="CIZ98" s="17"/>
      <c r="CJA98" s="17"/>
      <c r="CJB98" s="17"/>
      <c r="CJC98" s="17"/>
      <c r="CJD98" s="17"/>
      <c r="CJE98" s="17"/>
      <c r="CJF98" s="17"/>
      <c r="CJG98" s="17"/>
      <c r="CJH98" s="17"/>
      <c r="CJI98" s="17"/>
      <c r="CJJ98" s="17"/>
      <c r="CJK98" s="17"/>
      <c r="CJL98" s="17"/>
      <c r="CJM98" s="17"/>
      <c r="CJN98" s="17"/>
      <c r="CJO98" s="17"/>
      <c r="CJP98" s="17"/>
      <c r="CJQ98" s="17"/>
      <c r="CJR98" s="17"/>
      <c r="CJS98" s="17"/>
      <c r="CJT98" s="17"/>
      <c r="CJU98" s="17"/>
      <c r="CJV98" s="17"/>
      <c r="CJW98" s="17"/>
      <c r="CJX98" s="17"/>
      <c r="CJY98" s="17"/>
      <c r="CJZ98" s="17"/>
      <c r="CKA98" s="17"/>
      <c r="CKB98" s="17"/>
      <c r="CKC98" s="17"/>
      <c r="CKD98" s="17"/>
      <c r="CKE98" s="17"/>
      <c r="CKF98" s="17"/>
      <c r="CKG98" s="17"/>
      <c r="CKH98" s="17"/>
      <c r="CKI98" s="17"/>
      <c r="CKJ98" s="17"/>
      <c r="CKK98" s="17"/>
      <c r="CKL98" s="17"/>
      <c r="CKM98" s="17"/>
      <c r="CKN98" s="17"/>
      <c r="CKO98" s="17"/>
      <c r="CKP98" s="17"/>
      <c r="CKQ98" s="17"/>
      <c r="CKR98" s="17"/>
      <c r="CKS98" s="17"/>
      <c r="CKT98" s="17"/>
      <c r="CKU98" s="17"/>
      <c r="CKV98" s="17"/>
      <c r="CKW98" s="17"/>
      <c r="CKX98" s="17"/>
      <c r="CKY98" s="17"/>
      <c r="CKZ98" s="17"/>
      <c r="CLA98" s="17"/>
      <c r="CLB98" s="17"/>
      <c r="CLC98" s="17"/>
      <c r="CLD98" s="17"/>
      <c r="CLE98" s="17"/>
      <c r="CLF98" s="17"/>
      <c r="CLG98" s="17"/>
      <c r="CLH98" s="17"/>
      <c r="CLI98" s="17"/>
      <c r="CLJ98" s="17"/>
      <c r="CLK98" s="17"/>
      <c r="CLL98" s="17"/>
      <c r="CLM98" s="17"/>
      <c r="CLN98" s="17"/>
      <c r="CLO98" s="17"/>
      <c r="CLP98" s="17"/>
      <c r="CLQ98" s="17"/>
      <c r="CLR98" s="17"/>
      <c r="CLS98" s="17"/>
      <c r="CLT98" s="17"/>
      <c r="CLU98" s="17"/>
      <c r="CLV98" s="17"/>
      <c r="CLW98" s="17"/>
      <c r="CLX98" s="17"/>
      <c r="CLY98" s="17"/>
      <c r="CLZ98" s="17"/>
      <c r="CMA98" s="17"/>
      <c r="CMB98" s="17"/>
      <c r="CMC98" s="17"/>
      <c r="CMD98" s="17"/>
      <c r="CME98" s="17"/>
      <c r="CMF98" s="17"/>
      <c r="CMG98" s="17"/>
      <c r="CMH98" s="17"/>
      <c r="CMI98" s="17"/>
      <c r="CMJ98" s="17"/>
      <c r="CMK98" s="17"/>
      <c r="CML98" s="17"/>
      <c r="CMM98" s="17"/>
      <c r="CMN98" s="17"/>
      <c r="CMO98" s="17"/>
      <c r="CMP98" s="17"/>
      <c r="CMQ98" s="17"/>
      <c r="CMR98" s="17"/>
      <c r="CMS98" s="17"/>
      <c r="CMT98" s="17"/>
      <c r="CMU98" s="17"/>
      <c r="CMV98" s="17"/>
      <c r="CMW98" s="17"/>
      <c r="CMX98" s="17"/>
      <c r="CMY98" s="17"/>
      <c r="CMZ98" s="17"/>
      <c r="CNA98" s="17"/>
      <c r="CNB98" s="17"/>
      <c r="CNC98" s="17"/>
      <c r="CND98" s="17"/>
      <c r="CNE98" s="17"/>
      <c r="CNF98" s="17"/>
      <c r="CNG98" s="17"/>
      <c r="CNH98" s="17"/>
      <c r="CNI98" s="17"/>
      <c r="CNJ98" s="17"/>
      <c r="CNK98" s="17"/>
      <c r="CNL98" s="17"/>
      <c r="CNM98" s="17"/>
      <c r="CNN98" s="17"/>
      <c r="CNO98" s="17"/>
      <c r="CNP98" s="17"/>
      <c r="CNQ98" s="17"/>
      <c r="CNR98" s="17"/>
      <c r="CNS98" s="17"/>
      <c r="CNT98" s="17"/>
      <c r="CNU98" s="17"/>
      <c r="CNV98" s="17"/>
      <c r="CNW98" s="17"/>
      <c r="CNX98" s="17"/>
      <c r="CNY98" s="17"/>
      <c r="CNZ98" s="17"/>
      <c r="COA98" s="17"/>
      <c r="COB98" s="17"/>
      <c r="COC98" s="17"/>
      <c r="COD98" s="17"/>
      <c r="COE98" s="17"/>
      <c r="COF98" s="17"/>
      <c r="COG98" s="17"/>
      <c r="COH98" s="17"/>
      <c r="COI98" s="17"/>
      <c r="COJ98" s="17"/>
      <c r="COK98" s="17"/>
      <c r="COL98" s="17"/>
      <c r="COM98" s="17"/>
      <c r="CON98" s="17"/>
      <c r="COO98" s="17"/>
      <c r="COP98" s="17"/>
      <c r="COQ98" s="17"/>
      <c r="COR98" s="17"/>
      <c r="COS98" s="17"/>
      <c r="COT98" s="17"/>
      <c r="COU98" s="17"/>
      <c r="COV98" s="17"/>
      <c r="COW98" s="17"/>
      <c r="COX98" s="17"/>
      <c r="COY98" s="17"/>
      <c r="COZ98" s="17"/>
      <c r="CPA98" s="17"/>
      <c r="CPB98" s="17"/>
      <c r="CPC98" s="17"/>
      <c r="CPD98" s="17"/>
      <c r="CPE98" s="17"/>
      <c r="CPF98" s="17"/>
      <c r="CPG98" s="17"/>
      <c r="CPH98" s="17"/>
      <c r="CPI98" s="17"/>
      <c r="CPJ98" s="17"/>
      <c r="CPK98" s="17"/>
      <c r="CPL98" s="17"/>
      <c r="CPM98" s="17"/>
      <c r="CPN98" s="17"/>
      <c r="CPO98" s="17"/>
      <c r="CPP98" s="17"/>
      <c r="CPQ98" s="17"/>
      <c r="CPR98" s="17"/>
      <c r="CPS98" s="17"/>
      <c r="CPT98" s="17"/>
      <c r="CPU98" s="17"/>
      <c r="CPV98" s="17"/>
      <c r="CPW98" s="17"/>
      <c r="CPX98" s="17"/>
      <c r="CPY98" s="17"/>
      <c r="CPZ98" s="17"/>
      <c r="CQA98" s="17"/>
      <c r="CQB98" s="17"/>
      <c r="CQC98" s="17"/>
      <c r="CQD98" s="17"/>
      <c r="CQE98" s="17"/>
      <c r="CQF98" s="17"/>
      <c r="CQG98" s="17"/>
      <c r="CQH98" s="17"/>
      <c r="CQI98" s="17"/>
      <c r="CQJ98" s="17"/>
      <c r="CQK98" s="17"/>
      <c r="CQL98" s="17"/>
      <c r="CQM98" s="17"/>
      <c r="CQN98" s="17"/>
      <c r="CQO98" s="17"/>
      <c r="CQP98" s="17"/>
      <c r="CQQ98" s="17"/>
      <c r="CQR98" s="17"/>
      <c r="CQS98" s="17"/>
      <c r="CQT98" s="17"/>
      <c r="CQU98" s="17"/>
      <c r="CQV98" s="17"/>
      <c r="CQW98" s="17"/>
      <c r="CQX98" s="17"/>
      <c r="CQY98" s="17"/>
      <c r="CQZ98" s="17"/>
      <c r="CRA98" s="17"/>
      <c r="CRB98" s="17"/>
      <c r="CRC98" s="17"/>
      <c r="CRD98" s="17"/>
      <c r="CRE98" s="17"/>
      <c r="CRF98" s="17"/>
      <c r="CRG98" s="17"/>
      <c r="CRH98" s="17"/>
      <c r="CRI98" s="17"/>
      <c r="CRJ98" s="17"/>
      <c r="CRK98" s="17"/>
      <c r="CRL98" s="17"/>
      <c r="CRM98" s="17"/>
      <c r="CRN98" s="17"/>
      <c r="CRO98" s="17"/>
      <c r="CRP98" s="17"/>
      <c r="CRQ98" s="17"/>
      <c r="CRR98" s="17"/>
      <c r="CRS98" s="17"/>
      <c r="CRT98" s="17"/>
      <c r="CRU98" s="17"/>
      <c r="CRV98" s="17"/>
      <c r="CRW98" s="17"/>
      <c r="CRX98" s="17"/>
      <c r="CRY98" s="17"/>
      <c r="CRZ98" s="17"/>
      <c r="CSA98" s="17"/>
      <c r="CSB98" s="17"/>
      <c r="CSC98" s="17"/>
      <c r="CSD98" s="17"/>
      <c r="CSE98" s="17"/>
      <c r="CSF98" s="17"/>
      <c r="CSG98" s="17"/>
      <c r="CSH98" s="17"/>
      <c r="CSI98" s="17"/>
      <c r="CSJ98" s="17"/>
      <c r="CSK98" s="17"/>
      <c r="CSL98" s="17"/>
      <c r="CSM98" s="17"/>
      <c r="CSN98" s="17"/>
      <c r="CSO98" s="17"/>
      <c r="CSP98" s="17"/>
      <c r="CSQ98" s="17"/>
      <c r="CSR98" s="17"/>
      <c r="CSS98" s="17"/>
      <c r="CST98" s="17"/>
      <c r="CSU98" s="17"/>
      <c r="CSV98" s="17"/>
      <c r="CSW98" s="17"/>
      <c r="CSX98" s="17"/>
      <c r="CSY98" s="17"/>
      <c r="CSZ98" s="17"/>
      <c r="CTA98" s="17"/>
      <c r="CTB98" s="17"/>
      <c r="CTC98" s="17"/>
      <c r="CTD98" s="17"/>
      <c r="CTE98" s="17"/>
      <c r="CTF98" s="17"/>
      <c r="CTG98" s="17"/>
      <c r="CTH98" s="17"/>
      <c r="CTI98" s="17"/>
      <c r="CTJ98" s="17"/>
      <c r="CTK98" s="17"/>
      <c r="CTL98" s="17"/>
      <c r="CTM98" s="17"/>
      <c r="CTN98" s="17"/>
      <c r="CTO98" s="17"/>
      <c r="CTP98" s="17"/>
      <c r="CTQ98" s="17"/>
      <c r="CTR98" s="17"/>
      <c r="CTS98" s="17"/>
      <c r="CTT98" s="17"/>
      <c r="CTU98" s="17"/>
      <c r="CTV98" s="17"/>
      <c r="CTW98" s="17"/>
      <c r="CTX98" s="17"/>
      <c r="CTY98" s="17"/>
      <c r="CTZ98" s="17"/>
      <c r="CUA98" s="17"/>
      <c r="CUB98" s="17"/>
      <c r="CUC98" s="17"/>
      <c r="CUD98" s="17"/>
      <c r="CUE98" s="17"/>
      <c r="CUF98" s="17"/>
      <c r="CUG98" s="17"/>
      <c r="CUH98" s="17"/>
      <c r="CUI98" s="17"/>
      <c r="CUJ98" s="17"/>
      <c r="CUK98" s="17"/>
      <c r="CUL98" s="17"/>
      <c r="CUM98" s="17"/>
      <c r="CUN98" s="17"/>
      <c r="CUO98" s="17"/>
      <c r="CUP98" s="17"/>
      <c r="CUQ98" s="17"/>
      <c r="CUR98" s="17"/>
      <c r="CUS98" s="17"/>
      <c r="CUT98" s="17"/>
      <c r="CUU98" s="17"/>
      <c r="CUV98" s="17"/>
      <c r="CUW98" s="17"/>
      <c r="CUX98" s="17"/>
      <c r="CUY98" s="17"/>
      <c r="CUZ98" s="17"/>
      <c r="CVA98" s="17"/>
      <c r="CVB98" s="17"/>
      <c r="CVC98" s="17"/>
      <c r="CVD98" s="17"/>
      <c r="CVE98" s="17"/>
      <c r="CVF98" s="17"/>
      <c r="CVG98" s="17"/>
      <c r="CVH98" s="17"/>
      <c r="CVI98" s="17"/>
      <c r="CVJ98" s="17"/>
      <c r="CVK98" s="17"/>
      <c r="CVL98" s="17"/>
      <c r="CVM98" s="17"/>
      <c r="CVN98" s="17"/>
      <c r="CVO98" s="17"/>
      <c r="CVP98" s="17"/>
      <c r="CVQ98" s="17"/>
      <c r="CVR98" s="17"/>
      <c r="CVS98" s="17"/>
      <c r="CVT98" s="17"/>
      <c r="CVU98" s="17"/>
      <c r="CVV98" s="17"/>
      <c r="CVW98" s="17"/>
      <c r="CVX98" s="17"/>
      <c r="CVY98" s="17"/>
      <c r="CVZ98" s="17"/>
      <c r="CWA98" s="17"/>
      <c r="CWB98" s="17"/>
      <c r="CWC98" s="17"/>
      <c r="CWD98" s="17"/>
      <c r="CWE98" s="17"/>
      <c r="CWF98" s="17"/>
      <c r="CWG98" s="17"/>
      <c r="CWH98" s="17"/>
      <c r="CWI98" s="17"/>
      <c r="CWJ98" s="17"/>
      <c r="CWK98" s="17"/>
      <c r="CWL98" s="17"/>
      <c r="CWM98" s="17"/>
      <c r="CWN98" s="17"/>
      <c r="CWO98" s="17"/>
      <c r="CWP98" s="17"/>
      <c r="CWQ98" s="17"/>
      <c r="CWR98" s="17"/>
      <c r="CWS98" s="17"/>
      <c r="CWT98" s="17"/>
      <c r="CWU98" s="17"/>
      <c r="CWV98" s="17"/>
      <c r="CWW98" s="17"/>
      <c r="CWX98" s="17"/>
      <c r="CWY98" s="17"/>
      <c r="CWZ98" s="17"/>
      <c r="CXA98" s="17"/>
      <c r="CXB98" s="17"/>
      <c r="CXC98" s="17"/>
      <c r="CXD98" s="17"/>
      <c r="CXE98" s="17"/>
      <c r="CXF98" s="17"/>
      <c r="CXG98" s="17"/>
      <c r="CXH98" s="17"/>
      <c r="CXI98" s="17"/>
      <c r="CXJ98" s="17"/>
      <c r="CXK98" s="17"/>
      <c r="CXL98" s="17"/>
      <c r="CXM98" s="17"/>
      <c r="CXN98" s="17"/>
      <c r="CXO98" s="17"/>
      <c r="CXP98" s="17"/>
      <c r="CXQ98" s="17"/>
      <c r="CXR98" s="17"/>
      <c r="CXS98" s="17"/>
      <c r="CXT98" s="17"/>
      <c r="CXU98" s="17"/>
      <c r="CXV98" s="17"/>
      <c r="CXW98" s="17"/>
      <c r="CXX98" s="17"/>
      <c r="CXY98" s="17"/>
      <c r="CXZ98" s="17"/>
      <c r="CYA98" s="17"/>
      <c r="CYB98" s="17"/>
      <c r="CYC98" s="17"/>
      <c r="CYD98" s="17"/>
      <c r="CYE98" s="17"/>
      <c r="CYF98" s="17"/>
      <c r="CYG98" s="17"/>
      <c r="CYH98" s="17"/>
      <c r="CYI98" s="17"/>
      <c r="CYJ98" s="17"/>
      <c r="CYK98" s="17"/>
      <c r="CYL98" s="17"/>
      <c r="CYM98" s="17"/>
      <c r="CYN98" s="17"/>
      <c r="CYO98" s="17"/>
      <c r="CYP98" s="17"/>
      <c r="CYQ98" s="17"/>
      <c r="CYR98" s="17"/>
      <c r="CYS98" s="17"/>
      <c r="CYT98" s="17"/>
      <c r="CYU98" s="17"/>
      <c r="CYV98" s="17"/>
      <c r="CYW98" s="17"/>
      <c r="CYX98" s="17"/>
      <c r="CYY98" s="17"/>
      <c r="CYZ98" s="17"/>
      <c r="CZA98" s="17"/>
      <c r="CZB98" s="17"/>
      <c r="CZC98" s="17"/>
      <c r="CZD98" s="17"/>
      <c r="CZE98" s="17"/>
      <c r="CZF98" s="17"/>
      <c r="CZG98" s="17"/>
      <c r="CZH98" s="17"/>
      <c r="CZI98" s="17"/>
      <c r="CZJ98" s="17"/>
      <c r="CZK98" s="17"/>
      <c r="CZL98" s="17"/>
      <c r="CZM98" s="17"/>
      <c r="CZN98" s="17"/>
      <c r="CZO98" s="17"/>
      <c r="CZP98" s="17"/>
      <c r="CZQ98" s="17"/>
      <c r="CZR98" s="17"/>
      <c r="CZS98" s="17"/>
      <c r="CZT98" s="17"/>
      <c r="CZU98" s="17"/>
      <c r="CZV98" s="17"/>
      <c r="CZW98" s="17"/>
      <c r="CZX98" s="17"/>
      <c r="CZY98" s="17"/>
      <c r="CZZ98" s="17"/>
      <c r="DAA98" s="17"/>
      <c r="DAB98" s="17"/>
      <c r="DAC98" s="17"/>
      <c r="DAD98" s="17"/>
      <c r="DAE98" s="17"/>
      <c r="DAF98" s="17"/>
      <c r="DAG98" s="17"/>
      <c r="DAH98" s="17"/>
      <c r="DAI98" s="17"/>
      <c r="DAJ98" s="17"/>
      <c r="DAK98" s="17"/>
      <c r="DAL98" s="17"/>
      <c r="DAM98" s="17"/>
      <c r="DAN98" s="17"/>
      <c r="DAO98" s="17"/>
      <c r="DAP98" s="17"/>
      <c r="DAQ98" s="17"/>
      <c r="DAR98" s="17"/>
      <c r="DAS98" s="17"/>
      <c r="DAT98" s="17"/>
      <c r="DAU98" s="17"/>
      <c r="DAV98" s="17"/>
      <c r="DAW98" s="17"/>
      <c r="DAX98" s="17"/>
      <c r="DAY98" s="17"/>
      <c r="DAZ98" s="17"/>
      <c r="DBA98" s="17"/>
      <c r="DBB98" s="17"/>
      <c r="DBC98" s="17"/>
      <c r="DBD98" s="17"/>
      <c r="DBE98" s="17"/>
      <c r="DBF98" s="17"/>
      <c r="DBG98" s="17"/>
      <c r="DBH98" s="17"/>
      <c r="DBI98" s="17"/>
      <c r="DBJ98" s="17"/>
      <c r="DBK98" s="17"/>
      <c r="DBL98" s="17"/>
      <c r="DBM98" s="17"/>
      <c r="DBN98" s="17"/>
      <c r="DBO98" s="17"/>
      <c r="DBP98" s="17"/>
      <c r="DBQ98" s="17"/>
      <c r="DBR98" s="17"/>
      <c r="DBS98" s="17"/>
      <c r="DBT98" s="17"/>
      <c r="DBU98" s="17"/>
      <c r="DBV98" s="17"/>
      <c r="DBW98" s="17"/>
      <c r="DBX98" s="17"/>
      <c r="DBY98" s="17"/>
      <c r="DBZ98" s="17"/>
      <c r="DCA98" s="17"/>
      <c r="DCB98" s="17"/>
      <c r="DCC98" s="17"/>
      <c r="DCD98" s="17"/>
      <c r="DCE98" s="17"/>
      <c r="DCF98" s="17"/>
      <c r="DCG98" s="17"/>
      <c r="DCH98" s="17"/>
      <c r="DCI98" s="17"/>
      <c r="DCJ98" s="17"/>
      <c r="DCK98" s="17"/>
      <c r="DCL98" s="17"/>
      <c r="DCM98" s="17"/>
      <c r="DCN98" s="17"/>
      <c r="DCO98" s="17"/>
      <c r="DCP98" s="17"/>
      <c r="DCQ98" s="17"/>
      <c r="DCR98" s="17"/>
      <c r="DCS98" s="17"/>
      <c r="DCT98" s="17"/>
      <c r="DCU98" s="17"/>
      <c r="DCV98" s="17"/>
      <c r="DCW98" s="17"/>
      <c r="DCX98" s="17"/>
      <c r="DCY98" s="17"/>
      <c r="DCZ98" s="17"/>
      <c r="DDA98" s="17"/>
      <c r="DDB98" s="17"/>
      <c r="DDC98" s="17"/>
      <c r="DDD98" s="17"/>
      <c r="DDE98" s="17"/>
      <c r="DDF98" s="17"/>
      <c r="DDG98" s="17"/>
      <c r="DDH98" s="17"/>
      <c r="DDI98" s="17"/>
      <c r="DDJ98" s="17"/>
      <c r="DDK98" s="17"/>
      <c r="DDL98" s="17"/>
      <c r="DDM98" s="17"/>
      <c r="DDN98" s="17"/>
      <c r="DDO98" s="17"/>
      <c r="DDP98" s="17"/>
      <c r="DDQ98" s="17"/>
      <c r="DDR98" s="17"/>
      <c r="DDS98" s="17"/>
      <c r="DDT98" s="17"/>
      <c r="DDU98" s="17"/>
      <c r="DDV98" s="17"/>
      <c r="DDW98" s="17"/>
      <c r="DDX98" s="17"/>
      <c r="DDY98" s="17"/>
      <c r="DDZ98" s="17"/>
      <c r="DEA98" s="17"/>
      <c r="DEB98" s="17"/>
      <c r="DEC98" s="17"/>
      <c r="DED98" s="17"/>
      <c r="DEE98" s="17"/>
      <c r="DEF98" s="17"/>
      <c r="DEG98" s="17"/>
      <c r="DEH98" s="17"/>
      <c r="DEI98" s="17"/>
      <c r="DEJ98" s="17"/>
      <c r="DEK98" s="17"/>
      <c r="DEL98" s="17"/>
      <c r="DEM98" s="17"/>
      <c r="DEN98" s="17"/>
      <c r="DEO98" s="17"/>
      <c r="DEP98" s="17"/>
      <c r="DEQ98" s="17"/>
      <c r="DER98" s="17"/>
      <c r="DES98" s="17"/>
      <c r="DET98" s="17"/>
      <c r="DEU98" s="17"/>
      <c r="DEV98" s="17"/>
      <c r="DEW98" s="17"/>
      <c r="DEX98" s="17"/>
      <c r="DEY98" s="17"/>
      <c r="DEZ98" s="17"/>
      <c r="DFA98" s="17"/>
      <c r="DFB98" s="17"/>
      <c r="DFC98" s="17"/>
      <c r="DFD98" s="17"/>
      <c r="DFE98" s="17"/>
      <c r="DFF98" s="17"/>
      <c r="DFG98" s="17"/>
      <c r="DFH98" s="17"/>
      <c r="DFI98" s="17"/>
      <c r="DFJ98" s="17"/>
      <c r="DFK98" s="17"/>
      <c r="DFL98" s="17"/>
      <c r="DFM98" s="17"/>
      <c r="DFN98" s="17"/>
      <c r="DFO98" s="17"/>
      <c r="DFP98" s="17"/>
      <c r="DFQ98" s="17"/>
      <c r="DFR98" s="17"/>
      <c r="DFS98" s="17"/>
      <c r="DFT98" s="17"/>
      <c r="DFU98" s="17"/>
      <c r="DFV98" s="17"/>
      <c r="DFW98" s="17"/>
      <c r="DFX98" s="17"/>
      <c r="DFY98" s="17"/>
      <c r="DFZ98" s="17"/>
      <c r="DGA98" s="17"/>
      <c r="DGB98" s="17"/>
      <c r="DGC98" s="17"/>
      <c r="DGD98" s="17"/>
      <c r="DGE98" s="17"/>
      <c r="DGF98" s="17"/>
      <c r="DGG98" s="17"/>
      <c r="DGH98" s="17"/>
      <c r="DGI98" s="17"/>
      <c r="DGJ98" s="17"/>
      <c r="DGK98" s="17"/>
      <c r="DGL98" s="17"/>
      <c r="DGM98" s="17"/>
      <c r="DGN98" s="17"/>
      <c r="DGO98" s="17"/>
      <c r="DGP98" s="17"/>
      <c r="DGQ98" s="17"/>
      <c r="DGR98" s="17"/>
      <c r="DGS98" s="17"/>
      <c r="DGT98" s="17"/>
      <c r="DGU98" s="17"/>
      <c r="DGV98" s="17"/>
      <c r="DGW98" s="17"/>
      <c r="DGX98" s="17"/>
      <c r="DGY98" s="17"/>
      <c r="DGZ98" s="17"/>
      <c r="DHA98" s="17"/>
      <c r="DHB98" s="17"/>
      <c r="DHC98" s="17"/>
      <c r="DHD98" s="17"/>
      <c r="DHE98" s="17"/>
      <c r="DHF98" s="17"/>
      <c r="DHG98" s="17"/>
      <c r="DHH98" s="17"/>
      <c r="DHI98" s="17"/>
      <c r="DHJ98" s="17"/>
      <c r="DHK98" s="17"/>
      <c r="DHL98" s="17"/>
      <c r="DHM98" s="17"/>
      <c r="DHN98" s="17"/>
      <c r="DHO98" s="17"/>
      <c r="DHP98" s="17"/>
      <c r="DHQ98" s="17"/>
      <c r="DHR98" s="17"/>
      <c r="DHS98" s="17"/>
      <c r="DHT98" s="17"/>
      <c r="DHU98" s="17"/>
      <c r="DHV98" s="17"/>
      <c r="DHW98" s="17"/>
      <c r="DHX98" s="17"/>
      <c r="DHY98" s="17"/>
      <c r="DHZ98" s="17"/>
      <c r="DIA98" s="17"/>
      <c r="DIB98" s="17"/>
      <c r="DIC98" s="17"/>
      <c r="DID98" s="17"/>
      <c r="DIE98" s="17"/>
      <c r="DIF98" s="17"/>
      <c r="DIG98" s="17"/>
      <c r="DIH98" s="17"/>
      <c r="DII98" s="17"/>
      <c r="DIJ98" s="17"/>
      <c r="DIK98" s="17"/>
      <c r="DIL98" s="17"/>
      <c r="DIM98" s="17"/>
      <c r="DIN98" s="17"/>
      <c r="DIO98" s="17"/>
      <c r="DIP98" s="17"/>
      <c r="DIQ98" s="17"/>
      <c r="DIR98" s="17"/>
      <c r="DIS98" s="17"/>
      <c r="DIT98" s="17"/>
      <c r="DIU98" s="17"/>
      <c r="DIV98" s="17"/>
      <c r="DIW98" s="17"/>
      <c r="DIX98" s="17"/>
      <c r="DIY98" s="17"/>
      <c r="DIZ98" s="17"/>
      <c r="DJA98" s="17"/>
      <c r="DJB98" s="17"/>
      <c r="DJC98" s="17"/>
      <c r="DJD98" s="17"/>
      <c r="DJE98" s="17"/>
      <c r="DJF98" s="17"/>
      <c r="DJG98" s="17"/>
      <c r="DJH98" s="17"/>
      <c r="DJI98" s="17"/>
      <c r="DJJ98" s="17"/>
      <c r="DJK98" s="17"/>
      <c r="DJL98" s="17"/>
      <c r="DJM98" s="17"/>
      <c r="DJN98" s="17"/>
      <c r="DJO98" s="17"/>
      <c r="DJP98" s="17"/>
      <c r="DJQ98" s="17"/>
      <c r="DJR98" s="17"/>
      <c r="DJS98" s="17"/>
      <c r="DJT98" s="17"/>
      <c r="DJU98" s="17"/>
      <c r="DJV98" s="17"/>
      <c r="DJW98" s="17"/>
      <c r="DJX98" s="17"/>
      <c r="DJY98" s="17"/>
      <c r="DJZ98" s="17"/>
      <c r="DKA98" s="17"/>
      <c r="DKB98" s="17"/>
      <c r="DKC98" s="17"/>
      <c r="DKD98" s="17"/>
      <c r="DKE98" s="17"/>
      <c r="DKF98" s="17"/>
      <c r="DKG98" s="17"/>
      <c r="DKH98" s="17"/>
      <c r="DKI98" s="17"/>
      <c r="DKJ98" s="17"/>
      <c r="DKK98" s="17"/>
      <c r="DKL98" s="17"/>
      <c r="DKM98" s="17"/>
      <c r="DKN98" s="17"/>
      <c r="DKO98" s="17"/>
      <c r="DKP98" s="17"/>
      <c r="DKQ98" s="17"/>
      <c r="DKR98" s="17"/>
      <c r="DKS98" s="17"/>
      <c r="DKT98" s="17"/>
      <c r="DKU98" s="17"/>
      <c r="DKV98" s="17"/>
      <c r="DKW98" s="17"/>
      <c r="DKX98" s="17"/>
      <c r="DKY98" s="17"/>
      <c r="DKZ98" s="17"/>
      <c r="DLA98" s="17"/>
      <c r="DLB98" s="17"/>
      <c r="DLC98" s="17"/>
      <c r="DLD98" s="17"/>
      <c r="DLE98" s="17"/>
      <c r="DLF98" s="17"/>
      <c r="DLG98" s="17"/>
      <c r="DLH98" s="17"/>
      <c r="DLI98" s="17"/>
      <c r="DLJ98" s="17"/>
      <c r="DLK98" s="17"/>
      <c r="DLL98" s="17"/>
      <c r="DLM98" s="17"/>
      <c r="DLN98" s="17"/>
      <c r="DLO98" s="17"/>
      <c r="DLP98" s="17"/>
      <c r="DLQ98" s="17"/>
      <c r="DLR98" s="17"/>
      <c r="DLS98" s="17"/>
      <c r="DLT98" s="17"/>
      <c r="DLU98" s="17"/>
      <c r="DLV98" s="17"/>
      <c r="DLW98" s="17"/>
      <c r="DLX98" s="17"/>
      <c r="DLY98" s="17"/>
      <c r="DLZ98" s="17"/>
      <c r="DMA98" s="17"/>
      <c r="DMB98" s="17"/>
      <c r="DMC98" s="17"/>
      <c r="DMD98" s="17"/>
      <c r="DME98" s="17"/>
      <c r="DMF98" s="17"/>
      <c r="DMG98" s="17"/>
      <c r="DMH98" s="17"/>
      <c r="DMI98" s="17"/>
      <c r="DMJ98" s="17"/>
      <c r="DMK98" s="17"/>
      <c r="DML98" s="17"/>
      <c r="DMM98" s="17"/>
      <c r="DMN98" s="17"/>
      <c r="DMO98" s="17"/>
      <c r="DMP98" s="17"/>
      <c r="DMQ98" s="17"/>
      <c r="DMR98" s="17"/>
      <c r="DMS98" s="17"/>
      <c r="DMT98" s="17"/>
      <c r="DMU98" s="17"/>
      <c r="DMV98" s="17"/>
      <c r="DMW98" s="17"/>
      <c r="DMX98" s="17"/>
      <c r="DMY98" s="17"/>
      <c r="DMZ98" s="17"/>
      <c r="DNA98" s="17"/>
      <c r="DNB98" s="17"/>
      <c r="DNC98" s="17"/>
      <c r="DND98" s="17"/>
      <c r="DNE98" s="17"/>
      <c r="DNF98" s="17"/>
      <c r="DNG98" s="17"/>
      <c r="DNH98" s="17"/>
      <c r="DNI98" s="17"/>
      <c r="DNJ98" s="17"/>
      <c r="DNK98" s="17"/>
      <c r="DNL98" s="17"/>
      <c r="DNM98" s="17"/>
      <c r="DNN98" s="17"/>
      <c r="DNO98" s="17"/>
      <c r="DNP98" s="17"/>
      <c r="DNQ98" s="17"/>
      <c r="DNR98" s="17"/>
      <c r="DNS98" s="17"/>
      <c r="DNT98" s="17"/>
      <c r="DNU98" s="17"/>
      <c r="DNV98" s="17"/>
      <c r="DNW98" s="17"/>
      <c r="DNX98" s="17"/>
      <c r="DNY98" s="17"/>
      <c r="DNZ98" s="17"/>
      <c r="DOA98" s="17"/>
      <c r="DOB98" s="17"/>
      <c r="DOC98" s="17"/>
      <c r="DOD98" s="17"/>
      <c r="DOE98" s="17"/>
      <c r="DOF98" s="17"/>
      <c r="DOG98" s="17"/>
      <c r="DOH98" s="17"/>
      <c r="DOI98" s="17"/>
      <c r="DOJ98" s="17"/>
      <c r="DOK98" s="17"/>
      <c r="DOL98" s="17"/>
      <c r="DOM98" s="17"/>
      <c r="DON98" s="17"/>
      <c r="DOO98" s="17"/>
      <c r="DOP98" s="17"/>
      <c r="DOQ98" s="17"/>
      <c r="DOR98" s="17"/>
      <c r="DOS98" s="17"/>
      <c r="DOT98" s="17"/>
      <c r="DOU98" s="17"/>
      <c r="DOV98" s="17"/>
      <c r="DOW98" s="17"/>
      <c r="DOX98" s="17"/>
      <c r="DOY98" s="17"/>
      <c r="DOZ98" s="17"/>
      <c r="DPA98" s="17"/>
      <c r="DPB98" s="17"/>
      <c r="DPC98" s="17"/>
      <c r="DPD98" s="17"/>
      <c r="DPE98" s="17"/>
      <c r="DPF98" s="17"/>
      <c r="DPG98" s="17"/>
      <c r="DPH98" s="17"/>
      <c r="DPI98" s="17"/>
      <c r="DPJ98" s="17"/>
      <c r="DPK98" s="17"/>
      <c r="DPL98" s="17"/>
      <c r="DPM98" s="17"/>
      <c r="DPN98" s="17"/>
      <c r="DPO98" s="17"/>
      <c r="DPP98" s="17"/>
      <c r="DPQ98" s="17"/>
      <c r="DPR98" s="17"/>
      <c r="DPS98" s="17"/>
      <c r="DPT98" s="17"/>
      <c r="DPU98" s="17"/>
      <c r="DPV98" s="17"/>
      <c r="DPW98" s="17"/>
      <c r="DPX98" s="17"/>
      <c r="DPY98" s="17"/>
      <c r="DPZ98" s="17"/>
      <c r="DQA98" s="17"/>
      <c r="DQB98" s="17"/>
      <c r="DQC98" s="17"/>
      <c r="DQD98" s="17"/>
      <c r="DQE98" s="17"/>
      <c r="DQF98" s="17"/>
      <c r="DQG98" s="17"/>
      <c r="DQH98" s="17"/>
      <c r="DQI98" s="17"/>
      <c r="DQJ98" s="17"/>
      <c r="DQK98" s="17"/>
      <c r="DQL98" s="17"/>
      <c r="DQM98" s="17"/>
      <c r="DQN98" s="17"/>
      <c r="DQO98" s="17"/>
      <c r="DQP98" s="17"/>
      <c r="DQQ98" s="17"/>
      <c r="DQR98" s="17"/>
      <c r="DQS98" s="17"/>
      <c r="DQT98" s="17"/>
      <c r="DQU98" s="17"/>
      <c r="DQV98" s="17"/>
      <c r="DQW98" s="17"/>
      <c r="DQX98" s="17"/>
      <c r="DQY98" s="17"/>
      <c r="DQZ98" s="17"/>
      <c r="DRA98" s="17"/>
      <c r="DRB98" s="17"/>
      <c r="DRC98" s="17"/>
      <c r="DRD98" s="17"/>
      <c r="DRE98" s="17"/>
      <c r="DRF98" s="17"/>
      <c r="DRG98" s="17"/>
      <c r="DRH98" s="17"/>
      <c r="DRI98" s="17"/>
      <c r="DRJ98" s="17"/>
      <c r="DRK98" s="17"/>
      <c r="DRL98" s="17"/>
      <c r="DRM98" s="17"/>
      <c r="DRN98" s="17"/>
      <c r="DRO98" s="17"/>
      <c r="DRP98" s="17"/>
      <c r="DRQ98" s="17"/>
      <c r="DRR98" s="17"/>
      <c r="DRS98" s="17"/>
      <c r="DRT98" s="17"/>
      <c r="DRU98" s="17"/>
      <c r="DRV98" s="17"/>
      <c r="DRW98" s="17"/>
      <c r="DRX98" s="17"/>
      <c r="DRY98" s="17"/>
      <c r="DRZ98" s="17"/>
      <c r="DSA98" s="17"/>
      <c r="DSB98" s="17"/>
      <c r="DSC98" s="17"/>
      <c r="DSD98" s="17"/>
      <c r="DSE98" s="17"/>
      <c r="DSF98" s="17"/>
      <c r="DSG98" s="17"/>
      <c r="DSH98" s="17"/>
      <c r="DSI98" s="17"/>
      <c r="DSJ98" s="17"/>
      <c r="DSK98" s="17"/>
      <c r="DSL98" s="17"/>
      <c r="DSM98" s="17"/>
      <c r="DSN98" s="17"/>
      <c r="DSO98" s="17"/>
      <c r="DSP98" s="17"/>
      <c r="DSQ98" s="17"/>
      <c r="DSR98" s="17"/>
      <c r="DSS98" s="17"/>
      <c r="DST98" s="17"/>
      <c r="DSU98" s="17"/>
      <c r="DSV98" s="17"/>
      <c r="DSW98" s="17"/>
      <c r="DSX98" s="17"/>
      <c r="DSY98" s="17"/>
      <c r="DSZ98" s="17"/>
      <c r="DTA98" s="17"/>
      <c r="DTB98" s="17"/>
      <c r="DTC98" s="17"/>
      <c r="DTD98" s="17"/>
      <c r="DTE98" s="17"/>
      <c r="DTF98" s="17"/>
      <c r="DTG98" s="17"/>
      <c r="DTH98" s="17"/>
      <c r="DTI98" s="17"/>
      <c r="DTJ98" s="17"/>
      <c r="DTK98" s="17"/>
      <c r="DTL98" s="17"/>
      <c r="DTM98" s="17"/>
      <c r="DTN98" s="17"/>
      <c r="DTO98" s="17"/>
      <c r="DTP98" s="17"/>
      <c r="DTQ98" s="17"/>
      <c r="DTR98" s="17"/>
      <c r="DTS98" s="17"/>
      <c r="DTT98" s="17"/>
      <c r="DTU98" s="17"/>
      <c r="DTV98" s="17"/>
      <c r="DTW98" s="17"/>
      <c r="DTX98" s="17"/>
      <c r="DTY98" s="17"/>
      <c r="DTZ98" s="17"/>
      <c r="DUA98" s="17"/>
      <c r="DUB98" s="17"/>
      <c r="DUC98" s="17"/>
      <c r="DUD98" s="17"/>
      <c r="DUE98" s="17"/>
      <c r="DUF98" s="17"/>
      <c r="DUG98" s="17"/>
      <c r="DUH98" s="17"/>
      <c r="DUI98" s="17"/>
      <c r="DUJ98" s="17"/>
      <c r="DUK98" s="17"/>
      <c r="DUL98" s="17"/>
      <c r="DUM98" s="17"/>
      <c r="DUN98" s="17"/>
      <c r="DUO98" s="17"/>
      <c r="DUP98" s="17"/>
      <c r="DUQ98" s="17"/>
      <c r="DUR98" s="17"/>
      <c r="DUS98" s="17"/>
      <c r="DUT98" s="17"/>
      <c r="DUU98" s="17"/>
      <c r="DUV98" s="17"/>
      <c r="DUW98" s="17"/>
      <c r="DUX98" s="17"/>
      <c r="DUY98" s="17"/>
      <c r="DUZ98" s="17"/>
      <c r="DVA98" s="17"/>
      <c r="DVB98" s="17"/>
      <c r="DVC98" s="17"/>
      <c r="DVD98" s="17"/>
      <c r="DVE98" s="17"/>
      <c r="DVF98" s="17"/>
      <c r="DVG98" s="17"/>
      <c r="DVH98" s="17"/>
      <c r="DVI98" s="17"/>
      <c r="DVJ98" s="17"/>
      <c r="DVK98" s="17"/>
      <c r="DVL98" s="17"/>
      <c r="DVM98" s="17"/>
      <c r="DVN98" s="17"/>
      <c r="DVO98" s="17"/>
      <c r="DVP98" s="17"/>
      <c r="DVQ98" s="17"/>
      <c r="DVR98" s="17"/>
      <c r="DVS98" s="17"/>
      <c r="DVT98" s="17"/>
      <c r="DVU98" s="17"/>
      <c r="DVV98" s="17"/>
      <c r="DVW98" s="17"/>
      <c r="DVX98" s="17"/>
      <c r="DVY98" s="17"/>
      <c r="DVZ98" s="17"/>
      <c r="DWA98" s="17"/>
      <c r="DWB98" s="17"/>
      <c r="DWC98" s="17"/>
      <c r="DWD98" s="17"/>
      <c r="DWE98" s="17"/>
      <c r="DWF98" s="17"/>
      <c r="DWG98" s="17"/>
      <c r="DWH98" s="17"/>
      <c r="DWI98" s="17"/>
      <c r="DWJ98" s="17"/>
      <c r="DWK98" s="17"/>
      <c r="DWL98" s="17"/>
      <c r="DWM98" s="17"/>
      <c r="DWN98" s="17"/>
      <c r="DWO98" s="17"/>
      <c r="DWP98" s="17"/>
      <c r="DWQ98" s="17"/>
      <c r="DWR98" s="17"/>
      <c r="DWS98" s="17"/>
      <c r="DWT98" s="17"/>
      <c r="DWU98" s="17"/>
      <c r="DWV98" s="17"/>
      <c r="DWW98" s="17"/>
      <c r="DWX98" s="17"/>
      <c r="DWY98" s="17"/>
      <c r="DWZ98" s="17"/>
      <c r="DXA98" s="17"/>
      <c r="DXB98" s="17"/>
      <c r="DXC98" s="17"/>
      <c r="DXD98" s="17"/>
      <c r="DXE98" s="17"/>
      <c r="DXF98" s="17"/>
      <c r="DXG98" s="17"/>
      <c r="DXH98" s="17"/>
      <c r="DXI98" s="17"/>
      <c r="DXJ98" s="17"/>
      <c r="DXK98" s="17"/>
      <c r="DXL98" s="17"/>
      <c r="DXM98" s="17"/>
      <c r="DXN98" s="17"/>
      <c r="DXO98" s="17"/>
      <c r="DXP98" s="17"/>
      <c r="DXQ98" s="17"/>
      <c r="DXR98" s="17"/>
      <c r="DXS98" s="17"/>
      <c r="DXT98" s="17"/>
      <c r="DXU98" s="17"/>
      <c r="DXV98" s="17"/>
      <c r="DXW98" s="17"/>
      <c r="DXX98" s="17"/>
      <c r="DXY98" s="17"/>
      <c r="DXZ98" s="17"/>
      <c r="DYA98" s="17"/>
      <c r="DYB98" s="17"/>
      <c r="DYC98" s="17"/>
      <c r="DYD98" s="17"/>
      <c r="DYE98" s="17"/>
      <c r="DYF98" s="17"/>
      <c r="DYG98" s="17"/>
      <c r="DYH98" s="17"/>
      <c r="DYI98" s="17"/>
      <c r="DYJ98" s="17"/>
      <c r="DYK98" s="17"/>
      <c r="DYL98" s="17"/>
      <c r="DYM98" s="17"/>
      <c r="DYN98" s="17"/>
      <c r="DYO98" s="17"/>
      <c r="DYP98" s="17"/>
      <c r="DYQ98" s="17"/>
      <c r="DYR98" s="17"/>
      <c r="DYS98" s="17"/>
      <c r="DYT98" s="17"/>
      <c r="DYU98" s="17"/>
      <c r="DYV98" s="17"/>
      <c r="DYW98" s="17"/>
      <c r="DYX98" s="17"/>
      <c r="DYY98" s="17"/>
      <c r="DYZ98" s="17"/>
      <c r="DZA98" s="17"/>
      <c r="DZB98" s="17"/>
      <c r="DZC98" s="17"/>
      <c r="DZD98" s="17"/>
      <c r="DZE98" s="17"/>
      <c r="DZF98" s="17"/>
      <c r="DZG98" s="17"/>
      <c r="DZH98" s="17"/>
      <c r="DZI98" s="17"/>
      <c r="DZJ98" s="17"/>
      <c r="DZK98" s="17"/>
      <c r="DZL98" s="17"/>
      <c r="DZM98" s="17"/>
      <c r="DZN98" s="17"/>
      <c r="DZO98" s="17"/>
      <c r="DZP98" s="17"/>
      <c r="DZQ98" s="17"/>
      <c r="DZR98" s="17"/>
      <c r="DZS98" s="17"/>
      <c r="DZT98" s="17"/>
      <c r="DZU98" s="17"/>
      <c r="DZV98" s="17"/>
      <c r="DZW98" s="17"/>
      <c r="DZX98" s="17"/>
      <c r="DZY98" s="17"/>
      <c r="DZZ98" s="17"/>
      <c r="EAA98" s="17"/>
      <c r="EAB98" s="17"/>
      <c r="EAC98" s="17"/>
      <c r="EAD98" s="17"/>
      <c r="EAE98" s="17"/>
      <c r="EAF98" s="17"/>
      <c r="EAG98" s="17"/>
      <c r="EAH98" s="17"/>
      <c r="EAI98" s="17"/>
      <c r="EAJ98" s="17"/>
      <c r="EAK98" s="17"/>
      <c r="EAL98" s="17"/>
      <c r="EAM98" s="17"/>
      <c r="EAN98" s="17"/>
      <c r="EAO98" s="17"/>
      <c r="EAP98" s="17"/>
      <c r="EAQ98" s="17"/>
      <c r="EAR98" s="17"/>
      <c r="EAS98" s="17"/>
      <c r="EAT98" s="17"/>
      <c r="EAU98" s="17"/>
      <c r="EAV98" s="17"/>
      <c r="EAW98" s="17"/>
      <c r="EAX98" s="17"/>
      <c r="EAY98" s="17"/>
      <c r="EAZ98" s="17"/>
      <c r="EBA98" s="17"/>
      <c r="EBB98" s="17"/>
      <c r="EBC98" s="17"/>
      <c r="EBD98" s="17"/>
      <c r="EBE98" s="17"/>
      <c r="EBF98" s="17"/>
      <c r="EBG98" s="17"/>
      <c r="EBH98" s="17"/>
      <c r="EBI98" s="17"/>
      <c r="EBJ98" s="17"/>
      <c r="EBK98" s="17"/>
      <c r="EBL98" s="17"/>
      <c r="EBM98" s="17"/>
      <c r="EBN98" s="17"/>
      <c r="EBO98" s="17"/>
      <c r="EBP98" s="17"/>
      <c r="EBQ98" s="17"/>
      <c r="EBR98" s="17"/>
      <c r="EBS98" s="17"/>
      <c r="EBT98" s="17"/>
      <c r="EBU98" s="17"/>
      <c r="EBV98" s="17"/>
      <c r="EBW98" s="17"/>
      <c r="EBX98" s="17"/>
      <c r="EBY98" s="17"/>
      <c r="EBZ98" s="17"/>
      <c r="ECA98" s="17"/>
      <c r="ECB98" s="17"/>
      <c r="ECC98" s="17"/>
      <c r="ECD98" s="17"/>
      <c r="ECE98" s="17"/>
      <c r="ECF98" s="17"/>
      <c r="ECG98" s="17"/>
      <c r="ECH98" s="17"/>
      <c r="ECI98" s="17"/>
      <c r="ECJ98" s="17"/>
      <c r="ECK98" s="17"/>
      <c r="ECL98" s="17"/>
      <c r="ECM98" s="17"/>
      <c r="ECN98" s="17"/>
      <c r="ECO98" s="17"/>
      <c r="ECP98" s="17"/>
      <c r="ECQ98" s="17"/>
      <c r="ECR98" s="17"/>
      <c r="ECS98" s="17"/>
      <c r="ECT98" s="17"/>
      <c r="ECU98" s="17"/>
      <c r="ECV98" s="17"/>
      <c r="ECW98" s="17"/>
      <c r="ECX98" s="17"/>
      <c r="ECY98" s="17"/>
      <c r="ECZ98" s="17"/>
      <c r="EDA98" s="17"/>
      <c r="EDB98" s="17"/>
      <c r="EDC98" s="17"/>
      <c r="EDD98" s="17"/>
      <c r="EDE98" s="17"/>
      <c r="EDF98" s="17"/>
      <c r="EDG98" s="17"/>
      <c r="EDH98" s="17"/>
      <c r="EDI98" s="17"/>
      <c r="EDJ98" s="17"/>
      <c r="EDK98" s="17"/>
      <c r="EDL98" s="17"/>
      <c r="EDM98" s="17"/>
      <c r="EDN98" s="17"/>
      <c r="EDO98" s="17"/>
      <c r="EDP98" s="17"/>
      <c r="EDQ98" s="17"/>
      <c r="EDR98" s="17"/>
      <c r="EDS98" s="17"/>
      <c r="EDT98" s="17"/>
      <c r="EDU98" s="17"/>
      <c r="EDV98" s="17"/>
      <c r="EDW98" s="17"/>
      <c r="EDX98" s="17"/>
      <c r="EDY98" s="17"/>
      <c r="EDZ98" s="17"/>
      <c r="EEA98" s="17"/>
      <c r="EEB98" s="17"/>
      <c r="EEC98" s="17"/>
      <c r="EED98" s="17"/>
      <c r="EEE98" s="17"/>
      <c r="EEF98" s="17"/>
      <c r="EEG98" s="17"/>
      <c r="EEH98" s="17"/>
      <c r="EEI98" s="17"/>
      <c r="EEJ98" s="17"/>
      <c r="EEK98" s="17"/>
      <c r="EEL98" s="17"/>
      <c r="EEM98" s="17"/>
      <c r="EEN98" s="17"/>
      <c r="EEO98" s="17"/>
      <c r="EEP98" s="17"/>
      <c r="EEQ98" s="17"/>
      <c r="EER98" s="17"/>
      <c r="EES98" s="17"/>
      <c r="EET98" s="17"/>
      <c r="EEU98" s="17"/>
      <c r="EEV98" s="17"/>
      <c r="EEW98" s="17"/>
      <c r="EEX98" s="17"/>
      <c r="EEY98" s="17"/>
      <c r="EEZ98" s="17"/>
      <c r="EFA98" s="17"/>
      <c r="EFB98" s="17"/>
      <c r="EFC98" s="17"/>
      <c r="EFD98" s="17"/>
      <c r="EFE98" s="17"/>
      <c r="EFF98" s="17"/>
      <c r="EFG98" s="17"/>
      <c r="EFH98" s="17"/>
      <c r="EFI98" s="17"/>
      <c r="EFJ98" s="17"/>
      <c r="EFK98" s="17"/>
      <c r="EFL98" s="17"/>
      <c r="EFM98" s="17"/>
      <c r="EFN98" s="17"/>
      <c r="EFO98" s="17"/>
      <c r="EFP98" s="17"/>
      <c r="EFQ98" s="17"/>
      <c r="EFR98" s="17"/>
      <c r="EFS98" s="17"/>
      <c r="EFT98" s="17"/>
      <c r="EFU98" s="17"/>
      <c r="EFV98" s="17"/>
      <c r="EFW98" s="17"/>
      <c r="EFX98" s="17"/>
      <c r="EFY98" s="17"/>
      <c r="EFZ98" s="17"/>
      <c r="EGA98" s="17"/>
      <c r="EGB98" s="17"/>
      <c r="EGC98" s="17"/>
      <c r="EGD98" s="17"/>
      <c r="EGE98" s="17"/>
      <c r="EGF98" s="17"/>
      <c r="EGG98" s="17"/>
      <c r="EGH98" s="17"/>
      <c r="EGI98" s="17"/>
      <c r="EGJ98" s="17"/>
      <c r="EGK98" s="17"/>
      <c r="EGL98" s="17"/>
      <c r="EGM98" s="17"/>
      <c r="EGN98" s="17"/>
      <c r="EGO98" s="17"/>
      <c r="EGP98" s="17"/>
      <c r="EGQ98" s="17"/>
      <c r="EGR98" s="17"/>
      <c r="EGS98" s="17"/>
      <c r="EGT98" s="17"/>
      <c r="EGU98" s="17"/>
      <c r="EGV98" s="17"/>
      <c r="EGW98" s="17"/>
      <c r="EGX98" s="17"/>
      <c r="EGY98" s="17"/>
      <c r="EGZ98" s="17"/>
      <c r="EHA98" s="17"/>
      <c r="EHB98" s="17"/>
      <c r="EHC98" s="17"/>
      <c r="EHD98" s="17"/>
      <c r="EHE98" s="17"/>
      <c r="EHF98" s="17"/>
      <c r="EHG98" s="17"/>
      <c r="EHH98" s="17"/>
      <c r="EHI98" s="17"/>
      <c r="EHJ98" s="17"/>
      <c r="EHK98" s="17"/>
      <c r="EHL98" s="17"/>
      <c r="EHM98" s="17"/>
      <c r="EHN98" s="17"/>
      <c r="EHO98" s="17"/>
      <c r="EHP98" s="17"/>
      <c r="EHQ98" s="17"/>
      <c r="EHR98" s="17"/>
      <c r="EHS98" s="17"/>
      <c r="EHT98" s="17"/>
      <c r="EHU98" s="17"/>
      <c r="EHV98" s="17"/>
      <c r="EHW98" s="17"/>
      <c r="EHX98" s="17"/>
      <c r="EHY98" s="17"/>
      <c r="EHZ98" s="17"/>
      <c r="EIA98" s="17"/>
      <c r="EIB98" s="17"/>
      <c r="EIC98" s="17"/>
      <c r="EID98" s="17"/>
      <c r="EIE98" s="17"/>
      <c r="EIF98" s="17"/>
      <c r="EIG98" s="17"/>
      <c r="EIH98" s="17"/>
      <c r="EII98" s="17"/>
      <c r="EIJ98" s="17"/>
      <c r="EIK98" s="17"/>
      <c r="EIL98" s="17"/>
      <c r="EIM98" s="17"/>
      <c r="EIN98" s="17"/>
      <c r="EIO98" s="17"/>
      <c r="EIP98" s="17"/>
      <c r="EIQ98" s="17"/>
      <c r="EIR98" s="17"/>
      <c r="EIS98" s="17"/>
      <c r="EIT98" s="17"/>
      <c r="EIU98" s="17"/>
      <c r="EIV98" s="17"/>
      <c r="EIW98" s="17"/>
      <c r="EIX98" s="17"/>
      <c r="EIY98" s="17"/>
      <c r="EIZ98" s="17"/>
      <c r="EJA98" s="17"/>
      <c r="EJB98" s="17"/>
      <c r="EJC98" s="17"/>
      <c r="EJD98" s="17"/>
      <c r="EJE98" s="17"/>
      <c r="EJF98" s="17"/>
      <c r="EJG98" s="17"/>
      <c r="EJH98" s="17"/>
      <c r="EJI98" s="17"/>
      <c r="EJJ98" s="17"/>
      <c r="EJK98" s="17"/>
      <c r="EJL98" s="17"/>
      <c r="EJM98" s="17"/>
      <c r="EJN98" s="17"/>
      <c r="EJO98" s="17"/>
      <c r="EJP98" s="17"/>
      <c r="EJQ98" s="17"/>
      <c r="EJR98" s="17"/>
      <c r="EJS98" s="17"/>
      <c r="EJT98" s="17"/>
      <c r="EJU98" s="17"/>
      <c r="EJV98" s="17"/>
      <c r="EJW98" s="17"/>
      <c r="EJX98" s="17"/>
      <c r="EJY98" s="17"/>
      <c r="EJZ98" s="17"/>
      <c r="EKA98" s="17"/>
      <c r="EKB98" s="17"/>
      <c r="EKC98" s="17"/>
      <c r="EKD98" s="17"/>
      <c r="EKE98" s="17"/>
      <c r="EKF98" s="17"/>
      <c r="EKG98" s="17"/>
      <c r="EKH98" s="17"/>
      <c r="EKI98" s="17"/>
      <c r="EKJ98" s="17"/>
      <c r="EKK98" s="17"/>
      <c r="EKL98" s="17"/>
      <c r="EKM98" s="17"/>
      <c r="EKN98" s="17"/>
      <c r="EKO98" s="17"/>
      <c r="EKP98" s="17"/>
      <c r="EKQ98" s="17"/>
      <c r="EKR98" s="17"/>
      <c r="EKS98" s="17"/>
      <c r="EKT98" s="17"/>
      <c r="EKU98" s="17"/>
      <c r="EKV98" s="17"/>
      <c r="EKW98" s="17"/>
      <c r="EKX98" s="17"/>
      <c r="EKY98" s="17"/>
      <c r="EKZ98" s="17"/>
      <c r="ELA98" s="17"/>
      <c r="ELB98" s="17"/>
      <c r="ELC98" s="17"/>
      <c r="ELD98" s="17"/>
      <c r="ELE98" s="17"/>
      <c r="ELF98" s="17"/>
      <c r="ELG98" s="17"/>
      <c r="ELH98" s="17"/>
      <c r="ELI98" s="17"/>
      <c r="ELJ98" s="17"/>
      <c r="ELK98" s="17"/>
      <c r="ELL98" s="17"/>
      <c r="ELM98" s="17"/>
      <c r="ELN98" s="17"/>
      <c r="ELO98" s="17"/>
      <c r="ELP98" s="17"/>
      <c r="ELQ98" s="17"/>
      <c r="ELR98" s="17"/>
      <c r="ELS98" s="17"/>
      <c r="ELT98" s="17"/>
      <c r="ELU98" s="17"/>
      <c r="ELV98" s="17"/>
      <c r="ELW98" s="17"/>
      <c r="ELX98" s="17"/>
      <c r="ELY98" s="17"/>
      <c r="ELZ98" s="17"/>
      <c r="EMA98" s="17"/>
      <c r="EMB98" s="17"/>
      <c r="EMC98" s="17"/>
      <c r="EMD98" s="17"/>
      <c r="EME98" s="17"/>
      <c r="EMF98" s="17"/>
      <c r="EMG98" s="17"/>
      <c r="EMH98" s="17"/>
      <c r="EMI98" s="17"/>
      <c r="EMJ98" s="17"/>
      <c r="EMK98" s="17"/>
      <c r="EML98" s="17"/>
      <c r="EMM98" s="17"/>
      <c r="EMN98" s="17"/>
      <c r="EMO98" s="17"/>
      <c r="EMP98" s="17"/>
      <c r="EMQ98" s="17"/>
      <c r="EMR98" s="17"/>
      <c r="EMS98" s="17"/>
      <c r="EMT98" s="17"/>
      <c r="EMU98" s="17"/>
      <c r="EMV98" s="17"/>
      <c r="EMW98" s="17"/>
      <c r="EMX98" s="17"/>
      <c r="EMY98" s="17"/>
      <c r="EMZ98" s="17"/>
      <c r="ENA98" s="17"/>
      <c r="ENB98" s="17"/>
      <c r="ENC98" s="17"/>
      <c r="END98" s="17"/>
      <c r="ENE98" s="17"/>
      <c r="ENF98" s="17"/>
      <c r="ENG98" s="17"/>
      <c r="ENH98" s="17"/>
      <c r="ENI98" s="17"/>
      <c r="ENJ98" s="17"/>
      <c r="ENK98" s="17"/>
      <c r="ENL98" s="17"/>
      <c r="ENM98" s="17"/>
      <c r="ENN98" s="17"/>
      <c r="ENO98" s="17"/>
      <c r="ENP98" s="17"/>
      <c r="ENQ98" s="17"/>
      <c r="ENR98" s="17"/>
      <c r="ENS98" s="17"/>
      <c r="ENT98" s="17"/>
      <c r="ENU98" s="17"/>
      <c r="ENV98" s="17"/>
      <c r="ENW98" s="17"/>
      <c r="ENX98" s="17"/>
      <c r="ENY98" s="17"/>
      <c r="ENZ98" s="17"/>
      <c r="EOA98" s="17"/>
      <c r="EOB98" s="17"/>
      <c r="EOC98" s="17"/>
      <c r="EOD98" s="17"/>
      <c r="EOE98" s="17"/>
      <c r="EOF98" s="17"/>
      <c r="EOG98" s="17"/>
      <c r="EOH98" s="17"/>
      <c r="EOI98" s="17"/>
      <c r="EOJ98" s="17"/>
      <c r="EOK98" s="17"/>
      <c r="EOL98" s="17"/>
      <c r="EOM98" s="17"/>
      <c r="EON98" s="17"/>
      <c r="EOO98" s="17"/>
      <c r="EOP98" s="17"/>
      <c r="EOQ98" s="17"/>
      <c r="EOR98" s="17"/>
      <c r="EOS98" s="17"/>
      <c r="EOT98" s="17"/>
      <c r="EOU98" s="17"/>
      <c r="EOV98" s="17"/>
      <c r="EOW98" s="17"/>
      <c r="EOX98" s="17"/>
      <c r="EOY98" s="17"/>
      <c r="EOZ98" s="17"/>
      <c r="EPA98" s="17"/>
      <c r="EPB98" s="17"/>
      <c r="EPC98" s="17"/>
      <c r="EPD98" s="17"/>
      <c r="EPE98" s="17"/>
      <c r="EPF98" s="17"/>
      <c r="EPG98" s="17"/>
      <c r="EPH98" s="17"/>
      <c r="EPI98" s="17"/>
      <c r="EPJ98" s="17"/>
      <c r="EPK98" s="17"/>
      <c r="EPL98" s="17"/>
      <c r="EPM98" s="17"/>
      <c r="EPN98" s="17"/>
      <c r="EPO98" s="17"/>
      <c r="EPP98" s="17"/>
      <c r="EPQ98" s="17"/>
      <c r="EPR98" s="17"/>
      <c r="EPS98" s="17"/>
      <c r="EPT98" s="17"/>
      <c r="EPU98" s="17"/>
      <c r="EPV98" s="17"/>
      <c r="EPW98" s="17"/>
      <c r="EPX98" s="17"/>
      <c r="EPY98" s="17"/>
      <c r="EPZ98" s="17"/>
      <c r="EQA98" s="17"/>
      <c r="EQB98" s="17"/>
      <c r="EQC98" s="17"/>
      <c r="EQD98" s="17"/>
      <c r="EQE98" s="17"/>
      <c r="EQF98" s="17"/>
      <c r="EQG98" s="17"/>
      <c r="EQH98" s="17"/>
      <c r="EQI98" s="17"/>
      <c r="EQJ98" s="17"/>
      <c r="EQK98" s="17"/>
      <c r="EQL98" s="17"/>
      <c r="EQM98" s="17"/>
      <c r="EQN98" s="17"/>
      <c r="EQO98" s="17"/>
      <c r="EQP98" s="17"/>
      <c r="EQQ98" s="17"/>
      <c r="EQR98" s="17"/>
      <c r="EQS98" s="17"/>
      <c r="EQT98" s="17"/>
      <c r="EQU98" s="17"/>
      <c r="EQV98" s="17"/>
      <c r="EQW98" s="17"/>
      <c r="EQX98" s="17"/>
      <c r="EQY98" s="17"/>
      <c r="EQZ98" s="17"/>
      <c r="ERA98" s="17"/>
      <c r="ERB98" s="17"/>
      <c r="ERC98" s="17"/>
      <c r="ERD98" s="17"/>
      <c r="ERE98" s="17"/>
      <c r="ERF98" s="17"/>
      <c r="ERG98" s="17"/>
      <c r="ERH98" s="17"/>
      <c r="ERI98" s="17"/>
      <c r="ERJ98" s="17"/>
      <c r="ERK98" s="17"/>
      <c r="ERL98" s="17"/>
      <c r="ERM98" s="17"/>
      <c r="ERN98" s="17"/>
      <c r="ERO98" s="17"/>
      <c r="ERP98" s="17"/>
      <c r="ERQ98" s="17"/>
      <c r="ERR98" s="17"/>
      <c r="ERS98" s="17"/>
      <c r="ERT98" s="17"/>
      <c r="ERU98" s="17"/>
      <c r="ERV98" s="17"/>
      <c r="ERW98" s="17"/>
      <c r="ERX98" s="17"/>
      <c r="ERY98" s="17"/>
      <c r="ERZ98" s="17"/>
      <c r="ESA98" s="17"/>
      <c r="ESB98" s="17"/>
      <c r="ESC98" s="17"/>
      <c r="ESD98" s="17"/>
      <c r="ESE98" s="17"/>
      <c r="ESF98" s="17"/>
      <c r="ESG98" s="17"/>
      <c r="ESH98" s="17"/>
      <c r="ESI98" s="17"/>
      <c r="ESJ98" s="17"/>
      <c r="ESK98" s="17"/>
      <c r="ESL98" s="17"/>
      <c r="ESM98" s="17"/>
      <c r="ESN98" s="17"/>
      <c r="ESO98" s="17"/>
      <c r="ESP98" s="17"/>
      <c r="ESQ98" s="17"/>
      <c r="ESR98" s="17"/>
      <c r="ESS98" s="17"/>
      <c r="EST98" s="17"/>
      <c r="ESU98" s="17"/>
      <c r="ESV98" s="17"/>
      <c r="ESW98" s="17"/>
      <c r="ESX98" s="17"/>
      <c r="ESY98" s="17"/>
      <c r="ESZ98" s="17"/>
      <c r="ETA98" s="17"/>
      <c r="ETB98" s="17"/>
      <c r="ETC98" s="17"/>
      <c r="ETD98" s="17"/>
      <c r="ETE98" s="17"/>
      <c r="ETF98" s="17"/>
      <c r="ETG98" s="17"/>
      <c r="ETH98" s="17"/>
      <c r="ETI98" s="17"/>
      <c r="ETJ98" s="17"/>
      <c r="ETK98" s="17"/>
      <c r="ETL98" s="17"/>
      <c r="ETM98" s="17"/>
      <c r="ETN98" s="17"/>
      <c r="ETO98" s="17"/>
      <c r="ETP98" s="17"/>
      <c r="ETQ98" s="17"/>
      <c r="ETR98" s="17"/>
      <c r="ETS98" s="17"/>
      <c r="ETT98" s="17"/>
      <c r="ETU98" s="17"/>
      <c r="ETV98" s="17"/>
      <c r="ETW98" s="17"/>
      <c r="ETX98" s="17"/>
      <c r="ETY98" s="17"/>
      <c r="ETZ98" s="17"/>
      <c r="EUA98" s="17"/>
      <c r="EUB98" s="17"/>
      <c r="EUC98" s="17"/>
      <c r="EUD98" s="17"/>
      <c r="EUE98" s="17"/>
      <c r="EUF98" s="17"/>
      <c r="EUG98" s="17"/>
      <c r="EUH98" s="17"/>
      <c r="EUI98" s="17"/>
      <c r="EUJ98" s="17"/>
      <c r="EUK98" s="17"/>
      <c r="EUL98" s="17"/>
      <c r="EUM98" s="17"/>
      <c r="EUN98" s="17"/>
      <c r="EUO98" s="17"/>
      <c r="EUP98" s="17"/>
      <c r="EUQ98" s="17"/>
      <c r="EUR98" s="17"/>
      <c r="EUS98" s="17"/>
      <c r="EUT98" s="17"/>
      <c r="EUU98" s="17"/>
      <c r="EUV98" s="17"/>
      <c r="EUW98" s="17"/>
      <c r="EUX98" s="17"/>
      <c r="EUY98" s="17"/>
      <c r="EUZ98" s="17"/>
      <c r="EVA98" s="17"/>
      <c r="EVB98" s="17"/>
      <c r="EVC98" s="17"/>
      <c r="EVD98" s="17"/>
      <c r="EVE98" s="17"/>
      <c r="EVF98" s="17"/>
      <c r="EVG98" s="17"/>
      <c r="EVH98" s="17"/>
      <c r="EVI98" s="17"/>
      <c r="EVJ98" s="17"/>
      <c r="EVK98" s="17"/>
      <c r="EVL98" s="17"/>
      <c r="EVM98" s="17"/>
      <c r="EVN98" s="17"/>
      <c r="EVO98" s="17"/>
      <c r="EVP98" s="17"/>
      <c r="EVQ98" s="17"/>
      <c r="EVR98" s="17"/>
      <c r="EVS98" s="17"/>
      <c r="EVT98" s="17"/>
      <c r="EVU98" s="17"/>
      <c r="EVV98" s="17"/>
      <c r="EVW98" s="17"/>
      <c r="EVX98" s="17"/>
      <c r="EVY98" s="17"/>
      <c r="EVZ98" s="17"/>
      <c r="EWA98" s="17"/>
      <c r="EWB98" s="17"/>
      <c r="EWC98" s="17"/>
      <c r="EWD98" s="17"/>
      <c r="EWE98" s="17"/>
      <c r="EWF98" s="17"/>
      <c r="EWG98" s="17"/>
      <c r="EWH98" s="17"/>
      <c r="EWI98" s="17"/>
      <c r="EWJ98" s="17"/>
      <c r="EWK98" s="17"/>
      <c r="EWL98" s="17"/>
      <c r="EWM98" s="17"/>
      <c r="EWN98" s="17"/>
      <c r="EWO98" s="17"/>
      <c r="EWP98" s="17"/>
      <c r="EWQ98" s="17"/>
      <c r="EWR98" s="17"/>
      <c r="EWS98" s="17"/>
      <c r="EWT98" s="17"/>
      <c r="EWU98" s="17"/>
      <c r="EWV98" s="17"/>
      <c r="EWW98" s="17"/>
      <c r="EWX98" s="17"/>
      <c r="EWY98" s="17"/>
      <c r="EWZ98" s="17"/>
      <c r="EXA98" s="17"/>
      <c r="EXB98" s="17"/>
      <c r="EXC98" s="17"/>
      <c r="EXD98" s="17"/>
      <c r="EXE98" s="17"/>
      <c r="EXF98" s="17"/>
      <c r="EXG98" s="17"/>
      <c r="EXH98" s="17"/>
      <c r="EXI98" s="17"/>
      <c r="EXJ98" s="17"/>
      <c r="EXK98" s="17"/>
      <c r="EXL98" s="17"/>
      <c r="EXM98" s="17"/>
      <c r="EXN98" s="17"/>
      <c r="EXO98" s="17"/>
      <c r="EXP98" s="17"/>
      <c r="EXQ98" s="17"/>
      <c r="EXR98" s="17"/>
      <c r="EXS98" s="17"/>
      <c r="EXT98" s="17"/>
      <c r="EXU98" s="17"/>
      <c r="EXV98" s="17"/>
      <c r="EXW98" s="17"/>
      <c r="EXX98" s="17"/>
      <c r="EXY98" s="17"/>
      <c r="EXZ98" s="17"/>
      <c r="EYA98" s="17"/>
      <c r="EYB98" s="17"/>
      <c r="EYC98" s="17"/>
      <c r="EYD98" s="17"/>
      <c r="EYE98" s="17"/>
      <c r="EYF98" s="17"/>
      <c r="EYG98" s="17"/>
      <c r="EYH98" s="17"/>
      <c r="EYI98" s="17"/>
      <c r="EYJ98" s="17"/>
      <c r="EYK98" s="17"/>
      <c r="EYL98" s="17"/>
      <c r="EYM98" s="17"/>
      <c r="EYN98" s="17"/>
      <c r="EYO98" s="17"/>
      <c r="EYP98" s="17"/>
      <c r="EYQ98" s="17"/>
      <c r="EYR98" s="17"/>
      <c r="EYS98" s="17"/>
      <c r="EYT98" s="17"/>
      <c r="EYU98" s="17"/>
      <c r="EYV98" s="17"/>
      <c r="EYW98" s="17"/>
      <c r="EYX98" s="17"/>
      <c r="EYY98" s="17"/>
      <c r="EYZ98" s="17"/>
      <c r="EZA98" s="17"/>
      <c r="EZB98" s="17"/>
      <c r="EZC98" s="17"/>
      <c r="EZD98" s="17"/>
      <c r="EZE98" s="17"/>
      <c r="EZF98" s="17"/>
      <c r="EZG98" s="17"/>
      <c r="EZH98" s="17"/>
      <c r="EZI98" s="17"/>
      <c r="EZJ98" s="17"/>
      <c r="EZK98" s="17"/>
      <c r="EZL98" s="17"/>
      <c r="EZM98" s="17"/>
      <c r="EZN98" s="17"/>
      <c r="EZO98" s="17"/>
      <c r="EZP98" s="17"/>
      <c r="EZQ98" s="17"/>
      <c r="EZR98" s="17"/>
      <c r="EZS98" s="17"/>
      <c r="EZT98" s="17"/>
      <c r="EZU98" s="17"/>
      <c r="EZV98" s="17"/>
      <c r="EZW98" s="17"/>
      <c r="EZX98" s="17"/>
      <c r="EZY98" s="17"/>
      <c r="EZZ98" s="17"/>
      <c r="FAA98" s="17"/>
      <c r="FAB98" s="17"/>
      <c r="FAC98" s="17"/>
      <c r="FAD98" s="17"/>
      <c r="FAE98" s="17"/>
      <c r="FAF98" s="17"/>
      <c r="FAG98" s="17"/>
      <c r="FAH98" s="17"/>
      <c r="FAI98" s="17"/>
      <c r="FAJ98" s="17"/>
      <c r="FAK98" s="17"/>
      <c r="FAL98" s="17"/>
      <c r="FAM98" s="17"/>
      <c r="FAN98" s="17"/>
      <c r="FAO98" s="17"/>
      <c r="FAP98" s="17"/>
      <c r="FAQ98" s="17"/>
      <c r="FAR98" s="17"/>
      <c r="FAS98" s="17"/>
      <c r="FAT98" s="17"/>
      <c r="FAU98" s="17"/>
      <c r="FAV98" s="17"/>
      <c r="FAW98" s="17"/>
      <c r="FAX98" s="17"/>
      <c r="FAY98" s="17"/>
      <c r="FAZ98" s="17"/>
      <c r="FBA98" s="17"/>
      <c r="FBB98" s="17"/>
      <c r="FBC98" s="17"/>
      <c r="FBD98" s="17"/>
      <c r="FBE98" s="17"/>
      <c r="FBF98" s="17"/>
      <c r="FBG98" s="17"/>
      <c r="FBH98" s="17"/>
      <c r="FBI98" s="17"/>
      <c r="FBJ98" s="17"/>
      <c r="FBK98" s="17"/>
      <c r="FBL98" s="17"/>
      <c r="FBM98" s="17"/>
      <c r="FBN98" s="17"/>
      <c r="FBO98" s="17"/>
      <c r="FBP98" s="17"/>
      <c r="FBQ98" s="17"/>
      <c r="FBR98" s="17"/>
      <c r="FBS98" s="17"/>
      <c r="FBT98" s="17"/>
      <c r="FBU98" s="17"/>
      <c r="FBV98" s="17"/>
      <c r="FBW98" s="17"/>
      <c r="FBX98" s="17"/>
      <c r="FBY98" s="17"/>
      <c r="FBZ98" s="17"/>
      <c r="FCA98" s="17"/>
      <c r="FCB98" s="17"/>
      <c r="FCC98" s="17"/>
      <c r="FCD98" s="17"/>
      <c r="FCE98" s="17"/>
      <c r="FCF98" s="17"/>
      <c r="FCG98" s="17"/>
      <c r="FCH98" s="17"/>
      <c r="FCI98" s="17"/>
      <c r="FCJ98" s="17"/>
      <c r="FCK98" s="17"/>
      <c r="FCL98" s="17"/>
      <c r="FCM98" s="17"/>
      <c r="FCN98" s="17"/>
      <c r="FCO98" s="17"/>
      <c r="FCP98" s="17"/>
      <c r="FCQ98" s="17"/>
      <c r="FCR98" s="17"/>
      <c r="FCS98" s="17"/>
      <c r="FCT98" s="17"/>
      <c r="FCU98" s="17"/>
      <c r="FCV98" s="17"/>
      <c r="FCW98" s="17"/>
      <c r="FCX98" s="17"/>
      <c r="FCY98" s="17"/>
      <c r="FCZ98" s="17"/>
      <c r="FDA98" s="17"/>
      <c r="FDB98" s="17"/>
      <c r="FDC98" s="17"/>
      <c r="FDD98" s="17"/>
      <c r="FDE98" s="17"/>
      <c r="FDF98" s="17"/>
      <c r="FDG98" s="17"/>
      <c r="FDH98" s="17"/>
      <c r="FDI98" s="17"/>
      <c r="FDJ98" s="17"/>
      <c r="FDK98" s="17"/>
      <c r="FDL98" s="17"/>
      <c r="FDM98" s="17"/>
      <c r="FDN98" s="17"/>
      <c r="FDO98" s="17"/>
      <c r="FDP98" s="17"/>
      <c r="FDQ98" s="17"/>
      <c r="FDR98" s="17"/>
      <c r="FDS98" s="17"/>
      <c r="FDT98" s="17"/>
      <c r="FDU98" s="17"/>
      <c r="FDV98" s="17"/>
      <c r="FDW98" s="17"/>
      <c r="FDX98" s="17"/>
      <c r="FDY98" s="17"/>
      <c r="FDZ98" s="17"/>
      <c r="FEA98" s="17"/>
      <c r="FEB98" s="17"/>
      <c r="FEC98" s="17"/>
      <c r="FED98" s="17"/>
      <c r="FEE98" s="17"/>
      <c r="FEF98" s="17"/>
      <c r="FEG98" s="17"/>
      <c r="FEH98" s="17"/>
      <c r="FEI98" s="17"/>
      <c r="FEJ98" s="17"/>
      <c r="FEK98" s="17"/>
      <c r="FEL98" s="17"/>
      <c r="FEM98" s="17"/>
      <c r="FEN98" s="17"/>
      <c r="FEO98" s="17"/>
      <c r="FEP98" s="17"/>
      <c r="FEQ98" s="17"/>
      <c r="FER98" s="17"/>
      <c r="FES98" s="17"/>
      <c r="FET98" s="17"/>
      <c r="FEU98" s="17"/>
      <c r="FEV98" s="17"/>
      <c r="FEW98" s="17"/>
      <c r="FEX98" s="17"/>
      <c r="FEY98" s="17"/>
      <c r="FEZ98" s="17"/>
      <c r="FFA98" s="17"/>
      <c r="FFB98" s="17"/>
      <c r="FFC98" s="17"/>
      <c r="FFD98" s="17"/>
      <c r="FFE98" s="17"/>
      <c r="FFF98" s="17"/>
      <c r="FFG98" s="17"/>
      <c r="FFH98" s="17"/>
      <c r="FFI98" s="17"/>
      <c r="FFJ98" s="17"/>
      <c r="FFK98" s="17"/>
      <c r="FFL98" s="17"/>
      <c r="FFM98" s="17"/>
      <c r="FFN98" s="17"/>
      <c r="FFO98" s="17"/>
      <c r="FFP98" s="17"/>
      <c r="FFQ98" s="17"/>
      <c r="FFR98" s="17"/>
      <c r="FFS98" s="17"/>
      <c r="FFT98" s="17"/>
      <c r="FFU98" s="17"/>
      <c r="FFV98" s="17"/>
      <c r="FFW98" s="17"/>
      <c r="FFX98" s="17"/>
      <c r="FFY98" s="17"/>
      <c r="FFZ98" s="17"/>
      <c r="FGA98" s="17"/>
      <c r="FGB98" s="17"/>
      <c r="FGC98" s="17"/>
      <c r="FGD98" s="17"/>
      <c r="FGE98" s="17"/>
      <c r="FGF98" s="17"/>
      <c r="FGG98" s="17"/>
      <c r="FGH98" s="17"/>
      <c r="FGI98" s="17"/>
      <c r="FGJ98" s="17"/>
      <c r="FGK98" s="17"/>
      <c r="FGL98" s="17"/>
      <c r="FGM98" s="17"/>
      <c r="FGN98" s="17"/>
      <c r="FGO98" s="17"/>
      <c r="FGP98" s="17"/>
      <c r="FGQ98" s="17"/>
      <c r="FGR98" s="17"/>
      <c r="FGS98" s="17"/>
      <c r="FGT98" s="17"/>
      <c r="FGU98" s="17"/>
      <c r="FGV98" s="17"/>
      <c r="FGW98" s="17"/>
      <c r="FGX98" s="17"/>
      <c r="FGY98" s="17"/>
      <c r="FGZ98" s="17"/>
      <c r="FHA98" s="17"/>
      <c r="FHB98" s="17"/>
      <c r="FHC98" s="17"/>
      <c r="FHD98" s="17"/>
      <c r="FHE98" s="17"/>
      <c r="FHF98" s="17"/>
      <c r="FHG98" s="17"/>
      <c r="FHH98" s="17"/>
      <c r="FHI98" s="17"/>
      <c r="FHJ98" s="17"/>
      <c r="FHK98" s="17"/>
      <c r="FHL98" s="17"/>
      <c r="FHM98" s="17"/>
      <c r="FHN98" s="17"/>
      <c r="FHO98" s="17"/>
      <c r="FHP98" s="17"/>
      <c r="FHQ98" s="17"/>
      <c r="FHR98" s="17"/>
      <c r="FHS98" s="17"/>
      <c r="FHT98" s="17"/>
      <c r="FHU98" s="17"/>
      <c r="FHV98" s="17"/>
      <c r="FHW98" s="17"/>
      <c r="FHX98" s="17"/>
      <c r="FHY98" s="17"/>
      <c r="FHZ98" s="17"/>
      <c r="FIA98" s="17"/>
      <c r="FIB98" s="17"/>
      <c r="FIC98" s="17"/>
      <c r="FID98" s="17"/>
      <c r="FIE98" s="17"/>
      <c r="FIF98" s="17"/>
      <c r="FIG98" s="17"/>
      <c r="FIH98" s="17"/>
      <c r="FII98" s="17"/>
      <c r="FIJ98" s="17"/>
      <c r="FIK98" s="17"/>
      <c r="FIL98" s="17"/>
      <c r="FIM98" s="17"/>
      <c r="FIN98" s="17"/>
      <c r="FIO98" s="17"/>
      <c r="FIP98" s="17"/>
      <c r="FIQ98" s="17"/>
      <c r="FIR98" s="17"/>
      <c r="FIS98" s="17"/>
      <c r="FIT98" s="17"/>
      <c r="FIU98" s="17"/>
      <c r="FIV98" s="17"/>
      <c r="FIW98" s="17"/>
      <c r="FIX98" s="17"/>
      <c r="FIY98" s="17"/>
      <c r="FIZ98" s="17"/>
      <c r="FJA98" s="17"/>
      <c r="FJB98" s="17"/>
      <c r="FJC98" s="17"/>
      <c r="FJD98" s="17"/>
      <c r="FJE98" s="17"/>
      <c r="FJF98" s="17"/>
      <c r="FJG98" s="17"/>
      <c r="FJH98" s="17"/>
      <c r="FJI98" s="17"/>
      <c r="FJJ98" s="17"/>
      <c r="FJK98" s="17"/>
      <c r="FJL98" s="17"/>
      <c r="FJM98" s="17"/>
      <c r="FJN98" s="17"/>
      <c r="FJO98" s="17"/>
      <c r="FJP98" s="17"/>
      <c r="FJQ98" s="17"/>
      <c r="FJR98" s="17"/>
      <c r="FJS98" s="17"/>
      <c r="FJT98" s="17"/>
      <c r="FJU98" s="17"/>
      <c r="FJV98" s="17"/>
      <c r="FJW98" s="17"/>
      <c r="FJX98" s="17"/>
      <c r="FJY98" s="17"/>
      <c r="FJZ98" s="17"/>
      <c r="FKA98" s="17"/>
      <c r="FKB98" s="17"/>
      <c r="FKC98" s="17"/>
      <c r="FKD98" s="17"/>
      <c r="FKE98" s="17"/>
      <c r="FKF98" s="17"/>
      <c r="FKG98" s="17"/>
      <c r="FKH98" s="17"/>
      <c r="FKI98" s="17"/>
      <c r="FKJ98" s="17"/>
      <c r="FKK98" s="17"/>
      <c r="FKL98" s="17"/>
      <c r="FKM98" s="17"/>
      <c r="FKN98" s="17"/>
      <c r="FKO98" s="17"/>
      <c r="FKP98" s="17"/>
      <c r="FKQ98" s="17"/>
      <c r="FKR98" s="17"/>
      <c r="FKS98" s="17"/>
      <c r="FKT98" s="17"/>
      <c r="FKU98" s="17"/>
      <c r="FKV98" s="17"/>
      <c r="FKW98" s="17"/>
      <c r="FKX98" s="17"/>
      <c r="FKY98" s="17"/>
      <c r="FKZ98" s="17"/>
      <c r="FLA98" s="17"/>
      <c r="FLB98" s="17"/>
      <c r="FLC98" s="17"/>
      <c r="FLD98" s="17"/>
      <c r="FLE98" s="17"/>
      <c r="FLF98" s="17"/>
      <c r="FLG98" s="17"/>
      <c r="FLH98" s="17"/>
      <c r="FLI98" s="17"/>
      <c r="FLJ98" s="17"/>
      <c r="FLK98" s="17"/>
      <c r="FLL98" s="17"/>
      <c r="FLM98" s="17"/>
      <c r="FLN98" s="17"/>
      <c r="FLO98" s="17"/>
      <c r="FLP98" s="17"/>
      <c r="FLQ98" s="17"/>
      <c r="FLR98" s="17"/>
      <c r="FLS98" s="17"/>
      <c r="FLT98" s="17"/>
      <c r="FLU98" s="17"/>
      <c r="FLV98" s="17"/>
      <c r="FLW98" s="17"/>
      <c r="FLX98" s="17"/>
      <c r="FLY98" s="17"/>
      <c r="FLZ98" s="17"/>
      <c r="FMA98" s="17"/>
      <c r="FMB98" s="17"/>
      <c r="FMC98" s="17"/>
      <c r="FMD98" s="17"/>
      <c r="FME98" s="17"/>
      <c r="FMF98" s="17"/>
      <c r="FMG98" s="17"/>
      <c r="FMH98" s="17"/>
      <c r="FMI98" s="17"/>
      <c r="FMJ98" s="17"/>
      <c r="FMK98" s="17"/>
      <c r="FML98" s="17"/>
      <c r="FMM98" s="17"/>
      <c r="FMN98" s="17"/>
      <c r="FMO98" s="17"/>
      <c r="FMP98" s="17"/>
      <c r="FMQ98" s="17"/>
      <c r="FMR98" s="17"/>
      <c r="FMS98" s="17"/>
      <c r="FMT98" s="17"/>
      <c r="FMU98" s="17"/>
      <c r="FMV98" s="17"/>
      <c r="FMW98" s="17"/>
      <c r="FMX98" s="17"/>
      <c r="FMY98" s="17"/>
      <c r="FMZ98" s="17"/>
      <c r="FNA98" s="17"/>
      <c r="FNB98" s="17"/>
      <c r="FNC98" s="17"/>
      <c r="FND98" s="17"/>
      <c r="FNE98" s="17"/>
      <c r="FNF98" s="17"/>
      <c r="FNG98" s="17"/>
      <c r="FNH98" s="17"/>
      <c r="FNI98" s="17"/>
      <c r="FNJ98" s="17"/>
      <c r="FNK98" s="17"/>
      <c r="FNL98" s="17"/>
      <c r="FNM98" s="17"/>
      <c r="FNN98" s="17"/>
      <c r="FNO98" s="17"/>
      <c r="FNP98" s="17"/>
      <c r="FNQ98" s="17"/>
      <c r="FNR98" s="17"/>
      <c r="FNS98" s="17"/>
      <c r="FNT98" s="17"/>
      <c r="FNU98" s="17"/>
      <c r="FNV98" s="17"/>
      <c r="FNW98" s="17"/>
      <c r="FNX98" s="17"/>
      <c r="FNY98" s="17"/>
      <c r="FNZ98" s="17"/>
      <c r="FOA98" s="17"/>
      <c r="FOB98" s="17"/>
      <c r="FOC98" s="17"/>
      <c r="FOD98" s="17"/>
      <c r="FOE98" s="17"/>
      <c r="FOF98" s="17"/>
      <c r="FOG98" s="17"/>
      <c r="FOH98" s="17"/>
      <c r="FOI98" s="17"/>
      <c r="FOJ98" s="17"/>
      <c r="FOK98" s="17"/>
      <c r="FOL98" s="17"/>
      <c r="FOM98" s="17"/>
      <c r="FON98" s="17"/>
      <c r="FOO98" s="17"/>
      <c r="FOP98" s="17"/>
      <c r="FOQ98" s="17"/>
      <c r="FOR98" s="17"/>
      <c r="FOS98" s="17"/>
      <c r="FOT98" s="17"/>
      <c r="FOU98" s="17"/>
      <c r="FOV98" s="17"/>
      <c r="FOW98" s="17"/>
      <c r="FOX98" s="17"/>
      <c r="FOY98" s="17"/>
      <c r="FOZ98" s="17"/>
      <c r="FPA98" s="17"/>
      <c r="FPB98" s="17"/>
      <c r="FPC98" s="17"/>
      <c r="FPD98" s="17"/>
      <c r="FPE98" s="17"/>
      <c r="FPF98" s="17"/>
      <c r="FPG98" s="17"/>
      <c r="FPH98" s="17"/>
      <c r="FPI98" s="17"/>
      <c r="FPJ98" s="17"/>
      <c r="FPK98" s="17"/>
      <c r="FPL98" s="17"/>
      <c r="FPM98" s="17"/>
      <c r="FPN98" s="17"/>
      <c r="FPO98" s="17"/>
      <c r="FPP98" s="17"/>
      <c r="FPQ98" s="17"/>
      <c r="FPR98" s="17"/>
      <c r="FPS98" s="17"/>
      <c r="FPT98" s="17"/>
      <c r="FPU98" s="17"/>
      <c r="FPV98" s="17"/>
      <c r="FPW98" s="17"/>
      <c r="FPX98" s="17"/>
      <c r="FPY98" s="17"/>
      <c r="FPZ98" s="17"/>
      <c r="FQA98" s="17"/>
      <c r="FQB98" s="17"/>
      <c r="FQC98" s="17"/>
      <c r="FQD98" s="17"/>
      <c r="FQE98" s="17"/>
      <c r="FQF98" s="17"/>
      <c r="FQG98" s="17"/>
      <c r="FQH98" s="17"/>
      <c r="FQI98" s="17"/>
      <c r="FQJ98" s="17"/>
      <c r="FQK98" s="17"/>
      <c r="FQL98" s="17"/>
      <c r="FQM98" s="17"/>
      <c r="FQN98" s="17"/>
      <c r="FQO98" s="17"/>
      <c r="FQP98" s="17"/>
      <c r="FQQ98" s="17"/>
      <c r="FQR98" s="17"/>
      <c r="FQS98" s="17"/>
      <c r="FQT98" s="17"/>
      <c r="FQU98" s="17"/>
      <c r="FQV98" s="17"/>
      <c r="FQW98" s="17"/>
      <c r="FQX98" s="17"/>
      <c r="FQY98" s="17"/>
      <c r="FQZ98" s="17"/>
      <c r="FRA98" s="17"/>
      <c r="FRB98" s="17"/>
      <c r="FRC98" s="17"/>
      <c r="FRD98" s="17"/>
      <c r="FRE98" s="17"/>
      <c r="FRF98" s="17"/>
      <c r="FRG98" s="17"/>
      <c r="FRH98" s="17"/>
      <c r="FRI98" s="17"/>
      <c r="FRJ98" s="17"/>
      <c r="FRK98" s="17"/>
      <c r="FRL98" s="17"/>
      <c r="FRM98" s="17"/>
      <c r="FRN98" s="17"/>
      <c r="FRO98" s="17"/>
      <c r="FRP98" s="17"/>
      <c r="FRQ98" s="17"/>
      <c r="FRR98" s="17"/>
      <c r="FRS98" s="17"/>
      <c r="FRT98" s="17"/>
      <c r="FRU98" s="17"/>
      <c r="FRV98" s="17"/>
      <c r="FRW98" s="17"/>
      <c r="FRX98" s="17"/>
      <c r="FRY98" s="17"/>
      <c r="FRZ98" s="17"/>
      <c r="FSA98" s="17"/>
      <c r="FSB98" s="17"/>
      <c r="FSC98" s="17"/>
      <c r="FSD98" s="17"/>
      <c r="FSE98" s="17"/>
      <c r="FSF98" s="17"/>
      <c r="FSG98" s="17"/>
      <c r="FSH98" s="17"/>
      <c r="FSI98" s="17"/>
      <c r="FSJ98" s="17"/>
      <c r="FSK98" s="17"/>
      <c r="FSL98" s="17"/>
      <c r="FSM98" s="17"/>
      <c r="FSN98" s="17"/>
      <c r="FSO98" s="17"/>
      <c r="FSP98" s="17"/>
      <c r="FSQ98" s="17"/>
      <c r="FSR98" s="17"/>
      <c r="FSS98" s="17"/>
      <c r="FST98" s="17"/>
      <c r="FSU98" s="17"/>
      <c r="FSV98" s="17"/>
      <c r="FSW98" s="17"/>
      <c r="FSX98" s="17"/>
      <c r="FSY98" s="17"/>
      <c r="FSZ98" s="17"/>
      <c r="FTA98" s="17"/>
      <c r="FTB98" s="17"/>
      <c r="FTC98" s="17"/>
      <c r="FTD98" s="17"/>
      <c r="FTE98" s="17"/>
      <c r="FTF98" s="17"/>
      <c r="FTG98" s="17"/>
      <c r="FTH98" s="17"/>
      <c r="FTI98" s="17"/>
      <c r="FTJ98" s="17"/>
      <c r="FTK98" s="17"/>
      <c r="FTL98" s="17"/>
      <c r="FTM98" s="17"/>
      <c r="FTN98" s="17"/>
      <c r="FTO98" s="17"/>
      <c r="FTP98" s="17"/>
      <c r="FTQ98" s="17"/>
      <c r="FTR98" s="17"/>
      <c r="FTS98" s="17"/>
      <c r="FTT98" s="17"/>
      <c r="FTU98" s="17"/>
      <c r="FTV98" s="17"/>
      <c r="FTW98" s="17"/>
      <c r="FTX98" s="17"/>
      <c r="FTY98" s="17"/>
      <c r="FTZ98" s="17"/>
      <c r="FUA98" s="17"/>
      <c r="FUB98" s="17"/>
      <c r="FUC98" s="17"/>
      <c r="FUD98" s="17"/>
      <c r="FUE98" s="17"/>
      <c r="FUF98" s="17"/>
      <c r="FUG98" s="17"/>
      <c r="FUH98" s="17"/>
      <c r="FUI98" s="17"/>
      <c r="FUJ98" s="17"/>
      <c r="FUK98" s="17"/>
      <c r="FUL98" s="17"/>
      <c r="FUM98" s="17"/>
      <c r="FUN98" s="17"/>
      <c r="FUO98" s="17"/>
      <c r="FUP98" s="17"/>
      <c r="FUQ98" s="17"/>
      <c r="FUR98" s="17"/>
      <c r="FUS98" s="17"/>
      <c r="FUT98" s="17"/>
      <c r="FUU98" s="17"/>
      <c r="FUV98" s="17"/>
      <c r="FUW98" s="17"/>
      <c r="FUX98" s="17"/>
      <c r="FUY98" s="17"/>
      <c r="FUZ98" s="17"/>
      <c r="FVA98" s="17"/>
      <c r="FVB98" s="17"/>
      <c r="FVC98" s="17"/>
      <c r="FVD98" s="17"/>
      <c r="FVE98" s="17"/>
      <c r="FVF98" s="17"/>
      <c r="FVG98" s="17"/>
      <c r="FVH98" s="17"/>
      <c r="FVI98" s="17"/>
      <c r="FVJ98" s="17"/>
      <c r="FVK98" s="17"/>
      <c r="FVL98" s="17"/>
      <c r="FVM98" s="17"/>
      <c r="FVN98" s="17"/>
      <c r="FVO98" s="17"/>
      <c r="FVP98" s="17"/>
      <c r="FVQ98" s="17"/>
      <c r="FVR98" s="17"/>
      <c r="FVS98" s="17"/>
      <c r="FVT98" s="17"/>
      <c r="FVU98" s="17"/>
      <c r="FVV98" s="17"/>
      <c r="FVW98" s="17"/>
      <c r="FVX98" s="17"/>
      <c r="FVY98" s="17"/>
      <c r="FVZ98" s="17"/>
      <c r="FWA98" s="17"/>
      <c r="FWB98" s="17"/>
      <c r="FWC98" s="17"/>
      <c r="FWD98" s="17"/>
      <c r="FWE98" s="17"/>
      <c r="FWF98" s="17"/>
      <c r="FWG98" s="17"/>
      <c r="FWH98" s="17"/>
      <c r="FWI98" s="17"/>
      <c r="FWJ98" s="17"/>
      <c r="FWK98" s="17"/>
      <c r="FWL98" s="17"/>
      <c r="FWM98" s="17"/>
      <c r="FWN98" s="17"/>
      <c r="FWO98" s="17"/>
      <c r="FWP98" s="17"/>
      <c r="FWQ98" s="17"/>
      <c r="FWR98" s="17"/>
      <c r="FWS98" s="17"/>
      <c r="FWT98" s="17"/>
      <c r="FWU98" s="17"/>
      <c r="FWV98" s="17"/>
      <c r="FWW98" s="17"/>
      <c r="FWX98" s="17"/>
      <c r="FWY98" s="17"/>
      <c r="FWZ98" s="17"/>
      <c r="FXA98" s="17"/>
      <c r="FXB98" s="17"/>
      <c r="FXC98" s="17"/>
      <c r="FXD98" s="17"/>
      <c r="FXE98" s="17"/>
      <c r="FXF98" s="17"/>
      <c r="FXG98" s="17"/>
      <c r="FXH98" s="17"/>
      <c r="FXI98" s="17"/>
      <c r="FXJ98" s="17"/>
      <c r="FXK98" s="17"/>
      <c r="FXL98" s="17"/>
      <c r="FXM98" s="17"/>
      <c r="FXN98" s="17"/>
      <c r="FXO98" s="17"/>
      <c r="FXP98" s="17"/>
      <c r="FXQ98" s="17"/>
      <c r="FXR98" s="17"/>
      <c r="FXS98" s="17"/>
      <c r="FXT98" s="17"/>
      <c r="FXU98" s="17"/>
      <c r="FXV98" s="17"/>
      <c r="FXW98" s="17"/>
      <c r="FXX98" s="17"/>
      <c r="FXY98" s="17"/>
      <c r="FXZ98" s="17"/>
      <c r="FYA98" s="17"/>
      <c r="FYB98" s="17"/>
      <c r="FYC98" s="17"/>
      <c r="FYD98" s="17"/>
      <c r="FYE98" s="17"/>
      <c r="FYF98" s="17"/>
      <c r="FYG98" s="17"/>
      <c r="FYH98" s="17"/>
      <c r="FYI98" s="17"/>
      <c r="FYJ98" s="17"/>
      <c r="FYK98" s="17"/>
      <c r="FYL98" s="17"/>
      <c r="FYM98" s="17"/>
      <c r="FYN98" s="17"/>
      <c r="FYO98" s="17"/>
      <c r="FYP98" s="17"/>
      <c r="FYQ98" s="17"/>
      <c r="FYR98" s="17"/>
      <c r="FYS98" s="17"/>
      <c r="FYT98" s="17"/>
      <c r="FYU98" s="17"/>
      <c r="FYV98" s="17"/>
      <c r="FYW98" s="17"/>
      <c r="FYX98" s="17"/>
      <c r="FYY98" s="17"/>
      <c r="FYZ98" s="17"/>
      <c r="FZA98" s="17"/>
      <c r="FZB98" s="17"/>
      <c r="FZC98" s="17"/>
      <c r="FZD98" s="17"/>
      <c r="FZE98" s="17"/>
      <c r="FZF98" s="17"/>
      <c r="FZG98" s="17"/>
      <c r="FZH98" s="17"/>
      <c r="FZI98" s="17"/>
      <c r="FZJ98" s="17"/>
      <c r="FZK98" s="17"/>
      <c r="FZL98" s="17"/>
      <c r="FZM98" s="17"/>
      <c r="FZN98" s="17"/>
      <c r="FZO98" s="17"/>
      <c r="FZP98" s="17"/>
      <c r="FZQ98" s="17"/>
      <c r="FZR98" s="17"/>
      <c r="FZS98" s="17"/>
      <c r="FZT98" s="17"/>
      <c r="FZU98" s="17"/>
      <c r="FZV98" s="17"/>
      <c r="FZW98" s="17"/>
      <c r="FZX98" s="17"/>
      <c r="FZY98" s="17"/>
      <c r="FZZ98" s="17"/>
      <c r="GAA98" s="17"/>
      <c r="GAB98" s="17"/>
      <c r="GAC98" s="17"/>
      <c r="GAD98" s="17"/>
      <c r="GAE98" s="17"/>
      <c r="GAF98" s="17"/>
      <c r="GAG98" s="17"/>
      <c r="GAH98" s="17"/>
      <c r="GAI98" s="17"/>
      <c r="GAJ98" s="17"/>
      <c r="GAK98" s="17"/>
      <c r="GAL98" s="17"/>
      <c r="GAM98" s="17"/>
      <c r="GAN98" s="17"/>
      <c r="GAO98" s="17"/>
      <c r="GAP98" s="17"/>
      <c r="GAQ98" s="17"/>
      <c r="GAR98" s="17"/>
      <c r="GAS98" s="17"/>
      <c r="GAT98" s="17"/>
      <c r="GAU98" s="17"/>
      <c r="GAV98" s="17"/>
      <c r="GAW98" s="17"/>
      <c r="GAX98" s="17"/>
      <c r="GAY98" s="17"/>
      <c r="GAZ98" s="17"/>
      <c r="GBA98" s="17"/>
      <c r="GBB98" s="17"/>
      <c r="GBC98" s="17"/>
      <c r="GBD98" s="17"/>
      <c r="GBE98" s="17"/>
      <c r="GBF98" s="17"/>
      <c r="GBG98" s="17"/>
      <c r="GBH98" s="17"/>
      <c r="GBI98" s="17"/>
      <c r="GBJ98" s="17"/>
      <c r="GBK98" s="17"/>
      <c r="GBL98" s="17"/>
      <c r="GBM98" s="17"/>
      <c r="GBN98" s="17"/>
      <c r="GBO98" s="17"/>
      <c r="GBP98" s="17"/>
      <c r="GBQ98" s="17"/>
      <c r="GBR98" s="17"/>
      <c r="GBS98" s="17"/>
      <c r="GBT98" s="17"/>
      <c r="GBU98" s="17"/>
      <c r="GBV98" s="17"/>
      <c r="GBW98" s="17"/>
      <c r="GBX98" s="17"/>
      <c r="GBY98" s="17"/>
      <c r="GBZ98" s="17"/>
      <c r="GCA98" s="17"/>
      <c r="GCB98" s="17"/>
      <c r="GCC98" s="17"/>
      <c r="GCD98" s="17"/>
      <c r="GCE98" s="17"/>
      <c r="GCF98" s="17"/>
      <c r="GCG98" s="17"/>
      <c r="GCH98" s="17"/>
      <c r="GCI98" s="17"/>
      <c r="GCJ98" s="17"/>
      <c r="GCK98" s="17"/>
      <c r="GCL98" s="17"/>
      <c r="GCM98" s="17"/>
      <c r="GCN98" s="17"/>
      <c r="GCO98" s="17"/>
      <c r="GCP98" s="17"/>
      <c r="GCQ98" s="17"/>
      <c r="GCR98" s="17"/>
      <c r="GCS98" s="17"/>
      <c r="GCT98" s="17"/>
      <c r="GCU98" s="17"/>
      <c r="GCV98" s="17"/>
      <c r="GCW98" s="17"/>
      <c r="GCX98" s="17"/>
      <c r="GCY98" s="17"/>
      <c r="GCZ98" s="17"/>
      <c r="GDA98" s="17"/>
      <c r="GDB98" s="17"/>
      <c r="GDC98" s="17"/>
      <c r="GDD98" s="17"/>
      <c r="GDE98" s="17"/>
      <c r="GDF98" s="17"/>
      <c r="GDG98" s="17"/>
      <c r="GDH98" s="17"/>
      <c r="GDI98" s="17"/>
      <c r="GDJ98" s="17"/>
      <c r="GDK98" s="17"/>
      <c r="GDL98" s="17"/>
      <c r="GDM98" s="17"/>
      <c r="GDN98" s="17"/>
      <c r="GDO98" s="17"/>
      <c r="GDP98" s="17"/>
      <c r="GDQ98" s="17"/>
      <c r="GDR98" s="17"/>
      <c r="GDS98" s="17"/>
      <c r="GDT98" s="17"/>
      <c r="GDU98" s="17"/>
      <c r="GDV98" s="17"/>
      <c r="GDW98" s="17"/>
      <c r="GDX98" s="17"/>
      <c r="GDY98" s="17"/>
      <c r="GDZ98" s="17"/>
      <c r="GEA98" s="17"/>
      <c r="GEB98" s="17"/>
      <c r="GEC98" s="17"/>
      <c r="GED98" s="17"/>
      <c r="GEE98" s="17"/>
      <c r="GEF98" s="17"/>
      <c r="GEG98" s="17"/>
      <c r="GEH98" s="17"/>
      <c r="GEI98" s="17"/>
      <c r="GEJ98" s="17"/>
      <c r="GEK98" s="17"/>
      <c r="GEL98" s="17"/>
      <c r="GEM98" s="17"/>
      <c r="GEN98" s="17"/>
      <c r="GEO98" s="17"/>
      <c r="GEP98" s="17"/>
      <c r="GEQ98" s="17"/>
      <c r="GER98" s="17"/>
      <c r="GES98" s="17"/>
      <c r="GET98" s="17"/>
      <c r="GEU98" s="17"/>
      <c r="GEV98" s="17"/>
      <c r="GEW98" s="17"/>
      <c r="GEX98" s="17"/>
      <c r="GEY98" s="17"/>
      <c r="GEZ98" s="17"/>
      <c r="GFA98" s="17"/>
      <c r="GFB98" s="17"/>
      <c r="GFC98" s="17"/>
      <c r="GFD98" s="17"/>
      <c r="GFE98" s="17"/>
      <c r="GFF98" s="17"/>
      <c r="GFG98" s="17"/>
      <c r="GFH98" s="17"/>
      <c r="GFI98" s="17"/>
      <c r="GFJ98" s="17"/>
      <c r="GFK98" s="17"/>
      <c r="GFL98" s="17"/>
      <c r="GFM98" s="17"/>
      <c r="GFN98" s="17"/>
      <c r="GFO98" s="17"/>
      <c r="GFP98" s="17"/>
      <c r="GFQ98" s="17"/>
      <c r="GFR98" s="17"/>
      <c r="GFS98" s="17"/>
      <c r="GFT98" s="17"/>
      <c r="GFU98" s="17"/>
      <c r="GFV98" s="17"/>
      <c r="GFW98" s="17"/>
      <c r="GFX98" s="17"/>
      <c r="GFY98" s="17"/>
      <c r="GFZ98" s="17"/>
      <c r="GGA98" s="17"/>
      <c r="GGB98" s="17"/>
      <c r="GGC98" s="17"/>
      <c r="GGD98" s="17"/>
      <c r="GGE98" s="17"/>
      <c r="GGF98" s="17"/>
      <c r="GGG98" s="17"/>
      <c r="GGH98" s="17"/>
      <c r="GGI98" s="17"/>
      <c r="GGJ98" s="17"/>
      <c r="GGK98" s="17"/>
      <c r="GGL98" s="17"/>
      <c r="GGM98" s="17"/>
      <c r="GGN98" s="17"/>
      <c r="GGO98" s="17"/>
      <c r="GGP98" s="17"/>
      <c r="GGQ98" s="17"/>
      <c r="GGR98" s="17"/>
      <c r="GGS98" s="17"/>
      <c r="GGT98" s="17"/>
      <c r="GGU98" s="17"/>
      <c r="GGV98" s="17"/>
      <c r="GGW98" s="17"/>
      <c r="GGX98" s="17"/>
      <c r="GGY98" s="17"/>
      <c r="GGZ98" s="17"/>
      <c r="GHA98" s="17"/>
      <c r="GHB98" s="17"/>
      <c r="GHC98" s="17"/>
      <c r="GHD98" s="17"/>
      <c r="GHE98" s="17"/>
      <c r="GHF98" s="17"/>
      <c r="GHG98" s="17"/>
      <c r="GHH98" s="17"/>
      <c r="GHI98" s="17"/>
      <c r="GHJ98" s="17"/>
      <c r="GHK98" s="17"/>
      <c r="GHL98" s="17"/>
      <c r="GHM98" s="17"/>
      <c r="GHN98" s="17"/>
      <c r="GHO98" s="17"/>
      <c r="GHP98" s="17"/>
      <c r="GHQ98" s="17"/>
      <c r="GHR98" s="17"/>
      <c r="GHS98" s="17"/>
      <c r="GHT98" s="17"/>
      <c r="GHU98" s="17"/>
      <c r="GHV98" s="17"/>
      <c r="GHW98" s="17"/>
      <c r="GHX98" s="17"/>
      <c r="GHY98" s="17"/>
      <c r="GHZ98" s="17"/>
      <c r="GIA98" s="17"/>
      <c r="GIB98" s="17"/>
      <c r="GIC98" s="17"/>
      <c r="GID98" s="17"/>
      <c r="GIE98" s="17"/>
      <c r="GIF98" s="17"/>
      <c r="GIG98" s="17"/>
      <c r="GIH98" s="17"/>
      <c r="GII98" s="17"/>
      <c r="GIJ98" s="17"/>
      <c r="GIK98" s="17"/>
      <c r="GIL98" s="17"/>
      <c r="GIM98" s="17"/>
      <c r="GIN98" s="17"/>
      <c r="GIO98" s="17"/>
      <c r="GIP98" s="17"/>
      <c r="GIQ98" s="17"/>
      <c r="GIR98" s="17"/>
      <c r="GIS98" s="17"/>
      <c r="GIT98" s="17"/>
      <c r="GIU98" s="17"/>
      <c r="GIV98" s="17"/>
      <c r="GIW98" s="17"/>
      <c r="GIX98" s="17"/>
      <c r="GIY98" s="17"/>
      <c r="GIZ98" s="17"/>
      <c r="GJA98" s="17"/>
      <c r="GJB98" s="17"/>
      <c r="GJC98" s="17"/>
      <c r="GJD98" s="17"/>
      <c r="GJE98" s="17"/>
      <c r="GJF98" s="17"/>
      <c r="GJG98" s="17"/>
      <c r="GJH98" s="17"/>
      <c r="GJI98" s="17"/>
      <c r="GJJ98" s="17"/>
      <c r="GJK98" s="17"/>
      <c r="GJL98" s="17"/>
      <c r="GJM98" s="17"/>
      <c r="GJN98" s="17"/>
      <c r="GJO98" s="17"/>
      <c r="GJP98" s="17"/>
      <c r="GJQ98" s="17"/>
      <c r="GJR98" s="17"/>
      <c r="GJS98" s="17"/>
      <c r="GJT98" s="17"/>
      <c r="GJU98" s="17"/>
      <c r="GJV98" s="17"/>
      <c r="GJW98" s="17"/>
      <c r="GJX98" s="17"/>
      <c r="GJY98" s="17"/>
      <c r="GJZ98" s="17"/>
      <c r="GKA98" s="17"/>
      <c r="GKB98" s="17"/>
      <c r="GKC98" s="17"/>
      <c r="GKD98" s="17"/>
      <c r="GKE98" s="17"/>
      <c r="GKF98" s="17"/>
      <c r="GKG98" s="17"/>
      <c r="GKH98" s="17"/>
      <c r="GKI98" s="17"/>
      <c r="GKJ98" s="17"/>
      <c r="GKK98" s="17"/>
      <c r="GKL98" s="17"/>
      <c r="GKM98" s="17"/>
      <c r="GKN98" s="17"/>
      <c r="GKO98" s="17"/>
      <c r="GKP98" s="17"/>
      <c r="GKQ98" s="17"/>
      <c r="GKR98" s="17"/>
      <c r="GKS98" s="17"/>
      <c r="GKT98" s="17"/>
      <c r="GKU98" s="17"/>
      <c r="GKV98" s="17"/>
      <c r="GKW98" s="17"/>
      <c r="GKX98" s="17"/>
      <c r="GKY98" s="17"/>
      <c r="GKZ98" s="17"/>
      <c r="GLA98" s="17"/>
      <c r="GLB98" s="17"/>
      <c r="GLC98" s="17"/>
      <c r="GLD98" s="17"/>
      <c r="GLE98" s="17"/>
      <c r="GLF98" s="17"/>
      <c r="GLG98" s="17"/>
      <c r="GLH98" s="17"/>
      <c r="GLI98" s="17"/>
      <c r="GLJ98" s="17"/>
      <c r="GLK98" s="17"/>
      <c r="GLL98" s="17"/>
      <c r="GLM98" s="17"/>
      <c r="GLN98" s="17"/>
      <c r="GLO98" s="17"/>
      <c r="GLP98" s="17"/>
      <c r="GLQ98" s="17"/>
      <c r="GLR98" s="17"/>
      <c r="GLS98" s="17"/>
      <c r="GLT98" s="17"/>
      <c r="GLU98" s="17"/>
      <c r="GLV98" s="17"/>
      <c r="GLW98" s="17"/>
      <c r="GLX98" s="17"/>
      <c r="GLY98" s="17"/>
      <c r="GLZ98" s="17"/>
      <c r="GMA98" s="17"/>
      <c r="GMB98" s="17"/>
      <c r="GMC98" s="17"/>
      <c r="GMD98" s="17"/>
      <c r="GME98" s="17"/>
      <c r="GMF98" s="17"/>
      <c r="GMG98" s="17"/>
      <c r="GMH98" s="17"/>
      <c r="GMI98" s="17"/>
      <c r="GMJ98" s="17"/>
      <c r="GMK98" s="17"/>
      <c r="GML98" s="17"/>
      <c r="GMM98" s="17"/>
      <c r="GMN98" s="17"/>
      <c r="GMO98" s="17"/>
      <c r="GMP98" s="17"/>
      <c r="GMQ98" s="17"/>
      <c r="GMR98" s="17"/>
      <c r="GMS98" s="17"/>
      <c r="GMT98" s="17"/>
      <c r="GMU98" s="17"/>
      <c r="GMV98" s="17"/>
      <c r="GMW98" s="17"/>
      <c r="GMX98" s="17"/>
      <c r="GMY98" s="17"/>
      <c r="GMZ98" s="17"/>
      <c r="GNA98" s="17"/>
      <c r="GNB98" s="17"/>
      <c r="GNC98" s="17"/>
      <c r="GND98" s="17"/>
      <c r="GNE98" s="17"/>
      <c r="GNF98" s="17"/>
      <c r="GNG98" s="17"/>
      <c r="GNH98" s="17"/>
      <c r="GNI98" s="17"/>
      <c r="GNJ98" s="17"/>
      <c r="GNK98" s="17"/>
      <c r="GNL98" s="17"/>
      <c r="GNM98" s="17"/>
      <c r="GNN98" s="17"/>
      <c r="GNO98" s="17"/>
      <c r="GNP98" s="17"/>
      <c r="GNQ98" s="17"/>
      <c r="GNR98" s="17"/>
      <c r="GNS98" s="17"/>
      <c r="GNT98" s="17"/>
      <c r="GNU98" s="17"/>
      <c r="GNV98" s="17"/>
      <c r="GNW98" s="17"/>
      <c r="GNX98" s="17"/>
      <c r="GNY98" s="17"/>
      <c r="GNZ98" s="17"/>
      <c r="GOA98" s="17"/>
      <c r="GOB98" s="17"/>
      <c r="GOC98" s="17"/>
      <c r="GOD98" s="17"/>
      <c r="GOE98" s="17"/>
      <c r="GOF98" s="17"/>
      <c r="GOG98" s="17"/>
      <c r="GOH98" s="17"/>
      <c r="GOI98" s="17"/>
      <c r="GOJ98" s="17"/>
      <c r="GOK98" s="17"/>
      <c r="GOL98" s="17"/>
      <c r="GOM98" s="17"/>
      <c r="GON98" s="17"/>
      <c r="GOO98" s="17"/>
      <c r="GOP98" s="17"/>
      <c r="GOQ98" s="17"/>
      <c r="GOR98" s="17"/>
      <c r="GOS98" s="17"/>
      <c r="GOT98" s="17"/>
      <c r="GOU98" s="17"/>
      <c r="GOV98" s="17"/>
      <c r="GOW98" s="17"/>
      <c r="GOX98" s="17"/>
      <c r="GOY98" s="17"/>
      <c r="GOZ98" s="17"/>
      <c r="GPA98" s="17"/>
      <c r="GPB98" s="17"/>
      <c r="GPC98" s="17"/>
      <c r="GPD98" s="17"/>
      <c r="GPE98" s="17"/>
      <c r="GPF98" s="17"/>
      <c r="GPG98" s="17"/>
      <c r="GPH98" s="17"/>
      <c r="GPI98" s="17"/>
      <c r="GPJ98" s="17"/>
      <c r="GPK98" s="17"/>
      <c r="GPL98" s="17"/>
      <c r="GPM98" s="17"/>
      <c r="GPN98" s="17"/>
      <c r="GPO98" s="17"/>
      <c r="GPP98" s="17"/>
      <c r="GPQ98" s="17"/>
      <c r="GPR98" s="17"/>
      <c r="GPS98" s="17"/>
      <c r="GPT98" s="17"/>
      <c r="GPU98" s="17"/>
      <c r="GPV98" s="17"/>
      <c r="GPW98" s="17"/>
      <c r="GPX98" s="17"/>
      <c r="GPY98" s="17"/>
      <c r="GPZ98" s="17"/>
      <c r="GQA98" s="17"/>
      <c r="GQB98" s="17"/>
      <c r="GQC98" s="17"/>
      <c r="GQD98" s="17"/>
      <c r="GQE98" s="17"/>
      <c r="GQF98" s="17"/>
      <c r="GQG98" s="17"/>
      <c r="GQH98" s="17"/>
      <c r="GQI98" s="17"/>
      <c r="GQJ98" s="17"/>
      <c r="GQK98" s="17"/>
      <c r="GQL98" s="17"/>
      <c r="GQM98" s="17"/>
      <c r="GQN98" s="17"/>
      <c r="GQO98" s="17"/>
      <c r="GQP98" s="17"/>
      <c r="GQQ98" s="17"/>
      <c r="GQR98" s="17"/>
      <c r="GQS98" s="17"/>
      <c r="GQT98" s="17"/>
      <c r="GQU98" s="17"/>
      <c r="GQV98" s="17"/>
      <c r="GQW98" s="17"/>
      <c r="GQX98" s="17"/>
      <c r="GQY98" s="17"/>
      <c r="GQZ98" s="17"/>
      <c r="GRA98" s="17"/>
      <c r="GRB98" s="17"/>
      <c r="GRC98" s="17"/>
      <c r="GRD98" s="17"/>
      <c r="GRE98" s="17"/>
      <c r="GRF98" s="17"/>
      <c r="GRG98" s="17"/>
      <c r="GRH98" s="17"/>
      <c r="GRI98" s="17"/>
      <c r="GRJ98" s="17"/>
      <c r="GRK98" s="17"/>
      <c r="GRL98" s="17"/>
      <c r="GRM98" s="17"/>
      <c r="GRN98" s="17"/>
      <c r="GRO98" s="17"/>
      <c r="GRP98" s="17"/>
      <c r="GRQ98" s="17"/>
      <c r="GRR98" s="17"/>
      <c r="GRS98" s="17"/>
      <c r="GRT98" s="17"/>
      <c r="GRU98" s="17"/>
      <c r="GRV98" s="17"/>
      <c r="GRW98" s="17"/>
      <c r="GRX98" s="17"/>
      <c r="GRY98" s="17"/>
      <c r="GRZ98" s="17"/>
      <c r="GSA98" s="17"/>
      <c r="GSB98" s="17"/>
      <c r="GSC98" s="17"/>
      <c r="GSD98" s="17"/>
      <c r="GSE98" s="17"/>
      <c r="GSF98" s="17"/>
      <c r="GSG98" s="17"/>
      <c r="GSH98" s="17"/>
      <c r="GSI98" s="17"/>
      <c r="GSJ98" s="17"/>
      <c r="GSK98" s="17"/>
      <c r="GSL98" s="17"/>
      <c r="GSM98" s="17"/>
      <c r="GSN98" s="17"/>
      <c r="GSO98" s="17"/>
      <c r="GSP98" s="17"/>
      <c r="GSQ98" s="17"/>
      <c r="GSR98" s="17"/>
      <c r="GSS98" s="17"/>
      <c r="GST98" s="17"/>
      <c r="GSU98" s="17"/>
      <c r="GSV98" s="17"/>
      <c r="GSW98" s="17"/>
      <c r="GSX98" s="17"/>
      <c r="GSY98" s="17"/>
      <c r="GSZ98" s="17"/>
      <c r="GTA98" s="17"/>
      <c r="GTB98" s="17"/>
      <c r="GTC98" s="17"/>
      <c r="GTD98" s="17"/>
      <c r="GTE98" s="17"/>
      <c r="GTF98" s="17"/>
      <c r="GTG98" s="17"/>
      <c r="GTH98" s="17"/>
      <c r="GTI98" s="17"/>
      <c r="GTJ98" s="17"/>
      <c r="GTK98" s="17"/>
      <c r="GTL98" s="17"/>
      <c r="GTM98" s="17"/>
      <c r="GTN98" s="17"/>
      <c r="GTO98" s="17"/>
      <c r="GTP98" s="17"/>
      <c r="GTQ98" s="17"/>
      <c r="GTR98" s="17"/>
      <c r="GTS98" s="17"/>
      <c r="GTT98" s="17"/>
      <c r="GTU98" s="17"/>
      <c r="GTV98" s="17"/>
      <c r="GTW98" s="17"/>
      <c r="GTX98" s="17"/>
      <c r="GTY98" s="17"/>
      <c r="GTZ98" s="17"/>
      <c r="GUA98" s="17"/>
      <c r="GUB98" s="17"/>
      <c r="GUC98" s="17"/>
      <c r="GUD98" s="17"/>
      <c r="GUE98" s="17"/>
      <c r="GUF98" s="17"/>
      <c r="GUG98" s="17"/>
      <c r="GUH98" s="17"/>
      <c r="GUI98" s="17"/>
      <c r="GUJ98" s="17"/>
      <c r="GUK98" s="17"/>
      <c r="GUL98" s="17"/>
      <c r="GUM98" s="17"/>
      <c r="GUN98" s="17"/>
      <c r="GUO98" s="17"/>
      <c r="GUP98" s="17"/>
      <c r="GUQ98" s="17"/>
      <c r="GUR98" s="17"/>
      <c r="GUS98" s="17"/>
      <c r="GUT98" s="17"/>
      <c r="GUU98" s="17"/>
      <c r="GUV98" s="17"/>
      <c r="GUW98" s="17"/>
      <c r="GUX98" s="17"/>
      <c r="GUY98" s="17"/>
      <c r="GUZ98" s="17"/>
      <c r="GVA98" s="17"/>
      <c r="GVB98" s="17"/>
      <c r="GVC98" s="17"/>
      <c r="GVD98" s="17"/>
      <c r="GVE98" s="17"/>
      <c r="GVF98" s="17"/>
      <c r="GVG98" s="17"/>
      <c r="GVH98" s="17"/>
      <c r="GVI98" s="17"/>
      <c r="GVJ98" s="17"/>
      <c r="GVK98" s="17"/>
      <c r="GVL98" s="17"/>
      <c r="GVM98" s="17"/>
      <c r="GVN98" s="17"/>
      <c r="GVO98" s="17"/>
      <c r="GVP98" s="17"/>
      <c r="GVQ98" s="17"/>
      <c r="GVR98" s="17"/>
      <c r="GVS98" s="17"/>
      <c r="GVT98" s="17"/>
      <c r="GVU98" s="17"/>
      <c r="GVV98" s="17"/>
      <c r="GVW98" s="17"/>
      <c r="GVX98" s="17"/>
      <c r="GVY98" s="17"/>
      <c r="GVZ98" s="17"/>
      <c r="GWA98" s="17"/>
      <c r="GWB98" s="17"/>
      <c r="GWC98" s="17"/>
      <c r="GWD98" s="17"/>
      <c r="GWE98" s="17"/>
      <c r="GWF98" s="17"/>
      <c r="GWG98" s="17"/>
      <c r="GWH98" s="17"/>
      <c r="GWI98" s="17"/>
      <c r="GWJ98" s="17"/>
      <c r="GWK98" s="17"/>
      <c r="GWL98" s="17"/>
      <c r="GWM98" s="17"/>
      <c r="GWN98" s="17"/>
      <c r="GWO98" s="17"/>
      <c r="GWP98" s="17"/>
      <c r="GWQ98" s="17"/>
      <c r="GWR98" s="17"/>
      <c r="GWS98" s="17"/>
      <c r="GWT98" s="17"/>
      <c r="GWU98" s="17"/>
      <c r="GWV98" s="17"/>
      <c r="GWW98" s="17"/>
      <c r="GWX98" s="17"/>
      <c r="GWY98" s="17"/>
      <c r="GWZ98" s="17"/>
      <c r="GXA98" s="17"/>
      <c r="GXB98" s="17"/>
      <c r="GXC98" s="17"/>
      <c r="GXD98" s="17"/>
      <c r="GXE98" s="17"/>
      <c r="GXF98" s="17"/>
      <c r="GXG98" s="17"/>
      <c r="GXH98" s="17"/>
      <c r="GXI98" s="17"/>
      <c r="GXJ98" s="17"/>
      <c r="GXK98" s="17"/>
      <c r="GXL98" s="17"/>
      <c r="GXM98" s="17"/>
      <c r="GXN98" s="17"/>
      <c r="GXO98" s="17"/>
      <c r="GXP98" s="17"/>
      <c r="GXQ98" s="17"/>
      <c r="GXR98" s="17"/>
      <c r="GXS98" s="17"/>
      <c r="GXT98" s="17"/>
      <c r="GXU98" s="17"/>
      <c r="GXV98" s="17"/>
      <c r="GXW98" s="17"/>
      <c r="GXX98" s="17"/>
      <c r="GXY98" s="17"/>
      <c r="GXZ98" s="17"/>
      <c r="GYA98" s="17"/>
      <c r="GYB98" s="17"/>
      <c r="GYC98" s="17"/>
      <c r="GYD98" s="17"/>
      <c r="GYE98" s="17"/>
      <c r="GYF98" s="17"/>
      <c r="GYG98" s="17"/>
      <c r="GYH98" s="17"/>
      <c r="GYI98" s="17"/>
      <c r="GYJ98" s="17"/>
      <c r="GYK98" s="17"/>
      <c r="GYL98" s="17"/>
      <c r="GYM98" s="17"/>
      <c r="GYN98" s="17"/>
      <c r="GYO98" s="17"/>
      <c r="GYP98" s="17"/>
      <c r="GYQ98" s="17"/>
      <c r="GYR98" s="17"/>
      <c r="GYS98" s="17"/>
      <c r="GYT98" s="17"/>
      <c r="GYU98" s="17"/>
      <c r="GYV98" s="17"/>
      <c r="GYW98" s="17"/>
      <c r="GYX98" s="17"/>
      <c r="GYY98" s="17"/>
      <c r="GYZ98" s="17"/>
      <c r="GZA98" s="17"/>
      <c r="GZB98" s="17"/>
      <c r="GZC98" s="17"/>
      <c r="GZD98" s="17"/>
      <c r="GZE98" s="17"/>
      <c r="GZF98" s="17"/>
      <c r="GZG98" s="17"/>
      <c r="GZH98" s="17"/>
      <c r="GZI98" s="17"/>
      <c r="GZJ98" s="17"/>
      <c r="GZK98" s="17"/>
      <c r="GZL98" s="17"/>
      <c r="GZM98" s="17"/>
      <c r="GZN98" s="17"/>
      <c r="GZO98" s="17"/>
      <c r="GZP98" s="17"/>
      <c r="GZQ98" s="17"/>
      <c r="GZR98" s="17"/>
      <c r="GZS98" s="17"/>
      <c r="GZT98" s="17"/>
      <c r="GZU98" s="17"/>
      <c r="GZV98" s="17"/>
      <c r="GZW98" s="17"/>
      <c r="GZX98" s="17"/>
      <c r="GZY98" s="17"/>
      <c r="GZZ98" s="17"/>
      <c r="HAA98" s="17"/>
      <c r="HAB98" s="17"/>
      <c r="HAC98" s="17"/>
      <c r="HAD98" s="17"/>
      <c r="HAE98" s="17"/>
      <c r="HAF98" s="17"/>
      <c r="HAG98" s="17"/>
      <c r="HAH98" s="17"/>
      <c r="HAI98" s="17"/>
      <c r="HAJ98" s="17"/>
      <c r="HAK98" s="17"/>
      <c r="HAL98" s="17"/>
      <c r="HAM98" s="17"/>
      <c r="HAN98" s="17"/>
      <c r="HAO98" s="17"/>
      <c r="HAP98" s="17"/>
      <c r="HAQ98" s="17"/>
      <c r="HAR98" s="17"/>
      <c r="HAS98" s="17"/>
      <c r="HAT98" s="17"/>
      <c r="HAU98" s="17"/>
      <c r="HAV98" s="17"/>
      <c r="HAW98" s="17"/>
      <c r="HAX98" s="17"/>
      <c r="HAY98" s="17"/>
      <c r="HAZ98" s="17"/>
      <c r="HBA98" s="17"/>
      <c r="HBB98" s="17"/>
      <c r="HBC98" s="17"/>
      <c r="HBD98" s="17"/>
      <c r="HBE98" s="17"/>
      <c r="HBF98" s="17"/>
      <c r="HBG98" s="17"/>
      <c r="HBH98" s="17"/>
      <c r="HBI98" s="17"/>
      <c r="HBJ98" s="17"/>
      <c r="HBK98" s="17"/>
      <c r="HBL98" s="17"/>
      <c r="HBM98" s="17"/>
      <c r="HBN98" s="17"/>
      <c r="HBO98" s="17"/>
      <c r="HBP98" s="17"/>
      <c r="HBQ98" s="17"/>
      <c r="HBR98" s="17"/>
      <c r="HBS98" s="17"/>
      <c r="HBT98" s="17"/>
      <c r="HBU98" s="17"/>
      <c r="HBV98" s="17"/>
      <c r="HBW98" s="17"/>
      <c r="HBX98" s="17"/>
      <c r="HBY98" s="17"/>
      <c r="HBZ98" s="17"/>
      <c r="HCA98" s="17"/>
      <c r="HCB98" s="17"/>
      <c r="HCC98" s="17"/>
      <c r="HCD98" s="17"/>
      <c r="HCE98" s="17"/>
      <c r="HCF98" s="17"/>
      <c r="HCG98" s="17"/>
      <c r="HCH98" s="17"/>
      <c r="HCI98" s="17"/>
      <c r="HCJ98" s="17"/>
      <c r="HCK98" s="17"/>
      <c r="HCL98" s="17"/>
      <c r="HCM98" s="17"/>
      <c r="HCN98" s="17"/>
      <c r="HCO98" s="17"/>
      <c r="HCP98" s="17"/>
      <c r="HCQ98" s="17"/>
      <c r="HCR98" s="17"/>
      <c r="HCS98" s="17"/>
      <c r="HCT98" s="17"/>
      <c r="HCU98" s="17"/>
      <c r="HCV98" s="17"/>
      <c r="HCW98" s="17"/>
      <c r="HCX98" s="17"/>
      <c r="HCY98" s="17"/>
      <c r="HCZ98" s="17"/>
      <c r="HDA98" s="17"/>
      <c r="HDB98" s="17"/>
      <c r="HDC98" s="17"/>
      <c r="HDD98" s="17"/>
      <c r="HDE98" s="17"/>
      <c r="HDF98" s="17"/>
      <c r="HDG98" s="17"/>
      <c r="HDH98" s="17"/>
      <c r="HDI98" s="17"/>
      <c r="HDJ98" s="17"/>
      <c r="HDK98" s="17"/>
      <c r="HDL98" s="17"/>
      <c r="HDM98" s="17"/>
      <c r="HDN98" s="17"/>
      <c r="HDO98" s="17"/>
      <c r="HDP98" s="17"/>
      <c r="HDQ98" s="17"/>
      <c r="HDR98" s="17"/>
      <c r="HDS98" s="17"/>
      <c r="HDT98" s="17"/>
      <c r="HDU98" s="17"/>
      <c r="HDV98" s="17"/>
      <c r="HDW98" s="17"/>
      <c r="HDX98" s="17"/>
      <c r="HDY98" s="17"/>
      <c r="HDZ98" s="17"/>
      <c r="HEA98" s="17"/>
      <c r="HEB98" s="17"/>
      <c r="HEC98" s="17"/>
      <c r="HED98" s="17"/>
      <c r="HEE98" s="17"/>
      <c r="HEF98" s="17"/>
      <c r="HEG98" s="17"/>
      <c r="HEH98" s="17"/>
      <c r="HEI98" s="17"/>
      <c r="HEJ98" s="17"/>
      <c r="HEK98" s="17"/>
      <c r="HEL98" s="17"/>
      <c r="HEM98" s="17"/>
      <c r="HEN98" s="17"/>
      <c r="HEO98" s="17"/>
      <c r="HEP98" s="17"/>
      <c r="HEQ98" s="17"/>
      <c r="HER98" s="17"/>
      <c r="HES98" s="17"/>
      <c r="HET98" s="17"/>
      <c r="HEU98" s="17"/>
      <c r="HEV98" s="17"/>
      <c r="HEW98" s="17"/>
      <c r="HEX98" s="17"/>
      <c r="HEY98" s="17"/>
      <c r="HEZ98" s="17"/>
      <c r="HFA98" s="17"/>
      <c r="HFB98" s="17"/>
      <c r="HFC98" s="17"/>
      <c r="HFD98" s="17"/>
      <c r="HFE98" s="17"/>
      <c r="HFF98" s="17"/>
      <c r="HFG98" s="17"/>
      <c r="HFH98" s="17"/>
      <c r="HFI98" s="17"/>
      <c r="HFJ98" s="17"/>
      <c r="HFK98" s="17"/>
      <c r="HFL98" s="17"/>
      <c r="HFM98" s="17"/>
      <c r="HFN98" s="17"/>
      <c r="HFO98" s="17"/>
      <c r="HFP98" s="17"/>
      <c r="HFQ98" s="17"/>
      <c r="HFR98" s="17"/>
      <c r="HFS98" s="17"/>
      <c r="HFT98" s="17"/>
      <c r="HFU98" s="17"/>
      <c r="HFV98" s="17"/>
      <c r="HFW98" s="17"/>
      <c r="HFX98" s="17"/>
      <c r="HFY98" s="17"/>
      <c r="HFZ98" s="17"/>
      <c r="HGA98" s="17"/>
      <c r="HGB98" s="17"/>
      <c r="HGC98" s="17"/>
      <c r="HGD98" s="17"/>
      <c r="HGE98" s="17"/>
      <c r="HGF98" s="17"/>
      <c r="HGG98" s="17"/>
      <c r="HGH98" s="17"/>
      <c r="HGI98" s="17"/>
      <c r="HGJ98" s="17"/>
      <c r="HGK98" s="17"/>
      <c r="HGL98" s="17"/>
      <c r="HGM98" s="17"/>
      <c r="HGN98" s="17"/>
      <c r="HGO98" s="17"/>
      <c r="HGP98" s="17"/>
      <c r="HGQ98" s="17"/>
      <c r="HGR98" s="17"/>
      <c r="HGS98" s="17"/>
      <c r="HGT98" s="17"/>
      <c r="HGU98" s="17"/>
      <c r="HGV98" s="17"/>
      <c r="HGW98" s="17"/>
      <c r="HGX98" s="17"/>
      <c r="HGY98" s="17"/>
      <c r="HGZ98" s="17"/>
      <c r="HHA98" s="17"/>
      <c r="HHB98" s="17"/>
      <c r="HHC98" s="17"/>
      <c r="HHD98" s="17"/>
      <c r="HHE98" s="17"/>
      <c r="HHF98" s="17"/>
      <c r="HHG98" s="17"/>
      <c r="HHH98" s="17"/>
      <c r="HHI98" s="17"/>
      <c r="HHJ98" s="17"/>
      <c r="HHK98" s="17"/>
      <c r="HHL98" s="17"/>
      <c r="HHM98" s="17"/>
      <c r="HHN98" s="17"/>
      <c r="HHO98" s="17"/>
      <c r="HHP98" s="17"/>
      <c r="HHQ98" s="17"/>
      <c r="HHR98" s="17"/>
      <c r="HHS98" s="17"/>
      <c r="HHT98" s="17"/>
      <c r="HHU98" s="17"/>
      <c r="HHV98" s="17"/>
      <c r="HHW98" s="17"/>
      <c r="HHX98" s="17"/>
      <c r="HHY98" s="17"/>
      <c r="HHZ98" s="17"/>
      <c r="HIA98" s="17"/>
      <c r="HIB98" s="17"/>
      <c r="HIC98" s="17"/>
      <c r="HID98" s="17"/>
      <c r="HIE98" s="17"/>
      <c r="HIF98" s="17"/>
      <c r="HIG98" s="17"/>
      <c r="HIH98" s="17"/>
      <c r="HII98" s="17"/>
      <c r="HIJ98" s="17"/>
      <c r="HIK98" s="17"/>
      <c r="HIL98" s="17"/>
      <c r="HIM98" s="17"/>
      <c r="HIN98" s="17"/>
      <c r="HIO98" s="17"/>
      <c r="HIP98" s="17"/>
      <c r="HIQ98" s="17"/>
      <c r="HIR98" s="17"/>
      <c r="HIS98" s="17"/>
      <c r="HIT98" s="17"/>
      <c r="HIU98" s="17"/>
      <c r="HIV98" s="17"/>
      <c r="HIW98" s="17"/>
      <c r="HIX98" s="17"/>
      <c r="HIY98" s="17"/>
      <c r="HIZ98" s="17"/>
      <c r="HJA98" s="17"/>
      <c r="HJB98" s="17"/>
      <c r="HJC98" s="17"/>
      <c r="HJD98" s="17"/>
      <c r="HJE98" s="17"/>
      <c r="HJF98" s="17"/>
      <c r="HJG98" s="17"/>
      <c r="HJH98" s="17"/>
      <c r="HJI98" s="17"/>
      <c r="HJJ98" s="17"/>
      <c r="HJK98" s="17"/>
      <c r="HJL98" s="17"/>
      <c r="HJM98" s="17"/>
      <c r="HJN98" s="17"/>
      <c r="HJO98" s="17"/>
      <c r="HJP98" s="17"/>
      <c r="HJQ98" s="17"/>
      <c r="HJR98" s="17"/>
      <c r="HJS98" s="17"/>
      <c r="HJT98" s="17"/>
      <c r="HJU98" s="17"/>
      <c r="HJV98" s="17"/>
      <c r="HJW98" s="17"/>
      <c r="HJX98" s="17"/>
      <c r="HJY98" s="17"/>
      <c r="HJZ98" s="17"/>
      <c r="HKA98" s="17"/>
      <c r="HKB98" s="17"/>
      <c r="HKC98" s="17"/>
      <c r="HKD98" s="17"/>
      <c r="HKE98" s="17"/>
      <c r="HKF98" s="17"/>
      <c r="HKG98" s="17"/>
      <c r="HKH98" s="17"/>
      <c r="HKI98" s="17"/>
      <c r="HKJ98" s="17"/>
      <c r="HKK98" s="17"/>
      <c r="HKL98" s="17"/>
      <c r="HKM98" s="17"/>
      <c r="HKN98" s="17"/>
      <c r="HKO98" s="17"/>
      <c r="HKP98" s="17"/>
      <c r="HKQ98" s="17"/>
      <c r="HKR98" s="17"/>
      <c r="HKS98" s="17"/>
      <c r="HKT98" s="17"/>
      <c r="HKU98" s="17"/>
      <c r="HKV98" s="17"/>
      <c r="HKW98" s="17"/>
      <c r="HKX98" s="17"/>
      <c r="HKY98" s="17"/>
      <c r="HKZ98" s="17"/>
      <c r="HLA98" s="17"/>
      <c r="HLB98" s="17"/>
      <c r="HLC98" s="17"/>
      <c r="HLD98" s="17"/>
      <c r="HLE98" s="17"/>
      <c r="HLF98" s="17"/>
      <c r="HLG98" s="17"/>
      <c r="HLH98" s="17"/>
      <c r="HLI98" s="17"/>
      <c r="HLJ98" s="17"/>
      <c r="HLK98" s="17"/>
      <c r="HLL98" s="17"/>
      <c r="HLM98" s="17"/>
      <c r="HLN98" s="17"/>
      <c r="HLO98" s="17"/>
      <c r="HLP98" s="17"/>
      <c r="HLQ98" s="17"/>
      <c r="HLR98" s="17"/>
      <c r="HLS98" s="17"/>
      <c r="HLT98" s="17"/>
      <c r="HLU98" s="17"/>
      <c r="HLV98" s="17"/>
      <c r="HLW98" s="17"/>
      <c r="HLX98" s="17"/>
      <c r="HLY98" s="17"/>
      <c r="HLZ98" s="17"/>
      <c r="HMA98" s="17"/>
      <c r="HMB98" s="17"/>
      <c r="HMC98" s="17"/>
      <c r="HMD98" s="17"/>
      <c r="HME98" s="17"/>
      <c r="HMF98" s="17"/>
      <c r="HMG98" s="17"/>
      <c r="HMH98" s="17"/>
      <c r="HMI98" s="17"/>
      <c r="HMJ98" s="17"/>
      <c r="HMK98" s="17"/>
      <c r="HML98" s="17"/>
      <c r="HMM98" s="17"/>
      <c r="HMN98" s="17"/>
      <c r="HMO98" s="17"/>
      <c r="HMP98" s="17"/>
      <c r="HMQ98" s="17"/>
      <c r="HMR98" s="17"/>
      <c r="HMS98" s="17"/>
      <c r="HMT98" s="17"/>
      <c r="HMU98" s="17"/>
      <c r="HMV98" s="17"/>
      <c r="HMW98" s="17"/>
      <c r="HMX98" s="17"/>
      <c r="HMY98" s="17"/>
      <c r="HMZ98" s="17"/>
      <c r="HNA98" s="17"/>
      <c r="HNB98" s="17"/>
      <c r="HNC98" s="17"/>
      <c r="HND98" s="17"/>
      <c r="HNE98" s="17"/>
      <c r="HNF98" s="17"/>
      <c r="HNG98" s="17"/>
      <c r="HNH98" s="17"/>
      <c r="HNI98" s="17"/>
      <c r="HNJ98" s="17"/>
      <c r="HNK98" s="17"/>
      <c r="HNL98" s="17"/>
      <c r="HNM98" s="17"/>
      <c r="HNN98" s="17"/>
      <c r="HNO98" s="17"/>
      <c r="HNP98" s="17"/>
      <c r="HNQ98" s="17"/>
      <c r="HNR98" s="17"/>
      <c r="HNS98" s="17"/>
      <c r="HNT98" s="17"/>
      <c r="HNU98" s="17"/>
      <c r="HNV98" s="17"/>
      <c r="HNW98" s="17"/>
      <c r="HNX98" s="17"/>
      <c r="HNY98" s="17"/>
      <c r="HNZ98" s="17"/>
      <c r="HOA98" s="17"/>
      <c r="HOB98" s="17"/>
      <c r="HOC98" s="17"/>
      <c r="HOD98" s="17"/>
      <c r="HOE98" s="17"/>
      <c r="HOF98" s="17"/>
      <c r="HOG98" s="17"/>
      <c r="HOH98" s="17"/>
      <c r="HOI98" s="17"/>
      <c r="HOJ98" s="17"/>
      <c r="HOK98" s="17"/>
      <c r="HOL98" s="17"/>
      <c r="HOM98" s="17"/>
      <c r="HON98" s="17"/>
      <c r="HOO98" s="17"/>
      <c r="HOP98" s="17"/>
      <c r="HOQ98" s="17"/>
      <c r="HOR98" s="17"/>
      <c r="HOS98" s="17"/>
      <c r="HOT98" s="17"/>
      <c r="HOU98" s="17"/>
      <c r="HOV98" s="17"/>
      <c r="HOW98" s="17"/>
      <c r="HOX98" s="17"/>
      <c r="HOY98" s="17"/>
      <c r="HOZ98" s="17"/>
      <c r="HPA98" s="17"/>
      <c r="HPB98" s="17"/>
      <c r="HPC98" s="17"/>
      <c r="HPD98" s="17"/>
      <c r="HPE98" s="17"/>
      <c r="HPF98" s="17"/>
      <c r="HPG98" s="17"/>
      <c r="HPH98" s="17"/>
      <c r="HPI98" s="17"/>
      <c r="HPJ98" s="17"/>
      <c r="HPK98" s="17"/>
      <c r="HPL98" s="17"/>
      <c r="HPM98" s="17"/>
      <c r="HPN98" s="17"/>
      <c r="HPO98" s="17"/>
      <c r="HPP98" s="17"/>
      <c r="HPQ98" s="17"/>
      <c r="HPR98" s="17"/>
      <c r="HPS98" s="17"/>
      <c r="HPT98" s="17"/>
      <c r="HPU98" s="17"/>
      <c r="HPV98" s="17"/>
      <c r="HPW98" s="17"/>
      <c r="HPX98" s="17"/>
      <c r="HPY98" s="17"/>
      <c r="HPZ98" s="17"/>
      <c r="HQA98" s="17"/>
      <c r="HQB98" s="17"/>
      <c r="HQC98" s="17"/>
      <c r="HQD98" s="17"/>
      <c r="HQE98" s="17"/>
      <c r="HQF98" s="17"/>
      <c r="HQG98" s="17"/>
      <c r="HQH98" s="17"/>
      <c r="HQI98" s="17"/>
      <c r="HQJ98" s="17"/>
      <c r="HQK98" s="17"/>
      <c r="HQL98" s="17"/>
      <c r="HQM98" s="17"/>
      <c r="HQN98" s="17"/>
      <c r="HQO98" s="17"/>
      <c r="HQP98" s="17"/>
      <c r="HQQ98" s="17"/>
      <c r="HQR98" s="17"/>
      <c r="HQS98" s="17"/>
      <c r="HQT98" s="17"/>
      <c r="HQU98" s="17"/>
      <c r="HQV98" s="17"/>
      <c r="HQW98" s="17"/>
      <c r="HQX98" s="17"/>
      <c r="HQY98" s="17"/>
      <c r="HQZ98" s="17"/>
      <c r="HRA98" s="17"/>
      <c r="HRB98" s="17"/>
      <c r="HRC98" s="17"/>
      <c r="HRD98" s="17"/>
      <c r="HRE98" s="17"/>
      <c r="HRF98" s="17"/>
      <c r="HRG98" s="17"/>
      <c r="HRH98" s="17"/>
      <c r="HRI98" s="17"/>
      <c r="HRJ98" s="17"/>
      <c r="HRK98" s="17"/>
      <c r="HRL98" s="17"/>
      <c r="HRM98" s="17"/>
      <c r="HRN98" s="17"/>
      <c r="HRO98" s="17"/>
      <c r="HRP98" s="17"/>
      <c r="HRQ98" s="17"/>
      <c r="HRR98" s="17"/>
      <c r="HRS98" s="17"/>
      <c r="HRT98" s="17"/>
      <c r="HRU98" s="17"/>
      <c r="HRV98" s="17"/>
      <c r="HRW98" s="17"/>
      <c r="HRX98" s="17"/>
      <c r="HRY98" s="17"/>
      <c r="HRZ98" s="17"/>
      <c r="HSA98" s="17"/>
      <c r="HSB98" s="17"/>
      <c r="HSC98" s="17"/>
      <c r="HSD98" s="17"/>
      <c r="HSE98" s="17"/>
      <c r="HSF98" s="17"/>
      <c r="HSG98" s="17"/>
      <c r="HSH98" s="17"/>
      <c r="HSI98" s="17"/>
      <c r="HSJ98" s="17"/>
      <c r="HSK98" s="17"/>
      <c r="HSL98" s="17"/>
      <c r="HSM98" s="17"/>
      <c r="HSN98" s="17"/>
      <c r="HSO98" s="17"/>
      <c r="HSP98" s="17"/>
      <c r="HSQ98" s="17"/>
      <c r="HSR98" s="17"/>
      <c r="HSS98" s="17"/>
      <c r="HST98" s="17"/>
      <c r="HSU98" s="17"/>
      <c r="HSV98" s="17"/>
      <c r="HSW98" s="17"/>
      <c r="HSX98" s="17"/>
      <c r="HSY98" s="17"/>
      <c r="HSZ98" s="17"/>
      <c r="HTA98" s="17"/>
      <c r="HTB98" s="17"/>
      <c r="HTC98" s="17"/>
      <c r="HTD98" s="17"/>
      <c r="HTE98" s="17"/>
      <c r="HTF98" s="17"/>
      <c r="HTG98" s="17"/>
      <c r="HTH98" s="17"/>
      <c r="HTI98" s="17"/>
      <c r="HTJ98" s="17"/>
      <c r="HTK98" s="17"/>
      <c r="HTL98" s="17"/>
      <c r="HTM98" s="17"/>
      <c r="HTN98" s="17"/>
      <c r="HTO98" s="17"/>
      <c r="HTP98" s="17"/>
      <c r="HTQ98" s="17"/>
      <c r="HTR98" s="17"/>
      <c r="HTS98" s="17"/>
      <c r="HTT98" s="17"/>
      <c r="HTU98" s="17"/>
      <c r="HTV98" s="17"/>
      <c r="HTW98" s="17"/>
      <c r="HTX98" s="17"/>
      <c r="HTY98" s="17"/>
      <c r="HTZ98" s="17"/>
      <c r="HUA98" s="17"/>
      <c r="HUB98" s="17"/>
      <c r="HUC98" s="17"/>
      <c r="HUD98" s="17"/>
      <c r="HUE98" s="17"/>
      <c r="HUF98" s="17"/>
      <c r="HUG98" s="17"/>
      <c r="HUH98" s="17"/>
      <c r="HUI98" s="17"/>
      <c r="HUJ98" s="17"/>
      <c r="HUK98" s="17"/>
      <c r="HUL98" s="17"/>
      <c r="HUM98" s="17"/>
      <c r="HUN98" s="17"/>
      <c r="HUO98" s="17"/>
      <c r="HUP98" s="17"/>
      <c r="HUQ98" s="17"/>
      <c r="HUR98" s="17"/>
      <c r="HUS98" s="17"/>
      <c r="HUT98" s="17"/>
      <c r="HUU98" s="17"/>
      <c r="HUV98" s="17"/>
      <c r="HUW98" s="17"/>
      <c r="HUX98" s="17"/>
      <c r="HUY98" s="17"/>
      <c r="HUZ98" s="17"/>
      <c r="HVA98" s="17"/>
      <c r="HVB98" s="17"/>
      <c r="HVC98" s="17"/>
      <c r="HVD98" s="17"/>
      <c r="HVE98" s="17"/>
      <c r="HVF98" s="17"/>
      <c r="HVG98" s="17"/>
      <c r="HVH98" s="17"/>
      <c r="HVI98" s="17"/>
      <c r="HVJ98" s="17"/>
      <c r="HVK98" s="17"/>
      <c r="HVL98" s="17"/>
      <c r="HVM98" s="17"/>
      <c r="HVN98" s="17"/>
      <c r="HVO98" s="17"/>
      <c r="HVP98" s="17"/>
      <c r="HVQ98" s="17"/>
      <c r="HVR98" s="17"/>
      <c r="HVS98" s="17"/>
      <c r="HVT98" s="17"/>
      <c r="HVU98" s="17"/>
      <c r="HVV98" s="17"/>
      <c r="HVW98" s="17"/>
      <c r="HVX98" s="17"/>
      <c r="HVY98" s="17"/>
      <c r="HVZ98" s="17"/>
      <c r="HWA98" s="17"/>
      <c r="HWB98" s="17"/>
      <c r="HWC98" s="17"/>
      <c r="HWD98" s="17"/>
      <c r="HWE98" s="17"/>
      <c r="HWF98" s="17"/>
      <c r="HWG98" s="17"/>
      <c r="HWH98" s="17"/>
      <c r="HWI98" s="17"/>
      <c r="HWJ98" s="17"/>
      <c r="HWK98" s="17"/>
      <c r="HWL98" s="17"/>
      <c r="HWM98" s="17"/>
      <c r="HWN98" s="17"/>
      <c r="HWO98" s="17"/>
      <c r="HWP98" s="17"/>
      <c r="HWQ98" s="17"/>
      <c r="HWR98" s="17"/>
      <c r="HWS98" s="17"/>
      <c r="HWT98" s="17"/>
      <c r="HWU98" s="17"/>
      <c r="HWV98" s="17"/>
      <c r="HWW98" s="17"/>
      <c r="HWX98" s="17"/>
      <c r="HWY98" s="17"/>
      <c r="HWZ98" s="17"/>
      <c r="HXA98" s="17"/>
      <c r="HXB98" s="17"/>
      <c r="HXC98" s="17"/>
      <c r="HXD98" s="17"/>
      <c r="HXE98" s="17"/>
      <c r="HXF98" s="17"/>
      <c r="HXG98" s="17"/>
      <c r="HXH98" s="17"/>
      <c r="HXI98" s="17"/>
      <c r="HXJ98" s="17"/>
      <c r="HXK98" s="17"/>
      <c r="HXL98" s="17"/>
      <c r="HXM98" s="17"/>
      <c r="HXN98" s="17"/>
      <c r="HXO98" s="17"/>
      <c r="HXP98" s="17"/>
      <c r="HXQ98" s="17"/>
      <c r="HXR98" s="17"/>
      <c r="HXS98" s="17"/>
      <c r="HXT98" s="17"/>
      <c r="HXU98" s="17"/>
      <c r="HXV98" s="17"/>
      <c r="HXW98" s="17"/>
      <c r="HXX98" s="17"/>
      <c r="HXY98" s="17"/>
      <c r="HXZ98" s="17"/>
      <c r="HYA98" s="17"/>
      <c r="HYB98" s="17"/>
      <c r="HYC98" s="17"/>
      <c r="HYD98" s="17"/>
      <c r="HYE98" s="17"/>
      <c r="HYF98" s="17"/>
      <c r="HYG98" s="17"/>
      <c r="HYH98" s="17"/>
      <c r="HYI98" s="17"/>
      <c r="HYJ98" s="17"/>
      <c r="HYK98" s="17"/>
      <c r="HYL98" s="17"/>
      <c r="HYM98" s="17"/>
      <c r="HYN98" s="17"/>
      <c r="HYO98" s="17"/>
      <c r="HYP98" s="17"/>
      <c r="HYQ98" s="17"/>
      <c r="HYR98" s="17"/>
      <c r="HYS98" s="17"/>
      <c r="HYT98" s="17"/>
      <c r="HYU98" s="17"/>
      <c r="HYV98" s="17"/>
      <c r="HYW98" s="17"/>
      <c r="HYX98" s="17"/>
      <c r="HYY98" s="17"/>
      <c r="HYZ98" s="17"/>
      <c r="HZA98" s="17"/>
      <c r="HZB98" s="17"/>
      <c r="HZC98" s="17"/>
      <c r="HZD98" s="17"/>
      <c r="HZE98" s="17"/>
      <c r="HZF98" s="17"/>
      <c r="HZG98" s="17"/>
      <c r="HZH98" s="17"/>
      <c r="HZI98" s="17"/>
      <c r="HZJ98" s="17"/>
      <c r="HZK98" s="17"/>
      <c r="HZL98" s="17"/>
      <c r="HZM98" s="17"/>
      <c r="HZN98" s="17"/>
      <c r="HZO98" s="17"/>
      <c r="HZP98" s="17"/>
      <c r="HZQ98" s="17"/>
      <c r="HZR98" s="17"/>
      <c r="HZS98" s="17"/>
      <c r="HZT98" s="17"/>
      <c r="HZU98" s="17"/>
      <c r="HZV98" s="17"/>
      <c r="HZW98" s="17"/>
      <c r="HZX98" s="17"/>
      <c r="HZY98" s="17"/>
      <c r="HZZ98" s="17"/>
      <c r="IAA98" s="17"/>
      <c r="IAB98" s="17"/>
      <c r="IAC98" s="17"/>
      <c r="IAD98" s="17"/>
      <c r="IAE98" s="17"/>
      <c r="IAF98" s="17"/>
      <c r="IAG98" s="17"/>
      <c r="IAH98" s="17"/>
      <c r="IAI98" s="17"/>
      <c r="IAJ98" s="17"/>
      <c r="IAK98" s="17"/>
      <c r="IAL98" s="17"/>
      <c r="IAM98" s="17"/>
      <c r="IAN98" s="17"/>
      <c r="IAO98" s="17"/>
      <c r="IAP98" s="17"/>
      <c r="IAQ98" s="17"/>
      <c r="IAR98" s="17"/>
      <c r="IAS98" s="17"/>
      <c r="IAT98" s="17"/>
      <c r="IAU98" s="17"/>
      <c r="IAV98" s="17"/>
      <c r="IAW98" s="17"/>
      <c r="IAX98" s="17"/>
      <c r="IAY98" s="17"/>
      <c r="IAZ98" s="17"/>
      <c r="IBA98" s="17"/>
      <c r="IBB98" s="17"/>
      <c r="IBC98" s="17"/>
      <c r="IBD98" s="17"/>
      <c r="IBE98" s="17"/>
      <c r="IBF98" s="17"/>
      <c r="IBG98" s="17"/>
      <c r="IBH98" s="17"/>
      <c r="IBI98" s="17"/>
      <c r="IBJ98" s="17"/>
      <c r="IBK98" s="17"/>
      <c r="IBL98" s="17"/>
      <c r="IBM98" s="17"/>
      <c r="IBN98" s="17"/>
      <c r="IBO98" s="17"/>
      <c r="IBP98" s="17"/>
      <c r="IBQ98" s="17"/>
      <c r="IBR98" s="17"/>
      <c r="IBS98" s="17"/>
      <c r="IBT98" s="17"/>
      <c r="IBU98" s="17"/>
      <c r="IBV98" s="17"/>
      <c r="IBW98" s="17"/>
      <c r="IBX98" s="17"/>
      <c r="IBY98" s="17"/>
      <c r="IBZ98" s="17"/>
      <c r="ICA98" s="17"/>
      <c r="ICB98" s="17"/>
      <c r="ICC98" s="17"/>
      <c r="ICD98" s="17"/>
      <c r="ICE98" s="17"/>
      <c r="ICF98" s="17"/>
      <c r="ICG98" s="17"/>
      <c r="ICH98" s="17"/>
      <c r="ICI98" s="17"/>
      <c r="ICJ98" s="17"/>
      <c r="ICK98" s="17"/>
      <c r="ICL98" s="17"/>
      <c r="ICM98" s="17"/>
      <c r="ICN98" s="17"/>
      <c r="ICO98" s="17"/>
      <c r="ICP98" s="17"/>
      <c r="ICQ98" s="17"/>
      <c r="ICR98" s="17"/>
      <c r="ICS98" s="17"/>
      <c r="ICT98" s="17"/>
      <c r="ICU98" s="17"/>
      <c r="ICV98" s="17"/>
      <c r="ICW98" s="17"/>
      <c r="ICX98" s="17"/>
      <c r="ICY98" s="17"/>
      <c r="ICZ98" s="17"/>
      <c r="IDA98" s="17"/>
      <c r="IDB98" s="17"/>
      <c r="IDC98" s="17"/>
      <c r="IDD98" s="17"/>
      <c r="IDE98" s="17"/>
      <c r="IDF98" s="17"/>
      <c r="IDG98" s="17"/>
      <c r="IDH98" s="17"/>
      <c r="IDI98" s="17"/>
      <c r="IDJ98" s="17"/>
      <c r="IDK98" s="17"/>
      <c r="IDL98" s="17"/>
      <c r="IDM98" s="17"/>
      <c r="IDN98" s="17"/>
      <c r="IDO98" s="17"/>
      <c r="IDP98" s="17"/>
      <c r="IDQ98" s="17"/>
      <c r="IDR98" s="17"/>
      <c r="IDS98" s="17"/>
      <c r="IDT98" s="17"/>
      <c r="IDU98" s="17"/>
      <c r="IDV98" s="17"/>
      <c r="IDW98" s="17"/>
      <c r="IDX98" s="17"/>
      <c r="IDY98" s="17"/>
      <c r="IDZ98" s="17"/>
      <c r="IEA98" s="17"/>
      <c r="IEB98" s="17"/>
      <c r="IEC98" s="17"/>
      <c r="IED98" s="17"/>
      <c r="IEE98" s="17"/>
      <c r="IEF98" s="17"/>
      <c r="IEG98" s="17"/>
      <c r="IEH98" s="17"/>
      <c r="IEI98" s="17"/>
      <c r="IEJ98" s="17"/>
      <c r="IEK98" s="17"/>
      <c r="IEL98" s="17"/>
      <c r="IEM98" s="17"/>
      <c r="IEN98" s="17"/>
      <c r="IEO98" s="17"/>
      <c r="IEP98" s="17"/>
      <c r="IEQ98" s="17"/>
      <c r="IER98" s="17"/>
      <c r="IES98" s="17"/>
      <c r="IET98" s="17"/>
      <c r="IEU98" s="17"/>
      <c r="IEV98" s="17"/>
      <c r="IEW98" s="17"/>
      <c r="IEX98" s="17"/>
      <c r="IEY98" s="17"/>
      <c r="IEZ98" s="17"/>
      <c r="IFA98" s="17"/>
      <c r="IFB98" s="17"/>
      <c r="IFC98" s="17"/>
      <c r="IFD98" s="17"/>
      <c r="IFE98" s="17"/>
      <c r="IFF98" s="17"/>
      <c r="IFG98" s="17"/>
      <c r="IFH98" s="17"/>
      <c r="IFI98" s="17"/>
      <c r="IFJ98" s="17"/>
      <c r="IFK98" s="17"/>
      <c r="IFL98" s="17"/>
      <c r="IFM98" s="17"/>
      <c r="IFN98" s="17"/>
      <c r="IFO98" s="17"/>
      <c r="IFP98" s="17"/>
      <c r="IFQ98" s="17"/>
      <c r="IFR98" s="17"/>
      <c r="IFS98" s="17"/>
      <c r="IFT98" s="17"/>
      <c r="IFU98" s="17"/>
      <c r="IFV98" s="17"/>
      <c r="IFW98" s="17"/>
      <c r="IFX98" s="17"/>
      <c r="IFY98" s="17"/>
      <c r="IFZ98" s="17"/>
      <c r="IGA98" s="17"/>
      <c r="IGB98" s="17"/>
      <c r="IGC98" s="17"/>
      <c r="IGD98" s="17"/>
      <c r="IGE98" s="17"/>
      <c r="IGF98" s="17"/>
      <c r="IGG98" s="17"/>
      <c r="IGH98" s="17"/>
      <c r="IGI98" s="17"/>
      <c r="IGJ98" s="17"/>
      <c r="IGK98" s="17"/>
      <c r="IGL98" s="17"/>
      <c r="IGM98" s="17"/>
      <c r="IGN98" s="17"/>
      <c r="IGO98" s="17"/>
      <c r="IGP98" s="17"/>
      <c r="IGQ98" s="17"/>
      <c r="IGR98" s="17"/>
      <c r="IGS98" s="17"/>
      <c r="IGT98" s="17"/>
      <c r="IGU98" s="17"/>
      <c r="IGV98" s="17"/>
      <c r="IGW98" s="17"/>
      <c r="IGX98" s="17"/>
      <c r="IGY98" s="17"/>
      <c r="IGZ98" s="17"/>
      <c r="IHA98" s="17"/>
      <c r="IHB98" s="17"/>
      <c r="IHC98" s="17"/>
      <c r="IHD98" s="17"/>
      <c r="IHE98" s="17"/>
      <c r="IHF98" s="17"/>
      <c r="IHG98" s="17"/>
      <c r="IHH98" s="17"/>
      <c r="IHI98" s="17"/>
      <c r="IHJ98" s="17"/>
      <c r="IHK98" s="17"/>
      <c r="IHL98" s="17"/>
      <c r="IHM98" s="17"/>
      <c r="IHN98" s="17"/>
      <c r="IHO98" s="17"/>
      <c r="IHP98" s="17"/>
      <c r="IHQ98" s="17"/>
      <c r="IHR98" s="17"/>
      <c r="IHS98" s="17"/>
      <c r="IHT98" s="17"/>
      <c r="IHU98" s="17"/>
      <c r="IHV98" s="17"/>
      <c r="IHW98" s="17"/>
      <c r="IHX98" s="17"/>
      <c r="IHY98" s="17"/>
      <c r="IHZ98" s="17"/>
      <c r="IIA98" s="17"/>
      <c r="IIB98" s="17"/>
      <c r="IIC98" s="17"/>
      <c r="IID98" s="17"/>
      <c r="IIE98" s="17"/>
      <c r="IIF98" s="17"/>
      <c r="IIG98" s="17"/>
      <c r="IIH98" s="17"/>
      <c r="III98" s="17"/>
      <c r="IIJ98" s="17"/>
      <c r="IIK98" s="17"/>
      <c r="IIL98" s="17"/>
      <c r="IIM98" s="17"/>
      <c r="IIN98" s="17"/>
      <c r="IIO98" s="17"/>
      <c r="IIP98" s="17"/>
      <c r="IIQ98" s="17"/>
      <c r="IIR98" s="17"/>
      <c r="IIS98" s="17"/>
      <c r="IIT98" s="17"/>
      <c r="IIU98" s="17"/>
      <c r="IIV98" s="17"/>
      <c r="IIW98" s="17"/>
      <c r="IIX98" s="17"/>
      <c r="IIY98" s="17"/>
      <c r="IIZ98" s="17"/>
      <c r="IJA98" s="17"/>
      <c r="IJB98" s="17"/>
      <c r="IJC98" s="17"/>
      <c r="IJD98" s="17"/>
      <c r="IJE98" s="17"/>
      <c r="IJF98" s="17"/>
      <c r="IJG98" s="17"/>
      <c r="IJH98" s="17"/>
      <c r="IJI98" s="17"/>
      <c r="IJJ98" s="17"/>
      <c r="IJK98" s="17"/>
      <c r="IJL98" s="17"/>
      <c r="IJM98" s="17"/>
      <c r="IJN98" s="17"/>
      <c r="IJO98" s="17"/>
      <c r="IJP98" s="17"/>
      <c r="IJQ98" s="17"/>
      <c r="IJR98" s="17"/>
      <c r="IJS98" s="17"/>
      <c r="IJT98" s="17"/>
      <c r="IJU98" s="17"/>
      <c r="IJV98" s="17"/>
      <c r="IJW98" s="17"/>
      <c r="IJX98" s="17"/>
      <c r="IJY98" s="17"/>
      <c r="IJZ98" s="17"/>
      <c r="IKA98" s="17"/>
      <c r="IKB98" s="17"/>
      <c r="IKC98" s="17"/>
      <c r="IKD98" s="17"/>
      <c r="IKE98" s="17"/>
      <c r="IKF98" s="17"/>
      <c r="IKG98" s="17"/>
      <c r="IKH98" s="17"/>
      <c r="IKI98" s="17"/>
      <c r="IKJ98" s="17"/>
      <c r="IKK98" s="17"/>
      <c r="IKL98" s="17"/>
      <c r="IKM98" s="17"/>
      <c r="IKN98" s="17"/>
      <c r="IKO98" s="17"/>
      <c r="IKP98" s="17"/>
      <c r="IKQ98" s="17"/>
      <c r="IKR98" s="17"/>
      <c r="IKS98" s="17"/>
      <c r="IKT98" s="17"/>
      <c r="IKU98" s="17"/>
      <c r="IKV98" s="17"/>
      <c r="IKW98" s="17"/>
      <c r="IKX98" s="17"/>
      <c r="IKY98" s="17"/>
      <c r="IKZ98" s="17"/>
      <c r="ILA98" s="17"/>
      <c r="ILB98" s="17"/>
      <c r="ILC98" s="17"/>
      <c r="ILD98" s="17"/>
      <c r="ILE98" s="17"/>
      <c r="ILF98" s="17"/>
      <c r="ILG98" s="17"/>
      <c r="ILH98" s="17"/>
      <c r="ILI98" s="17"/>
      <c r="ILJ98" s="17"/>
      <c r="ILK98" s="17"/>
      <c r="ILL98" s="17"/>
      <c r="ILM98" s="17"/>
      <c r="ILN98" s="17"/>
      <c r="ILO98" s="17"/>
      <c r="ILP98" s="17"/>
      <c r="ILQ98" s="17"/>
      <c r="ILR98" s="17"/>
      <c r="ILS98" s="17"/>
      <c r="ILT98" s="17"/>
      <c r="ILU98" s="17"/>
      <c r="ILV98" s="17"/>
      <c r="ILW98" s="17"/>
      <c r="ILX98" s="17"/>
      <c r="ILY98" s="17"/>
      <c r="ILZ98" s="17"/>
      <c r="IMA98" s="17"/>
      <c r="IMB98" s="17"/>
      <c r="IMC98" s="17"/>
      <c r="IMD98" s="17"/>
      <c r="IME98" s="17"/>
      <c r="IMF98" s="17"/>
      <c r="IMG98" s="17"/>
      <c r="IMH98" s="17"/>
      <c r="IMI98" s="17"/>
      <c r="IMJ98" s="17"/>
      <c r="IMK98" s="17"/>
      <c r="IML98" s="17"/>
      <c r="IMM98" s="17"/>
      <c r="IMN98" s="17"/>
      <c r="IMO98" s="17"/>
      <c r="IMP98" s="17"/>
      <c r="IMQ98" s="17"/>
      <c r="IMR98" s="17"/>
      <c r="IMS98" s="17"/>
      <c r="IMT98" s="17"/>
      <c r="IMU98" s="17"/>
      <c r="IMV98" s="17"/>
      <c r="IMW98" s="17"/>
      <c r="IMX98" s="17"/>
      <c r="IMY98" s="17"/>
      <c r="IMZ98" s="17"/>
      <c r="INA98" s="17"/>
      <c r="INB98" s="17"/>
      <c r="INC98" s="17"/>
      <c r="IND98" s="17"/>
      <c r="INE98" s="17"/>
      <c r="INF98" s="17"/>
      <c r="ING98" s="17"/>
      <c r="INH98" s="17"/>
      <c r="INI98" s="17"/>
      <c r="INJ98" s="17"/>
      <c r="INK98" s="17"/>
      <c r="INL98" s="17"/>
      <c r="INM98" s="17"/>
      <c r="INN98" s="17"/>
      <c r="INO98" s="17"/>
      <c r="INP98" s="17"/>
      <c r="INQ98" s="17"/>
      <c r="INR98" s="17"/>
      <c r="INS98" s="17"/>
      <c r="INT98" s="17"/>
      <c r="INU98" s="17"/>
      <c r="INV98" s="17"/>
      <c r="INW98" s="17"/>
      <c r="INX98" s="17"/>
      <c r="INY98" s="17"/>
      <c r="INZ98" s="17"/>
      <c r="IOA98" s="17"/>
      <c r="IOB98" s="17"/>
      <c r="IOC98" s="17"/>
      <c r="IOD98" s="17"/>
      <c r="IOE98" s="17"/>
      <c r="IOF98" s="17"/>
      <c r="IOG98" s="17"/>
      <c r="IOH98" s="17"/>
      <c r="IOI98" s="17"/>
      <c r="IOJ98" s="17"/>
      <c r="IOK98" s="17"/>
      <c r="IOL98" s="17"/>
      <c r="IOM98" s="17"/>
      <c r="ION98" s="17"/>
      <c r="IOO98" s="17"/>
      <c r="IOP98" s="17"/>
      <c r="IOQ98" s="17"/>
      <c r="IOR98" s="17"/>
      <c r="IOS98" s="17"/>
      <c r="IOT98" s="17"/>
      <c r="IOU98" s="17"/>
      <c r="IOV98" s="17"/>
      <c r="IOW98" s="17"/>
      <c r="IOX98" s="17"/>
      <c r="IOY98" s="17"/>
      <c r="IOZ98" s="17"/>
      <c r="IPA98" s="17"/>
      <c r="IPB98" s="17"/>
      <c r="IPC98" s="17"/>
      <c r="IPD98" s="17"/>
      <c r="IPE98" s="17"/>
      <c r="IPF98" s="17"/>
      <c r="IPG98" s="17"/>
      <c r="IPH98" s="17"/>
      <c r="IPI98" s="17"/>
      <c r="IPJ98" s="17"/>
      <c r="IPK98" s="17"/>
      <c r="IPL98" s="17"/>
      <c r="IPM98" s="17"/>
      <c r="IPN98" s="17"/>
      <c r="IPO98" s="17"/>
      <c r="IPP98" s="17"/>
      <c r="IPQ98" s="17"/>
      <c r="IPR98" s="17"/>
      <c r="IPS98" s="17"/>
      <c r="IPT98" s="17"/>
      <c r="IPU98" s="17"/>
      <c r="IPV98" s="17"/>
      <c r="IPW98" s="17"/>
      <c r="IPX98" s="17"/>
      <c r="IPY98" s="17"/>
      <c r="IPZ98" s="17"/>
      <c r="IQA98" s="17"/>
      <c r="IQB98" s="17"/>
      <c r="IQC98" s="17"/>
      <c r="IQD98" s="17"/>
      <c r="IQE98" s="17"/>
      <c r="IQF98" s="17"/>
      <c r="IQG98" s="17"/>
      <c r="IQH98" s="17"/>
      <c r="IQI98" s="17"/>
      <c r="IQJ98" s="17"/>
      <c r="IQK98" s="17"/>
      <c r="IQL98" s="17"/>
      <c r="IQM98" s="17"/>
      <c r="IQN98" s="17"/>
      <c r="IQO98" s="17"/>
      <c r="IQP98" s="17"/>
      <c r="IQQ98" s="17"/>
      <c r="IQR98" s="17"/>
      <c r="IQS98" s="17"/>
      <c r="IQT98" s="17"/>
      <c r="IQU98" s="17"/>
      <c r="IQV98" s="17"/>
      <c r="IQW98" s="17"/>
      <c r="IQX98" s="17"/>
      <c r="IQY98" s="17"/>
      <c r="IQZ98" s="17"/>
      <c r="IRA98" s="17"/>
      <c r="IRB98" s="17"/>
      <c r="IRC98" s="17"/>
      <c r="IRD98" s="17"/>
      <c r="IRE98" s="17"/>
      <c r="IRF98" s="17"/>
      <c r="IRG98" s="17"/>
      <c r="IRH98" s="17"/>
      <c r="IRI98" s="17"/>
      <c r="IRJ98" s="17"/>
      <c r="IRK98" s="17"/>
      <c r="IRL98" s="17"/>
      <c r="IRM98" s="17"/>
      <c r="IRN98" s="17"/>
      <c r="IRO98" s="17"/>
      <c r="IRP98" s="17"/>
      <c r="IRQ98" s="17"/>
      <c r="IRR98" s="17"/>
      <c r="IRS98" s="17"/>
      <c r="IRT98" s="17"/>
      <c r="IRU98" s="17"/>
      <c r="IRV98" s="17"/>
      <c r="IRW98" s="17"/>
      <c r="IRX98" s="17"/>
      <c r="IRY98" s="17"/>
      <c r="IRZ98" s="17"/>
      <c r="ISA98" s="17"/>
      <c r="ISB98" s="17"/>
      <c r="ISC98" s="17"/>
      <c r="ISD98" s="17"/>
      <c r="ISE98" s="17"/>
      <c r="ISF98" s="17"/>
      <c r="ISG98" s="17"/>
      <c r="ISH98" s="17"/>
      <c r="ISI98" s="17"/>
      <c r="ISJ98" s="17"/>
      <c r="ISK98" s="17"/>
      <c r="ISL98" s="17"/>
      <c r="ISM98" s="17"/>
      <c r="ISN98" s="17"/>
      <c r="ISO98" s="17"/>
      <c r="ISP98" s="17"/>
      <c r="ISQ98" s="17"/>
      <c r="ISR98" s="17"/>
      <c r="ISS98" s="17"/>
      <c r="IST98" s="17"/>
      <c r="ISU98" s="17"/>
      <c r="ISV98" s="17"/>
      <c r="ISW98" s="17"/>
      <c r="ISX98" s="17"/>
      <c r="ISY98" s="17"/>
      <c r="ISZ98" s="17"/>
      <c r="ITA98" s="17"/>
      <c r="ITB98" s="17"/>
      <c r="ITC98" s="17"/>
      <c r="ITD98" s="17"/>
      <c r="ITE98" s="17"/>
      <c r="ITF98" s="17"/>
      <c r="ITG98" s="17"/>
      <c r="ITH98" s="17"/>
      <c r="ITI98" s="17"/>
      <c r="ITJ98" s="17"/>
      <c r="ITK98" s="17"/>
      <c r="ITL98" s="17"/>
      <c r="ITM98" s="17"/>
      <c r="ITN98" s="17"/>
      <c r="ITO98" s="17"/>
      <c r="ITP98" s="17"/>
      <c r="ITQ98" s="17"/>
      <c r="ITR98" s="17"/>
      <c r="ITS98" s="17"/>
      <c r="ITT98" s="17"/>
      <c r="ITU98" s="17"/>
      <c r="ITV98" s="17"/>
      <c r="ITW98" s="17"/>
      <c r="ITX98" s="17"/>
      <c r="ITY98" s="17"/>
      <c r="ITZ98" s="17"/>
      <c r="IUA98" s="17"/>
      <c r="IUB98" s="17"/>
      <c r="IUC98" s="17"/>
      <c r="IUD98" s="17"/>
      <c r="IUE98" s="17"/>
      <c r="IUF98" s="17"/>
      <c r="IUG98" s="17"/>
      <c r="IUH98" s="17"/>
      <c r="IUI98" s="17"/>
      <c r="IUJ98" s="17"/>
      <c r="IUK98" s="17"/>
      <c r="IUL98" s="17"/>
      <c r="IUM98" s="17"/>
      <c r="IUN98" s="17"/>
      <c r="IUO98" s="17"/>
      <c r="IUP98" s="17"/>
      <c r="IUQ98" s="17"/>
      <c r="IUR98" s="17"/>
      <c r="IUS98" s="17"/>
      <c r="IUT98" s="17"/>
      <c r="IUU98" s="17"/>
      <c r="IUV98" s="17"/>
      <c r="IUW98" s="17"/>
      <c r="IUX98" s="17"/>
      <c r="IUY98" s="17"/>
      <c r="IUZ98" s="17"/>
      <c r="IVA98" s="17"/>
      <c r="IVB98" s="17"/>
      <c r="IVC98" s="17"/>
      <c r="IVD98" s="17"/>
      <c r="IVE98" s="17"/>
      <c r="IVF98" s="17"/>
      <c r="IVG98" s="17"/>
      <c r="IVH98" s="17"/>
      <c r="IVI98" s="17"/>
      <c r="IVJ98" s="17"/>
      <c r="IVK98" s="17"/>
      <c r="IVL98" s="17"/>
      <c r="IVM98" s="17"/>
      <c r="IVN98" s="17"/>
      <c r="IVO98" s="17"/>
      <c r="IVP98" s="17"/>
      <c r="IVQ98" s="17"/>
      <c r="IVR98" s="17"/>
      <c r="IVS98" s="17"/>
      <c r="IVT98" s="17"/>
      <c r="IVU98" s="17"/>
      <c r="IVV98" s="17"/>
      <c r="IVW98" s="17"/>
      <c r="IVX98" s="17"/>
      <c r="IVY98" s="17"/>
      <c r="IVZ98" s="17"/>
      <c r="IWA98" s="17"/>
      <c r="IWB98" s="17"/>
      <c r="IWC98" s="17"/>
      <c r="IWD98" s="17"/>
      <c r="IWE98" s="17"/>
      <c r="IWF98" s="17"/>
      <c r="IWG98" s="17"/>
      <c r="IWH98" s="17"/>
      <c r="IWI98" s="17"/>
      <c r="IWJ98" s="17"/>
      <c r="IWK98" s="17"/>
      <c r="IWL98" s="17"/>
      <c r="IWM98" s="17"/>
      <c r="IWN98" s="17"/>
      <c r="IWO98" s="17"/>
      <c r="IWP98" s="17"/>
      <c r="IWQ98" s="17"/>
      <c r="IWR98" s="17"/>
      <c r="IWS98" s="17"/>
      <c r="IWT98" s="17"/>
      <c r="IWU98" s="17"/>
      <c r="IWV98" s="17"/>
      <c r="IWW98" s="17"/>
      <c r="IWX98" s="17"/>
      <c r="IWY98" s="17"/>
      <c r="IWZ98" s="17"/>
      <c r="IXA98" s="17"/>
      <c r="IXB98" s="17"/>
      <c r="IXC98" s="17"/>
      <c r="IXD98" s="17"/>
      <c r="IXE98" s="17"/>
      <c r="IXF98" s="17"/>
      <c r="IXG98" s="17"/>
      <c r="IXH98" s="17"/>
      <c r="IXI98" s="17"/>
      <c r="IXJ98" s="17"/>
      <c r="IXK98" s="17"/>
      <c r="IXL98" s="17"/>
      <c r="IXM98" s="17"/>
      <c r="IXN98" s="17"/>
      <c r="IXO98" s="17"/>
      <c r="IXP98" s="17"/>
      <c r="IXQ98" s="17"/>
      <c r="IXR98" s="17"/>
      <c r="IXS98" s="17"/>
      <c r="IXT98" s="17"/>
      <c r="IXU98" s="17"/>
      <c r="IXV98" s="17"/>
      <c r="IXW98" s="17"/>
      <c r="IXX98" s="17"/>
      <c r="IXY98" s="17"/>
      <c r="IXZ98" s="17"/>
      <c r="IYA98" s="17"/>
      <c r="IYB98" s="17"/>
      <c r="IYC98" s="17"/>
      <c r="IYD98" s="17"/>
      <c r="IYE98" s="17"/>
      <c r="IYF98" s="17"/>
      <c r="IYG98" s="17"/>
      <c r="IYH98" s="17"/>
      <c r="IYI98" s="17"/>
      <c r="IYJ98" s="17"/>
      <c r="IYK98" s="17"/>
      <c r="IYL98" s="17"/>
      <c r="IYM98" s="17"/>
      <c r="IYN98" s="17"/>
      <c r="IYO98" s="17"/>
      <c r="IYP98" s="17"/>
      <c r="IYQ98" s="17"/>
      <c r="IYR98" s="17"/>
      <c r="IYS98" s="17"/>
      <c r="IYT98" s="17"/>
      <c r="IYU98" s="17"/>
      <c r="IYV98" s="17"/>
      <c r="IYW98" s="17"/>
      <c r="IYX98" s="17"/>
      <c r="IYY98" s="17"/>
      <c r="IYZ98" s="17"/>
      <c r="IZA98" s="17"/>
      <c r="IZB98" s="17"/>
      <c r="IZC98" s="17"/>
      <c r="IZD98" s="17"/>
      <c r="IZE98" s="17"/>
      <c r="IZF98" s="17"/>
      <c r="IZG98" s="17"/>
      <c r="IZH98" s="17"/>
      <c r="IZI98" s="17"/>
      <c r="IZJ98" s="17"/>
      <c r="IZK98" s="17"/>
      <c r="IZL98" s="17"/>
      <c r="IZM98" s="17"/>
      <c r="IZN98" s="17"/>
      <c r="IZO98" s="17"/>
      <c r="IZP98" s="17"/>
      <c r="IZQ98" s="17"/>
      <c r="IZR98" s="17"/>
      <c r="IZS98" s="17"/>
      <c r="IZT98" s="17"/>
      <c r="IZU98" s="17"/>
      <c r="IZV98" s="17"/>
      <c r="IZW98" s="17"/>
      <c r="IZX98" s="17"/>
      <c r="IZY98" s="17"/>
      <c r="IZZ98" s="17"/>
      <c r="JAA98" s="17"/>
      <c r="JAB98" s="17"/>
      <c r="JAC98" s="17"/>
      <c r="JAD98" s="17"/>
      <c r="JAE98" s="17"/>
      <c r="JAF98" s="17"/>
      <c r="JAG98" s="17"/>
      <c r="JAH98" s="17"/>
      <c r="JAI98" s="17"/>
      <c r="JAJ98" s="17"/>
      <c r="JAK98" s="17"/>
      <c r="JAL98" s="17"/>
      <c r="JAM98" s="17"/>
      <c r="JAN98" s="17"/>
      <c r="JAO98" s="17"/>
      <c r="JAP98" s="17"/>
      <c r="JAQ98" s="17"/>
      <c r="JAR98" s="17"/>
      <c r="JAS98" s="17"/>
      <c r="JAT98" s="17"/>
      <c r="JAU98" s="17"/>
      <c r="JAV98" s="17"/>
      <c r="JAW98" s="17"/>
      <c r="JAX98" s="17"/>
      <c r="JAY98" s="17"/>
      <c r="JAZ98" s="17"/>
      <c r="JBA98" s="17"/>
      <c r="JBB98" s="17"/>
      <c r="JBC98" s="17"/>
      <c r="JBD98" s="17"/>
      <c r="JBE98" s="17"/>
      <c r="JBF98" s="17"/>
      <c r="JBG98" s="17"/>
      <c r="JBH98" s="17"/>
      <c r="JBI98" s="17"/>
      <c r="JBJ98" s="17"/>
      <c r="JBK98" s="17"/>
      <c r="JBL98" s="17"/>
      <c r="JBM98" s="17"/>
      <c r="JBN98" s="17"/>
      <c r="JBO98" s="17"/>
      <c r="JBP98" s="17"/>
      <c r="JBQ98" s="17"/>
      <c r="JBR98" s="17"/>
      <c r="JBS98" s="17"/>
      <c r="JBT98" s="17"/>
      <c r="JBU98" s="17"/>
      <c r="JBV98" s="17"/>
      <c r="JBW98" s="17"/>
      <c r="JBX98" s="17"/>
      <c r="JBY98" s="17"/>
      <c r="JBZ98" s="17"/>
      <c r="JCA98" s="17"/>
      <c r="JCB98" s="17"/>
      <c r="JCC98" s="17"/>
      <c r="JCD98" s="17"/>
      <c r="JCE98" s="17"/>
      <c r="JCF98" s="17"/>
      <c r="JCG98" s="17"/>
      <c r="JCH98" s="17"/>
      <c r="JCI98" s="17"/>
      <c r="JCJ98" s="17"/>
      <c r="JCK98" s="17"/>
      <c r="JCL98" s="17"/>
      <c r="JCM98" s="17"/>
      <c r="JCN98" s="17"/>
      <c r="JCO98" s="17"/>
      <c r="JCP98" s="17"/>
      <c r="JCQ98" s="17"/>
      <c r="JCR98" s="17"/>
      <c r="JCS98" s="17"/>
      <c r="JCT98" s="17"/>
      <c r="JCU98" s="17"/>
      <c r="JCV98" s="17"/>
      <c r="JCW98" s="17"/>
      <c r="JCX98" s="17"/>
      <c r="JCY98" s="17"/>
      <c r="JCZ98" s="17"/>
      <c r="JDA98" s="17"/>
      <c r="JDB98" s="17"/>
      <c r="JDC98" s="17"/>
      <c r="JDD98" s="17"/>
      <c r="JDE98" s="17"/>
      <c r="JDF98" s="17"/>
      <c r="JDG98" s="17"/>
      <c r="JDH98" s="17"/>
      <c r="JDI98" s="17"/>
      <c r="JDJ98" s="17"/>
      <c r="JDK98" s="17"/>
      <c r="JDL98" s="17"/>
      <c r="JDM98" s="17"/>
      <c r="JDN98" s="17"/>
      <c r="JDO98" s="17"/>
      <c r="JDP98" s="17"/>
      <c r="JDQ98" s="17"/>
      <c r="JDR98" s="17"/>
      <c r="JDS98" s="17"/>
      <c r="JDT98" s="17"/>
      <c r="JDU98" s="17"/>
      <c r="JDV98" s="17"/>
      <c r="JDW98" s="17"/>
      <c r="JDX98" s="17"/>
      <c r="JDY98" s="17"/>
      <c r="JDZ98" s="17"/>
      <c r="JEA98" s="17"/>
      <c r="JEB98" s="17"/>
      <c r="JEC98" s="17"/>
      <c r="JED98" s="17"/>
      <c r="JEE98" s="17"/>
      <c r="JEF98" s="17"/>
      <c r="JEG98" s="17"/>
      <c r="JEH98" s="17"/>
      <c r="JEI98" s="17"/>
      <c r="JEJ98" s="17"/>
      <c r="JEK98" s="17"/>
      <c r="JEL98" s="17"/>
      <c r="JEM98" s="17"/>
      <c r="JEN98" s="17"/>
      <c r="JEO98" s="17"/>
      <c r="JEP98" s="17"/>
      <c r="JEQ98" s="17"/>
      <c r="JER98" s="17"/>
      <c r="JES98" s="17"/>
      <c r="JET98" s="17"/>
      <c r="JEU98" s="17"/>
      <c r="JEV98" s="17"/>
      <c r="JEW98" s="17"/>
      <c r="JEX98" s="17"/>
      <c r="JEY98" s="17"/>
      <c r="JEZ98" s="17"/>
      <c r="JFA98" s="17"/>
      <c r="JFB98" s="17"/>
      <c r="JFC98" s="17"/>
      <c r="JFD98" s="17"/>
      <c r="JFE98" s="17"/>
      <c r="JFF98" s="17"/>
      <c r="JFG98" s="17"/>
      <c r="JFH98" s="17"/>
      <c r="JFI98" s="17"/>
      <c r="JFJ98" s="17"/>
      <c r="JFK98" s="17"/>
      <c r="JFL98" s="17"/>
      <c r="JFM98" s="17"/>
      <c r="JFN98" s="17"/>
      <c r="JFO98" s="17"/>
      <c r="JFP98" s="17"/>
      <c r="JFQ98" s="17"/>
      <c r="JFR98" s="17"/>
      <c r="JFS98" s="17"/>
      <c r="JFT98" s="17"/>
      <c r="JFU98" s="17"/>
      <c r="JFV98" s="17"/>
      <c r="JFW98" s="17"/>
      <c r="JFX98" s="17"/>
      <c r="JFY98" s="17"/>
      <c r="JFZ98" s="17"/>
      <c r="JGA98" s="17"/>
      <c r="JGB98" s="17"/>
      <c r="JGC98" s="17"/>
      <c r="JGD98" s="17"/>
      <c r="JGE98" s="17"/>
      <c r="JGF98" s="17"/>
      <c r="JGG98" s="17"/>
      <c r="JGH98" s="17"/>
      <c r="JGI98" s="17"/>
      <c r="JGJ98" s="17"/>
      <c r="JGK98" s="17"/>
      <c r="JGL98" s="17"/>
      <c r="JGM98" s="17"/>
      <c r="JGN98" s="17"/>
      <c r="JGO98" s="17"/>
      <c r="JGP98" s="17"/>
      <c r="JGQ98" s="17"/>
      <c r="JGR98" s="17"/>
      <c r="JGS98" s="17"/>
      <c r="JGT98" s="17"/>
      <c r="JGU98" s="17"/>
      <c r="JGV98" s="17"/>
      <c r="JGW98" s="17"/>
      <c r="JGX98" s="17"/>
      <c r="JGY98" s="17"/>
      <c r="JGZ98" s="17"/>
      <c r="JHA98" s="17"/>
      <c r="JHB98" s="17"/>
      <c r="JHC98" s="17"/>
      <c r="JHD98" s="17"/>
      <c r="JHE98" s="17"/>
      <c r="JHF98" s="17"/>
      <c r="JHG98" s="17"/>
      <c r="JHH98" s="17"/>
      <c r="JHI98" s="17"/>
      <c r="JHJ98" s="17"/>
      <c r="JHK98" s="17"/>
      <c r="JHL98" s="17"/>
      <c r="JHM98" s="17"/>
      <c r="JHN98" s="17"/>
      <c r="JHO98" s="17"/>
      <c r="JHP98" s="17"/>
      <c r="JHQ98" s="17"/>
      <c r="JHR98" s="17"/>
      <c r="JHS98" s="17"/>
      <c r="JHT98" s="17"/>
      <c r="JHU98" s="17"/>
      <c r="JHV98" s="17"/>
      <c r="JHW98" s="17"/>
      <c r="JHX98" s="17"/>
      <c r="JHY98" s="17"/>
      <c r="JHZ98" s="17"/>
      <c r="JIA98" s="17"/>
      <c r="JIB98" s="17"/>
      <c r="JIC98" s="17"/>
      <c r="JID98" s="17"/>
      <c r="JIE98" s="17"/>
      <c r="JIF98" s="17"/>
      <c r="JIG98" s="17"/>
      <c r="JIH98" s="17"/>
      <c r="JII98" s="17"/>
      <c r="JIJ98" s="17"/>
      <c r="JIK98" s="17"/>
      <c r="JIL98" s="17"/>
      <c r="JIM98" s="17"/>
      <c r="JIN98" s="17"/>
      <c r="JIO98" s="17"/>
      <c r="JIP98" s="17"/>
      <c r="JIQ98" s="17"/>
      <c r="JIR98" s="17"/>
      <c r="JIS98" s="17"/>
      <c r="JIT98" s="17"/>
      <c r="JIU98" s="17"/>
      <c r="JIV98" s="17"/>
      <c r="JIW98" s="17"/>
      <c r="JIX98" s="17"/>
      <c r="JIY98" s="17"/>
      <c r="JIZ98" s="17"/>
      <c r="JJA98" s="17"/>
      <c r="JJB98" s="17"/>
      <c r="JJC98" s="17"/>
      <c r="JJD98" s="17"/>
      <c r="JJE98" s="17"/>
      <c r="JJF98" s="17"/>
      <c r="JJG98" s="17"/>
      <c r="JJH98" s="17"/>
      <c r="JJI98" s="17"/>
      <c r="JJJ98" s="17"/>
      <c r="JJK98" s="17"/>
      <c r="JJL98" s="17"/>
      <c r="JJM98" s="17"/>
      <c r="JJN98" s="17"/>
      <c r="JJO98" s="17"/>
      <c r="JJP98" s="17"/>
      <c r="JJQ98" s="17"/>
      <c r="JJR98" s="17"/>
      <c r="JJS98" s="17"/>
      <c r="JJT98" s="17"/>
      <c r="JJU98" s="17"/>
      <c r="JJV98" s="17"/>
      <c r="JJW98" s="17"/>
      <c r="JJX98" s="17"/>
      <c r="JJY98" s="17"/>
      <c r="JJZ98" s="17"/>
      <c r="JKA98" s="17"/>
      <c r="JKB98" s="17"/>
      <c r="JKC98" s="17"/>
      <c r="JKD98" s="17"/>
      <c r="JKE98" s="17"/>
      <c r="JKF98" s="17"/>
      <c r="JKG98" s="17"/>
      <c r="JKH98" s="17"/>
      <c r="JKI98" s="17"/>
      <c r="JKJ98" s="17"/>
      <c r="JKK98" s="17"/>
      <c r="JKL98" s="17"/>
      <c r="JKM98" s="17"/>
      <c r="JKN98" s="17"/>
      <c r="JKO98" s="17"/>
      <c r="JKP98" s="17"/>
      <c r="JKQ98" s="17"/>
      <c r="JKR98" s="17"/>
      <c r="JKS98" s="17"/>
      <c r="JKT98" s="17"/>
      <c r="JKU98" s="17"/>
      <c r="JKV98" s="17"/>
      <c r="JKW98" s="17"/>
      <c r="JKX98" s="17"/>
      <c r="JKY98" s="17"/>
      <c r="JKZ98" s="17"/>
      <c r="JLA98" s="17"/>
      <c r="JLB98" s="17"/>
      <c r="JLC98" s="17"/>
      <c r="JLD98" s="17"/>
      <c r="JLE98" s="17"/>
      <c r="JLF98" s="17"/>
      <c r="JLG98" s="17"/>
      <c r="JLH98" s="17"/>
      <c r="JLI98" s="17"/>
      <c r="JLJ98" s="17"/>
      <c r="JLK98" s="17"/>
      <c r="JLL98" s="17"/>
      <c r="JLM98" s="17"/>
      <c r="JLN98" s="17"/>
      <c r="JLO98" s="17"/>
      <c r="JLP98" s="17"/>
      <c r="JLQ98" s="17"/>
      <c r="JLR98" s="17"/>
      <c r="JLS98" s="17"/>
      <c r="JLT98" s="17"/>
      <c r="JLU98" s="17"/>
      <c r="JLV98" s="17"/>
      <c r="JLW98" s="17"/>
      <c r="JLX98" s="17"/>
      <c r="JLY98" s="17"/>
      <c r="JLZ98" s="17"/>
      <c r="JMA98" s="17"/>
      <c r="JMB98" s="17"/>
      <c r="JMC98" s="17"/>
      <c r="JMD98" s="17"/>
      <c r="JME98" s="17"/>
      <c r="JMF98" s="17"/>
      <c r="JMG98" s="17"/>
      <c r="JMH98" s="17"/>
      <c r="JMI98" s="17"/>
      <c r="JMJ98" s="17"/>
      <c r="JMK98" s="17"/>
      <c r="JML98" s="17"/>
      <c r="JMM98" s="17"/>
      <c r="JMN98" s="17"/>
      <c r="JMO98" s="17"/>
      <c r="JMP98" s="17"/>
      <c r="JMQ98" s="17"/>
      <c r="JMR98" s="17"/>
      <c r="JMS98" s="17"/>
      <c r="JMT98" s="17"/>
      <c r="JMU98" s="17"/>
      <c r="JMV98" s="17"/>
      <c r="JMW98" s="17"/>
      <c r="JMX98" s="17"/>
      <c r="JMY98" s="17"/>
      <c r="JMZ98" s="17"/>
      <c r="JNA98" s="17"/>
      <c r="JNB98" s="17"/>
      <c r="JNC98" s="17"/>
      <c r="JND98" s="17"/>
      <c r="JNE98" s="17"/>
      <c r="JNF98" s="17"/>
      <c r="JNG98" s="17"/>
      <c r="JNH98" s="17"/>
      <c r="JNI98" s="17"/>
      <c r="JNJ98" s="17"/>
      <c r="JNK98" s="17"/>
      <c r="JNL98" s="17"/>
      <c r="JNM98" s="17"/>
      <c r="JNN98" s="17"/>
      <c r="JNO98" s="17"/>
      <c r="JNP98" s="17"/>
      <c r="JNQ98" s="17"/>
      <c r="JNR98" s="17"/>
      <c r="JNS98" s="17"/>
      <c r="JNT98" s="17"/>
      <c r="JNU98" s="17"/>
      <c r="JNV98" s="17"/>
      <c r="JNW98" s="17"/>
      <c r="JNX98" s="17"/>
      <c r="JNY98" s="17"/>
      <c r="JNZ98" s="17"/>
      <c r="JOA98" s="17"/>
      <c r="JOB98" s="17"/>
      <c r="JOC98" s="17"/>
      <c r="JOD98" s="17"/>
      <c r="JOE98" s="17"/>
      <c r="JOF98" s="17"/>
      <c r="JOG98" s="17"/>
      <c r="JOH98" s="17"/>
      <c r="JOI98" s="17"/>
      <c r="JOJ98" s="17"/>
      <c r="JOK98" s="17"/>
      <c r="JOL98" s="17"/>
      <c r="JOM98" s="17"/>
      <c r="JON98" s="17"/>
      <c r="JOO98" s="17"/>
      <c r="JOP98" s="17"/>
      <c r="JOQ98" s="17"/>
      <c r="JOR98" s="17"/>
      <c r="JOS98" s="17"/>
      <c r="JOT98" s="17"/>
      <c r="JOU98" s="17"/>
      <c r="JOV98" s="17"/>
      <c r="JOW98" s="17"/>
      <c r="JOX98" s="17"/>
      <c r="JOY98" s="17"/>
      <c r="JOZ98" s="17"/>
      <c r="JPA98" s="17"/>
      <c r="JPB98" s="17"/>
      <c r="JPC98" s="17"/>
      <c r="JPD98" s="17"/>
      <c r="JPE98" s="17"/>
      <c r="JPF98" s="17"/>
      <c r="JPG98" s="17"/>
      <c r="JPH98" s="17"/>
      <c r="JPI98" s="17"/>
      <c r="JPJ98" s="17"/>
      <c r="JPK98" s="17"/>
      <c r="JPL98" s="17"/>
      <c r="JPM98" s="17"/>
      <c r="JPN98" s="17"/>
      <c r="JPO98" s="17"/>
      <c r="JPP98" s="17"/>
      <c r="JPQ98" s="17"/>
      <c r="JPR98" s="17"/>
      <c r="JPS98" s="17"/>
      <c r="JPT98" s="17"/>
      <c r="JPU98" s="17"/>
      <c r="JPV98" s="17"/>
      <c r="JPW98" s="17"/>
      <c r="JPX98" s="17"/>
      <c r="JPY98" s="17"/>
      <c r="JPZ98" s="17"/>
      <c r="JQA98" s="17"/>
      <c r="JQB98" s="17"/>
      <c r="JQC98" s="17"/>
      <c r="JQD98" s="17"/>
      <c r="JQE98" s="17"/>
      <c r="JQF98" s="17"/>
      <c r="JQG98" s="17"/>
      <c r="JQH98" s="17"/>
      <c r="JQI98" s="17"/>
      <c r="JQJ98" s="17"/>
      <c r="JQK98" s="17"/>
      <c r="JQL98" s="17"/>
      <c r="JQM98" s="17"/>
      <c r="JQN98" s="17"/>
      <c r="JQO98" s="17"/>
      <c r="JQP98" s="17"/>
      <c r="JQQ98" s="17"/>
      <c r="JQR98" s="17"/>
      <c r="JQS98" s="17"/>
      <c r="JQT98" s="17"/>
      <c r="JQU98" s="17"/>
      <c r="JQV98" s="17"/>
      <c r="JQW98" s="17"/>
      <c r="JQX98" s="17"/>
      <c r="JQY98" s="17"/>
      <c r="JQZ98" s="17"/>
      <c r="JRA98" s="17"/>
      <c r="JRB98" s="17"/>
      <c r="JRC98" s="17"/>
      <c r="JRD98" s="17"/>
      <c r="JRE98" s="17"/>
      <c r="JRF98" s="17"/>
      <c r="JRG98" s="17"/>
      <c r="JRH98" s="17"/>
      <c r="JRI98" s="17"/>
      <c r="JRJ98" s="17"/>
      <c r="JRK98" s="17"/>
      <c r="JRL98" s="17"/>
      <c r="JRM98" s="17"/>
      <c r="JRN98" s="17"/>
      <c r="JRO98" s="17"/>
      <c r="JRP98" s="17"/>
      <c r="JRQ98" s="17"/>
      <c r="JRR98" s="17"/>
      <c r="JRS98" s="17"/>
      <c r="JRT98" s="17"/>
      <c r="JRU98" s="17"/>
      <c r="JRV98" s="17"/>
      <c r="JRW98" s="17"/>
      <c r="JRX98" s="17"/>
      <c r="JRY98" s="17"/>
      <c r="JRZ98" s="17"/>
      <c r="JSA98" s="17"/>
      <c r="JSB98" s="17"/>
      <c r="JSC98" s="17"/>
      <c r="JSD98" s="17"/>
      <c r="JSE98" s="17"/>
      <c r="JSF98" s="17"/>
      <c r="JSG98" s="17"/>
      <c r="JSH98" s="17"/>
      <c r="JSI98" s="17"/>
      <c r="JSJ98" s="17"/>
      <c r="JSK98" s="17"/>
      <c r="JSL98" s="17"/>
      <c r="JSM98" s="17"/>
      <c r="JSN98" s="17"/>
      <c r="JSO98" s="17"/>
      <c r="JSP98" s="17"/>
      <c r="JSQ98" s="17"/>
      <c r="JSR98" s="17"/>
      <c r="JSS98" s="17"/>
      <c r="JST98" s="17"/>
      <c r="JSU98" s="17"/>
      <c r="JSV98" s="17"/>
      <c r="JSW98" s="17"/>
      <c r="JSX98" s="17"/>
      <c r="JSY98" s="17"/>
      <c r="JSZ98" s="17"/>
      <c r="JTA98" s="17"/>
      <c r="JTB98" s="17"/>
      <c r="JTC98" s="17"/>
      <c r="JTD98" s="17"/>
      <c r="JTE98" s="17"/>
      <c r="JTF98" s="17"/>
      <c r="JTG98" s="17"/>
      <c r="JTH98" s="17"/>
      <c r="JTI98" s="17"/>
      <c r="JTJ98" s="17"/>
      <c r="JTK98" s="17"/>
      <c r="JTL98" s="17"/>
      <c r="JTM98" s="17"/>
      <c r="JTN98" s="17"/>
      <c r="JTO98" s="17"/>
      <c r="JTP98" s="17"/>
      <c r="JTQ98" s="17"/>
      <c r="JTR98" s="17"/>
      <c r="JTS98" s="17"/>
      <c r="JTT98" s="17"/>
      <c r="JTU98" s="17"/>
      <c r="JTV98" s="17"/>
      <c r="JTW98" s="17"/>
      <c r="JTX98" s="17"/>
      <c r="JTY98" s="17"/>
      <c r="JTZ98" s="17"/>
      <c r="JUA98" s="17"/>
      <c r="JUB98" s="17"/>
      <c r="JUC98" s="17"/>
      <c r="JUD98" s="17"/>
      <c r="JUE98" s="17"/>
      <c r="JUF98" s="17"/>
      <c r="JUG98" s="17"/>
      <c r="JUH98" s="17"/>
      <c r="JUI98" s="17"/>
      <c r="JUJ98" s="17"/>
      <c r="JUK98" s="17"/>
      <c r="JUL98" s="17"/>
      <c r="JUM98" s="17"/>
      <c r="JUN98" s="17"/>
      <c r="JUO98" s="17"/>
      <c r="JUP98" s="17"/>
      <c r="JUQ98" s="17"/>
      <c r="JUR98" s="17"/>
      <c r="JUS98" s="17"/>
      <c r="JUT98" s="17"/>
      <c r="JUU98" s="17"/>
      <c r="JUV98" s="17"/>
      <c r="JUW98" s="17"/>
      <c r="JUX98" s="17"/>
      <c r="JUY98" s="17"/>
      <c r="JUZ98" s="17"/>
      <c r="JVA98" s="17"/>
      <c r="JVB98" s="17"/>
      <c r="JVC98" s="17"/>
      <c r="JVD98" s="17"/>
      <c r="JVE98" s="17"/>
      <c r="JVF98" s="17"/>
      <c r="JVG98" s="17"/>
      <c r="JVH98" s="17"/>
      <c r="JVI98" s="17"/>
      <c r="JVJ98" s="17"/>
      <c r="JVK98" s="17"/>
      <c r="JVL98" s="17"/>
      <c r="JVM98" s="17"/>
      <c r="JVN98" s="17"/>
      <c r="JVO98" s="17"/>
      <c r="JVP98" s="17"/>
      <c r="JVQ98" s="17"/>
      <c r="JVR98" s="17"/>
      <c r="JVS98" s="17"/>
      <c r="JVT98" s="17"/>
      <c r="JVU98" s="17"/>
      <c r="JVV98" s="17"/>
      <c r="JVW98" s="17"/>
      <c r="JVX98" s="17"/>
      <c r="JVY98" s="17"/>
      <c r="JVZ98" s="17"/>
      <c r="JWA98" s="17"/>
      <c r="JWB98" s="17"/>
      <c r="JWC98" s="17"/>
      <c r="JWD98" s="17"/>
      <c r="JWE98" s="17"/>
      <c r="JWF98" s="17"/>
      <c r="JWG98" s="17"/>
      <c r="JWH98" s="17"/>
      <c r="JWI98" s="17"/>
      <c r="JWJ98" s="17"/>
      <c r="JWK98" s="17"/>
      <c r="JWL98" s="17"/>
      <c r="JWM98" s="17"/>
      <c r="JWN98" s="17"/>
      <c r="JWO98" s="17"/>
      <c r="JWP98" s="17"/>
      <c r="JWQ98" s="17"/>
      <c r="JWR98" s="17"/>
      <c r="JWS98" s="17"/>
      <c r="JWT98" s="17"/>
      <c r="JWU98" s="17"/>
      <c r="JWV98" s="17"/>
      <c r="JWW98" s="17"/>
      <c r="JWX98" s="17"/>
      <c r="JWY98" s="17"/>
      <c r="JWZ98" s="17"/>
      <c r="JXA98" s="17"/>
      <c r="JXB98" s="17"/>
      <c r="JXC98" s="17"/>
      <c r="JXD98" s="17"/>
      <c r="JXE98" s="17"/>
      <c r="JXF98" s="17"/>
      <c r="JXG98" s="17"/>
      <c r="JXH98" s="17"/>
      <c r="JXI98" s="17"/>
      <c r="JXJ98" s="17"/>
      <c r="JXK98" s="17"/>
      <c r="JXL98" s="17"/>
      <c r="JXM98" s="17"/>
      <c r="JXN98" s="17"/>
      <c r="JXO98" s="17"/>
      <c r="JXP98" s="17"/>
      <c r="JXQ98" s="17"/>
      <c r="JXR98" s="17"/>
      <c r="JXS98" s="17"/>
      <c r="JXT98" s="17"/>
      <c r="JXU98" s="17"/>
      <c r="JXV98" s="17"/>
      <c r="JXW98" s="17"/>
      <c r="JXX98" s="17"/>
      <c r="JXY98" s="17"/>
      <c r="JXZ98" s="17"/>
      <c r="JYA98" s="17"/>
      <c r="JYB98" s="17"/>
      <c r="JYC98" s="17"/>
      <c r="JYD98" s="17"/>
      <c r="JYE98" s="17"/>
      <c r="JYF98" s="17"/>
      <c r="JYG98" s="17"/>
      <c r="JYH98" s="17"/>
      <c r="JYI98" s="17"/>
      <c r="JYJ98" s="17"/>
      <c r="JYK98" s="17"/>
      <c r="JYL98" s="17"/>
      <c r="JYM98" s="17"/>
      <c r="JYN98" s="17"/>
      <c r="JYO98" s="17"/>
      <c r="JYP98" s="17"/>
      <c r="JYQ98" s="17"/>
      <c r="JYR98" s="17"/>
      <c r="JYS98" s="17"/>
      <c r="JYT98" s="17"/>
      <c r="JYU98" s="17"/>
      <c r="JYV98" s="17"/>
      <c r="JYW98" s="17"/>
      <c r="JYX98" s="17"/>
      <c r="JYY98" s="17"/>
      <c r="JYZ98" s="17"/>
      <c r="JZA98" s="17"/>
      <c r="JZB98" s="17"/>
      <c r="JZC98" s="17"/>
      <c r="JZD98" s="17"/>
      <c r="JZE98" s="17"/>
      <c r="JZF98" s="17"/>
      <c r="JZG98" s="17"/>
      <c r="JZH98" s="17"/>
      <c r="JZI98" s="17"/>
      <c r="JZJ98" s="17"/>
      <c r="JZK98" s="17"/>
      <c r="JZL98" s="17"/>
      <c r="JZM98" s="17"/>
      <c r="JZN98" s="17"/>
      <c r="JZO98" s="17"/>
      <c r="JZP98" s="17"/>
      <c r="JZQ98" s="17"/>
      <c r="JZR98" s="17"/>
      <c r="JZS98" s="17"/>
      <c r="JZT98" s="17"/>
      <c r="JZU98" s="17"/>
      <c r="JZV98" s="17"/>
      <c r="JZW98" s="17"/>
      <c r="JZX98" s="17"/>
      <c r="JZY98" s="17"/>
      <c r="JZZ98" s="17"/>
      <c r="KAA98" s="17"/>
      <c r="KAB98" s="17"/>
      <c r="KAC98" s="17"/>
      <c r="KAD98" s="17"/>
      <c r="KAE98" s="17"/>
      <c r="KAF98" s="17"/>
      <c r="KAG98" s="17"/>
      <c r="KAH98" s="17"/>
      <c r="KAI98" s="17"/>
      <c r="KAJ98" s="17"/>
      <c r="KAK98" s="17"/>
      <c r="KAL98" s="17"/>
      <c r="KAM98" s="17"/>
      <c r="KAN98" s="17"/>
      <c r="KAO98" s="17"/>
      <c r="KAP98" s="17"/>
      <c r="KAQ98" s="17"/>
      <c r="KAR98" s="17"/>
      <c r="KAS98" s="17"/>
      <c r="KAT98" s="17"/>
      <c r="KAU98" s="17"/>
      <c r="KAV98" s="17"/>
      <c r="KAW98" s="17"/>
      <c r="KAX98" s="17"/>
      <c r="KAY98" s="17"/>
      <c r="KAZ98" s="17"/>
      <c r="KBA98" s="17"/>
      <c r="KBB98" s="17"/>
      <c r="KBC98" s="17"/>
      <c r="KBD98" s="17"/>
      <c r="KBE98" s="17"/>
      <c r="KBF98" s="17"/>
      <c r="KBG98" s="17"/>
      <c r="KBH98" s="17"/>
      <c r="KBI98" s="17"/>
      <c r="KBJ98" s="17"/>
      <c r="KBK98" s="17"/>
      <c r="KBL98" s="17"/>
      <c r="KBM98" s="17"/>
      <c r="KBN98" s="17"/>
      <c r="KBO98" s="17"/>
      <c r="KBP98" s="17"/>
      <c r="KBQ98" s="17"/>
      <c r="KBR98" s="17"/>
      <c r="KBS98" s="17"/>
      <c r="KBT98" s="17"/>
      <c r="KBU98" s="17"/>
      <c r="KBV98" s="17"/>
      <c r="KBW98" s="17"/>
      <c r="KBX98" s="17"/>
      <c r="KBY98" s="17"/>
      <c r="KBZ98" s="17"/>
      <c r="KCA98" s="17"/>
      <c r="KCB98" s="17"/>
      <c r="KCC98" s="17"/>
      <c r="KCD98" s="17"/>
      <c r="KCE98" s="17"/>
      <c r="KCF98" s="17"/>
      <c r="KCG98" s="17"/>
      <c r="KCH98" s="17"/>
      <c r="KCI98" s="17"/>
      <c r="KCJ98" s="17"/>
      <c r="KCK98" s="17"/>
      <c r="KCL98" s="17"/>
      <c r="KCM98" s="17"/>
      <c r="KCN98" s="17"/>
      <c r="KCO98" s="17"/>
      <c r="KCP98" s="17"/>
      <c r="KCQ98" s="17"/>
      <c r="KCR98" s="17"/>
      <c r="KCS98" s="17"/>
      <c r="KCT98" s="17"/>
      <c r="KCU98" s="17"/>
      <c r="KCV98" s="17"/>
      <c r="KCW98" s="17"/>
      <c r="KCX98" s="17"/>
      <c r="KCY98" s="17"/>
      <c r="KCZ98" s="17"/>
      <c r="KDA98" s="17"/>
      <c r="KDB98" s="17"/>
      <c r="KDC98" s="17"/>
      <c r="KDD98" s="17"/>
      <c r="KDE98" s="17"/>
      <c r="KDF98" s="17"/>
      <c r="KDG98" s="17"/>
      <c r="KDH98" s="17"/>
      <c r="KDI98" s="17"/>
      <c r="KDJ98" s="17"/>
      <c r="KDK98" s="17"/>
      <c r="KDL98" s="17"/>
      <c r="KDM98" s="17"/>
      <c r="KDN98" s="17"/>
      <c r="KDO98" s="17"/>
      <c r="KDP98" s="17"/>
      <c r="KDQ98" s="17"/>
      <c r="KDR98" s="17"/>
      <c r="KDS98" s="17"/>
      <c r="KDT98" s="17"/>
      <c r="KDU98" s="17"/>
      <c r="KDV98" s="17"/>
      <c r="KDW98" s="17"/>
      <c r="KDX98" s="17"/>
      <c r="KDY98" s="17"/>
      <c r="KDZ98" s="17"/>
      <c r="KEA98" s="17"/>
      <c r="KEB98" s="17"/>
      <c r="KEC98" s="17"/>
      <c r="KED98" s="17"/>
      <c r="KEE98" s="17"/>
      <c r="KEF98" s="17"/>
      <c r="KEG98" s="17"/>
      <c r="KEH98" s="17"/>
      <c r="KEI98" s="17"/>
      <c r="KEJ98" s="17"/>
      <c r="KEK98" s="17"/>
      <c r="KEL98" s="17"/>
      <c r="KEM98" s="17"/>
      <c r="KEN98" s="17"/>
      <c r="KEO98" s="17"/>
      <c r="KEP98" s="17"/>
      <c r="KEQ98" s="17"/>
      <c r="KER98" s="17"/>
      <c r="KES98" s="17"/>
      <c r="KET98" s="17"/>
      <c r="KEU98" s="17"/>
      <c r="KEV98" s="17"/>
      <c r="KEW98" s="17"/>
      <c r="KEX98" s="17"/>
      <c r="KEY98" s="17"/>
      <c r="KEZ98" s="17"/>
      <c r="KFA98" s="17"/>
      <c r="KFB98" s="17"/>
      <c r="KFC98" s="17"/>
      <c r="KFD98" s="17"/>
      <c r="KFE98" s="17"/>
      <c r="KFF98" s="17"/>
      <c r="KFG98" s="17"/>
      <c r="KFH98" s="17"/>
      <c r="KFI98" s="17"/>
      <c r="KFJ98" s="17"/>
      <c r="KFK98" s="17"/>
      <c r="KFL98" s="17"/>
      <c r="KFM98" s="17"/>
      <c r="KFN98" s="17"/>
      <c r="KFO98" s="17"/>
      <c r="KFP98" s="17"/>
      <c r="KFQ98" s="17"/>
      <c r="KFR98" s="17"/>
      <c r="KFS98" s="17"/>
      <c r="KFT98" s="17"/>
      <c r="KFU98" s="17"/>
      <c r="KFV98" s="17"/>
      <c r="KFW98" s="17"/>
      <c r="KFX98" s="17"/>
      <c r="KFY98" s="17"/>
      <c r="KFZ98" s="17"/>
      <c r="KGA98" s="17"/>
      <c r="KGB98" s="17"/>
      <c r="KGC98" s="17"/>
      <c r="KGD98" s="17"/>
      <c r="KGE98" s="17"/>
      <c r="KGF98" s="17"/>
      <c r="KGG98" s="17"/>
      <c r="KGH98" s="17"/>
      <c r="KGI98" s="17"/>
      <c r="KGJ98" s="17"/>
      <c r="KGK98" s="17"/>
      <c r="KGL98" s="17"/>
      <c r="KGM98" s="17"/>
      <c r="KGN98" s="17"/>
      <c r="KGO98" s="17"/>
      <c r="KGP98" s="17"/>
      <c r="KGQ98" s="17"/>
      <c r="KGR98" s="17"/>
      <c r="KGS98" s="17"/>
      <c r="KGT98" s="17"/>
      <c r="KGU98" s="17"/>
      <c r="KGV98" s="17"/>
      <c r="KGW98" s="17"/>
      <c r="KGX98" s="17"/>
      <c r="KGY98" s="17"/>
      <c r="KGZ98" s="17"/>
      <c r="KHA98" s="17"/>
      <c r="KHB98" s="17"/>
      <c r="KHC98" s="17"/>
      <c r="KHD98" s="17"/>
      <c r="KHE98" s="17"/>
      <c r="KHF98" s="17"/>
      <c r="KHG98" s="17"/>
      <c r="KHH98" s="17"/>
      <c r="KHI98" s="17"/>
      <c r="KHJ98" s="17"/>
      <c r="KHK98" s="17"/>
      <c r="KHL98" s="17"/>
      <c r="KHM98" s="17"/>
      <c r="KHN98" s="17"/>
      <c r="KHO98" s="17"/>
      <c r="KHP98" s="17"/>
      <c r="KHQ98" s="17"/>
      <c r="KHR98" s="17"/>
      <c r="KHS98" s="17"/>
      <c r="KHT98" s="17"/>
      <c r="KHU98" s="17"/>
      <c r="KHV98" s="17"/>
      <c r="KHW98" s="17"/>
      <c r="KHX98" s="17"/>
      <c r="KHY98" s="17"/>
      <c r="KHZ98" s="17"/>
      <c r="KIA98" s="17"/>
      <c r="KIB98" s="17"/>
      <c r="KIC98" s="17"/>
      <c r="KID98" s="17"/>
      <c r="KIE98" s="17"/>
      <c r="KIF98" s="17"/>
      <c r="KIG98" s="17"/>
      <c r="KIH98" s="17"/>
      <c r="KII98" s="17"/>
      <c r="KIJ98" s="17"/>
      <c r="KIK98" s="17"/>
      <c r="KIL98" s="17"/>
      <c r="KIM98" s="17"/>
      <c r="KIN98" s="17"/>
      <c r="KIO98" s="17"/>
      <c r="KIP98" s="17"/>
      <c r="KIQ98" s="17"/>
      <c r="KIR98" s="17"/>
      <c r="KIS98" s="17"/>
      <c r="KIT98" s="17"/>
      <c r="KIU98" s="17"/>
      <c r="KIV98" s="17"/>
      <c r="KIW98" s="17"/>
      <c r="KIX98" s="17"/>
      <c r="KIY98" s="17"/>
      <c r="KIZ98" s="17"/>
      <c r="KJA98" s="17"/>
      <c r="KJB98" s="17"/>
      <c r="KJC98" s="17"/>
      <c r="KJD98" s="17"/>
      <c r="KJE98" s="17"/>
      <c r="KJF98" s="17"/>
      <c r="KJG98" s="17"/>
      <c r="KJH98" s="17"/>
      <c r="KJI98" s="17"/>
      <c r="KJJ98" s="17"/>
      <c r="KJK98" s="17"/>
      <c r="KJL98" s="17"/>
      <c r="KJM98" s="17"/>
      <c r="KJN98" s="17"/>
      <c r="KJO98" s="17"/>
      <c r="KJP98" s="17"/>
      <c r="KJQ98" s="17"/>
      <c r="KJR98" s="17"/>
      <c r="KJS98" s="17"/>
      <c r="KJT98" s="17"/>
      <c r="KJU98" s="17"/>
      <c r="KJV98" s="17"/>
      <c r="KJW98" s="17"/>
      <c r="KJX98" s="17"/>
      <c r="KJY98" s="17"/>
      <c r="KJZ98" s="17"/>
      <c r="KKA98" s="17"/>
      <c r="KKB98" s="17"/>
      <c r="KKC98" s="17"/>
      <c r="KKD98" s="17"/>
      <c r="KKE98" s="17"/>
      <c r="KKF98" s="17"/>
      <c r="KKG98" s="17"/>
      <c r="KKH98" s="17"/>
      <c r="KKI98" s="17"/>
      <c r="KKJ98" s="17"/>
      <c r="KKK98" s="17"/>
      <c r="KKL98" s="17"/>
      <c r="KKM98" s="17"/>
      <c r="KKN98" s="17"/>
      <c r="KKO98" s="17"/>
      <c r="KKP98" s="17"/>
      <c r="KKQ98" s="17"/>
      <c r="KKR98" s="17"/>
      <c r="KKS98" s="17"/>
      <c r="KKT98" s="17"/>
      <c r="KKU98" s="17"/>
      <c r="KKV98" s="17"/>
      <c r="KKW98" s="17"/>
      <c r="KKX98" s="17"/>
      <c r="KKY98" s="17"/>
      <c r="KKZ98" s="17"/>
      <c r="KLA98" s="17"/>
      <c r="KLB98" s="17"/>
      <c r="KLC98" s="17"/>
      <c r="KLD98" s="17"/>
      <c r="KLE98" s="17"/>
      <c r="KLF98" s="17"/>
      <c r="KLG98" s="17"/>
      <c r="KLH98" s="17"/>
      <c r="KLI98" s="17"/>
      <c r="KLJ98" s="17"/>
      <c r="KLK98" s="17"/>
      <c r="KLL98" s="17"/>
      <c r="KLM98" s="17"/>
      <c r="KLN98" s="17"/>
      <c r="KLO98" s="17"/>
      <c r="KLP98" s="17"/>
      <c r="KLQ98" s="17"/>
      <c r="KLR98" s="17"/>
      <c r="KLS98" s="17"/>
      <c r="KLT98" s="17"/>
      <c r="KLU98" s="17"/>
      <c r="KLV98" s="17"/>
      <c r="KLW98" s="17"/>
      <c r="KLX98" s="17"/>
      <c r="KLY98" s="17"/>
      <c r="KLZ98" s="17"/>
      <c r="KMA98" s="17"/>
      <c r="KMB98" s="17"/>
      <c r="KMC98" s="17"/>
      <c r="KMD98" s="17"/>
      <c r="KME98" s="17"/>
      <c r="KMF98" s="17"/>
      <c r="KMG98" s="17"/>
      <c r="KMH98" s="17"/>
      <c r="KMI98" s="17"/>
      <c r="KMJ98" s="17"/>
      <c r="KMK98" s="17"/>
      <c r="KML98" s="17"/>
      <c r="KMM98" s="17"/>
      <c r="KMN98" s="17"/>
      <c r="KMO98" s="17"/>
      <c r="KMP98" s="17"/>
      <c r="KMQ98" s="17"/>
      <c r="KMR98" s="17"/>
      <c r="KMS98" s="17"/>
      <c r="KMT98" s="17"/>
      <c r="KMU98" s="17"/>
      <c r="KMV98" s="17"/>
      <c r="KMW98" s="17"/>
      <c r="KMX98" s="17"/>
      <c r="KMY98" s="17"/>
      <c r="KMZ98" s="17"/>
      <c r="KNA98" s="17"/>
      <c r="KNB98" s="17"/>
      <c r="KNC98" s="17"/>
      <c r="KND98" s="17"/>
      <c r="KNE98" s="17"/>
      <c r="KNF98" s="17"/>
      <c r="KNG98" s="17"/>
      <c r="KNH98" s="17"/>
      <c r="KNI98" s="17"/>
      <c r="KNJ98" s="17"/>
      <c r="KNK98" s="17"/>
      <c r="KNL98" s="17"/>
      <c r="KNM98" s="17"/>
      <c r="KNN98" s="17"/>
      <c r="KNO98" s="17"/>
      <c r="KNP98" s="17"/>
      <c r="KNQ98" s="17"/>
      <c r="KNR98" s="17"/>
      <c r="KNS98" s="17"/>
      <c r="KNT98" s="17"/>
      <c r="KNU98" s="17"/>
      <c r="KNV98" s="17"/>
      <c r="KNW98" s="17"/>
      <c r="KNX98" s="17"/>
      <c r="KNY98" s="17"/>
      <c r="KNZ98" s="17"/>
      <c r="KOA98" s="17"/>
      <c r="KOB98" s="17"/>
      <c r="KOC98" s="17"/>
      <c r="KOD98" s="17"/>
      <c r="KOE98" s="17"/>
      <c r="KOF98" s="17"/>
      <c r="KOG98" s="17"/>
      <c r="KOH98" s="17"/>
      <c r="KOI98" s="17"/>
      <c r="KOJ98" s="17"/>
      <c r="KOK98" s="17"/>
      <c r="KOL98" s="17"/>
      <c r="KOM98" s="17"/>
      <c r="KON98" s="17"/>
      <c r="KOO98" s="17"/>
      <c r="KOP98" s="17"/>
      <c r="KOQ98" s="17"/>
      <c r="KOR98" s="17"/>
      <c r="KOS98" s="17"/>
      <c r="KOT98" s="17"/>
      <c r="KOU98" s="17"/>
      <c r="KOV98" s="17"/>
      <c r="KOW98" s="17"/>
      <c r="KOX98" s="17"/>
      <c r="KOY98" s="17"/>
      <c r="KOZ98" s="17"/>
      <c r="KPA98" s="17"/>
      <c r="KPB98" s="17"/>
      <c r="KPC98" s="17"/>
      <c r="KPD98" s="17"/>
      <c r="KPE98" s="17"/>
      <c r="KPF98" s="17"/>
      <c r="KPG98" s="17"/>
      <c r="KPH98" s="17"/>
      <c r="KPI98" s="17"/>
      <c r="KPJ98" s="17"/>
      <c r="KPK98" s="17"/>
      <c r="KPL98" s="17"/>
      <c r="KPM98" s="17"/>
      <c r="KPN98" s="17"/>
      <c r="KPO98" s="17"/>
      <c r="KPP98" s="17"/>
      <c r="KPQ98" s="17"/>
      <c r="KPR98" s="17"/>
      <c r="KPS98" s="17"/>
      <c r="KPT98" s="17"/>
      <c r="KPU98" s="17"/>
      <c r="KPV98" s="17"/>
      <c r="KPW98" s="17"/>
      <c r="KPX98" s="17"/>
      <c r="KPY98" s="17"/>
      <c r="KPZ98" s="17"/>
      <c r="KQA98" s="17"/>
      <c r="KQB98" s="17"/>
      <c r="KQC98" s="17"/>
      <c r="KQD98" s="17"/>
      <c r="KQE98" s="17"/>
      <c r="KQF98" s="17"/>
      <c r="KQG98" s="17"/>
      <c r="KQH98" s="17"/>
      <c r="KQI98" s="17"/>
      <c r="KQJ98" s="17"/>
      <c r="KQK98" s="17"/>
      <c r="KQL98" s="17"/>
      <c r="KQM98" s="17"/>
      <c r="KQN98" s="17"/>
      <c r="KQO98" s="17"/>
      <c r="KQP98" s="17"/>
      <c r="KQQ98" s="17"/>
      <c r="KQR98" s="17"/>
      <c r="KQS98" s="17"/>
      <c r="KQT98" s="17"/>
      <c r="KQU98" s="17"/>
      <c r="KQV98" s="17"/>
      <c r="KQW98" s="17"/>
      <c r="KQX98" s="17"/>
      <c r="KQY98" s="17"/>
      <c r="KQZ98" s="17"/>
      <c r="KRA98" s="17"/>
      <c r="KRB98" s="17"/>
      <c r="KRC98" s="17"/>
      <c r="KRD98" s="17"/>
      <c r="KRE98" s="17"/>
      <c r="KRF98" s="17"/>
      <c r="KRG98" s="17"/>
      <c r="KRH98" s="17"/>
      <c r="KRI98" s="17"/>
      <c r="KRJ98" s="17"/>
      <c r="KRK98" s="17"/>
      <c r="KRL98" s="17"/>
      <c r="KRM98" s="17"/>
      <c r="KRN98" s="17"/>
      <c r="KRO98" s="17"/>
      <c r="KRP98" s="17"/>
      <c r="KRQ98" s="17"/>
      <c r="KRR98" s="17"/>
      <c r="KRS98" s="17"/>
      <c r="KRT98" s="17"/>
      <c r="KRU98" s="17"/>
      <c r="KRV98" s="17"/>
      <c r="KRW98" s="17"/>
      <c r="KRX98" s="17"/>
      <c r="KRY98" s="17"/>
      <c r="KRZ98" s="17"/>
      <c r="KSA98" s="17"/>
      <c r="KSB98" s="17"/>
      <c r="KSC98" s="17"/>
      <c r="KSD98" s="17"/>
      <c r="KSE98" s="17"/>
      <c r="KSF98" s="17"/>
      <c r="KSG98" s="17"/>
      <c r="KSH98" s="17"/>
      <c r="KSI98" s="17"/>
      <c r="KSJ98" s="17"/>
      <c r="KSK98" s="17"/>
      <c r="KSL98" s="17"/>
      <c r="KSM98" s="17"/>
      <c r="KSN98" s="17"/>
      <c r="KSO98" s="17"/>
      <c r="KSP98" s="17"/>
      <c r="KSQ98" s="17"/>
      <c r="KSR98" s="17"/>
      <c r="KSS98" s="17"/>
      <c r="KST98" s="17"/>
      <c r="KSU98" s="17"/>
      <c r="KSV98" s="17"/>
      <c r="KSW98" s="17"/>
      <c r="KSX98" s="17"/>
      <c r="KSY98" s="17"/>
      <c r="KSZ98" s="17"/>
      <c r="KTA98" s="17"/>
      <c r="KTB98" s="17"/>
      <c r="KTC98" s="17"/>
      <c r="KTD98" s="17"/>
      <c r="KTE98" s="17"/>
      <c r="KTF98" s="17"/>
      <c r="KTG98" s="17"/>
      <c r="KTH98" s="17"/>
      <c r="KTI98" s="17"/>
      <c r="KTJ98" s="17"/>
      <c r="KTK98" s="17"/>
      <c r="KTL98" s="17"/>
      <c r="KTM98" s="17"/>
      <c r="KTN98" s="17"/>
      <c r="KTO98" s="17"/>
      <c r="KTP98" s="17"/>
      <c r="KTQ98" s="17"/>
      <c r="KTR98" s="17"/>
      <c r="KTS98" s="17"/>
      <c r="KTT98" s="17"/>
      <c r="KTU98" s="17"/>
      <c r="KTV98" s="17"/>
      <c r="KTW98" s="17"/>
      <c r="KTX98" s="17"/>
      <c r="KTY98" s="17"/>
      <c r="KTZ98" s="17"/>
      <c r="KUA98" s="17"/>
      <c r="KUB98" s="17"/>
      <c r="KUC98" s="17"/>
      <c r="KUD98" s="17"/>
      <c r="KUE98" s="17"/>
      <c r="KUF98" s="17"/>
      <c r="KUG98" s="17"/>
      <c r="KUH98" s="17"/>
      <c r="KUI98" s="17"/>
      <c r="KUJ98" s="17"/>
      <c r="KUK98" s="17"/>
      <c r="KUL98" s="17"/>
      <c r="KUM98" s="17"/>
      <c r="KUN98" s="17"/>
      <c r="KUO98" s="17"/>
      <c r="KUP98" s="17"/>
      <c r="KUQ98" s="17"/>
      <c r="KUR98" s="17"/>
      <c r="KUS98" s="17"/>
      <c r="KUT98" s="17"/>
      <c r="KUU98" s="17"/>
      <c r="KUV98" s="17"/>
      <c r="KUW98" s="17"/>
      <c r="KUX98" s="17"/>
      <c r="KUY98" s="17"/>
      <c r="KUZ98" s="17"/>
      <c r="KVA98" s="17"/>
      <c r="KVB98" s="17"/>
      <c r="KVC98" s="17"/>
      <c r="KVD98" s="17"/>
      <c r="KVE98" s="17"/>
      <c r="KVF98" s="17"/>
      <c r="KVG98" s="17"/>
      <c r="KVH98" s="17"/>
      <c r="KVI98" s="17"/>
      <c r="KVJ98" s="17"/>
      <c r="KVK98" s="17"/>
      <c r="KVL98" s="17"/>
      <c r="KVM98" s="17"/>
      <c r="KVN98" s="17"/>
      <c r="KVO98" s="17"/>
      <c r="KVP98" s="17"/>
      <c r="KVQ98" s="17"/>
      <c r="KVR98" s="17"/>
      <c r="KVS98" s="17"/>
      <c r="KVT98" s="17"/>
      <c r="KVU98" s="17"/>
      <c r="KVV98" s="17"/>
      <c r="KVW98" s="17"/>
      <c r="KVX98" s="17"/>
      <c r="KVY98" s="17"/>
      <c r="KVZ98" s="17"/>
      <c r="KWA98" s="17"/>
      <c r="KWB98" s="17"/>
      <c r="KWC98" s="17"/>
      <c r="KWD98" s="17"/>
      <c r="KWE98" s="17"/>
      <c r="KWF98" s="17"/>
      <c r="KWG98" s="17"/>
      <c r="KWH98" s="17"/>
      <c r="KWI98" s="17"/>
      <c r="KWJ98" s="17"/>
      <c r="KWK98" s="17"/>
      <c r="KWL98" s="17"/>
      <c r="KWM98" s="17"/>
      <c r="KWN98" s="17"/>
      <c r="KWO98" s="17"/>
      <c r="KWP98" s="17"/>
      <c r="KWQ98" s="17"/>
      <c r="KWR98" s="17"/>
      <c r="KWS98" s="17"/>
      <c r="KWT98" s="17"/>
      <c r="KWU98" s="17"/>
      <c r="KWV98" s="17"/>
      <c r="KWW98" s="17"/>
      <c r="KWX98" s="17"/>
      <c r="KWY98" s="17"/>
      <c r="KWZ98" s="17"/>
      <c r="KXA98" s="17"/>
      <c r="KXB98" s="17"/>
      <c r="KXC98" s="17"/>
      <c r="KXD98" s="17"/>
      <c r="KXE98" s="17"/>
      <c r="KXF98" s="17"/>
      <c r="KXG98" s="17"/>
      <c r="KXH98" s="17"/>
      <c r="KXI98" s="17"/>
      <c r="KXJ98" s="17"/>
      <c r="KXK98" s="17"/>
      <c r="KXL98" s="17"/>
      <c r="KXM98" s="17"/>
      <c r="KXN98" s="17"/>
      <c r="KXO98" s="17"/>
      <c r="KXP98" s="17"/>
      <c r="KXQ98" s="17"/>
      <c r="KXR98" s="17"/>
      <c r="KXS98" s="17"/>
      <c r="KXT98" s="17"/>
      <c r="KXU98" s="17"/>
      <c r="KXV98" s="17"/>
      <c r="KXW98" s="17"/>
      <c r="KXX98" s="17"/>
      <c r="KXY98" s="17"/>
      <c r="KXZ98" s="17"/>
      <c r="KYA98" s="17"/>
      <c r="KYB98" s="17"/>
      <c r="KYC98" s="17"/>
      <c r="KYD98" s="17"/>
      <c r="KYE98" s="17"/>
      <c r="KYF98" s="17"/>
      <c r="KYG98" s="17"/>
      <c r="KYH98" s="17"/>
      <c r="KYI98" s="17"/>
      <c r="KYJ98" s="17"/>
      <c r="KYK98" s="17"/>
      <c r="KYL98" s="17"/>
      <c r="KYM98" s="17"/>
      <c r="KYN98" s="17"/>
      <c r="KYO98" s="17"/>
      <c r="KYP98" s="17"/>
      <c r="KYQ98" s="17"/>
      <c r="KYR98" s="17"/>
      <c r="KYS98" s="17"/>
      <c r="KYT98" s="17"/>
      <c r="KYU98" s="17"/>
      <c r="KYV98" s="17"/>
      <c r="KYW98" s="17"/>
      <c r="KYX98" s="17"/>
      <c r="KYY98" s="17"/>
      <c r="KYZ98" s="17"/>
      <c r="KZA98" s="17"/>
      <c r="KZB98" s="17"/>
      <c r="KZC98" s="17"/>
      <c r="KZD98" s="17"/>
      <c r="KZE98" s="17"/>
      <c r="KZF98" s="17"/>
      <c r="KZG98" s="17"/>
      <c r="KZH98" s="17"/>
      <c r="KZI98" s="17"/>
      <c r="KZJ98" s="17"/>
      <c r="KZK98" s="17"/>
      <c r="KZL98" s="17"/>
      <c r="KZM98" s="17"/>
      <c r="KZN98" s="17"/>
      <c r="KZO98" s="17"/>
      <c r="KZP98" s="17"/>
      <c r="KZQ98" s="17"/>
      <c r="KZR98" s="17"/>
      <c r="KZS98" s="17"/>
      <c r="KZT98" s="17"/>
      <c r="KZU98" s="17"/>
      <c r="KZV98" s="17"/>
      <c r="KZW98" s="17"/>
      <c r="KZX98" s="17"/>
      <c r="KZY98" s="17"/>
      <c r="KZZ98" s="17"/>
      <c r="LAA98" s="17"/>
      <c r="LAB98" s="17"/>
      <c r="LAC98" s="17"/>
      <c r="LAD98" s="17"/>
      <c r="LAE98" s="17"/>
      <c r="LAF98" s="17"/>
      <c r="LAG98" s="17"/>
      <c r="LAH98" s="17"/>
      <c r="LAI98" s="17"/>
      <c r="LAJ98" s="17"/>
      <c r="LAK98" s="17"/>
      <c r="LAL98" s="17"/>
      <c r="LAM98" s="17"/>
      <c r="LAN98" s="17"/>
      <c r="LAO98" s="17"/>
      <c r="LAP98" s="17"/>
      <c r="LAQ98" s="17"/>
      <c r="LAR98" s="17"/>
      <c r="LAS98" s="17"/>
      <c r="LAT98" s="17"/>
      <c r="LAU98" s="17"/>
      <c r="LAV98" s="17"/>
      <c r="LAW98" s="17"/>
      <c r="LAX98" s="17"/>
      <c r="LAY98" s="17"/>
      <c r="LAZ98" s="17"/>
      <c r="LBA98" s="17"/>
      <c r="LBB98" s="17"/>
      <c r="LBC98" s="17"/>
      <c r="LBD98" s="17"/>
      <c r="LBE98" s="17"/>
      <c r="LBF98" s="17"/>
      <c r="LBG98" s="17"/>
      <c r="LBH98" s="17"/>
      <c r="LBI98" s="17"/>
      <c r="LBJ98" s="17"/>
      <c r="LBK98" s="17"/>
      <c r="LBL98" s="17"/>
      <c r="LBM98" s="17"/>
      <c r="LBN98" s="17"/>
      <c r="LBO98" s="17"/>
      <c r="LBP98" s="17"/>
      <c r="LBQ98" s="17"/>
      <c r="LBR98" s="17"/>
      <c r="LBS98" s="17"/>
      <c r="LBT98" s="17"/>
      <c r="LBU98" s="17"/>
      <c r="LBV98" s="17"/>
      <c r="LBW98" s="17"/>
      <c r="LBX98" s="17"/>
      <c r="LBY98" s="17"/>
      <c r="LBZ98" s="17"/>
      <c r="LCA98" s="17"/>
      <c r="LCB98" s="17"/>
      <c r="LCC98" s="17"/>
      <c r="LCD98" s="17"/>
      <c r="LCE98" s="17"/>
      <c r="LCF98" s="17"/>
      <c r="LCG98" s="17"/>
      <c r="LCH98" s="17"/>
      <c r="LCI98" s="17"/>
      <c r="LCJ98" s="17"/>
      <c r="LCK98" s="17"/>
      <c r="LCL98" s="17"/>
      <c r="LCM98" s="17"/>
      <c r="LCN98" s="17"/>
      <c r="LCO98" s="17"/>
      <c r="LCP98" s="17"/>
      <c r="LCQ98" s="17"/>
      <c r="LCR98" s="17"/>
      <c r="LCS98" s="17"/>
      <c r="LCT98" s="17"/>
      <c r="LCU98" s="17"/>
      <c r="LCV98" s="17"/>
      <c r="LCW98" s="17"/>
      <c r="LCX98" s="17"/>
      <c r="LCY98" s="17"/>
      <c r="LCZ98" s="17"/>
      <c r="LDA98" s="17"/>
      <c r="LDB98" s="17"/>
      <c r="LDC98" s="17"/>
      <c r="LDD98" s="17"/>
      <c r="LDE98" s="17"/>
      <c r="LDF98" s="17"/>
      <c r="LDG98" s="17"/>
      <c r="LDH98" s="17"/>
      <c r="LDI98" s="17"/>
      <c r="LDJ98" s="17"/>
      <c r="LDK98" s="17"/>
      <c r="LDL98" s="17"/>
      <c r="LDM98" s="17"/>
      <c r="LDN98" s="17"/>
      <c r="LDO98" s="17"/>
      <c r="LDP98" s="17"/>
      <c r="LDQ98" s="17"/>
      <c r="LDR98" s="17"/>
      <c r="LDS98" s="17"/>
      <c r="LDT98" s="17"/>
      <c r="LDU98" s="17"/>
      <c r="LDV98" s="17"/>
      <c r="LDW98" s="17"/>
      <c r="LDX98" s="17"/>
      <c r="LDY98" s="17"/>
      <c r="LDZ98" s="17"/>
      <c r="LEA98" s="17"/>
      <c r="LEB98" s="17"/>
      <c r="LEC98" s="17"/>
      <c r="LED98" s="17"/>
      <c r="LEE98" s="17"/>
      <c r="LEF98" s="17"/>
      <c r="LEG98" s="17"/>
      <c r="LEH98" s="17"/>
      <c r="LEI98" s="17"/>
      <c r="LEJ98" s="17"/>
      <c r="LEK98" s="17"/>
      <c r="LEL98" s="17"/>
      <c r="LEM98" s="17"/>
      <c r="LEN98" s="17"/>
      <c r="LEO98" s="17"/>
      <c r="LEP98" s="17"/>
      <c r="LEQ98" s="17"/>
      <c r="LER98" s="17"/>
      <c r="LES98" s="17"/>
      <c r="LET98" s="17"/>
      <c r="LEU98" s="17"/>
      <c r="LEV98" s="17"/>
      <c r="LEW98" s="17"/>
      <c r="LEX98" s="17"/>
      <c r="LEY98" s="17"/>
      <c r="LEZ98" s="17"/>
      <c r="LFA98" s="17"/>
      <c r="LFB98" s="17"/>
      <c r="LFC98" s="17"/>
      <c r="LFD98" s="17"/>
      <c r="LFE98" s="17"/>
      <c r="LFF98" s="17"/>
      <c r="LFG98" s="17"/>
      <c r="LFH98" s="17"/>
      <c r="LFI98" s="17"/>
      <c r="LFJ98" s="17"/>
      <c r="LFK98" s="17"/>
      <c r="LFL98" s="17"/>
      <c r="LFM98" s="17"/>
      <c r="LFN98" s="17"/>
      <c r="LFO98" s="17"/>
      <c r="LFP98" s="17"/>
      <c r="LFQ98" s="17"/>
      <c r="LFR98" s="17"/>
      <c r="LFS98" s="17"/>
      <c r="LFT98" s="17"/>
      <c r="LFU98" s="17"/>
      <c r="LFV98" s="17"/>
      <c r="LFW98" s="17"/>
      <c r="LFX98" s="17"/>
      <c r="LFY98" s="17"/>
      <c r="LFZ98" s="17"/>
      <c r="LGA98" s="17"/>
      <c r="LGB98" s="17"/>
      <c r="LGC98" s="17"/>
      <c r="LGD98" s="17"/>
      <c r="LGE98" s="17"/>
      <c r="LGF98" s="17"/>
      <c r="LGG98" s="17"/>
      <c r="LGH98" s="17"/>
      <c r="LGI98" s="17"/>
      <c r="LGJ98" s="17"/>
      <c r="LGK98" s="17"/>
      <c r="LGL98" s="17"/>
      <c r="LGM98" s="17"/>
      <c r="LGN98" s="17"/>
      <c r="LGO98" s="17"/>
      <c r="LGP98" s="17"/>
      <c r="LGQ98" s="17"/>
      <c r="LGR98" s="17"/>
      <c r="LGS98" s="17"/>
      <c r="LGT98" s="17"/>
      <c r="LGU98" s="17"/>
      <c r="LGV98" s="17"/>
      <c r="LGW98" s="17"/>
      <c r="LGX98" s="17"/>
      <c r="LGY98" s="17"/>
      <c r="LGZ98" s="17"/>
      <c r="LHA98" s="17"/>
      <c r="LHB98" s="17"/>
      <c r="LHC98" s="17"/>
      <c r="LHD98" s="17"/>
      <c r="LHE98" s="17"/>
      <c r="LHF98" s="17"/>
      <c r="LHG98" s="17"/>
      <c r="LHH98" s="17"/>
      <c r="LHI98" s="17"/>
      <c r="LHJ98" s="17"/>
      <c r="LHK98" s="17"/>
      <c r="LHL98" s="17"/>
      <c r="LHM98" s="17"/>
      <c r="LHN98" s="17"/>
      <c r="LHO98" s="17"/>
      <c r="LHP98" s="17"/>
      <c r="LHQ98" s="17"/>
      <c r="LHR98" s="17"/>
      <c r="LHS98" s="17"/>
      <c r="LHT98" s="17"/>
      <c r="LHU98" s="17"/>
      <c r="LHV98" s="17"/>
      <c r="LHW98" s="17"/>
      <c r="LHX98" s="17"/>
      <c r="LHY98" s="17"/>
      <c r="LHZ98" s="17"/>
      <c r="LIA98" s="17"/>
      <c r="LIB98" s="17"/>
      <c r="LIC98" s="17"/>
      <c r="LID98" s="17"/>
      <c r="LIE98" s="17"/>
      <c r="LIF98" s="17"/>
      <c r="LIG98" s="17"/>
      <c r="LIH98" s="17"/>
      <c r="LII98" s="17"/>
      <c r="LIJ98" s="17"/>
      <c r="LIK98" s="17"/>
      <c r="LIL98" s="17"/>
      <c r="LIM98" s="17"/>
      <c r="LIN98" s="17"/>
      <c r="LIO98" s="17"/>
      <c r="LIP98" s="17"/>
      <c r="LIQ98" s="17"/>
      <c r="LIR98" s="17"/>
      <c r="LIS98" s="17"/>
      <c r="LIT98" s="17"/>
      <c r="LIU98" s="17"/>
      <c r="LIV98" s="17"/>
      <c r="LIW98" s="17"/>
      <c r="LIX98" s="17"/>
      <c r="LIY98" s="17"/>
      <c r="LIZ98" s="17"/>
      <c r="LJA98" s="17"/>
      <c r="LJB98" s="17"/>
      <c r="LJC98" s="17"/>
      <c r="LJD98" s="17"/>
      <c r="LJE98" s="17"/>
      <c r="LJF98" s="17"/>
      <c r="LJG98" s="17"/>
      <c r="LJH98" s="17"/>
      <c r="LJI98" s="17"/>
      <c r="LJJ98" s="17"/>
      <c r="LJK98" s="17"/>
      <c r="LJL98" s="17"/>
      <c r="LJM98" s="17"/>
      <c r="LJN98" s="17"/>
      <c r="LJO98" s="17"/>
      <c r="LJP98" s="17"/>
      <c r="LJQ98" s="17"/>
      <c r="LJR98" s="17"/>
      <c r="LJS98" s="17"/>
      <c r="LJT98" s="17"/>
      <c r="LJU98" s="17"/>
      <c r="LJV98" s="17"/>
      <c r="LJW98" s="17"/>
      <c r="LJX98" s="17"/>
      <c r="LJY98" s="17"/>
      <c r="LJZ98" s="17"/>
      <c r="LKA98" s="17"/>
      <c r="LKB98" s="17"/>
      <c r="LKC98" s="17"/>
      <c r="LKD98" s="17"/>
      <c r="LKE98" s="17"/>
      <c r="LKF98" s="17"/>
      <c r="LKG98" s="17"/>
      <c r="LKH98" s="17"/>
      <c r="LKI98" s="17"/>
      <c r="LKJ98" s="17"/>
      <c r="LKK98" s="17"/>
      <c r="LKL98" s="17"/>
      <c r="LKM98" s="17"/>
      <c r="LKN98" s="17"/>
      <c r="LKO98" s="17"/>
      <c r="LKP98" s="17"/>
      <c r="LKQ98" s="17"/>
      <c r="LKR98" s="17"/>
      <c r="LKS98" s="17"/>
      <c r="LKT98" s="17"/>
      <c r="LKU98" s="17"/>
      <c r="LKV98" s="17"/>
      <c r="LKW98" s="17"/>
      <c r="LKX98" s="17"/>
      <c r="LKY98" s="17"/>
      <c r="LKZ98" s="17"/>
      <c r="LLA98" s="17"/>
      <c r="LLB98" s="17"/>
      <c r="LLC98" s="17"/>
      <c r="LLD98" s="17"/>
      <c r="LLE98" s="17"/>
      <c r="LLF98" s="17"/>
      <c r="LLG98" s="17"/>
      <c r="LLH98" s="17"/>
      <c r="LLI98" s="17"/>
      <c r="LLJ98" s="17"/>
      <c r="LLK98" s="17"/>
      <c r="LLL98" s="17"/>
      <c r="LLM98" s="17"/>
      <c r="LLN98" s="17"/>
      <c r="LLO98" s="17"/>
      <c r="LLP98" s="17"/>
      <c r="LLQ98" s="17"/>
      <c r="LLR98" s="17"/>
      <c r="LLS98" s="17"/>
      <c r="LLT98" s="17"/>
      <c r="LLU98" s="17"/>
      <c r="LLV98" s="17"/>
      <c r="LLW98" s="17"/>
      <c r="LLX98" s="17"/>
      <c r="LLY98" s="17"/>
      <c r="LLZ98" s="17"/>
      <c r="LMA98" s="17"/>
      <c r="LMB98" s="17"/>
      <c r="LMC98" s="17"/>
      <c r="LMD98" s="17"/>
      <c r="LME98" s="17"/>
      <c r="LMF98" s="17"/>
      <c r="LMG98" s="17"/>
      <c r="LMH98" s="17"/>
      <c r="LMI98" s="17"/>
      <c r="LMJ98" s="17"/>
      <c r="LMK98" s="17"/>
      <c r="LML98" s="17"/>
      <c r="LMM98" s="17"/>
      <c r="LMN98" s="17"/>
      <c r="LMO98" s="17"/>
      <c r="LMP98" s="17"/>
      <c r="LMQ98" s="17"/>
      <c r="LMR98" s="17"/>
      <c r="LMS98" s="17"/>
      <c r="LMT98" s="17"/>
      <c r="LMU98" s="17"/>
      <c r="LMV98" s="17"/>
      <c r="LMW98" s="17"/>
      <c r="LMX98" s="17"/>
      <c r="LMY98" s="17"/>
      <c r="LMZ98" s="17"/>
      <c r="LNA98" s="17"/>
      <c r="LNB98" s="17"/>
      <c r="LNC98" s="17"/>
      <c r="LND98" s="17"/>
      <c r="LNE98" s="17"/>
      <c r="LNF98" s="17"/>
      <c r="LNG98" s="17"/>
      <c r="LNH98" s="17"/>
      <c r="LNI98" s="17"/>
      <c r="LNJ98" s="17"/>
      <c r="LNK98" s="17"/>
      <c r="LNL98" s="17"/>
      <c r="LNM98" s="17"/>
      <c r="LNN98" s="17"/>
      <c r="LNO98" s="17"/>
      <c r="LNP98" s="17"/>
      <c r="LNQ98" s="17"/>
      <c r="LNR98" s="17"/>
      <c r="LNS98" s="17"/>
      <c r="LNT98" s="17"/>
      <c r="LNU98" s="17"/>
      <c r="LNV98" s="17"/>
      <c r="LNW98" s="17"/>
      <c r="LNX98" s="17"/>
      <c r="LNY98" s="17"/>
      <c r="LNZ98" s="17"/>
      <c r="LOA98" s="17"/>
      <c r="LOB98" s="17"/>
      <c r="LOC98" s="17"/>
      <c r="LOD98" s="17"/>
      <c r="LOE98" s="17"/>
      <c r="LOF98" s="17"/>
      <c r="LOG98" s="17"/>
      <c r="LOH98" s="17"/>
      <c r="LOI98" s="17"/>
      <c r="LOJ98" s="17"/>
      <c r="LOK98" s="17"/>
      <c r="LOL98" s="17"/>
      <c r="LOM98" s="17"/>
      <c r="LON98" s="17"/>
      <c r="LOO98" s="17"/>
      <c r="LOP98" s="17"/>
      <c r="LOQ98" s="17"/>
      <c r="LOR98" s="17"/>
      <c r="LOS98" s="17"/>
      <c r="LOT98" s="17"/>
      <c r="LOU98" s="17"/>
      <c r="LOV98" s="17"/>
      <c r="LOW98" s="17"/>
      <c r="LOX98" s="17"/>
      <c r="LOY98" s="17"/>
      <c r="LOZ98" s="17"/>
      <c r="LPA98" s="17"/>
      <c r="LPB98" s="17"/>
      <c r="LPC98" s="17"/>
      <c r="LPD98" s="17"/>
      <c r="LPE98" s="17"/>
      <c r="LPF98" s="17"/>
      <c r="LPG98" s="17"/>
      <c r="LPH98" s="17"/>
      <c r="LPI98" s="17"/>
      <c r="LPJ98" s="17"/>
      <c r="LPK98" s="17"/>
      <c r="LPL98" s="17"/>
      <c r="LPM98" s="17"/>
      <c r="LPN98" s="17"/>
      <c r="LPO98" s="17"/>
      <c r="LPP98" s="17"/>
      <c r="LPQ98" s="17"/>
      <c r="LPR98" s="17"/>
      <c r="LPS98" s="17"/>
      <c r="LPT98" s="17"/>
      <c r="LPU98" s="17"/>
      <c r="LPV98" s="17"/>
      <c r="LPW98" s="17"/>
      <c r="LPX98" s="17"/>
      <c r="LPY98" s="17"/>
      <c r="LPZ98" s="17"/>
      <c r="LQA98" s="17"/>
      <c r="LQB98" s="17"/>
      <c r="LQC98" s="17"/>
      <c r="LQD98" s="17"/>
      <c r="LQE98" s="17"/>
      <c r="LQF98" s="17"/>
      <c r="LQG98" s="17"/>
      <c r="LQH98" s="17"/>
      <c r="LQI98" s="17"/>
      <c r="LQJ98" s="17"/>
      <c r="LQK98" s="17"/>
      <c r="LQL98" s="17"/>
      <c r="LQM98" s="17"/>
      <c r="LQN98" s="17"/>
      <c r="LQO98" s="17"/>
      <c r="LQP98" s="17"/>
      <c r="LQQ98" s="17"/>
      <c r="LQR98" s="17"/>
      <c r="LQS98" s="17"/>
      <c r="LQT98" s="17"/>
      <c r="LQU98" s="17"/>
      <c r="LQV98" s="17"/>
      <c r="LQW98" s="17"/>
      <c r="LQX98" s="17"/>
      <c r="LQY98" s="17"/>
      <c r="LQZ98" s="17"/>
      <c r="LRA98" s="17"/>
      <c r="LRB98" s="17"/>
      <c r="LRC98" s="17"/>
      <c r="LRD98" s="17"/>
      <c r="LRE98" s="17"/>
      <c r="LRF98" s="17"/>
      <c r="LRG98" s="17"/>
      <c r="LRH98" s="17"/>
      <c r="LRI98" s="17"/>
      <c r="LRJ98" s="17"/>
      <c r="LRK98" s="17"/>
      <c r="LRL98" s="17"/>
      <c r="LRM98" s="17"/>
      <c r="LRN98" s="17"/>
      <c r="LRO98" s="17"/>
      <c r="LRP98" s="17"/>
      <c r="LRQ98" s="17"/>
      <c r="LRR98" s="17"/>
      <c r="LRS98" s="17"/>
      <c r="LRT98" s="17"/>
      <c r="LRU98" s="17"/>
      <c r="LRV98" s="17"/>
      <c r="LRW98" s="17"/>
      <c r="LRX98" s="17"/>
      <c r="LRY98" s="17"/>
      <c r="LRZ98" s="17"/>
      <c r="LSA98" s="17"/>
      <c r="LSB98" s="17"/>
      <c r="LSC98" s="17"/>
      <c r="LSD98" s="17"/>
      <c r="LSE98" s="17"/>
      <c r="LSF98" s="17"/>
      <c r="LSG98" s="17"/>
      <c r="LSH98" s="17"/>
      <c r="LSI98" s="17"/>
      <c r="LSJ98" s="17"/>
      <c r="LSK98" s="17"/>
      <c r="LSL98" s="17"/>
      <c r="LSM98" s="17"/>
      <c r="LSN98" s="17"/>
      <c r="LSO98" s="17"/>
      <c r="LSP98" s="17"/>
      <c r="LSQ98" s="17"/>
      <c r="LSR98" s="17"/>
      <c r="LSS98" s="17"/>
      <c r="LST98" s="17"/>
      <c r="LSU98" s="17"/>
      <c r="LSV98" s="17"/>
      <c r="LSW98" s="17"/>
      <c r="LSX98" s="17"/>
      <c r="LSY98" s="17"/>
      <c r="LSZ98" s="17"/>
      <c r="LTA98" s="17"/>
      <c r="LTB98" s="17"/>
      <c r="LTC98" s="17"/>
      <c r="LTD98" s="17"/>
      <c r="LTE98" s="17"/>
      <c r="LTF98" s="17"/>
      <c r="LTG98" s="17"/>
      <c r="LTH98" s="17"/>
      <c r="LTI98" s="17"/>
      <c r="LTJ98" s="17"/>
      <c r="LTK98" s="17"/>
      <c r="LTL98" s="17"/>
      <c r="LTM98" s="17"/>
      <c r="LTN98" s="17"/>
      <c r="LTO98" s="17"/>
      <c r="LTP98" s="17"/>
      <c r="LTQ98" s="17"/>
      <c r="LTR98" s="17"/>
      <c r="LTS98" s="17"/>
      <c r="LTT98" s="17"/>
      <c r="LTU98" s="17"/>
      <c r="LTV98" s="17"/>
      <c r="LTW98" s="17"/>
      <c r="LTX98" s="17"/>
      <c r="LTY98" s="17"/>
      <c r="LTZ98" s="17"/>
      <c r="LUA98" s="17"/>
      <c r="LUB98" s="17"/>
      <c r="LUC98" s="17"/>
      <c r="LUD98" s="17"/>
      <c r="LUE98" s="17"/>
      <c r="LUF98" s="17"/>
      <c r="LUG98" s="17"/>
      <c r="LUH98" s="17"/>
      <c r="LUI98" s="17"/>
      <c r="LUJ98" s="17"/>
      <c r="LUK98" s="17"/>
      <c r="LUL98" s="17"/>
      <c r="LUM98" s="17"/>
      <c r="LUN98" s="17"/>
      <c r="LUO98" s="17"/>
      <c r="LUP98" s="17"/>
      <c r="LUQ98" s="17"/>
      <c r="LUR98" s="17"/>
      <c r="LUS98" s="17"/>
      <c r="LUT98" s="17"/>
      <c r="LUU98" s="17"/>
      <c r="LUV98" s="17"/>
      <c r="LUW98" s="17"/>
      <c r="LUX98" s="17"/>
      <c r="LUY98" s="17"/>
      <c r="LUZ98" s="17"/>
      <c r="LVA98" s="17"/>
      <c r="LVB98" s="17"/>
      <c r="LVC98" s="17"/>
      <c r="LVD98" s="17"/>
      <c r="LVE98" s="17"/>
      <c r="LVF98" s="17"/>
      <c r="LVG98" s="17"/>
      <c r="LVH98" s="17"/>
      <c r="LVI98" s="17"/>
      <c r="LVJ98" s="17"/>
      <c r="LVK98" s="17"/>
      <c r="LVL98" s="17"/>
      <c r="LVM98" s="17"/>
      <c r="LVN98" s="17"/>
      <c r="LVO98" s="17"/>
      <c r="LVP98" s="17"/>
      <c r="LVQ98" s="17"/>
      <c r="LVR98" s="17"/>
      <c r="LVS98" s="17"/>
      <c r="LVT98" s="17"/>
      <c r="LVU98" s="17"/>
      <c r="LVV98" s="17"/>
      <c r="LVW98" s="17"/>
      <c r="LVX98" s="17"/>
      <c r="LVY98" s="17"/>
      <c r="LVZ98" s="17"/>
      <c r="LWA98" s="17"/>
      <c r="LWB98" s="17"/>
      <c r="LWC98" s="17"/>
      <c r="LWD98" s="17"/>
      <c r="LWE98" s="17"/>
      <c r="LWF98" s="17"/>
      <c r="LWG98" s="17"/>
      <c r="LWH98" s="17"/>
      <c r="LWI98" s="17"/>
      <c r="LWJ98" s="17"/>
      <c r="LWK98" s="17"/>
      <c r="LWL98" s="17"/>
      <c r="LWM98" s="17"/>
      <c r="LWN98" s="17"/>
      <c r="LWO98" s="17"/>
      <c r="LWP98" s="17"/>
      <c r="LWQ98" s="17"/>
      <c r="LWR98" s="17"/>
      <c r="LWS98" s="17"/>
      <c r="LWT98" s="17"/>
      <c r="LWU98" s="17"/>
      <c r="LWV98" s="17"/>
      <c r="LWW98" s="17"/>
      <c r="LWX98" s="17"/>
      <c r="LWY98" s="17"/>
      <c r="LWZ98" s="17"/>
      <c r="LXA98" s="17"/>
      <c r="LXB98" s="17"/>
      <c r="LXC98" s="17"/>
      <c r="LXD98" s="17"/>
      <c r="LXE98" s="17"/>
      <c r="LXF98" s="17"/>
      <c r="LXG98" s="17"/>
      <c r="LXH98" s="17"/>
      <c r="LXI98" s="17"/>
      <c r="LXJ98" s="17"/>
      <c r="LXK98" s="17"/>
      <c r="LXL98" s="17"/>
      <c r="LXM98" s="17"/>
      <c r="LXN98" s="17"/>
      <c r="LXO98" s="17"/>
      <c r="LXP98" s="17"/>
      <c r="LXQ98" s="17"/>
      <c r="LXR98" s="17"/>
      <c r="LXS98" s="17"/>
      <c r="LXT98" s="17"/>
      <c r="LXU98" s="17"/>
      <c r="LXV98" s="17"/>
      <c r="LXW98" s="17"/>
      <c r="LXX98" s="17"/>
      <c r="LXY98" s="17"/>
      <c r="LXZ98" s="17"/>
      <c r="LYA98" s="17"/>
      <c r="LYB98" s="17"/>
      <c r="LYC98" s="17"/>
      <c r="LYD98" s="17"/>
      <c r="LYE98" s="17"/>
      <c r="LYF98" s="17"/>
      <c r="LYG98" s="17"/>
      <c r="LYH98" s="17"/>
      <c r="LYI98" s="17"/>
      <c r="LYJ98" s="17"/>
      <c r="LYK98" s="17"/>
      <c r="LYL98" s="17"/>
      <c r="LYM98" s="17"/>
      <c r="LYN98" s="17"/>
      <c r="LYO98" s="17"/>
      <c r="LYP98" s="17"/>
      <c r="LYQ98" s="17"/>
      <c r="LYR98" s="17"/>
      <c r="LYS98" s="17"/>
      <c r="LYT98" s="17"/>
      <c r="LYU98" s="17"/>
      <c r="LYV98" s="17"/>
      <c r="LYW98" s="17"/>
      <c r="LYX98" s="17"/>
      <c r="LYY98" s="17"/>
      <c r="LYZ98" s="17"/>
      <c r="LZA98" s="17"/>
      <c r="LZB98" s="17"/>
      <c r="LZC98" s="17"/>
      <c r="LZD98" s="17"/>
      <c r="LZE98" s="17"/>
      <c r="LZF98" s="17"/>
      <c r="LZG98" s="17"/>
      <c r="LZH98" s="17"/>
      <c r="LZI98" s="17"/>
      <c r="LZJ98" s="17"/>
      <c r="LZK98" s="17"/>
      <c r="LZL98" s="17"/>
      <c r="LZM98" s="17"/>
      <c r="LZN98" s="17"/>
      <c r="LZO98" s="17"/>
      <c r="LZP98" s="17"/>
      <c r="LZQ98" s="17"/>
      <c r="LZR98" s="17"/>
      <c r="LZS98" s="17"/>
      <c r="LZT98" s="17"/>
      <c r="LZU98" s="17"/>
      <c r="LZV98" s="17"/>
      <c r="LZW98" s="17"/>
      <c r="LZX98" s="17"/>
      <c r="LZY98" s="17"/>
      <c r="LZZ98" s="17"/>
      <c r="MAA98" s="17"/>
      <c r="MAB98" s="17"/>
      <c r="MAC98" s="17"/>
      <c r="MAD98" s="17"/>
      <c r="MAE98" s="17"/>
      <c r="MAF98" s="17"/>
      <c r="MAG98" s="17"/>
      <c r="MAH98" s="17"/>
      <c r="MAI98" s="17"/>
      <c r="MAJ98" s="17"/>
      <c r="MAK98" s="17"/>
      <c r="MAL98" s="17"/>
      <c r="MAM98" s="17"/>
      <c r="MAN98" s="17"/>
      <c r="MAO98" s="17"/>
      <c r="MAP98" s="17"/>
      <c r="MAQ98" s="17"/>
      <c r="MAR98" s="17"/>
      <c r="MAS98" s="17"/>
      <c r="MAT98" s="17"/>
      <c r="MAU98" s="17"/>
      <c r="MAV98" s="17"/>
      <c r="MAW98" s="17"/>
      <c r="MAX98" s="17"/>
      <c r="MAY98" s="17"/>
      <c r="MAZ98" s="17"/>
      <c r="MBA98" s="17"/>
      <c r="MBB98" s="17"/>
      <c r="MBC98" s="17"/>
      <c r="MBD98" s="17"/>
      <c r="MBE98" s="17"/>
      <c r="MBF98" s="17"/>
      <c r="MBG98" s="17"/>
      <c r="MBH98" s="17"/>
      <c r="MBI98" s="17"/>
      <c r="MBJ98" s="17"/>
      <c r="MBK98" s="17"/>
      <c r="MBL98" s="17"/>
      <c r="MBM98" s="17"/>
      <c r="MBN98" s="17"/>
      <c r="MBO98" s="17"/>
      <c r="MBP98" s="17"/>
      <c r="MBQ98" s="17"/>
      <c r="MBR98" s="17"/>
      <c r="MBS98" s="17"/>
      <c r="MBT98" s="17"/>
      <c r="MBU98" s="17"/>
      <c r="MBV98" s="17"/>
      <c r="MBW98" s="17"/>
      <c r="MBX98" s="17"/>
      <c r="MBY98" s="17"/>
      <c r="MBZ98" s="17"/>
      <c r="MCA98" s="17"/>
      <c r="MCB98" s="17"/>
      <c r="MCC98" s="17"/>
      <c r="MCD98" s="17"/>
      <c r="MCE98" s="17"/>
      <c r="MCF98" s="17"/>
      <c r="MCG98" s="17"/>
      <c r="MCH98" s="17"/>
      <c r="MCI98" s="17"/>
      <c r="MCJ98" s="17"/>
      <c r="MCK98" s="17"/>
      <c r="MCL98" s="17"/>
      <c r="MCM98" s="17"/>
      <c r="MCN98" s="17"/>
      <c r="MCO98" s="17"/>
      <c r="MCP98" s="17"/>
      <c r="MCQ98" s="17"/>
      <c r="MCR98" s="17"/>
      <c r="MCS98" s="17"/>
      <c r="MCT98" s="17"/>
      <c r="MCU98" s="17"/>
      <c r="MCV98" s="17"/>
      <c r="MCW98" s="17"/>
      <c r="MCX98" s="17"/>
      <c r="MCY98" s="17"/>
      <c r="MCZ98" s="17"/>
      <c r="MDA98" s="17"/>
      <c r="MDB98" s="17"/>
      <c r="MDC98" s="17"/>
      <c r="MDD98" s="17"/>
      <c r="MDE98" s="17"/>
      <c r="MDF98" s="17"/>
      <c r="MDG98" s="17"/>
      <c r="MDH98" s="17"/>
      <c r="MDI98" s="17"/>
      <c r="MDJ98" s="17"/>
      <c r="MDK98" s="17"/>
      <c r="MDL98" s="17"/>
      <c r="MDM98" s="17"/>
      <c r="MDN98" s="17"/>
      <c r="MDO98" s="17"/>
      <c r="MDP98" s="17"/>
      <c r="MDQ98" s="17"/>
      <c r="MDR98" s="17"/>
      <c r="MDS98" s="17"/>
      <c r="MDT98" s="17"/>
      <c r="MDU98" s="17"/>
      <c r="MDV98" s="17"/>
      <c r="MDW98" s="17"/>
      <c r="MDX98" s="17"/>
      <c r="MDY98" s="17"/>
      <c r="MDZ98" s="17"/>
      <c r="MEA98" s="17"/>
      <c r="MEB98" s="17"/>
      <c r="MEC98" s="17"/>
      <c r="MED98" s="17"/>
      <c r="MEE98" s="17"/>
      <c r="MEF98" s="17"/>
      <c r="MEG98" s="17"/>
      <c r="MEH98" s="17"/>
      <c r="MEI98" s="17"/>
      <c r="MEJ98" s="17"/>
      <c r="MEK98" s="17"/>
      <c r="MEL98" s="17"/>
      <c r="MEM98" s="17"/>
      <c r="MEN98" s="17"/>
      <c r="MEO98" s="17"/>
      <c r="MEP98" s="17"/>
      <c r="MEQ98" s="17"/>
      <c r="MER98" s="17"/>
      <c r="MES98" s="17"/>
      <c r="MET98" s="17"/>
      <c r="MEU98" s="17"/>
      <c r="MEV98" s="17"/>
      <c r="MEW98" s="17"/>
      <c r="MEX98" s="17"/>
      <c r="MEY98" s="17"/>
      <c r="MEZ98" s="17"/>
      <c r="MFA98" s="17"/>
      <c r="MFB98" s="17"/>
      <c r="MFC98" s="17"/>
      <c r="MFD98" s="17"/>
      <c r="MFE98" s="17"/>
      <c r="MFF98" s="17"/>
      <c r="MFG98" s="17"/>
      <c r="MFH98" s="17"/>
      <c r="MFI98" s="17"/>
      <c r="MFJ98" s="17"/>
      <c r="MFK98" s="17"/>
      <c r="MFL98" s="17"/>
      <c r="MFM98" s="17"/>
      <c r="MFN98" s="17"/>
      <c r="MFO98" s="17"/>
      <c r="MFP98" s="17"/>
      <c r="MFQ98" s="17"/>
      <c r="MFR98" s="17"/>
      <c r="MFS98" s="17"/>
      <c r="MFT98" s="17"/>
      <c r="MFU98" s="17"/>
      <c r="MFV98" s="17"/>
      <c r="MFW98" s="17"/>
      <c r="MFX98" s="17"/>
      <c r="MFY98" s="17"/>
      <c r="MFZ98" s="17"/>
      <c r="MGA98" s="17"/>
      <c r="MGB98" s="17"/>
      <c r="MGC98" s="17"/>
      <c r="MGD98" s="17"/>
      <c r="MGE98" s="17"/>
      <c r="MGF98" s="17"/>
      <c r="MGG98" s="17"/>
      <c r="MGH98" s="17"/>
      <c r="MGI98" s="17"/>
      <c r="MGJ98" s="17"/>
      <c r="MGK98" s="17"/>
      <c r="MGL98" s="17"/>
      <c r="MGM98" s="17"/>
      <c r="MGN98" s="17"/>
      <c r="MGO98" s="17"/>
      <c r="MGP98" s="17"/>
      <c r="MGQ98" s="17"/>
      <c r="MGR98" s="17"/>
      <c r="MGS98" s="17"/>
      <c r="MGT98" s="17"/>
      <c r="MGU98" s="17"/>
      <c r="MGV98" s="17"/>
      <c r="MGW98" s="17"/>
      <c r="MGX98" s="17"/>
      <c r="MGY98" s="17"/>
      <c r="MGZ98" s="17"/>
      <c r="MHA98" s="17"/>
      <c r="MHB98" s="17"/>
      <c r="MHC98" s="17"/>
      <c r="MHD98" s="17"/>
      <c r="MHE98" s="17"/>
      <c r="MHF98" s="17"/>
      <c r="MHG98" s="17"/>
      <c r="MHH98" s="17"/>
      <c r="MHI98" s="17"/>
      <c r="MHJ98" s="17"/>
      <c r="MHK98" s="17"/>
      <c r="MHL98" s="17"/>
      <c r="MHM98" s="17"/>
      <c r="MHN98" s="17"/>
      <c r="MHO98" s="17"/>
      <c r="MHP98" s="17"/>
      <c r="MHQ98" s="17"/>
      <c r="MHR98" s="17"/>
      <c r="MHS98" s="17"/>
      <c r="MHT98" s="17"/>
      <c r="MHU98" s="17"/>
      <c r="MHV98" s="17"/>
      <c r="MHW98" s="17"/>
      <c r="MHX98" s="17"/>
      <c r="MHY98" s="17"/>
      <c r="MHZ98" s="17"/>
      <c r="MIA98" s="17"/>
      <c r="MIB98" s="17"/>
      <c r="MIC98" s="17"/>
      <c r="MID98" s="17"/>
      <c r="MIE98" s="17"/>
      <c r="MIF98" s="17"/>
      <c r="MIG98" s="17"/>
      <c r="MIH98" s="17"/>
      <c r="MII98" s="17"/>
      <c r="MIJ98" s="17"/>
      <c r="MIK98" s="17"/>
      <c r="MIL98" s="17"/>
      <c r="MIM98" s="17"/>
      <c r="MIN98" s="17"/>
      <c r="MIO98" s="17"/>
      <c r="MIP98" s="17"/>
      <c r="MIQ98" s="17"/>
      <c r="MIR98" s="17"/>
      <c r="MIS98" s="17"/>
      <c r="MIT98" s="17"/>
      <c r="MIU98" s="17"/>
      <c r="MIV98" s="17"/>
      <c r="MIW98" s="17"/>
      <c r="MIX98" s="17"/>
      <c r="MIY98" s="17"/>
      <c r="MIZ98" s="17"/>
      <c r="MJA98" s="17"/>
      <c r="MJB98" s="17"/>
      <c r="MJC98" s="17"/>
      <c r="MJD98" s="17"/>
      <c r="MJE98" s="17"/>
      <c r="MJF98" s="17"/>
      <c r="MJG98" s="17"/>
      <c r="MJH98" s="17"/>
      <c r="MJI98" s="17"/>
      <c r="MJJ98" s="17"/>
      <c r="MJK98" s="17"/>
      <c r="MJL98" s="17"/>
      <c r="MJM98" s="17"/>
      <c r="MJN98" s="17"/>
      <c r="MJO98" s="17"/>
      <c r="MJP98" s="17"/>
      <c r="MJQ98" s="17"/>
      <c r="MJR98" s="17"/>
      <c r="MJS98" s="17"/>
      <c r="MJT98" s="17"/>
      <c r="MJU98" s="17"/>
      <c r="MJV98" s="17"/>
      <c r="MJW98" s="17"/>
      <c r="MJX98" s="17"/>
      <c r="MJY98" s="17"/>
      <c r="MJZ98" s="17"/>
      <c r="MKA98" s="17"/>
      <c r="MKB98" s="17"/>
      <c r="MKC98" s="17"/>
      <c r="MKD98" s="17"/>
      <c r="MKE98" s="17"/>
      <c r="MKF98" s="17"/>
      <c r="MKG98" s="17"/>
      <c r="MKH98" s="17"/>
      <c r="MKI98" s="17"/>
      <c r="MKJ98" s="17"/>
      <c r="MKK98" s="17"/>
      <c r="MKL98" s="17"/>
      <c r="MKM98" s="17"/>
      <c r="MKN98" s="17"/>
      <c r="MKO98" s="17"/>
      <c r="MKP98" s="17"/>
      <c r="MKQ98" s="17"/>
      <c r="MKR98" s="17"/>
      <c r="MKS98" s="17"/>
      <c r="MKT98" s="17"/>
      <c r="MKU98" s="17"/>
      <c r="MKV98" s="17"/>
      <c r="MKW98" s="17"/>
      <c r="MKX98" s="17"/>
      <c r="MKY98" s="17"/>
      <c r="MKZ98" s="17"/>
      <c r="MLA98" s="17"/>
      <c r="MLB98" s="17"/>
      <c r="MLC98" s="17"/>
      <c r="MLD98" s="17"/>
      <c r="MLE98" s="17"/>
      <c r="MLF98" s="17"/>
      <c r="MLG98" s="17"/>
      <c r="MLH98" s="17"/>
      <c r="MLI98" s="17"/>
      <c r="MLJ98" s="17"/>
      <c r="MLK98" s="17"/>
      <c r="MLL98" s="17"/>
      <c r="MLM98" s="17"/>
      <c r="MLN98" s="17"/>
      <c r="MLO98" s="17"/>
      <c r="MLP98" s="17"/>
      <c r="MLQ98" s="17"/>
      <c r="MLR98" s="17"/>
      <c r="MLS98" s="17"/>
      <c r="MLT98" s="17"/>
      <c r="MLU98" s="17"/>
      <c r="MLV98" s="17"/>
      <c r="MLW98" s="17"/>
      <c r="MLX98" s="17"/>
      <c r="MLY98" s="17"/>
      <c r="MLZ98" s="17"/>
      <c r="MMA98" s="17"/>
      <c r="MMB98" s="17"/>
      <c r="MMC98" s="17"/>
      <c r="MMD98" s="17"/>
      <c r="MME98" s="17"/>
      <c r="MMF98" s="17"/>
      <c r="MMG98" s="17"/>
      <c r="MMH98" s="17"/>
      <c r="MMI98" s="17"/>
      <c r="MMJ98" s="17"/>
      <c r="MMK98" s="17"/>
      <c r="MML98" s="17"/>
      <c r="MMM98" s="17"/>
      <c r="MMN98" s="17"/>
      <c r="MMO98" s="17"/>
      <c r="MMP98" s="17"/>
      <c r="MMQ98" s="17"/>
      <c r="MMR98" s="17"/>
      <c r="MMS98" s="17"/>
      <c r="MMT98" s="17"/>
      <c r="MMU98" s="17"/>
      <c r="MMV98" s="17"/>
      <c r="MMW98" s="17"/>
      <c r="MMX98" s="17"/>
      <c r="MMY98" s="17"/>
      <c r="MMZ98" s="17"/>
      <c r="MNA98" s="17"/>
      <c r="MNB98" s="17"/>
      <c r="MNC98" s="17"/>
      <c r="MND98" s="17"/>
      <c r="MNE98" s="17"/>
      <c r="MNF98" s="17"/>
      <c r="MNG98" s="17"/>
      <c r="MNH98" s="17"/>
      <c r="MNI98" s="17"/>
      <c r="MNJ98" s="17"/>
      <c r="MNK98" s="17"/>
      <c r="MNL98" s="17"/>
      <c r="MNM98" s="17"/>
      <c r="MNN98" s="17"/>
      <c r="MNO98" s="17"/>
      <c r="MNP98" s="17"/>
      <c r="MNQ98" s="17"/>
      <c r="MNR98" s="17"/>
      <c r="MNS98" s="17"/>
      <c r="MNT98" s="17"/>
      <c r="MNU98" s="17"/>
      <c r="MNV98" s="17"/>
      <c r="MNW98" s="17"/>
      <c r="MNX98" s="17"/>
      <c r="MNY98" s="17"/>
      <c r="MNZ98" s="17"/>
      <c r="MOA98" s="17"/>
      <c r="MOB98" s="17"/>
      <c r="MOC98" s="17"/>
      <c r="MOD98" s="17"/>
      <c r="MOE98" s="17"/>
      <c r="MOF98" s="17"/>
      <c r="MOG98" s="17"/>
      <c r="MOH98" s="17"/>
      <c r="MOI98" s="17"/>
      <c r="MOJ98" s="17"/>
      <c r="MOK98" s="17"/>
      <c r="MOL98" s="17"/>
      <c r="MOM98" s="17"/>
      <c r="MON98" s="17"/>
      <c r="MOO98" s="17"/>
      <c r="MOP98" s="17"/>
      <c r="MOQ98" s="17"/>
      <c r="MOR98" s="17"/>
      <c r="MOS98" s="17"/>
      <c r="MOT98" s="17"/>
      <c r="MOU98" s="17"/>
      <c r="MOV98" s="17"/>
      <c r="MOW98" s="17"/>
      <c r="MOX98" s="17"/>
      <c r="MOY98" s="17"/>
      <c r="MOZ98" s="17"/>
      <c r="MPA98" s="17"/>
      <c r="MPB98" s="17"/>
      <c r="MPC98" s="17"/>
      <c r="MPD98" s="17"/>
      <c r="MPE98" s="17"/>
      <c r="MPF98" s="17"/>
      <c r="MPG98" s="17"/>
      <c r="MPH98" s="17"/>
      <c r="MPI98" s="17"/>
      <c r="MPJ98" s="17"/>
      <c r="MPK98" s="17"/>
      <c r="MPL98" s="17"/>
      <c r="MPM98" s="17"/>
      <c r="MPN98" s="17"/>
      <c r="MPO98" s="17"/>
      <c r="MPP98" s="17"/>
      <c r="MPQ98" s="17"/>
      <c r="MPR98" s="17"/>
      <c r="MPS98" s="17"/>
      <c r="MPT98" s="17"/>
      <c r="MPU98" s="17"/>
      <c r="MPV98" s="17"/>
      <c r="MPW98" s="17"/>
      <c r="MPX98" s="17"/>
      <c r="MPY98" s="17"/>
      <c r="MPZ98" s="17"/>
      <c r="MQA98" s="17"/>
      <c r="MQB98" s="17"/>
      <c r="MQC98" s="17"/>
      <c r="MQD98" s="17"/>
      <c r="MQE98" s="17"/>
      <c r="MQF98" s="17"/>
      <c r="MQG98" s="17"/>
      <c r="MQH98" s="17"/>
      <c r="MQI98" s="17"/>
      <c r="MQJ98" s="17"/>
      <c r="MQK98" s="17"/>
      <c r="MQL98" s="17"/>
      <c r="MQM98" s="17"/>
      <c r="MQN98" s="17"/>
      <c r="MQO98" s="17"/>
      <c r="MQP98" s="17"/>
      <c r="MQQ98" s="17"/>
      <c r="MQR98" s="17"/>
      <c r="MQS98" s="17"/>
      <c r="MQT98" s="17"/>
      <c r="MQU98" s="17"/>
      <c r="MQV98" s="17"/>
      <c r="MQW98" s="17"/>
      <c r="MQX98" s="17"/>
      <c r="MQY98" s="17"/>
      <c r="MQZ98" s="17"/>
      <c r="MRA98" s="17"/>
      <c r="MRB98" s="17"/>
      <c r="MRC98" s="17"/>
      <c r="MRD98" s="17"/>
      <c r="MRE98" s="17"/>
      <c r="MRF98" s="17"/>
      <c r="MRG98" s="17"/>
      <c r="MRH98" s="17"/>
      <c r="MRI98" s="17"/>
      <c r="MRJ98" s="17"/>
      <c r="MRK98" s="17"/>
      <c r="MRL98" s="17"/>
      <c r="MRM98" s="17"/>
      <c r="MRN98" s="17"/>
      <c r="MRO98" s="17"/>
      <c r="MRP98" s="17"/>
      <c r="MRQ98" s="17"/>
      <c r="MRR98" s="17"/>
      <c r="MRS98" s="17"/>
      <c r="MRT98" s="17"/>
      <c r="MRU98" s="17"/>
      <c r="MRV98" s="17"/>
      <c r="MRW98" s="17"/>
      <c r="MRX98" s="17"/>
      <c r="MRY98" s="17"/>
      <c r="MRZ98" s="17"/>
      <c r="MSA98" s="17"/>
      <c r="MSB98" s="17"/>
      <c r="MSC98" s="17"/>
      <c r="MSD98" s="17"/>
      <c r="MSE98" s="17"/>
      <c r="MSF98" s="17"/>
      <c r="MSG98" s="17"/>
      <c r="MSH98" s="17"/>
      <c r="MSI98" s="17"/>
      <c r="MSJ98" s="17"/>
      <c r="MSK98" s="17"/>
      <c r="MSL98" s="17"/>
      <c r="MSM98" s="17"/>
      <c r="MSN98" s="17"/>
      <c r="MSO98" s="17"/>
      <c r="MSP98" s="17"/>
      <c r="MSQ98" s="17"/>
      <c r="MSR98" s="17"/>
      <c r="MSS98" s="17"/>
      <c r="MST98" s="17"/>
      <c r="MSU98" s="17"/>
      <c r="MSV98" s="17"/>
      <c r="MSW98" s="17"/>
      <c r="MSX98" s="17"/>
      <c r="MSY98" s="17"/>
      <c r="MSZ98" s="17"/>
      <c r="MTA98" s="17"/>
      <c r="MTB98" s="17"/>
      <c r="MTC98" s="17"/>
      <c r="MTD98" s="17"/>
      <c r="MTE98" s="17"/>
      <c r="MTF98" s="17"/>
      <c r="MTG98" s="17"/>
      <c r="MTH98" s="17"/>
      <c r="MTI98" s="17"/>
      <c r="MTJ98" s="17"/>
      <c r="MTK98" s="17"/>
      <c r="MTL98" s="17"/>
      <c r="MTM98" s="17"/>
      <c r="MTN98" s="17"/>
      <c r="MTO98" s="17"/>
      <c r="MTP98" s="17"/>
      <c r="MTQ98" s="17"/>
      <c r="MTR98" s="17"/>
      <c r="MTS98" s="17"/>
      <c r="MTT98" s="17"/>
      <c r="MTU98" s="17"/>
      <c r="MTV98" s="17"/>
      <c r="MTW98" s="17"/>
      <c r="MTX98" s="17"/>
      <c r="MTY98" s="17"/>
      <c r="MTZ98" s="17"/>
      <c r="MUA98" s="17"/>
      <c r="MUB98" s="17"/>
      <c r="MUC98" s="17"/>
      <c r="MUD98" s="17"/>
      <c r="MUE98" s="17"/>
      <c r="MUF98" s="17"/>
      <c r="MUG98" s="17"/>
      <c r="MUH98" s="17"/>
      <c r="MUI98" s="17"/>
      <c r="MUJ98" s="17"/>
      <c r="MUK98" s="17"/>
      <c r="MUL98" s="17"/>
      <c r="MUM98" s="17"/>
      <c r="MUN98" s="17"/>
      <c r="MUO98" s="17"/>
      <c r="MUP98" s="17"/>
      <c r="MUQ98" s="17"/>
      <c r="MUR98" s="17"/>
      <c r="MUS98" s="17"/>
      <c r="MUT98" s="17"/>
      <c r="MUU98" s="17"/>
      <c r="MUV98" s="17"/>
      <c r="MUW98" s="17"/>
      <c r="MUX98" s="17"/>
      <c r="MUY98" s="17"/>
      <c r="MUZ98" s="17"/>
      <c r="MVA98" s="17"/>
      <c r="MVB98" s="17"/>
      <c r="MVC98" s="17"/>
      <c r="MVD98" s="17"/>
      <c r="MVE98" s="17"/>
      <c r="MVF98" s="17"/>
      <c r="MVG98" s="17"/>
      <c r="MVH98" s="17"/>
      <c r="MVI98" s="17"/>
      <c r="MVJ98" s="17"/>
      <c r="MVK98" s="17"/>
      <c r="MVL98" s="17"/>
      <c r="MVM98" s="17"/>
      <c r="MVN98" s="17"/>
      <c r="MVO98" s="17"/>
      <c r="MVP98" s="17"/>
      <c r="MVQ98" s="17"/>
      <c r="MVR98" s="17"/>
      <c r="MVS98" s="17"/>
      <c r="MVT98" s="17"/>
      <c r="MVU98" s="17"/>
      <c r="MVV98" s="17"/>
      <c r="MVW98" s="17"/>
      <c r="MVX98" s="17"/>
      <c r="MVY98" s="17"/>
      <c r="MVZ98" s="17"/>
      <c r="MWA98" s="17"/>
      <c r="MWB98" s="17"/>
      <c r="MWC98" s="17"/>
      <c r="MWD98" s="17"/>
      <c r="MWE98" s="17"/>
      <c r="MWF98" s="17"/>
      <c r="MWG98" s="17"/>
      <c r="MWH98" s="17"/>
      <c r="MWI98" s="17"/>
      <c r="MWJ98" s="17"/>
      <c r="MWK98" s="17"/>
      <c r="MWL98" s="17"/>
      <c r="MWM98" s="17"/>
      <c r="MWN98" s="17"/>
      <c r="MWO98" s="17"/>
      <c r="MWP98" s="17"/>
      <c r="MWQ98" s="17"/>
      <c r="MWR98" s="17"/>
      <c r="MWS98" s="17"/>
      <c r="MWT98" s="17"/>
      <c r="MWU98" s="17"/>
      <c r="MWV98" s="17"/>
      <c r="MWW98" s="17"/>
      <c r="MWX98" s="17"/>
      <c r="MWY98" s="17"/>
      <c r="MWZ98" s="17"/>
      <c r="MXA98" s="17"/>
      <c r="MXB98" s="17"/>
      <c r="MXC98" s="17"/>
      <c r="MXD98" s="17"/>
      <c r="MXE98" s="17"/>
      <c r="MXF98" s="17"/>
      <c r="MXG98" s="17"/>
      <c r="MXH98" s="17"/>
      <c r="MXI98" s="17"/>
      <c r="MXJ98" s="17"/>
      <c r="MXK98" s="17"/>
      <c r="MXL98" s="17"/>
      <c r="MXM98" s="17"/>
      <c r="MXN98" s="17"/>
      <c r="MXO98" s="17"/>
      <c r="MXP98" s="17"/>
      <c r="MXQ98" s="17"/>
      <c r="MXR98" s="17"/>
      <c r="MXS98" s="17"/>
      <c r="MXT98" s="17"/>
      <c r="MXU98" s="17"/>
      <c r="MXV98" s="17"/>
      <c r="MXW98" s="17"/>
      <c r="MXX98" s="17"/>
      <c r="MXY98" s="17"/>
      <c r="MXZ98" s="17"/>
      <c r="MYA98" s="17"/>
      <c r="MYB98" s="17"/>
      <c r="MYC98" s="17"/>
      <c r="MYD98" s="17"/>
      <c r="MYE98" s="17"/>
      <c r="MYF98" s="17"/>
      <c r="MYG98" s="17"/>
      <c r="MYH98" s="17"/>
      <c r="MYI98" s="17"/>
      <c r="MYJ98" s="17"/>
      <c r="MYK98" s="17"/>
      <c r="MYL98" s="17"/>
      <c r="MYM98" s="17"/>
      <c r="MYN98" s="17"/>
      <c r="MYO98" s="17"/>
      <c r="MYP98" s="17"/>
      <c r="MYQ98" s="17"/>
      <c r="MYR98" s="17"/>
      <c r="MYS98" s="17"/>
      <c r="MYT98" s="17"/>
      <c r="MYU98" s="17"/>
      <c r="MYV98" s="17"/>
      <c r="MYW98" s="17"/>
      <c r="MYX98" s="17"/>
      <c r="MYY98" s="17"/>
      <c r="MYZ98" s="17"/>
      <c r="MZA98" s="17"/>
      <c r="MZB98" s="17"/>
      <c r="MZC98" s="17"/>
      <c r="MZD98" s="17"/>
      <c r="MZE98" s="17"/>
      <c r="MZF98" s="17"/>
      <c r="MZG98" s="17"/>
      <c r="MZH98" s="17"/>
      <c r="MZI98" s="17"/>
      <c r="MZJ98" s="17"/>
      <c r="MZK98" s="17"/>
      <c r="MZL98" s="17"/>
      <c r="MZM98" s="17"/>
      <c r="MZN98" s="17"/>
      <c r="MZO98" s="17"/>
      <c r="MZP98" s="17"/>
      <c r="MZQ98" s="17"/>
      <c r="MZR98" s="17"/>
      <c r="MZS98" s="17"/>
      <c r="MZT98" s="17"/>
      <c r="MZU98" s="17"/>
      <c r="MZV98" s="17"/>
      <c r="MZW98" s="17"/>
      <c r="MZX98" s="17"/>
      <c r="MZY98" s="17"/>
      <c r="MZZ98" s="17"/>
      <c r="NAA98" s="17"/>
      <c r="NAB98" s="17"/>
      <c r="NAC98" s="17"/>
      <c r="NAD98" s="17"/>
      <c r="NAE98" s="17"/>
      <c r="NAF98" s="17"/>
      <c r="NAG98" s="17"/>
      <c r="NAH98" s="17"/>
      <c r="NAI98" s="17"/>
      <c r="NAJ98" s="17"/>
      <c r="NAK98" s="17"/>
      <c r="NAL98" s="17"/>
      <c r="NAM98" s="17"/>
      <c r="NAN98" s="17"/>
      <c r="NAO98" s="17"/>
      <c r="NAP98" s="17"/>
      <c r="NAQ98" s="17"/>
      <c r="NAR98" s="17"/>
      <c r="NAS98" s="17"/>
      <c r="NAT98" s="17"/>
      <c r="NAU98" s="17"/>
      <c r="NAV98" s="17"/>
      <c r="NAW98" s="17"/>
      <c r="NAX98" s="17"/>
      <c r="NAY98" s="17"/>
      <c r="NAZ98" s="17"/>
      <c r="NBA98" s="17"/>
      <c r="NBB98" s="17"/>
      <c r="NBC98" s="17"/>
      <c r="NBD98" s="17"/>
      <c r="NBE98" s="17"/>
      <c r="NBF98" s="17"/>
      <c r="NBG98" s="17"/>
      <c r="NBH98" s="17"/>
      <c r="NBI98" s="17"/>
      <c r="NBJ98" s="17"/>
      <c r="NBK98" s="17"/>
      <c r="NBL98" s="17"/>
      <c r="NBM98" s="17"/>
      <c r="NBN98" s="17"/>
      <c r="NBO98" s="17"/>
      <c r="NBP98" s="17"/>
      <c r="NBQ98" s="17"/>
      <c r="NBR98" s="17"/>
      <c r="NBS98" s="17"/>
      <c r="NBT98" s="17"/>
      <c r="NBU98" s="17"/>
      <c r="NBV98" s="17"/>
      <c r="NBW98" s="17"/>
      <c r="NBX98" s="17"/>
      <c r="NBY98" s="17"/>
      <c r="NBZ98" s="17"/>
      <c r="NCA98" s="17"/>
      <c r="NCB98" s="17"/>
      <c r="NCC98" s="17"/>
      <c r="NCD98" s="17"/>
      <c r="NCE98" s="17"/>
      <c r="NCF98" s="17"/>
      <c r="NCG98" s="17"/>
      <c r="NCH98" s="17"/>
      <c r="NCI98" s="17"/>
      <c r="NCJ98" s="17"/>
      <c r="NCK98" s="17"/>
      <c r="NCL98" s="17"/>
      <c r="NCM98" s="17"/>
      <c r="NCN98" s="17"/>
      <c r="NCO98" s="17"/>
      <c r="NCP98" s="17"/>
      <c r="NCQ98" s="17"/>
      <c r="NCR98" s="17"/>
      <c r="NCS98" s="17"/>
      <c r="NCT98" s="17"/>
      <c r="NCU98" s="17"/>
      <c r="NCV98" s="17"/>
      <c r="NCW98" s="17"/>
      <c r="NCX98" s="17"/>
      <c r="NCY98" s="17"/>
      <c r="NCZ98" s="17"/>
      <c r="NDA98" s="17"/>
      <c r="NDB98" s="17"/>
      <c r="NDC98" s="17"/>
      <c r="NDD98" s="17"/>
      <c r="NDE98" s="17"/>
      <c r="NDF98" s="17"/>
      <c r="NDG98" s="17"/>
      <c r="NDH98" s="17"/>
      <c r="NDI98" s="17"/>
      <c r="NDJ98" s="17"/>
      <c r="NDK98" s="17"/>
      <c r="NDL98" s="17"/>
      <c r="NDM98" s="17"/>
      <c r="NDN98" s="17"/>
      <c r="NDO98" s="17"/>
      <c r="NDP98" s="17"/>
      <c r="NDQ98" s="17"/>
      <c r="NDR98" s="17"/>
      <c r="NDS98" s="17"/>
      <c r="NDT98" s="17"/>
      <c r="NDU98" s="17"/>
      <c r="NDV98" s="17"/>
      <c r="NDW98" s="17"/>
      <c r="NDX98" s="17"/>
      <c r="NDY98" s="17"/>
      <c r="NDZ98" s="17"/>
      <c r="NEA98" s="17"/>
      <c r="NEB98" s="17"/>
      <c r="NEC98" s="17"/>
      <c r="NED98" s="17"/>
      <c r="NEE98" s="17"/>
      <c r="NEF98" s="17"/>
      <c r="NEG98" s="17"/>
      <c r="NEH98" s="17"/>
      <c r="NEI98" s="17"/>
      <c r="NEJ98" s="17"/>
      <c r="NEK98" s="17"/>
      <c r="NEL98" s="17"/>
      <c r="NEM98" s="17"/>
      <c r="NEN98" s="17"/>
      <c r="NEO98" s="17"/>
      <c r="NEP98" s="17"/>
      <c r="NEQ98" s="17"/>
      <c r="NER98" s="17"/>
      <c r="NES98" s="17"/>
      <c r="NET98" s="17"/>
      <c r="NEU98" s="17"/>
      <c r="NEV98" s="17"/>
      <c r="NEW98" s="17"/>
      <c r="NEX98" s="17"/>
      <c r="NEY98" s="17"/>
      <c r="NEZ98" s="17"/>
      <c r="NFA98" s="17"/>
      <c r="NFB98" s="17"/>
      <c r="NFC98" s="17"/>
      <c r="NFD98" s="17"/>
      <c r="NFE98" s="17"/>
      <c r="NFF98" s="17"/>
      <c r="NFG98" s="17"/>
      <c r="NFH98" s="17"/>
      <c r="NFI98" s="17"/>
      <c r="NFJ98" s="17"/>
      <c r="NFK98" s="17"/>
      <c r="NFL98" s="17"/>
      <c r="NFM98" s="17"/>
      <c r="NFN98" s="17"/>
      <c r="NFO98" s="17"/>
      <c r="NFP98" s="17"/>
      <c r="NFQ98" s="17"/>
      <c r="NFR98" s="17"/>
      <c r="NFS98" s="17"/>
      <c r="NFT98" s="17"/>
      <c r="NFU98" s="17"/>
      <c r="NFV98" s="17"/>
      <c r="NFW98" s="17"/>
      <c r="NFX98" s="17"/>
      <c r="NFY98" s="17"/>
      <c r="NFZ98" s="17"/>
      <c r="NGA98" s="17"/>
      <c r="NGB98" s="17"/>
      <c r="NGC98" s="17"/>
      <c r="NGD98" s="17"/>
      <c r="NGE98" s="17"/>
      <c r="NGF98" s="17"/>
      <c r="NGG98" s="17"/>
      <c r="NGH98" s="17"/>
      <c r="NGI98" s="17"/>
      <c r="NGJ98" s="17"/>
      <c r="NGK98" s="17"/>
      <c r="NGL98" s="17"/>
      <c r="NGM98" s="17"/>
      <c r="NGN98" s="17"/>
      <c r="NGO98" s="17"/>
      <c r="NGP98" s="17"/>
      <c r="NGQ98" s="17"/>
      <c r="NGR98" s="17"/>
      <c r="NGS98" s="17"/>
      <c r="NGT98" s="17"/>
      <c r="NGU98" s="17"/>
      <c r="NGV98" s="17"/>
      <c r="NGW98" s="17"/>
      <c r="NGX98" s="17"/>
      <c r="NGY98" s="17"/>
      <c r="NGZ98" s="17"/>
      <c r="NHA98" s="17"/>
      <c r="NHB98" s="17"/>
      <c r="NHC98" s="17"/>
      <c r="NHD98" s="17"/>
      <c r="NHE98" s="17"/>
      <c r="NHF98" s="17"/>
      <c r="NHG98" s="17"/>
      <c r="NHH98" s="17"/>
      <c r="NHI98" s="17"/>
      <c r="NHJ98" s="17"/>
      <c r="NHK98" s="17"/>
      <c r="NHL98" s="17"/>
      <c r="NHM98" s="17"/>
      <c r="NHN98" s="17"/>
      <c r="NHO98" s="17"/>
      <c r="NHP98" s="17"/>
      <c r="NHQ98" s="17"/>
      <c r="NHR98" s="17"/>
      <c r="NHS98" s="17"/>
      <c r="NHT98" s="17"/>
      <c r="NHU98" s="17"/>
      <c r="NHV98" s="17"/>
      <c r="NHW98" s="17"/>
      <c r="NHX98" s="17"/>
      <c r="NHY98" s="17"/>
      <c r="NHZ98" s="17"/>
      <c r="NIA98" s="17"/>
      <c r="NIB98" s="17"/>
      <c r="NIC98" s="17"/>
      <c r="NID98" s="17"/>
      <c r="NIE98" s="17"/>
      <c r="NIF98" s="17"/>
      <c r="NIG98" s="17"/>
      <c r="NIH98" s="17"/>
      <c r="NII98" s="17"/>
      <c r="NIJ98" s="17"/>
      <c r="NIK98" s="17"/>
      <c r="NIL98" s="17"/>
      <c r="NIM98" s="17"/>
      <c r="NIN98" s="17"/>
      <c r="NIO98" s="17"/>
      <c r="NIP98" s="17"/>
      <c r="NIQ98" s="17"/>
      <c r="NIR98" s="17"/>
      <c r="NIS98" s="17"/>
      <c r="NIT98" s="17"/>
      <c r="NIU98" s="17"/>
      <c r="NIV98" s="17"/>
      <c r="NIW98" s="17"/>
      <c r="NIX98" s="17"/>
      <c r="NIY98" s="17"/>
      <c r="NIZ98" s="17"/>
      <c r="NJA98" s="17"/>
      <c r="NJB98" s="17"/>
      <c r="NJC98" s="17"/>
      <c r="NJD98" s="17"/>
      <c r="NJE98" s="17"/>
      <c r="NJF98" s="17"/>
      <c r="NJG98" s="17"/>
      <c r="NJH98" s="17"/>
      <c r="NJI98" s="17"/>
      <c r="NJJ98" s="17"/>
      <c r="NJK98" s="17"/>
      <c r="NJL98" s="17"/>
      <c r="NJM98" s="17"/>
      <c r="NJN98" s="17"/>
      <c r="NJO98" s="17"/>
      <c r="NJP98" s="17"/>
      <c r="NJQ98" s="17"/>
      <c r="NJR98" s="17"/>
      <c r="NJS98" s="17"/>
      <c r="NJT98" s="17"/>
      <c r="NJU98" s="17"/>
      <c r="NJV98" s="17"/>
      <c r="NJW98" s="17"/>
      <c r="NJX98" s="17"/>
      <c r="NJY98" s="17"/>
      <c r="NJZ98" s="17"/>
      <c r="NKA98" s="17"/>
      <c r="NKB98" s="17"/>
      <c r="NKC98" s="17"/>
      <c r="NKD98" s="17"/>
      <c r="NKE98" s="17"/>
      <c r="NKF98" s="17"/>
      <c r="NKG98" s="17"/>
      <c r="NKH98" s="17"/>
      <c r="NKI98" s="17"/>
      <c r="NKJ98" s="17"/>
      <c r="NKK98" s="17"/>
      <c r="NKL98" s="17"/>
      <c r="NKM98" s="17"/>
      <c r="NKN98" s="17"/>
      <c r="NKO98" s="17"/>
      <c r="NKP98" s="17"/>
      <c r="NKQ98" s="17"/>
      <c r="NKR98" s="17"/>
      <c r="NKS98" s="17"/>
      <c r="NKT98" s="17"/>
      <c r="NKU98" s="17"/>
      <c r="NKV98" s="17"/>
      <c r="NKW98" s="17"/>
      <c r="NKX98" s="17"/>
      <c r="NKY98" s="17"/>
      <c r="NKZ98" s="17"/>
      <c r="NLA98" s="17"/>
      <c r="NLB98" s="17"/>
      <c r="NLC98" s="17"/>
      <c r="NLD98" s="17"/>
      <c r="NLE98" s="17"/>
      <c r="NLF98" s="17"/>
      <c r="NLG98" s="17"/>
      <c r="NLH98" s="17"/>
      <c r="NLI98" s="17"/>
      <c r="NLJ98" s="17"/>
      <c r="NLK98" s="17"/>
      <c r="NLL98" s="17"/>
      <c r="NLM98" s="17"/>
      <c r="NLN98" s="17"/>
      <c r="NLO98" s="17"/>
      <c r="NLP98" s="17"/>
      <c r="NLQ98" s="17"/>
      <c r="NLR98" s="17"/>
      <c r="NLS98" s="17"/>
      <c r="NLT98" s="17"/>
      <c r="NLU98" s="17"/>
      <c r="NLV98" s="17"/>
      <c r="NLW98" s="17"/>
      <c r="NLX98" s="17"/>
      <c r="NLY98" s="17"/>
      <c r="NLZ98" s="17"/>
      <c r="NMA98" s="17"/>
      <c r="NMB98" s="17"/>
      <c r="NMC98" s="17"/>
      <c r="NMD98" s="17"/>
      <c r="NME98" s="17"/>
      <c r="NMF98" s="17"/>
      <c r="NMG98" s="17"/>
      <c r="NMH98" s="17"/>
      <c r="NMI98" s="17"/>
      <c r="NMJ98" s="17"/>
      <c r="NMK98" s="17"/>
      <c r="NML98" s="17"/>
      <c r="NMM98" s="17"/>
      <c r="NMN98" s="17"/>
      <c r="NMO98" s="17"/>
      <c r="NMP98" s="17"/>
      <c r="NMQ98" s="17"/>
      <c r="NMR98" s="17"/>
      <c r="NMS98" s="17"/>
      <c r="NMT98" s="17"/>
      <c r="NMU98" s="17"/>
      <c r="NMV98" s="17"/>
      <c r="NMW98" s="17"/>
      <c r="NMX98" s="17"/>
      <c r="NMY98" s="17"/>
      <c r="NMZ98" s="17"/>
      <c r="NNA98" s="17"/>
      <c r="NNB98" s="17"/>
      <c r="NNC98" s="17"/>
      <c r="NND98" s="17"/>
      <c r="NNE98" s="17"/>
      <c r="NNF98" s="17"/>
      <c r="NNG98" s="17"/>
      <c r="NNH98" s="17"/>
      <c r="NNI98" s="17"/>
      <c r="NNJ98" s="17"/>
      <c r="NNK98" s="17"/>
      <c r="NNL98" s="17"/>
      <c r="NNM98" s="17"/>
      <c r="NNN98" s="17"/>
      <c r="NNO98" s="17"/>
      <c r="NNP98" s="17"/>
      <c r="NNQ98" s="17"/>
      <c r="NNR98" s="17"/>
      <c r="NNS98" s="17"/>
      <c r="NNT98" s="17"/>
      <c r="NNU98" s="17"/>
      <c r="NNV98" s="17"/>
      <c r="NNW98" s="17"/>
      <c r="NNX98" s="17"/>
      <c r="NNY98" s="17"/>
      <c r="NNZ98" s="17"/>
      <c r="NOA98" s="17"/>
      <c r="NOB98" s="17"/>
      <c r="NOC98" s="17"/>
      <c r="NOD98" s="17"/>
      <c r="NOE98" s="17"/>
      <c r="NOF98" s="17"/>
      <c r="NOG98" s="17"/>
      <c r="NOH98" s="17"/>
      <c r="NOI98" s="17"/>
      <c r="NOJ98" s="17"/>
      <c r="NOK98" s="17"/>
      <c r="NOL98" s="17"/>
      <c r="NOM98" s="17"/>
      <c r="NON98" s="17"/>
      <c r="NOO98" s="17"/>
      <c r="NOP98" s="17"/>
      <c r="NOQ98" s="17"/>
      <c r="NOR98" s="17"/>
      <c r="NOS98" s="17"/>
      <c r="NOT98" s="17"/>
      <c r="NOU98" s="17"/>
      <c r="NOV98" s="17"/>
      <c r="NOW98" s="17"/>
      <c r="NOX98" s="17"/>
      <c r="NOY98" s="17"/>
      <c r="NOZ98" s="17"/>
      <c r="NPA98" s="17"/>
      <c r="NPB98" s="17"/>
      <c r="NPC98" s="17"/>
      <c r="NPD98" s="17"/>
      <c r="NPE98" s="17"/>
      <c r="NPF98" s="17"/>
      <c r="NPG98" s="17"/>
      <c r="NPH98" s="17"/>
      <c r="NPI98" s="17"/>
      <c r="NPJ98" s="17"/>
      <c r="NPK98" s="17"/>
      <c r="NPL98" s="17"/>
      <c r="NPM98" s="17"/>
      <c r="NPN98" s="17"/>
      <c r="NPO98" s="17"/>
      <c r="NPP98" s="17"/>
      <c r="NPQ98" s="17"/>
      <c r="NPR98" s="17"/>
      <c r="NPS98" s="17"/>
      <c r="NPT98" s="17"/>
      <c r="NPU98" s="17"/>
      <c r="NPV98" s="17"/>
      <c r="NPW98" s="17"/>
      <c r="NPX98" s="17"/>
      <c r="NPY98" s="17"/>
      <c r="NPZ98" s="17"/>
      <c r="NQA98" s="17"/>
      <c r="NQB98" s="17"/>
      <c r="NQC98" s="17"/>
      <c r="NQD98" s="17"/>
      <c r="NQE98" s="17"/>
      <c r="NQF98" s="17"/>
      <c r="NQG98" s="17"/>
      <c r="NQH98" s="17"/>
      <c r="NQI98" s="17"/>
      <c r="NQJ98" s="17"/>
      <c r="NQK98" s="17"/>
      <c r="NQL98" s="17"/>
      <c r="NQM98" s="17"/>
      <c r="NQN98" s="17"/>
      <c r="NQO98" s="17"/>
      <c r="NQP98" s="17"/>
      <c r="NQQ98" s="17"/>
      <c r="NQR98" s="17"/>
      <c r="NQS98" s="17"/>
      <c r="NQT98" s="17"/>
      <c r="NQU98" s="17"/>
      <c r="NQV98" s="17"/>
      <c r="NQW98" s="17"/>
      <c r="NQX98" s="17"/>
      <c r="NQY98" s="17"/>
      <c r="NQZ98" s="17"/>
      <c r="NRA98" s="17"/>
      <c r="NRB98" s="17"/>
      <c r="NRC98" s="17"/>
      <c r="NRD98" s="17"/>
      <c r="NRE98" s="17"/>
      <c r="NRF98" s="17"/>
      <c r="NRG98" s="17"/>
      <c r="NRH98" s="17"/>
      <c r="NRI98" s="17"/>
      <c r="NRJ98" s="17"/>
      <c r="NRK98" s="17"/>
      <c r="NRL98" s="17"/>
      <c r="NRM98" s="17"/>
      <c r="NRN98" s="17"/>
      <c r="NRO98" s="17"/>
      <c r="NRP98" s="17"/>
      <c r="NRQ98" s="17"/>
      <c r="NRR98" s="17"/>
      <c r="NRS98" s="17"/>
      <c r="NRT98" s="17"/>
      <c r="NRU98" s="17"/>
      <c r="NRV98" s="17"/>
      <c r="NRW98" s="17"/>
      <c r="NRX98" s="17"/>
      <c r="NRY98" s="17"/>
      <c r="NRZ98" s="17"/>
      <c r="NSA98" s="17"/>
      <c r="NSB98" s="17"/>
      <c r="NSC98" s="17"/>
      <c r="NSD98" s="17"/>
      <c r="NSE98" s="17"/>
      <c r="NSF98" s="17"/>
      <c r="NSG98" s="17"/>
      <c r="NSH98" s="17"/>
      <c r="NSI98" s="17"/>
      <c r="NSJ98" s="17"/>
      <c r="NSK98" s="17"/>
      <c r="NSL98" s="17"/>
      <c r="NSM98" s="17"/>
      <c r="NSN98" s="17"/>
      <c r="NSO98" s="17"/>
      <c r="NSP98" s="17"/>
      <c r="NSQ98" s="17"/>
      <c r="NSR98" s="17"/>
      <c r="NSS98" s="17"/>
      <c r="NST98" s="17"/>
      <c r="NSU98" s="17"/>
      <c r="NSV98" s="17"/>
      <c r="NSW98" s="17"/>
      <c r="NSX98" s="17"/>
      <c r="NSY98" s="17"/>
      <c r="NSZ98" s="17"/>
      <c r="NTA98" s="17"/>
      <c r="NTB98" s="17"/>
      <c r="NTC98" s="17"/>
      <c r="NTD98" s="17"/>
      <c r="NTE98" s="17"/>
      <c r="NTF98" s="17"/>
      <c r="NTG98" s="17"/>
      <c r="NTH98" s="17"/>
      <c r="NTI98" s="17"/>
      <c r="NTJ98" s="17"/>
      <c r="NTK98" s="17"/>
      <c r="NTL98" s="17"/>
      <c r="NTM98" s="17"/>
      <c r="NTN98" s="17"/>
      <c r="NTO98" s="17"/>
      <c r="NTP98" s="17"/>
      <c r="NTQ98" s="17"/>
      <c r="NTR98" s="17"/>
      <c r="NTS98" s="17"/>
      <c r="NTT98" s="17"/>
      <c r="NTU98" s="17"/>
      <c r="NTV98" s="17"/>
      <c r="NTW98" s="17"/>
      <c r="NTX98" s="17"/>
      <c r="NTY98" s="17"/>
      <c r="NTZ98" s="17"/>
      <c r="NUA98" s="17"/>
      <c r="NUB98" s="17"/>
      <c r="NUC98" s="17"/>
      <c r="NUD98" s="17"/>
      <c r="NUE98" s="17"/>
      <c r="NUF98" s="17"/>
      <c r="NUG98" s="17"/>
      <c r="NUH98" s="17"/>
      <c r="NUI98" s="17"/>
      <c r="NUJ98" s="17"/>
      <c r="NUK98" s="17"/>
      <c r="NUL98" s="17"/>
      <c r="NUM98" s="17"/>
      <c r="NUN98" s="17"/>
      <c r="NUO98" s="17"/>
      <c r="NUP98" s="17"/>
      <c r="NUQ98" s="17"/>
      <c r="NUR98" s="17"/>
      <c r="NUS98" s="17"/>
      <c r="NUT98" s="17"/>
      <c r="NUU98" s="17"/>
      <c r="NUV98" s="17"/>
      <c r="NUW98" s="17"/>
      <c r="NUX98" s="17"/>
      <c r="NUY98" s="17"/>
      <c r="NUZ98" s="17"/>
      <c r="NVA98" s="17"/>
      <c r="NVB98" s="17"/>
      <c r="NVC98" s="17"/>
      <c r="NVD98" s="17"/>
      <c r="NVE98" s="17"/>
      <c r="NVF98" s="17"/>
      <c r="NVG98" s="17"/>
      <c r="NVH98" s="17"/>
      <c r="NVI98" s="17"/>
      <c r="NVJ98" s="17"/>
      <c r="NVK98" s="17"/>
      <c r="NVL98" s="17"/>
      <c r="NVM98" s="17"/>
      <c r="NVN98" s="17"/>
      <c r="NVO98" s="17"/>
      <c r="NVP98" s="17"/>
      <c r="NVQ98" s="17"/>
      <c r="NVR98" s="17"/>
      <c r="NVS98" s="17"/>
      <c r="NVT98" s="17"/>
      <c r="NVU98" s="17"/>
      <c r="NVV98" s="17"/>
      <c r="NVW98" s="17"/>
      <c r="NVX98" s="17"/>
      <c r="NVY98" s="17"/>
      <c r="NVZ98" s="17"/>
      <c r="NWA98" s="17"/>
      <c r="NWB98" s="17"/>
      <c r="NWC98" s="17"/>
      <c r="NWD98" s="17"/>
      <c r="NWE98" s="17"/>
      <c r="NWF98" s="17"/>
      <c r="NWG98" s="17"/>
      <c r="NWH98" s="17"/>
      <c r="NWI98" s="17"/>
      <c r="NWJ98" s="17"/>
      <c r="NWK98" s="17"/>
      <c r="NWL98" s="17"/>
      <c r="NWM98" s="17"/>
      <c r="NWN98" s="17"/>
      <c r="NWO98" s="17"/>
      <c r="NWP98" s="17"/>
      <c r="NWQ98" s="17"/>
      <c r="NWR98" s="17"/>
      <c r="NWS98" s="17"/>
      <c r="NWT98" s="17"/>
      <c r="NWU98" s="17"/>
      <c r="NWV98" s="17"/>
      <c r="NWW98" s="17"/>
      <c r="NWX98" s="17"/>
      <c r="NWY98" s="17"/>
      <c r="NWZ98" s="17"/>
      <c r="NXA98" s="17"/>
      <c r="NXB98" s="17"/>
      <c r="NXC98" s="17"/>
      <c r="NXD98" s="17"/>
      <c r="NXE98" s="17"/>
      <c r="NXF98" s="17"/>
      <c r="NXG98" s="17"/>
      <c r="NXH98" s="17"/>
      <c r="NXI98" s="17"/>
      <c r="NXJ98" s="17"/>
      <c r="NXK98" s="17"/>
      <c r="NXL98" s="17"/>
      <c r="NXM98" s="17"/>
      <c r="NXN98" s="17"/>
      <c r="NXO98" s="17"/>
      <c r="NXP98" s="17"/>
      <c r="NXQ98" s="17"/>
      <c r="NXR98" s="17"/>
      <c r="NXS98" s="17"/>
      <c r="NXT98" s="17"/>
      <c r="NXU98" s="17"/>
      <c r="NXV98" s="17"/>
      <c r="NXW98" s="17"/>
      <c r="NXX98" s="17"/>
      <c r="NXY98" s="17"/>
      <c r="NXZ98" s="17"/>
      <c r="NYA98" s="17"/>
      <c r="NYB98" s="17"/>
      <c r="NYC98" s="17"/>
      <c r="NYD98" s="17"/>
      <c r="NYE98" s="17"/>
      <c r="NYF98" s="17"/>
      <c r="NYG98" s="17"/>
      <c r="NYH98" s="17"/>
      <c r="NYI98" s="17"/>
      <c r="NYJ98" s="17"/>
      <c r="NYK98" s="17"/>
      <c r="NYL98" s="17"/>
      <c r="NYM98" s="17"/>
      <c r="NYN98" s="17"/>
      <c r="NYO98" s="17"/>
      <c r="NYP98" s="17"/>
      <c r="NYQ98" s="17"/>
      <c r="NYR98" s="17"/>
      <c r="NYS98" s="17"/>
      <c r="NYT98" s="17"/>
      <c r="NYU98" s="17"/>
      <c r="NYV98" s="17"/>
      <c r="NYW98" s="17"/>
      <c r="NYX98" s="17"/>
      <c r="NYY98" s="17"/>
      <c r="NYZ98" s="17"/>
      <c r="NZA98" s="17"/>
      <c r="NZB98" s="17"/>
      <c r="NZC98" s="17"/>
      <c r="NZD98" s="17"/>
      <c r="NZE98" s="17"/>
      <c r="NZF98" s="17"/>
      <c r="NZG98" s="17"/>
      <c r="NZH98" s="17"/>
      <c r="NZI98" s="17"/>
      <c r="NZJ98" s="17"/>
      <c r="NZK98" s="17"/>
      <c r="NZL98" s="17"/>
      <c r="NZM98" s="17"/>
      <c r="NZN98" s="17"/>
      <c r="NZO98" s="17"/>
      <c r="NZP98" s="17"/>
      <c r="NZQ98" s="17"/>
      <c r="NZR98" s="17"/>
      <c r="NZS98" s="17"/>
      <c r="NZT98" s="17"/>
      <c r="NZU98" s="17"/>
      <c r="NZV98" s="17"/>
      <c r="NZW98" s="17"/>
      <c r="NZX98" s="17"/>
      <c r="NZY98" s="17"/>
      <c r="NZZ98" s="17"/>
      <c r="OAA98" s="17"/>
      <c r="OAB98" s="17"/>
      <c r="OAC98" s="17"/>
      <c r="OAD98" s="17"/>
      <c r="OAE98" s="17"/>
      <c r="OAF98" s="17"/>
      <c r="OAG98" s="17"/>
      <c r="OAH98" s="17"/>
      <c r="OAI98" s="17"/>
      <c r="OAJ98" s="17"/>
      <c r="OAK98" s="17"/>
      <c r="OAL98" s="17"/>
      <c r="OAM98" s="17"/>
      <c r="OAN98" s="17"/>
      <c r="OAO98" s="17"/>
      <c r="OAP98" s="17"/>
      <c r="OAQ98" s="17"/>
      <c r="OAR98" s="17"/>
      <c r="OAS98" s="17"/>
      <c r="OAT98" s="17"/>
      <c r="OAU98" s="17"/>
      <c r="OAV98" s="17"/>
      <c r="OAW98" s="17"/>
      <c r="OAX98" s="17"/>
      <c r="OAY98" s="17"/>
      <c r="OAZ98" s="17"/>
      <c r="OBA98" s="17"/>
      <c r="OBB98" s="17"/>
      <c r="OBC98" s="17"/>
      <c r="OBD98" s="17"/>
      <c r="OBE98" s="17"/>
      <c r="OBF98" s="17"/>
      <c r="OBG98" s="17"/>
      <c r="OBH98" s="17"/>
      <c r="OBI98" s="17"/>
      <c r="OBJ98" s="17"/>
      <c r="OBK98" s="17"/>
      <c r="OBL98" s="17"/>
      <c r="OBM98" s="17"/>
      <c r="OBN98" s="17"/>
      <c r="OBO98" s="17"/>
      <c r="OBP98" s="17"/>
      <c r="OBQ98" s="17"/>
      <c r="OBR98" s="17"/>
      <c r="OBS98" s="17"/>
      <c r="OBT98" s="17"/>
      <c r="OBU98" s="17"/>
      <c r="OBV98" s="17"/>
      <c r="OBW98" s="17"/>
      <c r="OBX98" s="17"/>
      <c r="OBY98" s="17"/>
      <c r="OBZ98" s="17"/>
      <c r="OCA98" s="17"/>
      <c r="OCB98" s="17"/>
      <c r="OCC98" s="17"/>
      <c r="OCD98" s="17"/>
      <c r="OCE98" s="17"/>
      <c r="OCF98" s="17"/>
      <c r="OCG98" s="17"/>
      <c r="OCH98" s="17"/>
      <c r="OCI98" s="17"/>
      <c r="OCJ98" s="17"/>
      <c r="OCK98" s="17"/>
      <c r="OCL98" s="17"/>
      <c r="OCM98" s="17"/>
      <c r="OCN98" s="17"/>
      <c r="OCO98" s="17"/>
      <c r="OCP98" s="17"/>
      <c r="OCQ98" s="17"/>
      <c r="OCR98" s="17"/>
      <c r="OCS98" s="17"/>
      <c r="OCT98" s="17"/>
      <c r="OCU98" s="17"/>
      <c r="OCV98" s="17"/>
      <c r="OCW98" s="17"/>
      <c r="OCX98" s="17"/>
      <c r="OCY98" s="17"/>
      <c r="OCZ98" s="17"/>
      <c r="ODA98" s="17"/>
      <c r="ODB98" s="17"/>
      <c r="ODC98" s="17"/>
      <c r="ODD98" s="17"/>
      <c r="ODE98" s="17"/>
      <c r="ODF98" s="17"/>
      <c r="ODG98" s="17"/>
      <c r="ODH98" s="17"/>
      <c r="ODI98" s="17"/>
      <c r="ODJ98" s="17"/>
      <c r="ODK98" s="17"/>
      <c r="ODL98" s="17"/>
      <c r="ODM98" s="17"/>
      <c r="ODN98" s="17"/>
      <c r="ODO98" s="17"/>
      <c r="ODP98" s="17"/>
      <c r="ODQ98" s="17"/>
      <c r="ODR98" s="17"/>
      <c r="ODS98" s="17"/>
      <c r="ODT98" s="17"/>
      <c r="ODU98" s="17"/>
      <c r="ODV98" s="17"/>
      <c r="ODW98" s="17"/>
      <c r="ODX98" s="17"/>
      <c r="ODY98" s="17"/>
      <c r="ODZ98" s="17"/>
      <c r="OEA98" s="17"/>
      <c r="OEB98" s="17"/>
      <c r="OEC98" s="17"/>
      <c r="OED98" s="17"/>
      <c r="OEE98" s="17"/>
      <c r="OEF98" s="17"/>
      <c r="OEG98" s="17"/>
      <c r="OEH98" s="17"/>
      <c r="OEI98" s="17"/>
      <c r="OEJ98" s="17"/>
      <c r="OEK98" s="17"/>
      <c r="OEL98" s="17"/>
      <c r="OEM98" s="17"/>
      <c r="OEN98" s="17"/>
      <c r="OEO98" s="17"/>
      <c r="OEP98" s="17"/>
      <c r="OEQ98" s="17"/>
      <c r="OER98" s="17"/>
      <c r="OES98" s="17"/>
      <c r="OET98" s="17"/>
      <c r="OEU98" s="17"/>
      <c r="OEV98" s="17"/>
      <c r="OEW98" s="17"/>
      <c r="OEX98" s="17"/>
      <c r="OEY98" s="17"/>
      <c r="OEZ98" s="17"/>
      <c r="OFA98" s="17"/>
      <c r="OFB98" s="17"/>
      <c r="OFC98" s="17"/>
      <c r="OFD98" s="17"/>
      <c r="OFE98" s="17"/>
      <c r="OFF98" s="17"/>
      <c r="OFG98" s="17"/>
      <c r="OFH98" s="17"/>
      <c r="OFI98" s="17"/>
      <c r="OFJ98" s="17"/>
      <c r="OFK98" s="17"/>
      <c r="OFL98" s="17"/>
      <c r="OFM98" s="17"/>
      <c r="OFN98" s="17"/>
      <c r="OFO98" s="17"/>
      <c r="OFP98" s="17"/>
      <c r="OFQ98" s="17"/>
      <c r="OFR98" s="17"/>
      <c r="OFS98" s="17"/>
      <c r="OFT98" s="17"/>
      <c r="OFU98" s="17"/>
      <c r="OFV98" s="17"/>
      <c r="OFW98" s="17"/>
      <c r="OFX98" s="17"/>
      <c r="OFY98" s="17"/>
      <c r="OFZ98" s="17"/>
      <c r="OGA98" s="17"/>
      <c r="OGB98" s="17"/>
      <c r="OGC98" s="17"/>
      <c r="OGD98" s="17"/>
      <c r="OGE98" s="17"/>
      <c r="OGF98" s="17"/>
      <c r="OGG98" s="17"/>
      <c r="OGH98" s="17"/>
      <c r="OGI98" s="17"/>
      <c r="OGJ98" s="17"/>
      <c r="OGK98" s="17"/>
      <c r="OGL98" s="17"/>
      <c r="OGM98" s="17"/>
      <c r="OGN98" s="17"/>
      <c r="OGO98" s="17"/>
      <c r="OGP98" s="17"/>
      <c r="OGQ98" s="17"/>
      <c r="OGR98" s="17"/>
      <c r="OGS98" s="17"/>
      <c r="OGT98" s="17"/>
      <c r="OGU98" s="17"/>
      <c r="OGV98" s="17"/>
      <c r="OGW98" s="17"/>
      <c r="OGX98" s="17"/>
      <c r="OGY98" s="17"/>
      <c r="OGZ98" s="17"/>
      <c r="OHA98" s="17"/>
      <c r="OHB98" s="17"/>
      <c r="OHC98" s="17"/>
      <c r="OHD98" s="17"/>
      <c r="OHE98" s="17"/>
      <c r="OHF98" s="17"/>
      <c r="OHG98" s="17"/>
      <c r="OHH98" s="17"/>
      <c r="OHI98" s="17"/>
      <c r="OHJ98" s="17"/>
      <c r="OHK98" s="17"/>
      <c r="OHL98" s="17"/>
      <c r="OHM98" s="17"/>
      <c r="OHN98" s="17"/>
      <c r="OHO98" s="17"/>
      <c r="OHP98" s="17"/>
      <c r="OHQ98" s="17"/>
      <c r="OHR98" s="17"/>
      <c r="OHS98" s="17"/>
      <c r="OHT98" s="17"/>
      <c r="OHU98" s="17"/>
      <c r="OHV98" s="17"/>
      <c r="OHW98" s="17"/>
      <c r="OHX98" s="17"/>
      <c r="OHY98" s="17"/>
      <c r="OHZ98" s="17"/>
      <c r="OIA98" s="17"/>
      <c r="OIB98" s="17"/>
      <c r="OIC98" s="17"/>
      <c r="OID98" s="17"/>
      <c r="OIE98" s="17"/>
      <c r="OIF98" s="17"/>
      <c r="OIG98" s="17"/>
      <c r="OIH98" s="17"/>
      <c r="OII98" s="17"/>
      <c r="OIJ98" s="17"/>
      <c r="OIK98" s="17"/>
      <c r="OIL98" s="17"/>
      <c r="OIM98" s="17"/>
      <c r="OIN98" s="17"/>
      <c r="OIO98" s="17"/>
      <c r="OIP98" s="17"/>
      <c r="OIQ98" s="17"/>
      <c r="OIR98" s="17"/>
      <c r="OIS98" s="17"/>
      <c r="OIT98" s="17"/>
      <c r="OIU98" s="17"/>
      <c r="OIV98" s="17"/>
      <c r="OIW98" s="17"/>
      <c r="OIX98" s="17"/>
      <c r="OIY98" s="17"/>
      <c r="OIZ98" s="17"/>
      <c r="OJA98" s="17"/>
      <c r="OJB98" s="17"/>
      <c r="OJC98" s="17"/>
      <c r="OJD98" s="17"/>
      <c r="OJE98" s="17"/>
      <c r="OJF98" s="17"/>
      <c r="OJG98" s="17"/>
      <c r="OJH98" s="17"/>
      <c r="OJI98" s="17"/>
      <c r="OJJ98" s="17"/>
      <c r="OJK98" s="17"/>
      <c r="OJL98" s="17"/>
      <c r="OJM98" s="17"/>
      <c r="OJN98" s="17"/>
      <c r="OJO98" s="17"/>
      <c r="OJP98" s="17"/>
      <c r="OJQ98" s="17"/>
      <c r="OJR98" s="17"/>
      <c r="OJS98" s="17"/>
      <c r="OJT98" s="17"/>
      <c r="OJU98" s="17"/>
      <c r="OJV98" s="17"/>
      <c r="OJW98" s="17"/>
      <c r="OJX98" s="17"/>
      <c r="OJY98" s="17"/>
      <c r="OJZ98" s="17"/>
      <c r="OKA98" s="17"/>
      <c r="OKB98" s="17"/>
      <c r="OKC98" s="17"/>
      <c r="OKD98" s="17"/>
      <c r="OKE98" s="17"/>
      <c r="OKF98" s="17"/>
      <c r="OKG98" s="17"/>
      <c r="OKH98" s="17"/>
      <c r="OKI98" s="17"/>
      <c r="OKJ98" s="17"/>
      <c r="OKK98" s="17"/>
      <c r="OKL98" s="17"/>
      <c r="OKM98" s="17"/>
      <c r="OKN98" s="17"/>
      <c r="OKO98" s="17"/>
      <c r="OKP98" s="17"/>
      <c r="OKQ98" s="17"/>
      <c r="OKR98" s="17"/>
      <c r="OKS98" s="17"/>
      <c r="OKT98" s="17"/>
      <c r="OKU98" s="17"/>
      <c r="OKV98" s="17"/>
      <c r="OKW98" s="17"/>
      <c r="OKX98" s="17"/>
      <c r="OKY98" s="17"/>
      <c r="OKZ98" s="17"/>
      <c r="OLA98" s="17"/>
      <c r="OLB98" s="17"/>
      <c r="OLC98" s="17"/>
      <c r="OLD98" s="17"/>
      <c r="OLE98" s="17"/>
      <c r="OLF98" s="17"/>
      <c r="OLG98" s="17"/>
      <c r="OLH98" s="17"/>
      <c r="OLI98" s="17"/>
      <c r="OLJ98" s="17"/>
      <c r="OLK98" s="17"/>
      <c r="OLL98" s="17"/>
      <c r="OLM98" s="17"/>
      <c r="OLN98" s="17"/>
      <c r="OLO98" s="17"/>
      <c r="OLP98" s="17"/>
      <c r="OLQ98" s="17"/>
      <c r="OLR98" s="17"/>
      <c r="OLS98" s="17"/>
      <c r="OLT98" s="17"/>
      <c r="OLU98" s="17"/>
      <c r="OLV98" s="17"/>
      <c r="OLW98" s="17"/>
      <c r="OLX98" s="17"/>
      <c r="OLY98" s="17"/>
      <c r="OLZ98" s="17"/>
      <c r="OMA98" s="17"/>
      <c r="OMB98" s="17"/>
      <c r="OMC98" s="17"/>
      <c r="OMD98" s="17"/>
      <c r="OME98" s="17"/>
      <c r="OMF98" s="17"/>
      <c r="OMG98" s="17"/>
      <c r="OMH98" s="17"/>
      <c r="OMI98" s="17"/>
      <c r="OMJ98" s="17"/>
      <c r="OMK98" s="17"/>
      <c r="OML98" s="17"/>
      <c r="OMM98" s="17"/>
      <c r="OMN98" s="17"/>
      <c r="OMO98" s="17"/>
      <c r="OMP98" s="17"/>
      <c r="OMQ98" s="17"/>
      <c r="OMR98" s="17"/>
      <c r="OMS98" s="17"/>
      <c r="OMT98" s="17"/>
      <c r="OMU98" s="17"/>
      <c r="OMV98" s="17"/>
      <c r="OMW98" s="17"/>
      <c r="OMX98" s="17"/>
      <c r="OMY98" s="17"/>
      <c r="OMZ98" s="17"/>
      <c r="ONA98" s="17"/>
      <c r="ONB98" s="17"/>
      <c r="ONC98" s="17"/>
      <c r="OND98" s="17"/>
      <c r="ONE98" s="17"/>
      <c r="ONF98" s="17"/>
      <c r="ONG98" s="17"/>
      <c r="ONH98" s="17"/>
      <c r="ONI98" s="17"/>
      <c r="ONJ98" s="17"/>
      <c r="ONK98" s="17"/>
      <c r="ONL98" s="17"/>
      <c r="ONM98" s="17"/>
      <c r="ONN98" s="17"/>
      <c r="ONO98" s="17"/>
      <c r="ONP98" s="17"/>
      <c r="ONQ98" s="17"/>
      <c r="ONR98" s="17"/>
      <c r="ONS98" s="17"/>
      <c r="ONT98" s="17"/>
      <c r="ONU98" s="17"/>
      <c r="ONV98" s="17"/>
      <c r="ONW98" s="17"/>
      <c r="ONX98" s="17"/>
      <c r="ONY98" s="17"/>
      <c r="ONZ98" s="17"/>
      <c r="OOA98" s="17"/>
      <c r="OOB98" s="17"/>
      <c r="OOC98" s="17"/>
      <c r="OOD98" s="17"/>
      <c r="OOE98" s="17"/>
      <c r="OOF98" s="17"/>
      <c r="OOG98" s="17"/>
      <c r="OOH98" s="17"/>
      <c r="OOI98" s="17"/>
      <c r="OOJ98" s="17"/>
      <c r="OOK98" s="17"/>
      <c r="OOL98" s="17"/>
      <c r="OOM98" s="17"/>
      <c r="OON98" s="17"/>
      <c r="OOO98" s="17"/>
      <c r="OOP98" s="17"/>
      <c r="OOQ98" s="17"/>
      <c r="OOR98" s="17"/>
      <c r="OOS98" s="17"/>
      <c r="OOT98" s="17"/>
      <c r="OOU98" s="17"/>
      <c r="OOV98" s="17"/>
      <c r="OOW98" s="17"/>
      <c r="OOX98" s="17"/>
      <c r="OOY98" s="17"/>
      <c r="OOZ98" s="17"/>
      <c r="OPA98" s="17"/>
      <c r="OPB98" s="17"/>
      <c r="OPC98" s="17"/>
      <c r="OPD98" s="17"/>
      <c r="OPE98" s="17"/>
      <c r="OPF98" s="17"/>
      <c r="OPG98" s="17"/>
      <c r="OPH98" s="17"/>
      <c r="OPI98" s="17"/>
      <c r="OPJ98" s="17"/>
      <c r="OPK98" s="17"/>
      <c r="OPL98" s="17"/>
      <c r="OPM98" s="17"/>
      <c r="OPN98" s="17"/>
      <c r="OPO98" s="17"/>
      <c r="OPP98" s="17"/>
      <c r="OPQ98" s="17"/>
      <c r="OPR98" s="17"/>
      <c r="OPS98" s="17"/>
      <c r="OPT98" s="17"/>
      <c r="OPU98" s="17"/>
      <c r="OPV98" s="17"/>
      <c r="OPW98" s="17"/>
      <c r="OPX98" s="17"/>
      <c r="OPY98" s="17"/>
      <c r="OPZ98" s="17"/>
      <c r="OQA98" s="17"/>
      <c r="OQB98" s="17"/>
      <c r="OQC98" s="17"/>
      <c r="OQD98" s="17"/>
      <c r="OQE98" s="17"/>
      <c r="OQF98" s="17"/>
      <c r="OQG98" s="17"/>
      <c r="OQH98" s="17"/>
      <c r="OQI98" s="17"/>
      <c r="OQJ98" s="17"/>
      <c r="OQK98" s="17"/>
      <c r="OQL98" s="17"/>
      <c r="OQM98" s="17"/>
      <c r="OQN98" s="17"/>
      <c r="OQO98" s="17"/>
      <c r="OQP98" s="17"/>
      <c r="OQQ98" s="17"/>
      <c r="OQR98" s="17"/>
      <c r="OQS98" s="17"/>
      <c r="OQT98" s="17"/>
      <c r="OQU98" s="17"/>
      <c r="OQV98" s="17"/>
      <c r="OQW98" s="17"/>
      <c r="OQX98" s="17"/>
      <c r="OQY98" s="17"/>
      <c r="OQZ98" s="17"/>
      <c r="ORA98" s="17"/>
      <c r="ORB98" s="17"/>
      <c r="ORC98" s="17"/>
      <c r="ORD98" s="17"/>
      <c r="ORE98" s="17"/>
      <c r="ORF98" s="17"/>
      <c r="ORG98" s="17"/>
      <c r="ORH98" s="17"/>
      <c r="ORI98" s="17"/>
      <c r="ORJ98" s="17"/>
      <c r="ORK98" s="17"/>
      <c r="ORL98" s="17"/>
      <c r="ORM98" s="17"/>
      <c r="ORN98" s="17"/>
      <c r="ORO98" s="17"/>
      <c r="ORP98" s="17"/>
      <c r="ORQ98" s="17"/>
      <c r="ORR98" s="17"/>
      <c r="ORS98" s="17"/>
      <c r="ORT98" s="17"/>
      <c r="ORU98" s="17"/>
      <c r="ORV98" s="17"/>
      <c r="ORW98" s="17"/>
      <c r="ORX98" s="17"/>
      <c r="ORY98" s="17"/>
      <c r="ORZ98" s="17"/>
      <c r="OSA98" s="17"/>
      <c r="OSB98" s="17"/>
      <c r="OSC98" s="17"/>
      <c r="OSD98" s="17"/>
      <c r="OSE98" s="17"/>
      <c r="OSF98" s="17"/>
      <c r="OSG98" s="17"/>
      <c r="OSH98" s="17"/>
      <c r="OSI98" s="17"/>
      <c r="OSJ98" s="17"/>
      <c r="OSK98" s="17"/>
      <c r="OSL98" s="17"/>
      <c r="OSM98" s="17"/>
      <c r="OSN98" s="17"/>
      <c r="OSO98" s="17"/>
      <c r="OSP98" s="17"/>
      <c r="OSQ98" s="17"/>
      <c r="OSR98" s="17"/>
      <c r="OSS98" s="17"/>
      <c r="OST98" s="17"/>
      <c r="OSU98" s="17"/>
      <c r="OSV98" s="17"/>
      <c r="OSW98" s="17"/>
      <c r="OSX98" s="17"/>
      <c r="OSY98" s="17"/>
      <c r="OSZ98" s="17"/>
      <c r="OTA98" s="17"/>
      <c r="OTB98" s="17"/>
      <c r="OTC98" s="17"/>
      <c r="OTD98" s="17"/>
      <c r="OTE98" s="17"/>
      <c r="OTF98" s="17"/>
      <c r="OTG98" s="17"/>
      <c r="OTH98" s="17"/>
      <c r="OTI98" s="17"/>
      <c r="OTJ98" s="17"/>
      <c r="OTK98" s="17"/>
      <c r="OTL98" s="17"/>
      <c r="OTM98" s="17"/>
      <c r="OTN98" s="17"/>
      <c r="OTO98" s="17"/>
      <c r="OTP98" s="17"/>
      <c r="OTQ98" s="17"/>
      <c r="OTR98" s="17"/>
      <c r="OTS98" s="17"/>
      <c r="OTT98" s="17"/>
      <c r="OTU98" s="17"/>
      <c r="OTV98" s="17"/>
      <c r="OTW98" s="17"/>
      <c r="OTX98" s="17"/>
      <c r="OTY98" s="17"/>
      <c r="OTZ98" s="17"/>
      <c r="OUA98" s="17"/>
      <c r="OUB98" s="17"/>
      <c r="OUC98" s="17"/>
      <c r="OUD98" s="17"/>
      <c r="OUE98" s="17"/>
      <c r="OUF98" s="17"/>
      <c r="OUG98" s="17"/>
      <c r="OUH98" s="17"/>
      <c r="OUI98" s="17"/>
      <c r="OUJ98" s="17"/>
      <c r="OUK98" s="17"/>
      <c r="OUL98" s="17"/>
      <c r="OUM98" s="17"/>
      <c r="OUN98" s="17"/>
      <c r="OUO98" s="17"/>
      <c r="OUP98" s="17"/>
      <c r="OUQ98" s="17"/>
      <c r="OUR98" s="17"/>
      <c r="OUS98" s="17"/>
      <c r="OUT98" s="17"/>
      <c r="OUU98" s="17"/>
      <c r="OUV98" s="17"/>
      <c r="OUW98" s="17"/>
      <c r="OUX98" s="17"/>
      <c r="OUY98" s="17"/>
      <c r="OUZ98" s="17"/>
      <c r="OVA98" s="17"/>
      <c r="OVB98" s="17"/>
      <c r="OVC98" s="17"/>
      <c r="OVD98" s="17"/>
      <c r="OVE98" s="17"/>
      <c r="OVF98" s="17"/>
      <c r="OVG98" s="17"/>
      <c r="OVH98" s="17"/>
      <c r="OVI98" s="17"/>
      <c r="OVJ98" s="17"/>
      <c r="OVK98" s="17"/>
      <c r="OVL98" s="17"/>
      <c r="OVM98" s="17"/>
      <c r="OVN98" s="17"/>
      <c r="OVO98" s="17"/>
      <c r="OVP98" s="17"/>
      <c r="OVQ98" s="17"/>
      <c r="OVR98" s="17"/>
      <c r="OVS98" s="17"/>
      <c r="OVT98" s="17"/>
      <c r="OVU98" s="17"/>
      <c r="OVV98" s="17"/>
      <c r="OVW98" s="17"/>
      <c r="OVX98" s="17"/>
      <c r="OVY98" s="17"/>
      <c r="OVZ98" s="17"/>
      <c r="OWA98" s="17"/>
      <c r="OWB98" s="17"/>
      <c r="OWC98" s="17"/>
      <c r="OWD98" s="17"/>
      <c r="OWE98" s="17"/>
      <c r="OWF98" s="17"/>
      <c r="OWG98" s="17"/>
      <c r="OWH98" s="17"/>
      <c r="OWI98" s="17"/>
      <c r="OWJ98" s="17"/>
      <c r="OWK98" s="17"/>
      <c r="OWL98" s="17"/>
      <c r="OWM98" s="17"/>
      <c r="OWN98" s="17"/>
      <c r="OWO98" s="17"/>
      <c r="OWP98" s="17"/>
      <c r="OWQ98" s="17"/>
      <c r="OWR98" s="17"/>
      <c r="OWS98" s="17"/>
      <c r="OWT98" s="17"/>
      <c r="OWU98" s="17"/>
      <c r="OWV98" s="17"/>
      <c r="OWW98" s="17"/>
      <c r="OWX98" s="17"/>
      <c r="OWY98" s="17"/>
      <c r="OWZ98" s="17"/>
      <c r="OXA98" s="17"/>
      <c r="OXB98" s="17"/>
      <c r="OXC98" s="17"/>
      <c r="OXD98" s="17"/>
      <c r="OXE98" s="17"/>
      <c r="OXF98" s="17"/>
      <c r="OXG98" s="17"/>
      <c r="OXH98" s="17"/>
      <c r="OXI98" s="17"/>
      <c r="OXJ98" s="17"/>
      <c r="OXK98" s="17"/>
      <c r="OXL98" s="17"/>
      <c r="OXM98" s="17"/>
      <c r="OXN98" s="17"/>
      <c r="OXO98" s="17"/>
      <c r="OXP98" s="17"/>
      <c r="OXQ98" s="17"/>
      <c r="OXR98" s="17"/>
      <c r="OXS98" s="17"/>
      <c r="OXT98" s="17"/>
      <c r="OXU98" s="17"/>
      <c r="OXV98" s="17"/>
      <c r="OXW98" s="17"/>
      <c r="OXX98" s="17"/>
      <c r="OXY98" s="17"/>
      <c r="OXZ98" s="17"/>
      <c r="OYA98" s="17"/>
      <c r="OYB98" s="17"/>
      <c r="OYC98" s="17"/>
      <c r="OYD98" s="17"/>
      <c r="OYE98" s="17"/>
      <c r="OYF98" s="17"/>
      <c r="OYG98" s="17"/>
      <c r="OYH98" s="17"/>
      <c r="OYI98" s="17"/>
      <c r="OYJ98" s="17"/>
      <c r="OYK98" s="17"/>
      <c r="OYL98" s="17"/>
      <c r="OYM98" s="17"/>
      <c r="OYN98" s="17"/>
      <c r="OYO98" s="17"/>
      <c r="OYP98" s="17"/>
      <c r="OYQ98" s="17"/>
      <c r="OYR98" s="17"/>
      <c r="OYS98" s="17"/>
      <c r="OYT98" s="17"/>
      <c r="OYU98" s="17"/>
      <c r="OYV98" s="17"/>
      <c r="OYW98" s="17"/>
      <c r="OYX98" s="17"/>
      <c r="OYY98" s="17"/>
      <c r="OYZ98" s="17"/>
      <c r="OZA98" s="17"/>
      <c r="OZB98" s="17"/>
      <c r="OZC98" s="17"/>
      <c r="OZD98" s="17"/>
      <c r="OZE98" s="17"/>
      <c r="OZF98" s="17"/>
      <c r="OZG98" s="17"/>
      <c r="OZH98" s="17"/>
      <c r="OZI98" s="17"/>
      <c r="OZJ98" s="17"/>
      <c r="OZK98" s="17"/>
      <c r="OZL98" s="17"/>
      <c r="OZM98" s="17"/>
      <c r="OZN98" s="17"/>
      <c r="OZO98" s="17"/>
      <c r="OZP98" s="17"/>
      <c r="OZQ98" s="17"/>
      <c r="OZR98" s="17"/>
      <c r="OZS98" s="17"/>
      <c r="OZT98" s="17"/>
      <c r="OZU98" s="17"/>
      <c r="OZV98" s="17"/>
      <c r="OZW98" s="17"/>
      <c r="OZX98" s="17"/>
      <c r="OZY98" s="17"/>
      <c r="OZZ98" s="17"/>
      <c r="PAA98" s="17"/>
      <c r="PAB98" s="17"/>
      <c r="PAC98" s="17"/>
      <c r="PAD98" s="17"/>
      <c r="PAE98" s="17"/>
      <c r="PAF98" s="17"/>
      <c r="PAG98" s="17"/>
      <c r="PAH98" s="17"/>
      <c r="PAI98" s="17"/>
      <c r="PAJ98" s="17"/>
      <c r="PAK98" s="17"/>
      <c r="PAL98" s="17"/>
      <c r="PAM98" s="17"/>
      <c r="PAN98" s="17"/>
      <c r="PAO98" s="17"/>
      <c r="PAP98" s="17"/>
      <c r="PAQ98" s="17"/>
      <c r="PAR98" s="17"/>
      <c r="PAS98" s="17"/>
      <c r="PAT98" s="17"/>
      <c r="PAU98" s="17"/>
      <c r="PAV98" s="17"/>
      <c r="PAW98" s="17"/>
      <c r="PAX98" s="17"/>
      <c r="PAY98" s="17"/>
      <c r="PAZ98" s="17"/>
      <c r="PBA98" s="17"/>
      <c r="PBB98" s="17"/>
      <c r="PBC98" s="17"/>
      <c r="PBD98" s="17"/>
      <c r="PBE98" s="17"/>
      <c r="PBF98" s="17"/>
      <c r="PBG98" s="17"/>
      <c r="PBH98" s="17"/>
      <c r="PBI98" s="17"/>
      <c r="PBJ98" s="17"/>
      <c r="PBK98" s="17"/>
      <c r="PBL98" s="17"/>
      <c r="PBM98" s="17"/>
      <c r="PBN98" s="17"/>
      <c r="PBO98" s="17"/>
      <c r="PBP98" s="17"/>
      <c r="PBQ98" s="17"/>
      <c r="PBR98" s="17"/>
      <c r="PBS98" s="17"/>
      <c r="PBT98" s="17"/>
      <c r="PBU98" s="17"/>
      <c r="PBV98" s="17"/>
      <c r="PBW98" s="17"/>
      <c r="PBX98" s="17"/>
      <c r="PBY98" s="17"/>
      <c r="PBZ98" s="17"/>
      <c r="PCA98" s="17"/>
      <c r="PCB98" s="17"/>
      <c r="PCC98" s="17"/>
      <c r="PCD98" s="17"/>
      <c r="PCE98" s="17"/>
      <c r="PCF98" s="17"/>
      <c r="PCG98" s="17"/>
      <c r="PCH98" s="17"/>
      <c r="PCI98" s="17"/>
      <c r="PCJ98" s="17"/>
      <c r="PCK98" s="17"/>
      <c r="PCL98" s="17"/>
      <c r="PCM98" s="17"/>
      <c r="PCN98" s="17"/>
      <c r="PCO98" s="17"/>
      <c r="PCP98" s="17"/>
      <c r="PCQ98" s="17"/>
      <c r="PCR98" s="17"/>
      <c r="PCS98" s="17"/>
      <c r="PCT98" s="17"/>
      <c r="PCU98" s="17"/>
      <c r="PCV98" s="17"/>
      <c r="PCW98" s="17"/>
      <c r="PCX98" s="17"/>
      <c r="PCY98" s="17"/>
      <c r="PCZ98" s="17"/>
      <c r="PDA98" s="17"/>
      <c r="PDB98" s="17"/>
      <c r="PDC98" s="17"/>
      <c r="PDD98" s="17"/>
      <c r="PDE98" s="17"/>
      <c r="PDF98" s="17"/>
      <c r="PDG98" s="17"/>
      <c r="PDH98" s="17"/>
      <c r="PDI98" s="17"/>
      <c r="PDJ98" s="17"/>
      <c r="PDK98" s="17"/>
      <c r="PDL98" s="17"/>
      <c r="PDM98" s="17"/>
      <c r="PDN98" s="17"/>
      <c r="PDO98" s="17"/>
      <c r="PDP98" s="17"/>
      <c r="PDQ98" s="17"/>
      <c r="PDR98" s="17"/>
      <c r="PDS98" s="17"/>
      <c r="PDT98" s="17"/>
      <c r="PDU98" s="17"/>
      <c r="PDV98" s="17"/>
      <c r="PDW98" s="17"/>
      <c r="PDX98" s="17"/>
      <c r="PDY98" s="17"/>
      <c r="PDZ98" s="17"/>
      <c r="PEA98" s="17"/>
      <c r="PEB98" s="17"/>
      <c r="PEC98" s="17"/>
      <c r="PED98" s="17"/>
      <c r="PEE98" s="17"/>
      <c r="PEF98" s="17"/>
      <c r="PEG98" s="17"/>
      <c r="PEH98" s="17"/>
      <c r="PEI98" s="17"/>
      <c r="PEJ98" s="17"/>
      <c r="PEK98" s="17"/>
      <c r="PEL98" s="17"/>
      <c r="PEM98" s="17"/>
      <c r="PEN98" s="17"/>
      <c r="PEO98" s="17"/>
      <c r="PEP98" s="17"/>
      <c r="PEQ98" s="17"/>
      <c r="PER98" s="17"/>
      <c r="PES98" s="17"/>
      <c r="PET98" s="17"/>
      <c r="PEU98" s="17"/>
      <c r="PEV98" s="17"/>
      <c r="PEW98" s="17"/>
      <c r="PEX98" s="17"/>
      <c r="PEY98" s="17"/>
      <c r="PEZ98" s="17"/>
      <c r="PFA98" s="17"/>
      <c r="PFB98" s="17"/>
      <c r="PFC98" s="17"/>
      <c r="PFD98" s="17"/>
      <c r="PFE98" s="17"/>
      <c r="PFF98" s="17"/>
      <c r="PFG98" s="17"/>
      <c r="PFH98" s="17"/>
      <c r="PFI98" s="17"/>
      <c r="PFJ98" s="17"/>
      <c r="PFK98" s="17"/>
      <c r="PFL98" s="17"/>
      <c r="PFM98" s="17"/>
      <c r="PFN98" s="17"/>
      <c r="PFO98" s="17"/>
      <c r="PFP98" s="17"/>
      <c r="PFQ98" s="17"/>
      <c r="PFR98" s="17"/>
      <c r="PFS98" s="17"/>
      <c r="PFT98" s="17"/>
      <c r="PFU98" s="17"/>
      <c r="PFV98" s="17"/>
      <c r="PFW98" s="17"/>
      <c r="PFX98" s="17"/>
      <c r="PFY98" s="17"/>
      <c r="PFZ98" s="17"/>
      <c r="PGA98" s="17"/>
      <c r="PGB98" s="17"/>
      <c r="PGC98" s="17"/>
      <c r="PGD98" s="17"/>
      <c r="PGE98" s="17"/>
      <c r="PGF98" s="17"/>
      <c r="PGG98" s="17"/>
      <c r="PGH98" s="17"/>
      <c r="PGI98" s="17"/>
      <c r="PGJ98" s="17"/>
      <c r="PGK98" s="17"/>
      <c r="PGL98" s="17"/>
      <c r="PGM98" s="17"/>
      <c r="PGN98" s="17"/>
      <c r="PGO98" s="17"/>
      <c r="PGP98" s="17"/>
      <c r="PGQ98" s="17"/>
      <c r="PGR98" s="17"/>
      <c r="PGS98" s="17"/>
      <c r="PGT98" s="17"/>
      <c r="PGU98" s="17"/>
      <c r="PGV98" s="17"/>
      <c r="PGW98" s="17"/>
      <c r="PGX98" s="17"/>
      <c r="PGY98" s="17"/>
      <c r="PGZ98" s="17"/>
      <c r="PHA98" s="17"/>
      <c r="PHB98" s="17"/>
      <c r="PHC98" s="17"/>
      <c r="PHD98" s="17"/>
      <c r="PHE98" s="17"/>
      <c r="PHF98" s="17"/>
      <c r="PHG98" s="17"/>
      <c r="PHH98" s="17"/>
      <c r="PHI98" s="17"/>
      <c r="PHJ98" s="17"/>
      <c r="PHK98" s="17"/>
      <c r="PHL98" s="17"/>
      <c r="PHM98" s="17"/>
      <c r="PHN98" s="17"/>
      <c r="PHO98" s="17"/>
      <c r="PHP98" s="17"/>
      <c r="PHQ98" s="17"/>
      <c r="PHR98" s="17"/>
      <c r="PHS98" s="17"/>
      <c r="PHT98" s="17"/>
      <c r="PHU98" s="17"/>
      <c r="PHV98" s="17"/>
      <c r="PHW98" s="17"/>
      <c r="PHX98" s="17"/>
      <c r="PHY98" s="17"/>
      <c r="PHZ98" s="17"/>
      <c r="PIA98" s="17"/>
      <c r="PIB98" s="17"/>
      <c r="PIC98" s="17"/>
      <c r="PID98" s="17"/>
      <c r="PIE98" s="17"/>
      <c r="PIF98" s="17"/>
      <c r="PIG98" s="17"/>
      <c r="PIH98" s="17"/>
      <c r="PII98" s="17"/>
      <c r="PIJ98" s="17"/>
      <c r="PIK98" s="17"/>
      <c r="PIL98" s="17"/>
      <c r="PIM98" s="17"/>
      <c r="PIN98" s="17"/>
      <c r="PIO98" s="17"/>
      <c r="PIP98" s="17"/>
      <c r="PIQ98" s="17"/>
      <c r="PIR98" s="17"/>
      <c r="PIS98" s="17"/>
      <c r="PIT98" s="17"/>
      <c r="PIU98" s="17"/>
      <c r="PIV98" s="17"/>
      <c r="PIW98" s="17"/>
      <c r="PIX98" s="17"/>
      <c r="PIY98" s="17"/>
      <c r="PIZ98" s="17"/>
      <c r="PJA98" s="17"/>
      <c r="PJB98" s="17"/>
      <c r="PJC98" s="17"/>
      <c r="PJD98" s="17"/>
      <c r="PJE98" s="17"/>
      <c r="PJF98" s="17"/>
      <c r="PJG98" s="17"/>
      <c r="PJH98" s="17"/>
      <c r="PJI98" s="17"/>
      <c r="PJJ98" s="17"/>
      <c r="PJK98" s="17"/>
      <c r="PJL98" s="17"/>
      <c r="PJM98" s="17"/>
      <c r="PJN98" s="17"/>
      <c r="PJO98" s="17"/>
      <c r="PJP98" s="17"/>
      <c r="PJQ98" s="17"/>
      <c r="PJR98" s="17"/>
      <c r="PJS98" s="17"/>
      <c r="PJT98" s="17"/>
      <c r="PJU98" s="17"/>
      <c r="PJV98" s="17"/>
      <c r="PJW98" s="17"/>
      <c r="PJX98" s="17"/>
      <c r="PJY98" s="17"/>
      <c r="PJZ98" s="17"/>
      <c r="PKA98" s="17"/>
      <c r="PKB98" s="17"/>
      <c r="PKC98" s="17"/>
      <c r="PKD98" s="17"/>
      <c r="PKE98" s="17"/>
      <c r="PKF98" s="17"/>
      <c r="PKG98" s="17"/>
      <c r="PKH98" s="17"/>
      <c r="PKI98" s="17"/>
      <c r="PKJ98" s="17"/>
      <c r="PKK98" s="17"/>
      <c r="PKL98" s="17"/>
      <c r="PKM98" s="17"/>
      <c r="PKN98" s="17"/>
      <c r="PKO98" s="17"/>
      <c r="PKP98" s="17"/>
      <c r="PKQ98" s="17"/>
      <c r="PKR98" s="17"/>
      <c r="PKS98" s="17"/>
      <c r="PKT98" s="17"/>
      <c r="PKU98" s="17"/>
      <c r="PKV98" s="17"/>
      <c r="PKW98" s="17"/>
      <c r="PKX98" s="17"/>
      <c r="PKY98" s="17"/>
      <c r="PKZ98" s="17"/>
      <c r="PLA98" s="17"/>
      <c r="PLB98" s="17"/>
      <c r="PLC98" s="17"/>
      <c r="PLD98" s="17"/>
      <c r="PLE98" s="17"/>
      <c r="PLF98" s="17"/>
      <c r="PLG98" s="17"/>
      <c r="PLH98" s="17"/>
      <c r="PLI98" s="17"/>
      <c r="PLJ98" s="17"/>
      <c r="PLK98" s="17"/>
      <c r="PLL98" s="17"/>
      <c r="PLM98" s="17"/>
      <c r="PLN98" s="17"/>
      <c r="PLO98" s="17"/>
      <c r="PLP98" s="17"/>
      <c r="PLQ98" s="17"/>
      <c r="PLR98" s="17"/>
      <c r="PLS98" s="17"/>
      <c r="PLT98" s="17"/>
      <c r="PLU98" s="17"/>
      <c r="PLV98" s="17"/>
      <c r="PLW98" s="17"/>
      <c r="PLX98" s="17"/>
      <c r="PLY98" s="17"/>
      <c r="PLZ98" s="17"/>
      <c r="PMA98" s="17"/>
      <c r="PMB98" s="17"/>
      <c r="PMC98" s="17"/>
      <c r="PMD98" s="17"/>
      <c r="PME98" s="17"/>
      <c r="PMF98" s="17"/>
      <c r="PMG98" s="17"/>
      <c r="PMH98" s="17"/>
      <c r="PMI98" s="17"/>
      <c r="PMJ98" s="17"/>
      <c r="PMK98" s="17"/>
      <c r="PML98" s="17"/>
      <c r="PMM98" s="17"/>
      <c r="PMN98" s="17"/>
      <c r="PMO98" s="17"/>
      <c r="PMP98" s="17"/>
      <c r="PMQ98" s="17"/>
      <c r="PMR98" s="17"/>
      <c r="PMS98" s="17"/>
      <c r="PMT98" s="17"/>
      <c r="PMU98" s="17"/>
      <c r="PMV98" s="17"/>
      <c r="PMW98" s="17"/>
      <c r="PMX98" s="17"/>
      <c r="PMY98" s="17"/>
      <c r="PMZ98" s="17"/>
      <c r="PNA98" s="17"/>
      <c r="PNB98" s="17"/>
      <c r="PNC98" s="17"/>
      <c r="PND98" s="17"/>
      <c r="PNE98" s="17"/>
      <c r="PNF98" s="17"/>
      <c r="PNG98" s="17"/>
      <c r="PNH98" s="17"/>
      <c r="PNI98" s="17"/>
      <c r="PNJ98" s="17"/>
      <c r="PNK98" s="17"/>
      <c r="PNL98" s="17"/>
      <c r="PNM98" s="17"/>
      <c r="PNN98" s="17"/>
      <c r="PNO98" s="17"/>
      <c r="PNP98" s="17"/>
      <c r="PNQ98" s="17"/>
      <c r="PNR98" s="17"/>
      <c r="PNS98" s="17"/>
      <c r="PNT98" s="17"/>
      <c r="PNU98" s="17"/>
      <c r="PNV98" s="17"/>
      <c r="PNW98" s="17"/>
      <c r="PNX98" s="17"/>
      <c r="PNY98" s="17"/>
      <c r="PNZ98" s="17"/>
      <c r="POA98" s="17"/>
      <c r="POB98" s="17"/>
      <c r="POC98" s="17"/>
      <c r="POD98" s="17"/>
      <c r="POE98" s="17"/>
      <c r="POF98" s="17"/>
      <c r="POG98" s="17"/>
      <c r="POH98" s="17"/>
      <c r="POI98" s="17"/>
      <c r="POJ98" s="17"/>
      <c r="POK98" s="17"/>
      <c r="POL98" s="17"/>
      <c r="POM98" s="17"/>
      <c r="PON98" s="17"/>
      <c r="POO98" s="17"/>
      <c r="POP98" s="17"/>
      <c r="POQ98" s="17"/>
      <c r="POR98" s="17"/>
      <c r="POS98" s="17"/>
      <c r="POT98" s="17"/>
      <c r="POU98" s="17"/>
      <c r="POV98" s="17"/>
      <c r="POW98" s="17"/>
      <c r="POX98" s="17"/>
      <c r="POY98" s="17"/>
      <c r="POZ98" s="17"/>
      <c r="PPA98" s="17"/>
      <c r="PPB98" s="17"/>
      <c r="PPC98" s="17"/>
      <c r="PPD98" s="17"/>
      <c r="PPE98" s="17"/>
      <c r="PPF98" s="17"/>
      <c r="PPG98" s="17"/>
      <c r="PPH98" s="17"/>
      <c r="PPI98" s="17"/>
      <c r="PPJ98" s="17"/>
      <c r="PPK98" s="17"/>
      <c r="PPL98" s="17"/>
      <c r="PPM98" s="17"/>
      <c r="PPN98" s="17"/>
      <c r="PPO98" s="17"/>
      <c r="PPP98" s="17"/>
      <c r="PPQ98" s="17"/>
      <c r="PPR98" s="17"/>
      <c r="PPS98" s="17"/>
      <c r="PPT98" s="17"/>
      <c r="PPU98" s="17"/>
      <c r="PPV98" s="17"/>
      <c r="PPW98" s="17"/>
      <c r="PPX98" s="17"/>
      <c r="PPY98" s="17"/>
      <c r="PPZ98" s="17"/>
      <c r="PQA98" s="17"/>
      <c r="PQB98" s="17"/>
      <c r="PQC98" s="17"/>
      <c r="PQD98" s="17"/>
      <c r="PQE98" s="17"/>
      <c r="PQF98" s="17"/>
      <c r="PQG98" s="17"/>
      <c r="PQH98" s="17"/>
      <c r="PQI98" s="17"/>
      <c r="PQJ98" s="17"/>
      <c r="PQK98" s="17"/>
      <c r="PQL98" s="17"/>
      <c r="PQM98" s="17"/>
      <c r="PQN98" s="17"/>
      <c r="PQO98" s="17"/>
      <c r="PQP98" s="17"/>
      <c r="PQQ98" s="17"/>
      <c r="PQR98" s="17"/>
      <c r="PQS98" s="17"/>
      <c r="PQT98" s="17"/>
      <c r="PQU98" s="17"/>
      <c r="PQV98" s="17"/>
      <c r="PQW98" s="17"/>
      <c r="PQX98" s="17"/>
      <c r="PQY98" s="17"/>
      <c r="PQZ98" s="17"/>
      <c r="PRA98" s="17"/>
      <c r="PRB98" s="17"/>
      <c r="PRC98" s="17"/>
      <c r="PRD98" s="17"/>
      <c r="PRE98" s="17"/>
      <c r="PRF98" s="17"/>
      <c r="PRG98" s="17"/>
      <c r="PRH98" s="17"/>
      <c r="PRI98" s="17"/>
      <c r="PRJ98" s="17"/>
      <c r="PRK98" s="17"/>
      <c r="PRL98" s="17"/>
      <c r="PRM98" s="17"/>
      <c r="PRN98" s="17"/>
      <c r="PRO98" s="17"/>
      <c r="PRP98" s="17"/>
      <c r="PRQ98" s="17"/>
      <c r="PRR98" s="17"/>
      <c r="PRS98" s="17"/>
      <c r="PRT98" s="17"/>
      <c r="PRU98" s="17"/>
      <c r="PRV98" s="17"/>
      <c r="PRW98" s="17"/>
      <c r="PRX98" s="17"/>
      <c r="PRY98" s="17"/>
      <c r="PRZ98" s="17"/>
      <c r="PSA98" s="17"/>
      <c r="PSB98" s="17"/>
      <c r="PSC98" s="17"/>
      <c r="PSD98" s="17"/>
      <c r="PSE98" s="17"/>
      <c r="PSF98" s="17"/>
      <c r="PSG98" s="17"/>
      <c r="PSH98" s="17"/>
      <c r="PSI98" s="17"/>
      <c r="PSJ98" s="17"/>
      <c r="PSK98" s="17"/>
      <c r="PSL98" s="17"/>
      <c r="PSM98" s="17"/>
      <c r="PSN98" s="17"/>
      <c r="PSO98" s="17"/>
      <c r="PSP98" s="17"/>
      <c r="PSQ98" s="17"/>
      <c r="PSR98" s="17"/>
      <c r="PSS98" s="17"/>
      <c r="PST98" s="17"/>
      <c r="PSU98" s="17"/>
      <c r="PSV98" s="17"/>
      <c r="PSW98" s="17"/>
      <c r="PSX98" s="17"/>
      <c r="PSY98" s="17"/>
      <c r="PSZ98" s="17"/>
      <c r="PTA98" s="17"/>
      <c r="PTB98" s="17"/>
      <c r="PTC98" s="17"/>
      <c r="PTD98" s="17"/>
      <c r="PTE98" s="17"/>
      <c r="PTF98" s="17"/>
      <c r="PTG98" s="17"/>
      <c r="PTH98" s="17"/>
      <c r="PTI98" s="17"/>
      <c r="PTJ98" s="17"/>
      <c r="PTK98" s="17"/>
      <c r="PTL98" s="17"/>
      <c r="PTM98" s="17"/>
      <c r="PTN98" s="17"/>
      <c r="PTO98" s="17"/>
      <c r="PTP98" s="17"/>
      <c r="PTQ98" s="17"/>
      <c r="PTR98" s="17"/>
      <c r="PTS98" s="17"/>
      <c r="PTT98" s="17"/>
      <c r="PTU98" s="17"/>
      <c r="PTV98" s="17"/>
      <c r="PTW98" s="17"/>
      <c r="PTX98" s="17"/>
      <c r="PTY98" s="17"/>
      <c r="PTZ98" s="17"/>
      <c r="PUA98" s="17"/>
      <c r="PUB98" s="17"/>
      <c r="PUC98" s="17"/>
      <c r="PUD98" s="17"/>
      <c r="PUE98" s="17"/>
      <c r="PUF98" s="17"/>
      <c r="PUG98" s="17"/>
      <c r="PUH98" s="17"/>
      <c r="PUI98" s="17"/>
      <c r="PUJ98" s="17"/>
      <c r="PUK98" s="17"/>
      <c r="PUL98" s="17"/>
      <c r="PUM98" s="17"/>
      <c r="PUN98" s="17"/>
      <c r="PUO98" s="17"/>
      <c r="PUP98" s="17"/>
      <c r="PUQ98" s="17"/>
      <c r="PUR98" s="17"/>
      <c r="PUS98" s="17"/>
      <c r="PUT98" s="17"/>
      <c r="PUU98" s="17"/>
      <c r="PUV98" s="17"/>
      <c r="PUW98" s="17"/>
      <c r="PUX98" s="17"/>
      <c r="PUY98" s="17"/>
      <c r="PUZ98" s="17"/>
      <c r="PVA98" s="17"/>
      <c r="PVB98" s="17"/>
      <c r="PVC98" s="17"/>
      <c r="PVD98" s="17"/>
      <c r="PVE98" s="17"/>
      <c r="PVF98" s="17"/>
      <c r="PVG98" s="17"/>
      <c r="PVH98" s="17"/>
      <c r="PVI98" s="17"/>
      <c r="PVJ98" s="17"/>
      <c r="PVK98" s="17"/>
      <c r="PVL98" s="17"/>
      <c r="PVM98" s="17"/>
      <c r="PVN98" s="17"/>
      <c r="PVO98" s="17"/>
      <c r="PVP98" s="17"/>
      <c r="PVQ98" s="17"/>
      <c r="PVR98" s="17"/>
      <c r="PVS98" s="17"/>
      <c r="PVT98" s="17"/>
      <c r="PVU98" s="17"/>
      <c r="PVV98" s="17"/>
      <c r="PVW98" s="17"/>
      <c r="PVX98" s="17"/>
      <c r="PVY98" s="17"/>
      <c r="PVZ98" s="17"/>
      <c r="PWA98" s="17"/>
      <c r="PWB98" s="17"/>
      <c r="PWC98" s="17"/>
      <c r="PWD98" s="17"/>
      <c r="PWE98" s="17"/>
      <c r="PWF98" s="17"/>
      <c r="PWG98" s="17"/>
      <c r="PWH98" s="17"/>
      <c r="PWI98" s="17"/>
      <c r="PWJ98" s="17"/>
      <c r="PWK98" s="17"/>
      <c r="PWL98" s="17"/>
      <c r="PWM98" s="17"/>
      <c r="PWN98" s="17"/>
      <c r="PWO98" s="17"/>
      <c r="PWP98" s="17"/>
      <c r="PWQ98" s="17"/>
      <c r="PWR98" s="17"/>
      <c r="PWS98" s="17"/>
      <c r="PWT98" s="17"/>
      <c r="PWU98" s="17"/>
      <c r="PWV98" s="17"/>
      <c r="PWW98" s="17"/>
      <c r="PWX98" s="17"/>
      <c r="PWY98" s="17"/>
      <c r="PWZ98" s="17"/>
      <c r="PXA98" s="17"/>
      <c r="PXB98" s="17"/>
      <c r="PXC98" s="17"/>
      <c r="PXD98" s="17"/>
      <c r="PXE98" s="17"/>
      <c r="PXF98" s="17"/>
      <c r="PXG98" s="17"/>
      <c r="PXH98" s="17"/>
      <c r="PXI98" s="17"/>
      <c r="PXJ98" s="17"/>
      <c r="PXK98" s="17"/>
      <c r="PXL98" s="17"/>
      <c r="PXM98" s="17"/>
      <c r="PXN98" s="17"/>
      <c r="PXO98" s="17"/>
      <c r="PXP98" s="17"/>
      <c r="PXQ98" s="17"/>
      <c r="PXR98" s="17"/>
      <c r="PXS98" s="17"/>
      <c r="PXT98" s="17"/>
      <c r="PXU98" s="17"/>
      <c r="PXV98" s="17"/>
      <c r="PXW98" s="17"/>
      <c r="PXX98" s="17"/>
      <c r="PXY98" s="17"/>
      <c r="PXZ98" s="17"/>
      <c r="PYA98" s="17"/>
      <c r="PYB98" s="17"/>
      <c r="PYC98" s="17"/>
      <c r="PYD98" s="17"/>
      <c r="PYE98" s="17"/>
      <c r="PYF98" s="17"/>
      <c r="PYG98" s="17"/>
      <c r="PYH98" s="17"/>
      <c r="PYI98" s="17"/>
      <c r="PYJ98" s="17"/>
      <c r="PYK98" s="17"/>
      <c r="PYL98" s="17"/>
      <c r="PYM98" s="17"/>
      <c r="PYN98" s="17"/>
      <c r="PYO98" s="17"/>
      <c r="PYP98" s="17"/>
      <c r="PYQ98" s="17"/>
      <c r="PYR98" s="17"/>
      <c r="PYS98" s="17"/>
      <c r="PYT98" s="17"/>
      <c r="PYU98" s="17"/>
      <c r="PYV98" s="17"/>
      <c r="PYW98" s="17"/>
      <c r="PYX98" s="17"/>
      <c r="PYY98" s="17"/>
      <c r="PYZ98" s="17"/>
      <c r="PZA98" s="17"/>
      <c r="PZB98" s="17"/>
      <c r="PZC98" s="17"/>
      <c r="PZD98" s="17"/>
      <c r="PZE98" s="17"/>
      <c r="PZF98" s="17"/>
      <c r="PZG98" s="17"/>
      <c r="PZH98" s="17"/>
      <c r="PZI98" s="17"/>
      <c r="PZJ98" s="17"/>
      <c r="PZK98" s="17"/>
      <c r="PZL98" s="17"/>
      <c r="PZM98" s="17"/>
      <c r="PZN98" s="17"/>
      <c r="PZO98" s="17"/>
      <c r="PZP98" s="17"/>
      <c r="PZQ98" s="17"/>
      <c r="PZR98" s="17"/>
      <c r="PZS98" s="17"/>
      <c r="PZT98" s="17"/>
      <c r="PZU98" s="17"/>
      <c r="PZV98" s="17"/>
      <c r="PZW98" s="17"/>
      <c r="PZX98" s="17"/>
      <c r="PZY98" s="17"/>
      <c r="PZZ98" s="17"/>
      <c r="QAA98" s="17"/>
      <c r="QAB98" s="17"/>
      <c r="QAC98" s="17"/>
      <c r="QAD98" s="17"/>
      <c r="QAE98" s="17"/>
      <c r="QAF98" s="17"/>
      <c r="QAG98" s="17"/>
      <c r="QAH98" s="17"/>
      <c r="QAI98" s="17"/>
      <c r="QAJ98" s="17"/>
      <c r="QAK98" s="17"/>
      <c r="QAL98" s="17"/>
      <c r="QAM98" s="17"/>
      <c r="QAN98" s="17"/>
      <c r="QAO98" s="17"/>
      <c r="QAP98" s="17"/>
      <c r="QAQ98" s="17"/>
      <c r="QAR98" s="17"/>
      <c r="QAS98" s="17"/>
      <c r="QAT98" s="17"/>
      <c r="QAU98" s="17"/>
      <c r="QAV98" s="17"/>
      <c r="QAW98" s="17"/>
      <c r="QAX98" s="17"/>
      <c r="QAY98" s="17"/>
      <c r="QAZ98" s="17"/>
      <c r="QBA98" s="17"/>
      <c r="QBB98" s="17"/>
      <c r="QBC98" s="17"/>
      <c r="QBD98" s="17"/>
      <c r="QBE98" s="17"/>
      <c r="QBF98" s="17"/>
      <c r="QBG98" s="17"/>
      <c r="QBH98" s="17"/>
      <c r="QBI98" s="17"/>
      <c r="QBJ98" s="17"/>
      <c r="QBK98" s="17"/>
      <c r="QBL98" s="17"/>
      <c r="QBM98" s="17"/>
      <c r="QBN98" s="17"/>
      <c r="QBO98" s="17"/>
      <c r="QBP98" s="17"/>
      <c r="QBQ98" s="17"/>
      <c r="QBR98" s="17"/>
      <c r="QBS98" s="17"/>
      <c r="QBT98" s="17"/>
      <c r="QBU98" s="17"/>
      <c r="QBV98" s="17"/>
      <c r="QBW98" s="17"/>
      <c r="QBX98" s="17"/>
      <c r="QBY98" s="17"/>
      <c r="QBZ98" s="17"/>
      <c r="QCA98" s="17"/>
      <c r="QCB98" s="17"/>
      <c r="QCC98" s="17"/>
      <c r="QCD98" s="17"/>
      <c r="QCE98" s="17"/>
      <c r="QCF98" s="17"/>
      <c r="QCG98" s="17"/>
      <c r="QCH98" s="17"/>
      <c r="QCI98" s="17"/>
      <c r="QCJ98" s="17"/>
      <c r="QCK98" s="17"/>
      <c r="QCL98" s="17"/>
      <c r="QCM98" s="17"/>
      <c r="QCN98" s="17"/>
      <c r="QCO98" s="17"/>
      <c r="QCP98" s="17"/>
      <c r="QCQ98" s="17"/>
      <c r="QCR98" s="17"/>
      <c r="QCS98" s="17"/>
      <c r="QCT98" s="17"/>
      <c r="QCU98" s="17"/>
      <c r="QCV98" s="17"/>
      <c r="QCW98" s="17"/>
      <c r="QCX98" s="17"/>
      <c r="QCY98" s="17"/>
      <c r="QCZ98" s="17"/>
      <c r="QDA98" s="17"/>
      <c r="QDB98" s="17"/>
      <c r="QDC98" s="17"/>
      <c r="QDD98" s="17"/>
      <c r="QDE98" s="17"/>
      <c r="QDF98" s="17"/>
      <c r="QDG98" s="17"/>
      <c r="QDH98" s="17"/>
      <c r="QDI98" s="17"/>
      <c r="QDJ98" s="17"/>
      <c r="QDK98" s="17"/>
      <c r="QDL98" s="17"/>
      <c r="QDM98" s="17"/>
      <c r="QDN98" s="17"/>
      <c r="QDO98" s="17"/>
      <c r="QDP98" s="17"/>
      <c r="QDQ98" s="17"/>
      <c r="QDR98" s="17"/>
      <c r="QDS98" s="17"/>
      <c r="QDT98" s="17"/>
      <c r="QDU98" s="17"/>
      <c r="QDV98" s="17"/>
      <c r="QDW98" s="17"/>
      <c r="QDX98" s="17"/>
      <c r="QDY98" s="17"/>
      <c r="QDZ98" s="17"/>
      <c r="QEA98" s="17"/>
      <c r="QEB98" s="17"/>
      <c r="QEC98" s="17"/>
      <c r="QED98" s="17"/>
      <c r="QEE98" s="17"/>
      <c r="QEF98" s="17"/>
      <c r="QEG98" s="17"/>
      <c r="QEH98" s="17"/>
      <c r="QEI98" s="17"/>
      <c r="QEJ98" s="17"/>
      <c r="QEK98" s="17"/>
      <c r="QEL98" s="17"/>
      <c r="QEM98" s="17"/>
      <c r="QEN98" s="17"/>
      <c r="QEO98" s="17"/>
      <c r="QEP98" s="17"/>
      <c r="QEQ98" s="17"/>
      <c r="QER98" s="17"/>
      <c r="QES98" s="17"/>
      <c r="QET98" s="17"/>
      <c r="QEU98" s="17"/>
      <c r="QEV98" s="17"/>
      <c r="QEW98" s="17"/>
      <c r="QEX98" s="17"/>
      <c r="QEY98" s="17"/>
      <c r="QEZ98" s="17"/>
      <c r="QFA98" s="17"/>
      <c r="QFB98" s="17"/>
      <c r="QFC98" s="17"/>
      <c r="QFD98" s="17"/>
      <c r="QFE98" s="17"/>
      <c r="QFF98" s="17"/>
      <c r="QFG98" s="17"/>
      <c r="QFH98" s="17"/>
      <c r="QFI98" s="17"/>
      <c r="QFJ98" s="17"/>
      <c r="QFK98" s="17"/>
      <c r="QFL98" s="17"/>
      <c r="QFM98" s="17"/>
      <c r="QFN98" s="17"/>
      <c r="QFO98" s="17"/>
      <c r="QFP98" s="17"/>
      <c r="QFQ98" s="17"/>
      <c r="QFR98" s="17"/>
      <c r="QFS98" s="17"/>
      <c r="QFT98" s="17"/>
      <c r="QFU98" s="17"/>
      <c r="QFV98" s="17"/>
      <c r="QFW98" s="17"/>
      <c r="QFX98" s="17"/>
      <c r="QFY98" s="17"/>
      <c r="QFZ98" s="17"/>
      <c r="QGA98" s="17"/>
      <c r="QGB98" s="17"/>
      <c r="QGC98" s="17"/>
      <c r="QGD98" s="17"/>
      <c r="QGE98" s="17"/>
      <c r="QGF98" s="17"/>
      <c r="QGG98" s="17"/>
      <c r="QGH98" s="17"/>
      <c r="QGI98" s="17"/>
      <c r="QGJ98" s="17"/>
      <c r="QGK98" s="17"/>
      <c r="QGL98" s="17"/>
      <c r="QGM98" s="17"/>
      <c r="QGN98" s="17"/>
      <c r="QGO98" s="17"/>
      <c r="QGP98" s="17"/>
      <c r="QGQ98" s="17"/>
      <c r="QGR98" s="17"/>
      <c r="QGS98" s="17"/>
      <c r="QGT98" s="17"/>
      <c r="QGU98" s="17"/>
      <c r="QGV98" s="17"/>
      <c r="QGW98" s="17"/>
      <c r="QGX98" s="17"/>
      <c r="QGY98" s="17"/>
      <c r="QGZ98" s="17"/>
      <c r="QHA98" s="17"/>
      <c r="QHB98" s="17"/>
      <c r="QHC98" s="17"/>
      <c r="QHD98" s="17"/>
      <c r="QHE98" s="17"/>
      <c r="QHF98" s="17"/>
      <c r="QHG98" s="17"/>
      <c r="QHH98" s="17"/>
      <c r="QHI98" s="17"/>
      <c r="QHJ98" s="17"/>
      <c r="QHK98" s="17"/>
      <c r="QHL98" s="17"/>
      <c r="QHM98" s="17"/>
      <c r="QHN98" s="17"/>
      <c r="QHO98" s="17"/>
      <c r="QHP98" s="17"/>
      <c r="QHQ98" s="17"/>
      <c r="QHR98" s="17"/>
      <c r="QHS98" s="17"/>
      <c r="QHT98" s="17"/>
      <c r="QHU98" s="17"/>
      <c r="QHV98" s="17"/>
      <c r="QHW98" s="17"/>
      <c r="QHX98" s="17"/>
      <c r="QHY98" s="17"/>
      <c r="QHZ98" s="17"/>
      <c r="QIA98" s="17"/>
      <c r="QIB98" s="17"/>
      <c r="QIC98" s="17"/>
      <c r="QID98" s="17"/>
      <c r="QIE98" s="17"/>
      <c r="QIF98" s="17"/>
      <c r="QIG98" s="17"/>
      <c r="QIH98" s="17"/>
      <c r="QII98" s="17"/>
      <c r="QIJ98" s="17"/>
      <c r="QIK98" s="17"/>
      <c r="QIL98" s="17"/>
      <c r="QIM98" s="17"/>
      <c r="QIN98" s="17"/>
      <c r="QIO98" s="17"/>
      <c r="QIP98" s="17"/>
      <c r="QIQ98" s="17"/>
      <c r="QIR98" s="17"/>
      <c r="QIS98" s="17"/>
      <c r="QIT98" s="17"/>
      <c r="QIU98" s="17"/>
      <c r="QIV98" s="17"/>
      <c r="QIW98" s="17"/>
      <c r="QIX98" s="17"/>
      <c r="QIY98" s="17"/>
      <c r="QIZ98" s="17"/>
      <c r="QJA98" s="17"/>
      <c r="QJB98" s="17"/>
      <c r="QJC98" s="17"/>
      <c r="QJD98" s="17"/>
      <c r="QJE98" s="17"/>
      <c r="QJF98" s="17"/>
      <c r="QJG98" s="17"/>
      <c r="QJH98" s="17"/>
      <c r="QJI98" s="17"/>
      <c r="QJJ98" s="17"/>
      <c r="QJK98" s="17"/>
      <c r="QJL98" s="17"/>
      <c r="QJM98" s="17"/>
      <c r="QJN98" s="17"/>
      <c r="QJO98" s="17"/>
      <c r="QJP98" s="17"/>
      <c r="QJQ98" s="17"/>
      <c r="QJR98" s="17"/>
      <c r="QJS98" s="17"/>
      <c r="QJT98" s="17"/>
      <c r="QJU98" s="17"/>
      <c r="QJV98" s="17"/>
      <c r="QJW98" s="17"/>
      <c r="QJX98" s="17"/>
      <c r="QJY98" s="17"/>
      <c r="QJZ98" s="17"/>
      <c r="QKA98" s="17"/>
      <c r="QKB98" s="17"/>
      <c r="QKC98" s="17"/>
      <c r="QKD98" s="17"/>
      <c r="QKE98" s="17"/>
      <c r="QKF98" s="17"/>
      <c r="QKG98" s="17"/>
      <c r="QKH98" s="17"/>
      <c r="QKI98" s="17"/>
      <c r="QKJ98" s="17"/>
      <c r="QKK98" s="17"/>
      <c r="QKL98" s="17"/>
      <c r="QKM98" s="17"/>
      <c r="QKN98" s="17"/>
      <c r="QKO98" s="17"/>
      <c r="QKP98" s="17"/>
      <c r="QKQ98" s="17"/>
      <c r="QKR98" s="17"/>
      <c r="QKS98" s="17"/>
      <c r="QKT98" s="17"/>
      <c r="QKU98" s="17"/>
      <c r="QKV98" s="17"/>
      <c r="QKW98" s="17"/>
      <c r="QKX98" s="17"/>
      <c r="QKY98" s="17"/>
      <c r="QKZ98" s="17"/>
      <c r="QLA98" s="17"/>
      <c r="QLB98" s="17"/>
      <c r="QLC98" s="17"/>
      <c r="QLD98" s="17"/>
      <c r="QLE98" s="17"/>
      <c r="QLF98" s="17"/>
      <c r="QLG98" s="17"/>
      <c r="QLH98" s="17"/>
      <c r="QLI98" s="17"/>
      <c r="QLJ98" s="17"/>
      <c r="QLK98" s="17"/>
      <c r="QLL98" s="17"/>
      <c r="QLM98" s="17"/>
      <c r="QLN98" s="17"/>
      <c r="QLO98" s="17"/>
      <c r="QLP98" s="17"/>
      <c r="QLQ98" s="17"/>
      <c r="QLR98" s="17"/>
      <c r="QLS98" s="17"/>
      <c r="QLT98" s="17"/>
      <c r="QLU98" s="17"/>
      <c r="QLV98" s="17"/>
      <c r="QLW98" s="17"/>
      <c r="QLX98" s="17"/>
      <c r="QLY98" s="17"/>
      <c r="QLZ98" s="17"/>
      <c r="QMA98" s="17"/>
      <c r="QMB98" s="17"/>
      <c r="QMC98" s="17"/>
      <c r="QMD98" s="17"/>
      <c r="QME98" s="17"/>
      <c r="QMF98" s="17"/>
      <c r="QMG98" s="17"/>
      <c r="QMH98" s="17"/>
      <c r="QMI98" s="17"/>
      <c r="QMJ98" s="17"/>
      <c r="QMK98" s="17"/>
      <c r="QML98" s="17"/>
      <c r="QMM98" s="17"/>
      <c r="QMN98" s="17"/>
      <c r="QMO98" s="17"/>
      <c r="QMP98" s="17"/>
      <c r="QMQ98" s="17"/>
      <c r="QMR98" s="17"/>
      <c r="QMS98" s="17"/>
      <c r="QMT98" s="17"/>
      <c r="QMU98" s="17"/>
      <c r="QMV98" s="17"/>
      <c r="QMW98" s="17"/>
      <c r="QMX98" s="17"/>
      <c r="QMY98" s="17"/>
      <c r="QMZ98" s="17"/>
      <c r="QNA98" s="17"/>
      <c r="QNB98" s="17"/>
      <c r="QNC98" s="17"/>
      <c r="QND98" s="17"/>
      <c r="QNE98" s="17"/>
      <c r="QNF98" s="17"/>
      <c r="QNG98" s="17"/>
      <c r="QNH98" s="17"/>
      <c r="QNI98" s="17"/>
      <c r="QNJ98" s="17"/>
      <c r="QNK98" s="17"/>
      <c r="QNL98" s="17"/>
      <c r="QNM98" s="17"/>
      <c r="QNN98" s="17"/>
      <c r="QNO98" s="17"/>
      <c r="QNP98" s="17"/>
      <c r="QNQ98" s="17"/>
      <c r="QNR98" s="17"/>
      <c r="QNS98" s="17"/>
      <c r="QNT98" s="17"/>
      <c r="QNU98" s="17"/>
      <c r="QNV98" s="17"/>
      <c r="QNW98" s="17"/>
      <c r="QNX98" s="17"/>
      <c r="QNY98" s="17"/>
      <c r="QNZ98" s="17"/>
      <c r="QOA98" s="17"/>
      <c r="QOB98" s="17"/>
      <c r="QOC98" s="17"/>
      <c r="QOD98" s="17"/>
      <c r="QOE98" s="17"/>
      <c r="QOF98" s="17"/>
      <c r="QOG98" s="17"/>
      <c r="QOH98" s="17"/>
      <c r="QOI98" s="17"/>
      <c r="QOJ98" s="17"/>
      <c r="QOK98" s="17"/>
      <c r="QOL98" s="17"/>
      <c r="QOM98" s="17"/>
      <c r="QON98" s="17"/>
      <c r="QOO98" s="17"/>
      <c r="QOP98" s="17"/>
      <c r="QOQ98" s="17"/>
      <c r="QOR98" s="17"/>
      <c r="QOS98" s="17"/>
      <c r="QOT98" s="17"/>
      <c r="QOU98" s="17"/>
      <c r="QOV98" s="17"/>
      <c r="QOW98" s="17"/>
      <c r="QOX98" s="17"/>
      <c r="QOY98" s="17"/>
      <c r="QOZ98" s="17"/>
      <c r="QPA98" s="17"/>
      <c r="QPB98" s="17"/>
      <c r="QPC98" s="17"/>
      <c r="QPD98" s="17"/>
      <c r="QPE98" s="17"/>
      <c r="QPF98" s="17"/>
      <c r="QPG98" s="17"/>
      <c r="QPH98" s="17"/>
      <c r="QPI98" s="17"/>
      <c r="QPJ98" s="17"/>
      <c r="QPK98" s="17"/>
      <c r="QPL98" s="17"/>
      <c r="QPM98" s="17"/>
      <c r="QPN98" s="17"/>
      <c r="QPO98" s="17"/>
      <c r="QPP98" s="17"/>
      <c r="QPQ98" s="17"/>
      <c r="QPR98" s="17"/>
      <c r="QPS98" s="17"/>
      <c r="QPT98" s="17"/>
      <c r="QPU98" s="17"/>
      <c r="QPV98" s="17"/>
      <c r="QPW98" s="17"/>
      <c r="QPX98" s="17"/>
      <c r="QPY98" s="17"/>
      <c r="QPZ98" s="17"/>
      <c r="QQA98" s="17"/>
      <c r="QQB98" s="17"/>
      <c r="QQC98" s="17"/>
      <c r="QQD98" s="17"/>
      <c r="QQE98" s="17"/>
      <c r="QQF98" s="17"/>
      <c r="QQG98" s="17"/>
      <c r="QQH98" s="17"/>
      <c r="QQI98" s="17"/>
      <c r="QQJ98" s="17"/>
      <c r="QQK98" s="17"/>
      <c r="QQL98" s="17"/>
      <c r="QQM98" s="17"/>
      <c r="QQN98" s="17"/>
      <c r="QQO98" s="17"/>
      <c r="QQP98" s="17"/>
      <c r="QQQ98" s="17"/>
      <c r="QQR98" s="17"/>
      <c r="QQS98" s="17"/>
      <c r="QQT98" s="17"/>
      <c r="QQU98" s="17"/>
      <c r="QQV98" s="17"/>
      <c r="QQW98" s="17"/>
      <c r="QQX98" s="17"/>
      <c r="QQY98" s="17"/>
      <c r="QQZ98" s="17"/>
      <c r="QRA98" s="17"/>
      <c r="QRB98" s="17"/>
      <c r="QRC98" s="17"/>
      <c r="QRD98" s="17"/>
      <c r="QRE98" s="17"/>
      <c r="QRF98" s="17"/>
      <c r="QRG98" s="17"/>
      <c r="QRH98" s="17"/>
      <c r="QRI98" s="17"/>
      <c r="QRJ98" s="17"/>
      <c r="QRK98" s="17"/>
      <c r="QRL98" s="17"/>
      <c r="QRM98" s="17"/>
      <c r="QRN98" s="17"/>
      <c r="QRO98" s="17"/>
      <c r="QRP98" s="17"/>
      <c r="QRQ98" s="17"/>
      <c r="QRR98" s="17"/>
      <c r="QRS98" s="17"/>
      <c r="QRT98" s="17"/>
      <c r="QRU98" s="17"/>
      <c r="QRV98" s="17"/>
      <c r="QRW98" s="17"/>
      <c r="QRX98" s="17"/>
      <c r="QRY98" s="17"/>
      <c r="QRZ98" s="17"/>
      <c r="QSA98" s="17"/>
      <c r="QSB98" s="17"/>
      <c r="QSC98" s="17"/>
      <c r="QSD98" s="17"/>
      <c r="QSE98" s="17"/>
      <c r="QSF98" s="17"/>
      <c r="QSG98" s="17"/>
      <c r="QSH98" s="17"/>
      <c r="QSI98" s="17"/>
      <c r="QSJ98" s="17"/>
      <c r="QSK98" s="17"/>
      <c r="QSL98" s="17"/>
      <c r="QSM98" s="17"/>
      <c r="QSN98" s="17"/>
      <c r="QSO98" s="17"/>
      <c r="QSP98" s="17"/>
      <c r="QSQ98" s="17"/>
      <c r="QSR98" s="17"/>
      <c r="QSS98" s="17"/>
      <c r="QST98" s="17"/>
      <c r="QSU98" s="17"/>
      <c r="QSV98" s="17"/>
      <c r="QSW98" s="17"/>
      <c r="QSX98" s="17"/>
      <c r="QSY98" s="17"/>
      <c r="QSZ98" s="17"/>
      <c r="QTA98" s="17"/>
      <c r="QTB98" s="17"/>
      <c r="QTC98" s="17"/>
      <c r="QTD98" s="17"/>
      <c r="QTE98" s="17"/>
      <c r="QTF98" s="17"/>
      <c r="QTG98" s="17"/>
      <c r="QTH98" s="17"/>
      <c r="QTI98" s="17"/>
      <c r="QTJ98" s="17"/>
      <c r="QTK98" s="17"/>
      <c r="QTL98" s="17"/>
      <c r="QTM98" s="17"/>
      <c r="QTN98" s="17"/>
      <c r="QTO98" s="17"/>
      <c r="QTP98" s="17"/>
      <c r="QTQ98" s="17"/>
      <c r="QTR98" s="17"/>
      <c r="QTS98" s="17"/>
      <c r="QTT98" s="17"/>
      <c r="QTU98" s="17"/>
      <c r="QTV98" s="17"/>
      <c r="QTW98" s="17"/>
      <c r="QTX98" s="17"/>
      <c r="QTY98" s="17"/>
      <c r="QTZ98" s="17"/>
      <c r="QUA98" s="17"/>
      <c r="QUB98" s="17"/>
      <c r="QUC98" s="17"/>
      <c r="QUD98" s="17"/>
      <c r="QUE98" s="17"/>
      <c r="QUF98" s="17"/>
      <c r="QUG98" s="17"/>
      <c r="QUH98" s="17"/>
      <c r="QUI98" s="17"/>
      <c r="QUJ98" s="17"/>
      <c r="QUK98" s="17"/>
      <c r="QUL98" s="17"/>
      <c r="QUM98" s="17"/>
      <c r="QUN98" s="17"/>
      <c r="QUO98" s="17"/>
      <c r="QUP98" s="17"/>
      <c r="QUQ98" s="17"/>
      <c r="QUR98" s="17"/>
      <c r="QUS98" s="17"/>
      <c r="QUT98" s="17"/>
      <c r="QUU98" s="17"/>
      <c r="QUV98" s="17"/>
      <c r="QUW98" s="17"/>
      <c r="QUX98" s="17"/>
      <c r="QUY98" s="17"/>
      <c r="QUZ98" s="17"/>
      <c r="QVA98" s="17"/>
      <c r="QVB98" s="17"/>
      <c r="QVC98" s="17"/>
      <c r="QVD98" s="17"/>
      <c r="QVE98" s="17"/>
      <c r="QVF98" s="17"/>
      <c r="QVG98" s="17"/>
      <c r="QVH98" s="17"/>
      <c r="QVI98" s="17"/>
      <c r="QVJ98" s="17"/>
      <c r="QVK98" s="17"/>
      <c r="QVL98" s="17"/>
      <c r="QVM98" s="17"/>
      <c r="QVN98" s="17"/>
      <c r="QVO98" s="17"/>
      <c r="QVP98" s="17"/>
      <c r="QVQ98" s="17"/>
      <c r="QVR98" s="17"/>
      <c r="QVS98" s="17"/>
      <c r="QVT98" s="17"/>
      <c r="QVU98" s="17"/>
      <c r="QVV98" s="17"/>
      <c r="QVW98" s="17"/>
      <c r="QVX98" s="17"/>
      <c r="QVY98" s="17"/>
      <c r="QVZ98" s="17"/>
      <c r="QWA98" s="17"/>
      <c r="QWB98" s="17"/>
      <c r="QWC98" s="17"/>
      <c r="QWD98" s="17"/>
      <c r="QWE98" s="17"/>
      <c r="QWF98" s="17"/>
      <c r="QWG98" s="17"/>
      <c r="QWH98" s="17"/>
      <c r="QWI98" s="17"/>
      <c r="QWJ98" s="17"/>
      <c r="QWK98" s="17"/>
      <c r="QWL98" s="17"/>
      <c r="QWM98" s="17"/>
      <c r="QWN98" s="17"/>
      <c r="QWO98" s="17"/>
      <c r="QWP98" s="17"/>
      <c r="QWQ98" s="17"/>
      <c r="QWR98" s="17"/>
      <c r="QWS98" s="17"/>
      <c r="QWT98" s="17"/>
      <c r="QWU98" s="17"/>
      <c r="QWV98" s="17"/>
      <c r="QWW98" s="17"/>
      <c r="QWX98" s="17"/>
      <c r="QWY98" s="17"/>
      <c r="QWZ98" s="17"/>
      <c r="QXA98" s="17"/>
      <c r="QXB98" s="17"/>
      <c r="QXC98" s="17"/>
      <c r="QXD98" s="17"/>
      <c r="QXE98" s="17"/>
      <c r="QXF98" s="17"/>
      <c r="QXG98" s="17"/>
      <c r="QXH98" s="17"/>
      <c r="QXI98" s="17"/>
      <c r="QXJ98" s="17"/>
      <c r="QXK98" s="17"/>
      <c r="QXL98" s="17"/>
      <c r="QXM98" s="17"/>
      <c r="QXN98" s="17"/>
      <c r="QXO98" s="17"/>
      <c r="QXP98" s="17"/>
      <c r="QXQ98" s="17"/>
      <c r="QXR98" s="17"/>
      <c r="QXS98" s="17"/>
      <c r="QXT98" s="17"/>
      <c r="QXU98" s="17"/>
      <c r="QXV98" s="17"/>
      <c r="QXW98" s="17"/>
      <c r="QXX98" s="17"/>
      <c r="QXY98" s="17"/>
      <c r="QXZ98" s="17"/>
      <c r="QYA98" s="17"/>
      <c r="QYB98" s="17"/>
      <c r="QYC98" s="17"/>
      <c r="QYD98" s="17"/>
      <c r="QYE98" s="17"/>
      <c r="QYF98" s="17"/>
      <c r="QYG98" s="17"/>
      <c r="QYH98" s="17"/>
      <c r="QYI98" s="17"/>
      <c r="QYJ98" s="17"/>
      <c r="QYK98" s="17"/>
      <c r="QYL98" s="17"/>
      <c r="QYM98" s="17"/>
      <c r="QYN98" s="17"/>
      <c r="QYO98" s="17"/>
      <c r="QYP98" s="17"/>
      <c r="QYQ98" s="17"/>
      <c r="QYR98" s="17"/>
      <c r="QYS98" s="17"/>
      <c r="QYT98" s="17"/>
      <c r="QYU98" s="17"/>
      <c r="QYV98" s="17"/>
      <c r="QYW98" s="17"/>
      <c r="QYX98" s="17"/>
      <c r="QYY98" s="17"/>
      <c r="QYZ98" s="17"/>
      <c r="QZA98" s="17"/>
      <c r="QZB98" s="17"/>
      <c r="QZC98" s="17"/>
      <c r="QZD98" s="17"/>
      <c r="QZE98" s="17"/>
      <c r="QZF98" s="17"/>
      <c r="QZG98" s="17"/>
      <c r="QZH98" s="17"/>
      <c r="QZI98" s="17"/>
      <c r="QZJ98" s="17"/>
      <c r="QZK98" s="17"/>
      <c r="QZL98" s="17"/>
      <c r="QZM98" s="17"/>
      <c r="QZN98" s="17"/>
      <c r="QZO98" s="17"/>
      <c r="QZP98" s="17"/>
      <c r="QZQ98" s="17"/>
      <c r="QZR98" s="17"/>
      <c r="QZS98" s="17"/>
      <c r="QZT98" s="17"/>
      <c r="QZU98" s="17"/>
      <c r="QZV98" s="17"/>
      <c r="QZW98" s="17"/>
      <c r="QZX98" s="17"/>
      <c r="QZY98" s="17"/>
      <c r="QZZ98" s="17"/>
      <c r="RAA98" s="17"/>
      <c r="RAB98" s="17"/>
      <c r="RAC98" s="17"/>
      <c r="RAD98" s="17"/>
      <c r="RAE98" s="17"/>
      <c r="RAF98" s="17"/>
      <c r="RAG98" s="17"/>
      <c r="RAH98" s="17"/>
      <c r="RAI98" s="17"/>
      <c r="RAJ98" s="17"/>
      <c r="RAK98" s="17"/>
      <c r="RAL98" s="17"/>
      <c r="RAM98" s="17"/>
      <c r="RAN98" s="17"/>
      <c r="RAO98" s="17"/>
      <c r="RAP98" s="17"/>
      <c r="RAQ98" s="17"/>
      <c r="RAR98" s="17"/>
      <c r="RAS98" s="17"/>
      <c r="RAT98" s="17"/>
      <c r="RAU98" s="17"/>
      <c r="RAV98" s="17"/>
      <c r="RAW98" s="17"/>
      <c r="RAX98" s="17"/>
      <c r="RAY98" s="17"/>
      <c r="RAZ98" s="17"/>
      <c r="RBA98" s="17"/>
      <c r="RBB98" s="17"/>
      <c r="RBC98" s="17"/>
      <c r="RBD98" s="17"/>
      <c r="RBE98" s="17"/>
      <c r="RBF98" s="17"/>
      <c r="RBG98" s="17"/>
      <c r="RBH98" s="17"/>
      <c r="RBI98" s="17"/>
      <c r="RBJ98" s="17"/>
      <c r="RBK98" s="17"/>
      <c r="RBL98" s="17"/>
      <c r="RBM98" s="17"/>
      <c r="RBN98" s="17"/>
      <c r="RBO98" s="17"/>
      <c r="RBP98" s="17"/>
      <c r="RBQ98" s="17"/>
      <c r="RBR98" s="17"/>
      <c r="RBS98" s="17"/>
      <c r="RBT98" s="17"/>
      <c r="RBU98" s="17"/>
      <c r="RBV98" s="17"/>
      <c r="RBW98" s="17"/>
      <c r="RBX98" s="17"/>
      <c r="RBY98" s="17"/>
      <c r="RBZ98" s="17"/>
      <c r="RCA98" s="17"/>
      <c r="RCB98" s="17"/>
      <c r="RCC98" s="17"/>
      <c r="RCD98" s="17"/>
      <c r="RCE98" s="17"/>
      <c r="RCF98" s="17"/>
      <c r="RCG98" s="17"/>
      <c r="RCH98" s="17"/>
      <c r="RCI98" s="17"/>
      <c r="RCJ98" s="17"/>
      <c r="RCK98" s="17"/>
      <c r="RCL98" s="17"/>
      <c r="RCM98" s="17"/>
      <c r="RCN98" s="17"/>
      <c r="RCO98" s="17"/>
      <c r="RCP98" s="17"/>
      <c r="RCQ98" s="17"/>
      <c r="RCR98" s="17"/>
      <c r="RCS98" s="17"/>
      <c r="RCT98" s="17"/>
      <c r="RCU98" s="17"/>
      <c r="RCV98" s="17"/>
      <c r="RCW98" s="17"/>
      <c r="RCX98" s="17"/>
      <c r="RCY98" s="17"/>
      <c r="RCZ98" s="17"/>
      <c r="RDA98" s="17"/>
      <c r="RDB98" s="17"/>
      <c r="RDC98" s="17"/>
      <c r="RDD98" s="17"/>
      <c r="RDE98" s="17"/>
      <c r="RDF98" s="17"/>
      <c r="RDG98" s="17"/>
      <c r="RDH98" s="17"/>
      <c r="RDI98" s="17"/>
      <c r="RDJ98" s="17"/>
      <c r="RDK98" s="17"/>
      <c r="RDL98" s="17"/>
      <c r="RDM98" s="17"/>
      <c r="RDN98" s="17"/>
      <c r="RDO98" s="17"/>
      <c r="RDP98" s="17"/>
      <c r="RDQ98" s="17"/>
      <c r="RDR98" s="17"/>
      <c r="RDS98" s="17"/>
      <c r="RDT98" s="17"/>
      <c r="RDU98" s="17"/>
      <c r="RDV98" s="17"/>
      <c r="RDW98" s="17"/>
      <c r="RDX98" s="17"/>
      <c r="RDY98" s="17"/>
      <c r="RDZ98" s="17"/>
      <c r="REA98" s="17"/>
      <c r="REB98" s="17"/>
      <c r="REC98" s="17"/>
      <c r="RED98" s="17"/>
      <c r="REE98" s="17"/>
      <c r="REF98" s="17"/>
      <c r="REG98" s="17"/>
      <c r="REH98" s="17"/>
      <c r="REI98" s="17"/>
      <c r="REJ98" s="17"/>
      <c r="REK98" s="17"/>
      <c r="REL98" s="17"/>
      <c r="REM98" s="17"/>
      <c r="REN98" s="17"/>
      <c r="REO98" s="17"/>
      <c r="REP98" s="17"/>
      <c r="REQ98" s="17"/>
      <c r="RER98" s="17"/>
      <c r="RES98" s="17"/>
      <c r="RET98" s="17"/>
      <c r="REU98" s="17"/>
      <c r="REV98" s="17"/>
      <c r="REW98" s="17"/>
      <c r="REX98" s="17"/>
      <c r="REY98" s="17"/>
      <c r="REZ98" s="17"/>
      <c r="RFA98" s="17"/>
      <c r="RFB98" s="17"/>
      <c r="RFC98" s="17"/>
      <c r="RFD98" s="17"/>
      <c r="RFE98" s="17"/>
      <c r="RFF98" s="17"/>
      <c r="RFG98" s="17"/>
      <c r="RFH98" s="17"/>
      <c r="RFI98" s="17"/>
      <c r="RFJ98" s="17"/>
      <c r="RFK98" s="17"/>
      <c r="RFL98" s="17"/>
      <c r="RFM98" s="17"/>
      <c r="RFN98" s="17"/>
      <c r="RFO98" s="17"/>
      <c r="RFP98" s="17"/>
      <c r="RFQ98" s="17"/>
      <c r="RFR98" s="17"/>
      <c r="RFS98" s="17"/>
      <c r="RFT98" s="17"/>
      <c r="RFU98" s="17"/>
      <c r="RFV98" s="17"/>
      <c r="RFW98" s="17"/>
      <c r="RFX98" s="17"/>
      <c r="RFY98" s="17"/>
      <c r="RFZ98" s="17"/>
      <c r="RGA98" s="17"/>
      <c r="RGB98" s="17"/>
      <c r="RGC98" s="17"/>
      <c r="RGD98" s="17"/>
      <c r="RGE98" s="17"/>
      <c r="RGF98" s="17"/>
      <c r="RGG98" s="17"/>
      <c r="RGH98" s="17"/>
      <c r="RGI98" s="17"/>
      <c r="RGJ98" s="17"/>
      <c r="RGK98" s="17"/>
      <c r="RGL98" s="17"/>
      <c r="RGM98" s="17"/>
      <c r="RGN98" s="17"/>
      <c r="RGO98" s="17"/>
      <c r="RGP98" s="17"/>
      <c r="RGQ98" s="17"/>
      <c r="RGR98" s="17"/>
      <c r="RGS98" s="17"/>
      <c r="RGT98" s="17"/>
      <c r="RGU98" s="17"/>
      <c r="RGV98" s="17"/>
      <c r="RGW98" s="17"/>
      <c r="RGX98" s="17"/>
      <c r="RGY98" s="17"/>
      <c r="RGZ98" s="17"/>
      <c r="RHA98" s="17"/>
      <c r="RHB98" s="17"/>
      <c r="RHC98" s="17"/>
      <c r="RHD98" s="17"/>
      <c r="RHE98" s="17"/>
      <c r="RHF98" s="17"/>
      <c r="RHG98" s="17"/>
      <c r="RHH98" s="17"/>
      <c r="RHI98" s="17"/>
      <c r="RHJ98" s="17"/>
      <c r="RHK98" s="17"/>
      <c r="RHL98" s="17"/>
      <c r="RHM98" s="17"/>
      <c r="RHN98" s="17"/>
      <c r="RHO98" s="17"/>
      <c r="RHP98" s="17"/>
      <c r="RHQ98" s="17"/>
      <c r="RHR98" s="17"/>
      <c r="RHS98" s="17"/>
      <c r="RHT98" s="17"/>
      <c r="RHU98" s="17"/>
      <c r="RHV98" s="17"/>
      <c r="RHW98" s="17"/>
      <c r="RHX98" s="17"/>
      <c r="RHY98" s="17"/>
      <c r="RHZ98" s="17"/>
      <c r="RIA98" s="17"/>
      <c r="RIB98" s="17"/>
      <c r="RIC98" s="17"/>
      <c r="RID98" s="17"/>
      <c r="RIE98" s="17"/>
      <c r="RIF98" s="17"/>
      <c r="RIG98" s="17"/>
      <c r="RIH98" s="17"/>
      <c r="RII98" s="17"/>
      <c r="RIJ98" s="17"/>
      <c r="RIK98" s="17"/>
      <c r="RIL98" s="17"/>
      <c r="RIM98" s="17"/>
      <c r="RIN98" s="17"/>
      <c r="RIO98" s="17"/>
      <c r="RIP98" s="17"/>
      <c r="RIQ98" s="17"/>
      <c r="RIR98" s="17"/>
      <c r="RIS98" s="17"/>
      <c r="RIT98" s="17"/>
      <c r="RIU98" s="17"/>
      <c r="RIV98" s="17"/>
      <c r="RIW98" s="17"/>
      <c r="RIX98" s="17"/>
      <c r="RIY98" s="17"/>
      <c r="RIZ98" s="17"/>
      <c r="RJA98" s="17"/>
      <c r="RJB98" s="17"/>
      <c r="RJC98" s="17"/>
      <c r="RJD98" s="17"/>
      <c r="RJE98" s="17"/>
      <c r="RJF98" s="17"/>
      <c r="RJG98" s="17"/>
      <c r="RJH98" s="17"/>
      <c r="RJI98" s="17"/>
      <c r="RJJ98" s="17"/>
      <c r="RJK98" s="17"/>
      <c r="RJL98" s="17"/>
      <c r="RJM98" s="17"/>
      <c r="RJN98" s="17"/>
      <c r="RJO98" s="17"/>
      <c r="RJP98" s="17"/>
      <c r="RJQ98" s="17"/>
      <c r="RJR98" s="17"/>
      <c r="RJS98" s="17"/>
      <c r="RJT98" s="17"/>
      <c r="RJU98" s="17"/>
      <c r="RJV98" s="17"/>
      <c r="RJW98" s="17"/>
      <c r="RJX98" s="17"/>
      <c r="RJY98" s="17"/>
      <c r="RJZ98" s="17"/>
      <c r="RKA98" s="17"/>
      <c r="RKB98" s="17"/>
      <c r="RKC98" s="17"/>
      <c r="RKD98" s="17"/>
      <c r="RKE98" s="17"/>
      <c r="RKF98" s="17"/>
      <c r="RKG98" s="17"/>
      <c r="RKH98" s="17"/>
      <c r="RKI98" s="17"/>
      <c r="RKJ98" s="17"/>
      <c r="RKK98" s="17"/>
      <c r="RKL98" s="17"/>
      <c r="RKM98" s="17"/>
      <c r="RKN98" s="17"/>
      <c r="RKO98" s="17"/>
      <c r="RKP98" s="17"/>
      <c r="RKQ98" s="17"/>
      <c r="RKR98" s="17"/>
      <c r="RKS98" s="17"/>
      <c r="RKT98" s="17"/>
      <c r="RKU98" s="17"/>
      <c r="RKV98" s="17"/>
      <c r="RKW98" s="17"/>
      <c r="RKX98" s="17"/>
      <c r="RKY98" s="17"/>
      <c r="RKZ98" s="17"/>
      <c r="RLA98" s="17"/>
      <c r="RLB98" s="17"/>
      <c r="RLC98" s="17"/>
      <c r="RLD98" s="17"/>
      <c r="RLE98" s="17"/>
      <c r="RLF98" s="17"/>
      <c r="RLG98" s="17"/>
      <c r="RLH98" s="17"/>
      <c r="RLI98" s="17"/>
      <c r="RLJ98" s="17"/>
      <c r="RLK98" s="17"/>
      <c r="RLL98" s="17"/>
      <c r="RLM98" s="17"/>
      <c r="RLN98" s="17"/>
      <c r="RLO98" s="17"/>
      <c r="RLP98" s="17"/>
      <c r="RLQ98" s="17"/>
      <c r="RLR98" s="17"/>
      <c r="RLS98" s="17"/>
      <c r="RLT98" s="17"/>
      <c r="RLU98" s="17"/>
      <c r="RLV98" s="17"/>
      <c r="RLW98" s="17"/>
      <c r="RLX98" s="17"/>
      <c r="RLY98" s="17"/>
      <c r="RLZ98" s="17"/>
      <c r="RMA98" s="17"/>
      <c r="RMB98" s="17"/>
      <c r="RMC98" s="17"/>
      <c r="RMD98" s="17"/>
      <c r="RME98" s="17"/>
      <c r="RMF98" s="17"/>
      <c r="RMG98" s="17"/>
      <c r="RMH98" s="17"/>
      <c r="RMI98" s="17"/>
      <c r="RMJ98" s="17"/>
      <c r="RMK98" s="17"/>
      <c r="RML98" s="17"/>
      <c r="RMM98" s="17"/>
      <c r="RMN98" s="17"/>
      <c r="RMO98" s="17"/>
      <c r="RMP98" s="17"/>
      <c r="RMQ98" s="17"/>
      <c r="RMR98" s="17"/>
      <c r="RMS98" s="17"/>
      <c r="RMT98" s="17"/>
      <c r="RMU98" s="17"/>
      <c r="RMV98" s="17"/>
      <c r="RMW98" s="17"/>
      <c r="RMX98" s="17"/>
      <c r="RMY98" s="17"/>
      <c r="RMZ98" s="17"/>
      <c r="RNA98" s="17"/>
      <c r="RNB98" s="17"/>
      <c r="RNC98" s="17"/>
      <c r="RND98" s="17"/>
      <c r="RNE98" s="17"/>
      <c r="RNF98" s="17"/>
      <c r="RNG98" s="17"/>
      <c r="RNH98" s="17"/>
      <c r="RNI98" s="17"/>
      <c r="RNJ98" s="17"/>
      <c r="RNK98" s="17"/>
      <c r="RNL98" s="17"/>
      <c r="RNM98" s="17"/>
      <c r="RNN98" s="17"/>
      <c r="RNO98" s="17"/>
      <c r="RNP98" s="17"/>
      <c r="RNQ98" s="17"/>
      <c r="RNR98" s="17"/>
      <c r="RNS98" s="17"/>
      <c r="RNT98" s="17"/>
      <c r="RNU98" s="17"/>
      <c r="RNV98" s="17"/>
      <c r="RNW98" s="17"/>
      <c r="RNX98" s="17"/>
      <c r="RNY98" s="17"/>
      <c r="RNZ98" s="17"/>
      <c r="ROA98" s="17"/>
      <c r="ROB98" s="17"/>
      <c r="ROC98" s="17"/>
      <c r="ROD98" s="17"/>
      <c r="ROE98" s="17"/>
      <c r="ROF98" s="17"/>
      <c r="ROG98" s="17"/>
      <c r="ROH98" s="17"/>
      <c r="ROI98" s="17"/>
      <c r="ROJ98" s="17"/>
      <c r="ROK98" s="17"/>
      <c r="ROL98" s="17"/>
      <c r="ROM98" s="17"/>
      <c r="RON98" s="17"/>
      <c r="ROO98" s="17"/>
      <c r="ROP98" s="17"/>
      <c r="ROQ98" s="17"/>
      <c r="ROR98" s="17"/>
      <c r="ROS98" s="17"/>
      <c r="ROT98" s="17"/>
      <c r="ROU98" s="17"/>
      <c r="ROV98" s="17"/>
      <c r="ROW98" s="17"/>
      <c r="ROX98" s="17"/>
      <c r="ROY98" s="17"/>
      <c r="ROZ98" s="17"/>
      <c r="RPA98" s="17"/>
      <c r="RPB98" s="17"/>
      <c r="RPC98" s="17"/>
      <c r="RPD98" s="17"/>
      <c r="RPE98" s="17"/>
      <c r="RPF98" s="17"/>
      <c r="RPG98" s="17"/>
      <c r="RPH98" s="17"/>
      <c r="RPI98" s="17"/>
      <c r="RPJ98" s="17"/>
      <c r="RPK98" s="17"/>
      <c r="RPL98" s="17"/>
      <c r="RPM98" s="17"/>
      <c r="RPN98" s="17"/>
      <c r="RPO98" s="17"/>
      <c r="RPP98" s="17"/>
      <c r="RPQ98" s="17"/>
      <c r="RPR98" s="17"/>
      <c r="RPS98" s="17"/>
      <c r="RPT98" s="17"/>
      <c r="RPU98" s="17"/>
      <c r="RPV98" s="17"/>
      <c r="RPW98" s="17"/>
      <c r="RPX98" s="17"/>
      <c r="RPY98" s="17"/>
      <c r="RPZ98" s="17"/>
      <c r="RQA98" s="17"/>
      <c r="RQB98" s="17"/>
      <c r="RQC98" s="17"/>
      <c r="RQD98" s="17"/>
      <c r="RQE98" s="17"/>
      <c r="RQF98" s="17"/>
      <c r="RQG98" s="17"/>
      <c r="RQH98" s="17"/>
      <c r="RQI98" s="17"/>
      <c r="RQJ98" s="17"/>
      <c r="RQK98" s="17"/>
      <c r="RQL98" s="17"/>
      <c r="RQM98" s="17"/>
      <c r="RQN98" s="17"/>
      <c r="RQO98" s="17"/>
      <c r="RQP98" s="17"/>
      <c r="RQQ98" s="17"/>
      <c r="RQR98" s="17"/>
      <c r="RQS98" s="17"/>
      <c r="RQT98" s="17"/>
      <c r="RQU98" s="17"/>
      <c r="RQV98" s="17"/>
      <c r="RQW98" s="17"/>
      <c r="RQX98" s="17"/>
      <c r="RQY98" s="17"/>
      <c r="RQZ98" s="17"/>
      <c r="RRA98" s="17"/>
      <c r="RRB98" s="17"/>
      <c r="RRC98" s="17"/>
      <c r="RRD98" s="17"/>
      <c r="RRE98" s="17"/>
      <c r="RRF98" s="17"/>
      <c r="RRG98" s="17"/>
      <c r="RRH98" s="17"/>
      <c r="RRI98" s="17"/>
      <c r="RRJ98" s="17"/>
      <c r="RRK98" s="17"/>
      <c r="RRL98" s="17"/>
      <c r="RRM98" s="17"/>
      <c r="RRN98" s="17"/>
      <c r="RRO98" s="17"/>
      <c r="RRP98" s="17"/>
      <c r="RRQ98" s="17"/>
      <c r="RRR98" s="17"/>
      <c r="RRS98" s="17"/>
      <c r="RRT98" s="17"/>
      <c r="RRU98" s="17"/>
      <c r="RRV98" s="17"/>
      <c r="RRW98" s="17"/>
      <c r="RRX98" s="17"/>
      <c r="RRY98" s="17"/>
      <c r="RRZ98" s="17"/>
      <c r="RSA98" s="17"/>
      <c r="RSB98" s="17"/>
      <c r="RSC98" s="17"/>
      <c r="RSD98" s="17"/>
      <c r="RSE98" s="17"/>
      <c r="RSF98" s="17"/>
      <c r="RSG98" s="17"/>
      <c r="RSH98" s="17"/>
      <c r="RSI98" s="17"/>
      <c r="RSJ98" s="17"/>
      <c r="RSK98" s="17"/>
      <c r="RSL98" s="17"/>
      <c r="RSM98" s="17"/>
      <c r="RSN98" s="17"/>
      <c r="RSO98" s="17"/>
      <c r="RSP98" s="17"/>
      <c r="RSQ98" s="17"/>
      <c r="RSR98" s="17"/>
      <c r="RSS98" s="17"/>
      <c r="RST98" s="17"/>
      <c r="RSU98" s="17"/>
      <c r="RSV98" s="17"/>
      <c r="RSW98" s="17"/>
      <c r="RSX98" s="17"/>
      <c r="RSY98" s="17"/>
      <c r="RSZ98" s="17"/>
      <c r="RTA98" s="17"/>
      <c r="RTB98" s="17"/>
      <c r="RTC98" s="17"/>
      <c r="RTD98" s="17"/>
      <c r="RTE98" s="17"/>
      <c r="RTF98" s="17"/>
      <c r="RTG98" s="17"/>
      <c r="RTH98" s="17"/>
      <c r="RTI98" s="17"/>
      <c r="RTJ98" s="17"/>
      <c r="RTK98" s="17"/>
      <c r="RTL98" s="17"/>
      <c r="RTM98" s="17"/>
      <c r="RTN98" s="17"/>
      <c r="RTO98" s="17"/>
      <c r="RTP98" s="17"/>
      <c r="RTQ98" s="17"/>
      <c r="RTR98" s="17"/>
      <c r="RTS98" s="17"/>
      <c r="RTT98" s="17"/>
      <c r="RTU98" s="17"/>
      <c r="RTV98" s="17"/>
      <c r="RTW98" s="17"/>
      <c r="RTX98" s="17"/>
      <c r="RTY98" s="17"/>
      <c r="RTZ98" s="17"/>
      <c r="RUA98" s="17"/>
      <c r="RUB98" s="17"/>
      <c r="RUC98" s="17"/>
      <c r="RUD98" s="17"/>
      <c r="RUE98" s="17"/>
      <c r="RUF98" s="17"/>
      <c r="RUG98" s="17"/>
      <c r="RUH98" s="17"/>
      <c r="RUI98" s="17"/>
      <c r="RUJ98" s="17"/>
      <c r="RUK98" s="17"/>
      <c r="RUL98" s="17"/>
      <c r="RUM98" s="17"/>
      <c r="RUN98" s="17"/>
      <c r="RUO98" s="17"/>
      <c r="RUP98" s="17"/>
      <c r="RUQ98" s="17"/>
      <c r="RUR98" s="17"/>
      <c r="RUS98" s="17"/>
      <c r="RUT98" s="17"/>
      <c r="RUU98" s="17"/>
      <c r="RUV98" s="17"/>
      <c r="RUW98" s="17"/>
      <c r="RUX98" s="17"/>
      <c r="RUY98" s="17"/>
      <c r="RUZ98" s="17"/>
      <c r="RVA98" s="17"/>
      <c r="RVB98" s="17"/>
      <c r="RVC98" s="17"/>
      <c r="RVD98" s="17"/>
      <c r="RVE98" s="17"/>
      <c r="RVF98" s="17"/>
      <c r="RVG98" s="17"/>
      <c r="RVH98" s="17"/>
      <c r="RVI98" s="17"/>
      <c r="RVJ98" s="17"/>
      <c r="RVK98" s="17"/>
      <c r="RVL98" s="17"/>
      <c r="RVM98" s="17"/>
      <c r="RVN98" s="17"/>
      <c r="RVO98" s="17"/>
      <c r="RVP98" s="17"/>
      <c r="RVQ98" s="17"/>
      <c r="RVR98" s="17"/>
      <c r="RVS98" s="17"/>
      <c r="RVT98" s="17"/>
      <c r="RVU98" s="17"/>
      <c r="RVV98" s="17"/>
      <c r="RVW98" s="17"/>
      <c r="RVX98" s="17"/>
      <c r="RVY98" s="17"/>
      <c r="RVZ98" s="17"/>
      <c r="RWA98" s="17"/>
      <c r="RWB98" s="17"/>
      <c r="RWC98" s="17"/>
      <c r="RWD98" s="17"/>
      <c r="RWE98" s="17"/>
      <c r="RWF98" s="17"/>
      <c r="RWG98" s="17"/>
      <c r="RWH98" s="17"/>
      <c r="RWI98" s="17"/>
      <c r="RWJ98" s="17"/>
      <c r="RWK98" s="17"/>
      <c r="RWL98" s="17"/>
      <c r="RWM98" s="17"/>
      <c r="RWN98" s="17"/>
      <c r="RWO98" s="17"/>
      <c r="RWP98" s="17"/>
      <c r="RWQ98" s="17"/>
      <c r="RWR98" s="17"/>
      <c r="RWS98" s="17"/>
      <c r="RWT98" s="17"/>
      <c r="RWU98" s="17"/>
      <c r="RWV98" s="17"/>
      <c r="RWW98" s="17"/>
      <c r="RWX98" s="17"/>
      <c r="RWY98" s="17"/>
      <c r="RWZ98" s="17"/>
      <c r="RXA98" s="17"/>
      <c r="RXB98" s="17"/>
      <c r="RXC98" s="17"/>
      <c r="RXD98" s="17"/>
      <c r="RXE98" s="17"/>
      <c r="RXF98" s="17"/>
      <c r="RXG98" s="17"/>
      <c r="RXH98" s="17"/>
      <c r="RXI98" s="17"/>
      <c r="RXJ98" s="17"/>
      <c r="RXK98" s="17"/>
      <c r="RXL98" s="17"/>
      <c r="RXM98" s="17"/>
      <c r="RXN98" s="17"/>
      <c r="RXO98" s="17"/>
      <c r="RXP98" s="17"/>
      <c r="RXQ98" s="17"/>
      <c r="RXR98" s="17"/>
      <c r="RXS98" s="17"/>
      <c r="RXT98" s="17"/>
      <c r="RXU98" s="17"/>
      <c r="RXV98" s="17"/>
      <c r="RXW98" s="17"/>
      <c r="RXX98" s="17"/>
      <c r="RXY98" s="17"/>
      <c r="RXZ98" s="17"/>
      <c r="RYA98" s="17"/>
      <c r="RYB98" s="17"/>
      <c r="RYC98" s="17"/>
      <c r="RYD98" s="17"/>
      <c r="RYE98" s="17"/>
      <c r="RYF98" s="17"/>
      <c r="RYG98" s="17"/>
      <c r="RYH98" s="17"/>
      <c r="RYI98" s="17"/>
      <c r="RYJ98" s="17"/>
      <c r="RYK98" s="17"/>
      <c r="RYL98" s="17"/>
      <c r="RYM98" s="17"/>
      <c r="RYN98" s="17"/>
      <c r="RYO98" s="17"/>
      <c r="RYP98" s="17"/>
      <c r="RYQ98" s="17"/>
      <c r="RYR98" s="17"/>
      <c r="RYS98" s="17"/>
      <c r="RYT98" s="17"/>
      <c r="RYU98" s="17"/>
      <c r="RYV98" s="17"/>
      <c r="RYW98" s="17"/>
      <c r="RYX98" s="17"/>
      <c r="RYY98" s="17"/>
      <c r="RYZ98" s="17"/>
      <c r="RZA98" s="17"/>
      <c r="RZB98" s="17"/>
      <c r="RZC98" s="17"/>
      <c r="RZD98" s="17"/>
      <c r="RZE98" s="17"/>
      <c r="RZF98" s="17"/>
      <c r="RZG98" s="17"/>
      <c r="RZH98" s="17"/>
      <c r="RZI98" s="17"/>
      <c r="RZJ98" s="17"/>
      <c r="RZK98" s="17"/>
      <c r="RZL98" s="17"/>
      <c r="RZM98" s="17"/>
      <c r="RZN98" s="17"/>
      <c r="RZO98" s="17"/>
      <c r="RZP98" s="17"/>
      <c r="RZQ98" s="17"/>
      <c r="RZR98" s="17"/>
      <c r="RZS98" s="17"/>
      <c r="RZT98" s="17"/>
      <c r="RZU98" s="17"/>
      <c r="RZV98" s="17"/>
      <c r="RZW98" s="17"/>
      <c r="RZX98" s="17"/>
      <c r="RZY98" s="17"/>
      <c r="RZZ98" s="17"/>
      <c r="SAA98" s="17"/>
      <c r="SAB98" s="17"/>
      <c r="SAC98" s="17"/>
      <c r="SAD98" s="17"/>
      <c r="SAE98" s="17"/>
      <c r="SAF98" s="17"/>
      <c r="SAG98" s="17"/>
      <c r="SAH98" s="17"/>
      <c r="SAI98" s="17"/>
      <c r="SAJ98" s="17"/>
      <c r="SAK98" s="17"/>
      <c r="SAL98" s="17"/>
      <c r="SAM98" s="17"/>
      <c r="SAN98" s="17"/>
      <c r="SAO98" s="17"/>
      <c r="SAP98" s="17"/>
      <c r="SAQ98" s="17"/>
      <c r="SAR98" s="17"/>
      <c r="SAS98" s="17"/>
      <c r="SAT98" s="17"/>
      <c r="SAU98" s="17"/>
      <c r="SAV98" s="17"/>
      <c r="SAW98" s="17"/>
      <c r="SAX98" s="17"/>
      <c r="SAY98" s="17"/>
      <c r="SAZ98" s="17"/>
      <c r="SBA98" s="17"/>
      <c r="SBB98" s="17"/>
      <c r="SBC98" s="17"/>
      <c r="SBD98" s="17"/>
      <c r="SBE98" s="17"/>
      <c r="SBF98" s="17"/>
      <c r="SBG98" s="17"/>
      <c r="SBH98" s="17"/>
      <c r="SBI98" s="17"/>
      <c r="SBJ98" s="17"/>
      <c r="SBK98" s="17"/>
      <c r="SBL98" s="17"/>
      <c r="SBM98" s="17"/>
      <c r="SBN98" s="17"/>
      <c r="SBO98" s="17"/>
      <c r="SBP98" s="17"/>
      <c r="SBQ98" s="17"/>
      <c r="SBR98" s="17"/>
      <c r="SBS98" s="17"/>
      <c r="SBT98" s="17"/>
      <c r="SBU98" s="17"/>
      <c r="SBV98" s="17"/>
      <c r="SBW98" s="17"/>
      <c r="SBX98" s="17"/>
      <c r="SBY98" s="17"/>
      <c r="SBZ98" s="17"/>
      <c r="SCA98" s="17"/>
      <c r="SCB98" s="17"/>
      <c r="SCC98" s="17"/>
      <c r="SCD98" s="17"/>
      <c r="SCE98" s="17"/>
      <c r="SCF98" s="17"/>
      <c r="SCG98" s="17"/>
      <c r="SCH98" s="17"/>
      <c r="SCI98" s="17"/>
      <c r="SCJ98" s="17"/>
      <c r="SCK98" s="17"/>
      <c r="SCL98" s="17"/>
      <c r="SCM98" s="17"/>
      <c r="SCN98" s="17"/>
      <c r="SCO98" s="17"/>
      <c r="SCP98" s="17"/>
      <c r="SCQ98" s="17"/>
      <c r="SCR98" s="17"/>
      <c r="SCS98" s="17"/>
      <c r="SCT98" s="17"/>
      <c r="SCU98" s="17"/>
      <c r="SCV98" s="17"/>
      <c r="SCW98" s="17"/>
      <c r="SCX98" s="17"/>
      <c r="SCY98" s="17"/>
      <c r="SCZ98" s="17"/>
      <c r="SDA98" s="17"/>
      <c r="SDB98" s="17"/>
      <c r="SDC98" s="17"/>
      <c r="SDD98" s="17"/>
      <c r="SDE98" s="17"/>
      <c r="SDF98" s="17"/>
      <c r="SDG98" s="17"/>
      <c r="SDH98" s="17"/>
      <c r="SDI98" s="17"/>
      <c r="SDJ98" s="17"/>
      <c r="SDK98" s="17"/>
      <c r="SDL98" s="17"/>
      <c r="SDM98" s="17"/>
      <c r="SDN98" s="17"/>
      <c r="SDO98" s="17"/>
      <c r="SDP98" s="17"/>
      <c r="SDQ98" s="17"/>
      <c r="SDR98" s="17"/>
      <c r="SDS98" s="17"/>
      <c r="SDT98" s="17"/>
      <c r="SDU98" s="17"/>
      <c r="SDV98" s="17"/>
      <c r="SDW98" s="17"/>
      <c r="SDX98" s="17"/>
      <c r="SDY98" s="17"/>
      <c r="SDZ98" s="17"/>
      <c r="SEA98" s="17"/>
      <c r="SEB98" s="17"/>
      <c r="SEC98" s="17"/>
      <c r="SED98" s="17"/>
      <c r="SEE98" s="17"/>
      <c r="SEF98" s="17"/>
      <c r="SEG98" s="17"/>
      <c r="SEH98" s="17"/>
      <c r="SEI98" s="17"/>
      <c r="SEJ98" s="17"/>
      <c r="SEK98" s="17"/>
      <c r="SEL98" s="17"/>
      <c r="SEM98" s="17"/>
      <c r="SEN98" s="17"/>
      <c r="SEO98" s="17"/>
      <c r="SEP98" s="17"/>
      <c r="SEQ98" s="17"/>
      <c r="SER98" s="17"/>
      <c r="SES98" s="17"/>
      <c r="SET98" s="17"/>
      <c r="SEU98" s="17"/>
      <c r="SEV98" s="17"/>
      <c r="SEW98" s="17"/>
      <c r="SEX98" s="17"/>
      <c r="SEY98" s="17"/>
      <c r="SEZ98" s="17"/>
      <c r="SFA98" s="17"/>
      <c r="SFB98" s="17"/>
      <c r="SFC98" s="17"/>
      <c r="SFD98" s="17"/>
      <c r="SFE98" s="17"/>
      <c r="SFF98" s="17"/>
      <c r="SFG98" s="17"/>
      <c r="SFH98" s="17"/>
      <c r="SFI98" s="17"/>
      <c r="SFJ98" s="17"/>
      <c r="SFK98" s="17"/>
      <c r="SFL98" s="17"/>
      <c r="SFM98" s="17"/>
      <c r="SFN98" s="17"/>
      <c r="SFO98" s="17"/>
      <c r="SFP98" s="17"/>
      <c r="SFQ98" s="17"/>
      <c r="SFR98" s="17"/>
      <c r="SFS98" s="17"/>
      <c r="SFT98" s="17"/>
      <c r="SFU98" s="17"/>
      <c r="SFV98" s="17"/>
      <c r="SFW98" s="17"/>
      <c r="SFX98" s="17"/>
      <c r="SFY98" s="17"/>
      <c r="SFZ98" s="17"/>
      <c r="SGA98" s="17"/>
      <c r="SGB98" s="17"/>
      <c r="SGC98" s="17"/>
      <c r="SGD98" s="17"/>
      <c r="SGE98" s="17"/>
      <c r="SGF98" s="17"/>
      <c r="SGG98" s="17"/>
      <c r="SGH98" s="17"/>
      <c r="SGI98" s="17"/>
      <c r="SGJ98" s="17"/>
      <c r="SGK98" s="17"/>
      <c r="SGL98" s="17"/>
      <c r="SGM98" s="17"/>
      <c r="SGN98" s="17"/>
      <c r="SGO98" s="17"/>
      <c r="SGP98" s="17"/>
      <c r="SGQ98" s="17"/>
      <c r="SGR98" s="17"/>
      <c r="SGS98" s="17"/>
      <c r="SGT98" s="17"/>
      <c r="SGU98" s="17"/>
      <c r="SGV98" s="17"/>
      <c r="SGW98" s="17"/>
      <c r="SGX98" s="17"/>
      <c r="SGY98" s="17"/>
      <c r="SGZ98" s="17"/>
      <c r="SHA98" s="17"/>
      <c r="SHB98" s="17"/>
      <c r="SHC98" s="17"/>
      <c r="SHD98" s="17"/>
      <c r="SHE98" s="17"/>
      <c r="SHF98" s="17"/>
      <c r="SHG98" s="17"/>
      <c r="SHH98" s="17"/>
      <c r="SHI98" s="17"/>
      <c r="SHJ98" s="17"/>
      <c r="SHK98" s="17"/>
      <c r="SHL98" s="17"/>
      <c r="SHM98" s="17"/>
      <c r="SHN98" s="17"/>
      <c r="SHO98" s="17"/>
      <c r="SHP98" s="17"/>
      <c r="SHQ98" s="17"/>
      <c r="SHR98" s="17"/>
      <c r="SHS98" s="17"/>
      <c r="SHT98" s="17"/>
      <c r="SHU98" s="17"/>
      <c r="SHV98" s="17"/>
      <c r="SHW98" s="17"/>
      <c r="SHX98" s="17"/>
      <c r="SHY98" s="17"/>
      <c r="SHZ98" s="17"/>
      <c r="SIA98" s="17"/>
      <c r="SIB98" s="17"/>
      <c r="SIC98" s="17"/>
      <c r="SID98" s="17"/>
      <c r="SIE98" s="17"/>
      <c r="SIF98" s="17"/>
      <c r="SIG98" s="17"/>
      <c r="SIH98" s="17"/>
      <c r="SII98" s="17"/>
      <c r="SIJ98" s="17"/>
      <c r="SIK98" s="17"/>
      <c r="SIL98" s="17"/>
      <c r="SIM98" s="17"/>
      <c r="SIN98" s="17"/>
      <c r="SIO98" s="17"/>
      <c r="SIP98" s="17"/>
      <c r="SIQ98" s="17"/>
      <c r="SIR98" s="17"/>
      <c r="SIS98" s="17"/>
      <c r="SIT98" s="17"/>
      <c r="SIU98" s="17"/>
      <c r="SIV98" s="17"/>
      <c r="SIW98" s="17"/>
      <c r="SIX98" s="17"/>
      <c r="SIY98" s="17"/>
      <c r="SIZ98" s="17"/>
      <c r="SJA98" s="17"/>
      <c r="SJB98" s="17"/>
      <c r="SJC98" s="17"/>
      <c r="SJD98" s="17"/>
      <c r="SJE98" s="17"/>
      <c r="SJF98" s="17"/>
      <c r="SJG98" s="17"/>
      <c r="SJH98" s="17"/>
      <c r="SJI98" s="17"/>
      <c r="SJJ98" s="17"/>
      <c r="SJK98" s="17"/>
      <c r="SJL98" s="17"/>
      <c r="SJM98" s="17"/>
      <c r="SJN98" s="17"/>
      <c r="SJO98" s="17"/>
      <c r="SJP98" s="17"/>
      <c r="SJQ98" s="17"/>
      <c r="SJR98" s="17"/>
      <c r="SJS98" s="17"/>
      <c r="SJT98" s="17"/>
      <c r="SJU98" s="17"/>
      <c r="SJV98" s="17"/>
      <c r="SJW98" s="17"/>
      <c r="SJX98" s="17"/>
      <c r="SJY98" s="17"/>
      <c r="SJZ98" s="17"/>
      <c r="SKA98" s="17"/>
      <c r="SKB98" s="17"/>
      <c r="SKC98" s="17"/>
      <c r="SKD98" s="17"/>
      <c r="SKE98" s="17"/>
      <c r="SKF98" s="17"/>
      <c r="SKG98" s="17"/>
      <c r="SKH98" s="17"/>
      <c r="SKI98" s="17"/>
      <c r="SKJ98" s="17"/>
      <c r="SKK98" s="17"/>
      <c r="SKL98" s="17"/>
      <c r="SKM98" s="17"/>
      <c r="SKN98" s="17"/>
      <c r="SKO98" s="17"/>
      <c r="SKP98" s="17"/>
      <c r="SKQ98" s="17"/>
      <c r="SKR98" s="17"/>
      <c r="SKS98" s="17"/>
      <c r="SKT98" s="17"/>
      <c r="SKU98" s="17"/>
      <c r="SKV98" s="17"/>
      <c r="SKW98" s="17"/>
      <c r="SKX98" s="17"/>
      <c r="SKY98" s="17"/>
      <c r="SKZ98" s="17"/>
      <c r="SLA98" s="17"/>
      <c r="SLB98" s="17"/>
      <c r="SLC98" s="17"/>
      <c r="SLD98" s="17"/>
      <c r="SLE98" s="17"/>
      <c r="SLF98" s="17"/>
      <c r="SLG98" s="17"/>
      <c r="SLH98" s="17"/>
      <c r="SLI98" s="17"/>
      <c r="SLJ98" s="17"/>
      <c r="SLK98" s="17"/>
      <c r="SLL98" s="17"/>
      <c r="SLM98" s="17"/>
      <c r="SLN98" s="17"/>
      <c r="SLO98" s="17"/>
      <c r="SLP98" s="17"/>
      <c r="SLQ98" s="17"/>
      <c r="SLR98" s="17"/>
      <c r="SLS98" s="17"/>
      <c r="SLT98" s="17"/>
      <c r="SLU98" s="17"/>
      <c r="SLV98" s="17"/>
      <c r="SLW98" s="17"/>
      <c r="SLX98" s="17"/>
      <c r="SLY98" s="17"/>
      <c r="SLZ98" s="17"/>
      <c r="SMA98" s="17"/>
      <c r="SMB98" s="17"/>
      <c r="SMC98" s="17"/>
      <c r="SMD98" s="17"/>
      <c r="SME98" s="17"/>
      <c r="SMF98" s="17"/>
      <c r="SMG98" s="17"/>
      <c r="SMH98" s="17"/>
      <c r="SMI98" s="17"/>
      <c r="SMJ98" s="17"/>
      <c r="SMK98" s="17"/>
      <c r="SML98" s="17"/>
      <c r="SMM98" s="17"/>
      <c r="SMN98" s="17"/>
      <c r="SMO98" s="17"/>
      <c r="SMP98" s="17"/>
      <c r="SMQ98" s="17"/>
      <c r="SMR98" s="17"/>
      <c r="SMS98" s="17"/>
      <c r="SMT98" s="17"/>
      <c r="SMU98" s="17"/>
      <c r="SMV98" s="17"/>
      <c r="SMW98" s="17"/>
      <c r="SMX98" s="17"/>
      <c r="SMY98" s="17"/>
      <c r="SMZ98" s="17"/>
      <c r="SNA98" s="17"/>
      <c r="SNB98" s="17"/>
      <c r="SNC98" s="17"/>
      <c r="SND98" s="17"/>
      <c r="SNE98" s="17"/>
      <c r="SNF98" s="17"/>
      <c r="SNG98" s="17"/>
      <c r="SNH98" s="17"/>
      <c r="SNI98" s="17"/>
      <c r="SNJ98" s="17"/>
      <c r="SNK98" s="17"/>
      <c r="SNL98" s="17"/>
      <c r="SNM98" s="17"/>
      <c r="SNN98" s="17"/>
      <c r="SNO98" s="17"/>
      <c r="SNP98" s="17"/>
      <c r="SNQ98" s="17"/>
      <c r="SNR98" s="17"/>
      <c r="SNS98" s="17"/>
      <c r="SNT98" s="17"/>
      <c r="SNU98" s="17"/>
      <c r="SNV98" s="17"/>
      <c r="SNW98" s="17"/>
      <c r="SNX98" s="17"/>
      <c r="SNY98" s="17"/>
      <c r="SNZ98" s="17"/>
      <c r="SOA98" s="17"/>
      <c r="SOB98" s="17"/>
      <c r="SOC98" s="17"/>
      <c r="SOD98" s="17"/>
      <c r="SOE98" s="17"/>
      <c r="SOF98" s="17"/>
      <c r="SOG98" s="17"/>
      <c r="SOH98" s="17"/>
      <c r="SOI98" s="17"/>
      <c r="SOJ98" s="17"/>
      <c r="SOK98" s="17"/>
      <c r="SOL98" s="17"/>
      <c r="SOM98" s="17"/>
      <c r="SON98" s="17"/>
      <c r="SOO98" s="17"/>
      <c r="SOP98" s="17"/>
      <c r="SOQ98" s="17"/>
      <c r="SOR98" s="17"/>
      <c r="SOS98" s="17"/>
      <c r="SOT98" s="17"/>
      <c r="SOU98" s="17"/>
      <c r="SOV98" s="17"/>
      <c r="SOW98" s="17"/>
      <c r="SOX98" s="17"/>
      <c r="SOY98" s="17"/>
      <c r="SOZ98" s="17"/>
      <c r="SPA98" s="17"/>
      <c r="SPB98" s="17"/>
      <c r="SPC98" s="17"/>
      <c r="SPD98" s="17"/>
      <c r="SPE98" s="17"/>
      <c r="SPF98" s="17"/>
      <c r="SPG98" s="17"/>
      <c r="SPH98" s="17"/>
      <c r="SPI98" s="17"/>
      <c r="SPJ98" s="17"/>
      <c r="SPK98" s="17"/>
      <c r="SPL98" s="17"/>
      <c r="SPM98" s="17"/>
      <c r="SPN98" s="17"/>
      <c r="SPO98" s="17"/>
      <c r="SPP98" s="17"/>
      <c r="SPQ98" s="17"/>
      <c r="SPR98" s="17"/>
      <c r="SPS98" s="17"/>
      <c r="SPT98" s="17"/>
      <c r="SPU98" s="17"/>
      <c r="SPV98" s="17"/>
      <c r="SPW98" s="17"/>
      <c r="SPX98" s="17"/>
      <c r="SPY98" s="17"/>
      <c r="SPZ98" s="17"/>
      <c r="SQA98" s="17"/>
      <c r="SQB98" s="17"/>
      <c r="SQC98" s="17"/>
      <c r="SQD98" s="17"/>
      <c r="SQE98" s="17"/>
      <c r="SQF98" s="17"/>
      <c r="SQG98" s="17"/>
      <c r="SQH98" s="17"/>
      <c r="SQI98" s="17"/>
      <c r="SQJ98" s="17"/>
      <c r="SQK98" s="17"/>
      <c r="SQL98" s="17"/>
      <c r="SQM98" s="17"/>
      <c r="SQN98" s="17"/>
      <c r="SQO98" s="17"/>
      <c r="SQP98" s="17"/>
      <c r="SQQ98" s="17"/>
      <c r="SQR98" s="17"/>
      <c r="SQS98" s="17"/>
      <c r="SQT98" s="17"/>
      <c r="SQU98" s="17"/>
      <c r="SQV98" s="17"/>
      <c r="SQW98" s="17"/>
      <c r="SQX98" s="17"/>
      <c r="SQY98" s="17"/>
      <c r="SQZ98" s="17"/>
      <c r="SRA98" s="17"/>
      <c r="SRB98" s="17"/>
      <c r="SRC98" s="17"/>
      <c r="SRD98" s="17"/>
      <c r="SRE98" s="17"/>
      <c r="SRF98" s="17"/>
      <c r="SRG98" s="17"/>
      <c r="SRH98" s="17"/>
      <c r="SRI98" s="17"/>
      <c r="SRJ98" s="17"/>
      <c r="SRK98" s="17"/>
      <c r="SRL98" s="17"/>
      <c r="SRM98" s="17"/>
      <c r="SRN98" s="17"/>
      <c r="SRO98" s="17"/>
      <c r="SRP98" s="17"/>
      <c r="SRQ98" s="17"/>
      <c r="SRR98" s="17"/>
      <c r="SRS98" s="17"/>
      <c r="SRT98" s="17"/>
      <c r="SRU98" s="17"/>
      <c r="SRV98" s="17"/>
      <c r="SRW98" s="17"/>
      <c r="SRX98" s="17"/>
      <c r="SRY98" s="17"/>
      <c r="SRZ98" s="17"/>
      <c r="SSA98" s="17"/>
      <c r="SSB98" s="17"/>
      <c r="SSC98" s="17"/>
      <c r="SSD98" s="17"/>
      <c r="SSE98" s="17"/>
      <c r="SSF98" s="17"/>
      <c r="SSG98" s="17"/>
      <c r="SSH98" s="17"/>
      <c r="SSI98" s="17"/>
      <c r="SSJ98" s="17"/>
      <c r="SSK98" s="17"/>
      <c r="SSL98" s="17"/>
      <c r="SSM98" s="17"/>
      <c r="SSN98" s="17"/>
      <c r="SSO98" s="17"/>
      <c r="SSP98" s="17"/>
      <c r="SSQ98" s="17"/>
      <c r="SSR98" s="17"/>
      <c r="SSS98" s="17"/>
      <c r="SST98" s="17"/>
      <c r="SSU98" s="17"/>
      <c r="SSV98" s="17"/>
      <c r="SSW98" s="17"/>
      <c r="SSX98" s="17"/>
      <c r="SSY98" s="17"/>
      <c r="SSZ98" s="17"/>
      <c r="STA98" s="17"/>
      <c r="STB98" s="17"/>
      <c r="STC98" s="17"/>
      <c r="STD98" s="17"/>
      <c r="STE98" s="17"/>
      <c r="STF98" s="17"/>
      <c r="STG98" s="17"/>
      <c r="STH98" s="17"/>
      <c r="STI98" s="17"/>
      <c r="STJ98" s="17"/>
      <c r="STK98" s="17"/>
      <c r="STL98" s="17"/>
      <c r="STM98" s="17"/>
      <c r="STN98" s="17"/>
      <c r="STO98" s="17"/>
      <c r="STP98" s="17"/>
      <c r="STQ98" s="17"/>
      <c r="STR98" s="17"/>
      <c r="STS98" s="17"/>
      <c r="STT98" s="17"/>
      <c r="STU98" s="17"/>
      <c r="STV98" s="17"/>
      <c r="STW98" s="17"/>
      <c r="STX98" s="17"/>
      <c r="STY98" s="17"/>
      <c r="STZ98" s="17"/>
      <c r="SUA98" s="17"/>
      <c r="SUB98" s="17"/>
      <c r="SUC98" s="17"/>
      <c r="SUD98" s="17"/>
      <c r="SUE98" s="17"/>
      <c r="SUF98" s="17"/>
      <c r="SUG98" s="17"/>
      <c r="SUH98" s="17"/>
      <c r="SUI98" s="17"/>
      <c r="SUJ98" s="17"/>
      <c r="SUK98" s="17"/>
      <c r="SUL98" s="17"/>
      <c r="SUM98" s="17"/>
      <c r="SUN98" s="17"/>
      <c r="SUO98" s="17"/>
      <c r="SUP98" s="17"/>
      <c r="SUQ98" s="17"/>
      <c r="SUR98" s="17"/>
      <c r="SUS98" s="17"/>
      <c r="SUT98" s="17"/>
      <c r="SUU98" s="17"/>
      <c r="SUV98" s="17"/>
      <c r="SUW98" s="17"/>
      <c r="SUX98" s="17"/>
      <c r="SUY98" s="17"/>
      <c r="SUZ98" s="17"/>
      <c r="SVA98" s="17"/>
      <c r="SVB98" s="17"/>
      <c r="SVC98" s="17"/>
      <c r="SVD98" s="17"/>
      <c r="SVE98" s="17"/>
      <c r="SVF98" s="17"/>
      <c r="SVG98" s="17"/>
      <c r="SVH98" s="17"/>
      <c r="SVI98" s="17"/>
      <c r="SVJ98" s="17"/>
      <c r="SVK98" s="17"/>
      <c r="SVL98" s="17"/>
      <c r="SVM98" s="17"/>
      <c r="SVN98" s="17"/>
      <c r="SVO98" s="17"/>
      <c r="SVP98" s="17"/>
      <c r="SVQ98" s="17"/>
      <c r="SVR98" s="17"/>
      <c r="SVS98" s="17"/>
      <c r="SVT98" s="17"/>
      <c r="SVU98" s="17"/>
      <c r="SVV98" s="17"/>
      <c r="SVW98" s="17"/>
      <c r="SVX98" s="17"/>
      <c r="SVY98" s="17"/>
      <c r="SVZ98" s="17"/>
      <c r="SWA98" s="17"/>
      <c r="SWB98" s="17"/>
      <c r="SWC98" s="17"/>
      <c r="SWD98" s="17"/>
      <c r="SWE98" s="17"/>
      <c r="SWF98" s="17"/>
      <c r="SWG98" s="17"/>
      <c r="SWH98" s="17"/>
      <c r="SWI98" s="17"/>
      <c r="SWJ98" s="17"/>
      <c r="SWK98" s="17"/>
      <c r="SWL98" s="17"/>
      <c r="SWM98" s="17"/>
      <c r="SWN98" s="17"/>
      <c r="SWO98" s="17"/>
      <c r="SWP98" s="17"/>
      <c r="SWQ98" s="17"/>
      <c r="SWR98" s="17"/>
      <c r="SWS98" s="17"/>
      <c r="SWT98" s="17"/>
      <c r="SWU98" s="17"/>
      <c r="SWV98" s="17"/>
      <c r="SWW98" s="17"/>
      <c r="SWX98" s="17"/>
      <c r="SWY98" s="17"/>
      <c r="SWZ98" s="17"/>
      <c r="SXA98" s="17"/>
      <c r="SXB98" s="17"/>
      <c r="SXC98" s="17"/>
      <c r="SXD98" s="17"/>
      <c r="SXE98" s="17"/>
      <c r="SXF98" s="17"/>
      <c r="SXG98" s="17"/>
      <c r="SXH98" s="17"/>
      <c r="SXI98" s="17"/>
      <c r="SXJ98" s="17"/>
      <c r="SXK98" s="17"/>
      <c r="SXL98" s="17"/>
      <c r="SXM98" s="17"/>
      <c r="SXN98" s="17"/>
      <c r="SXO98" s="17"/>
      <c r="SXP98" s="17"/>
      <c r="SXQ98" s="17"/>
      <c r="SXR98" s="17"/>
      <c r="SXS98" s="17"/>
      <c r="SXT98" s="17"/>
      <c r="SXU98" s="17"/>
      <c r="SXV98" s="17"/>
      <c r="SXW98" s="17"/>
      <c r="SXX98" s="17"/>
      <c r="SXY98" s="17"/>
      <c r="SXZ98" s="17"/>
      <c r="SYA98" s="17"/>
      <c r="SYB98" s="17"/>
      <c r="SYC98" s="17"/>
      <c r="SYD98" s="17"/>
      <c r="SYE98" s="17"/>
      <c r="SYF98" s="17"/>
      <c r="SYG98" s="17"/>
      <c r="SYH98" s="17"/>
      <c r="SYI98" s="17"/>
      <c r="SYJ98" s="17"/>
      <c r="SYK98" s="17"/>
      <c r="SYL98" s="17"/>
      <c r="SYM98" s="17"/>
      <c r="SYN98" s="17"/>
      <c r="SYO98" s="17"/>
      <c r="SYP98" s="17"/>
      <c r="SYQ98" s="17"/>
      <c r="SYR98" s="17"/>
      <c r="SYS98" s="17"/>
      <c r="SYT98" s="17"/>
      <c r="SYU98" s="17"/>
      <c r="SYV98" s="17"/>
      <c r="SYW98" s="17"/>
      <c r="SYX98" s="17"/>
      <c r="SYY98" s="17"/>
      <c r="SYZ98" s="17"/>
      <c r="SZA98" s="17"/>
      <c r="SZB98" s="17"/>
      <c r="SZC98" s="17"/>
      <c r="SZD98" s="17"/>
      <c r="SZE98" s="17"/>
      <c r="SZF98" s="17"/>
      <c r="SZG98" s="17"/>
      <c r="SZH98" s="17"/>
      <c r="SZI98" s="17"/>
      <c r="SZJ98" s="17"/>
      <c r="SZK98" s="17"/>
      <c r="SZL98" s="17"/>
      <c r="SZM98" s="17"/>
      <c r="SZN98" s="17"/>
      <c r="SZO98" s="17"/>
      <c r="SZP98" s="17"/>
      <c r="SZQ98" s="17"/>
      <c r="SZR98" s="17"/>
      <c r="SZS98" s="17"/>
      <c r="SZT98" s="17"/>
      <c r="SZU98" s="17"/>
      <c r="SZV98" s="17"/>
      <c r="SZW98" s="17"/>
      <c r="SZX98" s="17"/>
      <c r="SZY98" s="17"/>
      <c r="SZZ98" s="17"/>
      <c r="TAA98" s="17"/>
      <c r="TAB98" s="17"/>
      <c r="TAC98" s="17"/>
      <c r="TAD98" s="17"/>
      <c r="TAE98" s="17"/>
      <c r="TAF98" s="17"/>
      <c r="TAG98" s="17"/>
      <c r="TAH98" s="17"/>
      <c r="TAI98" s="17"/>
      <c r="TAJ98" s="17"/>
      <c r="TAK98" s="17"/>
      <c r="TAL98" s="17"/>
      <c r="TAM98" s="17"/>
      <c r="TAN98" s="17"/>
      <c r="TAO98" s="17"/>
      <c r="TAP98" s="17"/>
      <c r="TAQ98" s="17"/>
      <c r="TAR98" s="17"/>
      <c r="TAS98" s="17"/>
      <c r="TAT98" s="17"/>
      <c r="TAU98" s="17"/>
      <c r="TAV98" s="17"/>
      <c r="TAW98" s="17"/>
      <c r="TAX98" s="17"/>
      <c r="TAY98" s="17"/>
      <c r="TAZ98" s="17"/>
      <c r="TBA98" s="17"/>
      <c r="TBB98" s="17"/>
      <c r="TBC98" s="17"/>
      <c r="TBD98" s="17"/>
      <c r="TBE98" s="17"/>
      <c r="TBF98" s="17"/>
      <c r="TBG98" s="17"/>
      <c r="TBH98" s="17"/>
      <c r="TBI98" s="17"/>
      <c r="TBJ98" s="17"/>
      <c r="TBK98" s="17"/>
      <c r="TBL98" s="17"/>
      <c r="TBM98" s="17"/>
      <c r="TBN98" s="17"/>
      <c r="TBO98" s="17"/>
      <c r="TBP98" s="17"/>
      <c r="TBQ98" s="17"/>
      <c r="TBR98" s="17"/>
      <c r="TBS98" s="17"/>
      <c r="TBT98" s="17"/>
      <c r="TBU98" s="17"/>
      <c r="TBV98" s="17"/>
      <c r="TBW98" s="17"/>
      <c r="TBX98" s="17"/>
      <c r="TBY98" s="17"/>
      <c r="TBZ98" s="17"/>
      <c r="TCA98" s="17"/>
      <c r="TCB98" s="17"/>
      <c r="TCC98" s="17"/>
      <c r="TCD98" s="17"/>
      <c r="TCE98" s="17"/>
      <c r="TCF98" s="17"/>
      <c r="TCG98" s="17"/>
      <c r="TCH98" s="17"/>
      <c r="TCI98" s="17"/>
      <c r="TCJ98" s="17"/>
      <c r="TCK98" s="17"/>
      <c r="TCL98" s="17"/>
      <c r="TCM98" s="17"/>
      <c r="TCN98" s="17"/>
      <c r="TCO98" s="17"/>
      <c r="TCP98" s="17"/>
      <c r="TCQ98" s="17"/>
      <c r="TCR98" s="17"/>
      <c r="TCS98" s="17"/>
      <c r="TCT98" s="17"/>
      <c r="TCU98" s="17"/>
      <c r="TCV98" s="17"/>
      <c r="TCW98" s="17"/>
      <c r="TCX98" s="17"/>
      <c r="TCY98" s="17"/>
      <c r="TCZ98" s="17"/>
      <c r="TDA98" s="17"/>
      <c r="TDB98" s="17"/>
      <c r="TDC98" s="17"/>
      <c r="TDD98" s="17"/>
      <c r="TDE98" s="17"/>
      <c r="TDF98" s="17"/>
      <c r="TDG98" s="17"/>
      <c r="TDH98" s="17"/>
      <c r="TDI98" s="17"/>
      <c r="TDJ98" s="17"/>
      <c r="TDK98" s="17"/>
      <c r="TDL98" s="17"/>
      <c r="TDM98" s="17"/>
      <c r="TDN98" s="17"/>
      <c r="TDO98" s="17"/>
      <c r="TDP98" s="17"/>
      <c r="TDQ98" s="17"/>
      <c r="TDR98" s="17"/>
      <c r="TDS98" s="17"/>
      <c r="TDT98" s="17"/>
      <c r="TDU98" s="17"/>
      <c r="TDV98" s="17"/>
      <c r="TDW98" s="17"/>
      <c r="TDX98" s="17"/>
      <c r="TDY98" s="17"/>
      <c r="TDZ98" s="17"/>
      <c r="TEA98" s="17"/>
      <c r="TEB98" s="17"/>
      <c r="TEC98" s="17"/>
      <c r="TED98" s="17"/>
      <c r="TEE98" s="17"/>
      <c r="TEF98" s="17"/>
      <c r="TEG98" s="17"/>
      <c r="TEH98" s="17"/>
      <c r="TEI98" s="17"/>
      <c r="TEJ98" s="17"/>
      <c r="TEK98" s="17"/>
      <c r="TEL98" s="17"/>
      <c r="TEM98" s="17"/>
      <c r="TEN98" s="17"/>
      <c r="TEO98" s="17"/>
      <c r="TEP98" s="17"/>
      <c r="TEQ98" s="17"/>
      <c r="TER98" s="17"/>
      <c r="TES98" s="17"/>
      <c r="TET98" s="17"/>
      <c r="TEU98" s="17"/>
      <c r="TEV98" s="17"/>
      <c r="TEW98" s="17"/>
      <c r="TEX98" s="17"/>
      <c r="TEY98" s="17"/>
      <c r="TEZ98" s="17"/>
      <c r="TFA98" s="17"/>
      <c r="TFB98" s="17"/>
      <c r="TFC98" s="17"/>
      <c r="TFD98" s="17"/>
      <c r="TFE98" s="17"/>
      <c r="TFF98" s="17"/>
      <c r="TFG98" s="17"/>
      <c r="TFH98" s="17"/>
      <c r="TFI98" s="17"/>
      <c r="TFJ98" s="17"/>
      <c r="TFK98" s="17"/>
      <c r="TFL98" s="17"/>
      <c r="TFM98" s="17"/>
      <c r="TFN98" s="17"/>
      <c r="TFO98" s="17"/>
      <c r="TFP98" s="17"/>
      <c r="TFQ98" s="17"/>
      <c r="TFR98" s="17"/>
      <c r="TFS98" s="17"/>
      <c r="TFT98" s="17"/>
      <c r="TFU98" s="17"/>
      <c r="TFV98" s="17"/>
      <c r="TFW98" s="17"/>
      <c r="TFX98" s="17"/>
      <c r="TFY98" s="17"/>
      <c r="TFZ98" s="17"/>
      <c r="TGA98" s="17"/>
      <c r="TGB98" s="17"/>
      <c r="TGC98" s="17"/>
      <c r="TGD98" s="17"/>
      <c r="TGE98" s="17"/>
      <c r="TGF98" s="17"/>
      <c r="TGG98" s="17"/>
      <c r="TGH98" s="17"/>
      <c r="TGI98" s="17"/>
      <c r="TGJ98" s="17"/>
      <c r="TGK98" s="17"/>
      <c r="TGL98" s="17"/>
      <c r="TGM98" s="17"/>
      <c r="TGN98" s="17"/>
      <c r="TGO98" s="17"/>
      <c r="TGP98" s="17"/>
      <c r="TGQ98" s="17"/>
      <c r="TGR98" s="17"/>
      <c r="TGS98" s="17"/>
      <c r="TGT98" s="17"/>
      <c r="TGU98" s="17"/>
      <c r="TGV98" s="17"/>
      <c r="TGW98" s="17"/>
      <c r="TGX98" s="17"/>
      <c r="TGY98" s="17"/>
      <c r="TGZ98" s="17"/>
      <c r="THA98" s="17"/>
      <c r="THB98" s="17"/>
      <c r="THC98" s="17"/>
      <c r="THD98" s="17"/>
      <c r="THE98" s="17"/>
      <c r="THF98" s="17"/>
      <c r="THG98" s="17"/>
      <c r="THH98" s="17"/>
      <c r="THI98" s="17"/>
      <c r="THJ98" s="17"/>
      <c r="THK98" s="17"/>
      <c r="THL98" s="17"/>
      <c r="THM98" s="17"/>
      <c r="THN98" s="17"/>
      <c r="THO98" s="17"/>
      <c r="THP98" s="17"/>
      <c r="THQ98" s="17"/>
      <c r="THR98" s="17"/>
      <c r="THS98" s="17"/>
      <c r="THT98" s="17"/>
      <c r="THU98" s="17"/>
      <c r="THV98" s="17"/>
      <c r="THW98" s="17"/>
      <c r="THX98" s="17"/>
      <c r="THY98" s="17"/>
      <c r="THZ98" s="17"/>
      <c r="TIA98" s="17"/>
      <c r="TIB98" s="17"/>
      <c r="TIC98" s="17"/>
      <c r="TID98" s="17"/>
      <c r="TIE98" s="17"/>
      <c r="TIF98" s="17"/>
      <c r="TIG98" s="17"/>
      <c r="TIH98" s="17"/>
      <c r="TII98" s="17"/>
      <c r="TIJ98" s="17"/>
      <c r="TIK98" s="17"/>
      <c r="TIL98" s="17"/>
      <c r="TIM98" s="17"/>
      <c r="TIN98" s="17"/>
      <c r="TIO98" s="17"/>
      <c r="TIP98" s="17"/>
      <c r="TIQ98" s="17"/>
      <c r="TIR98" s="17"/>
      <c r="TIS98" s="17"/>
      <c r="TIT98" s="17"/>
      <c r="TIU98" s="17"/>
      <c r="TIV98" s="17"/>
      <c r="TIW98" s="17"/>
      <c r="TIX98" s="17"/>
      <c r="TIY98" s="17"/>
      <c r="TIZ98" s="17"/>
      <c r="TJA98" s="17"/>
      <c r="TJB98" s="17"/>
      <c r="TJC98" s="17"/>
      <c r="TJD98" s="17"/>
      <c r="TJE98" s="17"/>
      <c r="TJF98" s="17"/>
      <c r="TJG98" s="17"/>
      <c r="TJH98" s="17"/>
      <c r="TJI98" s="17"/>
      <c r="TJJ98" s="17"/>
      <c r="TJK98" s="17"/>
      <c r="TJL98" s="17"/>
      <c r="TJM98" s="17"/>
      <c r="TJN98" s="17"/>
      <c r="TJO98" s="17"/>
      <c r="TJP98" s="17"/>
      <c r="TJQ98" s="17"/>
      <c r="TJR98" s="17"/>
      <c r="TJS98" s="17"/>
      <c r="TJT98" s="17"/>
      <c r="TJU98" s="17"/>
      <c r="TJV98" s="17"/>
      <c r="TJW98" s="17"/>
      <c r="TJX98" s="17"/>
      <c r="TJY98" s="17"/>
      <c r="TJZ98" s="17"/>
      <c r="TKA98" s="17"/>
      <c r="TKB98" s="17"/>
      <c r="TKC98" s="17"/>
      <c r="TKD98" s="17"/>
      <c r="TKE98" s="17"/>
      <c r="TKF98" s="17"/>
      <c r="TKG98" s="17"/>
      <c r="TKH98" s="17"/>
      <c r="TKI98" s="17"/>
      <c r="TKJ98" s="17"/>
      <c r="TKK98" s="17"/>
      <c r="TKL98" s="17"/>
      <c r="TKM98" s="17"/>
      <c r="TKN98" s="17"/>
      <c r="TKO98" s="17"/>
      <c r="TKP98" s="17"/>
      <c r="TKQ98" s="17"/>
      <c r="TKR98" s="17"/>
      <c r="TKS98" s="17"/>
      <c r="TKT98" s="17"/>
      <c r="TKU98" s="17"/>
      <c r="TKV98" s="17"/>
      <c r="TKW98" s="17"/>
      <c r="TKX98" s="17"/>
      <c r="TKY98" s="17"/>
      <c r="TKZ98" s="17"/>
      <c r="TLA98" s="17"/>
      <c r="TLB98" s="17"/>
      <c r="TLC98" s="17"/>
      <c r="TLD98" s="17"/>
      <c r="TLE98" s="17"/>
      <c r="TLF98" s="17"/>
      <c r="TLG98" s="17"/>
      <c r="TLH98" s="17"/>
      <c r="TLI98" s="17"/>
      <c r="TLJ98" s="17"/>
      <c r="TLK98" s="17"/>
      <c r="TLL98" s="17"/>
      <c r="TLM98" s="17"/>
      <c r="TLN98" s="17"/>
      <c r="TLO98" s="17"/>
      <c r="TLP98" s="17"/>
      <c r="TLQ98" s="17"/>
      <c r="TLR98" s="17"/>
      <c r="TLS98" s="17"/>
      <c r="TLT98" s="17"/>
      <c r="TLU98" s="17"/>
      <c r="TLV98" s="17"/>
      <c r="TLW98" s="17"/>
      <c r="TLX98" s="17"/>
      <c r="TLY98" s="17"/>
      <c r="TLZ98" s="17"/>
      <c r="TMA98" s="17"/>
      <c r="TMB98" s="17"/>
      <c r="TMC98" s="17"/>
      <c r="TMD98" s="17"/>
      <c r="TME98" s="17"/>
      <c r="TMF98" s="17"/>
      <c r="TMG98" s="17"/>
      <c r="TMH98" s="17"/>
      <c r="TMI98" s="17"/>
      <c r="TMJ98" s="17"/>
      <c r="TMK98" s="17"/>
      <c r="TML98" s="17"/>
      <c r="TMM98" s="17"/>
      <c r="TMN98" s="17"/>
      <c r="TMO98" s="17"/>
      <c r="TMP98" s="17"/>
      <c r="TMQ98" s="17"/>
      <c r="TMR98" s="17"/>
      <c r="TMS98" s="17"/>
      <c r="TMT98" s="17"/>
      <c r="TMU98" s="17"/>
      <c r="TMV98" s="17"/>
      <c r="TMW98" s="17"/>
      <c r="TMX98" s="17"/>
      <c r="TMY98" s="17"/>
      <c r="TMZ98" s="17"/>
      <c r="TNA98" s="17"/>
      <c r="TNB98" s="17"/>
      <c r="TNC98" s="17"/>
      <c r="TND98" s="17"/>
      <c r="TNE98" s="17"/>
      <c r="TNF98" s="17"/>
      <c r="TNG98" s="17"/>
      <c r="TNH98" s="17"/>
      <c r="TNI98" s="17"/>
      <c r="TNJ98" s="17"/>
      <c r="TNK98" s="17"/>
      <c r="TNL98" s="17"/>
      <c r="TNM98" s="17"/>
      <c r="TNN98" s="17"/>
      <c r="TNO98" s="17"/>
      <c r="TNP98" s="17"/>
      <c r="TNQ98" s="17"/>
      <c r="TNR98" s="17"/>
      <c r="TNS98" s="17"/>
      <c r="TNT98" s="17"/>
      <c r="TNU98" s="17"/>
      <c r="TNV98" s="17"/>
      <c r="TNW98" s="17"/>
      <c r="TNX98" s="17"/>
      <c r="TNY98" s="17"/>
      <c r="TNZ98" s="17"/>
      <c r="TOA98" s="17"/>
      <c r="TOB98" s="17"/>
      <c r="TOC98" s="17"/>
      <c r="TOD98" s="17"/>
      <c r="TOE98" s="17"/>
      <c r="TOF98" s="17"/>
      <c r="TOG98" s="17"/>
      <c r="TOH98" s="17"/>
      <c r="TOI98" s="17"/>
      <c r="TOJ98" s="17"/>
      <c r="TOK98" s="17"/>
      <c r="TOL98" s="17"/>
      <c r="TOM98" s="17"/>
      <c r="TON98" s="17"/>
      <c r="TOO98" s="17"/>
      <c r="TOP98" s="17"/>
      <c r="TOQ98" s="17"/>
      <c r="TOR98" s="17"/>
      <c r="TOS98" s="17"/>
      <c r="TOT98" s="17"/>
      <c r="TOU98" s="17"/>
      <c r="TOV98" s="17"/>
      <c r="TOW98" s="17"/>
      <c r="TOX98" s="17"/>
      <c r="TOY98" s="17"/>
      <c r="TOZ98" s="17"/>
      <c r="TPA98" s="17"/>
      <c r="TPB98" s="17"/>
      <c r="TPC98" s="17"/>
      <c r="TPD98" s="17"/>
      <c r="TPE98" s="17"/>
      <c r="TPF98" s="17"/>
      <c r="TPG98" s="17"/>
      <c r="TPH98" s="17"/>
      <c r="TPI98" s="17"/>
      <c r="TPJ98" s="17"/>
      <c r="TPK98" s="17"/>
      <c r="TPL98" s="17"/>
      <c r="TPM98" s="17"/>
      <c r="TPN98" s="17"/>
      <c r="TPO98" s="17"/>
      <c r="TPP98" s="17"/>
      <c r="TPQ98" s="17"/>
      <c r="TPR98" s="17"/>
      <c r="TPS98" s="17"/>
      <c r="TPT98" s="17"/>
      <c r="TPU98" s="17"/>
      <c r="TPV98" s="17"/>
      <c r="TPW98" s="17"/>
      <c r="TPX98" s="17"/>
      <c r="TPY98" s="17"/>
      <c r="TPZ98" s="17"/>
      <c r="TQA98" s="17"/>
      <c r="TQB98" s="17"/>
      <c r="TQC98" s="17"/>
      <c r="TQD98" s="17"/>
      <c r="TQE98" s="17"/>
      <c r="TQF98" s="17"/>
      <c r="TQG98" s="17"/>
      <c r="TQH98" s="17"/>
      <c r="TQI98" s="17"/>
      <c r="TQJ98" s="17"/>
      <c r="TQK98" s="17"/>
      <c r="TQL98" s="17"/>
      <c r="TQM98" s="17"/>
      <c r="TQN98" s="17"/>
      <c r="TQO98" s="17"/>
      <c r="TQP98" s="17"/>
      <c r="TQQ98" s="17"/>
      <c r="TQR98" s="17"/>
      <c r="TQS98" s="17"/>
      <c r="TQT98" s="17"/>
      <c r="TQU98" s="17"/>
      <c r="TQV98" s="17"/>
      <c r="TQW98" s="17"/>
      <c r="TQX98" s="17"/>
      <c r="TQY98" s="17"/>
      <c r="TQZ98" s="17"/>
      <c r="TRA98" s="17"/>
      <c r="TRB98" s="17"/>
      <c r="TRC98" s="17"/>
      <c r="TRD98" s="17"/>
      <c r="TRE98" s="17"/>
      <c r="TRF98" s="17"/>
      <c r="TRG98" s="17"/>
      <c r="TRH98" s="17"/>
      <c r="TRI98" s="17"/>
      <c r="TRJ98" s="17"/>
      <c r="TRK98" s="17"/>
      <c r="TRL98" s="17"/>
      <c r="TRM98" s="17"/>
      <c r="TRN98" s="17"/>
      <c r="TRO98" s="17"/>
      <c r="TRP98" s="17"/>
      <c r="TRQ98" s="17"/>
      <c r="TRR98" s="17"/>
      <c r="TRS98" s="17"/>
      <c r="TRT98" s="17"/>
      <c r="TRU98" s="17"/>
      <c r="TRV98" s="17"/>
      <c r="TRW98" s="17"/>
      <c r="TRX98" s="17"/>
      <c r="TRY98" s="17"/>
      <c r="TRZ98" s="17"/>
      <c r="TSA98" s="17"/>
      <c r="TSB98" s="17"/>
      <c r="TSC98" s="17"/>
      <c r="TSD98" s="17"/>
      <c r="TSE98" s="17"/>
      <c r="TSF98" s="17"/>
      <c r="TSG98" s="17"/>
      <c r="TSH98" s="17"/>
      <c r="TSI98" s="17"/>
      <c r="TSJ98" s="17"/>
      <c r="TSK98" s="17"/>
      <c r="TSL98" s="17"/>
      <c r="TSM98" s="17"/>
      <c r="TSN98" s="17"/>
      <c r="TSO98" s="17"/>
      <c r="TSP98" s="17"/>
      <c r="TSQ98" s="17"/>
      <c r="TSR98" s="17"/>
      <c r="TSS98" s="17"/>
      <c r="TST98" s="17"/>
      <c r="TSU98" s="17"/>
      <c r="TSV98" s="17"/>
      <c r="TSW98" s="17"/>
      <c r="TSX98" s="17"/>
      <c r="TSY98" s="17"/>
      <c r="TSZ98" s="17"/>
      <c r="TTA98" s="17"/>
      <c r="TTB98" s="17"/>
      <c r="TTC98" s="17"/>
      <c r="TTD98" s="17"/>
      <c r="TTE98" s="17"/>
      <c r="TTF98" s="17"/>
      <c r="TTG98" s="17"/>
      <c r="TTH98" s="17"/>
      <c r="TTI98" s="17"/>
      <c r="TTJ98" s="17"/>
      <c r="TTK98" s="17"/>
      <c r="TTL98" s="17"/>
      <c r="TTM98" s="17"/>
      <c r="TTN98" s="17"/>
      <c r="TTO98" s="17"/>
      <c r="TTP98" s="17"/>
      <c r="TTQ98" s="17"/>
      <c r="TTR98" s="17"/>
      <c r="TTS98" s="17"/>
      <c r="TTT98" s="17"/>
      <c r="TTU98" s="17"/>
      <c r="TTV98" s="17"/>
      <c r="TTW98" s="17"/>
      <c r="TTX98" s="17"/>
      <c r="TTY98" s="17"/>
      <c r="TTZ98" s="17"/>
      <c r="TUA98" s="17"/>
      <c r="TUB98" s="17"/>
      <c r="TUC98" s="17"/>
      <c r="TUD98" s="17"/>
      <c r="TUE98" s="17"/>
      <c r="TUF98" s="17"/>
      <c r="TUG98" s="17"/>
      <c r="TUH98" s="17"/>
      <c r="TUI98" s="17"/>
      <c r="TUJ98" s="17"/>
      <c r="TUK98" s="17"/>
      <c r="TUL98" s="17"/>
      <c r="TUM98" s="17"/>
      <c r="TUN98" s="17"/>
      <c r="TUO98" s="17"/>
      <c r="TUP98" s="17"/>
      <c r="TUQ98" s="17"/>
      <c r="TUR98" s="17"/>
      <c r="TUS98" s="17"/>
      <c r="TUT98" s="17"/>
      <c r="TUU98" s="17"/>
      <c r="TUV98" s="17"/>
      <c r="TUW98" s="17"/>
      <c r="TUX98" s="17"/>
      <c r="TUY98" s="17"/>
      <c r="TUZ98" s="17"/>
      <c r="TVA98" s="17"/>
      <c r="TVB98" s="17"/>
      <c r="TVC98" s="17"/>
      <c r="TVD98" s="17"/>
      <c r="TVE98" s="17"/>
      <c r="TVF98" s="17"/>
      <c r="TVG98" s="17"/>
      <c r="TVH98" s="17"/>
      <c r="TVI98" s="17"/>
      <c r="TVJ98" s="17"/>
      <c r="TVK98" s="17"/>
      <c r="TVL98" s="17"/>
      <c r="TVM98" s="17"/>
      <c r="TVN98" s="17"/>
      <c r="TVO98" s="17"/>
      <c r="TVP98" s="17"/>
      <c r="TVQ98" s="17"/>
      <c r="TVR98" s="17"/>
      <c r="TVS98" s="17"/>
      <c r="TVT98" s="17"/>
      <c r="TVU98" s="17"/>
      <c r="TVV98" s="17"/>
      <c r="TVW98" s="17"/>
      <c r="TVX98" s="17"/>
      <c r="TVY98" s="17"/>
      <c r="TVZ98" s="17"/>
      <c r="TWA98" s="17"/>
      <c r="TWB98" s="17"/>
      <c r="TWC98" s="17"/>
      <c r="TWD98" s="17"/>
      <c r="TWE98" s="17"/>
      <c r="TWF98" s="17"/>
      <c r="TWG98" s="17"/>
      <c r="TWH98" s="17"/>
      <c r="TWI98" s="17"/>
      <c r="TWJ98" s="17"/>
      <c r="TWK98" s="17"/>
      <c r="TWL98" s="17"/>
      <c r="TWM98" s="17"/>
      <c r="TWN98" s="17"/>
      <c r="TWO98" s="17"/>
      <c r="TWP98" s="17"/>
      <c r="TWQ98" s="17"/>
      <c r="TWR98" s="17"/>
      <c r="TWS98" s="17"/>
      <c r="TWT98" s="17"/>
      <c r="TWU98" s="17"/>
      <c r="TWV98" s="17"/>
      <c r="TWW98" s="17"/>
      <c r="TWX98" s="17"/>
      <c r="TWY98" s="17"/>
      <c r="TWZ98" s="17"/>
      <c r="TXA98" s="17"/>
      <c r="TXB98" s="17"/>
      <c r="TXC98" s="17"/>
      <c r="TXD98" s="17"/>
      <c r="TXE98" s="17"/>
      <c r="TXF98" s="17"/>
      <c r="TXG98" s="17"/>
      <c r="TXH98" s="17"/>
      <c r="TXI98" s="17"/>
      <c r="TXJ98" s="17"/>
      <c r="TXK98" s="17"/>
      <c r="TXL98" s="17"/>
      <c r="TXM98" s="17"/>
      <c r="TXN98" s="17"/>
      <c r="TXO98" s="17"/>
      <c r="TXP98" s="17"/>
      <c r="TXQ98" s="17"/>
      <c r="TXR98" s="17"/>
      <c r="TXS98" s="17"/>
      <c r="TXT98" s="17"/>
      <c r="TXU98" s="17"/>
      <c r="TXV98" s="17"/>
      <c r="TXW98" s="17"/>
      <c r="TXX98" s="17"/>
      <c r="TXY98" s="17"/>
      <c r="TXZ98" s="17"/>
      <c r="TYA98" s="17"/>
      <c r="TYB98" s="17"/>
      <c r="TYC98" s="17"/>
      <c r="TYD98" s="17"/>
      <c r="TYE98" s="17"/>
      <c r="TYF98" s="17"/>
      <c r="TYG98" s="17"/>
      <c r="TYH98" s="17"/>
      <c r="TYI98" s="17"/>
      <c r="TYJ98" s="17"/>
      <c r="TYK98" s="17"/>
      <c r="TYL98" s="17"/>
      <c r="TYM98" s="17"/>
      <c r="TYN98" s="17"/>
      <c r="TYO98" s="17"/>
      <c r="TYP98" s="17"/>
      <c r="TYQ98" s="17"/>
      <c r="TYR98" s="17"/>
      <c r="TYS98" s="17"/>
      <c r="TYT98" s="17"/>
      <c r="TYU98" s="17"/>
      <c r="TYV98" s="17"/>
      <c r="TYW98" s="17"/>
      <c r="TYX98" s="17"/>
      <c r="TYY98" s="17"/>
      <c r="TYZ98" s="17"/>
      <c r="TZA98" s="17"/>
      <c r="TZB98" s="17"/>
      <c r="TZC98" s="17"/>
      <c r="TZD98" s="17"/>
      <c r="TZE98" s="17"/>
      <c r="TZF98" s="17"/>
      <c r="TZG98" s="17"/>
      <c r="TZH98" s="17"/>
      <c r="TZI98" s="17"/>
      <c r="TZJ98" s="17"/>
      <c r="TZK98" s="17"/>
      <c r="TZL98" s="17"/>
      <c r="TZM98" s="17"/>
      <c r="TZN98" s="17"/>
      <c r="TZO98" s="17"/>
      <c r="TZP98" s="17"/>
      <c r="TZQ98" s="17"/>
      <c r="TZR98" s="17"/>
      <c r="TZS98" s="17"/>
      <c r="TZT98" s="17"/>
      <c r="TZU98" s="17"/>
      <c r="TZV98" s="17"/>
      <c r="TZW98" s="17"/>
      <c r="TZX98" s="17"/>
      <c r="TZY98" s="17"/>
      <c r="TZZ98" s="17"/>
      <c r="UAA98" s="17"/>
      <c r="UAB98" s="17"/>
      <c r="UAC98" s="17"/>
      <c r="UAD98" s="17"/>
      <c r="UAE98" s="17"/>
      <c r="UAF98" s="17"/>
      <c r="UAG98" s="17"/>
      <c r="UAH98" s="17"/>
      <c r="UAI98" s="17"/>
      <c r="UAJ98" s="17"/>
      <c r="UAK98" s="17"/>
      <c r="UAL98" s="17"/>
      <c r="UAM98" s="17"/>
      <c r="UAN98" s="17"/>
      <c r="UAO98" s="17"/>
      <c r="UAP98" s="17"/>
      <c r="UAQ98" s="17"/>
      <c r="UAR98" s="17"/>
      <c r="UAS98" s="17"/>
      <c r="UAT98" s="17"/>
      <c r="UAU98" s="17"/>
      <c r="UAV98" s="17"/>
      <c r="UAW98" s="17"/>
      <c r="UAX98" s="17"/>
      <c r="UAY98" s="17"/>
      <c r="UAZ98" s="17"/>
      <c r="UBA98" s="17"/>
      <c r="UBB98" s="17"/>
      <c r="UBC98" s="17"/>
      <c r="UBD98" s="17"/>
      <c r="UBE98" s="17"/>
      <c r="UBF98" s="17"/>
      <c r="UBG98" s="17"/>
      <c r="UBH98" s="17"/>
      <c r="UBI98" s="17"/>
      <c r="UBJ98" s="17"/>
      <c r="UBK98" s="17"/>
      <c r="UBL98" s="17"/>
      <c r="UBM98" s="17"/>
      <c r="UBN98" s="17"/>
      <c r="UBO98" s="17"/>
      <c r="UBP98" s="17"/>
      <c r="UBQ98" s="17"/>
      <c r="UBR98" s="17"/>
      <c r="UBS98" s="17"/>
      <c r="UBT98" s="17"/>
      <c r="UBU98" s="17"/>
      <c r="UBV98" s="17"/>
      <c r="UBW98" s="17"/>
      <c r="UBX98" s="17"/>
      <c r="UBY98" s="17"/>
      <c r="UBZ98" s="17"/>
      <c r="UCA98" s="17"/>
      <c r="UCB98" s="17"/>
      <c r="UCC98" s="17"/>
      <c r="UCD98" s="17"/>
      <c r="UCE98" s="17"/>
      <c r="UCF98" s="17"/>
      <c r="UCG98" s="17"/>
      <c r="UCH98" s="17"/>
      <c r="UCI98" s="17"/>
      <c r="UCJ98" s="17"/>
      <c r="UCK98" s="17"/>
      <c r="UCL98" s="17"/>
      <c r="UCM98" s="17"/>
      <c r="UCN98" s="17"/>
      <c r="UCO98" s="17"/>
      <c r="UCP98" s="17"/>
      <c r="UCQ98" s="17"/>
      <c r="UCR98" s="17"/>
      <c r="UCS98" s="17"/>
      <c r="UCT98" s="17"/>
      <c r="UCU98" s="17"/>
      <c r="UCV98" s="17"/>
      <c r="UCW98" s="17"/>
      <c r="UCX98" s="17"/>
      <c r="UCY98" s="17"/>
      <c r="UCZ98" s="17"/>
      <c r="UDA98" s="17"/>
      <c r="UDB98" s="17"/>
      <c r="UDC98" s="17"/>
      <c r="UDD98" s="17"/>
      <c r="UDE98" s="17"/>
      <c r="UDF98" s="17"/>
      <c r="UDG98" s="17"/>
      <c r="UDH98" s="17"/>
      <c r="UDI98" s="17"/>
      <c r="UDJ98" s="17"/>
      <c r="UDK98" s="17"/>
      <c r="UDL98" s="17"/>
      <c r="UDM98" s="17"/>
      <c r="UDN98" s="17"/>
      <c r="UDO98" s="17"/>
      <c r="UDP98" s="17"/>
      <c r="UDQ98" s="17"/>
      <c r="UDR98" s="17"/>
      <c r="UDS98" s="17"/>
      <c r="UDT98" s="17"/>
      <c r="UDU98" s="17"/>
      <c r="UDV98" s="17"/>
      <c r="UDW98" s="17"/>
      <c r="UDX98" s="17"/>
      <c r="UDY98" s="17"/>
      <c r="UDZ98" s="17"/>
      <c r="UEA98" s="17"/>
      <c r="UEB98" s="17"/>
      <c r="UEC98" s="17"/>
      <c r="UED98" s="17"/>
      <c r="UEE98" s="17"/>
      <c r="UEF98" s="17"/>
      <c r="UEG98" s="17"/>
      <c r="UEH98" s="17"/>
      <c r="UEI98" s="17"/>
      <c r="UEJ98" s="17"/>
      <c r="UEK98" s="17"/>
      <c r="UEL98" s="17"/>
      <c r="UEM98" s="17"/>
      <c r="UEN98" s="17"/>
      <c r="UEO98" s="17"/>
      <c r="UEP98" s="17"/>
      <c r="UEQ98" s="17"/>
      <c r="UER98" s="17"/>
      <c r="UES98" s="17"/>
      <c r="UET98" s="17"/>
      <c r="UEU98" s="17"/>
      <c r="UEV98" s="17"/>
      <c r="UEW98" s="17"/>
      <c r="UEX98" s="17"/>
      <c r="UEY98" s="17"/>
      <c r="UEZ98" s="17"/>
      <c r="UFA98" s="17"/>
      <c r="UFB98" s="17"/>
      <c r="UFC98" s="17"/>
      <c r="UFD98" s="17"/>
      <c r="UFE98" s="17"/>
      <c r="UFF98" s="17"/>
      <c r="UFG98" s="17"/>
      <c r="UFH98" s="17"/>
      <c r="UFI98" s="17"/>
      <c r="UFJ98" s="17"/>
      <c r="UFK98" s="17"/>
      <c r="UFL98" s="17"/>
      <c r="UFM98" s="17"/>
      <c r="UFN98" s="17"/>
      <c r="UFO98" s="17"/>
      <c r="UFP98" s="17"/>
      <c r="UFQ98" s="17"/>
      <c r="UFR98" s="17"/>
      <c r="UFS98" s="17"/>
      <c r="UFT98" s="17"/>
      <c r="UFU98" s="17"/>
      <c r="UFV98" s="17"/>
      <c r="UFW98" s="17"/>
      <c r="UFX98" s="17"/>
      <c r="UFY98" s="17"/>
      <c r="UFZ98" s="17"/>
      <c r="UGA98" s="17"/>
      <c r="UGB98" s="17"/>
      <c r="UGC98" s="17"/>
      <c r="UGD98" s="17"/>
      <c r="UGE98" s="17"/>
      <c r="UGF98" s="17"/>
      <c r="UGG98" s="17"/>
      <c r="UGH98" s="17"/>
      <c r="UGI98" s="17"/>
      <c r="UGJ98" s="17"/>
      <c r="UGK98" s="17"/>
      <c r="UGL98" s="17"/>
      <c r="UGM98" s="17"/>
      <c r="UGN98" s="17"/>
      <c r="UGO98" s="17"/>
      <c r="UGP98" s="17"/>
      <c r="UGQ98" s="17"/>
      <c r="UGR98" s="17"/>
      <c r="UGS98" s="17"/>
      <c r="UGT98" s="17"/>
      <c r="UGU98" s="17"/>
      <c r="UGV98" s="17"/>
      <c r="UGW98" s="17"/>
      <c r="UGX98" s="17"/>
      <c r="UGY98" s="17"/>
      <c r="UGZ98" s="17"/>
      <c r="UHA98" s="17"/>
      <c r="UHB98" s="17"/>
      <c r="UHC98" s="17"/>
      <c r="UHD98" s="17"/>
      <c r="UHE98" s="17"/>
      <c r="UHF98" s="17"/>
      <c r="UHG98" s="17"/>
      <c r="UHH98" s="17"/>
      <c r="UHI98" s="17"/>
      <c r="UHJ98" s="17"/>
      <c r="UHK98" s="17"/>
      <c r="UHL98" s="17"/>
      <c r="UHM98" s="17"/>
      <c r="UHN98" s="17"/>
      <c r="UHO98" s="17"/>
      <c r="UHP98" s="17"/>
      <c r="UHQ98" s="17"/>
      <c r="UHR98" s="17"/>
      <c r="UHS98" s="17"/>
      <c r="UHT98" s="17"/>
      <c r="UHU98" s="17"/>
      <c r="UHV98" s="17"/>
      <c r="UHW98" s="17"/>
      <c r="UHX98" s="17"/>
      <c r="UHY98" s="17"/>
      <c r="UHZ98" s="17"/>
      <c r="UIA98" s="17"/>
      <c r="UIB98" s="17"/>
      <c r="UIC98" s="17"/>
      <c r="UID98" s="17"/>
      <c r="UIE98" s="17"/>
      <c r="UIF98" s="17"/>
      <c r="UIG98" s="17"/>
      <c r="UIH98" s="17"/>
      <c r="UII98" s="17"/>
      <c r="UIJ98" s="17"/>
      <c r="UIK98" s="17"/>
      <c r="UIL98" s="17"/>
      <c r="UIM98" s="17"/>
      <c r="UIN98" s="17"/>
      <c r="UIO98" s="17"/>
      <c r="UIP98" s="17"/>
      <c r="UIQ98" s="17"/>
      <c r="UIR98" s="17"/>
      <c r="UIS98" s="17"/>
      <c r="UIT98" s="17"/>
      <c r="UIU98" s="17"/>
      <c r="UIV98" s="17"/>
      <c r="UIW98" s="17"/>
      <c r="UIX98" s="17"/>
      <c r="UIY98" s="17"/>
      <c r="UIZ98" s="17"/>
      <c r="UJA98" s="17"/>
      <c r="UJB98" s="17"/>
      <c r="UJC98" s="17"/>
      <c r="UJD98" s="17"/>
      <c r="UJE98" s="17"/>
      <c r="UJF98" s="17"/>
      <c r="UJG98" s="17"/>
      <c r="UJH98" s="17"/>
      <c r="UJI98" s="17"/>
      <c r="UJJ98" s="17"/>
      <c r="UJK98" s="17"/>
      <c r="UJL98" s="17"/>
      <c r="UJM98" s="17"/>
      <c r="UJN98" s="17"/>
      <c r="UJO98" s="17"/>
      <c r="UJP98" s="17"/>
      <c r="UJQ98" s="17"/>
      <c r="UJR98" s="17"/>
      <c r="UJS98" s="17"/>
      <c r="UJT98" s="17"/>
      <c r="UJU98" s="17"/>
      <c r="UJV98" s="17"/>
      <c r="UJW98" s="17"/>
      <c r="UJX98" s="17"/>
      <c r="UJY98" s="17"/>
      <c r="UJZ98" s="17"/>
      <c r="UKA98" s="17"/>
      <c r="UKB98" s="17"/>
      <c r="UKC98" s="17"/>
      <c r="UKD98" s="17"/>
      <c r="UKE98" s="17"/>
      <c r="UKF98" s="17"/>
      <c r="UKG98" s="17"/>
      <c r="UKH98" s="17"/>
      <c r="UKI98" s="17"/>
      <c r="UKJ98" s="17"/>
      <c r="UKK98" s="17"/>
      <c r="UKL98" s="17"/>
      <c r="UKM98" s="17"/>
      <c r="UKN98" s="17"/>
      <c r="UKO98" s="17"/>
      <c r="UKP98" s="17"/>
      <c r="UKQ98" s="17"/>
      <c r="UKR98" s="17"/>
      <c r="UKS98" s="17"/>
      <c r="UKT98" s="17"/>
      <c r="UKU98" s="17"/>
      <c r="UKV98" s="17"/>
      <c r="UKW98" s="17"/>
      <c r="UKX98" s="17"/>
      <c r="UKY98" s="17"/>
      <c r="UKZ98" s="17"/>
      <c r="ULA98" s="17"/>
      <c r="ULB98" s="17"/>
      <c r="ULC98" s="17"/>
      <c r="ULD98" s="17"/>
      <c r="ULE98" s="17"/>
      <c r="ULF98" s="17"/>
      <c r="ULG98" s="17"/>
      <c r="ULH98" s="17"/>
      <c r="ULI98" s="17"/>
      <c r="ULJ98" s="17"/>
      <c r="ULK98" s="17"/>
      <c r="ULL98" s="17"/>
      <c r="ULM98" s="17"/>
      <c r="ULN98" s="17"/>
      <c r="ULO98" s="17"/>
      <c r="ULP98" s="17"/>
      <c r="ULQ98" s="17"/>
      <c r="ULR98" s="17"/>
      <c r="ULS98" s="17"/>
      <c r="ULT98" s="17"/>
      <c r="ULU98" s="17"/>
      <c r="ULV98" s="17"/>
      <c r="ULW98" s="17"/>
      <c r="ULX98" s="17"/>
      <c r="ULY98" s="17"/>
      <c r="ULZ98" s="17"/>
      <c r="UMA98" s="17"/>
      <c r="UMB98" s="17"/>
      <c r="UMC98" s="17"/>
      <c r="UMD98" s="17"/>
      <c r="UME98" s="17"/>
      <c r="UMF98" s="17"/>
      <c r="UMG98" s="17"/>
      <c r="UMH98" s="17"/>
      <c r="UMI98" s="17"/>
      <c r="UMJ98" s="17"/>
      <c r="UMK98" s="17"/>
      <c r="UML98" s="17"/>
      <c r="UMM98" s="17"/>
      <c r="UMN98" s="17"/>
      <c r="UMO98" s="17"/>
      <c r="UMP98" s="17"/>
      <c r="UMQ98" s="17"/>
      <c r="UMR98" s="17"/>
      <c r="UMS98" s="17"/>
      <c r="UMT98" s="17"/>
      <c r="UMU98" s="17"/>
      <c r="UMV98" s="17"/>
      <c r="UMW98" s="17"/>
      <c r="UMX98" s="17"/>
      <c r="UMY98" s="17"/>
      <c r="UMZ98" s="17"/>
      <c r="UNA98" s="17"/>
      <c r="UNB98" s="17"/>
      <c r="UNC98" s="17"/>
      <c r="UND98" s="17"/>
      <c r="UNE98" s="17"/>
      <c r="UNF98" s="17"/>
      <c r="UNG98" s="17"/>
      <c r="UNH98" s="17"/>
      <c r="UNI98" s="17"/>
      <c r="UNJ98" s="17"/>
      <c r="UNK98" s="17"/>
      <c r="UNL98" s="17"/>
      <c r="UNM98" s="17"/>
      <c r="UNN98" s="17"/>
      <c r="UNO98" s="17"/>
      <c r="UNP98" s="17"/>
      <c r="UNQ98" s="17"/>
      <c r="UNR98" s="17"/>
      <c r="UNS98" s="17"/>
      <c r="UNT98" s="17"/>
      <c r="UNU98" s="17"/>
      <c r="UNV98" s="17"/>
      <c r="UNW98" s="17"/>
      <c r="UNX98" s="17"/>
      <c r="UNY98" s="17"/>
      <c r="UNZ98" s="17"/>
      <c r="UOA98" s="17"/>
      <c r="UOB98" s="17"/>
      <c r="UOC98" s="17"/>
      <c r="UOD98" s="17"/>
      <c r="UOE98" s="17"/>
      <c r="UOF98" s="17"/>
      <c r="UOG98" s="17"/>
      <c r="UOH98" s="17"/>
      <c r="UOI98" s="17"/>
      <c r="UOJ98" s="17"/>
      <c r="UOK98" s="17"/>
      <c r="UOL98" s="17"/>
      <c r="UOM98" s="17"/>
      <c r="UON98" s="17"/>
      <c r="UOO98" s="17"/>
      <c r="UOP98" s="17"/>
      <c r="UOQ98" s="17"/>
      <c r="UOR98" s="17"/>
      <c r="UOS98" s="17"/>
      <c r="UOT98" s="17"/>
      <c r="UOU98" s="17"/>
      <c r="UOV98" s="17"/>
      <c r="UOW98" s="17"/>
      <c r="UOX98" s="17"/>
      <c r="UOY98" s="17"/>
      <c r="UOZ98" s="17"/>
      <c r="UPA98" s="17"/>
      <c r="UPB98" s="17"/>
      <c r="UPC98" s="17"/>
      <c r="UPD98" s="17"/>
      <c r="UPE98" s="17"/>
      <c r="UPF98" s="17"/>
      <c r="UPG98" s="17"/>
      <c r="UPH98" s="17"/>
      <c r="UPI98" s="17"/>
      <c r="UPJ98" s="17"/>
      <c r="UPK98" s="17"/>
      <c r="UPL98" s="17"/>
      <c r="UPM98" s="17"/>
      <c r="UPN98" s="17"/>
      <c r="UPO98" s="17"/>
      <c r="UPP98" s="17"/>
      <c r="UPQ98" s="17"/>
      <c r="UPR98" s="17"/>
      <c r="UPS98" s="17"/>
      <c r="UPT98" s="17"/>
      <c r="UPU98" s="17"/>
      <c r="UPV98" s="17"/>
      <c r="UPW98" s="17"/>
      <c r="UPX98" s="17"/>
      <c r="UPY98" s="17"/>
      <c r="UPZ98" s="17"/>
      <c r="UQA98" s="17"/>
      <c r="UQB98" s="17"/>
      <c r="UQC98" s="17"/>
      <c r="UQD98" s="17"/>
      <c r="UQE98" s="17"/>
      <c r="UQF98" s="17"/>
      <c r="UQG98" s="17"/>
      <c r="UQH98" s="17"/>
      <c r="UQI98" s="17"/>
      <c r="UQJ98" s="17"/>
      <c r="UQK98" s="17"/>
      <c r="UQL98" s="17"/>
      <c r="UQM98" s="17"/>
      <c r="UQN98" s="17"/>
      <c r="UQO98" s="17"/>
      <c r="UQP98" s="17"/>
      <c r="UQQ98" s="17"/>
      <c r="UQR98" s="17"/>
      <c r="UQS98" s="17"/>
      <c r="UQT98" s="17"/>
      <c r="UQU98" s="17"/>
      <c r="UQV98" s="17"/>
      <c r="UQW98" s="17"/>
      <c r="UQX98" s="17"/>
      <c r="UQY98" s="17"/>
      <c r="UQZ98" s="17"/>
      <c r="URA98" s="17"/>
      <c r="URB98" s="17"/>
      <c r="URC98" s="17"/>
      <c r="URD98" s="17"/>
      <c r="URE98" s="17"/>
      <c r="URF98" s="17"/>
      <c r="URG98" s="17"/>
      <c r="URH98" s="17"/>
      <c r="URI98" s="17"/>
      <c r="URJ98" s="17"/>
      <c r="URK98" s="17"/>
      <c r="URL98" s="17"/>
      <c r="URM98" s="17"/>
      <c r="URN98" s="17"/>
      <c r="URO98" s="17"/>
      <c r="URP98" s="17"/>
      <c r="URQ98" s="17"/>
      <c r="URR98" s="17"/>
      <c r="URS98" s="17"/>
      <c r="URT98" s="17"/>
      <c r="URU98" s="17"/>
      <c r="URV98" s="17"/>
      <c r="URW98" s="17"/>
      <c r="URX98" s="17"/>
      <c r="URY98" s="17"/>
      <c r="URZ98" s="17"/>
      <c r="USA98" s="17"/>
      <c r="USB98" s="17"/>
      <c r="USC98" s="17"/>
      <c r="USD98" s="17"/>
      <c r="USE98" s="17"/>
      <c r="USF98" s="17"/>
      <c r="USG98" s="17"/>
      <c r="USH98" s="17"/>
      <c r="USI98" s="17"/>
      <c r="USJ98" s="17"/>
      <c r="USK98" s="17"/>
      <c r="USL98" s="17"/>
      <c r="USM98" s="17"/>
      <c r="USN98" s="17"/>
      <c r="USO98" s="17"/>
      <c r="USP98" s="17"/>
      <c r="USQ98" s="17"/>
      <c r="USR98" s="17"/>
      <c r="USS98" s="17"/>
      <c r="UST98" s="17"/>
      <c r="USU98" s="17"/>
      <c r="USV98" s="17"/>
      <c r="USW98" s="17"/>
      <c r="USX98" s="17"/>
      <c r="USY98" s="17"/>
      <c r="USZ98" s="17"/>
      <c r="UTA98" s="17"/>
      <c r="UTB98" s="17"/>
      <c r="UTC98" s="17"/>
      <c r="UTD98" s="17"/>
      <c r="UTE98" s="17"/>
      <c r="UTF98" s="17"/>
      <c r="UTG98" s="17"/>
      <c r="UTH98" s="17"/>
      <c r="UTI98" s="17"/>
      <c r="UTJ98" s="17"/>
      <c r="UTK98" s="17"/>
      <c r="UTL98" s="17"/>
      <c r="UTM98" s="17"/>
      <c r="UTN98" s="17"/>
      <c r="UTO98" s="17"/>
      <c r="UTP98" s="17"/>
      <c r="UTQ98" s="17"/>
      <c r="UTR98" s="17"/>
      <c r="UTS98" s="17"/>
      <c r="UTT98" s="17"/>
      <c r="UTU98" s="17"/>
      <c r="UTV98" s="17"/>
      <c r="UTW98" s="17"/>
      <c r="UTX98" s="17"/>
      <c r="UTY98" s="17"/>
      <c r="UTZ98" s="17"/>
      <c r="UUA98" s="17"/>
      <c r="UUB98" s="17"/>
      <c r="UUC98" s="17"/>
      <c r="UUD98" s="17"/>
      <c r="UUE98" s="17"/>
      <c r="UUF98" s="17"/>
      <c r="UUG98" s="17"/>
      <c r="UUH98" s="17"/>
      <c r="UUI98" s="17"/>
      <c r="UUJ98" s="17"/>
      <c r="UUK98" s="17"/>
      <c r="UUL98" s="17"/>
      <c r="UUM98" s="17"/>
      <c r="UUN98" s="17"/>
      <c r="UUO98" s="17"/>
      <c r="UUP98" s="17"/>
      <c r="UUQ98" s="17"/>
      <c r="UUR98" s="17"/>
      <c r="UUS98" s="17"/>
      <c r="UUT98" s="17"/>
      <c r="UUU98" s="17"/>
      <c r="UUV98" s="17"/>
      <c r="UUW98" s="17"/>
      <c r="UUX98" s="17"/>
      <c r="UUY98" s="17"/>
      <c r="UUZ98" s="17"/>
      <c r="UVA98" s="17"/>
      <c r="UVB98" s="17"/>
      <c r="UVC98" s="17"/>
      <c r="UVD98" s="17"/>
      <c r="UVE98" s="17"/>
      <c r="UVF98" s="17"/>
      <c r="UVG98" s="17"/>
      <c r="UVH98" s="17"/>
      <c r="UVI98" s="17"/>
      <c r="UVJ98" s="17"/>
      <c r="UVK98" s="17"/>
      <c r="UVL98" s="17"/>
      <c r="UVM98" s="17"/>
      <c r="UVN98" s="17"/>
      <c r="UVO98" s="17"/>
      <c r="UVP98" s="17"/>
      <c r="UVQ98" s="17"/>
      <c r="UVR98" s="17"/>
      <c r="UVS98" s="17"/>
      <c r="UVT98" s="17"/>
      <c r="UVU98" s="17"/>
      <c r="UVV98" s="17"/>
      <c r="UVW98" s="17"/>
      <c r="UVX98" s="17"/>
      <c r="UVY98" s="17"/>
      <c r="UVZ98" s="17"/>
      <c r="UWA98" s="17"/>
      <c r="UWB98" s="17"/>
      <c r="UWC98" s="17"/>
      <c r="UWD98" s="17"/>
      <c r="UWE98" s="17"/>
      <c r="UWF98" s="17"/>
      <c r="UWG98" s="17"/>
      <c r="UWH98" s="17"/>
      <c r="UWI98" s="17"/>
      <c r="UWJ98" s="17"/>
      <c r="UWK98" s="17"/>
      <c r="UWL98" s="17"/>
      <c r="UWM98" s="17"/>
      <c r="UWN98" s="17"/>
      <c r="UWO98" s="17"/>
      <c r="UWP98" s="17"/>
      <c r="UWQ98" s="17"/>
      <c r="UWR98" s="17"/>
      <c r="UWS98" s="17"/>
      <c r="UWT98" s="17"/>
      <c r="UWU98" s="17"/>
      <c r="UWV98" s="17"/>
      <c r="UWW98" s="17"/>
      <c r="UWX98" s="17"/>
      <c r="UWY98" s="17"/>
      <c r="UWZ98" s="17"/>
      <c r="UXA98" s="17"/>
      <c r="UXB98" s="17"/>
      <c r="UXC98" s="17"/>
      <c r="UXD98" s="17"/>
      <c r="UXE98" s="17"/>
      <c r="UXF98" s="17"/>
      <c r="UXG98" s="17"/>
      <c r="UXH98" s="17"/>
      <c r="UXI98" s="17"/>
      <c r="UXJ98" s="17"/>
      <c r="UXK98" s="17"/>
      <c r="UXL98" s="17"/>
      <c r="UXM98" s="17"/>
      <c r="UXN98" s="17"/>
      <c r="UXO98" s="17"/>
      <c r="UXP98" s="17"/>
      <c r="UXQ98" s="17"/>
      <c r="UXR98" s="17"/>
      <c r="UXS98" s="17"/>
      <c r="UXT98" s="17"/>
      <c r="UXU98" s="17"/>
      <c r="UXV98" s="17"/>
      <c r="UXW98" s="17"/>
      <c r="UXX98" s="17"/>
      <c r="UXY98" s="17"/>
      <c r="UXZ98" s="17"/>
      <c r="UYA98" s="17"/>
      <c r="UYB98" s="17"/>
      <c r="UYC98" s="17"/>
      <c r="UYD98" s="17"/>
      <c r="UYE98" s="17"/>
      <c r="UYF98" s="17"/>
      <c r="UYG98" s="17"/>
      <c r="UYH98" s="17"/>
      <c r="UYI98" s="17"/>
      <c r="UYJ98" s="17"/>
      <c r="UYK98" s="17"/>
      <c r="UYL98" s="17"/>
      <c r="UYM98" s="17"/>
      <c r="UYN98" s="17"/>
      <c r="UYO98" s="17"/>
      <c r="UYP98" s="17"/>
      <c r="UYQ98" s="17"/>
      <c r="UYR98" s="17"/>
      <c r="UYS98" s="17"/>
      <c r="UYT98" s="17"/>
      <c r="UYU98" s="17"/>
      <c r="UYV98" s="17"/>
      <c r="UYW98" s="17"/>
      <c r="UYX98" s="17"/>
      <c r="UYY98" s="17"/>
      <c r="UYZ98" s="17"/>
      <c r="UZA98" s="17"/>
      <c r="UZB98" s="17"/>
      <c r="UZC98" s="17"/>
      <c r="UZD98" s="17"/>
      <c r="UZE98" s="17"/>
      <c r="UZF98" s="17"/>
      <c r="UZG98" s="17"/>
      <c r="UZH98" s="17"/>
      <c r="UZI98" s="17"/>
      <c r="UZJ98" s="17"/>
      <c r="UZK98" s="17"/>
      <c r="UZL98" s="17"/>
      <c r="UZM98" s="17"/>
      <c r="UZN98" s="17"/>
      <c r="UZO98" s="17"/>
      <c r="UZP98" s="17"/>
      <c r="UZQ98" s="17"/>
      <c r="UZR98" s="17"/>
      <c r="UZS98" s="17"/>
      <c r="UZT98" s="17"/>
      <c r="UZU98" s="17"/>
      <c r="UZV98" s="17"/>
      <c r="UZW98" s="17"/>
      <c r="UZX98" s="17"/>
      <c r="UZY98" s="17"/>
      <c r="UZZ98" s="17"/>
      <c r="VAA98" s="17"/>
      <c r="VAB98" s="17"/>
      <c r="VAC98" s="17"/>
      <c r="VAD98" s="17"/>
      <c r="VAE98" s="17"/>
      <c r="VAF98" s="17"/>
      <c r="VAG98" s="17"/>
      <c r="VAH98" s="17"/>
      <c r="VAI98" s="17"/>
      <c r="VAJ98" s="17"/>
      <c r="VAK98" s="17"/>
      <c r="VAL98" s="17"/>
      <c r="VAM98" s="17"/>
      <c r="VAN98" s="17"/>
      <c r="VAO98" s="17"/>
      <c r="VAP98" s="17"/>
      <c r="VAQ98" s="17"/>
      <c r="VAR98" s="17"/>
      <c r="VAS98" s="17"/>
      <c r="VAT98" s="17"/>
      <c r="VAU98" s="17"/>
      <c r="VAV98" s="17"/>
      <c r="VAW98" s="17"/>
      <c r="VAX98" s="17"/>
      <c r="VAY98" s="17"/>
      <c r="VAZ98" s="17"/>
      <c r="VBA98" s="17"/>
      <c r="VBB98" s="17"/>
      <c r="VBC98" s="17"/>
      <c r="VBD98" s="17"/>
      <c r="VBE98" s="17"/>
      <c r="VBF98" s="17"/>
      <c r="VBG98" s="17"/>
      <c r="VBH98" s="17"/>
      <c r="VBI98" s="17"/>
      <c r="VBJ98" s="17"/>
      <c r="VBK98" s="17"/>
      <c r="VBL98" s="17"/>
      <c r="VBM98" s="17"/>
      <c r="VBN98" s="17"/>
      <c r="VBO98" s="17"/>
      <c r="VBP98" s="17"/>
      <c r="VBQ98" s="17"/>
      <c r="VBR98" s="17"/>
      <c r="VBS98" s="17"/>
      <c r="VBT98" s="17"/>
      <c r="VBU98" s="17"/>
      <c r="VBV98" s="17"/>
      <c r="VBW98" s="17"/>
      <c r="VBX98" s="17"/>
      <c r="VBY98" s="17"/>
      <c r="VBZ98" s="17"/>
      <c r="VCA98" s="17"/>
      <c r="VCB98" s="17"/>
      <c r="VCC98" s="17"/>
      <c r="VCD98" s="17"/>
      <c r="VCE98" s="17"/>
      <c r="VCF98" s="17"/>
      <c r="VCG98" s="17"/>
      <c r="VCH98" s="17"/>
      <c r="VCI98" s="17"/>
      <c r="VCJ98" s="17"/>
      <c r="VCK98" s="17"/>
      <c r="VCL98" s="17"/>
      <c r="VCM98" s="17"/>
      <c r="VCN98" s="17"/>
      <c r="VCO98" s="17"/>
      <c r="VCP98" s="17"/>
      <c r="VCQ98" s="17"/>
      <c r="VCR98" s="17"/>
      <c r="VCS98" s="17"/>
      <c r="VCT98" s="17"/>
      <c r="VCU98" s="17"/>
      <c r="VCV98" s="17"/>
      <c r="VCW98" s="17"/>
      <c r="VCX98" s="17"/>
      <c r="VCY98" s="17"/>
      <c r="VCZ98" s="17"/>
      <c r="VDA98" s="17"/>
      <c r="VDB98" s="17"/>
      <c r="VDC98" s="17"/>
      <c r="VDD98" s="17"/>
      <c r="VDE98" s="17"/>
      <c r="VDF98" s="17"/>
      <c r="VDG98" s="17"/>
      <c r="VDH98" s="17"/>
      <c r="VDI98" s="17"/>
      <c r="VDJ98" s="17"/>
      <c r="VDK98" s="17"/>
      <c r="VDL98" s="17"/>
      <c r="VDM98" s="17"/>
      <c r="VDN98" s="17"/>
      <c r="VDO98" s="17"/>
      <c r="VDP98" s="17"/>
      <c r="VDQ98" s="17"/>
      <c r="VDR98" s="17"/>
      <c r="VDS98" s="17"/>
      <c r="VDT98" s="17"/>
      <c r="VDU98" s="17"/>
      <c r="VDV98" s="17"/>
      <c r="VDW98" s="17"/>
      <c r="VDX98" s="17"/>
      <c r="VDY98" s="17"/>
      <c r="VDZ98" s="17"/>
      <c r="VEA98" s="17"/>
      <c r="VEB98" s="17"/>
      <c r="VEC98" s="17"/>
      <c r="VED98" s="17"/>
      <c r="VEE98" s="17"/>
      <c r="VEF98" s="17"/>
      <c r="VEG98" s="17"/>
      <c r="VEH98" s="17"/>
      <c r="VEI98" s="17"/>
      <c r="VEJ98" s="17"/>
      <c r="VEK98" s="17"/>
      <c r="VEL98" s="17"/>
      <c r="VEM98" s="17"/>
      <c r="VEN98" s="17"/>
      <c r="VEO98" s="17"/>
      <c r="VEP98" s="17"/>
      <c r="VEQ98" s="17"/>
      <c r="VER98" s="17"/>
      <c r="VES98" s="17"/>
      <c r="VET98" s="17"/>
      <c r="VEU98" s="17"/>
      <c r="VEV98" s="17"/>
      <c r="VEW98" s="17"/>
      <c r="VEX98" s="17"/>
      <c r="VEY98" s="17"/>
      <c r="VEZ98" s="17"/>
      <c r="VFA98" s="17"/>
      <c r="VFB98" s="17"/>
      <c r="VFC98" s="17"/>
      <c r="VFD98" s="17"/>
      <c r="VFE98" s="17"/>
      <c r="VFF98" s="17"/>
      <c r="VFG98" s="17"/>
      <c r="VFH98" s="17"/>
      <c r="VFI98" s="17"/>
      <c r="VFJ98" s="17"/>
      <c r="VFK98" s="17"/>
      <c r="VFL98" s="17"/>
      <c r="VFM98" s="17"/>
      <c r="VFN98" s="17"/>
      <c r="VFO98" s="17"/>
      <c r="VFP98" s="17"/>
      <c r="VFQ98" s="17"/>
      <c r="VFR98" s="17"/>
      <c r="VFS98" s="17"/>
      <c r="VFT98" s="17"/>
      <c r="VFU98" s="17"/>
      <c r="VFV98" s="17"/>
      <c r="VFW98" s="17"/>
      <c r="VFX98" s="17"/>
      <c r="VFY98" s="17"/>
      <c r="VFZ98" s="17"/>
      <c r="VGA98" s="17"/>
      <c r="VGB98" s="17"/>
      <c r="VGC98" s="17"/>
      <c r="VGD98" s="17"/>
      <c r="VGE98" s="17"/>
      <c r="VGF98" s="17"/>
      <c r="VGG98" s="17"/>
      <c r="VGH98" s="17"/>
      <c r="VGI98" s="17"/>
      <c r="VGJ98" s="17"/>
      <c r="VGK98" s="17"/>
      <c r="VGL98" s="17"/>
      <c r="VGM98" s="17"/>
      <c r="VGN98" s="17"/>
      <c r="VGO98" s="17"/>
      <c r="VGP98" s="17"/>
      <c r="VGQ98" s="17"/>
      <c r="VGR98" s="17"/>
      <c r="VGS98" s="17"/>
      <c r="VGT98" s="17"/>
      <c r="VGU98" s="17"/>
      <c r="VGV98" s="17"/>
      <c r="VGW98" s="17"/>
      <c r="VGX98" s="17"/>
      <c r="VGY98" s="17"/>
      <c r="VGZ98" s="17"/>
      <c r="VHA98" s="17"/>
      <c r="VHB98" s="17"/>
      <c r="VHC98" s="17"/>
      <c r="VHD98" s="17"/>
      <c r="VHE98" s="17"/>
      <c r="VHF98" s="17"/>
      <c r="VHG98" s="17"/>
      <c r="VHH98" s="17"/>
      <c r="VHI98" s="17"/>
      <c r="VHJ98" s="17"/>
      <c r="VHK98" s="17"/>
      <c r="VHL98" s="17"/>
      <c r="VHM98" s="17"/>
      <c r="VHN98" s="17"/>
      <c r="VHO98" s="17"/>
      <c r="VHP98" s="17"/>
      <c r="VHQ98" s="17"/>
      <c r="VHR98" s="17"/>
      <c r="VHS98" s="17"/>
      <c r="VHT98" s="17"/>
      <c r="VHU98" s="17"/>
      <c r="VHV98" s="17"/>
      <c r="VHW98" s="17"/>
      <c r="VHX98" s="17"/>
      <c r="VHY98" s="17"/>
      <c r="VHZ98" s="17"/>
      <c r="VIA98" s="17"/>
      <c r="VIB98" s="17"/>
      <c r="VIC98" s="17"/>
      <c r="VID98" s="17"/>
      <c r="VIE98" s="17"/>
      <c r="VIF98" s="17"/>
      <c r="VIG98" s="17"/>
      <c r="VIH98" s="17"/>
      <c r="VII98" s="17"/>
      <c r="VIJ98" s="17"/>
      <c r="VIK98" s="17"/>
      <c r="VIL98" s="17"/>
      <c r="VIM98" s="17"/>
      <c r="VIN98" s="17"/>
      <c r="VIO98" s="17"/>
      <c r="VIP98" s="17"/>
      <c r="VIQ98" s="17"/>
      <c r="VIR98" s="17"/>
      <c r="VIS98" s="17"/>
      <c r="VIT98" s="17"/>
      <c r="VIU98" s="17"/>
      <c r="VIV98" s="17"/>
      <c r="VIW98" s="17"/>
      <c r="VIX98" s="17"/>
      <c r="VIY98" s="17"/>
      <c r="VIZ98" s="17"/>
      <c r="VJA98" s="17"/>
      <c r="VJB98" s="17"/>
      <c r="VJC98" s="17"/>
      <c r="VJD98" s="17"/>
      <c r="VJE98" s="17"/>
      <c r="VJF98" s="17"/>
      <c r="VJG98" s="17"/>
      <c r="VJH98" s="17"/>
      <c r="VJI98" s="17"/>
      <c r="VJJ98" s="17"/>
      <c r="VJK98" s="17"/>
      <c r="VJL98" s="17"/>
      <c r="VJM98" s="17"/>
      <c r="VJN98" s="17"/>
      <c r="VJO98" s="17"/>
      <c r="VJP98" s="17"/>
      <c r="VJQ98" s="17"/>
      <c r="VJR98" s="17"/>
      <c r="VJS98" s="17"/>
      <c r="VJT98" s="17"/>
      <c r="VJU98" s="17"/>
      <c r="VJV98" s="17"/>
      <c r="VJW98" s="17"/>
      <c r="VJX98" s="17"/>
      <c r="VJY98" s="17"/>
      <c r="VJZ98" s="17"/>
      <c r="VKA98" s="17"/>
      <c r="VKB98" s="17"/>
      <c r="VKC98" s="17"/>
      <c r="VKD98" s="17"/>
      <c r="VKE98" s="17"/>
      <c r="VKF98" s="17"/>
      <c r="VKG98" s="17"/>
      <c r="VKH98" s="17"/>
      <c r="VKI98" s="17"/>
      <c r="VKJ98" s="17"/>
      <c r="VKK98" s="17"/>
      <c r="VKL98" s="17"/>
      <c r="VKM98" s="17"/>
      <c r="VKN98" s="17"/>
      <c r="VKO98" s="17"/>
      <c r="VKP98" s="17"/>
      <c r="VKQ98" s="17"/>
      <c r="VKR98" s="17"/>
      <c r="VKS98" s="17"/>
      <c r="VKT98" s="17"/>
      <c r="VKU98" s="17"/>
      <c r="VKV98" s="17"/>
      <c r="VKW98" s="17"/>
      <c r="VKX98" s="17"/>
      <c r="VKY98" s="17"/>
      <c r="VKZ98" s="17"/>
      <c r="VLA98" s="17"/>
      <c r="VLB98" s="17"/>
      <c r="VLC98" s="17"/>
      <c r="VLD98" s="17"/>
      <c r="VLE98" s="17"/>
      <c r="VLF98" s="17"/>
      <c r="VLG98" s="17"/>
      <c r="VLH98" s="17"/>
      <c r="VLI98" s="17"/>
      <c r="VLJ98" s="17"/>
      <c r="VLK98" s="17"/>
      <c r="VLL98" s="17"/>
      <c r="VLM98" s="17"/>
      <c r="VLN98" s="17"/>
      <c r="VLO98" s="17"/>
      <c r="VLP98" s="17"/>
      <c r="VLQ98" s="17"/>
      <c r="VLR98" s="17"/>
      <c r="VLS98" s="17"/>
      <c r="VLT98" s="17"/>
      <c r="VLU98" s="17"/>
      <c r="VLV98" s="17"/>
      <c r="VLW98" s="17"/>
      <c r="VLX98" s="17"/>
      <c r="VLY98" s="17"/>
      <c r="VLZ98" s="17"/>
      <c r="VMA98" s="17"/>
      <c r="VMB98" s="17"/>
      <c r="VMC98" s="17"/>
      <c r="VMD98" s="17"/>
      <c r="VME98" s="17"/>
      <c r="VMF98" s="17"/>
      <c r="VMG98" s="17"/>
      <c r="VMH98" s="17"/>
      <c r="VMI98" s="17"/>
      <c r="VMJ98" s="17"/>
      <c r="VMK98" s="17"/>
      <c r="VML98" s="17"/>
      <c r="VMM98" s="17"/>
      <c r="VMN98" s="17"/>
      <c r="VMO98" s="17"/>
      <c r="VMP98" s="17"/>
      <c r="VMQ98" s="17"/>
      <c r="VMR98" s="17"/>
      <c r="VMS98" s="17"/>
      <c r="VMT98" s="17"/>
      <c r="VMU98" s="17"/>
      <c r="VMV98" s="17"/>
      <c r="VMW98" s="17"/>
      <c r="VMX98" s="17"/>
      <c r="VMY98" s="17"/>
      <c r="VMZ98" s="17"/>
      <c r="VNA98" s="17"/>
      <c r="VNB98" s="17"/>
      <c r="VNC98" s="17"/>
      <c r="VND98" s="17"/>
      <c r="VNE98" s="17"/>
      <c r="VNF98" s="17"/>
      <c r="VNG98" s="17"/>
      <c r="VNH98" s="17"/>
      <c r="VNI98" s="17"/>
      <c r="VNJ98" s="17"/>
      <c r="VNK98" s="17"/>
      <c r="VNL98" s="17"/>
      <c r="VNM98" s="17"/>
      <c r="VNN98" s="17"/>
      <c r="VNO98" s="17"/>
      <c r="VNP98" s="17"/>
      <c r="VNQ98" s="17"/>
      <c r="VNR98" s="17"/>
      <c r="VNS98" s="17"/>
      <c r="VNT98" s="17"/>
      <c r="VNU98" s="17"/>
      <c r="VNV98" s="17"/>
      <c r="VNW98" s="17"/>
      <c r="VNX98" s="17"/>
      <c r="VNY98" s="17"/>
      <c r="VNZ98" s="17"/>
      <c r="VOA98" s="17"/>
      <c r="VOB98" s="17"/>
      <c r="VOC98" s="17"/>
      <c r="VOD98" s="17"/>
      <c r="VOE98" s="17"/>
      <c r="VOF98" s="17"/>
      <c r="VOG98" s="17"/>
      <c r="VOH98" s="17"/>
      <c r="VOI98" s="17"/>
      <c r="VOJ98" s="17"/>
      <c r="VOK98" s="17"/>
      <c r="VOL98" s="17"/>
      <c r="VOM98" s="17"/>
      <c r="VON98" s="17"/>
      <c r="VOO98" s="17"/>
      <c r="VOP98" s="17"/>
      <c r="VOQ98" s="17"/>
      <c r="VOR98" s="17"/>
      <c r="VOS98" s="17"/>
      <c r="VOT98" s="17"/>
      <c r="VOU98" s="17"/>
      <c r="VOV98" s="17"/>
      <c r="VOW98" s="17"/>
      <c r="VOX98" s="17"/>
      <c r="VOY98" s="17"/>
      <c r="VOZ98" s="17"/>
      <c r="VPA98" s="17"/>
      <c r="VPB98" s="17"/>
      <c r="VPC98" s="17"/>
      <c r="VPD98" s="17"/>
      <c r="VPE98" s="17"/>
      <c r="VPF98" s="17"/>
      <c r="VPG98" s="17"/>
      <c r="VPH98" s="17"/>
      <c r="VPI98" s="17"/>
      <c r="VPJ98" s="17"/>
      <c r="VPK98" s="17"/>
      <c r="VPL98" s="17"/>
      <c r="VPM98" s="17"/>
      <c r="VPN98" s="17"/>
      <c r="VPO98" s="17"/>
      <c r="VPP98" s="17"/>
      <c r="VPQ98" s="17"/>
      <c r="VPR98" s="17"/>
      <c r="VPS98" s="17"/>
      <c r="VPT98" s="17"/>
      <c r="VPU98" s="17"/>
      <c r="VPV98" s="17"/>
      <c r="VPW98" s="17"/>
      <c r="VPX98" s="17"/>
      <c r="VPY98" s="17"/>
      <c r="VPZ98" s="17"/>
      <c r="VQA98" s="17"/>
      <c r="VQB98" s="17"/>
      <c r="VQC98" s="17"/>
      <c r="VQD98" s="17"/>
      <c r="VQE98" s="17"/>
      <c r="VQF98" s="17"/>
      <c r="VQG98" s="17"/>
      <c r="VQH98" s="17"/>
      <c r="VQI98" s="17"/>
      <c r="VQJ98" s="17"/>
      <c r="VQK98" s="17"/>
      <c r="VQL98" s="17"/>
      <c r="VQM98" s="17"/>
      <c r="VQN98" s="17"/>
      <c r="VQO98" s="17"/>
      <c r="VQP98" s="17"/>
      <c r="VQQ98" s="17"/>
      <c r="VQR98" s="17"/>
      <c r="VQS98" s="17"/>
      <c r="VQT98" s="17"/>
      <c r="VQU98" s="17"/>
      <c r="VQV98" s="17"/>
      <c r="VQW98" s="17"/>
      <c r="VQX98" s="17"/>
      <c r="VQY98" s="17"/>
      <c r="VQZ98" s="17"/>
      <c r="VRA98" s="17"/>
      <c r="VRB98" s="17"/>
      <c r="VRC98" s="17"/>
      <c r="VRD98" s="17"/>
      <c r="VRE98" s="17"/>
      <c r="VRF98" s="17"/>
      <c r="VRG98" s="17"/>
      <c r="VRH98" s="17"/>
      <c r="VRI98" s="17"/>
      <c r="VRJ98" s="17"/>
      <c r="VRK98" s="17"/>
      <c r="VRL98" s="17"/>
      <c r="VRM98" s="17"/>
      <c r="VRN98" s="17"/>
      <c r="VRO98" s="17"/>
      <c r="VRP98" s="17"/>
      <c r="VRQ98" s="17"/>
      <c r="VRR98" s="17"/>
      <c r="VRS98" s="17"/>
      <c r="VRT98" s="17"/>
      <c r="VRU98" s="17"/>
      <c r="VRV98" s="17"/>
      <c r="VRW98" s="17"/>
      <c r="VRX98" s="17"/>
      <c r="VRY98" s="17"/>
      <c r="VRZ98" s="17"/>
      <c r="VSA98" s="17"/>
      <c r="VSB98" s="17"/>
      <c r="VSC98" s="17"/>
      <c r="VSD98" s="17"/>
      <c r="VSE98" s="17"/>
      <c r="VSF98" s="17"/>
      <c r="VSG98" s="17"/>
      <c r="VSH98" s="17"/>
      <c r="VSI98" s="17"/>
      <c r="VSJ98" s="17"/>
      <c r="VSK98" s="17"/>
      <c r="VSL98" s="17"/>
      <c r="VSM98" s="17"/>
      <c r="VSN98" s="17"/>
      <c r="VSO98" s="17"/>
      <c r="VSP98" s="17"/>
      <c r="VSQ98" s="17"/>
      <c r="VSR98" s="17"/>
      <c r="VSS98" s="17"/>
      <c r="VST98" s="17"/>
      <c r="VSU98" s="17"/>
      <c r="VSV98" s="17"/>
      <c r="VSW98" s="17"/>
      <c r="VSX98" s="17"/>
      <c r="VSY98" s="17"/>
      <c r="VSZ98" s="17"/>
      <c r="VTA98" s="17"/>
      <c r="VTB98" s="17"/>
      <c r="VTC98" s="17"/>
      <c r="VTD98" s="17"/>
      <c r="VTE98" s="17"/>
      <c r="VTF98" s="17"/>
      <c r="VTG98" s="17"/>
      <c r="VTH98" s="17"/>
      <c r="VTI98" s="17"/>
      <c r="VTJ98" s="17"/>
      <c r="VTK98" s="17"/>
      <c r="VTL98" s="17"/>
      <c r="VTM98" s="17"/>
      <c r="VTN98" s="17"/>
      <c r="VTO98" s="17"/>
      <c r="VTP98" s="17"/>
      <c r="VTQ98" s="17"/>
      <c r="VTR98" s="17"/>
      <c r="VTS98" s="17"/>
      <c r="VTT98" s="17"/>
      <c r="VTU98" s="17"/>
      <c r="VTV98" s="17"/>
      <c r="VTW98" s="17"/>
      <c r="VTX98" s="17"/>
      <c r="VTY98" s="17"/>
      <c r="VTZ98" s="17"/>
      <c r="VUA98" s="17"/>
      <c r="VUB98" s="17"/>
      <c r="VUC98" s="17"/>
      <c r="VUD98" s="17"/>
      <c r="VUE98" s="17"/>
      <c r="VUF98" s="17"/>
      <c r="VUG98" s="17"/>
      <c r="VUH98" s="17"/>
      <c r="VUI98" s="17"/>
      <c r="VUJ98" s="17"/>
      <c r="VUK98" s="17"/>
      <c r="VUL98" s="17"/>
      <c r="VUM98" s="17"/>
      <c r="VUN98" s="17"/>
      <c r="VUO98" s="17"/>
      <c r="VUP98" s="17"/>
      <c r="VUQ98" s="17"/>
      <c r="VUR98" s="17"/>
      <c r="VUS98" s="17"/>
      <c r="VUT98" s="17"/>
      <c r="VUU98" s="17"/>
      <c r="VUV98" s="17"/>
      <c r="VUW98" s="17"/>
      <c r="VUX98" s="17"/>
      <c r="VUY98" s="17"/>
      <c r="VUZ98" s="17"/>
      <c r="VVA98" s="17"/>
      <c r="VVB98" s="17"/>
      <c r="VVC98" s="17"/>
      <c r="VVD98" s="17"/>
      <c r="VVE98" s="17"/>
      <c r="VVF98" s="17"/>
      <c r="VVG98" s="17"/>
      <c r="VVH98" s="17"/>
      <c r="VVI98" s="17"/>
      <c r="VVJ98" s="17"/>
      <c r="VVK98" s="17"/>
      <c r="VVL98" s="17"/>
      <c r="VVM98" s="17"/>
      <c r="VVN98" s="17"/>
      <c r="VVO98" s="17"/>
      <c r="VVP98" s="17"/>
      <c r="VVQ98" s="17"/>
      <c r="VVR98" s="17"/>
      <c r="VVS98" s="17"/>
      <c r="VVT98" s="17"/>
      <c r="VVU98" s="17"/>
      <c r="VVV98" s="17"/>
      <c r="VVW98" s="17"/>
      <c r="VVX98" s="17"/>
      <c r="VVY98" s="17"/>
      <c r="VVZ98" s="17"/>
      <c r="VWA98" s="17"/>
      <c r="VWB98" s="17"/>
      <c r="VWC98" s="17"/>
      <c r="VWD98" s="17"/>
      <c r="VWE98" s="17"/>
      <c r="VWF98" s="17"/>
      <c r="VWG98" s="17"/>
      <c r="VWH98" s="17"/>
      <c r="VWI98" s="17"/>
      <c r="VWJ98" s="17"/>
      <c r="VWK98" s="17"/>
      <c r="VWL98" s="17"/>
      <c r="VWM98" s="17"/>
      <c r="VWN98" s="17"/>
      <c r="VWO98" s="17"/>
      <c r="VWP98" s="17"/>
      <c r="VWQ98" s="17"/>
      <c r="VWR98" s="17"/>
      <c r="VWS98" s="17"/>
      <c r="VWT98" s="17"/>
      <c r="VWU98" s="17"/>
      <c r="VWV98" s="17"/>
      <c r="VWW98" s="17"/>
      <c r="VWX98" s="17"/>
      <c r="VWY98" s="17"/>
      <c r="VWZ98" s="17"/>
      <c r="VXA98" s="17"/>
      <c r="VXB98" s="17"/>
      <c r="VXC98" s="17"/>
      <c r="VXD98" s="17"/>
      <c r="VXE98" s="17"/>
      <c r="VXF98" s="17"/>
      <c r="VXG98" s="17"/>
      <c r="VXH98" s="17"/>
      <c r="VXI98" s="17"/>
      <c r="VXJ98" s="17"/>
      <c r="VXK98" s="17"/>
      <c r="VXL98" s="17"/>
      <c r="VXM98" s="17"/>
      <c r="VXN98" s="17"/>
      <c r="VXO98" s="17"/>
      <c r="VXP98" s="17"/>
      <c r="VXQ98" s="17"/>
      <c r="VXR98" s="17"/>
      <c r="VXS98" s="17"/>
      <c r="VXT98" s="17"/>
      <c r="VXU98" s="17"/>
      <c r="VXV98" s="17"/>
      <c r="VXW98" s="17"/>
      <c r="VXX98" s="17"/>
      <c r="VXY98" s="17"/>
      <c r="VXZ98" s="17"/>
      <c r="VYA98" s="17"/>
      <c r="VYB98" s="17"/>
      <c r="VYC98" s="17"/>
      <c r="VYD98" s="17"/>
      <c r="VYE98" s="17"/>
      <c r="VYF98" s="17"/>
      <c r="VYG98" s="17"/>
      <c r="VYH98" s="17"/>
      <c r="VYI98" s="17"/>
      <c r="VYJ98" s="17"/>
      <c r="VYK98" s="17"/>
      <c r="VYL98" s="17"/>
      <c r="VYM98" s="17"/>
      <c r="VYN98" s="17"/>
      <c r="VYO98" s="17"/>
      <c r="VYP98" s="17"/>
      <c r="VYQ98" s="17"/>
      <c r="VYR98" s="17"/>
      <c r="VYS98" s="17"/>
      <c r="VYT98" s="17"/>
      <c r="VYU98" s="17"/>
      <c r="VYV98" s="17"/>
      <c r="VYW98" s="17"/>
      <c r="VYX98" s="17"/>
      <c r="VYY98" s="17"/>
      <c r="VYZ98" s="17"/>
      <c r="VZA98" s="17"/>
      <c r="VZB98" s="17"/>
      <c r="VZC98" s="17"/>
      <c r="VZD98" s="17"/>
      <c r="VZE98" s="17"/>
      <c r="VZF98" s="17"/>
      <c r="VZG98" s="17"/>
      <c r="VZH98" s="17"/>
      <c r="VZI98" s="17"/>
      <c r="VZJ98" s="17"/>
      <c r="VZK98" s="17"/>
      <c r="VZL98" s="17"/>
      <c r="VZM98" s="17"/>
      <c r="VZN98" s="17"/>
      <c r="VZO98" s="17"/>
      <c r="VZP98" s="17"/>
      <c r="VZQ98" s="17"/>
      <c r="VZR98" s="17"/>
      <c r="VZS98" s="17"/>
      <c r="VZT98" s="17"/>
      <c r="VZU98" s="17"/>
      <c r="VZV98" s="17"/>
      <c r="VZW98" s="17"/>
      <c r="VZX98" s="17"/>
      <c r="VZY98" s="17"/>
      <c r="VZZ98" s="17"/>
      <c r="WAA98" s="17"/>
      <c r="WAB98" s="17"/>
      <c r="WAC98" s="17"/>
      <c r="WAD98" s="17"/>
      <c r="WAE98" s="17"/>
      <c r="WAF98" s="17"/>
      <c r="WAG98" s="17"/>
      <c r="WAH98" s="17"/>
      <c r="WAI98" s="17"/>
      <c r="WAJ98" s="17"/>
      <c r="WAK98" s="17"/>
      <c r="WAL98" s="17"/>
      <c r="WAM98" s="17"/>
      <c r="WAN98" s="17"/>
      <c r="WAO98" s="17"/>
      <c r="WAP98" s="17"/>
      <c r="WAQ98" s="17"/>
      <c r="WAR98" s="17"/>
      <c r="WAS98" s="17"/>
      <c r="WAT98" s="17"/>
      <c r="WAU98" s="17"/>
      <c r="WAV98" s="17"/>
      <c r="WAW98" s="17"/>
      <c r="WAX98" s="17"/>
      <c r="WAY98" s="17"/>
      <c r="WAZ98" s="17"/>
      <c r="WBA98" s="17"/>
      <c r="WBB98" s="17"/>
      <c r="WBC98" s="17"/>
      <c r="WBD98" s="17"/>
      <c r="WBE98" s="17"/>
      <c r="WBF98" s="17"/>
      <c r="WBG98" s="17"/>
      <c r="WBH98" s="17"/>
      <c r="WBI98" s="17"/>
      <c r="WBJ98" s="17"/>
      <c r="WBK98" s="17"/>
      <c r="WBL98" s="17"/>
      <c r="WBM98" s="17"/>
      <c r="WBN98" s="17"/>
      <c r="WBO98" s="17"/>
      <c r="WBP98" s="17"/>
      <c r="WBQ98" s="17"/>
      <c r="WBR98" s="17"/>
      <c r="WBS98" s="17"/>
      <c r="WBT98" s="17"/>
      <c r="WBU98" s="17"/>
      <c r="WBV98" s="17"/>
      <c r="WBW98" s="17"/>
      <c r="WBX98" s="17"/>
      <c r="WBY98" s="17"/>
      <c r="WBZ98" s="17"/>
      <c r="WCA98" s="17"/>
      <c r="WCB98" s="17"/>
      <c r="WCC98" s="17"/>
      <c r="WCD98" s="17"/>
      <c r="WCE98" s="17"/>
      <c r="WCF98" s="17"/>
      <c r="WCG98" s="17"/>
      <c r="WCH98" s="17"/>
      <c r="WCI98" s="17"/>
      <c r="WCJ98" s="17"/>
      <c r="WCK98" s="17"/>
      <c r="WCL98" s="17"/>
      <c r="WCM98" s="17"/>
      <c r="WCN98" s="17"/>
      <c r="WCO98" s="17"/>
      <c r="WCP98" s="17"/>
      <c r="WCQ98" s="17"/>
      <c r="WCR98" s="17"/>
      <c r="WCS98" s="17"/>
      <c r="WCT98" s="17"/>
      <c r="WCU98" s="17"/>
      <c r="WCV98" s="17"/>
      <c r="WCW98" s="17"/>
      <c r="WCX98" s="17"/>
      <c r="WCY98" s="17"/>
      <c r="WCZ98" s="17"/>
      <c r="WDA98" s="17"/>
      <c r="WDB98" s="17"/>
      <c r="WDC98" s="17"/>
      <c r="WDD98" s="17"/>
      <c r="WDE98" s="17"/>
      <c r="WDF98" s="17"/>
      <c r="WDG98" s="17"/>
      <c r="WDH98" s="17"/>
      <c r="WDI98" s="17"/>
      <c r="WDJ98" s="17"/>
      <c r="WDK98" s="17"/>
      <c r="WDL98" s="17"/>
      <c r="WDM98" s="17"/>
      <c r="WDN98" s="17"/>
      <c r="WDO98" s="17"/>
      <c r="WDP98" s="17"/>
      <c r="WDQ98" s="17"/>
      <c r="WDR98" s="17"/>
      <c r="WDS98" s="17"/>
      <c r="WDT98" s="17"/>
      <c r="WDU98" s="17"/>
      <c r="WDV98" s="17"/>
      <c r="WDW98" s="17"/>
      <c r="WDX98" s="17"/>
      <c r="WDY98" s="17"/>
      <c r="WDZ98" s="17"/>
      <c r="WEA98" s="17"/>
      <c r="WEB98" s="17"/>
      <c r="WEC98" s="17"/>
      <c r="WED98" s="17"/>
      <c r="WEE98" s="17"/>
      <c r="WEF98" s="17"/>
      <c r="WEG98" s="17"/>
      <c r="WEH98" s="17"/>
      <c r="WEI98" s="17"/>
      <c r="WEJ98" s="17"/>
      <c r="WEK98" s="17"/>
      <c r="WEL98" s="17"/>
      <c r="WEM98" s="17"/>
      <c r="WEN98" s="17"/>
      <c r="WEO98" s="17"/>
      <c r="WEP98" s="17"/>
      <c r="WEQ98" s="17"/>
      <c r="WER98" s="17"/>
      <c r="WES98" s="17"/>
      <c r="WET98" s="17"/>
      <c r="WEU98" s="17"/>
      <c r="WEV98" s="17"/>
      <c r="WEW98" s="17"/>
      <c r="WEX98" s="17"/>
      <c r="WEY98" s="17"/>
      <c r="WEZ98" s="17"/>
      <c r="WFA98" s="17"/>
      <c r="WFB98" s="17"/>
      <c r="WFC98" s="17"/>
      <c r="WFD98" s="17"/>
      <c r="WFE98" s="17"/>
      <c r="WFF98" s="17"/>
      <c r="WFG98" s="17"/>
      <c r="WFH98" s="17"/>
      <c r="WFI98" s="17"/>
      <c r="WFJ98" s="17"/>
      <c r="WFK98" s="17"/>
      <c r="WFL98" s="17"/>
      <c r="WFM98" s="17"/>
      <c r="WFN98" s="17"/>
      <c r="WFO98" s="17"/>
      <c r="WFP98" s="17"/>
      <c r="WFQ98" s="17"/>
      <c r="WFR98" s="17"/>
      <c r="WFS98" s="17"/>
      <c r="WFT98" s="17"/>
      <c r="WFU98" s="17"/>
      <c r="WFV98" s="17"/>
      <c r="WFW98" s="17"/>
      <c r="WFX98" s="17"/>
      <c r="WFY98" s="17"/>
      <c r="WFZ98" s="17"/>
      <c r="WGA98" s="17"/>
      <c r="WGB98" s="17"/>
      <c r="WGC98" s="17"/>
      <c r="WGD98" s="17"/>
      <c r="WGE98" s="17"/>
      <c r="WGF98" s="17"/>
      <c r="WGG98" s="17"/>
      <c r="WGH98" s="17"/>
      <c r="WGI98" s="17"/>
      <c r="WGJ98" s="17"/>
      <c r="WGK98" s="17"/>
      <c r="WGL98" s="17"/>
      <c r="WGM98" s="17"/>
      <c r="WGN98" s="17"/>
      <c r="WGO98" s="17"/>
      <c r="WGP98" s="17"/>
      <c r="WGQ98" s="17"/>
      <c r="WGR98" s="17"/>
      <c r="WGS98" s="17"/>
      <c r="WGT98" s="17"/>
      <c r="WGU98" s="17"/>
      <c r="WGV98" s="17"/>
      <c r="WGW98" s="17"/>
      <c r="WGX98" s="17"/>
      <c r="WGY98" s="17"/>
      <c r="WGZ98" s="17"/>
      <c r="WHA98" s="17"/>
      <c r="WHB98" s="17"/>
      <c r="WHC98" s="17"/>
      <c r="WHD98" s="17"/>
      <c r="WHE98" s="17"/>
      <c r="WHF98" s="17"/>
      <c r="WHG98" s="17"/>
      <c r="WHH98" s="17"/>
      <c r="WHI98" s="17"/>
      <c r="WHJ98" s="17"/>
      <c r="WHK98" s="17"/>
      <c r="WHL98" s="17"/>
      <c r="WHM98" s="17"/>
      <c r="WHN98" s="17"/>
      <c r="WHO98" s="17"/>
      <c r="WHP98" s="17"/>
      <c r="WHQ98" s="17"/>
      <c r="WHR98" s="17"/>
      <c r="WHS98" s="17"/>
      <c r="WHT98" s="17"/>
      <c r="WHU98" s="17"/>
      <c r="WHV98" s="17"/>
      <c r="WHW98" s="17"/>
      <c r="WHX98" s="17"/>
      <c r="WHY98" s="17"/>
      <c r="WHZ98" s="17"/>
      <c r="WIA98" s="17"/>
      <c r="WIB98" s="17"/>
      <c r="WIC98" s="17"/>
      <c r="WID98" s="17"/>
      <c r="WIE98" s="17"/>
      <c r="WIF98" s="17"/>
      <c r="WIG98" s="17"/>
      <c r="WIH98" s="17"/>
      <c r="WII98" s="17"/>
      <c r="WIJ98" s="17"/>
      <c r="WIK98" s="17"/>
      <c r="WIL98" s="17"/>
      <c r="WIM98" s="17"/>
      <c r="WIN98" s="17"/>
      <c r="WIO98" s="17"/>
      <c r="WIP98" s="17"/>
      <c r="WIQ98" s="17"/>
      <c r="WIR98" s="17"/>
      <c r="WIS98" s="17"/>
      <c r="WIT98" s="17"/>
      <c r="WIU98" s="17"/>
      <c r="WIV98" s="17"/>
      <c r="WIW98" s="17"/>
      <c r="WIX98" s="17"/>
      <c r="WIY98" s="17"/>
      <c r="WIZ98" s="17"/>
      <c r="WJA98" s="17"/>
      <c r="WJB98" s="17"/>
      <c r="WJC98" s="17"/>
      <c r="WJD98" s="17"/>
      <c r="WJE98" s="17"/>
      <c r="WJF98" s="17"/>
      <c r="WJG98" s="17"/>
      <c r="WJH98" s="17"/>
      <c r="WJI98" s="17"/>
      <c r="WJJ98" s="17"/>
      <c r="WJK98" s="17"/>
      <c r="WJL98" s="17"/>
      <c r="WJM98" s="17"/>
      <c r="WJN98" s="17"/>
      <c r="WJO98" s="17"/>
      <c r="WJP98" s="17"/>
      <c r="WJQ98" s="17"/>
      <c r="WJR98" s="17"/>
      <c r="WJS98" s="17"/>
      <c r="WJT98" s="17"/>
      <c r="WJU98" s="17"/>
      <c r="WJV98" s="17"/>
      <c r="WJW98" s="17"/>
      <c r="WJX98" s="17"/>
      <c r="WJY98" s="17"/>
      <c r="WJZ98" s="17"/>
      <c r="WKA98" s="17"/>
      <c r="WKB98" s="17"/>
      <c r="WKC98" s="17"/>
      <c r="WKD98" s="17"/>
      <c r="WKE98" s="17"/>
      <c r="WKF98" s="17"/>
      <c r="WKG98" s="17"/>
      <c r="WKH98" s="17"/>
      <c r="WKI98" s="17"/>
      <c r="WKJ98" s="17"/>
      <c r="WKK98" s="17"/>
      <c r="WKL98" s="17"/>
      <c r="WKM98" s="17"/>
      <c r="WKN98" s="17"/>
      <c r="WKO98" s="17"/>
      <c r="WKP98" s="17"/>
      <c r="WKQ98" s="17"/>
      <c r="WKR98" s="17"/>
      <c r="WKS98" s="17"/>
      <c r="WKT98" s="17"/>
      <c r="WKU98" s="17"/>
      <c r="WKV98" s="17"/>
      <c r="WKW98" s="17"/>
      <c r="WKX98" s="17"/>
      <c r="WKY98" s="17"/>
      <c r="WKZ98" s="17"/>
      <c r="WLA98" s="17"/>
      <c r="WLB98" s="17"/>
      <c r="WLC98" s="17"/>
      <c r="WLD98" s="17"/>
      <c r="WLE98" s="17"/>
      <c r="WLF98" s="17"/>
      <c r="WLG98" s="17"/>
      <c r="WLH98" s="17"/>
      <c r="WLI98" s="17"/>
      <c r="WLJ98" s="17"/>
      <c r="WLK98" s="17"/>
      <c r="WLL98" s="17"/>
      <c r="WLM98" s="17"/>
      <c r="WLN98" s="17"/>
      <c r="WLO98" s="17"/>
      <c r="WLP98" s="17"/>
      <c r="WLQ98" s="17"/>
      <c r="WLR98" s="17"/>
      <c r="WLS98" s="17"/>
      <c r="WLT98" s="17"/>
      <c r="WLU98" s="17"/>
      <c r="WLV98" s="17"/>
      <c r="WLW98" s="17"/>
      <c r="WLX98" s="17"/>
      <c r="WLY98" s="17"/>
      <c r="WLZ98" s="17"/>
      <c r="WMA98" s="17"/>
      <c r="WMB98" s="17"/>
      <c r="WMC98" s="17"/>
      <c r="WMD98" s="17"/>
      <c r="WME98" s="17"/>
      <c r="WMF98" s="17"/>
      <c r="WMG98" s="17"/>
      <c r="WMH98" s="17"/>
      <c r="WMI98" s="17"/>
      <c r="WMJ98" s="17"/>
      <c r="WMK98" s="17"/>
      <c r="WML98" s="17"/>
      <c r="WMM98" s="17"/>
      <c r="WMN98" s="17"/>
      <c r="WMO98" s="17"/>
      <c r="WMP98" s="17"/>
      <c r="WMQ98" s="17"/>
      <c r="WMR98" s="17"/>
      <c r="WMS98" s="17"/>
      <c r="WMT98" s="17"/>
      <c r="WMU98" s="17"/>
      <c r="WMV98" s="17"/>
      <c r="WMW98" s="17"/>
      <c r="WMX98" s="17"/>
      <c r="WMY98" s="17"/>
      <c r="WMZ98" s="17"/>
      <c r="WNA98" s="17"/>
      <c r="WNB98" s="17"/>
      <c r="WNC98" s="17"/>
      <c r="WND98" s="17"/>
      <c r="WNE98" s="17"/>
      <c r="WNF98" s="17"/>
      <c r="WNG98" s="17"/>
      <c r="WNH98" s="17"/>
      <c r="WNI98" s="17"/>
      <c r="WNJ98" s="17"/>
      <c r="WNK98" s="17"/>
      <c r="WNL98" s="17"/>
      <c r="WNM98" s="17"/>
      <c r="WNN98" s="17"/>
      <c r="WNO98" s="17"/>
      <c r="WNP98" s="17"/>
      <c r="WNQ98" s="17"/>
      <c r="WNR98" s="17"/>
      <c r="WNS98" s="17"/>
      <c r="WNT98" s="17"/>
      <c r="WNU98" s="17"/>
      <c r="WNV98" s="17"/>
      <c r="WNW98" s="17"/>
      <c r="WNX98" s="17"/>
      <c r="WNY98" s="17"/>
      <c r="WNZ98" s="17"/>
      <c r="WOA98" s="17"/>
      <c r="WOB98" s="17"/>
      <c r="WOC98" s="17"/>
      <c r="WOD98" s="17"/>
      <c r="WOE98" s="17"/>
      <c r="WOF98" s="17"/>
      <c r="WOG98" s="17"/>
      <c r="WOH98" s="17"/>
      <c r="WOI98" s="17"/>
      <c r="WOJ98" s="17"/>
      <c r="WOK98" s="17"/>
      <c r="WOL98" s="17"/>
      <c r="WOM98" s="17"/>
      <c r="WON98" s="17"/>
      <c r="WOO98" s="17"/>
      <c r="WOP98" s="17"/>
      <c r="WOQ98" s="17"/>
      <c r="WOR98" s="17"/>
      <c r="WOS98" s="17"/>
      <c r="WOT98" s="17"/>
      <c r="WOU98" s="17"/>
      <c r="WOV98" s="17"/>
      <c r="WOW98" s="17"/>
      <c r="WOX98" s="17"/>
      <c r="WOY98" s="17"/>
      <c r="WOZ98" s="17"/>
      <c r="WPA98" s="17"/>
      <c r="WPB98" s="17"/>
      <c r="WPC98" s="17"/>
      <c r="WPD98" s="17"/>
      <c r="WPE98" s="17"/>
      <c r="WPF98" s="17"/>
      <c r="WPG98" s="17"/>
      <c r="WPH98" s="17"/>
      <c r="WPI98" s="17"/>
      <c r="WPJ98" s="17"/>
      <c r="WPK98" s="17"/>
      <c r="WPL98" s="17"/>
      <c r="WPM98" s="17"/>
      <c r="WPN98" s="17"/>
      <c r="WPO98" s="17"/>
      <c r="WPP98" s="17"/>
      <c r="WPQ98" s="17"/>
      <c r="WPR98" s="17"/>
      <c r="WPS98" s="17"/>
      <c r="WPT98" s="17"/>
      <c r="WPU98" s="17"/>
      <c r="WPV98" s="17"/>
      <c r="WPW98" s="17"/>
      <c r="WPX98" s="17"/>
      <c r="WPY98" s="17"/>
      <c r="WPZ98" s="17"/>
      <c r="WQA98" s="17"/>
      <c r="WQB98" s="17"/>
      <c r="WQC98" s="17"/>
      <c r="WQD98" s="17"/>
      <c r="WQE98" s="17"/>
      <c r="WQF98" s="17"/>
      <c r="WQG98" s="17"/>
      <c r="WQH98" s="17"/>
      <c r="WQI98" s="17"/>
      <c r="WQJ98" s="17"/>
      <c r="WQK98" s="17"/>
      <c r="WQL98" s="17"/>
      <c r="WQM98" s="17"/>
      <c r="WQN98" s="17"/>
      <c r="WQO98" s="17"/>
      <c r="WQP98" s="17"/>
      <c r="WQQ98" s="17"/>
      <c r="WQR98" s="17"/>
      <c r="WQS98" s="17"/>
      <c r="WQT98" s="17"/>
      <c r="WQU98" s="17"/>
      <c r="WQV98" s="17"/>
      <c r="WQW98" s="17"/>
      <c r="WQX98" s="17"/>
      <c r="WQY98" s="17"/>
      <c r="WQZ98" s="17"/>
      <c r="WRA98" s="17"/>
      <c r="WRB98" s="17"/>
      <c r="WRC98" s="17"/>
      <c r="WRD98" s="17"/>
      <c r="WRE98" s="17"/>
      <c r="WRF98" s="17"/>
      <c r="WRG98" s="17"/>
      <c r="WRH98" s="17"/>
      <c r="WRI98" s="17"/>
      <c r="WRJ98" s="17"/>
      <c r="WRK98" s="17"/>
      <c r="WRL98" s="17"/>
      <c r="WRM98" s="17"/>
      <c r="WRN98" s="17"/>
      <c r="WRO98" s="17"/>
      <c r="WRP98" s="17"/>
      <c r="WRQ98" s="17"/>
      <c r="WRR98" s="17"/>
      <c r="WRS98" s="17"/>
      <c r="WRT98" s="17"/>
      <c r="WRU98" s="17"/>
      <c r="WRV98" s="17"/>
      <c r="WRW98" s="17"/>
      <c r="WRX98" s="17"/>
      <c r="WRY98" s="17"/>
      <c r="WRZ98" s="17"/>
      <c r="WSA98" s="17"/>
      <c r="WSB98" s="17"/>
      <c r="WSC98" s="17"/>
      <c r="WSD98" s="17"/>
      <c r="WSE98" s="17"/>
      <c r="WSF98" s="17"/>
      <c r="WSG98" s="17"/>
      <c r="WSH98" s="17"/>
      <c r="WSI98" s="17"/>
      <c r="WSJ98" s="17"/>
      <c r="WSK98" s="17"/>
      <c r="WSL98" s="17"/>
      <c r="WSM98" s="17"/>
      <c r="WSN98" s="17"/>
      <c r="WSO98" s="17"/>
      <c r="WSP98" s="17"/>
      <c r="WSQ98" s="17"/>
      <c r="WSR98" s="17"/>
      <c r="WSS98" s="17"/>
      <c r="WST98" s="17"/>
      <c r="WSU98" s="17"/>
      <c r="WSV98" s="17"/>
      <c r="WSW98" s="17"/>
      <c r="WSX98" s="17"/>
      <c r="WSY98" s="17"/>
      <c r="WSZ98" s="17"/>
      <c r="WTA98" s="17"/>
      <c r="WTB98" s="17"/>
      <c r="WTC98" s="17"/>
      <c r="WTD98" s="17"/>
      <c r="WTE98" s="17"/>
      <c r="WTF98" s="17"/>
      <c r="WTG98" s="17"/>
      <c r="WTH98" s="17"/>
      <c r="WTI98" s="17"/>
      <c r="WTJ98" s="17"/>
      <c r="WTK98" s="17"/>
      <c r="WTL98" s="17"/>
      <c r="WTM98" s="17"/>
      <c r="WTN98" s="17"/>
      <c r="WTO98" s="17"/>
      <c r="WTP98" s="17"/>
      <c r="WTQ98" s="17"/>
      <c r="WTR98" s="17"/>
      <c r="WTS98" s="17"/>
      <c r="WTT98" s="17"/>
      <c r="WTU98" s="17"/>
      <c r="WTV98" s="17"/>
      <c r="WTW98" s="17"/>
      <c r="WTX98" s="17"/>
      <c r="WTY98" s="17"/>
      <c r="WTZ98" s="17"/>
      <c r="WUA98" s="17"/>
      <c r="WUB98" s="17"/>
      <c r="WUC98" s="17"/>
      <c r="WUD98" s="17"/>
      <c r="WUE98" s="17"/>
      <c r="WUF98" s="17"/>
      <c r="WUG98" s="17"/>
      <c r="WUH98" s="17"/>
      <c r="WUI98" s="17"/>
      <c r="WUJ98" s="17"/>
      <c r="WUK98" s="17"/>
      <c r="WUL98" s="17"/>
      <c r="WUM98" s="17"/>
      <c r="WUN98" s="17"/>
      <c r="WUO98" s="17"/>
      <c r="WUP98" s="17"/>
      <c r="WUQ98" s="17"/>
      <c r="WUR98" s="17"/>
      <c r="WUS98" s="17"/>
      <c r="WUT98" s="17"/>
      <c r="WUU98" s="17"/>
      <c r="WUV98" s="17"/>
      <c r="WUW98" s="17"/>
      <c r="WUX98" s="17"/>
      <c r="WUY98" s="17"/>
      <c r="WUZ98" s="17"/>
      <c r="WVA98" s="17"/>
      <c r="WVB98" s="17"/>
      <c r="WVC98" s="17"/>
      <c r="WVD98" s="17"/>
      <c r="WVE98" s="17"/>
      <c r="WVF98" s="17"/>
      <c r="WVG98" s="17"/>
      <c r="WVH98" s="17"/>
      <c r="WVI98" s="17"/>
      <c r="WVJ98" s="17"/>
      <c r="WVK98" s="17"/>
      <c r="WVL98" s="17"/>
      <c r="WVM98" s="17"/>
      <c r="WVN98" s="17"/>
      <c r="WVO98" s="17"/>
      <c r="WVP98" s="17"/>
      <c r="WVQ98" s="17"/>
      <c r="WVR98" s="17"/>
      <c r="WVS98" s="17"/>
      <c r="WVT98" s="17"/>
      <c r="WVU98" s="17"/>
      <c r="WVV98" s="17"/>
      <c r="WVW98" s="17"/>
      <c r="WVX98" s="17"/>
      <c r="WVY98" s="17"/>
      <c r="WVZ98" s="17"/>
      <c r="WWA98" s="17"/>
      <c r="WWB98" s="17"/>
      <c r="WWC98" s="17"/>
      <c r="WWD98" s="17"/>
      <c r="WWE98" s="17"/>
      <c r="WWF98" s="17"/>
      <c r="WWG98" s="17"/>
      <c r="WWH98" s="17"/>
      <c r="WWI98" s="17"/>
      <c r="WWJ98" s="17"/>
      <c r="WWK98" s="17"/>
      <c r="WWL98" s="17"/>
      <c r="WWM98" s="17"/>
      <c r="WWN98" s="17"/>
      <c r="WWO98" s="17"/>
      <c r="WWP98" s="17"/>
      <c r="WWQ98" s="17"/>
      <c r="WWR98" s="17"/>
      <c r="WWS98" s="17"/>
      <c r="WWT98" s="17"/>
      <c r="WWU98" s="17"/>
      <c r="WWV98" s="17"/>
      <c r="WWW98" s="17"/>
      <c r="WWX98" s="17"/>
      <c r="WWY98" s="17"/>
      <c r="WWZ98" s="17"/>
      <c r="WXA98" s="17"/>
      <c r="WXB98" s="17"/>
      <c r="WXC98" s="17"/>
      <c r="WXD98" s="17"/>
      <c r="WXE98" s="17"/>
      <c r="WXF98" s="17"/>
      <c r="WXG98" s="17"/>
      <c r="WXH98" s="17"/>
      <c r="WXI98" s="17"/>
      <c r="WXJ98" s="17"/>
      <c r="WXK98" s="17"/>
      <c r="WXL98" s="17"/>
      <c r="WXM98" s="17"/>
      <c r="WXN98" s="17"/>
      <c r="WXO98" s="17"/>
      <c r="WXP98" s="17"/>
      <c r="WXQ98" s="17"/>
      <c r="WXR98" s="17"/>
      <c r="WXS98" s="17"/>
      <c r="WXT98" s="17"/>
      <c r="WXU98" s="17"/>
      <c r="WXV98" s="17"/>
      <c r="WXW98" s="17"/>
      <c r="WXX98" s="17"/>
      <c r="WXY98" s="17"/>
      <c r="WXZ98" s="17"/>
      <c r="WYA98" s="17"/>
      <c r="WYB98" s="17"/>
      <c r="WYC98" s="17"/>
      <c r="WYD98" s="17"/>
      <c r="WYE98" s="17"/>
      <c r="WYF98" s="17"/>
      <c r="WYG98" s="17"/>
      <c r="WYH98" s="17"/>
      <c r="WYI98" s="17"/>
      <c r="WYJ98" s="17"/>
      <c r="WYK98" s="17"/>
      <c r="WYL98" s="17"/>
      <c r="WYM98" s="17"/>
      <c r="WYN98" s="17"/>
      <c r="WYO98" s="17"/>
      <c r="WYP98" s="17"/>
      <c r="WYQ98" s="17"/>
      <c r="WYR98" s="17"/>
      <c r="WYS98" s="17"/>
      <c r="WYT98" s="17"/>
      <c r="WYU98" s="17"/>
      <c r="WYV98" s="17"/>
      <c r="WYW98" s="17"/>
      <c r="WYX98" s="17"/>
      <c r="WYY98" s="17"/>
      <c r="WYZ98" s="17"/>
      <c r="WZA98" s="17"/>
      <c r="WZB98" s="17"/>
      <c r="WZC98" s="17"/>
      <c r="WZD98" s="17"/>
      <c r="WZE98" s="17"/>
      <c r="WZF98" s="17"/>
      <c r="WZG98" s="17"/>
      <c r="WZH98" s="17"/>
      <c r="WZI98" s="17"/>
      <c r="WZJ98" s="17"/>
      <c r="WZK98" s="17"/>
      <c r="WZL98" s="17"/>
      <c r="WZM98" s="17"/>
      <c r="WZN98" s="17"/>
      <c r="WZO98" s="17"/>
      <c r="WZP98" s="17"/>
      <c r="WZQ98" s="17"/>
      <c r="WZR98" s="17"/>
      <c r="WZS98" s="17"/>
      <c r="WZT98" s="17"/>
      <c r="WZU98" s="17"/>
      <c r="WZV98" s="17"/>
      <c r="WZW98" s="17"/>
      <c r="WZX98" s="17"/>
      <c r="WZY98" s="17"/>
      <c r="WZZ98" s="17"/>
      <c r="XAA98" s="17"/>
      <c r="XAB98" s="17"/>
      <c r="XAC98" s="17"/>
      <c r="XAD98" s="17"/>
      <c r="XAE98" s="17"/>
      <c r="XAF98" s="17"/>
      <c r="XAG98" s="17"/>
      <c r="XAH98" s="17"/>
      <c r="XAI98" s="17"/>
      <c r="XAJ98" s="17"/>
      <c r="XAK98" s="17"/>
      <c r="XAL98" s="17"/>
      <c r="XAM98" s="17"/>
      <c r="XAN98" s="17"/>
      <c r="XAO98" s="17"/>
      <c r="XAP98" s="17"/>
      <c r="XAQ98" s="17"/>
      <c r="XAR98" s="17"/>
      <c r="XAS98" s="17"/>
      <c r="XAT98" s="17"/>
      <c r="XAU98" s="17"/>
      <c r="XAV98" s="17"/>
      <c r="XAW98" s="17"/>
      <c r="XAX98" s="17"/>
      <c r="XAY98" s="17"/>
      <c r="XAZ98" s="17"/>
      <c r="XBA98" s="17"/>
      <c r="XBB98" s="17"/>
      <c r="XBC98" s="17"/>
      <c r="XBD98" s="17"/>
      <c r="XBE98" s="17"/>
      <c r="XBF98" s="17"/>
      <c r="XBG98" s="17"/>
      <c r="XBH98" s="17"/>
      <c r="XBI98" s="17"/>
      <c r="XBJ98" s="17"/>
      <c r="XBK98" s="17"/>
      <c r="XBL98" s="17"/>
      <c r="XBM98" s="17"/>
      <c r="XBN98" s="17"/>
      <c r="XBO98" s="17"/>
      <c r="XBP98" s="17"/>
      <c r="XBQ98" s="17"/>
      <c r="XBR98" s="17"/>
      <c r="XBS98" s="17"/>
      <c r="XBT98" s="17"/>
      <c r="XBU98" s="17"/>
      <c r="XBV98" s="17"/>
      <c r="XBW98" s="17"/>
      <c r="XBX98" s="17"/>
      <c r="XBY98" s="17"/>
      <c r="XBZ98" s="17"/>
      <c r="XCA98" s="17"/>
      <c r="XCB98" s="17"/>
      <c r="XCC98" s="17"/>
      <c r="XCD98" s="17"/>
      <c r="XCE98" s="17"/>
      <c r="XCF98" s="17"/>
      <c r="XCG98" s="17"/>
      <c r="XCH98" s="17"/>
      <c r="XCI98" s="17"/>
      <c r="XCJ98" s="17"/>
      <c r="XCK98" s="17"/>
      <c r="XCL98" s="17"/>
      <c r="XCM98" s="17"/>
      <c r="XCN98" s="17"/>
      <c r="XCO98" s="17"/>
      <c r="XCP98" s="17"/>
      <c r="XCQ98" s="17"/>
      <c r="XCR98" s="17"/>
      <c r="XCS98" s="17"/>
      <c r="XCT98" s="17"/>
      <c r="XCU98" s="17"/>
      <c r="XCV98" s="17"/>
      <c r="XCW98" s="17"/>
      <c r="XCX98" s="17"/>
      <c r="XCY98" s="17"/>
      <c r="XCZ98" s="17"/>
      <c r="XDA98" s="17"/>
      <c r="XDB98" s="17"/>
      <c r="XDC98" s="17"/>
      <c r="XDD98" s="17"/>
      <c r="XDE98" s="17"/>
      <c r="XDF98" s="17"/>
      <c r="XDG98" s="17"/>
      <c r="XDH98" s="17"/>
      <c r="XDI98" s="17"/>
      <c r="XDJ98" s="17"/>
      <c r="XDK98" s="17"/>
      <c r="XDL98" s="17"/>
      <c r="XDM98" s="17"/>
      <c r="XDN98" s="17"/>
      <c r="XDO98" s="17"/>
      <c r="XDP98" s="17"/>
      <c r="XDQ98" s="17"/>
      <c r="XDR98" s="17"/>
      <c r="XDS98" s="17"/>
      <c r="XDT98" s="17"/>
      <c r="XDU98" s="17"/>
      <c r="XDV98" s="17"/>
      <c r="XDW98" s="17"/>
      <c r="XDX98" s="17"/>
      <c r="XDY98" s="17"/>
      <c r="XDZ98" s="17"/>
      <c r="XEA98" s="17"/>
      <c r="XEB98" s="17"/>
      <c r="XEC98" s="17"/>
      <c r="XED98" s="17"/>
      <c r="XEE98" s="17"/>
      <c r="XEF98" s="17"/>
      <c r="XEG98" s="17"/>
      <c r="XEH98" s="17"/>
      <c r="XEI98" s="17"/>
      <c r="XEJ98" s="17"/>
      <c r="XEK98" s="17"/>
      <c r="XEL98" s="17"/>
      <c r="XEM98" s="17"/>
      <c r="XEN98" s="17"/>
      <c r="XEO98" s="17"/>
      <c r="XEP98" s="17"/>
      <c r="XEQ98" s="17"/>
      <c r="XER98" s="17"/>
      <c r="XES98" s="17"/>
      <c r="XET98" s="17"/>
      <c r="XEU98" s="17"/>
      <c r="XEV98" s="17"/>
      <c r="XEW98" s="17"/>
      <c r="XEX98" s="17"/>
      <c r="XEY98" s="10"/>
      <c r="XEZ98" s="10"/>
      <c r="XFA98" s="10"/>
      <c r="XFB98" s="10"/>
      <c r="XFC98" s="94"/>
    </row>
    <row r="99" s="4" customFormat="1" ht="17.6" spans="1:248">
      <c r="A99" s="50"/>
      <c r="B99" s="51"/>
      <c r="C99" s="52" t="s">
        <v>88</v>
      </c>
      <c r="D99" s="53"/>
      <c r="E99" s="67" t="s">
        <v>17</v>
      </c>
      <c r="F99" s="68">
        <v>0</v>
      </c>
      <c r="G99" s="71">
        <v>10</v>
      </c>
      <c r="H99" s="71">
        <f t="shared" si="5"/>
        <v>0</v>
      </c>
      <c r="I99" s="80" t="s">
        <v>89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</row>
    <row r="100" s="4" customFormat="1" ht="25" customHeight="1" spans="1:248">
      <c r="A100" s="54"/>
      <c r="B100" s="55"/>
      <c r="C100" s="52" t="s">
        <v>90</v>
      </c>
      <c r="D100" s="53"/>
      <c r="E100" s="67" t="s">
        <v>17</v>
      </c>
      <c r="F100" s="68">
        <v>0</v>
      </c>
      <c r="G100" s="71">
        <v>20</v>
      </c>
      <c r="H100" s="71">
        <f t="shared" ref="H100:H127" si="6">F100*G100</f>
        <v>0</v>
      </c>
      <c r="I100" s="85" t="s">
        <v>91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</row>
    <row r="101" s="4" customFormat="1" ht="25" customHeight="1" spans="1:248">
      <c r="A101" s="56" t="s">
        <v>92</v>
      </c>
      <c r="B101" s="45"/>
      <c r="C101" s="34" t="s">
        <v>93</v>
      </c>
      <c r="D101" s="35"/>
      <c r="E101" s="67" t="s">
        <v>17</v>
      </c>
      <c r="F101" s="68">
        <v>0</v>
      </c>
      <c r="G101" s="71">
        <v>58</v>
      </c>
      <c r="H101" s="71">
        <f t="shared" si="6"/>
        <v>0</v>
      </c>
      <c r="I101" s="85" t="s">
        <v>94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</row>
    <row r="102" s="4" customFormat="1" ht="28" spans="1:248">
      <c r="A102" s="57"/>
      <c r="B102" s="58"/>
      <c r="C102" s="34" t="s">
        <v>95</v>
      </c>
      <c r="D102" s="35"/>
      <c r="E102" s="67" t="s">
        <v>17</v>
      </c>
      <c r="F102" s="68">
        <v>0</v>
      </c>
      <c r="G102" s="71">
        <v>78</v>
      </c>
      <c r="H102" s="71">
        <f t="shared" si="6"/>
        <v>0</v>
      </c>
      <c r="I102" s="85" t="s">
        <v>96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</row>
    <row r="103" s="4" customFormat="1" ht="17.6" spans="1:248">
      <c r="A103" s="46"/>
      <c r="B103" s="47"/>
      <c r="C103" s="34" t="s">
        <v>97</v>
      </c>
      <c r="D103" s="35"/>
      <c r="E103" s="67" t="s">
        <v>17</v>
      </c>
      <c r="F103" s="68">
        <v>0</v>
      </c>
      <c r="G103" s="71">
        <v>98</v>
      </c>
      <c r="H103" s="71">
        <f t="shared" si="6"/>
        <v>0</v>
      </c>
      <c r="I103" s="85" t="s">
        <v>98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</row>
    <row r="104" s="4" customFormat="1" ht="46" spans="1:248">
      <c r="A104" s="59" t="s">
        <v>99</v>
      </c>
      <c r="B104" s="60"/>
      <c r="C104" s="34" t="s">
        <v>100</v>
      </c>
      <c r="D104" s="35"/>
      <c r="E104" s="67" t="s">
        <v>17</v>
      </c>
      <c r="F104" s="68">
        <v>0</v>
      </c>
      <c r="G104" s="71">
        <v>168</v>
      </c>
      <c r="H104" s="71">
        <f t="shared" si="6"/>
        <v>0</v>
      </c>
      <c r="I104" s="80" t="s">
        <v>101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</row>
    <row r="105" s="4" customFormat="1" ht="42" customHeight="1" spans="1:16383">
      <c r="A105" s="61"/>
      <c r="B105" s="62"/>
      <c r="C105" s="63" t="s">
        <v>102</v>
      </c>
      <c r="D105" s="63"/>
      <c r="E105" s="67" t="s">
        <v>27</v>
      </c>
      <c r="F105" s="68">
        <v>0</v>
      </c>
      <c r="G105" s="71">
        <v>168</v>
      </c>
      <c r="H105" s="71">
        <f t="shared" si="6"/>
        <v>0</v>
      </c>
      <c r="I105" s="80" t="s">
        <v>103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7"/>
      <c r="IP105" s="17"/>
      <c r="IQ105" s="17"/>
      <c r="IR105" s="17"/>
      <c r="IS105" s="17"/>
      <c r="IT105" s="17"/>
      <c r="IU105" s="17"/>
      <c r="IV105" s="17"/>
      <c r="IW105" s="17"/>
      <c r="IX105" s="17"/>
      <c r="IY105" s="17"/>
      <c r="IZ105" s="17"/>
      <c r="JA105" s="17"/>
      <c r="JB105" s="17"/>
      <c r="JC105" s="17"/>
      <c r="JD105" s="17"/>
      <c r="JE105" s="17"/>
      <c r="JF105" s="17"/>
      <c r="JG105" s="17"/>
      <c r="JH105" s="17"/>
      <c r="JI105" s="17"/>
      <c r="JJ105" s="17"/>
      <c r="JK105" s="17"/>
      <c r="JL105" s="17"/>
      <c r="JM105" s="17"/>
      <c r="JN105" s="17"/>
      <c r="JO105" s="17"/>
      <c r="JP105" s="17"/>
      <c r="JQ105" s="17"/>
      <c r="JR105" s="17"/>
      <c r="JS105" s="17"/>
      <c r="JT105" s="17"/>
      <c r="JU105" s="17"/>
      <c r="JV105" s="17"/>
      <c r="JW105" s="17"/>
      <c r="JX105" s="17"/>
      <c r="JY105" s="17"/>
      <c r="JZ105" s="17"/>
      <c r="KA105" s="17"/>
      <c r="KB105" s="17"/>
      <c r="KC105" s="17"/>
      <c r="KD105" s="17"/>
      <c r="KE105" s="17"/>
      <c r="KF105" s="17"/>
      <c r="KG105" s="17"/>
      <c r="KH105" s="17"/>
      <c r="KI105" s="17"/>
      <c r="KJ105" s="17"/>
      <c r="KK105" s="17"/>
      <c r="KL105" s="17"/>
      <c r="KM105" s="17"/>
      <c r="KN105" s="17"/>
      <c r="KO105" s="17"/>
      <c r="KP105" s="17"/>
      <c r="KQ105" s="17"/>
      <c r="KR105" s="17"/>
      <c r="KS105" s="17"/>
      <c r="KT105" s="17"/>
      <c r="KU105" s="17"/>
      <c r="KV105" s="17"/>
      <c r="KW105" s="17"/>
      <c r="KX105" s="17"/>
      <c r="KY105" s="17"/>
      <c r="KZ105" s="17"/>
      <c r="LA105" s="17"/>
      <c r="LB105" s="17"/>
      <c r="LC105" s="17"/>
      <c r="LD105" s="17"/>
      <c r="LE105" s="17"/>
      <c r="LF105" s="17"/>
      <c r="LG105" s="17"/>
      <c r="LH105" s="17"/>
      <c r="LI105" s="17"/>
      <c r="LJ105" s="17"/>
      <c r="LK105" s="17"/>
      <c r="LL105" s="17"/>
      <c r="LM105" s="17"/>
      <c r="LN105" s="17"/>
      <c r="LO105" s="17"/>
      <c r="LP105" s="17"/>
      <c r="LQ105" s="17"/>
      <c r="LR105" s="17"/>
      <c r="LS105" s="17"/>
      <c r="LT105" s="17"/>
      <c r="LU105" s="17"/>
      <c r="LV105" s="17"/>
      <c r="LW105" s="17"/>
      <c r="LX105" s="17"/>
      <c r="LY105" s="17"/>
      <c r="LZ105" s="17"/>
      <c r="MA105" s="17"/>
      <c r="MB105" s="17"/>
      <c r="MC105" s="17"/>
      <c r="MD105" s="17"/>
      <c r="ME105" s="17"/>
      <c r="MF105" s="17"/>
      <c r="MG105" s="17"/>
      <c r="MH105" s="17"/>
      <c r="MI105" s="17"/>
      <c r="MJ105" s="17"/>
      <c r="MK105" s="17"/>
      <c r="ML105" s="17"/>
      <c r="MM105" s="17"/>
      <c r="MN105" s="17"/>
      <c r="MO105" s="17"/>
      <c r="MP105" s="17"/>
      <c r="MQ105" s="17"/>
      <c r="MR105" s="17"/>
      <c r="MS105" s="17"/>
      <c r="MT105" s="17"/>
      <c r="MU105" s="17"/>
      <c r="MV105" s="17"/>
      <c r="MW105" s="17"/>
      <c r="MX105" s="17"/>
      <c r="MY105" s="17"/>
      <c r="MZ105" s="17"/>
      <c r="NA105" s="17"/>
      <c r="NB105" s="17"/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  <c r="NX105" s="17"/>
      <c r="NY105" s="17"/>
      <c r="NZ105" s="17"/>
      <c r="OA105" s="17"/>
      <c r="OB105" s="17"/>
      <c r="OC105" s="17"/>
      <c r="OD105" s="17"/>
      <c r="OE105" s="17"/>
      <c r="OF105" s="17"/>
      <c r="OG105" s="17"/>
      <c r="OH105" s="17"/>
      <c r="OI105" s="17"/>
      <c r="OJ105" s="17"/>
      <c r="OK105" s="17"/>
      <c r="OL105" s="17"/>
      <c r="OM105" s="17"/>
      <c r="ON105" s="17"/>
      <c r="OO105" s="17"/>
      <c r="OP105" s="17"/>
      <c r="OQ105" s="17"/>
      <c r="OR105" s="17"/>
      <c r="OS105" s="17"/>
      <c r="OT105" s="17"/>
      <c r="OU105" s="17"/>
      <c r="OV105" s="17"/>
      <c r="OW105" s="17"/>
      <c r="OX105" s="17"/>
      <c r="OY105" s="17"/>
      <c r="OZ105" s="17"/>
      <c r="PA105" s="17"/>
      <c r="PB105" s="17"/>
      <c r="PC105" s="17"/>
      <c r="PD105" s="17"/>
      <c r="PE105" s="17"/>
      <c r="PF105" s="17"/>
      <c r="PG105" s="17"/>
      <c r="PH105" s="17"/>
      <c r="PI105" s="17"/>
      <c r="PJ105" s="17"/>
      <c r="PK105" s="17"/>
      <c r="PL105" s="17"/>
      <c r="PM105" s="17"/>
      <c r="PN105" s="17"/>
      <c r="PO105" s="17"/>
      <c r="PP105" s="17"/>
      <c r="PQ105" s="17"/>
      <c r="PR105" s="17"/>
      <c r="PS105" s="17"/>
      <c r="PT105" s="17"/>
      <c r="PU105" s="17"/>
      <c r="PV105" s="17"/>
      <c r="PW105" s="17"/>
      <c r="PX105" s="17"/>
      <c r="PY105" s="17"/>
      <c r="PZ105" s="17"/>
      <c r="QA105" s="17"/>
      <c r="QB105" s="17"/>
      <c r="QC105" s="17"/>
      <c r="QD105" s="17"/>
      <c r="QE105" s="17"/>
      <c r="QF105" s="17"/>
      <c r="QG105" s="17"/>
      <c r="QH105" s="17"/>
      <c r="QI105" s="17"/>
      <c r="QJ105" s="17"/>
      <c r="QK105" s="17"/>
      <c r="QL105" s="17"/>
      <c r="QM105" s="17"/>
      <c r="QN105" s="17"/>
      <c r="QO105" s="17"/>
      <c r="QP105" s="17"/>
      <c r="QQ105" s="17"/>
      <c r="QR105" s="17"/>
      <c r="QS105" s="17"/>
      <c r="QT105" s="17"/>
      <c r="QU105" s="17"/>
      <c r="QV105" s="17"/>
      <c r="QW105" s="17"/>
      <c r="QX105" s="17"/>
      <c r="QY105" s="17"/>
      <c r="QZ105" s="17"/>
      <c r="RA105" s="17"/>
      <c r="RB105" s="17"/>
      <c r="RC105" s="17"/>
      <c r="RD105" s="17"/>
      <c r="RE105" s="17"/>
      <c r="RF105" s="17"/>
      <c r="RG105" s="17"/>
      <c r="RH105" s="17"/>
      <c r="RI105" s="17"/>
      <c r="RJ105" s="17"/>
      <c r="RK105" s="17"/>
      <c r="RL105" s="17"/>
      <c r="RM105" s="17"/>
      <c r="RN105" s="17"/>
      <c r="RO105" s="17"/>
      <c r="RP105" s="17"/>
      <c r="RQ105" s="17"/>
      <c r="RR105" s="17"/>
      <c r="RS105" s="17"/>
      <c r="RT105" s="17"/>
      <c r="RU105" s="17"/>
      <c r="RV105" s="17"/>
      <c r="RW105" s="17"/>
      <c r="RX105" s="17"/>
      <c r="RY105" s="17"/>
      <c r="RZ105" s="17"/>
      <c r="SA105" s="17"/>
      <c r="SB105" s="17"/>
      <c r="SC105" s="17"/>
      <c r="SD105" s="17"/>
      <c r="SE105" s="17"/>
      <c r="SF105" s="17"/>
      <c r="SG105" s="17"/>
      <c r="SH105" s="17"/>
      <c r="SI105" s="17"/>
      <c r="SJ105" s="17"/>
      <c r="SK105" s="17"/>
      <c r="SL105" s="17"/>
      <c r="SM105" s="17"/>
      <c r="SN105" s="17"/>
      <c r="SO105" s="17"/>
      <c r="SP105" s="17"/>
      <c r="SQ105" s="17"/>
      <c r="SR105" s="17"/>
      <c r="SS105" s="17"/>
      <c r="ST105" s="17"/>
      <c r="SU105" s="17"/>
      <c r="SV105" s="17"/>
      <c r="SW105" s="17"/>
      <c r="SX105" s="17"/>
      <c r="SY105" s="17"/>
      <c r="SZ105" s="17"/>
      <c r="TA105" s="17"/>
      <c r="TB105" s="17"/>
      <c r="TC105" s="17"/>
      <c r="TD105" s="17"/>
      <c r="TE105" s="17"/>
      <c r="TF105" s="17"/>
      <c r="TG105" s="17"/>
      <c r="TH105" s="17"/>
      <c r="TI105" s="17"/>
      <c r="TJ105" s="17"/>
      <c r="TK105" s="17"/>
      <c r="TL105" s="17"/>
      <c r="TM105" s="17"/>
      <c r="TN105" s="17"/>
      <c r="TO105" s="17"/>
      <c r="TP105" s="17"/>
      <c r="TQ105" s="17"/>
      <c r="TR105" s="17"/>
      <c r="TS105" s="17"/>
      <c r="TT105" s="17"/>
      <c r="TU105" s="17"/>
      <c r="TV105" s="17"/>
      <c r="TW105" s="17"/>
      <c r="TX105" s="17"/>
      <c r="TY105" s="17"/>
      <c r="TZ105" s="17"/>
      <c r="UA105" s="17"/>
      <c r="UB105" s="17"/>
      <c r="UC105" s="17"/>
      <c r="UD105" s="17"/>
      <c r="UE105" s="17"/>
      <c r="UF105" s="17"/>
      <c r="UG105" s="17"/>
      <c r="UH105" s="17"/>
      <c r="UI105" s="17"/>
      <c r="UJ105" s="17"/>
      <c r="UK105" s="17"/>
      <c r="UL105" s="17"/>
      <c r="UM105" s="17"/>
      <c r="UN105" s="17"/>
      <c r="UO105" s="17"/>
      <c r="UP105" s="17"/>
      <c r="UQ105" s="17"/>
      <c r="UR105" s="17"/>
      <c r="US105" s="17"/>
      <c r="UT105" s="17"/>
      <c r="UU105" s="17"/>
      <c r="UV105" s="17"/>
      <c r="UW105" s="17"/>
      <c r="UX105" s="17"/>
      <c r="UY105" s="17"/>
      <c r="UZ105" s="17"/>
      <c r="VA105" s="17"/>
      <c r="VB105" s="17"/>
      <c r="VC105" s="17"/>
      <c r="VD105" s="17"/>
      <c r="VE105" s="17"/>
      <c r="VF105" s="17"/>
      <c r="VG105" s="17"/>
      <c r="VH105" s="17"/>
      <c r="VI105" s="17"/>
      <c r="VJ105" s="17"/>
      <c r="VK105" s="17"/>
      <c r="VL105" s="17"/>
      <c r="VM105" s="17"/>
      <c r="VN105" s="17"/>
      <c r="VO105" s="17"/>
      <c r="VP105" s="17"/>
      <c r="VQ105" s="17"/>
      <c r="VR105" s="17"/>
      <c r="VS105" s="17"/>
      <c r="VT105" s="17"/>
      <c r="VU105" s="17"/>
      <c r="VV105" s="17"/>
      <c r="VW105" s="17"/>
      <c r="VX105" s="17"/>
      <c r="VY105" s="17"/>
      <c r="VZ105" s="17"/>
      <c r="WA105" s="17"/>
      <c r="WB105" s="17"/>
      <c r="WC105" s="17"/>
      <c r="WD105" s="17"/>
      <c r="WE105" s="17"/>
      <c r="WF105" s="17"/>
      <c r="WG105" s="17"/>
      <c r="WH105" s="17"/>
      <c r="WI105" s="17"/>
      <c r="WJ105" s="17"/>
      <c r="WK105" s="17"/>
      <c r="WL105" s="17"/>
      <c r="WM105" s="17"/>
      <c r="WN105" s="17"/>
      <c r="WO105" s="17"/>
      <c r="WP105" s="17"/>
      <c r="WQ105" s="17"/>
      <c r="WR105" s="17"/>
      <c r="WS105" s="17"/>
      <c r="WT105" s="17"/>
      <c r="WU105" s="17"/>
      <c r="WV105" s="17"/>
      <c r="WW105" s="17"/>
      <c r="WX105" s="17"/>
      <c r="WY105" s="17"/>
      <c r="WZ105" s="17"/>
      <c r="XA105" s="17"/>
      <c r="XB105" s="17"/>
      <c r="XC105" s="17"/>
      <c r="XD105" s="17"/>
      <c r="XE105" s="17"/>
      <c r="XF105" s="17"/>
      <c r="XG105" s="17"/>
      <c r="XH105" s="17"/>
      <c r="XI105" s="17"/>
      <c r="XJ105" s="17"/>
      <c r="XK105" s="17"/>
      <c r="XL105" s="17"/>
      <c r="XM105" s="17"/>
      <c r="XN105" s="17"/>
      <c r="XO105" s="17"/>
      <c r="XP105" s="17"/>
      <c r="XQ105" s="17"/>
      <c r="XR105" s="17"/>
      <c r="XS105" s="17"/>
      <c r="XT105" s="17"/>
      <c r="XU105" s="17"/>
      <c r="XV105" s="17"/>
      <c r="XW105" s="17"/>
      <c r="XX105" s="17"/>
      <c r="XY105" s="17"/>
      <c r="XZ105" s="17"/>
      <c r="YA105" s="17"/>
      <c r="YB105" s="17"/>
      <c r="YC105" s="17"/>
      <c r="YD105" s="17"/>
      <c r="YE105" s="17"/>
      <c r="YF105" s="17"/>
      <c r="YG105" s="17"/>
      <c r="YH105" s="17"/>
      <c r="YI105" s="17"/>
      <c r="YJ105" s="17"/>
      <c r="YK105" s="17"/>
      <c r="YL105" s="17"/>
      <c r="YM105" s="17"/>
      <c r="YN105" s="17"/>
      <c r="YO105" s="17"/>
      <c r="YP105" s="17"/>
      <c r="YQ105" s="17"/>
      <c r="YR105" s="17"/>
      <c r="YS105" s="17"/>
      <c r="YT105" s="17"/>
      <c r="YU105" s="17"/>
      <c r="YV105" s="17"/>
      <c r="YW105" s="17"/>
      <c r="YX105" s="17"/>
      <c r="YY105" s="17"/>
      <c r="YZ105" s="17"/>
      <c r="ZA105" s="17"/>
      <c r="ZB105" s="17"/>
      <c r="ZC105" s="17"/>
      <c r="ZD105" s="17"/>
      <c r="ZE105" s="17"/>
      <c r="ZF105" s="17"/>
      <c r="ZG105" s="17"/>
      <c r="ZH105" s="17"/>
      <c r="ZI105" s="17"/>
      <c r="ZJ105" s="17"/>
      <c r="ZK105" s="17"/>
      <c r="ZL105" s="17"/>
      <c r="ZM105" s="17"/>
      <c r="ZN105" s="17"/>
      <c r="ZO105" s="17"/>
      <c r="ZP105" s="17"/>
      <c r="ZQ105" s="17"/>
      <c r="ZR105" s="17"/>
      <c r="ZS105" s="17"/>
      <c r="ZT105" s="17"/>
      <c r="ZU105" s="17"/>
      <c r="ZV105" s="17"/>
      <c r="ZW105" s="17"/>
      <c r="ZX105" s="17"/>
      <c r="ZY105" s="17"/>
      <c r="ZZ105" s="17"/>
      <c r="AAA105" s="17"/>
      <c r="AAB105" s="17"/>
      <c r="AAC105" s="17"/>
      <c r="AAD105" s="17"/>
      <c r="AAE105" s="17"/>
      <c r="AAF105" s="17"/>
      <c r="AAG105" s="17"/>
      <c r="AAH105" s="17"/>
      <c r="AAI105" s="17"/>
      <c r="AAJ105" s="17"/>
      <c r="AAK105" s="17"/>
      <c r="AAL105" s="17"/>
      <c r="AAM105" s="17"/>
      <c r="AAN105" s="17"/>
      <c r="AAO105" s="17"/>
      <c r="AAP105" s="17"/>
      <c r="AAQ105" s="17"/>
      <c r="AAR105" s="17"/>
      <c r="AAS105" s="17"/>
      <c r="AAT105" s="17"/>
      <c r="AAU105" s="17"/>
      <c r="AAV105" s="17"/>
      <c r="AAW105" s="17"/>
      <c r="AAX105" s="17"/>
      <c r="AAY105" s="17"/>
      <c r="AAZ105" s="17"/>
      <c r="ABA105" s="17"/>
      <c r="ABB105" s="17"/>
      <c r="ABC105" s="17"/>
      <c r="ABD105" s="17"/>
      <c r="ABE105" s="17"/>
      <c r="ABF105" s="17"/>
      <c r="ABG105" s="17"/>
      <c r="ABH105" s="17"/>
      <c r="ABI105" s="17"/>
      <c r="ABJ105" s="17"/>
      <c r="ABK105" s="17"/>
      <c r="ABL105" s="17"/>
      <c r="ABM105" s="17"/>
      <c r="ABN105" s="17"/>
      <c r="ABO105" s="17"/>
      <c r="ABP105" s="17"/>
      <c r="ABQ105" s="17"/>
      <c r="ABR105" s="17"/>
      <c r="ABS105" s="17"/>
      <c r="ABT105" s="17"/>
      <c r="ABU105" s="17"/>
      <c r="ABV105" s="17"/>
      <c r="ABW105" s="17"/>
      <c r="ABX105" s="17"/>
      <c r="ABY105" s="17"/>
      <c r="ABZ105" s="17"/>
      <c r="ACA105" s="17"/>
      <c r="ACB105" s="17"/>
      <c r="ACC105" s="17"/>
      <c r="ACD105" s="17"/>
      <c r="ACE105" s="17"/>
      <c r="ACF105" s="17"/>
      <c r="ACG105" s="17"/>
      <c r="ACH105" s="17"/>
      <c r="ACI105" s="17"/>
      <c r="ACJ105" s="17"/>
      <c r="ACK105" s="17"/>
      <c r="ACL105" s="17"/>
      <c r="ACM105" s="17"/>
      <c r="ACN105" s="17"/>
      <c r="ACO105" s="17"/>
      <c r="ACP105" s="17"/>
      <c r="ACQ105" s="17"/>
      <c r="ACR105" s="17"/>
      <c r="ACS105" s="17"/>
      <c r="ACT105" s="17"/>
      <c r="ACU105" s="17"/>
      <c r="ACV105" s="17"/>
      <c r="ACW105" s="17"/>
      <c r="ACX105" s="17"/>
      <c r="ACY105" s="17"/>
      <c r="ACZ105" s="17"/>
      <c r="ADA105" s="17"/>
      <c r="ADB105" s="17"/>
      <c r="ADC105" s="17"/>
      <c r="ADD105" s="17"/>
      <c r="ADE105" s="17"/>
      <c r="ADF105" s="17"/>
      <c r="ADG105" s="17"/>
      <c r="ADH105" s="17"/>
      <c r="ADI105" s="17"/>
      <c r="ADJ105" s="17"/>
      <c r="ADK105" s="17"/>
      <c r="ADL105" s="17"/>
      <c r="ADM105" s="17"/>
      <c r="ADN105" s="17"/>
      <c r="ADO105" s="17"/>
      <c r="ADP105" s="17"/>
      <c r="ADQ105" s="17"/>
      <c r="ADR105" s="17"/>
      <c r="ADS105" s="17"/>
      <c r="ADT105" s="17"/>
      <c r="ADU105" s="17"/>
      <c r="ADV105" s="17"/>
      <c r="ADW105" s="17"/>
      <c r="ADX105" s="17"/>
      <c r="ADY105" s="17"/>
      <c r="ADZ105" s="17"/>
      <c r="AEA105" s="17"/>
      <c r="AEB105" s="17"/>
      <c r="AEC105" s="17"/>
      <c r="AED105" s="17"/>
      <c r="AEE105" s="17"/>
      <c r="AEF105" s="17"/>
      <c r="AEG105" s="17"/>
      <c r="AEH105" s="17"/>
      <c r="AEI105" s="17"/>
      <c r="AEJ105" s="17"/>
      <c r="AEK105" s="17"/>
      <c r="AEL105" s="17"/>
      <c r="AEM105" s="17"/>
      <c r="AEN105" s="17"/>
      <c r="AEO105" s="17"/>
      <c r="AEP105" s="17"/>
      <c r="AEQ105" s="17"/>
      <c r="AER105" s="17"/>
      <c r="AES105" s="17"/>
      <c r="AET105" s="17"/>
      <c r="AEU105" s="17"/>
      <c r="AEV105" s="17"/>
      <c r="AEW105" s="17"/>
      <c r="AEX105" s="17"/>
      <c r="AEY105" s="17"/>
      <c r="AEZ105" s="17"/>
      <c r="AFA105" s="17"/>
      <c r="AFB105" s="17"/>
      <c r="AFC105" s="17"/>
      <c r="AFD105" s="17"/>
      <c r="AFE105" s="17"/>
      <c r="AFF105" s="17"/>
      <c r="AFG105" s="17"/>
      <c r="AFH105" s="17"/>
      <c r="AFI105" s="17"/>
      <c r="AFJ105" s="17"/>
      <c r="AFK105" s="17"/>
      <c r="AFL105" s="17"/>
      <c r="AFM105" s="17"/>
      <c r="AFN105" s="17"/>
      <c r="AFO105" s="17"/>
      <c r="AFP105" s="17"/>
      <c r="AFQ105" s="17"/>
      <c r="AFR105" s="17"/>
      <c r="AFS105" s="17"/>
      <c r="AFT105" s="17"/>
      <c r="AFU105" s="17"/>
      <c r="AFV105" s="17"/>
      <c r="AFW105" s="17"/>
      <c r="AFX105" s="17"/>
      <c r="AFY105" s="17"/>
      <c r="AFZ105" s="17"/>
      <c r="AGA105" s="17"/>
      <c r="AGB105" s="17"/>
      <c r="AGC105" s="17"/>
      <c r="AGD105" s="17"/>
      <c r="AGE105" s="17"/>
      <c r="AGF105" s="17"/>
      <c r="AGG105" s="17"/>
      <c r="AGH105" s="17"/>
      <c r="AGI105" s="17"/>
      <c r="AGJ105" s="17"/>
      <c r="AGK105" s="17"/>
      <c r="AGL105" s="17"/>
      <c r="AGM105" s="17"/>
      <c r="AGN105" s="17"/>
      <c r="AGO105" s="17"/>
      <c r="AGP105" s="17"/>
      <c r="AGQ105" s="17"/>
      <c r="AGR105" s="17"/>
      <c r="AGS105" s="17"/>
      <c r="AGT105" s="17"/>
      <c r="AGU105" s="17"/>
      <c r="AGV105" s="17"/>
      <c r="AGW105" s="17"/>
      <c r="AGX105" s="17"/>
      <c r="AGY105" s="17"/>
      <c r="AGZ105" s="17"/>
      <c r="AHA105" s="17"/>
      <c r="AHB105" s="17"/>
      <c r="AHC105" s="17"/>
      <c r="AHD105" s="17"/>
      <c r="AHE105" s="17"/>
      <c r="AHF105" s="17"/>
      <c r="AHG105" s="17"/>
      <c r="AHH105" s="17"/>
      <c r="AHI105" s="17"/>
      <c r="AHJ105" s="17"/>
      <c r="AHK105" s="17"/>
      <c r="AHL105" s="17"/>
      <c r="AHM105" s="17"/>
      <c r="AHN105" s="17"/>
      <c r="AHO105" s="17"/>
      <c r="AHP105" s="17"/>
      <c r="AHQ105" s="17"/>
      <c r="AHR105" s="17"/>
      <c r="AHS105" s="17"/>
      <c r="AHT105" s="17"/>
      <c r="AHU105" s="17"/>
      <c r="AHV105" s="17"/>
      <c r="AHW105" s="17"/>
      <c r="AHX105" s="17"/>
      <c r="AHY105" s="17"/>
      <c r="AHZ105" s="17"/>
      <c r="AIA105" s="17"/>
      <c r="AIB105" s="17"/>
      <c r="AIC105" s="17"/>
      <c r="AID105" s="17"/>
      <c r="AIE105" s="17"/>
      <c r="AIF105" s="17"/>
      <c r="AIG105" s="17"/>
      <c r="AIH105" s="17"/>
      <c r="AII105" s="17"/>
      <c r="AIJ105" s="17"/>
      <c r="AIK105" s="17"/>
      <c r="AIL105" s="17"/>
      <c r="AIM105" s="17"/>
      <c r="AIN105" s="17"/>
      <c r="AIO105" s="17"/>
      <c r="AIP105" s="17"/>
      <c r="AIQ105" s="17"/>
      <c r="AIR105" s="17"/>
      <c r="AIS105" s="17"/>
      <c r="AIT105" s="17"/>
      <c r="AIU105" s="17"/>
      <c r="AIV105" s="17"/>
      <c r="AIW105" s="17"/>
      <c r="AIX105" s="17"/>
      <c r="AIY105" s="17"/>
      <c r="AIZ105" s="17"/>
      <c r="AJA105" s="17"/>
      <c r="AJB105" s="17"/>
      <c r="AJC105" s="17"/>
      <c r="AJD105" s="17"/>
      <c r="AJE105" s="17"/>
      <c r="AJF105" s="17"/>
      <c r="AJG105" s="17"/>
      <c r="AJH105" s="17"/>
      <c r="AJI105" s="17"/>
      <c r="AJJ105" s="17"/>
      <c r="AJK105" s="17"/>
      <c r="AJL105" s="17"/>
      <c r="AJM105" s="17"/>
      <c r="AJN105" s="17"/>
      <c r="AJO105" s="17"/>
      <c r="AJP105" s="17"/>
      <c r="AJQ105" s="17"/>
      <c r="AJR105" s="17"/>
      <c r="AJS105" s="17"/>
      <c r="AJT105" s="17"/>
      <c r="AJU105" s="17"/>
      <c r="AJV105" s="17"/>
      <c r="AJW105" s="17"/>
      <c r="AJX105" s="17"/>
      <c r="AJY105" s="17"/>
      <c r="AJZ105" s="17"/>
      <c r="AKA105" s="17"/>
      <c r="AKB105" s="17"/>
      <c r="AKC105" s="17"/>
      <c r="AKD105" s="17"/>
      <c r="AKE105" s="17"/>
      <c r="AKF105" s="17"/>
      <c r="AKG105" s="17"/>
      <c r="AKH105" s="17"/>
      <c r="AKI105" s="17"/>
      <c r="AKJ105" s="17"/>
      <c r="AKK105" s="17"/>
      <c r="AKL105" s="17"/>
      <c r="AKM105" s="17"/>
      <c r="AKN105" s="17"/>
      <c r="AKO105" s="17"/>
      <c r="AKP105" s="17"/>
      <c r="AKQ105" s="17"/>
      <c r="AKR105" s="17"/>
      <c r="AKS105" s="17"/>
      <c r="AKT105" s="17"/>
      <c r="AKU105" s="17"/>
      <c r="AKV105" s="17"/>
      <c r="AKW105" s="17"/>
      <c r="AKX105" s="17"/>
      <c r="AKY105" s="17"/>
      <c r="AKZ105" s="17"/>
      <c r="ALA105" s="17"/>
      <c r="ALB105" s="17"/>
      <c r="ALC105" s="17"/>
      <c r="ALD105" s="17"/>
      <c r="ALE105" s="17"/>
      <c r="ALF105" s="17"/>
      <c r="ALG105" s="17"/>
      <c r="ALH105" s="17"/>
      <c r="ALI105" s="17"/>
      <c r="ALJ105" s="17"/>
      <c r="ALK105" s="17"/>
      <c r="ALL105" s="17"/>
      <c r="ALM105" s="17"/>
      <c r="ALN105" s="17"/>
      <c r="ALO105" s="17"/>
      <c r="ALP105" s="17"/>
      <c r="ALQ105" s="17"/>
      <c r="ALR105" s="17"/>
      <c r="ALS105" s="17"/>
      <c r="ALT105" s="17"/>
      <c r="ALU105" s="17"/>
      <c r="ALV105" s="17"/>
      <c r="ALW105" s="17"/>
      <c r="ALX105" s="17"/>
      <c r="ALY105" s="17"/>
      <c r="ALZ105" s="17"/>
      <c r="AMA105" s="17"/>
      <c r="AMB105" s="17"/>
      <c r="AMC105" s="17"/>
      <c r="AMD105" s="17"/>
      <c r="AME105" s="17"/>
      <c r="AMF105" s="17"/>
      <c r="AMG105" s="17"/>
      <c r="AMH105" s="17"/>
      <c r="AMI105" s="17"/>
      <c r="AMJ105" s="17"/>
      <c r="AMK105" s="17"/>
      <c r="AML105" s="17"/>
      <c r="AMM105" s="17"/>
      <c r="AMN105" s="17"/>
      <c r="AMO105" s="17"/>
      <c r="AMP105" s="17"/>
      <c r="AMQ105" s="17"/>
      <c r="AMR105" s="17"/>
      <c r="AMS105" s="17"/>
      <c r="AMT105" s="17"/>
      <c r="AMU105" s="17"/>
      <c r="AMV105" s="17"/>
      <c r="AMW105" s="17"/>
      <c r="AMX105" s="17"/>
      <c r="AMY105" s="17"/>
      <c r="AMZ105" s="17"/>
      <c r="ANA105" s="17"/>
      <c r="ANB105" s="17"/>
      <c r="ANC105" s="17"/>
      <c r="AND105" s="17"/>
      <c r="ANE105" s="17"/>
      <c r="ANF105" s="17"/>
      <c r="ANG105" s="17"/>
      <c r="ANH105" s="17"/>
      <c r="ANI105" s="17"/>
      <c r="ANJ105" s="17"/>
      <c r="ANK105" s="17"/>
      <c r="ANL105" s="17"/>
      <c r="ANM105" s="17"/>
      <c r="ANN105" s="17"/>
      <c r="ANO105" s="17"/>
      <c r="ANP105" s="17"/>
      <c r="ANQ105" s="17"/>
      <c r="ANR105" s="17"/>
      <c r="ANS105" s="17"/>
      <c r="ANT105" s="17"/>
      <c r="ANU105" s="17"/>
      <c r="ANV105" s="17"/>
      <c r="ANW105" s="17"/>
      <c r="ANX105" s="17"/>
      <c r="ANY105" s="17"/>
      <c r="ANZ105" s="17"/>
      <c r="AOA105" s="17"/>
      <c r="AOB105" s="17"/>
      <c r="AOC105" s="17"/>
      <c r="AOD105" s="17"/>
      <c r="AOE105" s="17"/>
      <c r="AOF105" s="17"/>
      <c r="AOG105" s="17"/>
      <c r="AOH105" s="17"/>
      <c r="AOI105" s="17"/>
      <c r="AOJ105" s="17"/>
      <c r="AOK105" s="17"/>
      <c r="AOL105" s="17"/>
      <c r="AOM105" s="17"/>
      <c r="AON105" s="17"/>
      <c r="AOO105" s="17"/>
      <c r="AOP105" s="17"/>
      <c r="AOQ105" s="17"/>
      <c r="AOR105" s="17"/>
      <c r="AOS105" s="17"/>
      <c r="AOT105" s="17"/>
      <c r="AOU105" s="17"/>
      <c r="AOV105" s="17"/>
      <c r="AOW105" s="17"/>
      <c r="AOX105" s="17"/>
      <c r="AOY105" s="17"/>
      <c r="AOZ105" s="17"/>
      <c r="APA105" s="17"/>
      <c r="APB105" s="17"/>
      <c r="APC105" s="17"/>
      <c r="APD105" s="17"/>
      <c r="APE105" s="17"/>
      <c r="APF105" s="17"/>
      <c r="APG105" s="17"/>
      <c r="APH105" s="17"/>
      <c r="API105" s="17"/>
      <c r="APJ105" s="17"/>
      <c r="APK105" s="17"/>
      <c r="APL105" s="17"/>
      <c r="APM105" s="17"/>
      <c r="APN105" s="17"/>
      <c r="APO105" s="17"/>
      <c r="APP105" s="17"/>
      <c r="APQ105" s="17"/>
      <c r="APR105" s="17"/>
      <c r="APS105" s="17"/>
      <c r="APT105" s="17"/>
      <c r="APU105" s="17"/>
      <c r="APV105" s="17"/>
      <c r="APW105" s="17"/>
      <c r="APX105" s="17"/>
      <c r="APY105" s="17"/>
      <c r="APZ105" s="17"/>
      <c r="AQA105" s="17"/>
      <c r="AQB105" s="17"/>
      <c r="AQC105" s="17"/>
      <c r="AQD105" s="17"/>
      <c r="AQE105" s="17"/>
      <c r="AQF105" s="17"/>
      <c r="AQG105" s="17"/>
      <c r="AQH105" s="17"/>
      <c r="AQI105" s="17"/>
      <c r="AQJ105" s="17"/>
      <c r="AQK105" s="17"/>
      <c r="AQL105" s="17"/>
      <c r="AQM105" s="17"/>
      <c r="AQN105" s="17"/>
      <c r="AQO105" s="17"/>
      <c r="AQP105" s="17"/>
      <c r="AQQ105" s="17"/>
      <c r="AQR105" s="17"/>
      <c r="AQS105" s="17"/>
      <c r="AQT105" s="17"/>
      <c r="AQU105" s="17"/>
      <c r="AQV105" s="17"/>
      <c r="AQW105" s="17"/>
      <c r="AQX105" s="17"/>
      <c r="AQY105" s="17"/>
      <c r="AQZ105" s="17"/>
      <c r="ARA105" s="17"/>
      <c r="ARB105" s="17"/>
      <c r="ARC105" s="17"/>
      <c r="ARD105" s="17"/>
      <c r="ARE105" s="17"/>
      <c r="ARF105" s="17"/>
      <c r="ARG105" s="17"/>
      <c r="ARH105" s="17"/>
      <c r="ARI105" s="17"/>
      <c r="ARJ105" s="17"/>
      <c r="ARK105" s="17"/>
      <c r="ARL105" s="17"/>
      <c r="ARM105" s="17"/>
      <c r="ARN105" s="17"/>
      <c r="ARO105" s="17"/>
      <c r="ARP105" s="17"/>
      <c r="ARQ105" s="17"/>
      <c r="ARR105" s="17"/>
      <c r="ARS105" s="17"/>
      <c r="ART105" s="17"/>
      <c r="ARU105" s="17"/>
      <c r="ARV105" s="17"/>
      <c r="ARW105" s="17"/>
      <c r="ARX105" s="17"/>
      <c r="ARY105" s="17"/>
      <c r="ARZ105" s="17"/>
      <c r="ASA105" s="17"/>
      <c r="ASB105" s="17"/>
      <c r="ASC105" s="17"/>
      <c r="ASD105" s="17"/>
      <c r="ASE105" s="17"/>
      <c r="ASF105" s="17"/>
      <c r="ASG105" s="17"/>
      <c r="ASH105" s="17"/>
      <c r="ASI105" s="17"/>
      <c r="ASJ105" s="17"/>
      <c r="ASK105" s="17"/>
      <c r="ASL105" s="17"/>
      <c r="ASM105" s="17"/>
      <c r="ASN105" s="17"/>
      <c r="ASO105" s="17"/>
      <c r="ASP105" s="17"/>
      <c r="ASQ105" s="17"/>
      <c r="ASR105" s="17"/>
      <c r="ASS105" s="17"/>
      <c r="AST105" s="17"/>
      <c r="ASU105" s="17"/>
      <c r="ASV105" s="17"/>
      <c r="ASW105" s="17"/>
      <c r="ASX105" s="17"/>
      <c r="ASY105" s="17"/>
      <c r="ASZ105" s="17"/>
      <c r="ATA105" s="17"/>
      <c r="ATB105" s="17"/>
      <c r="ATC105" s="17"/>
      <c r="ATD105" s="17"/>
      <c r="ATE105" s="17"/>
      <c r="ATF105" s="17"/>
      <c r="ATG105" s="17"/>
      <c r="ATH105" s="17"/>
      <c r="ATI105" s="17"/>
      <c r="ATJ105" s="17"/>
      <c r="ATK105" s="17"/>
      <c r="ATL105" s="17"/>
      <c r="ATM105" s="17"/>
      <c r="ATN105" s="17"/>
      <c r="ATO105" s="17"/>
      <c r="ATP105" s="17"/>
      <c r="ATQ105" s="17"/>
      <c r="ATR105" s="17"/>
      <c r="ATS105" s="17"/>
      <c r="ATT105" s="17"/>
      <c r="ATU105" s="17"/>
      <c r="ATV105" s="17"/>
      <c r="ATW105" s="17"/>
      <c r="ATX105" s="17"/>
      <c r="ATY105" s="17"/>
      <c r="ATZ105" s="17"/>
      <c r="AUA105" s="17"/>
      <c r="AUB105" s="17"/>
      <c r="AUC105" s="17"/>
      <c r="AUD105" s="17"/>
      <c r="AUE105" s="17"/>
      <c r="AUF105" s="17"/>
      <c r="AUG105" s="17"/>
      <c r="AUH105" s="17"/>
      <c r="AUI105" s="17"/>
      <c r="AUJ105" s="17"/>
      <c r="AUK105" s="17"/>
      <c r="AUL105" s="17"/>
      <c r="AUM105" s="17"/>
      <c r="AUN105" s="17"/>
      <c r="AUO105" s="17"/>
      <c r="AUP105" s="17"/>
      <c r="AUQ105" s="17"/>
      <c r="AUR105" s="17"/>
      <c r="AUS105" s="17"/>
      <c r="AUT105" s="17"/>
      <c r="AUU105" s="17"/>
      <c r="AUV105" s="17"/>
      <c r="AUW105" s="17"/>
      <c r="AUX105" s="17"/>
      <c r="AUY105" s="17"/>
      <c r="AUZ105" s="17"/>
      <c r="AVA105" s="17"/>
      <c r="AVB105" s="17"/>
      <c r="AVC105" s="17"/>
      <c r="AVD105" s="17"/>
      <c r="AVE105" s="17"/>
      <c r="AVF105" s="17"/>
      <c r="AVG105" s="17"/>
      <c r="AVH105" s="17"/>
      <c r="AVI105" s="17"/>
      <c r="AVJ105" s="17"/>
      <c r="AVK105" s="17"/>
      <c r="AVL105" s="17"/>
      <c r="AVM105" s="17"/>
      <c r="AVN105" s="17"/>
      <c r="AVO105" s="17"/>
      <c r="AVP105" s="17"/>
      <c r="AVQ105" s="17"/>
      <c r="AVR105" s="17"/>
      <c r="AVS105" s="17"/>
      <c r="AVT105" s="17"/>
      <c r="AVU105" s="17"/>
      <c r="AVV105" s="17"/>
      <c r="AVW105" s="17"/>
      <c r="AVX105" s="17"/>
      <c r="AVY105" s="17"/>
      <c r="AVZ105" s="17"/>
      <c r="AWA105" s="17"/>
      <c r="AWB105" s="17"/>
      <c r="AWC105" s="17"/>
      <c r="AWD105" s="17"/>
      <c r="AWE105" s="17"/>
      <c r="AWF105" s="17"/>
      <c r="AWG105" s="17"/>
      <c r="AWH105" s="17"/>
      <c r="AWI105" s="17"/>
      <c r="AWJ105" s="17"/>
      <c r="AWK105" s="17"/>
      <c r="AWL105" s="17"/>
      <c r="AWM105" s="17"/>
      <c r="AWN105" s="17"/>
      <c r="AWO105" s="17"/>
      <c r="AWP105" s="17"/>
      <c r="AWQ105" s="17"/>
      <c r="AWR105" s="17"/>
      <c r="AWS105" s="17"/>
      <c r="AWT105" s="17"/>
      <c r="AWU105" s="17"/>
      <c r="AWV105" s="17"/>
      <c r="AWW105" s="17"/>
      <c r="AWX105" s="17"/>
      <c r="AWY105" s="17"/>
      <c r="AWZ105" s="17"/>
      <c r="AXA105" s="17"/>
      <c r="AXB105" s="17"/>
      <c r="AXC105" s="17"/>
      <c r="AXD105" s="17"/>
      <c r="AXE105" s="17"/>
      <c r="AXF105" s="17"/>
      <c r="AXG105" s="17"/>
      <c r="AXH105" s="17"/>
      <c r="AXI105" s="17"/>
      <c r="AXJ105" s="17"/>
      <c r="AXK105" s="17"/>
      <c r="AXL105" s="17"/>
      <c r="AXM105" s="17"/>
      <c r="AXN105" s="17"/>
      <c r="AXO105" s="17"/>
      <c r="AXP105" s="17"/>
      <c r="AXQ105" s="17"/>
      <c r="AXR105" s="17"/>
      <c r="AXS105" s="17"/>
      <c r="AXT105" s="17"/>
      <c r="AXU105" s="17"/>
      <c r="AXV105" s="17"/>
      <c r="AXW105" s="17"/>
      <c r="AXX105" s="17"/>
      <c r="AXY105" s="17"/>
      <c r="AXZ105" s="17"/>
      <c r="AYA105" s="17"/>
      <c r="AYB105" s="17"/>
      <c r="AYC105" s="17"/>
      <c r="AYD105" s="17"/>
      <c r="AYE105" s="17"/>
      <c r="AYF105" s="17"/>
      <c r="AYG105" s="17"/>
      <c r="AYH105" s="17"/>
      <c r="AYI105" s="17"/>
      <c r="AYJ105" s="17"/>
      <c r="AYK105" s="17"/>
      <c r="AYL105" s="17"/>
      <c r="AYM105" s="17"/>
      <c r="AYN105" s="17"/>
      <c r="AYO105" s="17"/>
      <c r="AYP105" s="17"/>
      <c r="AYQ105" s="17"/>
      <c r="AYR105" s="17"/>
      <c r="AYS105" s="17"/>
      <c r="AYT105" s="17"/>
      <c r="AYU105" s="17"/>
      <c r="AYV105" s="17"/>
      <c r="AYW105" s="17"/>
      <c r="AYX105" s="17"/>
      <c r="AYY105" s="17"/>
      <c r="AYZ105" s="17"/>
      <c r="AZA105" s="17"/>
      <c r="AZB105" s="17"/>
      <c r="AZC105" s="17"/>
      <c r="AZD105" s="17"/>
      <c r="AZE105" s="17"/>
      <c r="AZF105" s="17"/>
      <c r="AZG105" s="17"/>
      <c r="AZH105" s="17"/>
      <c r="AZI105" s="17"/>
      <c r="AZJ105" s="17"/>
      <c r="AZK105" s="17"/>
      <c r="AZL105" s="17"/>
      <c r="AZM105" s="17"/>
      <c r="AZN105" s="17"/>
      <c r="AZO105" s="17"/>
      <c r="AZP105" s="17"/>
      <c r="AZQ105" s="17"/>
      <c r="AZR105" s="17"/>
      <c r="AZS105" s="17"/>
      <c r="AZT105" s="17"/>
      <c r="AZU105" s="17"/>
      <c r="AZV105" s="17"/>
      <c r="AZW105" s="17"/>
      <c r="AZX105" s="17"/>
      <c r="AZY105" s="17"/>
      <c r="AZZ105" s="17"/>
      <c r="BAA105" s="17"/>
      <c r="BAB105" s="17"/>
      <c r="BAC105" s="17"/>
      <c r="BAD105" s="17"/>
      <c r="BAE105" s="17"/>
      <c r="BAF105" s="17"/>
      <c r="BAG105" s="17"/>
      <c r="BAH105" s="17"/>
      <c r="BAI105" s="17"/>
      <c r="BAJ105" s="17"/>
      <c r="BAK105" s="17"/>
      <c r="BAL105" s="17"/>
      <c r="BAM105" s="17"/>
      <c r="BAN105" s="17"/>
      <c r="BAO105" s="17"/>
      <c r="BAP105" s="17"/>
      <c r="BAQ105" s="17"/>
      <c r="BAR105" s="17"/>
      <c r="BAS105" s="17"/>
      <c r="BAT105" s="17"/>
      <c r="BAU105" s="17"/>
      <c r="BAV105" s="17"/>
      <c r="BAW105" s="17"/>
      <c r="BAX105" s="17"/>
      <c r="BAY105" s="17"/>
      <c r="BAZ105" s="17"/>
      <c r="BBA105" s="17"/>
      <c r="BBB105" s="17"/>
      <c r="BBC105" s="17"/>
      <c r="BBD105" s="17"/>
      <c r="BBE105" s="17"/>
      <c r="BBF105" s="17"/>
      <c r="BBG105" s="17"/>
      <c r="BBH105" s="17"/>
      <c r="BBI105" s="17"/>
      <c r="BBJ105" s="17"/>
      <c r="BBK105" s="17"/>
      <c r="BBL105" s="17"/>
      <c r="BBM105" s="17"/>
      <c r="BBN105" s="17"/>
      <c r="BBO105" s="17"/>
      <c r="BBP105" s="17"/>
      <c r="BBQ105" s="17"/>
      <c r="BBR105" s="17"/>
      <c r="BBS105" s="17"/>
      <c r="BBT105" s="17"/>
      <c r="BBU105" s="17"/>
      <c r="BBV105" s="17"/>
      <c r="BBW105" s="17"/>
      <c r="BBX105" s="17"/>
      <c r="BBY105" s="17"/>
      <c r="BBZ105" s="17"/>
      <c r="BCA105" s="17"/>
      <c r="BCB105" s="17"/>
      <c r="BCC105" s="17"/>
      <c r="BCD105" s="17"/>
      <c r="BCE105" s="17"/>
      <c r="BCF105" s="17"/>
      <c r="BCG105" s="17"/>
      <c r="BCH105" s="17"/>
      <c r="BCI105" s="17"/>
      <c r="BCJ105" s="17"/>
      <c r="BCK105" s="17"/>
      <c r="BCL105" s="17"/>
      <c r="BCM105" s="17"/>
      <c r="BCN105" s="17"/>
      <c r="BCO105" s="17"/>
      <c r="BCP105" s="17"/>
      <c r="BCQ105" s="17"/>
      <c r="BCR105" s="17"/>
      <c r="BCS105" s="17"/>
      <c r="BCT105" s="17"/>
      <c r="BCU105" s="17"/>
      <c r="BCV105" s="17"/>
      <c r="BCW105" s="17"/>
      <c r="BCX105" s="17"/>
      <c r="BCY105" s="17"/>
      <c r="BCZ105" s="17"/>
      <c r="BDA105" s="17"/>
      <c r="BDB105" s="17"/>
      <c r="BDC105" s="17"/>
      <c r="BDD105" s="17"/>
      <c r="BDE105" s="17"/>
      <c r="BDF105" s="17"/>
      <c r="BDG105" s="17"/>
      <c r="BDH105" s="17"/>
      <c r="BDI105" s="17"/>
      <c r="BDJ105" s="17"/>
      <c r="BDK105" s="17"/>
      <c r="BDL105" s="17"/>
      <c r="BDM105" s="17"/>
      <c r="BDN105" s="17"/>
      <c r="BDO105" s="17"/>
      <c r="BDP105" s="17"/>
      <c r="BDQ105" s="17"/>
      <c r="BDR105" s="17"/>
      <c r="BDS105" s="17"/>
      <c r="BDT105" s="17"/>
      <c r="BDU105" s="17"/>
      <c r="BDV105" s="17"/>
      <c r="BDW105" s="17"/>
      <c r="BDX105" s="17"/>
      <c r="BDY105" s="17"/>
      <c r="BDZ105" s="17"/>
      <c r="BEA105" s="17"/>
      <c r="BEB105" s="17"/>
      <c r="BEC105" s="17"/>
      <c r="BED105" s="17"/>
      <c r="BEE105" s="17"/>
      <c r="BEF105" s="17"/>
      <c r="BEG105" s="17"/>
      <c r="BEH105" s="17"/>
      <c r="BEI105" s="17"/>
      <c r="BEJ105" s="17"/>
      <c r="BEK105" s="17"/>
      <c r="BEL105" s="17"/>
      <c r="BEM105" s="17"/>
      <c r="BEN105" s="17"/>
      <c r="BEO105" s="17"/>
      <c r="BEP105" s="17"/>
      <c r="BEQ105" s="17"/>
      <c r="BER105" s="17"/>
      <c r="BES105" s="17"/>
      <c r="BET105" s="17"/>
      <c r="BEU105" s="17"/>
      <c r="BEV105" s="17"/>
      <c r="BEW105" s="17"/>
      <c r="BEX105" s="17"/>
      <c r="BEY105" s="17"/>
      <c r="BEZ105" s="17"/>
      <c r="BFA105" s="17"/>
      <c r="BFB105" s="17"/>
      <c r="BFC105" s="17"/>
      <c r="BFD105" s="17"/>
      <c r="BFE105" s="17"/>
      <c r="BFF105" s="17"/>
      <c r="BFG105" s="17"/>
      <c r="BFH105" s="17"/>
      <c r="BFI105" s="17"/>
      <c r="BFJ105" s="17"/>
      <c r="BFK105" s="17"/>
      <c r="BFL105" s="17"/>
      <c r="BFM105" s="17"/>
      <c r="BFN105" s="17"/>
      <c r="BFO105" s="17"/>
      <c r="BFP105" s="17"/>
      <c r="BFQ105" s="17"/>
      <c r="BFR105" s="17"/>
      <c r="BFS105" s="17"/>
      <c r="BFT105" s="17"/>
      <c r="BFU105" s="17"/>
      <c r="BFV105" s="17"/>
      <c r="BFW105" s="17"/>
      <c r="BFX105" s="17"/>
      <c r="BFY105" s="17"/>
      <c r="BFZ105" s="17"/>
      <c r="BGA105" s="17"/>
      <c r="BGB105" s="17"/>
      <c r="BGC105" s="17"/>
      <c r="BGD105" s="17"/>
      <c r="BGE105" s="17"/>
      <c r="BGF105" s="17"/>
      <c r="BGG105" s="17"/>
      <c r="BGH105" s="17"/>
      <c r="BGI105" s="17"/>
      <c r="BGJ105" s="17"/>
      <c r="BGK105" s="17"/>
      <c r="BGL105" s="17"/>
      <c r="BGM105" s="17"/>
      <c r="BGN105" s="17"/>
      <c r="BGO105" s="17"/>
      <c r="BGP105" s="17"/>
      <c r="BGQ105" s="17"/>
      <c r="BGR105" s="17"/>
      <c r="BGS105" s="17"/>
      <c r="BGT105" s="17"/>
      <c r="BGU105" s="17"/>
      <c r="BGV105" s="17"/>
      <c r="BGW105" s="17"/>
      <c r="BGX105" s="17"/>
      <c r="BGY105" s="17"/>
      <c r="BGZ105" s="17"/>
      <c r="BHA105" s="17"/>
      <c r="BHB105" s="17"/>
      <c r="BHC105" s="17"/>
      <c r="BHD105" s="17"/>
      <c r="BHE105" s="17"/>
      <c r="BHF105" s="17"/>
      <c r="BHG105" s="17"/>
      <c r="BHH105" s="17"/>
      <c r="BHI105" s="17"/>
      <c r="BHJ105" s="17"/>
      <c r="BHK105" s="17"/>
      <c r="BHL105" s="17"/>
      <c r="BHM105" s="17"/>
      <c r="BHN105" s="17"/>
      <c r="BHO105" s="17"/>
      <c r="BHP105" s="17"/>
      <c r="BHQ105" s="17"/>
      <c r="BHR105" s="17"/>
      <c r="BHS105" s="17"/>
      <c r="BHT105" s="17"/>
      <c r="BHU105" s="17"/>
      <c r="BHV105" s="17"/>
      <c r="BHW105" s="17"/>
      <c r="BHX105" s="17"/>
      <c r="BHY105" s="17"/>
      <c r="BHZ105" s="17"/>
      <c r="BIA105" s="17"/>
      <c r="BIB105" s="17"/>
      <c r="BIC105" s="17"/>
      <c r="BID105" s="17"/>
      <c r="BIE105" s="17"/>
      <c r="BIF105" s="17"/>
      <c r="BIG105" s="17"/>
      <c r="BIH105" s="17"/>
      <c r="BII105" s="17"/>
      <c r="BIJ105" s="17"/>
      <c r="BIK105" s="17"/>
      <c r="BIL105" s="17"/>
      <c r="BIM105" s="17"/>
      <c r="BIN105" s="17"/>
      <c r="BIO105" s="17"/>
      <c r="BIP105" s="17"/>
      <c r="BIQ105" s="17"/>
      <c r="BIR105" s="17"/>
      <c r="BIS105" s="17"/>
      <c r="BIT105" s="17"/>
      <c r="BIU105" s="17"/>
      <c r="BIV105" s="17"/>
      <c r="BIW105" s="17"/>
      <c r="BIX105" s="17"/>
      <c r="BIY105" s="17"/>
      <c r="BIZ105" s="17"/>
      <c r="BJA105" s="17"/>
      <c r="BJB105" s="17"/>
      <c r="BJC105" s="17"/>
      <c r="BJD105" s="17"/>
      <c r="BJE105" s="17"/>
      <c r="BJF105" s="17"/>
      <c r="BJG105" s="17"/>
      <c r="BJH105" s="17"/>
      <c r="BJI105" s="17"/>
      <c r="BJJ105" s="17"/>
      <c r="BJK105" s="17"/>
      <c r="BJL105" s="17"/>
      <c r="BJM105" s="17"/>
      <c r="BJN105" s="17"/>
      <c r="BJO105" s="17"/>
      <c r="BJP105" s="17"/>
      <c r="BJQ105" s="17"/>
      <c r="BJR105" s="17"/>
      <c r="BJS105" s="17"/>
      <c r="BJT105" s="17"/>
      <c r="BJU105" s="17"/>
      <c r="BJV105" s="17"/>
      <c r="BJW105" s="17"/>
      <c r="BJX105" s="17"/>
      <c r="BJY105" s="17"/>
      <c r="BJZ105" s="17"/>
      <c r="BKA105" s="17"/>
      <c r="BKB105" s="17"/>
      <c r="BKC105" s="17"/>
      <c r="BKD105" s="17"/>
      <c r="BKE105" s="17"/>
      <c r="BKF105" s="17"/>
      <c r="BKG105" s="17"/>
      <c r="BKH105" s="17"/>
      <c r="BKI105" s="17"/>
      <c r="BKJ105" s="17"/>
      <c r="BKK105" s="17"/>
      <c r="BKL105" s="17"/>
      <c r="BKM105" s="17"/>
      <c r="BKN105" s="17"/>
      <c r="BKO105" s="17"/>
      <c r="BKP105" s="17"/>
      <c r="BKQ105" s="17"/>
      <c r="BKR105" s="17"/>
      <c r="BKS105" s="17"/>
      <c r="BKT105" s="17"/>
      <c r="BKU105" s="17"/>
      <c r="BKV105" s="17"/>
      <c r="BKW105" s="17"/>
      <c r="BKX105" s="17"/>
      <c r="BKY105" s="17"/>
      <c r="BKZ105" s="17"/>
      <c r="BLA105" s="17"/>
      <c r="BLB105" s="17"/>
      <c r="BLC105" s="17"/>
      <c r="BLD105" s="17"/>
      <c r="BLE105" s="17"/>
      <c r="BLF105" s="17"/>
      <c r="BLG105" s="17"/>
      <c r="BLH105" s="17"/>
      <c r="BLI105" s="17"/>
      <c r="BLJ105" s="17"/>
      <c r="BLK105" s="17"/>
      <c r="BLL105" s="17"/>
      <c r="BLM105" s="17"/>
      <c r="BLN105" s="17"/>
      <c r="BLO105" s="17"/>
      <c r="BLP105" s="17"/>
      <c r="BLQ105" s="17"/>
      <c r="BLR105" s="17"/>
      <c r="BLS105" s="17"/>
      <c r="BLT105" s="17"/>
      <c r="BLU105" s="17"/>
      <c r="BLV105" s="17"/>
      <c r="BLW105" s="17"/>
      <c r="BLX105" s="17"/>
      <c r="BLY105" s="17"/>
      <c r="BLZ105" s="17"/>
      <c r="BMA105" s="17"/>
      <c r="BMB105" s="17"/>
      <c r="BMC105" s="17"/>
      <c r="BMD105" s="17"/>
      <c r="BME105" s="17"/>
      <c r="BMF105" s="17"/>
      <c r="BMG105" s="17"/>
      <c r="BMH105" s="17"/>
      <c r="BMI105" s="17"/>
      <c r="BMJ105" s="17"/>
      <c r="BMK105" s="17"/>
      <c r="BML105" s="17"/>
      <c r="BMM105" s="17"/>
      <c r="BMN105" s="17"/>
      <c r="BMO105" s="17"/>
      <c r="BMP105" s="17"/>
      <c r="BMQ105" s="17"/>
      <c r="BMR105" s="17"/>
      <c r="BMS105" s="17"/>
      <c r="BMT105" s="17"/>
      <c r="BMU105" s="17"/>
      <c r="BMV105" s="17"/>
      <c r="BMW105" s="17"/>
      <c r="BMX105" s="17"/>
      <c r="BMY105" s="17"/>
      <c r="BMZ105" s="17"/>
      <c r="BNA105" s="17"/>
      <c r="BNB105" s="17"/>
      <c r="BNC105" s="17"/>
      <c r="BND105" s="17"/>
      <c r="BNE105" s="17"/>
      <c r="BNF105" s="17"/>
      <c r="BNG105" s="17"/>
      <c r="BNH105" s="17"/>
      <c r="BNI105" s="17"/>
      <c r="BNJ105" s="17"/>
      <c r="BNK105" s="17"/>
      <c r="BNL105" s="17"/>
      <c r="BNM105" s="17"/>
      <c r="BNN105" s="17"/>
      <c r="BNO105" s="17"/>
      <c r="BNP105" s="17"/>
      <c r="BNQ105" s="17"/>
      <c r="BNR105" s="17"/>
      <c r="BNS105" s="17"/>
      <c r="BNT105" s="17"/>
      <c r="BNU105" s="17"/>
      <c r="BNV105" s="17"/>
      <c r="BNW105" s="17"/>
      <c r="BNX105" s="17"/>
      <c r="BNY105" s="17"/>
      <c r="BNZ105" s="17"/>
      <c r="BOA105" s="17"/>
      <c r="BOB105" s="17"/>
      <c r="BOC105" s="17"/>
      <c r="BOD105" s="17"/>
      <c r="BOE105" s="17"/>
      <c r="BOF105" s="17"/>
      <c r="BOG105" s="17"/>
      <c r="BOH105" s="17"/>
      <c r="BOI105" s="17"/>
      <c r="BOJ105" s="17"/>
      <c r="BOK105" s="17"/>
      <c r="BOL105" s="17"/>
      <c r="BOM105" s="17"/>
      <c r="BON105" s="17"/>
      <c r="BOO105" s="17"/>
      <c r="BOP105" s="17"/>
      <c r="BOQ105" s="17"/>
      <c r="BOR105" s="17"/>
      <c r="BOS105" s="17"/>
      <c r="BOT105" s="17"/>
      <c r="BOU105" s="17"/>
      <c r="BOV105" s="17"/>
      <c r="BOW105" s="17"/>
      <c r="BOX105" s="17"/>
      <c r="BOY105" s="17"/>
      <c r="BOZ105" s="17"/>
      <c r="BPA105" s="17"/>
      <c r="BPB105" s="17"/>
      <c r="BPC105" s="17"/>
      <c r="BPD105" s="17"/>
      <c r="BPE105" s="17"/>
      <c r="BPF105" s="17"/>
      <c r="BPG105" s="17"/>
      <c r="BPH105" s="17"/>
      <c r="BPI105" s="17"/>
      <c r="BPJ105" s="17"/>
      <c r="BPK105" s="17"/>
      <c r="BPL105" s="17"/>
      <c r="BPM105" s="17"/>
      <c r="BPN105" s="17"/>
      <c r="BPO105" s="17"/>
      <c r="BPP105" s="17"/>
      <c r="BPQ105" s="17"/>
      <c r="BPR105" s="17"/>
      <c r="BPS105" s="17"/>
      <c r="BPT105" s="17"/>
      <c r="BPU105" s="17"/>
      <c r="BPV105" s="17"/>
      <c r="BPW105" s="17"/>
      <c r="BPX105" s="17"/>
      <c r="BPY105" s="17"/>
      <c r="BPZ105" s="17"/>
      <c r="BQA105" s="17"/>
      <c r="BQB105" s="17"/>
      <c r="BQC105" s="17"/>
      <c r="BQD105" s="17"/>
      <c r="BQE105" s="17"/>
      <c r="BQF105" s="17"/>
      <c r="BQG105" s="17"/>
      <c r="BQH105" s="17"/>
      <c r="BQI105" s="17"/>
      <c r="BQJ105" s="17"/>
      <c r="BQK105" s="17"/>
      <c r="BQL105" s="17"/>
      <c r="BQM105" s="17"/>
      <c r="BQN105" s="17"/>
      <c r="BQO105" s="17"/>
      <c r="BQP105" s="17"/>
      <c r="BQQ105" s="17"/>
      <c r="BQR105" s="17"/>
      <c r="BQS105" s="17"/>
      <c r="BQT105" s="17"/>
      <c r="BQU105" s="17"/>
      <c r="BQV105" s="17"/>
      <c r="BQW105" s="17"/>
      <c r="BQX105" s="17"/>
      <c r="BQY105" s="17"/>
      <c r="BQZ105" s="17"/>
      <c r="BRA105" s="17"/>
      <c r="BRB105" s="17"/>
      <c r="BRC105" s="17"/>
      <c r="BRD105" s="17"/>
      <c r="BRE105" s="17"/>
      <c r="BRF105" s="17"/>
      <c r="BRG105" s="17"/>
      <c r="BRH105" s="17"/>
      <c r="BRI105" s="17"/>
      <c r="BRJ105" s="17"/>
      <c r="BRK105" s="17"/>
      <c r="BRL105" s="17"/>
      <c r="BRM105" s="17"/>
      <c r="BRN105" s="17"/>
      <c r="BRO105" s="17"/>
      <c r="BRP105" s="17"/>
      <c r="BRQ105" s="17"/>
      <c r="BRR105" s="17"/>
      <c r="BRS105" s="17"/>
      <c r="BRT105" s="17"/>
      <c r="BRU105" s="17"/>
      <c r="BRV105" s="17"/>
      <c r="BRW105" s="17"/>
      <c r="BRX105" s="17"/>
      <c r="BRY105" s="17"/>
      <c r="BRZ105" s="17"/>
      <c r="BSA105" s="17"/>
      <c r="BSB105" s="17"/>
      <c r="BSC105" s="17"/>
      <c r="BSD105" s="17"/>
      <c r="BSE105" s="17"/>
      <c r="BSF105" s="17"/>
      <c r="BSG105" s="17"/>
      <c r="BSH105" s="17"/>
      <c r="BSI105" s="17"/>
      <c r="BSJ105" s="17"/>
      <c r="BSK105" s="17"/>
      <c r="BSL105" s="17"/>
      <c r="BSM105" s="17"/>
      <c r="BSN105" s="17"/>
      <c r="BSO105" s="17"/>
      <c r="BSP105" s="17"/>
      <c r="BSQ105" s="17"/>
      <c r="BSR105" s="17"/>
      <c r="BSS105" s="17"/>
      <c r="BST105" s="17"/>
      <c r="BSU105" s="17"/>
      <c r="BSV105" s="17"/>
      <c r="BSW105" s="17"/>
      <c r="BSX105" s="17"/>
      <c r="BSY105" s="17"/>
      <c r="BSZ105" s="17"/>
      <c r="BTA105" s="17"/>
      <c r="BTB105" s="17"/>
      <c r="BTC105" s="17"/>
      <c r="BTD105" s="17"/>
      <c r="BTE105" s="17"/>
      <c r="BTF105" s="17"/>
      <c r="BTG105" s="17"/>
      <c r="BTH105" s="17"/>
      <c r="BTI105" s="17"/>
      <c r="BTJ105" s="17"/>
      <c r="BTK105" s="17"/>
      <c r="BTL105" s="17"/>
      <c r="BTM105" s="17"/>
      <c r="BTN105" s="17"/>
      <c r="BTO105" s="17"/>
      <c r="BTP105" s="17"/>
      <c r="BTQ105" s="17"/>
      <c r="BTR105" s="17"/>
      <c r="BTS105" s="17"/>
      <c r="BTT105" s="17"/>
      <c r="BTU105" s="17"/>
      <c r="BTV105" s="17"/>
      <c r="BTW105" s="17"/>
      <c r="BTX105" s="17"/>
      <c r="BTY105" s="17"/>
      <c r="BTZ105" s="17"/>
      <c r="BUA105" s="17"/>
      <c r="BUB105" s="17"/>
      <c r="BUC105" s="17"/>
      <c r="BUD105" s="17"/>
      <c r="BUE105" s="17"/>
      <c r="BUF105" s="17"/>
      <c r="BUG105" s="17"/>
      <c r="BUH105" s="17"/>
      <c r="BUI105" s="17"/>
      <c r="BUJ105" s="17"/>
      <c r="BUK105" s="17"/>
      <c r="BUL105" s="17"/>
      <c r="BUM105" s="17"/>
      <c r="BUN105" s="17"/>
      <c r="BUO105" s="17"/>
      <c r="BUP105" s="17"/>
      <c r="BUQ105" s="17"/>
      <c r="BUR105" s="17"/>
      <c r="BUS105" s="17"/>
      <c r="BUT105" s="17"/>
      <c r="BUU105" s="17"/>
      <c r="BUV105" s="17"/>
      <c r="BUW105" s="17"/>
      <c r="BUX105" s="17"/>
      <c r="BUY105" s="17"/>
      <c r="BUZ105" s="17"/>
      <c r="BVA105" s="17"/>
      <c r="BVB105" s="17"/>
      <c r="BVC105" s="17"/>
      <c r="BVD105" s="17"/>
      <c r="BVE105" s="17"/>
      <c r="BVF105" s="17"/>
      <c r="BVG105" s="17"/>
      <c r="BVH105" s="17"/>
      <c r="BVI105" s="17"/>
      <c r="BVJ105" s="17"/>
      <c r="BVK105" s="17"/>
      <c r="BVL105" s="17"/>
      <c r="BVM105" s="17"/>
      <c r="BVN105" s="17"/>
      <c r="BVO105" s="17"/>
      <c r="BVP105" s="17"/>
      <c r="BVQ105" s="17"/>
      <c r="BVR105" s="17"/>
      <c r="BVS105" s="17"/>
      <c r="BVT105" s="17"/>
      <c r="BVU105" s="17"/>
      <c r="BVV105" s="17"/>
      <c r="BVW105" s="17"/>
      <c r="BVX105" s="17"/>
      <c r="BVY105" s="17"/>
      <c r="BVZ105" s="17"/>
      <c r="BWA105" s="17"/>
      <c r="BWB105" s="17"/>
      <c r="BWC105" s="17"/>
      <c r="BWD105" s="17"/>
      <c r="BWE105" s="17"/>
      <c r="BWF105" s="17"/>
      <c r="BWG105" s="17"/>
      <c r="BWH105" s="17"/>
      <c r="BWI105" s="17"/>
      <c r="BWJ105" s="17"/>
      <c r="BWK105" s="17"/>
      <c r="BWL105" s="17"/>
      <c r="BWM105" s="17"/>
      <c r="BWN105" s="17"/>
      <c r="BWO105" s="17"/>
      <c r="BWP105" s="17"/>
      <c r="BWQ105" s="17"/>
      <c r="BWR105" s="17"/>
      <c r="BWS105" s="17"/>
      <c r="BWT105" s="17"/>
      <c r="BWU105" s="17"/>
      <c r="BWV105" s="17"/>
      <c r="BWW105" s="17"/>
      <c r="BWX105" s="17"/>
      <c r="BWY105" s="17"/>
      <c r="BWZ105" s="17"/>
      <c r="BXA105" s="17"/>
      <c r="BXB105" s="17"/>
      <c r="BXC105" s="17"/>
      <c r="BXD105" s="17"/>
      <c r="BXE105" s="17"/>
      <c r="BXF105" s="17"/>
      <c r="BXG105" s="17"/>
      <c r="BXH105" s="17"/>
      <c r="BXI105" s="17"/>
      <c r="BXJ105" s="17"/>
      <c r="BXK105" s="17"/>
      <c r="BXL105" s="17"/>
      <c r="BXM105" s="17"/>
      <c r="BXN105" s="17"/>
      <c r="BXO105" s="17"/>
      <c r="BXP105" s="17"/>
      <c r="BXQ105" s="17"/>
      <c r="BXR105" s="17"/>
      <c r="BXS105" s="17"/>
      <c r="BXT105" s="17"/>
      <c r="BXU105" s="17"/>
      <c r="BXV105" s="17"/>
      <c r="BXW105" s="17"/>
      <c r="BXX105" s="17"/>
      <c r="BXY105" s="17"/>
      <c r="BXZ105" s="17"/>
      <c r="BYA105" s="17"/>
      <c r="BYB105" s="17"/>
      <c r="BYC105" s="17"/>
      <c r="BYD105" s="17"/>
      <c r="BYE105" s="17"/>
      <c r="BYF105" s="17"/>
      <c r="BYG105" s="17"/>
      <c r="BYH105" s="17"/>
      <c r="BYI105" s="17"/>
      <c r="BYJ105" s="17"/>
      <c r="BYK105" s="17"/>
      <c r="BYL105" s="17"/>
      <c r="BYM105" s="17"/>
      <c r="BYN105" s="17"/>
      <c r="BYO105" s="17"/>
      <c r="BYP105" s="17"/>
      <c r="BYQ105" s="17"/>
      <c r="BYR105" s="17"/>
      <c r="BYS105" s="17"/>
      <c r="BYT105" s="17"/>
      <c r="BYU105" s="17"/>
      <c r="BYV105" s="17"/>
      <c r="BYW105" s="17"/>
      <c r="BYX105" s="17"/>
      <c r="BYY105" s="17"/>
      <c r="BYZ105" s="17"/>
      <c r="BZA105" s="17"/>
      <c r="BZB105" s="17"/>
      <c r="BZC105" s="17"/>
      <c r="BZD105" s="17"/>
      <c r="BZE105" s="17"/>
      <c r="BZF105" s="17"/>
      <c r="BZG105" s="17"/>
      <c r="BZH105" s="17"/>
      <c r="BZI105" s="17"/>
      <c r="BZJ105" s="17"/>
      <c r="BZK105" s="17"/>
      <c r="BZL105" s="17"/>
      <c r="BZM105" s="17"/>
      <c r="BZN105" s="17"/>
      <c r="BZO105" s="17"/>
      <c r="BZP105" s="17"/>
      <c r="BZQ105" s="17"/>
      <c r="BZR105" s="17"/>
      <c r="BZS105" s="17"/>
      <c r="BZT105" s="17"/>
      <c r="BZU105" s="17"/>
      <c r="BZV105" s="17"/>
      <c r="BZW105" s="17"/>
      <c r="BZX105" s="17"/>
      <c r="BZY105" s="17"/>
      <c r="BZZ105" s="17"/>
      <c r="CAA105" s="17"/>
      <c r="CAB105" s="17"/>
      <c r="CAC105" s="17"/>
      <c r="CAD105" s="17"/>
      <c r="CAE105" s="17"/>
      <c r="CAF105" s="17"/>
      <c r="CAG105" s="17"/>
      <c r="CAH105" s="17"/>
      <c r="CAI105" s="17"/>
      <c r="CAJ105" s="17"/>
      <c r="CAK105" s="17"/>
      <c r="CAL105" s="17"/>
      <c r="CAM105" s="17"/>
      <c r="CAN105" s="17"/>
      <c r="CAO105" s="17"/>
      <c r="CAP105" s="17"/>
      <c r="CAQ105" s="17"/>
      <c r="CAR105" s="17"/>
      <c r="CAS105" s="17"/>
      <c r="CAT105" s="17"/>
      <c r="CAU105" s="17"/>
      <c r="CAV105" s="17"/>
      <c r="CAW105" s="17"/>
      <c r="CAX105" s="17"/>
      <c r="CAY105" s="17"/>
      <c r="CAZ105" s="17"/>
      <c r="CBA105" s="17"/>
      <c r="CBB105" s="17"/>
      <c r="CBC105" s="17"/>
      <c r="CBD105" s="17"/>
      <c r="CBE105" s="17"/>
      <c r="CBF105" s="17"/>
      <c r="CBG105" s="17"/>
      <c r="CBH105" s="17"/>
      <c r="CBI105" s="17"/>
      <c r="CBJ105" s="17"/>
      <c r="CBK105" s="17"/>
      <c r="CBL105" s="17"/>
      <c r="CBM105" s="17"/>
      <c r="CBN105" s="17"/>
      <c r="CBO105" s="17"/>
      <c r="CBP105" s="17"/>
      <c r="CBQ105" s="17"/>
      <c r="CBR105" s="17"/>
      <c r="CBS105" s="17"/>
      <c r="CBT105" s="17"/>
      <c r="CBU105" s="17"/>
      <c r="CBV105" s="17"/>
      <c r="CBW105" s="17"/>
      <c r="CBX105" s="17"/>
      <c r="CBY105" s="17"/>
      <c r="CBZ105" s="17"/>
      <c r="CCA105" s="17"/>
      <c r="CCB105" s="17"/>
      <c r="CCC105" s="17"/>
      <c r="CCD105" s="17"/>
      <c r="CCE105" s="17"/>
      <c r="CCF105" s="17"/>
      <c r="CCG105" s="17"/>
      <c r="CCH105" s="17"/>
      <c r="CCI105" s="17"/>
      <c r="CCJ105" s="17"/>
      <c r="CCK105" s="17"/>
      <c r="CCL105" s="17"/>
      <c r="CCM105" s="17"/>
      <c r="CCN105" s="17"/>
      <c r="CCO105" s="17"/>
      <c r="CCP105" s="17"/>
      <c r="CCQ105" s="17"/>
      <c r="CCR105" s="17"/>
      <c r="CCS105" s="17"/>
      <c r="CCT105" s="17"/>
      <c r="CCU105" s="17"/>
      <c r="CCV105" s="17"/>
      <c r="CCW105" s="17"/>
      <c r="CCX105" s="17"/>
      <c r="CCY105" s="17"/>
      <c r="CCZ105" s="17"/>
      <c r="CDA105" s="17"/>
      <c r="CDB105" s="17"/>
      <c r="CDC105" s="17"/>
      <c r="CDD105" s="17"/>
      <c r="CDE105" s="17"/>
      <c r="CDF105" s="17"/>
      <c r="CDG105" s="17"/>
      <c r="CDH105" s="17"/>
      <c r="CDI105" s="17"/>
      <c r="CDJ105" s="17"/>
      <c r="CDK105" s="17"/>
      <c r="CDL105" s="17"/>
      <c r="CDM105" s="17"/>
      <c r="CDN105" s="17"/>
      <c r="CDO105" s="17"/>
      <c r="CDP105" s="17"/>
      <c r="CDQ105" s="17"/>
      <c r="CDR105" s="17"/>
      <c r="CDS105" s="17"/>
      <c r="CDT105" s="17"/>
      <c r="CDU105" s="17"/>
      <c r="CDV105" s="17"/>
      <c r="CDW105" s="17"/>
      <c r="CDX105" s="17"/>
      <c r="CDY105" s="17"/>
      <c r="CDZ105" s="17"/>
      <c r="CEA105" s="17"/>
      <c r="CEB105" s="17"/>
      <c r="CEC105" s="17"/>
      <c r="CED105" s="17"/>
      <c r="CEE105" s="17"/>
      <c r="CEF105" s="17"/>
      <c r="CEG105" s="17"/>
      <c r="CEH105" s="17"/>
      <c r="CEI105" s="17"/>
      <c r="CEJ105" s="17"/>
      <c r="CEK105" s="17"/>
      <c r="CEL105" s="17"/>
      <c r="CEM105" s="17"/>
      <c r="CEN105" s="17"/>
      <c r="CEO105" s="17"/>
      <c r="CEP105" s="17"/>
      <c r="CEQ105" s="17"/>
      <c r="CER105" s="17"/>
      <c r="CES105" s="17"/>
      <c r="CET105" s="17"/>
      <c r="CEU105" s="17"/>
      <c r="CEV105" s="17"/>
      <c r="CEW105" s="17"/>
      <c r="CEX105" s="17"/>
      <c r="CEY105" s="17"/>
      <c r="CEZ105" s="17"/>
      <c r="CFA105" s="17"/>
      <c r="CFB105" s="17"/>
      <c r="CFC105" s="17"/>
      <c r="CFD105" s="17"/>
      <c r="CFE105" s="17"/>
      <c r="CFF105" s="17"/>
      <c r="CFG105" s="17"/>
      <c r="CFH105" s="17"/>
      <c r="CFI105" s="17"/>
      <c r="CFJ105" s="17"/>
      <c r="CFK105" s="17"/>
      <c r="CFL105" s="17"/>
      <c r="CFM105" s="17"/>
      <c r="CFN105" s="17"/>
      <c r="CFO105" s="17"/>
      <c r="CFP105" s="17"/>
      <c r="CFQ105" s="17"/>
      <c r="CFR105" s="17"/>
      <c r="CFS105" s="17"/>
      <c r="CFT105" s="17"/>
      <c r="CFU105" s="17"/>
      <c r="CFV105" s="17"/>
      <c r="CFW105" s="17"/>
      <c r="CFX105" s="17"/>
      <c r="CFY105" s="17"/>
      <c r="CFZ105" s="17"/>
      <c r="CGA105" s="17"/>
      <c r="CGB105" s="17"/>
      <c r="CGC105" s="17"/>
      <c r="CGD105" s="17"/>
      <c r="CGE105" s="17"/>
      <c r="CGF105" s="17"/>
      <c r="CGG105" s="17"/>
      <c r="CGH105" s="17"/>
      <c r="CGI105" s="17"/>
      <c r="CGJ105" s="17"/>
      <c r="CGK105" s="17"/>
      <c r="CGL105" s="17"/>
      <c r="CGM105" s="17"/>
      <c r="CGN105" s="17"/>
      <c r="CGO105" s="17"/>
      <c r="CGP105" s="17"/>
      <c r="CGQ105" s="17"/>
      <c r="CGR105" s="17"/>
      <c r="CGS105" s="17"/>
      <c r="CGT105" s="17"/>
      <c r="CGU105" s="17"/>
      <c r="CGV105" s="17"/>
      <c r="CGW105" s="17"/>
      <c r="CGX105" s="17"/>
      <c r="CGY105" s="17"/>
      <c r="CGZ105" s="17"/>
      <c r="CHA105" s="17"/>
      <c r="CHB105" s="17"/>
      <c r="CHC105" s="17"/>
      <c r="CHD105" s="17"/>
      <c r="CHE105" s="17"/>
      <c r="CHF105" s="17"/>
      <c r="CHG105" s="17"/>
      <c r="CHH105" s="17"/>
      <c r="CHI105" s="17"/>
      <c r="CHJ105" s="17"/>
      <c r="CHK105" s="17"/>
      <c r="CHL105" s="17"/>
      <c r="CHM105" s="17"/>
      <c r="CHN105" s="17"/>
      <c r="CHO105" s="17"/>
      <c r="CHP105" s="17"/>
      <c r="CHQ105" s="17"/>
      <c r="CHR105" s="17"/>
      <c r="CHS105" s="17"/>
      <c r="CHT105" s="17"/>
      <c r="CHU105" s="17"/>
      <c r="CHV105" s="17"/>
      <c r="CHW105" s="17"/>
      <c r="CHX105" s="17"/>
      <c r="CHY105" s="17"/>
      <c r="CHZ105" s="17"/>
      <c r="CIA105" s="17"/>
      <c r="CIB105" s="17"/>
      <c r="CIC105" s="17"/>
      <c r="CID105" s="17"/>
      <c r="CIE105" s="17"/>
      <c r="CIF105" s="17"/>
      <c r="CIG105" s="17"/>
      <c r="CIH105" s="17"/>
      <c r="CII105" s="17"/>
      <c r="CIJ105" s="17"/>
      <c r="CIK105" s="17"/>
      <c r="CIL105" s="17"/>
      <c r="CIM105" s="17"/>
      <c r="CIN105" s="17"/>
      <c r="CIO105" s="17"/>
      <c r="CIP105" s="17"/>
      <c r="CIQ105" s="17"/>
      <c r="CIR105" s="17"/>
      <c r="CIS105" s="17"/>
      <c r="CIT105" s="17"/>
      <c r="CIU105" s="17"/>
      <c r="CIV105" s="17"/>
      <c r="CIW105" s="17"/>
      <c r="CIX105" s="17"/>
      <c r="CIY105" s="17"/>
      <c r="CIZ105" s="17"/>
      <c r="CJA105" s="17"/>
      <c r="CJB105" s="17"/>
      <c r="CJC105" s="17"/>
      <c r="CJD105" s="17"/>
      <c r="CJE105" s="17"/>
      <c r="CJF105" s="17"/>
      <c r="CJG105" s="17"/>
      <c r="CJH105" s="17"/>
      <c r="CJI105" s="17"/>
      <c r="CJJ105" s="17"/>
      <c r="CJK105" s="17"/>
      <c r="CJL105" s="17"/>
      <c r="CJM105" s="17"/>
      <c r="CJN105" s="17"/>
      <c r="CJO105" s="17"/>
      <c r="CJP105" s="17"/>
      <c r="CJQ105" s="17"/>
      <c r="CJR105" s="17"/>
      <c r="CJS105" s="17"/>
      <c r="CJT105" s="17"/>
      <c r="CJU105" s="17"/>
      <c r="CJV105" s="17"/>
      <c r="CJW105" s="17"/>
      <c r="CJX105" s="17"/>
      <c r="CJY105" s="17"/>
      <c r="CJZ105" s="17"/>
      <c r="CKA105" s="17"/>
      <c r="CKB105" s="17"/>
      <c r="CKC105" s="17"/>
      <c r="CKD105" s="17"/>
      <c r="CKE105" s="17"/>
      <c r="CKF105" s="17"/>
      <c r="CKG105" s="17"/>
      <c r="CKH105" s="17"/>
      <c r="CKI105" s="17"/>
      <c r="CKJ105" s="17"/>
      <c r="CKK105" s="17"/>
      <c r="CKL105" s="17"/>
      <c r="CKM105" s="17"/>
      <c r="CKN105" s="17"/>
      <c r="CKO105" s="17"/>
      <c r="CKP105" s="17"/>
      <c r="CKQ105" s="17"/>
      <c r="CKR105" s="17"/>
      <c r="CKS105" s="17"/>
      <c r="CKT105" s="17"/>
      <c r="CKU105" s="17"/>
      <c r="CKV105" s="17"/>
      <c r="CKW105" s="17"/>
      <c r="CKX105" s="17"/>
      <c r="CKY105" s="17"/>
      <c r="CKZ105" s="17"/>
      <c r="CLA105" s="17"/>
      <c r="CLB105" s="17"/>
      <c r="CLC105" s="17"/>
      <c r="CLD105" s="17"/>
      <c r="CLE105" s="17"/>
      <c r="CLF105" s="17"/>
      <c r="CLG105" s="17"/>
      <c r="CLH105" s="17"/>
      <c r="CLI105" s="17"/>
      <c r="CLJ105" s="17"/>
      <c r="CLK105" s="17"/>
      <c r="CLL105" s="17"/>
      <c r="CLM105" s="17"/>
      <c r="CLN105" s="17"/>
      <c r="CLO105" s="17"/>
      <c r="CLP105" s="17"/>
      <c r="CLQ105" s="17"/>
      <c r="CLR105" s="17"/>
      <c r="CLS105" s="17"/>
      <c r="CLT105" s="17"/>
      <c r="CLU105" s="17"/>
      <c r="CLV105" s="17"/>
      <c r="CLW105" s="17"/>
      <c r="CLX105" s="17"/>
      <c r="CLY105" s="17"/>
      <c r="CLZ105" s="17"/>
      <c r="CMA105" s="17"/>
      <c r="CMB105" s="17"/>
      <c r="CMC105" s="17"/>
      <c r="CMD105" s="17"/>
      <c r="CME105" s="17"/>
      <c r="CMF105" s="17"/>
      <c r="CMG105" s="17"/>
      <c r="CMH105" s="17"/>
      <c r="CMI105" s="17"/>
      <c r="CMJ105" s="17"/>
      <c r="CMK105" s="17"/>
      <c r="CML105" s="17"/>
      <c r="CMM105" s="17"/>
      <c r="CMN105" s="17"/>
      <c r="CMO105" s="17"/>
      <c r="CMP105" s="17"/>
      <c r="CMQ105" s="17"/>
      <c r="CMR105" s="17"/>
      <c r="CMS105" s="17"/>
      <c r="CMT105" s="17"/>
      <c r="CMU105" s="17"/>
      <c r="CMV105" s="17"/>
      <c r="CMW105" s="17"/>
      <c r="CMX105" s="17"/>
      <c r="CMY105" s="17"/>
      <c r="CMZ105" s="17"/>
      <c r="CNA105" s="17"/>
      <c r="CNB105" s="17"/>
      <c r="CNC105" s="17"/>
      <c r="CND105" s="17"/>
      <c r="CNE105" s="17"/>
      <c r="CNF105" s="17"/>
      <c r="CNG105" s="17"/>
      <c r="CNH105" s="17"/>
      <c r="CNI105" s="17"/>
      <c r="CNJ105" s="17"/>
      <c r="CNK105" s="17"/>
      <c r="CNL105" s="17"/>
      <c r="CNM105" s="17"/>
      <c r="CNN105" s="17"/>
      <c r="CNO105" s="17"/>
      <c r="CNP105" s="17"/>
      <c r="CNQ105" s="17"/>
      <c r="CNR105" s="17"/>
      <c r="CNS105" s="17"/>
      <c r="CNT105" s="17"/>
      <c r="CNU105" s="17"/>
      <c r="CNV105" s="17"/>
      <c r="CNW105" s="17"/>
      <c r="CNX105" s="17"/>
      <c r="CNY105" s="17"/>
      <c r="CNZ105" s="17"/>
      <c r="COA105" s="17"/>
      <c r="COB105" s="17"/>
      <c r="COC105" s="17"/>
      <c r="COD105" s="17"/>
      <c r="COE105" s="17"/>
      <c r="COF105" s="17"/>
      <c r="COG105" s="17"/>
      <c r="COH105" s="17"/>
      <c r="COI105" s="17"/>
      <c r="COJ105" s="17"/>
      <c r="COK105" s="17"/>
      <c r="COL105" s="17"/>
      <c r="COM105" s="17"/>
      <c r="CON105" s="17"/>
      <c r="COO105" s="17"/>
      <c r="COP105" s="17"/>
      <c r="COQ105" s="17"/>
      <c r="COR105" s="17"/>
      <c r="COS105" s="17"/>
      <c r="COT105" s="17"/>
      <c r="COU105" s="17"/>
      <c r="COV105" s="17"/>
      <c r="COW105" s="17"/>
      <c r="COX105" s="17"/>
      <c r="COY105" s="17"/>
      <c r="COZ105" s="17"/>
      <c r="CPA105" s="17"/>
      <c r="CPB105" s="17"/>
      <c r="CPC105" s="17"/>
      <c r="CPD105" s="17"/>
      <c r="CPE105" s="17"/>
      <c r="CPF105" s="17"/>
      <c r="CPG105" s="17"/>
      <c r="CPH105" s="17"/>
      <c r="CPI105" s="17"/>
      <c r="CPJ105" s="17"/>
      <c r="CPK105" s="17"/>
      <c r="CPL105" s="17"/>
      <c r="CPM105" s="17"/>
      <c r="CPN105" s="17"/>
      <c r="CPO105" s="17"/>
      <c r="CPP105" s="17"/>
      <c r="CPQ105" s="17"/>
      <c r="CPR105" s="17"/>
      <c r="CPS105" s="17"/>
      <c r="CPT105" s="17"/>
      <c r="CPU105" s="17"/>
      <c r="CPV105" s="17"/>
      <c r="CPW105" s="17"/>
      <c r="CPX105" s="17"/>
      <c r="CPY105" s="17"/>
      <c r="CPZ105" s="17"/>
      <c r="CQA105" s="17"/>
      <c r="CQB105" s="17"/>
      <c r="CQC105" s="17"/>
      <c r="CQD105" s="17"/>
      <c r="CQE105" s="17"/>
      <c r="CQF105" s="17"/>
      <c r="CQG105" s="17"/>
      <c r="CQH105" s="17"/>
      <c r="CQI105" s="17"/>
      <c r="CQJ105" s="17"/>
      <c r="CQK105" s="17"/>
      <c r="CQL105" s="17"/>
      <c r="CQM105" s="17"/>
      <c r="CQN105" s="17"/>
      <c r="CQO105" s="17"/>
      <c r="CQP105" s="17"/>
      <c r="CQQ105" s="17"/>
      <c r="CQR105" s="17"/>
      <c r="CQS105" s="17"/>
      <c r="CQT105" s="17"/>
      <c r="CQU105" s="17"/>
      <c r="CQV105" s="17"/>
      <c r="CQW105" s="17"/>
      <c r="CQX105" s="17"/>
      <c r="CQY105" s="17"/>
      <c r="CQZ105" s="17"/>
      <c r="CRA105" s="17"/>
      <c r="CRB105" s="17"/>
      <c r="CRC105" s="17"/>
      <c r="CRD105" s="17"/>
      <c r="CRE105" s="17"/>
      <c r="CRF105" s="17"/>
      <c r="CRG105" s="17"/>
      <c r="CRH105" s="17"/>
      <c r="CRI105" s="17"/>
      <c r="CRJ105" s="17"/>
      <c r="CRK105" s="17"/>
      <c r="CRL105" s="17"/>
      <c r="CRM105" s="17"/>
      <c r="CRN105" s="17"/>
      <c r="CRO105" s="17"/>
      <c r="CRP105" s="17"/>
      <c r="CRQ105" s="17"/>
      <c r="CRR105" s="17"/>
      <c r="CRS105" s="17"/>
      <c r="CRT105" s="17"/>
      <c r="CRU105" s="17"/>
      <c r="CRV105" s="17"/>
      <c r="CRW105" s="17"/>
      <c r="CRX105" s="17"/>
      <c r="CRY105" s="17"/>
      <c r="CRZ105" s="17"/>
      <c r="CSA105" s="17"/>
      <c r="CSB105" s="17"/>
      <c r="CSC105" s="17"/>
      <c r="CSD105" s="17"/>
      <c r="CSE105" s="17"/>
      <c r="CSF105" s="17"/>
      <c r="CSG105" s="17"/>
      <c r="CSH105" s="17"/>
      <c r="CSI105" s="17"/>
      <c r="CSJ105" s="17"/>
      <c r="CSK105" s="17"/>
      <c r="CSL105" s="17"/>
      <c r="CSM105" s="17"/>
      <c r="CSN105" s="17"/>
      <c r="CSO105" s="17"/>
      <c r="CSP105" s="17"/>
      <c r="CSQ105" s="17"/>
      <c r="CSR105" s="17"/>
      <c r="CSS105" s="17"/>
      <c r="CST105" s="17"/>
      <c r="CSU105" s="17"/>
      <c r="CSV105" s="17"/>
      <c r="CSW105" s="17"/>
      <c r="CSX105" s="17"/>
      <c r="CSY105" s="17"/>
      <c r="CSZ105" s="17"/>
      <c r="CTA105" s="17"/>
      <c r="CTB105" s="17"/>
      <c r="CTC105" s="17"/>
      <c r="CTD105" s="17"/>
      <c r="CTE105" s="17"/>
      <c r="CTF105" s="17"/>
      <c r="CTG105" s="17"/>
      <c r="CTH105" s="17"/>
      <c r="CTI105" s="17"/>
      <c r="CTJ105" s="17"/>
      <c r="CTK105" s="17"/>
      <c r="CTL105" s="17"/>
      <c r="CTM105" s="17"/>
      <c r="CTN105" s="17"/>
      <c r="CTO105" s="17"/>
      <c r="CTP105" s="17"/>
      <c r="CTQ105" s="17"/>
      <c r="CTR105" s="17"/>
      <c r="CTS105" s="17"/>
      <c r="CTT105" s="17"/>
      <c r="CTU105" s="17"/>
      <c r="CTV105" s="17"/>
      <c r="CTW105" s="17"/>
      <c r="CTX105" s="17"/>
      <c r="CTY105" s="17"/>
      <c r="CTZ105" s="17"/>
      <c r="CUA105" s="17"/>
      <c r="CUB105" s="17"/>
      <c r="CUC105" s="17"/>
      <c r="CUD105" s="17"/>
      <c r="CUE105" s="17"/>
      <c r="CUF105" s="17"/>
      <c r="CUG105" s="17"/>
      <c r="CUH105" s="17"/>
      <c r="CUI105" s="17"/>
      <c r="CUJ105" s="17"/>
      <c r="CUK105" s="17"/>
      <c r="CUL105" s="17"/>
      <c r="CUM105" s="17"/>
      <c r="CUN105" s="17"/>
      <c r="CUO105" s="17"/>
      <c r="CUP105" s="17"/>
      <c r="CUQ105" s="17"/>
      <c r="CUR105" s="17"/>
      <c r="CUS105" s="17"/>
      <c r="CUT105" s="17"/>
      <c r="CUU105" s="17"/>
      <c r="CUV105" s="17"/>
      <c r="CUW105" s="17"/>
      <c r="CUX105" s="17"/>
      <c r="CUY105" s="17"/>
      <c r="CUZ105" s="17"/>
      <c r="CVA105" s="17"/>
      <c r="CVB105" s="17"/>
      <c r="CVC105" s="17"/>
      <c r="CVD105" s="17"/>
      <c r="CVE105" s="17"/>
      <c r="CVF105" s="17"/>
      <c r="CVG105" s="17"/>
      <c r="CVH105" s="17"/>
      <c r="CVI105" s="17"/>
      <c r="CVJ105" s="17"/>
      <c r="CVK105" s="17"/>
      <c r="CVL105" s="17"/>
      <c r="CVM105" s="17"/>
      <c r="CVN105" s="17"/>
      <c r="CVO105" s="17"/>
      <c r="CVP105" s="17"/>
      <c r="CVQ105" s="17"/>
      <c r="CVR105" s="17"/>
      <c r="CVS105" s="17"/>
      <c r="CVT105" s="17"/>
      <c r="CVU105" s="17"/>
      <c r="CVV105" s="17"/>
      <c r="CVW105" s="17"/>
      <c r="CVX105" s="17"/>
      <c r="CVY105" s="17"/>
      <c r="CVZ105" s="17"/>
      <c r="CWA105" s="17"/>
      <c r="CWB105" s="17"/>
      <c r="CWC105" s="17"/>
      <c r="CWD105" s="17"/>
      <c r="CWE105" s="17"/>
      <c r="CWF105" s="17"/>
      <c r="CWG105" s="17"/>
      <c r="CWH105" s="17"/>
      <c r="CWI105" s="17"/>
      <c r="CWJ105" s="17"/>
      <c r="CWK105" s="17"/>
      <c r="CWL105" s="17"/>
      <c r="CWM105" s="17"/>
      <c r="CWN105" s="17"/>
      <c r="CWO105" s="17"/>
      <c r="CWP105" s="17"/>
      <c r="CWQ105" s="17"/>
      <c r="CWR105" s="17"/>
      <c r="CWS105" s="17"/>
      <c r="CWT105" s="17"/>
      <c r="CWU105" s="17"/>
      <c r="CWV105" s="17"/>
      <c r="CWW105" s="17"/>
      <c r="CWX105" s="17"/>
      <c r="CWY105" s="17"/>
      <c r="CWZ105" s="17"/>
      <c r="CXA105" s="17"/>
      <c r="CXB105" s="17"/>
      <c r="CXC105" s="17"/>
      <c r="CXD105" s="17"/>
      <c r="CXE105" s="17"/>
      <c r="CXF105" s="17"/>
      <c r="CXG105" s="17"/>
      <c r="CXH105" s="17"/>
      <c r="CXI105" s="17"/>
      <c r="CXJ105" s="17"/>
      <c r="CXK105" s="17"/>
      <c r="CXL105" s="17"/>
      <c r="CXM105" s="17"/>
      <c r="CXN105" s="17"/>
      <c r="CXO105" s="17"/>
      <c r="CXP105" s="17"/>
      <c r="CXQ105" s="17"/>
      <c r="CXR105" s="17"/>
      <c r="CXS105" s="17"/>
      <c r="CXT105" s="17"/>
      <c r="CXU105" s="17"/>
      <c r="CXV105" s="17"/>
      <c r="CXW105" s="17"/>
      <c r="CXX105" s="17"/>
      <c r="CXY105" s="17"/>
      <c r="CXZ105" s="17"/>
      <c r="CYA105" s="17"/>
      <c r="CYB105" s="17"/>
      <c r="CYC105" s="17"/>
      <c r="CYD105" s="17"/>
      <c r="CYE105" s="17"/>
      <c r="CYF105" s="17"/>
      <c r="CYG105" s="17"/>
      <c r="CYH105" s="17"/>
      <c r="CYI105" s="17"/>
      <c r="CYJ105" s="17"/>
      <c r="CYK105" s="17"/>
      <c r="CYL105" s="17"/>
      <c r="CYM105" s="17"/>
      <c r="CYN105" s="17"/>
      <c r="CYO105" s="17"/>
      <c r="CYP105" s="17"/>
      <c r="CYQ105" s="17"/>
      <c r="CYR105" s="17"/>
      <c r="CYS105" s="17"/>
      <c r="CYT105" s="17"/>
      <c r="CYU105" s="17"/>
      <c r="CYV105" s="17"/>
      <c r="CYW105" s="17"/>
      <c r="CYX105" s="17"/>
      <c r="CYY105" s="17"/>
      <c r="CYZ105" s="17"/>
      <c r="CZA105" s="17"/>
      <c r="CZB105" s="17"/>
      <c r="CZC105" s="17"/>
      <c r="CZD105" s="17"/>
      <c r="CZE105" s="17"/>
      <c r="CZF105" s="17"/>
      <c r="CZG105" s="17"/>
      <c r="CZH105" s="17"/>
      <c r="CZI105" s="17"/>
      <c r="CZJ105" s="17"/>
      <c r="CZK105" s="17"/>
      <c r="CZL105" s="17"/>
      <c r="CZM105" s="17"/>
      <c r="CZN105" s="17"/>
      <c r="CZO105" s="17"/>
      <c r="CZP105" s="17"/>
      <c r="CZQ105" s="17"/>
      <c r="CZR105" s="17"/>
      <c r="CZS105" s="17"/>
      <c r="CZT105" s="17"/>
      <c r="CZU105" s="17"/>
      <c r="CZV105" s="17"/>
      <c r="CZW105" s="17"/>
      <c r="CZX105" s="17"/>
      <c r="CZY105" s="17"/>
      <c r="CZZ105" s="17"/>
      <c r="DAA105" s="17"/>
      <c r="DAB105" s="17"/>
      <c r="DAC105" s="17"/>
      <c r="DAD105" s="17"/>
      <c r="DAE105" s="17"/>
      <c r="DAF105" s="17"/>
      <c r="DAG105" s="17"/>
      <c r="DAH105" s="17"/>
      <c r="DAI105" s="17"/>
      <c r="DAJ105" s="17"/>
      <c r="DAK105" s="17"/>
      <c r="DAL105" s="17"/>
      <c r="DAM105" s="17"/>
      <c r="DAN105" s="17"/>
      <c r="DAO105" s="17"/>
      <c r="DAP105" s="17"/>
      <c r="DAQ105" s="17"/>
      <c r="DAR105" s="17"/>
      <c r="DAS105" s="17"/>
      <c r="DAT105" s="17"/>
      <c r="DAU105" s="17"/>
      <c r="DAV105" s="17"/>
      <c r="DAW105" s="17"/>
      <c r="DAX105" s="17"/>
      <c r="DAY105" s="17"/>
      <c r="DAZ105" s="17"/>
      <c r="DBA105" s="17"/>
      <c r="DBB105" s="17"/>
      <c r="DBC105" s="17"/>
      <c r="DBD105" s="17"/>
      <c r="DBE105" s="17"/>
      <c r="DBF105" s="17"/>
      <c r="DBG105" s="17"/>
      <c r="DBH105" s="17"/>
      <c r="DBI105" s="17"/>
      <c r="DBJ105" s="17"/>
      <c r="DBK105" s="17"/>
      <c r="DBL105" s="17"/>
      <c r="DBM105" s="17"/>
      <c r="DBN105" s="17"/>
      <c r="DBO105" s="17"/>
      <c r="DBP105" s="17"/>
      <c r="DBQ105" s="17"/>
      <c r="DBR105" s="17"/>
      <c r="DBS105" s="17"/>
      <c r="DBT105" s="17"/>
      <c r="DBU105" s="17"/>
      <c r="DBV105" s="17"/>
      <c r="DBW105" s="17"/>
      <c r="DBX105" s="17"/>
      <c r="DBY105" s="17"/>
      <c r="DBZ105" s="17"/>
      <c r="DCA105" s="17"/>
      <c r="DCB105" s="17"/>
      <c r="DCC105" s="17"/>
      <c r="DCD105" s="17"/>
      <c r="DCE105" s="17"/>
      <c r="DCF105" s="17"/>
      <c r="DCG105" s="17"/>
      <c r="DCH105" s="17"/>
      <c r="DCI105" s="17"/>
      <c r="DCJ105" s="17"/>
      <c r="DCK105" s="17"/>
      <c r="DCL105" s="17"/>
      <c r="DCM105" s="17"/>
      <c r="DCN105" s="17"/>
      <c r="DCO105" s="17"/>
      <c r="DCP105" s="17"/>
      <c r="DCQ105" s="17"/>
      <c r="DCR105" s="17"/>
      <c r="DCS105" s="17"/>
      <c r="DCT105" s="17"/>
      <c r="DCU105" s="17"/>
      <c r="DCV105" s="17"/>
      <c r="DCW105" s="17"/>
      <c r="DCX105" s="17"/>
      <c r="DCY105" s="17"/>
      <c r="DCZ105" s="17"/>
      <c r="DDA105" s="17"/>
      <c r="DDB105" s="17"/>
      <c r="DDC105" s="17"/>
      <c r="DDD105" s="17"/>
      <c r="DDE105" s="17"/>
      <c r="DDF105" s="17"/>
      <c r="DDG105" s="17"/>
      <c r="DDH105" s="17"/>
      <c r="DDI105" s="17"/>
      <c r="DDJ105" s="17"/>
      <c r="DDK105" s="17"/>
      <c r="DDL105" s="17"/>
      <c r="DDM105" s="17"/>
      <c r="DDN105" s="17"/>
      <c r="DDO105" s="17"/>
      <c r="DDP105" s="17"/>
      <c r="DDQ105" s="17"/>
      <c r="DDR105" s="17"/>
      <c r="DDS105" s="17"/>
      <c r="DDT105" s="17"/>
      <c r="DDU105" s="17"/>
      <c r="DDV105" s="17"/>
      <c r="DDW105" s="17"/>
      <c r="DDX105" s="17"/>
      <c r="DDY105" s="17"/>
      <c r="DDZ105" s="17"/>
      <c r="DEA105" s="17"/>
      <c r="DEB105" s="17"/>
      <c r="DEC105" s="17"/>
      <c r="DED105" s="17"/>
      <c r="DEE105" s="17"/>
      <c r="DEF105" s="17"/>
      <c r="DEG105" s="17"/>
      <c r="DEH105" s="17"/>
      <c r="DEI105" s="17"/>
      <c r="DEJ105" s="17"/>
      <c r="DEK105" s="17"/>
      <c r="DEL105" s="17"/>
      <c r="DEM105" s="17"/>
      <c r="DEN105" s="17"/>
      <c r="DEO105" s="17"/>
      <c r="DEP105" s="17"/>
      <c r="DEQ105" s="17"/>
      <c r="DER105" s="17"/>
      <c r="DES105" s="17"/>
      <c r="DET105" s="17"/>
      <c r="DEU105" s="17"/>
      <c r="DEV105" s="17"/>
      <c r="DEW105" s="17"/>
      <c r="DEX105" s="17"/>
      <c r="DEY105" s="17"/>
      <c r="DEZ105" s="17"/>
      <c r="DFA105" s="17"/>
      <c r="DFB105" s="17"/>
      <c r="DFC105" s="17"/>
      <c r="DFD105" s="17"/>
      <c r="DFE105" s="17"/>
      <c r="DFF105" s="17"/>
      <c r="DFG105" s="17"/>
      <c r="DFH105" s="17"/>
      <c r="DFI105" s="17"/>
      <c r="DFJ105" s="17"/>
      <c r="DFK105" s="17"/>
      <c r="DFL105" s="17"/>
      <c r="DFM105" s="17"/>
      <c r="DFN105" s="17"/>
      <c r="DFO105" s="17"/>
      <c r="DFP105" s="17"/>
      <c r="DFQ105" s="17"/>
      <c r="DFR105" s="17"/>
      <c r="DFS105" s="17"/>
      <c r="DFT105" s="17"/>
      <c r="DFU105" s="17"/>
      <c r="DFV105" s="17"/>
      <c r="DFW105" s="17"/>
      <c r="DFX105" s="17"/>
      <c r="DFY105" s="17"/>
      <c r="DFZ105" s="17"/>
      <c r="DGA105" s="17"/>
      <c r="DGB105" s="17"/>
      <c r="DGC105" s="17"/>
      <c r="DGD105" s="17"/>
      <c r="DGE105" s="17"/>
      <c r="DGF105" s="17"/>
      <c r="DGG105" s="17"/>
      <c r="DGH105" s="17"/>
      <c r="DGI105" s="17"/>
      <c r="DGJ105" s="17"/>
      <c r="DGK105" s="17"/>
      <c r="DGL105" s="17"/>
      <c r="DGM105" s="17"/>
      <c r="DGN105" s="17"/>
      <c r="DGO105" s="17"/>
      <c r="DGP105" s="17"/>
      <c r="DGQ105" s="17"/>
      <c r="DGR105" s="17"/>
      <c r="DGS105" s="17"/>
      <c r="DGT105" s="17"/>
      <c r="DGU105" s="17"/>
      <c r="DGV105" s="17"/>
      <c r="DGW105" s="17"/>
      <c r="DGX105" s="17"/>
      <c r="DGY105" s="17"/>
      <c r="DGZ105" s="17"/>
      <c r="DHA105" s="17"/>
      <c r="DHB105" s="17"/>
      <c r="DHC105" s="17"/>
      <c r="DHD105" s="17"/>
      <c r="DHE105" s="17"/>
      <c r="DHF105" s="17"/>
      <c r="DHG105" s="17"/>
      <c r="DHH105" s="17"/>
      <c r="DHI105" s="17"/>
      <c r="DHJ105" s="17"/>
      <c r="DHK105" s="17"/>
      <c r="DHL105" s="17"/>
      <c r="DHM105" s="17"/>
      <c r="DHN105" s="17"/>
      <c r="DHO105" s="17"/>
      <c r="DHP105" s="17"/>
      <c r="DHQ105" s="17"/>
      <c r="DHR105" s="17"/>
      <c r="DHS105" s="17"/>
      <c r="DHT105" s="17"/>
      <c r="DHU105" s="17"/>
      <c r="DHV105" s="17"/>
      <c r="DHW105" s="17"/>
      <c r="DHX105" s="17"/>
      <c r="DHY105" s="17"/>
      <c r="DHZ105" s="17"/>
      <c r="DIA105" s="17"/>
      <c r="DIB105" s="17"/>
      <c r="DIC105" s="17"/>
      <c r="DID105" s="17"/>
      <c r="DIE105" s="17"/>
      <c r="DIF105" s="17"/>
      <c r="DIG105" s="17"/>
      <c r="DIH105" s="17"/>
      <c r="DII105" s="17"/>
      <c r="DIJ105" s="17"/>
      <c r="DIK105" s="17"/>
      <c r="DIL105" s="17"/>
      <c r="DIM105" s="17"/>
      <c r="DIN105" s="17"/>
      <c r="DIO105" s="17"/>
      <c r="DIP105" s="17"/>
      <c r="DIQ105" s="17"/>
      <c r="DIR105" s="17"/>
      <c r="DIS105" s="17"/>
      <c r="DIT105" s="17"/>
      <c r="DIU105" s="17"/>
      <c r="DIV105" s="17"/>
      <c r="DIW105" s="17"/>
      <c r="DIX105" s="17"/>
      <c r="DIY105" s="17"/>
      <c r="DIZ105" s="17"/>
      <c r="DJA105" s="17"/>
      <c r="DJB105" s="17"/>
      <c r="DJC105" s="17"/>
      <c r="DJD105" s="17"/>
      <c r="DJE105" s="17"/>
      <c r="DJF105" s="17"/>
      <c r="DJG105" s="17"/>
      <c r="DJH105" s="17"/>
      <c r="DJI105" s="17"/>
      <c r="DJJ105" s="17"/>
      <c r="DJK105" s="17"/>
      <c r="DJL105" s="17"/>
      <c r="DJM105" s="17"/>
      <c r="DJN105" s="17"/>
      <c r="DJO105" s="17"/>
      <c r="DJP105" s="17"/>
      <c r="DJQ105" s="17"/>
      <c r="DJR105" s="17"/>
      <c r="DJS105" s="17"/>
      <c r="DJT105" s="17"/>
      <c r="DJU105" s="17"/>
      <c r="DJV105" s="17"/>
      <c r="DJW105" s="17"/>
      <c r="DJX105" s="17"/>
      <c r="DJY105" s="17"/>
      <c r="DJZ105" s="17"/>
      <c r="DKA105" s="17"/>
      <c r="DKB105" s="17"/>
      <c r="DKC105" s="17"/>
      <c r="DKD105" s="17"/>
      <c r="DKE105" s="17"/>
      <c r="DKF105" s="17"/>
      <c r="DKG105" s="17"/>
      <c r="DKH105" s="17"/>
      <c r="DKI105" s="17"/>
      <c r="DKJ105" s="17"/>
      <c r="DKK105" s="17"/>
      <c r="DKL105" s="17"/>
      <c r="DKM105" s="17"/>
      <c r="DKN105" s="17"/>
      <c r="DKO105" s="17"/>
      <c r="DKP105" s="17"/>
      <c r="DKQ105" s="17"/>
      <c r="DKR105" s="17"/>
      <c r="DKS105" s="17"/>
      <c r="DKT105" s="17"/>
      <c r="DKU105" s="17"/>
      <c r="DKV105" s="17"/>
      <c r="DKW105" s="17"/>
      <c r="DKX105" s="17"/>
      <c r="DKY105" s="17"/>
      <c r="DKZ105" s="17"/>
      <c r="DLA105" s="17"/>
      <c r="DLB105" s="17"/>
      <c r="DLC105" s="17"/>
      <c r="DLD105" s="17"/>
      <c r="DLE105" s="17"/>
      <c r="DLF105" s="17"/>
      <c r="DLG105" s="17"/>
      <c r="DLH105" s="17"/>
      <c r="DLI105" s="17"/>
      <c r="DLJ105" s="17"/>
      <c r="DLK105" s="17"/>
      <c r="DLL105" s="17"/>
      <c r="DLM105" s="17"/>
      <c r="DLN105" s="17"/>
      <c r="DLO105" s="17"/>
      <c r="DLP105" s="17"/>
      <c r="DLQ105" s="17"/>
      <c r="DLR105" s="17"/>
      <c r="DLS105" s="17"/>
      <c r="DLT105" s="17"/>
      <c r="DLU105" s="17"/>
      <c r="DLV105" s="17"/>
      <c r="DLW105" s="17"/>
      <c r="DLX105" s="17"/>
      <c r="DLY105" s="17"/>
      <c r="DLZ105" s="17"/>
      <c r="DMA105" s="17"/>
      <c r="DMB105" s="17"/>
      <c r="DMC105" s="17"/>
      <c r="DMD105" s="17"/>
      <c r="DME105" s="17"/>
      <c r="DMF105" s="17"/>
      <c r="DMG105" s="17"/>
      <c r="DMH105" s="17"/>
      <c r="DMI105" s="17"/>
      <c r="DMJ105" s="17"/>
      <c r="DMK105" s="17"/>
      <c r="DML105" s="17"/>
      <c r="DMM105" s="17"/>
      <c r="DMN105" s="17"/>
      <c r="DMO105" s="17"/>
      <c r="DMP105" s="17"/>
      <c r="DMQ105" s="17"/>
      <c r="DMR105" s="17"/>
      <c r="DMS105" s="17"/>
      <c r="DMT105" s="17"/>
      <c r="DMU105" s="17"/>
      <c r="DMV105" s="17"/>
      <c r="DMW105" s="17"/>
      <c r="DMX105" s="17"/>
      <c r="DMY105" s="17"/>
      <c r="DMZ105" s="17"/>
      <c r="DNA105" s="17"/>
      <c r="DNB105" s="17"/>
      <c r="DNC105" s="17"/>
      <c r="DND105" s="17"/>
      <c r="DNE105" s="17"/>
      <c r="DNF105" s="17"/>
      <c r="DNG105" s="17"/>
      <c r="DNH105" s="17"/>
      <c r="DNI105" s="17"/>
      <c r="DNJ105" s="17"/>
      <c r="DNK105" s="17"/>
      <c r="DNL105" s="17"/>
      <c r="DNM105" s="17"/>
      <c r="DNN105" s="17"/>
      <c r="DNO105" s="17"/>
      <c r="DNP105" s="17"/>
      <c r="DNQ105" s="17"/>
      <c r="DNR105" s="17"/>
      <c r="DNS105" s="17"/>
      <c r="DNT105" s="17"/>
      <c r="DNU105" s="17"/>
      <c r="DNV105" s="17"/>
      <c r="DNW105" s="17"/>
      <c r="DNX105" s="17"/>
      <c r="DNY105" s="17"/>
      <c r="DNZ105" s="17"/>
      <c r="DOA105" s="17"/>
      <c r="DOB105" s="17"/>
      <c r="DOC105" s="17"/>
      <c r="DOD105" s="17"/>
      <c r="DOE105" s="17"/>
      <c r="DOF105" s="17"/>
      <c r="DOG105" s="17"/>
      <c r="DOH105" s="17"/>
      <c r="DOI105" s="17"/>
      <c r="DOJ105" s="17"/>
      <c r="DOK105" s="17"/>
      <c r="DOL105" s="17"/>
      <c r="DOM105" s="17"/>
      <c r="DON105" s="17"/>
      <c r="DOO105" s="17"/>
      <c r="DOP105" s="17"/>
      <c r="DOQ105" s="17"/>
      <c r="DOR105" s="17"/>
      <c r="DOS105" s="17"/>
      <c r="DOT105" s="17"/>
      <c r="DOU105" s="17"/>
      <c r="DOV105" s="17"/>
      <c r="DOW105" s="17"/>
      <c r="DOX105" s="17"/>
      <c r="DOY105" s="17"/>
      <c r="DOZ105" s="17"/>
      <c r="DPA105" s="17"/>
      <c r="DPB105" s="17"/>
      <c r="DPC105" s="17"/>
      <c r="DPD105" s="17"/>
      <c r="DPE105" s="17"/>
      <c r="DPF105" s="17"/>
      <c r="DPG105" s="17"/>
      <c r="DPH105" s="17"/>
      <c r="DPI105" s="17"/>
      <c r="DPJ105" s="17"/>
      <c r="DPK105" s="17"/>
      <c r="DPL105" s="17"/>
      <c r="DPM105" s="17"/>
      <c r="DPN105" s="17"/>
      <c r="DPO105" s="17"/>
      <c r="DPP105" s="17"/>
      <c r="DPQ105" s="17"/>
      <c r="DPR105" s="17"/>
      <c r="DPS105" s="17"/>
      <c r="DPT105" s="17"/>
      <c r="DPU105" s="17"/>
      <c r="DPV105" s="17"/>
      <c r="DPW105" s="17"/>
      <c r="DPX105" s="17"/>
      <c r="DPY105" s="17"/>
      <c r="DPZ105" s="17"/>
      <c r="DQA105" s="17"/>
      <c r="DQB105" s="17"/>
      <c r="DQC105" s="17"/>
      <c r="DQD105" s="17"/>
      <c r="DQE105" s="17"/>
      <c r="DQF105" s="17"/>
      <c r="DQG105" s="17"/>
      <c r="DQH105" s="17"/>
      <c r="DQI105" s="17"/>
      <c r="DQJ105" s="17"/>
      <c r="DQK105" s="17"/>
      <c r="DQL105" s="17"/>
      <c r="DQM105" s="17"/>
      <c r="DQN105" s="17"/>
      <c r="DQO105" s="17"/>
      <c r="DQP105" s="17"/>
      <c r="DQQ105" s="17"/>
      <c r="DQR105" s="17"/>
      <c r="DQS105" s="17"/>
      <c r="DQT105" s="17"/>
      <c r="DQU105" s="17"/>
      <c r="DQV105" s="17"/>
      <c r="DQW105" s="17"/>
      <c r="DQX105" s="17"/>
      <c r="DQY105" s="17"/>
      <c r="DQZ105" s="17"/>
      <c r="DRA105" s="17"/>
      <c r="DRB105" s="17"/>
      <c r="DRC105" s="17"/>
      <c r="DRD105" s="17"/>
      <c r="DRE105" s="17"/>
      <c r="DRF105" s="17"/>
      <c r="DRG105" s="17"/>
      <c r="DRH105" s="17"/>
      <c r="DRI105" s="17"/>
      <c r="DRJ105" s="17"/>
      <c r="DRK105" s="17"/>
      <c r="DRL105" s="17"/>
      <c r="DRM105" s="17"/>
      <c r="DRN105" s="17"/>
      <c r="DRO105" s="17"/>
      <c r="DRP105" s="17"/>
      <c r="DRQ105" s="17"/>
      <c r="DRR105" s="17"/>
      <c r="DRS105" s="17"/>
      <c r="DRT105" s="17"/>
      <c r="DRU105" s="17"/>
      <c r="DRV105" s="17"/>
      <c r="DRW105" s="17"/>
      <c r="DRX105" s="17"/>
      <c r="DRY105" s="17"/>
      <c r="DRZ105" s="17"/>
      <c r="DSA105" s="17"/>
      <c r="DSB105" s="17"/>
      <c r="DSC105" s="17"/>
      <c r="DSD105" s="17"/>
      <c r="DSE105" s="17"/>
      <c r="DSF105" s="17"/>
      <c r="DSG105" s="17"/>
      <c r="DSH105" s="17"/>
      <c r="DSI105" s="17"/>
      <c r="DSJ105" s="17"/>
      <c r="DSK105" s="17"/>
      <c r="DSL105" s="17"/>
      <c r="DSM105" s="17"/>
      <c r="DSN105" s="17"/>
      <c r="DSO105" s="17"/>
      <c r="DSP105" s="17"/>
      <c r="DSQ105" s="17"/>
      <c r="DSR105" s="17"/>
      <c r="DSS105" s="17"/>
      <c r="DST105" s="17"/>
      <c r="DSU105" s="17"/>
      <c r="DSV105" s="17"/>
      <c r="DSW105" s="17"/>
      <c r="DSX105" s="17"/>
      <c r="DSY105" s="17"/>
      <c r="DSZ105" s="17"/>
      <c r="DTA105" s="17"/>
      <c r="DTB105" s="17"/>
      <c r="DTC105" s="17"/>
      <c r="DTD105" s="17"/>
      <c r="DTE105" s="17"/>
      <c r="DTF105" s="17"/>
      <c r="DTG105" s="17"/>
      <c r="DTH105" s="17"/>
      <c r="DTI105" s="17"/>
      <c r="DTJ105" s="17"/>
      <c r="DTK105" s="17"/>
      <c r="DTL105" s="17"/>
      <c r="DTM105" s="17"/>
      <c r="DTN105" s="17"/>
      <c r="DTO105" s="17"/>
      <c r="DTP105" s="17"/>
      <c r="DTQ105" s="17"/>
      <c r="DTR105" s="17"/>
      <c r="DTS105" s="17"/>
      <c r="DTT105" s="17"/>
      <c r="DTU105" s="17"/>
      <c r="DTV105" s="17"/>
      <c r="DTW105" s="17"/>
      <c r="DTX105" s="17"/>
      <c r="DTY105" s="17"/>
      <c r="DTZ105" s="17"/>
      <c r="DUA105" s="17"/>
      <c r="DUB105" s="17"/>
      <c r="DUC105" s="17"/>
      <c r="DUD105" s="17"/>
      <c r="DUE105" s="17"/>
      <c r="DUF105" s="17"/>
      <c r="DUG105" s="17"/>
      <c r="DUH105" s="17"/>
      <c r="DUI105" s="17"/>
      <c r="DUJ105" s="17"/>
      <c r="DUK105" s="17"/>
      <c r="DUL105" s="17"/>
      <c r="DUM105" s="17"/>
      <c r="DUN105" s="17"/>
      <c r="DUO105" s="17"/>
      <c r="DUP105" s="17"/>
      <c r="DUQ105" s="17"/>
      <c r="DUR105" s="17"/>
      <c r="DUS105" s="17"/>
      <c r="DUT105" s="17"/>
      <c r="DUU105" s="17"/>
      <c r="DUV105" s="17"/>
      <c r="DUW105" s="17"/>
      <c r="DUX105" s="17"/>
      <c r="DUY105" s="17"/>
      <c r="DUZ105" s="17"/>
      <c r="DVA105" s="17"/>
      <c r="DVB105" s="17"/>
      <c r="DVC105" s="17"/>
      <c r="DVD105" s="17"/>
      <c r="DVE105" s="17"/>
      <c r="DVF105" s="17"/>
      <c r="DVG105" s="17"/>
      <c r="DVH105" s="17"/>
      <c r="DVI105" s="17"/>
      <c r="DVJ105" s="17"/>
      <c r="DVK105" s="17"/>
      <c r="DVL105" s="17"/>
      <c r="DVM105" s="17"/>
      <c r="DVN105" s="17"/>
      <c r="DVO105" s="17"/>
      <c r="DVP105" s="17"/>
      <c r="DVQ105" s="17"/>
      <c r="DVR105" s="17"/>
      <c r="DVS105" s="17"/>
      <c r="DVT105" s="17"/>
      <c r="DVU105" s="17"/>
      <c r="DVV105" s="17"/>
      <c r="DVW105" s="17"/>
      <c r="DVX105" s="17"/>
      <c r="DVY105" s="17"/>
      <c r="DVZ105" s="17"/>
      <c r="DWA105" s="17"/>
      <c r="DWB105" s="17"/>
      <c r="DWC105" s="17"/>
      <c r="DWD105" s="17"/>
      <c r="DWE105" s="17"/>
      <c r="DWF105" s="17"/>
      <c r="DWG105" s="17"/>
      <c r="DWH105" s="17"/>
      <c r="DWI105" s="17"/>
      <c r="DWJ105" s="17"/>
      <c r="DWK105" s="17"/>
      <c r="DWL105" s="17"/>
      <c r="DWM105" s="17"/>
      <c r="DWN105" s="17"/>
      <c r="DWO105" s="17"/>
      <c r="DWP105" s="17"/>
      <c r="DWQ105" s="17"/>
      <c r="DWR105" s="17"/>
      <c r="DWS105" s="17"/>
      <c r="DWT105" s="17"/>
      <c r="DWU105" s="17"/>
      <c r="DWV105" s="17"/>
      <c r="DWW105" s="17"/>
      <c r="DWX105" s="17"/>
      <c r="DWY105" s="17"/>
      <c r="DWZ105" s="17"/>
      <c r="DXA105" s="17"/>
      <c r="DXB105" s="17"/>
      <c r="DXC105" s="17"/>
      <c r="DXD105" s="17"/>
      <c r="DXE105" s="17"/>
      <c r="DXF105" s="17"/>
      <c r="DXG105" s="17"/>
      <c r="DXH105" s="17"/>
      <c r="DXI105" s="17"/>
      <c r="DXJ105" s="17"/>
      <c r="DXK105" s="17"/>
      <c r="DXL105" s="17"/>
      <c r="DXM105" s="17"/>
      <c r="DXN105" s="17"/>
      <c r="DXO105" s="17"/>
      <c r="DXP105" s="17"/>
      <c r="DXQ105" s="17"/>
      <c r="DXR105" s="17"/>
      <c r="DXS105" s="17"/>
      <c r="DXT105" s="17"/>
      <c r="DXU105" s="17"/>
      <c r="DXV105" s="17"/>
      <c r="DXW105" s="17"/>
      <c r="DXX105" s="17"/>
      <c r="DXY105" s="17"/>
      <c r="DXZ105" s="17"/>
      <c r="DYA105" s="17"/>
      <c r="DYB105" s="17"/>
      <c r="DYC105" s="17"/>
      <c r="DYD105" s="17"/>
      <c r="DYE105" s="17"/>
      <c r="DYF105" s="17"/>
      <c r="DYG105" s="17"/>
      <c r="DYH105" s="17"/>
      <c r="DYI105" s="17"/>
      <c r="DYJ105" s="17"/>
      <c r="DYK105" s="17"/>
      <c r="DYL105" s="17"/>
      <c r="DYM105" s="17"/>
      <c r="DYN105" s="17"/>
      <c r="DYO105" s="17"/>
      <c r="DYP105" s="17"/>
      <c r="DYQ105" s="17"/>
      <c r="DYR105" s="17"/>
      <c r="DYS105" s="17"/>
      <c r="DYT105" s="17"/>
      <c r="DYU105" s="17"/>
      <c r="DYV105" s="17"/>
      <c r="DYW105" s="17"/>
      <c r="DYX105" s="17"/>
      <c r="DYY105" s="17"/>
      <c r="DYZ105" s="17"/>
      <c r="DZA105" s="17"/>
      <c r="DZB105" s="17"/>
      <c r="DZC105" s="17"/>
      <c r="DZD105" s="17"/>
      <c r="DZE105" s="17"/>
      <c r="DZF105" s="17"/>
      <c r="DZG105" s="17"/>
      <c r="DZH105" s="17"/>
      <c r="DZI105" s="17"/>
      <c r="DZJ105" s="17"/>
      <c r="DZK105" s="17"/>
      <c r="DZL105" s="17"/>
      <c r="DZM105" s="17"/>
      <c r="DZN105" s="17"/>
      <c r="DZO105" s="17"/>
      <c r="DZP105" s="17"/>
      <c r="DZQ105" s="17"/>
      <c r="DZR105" s="17"/>
      <c r="DZS105" s="17"/>
      <c r="DZT105" s="17"/>
      <c r="DZU105" s="17"/>
      <c r="DZV105" s="17"/>
      <c r="DZW105" s="17"/>
      <c r="DZX105" s="17"/>
      <c r="DZY105" s="17"/>
      <c r="DZZ105" s="17"/>
      <c r="EAA105" s="17"/>
      <c r="EAB105" s="17"/>
      <c r="EAC105" s="17"/>
      <c r="EAD105" s="17"/>
      <c r="EAE105" s="17"/>
      <c r="EAF105" s="17"/>
      <c r="EAG105" s="17"/>
      <c r="EAH105" s="17"/>
      <c r="EAI105" s="17"/>
      <c r="EAJ105" s="17"/>
      <c r="EAK105" s="17"/>
      <c r="EAL105" s="17"/>
      <c r="EAM105" s="17"/>
      <c r="EAN105" s="17"/>
      <c r="EAO105" s="17"/>
      <c r="EAP105" s="17"/>
      <c r="EAQ105" s="17"/>
      <c r="EAR105" s="17"/>
      <c r="EAS105" s="17"/>
      <c r="EAT105" s="17"/>
      <c r="EAU105" s="17"/>
      <c r="EAV105" s="17"/>
      <c r="EAW105" s="17"/>
      <c r="EAX105" s="17"/>
      <c r="EAY105" s="17"/>
      <c r="EAZ105" s="17"/>
      <c r="EBA105" s="17"/>
      <c r="EBB105" s="17"/>
      <c r="EBC105" s="17"/>
      <c r="EBD105" s="17"/>
      <c r="EBE105" s="17"/>
      <c r="EBF105" s="17"/>
      <c r="EBG105" s="17"/>
      <c r="EBH105" s="17"/>
      <c r="EBI105" s="17"/>
      <c r="EBJ105" s="17"/>
      <c r="EBK105" s="17"/>
      <c r="EBL105" s="17"/>
      <c r="EBM105" s="17"/>
      <c r="EBN105" s="17"/>
      <c r="EBO105" s="17"/>
      <c r="EBP105" s="17"/>
      <c r="EBQ105" s="17"/>
      <c r="EBR105" s="17"/>
      <c r="EBS105" s="17"/>
      <c r="EBT105" s="17"/>
      <c r="EBU105" s="17"/>
      <c r="EBV105" s="17"/>
      <c r="EBW105" s="17"/>
      <c r="EBX105" s="17"/>
      <c r="EBY105" s="17"/>
      <c r="EBZ105" s="17"/>
      <c r="ECA105" s="17"/>
      <c r="ECB105" s="17"/>
      <c r="ECC105" s="17"/>
      <c r="ECD105" s="17"/>
      <c r="ECE105" s="17"/>
      <c r="ECF105" s="17"/>
      <c r="ECG105" s="17"/>
      <c r="ECH105" s="17"/>
      <c r="ECI105" s="17"/>
      <c r="ECJ105" s="17"/>
      <c r="ECK105" s="17"/>
      <c r="ECL105" s="17"/>
      <c r="ECM105" s="17"/>
      <c r="ECN105" s="17"/>
      <c r="ECO105" s="17"/>
      <c r="ECP105" s="17"/>
      <c r="ECQ105" s="17"/>
      <c r="ECR105" s="17"/>
      <c r="ECS105" s="17"/>
      <c r="ECT105" s="17"/>
      <c r="ECU105" s="17"/>
      <c r="ECV105" s="17"/>
      <c r="ECW105" s="17"/>
      <c r="ECX105" s="17"/>
      <c r="ECY105" s="17"/>
      <c r="ECZ105" s="17"/>
      <c r="EDA105" s="17"/>
      <c r="EDB105" s="17"/>
      <c r="EDC105" s="17"/>
      <c r="EDD105" s="17"/>
      <c r="EDE105" s="17"/>
      <c r="EDF105" s="17"/>
      <c r="EDG105" s="17"/>
      <c r="EDH105" s="17"/>
      <c r="EDI105" s="17"/>
      <c r="EDJ105" s="17"/>
      <c r="EDK105" s="17"/>
      <c r="EDL105" s="17"/>
      <c r="EDM105" s="17"/>
      <c r="EDN105" s="17"/>
      <c r="EDO105" s="17"/>
      <c r="EDP105" s="17"/>
      <c r="EDQ105" s="17"/>
      <c r="EDR105" s="17"/>
      <c r="EDS105" s="17"/>
      <c r="EDT105" s="17"/>
      <c r="EDU105" s="17"/>
      <c r="EDV105" s="17"/>
      <c r="EDW105" s="17"/>
      <c r="EDX105" s="17"/>
      <c r="EDY105" s="17"/>
      <c r="EDZ105" s="17"/>
      <c r="EEA105" s="17"/>
      <c r="EEB105" s="17"/>
      <c r="EEC105" s="17"/>
      <c r="EED105" s="17"/>
      <c r="EEE105" s="17"/>
      <c r="EEF105" s="17"/>
      <c r="EEG105" s="17"/>
      <c r="EEH105" s="17"/>
      <c r="EEI105" s="17"/>
      <c r="EEJ105" s="17"/>
      <c r="EEK105" s="17"/>
      <c r="EEL105" s="17"/>
      <c r="EEM105" s="17"/>
      <c r="EEN105" s="17"/>
      <c r="EEO105" s="17"/>
      <c r="EEP105" s="17"/>
      <c r="EEQ105" s="17"/>
      <c r="EER105" s="17"/>
      <c r="EES105" s="17"/>
      <c r="EET105" s="17"/>
      <c r="EEU105" s="17"/>
      <c r="EEV105" s="17"/>
      <c r="EEW105" s="17"/>
      <c r="EEX105" s="17"/>
      <c r="EEY105" s="17"/>
      <c r="EEZ105" s="17"/>
      <c r="EFA105" s="17"/>
      <c r="EFB105" s="17"/>
      <c r="EFC105" s="17"/>
      <c r="EFD105" s="17"/>
      <c r="EFE105" s="17"/>
      <c r="EFF105" s="17"/>
      <c r="EFG105" s="17"/>
      <c r="EFH105" s="17"/>
      <c r="EFI105" s="17"/>
      <c r="EFJ105" s="17"/>
      <c r="EFK105" s="17"/>
      <c r="EFL105" s="17"/>
      <c r="EFM105" s="17"/>
      <c r="EFN105" s="17"/>
      <c r="EFO105" s="17"/>
      <c r="EFP105" s="17"/>
      <c r="EFQ105" s="17"/>
      <c r="EFR105" s="17"/>
      <c r="EFS105" s="17"/>
      <c r="EFT105" s="17"/>
      <c r="EFU105" s="17"/>
      <c r="EFV105" s="17"/>
      <c r="EFW105" s="17"/>
      <c r="EFX105" s="17"/>
      <c r="EFY105" s="17"/>
      <c r="EFZ105" s="17"/>
      <c r="EGA105" s="17"/>
      <c r="EGB105" s="17"/>
      <c r="EGC105" s="17"/>
      <c r="EGD105" s="17"/>
      <c r="EGE105" s="17"/>
      <c r="EGF105" s="17"/>
      <c r="EGG105" s="17"/>
      <c r="EGH105" s="17"/>
      <c r="EGI105" s="17"/>
      <c r="EGJ105" s="17"/>
      <c r="EGK105" s="17"/>
      <c r="EGL105" s="17"/>
      <c r="EGM105" s="17"/>
      <c r="EGN105" s="17"/>
      <c r="EGO105" s="17"/>
      <c r="EGP105" s="17"/>
      <c r="EGQ105" s="17"/>
      <c r="EGR105" s="17"/>
      <c r="EGS105" s="17"/>
      <c r="EGT105" s="17"/>
      <c r="EGU105" s="17"/>
      <c r="EGV105" s="17"/>
      <c r="EGW105" s="17"/>
      <c r="EGX105" s="17"/>
      <c r="EGY105" s="17"/>
      <c r="EGZ105" s="17"/>
      <c r="EHA105" s="17"/>
      <c r="EHB105" s="17"/>
      <c r="EHC105" s="17"/>
      <c r="EHD105" s="17"/>
      <c r="EHE105" s="17"/>
      <c r="EHF105" s="17"/>
      <c r="EHG105" s="17"/>
      <c r="EHH105" s="17"/>
      <c r="EHI105" s="17"/>
      <c r="EHJ105" s="17"/>
      <c r="EHK105" s="17"/>
      <c r="EHL105" s="17"/>
      <c r="EHM105" s="17"/>
      <c r="EHN105" s="17"/>
      <c r="EHO105" s="17"/>
      <c r="EHP105" s="17"/>
      <c r="EHQ105" s="17"/>
      <c r="EHR105" s="17"/>
      <c r="EHS105" s="17"/>
      <c r="EHT105" s="17"/>
      <c r="EHU105" s="17"/>
      <c r="EHV105" s="17"/>
      <c r="EHW105" s="17"/>
      <c r="EHX105" s="17"/>
      <c r="EHY105" s="17"/>
      <c r="EHZ105" s="17"/>
      <c r="EIA105" s="17"/>
      <c r="EIB105" s="17"/>
      <c r="EIC105" s="17"/>
      <c r="EID105" s="17"/>
      <c r="EIE105" s="17"/>
      <c r="EIF105" s="17"/>
      <c r="EIG105" s="17"/>
      <c r="EIH105" s="17"/>
      <c r="EII105" s="17"/>
      <c r="EIJ105" s="17"/>
      <c r="EIK105" s="17"/>
      <c r="EIL105" s="17"/>
      <c r="EIM105" s="17"/>
      <c r="EIN105" s="17"/>
      <c r="EIO105" s="17"/>
      <c r="EIP105" s="17"/>
      <c r="EIQ105" s="17"/>
      <c r="EIR105" s="17"/>
      <c r="EIS105" s="17"/>
      <c r="EIT105" s="17"/>
      <c r="EIU105" s="17"/>
      <c r="EIV105" s="17"/>
      <c r="EIW105" s="17"/>
      <c r="EIX105" s="17"/>
      <c r="EIY105" s="17"/>
      <c r="EIZ105" s="17"/>
      <c r="EJA105" s="17"/>
      <c r="EJB105" s="17"/>
      <c r="EJC105" s="17"/>
      <c r="EJD105" s="17"/>
      <c r="EJE105" s="17"/>
      <c r="EJF105" s="17"/>
      <c r="EJG105" s="17"/>
      <c r="EJH105" s="17"/>
      <c r="EJI105" s="17"/>
      <c r="EJJ105" s="17"/>
      <c r="EJK105" s="17"/>
      <c r="EJL105" s="17"/>
      <c r="EJM105" s="17"/>
      <c r="EJN105" s="17"/>
      <c r="EJO105" s="17"/>
      <c r="EJP105" s="17"/>
      <c r="EJQ105" s="17"/>
      <c r="EJR105" s="17"/>
      <c r="EJS105" s="17"/>
      <c r="EJT105" s="17"/>
      <c r="EJU105" s="17"/>
      <c r="EJV105" s="17"/>
      <c r="EJW105" s="17"/>
      <c r="EJX105" s="17"/>
      <c r="EJY105" s="17"/>
      <c r="EJZ105" s="17"/>
      <c r="EKA105" s="17"/>
      <c r="EKB105" s="17"/>
      <c r="EKC105" s="17"/>
      <c r="EKD105" s="17"/>
      <c r="EKE105" s="17"/>
      <c r="EKF105" s="17"/>
      <c r="EKG105" s="17"/>
      <c r="EKH105" s="17"/>
      <c r="EKI105" s="17"/>
      <c r="EKJ105" s="17"/>
      <c r="EKK105" s="17"/>
      <c r="EKL105" s="17"/>
      <c r="EKM105" s="17"/>
      <c r="EKN105" s="17"/>
      <c r="EKO105" s="17"/>
      <c r="EKP105" s="17"/>
      <c r="EKQ105" s="17"/>
      <c r="EKR105" s="17"/>
      <c r="EKS105" s="17"/>
      <c r="EKT105" s="17"/>
      <c r="EKU105" s="17"/>
      <c r="EKV105" s="17"/>
      <c r="EKW105" s="17"/>
      <c r="EKX105" s="17"/>
      <c r="EKY105" s="17"/>
      <c r="EKZ105" s="17"/>
      <c r="ELA105" s="17"/>
      <c r="ELB105" s="17"/>
      <c r="ELC105" s="17"/>
      <c r="ELD105" s="17"/>
      <c r="ELE105" s="17"/>
      <c r="ELF105" s="17"/>
      <c r="ELG105" s="17"/>
      <c r="ELH105" s="17"/>
      <c r="ELI105" s="17"/>
      <c r="ELJ105" s="17"/>
      <c r="ELK105" s="17"/>
      <c r="ELL105" s="17"/>
      <c r="ELM105" s="17"/>
      <c r="ELN105" s="17"/>
      <c r="ELO105" s="17"/>
      <c r="ELP105" s="17"/>
      <c r="ELQ105" s="17"/>
      <c r="ELR105" s="17"/>
      <c r="ELS105" s="17"/>
      <c r="ELT105" s="17"/>
      <c r="ELU105" s="17"/>
      <c r="ELV105" s="17"/>
      <c r="ELW105" s="17"/>
      <c r="ELX105" s="17"/>
      <c r="ELY105" s="17"/>
      <c r="ELZ105" s="17"/>
      <c r="EMA105" s="17"/>
      <c r="EMB105" s="17"/>
      <c r="EMC105" s="17"/>
      <c r="EMD105" s="17"/>
      <c r="EME105" s="17"/>
      <c r="EMF105" s="17"/>
      <c r="EMG105" s="17"/>
      <c r="EMH105" s="17"/>
      <c r="EMI105" s="17"/>
      <c r="EMJ105" s="17"/>
      <c r="EMK105" s="17"/>
      <c r="EML105" s="17"/>
      <c r="EMM105" s="17"/>
      <c r="EMN105" s="17"/>
      <c r="EMO105" s="17"/>
      <c r="EMP105" s="17"/>
      <c r="EMQ105" s="17"/>
      <c r="EMR105" s="17"/>
      <c r="EMS105" s="17"/>
      <c r="EMT105" s="17"/>
      <c r="EMU105" s="17"/>
      <c r="EMV105" s="17"/>
      <c r="EMW105" s="17"/>
      <c r="EMX105" s="17"/>
      <c r="EMY105" s="17"/>
      <c r="EMZ105" s="17"/>
      <c r="ENA105" s="17"/>
      <c r="ENB105" s="17"/>
      <c r="ENC105" s="17"/>
      <c r="END105" s="17"/>
      <c r="ENE105" s="17"/>
      <c r="ENF105" s="17"/>
      <c r="ENG105" s="17"/>
      <c r="ENH105" s="17"/>
      <c r="ENI105" s="17"/>
      <c r="ENJ105" s="17"/>
      <c r="ENK105" s="17"/>
      <c r="ENL105" s="17"/>
      <c r="ENM105" s="17"/>
      <c r="ENN105" s="17"/>
      <c r="ENO105" s="17"/>
      <c r="ENP105" s="17"/>
      <c r="ENQ105" s="17"/>
      <c r="ENR105" s="17"/>
      <c r="ENS105" s="17"/>
      <c r="ENT105" s="17"/>
      <c r="ENU105" s="17"/>
      <c r="ENV105" s="17"/>
      <c r="ENW105" s="17"/>
      <c r="ENX105" s="17"/>
      <c r="ENY105" s="17"/>
      <c r="ENZ105" s="17"/>
      <c r="EOA105" s="17"/>
      <c r="EOB105" s="17"/>
      <c r="EOC105" s="17"/>
      <c r="EOD105" s="17"/>
      <c r="EOE105" s="17"/>
      <c r="EOF105" s="17"/>
      <c r="EOG105" s="17"/>
      <c r="EOH105" s="17"/>
      <c r="EOI105" s="17"/>
      <c r="EOJ105" s="17"/>
      <c r="EOK105" s="17"/>
      <c r="EOL105" s="17"/>
      <c r="EOM105" s="17"/>
      <c r="EON105" s="17"/>
      <c r="EOO105" s="17"/>
      <c r="EOP105" s="17"/>
      <c r="EOQ105" s="17"/>
      <c r="EOR105" s="17"/>
      <c r="EOS105" s="17"/>
      <c r="EOT105" s="17"/>
      <c r="EOU105" s="17"/>
      <c r="EOV105" s="17"/>
      <c r="EOW105" s="17"/>
      <c r="EOX105" s="17"/>
      <c r="EOY105" s="17"/>
      <c r="EOZ105" s="17"/>
      <c r="EPA105" s="17"/>
      <c r="EPB105" s="17"/>
      <c r="EPC105" s="17"/>
      <c r="EPD105" s="17"/>
      <c r="EPE105" s="17"/>
      <c r="EPF105" s="17"/>
      <c r="EPG105" s="17"/>
      <c r="EPH105" s="17"/>
      <c r="EPI105" s="17"/>
      <c r="EPJ105" s="17"/>
      <c r="EPK105" s="17"/>
      <c r="EPL105" s="17"/>
      <c r="EPM105" s="17"/>
      <c r="EPN105" s="17"/>
      <c r="EPO105" s="17"/>
      <c r="EPP105" s="17"/>
      <c r="EPQ105" s="17"/>
      <c r="EPR105" s="17"/>
      <c r="EPS105" s="17"/>
      <c r="EPT105" s="17"/>
      <c r="EPU105" s="17"/>
      <c r="EPV105" s="17"/>
      <c r="EPW105" s="17"/>
      <c r="EPX105" s="17"/>
      <c r="EPY105" s="17"/>
      <c r="EPZ105" s="17"/>
      <c r="EQA105" s="17"/>
      <c r="EQB105" s="17"/>
      <c r="EQC105" s="17"/>
      <c r="EQD105" s="17"/>
      <c r="EQE105" s="17"/>
      <c r="EQF105" s="17"/>
      <c r="EQG105" s="17"/>
      <c r="EQH105" s="17"/>
      <c r="EQI105" s="17"/>
      <c r="EQJ105" s="17"/>
      <c r="EQK105" s="17"/>
      <c r="EQL105" s="17"/>
      <c r="EQM105" s="17"/>
      <c r="EQN105" s="17"/>
      <c r="EQO105" s="17"/>
      <c r="EQP105" s="17"/>
      <c r="EQQ105" s="17"/>
      <c r="EQR105" s="17"/>
      <c r="EQS105" s="17"/>
      <c r="EQT105" s="17"/>
      <c r="EQU105" s="17"/>
      <c r="EQV105" s="17"/>
      <c r="EQW105" s="17"/>
      <c r="EQX105" s="17"/>
      <c r="EQY105" s="17"/>
      <c r="EQZ105" s="17"/>
      <c r="ERA105" s="17"/>
      <c r="ERB105" s="17"/>
      <c r="ERC105" s="17"/>
      <c r="ERD105" s="17"/>
      <c r="ERE105" s="17"/>
      <c r="ERF105" s="17"/>
      <c r="ERG105" s="17"/>
      <c r="ERH105" s="17"/>
      <c r="ERI105" s="17"/>
      <c r="ERJ105" s="17"/>
      <c r="ERK105" s="17"/>
      <c r="ERL105" s="17"/>
      <c r="ERM105" s="17"/>
      <c r="ERN105" s="17"/>
      <c r="ERO105" s="17"/>
      <c r="ERP105" s="17"/>
      <c r="ERQ105" s="17"/>
      <c r="ERR105" s="17"/>
      <c r="ERS105" s="17"/>
      <c r="ERT105" s="17"/>
      <c r="ERU105" s="17"/>
      <c r="ERV105" s="17"/>
      <c r="ERW105" s="17"/>
      <c r="ERX105" s="17"/>
      <c r="ERY105" s="17"/>
      <c r="ERZ105" s="17"/>
      <c r="ESA105" s="17"/>
      <c r="ESB105" s="17"/>
      <c r="ESC105" s="17"/>
      <c r="ESD105" s="17"/>
      <c r="ESE105" s="17"/>
      <c r="ESF105" s="17"/>
      <c r="ESG105" s="17"/>
      <c r="ESH105" s="17"/>
      <c r="ESI105" s="17"/>
      <c r="ESJ105" s="17"/>
      <c r="ESK105" s="17"/>
      <c r="ESL105" s="17"/>
      <c r="ESM105" s="17"/>
      <c r="ESN105" s="17"/>
      <c r="ESO105" s="17"/>
      <c r="ESP105" s="17"/>
      <c r="ESQ105" s="17"/>
      <c r="ESR105" s="17"/>
      <c r="ESS105" s="17"/>
      <c r="EST105" s="17"/>
      <c r="ESU105" s="17"/>
      <c r="ESV105" s="17"/>
      <c r="ESW105" s="17"/>
      <c r="ESX105" s="17"/>
      <c r="ESY105" s="17"/>
      <c r="ESZ105" s="17"/>
      <c r="ETA105" s="17"/>
      <c r="ETB105" s="17"/>
      <c r="ETC105" s="17"/>
      <c r="ETD105" s="17"/>
      <c r="ETE105" s="17"/>
      <c r="ETF105" s="17"/>
      <c r="ETG105" s="17"/>
      <c r="ETH105" s="17"/>
      <c r="ETI105" s="17"/>
      <c r="ETJ105" s="17"/>
      <c r="ETK105" s="17"/>
      <c r="ETL105" s="17"/>
      <c r="ETM105" s="17"/>
      <c r="ETN105" s="17"/>
      <c r="ETO105" s="17"/>
      <c r="ETP105" s="17"/>
      <c r="ETQ105" s="17"/>
      <c r="ETR105" s="17"/>
      <c r="ETS105" s="17"/>
      <c r="ETT105" s="17"/>
      <c r="ETU105" s="17"/>
      <c r="ETV105" s="17"/>
      <c r="ETW105" s="17"/>
      <c r="ETX105" s="17"/>
      <c r="ETY105" s="17"/>
      <c r="ETZ105" s="17"/>
      <c r="EUA105" s="17"/>
      <c r="EUB105" s="17"/>
      <c r="EUC105" s="17"/>
      <c r="EUD105" s="17"/>
      <c r="EUE105" s="17"/>
      <c r="EUF105" s="17"/>
      <c r="EUG105" s="17"/>
      <c r="EUH105" s="17"/>
      <c r="EUI105" s="17"/>
      <c r="EUJ105" s="17"/>
      <c r="EUK105" s="17"/>
      <c r="EUL105" s="17"/>
      <c r="EUM105" s="17"/>
      <c r="EUN105" s="17"/>
      <c r="EUO105" s="17"/>
      <c r="EUP105" s="17"/>
      <c r="EUQ105" s="17"/>
      <c r="EUR105" s="17"/>
      <c r="EUS105" s="17"/>
      <c r="EUT105" s="17"/>
      <c r="EUU105" s="17"/>
      <c r="EUV105" s="17"/>
      <c r="EUW105" s="17"/>
      <c r="EUX105" s="17"/>
      <c r="EUY105" s="17"/>
      <c r="EUZ105" s="17"/>
      <c r="EVA105" s="17"/>
      <c r="EVB105" s="17"/>
      <c r="EVC105" s="17"/>
      <c r="EVD105" s="17"/>
      <c r="EVE105" s="17"/>
      <c r="EVF105" s="17"/>
      <c r="EVG105" s="17"/>
      <c r="EVH105" s="17"/>
      <c r="EVI105" s="17"/>
      <c r="EVJ105" s="17"/>
      <c r="EVK105" s="17"/>
      <c r="EVL105" s="17"/>
      <c r="EVM105" s="17"/>
      <c r="EVN105" s="17"/>
      <c r="EVO105" s="17"/>
      <c r="EVP105" s="17"/>
      <c r="EVQ105" s="17"/>
      <c r="EVR105" s="17"/>
      <c r="EVS105" s="17"/>
      <c r="EVT105" s="17"/>
      <c r="EVU105" s="17"/>
      <c r="EVV105" s="17"/>
      <c r="EVW105" s="17"/>
      <c r="EVX105" s="17"/>
      <c r="EVY105" s="17"/>
      <c r="EVZ105" s="17"/>
      <c r="EWA105" s="17"/>
      <c r="EWB105" s="17"/>
      <c r="EWC105" s="17"/>
      <c r="EWD105" s="17"/>
      <c r="EWE105" s="17"/>
      <c r="EWF105" s="17"/>
      <c r="EWG105" s="17"/>
      <c r="EWH105" s="17"/>
      <c r="EWI105" s="17"/>
      <c r="EWJ105" s="17"/>
      <c r="EWK105" s="17"/>
      <c r="EWL105" s="17"/>
      <c r="EWM105" s="17"/>
      <c r="EWN105" s="17"/>
      <c r="EWO105" s="17"/>
      <c r="EWP105" s="17"/>
      <c r="EWQ105" s="17"/>
      <c r="EWR105" s="17"/>
      <c r="EWS105" s="17"/>
      <c r="EWT105" s="17"/>
      <c r="EWU105" s="17"/>
      <c r="EWV105" s="17"/>
      <c r="EWW105" s="17"/>
      <c r="EWX105" s="17"/>
      <c r="EWY105" s="17"/>
      <c r="EWZ105" s="17"/>
      <c r="EXA105" s="17"/>
      <c r="EXB105" s="17"/>
      <c r="EXC105" s="17"/>
      <c r="EXD105" s="17"/>
      <c r="EXE105" s="17"/>
      <c r="EXF105" s="17"/>
      <c r="EXG105" s="17"/>
      <c r="EXH105" s="17"/>
      <c r="EXI105" s="17"/>
      <c r="EXJ105" s="17"/>
      <c r="EXK105" s="17"/>
      <c r="EXL105" s="17"/>
      <c r="EXM105" s="17"/>
      <c r="EXN105" s="17"/>
      <c r="EXO105" s="17"/>
      <c r="EXP105" s="17"/>
      <c r="EXQ105" s="17"/>
      <c r="EXR105" s="17"/>
      <c r="EXS105" s="17"/>
      <c r="EXT105" s="17"/>
      <c r="EXU105" s="17"/>
      <c r="EXV105" s="17"/>
      <c r="EXW105" s="17"/>
      <c r="EXX105" s="17"/>
      <c r="EXY105" s="17"/>
      <c r="EXZ105" s="17"/>
      <c r="EYA105" s="17"/>
      <c r="EYB105" s="17"/>
      <c r="EYC105" s="17"/>
      <c r="EYD105" s="17"/>
      <c r="EYE105" s="17"/>
      <c r="EYF105" s="17"/>
      <c r="EYG105" s="17"/>
      <c r="EYH105" s="17"/>
      <c r="EYI105" s="17"/>
      <c r="EYJ105" s="17"/>
      <c r="EYK105" s="17"/>
      <c r="EYL105" s="17"/>
      <c r="EYM105" s="17"/>
      <c r="EYN105" s="17"/>
      <c r="EYO105" s="17"/>
      <c r="EYP105" s="17"/>
      <c r="EYQ105" s="17"/>
      <c r="EYR105" s="17"/>
      <c r="EYS105" s="17"/>
      <c r="EYT105" s="17"/>
      <c r="EYU105" s="17"/>
      <c r="EYV105" s="17"/>
      <c r="EYW105" s="17"/>
      <c r="EYX105" s="17"/>
      <c r="EYY105" s="17"/>
      <c r="EYZ105" s="17"/>
      <c r="EZA105" s="17"/>
      <c r="EZB105" s="17"/>
      <c r="EZC105" s="17"/>
      <c r="EZD105" s="17"/>
      <c r="EZE105" s="17"/>
      <c r="EZF105" s="17"/>
      <c r="EZG105" s="17"/>
      <c r="EZH105" s="17"/>
      <c r="EZI105" s="17"/>
      <c r="EZJ105" s="17"/>
      <c r="EZK105" s="17"/>
      <c r="EZL105" s="17"/>
      <c r="EZM105" s="17"/>
      <c r="EZN105" s="17"/>
      <c r="EZO105" s="17"/>
      <c r="EZP105" s="17"/>
      <c r="EZQ105" s="17"/>
      <c r="EZR105" s="17"/>
      <c r="EZS105" s="17"/>
      <c r="EZT105" s="17"/>
      <c r="EZU105" s="17"/>
      <c r="EZV105" s="17"/>
      <c r="EZW105" s="17"/>
      <c r="EZX105" s="17"/>
      <c r="EZY105" s="17"/>
      <c r="EZZ105" s="17"/>
      <c r="FAA105" s="17"/>
      <c r="FAB105" s="17"/>
      <c r="FAC105" s="17"/>
      <c r="FAD105" s="17"/>
      <c r="FAE105" s="17"/>
      <c r="FAF105" s="17"/>
      <c r="FAG105" s="17"/>
      <c r="FAH105" s="17"/>
      <c r="FAI105" s="17"/>
      <c r="FAJ105" s="17"/>
      <c r="FAK105" s="17"/>
      <c r="FAL105" s="17"/>
      <c r="FAM105" s="17"/>
      <c r="FAN105" s="17"/>
      <c r="FAO105" s="17"/>
      <c r="FAP105" s="17"/>
      <c r="FAQ105" s="17"/>
      <c r="FAR105" s="17"/>
      <c r="FAS105" s="17"/>
      <c r="FAT105" s="17"/>
      <c r="FAU105" s="17"/>
      <c r="FAV105" s="17"/>
      <c r="FAW105" s="17"/>
      <c r="FAX105" s="17"/>
      <c r="FAY105" s="17"/>
      <c r="FAZ105" s="17"/>
      <c r="FBA105" s="17"/>
      <c r="FBB105" s="17"/>
      <c r="FBC105" s="17"/>
      <c r="FBD105" s="17"/>
      <c r="FBE105" s="17"/>
      <c r="FBF105" s="17"/>
      <c r="FBG105" s="17"/>
      <c r="FBH105" s="17"/>
      <c r="FBI105" s="17"/>
      <c r="FBJ105" s="17"/>
      <c r="FBK105" s="17"/>
      <c r="FBL105" s="17"/>
      <c r="FBM105" s="17"/>
      <c r="FBN105" s="17"/>
      <c r="FBO105" s="17"/>
      <c r="FBP105" s="17"/>
      <c r="FBQ105" s="17"/>
      <c r="FBR105" s="17"/>
      <c r="FBS105" s="17"/>
      <c r="FBT105" s="17"/>
      <c r="FBU105" s="17"/>
      <c r="FBV105" s="17"/>
      <c r="FBW105" s="17"/>
      <c r="FBX105" s="17"/>
      <c r="FBY105" s="17"/>
      <c r="FBZ105" s="17"/>
      <c r="FCA105" s="17"/>
      <c r="FCB105" s="17"/>
      <c r="FCC105" s="17"/>
      <c r="FCD105" s="17"/>
      <c r="FCE105" s="17"/>
      <c r="FCF105" s="17"/>
      <c r="FCG105" s="17"/>
      <c r="FCH105" s="17"/>
      <c r="FCI105" s="17"/>
      <c r="FCJ105" s="17"/>
      <c r="FCK105" s="17"/>
      <c r="FCL105" s="17"/>
      <c r="FCM105" s="17"/>
      <c r="FCN105" s="17"/>
      <c r="FCO105" s="17"/>
      <c r="FCP105" s="17"/>
      <c r="FCQ105" s="17"/>
      <c r="FCR105" s="17"/>
      <c r="FCS105" s="17"/>
      <c r="FCT105" s="17"/>
      <c r="FCU105" s="17"/>
      <c r="FCV105" s="17"/>
      <c r="FCW105" s="17"/>
      <c r="FCX105" s="17"/>
      <c r="FCY105" s="17"/>
      <c r="FCZ105" s="17"/>
      <c r="FDA105" s="17"/>
      <c r="FDB105" s="17"/>
      <c r="FDC105" s="17"/>
      <c r="FDD105" s="17"/>
      <c r="FDE105" s="17"/>
      <c r="FDF105" s="17"/>
      <c r="FDG105" s="17"/>
      <c r="FDH105" s="17"/>
      <c r="FDI105" s="17"/>
      <c r="FDJ105" s="17"/>
      <c r="FDK105" s="17"/>
      <c r="FDL105" s="17"/>
      <c r="FDM105" s="17"/>
      <c r="FDN105" s="17"/>
      <c r="FDO105" s="17"/>
      <c r="FDP105" s="17"/>
      <c r="FDQ105" s="17"/>
      <c r="FDR105" s="17"/>
      <c r="FDS105" s="17"/>
      <c r="FDT105" s="17"/>
      <c r="FDU105" s="17"/>
      <c r="FDV105" s="17"/>
      <c r="FDW105" s="17"/>
      <c r="FDX105" s="17"/>
      <c r="FDY105" s="17"/>
      <c r="FDZ105" s="17"/>
      <c r="FEA105" s="17"/>
      <c r="FEB105" s="17"/>
      <c r="FEC105" s="17"/>
      <c r="FED105" s="17"/>
      <c r="FEE105" s="17"/>
      <c r="FEF105" s="17"/>
      <c r="FEG105" s="17"/>
      <c r="FEH105" s="17"/>
      <c r="FEI105" s="17"/>
      <c r="FEJ105" s="17"/>
      <c r="FEK105" s="17"/>
      <c r="FEL105" s="17"/>
      <c r="FEM105" s="17"/>
      <c r="FEN105" s="17"/>
      <c r="FEO105" s="17"/>
      <c r="FEP105" s="17"/>
      <c r="FEQ105" s="17"/>
      <c r="FER105" s="17"/>
      <c r="FES105" s="17"/>
      <c r="FET105" s="17"/>
      <c r="FEU105" s="17"/>
      <c r="FEV105" s="17"/>
      <c r="FEW105" s="17"/>
      <c r="FEX105" s="17"/>
      <c r="FEY105" s="17"/>
      <c r="FEZ105" s="17"/>
      <c r="FFA105" s="17"/>
      <c r="FFB105" s="17"/>
      <c r="FFC105" s="17"/>
      <c r="FFD105" s="17"/>
      <c r="FFE105" s="17"/>
      <c r="FFF105" s="17"/>
      <c r="FFG105" s="17"/>
      <c r="FFH105" s="17"/>
      <c r="FFI105" s="17"/>
      <c r="FFJ105" s="17"/>
      <c r="FFK105" s="17"/>
      <c r="FFL105" s="17"/>
      <c r="FFM105" s="17"/>
      <c r="FFN105" s="17"/>
      <c r="FFO105" s="17"/>
      <c r="FFP105" s="17"/>
      <c r="FFQ105" s="17"/>
      <c r="FFR105" s="17"/>
      <c r="FFS105" s="17"/>
      <c r="FFT105" s="17"/>
      <c r="FFU105" s="17"/>
      <c r="FFV105" s="17"/>
      <c r="FFW105" s="17"/>
      <c r="FFX105" s="17"/>
      <c r="FFY105" s="17"/>
      <c r="FFZ105" s="17"/>
      <c r="FGA105" s="17"/>
      <c r="FGB105" s="17"/>
      <c r="FGC105" s="17"/>
      <c r="FGD105" s="17"/>
      <c r="FGE105" s="17"/>
      <c r="FGF105" s="17"/>
      <c r="FGG105" s="17"/>
      <c r="FGH105" s="17"/>
      <c r="FGI105" s="17"/>
      <c r="FGJ105" s="17"/>
      <c r="FGK105" s="17"/>
      <c r="FGL105" s="17"/>
      <c r="FGM105" s="17"/>
      <c r="FGN105" s="17"/>
      <c r="FGO105" s="17"/>
      <c r="FGP105" s="17"/>
      <c r="FGQ105" s="17"/>
      <c r="FGR105" s="17"/>
      <c r="FGS105" s="17"/>
      <c r="FGT105" s="17"/>
      <c r="FGU105" s="17"/>
      <c r="FGV105" s="17"/>
      <c r="FGW105" s="17"/>
      <c r="FGX105" s="17"/>
      <c r="FGY105" s="17"/>
      <c r="FGZ105" s="17"/>
      <c r="FHA105" s="17"/>
      <c r="FHB105" s="17"/>
      <c r="FHC105" s="17"/>
      <c r="FHD105" s="17"/>
      <c r="FHE105" s="17"/>
      <c r="FHF105" s="17"/>
      <c r="FHG105" s="17"/>
      <c r="FHH105" s="17"/>
      <c r="FHI105" s="17"/>
      <c r="FHJ105" s="17"/>
      <c r="FHK105" s="17"/>
      <c r="FHL105" s="17"/>
      <c r="FHM105" s="17"/>
      <c r="FHN105" s="17"/>
      <c r="FHO105" s="17"/>
      <c r="FHP105" s="17"/>
      <c r="FHQ105" s="17"/>
      <c r="FHR105" s="17"/>
      <c r="FHS105" s="17"/>
      <c r="FHT105" s="17"/>
      <c r="FHU105" s="17"/>
      <c r="FHV105" s="17"/>
      <c r="FHW105" s="17"/>
      <c r="FHX105" s="17"/>
      <c r="FHY105" s="17"/>
      <c r="FHZ105" s="17"/>
      <c r="FIA105" s="17"/>
      <c r="FIB105" s="17"/>
      <c r="FIC105" s="17"/>
      <c r="FID105" s="17"/>
      <c r="FIE105" s="17"/>
      <c r="FIF105" s="17"/>
      <c r="FIG105" s="17"/>
      <c r="FIH105" s="17"/>
      <c r="FII105" s="17"/>
      <c r="FIJ105" s="17"/>
      <c r="FIK105" s="17"/>
      <c r="FIL105" s="17"/>
      <c r="FIM105" s="17"/>
      <c r="FIN105" s="17"/>
      <c r="FIO105" s="17"/>
      <c r="FIP105" s="17"/>
      <c r="FIQ105" s="17"/>
      <c r="FIR105" s="17"/>
      <c r="FIS105" s="17"/>
      <c r="FIT105" s="17"/>
      <c r="FIU105" s="17"/>
      <c r="FIV105" s="17"/>
      <c r="FIW105" s="17"/>
      <c r="FIX105" s="17"/>
      <c r="FIY105" s="17"/>
      <c r="FIZ105" s="17"/>
      <c r="FJA105" s="17"/>
      <c r="FJB105" s="17"/>
      <c r="FJC105" s="17"/>
      <c r="FJD105" s="17"/>
      <c r="FJE105" s="17"/>
      <c r="FJF105" s="17"/>
      <c r="FJG105" s="17"/>
      <c r="FJH105" s="17"/>
      <c r="FJI105" s="17"/>
      <c r="FJJ105" s="17"/>
      <c r="FJK105" s="17"/>
      <c r="FJL105" s="17"/>
      <c r="FJM105" s="17"/>
      <c r="FJN105" s="17"/>
      <c r="FJO105" s="17"/>
      <c r="FJP105" s="17"/>
      <c r="FJQ105" s="17"/>
      <c r="FJR105" s="17"/>
      <c r="FJS105" s="17"/>
      <c r="FJT105" s="17"/>
      <c r="FJU105" s="17"/>
      <c r="FJV105" s="17"/>
      <c r="FJW105" s="17"/>
      <c r="FJX105" s="17"/>
      <c r="FJY105" s="17"/>
      <c r="FJZ105" s="17"/>
      <c r="FKA105" s="17"/>
      <c r="FKB105" s="17"/>
      <c r="FKC105" s="17"/>
      <c r="FKD105" s="17"/>
      <c r="FKE105" s="17"/>
      <c r="FKF105" s="17"/>
      <c r="FKG105" s="17"/>
      <c r="FKH105" s="17"/>
      <c r="FKI105" s="17"/>
      <c r="FKJ105" s="17"/>
      <c r="FKK105" s="17"/>
      <c r="FKL105" s="17"/>
      <c r="FKM105" s="17"/>
      <c r="FKN105" s="17"/>
      <c r="FKO105" s="17"/>
      <c r="FKP105" s="17"/>
      <c r="FKQ105" s="17"/>
      <c r="FKR105" s="17"/>
      <c r="FKS105" s="17"/>
      <c r="FKT105" s="17"/>
      <c r="FKU105" s="17"/>
      <c r="FKV105" s="17"/>
      <c r="FKW105" s="17"/>
      <c r="FKX105" s="17"/>
      <c r="FKY105" s="17"/>
      <c r="FKZ105" s="17"/>
      <c r="FLA105" s="17"/>
      <c r="FLB105" s="17"/>
      <c r="FLC105" s="17"/>
      <c r="FLD105" s="17"/>
      <c r="FLE105" s="17"/>
      <c r="FLF105" s="17"/>
      <c r="FLG105" s="17"/>
      <c r="FLH105" s="17"/>
      <c r="FLI105" s="17"/>
      <c r="FLJ105" s="17"/>
      <c r="FLK105" s="17"/>
      <c r="FLL105" s="17"/>
      <c r="FLM105" s="17"/>
      <c r="FLN105" s="17"/>
      <c r="FLO105" s="17"/>
      <c r="FLP105" s="17"/>
      <c r="FLQ105" s="17"/>
      <c r="FLR105" s="17"/>
      <c r="FLS105" s="17"/>
      <c r="FLT105" s="17"/>
      <c r="FLU105" s="17"/>
      <c r="FLV105" s="17"/>
      <c r="FLW105" s="17"/>
      <c r="FLX105" s="17"/>
      <c r="FLY105" s="17"/>
      <c r="FLZ105" s="17"/>
      <c r="FMA105" s="17"/>
      <c r="FMB105" s="17"/>
      <c r="FMC105" s="17"/>
      <c r="FMD105" s="17"/>
      <c r="FME105" s="17"/>
      <c r="FMF105" s="17"/>
      <c r="FMG105" s="17"/>
      <c r="FMH105" s="17"/>
      <c r="FMI105" s="17"/>
      <c r="FMJ105" s="17"/>
      <c r="FMK105" s="17"/>
      <c r="FML105" s="17"/>
      <c r="FMM105" s="17"/>
      <c r="FMN105" s="17"/>
      <c r="FMO105" s="17"/>
      <c r="FMP105" s="17"/>
      <c r="FMQ105" s="17"/>
      <c r="FMR105" s="17"/>
      <c r="FMS105" s="17"/>
      <c r="FMT105" s="17"/>
      <c r="FMU105" s="17"/>
      <c r="FMV105" s="17"/>
      <c r="FMW105" s="17"/>
      <c r="FMX105" s="17"/>
      <c r="FMY105" s="17"/>
      <c r="FMZ105" s="17"/>
      <c r="FNA105" s="17"/>
      <c r="FNB105" s="17"/>
      <c r="FNC105" s="17"/>
      <c r="FND105" s="17"/>
      <c r="FNE105" s="17"/>
      <c r="FNF105" s="17"/>
      <c r="FNG105" s="17"/>
      <c r="FNH105" s="17"/>
      <c r="FNI105" s="17"/>
      <c r="FNJ105" s="17"/>
      <c r="FNK105" s="17"/>
      <c r="FNL105" s="17"/>
      <c r="FNM105" s="17"/>
      <c r="FNN105" s="17"/>
      <c r="FNO105" s="17"/>
      <c r="FNP105" s="17"/>
      <c r="FNQ105" s="17"/>
      <c r="FNR105" s="17"/>
      <c r="FNS105" s="17"/>
      <c r="FNT105" s="17"/>
      <c r="FNU105" s="17"/>
      <c r="FNV105" s="17"/>
      <c r="FNW105" s="17"/>
      <c r="FNX105" s="17"/>
      <c r="FNY105" s="17"/>
      <c r="FNZ105" s="17"/>
      <c r="FOA105" s="17"/>
      <c r="FOB105" s="17"/>
      <c r="FOC105" s="17"/>
      <c r="FOD105" s="17"/>
      <c r="FOE105" s="17"/>
      <c r="FOF105" s="17"/>
      <c r="FOG105" s="17"/>
      <c r="FOH105" s="17"/>
      <c r="FOI105" s="17"/>
      <c r="FOJ105" s="17"/>
      <c r="FOK105" s="17"/>
      <c r="FOL105" s="17"/>
      <c r="FOM105" s="17"/>
      <c r="FON105" s="17"/>
      <c r="FOO105" s="17"/>
      <c r="FOP105" s="17"/>
      <c r="FOQ105" s="17"/>
      <c r="FOR105" s="17"/>
      <c r="FOS105" s="17"/>
      <c r="FOT105" s="17"/>
      <c r="FOU105" s="17"/>
      <c r="FOV105" s="17"/>
      <c r="FOW105" s="17"/>
      <c r="FOX105" s="17"/>
      <c r="FOY105" s="17"/>
      <c r="FOZ105" s="17"/>
      <c r="FPA105" s="17"/>
      <c r="FPB105" s="17"/>
      <c r="FPC105" s="17"/>
      <c r="FPD105" s="17"/>
      <c r="FPE105" s="17"/>
      <c r="FPF105" s="17"/>
      <c r="FPG105" s="17"/>
      <c r="FPH105" s="17"/>
      <c r="FPI105" s="17"/>
      <c r="FPJ105" s="17"/>
      <c r="FPK105" s="17"/>
      <c r="FPL105" s="17"/>
      <c r="FPM105" s="17"/>
      <c r="FPN105" s="17"/>
      <c r="FPO105" s="17"/>
      <c r="FPP105" s="17"/>
      <c r="FPQ105" s="17"/>
      <c r="FPR105" s="17"/>
      <c r="FPS105" s="17"/>
      <c r="FPT105" s="17"/>
      <c r="FPU105" s="17"/>
      <c r="FPV105" s="17"/>
      <c r="FPW105" s="17"/>
      <c r="FPX105" s="17"/>
      <c r="FPY105" s="17"/>
      <c r="FPZ105" s="17"/>
      <c r="FQA105" s="17"/>
      <c r="FQB105" s="17"/>
      <c r="FQC105" s="17"/>
      <c r="FQD105" s="17"/>
      <c r="FQE105" s="17"/>
      <c r="FQF105" s="17"/>
      <c r="FQG105" s="17"/>
      <c r="FQH105" s="17"/>
      <c r="FQI105" s="17"/>
      <c r="FQJ105" s="17"/>
      <c r="FQK105" s="17"/>
      <c r="FQL105" s="17"/>
      <c r="FQM105" s="17"/>
      <c r="FQN105" s="17"/>
      <c r="FQO105" s="17"/>
      <c r="FQP105" s="17"/>
      <c r="FQQ105" s="17"/>
      <c r="FQR105" s="17"/>
      <c r="FQS105" s="17"/>
      <c r="FQT105" s="17"/>
      <c r="FQU105" s="17"/>
      <c r="FQV105" s="17"/>
      <c r="FQW105" s="17"/>
      <c r="FQX105" s="17"/>
      <c r="FQY105" s="17"/>
      <c r="FQZ105" s="17"/>
      <c r="FRA105" s="17"/>
      <c r="FRB105" s="17"/>
      <c r="FRC105" s="17"/>
      <c r="FRD105" s="17"/>
      <c r="FRE105" s="17"/>
      <c r="FRF105" s="17"/>
      <c r="FRG105" s="17"/>
      <c r="FRH105" s="17"/>
      <c r="FRI105" s="17"/>
      <c r="FRJ105" s="17"/>
      <c r="FRK105" s="17"/>
      <c r="FRL105" s="17"/>
      <c r="FRM105" s="17"/>
      <c r="FRN105" s="17"/>
      <c r="FRO105" s="17"/>
      <c r="FRP105" s="17"/>
      <c r="FRQ105" s="17"/>
      <c r="FRR105" s="17"/>
      <c r="FRS105" s="17"/>
      <c r="FRT105" s="17"/>
      <c r="FRU105" s="17"/>
      <c r="FRV105" s="17"/>
      <c r="FRW105" s="17"/>
      <c r="FRX105" s="17"/>
      <c r="FRY105" s="17"/>
      <c r="FRZ105" s="17"/>
      <c r="FSA105" s="17"/>
      <c r="FSB105" s="17"/>
      <c r="FSC105" s="17"/>
      <c r="FSD105" s="17"/>
      <c r="FSE105" s="17"/>
      <c r="FSF105" s="17"/>
      <c r="FSG105" s="17"/>
      <c r="FSH105" s="17"/>
      <c r="FSI105" s="17"/>
      <c r="FSJ105" s="17"/>
      <c r="FSK105" s="17"/>
      <c r="FSL105" s="17"/>
      <c r="FSM105" s="17"/>
      <c r="FSN105" s="17"/>
      <c r="FSO105" s="17"/>
      <c r="FSP105" s="17"/>
      <c r="FSQ105" s="17"/>
      <c r="FSR105" s="17"/>
      <c r="FSS105" s="17"/>
      <c r="FST105" s="17"/>
      <c r="FSU105" s="17"/>
      <c r="FSV105" s="17"/>
      <c r="FSW105" s="17"/>
      <c r="FSX105" s="17"/>
      <c r="FSY105" s="17"/>
      <c r="FSZ105" s="17"/>
      <c r="FTA105" s="17"/>
      <c r="FTB105" s="17"/>
      <c r="FTC105" s="17"/>
      <c r="FTD105" s="17"/>
      <c r="FTE105" s="17"/>
      <c r="FTF105" s="17"/>
      <c r="FTG105" s="17"/>
      <c r="FTH105" s="17"/>
      <c r="FTI105" s="17"/>
      <c r="FTJ105" s="17"/>
      <c r="FTK105" s="17"/>
      <c r="FTL105" s="17"/>
      <c r="FTM105" s="17"/>
      <c r="FTN105" s="17"/>
      <c r="FTO105" s="17"/>
      <c r="FTP105" s="17"/>
      <c r="FTQ105" s="17"/>
      <c r="FTR105" s="17"/>
      <c r="FTS105" s="17"/>
      <c r="FTT105" s="17"/>
      <c r="FTU105" s="17"/>
      <c r="FTV105" s="17"/>
      <c r="FTW105" s="17"/>
      <c r="FTX105" s="17"/>
      <c r="FTY105" s="17"/>
      <c r="FTZ105" s="17"/>
      <c r="FUA105" s="17"/>
      <c r="FUB105" s="17"/>
      <c r="FUC105" s="17"/>
      <c r="FUD105" s="17"/>
      <c r="FUE105" s="17"/>
      <c r="FUF105" s="17"/>
      <c r="FUG105" s="17"/>
      <c r="FUH105" s="17"/>
      <c r="FUI105" s="17"/>
      <c r="FUJ105" s="17"/>
      <c r="FUK105" s="17"/>
      <c r="FUL105" s="17"/>
      <c r="FUM105" s="17"/>
      <c r="FUN105" s="17"/>
      <c r="FUO105" s="17"/>
      <c r="FUP105" s="17"/>
      <c r="FUQ105" s="17"/>
      <c r="FUR105" s="17"/>
      <c r="FUS105" s="17"/>
      <c r="FUT105" s="17"/>
      <c r="FUU105" s="17"/>
      <c r="FUV105" s="17"/>
      <c r="FUW105" s="17"/>
      <c r="FUX105" s="17"/>
      <c r="FUY105" s="17"/>
      <c r="FUZ105" s="17"/>
      <c r="FVA105" s="17"/>
      <c r="FVB105" s="17"/>
      <c r="FVC105" s="17"/>
      <c r="FVD105" s="17"/>
      <c r="FVE105" s="17"/>
      <c r="FVF105" s="17"/>
      <c r="FVG105" s="17"/>
      <c r="FVH105" s="17"/>
      <c r="FVI105" s="17"/>
      <c r="FVJ105" s="17"/>
      <c r="FVK105" s="17"/>
      <c r="FVL105" s="17"/>
      <c r="FVM105" s="17"/>
      <c r="FVN105" s="17"/>
      <c r="FVO105" s="17"/>
      <c r="FVP105" s="17"/>
      <c r="FVQ105" s="17"/>
      <c r="FVR105" s="17"/>
      <c r="FVS105" s="17"/>
      <c r="FVT105" s="17"/>
      <c r="FVU105" s="17"/>
      <c r="FVV105" s="17"/>
      <c r="FVW105" s="17"/>
      <c r="FVX105" s="17"/>
      <c r="FVY105" s="17"/>
      <c r="FVZ105" s="17"/>
      <c r="FWA105" s="17"/>
      <c r="FWB105" s="17"/>
      <c r="FWC105" s="17"/>
      <c r="FWD105" s="17"/>
      <c r="FWE105" s="17"/>
      <c r="FWF105" s="17"/>
      <c r="FWG105" s="17"/>
      <c r="FWH105" s="17"/>
      <c r="FWI105" s="17"/>
      <c r="FWJ105" s="17"/>
      <c r="FWK105" s="17"/>
      <c r="FWL105" s="17"/>
      <c r="FWM105" s="17"/>
      <c r="FWN105" s="17"/>
      <c r="FWO105" s="17"/>
      <c r="FWP105" s="17"/>
      <c r="FWQ105" s="17"/>
      <c r="FWR105" s="17"/>
      <c r="FWS105" s="17"/>
      <c r="FWT105" s="17"/>
      <c r="FWU105" s="17"/>
      <c r="FWV105" s="17"/>
      <c r="FWW105" s="17"/>
      <c r="FWX105" s="17"/>
      <c r="FWY105" s="17"/>
      <c r="FWZ105" s="17"/>
      <c r="FXA105" s="17"/>
      <c r="FXB105" s="17"/>
      <c r="FXC105" s="17"/>
      <c r="FXD105" s="17"/>
      <c r="FXE105" s="17"/>
      <c r="FXF105" s="17"/>
      <c r="FXG105" s="17"/>
      <c r="FXH105" s="17"/>
      <c r="FXI105" s="17"/>
      <c r="FXJ105" s="17"/>
      <c r="FXK105" s="17"/>
      <c r="FXL105" s="17"/>
      <c r="FXM105" s="17"/>
      <c r="FXN105" s="17"/>
      <c r="FXO105" s="17"/>
      <c r="FXP105" s="17"/>
      <c r="FXQ105" s="17"/>
      <c r="FXR105" s="17"/>
      <c r="FXS105" s="17"/>
      <c r="FXT105" s="17"/>
      <c r="FXU105" s="17"/>
      <c r="FXV105" s="17"/>
      <c r="FXW105" s="17"/>
      <c r="FXX105" s="17"/>
      <c r="FXY105" s="17"/>
      <c r="FXZ105" s="17"/>
      <c r="FYA105" s="17"/>
      <c r="FYB105" s="17"/>
      <c r="FYC105" s="17"/>
      <c r="FYD105" s="17"/>
      <c r="FYE105" s="17"/>
      <c r="FYF105" s="17"/>
      <c r="FYG105" s="17"/>
      <c r="FYH105" s="17"/>
      <c r="FYI105" s="17"/>
      <c r="FYJ105" s="17"/>
      <c r="FYK105" s="17"/>
      <c r="FYL105" s="17"/>
      <c r="FYM105" s="17"/>
      <c r="FYN105" s="17"/>
      <c r="FYO105" s="17"/>
      <c r="FYP105" s="17"/>
      <c r="FYQ105" s="17"/>
      <c r="FYR105" s="17"/>
      <c r="FYS105" s="17"/>
      <c r="FYT105" s="17"/>
      <c r="FYU105" s="17"/>
      <c r="FYV105" s="17"/>
      <c r="FYW105" s="17"/>
      <c r="FYX105" s="17"/>
      <c r="FYY105" s="17"/>
      <c r="FYZ105" s="17"/>
      <c r="FZA105" s="17"/>
      <c r="FZB105" s="17"/>
      <c r="FZC105" s="17"/>
      <c r="FZD105" s="17"/>
      <c r="FZE105" s="17"/>
      <c r="FZF105" s="17"/>
      <c r="FZG105" s="17"/>
      <c r="FZH105" s="17"/>
      <c r="FZI105" s="17"/>
      <c r="FZJ105" s="17"/>
      <c r="FZK105" s="17"/>
      <c r="FZL105" s="17"/>
      <c r="FZM105" s="17"/>
      <c r="FZN105" s="17"/>
      <c r="FZO105" s="17"/>
      <c r="FZP105" s="17"/>
      <c r="FZQ105" s="17"/>
      <c r="FZR105" s="17"/>
      <c r="FZS105" s="17"/>
      <c r="FZT105" s="17"/>
      <c r="FZU105" s="17"/>
      <c r="FZV105" s="17"/>
      <c r="FZW105" s="17"/>
      <c r="FZX105" s="17"/>
      <c r="FZY105" s="17"/>
      <c r="FZZ105" s="17"/>
      <c r="GAA105" s="17"/>
      <c r="GAB105" s="17"/>
      <c r="GAC105" s="17"/>
      <c r="GAD105" s="17"/>
      <c r="GAE105" s="17"/>
      <c r="GAF105" s="17"/>
      <c r="GAG105" s="17"/>
      <c r="GAH105" s="17"/>
      <c r="GAI105" s="17"/>
      <c r="GAJ105" s="17"/>
      <c r="GAK105" s="17"/>
      <c r="GAL105" s="17"/>
      <c r="GAM105" s="17"/>
      <c r="GAN105" s="17"/>
      <c r="GAO105" s="17"/>
      <c r="GAP105" s="17"/>
      <c r="GAQ105" s="17"/>
      <c r="GAR105" s="17"/>
      <c r="GAS105" s="17"/>
      <c r="GAT105" s="17"/>
      <c r="GAU105" s="17"/>
      <c r="GAV105" s="17"/>
      <c r="GAW105" s="17"/>
      <c r="GAX105" s="17"/>
      <c r="GAY105" s="17"/>
      <c r="GAZ105" s="17"/>
      <c r="GBA105" s="17"/>
      <c r="GBB105" s="17"/>
      <c r="GBC105" s="17"/>
      <c r="GBD105" s="17"/>
      <c r="GBE105" s="17"/>
      <c r="GBF105" s="17"/>
      <c r="GBG105" s="17"/>
      <c r="GBH105" s="17"/>
      <c r="GBI105" s="17"/>
      <c r="GBJ105" s="17"/>
      <c r="GBK105" s="17"/>
      <c r="GBL105" s="17"/>
      <c r="GBM105" s="17"/>
      <c r="GBN105" s="17"/>
      <c r="GBO105" s="17"/>
      <c r="GBP105" s="17"/>
      <c r="GBQ105" s="17"/>
      <c r="GBR105" s="17"/>
      <c r="GBS105" s="17"/>
      <c r="GBT105" s="17"/>
      <c r="GBU105" s="17"/>
      <c r="GBV105" s="17"/>
      <c r="GBW105" s="17"/>
      <c r="GBX105" s="17"/>
      <c r="GBY105" s="17"/>
      <c r="GBZ105" s="17"/>
      <c r="GCA105" s="17"/>
      <c r="GCB105" s="17"/>
      <c r="GCC105" s="17"/>
      <c r="GCD105" s="17"/>
      <c r="GCE105" s="17"/>
      <c r="GCF105" s="17"/>
      <c r="GCG105" s="17"/>
      <c r="GCH105" s="17"/>
      <c r="GCI105" s="17"/>
      <c r="GCJ105" s="17"/>
      <c r="GCK105" s="17"/>
      <c r="GCL105" s="17"/>
      <c r="GCM105" s="17"/>
      <c r="GCN105" s="17"/>
      <c r="GCO105" s="17"/>
      <c r="GCP105" s="17"/>
      <c r="GCQ105" s="17"/>
      <c r="GCR105" s="17"/>
      <c r="GCS105" s="17"/>
      <c r="GCT105" s="17"/>
      <c r="GCU105" s="17"/>
      <c r="GCV105" s="17"/>
      <c r="GCW105" s="17"/>
      <c r="GCX105" s="17"/>
      <c r="GCY105" s="17"/>
      <c r="GCZ105" s="17"/>
      <c r="GDA105" s="17"/>
      <c r="GDB105" s="17"/>
      <c r="GDC105" s="17"/>
      <c r="GDD105" s="17"/>
      <c r="GDE105" s="17"/>
      <c r="GDF105" s="17"/>
      <c r="GDG105" s="17"/>
      <c r="GDH105" s="17"/>
      <c r="GDI105" s="17"/>
      <c r="GDJ105" s="17"/>
      <c r="GDK105" s="17"/>
      <c r="GDL105" s="17"/>
      <c r="GDM105" s="17"/>
      <c r="GDN105" s="17"/>
      <c r="GDO105" s="17"/>
      <c r="GDP105" s="17"/>
      <c r="GDQ105" s="17"/>
      <c r="GDR105" s="17"/>
      <c r="GDS105" s="17"/>
      <c r="GDT105" s="17"/>
      <c r="GDU105" s="17"/>
      <c r="GDV105" s="17"/>
      <c r="GDW105" s="17"/>
      <c r="GDX105" s="17"/>
      <c r="GDY105" s="17"/>
      <c r="GDZ105" s="17"/>
      <c r="GEA105" s="17"/>
      <c r="GEB105" s="17"/>
      <c r="GEC105" s="17"/>
      <c r="GED105" s="17"/>
      <c r="GEE105" s="17"/>
      <c r="GEF105" s="17"/>
      <c r="GEG105" s="17"/>
      <c r="GEH105" s="17"/>
      <c r="GEI105" s="17"/>
      <c r="GEJ105" s="17"/>
      <c r="GEK105" s="17"/>
      <c r="GEL105" s="17"/>
      <c r="GEM105" s="17"/>
      <c r="GEN105" s="17"/>
      <c r="GEO105" s="17"/>
      <c r="GEP105" s="17"/>
      <c r="GEQ105" s="17"/>
      <c r="GER105" s="17"/>
      <c r="GES105" s="17"/>
      <c r="GET105" s="17"/>
      <c r="GEU105" s="17"/>
      <c r="GEV105" s="17"/>
      <c r="GEW105" s="17"/>
      <c r="GEX105" s="17"/>
      <c r="GEY105" s="17"/>
      <c r="GEZ105" s="17"/>
      <c r="GFA105" s="17"/>
      <c r="GFB105" s="17"/>
      <c r="GFC105" s="17"/>
      <c r="GFD105" s="17"/>
      <c r="GFE105" s="17"/>
      <c r="GFF105" s="17"/>
      <c r="GFG105" s="17"/>
      <c r="GFH105" s="17"/>
      <c r="GFI105" s="17"/>
      <c r="GFJ105" s="17"/>
      <c r="GFK105" s="17"/>
      <c r="GFL105" s="17"/>
      <c r="GFM105" s="17"/>
      <c r="GFN105" s="17"/>
      <c r="GFO105" s="17"/>
      <c r="GFP105" s="17"/>
      <c r="GFQ105" s="17"/>
      <c r="GFR105" s="17"/>
      <c r="GFS105" s="17"/>
      <c r="GFT105" s="17"/>
      <c r="GFU105" s="17"/>
      <c r="GFV105" s="17"/>
      <c r="GFW105" s="17"/>
      <c r="GFX105" s="17"/>
      <c r="GFY105" s="17"/>
      <c r="GFZ105" s="17"/>
      <c r="GGA105" s="17"/>
      <c r="GGB105" s="17"/>
      <c r="GGC105" s="17"/>
      <c r="GGD105" s="17"/>
      <c r="GGE105" s="17"/>
      <c r="GGF105" s="17"/>
      <c r="GGG105" s="17"/>
      <c r="GGH105" s="17"/>
      <c r="GGI105" s="17"/>
      <c r="GGJ105" s="17"/>
      <c r="GGK105" s="17"/>
      <c r="GGL105" s="17"/>
      <c r="GGM105" s="17"/>
      <c r="GGN105" s="17"/>
      <c r="GGO105" s="17"/>
      <c r="GGP105" s="17"/>
      <c r="GGQ105" s="17"/>
      <c r="GGR105" s="17"/>
      <c r="GGS105" s="17"/>
      <c r="GGT105" s="17"/>
      <c r="GGU105" s="17"/>
      <c r="GGV105" s="17"/>
      <c r="GGW105" s="17"/>
      <c r="GGX105" s="17"/>
      <c r="GGY105" s="17"/>
      <c r="GGZ105" s="17"/>
      <c r="GHA105" s="17"/>
      <c r="GHB105" s="17"/>
      <c r="GHC105" s="17"/>
      <c r="GHD105" s="17"/>
      <c r="GHE105" s="17"/>
      <c r="GHF105" s="17"/>
      <c r="GHG105" s="17"/>
      <c r="GHH105" s="17"/>
      <c r="GHI105" s="17"/>
      <c r="GHJ105" s="17"/>
      <c r="GHK105" s="17"/>
      <c r="GHL105" s="17"/>
      <c r="GHM105" s="17"/>
      <c r="GHN105" s="17"/>
      <c r="GHO105" s="17"/>
      <c r="GHP105" s="17"/>
      <c r="GHQ105" s="17"/>
      <c r="GHR105" s="17"/>
      <c r="GHS105" s="17"/>
      <c r="GHT105" s="17"/>
      <c r="GHU105" s="17"/>
      <c r="GHV105" s="17"/>
      <c r="GHW105" s="17"/>
      <c r="GHX105" s="17"/>
      <c r="GHY105" s="17"/>
      <c r="GHZ105" s="17"/>
      <c r="GIA105" s="17"/>
      <c r="GIB105" s="17"/>
      <c r="GIC105" s="17"/>
      <c r="GID105" s="17"/>
      <c r="GIE105" s="17"/>
      <c r="GIF105" s="17"/>
      <c r="GIG105" s="17"/>
      <c r="GIH105" s="17"/>
      <c r="GII105" s="17"/>
      <c r="GIJ105" s="17"/>
      <c r="GIK105" s="17"/>
      <c r="GIL105" s="17"/>
      <c r="GIM105" s="17"/>
      <c r="GIN105" s="17"/>
      <c r="GIO105" s="17"/>
      <c r="GIP105" s="17"/>
      <c r="GIQ105" s="17"/>
      <c r="GIR105" s="17"/>
      <c r="GIS105" s="17"/>
      <c r="GIT105" s="17"/>
      <c r="GIU105" s="17"/>
      <c r="GIV105" s="17"/>
      <c r="GIW105" s="17"/>
      <c r="GIX105" s="17"/>
      <c r="GIY105" s="17"/>
      <c r="GIZ105" s="17"/>
      <c r="GJA105" s="17"/>
      <c r="GJB105" s="17"/>
      <c r="GJC105" s="17"/>
      <c r="GJD105" s="17"/>
      <c r="GJE105" s="17"/>
      <c r="GJF105" s="17"/>
      <c r="GJG105" s="17"/>
      <c r="GJH105" s="17"/>
      <c r="GJI105" s="17"/>
      <c r="GJJ105" s="17"/>
      <c r="GJK105" s="17"/>
      <c r="GJL105" s="17"/>
      <c r="GJM105" s="17"/>
      <c r="GJN105" s="17"/>
      <c r="GJO105" s="17"/>
      <c r="GJP105" s="17"/>
      <c r="GJQ105" s="17"/>
      <c r="GJR105" s="17"/>
      <c r="GJS105" s="17"/>
      <c r="GJT105" s="17"/>
      <c r="GJU105" s="17"/>
      <c r="GJV105" s="17"/>
      <c r="GJW105" s="17"/>
      <c r="GJX105" s="17"/>
      <c r="GJY105" s="17"/>
      <c r="GJZ105" s="17"/>
      <c r="GKA105" s="17"/>
      <c r="GKB105" s="17"/>
      <c r="GKC105" s="17"/>
      <c r="GKD105" s="17"/>
      <c r="GKE105" s="17"/>
      <c r="GKF105" s="17"/>
      <c r="GKG105" s="17"/>
      <c r="GKH105" s="17"/>
      <c r="GKI105" s="17"/>
      <c r="GKJ105" s="17"/>
      <c r="GKK105" s="17"/>
      <c r="GKL105" s="17"/>
      <c r="GKM105" s="17"/>
      <c r="GKN105" s="17"/>
      <c r="GKO105" s="17"/>
      <c r="GKP105" s="17"/>
      <c r="GKQ105" s="17"/>
      <c r="GKR105" s="17"/>
      <c r="GKS105" s="17"/>
      <c r="GKT105" s="17"/>
      <c r="GKU105" s="17"/>
      <c r="GKV105" s="17"/>
      <c r="GKW105" s="17"/>
      <c r="GKX105" s="17"/>
      <c r="GKY105" s="17"/>
      <c r="GKZ105" s="17"/>
      <c r="GLA105" s="17"/>
      <c r="GLB105" s="17"/>
      <c r="GLC105" s="17"/>
      <c r="GLD105" s="17"/>
      <c r="GLE105" s="17"/>
      <c r="GLF105" s="17"/>
      <c r="GLG105" s="17"/>
      <c r="GLH105" s="17"/>
      <c r="GLI105" s="17"/>
      <c r="GLJ105" s="17"/>
      <c r="GLK105" s="17"/>
      <c r="GLL105" s="17"/>
      <c r="GLM105" s="17"/>
      <c r="GLN105" s="17"/>
      <c r="GLO105" s="17"/>
      <c r="GLP105" s="17"/>
      <c r="GLQ105" s="17"/>
      <c r="GLR105" s="17"/>
      <c r="GLS105" s="17"/>
      <c r="GLT105" s="17"/>
      <c r="GLU105" s="17"/>
      <c r="GLV105" s="17"/>
      <c r="GLW105" s="17"/>
      <c r="GLX105" s="17"/>
      <c r="GLY105" s="17"/>
      <c r="GLZ105" s="17"/>
      <c r="GMA105" s="17"/>
      <c r="GMB105" s="17"/>
      <c r="GMC105" s="17"/>
      <c r="GMD105" s="17"/>
      <c r="GME105" s="17"/>
      <c r="GMF105" s="17"/>
      <c r="GMG105" s="17"/>
      <c r="GMH105" s="17"/>
      <c r="GMI105" s="17"/>
      <c r="GMJ105" s="17"/>
      <c r="GMK105" s="17"/>
      <c r="GML105" s="17"/>
      <c r="GMM105" s="17"/>
      <c r="GMN105" s="17"/>
      <c r="GMO105" s="17"/>
      <c r="GMP105" s="17"/>
      <c r="GMQ105" s="17"/>
      <c r="GMR105" s="17"/>
      <c r="GMS105" s="17"/>
      <c r="GMT105" s="17"/>
      <c r="GMU105" s="17"/>
      <c r="GMV105" s="17"/>
      <c r="GMW105" s="17"/>
      <c r="GMX105" s="17"/>
      <c r="GMY105" s="17"/>
      <c r="GMZ105" s="17"/>
      <c r="GNA105" s="17"/>
      <c r="GNB105" s="17"/>
      <c r="GNC105" s="17"/>
      <c r="GND105" s="17"/>
      <c r="GNE105" s="17"/>
      <c r="GNF105" s="17"/>
      <c r="GNG105" s="17"/>
      <c r="GNH105" s="17"/>
      <c r="GNI105" s="17"/>
      <c r="GNJ105" s="17"/>
      <c r="GNK105" s="17"/>
      <c r="GNL105" s="17"/>
      <c r="GNM105" s="17"/>
      <c r="GNN105" s="17"/>
      <c r="GNO105" s="17"/>
      <c r="GNP105" s="17"/>
      <c r="GNQ105" s="17"/>
      <c r="GNR105" s="17"/>
      <c r="GNS105" s="17"/>
      <c r="GNT105" s="17"/>
      <c r="GNU105" s="17"/>
      <c r="GNV105" s="17"/>
      <c r="GNW105" s="17"/>
      <c r="GNX105" s="17"/>
      <c r="GNY105" s="17"/>
      <c r="GNZ105" s="17"/>
      <c r="GOA105" s="17"/>
      <c r="GOB105" s="17"/>
      <c r="GOC105" s="17"/>
      <c r="GOD105" s="17"/>
      <c r="GOE105" s="17"/>
      <c r="GOF105" s="17"/>
      <c r="GOG105" s="17"/>
      <c r="GOH105" s="17"/>
      <c r="GOI105" s="17"/>
      <c r="GOJ105" s="17"/>
      <c r="GOK105" s="17"/>
      <c r="GOL105" s="17"/>
      <c r="GOM105" s="17"/>
      <c r="GON105" s="17"/>
      <c r="GOO105" s="17"/>
      <c r="GOP105" s="17"/>
      <c r="GOQ105" s="17"/>
      <c r="GOR105" s="17"/>
      <c r="GOS105" s="17"/>
      <c r="GOT105" s="17"/>
      <c r="GOU105" s="17"/>
      <c r="GOV105" s="17"/>
      <c r="GOW105" s="17"/>
      <c r="GOX105" s="17"/>
      <c r="GOY105" s="17"/>
      <c r="GOZ105" s="17"/>
      <c r="GPA105" s="17"/>
      <c r="GPB105" s="17"/>
      <c r="GPC105" s="17"/>
      <c r="GPD105" s="17"/>
      <c r="GPE105" s="17"/>
      <c r="GPF105" s="17"/>
      <c r="GPG105" s="17"/>
      <c r="GPH105" s="17"/>
      <c r="GPI105" s="17"/>
      <c r="GPJ105" s="17"/>
      <c r="GPK105" s="17"/>
      <c r="GPL105" s="17"/>
      <c r="GPM105" s="17"/>
      <c r="GPN105" s="17"/>
      <c r="GPO105" s="17"/>
      <c r="GPP105" s="17"/>
      <c r="GPQ105" s="17"/>
      <c r="GPR105" s="17"/>
      <c r="GPS105" s="17"/>
      <c r="GPT105" s="17"/>
      <c r="GPU105" s="17"/>
      <c r="GPV105" s="17"/>
      <c r="GPW105" s="17"/>
      <c r="GPX105" s="17"/>
      <c r="GPY105" s="17"/>
      <c r="GPZ105" s="17"/>
      <c r="GQA105" s="17"/>
      <c r="GQB105" s="17"/>
      <c r="GQC105" s="17"/>
      <c r="GQD105" s="17"/>
      <c r="GQE105" s="17"/>
      <c r="GQF105" s="17"/>
      <c r="GQG105" s="17"/>
      <c r="GQH105" s="17"/>
      <c r="GQI105" s="17"/>
      <c r="GQJ105" s="17"/>
      <c r="GQK105" s="17"/>
      <c r="GQL105" s="17"/>
      <c r="GQM105" s="17"/>
      <c r="GQN105" s="17"/>
      <c r="GQO105" s="17"/>
      <c r="GQP105" s="17"/>
      <c r="GQQ105" s="17"/>
      <c r="GQR105" s="17"/>
      <c r="GQS105" s="17"/>
      <c r="GQT105" s="17"/>
      <c r="GQU105" s="17"/>
      <c r="GQV105" s="17"/>
      <c r="GQW105" s="17"/>
      <c r="GQX105" s="17"/>
      <c r="GQY105" s="17"/>
      <c r="GQZ105" s="17"/>
      <c r="GRA105" s="17"/>
      <c r="GRB105" s="17"/>
      <c r="GRC105" s="17"/>
      <c r="GRD105" s="17"/>
      <c r="GRE105" s="17"/>
      <c r="GRF105" s="17"/>
      <c r="GRG105" s="17"/>
      <c r="GRH105" s="17"/>
      <c r="GRI105" s="17"/>
      <c r="GRJ105" s="17"/>
      <c r="GRK105" s="17"/>
      <c r="GRL105" s="17"/>
      <c r="GRM105" s="17"/>
      <c r="GRN105" s="17"/>
      <c r="GRO105" s="17"/>
      <c r="GRP105" s="17"/>
      <c r="GRQ105" s="17"/>
      <c r="GRR105" s="17"/>
      <c r="GRS105" s="17"/>
      <c r="GRT105" s="17"/>
      <c r="GRU105" s="17"/>
      <c r="GRV105" s="17"/>
      <c r="GRW105" s="17"/>
      <c r="GRX105" s="17"/>
      <c r="GRY105" s="17"/>
      <c r="GRZ105" s="17"/>
      <c r="GSA105" s="17"/>
      <c r="GSB105" s="17"/>
      <c r="GSC105" s="17"/>
      <c r="GSD105" s="17"/>
      <c r="GSE105" s="17"/>
      <c r="GSF105" s="17"/>
      <c r="GSG105" s="17"/>
      <c r="GSH105" s="17"/>
      <c r="GSI105" s="17"/>
      <c r="GSJ105" s="17"/>
      <c r="GSK105" s="17"/>
      <c r="GSL105" s="17"/>
      <c r="GSM105" s="17"/>
      <c r="GSN105" s="17"/>
      <c r="GSO105" s="17"/>
      <c r="GSP105" s="17"/>
      <c r="GSQ105" s="17"/>
      <c r="GSR105" s="17"/>
      <c r="GSS105" s="17"/>
      <c r="GST105" s="17"/>
      <c r="GSU105" s="17"/>
      <c r="GSV105" s="17"/>
      <c r="GSW105" s="17"/>
      <c r="GSX105" s="17"/>
      <c r="GSY105" s="17"/>
      <c r="GSZ105" s="17"/>
      <c r="GTA105" s="17"/>
      <c r="GTB105" s="17"/>
      <c r="GTC105" s="17"/>
      <c r="GTD105" s="17"/>
      <c r="GTE105" s="17"/>
      <c r="GTF105" s="17"/>
      <c r="GTG105" s="17"/>
      <c r="GTH105" s="17"/>
      <c r="GTI105" s="17"/>
      <c r="GTJ105" s="17"/>
      <c r="GTK105" s="17"/>
      <c r="GTL105" s="17"/>
      <c r="GTM105" s="17"/>
      <c r="GTN105" s="17"/>
      <c r="GTO105" s="17"/>
      <c r="GTP105" s="17"/>
      <c r="GTQ105" s="17"/>
      <c r="GTR105" s="17"/>
      <c r="GTS105" s="17"/>
      <c r="GTT105" s="17"/>
      <c r="GTU105" s="17"/>
      <c r="GTV105" s="17"/>
      <c r="GTW105" s="17"/>
      <c r="GTX105" s="17"/>
      <c r="GTY105" s="17"/>
      <c r="GTZ105" s="17"/>
      <c r="GUA105" s="17"/>
      <c r="GUB105" s="17"/>
      <c r="GUC105" s="17"/>
      <c r="GUD105" s="17"/>
      <c r="GUE105" s="17"/>
      <c r="GUF105" s="17"/>
      <c r="GUG105" s="17"/>
      <c r="GUH105" s="17"/>
      <c r="GUI105" s="17"/>
      <c r="GUJ105" s="17"/>
      <c r="GUK105" s="17"/>
      <c r="GUL105" s="17"/>
      <c r="GUM105" s="17"/>
      <c r="GUN105" s="17"/>
      <c r="GUO105" s="17"/>
      <c r="GUP105" s="17"/>
      <c r="GUQ105" s="17"/>
      <c r="GUR105" s="17"/>
      <c r="GUS105" s="17"/>
      <c r="GUT105" s="17"/>
      <c r="GUU105" s="17"/>
      <c r="GUV105" s="17"/>
      <c r="GUW105" s="17"/>
      <c r="GUX105" s="17"/>
      <c r="GUY105" s="17"/>
      <c r="GUZ105" s="17"/>
      <c r="GVA105" s="17"/>
      <c r="GVB105" s="17"/>
      <c r="GVC105" s="17"/>
      <c r="GVD105" s="17"/>
      <c r="GVE105" s="17"/>
      <c r="GVF105" s="17"/>
      <c r="GVG105" s="17"/>
      <c r="GVH105" s="17"/>
      <c r="GVI105" s="17"/>
      <c r="GVJ105" s="17"/>
      <c r="GVK105" s="17"/>
      <c r="GVL105" s="17"/>
      <c r="GVM105" s="17"/>
      <c r="GVN105" s="17"/>
      <c r="GVO105" s="17"/>
      <c r="GVP105" s="17"/>
      <c r="GVQ105" s="17"/>
      <c r="GVR105" s="17"/>
      <c r="GVS105" s="17"/>
      <c r="GVT105" s="17"/>
      <c r="GVU105" s="17"/>
      <c r="GVV105" s="17"/>
      <c r="GVW105" s="17"/>
      <c r="GVX105" s="17"/>
      <c r="GVY105" s="17"/>
      <c r="GVZ105" s="17"/>
      <c r="GWA105" s="17"/>
      <c r="GWB105" s="17"/>
      <c r="GWC105" s="17"/>
      <c r="GWD105" s="17"/>
      <c r="GWE105" s="17"/>
      <c r="GWF105" s="17"/>
      <c r="GWG105" s="17"/>
      <c r="GWH105" s="17"/>
      <c r="GWI105" s="17"/>
      <c r="GWJ105" s="17"/>
      <c r="GWK105" s="17"/>
      <c r="GWL105" s="17"/>
      <c r="GWM105" s="17"/>
      <c r="GWN105" s="17"/>
      <c r="GWO105" s="17"/>
      <c r="GWP105" s="17"/>
      <c r="GWQ105" s="17"/>
      <c r="GWR105" s="17"/>
      <c r="GWS105" s="17"/>
      <c r="GWT105" s="17"/>
      <c r="GWU105" s="17"/>
      <c r="GWV105" s="17"/>
      <c r="GWW105" s="17"/>
      <c r="GWX105" s="17"/>
      <c r="GWY105" s="17"/>
      <c r="GWZ105" s="17"/>
      <c r="GXA105" s="17"/>
      <c r="GXB105" s="17"/>
      <c r="GXC105" s="17"/>
      <c r="GXD105" s="17"/>
      <c r="GXE105" s="17"/>
      <c r="GXF105" s="17"/>
      <c r="GXG105" s="17"/>
      <c r="GXH105" s="17"/>
      <c r="GXI105" s="17"/>
      <c r="GXJ105" s="17"/>
      <c r="GXK105" s="17"/>
      <c r="GXL105" s="17"/>
      <c r="GXM105" s="17"/>
      <c r="GXN105" s="17"/>
      <c r="GXO105" s="17"/>
      <c r="GXP105" s="17"/>
      <c r="GXQ105" s="17"/>
      <c r="GXR105" s="17"/>
      <c r="GXS105" s="17"/>
      <c r="GXT105" s="17"/>
      <c r="GXU105" s="17"/>
      <c r="GXV105" s="17"/>
      <c r="GXW105" s="17"/>
      <c r="GXX105" s="17"/>
      <c r="GXY105" s="17"/>
      <c r="GXZ105" s="17"/>
      <c r="GYA105" s="17"/>
      <c r="GYB105" s="17"/>
      <c r="GYC105" s="17"/>
      <c r="GYD105" s="17"/>
      <c r="GYE105" s="17"/>
      <c r="GYF105" s="17"/>
      <c r="GYG105" s="17"/>
      <c r="GYH105" s="17"/>
      <c r="GYI105" s="17"/>
      <c r="GYJ105" s="17"/>
      <c r="GYK105" s="17"/>
      <c r="GYL105" s="17"/>
      <c r="GYM105" s="17"/>
      <c r="GYN105" s="17"/>
      <c r="GYO105" s="17"/>
      <c r="GYP105" s="17"/>
      <c r="GYQ105" s="17"/>
      <c r="GYR105" s="17"/>
      <c r="GYS105" s="17"/>
      <c r="GYT105" s="17"/>
      <c r="GYU105" s="17"/>
      <c r="GYV105" s="17"/>
      <c r="GYW105" s="17"/>
      <c r="GYX105" s="17"/>
      <c r="GYY105" s="17"/>
      <c r="GYZ105" s="17"/>
      <c r="GZA105" s="17"/>
      <c r="GZB105" s="17"/>
      <c r="GZC105" s="17"/>
      <c r="GZD105" s="17"/>
      <c r="GZE105" s="17"/>
      <c r="GZF105" s="17"/>
      <c r="GZG105" s="17"/>
      <c r="GZH105" s="17"/>
      <c r="GZI105" s="17"/>
      <c r="GZJ105" s="17"/>
      <c r="GZK105" s="17"/>
      <c r="GZL105" s="17"/>
      <c r="GZM105" s="17"/>
      <c r="GZN105" s="17"/>
      <c r="GZO105" s="17"/>
      <c r="GZP105" s="17"/>
      <c r="GZQ105" s="17"/>
      <c r="GZR105" s="17"/>
      <c r="GZS105" s="17"/>
      <c r="GZT105" s="17"/>
      <c r="GZU105" s="17"/>
      <c r="GZV105" s="17"/>
      <c r="GZW105" s="17"/>
      <c r="GZX105" s="17"/>
      <c r="GZY105" s="17"/>
      <c r="GZZ105" s="17"/>
      <c r="HAA105" s="17"/>
      <c r="HAB105" s="17"/>
      <c r="HAC105" s="17"/>
      <c r="HAD105" s="17"/>
      <c r="HAE105" s="17"/>
      <c r="HAF105" s="17"/>
      <c r="HAG105" s="17"/>
      <c r="HAH105" s="17"/>
      <c r="HAI105" s="17"/>
      <c r="HAJ105" s="17"/>
      <c r="HAK105" s="17"/>
      <c r="HAL105" s="17"/>
      <c r="HAM105" s="17"/>
      <c r="HAN105" s="17"/>
      <c r="HAO105" s="17"/>
      <c r="HAP105" s="17"/>
      <c r="HAQ105" s="17"/>
      <c r="HAR105" s="17"/>
      <c r="HAS105" s="17"/>
      <c r="HAT105" s="17"/>
      <c r="HAU105" s="17"/>
      <c r="HAV105" s="17"/>
      <c r="HAW105" s="17"/>
      <c r="HAX105" s="17"/>
      <c r="HAY105" s="17"/>
      <c r="HAZ105" s="17"/>
      <c r="HBA105" s="17"/>
      <c r="HBB105" s="17"/>
      <c r="HBC105" s="17"/>
      <c r="HBD105" s="17"/>
      <c r="HBE105" s="17"/>
      <c r="HBF105" s="17"/>
      <c r="HBG105" s="17"/>
      <c r="HBH105" s="17"/>
      <c r="HBI105" s="17"/>
      <c r="HBJ105" s="17"/>
      <c r="HBK105" s="17"/>
      <c r="HBL105" s="17"/>
      <c r="HBM105" s="17"/>
      <c r="HBN105" s="17"/>
      <c r="HBO105" s="17"/>
      <c r="HBP105" s="17"/>
      <c r="HBQ105" s="17"/>
      <c r="HBR105" s="17"/>
      <c r="HBS105" s="17"/>
      <c r="HBT105" s="17"/>
      <c r="HBU105" s="17"/>
      <c r="HBV105" s="17"/>
      <c r="HBW105" s="17"/>
      <c r="HBX105" s="17"/>
      <c r="HBY105" s="17"/>
      <c r="HBZ105" s="17"/>
      <c r="HCA105" s="17"/>
      <c r="HCB105" s="17"/>
      <c r="HCC105" s="17"/>
      <c r="HCD105" s="17"/>
      <c r="HCE105" s="17"/>
      <c r="HCF105" s="17"/>
      <c r="HCG105" s="17"/>
      <c r="HCH105" s="17"/>
      <c r="HCI105" s="17"/>
      <c r="HCJ105" s="17"/>
      <c r="HCK105" s="17"/>
      <c r="HCL105" s="17"/>
      <c r="HCM105" s="17"/>
      <c r="HCN105" s="17"/>
      <c r="HCO105" s="17"/>
      <c r="HCP105" s="17"/>
      <c r="HCQ105" s="17"/>
      <c r="HCR105" s="17"/>
      <c r="HCS105" s="17"/>
      <c r="HCT105" s="17"/>
      <c r="HCU105" s="17"/>
      <c r="HCV105" s="17"/>
      <c r="HCW105" s="17"/>
      <c r="HCX105" s="17"/>
      <c r="HCY105" s="17"/>
      <c r="HCZ105" s="17"/>
      <c r="HDA105" s="17"/>
      <c r="HDB105" s="17"/>
      <c r="HDC105" s="17"/>
      <c r="HDD105" s="17"/>
      <c r="HDE105" s="17"/>
      <c r="HDF105" s="17"/>
      <c r="HDG105" s="17"/>
      <c r="HDH105" s="17"/>
      <c r="HDI105" s="17"/>
      <c r="HDJ105" s="17"/>
      <c r="HDK105" s="17"/>
      <c r="HDL105" s="17"/>
      <c r="HDM105" s="17"/>
      <c r="HDN105" s="17"/>
      <c r="HDO105" s="17"/>
      <c r="HDP105" s="17"/>
      <c r="HDQ105" s="17"/>
      <c r="HDR105" s="17"/>
      <c r="HDS105" s="17"/>
      <c r="HDT105" s="17"/>
      <c r="HDU105" s="17"/>
      <c r="HDV105" s="17"/>
      <c r="HDW105" s="17"/>
      <c r="HDX105" s="17"/>
      <c r="HDY105" s="17"/>
      <c r="HDZ105" s="17"/>
      <c r="HEA105" s="17"/>
      <c r="HEB105" s="17"/>
      <c r="HEC105" s="17"/>
      <c r="HED105" s="17"/>
      <c r="HEE105" s="17"/>
      <c r="HEF105" s="17"/>
      <c r="HEG105" s="17"/>
      <c r="HEH105" s="17"/>
      <c r="HEI105" s="17"/>
      <c r="HEJ105" s="17"/>
      <c r="HEK105" s="17"/>
      <c r="HEL105" s="17"/>
      <c r="HEM105" s="17"/>
      <c r="HEN105" s="17"/>
      <c r="HEO105" s="17"/>
      <c r="HEP105" s="17"/>
      <c r="HEQ105" s="17"/>
      <c r="HER105" s="17"/>
      <c r="HES105" s="17"/>
      <c r="HET105" s="17"/>
      <c r="HEU105" s="17"/>
      <c r="HEV105" s="17"/>
      <c r="HEW105" s="17"/>
      <c r="HEX105" s="17"/>
      <c r="HEY105" s="17"/>
      <c r="HEZ105" s="17"/>
      <c r="HFA105" s="17"/>
      <c r="HFB105" s="17"/>
      <c r="HFC105" s="17"/>
      <c r="HFD105" s="17"/>
      <c r="HFE105" s="17"/>
      <c r="HFF105" s="17"/>
      <c r="HFG105" s="17"/>
      <c r="HFH105" s="17"/>
      <c r="HFI105" s="17"/>
      <c r="HFJ105" s="17"/>
      <c r="HFK105" s="17"/>
      <c r="HFL105" s="17"/>
      <c r="HFM105" s="17"/>
      <c r="HFN105" s="17"/>
      <c r="HFO105" s="17"/>
      <c r="HFP105" s="17"/>
      <c r="HFQ105" s="17"/>
      <c r="HFR105" s="17"/>
      <c r="HFS105" s="17"/>
      <c r="HFT105" s="17"/>
      <c r="HFU105" s="17"/>
      <c r="HFV105" s="17"/>
      <c r="HFW105" s="17"/>
      <c r="HFX105" s="17"/>
      <c r="HFY105" s="17"/>
      <c r="HFZ105" s="17"/>
      <c r="HGA105" s="17"/>
      <c r="HGB105" s="17"/>
      <c r="HGC105" s="17"/>
      <c r="HGD105" s="17"/>
      <c r="HGE105" s="17"/>
      <c r="HGF105" s="17"/>
      <c r="HGG105" s="17"/>
      <c r="HGH105" s="17"/>
      <c r="HGI105" s="17"/>
      <c r="HGJ105" s="17"/>
      <c r="HGK105" s="17"/>
      <c r="HGL105" s="17"/>
      <c r="HGM105" s="17"/>
      <c r="HGN105" s="17"/>
      <c r="HGO105" s="17"/>
      <c r="HGP105" s="17"/>
      <c r="HGQ105" s="17"/>
      <c r="HGR105" s="17"/>
      <c r="HGS105" s="17"/>
      <c r="HGT105" s="17"/>
      <c r="HGU105" s="17"/>
      <c r="HGV105" s="17"/>
      <c r="HGW105" s="17"/>
      <c r="HGX105" s="17"/>
      <c r="HGY105" s="17"/>
      <c r="HGZ105" s="17"/>
      <c r="HHA105" s="17"/>
      <c r="HHB105" s="17"/>
      <c r="HHC105" s="17"/>
      <c r="HHD105" s="17"/>
      <c r="HHE105" s="17"/>
      <c r="HHF105" s="17"/>
      <c r="HHG105" s="17"/>
      <c r="HHH105" s="17"/>
      <c r="HHI105" s="17"/>
      <c r="HHJ105" s="17"/>
      <c r="HHK105" s="17"/>
      <c r="HHL105" s="17"/>
      <c r="HHM105" s="17"/>
      <c r="HHN105" s="17"/>
      <c r="HHO105" s="17"/>
      <c r="HHP105" s="17"/>
      <c r="HHQ105" s="17"/>
      <c r="HHR105" s="17"/>
      <c r="HHS105" s="17"/>
      <c r="HHT105" s="17"/>
      <c r="HHU105" s="17"/>
      <c r="HHV105" s="17"/>
      <c r="HHW105" s="17"/>
      <c r="HHX105" s="17"/>
      <c r="HHY105" s="17"/>
      <c r="HHZ105" s="17"/>
      <c r="HIA105" s="17"/>
      <c r="HIB105" s="17"/>
      <c r="HIC105" s="17"/>
      <c r="HID105" s="17"/>
      <c r="HIE105" s="17"/>
      <c r="HIF105" s="17"/>
      <c r="HIG105" s="17"/>
      <c r="HIH105" s="17"/>
      <c r="HII105" s="17"/>
      <c r="HIJ105" s="17"/>
      <c r="HIK105" s="17"/>
      <c r="HIL105" s="17"/>
      <c r="HIM105" s="17"/>
      <c r="HIN105" s="17"/>
      <c r="HIO105" s="17"/>
      <c r="HIP105" s="17"/>
      <c r="HIQ105" s="17"/>
      <c r="HIR105" s="17"/>
      <c r="HIS105" s="17"/>
      <c r="HIT105" s="17"/>
      <c r="HIU105" s="17"/>
      <c r="HIV105" s="17"/>
      <c r="HIW105" s="17"/>
      <c r="HIX105" s="17"/>
      <c r="HIY105" s="17"/>
      <c r="HIZ105" s="17"/>
      <c r="HJA105" s="17"/>
      <c r="HJB105" s="17"/>
      <c r="HJC105" s="17"/>
      <c r="HJD105" s="17"/>
      <c r="HJE105" s="17"/>
      <c r="HJF105" s="17"/>
      <c r="HJG105" s="17"/>
      <c r="HJH105" s="17"/>
      <c r="HJI105" s="17"/>
      <c r="HJJ105" s="17"/>
      <c r="HJK105" s="17"/>
      <c r="HJL105" s="17"/>
      <c r="HJM105" s="17"/>
      <c r="HJN105" s="17"/>
      <c r="HJO105" s="17"/>
      <c r="HJP105" s="17"/>
      <c r="HJQ105" s="17"/>
      <c r="HJR105" s="17"/>
      <c r="HJS105" s="17"/>
      <c r="HJT105" s="17"/>
      <c r="HJU105" s="17"/>
      <c r="HJV105" s="17"/>
      <c r="HJW105" s="17"/>
      <c r="HJX105" s="17"/>
      <c r="HJY105" s="17"/>
      <c r="HJZ105" s="17"/>
      <c r="HKA105" s="17"/>
      <c r="HKB105" s="17"/>
      <c r="HKC105" s="17"/>
      <c r="HKD105" s="17"/>
      <c r="HKE105" s="17"/>
      <c r="HKF105" s="17"/>
      <c r="HKG105" s="17"/>
      <c r="HKH105" s="17"/>
      <c r="HKI105" s="17"/>
      <c r="HKJ105" s="17"/>
      <c r="HKK105" s="17"/>
      <c r="HKL105" s="17"/>
      <c r="HKM105" s="17"/>
      <c r="HKN105" s="17"/>
      <c r="HKO105" s="17"/>
      <c r="HKP105" s="17"/>
      <c r="HKQ105" s="17"/>
      <c r="HKR105" s="17"/>
      <c r="HKS105" s="17"/>
      <c r="HKT105" s="17"/>
      <c r="HKU105" s="17"/>
      <c r="HKV105" s="17"/>
      <c r="HKW105" s="17"/>
      <c r="HKX105" s="17"/>
      <c r="HKY105" s="17"/>
      <c r="HKZ105" s="17"/>
      <c r="HLA105" s="17"/>
      <c r="HLB105" s="17"/>
      <c r="HLC105" s="17"/>
      <c r="HLD105" s="17"/>
      <c r="HLE105" s="17"/>
      <c r="HLF105" s="17"/>
      <c r="HLG105" s="17"/>
      <c r="HLH105" s="17"/>
      <c r="HLI105" s="17"/>
      <c r="HLJ105" s="17"/>
      <c r="HLK105" s="17"/>
      <c r="HLL105" s="17"/>
      <c r="HLM105" s="17"/>
      <c r="HLN105" s="17"/>
      <c r="HLO105" s="17"/>
      <c r="HLP105" s="17"/>
      <c r="HLQ105" s="17"/>
      <c r="HLR105" s="17"/>
      <c r="HLS105" s="17"/>
      <c r="HLT105" s="17"/>
      <c r="HLU105" s="17"/>
      <c r="HLV105" s="17"/>
      <c r="HLW105" s="17"/>
      <c r="HLX105" s="17"/>
      <c r="HLY105" s="17"/>
      <c r="HLZ105" s="17"/>
      <c r="HMA105" s="17"/>
      <c r="HMB105" s="17"/>
      <c r="HMC105" s="17"/>
      <c r="HMD105" s="17"/>
      <c r="HME105" s="17"/>
      <c r="HMF105" s="17"/>
      <c r="HMG105" s="17"/>
      <c r="HMH105" s="17"/>
      <c r="HMI105" s="17"/>
      <c r="HMJ105" s="17"/>
      <c r="HMK105" s="17"/>
      <c r="HML105" s="17"/>
      <c r="HMM105" s="17"/>
      <c r="HMN105" s="17"/>
      <c r="HMO105" s="17"/>
      <c r="HMP105" s="17"/>
      <c r="HMQ105" s="17"/>
      <c r="HMR105" s="17"/>
      <c r="HMS105" s="17"/>
      <c r="HMT105" s="17"/>
      <c r="HMU105" s="17"/>
      <c r="HMV105" s="17"/>
      <c r="HMW105" s="17"/>
      <c r="HMX105" s="17"/>
      <c r="HMY105" s="17"/>
      <c r="HMZ105" s="17"/>
      <c r="HNA105" s="17"/>
      <c r="HNB105" s="17"/>
      <c r="HNC105" s="17"/>
      <c r="HND105" s="17"/>
      <c r="HNE105" s="17"/>
      <c r="HNF105" s="17"/>
      <c r="HNG105" s="17"/>
      <c r="HNH105" s="17"/>
      <c r="HNI105" s="17"/>
      <c r="HNJ105" s="17"/>
      <c r="HNK105" s="17"/>
      <c r="HNL105" s="17"/>
      <c r="HNM105" s="17"/>
      <c r="HNN105" s="17"/>
      <c r="HNO105" s="17"/>
      <c r="HNP105" s="17"/>
      <c r="HNQ105" s="17"/>
      <c r="HNR105" s="17"/>
      <c r="HNS105" s="17"/>
      <c r="HNT105" s="17"/>
      <c r="HNU105" s="17"/>
      <c r="HNV105" s="17"/>
      <c r="HNW105" s="17"/>
      <c r="HNX105" s="17"/>
      <c r="HNY105" s="17"/>
      <c r="HNZ105" s="17"/>
      <c r="HOA105" s="17"/>
      <c r="HOB105" s="17"/>
      <c r="HOC105" s="17"/>
      <c r="HOD105" s="17"/>
      <c r="HOE105" s="17"/>
      <c r="HOF105" s="17"/>
      <c r="HOG105" s="17"/>
      <c r="HOH105" s="17"/>
      <c r="HOI105" s="17"/>
      <c r="HOJ105" s="17"/>
      <c r="HOK105" s="17"/>
      <c r="HOL105" s="17"/>
      <c r="HOM105" s="17"/>
      <c r="HON105" s="17"/>
      <c r="HOO105" s="17"/>
      <c r="HOP105" s="17"/>
      <c r="HOQ105" s="17"/>
      <c r="HOR105" s="17"/>
      <c r="HOS105" s="17"/>
      <c r="HOT105" s="17"/>
      <c r="HOU105" s="17"/>
      <c r="HOV105" s="17"/>
      <c r="HOW105" s="17"/>
      <c r="HOX105" s="17"/>
      <c r="HOY105" s="17"/>
      <c r="HOZ105" s="17"/>
      <c r="HPA105" s="17"/>
      <c r="HPB105" s="17"/>
      <c r="HPC105" s="17"/>
      <c r="HPD105" s="17"/>
      <c r="HPE105" s="17"/>
      <c r="HPF105" s="17"/>
      <c r="HPG105" s="17"/>
      <c r="HPH105" s="17"/>
      <c r="HPI105" s="17"/>
      <c r="HPJ105" s="17"/>
      <c r="HPK105" s="17"/>
      <c r="HPL105" s="17"/>
      <c r="HPM105" s="17"/>
      <c r="HPN105" s="17"/>
      <c r="HPO105" s="17"/>
      <c r="HPP105" s="17"/>
      <c r="HPQ105" s="17"/>
      <c r="HPR105" s="17"/>
      <c r="HPS105" s="17"/>
      <c r="HPT105" s="17"/>
      <c r="HPU105" s="17"/>
      <c r="HPV105" s="17"/>
      <c r="HPW105" s="17"/>
      <c r="HPX105" s="17"/>
      <c r="HPY105" s="17"/>
      <c r="HPZ105" s="17"/>
      <c r="HQA105" s="17"/>
      <c r="HQB105" s="17"/>
      <c r="HQC105" s="17"/>
      <c r="HQD105" s="17"/>
      <c r="HQE105" s="17"/>
      <c r="HQF105" s="17"/>
      <c r="HQG105" s="17"/>
      <c r="HQH105" s="17"/>
      <c r="HQI105" s="17"/>
      <c r="HQJ105" s="17"/>
      <c r="HQK105" s="17"/>
      <c r="HQL105" s="17"/>
      <c r="HQM105" s="17"/>
      <c r="HQN105" s="17"/>
      <c r="HQO105" s="17"/>
      <c r="HQP105" s="17"/>
      <c r="HQQ105" s="17"/>
      <c r="HQR105" s="17"/>
      <c r="HQS105" s="17"/>
      <c r="HQT105" s="17"/>
      <c r="HQU105" s="17"/>
      <c r="HQV105" s="17"/>
      <c r="HQW105" s="17"/>
      <c r="HQX105" s="17"/>
      <c r="HQY105" s="17"/>
      <c r="HQZ105" s="17"/>
      <c r="HRA105" s="17"/>
      <c r="HRB105" s="17"/>
      <c r="HRC105" s="17"/>
      <c r="HRD105" s="17"/>
      <c r="HRE105" s="17"/>
      <c r="HRF105" s="17"/>
      <c r="HRG105" s="17"/>
      <c r="HRH105" s="17"/>
      <c r="HRI105" s="17"/>
      <c r="HRJ105" s="17"/>
      <c r="HRK105" s="17"/>
      <c r="HRL105" s="17"/>
      <c r="HRM105" s="17"/>
      <c r="HRN105" s="17"/>
      <c r="HRO105" s="17"/>
      <c r="HRP105" s="17"/>
      <c r="HRQ105" s="17"/>
      <c r="HRR105" s="17"/>
      <c r="HRS105" s="17"/>
      <c r="HRT105" s="17"/>
      <c r="HRU105" s="17"/>
      <c r="HRV105" s="17"/>
      <c r="HRW105" s="17"/>
      <c r="HRX105" s="17"/>
      <c r="HRY105" s="17"/>
      <c r="HRZ105" s="17"/>
      <c r="HSA105" s="17"/>
      <c r="HSB105" s="17"/>
      <c r="HSC105" s="17"/>
      <c r="HSD105" s="17"/>
      <c r="HSE105" s="17"/>
      <c r="HSF105" s="17"/>
      <c r="HSG105" s="17"/>
      <c r="HSH105" s="17"/>
      <c r="HSI105" s="17"/>
      <c r="HSJ105" s="17"/>
      <c r="HSK105" s="17"/>
      <c r="HSL105" s="17"/>
      <c r="HSM105" s="17"/>
      <c r="HSN105" s="17"/>
      <c r="HSO105" s="17"/>
      <c r="HSP105" s="17"/>
      <c r="HSQ105" s="17"/>
      <c r="HSR105" s="17"/>
      <c r="HSS105" s="17"/>
      <c r="HST105" s="17"/>
      <c r="HSU105" s="17"/>
      <c r="HSV105" s="17"/>
      <c r="HSW105" s="17"/>
      <c r="HSX105" s="17"/>
      <c r="HSY105" s="17"/>
      <c r="HSZ105" s="17"/>
      <c r="HTA105" s="17"/>
      <c r="HTB105" s="17"/>
      <c r="HTC105" s="17"/>
      <c r="HTD105" s="17"/>
      <c r="HTE105" s="17"/>
      <c r="HTF105" s="17"/>
      <c r="HTG105" s="17"/>
      <c r="HTH105" s="17"/>
      <c r="HTI105" s="17"/>
      <c r="HTJ105" s="17"/>
      <c r="HTK105" s="17"/>
      <c r="HTL105" s="17"/>
      <c r="HTM105" s="17"/>
      <c r="HTN105" s="17"/>
      <c r="HTO105" s="17"/>
      <c r="HTP105" s="17"/>
      <c r="HTQ105" s="17"/>
      <c r="HTR105" s="17"/>
      <c r="HTS105" s="17"/>
      <c r="HTT105" s="17"/>
      <c r="HTU105" s="17"/>
      <c r="HTV105" s="17"/>
      <c r="HTW105" s="17"/>
      <c r="HTX105" s="17"/>
      <c r="HTY105" s="17"/>
      <c r="HTZ105" s="17"/>
      <c r="HUA105" s="17"/>
      <c r="HUB105" s="17"/>
      <c r="HUC105" s="17"/>
      <c r="HUD105" s="17"/>
      <c r="HUE105" s="17"/>
      <c r="HUF105" s="17"/>
      <c r="HUG105" s="17"/>
      <c r="HUH105" s="17"/>
      <c r="HUI105" s="17"/>
      <c r="HUJ105" s="17"/>
      <c r="HUK105" s="17"/>
      <c r="HUL105" s="17"/>
      <c r="HUM105" s="17"/>
      <c r="HUN105" s="17"/>
      <c r="HUO105" s="17"/>
      <c r="HUP105" s="17"/>
      <c r="HUQ105" s="17"/>
      <c r="HUR105" s="17"/>
      <c r="HUS105" s="17"/>
      <c r="HUT105" s="17"/>
      <c r="HUU105" s="17"/>
      <c r="HUV105" s="17"/>
      <c r="HUW105" s="17"/>
      <c r="HUX105" s="17"/>
      <c r="HUY105" s="17"/>
      <c r="HUZ105" s="17"/>
      <c r="HVA105" s="17"/>
      <c r="HVB105" s="17"/>
      <c r="HVC105" s="17"/>
      <c r="HVD105" s="17"/>
      <c r="HVE105" s="17"/>
      <c r="HVF105" s="17"/>
      <c r="HVG105" s="17"/>
      <c r="HVH105" s="17"/>
      <c r="HVI105" s="17"/>
      <c r="HVJ105" s="17"/>
      <c r="HVK105" s="17"/>
      <c r="HVL105" s="17"/>
      <c r="HVM105" s="17"/>
      <c r="HVN105" s="17"/>
      <c r="HVO105" s="17"/>
      <c r="HVP105" s="17"/>
      <c r="HVQ105" s="17"/>
      <c r="HVR105" s="17"/>
      <c r="HVS105" s="17"/>
      <c r="HVT105" s="17"/>
      <c r="HVU105" s="17"/>
      <c r="HVV105" s="17"/>
      <c r="HVW105" s="17"/>
      <c r="HVX105" s="17"/>
      <c r="HVY105" s="17"/>
      <c r="HVZ105" s="17"/>
      <c r="HWA105" s="17"/>
      <c r="HWB105" s="17"/>
      <c r="HWC105" s="17"/>
      <c r="HWD105" s="17"/>
      <c r="HWE105" s="17"/>
      <c r="HWF105" s="17"/>
      <c r="HWG105" s="17"/>
      <c r="HWH105" s="17"/>
      <c r="HWI105" s="17"/>
      <c r="HWJ105" s="17"/>
      <c r="HWK105" s="17"/>
      <c r="HWL105" s="17"/>
      <c r="HWM105" s="17"/>
      <c r="HWN105" s="17"/>
      <c r="HWO105" s="17"/>
      <c r="HWP105" s="17"/>
      <c r="HWQ105" s="17"/>
      <c r="HWR105" s="17"/>
      <c r="HWS105" s="17"/>
      <c r="HWT105" s="17"/>
      <c r="HWU105" s="17"/>
      <c r="HWV105" s="17"/>
      <c r="HWW105" s="17"/>
      <c r="HWX105" s="17"/>
      <c r="HWY105" s="17"/>
      <c r="HWZ105" s="17"/>
      <c r="HXA105" s="17"/>
      <c r="HXB105" s="17"/>
      <c r="HXC105" s="17"/>
      <c r="HXD105" s="17"/>
      <c r="HXE105" s="17"/>
      <c r="HXF105" s="17"/>
      <c r="HXG105" s="17"/>
      <c r="HXH105" s="17"/>
      <c r="HXI105" s="17"/>
      <c r="HXJ105" s="17"/>
      <c r="HXK105" s="17"/>
      <c r="HXL105" s="17"/>
      <c r="HXM105" s="17"/>
      <c r="HXN105" s="17"/>
      <c r="HXO105" s="17"/>
      <c r="HXP105" s="17"/>
      <c r="HXQ105" s="17"/>
      <c r="HXR105" s="17"/>
      <c r="HXS105" s="17"/>
      <c r="HXT105" s="17"/>
      <c r="HXU105" s="17"/>
      <c r="HXV105" s="17"/>
      <c r="HXW105" s="17"/>
      <c r="HXX105" s="17"/>
      <c r="HXY105" s="17"/>
      <c r="HXZ105" s="17"/>
      <c r="HYA105" s="17"/>
      <c r="HYB105" s="17"/>
      <c r="HYC105" s="17"/>
      <c r="HYD105" s="17"/>
      <c r="HYE105" s="17"/>
      <c r="HYF105" s="17"/>
      <c r="HYG105" s="17"/>
      <c r="HYH105" s="17"/>
      <c r="HYI105" s="17"/>
      <c r="HYJ105" s="17"/>
      <c r="HYK105" s="17"/>
      <c r="HYL105" s="17"/>
      <c r="HYM105" s="17"/>
      <c r="HYN105" s="17"/>
      <c r="HYO105" s="17"/>
      <c r="HYP105" s="17"/>
      <c r="HYQ105" s="17"/>
      <c r="HYR105" s="17"/>
      <c r="HYS105" s="17"/>
      <c r="HYT105" s="17"/>
      <c r="HYU105" s="17"/>
      <c r="HYV105" s="17"/>
      <c r="HYW105" s="17"/>
      <c r="HYX105" s="17"/>
      <c r="HYY105" s="17"/>
      <c r="HYZ105" s="17"/>
      <c r="HZA105" s="17"/>
      <c r="HZB105" s="17"/>
      <c r="HZC105" s="17"/>
      <c r="HZD105" s="17"/>
      <c r="HZE105" s="17"/>
      <c r="HZF105" s="17"/>
      <c r="HZG105" s="17"/>
      <c r="HZH105" s="17"/>
      <c r="HZI105" s="17"/>
      <c r="HZJ105" s="17"/>
      <c r="HZK105" s="17"/>
      <c r="HZL105" s="17"/>
      <c r="HZM105" s="17"/>
      <c r="HZN105" s="17"/>
      <c r="HZO105" s="17"/>
      <c r="HZP105" s="17"/>
      <c r="HZQ105" s="17"/>
      <c r="HZR105" s="17"/>
      <c r="HZS105" s="17"/>
      <c r="HZT105" s="17"/>
      <c r="HZU105" s="17"/>
      <c r="HZV105" s="17"/>
      <c r="HZW105" s="17"/>
      <c r="HZX105" s="17"/>
      <c r="HZY105" s="17"/>
      <c r="HZZ105" s="17"/>
      <c r="IAA105" s="17"/>
      <c r="IAB105" s="17"/>
      <c r="IAC105" s="17"/>
      <c r="IAD105" s="17"/>
      <c r="IAE105" s="17"/>
      <c r="IAF105" s="17"/>
      <c r="IAG105" s="17"/>
      <c r="IAH105" s="17"/>
      <c r="IAI105" s="17"/>
      <c r="IAJ105" s="17"/>
      <c r="IAK105" s="17"/>
      <c r="IAL105" s="17"/>
      <c r="IAM105" s="17"/>
      <c r="IAN105" s="17"/>
      <c r="IAO105" s="17"/>
      <c r="IAP105" s="17"/>
      <c r="IAQ105" s="17"/>
      <c r="IAR105" s="17"/>
      <c r="IAS105" s="17"/>
      <c r="IAT105" s="17"/>
      <c r="IAU105" s="17"/>
      <c r="IAV105" s="17"/>
      <c r="IAW105" s="17"/>
      <c r="IAX105" s="17"/>
      <c r="IAY105" s="17"/>
      <c r="IAZ105" s="17"/>
      <c r="IBA105" s="17"/>
      <c r="IBB105" s="17"/>
      <c r="IBC105" s="17"/>
      <c r="IBD105" s="17"/>
      <c r="IBE105" s="17"/>
      <c r="IBF105" s="17"/>
      <c r="IBG105" s="17"/>
      <c r="IBH105" s="17"/>
      <c r="IBI105" s="17"/>
      <c r="IBJ105" s="17"/>
      <c r="IBK105" s="17"/>
      <c r="IBL105" s="17"/>
      <c r="IBM105" s="17"/>
      <c r="IBN105" s="17"/>
      <c r="IBO105" s="17"/>
      <c r="IBP105" s="17"/>
      <c r="IBQ105" s="17"/>
      <c r="IBR105" s="17"/>
      <c r="IBS105" s="17"/>
      <c r="IBT105" s="17"/>
      <c r="IBU105" s="17"/>
      <c r="IBV105" s="17"/>
      <c r="IBW105" s="17"/>
      <c r="IBX105" s="17"/>
      <c r="IBY105" s="17"/>
      <c r="IBZ105" s="17"/>
      <c r="ICA105" s="17"/>
      <c r="ICB105" s="17"/>
      <c r="ICC105" s="17"/>
      <c r="ICD105" s="17"/>
      <c r="ICE105" s="17"/>
      <c r="ICF105" s="17"/>
      <c r="ICG105" s="17"/>
      <c r="ICH105" s="17"/>
      <c r="ICI105" s="17"/>
      <c r="ICJ105" s="17"/>
      <c r="ICK105" s="17"/>
      <c r="ICL105" s="17"/>
      <c r="ICM105" s="17"/>
      <c r="ICN105" s="17"/>
      <c r="ICO105" s="17"/>
      <c r="ICP105" s="17"/>
      <c r="ICQ105" s="17"/>
      <c r="ICR105" s="17"/>
      <c r="ICS105" s="17"/>
      <c r="ICT105" s="17"/>
      <c r="ICU105" s="17"/>
      <c r="ICV105" s="17"/>
      <c r="ICW105" s="17"/>
      <c r="ICX105" s="17"/>
      <c r="ICY105" s="17"/>
      <c r="ICZ105" s="17"/>
      <c r="IDA105" s="17"/>
      <c r="IDB105" s="17"/>
      <c r="IDC105" s="17"/>
      <c r="IDD105" s="17"/>
      <c r="IDE105" s="17"/>
      <c r="IDF105" s="17"/>
      <c r="IDG105" s="17"/>
      <c r="IDH105" s="17"/>
      <c r="IDI105" s="17"/>
      <c r="IDJ105" s="17"/>
      <c r="IDK105" s="17"/>
      <c r="IDL105" s="17"/>
      <c r="IDM105" s="17"/>
      <c r="IDN105" s="17"/>
      <c r="IDO105" s="17"/>
      <c r="IDP105" s="17"/>
      <c r="IDQ105" s="17"/>
      <c r="IDR105" s="17"/>
      <c r="IDS105" s="17"/>
      <c r="IDT105" s="17"/>
      <c r="IDU105" s="17"/>
      <c r="IDV105" s="17"/>
      <c r="IDW105" s="17"/>
      <c r="IDX105" s="17"/>
      <c r="IDY105" s="17"/>
      <c r="IDZ105" s="17"/>
      <c r="IEA105" s="17"/>
      <c r="IEB105" s="17"/>
      <c r="IEC105" s="17"/>
      <c r="IED105" s="17"/>
      <c r="IEE105" s="17"/>
      <c r="IEF105" s="17"/>
      <c r="IEG105" s="17"/>
      <c r="IEH105" s="17"/>
      <c r="IEI105" s="17"/>
      <c r="IEJ105" s="17"/>
      <c r="IEK105" s="17"/>
      <c r="IEL105" s="17"/>
      <c r="IEM105" s="17"/>
      <c r="IEN105" s="17"/>
      <c r="IEO105" s="17"/>
      <c r="IEP105" s="17"/>
      <c r="IEQ105" s="17"/>
      <c r="IER105" s="17"/>
      <c r="IES105" s="17"/>
      <c r="IET105" s="17"/>
      <c r="IEU105" s="17"/>
      <c r="IEV105" s="17"/>
      <c r="IEW105" s="17"/>
      <c r="IEX105" s="17"/>
      <c r="IEY105" s="17"/>
      <c r="IEZ105" s="17"/>
      <c r="IFA105" s="17"/>
      <c r="IFB105" s="17"/>
      <c r="IFC105" s="17"/>
      <c r="IFD105" s="17"/>
      <c r="IFE105" s="17"/>
      <c r="IFF105" s="17"/>
      <c r="IFG105" s="17"/>
      <c r="IFH105" s="17"/>
      <c r="IFI105" s="17"/>
      <c r="IFJ105" s="17"/>
      <c r="IFK105" s="17"/>
      <c r="IFL105" s="17"/>
      <c r="IFM105" s="17"/>
      <c r="IFN105" s="17"/>
      <c r="IFO105" s="17"/>
      <c r="IFP105" s="17"/>
      <c r="IFQ105" s="17"/>
      <c r="IFR105" s="17"/>
      <c r="IFS105" s="17"/>
      <c r="IFT105" s="17"/>
      <c r="IFU105" s="17"/>
      <c r="IFV105" s="17"/>
      <c r="IFW105" s="17"/>
      <c r="IFX105" s="17"/>
      <c r="IFY105" s="17"/>
      <c r="IFZ105" s="17"/>
      <c r="IGA105" s="17"/>
      <c r="IGB105" s="17"/>
      <c r="IGC105" s="17"/>
      <c r="IGD105" s="17"/>
      <c r="IGE105" s="17"/>
      <c r="IGF105" s="17"/>
      <c r="IGG105" s="17"/>
      <c r="IGH105" s="17"/>
      <c r="IGI105" s="17"/>
      <c r="IGJ105" s="17"/>
      <c r="IGK105" s="17"/>
      <c r="IGL105" s="17"/>
      <c r="IGM105" s="17"/>
      <c r="IGN105" s="17"/>
      <c r="IGO105" s="17"/>
      <c r="IGP105" s="17"/>
      <c r="IGQ105" s="17"/>
      <c r="IGR105" s="17"/>
      <c r="IGS105" s="17"/>
      <c r="IGT105" s="17"/>
      <c r="IGU105" s="17"/>
      <c r="IGV105" s="17"/>
      <c r="IGW105" s="17"/>
      <c r="IGX105" s="17"/>
      <c r="IGY105" s="17"/>
      <c r="IGZ105" s="17"/>
      <c r="IHA105" s="17"/>
      <c r="IHB105" s="17"/>
      <c r="IHC105" s="17"/>
      <c r="IHD105" s="17"/>
      <c r="IHE105" s="17"/>
      <c r="IHF105" s="17"/>
      <c r="IHG105" s="17"/>
      <c r="IHH105" s="17"/>
      <c r="IHI105" s="17"/>
      <c r="IHJ105" s="17"/>
      <c r="IHK105" s="17"/>
      <c r="IHL105" s="17"/>
      <c r="IHM105" s="17"/>
      <c r="IHN105" s="17"/>
      <c r="IHO105" s="17"/>
      <c r="IHP105" s="17"/>
      <c r="IHQ105" s="17"/>
      <c r="IHR105" s="17"/>
      <c r="IHS105" s="17"/>
      <c r="IHT105" s="17"/>
      <c r="IHU105" s="17"/>
      <c r="IHV105" s="17"/>
      <c r="IHW105" s="17"/>
      <c r="IHX105" s="17"/>
      <c r="IHY105" s="17"/>
      <c r="IHZ105" s="17"/>
      <c r="IIA105" s="17"/>
      <c r="IIB105" s="17"/>
      <c r="IIC105" s="17"/>
      <c r="IID105" s="17"/>
      <c r="IIE105" s="17"/>
      <c r="IIF105" s="17"/>
      <c r="IIG105" s="17"/>
      <c r="IIH105" s="17"/>
      <c r="III105" s="17"/>
      <c r="IIJ105" s="17"/>
      <c r="IIK105" s="17"/>
      <c r="IIL105" s="17"/>
      <c r="IIM105" s="17"/>
      <c r="IIN105" s="17"/>
      <c r="IIO105" s="17"/>
      <c r="IIP105" s="17"/>
      <c r="IIQ105" s="17"/>
      <c r="IIR105" s="17"/>
      <c r="IIS105" s="17"/>
      <c r="IIT105" s="17"/>
      <c r="IIU105" s="17"/>
      <c r="IIV105" s="17"/>
      <c r="IIW105" s="17"/>
      <c r="IIX105" s="17"/>
      <c r="IIY105" s="17"/>
      <c r="IIZ105" s="17"/>
      <c r="IJA105" s="17"/>
      <c r="IJB105" s="17"/>
      <c r="IJC105" s="17"/>
      <c r="IJD105" s="17"/>
      <c r="IJE105" s="17"/>
      <c r="IJF105" s="17"/>
      <c r="IJG105" s="17"/>
      <c r="IJH105" s="17"/>
      <c r="IJI105" s="17"/>
      <c r="IJJ105" s="17"/>
      <c r="IJK105" s="17"/>
      <c r="IJL105" s="17"/>
      <c r="IJM105" s="17"/>
      <c r="IJN105" s="17"/>
      <c r="IJO105" s="17"/>
      <c r="IJP105" s="17"/>
      <c r="IJQ105" s="17"/>
      <c r="IJR105" s="17"/>
      <c r="IJS105" s="17"/>
      <c r="IJT105" s="17"/>
      <c r="IJU105" s="17"/>
      <c r="IJV105" s="17"/>
      <c r="IJW105" s="17"/>
      <c r="IJX105" s="17"/>
      <c r="IJY105" s="17"/>
      <c r="IJZ105" s="17"/>
      <c r="IKA105" s="17"/>
      <c r="IKB105" s="17"/>
      <c r="IKC105" s="17"/>
      <c r="IKD105" s="17"/>
      <c r="IKE105" s="17"/>
      <c r="IKF105" s="17"/>
      <c r="IKG105" s="17"/>
      <c r="IKH105" s="17"/>
      <c r="IKI105" s="17"/>
      <c r="IKJ105" s="17"/>
      <c r="IKK105" s="17"/>
      <c r="IKL105" s="17"/>
      <c r="IKM105" s="17"/>
      <c r="IKN105" s="17"/>
      <c r="IKO105" s="17"/>
      <c r="IKP105" s="17"/>
      <c r="IKQ105" s="17"/>
      <c r="IKR105" s="17"/>
      <c r="IKS105" s="17"/>
      <c r="IKT105" s="17"/>
      <c r="IKU105" s="17"/>
      <c r="IKV105" s="17"/>
      <c r="IKW105" s="17"/>
      <c r="IKX105" s="17"/>
      <c r="IKY105" s="17"/>
      <c r="IKZ105" s="17"/>
      <c r="ILA105" s="17"/>
      <c r="ILB105" s="17"/>
      <c r="ILC105" s="17"/>
      <c r="ILD105" s="17"/>
      <c r="ILE105" s="17"/>
      <c r="ILF105" s="17"/>
      <c r="ILG105" s="17"/>
      <c r="ILH105" s="17"/>
      <c r="ILI105" s="17"/>
      <c r="ILJ105" s="17"/>
      <c r="ILK105" s="17"/>
      <c r="ILL105" s="17"/>
      <c r="ILM105" s="17"/>
      <c r="ILN105" s="17"/>
      <c r="ILO105" s="17"/>
      <c r="ILP105" s="17"/>
      <c r="ILQ105" s="17"/>
      <c r="ILR105" s="17"/>
      <c r="ILS105" s="17"/>
      <c r="ILT105" s="17"/>
      <c r="ILU105" s="17"/>
      <c r="ILV105" s="17"/>
      <c r="ILW105" s="17"/>
      <c r="ILX105" s="17"/>
      <c r="ILY105" s="17"/>
      <c r="ILZ105" s="17"/>
      <c r="IMA105" s="17"/>
      <c r="IMB105" s="17"/>
      <c r="IMC105" s="17"/>
      <c r="IMD105" s="17"/>
      <c r="IME105" s="17"/>
      <c r="IMF105" s="17"/>
      <c r="IMG105" s="17"/>
      <c r="IMH105" s="17"/>
      <c r="IMI105" s="17"/>
      <c r="IMJ105" s="17"/>
      <c r="IMK105" s="17"/>
      <c r="IML105" s="17"/>
      <c r="IMM105" s="17"/>
      <c r="IMN105" s="17"/>
      <c r="IMO105" s="17"/>
      <c r="IMP105" s="17"/>
      <c r="IMQ105" s="17"/>
      <c r="IMR105" s="17"/>
      <c r="IMS105" s="17"/>
      <c r="IMT105" s="17"/>
      <c r="IMU105" s="17"/>
      <c r="IMV105" s="17"/>
      <c r="IMW105" s="17"/>
      <c r="IMX105" s="17"/>
      <c r="IMY105" s="17"/>
      <c r="IMZ105" s="17"/>
      <c r="INA105" s="17"/>
      <c r="INB105" s="17"/>
      <c r="INC105" s="17"/>
      <c r="IND105" s="17"/>
      <c r="INE105" s="17"/>
      <c r="INF105" s="17"/>
      <c r="ING105" s="17"/>
      <c r="INH105" s="17"/>
      <c r="INI105" s="17"/>
      <c r="INJ105" s="17"/>
      <c r="INK105" s="17"/>
      <c r="INL105" s="17"/>
      <c r="INM105" s="17"/>
      <c r="INN105" s="17"/>
      <c r="INO105" s="17"/>
      <c r="INP105" s="17"/>
      <c r="INQ105" s="17"/>
      <c r="INR105" s="17"/>
      <c r="INS105" s="17"/>
      <c r="INT105" s="17"/>
      <c r="INU105" s="17"/>
      <c r="INV105" s="17"/>
      <c r="INW105" s="17"/>
      <c r="INX105" s="17"/>
      <c r="INY105" s="17"/>
      <c r="INZ105" s="17"/>
      <c r="IOA105" s="17"/>
      <c r="IOB105" s="17"/>
      <c r="IOC105" s="17"/>
      <c r="IOD105" s="17"/>
      <c r="IOE105" s="17"/>
      <c r="IOF105" s="17"/>
      <c r="IOG105" s="17"/>
      <c r="IOH105" s="17"/>
      <c r="IOI105" s="17"/>
      <c r="IOJ105" s="17"/>
      <c r="IOK105" s="17"/>
      <c r="IOL105" s="17"/>
      <c r="IOM105" s="17"/>
      <c r="ION105" s="17"/>
      <c r="IOO105" s="17"/>
      <c r="IOP105" s="17"/>
      <c r="IOQ105" s="17"/>
      <c r="IOR105" s="17"/>
      <c r="IOS105" s="17"/>
      <c r="IOT105" s="17"/>
      <c r="IOU105" s="17"/>
      <c r="IOV105" s="17"/>
      <c r="IOW105" s="17"/>
      <c r="IOX105" s="17"/>
      <c r="IOY105" s="17"/>
      <c r="IOZ105" s="17"/>
      <c r="IPA105" s="17"/>
      <c r="IPB105" s="17"/>
      <c r="IPC105" s="17"/>
      <c r="IPD105" s="17"/>
      <c r="IPE105" s="17"/>
      <c r="IPF105" s="17"/>
      <c r="IPG105" s="17"/>
      <c r="IPH105" s="17"/>
      <c r="IPI105" s="17"/>
      <c r="IPJ105" s="17"/>
      <c r="IPK105" s="17"/>
      <c r="IPL105" s="17"/>
      <c r="IPM105" s="17"/>
      <c r="IPN105" s="17"/>
      <c r="IPO105" s="17"/>
      <c r="IPP105" s="17"/>
      <c r="IPQ105" s="17"/>
      <c r="IPR105" s="17"/>
      <c r="IPS105" s="17"/>
      <c r="IPT105" s="17"/>
      <c r="IPU105" s="17"/>
      <c r="IPV105" s="17"/>
      <c r="IPW105" s="17"/>
      <c r="IPX105" s="17"/>
      <c r="IPY105" s="17"/>
      <c r="IPZ105" s="17"/>
      <c r="IQA105" s="17"/>
      <c r="IQB105" s="17"/>
      <c r="IQC105" s="17"/>
      <c r="IQD105" s="17"/>
      <c r="IQE105" s="17"/>
      <c r="IQF105" s="17"/>
      <c r="IQG105" s="17"/>
      <c r="IQH105" s="17"/>
      <c r="IQI105" s="17"/>
      <c r="IQJ105" s="17"/>
      <c r="IQK105" s="17"/>
      <c r="IQL105" s="17"/>
      <c r="IQM105" s="17"/>
      <c r="IQN105" s="17"/>
      <c r="IQO105" s="17"/>
      <c r="IQP105" s="17"/>
      <c r="IQQ105" s="17"/>
      <c r="IQR105" s="17"/>
      <c r="IQS105" s="17"/>
      <c r="IQT105" s="17"/>
      <c r="IQU105" s="17"/>
      <c r="IQV105" s="17"/>
      <c r="IQW105" s="17"/>
      <c r="IQX105" s="17"/>
      <c r="IQY105" s="17"/>
      <c r="IQZ105" s="17"/>
      <c r="IRA105" s="17"/>
      <c r="IRB105" s="17"/>
      <c r="IRC105" s="17"/>
      <c r="IRD105" s="17"/>
      <c r="IRE105" s="17"/>
      <c r="IRF105" s="17"/>
      <c r="IRG105" s="17"/>
      <c r="IRH105" s="17"/>
      <c r="IRI105" s="17"/>
      <c r="IRJ105" s="17"/>
      <c r="IRK105" s="17"/>
      <c r="IRL105" s="17"/>
      <c r="IRM105" s="17"/>
      <c r="IRN105" s="17"/>
      <c r="IRO105" s="17"/>
      <c r="IRP105" s="17"/>
      <c r="IRQ105" s="17"/>
      <c r="IRR105" s="17"/>
      <c r="IRS105" s="17"/>
      <c r="IRT105" s="17"/>
      <c r="IRU105" s="17"/>
      <c r="IRV105" s="17"/>
      <c r="IRW105" s="17"/>
      <c r="IRX105" s="17"/>
      <c r="IRY105" s="17"/>
      <c r="IRZ105" s="17"/>
      <c r="ISA105" s="17"/>
      <c r="ISB105" s="17"/>
      <c r="ISC105" s="17"/>
      <c r="ISD105" s="17"/>
      <c r="ISE105" s="17"/>
      <c r="ISF105" s="17"/>
      <c r="ISG105" s="17"/>
      <c r="ISH105" s="17"/>
      <c r="ISI105" s="17"/>
      <c r="ISJ105" s="17"/>
      <c r="ISK105" s="17"/>
      <c r="ISL105" s="17"/>
      <c r="ISM105" s="17"/>
      <c r="ISN105" s="17"/>
      <c r="ISO105" s="17"/>
      <c r="ISP105" s="17"/>
      <c r="ISQ105" s="17"/>
      <c r="ISR105" s="17"/>
      <c r="ISS105" s="17"/>
      <c r="IST105" s="17"/>
      <c r="ISU105" s="17"/>
      <c r="ISV105" s="17"/>
      <c r="ISW105" s="17"/>
      <c r="ISX105" s="17"/>
      <c r="ISY105" s="17"/>
      <c r="ISZ105" s="17"/>
      <c r="ITA105" s="17"/>
      <c r="ITB105" s="17"/>
      <c r="ITC105" s="17"/>
      <c r="ITD105" s="17"/>
      <c r="ITE105" s="17"/>
      <c r="ITF105" s="17"/>
      <c r="ITG105" s="17"/>
      <c r="ITH105" s="17"/>
      <c r="ITI105" s="17"/>
      <c r="ITJ105" s="17"/>
      <c r="ITK105" s="17"/>
      <c r="ITL105" s="17"/>
      <c r="ITM105" s="17"/>
      <c r="ITN105" s="17"/>
      <c r="ITO105" s="17"/>
      <c r="ITP105" s="17"/>
      <c r="ITQ105" s="17"/>
      <c r="ITR105" s="17"/>
      <c r="ITS105" s="17"/>
      <c r="ITT105" s="17"/>
      <c r="ITU105" s="17"/>
      <c r="ITV105" s="17"/>
      <c r="ITW105" s="17"/>
      <c r="ITX105" s="17"/>
      <c r="ITY105" s="17"/>
      <c r="ITZ105" s="17"/>
      <c r="IUA105" s="17"/>
      <c r="IUB105" s="17"/>
      <c r="IUC105" s="17"/>
      <c r="IUD105" s="17"/>
      <c r="IUE105" s="17"/>
      <c r="IUF105" s="17"/>
      <c r="IUG105" s="17"/>
      <c r="IUH105" s="17"/>
      <c r="IUI105" s="17"/>
      <c r="IUJ105" s="17"/>
      <c r="IUK105" s="17"/>
      <c r="IUL105" s="17"/>
      <c r="IUM105" s="17"/>
      <c r="IUN105" s="17"/>
      <c r="IUO105" s="17"/>
      <c r="IUP105" s="17"/>
      <c r="IUQ105" s="17"/>
      <c r="IUR105" s="17"/>
      <c r="IUS105" s="17"/>
      <c r="IUT105" s="17"/>
      <c r="IUU105" s="17"/>
      <c r="IUV105" s="17"/>
      <c r="IUW105" s="17"/>
      <c r="IUX105" s="17"/>
      <c r="IUY105" s="17"/>
      <c r="IUZ105" s="17"/>
      <c r="IVA105" s="17"/>
      <c r="IVB105" s="17"/>
      <c r="IVC105" s="17"/>
      <c r="IVD105" s="17"/>
      <c r="IVE105" s="17"/>
      <c r="IVF105" s="17"/>
      <c r="IVG105" s="17"/>
      <c r="IVH105" s="17"/>
      <c r="IVI105" s="17"/>
      <c r="IVJ105" s="17"/>
      <c r="IVK105" s="17"/>
      <c r="IVL105" s="17"/>
      <c r="IVM105" s="17"/>
      <c r="IVN105" s="17"/>
      <c r="IVO105" s="17"/>
      <c r="IVP105" s="17"/>
      <c r="IVQ105" s="17"/>
      <c r="IVR105" s="17"/>
      <c r="IVS105" s="17"/>
      <c r="IVT105" s="17"/>
      <c r="IVU105" s="17"/>
      <c r="IVV105" s="17"/>
      <c r="IVW105" s="17"/>
      <c r="IVX105" s="17"/>
      <c r="IVY105" s="17"/>
      <c r="IVZ105" s="17"/>
      <c r="IWA105" s="17"/>
      <c r="IWB105" s="17"/>
      <c r="IWC105" s="17"/>
      <c r="IWD105" s="17"/>
      <c r="IWE105" s="17"/>
      <c r="IWF105" s="17"/>
      <c r="IWG105" s="17"/>
      <c r="IWH105" s="17"/>
      <c r="IWI105" s="17"/>
      <c r="IWJ105" s="17"/>
      <c r="IWK105" s="17"/>
      <c r="IWL105" s="17"/>
      <c r="IWM105" s="17"/>
      <c r="IWN105" s="17"/>
      <c r="IWO105" s="17"/>
      <c r="IWP105" s="17"/>
      <c r="IWQ105" s="17"/>
      <c r="IWR105" s="17"/>
      <c r="IWS105" s="17"/>
      <c r="IWT105" s="17"/>
      <c r="IWU105" s="17"/>
      <c r="IWV105" s="17"/>
      <c r="IWW105" s="17"/>
      <c r="IWX105" s="17"/>
      <c r="IWY105" s="17"/>
      <c r="IWZ105" s="17"/>
      <c r="IXA105" s="17"/>
      <c r="IXB105" s="17"/>
      <c r="IXC105" s="17"/>
      <c r="IXD105" s="17"/>
      <c r="IXE105" s="17"/>
      <c r="IXF105" s="17"/>
      <c r="IXG105" s="17"/>
      <c r="IXH105" s="17"/>
      <c r="IXI105" s="17"/>
      <c r="IXJ105" s="17"/>
      <c r="IXK105" s="17"/>
      <c r="IXL105" s="17"/>
      <c r="IXM105" s="17"/>
      <c r="IXN105" s="17"/>
      <c r="IXO105" s="17"/>
      <c r="IXP105" s="17"/>
      <c r="IXQ105" s="17"/>
      <c r="IXR105" s="17"/>
      <c r="IXS105" s="17"/>
      <c r="IXT105" s="17"/>
      <c r="IXU105" s="17"/>
      <c r="IXV105" s="17"/>
      <c r="IXW105" s="17"/>
      <c r="IXX105" s="17"/>
      <c r="IXY105" s="17"/>
      <c r="IXZ105" s="17"/>
      <c r="IYA105" s="17"/>
      <c r="IYB105" s="17"/>
      <c r="IYC105" s="17"/>
      <c r="IYD105" s="17"/>
      <c r="IYE105" s="17"/>
      <c r="IYF105" s="17"/>
      <c r="IYG105" s="17"/>
      <c r="IYH105" s="17"/>
      <c r="IYI105" s="17"/>
      <c r="IYJ105" s="17"/>
      <c r="IYK105" s="17"/>
      <c r="IYL105" s="17"/>
      <c r="IYM105" s="17"/>
      <c r="IYN105" s="17"/>
      <c r="IYO105" s="17"/>
      <c r="IYP105" s="17"/>
      <c r="IYQ105" s="17"/>
      <c r="IYR105" s="17"/>
      <c r="IYS105" s="17"/>
      <c r="IYT105" s="17"/>
      <c r="IYU105" s="17"/>
      <c r="IYV105" s="17"/>
      <c r="IYW105" s="17"/>
      <c r="IYX105" s="17"/>
      <c r="IYY105" s="17"/>
      <c r="IYZ105" s="17"/>
      <c r="IZA105" s="17"/>
      <c r="IZB105" s="17"/>
      <c r="IZC105" s="17"/>
      <c r="IZD105" s="17"/>
      <c r="IZE105" s="17"/>
      <c r="IZF105" s="17"/>
      <c r="IZG105" s="17"/>
      <c r="IZH105" s="17"/>
      <c r="IZI105" s="17"/>
      <c r="IZJ105" s="17"/>
      <c r="IZK105" s="17"/>
      <c r="IZL105" s="17"/>
      <c r="IZM105" s="17"/>
      <c r="IZN105" s="17"/>
      <c r="IZO105" s="17"/>
      <c r="IZP105" s="17"/>
      <c r="IZQ105" s="17"/>
      <c r="IZR105" s="17"/>
      <c r="IZS105" s="17"/>
      <c r="IZT105" s="17"/>
      <c r="IZU105" s="17"/>
      <c r="IZV105" s="17"/>
      <c r="IZW105" s="17"/>
      <c r="IZX105" s="17"/>
      <c r="IZY105" s="17"/>
      <c r="IZZ105" s="17"/>
      <c r="JAA105" s="17"/>
      <c r="JAB105" s="17"/>
      <c r="JAC105" s="17"/>
      <c r="JAD105" s="17"/>
      <c r="JAE105" s="17"/>
      <c r="JAF105" s="17"/>
      <c r="JAG105" s="17"/>
      <c r="JAH105" s="17"/>
      <c r="JAI105" s="17"/>
      <c r="JAJ105" s="17"/>
      <c r="JAK105" s="17"/>
      <c r="JAL105" s="17"/>
      <c r="JAM105" s="17"/>
      <c r="JAN105" s="17"/>
      <c r="JAO105" s="17"/>
      <c r="JAP105" s="17"/>
      <c r="JAQ105" s="17"/>
      <c r="JAR105" s="17"/>
      <c r="JAS105" s="17"/>
      <c r="JAT105" s="17"/>
      <c r="JAU105" s="17"/>
      <c r="JAV105" s="17"/>
      <c r="JAW105" s="17"/>
      <c r="JAX105" s="17"/>
      <c r="JAY105" s="17"/>
      <c r="JAZ105" s="17"/>
      <c r="JBA105" s="17"/>
      <c r="JBB105" s="17"/>
      <c r="JBC105" s="17"/>
      <c r="JBD105" s="17"/>
      <c r="JBE105" s="17"/>
      <c r="JBF105" s="17"/>
      <c r="JBG105" s="17"/>
      <c r="JBH105" s="17"/>
      <c r="JBI105" s="17"/>
      <c r="JBJ105" s="17"/>
      <c r="JBK105" s="17"/>
      <c r="JBL105" s="17"/>
      <c r="JBM105" s="17"/>
      <c r="JBN105" s="17"/>
      <c r="JBO105" s="17"/>
      <c r="JBP105" s="17"/>
      <c r="JBQ105" s="17"/>
      <c r="JBR105" s="17"/>
      <c r="JBS105" s="17"/>
      <c r="JBT105" s="17"/>
      <c r="JBU105" s="17"/>
      <c r="JBV105" s="17"/>
      <c r="JBW105" s="17"/>
      <c r="JBX105" s="17"/>
      <c r="JBY105" s="17"/>
      <c r="JBZ105" s="17"/>
      <c r="JCA105" s="17"/>
      <c r="JCB105" s="17"/>
      <c r="JCC105" s="17"/>
      <c r="JCD105" s="17"/>
      <c r="JCE105" s="17"/>
      <c r="JCF105" s="17"/>
      <c r="JCG105" s="17"/>
      <c r="JCH105" s="17"/>
      <c r="JCI105" s="17"/>
      <c r="JCJ105" s="17"/>
      <c r="JCK105" s="17"/>
      <c r="JCL105" s="17"/>
      <c r="JCM105" s="17"/>
      <c r="JCN105" s="17"/>
      <c r="JCO105" s="17"/>
      <c r="JCP105" s="17"/>
      <c r="JCQ105" s="17"/>
      <c r="JCR105" s="17"/>
      <c r="JCS105" s="17"/>
      <c r="JCT105" s="17"/>
      <c r="JCU105" s="17"/>
      <c r="JCV105" s="17"/>
      <c r="JCW105" s="17"/>
      <c r="JCX105" s="17"/>
      <c r="JCY105" s="17"/>
      <c r="JCZ105" s="17"/>
      <c r="JDA105" s="17"/>
      <c r="JDB105" s="17"/>
      <c r="JDC105" s="17"/>
      <c r="JDD105" s="17"/>
      <c r="JDE105" s="17"/>
      <c r="JDF105" s="17"/>
      <c r="JDG105" s="17"/>
      <c r="JDH105" s="17"/>
      <c r="JDI105" s="17"/>
      <c r="JDJ105" s="17"/>
      <c r="JDK105" s="17"/>
      <c r="JDL105" s="17"/>
      <c r="JDM105" s="17"/>
      <c r="JDN105" s="17"/>
      <c r="JDO105" s="17"/>
      <c r="JDP105" s="17"/>
      <c r="JDQ105" s="17"/>
      <c r="JDR105" s="17"/>
      <c r="JDS105" s="17"/>
      <c r="JDT105" s="17"/>
      <c r="JDU105" s="17"/>
      <c r="JDV105" s="17"/>
      <c r="JDW105" s="17"/>
      <c r="JDX105" s="17"/>
      <c r="JDY105" s="17"/>
      <c r="JDZ105" s="17"/>
      <c r="JEA105" s="17"/>
      <c r="JEB105" s="17"/>
      <c r="JEC105" s="17"/>
      <c r="JED105" s="17"/>
      <c r="JEE105" s="17"/>
      <c r="JEF105" s="17"/>
      <c r="JEG105" s="17"/>
      <c r="JEH105" s="17"/>
      <c r="JEI105" s="17"/>
      <c r="JEJ105" s="17"/>
      <c r="JEK105" s="17"/>
      <c r="JEL105" s="17"/>
      <c r="JEM105" s="17"/>
      <c r="JEN105" s="17"/>
      <c r="JEO105" s="17"/>
      <c r="JEP105" s="17"/>
      <c r="JEQ105" s="17"/>
      <c r="JER105" s="17"/>
      <c r="JES105" s="17"/>
      <c r="JET105" s="17"/>
      <c r="JEU105" s="17"/>
      <c r="JEV105" s="17"/>
      <c r="JEW105" s="17"/>
      <c r="JEX105" s="17"/>
      <c r="JEY105" s="17"/>
      <c r="JEZ105" s="17"/>
      <c r="JFA105" s="17"/>
      <c r="JFB105" s="17"/>
      <c r="JFC105" s="17"/>
      <c r="JFD105" s="17"/>
      <c r="JFE105" s="17"/>
      <c r="JFF105" s="17"/>
      <c r="JFG105" s="17"/>
      <c r="JFH105" s="17"/>
      <c r="JFI105" s="17"/>
      <c r="JFJ105" s="17"/>
      <c r="JFK105" s="17"/>
      <c r="JFL105" s="17"/>
      <c r="JFM105" s="17"/>
      <c r="JFN105" s="17"/>
      <c r="JFO105" s="17"/>
      <c r="JFP105" s="17"/>
      <c r="JFQ105" s="17"/>
      <c r="JFR105" s="17"/>
      <c r="JFS105" s="17"/>
      <c r="JFT105" s="17"/>
      <c r="JFU105" s="17"/>
      <c r="JFV105" s="17"/>
      <c r="JFW105" s="17"/>
      <c r="JFX105" s="17"/>
      <c r="JFY105" s="17"/>
      <c r="JFZ105" s="17"/>
      <c r="JGA105" s="17"/>
      <c r="JGB105" s="17"/>
      <c r="JGC105" s="17"/>
      <c r="JGD105" s="17"/>
      <c r="JGE105" s="17"/>
      <c r="JGF105" s="17"/>
      <c r="JGG105" s="17"/>
      <c r="JGH105" s="17"/>
      <c r="JGI105" s="17"/>
      <c r="JGJ105" s="17"/>
      <c r="JGK105" s="17"/>
      <c r="JGL105" s="17"/>
      <c r="JGM105" s="17"/>
      <c r="JGN105" s="17"/>
      <c r="JGO105" s="17"/>
      <c r="JGP105" s="17"/>
      <c r="JGQ105" s="17"/>
      <c r="JGR105" s="17"/>
      <c r="JGS105" s="17"/>
      <c r="JGT105" s="17"/>
      <c r="JGU105" s="17"/>
      <c r="JGV105" s="17"/>
      <c r="JGW105" s="17"/>
      <c r="JGX105" s="17"/>
      <c r="JGY105" s="17"/>
      <c r="JGZ105" s="17"/>
      <c r="JHA105" s="17"/>
      <c r="JHB105" s="17"/>
      <c r="JHC105" s="17"/>
      <c r="JHD105" s="17"/>
      <c r="JHE105" s="17"/>
      <c r="JHF105" s="17"/>
      <c r="JHG105" s="17"/>
      <c r="JHH105" s="17"/>
      <c r="JHI105" s="17"/>
      <c r="JHJ105" s="17"/>
      <c r="JHK105" s="17"/>
      <c r="JHL105" s="17"/>
      <c r="JHM105" s="17"/>
      <c r="JHN105" s="17"/>
      <c r="JHO105" s="17"/>
      <c r="JHP105" s="17"/>
      <c r="JHQ105" s="17"/>
      <c r="JHR105" s="17"/>
      <c r="JHS105" s="17"/>
      <c r="JHT105" s="17"/>
      <c r="JHU105" s="17"/>
      <c r="JHV105" s="17"/>
      <c r="JHW105" s="17"/>
      <c r="JHX105" s="17"/>
      <c r="JHY105" s="17"/>
      <c r="JHZ105" s="17"/>
      <c r="JIA105" s="17"/>
      <c r="JIB105" s="17"/>
      <c r="JIC105" s="17"/>
      <c r="JID105" s="17"/>
      <c r="JIE105" s="17"/>
      <c r="JIF105" s="17"/>
      <c r="JIG105" s="17"/>
      <c r="JIH105" s="17"/>
      <c r="JII105" s="17"/>
      <c r="JIJ105" s="17"/>
      <c r="JIK105" s="17"/>
      <c r="JIL105" s="17"/>
      <c r="JIM105" s="17"/>
      <c r="JIN105" s="17"/>
      <c r="JIO105" s="17"/>
      <c r="JIP105" s="17"/>
      <c r="JIQ105" s="17"/>
      <c r="JIR105" s="17"/>
      <c r="JIS105" s="17"/>
      <c r="JIT105" s="17"/>
      <c r="JIU105" s="17"/>
      <c r="JIV105" s="17"/>
      <c r="JIW105" s="17"/>
      <c r="JIX105" s="17"/>
      <c r="JIY105" s="17"/>
      <c r="JIZ105" s="17"/>
      <c r="JJA105" s="17"/>
      <c r="JJB105" s="17"/>
      <c r="JJC105" s="17"/>
      <c r="JJD105" s="17"/>
      <c r="JJE105" s="17"/>
      <c r="JJF105" s="17"/>
      <c r="JJG105" s="17"/>
      <c r="JJH105" s="17"/>
      <c r="JJI105" s="17"/>
      <c r="JJJ105" s="17"/>
      <c r="JJK105" s="17"/>
      <c r="JJL105" s="17"/>
      <c r="JJM105" s="17"/>
      <c r="JJN105" s="17"/>
      <c r="JJO105" s="17"/>
      <c r="JJP105" s="17"/>
      <c r="JJQ105" s="17"/>
      <c r="JJR105" s="17"/>
      <c r="JJS105" s="17"/>
      <c r="JJT105" s="17"/>
      <c r="JJU105" s="17"/>
      <c r="JJV105" s="17"/>
      <c r="JJW105" s="17"/>
      <c r="JJX105" s="17"/>
      <c r="JJY105" s="17"/>
      <c r="JJZ105" s="17"/>
      <c r="JKA105" s="17"/>
      <c r="JKB105" s="17"/>
      <c r="JKC105" s="17"/>
      <c r="JKD105" s="17"/>
      <c r="JKE105" s="17"/>
      <c r="JKF105" s="17"/>
      <c r="JKG105" s="17"/>
      <c r="JKH105" s="17"/>
      <c r="JKI105" s="17"/>
      <c r="JKJ105" s="17"/>
      <c r="JKK105" s="17"/>
      <c r="JKL105" s="17"/>
      <c r="JKM105" s="17"/>
      <c r="JKN105" s="17"/>
      <c r="JKO105" s="17"/>
      <c r="JKP105" s="17"/>
      <c r="JKQ105" s="17"/>
      <c r="JKR105" s="17"/>
      <c r="JKS105" s="17"/>
      <c r="JKT105" s="17"/>
      <c r="JKU105" s="17"/>
      <c r="JKV105" s="17"/>
      <c r="JKW105" s="17"/>
      <c r="JKX105" s="17"/>
      <c r="JKY105" s="17"/>
      <c r="JKZ105" s="17"/>
      <c r="JLA105" s="17"/>
      <c r="JLB105" s="17"/>
      <c r="JLC105" s="17"/>
      <c r="JLD105" s="17"/>
      <c r="JLE105" s="17"/>
      <c r="JLF105" s="17"/>
      <c r="JLG105" s="17"/>
      <c r="JLH105" s="17"/>
      <c r="JLI105" s="17"/>
      <c r="JLJ105" s="17"/>
      <c r="JLK105" s="17"/>
      <c r="JLL105" s="17"/>
      <c r="JLM105" s="17"/>
      <c r="JLN105" s="17"/>
      <c r="JLO105" s="17"/>
      <c r="JLP105" s="17"/>
      <c r="JLQ105" s="17"/>
      <c r="JLR105" s="17"/>
      <c r="JLS105" s="17"/>
      <c r="JLT105" s="17"/>
      <c r="JLU105" s="17"/>
      <c r="JLV105" s="17"/>
      <c r="JLW105" s="17"/>
      <c r="JLX105" s="17"/>
      <c r="JLY105" s="17"/>
      <c r="JLZ105" s="17"/>
      <c r="JMA105" s="17"/>
      <c r="JMB105" s="17"/>
      <c r="JMC105" s="17"/>
      <c r="JMD105" s="17"/>
      <c r="JME105" s="17"/>
      <c r="JMF105" s="17"/>
      <c r="JMG105" s="17"/>
      <c r="JMH105" s="17"/>
      <c r="JMI105" s="17"/>
      <c r="JMJ105" s="17"/>
      <c r="JMK105" s="17"/>
      <c r="JML105" s="17"/>
      <c r="JMM105" s="17"/>
      <c r="JMN105" s="17"/>
      <c r="JMO105" s="17"/>
      <c r="JMP105" s="17"/>
      <c r="JMQ105" s="17"/>
      <c r="JMR105" s="17"/>
      <c r="JMS105" s="17"/>
      <c r="JMT105" s="17"/>
      <c r="JMU105" s="17"/>
      <c r="JMV105" s="17"/>
      <c r="JMW105" s="17"/>
      <c r="JMX105" s="17"/>
      <c r="JMY105" s="17"/>
      <c r="JMZ105" s="17"/>
      <c r="JNA105" s="17"/>
      <c r="JNB105" s="17"/>
      <c r="JNC105" s="17"/>
      <c r="JND105" s="17"/>
      <c r="JNE105" s="17"/>
      <c r="JNF105" s="17"/>
      <c r="JNG105" s="17"/>
      <c r="JNH105" s="17"/>
      <c r="JNI105" s="17"/>
      <c r="JNJ105" s="17"/>
      <c r="JNK105" s="17"/>
      <c r="JNL105" s="17"/>
      <c r="JNM105" s="17"/>
      <c r="JNN105" s="17"/>
      <c r="JNO105" s="17"/>
      <c r="JNP105" s="17"/>
      <c r="JNQ105" s="17"/>
      <c r="JNR105" s="17"/>
      <c r="JNS105" s="17"/>
      <c r="JNT105" s="17"/>
      <c r="JNU105" s="17"/>
      <c r="JNV105" s="17"/>
      <c r="JNW105" s="17"/>
      <c r="JNX105" s="17"/>
      <c r="JNY105" s="17"/>
      <c r="JNZ105" s="17"/>
      <c r="JOA105" s="17"/>
      <c r="JOB105" s="17"/>
      <c r="JOC105" s="17"/>
      <c r="JOD105" s="17"/>
      <c r="JOE105" s="17"/>
      <c r="JOF105" s="17"/>
      <c r="JOG105" s="17"/>
      <c r="JOH105" s="17"/>
      <c r="JOI105" s="17"/>
      <c r="JOJ105" s="17"/>
      <c r="JOK105" s="17"/>
      <c r="JOL105" s="17"/>
      <c r="JOM105" s="17"/>
      <c r="JON105" s="17"/>
      <c r="JOO105" s="17"/>
      <c r="JOP105" s="17"/>
      <c r="JOQ105" s="17"/>
      <c r="JOR105" s="17"/>
      <c r="JOS105" s="17"/>
      <c r="JOT105" s="17"/>
      <c r="JOU105" s="17"/>
      <c r="JOV105" s="17"/>
      <c r="JOW105" s="17"/>
      <c r="JOX105" s="17"/>
      <c r="JOY105" s="17"/>
      <c r="JOZ105" s="17"/>
      <c r="JPA105" s="17"/>
      <c r="JPB105" s="17"/>
      <c r="JPC105" s="17"/>
      <c r="JPD105" s="17"/>
      <c r="JPE105" s="17"/>
      <c r="JPF105" s="17"/>
      <c r="JPG105" s="17"/>
      <c r="JPH105" s="17"/>
      <c r="JPI105" s="17"/>
      <c r="JPJ105" s="17"/>
      <c r="JPK105" s="17"/>
      <c r="JPL105" s="17"/>
      <c r="JPM105" s="17"/>
      <c r="JPN105" s="17"/>
      <c r="JPO105" s="17"/>
      <c r="JPP105" s="17"/>
      <c r="JPQ105" s="17"/>
      <c r="JPR105" s="17"/>
      <c r="JPS105" s="17"/>
      <c r="JPT105" s="17"/>
      <c r="JPU105" s="17"/>
      <c r="JPV105" s="17"/>
      <c r="JPW105" s="17"/>
      <c r="JPX105" s="17"/>
      <c r="JPY105" s="17"/>
      <c r="JPZ105" s="17"/>
      <c r="JQA105" s="17"/>
      <c r="JQB105" s="17"/>
      <c r="JQC105" s="17"/>
      <c r="JQD105" s="17"/>
      <c r="JQE105" s="17"/>
      <c r="JQF105" s="17"/>
      <c r="JQG105" s="17"/>
      <c r="JQH105" s="17"/>
      <c r="JQI105" s="17"/>
      <c r="JQJ105" s="17"/>
      <c r="JQK105" s="17"/>
      <c r="JQL105" s="17"/>
      <c r="JQM105" s="17"/>
      <c r="JQN105" s="17"/>
      <c r="JQO105" s="17"/>
      <c r="JQP105" s="17"/>
      <c r="JQQ105" s="17"/>
      <c r="JQR105" s="17"/>
      <c r="JQS105" s="17"/>
      <c r="JQT105" s="17"/>
      <c r="JQU105" s="17"/>
      <c r="JQV105" s="17"/>
      <c r="JQW105" s="17"/>
      <c r="JQX105" s="17"/>
      <c r="JQY105" s="17"/>
      <c r="JQZ105" s="17"/>
      <c r="JRA105" s="17"/>
      <c r="JRB105" s="17"/>
      <c r="JRC105" s="17"/>
      <c r="JRD105" s="17"/>
      <c r="JRE105" s="17"/>
      <c r="JRF105" s="17"/>
      <c r="JRG105" s="17"/>
      <c r="JRH105" s="17"/>
      <c r="JRI105" s="17"/>
      <c r="JRJ105" s="17"/>
      <c r="JRK105" s="17"/>
      <c r="JRL105" s="17"/>
      <c r="JRM105" s="17"/>
      <c r="JRN105" s="17"/>
      <c r="JRO105" s="17"/>
      <c r="JRP105" s="17"/>
      <c r="JRQ105" s="17"/>
      <c r="JRR105" s="17"/>
      <c r="JRS105" s="17"/>
      <c r="JRT105" s="17"/>
      <c r="JRU105" s="17"/>
      <c r="JRV105" s="17"/>
      <c r="JRW105" s="17"/>
      <c r="JRX105" s="17"/>
      <c r="JRY105" s="17"/>
      <c r="JRZ105" s="17"/>
      <c r="JSA105" s="17"/>
      <c r="JSB105" s="17"/>
      <c r="JSC105" s="17"/>
      <c r="JSD105" s="17"/>
      <c r="JSE105" s="17"/>
      <c r="JSF105" s="17"/>
      <c r="JSG105" s="17"/>
      <c r="JSH105" s="17"/>
      <c r="JSI105" s="17"/>
      <c r="JSJ105" s="17"/>
      <c r="JSK105" s="17"/>
      <c r="JSL105" s="17"/>
      <c r="JSM105" s="17"/>
      <c r="JSN105" s="17"/>
      <c r="JSO105" s="17"/>
      <c r="JSP105" s="17"/>
      <c r="JSQ105" s="17"/>
      <c r="JSR105" s="17"/>
      <c r="JSS105" s="17"/>
      <c r="JST105" s="17"/>
      <c r="JSU105" s="17"/>
      <c r="JSV105" s="17"/>
      <c r="JSW105" s="17"/>
      <c r="JSX105" s="17"/>
      <c r="JSY105" s="17"/>
      <c r="JSZ105" s="17"/>
      <c r="JTA105" s="17"/>
      <c r="JTB105" s="17"/>
      <c r="JTC105" s="17"/>
      <c r="JTD105" s="17"/>
      <c r="JTE105" s="17"/>
      <c r="JTF105" s="17"/>
      <c r="JTG105" s="17"/>
      <c r="JTH105" s="17"/>
      <c r="JTI105" s="17"/>
      <c r="JTJ105" s="17"/>
      <c r="JTK105" s="17"/>
      <c r="JTL105" s="17"/>
      <c r="JTM105" s="17"/>
      <c r="JTN105" s="17"/>
      <c r="JTO105" s="17"/>
      <c r="JTP105" s="17"/>
      <c r="JTQ105" s="17"/>
      <c r="JTR105" s="17"/>
      <c r="JTS105" s="17"/>
      <c r="JTT105" s="17"/>
      <c r="JTU105" s="17"/>
      <c r="JTV105" s="17"/>
      <c r="JTW105" s="17"/>
      <c r="JTX105" s="17"/>
      <c r="JTY105" s="17"/>
      <c r="JTZ105" s="17"/>
      <c r="JUA105" s="17"/>
      <c r="JUB105" s="17"/>
      <c r="JUC105" s="17"/>
      <c r="JUD105" s="17"/>
      <c r="JUE105" s="17"/>
      <c r="JUF105" s="17"/>
      <c r="JUG105" s="17"/>
      <c r="JUH105" s="17"/>
      <c r="JUI105" s="17"/>
      <c r="JUJ105" s="17"/>
      <c r="JUK105" s="17"/>
      <c r="JUL105" s="17"/>
      <c r="JUM105" s="17"/>
      <c r="JUN105" s="17"/>
      <c r="JUO105" s="17"/>
      <c r="JUP105" s="17"/>
      <c r="JUQ105" s="17"/>
      <c r="JUR105" s="17"/>
      <c r="JUS105" s="17"/>
      <c r="JUT105" s="17"/>
      <c r="JUU105" s="17"/>
      <c r="JUV105" s="17"/>
      <c r="JUW105" s="17"/>
      <c r="JUX105" s="17"/>
      <c r="JUY105" s="17"/>
      <c r="JUZ105" s="17"/>
      <c r="JVA105" s="17"/>
      <c r="JVB105" s="17"/>
      <c r="JVC105" s="17"/>
      <c r="JVD105" s="17"/>
      <c r="JVE105" s="17"/>
      <c r="JVF105" s="17"/>
      <c r="JVG105" s="17"/>
      <c r="JVH105" s="17"/>
      <c r="JVI105" s="17"/>
      <c r="JVJ105" s="17"/>
      <c r="JVK105" s="17"/>
      <c r="JVL105" s="17"/>
      <c r="JVM105" s="17"/>
      <c r="JVN105" s="17"/>
      <c r="JVO105" s="17"/>
      <c r="JVP105" s="17"/>
      <c r="JVQ105" s="17"/>
      <c r="JVR105" s="17"/>
      <c r="JVS105" s="17"/>
      <c r="JVT105" s="17"/>
      <c r="JVU105" s="17"/>
      <c r="JVV105" s="17"/>
      <c r="JVW105" s="17"/>
      <c r="JVX105" s="17"/>
      <c r="JVY105" s="17"/>
      <c r="JVZ105" s="17"/>
      <c r="JWA105" s="17"/>
      <c r="JWB105" s="17"/>
      <c r="JWC105" s="17"/>
      <c r="JWD105" s="17"/>
      <c r="JWE105" s="17"/>
      <c r="JWF105" s="17"/>
      <c r="JWG105" s="17"/>
      <c r="JWH105" s="17"/>
      <c r="JWI105" s="17"/>
      <c r="JWJ105" s="17"/>
      <c r="JWK105" s="17"/>
      <c r="JWL105" s="17"/>
      <c r="JWM105" s="17"/>
      <c r="JWN105" s="17"/>
      <c r="JWO105" s="17"/>
      <c r="JWP105" s="17"/>
      <c r="JWQ105" s="17"/>
      <c r="JWR105" s="17"/>
      <c r="JWS105" s="17"/>
      <c r="JWT105" s="17"/>
      <c r="JWU105" s="17"/>
      <c r="JWV105" s="17"/>
      <c r="JWW105" s="17"/>
      <c r="JWX105" s="17"/>
      <c r="JWY105" s="17"/>
      <c r="JWZ105" s="17"/>
      <c r="JXA105" s="17"/>
      <c r="JXB105" s="17"/>
      <c r="JXC105" s="17"/>
      <c r="JXD105" s="17"/>
      <c r="JXE105" s="17"/>
      <c r="JXF105" s="17"/>
      <c r="JXG105" s="17"/>
      <c r="JXH105" s="17"/>
      <c r="JXI105" s="17"/>
      <c r="JXJ105" s="17"/>
      <c r="JXK105" s="17"/>
      <c r="JXL105" s="17"/>
      <c r="JXM105" s="17"/>
      <c r="JXN105" s="17"/>
      <c r="JXO105" s="17"/>
      <c r="JXP105" s="17"/>
      <c r="JXQ105" s="17"/>
      <c r="JXR105" s="17"/>
      <c r="JXS105" s="17"/>
      <c r="JXT105" s="17"/>
      <c r="JXU105" s="17"/>
      <c r="JXV105" s="17"/>
      <c r="JXW105" s="17"/>
      <c r="JXX105" s="17"/>
      <c r="JXY105" s="17"/>
      <c r="JXZ105" s="17"/>
      <c r="JYA105" s="17"/>
      <c r="JYB105" s="17"/>
      <c r="JYC105" s="17"/>
      <c r="JYD105" s="17"/>
      <c r="JYE105" s="17"/>
      <c r="JYF105" s="17"/>
      <c r="JYG105" s="17"/>
      <c r="JYH105" s="17"/>
      <c r="JYI105" s="17"/>
      <c r="JYJ105" s="17"/>
      <c r="JYK105" s="17"/>
      <c r="JYL105" s="17"/>
      <c r="JYM105" s="17"/>
      <c r="JYN105" s="17"/>
      <c r="JYO105" s="17"/>
      <c r="JYP105" s="17"/>
      <c r="JYQ105" s="17"/>
      <c r="JYR105" s="17"/>
      <c r="JYS105" s="17"/>
      <c r="JYT105" s="17"/>
      <c r="JYU105" s="17"/>
      <c r="JYV105" s="17"/>
      <c r="JYW105" s="17"/>
      <c r="JYX105" s="17"/>
      <c r="JYY105" s="17"/>
      <c r="JYZ105" s="17"/>
      <c r="JZA105" s="17"/>
      <c r="JZB105" s="17"/>
      <c r="JZC105" s="17"/>
      <c r="JZD105" s="17"/>
      <c r="JZE105" s="17"/>
      <c r="JZF105" s="17"/>
      <c r="JZG105" s="17"/>
      <c r="JZH105" s="17"/>
      <c r="JZI105" s="17"/>
      <c r="JZJ105" s="17"/>
      <c r="JZK105" s="17"/>
      <c r="JZL105" s="17"/>
      <c r="JZM105" s="17"/>
      <c r="JZN105" s="17"/>
      <c r="JZO105" s="17"/>
      <c r="JZP105" s="17"/>
      <c r="JZQ105" s="17"/>
      <c r="JZR105" s="17"/>
      <c r="JZS105" s="17"/>
      <c r="JZT105" s="17"/>
      <c r="JZU105" s="17"/>
      <c r="JZV105" s="17"/>
      <c r="JZW105" s="17"/>
      <c r="JZX105" s="17"/>
      <c r="JZY105" s="17"/>
      <c r="JZZ105" s="17"/>
      <c r="KAA105" s="17"/>
      <c r="KAB105" s="17"/>
      <c r="KAC105" s="17"/>
      <c r="KAD105" s="17"/>
      <c r="KAE105" s="17"/>
      <c r="KAF105" s="17"/>
      <c r="KAG105" s="17"/>
      <c r="KAH105" s="17"/>
      <c r="KAI105" s="17"/>
      <c r="KAJ105" s="17"/>
      <c r="KAK105" s="17"/>
      <c r="KAL105" s="17"/>
      <c r="KAM105" s="17"/>
      <c r="KAN105" s="17"/>
      <c r="KAO105" s="17"/>
      <c r="KAP105" s="17"/>
      <c r="KAQ105" s="17"/>
      <c r="KAR105" s="17"/>
      <c r="KAS105" s="17"/>
      <c r="KAT105" s="17"/>
      <c r="KAU105" s="17"/>
      <c r="KAV105" s="17"/>
      <c r="KAW105" s="17"/>
      <c r="KAX105" s="17"/>
      <c r="KAY105" s="17"/>
      <c r="KAZ105" s="17"/>
      <c r="KBA105" s="17"/>
      <c r="KBB105" s="17"/>
      <c r="KBC105" s="17"/>
      <c r="KBD105" s="17"/>
      <c r="KBE105" s="17"/>
      <c r="KBF105" s="17"/>
      <c r="KBG105" s="17"/>
      <c r="KBH105" s="17"/>
      <c r="KBI105" s="17"/>
      <c r="KBJ105" s="17"/>
      <c r="KBK105" s="17"/>
      <c r="KBL105" s="17"/>
      <c r="KBM105" s="17"/>
      <c r="KBN105" s="17"/>
      <c r="KBO105" s="17"/>
      <c r="KBP105" s="17"/>
      <c r="KBQ105" s="17"/>
      <c r="KBR105" s="17"/>
      <c r="KBS105" s="17"/>
      <c r="KBT105" s="17"/>
      <c r="KBU105" s="17"/>
      <c r="KBV105" s="17"/>
      <c r="KBW105" s="17"/>
      <c r="KBX105" s="17"/>
      <c r="KBY105" s="17"/>
      <c r="KBZ105" s="17"/>
      <c r="KCA105" s="17"/>
      <c r="KCB105" s="17"/>
      <c r="KCC105" s="17"/>
      <c r="KCD105" s="17"/>
      <c r="KCE105" s="17"/>
      <c r="KCF105" s="17"/>
      <c r="KCG105" s="17"/>
      <c r="KCH105" s="17"/>
      <c r="KCI105" s="17"/>
      <c r="KCJ105" s="17"/>
      <c r="KCK105" s="17"/>
      <c r="KCL105" s="17"/>
      <c r="KCM105" s="17"/>
      <c r="KCN105" s="17"/>
      <c r="KCO105" s="17"/>
      <c r="KCP105" s="17"/>
      <c r="KCQ105" s="17"/>
      <c r="KCR105" s="17"/>
      <c r="KCS105" s="17"/>
      <c r="KCT105" s="17"/>
      <c r="KCU105" s="17"/>
      <c r="KCV105" s="17"/>
      <c r="KCW105" s="17"/>
      <c r="KCX105" s="17"/>
      <c r="KCY105" s="17"/>
      <c r="KCZ105" s="17"/>
      <c r="KDA105" s="17"/>
      <c r="KDB105" s="17"/>
      <c r="KDC105" s="17"/>
      <c r="KDD105" s="17"/>
      <c r="KDE105" s="17"/>
      <c r="KDF105" s="17"/>
      <c r="KDG105" s="17"/>
      <c r="KDH105" s="17"/>
      <c r="KDI105" s="17"/>
      <c r="KDJ105" s="17"/>
      <c r="KDK105" s="17"/>
      <c r="KDL105" s="17"/>
      <c r="KDM105" s="17"/>
      <c r="KDN105" s="17"/>
      <c r="KDO105" s="17"/>
      <c r="KDP105" s="17"/>
      <c r="KDQ105" s="17"/>
      <c r="KDR105" s="17"/>
      <c r="KDS105" s="17"/>
      <c r="KDT105" s="17"/>
      <c r="KDU105" s="17"/>
      <c r="KDV105" s="17"/>
      <c r="KDW105" s="17"/>
      <c r="KDX105" s="17"/>
      <c r="KDY105" s="17"/>
      <c r="KDZ105" s="17"/>
      <c r="KEA105" s="17"/>
      <c r="KEB105" s="17"/>
      <c r="KEC105" s="17"/>
      <c r="KED105" s="17"/>
      <c r="KEE105" s="17"/>
      <c r="KEF105" s="17"/>
      <c r="KEG105" s="17"/>
      <c r="KEH105" s="17"/>
      <c r="KEI105" s="17"/>
      <c r="KEJ105" s="17"/>
      <c r="KEK105" s="17"/>
      <c r="KEL105" s="17"/>
      <c r="KEM105" s="17"/>
      <c r="KEN105" s="17"/>
      <c r="KEO105" s="17"/>
      <c r="KEP105" s="17"/>
      <c r="KEQ105" s="17"/>
      <c r="KER105" s="17"/>
      <c r="KES105" s="17"/>
      <c r="KET105" s="17"/>
      <c r="KEU105" s="17"/>
      <c r="KEV105" s="17"/>
      <c r="KEW105" s="17"/>
      <c r="KEX105" s="17"/>
      <c r="KEY105" s="17"/>
      <c r="KEZ105" s="17"/>
      <c r="KFA105" s="17"/>
      <c r="KFB105" s="17"/>
      <c r="KFC105" s="17"/>
      <c r="KFD105" s="17"/>
      <c r="KFE105" s="17"/>
      <c r="KFF105" s="17"/>
      <c r="KFG105" s="17"/>
      <c r="KFH105" s="17"/>
      <c r="KFI105" s="17"/>
      <c r="KFJ105" s="17"/>
      <c r="KFK105" s="17"/>
      <c r="KFL105" s="17"/>
      <c r="KFM105" s="17"/>
      <c r="KFN105" s="17"/>
      <c r="KFO105" s="17"/>
      <c r="KFP105" s="17"/>
      <c r="KFQ105" s="17"/>
      <c r="KFR105" s="17"/>
      <c r="KFS105" s="17"/>
      <c r="KFT105" s="17"/>
      <c r="KFU105" s="17"/>
      <c r="KFV105" s="17"/>
      <c r="KFW105" s="17"/>
      <c r="KFX105" s="17"/>
      <c r="KFY105" s="17"/>
      <c r="KFZ105" s="17"/>
      <c r="KGA105" s="17"/>
      <c r="KGB105" s="17"/>
      <c r="KGC105" s="17"/>
      <c r="KGD105" s="17"/>
      <c r="KGE105" s="17"/>
      <c r="KGF105" s="17"/>
      <c r="KGG105" s="17"/>
      <c r="KGH105" s="17"/>
      <c r="KGI105" s="17"/>
      <c r="KGJ105" s="17"/>
      <c r="KGK105" s="17"/>
      <c r="KGL105" s="17"/>
      <c r="KGM105" s="17"/>
      <c r="KGN105" s="17"/>
      <c r="KGO105" s="17"/>
      <c r="KGP105" s="17"/>
      <c r="KGQ105" s="17"/>
      <c r="KGR105" s="17"/>
      <c r="KGS105" s="17"/>
      <c r="KGT105" s="17"/>
      <c r="KGU105" s="17"/>
      <c r="KGV105" s="17"/>
      <c r="KGW105" s="17"/>
      <c r="KGX105" s="17"/>
      <c r="KGY105" s="17"/>
      <c r="KGZ105" s="17"/>
      <c r="KHA105" s="17"/>
      <c r="KHB105" s="17"/>
      <c r="KHC105" s="17"/>
      <c r="KHD105" s="17"/>
      <c r="KHE105" s="17"/>
      <c r="KHF105" s="17"/>
      <c r="KHG105" s="17"/>
      <c r="KHH105" s="17"/>
      <c r="KHI105" s="17"/>
      <c r="KHJ105" s="17"/>
      <c r="KHK105" s="17"/>
      <c r="KHL105" s="17"/>
      <c r="KHM105" s="17"/>
      <c r="KHN105" s="17"/>
      <c r="KHO105" s="17"/>
      <c r="KHP105" s="17"/>
      <c r="KHQ105" s="17"/>
      <c r="KHR105" s="17"/>
      <c r="KHS105" s="17"/>
      <c r="KHT105" s="17"/>
      <c r="KHU105" s="17"/>
      <c r="KHV105" s="17"/>
      <c r="KHW105" s="17"/>
      <c r="KHX105" s="17"/>
      <c r="KHY105" s="17"/>
      <c r="KHZ105" s="17"/>
      <c r="KIA105" s="17"/>
      <c r="KIB105" s="17"/>
      <c r="KIC105" s="17"/>
      <c r="KID105" s="17"/>
      <c r="KIE105" s="17"/>
      <c r="KIF105" s="17"/>
      <c r="KIG105" s="17"/>
      <c r="KIH105" s="17"/>
      <c r="KII105" s="17"/>
      <c r="KIJ105" s="17"/>
      <c r="KIK105" s="17"/>
      <c r="KIL105" s="17"/>
      <c r="KIM105" s="17"/>
      <c r="KIN105" s="17"/>
      <c r="KIO105" s="17"/>
      <c r="KIP105" s="17"/>
      <c r="KIQ105" s="17"/>
      <c r="KIR105" s="17"/>
      <c r="KIS105" s="17"/>
      <c r="KIT105" s="17"/>
      <c r="KIU105" s="17"/>
      <c r="KIV105" s="17"/>
      <c r="KIW105" s="17"/>
      <c r="KIX105" s="17"/>
      <c r="KIY105" s="17"/>
      <c r="KIZ105" s="17"/>
      <c r="KJA105" s="17"/>
      <c r="KJB105" s="17"/>
      <c r="KJC105" s="17"/>
      <c r="KJD105" s="17"/>
      <c r="KJE105" s="17"/>
      <c r="KJF105" s="17"/>
      <c r="KJG105" s="17"/>
      <c r="KJH105" s="17"/>
      <c r="KJI105" s="17"/>
      <c r="KJJ105" s="17"/>
      <c r="KJK105" s="17"/>
      <c r="KJL105" s="17"/>
      <c r="KJM105" s="17"/>
      <c r="KJN105" s="17"/>
      <c r="KJO105" s="17"/>
      <c r="KJP105" s="17"/>
      <c r="KJQ105" s="17"/>
      <c r="KJR105" s="17"/>
      <c r="KJS105" s="17"/>
      <c r="KJT105" s="17"/>
      <c r="KJU105" s="17"/>
      <c r="KJV105" s="17"/>
      <c r="KJW105" s="17"/>
      <c r="KJX105" s="17"/>
      <c r="KJY105" s="17"/>
      <c r="KJZ105" s="17"/>
      <c r="KKA105" s="17"/>
      <c r="KKB105" s="17"/>
      <c r="KKC105" s="17"/>
      <c r="KKD105" s="17"/>
      <c r="KKE105" s="17"/>
      <c r="KKF105" s="17"/>
      <c r="KKG105" s="17"/>
      <c r="KKH105" s="17"/>
      <c r="KKI105" s="17"/>
      <c r="KKJ105" s="17"/>
      <c r="KKK105" s="17"/>
      <c r="KKL105" s="17"/>
      <c r="KKM105" s="17"/>
      <c r="KKN105" s="17"/>
      <c r="KKO105" s="17"/>
      <c r="KKP105" s="17"/>
      <c r="KKQ105" s="17"/>
      <c r="KKR105" s="17"/>
      <c r="KKS105" s="17"/>
      <c r="KKT105" s="17"/>
      <c r="KKU105" s="17"/>
      <c r="KKV105" s="17"/>
      <c r="KKW105" s="17"/>
      <c r="KKX105" s="17"/>
      <c r="KKY105" s="17"/>
      <c r="KKZ105" s="17"/>
      <c r="KLA105" s="17"/>
      <c r="KLB105" s="17"/>
      <c r="KLC105" s="17"/>
      <c r="KLD105" s="17"/>
      <c r="KLE105" s="17"/>
      <c r="KLF105" s="17"/>
      <c r="KLG105" s="17"/>
      <c r="KLH105" s="17"/>
      <c r="KLI105" s="17"/>
      <c r="KLJ105" s="17"/>
      <c r="KLK105" s="17"/>
      <c r="KLL105" s="17"/>
      <c r="KLM105" s="17"/>
      <c r="KLN105" s="17"/>
      <c r="KLO105" s="17"/>
      <c r="KLP105" s="17"/>
      <c r="KLQ105" s="17"/>
      <c r="KLR105" s="17"/>
      <c r="KLS105" s="17"/>
      <c r="KLT105" s="17"/>
      <c r="KLU105" s="17"/>
      <c r="KLV105" s="17"/>
      <c r="KLW105" s="17"/>
      <c r="KLX105" s="17"/>
      <c r="KLY105" s="17"/>
      <c r="KLZ105" s="17"/>
      <c r="KMA105" s="17"/>
      <c r="KMB105" s="17"/>
      <c r="KMC105" s="17"/>
      <c r="KMD105" s="17"/>
      <c r="KME105" s="17"/>
      <c r="KMF105" s="17"/>
      <c r="KMG105" s="17"/>
      <c r="KMH105" s="17"/>
      <c r="KMI105" s="17"/>
      <c r="KMJ105" s="17"/>
      <c r="KMK105" s="17"/>
      <c r="KML105" s="17"/>
      <c r="KMM105" s="17"/>
      <c r="KMN105" s="17"/>
      <c r="KMO105" s="17"/>
      <c r="KMP105" s="17"/>
      <c r="KMQ105" s="17"/>
      <c r="KMR105" s="17"/>
      <c r="KMS105" s="17"/>
      <c r="KMT105" s="17"/>
      <c r="KMU105" s="17"/>
      <c r="KMV105" s="17"/>
      <c r="KMW105" s="17"/>
      <c r="KMX105" s="17"/>
      <c r="KMY105" s="17"/>
      <c r="KMZ105" s="17"/>
      <c r="KNA105" s="17"/>
      <c r="KNB105" s="17"/>
      <c r="KNC105" s="17"/>
      <c r="KND105" s="17"/>
      <c r="KNE105" s="17"/>
      <c r="KNF105" s="17"/>
      <c r="KNG105" s="17"/>
      <c r="KNH105" s="17"/>
      <c r="KNI105" s="17"/>
      <c r="KNJ105" s="17"/>
      <c r="KNK105" s="17"/>
      <c r="KNL105" s="17"/>
      <c r="KNM105" s="17"/>
      <c r="KNN105" s="17"/>
      <c r="KNO105" s="17"/>
      <c r="KNP105" s="17"/>
      <c r="KNQ105" s="17"/>
      <c r="KNR105" s="17"/>
      <c r="KNS105" s="17"/>
      <c r="KNT105" s="17"/>
      <c r="KNU105" s="17"/>
      <c r="KNV105" s="17"/>
      <c r="KNW105" s="17"/>
      <c r="KNX105" s="17"/>
      <c r="KNY105" s="17"/>
      <c r="KNZ105" s="17"/>
      <c r="KOA105" s="17"/>
      <c r="KOB105" s="17"/>
      <c r="KOC105" s="17"/>
      <c r="KOD105" s="17"/>
      <c r="KOE105" s="17"/>
      <c r="KOF105" s="17"/>
      <c r="KOG105" s="17"/>
      <c r="KOH105" s="17"/>
      <c r="KOI105" s="17"/>
      <c r="KOJ105" s="17"/>
      <c r="KOK105" s="17"/>
      <c r="KOL105" s="17"/>
      <c r="KOM105" s="17"/>
      <c r="KON105" s="17"/>
      <c r="KOO105" s="17"/>
      <c r="KOP105" s="17"/>
      <c r="KOQ105" s="17"/>
      <c r="KOR105" s="17"/>
      <c r="KOS105" s="17"/>
      <c r="KOT105" s="17"/>
      <c r="KOU105" s="17"/>
      <c r="KOV105" s="17"/>
      <c r="KOW105" s="17"/>
      <c r="KOX105" s="17"/>
      <c r="KOY105" s="17"/>
      <c r="KOZ105" s="17"/>
      <c r="KPA105" s="17"/>
      <c r="KPB105" s="17"/>
      <c r="KPC105" s="17"/>
      <c r="KPD105" s="17"/>
      <c r="KPE105" s="17"/>
      <c r="KPF105" s="17"/>
      <c r="KPG105" s="17"/>
      <c r="KPH105" s="17"/>
      <c r="KPI105" s="17"/>
      <c r="KPJ105" s="17"/>
      <c r="KPK105" s="17"/>
      <c r="KPL105" s="17"/>
      <c r="KPM105" s="17"/>
      <c r="KPN105" s="17"/>
      <c r="KPO105" s="17"/>
      <c r="KPP105" s="17"/>
      <c r="KPQ105" s="17"/>
      <c r="KPR105" s="17"/>
      <c r="KPS105" s="17"/>
      <c r="KPT105" s="17"/>
      <c r="KPU105" s="17"/>
      <c r="KPV105" s="17"/>
      <c r="KPW105" s="17"/>
      <c r="KPX105" s="17"/>
      <c r="KPY105" s="17"/>
      <c r="KPZ105" s="17"/>
      <c r="KQA105" s="17"/>
      <c r="KQB105" s="17"/>
      <c r="KQC105" s="17"/>
      <c r="KQD105" s="17"/>
      <c r="KQE105" s="17"/>
      <c r="KQF105" s="17"/>
      <c r="KQG105" s="17"/>
      <c r="KQH105" s="17"/>
      <c r="KQI105" s="17"/>
      <c r="KQJ105" s="17"/>
      <c r="KQK105" s="17"/>
      <c r="KQL105" s="17"/>
      <c r="KQM105" s="17"/>
      <c r="KQN105" s="17"/>
      <c r="KQO105" s="17"/>
      <c r="KQP105" s="17"/>
      <c r="KQQ105" s="17"/>
      <c r="KQR105" s="17"/>
      <c r="KQS105" s="17"/>
      <c r="KQT105" s="17"/>
      <c r="KQU105" s="17"/>
      <c r="KQV105" s="17"/>
      <c r="KQW105" s="17"/>
      <c r="KQX105" s="17"/>
      <c r="KQY105" s="17"/>
      <c r="KQZ105" s="17"/>
      <c r="KRA105" s="17"/>
      <c r="KRB105" s="17"/>
      <c r="KRC105" s="17"/>
      <c r="KRD105" s="17"/>
      <c r="KRE105" s="17"/>
      <c r="KRF105" s="17"/>
      <c r="KRG105" s="17"/>
      <c r="KRH105" s="17"/>
      <c r="KRI105" s="17"/>
      <c r="KRJ105" s="17"/>
      <c r="KRK105" s="17"/>
      <c r="KRL105" s="17"/>
      <c r="KRM105" s="17"/>
      <c r="KRN105" s="17"/>
      <c r="KRO105" s="17"/>
      <c r="KRP105" s="17"/>
      <c r="KRQ105" s="17"/>
      <c r="KRR105" s="17"/>
      <c r="KRS105" s="17"/>
      <c r="KRT105" s="17"/>
      <c r="KRU105" s="17"/>
      <c r="KRV105" s="17"/>
      <c r="KRW105" s="17"/>
      <c r="KRX105" s="17"/>
      <c r="KRY105" s="17"/>
      <c r="KRZ105" s="17"/>
      <c r="KSA105" s="17"/>
      <c r="KSB105" s="17"/>
      <c r="KSC105" s="17"/>
      <c r="KSD105" s="17"/>
      <c r="KSE105" s="17"/>
      <c r="KSF105" s="17"/>
      <c r="KSG105" s="17"/>
      <c r="KSH105" s="17"/>
      <c r="KSI105" s="17"/>
      <c r="KSJ105" s="17"/>
      <c r="KSK105" s="17"/>
      <c r="KSL105" s="17"/>
      <c r="KSM105" s="17"/>
      <c r="KSN105" s="17"/>
      <c r="KSO105" s="17"/>
      <c r="KSP105" s="17"/>
      <c r="KSQ105" s="17"/>
      <c r="KSR105" s="17"/>
      <c r="KSS105" s="17"/>
      <c r="KST105" s="17"/>
      <c r="KSU105" s="17"/>
      <c r="KSV105" s="17"/>
      <c r="KSW105" s="17"/>
      <c r="KSX105" s="17"/>
      <c r="KSY105" s="17"/>
      <c r="KSZ105" s="17"/>
      <c r="KTA105" s="17"/>
      <c r="KTB105" s="17"/>
      <c r="KTC105" s="17"/>
      <c r="KTD105" s="17"/>
      <c r="KTE105" s="17"/>
      <c r="KTF105" s="17"/>
      <c r="KTG105" s="17"/>
      <c r="KTH105" s="17"/>
      <c r="KTI105" s="17"/>
      <c r="KTJ105" s="17"/>
      <c r="KTK105" s="17"/>
      <c r="KTL105" s="17"/>
      <c r="KTM105" s="17"/>
      <c r="KTN105" s="17"/>
      <c r="KTO105" s="17"/>
      <c r="KTP105" s="17"/>
      <c r="KTQ105" s="17"/>
      <c r="KTR105" s="17"/>
      <c r="KTS105" s="17"/>
      <c r="KTT105" s="17"/>
      <c r="KTU105" s="17"/>
      <c r="KTV105" s="17"/>
      <c r="KTW105" s="17"/>
      <c r="KTX105" s="17"/>
      <c r="KTY105" s="17"/>
      <c r="KTZ105" s="17"/>
      <c r="KUA105" s="17"/>
      <c r="KUB105" s="17"/>
      <c r="KUC105" s="17"/>
      <c r="KUD105" s="17"/>
      <c r="KUE105" s="17"/>
      <c r="KUF105" s="17"/>
      <c r="KUG105" s="17"/>
      <c r="KUH105" s="17"/>
      <c r="KUI105" s="17"/>
      <c r="KUJ105" s="17"/>
      <c r="KUK105" s="17"/>
      <c r="KUL105" s="17"/>
      <c r="KUM105" s="17"/>
      <c r="KUN105" s="17"/>
      <c r="KUO105" s="17"/>
      <c r="KUP105" s="17"/>
      <c r="KUQ105" s="17"/>
      <c r="KUR105" s="17"/>
      <c r="KUS105" s="17"/>
      <c r="KUT105" s="17"/>
      <c r="KUU105" s="17"/>
      <c r="KUV105" s="17"/>
      <c r="KUW105" s="17"/>
      <c r="KUX105" s="17"/>
      <c r="KUY105" s="17"/>
      <c r="KUZ105" s="17"/>
      <c r="KVA105" s="17"/>
      <c r="KVB105" s="17"/>
      <c r="KVC105" s="17"/>
      <c r="KVD105" s="17"/>
      <c r="KVE105" s="17"/>
      <c r="KVF105" s="17"/>
      <c r="KVG105" s="17"/>
      <c r="KVH105" s="17"/>
      <c r="KVI105" s="17"/>
      <c r="KVJ105" s="17"/>
      <c r="KVK105" s="17"/>
      <c r="KVL105" s="17"/>
      <c r="KVM105" s="17"/>
      <c r="KVN105" s="17"/>
      <c r="KVO105" s="17"/>
      <c r="KVP105" s="17"/>
      <c r="KVQ105" s="17"/>
      <c r="KVR105" s="17"/>
      <c r="KVS105" s="17"/>
      <c r="KVT105" s="17"/>
      <c r="KVU105" s="17"/>
      <c r="KVV105" s="17"/>
      <c r="KVW105" s="17"/>
      <c r="KVX105" s="17"/>
      <c r="KVY105" s="17"/>
      <c r="KVZ105" s="17"/>
      <c r="KWA105" s="17"/>
      <c r="KWB105" s="17"/>
      <c r="KWC105" s="17"/>
      <c r="KWD105" s="17"/>
      <c r="KWE105" s="17"/>
      <c r="KWF105" s="17"/>
      <c r="KWG105" s="17"/>
      <c r="KWH105" s="17"/>
      <c r="KWI105" s="17"/>
      <c r="KWJ105" s="17"/>
      <c r="KWK105" s="17"/>
      <c r="KWL105" s="17"/>
      <c r="KWM105" s="17"/>
      <c r="KWN105" s="17"/>
      <c r="KWO105" s="17"/>
      <c r="KWP105" s="17"/>
      <c r="KWQ105" s="17"/>
      <c r="KWR105" s="17"/>
      <c r="KWS105" s="17"/>
      <c r="KWT105" s="17"/>
      <c r="KWU105" s="17"/>
      <c r="KWV105" s="17"/>
      <c r="KWW105" s="17"/>
      <c r="KWX105" s="17"/>
      <c r="KWY105" s="17"/>
      <c r="KWZ105" s="17"/>
      <c r="KXA105" s="17"/>
      <c r="KXB105" s="17"/>
      <c r="KXC105" s="17"/>
      <c r="KXD105" s="17"/>
      <c r="KXE105" s="17"/>
      <c r="KXF105" s="17"/>
      <c r="KXG105" s="17"/>
      <c r="KXH105" s="17"/>
      <c r="KXI105" s="17"/>
      <c r="KXJ105" s="17"/>
      <c r="KXK105" s="17"/>
      <c r="KXL105" s="17"/>
      <c r="KXM105" s="17"/>
      <c r="KXN105" s="17"/>
      <c r="KXO105" s="17"/>
      <c r="KXP105" s="17"/>
      <c r="KXQ105" s="17"/>
      <c r="KXR105" s="17"/>
      <c r="KXS105" s="17"/>
      <c r="KXT105" s="17"/>
      <c r="KXU105" s="17"/>
      <c r="KXV105" s="17"/>
      <c r="KXW105" s="17"/>
      <c r="KXX105" s="17"/>
      <c r="KXY105" s="17"/>
      <c r="KXZ105" s="17"/>
      <c r="KYA105" s="17"/>
      <c r="KYB105" s="17"/>
      <c r="KYC105" s="17"/>
      <c r="KYD105" s="17"/>
      <c r="KYE105" s="17"/>
      <c r="KYF105" s="17"/>
      <c r="KYG105" s="17"/>
      <c r="KYH105" s="17"/>
      <c r="KYI105" s="17"/>
      <c r="KYJ105" s="17"/>
      <c r="KYK105" s="17"/>
      <c r="KYL105" s="17"/>
      <c r="KYM105" s="17"/>
      <c r="KYN105" s="17"/>
      <c r="KYO105" s="17"/>
      <c r="KYP105" s="17"/>
      <c r="KYQ105" s="17"/>
      <c r="KYR105" s="17"/>
      <c r="KYS105" s="17"/>
      <c r="KYT105" s="17"/>
      <c r="KYU105" s="17"/>
      <c r="KYV105" s="17"/>
      <c r="KYW105" s="17"/>
      <c r="KYX105" s="17"/>
      <c r="KYY105" s="17"/>
      <c r="KYZ105" s="17"/>
      <c r="KZA105" s="17"/>
      <c r="KZB105" s="17"/>
      <c r="KZC105" s="17"/>
      <c r="KZD105" s="17"/>
      <c r="KZE105" s="17"/>
      <c r="KZF105" s="17"/>
      <c r="KZG105" s="17"/>
      <c r="KZH105" s="17"/>
      <c r="KZI105" s="17"/>
      <c r="KZJ105" s="17"/>
      <c r="KZK105" s="17"/>
      <c r="KZL105" s="17"/>
      <c r="KZM105" s="17"/>
      <c r="KZN105" s="17"/>
      <c r="KZO105" s="17"/>
      <c r="KZP105" s="17"/>
      <c r="KZQ105" s="17"/>
      <c r="KZR105" s="17"/>
      <c r="KZS105" s="17"/>
      <c r="KZT105" s="17"/>
      <c r="KZU105" s="17"/>
      <c r="KZV105" s="17"/>
      <c r="KZW105" s="17"/>
      <c r="KZX105" s="17"/>
      <c r="KZY105" s="17"/>
      <c r="KZZ105" s="17"/>
      <c r="LAA105" s="17"/>
      <c r="LAB105" s="17"/>
      <c r="LAC105" s="17"/>
      <c r="LAD105" s="17"/>
      <c r="LAE105" s="17"/>
      <c r="LAF105" s="17"/>
      <c r="LAG105" s="17"/>
      <c r="LAH105" s="17"/>
      <c r="LAI105" s="17"/>
      <c r="LAJ105" s="17"/>
      <c r="LAK105" s="17"/>
      <c r="LAL105" s="17"/>
      <c r="LAM105" s="17"/>
      <c r="LAN105" s="17"/>
      <c r="LAO105" s="17"/>
      <c r="LAP105" s="17"/>
      <c r="LAQ105" s="17"/>
      <c r="LAR105" s="17"/>
      <c r="LAS105" s="17"/>
      <c r="LAT105" s="17"/>
      <c r="LAU105" s="17"/>
      <c r="LAV105" s="17"/>
      <c r="LAW105" s="17"/>
      <c r="LAX105" s="17"/>
      <c r="LAY105" s="17"/>
      <c r="LAZ105" s="17"/>
      <c r="LBA105" s="17"/>
      <c r="LBB105" s="17"/>
      <c r="LBC105" s="17"/>
      <c r="LBD105" s="17"/>
      <c r="LBE105" s="17"/>
      <c r="LBF105" s="17"/>
      <c r="LBG105" s="17"/>
      <c r="LBH105" s="17"/>
      <c r="LBI105" s="17"/>
      <c r="LBJ105" s="17"/>
      <c r="LBK105" s="17"/>
      <c r="LBL105" s="17"/>
      <c r="LBM105" s="17"/>
      <c r="LBN105" s="17"/>
      <c r="LBO105" s="17"/>
      <c r="LBP105" s="17"/>
      <c r="LBQ105" s="17"/>
      <c r="LBR105" s="17"/>
      <c r="LBS105" s="17"/>
      <c r="LBT105" s="17"/>
      <c r="LBU105" s="17"/>
      <c r="LBV105" s="17"/>
      <c r="LBW105" s="17"/>
      <c r="LBX105" s="17"/>
      <c r="LBY105" s="17"/>
      <c r="LBZ105" s="17"/>
      <c r="LCA105" s="17"/>
      <c r="LCB105" s="17"/>
      <c r="LCC105" s="17"/>
      <c r="LCD105" s="17"/>
      <c r="LCE105" s="17"/>
      <c r="LCF105" s="17"/>
      <c r="LCG105" s="17"/>
      <c r="LCH105" s="17"/>
      <c r="LCI105" s="17"/>
      <c r="LCJ105" s="17"/>
      <c r="LCK105" s="17"/>
      <c r="LCL105" s="17"/>
      <c r="LCM105" s="17"/>
      <c r="LCN105" s="17"/>
      <c r="LCO105" s="17"/>
      <c r="LCP105" s="17"/>
      <c r="LCQ105" s="17"/>
      <c r="LCR105" s="17"/>
      <c r="LCS105" s="17"/>
      <c r="LCT105" s="17"/>
      <c r="LCU105" s="17"/>
      <c r="LCV105" s="17"/>
      <c r="LCW105" s="17"/>
      <c r="LCX105" s="17"/>
      <c r="LCY105" s="17"/>
      <c r="LCZ105" s="17"/>
      <c r="LDA105" s="17"/>
      <c r="LDB105" s="17"/>
      <c r="LDC105" s="17"/>
      <c r="LDD105" s="17"/>
      <c r="LDE105" s="17"/>
      <c r="LDF105" s="17"/>
      <c r="LDG105" s="17"/>
      <c r="LDH105" s="17"/>
      <c r="LDI105" s="17"/>
      <c r="LDJ105" s="17"/>
      <c r="LDK105" s="17"/>
      <c r="LDL105" s="17"/>
      <c r="LDM105" s="17"/>
      <c r="LDN105" s="17"/>
      <c r="LDO105" s="17"/>
      <c r="LDP105" s="17"/>
      <c r="LDQ105" s="17"/>
      <c r="LDR105" s="17"/>
      <c r="LDS105" s="17"/>
      <c r="LDT105" s="17"/>
      <c r="LDU105" s="17"/>
      <c r="LDV105" s="17"/>
      <c r="LDW105" s="17"/>
      <c r="LDX105" s="17"/>
      <c r="LDY105" s="17"/>
      <c r="LDZ105" s="17"/>
      <c r="LEA105" s="17"/>
      <c r="LEB105" s="17"/>
      <c r="LEC105" s="17"/>
      <c r="LED105" s="17"/>
      <c r="LEE105" s="17"/>
      <c r="LEF105" s="17"/>
      <c r="LEG105" s="17"/>
      <c r="LEH105" s="17"/>
      <c r="LEI105" s="17"/>
      <c r="LEJ105" s="17"/>
      <c r="LEK105" s="17"/>
      <c r="LEL105" s="17"/>
      <c r="LEM105" s="17"/>
      <c r="LEN105" s="17"/>
      <c r="LEO105" s="17"/>
      <c r="LEP105" s="17"/>
      <c r="LEQ105" s="17"/>
      <c r="LER105" s="17"/>
      <c r="LES105" s="17"/>
      <c r="LET105" s="17"/>
      <c r="LEU105" s="17"/>
      <c r="LEV105" s="17"/>
      <c r="LEW105" s="17"/>
      <c r="LEX105" s="17"/>
      <c r="LEY105" s="17"/>
      <c r="LEZ105" s="17"/>
      <c r="LFA105" s="17"/>
      <c r="LFB105" s="17"/>
      <c r="LFC105" s="17"/>
      <c r="LFD105" s="17"/>
      <c r="LFE105" s="17"/>
      <c r="LFF105" s="17"/>
      <c r="LFG105" s="17"/>
      <c r="LFH105" s="17"/>
      <c r="LFI105" s="17"/>
      <c r="LFJ105" s="17"/>
      <c r="LFK105" s="17"/>
      <c r="LFL105" s="17"/>
      <c r="LFM105" s="17"/>
      <c r="LFN105" s="17"/>
      <c r="LFO105" s="17"/>
      <c r="LFP105" s="17"/>
      <c r="LFQ105" s="17"/>
      <c r="LFR105" s="17"/>
      <c r="LFS105" s="17"/>
      <c r="LFT105" s="17"/>
      <c r="LFU105" s="17"/>
      <c r="LFV105" s="17"/>
      <c r="LFW105" s="17"/>
      <c r="LFX105" s="17"/>
      <c r="LFY105" s="17"/>
      <c r="LFZ105" s="17"/>
      <c r="LGA105" s="17"/>
      <c r="LGB105" s="17"/>
      <c r="LGC105" s="17"/>
      <c r="LGD105" s="17"/>
      <c r="LGE105" s="17"/>
      <c r="LGF105" s="17"/>
      <c r="LGG105" s="17"/>
      <c r="LGH105" s="17"/>
      <c r="LGI105" s="17"/>
      <c r="LGJ105" s="17"/>
      <c r="LGK105" s="17"/>
      <c r="LGL105" s="17"/>
      <c r="LGM105" s="17"/>
      <c r="LGN105" s="17"/>
      <c r="LGO105" s="17"/>
      <c r="LGP105" s="17"/>
      <c r="LGQ105" s="17"/>
      <c r="LGR105" s="17"/>
      <c r="LGS105" s="17"/>
      <c r="LGT105" s="17"/>
      <c r="LGU105" s="17"/>
      <c r="LGV105" s="17"/>
      <c r="LGW105" s="17"/>
      <c r="LGX105" s="17"/>
      <c r="LGY105" s="17"/>
      <c r="LGZ105" s="17"/>
      <c r="LHA105" s="17"/>
      <c r="LHB105" s="17"/>
      <c r="LHC105" s="17"/>
      <c r="LHD105" s="17"/>
      <c r="LHE105" s="17"/>
      <c r="LHF105" s="17"/>
      <c r="LHG105" s="17"/>
      <c r="LHH105" s="17"/>
      <c r="LHI105" s="17"/>
      <c r="LHJ105" s="17"/>
      <c r="LHK105" s="17"/>
      <c r="LHL105" s="17"/>
      <c r="LHM105" s="17"/>
      <c r="LHN105" s="17"/>
      <c r="LHO105" s="17"/>
      <c r="LHP105" s="17"/>
      <c r="LHQ105" s="17"/>
      <c r="LHR105" s="17"/>
      <c r="LHS105" s="17"/>
      <c r="LHT105" s="17"/>
      <c r="LHU105" s="17"/>
      <c r="LHV105" s="17"/>
      <c r="LHW105" s="17"/>
      <c r="LHX105" s="17"/>
      <c r="LHY105" s="17"/>
      <c r="LHZ105" s="17"/>
      <c r="LIA105" s="17"/>
      <c r="LIB105" s="17"/>
      <c r="LIC105" s="17"/>
      <c r="LID105" s="17"/>
      <c r="LIE105" s="17"/>
      <c r="LIF105" s="17"/>
      <c r="LIG105" s="17"/>
      <c r="LIH105" s="17"/>
      <c r="LII105" s="17"/>
      <c r="LIJ105" s="17"/>
      <c r="LIK105" s="17"/>
      <c r="LIL105" s="17"/>
      <c r="LIM105" s="17"/>
      <c r="LIN105" s="17"/>
      <c r="LIO105" s="17"/>
      <c r="LIP105" s="17"/>
      <c r="LIQ105" s="17"/>
      <c r="LIR105" s="17"/>
      <c r="LIS105" s="17"/>
      <c r="LIT105" s="17"/>
      <c r="LIU105" s="17"/>
      <c r="LIV105" s="17"/>
      <c r="LIW105" s="17"/>
      <c r="LIX105" s="17"/>
      <c r="LIY105" s="17"/>
      <c r="LIZ105" s="17"/>
      <c r="LJA105" s="17"/>
      <c r="LJB105" s="17"/>
      <c r="LJC105" s="17"/>
      <c r="LJD105" s="17"/>
      <c r="LJE105" s="17"/>
      <c r="LJF105" s="17"/>
      <c r="LJG105" s="17"/>
      <c r="LJH105" s="17"/>
      <c r="LJI105" s="17"/>
      <c r="LJJ105" s="17"/>
      <c r="LJK105" s="17"/>
      <c r="LJL105" s="17"/>
      <c r="LJM105" s="17"/>
      <c r="LJN105" s="17"/>
      <c r="LJO105" s="17"/>
      <c r="LJP105" s="17"/>
      <c r="LJQ105" s="17"/>
      <c r="LJR105" s="17"/>
      <c r="LJS105" s="17"/>
      <c r="LJT105" s="17"/>
      <c r="LJU105" s="17"/>
      <c r="LJV105" s="17"/>
      <c r="LJW105" s="17"/>
      <c r="LJX105" s="17"/>
      <c r="LJY105" s="17"/>
      <c r="LJZ105" s="17"/>
      <c r="LKA105" s="17"/>
      <c r="LKB105" s="17"/>
      <c r="LKC105" s="17"/>
      <c r="LKD105" s="17"/>
      <c r="LKE105" s="17"/>
      <c r="LKF105" s="17"/>
      <c r="LKG105" s="17"/>
      <c r="LKH105" s="17"/>
      <c r="LKI105" s="17"/>
      <c r="LKJ105" s="17"/>
      <c r="LKK105" s="17"/>
      <c r="LKL105" s="17"/>
      <c r="LKM105" s="17"/>
      <c r="LKN105" s="17"/>
      <c r="LKO105" s="17"/>
      <c r="LKP105" s="17"/>
      <c r="LKQ105" s="17"/>
      <c r="LKR105" s="17"/>
      <c r="LKS105" s="17"/>
      <c r="LKT105" s="17"/>
      <c r="LKU105" s="17"/>
      <c r="LKV105" s="17"/>
      <c r="LKW105" s="17"/>
      <c r="LKX105" s="17"/>
      <c r="LKY105" s="17"/>
      <c r="LKZ105" s="17"/>
      <c r="LLA105" s="17"/>
      <c r="LLB105" s="17"/>
      <c r="LLC105" s="17"/>
      <c r="LLD105" s="17"/>
      <c r="LLE105" s="17"/>
      <c r="LLF105" s="17"/>
      <c r="LLG105" s="17"/>
      <c r="LLH105" s="17"/>
      <c r="LLI105" s="17"/>
      <c r="LLJ105" s="17"/>
      <c r="LLK105" s="17"/>
      <c r="LLL105" s="17"/>
      <c r="LLM105" s="17"/>
      <c r="LLN105" s="17"/>
      <c r="LLO105" s="17"/>
      <c r="LLP105" s="17"/>
      <c r="LLQ105" s="17"/>
      <c r="LLR105" s="17"/>
      <c r="LLS105" s="17"/>
      <c r="LLT105" s="17"/>
      <c r="LLU105" s="17"/>
      <c r="LLV105" s="17"/>
      <c r="LLW105" s="17"/>
      <c r="LLX105" s="17"/>
      <c r="LLY105" s="17"/>
      <c r="LLZ105" s="17"/>
      <c r="LMA105" s="17"/>
      <c r="LMB105" s="17"/>
      <c r="LMC105" s="17"/>
      <c r="LMD105" s="17"/>
      <c r="LME105" s="17"/>
      <c r="LMF105" s="17"/>
      <c r="LMG105" s="17"/>
      <c r="LMH105" s="17"/>
      <c r="LMI105" s="17"/>
      <c r="LMJ105" s="17"/>
      <c r="LMK105" s="17"/>
      <c r="LML105" s="17"/>
      <c r="LMM105" s="17"/>
      <c r="LMN105" s="17"/>
      <c r="LMO105" s="17"/>
      <c r="LMP105" s="17"/>
      <c r="LMQ105" s="17"/>
      <c r="LMR105" s="17"/>
      <c r="LMS105" s="17"/>
      <c r="LMT105" s="17"/>
      <c r="LMU105" s="17"/>
      <c r="LMV105" s="17"/>
      <c r="LMW105" s="17"/>
      <c r="LMX105" s="17"/>
      <c r="LMY105" s="17"/>
      <c r="LMZ105" s="17"/>
      <c r="LNA105" s="17"/>
      <c r="LNB105" s="17"/>
      <c r="LNC105" s="17"/>
      <c r="LND105" s="17"/>
      <c r="LNE105" s="17"/>
      <c r="LNF105" s="17"/>
      <c r="LNG105" s="17"/>
      <c r="LNH105" s="17"/>
      <c r="LNI105" s="17"/>
      <c r="LNJ105" s="17"/>
      <c r="LNK105" s="17"/>
      <c r="LNL105" s="17"/>
      <c r="LNM105" s="17"/>
      <c r="LNN105" s="17"/>
      <c r="LNO105" s="17"/>
      <c r="LNP105" s="17"/>
      <c r="LNQ105" s="17"/>
      <c r="LNR105" s="17"/>
      <c r="LNS105" s="17"/>
      <c r="LNT105" s="17"/>
      <c r="LNU105" s="17"/>
      <c r="LNV105" s="17"/>
      <c r="LNW105" s="17"/>
      <c r="LNX105" s="17"/>
      <c r="LNY105" s="17"/>
      <c r="LNZ105" s="17"/>
      <c r="LOA105" s="17"/>
      <c r="LOB105" s="17"/>
      <c r="LOC105" s="17"/>
      <c r="LOD105" s="17"/>
      <c r="LOE105" s="17"/>
      <c r="LOF105" s="17"/>
      <c r="LOG105" s="17"/>
      <c r="LOH105" s="17"/>
      <c r="LOI105" s="17"/>
      <c r="LOJ105" s="17"/>
      <c r="LOK105" s="17"/>
      <c r="LOL105" s="17"/>
      <c r="LOM105" s="17"/>
      <c r="LON105" s="17"/>
      <c r="LOO105" s="17"/>
      <c r="LOP105" s="17"/>
      <c r="LOQ105" s="17"/>
      <c r="LOR105" s="17"/>
      <c r="LOS105" s="17"/>
      <c r="LOT105" s="17"/>
      <c r="LOU105" s="17"/>
      <c r="LOV105" s="17"/>
      <c r="LOW105" s="17"/>
      <c r="LOX105" s="17"/>
      <c r="LOY105" s="17"/>
      <c r="LOZ105" s="17"/>
      <c r="LPA105" s="17"/>
      <c r="LPB105" s="17"/>
      <c r="LPC105" s="17"/>
      <c r="LPD105" s="17"/>
      <c r="LPE105" s="17"/>
      <c r="LPF105" s="17"/>
      <c r="LPG105" s="17"/>
      <c r="LPH105" s="17"/>
      <c r="LPI105" s="17"/>
      <c r="LPJ105" s="17"/>
      <c r="LPK105" s="17"/>
      <c r="LPL105" s="17"/>
      <c r="LPM105" s="17"/>
      <c r="LPN105" s="17"/>
      <c r="LPO105" s="17"/>
      <c r="LPP105" s="17"/>
      <c r="LPQ105" s="17"/>
      <c r="LPR105" s="17"/>
      <c r="LPS105" s="17"/>
      <c r="LPT105" s="17"/>
      <c r="LPU105" s="17"/>
      <c r="LPV105" s="17"/>
      <c r="LPW105" s="17"/>
      <c r="LPX105" s="17"/>
      <c r="LPY105" s="17"/>
      <c r="LPZ105" s="17"/>
      <c r="LQA105" s="17"/>
      <c r="LQB105" s="17"/>
      <c r="LQC105" s="17"/>
      <c r="LQD105" s="17"/>
      <c r="LQE105" s="17"/>
      <c r="LQF105" s="17"/>
      <c r="LQG105" s="17"/>
      <c r="LQH105" s="17"/>
      <c r="LQI105" s="17"/>
      <c r="LQJ105" s="17"/>
      <c r="LQK105" s="17"/>
      <c r="LQL105" s="17"/>
      <c r="LQM105" s="17"/>
      <c r="LQN105" s="17"/>
      <c r="LQO105" s="17"/>
      <c r="LQP105" s="17"/>
      <c r="LQQ105" s="17"/>
      <c r="LQR105" s="17"/>
      <c r="LQS105" s="17"/>
      <c r="LQT105" s="17"/>
      <c r="LQU105" s="17"/>
      <c r="LQV105" s="17"/>
      <c r="LQW105" s="17"/>
      <c r="LQX105" s="17"/>
      <c r="LQY105" s="17"/>
      <c r="LQZ105" s="17"/>
      <c r="LRA105" s="17"/>
      <c r="LRB105" s="17"/>
      <c r="LRC105" s="17"/>
      <c r="LRD105" s="17"/>
      <c r="LRE105" s="17"/>
      <c r="LRF105" s="17"/>
      <c r="LRG105" s="17"/>
      <c r="LRH105" s="17"/>
      <c r="LRI105" s="17"/>
      <c r="LRJ105" s="17"/>
      <c r="LRK105" s="17"/>
      <c r="LRL105" s="17"/>
      <c r="LRM105" s="17"/>
      <c r="LRN105" s="17"/>
      <c r="LRO105" s="17"/>
      <c r="LRP105" s="17"/>
      <c r="LRQ105" s="17"/>
      <c r="LRR105" s="17"/>
      <c r="LRS105" s="17"/>
      <c r="LRT105" s="17"/>
      <c r="LRU105" s="17"/>
      <c r="LRV105" s="17"/>
      <c r="LRW105" s="17"/>
      <c r="LRX105" s="17"/>
      <c r="LRY105" s="17"/>
      <c r="LRZ105" s="17"/>
      <c r="LSA105" s="17"/>
      <c r="LSB105" s="17"/>
      <c r="LSC105" s="17"/>
      <c r="LSD105" s="17"/>
      <c r="LSE105" s="17"/>
      <c r="LSF105" s="17"/>
      <c r="LSG105" s="17"/>
      <c r="LSH105" s="17"/>
      <c r="LSI105" s="17"/>
      <c r="LSJ105" s="17"/>
      <c r="LSK105" s="17"/>
      <c r="LSL105" s="17"/>
      <c r="LSM105" s="17"/>
      <c r="LSN105" s="17"/>
      <c r="LSO105" s="17"/>
      <c r="LSP105" s="17"/>
      <c r="LSQ105" s="17"/>
      <c r="LSR105" s="17"/>
      <c r="LSS105" s="17"/>
      <c r="LST105" s="17"/>
      <c r="LSU105" s="17"/>
      <c r="LSV105" s="17"/>
      <c r="LSW105" s="17"/>
      <c r="LSX105" s="17"/>
      <c r="LSY105" s="17"/>
      <c r="LSZ105" s="17"/>
      <c r="LTA105" s="17"/>
      <c r="LTB105" s="17"/>
      <c r="LTC105" s="17"/>
      <c r="LTD105" s="17"/>
      <c r="LTE105" s="17"/>
      <c r="LTF105" s="17"/>
      <c r="LTG105" s="17"/>
      <c r="LTH105" s="17"/>
      <c r="LTI105" s="17"/>
      <c r="LTJ105" s="17"/>
      <c r="LTK105" s="17"/>
      <c r="LTL105" s="17"/>
      <c r="LTM105" s="17"/>
      <c r="LTN105" s="17"/>
      <c r="LTO105" s="17"/>
      <c r="LTP105" s="17"/>
      <c r="LTQ105" s="17"/>
      <c r="LTR105" s="17"/>
      <c r="LTS105" s="17"/>
      <c r="LTT105" s="17"/>
      <c r="LTU105" s="17"/>
      <c r="LTV105" s="17"/>
      <c r="LTW105" s="17"/>
      <c r="LTX105" s="17"/>
      <c r="LTY105" s="17"/>
      <c r="LTZ105" s="17"/>
      <c r="LUA105" s="17"/>
      <c r="LUB105" s="17"/>
      <c r="LUC105" s="17"/>
      <c r="LUD105" s="17"/>
      <c r="LUE105" s="17"/>
      <c r="LUF105" s="17"/>
      <c r="LUG105" s="17"/>
      <c r="LUH105" s="17"/>
      <c r="LUI105" s="17"/>
      <c r="LUJ105" s="17"/>
      <c r="LUK105" s="17"/>
      <c r="LUL105" s="17"/>
      <c r="LUM105" s="17"/>
      <c r="LUN105" s="17"/>
      <c r="LUO105" s="17"/>
      <c r="LUP105" s="17"/>
      <c r="LUQ105" s="17"/>
      <c r="LUR105" s="17"/>
      <c r="LUS105" s="17"/>
      <c r="LUT105" s="17"/>
      <c r="LUU105" s="17"/>
      <c r="LUV105" s="17"/>
      <c r="LUW105" s="17"/>
      <c r="LUX105" s="17"/>
      <c r="LUY105" s="17"/>
      <c r="LUZ105" s="17"/>
      <c r="LVA105" s="17"/>
      <c r="LVB105" s="17"/>
      <c r="LVC105" s="17"/>
      <c r="LVD105" s="17"/>
      <c r="LVE105" s="17"/>
      <c r="LVF105" s="17"/>
      <c r="LVG105" s="17"/>
      <c r="LVH105" s="17"/>
      <c r="LVI105" s="17"/>
      <c r="LVJ105" s="17"/>
      <c r="LVK105" s="17"/>
      <c r="LVL105" s="17"/>
      <c r="LVM105" s="17"/>
      <c r="LVN105" s="17"/>
      <c r="LVO105" s="17"/>
      <c r="LVP105" s="17"/>
      <c r="LVQ105" s="17"/>
      <c r="LVR105" s="17"/>
      <c r="LVS105" s="17"/>
      <c r="LVT105" s="17"/>
      <c r="LVU105" s="17"/>
      <c r="LVV105" s="17"/>
      <c r="LVW105" s="17"/>
      <c r="LVX105" s="17"/>
      <c r="LVY105" s="17"/>
      <c r="LVZ105" s="17"/>
      <c r="LWA105" s="17"/>
      <c r="LWB105" s="17"/>
      <c r="LWC105" s="17"/>
      <c r="LWD105" s="17"/>
      <c r="LWE105" s="17"/>
      <c r="LWF105" s="17"/>
      <c r="LWG105" s="17"/>
      <c r="LWH105" s="17"/>
      <c r="LWI105" s="17"/>
      <c r="LWJ105" s="17"/>
      <c r="LWK105" s="17"/>
      <c r="LWL105" s="17"/>
      <c r="LWM105" s="17"/>
      <c r="LWN105" s="17"/>
      <c r="LWO105" s="17"/>
      <c r="LWP105" s="17"/>
      <c r="LWQ105" s="17"/>
      <c r="LWR105" s="17"/>
      <c r="LWS105" s="17"/>
      <c r="LWT105" s="17"/>
      <c r="LWU105" s="17"/>
      <c r="LWV105" s="17"/>
      <c r="LWW105" s="17"/>
      <c r="LWX105" s="17"/>
      <c r="LWY105" s="17"/>
      <c r="LWZ105" s="17"/>
      <c r="LXA105" s="17"/>
      <c r="LXB105" s="17"/>
      <c r="LXC105" s="17"/>
      <c r="LXD105" s="17"/>
      <c r="LXE105" s="17"/>
      <c r="LXF105" s="17"/>
      <c r="LXG105" s="17"/>
      <c r="LXH105" s="17"/>
      <c r="LXI105" s="17"/>
      <c r="LXJ105" s="17"/>
      <c r="LXK105" s="17"/>
      <c r="LXL105" s="17"/>
      <c r="LXM105" s="17"/>
      <c r="LXN105" s="17"/>
      <c r="LXO105" s="17"/>
      <c r="LXP105" s="17"/>
      <c r="LXQ105" s="17"/>
      <c r="LXR105" s="17"/>
      <c r="LXS105" s="17"/>
      <c r="LXT105" s="17"/>
      <c r="LXU105" s="17"/>
      <c r="LXV105" s="17"/>
      <c r="LXW105" s="17"/>
      <c r="LXX105" s="17"/>
      <c r="LXY105" s="17"/>
      <c r="LXZ105" s="17"/>
      <c r="LYA105" s="17"/>
      <c r="LYB105" s="17"/>
      <c r="LYC105" s="17"/>
      <c r="LYD105" s="17"/>
      <c r="LYE105" s="17"/>
      <c r="LYF105" s="17"/>
      <c r="LYG105" s="17"/>
      <c r="LYH105" s="17"/>
      <c r="LYI105" s="17"/>
      <c r="LYJ105" s="17"/>
      <c r="LYK105" s="17"/>
      <c r="LYL105" s="17"/>
      <c r="LYM105" s="17"/>
      <c r="LYN105" s="17"/>
      <c r="LYO105" s="17"/>
      <c r="LYP105" s="17"/>
      <c r="LYQ105" s="17"/>
      <c r="LYR105" s="17"/>
      <c r="LYS105" s="17"/>
      <c r="LYT105" s="17"/>
      <c r="LYU105" s="17"/>
      <c r="LYV105" s="17"/>
      <c r="LYW105" s="17"/>
      <c r="LYX105" s="17"/>
      <c r="LYY105" s="17"/>
      <c r="LYZ105" s="17"/>
      <c r="LZA105" s="17"/>
      <c r="LZB105" s="17"/>
      <c r="LZC105" s="17"/>
      <c r="LZD105" s="17"/>
      <c r="LZE105" s="17"/>
      <c r="LZF105" s="17"/>
      <c r="LZG105" s="17"/>
      <c r="LZH105" s="17"/>
      <c r="LZI105" s="17"/>
      <c r="LZJ105" s="17"/>
      <c r="LZK105" s="17"/>
      <c r="LZL105" s="17"/>
      <c r="LZM105" s="17"/>
      <c r="LZN105" s="17"/>
      <c r="LZO105" s="17"/>
      <c r="LZP105" s="17"/>
      <c r="LZQ105" s="17"/>
      <c r="LZR105" s="17"/>
      <c r="LZS105" s="17"/>
      <c r="LZT105" s="17"/>
      <c r="LZU105" s="17"/>
      <c r="LZV105" s="17"/>
      <c r="LZW105" s="17"/>
      <c r="LZX105" s="17"/>
      <c r="LZY105" s="17"/>
      <c r="LZZ105" s="17"/>
      <c r="MAA105" s="17"/>
      <c r="MAB105" s="17"/>
      <c r="MAC105" s="17"/>
      <c r="MAD105" s="17"/>
      <c r="MAE105" s="17"/>
      <c r="MAF105" s="17"/>
      <c r="MAG105" s="17"/>
      <c r="MAH105" s="17"/>
      <c r="MAI105" s="17"/>
      <c r="MAJ105" s="17"/>
      <c r="MAK105" s="17"/>
      <c r="MAL105" s="17"/>
      <c r="MAM105" s="17"/>
      <c r="MAN105" s="17"/>
      <c r="MAO105" s="17"/>
      <c r="MAP105" s="17"/>
      <c r="MAQ105" s="17"/>
      <c r="MAR105" s="17"/>
      <c r="MAS105" s="17"/>
      <c r="MAT105" s="17"/>
      <c r="MAU105" s="17"/>
      <c r="MAV105" s="17"/>
      <c r="MAW105" s="17"/>
      <c r="MAX105" s="17"/>
      <c r="MAY105" s="17"/>
      <c r="MAZ105" s="17"/>
      <c r="MBA105" s="17"/>
      <c r="MBB105" s="17"/>
      <c r="MBC105" s="17"/>
      <c r="MBD105" s="17"/>
      <c r="MBE105" s="17"/>
      <c r="MBF105" s="17"/>
      <c r="MBG105" s="17"/>
      <c r="MBH105" s="17"/>
      <c r="MBI105" s="17"/>
      <c r="MBJ105" s="17"/>
      <c r="MBK105" s="17"/>
      <c r="MBL105" s="17"/>
      <c r="MBM105" s="17"/>
      <c r="MBN105" s="17"/>
      <c r="MBO105" s="17"/>
      <c r="MBP105" s="17"/>
      <c r="MBQ105" s="17"/>
      <c r="MBR105" s="17"/>
      <c r="MBS105" s="17"/>
      <c r="MBT105" s="17"/>
      <c r="MBU105" s="17"/>
      <c r="MBV105" s="17"/>
      <c r="MBW105" s="17"/>
      <c r="MBX105" s="17"/>
      <c r="MBY105" s="17"/>
      <c r="MBZ105" s="17"/>
      <c r="MCA105" s="17"/>
      <c r="MCB105" s="17"/>
      <c r="MCC105" s="17"/>
      <c r="MCD105" s="17"/>
      <c r="MCE105" s="17"/>
      <c r="MCF105" s="17"/>
      <c r="MCG105" s="17"/>
      <c r="MCH105" s="17"/>
      <c r="MCI105" s="17"/>
      <c r="MCJ105" s="17"/>
      <c r="MCK105" s="17"/>
      <c r="MCL105" s="17"/>
      <c r="MCM105" s="17"/>
      <c r="MCN105" s="17"/>
      <c r="MCO105" s="17"/>
      <c r="MCP105" s="17"/>
      <c r="MCQ105" s="17"/>
      <c r="MCR105" s="17"/>
      <c r="MCS105" s="17"/>
      <c r="MCT105" s="17"/>
      <c r="MCU105" s="17"/>
      <c r="MCV105" s="17"/>
      <c r="MCW105" s="17"/>
      <c r="MCX105" s="17"/>
      <c r="MCY105" s="17"/>
      <c r="MCZ105" s="17"/>
      <c r="MDA105" s="17"/>
      <c r="MDB105" s="17"/>
      <c r="MDC105" s="17"/>
      <c r="MDD105" s="17"/>
      <c r="MDE105" s="17"/>
      <c r="MDF105" s="17"/>
      <c r="MDG105" s="17"/>
      <c r="MDH105" s="17"/>
      <c r="MDI105" s="17"/>
      <c r="MDJ105" s="17"/>
      <c r="MDK105" s="17"/>
      <c r="MDL105" s="17"/>
      <c r="MDM105" s="17"/>
      <c r="MDN105" s="17"/>
      <c r="MDO105" s="17"/>
      <c r="MDP105" s="17"/>
      <c r="MDQ105" s="17"/>
      <c r="MDR105" s="17"/>
      <c r="MDS105" s="17"/>
      <c r="MDT105" s="17"/>
      <c r="MDU105" s="17"/>
      <c r="MDV105" s="17"/>
      <c r="MDW105" s="17"/>
      <c r="MDX105" s="17"/>
      <c r="MDY105" s="17"/>
      <c r="MDZ105" s="17"/>
      <c r="MEA105" s="17"/>
      <c r="MEB105" s="17"/>
      <c r="MEC105" s="17"/>
      <c r="MED105" s="17"/>
      <c r="MEE105" s="17"/>
      <c r="MEF105" s="17"/>
      <c r="MEG105" s="17"/>
      <c r="MEH105" s="17"/>
      <c r="MEI105" s="17"/>
      <c r="MEJ105" s="17"/>
      <c r="MEK105" s="17"/>
      <c r="MEL105" s="17"/>
      <c r="MEM105" s="17"/>
      <c r="MEN105" s="17"/>
      <c r="MEO105" s="17"/>
      <c r="MEP105" s="17"/>
      <c r="MEQ105" s="17"/>
      <c r="MER105" s="17"/>
      <c r="MES105" s="17"/>
      <c r="MET105" s="17"/>
      <c r="MEU105" s="17"/>
      <c r="MEV105" s="17"/>
      <c r="MEW105" s="17"/>
      <c r="MEX105" s="17"/>
      <c r="MEY105" s="17"/>
      <c r="MEZ105" s="17"/>
      <c r="MFA105" s="17"/>
      <c r="MFB105" s="17"/>
      <c r="MFC105" s="17"/>
      <c r="MFD105" s="17"/>
      <c r="MFE105" s="17"/>
      <c r="MFF105" s="17"/>
      <c r="MFG105" s="17"/>
      <c r="MFH105" s="17"/>
      <c r="MFI105" s="17"/>
      <c r="MFJ105" s="17"/>
      <c r="MFK105" s="17"/>
      <c r="MFL105" s="17"/>
      <c r="MFM105" s="17"/>
      <c r="MFN105" s="17"/>
      <c r="MFO105" s="17"/>
      <c r="MFP105" s="17"/>
      <c r="MFQ105" s="17"/>
      <c r="MFR105" s="17"/>
      <c r="MFS105" s="17"/>
      <c r="MFT105" s="17"/>
      <c r="MFU105" s="17"/>
      <c r="MFV105" s="17"/>
      <c r="MFW105" s="17"/>
      <c r="MFX105" s="17"/>
      <c r="MFY105" s="17"/>
      <c r="MFZ105" s="17"/>
      <c r="MGA105" s="17"/>
      <c r="MGB105" s="17"/>
      <c r="MGC105" s="17"/>
      <c r="MGD105" s="17"/>
      <c r="MGE105" s="17"/>
      <c r="MGF105" s="17"/>
      <c r="MGG105" s="17"/>
      <c r="MGH105" s="17"/>
      <c r="MGI105" s="17"/>
      <c r="MGJ105" s="17"/>
      <c r="MGK105" s="17"/>
      <c r="MGL105" s="17"/>
      <c r="MGM105" s="17"/>
      <c r="MGN105" s="17"/>
      <c r="MGO105" s="17"/>
      <c r="MGP105" s="17"/>
      <c r="MGQ105" s="17"/>
      <c r="MGR105" s="17"/>
      <c r="MGS105" s="17"/>
      <c r="MGT105" s="17"/>
      <c r="MGU105" s="17"/>
      <c r="MGV105" s="17"/>
      <c r="MGW105" s="17"/>
      <c r="MGX105" s="17"/>
      <c r="MGY105" s="17"/>
      <c r="MGZ105" s="17"/>
      <c r="MHA105" s="17"/>
      <c r="MHB105" s="17"/>
      <c r="MHC105" s="17"/>
      <c r="MHD105" s="17"/>
      <c r="MHE105" s="17"/>
      <c r="MHF105" s="17"/>
      <c r="MHG105" s="17"/>
      <c r="MHH105" s="17"/>
      <c r="MHI105" s="17"/>
      <c r="MHJ105" s="17"/>
      <c r="MHK105" s="17"/>
      <c r="MHL105" s="17"/>
      <c r="MHM105" s="17"/>
      <c r="MHN105" s="17"/>
      <c r="MHO105" s="17"/>
      <c r="MHP105" s="17"/>
      <c r="MHQ105" s="17"/>
      <c r="MHR105" s="17"/>
      <c r="MHS105" s="17"/>
      <c r="MHT105" s="17"/>
      <c r="MHU105" s="17"/>
      <c r="MHV105" s="17"/>
      <c r="MHW105" s="17"/>
      <c r="MHX105" s="17"/>
      <c r="MHY105" s="17"/>
      <c r="MHZ105" s="17"/>
      <c r="MIA105" s="17"/>
      <c r="MIB105" s="17"/>
      <c r="MIC105" s="17"/>
      <c r="MID105" s="17"/>
      <c r="MIE105" s="17"/>
      <c r="MIF105" s="17"/>
      <c r="MIG105" s="17"/>
      <c r="MIH105" s="17"/>
      <c r="MII105" s="17"/>
      <c r="MIJ105" s="17"/>
      <c r="MIK105" s="17"/>
      <c r="MIL105" s="17"/>
      <c r="MIM105" s="17"/>
      <c r="MIN105" s="17"/>
      <c r="MIO105" s="17"/>
      <c r="MIP105" s="17"/>
      <c r="MIQ105" s="17"/>
      <c r="MIR105" s="17"/>
      <c r="MIS105" s="17"/>
      <c r="MIT105" s="17"/>
      <c r="MIU105" s="17"/>
      <c r="MIV105" s="17"/>
      <c r="MIW105" s="17"/>
      <c r="MIX105" s="17"/>
      <c r="MIY105" s="17"/>
      <c r="MIZ105" s="17"/>
      <c r="MJA105" s="17"/>
      <c r="MJB105" s="17"/>
      <c r="MJC105" s="17"/>
      <c r="MJD105" s="17"/>
      <c r="MJE105" s="17"/>
      <c r="MJF105" s="17"/>
      <c r="MJG105" s="17"/>
      <c r="MJH105" s="17"/>
      <c r="MJI105" s="17"/>
      <c r="MJJ105" s="17"/>
      <c r="MJK105" s="17"/>
      <c r="MJL105" s="17"/>
      <c r="MJM105" s="17"/>
      <c r="MJN105" s="17"/>
      <c r="MJO105" s="17"/>
      <c r="MJP105" s="17"/>
      <c r="MJQ105" s="17"/>
      <c r="MJR105" s="17"/>
      <c r="MJS105" s="17"/>
      <c r="MJT105" s="17"/>
      <c r="MJU105" s="17"/>
      <c r="MJV105" s="17"/>
      <c r="MJW105" s="17"/>
      <c r="MJX105" s="17"/>
      <c r="MJY105" s="17"/>
      <c r="MJZ105" s="17"/>
      <c r="MKA105" s="17"/>
      <c r="MKB105" s="17"/>
      <c r="MKC105" s="17"/>
      <c r="MKD105" s="17"/>
      <c r="MKE105" s="17"/>
      <c r="MKF105" s="17"/>
      <c r="MKG105" s="17"/>
      <c r="MKH105" s="17"/>
      <c r="MKI105" s="17"/>
      <c r="MKJ105" s="17"/>
      <c r="MKK105" s="17"/>
      <c r="MKL105" s="17"/>
      <c r="MKM105" s="17"/>
      <c r="MKN105" s="17"/>
      <c r="MKO105" s="17"/>
      <c r="MKP105" s="17"/>
      <c r="MKQ105" s="17"/>
      <c r="MKR105" s="17"/>
      <c r="MKS105" s="17"/>
      <c r="MKT105" s="17"/>
      <c r="MKU105" s="17"/>
      <c r="MKV105" s="17"/>
      <c r="MKW105" s="17"/>
      <c r="MKX105" s="17"/>
      <c r="MKY105" s="17"/>
      <c r="MKZ105" s="17"/>
      <c r="MLA105" s="17"/>
      <c r="MLB105" s="17"/>
      <c r="MLC105" s="17"/>
      <c r="MLD105" s="17"/>
      <c r="MLE105" s="17"/>
      <c r="MLF105" s="17"/>
      <c r="MLG105" s="17"/>
      <c r="MLH105" s="17"/>
      <c r="MLI105" s="17"/>
      <c r="MLJ105" s="17"/>
      <c r="MLK105" s="17"/>
      <c r="MLL105" s="17"/>
      <c r="MLM105" s="17"/>
      <c r="MLN105" s="17"/>
      <c r="MLO105" s="17"/>
      <c r="MLP105" s="17"/>
      <c r="MLQ105" s="17"/>
      <c r="MLR105" s="17"/>
      <c r="MLS105" s="17"/>
      <c r="MLT105" s="17"/>
      <c r="MLU105" s="17"/>
      <c r="MLV105" s="17"/>
      <c r="MLW105" s="17"/>
      <c r="MLX105" s="17"/>
      <c r="MLY105" s="17"/>
      <c r="MLZ105" s="17"/>
      <c r="MMA105" s="17"/>
      <c r="MMB105" s="17"/>
      <c r="MMC105" s="17"/>
      <c r="MMD105" s="17"/>
      <c r="MME105" s="17"/>
      <c r="MMF105" s="17"/>
      <c r="MMG105" s="17"/>
      <c r="MMH105" s="17"/>
      <c r="MMI105" s="17"/>
      <c r="MMJ105" s="17"/>
      <c r="MMK105" s="17"/>
      <c r="MML105" s="17"/>
      <c r="MMM105" s="17"/>
      <c r="MMN105" s="17"/>
      <c r="MMO105" s="17"/>
      <c r="MMP105" s="17"/>
      <c r="MMQ105" s="17"/>
      <c r="MMR105" s="17"/>
      <c r="MMS105" s="17"/>
      <c r="MMT105" s="17"/>
      <c r="MMU105" s="17"/>
      <c r="MMV105" s="17"/>
      <c r="MMW105" s="17"/>
      <c r="MMX105" s="17"/>
      <c r="MMY105" s="17"/>
      <c r="MMZ105" s="17"/>
      <c r="MNA105" s="17"/>
      <c r="MNB105" s="17"/>
      <c r="MNC105" s="17"/>
      <c r="MND105" s="17"/>
      <c r="MNE105" s="17"/>
      <c r="MNF105" s="17"/>
      <c r="MNG105" s="17"/>
      <c r="MNH105" s="17"/>
      <c r="MNI105" s="17"/>
      <c r="MNJ105" s="17"/>
      <c r="MNK105" s="17"/>
      <c r="MNL105" s="17"/>
      <c r="MNM105" s="17"/>
      <c r="MNN105" s="17"/>
      <c r="MNO105" s="17"/>
      <c r="MNP105" s="17"/>
      <c r="MNQ105" s="17"/>
      <c r="MNR105" s="17"/>
      <c r="MNS105" s="17"/>
      <c r="MNT105" s="17"/>
      <c r="MNU105" s="17"/>
      <c r="MNV105" s="17"/>
      <c r="MNW105" s="17"/>
      <c r="MNX105" s="17"/>
      <c r="MNY105" s="17"/>
      <c r="MNZ105" s="17"/>
      <c r="MOA105" s="17"/>
      <c r="MOB105" s="17"/>
      <c r="MOC105" s="17"/>
      <c r="MOD105" s="17"/>
      <c r="MOE105" s="17"/>
      <c r="MOF105" s="17"/>
      <c r="MOG105" s="17"/>
      <c r="MOH105" s="17"/>
      <c r="MOI105" s="17"/>
      <c r="MOJ105" s="17"/>
      <c r="MOK105" s="17"/>
      <c r="MOL105" s="17"/>
      <c r="MOM105" s="17"/>
      <c r="MON105" s="17"/>
      <c r="MOO105" s="17"/>
      <c r="MOP105" s="17"/>
      <c r="MOQ105" s="17"/>
      <c r="MOR105" s="17"/>
      <c r="MOS105" s="17"/>
      <c r="MOT105" s="17"/>
      <c r="MOU105" s="17"/>
      <c r="MOV105" s="17"/>
      <c r="MOW105" s="17"/>
      <c r="MOX105" s="17"/>
      <c r="MOY105" s="17"/>
      <c r="MOZ105" s="17"/>
      <c r="MPA105" s="17"/>
      <c r="MPB105" s="17"/>
      <c r="MPC105" s="17"/>
      <c r="MPD105" s="17"/>
      <c r="MPE105" s="17"/>
      <c r="MPF105" s="17"/>
      <c r="MPG105" s="17"/>
      <c r="MPH105" s="17"/>
      <c r="MPI105" s="17"/>
      <c r="MPJ105" s="17"/>
      <c r="MPK105" s="17"/>
      <c r="MPL105" s="17"/>
      <c r="MPM105" s="17"/>
      <c r="MPN105" s="17"/>
      <c r="MPO105" s="17"/>
      <c r="MPP105" s="17"/>
      <c r="MPQ105" s="17"/>
      <c r="MPR105" s="17"/>
      <c r="MPS105" s="17"/>
      <c r="MPT105" s="17"/>
      <c r="MPU105" s="17"/>
      <c r="MPV105" s="17"/>
      <c r="MPW105" s="17"/>
      <c r="MPX105" s="17"/>
      <c r="MPY105" s="17"/>
      <c r="MPZ105" s="17"/>
      <c r="MQA105" s="17"/>
      <c r="MQB105" s="17"/>
      <c r="MQC105" s="17"/>
      <c r="MQD105" s="17"/>
      <c r="MQE105" s="17"/>
      <c r="MQF105" s="17"/>
      <c r="MQG105" s="17"/>
      <c r="MQH105" s="17"/>
      <c r="MQI105" s="17"/>
      <c r="MQJ105" s="17"/>
      <c r="MQK105" s="17"/>
      <c r="MQL105" s="17"/>
      <c r="MQM105" s="17"/>
      <c r="MQN105" s="17"/>
      <c r="MQO105" s="17"/>
      <c r="MQP105" s="17"/>
      <c r="MQQ105" s="17"/>
      <c r="MQR105" s="17"/>
      <c r="MQS105" s="17"/>
      <c r="MQT105" s="17"/>
      <c r="MQU105" s="17"/>
      <c r="MQV105" s="17"/>
      <c r="MQW105" s="17"/>
      <c r="MQX105" s="17"/>
      <c r="MQY105" s="17"/>
      <c r="MQZ105" s="17"/>
      <c r="MRA105" s="17"/>
      <c r="MRB105" s="17"/>
      <c r="MRC105" s="17"/>
      <c r="MRD105" s="17"/>
      <c r="MRE105" s="17"/>
      <c r="MRF105" s="17"/>
      <c r="MRG105" s="17"/>
      <c r="MRH105" s="17"/>
      <c r="MRI105" s="17"/>
      <c r="MRJ105" s="17"/>
      <c r="MRK105" s="17"/>
      <c r="MRL105" s="17"/>
      <c r="MRM105" s="17"/>
      <c r="MRN105" s="17"/>
      <c r="MRO105" s="17"/>
      <c r="MRP105" s="17"/>
      <c r="MRQ105" s="17"/>
      <c r="MRR105" s="17"/>
      <c r="MRS105" s="17"/>
      <c r="MRT105" s="17"/>
      <c r="MRU105" s="17"/>
      <c r="MRV105" s="17"/>
      <c r="MRW105" s="17"/>
      <c r="MRX105" s="17"/>
      <c r="MRY105" s="17"/>
      <c r="MRZ105" s="17"/>
      <c r="MSA105" s="17"/>
      <c r="MSB105" s="17"/>
      <c r="MSC105" s="17"/>
      <c r="MSD105" s="17"/>
      <c r="MSE105" s="17"/>
      <c r="MSF105" s="17"/>
      <c r="MSG105" s="17"/>
      <c r="MSH105" s="17"/>
      <c r="MSI105" s="17"/>
      <c r="MSJ105" s="17"/>
      <c r="MSK105" s="17"/>
      <c r="MSL105" s="17"/>
      <c r="MSM105" s="17"/>
      <c r="MSN105" s="17"/>
      <c r="MSO105" s="17"/>
      <c r="MSP105" s="17"/>
      <c r="MSQ105" s="17"/>
      <c r="MSR105" s="17"/>
      <c r="MSS105" s="17"/>
      <c r="MST105" s="17"/>
      <c r="MSU105" s="17"/>
      <c r="MSV105" s="17"/>
      <c r="MSW105" s="17"/>
      <c r="MSX105" s="17"/>
      <c r="MSY105" s="17"/>
      <c r="MSZ105" s="17"/>
      <c r="MTA105" s="17"/>
      <c r="MTB105" s="17"/>
      <c r="MTC105" s="17"/>
      <c r="MTD105" s="17"/>
      <c r="MTE105" s="17"/>
      <c r="MTF105" s="17"/>
      <c r="MTG105" s="17"/>
      <c r="MTH105" s="17"/>
      <c r="MTI105" s="17"/>
      <c r="MTJ105" s="17"/>
      <c r="MTK105" s="17"/>
      <c r="MTL105" s="17"/>
      <c r="MTM105" s="17"/>
      <c r="MTN105" s="17"/>
      <c r="MTO105" s="17"/>
      <c r="MTP105" s="17"/>
      <c r="MTQ105" s="17"/>
      <c r="MTR105" s="17"/>
      <c r="MTS105" s="17"/>
      <c r="MTT105" s="17"/>
      <c r="MTU105" s="17"/>
      <c r="MTV105" s="17"/>
      <c r="MTW105" s="17"/>
      <c r="MTX105" s="17"/>
      <c r="MTY105" s="17"/>
      <c r="MTZ105" s="17"/>
      <c r="MUA105" s="17"/>
      <c r="MUB105" s="17"/>
      <c r="MUC105" s="17"/>
      <c r="MUD105" s="17"/>
      <c r="MUE105" s="17"/>
      <c r="MUF105" s="17"/>
      <c r="MUG105" s="17"/>
      <c r="MUH105" s="17"/>
      <c r="MUI105" s="17"/>
      <c r="MUJ105" s="17"/>
      <c r="MUK105" s="17"/>
      <c r="MUL105" s="17"/>
      <c r="MUM105" s="17"/>
      <c r="MUN105" s="17"/>
      <c r="MUO105" s="17"/>
      <c r="MUP105" s="17"/>
      <c r="MUQ105" s="17"/>
      <c r="MUR105" s="17"/>
      <c r="MUS105" s="17"/>
      <c r="MUT105" s="17"/>
      <c r="MUU105" s="17"/>
      <c r="MUV105" s="17"/>
      <c r="MUW105" s="17"/>
      <c r="MUX105" s="17"/>
      <c r="MUY105" s="17"/>
      <c r="MUZ105" s="17"/>
      <c r="MVA105" s="17"/>
      <c r="MVB105" s="17"/>
      <c r="MVC105" s="17"/>
      <c r="MVD105" s="17"/>
      <c r="MVE105" s="17"/>
      <c r="MVF105" s="17"/>
      <c r="MVG105" s="17"/>
      <c r="MVH105" s="17"/>
      <c r="MVI105" s="17"/>
      <c r="MVJ105" s="17"/>
      <c r="MVK105" s="17"/>
      <c r="MVL105" s="17"/>
      <c r="MVM105" s="17"/>
      <c r="MVN105" s="17"/>
      <c r="MVO105" s="17"/>
      <c r="MVP105" s="17"/>
      <c r="MVQ105" s="17"/>
      <c r="MVR105" s="17"/>
      <c r="MVS105" s="17"/>
      <c r="MVT105" s="17"/>
      <c r="MVU105" s="17"/>
      <c r="MVV105" s="17"/>
      <c r="MVW105" s="17"/>
      <c r="MVX105" s="17"/>
      <c r="MVY105" s="17"/>
      <c r="MVZ105" s="17"/>
      <c r="MWA105" s="17"/>
      <c r="MWB105" s="17"/>
      <c r="MWC105" s="17"/>
      <c r="MWD105" s="17"/>
      <c r="MWE105" s="17"/>
      <c r="MWF105" s="17"/>
      <c r="MWG105" s="17"/>
      <c r="MWH105" s="17"/>
      <c r="MWI105" s="17"/>
      <c r="MWJ105" s="17"/>
      <c r="MWK105" s="17"/>
      <c r="MWL105" s="17"/>
      <c r="MWM105" s="17"/>
      <c r="MWN105" s="17"/>
      <c r="MWO105" s="17"/>
      <c r="MWP105" s="17"/>
      <c r="MWQ105" s="17"/>
      <c r="MWR105" s="17"/>
      <c r="MWS105" s="17"/>
      <c r="MWT105" s="17"/>
      <c r="MWU105" s="17"/>
      <c r="MWV105" s="17"/>
      <c r="MWW105" s="17"/>
      <c r="MWX105" s="17"/>
      <c r="MWY105" s="17"/>
      <c r="MWZ105" s="17"/>
      <c r="MXA105" s="17"/>
      <c r="MXB105" s="17"/>
      <c r="MXC105" s="17"/>
      <c r="MXD105" s="17"/>
      <c r="MXE105" s="17"/>
      <c r="MXF105" s="17"/>
      <c r="MXG105" s="17"/>
      <c r="MXH105" s="17"/>
      <c r="MXI105" s="17"/>
      <c r="MXJ105" s="17"/>
      <c r="MXK105" s="17"/>
      <c r="MXL105" s="17"/>
      <c r="MXM105" s="17"/>
      <c r="MXN105" s="17"/>
      <c r="MXO105" s="17"/>
      <c r="MXP105" s="17"/>
      <c r="MXQ105" s="17"/>
      <c r="MXR105" s="17"/>
      <c r="MXS105" s="17"/>
      <c r="MXT105" s="17"/>
      <c r="MXU105" s="17"/>
      <c r="MXV105" s="17"/>
      <c r="MXW105" s="17"/>
      <c r="MXX105" s="17"/>
      <c r="MXY105" s="17"/>
      <c r="MXZ105" s="17"/>
      <c r="MYA105" s="17"/>
      <c r="MYB105" s="17"/>
      <c r="MYC105" s="17"/>
      <c r="MYD105" s="17"/>
      <c r="MYE105" s="17"/>
      <c r="MYF105" s="17"/>
      <c r="MYG105" s="17"/>
      <c r="MYH105" s="17"/>
      <c r="MYI105" s="17"/>
      <c r="MYJ105" s="17"/>
      <c r="MYK105" s="17"/>
      <c r="MYL105" s="17"/>
      <c r="MYM105" s="17"/>
      <c r="MYN105" s="17"/>
      <c r="MYO105" s="17"/>
      <c r="MYP105" s="17"/>
      <c r="MYQ105" s="17"/>
      <c r="MYR105" s="17"/>
      <c r="MYS105" s="17"/>
      <c r="MYT105" s="17"/>
      <c r="MYU105" s="17"/>
      <c r="MYV105" s="17"/>
      <c r="MYW105" s="17"/>
      <c r="MYX105" s="17"/>
      <c r="MYY105" s="17"/>
      <c r="MYZ105" s="17"/>
      <c r="MZA105" s="17"/>
      <c r="MZB105" s="17"/>
      <c r="MZC105" s="17"/>
      <c r="MZD105" s="17"/>
      <c r="MZE105" s="17"/>
      <c r="MZF105" s="17"/>
      <c r="MZG105" s="17"/>
      <c r="MZH105" s="17"/>
      <c r="MZI105" s="17"/>
      <c r="MZJ105" s="17"/>
      <c r="MZK105" s="17"/>
      <c r="MZL105" s="17"/>
      <c r="MZM105" s="17"/>
      <c r="MZN105" s="17"/>
      <c r="MZO105" s="17"/>
      <c r="MZP105" s="17"/>
      <c r="MZQ105" s="17"/>
      <c r="MZR105" s="17"/>
      <c r="MZS105" s="17"/>
      <c r="MZT105" s="17"/>
      <c r="MZU105" s="17"/>
      <c r="MZV105" s="17"/>
      <c r="MZW105" s="17"/>
      <c r="MZX105" s="17"/>
      <c r="MZY105" s="17"/>
      <c r="MZZ105" s="17"/>
      <c r="NAA105" s="17"/>
      <c r="NAB105" s="17"/>
      <c r="NAC105" s="17"/>
      <c r="NAD105" s="17"/>
      <c r="NAE105" s="17"/>
      <c r="NAF105" s="17"/>
      <c r="NAG105" s="17"/>
      <c r="NAH105" s="17"/>
      <c r="NAI105" s="17"/>
      <c r="NAJ105" s="17"/>
      <c r="NAK105" s="17"/>
      <c r="NAL105" s="17"/>
      <c r="NAM105" s="17"/>
      <c r="NAN105" s="17"/>
      <c r="NAO105" s="17"/>
      <c r="NAP105" s="17"/>
      <c r="NAQ105" s="17"/>
      <c r="NAR105" s="17"/>
      <c r="NAS105" s="17"/>
      <c r="NAT105" s="17"/>
      <c r="NAU105" s="17"/>
      <c r="NAV105" s="17"/>
      <c r="NAW105" s="17"/>
      <c r="NAX105" s="17"/>
      <c r="NAY105" s="17"/>
      <c r="NAZ105" s="17"/>
      <c r="NBA105" s="17"/>
      <c r="NBB105" s="17"/>
      <c r="NBC105" s="17"/>
      <c r="NBD105" s="17"/>
      <c r="NBE105" s="17"/>
      <c r="NBF105" s="17"/>
      <c r="NBG105" s="17"/>
      <c r="NBH105" s="17"/>
      <c r="NBI105" s="17"/>
      <c r="NBJ105" s="17"/>
      <c r="NBK105" s="17"/>
      <c r="NBL105" s="17"/>
      <c r="NBM105" s="17"/>
      <c r="NBN105" s="17"/>
      <c r="NBO105" s="17"/>
      <c r="NBP105" s="17"/>
      <c r="NBQ105" s="17"/>
      <c r="NBR105" s="17"/>
      <c r="NBS105" s="17"/>
      <c r="NBT105" s="17"/>
      <c r="NBU105" s="17"/>
      <c r="NBV105" s="17"/>
      <c r="NBW105" s="17"/>
      <c r="NBX105" s="17"/>
      <c r="NBY105" s="17"/>
      <c r="NBZ105" s="17"/>
      <c r="NCA105" s="17"/>
      <c r="NCB105" s="17"/>
      <c r="NCC105" s="17"/>
      <c r="NCD105" s="17"/>
      <c r="NCE105" s="17"/>
      <c r="NCF105" s="17"/>
      <c r="NCG105" s="17"/>
      <c r="NCH105" s="17"/>
      <c r="NCI105" s="17"/>
      <c r="NCJ105" s="17"/>
      <c r="NCK105" s="17"/>
      <c r="NCL105" s="17"/>
      <c r="NCM105" s="17"/>
      <c r="NCN105" s="17"/>
      <c r="NCO105" s="17"/>
      <c r="NCP105" s="17"/>
      <c r="NCQ105" s="17"/>
      <c r="NCR105" s="17"/>
      <c r="NCS105" s="17"/>
      <c r="NCT105" s="17"/>
      <c r="NCU105" s="17"/>
      <c r="NCV105" s="17"/>
      <c r="NCW105" s="17"/>
      <c r="NCX105" s="17"/>
      <c r="NCY105" s="17"/>
      <c r="NCZ105" s="17"/>
      <c r="NDA105" s="17"/>
      <c r="NDB105" s="17"/>
      <c r="NDC105" s="17"/>
      <c r="NDD105" s="17"/>
      <c r="NDE105" s="17"/>
      <c r="NDF105" s="17"/>
      <c r="NDG105" s="17"/>
      <c r="NDH105" s="17"/>
      <c r="NDI105" s="17"/>
      <c r="NDJ105" s="17"/>
      <c r="NDK105" s="17"/>
      <c r="NDL105" s="17"/>
      <c r="NDM105" s="17"/>
      <c r="NDN105" s="17"/>
      <c r="NDO105" s="17"/>
      <c r="NDP105" s="17"/>
      <c r="NDQ105" s="17"/>
      <c r="NDR105" s="17"/>
      <c r="NDS105" s="17"/>
      <c r="NDT105" s="17"/>
      <c r="NDU105" s="17"/>
      <c r="NDV105" s="17"/>
      <c r="NDW105" s="17"/>
      <c r="NDX105" s="17"/>
      <c r="NDY105" s="17"/>
      <c r="NDZ105" s="17"/>
      <c r="NEA105" s="17"/>
      <c r="NEB105" s="17"/>
      <c r="NEC105" s="17"/>
      <c r="NED105" s="17"/>
      <c r="NEE105" s="17"/>
      <c r="NEF105" s="17"/>
      <c r="NEG105" s="17"/>
      <c r="NEH105" s="17"/>
      <c r="NEI105" s="17"/>
      <c r="NEJ105" s="17"/>
      <c r="NEK105" s="17"/>
      <c r="NEL105" s="17"/>
      <c r="NEM105" s="17"/>
      <c r="NEN105" s="17"/>
      <c r="NEO105" s="17"/>
      <c r="NEP105" s="17"/>
      <c r="NEQ105" s="17"/>
      <c r="NER105" s="17"/>
      <c r="NES105" s="17"/>
      <c r="NET105" s="17"/>
      <c r="NEU105" s="17"/>
      <c r="NEV105" s="17"/>
      <c r="NEW105" s="17"/>
      <c r="NEX105" s="17"/>
      <c r="NEY105" s="17"/>
      <c r="NEZ105" s="17"/>
      <c r="NFA105" s="17"/>
      <c r="NFB105" s="17"/>
      <c r="NFC105" s="17"/>
      <c r="NFD105" s="17"/>
      <c r="NFE105" s="17"/>
      <c r="NFF105" s="17"/>
      <c r="NFG105" s="17"/>
      <c r="NFH105" s="17"/>
      <c r="NFI105" s="17"/>
      <c r="NFJ105" s="17"/>
      <c r="NFK105" s="17"/>
      <c r="NFL105" s="17"/>
      <c r="NFM105" s="17"/>
      <c r="NFN105" s="17"/>
      <c r="NFO105" s="17"/>
      <c r="NFP105" s="17"/>
      <c r="NFQ105" s="17"/>
      <c r="NFR105" s="17"/>
      <c r="NFS105" s="17"/>
      <c r="NFT105" s="17"/>
      <c r="NFU105" s="17"/>
      <c r="NFV105" s="17"/>
      <c r="NFW105" s="17"/>
      <c r="NFX105" s="17"/>
      <c r="NFY105" s="17"/>
      <c r="NFZ105" s="17"/>
      <c r="NGA105" s="17"/>
      <c r="NGB105" s="17"/>
      <c r="NGC105" s="17"/>
      <c r="NGD105" s="17"/>
      <c r="NGE105" s="17"/>
      <c r="NGF105" s="17"/>
      <c r="NGG105" s="17"/>
      <c r="NGH105" s="17"/>
      <c r="NGI105" s="17"/>
      <c r="NGJ105" s="17"/>
      <c r="NGK105" s="17"/>
      <c r="NGL105" s="17"/>
      <c r="NGM105" s="17"/>
      <c r="NGN105" s="17"/>
      <c r="NGO105" s="17"/>
      <c r="NGP105" s="17"/>
      <c r="NGQ105" s="17"/>
      <c r="NGR105" s="17"/>
      <c r="NGS105" s="17"/>
      <c r="NGT105" s="17"/>
      <c r="NGU105" s="17"/>
      <c r="NGV105" s="17"/>
      <c r="NGW105" s="17"/>
      <c r="NGX105" s="17"/>
      <c r="NGY105" s="17"/>
      <c r="NGZ105" s="17"/>
      <c r="NHA105" s="17"/>
      <c r="NHB105" s="17"/>
      <c r="NHC105" s="17"/>
      <c r="NHD105" s="17"/>
      <c r="NHE105" s="17"/>
      <c r="NHF105" s="17"/>
      <c r="NHG105" s="17"/>
      <c r="NHH105" s="17"/>
      <c r="NHI105" s="17"/>
      <c r="NHJ105" s="17"/>
      <c r="NHK105" s="17"/>
      <c r="NHL105" s="17"/>
      <c r="NHM105" s="17"/>
      <c r="NHN105" s="17"/>
      <c r="NHO105" s="17"/>
      <c r="NHP105" s="17"/>
      <c r="NHQ105" s="17"/>
      <c r="NHR105" s="17"/>
      <c r="NHS105" s="17"/>
      <c r="NHT105" s="17"/>
      <c r="NHU105" s="17"/>
      <c r="NHV105" s="17"/>
      <c r="NHW105" s="17"/>
      <c r="NHX105" s="17"/>
      <c r="NHY105" s="17"/>
      <c r="NHZ105" s="17"/>
      <c r="NIA105" s="17"/>
      <c r="NIB105" s="17"/>
      <c r="NIC105" s="17"/>
      <c r="NID105" s="17"/>
      <c r="NIE105" s="17"/>
      <c r="NIF105" s="17"/>
      <c r="NIG105" s="17"/>
      <c r="NIH105" s="17"/>
      <c r="NII105" s="17"/>
      <c r="NIJ105" s="17"/>
      <c r="NIK105" s="17"/>
      <c r="NIL105" s="17"/>
      <c r="NIM105" s="17"/>
      <c r="NIN105" s="17"/>
      <c r="NIO105" s="17"/>
      <c r="NIP105" s="17"/>
      <c r="NIQ105" s="17"/>
      <c r="NIR105" s="17"/>
      <c r="NIS105" s="17"/>
      <c r="NIT105" s="17"/>
      <c r="NIU105" s="17"/>
      <c r="NIV105" s="17"/>
      <c r="NIW105" s="17"/>
      <c r="NIX105" s="17"/>
      <c r="NIY105" s="17"/>
      <c r="NIZ105" s="17"/>
      <c r="NJA105" s="17"/>
      <c r="NJB105" s="17"/>
      <c r="NJC105" s="17"/>
      <c r="NJD105" s="17"/>
      <c r="NJE105" s="17"/>
      <c r="NJF105" s="17"/>
      <c r="NJG105" s="17"/>
      <c r="NJH105" s="17"/>
      <c r="NJI105" s="17"/>
      <c r="NJJ105" s="17"/>
      <c r="NJK105" s="17"/>
      <c r="NJL105" s="17"/>
      <c r="NJM105" s="17"/>
      <c r="NJN105" s="17"/>
      <c r="NJO105" s="17"/>
      <c r="NJP105" s="17"/>
      <c r="NJQ105" s="17"/>
      <c r="NJR105" s="17"/>
      <c r="NJS105" s="17"/>
      <c r="NJT105" s="17"/>
      <c r="NJU105" s="17"/>
      <c r="NJV105" s="17"/>
      <c r="NJW105" s="17"/>
      <c r="NJX105" s="17"/>
      <c r="NJY105" s="17"/>
      <c r="NJZ105" s="17"/>
      <c r="NKA105" s="17"/>
      <c r="NKB105" s="17"/>
      <c r="NKC105" s="17"/>
      <c r="NKD105" s="17"/>
      <c r="NKE105" s="17"/>
      <c r="NKF105" s="17"/>
      <c r="NKG105" s="17"/>
      <c r="NKH105" s="17"/>
      <c r="NKI105" s="17"/>
      <c r="NKJ105" s="17"/>
      <c r="NKK105" s="17"/>
      <c r="NKL105" s="17"/>
      <c r="NKM105" s="17"/>
      <c r="NKN105" s="17"/>
      <c r="NKO105" s="17"/>
      <c r="NKP105" s="17"/>
      <c r="NKQ105" s="17"/>
      <c r="NKR105" s="17"/>
      <c r="NKS105" s="17"/>
      <c r="NKT105" s="17"/>
      <c r="NKU105" s="17"/>
      <c r="NKV105" s="17"/>
      <c r="NKW105" s="17"/>
      <c r="NKX105" s="17"/>
      <c r="NKY105" s="17"/>
      <c r="NKZ105" s="17"/>
      <c r="NLA105" s="17"/>
      <c r="NLB105" s="17"/>
      <c r="NLC105" s="17"/>
      <c r="NLD105" s="17"/>
      <c r="NLE105" s="17"/>
      <c r="NLF105" s="17"/>
      <c r="NLG105" s="17"/>
      <c r="NLH105" s="17"/>
      <c r="NLI105" s="17"/>
      <c r="NLJ105" s="17"/>
      <c r="NLK105" s="17"/>
      <c r="NLL105" s="17"/>
      <c r="NLM105" s="17"/>
      <c r="NLN105" s="17"/>
      <c r="NLO105" s="17"/>
      <c r="NLP105" s="17"/>
      <c r="NLQ105" s="17"/>
      <c r="NLR105" s="17"/>
      <c r="NLS105" s="17"/>
      <c r="NLT105" s="17"/>
      <c r="NLU105" s="17"/>
      <c r="NLV105" s="17"/>
      <c r="NLW105" s="17"/>
      <c r="NLX105" s="17"/>
      <c r="NLY105" s="17"/>
      <c r="NLZ105" s="17"/>
      <c r="NMA105" s="17"/>
      <c r="NMB105" s="17"/>
      <c r="NMC105" s="17"/>
      <c r="NMD105" s="17"/>
      <c r="NME105" s="17"/>
      <c r="NMF105" s="17"/>
      <c r="NMG105" s="17"/>
      <c r="NMH105" s="17"/>
      <c r="NMI105" s="17"/>
      <c r="NMJ105" s="17"/>
      <c r="NMK105" s="17"/>
      <c r="NML105" s="17"/>
      <c r="NMM105" s="17"/>
      <c r="NMN105" s="17"/>
      <c r="NMO105" s="17"/>
      <c r="NMP105" s="17"/>
      <c r="NMQ105" s="17"/>
      <c r="NMR105" s="17"/>
      <c r="NMS105" s="17"/>
      <c r="NMT105" s="17"/>
      <c r="NMU105" s="17"/>
      <c r="NMV105" s="17"/>
      <c r="NMW105" s="17"/>
      <c r="NMX105" s="17"/>
      <c r="NMY105" s="17"/>
      <c r="NMZ105" s="17"/>
      <c r="NNA105" s="17"/>
      <c r="NNB105" s="17"/>
      <c r="NNC105" s="17"/>
      <c r="NND105" s="17"/>
      <c r="NNE105" s="17"/>
      <c r="NNF105" s="17"/>
      <c r="NNG105" s="17"/>
      <c r="NNH105" s="17"/>
      <c r="NNI105" s="17"/>
      <c r="NNJ105" s="17"/>
      <c r="NNK105" s="17"/>
      <c r="NNL105" s="17"/>
      <c r="NNM105" s="17"/>
      <c r="NNN105" s="17"/>
      <c r="NNO105" s="17"/>
      <c r="NNP105" s="17"/>
      <c r="NNQ105" s="17"/>
      <c r="NNR105" s="17"/>
      <c r="NNS105" s="17"/>
      <c r="NNT105" s="17"/>
      <c r="NNU105" s="17"/>
      <c r="NNV105" s="17"/>
      <c r="NNW105" s="17"/>
      <c r="NNX105" s="17"/>
      <c r="NNY105" s="17"/>
      <c r="NNZ105" s="17"/>
      <c r="NOA105" s="17"/>
      <c r="NOB105" s="17"/>
      <c r="NOC105" s="17"/>
      <c r="NOD105" s="17"/>
      <c r="NOE105" s="17"/>
      <c r="NOF105" s="17"/>
      <c r="NOG105" s="17"/>
      <c r="NOH105" s="17"/>
      <c r="NOI105" s="17"/>
      <c r="NOJ105" s="17"/>
      <c r="NOK105" s="17"/>
      <c r="NOL105" s="17"/>
      <c r="NOM105" s="17"/>
      <c r="NON105" s="17"/>
      <c r="NOO105" s="17"/>
      <c r="NOP105" s="17"/>
      <c r="NOQ105" s="17"/>
      <c r="NOR105" s="17"/>
      <c r="NOS105" s="17"/>
      <c r="NOT105" s="17"/>
      <c r="NOU105" s="17"/>
      <c r="NOV105" s="17"/>
      <c r="NOW105" s="17"/>
      <c r="NOX105" s="17"/>
      <c r="NOY105" s="17"/>
      <c r="NOZ105" s="17"/>
      <c r="NPA105" s="17"/>
      <c r="NPB105" s="17"/>
      <c r="NPC105" s="17"/>
      <c r="NPD105" s="17"/>
      <c r="NPE105" s="17"/>
      <c r="NPF105" s="17"/>
      <c r="NPG105" s="17"/>
      <c r="NPH105" s="17"/>
      <c r="NPI105" s="17"/>
      <c r="NPJ105" s="17"/>
      <c r="NPK105" s="17"/>
      <c r="NPL105" s="17"/>
      <c r="NPM105" s="17"/>
      <c r="NPN105" s="17"/>
      <c r="NPO105" s="17"/>
      <c r="NPP105" s="17"/>
      <c r="NPQ105" s="17"/>
      <c r="NPR105" s="17"/>
      <c r="NPS105" s="17"/>
      <c r="NPT105" s="17"/>
      <c r="NPU105" s="17"/>
      <c r="NPV105" s="17"/>
      <c r="NPW105" s="17"/>
      <c r="NPX105" s="17"/>
      <c r="NPY105" s="17"/>
      <c r="NPZ105" s="17"/>
      <c r="NQA105" s="17"/>
      <c r="NQB105" s="17"/>
      <c r="NQC105" s="17"/>
      <c r="NQD105" s="17"/>
      <c r="NQE105" s="17"/>
      <c r="NQF105" s="17"/>
      <c r="NQG105" s="17"/>
      <c r="NQH105" s="17"/>
      <c r="NQI105" s="17"/>
      <c r="NQJ105" s="17"/>
      <c r="NQK105" s="17"/>
      <c r="NQL105" s="17"/>
      <c r="NQM105" s="17"/>
      <c r="NQN105" s="17"/>
      <c r="NQO105" s="17"/>
      <c r="NQP105" s="17"/>
      <c r="NQQ105" s="17"/>
      <c r="NQR105" s="17"/>
      <c r="NQS105" s="17"/>
      <c r="NQT105" s="17"/>
      <c r="NQU105" s="17"/>
      <c r="NQV105" s="17"/>
      <c r="NQW105" s="17"/>
      <c r="NQX105" s="17"/>
      <c r="NQY105" s="17"/>
      <c r="NQZ105" s="17"/>
      <c r="NRA105" s="17"/>
      <c r="NRB105" s="17"/>
      <c r="NRC105" s="17"/>
      <c r="NRD105" s="17"/>
      <c r="NRE105" s="17"/>
      <c r="NRF105" s="17"/>
      <c r="NRG105" s="17"/>
      <c r="NRH105" s="17"/>
      <c r="NRI105" s="17"/>
      <c r="NRJ105" s="17"/>
      <c r="NRK105" s="17"/>
      <c r="NRL105" s="17"/>
      <c r="NRM105" s="17"/>
      <c r="NRN105" s="17"/>
      <c r="NRO105" s="17"/>
      <c r="NRP105" s="17"/>
      <c r="NRQ105" s="17"/>
      <c r="NRR105" s="17"/>
      <c r="NRS105" s="17"/>
      <c r="NRT105" s="17"/>
      <c r="NRU105" s="17"/>
      <c r="NRV105" s="17"/>
      <c r="NRW105" s="17"/>
      <c r="NRX105" s="17"/>
      <c r="NRY105" s="17"/>
      <c r="NRZ105" s="17"/>
      <c r="NSA105" s="17"/>
      <c r="NSB105" s="17"/>
      <c r="NSC105" s="17"/>
      <c r="NSD105" s="17"/>
      <c r="NSE105" s="17"/>
      <c r="NSF105" s="17"/>
      <c r="NSG105" s="17"/>
      <c r="NSH105" s="17"/>
      <c r="NSI105" s="17"/>
      <c r="NSJ105" s="17"/>
      <c r="NSK105" s="17"/>
      <c r="NSL105" s="17"/>
      <c r="NSM105" s="17"/>
      <c r="NSN105" s="17"/>
      <c r="NSO105" s="17"/>
      <c r="NSP105" s="17"/>
      <c r="NSQ105" s="17"/>
      <c r="NSR105" s="17"/>
      <c r="NSS105" s="17"/>
      <c r="NST105" s="17"/>
      <c r="NSU105" s="17"/>
      <c r="NSV105" s="17"/>
      <c r="NSW105" s="17"/>
      <c r="NSX105" s="17"/>
      <c r="NSY105" s="17"/>
      <c r="NSZ105" s="17"/>
      <c r="NTA105" s="17"/>
      <c r="NTB105" s="17"/>
      <c r="NTC105" s="17"/>
      <c r="NTD105" s="17"/>
      <c r="NTE105" s="17"/>
      <c r="NTF105" s="17"/>
      <c r="NTG105" s="17"/>
      <c r="NTH105" s="17"/>
      <c r="NTI105" s="17"/>
      <c r="NTJ105" s="17"/>
      <c r="NTK105" s="17"/>
      <c r="NTL105" s="17"/>
      <c r="NTM105" s="17"/>
      <c r="NTN105" s="17"/>
      <c r="NTO105" s="17"/>
      <c r="NTP105" s="17"/>
      <c r="NTQ105" s="17"/>
      <c r="NTR105" s="17"/>
      <c r="NTS105" s="17"/>
      <c r="NTT105" s="17"/>
      <c r="NTU105" s="17"/>
      <c r="NTV105" s="17"/>
      <c r="NTW105" s="17"/>
      <c r="NTX105" s="17"/>
      <c r="NTY105" s="17"/>
      <c r="NTZ105" s="17"/>
      <c r="NUA105" s="17"/>
      <c r="NUB105" s="17"/>
      <c r="NUC105" s="17"/>
      <c r="NUD105" s="17"/>
      <c r="NUE105" s="17"/>
      <c r="NUF105" s="17"/>
      <c r="NUG105" s="17"/>
      <c r="NUH105" s="17"/>
      <c r="NUI105" s="17"/>
      <c r="NUJ105" s="17"/>
      <c r="NUK105" s="17"/>
      <c r="NUL105" s="17"/>
      <c r="NUM105" s="17"/>
      <c r="NUN105" s="17"/>
      <c r="NUO105" s="17"/>
      <c r="NUP105" s="17"/>
      <c r="NUQ105" s="17"/>
      <c r="NUR105" s="17"/>
      <c r="NUS105" s="17"/>
      <c r="NUT105" s="17"/>
      <c r="NUU105" s="17"/>
      <c r="NUV105" s="17"/>
      <c r="NUW105" s="17"/>
      <c r="NUX105" s="17"/>
      <c r="NUY105" s="17"/>
      <c r="NUZ105" s="17"/>
      <c r="NVA105" s="17"/>
      <c r="NVB105" s="17"/>
      <c r="NVC105" s="17"/>
      <c r="NVD105" s="17"/>
      <c r="NVE105" s="17"/>
      <c r="NVF105" s="17"/>
      <c r="NVG105" s="17"/>
      <c r="NVH105" s="17"/>
      <c r="NVI105" s="17"/>
      <c r="NVJ105" s="17"/>
      <c r="NVK105" s="17"/>
      <c r="NVL105" s="17"/>
      <c r="NVM105" s="17"/>
      <c r="NVN105" s="17"/>
      <c r="NVO105" s="17"/>
      <c r="NVP105" s="17"/>
      <c r="NVQ105" s="17"/>
      <c r="NVR105" s="17"/>
      <c r="NVS105" s="17"/>
      <c r="NVT105" s="17"/>
      <c r="NVU105" s="17"/>
      <c r="NVV105" s="17"/>
      <c r="NVW105" s="17"/>
      <c r="NVX105" s="17"/>
      <c r="NVY105" s="17"/>
      <c r="NVZ105" s="17"/>
      <c r="NWA105" s="17"/>
      <c r="NWB105" s="17"/>
      <c r="NWC105" s="17"/>
      <c r="NWD105" s="17"/>
      <c r="NWE105" s="17"/>
      <c r="NWF105" s="17"/>
      <c r="NWG105" s="17"/>
      <c r="NWH105" s="17"/>
      <c r="NWI105" s="17"/>
      <c r="NWJ105" s="17"/>
      <c r="NWK105" s="17"/>
      <c r="NWL105" s="17"/>
      <c r="NWM105" s="17"/>
      <c r="NWN105" s="17"/>
      <c r="NWO105" s="17"/>
      <c r="NWP105" s="17"/>
      <c r="NWQ105" s="17"/>
      <c r="NWR105" s="17"/>
      <c r="NWS105" s="17"/>
      <c r="NWT105" s="17"/>
      <c r="NWU105" s="17"/>
      <c r="NWV105" s="17"/>
      <c r="NWW105" s="17"/>
      <c r="NWX105" s="17"/>
      <c r="NWY105" s="17"/>
      <c r="NWZ105" s="17"/>
      <c r="NXA105" s="17"/>
      <c r="NXB105" s="17"/>
      <c r="NXC105" s="17"/>
      <c r="NXD105" s="17"/>
      <c r="NXE105" s="17"/>
      <c r="NXF105" s="17"/>
      <c r="NXG105" s="17"/>
      <c r="NXH105" s="17"/>
      <c r="NXI105" s="17"/>
      <c r="NXJ105" s="17"/>
      <c r="NXK105" s="17"/>
      <c r="NXL105" s="17"/>
      <c r="NXM105" s="17"/>
      <c r="NXN105" s="17"/>
      <c r="NXO105" s="17"/>
      <c r="NXP105" s="17"/>
      <c r="NXQ105" s="17"/>
      <c r="NXR105" s="17"/>
      <c r="NXS105" s="17"/>
      <c r="NXT105" s="17"/>
      <c r="NXU105" s="17"/>
      <c r="NXV105" s="17"/>
      <c r="NXW105" s="17"/>
      <c r="NXX105" s="17"/>
      <c r="NXY105" s="17"/>
      <c r="NXZ105" s="17"/>
      <c r="NYA105" s="17"/>
      <c r="NYB105" s="17"/>
      <c r="NYC105" s="17"/>
      <c r="NYD105" s="17"/>
      <c r="NYE105" s="17"/>
      <c r="NYF105" s="17"/>
      <c r="NYG105" s="17"/>
      <c r="NYH105" s="17"/>
      <c r="NYI105" s="17"/>
      <c r="NYJ105" s="17"/>
      <c r="NYK105" s="17"/>
      <c r="NYL105" s="17"/>
      <c r="NYM105" s="17"/>
      <c r="NYN105" s="17"/>
      <c r="NYO105" s="17"/>
      <c r="NYP105" s="17"/>
      <c r="NYQ105" s="17"/>
      <c r="NYR105" s="17"/>
      <c r="NYS105" s="17"/>
      <c r="NYT105" s="17"/>
      <c r="NYU105" s="17"/>
      <c r="NYV105" s="17"/>
      <c r="NYW105" s="17"/>
      <c r="NYX105" s="17"/>
      <c r="NYY105" s="17"/>
      <c r="NYZ105" s="17"/>
      <c r="NZA105" s="17"/>
      <c r="NZB105" s="17"/>
      <c r="NZC105" s="17"/>
      <c r="NZD105" s="17"/>
      <c r="NZE105" s="17"/>
      <c r="NZF105" s="17"/>
      <c r="NZG105" s="17"/>
      <c r="NZH105" s="17"/>
      <c r="NZI105" s="17"/>
      <c r="NZJ105" s="17"/>
      <c r="NZK105" s="17"/>
      <c r="NZL105" s="17"/>
      <c r="NZM105" s="17"/>
      <c r="NZN105" s="17"/>
      <c r="NZO105" s="17"/>
      <c r="NZP105" s="17"/>
      <c r="NZQ105" s="17"/>
      <c r="NZR105" s="17"/>
      <c r="NZS105" s="17"/>
      <c r="NZT105" s="17"/>
      <c r="NZU105" s="17"/>
      <c r="NZV105" s="17"/>
      <c r="NZW105" s="17"/>
      <c r="NZX105" s="17"/>
      <c r="NZY105" s="17"/>
      <c r="NZZ105" s="17"/>
      <c r="OAA105" s="17"/>
      <c r="OAB105" s="17"/>
      <c r="OAC105" s="17"/>
      <c r="OAD105" s="17"/>
      <c r="OAE105" s="17"/>
      <c r="OAF105" s="17"/>
      <c r="OAG105" s="17"/>
      <c r="OAH105" s="17"/>
      <c r="OAI105" s="17"/>
      <c r="OAJ105" s="17"/>
      <c r="OAK105" s="17"/>
      <c r="OAL105" s="17"/>
      <c r="OAM105" s="17"/>
      <c r="OAN105" s="17"/>
      <c r="OAO105" s="17"/>
      <c r="OAP105" s="17"/>
      <c r="OAQ105" s="17"/>
      <c r="OAR105" s="17"/>
      <c r="OAS105" s="17"/>
      <c r="OAT105" s="17"/>
      <c r="OAU105" s="17"/>
      <c r="OAV105" s="17"/>
      <c r="OAW105" s="17"/>
      <c r="OAX105" s="17"/>
      <c r="OAY105" s="17"/>
      <c r="OAZ105" s="17"/>
      <c r="OBA105" s="17"/>
      <c r="OBB105" s="17"/>
      <c r="OBC105" s="17"/>
      <c r="OBD105" s="17"/>
      <c r="OBE105" s="17"/>
      <c r="OBF105" s="17"/>
      <c r="OBG105" s="17"/>
      <c r="OBH105" s="17"/>
      <c r="OBI105" s="17"/>
      <c r="OBJ105" s="17"/>
      <c r="OBK105" s="17"/>
      <c r="OBL105" s="17"/>
      <c r="OBM105" s="17"/>
      <c r="OBN105" s="17"/>
      <c r="OBO105" s="17"/>
      <c r="OBP105" s="17"/>
      <c r="OBQ105" s="17"/>
      <c r="OBR105" s="17"/>
      <c r="OBS105" s="17"/>
      <c r="OBT105" s="17"/>
      <c r="OBU105" s="17"/>
      <c r="OBV105" s="17"/>
      <c r="OBW105" s="17"/>
      <c r="OBX105" s="17"/>
      <c r="OBY105" s="17"/>
      <c r="OBZ105" s="17"/>
      <c r="OCA105" s="17"/>
      <c r="OCB105" s="17"/>
      <c r="OCC105" s="17"/>
      <c r="OCD105" s="17"/>
      <c r="OCE105" s="17"/>
      <c r="OCF105" s="17"/>
      <c r="OCG105" s="17"/>
      <c r="OCH105" s="17"/>
      <c r="OCI105" s="17"/>
      <c r="OCJ105" s="17"/>
      <c r="OCK105" s="17"/>
      <c r="OCL105" s="17"/>
      <c r="OCM105" s="17"/>
      <c r="OCN105" s="17"/>
      <c r="OCO105" s="17"/>
      <c r="OCP105" s="17"/>
      <c r="OCQ105" s="17"/>
      <c r="OCR105" s="17"/>
      <c r="OCS105" s="17"/>
      <c r="OCT105" s="17"/>
      <c r="OCU105" s="17"/>
      <c r="OCV105" s="17"/>
      <c r="OCW105" s="17"/>
      <c r="OCX105" s="17"/>
      <c r="OCY105" s="17"/>
      <c r="OCZ105" s="17"/>
      <c r="ODA105" s="17"/>
      <c r="ODB105" s="17"/>
      <c r="ODC105" s="17"/>
      <c r="ODD105" s="17"/>
      <c r="ODE105" s="17"/>
      <c r="ODF105" s="17"/>
      <c r="ODG105" s="17"/>
      <c r="ODH105" s="17"/>
      <c r="ODI105" s="17"/>
      <c r="ODJ105" s="17"/>
      <c r="ODK105" s="17"/>
      <c r="ODL105" s="17"/>
      <c r="ODM105" s="17"/>
      <c r="ODN105" s="17"/>
      <c r="ODO105" s="17"/>
      <c r="ODP105" s="17"/>
      <c r="ODQ105" s="17"/>
      <c r="ODR105" s="17"/>
      <c r="ODS105" s="17"/>
      <c r="ODT105" s="17"/>
      <c r="ODU105" s="17"/>
      <c r="ODV105" s="17"/>
      <c r="ODW105" s="17"/>
      <c r="ODX105" s="17"/>
      <c r="ODY105" s="17"/>
      <c r="ODZ105" s="17"/>
      <c r="OEA105" s="17"/>
      <c r="OEB105" s="17"/>
      <c r="OEC105" s="17"/>
      <c r="OED105" s="17"/>
      <c r="OEE105" s="17"/>
      <c r="OEF105" s="17"/>
      <c r="OEG105" s="17"/>
      <c r="OEH105" s="17"/>
      <c r="OEI105" s="17"/>
      <c r="OEJ105" s="17"/>
      <c r="OEK105" s="17"/>
      <c r="OEL105" s="17"/>
      <c r="OEM105" s="17"/>
      <c r="OEN105" s="17"/>
      <c r="OEO105" s="17"/>
      <c r="OEP105" s="17"/>
      <c r="OEQ105" s="17"/>
      <c r="OER105" s="17"/>
      <c r="OES105" s="17"/>
      <c r="OET105" s="17"/>
      <c r="OEU105" s="17"/>
      <c r="OEV105" s="17"/>
      <c r="OEW105" s="17"/>
      <c r="OEX105" s="17"/>
      <c r="OEY105" s="17"/>
      <c r="OEZ105" s="17"/>
      <c r="OFA105" s="17"/>
      <c r="OFB105" s="17"/>
      <c r="OFC105" s="17"/>
      <c r="OFD105" s="17"/>
      <c r="OFE105" s="17"/>
      <c r="OFF105" s="17"/>
      <c r="OFG105" s="17"/>
      <c r="OFH105" s="17"/>
      <c r="OFI105" s="17"/>
      <c r="OFJ105" s="17"/>
      <c r="OFK105" s="17"/>
      <c r="OFL105" s="17"/>
      <c r="OFM105" s="17"/>
      <c r="OFN105" s="17"/>
      <c r="OFO105" s="17"/>
      <c r="OFP105" s="17"/>
      <c r="OFQ105" s="17"/>
      <c r="OFR105" s="17"/>
      <c r="OFS105" s="17"/>
      <c r="OFT105" s="17"/>
      <c r="OFU105" s="17"/>
      <c r="OFV105" s="17"/>
      <c r="OFW105" s="17"/>
      <c r="OFX105" s="17"/>
      <c r="OFY105" s="17"/>
      <c r="OFZ105" s="17"/>
      <c r="OGA105" s="17"/>
      <c r="OGB105" s="17"/>
      <c r="OGC105" s="17"/>
      <c r="OGD105" s="17"/>
      <c r="OGE105" s="17"/>
      <c r="OGF105" s="17"/>
      <c r="OGG105" s="17"/>
      <c r="OGH105" s="17"/>
      <c r="OGI105" s="17"/>
      <c r="OGJ105" s="17"/>
      <c r="OGK105" s="17"/>
      <c r="OGL105" s="17"/>
      <c r="OGM105" s="17"/>
      <c r="OGN105" s="17"/>
      <c r="OGO105" s="17"/>
      <c r="OGP105" s="17"/>
      <c r="OGQ105" s="17"/>
      <c r="OGR105" s="17"/>
      <c r="OGS105" s="17"/>
      <c r="OGT105" s="17"/>
      <c r="OGU105" s="17"/>
      <c r="OGV105" s="17"/>
      <c r="OGW105" s="17"/>
      <c r="OGX105" s="17"/>
      <c r="OGY105" s="17"/>
      <c r="OGZ105" s="17"/>
      <c r="OHA105" s="17"/>
      <c r="OHB105" s="17"/>
      <c r="OHC105" s="17"/>
      <c r="OHD105" s="17"/>
      <c r="OHE105" s="17"/>
      <c r="OHF105" s="17"/>
      <c r="OHG105" s="17"/>
      <c r="OHH105" s="17"/>
      <c r="OHI105" s="17"/>
      <c r="OHJ105" s="17"/>
      <c r="OHK105" s="17"/>
      <c r="OHL105" s="17"/>
      <c r="OHM105" s="17"/>
      <c r="OHN105" s="17"/>
      <c r="OHO105" s="17"/>
      <c r="OHP105" s="17"/>
      <c r="OHQ105" s="17"/>
      <c r="OHR105" s="17"/>
      <c r="OHS105" s="17"/>
      <c r="OHT105" s="17"/>
      <c r="OHU105" s="17"/>
      <c r="OHV105" s="17"/>
      <c r="OHW105" s="17"/>
      <c r="OHX105" s="17"/>
      <c r="OHY105" s="17"/>
      <c r="OHZ105" s="17"/>
      <c r="OIA105" s="17"/>
      <c r="OIB105" s="17"/>
      <c r="OIC105" s="17"/>
      <c r="OID105" s="17"/>
      <c r="OIE105" s="17"/>
      <c r="OIF105" s="17"/>
      <c r="OIG105" s="17"/>
      <c r="OIH105" s="17"/>
      <c r="OII105" s="17"/>
      <c r="OIJ105" s="17"/>
      <c r="OIK105" s="17"/>
      <c r="OIL105" s="17"/>
      <c r="OIM105" s="17"/>
      <c r="OIN105" s="17"/>
      <c r="OIO105" s="17"/>
      <c r="OIP105" s="17"/>
      <c r="OIQ105" s="17"/>
      <c r="OIR105" s="17"/>
      <c r="OIS105" s="17"/>
      <c r="OIT105" s="17"/>
      <c r="OIU105" s="17"/>
      <c r="OIV105" s="17"/>
      <c r="OIW105" s="17"/>
      <c r="OIX105" s="17"/>
      <c r="OIY105" s="17"/>
      <c r="OIZ105" s="17"/>
      <c r="OJA105" s="17"/>
      <c r="OJB105" s="17"/>
      <c r="OJC105" s="17"/>
      <c r="OJD105" s="17"/>
      <c r="OJE105" s="17"/>
      <c r="OJF105" s="17"/>
      <c r="OJG105" s="17"/>
      <c r="OJH105" s="17"/>
      <c r="OJI105" s="17"/>
      <c r="OJJ105" s="17"/>
      <c r="OJK105" s="17"/>
      <c r="OJL105" s="17"/>
      <c r="OJM105" s="17"/>
      <c r="OJN105" s="17"/>
      <c r="OJO105" s="17"/>
      <c r="OJP105" s="17"/>
      <c r="OJQ105" s="17"/>
      <c r="OJR105" s="17"/>
      <c r="OJS105" s="17"/>
      <c r="OJT105" s="17"/>
      <c r="OJU105" s="17"/>
      <c r="OJV105" s="17"/>
      <c r="OJW105" s="17"/>
      <c r="OJX105" s="17"/>
      <c r="OJY105" s="17"/>
      <c r="OJZ105" s="17"/>
      <c r="OKA105" s="17"/>
      <c r="OKB105" s="17"/>
      <c r="OKC105" s="17"/>
      <c r="OKD105" s="17"/>
      <c r="OKE105" s="17"/>
      <c r="OKF105" s="17"/>
      <c r="OKG105" s="17"/>
      <c r="OKH105" s="17"/>
      <c r="OKI105" s="17"/>
      <c r="OKJ105" s="17"/>
      <c r="OKK105" s="17"/>
      <c r="OKL105" s="17"/>
      <c r="OKM105" s="17"/>
      <c r="OKN105" s="17"/>
      <c r="OKO105" s="17"/>
      <c r="OKP105" s="17"/>
      <c r="OKQ105" s="17"/>
      <c r="OKR105" s="17"/>
      <c r="OKS105" s="17"/>
      <c r="OKT105" s="17"/>
      <c r="OKU105" s="17"/>
      <c r="OKV105" s="17"/>
      <c r="OKW105" s="17"/>
      <c r="OKX105" s="17"/>
      <c r="OKY105" s="17"/>
      <c r="OKZ105" s="17"/>
      <c r="OLA105" s="17"/>
      <c r="OLB105" s="17"/>
      <c r="OLC105" s="17"/>
      <c r="OLD105" s="17"/>
      <c r="OLE105" s="17"/>
      <c r="OLF105" s="17"/>
      <c r="OLG105" s="17"/>
      <c r="OLH105" s="17"/>
      <c r="OLI105" s="17"/>
      <c r="OLJ105" s="17"/>
      <c r="OLK105" s="17"/>
      <c r="OLL105" s="17"/>
      <c r="OLM105" s="17"/>
      <c r="OLN105" s="17"/>
      <c r="OLO105" s="17"/>
      <c r="OLP105" s="17"/>
      <c r="OLQ105" s="17"/>
      <c r="OLR105" s="17"/>
      <c r="OLS105" s="17"/>
      <c r="OLT105" s="17"/>
      <c r="OLU105" s="17"/>
      <c r="OLV105" s="17"/>
      <c r="OLW105" s="17"/>
      <c r="OLX105" s="17"/>
      <c r="OLY105" s="17"/>
      <c r="OLZ105" s="17"/>
      <c r="OMA105" s="17"/>
      <c r="OMB105" s="17"/>
      <c r="OMC105" s="17"/>
      <c r="OMD105" s="17"/>
      <c r="OME105" s="17"/>
      <c r="OMF105" s="17"/>
      <c r="OMG105" s="17"/>
      <c r="OMH105" s="17"/>
      <c r="OMI105" s="17"/>
      <c r="OMJ105" s="17"/>
      <c r="OMK105" s="17"/>
      <c r="OML105" s="17"/>
      <c r="OMM105" s="17"/>
      <c r="OMN105" s="17"/>
      <c r="OMO105" s="17"/>
      <c r="OMP105" s="17"/>
      <c r="OMQ105" s="17"/>
      <c r="OMR105" s="17"/>
      <c r="OMS105" s="17"/>
      <c r="OMT105" s="17"/>
      <c r="OMU105" s="17"/>
      <c r="OMV105" s="17"/>
      <c r="OMW105" s="17"/>
      <c r="OMX105" s="17"/>
      <c r="OMY105" s="17"/>
      <c r="OMZ105" s="17"/>
      <c r="ONA105" s="17"/>
      <c r="ONB105" s="17"/>
      <c r="ONC105" s="17"/>
      <c r="OND105" s="17"/>
      <c r="ONE105" s="17"/>
      <c r="ONF105" s="17"/>
      <c r="ONG105" s="17"/>
      <c r="ONH105" s="17"/>
      <c r="ONI105" s="17"/>
      <c r="ONJ105" s="17"/>
      <c r="ONK105" s="17"/>
      <c r="ONL105" s="17"/>
      <c r="ONM105" s="17"/>
      <c r="ONN105" s="17"/>
      <c r="ONO105" s="17"/>
      <c r="ONP105" s="17"/>
      <c r="ONQ105" s="17"/>
      <c r="ONR105" s="17"/>
      <c r="ONS105" s="17"/>
      <c r="ONT105" s="17"/>
      <c r="ONU105" s="17"/>
      <c r="ONV105" s="17"/>
      <c r="ONW105" s="17"/>
      <c r="ONX105" s="17"/>
      <c r="ONY105" s="17"/>
      <c r="ONZ105" s="17"/>
      <c r="OOA105" s="17"/>
      <c r="OOB105" s="17"/>
      <c r="OOC105" s="17"/>
      <c r="OOD105" s="17"/>
      <c r="OOE105" s="17"/>
      <c r="OOF105" s="17"/>
      <c r="OOG105" s="17"/>
      <c r="OOH105" s="17"/>
      <c r="OOI105" s="17"/>
      <c r="OOJ105" s="17"/>
      <c r="OOK105" s="17"/>
      <c r="OOL105" s="17"/>
      <c r="OOM105" s="17"/>
      <c r="OON105" s="17"/>
      <c r="OOO105" s="17"/>
      <c r="OOP105" s="17"/>
      <c r="OOQ105" s="17"/>
      <c r="OOR105" s="17"/>
      <c r="OOS105" s="17"/>
      <c r="OOT105" s="17"/>
      <c r="OOU105" s="17"/>
      <c r="OOV105" s="17"/>
      <c r="OOW105" s="17"/>
      <c r="OOX105" s="17"/>
      <c r="OOY105" s="17"/>
      <c r="OOZ105" s="17"/>
      <c r="OPA105" s="17"/>
      <c r="OPB105" s="17"/>
      <c r="OPC105" s="17"/>
      <c r="OPD105" s="17"/>
      <c r="OPE105" s="17"/>
      <c r="OPF105" s="17"/>
      <c r="OPG105" s="17"/>
      <c r="OPH105" s="17"/>
      <c r="OPI105" s="17"/>
      <c r="OPJ105" s="17"/>
      <c r="OPK105" s="17"/>
      <c r="OPL105" s="17"/>
      <c r="OPM105" s="17"/>
      <c r="OPN105" s="17"/>
      <c r="OPO105" s="17"/>
      <c r="OPP105" s="17"/>
      <c r="OPQ105" s="17"/>
      <c r="OPR105" s="17"/>
      <c r="OPS105" s="17"/>
      <c r="OPT105" s="17"/>
      <c r="OPU105" s="17"/>
      <c r="OPV105" s="17"/>
      <c r="OPW105" s="17"/>
      <c r="OPX105" s="17"/>
      <c r="OPY105" s="17"/>
      <c r="OPZ105" s="17"/>
      <c r="OQA105" s="17"/>
      <c r="OQB105" s="17"/>
      <c r="OQC105" s="17"/>
      <c r="OQD105" s="17"/>
      <c r="OQE105" s="17"/>
      <c r="OQF105" s="17"/>
      <c r="OQG105" s="17"/>
      <c r="OQH105" s="17"/>
      <c r="OQI105" s="17"/>
      <c r="OQJ105" s="17"/>
      <c r="OQK105" s="17"/>
      <c r="OQL105" s="17"/>
      <c r="OQM105" s="17"/>
      <c r="OQN105" s="17"/>
      <c r="OQO105" s="17"/>
      <c r="OQP105" s="17"/>
      <c r="OQQ105" s="17"/>
      <c r="OQR105" s="17"/>
      <c r="OQS105" s="17"/>
      <c r="OQT105" s="17"/>
      <c r="OQU105" s="17"/>
      <c r="OQV105" s="17"/>
      <c r="OQW105" s="17"/>
      <c r="OQX105" s="17"/>
      <c r="OQY105" s="17"/>
      <c r="OQZ105" s="17"/>
      <c r="ORA105" s="17"/>
      <c r="ORB105" s="17"/>
      <c r="ORC105" s="17"/>
      <c r="ORD105" s="17"/>
      <c r="ORE105" s="17"/>
      <c r="ORF105" s="17"/>
      <c r="ORG105" s="17"/>
      <c r="ORH105" s="17"/>
      <c r="ORI105" s="17"/>
      <c r="ORJ105" s="17"/>
      <c r="ORK105" s="17"/>
      <c r="ORL105" s="17"/>
      <c r="ORM105" s="17"/>
      <c r="ORN105" s="17"/>
      <c r="ORO105" s="17"/>
      <c r="ORP105" s="17"/>
      <c r="ORQ105" s="17"/>
      <c r="ORR105" s="17"/>
      <c r="ORS105" s="17"/>
      <c r="ORT105" s="17"/>
      <c r="ORU105" s="17"/>
      <c r="ORV105" s="17"/>
      <c r="ORW105" s="17"/>
      <c r="ORX105" s="17"/>
      <c r="ORY105" s="17"/>
      <c r="ORZ105" s="17"/>
      <c r="OSA105" s="17"/>
      <c r="OSB105" s="17"/>
      <c r="OSC105" s="17"/>
      <c r="OSD105" s="17"/>
      <c r="OSE105" s="17"/>
      <c r="OSF105" s="17"/>
      <c r="OSG105" s="17"/>
      <c r="OSH105" s="17"/>
      <c r="OSI105" s="17"/>
      <c r="OSJ105" s="17"/>
      <c r="OSK105" s="17"/>
      <c r="OSL105" s="17"/>
      <c r="OSM105" s="17"/>
      <c r="OSN105" s="17"/>
      <c r="OSO105" s="17"/>
      <c r="OSP105" s="17"/>
      <c r="OSQ105" s="17"/>
      <c r="OSR105" s="17"/>
      <c r="OSS105" s="17"/>
      <c r="OST105" s="17"/>
      <c r="OSU105" s="17"/>
      <c r="OSV105" s="17"/>
      <c r="OSW105" s="17"/>
      <c r="OSX105" s="17"/>
      <c r="OSY105" s="17"/>
      <c r="OSZ105" s="17"/>
      <c r="OTA105" s="17"/>
      <c r="OTB105" s="17"/>
      <c r="OTC105" s="17"/>
      <c r="OTD105" s="17"/>
      <c r="OTE105" s="17"/>
      <c r="OTF105" s="17"/>
      <c r="OTG105" s="17"/>
      <c r="OTH105" s="17"/>
      <c r="OTI105" s="17"/>
      <c r="OTJ105" s="17"/>
      <c r="OTK105" s="17"/>
      <c r="OTL105" s="17"/>
      <c r="OTM105" s="17"/>
      <c r="OTN105" s="17"/>
      <c r="OTO105" s="17"/>
      <c r="OTP105" s="17"/>
      <c r="OTQ105" s="17"/>
      <c r="OTR105" s="17"/>
      <c r="OTS105" s="17"/>
      <c r="OTT105" s="17"/>
      <c r="OTU105" s="17"/>
      <c r="OTV105" s="17"/>
      <c r="OTW105" s="17"/>
      <c r="OTX105" s="17"/>
      <c r="OTY105" s="17"/>
      <c r="OTZ105" s="17"/>
      <c r="OUA105" s="17"/>
      <c r="OUB105" s="17"/>
      <c r="OUC105" s="17"/>
      <c r="OUD105" s="17"/>
      <c r="OUE105" s="17"/>
      <c r="OUF105" s="17"/>
      <c r="OUG105" s="17"/>
      <c r="OUH105" s="17"/>
      <c r="OUI105" s="17"/>
      <c r="OUJ105" s="17"/>
      <c r="OUK105" s="17"/>
      <c r="OUL105" s="17"/>
      <c r="OUM105" s="17"/>
      <c r="OUN105" s="17"/>
      <c r="OUO105" s="17"/>
      <c r="OUP105" s="17"/>
      <c r="OUQ105" s="17"/>
      <c r="OUR105" s="17"/>
      <c r="OUS105" s="17"/>
      <c r="OUT105" s="17"/>
      <c r="OUU105" s="17"/>
      <c r="OUV105" s="17"/>
      <c r="OUW105" s="17"/>
      <c r="OUX105" s="17"/>
      <c r="OUY105" s="17"/>
      <c r="OUZ105" s="17"/>
      <c r="OVA105" s="17"/>
      <c r="OVB105" s="17"/>
      <c r="OVC105" s="17"/>
      <c r="OVD105" s="17"/>
      <c r="OVE105" s="17"/>
      <c r="OVF105" s="17"/>
      <c r="OVG105" s="17"/>
      <c r="OVH105" s="17"/>
      <c r="OVI105" s="17"/>
      <c r="OVJ105" s="17"/>
      <c r="OVK105" s="17"/>
      <c r="OVL105" s="17"/>
      <c r="OVM105" s="17"/>
      <c r="OVN105" s="17"/>
      <c r="OVO105" s="17"/>
      <c r="OVP105" s="17"/>
      <c r="OVQ105" s="17"/>
      <c r="OVR105" s="17"/>
      <c r="OVS105" s="17"/>
      <c r="OVT105" s="17"/>
      <c r="OVU105" s="17"/>
      <c r="OVV105" s="17"/>
      <c r="OVW105" s="17"/>
      <c r="OVX105" s="17"/>
      <c r="OVY105" s="17"/>
      <c r="OVZ105" s="17"/>
      <c r="OWA105" s="17"/>
      <c r="OWB105" s="17"/>
      <c r="OWC105" s="17"/>
      <c r="OWD105" s="17"/>
      <c r="OWE105" s="17"/>
      <c r="OWF105" s="17"/>
      <c r="OWG105" s="17"/>
      <c r="OWH105" s="17"/>
      <c r="OWI105" s="17"/>
      <c r="OWJ105" s="17"/>
      <c r="OWK105" s="17"/>
      <c r="OWL105" s="17"/>
      <c r="OWM105" s="17"/>
      <c r="OWN105" s="17"/>
      <c r="OWO105" s="17"/>
      <c r="OWP105" s="17"/>
      <c r="OWQ105" s="17"/>
      <c r="OWR105" s="17"/>
      <c r="OWS105" s="17"/>
      <c r="OWT105" s="17"/>
      <c r="OWU105" s="17"/>
      <c r="OWV105" s="17"/>
      <c r="OWW105" s="17"/>
      <c r="OWX105" s="17"/>
      <c r="OWY105" s="17"/>
      <c r="OWZ105" s="17"/>
      <c r="OXA105" s="17"/>
      <c r="OXB105" s="17"/>
      <c r="OXC105" s="17"/>
      <c r="OXD105" s="17"/>
      <c r="OXE105" s="17"/>
      <c r="OXF105" s="17"/>
      <c r="OXG105" s="17"/>
      <c r="OXH105" s="17"/>
      <c r="OXI105" s="17"/>
      <c r="OXJ105" s="17"/>
      <c r="OXK105" s="17"/>
      <c r="OXL105" s="17"/>
      <c r="OXM105" s="17"/>
      <c r="OXN105" s="17"/>
      <c r="OXO105" s="17"/>
      <c r="OXP105" s="17"/>
      <c r="OXQ105" s="17"/>
      <c r="OXR105" s="17"/>
      <c r="OXS105" s="17"/>
      <c r="OXT105" s="17"/>
      <c r="OXU105" s="17"/>
      <c r="OXV105" s="17"/>
      <c r="OXW105" s="17"/>
      <c r="OXX105" s="17"/>
      <c r="OXY105" s="17"/>
      <c r="OXZ105" s="17"/>
      <c r="OYA105" s="17"/>
      <c r="OYB105" s="17"/>
      <c r="OYC105" s="17"/>
      <c r="OYD105" s="17"/>
      <c r="OYE105" s="17"/>
      <c r="OYF105" s="17"/>
      <c r="OYG105" s="17"/>
      <c r="OYH105" s="17"/>
      <c r="OYI105" s="17"/>
      <c r="OYJ105" s="17"/>
      <c r="OYK105" s="17"/>
      <c r="OYL105" s="17"/>
      <c r="OYM105" s="17"/>
      <c r="OYN105" s="17"/>
      <c r="OYO105" s="17"/>
      <c r="OYP105" s="17"/>
      <c r="OYQ105" s="17"/>
      <c r="OYR105" s="17"/>
      <c r="OYS105" s="17"/>
      <c r="OYT105" s="17"/>
      <c r="OYU105" s="17"/>
      <c r="OYV105" s="17"/>
      <c r="OYW105" s="17"/>
      <c r="OYX105" s="17"/>
      <c r="OYY105" s="17"/>
      <c r="OYZ105" s="17"/>
      <c r="OZA105" s="17"/>
      <c r="OZB105" s="17"/>
      <c r="OZC105" s="17"/>
      <c r="OZD105" s="17"/>
      <c r="OZE105" s="17"/>
      <c r="OZF105" s="17"/>
      <c r="OZG105" s="17"/>
      <c r="OZH105" s="17"/>
      <c r="OZI105" s="17"/>
      <c r="OZJ105" s="17"/>
      <c r="OZK105" s="17"/>
      <c r="OZL105" s="17"/>
      <c r="OZM105" s="17"/>
      <c r="OZN105" s="17"/>
      <c r="OZO105" s="17"/>
      <c r="OZP105" s="17"/>
      <c r="OZQ105" s="17"/>
      <c r="OZR105" s="17"/>
      <c r="OZS105" s="17"/>
      <c r="OZT105" s="17"/>
      <c r="OZU105" s="17"/>
      <c r="OZV105" s="17"/>
      <c r="OZW105" s="17"/>
      <c r="OZX105" s="17"/>
      <c r="OZY105" s="17"/>
      <c r="OZZ105" s="17"/>
      <c r="PAA105" s="17"/>
      <c r="PAB105" s="17"/>
      <c r="PAC105" s="17"/>
      <c r="PAD105" s="17"/>
      <c r="PAE105" s="17"/>
      <c r="PAF105" s="17"/>
      <c r="PAG105" s="17"/>
      <c r="PAH105" s="17"/>
      <c r="PAI105" s="17"/>
      <c r="PAJ105" s="17"/>
      <c r="PAK105" s="17"/>
      <c r="PAL105" s="17"/>
      <c r="PAM105" s="17"/>
      <c r="PAN105" s="17"/>
      <c r="PAO105" s="17"/>
      <c r="PAP105" s="17"/>
      <c r="PAQ105" s="17"/>
      <c r="PAR105" s="17"/>
      <c r="PAS105" s="17"/>
      <c r="PAT105" s="17"/>
      <c r="PAU105" s="17"/>
      <c r="PAV105" s="17"/>
      <c r="PAW105" s="17"/>
      <c r="PAX105" s="17"/>
      <c r="PAY105" s="17"/>
      <c r="PAZ105" s="17"/>
      <c r="PBA105" s="17"/>
      <c r="PBB105" s="17"/>
      <c r="PBC105" s="17"/>
      <c r="PBD105" s="17"/>
      <c r="PBE105" s="17"/>
      <c r="PBF105" s="17"/>
      <c r="PBG105" s="17"/>
      <c r="PBH105" s="17"/>
      <c r="PBI105" s="17"/>
      <c r="PBJ105" s="17"/>
      <c r="PBK105" s="17"/>
      <c r="PBL105" s="17"/>
      <c r="PBM105" s="17"/>
      <c r="PBN105" s="17"/>
      <c r="PBO105" s="17"/>
      <c r="PBP105" s="17"/>
      <c r="PBQ105" s="17"/>
      <c r="PBR105" s="17"/>
      <c r="PBS105" s="17"/>
      <c r="PBT105" s="17"/>
      <c r="PBU105" s="17"/>
      <c r="PBV105" s="17"/>
      <c r="PBW105" s="17"/>
      <c r="PBX105" s="17"/>
      <c r="PBY105" s="17"/>
      <c r="PBZ105" s="17"/>
      <c r="PCA105" s="17"/>
      <c r="PCB105" s="17"/>
      <c r="PCC105" s="17"/>
      <c r="PCD105" s="17"/>
      <c r="PCE105" s="17"/>
      <c r="PCF105" s="17"/>
      <c r="PCG105" s="17"/>
      <c r="PCH105" s="17"/>
      <c r="PCI105" s="17"/>
      <c r="PCJ105" s="17"/>
      <c r="PCK105" s="17"/>
      <c r="PCL105" s="17"/>
      <c r="PCM105" s="17"/>
      <c r="PCN105" s="17"/>
      <c r="PCO105" s="17"/>
      <c r="PCP105" s="17"/>
      <c r="PCQ105" s="17"/>
      <c r="PCR105" s="17"/>
      <c r="PCS105" s="17"/>
      <c r="PCT105" s="17"/>
      <c r="PCU105" s="17"/>
      <c r="PCV105" s="17"/>
      <c r="PCW105" s="17"/>
      <c r="PCX105" s="17"/>
      <c r="PCY105" s="17"/>
      <c r="PCZ105" s="17"/>
      <c r="PDA105" s="17"/>
      <c r="PDB105" s="17"/>
      <c r="PDC105" s="17"/>
      <c r="PDD105" s="17"/>
      <c r="PDE105" s="17"/>
      <c r="PDF105" s="17"/>
      <c r="PDG105" s="17"/>
      <c r="PDH105" s="17"/>
      <c r="PDI105" s="17"/>
      <c r="PDJ105" s="17"/>
      <c r="PDK105" s="17"/>
      <c r="PDL105" s="17"/>
      <c r="PDM105" s="17"/>
      <c r="PDN105" s="17"/>
      <c r="PDO105" s="17"/>
      <c r="PDP105" s="17"/>
      <c r="PDQ105" s="17"/>
      <c r="PDR105" s="17"/>
      <c r="PDS105" s="17"/>
      <c r="PDT105" s="17"/>
      <c r="PDU105" s="17"/>
      <c r="PDV105" s="17"/>
      <c r="PDW105" s="17"/>
      <c r="PDX105" s="17"/>
      <c r="PDY105" s="17"/>
      <c r="PDZ105" s="17"/>
      <c r="PEA105" s="17"/>
      <c r="PEB105" s="17"/>
      <c r="PEC105" s="17"/>
      <c r="PED105" s="17"/>
      <c r="PEE105" s="17"/>
      <c r="PEF105" s="17"/>
      <c r="PEG105" s="17"/>
      <c r="PEH105" s="17"/>
      <c r="PEI105" s="17"/>
      <c r="PEJ105" s="17"/>
      <c r="PEK105" s="17"/>
      <c r="PEL105" s="17"/>
      <c r="PEM105" s="17"/>
      <c r="PEN105" s="17"/>
      <c r="PEO105" s="17"/>
      <c r="PEP105" s="17"/>
      <c r="PEQ105" s="17"/>
      <c r="PER105" s="17"/>
      <c r="PES105" s="17"/>
      <c r="PET105" s="17"/>
      <c r="PEU105" s="17"/>
      <c r="PEV105" s="17"/>
      <c r="PEW105" s="17"/>
      <c r="PEX105" s="17"/>
      <c r="PEY105" s="17"/>
      <c r="PEZ105" s="17"/>
      <c r="PFA105" s="17"/>
      <c r="PFB105" s="17"/>
      <c r="PFC105" s="17"/>
      <c r="PFD105" s="17"/>
      <c r="PFE105" s="17"/>
      <c r="PFF105" s="17"/>
      <c r="PFG105" s="17"/>
      <c r="PFH105" s="17"/>
      <c r="PFI105" s="17"/>
      <c r="PFJ105" s="17"/>
      <c r="PFK105" s="17"/>
      <c r="PFL105" s="17"/>
      <c r="PFM105" s="17"/>
      <c r="PFN105" s="17"/>
      <c r="PFO105" s="17"/>
      <c r="PFP105" s="17"/>
      <c r="PFQ105" s="17"/>
      <c r="PFR105" s="17"/>
      <c r="PFS105" s="17"/>
      <c r="PFT105" s="17"/>
      <c r="PFU105" s="17"/>
      <c r="PFV105" s="17"/>
      <c r="PFW105" s="17"/>
      <c r="PFX105" s="17"/>
      <c r="PFY105" s="17"/>
      <c r="PFZ105" s="17"/>
      <c r="PGA105" s="17"/>
      <c r="PGB105" s="17"/>
      <c r="PGC105" s="17"/>
      <c r="PGD105" s="17"/>
      <c r="PGE105" s="17"/>
      <c r="PGF105" s="17"/>
      <c r="PGG105" s="17"/>
      <c r="PGH105" s="17"/>
      <c r="PGI105" s="17"/>
      <c r="PGJ105" s="17"/>
      <c r="PGK105" s="17"/>
      <c r="PGL105" s="17"/>
      <c r="PGM105" s="17"/>
      <c r="PGN105" s="17"/>
      <c r="PGO105" s="17"/>
      <c r="PGP105" s="17"/>
      <c r="PGQ105" s="17"/>
      <c r="PGR105" s="17"/>
      <c r="PGS105" s="17"/>
      <c r="PGT105" s="17"/>
      <c r="PGU105" s="17"/>
      <c r="PGV105" s="17"/>
      <c r="PGW105" s="17"/>
      <c r="PGX105" s="17"/>
      <c r="PGY105" s="17"/>
      <c r="PGZ105" s="17"/>
      <c r="PHA105" s="17"/>
      <c r="PHB105" s="17"/>
      <c r="PHC105" s="17"/>
      <c r="PHD105" s="17"/>
      <c r="PHE105" s="17"/>
      <c r="PHF105" s="17"/>
      <c r="PHG105" s="17"/>
      <c r="PHH105" s="17"/>
      <c r="PHI105" s="17"/>
      <c r="PHJ105" s="17"/>
      <c r="PHK105" s="17"/>
      <c r="PHL105" s="17"/>
      <c r="PHM105" s="17"/>
      <c r="PHN105" s="17"/>
      <c r="PHO105" s="17"/>
      <c r="PHP105" s="17"/>
      <c r="PHQ105" s="17"/>
      <c r="PHR105" s="17"/>
      <c r="PHS105" s="17"/>
      <c r="PHT105" s="17"/>
      <c r="PHU105" s="17"/>
      <c r="PHV105" s="17"/>
      <c r="PHW105" s="17"/>
      <c r="PHX105" s="17"/>
      <c r="PHY105" s="17"/>
      <c r="PHZ105" s="17"/>
      <c r="PIA105" s="17"/>
      <c r="PIB105" s="17"/>
      <c r="PIC105" s="17"/>
      <c r="PID105" s="17"/>
      <c r="PIE105" s="17"/>
      <c r="PIF105" s="17"/>
      <c r="PIG105" s="17"/>
      <c r="PIH105" s="17"/>
      <c r="PII105" s="17"/>
      <c r="PIJ105" s="17"/>
      <c r="PIK105" s="17"/>
      <c r="PIL105" s="17"/>
      <c r="PIM105" s="17"/>
      <c r="PIN105" s="17"/>
      <c r="PIO105" s="17"/>
      <c r="PIP105" s="17"/>
      <c r="PIQ105" s="17"/>
      <c r="PIR105" s="17"/>
      <c r="PIS105" s="17"/>
      <c r="PIT105" s="17"/>
      <c r="PIU105" s="17"/>
      <c r="PIV105" s="17"/>
      <c r="PIW105" s="17"/>
      <c r="PIX105" s="17"/>
      <c r="PIY105" s="17"/>
      <c r="PIZ105" s="17"/>
      <c r="PJA105" s="17"/>
      <c r="PJB105" s="17"/>
      <c r="PJC105" s="17"/>
      <c r="PJD105" s="17"/>
      <c r="PJE105" s="17"/>
      <c r="PJF105" s="17"/>
      <c r="PJG105" s="17"/>
      <c r="PJH105" s="17"/>
      <c r="PJI105" s="17"/>
      <c r="PJJ105" s="17"/>
      <c r="PJK105" s="17"/>
      <c r="PJL105" s="17"/>
      <c r="PJM105" s="17"/>
      <c r="PJN105" s="17"/>
      <c r="PJO105" s="17"/>
      <c r="PJP105" s="17"/>
      <c r="PJQ105" s="17"/>
      <c r="PJR105" s="17"/>
      <c r="PJS105" s="17"/>
      <c r="PJT105" s="17"/>
      <c r="PJU105" s="17"/>
      <c r="PJV105" s="17"/>
      <c r="PJW105" s="17"/>
      <c r="PJX105" s="17"/>
      <c r="PJY105" s="17"/>
      <c r="PJZ105" s="17"/>
      <c r="PKA105" s="17"/>
      <c r="PKB105" s="17"/>
      <c r="PKC105" s="17"/>
      <c r="PKD105" s="17"/>
      <c r="PKE105" s="17"/>
      <c r="PKF105" s="17"/>
      <c r="PKG105" s="17"/>
      <c r="PKH105" s="17"/>
      <c r="PKI105" s="17"/>
      <c r="PKJ105" s="17"/>
      <c r="PKK105" s="17"/>
      <c r="PKL105" s="17"/>
      <c r="PKM105" s="17"/>
      <c r="PKN105" s="17"/>
      <c r="PKO105" s="17"/>
      <c r="PKP105" s="17"/>
      <c r="PKQ105" s="17"/>
      <c r="PKR105" s="17"/>
      <c r="PKS105" s="17"/>
      <c r="PKT105" s="17"/>
      <c r="PKU105" s="17"/>
      <c r="PKV105" s="17"/>
      <c r="PKW105" s="17"/>
      <c r="PKX105" s="17"/>
      <c r="PKY105" s="17"/>
      <c r="PKZ105" s="17"/>
      <c r="PLA105" s="17"/>
      <c r="PLB105" s="17"/>
      <c r="PLC105" s="17"/>
      <c r="PLD105" s="17"/>
      <c r="PLE105" s="17"/>
      <c r="PLF105" s="17"/>
      <c r="PLG105" s="17"/>
      <c r="PLH105" s="17"/>
      <c r="PLI105" s="17"/>
      <c r="PLJ105" s="17"/>
      <c r="PLK105" s="17"/>
      <c r="PLL105" s="17"/>
      <c r="PLM105" s="17"/>
      <c r="PLN105" s="17"/>
      <c r="PLO105" s="17"/>
      <c r="PLP105" s="17"/>
      <c r="PLQ105" s="17"/>
      <c r="PLR105" s="17"/>
      <c r="PLS105" s="17"/>
      <c r="PLT105" s="17"/>
      <c r="PLU105" s="17"/>
      <c r="PLV105" s="17"/>
      <c r="PLW105" s="17"/>
      <c r="PLX105" s="17"/>
      <c r="PLY105" s="17"/>
      <c r="PLZ105" s="17"/>
      <c r="PMA105" s="17"/>
      <c r="PMB105" s="17"/>
      <c r="PMC105" s="17"/>
      <c r="PMD105" s="17"/>
      <c r="PME105" s="17"/>
      <c r="PMF105" s="17"/>
      <c r="PMG105" s="17"/>
      <c r="PMH105" s="17"/>
      <c r="PMI105" s="17"/>
      <c r="PMJ105" s="17"/>
      <c r="PMK105" s="17"/>
      <c r="PML105" s="17"/>
      <c r="PMM105" s="17"/>
      <c r="PMN105" s="17"/>
      <c r="PMO105" s="17"/>
      <c r="PMP105" s="17"/>
      <c r="PMQ105" s="17"/>
      <c r="PMR105" s="17"/>
      <c r="PMS105" s="17"/>
      <c r="PMT105" s="17"/>
      <c r="PMU105" s="17"/>
      <c r="PMV105" s="17"/>
      <c r="PMW105" s="17"/>
      <c r="PMX105" s="17"/>
      <c r="PMY105" s="17"/>
      <c r="PMZ105" s="17"/>
      <c r="PNA105" s="17"/>
      <c r="PNB105" s="17"/>
      <c r="PNC105" s="17"/>
      <c r="PND105" s="17"/>
      <c r="PNE105" s="17"/>
      <c r="PNF105" s="17"/>
      <c r="PNG105" s="17"/>
      <c r="PNH105" s="17"/>
      <c r="PNI105" s="17"/>
      <c r="PNJ105" s="17"/>
      <c r="PNK105" s="17"/>
      <c r="PNL105" s="17"/>
      <c r="PNM105" s="17"/>
      <c r="PNN105" s="17"/>
      <c r="PNO105" s="17"/>
      <c r="PNP105" s="17"/>
      <c r="PNQ105" s="17"/>
      <c r="PNR105" s="17"/>
      <c r="PNS105" s="17"/>
      <c r="PNT105" s="17"/>
      <c r="PNU105" s="17"/>
      <c r="PNV105" s="17"/>
      <c r="PNW105" s="17"/>
      <c r="PNX105" s="17"/>
      <c r="PNY105" s="17"/>
      <c r="PNZ105" s="17"/>
      <c r="POA105" s="17"/>
      <c r="POB105" s="17"/>
      <c r="POC105" s="17"/>
      <c r="POD105" s="17"/>
      <c r="POE105" s="17"/>
      <c r="POF105" s="17"/>
      <c r="POG105" s="17"/>
      <c r="POH105" s="17"/>
      <c r="POI105" s="17"/>
      <c r="POJ105" s="17"/>
      <c r="POK105" s="17"/>
      <c r="POL105" s="17"/>
      <c r="POM105" s="17"/>
      <c r="PON105" s="17"/>
      <c r="POO105" s="17"/>
      <c r="POP105" s="17"/>
      <c r="POQ105" s="17"/>
      <c r="POR105" s="17"/>
      <c r="POS105" s="17"/>
      <c r="POT105" s="17"/>
      <c r="POU105" s="17"/>
      <c r="POV105" s="17"/>
      <c r="POW105" s="17"/>
      <c r="POX105" s="17"/>
      <c r="POY105" s="17"/>
      <c r="POZ105" s="17"/>
      <c r="PPA105" s="17"/>
      <c r="PPB105" s="17"/>
      <c r="PPC105" s="17"/>
      <c r="PPD105" s="17"/>
      <c r="PPE105" s="17"/>
      <c r="PPF105" s="17"/>
      <c r="PPG105" s="17"/>
      <c r="PPH105" s="17"/>
      <c r="PPI105" s="17"/>
      <c r="PPJ105" s="17"/>
      <c r="PPK105" s="17"/>
      <c r="PPL105" s="17"/>
      <c r="PPM105" s="17"/>
      <c r="PPN105" s="17"/>
      <c r="PPO105" s="17"/>
      <c r="PPP105" s="17"/>
      <c r="PPQ105" s="17"/>
      <c r="PPR105" s="17"/>
      <c r="PPS105" s="17"/>
      <c r="PPT105" s="17"/>
      <c r="PPU105" s="17"/>
      <c r="PPV105" s="17"/>
      <c r="PPW105" s="17"/>
      <c r="PPX105" s="17"/>
      <c r="PPY105" s="17"/>
      <c r="PPZ105" s="17"/>
      <c r="PQA105" s="17"/>
      <c r="PQB105" s="17"/>
      <c r="PQC105" s="17"/>
      <c r="PQD105" s="17"/>
      <c r="PQE105" s="17"/>
      <c r="PQF105" s="17"/>
      <c r="PQG105" s="17"/>
      <c r="PQH105" s="17"/>
      <c r="PQI105" s="17"/>
      <c r="PQJ105" s="17"/>
      <c r="PQK105" s="17"/>
      <c r="PQL105" s="17"/>
      <c r="PQM105" s="17"/>
      <c r="PQN105" s="17"/>
      <c r="PQO105" s="17"/>
      <c r="PQP105" s="17"/>
      <c r="PQQ105" s="17"/>
      <c r="PQR105" s="17"/>
      <c r="PQS105" s="17"/>
      <c r="PQT105" s="17"/>
      <c r="PQU105" s="17"/>
      <c r="PQV105" s="17"/>
      <c r="PQW105" s="17"/>
      <c r="PQX105" s="17"/>
      <c r="PQY105" s="17"/>
      <c r="PQZ105" s="17"/>
      <c r="PRA105" s="17"/>
      <c r="PRB105" s="17"/>
      <c r="PRC105" s="17"/>
      <c r="PRD105" s="17"/>
      <c r="PRE105" s="17"/>
      <c r="PRF105" s="17"/>
      <c r="PRG105" s="17"/>
      <c r="PRH105" s="17"/>
      <c r="PRI105" s="17"/>
      <c r="PRJ105" s="17"/>
      <c r="PRK105" s="17"/>
      <c r="PRL105" s="17"/>
      <c r="PRM105" s="17"/>
      <c r="PRN105" s="17"/>
      <c r="PRO105" s="17"/>
      <c r="PRP105" s="17"/>
      <c r="PRQ105" s="17"/>
      <c r="PRR105" s="17"/>
      <c r="PRS105" s="17"/>
      <c r="PRT105" s="17"/>
      <c r="PRU105" s="17"/>
      <c r="PRV105" s="17"/>
      <c r="PRW105" s="17"/>
      <c r="PRX105" s="17"/>
      <c r="PRY105" s="17"/>
      <c r="PRZ105" s="17"/>
      <c r="PSA105" s="17"/>
      <c r="PSB105" s="17"/>
      <c r="PSC105" s="17"/>
      <c r="PSD105" s="17"/>
      <c r="PSE105" s="17"/>
      <c r="PSF105" s="17"/>
      <c r="PSG105" s="17"/>
      <c r="PSH105" s="17"/>
      <c r="PSI105" s="17"/>
      <c r="PSJ105" s="17"/>
      <c r="PSK105" s="17"/>
      <c r="PSL105" s="17"/>
      <c r="PSM105" s="17"/>
      <c r="PSN105" s="17"/>
      <c r="PSO105" s="17"/>
      <c r="PSP105" s="17"/>
      <c r="PSQ105" s="17"/>
      <c r="PSR105" s="17"/>
      <c r="PSS105" s="17"/>
      <c r="PST105" s="17"/>
      <c r="PSU105" s="17"/>
      <c r="PSV105" s="17"/>
      <c r="PSW105" s="17"/>
      <c r="PSX105" s="17"/>
      <c r="PSY105" s="17"/>
      <c r="PSZ105" s="17"/>
      <c r="PTA105" s="17"/>
      <c r="PTB105" s="17"/>
      <c r="PTC105" s="17"/>
      <c r="PTD105" s="17"/>
      <c r="PTE105" s="17"/>
      <c r="PTF105" s="17"/>
      <c r="PTG105" s="17"/>
      <c r="PTH105" s="17"/>
      <c r="PTI105" s="17"/>
      <c r="PTJ105" s="17"/>
      <c r="PTK105" s="17"/>
      <c r="PTL105" s="17"/>
      <c r="PTM105" s="17"/>
      <c r="PTN105" s="17"/>
      <c r="PTO105" s="17"/>
      <c r="PTP105" s="17"/>
      <c r="PTQ105" s="17"/>
      <c r="PTR105" s="17"/>
      <c r="PTS105" s="17"/>
      <c r="PTT105" s="17"/>
      <c r="PTU105" s="17"/>
      <c r="PTV105" s="17"/>
      <c r="PTW105" s="17"/>
      <c r="PTX105" s="17"/>
      <c r="PTY105" s="17"/>
      <c r="PTZ105" s="17"/>
      <c r="PUA105" s="17"/>
      <c r="PUB105" s="17"/>
      <c r="PUC105" s="17"/>
      <c r="PUD105" s="17"/>
      <c r="PUE105" s="17"/>
      <c r="PUF105" s="17"/>
      <c r="PUG105" s="17"/>
      <c r="PUH105" s="17"/>
      <c r="PUI105" s="17"/>
      <c r="PUJ105" s="17"/>
      <c r="PUK105" s="17"/>
      <c r="PUL105" s="17"/>
      <c r="PUM105" s="17"/>
      <c r="PUN105" s="17"/>
      <c r="PUO105" s="17"/>
      <c r="PUP105" s="17"/>
      <c r="PUQ105" s="17"/>
      <c r="PUR105" s="17"/>
      <c r="PUS105" s="17"/>
      <c r="PUT105" s="17"/>
      <c r="PUU105" s="17"/>
      <c r="PUV105" s="17"/>
      <c r="PUW105" s="17"/>
      <c r="PUX105" s="17"/>
      <c r="PUY105" s="17"/>
      <c r="PUZ105" s="17"/>
      <c r="PVA105" s="17"/>
      <c r="PVB105" s="17"/>
      <c r="PVC105" s="17"/>
      <c r="PVD105" s="17"/>
      <c r="PVE105" s="17"/>
      <c r="PVF105" s="17"/>
      <c r="PVG105" s="17"/>
      <c r="PVH105" s="17"/>
      <c r="PVI105" s="17"/>
      <c r="PVJ105" s="17"/>
      <c r="PVK105" s="17"/>
      <c r="PVL105" s="17"/>
      <c r="PVM105" s="17"/>
      <c r="PVN105" s="17"/>
      <c r="PVO105" s="17"/>
      <c r="PVP105" s="17"/>
      <c r="PVQ105" s="17"/>
      <c r="PVR105" s="17"/>
      <c r="PVS105" s="17"/>
      <c r="PVT105" s="17"/>
      <c r="PVU105" s="17"/>
      <c r="PVV105" s="17"/>
      <c r="PVW105" s="17"/>
      <c r="PVX105" s="17"/>
      <c r="PVY105" s="17"/>
      <c r="PVZ105" s="17"/>
      <c r="PWA105" s="17"/>
      <c r="PWB105" s="17"/>
      <c r="PWC105" s="17"/>
      <c r="PWD105" s="17"/>
      <c r="PWE105" s="17"/>
      <c r="PWF105" s="17"/>
      <c r="PWG105" s="17"/>
      <c r="PWH105" s="17"/>
      <c r="PWI105" s="17"/>
      <c r="PWJ105" s="17"/>
      <c r="PWK105" s="17"/>
      <c r="PWL105" s="17"/>
      <c r="PWM105" s="17"/>
      <c r="PWN105" s="17"/>
      <c r="PWO105" s="17"/>
      <c r="PWP105" s="17"/>
      <c r="PWQ105" s="17"/>
      <c r="PWR105" s="17"/>
      <c r="PWS105" s="17"/>
      <c r="PWT105" s="17"/>
      <c r="PWU105" s="17"/>
      <c r="PWV105" s="17"/>
      <c r="PWW105" s="17"/>
      <c r="PWX105" s="17"/>
      <c r="PWY105" s="17"/>
      <c r="PWZ105" s="17"/>
      <c r="PXA105" s="17"/>
      <c r="PXB105" s="17"/>
      <c r="PXC105" s="17"/>
      <c r="PXD105" s="17"/>
      <c r="PXE105" s="17"/>
      <c r="PXF105" s="17"/>
      <c r="PXG105" s="17"/>
      <c r="PXH105" s="17"/>
      <c r="PXI105" s="17"/>
      <c r="PXJ105" s="17"/>
      <c r="PXK105" s="17"/>
      <c r="PXL105" s="17"/>
      <c r="PXM105" s="17"/>
      <c r="PXN105" s="17"/>
      <c r="PXO105" s="17"/>
      <c r="PXP105" s="17"/>
      <c r="PXQ105" s="17"/>
      <c r="PXR105" s="17"/>
      <c r="PXS105" s="17"/>
      <c r="PXT105" s="17"/>
      <c r="PXU105" s="17"/>
      <c r="PXV105" s="17"/>
      <c r="PXW105" s="17"/>
      <c r="PXX105" s="17"/>
      <c r="PXY105" s="17"/>
      <c r="PXZ105" s="17"/>
      <c r="PYA105" s="17"/>
      <c r="PYB105" s="17"/>
      <c r="PYC105" s="17"/>
      <c r="PYD105" s="17"/>
      <c r="PYE105" s="17"/>
      <c r="PYF105" s="17"/>
      <c r="PYG105" s="17"/>
      <c r="PYH105" s="17"/>
      <c r="PYI105" s="17"/>
      <c r="PYJ105" s="17"/>
      <c r="PYK105" s="17"/>
      <c r="PYL105" s="17"/>
      <c r="PYM105" s="17"/>
      <c r="PYN105" s="17"/>
      <c r="PYO105" s="17"/>
      <c r="PYP105" s="17"/>
      <c r="PYQ105" s="17"/>
      <c r="PYR105" s="17"/>
      <c r="PYS105" s="17"/>
      <c r="PYT105" s="17"/>
      <c r="PYU105" s="17"/>
      <c r="PYV105" s="17"/>
      <c r="PYW105" s="17"/>
      <c r="PYX105" s="17"/>
      <c r="PYY105" s="17"/>
      <c r="PYZ105" s="17"/>
      <c r="PZA105" s="17"/>
      <c r="PZB105" s="17"/>
      <c r="PZC105" s="17"/>
      <c r="PZD105" s="17"/>
      <c r="PZE105" s="17"/>
      <c r="PZF105" s="17"/>
      <c r="PZG105" s="17"/>
      <c r="PZH105" s="17"/>
      <c r="PZI105" s="17"/>
      <c r="PZJ105" s="17"/>
      <c r="PZK105" s="17"/>
      <c r="PZL105" s="17"/>
      <c r="PZM105" s="17"/>
      <c r="PZN105" s="17"/>
      <c r="PZO105" s="17"/>
      <c r="PZP105" s="17"/>
      <c r="PZQ105" s="17"/>
      <c r="PZR105" s="17"/>
      <c r="PZS105" s="17"/>
      <c r="PZT105" s="17"/>
      <c r="PZU105" s="17"/>
      <c r="PZV105" s="17"/>
      <c r="PZW105" s="17"/>
      <c r="PZX105" s="17"/>
      <c r="PZY105" s="17"/>
      <c r="PZZ105" s="17"/>
      <c r="QAA105" s="17"/>
      <c r="QAB105" s="17"/>
      <c r="QAC105" s="17"/>
      <c r="QAD105" s="17"/>
      <c r="QAE105" s="17"/>
      <c r="QAF105" s="17"/>
      <c r="QAG105" s="17"/>
      <c r="QAH105" s="17"/>
      <c r="QAI105" s="17"/>
      <c r="QAJ105" s="17"/>
      <c r="QAK105" s="17"/>
      <c r="QAL105" s="17"/>
      <c r="QAM105" s="17"/>
      <c r="QAN105" s="17"/>
      <c r="QAO105" s="17"/>
      <c r="QAP105" s="17"/>
      <c r="QAQ105" s="17"/>
      <c r="QAR105" s="17"/>
      <c r="QAS105" s="17"/>
      <c r="QAT105" s="17"/>
      <c r="QAU105" s="17"/>
      <c r="QAV105" s="17"/>
      <c r="QAW105" s="17"/>
      <c r="QAX105" s="17"/>
      <c r="QAY105" s="17"/>
      <c r="QAZ105" s="17"/>
      <c r="QBA105" s="17"/>
      <c r="QBB105" s="17"/>
      <c r="QBC105" s="17"/>
      <c r="QBD105" s="17"/>
      <c r="QBE105" s="17"/>
      <c r="QBF105" s="17"/>
      <c r="QBG105" s="17"/>
      <c r="QBH105" s="17"/>
      <c r="QBI105" s="17"/>
      <c r="QBJ105" s="17"/>
      <c r="QBK105" s="17"/>
      <c r="QBL105" s="17"/>
      <c r="QBM105" s="17"/>
      <c r="QBN105" s="17"/>
      <c r="QBO105" s="17"/>
      <c r="QBP105" s="17"/>
      <c r="QBQ105" s="17"/>
      <c r="QBR105" s="17"/>
      <c r="QBS105" s="17"/>
      <c r="QBT105" s="17"/>
      <c r="QBU105" s="17"/>
      <c r="QBV105" s="17"/>
      <c r="QBW105" s="17"/>
      <c r="QBX105" s="17"/>
      <c r="QBY105" s="17"/>
      <c r="QBZ105" s="17"/>
      <c r="QCA105" s="17"/>
      <c r="QCB105" s="17"/>
      <c r="QCC105" s="17"/>
      <c r="QCD105" s="17"/>
      <c r="QCE105" s="17"/>
      <c r="QCF105" s="17"/>
      <c r="QCG105" s="17"/>
      <c r="QCH105" s="17"/>
      <c r="QCI105" s="17"/>
      <c r="QCJ105" s="17"/>
      <c r="QCK105" s="17"/>
      <c r="QCL105" s="17"/>
      <c r="QCM105" s="17"/>
      <c r="QCN105" s="17"/>
      <c r="QCO105" s="17"/>
      <c r="QCP105" s="17"/>
      <c r="QCQ105" s="17"/>
      <c r="QCR105" s="17"/>
      <c r="QCS105" s="17"/>
      <c r="QCT105" s="17"/>
      <c r="QCU105" s="17"/>
      <c r="QCV105" s="17"/>
      <c r="QCW105" s="17"/>
      <c r="QCX105" s="17"/>
      <c r="QCY105" s="17"/>
      <c r="QCZ105" s="17"/>
      <c r="QDA105" s="17"/>
      <c r="QDB105" s="17"/>
      <c r="QDC105" s="17"/>
      <c r="QDD105" s="17"/>
      <c r="QDE105" s="17"/>
      <c r="QDF105" s="17"/>
      <c r="QDG105" s="17"/>
      <c r="QDH105" s="17"/>
      <c r="QDI105" s="17"/>
      <c r="QDJ105" s="17"/>
      <c r="QDK105" s="17"/>
      <c r="QDL105" s="17"/>
      <c r="QDM105" s="17"/>
      <c r="QDN105" s="17"/>
      <c r="QDO105" s="17"/>
      <c r="QDP105" s="17"/>
      <c r="QDQ105" s="17"/>
      <c r="QDR105" s="17"/>
      <c r="QDS105" s="17"/>
      <c r="QDT105" s="17"/>
      <c r="QDU105" s="17"/>
      <c r="QDV105" s="17"/>
      <c r="QDW105" s="17"/>
      <c r="QDX105" s="17"/>
      <c r="QDY105" s="17"/>
      <c r="QDZ105" s="17"/>
      <c r="QEA105" s="17"/>
      <c r="QEB105" s="17"/>
      <c r="QEC105" s="17"/>
      <c r="QED105" s="17"/>
      <c r="QEE105" s="17"/>
      <c r="QEF105" s="17"/>
      <c r="QEG105" s="17"/>
      <c r="QEH105" s="17"/>
      <c r="QEI105" s="17"/>
      <c r="QEJ105" s="17"/>
      <c r="QEK105" s="17"/>
      <c r="QEL105" s="17"/>
      <c r="QEM105" s="17"/>
      <c r="QEN105" s="17"/>
      <c r="QEO105" s="17"/>
      <c r="QEP105" s="17"/>
      <c r="QEQ105" s="17"/>
      <c r="QER105" s="17"/>
      <c r="QES105" s="17"/>
      <c r="QET105" s="17"/>
      <c r="QEU105" s="17"/>
      <c r="QEV105" s="17"/>
      <c r="QEW105" s="17"/>
      <c r="QEX105" s="17"/>
      <c r="QEY105" s="17"/>
      <c r="QEZ105" s="17"/>
      <c r="QFA105" s="17"/>
      <c r="QFB105" s="17"/>
      <c r="QFC105" s="17"/>
      <c r="QFD105" s="17"/>
      <c r="QFE105" s="17"/>
      <c r="QFF105" s="17"/>
      <c r="QFG105" s="17"/>
      <c r="QFH105" s="17"/>
      <c r="QFI105" s="17"/>
      <c r="QFJ105" s="17"/>
      <c r="QFK105" s="17"/>
      <c r="QFL105" s="17"/>
      <c r="QFM105" s="17"/>
      <c r="QFN105" s="17"/>
      <c r="QFO105" s="17"/>
      <c r="QFP105" s="17"/>
      <c r="QFQ105" s="17"/>
      <c r="QFR105" s="17"/>
      <c r="QFS105" s="17"/>
      <c r="QFT105" s="17"/>
      <c r="QFU105" s="17"/>
      <c r="QFV105" s="17"/>
      <c r="QFW105" s="17"/>
      <c r="QFX105" s="17"/>
      <c r="QFY105" s="17"/>
      <c r="QFZ105" s="17"/>
      <c r="QGA105" s="17"/>
      <c r="QGB105" s="17"/>
      <c r="QGC105" s="17"/>
      <c r="QGD105" s="17"/>
      <c r="QGE105" s="17"/>
      <c r="QGF105" s="17"/>
      <c r="QGG105" s="17"/>
      <c r="QGH105" s="17"/>
      <c r="QGI105" s="17"/>
      <c r="QGJ105" s="17"/>
      <c r="QGK105" s="17"/>
      <c r="QGL105" s="17"/>
      <c r="QGM105" s="17"/>
      <c r="QGN105" s="17"/>
      <c r="QGO105" s="17"/>
      <c r="QGP105" s="17"/>
      <c r="QGQ105" s="17"/>
      <c r="QGR105" s="17"/>
      <c r="QGS105" s="17"/>
      <c r="QGT105" s="17"/>
      <c r="QGU105" s="17"/>
      <c r="QGV105" s="17"/>
      <c r="QGW105" s="17"/>
      <c r="QGX105" s="17"/>
      <c r="QGY105" s="17"/>
      <c r="QGZ105" s="17"/>
      <c r="QHA105" s="17"/>
      <c r="QHB105" s="17"/>
      <c r="QHC105" s="17"/>
      <c r="QHD105" s="17"/>
      <c r="QHE105" s="17"/>
      <c r="QHF105" s="17"/>
      <c r="QHG105" s="17"/>
      <c r="QHH105" s="17"/>
      <c r="QHI105" s="17"/>
      <c r="QHJ105" s="17"/>
      <c r="QHK105" s="17"/>
      <c r="QHL105" s="17"/>
      <c r="QHM105" s="17"/>
      <c r="QHN105" s="17"/>
      <c r="QHO105" s="17"/>
      <c r="QHP105" s="17"/>
      <c r="QHQ105" s="17"/>
      <c r="QHR105" s="17"/>
      <c r="QHS105" s="17"/>
      <c r="QHT105" s="17"/>
      <c r="QHU105" s="17"/>
      <c r="QHV105" s="17"/>
      <c r="QHW105" s="17"/>
      <c r="QHX105" s="17"/>
      <c r="QHY105" s="17"/>
      <c r="QHZ105" s="17"/>
      <c r="QIA105" s="17"/>
      <c r="QIB105" s="17"/>
      <c r="QIC105" s="17"/>
      <c r="QID105" s="17"/>
      <c r="QIE105" s="17"/>
      <c r="QIF105" s="17"/>
      <c r="QIG105" s="17"/>
      <c r="QIH105" s="17"/>
      <c r="QII105" s="17"/>
      <c r="QIJ105" s="17"/>
      <c r="QIK105" s="17"/>
      <c r="QIL105" s="17"/>
      <c r="QIM105" s="17"/>
      <c r="QIN105" s="17"/>
      <c r="QIO105" s="17"/>
      <c r="QIP105" s="17"/>
      <c r="QIQ105" s="17"/>
      <c r="QIR105" s="17"/>
      <c r="QIS105" s="17"/>
      <c r="QIT105" s="17"/>
      <c r="QIU105" s="17"/>
      <c r="QIV105" s="17"/>
      <c r="QIW105" s="17"/>
      <c r="QIX105" s="17"/>
      <c r="QIY105" s="17"/>
      <c r="QIZ105" s="17"/>
      <c r="QJA105" s="17"/>
      <c r="QJB105" s="17"/>
      <c r="QJC105" s="17"/>
      <c r="QJD105" s="17"/>
      <c r="QJE105" s="17"/>
      <c r="QJF105" s="17"/>
      <c r="QJG105" s="17"/>
      <c r="QJH105" s="17"/>
      <c r="QJI105" s="17"/>
      <c r="QJJ105" s="17"/>
      <c r="QJK105" s="17"/>
      <c r="QJL105" s="17"/>
      <c r="QJM105" s="17"/>
      <c r="QJN105" s="17"/>
      <c r="QJO105" s="17"/>
      <c r="QJP105" s="17"/>
      <c r="QJQ105" s="17"/>
      <c r="QJR105" s="17"/>
      <c r="QJS105" s="17"/>
      <c r="QJT105" s="17"/>
      <c r="QJU105" s="17"/>
      <c r="QJV105" s="17"/>
      <c r="QJW105" s="17"/>
      <c r="QJX105" s="17"/>
      <c r="QJY105" s="17"/>
      <c r="QJZ105" s="17"/>
      <c r="QKA105" s="17"/>
      <c r="QKB105" s="17"/>
      <c r="QKC105" s="17"/>
      <c r="QKD105" s="17"/>
      <c r="QKE105" s="17"/>
      <c r="QKF105" s="17"/>
      <c r="QKG105" s="17"/>
      <c r="QKH105" s="17"/>
      <c r="QKI105" s="17"/>
      <c r="QKJ105" s="17"/>
      <c r="QKK105" s="17"/>
      <c r="QKL105" s="17"/>
      <c r="QKM105" s="17"/>
      <c r="QKN105" s="17"/>
      <c r="QKO105" s="17"/>
      <c r="QKP105" s="17"/>
      <c r="QKQ105" s="17"/>
      <c r="QKR105" s="17"/>
      <c r="QKS105" s="17"/>
      <c r="QKT105" s="17"/>
      <c r="QKU105" s="17"/>
      <c r="QKV105" s="17"/>
      <c r="QKW105" s="17"/>
      <c r="QKX105" s="17"/>
      <c r="QKY105" s="17"/>
      <c r="QKZ105" s="17"/>
      <c r="QLA105" s="17"/>
      <c r="QLB105" s="17"/>
      <c r="QLC105" s="17"/>
      <c r="QLD105" s="17"/>
      <c r="QLE105" s="17"/>
      <c r="QLF105" s="17"/>
      <c r="QLG105" s="17"/>
      <c r="QLH105" s="17"/>
      <c r="QLI105" s="17"/>
      <c r="QLJ105" s="17"/>
      <c r="QLK105" s="17"/>
      <c r="QLL105" s="17"/>
      <c r="QLM105" s="17"/>
      <c r="QLN105" s="17"/>
      <c r="QLO105" s="17"/>
      <c r="QLP105" s="17"/>
      <c r="QLQ105" s="17"/>
      <c r="QLR105" s="17"/>
      <c r="QLS105" s="17"/>
      <c r="QLT105" s="17"/>
      <c r="QLU105" s="17"/>
      <c r="QLV105" s="17"/>
      <c r="QLW105" s="17"/>
      <c r="QLX105" s="17"/>
      <c r="QLY105" s="17"/>
      <c r="QLZ105" s="17"/>
      <c r="QMA105" s="17"/>
      <c r="QMB105" s="17"/>
      <c r="QMC105" s="17"/>
      <c r="QMD105" s="17"/>
      <c r="QME105" s="17"/>
      <c r="QMF105" s="17"/>
      <c r="QMG105" s="17"/>
      <c r="QMH105" s="17"/>
      <c r="QMI105" s="17"/>
      <c r="QMJ105" s="17"/>
      <c r="QMK105" s="17"/>
      <c r="QML105" s="17"/>
      <c r="QMM105" s="17"/>
      <c r="QMN105" s="17"/>
      <c r="QMO105" s="17"/>
      <c r="QMP105" s="17"/>
      <c r="QMQ105" s="17"/>
      <c r="QMR105" s="17"/>
      <c r="QMS105" s="17"/>
      <c r="QMT105" s="17"/>
      <c r="QMU105" s="17"/>
      <c r="QMV105" s="17"/>
      <c r="QMW105" s="17"/>
      <c r="QMX105" s="17"/>
      <c r="QMY105" s="17"/>
      <c r="QMZ105" s="17"/>
      <c r="QNA105" s="17"/>
      <c r="QNB105" s="17"/>
      <c r="QNC105" s="17"/>
      <c r="QND105" s="17"/>
      <c r="QNE105" s="17"/>
      <c r="QNF105" s="17"/>
      <c r="QNG105" s="17"/>
      <c r="QNH105" s="17"/>
      <c r="QNI105" s="17"/>
      <c r="QNJ105" s="17"/>
      <c r="QNK105" s="17"/>
      <c r="QNL105" s="17"/>
      <c r="QNM105" s="17"/>
      <c r="QNN105" s="17"/>
      <c r="QNO105" s="17"/>
      <c r="QNP105" s="17"/>
      <c r="QNQ105" s="17"/>
      <c r="QNR105" s="17"/>
      <c r="QNS105" s="17"/>
      <c r="QNT105" s="17"/>
      <c r="QNU105" s="17"/>
      <c r="QNV105" s="17"/>
      <c r="QNW105" s="17"/>
      <c r="QNX105" s="17"/>
      <c r="QNY105" s="17"/>
      <c r="QNZ105" s="17"/>
      <c r="QOA105" s="17"/>
      <c r="QOB105" s="17"/>
      <c r="QOC105" s="17"/>
      <c r="QOD105" s="17"/>
      <c r="QOE105" s="17"/>
      <c r="QOF105" s="17"/>
      <c r="QOG105" s="17"/>
      <c r="QOH105" s="17"/>
      <c r="QOI105" s="17"/>
      <c r="QOJ105" s="17"/>
      <c r="QOK105" s="17"/>
      <c r="QOL105" s="17"/>
      <c r="QOM105" s="17"/>
      <c r="QON105" s="17"/>
      <c r="QOO105" s="17"/>
      <c r="QOP105" s="17"/>
      <c r="QOQ105" s="17"/>
      <c r="QOR105" s="17"/>
      <c r="QOS105" s="17"/>
      <c r="QOT105" s="17"/>
      <c r="QOU105" s="17"/>
      <c r="QOV105" s="17"/>
      <c r="QOW105" s="17"/>
      <c r="QOX105" s="17"/>
      <c r="QOY105" s="17"/>
      <c r="QOZ105" s="17"/>
      <c r="QPA105" s="17"/>
      <c r="QPB105" s="17"/>
      <c r="QPC105" s="17"/>
      <c r="QPD105" s="17"/>
      <c r="QPE105" s="17"/>
      <c r="QPF105" s="17"/>
      <c r="QPG105" s="17"/>
      <c r="QPH105" s="17"/>
      <c r="QPI105" s="17"/>
      <c r="QPJ105" s="17"/>
      <c r="QPK105" s="17"/>
      <c r="QPL105" s="17"/>
      <c r="QPM105" s="17"/>
      <c r="QPN105" s="17"/>
      <c r="QPO105" s="17"/>
      <c r="QPP105" s="17"/>
      <c r="QPQ105" s="17"/>
      <c r="QPR105" s="17"/>
      <c r="QPS105" s="17"/>
      <c r="QPT105" s="17"/>
      <c r="QPU105" s="17"/>
      <c r="QPV105" s="17"/>
      <c r="QPW105" s="17"/>
      <c r="QPX105" s="17"/>
      <c r="QPY105" s="17"/>
      <c r="QPZ105" s="17"/>
      <c r="QQA105" s="17"/>
      <c r="QQB105" s="17"/>
      <c r="QQC105" s="17"/>
      <c r="QQD105" s="17"/>
      <c r="QQE105" s="17"/>
      <c r="QQF105" s="17"/>
      <c r="QQG105" s="17"/>
      <c r="QQH105" s="17"/>
      <c r="QQI105" s="17"/>
      <c r="QQJ105" s="17"/>
      <c r="QQK105" s="17"/>
      <c r="QQL105" s="17"/>
      <c r="QQM105" s="17"/>
      <c r="QQN105" s="17"/>
      <c r="QQO105" s="17"/>
      <c r="QQP105" s="17"/>
      <c r="QQQ105" s="17"/>
      <c r="QQR105" s="17"/>
      <c r="QQS105" s="17"/>
      <c r="QQT105" s="17"/>
      <c r="QQU105" s="17"/>
      <c r="QQV105" s="17"/>
      <c r="QQW105" s="17"/>
      <c r="QQX105" s="17"/>
      <c r="QQY105" s="17"/>
      <c r="QQZ105" s="17"/>
      <c r="QRA105" s="17"/>
      <c r="QRB105" s="17"/>
      <c r="QRC105" s="17"/>
      <c r="QRD105" s="17"/>
      <c r="QRE105" s="17"/>
      <c r="QRF105" s="17"/>
      <c r="QRG105" s="17"/>
      <c r="QRH105" s="17"/>
      <c r="QRI105" s="17"/>
      <c r="QRJ105" s="17"/>
      <c r="QRK105" s="17"/>
      <c r="QRL105" s="17"/>
      <c r="QRM105" s="17"/>
      <c r="QRN105" s="17"/>
      <c r="QRO105" s="17"/>
      <c r="QRP105" s="17"/>
      <c r="QRQ105" s="17"/>
      <c r="QRR105" s="17"/>
      <c r="QRS105" s="17"/>
      <c r="QRT105" s="17"/>
      <c r="QRU105" s="17"/>
      <c r="QRV105" s="17"/>
      <c r="QRW105" s="17"/>
      <c r="QRX105" s="17"/>
      <c r="QRY105" s="17"/>
      <c r="QRZ105" s="17"/>
      <c r="QSA105" s="17"/>
      <c r="QSB105" s="17"/>
      <c r="QSC105" s="17"/>
      <c r="QSD105" s="17"/>
      <c r="QSE105" s="17"/>
      <c r="QSF105" s="17"/>
      <c r="QSG105" s="17"/>
      <c r="QSH105" s="17"/>
      <c r="QSI105" s="17"/>
      <c r="QSJ105" s="17"/>
      <c r="QSK105" s="17"/>
      <c r="QSL105" s="17"/>
      <c r="QSM105" s="17"/>
      <c r="QSN105" s="17"/>
      <c r="QSO105" s="17"/>
      <c r="QSP105" s="17"/>
      <c r="QSQ105" s="17"/>
      <c r="QSR105" s="17"/>
      <c r="QSS105" s="17"/>
      <c r="QST105" s="17"/>
      <c r="QSU105" s="17"/>
      <c r="QSV105" s="17"/>
      <c r="QSW105" s="17"/>
      <c r="QSX105" s="17"/>
      <c r="QSY105" s="17"/>
      <c r="QSZ105" s="17"/>
      <c r="QTA105" s="17"/>
      <c r="QTB105" s="17"/>
      <c r="QTC105" s="17"/>
      <c r="QTD105" s="17"/>
      <c r="QTE105" s="17"/>
      <c r="QTF105" s="17"/>
      <c r="QTG105" s="17"/>
      <c r="QTH105" s="17"/>
      <c r="QTI105" s="17"/>
      <c r="QTJ105" s="17"/>
      <c r="QTK105" s="17"/>
      <c r="QTL105" s="17"/>
      <c r="QTM105" s="17"/>
      <c r="QTN105" s="17"/>
      <c r="QTO105" s="17"/>
      <c r="QTP105" s="17"/>
      <c r="QTQ105" s="17"/>
      <c r="QTR105" s="17"/>
      <c r="QTS105" s="17"/>
      <c r="QTT105" s="17"/>
      <c r="QTU105" s="17"/>
      <c r="QTV105" s="17"/>
      <c r="QTW105" s="17"/>
      <c r="QTX105" s="17"/>
      <c r="QTY105" s="17"/>
      <c r="QTZ105" s="17"/>
      <c r="QUA105" s="17"/>
      <c r="QUB105" s="17"/>
      <c r="QUC105" s="17"/>
      <c r="QUD105" s="17"/>
      <c r="QUE105" s="17"/>
      <c r="QUF105" s="17"/>
      <c r="QUG105" s="17"/>
      <c r="QUH105" s="17"/>
      <c r="QUI105" s="17"/>
      <c r="QUJ105" s="17"/>
      <c r="QUK105" s="17"/>
      <c r="QUL105" s="17"/>
      <c r="QUM105" s="17"/>
      <c r="QUN105" s="17"/>
      <c r="QUO105" s="17"/>
      <c r="QUP105" s="17"/>
      <c r="QUQ105" s="17"/>
      <c r="QUR105" s="17"/>
      <c r="QUS105" s="17"/>
      <c r="QUT105" s="17"/>
      <c r="QUU105" s="17"/>
      <c r="QUV105" s="17"/>
      <c r="QUW105" s="17"/>
      <c r="QUX105" s="17"/>
      <c r="QUY105" s="17"/>
      <c r="QUZ105" s="17"/>
      <c r="QVA105" s="17"/>
      <c r="QVB105" s="17"/>
      <c r="QVC105" s="17"/>
      <c r="QVD105" s="17"/>
      <c r="QVE105" s="17"/>
      <c r="QVF105" s="17"/>
      <c r="QVG105" s="17"/>
      <c r="QVH105" s="17"/>
      <c r="QVI105" s="17"/>
      <c r="QVJ105" s="17"/>
      <c r="QVK105" s="17"/>
      <c r="QVL105" s="17"/>
      <c r="QVM105" s="17"/>
      <c r="QVN105" s="17"/>
      <c r="QVO105" s="17"/>
      <c r="QVP105" s="17"/>
      <c r="QVQ105" s="17"/>
      <c r="QVR105" s="17"/>
      <c r="QVS105" s="17"/>
      <c r="QVT105" s="17"/>
      <c r="QVU105" s="17"/>
      <c r="QVV105" s="17"/>
      <c r="QVW105" s="17"/>
      <c r="QVX105" s="17"/>
      <c r="QVY105" s="17"/>
      <c r="QVZ105" s="17"/>
      <c r="QWA105" s="17"/>
      <c r="QWB105" s="17"/>
      <c r="QWC105" s="17"/>
      <c r="QWD105" s="17"/>
      <c r="QWE105" s="17"/>
      <c r="QWF105" s="17"/>
      <c r="QWG105" s="17"/>
      <c r="QWH105" s="17"/>
      <c r="QWI105" s="17"/>
      <c r="QWJ105" s="17"/>
      <c r="QWK105" s="17"/>
      <c r="QWL105" s="17"/>
      <c r="QWM105" s="17"/>
      <c r="QWN105" s="17"/>
      <c r="QWO105" s="17"/>
      <c r="QWP105" s="17"/>
      <c r="QWQ105" s="17"/>
      <c r="QWR105" s="17"/>
      <c r="QWS105" s="17"/>
      <c r="QWT105" s="17"/>
      <c r="QWU105" s="17"/>
      <c r="QWV105" s="17"/>
      <c r="QWW105" s="17"/>
      <c r="QWX105" s="17"/>
      <c r="QWY105" s="17"/>
      <c r="QWZ105" s="17"/>
      <c r="QXA105" s="17"/>
      <c r="QXB105" s="17"/>
      <c r="QXC105" s="17"/>
      <c r="QXD105" s="17"/>
      <c r="QXE105" s="17"/>
      <c r="QXF105" s="17"/>
      <c r="QXG105" s="17"/>
      <c r="QXH105" s="17"/>
      <c r="QXI105" s="17"/>
      <c r="QXJ105" s="17"/>
      <c r="QXK105" s="17"/>
      <c r="QXL105" s="17"/>
      <c r="QXM105" s="17"/>
      <c r="QXN105" s="17"/>
      <c r="QXO105" s="17"/>
      <c r="QXP105" s="17"/>
      <c r="QXQ105" s="17"/>
      <c r="QXR105" s="17"/>
      <c r="QXS105" s="17"/>
      <c r="QXT105" s="17"/>
      <c r="QXU105" s="17"/>
      <c r="QXV105" s="17"/>
      <c r="QXW105" s="17"/>
      <c r="QXX105" s="17"/>
      <c r="QXY105" s="17"/>
      <c r="QXZ105" s="17"/>
      <c r="QYA105" s="17"/>
      <c r="QYB105" s="17"/>
      <c r="QYC105" s="17"/>
      <c r="QYD105" s="17"/>
      <c r="QYE105" s="17"/>
      <c r="QYF105" s="17"/>
      <c r="QYG105" s="17"/>
      <c r="QYH105" s="17"/>
      <c r="QYI105" s="17"/>
      <c r="QYJ105" s="17"/>
      <c r="QYK105" s="17"/>
      <c r="QYL105" s="17"/>
      <c r="QYM105" s="17"/>
      <c r="QYN105" s="17"/>
      <c r="QYO105" s="17"/>
      <c r="QYP105" s="17"/>
      <c r="QYQ105" s="17"/>
      <c r="QYR105" s="17"/>
      <c r="QYS105" s="17"/>
      <c r="QYT105" s="17"/>
      <c r="QYU105" s="17"/>
      <c r="QYV105" s="17"/>
      <c r="QYW105" s="17"/>
      <c r="QYX105" s="17"/>
      <c r="QYY105" s="17"/>
      <c r="QYZ105" s="17"/>
      <c r="QZA105" s="17"/>
      <c r="QZB105" s="17"/>
      <c r="QZC105" s="17"/>
      <c r="QZD105" s="17"/>
      <c r="QZE105" s="17"/>
      <c r="QZF105" s="17"/>
      <c r="QZG105" s="17"/>
      <c r="QZH105" s="17"/>
      <c r="QZI105" s="17"/>
      <c r="QZJ105" s="17"/>
      <c r="QZK105" s="17"/>
      <c r="QZL105" s="17"/>
      <c r="QZM105" s="17"/>
      <c r="QZN105" s="17"/>
      <c r="QZO105" s="17"/>
      <c r="QZP105" s="17"/>
      <c r="QZQ105" s="17"/>
      <c r="QZR105" s="17"/>
      <c r="QZS105" s="17"/>
      <c r="QZT105" s="17"/>
      <c r="QZU105" s="17"/>
      <c r="QZV105" s="17"/>
      <c r="QZW105" s="17"/>
      <c r="QZX105" s="17"/>
      <c r="QZY105" s="17"/>
      <c r="QZZ105" s="17"/>
      <c r="RAA105" s="17"/>
      <c r="RAB105" s="17"/>
      <c r="RAC105" s="17"/>
      <c r="RAD105" s="17"/>
      <c r="RAE105" s="17"/>
      <c r="RAF105" s="17"/>
      <c r="RAG105" s="17"/>
      <c r="RAH105" s="17"/>
      <c r="RAI105" s="17"/>
      <c r="RAJ105" s="17"/>
      <c r="RAK105" s="17"/>
      <c r="RAL105" s="17"/>
      <c r="RAM105" s="17"/>
      <c r="RAN105" s="17"/>
      <c r="RAO105" s="17"/>
      <c r="RAP105" s="17"/>
      <c r="RAQ105" s="17"/>
      <c r="RAR105" s="17"/>
      <c r="RAS105" s="17"/>
      <c r="RAT105" s="17"/>
      <c r="RAU105" s="17"/>
      <c r="RAV105" s="17"/>
      <c r="RAW105" s="17"/>
      <c r="RAX105" s="17"/>
      <c r="RAY105" s="17"/>
      <c r="RAZ105" s="17"/>
      <c r="RBA105" s="17"/>
      <c r="RBB105" s="17"/>
      <c r="RBC105" s="17"/>
      <c r="RBD105" s="17"/>
      <c r="RBE105" s="17"/>
      <c r="RBF105" s="17"/>
      <c r="RBG105" s="17"/>
      <c r="RBH105" s="17"/>
      <c r="RBI105" s="17"/>
      <c r="RBJ105" s="17"/>
      <c r="RBK105" s="17"/>
      <c r="RBL105" s="17"/>
      <c r="RBM105" s="17"/>
      <c r="RBN105" s="17"/>
      <c r="RBO105" s="17"/>
      <c r="RBP105" s="17"/>
      <c r="RBQ105" s="17"/>
      <c r="RBR105" s="17"/>
      <c r="RBS105" s="17"/>
      <c r="RBT105" s="17"/>
      <c r="RBU105" s="17"/>
      <c r="RBV105" s="17"/>
      <c r="RBW105" s="17"/>
      <c r="RBX105" s="17"/>
      <c r="RBY105" s="17"/>
      <c r="RBZ105" s="17"/>
      <c r="RCA105" s="17"/>
      <c r="RCB105" s="17"/>
      <c r="RCC105" s="17"/>
      <c r="RCD105" s="17"/>
      <c r="RCE105" s="17"/>
      <c r="RCF105" s="17"/>
      <c r="RCG105" s="17"/>
      <c r="RCH105" s="17"/>
      <c r="RCI105" s="17"/>
      <c r="RCJ105" s="17"/>
      <c r="RCK105" s="17"/>
      <c r="RCL105" s="17"/>
      <c r="RCM105" s="17"/>
      <c r="RCN105" s="17"/>
      <c r="RCO105" s="17"/>
      <c r="RCP105" s="17"/>
      <c r="RCQ105" s="17"/>
      <c r="RCR105" s="17"/>
      <c r="RCS105" s="17"/>
      <c r="RCT105" s="17"/>
      <c r="RCU105" s="17"/>
      <c r="RCV105" s="17"/>
      <c r="RCW105" s="17"/>
      <c r="RCX105" s="17"/>
      <c r="RCY105" s="17"/>
      <c r="RCZ105" s="17"/>
      <c r="RDA105" s="17"/>
      <c r="RDB105" s="17"/>
      <c r="RDC105" s="17"/>
      <c r="RDD105" s="17"/>
      <c r="RDE105" s="17"/>
      <c r="RDF105" s="17"/>
      <c r="RDG105" s="17"/>
      <c r="RDH105" s="17"/>
      <c r="RDI105" s="17"/>
      <c r="RDJ105" s="17"/>
      <c r="RDK105" s="17"/>
      <c r="RDL105" s="17"/>
      <c r="RDM105" s="17"/>
      <c r="RDN105" s="17"/>
      <c r="RDO105" s="17"/>
      <c r="RDP105" s="17"/>
      <c r="RDQ105" s="17"/>
      <c r="RDR105" s="17"/>
      <c r="RDS105" s="17"/>
      <c r="RDT105" s="17"/>
      <c r="RDU105" s="17"/>
      <c r="RDV105" s="17"/>
      <c r="RDW105" s="17"/>
      <c r="RDX105" s="17"/>
      <c r="RDY105" s="17"/>
      <c r="RDZ105" s="17"/>
      <c r="REA105" s="17"/>
      <c r="REB105" s="17"/>
      <c r="REC105" s="17"/>
      <c r="RED105" s="17"/>
      <c r="REE105" s="17"/>
      <c r="REF105" s="17"/>
      <c r="REG105" s="17"/>
      <c r="REH105" s="17"/>
      <c r="REI105" s="17"/>
      <c r="REJ105" s="17"/>
      <c r="REK105" s="17"/>
      <c r="REL105" s="17"/>
      <c r="REM105" s="17"/>
      <c r="REN105" s="17"/>
      <c r="REO105" s="17"/>
      <c r="REP105" s="17"/>
      <c r="REQ105" s="17"/>
      <c r="RER105" s="17"/>
      <c r="RES105" s="17"/>
      <c r="RET105" s="17"/>
      <c r="REU105" s="17"/>
      <c r="REV105" s="17"/>
      <c r="REW105" s="17"/>
      <c r="REX105" s="17"/>
      <c r="REY105" s="17"/>
      <c r="REZ105" s="17"/>
      <c r="RFA105" s="17"/>
      <c r="RFB105" s="17"/>
      <c r="RFC105" s="17"/>
      <c r="RFD105" s="17"/>
      <c r="RFE105" s="17"/>
      <c r="RFF105" s="17"/>
      <c r="RFG105" s="17"/>
      <c r="RFH105" s="17"/>
      <c r="RFI105" s="17"/>
      <c r="RFJ105" s="17"/>
      <c r="RFK105" s="17"/>
      <c r="RFL105" s="17"/>
      <c r="RFM105" s="17"/>
      <c r="RFN105" s="17"/>
      <c r="RFO105" s="17"/>
      <c r="RFP105" s="17"/>
      <c r="RFQ105" s="17"/>
      <c r="RFR105" s="17"/>
      <c r="RFS105" s="17"/>
      <c r="RFT105" s="17"/>
      <c r="RFU105" s="17"/>
      <c r="RFV105" s="17"/>
      <c r="RFW105" s="17"/>
      <c r="RFX105" s="17"/>
      <c r="RFY105" s="17"/>
      <c r="RFZ105" s="17"/>
      <c r="RGA105" s="17"/>
      <c r="RGB105" s="17"/>
      <c r="RGC105" s="17"/>
      <c r="RGD105" s="17"/>
      <c r="RGE105" s="17"/>
      <c r="RGF105" s="17"/>
      <c r="RGG105" s="17"/>
      <c r="RGH105" s="17"/>
      <c r="RGI105" s="17"/>
      <c r="RGJ105" s="17"/>
      <c r="RGK105" s="17"/>
      <c r="RGL105" s="17"/>
      <c r="RGM105" s="17"/>
      <c r="RGN105" s="17"/>
      <c r="RGO105" s="17"/>
      <c r="RGP105" s="17"/>
      <c r="RGQ105" s="17"/>
      <c r="RGR105" s="17"/>
      <c r="RGS105" s="17"/>
      <c r="RGT105" s="17"/>
      <c r="RGU105" s="17"/>
      <c r="RGV105" s="17"/>
      <c r="RGW105" s="17"/>
      <c r="RGX105" s="17"/>
      <c r="RGY105" s="17"/>
      <c r="RGZ105" s="17"/>
      <c r="RHA105" s="17"/>
      <c r="RHB105" s="17"/>
      <c r="RHC105" s="17"/>
      <c r="RHD105" s="17"/>
      <c r="RHE105" s="17"/>
      <c r="RHF105" s="17"/>
      <c r="RHG105" s="17"/>
      <c r="RHH105" s="17"/>
      <c r="RHI105" s="17"/>
      <c r="RHJ105" s="17"/>
      <c r="RHK105" s="17"/>
      <c r="RHL105" s="17"/>
      <c r="RHM105" s="17"/>
      <c r="RHN105" s="17"/>
      <c r="RHO105" s="17"/>
      <c r="RHP105" s="17"/>
      <c r="RHQ105" s="17"/>
      <c r="RHR105" s="17"/>
      <c r="RHS105" s="17"/>
      <c r="RHT105" s="17"/>
      <c r="RHU105" s="17"/>
      <c r="RHV105" s="17"/>
      <c r="RHW105" s="17"/>
      <c r="RHX105" s="17"/>
      <c r="RHY105" s="17"/>
      <c r="RHZ105" s="17"/>
      <c r="RIA105" s="17"/>
      <c r="RIB105" s="17"/>
      <c r="RIC105" s="17"/>
      <c r="RID105" s="17"/>
      <c r="RIE105" s="17"/>
      <c r="RIF105" s="17"/>
      <c r="RIG105" s="17"/>
      <c r="RIH105" s="17"/>
      <c r="RII105" s="17"/>
      <c r="RIJ105" s="17"/>
      <c r="RIK105" s="17"/>
      <c r="RIL105" s="17"/>
      <c r="RIM105" s="17"/>
      <c r="RIN105" s="17"/>
      <c r="RIO105" s="17"/>
      <c r="RIP105" s="17"/>
      <c r="RIQ105" s="17"/>
      <c r="RIR105" s="17"/>
      <c r="RIS105" s="17"/>
      <c r="RIT105" s="17"/>
      <c r="RIU105" s="17"/>
      <c r="RIV105" s="17"/>
      <c r="RIW105" s="17"/>
      <c r="RIX105" s="17"/>
      <c r="RIY105" s="17"/>
      <c r="RIZ105" s="17"/>
      <c r="RJA105" s="17"/>
      <c r="RJB105" s="17"/>
      <c r="RJC105" s="17"/>
      <c r="RJD105" s="17"/>
      <c r="RJE105" s="17"/>
      <c r="RJF105" s="17"/>
      <c r="RJG105" s="17"/>
      <c r="RJH105" s="17"/>
      <c r="RJI105" s="17"/>
      <c r="RJJ105" s="17"/>
      <c r="RJK105" s="17"/>
      <c r="RJL105" s="17"/>
      <c r="RJM105" s="17"/>
      <c r="RJN105" s="17"/>
      <c r="RJO105" s="17"/>
      <c r="RJP105" s="17"/>
      <c r="RJQ105" s="17"/>
      <c r="RJR105" s="17"/>
      <c r="RJS105" s="17"/>
      <c r="RJT105" s="17"/>
      <c r="RJU105" s="17"/>
      <c r="RJV105" s="17"/>
      <c r="RJW105" s="17"/>
      <c r="RJX105" s="17"/>
      <c r="RJY105" s="17"/>
      <c r="RJZ105" s="17"/>
      <c r="RKA105" s="17"/>
      <c r="RKB105" s="17"/>
      <c r="RKC105" s="17"/>
      <c r="RKD105" s="17"/>
      <c r="RKE105" s="17"/>
      <c r="RKF105" s="17"/>
      <c r="RKG105" s="17"/>
      <c r="RKH105" s="17"/>
      <c r="RKI105" s="17"/>
      <c r="RKJ105" s="17"/>
      <c r="RKK105" s="17"/>
      <c r="RKL105" s="17"/>
      <c r="RKM105" s="17"/>
      <c r="RKN105" s="17"/>
      <c r="RKO105" s="17"/>
      <c r="RKP105" s="17"/>
      <c r="RKQ105" s="17"/>
      <c r="RKR105" s="17"/>
      <c r="RKS105" s="17"/>
      <c r="RKT105" s="17"/>
      <c r="RKU105" s="17"/>
      <c r="RKV105" s="17"/>
      <c r="RKW105" s="17"/>
      <c r="RKX105" s="17"/>
      <c r="RKY105" s="17"/>
      <c r="RKZ105" s="17"/>
      <c r="RLA105" s="17"/>
      <c r="RLB105" s="17"/>
      <c r="RLC105" s="17"/>
      <c r="RLD105" s="17"/>
      <c r="RLE105" s="17"/>
      <c r="RLF105" s="17"/>
      <c r="RLG105" s="17"/>
      <c r="RLH105" s="17"/>
      <c r="RLI105" s="17"/>
      <c r="RLJ105" s="17"/>
      <c r="RLK105" s="17"/>
      <c r="RLL105" s="17"/>
      <c r="RLM105" s="17"/>
      <c r="RLN105" s="17"/>
      <c r="RLO105" s="17"/>
      <c r="RLP105" s="17"/>
      <c r="RLQ105" s="17"/>
      <c r="RLR105" s="17"/>
      <c r="RLS105" s="17"/>
      <c r="RLT105" s="17"/>
      <c r="RLU105" s="17"/>
      <c r="RLV105" s="17"/>
      <c r="RLW105" s="17"/>
      <c r="RLX105" s="17"/>
      <c r="RLY105" s="17"/>
      <c r="RLZ105" s="17"/>
      <c r="RMA105" s="17"/>
      <c r="RMB105" s="17"/>
      <c r="RMC105" s="17"/>
      <c r="RMD105" s="17"/>
      <c r="RME105" s="17"/>
      <c r="RMF105" s="17"/>
      <c r="RMG105" s="17"/>
      <c r="RMH105" s="17"/>
      <c r="RMI105" s="17"/>
      <c r="RMJ105" s="17"/>
      <c r="RMK105" s="17"/>
      <c r="RML105" s="17"/>
      <c r="RMM105" s="17"/>
      <c r="RMN105" s="17"/>
      <c r="RMO105" s="17"/>
      <c r="RMP105" s="17"/>
      <c r="RMQ105" s="17"/>
      <c r="RMR105" s="17"/>
      <c r="RMS105" s="17"/>
      <c r="RMT105" s="17"/>
      <c r="RMU105" s="17"/>
      <c r="RMV105" s="17"/>
      <c r="RMW105" s="17"/>
      <c r="RMX105" s="17"/>
      <c r="RMY105" s="17"/>
      <c r="RMZ105" s="17"/>
      <c r="RNA105" s="17"/>
      <c r="RNB105" s="17"/>
      <c r="RNC105" s="17"/>
      <c r="RND105" s="17"/>
      <c r="RNE105" s="17"/>
      <c r="RNF105" s="17"/>
      <c r="RNG105" s="17"/>
      <c r="RNH105" s="17"/>
      <c r="RNI105" s="17"/>
      <c r="RNJ105" s="17"/>
      <c r="RNK105" s="17"/>
      <c r="RNL105" s="17"/>
      <c r="RNM105" s="17"/>
      <c r="RNN105" s="17"/>
      <c r="RNO105" s="17"/>
      <c r="RNP105" s="17"/>
      <c r="RNQ105" s="17"/>
      <c r="RNR105" s="17"/>
      <c r="RNS105" s="17"/>
      <c r="RNT105" s="17"/>
      <c r="RNU105" s="17"/>
      <c r="RNV105" s="17"/>
      <c r="RNW105" s="17"/>
      <c r="RNX105" s="17"/>
      <c r="RNY105" s="17"/>
      <c r="RNZ105" s="17"/>
      <c r="ROA105" s="17"/>
      <c r="ROB105" s="17"/>
      <c r="ROC105" s="17"/>
      <c r="ROD105" s="17"/>
      <c r="ROE105" s="17"/>
      <c r="ROF105" s="17"/>
      <c r="ROG105" s="17"/>
      <c r="ROH105" s="17"/>
      <c r="ROI105" s="17"/>
      <c r="ROJ105" s="17"/>
      <c r="ROK105" s="17"/>
      <c r="ROL105" s="17"/>
      <c r="ROM105" s="17"/>
      <c r="RON105" s="17"/>
      <c r="ROO105" s="17"/>
      <c r="ROP105" s="17"/>
      <c r="ROQ105" s="17"/>
      <c r="ROR105" s="17"/>
      <c r="ROS105" s="17"/>
      <c r="ROT105" s="17"/>
      <c r="ROU105" s="17"/>
      <c r="ROV105" s="17"/>
      <c r="ROW105" s="17"/>
      <c r="ROX105" s="17"/>
      <c r="ROY105" s="17"/>
      <c r="ROZ105" s="17"/>
      <c r="RPA105" s="17"/>
      <c r="RPB105" s="17"/>
      <c r="RPC105" s="17"/>
      <c r="RPD105" s="17"/>
      <c r="RPE105" s="17"/>
      <c r="RPF105" s="17"/>
      <c r="RPG105" s="17"/>
      <c r="RPH105" s="17"/>
      <c r="RPI105" s="17"/>
      <c r="RPJ105" s="17"/>
      <c r="RPK105" s="17"/>
      <c r="RPL105" s="17"/>
      <c r="RPM105" s="17"/>
      <c r="RPN105" s="17"/>
      <c r="RPO105" s="17"/>
      <c r="RPP105" s="17"/>
      <c r="RPQ105" s="17"/>
      <c r="RPR105" s="17"/>
      <c r="RPS105" s="17"/>
      <c r="RPT105" s="17"/>
      <c r="RPU105" s="17"/>
      <c r="RPV105" s="17"/>
      <c r="RPW105" s="17"/>
      <c r="RPX105" s="17"/>
      <c r="RPY105" s="17"/>
      <c r="RPZ105" s="17"/>
      <c r="RQA105" s="17"/>
      <c r="RQB105" s="17"/>
      <c r="RQC105" s="17"/>
      <c r="RQD105" s="17"/>
      <c r="RQE105" s="17"/>
      <c r="RQF105" s="17"/>
      <c r="RQG105" s="17"/>
      <c r="RQH105" s="17"/>
      <c r="RQI105" s="17"/>
      <c r="RQJ105" s="17"/>
      <c r="RQK105" s="17"/>
      <c r="RQL105" s="17"/>
      <c r="RQM105" s="17"/>
      <c r="RQN105" s="17"/>
      <c r="RQO105" s="17"/>
      <c r="RQP105" s="17"/>
      <c r="RQQ105" s="17"/>
      <c r="RQR105" s="17"/>
      <c r="RQS105" s="17"/>
      <c r="RQT105" s="17"/>
      <c r="RQU105" s="17"/>
      <c r="RQV105" s="17"/>
      <c r="RQW105" s="17"/>
      <c r="RQX105" s="17"/>
      <c r="RQY105" s="17"/>
      <c r="RQZ105" s="17"/>
      <c r="RRA105" s="17"/>
      <c r="RRB105" s="17"/>
      <c r="RRC105" s="17"/>
      <c r="RRD105" s="17"/>
      <c r="RRE105" s="17"/>
      <c r="RRF105" s="17"/>
      <c r="RRG105" s="17"/>
      <c r="RRH105" s="17"/>
      <c r="RRI105" s="17"/>
      <c r="RRJ105" s="17"/>
      <c r="RRK105" s="17"/>
      <c r="RRL105" s="17"/>
      <c r="RRM105" s="17"/>
      <c r="RRN105" s="17"/>
      <c r="RRO105" s="17"/>
      <c r="RRP105" s="17"/>
      <c r="RRQ105" s="17"/>
      <c r="RRR105" s="17"/>
      <c r="RRS105" s="17"/>
      <c r="RRT105" s="17"/>
      <c r="RRU105" s="17"/>
      <c r="RRV105" s="17"/>
      <c r="RRW105" s="17"/>
      <c r="RRX105" s="17"/>
      <c r="RRY105" s="17"/>
      <c r="RRZ105" s="17"/>
      <c r="RSA105" s="17"/>
      <c r="RSB105" s="17"/>
      <c r="RSC105" s="17"/>
      <c r="RSD105" s="17"/>
      <c r="RSE105" s="17"/>
      <c r="RSF105" s="17"/>
      <c r="RSG105" s="17"/>
      <c r="RSH105" s="17"/>
      <c r="RSI105" s="17"/>
      <c r="RSJ105" s="17"/>
      <c r="RSK105" s="17"/>
      <c r="RSL105" s="17"/>
      <c r="RSM105" s="17"/>
      <c r="RSN105" s="17"/>
      <c r="RSO105" s="17"/>
      <c r="RSP105" s="17"/>
      <c r="RSQ105" s="17"/>
      <c r="RSR105" s="17"/>
      <c r="RSS105" s="17"/>
      <c r="RST105" s="17"/>
      <c r="RSU105" s="17"/>
      <c r="RSV105" s="17"/>
      <c r="RSW105" s="17"/>
      <c r="RSX105" s="17"/>
      <c r="RSY105" s="17"/>
      <c r="RSZ105" s="17"/>
      <c r="RTA105" s="17"/>
      <c r="RTB105" s="17"/>
      <c r="RTC105" s="17"/>
      <c r="RTD105" s="17"/>
      <c r="RTE105" s="17"/>
      <c r="RTF105" s="17"/>
      <c r="RTG105" s="17"/>
      <c r="RTH105" s="17"/>
      <c r="RTI105" s="17"/>
      <c r="RTJ105" s="17"/>
      <c r="RTK105" s="17"/>
      <c r="RTL105" s="17"/>
      <c r="RTM105" s="17"/>
      <c r="RTN105" s="17"/>
      <c r="RTO105" s="17"/>
      <c r="RTP105" s="17"/>
      <c r="RTQ105" s="17"/>
      <c r="RTR105" s="17"/>
      <c r="RTS105" s="17"/>
      <c r="RTT105" s="17"/>
      <c r="RTU105" s="17"/>
      <c r="RTV105" s="17"/>
      <c r="RTW105" s="17"/>
      <c r="RTX105" s="17"/>
      <c r="RTY105" s="17"/>
      <c r="RTZ105" s="17"/>
      <c r="RUA105" s="17"/>
      <c r="RUB105" s="17"/>
      <c r="RUC105" s="17"/>
      <c r="RUD105" s="17"/>
      <c r="RUE105" s="17"/>
      <c r="RUF105" s="17"/>
      <c r="RUG105" s="17"/>
      <c r="RUH105" s="17"/>
      <c r="RUI105" s="17"/>
      <c r="RUJ105" s="17"/>
      <c r="RUK105" s="17"/>
      <c r="RUL105" s="17"/>
      <c r="RUM105" s="17"/>
      <c r="RUN105" s="17"/>
      <c r="RUO105" s="17"/>
      <c r="RUP105" s="17"/>
      <c r="RUQ105" s="17"/>
      <c r="RUR105" s="17"/>
      <c r="RUS105" s="17"/>
      <c r="RUT105" s="17"/>
      <c r="RUU105" s="17"/>
      <c r="RUV105" s="17"/>
      <c r="RUW105" s="17"/>
      <c r="RUX105" s="17"/>
      <c r="RUY105" s="17"/>
      <c r="RUZ105" s="17"/>
      <c r="RVA105" s="17"/>
      <c r="RVB105" s="17"/>
      <c r="RVC105" s="17"/>
      <c r="RVD105" s="17"/>
      <c r="RVE105" s="17"/>
      <c r="RVF105" s="17"/>
      <c r="RVG105" s="17"/>
      <c r="RVH105" s="17"/>
      <c r="RVI105" s="17"/>
      <c r="RVJ105" s="17"/>
      <c r="RVK105" s="17"/>
      <c r="RVL105" s="17"/>
      <c r="RVM105" s="17"/>
      <c r="RVN105" s="17"/>
      <c r="RVO105" s="17"/>
      <c r="RVP105" s="17"/>
      <c r="RVQ105" s="17"/>
      <c r="RVR105" s="17"/>
      <c r="RVS105" s="17"/>
      <c r="RVT105" s="17"/>
      <c r="RVU105" s="17"/>
      <c r="RVV105" s="17"/>
      <c r="RVW105" s="17"/>
      <c r="RVX105" s="17"/>
      <c r="RVY105" s="17"/>
      <c r="RVZ105" s="17"/>
      <c r="RWA105" s="17"/>
      <c r="RWB105" s="17"/>
      <c r="RWC105" s="17"/>
      <c r="RWD105" s="17"/>
      <c r="RWE105" s="17"/>
      <c r="RWF105" s="17"/>
      <c r="RWG105" s="17"/>
      <c r="RWH105" s="17"/>
      <c r="RWI105" s="17"/>
      <c r="RWJ105" s="17"/>
      <c r="RWK105" s="17"/>
      <c r="RWL105" s="17"/>
      <c r="RWM105" s="17"/>
      <c r="RWN105" s="17"/>
      <c r="RWO105" s="17"/>
      <c r="RWP105" s="17"/>
      <c r="RWQ105" s="17"/>
      <c r="RWR105" s="17"/>
      <c r="RWS105" s="17"/>
      <c r="RWT105" s="17"/>
      <c r="RWU105" s="17"/>
      <c r="RWV105" s="17"/>
      <c r="RWW105" s="17"/>
      <c r="RWX105" s="17"/>
      <c r="RWY105" s="17"/>
      <c r="RWZ105" s="17"/>
      <c r="RXA105" s="17"/>
      <c r="RXB105" s="17"/>
      <c r="RXC105" s="17"/>
      <c r="RXD105" s="17"/>
      <c r="RXE105" s="17"/>
      <c r="RXF105" s="17"/>
      <c r="RXG105" s="17"/>
      <c r="RXH105" s="17"/>
      <c r="RXI105" s="17"/>
      <c r="RXJ105" s="17"/>
      <c r="RXK105" s="17"/>
      <c r="RXL105" s="17"/>
      <c r="RXM105" s="17"/>
      <c r="RXN105" s="17"/>
      <c r="RXO105" s="17"/>
      <c r="RXP105" s="17"/>
      <c r="RXQ105" s="17"/>
      <c r="RXR105" s="17"/>
      <c r="RXS105" s="17"/>
      <c r="RXT105" s="17"/>
      <c r="RXU105" s="17"/>
      <c r="RXV105" s="17"/>
      <c r="RXW105" s="17"/>
      <c r="RXX105" s="17"/>
      <c r="RXY105" s="17"/>
      <c r="RXZ105" s="17"/>
      <c r="RYA105" s="17"/>
      <c r="RYB105" s="17"/>
      <c r="RYC105" s="17"/>
      <c r="RYD105" s="17"/>
      <c r="RYE105" s="17"/>
      <c r="RYF105" s="17"/>
      <c r="RYG105" s="17"/>
      <c r="RYH105" s="17"/>
      <c r="RYI105" s="17"/>
      <c r="RYJ105" s="17"/>
      <c r="RYK105" s="17"/>
      <c r="RYL105" s="17"/>
      <c r="RYM105" s="17"/>
      <c r="RYN105" s="17"/>
      <c r="RYO105" s="17"/>
      <c r="RYP105" s="17"/>
      <c r="RYQ105" s="17"/>
      <c r="RYR105" s="17"/>
      <c r="RYS105" s="17"/>
      <c r="RYT105" s="17"/>
      <c r="RYU105" s="17"/>
      <c r="RYV105" s="17"/>
      <c r="RYW105" s="17"/>
      <c r="RYX105" s="17"/>
      <c r="RYY105" s="17"/>
      <c r="RYZ105" s="17"/>
      <c r="RZA105" s="17"/>
      <c r="RZB105" s="17"/>
      <c r="RZC105" s="17"/>
      <c r="RZD105" s="17"/>
      <c r="RZE105" s="17"/>
      <c r="RZF105" s="17"/>
      <c r="RZG105" s="17"/>
      <c r="RZH105" s="17"/>
      <c r="RZI105" s="17"/>
      <c r="RZJ105" s="17"/>
      <c r="RZK105" s="17"/>
      <c r="RZL105" s="17"/>
      <c r="RZM105" s="17"/>
      <c r="RZN105" s="17"/>
      <c r="RZO105" s="17"/>
      <c r="RZP105" s="17"/>
      <c r="RZQ105" s="17"/>
      <c r="RZR105" s="17"/>
      <c r="RZS105" s="17"/>
      <c r="RZT105" s="17"/>
      <c r="RZU105" s="17"/>
      <c r="RZV105" s="17"/>
      <c r="RZW105" s="17"/>
      <c r="RZX105" s="17"/>
      <c r="RZY105" s="17"/>
      <c r="RZZ105" s="17"/>
      <c r="SAA105" s="17"/>
      <c r="SAB105" s="17"/>
      <c r="SAC105" s="17"/>
      <c r="SAD105" s="17"/>
      <c r="SAE105" s="17"/>
      <c r="SAF105" s="17"/>
      <c r="SAG105" s="17"/>
      <c r="SAH105" s="17"/>
      <c r="SAI105" s="17"/>
      <c r="SAJ105" s="17"/>
      <c r="SAK105" s="17"/>
      <c r="SAL105" s="17"/>
      <c r="SAM105" s="17"/>
      <c r="SAN105" s="17"/>
      <c r="SAO105" s="17"/>
      <c r="SAP105" s="17"/>
      <c r="SAQ105" s="17"/>
      <c r="SAR105" s="17"/>
      <c r="SAS105" s="17"/>
      <c r="SAT105" s="17"/>
      <c r="SAU105" s="17"/>
      <c r="SAV105" s="17"/>
      <c r="SAW105" s="17"/>
      <c r="SAX105" s="17"/>
      <c r="SAY105" s="17"/>
      <c r="SAZ105" s="17"/>
      <c r="SBA105" s="17"/>
      <c r="SBB105" s="17"/>
      <c r="SBC105" s="17"/>
      <c r="SBD105" s="17"/>
      <c r="SBE105" s="17"/>
      <c r="SBF105" s="17"/>
      <c r="SBG105" s="17"/>
      <c r="SBH105" s="17"/>
      <c r="SBI105" s="17"/>
      <c r="SBJ105" s="17"/>
      <c r="SBK105" s="17"/>
      <c r="SBL105" s="17"/>
      <c r="SBM105" s="17"/>
      <c r="SBN105" s="17"/>
      <c r="SBO105" s="17"/>
      <c r="SBP105" s="17"/>
      <c r="SBQ105" s="17"/>
      <c r="SBR105" s="17"/>
      <c r="SBS105" s="17"/>
      <c r="SBT105" s="17"/>
      <c r="SBU105" s="17"/>
      <c r="SBV105" s="17"/>
      <c r="SBW105" s="17"/>
      <c r="SBX105" s="17"/>
      <c r="SBY105" s="17"/>
      <c r="SBZ105" s="17"/>
      <c r="SCA105" s="17"/>
      <c r="SCB105" s="17"/>
      <c r="SCC105" s="17"/>
      <c r="SCD105" s="17"/>
      <c r="SCE105" s="17"/>
      <c r="SCF105" s="17"/>
      <c r="SCG105" s="17"/>
      <c r="SCH105" s="17"/>
      <c r="SCI105" s="17"/>
      <c r="SCJ105" s="17"/>
      <c r="SCK105" s="17"/>
      <c r="SCL105" s="17"/>
      <c r="SCM105" s="17"/>
      <c r="SCN105" s="17"/>
      <c r="SCO105" s="17"/>
      <c r="SCP105" s="17"/>
      <c r="SCQ105" s="17"/>
      <c r="SCR105" s="17"/>
      <c r="SCS105" s="17"/>
      <c r="SCT105" s="17"/>
      <c r="SCU105" s="17"/>
      <c r="SCV105" s="17"/>
      <c r="SCW105" s="17"/>
      <c r="SCX105" s="17"/>
      <c r="SCY105" s="17"/>
      <c r="SCZ105" s="17"/>
      <c r="SDA105" s="17"/>
      <c r="SDB105" s="17"/>
      <c r="SDC105" s="17"/>
      <c r="SDD105" s="17"/>
      <c r="SDE105" s="17"/>
      <c r="SDF105" s="17"/>
      <c r="SDG105" s="17"/>
      <c r="SDH105" s="17"/>
      <c r="SDI105" s="17"/>
      <c r="SDJ105" s="17"/>
      <c r="SDK105" s="17"/>
      <c r="SDL105" s="17"/>
      <c r="SDM105" s="17"/>
      <c r="SDN105" s="17"/>
      <c r="SDO105" s="17"/>
      <c r="SDP105" s="17"/>
      <c r="SDQ105" s="17"/>
      <c r="SDR105" s="17"/>
      <c r="SDS105" s="17"/>
      <c r="SDT105" s="17"/>
      <c r="SDU105" s="17"/>
      <c r="SDV105" s="17"/>
      <c r="SDW105" s="17"/>
      <c r="SDX105" s="17"/>
      <c r="SDY105" s="17"/>
      <c r="SDZ105" s="17"/>
      <c r="SEA105" s="17"/>
      <c r="SEB105" s="17"/>
      <c r="SEC105" s="17"/>
      <c r="SED105" s="17"/>
      <c r="SEE105" s="17"/>
      <c r="SEF105" s="17"/>
      <c r="SEG105" s="17"/>
      <c r="SEH105" s="17"/>
      <c r="SEI105" s="17"/>
      <c r="SEJ105" s="17"/>
      <c r="SEK105" s="17"/>
      <c r="SEL105" s="17"/>
      <c r="SEM105" s="17"/>
      <c r="SEN105" s="17"/>
      <c r="SEO105" s="17"/>
      <c r="SEP105" s="17"/>
      <c r="SEQ105" s="17"/>
      <c r="SER105" s="17"/>
      <c r="SES105" s="17"/>
      <c r="SET105" s="17"/>
      <c r="SEU105" s="17"/>
      <c r="SEV105" s="17"/>
      <c r="SEW105" s="17"/>
      <c r="SEX105" s="17"/>
      <c r="SEY105" s="17"/>
      <c r="SEZ105" s="17"/>
      <c r="SFA105" s="17"/>
      <c r="SFB105" s="17"/>
      <c r="SFC105" s="17"/>
      <c r="SFD105" s="17"/>
      <c r="SFE105" s="17"/>
      <c r="SFF105" s="17"/>
      <c r="SFG105" s="17"/>
      <c r="SFH105" s="17"/>
      <c r="SFI105" s="17"/>
      <c r="SFJ105" s="17"/>
      <c r="SFK105" s="17"/>
      <c r="SFL105" s="17"/>
      <c r="SFM105" s="17"/>
      <c r="SFN105" s="17"/>
      <c r="SFO105" s="17"/>
      <c r="SFP105" s="17"/>
      <c r="SFQ105" s="17"/>
      <c r="SFR105" s="17"/>
      <c r="SFS105" s="17"/>
      <c r="SFT105" s="17"/>
      <c r="SFU105" s="17"/>
      <c r="SFV105" s="17"/>
      <c r="SFW105" s="17"/>
      <c r="SFX105" s="17"/>
      <c r="SFY105" s="17"/>
      <c r="SFZ105" s="17"/>
      <c r="SGA105" s="17"/>
      <c r="SGB105" s="17"/>
      <c r="SGC105" s="17"/>
      <c r="SGD105" s="17"/>
      <c r="SGE105" s="17"/>
      <c r="SGF105" s="17"/>
      <c r="SGG105" s="17"/>
      <c r="SGH105" s="17"/>
      <c r="SGI105" s="17"/>
      <c r="SGJ105" s="17"/>
      <c r="SGK105" s="17"/>
      <c r="SGL105" s="17"/>
      <c r="SGM105" s="17"/>
      <c r="SGN105" s="17"/>
      <c r="SGO105" s="17"/>
      <c r="SGP105" s="17"/>
      <c r="SGQ105" s="17"/>
      <c r="SGR105" s="17"/>
      <c r="SGS105" s="17"/>
      <c r="SGT105" s="17"/>
      <c r="SGU105" s="17"/>
      <c r="SGV105" s="17"/>
      <c r="SGW105" s="17"/>
      <c r="SGX105" s="17"/>
      <c r="SGY105" s="17"/>
      <c r="SGZ105" s="17"/>
      <c r="SHA105" s="17"/>
      <c r="SHB105" s="17"/>
      <c r="SHC105" s="17"/>
      <c r="SHD105" s="17"/>
      <c r="SHE105" s="17"/>
      <c r="SHF105" s="17"/>
      <c r="SHG105" s="17"/>
      <c r="SHH105" s="17"/>
      <c r="SHI105" s="17"/>
      <c r="SHJ105" s="17"/>
      <c r="SHK105" s="17"/>
      <c r="SHL105" s="17"/>
      <c r="SHM105" s="17"/>
      <c r="SHN105" s="17"/>
      <c r="SHO105" s="17"/>
      <c r="SHP105" s="17"/>
      <c r="SHQ105" s="17"/>
      <c r="SHR105" s="17"/>
      <c r="SHS105" s="17"/>
      <c r="SHT105" s="17"/>
      <c r="SHU105" s="17"/>
      <c r="SHV105" s="17"/>
      <c r="SHW105" s="17"/>
      <c r="SHX105" s="17"/>
      <c r="SHY105" s="17"/>
      <c r="SHZ105" s="17"/>
      <c r="SIA105" s="17"/>
      <c r="SIB105" s="17"/>
      <c r="SIC105" s="17"/>
      <c r="SID105" s="17"/>
      <c r="SIE105" s="17"/>
      <c r="SIF105" s="17"/>
      <c r="SIG105" s="17"/>
      <c r="SIH105" s="17"/>
      <c r="SII105" s="17"/>
      <c r="SIJ105" s="17"/>
      <c r="SIK105" s="17"/>
      <c r="SIL105" s="17"/>
      <c r="SIM105" s="17"/>
      <c r="SIN105" s="17"/>
      <c r="SIO105" s="17"/>
      <c r="SIP105" s="17"/>
      <c r="SIQ105" s="17"/>
      <c r="SIR105" s="17"/>
      <c r="SIS105" s="17"/>
      <c r="SIT105" s="17"/>
      <c r="SIU105" s="17"/>
      <c r="SIV105" s="17"/>
      <c r="SIW105" s="17"/>
      <c r="SIX105" s="17"/>
      <c r="SIY105" s="17"/>
      <c r="SIZ105" s="17"/>
      <c r="SJA105" s="17"/>
      <c r="SJB105" s="17"/>
      <c r="SJC105" s="17"/>
      <c r="SJD105" s="17"/>
      <c r="SJE105" s="17"/>
      <c r="SJF105" s="17"/>
      <c r="SJG105" s="17"/>
      <c r="SJH105" s="17"/>
      <c r="SJI105" s="17"/>
      <c r="SJJ105" s="17"/>
      <c r="SJK105" s="17"/>
      <c r="SJL105" s="17"/>
      <c r="SJM105" s="17"/>
      <c r="SJN105" s="17"/>
      <c r="SJO105" s="17"/>
      <c r="SJP105" s="17"/>
      <c r="SJQ105" s="17"/>
      <c r="SJR105" s="17"/>
      <c r="SJS105" s="17"/>
      <c r="SJT105" s="17"/>
      <c r="SJU105" s="17"/>
      <c r="SJV105" s="17"/>
      <c r="SJW105" s="17"/>
      <c r="SJX105" s="17"/>
      <c r="SJY105" s="17"/>
      <c r="SJZ105" s="17"/>
      <c r="SKA105" s="17"/>
      <c r="SKB105" s="17"/>
      <c r="SKC105" s="17"/>
      <c r="SKD105" s="17"/>
      <c r="SKE105" s="17"/>
      <c r="SKF105" s="17"/>
      <c r="SKG105" s="17"/>
      <c r="SKH105" s="17"/>
      <c r="SKI105" s="17"/>
      <c r="SKJ105" s="17"/>
      <c r="SKK105" s="17"/>
      <c r="SKL105" s="17"/>
      <c r="SKM105" s="17"/>
      <c r="SKN105" s="17"/>
      <c r="SKO105" s="17"/>
      <c r="SKP105" s="17"/>
      <c r="SKQ105" s="17"/>
      <c r="SKR105" s="17"/>
      <c r="SKS105" s="17"/>
      <c r="SKT105" s="17"/>
      <c r="SKU105" s="17"/>
      <c r="SKV105" s="17"/>
      <c r="SKW105" s="17"/>
      <c r="SKX105" s="17"/>
      <c r="SKY105" s="17"/>
      <c r="SKZ105" s="17"/>
      <c r="SLA105" s="17"/>
      <c r="SLB105" s="17"/>
      <c r="SLC105" s="17"/>
      <c r="SLD105" s="17"/>
      <c r="SLE105" s="17"/>
      <c r="SLF105" s="17"/>
      <c r="SLG105" s="17"/>
      <c r="SLH105" s="17"/>
      <c r="SLI105" s="17"/>
      <c r="SLJ105" s="17"/>
      <c r="SLK105" s="17"/>
      <c r="SLL105" s="17"/>
      <c r="SLM105" s="17"/>
      <c r="SLN105" s="17"/>
      <c r="SLO105" s="17"/>
      <c r="SLP105" s="17"/>
      <c r="SLQ105" s="17"/>
      <c r="SLR105" s="17"/>
      <c r="SLS105" s="17"/>
      <c r="SLT105" s="17"/>
      <c r="SLU105" s="17"/>
      <c r="SLV105" s="17"/>
      <c r="SLW105" s="17"/>
      <c r="SLX105" s="17"/>
      <c r="SLY105" s="17"/>
      <c r="SLZ105" s="17"/>
      <c r="SMA105" s="17"/>
      <c r="SMB105" s="17"/>
      <c r="SMC105" s="17"/>
      <c r="SMD105" s="17"/>
      <c r="SME105" s="17"/>
      <c r="SMF105" s="17"/>
      <c r="SMG105" s="17"/>
      <c r="SMH105" s="17"/>
      <c r="SMI105" s="17"/>
      <c r="SMJ105" s="17"/>
      <c r="SMK105" s="17"/>
      <c r="SML105" s="17"/>
      <c r="SMM105" s="17"/>
      <c r="SMN105" s="17"/>
      <c r="SMO105" s="17"/>
      <c r="SMP105" s="17"/>
      <c r="SMQ105" s="17"/>
      <c r="SMR105" s="17"/>
      <c r="SMS105" s="17"/>
      <c r="SMT105" s="17"/>
      <c r="SMU105" s="17"/>
      <c r="SMV105" s="17"/>
      <c r="SMW105" s="17"/>
      <c r="SMX105" s="17"/>
      <c r="SMY105" s="17"/>
      <c r="SMZ105" s="17"/>
      <c r="SNA105" s="17"/>
      <c r="SNB105" s="17"/>
      <c r="SNC105" s="17"/>
      <c r="SND105" s="17"/>
      <c r="SNE105" s="17"/>
      <c r="SNF105" s="17"/>
      <c r="SNG105" s="17"/>
      <c r="SNH105" s="17"/>
      <c r="SNI105" s="17"/>
      <c r="SNJ105" s="17"/>
      <c r="SNK105" s="17"/>
      <c r="SNL105" s="17"/>
      <c r="SNM105" s="17"/>
      <c r="SNN105" s="17"/>
      <c r="SNO105" s="17"/>
      <c r="SNP105" s="17"/>
      <c r="SNQ105" s="17"/>
      <c r="SNR105" s="17"/>
      <c r="SNS105" s="17"/>
      <c r="SNT105" s="17"/>
      <c r="SNU105" s="17"/>
      <c r="SNV105" s="17"/>
      <c r="SNW105" s="17"/>
      <c r="SNX105" s="17"/>
      <c r="SNY105" s="17"/>
      <c r="SNZ105" s="17"/>
      <c r="SOA105" s="17"/>
      <c r="SOB105" s="17"/>
      <c r="SOC105" s="17"/>
      <c r="SOD105" s="17"/>
      <c r="SOE105" s="17"/>
      <c r="SOF105" s="17"/>
      <c r="SOG105" s="17"/>
      <c r="SOH105" s="17"/>
      <c r="SOI105" s="17"/>
      <c r="SOJ105" s="17"/>
      <c r="SOK105" s="17"/>
      <c r="SOL105" s="17"/>
      <c r="SOM105" s="17"/>
      <c r="SON105" s="17"/>
      <c r="SOO105" s="17"/>
      <c r="SOP105" s="17"/>
      <c r="SOQ105" s="17"/>
      <c r="SOR105" s="17"/>
      <c r="SOS105" s="17"/>
      <c r="SOT105" s="17"/>
      <c r="SOU105" s="17"/>
      <c r="SOV105" s="17"/>
      <c r="SOW105" s="17"/>
      <c r="SOX105" s="17"/>
      <c r="SOY105" s="17"/>
      <c r="SOZ105" s="17"/>
      <c r="SPA105" s="17"/>
      <c r="SPB105" s="17"/>
      <c r="SPC105" s="17"/>
      <c r="SPD105" s="17"/>
      <c r="SPE105" s="17"/>
      <c r="SPF105" s="17"/>
      <c r="SPG105" s="17"/>
      <c r="SPH105" s="17"/>
      <c r="SPI105" s="17"/>
      <c r="SPJ105" s="17"/>
      <c r="SPK105" s="17"/>
      <c r="SPL105" s="17"/>
      <c r="SPM105" s="17"/>
      <c r="SPN105" s="17"/>
      <c r="SPO105" s="17"/>
      <c r="SPP105" s="17"/>
      <c r="SPQ105" s="17"/>
      <c r="SPR105" s="17"/>
      <c r="SPS105" s="17"/>
      <c r="SPT105" s="17"/>
      <c r="SPU105" s="17"/>
      <c r="SPV105" s="17"/>
      <c r="SPW105" s="17"/>
      <c r="SPX105" s="17"/>
      <c r="SPY105" s="17"/>
      <c r="SPZ105" s="17"/>
      <c r="SQA105" s="17"/>
      <c r="SQB105" s="17"/>
      <c r="SQC105" s="17"/>
      <c r="SQD105" s="17"/>
      <c r="SQE105" s="17"/>
      <c r="SQF105" s="17"/>
      <c r="SQG105" s="17"/>
      <c r="SQH105" s="17"/>
      <c r="SQI105" s="17"/>
      <c r="SQJ105" s="17"/>
      <c r="SQK105" s="17"/>
      <c r="SQL105" s="17"/>
      <c r="SQM105" s="17"/>
      <c r="SQN105" s="17"/>
      <c r="SQO105" s="17"/>
      <c r="SQP105" s="17"/>
      <c r="SQQ105" s="17"/>
      <c r="SQR105" s="17"/>
      <c r="SQS105" s="17"/>
      <c r="SQT105" s="17"/>
      <c r="SQU105" s="17"/>
      <c r="SQV105" s="17"/>
      <c r="SQW105" s="17"/>
      <c r="SQX105" s="17"/>
      <c r="SQY105" s="17"/>
      <c r="SQZ105" s="17"/>
      <c r="SRA105" s="17"/>
      <c r="SRB105" s="17"/>
      <c r="SRC105" s="17"/>
      <c r="SRD105" s="17"/>
      <c r="SRE105" s="17"/>
      <c r="SRF105" s="17"/>
      <c r="SRG105" s="17"/>
      <c r="SRH105" s="17"/>
      <c r="SRI105" s="17"/>
      <c r="SRJ105" s="17"/>
      <c r="SRK105" s="17"/>
      <c r="SRL105" s="17"/>
      <c r="SRM105" s="17"/>
      <c r="SRN105" s="17"/>
      <c r="SRO105" s="17"/>
      <c r="SRP105" s="17"/>
      <c r="SRQ105" s="17"/>
      <c r="SRR105" s="17"/>
      <c r="SRS105" s="17"/>
      <c r="SRT105" s="17"/>
      <c r="SRU105" s="17"/>
      <c r="SRV105" s="17"/>
      <c r="SRW105" s="17"/>
      <c r="SRX105" s="17"/>
      <c r="SRY105" s="17"/>
      <c r="SRZ105" s="17"/>
      <c r="SSA105" s="17"/>
      <c r="SSB105" s="17"/>
      <c r="SSC105" s="17"/>
      <c r="SSD105" s="17"/>
      <c r="SSE105" s="17"/>
      <c r="SSF105" s="17"/>
      <c r="SSG105" s="17"/>
      <c r="SSH105" s="17"/>
      <c r="SSI105" s="17"/>
      <c r="SSJ105" s="17"/>
      <c r="SSK105" s="17"/>
      <c r="SSL105" s="17"/>
      <c r="SSM105" s="17"/>
      <c r="SSN105" s="17"/>
      <c r="SSO105" s="17"/>
      <c r="SSP105" s="17"/>
      <c r="SSQ105" s="17"/>
      <c r="SSR105" s="17"/>
      <c r="SSS105" s="17"/>
      <c r="SST105" s="17"/>
      <c r="SSU105" s="17"/>
      <c r="SSV105" s="17"/>
      <c r="SSW105" s="17"/>
      <c r="SSX105" s="17"/>
      <c r="SSY105" s="17"/>
      <c r="SSZ105" s="17"/>
      <c r="STA105" s="17"/>
      <c r="STB105" s="17"/>
      <c r="STC105" s="17"/>
      <c r="STD105" s="17"/>
      <c r="STE105" s="17"/>
      <c r="STF105" s="17"/>
      <c r="STG105" s="17"/>
      <c r="STH105" s="17"/>
      <c r="STI105" s="17"/>
      <c r="STJ105" s="17"/>
      <c r="STK105" s="17"/>
      <c r="STL105" s="17"/>
      <c r="STM105" s="17"/>
      <c r="STN105" s="17"/>
      <c r="STO105" s="17"/>
      <c r="STP105" s="17"/>
      <c r="STQ105" s="17"/>
      <c r="STR105" s="17"/>
      <c r="STS105" s="17"/>
      <c r="STT105" s="17"/>
      <c r="STU105" s="17"/>
      <c r="STV105" s="17"/>
      <c r="STW105" s="17"/>
      <c r="STX105" s="17"/>
      <c r="STY105" s="17"/>
      <c r="STZ105" s="17"/>
      <c r="SUA105" s="17"/>
      <c r="SUB105" s="17"/>
      <c r="SUC105" s="17"/>
      <c r="SUD105" s="17"/>
      <c r="SUE105" s="17"/>
      <c r="SUF105" s="17"/>
      <c r="SUG105" s="17"/>
      <c r="SUH105" s="17"/>
      <c r="SUI105" s="17"/>
      <c r="SUJ105" s="17"/>
      <c r="SUK105" s="17"/>
      <c r="SUL105" s="17"/>
      <c r="SUM105" s="17"/>
      <c r="SUN105" s="17"/>
      <c r="SUO105" s="17"/>
      <c r="SUP105" s="17"/>
      <c r="SUQ105" s="17"/>
      <c r="SUR105" s="17"/>
      <c r="SUS105" s="17"/>
      <c r="SUT105" s="17"/>
      <c r="SUU105" s="17"/>
      <c r="SUV105" s="17"/>
      <c r="SUW105" s="17"/>
      <c r="SUX105" s="17"/>
      <c r="SUY105" s="17"/>
      <c r="SUZ105" s="17"/>
      <c r="SVA105" s="17"/>
      <c r="SVB105" s="17"/>
      <c r="SVC105" s="17"/>
      <c r="SVD105" s="17"/>
      <c r="SVE105" s="17"/>
      <c r="SVF105" s="17"/>
      <c r="SVG105" s="17"/>
      <c r="SVH105" s="17"/>
      <c r="SVI105" s="17"/>
      <c r="SVJ105" s="17"/>
      <c r="SVK105" s="17"/>
      <c r="SVL105" s="17"/>
      <c r="SVM105" s="17"/>
      <c r="SVN105" s="17"/>
      <c r="SVO105" s="17"/>
      <c r="SVP105" s="17"/>
      <c r="SVQ105" s="17"/>
      <c r="SVR105" s="17"/>
      <c r="SVS105" s="17"/>
      <c r="SVT105" s="17"/>
      <c r="SVU105" s="17"/>
      <c r="SVV105" s="17"/>
      <c r="SVW105" s="17"/>
      <c r="SVX105" s="17"/>
      <c r="SVY105" s="17"/>
      <c r="SVZ105" s="17"/>
      <c r="SWA105" s="17"/>
      <c r="SWB105" s="17"/>
      <c r="SWC105" s="17"/>
      <c r="SWD105" s="17"/>
      <c r="SWE105" s="17"/>
      <c r="SWF105" s="17"/>
      <c r="SWG105" s="17"/>
      <c r="SWH105" s="17"/>
      <c r="SWI105" s="17"/>
      <c r="SWJ105" s="17"/>
      <c r="SWK105" s="17"/>
      <c r="SWL105" s="17"/>
      <c r="SWM105" s="17"/>
      <c r="SWN105" s="17"/>
      <c r="SWO105" s="17"/>
      <c r="SWP105" s="17"/>
      <c r="SWQ105" s="17"/>
      <c r="SWR105" s="17"/>
      <c r="SWS105" s="17"/>
      <c r="SWT105" s="17"/>
      <c r="SWU105" s="17"/>
      <c r="SWV105" s="17"/>
      <c r="SWW105" s="17"/>
      <c r="SWX105" s="17"/>
      <c r="SWY105" s="17"/>
      <c r="SWZ105" s="17"/>
      <c r="SXA105" s="17"/>
      <c r="SXB105" s="17"/>
      <c r="SXC105" s="17"/>
      <c r="SXD105" s="17"/>
      <c r="SXE105" s="17"/>
      <c r="SXF105" s="17"/>
      <c r="SXG105" s="17"/>
      <c r="SXH105" s="17"/>
      <c r="SXI105" s="17"/>
      <c r="SXJ105" s="17"/>
      <c r="SXK105" s="17"/>
      <c r="SXL105" s="17"/>
      <c r="SXM105" s="17"/>
      <c r="SXN105" s="17"/>
      <c r="SXO105" s="17"/>
      <c r="SXP105" s="17"/>
      <c r="SXQ105" s="17"/>
      <c r="SXR105" s="17"/>
      <c r="SXS105" s="17"/>
      <c r="SXT105" s="17"/>
      <c r="SXU105" s="17"/>
      <c r="SXV105" s="17"/>
      <c r="SXW105" s="17"/>
      <c r="SXX105" s="17"/>
      <c r="SXY105" s="17"/>
      <c r="SXZ105" s="17"/>
      <c r="SYA105" s="17"/>
      <c r="SYB105" s="17"/>
      <c r="SYC105" s="17"/>
      <c r="SYD105" s="17"/>
      <c r="SYE105" s="17"/>
      <c r="SYF105" s="17"/>
      <c r="SYG105" s="17"/>
      <c r="SYH105" s="17"/>
      <c r="SYI105" s="17"/>
      <c r="SYJ105" s="17"/>
      <c r="SYK105" s="17"/>
      <c r="SYL105" s="17"/>
      <c r="SYM105" s="17"/>
      <c r="SYN105" s="17"/>
      <c r="SYO105" s="17"/>
      <c r="SYP105" s="17"/>
      <c r="SYQ105" s="17"/>
      <c r="SYR105" s="17"/>
      <c r="SYS105" s="17"/>
      <c r="SYT105" s="17"/>
      <c r="SYU105" s="17"/>
      <c r="SYV105" s="17"/>
      <c r="SYW105" s="17"/>
      <c r="SYX105" s="17"/>
      <c r="SYY105" s="17"/>
      <c r="SYZ105" s="17"/>
      <c r="SZA105" s="17"/>
      <c r="SZB105" s="17"/>
      <c r="SZC105" s="17"/>
      <c r="SZD105" s="17"/>
      <c r="SZE105" s="17"/>
      <c r="SZF105" s="17"/>
      <c r="SZG105" s="17"/>
      <c r="SZH105" s="17"/>
      <c r="SZI105" s="17"/>
      <c r="SZJ105" s="17"/>
      <c r="SZK105" s="17"/>
      <c r="SZL105" s="17"/>
      <c r="SZM105" s="17"/>
      <c r="SZN105" s="17"/>
      <c r="SZO105" s="17"/>
      <c r="SZP105" s="17"/>
      <c r="SZQ105" s="17"/>
      <c r="SZR105" s="17"/>
      <c r="SZS105" s="17"/>
      <c r="SZT105" s="17"/>
      <c r="SZU105" s="17"/>
      <c r="SZV105" s="17"/>
      <c r="SZW105" s="17"/>
      <c r="SZX105" s="17"/>
      <c r="SZY105" s="17"/>
      <c r="SZZ105" s="17"/>
      <c r="TAA105" s="17"/>
      <c r="TAB105" s="17"/>
      <c r="TAC105" s="17"/>
      <c r="TAD105" s="17"/>
      <c r="TAE105" s="17"/>
      <c r="TAF105" s="17"/>
      <c r="TAG105" s="17"/>
      <c r="TAH105" s="17"/>
      <c r="TAI105" s="17"/>
      <c r="TAJ105" s="17"/>
      <c r="TAK105" s="17"/>
      <c r="TAL105" s="17"/>
      <c r="TAM105" s="17"/>
      <c r="TAN105" s="17"/>
      <c r="TAO105" s="17"/>
      <c r="TAP105" s="17"/>
      <c r="TAQ105" s="17"/>
      <c r="TAR105" s="17"/>
      <c r="TAS105" s="17"/>
      <c r="TAT105" s="17"/>
      <c r="TAU105" s="17"/>
      <c r="TAV105" s="17"/>
      <c r="TAW105" s="17"/>
      <c r="TAX105" s="17"/>
      <c r="TAY105" s="17"/>
      <c r="TAZ105" s="17"/>
      <c r="TBA105" s="17"/>
      <c r="TBB105" s="17"/>
      <c r="TBC105" s="17"/>
      <c r="TBD105" s="17"/>
      <c r="TBE105" s="17"/>
      <c r="TBF105" s="17"/>
      <c r="TBG105" s="17"/>
      <c r="TBH105" s="17"/>
      <c r="TBI105" s="17"/>
      <c r="TBJ105" s="17"/>
      <c r="TBK105" s="17"/>
      <c r="TBL105" s="17"/>
      <c r="TBM105" s="17"/>
      <c r="TBN105" s="17"/>
      <c r="TBO105" s="17"/>
      <c r="TBP105" s="17"/>
      <c r="TBQ105" s="17"/>
      <c r="TBR105" s="17"/>
      <c r="TBS105" s="17"/>
      <c r="TBT105" s="17"/>
      <c r="TBU105" s="17"/>
      <c r="TBV105" s="17"/>
      <c r="TBW105" s="17"/>
      <c r="TBX105" s="17"/>
      <c r="TBY105" s="17"/>
      <c r="TBZ105" s="17"/>
      <c r="TCA105" s="17"/>
      <c r="TCB105" s="17"/>
      <c r="TCC105" s="17"/>
      <c r="TCD105" s="17"/>
      <c r="TCE105" s="17"/>
      <c r="TCF105" s="17"/>
      <c r="TCG105" s="17"/>
      <c r="TCH105" s="17"/>
      <c r="TCI105" s="17"/>
      <c r="TCJ105" s="17"/>
      <c r="TCK105" s="17"/>
      <c r="TCL105" s="17"/>
      <c r="TCM105" s="17"/>
      <c r="TCN105" s="17"/>
      <c r="TCO105" s="17"/>
      <c r="TCP105" s="17"/>
      <c r="TCQ105" s="17"/>
      <c r="TCR105" s="17"/>
      <c r="TCS105" s="17"/>
      <c r="TCT105" s="17"/>
      <c r="TCU105" s="17"/>
      <c r="TCV105" s="17"/>
      <c r="TCW105" s="17"/>
      <c r="TCX105" s="17"/>
      <c r="TCY105" s="17"/>
      <c r="TCZ105" s="17"/>
      <c r="TDA105" s="17"/>
      <c r="TDB105" s="17"/>
      <c r="TDC105" s="17"/>
      <c r="TDD105" s="17"/>
      <c r="TDE105" s="17"/>
      <c r="TDF105" s="17"/>
      <c r="TDG105" s="17"/>
      <c r="TDH105" s="17"/>
      <c r="TDI105" s="17"/>
      <c r="TDJ105" s="17"/>
      <c r="TDK105" s="17"/>
      <c r="TDL105" s="17"/>
      <c r="TDM105" s="17"/>
      <c r="TDN105" s="17"/>
      <c r="TDO105" s="17"/>
      <c r="TDP105" s="17"/>
      <c r="TDQ105" s="17"/>
      <c r="TDR105" s="17"/>
      <c r="TDS105" s="17"/>
      <c r="TDT105" s="17"/>
      <c r="TDU105" s="17"/>
      <c r="TDV105" s="17"/>
      <c r="TDW105" s="17"/>
      <c r="TDX105" s="17"/>
      <c r="TDY105" s="17"/>
      <c r="TDZ105" s="17"/>
      <c r="TEA105" s="17"/>
      <c r="TEB105" s="17"/>
      <c r="TEC105" s="17"/>
      <c r="TED105" s="17"/>
      <c r="TEE105" s="17"/>
      <c r="TEF105" s="17"/>
      <c r="TEG105" s="17"/>
      <c r="TEH105" s="17"/>
      <c r="TEI105" s="17"/>
      <c r="TEJ105" s="17"/>
      <c r="TEK105" s="17"/>
      <c r="TEL105" s="17"/>
      <c r="TEM105" s="17"/>
      <c r="TEN105" s="17"/>
      <c r="TEO105" s="17"/>
      <c r="TEP105" s="17"/>
      <c r="TEQ105" s="17"/>
      <c r="TER105" s="17"/>
      <c r="TES105" s="17"/>
      <c r="TET105" s="17"/>
      <c r="TEU105" s="17"/>
      <c r="TEV105" s="17"/>
      <c r="TEW105" s="17"/>
      <c r="TEX105" s="17"/>
      <c r="TEY105" s="17"/>
      <c r="TEZ105" s="17"/>
      <c r="TFA105" s="17"/>
      <c r="TFB105" s="17"/>
      <c r="TFC105" s="17"/>
      <c r="TFD105" s="17"/>
      <c r="TFE105" s="17"/>
      <c r="TFF105" s="17"/>
      <c r="TFG105" s="17"/>
      <c r="TFH105" s="17"/>
      <c r="TFI105" s="17"/>
      <c r="TFJ105" s="17"/>
      <c r="TFK105" s="17"/>
      <c r="TFL105" s="17"/>
      <c r="TFM105" s="17"/>
      <c r="TFN105" s="17"/>
      <c r="TFO105" s="17"/>
      <c r="TFP105" s="17"/>
      <c r="TFQ105" s="17"/>
      <c r="TFR105" s="17"/>
      <c r="TFS105" s="17"/>
      <c r="TFT105" s="17"/>
      <c r="TFU105" s="17"/>
      <c r="TFV105" s="17"/>
      <c r="TFW105" s="17"/>
      <c r="TFX105" s="17"/>
      <c r="TFY105" s="17"/>
      <c r="TFZ105" s="17"/>
      <c r="TGA105" s="17"/>
      <c r="TGB105" s="17"/>
      <c r="TGC105" s="17"/>
      <c r="TGD105" s="17"/>
      <c r="TGE105" s="17"/>
      <c r="TGF105" s="17"/>
      <c r="TGG105" s="17"/>
      <c r="TGH105" s="17"/>
      <c r="TGI105" s="17"/>
      <c r="TGJ105" s="17"/>
      <c r="TGK105" s="17"/>
      <c r="TGL105" s="17"/>
      <c r="TGM105" s="17"/>
      <c r="TGN105" s="17"/>
      <c r="TGO105" s="17"/>
      <c r="TGP105" s="17"/>
      <c r="TGQ105" s="17"/>
      <c r="TGR105" s="17"/>
      <c r="TGS105" s="17"/>
      <c r="TGT105" s="17"/>
      <c r="TGU105" s="17"/>
      <c r="TGV105" s="17"/>
      <c r="TGW105" s="17"/>
      <c r="TGX105" s="17"/>
      <c r="TGY105" s="17"/>
      <c r="TGZ105" s="17"/>
      <c r="THA105" s="17"/>
      <c r="THB105" s="17"/>
      <c r="THC105" s="17"/>
      <c r="THD105" s="17"/>
      <c r="THE105" s="17"/>
      <c r="THF105" s="17"/>
      <c r="THG105" s="17"/>
      <c r="THH105" s="17"/>
      <c r="THI105" s="17"/>
      <c r="THJ105" s="17"/>
      <c r="THK105" s="17"/>
      <c r="THL105" s="17"/>
      <c r="THM105" s="17"/>
      <c r="THN105" s="17"/>
      <c r="THO105" s="17"/>
      <c r="THP105" s="17"/>
      <c r="THQ105" s="17"/>
      <c r="THR105" s="17"/>
      <c r="THS105" s="17"/>
      <c r="THT105" s="17"/>
      <c r="THU105" s="17"/>
      <c r="THV105" s="17"/>
      <c r="THW105" s="17"/>
      <c r="THX105" s="17"/>
      <c r="THY105" s="17"/>
      <c r="THZ105" s="17"/>
      <c r="TIA105" s="17"/>
      <c r="TIB105" s="17"/>
      <c r="TIC105" s="17"/>
      <c r="TID105" s="17"/>
      <c r="TIE105" s="17"/>
      <c r="TIF105" s="17"/>
      <c r="TIG105" s="17"/>
      <c r="TIH105" s="17"/>
      <c r="TII105" s="17"/>
      <c r="TIJ105" s="17"/>
      <c r="TIK105" s="17"/>
      <c r="TIL105" s="17"/>
      <c r="TIM105" s="17"/>
      <c r="TIN105" s="17"/>
      <c r="TIO105" s="17"/>
      <c r="TIP105" s="17"/>
      <c r="TIQ105" s="17"/>
      <c r="TIR105" s="17"/>
      <c r="TIS105" s="17"/>
      <c r="TIT105" s="17"/>
      <c r="TIU105" s="17"/>
      <c r="TIV105" s="17"/>
      <c r="TIW105" s="17"/>
      <c r="TIX105" s="17"/>
      <c r="TIY105" s="17"/>
      <c r="TIZ105" s="17"/>
      <c r="TJA105" s="17"/>
      <c r="TJB105" s="17"/>
      <c r="TJC105" s="17"/>
      <c r="TJD105" s="17"/>
      <c r="TJE105" s="17"/>
      <c r="TJF105" s="17"/>
      <c r="TJG105" s="17"/>
      <c r="TJH105" s="17"/>
      <c r="TJI105" s="17"/>
      <c r="TJJ105" s="17"/>
      <c r="TJK105" s="17"/>
      <c r="TJL105" s="17"/>
      <c r="TJM105" s="17"/>
      <c r="TJN105" s="17"/>
      <c r="TJO105" s="17"/>
      <c r="TJP105" s="17"/>
      <c r="TJQ105" s="17"/>
      <c r="TJR105" s="17"/>
      <c r="TJS105" s="17"/>
      <c r="TJT105" s="17"/>
      <c r="TJU105" s="17"/>
      <c r="TJV105" s="17"/>
      <c r="TJW105" s="17"/>
      <c r="TJX105" s="17"/>
      <c r="TJY105" s="17"/>
      <c r="TJZ105" s="17"/>
      <c r="TKA105" s="17"/>
      <c r="TKB105" s="17"/>
      <c r="TKC105" s="17"/>
      <c r="TKD105" s="17"/>
      <c r="TKE105" s="17"/>
      <c r="TKF105" s="17"/>
      <c r="TKG105" s="17"/>
      <c r="TKH105" s="17"/>
      <c r="TKI105" s="17"/>
      <c r="TKJ105" s="17"/>
      <c r="TKK105" s="17"/>
      <c r="TKL105" s="17"/>
      <c r="TKM105" s="17"/>
      <c r="TKN105" s="17"/>
      <c r="TKO105" s="17"/>
      <c r="TKP105" s="17"/>
      <c r="TKQ105" s="17"/>
      <c r="TKR105" s="17"/>
      <c r="TKS105" s="17"/>
      <c r="TKT105" s="17"/>
      <c r="TKU105" s="17"/>
      <c r="TKV105" s="17"/>
      <c r="TKW105" s="17"/>
      <c r="TKX105" s="17"/>
      <c r="TKY105" s="17"/>
      <c r="TKZ105" s="17"/>
      <c r="TLA105" s="17"/>
      <c r="TLB105" s="17"/>
      <c r="TLC105" s="17"/>
      <c r="TLD105" s="17"/>
      <c r="TLE105" s="17"/>
      <c r="TLF105" s="17"/>
      <c r="TLG105" s="17"/>
      <c r="TLH105" s="17"/>
      <c r="TLI105" s="17"/>
      <c r="TLJ105" s="17"/>
      <c r="TLK105" s="17"/>
      <c r="TLL105" s="17"/>
      <c r="TLM105" s="17"/>
      <c r="TLN105" s="17"/>
      <c r="TLO105" s="17"/>
      <c r="TLP105" s="17"/>
      <c r="TLQ105" s="17"/>
      <c r="TLR105" s="17"/>
      <c r="TLS105" s="17"/>
      <c r="TLT105" s="17"/>
      <c r="TLU105" s="17"/>
      <c r="TLV105" s="17"/>
      <c r="TLW105" s="17"/>
      <c r="TLX105" s="17"/>
      <c r="TLY105" s="17"/>
      <c r="TLZ105" s="17"/>
      <c r="TMA105" s="17"/>
      <c r="TMB105" s="17"/>
      <c r="TMC105" s="17"/>
      <c r="TMD105" s="17"/>
      <c r="TME105" s="17"/>
      <c r="TMF105" s="17"/>
      <c r="TMG105" s="17"/>
      <c r="TMH105" s="17"/>
      <c r="TMI105" s="17"/>
      <c r="TMJ105" s="17"/>
      <c r="TMK105" s="17"/>
      <c r="TML105" s="17"/>
      <c r="TMM105" s="17"/>
      <c r="TMN105" s="17"/>
      <c r="TMO105" s="17"/>
      <c r="TMP105" s="17"/>
      <c r="TMQ105" s="17"/>
      <c r="TMR105" s="17"/>
      <c r="TMS105" s="17"/>
      <c r="TMT105" s="17"/>
      <c r="TMU105" s="17"/>
      <c r="TMV105" s="17"/>
      <c r="TMW105" s="17"/>
      <c r="TMX105" s="17"/>
      <c r="TMY105" s="17"/>
      <c r="TMZ105" s="17"/>
      <c r="TNA105" s="17"/>
      <c r="TNB105" s="17"/>
      <c r="TNC105" s="17"/>
      <c r="TND105" s="17"/>
      <c r="TNE105" s="17"/>
      <c r="TNF105" s="17"/>
      <c r="TNG105" s="17"/>
      <c r="TNH105" s="17"/>
      <c r="TNI105" s="17"/>
      <c r="TNJ105" s="17"/>
      <c r="TNK105" s="17"/>
      <c r="TNL105" s="17"/>
      <c r="TNM105" s="17"/>
      <c r="TNN105" s="17"/>
      <c r="TNO105" s="17"/>
      <c r="TNP105" s="17"/>
      <c r="TNQ105" s="17"/>
      <c r="TNR105" s="17"/>
      <c r="TNS105" s="17"/>
      <c r="TNT105" s="17"/>
      <c r="TNU105" s="17"/>
      <c r="TNV105" s="17"/>
      <c r="TNW105" s="17"/>
      <c r="TNX105" s="17"/>
      <c r="TNY105" s="17"/>
      <c r="TNZ105" s="17"/>
      <c r="TOA105" s="17"/>
      <c r="TOB105" s="17"/>
      <c r="TOC105" s="17"/>
      <c r="TOD105" s="17"/>
      <c r="TOE105" s="17"/>
      <c r="TOF105" s="17"/>
      <c r="TOG105" s="17"/>
      <c r="TOH105" s="17"/>
      <c r="TOI105" s="17"/>
      <c r="TOJ105" s="17"/>
      <c r="TOK105" s="17"/>
      <c r="TOL105" s="17"/>
      <c r="TOM105" s="17"/>
      <c r="TON105" s="17"/>
      <c r="TOO105" s="17"/>
      <c r="TOP105" s="17"/>
      <c r="TOQ105" s="17"/>
      <c r="TOR105" s="17"/>
      <c r="TOS105" s="17"/>
      <c r="TOT105" s="17"/>
      <c r="TOU105" s="17"/>
      <c r="TOV105" s="17"/>
      <c r="TOW105" s="17"/>
      <c r="TOX105" s="17"/>
      <c r="TOY105" s="17"/>
      <c r="TOZ105" s="17"/>
      <c r="TPA105" s="17"/>
      <c r="TPB105" s="17"/>
      <c r="TPC105" s="17"/>
      <c r="TPD105" s="17"/>
      <c r="TPE105" s="17"/>
      <c r="TPF105" s="17"/>
      <c r="TPG105" s="17"/>
      <c r="TPH105" s="17"/>
      <c r="TPI105" s="17"/>
      <c r="TPJ105" s="17"/>
      <c r="TPK105" s="17"/>
      <c r="TPL105" s="17"/>
      <c r="TPM105" s="17"/>
      <c r="TPN105" s="17"/>
      <c r="TPO105" s="17"/>
      <c r="TPP105" s="17"/>
      <c r="TPQ105" s="17"/>
      <c r="TPR105" s="17"/>
      <c r="TPS105" s="17"/>
      <c r="TPT105" s="17"/>
      <c r="TPU105" s="17"/>
      <c r="TPV105" s="17"/>
      <c r="TPW105" s="17"/>
      <c r="TPX105" s="17"/>
      <c r="TPY105" s="17"/>
      <c r="TPZ105" s="17"/>
      <c r="TQA105" s="17"/>
      <c r="TQB105" s="17"/>
      <c r="TQC105" s="17"/>
      <c r="TQD105" s="17"/>
      <c r="TQE105" s="17"/>
      <c r="TQF105" s="17"/>
      <c r="TQG105" s="17"/>
      <c r="TQH105" s="17"/>
      <c r="TQI105" s="17"/>
      <c r="TQJ105" s="17"/>
      <c r="TQK105" s="17"/>
      <c r="TQL105" s="17"/>
      <c r="TQM105" s="17"/>
      <c r="TQN105" s="17"/>
      <c r="TQO105" s="17"/>
      <c r="TQP105" s="17"/>
      <c r="TQQ105" s="17"/>
      <c r="TQR105" s="17"/>
      <c r="TQS105" s="17"/>
      <c r="TQT105" s="17"/>
      <c r="TQU105" s="17"/>
      <c r="TQV105" s="17"/>
      <c r="TQW105" s="17"/>
      <c r="TQX105" s="17"/>
      <c r="TQY105" s="17"/>
      <c r="TQZ105" s="17"/>
      <c r="TRA105" s="17"/>
      <c r="TRB105" s="17"/>
      <c r="TRC105" s="17"/>
      <c r="TRD105" s="17"/>
      <c r="TRE105" s="17"/>
      <c r="TRF105" s="17"/>
      <c r="TRG105" s="17"/>
      <c r="TRH105" s="17"/>
      <c r="TRI105" s="17"/>
      <c r="TRJ105" s="17"/>
      <c r="TRK105" s="17"/>
      <c r="TRL105" s="17"/>
      <c r="TRM105" s="17"/>
      <c r="TRN105" s="17"/>
      <c r="TRO105" s="17"/>
      <c r="TRP105" s="17"/>
      <c r="TRQ105" s="17"/>
      <c r="TRR105" s="17"/>
      <c r="TRS105" s="17"/>
      <c r="TRT105" s="17"/>
      <c r="TRU105" s="17"/>
      <c r="TRV105" s="17"/>
      <c r="TRW105" s="17"/>
      <c r="TRX105" s="17"/>
      <c r="TRY105" s="17"/>
      <c r="TRZ105" s="17"/>
      <c r="TSA105" s="17"/>
      <c r="TSB105" s="17"/>
      <c r="TSC105" s="17"/>
      <c r="TSD105" s="17"/>
      <c r="TSE105" s="17"/>
      <c r="TSF105" s="17"/>
      <c r="TSG105" s="17"/>
      <c r="TSH105" s="17"/>
      <c r="TSI105" s="17"/>
      <c r="TSJ105" s="17"/>
      <c r="TSK105" s="17"/>
      <c r="TSL105" s="17"/>
      <c r="TSM105" s="17"/>
      <c r="TSN105" s="17"/>
      <c r="TSO105" s="17"/>
      <c r="TSP105" s="17"/>
      <c r="TSQ105" s="17"/>
      <c r="TSR105" s="17"/>
      <c r="TSS105" s="17"/>
      <c r="TST105" s="17"/>
      <c r="TSU105" s="17"/>
      <c r="TSV105" s="17"/>
      <c r="TSW105" s="17"/>
      <c r="TSX105" s="17"/>
      <c r="TSY105" s="17"/>
      <c r="TSZ105" s="17"/>
      <c r="TTA105" s="17"/>
      <c r="TTB105" s="17"/>
      <c r="TTC105" s="17"/>
      <c r="TTD105" s="17"/>
      <c r="TTE105" s="17"/>
      <c r="TTF105" s="17"/>
      <c r="TTG105" s="17"/>
      <c r="TTH105" s="17"/>
      <c r="TTI105" s="17"/>
      <c r="TTJ105" s="17"/>
      <c r="TTK105" s="17"/>
      <c r="TTL105" s="17"/>
      <c r="TTM105" s="17"/>
      <c r="TTN105" s="17"/>
      <c r="TTO105" s="17"/>
      <c r="TTP105" s="17"/>
      <c r="TTQ105" s="17"/>
      <c r="TTR105" s="17"/>
      <c r="TTS105" s="17"/>
      <c r="TTT105" s="17"/>
      <c r="TTU105" s="17"/>
      <c r="TTV105" s="17"/>
      <c r="TTW105" s="17"/>
      <c r="TTX105" s="17"/>
      <c r="TTY105" s="17"/>
      <c r="TTZ105" s="17"/>
      <c r="TUA105" s="17"/>
      <c r="TUB105" s="17"/>
      <c r="TUC105" s="17"/>
      <c r="TUD105" s="17"/>
      <c r="TUE105" s="17"/>
      <c r="TUF105" s="17"/>
      <c r="TUG105" s="17"/>
      <c r="TUH105" s="17"/>
      <c r="TUI105" s="17"/>
      <c r="TUJ105" s="17"/>
      <c r="TUK105" s="17"/>
      <c r="TUL105" s="17"/>
      <c r="TUM105" s="17"/>
      <c r="TUN105" s="17"/>
      <c r="TUO105" s="17"/>
      <c r="TUP105" s="17"/>
      <c r="TUQ105" s="17"/>
      <c r="TUR105" s="17"/>
      <c r="TUS105" s="17"/>
      <c r="TUT105" s="17"/>
      <c r="TUU105" s="17"/>
      <c r="TUV105" s="17"/>
      <c r="TUW105" s="17"/>
      <c r="TUX105" s="17"/>
      <c r="TUY105" s="17"/>
      <c r="TUZ105" s="17"/>
      <c r="TVA105" s="17"/>
      <c r="TVB105" s="17"/>
      <c r="TVC105" s="17"/>
      <c r="TVD105" s="17"/>
      <c r="TVE105" s="17"/>
      <c r="TVF105" s="17"/>
      <c r="TVG105" s="17"/>
      <c r="TVH105" s="17"/>
      <c r="TVI105" s="17"/>
      <c r="TVJ105" s="17"/>
      <c r="TVK105" s="17"/>
      <c r="TVL105" s="17"/>
      <c r="TVM105" s="17"/>
      <c r="TVN105" s="17"/>
      <c r="TVO105" s="17"/>
      <c r="TVP105" s="17"/>
      <c r="TVQ105" s="17"/>
      <c r="TVR105" s="17"/>
      <c r="TVS105" s="17"/>
      <c r="TVT105" s="17"/>
      <c r="TVU105" s="17"/>
      <c r="TVV105" s="17"/>
      <c r="TVW105" s="17"/>
      <c r="TVX105" s="17"/>
      <c r="TVY105" s="17"/>
      <c r="TVZ105" s="17"/>
      <c r="TWA105" s="17"/>
      <c r="TWB105" s="17"/>
      <c r="TWC105" s="17"/>
      <c r="TWD105" s="17"/>
      <c r="TWE105" s="17"/>
      <c r="TWF105" s="17"/>
      <c r="TWG105" s="17"/>
      <c r="TWH105" s="17"/>
      <c r="TWI105" s="17"/>
      <c r="TWJ105" s="17"/>
      <c r="TWK105" s="17"/>
      <c r="TWL105" s="17"/>
      <c r="TWM105" s="17"/>
      <c r="TWN105" s="17"/>
      <c r="TWO105" s="17"/>
      <c r="TWP105" s="17"/>
      <c r="TWQ105" s="17"/>
      <c r="TWR105" s="17"/>
      <c r="TWS105" s="17"/>
      <c r="TWT105" s="17"/>
      <c r="TWU105" s="17"/>
      <c r="TWV105" s="17"/>
      <c r="TWW105" s="17"/>
      <c r="TWX105" s="17"/>
      <c r="TWY105" s="17"/>
      <c r="TWZ105" s="17"/>
      <c r="TXA105" s="17"/>
      <c r="TXB105" s="17"/>
      <c r="TXC105" s="17"/>
      <c r="TXD105" s="17"/>
      <c r="TXE105" s="17"/>
      <c r="TXF105" s="17"/>
      <c r="TXG105" s="17"/>
      <c r="TXH105" s="17"/>
      <c r="TXI105" s="17"/>
      <c r="TXJ105" s="17"/>
      <c r="TXK105" s="17"/>
      <c r="TXL105" s="17"/>
      <c r="TXM105" s="17"/>
      <c r="TXN105" s="17"/>
      <c r="TXO105" s="17"/>
      <c r="TXP105" s="17"/>
      <c r="TXQ105" s="17"/>
      <c r="TXR105" s="17"/>
      <c r="TXS105" s="17"/>
      <c r="TXT105" s="17"/>
      <c r="TXU105" s="17"/>
      <c r="TXV105" s="17"/>
      <c r="TXW105" s="17"/>
      <c r="TXX105" s="17"/>
      <c r="TXY105" s="17"/>
      <c r="TXZ105" s="17"/>
      <c r="TYA105" s="17"/>
      <c r="TYB105" s="17"/>
      <c r="TYC105" s="17"/>
      <c r="TYD105" s="17"/>
      <c r="TYE105" s="17"/>
      <c r="TYF105" s="17"/>
      <c r="TYG105" s="17"/>
      <c r="TYH105" s="17"/>
      <c r="TYI105" s="17"/>
      <c r="TYJ105" s="17"/>
      <c r="TYK105" s="17"/>
      <c r="TYL105" s="17"/>
      <c r="TYM105" s="17"/>
      <c r="TYN105" s="17"/>
      <c r="TYO105" s="17"/>
      <c r="TYP105" s="17"/>
      <c r="TYQ105" s="17"/>
      <c r="TYR105" s="17"/>
      <c r="TYS105" s="17"/>
      <c r="TYT105" s="17"/>
      <c r="TYU105" s="17"/>
      <c r="TYV105" s="17"/>
      <c r="TYW105" s="17"/>
      <c r="TYX105" s="17"/>
      <c r="TYY105" s="17"/>
      <c r="TYZ105" s="17"/>
      <c r="TZA105" s="17"/>
      <c r="TZB105" s="17"/>
      <c r="TZC105" s="17"/>
      <c r="TZD105" s="17"/>
      <c r="TZE105" s="17"/>
      <c r="TZF105" s="17"/>
      <c r="TZG105" s="17"/>
      <c r="TZH105" s="17"/>
      <c r="TZI105" s="17"/>
      <c r="TZJ105" s="17"/>
      <c r="TZK105" s="17"/>
      <c r="TZL105" s="17"/>
      <c r="TZM105" s="17"/>
      <c r="TZN105" s="17"/>
      <c r="TZO105" s="17"/>
      <c r="TZP105" s="17"/>
      <c r="TZQ105" s="17"/>
      <c r="TZR105" s="17"/>
      <c r="TZS105" s="17"/>
      <c r="TZT105" s="17"/>
      <c r="TZU105" s="17"/>
      <c r="TZV105" s="17"/>
      <c r="TZW105" s="17"/>
      <c r="TZX105" s="17"/>
      <c r="TZY105" s="17"/>
      <c r="TZZ105" s="17"/>
      <c r="UAA105" s="17"/>
      <c r="UAB105" s="17"/>
      <c r="UAC105" s="17"/>
      <c r="UAD105" s="17"/>
      <c r="UAE105" s="17"/>
      <c r="UAF105" s="17"/>
      <c r="UAG105" s="17"/>
      <c r="UAH105" s="17"/>
      <c r="UAI105" s="17"/>
      <c r="UAJ105" s="17"/>
      <c r="UAK105" s="17"/>
      <c r="UAL105" s="17"/>
      <c r="UAM105" s="17"/>
      <c r="UAN105" s="17"/>
      <c r="UAO105" s="17"/>
      <c r="UAP105" s="17"/>
      <c r="UAQ105" s="17"/>
      <c r="UAR105" s="17"/>
      <c r="UAS105" s="17"/>
      <c r="UAT105" s="17"/>
      <c r="UAU105" s="17"/>
      <c r="UAV105" s="17"/>
      <c r="UAW105" s="17"/>
      <c r="UAX105" s="17"/>
      <c r="UAY105" s="17"/>
      <c r="UAZ105" s="17"/>
      <c r="UBA105" s="17"/>
      <c r="UBB105" s="17"/>
      <c r="UBC105" s="17"/>
      <c r="UBD105" s="17"/>
      <c r="UBE105" s="17"/>
      <c r="UBF105" s="17"/>
      <c r="UBG105" s="17"/>
      <c r="UBH105" s="17"/>
      <c r="UBI105" s="17"/>
      <c r="UBJ105" s="17"/>
      <c r="UBK105" s="17"/>
      <c r="UBL105" s="17"/>
      <c r="UBM105" s="17"/>
      <c r="UBN105" s="17"/>
      <c r="UBO105" s="17"/>
      <c r="UBP105" s="17"/>
      <c r="UBQ105" s="17"/>
      <c r="UBR105" s="17"/>
      <c r="UBS105" s="17"/>
      <c r="UBT105" s="17"/>
      <c r="UBU105" s="17"/>
      <c r="UBV105" s="17"/>
      <c r="UBW105" s="17"/>
      <c r="UBX105" s="17"/>
      <c r="UBY105" s="17"/>
      <c r="UBZ105" s="17"/>
      <c r="UCA105" s="17"/>
      <c r="UCB105" s="17"/>
      <c r="UCC105" s="17"/>
      <c r="UCD105" s="17"/>
      <c r="UCE105" s="17"/>
      <c r="UCF105" s="17"/>
      <c r="UCG105" s="17"/>
      <c r="UCH105" s="17"/>
      <c r="UCI105" s="17"/>
      <c r="UCJ105" s="17"/>
      <c r="UCK105" s="17"/>
      <c r="UCL105" s="17"/>
      <c r="UCM105" s="17"/>
      <c r="UCN105" s="17"/>
      <c r="UCO105" s="17"/>
      <c r="UCP105" s="17"/>
      <c r="UCQ105" s="17"/>
      <c r="UCR105" s="17"/>
      <c r="UCS105" s="17"/>
      <c r="UCT105" s="17"/>
      <c r="UCU105" s="17"/>
      <c r="UCV105" s="17"/>
      <c r="UCW105" s="17"/>
      <c r="UCX105" s="17"/>
      <c r="UCY105" s="17"/>
      <c r="UCZ105" s="17"/>
      <c r="UDA105" s="17"/>
      <c r="UDB105" s="17"/>
      <c r="UDC105" s="17"/>
      <c r="UDD105" s="17"/>
      <c r="UDE105" s="17"/>
      <c r="UDF105" s="17"/>
      <c r="UDG105" s="17"/>
      <c r="UDH105" s="17"/>
      <c r="UDI105" s="17"/>
      <c r="UDJ105" s="17"/>
      <c r="UDK105" s="17"/>
      <c r="UDL105" s="17"/>
      <c r="UDM105" s="17"/>
      <c r="UDN105" s="17"/>
      <c r="UDO105" s="17"/>
      <c r="UDP105" s="17"/>
      <c r="UDQ105" s="17"/>
      <c r="UDR105" s="17"/>
      <c r="UDS105" s="17"/>
      <c r="UDT105" s="17"/>
      <c r="UDU105" s="17"/>
      <c r="UDV105" s="17"/>
      <c r="UDW105" s="17"/>
      <c r="UDX105" s="17"/>
      <c r="UDY105" s="17"/>
      <c r="UDZ105" s="17"/>
      <c r="UEA105" s="17"/>
      <c r="UEB105" s="17"/>
      <c r="UEC105" s="17"/>
      <c r="UED105" s="17"/>
      <c r="UEE105" s="17"/>
      <c r="UEF105" s="17"/>
      <c r="UEG105" s="17"/>
      <c r="UEH105" s="17"/>
      <c r="UEI105" s="17"/>
      <c r="UEJ105" s="17"/>
      <c r="UEK105" s="17"/>
      <c r="UEL105" s="17"/>
      <c r="UEM105" s="17"/>
      <c r="UEN105" s="17"/>
      <c r="UEO105" s="17"/>
      <c r="UEP105" s="17"/>
      <c r="UEQ105" s="17"/>
      <c r="UER105" s="17"/>
      <c r="UES105" s="17"/>
      <c r="UET105" s="17"/>
      <c r="UEU105" s="17"/>
      <c r="UEV105" s="17"/>
      <c r="UEW105" s="17"/>
      <c r="UEX105" s="17"/>
      <c r="UEY105" s="17"/>
      <c r="UEZ105" s="17"/>
      <c r="UFA105" s="17"/>
      <c r="UFB105" s="17"/>
      <c r="UFC105" s="17"/>
      <c r="UFD105" s="17"/>
      <c r="UFE105" s="17"/>
      <c r="UFF105" s="17"/>
      <c r="UFG105" s="17"/>
      <c r="UFH105" s="17"/>
      <c r="UFI105" s="17"/>
      <c r="UFJ105" s="17"/>
      <c r="UFK105" s="17"/>
      <c r="UFL105" s="17"/>
      <c r="UFM105" s="17"/>
      <c r="UFN105" s="17"/>
      <c r="UFO105" s="17"/>
      <c r="UFP105" s="17"/>
      <c r="UFQ105" s="17"/>
      <c r="UFR105" s="17"/>
      <c r="UFS105" s="17"/>
      <c r="UFT105" s="17"/>
      <c r="UFU105" s="17"/>
      <c r="UFV105" s="17"/>
      <c r="UFW105" s="17"/>
      <c r="UFX105" s="17"/>
      <c r="UFY105" s="17"/>
      <c r="UFZ105" s="17"/>
      <c r="UGA105" s="17"/>
      <c r="UGB105" s="17"/>
      <c r="UGC105" s="17"/>
      <c r="UGD105" s="17"/>
      <c r="UGE105" s="17"/>
      <c r="UGF105" s="17"/>
      <c r="UGG105" s="17"/>
      <c r="UGH105" s="17"/>
      <c r="UGI105" s="17"/>
      <c r="UGJ105" s="17"/>
      <c r="UGK105" s="17"/>
      <c r="UGL105" s="17"/>
      <c r="UGM105" s="17"/>
      <c r="UGN105" s="17"/>
      <c r="UGO105" s="17"/>
      <c r="UGP105" s="17"/>
      <c r="UGQ105" s="17"/>
      <c r="UGR105" s="17"/>
      <c r="UGS105" s="17"/>
      <c r="UGT105" s="17"/>
      <c r="UGU105" s="17"/>
      <c r="UGV105" s="17"/>
      <c r="UGW105" s="17"/>
      <c r="UGX105" s="17"/>
      <c r="UGY105" s="17"/>
      <c r="UGZ105" s="17"/>
      <c r="UHA105" s="17"/>
      <c r="UHB105" s="17"/>
      <c r="UHC105" s="17"/>
      <c r="UHD105" s="17"/>
      <c r="UHE105" s="17"/>
      <c r="UHF105" s="17"/>
      <c r="UHG105" s="17"/>
      <c r="UHH105" s="17"/>
      <c r="UHI105" s="17"/>
      <c r="UHJ105" s="17"/>
      <c r="UHK105" s="17"/>
      <c r="UHL105" s="17"/>
      <c r="UHM105" s="17"/>
      <c r="UHN105" s="17"/>
      <c r="UHO105" s="17"/>
      <c r="UHP105" s="17"/>
      <c r="UHQ105" s="17"/>
      <c r="UHR105" s="17"/>
      <c r="UHS105" s="17"/>
      <c r="UHT105" s="17"/>
      <c r="UHU105" s="17"/>
      <c r="UHV105" s="17"/>
      <c r="UHW105" s="17"/>
      <c r="UHX105" s="17"/>
      <c r="UHY105" s="17"/>
      <c r="UHZ105" s="17"/>
      <c r="UIA105" s="17"/>
      <c r="UIB105" s="17"/>
      <c r="UIC105" s="17"/>
      <c r="UID105" s="17"/>
      <c r="UIE105" s="17"/>
      <c r="UIF105" s="17"/>
      <c r="UIG105" s="17"/>
      <c r="UIH105" s="17"/>
      <c r="UII105" s="17"/>
      <c r="UIJ105" s="17"/>
      <c r="UIK105" s="17"/>
      <c r="UIL105" s="17"/>
      <c r="UIM105" s="17"/>
      <c r="UIN105" s="17"/>
      <c r="UIO105" s="17"/>
      <c r="UIP105" s="17"/>
      <c r="UIQ105" s="17"/>
      <c r="UIR105" s="17"/>
      <c r="UIS105" s="17"/>
      <c r="UIT105" s="17"/>
      <c r="UIU105" s="17"/>
      <c r="UIV105" s="17"/>
      <c r="UIW105" s="17"/>
      <c r="UIX105" s="17"/>
      <c r="UIY105" s="17"/>
      <c r="UIZ105" s="17"/>
      <c r="UJA105" s="17"/>
      <c r="UJB105" s="17"/>
      <c r="UJC105" s="17"/>
      <c r="UJD105" s="17"/>
      <c r="UJE105" s="17"/>
      <c r="UJF105" s="17"/>
      <c r="UJG105" s="17"/>
      <c r="UJH105" s="17"/>
      <c r="UJI105" s="17"/>
      <c r="UJJ105" s="17"/>
      <c r="UJK105" s="17"/>
      <c r="UJL105" s="17"/>
      <c r="UJM105" s="17"/>
      <c r="UJN105" s="17"/>
      <c r="UJO105" s="17"/>
      <c r="UJP105" s="17"/>
      <c r="UJQ105" s="17"/>
      <c r="UJR105" s="17"/>
      <c r="UJS105" s="17"/>
      <c r="UJT105" s="17"/>
      <c r="UJU105" s="17"/>
      <c r="UJV105" s="17"/>
      <c r="UJW105" s="17"/>
      <c r="UJX105" s="17"/>
      <c r="UJY105" s="17"/>
      <c r="UJZ105" s="17"/>
      <c r="UKA105" s="17"/>
      <c r="UKB105" s="17"/>
      <c r="UKC105" s="17"/>
      <c r="UKD105" s="17"/>
      <c r="UKE105" s="17"/>
      <c r="UKF105" s="17"/>
      <c r="UKG105" s="17"/>
      <c r="UKH105" s="17"/>
      <c r="UKI105" s="17"/>
      <c r="UKJ105" s="17"/>
      <c r="UKK105" s="17"/>
      <c r="UKL105" s="17"/>
      <c r="UKM105" s="17"/>
      <c r="UKN105" s="17"/>
      <c r="UKO105" s="17"/>
      <c r="UKP105" s="17"/>
      <c r="UKQ105" s="17"/>
      <c r="UKR105" s="17"/>
      <c r="UKS105" s="17"/>
      <c r="UKT105" s="17"/>
      <c r="UKU105" s="17"/>
      <c r="UKV105" s="17"/>
      <c r="UKW105" s="17"/>
      <c r="UKX105" s="17"/>
      <c r="UKY105" s="17"/>
      <c r="UKZ105" s="17"/>
      <c r="ULA105" s="17"/>
      <c r="ULB105" s="17"/>
      <c r="ULC105" s="17"/>
      <c r="ULD105" s="17"/>
      <c r="ULE105" s="17"/>
      <c r="ULF105" s="17"/>
      <c r="ULG105" s="17"/>
      <c r="ULH105" s="17"/>
      <c r="ULI105" s="17"/>
      <c r="ULJ105" s="17"/>
      <c r="ULK105" s="17"/>
      <c r="ULL105" s="17"/>
      <c r="ULM105" s="17"/>
      <c r="ULN105" s="17"/>
      <c r="ULO105" s="17"/>
      <c r="ULP105" s="17"/>
      <c r="ULQ105" s="17"/>
      <c r="ULR105" s="17"/>
      <c r="ULS105" s="17"/>
      <c r="ULT105" s="17"/>
      <c r="ULU105" s="17"/>
      <c r="ULV105" s="17"/>
      <c r="ULW105" s="17"/>
      <c r="ULX105" s="17"/>
      <c r="ULY105" s="17"/>
      <c r="ULZ105" s="17"/>
      <c r="UMA105" s="17"/>
      <c r="UMB105" s="17"/>
      <c r="UMC105" s="17"/>
      <c r="UMD105" s="17"/>
      <c r="UME105" s="17"/>
      <c r="UMF105" s="17"/>
      <c r="UMG105" s="17"/>
      <c r="UMH105" s="17"/>
      <c r="UMI105" s="17"/>
      <c r="UMJ105" s="17"/>
      <c r="UMK105" s="17"/>
      <c r="UML105" s="17"/>
      <c r="UMM105" s="17"/>
      <c r="UMN105" s="17"/>
      <c r="UMO105" s="17"/>
      <c r="UMP105" s="17"/>
      <c r="UMQ105" s="17"/>
      <c r="UMR105" s="17"/>
      <c r="UMS105" s="17"/>
      <c r="UMT105" s="17"/>
      <c r="UMU105" s="17"/>
      <c r="UMV105" s="17"/>
      <c r="UMW105" s="17"/>
      <c r="UMX105" s="17"/>
      <c r="UMY105" s="17"/>
      <c r="UMZ105" s="17"/>
      <c r="UNA105" s="17"/>
      <c r="UNB105" s="17"/>
      <c r="UNC105" s="17"/>
      <c r="UND105" s="17"/>
      <c r="UNE105" s="17"/>
      <c r="UNF105" s="17"/>
      <c r="UNG105" s="17"/>
      <c r="UNH105" s="17"/>
      <c r="UNI105" s="17"/>
      <c r="UNJ105" s="17"/>
      <c r="UNK105" s="17"/>
      <c r="UNL105" s="17"/>
      <c r="UNM105" s="17"/>
      <c r="UNN105" s="17"/>
      <c r="UNO105" s="17"/>
      <c r="UNP105" s="17"/>
      <c r="UNQ105" s="17"/>
      <c r="UNR105" s="17"/>
      <c r="UNS105" s="17"/>
      <c r="UNT105" s="17"/>
      <c r="UNU105" s="17"/>
      <c r="UNV105" s="17"/>
      <c r="UNW105" s="17"/>
      <c r="UNX105" s="17"/>
      <c r="UNY105" s="17"/>
      <c r="UNZ105" s="17"/>
      <c r="UOA105" s="17"/>
      <c r="UOB105" s="17"/>
      <c r="UOC105" s="17"/>
      <c r="UOD105" s="17"/>
      <c r="UOE105" s="17"/>
      <c r="UOF105" s="17"/>
      <c r="UOG105" s="17"/>
      <c r="UOH105" s="17"/>
      <c r="UOI105" s="17"/>
      <c r="UOJ105" s="17"/>
      <c r="UOK105" s="17"/>
      <c r="UOL105" s="17"/>
      <c r="UOM105" s="17"/>
      <c r="UON105" s="17"/>
      <c r="UOO105" s="17"/>
      <c r="UOP105" s="17"/>
      <c r="UOQ105" s="17"/>
      <c r="UOR105" s="17"/>
      <c r="UOS105" s="17"/>
      <c r="UOT105" s="17"/>
      <c r="UOU105" s="17"/>
      <c r="UOV105" s="17"/>
      <c r="UOW105" s="17"/>
      <c r="UOX105" s="17"/>
      <c r="UOY105" s="17"/>
      <c r="UOZ105" s="17"/>
      <c r="UPA105" s="17"/>
      <c r="UPB105" s="17"/>
      <c r="UPC105" s="17"/>
      <c r="UPD105" s="17"/>
      <c r="UPE105" s="17"/>
      <c r="UPF105" s="17"/>
      <c r="UPG105" s="17"/>
      <c r="UPH105" s="17"/>
      <c r="UPI105" s="17"/>
      <c r="UPJ105" s="17"/>
      <c r="UPK105" s="17"/>
      <c r="UPL105" s="17"/>
      <c r="UPM105" s="17"/>
      <c r="UPN105" s="17"/>
      <c r="UPO105" s="17"/>
      <c r="UPP105" s="17"/>
      <c r="UPQ105" s="17"/>
      <c r="UPR105" s="17"/>
      <c r="UPS105" s="17"/>
      <c r="UPT105" s="17"/>
      <c r="UPU105" s="17"/>
      <c r="UPV105" s="17"/>
      <c r="UPW105" s="17"/>
      <c r="UPX105" s="17"/>
      <c r="UPY105" s="17"/>
      <c r="UPZ105" s="17"/>
      <c r="UQA105" s="17"/>
      <c r="UQB105" s="17"/>
      <c r="UQC105" s="17"/>
      <c r="UQD105" s="17"/>
      <c r="UQE105" s="17"/>
      <c r="UQF105" s="17"/>
      <c r="UQG105" s="17"/>
      <c r="UQH105" s="17"/>
      <c r="UQI105" s="17"/>
      <c r="UQJ105" s="17"/>
      <c r="UQK105" s="17"/>
      <c r="UQL105" s="17"/>
      <c r="UQM105" s="17"/>
      <c r="UQN105" s="17"/>
      <c r="UQO105" s="17"/>
      <c r="UQP105" s="17"/>
      <c r="UQQ105" s="17"/>
      <c r="UQR105" s="17"/>
      <c r="UQS105" s="17"/>
      <c r="UQT105" s="17"/>
      <c r="UQU105" s="17"/>
      <c r="UQV105" s="17"/>
      <c r="UQW105" s="17"/>
      <c r="UQX105" s="17"/>
      <c r="UQY105" s="17"/>
      <c r="UQZ105" s="17"/>
      <c r="URA105" s="17"/>
      <c r="URB105" s="17"/>
      <c r="URC105" s="17"/>
      <c r="URD105" s="17"/>
      <c r="URE105" s="17"/>
      <c r="URF105" s="17"/>
      <c r="URG105" s="17"/>
      <c r="URH105" s="17"/>
      <c r="URI105" s="17"/>
      <c r="URJ105" s="17"/>
      <c r="URK105" s="17"/>
      <c r="URL105" s="17"/>
      <c r="URM105" s="17"/>
      <c r="URN105" s="17"/>
      <c r="URO105" s="17"/>
      <c r="URP105" s="17"/>
      <c r="URQ105" s="17"/>
      <c r="URR105" s="17"/>
      <c r="URS105" s="17"/>
      <c r="URT105" s="17"/>
      <c r="URU105" s="17"/>
      <c r="URV105" s="17"/>
      <c r="URW105" s="17"/>
      <c r="URX105" s="17"/>
      <c r="URY105" s="17"/>
      <c r="URZ105" s="17"/>
      <c r="USA105" s="17"/>
      <c r="USB105" s="17"/>
      <c r="USC105" s="17"/>
      <c r="USD105" s="17"/>
      <c r="USE105" s="17"/>
      <c r="USF105" s="17"/>
      <c r="USG105" s="17"/>
      <c r="USH105" s="17"/>
      <c r="USI105" s="17"/>
      <c r="USJ105" s="17"/>
      <c r="USK105" s="17"/>
      <c r="USL105" s="17"/>
      <c r="USM105" s="17"/>
      <c r="USN105" s="17"/>
      <c r="USO105" s="17"/>
      <c r="USP105" s="17"/>
      <c r="USQ105" s="17"/>
      <c r="USR105" s="17"/>
      <c r="USS105" s="17"/>
      <c r="UST105" s="17"/>
      <c r="USU105" s="17"/>
      <c r="USV105" s="17"/>
      <c r="USW105" s="17"/>
      <c r="USX105" s="17"/>
      <c r="USY105" s="17"/>
      <c r="USZ105" s="17"/>
      <c r="UTA105" s="17"/>
      <c r="UTB105" s="17"/>
      <c r="UTC105" s="17"/>
      <c r="UTD105" s="17"/>
      <c r="UTE105" s="17"/>
      <c r="UTF105" s="17"/>
      <c r="UTG105" s="17"/>
      <c r="UTH105" s="17"/>
      <c r="UTI105" s="17"/>
      <c r="UTJ105" s="17"/>
      <c r="UTK105" s="17"/>
      <c r="UTL105" s="17"/>
      <c r="UTM105" s="17"/>
      <c r="UTN105" s="17"/>
      <c r="UTO105" s="17"/>
      <c r="UTP105" s="17"/>
      <c r="UTQ105" s="17"/>
      <c r="UTR105" s="17"/>
      <c r="UTS105" s="17"/>
      <c r="UTT105" s="17"/>
      <c r="UTU105" s="17"/>
      <c r="UTV105" s="17"/>
      <c r="UTW105" s="17"/>
      <c r="UTX105" s="17"/>
      <c r="UTY105" s="17"/>
      <c r="UTZ105" s="17"/>
      <c r="UUA105" s="17"/>
      <c r="UUB105" s="17"/>
      <c r="UUC105" s="17"/>
      <c r="UUD105" s="17"/>
      <c r="UUE105" s="17"/>
      <c r="UUF105" s="17"/>
      <c r="UUG105" s="17"/>
      <c r="UUH105" s="17"/>
      <c r="UUI105" s="17"/>
      <c r="UUJ105" s="17"/>
      <c r="UUK105" s="17"/>
      <c r="UUL105" s="17"/>
      <c r="UUM105" s="17"/>
      <c r="UUN105" s="17"/>
      <c r="UUO105" s="17"/>
      <c r="UUP105" s="17"/>
      <c r="UUQ105" s="17"/>
      <c r="UUR105" s="17"/>
      <c r="UUS105" s="17"/>
      <c r="UUT105" s="17"/>
      <c r="UUU105" s="17"/>
      <c r="UUV105" s="17"/>
      <c r="UUW105" s="17"/>
      <c r="UUX105" s="17"/>
      <c r="UUY105" s="17"/>
      <c r="UUZ105" s="17"/>
      <c r="UVA105" s="17"/>
      <c r="UVB105" s="17"/>
      <c r="UVC105" s="17"/>
      <c r="UVD105" s="17"/>
      <c r="UVE105" s="17"/>
      <c r="UVF105" s="17"/>
      <c r="UVG105" s="17"/>
      <c r="UVH105" s="17"/>
      <c r="UVI105" s="17"/>
      <c r="UVJ105" s="17"/>
      <c r="UVK105" s="17"/>
      <c r="UVL105" s="17"/>
      <c r="UVM105" s="17"/>
      <c r="UVN105" s="17"/>
      <c r="UVO105" s="17"/>
      <c r="UVP105" s="17"/>
      <c r="UVQ105" s="17"/>
      <c r="UVR105" s="17"/>
      <c r="UVS105" s="17"/>
      <c r="UVT105" s="17"/>
      <c r="UVU105" s="17"/>
      <c r="UVV105" s="17"/>
      <c r="UVW105" s="17"/>
      <c r="UVX105" s="17"/>
      <c r="UVY105" s="17"/>
      <c r="UVZ105" s="17"/>
      <c r="UWA105" s="17"/>
      <c r="UWB105" s="17"/>
      <c r="UWC105" s="17"/>
      <c r="UWD105" s="17"/>
      <c r="UWE105" s="17"/>
      <c r="UWF105" s="17"/>
      <c r="UWG105" s="17"/>
      <c r="UWH105" s="17"/>
      <c r="UWI105" s="17"/>
      <c r="UWJ105" s="17"/>
      <c r="UWK105" s="17"/>
      <c r="UWL105" s="17"/>
      <c r="UWM105" s="17"/>
      <c r="UWN105" s="17"/>
      <c r="UWO105" s="17"/>
      <c r="UWP105" s="17"/>
      <c r="UWQ105" s="17"/>
      <c r="UWR105" s="17"/>
      <c r="UWS105" s="17"/>
      <c r="UWT105" s="17"/>
      <c r="UWU105" s="17"/>
      <c r="UWV105" s="17"/>
      <c r="UWW105" s="17"/>
      <c r="UWX105" s="17"/>
      <c r="UWY105" s="17"/>
      <c r="UWZ105" s="17"/>
      <c r="UXA105" s="17"/>
      <c r="UXB105" s="17"/>
      <c r="UXC105" s="17"/>
      <c r="UXD105" s="17"/>
      <c r="UXE105" s="17"/>
      <c r="UXF105" s="17"/>
      <c r="UXG105" s="17"/>
      <c r="UXH105" s="17"/>
      <c r="UXI105" s="17"/>
      <c r="UXJ105" s="17"/>
      <c r="UXK105" s="17"/>
      <c r="UXL105" s="17"/>
      <c r="UXM105" s="17"/>
      <c r="UXN105" s="17"/>
      <c r="UXO105" s="17"/>
      <c r="UXP105" s="17"/>
      <c r="UXQ105" s="17"/>
      <c r="UXR105" s="17"/>
      <c r="UXS105" s="17"/>
      <c r="UXT105" s="17"/>
      <c r="UXU105" s="17"/>
      <c r="UXV105" s="17"/>
      <c r="UXW105" s="17"/>
      <c r="UXX105" s="17"/>
      <c r="UXY105" s="17"/>
      <c r="UXZ105" s="17"/>
      <c r="UYA105" s="17"/>
      <c r="UYB105" s="17"/>
      <c r="UYC105" s="17"/>
      <c r="UYD105" s="17"/>
      <c r="UYE105" s="17"/>
      <c r="UYF105" s="17"/>
      <c r="UYG105" s="17"/>
      <c r="UYH105" s="17"/>
      <c r="UYI105" s="17"/>
      <c r="UYJ105" s="17"/>
      <c r="UYK105" s="17"/>
      <c r="UYL105" s="17"/>
      <c r="UYM105" s="17"/>
      <c r="UYN105" s="17"/>
      <c r="UYO105" s="17"/>
      <c r="UYP105" s="17"/>
      <c r="UYQ105" s="17"/>
      <c r="UYR105" s="17"/>
      <c r="UYS105" s="17"/>
      <c r="UYT105" s="17"/>
      <c r="UYU105" s="17"/>
      <c r="UYV105" s="17"/>
      <c r="UYW105" s="17"/>
      <c r="UYX105" s="17"/>
      <c r="UYY105" s="17"/>
      <c r="UYZ105" s="17"/>
      <c r="UZA105" s="17"/>
      <c r="UZB105" s="17"/>
      <c r="UZC105" s="17"/>
      <c r="UZD105" s="17"/>
      <c r="UZE105" s="17"/>
      <c r="UZF105" s="17"/>
      <c r="UZG105" s="17"/>
      <c r="UZH105" s="17"/>
      <c r="UZI105" s="17"/>
      <c r="UZJ105" s="17"/>
      <c r="UZK105" s="17"/>
      <c r="UZL105" s="17"/>
      <c r="UZM105" s="17"/>
      <c r="UZN105" s="17"/>
      <c r="UZO105" s="17"/>
      <c r="UZP105" s="17"/>
      <c r="UZQ105" s="17"/>
      <c r="UZR105" s="17"/>
      <c r="UZS105" s="17"/>
      <c r="UZT105" s="17"/>
      <c r="UZU105" s="17"/>
      <c r="UZV105" s="17"/>
      <c r="UZW105" s="17"/>
      <c r="UZX105" s="17"/>
      <c r="UZY105" s="17"/>
      <c r="UZZ105" s="17"/>
      <c r="VAA105" s="17"/>
      <c r="VAB105" s="17"/>
      <c r="VAC105" s="17"/>
      <c r="VAD105" s="17"/>
      <c r="VAE105" s="17"/>
      <c r="VAF105" s="17"/>
      <c r="VAG105" s="17"/>
      <c r="VAH105" s="17"/>
      <c r="VAI105" s="17"/>
      <c r="VAJ105" s="17"/>
      <c r="VAK105" s="17"/>
      <c r="VAL105" s="17"/>
      <c r="VAM105" s="17"/>
      <c r="VAN105" s="17"/>
      <c r="VAO105" s="17"/>
      <c r="VAP105" s="17"/>
      <c r="VAQ105" s="17"/>
      <c r="VAR105" s="17"/>
      <c r="VAS105" s="17"/>
      <c r="VAT105" s="17"/>
      <c r="VAU105" s="17"/>
      <c r="VAV105" s="17"/>
      <c r="VAW105" s="17"/>
      <c r="VAX105" s="17"/>
      <c r="VAY105" s="17"/>
      <c r="VAZ105" s="17"/>
      <c r="VBA105" s="17"/>
      <c r="VBB105" s="17"/>
      <c r="VBC105" s="17"/>
      <c r="VBD105" s="17"/>
      <c r="VBE105" s="17"/>
      <c r="VBF105" s="17"/>
      <c r="VBG105" s="17"/>
      <c r="VBH105" s="17"/>
      <c r="VBI105" s="17"/>
      <c r="VBJ105" s="17"/>
      <c r="VBK105" s="17"/>
      <c r="VBL105" s="17"/>
      <c r="VBM105" s="17"/>
      <c r="VBN105" s="17"/>
      <c r="VBO105" s="17"/>
      <c r="VBP105" s="17"/>
      <c r="VBQ105" s="17"/>
      <c r="VBR105" s="17"/>
      <c r="VBS105" s="17"/>
      <c r="VBT105" s="17"/>
      <c r="VBU105" s="17"/>
      <c r="VBV105" s="17"/>
      <c r="VBW105" s="17"/>
      <c r="VBX105" s="17"/>
      <c r="VBY105" s="17"/>
      <c r="VBZ105" s="17"/>
      <c r="VCA105" s="17"/>
      <c r="VCB105" s="17"/>
      <c r="VCC105" s="17"/>
      <c r="VCD105" s="17"/>
      <c r="VCE105" s="17"/>
      <c r="VCF105" s="17"/>
      <c r="VCG105" s="17"/>
      <c r="VCH105" s="17"/>
      <c r="VCI105" s="17"/>
      <c r="VCJ105" s="17"/>
      <c r="VCK105" s="17"/>
      <c r="VCL105" s="17"/>
      <c r="VCM105" s="17"/>
      <c r="VCN105" s="17"/>
      <c r="VCO105" s="17"/>
      <c r="VCP105" s="17"/>
      <c r="VCQ105" s="17"/>
      <c r="VCR105" s="17"/>
      <c r="VCS105" s="17"/>
      <c r="VCT105" s="17"/>
      <c r="VCU105" s="17"/>
      <c r="VCV105" s="17"/>
      <c r="VCW105" s="17"/>
      <c r="VCX105" s="17"/>
      <c r="VCY105" s="17"/>
      <c r="VCZ105" s="17"/>
      <c r="VDA105" s="17"/>
      <c r="VDB105" s="17"/>
      <c r="VDC105" s="17"/>
      <c r="VDD105" s="17"/>
      <c r="VDE105" s="17"/>
      <c r="VDF105" s="17"/>
      <c r="VDG105" s="17"/>
      <c r="VDH105" s="17"/>
      <c r="VDI105" s="17"/>
      <c r="VDJ105" s="17"/>
      <c r="VDK105" s="17"/>
      <c r="VDL105" s="17"/>
      <c r="VDM105" s="17"/>
      <c r="VDN105" s="17"/>
      <c r="VDO105" s="17"/>
      <c r="VDP105" s="17"/>
      <c r="VDQ105" s="17"/>
      <c r="VDR105" s="17"/>
      <c r="VDS105" s="17"/>
      <c r="VDT105" s="17"/>
      <c r="VDU105" s="17"/>
      <c r="VDV105" s="17"/>
      <c r="VDW105" s="17"/>
      <c r="VDX105" s="17"/>
      <c r="VDY105" s="17"/>
      <c r="VDZ105" s="17"/>
      <c r="VEA105" s="17"/>
      <c r="VEB105" s="17"/>
      <c r="VEC105" s="17"/>
      <c r="VED105" s="17"/>
      <c r="VEE105" s="17"/>
      <c r="VEF105" s="17"/>
      <c r="VEG105" s="17"/>
      <c r="VEH105" s="17"/>
      <c r="VEI105" s="17"/>
      <c r="VEJ105" s="17"/>
      <c r="VEK105" s="17"/>
      <c r="VEL105" s="17"/>
      <c r="VEM105" s="17"/>
      <c r="VEN105" s="17"/>
      <c r="VEO105" s="17"/>
      <c r="VEP105" s="17"/>
      <c r="VEQ105" s="17"/>
      <c r="VER105" s="17"/>
      <c r="VES105" s="17"/>
      <c r="VET105" s="17"/>
      <c r="VEU105" s="17"/>
      <c r="VEV105" s="17"/>
      <c r="VEW105" s="17"/>
      <c r="VEX105" s="17"/>
      <c r="VEY105" s="17"/>
      <c r="VEZ105" s="17"/>
      <c r="VFA105" s="17"/>
      <c r="VFB105" s="17"/>
      <c r="VFC105" s="17"/>
      <c r="VFD105" s="17"/>
      <c r="VFE105" s="17"/>
      <c r="VFF105" s="17"/>
      <c r="VFG105" s="17"/>
      <c r="VFH105" s="17"/>
      <c r="VFI105" s="17"/>
      <c r="VFJ105" s="17"/>
      <c r="VFK105" s="17"/>
      <c r="VFL105" s="17"/>
      <c r="VFM105" s="17"/>
      <c r="VFN105" s="17"/>
      <c r="VFO105" s="17"/>
      <c r="VFP105" s="17"/>
      <c r="VFQ105" s="17"/>
      <c r="VFR105" s="17"/>
      <c r="VFS105" s="17"/>
      <c r="VFT105" s="17"/>
      <c r="VFU105" s="17"/>
      <c r="VFV105" s="17"/>
      <c r="VFW105" s="17"/>
      <c r="VFX105" s="17"/>
      <c r="VFY105" s="17"/>
      <c r="VFZ105" s="17"/>
      <c r="VGA105" s="17"/>
      <c r="VGB105" s="17"/>
      <c r="VGC105" s="17"/>
      <c r="VGD105" s="17"/>
      <c r="VGE105" s="17"/>
      <c r="VGF105" s="17"/>
      <c r="VGG105" s="17"/>
      <c r="VGH105" s="17"/>
      <c r="VGI105" s="17"/>
      <c r="VGJ105" s="17"/>
      <c r="VGK105" s="17"/>
      <c r="VGL105" s="17"/>
      <c r="VGM105" s="17"/>
      <c r="VGN105" s="17"/>
      <c r="VGO105" s="17"/>
      <c r="VGP105" s="17"/>
      <c r="VGQ105" s="17"/>
      <c r="VGR105" s="17"/>
      <c r="VGS105" s="17"/>
      <c r="VGT105" s="17"/>
      <c r="VGU105" s="17"/>
      <c r="VGV105" s="17"/>
      <c r="VGW105" s="17"/>
      <c r="VGX105" s="17"/>
      <c r="VGY105" s="17"/>
      <c r="VGZ105" s="17"/>
      <c r="VHA105" s="17"/>
      <c r="VHB105" s="17"/>
      <c r="VHC105" s="17"/>
      <c r="VHD105" s="17"/>
      <c r="VHE105" s="17"/>
      <c r="VHF105" s="17"/>
      <c r="VHG105" s="17"/>
      <c r="VHH105" s="17"/>
      <c r="VHI105" s="17"/>
      <c r="VHJ105" s="17"/>
      <c r="VHK105" s="17"/>
      <c r="VHL105" s="17"/>
      <c r="VHM105" s="17"/>
      <c r="VHN105" s="17"/>
      <c r="VHO105" s="17"/>
      <c r="VHP105" s="17"/>
      <c r="VHQ105" s="17"/>
      <c r="VHR105" s="17"/>
      <c r="VHS105" s="17"/>
      <c r="VHT105" s="17"/>
      <c r="VHU105" s="17"/>
      <c r="VHV105" s="17"/>
      <c r="VHW105" s="17"/>
      <c r="VHX105" s="17"/>
      <c r="VHY105" s="17"/>
      <c r="VHZ105" s="17"/>
      <c r="VIA105" s="17"/>
      <c r="VIB105" s="17"/>
      <c r="VIC105" s="17"/>
      <c r="VID105" s="17"/>
      <c r="VIE105" s="17"/>
      <c r="VIF105" s="17"/>
      <c r="VIG105" s="17"/>
      <c r="VIH105" s="17"/>
      <c r="VII105" s="17"/>
      <c r="VIJ105" s="17"/>
      <c r="VIK105" s="17"/>
      <c r="VIL105" s="17"/>
      <c r="VIM105" s="17"/>
      <c r="VIN105" s="17"/>
      <c r="VIO105" s="17"/>
      <c r="VIP105" s="17"/>
      <c r="VIQ105" s="17"/>
      <c r="VIR105" s="17"/>
      <c r="VIS105" s="17"/>
      <c r="VIT105" s="17"/>
      <c r="VIU105" s="17"/>
      <c r="VIV105" s="17"/>
      <c r="VIW105" s="17"/>
      <c r="VIX105" s="17"/>
      <c r="VIY105" s="17"/>
      <c r="VIZ105" s="17"/>
      <c r="VJA105" s="17"/>
      <c r="VJB105" s="17"/>
      <c r="VJC105" s="17"/>
      <c r="VJD105" s="17"/>
      <c r="VJE105" s="17"/>
      <c r="VJF105" s="17"/>
      <c r="VJG105" s="17"/>
      <c r="VJH105" s="17"/>
      <c r="VJI105" s="17"/>
      <c r="VJJ105" s="17"/>
      <c r="VJK105" s="17"/>
      <c r="VJL105" s="17"/>
      <c r="VJM105" s="17"/>
      <c r="VJN105" s="17"/>
      <c r="VJO105" s="17"/>
      <c r="VJP105" s="17"/>
      <c r="VJQ105" s="17"/>
      <c r="VJR105" s="17"/>
      <c r="VJS105" s="17"/>
      <c r="VJT105" s="17"/>
      <c r="VJU105" s="17"/>
      <c r="VJV105" s="17"/>
      <c r="VJW105" s="17"/>
      <c r="VJX105" s="17"/>
      <c r="VJY105" s="17"/>
      <c r="VJZ105" s="17"/>
      <c r="VKA105" s="17"/>
      <c r="VKB105" s="17"/>
      <c r="VKC105" s="17"/>
      <c r="VKD105" s="17"/>
      <c r="VKE105" s="17"/>
      <c r="VKF105" s="17"/>
      <c r="VKG105" s="17"/>
      <c r="VKH105" s="17"/>
      <c r="VKI105" s="17"/>
      <c r="VKJ105" s="17"/>
      <c r="VKK105" s="17"/>
      <c r="VKL105" s="17"/>
      <c r="VKM105" s="17"/>
      <c r="VKN105" s="17"/>
      <c r="VKO105" s="17"/>
      <c r="VKP105" s="17"/>
      <c r="VKQ105" s="17"/>
      <c r="VKR105" s="17"/>
      <c r="VKS105" s="17"/>
      <c r="VKT105" s="17"/>
      <c r="VKU105" s="17"/>
      <c r="VKV105" s="17"/>
      <c r="VKW105" s="17"/>
      <c r="VKX105" s="17"/>
      <c r="VKY105" s="17"/>
      <c r="VKZ105" s="17"/>
      <c r="VLA105" s="17"/>
      <c r="VLB105" s="17"/>
      <c r="VLC105" s="17"/>
      <c r="VLD105" s="17"/>
      <c r="VLE105" s="17"/>
      <c r="VLF105" s="17"/>
      <c r="VLG105" s="17"/>
      <c r="VLH105" s="17"/>
      <c r="VLI105" s="17"/>
      <c r="VLJ105" s="17"/>
      <c r="VLK105" s="17"/>
      <c r="VLL105" s="17"/>
      <c r="VLM105" s="17"/>
      <c r="VLN105" s="17"/>
      <c r="VLO105" s="17"/>
      <c r="VLP105" s="17"/>
      <c r="VLQ105" s="17"/>
      <c r="VLR105" s="17"/>
      <c r="VLS105" s="17"/>
      <c r="VLT105" s="17"/>
      <c r="VLU105" s="17"/>
      <c r="VLV105" s="17"/>
      <c r="VLW105" s="17"/>
      <c r="VLX105" s="17"/>
      <c r="VLY105" s="17"/>
      <c r="VLZ105" s="17"/>
      <c r="VMA105" s="17"/>
      <c r="VMB105" s="17"/>
      <c r="VMC105" s="17"/>
      <c r="VMD105" s="17"/>
      <c r="VME105" s="17"/>
      <c r="VMF105" s="17"/>
      <c r="VMG105" s="17"/>
      <c r="VMH105" s="17"/>
      <c r="VMI105" s="17"/>
      <c r="VMJ105" s="17"/>
      <c r="VMK105" s="17"/>
      <c r="VML105" s="17"/>
      <c r="VMM105" s="17"/>
      <c r="VMN105" s="17"/>
      <c r="VMO105" s="17"/>
      <c r="VMP105" s="17"/>
      <c r="VMQ105" s="17"/>
      <c r="VMR105" s="17"/>
      <c r="VMS105" s="17"/>
      <c r="VMT105" s="17"/>
      <c r="VMU105" s="17"/>
      <c r="VMV105" s="17"/>
      <c r="VMW105" s="17"/>
      <c r="VMX105" s="17"/>
      <c r="VMY105" s="17"/>
      <c r="VMZ105" s="17"/>
      <c r="VNA105" s="17"/>
      <c r="VNB105" s="17"/>
      <c r="VNC105" s="17"/>
      <c r="VND105" s="17"/>
      <c r="VNE105" s="17"/>
      <c r="VNF105" s="17"/>
      <c r="VNG105" s="17"/>
      <c r="VNH105" s="17"/>
      <c r="VNI105" s="17"/>
      <c r="VNJ105" s="17"/>
      <c r="VNK105" s="17"/>
      <c r="VNL105" s="17"/>
      <c r="VNM105" s="17"/>
      <c r="VNN105" s="17"/>
      <c r="VNO105" s="17"/>
      <c r="VNP105" s="17"/>
      <c r="VNQ105" s="17"/>
      <c r="VNR105" s="17"/>
      <c r="VNS105" s="17"/>
      <c r="VNT105" s="17"/>
      <c r="VNU105" s="17"/>
      <c r="VNV105" s="17"/>
      <c r="VNW105" s="17"/>
      <c r="VNX105" s="17"/>
      <c r="VNY105" s="17"/>
      <c r="VNZ105" s="17"/>
      <c r="VOA105" s="17"/>
      <c r="VOB105" s="17"/>
      <c r="VOC105" s="17"/>
      <c r="VOD105" s="17"/>
      <c r="VOE105" s="17"/>
      <c r="VOF105" s="17"/>
      <c r="VOG105" s="17"/>
      <c r="VOH105" s="17"/>
      <c r="VOI105" s="17"/>
      <c r="VOJ105" s="17"/>
      <c r="VOK105" s="17"/>
      <c r="VOL105" s="17"/>
      <c r="VOM105" s="17"/>
      <c r="VON105" s="17"/>
      <c r="VOO105" s="17"/>
      <c r="VOP105" s="17"/>
      <c r="VOQ105" s="17"/>
      <c r="VOR105" s="17"/>
      <c r="VOS105" s="17"/>
      <c r="VOT105" s="17"/>
      <c r="VOU105" s="17"/>
      <c r="VOV105" s="17"/>
      <c r="VOW105" s="17"/>
      <c r="VOX105" s="17"/>
      <c r="VOY105" s="17"/>
      <c r="VOZ105" s="17"/>
      <c r="VPA105" s="17"/>
      <c r="VPB105" s="17"/>
      <c r="VPC105" s="17"/>
      <c r="VPD105" s="17"/>
      <c r="VPE105" s="17"/>
      <c r="VPF105" s="17"/>
      <c r="VPG105" s="17"/>
      <c r="VPH105" s="17"/>
      <c r="VPI105" s="17"/>
      <c r="VPJ105" s="17"/>
      <c r="VPK105" s="17"/>
      <c r="VPL105" s="17"/>
      <c r="VPM105" s="17"/>
      <c r="VPN105" s="17"/>
      <c r="VPO105" s="17"/>
      <c r="VPP105" s="17"/>
      <c r="VPQ105" s="17"/>
      <c r="VPR105" s="17"/>
      <c r="VPS105" s="17"/>
      <c r="VPT105" s="17"/>
      <c r="VPU105" s="17"/>
      <c r="VPV105" s="17"/>
      <c r="VPW105" s="17"/>
      <c r="VPX105" s="17"/>
      <c r="VPY105" s="17"/>
      <c r="VPZ105" s="17"/>
      <c r="VQA105" s="17"/>
      <c r="VQB105" s="17"/>
      <c r="VQC105" s="17"/>
      <c r="VQD105" s="17"/>
      <c r="VQE105" s="17"/>
      <c r="VQF105" s="17"/>
      <c r="VQG105" s="17"/>
      <c r="VQH105" s="17"/>
      <c r="VQI105" s="17"/>
      <c r="VQJ105" s="17"/>
      <c r="VQK105" s="17"/>
      <c r="VQL105" s="17"/>
      <c r="VQM105" s="17"/>
      <c r="VQN105" s="17"/>
      <c r="VQO105" s="17"/>
      <c r="VQP105" s="17"/>
      <c r="VQQ105" s="17"/>
      <c r="VQR105" s="17"/>
      <c r="VQS105" s="17"/>
      <c r="VQT105" s="17"/>
      <c r="VQU105" s="17"/>
      <c r="VQV105" s="17"/>
      <c r="VQW105" s="17"/>
      <c r="VQX105" s="17"/>
      <c r="VQY105" s="17"/>
      <c r="VQZ105" s="17"/>
      <c r="VRA105" s="17"/>
      <c r="VRB105" s="17"/>
      <c r="VRC105" s="17"/>
      <c r="VRD105" s="17"/>
      <c r="VRE105" s="17"/>
      <c r="VRF105" s="17"/>
      <c r="VRG105" s="17"/>
      <c r="VRH105" s="17"/>
      <c r="VRI105" s="17"/>
      <c r="VRJ105" s="17"/>
      <c r="VRK105" s="17"/>
      <c r="VRL105" s="17"/>
      <c r="VRM105" s="17"/>
      <c r="VRN105" s="17"/>
      <c r="VRO105" s="17"/>
      <c r="VRP105" s="17"/>
      <c r="VRQ105" s="17"/>
      <c r="VRR105" s="17"/>
      <c r="VRS105" s="17"/>
      <c r="VRT105" s="17"/>
      <c r="VRU105" s="17"/>
      <c r="VRV105" s="17"/>
      <c r="VRW105" s="17"/>
      <c r="VRX105" s="17"/>
      <c r="VRY105" s="17"/>
      <c r="VRZ105" s="17"/>
      <c r="VSA105" s="17"/>
      <c r="VSB105" s="17"/>
      <c r="VSC105" s="17"/>
      <c r="VSD105" s="17"/>
      <c r="VSE105" s="17"/>
      <c r="VSF105" s="17"/>
      <c r="VSG105" s="17"/>
      <c r="VSH105" s="17"/>
      <c r="VSI105" s="17"/>
      <c r="VSJ105" s="17"/>
      <c r="VSK105" s="17"/>
      <c r="VSL105" s="17"/>
      <c r="VSM105" s="17"/>
      <c r="VSN105" s="17"/>
      <c r="VSO105" s="17"/>
      <c r="VSP105" s="17"/>
      <c r="VSQ105" s="17"/>
      <c r="VSR105" s="17"/>
      <c r="VSS105" s="17"/>
      <c r="VST105" s="17"/>
      <c r="VSU105" s="17"/>
      <c r="VSV105" s="17"/>
      <c r="VSW105" s="17"/>
      <c r="VSX105" s="17"/>
      <c r="VSY105" s="17"/>
      <c r="VSZ105" s="17"/>
      <c r="VTA105" s="17"/>
      <c r="VTB105" s="17"/>
      <c r="VTC105" s="17"/>
      <c r="VTD105" s="17"/>
      <c r="VTE105" s="17"/>
      <c r="VTF105" s="17"/>
      <c r="VTG105" s="17"/>
      <c r="VTH105" s="17"/>
      <c r="VTI105" s="17"/>
      <c r="VTJ105" s="17"/>
      <c r="VTK105" s="17"/>
      <c r="VTL105" s="17"/>
      <c r="VTM105" s="17"/>
      <c r="VTN105" s="17"/>
      <c r="VTO105" s="17"/>
      <c r="VTP105" s="17"/>
      <c r="VTQ105" s="17"/>
      <c r="VTR105" s="17"/>
      <c r="VTS105" s="17"/>
      <c r="VTT105" s="17"/>
      <c r="VTU105" s="17"/>
      <c r="VTV105" s="17"/>
      <c r="VTW105" s="17"/>
      <c r="VTX105" s="17"/>
      <c r="VTY105" s="17"/>
      <c r="VTZ105" s="17"/>
      <c r="VUA105" s="17"/>
      <c r="VUB105" s="17"/>
      <c r="VUC105" s="17"/>
      <c r="VUD105" s="17"/>
      <c r="VUE105" s="17"/>
      <c r="VUF105" s="17"/>
      <c r="VUG105" s="17"/>
      <c r="VUH105" s="17"/>
      <c r="VUI105" s="17"/>
      <c r="VUJ105" s="17"/>
      <c r="VUK105" s="17"/>
      <c r="VUL105" s="17"/>
      <c r="VUM105" s="17"/>
      <c r="VUN105" s="17"/>
      <c r="VUO105" s="17"/>
      <c r="VUP105" s="17"/>
      <c r="VUQ105" s="17"/>
      <c r="VUR105" s="17"/>
      <c r="VUS105" s="17"/>
      <c r="VUT105" s="17"/>
      <c r="VUU105" s="17"/>
      <c r="VUV105" s="17"/>
      <c r="VUW105" s="17"/>
      <c r="VUX105" s="17"/>
      <c r="VUY105" s="17"/>
      <c r="VUZ105" s="17"/>
      <c r="VVA105" s="17"/>
      <c r="VVB105" s="17"/>
      <c r="VVC105" s="17"/>
      <c r="VVD105" s="17"/>
      <c r="VVE105" s="17"/>
      <c r="VVF105" s="17"/>
      <c r="VVG105" s="17"/>
      <c r="VVH105" s="17"/>
      <c r="VVI105" s="17"/>
      <c r="VVJ105" s="17"/>
      <c r="VVK105" s="17"/>
      <c r="VVL105" s="17"/>
      <c r="VVM105" s="17"/>
      <c r="VVN105" s="17"/>
      <c r="VVO105" s="17"/>
      <c r="VVP105" s="17"/>
      <c r="VVQ105" s="17"/>
      <c r="VVR105" s="17"/>
      <c r="VVS105" s="17"/>
      <c r="VVT105" s="17"/>
      <c r="VVU105" s="17"/>
      <c r="VVV105" s="17"/>
      <c r="VVW105" s="17"/>
      <c r="VVX105" s="17"/>
      <c r="VVY105" s="17"/>
      <c r="VVZ105" s="17"/>
      <c r="VWA105" s="17"/>
      <c r="VWB105" s="17"/>
      <c r="VWC105" s="17"/>
      <c r="VWD105" s="17"/>
      <c r="VWE105" s="17"/>
      <c r="VWF105" s="17"/>
      <c r="VWG105" s="17"/>
      <c r="VWH105" s="17"/>
      <c r="VWI105" s="17"/>
      <c r="VWJ105" s="17"/>
      <c r="VWK105" s="17"/>
      <c r="VWL105" s="17"/>
      <c r="VWM105" s="17"/>
      <c r="VWN105" s="17"/>
      <c r="VWO105" s="17"/>
      <c r="VWP105" s="17"/>
      <c r="VWQ105" s="17"/>
      <c r="VWR105" s="17"/>
      <c r="VWS105" s="17"/>
      <c r="VWT105" s="17"/>
      <c r="VWU105" s="17"/>
      <c r="VWV105" s="17"/>
      <c r="VWW105" s="17"/>
      <c r="VWX105" s="17"/>
      <c r="VWY105" s="17"/>
      <c r="VWZ105" s="17"/>
      <c r="VXA105" s="17"/>
      <c r="VXB105" s="17"/>
      <c r="VXC105" s="17"/>
      <c r="VXD105" s="17"/>
      <c r="VXE105" s="17"/>
      <c r="VXF105" s="17"/>
      <c r="VXG105" s="17"/>
      <c r="VXH105" s="17"/>
      <c r="VXI105" s="17"/>
      <c r="VXJ105" s="17"/>
      <c r="VXK105" s="17"/>
      <c r="VXL105" s="17"/>
      <c r="VXM105" s="17"/>
      <c r="VXN105" s="17"/>
      <c r="VXO105" s="17"/>
      <c r="VXP105" s="17"/>
      <c r="VXQ105" s="17"/>
      <c r="VXR105" s="17"/>
      <c r="VXS105" s="17"/>
      <c r="VXT105" s="17"/>
      <c r="VXU105" s="17"/>
      <c r="VXV105" s="17"/>
      <c r="VXW105" s="17"/>
      <c r="VXX105" s="17"/>
      <c r="VXY105" s="17"/>
      <c r="VXZ105" s="17"/>
      <c r="VYA105" s="17"/>
      <c r="VYB105" s="17"/>
      <c r="VYC105" s="17"/>
      <c r="VYD105" s="17"/>
      <c r="VYE105" s="17"/>
      <c r="VYF105" s="17"/>
      <c r="VYG105" s="17"/>
      <c r="VYH105" s="17"/>
      <c r="VYI105" s="17"/>
      <c r="VYJ105" s="17"/>
      <c r="VYK105" s="17"/>
      <c r="VYL105" s="17"/>
      <c r="VYM105" s="17"/>
      <c r="VYN105" s="17"/>
      <c r="VYO105" s="17"/>
      <c r="VYP105" s="17"/>
      <c r="VYQ105" s="17"/>
      <c r="VYR105" s="17"/>
      <c r="VYS105" s="17"/>
      <c r="VYT105" s="17"/>
      <c r="VYU105" s="17"/>
      <c r="VYV105" s="17"/>
      <c r="VYW105" s="17"/>
      <c r="VYX105" s="17"/>
      <c r="VYY105" s="17"/>
      <c r="VYZ105" s="17"/>
      <c r="VZA105" s="17"/>
      <c r="VZB105" s="17"/>
      <c r="VZC105" s="17"/>
      <c r="VZD105" s="17"/>
      <c r="VZE105" s="17"/>
      <c r="VZF105" s="17"/>
      <c r="VZG105" s="17"/>
      <c r="VZH105" s="17"/>
      <c r="VZI105" s="17"/>
      <c r="VZJ105" s="17"/>
      <c r="VZK105" s="17"/>
      <c r="VZL105" s="17"/>
      <c r="VZM105" s="17"/>
      <c r="VZN105" s="17"/>
      <c r="VZO105" s="17"/>
      <c r="VZP105" s="17"/>
      <c r="VZQ105" s="17"/>
      <c r="VZR105" s="17"/>
      <c r="VZS105" s="17"/>
      <c r="VZT105" s="17"/>
      <c r="VZU105" s="17"/>
      <c r="VZV105" s="17"/>
      <c r="VZW105" s="17"/>
      <c r="VZX105" s="17"/>
      <c r="VZY105" s="17"/>
      <c r="VZZ105" s="17"/>
      <c r="WAA105" s="17"/>
      <c r="WAB105" s="17"/>
      <c r="WAC105" s="17"/>
      <c r="WAD105" s="17"/>
      <c r="WAE105" s="17"/>
      <c r="WAF105" s="17"/>
      <c r="WAG105" s="17"/>
      <c r="WAH105" s="17"/>
      <c r="WAI105" s="17"/>
      <c r="WAJ105" s="17"/>
      <c r="WAK105" s="17"/>
      <c r="WAL105" s="17"/>
      <c r="WAM105" s="17"/>
      <c r="WAN105" s="17"/>
      <c r="WAO105" s="17"/>
      <c r="WAP105" s="17"/>
      <c r="WAQ105" s="17"/>
      <c r="WAR105" s="17"/>
      <c r="WAS105" s="17"/>
      <c r="WAT105" s="17"/>
      <c r="WAU105" s="17"/>
      <c r="WAV105" s="17"/>
      <c r="WAW105" s="17"/>
      <c r="WAX105" s="17"/>
      <c r="WAY105" s="17"/>
      <c r="WAZ105" s="17"/>
      <c r="WBA105" s="17"/>
      <c r="WBB105" s="17"/>
      <c r="WBC105" s="17"/>
      <c r="WBD105" s="17"/>
      <c r="WBE105" s="17"/>
      <c r="WBF105" s="17"/>
      <c r="WBG105" s="17"/>
      <c r="WBH105" s="17"/>
      <c r="WBI105" s="17"/>
      <c r="WBJ105" s="17"/>
      <c r="WBK105" s="17"/>
      <c r="WBL105" s="17"/>
      <c r="WBM105" s="17"/>
      <c r="WBN105" s="17"/>
      <c r="WBO105" s="17"/>
      <c r="WBP105" s="17"/>
      <c r="WBQ105" s="17"/>
      <c r="WBR105" s="17"/>
      <c r="WBS105" s="17"/>
      <c r="WBT105" s="17"/>
      <c r="WBU105" s="17"/>
      <c r="WBV105" s="17"/>
      <c r="WBW105" s="17"/>
      <c r="WBX105" s="17"/>
      <c r="WBY105" s="17"/>
      <c r="WBZ105" s="17"/>
      <c r="WCA105" s="17"/>
      <c r="WCB105" s="17"/>
      <c r="WCC105" s="17"/>
      <c r="WCD105" s="17"/>
      <c r="WCE105" s="17"/>
      <c r="WCF105" s="17"/>
      <c r="WCG105" s="17"/>
      <c r="WCH105" s="17"/>
      <c r="WCI105" s="17"/>
      <c r="WCJ105" s="17"/>
      <c r="WCK105" s="17"/>
      <c r="WCL105" s="17"/>
      <c r="WCM105" s="17"/>
      <c r="WCN105" s="17"/>
      <c r="WCO105" s="17"/>
      <c r="WCP105" s="17"/>
      <c r="WCQ105" s="17"/>
      <c r="WCR105" s="17"/>
      <c r="WCS105" s="17"/>
      <c r="WCT105" s="17"/>
      <c r="WCU105" s="17"/>
      <c r="WCV105" s="17"/>
      <c r="WCW105" s="17"/>
      <c r="WCX105" s="17"/>
      <c r="WCY105" s="17"/>
      <c r="WCZ105" s="17"/>
      <c r="WDA105" s="17"/>
      <c r="WDB105" s="17"/>
      <c r="WDC105" s="17"/>
      <c r="WDD105" s="17"/>
      <c r="WDE105" s="17"/>
      <c r="WDF105" s="17"/>
      <c r="WDG105" s="17"/>
      <c r="WDH105" s="17"/>
      <c r="WDI105" s="17"/>
      <c r="WDJ105" s="17"/>
      <c r="WDK105" s="17"/>
      <c r="WDL105" s="17"/>
      <c r="WDM105" s="17"/>
      <c r="WDN105" s="17"/>
      <c r="WDO105" s="17"/>
      <c r="WDP105" s="17"/>
      <c r="WDQ105" s="17"/>
      <c r="WDR105" s="17"/>
      <c r="WDS105" s="17"/>
      <c r="WDT105" s="17"/>
      <c r="WDU105" s="17"/>
      <c r="WDV105" s="17"/>
      <c r="WDW105" s="17"/>
      <c r="WDX105" s="17"/>
      <c r="WDY105" s="17"/>
      <c r="WDZ105" s="17"/>
      <c r="WEA105" s="17"/>
      <c r="WEB105" s="17"/>
      <c r="WEC105" s="17"/>
      <c r="WED105" s="17"/>
      <c r="WEE105" s="17"/>
      <c r="WEF105" s="17"/>
      <c r="WEG105" s="17"/>
      <c r="WEH105" s="17"/>
      <c r="WEI105" s="17"/>
      <c r="WEJ105" s="17"/>
      <c r="WEK105" s="17"/>
      <c r="WEL105" s="17"/>
      <c r="WEM105" s="17"/>
      <c r="WEN105" s="17"/>
      <c r="WEO105" s="17"/>
      <c r="WEP105" s="17"/>
      <c r="WEQ105" s="17"/>
      <c r="WER105" s="17"/>
      <c r="WES105" s="17"/>
      <c r="WET105" s="17"/>
      <c r="WEU105" s="17"/>
      <c r="WEV105" s="17"/>
      <c r="WEW105" s="17"/>
      <c r="WEX105" s="17"/>
      <c r="WEY105" s="17"/>
      <c r="WEZ105" s="17"/>
      <c r="WFA105" s="17"/>
      <c r="WFB105" s="17"/>
      <c r="WFC105" s="17"/>
      <c r="WFD105" s="17"/>
      <c r="WFE105" s="17"/>
      <c r="WFF105" s="17"/>
      <c r="WFG105" s="17"/>
      <c r="WFH105" s="17"/>
      <c r="WFI105" s="17"/>
      <c r="WFJ105" s="17"/>
      <c r="WFK105" s="17"/>
      <c r="WFL105" s="17"/>
      <c r="WFM105" s="17"/>
      <c r="WFN105" s="17"/>
      <c r="WFO105" s="17"/>
      <c r="WFP105" s="17"/>
      <c r="WFQ105" s="17"/>
      <c r="WFR105" s="17"/>
      <c r="WFS105" s="17"/>
      <c r="WFT105" s="17"/>
      <c r="WFU105" s="17"/>
      <c r="WFV105" s="17"/>
      <c r="WFW105" s="17"/>
      <c r="WFX105" s="17"/>
      <c r="WFY105" s="17"/>
      <c r="WFZ105" s="17"/>
      <c r="WGA105" s="17"/>
      <c r="WGB105" s="17"/>
      <c r="WGC105" s="17"/>
      <c r="WGD105" s="17"/>
      <c r="WGE105" s="17"/>
      <c r="WGF105" s="17"/>
      <c r="WGG105" s="17"/>
      <c r="WGH105" s="17"/>
      <c r="WGI105" s="17"/>
      <c r="WGJ105" s="17"/>
      <c r="WGK105" s="17"/>
      <c r="WGL105" s="17"/>
      <c r="WGM105" s="17"/>
      <c r="WGN105" s="17"/>
      <c r="WGO105" s="17"/>
      <c r="WGP105" s="17"/>
      <c r="WGQ105" s="17"/>
      <c r="WGR105" s="17"/>
      <c r="WGS105" s="17"/>
      <c r="WGT105" s="17"/>
      <c r="WGU105" s="17"/>
      <c r="WGV105" s="17"/>
      <c r="WGW105" s="17"/>
      <c r="WGX105" s="17"/>
      <c r="WGY105" s="17"/>
      <c r="WGZ105" s="17"/>
      <c r="WHA105" s="17"/>
      <c r="WHB105" s="17"/>
      <c r="WHC105" s="17"/>
      <c r="WHD105" s="17"/>
      <c r="WHE105" s="17"/>
      <c r="WHF105" s="17"/>
      <c r="WHG105" s="17"/>
      <c r="WHH105" s="17"/>
      <c r="WHI105" s="17"/>
      <c r="WHJ105" s="17"/>
      <c r="WHK105" s="17"/>
      <c r="WHL105" s="17"/>
      <c r="WHM105" s="17"/>
      <c r="WHN105" s="17"/>
      <c r="WHO105" s="17"/>
      <c r="WHP105" s="17"/>
      <c r="WHQ105" s="17"/>
      <c r="WHR105" s="17"/>
      <c r="WHS105" s="17"/>
      <c r="WHT105" s="17"/>
      <c r="WHU105" s="17"/>
      <c r="WHV105" s="17"/>
      <c r="WHW105" s="17"/>
      <c r="WHX105" s="17"/>
      <c r="WHY105" s="17"/>
      <c r="WHZ105" s="17"/>
      <c r="WIA105" s="17"/>
      <c r="WIB105" s="17"/>
      <c r="WIC105" s="17"/>
      <c r="WID105" s="17"/>
      <c r="WIE105" s="17"/>
      <c r="WIF105" s="17"/>
      <c r="WIG105" s="17"/>
      <c r="WIH105" s="17"/>
      <c r="WII105" s="17"/>
      <c r="WIJ105" s="17"/>
      <c r="WIK105" s="17"/>
      <c r="WIL105" s="17"/>
      <c r="WIM105" s="17"/>
      <c r="WIN105" s="17"/>
      <c r="WIO105" s="17"/>
      <c r="WIP105" s="17"/>
      <c r="WIQ105" s="17"/>
      <c r="WIR105" s="17"/>
      <c r="WIS105" s="17"/>
      <c r="WIT105" s="17"/>
      <c r="WIU105" s="17"/>
      <c r="WIV105" s="17"/>
      <c r="WIW105" s="17"/>
      <c r="WIX105" s="17"/>
      <c r="WIY105" s="17"/>
      <c r="WIZ105" s="17"/>
      <c r="WJA105" s="17"/>
      <c r="WJB105" s="17"/>
      <c r="WJC105" s="17"/>
      <c r="WJD105" s="17"/>
      <c r="WJE105" s="17"/>
      <c r="WJF105" s="17"/>
      <c r="WJG105" s="17"/>
      <c r="WJH105" s="17"/>
      <c r="WJI105" s="17"/>
      <c r="WJJ105" s="17"/>
      <c r="WJK105" s="17"/>
      <c r="WJL105" s="17"/>
      <c r="WJM105" s="17"/>
      <c r="WJN105" s="17"/>
      <c r="WJO105" s="17"/>
      <c r="WJP105" s="17"/>
      <c r="WJQ105" s="17"/>
      <c r="WJR105" s="17"/>
      <c r="WJS105" s="17"/>
      <c r="WJT105" s="17"/>
      <c r="WJU105" s="17"/>
      <c r="WJV105" s="17"/>
      <c r="WJW105" s="17"/>
      <c r="WJX105" s="17"/>
      <c r="WJY105" s="17"/>
      <c r="WJZ105" s="17"/>
      <c r="WKA105" s="17"/>
      <c r="WKB105" s="17"/>
      <c r="WKC105" s="17"/>
      <c r="WKD105" s="17"/>
      <c r="WKE105" s="17"/>
      <c r="WKF105" s="17"/>
      <c r="WKG105" s="17"/>
      <c r="WKH105" s="17"/>
      <c r="WKI105" s="17"/>
      <c r="WKJ105" s="17"/>
      <c r="WKK105" s="17"/>
      <c r="WKL105" s="17"/>
      <c r="WKM105" s="17"/>
      <c r="WKN105" s="17"/>
      <c r="WKO105" s="17"/>
      <c r="WKP105" s="17"/>
      <c r="WKQ105" s="17"/>
      <c r="WKR105" s="17"/>
      <c r="WKS105" s="17"/>
      <c r="WKT105" s="17"/>
      <c r="WKU105" s="17"/>
      <c r="WKV105" s="17"/>
      <c r="WKW105" s="17"/>
      <c r="WKX105" s="17"/>
      <c r="WKY105" s="17"/>
      <c r="WKZ105" s="17"/>
      <c r="WLA105" s="17"/>
      <c r="WLB105" s="17"/>
      <c r="WLC105" s="17"/>
      <c r="WLD105" s="17"/>
      <c r="WLE105" s="17"/>
      <c r="WLF105" s="17"/>
      <c r="WLG105" s="17"/>
      <c r="WLH105" s="17"/>
      <c r="WLI105" s="17"/>
      <c r="WLJ105" s="17"/>
      <c r="WLK105" s="17"/>
      <c r="WLL105" s="17"/>
      <c r="WLM105" s="17"/>
      <c r="WLN105" s="17"/>
      <c r="WLO105" s="17"/>
      <c r="WLP105" s="17"/>
      <c r="WLQ105" s="17"/>
      <c r="WLR105" s="17"/>
      <c r="WLS105" s="17"/>
      <c r="WLT105" s="17"/>
      <c r="WLU105" s="17"/>
      <c r="WLV105" s="17"/>
      <c r="WLW105" s="17"/>
      <c r="WLX105" s="17"/>
      <c r="WLY105" s="17"/>
      <c r="WLZ105" s="17"/>
      <c r="WMA105" s="17"/>
      <c r="WMB105" s="17"/>
      <c r="WMC105" s="17"/>
      <c r="WMD105" s="17"/>
      <c r="WME105" s="17"/>
      <c r="WMF105" s="17"/>
      <c r="WMG105" s="17"/>
      <c r="WMH105" s="17"/>
      <c r="WMI105" s="17"/>
      <c r="WMJ105" s="17"/>
      <c r="WMK105" s="17"/>
      <c r="WML105" s="17"/>
      <c r="WMM105" s="17"/>
      <c r="WMN105" s="17"/>
      <c r="WMO105" s="17"/>
      <c r="WMP105" s="17"/>
      <c r="WMQ105" s="17"/>
      <c r="WMR105" s="17"/>
      <c r="WMS105" s="17"/>
      <c r="WMT105" s="17"/>
      <c r="WMU105" s="17"/>
      <c r="WMV105" s="17"/>
      <c r="WMW105" s="17"/>
      <c r="WMX105" s="17"/>
      <c r="WMY105" s="17"/>
      <c r="WMZ105" s="17"/>
      <c r="WNA105" s="17"/>
      <c r="WNB105" s="17"/>
      <c r="WNC105" s="17"/>
      <c r="WND105" s="17"/>
      <c r="WNE105" s="17"/>
      <c r="WNF105" s="17"/>
      <c r="WNG105" s="17"/>
      <c r="WNH105" s="17"/>
      <c r="WNI105" s="17"/>
      <c r="WNJ105" s="17"/>
      <c r="WNK105" s="17"/>
      <c r="WNL105" s="17"/>
      <c r="WNM105" s="17"/>
      <c r="WNN105" s="17"/>
      <c r="WNO105" s="17"/>
      <c r="WNP105" s="17"/>
      <c r="WNQ105" s="17"/>
      <c r="WNR105" s="17"/>
      <c r="WNS105" s="17"/>
      <c r="WNT105" s="17"/>
      <c r="WNU105" s="17"/>
      <c r="WNV105" s="17"/>
      <c r="WNW105" s="17"/>
      <c r="WNX105" s="17"/>
      <c r="WNY105" s="17"/>
      <c r="WNZ105" s="17"/>
      <c r="WOA105" s="17"/>
      <c r="WOB105" s="17"/>
      <c r="WOC105" s="17"/>
      <c r="WOD105" s="17"/>
      <c r="WOE105" s="17"/>
      <c r="WOF105" s="17"/>
      <c r="WOG105" s="17"/>
      <c r="WOH105" s="17"/>
      <c r="WOI105" s="17"/>
      <c r="WOJ105" s="17"/>
      <c r="WOK105" s="17"/>
      <c r="WOL105" s="17"/>
      <c r="WOM105" s="17"/>
      <c r="WON105" s="17"/>
      <c r="WOO105" s="17"/>
      <c r="WOP105" s="17"/>
      <c r="WOQ105" s="17"/>
      <c r="WOR105" s="17"/>
      <c r="WOS105" s="17"/>
      <c r="WOT105" s="17"/>
      <c r="WOU105" s="17"/>
      <c r="WOV105" s="17"/>
      <c r="WOW105" s="17"/>
      <c r="WOX105" s="17"/>
      <c r="WOY105" s="17"/>
      <c r="WOZ105" s="17"/>
      <c r="WPA105" s="17"/>
      <c r="WPB105" s="17"/>
      <c r="WPC105" s="17"/>
      <c r="WPD105" s="17"/>
      <c r="WPE105" s="17"/>
      <c r="WPF105" s="17"/>
      <c r="WPG105" s="17"/>
      <c r="WPH105" s="17"/>
      <c r="WPI105" s="17"/>
      <c r="WPJ105" s="17"/>
      <c r="WPK105" s="17"/>
      <c r="WPL105" s="17"/>
      <c r="WPM105" s="17"/>
      <c r="WPN105" s="17"/>
      <c r="WPO105" s="17"/>
      <c r="WPP105" s="17"/>
      <c r="WPQ105" s="17"/>
      <c r="WPR105" s="17"/>
      <c r="WPS105" s="17"/>
      <c r="WPT105" s="17"/>
      <c r="WPU105" s="17"/>
      <c r="WPV105" s="17"/>
      <c r="WPW105" s="17"/>
      <c r="WPX105" s="17"/>
      <c r="WPY105" s="17"/>
      <c r="WPZ105" s="17"/>
      <c r="WQA105" s="17"/>
      <c r="WQB105" s="17"/>
      <c r="WQC105" s="17"/>
      <c r="WQD105" s="17"/>
      <c r="WQE105" s="17"/>
      <c r="WQF105" s="17"/>
      <c r="WQG105" s="17"/>
      <c r="WQH105" s="17"/>
      <c r="WQI105" s="17"/>
      <c r="WQJ105" s="17"/>
      <c r="WQK105" s="17"/>
      <c r="WQL105" s="17"/>
      <c r="WQM105" s="17"/>
      <c r="WQN105" s="17"/>
      <c r="WQO105" s="17"/>
      <c r="WQP105" s="17"/>
      <c r="WQQ105" s="17"/>
      <c r="WQR105" s="17"/>
      <c r="WQS105" s="17"/>
      <c r="WQT105" s="17"/>
      <c r="WQU105" s="17"/>
      <c r="WQV105" s="17"/>
      <c r="WQW105" s="17"/>
      <c r="WQX105" s="17"/>
      <c r="WQY105" s="17"/>
      <c r="WQZ105" s="17"/>
      <c r="WRA105" s="17"/>
      <c r="WRB105" s="17"/>
      <c r="WRC105" s="17"/>
      <c r="WRD105" s="17"/>
      <c r="WRE105" s="17"/>
      <c r="WRF105" s="17"/>
      <c r="WRG105" s="17"/>
      <c r="WRH105" s="17"/>
      <c r="WRI105" s="17"/>
      <c r="WRJ105" s="17"/>
      <c r="WRK105" s="17"/>
      <c r="WRL105" s="17"/>
      <c r="WRM105" s="17"/>
      <c r="WRN105" s="17"/>
      <c r="WRO105" s="17"/>
      <c r="WRP105" s="17"/>
      <c r="WRQ105" s="17"/>
      <c r="WRR105" s="17"/>
      <c r="WRS105" s="17"/>
      <c r="WRT105" s="17"/>
      <c r="WRU105" s="17"/>
      <c r="WRV105" s="17"/>
      <c r="WRW105" s="17"/>
      <c r="WRX105" s="17"/>
      <c r="WRY105" s="17"/>
      <c r="WRZ105" s="17"/>
      <c r="WSA105" s="17"/>
      <c r="WSB105" s="17"/>
      <c r="WSC105" s="17"/>
      <c r="WSD105" s="17"/>
      <c r="WSE105" s="17"/>
      <c r="WSF105" s="17"/>
      <c r="WSG105" s="17"/>
      <c r="WSH105" s="17"/>
      <c r="WSI105" s="17"/>
      <c r="WSJ105" s="17"/>
      <c r="WSK105" s="17"/>
      <c r="WSL105" s="17"/>
      <c r="WSM105" s="17"/>
      <c r="WSN105" s="17"/>
      <c r="WSO105" s="17"/>
      <c r="WSP105" s="17"/>
      <c r="WSQ105" s="17"/>
      <c r="WSR105" s="17"/>
      <c r="WSS105" s="17"/>
      <c r="WST105" s="17"/>
      <c r="WSU105" s="17"/>
      <c r="WSV105" s="17"/>
      <c r="WSW105" s="17"/>
      <c r="WSX105" s="17"/>
      <c r="WSY105" s="17"/>
      <c r="WSZ105" s="17"/>
      <c r="WTA105" s="17"/>
      <c r="WTB105" s="17"/>
      <c r="WTC105" s="17"/>
      <c r="WTD105" s="17"/>
      <c r="WTE105" s="17"/>
      <c r="WTF105" s="17"/>
      <c r="WTG105" s="17"/>
      <c r="WTH105" s="17"/>
      <c r="WTI105" s="17"/>
      <c r="WTJ105" s="17"/>
      <c r="WTK105" s="17"/>
      <c r="WTL105" s="17"/>
      <c r="WTM105" s="17"/>
      <c r="WTN105" s="17"/>
      <c r="WTO105" s="17"/>
      <c r="WTP105" s="17"/>
      <c r="WTQ105" s="17"/>
      <c r="WTR105" s="17"/>
      <c r="WTS105" s="17"/>
      <c r="WTT105" s="17"/>
      <c r="WTU105" s="17"/>
      <c r="WTV105" s="17"/>
      <c r="WTW105" s="17"/>
      <c r="WTX105" s="17"/>
      <c r="WTY105" s="17"/>
      <c r="WTZ105" s="17"/>
      <c r="WUA105" s="17"/>
      <c r="WUB105" s="17"/>
      <c r="WUC105" s="17"/>
      <c r="WUD105" s="17"/>
      <c r="WUE105" s="17"/>
      <c r="WUF105" s="17"/>
      <c r="WUG105" s="17"/>
      <c r="WUH105" s="17"/>
      <c r="WUI105" s="17"/>
      <c r="WUJ105" s="17"/>
      <c r="WUK105" s="17"/>
      <c r="WUL105" s="17"/>
      <c r="WUM105" s="17"/>
      <c r="WUN105" s="17"/>
      <c r="WUO105" s="17"/>
      <c r="WUP105" s="17"/>
      <c r="WUQ105" s="17"/>
      <c r="WUR105" s="17"/>
      <c r="WUS105" s="17"/>
      <c r="WUT105" s="17"/>
      <c r="WUU105" s="17"/>
      <c r="WUV105" s="17"/>
      <c r="WUW105" s="17"/>
      <c r="WUX105" s="17"/>
      <c r="WUY105" s="17"/>
      <c r="WUZ105" s="17"/>
      <c r="WVA105" s="17"/>
      <c r="WVB105" s="17"/>
      <c r="WVC105" s="17"/>
      <c r="WVD105" s="17"/>
      <c r="WVE105" s="17"/>
      <c r="WVF105" s="17"/>
      <c r="WVG105" s="17"/>
      <c r="WVH105" s="17"/>
      <c r="WVI105" s="17"/>
      <c r="WVJ105" s="17"/>
      <c r="WVK105" s="17"/>
      <c r="WVL105" s="17"/>
      <c r="WVM105" s="17"/>
      <c r="WVN105" s="17"/>
      <c r="WVO105" s="17"/>
      <c r="WVP105" s="17"/>
      <c r="WVQ105" s="17"/>
      <c r="WVR105" s="17"/>
      <c r="WVS105" s="17"/>
      <c r="WVT105" s="17"/>
      <c r="WVU105" s="17"/>
      <c r="WVV105" s="17"/>
      <c r="WVW105" s="17"/>
      <c r="WVX105" s="17"/>
      <c r="WVY105" s="17"/>
      <c r="WVZ105" s="17"/>
      <c r="WWA105" s="17"/>
      <c r="WWB105" s="17"/>
      <c r="WWC105" s="17"/>
      <c r="WWD105" s="17"/>
      <c r="WWE105" s="17"/>
      <c r="WWF105" s="17"/>
      <c r="WWG105" s="17"/>
      <c r="WWH105" s="17"/>
      <c r="WWI105" s="17"/>
      <c r="WWJ105" s="17"/>
      <c r="WWK105" s="17"/>
      <c r="WWL105" s="17"/>
      <c r="WWM105" s="17"/>
      <c r="WWN105" s="17"/>
      <c r="WWO105" s="17"/>
      <c r="WWP105" s="17"/>
      <c r="WWQ105" s="17"/>
      <c r="WWR105" s="17"/>
      <c r="WWS105" s="17"/>
      <c r="WWT105" s="17"/>
      <c r="WWU105" s="17"/>
      <c r="WWV105" s="17"/>
      <c r="WWW105" s="17"/>
      <c r="WWX105" s="17"/>
      <c r="WWY105" s="17"/>
      <c r="WWZ105" s="17"/>
      <c r="WXA105" s="17"/>
      <c r="WXB105" s="17"/>
      <c r="WXC105" s="17"/>
      <c r="WXD105" s="17"/>
      <c r="WXE105" s="17"/>
      <c r="WXF105" s="17"/>
      <c r="WXG105" s="17"/>
      <c r="WXH105" s="17"/>
      <c r="WXI105" s="17"/>
      <c r="WXJ105" s="17"/>
      <c r="WXK105" s="17"/>
      <c r="WXL105" s="17"/>
      <c r="WXM105" s="17"/>
      <c r="WXN105" s="17"/>
      <c r="WXO105" s="17"/>
      <c r="WXP105" s="17"/>
      <c r="WXQ105" s="17"/>
      <c r="WXR105" s="17"/>
      <c r="WXS105" s="17"/>
      <c r="WXT105" s="17"/>
      <c r="WXU105" s="17"/>
      <c r="WXV105" s="17"/>
      <c r="WXW105" s="17"/>
      <c r="WXX105" s="17"/>
      <c r="WXY105" s="17"/>
      <c r="WXZ105" s="17"/>
      <c r="WYA105" s="17"/>
      <c r="WYB105" s="17"/>
      <c r="WYC105" s="17"/>
      <c r="WYD105" s="17"/>
      <c r="WYE105" s="17"/>
      <c r="WYF105" s="17"/>
      <c r="WYG105" s="17"/>
      <c r="WYH105" s="17"/>
      <c r="WYI105" s="17"/>
      <c r="WYJ105" s="17"/>
      <c r="WYK105" s="17"/>
      <c r="WYL105" s="17"/>
      <c r="WYM105" s="17"/>
      <c r="WYN105" s="17"/>
      <c r="WYO105" s="17"/>
      <c r="WYP105" s="17"/>
      <c r="WYQ105" s="17"/>
      <c r="WYR105" s="17"/>
      <c r="WYS105" s="17"/>
      <c r="WYT105" s="17"/>
      <c r="WYU105" s="17"/>
      <c r="WYV105" s="17"/>
      <c r="WYW105" s="17"/>
      <c r="WYX105" s="17"/>
      <c r="WYY105" s="17"/>
      <c r="WYZ105" s="17"/>
      <c r="WZA105" s="17"/>
      <c r="WZB105" s="17"/>
      <c r="WZC105" s="17"/>
      <c r="WZD105" s="17"/>
      <c r="WZE105" s="17"/>
      <c r="WZF105" s="17"/>
      <c r="WZG105" s="17"/>
      <c r="WZH105" s="17"/>
      <c r="WZI105" s="17"/>
      <c r="WZJ105" s="17"/>
      <c r="WZK105" s="17"/>
      <c r="WZL105" s="17"/>
      <c r="WZM105" s="17"/>
      <c r="WZN105" s="17"/>
      <c r="WZO105" s="17"/>
      <c r="WZP105" s="17"/>
      <c r="WZQ105" s="17"/>
      <c r="WZR105" s="17"/>
      <c r="WZS105" s="17"/>
      <c r="WZT105" s="17"/>
      <c r="WZU105" s="17"/>
      <c r="WZV105" s="17"/>
      <c r="WZW105" s="17"/>
      <c r="WZX105" s="17"/>
      <c r="WZY105" s="17"/>
      <c r="WZZ105" s="17"/>
      <c r="XAA105" s="17"/>
      <c r="XAB105" s="17"/>
      <c r="XAC105" s="17"/>
      <c r="XAD105" s="17"/>
      <c r="XAE105" s="17"/>
      <c r="XAF105" s="17"/>
      <c r="XAG105" s="17"/>
      <c r="XAH105" s="17"/>
      <c r="XAI105" s="17"/>
      <c r="XAJ105" s="17"/>
      <c r="XAK105" s="17"/>
      <c r="XAL105" s="17"/>
      <c r="XAM105" s="17"/>
      <c r="XAN105" s="17"/>
      <c r="XAO105" s="17"/>
      <c r="XAP105" s="17"/>
      <c r="XAQ105" s="17"/>
      <c r="XAR105" s="17"/>
      <c r="XAS105" s="17"/>
      <c r="XAT105" s="17"/>
      <c r="XAU105" s="17"/>
      <c r="XAV105" s="17"/>
      <c r="XAW105" s="17"/>
      <c r="XAX105" s="17"/>
      <c r="XAY105" s="17"/>
      <c r="XAZ105" s="17"/>
      <c r="XBA105" s="17"/>
      <c r="XBB105" s="17"/>
      <c r="XBC105" s="17"/>
      <c r="XBD105" s="17"/>
      <c r="XBE105" s="17"/>
      <c r="XBF105" s="17"/>
      <c r="XBG105" s="17"/>
      <c r="XBH105" s="17"/>
      <c r="XBI105" s="17"/>
      <c r="XBJ105" s="17"/>
      <c r="XBK105" s="17"/>
      <c r="XBL105" s="17"/>
      <c r="XBM105" s="17"/>
      <c r="XBN105" s="17"/>
      <c r="XBO105" s="17"/>
      <c r="XBP105" s="17"/>
      <c r="XBQ105" s="17"/>
      <c r="XBR105" s="17"/>
      <c r="XBS105" s="17"/>
      <c r="XBT105" s="17"/>
      <c r="XBU105" s="17"/>
      <c r="XBV105" s="17"/>
      <c r="XBW105" s="17"/>
      <c r="XBX105" s="17"/>
      <c r="XBY105" s="17"/>
      <c r="XBZ105" s="17"/>
      <c r="XCA105" s="17"/>
      <c r="XCB105" s="17"/>
      <c r="XCC105" s="17"/>
      <c r="XCD105" s="17"/>
      <c r="XCE105" s="17"/>
      <c r="XCF105" s="17"/>
      <c r="XCG105" s="17"/>
      <c r="XCH105" s="17"/>
      <c r="XCI105" s="17"/>
      <c r="XCJ105" s="17"/>
      <c r="XCK105" s="17"/>
      <c r="XCL105" s="17"/>
      <c r="XCM105" s="17"/>
      <c r="XCN105" s="17"/>
      <c r="XCO105" s="17"/>
      <c r="XCP105" s="17"/>
      <c r="XCQ105" s="17"/>
      <c r="XCR105" s="17"/>
      <c r="XCS105" s="17"/>
      <c r="XCT105" s="17"/>
      <c r="XCU105" s="17"/>
      <c r="XCV105" s="17"/>
      <c r="XCW105" s="17"/>
      <c r="XCX105" s="17"/>
      <c r="XCY105" s="17"/>
      <c r="XCZ105" s="17"/>
      <c r="XDA105" s="17"/>
      <c r="XDB105" s="17"/>
      <c r="XDC105" s="17"/>
      <c r="XDD105" s="17"/>
      <c r="XDE105" s="17"/>
      <c r="XDF105" s="17"/>
      <c r="XDG105" s="17"/>
      <c r="XDH105" s="17"/>
      <c r="XDI105" s="17"/>
      <c r="XDJ105" s="17"/>
      <c r="XDK105" s="17"/>
      <c r="XDL105" s="17"/>
      <c r="XDM105" s="17"/>
      <c r="XDN105" s="17"/>
      <c r="XDO105" s="17"/>
      <c r="XDP105" s="17"/>
      <c r="XDQ105" s="17"/>
      <c r="XDR105" s="17"/>
      <c r="XDS105" s="17"/>
      <c r="XDT105" s="17"/>
      <c r="XDU105" s="17"/>
      <c r="XDV105" s="17"/>
      <c r="XDW105" s="17"/>
      <c r="XDX105" s="17"/>
      <c r="XDY105" s="17"/>
      <c r="XDZ105" s="17"/>
      <c r="XEA105" s="17"/>
      <c r="XEB105" s="17"/>
      <c r="XEC105" s="17"/>
      <c r="XED105" s="17"/>
      <c r="XEE105" s="17"/>
      <c r="XEF105" s="17"/>
      <c r="XEG105" s="17"/>
      <c r="XEH105" s="17"/>
      <c r="XEI105" s="17"/>
      <c r="XEJ105" s="17"/>
      <c r="XEK105" s="17"/>
      <c r="XEL105" s="17"/>
      <c r="XEM105" s="17"/>
      <c r="XEN105" s="17"/>
      <c r="XEO105" s="17"/>
      <c r="XEP105" s="17"/>
      <c r="XEQ105" s="17"/>
      <c r="XER105" s="17"/>
      <c r="XES105" s="17"/>
      <c r="XET105" s="17"/>
      <c r="XEU105" s="17"/>
      <c r="XEV105" s="17"/>
      <c r="XEW105" s="17"/>
      <c r="XEX105" s="17"/>
      <c r="XEY105" s="10"/>
      <c r="XEZ105" s="10"/>
      <c r="XFA105" s="10"/>
      <c r="XFB105" s="10"/>
      <c r="XFC105" s="94"/>
    </row>
    <row r="106" s="4" customFormat="1" ht="42" customHeight="1" spans="1:16383">
      <c r="A106" s="61"/>
      <c r="B106" s="62"/>
      <c r="C106" s="63" t="s">
        <v>104</v>
      </c>
      <c r="D106" s="63"/>
      <c r="E106" s="67" t="s">
        <v>17</v>
      </c>
      <c r="F106" s="68">
        <v>0</v>
      </c>
      <c r="G106" s="71">
        <v>240</v>
      </c>
      <c r="H106" s="71">
        <f t="shared" si="6"/>
        <v>0</v>
      </c>
      <c r="I106" s="80" t="s">
        <v>105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7"/>
      <c r="IP106" s="17"/>
      <c r="IQ106" s="17"/>
      <c r="IR106" s="17"/>
      <c r="IS106" s="17"/>
      <c r="IT106" s="17"/>
      <c r="IU106" s="17"/>
      <c r="IV106" s="17"/>
      <c r="IW106" s="17"/>
      <c r="IX106" s="17"/>
      <c r="IY106" s="17"/>
      <c r="IZ106" s="17"/>
      <c r="JA106" s="17"/>
      <c r="JB106" s="17"/>
      <c r="JC106" s="17"/>
      <c r="JD106" s="17"/>
      <c r="JE106" s="17"/>
      <c r="JF106" s="17"/>
      <c r="JG106" s="17"/>
      <c r="JH106" s="17"/>
      <c r="JI106" s="17"/>
      <c r="JJ106" s="17"/>
      <c r="JK106" s="17"/>
      <c r="JL106" s="17"/>
      <c r="JM106" s="17"/>
      <c r="JN106" s="17"/>
      <c r="JO106" s="17"/>
      <c r="JP106" s="17"/>
      <c r="JQ106" s="17"/>
      <c r="JR106" s="17"/>
      <c r="JS106" s="17"/>
      <c r="JT106" s="17"/>
      <c r="JU106" s="17"/>
      <c r="JV106" s="17"/>
      <c r="JW106" s="17"/>
      <c r="JX106" s="17"/>
      <c r="JY106" s="17"/>
      <c r="JZ106" s="17"/>
      <c r="KA106" s="17"/>
      <c r="KB106" s="17"/>
      <c r="KC106" s="17"/>
      <c r="KD106" s="17"/>
      <c r="KE106" s="17"/>
      <c r="KF106" s="17"/>
      <c r="KG106" s="17"/>
      <c r="KH106" s="17"/>
      <c r="KI106" s="17"/>
      <c r="KJ106" s="17"/>
      <c r="KK106" s="17"/>
      <c r="KL106" s="17"/>
      <c r="KM106" s="17"/>
      <c r="KN106" s="17"/>
      <c r="KO106" s="17"/>
      <c r="KP106" s="17"/>
      <c r="KQ106" s="17"/>
      <c r="KR106" s="17"/>
      <c r="KS106" s="17"/>
      <c r="KT106" s="17"/>
      <c r="KU106" s="17"/>
      <c r="KV106" s="17"/>
      <c r="KW106" s="17"/>
      <c r="KX106" s="17"/>
      <c r="KY106" s="17"/>
      <c r="KZ106" s="17"/>
      <c r="LA106" s="17"/>
      <c r="LB106" s="17"/>
      <c r="LC106" s="17"/>
      <c r="LD106" s="17"/>
      <c r="LE106" s="17"/>
      <c r="LF106" s="17"/>
      <c r="LG106" s="17"/>
      <c r="LH106" s="17"/>
      <c r="LI106" s="17"/>
      <c r="LJ106" s="17"/>
      <c r="LK106" s="17"/>
      <c r="LL106" s="17"/>
      <c r="LM106" s="17"/>
      <c r="LN106" s="17"/>
      <c r="LO106" s="17"/>
      <c r="LP106" s="17"/>
      <c r="LQ106" s="17"/>
      <c r="LR106" s="17"/>
      <c r="LS106" s="17"/>
      <c r="LT106" s="17"/>
      <c r="LU106" s="17"/>
      <c r="LV106" s="17"/>
      <c r="LW106" s="17"/>
      <c r="LX106" s="17"/>
      <c r="LY106" s="17"/>
      <c r="LZ106" s="17"/>
      <c r="MA106" s="17"/>
      <c r="MB106" s="17"/>
      <c r="MC106" s="17"/>
      <c r="MD106" s="17"/>
      <c r="ME106" s="17"/>
      <c r="MF106" s="17"/>
      <c r="MG106" s="17"/>
      <c r="MH106" s="17"/>
      <c r="MI106" s="17"/>
      <c r="MJ106" s="17"/>
      <c r="MK106" s="17"/>
      <c r="ML106" s="17"/>
      <c r="MM106" s="17"/>
      <c r="MN106" s="17"/>
      <c r="MO106" s="17"/>
      <c r="MP106" s="17"/>
      <c r="MQ106" s="17"/>
      <c r="MR106" s="17"/>
      <c r="MS106" s="17"/>
      <c r="MT106" s="17"/>
      <c r="MU106" s="17"/>
      <c r="MV106" s="17"/>
      <c r="MW106" s="17"/>
      <c r="MX106" s="17"/>
      <c r="MY106" s="17"/>
      <c r="MZ106" s="17"/>
      <c r="NA106" s="17"/>
      <c r="NB106" s="17"/>
      <c r="NC106" s="17"/>
      <c r="ND106" s="17"/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  <c r="NX106" s="17"/>
      <c r="NY106" s="17"/>
      <c r="NZ106" s="17"/>
      <c r="OA106" s="17"/>
      <c r="OB106" s="17"/>
      <c r="OC106" s="17"/>
      <c r="OD106" s="17"/>
      <c r="OE106" s="17"/>
      <c r="OF106" s="17"/>
      <c r="OG106" s="17"/>
      <c r="OH106" s="17"/>
      <c r="OI106" s="17"/>
      <c r="OJ106" s="17"/>
      <c r="OK106" s="17"/>
      <c r="OL106" s="17"/>
      <c r="OM106" s="17"/>
      <c r="ON106" s="17"/>
      <c r="OO106" s="17"/>
      <c r="OP106" s="17"/>
      <c r="OQ106" s="17"/>
      <c r="OR106" s="17"/>
      <c r="OS106" s="17"/>
      <c r="OT106" s="17"/>
      <c r="OU106" s="17"/>
      <c r="OV106" s="17"/>
      <c r="OW106" s="17"/>
      <c r="OX106" s="17"/>
      <c r="OY106" s="17"/>
      <c r="OZ106" s="17"/>
      <c r="PA106" s="17"/>
      <c r="PB106" s="17"/>
      <c r="PC106" s="17"/>
      <c r="PD106" s="17"/>
      <c r="PE106" s="17"/>
      <c r="PF106" s="17"/>
      <c r="PG106" s="17"/>
      <c r="PH106" s="17"/>
      <c r="PI106" s="17"/>
      <c r="PJ106" s="17"/>
      <c r="PK106" s="17"/>
      <c r="PL106" s="17"/>
      <c r="PM106" s="17"/>
      <c r="PN106" s="17"/>
      <c r="PO106" s="17"/>
      <c r="PP106" s="17"/>
      <c r="PQ106" s="17"/>
      <c r="PR106" s="17"/>
      <c r="PS106" s="17"/>
      <c r="PT106" s="17"/>
      <c r="PU106" s="17"/>
      <c r="PV106" s="17"/>
      <c r="PW106" s="17"/>
      <c r="PX106" s="17"/>
      <c r="PY106" s="17"/>
      <c r="PZ106" s="17"/>
      <c r="QA106" s="17"/>
      <c r="QB106" s="17"/>
      <c r="QC106" s="17"/>
      <c r="QD106" s="17"/>
      <c r="QE106" s="17"/>
      <c r="QF106" s="17"/>
      <c r="QG106" s="17"/>
      <c r="QH106" s="17"/>
      <c r="QI106" s="17"/>
      <c r="QJ106" s="17"/>
      <c r="QK106" s="17"/>
      <c r="QL106" s="17"/>
      <c r="QM106" s="17"/>
      <c r="QN106" s="17"/>
      <c r="QO106" s="17"/>
      <c r="QP106" s="17"/>
      <c r="QQ106" s="17"/>
      <c r="QR106" s="17"/>
      <c r="QS106" s="17"/>
      <c r="QT106" s="17"/>
      <c r="QU106" s="17"/>
      <c r="QV106" s="17"/>
      <c r="QW106" s="17"/>
      <c r="QX106" s="17"/>
      <c r="QY106" s="17"/>
      <c r="QZ106" s="17"/>
      <c r="RA106" s="17"/>
      <c r="RB106" s="17"/>
      <c r="RC106" s="17"/>
      <c r="RD106" s="17"/>
      <c r="RE106" s="17"/>
      <c r="RF106" s="17"/>
      <c r="RG106" s="17"/>
      <c r="RH106" s="17"/>
      <c r="RI106" s="17"/>
      <c r="RJ106" s="17"/>
      <c r="RK106" s="17"/>
      <c r="RL106" s="17"/>
      <c r="RM106" s="17"/>
      <c r="RN106" s="17"/>
      <c r="RO106" s="17"/>
      <c r="RP106" s="17"/>
      <c r="RQ106" s="17"/>
      <c r="RR106" s="17"/>
      <c r="RS106" s="17"/>
      <c r="RT106" s="17"/>
      <c r="RU106" s="17"/>
      <c r="RV106" s="17"/>
      <c r="RW106" s="17"/>
      <c r="RX106" s="17"/>
      <c r="RY106" s="17"/>
      <c r="RZ106" s="17"/>
      <c r="SA106" s="17"/>
      <c r="SB106" s="17"/>
      <c r="SC106" s="17"/>
      <c r="SD106" s="17"/>
      <c r="SE106" s="17"/>
      <c r="SF106" s="17"/>
      <c r="SG106" s="17"/>
      <c r="SH106" s="17"/>
      <c r="SI106" s="17"/>
      <c r="SJ106" s="17"/>
      <c r="SK106" s="17"/>
      <c r="SL106" s="17"/>
      <c r="SM106" s="17"/>
      <c r="SN106" s="17"/>
      <c r="SO106" s="17"/>
      <c r="SP106" s="17"/>
      <c r="SQ106" s="17"/>
      <c r="SR106" s="17"/>
      <c r="SS106" s="17"/>
      <c r="ST106" s="17"/>
      <c r="SU106" s="17"/>
      <c r="SV106" s="17"/>
      <c r="SW106" s="17"/>
      <c r="SX106" s="17"/>
      <c r="SY106" s="17"/>
      <c r="SZ106" s="17"/>
      <c r="TA106" s="17"/>
      <c r="TB106" s="17"/>
      <c r="TC106" s="17"/>
      <c r="TD106" s="17"/>
      <c r="TE106" s="17"/>
      <c r="TF106" s="17"/>
      <c r="TG106" s="17"/>
      <c r="TH106" s="17"/>
      <c r="TI106" s="17"/>
      <c r="TJ106" s="17"/>
      <c r="TK106" s="17"/>
      <c r="TL106" s="17"/>
      <c r="TM106" s="17"/>
      <c r="TN106" s="17"/>
      <c r="TO106" s="17"/>
      <c r="TP106" s="17"/>
      <c r="TQ106" s="17"/>
      <c r="TR106" s="17"/>
      <c r="TS106" s="17"/>
      <c r="TT106" s="17"/>
      <c r="TU106" s="17"/>
      <c r="TV106" s="17"/>
      <c r="TW106" s="17"/>
      <c r="TX106" s="17"/>
      <c r="TY106" s="17"/>
      <c r="TZ106" s="17"/>
      <c r="UA106" s="17"/>
      <c r="UB106" s="17"/>
      <c r="UC106" s="17"/>
      <c r="UD106" s="17"/>
      <c r="UE106" s="17"/>
      <c r="UF106" s="17"/>
      <c r="UG106" s="17"/>
      <c r="UH106" s="17"/>
      <c r="UI106" s="17"/>
      <c r="UJ106" s="17"/>
      <c r="UK106" s="17"/>
      <c r="UL106" s="17"/>
      <c r="UM106" s="17"/>
      <c r="UN106" s="17"/>
      <c r="UO106" s="17"/>
      <c r="UP106" s="17"/>
      <c r="UQ106" s="17"/>
      <c r="UR106" s="17"/>
      <c r="US106" s="17"/>
      <c r="UT106" s="17"/>
      <c r="UU106" s="17"/>
      <c r="UV106" s="17"/>
      <c r="UW106" s="17"/>
      <c r="UX106" s="17"/>
      <c r="UY106" s="17"/>
      <c r="UZ106" s="17"/>
      <c r="VA106" s="17"/>
      <c r="VB106" s="17"/>
      <c r="VC106" s="17"/>
      <c r="VD106" s="17"/>
      <c r="VE106" s="17"/>
      <c r="VF106" s="17"/>
      <c r="VG106" s="17"/>
      <c r="VH106" s="17"/>
      <c r="VI106" s="17"/>
      <c r="VJ106" s="17"/>
      <c r="VK106" s="17"/>
      <c r="VL106" s="17"/>
      <c r="VM106" s="17"/>
      <c r="VN106" s="17"/>
      <c r="VO106" s="17"/>
      <c r="VP106" s="17"/>
      <c r="VQ106" s="17"/>
      <c r="VR106" s="17"/>
      <c r="VS106" s="17"/>
      <c r="VT106" s="17"/>
      <c r="VU106" s="17"/>
      <c r="VV106" s="17"/>
      <c r="VW106" s="17"/>
      <c r="VX106" s="17"/>
      <c r="VY106" s="17"/>
      <c r="VZ106" s="17"/>
      <c r="WA106" s="17"/>
      <c r="WB106" s="17"/>
      <c r="WC106" s="17"/>
      <c r="WD106" s="17"/>
      <c r="WE106" s="17"/>
      <c r="WF106" s="17"/>
      <c r="WG106" s="17"/>
      <c r="WH106" s="17"/>
      <c r="WI106" s="17"/>
      <c r="WJ106" s="17"/>
      <c r="WK106" s="17"/>
      <c r="WL106" s="17"/>
      <c r="WM106" s="17"/>
      <c r="WN106" s="17"/>
      <c r="WO106" s="17"/>
      <c r="WP106" s="17"/>
      <c r="WQ106" s="17"/>
      <c r="WR106" s="17"/>
      <c r="WS106" s="17"/>
      <c r="WT106" s="17"/>
      <c r="WU106" s="17"/>
      <c r="WV106" s="17"/>
      <c r="WW106" s="17"/>
      <c r="WX106" s="17"/>
      <c r="WY106" s="17"/>
      <c r="WZ106" s="17"/>
      <c r="XA106" s="17"/>
      <c r="XB106" s="17"/>
      <c r="XC106" s="17"/>
      <c r="XD106" s="17"/>
      <c r="XE106" s="17"/>
      <c r="XF106" s="17"/>
      <c r="XG106" s="17"/>
      <c r="XH106" s="17"/>
      <c r="XI106" s="17"/>
      <c r="XJ106" s="17"/>
      <c r="XK106" s="17"/>
      <c r="XL106" s="17"/>
      <c r="XM106" s="17"/>
      <c r="XN106" s="17"/>
      <c r="XO106" s="17"/>
      <c r="XP106" s="17"/>
      <c r="XQ106" s="17"/>
      <c r="XR106" s="17"/>
      <c r="XS106" s="17"/>
      <c r="XT106" s="17"/>
      <c r="XU106" s="17"/>
      <c r="XV106" s="17"/>
      <c r="XW106" s="17"/>
      <c r="XX106" s="17"/>
      <c r="XY106" s="17"/>
      <c r="XZ106" s="17"/>
      <c r="YA106" s="17"/>
      <c r="YB106" s="17"/>
      <c r="YC106" s="17"/>
      <c r="YD106" s="17"/>
      <c r="YE106" s="17"/>
      <c r="YF106" s="17"/>
      <c r="YG106" s="17"/>
      <c r="YH106" s="17"/>
      <c r="YI106" s="17"/>
      <c r="YJ106" s="17"/>
      <c r="YK106" s="17"/>
      <c r="YL106" s="17"/>
      <c r="YM106" s="17"/>
      <c r="YN106" s="17"/>
      <c r="YO106" s="17"/>
      <c r="YP106" s="17"/>
      <c r="YQ106" s="17"/>
      <c r="YR106" s="17"/>
      <c r="YS106" s="17"/>
      <c r="YT106" s="17"/>
      <c r="YU106" s="17"/>
      <c r="YV106" s="17"/>
      <c r="YW106" s="17"/>
      <c r="YX106" s="17"/>
      <c r="YY106" s="17"/>
      <c r="YZ106" s="17"/>
      <c r="ZA106" s="17"/>
      <c r="ZB106" s="17"/>
      <c r="ZC106" s="17"/>
      <c r="ZD106" s="17"/>
      <c r="ZE106" s="17"/>
      <c r="ZF106" s="17"/>
      <c r="ZG106" s="17"/>
      <c r="ZH106" s="17"/>
      <c r="ZI106" s="17"/>
      <c r="ZJ106" s="17"/>
      <c r="ZK106" s="17"/>
      <c r="ZL106" s="17"/>
      <c r="ZM106" s="17"/>
      <c r="ZN106" s="17"/>
      <c r="ZO106" s="17"/>
      <c r="ZP106" s="17"/>
      <c r="ZQ106" s="17"/>
      <c r="ZR106" s="17"/>
      <c r="ZS106" s="17"/>
      <c r="ZT106" s="17"/>
      <c r="ZU106" s="17"/>
      <c r="ZV106" s="17"/>
      <c r="ZW106" s="17"/>
      <c r="ZX106" s="17"/>
      <c r="ZY106" s="17"/>
      <c r="ZZ106" s="17"/>
      <c r="AAA106" s="17"/>
      <c r="AAB106" s="17"/>
      <c r="AAC106" s="17"/>
      <c r="AAD106" s="17"/>
      <c r="AAE106" s="17"/>
      <c r="AAF106" s="17"/>
      <c r="AAG106" s="17"/>
      <c r="AAH106" s="17"/>
      <c r="AAI106" s="17"/>
      <c r="AAJ106" s="17"/>
      <c r="AAK106" s="17"/>
      <c r="AAL106" s="17"/>
      <c r="AAM106" s="17"/>
      <c r="AAN106" s="17"/>
      <c r="AAO106" s="17"/>
      <c r="AAP106" s="17"/>
      <c r="AAQ106" s="17"/>
      <c r="AAR106" s="17"/>
      <c r="AAS106" s="17"/>
      <c r="AAT106" s="17"/>
      <c r="AAU106" s="17"/>
      <c r="AAV106" s="17"/>
      <c r="AAW106" s="17"/>
      <c r="AAX106" s="17"/>
      <c r="AAY106" s="17"/>
      <c r="AAZ106" s="17"/>
      <c r="ABA106" s="17"/>
      <c r="ABB106" s="17"/>
      <c r="ABC106" s="17"/>
      <c r="ABD106" s="17"/>
      <c r="ABE106" s="17"/>
      <c r="ABF106" s="17"/>
      <c r="ABG106" s="17"/>
      <c r="ABH106" s="17"/>
      <c r="ABI106" s="17"/>
      <c r="ABJ106" s="17"/>
      <c r="ABK106" s="17"/>
      <c r="ABL106" s="17"/>
      <c r="ABM106" s="17"/>
      <c r="ABN106" s="17"/>
      <c r="ABO106" s="17"/>
      <c r="ABP106" s="17"/>
      <c r="ABQ106" s="17"/>
      <c r="ABR106" s="17"/>
      <c r="ABS106" s="17"/>
      <c r="ABT106" s="17"/>
      <c r="ABU106" s="17"/>
      <c r="ABV106" s="17"/>
      <c r="ABW106" s="17"/>
      <c r="ABX106" s="17"/>
      <c r="ABY106" s="17"/>
      <c r="ABZ106" s="17"/>
      <c r="ACA106" s="17"/>
      <c r="ACB106" s="17"/>
      <c r="ACC106" s="17"/>
      <c r="ACD106" s="17"/>
      <c r="ACE106" s="17"/>
      <c r="ACF106" s="17"/>
      <c r="ACG106" s="17"/>
      <c r="ACH106" s="17"/>
      <c r="ACI106" s="17"/>
      <c r="ACJ106" s="17"/>
      <c r="ACK106" s="17"/>
      <c r="ACL106" s="17"/>
      <c r="ACM106" s="17"/>
      <c r="ACN106" s="17"/>
      <c r="ACO106" s="17"/>
      <c r="ACP106" s="17"/>
      <c r="ACQ106" s="17"/>
      <c r="ACR106" s="17"/>
      <c r="ACS106" s="17"/>
      <c r="ACT106" s="17"/>
      <c r="ACU106" s="17"/>
      <c r="ACV106" s="17"/>
      <c r="ACW106" s="17"/>
      <c r="ACX106" s="17"/>
      <c r="ACY106" s="17"/>
      <c r="ACZ106" s="17"/>
      <c r="ADA106" s="17"/>
      <c r="ADB106" s="17"/>
      <c r="ADC106" s="17"/>
      <c r="ADD106" s="17"/>
      <c r="ADE106" s="17"/>
      <c r="ADF106" s="17"/>
      <c r="ADG106" s="17"/>
      <c r="ADH106" s="17"/>
      <c r="ADI106" s="17"/>
      <c r="ADJ106" s="17"/>
      <c r="ADK106" s="17"/>
      <c r="ADL106" s="17"/>
      <c r="ADM106" s="17"/>
      <c r="ADN106" s="17"/>
      <c r="ADO106" s="17"/>
      <c r="ADP106" s="17"/>
      <c r="ADQ106" s="17"/>
      <c r="ADR106" s="17"/>
      <c r="ADS106" s="17"/>
      <c r="ADT106" s="17"/>
      <c r="ADU106" s="17"/>
      <c r="ADV106" s="17"/>
      <c r="ADW106" s="17"/>
      <c r="ADX106" s="17"/>
      <c r="ADY106" s="17"/>
      <c r="ADZ106" s="17"/>
      <c r="AEA106" s="17"/>
      <c r="AEB106" s="17"/>
      <c r="AEC106" s="17"/>
      <c r="AED106" s="17"/>
      <c r="AEE106" s="17"/>
      <c r="AEF106" s="17"/>
      <c r="AEG106" s="17"/>
      <c r="AEH106" s="17"/>
      <c r="AEI106" s="17"/>
      <c r="AEJ106" s="17"/>
      <c r="AEK106" s="17"/>
      <c r="AEL106" s="17"/>
      <c r="AEM106" s="17"/>
      <c r="AEN106" s="17"/>
      <c r="AEO106" s="17"/>
      <c r="AEP106" s="17"/>
      <c r="AEQ106" s="17"/>
      <c r="AER106" s="17"/>
      <c r="AES106" s="17"/>
      <c r="AET106" s="17"/>
      <c r="AEU106" s="17"/>
      <c r="AEV106" s="17"/>
      <c r="AEW106" s="17"/>
      <c r="AEX106" s="17"/>
      <c r="AEY106" s="17"/>
      <c r="AEZ106" s="17"/>
      <c r="AFA106" s="17"/>
      <c r="AFB106" s="17"/>
      <c r="AFC106" s="17"/>
      <c r="AFD106" s="17"/>
      <c r="AFE106" s="17"/>
      <c r="AFF106" s="17"/>
      <c r="AFG106" s="17"/>
      <c r="AFH106" s="17"/>
      <c r="AFI106" s="17"/>
      <c r="AFJ106" s="17"/>
      <c r="AFK106" s="17"/>
      <c r="AFL106" s="17"/>
      <c r="AFM106" s="17"/>
      <c r="AFN106" s="17"/>
      <c r="AFO106" s="17"/>
      <c r="AFP106" s="17"/>
      <c r="AFQ106" s="17"/>
      <c r="AFR106" s="17"/>
      <c r="AFS106" s="17"/>
      <c r="AFT106" s="17"/>
      <c r="AFU106" s="17"/>
      <c r="AFV106" s="17"/>
      <c r="AFW106" s="17"/>
      <c r="AFX106" s="17"/>
      <c r="AFY106" s="17"/>
      <c r="AFZ106" s="17"/>
      <c r="AGA106" s="17"/>
      <c r="AGB106" s="17"/>
      <c r="AGC106" s="17"/>
      <c r="AGD106" s="17"/>
      <c r="AGE106" s="17"/>
      <c r="AGF106" s="17"/>
      <c r="AGG106" s="17"/>
      <c r="AGH106" s="17"/>
      <c r="AGI106" s="17"/>
      <c r="AGJ106" s="17"/>
      <c r="AGK106" s="17"/>
      <c r="AGL106" s="17"/>
      <c r="AGM106" s="17"/>
      <c r="AGN106" s="17"/>
      <c r="AGO106" s="17"/>
      <c r="AGP106" s="17"/>
      <c r="AGQ106" s="17"/>
      <c r="AGR106" s="17"/>
      <c r="AGS106" s="17"/>
      <c r="AGT106" s="17"/>
      <c r="AGU106" s="17"/>
      <c r="AGV106" s="17"/>
      <c r="AGW106" s="17"/>
      <c r="AGX106" s="17"/>
      <c r="AGY106" s="17"/>
      <c r="AGZ106" s="17"/>
      <c r="AHA106" s="17"/>
      <c r="AHB106" s="17"/>
      <c r="AHC106" s="17"/>
      <c r="AHD106" s="17"/>
      <c r="AHE106" s="17"/>
      <c r="AHF106" s="17"/>
      <c r="AHG106" s="17"/>
      <c r="AHH106" s="17"/>
      <c r="AHI106" s="17"/>
      <c r="AHJ106" s="17"/>
      <c r="AHK106" s="17"/>
      <c r="AHL106" s="17"/>
      <c r="AHM106" s="17"/>
      <c r="AHN106" s="17"/>
      <c r="AHO106" s="17"/>
      <c r="AHP106" s="17"/>
      <c r="AHQ106" s="17"/>
      <c r="AHR106" s="17"/>
      <c r="AHS106" s="17"/>
      <c r="AHT106" s="17"/>
      <c r="AHU106" s="17"/>
      <c r="AHV106" s="17"/>
      <c r="AHW106" s="17"/>
      <c r="AHX106" s="17"/>
      <c r="AHY106" s="17"/>
      <c r="AHZ106" s="17"/>
      <c r="AIA106" s="17"/>
      <c r="AIB106" s="17"/>
      <c r="AIC106" s="17"/>
      <c r="AID106" s="17"/>
      <c r="AIE106" s="17"/>
      <c r="AIF106" s="17"/>
      <c r="AIG106" s="17"/>
      <c r="AIH106" s="17"/>
      <c r="AII106" s="17"/>
      <c r="AIJ106" s="17"/>
      <c r="AIK106" s="17"/>
      <c r="AIL106" s="17"/>
      <c r="AIM106" s="17"/>
      <c r="AIN106" s="17"/>
      <c r="AIO106" s="17"/>
      <c r="AIP106" s="17"/>
      <c r="AIQ106" s="17"/>
      <c r="AIR106" s="17"/>
      <c r="AIS106" s="17"/>
      <c r="AIT106" s="17"/>
      <c r="AIU106" s="17"/>
      <c r="AIV106" s="17"/>
      <c r="AIW106" s="17"/>
      <c r="AIX106" s="17"/>
      <c r="AIY106" s="17"/>
      <c r="AIZ106" s="17"/>
      <c r="AJA106" s="17"/>
      <c r="AJB106" s="17"/>
      <c r="AJC106" s="17"/>
      <c r="AJD106" s="17"/>
      <c r="AJE106" s="17"/>
      <c r="AJF106" s="17"/>
      <c r="AJG106" s="17"/>
      <c r="AJH106" s="17"/>
      <c r="AJI106" s="17"/>
      <c r="AJJ106" s="17"/>
      <c r="AJK106" s="17"/>
      <c r="AJL106" s="17"/>
      <c r="AJM106" s="17"/>
      <c r="AJN106" s="17"/>
      <c r="AJO106" s="17"/>
      <c r="AJP106" s="17"/>
      <c r="AJQ106" s="17"/>
      <c r="AJR106" s="17"/>
      <c r="AJS106" s="17"/>
      <c r="AJT106" s="17"/>
      <c r="AJU106" s="17"/>
      <c r="AJV106" s="17"/>
      <c r="AJW106" s="17"/>
      <c r="AJX106" s="17"/>
      <c r="AJY106" s="17"/>
      <c r="AJZ106" s="17"/>
      <c r="AKA106" s="17"/>
      <c r="AKB106" s="17"/>
      <c r="AKC106" s="17"/>
      <c r="AKD106" s="17"/>
      <c r="AKE106" s="17"/>
      <c r="AKF106" s="17"/>
      <c r="AKG106" s="17"/>
      <c r="AKH106" s="17"/>
      <c r="AKI106" s="17"/>
      <c r="AKJ106" s="17"/>
      <c r="AKK106" s="17"/>
      <c r="AKL106" s="17"/>
      <c r="AKM106" s="17"/>
      <c r="AKN106" s="17"/>
      <c r="AKO106" s="17"/>
      <c r="AKP106" s="17"/>
      <c r="AKQ106" s="17"/>
      <c r="AKR106" s="17"/>
      <c r="AKS106" s="17"/>
      <c r="AKT106" s="17"/>
      <c r="AKU106" s="17"/>
      <c r="AKV106" s="17"/>
      <c r="AKW106" s="17"/>
      <c r="AKX106" s="17"/>
      <c r="AKY106" s="17"/>
      <c r="AKZ106" s="17"/>
      <c r="ALA106" s="17"/>
      <c r="ALB106" s="17"/>
      <c r="ALC106" s="17"/>
      <c r="ALD106" s="17"/>
      <c r="ALE106" s="17"/>
      <c r="ALF106" s="17"/>
      <c r="ALG106" s="17"/>
      <c r="ALH106" s="17"/>
      <c r="ALI106" s="17"/>
      <c r="ALJ106" s="17"/>
      <c r="ALK106" s="17"/>
      <c r="ALL106" s="17"/>
      <c r="ALM106" s="17"/>
      <c r="ALN106" s="17"/>
      <c r="ALO106" s="17"/>
      <c r="ALP106" s="17"/>
      <c r="ALQ106" s="17"/>
      <c r="ALR106" s="17"/>
      <c r="ALS106" s="17"/>
      <c r="ALT106" s="17"/>
      <c r="ALU106" s="17"/>
      <c r="ALV106" s="17"/>
      <c r="ALW106" s="17"/>
      <c r="ALX106" s="17"/>
      <c r="ALY106" s="17"/>
      <c r="ALZ106" s="17"/>
      <c r="AMA106" s="17"/>
      <c r="AMB106" s="17"/>
      <c r="AMC106" s="17"/>
      <c r="AMD106" s="17"/>
      <c r="AME106" s="17"/>
      <c r="AMF106" s="17"/>
      <c r="AMG106" s="17"/>
      <c r="AMH106" s="17"/>
      <c r="AMI106" s="17"/>
      <c r="AMJ106" s="17"/>
      <c r="AMK106" s="17"/>
      <c r="AML106" s="17"/>
      <c r="AMM106" s="17"/>
      <c r="AMN106" s="17"/>
      <c r="AMO106" s="17"/>
      <c r="AMP106" s="17"/>
      <c r="AMQ106" s="17"/>
      <c r="AMR106" s="17"/>
      <c r="AMS106" s="17"/>
      <c r="AMT106" s="17"/>
      <c r="AMU106" s="17"/>
      <c r="AMV106" s="17"/>
      <c r="AMW106" s="17"/>
      <c r="AMX106" s="17"/>
      <c r="AMY106" s="17"/>
      <c r="AMZ106" s="17"/>
      <c r="ANA106" s="17"/>
      <c r="ANB106" s="17"/>
      <c r="ANC106" s="17"/>
      <c r="AND106" s="17"/>
      <c r="ANE106" s="17"/>
      <c r="ANF106" s="17"/>
      <c r="ANG106" s="17"/>
      <c r="ANH106" s="17"/>
      <c r="ANI106" s="17"/>
      <c r="ANJ106" s="17"/>
      <c r="ANK106" s="17"/>
      <c r="ANL106" s="17"/>
      <c r="ANM106" s="17"/>
      <c r="ANN106" s="17"/>
      <c r="ANO106" s="17"/>
      <c r="ANP106" s="17"/>
      <c r="ANQ106" s="17"/>
      <c r="ANR106" s="17"/>
      <c r="ANS106" s="17"/>
      <c r="ANT106" s="17"/>
      <c r="ANU106" s="17"/>
      <c r="ANV106" s="17"/>
      <c r="ANW106" s="17"/>
      <c r="ANX106" s="17"/>
      <c r="ANY106" s="17"/>
      <c r="ANZ106" s="17"/>
      <c r="AOA106" s="17"/>
      <c r="AOB106" s="17"/>
      <c r="AOC106" s="17"/>
      <c r="AOD106" s="17"/>
      <c r="AOE106" s="17"/>
      <c r="AOF106" s="17"/>
      <c r="AOG106" s="17"/>
      <c r="AOH106" s="17"/>
      <c r="AOI106" s="17"/>
      <c r="AOJ106" s="17"/>
      <c r="AOK106" s="17"/>
      <c r="AOL106" s="17"/>
      <c r="AOM106" s="17"/>
      <c r="AON106" s="17"/>
      <c r="AOO106" s="17"/>
      <c r="AOP106" s="17"/>
      <c r="AOQ106" s="17"/>
      <c r="AOR106" s="17"/>
      <c r="AOS106" s="17"/>
      <c r="AOT106" s="17"/>
      <c r="AOU106" s="17"/>
      <c r="AOV106" s="17"/>
      <c r="AOW106" s="17"/>
      <c r="AOX106" s="17"/>
      <c r="AOY106" s="17"/>
      <c r="AOZ106" s="17"/>
      <c r="APA106" s="17"/>
      <c r="APB106" s="17"/>
      <c r="APC106" s="17"/>
      <c r="APD106" s="17"/>
      <c r="APE106" s="17"/>
      <c r="APF106" s="17"/>
      <c r="APG106" s="17"/>
      <c r="APH106" s="17"/>
      <c r="API106" s="17"/>
      <c r="APJ106" s="17"/>
      <c r="APK106" s="17"/>
      <c r="APL106" s="17"/>
      <c r="APM106" s="17"/>
      <c r="APN106" s="17"/>
      <c r="APO106" s="17"/>
      <c r="APP106" s="17"/>
      <c r="APQ106" s="17"/>
      <c r="APR106" s="17"/>
      <c r="APS106" s="17"/>
      <c r="APT106" s="17"/>
      <c r="APU106" s="17"/>
      <c r="APV106" s="17"/>
      <c r="APW106" s="17"/>
      <c r="APX106" s="17"/>
      <c r="APY106" s="17"/>
      <c r="APZ106" s="17"/>
      <c r="AQA106" s="17"/>
      <c r="AQB106" s="17"/>
      <c r="AQC106" s="17"/>
      <c r="AQD106" s="17"/>
      <c r="AQE106" s="17"/>
      <c r="AQF106" s="17"/>
      <c r="AQG106" s="17"/>
      <c r="AQH106" s="17"/>
      <c r="AQI106" s="17"/>
      <c r="AQJ106" s="17"/>
      <c r="AQK106" s="17"/>
      <c r="AQL106" s="17"/>
      <c r="AQM106" s="17"/>
      <c r="AQN106" s="17"/>
      <c r="AQO106" s="17"/>
      <c r="AQP106" s="17"/>
      <c r="AQQ106" s="17"/>
      <c r="AQR106" s="17"/>
      <c r="AQS106" s="17"/>
      <c r="AQT106" s="17"/>
      <c r="AQU106" s="17"/>
      <c r="AQV106" s="17"/>
      <c r="AQW106" s="17"/>
      <c r="AQX106" s="17"/>
      <c r="AQY106" s="17"/>
      <c r="AQZ106" s="17"/>
      <c r="ARA106" s="17"/>
      <c r="ARB106" s="17"/>
      <c r="ARC106" s="17"/>
      <c r="ARD106" s="17"/>
      <c r="ARE106" s="17"/>
      <c r="ARF106" s="17"/>
      <c r="ARG106" s="17"/>
      <c r="ARH106" s="17"/>
      <c r="ARI106" s="17"/>
      <c r="ARJ106" s="17"/>
      <c r="ARK106" s="17"/>
      <c r="ARL106" s="17"/>
      <c r="ARM106" s="17"/>
      <c r="ARN106" s="17"/>
      <c r="ARO106" s="17"/>
      <c r="ARP106" s="17"/>
      <c r="ARQ106" s="17"/>
      <c r="ARR106" s="17"/>
      <c r="ARS106" s="17"/>
      <c r="ART106" s="17"/>
      <c r="ARU106" s="17"/>
      <c r="ARV106" s="17"/>
      <c r="ARW106" s="17"/>
      <c r="ARX106" s="17"/>
      <c r="ARY106" s="17"/>
      <c r="ARZ106" s="17"/>
      <c r="ASA106" s="17"/>
      <c r="ASB106" s="17"/>
      <c r="ASC106" s="17"/>
      <c r="ASD106" s="17"/>
      <c r="ASE106" s="17"/>
      <c r="ASF106" s="17"/>
      <c r="ASG106" s="17"/>
      <c r="ASH106" s="17"/>
      <c r="ASI106" s="17"/>
      <c r="ASJ106" s="17"/>
      <c r="ASK106" s="17"/>
      <c r="ASL106" s="17"/>
      <c r="ASM106" s="17"/>
      <c r="ASN106" s="17"/>
      <c r="ASO106" s="17"/>
      <c r="ASP106" s="17"/>
      <c r="ASQ106" s="17"/>
      <c r="ASR106" s="17"/>
      <c r="ASS106" s="17"/>
      <c r="AST106" s="17"/>
      <c r="ASU106" s="17"/>
      <c r="ASV106" s="17"/>
      <c r="ASW106" s="17"/>
      <c r="ASX106" s="17"/>
      <c r="ASY106" s="17"/>
      <c r="ASZ106" s="17"/>
      <c r="ATA106" s="17"/>
      <c r="ATB106" s="17"/>
      <c r="ATC106" s="17"/>
      <c r="ATD106" s="17"/>
      <c r="ATE106" s="17"/>
      <c r="ATF106" s="17"/>
      <c r="ATG106" s="17"/>
      <c r="ATH106" s="17"/>
      <c r="ATI106" s="17"/>
      <c r="ATJ106" s="17"/>
      <c r="ATK106" s="17"/>
      <c r="ATL106" s="17"/>
      <c r="ATM106" s="17"/>
      <c r="ATN106" s="17"/>
      <c r="ATO106" s="17"/>
      <c r="ATP106" s="17"/>
      <c r="ATQ106" s="17"/>
      <c r="ATR106" s="17"/>
      <c r="ATS106" s="17"/>
      <c r="ATT106" s="17"/>
      <c r="ATU106" s="17"/>
      <c r="ATV106" s="17"/>
      <c r="ATW106" s="17"/>
      <c r="ATX106" s="17"/>
      <c r="ATY106" s="17"/>
      <c r="ATZ106" s="17"/>
      <c r="AUA106" s="17"/>
      <c r="AUB106" s="17"/>
      <c r="AUC106" s="17"/>
      <c r="AUD106" s="17"/>
      <c r="AUE106" s="17"/>
      <c r="AUF106" s="17"/>
      <c r="AUG106" s="17"/>
      <c r="AUH106" s="17"/>
      <c r="AUI106" s="17"/>
      <c r="AUJ106" s="17"/>
      <c r="AUK106" s="17"/>
      <c r="AUL106" s="17"/>
      <c r="AUM106" s="17"/>
      <c r="AUN106" s="17"/>
      <c r="AUO106" s="17"/>
      <c r="AUP106" s="17"/>
      <c r="AUQ106" s="17"/>
      <c r="AUR106" s="17"/>
      <c r="AUS106" s="17"/>
      <c r="AUT106" s="17"/>
      <c r="AUU106" s="17"/>
      <c r="AUV106" s="17"/>
      <c r="AUW106" s="17"/>
      <c r="AUX106" s="17"/>
      <c r="AUY106" s="17"/>
      <c r="AUZ106" s="17"/>
      <c r="AVA106" s="17"/>
      <c r="AVB106" s="17"/>
      <c r="AVC106" s="17"/>
      <c r="AVD106" s="17"/>
      <c r="AVE106" s="17"/>
      <c r="AVF106" s="17"/>
      <c r="AVG106" s="17"/>
      <c r="AVH106" s="17"/>
      <c r="AVI106" s="17"/>
      <c r="AVJ106" s="17"/>
      <c r="AVK106" s="17"/>
      <c r="AVL106" s="17"/>
      <c r="AVM106" s="17"/>
      <c r="AVN106" s="17"/>
      <c r="AVO106" s="17"/>
      <c r="AVP106" s="17"/>
      <c r="AVQ106" s="17"/>
      <c r="AVR106" s="17"/>
      <c r="AVS106" s="17"/>
      <c r="AVT106" s="17"/>
      <c r="AVU106" s="17"/>
      <c r="AVV106" s="17"/>
      <c r="AVW106" s="17"/>
      <c r="AVX106" s="17"/>
      <c r="AVY106" s="17"/>
      <c r="AVZ106" s="17"/>
      <c r="AWA106" s="17"/>
      <c r="AWB106" s="17"/>
      <c r="AWC106" s="17"/>
      <c r="AWD106" s="17"/>
      <c r="AWE106" s="17"/>
      <c r="AWF106" s="17"/>
      <c r="AWG106" s="17"/>
      <c r="AWH106" s="17"/>
      <c r="AWI106" s="17"/>
      <c r="AWJ106" s="17"/>
      <c r="AWK106" s="17"/>
      <c r="AWL106" s="17"/>
      <c r="AWM106" s="17"/>
      <c r="AWN106" s="17"/>
      <c r="AWO106" s="17"/>
      <c r="AWP106" s="17"/>
      <c r="AWQ106" s="17"/>
      <c r="AWR106" s="17"/>
      <c r="AWS106" s="17"/>
      <c r="AWT106" s="17"/>
      <c r="AWU106" s="17"/>
      <c r="AWV106" s="17"/>
      <c r="AWW106" s="17"/>
      <c r="AWX106" s="17"/>
      <c r="AWY106" s="17"/>
      <c r="AWZ106" s="17"/>
      <c r="AXA106" s="17"/>
      <c r="AXB106" s="17"/>
      <c r="AXC106" s="17"/>
      <c r="AXD106" s="17"/>
      <c r="AXE106" s="17"/>
      <c r="AXF106" s="17"/>
      <c r="AXG106" s="17"/>
      <c r="AXH106" s="17"/>
      <c r="AXI106" s="17"/>
      <c r="AXJ106" s="17"/>
      <c r="AXK106" s="17"/>
      <c r="AXL106" s="17"/>
      <c r="AXM106" s="17"/>
      <c r="AXN106" s="17"/>
      <c r="AXO106" s="17"/>
      <c r="AXP106" s="17"/>
      <c r="AXQ106" s="17"/>
      <c r="AXR106" s="17"/>
      <c r="AXS106" s="17"/>
      <c r="AXT106" s="17"/>
      <c r="AXU106" s="17"/>
      <c r="AXV106" s="17"/>
      <c r="AXW106" s="17"/>
      <c r="AXX106" s="17"/>
      <c r="AXY106" s="17"/>
      <c r="AXZ106" s="17"/>
      <c r="AYA106" s="17"/>
      <c r="AYB106" s="17"/>
      <c r="AYC106" s="17"/>
      <c r="AYD106" s="17"/>
      <c r="AYE106" s="17"/>
      <c r="AYF106" s="17"/>
      <c r="AYG106" s="17"/>
      <c r="AYH106" s="17"/>
      <c r="AYI106" s="17"/>
      <c r="AYJ106" s="17"/>
      <c r="AYK106" s="17"/>
      <c r="AYL106" s="17"/>
      <c r="AYM106" s="17"/>
      <c r="AYN106" s="17"/>
      <c r="AYO106" s="17"/>
      <c r="AYP106" s="17"/>
      <c r="AYQ106" s="17"/>
      <c r="AYR106" s="17"/>
      <c r="AYS106" s="17"/>
      <c r="AYT106" s="17"/>
      <c r="AYU106" s="17"/>
      <c r="AYV106" s="17"/>
      <c r="AYW106" s="17"/>
      <c r="AYX106" s="17"/>
      <c r="AYY106" s="17"/>
      <c r="AYZ106" s="17"/>
      <c r="AZA106" s="17"/>
      <c r="AZB106" s="17"/>
      <c r="AZC106" s="17"/>
      <c r="AZD106" s="17"/>
      <c r="AZE106" s="17"/>
      <c r="AZF106" s="17"/>
      <c r="AZG106" s="17"/>
      <c r="AZH106" s="17"/>
      <c r="AZI106" s="17"/>
      <c r="AZJ106" s="17"/>
      <c r="AZK106" s="17"/>
      <c r="AZL106" s="17"/>
      <c r="AZM106" s="17"/>
      <c r="AZN106" s="17"/>
      <c r="AZO106" s="17"/>
      <c r="AZP106" s="17"/>
      <c r="AZQ106" s="17"/>
      <c r="AZR106" s="17"/>
      <c r="AZS106" s="17"/>
      <c r="AZT106" s="17"/>
      <c r="AZU106" s="17"/>
      <c r="AZV106" s="17"/>
      <c r="AZW106" s="17"/>
      <c r="AZX106" s="17"/>
      <c r="AZY106" s="17"/>
      <c r="AZZ106" s="17"/>
      <c r="BAA106" s="17"/>
      <c r="BAB106" s="17"/>
      <c r="BAC106" s="17"/>
      <c r="BAD106" s="17"/>
      <c r="BAE106" s="17"/>
      <c r="BAF106" s="17"/>
      <c r="BAG106" s="17"/>
      <c r="BAH106" s="17"/>
      <c r="BAI106" s="17"/>
      <c r="BAJ106" s="17"/>
      <c r="BAK106" s="17"/>
      <c r="BAL106" s="17"/>
      <c r="BAM106" s="17"/>
      <c r="BAN106" s="17"/>
      <c r="BAO106" s="17"/>
      <c r="BAP106" s="17"/>
      <c r="BAQ106" s="17"/>
      <c r="BAR106" s="17"/>
      <c r="BAS106" s="17"/>
      <c r="BAT106" s="17"/>
      <c r="BAU106" s="17"/>
      <c r="BAV106" s="17"/>
      <c r="BAW106" s="17"/>
      <c r="BAX106" s="17"/>
      <c r="BAY106" s="17"/>
      <c r="BAZ106" s="17"/>
      <c r="BBA106" s="17"/>
      <c r="BBB106" s="17"/>
      <c r="BBC106" s="17"/>
      <c r="BBD106" s="17"/>
      <c r="BBE106" s="17"/>
      <c r="BBF106" s="17"/>
      <c r="BBG106" s="17"/>
      <c r="BBH106" s="17"/>
      <c r="BBI106" s="17"/>
      <c r="BBJ106" s="17"/>
      <c r="BBK106" s="17"/>
      <c r="BBL106" s="17"/>
      <c r="BBM106" s="17"/>
      <c r="BBN106" s="17"/>
      <c r="BBO106" s="17"/>
      <c r="BBP106" s="17"/>
      <c r="BBQ106" s="17"/>
      <c r="BBR106" s="17"/>
      <c r="BBS106" s="17"/>
      <c r="BBT106" s="17"/>
      <c r="BBU106" s="17"/>
      <c r="BBV106" s="17"/>
      <c r="BBW106" s="17"/>
      <c r="BBX106" s="17"/>
      <c r="BBY106" s="17"/>
      <c r="BBZ106" s="17"/>
      <c r="BCA106" s="17"/>
      <c r="BCB106" s="17"/>
      <c r="BCC106" s="17"/>
      <c r="BCD106" s="17"/>
      <c r="BCE106" s="17"/>
      <c r="BCF106" s="17"/>
      <c r="BCG106" s="17"/>
      <c r="BCH106" s="17"/>
      <c r="BCI106" s="17"/>
      <c r="BCJ106" s="17"/>
      <c r="BCK106" s="17"/>
      <c r="BCL106" s="17"/>
      <c r="BCM106" s="17"/>
      <c r="BCN106" s="17"/>
      <c r="BCO106" s="17"/>
      <c r="BCP106" s="17"/>
      <c r="BCQ106" s="17"/>
      <c r="BCR106" s="17"/>
      <c r="BCS106" s="17"/>
      <c r="BCT106" s="17"/>
      <c r="BCU106" s="17"/>
      <c r="BCV106" s="17"/>
      <c r="BCW106" s="17"/>
      <c r="BCX106" s="17"/>
      <c r="BCY106" s="17"/>
      <c r="BCZ106" s="17"/>
      <c r="BDA106" s="17"/>
      <c r="BDB106" s="17"/>
      <c r="BDC106" s="17"/>
      <c r="BDD106" s="17"/>
      <c r="BDE106" s="17"/>
      <c r="BDF106" s="17"/>
      <c r="BDG106" s="17"/>
      <c r="BDH106" s="17"/>
      <c r="BDI106" s="17"/>
      <c r="BDJ106" s="17"/>
      <c r="BDK106" s="17"/>
      <c r="BDL106" s="17"/>
      <c r="BDM106" s="17"/>
      <c r="BDN106" s="17"/>
      <c r="BDO106" s="17"/>
      <c r="BDP106" s="17"/>
      <c r="BDQ106" s="17"/>
      <c r="BDR106" s="17"/>
      <c r="BDS106" s="17"/>
      <c r="BDT106" s="17"/>
      <c r="BDU106" s="17"/>
      <c r="BDV106" s="17"/>
      <c r="BDW106" s="17"/>
      <c r="BDX106" s="17"/>
      <c r="BDY106" s="17"/>
      <c r="BDZ106" s="17"/>
      <c r="BEA106" s="17"/>
      <c r="BEB106" s="17"/>
      <c r="BEC106" s="17"/>
      <c r="BED106" s="17"/>
      <c r="BEE106" s="17"/>
      <c r="BEF106" s="17"/>
      <c r="BEG106" s="17"/>
      <c r="BEH106" s="17"/>
      <c r="BEI106" s="17"/>
      <c r="BEJ106" s="17"/>
      <c r="BEK106" s="17"/>
      <c r="BEL106" s="17"/>
      <c r="BEM106" s="17"/>
      <c r="BEN106" s="17"/>
      <c r="BEO106" s="17"/>
      <c r="BEP106" s="17"/>
      <c r="BEQ106" s="17"/>
      <c r="BER106" s="17"/>
      <c r="BES106" s="17"/>
      <c r="BET106" s="17"/>
      <c r="BEU106" s="17"/>
      <c r="BEV106" s="17"/>
      <c r="BEW106" s="17"/>
      <c r="BEX106" s="17"/>
      <c r="BEY106" s="17"/>
      <c r="BEZ106" s="17"/>
      <c r="BFA106" s="17"/>
      <c r="BFB106" s="17"/>
      <c r="BFC106" s="17"/>
      <c r="BFD106" s="17"/>
      <c r="BFE106" s="17"/>
      <c r="BFF106" s="17"/>
      <c r="BFG106" s="17"/>
      <c r="BFH106" s="17"/>
      <c r="BFI106" s="17"/>
      <c r="BFJ106" s="17"/>
      <c r="BFK106" s="17"/>
      <c r="BFL106" s="17"/>
      <c r="BFM106" s="17"/>
      <c r="BFN106" s="17"/>
      <c r="BFO106" s="17"/>
      <c r="BFP106" s="17"/>
      <c r="BFQ106" s="17"/>
      <c r="BFR106" s="17"/>
      <c r="BFS106" s="17"/>
      <c r="BFT106" s="17"/>
      <c r="BFU106" s="17"/>
      <c r="BFV106" s="17"/>
      <c r="BFW106" s="17"/>
      <c r="BFX106" s="17"/>
      <c r="BFY106" s="17"/>
      <c r="BFZ106" s="17"/>
      <c r="BGA106" s="17"/>
      <c r="BGB106" s="17"/>
      <c r="BGC106" s="17"/>
      <c r="BGD106" s="17"/>
      <c r="BGE106" s="17"/>
      <c r="BGF106" s="17"/>
      <c r="BGG106" s="17"/>
      <c r="BGH106" s="17"/>
      <c r="BGI106" s="17"/>
      <c r="BGJ106" s="17"/>
      <c r="BGK106" s="17"/>
      <c r="BGL106" s="17"/>
      <c r="BGM106" s="17"/>
      <c r="BGN106" s="17"/>
      <c r="BGO106" s="17"/>
      <c r="BGP106" s="17"/>
      <c r="BGQ106" s="17"/>
      <c r="BGR106" s="17"/>
      <c r="BGS106" s="17"/>
      <c r="BGT106" s="17"/>
      <c r="BGU106" s="17"/>
      <c r="BGV106" s="17"/>
      <c r="BGW106" s="17"/>
      <c r="BGX106" s="17"/>
      <c r="BGY106" s="17"/>
      <c r="BGZ106" s="17"/>
      <c r="BHA106" s="17"/>
      <c r="BHB106" s="17"/>
      <c r="BHC106" s="17"/>
      <c r="BHD106" s="17"/>
      <c r="BHE106" s="17"/>
      <c r="BHF106" s="17"/>
      <c r="BHG106" s="17"/>
      <c r="BHH106" s="17"/>
      <c r="BHI106" s="17"/>
      <c r="BHJ106" s="17"/>
      <c r="BHK106" s="17"/>
      <c r="BHL106" s="17"/>
      <c r="BHM106" s="17"/>
      <c r="BHN106" s="17"/>
      <c r="BHO106" s="17"/>
      <c r="BHP106" s="17"/>
      <c r="BHQ106" s="17"/>
      <c r="BHR106" s="17"/>
      <c r="BHS106" s="17"/>
      <c r="BHT106" s="17"/>
      <c r="BHU106" s="17"/>
      <c r="BHV106" s="17"/>
      <c r="BHW106" s="17"/>
      <c r="BHX106" s="17"/>
      <c r="BHY106" s="17"/>
      <c r="BHZ106" s="17"/>
      <c r="BIA106" s="17"/>
      <c r="BIB106" s="17"/>
      <c r="BIC106" s="17"/>
      <c r="BID106" s="17"/>
      <c r="BIE106" s="17"/>
      <c r="BIF106" s="17"/>
      <c r="BIG106" s="17"/>
      <c r="BIH106" s="17"/>
      <c r="BII106" s="17"/>
      <c r="BIJ106" s="17"/>
      <c r="BIK106" s="17"/>
      <c r="BIL106" s="17"/>
      <c r="BIM106" s="17"/>
      <c r="BIN106" s="17"/>
      <c r="BIO106" s="17"/>
      <c r="BIP106" s="17"/>
      <c r="BIQ106" s="17"/>
      <c r="BIR106" s="17"/>
      <c r="BIS106" s="17"/>
      <c r="BIT106" s="17"/>
      <c r="BIU106" s="17"/>
      <c r="BIV106" s="17"/>
      <c r="BIW106" s="17"/>
      <c r="BIX106" s="17"/>
      <c r="BIY106" s="17"/>
      <c r="BIZ106" s="17"/>
      <c r="BJA106" s="17"/>
      <c r="BJB106" s="17"/>
      <c r="BJC106" s="17"/>
      <c r="BJD106" s="17"/>
      <c r="BJE106" s="17"/>
      <c r="BJF106" s="17"/>
      <c r="BJG106" s="17"/>
      <c r="BJH106" s="17"/>
      <c r="BJI106" s="17"/>
      <c r="BJJ106" s="17"/>
      <c r="BJK106" s="17"/>
      <c r="BJL106" s="17"/>
      <c r="BJM106" s="17"/>
      <c r="BJN106" s="17"/>
      <c r="BJO106" s="17"/>
      <c r="BJP106" s="17"/>
      <c r="BJQ106" s="17"/>
      <c r="BJR106" s="17"/>
      <c r="BJS106" s="17"/>
      <c r="BJT106" s="17"/>
      <c r="BJU106" s="17"/>
      <c r="BJV106" s="17"/>
      <c r="BJW106" s="17"/>
      <c r="BJX106" s="17"/>
      <c r="BJY106" s="17"/>
      <c r="BJZ106" s="17"/>
      <c r="BKA106" s="17"/>
      <c r="BKB106" s="17"/>
      <c r="BKC106" s="17"/>
      <c r="BKD106" s="17"/>
      <c r="BKE106" s="17"/>
      <c r="BKF106" s="17"/>
      <c r="BKG106" s="17"/>
      <c r="BKH106" s="17"/>
      <c r="BKI106" s="17"/>
      <c r="BKJ106" s="17"/>
      <c r="BKK106" s="17"/>
      <c r="BKL106" s="17"/>
      <c r="BKM106" s="17"/>
      <c r="BKN106" s="17"/>
      <c r="BKO106" s="17"/>
      <c r="BKP106" s="17"/>
      <c r="BKQ106" s="17"/>
      <c r="BKR106" s="17"/>
      <c r="BKS106" s="17"/>
      <c r="BKT106" s="17"/>
      <c r="BKU106" s="17"/>
      <c r="BKV106" s="17"/>
      <c r="BKW106" s="17"/>
      <c r="BKX106" s="17"/>
      <c r="BKY106" s="17"/>
      <c r="BKZ106" s="17"/>
      <c r="BLA106" s="17"/>
      <c r="BLB106" s="17"/>
      <c r="BLC106" s="17"/>
      <c r="BLD106" s="17"/>
      <c r="BLE106" s="17"/>
      <c r="BLF106" s="17"/>
      <c r="BLG106" s="17"/>
      <c r="BLH106" s="17"/>
      <c r="BLI106" s="17"/>
      <c r="BLJ106" s="17"/>
      <c r="BLK106" s="17"/>
      <c r="BLL106" s="17"/>
      <c r="BLM106" s="17"/>
      <c r="BLN106" s="17"/>
      <c r="BLO106" s="17"/>
      <c r="BLP106" s="17"/>
      <c r="BLQ106" s="17"/>
      <c r="BLR106" s="17"/>
      <c r="BLS106" s="17"/>
      <c r="BLT106" s="17"/>
      <c r="BLU106" s="17"/>
      <c r="BLV106" s="17"/>
      <c r="BLW106" s="17"/>
      <c r="BLX106" s="17"/>
      <c r="BLY106" s="17"/>
      <c r="BLZ106" s="17"/>
      <c r="BMA106" s="17"/>
      <c r="BMB106" s="17"/>
      <c r="BMC106" s="17"/>
      <c r="BMD106" s="17"/>
      <c r="BME106" s="17"/>
      <c r="BMF106" s="17"/>
      <c r="BMG106" s="17"/>
      <c r="BMH106" s="17"/>
      <c r="BMI106" s="17"/>
      <c r="BMJ106" s="17"/>
      <c r="BMK106" s="17"/>
      <c r="BML106" s="17"/>
      <c r="BMM106" s="17"/>
      <c r="BMN106" s="17"/>
      <c r="BMO106" s="17"/>
      <c r="BMP106" s="17"/>
      <c r="BMQ106" s="17"/>
      <c r="BMR106" s="17"/>
      <c r="BMS106" s="17"/>
      <c r="BMT106" s="17"/>
      <c r="BMU106" s="17"/>
      <c r="BMV106" s="17"/>
      <c r="BMW106" s="17"/>
      <c r="BMX106" s="17"/>
      <c r="BMY106" s="17"/>
      <c r="BMZ106" s="17"/>
      <c r="BNA106" s="17"/>
      <c r="BNB106" s="17"/>
      <c r="BNC106" s="17"/>
      <c r="BND106" s="17"/>
      <c r="BNE106" s="17"/>
      <c r="BNF106" s="17"/>
      <c r="BNG106" s="17"/>
      <c r="BNH106" s="17"/>
      <c r="BNI106" s="17"/>
      <c r="BNJ106" s="17"/>
      <c r="BNK106" s="17"/>
      <c r="BNL106" s="17"/>
      <c r="BNM106" s="17"/>
      <c r="BNN106" s="17"/>
      <c r="BNO106" s="17"/>
      <c r="BNP106" s="17"/>
      <c r="BNQ106" s="17"/>
      <c r="BNR106" s="17"/>
      <c r="BNS106" s="17"/>
      <c r="BNT106" s="17"/>
      <c r="BNU106" s="17"/>
      <c r="BNV106" s="17"/>
      <c r="BNW106" s="17"/>
      <c r="BNX106" s="17"/>
      <c r="BNY106" s="17"/>
      <c r="BNZ106" s="17"/>
      <c r="BOA106" s="17"/>
      <c r="BOB106" s="17"/>
      <c r="BOC106" s="17"/>
      <c r="BOD106" s="17"/>
      <c r="BOE106" s="17"/>
      <c r="BOF106" s="17"/>
      <c r="BOG106" s="17"/>
      <c r="BOH106" s="17"/>
      <c r="BOI106" s="17"/>
      <c r="BOJ106" s="17"/>
      <c r="BOK106" s="17"/>
      <c r="BOL106" s="17"/>
      <c r="BOM106" s="17"/>
      <c r="BON106" s="17"/>
      <c r="BOO106" s="17"/>
      <c r="BOP106" s="17"/>
      <c r="BOQ106" s="17"/>
      <c r="BOR106" s="17"/>
      <c r="BOS106" s="17"/>
      <c r="BOT106" s="17"/>
      <c r="BOU106" s="17"/>
      <c r="BOV106" s="17"/>
      <c r="BOW106" s="17"/>
      <c r="BOX106" s="17"/>
      <c r="BOY106" s="17"/>
      <c r="BOZ106" s="17"/>
      <c r="BPA106" s="17"/>
      <c r="BPB106" s="17"/>
      <c r="BPC106" s="17"/>
      <c r="BPD106" s="17"/>
      <c r="BPE106" s="17"/>
      <c r="BPF106" s="17"/>
      <c r="BPG106" s="17"/>
      <c r="BPH106" s="17"/>
      <c r="BPI106" s="17"/>
      <c r="BPJ106" s="17"/>
      <c r="BPK106" s="17"/>
      <c r="BPL106" s="17"/>
      <c r="BPM106" s="17"/>
      <c r="BPN106" s="17"/>
      <c r="BPO106" s="17"/>
      <c r="BPP106" s="17"/>
      <c r="BPQ106" s="17"/>
      <c r="BPR106" s="17"/>
      <c r="BPS106" s="17"/>
      <c r="BPT106" s="17"/>
      <c r="BPU106" s="17"/>
      <c r="BPV106" s="17"/>
      <c r="BPW106" s="17"/>
      <c r="BPX106" s="17"/>
      <c r="BPY106" s="17"/>
      <c r="BPZ106" s="17"/>
      <c r="BQA106" s="17"/>
      <c r="BQB106" s="17"/>
      <c r="BQC106" s="17"/>
      <c r="BQD106" s="17"/>
      <c r="BQE106" s="17"/>
      <c r="BQF106" s="17"/>
      <c r="BQG106" s="17"/>
      <c r="BQH106" s="17"/>
      <c r="BQI106" s="17"/>
      <c r="BQJ106" s="17"/>
      <c r="BQK106" s="17"/>
      <c r="BQL106" s="17"/>
      <c r="BQM106" s="17"/>
      <c r="BQN106" s="17"/>
      <c r="BQO106" s="17"/>
      <c r="BQP106" s="17"/>
      <c r="BQQ106" s="17"/>
      <c r="BQR106" s="17"/>
      <c r="BQS106" s="17"/>
      <c r="BQT106" s="17"/>
      <c r="BQU106" s="17"/>
      <c r="BQV106" s="17"/>
      <c r="BQW106" s="17"/>
      <c r="BQX106" s="17"/>
      <c r="BQY106" s="17"/>
      <c r="BQZ106" s="17"/>
      <c r="BRA106" s="17"/>
      <c r="BRB106" s="17"/>
      <c r="BRC106" s="17"/>
      <c r="BRD106" s="17"/>
      <c r="BRE106" s="17"/>
      <c r="BRF106" s="17"/>
      <c r="BRG106" s="17"/>
      <c r="BRH106" s="17"/>
      <c r="BRI106" s="17"/>
      <c r="BRJ106" s="17"/>
      <c r="BRK106" s="17"/>
      <c r="BRL106" s="17"/>
      <c r="BRM106" s="17"/>
      <c r="BRN106" s="17"/>
      <c r="BRO106" s="17"/>
      <c r="BRP106" s="17"/>
      <c r="BRQ106" s="17"/>
      <c r="BRR106" s="17"/>
      <c r="BRS106" s="17"/>
      <c r="BRT106" s="17"/>
      <c r="BRU106" s="17"/>
      <c r="BRV106" s="17"/>
      <c r="BRW106" s="17"/>
      <c r="BRX106" s="17"/>
      <c r="BRY106" s="17"/>
      <c r="BRZ106" s="17"/>
      <c r="BSA106" s="17"/>
      <c r="BSB106" s="17"/>
      <c r="BSC106" s="17"/>
      <c r="BSD106" s="17"/>
      <c r="BSE106" s="17"/>
      <c r="BSF106" s="17"/>
      <c r="BSG106" s="17"/>
      <c r="BSH106" s="17"/>
      <c r="BSI106" s="17"/>
      <c r="BSJ106" s="17"/>
      <c r="BSK106" s="17"/>
      <c r="BSL106" s="17"/>
      <c r="BSM106" s="17"/>
      <c r="BSN106" s="17"/>
      <c r="BSO106" s="17"/>
      <c r="BSP106" s="17"/>
      <c r="BSQ106" s="17"/>
      <c r="BSR106" s="17"/>
      <c r="BSS106" s="17"/>
      <c r="BST106" s="17"/>
      <c r="BSU106" s="17"/>
      <c r="BSV106" s="17"/>
      <c r="BSW106" s="17"/>
      <c r="BSX106" s="17"/>
      <c r="BSY106" s="17"/>
      <c r="BSZ106" s="17"/>
      <c r="BTA106" s="17"/>
      <c r="BTB106" s="17"/>
      <c r="BTC106" s="17"/>
      <c r="BTD106" s="17"/>
      <c r="BTE106" s="17"/>
      <c r="BTF106" s="17"/>
      <c r="BTG106" s="17"/>
      <c r="BTH106" s="17"/>
      <c r="BTI106" s="17"/>
      <c r="BTJ106" s="17"/>
      <c r="BTK106" s="17"/>
      <c r="BTL106" s="17"/>
      <c r="BTM106" s="17"/>
      <c r="BTN106" s="17"/>
      <c r="BTO106" s="17"/>
      <c r="BTP106" s="17"/>
      <c r="BTQ106" s="17"/>
      <c r="BTR106" s="17"/>
      <c r="BTS106" s="17"/>
      <c r="BTT106" s="17"/>
      <c r="BTU106" s="17"/>
      <c r="BTV106" s="17"/>
      <c r="BTW106" s="17"/>
      <c r="BTX106" s="17"/>
      <c r="BTY106" s="17"/>
      <c r="BTZ106" s="17"/>
      <c r="BUA106" s="17"/>
      <c r="BUB106" s="17"/>
      <c r="BUC106" s="17"/>
      <c r="BUD106" s="17"/>
      <c r="BUE106" s="17"/>
      <c r="BUF106" s="17"/>
      <c r="BUG106" s="17"/>
      <c r="BUH106" s="17"/>
      <c r="BUI106" s="17"/>
      <c r="BUJ106" s="17"/>
      <c r="BUK106" s="17"/>
      <c r="BUL106" s="17"/>
      <c r="BUM106" s="17"/>
      <c r="BUN106" s="17"/>
      <c r="BUO106" s="17"/>
      <c r="BUP106" s="17"/>
      <c r="BUQ106" s="17"/>
      <c r="BUR106" s="17"/>
      <c r="BUS106" s="17"/>
      <c r="BUT106" s="17"/>
      <c r="BUU106" s="17"/>
      <c r="BUV106" s="17"/>
      <c r="BUW106" s="17"/>
      <c r="BUX106" s="17"/>
      <c r="BUY106" s="17"/>
      <c r="BUZ106" s="17"/>
      <c r="BVA106" s="17"/>
      <c r="BVB106" s="17"/>
      <c r="BVC106" s="17"/>
      <c r="BVD106" s="17"/>
      <c r="BVE106" s="17"/>
      <c r="BVF106" s="17"/>
      <c r="BVG106" s="17"/>
      <c r="BVH106" s="17"/>
      <c r="BVI106" s="17"/>
      <c r="BVJ106" s="17"/>
      <c r="BVK106" s="17"/>
      <c r="BVL106" s="17"/>
      <c r="BVM106" s="17"/>
      <c r="BVN106" s="17"/>
      <c r="BVO106" s="17"/>
      <c r="BVP106" s="17"/>
      <c r="BVQ106" s="17"/>
      <c r="BVR106" s="17"/>
      <c r="BVS106" s="17"/>
      <c r="BVT106" s="17"/>
      <c r="BVU106" s="17"/>
      <c r="BVV106" s="17"/>
      <c r="BVW106" s="17"/>
      <c r="BVX106" s="17"/>
      <c r="BVY106" s="17"/>
      <c r="BVZ106" s="17"/>
      <c r="BWA106" s="17"/>
      <c r="BWB106" s="17"/>
      <c r="BWC106" s="17"/>
      <c r="BWD106" s="17"/>
      <c r="BWE106" s="17"/>
      <c r="BWF106" s="17"/>
      <c r="BWG106" s="17"/>
      <c r="BWH106" s="17"/>
      <c r="BWI106" s="17"/>
      <c r="BWJ106" s="17"/>
      <c r="BWK106" s="17"/>
      <c r="BWL106" s="17"/>
      <c r="BWM106" s="17"/>
      <c r="BWN106" s="17"/>
      <c r="BWO106" s="17"/>
      <c r="BWP106" s="17"/>
      <c r="BWQ106" s="17"/>
      <c r="BWR106" s="17"/>
      <c r="BWS106" s="17"/>
      <c r="BWT106" s="17"/>
      <c r="BWU106" s="17"/>
      <c r="BWV106" s="17"/>
      <c r="BWW106" s="17"/>
      <c r="BWX106" s="17"/>
      <c r="BWY106" s="17"/>
      <c r="BWZ106" s="17"/>
      <c r="BXA106" s="17"/>
      <c r="BXB106" s="17"/>
      <c r="BXC106" s="17"/>
      <c r="BXD106" s="17"/>
      <c r="BXE106" s="17"/>
      <c r="BXF106" s="17"/>
      <c r="BXG106" s="17"/>
      <c r="BXH106" s="17"/>
      <c r="BXI106" s="17"/>
      <c r="BXJ106" s="17"/>
      <c r="BXK106" s="17"/>
      <c r="BXL106" s="17"/>
      <c r="BXM106" s="17"/>
      <c r="BXN106" s="17"/>
      <c r="BXO106" s="17"/>
      <c r="BXP106" s="17"/>
      <c r="BXQ106" s="17"/>
      <c r="BXR106" s="17"/>
      <c r="BXS106" s="17"/>
      <c r="BXT106" s="17"/>
      <c r="BXU106" s="17"/>
      <c r="BXV106" s="17"/>
      <c r="BXW106" s="17"/>
      <c r="BXX106" s="17"/>
      <c r="BXY106" s="17"/>
      <c r="BXZ106" s="17"/>
      <c r="BYA106" s="17"/>
      <c r="BYB106" s="17"/>
      <c r="BYC106" s="17"/>
      <c r="BYD106" s="17"/>
      <c r="BYE106" s="17"/>
      <c r="BYF106" s="17"/>
      <c r="BYG106" s="17"/>
      <c r="BYH106" s="17"/>
      <c r="BYI106" s="17"/>
      <c r="BYJ106" s="17"/>
      <c r="BYK106" s="17"/>
      <c r="BYL106" s="17"/>
      <c r="BYM106" s="17"/>
      <c r="BYN106" s="17"/>
      <c r="BYO106" s="17"/>
      <c r="BYP106" s="17"/>
      <c r="BYQ106" s="17"/>
      <c r="BYR106" s="17"/>
      <c r="BYS106" s="17"/>
      <c r="BYT106" s="17"/>
      <c r="BYU106" s="17"/>
      <c r="BYV106" s="17"/>
      <c r="BYW106" s="17"/>
      <c r="BYX106" s="17"/>
      <c r="BYY106" s="17"/>
      <c r="BYZ106" s="17"/>
      <c r="BZA106" s="17"/>
      <c r="BZB106" s="17"/>
      <c r="BZC106" s="17"/>
      <c r="BZD106" s="17"/>
      <c r="BZE106" s="17"/>
      <c r="BZF106" s="17"/>
      <c r="BZG106" s="17"/>
      <c r="BZH106" s="17"/>
      <c r="BZI106" s="17"/>
      <c r="BZJ106" s="17"/>
      <c r="BZK106" s="17"/>
      <c r="BZL106" s="17"/>
      <c r="BZM106" s="17"/>
      <c r="BZN106" s="17"/>
      <c r="BZO106" s="17"/>
      <c r="BZP106" s="17"/>
      <c r="BZQ106" s="17"/>
      <c r="BZR106" s="17"/>
      <c r="BZS106" s="17"/>
      <c r="BZT106" s="17"/>
      <c r="BZU106" s="17"/>
      <c r="BZV106" s="17"/>
      <c r="BZW106" s="17"/>
      <c r="BZX106" s="17"/>
      <c r="BZY106" s="17"/>
      <c r="BZZ106" s="17"/>
      <c r="CAA106" s="17"/>
      <c r="CAB106" s="17"/>
      <c r="CAC106" s="17"/>
      <c r="CAD106" s="17"/>
      <c r="CAE106" s="17"/>
      <c r="CAF106" s="17"/>
      <c r="CAG106" s="17"/>
      <c r="CAH106" s="17"/>
      <c r="CAI106" s="17"/>
      <c r="CAJ106" s="17"/>
      <c r="CAK106" s="17"/>
      <c r="CAL106" s="17"/>
      <c r="CAM106" s="17"/>
      <c r="CAN106" s="17"/>
      <c r="CAO106" s="17"/>
      <c r="CAP106" s="17"/>
      <c r="CAQ106" s="17"/>
      <c r="CAR106" s="17"/>
      <c r="CAS106" s="17"/>
      <c r="CAT106" s="17"/>
      <c r="CAU106" s="17"/>
      <c r="CAV106" s="17"/>
      <c r="CAW106" s="17"/>
      <c r="CAX106" s="17"/>
      <c r="CAY106" s="17"/>
      <c r="CAZ106" s="17"/>
      <c r="CBA106" s="17"/>
      <c r="CBB106" s="17"/>
      <c r="CBC106" s="17"/>
      <c r="CBD106" s="17"/>
      <c r="CBE106" s="17"/>
      <c r="CBF106" s="17"/>
      <c r="CBG106" s="17"/>
      <c r="CBH106" s="17"/>
      <c r="CBI106" s="17"/>
      <c r="CBJ106" s="17"/>
      <c r="CBK106" s="17"/>
      <c r="CBL106" s="17"/>
      <c r="CBM106" s="17"/>
      <c r="CBN106" s="17"/>
      <c r="CBO106" s="17"/>
      <c r="CBP106" s="17"/>
      <c r="CBQ106" s="17"/>
      <c r="CBR106" s="17"/>
      <c r="CBS106" s="17"/>
      <c r="CBT106" s="17"/>
      <c r="CBU106" s="17"/>
      <c r="CBV106" s="17"/>
      <c r="CBW106" s="17"/>
      <c r="CBX106" s="17"/>
      <c r="CBY106" s="17"/>
      <c r="CBZ106" s="17"/>
      <c r="CCA106" s="17"/>
      <c r="CCB106" s="17"/>
      <c r="CCC106" s="17"/>
      <c r="CCD106" s="17"/>
      <c r="CCE106" s="17"/>
      <c r="CCF106" s="17"/>
      <c r="CCG106" s="17"/>
      <c r="CCH106" s="17"/>
      <c r="CCI106" s="17"/>
      <c r="CCJ106" s="17"/>
      <c r="CCK106" s="17"/>
      <c r="CCL106" s="17"/>
      <c r="CCM106" s="17"/>
      <c r="CCN106" s="17"/>
      <c r="CCO106" s="17"/>
      <c r="CCP106" s="17"/>
      <c r="CCQ106" s="17"/>
      <c r="CCR106" s="17"/>
      <c r="CCS106" s="17"/>
      <c r="CCT106" s="17"/>
      <c r="CCU106" s="17"/>
      <c r="CCV106" s="17"/>
      <c r="CCW106" s="17"/>
      <c r="CCX106" s="17"/>
      <c r="CCY106" s="17"/>
      <c r="CCZ106" s="17"/>
      <c r="CDA106" s="17"/>
      <c r="CDB106" s="17"/>
      <c r="CDC106" s="17"/>
      <c r="CDD106" s="17"/>
      <c r="CDE106" s="17"/>
      <c r="CDF106" s="17"/>
      <c r="CDG106" s="17"/>
      <c r="CDH106" s="17"/>
      <c r="CDI106" s="17"/>
      <c r="CDJ106" s="17"/>
      <c r="CDK106" s="17"/>
      <c r="CDL106" s="17"/>
      <c r="CDM106" s="17"/>
      <c r="CDN106" s="17"/>
      <c r="CDO106" s="17"/>
      <c r="CDP106" s="17"/>
      <c r="CDQ106" s="17"/>
      <c r="CDR106" s="17"/>
      <c r="CDS106" s="17"/>
      <c r="CDT106" s="17"/>
      <c r="CDU106" s="17"/>
      <c r="CDV106" s="17"/>
      <c r="CDW106" s="17"/>
      <c r="CDX106" s="17"/>
      <c r="CDY106" s="17"/>
      <c r="CDZ106" s="17"/>
      <c r="CEA106" s="17"/>
      <c r="CEB106" s="17"/>
      <c r="CEC106" s="17"/>
      <c r="CED106" s="17"/>
      <c r="CEE106" s="17"/>
      <c r="CEF106" s="17"/>
      <c r="CEG106" s="17"/>
      <c r="CEH106" s="17"/>
      <c r="CEI106" s="17"/>
      <c r="CEJ106" s="17"/>
      <c r="CEK106" s="17"/>
      <c r="CEL106" s="17"/>
      <c r="CEM106" s="17"/>
      <c r="CEN106" s="17"/>
      <c r="CEO106" s="17"/>
      <c r="CEP106" s="17"/>
      <c r="CEQ106" s="17"/>
      <c r="CER106" s="17"/>
      <c r="CES106" s="17"/>
      <c r="CET106" s="17"/>
      <c r="CEU106" s="17"/>
      <c r="CEV106" s="17"/>
      <c r="CEW106" s="17"/>
      <c r="CEX106" s="17"/>
      <c r="CEY106" s="17"/>
      <c r="CEZ106" s="17"/>
      <c r="CFA106" s="17"/>
      <c r="CFB106" s="17"/>
      <c r="CFC106" s="17"/>
      <c r="CFD106" s="17"/>
      <c r="CFE106" s="17"/>
      <c r="CFF106" s="17"/>
      <c r="CFG106" s="17"/>
      <c r="CFH106" s="17"/>
      <c r="CFI106" s="17"/>
      <c r="CFJ106" s="17"/>
      <c r="CFK106" s="17"/>
      <c r="CFL106" s="17"/>
      <c r="CFM106" s="17"/>
      <c r="CFN106" s="17"/>
      <c r="CFO106" s="17"/>
      <c r="CFP106" s="17"/>
      <c r="CFQ106" s="17"/>
      <c r="CFR106" s="17"/>
      <c r="CFS106" s="17"/>
      <c r="CFT106" s="17"/>
      <c r="CFU106" s="17"/>
      <c r="CFV106" s="17"/>
      <c r="CFW106" s="17"/>
      <c r="CFX106" s="17"/>
      <c r="CFY106" s="17"/>
      <c r="CFZ106" s="17"/>
      <c r="CGA106" s="17"/>
      <c r="CGB106" s="17"/>
      <c r="CGC106" s="17"/>
      <c r="CGD106" s="17"/>
      <c r="CGE106" s="17"/>
      <c r="CGF106" s="17"/>
      <c r="CGG106" s="17"/>
      <c r="CGH106" s="17"/>
      <c r="CGI106" s="17"/>
      <c r="CGJ106" s="17"/>
      <c r="CGK106" s="17"/>
      <c r="CGL106" s="17"/>
      <c r="CGM106" s="17"/>
      <c r="CGN106" s="17"/>
      <c r="CGO106" s="17"/>
      <c r="CGP106" s="17"/>
      <c r="CGQ106" s="17"/>
      <c r="CGR106" s="17"/>
      <c r="CGS106" s="17"/>
      <c r="CGT106" s="17"/>
      <c r="CGU106" s="17"/>
      <c r="CGV106" s="17"/>
      <c r="CGW106" s="17"/>
      <c r="CGX106" s="17"/>
      <c r="CGY106" s="17"/>
      <c r="CGZ106" s="17"/>
      <c r="CHA106" s="17"/>
      <c r="CHB106" s="17"/>
      <c r="CHC106" s="17"/>
      <c r="CHD106" s="17"/>
      <c r="CHE106" s="17"/>
      <c r="CHF106" s="17"/>
      <c r="CHG106" s="17"/>
      <c r="CHH106" s="17"/>
      <c r="CHI106" s="17"/>
      <c r="CHJ106" s="17"/>
      <c r="CHK106" s="17"/>
      <c r="CHL106" s="17"/>
      <c r="CHM106" s="17"/>
      <c r="CHN106" s="17"/>
      <c r="CHO106" s="17"/>
      <c r="CHP106" s="17"/>
      <c r="CHQ106" s="17"/>
      <c r="CHR106" s="17"/>
      <c r="CHS106" s="17"/>
      <c r="CHT106" s="17"/>
      <c r="CHU106" s="17"/>
      <c r="CHV106" s="17"/>
      <c r="CHW106" s="17"/>
      <c r="CHX106" s="17"/>
      <c r="CHY106" s="17"/>
      <c r="CHZ106" s="17"/>
      <c r="CIA106" s="17"/>
      <c r="CIB106" s="17"/>
      <c r="CIC106" s="17"/>
      <c r="CID106" s="17"/>
      <c r="CIE106" s="17"/>
      <c r="CIF106" s="17"/>
      <c r="CIG106" s="17"/>
      <c r="CIH106" s="17"/>
      <c r="CII106" s="17"/>
      <c r="CIJ106" s="17"/>
      <c r="CIK106" s="17"/>
      <c r="CIL106" s="17"/>
      <c r="CIM106" s="17"/>
      <c r="CIN106" s="17"/>
      <c r="CIO106" s="17"/>
      <c r="CIP106" s="17"/>
      <c r="CIQ106" s="17"/>
      <c r="CIR106" s="17"/>
      <c r="CIS106" s="17"/>
      <c r="CIT106" s="17"/>
      <c r="CIU106" s="17"/>
      <c r="CIV106" s="17"/>
      <c r="CIW106" s="17"/>
      <c r="CIX106" s="17"/>
      <c r="CIY106" s="17"/>
      <c r="CIZ106" s="17"/>
      <c r="CJA106" s="17"/>
      <c r="CJB106" s="17"/>
      <c r="CJC106" s="17"/>
      <c r="CJD106" s="17"/>
      <c r="CJE106" s="17"/>
      <c r="CJF106" s="17"/>
      <c r="CJG106" s="17"/>
      <c r="CJH106" s="17"/>
      <c r="CJI106" s="17"/>
      <c r="CJJ106" s="17"/>
      <c r="CJK106" s="17"/>
      <c r="CJL106" s="17"/>
      <c r="CJM106" s="17"/>
      <c r="CJN106" s="17"/>
      <c r="CJO106" s="17"/>
      <c r="CJP106" s="17"/>
      <c r="CJQ106" s="17"/>
      <c r="CJR106" s="17"/>
      <c r="CJS106" s="17"/>
      <c r="CJT106" s="17"/>
      <c r="CJU106" s="17"/>
      <c r="CJV106" s="17"/>
      <c r="CJW106" s="17"/>
      <c r="CJX106" s="17"/>
      <c r="CJY106" s="17"/>
      <c r="CJZ106" s="17"/>
      <c r="CKA106" s="17"/>
      <c r="CKB106" s="17"/>
      <c r="CKC106" s="17"/>
      <c r="CKD106" s="17"/>
      <c r="CKE106" s="17"/>
      <c r="CKF106" s="17"/>
      <c r="CKG106" s="17"/>
      <c r="CKH106" s="17"/>
      <c r="CKI106" s="17"/>
      <c r="CKJ106" s="17"/>
      <c r="CKK106" s="17"/>
      <c r="CKL106" s="17"/>
      <c r="CKM106" s="17"/>
      <c r="CKN106" s="17"/>
      <c r="CKO106" s="17"/>
      <c r="CKP106" s="17"/>
      <c r="CKQ106" s="17"/>
      <c r="CKR106" s="17"/>
      <c r="CKS106" s="17"/>
      <c r="CKT106" s="17"/>
      <c r="CKU106" s="17"/>
      <c r="CKV106" s="17"/>
      <c r="CKW106" s="17"/>
      <c r="CKX106" s="17"/>
      <c r="CKY106" s="17"/>
      <c r="CKZ106" s="17"/>
      <c r="CLA106" s="17"/>
      <c r="CLB106" s="17"/>
      <c r="CLC106" s="17"/>
      <c r="CLD106" s="17"/>
      <c r="CLE106" s="17"/>
      <c r="CLF106" s="17"/>
      <c r="CLG106" s="17"/>
      <c r="CLH106" s="17"/>
      <c r="CLI106" s="17"/>
      <c r="CLJ106" s="17"/>
      <c r="CLK106" s="17"/>
      <c r="CLL106" s="17"/>
      <c r="CLM106" s="17"/>
      <c r="CLN106" s="17"/>
      <c r="CLO106" s="17"/>
      <c r="CLP106" s="17"/>
      <c r="CLQ106" s="17"/>
      <c r="CLR106" s="17"/>
      <c r="CLS106" s="17"/>
      <c r="CLT106" s="17"/>
      <c r="CLU106" s="17"/>
      <c r="CLV106" s="17"/>
      <c r="CLW106" s="17"/>
      <c r="CLX106" s="17"/>
      <c r="CLY106" s="17"/>
      <c r="CLZ106" s="17"/>
      <c r="CMA106" s="17"/>
      <c r="CMB106" s="17"/>
      <c r="CMC106" s="17"/>
      <c r="CMD106" s="17"/>
      <c r="CME106" s="17"/>
      <c r="CMF106" s="17"/>
      <c r="CMG106" s="17"/>
      <c r="CMH106" s="17"/>
      <c r="CMI106" s="17"/>
      <c r="CMJ106" s="17"/>
      <c r="CMK106" s="17"/>
      <c r="CML106" s="17"/>
      <c r="CMM106" s="17"/>
      <c r="CMN106" s="17"/>
      <c r="CMO106" s="17"/>
      <c r="CMP106" s="17"/>
      <c r="CMQ106" s="17"/>
      <c r="CMR106" s="17"/>
      <c r="CMS106" s="17"/>
      <c r="CMT106" s="17"/>
      <c r="CMU106" s="17"/>
      <c r="CMV106" s="17"/>
      <c r="CMW106" s="17"/>
      <c r="CMX106" s="17"/>
      <c r="CMY106" s="17"/>
      <c r="CMZ106" s="17"/>
      <c r="CNA106" s="17"/>
      <c r="CNB106" s="17"/>
      <c r="CNC106" s="17"/>
      <c r="CND106" s="17"/>
      <c r="CNE106" s="17"/>
      <c r="CNF106" s="17"/>
      <c r="CNG106" s="17"/>
      <c r="CNH106" s="17"/>
      <c r="CNI106" s="17"/>
      <c r="CNJ106" s="17"/>
      <c r="CNK106" s="17"/>
      <c r="CNL106" s="17"/>
      <c r="CNM106" s="17"/>
      <c r="CNN106" s="17"/>
      <c r="CNO106" s="17"/>
      <c r="CNP106" s="17"/>
      <c r="CNQ106" s="17"/>
      <c r="CNR106" s="17"/>
      <c r="CNS106" s="17"/>
      <c r="CNT106" s="17"/>
      <c r="CNU106" s="17"/>
      <c r="CNV106" s="17"/>
      <c r="CNW106" s="17"/>
      <c r="CNX106" s="17"/>
      <c r="CNY106" s="17"/>
      <c r="CNZ106" s="17"/>
      <c r="COA106" s="17"/>
      <c r="COB106" s="17"/>
      <c r="COC106" s="17"/>
      <c r="COD106" s="17"/>
      <c r="COE106" s="17"/>
      <c r="COF106" s="17"/>
      <c r="COG106" s="17"/>
      <c r="COH106" s="17"/>
      <c r="COI106" s="17"/>
      <c r="COJ106" s="17"/>
      <c r="COK106" s="17"/>
      <c r="COL106" s="17"/>
      <c r="COM106" s="17"/>
      <c r="CON106" s="17"/>
      <c r="COO106" s="17"/>
      <c r="COP106" s="17"/>
      <c r="COQ106" s="17"/>
      <c r="COR106" s="17"/>
      <c r="COS106" s="17"/>
      <c r="COT106" s="17"/>
      <c r="COU106" s="17"/>
      <c r="COV106" s="17"/>
      <c r="COW106" s="17"/>
      <c r="COX106" s="17"/>
      <c r="COY106" s="17"/>
      <c r="COZ106" s="17"/>
      <c r="CPA106" s="17"/>
      <c r="CPB106" s="17"/>
      <c r="CPC106" s="17"/>
      <c r="CPD106" s="17"/>
      <c r="CPE106" s="17"/>
      <c r="CPF106" s="17"/>
      <c r="CPG106" s="17"/>
      <c r="CPH106" s="17"/>
      <c r="CPI106" s="17"/>
      <c r="CPJ106" s="17"/>
      <c r="CPK106" s="17"/>
      <c r="CPL106" s="17"/>
      <c r="CPM106" s="17"/>
      <c r="CPN106" s="17"/>
      <c r="CPO106" s="17"/>
      <c r="CPP106" s="17"/>
      <c r="CPQ106" s="17"/>
      <c r="CPR106" s="17"/>
      <c r="CPS106" s="17"/>
      <c r="CPT106" s="17"/>
      <c r="CPU106" s="17"/>
      <c r="CPV106" s="17"/>
      <c r="CPW106" s="17"/>
      <c r="CPX106" s="17"/>
      <c r="CPY106" s="17"/>
      <c r="CPZ106" s="17"/>
      <c r="CQA106" s="17"/>
      <c r="CQB106" s="17"/>
      <c r="CQC106" s="17"/>
      <c r="CQD106" s="17"/>
      <c r="CQE106" s="17"/>
      <c r="CQF106" s="17"/>
      <c r="CQG106" s="17"/>
      <c r="CQH106" s="17"/>
      <c r="CQI106" s="17"/>
      <c r="CQJ106" s="17"/>
      <c r="CQK106" s="17"/>
      <c r="CQL106" s="17"/>
      <c r="CQM106" s="17"/>
      <c r="CQN106" s="17"/>
      <c r="CQO106" s="17"/>
      <c r="CQP106" s="17"/>
      <c r="CQQ106" s="17"/>
      <c r="CQR106" s="17"/>
      <c r="CQS106" s="17"/>
      <c r="CQT106" s="17"/>
      <c r="CQU106" s="17"/>
      <c r="CQV106" s="17"/>
      <c r="CQW106" s="17"/>
      <c r="CQX106" s="17"/>
      <c r="CQY106" s="17"/>
      <c r="CQZ106" s="17"/>
      <c r="CRA106" s="17"/>
      <c r="CRB106" s="17"/>
      <c r="CRC106" s="17"/>
      <c r="CRD106" s="17"/>
      <c r="CRE106" s="17"/>
      <c r="CRF106" s="17"/>
      <c r="CRG106" s="17"/>
      <c r="CRH106" s="17"/>
      <c r="CRI106" s="17"/>
      <c r="CRJ106" s="17"/>
      <c r="CRK106" s="17"/>
      <c r="CRL106" s="17"/>
      <c r="CRM106" s="17"/>
      <c r="CRN106" s="17"/>
      <c r="CRO106" s="17"/>
      <c r="CRP106" s="17"/>
      <c r="CRQ106" s="17"/>
      <c r="CRR106" s="17"/>
      <c r="CRS106" s="17"/>
      <c r="CRT106" s="17"/>
      <c r="CRU106" s="17"/>
      <c r="CRV106" s="17"/>
      <c r="CRW106" s="17"/>
      <c r="CRX106" s="17"/>
      <c r="CRY106" s="17"/>
      <c r="CRZ106" s="17"/>
      <c r="CSA106" s="17"/>
      <c r="CSB106" s="17"/>
      <c r="CSC106" s="17"/>
      <c r="CSD106" s="17"/>
      <c r="CSE106" s="17"/>
      <c r="CSF106" s="17"/>
      <c r="CSG106" s="17"/>
      <c r="CSH106" s="17"/>
      <c r="CSI106" s="17"/>
      <c r="CSJ106" s="17"/>
      <c r="CSK106" s="17"/>
      <c r="CSL106" s="17"/>
      <c r="CSM106" s="17"/>
      <c r="CSN106" s="17"/>
      <c r="CSO106" s="17"/>
      <c r="CSP106" s="17"/>
      <c r="CSQ106" s="17"/>
      <c r="CSR106" s="17"/>
      <c r="CSS106" s="17"/>
      <c r="CST106" s="17"/>
      <c r="CSU106" s="17"/>
      <c r="CSV106" s="17"/>
      <c r="CSW106" s="17"/>
      <c r="CSX106" s="17"/>
      <c r="CSY106" s="17"/>
      <c r="CSZ106" s="17"/>
      <c r="CTA106" s="17"/>
      <c r="CTB106" s="17"/>
      <c r="CTC106" s="17"/>
      <c r="CTD106" s="17"/>
      <c r="CTE106" s="17"/>
      <c r="CTF106" s="17"/>
      <c r="CTG106" s="17"/>
      <c r="CTH106" s="17"/>
      <c r="CTI106" s="17"/>
      <c r="CTJ106" s="17"/>
      <c r="CTK106" s="17"/>
      <c r="CTL106" s="17"/>
      <c r="CTM106" s="17"/>
      <c r="CTN106" s="17"/>
      <c r="CTO106" s="17"/>
      <c r="CTP106" s="17"/>
      <c r="CTQ106" s="17"/>
      <c r="CTR106" s="17"/>
      <c r="CTS106" s="17"/>
      <c r="CTT106" s="17"/>
      <c r="CTU106" s="17"/>
      <c r="CTV106" s="17"/>
      <c r="CTW106" s="17"/>
      <c r="CTX106" s="17"/>
      <c r="CTY106" s="17"/>
      <c r="CTZ106" s="17"/>
      <c r="CUA106" s="17"/>
      <c r="CUB106" s="17"/>
      <c r="CUC106" s="17"/>
      <c r="CUD106" s="17"/>
      <c r="CUE106" s="17"/>
      <c r="CUF106" s="17"/>
      <c r="CUG106" s="17"/>
      <c r="CUH106" s="17"/>
      <c r="CUI106" s="17"/>
      <c r="CUJ106" s="17"/>
      <c r="CUK106" s="17"/>
      <c r="CUL106" s="17"/>
      <c r="CUM106" s="17"/>
      <c r="CUN106" s="17"/>
      <c r="CUO106" s="17"/>
      <c r="CUP106" s="17"/>
      <c r="CUQ106" s="17"/>
      <c r="CUR106" s="17"/>
      <c r="CUS106" s="17"/>
      <c r="CUT106" s="17"/>
      <c r="CUU106" s="17"/>
      <c r="CUV106" s="17"/>
      <c r="CUW106" s="17"/>
      <c r="CUX106" s="17"/>
      <c r="CUY106" s="17"/>
      <c r="CUZ106" s="17"/>
      <c r="CVA106" s="17"/>
      <c r="CVB106" s="17"/>
      <c r="CVC106" s="17"/>
      <c r="CVD106" s="17"/>
      <c r="CVE106" s="17"/>
      <c r="CVF106" s="17"/>
      <c r="CVG106" s="17"/>
      <c r="CVH106" s="17"/>
      <c r="CVI106" s="17"/>
      <c r="CVJ106" s="17"/>
      <c r="CVK106" s="17"/>
      <c r="CVL106" s="17"/>
      <c r="CVM106" s="17"/>
      <c r="CVN106" s="17"/>
      <c r="CVO106" s="17"/>
      <c r="CVP106" s="17"/>
      <c r="CVQ106" s="17"/>
      <c r="CVR106" s="17"/>
      <c r="CVS106" s="17"/>
      <c r="CVT106" s="17"/>
      <c r="CVU106" s="17"/>
      <c r="CVV106" s="17"/>
      <c r="CVW106" s="17"/>
      <c r="CVX106" s="17"/>
      <c r="CVY106" s="17"/>
      <c r="CVZ106" s="17"/>
      <c r="CWA106" s="17"/>
      <c r="CWB106" s="17"/>
      <c r="CWC106" s="17"/>
      <c r="CWD106" s="17"/>
      <c r="CWE106" s="17"/>
      <c r="CWF106" s="17"/>
      <c r="CWG106" s="17"/>
      <c r="CWH106" s="17"/>
      <c r="CWI106" s="17"/>
      <c r="CWJ106" s="17"/>
      <c r="CWK106" s="17"/>
      <c r="CWL106" s="17"/>
      <c r="CWM106" s="17"/>
      <c r="CWN106" s="17"/>
      <c r="CWO106" s="17"/>
      <c r="CWP106" s="17"/>
      <c r="CWQ106" s="17"/>
      <c r="CWR106" s="17"/>
      <c r="CWS106" s="17"/>
      <c r="CWT106" s="17"/>
      <c r="CWU106" s="17"/>
      <c r="CWV106" s="17"/>
      <c r="CWW106" s="17"/>
      <c r="CWX106" s="17"/>
      <c r="CWY106" s="17"/>
      <c r="CWZ106" s="17"/>
      <c r="CXA106" s="17"/>
      <c r="CXB106" s="17"/>
      <c r="CXC106" s="17"/>
      <c r="CXD106" s="17"/>
      <c r="CXE106" s="17"/>
      <c r="CXF106" s="17"/>
      <c r="CXG106" s="17"/>
      <c r="CXH106" s="17"/>
      <c r="CXI106" s="17"/>
      <c r="CXJ106" s="17"/>
      <c r="CXK106" s="17"/>
      <c r="CXL106" s="17"/>
      <c r="CXM106" s="17"/>
      <c r="CXN106" s="17"/>
      <c r="CXO106" s="17"/>
      <c r="CXP106" s="17"/>
      <c r="CXQ106" s="17"/>
      <c r="CXR106" s="17"/>
      <c r="CXS106" s="17"/>
      <c r="CXT106" s="17"/>
      <c r="CXU106" s="17"/>
      <c r="CXV106" s="17"/>
      <c r="CXW106" s="17"/>
      <c r="CXX106" s="17"/>
      <c r="CXY106" s="17"/>
      <c r="CXZ106" s="17"/>
      <c r="CYA106" s="17"/>
      <c r="CYB106" s="17"/>
      <c r="CYC106" s="17"/>
      <c r="CYD106" s="17"/>
      <c r="CYE106" s="17"/>
      <c r="CYF106" s="17"/>
      <c r="CYG106" s="17"/>
      <c r="CYH106" s="17"/>
      <c r="CYI106" s="17"/>
      <c r="CYJ106" s="17"/>
      <c r="CYK106" s="17"/>
      <c r="CYL106" s="17"/>
      <c r="CYM106" s="17"/>
      <c r="CYN106" s="17"/>
      <c r="CYO106" s="17"/>
      <c r="CYP106" s="17"/>
      <c r="CYQ106" s="17"/>
      <c r="CYR106" s="17"/>
      <c r="CYS106" s="17"/>
      <c r="CYT106" s="17"/>
      <c r="CYU106" s="17"/>
      <c r="CYV106" s="17"/>
      <c r="CYW106" s="17"/>
      <c r="CYX106" s="17"/>
      <c r="CYY106" s="17"/>
      <c r="CYZ106" s="17"/>
      <c r="CZA106" s="17"/>
      <c r="CZB106" s="17"/>
      <c r="CZC106" s="17"/>
      <c r="CZD106" s="17"/>
      <c r="CZE106" s="17"/>
      <c r="CZF106" s="17"/>
      <c r="CZG106" s="17"/>
      <c r="CZH106" s="17"/>
      <c r="CZI106" s="17"/>
      <c r="CZJ106" s="17"/>
      <c r="CZK106" s="17"/>
      <c r="CZL106" s="17"/>
      <c r="CZM106" s="17"/>
      <c r="CZN106" s="17"/>
      <c r="CZO106" s="17"/>
      <c r="CZP106" s="17"/>
      <c r="CZQ106" s="17"/>
      <c r="CZR106" s="17"/>
      <c r="CZS106" s="17"/>
      <c r="CZT106" s="17"/>
      <c r="CZU106" s="17"/>
      <c r="CZV106" s="17"/>
      <c r="CZW106" s="17"/>
      <c r="CZX106" s="17"/>
      <c r="CZY106" s="17"/>
      <c r="CZZ106" s="17"/>
      <c r="DAA106" s="17"/>
      <c r="DAB106" s="17"/>
      <c r="DAC106" s="17"/>
      <c r="DAD106" s="17"/>
      <c r="DAE106" s="17"/>
      <c r="DAF106" s="17"/>
      <c r="DAG106" s="17"/>
      <c r="DAH106" s="17"/>
      <c r="DAI106" s="17"/>
      <c r="DAJ106" s="17"/>
      <c r="DAK106" s="17"/>
      <c r="DAL106" s="17"/>
      <c r="DAM106" s="17"/>
      <c r="DAN106" s="17"/>
      <c r="DAO106" s="17"/>
      <c r="DAP106" s="17"/>
      <c r="DAQ106" s="17"/>
      <c r="DAR106" s="17"/>
      <c r="DAS106" s="17"/>
      <c r="DAT106" s="17"/>
      <c r="DAU106" s="17"/>
      <c r="DAV106" s="17"/>
      <c r="DAW106" s="17"/>
      <c r="DAX106" s="17"/>
      <c r="DAY106" s="17"/>
      <c r="DAZ106" s="17"/>
      <c r="DBA106" s="17"/>
      <c r="DBB106" s="17"/>
      <c r="DBC106" s="17"/>
      <c r="DBD106" s="17"/>
      <c r="DBE106" s="17"/>
      <c r="DBF106" s="17"/>
      <c r="DBG106" s="17"/>
      <c r="DBH106" s="17"/>
      <c r="DBI106" s="17"/>
      <c r="DBJ106" s="17"/>
      <c r="DBK106" s="17"/>
      <c r="DBL106" s="17"/>
      <c r="DBM106" s="17"/>
      <c r="DBN106" s="17"/>
      <c r="DBO106" s="17"/>
      <c r="DBP106" s="17"/>
      <c r="DBQ106" s="17"/>
      <c r="DBR106" s="17"/>
      <c r="DBS106" s="17"/>
      <c r="DBT106" s="17"/>
      <c r="DBU106" s="17"/>
      <c r="DBV106" s="17"/>
      <c r="DBW106" s="17"/>
      <c r="DBX106" s="17"/>
      <c r="DBY106" s="17"/>
      <c r="DBZ106" s="17"/>
      <c r="DCA106" s="17"/>
      <c r="DCB106" s="17"/>
      <c r="DCC106" s="17"/>
      <c r="DCD106" s="17"/>
      <c r="DCE106" s="17"/>
      <c r="DCF106" s="17"/>
      <c r="DCG106" s="17"/>
      <c r="DCH106" s="17"/>
      <c r="DCI106" s="17"/>
      <c r="DCJ106" s="17"/>
      <c r="DCK106" s="17"/>
      <c r="DCL106" s="17"/>
      <c r="DCM106" s="17"/>
      <c r="DCN106" s="17"/>
      <c r="DCO106" s="17"/>
      <c r="DCP106" s="17"/>
      <c r="DCQ106" s="17"/>
      <c r="DCR106" s="17"/>
      <c r="DCS106" s="17"/>
      <c r="DCT106" s="17"/>
      <c r="DCU106" s="17"/>
      <c r="DCV106" s="17"/>
      <c r="DCW106" s="17"/>
      <c r="DCX106" s="17"/>
      <c r="DCY106" s="17"/>
      <c r="DCZ106" s="17"/>
      <c r="DDA106" s="17"/>
      <c r="DDB106" s="17"/>
      <c r="DDC106" s="17"/>
      <c r="DDD106" s="17"/>
      <c r="DDE106" s="17"/>
      <c r="DDF106" s="17"/>
      <c r="DDG106" s="17"/>
      <c r="DDH106" s="17"/>
      <c r="DDI106" s="17"/>
      <c r="DDJ106" s="17"/>
      <c r="DDK106" s="17"/>
      <c r="DDL106" s="17"/>
      <c r="DDM106" s="17"/>
      <c r="DDN106" s="17"/>
      <c r="DDO106" s="17"/>
      <c r="DDP106" s="17"/>
      <c r="DDQ106" s="17"/>
      <c r="DDR106" s="17"/>
      <c r="DDS106" s="17"/>
      <c r="DDT106" s="17"/>
      <c r="DDU106" s="17"/>
      <c r="DDV106" s="17"/>
      <c r="DDW106" s="17"/>
      <c r="DDX106" s="17"/>
      <c r="DDY106" s="17"/>
      <c r="DDZ106" s="17"/>
      <c r="DEA106" s="17"/>
      <c r="DEB106" s="17"/>
      <c r="DEC106" s="17"/>
      <c r="DED106" s="17"/>
      <c r="DEE106" s="17"/>
      <c r="DEF106" s="17"/>
      <c r="DEG106" s="17"/>
      <c r="DEH106" s="17"/>
      <c r="DEI106" s="17"/>
      <c r="DEJ106" s="17"/>
      <c r="DEK106" s="17"/>
      <c r="DEL106" s="17"/>
      <c r="DEM106" s="17"/>
      <c r="DEN106" s="17"/>
      <c r="DEO106" s="17"/>
      <c r="DEP106" s="17"/>
      <c r="DEQ106" s="17"/>
      <c r="DER106" s="17"/>
      <c r="DES106" s="17"/>
      <c r="DET106" s="17"/>
      <c r="DEU106" s="17"/>
      <c r="DEV106" s="17"/>
      <c r="DEW106" s="17"/>
      <c r="DEX106" s="17"/>
      <c r="DEY106" s="17"/>
      <c r="DEZ106" s="17"/>
      <c r="DFA106" s="17"/>
      <c r="DFB106" s="17"/>
      <c r="DFC106" s="17"/>
      <c r="DFD106" s="17"/>
      <c r="DFE106" s="17"/>
      <c r="DFF106" s="17"/>
      <c r="DFG106" s="17"/>
      <c r="DFH106" s="17"/>
      <c r="DFI106" s="17"/>
      <c r="DFJ106" s="17"/>
      <c r="DFK106" s="17"/>
      <c r="DFL106" s="17"/>
      <c r="DFM106" s="17"/>
      <c r="DFN106" s="17"/>
      <c r="DFO106" s="17"/>
      <c r="DFP106" s="17"/>
      <c r="DFQ106" s="17"/>
      <c r="DFR106" s="17"/>
      <c r="DFS106" s="17"/>
      <c r="DFT106" s="17"/>
      <c r="DFU106" s="17"/>
      <c r="DFV106" s="17"/>
      <c r="DFW106" s="17"/>
      <c r="DFX106" s="17"/>
      <c r="DFY106" s="17"/>
      <c r="DFZ106" s="17"/>
      <c r="DGA106" s="17"/>
      <c r="DGB106" s="17"/>
      <c r="DGC106" s="17"/>
      <c r="DGD106" s="17"/>
      <c r="DGE106" s="17"/>
      <c r="DGF106" s="17"/>
      <c r="DGG106" s="17"/>
      <c r="DGH106" s="17"/>
      <c r="DGI106" s="17"/>
      <c r="DGJ106" s="17"/>
      <c r="DGK106" s="17"/>
      <c r="DGL106" s="17"/>
      <c r="DGM106" s="17"/>
      <c r="DGN106" s="17"/>
      <c r="DGO106" s="17"/>
      <c r="DGP106" s="17"/>
      <c r="DGQ106" s="17"/>
      <c r="DGR106" s="17"/>
      <c r="DGS106" s="17"/>
      <c r="DGT106" s="17"/>
      <c r="DGU106" s="17"/>
      <c r="DGV106" s="17"/>
      <c r="DGW106" s="17"/>
      <c r="DGX106" s="17"/>
      <c r="DGY106" s="17"/>
      <c r="DGZ106" s="17"/>
      <c r="DHA106" s="17"/>
      <c r="DHB106" s="17"/>
      <c r="DHC106" s="17"/>
      <c r="DHD106" s="17"/>
      <c r="DHE106" s="17"/>
      <c r="DHF106" s="17"/>
      <c r="DHG106" s="17"/>
      <c r="DHH106" s="17"/>
      <c r="DHI106" s="17"/>
      <c r="DHJ106" s="17"/>
      <c r="DHK106" s="17"/>
      <c r="DHL106" s="17"/>
      <c r="DHM106" s="17"/>
      <c r="DHN106" s="17"/>
      <c r="DHO106" s="17"/>
      <c r="DHP106" s="17"/>
      <c r="DHQ106" s="17"/>
      <c r="DHR106" s="17"/>
      <c r="DHS106" s="17"/>
      <c r="DHT106" s="17"/>
      <c r="DHU106" s="17"/>
      <c r="DHV106" s="17"/>
      <c r="DHW106" s="17"/>
      <c r="DHX106" s="17"/>
      <c r="DHY106" s="17"/>
      <c r="DHZ106" s="17"/>
      <c r="DIA106" s="17"/>
      <c r="DIB106" s="17"/>
      <c r="DIC106" s="17"/>
      <c r="DID106" s="17"/>
      <c r="DIE106" s="17"/>
      <c r="DIF106" s="17"/>
      <c r="DIG106" s="17"/>
      <c r="DIH106" s="17"/>
      <c r="DII106" s="17"/>
      <c r="DIJ106" s="17"/>
      <c r="DIK106" s="17"/>
      <c r="DIL106" s="17"/>
      <c r="DIM106" s="17"/>
      <c r="DIN106" s="17"/>
      <c r="DIO106" s="17"/>
      <c r="DIP106" s="17"/>
      <c r="DIQ106" s="17"/>
      <c r="DIR106" s="17"/>
      <c r="DIS106" s="17"/>
      <c r="DIT106" s="17"/>
      <c r="DIU106" s="17"/>
      <c r="DIV106" s="17"/>
      <c r="DIW106" s="17"/>
      <c r="DIX106" s="17"/>
      <c r="DIY106" s="17"/>
      <c r="DIZ106" s="17"/>
      <c r="DJA106" s="17"/>
      <c r="DJB106" s="17"/>
      <c r="DJC106" s="17"/>
      <c r="DJD106" s="17"/>
      <c r="DJE106" s="17"/>
      <c r="DJF106" s="17"/>
      <c r="DJG106" s="17"/>
      <c r="DJH106" s="17"/>
      <c r="DJI106" s="17"/>
      <c r="DJJ106" s="17"/>
      <c r="DJK106" s="17"/>
      <c r="DJL106" s="17"/>
      <c r="DJM106" s="17"/>
      <c r="DJN106" s="17"/>
      <c r="DJO106" s="17"/>
      <c r="DJP106" s="17"/>
      <c r="DJQ106" s="17"/>
      <c r="DJR106" s="17"/>
      <c r="DJS106" s="17"/>
      <c r="DJT106" s="17"/>
      <c r="DJU106" s="17"/>
      <c r="DJV106" s="17"/>
      <c r="DJW106" s="17"/>
      <c r="DJX106" s="17"/>
      <c r="DJY106" s="17"/>
      <c r="DJZ106" s="17"/>
      <c r="DKA106" s="17"/>
      <c r="DKB106" s="17"/>
      <c r="DKC106" s="17"/>
      <c r="DKD106" s="17"/>
      <c r="DKE106" s="17"/>
      <c r="DKF106" s="17"/>
      <c r="DKG106" s="17"/>
      <c r="DKH106" s="17"/>
      <c r="DKI106" s="17"/>
      <c r="DKJ106" s="17"/>
      <c r="DKK106" s="17"/>
      <c r="DKL106" s="17"/>
      <c r="DKM106" s="17"/>
      <c r="DKN106" s="17"/>
      <c r="DKO106" s="17"/>
      <c r="DKP106" s="17"/>
      <c r="DKQ106" s="17"/>
      <c r="DKR106" s="17"/>
      <c r="DKS106" s="17"/>
      <c r="DKT106" s="17"/>
      <c r="DKU106" s="17"/>
      <c r="DKV106" s="17"/>
      <c r="DKW106" s="17"/>
      <c r="DKX106" s="17"/>
      <c r="DKY106" s="17"/>
      <c r="DKZ106" s="17"/>
      <c r="DLA106" s="17"/>
      <c r="DLB106" s="17"/>
      <c r="DLC106" s="17"/>
      <c r="DLD106" s="17"/>
      <c r="DLE106" s="17"/>
      <c r="DLF106" s="17"/>
      <c r="DLG106" s="17"/>
      <c r="DLH106" s="17"/>
      <c r="DLI106" s="17"/>
      <c r="DLJ106" s="17"/>
      <c r="DLK106" s="17"/>
      <c r="DLL106" s="17"/>
      <c r="DLM106" s="17"/>
      <c r="DLN106" s="17"/>
      <c r="DLO106" s="17"/>
      <c r="DLP106" s="17"/>
      <c r="DLQ106" s="17"/>
      <c r="DLR106" s="17"/>
      <c r="DLS106" s="17"/>
      <c r="DLT106" s="17"/>
      <c r="DLU106" s="17"/>
      <c r="DLV106" s="17"/>
      <c r="DLW106" s="17"/>
      <c r="DLX106" s="17"/>
      <c r="DLY106" s="17"/>
      <c r="DLZ106" s="17"/>
      <c r="DMA106" s="17"/>
      <c r="DMB106" s="17"/>
      <c r="DMC106" s="17"/>
      <c r="DMD106" s="17"/>
      <c r="DME106" s="17"/>
      <c r="DMF106" s="17"/>
      <c r="DMG106" s="17"/>
      <c r="DMH106" s="17"/>
      <c r="DMI106" s="17"/>
      <c r="DMJ106" s="17"/>
      <c r="DMK106" s="17"/>
      <c r="DML106" s="17"/>
      <c r="DMM106" s="17"/>
      <c r="DMN106" s="17"/>
      <c r="DMO106" s="17"/>
      <c r="DMP106" s="17"/>
      <c r="DMQ106" s="17"/>
      <c r="DMR106" s="17"/>
      <c r="DMS106" s="17"/>
      <c r="DMT106" s="17"/>
      <c r="DMU106" s="17"/>
      <c r="DMV106" s="17"/>
      <c r="DMW106" s="17"/>
      <c r="DMX106" s="17"/>
      <c r="DMY106" s="17"/>
      <c r="DMZ106" s="17"/>
      <c r="DNA106" s="17"/>
      <c r="DNB106" s="17"/>
      <c r="DNC106" s="17"/>
      <c r="DND106" s="17"/>
      <c r="DNE106" s="17"/>
      <c r="DNF106" s="17"/>
      <c r="DNG106" s="17"/>
      <c r="DNH106" s="17"/>
      <c r="DNI106" s="17"/>
      <c r="DNJ106" s="17"/>
      <c r="DNK106" s="17"/>
      <c r="DNL106" s="17"/>
      <c r="DNM106" s="17"/>
      <c r="DNN106" s="17"/>
      <c r="DNO106" s="17"/>
      <c r="DNP106" s="17"/>
      <c r="DNQ106" s="17"/>
      <c r="DNR106" s="17"/>
      <c r="DNS106" s="17"/>
      <c r="DNT106" s="17"/>
      <c r="DNU106" s="17"/>
      <c r="DNV106" s="17"/>
      <c r="DNW106" s="17"/>
      <c r="DNX106" s="17"/>
      <c r="DNY106" s="17"/>
      <c r="DNZ106" s="17"/>
      <c r="DOA106" s="17"/>
      <c r="DOB106" s="17"/>
      <c r="DOC106" s="17"/>
      <c r="DOD106" s="17"/>
      <c r="DOE106" s="17"/>
      <c r="DOF106" s="17"/>
      <c r="DOG106" s="17"/>
      <c r="DOH106" s="17"/>
      <c r="DOI106" s="17"/>
      <c r="DOJ106" s="17"/>
      <c r="DOK106" s="17"/>
      <c r="DOL106" s="17"/>
      <c r="DOM106" s="17"/>
      <c r="DON106" s="17"/>
      <c r="DOO106" s="17"/>
      <c r="DOP106" s="17"/>
      <c r="DOQ106" s="17"/>
      <c r="DOR106" s="17"/>
      <c r="DOS106" s="17"/>
      <c r="DOT106" s="17"/>
      <c r="DOU106" s="17"/>
      <c r="DOV106" s="17"/>
      <c r="DOW106" s="17"/>
      <c r="DOX106" s="17"/>
      <c r="DOY106" s="17"/>
      <c r="DOZ106" s="17"/>
      <c r="DPA106" s="17"/>
      <c r="DPB106" s="17"/>
      <c r="DPC106" s="17"/>
      <c r="DPD106" s="17"/>
      <c r="DPE106" s="17"/>
      <c r="DPF106" s="17"/>
      <c r="DPG106" s="17"/>
      <c r="DPH106" s="17"/>
      <c r="DPI106" s="17"/>
      <c r="DPJ106" s="17"/>
      <c r="DPK106" s="17"/>
      <c r="DPL106" s="17"/>
      <c r="DPM106" s="17"/>
      <c r="DPN106" s="17"/>
      <c r="DPO106" s="17"/>
      <c r="DPP106" s="17"/>
      <c r="DPQ106" s="17"/>
      <c r="DPR106" s="17"/>
      <c r="DPS106" s="17"/>
      <c r="DPT106" s="17"/>
      <c r="DPU106" s="17"/>
      <c r="DPV106" s="17"/>
      <c r="DPW106" s="17"/>
      <c r="DPX106" s="17"/>
      <c r="DPY106" s="17"/>
      <c r="DPZ106" s="17"/>
      <c r="DQA106" s="17"/>
      <c r="DQB106" s="17"/>
      <c r="DQC106" s="17"/>
      <c r="DQD106" s="17"/>
      <c r="DQE106" s="17"/>
      <c r="DQF106" s="17"/>
      <c r="DQG106" s="17"/>
      <c r="DQH106" s="17"/>
      <c r="DQI106" s="17"/>
      <c r="DQJ106" s="17"/>
      <c r="DQK106" s="17"/>
      <c r="DQL106" s="17"/>
      <c r="DQM106" s="17"/>
      <c r="DQN106" s="17"/>
      <c r="DQO106" s="17"/>
      <c r="DQP106" s="17"/>
      <c r="DQQ106" s="17"/>
      <c r="DQR106" s="17"/>
      <c r="DQS106" s="17"/>
      <c r="DQT106" s="17"/>
      <c r="DQU106" s="17"/>
      <c r="DQV106" s="17"/>
      <c r="DQW106" s="17"/>
      <c r="DQX106" s="17"/>
      <c r="DQY106" s="17"/>
      <c r="DQZ106" s="17"/>
      <c r="DRA106" s="17"/>
      <c r="DRB106" s="17"/>
      <c r="DRC106" s="17"/>
      <c r="DRD106" s="17"/>
      <c r="DRE106" s="17"/>
      <c r="DRF106" s="17"/>
      <c r="DRG106" s="17"/>
      <c r="DRH106" s="17"/>
      <c r="DRI106" s="17"/>
      <c r="DRJ106" s="17"/>
      <c r="DRK106" s="17"/>
      <c r="DRL106" s="17"/>
      <c r="DRM106" s="17"/>
      <c r="DRN106" s="17"/>
      <c r="DRO106" s="17"/>
      <c r="DRP106" s="17"/>
      <c r="DRQ106" s="17"/>
      <c r="DRR106" s="17"/>
      <c r="DRS106" s="17"/>
      <c r="DRT106" s="17"/>
      <c r="DRU106" s="17"/>
      <c r="DRV106" s="17"/>
      <c r="DRW106" s="17"/>
      <c r="DRX106" s="17"/>
      <c r="DRY106" s="17"/>
      <c r="DRZ106" s="17"/>
      <c r="DSA106" s="17"/>
      <c r="DSB106" s="17"/>
      <c r="DSC106" s="17"/>
      <c r="DSD106" s="17"/>
      <c r="DSE106" s="17"/>
      <c r="DSF106" s="17"/>
      <c r="DSG106" s="17"/>
      <c r="DSH106" s="17"/>
      <c r="DSI106" s="17"/>
      <c r="DSJ106" s="17"/>
      <c r="DSK106" s="17"/>
      <c r="DSL106" s="17"/>
      <c r="DSM106" s="17"/>
      <c r="DSN106" s="17"/>
      <c r="DSO106" s="17"/>
      <c r="DSP106" s="17"/>
      <c r="DSQ106" s="17"/>
      <c r="DSR106" s="17"/>
      <c r="DSS106" s="17"/>
      <c r="DST106" s="17"/>
      <c r="DSU106" s="17"/>
      <c r="DSV106" s="17"/>
      <c r="DSW106" s="17"/>
      <c r="DSX106" s="17"/>
      <c r="DSY106" s="17"/>
      <c r="DSZ106" s="17"/>
      <c r="DTA106" s="17"/>
      <c r="DTB106" s="17"/>
      <c r="DTC106" s="17"/>
      <c r="DTD106" s="17"/>
      <c r="DTE106" s="17"/>
      <c r="DTF106" s="17"/>
      <c r="DTG106" s="17"/>
      <c r="DTH106" s="17"/>
      <c r="DTI106" s="17"/>
      <c r="DTJ106" s="17"/>
      <c r="DTK106" s="17"/>
      <c r="DTL106" s="17"/>
      <c r="DTM106" s="17"/>
      <c r="DTN106" s="17"/>
      <c r="DTO106" s="17"/>
      <c r="DTP106" s="17"/>
      <c r="DTQ106" s="17"/>
      <c r="DTR106" s="17"/>
      <c r="DTS106" s="17"/>
      <c r="DTT106" s="17"/>
      <c r="DTU106" s="17"/>
      <c r="DTV106" s="17"/>
      <c r="DTW106" s="17"/>
      <c r="DTX106" s="17"/>
      <c r="DTY106" s="17"/>
      <c r="DTZ106" s="17"/>
      <c r="DUA106" s="17"/>
      <c r="DUB106" s="17"/>
      <c r="DUC106" s="17"/>
      <c r="DUD106" s="17"/>
      <c r="DUE106" s="17"/>
      <c r="DUF106" s="17"/>
      <c r="DUG106" s="17"/>
      <c r="DUH106" s="17"/>
      <c r="DUI106" s="17"/>
      <c r="DUJ106" s="17"/>
      <c r="DUK106" s="17"/>
      <c r="DUL106" s="17"/>
      <c r="DUM106" s="17"/>
      <c r="DUN106" s="17"/>
      <c r="DUO106" s="17"/>
      <c r="DUP106" s="17"/>
      <c r="DUQ106" s="17"/>
      <c r="DUR106" s="17"/>
      <c r="DUS106" s="17"/>
      <c r="DUT106" s="17"/>
      <c r="DUU106" s="17"/>
      <c r="DUV106" s="17"/>
      <c r="DUW106" s="17"/>
      <c r="DUX106" s="17"/>
      <c r="DUY106" s="17"/>
      <c r="DUZ106" s="17"/>
      <c r="DVA106" s="17"/>
      <c r="DVB106" s="17"/>
      <c r="DVC106" s="17"/>
      <c r="DVD106" s="17"/>
      <c r="DVE106" s="17"/>
      <c r="DVF106" s="17"/>
      <c r="DVG106" s="17"/>
      <c r="DVH106" s="17"/>
      <c r="DVI106" s="17"/>
      <c r="DVJ106" s="17"/>
      <c r="DVK106" s="17"/>
      <c r="DVL106" s="17"/>
      <c r="DVM106" s="17"/>
      <c r="DVN106" s="17"/>
      <c r="DVO106" s="17"/>
      <c r="DVP106" s="17"/>
      <c r="DVQ106" s="17"/>
      <c r="DVR106" s="17"/>
      <c r="DVS106" s="17"/>
      <c r="DVT106" s="17"/>
      <c r="DVU106" s="17"/>
      <c r="DVV106" s="17"/>
      <c r="DVW106" s="17"/>
      <c r="DVX106" s="17"/>
      <c r="DVY106" s="17"/>
      <c r="DVZ106" s="17"/>
      <c r="DWA106" s="17"/>
      <c r="DWB106" s="17"/>
      <c r="DWC106" s="17"/>
      <c r="DWD106" s="17"/>
      <c r="DWE106" s="17"/>
      <c r="DWF106" s="17"/>
      <c r="DWG106" s="17"/>
      <c r="DWH106" s="17"/>
      <c r="DWI106" s="17"/>
      <c r="DWJ106" s="17"/>
      <c r="DWK106" s="17"/>
      <c r="DWL106" s="17"/>
      <c r="DWM106" s="17"/>
      <c r="DWN106" s="17"/>
      <c r="DWO106" s="17"/>
      <c r="DWP106" s="17"/>
      <c r="DWQ106" s="17"/>
      <c r="DWR106" s="17"/>
      <c r="DWS106" s="17"/>
      <c r="DWT106" s="17"/>
      <c r="DWU106" s="17"/>
      <c r="DWV106" s="17"/>
      <c r="DWW106" s="17"/>
      <c r="DWX106" s="17"/>
      <c r="DWY106" s="17"/>
      <c r="DWZ106" s="17"/>
      <c r="DXA106" s="17"/>
      <c r="DXB106" s="17"/>
      <c r="DXC106" s="17"/>
      <c r="DXD106" s="17"/>
      <c r="DXE106" s="17"/>
      <c r="DXF106" s="17"/>
      <c r="DXG106" s="17"/>
      <c r="DXH106" s="17"/>
      <c r="DXI106" s="17"/>
      <c r="DXJ106" s="17"/>
      <c r="DXK106" s="17"/>
      <c r="DXL106" s="17"/>
      <c r="DXM106" s="17"/>
      <c r="DXN106" s="17"/>
      <c r="DXO106" s="17"/>
      <c r="DXP106" s="17"/>
      <c r="DXQ106" s="17"/>
      <c r="DXR106" s="17"/>
      <c r="DXS106" s="17"/>
      <c r="DXT106" s="17"/>
      <c r="DXU106" s="17"/>
      <c r="DXV106" s="17"/>
      <c r="DXW106" s="17"/>
      <c r="DXX106" s="17"/>
      <c r="DXY106" s="17"/>
      <c r="DXZ106" s="17"/>
      <c r="DYA106" s="17"/>
      <c r="DYB106" s="17"/>
      <c r="DYC106" s="17"/>
      <c r="DYD106" s="17"/>
      <c r="DYE106" s="17"/>
      <c r="DYF106" s="17"/>
      <c r="DYG106" s="17"/>
      <c r="DYH106" s="17"/>
      <c r="DYI106" s="17"/>
      <c r="DYJ106" s="17"/>
      <c r="DYK106" s="17"/>
      <c r="DYL106" s="17"/>
      <c r="DYM106" s="17"/>
      <c r="DYN106" s="17"/>
      <c r="DYO106" s="17"/>
      <c r="DYP106" s="17"/>
      <c r="DYQ106" s="17"/>
      <c r="DYR106" s="17"/>
      <c r="DYS106" s="17"/>
      <c r="DYT106" s="17"/>
      <c r="DYU106" s="17"/>
      <c r="DYV106" s="17"/>
      <c r="DYW106" s="17"/>
      <c r="DYX106" s="17"/>
      <c r="DYY106" s="17"/>
      <c r="DYZ106" s="17"/>
      <c r="DZA106" s="17"/>
      <c r="DZB106" s="17"/>
      <c r="DZC106" s="17"/>
      <c r="DZD106" s="17"/>
      <c r="DZE106" s="17"/>
      <c r="DZF106" s="17"/>
      <c r="DZG106" s="17"/>
      <c r="DZH106" s="17"/>
      <c r="DZI106" s="17"/>
      <c r="DZJ106" s="17"/>
      <c r="DZK106" s="17"/>
      <c r="DZL106" s="17"/>
      <c r="DZM106" s="17"/>
      <c r="DZN106" s="17"/>
      <c r="DZO106" s="17"/>
      <c r="DZP106" s="17"/>
      <c r="DZQ106" s="17"/>
      <c r="DZR106" s="17"/>
      <c r="DZS106" s="17"/>
      <c r="DZT106" s="17"/>
      <c r="DZU106" s="17"/>
      <c r="DZV106" s="17"/>
      <c r="DZW106" s="17"/>
      <c r="DZX106" s="17"/>
      <c r="DZY106" s="17"/>
      <c r="DZZ106" s="17"/>
      <c r="EAA106" s="17"/>
      <c r="EAB106" s="17"/>
      <c r="EAC106" s="17"/>
      <c r="EAD106" s="17"/>
      <c r="EAE106" s="17"/>
      <c r="EAF106" s="17"/>
      <c r="EAG106" s="17"/>
      <c r="EAH106" s="17"/>
      <c r="EAI106" s="17"/>
      <c r="EAJ106" s="17"/>
      <c r="EAK106" s="17"/>
      <c r="EAL106" s="17"/>
      <c r="EAM106" s="17"/>
      <c r="EAN106" s="17"/>
      <c r="EAO106" s="17"/>
      <c r="EAP106" s="17"/>
      <c r="EAQ106" s="17"/>
      <c r="EAR106" s="17"/>
      <c r="EAS106" s="17"/>
      <c r="EAT106" s="17"/>
      <c r="EAU106" s="17"/>
      <c r="EAV106" s="17"/>
      <c r="EAW106" s="17"/>
      <c r="EAX106" s="17"/>
      <c r="EAY106" s="17"/>
      <c r="EAZ106" s="17"/>
      <c r="EBA106" s="17"/>
      <c r="EBB106" s="17"/>
      <c r="EBC106" s="17"/>
      <c r="EBD106" s="17"/>
      <c r="EBE106" s="17"/>
      <c r="EBF106" s="17"/>
      <c r="EBG106" s="17"/>
      <c r="EBH106" s="17"/>
      <c r="EBI106" s="17"/>
      <c r="EBJ106" s="17"/>
      <c r="EBK106" s="17"/>
      <c r="EBL106" s="17"/>
      <c r="EBM106" s="17"/>
      <c r="EBN106" s="17"/>
      <c r="EBO106" s="17"/>
      <c r="EBP106" s="17"/>
      <c r="EBQ106" s="17"/>
      <c r="EBR106" s="17"/>
      <c r="EBS106" s="17"/>
      <c r="EBT106" s="17"/>
      <c r="EBU106" s="17"/>
      <c r="EBV106" s="17"/>
      <c r="EBW106" s="17"/>
      <c r="EBX106" s="17"/>
      <c r="EBY106" s="17"/>
      <c r="EBZ106" s="17"/>
      <c r="ECA106" s="17"/>
      <c r="ECB106" s="17"/>
      <c r="ECC106" s="17"/>
      <c r="ECD106" s="17"/>
      <c r="ECE106" s="17"/>
      <c r="ECF106" s="17"/>
      <c r="ECG106" s="17"/>
      <c r="ECH106" s="17"/>
      <c r="ECI106" s="17"/>
      <c r="ECJ106" s="17"/>
      <c r="ECK106" s="17"/>
      <c r="ECL106" s="17"/>
      <c r="ECM106" s="17"/>
      <c r="ECN106" s="17"/>
      <c r="ECO106" s="17"/>
      <c r="ECP106" s="17"/>
      <c r="ECQ106" s="17"/>
      <c r="ECR106" s="17"/>
      <c r="ECS106" s="17"/>
      <c r="ECT106" s="17"/>
      <c r="ECU106" s="17"/>
      <c r="ECV106" s="17"/>
      <c r="ECW106" s="17"/>
      <c r="ECX106" s="17"/>
      <c r="ECY106" s="17"/>
      <c r="ECZ106" s="17"/>
      <c r="EDA106" s="17"/>
      <c r="EDB106" s="17"/>
      <c r="EDC106" s="17"/>
      <c r="EDD106" s="17"/>
      <c r="EDE106" s="17"/>
      <c r="EDF106" s="17"/>
      <c r="EDG106" s="17"/>
      <c r="EDH106" s="17"/>
      <c r="EDI106" s="17"/>
      <c r="EDJ106" s="17"/>
      <c r="EDK106" s="17"/>
      <c r="EDL106" s="17"/>
      <c r="EDM106" s="17"/>
      <c r="EDN106" s="17"/>
      <c r="EDO106" s="17"/>
      <c r="EDP106" s="17"/>
      <c r="EDQ106" s="17"/>
      <c r="EDR106" s="17"/>
      <c r="EDS106" s="17"/>
      <c r="EDT106" s="17"/>
      <c r="EDU106" s="17"/>
      <c r="EDV106" s="17"/>
      <c r="EDW106" s="17"/>
      <c r="EDX106" s="17"/>
      <c r="EDY106" s="17"/>
      <c r="EDZ106" s="17"/>
      <c r="EEA106" s="17"/>
      <c r="EEB106" s="17"/>
      <c r="EEC106" s="17"/>
      <c r="EED106" s="17"/>
      <c r="EEE106" s="17"/>
      <c r="EEF106" s="17"/>
      <c r="EEG106" s="17"/>
      <c r="EEH106" s="17"/>
      <c r="EEI106" s="17"/>
      <c r="EEJ106" s="17"/>
      <c r="EEK106" s="17"/>
      <c r="EEL106" s="17"/>
      <c r="EEM106" s="17"/>
      <c r="EEN106" s="17"/>
      <c r="EEO106" s="17"/>
      <c r="EEP106" s="17"/>
      <c r="EEQ106" s="17"/>
      <c r="EER106" s="17"/>
      <c r="EES106" s="17"/>
      <c r="EET106" s="17"/>
      <c r="EEU106" s="17"/>
      <c r="EEV106" s="17"/>
      <c r="EEW106" s="17"/>
      <c r="EEX106" s="17"/>
      <c r="EEY106" s="17"/>
      <c r="EEZ106" s="17"/>
      <c r="EFA106" s="17"/>
      <c r="EFB106" s="17"/>
      <c r="EFC106" s="17"/>
      <c r="EFD106" s="17"/>
      <c r="EFE106" s="17"/>
      <c r="EFF106" s="17"/>
      <c r="EFG106" s="17"/>
      <c r="EFH106" s="17"/>
      <c r="EFI106" s="17"/>
      <c r="EFJ106" s="17"/>
      <c r="EFK106" s="17"/>
      <c r="EFL106" s="17"/>
      <c r="EFM106" s="17"/>
      <c r="EFN106" s="17"/>
      <c r="EFO106" s="17"/>
      <c r="EFP106" s="17"/>
      <c r="EFQ106" s="17"/>
      <c r="EFR106" s="17"/>
      <c r="EFS106" s="17"/>
      <c r="EFT106" s="17"/>
      <c r="EFU106" s="17"/>
      <c r="EFV106" s="17"/>
      <c r="EFW106" s="17"/>
      <c r="EFX106" s="17"/>
      <c r="EFY106" s="17"/>
      <c r="EFZ106" s="17"/>
      <c r="EGA106" s="17"/>
      <c r="EGB106" s="17"/>
      <c r="EGC106" s="17"/>
      <c r="EGD106" s="17"/>
      <c r="EGE106" s="17"/>
      <c r="EGF106" s="17"/>
      <c r="EGG106" s="17"/>
      <c r="EGH106" s="17"/>
      <c r="EGI106" s="17"/>
      <c r="EGJ106" s="17"/>
      <c r="EGK106" s="17"/>
      <c r="EGL106" s="17"/>
      <c r="EGM106" s="17"/>
      <c r="EGN106" s="17"/>
      <c r="EGO106" s="17"/>
      <c r="EGP106" s="17"/>
      <c r="EGQ106" s="17"/>
      <c r="EGR106" s="17"/>
      <c r="EGS106" s="17"/>
      <c r="EGT106" s="17"/>
      <c r="EGU106" s="17"/>
      <c r="EGV106" s="17"/>
      <c r="EGW106" s="17"/>
      <c r="EGX106" s="17"/>
      <c r="EGY106" s="17"/>
      <c r="EGZ106" s="17"/>
      <c r="EHA106" s="17"/>
      <c r="EHB106" s="17"/>
      <c r="EHC106" s="17"/>
      <c r="EHD106" s="17"/>
      <c r="EHE106" s="17"/>
      <c r="EHF106" s="17"/>
      <c r="EHG106" s="17"/>
      <c r="EHH106" s="17"/>
      <c r="EHI106" s="17"/>
      <c r="EHJ106" s="17"/>
      <c r="EHK106" s="17"/>
      <c r="EHL106" s="17"/>
      <c r="EHM106" s="17"/>
      <c r="EHN106" s="17"/>
      <c r="EHO106" s="17"/>
      <c r="EHP106" s="17"/>
      <c r="EHQ106" s="17"/>
      <c r="EHR106" s="17"/>
      <c r="EHS106" s="17"/>
      <c r="EHT106" s="17"/>
      <c r="EHU106" s="17"/>
      <c r="EHV106" s="17"/>
      <c r="EHW106" s="17"/>
      <c r="EHX106" s="17"/>
      <c r="EHY106" s="17"/>
      <c r="EHZ106" s="17"/>
      <c r="EIA106" s="17"/>
      <c r="EIB106" s="17"/>
      <c r="EIC106" s="17"/>
      <c r="EID106" s="17"/>
      <c r="EIE106" s="17"/>
      <c r="EIF106" s="17"/>
      <c r="EIG106" s="17"/>
      <c r="EIH106" s="17"/>
      <c r="EII106" s="17"/>
      <c r="EIJ106" s="17"/>
      <c r="EIK106" s="17"/>
      <c r="EIL106" s="17"/>
      <c r="EIM106" s="17"/>
      <c r="EIN106" s="17"/>
      <c r="EIO106" s="17"/>
      <c r="EIP106" s="17"/>
      <c r="EIQ106" s="17"/>
      <c r="EIR106" s="17"/>
      <c r="EIS106" s="17"/>
      <c r="EIT106" s="17"/>
      <c r="EIU106" s="17"/>
      <c r="EIV106" s="17"/>
      <c r="EIW106" s="17"/>
      <c r="EIX106" s="17"/>
      <c r="EIY106" s="17"/>
      <c r="EIZ106" s="17"/>
      <c r="EJA106" s="17"/>
      <c r="EJB106" s="17"/>
      <c r="EJC106" s="17"/>
      <c r="EJD106" s="17"/>
      <c r="EJE106" s="17"/>
      <c r="EJF106" s="17"/>
      <c r="EJG106" s="17"/>
      <c r="EJH106" s="17"/>
      <c r="EJI106" s="17"/>
      <c r="EJJ106" s="17"/>
      <c r="EJK106" s="17"/>
      <c r="EJL106" s="17"/>
      <c r="EJM106" s="17"/>
      <c r="EJN106" s="17"/>
      <c r="EJO106" s="17"/>
      <c r="EJP106" s="17"/>
      <c r="EJQ106" s="17"/>
      <c r="EJR106" s="17"/>
      <c r="EJS106" s="17"/>
      <c r="EJT106" s="17"/>
      <c r="EJU106" s="17"/>
      <c r="EJV106" s="17"/>
      <c r="EJW106" s="17"/>
      <c r="EJX106" s="17"/>
      <c r="EJY106" s="17"/>
      <c r="EJZ106" s="17"/>
      <c r="EKA106" s="17"/>
      <c r="EKB106" s="17"/>
      <c r="EKC106" s="17"/>
      <c r="EKD106" s="17"/>
      <c r="EKE106" s="17"/>
      <c r="EKF106" s="17"/>
      <c r="EKG106" s="17"/>
      <c r="EKH106" s="17"/>
      <c r="EKI106" s="17"/>
      <c r="EKJ106" s="17"/>
      <c r="EKK106" s="17"/>
      <c r="EKL106" s="17"/>
      <c r="EKM106" s="17"/>
      <c r="EKN106" s="17"/>
      <c r="EKO106" s="17"/>
      <c r="EKP106" s="17"/>
      <c r="EKQ106" s="17"/>
      <c r="EKR106" s="17"/>
      <c r="EKS106" s="17"/>
      <c r="EKT106" s="17"/>
      <c r="EKU106" s="17"/>
      <c r="EKV106" s="17"/>
      <c r="EKW106" s="17"/>
      <c r="EKX106" s="17"/>
      <c r="EKY106" s="17"/>
      <c r="EKZ106" s="17"/>
      <c r="ELA106" s="17"/>
      <c r="ELB106" s="17"/>
      <c r="ELC106" s="17"/>
      <c r="ELD106" s="17"/>
      <c r="ELE106" s="17"/>
      <c r="ELF106" s="17"/>
      <c r="ELG106" s="17"/>
      <c r="ELH106" s="17"/>
      <c r="ELI106" s="17"/>
      <c r="ELJ106" s="17"/>
      <c r="ELK106" s="17"/>
      <c r="ELL106" s="17"/>
      <c r="ELM106" s="17"/>
      <c r="ELN106" s="17"/>
      <c r="ELO106" s="17"/>
      <c r="ELP106" s="17"/>
      <c r="ELQ106" s="17"/>
      <c r="ELR106" s="17"/>
      <c r="ELS106" s="17"/>
      <c r="ELT106" s="17"/>
      <c r="ELU106" s="17"/>
      <c r="ELV106" s="17"/>
      <c r="ELW106" s="17"/>
      <c r="ELX106" s="17"/>
      <c r="ELY106" s="17"/>
      <c r="ELZ106" s="17"/>
      <c r="EMA106" s="17"/>
      <c r="EMB106" s="17"/>
      <c r="EMC106" s="17"/>
      <c r="EMD106" s="17"/>
      <c r="EME106" s="17"/>
      <c r="EMF106" s="17"/>
      <c r="EMG106" s="17"/>
      <c r="EMH106" s="17"/>
      <c r="EMI106" s="17"/>
      <c r="EMJ106" s="17"/>
      <c r="EMK106" s="17"/>
      <c r="EML106" s="17"/>
      <c r="EMM106" s="17"/>
      <c r="EMN106" s="17"/>
      <c r="EMO106" s="17"/>
      <c r="EMP106" s="17"/>
      <c r="EMQ106" s="17"/>
      <c r="EMR106" s="17"/>
      <c r="EMS106" s="17"/>
      <c r="EMT106" s="17"/>
      <c r="EMU106" s="17"/>
      <c r="EMV106" s="17"/>
      <c r="EMW106" s="17"/>
      <c r="EMX106" s="17"/>
      <c r="EMY106" s="17"/>
      <c r="EMZ106" s="17"/>
      <c r="ENA106" s="17"/>
      <c r="ENB106" s="17"/>
      <c r="ENC106" s="17"/>
      <c r="END106" s="17"/>
      <c r="ENE106" s="17"/>
      <c r="ENF106" s="17"/>
      <c r="ENG106" s="17"/>
      <c r="ENH106" s="17"/>
      <c r="ENI106" s="17"/>
      <c r="ENJ106" s="17"/>
      <c r="ENK106" s="17"/>
      <c r="ENL106" s="17"/>
      <c r="ENM106" s="17"/>
      <c r="ENN106" s="17"/>
      <c r="ENO106" s="17"/>
      <c r="ENP106" s="17"/>
      <c r="ENQ106" s="17"/>
      <c r="ENR106" s="17"/>
      <c r="ENS106" s="17"/>
      <c r="ENT106" s="17"/>
      <c r="ENU106" s="17"/>
      <c r="ENV106" s="17"/>
      <c r="ENW106" s="17"/>
      <c r="ENX106" s="17"/>
      <c r="ENY106" s="17"/>
      <c r="ENZ106" s="17"/>
      <c r="EOA106" s="17"/>
      <c r="EOB106" s="17"/>
      <c r="EOC106" s="17"/>
      <c r="EOD106" s="17"/>
      <c r="EOE106" s="17"/>
      <c r="EOF106" s="17"/>
      <c r="EOG106" s="17"/>
      <c r="EOH106" s="17"/>
      <c r="EOI106" s="17"/>
      <c r="EOJ106" s="17"/>
      <c r="EOK106" s="17"/>
      <c r="EOL106" s="17"/>
      <c r="EOM106" s="17"/>
      <c r="EON106" s="17"/>
      <c r="EOO106" s="17"/>
      <c r="EOP106" s="17"/>
      <c r="EOQ106" s="17"/>
      <c r="EOR106" s="17"/>
      <c r="EOS106" s="17"/>
      <c r="EOT106" s="17"/>
      <c r="EOU106" s="17"/>
      <c r="EOV106" s="17"/>
      <c r="EOW106" s="17"/>
      <c r="EOX106" s="17"/>
      <c r="EOY106" s="17"/>
      <c r="EOZ106" s="17"/>
      <c r="EPA106" s="17"/>
      <c r="EPB106" s="17"/>
      <c r="EPC106" s="17"/>
      <c r="EPD106" s="17"/>
      <c r="EPE106" s="17"/>
      <c r="EPF106" s="17"/>
      <c r="EPG106" s="17"/>
      <c r="EPH106" s="17"/>
      <c r="EPI106" s="17"/>
      <c r="EPJ106" s="17"/>
      <c r="EPK106" s="17"/>
      <c r="EPL106" s="17"/>
      <c r="EPM106" s="17"/>
      <c r="EPN106" s="17"/>
      <c r="EPO106" s="17"/>
      <c r="EPP106" s="17"/>
      <c r="EPQ106" s="17"/>
      <c r="EPR106" s="17"/>
      <c r="EPS106" s="17"/>
      <c r="EPT106" s="17"/>
      <c r="EPU106" s="17"/>
      <c r="EPV106" s="17"/>
      <c r="EPW106" s="17"/>
      <c r="EPX106" s="17"/>
      <c r="EPY106" s="17"/>
      <c r="EPZ106" s="17"/>
      <c r="EQA106" s="17"/>
      <c r="EQB106" s="17"/>
      <c r="EQC106" s="17"/>
      <c r="EQD106" s="17"/>
      <c r="EQE106" s="17"/>
      <c r="EQF106" s="17"/>
      <c r="EQG106" s="17"/>
      <c r="EQH106" s="17"/>
      <c r="EQI106" s="17"/>
      <c r="EQJ106" s="17"/>
      <c r="EQK106" s="17"/>
      <c r="EQL106" s="17"/>
      <c r="EQM106" s="17"/>
      <c r="EQN106" s="17"/>
      <c r="EQO106" s="17"/>
      <c r="EQP106" s="17"/>
      <c r="EQQ106" s="17"/>
      <c r="EQR106" s="17"/>
      <c r="EQS106" s="17"/>
      <c r="EQT106" s="17"/>
      <c r="EQU106" s="17"/>
      <c r="EQV106" s="17"/>
      <c r="EQW106" s="17"/>
      <c r="EQX106" s="17"/>
      <c r="EQY106" s="17"/>
      <c r="EQZ106" s="17"/>
      <c r="ERA106" s="17"/>
      <c r="ERB106" s="17"/>
      <c r="ERC106" s="17"/>
      <c r="ERD106" s="17"/>
      <c r="ERE106" s="17"/>
      <c r="ERF106" s="17"/>
      <c r="ERG106" s="17"/>
      <c r="ERH106" s="17"/>
      <c r="ERI106" s="17"/>
      <c r="ERJ106" s="17"/>
      <c r="ERK106" s="17"/>
      <c r="ERL106" s="17"/>
      <c r="ERM106" s="17"/>
      <c r="ERN106" s="17"/>
      <c r="ERO106" s="17"/>
      <c r="ERP106" s="17"/>
      <c r="ERQ106" s="17"/>
      <c r="ERR106" s="17"/>
      <c r="ERS106" s="17"/>
      <c r="ERT106" s="17"/>
      <c r="ERU106" s="17"/>
      <c r="ERV106" s="17"/>
      <c r="ERW106" s="17"/>
      <c r="ERX106" s="17"/>
      <c r="ERY106" s="17"/>
      <c r="ERZ106" s="17"/>
      <c r="ESA106" s="17"/>
      <c r="ESB106" s="17"/>
      <c r="ESC106" s="17"/>
      <c r="ESD106" s="17"/>
      <c r="ESE106" s="17"/>
      <c r="ESF106" s="17"/>
      <c r="ESG106" s="17"/>
      <c r="ESH106" s="17"/>
      <c r="ESI106" s="17"/>
      <c r="ESJ106" s="17"/>
      <c r="ESK106" s="17"/>
      <c r="ESL106" s="17"/>
      <c r="ESM106" s="17"/>
      <c r="ESN106" s="17"/>
      <c r="ESO106" s="17"/>
      <c r="ESP106" s="17"/>
      <c r="ESQ106" s="17"/>
      <c r="ESR106" s="17"/>
      <c r="ESS106" s="17"/>
      <c r="EST106" s="17"/>
      <c r="ESU106" s="17"/>
      <c r="ESV106" s="17"/>
      <c r="ESW106" s="17"/>
      <c r="ESX106" s="17"/>
      <c r="ESY106" s="17"/>
      <c r="ESZ106" s="17"/>
      <c r="ETA106" s="17"/>
      <c r="ETB106" s="17"/>
      <c r="ETC106" s="17"/>
      <c r="ETD106" s="17"/>
      <c r="ETE106" s="17"/>
      <c r="ETF106" s="17"/>
      <c r="ETG106" s="17"/>
      <c r="ETH106" s="17"/>
      <c r="ETI106" s="17"/>
      <c r="ETJ106" s="17"/>
      <c r="ETK106" s="17"/>
      <c r="ETL106" s="17"/>
      <c r="ETM106" s="17"/>
      <c r="ETN106" s="17"/>
      <c r="ETO106" s="17"/>
      <c r="ETP106" s="17"/>
      <c r="ETQ106" s="17"/>
      <c r="ETR106" s="17"/>
      <c r="ETS106" s="17"/>
      <c r="ETT106" s="17"/>
      <c r="ETU106" s="17"/>
      <c r="ETV106" s="17"/>
      <c r="ETW106" s="17"/>
      <c r="ETX106" s="17"/>
      <c r="ETY106" s="17"/>
      <c r="ETZ106" s="17"/>
      <c r="EUA106" s="17"/>
      <c r="EUB106" s="17"/>
      <c r="EUC106" s="17"/>
      <c r="EUD106" s="17"/>
      <c r="EUE106" s="17"/>
      <c r="EUF106" s="17"/>
      <c r="EUG106" s="17"/>
      <c r="EUH106" s="17"/>
      <c r="EUI106" s="17"/>
      <c r="EUJ106" s="17"/>
      <c r="EUK106" s="17"/>
      <c r="EUL106" s="17"/>
      <c r="EUM106" s="17"/>
      <c r="EUN106" s="17"/>
      <c r="EUO106" s="17"/>
      <c r="EUP106" s="17"/>
      <c r="EUQ106" s="17"/>
      <c r="EUR106" s="17"/>
      <c r="EUS106" s="17"/>
      <c r="EUT106" s="17"/>
      <c r="EUU106" s="17"/>
      <c r="EUV106" s="17"/>
      <c r="EUW106" s="17"/>
      <c r="EUX106" s="17"/>
      <c r="EUY106" s="17"/>
      <c r="EUZ106" s="17"/>
      <c r="EVA106" s="17"/>
      <c r="EVB106" s="17"/>
      <c r="EVC106" s="17"/>
      <c r="EVD106" s="17"/>
      <c r="EVE106" s="17"/>
      <c r="EVF106" s="17"/>
      <c r="EVG106" s="17"/>
      <c r="EVH106" s="17"/>
      <c r="EVI106" s="17"/>
      <c r="EVJ106" s="17"/>
      <c r="EVK106" s="17"/>
      <c r="EVL106" s="17"/>
      <c r="EVM106" s="17"/>
      <c r="EVN106" s="17"/>
      <c r="EVO106" s="17"/>
      <c r="EVP106" s="17"/>
      <c r="EVQ106" s="17"/>
      <c r="EVR106" s="17"/>
      <c r="EVS106" s="17"/>
      <c r="EVT106" s="17"/>
      <c r="EVU106" s="17"/>
      <c r="EVV106" s="17"/>
      <c r="EVW106" s="17"/>
      <c r="EVX106" s="17"/>
      <c r="EVY106" s="17"/>
      <c r="EVZ106" s="17"/>
      <c r="EWA106" s="17"/>
      <c r="EWB106" s="17"/>
      <c r="EWC106" s="17"/>
      <c r="EWD106" s="17"/>
      <c r="EWE106" s="17"/>
      <c r="EWF106" s="17"/>
      <c r="EWG106" s="17"/>
      <c r="EWH106" s="17"/>
      <c r="EWI106" s="17"/>
      <c r="EWJ106" s="17"/>
      <c r="EWK106" s="17"/>
      <c r="EWL106" s="17"/>
      <c r="EWM106" s="17"/>
      <c r="EWN106" s="17"/>
      <c r="EWO106" s="17"/>
      <c r="EWP106" s="17"/>
      <c r="EWQ106" s="17"/>
      <c r="EWR106" s="17"/>
      <c r="EWS106" s="17"/>
      <c r="EWT106" s="17"/>
      <c r="EWU106" s="17"/>
      <c r="EWV106" s="17"/>
      <c r="EWW106" s="17"/>
      <c r="EWX106" s="17"/>
      <c r="EWY106" s="17"/>
      <c r="EWZ106" s="17"/>
      <c r="EXA106" s="17"/>
      <c r="EXB106" s="17"/>
      <c r="EXC106" s="17"/>
      <c r="EXD106" s="17"/>
      <c r="EXE106" s="17"/>
      <c r="EXF106" s="17"/>
      <c r="EXG106" s="17"/>
      <c r="EXH106" s="17"/>
      <c r="EXI106" s="17"/>
      <c r="EXJ106" s="17"/>
      <c r="EXK106" s="17"/>
      <c r="EXL106" s="17"/>
      <c r="EXM106" s="17"/>
      <c r="EXN106" s="17"/>
      <c r="EXO106" s="17"/>
      <c r="EXP106" s="17"/>
      <c r="EXQ106" s="17"/>
      <c r="EXR106" s="17"/>
      <c r="EXS106" s="17"/>
      <c r="EXT106" s="17"/>
      <c r="EXU106" s="17"/>
      <c r="EXV106" s="17"/>
      <c r="EXW106" s="17"/>
      <c r="EXX106" s="17"/>
      <c r="EXY106" s="17"/>
      <c r="EXZ106" s="17"/>
      <c r="EYA106" s="17"/>
      <c r="EYB106" s="17"/>
      <c r="EYC106" s="17"/>
      <c r="EYD106" s="17"/>
      <c r="EYE106" s="17"/>
      <c r="EYF106" s="17"/>
      <c r="EYG106" s="17"/>
      <c r="EYH106" s="17"/>
      <c r="EYI106" s="17"/>
      <c r="EYJ106" s="17"/>
      <c r="EYK106" s="17"/>
      <c r="EYL106" s="17"/>
      <c r="EYM106" s="17"/>
      <c r="EYN106" s="17"/>
      <c r="EYO106" s="17"/>
      <c r="EYP106" s="17"/>
      <c r="EYQ106" s="17"/>
      <c r="EYR106" s="17"/>
      <c r="EYS106" s="17"/>
      <c r="EYT106" s="17"/>
      <c r="EYU106" s="17"/>
      <c r="EYV106" s="17"/>
      <c r="EYW106" s="17"/>
      <c r="EYX106" s="17"/>
      <c r="EYY106" s="17"/>
      <c r="EYZ106" s="17"/>
      <c r="EZA106" s="17"/>
      <c r="EZB106" s="17"/>
      <c r="EZC106" s="17"/>
      <c r="EZD106" s="17"/>
      <c r="EZE106" s="17"/>
      <c r="EZF106" s="17"/>
      <c r="EZG106" s="17"/>
      <c r="EZH106" s="17"/>
      <c r="EZI106" s="17"/>
      <c r="EZJ106" s="17"/>
      <c r="EZK106" s="17"/>
      <c r="EZL106" s="17"/>
      <c r="EZM106" s="17"/>
      <c r="EZN106" s="17"/>
      <c r="EZO106" s="17"/>
      <c r="EZP106" s="17"/>
      <c r="EZQ106" s="17"/>
      <c r="EZR106" s="17"/>
      <c r="EZS106" s="17"/>
      <c r="EZT106" s="17"/>
      <c r="EZU106" s="17"/>
      <c r="EZV106" s="17"/>
      <c r="EZW106" s="17"/>
      <c r="EZX106" s="17"/>
      <c r="EZY106" s="17"/>
      <c r="EZZ106" s="17"/>
      <c r="FAA106" s="17"/>
      <c r="FAB106" s="17"/>
      <c r="FAC106" s="17"/>
      <c r="FAD106" s="17"/>
      <c r="FAE106" s="17"/>
      <c r="FAF106" s="17"/>
      <c r="FAG106" s="17"/>
      <c r="FAH106" s="17"/>
      <c r="FAI106" s="17"/>
      <c r="FAJ106" s="17"/>
      <c r="FAK106" s="17"/>
      <c r="FAL106" s="17"/>
      <c r="FAM106" s="17"/>
      <c r="FAN106" s="17"/>
      <c r="FAO106" s="17"/>
      <c r="FAP106" s="17"/>
      <c r="FAQ106" s="17"/>
      <c r="FAR106" s="17"/>
      <c r="FAS106" s="17"/>
      <c r="FAT106" s="17"/>
      <c r="FAU106" s="17"/>
      <c r="FAV106" s="17"/>
      <c r="FAW106" s="17"/>
      <c r="FAX106" s="17"/>
      <c r="FAY106" s="17"/>
      <c r="FAZ106" s="17"/>
      <c r="FBA106" s="17"/>
      <c r="FBB106" s="17"/>
      <c r="FBC106" s="17"/>
      <c r="FBD106" s="17"/>
      <c r="FBE106" s="17"/>
      <c r="FBF106" s="17"/>
      <c r="FBG106" s="17"/>
      <c r="FBH106" s="17"/>
      <c r="FBI106" s="17"/>
      <c r="FBJ106" s="17"/>
      <c r="FBK106" s="17"/>
      <c r="FBL106" s="17"/>
      <c r="FBM106" s="17"/>
      <c r="FBN106" s="17"/>
      <c r="FBO106" s="17"/>
      <c r="FBP106" s="17"/>
      <c r="FBQ106" s="17"/>
      <c r="FBR106" s="17"/>
      <c r="FBS106" s="17"/>
      <c r="FBT106" s="17"/>
      <c r="FBU106" s="17"/>
      <c r="FBV106" s="17"/>
      <c r="FBW106" s="17"/>
      <c r="FBX106" s="17"/>
      <c r="FBY106" s="17"/>
      <c r="FBZ106" s="17"/>
      <c r="FCA106" s="17"/>
      <c r="FCB106" s="17"/>
      <c r="FCC106" s="17"/>
      <c r="FCD106" s="17"/>
      <c r="FCE106" s="17"/>
      <c r="FCF106" s="17"/>
      <c r="FCG106" s="17"/>
      <c r="FCH106" s="17"/>
      <c r="FCI106" s="17"/>
      <c r="FCJ106" s="17"/>
      <c r="FCK106" s="17"/>
      <c r="FCL106" s="17"/>
      <c r="FCM106" s="17"/>
      <c r="FCN106" s="17"/>
      <c r="FCO106" s="17"/>
      <c r="FCP106" s="17"/>
      <c r="FCQ106" s="17"/>
      <c r="FCR106" s="17"/>
      <c r="FCS106" s="17"/>
      <c r="FCT106" s="17"/>
      <c r="FCU106" s="17"/>
      <c r="FCV106" s="17"/>
      <c r="FCW106" s="17"/>
      <c r="FCX106" s="17"/>
      <c r="FCY106" s="17"/>
      <c r="FCZ106" s="17"/>
      <c r="FDA106" s="17"/>
      <c r="FDB106" s="17"/>
      <c r="FDC106" s="17"/>
      <c r="FDD106" s="17"/>
      <c r="FDE106" s="17"/>
      <c r="FDF106" s="17"/>
      <c r="FDG106" s="17"/>
      <c r="FDH106" s="17"/>
      <c r="FDI106" s="17"/>
      <c r="FDJ106" s="17"/>
      <c r="FDK106" s="17"/>
      <c r="FDL106" s="17"/>
      <c r="FDM106" s="17"/>
      <c r="FDN106" s="17"/>
      <c r="FDO106" s="17"/>
      <c r="FDP106" s="17"/>
      <c r="FDQ106" s="17"/>
      <c r="FDR106" s="17"/>
      <c r="FDS106" s="17"/>
      <c r="FDT106" s="17"/>
      <c r="FDU106" s="17"/>
      <c r="FDV106" s="17"/>
      <c r="FDW106" s="17"/>
      <c r="FDX106" s="17"/>
      <c r="FDY106" s="17"/>
      <c r="FDZ106" s="17"/>
      <c r="FEA106" s="17"/>
      <c r="FEB106" s="17"/>
      <c r="FEC106" s="17"/>
      <c r="FED106" s="17"/>
      <c r="FEE106" s="17"/>
      <c r="FEF106" s="17"/>
      <c r="FEG106" s="17"/>
      <c r="FEH106" s="17"/>
      <c r="FEI106" s="17"/>
      <c r="FEJ106" s="17"/>
      <c r="FEK106" s="17"/>
      <c r="FEL106" s="17"/>
      <c r="FEM106" s="17"/>
      <c r="FEN106" s="17"/>
      <c r="FEO106" s="17"/>
      <c r="FEP106" s="17"/>
      <c r="FEQ106" s="17"/>
      <c r="FER106" s="17"/>
      <c r="FES106" s="17"/>
      <c r="FET106" s="17"/>
      <c r="FEU106" s="17"/>
      <c r="FEV106" s="17"/>
      <c r="FEW106" s="17"/>
      <c r="FEX106" s="17"/>
      <c r="FEY106" s="17"/>
      <c r="FEZ106" s="17"/>
      <c r="FFA106" s="17"/>
      <c r="FFB106" s="17"/>
      <c r="FFC106" s="17"/>
      <c r="FFD106" s="17"/>
      <c r="FFE106" s="17"/>
      <c r="FFF106" s="17"/>
      <c r="FFG106" s="17"/>
      <c r="FFH106" s="17"/>
      <c r="FFI106" s="17"/>
      <c r="FFJ106" s="17"/>
      <c r="FFK106" s="17"/>
      <c r="FFL106" s="17"/>
      <c r="FFM106" s="17"/>
      <c r="FFN106" s="17"/>
      <c r="FFO106" s="17"/>
      <c r="FFP106" s="17"/>
      <c r="FFQ106" s="17"/>
      <c r="FFR106" s="17"/>
      <c r="FFS106" s="17"/>
      <c r="FFT106" s="17"/>
      <c r="FFU106" s="17"/>
      <c r="FFV106" s="17"/>
      <c r="FFW106" s="17"/>
      <c r="FFX106" s="17"/>
      <c r="FFY106" s="17"/>
      <c r="FFZ106" s="17"/>
      <c r="FGA106" s="17"/>
      <c r="FGB106" s="17"/>
      <c r="FGC106" s="17"/>
      <c r="FGD106" s="17"/>
      <c r="FGE106" s="17"/>
      <c r="FGF106" s="17"/>
      <c r="FGG106" s="17"/>
      <c r="FGH106" s="17"/>
      <c r="FGI106" s="17"/>
      <c r="FGJ106" s="17"/>
      <c r="FGK106" s="17"/>
      <c r="FGL106" s="17"/>
      <c r="FGM106" s="17"/>
      <c r="FGN106" s="17"/>
      <c r="FGO106" s="17"/>
      <c r="FGP106" s="17"/>
      <c r="FGQ106" s="17"/>
      <c r="FGR106" s="17"/>
      <c r="FGS106" s="17"/>
      <c r="FGT106" s="17"/>
      <c r="FGU106" s="17"/>
      <c r="FGV106" s="17"/>
      <c r="FGW106" s="17"/>
      <c r="FGX106" s="17"/>
      <c r="FGY106" s="17"/>
      <c r="FGZ106" s="17"/>
      <c r="FHA106" s="17"/>
      <c r="FHB106" s="17"/>
      <c r="FHC106" s="17"/>
      <c r="FHD106" s="17"/>
      <c r="FHE106" s="17"/>
      <c r="FHF106" s="17"/>
      <c r="FHG106" s="17"/>
      <c r="FHH106" s="17"/>
      <c r="FHI106" s="17"/>
      <c r="FHJ106" s="17"/>
      <c r="FHK106" s="17"/>
      <c r="FHL106" s="17"/>
      <c r="FHM106" s="17"/>
      <c r="FHN106" s="17"/>
      <c r="FHO106" s="17"/>
      <c r="FHP106" s="17"/>
      <c r="FHQ106" s="17"/>
      <c r="FHR106" s="17"/>
      <c r="FHS106" s="17"/>
      <c r="FHT106" s="17"/>
      <c r="FHU106" s="17"/>
      <c r="FHV106" s="17"/>
      <c r="FHW106" s="17"/>
      <c r="FHX106" s="17"/>
      <c r="FHY106" s="17"/>
      <c r="FHZ106" s="17"/>
      <c r="FIA106" s="17"/>
      <c r="FIB106" s="17"/>
      <c r="FIC106" s="17"/>
      <c r="FID106" s="17"/>
      <c r="FIE106" s="17"/>
      <c r="FIF106" s="17"/>
      <c r="FIG106" s="17"/>
      <c r="FIH106" s="17"/>
      <c r="FII106" s="17"/>
      <c r="FIJ106" s="17"/>
      <c r="FIK106" s="17"/>
      <c r="FIL106" s="17"/>
      <c r="FIM106" s="17"/>
      <c r="FIN106" s="17"/>
      <c r="FIO106" s="17"/>
      <c r="FIP106" s="17"/>
      <c r="FIQ106" s="17"/>
      <c r="FIR106" s="17"/>
      <c r="FIS106" s="17"/>
      <c r="FIT106" s="17"/>
      <c r="FIU106" s="17"/>
      <c r="FIV106" s="17"/>
      <c r="FIW106" s="17"/>
      <c r="FIX106" s="17"/>
      <c r="FIY106" s="17"/>
      <c r="FIZ106" s="17"/>
      <c r="FJA106" s="17"/>
      <c r="FJB106" s="17"/>
      <c r="FJC106" s="17"/>
      <c r="FJD106" s="17"/>
      <c r="FJE106" s="17"/>
      <c r="FJF106" s="17"/>
      <c r="FJG106" s="17"/>
      <c r="FJH106" s="17"/>
      <c r="FJI106" s="17"/>
      <c r="FJJ106" s="17"/>
      <c r="FJK106" s="17"/>
      <c r="FJL106" s="17"/>
      <c r="FJM106" s="17"/>
      <c r="FJN106" s="17"/>
      <c r="FJO106" s="17"/>
      <c r="FJP106" s="17"/>
      <c r="FJQ106" s="17"/>
      <c r="FJR106" s="17"/>
      <c r="FJS106" s="17"/>
      <c r="FJT106" s="17"/>
      <c r="FJU106" s="17"/>
      <c r="FJV106" s="17"/>
      <c r="FJW106" s="17"/>
      <c r="FJX106" s="17"/>
      <c r="FJY106" s="17"/>
      <c r="FJZ106" s="17"/>
      <c r="FKA106" s="17"/>
      <c r="FKB106" s="17"/>
      <c r="FKC106" s="17"/>
      <c r="FKD106" s="17"/>
      <c r="FKE106" s="17"/>
      <c r="FKF106" s="17"/>
      <c r="FKG106" s="17"/>
      <c r="FKH106" s="17"/>
      <c r="FKI106" s="17"/>
      <c r="FKJ106" s="17"/>
      <c r="FKK106" s="17"/>
      <c r="FKL106" s="17"/>
      <c r="FKM106" s="17"/>
      <c r="FKN106" s="17"/>
      <c r="FKO106" s="17"/>
      <c r="FKP106" s="17"/>
      <c r="FKQ106" s="17"/>
      <c r="FKR106" s="17"/>
      <c r="FKS106" s="17"/>
      <c r="FKT106" s="17"/>
      <c r="FKU106" s="17"/>
      <c r="FKV106" s="17"/>
      <c r="FKW106" s="17"/>
      <c r="FKX106" s="17"/>
      <c r="FKY106" s="17"/>
      <c r="FKZ106" s="17"/>
      <c r="FLA106" s="17"/>
      <c r="FLB106" s="17"/>
      <c r="FLC106" s="17"/>
      <c r="FLD106" s="17"/>
      <c r="FLE106" s="17"/>
      <c r="FLF106" s="17"/>
      <c r="FLG106" s="17"/>
      <c r="FLH106" s="17"/>
      <c r="FLI106" s="17"/>
      <c r="FLJ106" s="17"/>
      <c r="FLK106" s="17"/>
      <c r="FLL106" s="17"/>
      <c r="FLM106" s="17"/>
      <c r="FLN106" s="17"/>
      <c r="FLO106" s="17"/>
      <c r="FLP106" s="17"/>
      <c r="FLQ106" s="17"/>
      <c r="FLR106" s="17"/>
      <c r="FLS106" s="17"/>
      <c r="FLT106" s="17"/>
      <c r="FLU106" s="17"/>
      <c r="FLV106" s="17"/>
      <c r="FLW106" s="17"/>
      <c r="FLX106" s="17"/>
      <c r="FLY106" s="17"/>
      <c r="FLZ106" s="17"/>
      <c r="FMA106" s="17"/>
      <c r="FMB106" s="17"/>
      <c r="FMC106" s="17"/>
      <c r="FMD106" s="17"/>
      <c r="FME106" s="17"/>
      <c r="FMF106" s="17"/>
      <c r="FMG106" s="17"/>
      <c r="FMH106" s="17"/>
      <c r="FMI106" s="17"/>
      <c r="FMJ106" s="17"/>
      <c r="FMK106" s="17"/>
      <c r="FML106" s="17"/>
      <c r="FMM106" s="17"/>
      <c r="FMN106" s="17"/>
      <c r="FMO106" s="17"/>
      <c r="FMP106" s="17"/>
      <c r="FMQ106" s="17"/>
      <c r="FMR106" s="17"/>
      <c r="FMS106" s="17"/>
      <c r="FMT106" s="17"/>
      <c r="FMU106" s="17"/>
      <c r="FMV106" s="17"/>
      <c r="FMW106" s="17"/>
      <c r="FMX106" s="17"/>
      <c r="FMY106" s="17"/>
      <c r="FMZ106" s="17"/>
      <c r="FNA106" s="17"/>
      <c r="FNB106" s="17"/>
      <c r="FNC106" s="17"/>
      <c r="FND106" s="17"/>
      <c r="FNE106" s="17"/>
      <c r="FNF106" s="17"/>
      <c r="FNG106" s="17"/>
      <c r="FNH106" s="17"/>
      <c r="FNI106" s="17"/>
      <c r="FNJ106" s="17"/>
      <c r="FNK106" s="17"/>
      <c r="FNL106" s="17"/>
      <c r="FNM106" s="17"/>
      <c r="FNN106" s="17"/>
      <c r="FNO106" s="17"/>
      <c r="FNP106" s="17"/>
      <c r="FNQ106" s="17"/>
      <c r="FNR106" s="17"/>
      <c r="FNS106" s="17"/>
      <c r="FNT106" s="17"/>
      <c r="FNU106" s="17"/>
      <c r="FNV106" s="17"/>
      <c r="FNW106" s="17"/>
      <c r="FNX106" s="17"/>
      <c r="FNY106" s="17"/>
      <c r="FNZ106" s="17"/>
      <c r="FOA106" s="17"/>
      <c r="FOB106" s="17"/>
      <c r="FOC106" s="17"/>
      <c r="FOD106" s="17"/>
      <c r="FOE106" s="17"/>
      <c r="FOF106" s="17"/>
      <c r="FOG106" s="17"/>
      <c r="FOH106" s="17"/>
      <c r="FOI106" s="17"/>
      <c r="FOJ106" s="17"/>
      <c r="FOK106" s="17"/>
      <c r="FOL106" s="17"/>
      <c r="FOM106" s="17"/>
      <c r="FON106" s="17"/>
      <c r="FOO106" s="17"/>
      <c r="FOP106" s="17"/>
      <c r="FOQ106" s="17"/>
      <c r="FOR106" s="17"/>
      <c r="FOS106" s="17"/>
      <c r="FOT106" s="17"/>
      <c r="FOU106" s="17"/>
      <c r="FOV106" s="17"/>
      <c r="FOW106" s="17"/>
      <c r="FOX106" s="17"/>
      <c r="FOY106" s="17"/>
      <c r="FOZ106" s="17"/>
      <c r="FPA106" s="17"/>
      <c r="FPB106" s="17"/>
      <c r="FPC106" s="17"/>
      <c r="FPD106" s="17"/>
      <c r="FPE106" s="17"/>
      <c r="FPF106" s="17"/>
      <c r="FPG106" s="17"/>
      <c r="FPH106" s="17"/>
      <c r="FPI106" s="17"/>
      <c r="FPJ106" s="17"/>
      <c r="FPK106" s="17"/>
      <c r="FPL106" s="17"/>
      <c r="FPM106" s="17"/>
      <c r="FPN106" s="17"/>
      <c r="FPO106" s="17"/>
      <c r="FPP106" s="17"/>
      <c r="FPQ106" s="17"/>
      <c r="FPR106" s="17"/>
      <c r="FPS106" s="17"/>
      <c r="FPT106" s="17"/>
      <c r="FPU106" s="17"/>
      <c r="FPV106" s="17"/>
      <c r="FPW106" s="17"/>
      <c r="FPX106" s="17"/>
      <c r="FPY106" s="17"/>
      <c r="FPZ106" s="17"/>
      <c r="FQA106" s="17"/>
      <c r="FQB106" s="17"/>
      <c r="FQC106" s="17"/>
      <c r="FQD106" s="17"/>
      <c r="FQE106" s="17"/>
      <c r="FQF106" s="17"/>
      <c r="FQG106" s="17"/>
      <c r="FQH106" s="17"/>
      <c r="FQI106" s="17"/>
      <c r="FQJ106" s="17"/>
      <c r="FQK106" s="17"/>
      <c r="FQL106" s="17"/>
      <c r="FQM106" s="17"/>
      <c r="FQN106" s="17"/>
      <c r="FQO106" s="17"/>
      <c r="FQP106" s="17"/>
      <c r="FQQ106" s="17"/>
      <c r="FQR106" s="17"/>
      <c r="FQS106" s="17"/>
      <c r="FQT106" s="17"/>
      <c r="FQU106" s="17"/>
      <c r="FQV106" s="17"/>
      <c r="FQW106" s="17"/>
      <c r="FQX106" s="17"/>
      <c r="FQY106" s="17"/>
      <c r="FQZ106" s="17"/>
      <c r="FRA106" s="17"/>
      <c r="FRB106" s="17"/>
      <c r="FRC106" s="17"/>
      <c r="FRD106" s="17"/>
      <c r="FRE106" s="17"/>
      <c r="FRF106" s="17"/>
      <c r="FRG106" s="17"/>
      <c r="FRH106" s="17"/>
      <c r="FRI106" s="17"/>
      <c r="FRJ106" s="17"/>
      <c r="FRK106" s="17"/>
      <c r="FRL106" s="17"/>
      <c r="FRM106" s="17"/>
      <c r="FRN106" s="17"/>
      <c r="FRO106" s="17"/>
      <c r="FRP106" s="17"/>
      <c r="FRQ106" s="17"/>
      <c r="FRR106" s="17"/>
      <c r="FRS106" s="17"/>
      <c r="FRT106" s="17"/>
      <c r="FRU106" s="17"/>
      <c r="FRV106" s="17"/>
      <c r="FRW106" s="17"/>
      <c r="FRX106" s="17"/>
      <c r="FRY106" s="17"/>
      <c r="FRZ106" s="17"/>
      <c r="FSA106" s="17"/>
      <c r="FSB106" s="17"/>
      <c r="FSC106" s="17"/>
      <c r="FSD106" s="17"/>
      <c r="FSE106" s="17"/>
      <c r="FSF106" s="17"/>
      <c r="FSG106" s="17"/>
      <c r="FSH106" s="17"/>
      <c r="FSI106" s="17"/>
      <c r="FSJ106" s="17"/>
      <c r="FSK106" s="17"/>
      <c r="FSL106" s="17"/>
      <c r="FSM106" s="17"/>
      <c r="FSN106" s="17"/>
      <c r="FSO106" s="17"/>
      <c r="FSP106" s="17"/>
      <c r="FSQ106" s="17"/>
      <c r="FSR106" s="17"/>
      <c r="FSS106" s="17"/>
      <c r="FST106" s="17"/>
      <c r="FSU106" s="17"/>
      <c r="FSV106" s="17"/>
      <c r="FSW106" s="17"/>
      <c r="FSX106" s="17"/>
      <c r="FSY106" s="17"/>
      <c r="FSZ106" s="17"/>
      <c r="FTA106" s="17"/>
      <c r="FTB106" s="17"/>
      <c r="FTC106" s="17"/>
      <c r="FTD106" s="17"/>
      <c r="FTE106" s="17"/>
      <c r="FTF106" s="17"/>
      <c r="FTG106" s="17"/>
      <c r="FTH106" s="17"/>
      <c r="FTI106" s="17"/>
      <c r="FTJ106" s="17"/>
      <c r="FTK106" s="17"/>
      <c r="FTL106" s="17"/>
      <c r="FTM106" s="17"/>
      <c r="FTN106" s="17"/>
      <c r="FTO106" s="17"/>
      <c r="FTP106" s="17"/>
      <c r="FTQ106" s="17"/>
      <c r="FTR106" s="17"/>
      <c r="FTS106" s="17"/>
      <c r="FTT106" s="17"/>
      <c r="FTU106" s="17"/>
      <c r="FTV106" s="17"/>
      <c r="FTW106" s="17"/>
      <c r="FTX106" s="17"/>
      <c r="FTY106" s="17"/>
      <c r="FTZ106" s="17"/>
      <c r="FUA106" s="17"/>
      <c r="FUB106" s="17"/>
      <c r="FUC106" s="17"/>
      <c r="FUD106" s="17"/>
      <c r="FUE106" s="17"/>
      <c r="FUF106" s="17"/>
      <c r="FUG106" s="17"/>
      <c r="FUH106" s="17"/>
      <c r="FUI106" s="17"/>
      <c r="FUJ106" s="17"/>
      <c r="FUK106" s="17"/>
      <c r="FUL106" s="17"/>
      <c r="FUM106" s="17"/>
      <c r="FUN106" s="17"/>
      <c r="FUO106" s="17"/>
      <c r="FUP106" s="17"/>
      <c r="FUQ106" s="17"/>
      <c r="FUR106" s="17"/>
      <c r="FUS106" s="17"/>
      <c r="FUT106" s="17"/>
      <c r="FUU106" s="17"/>
      <c r="FUV106" s="17"/>
      <c r="FUW106" s="17"/>
      <c r="FUX106" s="17"/>
      <c r="FUY106" s="17"/>
      <c r="FUZ106" s="17"/>
      <c r="FVA106" s="17"/>
      <c r="FVB106" s="17"/>
      <c r="FVC106" s="17"/>
      <c r="FVD106" s="17"/>
      <c r="FVE106" s="17"/>
      <c r="FVF106" s="17"/>
      <c r="FVG106" s="17"/>
      <c r="FVH106" s="17"/>
      <c r="FVI106" s="17"/>
      <c r="FVJ106" s="17"/>
      <c r="FVK106" s="17"/>
      <c r="FVL106" s="17"/>
      <c r="FVM106" s="17"/>
      <c r="FVN106" s="17"/>
      <c r="FVO106" s="17"/>
      <c r="FVP106" s="17"/>
      <c r="FVQ106" s="17"/>
      <c r="FVR106" s="17"/>
      <c r="FVS106" s="17"/>
      <c r="FVT106" s="17"/>
      <c r="FVU106" s="17"/>
      <c r="FVV106" s="17"/>
      <c r="FVW106" s="17"/>
      <c r="FVX106" s="17"/>
      <c r="FVY106" s="17"/>
      <c r="FVZ106" s="17"/>
      <c r="FWA106" s="17"/>
      <c r="FWB106" s="17"/>
      <c r="FWC106" s="17"/>
      <c r="FWD106" s="17"/>
      <c r="FWE106" s="17"/>
      <c r="FWF106" s="17"/>
      <c r="FWG106" s="17"/>
      <c r="FWH106" s="17"/>
      <c r="FWI106" s="17"/>
      <c r="FWJ106" s="17"/>
      <c r="FWK106" s="17"/>
      <c r="FWL106" s="17"/>
      <c r="FWM106" s="17"/>
      <c r="FWN106" s="17"/>
      <c r="FWO106" s="17"/>
      <c r="FWP106" s="17"/>
      <c r="FWQ106" s="17"/>
      <c r="FWR106" s="17"/>
      <c r="FWS106" s="17"/>
      <c r="FWT106" s="17"/>
      <c r="FWU106" s="17"/>
      <c r="FWV106" s="17"/>
      <c r="FWW106" s="17"/>
      <c r="FWX106" s="17"/>
      <c r="FWY106" s="17"/>
      <c r="FWZ106" s="17"/>
      <c r="FXA106" s="17"/>
      <c r="FXB106" s="17"/>
      <c r="FXC106" s="17"/>
      <c r="FXD106" s="17"/>
      <c r="FXE106" s="17"/>
      <c r="FXF106" s="17"/>
      <c r="FXG106" s="17"/>
      <c r="FXH106" s="17"/>
      <c r="FXI106" s="17"/>
      <c r="FXJ106" s="17"/>
      <c r="FXK106" s="17"/>
      <c r="FXL106" s="17"/>
      <c r="FXM106" s="17"/>
      <c r="FXN106" s="17"/>
      <c r="FXO106" s="17"/>
      <c r="FXP106" s="17"/>
      <c r="FXQ106" s="17"/>
      <c r="FXR106" s="17"/>
      <c r="FXS106" s="17"/>
      <c r="FXT106" s="17"/>
      <c r="FXU106" s="17"/>
      <c r="FXV106" s="17"/>
      <c r="FXW106" s="17"/>
      <c r="FXX106" s="17"/>
      <c r="FXY106" s="17"/>
      <c r="FXZ106" s="17"/>
      <c r="FYA106" s="17"/>
      <c r="FYB106" s="17"/>
      <c r="FYC106" s="17"/>
      <c r="FYD106" s="17"/>
      <c r="FYE106" s="17"/>
      <c r="FYF106" s="17"/>
      <c r="FYG106" s="17"/>
      <c r="FYH106" s="17"/>
      <c r="FYI106" s="17"/>
      <c r="FYJ106" s="17"/>
      <c r="FYK106" s="17"/>
      <c r="FYL106" s="17"/>
      <c r="FYM106" s="17"/>
      <c r="FYN106" s="17"/>
      <c r="FYO106" s="17"/>
      <c r="FYP106" s="17"/>
      <c r="FYQ106" s="17"/>
      <c r="FYR106" s="17"/>
      <c r="FYS106" s="17"/>
      <c r="FYT106" s="17"/>
      <c r="FYU106" s="17"/>
      <c r="FYV106" s="17"/>
      <c r="FYW106" s="17"/>
      <c r="FYX106" s="17"/>
      <c r="FYY106" s="17"/>
      <c r="FYZ106" s="17"/>
      <c r="FZA106" s="17"/>
      <c r="FZB106" s="17"/>
      <c r="FZC106" s="17"/>
      <c r="FZD106" s="17"/>
      <c r="FZE106" s="17"/>
      <c r="FZF106" s="17"/>
      <c r="FZG106" s="17"/>
      <c r="FZH106" s="17"/>
      <c r="FZI106" s="17"/>
      <c r="FZJ106" s="17"/>
      <c r="FZK106" s="17"/>
      <c r="FZL106" s="17"/>
      <c r="FZM106" s="17"/>
      <c r="FZN106" s="17"/>
      <c r="FZO106" s="17"/>
      <c r="FZP106" s="17"/>
      <c r="FZQ106" s="17"/>
      <c r="FZR106" s="17"/>
      <c r="FZS106" s="17"/>
      <c r="FZT106" s="17"/>
      <c r="FZU106" s="17"/>
      <c r="FZV106" s="17"/>
      <c r="FZW106" s="17"/>
      <c r="FZX106" s="17"/>
      <c r="FZY106" s="17"/>
      <c r="FZZ106" s="17"/>
      <c r="GAA106" s="17"/>
      <c r="GAB106" s="17"/>
      <c r="GAC106" s="17"/>
      <c r="GAD106" s="17"/>
      <c r="GAE106" s="17"/>
      <c r="GAF106" s="17"/>
      <c r="GAG106" s="17"/>
      <c r="GAH106" s="17"/>
      <c r="GAI106" s="17"/>
      <c r="GAJ106" s="17"/>
      <c r="GAK106" s="17"/>
      <c r="GAL106" s="17"/>
      <c r="GAM106" s="17"/>
      <c r="GAN106" s="17"/>
      <c r="GAO106" s="17"/>
      <c r="GAP106" s="17"/>
      <c r="GAQ106" s="17"/>
      <c r="GAR106" s="17"/>
      <c r="GAS106" s="17"/>
      <c r="GAT106" s="17"/>
      <c r="GAU106" s="17"/>
      <c r="GAV106" s="17"/>
      <c r="GAW106" s="17"/>
      <c r="GAX106" s="17"/>
      <c r="GAY106" s="17"/>
      <c r="GAZ106" s="17"/>
      <c r="GBA106" s="17"/>
      <c r="GBB106" s="17"/>
      <c r="GBC106" s="17"/>
      <c r="GBD106" s="17"/>
      <c r="GBE106" s="17"/>
      <c r="GBF106" s="17"/>
      <c r="GBG106" s="17"/>
      <c r="GBH106" s="17"/>
      <c r="GBI106" s="17"/>
      <c r="GBJ106" s="17"/>
      <c r="GBK106" s="17"/>
      <c r="GBL106" s="17"/>
      <c r="GBM106" s="17"/>
      <c r="GBN106" s="17"/>
      <c r="GBO106" s="17"/>
      <c r="GBP106" s="17"/>
      <c r="GBQ106" s="17"/>
      <c r="GBR106" s="17"/>
      <c r="GBS106" s="17"/>
      <c r="GBT106" s="17"/>
      <c r="GBU106" s="17"/>
      <c r="GBV106" s="17"/>
      <c r="GBW106" s="17"/>
      <c r="GBX106" s="17"/>
      <c r="GBY106" s="17"/>
      <c r="GBZ106" s="17"/>
      <c r="GCA106" s="17"/>
      <c r="GCB106" s="17"/>
      <c r="GCC106" s="17"/>
      <c r="GCD106" s="17"/>
      <c r="GCE106" s="17"/>
      <c r="GCF106" s="17"/>
      <c r="GCG106" s="17"/>
      <c r="GCH106" s="17"/>
      <c r="GCI106" s="17"/>
      <c r="GCJ106" s="17"/>
      <c r="GCK106" s="17"/>
      <c r="GCL106" s="17"/>
      <c r="GCM106" s="17"/>
      <c r="GCN106" s="17"/>
      <c r="GCO106" s="17"/>
      <c r="GCP106" s="17"/>
      <c r="GCQ106" s="17"/>
      <c r="GCR106" s="17"/>
      <c r="GCS106" s="17"/>
      <c r="GCT106" s="17"/>
      <c r="GCU106" s="17"/>
      <c r="GCV106" s="17"/>
      <c r="GCW106" s="17"/>
      <c r="GCX106" s="17"/>
      <c r="GCY106" s="17"/>
      <c r="GCZ106" s="17"/>
      <c r="GDA106" s="17"/>
      <c r="GDB106" s="17"/>
      <c r="GDC106" s="17"/>
      <c r="GDD106" s="17"/>
      <c r="GDE106" s="17"/>
      <c r="GDF106" s="17"/>
      <c r="GDG106" s="17"/>
      <c r="GDH106" s="17"/>
      <c r="GDI106" s="17"/>
      <c r="GDJ106" s="17"/>
      <c r="GDK106" s="17"/>
      <c r="GDL106" s="17"/>
      <c r="GDM106" s="17"/>
      <c r="GDN106" s="17"/>
      <c r="GDO106" s="17"/>
      <c r="GDP106" s="17"/>
      <c r="GDQ106" s="17"/>
      <c r="GDR106" s="17"/>
      <c r="GDS106" s="17"/>
      <c r="GDT106" s="17"/>
      <c r="GDU106" s="17"/>
      <c r="GDV106" s="17"/>
      <c r="GDW106" s="17"/>
      <c r="GDX106" s="17"/>
      <c r="GDY106" s="17"/>
      <c r="GDZ106" s="17"/>
      <c r="GEA106" s="17"/>
      <c r="GEB106" s="17"/>
      <c r="GEC106" s="17"/>
      <c r="GED106" s="17"/>
      <c r="GEE106" s="17"/>
      <c r="GEF106" s="17"/>
      <c r="GEG106" s="17"/>
      <c r="GEH106" s="17"/>
      <c r="GEI106" s="17"/>
      <c r="GEJ106" s="17"/>
      <c r="GEK106" s="17"/>
      <c r="GEL106" s="17"/>
      <c r="GEM106" s="17"/>
      <c r="GEN106" s="17"/>
      <c r="GEO106" s="17"/>
      <c r="GEP106" s="17"/>
      <c r="GEQ106" s="17"/>
      <c r="GER106" s="17"/>
      <c r="GES106" s="17"/>
      <c r="GET106" s="17"/>
      <c r="GEU106" s="17"/>
      <c r="GEV106" s="17"/>
      <c r="GEW106" s="17"/>
      <c r="GEX106" s="17"/>
      <c r="GEY106" s="17"/>
      <c r="GEZ106" s="17"/>
      <c r="GFA106" s="17"/>
      <c r="GFB106" s="17"/>
      <c r="GFC106" s="17"/>
      <c r="GFD106" s="17"/>
      <c r="GFE106" s="17"/>
      <c r="GFF106" s="17"/>
      <c r="GFG106" s="17"/>
      <c r="GFH106" s="17"/>
      <c r="GFI106" s="17"/>
      <c r="GFJ106" s="17"/>
      <c r="GFK106" s="17"/>
      <c r="GFL106" s="17"/>
      <c r="GFM106" s="17"/>
      <c r="GFN106" s="17"/>
      <c r="GFO106" s="17"/>
      <c r="GFP106" s="17"/>
      <c r="GFQ106" s="17"/>
      <c r="GFR106" s="17"/>
      <c r="GFS106" s="17"/>
      <c r="GFT106" s="17"/>
      <c r="GFU106" s="17"/>
      <c r="GFV106" s="17"/>
      <c r="GFW106" s="17"/>
      <c r="GFX106" s="17"/>
      <c r="GFY106" s="17"/>
      <c r="GFZ106" s="17"/>
      <c r="GGA106" s="17"/>
      <c r="GGB106" s="17"/>
      <c r="GGC106" s="17"/>
      <c r="GGD106" s="17"/>
      <c r="GGE106" s="17"/>
      <c r="GGF106" s="17"/>
      <c r="GGG106" s="17"/>
      <c r="GGH106" s="17"/>
      <c r="GGI106" s="17"/>
      <c r="GGJ106" s="17"/>
      <c r="GGK106" s="17"/>
      <c r="GGL106" s="17"/>
      <c r="GGM106" s="17"/>
      <c r="GGN106" s="17"/>
      <c r="GGO106" s="17"/>
      <c r="GGP106" s="17"/>
      <c r="GGQ106" s="17"/>
      <c r="GGR106" s="17"/>
      <c r="GGS106" s="17"/>
      <c r="GGT106" s="17"/>
      <c r="GGU106" s="17"/>
      <c r="GGV106" s="17"/>
      <c r="GGW106" s="17"/>
      <c r="GGX106" s="17"/>
      <c r="GGY106" s="17"/>
      <c r="GGZ106" s="17"/>
      <c r="GHA106" s="17"/>
      <c r="GHB106" s="17"/>
      <c r="GHC106" s="17"/>
      <c r="GHD106" s="17"/>
      <c r="GHE106" s="17"/>
      <c r="GHF106" s="17"/>
      <c r="GHG106" s="17"/>
      <c r="GHH106" s="17"/>
      <c r="GHI106" s="17"/>
      <c r="GHJ106" s="17"/>
      <c r="GHK106" s="17"/>
      <c r="GHL106" s="17"/>
      <c r="GHM106" s="17"/>
      <c r="GHN106" s="17"/>
      <c r="GHO106" s="17"/>
      <c r="GHP106" s="17"/>
      <c r="GHQ106" s="17"/>
      <c r="GHR106" s="17"/>
      <c r="GHS106" s="17"/>
      <c r="GHT106" s="17"/>
      <c r="GHU106" s="17"/>
      <c r="GHV106" s="17"/>
      <c r="GHW106" s="17"/>
      <c r="GHX106" s="17"/>
      <c r="GHY106" s="17"/>
      <c r="GHZ106" s="17"/>
      <c r="GIA106" s="17"/>
      <c r="GIB106" s="17"/>
      <c r="GIC106" s="17"/>
      <c r="GID106" s="17"/>
      <c r="GIE106" s="17"/>
      <c r="GIF106" s="17"/>
      <c r="GIG106" s="17"/>
      <c r="GIH106" s="17"/>
      <c r="GII106" s="17"/>
      <c r="GIJ106" s="17"/>
      <c r="GIK106" s="17"/>
      <c r="GIL106" s="17"/>
      <c r="GIM106" s="17"/>
      <c r="GIN106" s="17"/>
      <c r="GIO106" s="17"/>
      <c r="GIP106" s="17"/>
      <c r="GIQ106" s="17"/>
      <c r="GIR106" s="17"/>
      <c r="GIS106" s="17"/>
      <c r="GIT106" s="17"/>
      <c r="GIU106" s="17"/>
      <c r="GIV106" s="17"/>
      <c r="GIW106" s="17"/>
      <c r="GIX106" s="17"/>
      <c r="GIY106" s="17"/>
      <c r="GIZ106" s="17"/>
      <c r="GJA106" s="17"/>
      <c r="GJB106" s="17"/>
      <c r="GJC106" s="17"/>
      <c r="GJD106" s="17"/>
      <c r="GJE106" s="17"/>
      <c r="GJF106" s="17"/>
      <c r="GJG106" s="17"/>
      <c r="GJH106" s="17"/>
      <c r="GJI106" s="17"/>
      <c r="GJJ106" s="17"/>
      <c r="GJK106" s="17"/>
      <c r="GJL106" s="17"/>
      <c r="GJM106" s="17"/>
      <c r="GJN106" s="17"/>
      <c r="GJO106" s="17"/>
      <c r="GJP106" s="17"/>
      <c r="GJQ106" s="17"/>
      <c r="GJR106" s="17"/>
      <c r="GJS106" s="17"/>
      <c r="GJT106" s="17"/>
      <c r="GJU106" s="17"/>
      <c r="GJV106" s="17"/>
      <c r="GJW106" s="17"/>
      <c r="GJX106" s="17"/>
      <c r="GJY106" s="17"/>
      <c r="GJZ106" s="17"/>
      <c r="GKA106" s="17"/>
      <c r="GKB106" s="17"/>
      <c r="GKC106" s="17"/>
      <c r="GKD106" s="17"/>
      <c r="GKE106" s="17"/>
      <c r="GKF106" s="17"/>
      <c r="GKG106" s="17"/>
      <c r="GKH106" s="17"/>
      <c r="GKI106" s="17"/>
      <c r="GKJ106" s="17"/>
      <c r="GKK106" s="17"/>
      <c r="GKL106" s="17"/>
      <c r="GKM106" s="17"/>
      <c r="GKN106" s="17"/>
      <c r="GKO106" s="17"/>
      <c r="GKP106" s="17"/>
      <c r="GKQ106" s="17"/>
      <c r="GKR106" s="17"/>
      <c r="GKS106" s="17"/>
      <c r="GKT106" s="17"/>
      <c r="GKU106" s="17"/>
      <c r="GKV106" s="17"/>
      <c r="GKW106" s="17"/>
      <c r="GKX106" s="17"/>
      <c r="GKY106" s="17"/>
      <c r="GKZ106" s="17"/>
      <c r="GLA106" s="17"/>
      <c r="GLB106" s="17"/>
      <c r="GLC106" s="17"/>
      <c r="GLD106" s="17"/>
      <c r="GLE106" s="17"/>
      <c r="GLF106" s="17"/>
      <c r="GLG106" s="17"/>
      <c r="GLH106" s="17"/>
      <c r="GLI106" s="17"/>
      <c r="GLJ106" s="17"/>
      <c r="GLK106" s="17"/>
      <c r="GLL106" s="17"/>
      <c r="GLM106" s="17"/>
      <c r="GLN106" s="17"/>
      <c r="GLO106" s="17"/>
      <c r="GLP106" s="17"/>
      <c r="GLQ106" s="17"/>
      <c r="GLR106" s="17"/>
      <c r="GLS106" s="17"/>
      <c r="GLT106" s="17"/>
      <c r="GLU106" s="17"/>
      <c r="GLV106" s="17"/>
      <c r="GLW106" s="17"/>
      <c r="GLX106" s="17"/>
      <c r="GLY106" s="17"/>
      <c r="GLZ106" s="17"/>
      <c r="GMA106" s="17"/>
      <c r="GMB106" s="17"/>
      <c r="GMC106" s="17"/>
      <c r="GMD106" s="17"/>
      <c r="GME106" s="17"/>
      <c r="GMF106" s="17"/>
      <c r="GMG106" s="17"/>
      <c r="GMH106" s="17"/>
      <c r="GMI106" s="17"/>
      <c r="GMJ106" s="17"/>
      <c r="GMK106" s="17"/>
      <c r="GML106" s="17"/>
      <c r="GMM106" s="17"/>
      <c r="GMN106" s="17"/>
      <c r="GMO106" s="17"/>
      <c r="GMP106" s="17"/>
      <c r="GMQ106" s="17"/>
      <c r="GMR106" s="17"/>
      <c r="GMS106" s="17"/>
      <c r="GMT106" s="17"/>
      <c r="GMU106" s="17"/>
      <c r="GMV106" s="17"/>
      <c r="GMW106" s="17"/>
      <c r="GMX106" s="17"/>
      <c r="GMY106" s="17"/>
      <c r="GMZ106" s="17"/>
      <c r="GNA106" s="17"/>
      <c r="GNB106" s="17"/>
      <c r="GNC106" s="17"/>
      <c r="GND106" s="17"/>
      <c r="GNE106" s="17"/>
      <c r="GNF106" s="17"/>
      <c r="GNG106" s="17"/>
      <c r="GNH106" s="17"/>
      <c r="GNI106" s="17"/>
      <c r="GNJ106" s="17"/>
      <c r="GNK106" s="17"/>
      <c r="GNL106" s="17"/>
      <c r="GNM106" s="17"/>
      <c r="GNN106" s="17"/>
      <c r="GNO106" s="17"/>
      <c r="GNP106" s="17"/>
      <c r="GNQ106" s="17"/>
      <c r="GNR106" s="17"/>
      <c r="GNS106" s="17"/>
      <c r="GNT106" s="17"/>
      <c r="GNU106" s="17"/>
      <c r="GNV106" s="17"/>
      <c r="GNW106" s="17"/>
      <c r="GNX106" s="17"/>
      <c r="GNY106" s="17"/>
      <c r="GNZ106" s="17"/>
      <c r="GOA106" s="17"/>
      <c r="GOB106" s="17"/>
      <c r="GOC106" s="17"/>
      <c r="GOD106" s="17"/>
      <c r="GOE106" s="17"/>
      <c r="GOF106" s="17"/>
      <c r="GOG106" s="17"/>
      <c r="GOH106" s="17"/>
      <c r="GOI106" s="17"/>
      <c r="GOJ106" s="17"/>
      <c r="GOK106" s="17"/>
      <c r="GOL106" s="17"/>
      <c r="GOM106" s="17"/>
      <c r="GON106" s="17"/>
      <c r="GOO106" s="17"/>
      <c r="GOP106" s="17"/>
      <c r="GOQ106" s="17"/>
      <c r="GOR106" s="17"/>
      <c r="GOS106" s="17"/>
      <c r="GOT106" s="17"/>
      <c r="GOU106" s="17"/>
      <c r="GOV106" s="17"/>
      <c r="GOW106" s="17"/>
      <c r="GOX106" s="17"/>
      <c r="GOY106" s="17"/>
      <c r="GOZ106" s="17"/>
      <c r="GPA106" s="17"/>
      <c r="GPB106" s="17"/>
      <c r="GPC106" s="17"/>
      <c r="GPD106" s="17"/>
      <c r="GPE106" s="17"/>
      <c r="GPF106" s="17"/>
      <c r="GPG106" s="17"/>
      <c r="GPH106" s="17"/>
      <c r="GPI106" s="17"/>
      <c r="GPJ106" s="17"/>
      <c r="GPK106" s="17"/>
      <c r="GPL106" s="17"/>
      <c r="GPM106" s="17"/>
      <c r="GPN106" s="17"/>
      <c r="GPO106" s="17"/>
      <c r="GPP106" s="17"/>
      <c r="GPQ106" s="17"/>
      <c r="GPR106" s="17"/>
      <c r="GPS106" s="17"/>
      <c r="GPT106" s="17"/>
      <c r="GPU106" s="17"/>
      <c r="GPV106" s="17"/>
      <c r="GPW106" s="17"/>
      <c r="GPX106" s="17"/>
      <c r="GPY106" s="17"/>
      <c r="GPZ106" s="17"/>
      <c r="GQA106" s="17"/>
      <c r="GQB106" s="17"/>
      <c r="GQC106" s="17"/>
      <c r="GQD106" s="17"/>
      <c r="GQE106" s="17"/>
      <c r="GQF106" s="17"/>
      <c r="GQG106" s="17"/>
      <c r="GQH106" s="17"/>
      <c r="GQI106" s="17"/>
      <c r="GQJ106" s="17"/>
      <c r="GQK106" s="17"/>
      <c r="GQL106" s="17"/>
      <c r="GQM106" s="17"/>
      <c r="GQN106" s="17"/>
      <c r="GQO106" s="17"/>
      <c r="GQP106" s="17"/>
      <c r="GQQ106" s="17"/>
      <c r="GQR106" s="17"/>
      <c r="GQS106" s="17"/>
      <c r="GQT106" s="17"/>
      <c r="GQU106" s="17"/>
      <c r="GQV106" s="17"/>
      <c r="GQW106" s="17"/>
      <c r="GQX106" s="17"/>
      <c r="GQY106" s="17"/>
      <c r="GQZ106" s="17"/>
      <c r="GRA106" s="17"/>
      <c r="GRB106" s="17"/>
      <c r="GRC106" s="17"/>
      <c r="GRD106" s="17"/>
      <c r="GRE106" s="17"/>
      <c r="GRF106" s="17"/>
      <c r="GRG106" s="17"/>
      <c r="GRH106" s="17"/>
      <c r="GRI106" s="17"/>
      <c r="GRJ106" s="17"/>
      <c r="GRK106" s="17"/>
      <c r="GRL106" s="17"/>
      <c r="GRM106" s="17"/>
      <c r="GRN106" s="17"/>
      <c r="GRO106" s="17"/>
      <c r="GRP106" s="17"/>
      <c r="GRQ106" s="17"/>
      <c r="GRR106" s="17"/>
      <c r="GRS106" s="17"/>
      <c r="GRT106" s="17"/>
      <c r="GRU106" s="17"/>
      <c r="GRV106" s="17"/>
      <c r="GRW106" s="17"/>
      <c r="GRX106" s="17"/>
      <c r="GRY106" s="17"/>
      <c r="GRZ106" s="17"/>
      <c r="GSA106" s="17"/>
      <c r="GSB106" s="17"/>
      <c r="GSC106" s="17"/>
      <c r="GSD106" s="17"/>
      <c r="GSE106" s="17"/>
      <c r="GSF106" s="17"/>
      <c r="GSG106" s="17"/>
      <c r="GSH106" s="17"/>
      <c r="GSI106" s="17"/>
      <c r="GSJ106" s="17"/>
      <c r="GSK106" s="17"/>
      <c r="GSL106" s="17"/>
      <c r="GSM106" s="17"/>
      <c r="GSN106" s="17"/>
      <c r="GSO106" s="17"/>
      <c r="GSP106" s="17"/>
      <c r="GSQ106" s="17"/>
      <c r="GSR106" s="17"/>
      <c r="GSS106" s="17"/>
      <c r="GST106" s="17"/>
      <c r="GSU106" s="17"/>
      <c r="GSV106" s="17"/>
      <c r="GSW106" s="17"/>
      <c r="GSX106" s="17"/>
      <c r="GSY106" s="17"/>
      <c r="GSZ106" s="17"/>
      <c r="GTA106" s="17"/>
      <c r="GTB106" s="17"/>
      <c r="GTC106" s="17"/>
      <c r="GTD106" s="17"/>
      <c r="GTE106" s="17"/>
      <c r="GTF106" s="17"/>
      <c r="GTG106" s="17"/>
      <c r="GTH106" s="17"/>
      <c r="GTI106" s="17"/>
      <c r="GTJ106" s="17"/>
      <c r="GTK106" s="17"/>
      <c r="GTL106" s="17"/>
      <c r="GTM106" s="17"/>
      <c r="GTN106" s="17"/>
      <c r="GTO106" s="17"/>
      <c r="GTP106" s="17"/>
      <c r="GTQ106" s="17"/>
      <c r="GTR106" s="17"/>
      <c r="GTS106" s="17"/>
      <c r="GTT106" s="17"/>
      <c r="GTU106" s="17"/>
      <c r="GTV106" s="17"/>
      <c r="GTW106" s="17"/>
      <c r="GTX106" s="17"/>
      <c r="GTY106" s="17"/>
      <c r="GTZ106" s="17"/>
      <c r="GUA106" s="17"/>
      <c r="GUB106" s="17"/>
      <c r="GUC106" s="17"/>
      <c r="GUD106" s="17"/>
      <c r="GUE106" s="17"/>
      <c r="GUF106" s="17"/>
      <c r="GUG106" s="17"/>
      <c r="GUH106" s="17"/>
      <c r="GUI106" s="17"/>
      <c r="GUJ106" s="17"/>
      <c r="GUK106" s="17"/>
      <c r="GUL106" s="17"/>
      <c r="GUM106" s="17"/>
      <c r="GUN106" s="17"/>
      <c r="GUO106" s="17"/>
      <c r="GUP106" s="17"/>
      <c r="GUQ106" s="17"/>
      <c r="GUR106" s="17"/>
      <c r="GUS106" s="17"/>
      <c r="GUT106" s="17"/>
      <c r="GUU106" s="17"/>
      <c r="GUV106" s="17"/>
      <c r="GUW106" s="17"/>
      <c r="GUX106" s="17"/>
      <c r="GUY106" s="17"/>
      <c r="GUZ106" s="17"/>
      <c r="GVA106" s="17"/>
      <c r="GVB106" s="17"/>
      <c r="GVC106" s="17"/>
      <c r="GVD106" s="17"/>
      <c r="GVE106" s="17"/>
      <c r="GVF106" s="17"/>
      <c r="GVG106" s="17"/>
      <c r="GVH106" s="17"/>
      <c r="GVI106" s="17"/>
      <c r="GVJ106" s="17"/>
      <c r="GVK106" s="17"/>
      <c r="GVL106" s="17"/>
      <c r="GVM106" s="17"/>
      <c r="GVN106" s="17"/>
      <c r="GVO106" s="17"/>
      <c r="GVP106" s="17"/>
      <c r="GVQ106" s="17"/>
      <c r="GVR106" s="17"/>
      <c r="GVS106" s="17"/>
      <c r="GVT106" s="17"/>
      <c r="GVU106" s="17"/>
      <c r="GVV106" s="17"/>
      <c r="GVW106" s="17"/>
      <c r="GVX106" s="17"/>
      <c r="GVY106" s="17"/>
      <c r="GVZ106" s="17"/>
      <c r="GWA106" s="17"/>
      <c r="GWB106" s="17"/>
      <c r="GWC106" s="17"/>
      <c r="GWD106" s="17"/>
      <c r="GWE106" s="17"/>
      <c r="GWF106" s="17"/>
      <c r="GWG106" s="17"/>
      <c r="GWH106" s="17"/>
      <c r="GWI106" s="17"/>
      <c r="GWJ106" s="17"/>
      <c r="GWK106" s="17"/>
      <c r="GWL106" s="17"/>
      <c r="GWM106" s="17"/>
      <c r="GWN106" s="17"/>
      <c r="GWO106" s="17"/>
      <c r="GWP106" s="17"/>
      <c r="GWQ106" s="17"/>
      <c r="GWR106" s="17"/>
      <c r="GWS106" s="17"/>
      <c r="GWT106" s="17"/>
      <c r="GWU106" s="17"/>
      <c r="GWV106" s="17"/>
      <c r="GWW106" s="17"/>
      <c r="GWX106" s="17"/>
      <c r="GWY106" s="17"/>
      <c r="GWZ106" s="17"/>
      <c r="GXA106" s="17"/>
      <c r="GXB106" s="17"/>
      <c r="GXC106" s="17"/>
      <c r="GXD106" s="17"/>
      <c r="GXE106" s="17"/>
      <c r="GXF106" s="17"/>
      <c r="GXG106" s="17"/>
      <c r="GXH106" s="17"/>
      <c r="GXI106" s="17"/>
      <c r="GXJ106" s="17"/>
      <c r="GXK106" s="17"/>
      <c r="GXL106" s="17"/>
      <c r="GXM106" s="17"/>
      <c r="GXN106" s="17"/>
      <c r="GXO106" s="17"/>
      <c r="GXP106" s="17"/>
      <c r="GXQ106" s="17"/>
      <c r="GXR106" s="17"/>
      <c r="GXS106" s="17"/>
      <c r="GXT106" s="17"/>
      <c r="GXU106" s="17"/>
      <c r="GXV106" s="17"/>
      <c r="GXW106" s="17"/>
      <c r="GXX106" s="17"/>
      <c r="GXY106" s="17"/>
      <c r="GXZ106" s="17"/>
      <c r="GYA106" s="17"/>
      <c r="GYB106" s="17"/>
      <c r="GYC106" s="17"/>
      <c r="GYD106" s="17"/>
      <c r="GYE106" s="17"/>
      <c r="GYF106" s="17"/>
      <c r="GYG106" s="17"/>
      <c r="GYH106" s="17"/>
      <c r="GYI106" s="17"/>
      <c r="GYJ106" s="17"/>
      <c r="GYK106" s="17"/>
      <c r="GYL106" s="17"/>
      <c r="GYM106" s="17"/>
      <c r="GYN106" s="17"/>
      <c r="GYO106" s="17"/>
      <c r="GYP106" s="17"/>
      <c r="GYQ106" s="17"/>
      <c r="GYR106" s="17"/>
      <c r="GYS106" s="17"/>
      <c r="GYT106" s="17"/>
      <c r="GYU106" s="17"/>
      <c r="GYV106" s="17"/>
      <c r="GYW106" s="17"/>
      <c r="GYX106" s="17"/>
      <c r="GYY106" s="17"/>
      <c r="GYZ106" s="17"/>
      <c r="GZA106" s="17"/>
      <c r="GZB106" s="17"/>
      <c r="GZC106" s="17"/>
      <c r="GZD106" s="17"/>
      <c r="GZE106" s="17"/>
      <c r="GZF106" s="17"/>
      <c r="GZG106" s="17"/>
      <c r="GZH106" s="17"/>
      <c r="GZI106" s="17"/>
      <c r="GZJ106" s="17"/>
      <c r="GZK106" s="17"/>
      <c r="GZL106" s="17"/>
      <c r="GZM106" s="17"/>
      <c r="GZN106" s="17"/>
      <c r="GZO106" s="17"/>
      <c r="GZP106" s="17"/>
      <c r="GZQ106" s="17"/>
      <c r="GZR106" s="17"/>
      <c r="GZS106" s="17"/>
      <c r="GZT106" s="17"/>
      <c r="GZU106" s="17"/>
      <c r="GZV106" s="17"/>
      <c r="GZW106" s="17"/>
      <c r="GZX106" s="17"/>
      <c r="GZY106" s="17"/>
      <c r="GZZ106" s="17"/>
      <c r="HAA106" s="17"/>
      <c r="HAB106" s="17"/>
      <c r="HAC106" s="17"/>
      <c r="HAD106" s="17"/>
      <c r="HAE106" s="17"/>
      <c r="HAF106" s="17"/>
      <c r="HAG106" s="17"/>
      <c r="HAH106" s="17"/>
      <c r="HAI106" s="17"/>
      <c r="HAJ106" s="17"/>
      <c r="HAK106" s="17"/>
      <c r="HAL106" s="17"/>
      <c r="HAM106" s="17"/>
      <c r="HAN106" s="17"/>
      <c r="HAO106" s="17"/>
      <c r="HAP106" s="17"/>
      <c r="HAQ106" s="17"/>
      <c r="HAR106" s="17"/>
      <c r="HAS106" s="17"/>
      <c r="HAT106" s="17"/>
      <c r="HAU106" s="17"/>
      <c r="HAV106" s="17"/>
      <c r="HAW106" s="17"/>
      <c r="HAX106" s="17"/>
      <c r="HAY106" s="17"/>
      <c r="HAZ106" s="17"/>
      <c r="HBA106" s="17"/>
      <c r="HBB106" s="17"/>
      <c r="HBC106" s="17"/>
      <c r="HBD106" s="17"/>
      <c r="HBE106" s="17"/>
      <c r="HBF106" s="17"/>
      <c r="HBG106" s="17"/>
      <c r="HBH106" s="17"/>
      <c r="HBI106" s="17"/>
      <c r="HBJ106" s="17"/>
      <c r="HBK106" s="17"/>
      <c r="HBL106" s="17"/>
      <c r="HBM106" s="17"/>
      <c r="HBN106" s="17"/>
      <c r="HBO106" s="17"/>
      <c r="HBP106" s="17"/>
      <c r="HBQ106" s="17"/>
      <c r="HBR106" s="17"/>
      <c r="HBS106" s="17"/>
      <c r="HBT106" s="17"/>
      <c r="HBU106" s="17"/>
      <c r="HBV106" s="17"/>
      <c r="HBW106" s="17"/>
      <c r="HBX106" s="17"/>
      <c r="HBY106" s="17"/>
      <c r="HBZ106" s="17"/>
      <c r="HCA106" s="17"/>
      <c r="HCB106" s="17"/>
      <c r="HCC106" s="17"/>
      <c r="HCD106" s="17"/>
      <c r="HCE106" s="17"/>
      <c r="HCF106" s="17"/>
      <c r="HCG106" s="17"/>
      <c r="HCH106" s="17"/>
      <c r="HCI106" s="17"/>
      <c r="HCJ106" s="17"/>
      <c r="HCK106" s="17"/>
      <c r="HCL106" s="17"/>
      <c r="HCM106" s="17"/>
      <c r="HCN106" s="17"/>
      <c r="HCO106" s="17"/>
      <c r="HCP106" s="17"/>
      <c r="HCQ106" s="17"/>
      <c r="HCR106" s="17"/>
      <c r="HCS106" s="17"/>
      <c r="HCT106" s="17"/>
      <c r="HCU106" s="17"/>
      <c r="HCV106" s="17"/>
      <c r="HCW106" s="17"/>
      <c r="HCX106" s="17"/>
      <c r="HCY106" s="17"/>
      <c r="HCZ106" s="17"/>
      <c r="HDA106" s="17"/>
      <c r="HDB106" s="17"/>
      <c r="HDC106" s="17"/>
      <c r="HDD106" s="17"/>
      <c r="HDE106" s="17"/>
      <c r="HDF106" s="17"/>
      <c r="HDG106" s="17"/>
      <c r="HDH106" s="17"/>
      <c r="HDI106" s="17"/>
      <c r="HDJ106" s="17"/>
      <c r="HDK106" s="17"/>
      <c r="HDL106" s="17"/>
      <c r="HDM106" s="17"/>
      <c r="HDN106" s="17"/>
      <c r="HDO106" s="17"/>
      <c r="HDP106" s="17"/>
      <c r="HDQ106" s="17"/>
      <c r="HDR106" s="17"/>
      <c r="HDS106" s="17"/>
      <c r="HDT106" s="17"/>
      <c r="HDU106" s="17"/>
      <c r="HDV106" s="17"/>
      <c r="HDW106" s="17"/>
      <c r="HDX106" s="17"/>
      <c r="HDY106" s="17"/>
      <c r="HDZ106" s="17"/>
      <c r="HEA106" s="17"/>
      <c r="HEB106" s="17"/>
      <c r="HEC106" s="17"/>
      <c r="HED106" s="17"/>
      <c r="HEE106" s="17"/>
      <c r="HEF106" s="17"/>
      <c r="HEG106" s="17"/>
      <c r="HEH106" s="17"/>
      <c r="HEI106" s="17"/>
      <c r="HEJ106" s="17"/>
      <c r="HEK106" s="17"/>
      <c r="HEL106" s="17"/>
      <c r="HEM106" s="17"/>
      <c r="HEN106" s="17"/>
      <c r="HEO106" s="17"/>
      <c r="HEP106" s="17"/>
      <c r="HEQ106" s="17"/>
      <c r="HER106" s="17"/>
      <c r="HES106" s="17"/>
      <c r="HET106" s="17"/>
      <c r="HEU106" s="17"/>
      <c r="HEV106" s="17"/>
      <c r="HEW106" s="17"/>
      <c r="HEX106" s="17"/>
      <c r="HEY106" s="17"/>
      <c r="HEZ106" s="17"/>
      <c r="HFA106" s="17"/>
      <c r="HFB106" s="17"/>
      <c r="HFC106" s="17"/>
      <c r="HFD106" s="17"/>
      <c r="HFE106" s="17"/>
      <c r="HFF106" s="17"/>
      <c r="HFG106" s="17"/>
      <c r="HFH106" s="17"/>
      <c r="HFI106" s="17"/>
      <c r="HFJ106" s="17"/>
      <c r="HFK106" s="17"/>
      <c r="HFL106" s="17"/>
      <c r="HFM106" s="17"/>
      <c r="HFN106" s="17"/>
      <c r="HFO106" s="17"/>
      <c r="HFP106" s="17"/>
      <c r="HFQ106" s="17"/>
      <c r="HFR106" s="17"/>
      <c r="HFS106" s="17"/>
      <c r="HFT106" s="17"/>
      <c r="HFU106" s="17"/>
      <c r="HFV106" s="17"/>
      <c r="HFW106" s="17"/>
      <c r="HFX106" s="17"/>
      <c r="HFY106" s="17"/>
      <c r="HFZ106" s="17"/>
      <c r="HGA106" s="17"/>
      <c r="HGB106" s="17"/>
      <c r="HGC106" s="17"/>
      <c r="HGD106" s="17"/>
      <c r="HGE106" s="17"/>
      <c r="HGF106" s="17"/>
      <c r="HGG106" s="17"/>
      <c r="HGH106" s="17"/>
      <c r="HGI106" s="17"/>
      <c r="HGJ106" s="17"/>
      <c r="HGK106" s="17"/>
      <c r="HGL106" s="17"/>
      <c r="HGM106" s="17"/>
      <c r="HGN106" s="17"/>
      <c r="HGO106" s="17"/>
      <c r="HGP106" s="17"/>
      <c r="HGQ106" s="17"/>
      <c r="HGR106" s="17"/>
      <c r="HGS106" s="17"/>
      <c r="HGT106" s="17"/>
      <c r="HGU106" s="17"/>
      <c r="HGV106" s="17"/>
      <c r="HGW106" s="17"/>
      <c r="HGX106" s="17"/>
      <c r="HGY106" s="17"/>
      <c r="HGZ106" s="17"/>
      <c r="HHA106" s="17"/>
      <c r="HHB106" s="17"/>
      <c r="HHC106" s="17"/>
      <c r="HHD106" s="17"/>
      <c r="HHE106" s="17"/>
      <c r="HHF106" s="17"/>
      <c r="HHG106" s="17"/>
      <c r="HHH106" s="17"/>
      <c r="HHI106" s="17"/>
      <c r="HHJ106" s="17"/>
      <c r="HHK106" s="17"/>
      <c r="HHL106" s="17"/>
      <c r="HHM106" s="17"/>
      <c r="HHN106" s="17"/>
      <c r="HHO106" s="17"/>
      <c r="HHP106" s="17"/>
      <c r="HHQ106" s="17"/>
      <c r="HHR106" s="17"/>
      <c r="HHS106" s="17"/>
      <c r="HHT106" s="17"/>
      <c r="HHU106" s="17"/>
      <c r="HHV106" s="17"/>
      <c r="HHW106" s="17"/>
      <c r="HHX106" s="17"/>
      <c r="HHY106" s="17"/>
      <c r="HHZ106" s="17"/>
      <c r="HIA106" s="17"/>
      <c r="HIB106" s="17"/>
      <c r="HIC106" s="17"/>
      <c r="HID106" s="17"/>
      <c r="HIE106" s="17"/>
      <c r="HIF106" s="17"/>
      <c r="HIG106" s="17"/>
      <c r="HIH106" s="17"/>
      <c r="HII106" s="17"/>
      <c r="HIJ106" s="17"/>
      <c r="HIK106" s="17"/>
      <c r="HIL106" s="17"/>
      <c r="HIM106" s="17"/>
      <c r="HIN106" s="17"/>
      <c r="HIO106" s="17"/>
      <c r="HIP106" s="17"/>
      <c r="HIQ106" s="17"/>
      <c r="HIR106" s="17"/>
      <c r="HIS106" s="17"/>
      <c r="HIT106" s="17"/>
      <c r="HIU106" s="17"/>
      <c r="HIV106" s="17"/>
      <c r="HIW106" s="17"/>
      <c r="HIX106" s="17"/>
      <c r="HIY106" s="17"/>
      <c r="HIZ106" s="17"/>
      <c r="HJA106" s="17"/>
      <c r="HJB106" s="17"/>
      <c r="HJC106" s="17"/>
      <c r="HJD106" s="17"/>
      <c r="HJE106" s="17"/>
      <c r="HJF106" s="17"/>
      <c r="HJG106" s="17"/>
      <c r="HJH106" s="17"/>
      <c r="HJI106" s="17"/>
      <c r="HJJ106" s="17"/>
      <c r="HJK106" s="17"/>
      <c r="HJL106" s="17"/>
      <c r="HJM106" s="17"/>
      <c r="HJN106" s="17"/>
      <c r="HJO106" s="17"/>
      <c r="HJP106" s="17"/>
      <c r="HJQ106" s="17"/>
      <c r="HJR106" s="17"/>
      <c r="HJS106" s="17"/>
      <c r="HJT106" s="17"/>
      <c r="HJU106" s="17"/>
      <c r="HJV106" s="17"/>
      <c r="HJW106" s="17"/>
      <c r="HJX106" s="17"/>
      <c r="HJY106" s="17"/>
      <c r="HJZ106" s="17"/>
      <c r="HKA106" s="17"/>
      <c r="HKB106" s="17"/>
      <c r="HKC106" s="17"/>
      <c r="HKD106" s="17"/>
      <c r="HKE106" s="17"/>
      <c r="HKF106" s="17"/>
      <c r="HKG106" s="17"/>
      <c r="HKH106" s="17"/>
      <c r="HKI106" s="17"/>
      <c r="HKJ106" s="17"/>
      <c r="HKK106" s="17"/>
      <c r="HKL106" s="17"/>
      <c r="HKM106" s="17"/>
      <c r="HKN106" s="17"/>
      <c r="HKO106" s="17"/>
      <c r="HKP106" s="17"/>
      <c r="HKQ106" s="17"/>
      <c r="HKR106" s="17"/>
      <c r="HKS106" s="17"/>
      <c r="HKT106" s="17"/>
      <c r="HKU106" s="17"/>
      <c r="HKV106" s="17"/>
      <c r="HKW106" s="17"/>
      <c r="HKX106" s="17"/>
      <c r="HKY106" s="17"/>
      <c r="HKZ106" s="17"/>
      <c r="HLA106" s="17"/>
      <c r="HLB106" s="17"/>
      <c r="HLC106" s="17"/>
      <c r="HLD106" s="17"/>
      <c r="HLE106" s="17"/>
      <c r="HLF106" s="17"/>
      <c r="HLG106" s="17"/>
      <c r="HLH106" s="17"/>
      <c r="HLI106" s="17"/>
      <c r="HLJ106" s="17"/>
      <c r="HLK106" s="17"/>
      <c r="HLL106" s="17"/>
      <c r="HLM106" s="17"/>
      <c r="HLN106" s="17"/>
      <c r="HLO106" s="17"/>
      <c r="HLP106" s="17"/>
      <c r="HLQ106" s="17"/>
      <c r="HLR106" s="17"/>
      <c r="HLS106" s="17"/>
      <c r="HLT106" s="17"/>
      <c r="HLU106" s="17"/>
      <c r="HLV106" s="17"/>
      <c r="HLW106" s="17"/>
      <c r="HLX106" s="17"/>
      <c r="HLY106" s="17"/>
      <c r="HLZ106" s="17"/>
      <c r="HMA106" s="17"/>
      <c r="HMB106" s="17"/>
      <c r="HMC106" s="17"/>
      <c r="HMD106" s="17"/>
      <c r="HME106" s="17"/>
      <c r="HMF106" s="17"/>
      <c r="HMG106" s="17"/>
      <c r="HMH106" s="17"/>
      <c r="HMI106" s="17"/>
      <c r="HMJ106" s="17"/>
      <c r="HMK106" s="17"/>
      <c r="HML106" s="17"/>
      <c r="HMM106" s="17"/>
      <c r="HMN106" s="17"/>
      <c r="HMO106" s="17"/>
      <c r="HMP106" s="17"/>
      <c r="HMQ106" s="17"/>
      <c r="HMR106" s="17"/>
      <c r="HMS106" s="17"/>
      <c r="HMT106" s="17"/>
      <c r="HMU106" s="17"/>
      <c r="HMV106" s="17"/>
      <c r="HMW106" s="17"/>
      <c r="HMX106" s="17"/>
      <c r="HMY106" s="17"/>
      <c r="HMZ106" s="17"/>
      <c r="HNA106" s="17"/>
      <c r="HNB106" s="17"/>
      <c r="HNC106" s="17"/>
      <c r="HND106" s="17"/>
      <c r="HNE106" s="17"/>
      <c r="HNF106" s="17"/>
      <c r="HNG106" s="17"/>
      <c r="HNH106" s="17"/>
      <c r="HNI106" s="17"/>
      <c r="HNJ106" s="17"/>
      <c r="HNK106" s="17"/>
      <c r="HNL106" s="17"/>
      <c r="HNM106" s="17"/>
      <c r="HNN106" s="17"/>
      <c r="HNO106" s="17"/>
      <c r="HNP106" s="17"/>
      <c r="HNQ106" s="17"/>
      <c r="HNR106" s="17"/>
      <c r="HNS106" s="17"/>
      <c r="HNT106" s="17"/>
      <c r="HNU106" s="17"/>
      <c r="HNV106" s="17"/>
      <c r="HNW106" s="17"/>
      <c r="HNX106" s="17"/>
      <c r="HNY106" s="17"/>
      <c r="HNZ106" s="17"/>
      <c r="HOA106" s="17"/>
      <c r="HOB106" s="17"/>
      <c r="HOC106" s="17"/>
      <c r="HOD106" s="17"/>
      <c r="HOE106" s="17"/>
      <c r="HOF106" s="17"/>
      <c r="HOG106" s="17"/>
      <c r="HOH106" s="17"/>
      <c r="HOI106" s="17"/>
      <c r="HOJ106" s="17"/>
      <c r="HOK106" s="17"/>
      <c r="HOL106" s="17"/>
      <c r="HOM106" s="17"/>
      <c r="HON106" s="17"/>
      <c r="HOO106" s="17"/>
      <c r="HOP106" s="17"/>
      <c r="HOQ106" s="17"/>
      <c r="HOR106" s="17"/>
      <c r="HOS106" s="17"/>
      <c r="HOT106" s="17"/>
      <c r="HOU106" s="17"/>
      <c r="HOV106" s="17"/>
      <c r="HOW106" s="17"/>
      <c r="HOX106" s="17"/>
      <c r="HOY106" s="17"/>
      <c r="HOZ106" s="17"/>
      <c r="HPA106" s="17"/>
      <c r="HPB106" s="17"/>
      <c r="HPC106" s="17"/>
      <c r="HPD106" s="17"/>
      <c r="HPE106" s="17"/>
      <c r="HPF106" s="17"/>
      <c r="HPG106" s="17"/>
      <c r="HPH106" s="17"/>
      <c r="HPI106" s="17"/>
      <c r="HPJ106" s="17"/>
      <c r="HPK106" s="17"/>
      <c r="HPL106" s="17"/>
      <c r="HPM106" s="17"/>
      <c r="HPN106" s="17"/>
      <c r="HPO106" s="17"/>
      <c r="HPP106" s="17"/>
      <c r="HPQ106" s="17"/>
      <c r="HPR106" s="17"/>
      <c r="HPS106" s="17"/>
      <c r="HPT106" s="17"/>
      <c r="HPU106" s="17"/>
      <c r="HPV106" s="17"/>
      <c r="HPW106" s="17"/>
      <c r="HPX106" s="17"/>
      <c r="HPY106" s="17"/>
      <c r="HPZ106" s="17"/>
      <c r="HQA106" s="17"/>
      <c r="HQB106" s="17"/>
      <c r="HQC106" s="17"/>
      <c r="HQD106" s="17"/>
      <c r="HQE106" s="17"/>
      <c r="HQF106" s="17"/>
      <c r="HQG106" s="17"/>
      <c r="HQH106" s="17"/>
      <c r="HQI106" s="17"/>
      <c r="HQJ106" s="17"/>
      <c r="HQK106" s="17"/>
      <c r="HQL106" s="17"/>
      <c r="HQM106" s="17"/>
      <c r="HQN106" s="17"/>
      <c r="HQO106" s="17"/>
      <c r="HQP106" s="17"/>
      <c r="HQQ106" s="17"/>
      <c r="HQR106" s="17"/>
      <c r="HQS106" s="17"/>
      <c r="HQT106" s="17"/>
      <c r="HQU106" s="17"/>
      <c r="HQV106" s="17"/>
      <c r="HQW106" s="17"/>
      <c r="HQX106" s="17"/>
      <c r="HQY106" s="17"/>
      <c r="HQZ106" s="17"/>
      <c r="HRA106" s="17"/>
      <c r="HRB106" s="17"/>
      <c r="HRC106" s="17"/>
      <c r="HRD106" s="17"/>
      <c r="HRE106" s="17"/>
      <c r="HRF106" s="17"/>
      <c r="HRG106" s="17"/>
      <c r="HRH106" s="17"/>
      <c r="HRI106" s="17"/>
      <c r="HRJ106" s="17"/>
      <c r="HRK106" s="17"/>
      <c r="HRL106" s="17"/>
      <c r="HRM106" s="17"/>
      <c r="HRN106" s="17"/>
      <c r="HRO106" s="17"/>
      <c r="HRP106" s="17"/>
      <c r="HRQ106" s="17"/>
      <c r="HRR106" s="17"/>
      <c r="HRS106" s="17"/>
      <c r="HRT106" s="17"/>
      <c r="HRU106" s="17"/>
      <c r="HRV106" s="17"/>
      <c r="HRW106" s="17"/>
      <c r="HRX106" s="17"/>
      <c r="HRY106" s="17"/>
      <c r="HRZ106" s="17"/>
      <c r="HSA106" s="17"/>
      <c r="HSB106" s="17"/>
      <c r="HSC106" s="17"/>
      <c r="HSD106" s="17"/>
      <c r="HSE106" s="17"/>
      <c r="HSF106" s="17"/>
      <c r="HSG106" s="17"/>
      <c r="HSH106" s="17"/>
      <c r="HSI106" s="17"/>
      <c r="HSJ106" s="17"/>
      <c r="HSK106" s="17"/>
      <c r="HSL106" s="17"/>
      <c r="HSM106" s="17"/>
      <c r="HSN106" s="17"/>
      <c r="HSO106" s="17"/>
      <c r="HSP106" s="17"/>
      <c r="HSQ106" s="17"/>
      <c r="HSR106" s="17"/>
      <c r="HSS106" s="17"/>
      <c r="HST106" s="17"/>
      <c r="HSU106" s="17"/>
      <c r="HSV106" s="17"/>
      <c r="HSW106" s="17"/>
      <c r="HSX106" s="17"/>
      <c r="HSY106" s="17"/>
      <c r="HSZ106" s="17"/>
      <c r="HTA106" s="17"/>
      <c r="HTB106" s="17"/>
      <c r="HTC106" s="17"/>
      <c r="HTD106" s="17"/>
      <c r="HTE106" s="17"/>
      <c r="HTF106" s="17"/>
      <c r="HTG106" s="17"/>
      <c r="HTH106" s="17"/>
      <c r="HTI106" s="17"/>
      <c r="HTJ106" s="17"/>
      <c r="HTK106" s="17"/>
      <c r="HTL106" s="17"/>
      <c r="HTM106" s="17"/>
      <c r="HTN106" s="17"/>
      <c r="HTO106" s="17"/>
      <c r="HTP106" s="17"/>
      <c r="HTQ106" s="17"/>
      <c r="HTR106" s="17"/>
      <c r="HTS106" s="17"/>
      <c r="HTT106" s="17"/>
      <c r="HTU106" s="17"/>
      <c r="HTV106" s="17"/>
      <c r="HTW106" s="17"/>
      <c r="HTX106" s="17"/>
      <c r="HTY106" s="17"/>
      <c r="HTZ106" s="17"/>
      <c r="HUA106" s="17"/>
      <c r="HUB106" s="17"/>
      <c r="HUC106" s="17"/>
      <c r="HUD106" s="17"/>
      <c r="HUE106" s="17"/>
      <c r="HUF106" s="17"/>
      <c r="HUG106" s="17"/>
      <c r="HUH106" s="17"/>
      <c r="HUI106" s="17"/>
      <c r="HUJ106" s="17"/>
      <c r="HUK106" s="17"/>
      <c r="HUL106" s="17"/>
      <c r="HUM106" s="17"/>
      <c r="HUN106" s="17"/>
      <c r="HUO106" s="17"/>
      <c r="HUP106" s="17"/>
      <c r="HUQ106" s="17"/>
      <c r="HUR106" s="17"/>
      <c r="HUS106" s="17"/>
      <c r="HUT106" s="17"/>
      <c r="HUU106" s="17"/>
      <c r="HUV106" s="17"/>
      <c r="HUW106" s="17"/>
      <c r="HUX106" s="17"/>
      <c r="HUY106" s="17"/>
      <c r="HUZ106" s="17"/>
      <c r="HVA106" s="17"/>
      <c r="HVB106" s="17"/>
      <c r="HVC106" s="17"/>
      <c r="HVD106" s="17"/>
      <c r="HVE106" s="17"/>
      <c r="HVF106" s="17"/>
      <c r="HVG106" s="17"/>
      <c r="HVH106" s="17"/>
      <c r="HVI106" s="17"/>
      <c r="HVJ106" s="17"/>
      <c r="HVK106" s="17"/>
      <c r="HVL106" s="17"/>
      <c r="HVM106" s="17"/>
      <c r="HVN106" s="17"/>
      <c r="HVO106" s="17"/>
      <c r="HVP106" s="17"/>
      <c r="HVQ106" s="17"/>
      <c r="HVR106" s="17"/>
      <c r="HVS106" s="17"/>
      <c r="HVT106" s="17"/>
      <c r="HVU106" s="17"/>
      <c r="HVV106" s="17"/>
      <c r="HVW106" s="17"/>
      <c r="HVX106" s="17"/>
      <c r="HVY106" s="17"/>
      <c r="HVZ106" s="17"/>
      <c r="HWA106" s="17"/>
      <c r="HWB106" s="17"/>
      <c r="HWC106" s="17"/>
      <c r="HWD106" s="17"/>
      <c r="HWE106" s="17"/>
      <c r="HWF106" s="17"/>
      <c r="HWG106" s="17"/>
      <c r="HWH106" s="17"/>
      <c r="HWI106" s="17"/>
      <c r="HWJ106" s="17"/>
      <c r="HWK106" s="17"/>
      <c r="HWL106" s="17"/>
      <c r="HWM106" s="17"/>
      <c r="HWN106" s="17"/>
      <c r="HWO106" s="17"/>
      <c r="HWP106" s="17"/>
      <c r="HWQ106" s="17"/>
      <c r="HWR106" s="17"/>
      <c r="HWS106" s="17"/>
      <c r="HWT106" s="17"/>
      <c r="HWU106" s="17"/>
      <c r="HWV106" s="17"/>
      <c r="HWW106" s="17"/>
      <c r="HWX106" s="17"/>
      <c r="HWY106" s="17"/>
      <c r="HWZ106" s="17"/>
      <c r="HXA106" s="17"/>
      <c r="HXB106" s="17"/>
      <c r="HXC106" s="17"/>
      <c r="HXD106" s="17"/>
      <c r="HXE106" s="17"/>
      <c r="HXF106" s="17"/>
      <c r="HXG106" s="17"/>
      <c r="HXH106" s="17"/>
      <c r="HXI106" s="17"/>
      <c r="HXJ106" s="17"/>
      <c r="HXK106" s="17"/>
      <c r="HXL106" s="17"/>
      <c r="HXM106" s="17"/>
      <c r="HXN106" s="17"/>
      <c r="HXO106" s="17"/>
      <c r="HXP106" s="17"/>
      <c r="HXQ106" s="17"/>
      <c r="HXR106" s="17"/>
      <c r="HXS106" s="17"/>
      <c r="HXT106" s="17"/>
      <c r="HXU106" s="17"/>
      <c r="HXV106" s="17"/>
      <c r="HXW106" s="17"/>
      <c r="HXX106" s="17"/>
      <c r="HXY106" s="17"/>
      <c r="HXZ106" s="17"/>
      <c r="HYA106" s="17"/>
      <c r="HYB106" s="17"/>
      <c r="HYC106" s="17"/>
      <c r="HYD106" s="17"/>
      <c r="HYE106" s="17"/>
      <c r="HYF106" s="17"/>
      <c r="HYG106" s="17"/>
      <c r="HYH106" s="17"/>
      <c r="HYI106" s="17"/>
      <c r="HYJ106" s="17"/>
      <c r="HYK106" s="17"/>
      <c r="HYL106" s="17"/>
      <c r="HYM106" s="17"/>
      <c r="HYN106" s="17"/>
      <c r="HYO106" s="17"/>
      <c r="HYP106" s="17"/>
      <c r="HYQ106" s="17"/>
      <c r="HYR106" s="17"/>
      <c r="HYS106" s="17"/>
      <c r="HYT106" s="17"/>
      <c r="HYU106" s="17"/>
      <c r="HYV106" s="17"/>
      <c r="HYW106" s="17"/>
      <c r="HYX106" s="17"/>
      <c r="HYY106" s="17"/>
      <c r="HYZ106" s="17"/>
      <c r="HZA106" s="17"/>
      <c r="HZB106" s="17"/>
      <c r="HZC106" s="17"/>
      <c r="HZD106" s="17"/>
      <c r="HZE106" s="17"/>
      <c r="HZF106" s="17"/>
      <c r="HZG106" s="17"/>
      <c r="HZH106" s="17"/>
      <c r="HZI106" s="17"/>
      <c r="HZJ106" s="17"/>
      <c r="HZK106" s="17"/>
      <c r="HZL106" s="17"/>
      <c r="HZM106" s="17"/>
      <c r="HZN106" s="17"/>
      <c r="HZO106" s="17"/>
      <c r="HZP106" s="17"/>
      <c r="HZQ106" s="17"/>
      <c r="HZR106" s="17"/>
      <c r="HZS106" s="17"/>
      <c r="HZT106" s="17"/>
      <c r="HZU106" s="17"/>
      <c r="HZV106" s="17"/>
      <c r="HZW106" s="17"/>
      <c r="HZX106" s="17"/>
      <c r="HZY106" s="17"/>
      <c r="HZZ106" s="17"/>
      <c r="IAA106" s="17"/>
      <c r="IAB106" s="17"/>
      <c r="IAC106" s="17"/>
      <c r="IAD106" s="17"/>
      <c r="IAE106" s="17"/>
      <c r="IAF106" s="17"/>
      <c r="IAG106" s="17"/>
      <c r="IAH106" s="17"/>
      <c r="IAI106" s="17"/>
      <c r="IAJ106" s="17"/>
      <c r="IAK106" s="17"/>
      <c r="IAL106" s="17"/>
      <c r="IAM106" s="17"/>
      <c r="IAN106" s="17"/>
      <c r="IAO106" s="17"/>
      <c r="IAP106" s="17"/>
      <c r="IAQ106" s="17"/>
      <c r="IAR106" s="17"/>
      <c r="IAS106" s="17"/>
      <c r="IAT106" s="17"/>
      <c r="IAU106" s="17"/>
      <c r="IAV106" s="17"/>
      <c r="IAW106" s="17"/>
      <c r="IAX106" s="17"/>
      <c r="IAY106" s="17"/>
      <c r="IAZ106" s="17"/>
      <c r="IBA106" s="17"/>
      <c r="IBB106" s="17"/>
      <c r="IBC106" s="17"/>
      <c r="IBD106" s="17"/>
      <c r="IBE106" s="17"/>
      <c r="IBF106" s="17"/>
      <c r="IBG106" s="17"/>
      <c r="IBH106" s="17"/>
      <c r="IBI106" s="17"/>
      <c r="IBJ106" s="17"/>
      <c r="IBK106" s="17"/>
      <c r="IBL106" s="17"/>
      <c r="IBM106" s="17"/>
      <c r="IBN106" s="17"/>
      <c r="IBO106" s="17"/>
      <c r="IBP106" s="17"/>
      <c r="IBQ106" s="17"/>
      <c r="IBR106" s="17"/>
      <c r="IBS106" s="17"/>
      <c r="IBT106" s="17"/>
      <c r="IBU106" s="17"/>
      <c r="IBV106" s="17"/>
      <c r="IBW106" s="17"/>
      <c r="IBX106" s="17"/>
      <c r="IBY106" s="17"/>
      <c r="IBZ106" s="17"/>
      <c r="ICA106" s="17"/>
      <c r="ICB106" s="17"/>
      <c r="ICC106" s="17"/>
      <c r="ICD106" s="17"/>
      <c r="ICE106" s="17"/>
      <c r="ICF106" s="17"/>
      <c r="ICG106" s="17"/>
      <c r="ICH106" s="17"/>
      <c r="ICI106" s="17"/>
      <c r="ICJ106" s="17"/>
      <c r="ICK106" s="17"/>
      <c r="ICL106" s="17"/>
      <c r="ICM106" s="17"/>
      <c r="ICN106" s="17"/>
      <c r="ICO106" s="17"/>
      <c r="ICP106" s="17"/>
      <c r="ICQ106" s="17"/>
      <c r="ICR106" s="17"/>
      <c r="ICS106" s="17"/>
      <c r="ICT106" s="17"/>
      <c r="ICU106" s="17"/>
      <c r="ICV106" s="17"/>
      <c r="ICW106" s="17"/>
      <c r="ICX106" s="17"/>
      <c r="ICY106" s="17"/>
      <c r="ICZ106" s="17"/>
      <c r="IDA106" s="17"/>
      <c r="IDB106" s="17"/>
      <c r="IDC106" s="17"/>
      <c r="IDD106" s="17"/>
      <c r="IDE106" s="17"/>
      <c r="IDF106" s="17"/>
      <c r="IDG106" s="17"/>
      <c r="IDH106" s="17"/>
      <c r="IDI106" s="17"/>
      <c r="IDJ106" s="17"/>
      <c r="IDK106" s="17"/>
      <c r="IDL106" s="17"/>
      <c r="IDM106" s="17"/>
      <c r="IDN106" s="17"/>
      <c r="IDO106" s="17"/>
      <c r="IDP106" s="17"/>
      <c r="IDQ106" s="17"/>
      <c r="IDR106" s="17"/>
      <c r="IDS106" s="17"/>
      <c r="IDT106" s="17"/>
      <c r="IDU106" s="17"/>
      <c r="IDV106" s="17"/>
      <c r="IDW106" s="17"/>
      <c r="IDX106" s="17"/>
      <c r="IDY106" s="17"/>
      <c r="IDZ106" s="17"/>
      <c r="IEA106" s="17"/>
      <c r="IEB106" s="17"/>
      <c r="IEC106" s="17"/>
      <c r="IED106" s="17"/>
      <c r="IEE106" s="17"/>
      <c r="IEF106" s="17"/>
      <c r="IEG106" s="17"/>
      <c r="IEH106" s="17"/>
      <c r="IEI106" s="17"/>
      <c r="IEJ106" s="17"/>
      <c r="IEK106" s="17"/>
      <c r="IEL106" s="17"/>
      <c r="IEM106" s="17"/>
      <c r="IEN106" s="17"/>
      <c r="IEO106" s="17"/>
      <c r="IEP106" s="17"/>
      <c r="IEQ106" s="17"/>
      <c r="IER106" s="17"/>
      <c r="IES106" s="17"/>
      <c r="IET106" s="17"/>
      <c r="IEU106" s="17"/>
      <c r="IEV106" s="17"/>
      <c r="IEW106" s="17"/>
      <c r="IEX106" s="17"/>
      <c r="IEY106" s="17"/>
      <c r="IEZ106" s="17"/>
      <c r="IFA106" s="17"/>
      <c r="IFB106" s="17"/>
      <c r="IFC106" s="17"/>
      <c r="IFD106" s="17"/>
      <c r="IFE106" s="17"/>
      <c r="IFF106" s="17"/>
      <c r="IFG106" s="17"/>
      <c r="IFH106" s="17"/>
      <c r="IFI106" s="17"/>
      <c r="IFJ106" s="17"/>
      <c r="IFK106" s="17"/>
      <c r="IFL106" s="17"/>
      <c r="IFM106" s="17"/>
      <c r="IFN106" s="17"/>
      <c r="IFO106" s="17"/>
      <c r="IFP106" s="17"/>
      <c r="IFQ106" s="17"/>
      <c r="IFR106" s="17"/>
      <c r="IFS106" s="17"/>
      <c r="IFT106" s="17"/>
      <c r="IFU106" s="17"/>
      <c r="IFV106" s="17"/>
      <c r="IFW106" s="17"/>
      <c r="IFX106" s="17"/>
      <c r="IFY106" s="17"/>
      <c r="IFZ106" s="17"/>
      <c r="IGA106" s="17"/>
      <c r="IGB106" s="17"/>
      <c r="IGC106" s="17"/>
      <c r="IGD106" s="17"/>
      <c r="IGE106" s="17"/>
      <c r="IGF106" s="17"/>
      <c r="IGG106" s="17"/>
      <c r="IGH106" s="17"/>
      <c r="IGI106" s="17"/>
      <c r="IGJ106" s="17"/>
      <c r="IGK106" s="17"/>
      <c r="IGL106" s="17"/>
      <c r="IGM106" s="17"/>
      <c r="IGN106" s="17"/>
      <c r="IGO106" s="17"/>
      <c r="IGP106" s="17"/>
      <c r="IGQ106" s="17"/>
      <c r="IGR106" s="17"/>
      <c r="IGS106" s="17"/>
      <c r="IGT106" s="17"/>
      <c r="IGU106" s="17"/>
      <c r="IGV106" s="17"/>
      <c r="IGW106" s="17"/>
      <c r="IGX106" s="17"/>
      <c r="IGY106" s="17"/>
      <c r="IGZ106" s="17"/>
      <c r="IHA106" s="17"/>
      <c r="IHB106" s="17"/>
      <c r="IHC106" s="17"/>
      <c r="IHD106" s="17"/>
      <c r="IHE106" s="17"/>
      <c r="IHF106" s="17"/>
      <c r="IHG106" s="17"/>
      <c r="IHH106" s="17"/>
      <c r="IHI106" s="17"/>
      <c r="IHJ106" s="17"/>
      <c r="IHK106" s="17"/>
      <c r="IHL106" s="17"/>
      <c r="IHM106" s="17"/>
      <c r="IHN106" s="17"/>
      <c r="IHO106" s="17"/>
      <c r="IHP106" s="17"/>
      <c r="IHQ106" s="17"/>
      <c r="IHR106" s="17"/>
      <c r="IHS106" s="17"/>
      <c r="IHT106" s="17"/>
      <c r="IHU106" s="17"/>
      <c r="IHV106" s="17"/>
      <c r="IHW106" s="17"/>
      <c r="IHX106" s="17"/>
      <c r="IHY106" s="17"/>
      <c r="IHZ106" s="17"/>
      <c r="IIA106" s="17"/>
      <c r="IIB106" s="17"/>
      <c r="IIC106" s="17"/>
      <c r="IID106" s="17"/>
      <c r="IIE106" s="17"/>
      <c r="IIF106" s="17"/>
      <c r="IIG106" s="17"/>
      <c r="IIH106" s="17"/>
      <c r="III106" s="17"/>
      <c r="IIJ106" s="17"/>
      <c r="IIK106" s="17"/>
      <c r="IIL106" s="17"/>
      <c r="IIM106" s="17"/>
      <c r="IIN106" s="17"/>
      <c r="IIO106" s="17"/>
      <c r="IIP106" s="17"/>
      <c r="IIQ106" s="17"/>
      <c r="IIR106" s="17"/>
      <c r="IIS106" s="17"/>
      <c r="IIT106" s="17"/>
      <c r="IIU106" s="17"/>
      <c r="IIV106" s="17"/>
      <c r="IIW106" s="17"/>
      <c r="IIX106" s="17"/>
      <c r="IIY106" s="17"/>
      <c r="IIZ106" s="17"/>
      <c r="IJA106" s="17"/>
      <c r="IJB106" s="17"/>
      <c r="IJC106" s="17"/>
      <c r="IJD106" s="17"/>
      <c r="IJE106" s="17"/>
      <c r="IJF106" s="17"/>
      <c r="IJG106" s="17"/>
      <c r="IJH106" s="17"/>
      <c r="IJI106" s="17"/>
      <c r="IJJ106" s="17"/>
      <c r="IJK106" s="17"/>
      <c r="IJL106" s="17"/>
      <c r="IJM106" s="17"/>
      <c r="IJN106" s="17"/>
      <c r="IJO106" s="17"/>
      <c r="IJP106" s="17"/>
      <c r="IJQ106" s="17"/>
      <c r="IJR106" s="17"/>
      <c r="IJS106" s="17"/>
      <c r="IJT106" s="17"/>
      <c r="IJU106" s="17"/>
      <c r="IJV106" s="17"/>
      <c r="IJW106" s="17"/>
      <c r="IJX106" s="17"/>
      <c r="IJY106" s="17"/>
      <c r="IJZ106" s="17"/>
      <c r="IKA106" s="17"/>
      <c r="IKB106" s="17"/>
      <c r="IKC106" s="17"/>
      <c r="IKD106" s="17"/>
      <c r="IKE106" s="17"/>
      <c r="IKF106" s="17"/>
      <c r="IKG106" s="17"/>
      <c r="IKH106" s="17"/>
      <c r="IKI106" s="17"/>
      <c r="IKJ106" s="17"/>
      <c r="IKK106" s="17"/>
      <c r="IKL106" s="17"/>
      <c r="IKM106" s="17"/>
      <c r="IKN106" s="17"/>
      <c r="IKO106" s="17"/>
      <c r="IKP106" s="17"/>
      <c r="IKQ106" s="17"/>
      <c r="IKR106" s="17"/>
      <c r="IKS106" s="17"/>
      <c r="IKT106" s="17"/>
      <c r="IKU106" s="17"/>
      <c r="IKV106" s="17"/>
      <c r="IKW106" s="17"/>
      <c r="IKX106" s="17"/>
      <c r="IKY106" s="17"/>
      <c r="IKZ106" s="17"/>
      <c r="ILA106" s="17"/>
      <c r="ILB106" s="17"/>
      <c r="ILC106" s="17"/>
      <c r="ILD106" s="17"/>
      <c r="ILE106" s="17"/>
      <c r="ILF106" s="17"/>
      <c r="ILG106" s="17"/>
      <c r="ILH106" s="17"/>
      <c r="ILI106" s="17"/>
      <c r="ILJ106" s="17"/>
      <c r="ILK106" s="17"/>
      <c r="ILL106" s="17"/>
      <c r="ILM106" s="17"/>
      <c r="ILN106" s="17"/>
      <c r="ILO106" s="17"/>
      <c r="ILP106" s="17"/>
      <c r="ILQ106" s="17"/>
      <c r="ILR106" s="17"/>
      <c r="ILS106" s="17"/>
      <c r="ILT106" s="17"/>
      <c r="ILU106" s="17"/>
      <c r="ILV106" s="17"/>
      <c r="ILW106" s="17"/>
      <c r="ILX106" s="17"/>
      <c r="ILY106" s="17"/>
      <c r="ILZ106" s="17"/>
      <c r="IMA106" s="17"/>
      <c r="IMB106" s="17"/>
      <c r="IMC106" s="17"/>
      <c r="IMD106" s="17"/>
      <c r="IME106" s="17"/>
      <c r="IMF106" s="17"/>
      <c r="IMG106" s="17"/>
      <c r="IMH106" s="17"/>
      <c r="IMI106" s="17"/>
      <c r="IMJ106" s="17"/>
      <c r="IMK106" s="17"/>
      <c r="IML106" s="17"/>
      <c r="IMM106" s="17"/>
      <c r="IMN106" s="17"/>
      <c r="IMO106" s="17"/>
      <c r="IMP106" s="17"/>
      <c r="IMQ106" s="17"/>
      <c r="IMR106" s="17"/>
      <c r="IMS106" s="17"/>
      <c r="IMT106" s="17"/>
      <c r="IMU106" s="17"/>
      <c r="IMV106" s="17"/>
      <c r="IMW106" s="17"/>
      <c r="IMX106" s="17"/>
      <c r="IMY106" s="17"/>
      <c r="IMZ106" s="17"/>
      <c r="INA106" s="17"/>
      <c r="INB106" s="17"/>
      <c r="INC106" s="17"/>
      <c r="IND106" s="17"/>
      <c r="INE106" s="17"/>
      <c r="INF106" s="17"/>
      <c r="ING106" s="17"/>
      <c r="INH106" s="17"/>
      <c r="INI106" s="17"/>
      <c r="INJ106" s="17"/>
      <c r="INK106" s="17"/>
      <c r="INL106" s="17"/>
      <c r="INM106" s="17"/>
      <c r="INN106" s="17"/>
      <c r="INO106" s="17"/>
      <c r="INP106" s="17"/>
      <c r="INQ106" s="17"/>
      <c r="INR106" s="17"/>
      <c r="INS106" s="17"/>
      <c r="INT106" s="17"/>
      <c r="INU106" s="17"/>
      <c r="INV106" s="17"/>
      <c r="INW106" s="17"/>
      <c r="INX106" s="17"/>
      <c r="INY106" s="17"/>
      <c r="INZ106" s="17"/>
      <c r="IOA106" s="17"/>
      <c r="IOB106" s="17"/>
      <c r="IOC106" s="17"/>
      <c r="IOD106" s="17"/>
      <c r="IOE106" s="17"/>
      <c r="IOF106" s="17"/>
      <c r="IOG106" s="17"/>
      <c r="IOH106" s="17"/>
      <c r="IOI106" s="17"/>
      <c r="IOJ106" s="17"/>
      <c r="IOK106" s="17"/>
      <c r="IOL106" s="17"/>
      <c r="IOM106" s="17"/>
      <c r="ION106" s="17"/>
      <c r="IOO106" s="17"/>
      <c r="IOP106" s="17"/>
      <c r="IOQ106" s="17"/>
      <c r="IOR106" s="17"/>
      <c r="IOS106" s="17"/>
      <c r="IOT106" s="17"/>
      <c r="IOU106" s="17"/>
      <c r="IOV106" s="17"/>
      <c r="IOW106" s="17"/>
      <c r="IOX106" s="17"/>
      <c r="IOY106" s="17"/>
      <c r="IOZ106" s="17"/>
      <c r="IPA106" s="17"/>
      <c r="IPB106" s="17"/>
      <c r="IPC106" s="17"/>
      <c r="IPD106" s="17"/>
      <c r="IPE106" s="17"/>
      <c r="IPF106" s="17"/>
      <c r="IPG106" s="17"/>
      <c r="IPH106" s="17"/>
      <c r="IPI106" s="17"/>
      <c r="IPJ106" s="17"/>
      <c r="IPK106" s="17"/>
      <c r="IPL106" s="17"/>
      <c r="IPM106" s="17"/>
      <c r="IPN106" s="17"/>
      <c r="IPO106" s="17"/>
      <c r="IPP106" s="17"/>
      <c r="IPQ106" s="17"/>
      <c r="IPR106" s="17"/>
      <c r="IPS106" s="17"/>
      <c r="IPT106" s="17"/>
      <c r="IPU106" s="17"/>
      <c r="IPV106" s="17"/>
      <c r="IPW106" s="17"/>
      <c r="IPX106" s="17"/>
      <c r="IPY106" s="17"/>
      <c r="IPZ106" s="17"/>
      <c r="IQA106" s="17"/>
      <c r="IQB106" s="17"/>
      <c r="IQC106" s="17"/>
      <c r="IQD106" s="17"/>
      <c r="IQE106" s="17"/>
      <c r="IQF106" s="17"/>
      <c r="IQG106" s="17"/>
      <c r="IQH106" s="17"/>
      <c r="IQI106" s="17"/>
      <c r="IQJ106" s="17"/>
      <c r="IQK106" s="17"/>
      <c r="IQL106" s="17"/>
      <c r="IQM106" s="17"/>
      <c r="IQN106" s="17"/>
      <c r="IQO106" s="17"/>
      <c r="IQP106" s="17"/>
      <c r="IQQ106" s="17"/>
      <c r="IQR106" s="17"/>
      <c r="IQS106" s="17"/>
      <c r="IQT106" s="17"/>
      <c r="IQU106" s="17"/>
      <c r="IQV106" s="17"/>
      <c r="IQW106" s="17"/>
      <c r="IQX106" s="17"/>
      <c r="IQY106" s="17"/>
      <c r="IQZ106" s="17"/>
      <c r="IRA106" s="17"/>
      <c r="IRB106" s="17"/>
      <c r="IRC106" s="17"/>
      <c r="IRD106" s="17"/>
      <c r="IRE106" s="17"/>
      <c r="IRF106" s="17"/>
      <c r="IRG106" s="17"/>
      <c r="IRH106" s="17"/>
      <c r="IRI106" s="17"/>
      <c r="IRJ106" s="17"/>
      <c r="IRK106" s="17"/>
      <c r="IRL106" s="17"/>
      <c r="IRM106" s="17"/>
      <c r="IRN106" s="17"/>
      <c r="IRO106" s="17"/>
      <c r="IRP106" s="17"/>
      <c r="IRQ106" s="17"/>
      <c r="IRR106" s="17"/>
      <c r="IRS106" s="17"/>
      <c r="IRT106" s="17"/>
      <c r="IRU106" s="17"/>
      <c r="IRV106" s="17"/>
      <c r="IRW106" s="17"/>
      <c r="IRX106" s="17"/>
      <c r="IRY106" s="17"/>
      <c r="IRZ106" s="17"/>
      <c r="ISA106" s="17"/>
      <c r="ISB106" s="17"/>
      <c r="ISC106" s="17"/>
      <c r="ISD106" s="17"/>
      <c r="ISE106" s="17"/>
      <c r="ISF106" s="17"/>
      <c r="ISG106" s="17"/>
      <c r="ISH106" s="17"/>
      <c r="ISI106" s="17"/>
      <c r="ISJ106" s="17"/>
      <c r="ISK106" s="17"/>
      <c r="ISL106" s="17"/>
      <c r="ISM106" s="17"/>
      <c r="ISN106" s="17"/>
      <c r="ISO106" s="17"/>
      <c r="ISP106" s="17"/>
      <c r="ISQ106" s="17"/>
      <c r="ISR106" s="17"/>
      <c r="ISS106" s="17"/>
      <c r="IST106" s="17"/>
      <c r="ISU106" s="17"/>
      <c r="ISV106" s="17"/>
      <c r="ISW106" s="17"/>
      <c r="ISX106" s="17"/>
      <c r="ISY106" s="17"/>
      <c r="ISZ106" s="17"/>
      <c r="ITA106" s="17"/>
      <c r="ITB106" s="17"/>
      <c r="ITC106" s="17"/>
      <c r="ITD106" s="17"/>
      <c r="ITE106" s="17"/>
      <c r="ITF106" s="17"/>
      <c r="ITG106" s="17"/>
      <c r="ITH106" s="17"/>
      <c r="ITI106" s="17"/>
      <c r="ITJ106" s="17"/>
      <c r="ITK106" s="17"/>
      <c r="ITL106" s="17"/>
      <c r="ITM106" s="17"/>
      <c r="ITN106" s="17"/>
      <c r="ITO106" s="17"/>
      <c r="ITP106" s="17"/>
      <c r="ITQ106" s="17"/>
      <c r="ITR106" s="17"/>
      <c r="ITS106" s="17"/>
      <c r="ITT106" s="17"/>
      <c r="ITU106" s="17"/>
      <c r="ITV106" s="17"/>
      <c r="ITW106" s="17"/>
      <c r="ITX106" s="17"/>
      <c r="ITY106" s="17"/>
      <c r="ITZ106" s="17"/>
      <c r="IUA106" s="17"/>
      <c r="IUB106" s="17"/>
      <c r="IUC106" s="17"/>
      <c r="IUD106" s="17"/>
      <c r="IUE106" s="17"/>
      <c r="IUF106" s="17"/>
      <c r="IUG106" s="17"/>
      <c r="IUH106" s="17"/>
      <c r="IUI106" s="17"/>
      <c r="IUJ106" s="17"/>
      <c r="IUK106" s="17"/>
      <c r="IUL106" s="17"/>
      <c r="IUM106" s="17"/>
      <c r="IUN106" s="17"/>
      <c r="IUO106" s="17"/>
      <c r="IUP106" s="17"/>
      <c r="IUQ106" s="17"/>
      <c r="IUR106" s="17"/>
      <c r="IUS106" s="17"/>
      <c r="IUT106" s="17"/>
      <c r="IUU106" s="17"/>
      <c r="IUV106" s="17"/>
      <c r="IUW106" s="17"/>
      <c r="IUX106" s="17"/>
      <c r="IUY106" s="17"/>
      <c r="IUZ106" s="17"/>
      <c r="IVA106" s="17"/>
      <c r="IVB106" s="17"/>
      <c r="IVC106" s="17"/>
      <c r="IVD106" s="17"/>
      <c r="IVE106" s="17"/>
      <c r="IVF106" s="17"/>
      <c r="IVG106" s="17"/>
      <c r="IVH106" s="17"/>
      <c r="IVI106" s="17"/>
      <c r="IVJ106" s="17"/>
      <c r="IVK106" s="17"/>
      <c r="IVL106" s="17"/>
      <c r="IVM106" s="17"/>
      <c r="IVN106" s="17"/>
      <c r="IVO106" s="17"/>
      <c r="IVP106" s="17"/>
      <c r="IVQ106" s="17"/>
      <c r="IVR106" s="17"/>
      <c r="IVS106" s="17"/>
      <c r="IVT106" s="17"/>
      <c r="IVU106" s="17"/>
      <c r="IVV106" s="17"/>
      <c r="IVW106" s="17"/>
      <c r="IVX106" s="17"/>
      <c r="IVY106" s="17"/>
      <c r="IVZ106" s="17"/>
      <c r="IWA106" s="17"/>
      <c r="IWB106" s="17"/>
      <c r="IWC106" s="17"/>
      <c r="IWD106" s="17"/>
      <c r="IWE106" s="17"/>
      <c r="IWF106" s="17"/>
      <c r="IWG106" s="17"/>
      <c r="IWH106" s="17"/>
      <c r="IWI106" s="17"/>
      <c r="IWJ106" s="17"/>
      <c r="IWK106" s="17"/>
      <c r="IWL106" s="17"/>
      <c r="IWM106" s="17"/>
      <c r="IWN106" s="17"/>
      <c r="IWO106" s="17"/>
      <c r="IWP106" s="17"/>
      <c r="IWQ106" s="17"/>
      <c r="IWR106" s="17"/>
      <c r="IWS106" s="17"/>
      <c r="IWT106" s="17"/>
      <c r="IWU106" s="17"/>
      <c r="IWV106" s="17"/>
      <c r="IWW106" s="17"/>
      <c r="IWX106" s="17"/>
      <c r="IWY106" s="17"/>
      <c r="IWZ106" s="17"/>
      <c r="IXA106" s="17"/>
      <c r="IXB106" s="17"/>
      <c r="IXC106" s="17"/>
      <c r="IXD106" s="17"/>
      <c r="IXE106" s="17"/>
      <c r="IXF106" s="17"/>
      <c r="IXG106" s="17"/>
      <c r="IXH106" s="17"/>
      <c r="IXI106" s="17"/>
      <c r="IXJ106" s="17"/>
      <c r="IXK106" s="17"/>
      <c r="IXL106" s="17"/>
      <c r="IXM106" s="17"/>
      <c r="IXN106" s="17"/>
      <c r="IXO106" s="17"/>
      <c r="IXP106" s="17"/>
      <c r="IXQ106" s="17"/>
      <c r="IXR106" s="17"/>
      <c r="IXS106" s="17"/>
      <c r="IXT106" s="17"/>
      <c r="IXU106" s="17"/>
      <c r="IXV106" s="17"/>
      <c r="IXW106" s="17"/>
      <c r="IXX106" s="17"/>
      <c r="IXY106" s="17"/>
      <c r="IXZ106" s="17"/>
      <c r="IYA106" s="17"/>
      <c r="IYB106" s="17"/>
      <c r="IYC106" s="17"/>
      <c r="IYD106" s="17"/>
      <c r="IYE106" s="17"/>
      <c r="IYF106" s="17"/>
      <c r="IYG106" s="17"/>
      <c r="IYH106" s="17"/>
      <c r="IYI106" s="17"/>
      <c r="IYJ106" s="17"/>
      <c r="IYK106" s="17"/>
      <c r="IYL106" s="17"/>
      <c r="IYM106" s="17"/>
      <c r="IYN106" s="17"/>
      <c r="IYO106" s="17"/>
      <c r="IYP106" s="17"/>
      <c r="IYQ106" s="17"/>
      <c r="IYR106" s="17"/>
      <c r="IYS106" s="17"/>
      <c r="IYT106" s="17"/>
      <c r="IYU106" s="17"/>
      <c r="IYV106" s="17"/>
      <c r="IYW106" s="17"/>
      <c r="IYX106" s="17"/>
      <c r="IYY106" s="17"/>
      <c r="IYZ106" s="17"/>
      <c r="IZA106" s="17"/>
      <c r="IZB106" s="17"/>
      <c r="IZC106" s="17"/>
      <c r="IZD106" s="17"/>
      <c r="IZE106" s="17"/>
      <c r="IZF106" s="17"/>
      <c r="IZG106" s="17"/>
      <c r="IZH106" s="17"/>
      <c r="IZI106" s="17"/>
      <c r="IZJ106" s="17"/>
      <c r="IZK106" s="17"/>
      <c r="IZL106" s="17"/>
      <c r="IZM106" s="17"/>
      <c r="IZN106" s="17"/>
      <c r="IZO106" s="17"/>
      <c r="IZP106" s="17"/>
      <c r="IZQ106" s="17"/>
      <c r="IZR106" s="17"/>
      <c r="IZS106" s="17"/>
      <c r="IZT106" s="17"/>
      <c r="IZU106" s="17"/>
      <c r="IZV106" s="17"/>
      <c r="IZW106" s="17"/>
      <c r="IZX106" s="17"/>
      <c r="IZY106" s="17"/>
      <c r="IZZ106" s="17"/>
      <c r="JAA106" s="17"/>
      <c r="JAB106" s="17"/>
      <c r="JAC106" s="17"/>
      <c r="JAD106" s="17"/>
      <c r="JAE106" s="17"/>
      <c r="JAF106" s="17"/>
      <c r="JAG106" s="17"/>
      <c r="JAH106" s="17"/>
      <c r="JAI106" s="17"/>
      <c r="JAJ106" s="17"/>
      <c r="JAK106" s="17"/>
      <c r="JAL106" s="17"/>
      <c r="JAM106" s="17"/>
      <c r="JAN106" s="17"/>
      <c r="JAO106" s="17"/>
      <c r="JAP106" s="17"/>
      <c r="JAQ106" s="17"/>
      <c r="JAR106" s="17"/>
      <c r="JAS106" s="17"/>
      <c r="JAT106" s="17"/>
      <c r="JAU106" s="17"/>
      <c r="JAV106" s="17"/>
      <c r="JAW106" s="17"/>
      <c r="JAX106" s="17"/>
      <c r="JAY106" s="17"/>
      <c r="JAZ106" s="17"/>
      <c r="JBA106" s="17"/>
      <c r="JBB106" s="17"/>
      <c r="JBC106" s="17"/>
      <c r="JBD106" s="17"/>
      <c r="JBE106" s="17"/>
      <c r="JBF106" s="17"/>
      <c r="JBG106" s="17"/>
      <c r="JBH106" s="17"/>
      <c r="JBI106" s="17"/>
      <c r="JBJ106" s="17"/>
      <c r="JBK106" s="17"/>
      <c r="JBL106" s="17"/>
      <c r="JBM106" s="17"/>
      <c r="JBN106" s="17"/>
      <c r="JBO106" s="17"/>
      <c r="JBP106" s="17"/>
      <c r="JBQ106" s="17"/>
      <c r="JBR106" s="17"/>
      <c r="JBS106" s="17"/>
      <c r="JBT106" s="17"/>
      <c r="JBU106" s="17"/>
      <c r="JBV106" s="17"/>
      <c r="JBW106" s="17"/>
      <c r="JBX106" s="17"/>
      <c r="JBY106" s="17"/>
      <c r="JBZ106" s="17"/>
      <c r="JCA106" s="17"/>
      <c r="JCB106" s="17"/>
      <c r="JCC106" s="17"/>
      <c r="JCD106" s="17"/>
      <c r="JCE106" s="17"/>
      <c r="JCF106" s="17"/>
      <c r="JCG106" s="17"/>
      <c r="JCH106" s="17"/>
      <c r="JCI106" s="17"/>
      <c r="JCJ106" s="17"/>
      <c r="JCK106" s="17"/>
      <c r="JCL106" s="17"/>
      <c r="JCM106" s="17"/>
      <c r="JCN106" s="17"/>
      <c r="JCO106" s="17"/>
      <c r="JCP106" s="17"/>
      <c r="JCQ106" s="17"/>
      <c r="JCR106" s="17"/>
      <c r="JCS106" s="17"/>
      <c r="JCT106" s="17"/>
      <c r="JCU106" s="17"/>
      <c r="JCV106" s="17"/>
      <c r="JCW106" s="17"/>
      <c r="JCX106" s="17"/>
      <c r="JCY106" s="17"/>
      <c r="JCZ106" s="17"/>
      <c r="JDA106" s="17"/>
      <c r="JDB106" s="17"/>
      <c r="JDC106" s="17"/>
      <c r="JDD106" s="17"/>
      <c r="JDE106" s="17"/>
      <c r="JDF106" s="17"/>
      <c r="JDG106" s="17"/>
      <c r="JDH106" s="17"/>
      <c r="JDI106" s="17"/>
      <c r="JDJ106" s="17"/>
      <c r="JDK106" s="17"/>
      <c r="JDL106" s="17"/>
      <c r="JDM106" s="17"/>
      <c r="JDN106" s="17"/>
      <c r="JDO106" s="17"/>
      <c r="JDP106" s="17"/>
      <c r="JDQ106" s="17"/>
      <c r="JDR106" s="17"/>
      <c r="JDS106" s="17"/>
      <c r="JDT106" s="17"/>
      <c r="JDU106" s="17"/>
      <c r="JDV106" s="17"/>
      <c r="JDW106" s="17"/>
      <c r="JDX106" s="17"/>
      <c r="JDY106" s="17"/>
      <c r="JDZ106" s="17"/>
      <c r="JEA106" s="17"/>
      <c r="JEB106" s="17"/>
      <c r="JEC106" s="17"/>
      <c r="JED106" s="17"/>
      <c r="JEE106" s="17"/>
      <c r="JEF106" s="17"/>
      <c r="JEG106" s="17"/>
      <c r="JEH106" s="17"/>
      <c r="JEI106" s="17"/>
      <c r="JEJ106" s="17"/>
      <c r="JEK106" s="17"/>
      <c r="JEL106" s="17"/>
      <c r="JEM106" s="17"/>
      <c r="JEN106" s="17"/>
      <c r="JEO106" s="17"/>
      <c r="JEP106" s="17"/>
      <c r="JEQ106" s="17"/>
      <c r="JER106" s="17"/>
      <c r="JES106" s="17"/>
      <c r="JET106" s="17"/>
      <c r="JEU106" s="17"/>
      <c r="JEV106" s="17"/>
      <c r="JEW106" s="17"/>
      <c r="JEX106" s="17"/>
      <c r="JEY106" s="17"/>
      <c r="JEZ106" s="17"/>
      <c r="JFA106" s="17"/>
      <c r="JFB106" s="17"/>
      <c r="JFC106" s="17"/>
      <c r="JFD106" s="17"/>
      <c r="JFE106" s="17"/>
      <c r="JFF106" s="17"/>
      <c r="JFG106" s="17"/>
      <c r="JFH106" s="17"/>
      <c r="JFI106" s="17"/>
      <c r="JFJ106" s="17"/>
      <c r="JFK106" s="17"/>
      <c r="JFL106" s="17"/>
      <c r="JFM106" s="17"/>
      <c r="JFN106" s="17"/>
      <c r="JFO106" s="17"/>
      <c r="JFP106" s="17"/>
      <c r="JFQ106" s="17"/>
      <c r="JFR106" s="17"/>
      <c r="JFS106" s="17"/>
      <c r="JFT106" s="17"/>
      <c r="JFU106" s="17"/>
      <c r="JFV106" s="17"/>
      <c r="JFW106" s="17"/>
      <c r="JFX106" s="17"/>
      <c r="JFY106" s="17"/>
      <c r="JFZ106" s="17"/>
      <c r="JGA106" s="17"/>
      <c r="JGB106" s="17"/>
      <c r="JGC106" s="17"/>
      <c r="JGD106" s="17"/>
      <c r="JGE106" s="17"/>
      <c r="JGF106" s="17"/>
      <c r="JGG106" s="17"/>
      <c r="JGH106" s="17"/>
      <c r="JGI106" s="17"/>
      <c r="JGJ106" s="17"/>
      <c r="JGK106" s="17"/>
      <c r="JGL106" s="17"/>
      <c r="JGM106" s="17"/>
      <c r="JGN106" s="17"/>
      <c r="JGO106" s="17"/>
      <c r="JGP106" s="17"/>
      <c r="JGQ106" s="17"/>
      <c r="JGR106" s="17"/>
      <c r="JGS106" s="17"/>
      <c r="JGT106" s="17"/>
      <c r="JGU106" s="17"/>
      <c r="JGV106" s="17"/>
      <c r="JGW106" s="17"/>
      <c r="JGX106" s="17"/>
      <c r="JGY106" s="17"/>
      <c r="JGZ106" s="17"/>
      <c r="JHA106" s="17"/>
      <c r="JHB106" s="17"/>
      <c r="JHC106" s="17"/>
      <c r="JHD106" s="17"/>
      <c r="JHE106" s="17"/>
      <c r="JHF106" s="17"/>
      <c r="JHG106" s="17"/>
      <c r="JHH106" s="17"/>
      <c r="JHI106" s="17"/>
      <c r="JHJ106" s="17"/>
      <c r="JHK106" s="17"/>
      <c r="JHL106" s="17"/>
      <c r="JHM106" s="17"/>
      <c r="JHN106" s="17"/>
      <c r="JHO106" s="17"/>
      <c r="JHP106" s="17"/>
      <c r="JHQ106" s="17"/>
      <c r="JHR106" s="17"/>
      <c r="JHS106" s="17"/>
      <c r="JHT106" s="17"/>
      <c r="JHU106" s="17"/>
      <c r="JHV106" s="17"/>
      <c r="JHW106" s="17"/>
      <c r="JHX106" s="17"/>
      <c r="JHY106" s="17"/>
      <c r="JHZ106" s="17"/>
      <c r="JIA106" s="17"/>
      <c r="JIB106" s="17"/>
      <c r="JIC106" s="17"/>
      <c r="JID106" s="17"/>
      <c r="JIE106" s="17"/>
      <c r="JIF106" s="17"/>
      <c r="JIG106" s="17"/>
      <c r="JIH106" s="17"/>
      <c r="JII106" s="17"/>
      <c r="JIJ106" s="17"/>
      <c r="JIK106" s="17"/>
      <c r="JIL106" s="17"/>
      <c r="JIM106" s="17"/>
      <c r="JIN106" s="17"/>
      <c r="JIO106" s="17"/>
      <c r="JIP106" s="17"/>
      <c r="JIQ106" s="17"/>
      <c r="JIR106" s="17"/>
      <c r="JIS106" s="17"/>
      <c r="JIT106" s="17"/>
      <c r="JIU106" s="17"/>
      <c r="JIV106" s="17"/>
      <c r="JIW106" s="17"/>
      <c r="JIX106" s="17"/>
      <c r="JIY106" s="17"/>
      <c r="JIZ106" s="17"/>
      <c r="JJA106" s="17"/>
      <c r="JJB106" s="17"/>
      <c r="JJC106" s="17"/>
      <c r="JJD106" s="17"/>
      <c r="JJE106" s="17"/>
      <c r="JJF106" s="17"/>
      <c r="JJG106" s="17"/>
      <c r="JJH106" s="17"/>
      <c r="JJI106" s="17"/>
      <c r="JJJ106" s="17"/>
      <c r="JJK106" s="17"/>
      <c r="JJL106" s="17"/>
      <c r="JJM106" s="17"/>
      <c r="JJN106" s="17"/>
      <c r="JJO106" s="17"/>
      <c r="JJP106" s="17"/>
      <c r="JJQ106" s="17"/>
      <c r="JJR106" s="17"/>
      <c r="JJS106" s="17"/>
      <c r="JJT106" s="17"/>
      <c r="JJU106" s="17"/>
      <c r="JJV106" s="17"/>
      <c r="JJW106" s="17"/>
      <c r="JJX106" s="17"/>
      <c r="JJY106" s="17"/>
      <c r="JJZ106" s="17"/>
      <c r="JKA106" s="17"/>
      <c r="JKB106" s="17"/>
      <c r="JKC106" s="17"/>
      <c r="JKD106" s="17"/>
      <c r="JKE106" s="17"/>
      <c r="JKF106" s="17"/>
      <c r="JKG106" s="17"/>
      <c r="JKH106" s="17"/>
      <c r="JKI106" s="17"/>
      <c r="JKJ106" s="17"/>
      <c r="JKK106" s="17"/>
      <c r="JKL106" s="17"/>
      <c r="JKM106" s="17"/>
      <c r="JKN106" s="17"/>
      <c r="JKO106" s="17"/>
      <c r="JKP106" s="17"/>
      <c r="JKQ106" s="17"/>
      <c r="JKR106" s="17"/>
      <c r="JKS106" s="17"/>
      <c r="JKT106" s="17"/>
      <c r="JKU106" s="17"/>
      <c r="JKV106" s="17"/>
      <c r="JKW106" s="17"/>
      <c r="JKX106" s="17"/>
      <c r="JKY106" s="17"/>
      <c r="JKZ106" s="17"/>
      <c r="JLA106" s="17"/>
      <c r="JLB106" s="17"/>
      <c r="JLC106" s="17"/>
      <c r="JLD106" s="17"/>
      <c r="JLE106" s="17"/>
      <c r="JLF106" s="17"/>
      <c r="JLG106" s="17"/>
      <c r="JLH106" s="17"/>
      <c r="JLI106" s="17"/>
      <c r="JLJ106" s="17"/>
      <c r="JLK106" s="17"/>
      <c r="JLL106" s="17"/>
      <c r="JLM106" s="17"/>
      <c r="JLN106" s="17"/>
      <c r="JLO106" s="17"/>
      <c r="JLP106" s="17"/>
      <c r="JLQ106" s="17"/>
      <c r="JLR106" s="17"/>
      <c r="JLS106" s="17"/>
      <c r="JLT106" s="17"/>
      <c r="JLU106" s="17"/>
      <c r="JLV106" s="17"/>
      <c r="JLW106" s="17"/>
      <c r="JLX106" s="17"/>
      <c r="JLY106" s="17"/>
      <c r="JLZ106" s="17"/>
      <c r="JMA106" s="17"/>
      <c r="JMB106" s="17"/>
      <c r="JMC106" s="17"/>
      <c r="JMD106" s="17"/>
      <c r="JME106" s="17"/>
      <c r="JMF106" s="17"/>
      <c r="JMG106" s="17"/>
      <c r="JMH106" s="17"/>
      <c r="JMI106" s="17"/>
      <c r="JMJ106" s="17"/>
      <c r="JMK106" s="17"/>
      <c r="JML106" s="17"/>
      <c r="JMM106" s="17"/>
      <c r="JMN106" s="17"/>
      <c r="JMO106" s="17"/>
      <c r="JMP106" s="17"/>
      <c r="JMQ106" s="17"/>
      <c r="JMR106" s="17"/>
      <c r="JMS106" s="17"/>
      <c r="JMT106" s="17"/>
      <c r="JMU106" s="17"/>
      <c r="JMV106" s="17"/>
      <c r="JMW106" s="17"/>
      <c r="JMX106" s="17"/>
      <c r="JMY106" s="17"/>
      <c r="JMZ106" s="17"/>
      <c r="JNA106" s="17"/>
      <c r="JNB106" s="17"/>
      <c r="JNC106" s="17"/>
      <c r="JND106" s="17"/>
      <c r="JNE106" s="17"/>
      <c r="JNF106" s="17"/>
      <c r="JNG106" s="17"/>
      <c r="JNH106" s="17"/>
      <c r="JNI106" s="17"/>
      <c r="JNJ106" s="17"/>
      <c r="JNK106" s="17"/>
      <c r="JNL106" s="17"/>
      <c r="JNM106" s="17"/>
      <c r="JNN106" s="17"/>
      <c r="JNO106" s="17"/>
      <c r="JNP106" s="17"/>
      <c r="JNQ106" s="17"/>
      <c r="JNR106" s="17"/>
      <c r="JNS106" s="17"/>
      <c r="JNT106" s="17"/>
      <c r="JNU106" s="17"/>
      <c r="JNV106" s="17"/>
      <c r="JNW106" s="17"/>
      <c r="JNX106" s="17"/>
      <c r="JNY106" s="17"/>
      <c r="JNZ106" s="17"/>
      <c r="JOA106" s="17"/>
      <c r="JOB106" s="17"/>
      <c r="JOC106" s="17"/>
      <c r="JOD106" s="17"/>
      <c r="JOE106" s="17"/>
      <c r="JOF106" s="17"/>
      <c r="JOG106" s="17"/>
      <c r="JOH106" s="17"/>
      <c r="JOI106" s="17"/>
      <c r="JOJ106" s="17"/>
      <c r="JOK106" s="17"/>
      <c r="JOL106" s="17"/>
      <c r="JOM106" s="17"/>
      <c r="JON106" s="17"/>
      <c r="JOO106" s="17"/>
      <c r="JOP106" s="17"/>
      <c r="JOQ106" s="17"/>
      <c r="JOR106" s="17"/>
      <c r="JOS106" s="17"/>
      <c r="JOT106" s="17"/>
      <c r="JOU106" s="17"/>
      <c r="JOV106" s="17"/>
      <c r="JOW106" s="17"/>
      <c r="JOX106" s="17"/>
      <c r="JOY106" s="17"/>
      <c r="JOZ106" s="17"/>
      <c r="JPA106" s="17"/>
      <c r="JPB106" s="17"/>
      <c r="JPC106" s="17"/>
      <c r="JPD106" s="17"/>
      <c r="JPE106" s="17"/>
      <c r="JPF106" s="17"/>
      <c r="JPG106" s="17"/>
      <c r="JPH106" s="17"/>
      <c r="JPI106" s="17"/>
      <c r="JPJ106" s="17"/>
      <c r="JPK106" s="17"/>
      <c r="JPL106" s="17"/>
      <c r="JPM106" s="17"/>
      <c r="JPN106" s="17"/>
      <c r="JPO106" s="17"/>
      <c r="JPP106" s="17"/>
      <c r="JPQ106" s="17"/>
      <c r="JPR106" s="17"/>
      <c r="JPS106" s="17"/>
      <c r="JPT106" s="17"/>
      <c r="JPU106" s="17"/>
      <c r="JPV106" s="17"/>
      <c r="JPW106" s="17"/>
      <c r="JPX106" s="17"/>
      <c r="JPY106" s="17"/>
      <c r="JPZ106" s="17"/>
      <c r="JQA106" s="17"/>
      <c r="JQB106" s="17"/>
      <c r="JQC106" s="17"/>
      <c r="JQD106" s="17"/>
      <c r="JQE106" s="17"/>
      <c r="JQF106" s="17"/>
      <c r="JQG106" s="17"/>
      <c r="JQH106" s="17"/>
      <c r="JQI106" s="17"/>
      <c r="JQJ106" s="17"/>
      <c r="JQK106" s="17"/>
      <c r="JQL106" s="17"/>
      <c r="JQM106" s="17"/>
      <c r="JQN106" s="17"/>
      <c r="JQO106" s="17"/>
      <c r="JQP106" s="17"/>
      <c r="JQQ106" s="17"/>
      <c r="JQR106" s="17"/>
      <c r="JQS106" s="17"/>
      <c r="JQT106" s="17"/>
      <c r="JQU106" s="17"/>
      <c r="JQV106" s="17"/>
      <c r="JQW106" s="17"/>
      <c r="JQX106" s="17"/>
      <c r="JQY106" s="17"/>
      <c r="JQZ106" s="17"/>
      <c r="JRA106" s="17"/>
      <c r="JRB106" s="17"/>
      <c r="JRC106" s="17"/>
      <c r="JRD106" s="17"/>
      <c r="JRE106" s="17"/>
      <c r="JRF106" s="17"/>
      <c r="JRG106" s="17"/>
      <c r="JRH106" s="17"/>
      <c r="JRI106" s="17"/>
      <c r="JRJ106" s="17"/>
      <c r="JRK106" s="17"/>
      <c r="JRL106" s="17"/>
      <c r="JRM106" s="17"/>
      <c r="JRN106" s="17"/>
      <c r="JRO106" s="17"/>
      <c r="JRP106" s="17"/>
      <c r="JRQ106" s="17"/>
      <c r="JRR106" s="17"/>
      <c r="JRS106" s="17"/>
      <c r="JRT106" s="17"/>
      <c r="JRU106" s="17"/>
      <c r="JRV106" s="17"/>
      <c r="JRW106" s="17"/>
      <c r="JRX106" s="17"/>
      <c r="JRY106" s="17"/>
      <c r="JRZ106" s="17"/>
      <c r="JSA106" s="17"/>
      <c r="JSB106" s="17"/>
      <c r="JSC106" s="17"/>
      <c r="JSD106" s="17"/>
      <c r="JSE106" s="17"/>
      <c r="JSF106" s="17"/>
      <c r="JSG106" s="17"/>
      <c r="JSH106" s="17"/>
      <c r="JSI106" s="17"/>
      <c r="JSJ106" s="17"/>
      <c r="JSK106" s="17"/>
      <c r="JSL106" s="17"/>
      <c r="JSM106" s="17"/>
      <c r="JSN106" s="17"/>
      <c r="JSO106" s="17"/>
      <c r="JSP106" s="17"/>
      <c r="JSQ106" s="17"/>
      <c r="JSR106" s="17"/>
      <c r="JSS106" s="17"/>
      <c r="JST106" s="17"/>
      <c r="JSU106" s="17"/>
      <c r="JSV106" s="17"/>
      <c r="JSW106" s="17"/>
      <c r="JSX106" s="17"/>
      <c r="JSY106" s="17"/>
      <c r="JSZ106" s="17"/>
      <c r="JTA106" s="17"/>
      <c r="JTB106" s="17"/>
      <c r="JTC106" s="17"/>
      <c r="JTD106" s="17"/>
      <c r="JTE106" s="17"/>
      <c r="JTF106" s="17"/>
      <c r="JTG106" s="17"/>
      <c r="JTH106" s="17"/>
      <c r="JTI106" s="17"/>
      <c r="JTJ106" s="17"/>
      <c r="JTK106" s="17"/>
      <c r="JTL106" s="17"/>
      <c r="JTM106" s="17"/>
      <c r="JTN106" s="17"/>
      <c r="JTO106" s="17"/>
      <c r="JTP106" s="17"/>
      <c r="JTQ106" s="17"/>
      <c r="JTR106" s="17"/>
      <c r="JTS106" s="17"/>
      <c r="JTT106" s="17"/>
      <c r="JTU106" s="17"/>
      <c r="JTV106" s="17"/>
      <c r="JTW106" s="17"/>
      <c r="JTX106" s="17"/>
      <c r="JTY106" s="17"/>
      <c r="JTZ106" s="17"/>
      <c r="JUA106" s="17"/>
      <c r="JUB106" s="17"/>
      <c r="JUC106" s="17"/>
      <c r="JUD106" s="17"/>
      <c r="JUE106" s="17"/>
      <c r="JUF106" s="17"/>
      <c r="JUG106" s="17"/>
      <c r="JUH106" s="17"/>
      <c r="JUI106" s="17"/>
      <c r="JUJ106" s="17"/>
      <c r="JUK106" s="17"/>
      <c r="JUL106" s="17"/>
      <c r="JUM106" s="17"/>
      <c r="JUN106" s="17"/>
      <c r="JUO106" s="17"/>
      <c r="JUP106" s="17"/>
      <c r="JUQ106" s="17"/>
      <c r="JUR106" s="17"/>
      <c r="JUS106" s="17"/>
      <c r="JUT106" s="17"/>
      <c r="JUU106" s="17"/>
      <c r="JUV106" s="17"/>
      <c r="JUW106" s="17"/>
      <c r="JUX106" s="17"/>
      <c r="JUY106" s="17"/>
      <c r="JUZ106" s="17"/>
      <c r="JVA106" s="17"/>
      <c r="JVB106" s="17"/>
      <c r="JVC106" s="17"/>
      <c r="JVD106" s="17"/>
      <c r="JVE106" s="17"/>
      <c r="JVF106" s="17"/>
      <c r="JVG106" s="17"/>
      <c r="JVH106" s="17"/>
      <c r="JVI106" s="17"/>
      <c r="JVJ106" s="17"/>
      <c r="JVK106" s="17"/>
      <c r="JVL106" s="17"/>
      <c r="JVM106" s="17"/>
      <c r="JVN106" s="17"/>
      <c r="JVO106" s="17"/>
      <c r="JVP106" s="17"/>
      <c r="JVQ106" s="17"/>
      <c r="JVR106" s="17"/>
      <c r="JVS106" s="17"/>
      <c r="JVT106" s="17"/>
      <c r="JVU106" s="17"/>
      <c r="JVV106" s="17"/>
      <c r="JVW106" s="17"/>
      <c r="JVX106" s="17"/>
      <c r="JVY106" s="17"/>
      <c r="JVZ106" s="17"/>
      <c r="JWA106" s="17"/>
      <c r="JWB106" s="17"/>
      <c r="JWC106" s="17"/>
      <c r="JWD106" s="17"/>
      <c r="JWE106" s="17"/>
      <c r="JWF106" s="17"/>
      <c r="JWG106" s="17"/>
      <c r="JWH106" s="17"/>
      <c r="JWI106" s="17"/>
      <c r="JWJ106" s="17"/>
      <c r="JWK106" s="17"/>
      <c r="JWL106" s="17"/>
      <c r="JWM106" s="17"/>
      <c r="JWN106" s="17"/>
      <c r="JWO106" s="17"/>
      <c r="JWP106" s="17"/>
      <c r="JWQ106" s="17"/>
      <c r="JWR106" s="17"/>
      <c r="JWS106" s="17"/>
      <c r="JWT106" s="17"/>
      <c r="JWU106" s="17"/>
      <c r="JWV106" s="17"/>
      <c r="JWW106" s="17"/>
      <c r="JWX106" s="17"/>
      <c r="JWY106" s="17"/>
      <c r="JWZ106" s="17"/>
      <c r="JXA106" s="17"/>
      <c r="JXB106" s="17"/>
      <c r="JXC106" s="17"/>
      <c r="JXD106" s="17"/>
      <c r="JXE106" s="17"/>
      <c r="JXF106" s="17"/>
      <c r="JXG106" s="17"/>
      <c r="JXH106" s="17"/>
      <c r="JXI106" s="17"/>
      <c r="JXJ106" s="17"/>
      <c r="JXK106" s="17"/>
      <c r="JXL106" s="17"/>
      <c r="JXM106" s="17"/>
      <c r="JXN106" s="17"/>
      <c r="JXO106" s="17"/>
      <c r="JXP106" s="17"/>
      <c r="JXQ106" s="17"/>
      <c r="JXR106" s="17"/>
      <c r="JXS106" s="17"/>
      <c r="JXT106" s="17"/>
      <c r="JXU106" s="17"/>
      <c r="JXV106" s="17"/>
      <c r="JXW106" s="17"/>
      <c r="JXX106" s="17"/>
      <c r="JXY106" s="17"/>
      <c r="JXZ106" s="17"/>
      <c r="JYA106" s="17"/>
      <c r="JYB106" s="17"/>
      <c r="JYC106" s="17"/>
      <c r="JYD106" s="17"/>
      <c r="JYE106" s="17"/>
      <c r="JYF106" s="17"/>
      <c r="JYG106" s="17"/>
      <c r="JYH106" s="17"/>
      <c r="JYI106" s="17"/>
      <c r="JYJ106" s="17"/>
      <c r="JYK106" s="17"/>
      <c r="JYL106" s="17"/>
      <c r="JYM106" s="17"/>
      <c r="JYN106" s="17"/>
      <c r="JYO106" s="17"/>
      <c r="JYP106" s="17"/>
      <c r="JYQ106" s="17"/>
      <c r="JYR106" s="17"/>
      <c r="JYS106" s="17"/>
      <c r="JYT106" s="17"/>
      <c r="JYU106" s="17"/>
      <c r="JYV106" s="17"/>
      <c r="JYW106" s="17"/>
      <c r="JYX106" s="17"/>
      <c r="JYY106" s="17"/>
      <c r="JYZ106" s="17"/>
      <c r="JZA106" s="17"/>
      <c r="JZB106" s="17"/>
      <c r="JZC106" s="17"/>
      <c r="JZD106" s="17"/>
      <c r="JZE106" s="17"/>
      <c r="JZF106" s="17"/>
      <c r="JZG106" s="17"/>
      <c r="JZH106" s="17"/>
      <c r="JZI106" s="17"/>
      <c r="JZJ106" s="17"/>
      <c r="JZK106" s="17"/>
      <c r="JZL106" s="17"/>
      <c r="JZM106" s="17"/>
      <c r="JZN106" s="17"/>
      <c r="JZO106" s="17"/>
      <c r="JZP106" s="17"/>
      <c r="JZQ106" s="17"/>
      <c r="JZR106" s="17"/>
      <c r="JZS106" s="17"/>
      <c r="JZT106" s="17"/>
      <c r="JZU106" s="17"/>
      <c r="JZV106" s="17"/>
      <c r="JZW106" s="17"/>
      <c r="JZX106" s="17"/>
      <c r="JZY106" s="17"/>
      <c r="JZZ106" s="17"/>
      <c r="KAA106" s="17"/>
      <c r="KAB106" s="17"/>
      <c r="KAC106" s="17"/>
      <c r="KAD106" s="17"/>
      <c r="KAE106" s="17"/>
      <c r="KAF106" s="17"/>
      <c r="KAG106" s="17"/>
      <c r="KAH106" s="17"/>
      <c r="KAI106" s="17"/>
      <c r="KAJ106" s="17"/>
      <c r="KAK106" s="17"/>
      <c r="KAL106" s="17"/>
      <c r="KAM106" s="17"/>
      <c r="KAN106" s="17"/>
      <c r="KAO106" s="17"/>
      <c r="KAP106" s="17"/>
      <c r="KAQ106" s="17"/>
      <c r="KAR106" s="17"/>
      <c r="KAS106" s="17"/>
      <c r="KAT106" s="17"/>
      <c r="KAU106" s="17"/>
      <c r="KAV106" s="17"/>
      <c r="KAW106" s="17"/>
      <c r="KAX106" s="17"/>
      <c r="KAY106" s="17"/>
      <c r="KAZ106" s="17"/>
      <c r="KBA106" s="17"/>
      <c r="KBB106" s="17"/>
      <c r="KBC106" s="17"/>
      <c r="KBD106" s="17"/>
      <c r="KBE106" s="17"/>
      <c r="KBF106" s="17"/>
      <c r="KBG106" s="17"/>
      <c r="KBH106" s="17"/>
      <c r="KBI106" s="17"/>
      <c r="KBJ106" s="17"/>
      <c r="KBK106" s="17"/>
      <c r="KBL106" s="17"/>
      <c r="KBM106" s="17"/>
      <c r="KBN106" s="17"/>
      <c r="KBO106" s="17"/>
      <c r="KBP106" s="17"/>
      <c r="KBQ106" s="17"/>
      <c r="KBR106" s="17"/>
      <c r="KBS106" s="17"/>
      <c r="KBT106" s="17"/>
      <c r="KBU106" s="17"/>
      <c r="KBV106" s="17"/>
      <c r="KBW106" s="17"/>
      <c r="KBX106" s="17"/>
      <c r="KBY106" s="17"/>
      <c r="KBZ106" s="17"/>
      <c r="KCA106" s="17"/>
      <c r="KCB106" s="17"/>
      <c r="KCC106" s="17"/>
      <c r="KCD106" s="17"/>
      <c r="KCE106" s="17"/>
      <c r="KCF106" s="17"/>
      <c r="KCG106" s="17"/>
      <c r="KCH106" s="17"/>
      <c r="KCI106" s="17"/>
      <c r="KCJ106" s="17"/>
      <c r="KCK106" s="17"/>
      <c r="KCL106" s="17"/>
      <c r="KCM106" s="17"/>
      <c r="KCN106" s="17"/>
      <c r="KCO106" s="17"/>
      <c r="KCP106" s="17"/>
      <c r="KCQ106" s="17"/>
      <c r="KCR106" s="17"/>
      <c r="KCS106" s="17"/>
      <c r="KCT106" s="17"/>
      <c r="KCU106" s="17"/>
      <c r="KCV106" s="17"/>
      <c r="KCW106" s="17"/>
      <c r="KCX106" s="17"/>
      <c r="KCY106" s="17"/>
      <c r="KCZ106" s="17"/>
      <c r="KDA106" s="17"/>
      <c r="KDB106" s="17"/>
      <c r="KDC106" s="17"/>
      <c r="KDD106" s="17"/>
      <c r="KDE106" s="17"/>
      <c r="KDF106" s="17"/>
      <c r="KDG106" s="17"/>
      <c r="KDH106" s="17"/>
      <c r="KDI106" s="17"/>
      <c r="KDJ106" s="17"/>
      <c r="KDK106" s="17"/>
      <c r="KDL106" s="17"/>
      <c r="KDM106" s="17"/>
      <c r="KDN106" s="17"/>
      <c r="KDO106" s="17"/>
      <c r="KDP106" s="17"/>
      <c r="KDQ106" s="17"/>
      <c r="KDR106" s="17"/>
      <c r="KDS106" s="17"/>
      <c r="KDT106" s="17"/>
      <c r="KDU106" s="17"/>
      <c r="KDV106" s="17"/>
      <c r="KDW106" s="17"/>
      <c r="KDX106" s="17"/>
      <c r="KDY106" s="17"/>
      <c r="KDZ106" s="17"/>
      <c r="KEA106" s="17"/>
      <c r="KEB106" s="17"/>
      <c r="KEC106" s="17"/>
      <c r="KED106" s="17"/>
      <c r="KEE106" s="17"/>
      <c r="KEF106" s="17"/>
      <c r="KEG106" s="17"/>
      <c r="KEH106" s="17"/>
      <c r="KEI106" s="17"/>
      <c r="KEJ106" s="17"/>
      <c r="KEK106" s="17"/>
      <c r="KEL106" s="17"/>
      <c r="KEM106" s="17"/>
      <c r="KEN106" s="17"/>
      <c r="KEO106" s="17"/>
      <c r="KEP106" s="17"/>
      <c r="KEQ106" s="17"/>
      <c r="KER106" s="17"/>
      <c r="KES106" s="17"/>
      <c r="KET106" s="17"/>
      <c r="KEU106" s="17"/>
      <c r="KEV106" s="17"/>
      <c r="KEW106" s="17"/>
      <c r="KEX106" s="17"/>
      <c r="KEY106" s="17"/>
      <c r="KEZ106" s="17"/>
      <c r="KFA106" s="17"/>
      <c r="KFB106" s="17"/>
      <c r="KFC106" s="17"/>
      <c r="KFD106" s="17"/>
      <c r="KFE106" s="17"/>
      <c r="KFF106" s="17"/>
      <c r="KFG106" s="17"/>
      <c r="KFH106" s="17"/>
      <c r="KFI106" s="17"/>
      <c r="KFJ106" s="17"/>
      <c r="KFK106" s="17"/>
      <c r="KFL106" s="17"/>
      <c r="KFM106" s="17"/>
      <c r="KFN106" s="17"/>
      <c r="KFO106" s="17"/>
      <c r="KFP106" s="17"/>
      <c r="KFQ106" s="17"/>
      <c r="KFR106" s="17"/>
      <c r="KFS106" s="17"/>
      <c r="KFT106" s="17"/>
      <c r="KFU106" s="17"/>
      <c r="KFV106" s="17"/>
      <c r="KFW106" s="17"/>
      <c r="KFX106" s="17"/>
      <c r="KFY106" s="17"/>
      <c r="KFZ106" s="17"/>
      <c r="KGA106" s="17"/>
      <c r="KGB106" s="17"/>
      <c r="KGC106" s="17"/>
      <c r="KGD106" s="17"/>
      <c r="KGE106" s="17"/>
      <c r="KGF106" s="17"/>
      <c r="KGG106" s="17"/>
      <c r="KGH106" s="17"/>
      <c r="KGI106" s="17"/>
      <c r="KGJ106" s="17"/>
      <c r="KGK106" s="17"/>
      <c r="KGL106" s="17"/>
      <c r="KGM106" s="17"/>
      <c r="KGN106" s="17"/>
      <c r="KGO106" s="17"/>
      <c r="KGP106" s="17"/>
      <c r="KGQ106" s="17"/>
      <c r="KGR106" s="17"/>
      <c r="KGS106" s="17"/>
      <c r="KGT106" s="17"/>
      <c r="KGU106" s="17"/>
      <c r="KGV106" s="17"/>
      <c r="KGW106" s="17"/>
      <c r="KGX106" s="17"/>
      <c r="KGY106" s="17"/>
      <c r="KGZ106" s="17"/>
      <c r="KHA106" s="17"/>
      <c r="KHB106" s="17"/>
      <c r="KHC106" s="17"/>
      <c r="KHD106" s="17"/>
      <c r="KHE106" s="17"/>
      <c r="KHF106" s="17"/>
      <c r="KHG106" s="17"/>
      <c r="KHH106" s="17"/>
      <c r="KHI106" s="17"/>
      <c r="KHJ106" s="17"/>
      <c r="KHK106" s="17"/>
      <c r="KHL106" s="17"/>
      <c r="KHM106" s="17"/>
      <c r="KHN106" s="17"/>
      <c r="KHO106" s="17"/>
      <c r="KHP106" s="17"/>
      <c r="KHQ106" s="17"/>
      <c r="KHR106" s="17"/>
      <c r="KHS106" s="17"/>
      <c r="KHT106" s="17"/>
      <c r="KHU106" s="17"/>
      <c r="KHV106" s="17"/>
      <c r="KHW106" s="17"/>
      <c r="KHX106" s="17"/>
      <c r="KHY106" s="17"/>
      <c r="KHZ106" s="17"/>
      <c r="KIA106" s="17"/>
      <c r="KIB106" s="17"/>
      <c r="KIC106" s="17"/>
      <c r="KID106" s="17"/>
      <c r="KIE106" s="17"/>
      <c r="KIF106" s="17"/>
      <c r="KIG106" s="17"/>
      <c r="KIH106" s="17"/>
      <c r="KII106" s="17"/>
      <c r="KIJ106" s="17"/>
      <c r="KIK106" s="17"/>
      <c r="KIL106" s="17"/>
      <c r="KIM106" s="17"/>
      <c r="KIN106" s="17"/>
      <c r="KIO106" s="17"/>
      <c r="KIP106" s="17"/>
      <c r="KIQ106" s="17"/>
      <c r="KIR106" s="17"/>
      <c r="KIS106" s="17"/>
      <c r="KIT106" s="17"/>
      <c r="KIU106" s="17"/>
      <c r="KIV106" s="17"/>
      <c r="KIW106" s="17"/>
      <c r="KIX106" s="17"/>
      <c r="KIY106" s="17"/>
      <c r="KIZ106" s="17"/>
      <c r="KJA106" s="17"/>
      <c r="KJB106" s="17"/>
      <c r="KJC106" s="17"/>
      <c r="KJD106" s="17"/>
      <c r="KJE106" s="17"/>
      <c r="KJF106" s="17"/>
      <c r="KJG106" s="17"/>
      <c r="KJH106" s="17"/>
      <c r="KJI106" s="17"/>
      <c r="KJJ106" s="17"/>
      <c r="KJK106" s="17"/>
      <c r="KJL106" s="17"/>
      <c r="KJM106" s="17"/>
      <c r="KJN106" s="17"/>
      <c r="KJO106" s="17"/>
      <c r="KJP106" s="17"/>
      <c r="KJQ106" s="17"/>
      <c r="KJR106" s="17"/>
      <c r="KJS106" s="17"/>
      <c r="KJT106" s="17"/>
      <c r="KJU106" s="17"/>
      <c r="KJV106" s="17"/>
      <c r="KJW106" s="17"/>
      <c r="KJX106" s="17"/>
      <c r="KJY106" s="17"/>
      <c r="KJZ106" s="17"/>
      <c r="KKA106" s="17"/>
      <c r="KKB106" s="17"/>
      <c r="KKC106" s="17"/>
      <c r="KKD106" s="17"/>
      <c r="KKE106" s="17"/>
      <c r="KKF106" s="17"/>
      <c r="KKG106" s="17"/>
      <c r="KKH106" s="17"/>
      <c r="KKI106" s="17"/>
      <c r="KKJ106" s="17"/>
      <c r="KKK106" s="17"/>
      <c r="KKL106" s="17"/>
      <c r="KKM106" s="17"/>
      <c r="KKN106" s="17"/>
      <c r="KKO106" s="17"/>
      <c r="KKP106" s="17"/>
      <c r="KKQ106" s="17"/>
      <c r="KKR106" s="17"/>
      <c r="KKS106" s="17"/>
      <c r="KKT106" s="17"/>
      <c r="KKU106" s="17"/>
      <c r="KKV106" s="17"/>
      <c r="KKW106" s="17"/>
      <c r="KKX106" s="17"/>
      <c r="KKY106" s="17"/>
      <c r="KKZ106" s="17"/>
      <c r="KLA106" s="17"/>
      <c r="KLB106" s="17"/>
      <c r="KLC106" s="17"/>
      <c r="KLD106" s="17"/>
      <c r="KLE106" s="17"/>
      <c r="KLF106" s="17"/>
      <c r="KLG106" s="17"/>
      <c r="KLH106" s="17"/>
      <c r="KLI106" s="17"/>
      <c r="KLJ106" s="17"/>
      <c r="KLK106" s="17"/>
      <c r="KLL106" s="17"/>
      <c r="KLM106" s="17"/>
      <c r="KLN106" s="17"/>
      <c r="KLO106" s="17"/>
      <c r="KLP106" s="17"/>
      <c r="KLQ106" s="17"/>
      <c r="KLR106" s="17"/>
      <c r="KLS106" s="17"/>
      <c r="KLT106" s="17"/>
      <c r="KLU106" s="17"/>
      <c r="KLV106" s="17"/>
      <c r="KLW106" s="17"/>
      <c r="KLX106" s="17"/>
      <c r="KLY106" s="17"/>
      <c r="KLZ106" s="17"/>
      <c r="KMA106" s="17"/>
      <c r="KMB106" s="17"/>
      <c r="KMC106" s="17"/>
      <c r="KMD106" s="17"/>
      <c r="KME106" s="17"/>
      <c r="KMF106" s="17"/>
      <c r="KMG106" s="17"/>
      <c r="KMH106" s="17"/>
      <c r="KMI106" s="17"/>
      <c r="KMJ106" s="17"/>
      <c r="KMK106" s="17"/>
      <c r="KML106" s="17"/>
      <c r="KMM106" s="17"/>
      <c r="KMN106" s="17"/>
      <c r="KMO106" s="17"/>
      <c r="KMP106" s="17"/>
      <c r="KMQ106" s="17"/>
      <c r="KMR106" s="17"/>
      <c r="KMS106" s="17"/>
      <c r="KMT106" s="17"/>
      <c r="KMU106" s="17"/>
      <c r="KMV106" s="17"/>
      <c r="KMW106" s="17"/>
      <c r="KMX106" s="17"/>
      <c r="KMY106" s="17"/>
      <c r="KMZ106" s="17"/>
      <c r="KNA106" s="17"/>
      <c r="KNB106" s="17"/>
      <c r="KNC106" s="17"/>
      <c r="KND106" s="17"/>
      <c r="KNE106" s="17"/>
      <c r="KNF106" s="17"/>
      <c r="KNG106" s="17"/>
      <c r="KNH106" s="17"/>
      <c r="KNI106" s="17"/>
      <c r="KNJ106" s="17"/>
      <c r="KNK106" s="17"/>
      <c r="KNL106" s="17"/>
      <c r="KNM106" s="17"/>
      <c r="KNN106" s="17"/>
      <c r="KNO106" s="17"/>
      <c r="KNP106" s="17"/>
      <c r="KNQ106" s="17"/>
      <c r="KNR106" s="17"/>
      <c r="KNS106" s="17"/>
      <c r="KNT106" s="17"/>
      <c r="KNU106" s="17"/>
      <c r="KNV106" s="17"/>
      <c r="KNW106" s="17"/>
      <c r="KNX106" s="17"/>
      <c r="KNY106" s="17"/>
      <c r="KNZ106" s="17"/>
      <c r="KOA106" s="17"/>
      <c r="KOB106" s="17"/>
      <c r="KOC106" s="17"/>
      <c r="KOD106" s="17"/>
      <c r="KOE106" s="17"/>
      <c r="KOF106" s="17"/>
      <c r="KOG106" s="17"/>
      <c r="KOH106" s="17"/>
      <c r="KOI106" s="17"/>
      <c r="KOJ106" s="17"/>
      <c r="KOK106" s="17"/>
      <c r="KOL106" s="17"/>
      <c r="KOM106" s="17"/>
      <c r="KON106" s="17"/>
      <c r="KOO106" s="17"/>
      <c r="KOP106" s="17"/>
      <c r="KOQ106" s="17"/>
      <c r="KOR106" s="17"/>
      <c r="KOS106" s="17"/>
      <c r="KOT106" s="17"/>
      <c r="KOU106" s="17"/>
      <c r="KOV106" s="17"/>
      <c r="KOW106" s="17"/>
      <c r="KOX106" s="17"/>
      <c r="KOY106" s="17"/>
      <c r="KOZ106" s="17"/>
      <c r="KPA106" s="17"/>
      <c r="KPB106" s="17"/>
      <c r="KPC106" s="17"/>
      <c r="KPD106" s="17"/>
      <c r="KPE106" s="17"/>
      <c r="KPF106" s="17"/>
      <c r="KPG106" s="17"/>
      <c r="KPH106" s="17"/>
      <c r="KPI106" s="17"/>
      <c r="KPJ106" s="17"/>
      <c r="KPK106" s="17"/>
      <c r="KPL106" s="17"/>
      <c r="KPM106" s="17"/>
      <c r="KPN106" s="17"/>
      <c r="KPO106" s="17"/>
      <c r="KPP106" s="17"/>
      <c r="KPQ106" s="17"/>
      <c r="KPR106" s="17"/>
      <c r="KPS106" s="17"/>
      <c r="KPT106" s="17"/>
      <c r="KPU106" s="17"/>
      <c r="KPV106" s="17"/>
      <c r="KPW106" s="17"/>
      <c r="KPX106" s="17"/>
      <c r="KPY106" s="17"/>
      <c r="KPZ106" s="17"/>
      <c r="KQA106" s="17"/>
      <c r="KQB106" s="17"/>
      <c r="KQC106" s="17"/>
      <c r="KQD106" s="17"/>
      <c r="KQE106" s="17"/>
      <c r="KQF106" s="17"/>
      <c r="KQG106" s="17"/>
      <c r="KQH106" s="17"/>
      <c r="KQI106" s="17"/>
      <c r="KQJ106" s="17"/>
      <c r="KQK106" s="17"/>
      <c r="KQL106" s="17"/>
      <c r="KQM106" s="17"/>
      <c r="KQN106" s="17"/>
      <c r="KQO106" s="17"/>
      <c r="KQP106" s="17"/>
      <c r="KQQ106" s="17"/>
      <c r="KQR106" s="17"/>
      <c r="KQS106" s="17"/>
      <c r="KQT106" s="17"/>
      <c r="KQU106" s="17"/>
      <c r="KQV106" s="17"/>
      <c r="KQW106" s="17"/>
      <c r="KQX106" s="17"/>
      <c r="KQY106" s="17"/>
      <c r="KQZ106" s="17"/>
      <c r="KRA106" s="17"/>
      <c r="KRB106" s="17"/>
      <c r="KRC106" s="17"/>
      <c r="KRD106" s="17"/>
      <c r="KRE106" s="17"/>
      <c r="KRF106" s="17"/>
      <c r="KRG106" s="17"/>
      <c r="KRH106" s="17"/>
      <c r="KRI106" s="17"/>
      <c r="KRJ106" s="17"/>
      <c r="KRK106" s="17"/>
      <c r="KRL106" s="17"/>
      <c r="KRM106" s="17"/>
      <c r="KRN106" s="17"/>
      <c r="KRO106" s="17"/>
      <c r="KRP106" s="17"/>
      <c r="KRQ106" s="17"/>
      <c r="KRR106" s="17"/>
      <c r="KRS106" s="17"/>
      <c r="KRT106" s="17"/>
      <c r="KRU106" s="17"/>
      <c r="KRV106" s="17"/>
      <c r="KRW106" s="17"/>
      <c r="KRX106" s="17"/>
      <c r="KRY106" s="17"/>
      <c r="KRZ106" s="17"/>
      <c r="KSA106" s="17"/>
      <c r="KSB106" s="17"/>
      <c r="KSC106" s="17"/>
      <c r="KSD106" s="17"/>
      <c r="KSE106" s="17"/>
      <c r="KSF106" s="17"/>
      <c r="KSG106" s="17"/>
      <c r="KSH106" s="17"/>
      <c r="KSI106" s="17"/>
      <c r="KSJ106" s="17"/>
      <c r="KSK106" s="17"/>
      <c r="KSL106" s="17"/>
      <c r="KSM106" s="17"/>
      <c r="KSN106" s="17"/>
      <c r="KSO106" s="17"/>
      <c r="KSP106" s="17"/>
      <c r="KSQ106" s="17"/>
      <c r="KSR106" s="17"/>
      <c r="KSS106" s="17"/>
      <c r="KST106" s="17"/>
      <c r="KSU106" s="17"/>
      <c r="KSV106" s="17"/>
      <c r="KSW106" s="17"/>
      <c r="KSX106" s="17"/>
      <c r="KSY106" s="17"/>
      <c r="KSZ106" s="17"/>
      <c r="KTA106" s="17"/>
      <c r="KTB106" s="17"/>
      <c r="KTC106" s="17"/>
      <c r="KTD106" s="17"/>
      <c r="KTE106" s="17"/>
      <c r="KTF106" s="17"/>
      <c r="KTG106" s="17"/>
      <c r="KTH106" s="17"/>
      <c r="KTI106" s="17"/>
      <c r="KTJ106" s="17"/>
      <c r="KTK106" s="17"/>
      <c r="KTL106" s="17"/>
      <c r="KTM106" s="17"/>
      <c r="KTN106" s="17"/>
      <c r="KTO106" s="17"/>
      <c r="KTP106" s="17"/>
      <c r="KTQ106" s="17"/>
      <c r="KTR106" s="17"/>
      <c r="KTS106" s="17"/>
      <c r="KTT106" s="17"/>
      <c r="KTU106" s="17"/>
      <c r="KTV106" s="17"/>
      <c r="KTW106" s="17"/>
      <c r="KTX106" s="17"/>
      <c r="KTY106" s="17"/>
      <c r="KTZ106" s="17"/>
      <c r="KUA106" s="17"/>
      <c r="KUB106" s="17"/>
      <c r="KUC106" s="17"/>
      <c r="KUD106" s="17"/>
      <c r="KUE106" s="17"/>
      <c r="KUF106" s="17"/>
      <c r="KUG106" s="17"/>
      <c r="KUH106" s="17"/>
      <c r="KUI106" s="17"/>
      <c r="KUJ106" s="17"/>
      <c r="KUK106" s="17"/>
      <c r="KUL106" s="17"/>
      <c r="KUM106" s="17"/>
      <c r="KUN106" s="17"/>
      <c r="KUO106" s="17"/>
      <c r="KUP106" s="17"/>
      <c r="KUQ106" s="17"/>
      <c r="KUR106" s="17"/>
      <c r="KUS106" s="17"/>
      <c r="KUT106" s="17"/>
      <c r="KUU106" s="17"/>
      <c r="KUV106" s="17"/>
      <c r="KUW106" s="17"/>
      <c r="KUX106" s="17"/>
      <c r="KUY106" s="17"/>
      <c r="KUZ106" s="17"/>
      <c r="KVA106" s="17"/>
      <c r="KVB106" s="17"/>
      <c r="KVC106" s="17"/>
      <c r="KVD106" s="17"/>
      <c r="KVE106" s="17"/>
      <c r="KVF106" s="17"/>
      <c r="KVG106" s="17"/>
      <c r="KVH106" s="17"/>
      <c r="KVI106" s="17"/>
      <c r="KVJ106" s="17"/>
      <c r="KVK106" s="17"/>
      <c r="KVL106" s="17"/>
      <c r="KVM106" s="17"/>
      <c r="KVN106" s="17"/>
      <c r="KVO106" s="17"/>
      <c r="KVP106" s="17"/>
      <c r="KVQ106" s="17"/>
      <c r="KVR106" s="17"/>
      <c r="KVS106" s="17"/>
      <c r="KVT106" s="17"/>
      <c r="KVU106" s="17"/>
      <c r="KVV106" s="17"/>
      <c r="KVW106" s="17"/>
      <c r="KVX106" s="17"/>
      <c r="KVY106" s="17"/>
      <c r="KVZ106" s="17"/>
      <c r="KWA106" s="17"/>
      <c r="KWB106" s="17"/>
      <c r="KWC106" s="17"/>
      <c r="KWD106" s="17"/>
      <c r="KWE106" s="17"/>
      <c r="KWF106" s="17"/>
      <c r="KWG106" s="17"/>
      <c r="KWH106" s="17"/>
      <c r="KWI106" s="17"/>
      <c r="KWJ106" s="17"/>
      <c r="KWK106" s="17"/>
      <c r="KWL106" s="17"/>
      <c r="KWM106" s="17"/>
      <c r="KWN106" s="17"/>
      <c r="KWO106" s="17"/>
      <c r="KWP106" s="17"/>
      <c r="KWQ106" s="17"/>
      <c r="KWR106" s="17"/>
      <c r="KWS106" s="17"/>
      <c r="KWT106" s="17"/>
      <c r="KWU106" s="17"/>
      <c r="KWV106" s="17"/>
      <c r="KWW106" s="17"/>
      <c r="KWX106" s="17"/>
      <c r="KWY106" s="17"/>
      <c r="KWZ106" s="17"/>
      <c r="KXA106" s="17"/>
      <c r="KXB106" s="17"/>
      <c r="KXC106" s="17"/>
      <c r="KXD106" s="17"/>
      <c r="KXE106" s="17"/>
      <c r="KXF106" s="17"/>
      <c r="KXG106" s="17"/>
      <c r="KXH106" s="17"/>
      <c r="KXI106" s="17"/>
      <c r="KXJ106" s="17"/>
      <c r="KXK106" s="17"/>
      <c r="KXL106" s="17"/>
      <c r="KXM106" s="17"/>
      <c r="KXN106" s="17"/>
      <c r="KXO106" s="17"/>
      <c r="KXP106" s="17"/>
      <c r="KXQ106" s="17"/>
      <c r="KXR106" s="17"/>
      <c r="KXS106" s="17"/>
      <c r="KXT106" s="17"/>
      <c r="KXU106" s="17"/>
      <c r="KXV106" s="17"/>
      <c r="KXW106" s="17"/>
      <c r="KXX106" s="17"/>
      <c r="KXY106" s="17"/>
      <c r="KXZ106" s="17"/>
      <c r="KYA106" s="17"/>
      <c r="KYB106" s="17"/>
      <c r="KYC106" s="17"/>
      <c r="KYD106" s="17"/>
      <c r="KYE106" s="17"/>
      <c r="KYF106" s="17"/>
      <c r="KYG106" s="17"/>
      <c r="KYH106" s="17"/>
      <c r="KYI106" s="17"/>
      <c r="KYJ106" s="17"/>
      <c r="KYK106" s="17"/>
      <c r="KYL106" s="17"/>
      <c r="KYM106" s="17"/>
      <c r="KYN106" s="17"/>
      <c r="KYO106" s="17"/>
      <c r="KYP106" s="17"/>
      <c r="KYQ106" s="17"/>
      <c r="KYR106" s="17"/>
      <c r="KYS106" s="17"/>
      <c r="KYT106" s="17"/>
      <c r="KYU106" s="17"/>
      <c r="KYV106" s="17"/>
      <c r="KYW106" s="17"/>
      <c r="KYX106" s="17"/>
      <c r="KYY106" s="17"/>
      <c r="KYZ106" s="17"/>
      <c r="KZA106" s="17"/>
      <c r="KZB106" s="17"/>
      <c r="KZC106" s="17"/>
      <c r="KZD106" s="17"/>
      <c r="KZE106" s="17"/>
      <c r="KZF106" s="17"/>
      <c r="KZG106" s="17"/>
      <c r="KZH106" s="17"/>
      <c r="KZI106" s="17"/>
      <c r="KZJ106" s="17"/>
      <c r="KZK106" s="17"/>
      <c r="KZL106" s="17"/>
      <c r="KZM106" s="17"/>
      <c r="KZN106" s="17"/>
      <c r="KZO106" s="17"/>
      <c r="KZP106" s="17"/>
      <c r="KZQ106" s="17"/>
      <c r="KZR106" s="17"/>
      <c r="KZS106" s="17"/>
      <c r="KZT106" s="17"/>
      <c r="KZU106" s="17"/>
      <c r="KZV106" s="17"/>
      <c r="KZW106" s="17"/>
      <c r="KZX106" s="17"/>
      <c r="KZY106" s="17"/>
      <c r="KZZ106" s="17"/>
      <c r="LAA106" s="17"/>
      <c r="LAB106" s="17"/>
      <c r="LAC106" s="17"/>
      <c r="LAD106" s="17"/>
      <c r="LAE106" s="17"/>
      <c r="LAF106" s="17"/>
      <c r="LAG106" s="17"/>
      <c r="LAH106" s="17"/>
      <c r="LAI106" s="17"/>
      <c r="LAJ106" s="17"/>
      <c r="LAK106" s="17"/>
      <c r="LAL106" s="17"/>
      <c r="LAM106" s="17"/>
      <c r="LAN106" s="17"/>
      <c r="LAO106" s="17"/>
      <c r="LAP106" s="17"/>
      <c r="LAQ106" s="17"/>
      <c r="LAR106" s="17"/>
      <c r="LAS106" s="17"/>
      <c r="LAT106" s="17"/>
      <c r="LAU106" s="17"/>
      <c r="LAV106" s="17"/>
      <c r="LAW106" s="17"/>
      <c r="LAX106" s="17"/>
      <c r="LAY106" s="17"/>
      <c r="LAZ106" s="17"/>
      <c r="LBA106" s="17"/>
      <c r="LBB106" s="17"/>
      <c r="LBC106" s="17"/>
      <c r="LBD106" s="17"/>
      <c r="LBE106" s="17"/>
      <c r="LBF106" s="17"/>
      <c r="LBG106" s="17"/>
      <c r="LBH106" s="17"/>
      <c r="LBI106" s="17"/>
      <c r="LBJ106" s="17"/>
      <c r="LBK106" s="17"/>
      <c r="LBL106" s="17"/>
      <c r="LBM106" s="17"/>
      <c r="LBN106" s="17"/>
      <c r="LBO106" s="17"/>
      <c r="LBP106" s="17"/>
      <c r="LBQ106" s="17"/>
      <c r="LBR106" s="17"/>
      <c r="LBS106" s="17"/>
      <c r="LBT106" s="17"/>
      <c r="LBU106" s="17"/>
      <c r="LBV106" s="17"/>
      <c r="LBW106" s="17"/>
      <c r="LBX106" s="17"/>
      <c r="LBY106" s="17"/>
      <c r="LBZ106" s="17"/>
      <c r="LCA106" s="17"/>
      <c r="LCB106" s="17"/>
      <c r="LCC106" s="17"/>
      <c r="LCD106" s="17"/>
      <c r="LCE106" s="17"/>
      <c r="LCF106" s="17"/>
      <c r="LCG106" s="17"/>
      <c r="LCH106" s="17"/>
      <c r="LCI106" s="17"/>
      <c r="LCJ106" s="17"/>
      <c r="LCK106" s="17"/>
      <c r="LCL106" s="17"/>
      <c r="LCM106" s="17"/>
      <c r="LCN106" s="17"/>
      <c r="LCO106" s="17"/>
      <c r="LCP106" s="17"/>
      <c r="LCQ106" s="17"/>
      <c r="LCR106" s="17"/>
      <c r="LCS106" s="17"/>
      <c r="LCT106" s="17"/>
      <c r="LCU106" s="17"/>
      <c r="LCV106" s="17"/>
      <c r="LCW106" s="17"/>
      <c r="LCX106" s="17"/>
      <c r="LCY106" s="17"/>
      <c r="LCZ106" s="17"/>
      <c r="LDA106" s="17"/>
      <c r="LDB106" s="17"/>
      <c r="LDC106" s="17"/>
      <c r="LDD106" s="17"/>
      <c r="LDE106" s="17"/>
      <c r="LDF106" s="17"/>
      <c r="LDG106" s="17"/>
      <c r="LDH106" s="17"/>
      <c r="LDI106" s="17"/>
      <c r="LDJ106" s="17"/>
      <c r="LDK106" s="17"/>
      <c r="LDL106" s="17"/>
      <c r="LDM106" s="17"/>
      <c r="LDN106" s="17"/>
      <c r="LDO106" s="17"/>
      <c r="LDP106" s="17"/>
      <c r="LDQ106" s="17"/>
      <c r="LDR106" s="17"/>
      <c r="LDS106" s="17"/>
      <c r="LDT106" s="17"/>
      <c r="LDU106" s="17"/>
      <c r="LDV106" s="17"/>
      <c r="LDW106" s="17"/>
      <c r="LDX106" s="17"/>
      <c r="LDY106" s="17"/>
      <c r="LDZ106" s="17"/>
      <c r="LEA106" s="17"/>
      <c r="LEB106" s="17"/>
      <c r="LEC106" s="17"/>
      <c r="LED106" s="17"/>
      <c r="LEE106" s="17"/>
      <c r="LEF106" s="17"/>
      <c r="LEG106" s="17"/>
      <c r="LEH106" s="17"/>
      <c r="LEI106" s="17"/>
      <c r="LEJ106" s="17"/>
      <c r="LEK106" s="17"/>
      <c r="LEL106" s="17"/>
      <c r="LEM106" s="17"/>
      <c r="LEN106" s="17"/>
      <c r="LEO106" s="17"/>
      <c r="LEP106" s="17"/>
      <c r="LEQ106" s="17"/>
      <c r="LER106" s="17"/>
      <c r="LES106" s="17"/>
      <c r="LET106" s="17"/>
      <c r="LEU106" s="17"/>
      <c r="LEV106" s="17"/>
      <c r="LEW106" s="17"/>
      <c r="LEX106" s="17"/>
      <c r="LEY106" s="17"/>
      <c r="LEZ106" s="17"/>
      <c r="LFA106" s="17"/>
      <c r="LFB106" s="17"/>
      <c r="LFC106" s="17"/>
      <c r="LFD106" s="17"/>
      <c r="LFE106" s="17"/>
      <c r="LFF106" s="17"/>
      <c r="LFG106" s="17"/>
      <c r="LFH106" s="17"/>
      <c r="LFI106" s="17"/>
      <c r="LFJ106" s="17"/>
      <c r="LFK106" s="17"/>
      <c r="LFL106" s="17"/>
      <c r="LFM106" s="17"/>
      <c r="LFN106" s="17"/>
      <c r="LFO106" s="17"/>
      <c r="LFP106" s="17"/>
      <c r="LFQ106" s="17"/>
      <c r="LFR106" s="17"/>
      <c r="LFS106" s="17"/>
      <c r="LFT106" s="17"/>
      <c r="LFU106" s="17"/>
      <c r="LFV106" s="17"/>
      <c r="LFW106" s="17"/>
      <c r="LFX106" s="17"/>
      <c r="LFY106" s="17"/>
      <c r="LFZ106" s="17"/>
      <c r="LGA106" s="17"/>
      <c r="LGB106" s="17"/>
      <c r="LGC106" s="17"/>
      <c r="LGD106" s="17"/>
      <c r="LGE106" s="17"/>
      <c r="LGF106" s="17"/>
      <c r="LGG106" s="17"/>
      <c r="LGH106" s="17"/>
      <c r="LGI106" s="17"/>
      <c r="LGJ106" s="17"/>
      <c r="LGK106" s="17"/>
      <c r="LGL106" s="17"/>
      <c r="LGM106" s="17"/>
      <c r="LGN106" s="17"/>
      <c r="LGO106" s="17"/>
      <c r="LGP106" s="17"/>
      <c r="LGQ106" s="17"/>
      <c r="LGR106" s="17"/>
      <c r="LGS106" s="17"/>
      <c r="LGT106" s="17"/>
      <c r="LGU106" s="17"/>
      <c r="LGV106" s="17"/>
      <c r="LGW106" s="17"/>
      <c r="LGX106" s="17"/>
      <c r="LGY106" s="17"/>
      <c r="LGZ106" s="17"/>
      <c r="LHA106" s="17"/>
      <c r="LHB106" s="17"/>
      <c r="LHC106" s="17"/>
      <c r="LHD106" s="17"/>
      <c r="LHE106" s="17"/>
      <c r="LHF106" s="17"/>
      <c r="LHG106" s="17"/>
      <c r="LHH106" s="17"/>
      <c r="LHI106" s="17"/>
      <c r="LHJ106" s="17"/>
      <c r="LHK106" s="17"/>
      <c r="LHL106" s="17"/>
      <c r="LHM106" s="17"/>
      <c r="LHN106" s="17"/>
      <c r="LHO106" s="17"/>
      <c r="LHP106" s="17"/>
      <c r="LHQ106" s="17"/>
      <c r="LHR106" s="17"/>
      <c r="LHS106" s="17"/>
      <c r="LHT106" s="17"/>
      <c r="LHU106" s="17"/>
      <c r="LHV106" s="17"/>
      <c r="LHW106" s="17"/>
      <c r="LHX106" s="17"/>
      <c r="LHY106" s="17"/>
      <c r="LHZ106" s="17"/>
      <c r="LIA106" s="17"/>
      <c r="LIB106" s="17"/>
      <c r="LIC106" s="17"/>
      <c r="LID106" s="17"/>
      <c r="LIE106" s="17"/>
      <c r="LIF106" s="17"/>
      <c r="LIG106" s="17"/>
      <c r="LIH106" s="17"/>
      <c r="LII106" s="17"/>
      <c r="LIJ106" s="17"/>
      <c r="LIK106" s="17"/>
      <c r="LIL106" s="17"/>
      <c r="LIM106" s="17"/>
      <c r="LIN106" s="17"/>
      <c r="LIO106" s="17"/>
      <c r="LIP106" s="17"/>
      <c r="LIQ106" s="17"/>
      <c r="LIR106" s="17"/>
      <c r="LIS106" s="17"/>
      <c r="LIT106" s="17"/>
      <c r="LIU106" s="17"/>
      <c r="LIV106" s="17"/>
      <c r="LIW106" s="17"/>
      <c r="LIX106" s="17"/>
      <c r="LIY106" s="17"/>
      <c r="LIZ106" s="17"/>
      <c r="LJA106" s="17"/>
      <c r="LJB106" s="17"/>
      <c r="LJC106" s="17"/>
      <c r="LJD106" s="17"/>
      <c r="LJE106" s="17"/>
      <c r="LJF106" s="17"/>
      <c r="LJG106" s="17"/>
      <c r="LJH106" s="17"/>
      <c r="LJI106" s="17"/>
      <c r="LJJ106" s="17"/>
      <c r="LJK106" s="17"/>
      <c r="LJL106" s="17"/>
      <c r="LJM106" s="17"/>
      <c r="LJN106" s="17"/>
      <c r="LJO106" s="17"/>
      <c r="LJP106" s="17"/>
      <c r="LJQ106" s="17"/>
      <c r="LJR106" s="17"/>
      <c r="LJS106" s="17"/>
      <c r="LJT106" s="17"/>
      <c r="LJU106" s="17"/>
      <c r="LJV106" s="17"/>
      <c r="LJW106" s="17"/>
      <c r="LJX106" s="17"/>
      <c r="LJY106" s="17"/>
      <c r="LJZ106" s="17"/>
      <c r="LKA106" s="17"/>
      <c r="LKB106" s="17"/>
      <c r="LKC106" s="17"/>
      <c r="LKD106" s="17"/>
      <c r="LKE106" s="17"/>
      <c r="LKF106" s="17"/>
      <c r="LKG106" s="17"/>
      <c r="LKH106" s="17"/>
      <c r="LKI106" s="17"/>
      <c r="LKJ106" s="17"/>
      <c r="LKK106" s="17"/>
      <c r="LKL106" s="17"/>
      <c r="LKM106" s="17"/>
      <c r="LKN106" s="17"/>
      <c r="LKO106" s="17"/>
      <c r="LKP106" s="17"/>
      <c r="LKQ106" s="17"/>
      <c r="LKR106" s="17"/>
      <c r="LKS106" s="17"/>
      <c r="LKT106" s="17"/>
      <c r="LKU106" s="17"/>
      <c r="LKV106" s="17"/>
      <c r="LKW106" s="17"/>
      <c r="LKX106" s="17"/>
      <c r="LKY106" s="17"/>
      <c r="LKZ106" s="17"/>
      <c r="LLA106" s="17"/>
      <c r="LLB106" s="17"/>
      <c r="LLC106" s="17"/>
      <c r="LLD106" s="17"/>
      <c r="LLE106" s="17"/>
      <c r="LLF106" s="17"/>
      <c r="LLG106" s="17"/>
      <c r="LLH106" s="17"/>
      <c r="LLI106" s="17"/>
      <c r="LLJ106" s="17"/>
      <c r="LLK106" s="17"/>
      <c r="LLL106" s="17"/>
      <c r="LLM106" s="17"/>
      <c r="LLN106" s="17"/>
      <c r="LLO106" s="17"/>
      <c r="LLP106" s="17"/>
      <c r="LLQ106" s="17"/>
      <c r="LLR106" s="17"/>
      <c r="LLS106" s="17"/>
      <c r="LLT106" s="17"/>
      <c r="LLU106" s="17"/>
      <c r="LLV106" s="17"/>
      <c r="LLW106" s="17"/>
      <c r="LLX106" s="17"/>
      <c r="LLY106" s="17"/>
      <c r="LLZ106" s="17"/>
      <c r="LMA106" s="17"/>
      <c r="LMB106" s="17"/>
      <c r="LMC106" s="17"/>
      <c r="LMD106" s="17"/>
      <c r="LME106" s="17"/>
      <c r="LMF106" s="17"/>
      <c r="LMG106" s="17"/>
      <c r="LMH106" s="17"/>
      <c r="LMI106" s="17"/>
      <c r="LMJ106" s="17"/>
      <c r="LMK106" s="17"/>
      <c r="LML106" s="17"/>
      <c r="LMM106" s="17"/>
      <c r="LMN106" s="17"/>
      <c r="LMO106" s="17"/>
      <c r="LMP106" s="17"/>
      <c r="LMQ106" s="17"/>
      <c r="LMR106" s="17"/>
      <c r="LMS106" s="17"/>
      <c r="LMT106" s="17"/>
      <c r="LMU106" s="17"/>
      <c r="LMV106" s="17"/>
      <c r="LMW106" s="17"/>
      <c r="LMX106" s="17"/>
      <c r="LMY106" s="17"/>
      <c r="LMZ106" s="17"/>
      <c r="LNA106" s="17"/>
      <c r="LNB106" s="17"/>
      <c r="LNC106" s="17"/>
      <c r="LND106" s="17"/>
      <c r="LNE106" s="17"/>
      <c r="LNF106" s="17"/>
      <c r="LNG106" s="17"/>
      <c r="LNH106" s="17"/>
      <c r="LNI106" s="17"/>
      <c r="LNJ106" s="17"/>
      <c r="LNK106" s="17"/>
      <c r="LNL106" s="17"/>
      <c r="LNM106" s="17"/>
      <c r="LNN106" s="17"/>
      <c r="LNO106" s="17"/>
      <c r="LNP106" s="17"/>
      <c r="LNQ106" s="17"/>
      <c r="LNR106" s="17"/>
      <c r="LNS106" s="17"/>
      <c r="LNT106" s="17"/>
      <c r="LNU106" s="17"/>
      <c r="LNV106" s="17"/>
      <c r="LNW106" s="17"/>
      <c r="LNX106" s="17"/>
      <c r="LNY106" s="17"/>
      <c r="LNZ106" s="17"/>
      <c r="LOA106" s="17"/>
      <c r="LOB106" s="17"/>
      <c r="LOC106" s="17"/>
      <c r="LOD106" s="17"/>
      <c r="LOE106" s="17"/>
      <c r="LOF106" s="17"/>
      <c r="LOG106" s="17"/>
      <c r="LOH106" s="17"/>
      <c r="LOI106" s="17"/>
      <c r="LOJ106" s="17"/>
      <c r="LOK106" s="17"/>
      <c r="LOL106" s="17"/>
      <c r="LOM106" s="17"/>
      <c r="LON106" s="17"/>
      <c r="LOO106" s="17"/>
      <c r="LOP106" s="17"/>
      <c r="LOQ106" s="17"/>
      <c r="LOR106" s="17"/>
      <c r="LOS106" s="17"/>
      <c r="LOT106" s="17"/>
      <c r="LOU106" s="17"/>
      <c r="LOV106" s="17"/>
      <c r="LOW106" s="17"/>
      <c r="LOX106" s="17"/>
      <c r="LOY106" s="17"/>
      <c r="LOZ106" s="17"/>
      <c r="LPA106" s="17"/>
      <c r="LPB106" s="17"/>
      <c r="LPC106" s="17"/>
      <c r="LPD106" s="17"/>
      <c r="LPE106" s="17"/>
      <c r="LPF106" s="17"/>
      <c r="LPG106" s="17"/>
      <c r="LPH106" s="17"/>
      <c r="LPI106" s="17"/>
      <c r="LPJ106" s="17"/>
      <c r="LPK106" s="17"/>
      <c r="LPL106" s="17"/>
      <c r="LPM106" s="17"/>
      <c r="LPN106" s="17"/>
      <c r="LPO106" s="17"/>
      <c r="LPP106" s="17"/>
      <c r="LPQ106" s="17"/>
      <c r="LPR106" s="17"/>
      <c r="LPS106" s="17"/>
      <c r="LPT106" s="17"/>
      <c r="LPU106" s="17"/>
      <c r="LPV106" s="17"/>
      <c r="LPW106" s="17"/>
      <c r="LPX106" s="17"/>
      <c r="LPY106" s="17"/>
      <c r="LPZ106" s="17"/>
      <c r="LQA106" s="17"/>
      <c r="LQB106" s="17"/>
      <c r="LQC106" s="17"/>
      <c r="LQD106" s="17"/>
      <c r="LQE106" s="17"/>
      <c r="LQF106" s="17"/>
      <c r="LQG106" s="17"/>
      <c r="LQH106" s="17"/>
      <c r="LQI106" s="17"/>
      <c r="LQJ106" s="17"/>
      <c r="LQK106" s="17"/>
      <c r="LQL106" s="17"/>
      <c r="LQM106" s="17"/>
      <c r="LQN106" s="17"/>
      <c r="LQO106" s="17"/>
      <c r="LQP106" s="17"/>
      <c r="LQQ106" s="17"/>
      <c r="LQR106" s="17"/>
      <c r="LQS106" s="17"/>
      <c r="LQT106" s="17"/>
      <c r="LQU106" s="17"/>
      <c r="LQV106" s="17"/>
      <c r="LQW106" s="17"/>
      <c r="LQX106" s="17"/>
      <c r="LQY106" s="17"/>
      <c r="LQZ106" s="17"/>
      <c r="LRA106" s="17"/>
      <c r="LRB106" s="17"/>
      <c r="LRC106" s="17"/>
      <c r="LRD106" s="17"/>
      <c r="LRE106" s="17"/>
      <c r="LRF106" s="17"/>
      <c r="LRG106" s="17"/>
      <c r="LRH106" s="17"/>
      <c r="LRI106" s="17"/>
      <c r="LRJ106" s="17"/>
      <c r="LRK106" s="17"/>
      <c r="LRL106" s="17"/>
      <c r="LRM106" s="17"/>
      <c r="LRN106" s="17"/>
      <c r="LRO106" s="17"/>
      <c r="LRP106" s="17"/>
      <c r="LRQ106" s="17"/>
      <c r="LRR106" s="17"/>
      <c r="LRS106" s="17"/>
      <c r="LRT106" s="17"/>
      <c r="LRU106" s="17"/>
      <c r="LRV106" s="17"/>
      <c r="LRW106" s="17"/>
      <c r="LRX106" s="17"/>
      <c r="LRY106" s="17"/>
      <c r="LRZ106" s="17"/>
      <c r="LSA106" s="17"/>
      <c r="LSB106" s="17"/>
      <c r="LSC106" s="17"/>
      <c r="LSD106" s="17"/>
      <c r="LSE106" s="17"/>
      <c r="LSF106" s="17"/>
      <c r="LSG106" s="17"/>
      <c r="LSH106" s="17"/>
      <c r="LSI106" s="17"/>
      <c r="LSJ106" s="17"/>
      <c r="LSK106" s="17"/>
      <c r="LSL106" s="17"/>
      <c r="LSM106" s="17"/>
      <c r="LSN106" s="17"/>
      <c r="LSO106" s="17"/>
      <c r="LSP106" s="17"/>
      <c r="LSQ106" s="17"/>
      <c r="LSR106" s="17"/>
      <c r="LSS106" s="17"/>
      <c r="LST106" s="17"/>
      <c r="LSU106" s="17"/>
      <c r="LSV106" s="17"/>
      <c r="LSW106" s="17"/>
      <c r="LSX106" s="17"/>
      <c r="LSY106" s="17"/>
      <c r="LSZ106" s="17"/>
      <c r="LTA106" s="17"/>
      <c r="LTB106" s="17"/>
      <c r="LTC106" s="17"/>
      <c r="LTD106" s="17"/>
      <c r="LTE106" s="17"/>
      <c r="LTF106" s="17"/>
      <c r="LTG106" s="17"/>
      <c r="LTH106" s="17"/>
      <c r="LTI106" s="17"/>
      <c r="LTJ106" s="17"/>
      <c r="LTK106" s="17"/>
      <c r="LTL106" s="17"/>
      <c r="LTM106" s="17"/>
      <c r="LTN106" s="17"/>
      <c r="LTO106" s="17"/>
      <c r="LTP106" s="17"/>
      <c r="LTQ106" s="17"/>
      <c r="LTR106" s="17"/>
      <c r="LTS106" s="17"/>
      <c r="LTT106" s="17"/>
      <c r="LTU106" s="17"/>
      <c r="LTV106" s="17"/>
      <c r="LTW106" s="17"/>
      <c r="LTX106" s="17"/>
      <c r="LTY106" s="17"/>
      <c r="LTZ106" s="17"/>
      <c r="LUA106" s="17"/>
      <c r="LUB106" s="17"/>
      <c r="LUC106" s="17"/>
      <c r="LUD106" s="17"/>
      <c r="LUE106" s="17"/>
      <c r="LUF106" s="17"/>
      <c r="LUG106" s="17"/>
      <c r="LUH106" s="17"/>
      <c r="LUI106" s="17"/>
      <c r="LUJ106" s="17"/>
      <c r="LUK106" s="17"/>
      <c r="LUL106" s="17"/>
      <c r="LUM106" s="17"/>
      <c r="LUN106" s="17"/>
      <c r="LUO106" s="17"/>
      <c r="LUP106" s="17"/>
      <c r="LUQ106" s="17"/>
      <c r="LUR106" s="17"/>
      <c r="LUS106" s="17"/>
      <c r="LUT106" s="17"/>
      <c r="LUU106" s="17"/>
      <c r="LUV106" s="17"/>
      <c r="LUW106" s="17"/>
      <c r="LUX106" s="17"/>
      <c r="LUY106" s="17"/>
      <c r="LUZ106" s="17"/>
      <c r="LVA106" s="17"/>
      <c r="LVB106" s="17"/>
      <c r="LVC106" s="17"/>
      <c r="LVD106" s="17"/>
      <c r="LVE106" s="17"/>
      <c r="LVF106" s="17"/>
      <c r="LVG106" s="17"/>
      <c r="LVH106" s="17"/>
      <c r="LVI106" s="17"/>
      <c r="LVJ106" s="17"/>
      <c r="LVK106" s="17"/>
      <c r="LVL106" s="17"/>
      <c r="LVM106" s="17"/>
      <c r="LVN106" s="17"/>
      <c r="LVO106" s="17"/>
      <c r="LVP106" s="17"/>
      <c r="LVQ106" s="17"/>
      <c r="LVR106" s="17"/>
      <c r="LVS106" s="17"/>
      <c r="LVT106" s="17"/>
      <c r="LVU106" s="17"/>
      <c r="LVV106" s="17"/>
      <c r="LVW106" s="17"/>
      <c r="LVX106" s="17"/>
      <c r="LVY106" s="17"/>
      <c r="LVZ106" s="17"/>
      <c r="LWA106" s="17"/>
      <c r="LWB106" s="17"/>
      <c r="LWC106" s="17"/>
      <c r="LWD106" s="17"/>
      <c r="LWE106" s="17"/>
      <c r="LWF106" s="17"/>
      <c r="LWG106" s="17"/>
      <c r="LWH106" s="17"/>
      <c r="LWI106" s="17"/>
      <c r="LWJ106" s="17"/>
      <c r="LWK106" s="17"/>
      <c r="LWL106" s="17"/>
      <c r="LWM106" s="17"/>
      <c r="LWN106" s="17"/>
      <c r="LWO106" s="17"/>
      <c r="LWP106" s="17"/>
      <c r="LWQ106" s="17"/>
      <c r="LWR106" s="17"/>
      <c r="LWS106" s="17"/>
      <c r="LWT106" s="17"/>
      <c r="LWU106" s="17"/>
      <c r="LWV106" s="17"/>
      <c r="LWW106" s="17"/>
      <c r="LWX106" s="17"/>
      <c r="LWY106" s="17"/>
      <c r="LWZ106" s="17"/>
      <c r="LXA106" s="17"/>
      <c r="LXB106" s="17"/>
      <c r="LXC106" s="17"/>
      <c r="LXD106" s="17"/>
      <c r="LXE106" s="17"/>
      <c r="LXF106" s="17"/>
      <c r="LXG106" s="17"/>
      <c r="LXH106" s="17"/>
      <c r="LXI106" s="17"/>
      <c r="LXJ106" s="17"/>
      <c r="LXK106" s="17"/>
      <c r="LXL106" s="17"/>
      <c r="LXM106" s="17"/>
      <c r="LXN106" s="17"/>
      <c r="LXO106" s="17"/>
      <c r="LXP106" s="17"/>
      <c r="LXQ106" s="17"/>
      <c r="LXR106" s="17"/>
      <c r="LXS106" s="17"/>
      <c r="LXT106" s="17"/>
      <c r="LXU106" s="17"/>
      <c r="LXV106" s="17"/>
      <c r="LXW106" s="17"/>
      <c r="LXX106" s="17"/>
      <c r="LXY106" s="17"/>
      <c r="LXZ106" s="17"/>
      <c r="LYA106" s="17"/>
      <c r="LYB106" s="17"/>
      <c r="LYC106" s="17"/>
      <c r="LYD106" s="17"/>
      <c r="LYE106" s="17"/>
      <c r="LYF106" s="17"/>
      <c r="LYG106" s="17"/>
      <c r="LYH106" s="17"/>
      <c r="LYI106" s="17"/>
      <c r="LYJ106" s="17"/>
      <c r="LYK106" s="17"/>
      <c r="LYL106" s="17"/>
      <c r="LYM106" s="17"/>
      <c r="LYN106" s="17"/>
      <c r="LYO106" s="17"/>
      <c r="LYP106" s="17"/>
      <c r="LYQ106" s="17"/>
      <c r="LYR106" s="17"/>
      <c r="LYS106" s="17"/>
      <c r="LYT106" s="17"/>
      <c r="LYU106" s="17"/>
      <c r="LYV106" s="17"/>
      <c r="LYW106" s="17"/>
      <c r="LYX106" s="17"/>
      <c r="LYY106" s="17"/>
      <c r="LYZ106" s="17"/>
      <c r="LZA106" s="17"/>
      <c r="LZB106" s="17"/>
      <c r="LZC106" s="17"/>
      <c r="LZD106" s="17"/>
      <c r="LZE106" s="17"/>
      <c r="LZF106" s="17"/>
      <c r="LZG106" s="17"/>
      <c r="LZH106" s="17"/>
      <c r="LZI106" s="17"/>
      <c r="LZJ106" s="17"/>
      <c r="LZK106" s="17"/>
      <c r="LZL106" s="17"/>
      <c r="LZM106" s="17"/>
      <c r="LZN106" s="17"/>
      <c r="LZO106" s="17"/>
      <c r="LZP106" s="17"/>
      <c r="LZQ106" s="17"/>
      <c r="LZR106" s="17"/>
      <c r="LZS106" s="17"/>
      <c r="LZT106" s="17"/>
      <c r="LZU106" s="17"/>
      <c r="LZV106" s="17"/>
      <c r="LZW106" s="17"/>
      <c r="LZX106" s="17"/>
      <c r="LZY106" s="17"/>
      <c r="LZZ106" s="17"/>
      <c r="MAA106" s="17"/>
      <c r="MAB106" s="17"/>
      <c r="MAC106" s="17"/>
      <c r="MAD106" s="17"/>
      <c r="MAE106" s="17"/>
      <c r="MAF106" s="17"/>
      <c r="MAG106" s="17"/>
      <c r="MAH106" s="17"/>
      <c r="MAI106" s="17"/>
      <c r="MAJ106" s="17"/>
      <c r="MAK106" s="17"/>
      <c r="MAL106" s="17"/>
      <c r="MAM106" s="17"/>
      <c r="MAN106" s="17"/>
      <c r="MAO106" s="17"/>
      <c r="MAP106" s="17"/>
      <c r="MAQ106" s="17"/>
      <c r="MAR106" s="17"/>
      <c r="MAS106" s="17"/>
      <c r="MAT106" s="17"/>
      <c r="MAU106" s="17"/>
      <c r="MAV106" s="17"/>
      <c r="MAW106" s="17"/>
      <c r="MAX106" s="17"/>
      <c r="MAY106" s="17"/>
      <c r="MAZ106" s="17"/>
      <c r="MBA106" s="17"/>
      <c r="MBB106" s="17"/>
      <c r="MBC106" s="17"/>
      <c r="MBD106" s="17"/>
      <c r="MBE106" s="17"/>
      <c r="MBF106" s="17"/>
      <c r="MBG106" s="17"/>
      <c r="MBH106" s="17"/>
      <c r="MBI106" s="17"/>
      <c r="MBJ106" s="17"/>
      <c r="MBK106" s="17"/>
      <c r="MBL106" s="17"/>
      <c r="MBM106" s="17"/>
      <c r="MBN106" s="17"/>
      <c r="MBO106" s="17"/>
      <c r="MBP106" s="17"/>
      <c r="MBQ106" s="17"/>
      <c r="MBR106" s="17"/>
      <c r="MBS106" s="17"/>
      <c r="MBT106" s="17"/>
      <c r="MBU106" s="17"/>
      <c r="MBV106" s="17"/>
      <c r="MBW106" s="17"/>
      <c r="MBX106" s="17"/>
      <c r="MBY106" s="17"/>
      <c r="MBZ106" s="17"/>
      <c r="MCA106" s="17"/>
      <c r="MCB106" s="17"/>
      <c r="MCC106" s="17"/>
      <c r="MCD106" s="17"/>
      <c r="MCE106" s="17"/>
      <c r="MCF106" s="17"/>
      <c r="MCG106" s="17"/>
      <c r="MCH106" s="17"/>
      <c r="MCI106" s="17"/>
      <c r="MCJ106" s="17"/>
      <c r="MCK106" s="17"/>
      <c r="MCL106" s="17"/>
      <c r="MCM106" s="17"/>
      <c r="MCN106" s="17"/>
      <c r="MCO106" s="17"/>
      <c r="MCP106" s="17"/>
      <c r="MCQ106" s="17"/>
      <c r="MCR106" s="17"/>
      <c r="MCS106" s="17"/>
      <c r="MCT106" s="17"/>
      <c r="MCU106" s="17"/>
      <c r="MCV106" s="17"/>
      <c r="MCW106" s="17"/>
      <c r="MCX106" s="17"/>
      <c r="MCY106" s="17"/>
      <c r="MCZ106" s="17"/>
      <c r="MDA106" s="17"/>
      <c r="MDB106" s="17"/>
      <c r="MDC106" s="17"/>
      <c r="MDD106" s="17"/>
      <c r="MDE106" s="17"/>
      <c r="MDF106" s="17"/>
      <c r="MDG106" s="17"/>
      <c r="MDH106" s="17"/>
      <c r="MDI106" s="17"/>
      <c r="MDJ106" s="17"/>
      <c r="MDK106" s="17"/>
      <c r="MDL106" s="17"/>
      <c r="MDM106" s="17"/>
      <c r="MDN106" s="17"/>
      <c r="MDO106" s="17"/>
      <c r="MDP106" s="17"/>
      <c r="MDQ106" s="17"/>
      <c r="MDR106" s="17"/>
      <c r="MDS106" s="17"/>
      <c r="MDT106" s="17"/>
      <c r="MDU106" s="17"/>
      <c r="MDV106" s="17"/>
      <c r="MDW106" s="17"/>
      <c r="MDX106" s="17"/>
      <c r="MDY106" s="17"/>
      <c r="MDZ106" s="17"/>
      <c r="MEA106" s="17"/>
      <c r="MEB106" s="17"/>
      <c r="MEC106" s="17"/>
      <c r="MED106" s="17"/>
      <c r="MEE106" s="17"/>
      <c r="MEF106" s="17"/>
      <c r="MEG106" s="17"/>
      <c r="MEH106" s="17"/>
      <c r="MEI106" s="17"/>
      <c r="MEJ106" s="17"/>
      <c r="MEK106" s="17"/>
      <c r="MEL106" s="17"/>
      <c r="MEM106" s="17"/>
      <c r="MEN106" s="17"/>
      <c r="MEO106" s="17"/>
      <c r="MEP106" s="17"/>
      <c r="MEQ106" s="17"/>
      <c r="MER106" s="17"/>
      <c r="MES106" s="17"/>
      <c r="MET106" s="17"/>
      <c r="MEU106" s="17"/>
      <c r="MEV106" s="17"/>
      <c r="MEW106" s="17"/>
      <c r="MEX106" s="17"/>
      <c r="MEY106" s="17"/>
      <c r="MEZ106" s="17"/>
      <c r="MFA106" s="17"/>
      <c r="MFB106" s="17"/>
      <c r="MFC106" s="17"/>
      <c r="MFD106" s="17"/>
      <c r="MFE106" s="17"/>
      <c r="MFF106" s="17"/>
      <c r="MFG106" s="17"/>
      <c r="MFH106" s="17"/>
      <c r="MFI106" s="17"/>
      <c r="MFJ106" s="17"/>
      <c r="MFK106" s="17"/>
      <c r="MFL106" s="17"/>
      <c r="MFM106" s="17"/>
      <c r="MFN106" s="17"/>
      <c r="MFO106" s="17"/>
      <c r="MFP106" s="17"/>
      <c r="MFQ106" s="17"/>
      <c r="MFR106" s="17"/>
      <c r="MFS106" s="17"/>
      <c r="MFT106" s="17"/>
      <c r="MFU106" s="17"/>
      <c r="MFV106" s="17"/>
      <c r="MFW106" s="17"/>
      <c r="MFX106" s="17"/>
      <c r="MFY106" s="17"/>
      <c r="MFZ106" s="17"/>
      <c r="MGA106" s="17"/>
      <c r="MGB106" s="17"/>
      <c r="MGC106" s="17"/>
      <c r="MGD106" s="17"/>
      <c r="MGE106" s="17"/>
      <c r="MGF106" s="17"/>
      <c r="MGG106" s="17"/>
      <c r="MGH106" s="17"/>
      <c r="MGI106" s="17"/>
      <c r="MGJ106" s="17"/>
      <c r="MGK106" s="17"/>
      <c r="MGL106" s="17"/>
      <c r="MGM106" s="17"/>
      <c r="MGN106" s="17"/>
      <c r="MGO106" s="17"/>
      <c r="MGP106" s="17"/>
      <c r="MGQ106" s="17"/>
      <c r="MGR106" s="17"/>
      <c r="MGS106" s="17"/>
      <c r="MGT106" s="17"/>
      <c r="MGU106" s="17"/>
      <c r="MGV106" s="17"/>
      <c r="MGW106" s="17"/>
      <c r="MGX106" s="17"/>
      <c r="MGY106" s="17"/>
      <c r="MGZ106" s="17"/>
      <c r="MHA106" s="17"/>
      <c r="MHB106" s="17"/>
      <c r="MHC106" s="17"/>
      <c r="MHD106" s="17"/>
      <c r="MHE106" s="17"/>
      <c r="MHF106" s="17"/>
      <c r="MHG106" s="17"/>
      <c r="MHH106" s="17"/>
      <c r="MHI106" s="17"/>
      <c r="MHJ106" s="17"/>
      <c r="MHK106" s="17"/>
      <c r="MHL106" s="17"/>
      <c r="MHM106" s="17"/>
      <c r="MHN106" s="17"/>
      <c r="MHO106" s="17"/>
      <c r="MHP106" s="17"/>
      <c r="MHQ106" s="17"/>
      <c r="MHR106" s="17"/>
      <c r="MHS106" s="17"/>
      <c r="MHT106" s="17"/>
      <c r="MHU106" s="17"/>
      <c r="MHV106" s="17"/>
      <c r="MHW106" s="17"/>
      <c r="MHX106" s="17"/>
      <c r="MHY106" s="17"/>
      <c r="MHZ106" s="17"/>
      <c r="MIA106" s="17"/>
      <c r="MIB106" s="17"/>
      <c r="MIC106" s="17"/>
      <c r="MID106" s="17"/>
      <c r="MIE106" s="17"/>
      <c r="MIF106" s="17"/>
      <c r="MIG106" s="17"/>
      <c r="MIH106" s="17"/>
      <c r="MII106" s="17"/>
      <c r="MIJ106" s="17"/>
      <c r="MIK106" s="17"/>
      <c r="MIL106" s="17"/>
      <c r="MIM106" s="17"/>
      <c r="MIN106" s="17"/>
      <c r="MIO106" s="17"/>
      <c r="MIP106" s="17"/>
      <c r="MIQ106" s="17"/>
      <c r="MIR106" s="17"/>
      <c r="MIS106" s="17"/>
      <c r="MIT106" s="17"/>
      <c r="MIU106" s="17"/>
      <c r="MIV106" s="17"/>
      <c r="MIW106" s="17"/>
      <c r="MIX106" s="17"/>
      <c r="MIY106" s="17"/>
      <c r="MIZ106" s="17"/>
      <c r="MJA106" s="17"/>
      <c r="MJB106" s="17"/>
      <c r="MJC106" s="17"/>
      <c r="MJD106" s="17"/>
      <c r="MJE106" s="17"/>
      <c r="MJF106" s="17"/>
      <c r="MJG106" s="17"/>
      <c r="MJH106" s="17"/>
      <c r="MJI106" s="17"/>
      <c r="MJJ106" s="17"/>
      <c r="MJK106" s="17"/>
      <c r="MJL106" s="17"/>
      <c r="MJM106" s="17"/>
      <c r="MJN106" s="17"/>
      <c r="MJO106" s="17"/>
      <c r="MJP106" s="17"/>
      <c r="MJQ106" s="17"/>
      <c r="MJR106" s="17"/>
      <c r="MJS106" s="17"/>
      <c r="MJT106" s="17"/>
      <c r="MJU106" s="17"/>
      <c r="MJV106" s="17"/>
      <c r="MJW106" s="17"/>
      <c r="MJX106" s="17"/>
      <c r="MJY106" s="17"/>
      <c r="MJZ106" s="17"/>
      <c r="MKA106" s="17"/>
      <c r="MKB106" s="17"/>
      <c r="MKC106" s="17"/>
      <c r="MKD106" s="17"/>
      <c r="MKE106" s="17"/>
      <c r="MKF106" s="17"/>
      <c r="MKG106" s="17"/>
      <c r="MKH106" s="17"/>
      <c r="MKI106" s="17"/>
      <c r="MKJ106" s="17"/>
      <c r="MKK106" s="17"/>
      <c r="MKL106" s="17"/>
      <c r="MKM106" s="17"/>
      <c r="MKN106" s="17"/>
      <c r="MKO106" s="17"/>
      <c r="MKP106" s="17"/>
      <c r="MKQ106" s="17"/>
      <c r="MKR106" s="17"/>
      <c r="MKS106" s="17"/>
      <c r="MKT106" s="17"/>
      <c r="MKU106" s="17"/>
      <c r="MKV106" s="17"/>
      <c r="MKW106" s="17"/>
      <c r="MKX106" s="17"/>
      <c r="MKY106" s="17"/>
      <c r="MKZ106" s="17"/>
      <c r="MLA106" s="17"/>
      <c r="MLB106" s="17"/>
      <c r="MLC106" s="17"/>
      <c r="MLD106" s="17"/>
      <c r="MLE106" s="17"/>
      <c r="MLF106" s="17"/>
      <c r="MLG106" s="17"/>
      <c r="MLH106" s="17"/>
      <c r="MLI106" s="17"/>
      <c r="MLJ106" s="17"/>
      <c r="MLK106" s="17"/>
      <c r="MLL106" s="17"/>
      <c r="MLM106" s="17"/>
      <c r="MLN106" s="17"/>
      <c r="MLO106" s="17"/>
      <c r="MLP106" s="17"/>
      <c r="MLQ106" s="17"/>
      <c r="MLR106" s="17"/>
      <c r="MLS106" s="17"/>
      <c r="MLT106" s="17"/>
      <c r="MLU106" s="17"/>
      <c r="MLV106" s="17"/>
      <c r="MLW106" s="17"/>
      <c r="MLX106" s="17"/>
      <c r="MLY106" s="17"/>
      <c r="MLZ106" s="17"/>
      <c r="MMA106" s="17"/>
      <c r="MMB106" s="17"/>
      <c r="MMC106" s="17"/>
      <c r="MMD106" s="17"/>
      <c r="MME106" s="17"/>
      <c r="MMF106" s="17"/>
      <c r="MMG106" s="17"/>
      <c r="MMH106" s="17"/>
      <c r="MMI106" s="17"/>
      <c r="MMJ106" s="17"/>
      <c r="MMK106" s="17"/>
      <c r="MML106" s="17"/>
      <c r="MMM106" s="17"/>
      <c r="MMN106" s="17"/>
      <c r="MMO106" s="17"/>
      <c r="MMP106" s="17"/>
      <c r="MMQ106" s="17"/>
      <c r="MMR106" s="17"/>
      <c r="MMS106" s="17"/>
      <c r="MMT106" s="17"/>
      <c r="MMU106" s="17"/>
      <c r="MMV106" s="17"/>
      <c r="MMW106" s="17"/>
      <c r="MMX106" s="17"/>
      <c r="MMY106" s="17"/>
      <c r="MMZ106" s="17"/>
      <c r="MNA106" s="17"/>
      <c r="MNB106" s="17"/>
      <c r="MNC106" s="17"/>
      <c r="MND106" s="17"/>
      <c r="MNE106" s="17"/>
      <c r="MNF106" s="17"/>
      <c r="MNG106" s="17"/>
      <c r="MNH106" s="17"/>
      <c r="MNI106" s="17"/>
      <c r="MNJ106" s="17"/>
      <c r="MNK106" s="17"/>
      <c r="MNL106" s="17"/>
      <c r="MNM106" s="17"/>
      <c r="MNN106" s="17"/>
      <c r="MNO106" s="17"/>
      <c r="MNP106" s="17"/>
      <c r="MNQ106" s="17"/>
      <c r="MNR106" s="17"/>
      <c r="MNS106" s="17"/>
      <c r="MNT106" s="17"/>
      <c r="MNU106" s="17"/>
      <c r="MNV106" s="17"/>
      <c r="MNW106" s="17"/>
      <c r="MNX106" s="17"/>
      <c r="MNY106" s="17"/>
      <c r="MNZ106" s="17"/>
      <c r="MOA106" s="17"/>
      <c r="MOB106" s="17"/>
      <c r="MOC106" s="17"/>
      <c r="MOD106" s="17"/>
      <c r="MOE106" s="17"/>
      <c r="MOF106" s="17"/>
      <c r="MOG106" s="17"/>
      <c r="MOH106" s="17"/>
      <c r="MOI106" s="17"/>
      <c r="MOJ106" s="17"/>
      <c r="MOK106" s="17"/>
      <c r="MOL106" s="17"/>
      <c r="MOM106" s="17"/>
      <c r="MON106" s="17"/>
      <c r="MOO106" s="17"/>
      <c r="MOP106" s="17"/>
      <c r="MOQ106" s="17"/>
      <c r="MOR106" s="17"/>
      <c r="MOS106" s="17"/>
      <c r="MOT106" s="17"/>
      <c r="MOU106" s="17"/>
      <c r="MOV106" s="17"/>
      <c r="MOW106" s="17"/>
      <c r="MOX106" s="17"/>
      <c r="MOY106" s="17"/>
      <c r="MOZ106" s="17"/>
      <c r="MPA106" s="17"/>
      <c r="MPB106" s="17"/>
      <c r="MPC106" s="17"/>
      <c r="MPD106" s="17"/>
      <c r="MPE106" s="17"/>
      <c r="MPF106" s="17"/>
      <c r="MPG106" s="17"/>
      <c r="MPH106" s="17"/>
      <c r="MPI106" s="17"/>
      <c r="MPJ106" s="17"/>
      <c r="MPK106" s="17"/>
      <c r="MPL106" s="17"/>
      <c r="MPM106" s="17"/>
      <c r="MPN106" s="17"/>
      <c r="MPO106" s="17"/>
      <c r="MPP106" s="17"/>
      <c r="MPQ106" s="17"/>
      <c r="MPR106" s="17"/>
      <c r="MPS106" s="17"/>
      <c r="MPT106" s="17"/>
      <c r="MPU106" s="17"/>
      <c r="MPV106" s="17"/>
      <c r="MPW106" s="17"/>
      <c r="MPX106" s="17"/>
      <c r="MPY106" s="17"/>
      <c r="MPZ106" s="17"/>
      <c r="MQA106" s="17"/>
      <c r="MQB106" s="17"/>
      <c r="MQC106" s="17"/>
      <c r="MQD106" s="17"/>
      <c r="MQE106" s="17"/>
      <c r="MQF106" s="17"/>
      <c r="MQG106" s="17"/>
      <c r="MQH106" s="17"/>
      <c r="MQI106" s="17"/>
      <c r="MQJ106" s="17"/>
      <c r="MQK106" s="17"/>
      <c r="MQL106" s="17"/>
      <c r="MQM106" s="17"/>
      <c r="MQN106" s="17"/>
      <c r="MQO106" s="17"/>
      <c r="MQP106" s="17"/>
      <c r="MQQ106" s="17"/>
      <c r="MQR106" s="17"/>
      <c r="MQS106" s="17"/>
      <c r="MQT106" s="17"/>
      <c r="MQU106" s="17"/>
      <c r="MQV106" s="17"/>
      <c r="MQW106" s="17"/>
      <c r="MQX106" s="17"/>
      <c r="MQY106" s="17"/>
      <c r="MQZ106" s="17"/>
      <c r="MRA106" s="17"/>
      <c r="MRB106" s="17"/>
      <c r="MRC106" s="17"/>
      <c r="MRD106" s="17"/>
      <c r="MRE106" s="17"/>
      <c r="MRF106" s="17"/>
      <c r="MRG106" s="17"/>
      <c r="MRH106" s="17"/>
      <c r="MRI106" s="17"/>
      <c r="MRJ106" s="17"/>
      <c r="MRK106" s="17"/>
      <c r="MRL106" s="17"/>
      <c r="MRM106" s="17"/>
      <c r="MRN106" s="17"/>
      <c r="MRO106" s="17"/>
      <c r="MRP106" s="17"/>
      <c r="MRQ106" s="17"/>
      <c r="MRR106" s="17"/>
      <c r="MRS106" s="17"/>
      <c r="MRT106" s="17"/>
      <c r="MRU106" s="17"/>
      <c r="MRV106" s="17"/>
      <c r="MRW106" s="17"/>
      <c r="MRX106" s="17"/>
      <c r="MRY106" s="17"/>
      <c r="MRZ106" s="17"/>
      <c r="MSA106" s="17"/>
      <c r="MSB106" s="17"/>
      <c r="MSC106" s="17"/>
      <c r="MSD106" s="17"/>
      <c r="MSE106" s="17"/>
      <c r="MSF106" s="17"/>
      <c r="MSG106" s="17"/>
      <c r="MSH106" s="17"/>
      <c r="MSI106" s="17"/>
      <c r="MSJ106" s="17"/>
      <c r="MSK106" s="17"/>
      <c r="MSL106" s="17"/>
      <c r="MSM106" s="17"/>
      <c r="MSN106" s="17"/>
      <c r="MSO106" s="17"/>
      <c r="MSP106" s="17"/>
      <c r="MSQ106" s="17"/>
      <c r="MSR106" s="17"/>
      <c r="MSS106" s="17"/>
      <c r="MST106" s="17"/>
      <c r="MSU106" s="17"/>
      <c r="MSV106" s="17"/>
      <c r="MSW106" s="17"/>
      <c r="MSX106" s="17"/>
      <c r="MSY106" s="17"/>
      <c r="MSZ106" s="17"/>
      <c r="MTA106" s="17"/>
      <c r="MTB106" s="17"/>
      <c r="MTC106" s="17"/>
      <c r="MTD106" s="17"/>
      <c r="MTE106" s="17"/>
      <c r="MTF106" s="17"/>
      <c r="MTG106" s="17"/>
      <c r="MTH106" s="17"/>
      <c r="MTI106" s="17"/>
      <c r="MTJ106" s="17"/>
      <c r="MTK106" s="17"/>
      <c r="MTL106" s="17"/>
      <c r="MTM106" s="17"/>
      <c r="MTN106" s="17"/>
      <c r="MTO106" s="17"/>
      <c r="MTP106" s="17"/>
      <c r="MTQ106" s="17"/>
      <c r="MTR106" s="17"/>
      <c r="MTS106" s="17"/>
      <c r="MTT106" s="17"/>
      <c r="MTU106" s="17"/>
      <c r="MTV106" s="17"/>
      <c r="MTW106" s="17"/>
      <c r="MTX106" s="17"/>
      <c r="MTY106" s="17"/>
      <c r="MTZ106" s="17"/>
      <c r="MUA106" s="17"/>
      <c r="MUB106" s="17"/>
      <c r="MUC106" s="17"/>
      <c r="MUD106" s="17"/>
      <c r="MUE106" s="17"/>
      <c r="MUF106" s="17"/>
      <c r="MUG106" s="17"/>
      <c r="MUH106" s="17"/>
      <c r="MUI106" s="17"/>
      <c r="MUJ106" s="17"/>
      <c r="MUK106" s="17"/>
      <c r="MUL106" s="17"/>
      <c r="MUM106" s="17"/>
      <c r="MUN106" s="17"/>
      <c r="MUO106" s="17"/>
      <c r="MUP106" s="17"/>
      <c r="MUQ106" s="17"/>
      <c r="MUR106" s="17"/>
      <c r="MUS106" s="17"/>
      <c r="MUT106" s="17"/>
      <c r="MUU106" s="17"/>
      <c r="MUV106" s="17"/>
      <c r="MUW106" s="17"/>
      <c r="MUX106" s="17"/>
      <c r="MUY106" s="17"/>
      <c r="MUZ106" s="17"/>
      <c r="MVA106" s="17"/>
      <c r="MVB106" s="17"/>
      <c r="MVC106" s="17"/>
      <c r="MVD106" s="17"/>
      <c r="MVE106" s="17"/>
      <c r="MVF106" s="17"/>
      <c r="MVG106" s="17"/>
      <c r="MVH106" s="17"/>
      <c r="MVI106" s="17"/>
      <c r="MVJ106" s="17"/>
      <c r="MVK106" s="17"/>
      <c r="MVL106" s="17"/>
      <c r="MVM106" s="17"/>
      <c r="MVN106" s="17"/>
      <c r="MVO106" s="17"/>
      <c r="MVP106" s="17"/>
      <c r="MVQ106" s="17"/>
      <c r="MVR106" s="17"/>
      <c r="MVS106" s="17"/>
      <c r="MVT106" s="17"/>
      <c r="MVU106" s="17"/>
      <c r="MVV106" s="17"/>
      <c r="MVW106" s="17"/>
      <c r="MVX106" s="17"/>
      <c r="MVY106" s="17"/>
      <c r="MVZ106" s="17"/>
      <c r="MWA106" s="17"/>
      <c r="MWB106" s="17"/>
      <c r="MWC106" s="17"/>
      <c r="MWD106" s="17"/>
      <c r="MWE106" s="17"/>
      <c r="MWF106" s="17"/>
      <c r="MWG106" s="17"/>
      <c r="MWH106" s="17"/>
      <c r="MWI106" s="17"/>
      <c r="MWJ106" s="17"/>
      <c r="MWK106" s="17"/>
      <c r="MWL106" s="17"/>
      <c r="MWM106" s="17"/>
      <c r="MWN106" s="17"/>
      <c r="MWO106" s="17"/>
      <c r="MWP106" s="17"/>
      <c r="MWQ106" s="17"/>
      <c r="MWR106" s="17"/>
      <c r="MWS106" s="17"/>
      <c r="MWT106" s="17"/>
      <c r="MWU106" s="17"/>
      <c r="MWV106" s="17"/>
      <c r="MWW106" s="17"/>
      <c r="MWX106" s="17"/>
      <c r="MWY106" s="17"/>
      <c r="MWZ106" s="17"/>
      <c r="MXA106" s="17"/>
      <c r="MXB106" s="17"/>
      <c r="MXC106" s="17"/>
      <c r="MXD106" s="17"/>
      <c r="MXE106" s="17"/>
      <c r="MXF106" s="17"/>
      <c r="MXG106" s="17"/>
      <c r="MXH106" s="17"/>
      <c r="MXI106" s="17"/>
      <c r="MXJ106" s="17"/>
      <c r="MXK106" s="17"/>
      <c r="MXL106" s="17"/>
      <c r="MXM106" s="17"/>
      <c r="MXN106" s="17"/>
      <c r="MXO106" s="17"/>
      <c r="MXP106" s="17"/>
      <c r="MXQ106" s="17"/>
      <c r="MXR106" s="17"/>
      <c r="MXS106" s="17"/>
      <c r="MXT106" s="17"/>
      <c r="MXU106" s="17"/>
      <c r="MXV106" s="17"/>
      <c r="MXW106" s="17"/>
      <c r="MXX106" s="17"/>
      <c r="MXY106" s="17"/>
      <c r="MXZ106" s="17"/>
      <c r="MYA106" s="17"/>
      <c r="MYB106" s="17"/>
      <c r="MYC106" s="17"/>
      <c r="MYD106" s="17"/>
      <c r="MYE106" s="17"/>
      <c r="MYF106" s="17"/>
      <c r="MYG106" s="17"/>
      <c r="MYH106" s="17"/>
      <c r="MYI106" s="17"/>
      <c r="MYJ106" s="17"/>
      <c r="MYK106" s="17"/>
      <c r="MYL106" s="17"/>
      <c r="MYM106" s="17"/>
      <c r="MYN106" s="17"/>
      <c r="MYO106" s="17"/>
      <c r="MYP106" s="17"/>
      <c r="MYQ106" s="17"/>
      <c r="MYR106" s="17"/>
      <c r="MYS106" s="17"/>
      <c r="MYT106" s="17"/>
      <c r="MYU106" s="17"/>
      <c r="MYV106" s="17"/>
      <c r="MYW106" s="17"/>
      <c r="MYX106" s="17"/>
      <c r="MYY106" s="17"/>
      <c r="MYZ106" s="17"/>
      <c r="MZA106" s="17"/>
      <c r="MZB106" s="17"/>
      <c r="MZC106" s="17"/>
      <c r="MZD106" s="17"/>
      <c r="MZE106" s="17"/>
      <c r="MZF106" s="17"/>
      <c r="MZG106" s="17"/>
      <c r="MZH106" s="17"/>
      <c r="MZI106" s="17"/>
      <c r="MZJ106" s="17"/>
      <c r="MZK106" s="17"/>
      <c r="MZL106" s="17"/>
      <c r="MZM106" s="17"/>
      <c r="MZN106" s="17"/>
      <c r="MZO106" s="17"/>
      <c r="MZP106" s="17"/>
      <c r="MZQ106" s="17"/>
      <c r="MZR106" s="17"/>
      <c r="MZS106" s="17"/>
      <c r="MZT106" s="17"/>
      <c r="MZU106" s="17"/>
      <c r="MZV106" s="17"/>
      <c r="MZW106" s="17"/>
      <c r="MZX106" s="17"/>
      <c r="MZY106" s="17"/>
      <c r="MZZ106" s="17"/>
      <c r="NAA106" s="17"/>
      <c r="NAB106" s="17"/>
      <c r="NAC106" s="17"/>
      <c r="NAD106" s="17"/>
      <c r="NAE106" s="17"/>
      <c r="NAF106" s="17"/>
      <c r="NAG106" s="17"/>
      <c r="NAH106" s="17"/>
      <c r="NAI106" s="17"/>
      <c r="NAJ106" s="17"/>
      <c r="NAK106" s="17"/>
      <c r="NAL106" s="17"/>
      <c r="NAM106" s="17"/>
      <c r="NAN106" s="17"/>
      <c r="NAO106" s="17"/>
      <c r="NAP106" s="17"/>
      <c r="NAQ106" s="17"/>
      <c r="NAR106" s="17"/>
      <c r="NAS106" s="17"/>
      <c r="NAT106" s="17"/>
      <c r="NAU106" s="17"/>
      <c r="NAV106" s="17"/>
      <c r="NAW106" s="17"/>
      <c r="NAX106" s="17"/>
      <c r="NAY106" s="17"/>
      <c r="NAZ106" s="17"/>
      <c r="NBA106" s="17"/>
      <c r="NBB106" s="17"/>
      <c r="NBC106" s="17"/>
      <c r="NBD106" s="17"/>
      <c r="NBE106" s="17"/>
      <c r="NBF106" s="17"/>
      <c r="NBG106" s="17"/>
      <c r="NBH106" s="17"/>
      <c r="NBI106" s="17"/>
      <c r="NBJ106" s="17"/>
      <c r="NBK106" s="17"/>
      <c r="NBL106" s="17"/>
      <c r="NBM106" s="17"/>
      <c r="NBN106" s="17"/>
      <c r="NBO106" s="17"/>
      <c r="NBP106" s="17"/>
      <c r="NBQ106" s="17"/>
      <c r="NBR106" s="17"/>
      <c r="NBS106" s="17"/>
      <c r="NBT106" s="17"/>
      <c r="NBU106" s="17"/>
      <c r="NBV106" s="17"/>
      <c r="NBW106" s="17"/>
      <c r="NBX106" s="17"/>
      <c r="NBY106" s="17"/>
      <c r="NBZ106" s="17"/>
      <c r="NCA106" s="17"/>
      <c r="NCB106" s="17"/>
      <c r="NCC106" s="17"/>
      <c r="NCD106" s="17"/>
      <c r="NCE106" s="17"/>
      <c r="NCF106" s="17"/>
      <c r="NCG106" s="17"/>
      <c r="NCH106" s="17"/>
      <c r="NCI106" s="17"/>
      <c r="NCJ106" s="17"/>
      <c r="NCK106" s="17"/>
      <c r="NCL106" s="17"/>
      <c r="NCM106" s="17"/>
      <c r="NCN106" s="17"/>
      <c r="NCO106" s="17"/>
      <c r="NCP106" s="17"/>
      <c r="NCQ106" s="17"/>
      <c r="NCR106" s="17"/>
      <c r="NCS106" s="17"/>
      <c r="NCT106" s="17"/>
      <c r="NCU106" s="17"/>
      <c r="NCV106" s="17"/>
      <c r="NCW106" s="17"/>
      <c r="NCX106" s="17"/>
      <c r="NCY106" s="17"/>
      <c r="NCZ106" s="17"/>
      <c r="NDA106" s="17"/>
      <c r="NDB106" s="17"/>
      <c r="NDC106" s="17"/>
      <c r="NDD106" s="17"/>
      <c r="NDE106" s="17"/>
      <c r="NDF106" s="17"/>
      <c r="NDG106" s="17"/>
      <c r="NDH106" s="17"/>
      <c r="NDI106" s="17"/>
      <c r="NDJ106" s="17"/>
      <c r="NDK106" s="17"/>
      <c r="NDL106" s="17"/>
      <c r="NDM106" s="17"/>
      <c r="NDN106" s="17"/>
      <c r="NDO106" s="17"/>
      <c r="NDP106" s="17"/>
      <c r="NDQ106" s="17"/>
      <c r="NDR106" s="17"/>
      <c r="NDS106" s="17"/>
      <c r="NDT106" s="17"/>
      <c r="NDU106" s="17"/>
      <c r="NDV106" s="17"/>
      <c r="NDW106" s="17"/>
      <c r="NDX106" s="17"/>
      <c r="NDY106" s="17"/>
      <c r="NDZ106" s="17"/>
      <c r="NEA106" s="17"/>
      <c r="NEB106" s="17"/>
      <c r="NEC106" s="17"/>
      <c r="NED106" s="17"/>
      <c r="NEE106" s="17"/>
      <c r="NEF106" s="17"/>
      <c r="NEG106" s="17"/>
      <c r="NEH106" s="17"/>
      <c r="NEI106" s="17"/>
      <c r="NEJ106" s="17"/>
      <c r="NEK106" s="17"/>
      <c r="NEL106" s="17"/>
      <c r="NEM106" s="17"/>
      <c r="NEN106" s="17"/>
      <c r="NEO106" s="17"/>
      <c r="NEP106" s="17"/>
      <c r="NEQ106" s="17"/>
      <c r="NER106" s="17"/>
      <c r="NES106" s="17"/>
      <c r="NET106" s="17"/>
      <c r="NEU106" s="17"/>
      <c r="NEV106" s="17"/>
      <c r="NEW106" s="17"/>
      <c r="NEX106" s="17"/>
      <c r="NEY106" s="17"/>
      <c r="NEZ106" s="17"/>
      <c r="NFA106" s="17"/>
      <c r="NFB106" s="17"/>
      <c r="NFC106" s="17"/>
      <c r="NFD106" s="17"/>
      <c r="NFE106" s="17"/>
      <c r="NFF106" s="17"/>
      <c r="NFG106" s="17"/>
      <c r="NFH106" s="17"/>
      <c r="NFI106" s="17"/>
      <c r="NFJ106" s="17"/>
      <c r="NFK106" s="17"/>
      <c r="NFL106" s="17"/>
      <c r="NFM106" s="17"/>
      <c r="NFN106" s="17"/>
      <c r="NFO106" s="17"/>
      <c r="NFP106" s="17"/>
      <c r="NFQ106" s="17"/>
      <c r="NFR106" s="17"/>
      <c r="NFS106" s="17"/>
      <c r="NFT106" s="17"/>
      <c r="NFU106" s="17"/>
      <c r="NFV106" s="17"/>
      <c r="NFW106" s="17"/>
      <c r="NFX106" s="17"/>
      <c r="NFY106" s="17"/>
      <c r="NFZ106" s="17"/>
      <c r="NGA106" s="17"/>
      <c r="NGB106" s="17"/>
      <c r="NGC106" s="17"/>
      <c r="NGD106" s="17"/>
      <c r="NGE106" s="17"/>
      <c r="NGF106" s="17"/>
      <c r="NGG106" s="17"/>
      <c r="NGH106" s="17"/>
      <c r="NGI106" s="17"/>
      <c r="NGJ106" s="17"/>
      <c r="NGK106" s="17"/>
      <c r="NGL106" s="17"/>
      <c r="NGM106" s="17"/>
      <c r="NGN106" s="17"/>
      <c r="NGO106" s="17"/>
      <c r="NGP106" s="17"/>
      <c r="NGQ106" s="17"/>
      <c r="NGR106" s="17"/>
      <c r="NGS106" s="17"/>
      <c r="NGT106" s="17"/>
      <c r="NGU106" s="17"/>
      <c r="NGV106" s="17"/>
      <c r="NGW106" s="17"/>
      <c r="NGX106" s="17"/>
      <c r="NGY106" s="17"/>
      <c r="NGZ106" s="17"/>
      <c r="NHA106" s="17"/>
      <c r="NHB106" s="17"/>
      <c r="NHC106" s="17"/>
      <c r="NHD106" s="17"/>
      <c r="NHE106" s="17"/>
      <c r="NHF106" s="17"/>
      <c r="NHG106" s="17"/>
      <c r="NHH106" s="17"/>
      <c r="NHI106" s="17"/>
      <c r="NHJ106" s="17"/>
      <c r="NHK106" s="17"/>
      <c r="NHL106" s="17"/>
      <c r="NHM106" s="17"/>
      <c r="NHN106" s="17"/>
      <c r="NHO106" s="17"/>
      <c r="NHP106" s="17"/>
      <c r="NHQ106" s="17"/>
      <c r="NHR106" s="17"/>
      <c r="NHS106" s="17"/>
      <c r="NHT106" s="17"/>
      <c r="NHU106" s="17"/>
      <c r="NHV106" s="17"/>
      <c r="NHW106" s="17"/>
      <c r="NHX106" s="17"/>
      <c r="NHY106" s="17"/>
      <c r="NHZ106" s="17"/>
      <c r="NIA106" s="17"/>
      <c r="NIB106" s="17"/>
      <c r="NIC106" s="17"/>
      <c r="NID106" s="17"/>
      <c r="NIE106" s="17"/>
      <c r="NIF106" s="17"/>
      <c r="NIG106" s="17"/>
      <c r="NIH106" s="17"/>
      <c r="NII106" s="17"/>
      <c r="NIJ106" s="17"/>
      <c r="NIK106" s="17"/>
      <c r="NIL106" s="17"/>
      <c r="NIM106" s="17"/>
      <c r="NIN106" s="17"/>
      <c r="NIO106" s="17"/>
      <c r="NIP106" s="17"/>
      <c r="NIQ106" s="17"/>
      <c r="NIR106" s="17"/>
      <c r="NIS106" s="17"/>
      <c r="NIT106" s="17"/>
      <c r="NIU106" s="17"/>
      <c r="NIV106" s="17"/>
      <c r="NIW106" s="17"/>
      <c r="NIX106" s="17"/>
      <c r="NIY106" s="17"/>
      <c r="NIZ106" s="17"/>
      <c r="NJA106" s="17"/>
      <c r="NJB106" s="17"/>
      <c r="NJC106" s="17"/>
      <c r="NJD106" s="17"/>
      <c r="NJE106" s="17"/>
      <c r="NJF106" s="17"/>
      <c r="NJG106" s="17"/>
      <c r="NJH106" s="17"/>
      <c r="NJI106" s="17"/>
      <c r="NJJ106" s="17"/>
      <c r="NJK106" s="17"/>
      <c r="NJL106" s="17"/>
      <c r="NJM106" s="17"/>
      <c r="NJN106" s="17"/>
      <c r="NJO106" s="17"/>
      <c r="NJP106" s="17"/>
      <c r="NJQ106" s="17"/>
      <c r="NJR106" s="17"/>
      <c r="NJS106" s="17"/>
      <c r="NJT106" s="17"/>
      <c r="NJU106" s="17"/>
      <c r="NJV106" s="17"/>
      <c r="NJW106" s="17"/>
      <c r="NJX106" s="17"/>
      <c r="NJY106" s="17"/>
      <c r="NJZ106" s="17"/>
      <c r="NKA106" s="17"/>
      <c r="NKB106" s="17"/>
      <c r="NKC106" s="17"/>
      <c r="NKD106" s="17"/>
      <c r="NKE106" s="17"/>
      <c r="NKF106" s="17"/>
      <c r="NKG106" s="17"/>
      <c r="NKH106" s="17"/>
      <c r="NKI106" s="17"/>
      <c r="NKJ106" s="17"/>
      <c r="NKK106" s="17"/>
      <c r="NKL106" s="17"/>
      <c r="NKM106" s="17"/>
      <c r="NKN106" s="17"/>
      <c r="NKO106" s="17"/>
      <c r="NKP106" s="17"/>
      <c r="NKQ106" s="17"/>
      <c r="NKR106" s="17"/>
      <c r="NKS106" s="17"/>
      <c r="NKT106" s="17"/>
      <c r="NKU106" s="17"/>
      <c r="NKV106" s="17"/>
      <c r="NKW106" s="17"/>
      <c r="NKX106" s="17"/>
      <c r="NKY106" s="17"/>
      <c r="NKZ106" s="17"/>
      <c r="NLA106" s="17"/>
      <c r="NLB106" s="17"/>
      <c r="NLC106" s="17"/>
      <c r="NLD106" s="17"/>
      <c r="NLE106" s="17"/>
      <c r="NLF106" s="17"/>
      <c r="NLG106" s="17"/>
      <c r="NLH106" s="17"/>
      <c r="NLI106" s="17"/>
      <c r="NLJ106" s="17"/>
      <c r="NLK106" s="17"/>
      <c r="NLL106" s="17"/>
      <c r="NLM106" s="17"/>
      <c r="NLN106" s="17"/>
      <c r="NLO106" s="17"/>
      <c r="NLP106" s="17"/>
      <c r="NLQ106" s="17"/>
      <c r="NLR106" s="17"/>
      <c r="NLS106" s="17"/>
      <c r="NLT106" s="17"/>
      <c r="NLU106" s="17"/>
      <c r="NLV106" s="17"/>
      <c r="NLW106" s="17"/>
      <c r="NLX106" s="17"/>
      <c r="NLY106" s="17"/>
      <c r="NLZ106" s="17"/>
      <c r="NMA106" s="17"/>
      <c r="NMB106" s="17"/>
      <c r="NMC106" s="17"/>
      <c r="NMD106" s="17"/>
      <c r="NME106" s="17"/>
      <c r="NMF106" s="17"/>
      <c r="NMG106" s="17"/>
      <c r="NMH106" s="17"/>
      <c r="NMI106" s="17"/>
      <c r="NMJ106" s="17"/>
      <c r="NMK106" s="17"/>
      <c r="NML106" s="17"/>
      <c r="NMM106" s="17"/>
      <c r="NMN106" s="17"/>
      <c r="NMO106" s="17"/>
      <c r="NMP106" s="17"/>
      <c r="NMQ106" s="17"/>
      <c r="NMR106" s="17"/>
      <c r="NMS106" s="17"/>
      <c r="NMT106" s="17"/>
      <c r="NMU106" s="17"/>
      <c r="NMV106" s="17"/>
      <c r="NMW106" s="17"/>
      <c r="NMX106" s="17"/>
      <c r="NMY106" s="17"/>
      <c r="NMZ106" s="17"/>
      <c r="NNA106" s="17"/>
      <c r="NNB106" s="17"/>
      <c r="NNC106" s="17"/>
      <c r="NND106" s="17"/>
      <c r="NNE106" s="17"/>
      <c r="NNF106" s="17"/>
      <c r="NNG106" s="17"/>
      <c r="NNH106" s="17"/>
      <c r="NNI106" s="17"/>
      <c r="NNJ106" s="17"/>
      <c r="NNK106" s="17"/>
      <c r="NNL106" s="17"/>
      <c r="NNM106" s="17"/>
      <c r="NNN106" s="17"/>
      <c r="NNO106" s="17"/>
      <c r="NNP106" s="17"/>
      <c r="NNQ106" s="17"/>
      <c r="NNR106" s="17"/>
      <c r="NNS106" s="17"/>
      <c r="NNT106" s="17"/>
      <c r="NNU106" s="17"/>
      <c r="NNV106" s="17"/>
      <c r="NNW106" s="17"/>
      <c r="NNX106" s="17"/>
      <c r="NNY106" s="17"/>
      <c r="NNZ106" s="17"/>
      <c r="NOA106" s="17"/>
      <c r="NOB106" s="17"/>
      <c r="NOC106" s="17"/>
      <c r="NOD106" s="17"/>
      <c r="NOE106" s="17"/>
      <c r="NOF106" s="17"/>
      <c r="NOG106" s="17"/>
      <c r="NOH106" s="17"/>
      <c r="NOI106" s="17"/>
      <c r="NOJ106" s="17"/>
      <c r="NOK106" s="17"/>
      <c r="NOL106" s="17"/>
      <c r="NOM106" s="17"/>
      <c r="NON106" s="17"/>
      <c r="NOO106" s="17"/>
      <c r="NOP106" s="17"/>
      <c r="NOQ106" s="17"/>
      <c r="NOR106" s="17"/>
      <c r="NOS106" s="17"/>
      <c r="NOT106" s="17"/>
      <c r="NOU106" s="17"/>
      <c r="NOV106" s="17"/>
      <c r="NOW106" s="17"/>
      <c r="NOX106" s="17"/>
      <c r="NOY106" s="17"/>
      <c r="NOZ106" s="17"/>
      <c r="NPA106" s="17"/>
      <c r="NPB106" s="17"/>
      <c r="NPC106" s="17"/>
      <c r="NPD106" s="17"/>
      <c r="NPE106" s="17"/>
      <c r="NPF106" s="17"/>
      <c r="NPG106" s="17"/>
      <c r="NPH106" s="17"/>
      <c r="NPI106" s="17"/>
      <c r="NPJ106" s="17"/>
      <c r="NPK106" s="17"/>
      <c r="NPL106" s="17"/>
      <c r="NPM106" s="17"/>
      <c r="NPN106" s="17"/>
      <c r="NPO106" s="17"/>
      <c r="NPP106" s="17"/>
      <c r="NPQ106" s="17"/>
      <c r="NPR106" s="17"/>
      <c r="NPS106" s="17"/>
      <c r="NPT106" s="17"/>
      <c r="NPU106" s="17"/>
      <c r="NPV106" s="17"/>
      <c r="NPW106" s="17"/>
      <c r="NPX106" s="17"/>
      <c r="NPY106" s="17"/>
      <c r="NPZ106" s="17"/>
      <c r="NQA106" s="17"/>
      <c r="NQB106" s="17"/>
      <c r="NQC106" s="17"/>
      <c r="NQD106" s="17"/>
      <c r="NQE106" s="17"/>
      <c r="NQF106" s="17"/>
      <c r="NQG106" s="17"/>
      <c r="NQH106" s="17"/>
      <c r="NQI106" s="17"/>
      <c r="NQJ106" s="17"/>
      <c r="NQK106" s="17"/>
      <c r="NQL106" s="17"/>
      <c r="NQM106" s="17"/>
      <c r="NQN106" s="17"/>
      <c r="NQO106" s="17"/>
      <c r="NQP106" s="17"/>
      <c r="NQQ106" s="17"/>
      <c r="NQR106" s="17"/>
      <c r="NQS106" s="17"/>
      <c r="NQT106" s="17"/>
      <c r="NQU106" s="17"/>
      <c r="NQV106" s="17"/>
      <c r="NQW106" s="17"/>
      <c r="NQX106" s="17"/>
      <c r="NQY106" s="17"/>
      <c r="NQZ106" s="17"/>
      <c r="NRA106" s="17"/>
      <c r="NRB106" s="17"/>
      <c r="NRC106" s="17"/>
      <c r="NRD106" s="17"/>
      <c r="NRE106" s="17"/>
      <c r="NRF106" s="17"/>
      <c r="NRG106" s="17"/>
      <c r="NRH106" s="17"/>
      <c r="NRI106" s="17"/>
      <c r="NRJ106" s="17"/>
      <c r="NRK106" s="17"/>
      <c r="NRL106" s="17"/>
      <c r="NRM106" s="17"/>
      <c r="NRN106" s="17"/>
      <c r="NRO106" s="17"/>
      <c r="NRP106" s="17"/>
      <c r="NRQ106" s="17"/>
      <c r="NRR106" s="17"/>
      <c r="NRS106" s="17"/>
      <c r="NRT106" s="17"/>
      <c r="NRU106" s="17"/>
      <c r="NRV106" s="17"/>
      <c r="NRW106" s="17"/>
      <c r="NRX106" s="17"/>
      <c r="NRY106" s="17"/>
      <c r="NRZ106" s="17"/>
      <c r="NSA106" s="17"/>
      <c r="NSB106" s="17"/>
      <c r="NSC106" s="17"/>
      <c r="NSD106" s="17"/>
      <c r="NSE106" s="17"/>
      <c r="NSF106" s="17"/>
      <c r="NSG106" s="17"/>
      <c r="NSH106" s="17"/>
      <c r="NSI106" s="17"/>
      <c r="NSJ106" s="17"/>
      <c r="NSK106" s="17"/>
      <c r="NSL106" s="17"/>
      <c r="NSM106" s="17"/>
      <c r="NSN106" s="17"/>
      <c r="NSO106" s="17"/>
      <c r="NSP106" s="17"/>
      <c r="NSQ106" s="17"/>
      <c r="NSR106" s="17"/>
      <c r="NSS106" s="17"/>
      <c r="NST106" s="17"/>
      <c r="NSU106" s="17"/>
      <c r="NSV106" s="17"/>
      <c r="NSW106" s="17"/>
      <c r="NSX106" s="17"/>
      <c r="NSY106" s="17"/>
      <c r="NSZ106" s="17"/>
      <c r="NTA106" s="17"/>
      <c r="NTB106" s="17"/>
      <c r="NTC106" s="17"/>
      <c r="NTD106" s="17"/>
      <c r="NTE106" s="17"/>
      <c r="NTF106" s="17"/>
      <c r="NTG106" s="17"/>
      <c r="NTH106" s="17"/>
      <c r="NTI106" s="17"/>
      <c r="NTJ106" s="17"/>
      <c r="NTK106" s="17"/>
      <c r="NTL106" s="17"/>
      <c r="NTM106" s="17"/>
      <c r="NTN106" s="17"/>
      <c r="NTO106" s="17"/>
      <c r="NTP106" s="17"/>
      <c r="NTQ106" s="17"/>
      <c r="NTR106" s="17"/>
      <c r="NTS106" s="17"/>
      <c r="NTT106" s="17"/>
      <c r="NTU106" s="17"/>
      <c r="NTV106" s="17"/>
      <c r="NTW106" s="17"/>
      <c r="NTX106" s="17"/>
      <c r="NTY106" s="17"/>
      <c r="NTZ106" s="17"/>
      <c r="NUA106" s="17"/>
      <c r="NUB106" s="17"/>
      <c r="NUC106" s="17"/>
      <c r="NUD106" s="17"/>
      <c r="NUE106" s="17"/>
      <c r="NUF106" s="17"/>
      <c r="NUG106" s="17"/>
      <c r="NUH106" s="17"/>
      <c r="NUI106" s="17"/>
      <c r="NUJ106" s="17"/>
      <c r="NUK106" s="17"/>
      <c r="NUL106" s="17"/>
      <c r="NUM106" s="17"/>
      <c r="NUN106" s="17"/>
      <c r="NUO106" s="17"/>
      <c r="NUP106" s="17"/>
      <c r="NUQ106" s="17"/>
      <c r="NUR106" s="17"/>
      <c r="NUS106" s="17"/>
      <c r="NUT106" s="17"/>
      <c r="NUU106" s="17"/>
      <c r="NUV106" s="17"/>
      <c r="NUW106" s="17"/>
      <c r="NUX106" s="17"/>
      <c r="NUY106" s="17"/>
      <c r="NUZ106" s="17"/>
      <c r="NVA106" s="17"/>
      <c r="NVB106" s="17"/>
      <c r="NVC106" s="17"/>
      <c r="NVD106" s="17"/>
      <c r="NVE106" s="17"/>
      <c r="NVF106" s="17"/>
      <c r="NVG106" s="17"/>
      <c r="NVH106" s="17"/>
      <c r="NVI106" s="17"/>
      <c r="NVJ106" s="17"/>
      <c r="NVK106" s="17"/>
      <c r="NVL106" s="17"/>
      <c r="NVM106" s="17"/>
      <c r="NVN106" s="17"/>
      <c r="NVO106" s="17"/>
      <c r="NVP106" s="17"/>
      <c r="NVQ106" s="17"/>
      <c r="NVR106" s="17"/>
      <c r="NVS106" s="17"/>
      <c r="NVT106" s="17"/>
      <c r="NVU106" s="17"/>
      <c r="NVV106" s="17"/>
      <c r="NVW106" s="17"/>
      <c r="NVX106" s="17"/>
      <c r="NVY106" s="17"/>
      <c r="NVZ106" s="17"/>
      <c r="NWA106" s="17"/>
      <c r="NWB106" s="17"/>
      <c r="NWC106" s="17"/>
      <c r="NWD106" s="17"/>
      <c r="NWE106" s="17"/>
      <c r="NWF106" s="17"/>
      <c r="NWG106" s="17"/>
      <c r="NWH106" s="17"/>
      <c r="NWI106" s="17"/>
      <c r="NWJ106" s="17"/>
      <c r="NWK106" s="17"/>
      <c r="NWL106" s="17"/>
      <c r="NWM106" s="17"/>
      <c r="NWN106" s="17"/>
      <c r="NWO106" s="17"/>
      <c r="NWP106" s="17"/>
      <c r="NWQ106" s="17"/>
      <c r="NWR106" s="17"/>
      <c r="NWS106" s="17"/>
      <c r="NWT106" s="17"/>
      <c r="NWU106" s="17"/>
      <c r="NWV106" s="17"/>
      <c r="NWW106" s="17"/>
      <c r="NWX106" s="17"/>
      <c r="NWY106" s="17"/>
      <c r="NWZ106" s="17"/>
      <c r="NXA106" s="17"/>
      <c r="NXB106" s="17"/>
      <c r="NXC106" s="17"/>
      <c r="NXD106" s="17"/>
      <c r="NXE106" s="17"/>
      <c r="NXF106" s="17"/>
      <c r="NXG106" s="17"/>
      <c r="NXH106" s="17"/>
      <c r="NXI106" s="17"/>
      <c r="NXJ106" s="17"/>
      <c r="NXK106" s="17"/>
      <c r="NXL106" s="17"/>
      <c r="NXM106" s="17"/>
      <c r="NXN106" s="17"/>
      <c r="NXO106" s="17"/>
      <c r="NXP106" s="17"/>
      <c r="NXQ106" s="17"/>
      <c r="NXR106" s="17"/>
      <c r="NXS106" s="17"/>
      <c r="NXT106" s="17"/>
      <c r="NXU106" s="17"/>
      <c r="NXV106" s="17"/>
      <c r="NXW106" s="17"/>
      <c r="NXX106" s="17"/>
      <c r="NXY106" s="17"/>
      <c r="NXZ106" s="17"/>
      <c r="NYA106" s="17"/>
      <c r="NYB106" s="17"/>
      <c r="NYC106" s="17"/>
      <c r="NYD106" s="17"/>
      <c r="NYE106" s="17"/>
      <c r="NYF106" s="17"/>
      <c r="NYG106" s="17"/>
      <c r="NYH106" s="17"/>
      <c r="NYI106" s="17"/>
      <c r="NYJ106" s="17"/>
      <c r="NYK106" s="17"/>
      <c r="NYL106" s="17"/>
      <c r="NYM106" s="17"/>
      <c r="NYN106" s="17"/>
      <c r="NYO106" s="17"/>
      <c r="NYP106" s="17"/>
      <c r="NYQ106" s="17"/>
      <c r="NYR106" s="17"/>
      <c r="NYS106" s="17"/>
      <c r="NYT106" s="17"/>
      <c r="NYU106" s="17"/>
      <c r="NYV106" s="17"/>
      <c r="NYW106" s="17"/>
      <c r="NYX106" s="17"/>
      <c r="NYY106" s="17"/>
      <c r="NYZ106" s="17"/>
      <c r="NZA106" s="17"/>
      <c r="NZB106" s="17"/>
      <c r="NZC106" s="17"/>
      <c r="NZD106" s="17"/>
      <c r="NZE106" s="17"/>
      <c r="NZF106" s="17"/>
      <c r="NZG106" s="17"/>
      <c r="NZH106" s="17"/>
      <c r="NZI106" s="17"/>
      <c r="NZJ106" s="17"/>
      <c r="NZK106" s="17"/>
      <c r="NZL106" s="17"/>
      <c r="NZM106" s="17"/>
      <c r="NZN106" s="17"/>
      <c r="NZO106" s="17"/>
      <c r="NZP106" s="17"/>
      <c r="NZQ106" s="17"/>
      <c r="NZR106" s="17"/>
      <c r="NZS106" s="17"/>
      <c r="NZT106" s="17"/>
      <c r="NZU106" s="17"/>
      <c r="NZV106" s="17"/>
      <c r="NZW106" s="17"/>
      <c r="NZX106" s="17"/>
      <c r="NZY106" s="17"/>
      <c r="NZZ106" s="17"/>
      <c r="OAA106" s="17"/>
      <c r="OAB106" s="17"/>
      <c r="OAC106" s="17"/>
      <c r="OAD106" s="17"/>
      <c r="OAE106" s="17"/>
      <c r="OAF106" s="17"/>
      <c r="OAG106" s="17"/>
      <c r="OAH106" s="17"/>
      <c r="OAI106" s="17"/>
      <c r="OAJ106" s="17"/>
      <c r="OAK106" s="17"/>
      <c r="OAL106" s="17"/>
      <c r="OAM106" s="17"/>
      <c r="OAN106" s="17"/>
      <c r="OAO106" s="17"/>
      <c r="OAP106" s="17"/>
      <c r="OAQ106" s="17"/>
      <c r="OAR106" s="17"/>
      <c r="OAS106" s="17"/>
      <c r="OAT106" s="17"/>
      <c r="OAU106" s="17"/>
      <c r="OAV106" s="17"/>
      <c r="OAW106" s="17"/>
      <c r="OAX106" s="17"/>
      <c r="OAY106" s="17"/>
      <c r="OAZ106" s="17"/>
      <c r="OBA106" s="17"/>
      <c r="OBB106" s="17"/>
      <c r="OBC106" s="17"/>
      <c r="OBD106" s="17"/>
      <c r="OBE106" s="17"/>
      <c r="OBF106" s="17"/>
      <c r="OBG106" s="17"/>
      <c r="OBH106" s="17"/>
      <c r="OBI106" s="17"/>
      <c r="OBJ106" s="17"/>
      <c r="OBK106" s="17"/>
      <c r="OBL106" s="17"/>
      <c r="OBM106" s="17"/>
      <c r="OBN106" s="17"/>
      <c r="OBO106" s="17"/>
      <c r="OBP106" s="17"/>
      <c r="OBQ106" s="17"/>
      <c r="OBR106" s="17"/>
      <c r="OBS106" s="17"/>
      <c r="OBT106" s="17"/>
      <c r="OBU106" s="17"/>
      <c r="OBV106" s="17"/>
      <c r="OBW106" s="17"/>
      <c r="OBX106" s="17"/>
      <c r="OBY106" s="17"/>
      <c r="OBZ106" s="17"/>
      <c r="OCA106" s="17"/>
      <c r="OCB106" s="17"/>
      <c r="OCC106" s="17"/>
      <c r="OCD106" s="17"/>
      <c r="OCE106" s="17"/>
      <c r="OCF106" s="17"/>
      <c r="OCG106" s="17"/>
      <c r="OCH106" s="17"/>
      <c r="OCI106" s="17"/>
      <c r="OCJ106" s="17"/>
      <c r="OCK106" s="17"/>
      <c r="OCL106" s="17"/>
      <c r="OCM106" s="17"/>
      <c r="OCN106" s="17"/>
      <c r="OCO106" s="17"/>
      <c r="OCP106" s="17"/>
      <c r="OCQ106" s="17"/>
      <c r="OCR106" s="17"/>
      <c r="OCS106" s="17"/>
      <c r="OCT106" s="17"/>
      <c r="OCU106" s="17"/>
      <c r="OCV106" s="17"/>
      <c r="OCW106" s="17"/>
      <c r="OCX106" s="17"/>
      <c r="OCY106" s="17"/>
      <c r="OCZ106" s="17"/>
      <c r="ODA106" s="17"/>
      <c r="ODB106" s="17"/>
      <c r="ODC106" s="17"/>
      <c r="ODD106" s="17"/>
      <c r="ODE106" s="17"/>
      <c r="ODF106" s="17"/>
      <c r="ODG106" s="17"/>
      <c r="ODH106" s="17"/>
      <c r="ODI106" s="17"/>
      <c r="ODJ106" s="17"/>
      <c r="ODK106" s="17"/>
      <c r="ODL106" s="17"/>
      <c r="ODM106" s="17"/>
      <c r="ODN106" s="17"/>
      <c r="ODO106" s="17"/>
      <c r="ODP106" s="17"/>
      <c r="ODQ106" s="17"/>
      <c r="ODR106" s="17"/>
      <c r="ODS106" s="17"/>
      <c r="ODT106" s="17"/>
      <c r="ODU106" s="17"/>
      <c r="ODV106" s="17"/>
      <c r="ODW106" s="17"/>
      <c r="ODX106" s="17"/>
      <c r="ODY106" s="17"/>
      <c r="ODZ106" s="17"/>
      <c r="OEA106" s="17"/>
      <c r="OEB106" s="17"/>
      <c r="OEC106" s="17"/>
      <c r="OED106" s="17"/>
      <c r="OEE106" s="17"/>
      <c r="OEF106" s="17"/>
      <c r="OEG106" s="17"/>
      <c r="OEH106" s="17"/>
      <c r="OEI106" s="17"/>
      <c r="OEJ106" s="17"/>
      <c r="OEK106" s="17"/>
      <c r="OEL106" s="17"/>
      <c r="OEM106" s="17"/>
      <c r="OEN106" s="17"/>
      <c r="OEO106" s="17"/>
      <c r="OEP106" s="17"/>
      <c r="OEQ106" s="17"/>
      <c r="OER106" s="17"/>
      <c r="OES106" s="17"/>
      <c r="OET106" s="17"/>
      <c r="OEU106" s="17"/>
      <c r="OEV106" s="17"/>
      <c r="OEW106" s="17"/>
      <c r="OEX106" s="17"/>
      <c r="OEY106" s="17"/>
      <c r="OEZ106" s="17"/>
      <c r="OFA106" s="17"/>
      <c r="OFB106" s="17"/>
      <c r="OFC106" s="17"/>
      <c r="OFD106" s="17"/>
      <c r="OFE106" s="17"/>
      <c r="OFF106" s="17"/>
      <c r="OFG106" s="17"/>
      <c r="OFH106" s="17"/>
      <c r="OFI106" s="17"/>
      <c r="OFJ106" s="17"/>
      <c r="OFK106" s="17"/>
      <c r="OFL106" s="17"/>
      <c r="OFM106" s="17"/>
      <c r="OFN106" s="17"/>
      <c r="OFO106" s="17"/>
      <c r="OFP106" s="17"/>
      <c r="OFQ106" s="17"/>
      <c r="OFR106" s="17"/>
      <c r="OFS106" s="17"/>
      <c r="OFT106" s="17"/>
      <c r="OFU106" s="17"/>
      <c r="OFV106" s="17"/>
      <c r="OFW106" s="17"/>
      <c r="OFX106" s="17"/>
      <c r="OFY106" s="17"/>
      <c r="OFZ106" s="17"/>
      <c r="OGA106" s="17"/>
      <c r="OGB106" s="17"/>
      <c r="OGC106" s="17"/>
      <c r="OGD106" s="17"/>
      <c r="OGE106" s="17"/>
      <c r="OGF106" s="17"/>
      <c r="OGG106" s="17"/>
      <c r="OGH106" s="17"/>
      <c r="OGI106" s="17"/>
      <c r="OGJ106" s="17"/>
      <c r="OGK106" s="17"/>
      <c r="OGL106" s="17"/>
      <c r="OGM106" s="17"/>
      <c r="OGN106" s="17"/>
      <c r="OGO106" s="17"/>
      <c r="OGP106" s="17"/>
      <c r="OGQ106" s="17"/>
      <c r="OGR106" s="17"/>
      <c r="OGS106" s="17"/>
      <c r="OGT106" s="17"/>
      <c r="OGU106" s="17"/>
      <c r="OGV106" s="17"/>
      <c r="OGW106" s="17"/>
      <c r="OGX106" s="17"/>
      <c r="OGY106" s="17"/>
      <c r="OGZ106" s="17"/>
      <c r="OHA106" s="17"/>
      <c r="OHB106" s="17"/>
      <c r="OHC106" s="17"/>
      <c r="OHD106" s="17"/>
      <c r="OHE106" s="17"/>
      <c r="OHF106" s="17"/>
      <c r="OHG106" s="17"/>
      <c r="OHH106" s="17"/>
      <c r="OHI106" s="17"/>
      <c r="OHJ106" s="17"/>
      <c r="OHK106" s="17"/>
      <c r="OHL106" s="17"/>
      <c r="OHM106" s="17"/>
      <c r="OHN106" s="17"/>
      <c r="OHO106" s="17"/>
      <c r="OHP106" s="17"/>
      <c r="OHQ106" s="17"/>
      <c r="OHR106" s="17"/>
      <c r="OHS106" s="17"/>
      <c r="OHT106" s="17"/>
      <c r="OHU106" s="17"/>
      <c r="OHV106" s="17"/>
      <c r="OHW106" s="17"/>
      <c r="OHX106" s="17"/>
      <c r="OHY106" s="17"/>
      <c r="OHZ106" s="17"/>
      <c r="OIA106" s="17"/>
      <c r="OIB106" s="17"/>
      <c r="OIC106" s="17"/>
      <c r="OID106" s="17"/>
      <c r="OIE106" s="17"/>
      <c r="OIF106" s="17"/>
      <c r="OIG106" s="17"/>
      <c r="OIH106" s="17"/>
      <c r="OII106" s="17"/>
      <c r="OIJ106" s="17"/>
      <c r="OIK106" s="17"/>
      <c r="OIL106" s="17"/>
      <c r="OIM106" s="17"/>
      <c r="OIN106" s="17"/>
      <c r="OIO106" s="17"/>
      <c r="OIP106" s="17"/>
      <c r="OIQ106" s="17"/>
      <c r="OIR106" s="17"/>
      <c r="OIS106" s="17"/>
      <c r="OIT106" s="17"/>
      <c r="OIU106" s="17"/>
      <c r="OIV106" s="17"/>
      <c r="OIW106" s="17"/>
      <c r="OIX106" s="17"/>
      <c r="OIY106" s="17"/>
      <c r="OIZ106" s="17"/>
      <c r="OJA106" s="17"/>
      <c r="OJB106" s="17"/>
      <c r="OJC106" s="17"/>
      <c r="OJD106" s="17"/>
      <c r="OJE106" s="17"/>
      <c r="OJF106" s="17"/>
      <c r="OJG106" s="17"/>
      <c r="OJH106" s="17"/>
      <c r="OJI106" s="17"/>
      <c r="OJJ106" s="17"/>
      <c r="OJK106" s="17"/>
      <c r="OJL106" s="17"/>
      <c r="OJM106" s="17"/>
      <c r="OJN106" s="17"/>
      <c r="OJO106" s="17"/>
      <c r="OJP106" s="17"/>
      <c r="OJQ106" s="17"/>
      <c r="OJR106" s="17"/>
      <c r="OJS106" s="17"/>
      <c r="OJT106" s="17"/>
      <c r="OJU106" s="17"/>
      <c r="OJV106" s="17"/>
      <c r="OJW106" s="17"/>
      <c r="OJX106" s="17"/>
      <c r="OJY106" s="17"/>
      <c r="OJZ106" s="17"/>
      <c r="OKA106" s="17"/>
      <c r="OKB106" s="17"/>
      <c r="OKC106" s="17"/>
      <c r="OKD106" s="17"/>
      <c r="OKE106" s="17"/>
      <c r="OKF106" s="17"/>
      <c r="OKG106" s="17"/>
      <c r="OKH106" s="17"/>
      <c r="OKI106" s="17"/>
      <c r="OKJ106" s="17"/>
      <c r="OKK106" s="17"/>
      <c r="OKL106" s="17"/>
      <c r="OKM106" s="17"/>
      <c r="OKN106" s="17"/>
      <c r="OKO106" s="17"/>
      <c r="OKP106" s="17"/>
      <c r="OKQ106" s="17"/>
      <c r="OKR106" s="17"/>
      <c r="OKS106" s="17"/>
      <c r="OKT106" s="17"/>
      <c r="OKU106" s="17"/>
      <c r="OKV106" s="17"/>
      <c r="OKW106" s="17"/>
      <c r="OKX106" s="17"/>
      <c r="OKY106" s="17"/>
      <c r="OKZ106" s="17"/>
      <c r="OLA106" s="17"/>
      <c r="OLB106" s="17"/>
      <c r="OLC106" s="17"/>
      <c r="OLD106" s="17"/>
      <c r="OLE106" s="17"/>
      <c r="OLF106" s="17"/>
      <c r="OLG106" s="17"/>
      <c r="OLH106" s="17"/>
      <c r="OLI106" s="17"/>
      <c r="OLJ106" s="17"/>
      <c r="OLK106" s="17"/>
      <c r="OLL106" s="17"/>
      <c r="OLM106" s="17"/>
      <c r="OLN106" s="17"/>
      <c r="OLO106" s="17"/>
      <c r="OLP106" s="17"/>
      <c r="OLQ106" s="17"/>
      <c r="OLR106" s="17"/>
      <c r="OLS106" s="17"/>
      <c r="OLT106" s="17"/>
      <c r="OLU106" s="17"/>
      <c r="OLV106" s="17"/>
      <c r="OLW106" s="17"/>
      <c r="OLX106" s="17"/>
      <c r="OLY106" s="17"/>
      <c r="OLZ106" s="17"/>
      <c r="OMA106" s="17"/>
      <c r="OMB106" s="17"/>
      <c r="OMC106" s="17"/>
      <c r="OMD106" s="17"/>
      <c r="OME106" s="17"/>
      <c r="OMF106" s="17"/>
      <c r="OMG106" s="17"/>
      <c r="OMH106" s="17"/>
      <c r="OMI106" s="17"/>
      <c r="OMJ106" s="17"/>
      <c r="OMK106" s="17"/>
      <c r="OML106" s="17"/>
      <c r="OMM106" s="17"/>
      <c r="OMN106" s="17"/>
      <c r="OMO106" s="17"/>
      <c r="OMP106" s="17"/>
      <c r="OMQ106" s="17"/>
      <c r="OMR106" s="17"/>
      <c r="OMS106" s="17"/>
      <c r="OMT106" s="17"/>
      <c r="OMU106" s="17"/>
      <c r="OMV106" s="17"/>
      <c r="OMW106" s="17"/>
      <c r="OMX106" s="17"/>
      <c r="OMY106" s="17"/>
      <c r="OMZ106" s="17"/>
      <c r="ONA106" s="17"/>
      <c r="ONB106" s="17"/>
      <c r="ONC106" s="17"/>
      <c r="OND106" s="17"/>
      <c r="ONE106" s="17"/>
      <c r="ONF106" s="17"/>
      <c r="ONG106" s="17"/>
      <c r="ONH106" s="17"/>
      <c r="ONI106" s="17"/>
      <c r="ONJ106" s="17"/>
      <c r="ONK106" s="17"/>
      <c r="ONL106" s="17"/>
      <c r="ONM106" s="17"/>
      <c r="ONN106" s="17"/>
      <c r="ONO106" s="17"/>
      <c r="ONP106" s="17"/>
      <c r="ONQ106" s="17"/>
      <c r="ONR106" s="17"/>
      <c r="ONS106" s="17"/>
      <c r="ONT106" s="17"/>
      <c r="ONU106" s="17"/>
      <c r="ONV106" s="17"/>
      <c r="ONW106" s="17"/>
      <c r="ONX106" s="17"/>
      <c r="ONY106" s="17"/>
      <c r="ONZ106" s="17"/>
      <c r="OOA106" s="17"/>
      <c r="OOB106" s="17"/>
      <c r="OOC106" s="17"/>
      <c r="OOD106" s="17"/>
      <c r="OOE106" s="17"/>
      <c r="OOF106" s="17"/>
      <c r="OOG106" s="17"/>
      <c r="OOH106" s="17"/>
      <c r="OOI106" s="17"/>
      <c r="OOJ106" s="17"/>
      <c r="OOK106" s="17"/>
      <c r="OOL106" s="17"/>
      <c r="OOM106" s="17"/>
      <c r="OON106" s="17"/>
      <c r="OOO106" s="17"/>
      <c r="OOP106" s="17"/>
      <c r="OOQ106" s="17"/>
      <c r="OOR106" s="17"/>
      <c r="OOS106" s="17"/>
      <c r="OOT106" s="17"/>
      <c r="OOU106" s="17"/>
      <c r="OOV106" s="17"/>
      <c r="OOW106" s="17"/>
      <c r="OOX106" s="17"/>
      <c r="OOY106" s="17"/>
      <c r="OOZ106" s="17"/>
      <c r="OPA106" s="17"/>
      <c r="OPB106" s="17"/>
      <c r="OPC106" s="17"/>
      <c r="OPD106" s="17"/>
      <c r="OPE106" s="17"/>
      <c r="OPF106" s="17"/>
      <c r="OPG106" s="17"/>
      <c r="OPH106" s="17"/>
      <c r="OPI106" s="17"/>
      <c r="OPJ106" s="17"/>
      <c r="OPK106" s="17"/>
      <c r="OPL106" s="17"/>
      <c r="OPM106" s="17"/>
      <c r="OPN106" s="17"/>
      <c r="OPO106" s="17"/>
      <c r="OPP106" s="17"/>
      <c r="OPQ106" s="17"/>
      <c r="OPR106" s="17"/>
      <c r="OPS106" s="17"/>
      <c r="OPT106" s="17"/>
      <c r="OPU106" s="17"/>
      <c r="OPV106" s="17"/>
      <c r="OPW106" s="17"/>
      <c r="OPX106" s="17"/>
      <c r="OPY106" s="17"/>
      <c r="OPZ106" s="17"/>
      <c r="OQA106" s="17"/>
      <c r="OQB106" s="17"/>
      <c r="OQC106" s="17"/>
      <c r="OQD106" s="17"/>
      <c r="OQE106" s="17"/>
      <c r="OQF106" s="17"/>
      <c r="OQG106" s="17"/>
      <c r="OQH106" s="17"/>
      <c r="OQI106" s="17"/>
      <c r="OQJ106" s="17"/>
      <c r="OQK106" s="17"/>
      <c r="OQL106" s="17"/>
      <c r="OQM106" s="17"/>
      <c r="OQN106" s="17"/>
      <c r="OQO106" s="17"/>
      <c r="OQP106" s="17"/>
      <c r="OQQ106" s="17"/>
      <c r="OQR106" s="17"/>
      <c r="OQS106" s="17"/>
      <c r="OQT106" s="17"/>
      <c r="OQU106" s="17"/>
      <c r="OQV106" s="17"/>
      <c r="OQW106" s="17"/>
      <c r="OQX106" s="17"/>
      <c r="OQY106" s="17"/>
      <c r="OQZ106" s="17"/>
      <c r="ORA106" s="17"/>
      <c r="ORB106" s="17"/>
      <c r="ORC106" s="17"/>
      <c r="ORD106" s="17"/>
      <c r="ORE106" s="17"/>
      <c r="ORF106" s="17"/>
      <c r="ORG106" s="17"/>
      <c r="ORH106" s="17"/>
      <c r="ORI106" s="17"/>
      <c r="ORJ106" s="17"/>
      <c r="ORK106" s="17"/>
      <c r="ORL106" s="17"/>
      <c r="ORM106" s="17"/>
      <c r="ORN106" s="17"/>
      <c r="ORO106" s="17"/>
      <c r="ORP106" s="17"/>
      <c r="ORQ106" s="17"/>
      <c r="ORR106" s="17"/>
      <c r="ORS106" s="17"/>
      <c r="ORT106" s="17"/>
      <c r="ORU106" s="17"/>
      <c r="ORV106" s="17"/>
      <c r="ORW106" s="17"/>
      <c r="ORX106" s="17"/>
      <c r="ORY106" s="17"/>
      <c r="ORZ106" s="17"/>
      <c r="OSA106" s="17"/>
      <c r="OSB106" s="17"/>
      <c r="OSC106" s="17"/>
      <c r="OSD106" s="17"/>
      <c r="OSE106" s="17"/>
      <c r="OSF106" s="17"/>
      <c r="OSG106" s="17"/>
      <c r="OSH106" s="17"/>
      <c r="OSI106" s="17"/>
      <c r="OSJ106" s="17"/>
      <c r="OSK106" s="17"/>
      <c r="OSL106" s="17"/>
      <c r="OSM106" s="17"/>
      <c r="OSN106" s="17"/>
      <c r="OSO106" s="17"/>
      <c r="OSP106" s="17"/>
      <c r="OSQ106" s="17"/>
      <c r="OSR106" s="17"/>
      <c r="OSS106" s="17"/>
      <c r="OST106" s="17"/>
      <c r="OSU106" s="17"/>
      <c r="OSV106" s="17"/>
      <c r="OSW106" s="17"/>
      <c r="OSX106" s="17"/>
      <c r="OSY106" s="17"/>
      <c r="OSZ106" s="17"/>
      <c r="OTA106" s="17"/>
      <c r="OTB106" s="17"/>
      <c r="OTC106" s="17"/>
      <c r="OTD106" s="17"/>
      <c r="OTE106" s="17"/>
      <c r="OTF106" s="17"/>
      <c r="OTG106" s="17"/>
      <c r="OTH106" s="17"/>
      <c r="OTI106" s="17"/>
      <c r="OTJ106" s="17"/>
      <c r="OTK106" s="17"/>
      <c r="OTL106" s="17"/>
      <c r="OTM106" s="17"/>
      <c r="OTN106" s="17"/>
      <c r="OTO106" s="17"/>
      <c r="OTP106" s="17"/>
      <c r="OTQ106" s="17"/>
      <c r="OTR106" s="17"/>
      <c r="OTS106" s="17"/>
      <c r="OTT106" s="17"/>
      <c r="OTU106" s="17"/>
      <c r="OTV106" s="17"/>
      <c r="OTW106" s="17"/>
      <c r="OTX106" s="17"/>
      <c r="OTY106" s="17"/>
      <c r="OTZ106" s="17"/>
      <c r="OUA106" s="17"/>
      <c r="OUB106" s="17"/>
      <c r="OUC106" s="17"/>
      <c r="OUD106" s="17"/>
      <c r="OUE106" s="17"/>
      <c r="OUF106" s="17"/>
      <c r="OUG106" s="17"/>
      <c r="OUH106" s="17"/>
      <c r="OUI106" s="17"/>
      <c r="OUJ106" s="17"/>
      <c r="OUK106" s="17"/>
      <c r="OUL106" s="17"/>
      <c r="OUM106" s="17"/>
      <c r="OUN106" s="17"/>
      <c r="OUO106" s="17"/>
      <c r="OUP106" s="17"/>
      <c r="OUQ106" s="17"/>
      <c r="OUR106" s="17"/>
      <c r="OUS106" s="17"/>
      <c r="OUT106" s="17"/>
      <c r="OUU106" s="17"/>
      <c r="OUV106" s="17"/>
      <c r="OUW106" s="17"/>
      <c r="OUX106" s="17"/>
      <c r="OUY106" s="17"/>
      <c r="OUZ106" s="17"/>
      <c r="OVA106" s="17"/>
      <c r="OVB106" s="17"/>
      <c r="OVC106" s="17"/>
      <c r="OVD106" s="17"/>
      <c r="OVE106" s="17"/>
      <c r="OVF106" s="17"/>
      <c r="OVG106" s="17"/>
      <c r="OVH106" s="17"/>
      <c r="OVI106" s="17"/>
      <c r="OVJ106" s="17"/>
      <c r="OVK106" s="17"/>
      <c r="OVL106" s="17"/>
      <c r="OVM106" s="17"/>
      <c r="OVN106" s="17"/>
      <c r="OVO106" s="17"/>
      <c r="OVP106" s="17"/>
      <c r="OVQ106" s="17"/>
      <c r="OVR106" s="17"/>
      <c r="OVS106" s="17"/>
      <c r="OVT106" s="17"/>
      <c r="OVU106" s="17"/>
      <c r="OVV106" s="17"/>
      <c r="OVW106" s="17"/>
      <c r="OVX106" s="17"/>
      <c r="OVY106" s="17"/>
      <c r="OVZ106" s="17"/>
      <c r="OWA106" s="17"/>
      <c r="OWB106" s="17"/>
      <c r="OWC106" s="17"/>
      <c r="OWD106" s="17"/>
      <c r="OWE106" s="17"/>
      <c r="OWF106" s="17"/>
      <c r="OWG106" s="17"/>
      <c r="OWH106" s="17"/>
      <c r="OWI106" s="17"/>
      <c r="OWJ106" s="17"/>
      <c r="OWK106" s="17"/>
      <c r="OWL106" s="17"/>
      <c r="OWM106" s="17"/>
      <c r="OWN106" s="17"/>
      <c r="OWO106" s="17"/>
      <c r="OWP106" s="17"/>
      <c r="OWQ106" s="17"/>
      <c r="OWR106" s="17"/>
      <c r="OWS106" s="17"/>
      <c r="OWT106" s="17"/>
      <c r="OWU106" s="17"/>
      <c r="OWV106" s="17"/>
      <c r="OWW106" s="17"/>
      <c r="OWX106" s="17"/>
      <c r="OWY106" s="17"/>
      <c r="OWZ106" s="17"/>
      <c r="OXA106" s="17"/>
      <c r="OXB106" s="17"/>
      <c r="OXC106" s="17"/>
      <c r="OXD106" s="17"/>
      <c r="OXE106" s="17"/>
      <c r="OXF106" s="17"/>
      <c r="OXG106" s="17"/>
      <c r="OXH106" s="17"/>
      <c r="OXI106" s="17"/>
      <c r="OXJ106" s="17"/>
      <c r="OXK106" s="17"/>
      <c r="OXL106" s="17"/>
      <c r="OXM106" s="17"/>
      <c r="OXN106" s="17"/>
      <c r="OXO106" s="17"/>
      <c r="OXP106" s="17"/>
      <c r="OXQ106" s="17"/>
      <c r="OXR106" s="17"/>
      <c r="OXS106" s="17"/>
      <c r="OXT106" s="17"/>
      <c r="OXU106" s="17"/>
      <c r="OXV106" s="17"/>
      <c r="OXW106" s="17"/>
      <c r="OXX106" s="17"/>
      <c r="OXY106" s="17"/>
      <c r="OXZ106" s="17"/>
      <c r="OYA106" s="17"/>
      <c r="OYB106" s="17"/>
      <c r="OYC106" s="17"/>
      <c r="OYD106" s="17"/>
      <c r="OYE106" s="17"/>
      <c r="OYF106" s="17"/>
      <c r="OYG106" s="17"/>
      <c r="OYH106" s="17"/>
      <c r="OYI106" s="17"/>
      <c r="OYJ106" s="17"/>
      <c r="OYK106" s="17"/>
      <c r="OYL106" s="17"/>
      <c r="OYM106" s="17"/>
      <c r="OYN106" s="17"/>
      <c r="OYO106" s="17"/>
      <c r="OYP106" s="17"/>
      <c r="OYQ106" s="17"/>
      <c r="OYR106" s="17"/>
      <c r="OYS106" s="17"/>
      <c r="OYT106" s="17"/>
      <c r="OYU106" s="17"/>
      <c r="OYV106" s="17"/>
      <c r="OYW106" s="17"/>
      <c r="OYX106" s="17"/>
      <c r="OYY106" s="17"/>
      <c r="OYZ106" s="17"/>
      <c r="OZA106" s="17"/>
      <c r="OZB106" s="17"/>
      <c r="OZC106" s="17"/>
      <c r="OZD106" s="17"/>
      <c r="OZE106" s="17"/>
      <c r="OZF106" s="17"/>
      <c r="OZG106" s="17"/>
      <c r="OZH106" s="17"/>
      <c r="OZI106" s="17"/>
      <c r="OZJ106" s="17"/>
      <c r="OZK106" s="17"/>
      <c r="OZL106" s="17"/>
      <c r="OZM106" s="17"/>
      <c r="OZN106" s="17"/>
      <c r="OZO106" s="17"/>
      <c r="OZP106" s="17"/>
      <c r="OZQ106" s="17"/>
      <c r="OZR106" s="17"/>
      <c r="OZS106" s="17"/>
      <c r="OZT106" s="17"/>
      <c r="OZU106" s="17"/>
      <c r="OZV106" s="17"/>
      <c r="OZW106" s="17"/>
      <c r="OZX106" s="17"/>
      <c r="OZY106" s="17"/>
      <c r="OZZ106" s="17"/>
      <c r="PAA106" s="17"/>
      <c r="PAB106" s="17"/>
      <c r="PAC106" s="17"/>
      <c r="PAD106" s="17"/>
      <c r="PAE106" s="17"/>
      <c r="PAF106" s="17"/>
      <c r="PAG106" s="17"/>
      <c r="PAH106" s="17"/>
      <c r="PAI106" s="17"/>
      <c r="PAJ106" s="17"/>
      <c r="PAK106" s="17"/>
      <c r="PAL106" s="17"/>
      <c r="PAM106" s="17"/>
      <c r="PAN106" s="17"/>
      <c r="PAO106" s="17"/>
      <c r="PAP106" s="17"/>
      <c r="PAQ106" s="17"/>
      <c r="PAR106" s="17"/>
      <c r="PAS106" s="17"/>
      <c r="PAT106" s="17"/>
      <c r="PAU106" s="17"/>
      <c r="PAV106" s="17"/>
      <c r="PAW106" s="17"/>
      <c r="PAX106" s="17"/>
      <c r="PAY106" s="17"/>
      <c r="PAZ106" s="17"/>
      <c r="PBA106" s="17"/>
      <c r="PBB106" s="17"/>
      <c r="PBC106" s="17"/>
      <c r="PBD106" s="17"/>
      <c r="PBE106" s="17"/>
      <c r="PBF106" s="17"/>
      <c r="PBG106" s="17"/>
      <c r="PBH106" s="17"/>
      <c r="PBI106" s="17"/>
      <c r="PBJ106" s="17"/>
      <c r="PBK106" s="17"/>
      <c r="PBL106" s="17"/>
      <c r="PBM106" s="17"/>
      <c r="PBN106" s="17"/>
      <c r="PBO106" s="17"/>
      <c r="PBP106" s="17"/>
      <c r="PBQ106" s="17"/>
      <c r="PBR106" s="17"/>
      <c r="PBS106" s="17"/>
      <c r="PBT106" s="17"/>
      <c r="PBU106" s="17"/>
      <c r="PBV106" s="17"/>
      <c r="PBW106" s="17"/>
      <c r="PBX106" s="17"/>
      <c r="PBY106" s="17"/>
      <c r="PBZ106" s="17"/>
      <c r="PCA106" s="17"/>
      <c r="PCB106" s="17"/>
      <c r="PCC106" s="17"/>
      <c r="PCD106" s="17"/>
      <c r="PCE106" s="17"/>
      <c r="PCF106" s="17"/>
      <c r="PCG106" s="17"/>
      <c r="PCH106" s="17"/>
      <c r="PCI106" s="17"/>
      <c r="PCJ106" s="17"/>
      <c r="PCK106" s="17"/>
      <c r="PCL106" s="17"/>
      <c r="PCM106" s="17"/>
      <c r="PCN106" s="17"/>
      <c r="PCO106" s="17"/>
      <c r="PCP106" s="17"/>
      <c r="PCQ106" s="17"/>
      <c r="PCR106" s="17"/>
      <c r="PCS106" s="17"/>
      <c r="PCT106" s="17"/>
      <c r="PCU106" s="17"/>
      <c r="PCV106" s="17"/>
      <c r="PCW106" s="17"/>
      <c r="PCX106" s="17"/>
      <c r="PCY106" s="17"/>
      <c r="PCZ106" s="17"/>
      <c r="PDA106" s="17"/>
      <c r="PDB106" s="17"/>
      <c r="PDC106" s="17"/>
      <c r="PDD106" s="17"/>
      <c r="PDE106" s="17"/>
      <c r="PDF106" s="17"/>
      <c r="PDG106" s="17"/>
      <c r="PDH106" s="17"/>
      <c r="PDI106" s="17"/>
      <c r="PDJ106" s="17"/>
      <c r="PDK106" s="17"/>
      <c r="PDL106" s="17"/>
      <c r="PDM106" s="17"/>
      <c r="PDN106" s="17"/>
      <c r="PDO106" s="17"/>
      <c r="PDP106" s="17"/>
      <c r="PDQ106" s="17"/>
      <c r="PDR106" s="17"/>
      <c r="PDS106" s="17"/>
      <c r="PDT106" s="17"/>
      <c r="PDU106" s="17"/>
      <c r="PDV106" s="17"/>
      <c r="PDW106" s="17"/>
      <c r="PDX106" s="17"/>
      <c r="PDY106" s="17"/>
      <c r="PDZ106" s="17"/>
      <c r="PEA106" s="17"/>
      <c r="PEB106" s="17"/>
      <c r="PEC106" s="17"/>
      <c r="PED106" s="17"/>
      <c r="PEE106" s="17"/>
      <c r="PEF106" s="17"/>
      <c r="PEG106" s="17"/>
      <c r="PEH106" s="17"/>
      <c r="PEI106" s="17"/>
      <c r="PEJ106" s="17"/>
      <c r="PEK106" s="17"/>
      <c r="PEL106" s="17"/>
      <c r="PEM106" s="17"/>
      <c r="PEN106" s="17"/>
      <c r="PEO106" s="17"/>
      <c r="PEP106" s="17"/>
      <c r="PEQ106" s="17"/>
      <c r="PER106" s="17"/>
      <c r="PES106" s="17"/>
      <c r="PET106" s="17"/>
      <c r="PEU106" s="17"/>
      <c r="PEV106" s="17"/>
      <c r="PEW106" s="17"/>
      <c r="PEX106" s="17"/>
      <c r="PEY106" s="17"/>
      <c r="PEZ106" s="17"/>
      <c r="PFA106" s="17"/>
      <c r="PFB106" s="17"/>
      <c r="PFC106" s="17"/>
      <c r="PFD106" s="17"/>
      <c r="PFE106" s="17"/>
      <c r="PFF106" s="17"/>
      <c r="PFG106" s="17"/>
      <c r="PFH106" s="17"/>
      <c r="PFI106" s="17"/>
      <c r="PFJ106" s="17"/>
      <c r="PFK106" s="17"/>
      <c r="PFL106" s="17"/>
      <c r="PFM106" s="17"/>
      <c r="PFN106" s="17"/>
      <c r="PFO106" s="17"/>
      <c r="PFP106" s="17"/>
      <c r="PFQ106" s="17"/>
      <c r="PFR106" s="17"/>
      <c r="PFS106" s="17"/>
      <c r="PFT106" s="17"/>
      <c r="PFU106" s="17"/>
      <c r="PFV106" s="17"/>
      <c r="PFW106" s="17"/>
      <c r="PFX106" s="17"/>
      <c r="PFY106" s="17"/>
      <c r="PFZ106" s="17"/>
      <c r="PGA106" s="17"/>
      <c r="PGB106" s="17"/>
      <c r="PGC106" s="17"/>
      <c r="PGD106" s="17"/>
      <c r="PGE106" s="17"/>
      <c r="PGF106" s="17"/>
      <c r="PGG106" s="17"/>
      <c r="PGH106" s="17"/>
      <c r="PGI106" s="17"/>
      <c r="PGJ106" s="17"/>
      <c r="PGK106" s="17"/>
      <c r="PGL106" s="17"/>
      <c r="PGM106" s="17"/>
      <c r="PGN106" s="17"/>
      <c r="PGO106" s="17"/>
      <c r="PGP106" s="17"/>
      <c r="PGQ106" s="17"/>
      <c r="PGR106" s="17"/>
      <c r="PGS106" s="17"/>
      <c r="PGT106" s="17"/>
      <c r="PGU106" s="17"/>
      <c r="PGV106" s="17"/>
      <c r="PGW106" s="17"/>
      <c r="PGX106" s="17"/>
      <c r="PGY106" s="17"/>
      <c r="PGZ106" s="17"/>
      <c r="PHA106" s="17"/>
      <c r="PHB106" s="17"/>
      <c r="PHC106" s="17"/>
      <c r="PHD106" s="17"/>
      <c r="PHE106" s="17"/>
      <c r="PHF106" s="17"/>
      <c r="PHG106" s="17"/>
      <c r="PHH106" s="17"/>
      <c r="PHI106" s="17"/>
      <c r="PHJ106" s="17"/>
      <c r="PHK106" s="17"/>
      <c r="PHL106" s="17"/>
      <c r="PHM106" s="17"/>
      <c r="PHN106" s="17"/>
      <c r="PHO106" s="17"/>
      <c r="PHP106" s="17"/>
      <c r="PHQ106" s="17"/>
      <c r="PHR106" s="17"/>
      <c r="PHS106" s="17"/>
      <c r="PHT106" s="17"/>
      <c r="PHU106" s="17"/>
      <c r="PHV106" s="17"/>
      <c r="PHW106" s="17"/>
      <c r="PHX106" s="17"/>
      <c r="PHY106" s="17"/>
      <c r="PHZ106" s="17"/>
      <c r="PIA106" s="17"/>
      <c r="PIB106" s="17"/>
      <c r="PIC106" s="17"/>
      <c r="PID106" s="17"/>
      <c r="PIE106" s="17"/>
      <c r="PIF106" s="17"/>
      <c r="PIG106" s="17"/>
      <c r="PIH106" s="17"/>
      <c r="PII106" s="17"/>
      <c r="PIJ106" s="17"/>
      <c r="PIK106" s="17"/>
      <c r="PIL106" s="17"/>
      <c r="PIM106" s="17"/>
      <c r="PIN106" s="17"/>
      <c r="PIO106" s="17"/>
      <c r="PIP106" s="17"/>
      <c r="PIQ106" s="17"/>
      <c r="PIR106" s="17"/>
      <c r="PIS106" s="17"/>
      <c r="PIT106" s="17"/>
      <c r="PIU106" s="17"/>
      <c r="PIV106" s="17"/>
      <c r="PIW106" s="17"/>
      <c r="PIX106" s="17"/>
      <c r="PIY106" s="17"/>
      <c r="PIZ106" s="17"/>
      <c r="PJA106" s="17"/>
      <c r="PJB106" s="17"/>
      <c r="PJC106" s="17"/>
      <c r="PJD106" s="17"/>
      <c r="PJE106" s="17"/>
      <c r="PJF106" s="17"/>
      <c r="PJG106" s="17"/>
      <c r="PJH106" s="17"/>
      <c r="PJI106" s="17"/>
      <c r="PJJ106" s="17"/>
      <c r="PJK106" s="17"/>
      <c r="PJL106" s="17"/>
      <c r="PJM106" s="17"/>
      <c r="PJN106" s="17"/>
      <c r="PJO106" s="17"/>
      <c r="PJP106" s="17"/>
      <c r="PJQ106" s="17"/>
      <c r="PJR106" s="17"/>
      <c r="PJS106" s="17"/>
      <c r="PJT106" s="17"/>
      <c r="PJU106" s="17"/>
      <c r="PJV106" s="17"/>
      <c r="PJW106" s="17"/>
      <c r="PJX106" s="17"/>
      <c r="PJY106" s="17"/>
      <c r="PJZ106" s="17"/>
      <c r="PKA106" s="17"/>
      <c r="PKB106" s="17"/>
      <c r="PKC106" s="17"/>
      <c r="PKD106" s="17"/>
      <c r="PKE106" s="17"/>
      <c r="PKF106" s="17"/>
      <c r="PKG106" s="17"/>
      <c r="PKH106" s="17"/>
      <c r="PKI106" s="17"/>
      <c r="PKJ106" s="17"/>
      <c r="PKK106" s="17"/>
      <c r="PKL106" s="17"/>
      <c r="PKM106" s="17"/>
      <c r="PKN106" s="17"/>
      <c r="PKO106" s="17"/>
      <c r="PKP106" s="17"/>
      <c r="PKQ106" s="17"/>
      <c r="PKR106" s="17"/>
      <c r="PKS106" s="17"/>
      <c r="PKT106" s="17"/>
      <c r="PKU106" s="17"/>
      <c r="PKV106" s="17"/>
      <c r="PKW106" s="17"/>
      <c r="PKX106" s="17"/>
      <c r="PKY106" s="17"/>
      <c r="PKZ106" s="17"/>
      <c r="PLA106" s="17"/>
      <c r="PLB106" s="17"/>
      <c r="PLC106" s="17"/>
      <c r="PLD106" s="17"/>
      <c r="PLE106" s="17"/>
      <c r="PLF106" s="17"/>
      <c r="PLG106" s="17"/>
      <c r="PLH106" s="17"/>
      <c r="PLI106" s="17"/>
      <c r="PLJ106" s="17"/>
      <c r="PLK106" s="17"/>
      <c r="PLL106" s="17"/>
      <c r="PLM106" s="17"/>
      <c r="PLN106" s="17"/>
      <c r="PLO106" s="17"/>
      <c r="PLP106" s="17"/>
      <c r="PLQ106" s="17"/>
      <c r="PLR106" s="17"/>
      <c r="PLS106" s="17"/>
      <c r="PLT106" s="17"/>
      <c r="PLU106" s="17"/>
      <c r="PLV106" s="17"/>
      <c r="PLW106" s="17"/>
      <c r="PLX106" s="17"/>
      <c r="PLY106" s="17"/>
      <c r="PLZ106" s="17"/>
      <c r="PMA106" s="17"/>
      <c r="PMB106" s="17"/>
      <c r="PMC106" s="17"/>
      <c r="PMD106" s="17"/>
      <c r="PME106" s="17"/>
      <c r="PMF106" s="17"/>
      <c r="PMG106" s="17"/>
      <c r="PMH106" s="17"/>
      <c r="PMI106" s="17"/>
      <c r="PMJ106" s="17"/>
      <c r="PMK106" s="17"/>
      <c r="PML106" s="17"/>
      <c r="PMM106" s="17"/>
      <c r="PMN106" s="17"/>
      <c r="PMO106" s="17"/>
      <c r="PMP106" s="17"/>
      <c r="PMQ106" s="17"/>
      <c r="PMR106" s="17"/>
      <c r="PMS106" s="17"/>
      <c r="PMT106" s="17"/>
      <c r="PMU106" s="17"/>
      <c r="PMV106" s="17"/>
      <c r="PMW106" s="17"/>
      <c r="PMX106" s="17"/>
      <c r="PMY106" s="17"/>
      <c r="PMZ106" s="17"/>
      <c r="PNA106" s="17"/>
      <c r="PNB106" s="17"/>
      <c r="PNC106" s="17"/>
      <c r="PND106" s="17"/>
      <c r="PNE106" s="17"/>
      <c r="PNF106" s="17"/>
      <c r="PNG106" s="17"/>
      <c r="PNH106" s="17"/>
      <c r="PNI106" s="17"/>
      <c r="PNJ106" s="17"/>
      <c r="PNK106" s="17"/>
      <c r="PNL106" s="17"/>
      <c r="PNM106" s="17"/>
      <c r="PNN106" s="17"/>
      <c r="PNO106" s="17"/>
      <c r="PNP106" s="17"/>
      <c r="PNQ106" s="17"/>
      <c r="PNR106" s="17"/>
      <c r="PNS106" s="17"/>
      <c r="PNT106" s="17"/>
      <c r="PNU106" s="17"/>
      <c r="PNV106" s="17"/>
      <c r="PNW106" s="17"/>
      <c r="PNX106" s="17"/>
      <c r="PNY106" s="17"/>
      <c r="PNZ106" s="17"/>
      <c r="POA106" s="17"/>
      <c r="POB106" s="17"/>
      <c r="POC106" s="17"/>
      <c r="POD106" s="17"/>
      <c r="POE106" s="17"/>
      <c r="POF106" s="17"/>
      <c r="POG106" s="17"/>
      <c r="POH106" s="17"/>
      <c r="POI106" s="17"/>
      <c r="POJ106" s="17"/>
      <c r="POK106" s="17"/>
      <c r="POL106" s="17"/>
      <c r="POM106" s="17"/>
      <c r="PON106" s="17"/>
      <c r="POO106" s="17"/>
      <c r="POP106" s="17"/>
      <c r="POQ106" s="17"/>
      <c r="POR106" s="17"/>
      <c r="POS106" s="17"/>
      <c r="POT106" s="17"/>
      <c r="POU106" s="17"/>
      <c r="POV106" s="17"/>
      <c r="POW106" s="17"/>
      <c r="POX106" s="17"/>
      <c r="POY106" s="17"/>
      <c r="POZ106" s="17"/>
      <c r="PPA106" s="17"/>
      <c r="PPB106" s="17"/>
      <c r="PPC106" s="17"/>
      <c r="PPD106" s="17"/>
      <c r="PPE106" s="17"/>
      <c r="PPF106" s="17"/>
      <c r="PPG106" s="17"/>
      <c r="PPH106" s="17"/>
      <c r="PPI106" s="17"/>
      <c r="PPJ106" s="17"/>
      <c r="PPK106" s="17"/>
      <c r="PPL106" s="17"/>
      <c r="PPM106" s="17"/>
      <c r="PPN106" s="17"/>
      <c r="PPO106" s="17"/>
      <c r="PPP106" s="17"/>
      <c r="PPQ106" s="17"/>
      <c r="PPR106" s="17"/>
      <c r="PPS106" s="17"/>
      <c r="PPT106" s="17"/>
      <c r="PPU106" s="17"/>
      <c r="PPV106" s="17"/>
      <c r="PPW106" s="17"/>
      <c r="PPX106" s="17"/>
      <c r="PPY106" s="17"/>
      <c r="PPZ106" s="17"/>
      <c r="PQA106" s="17"/>
      <c r="PQB106" s="17"/>
      <c r="PQC106" s="17"/>
      <c r="PQD106" s="17"/>
      <c r="PQE106" s="17"/>
      <c r="PQF106" s="17"/>
      <c r="PQG106" s="17"/>
      <c r="PQH106" s="17"/>
      <c r="PQI106" s="17"/>
      <c r="PQJ106" s="17"/>
      <c r="PQK106" s="17"/>
      <c r="PQL106" s="17"/>
      <c r="PQM106" s="17"/>
      <c r="PQN106" s="17"/>
      <c r="PQO106" s="17"/>
      <c r="PQP106" s="17"/>
      <c r="PQQ106" s="17"/>
      <c r="PQR106" s="17"/>
      <c r="PQS106" s="17"/>
      <c r="PQT106" s="17"/>
      <c r="PQU106" s="17"/>
      <c r="PQV106" s="17"/>
      <c r="PQW106" s="17"/>
      <c r="PQX106" s="17"/>
      <c r="PQY106" s="17"/>
      <c r="PQZ106" s="17"/>
      <c r="PRA106" s="17"/>
      <c r="PRB106" s="17"/>
      <c r="PRC106" s="17"/>
      <c r="PRD106" s="17"/>
      <c r="PRE106" s="17"/>
      <c r="PRF106" s="17"/>
      <c r="PRG106" s="17"/>
      <c r="PRH106" s="17"/>
      <c r="PRI106" s="17"/>
      <c r="PRJ106" s="17"/>
      <c r="PRK106" s="17"/>
      <c r="PRL106" s="17"/>
      <c r="PRM106" s="17"/>
      <c r="PRN106" s="17"/>
      <c r="PRO106" s="17"/>
      <c r="PRP106" s="17"/>
      <c r="PRQ106" s="17"/>
      <c r="PRR106" s="17"/>
      <c r="PRS106" s="17"/>
      <c r="PRT106" s="17"/>
      <c r="PRU106" s="17"/>
      <c r="PRV106" s="17"/>
      <c r="PRW106" s="17"/>
      <c r="PRX106" s="17"/>
      <c r="PRY106" s="17"/>
      <c r="PRZ106" s="17"/>
      <c r="PSA106" s="17"/>
      <c r="PSB106" s="17"/>
      <c r="PSC106" s="17"/>
      <c r="PSD106" s="17"/>
      <c r="PSE106" s="17"/>
      <c r="PSF106" s="17"/>
      <c r="PSG106" s="17"/>
      <c r="PSH106" s="17"/>
      <c r="PSI106" s="17"/>
      <c r="PSJ106" s="17"/>
      <c r="PSK106" s="17"/>
      <c r="PSL106" s="17"/>
      <c r="PSM106" s="17"/>
      <c r="PSN106" s="17"/>
      <c r="PSO106" s="17"/>
      <c r="PSP106" s="17"/>
      <c r="PSQ106" s="17"/>
      <c r="PSR106" s="17"/>
      <c r="PSS106" s="17"/>
      <c r="PST106" s="17"/>
      <c r="PSU106" s="17"/>
      <c r="PSV106" s="17"/>
      <c r="PSW106" s="17"/>
      <c r="PSX106" s="17"/>
      <c r="PSY106" s="17"/>
      <c r="PSZ106" s="17"/>
      <c r="PTA106" s="17"/>
      <c r="PTB106" s="17"/>
      <c r="PTC106" s="17"/>
      <c r="PTD106" s="17"/>
      <c r="PTE106" s="17"/>
      <c r="PTF106" s="17"/>
      <c r="PTG106" s="17"/>
      <c r="PTH106" s="17"/>
      <c r="PTI106" s="17"/>
      <c r="PTJ106" s="17"/>
      <c r="PTK106" s="17"/>
      <c r="PTL106" s="17"/>
      <c r="PTM106" s="17"/>
      <c r="PTN106" s="17"/>
      <c r="PTO106" s="17"/>
      <c r="PTP106" s="17"/>
      <c r="PTQ106" s="17"/>
      <c r="PTR106" s="17"/>
      <c r="PTS106" s="17"/>
      <c r="PTT106" s="17"/>
      <c r="PTU106" s="17"/>
      <c r="PTV106" s="17"/>
      <c r="PTW106" s="17"/>
      <c r="PTX106" s="17"/>
      <c r="PTY106" s="17"/>
      <c r="PTZ106" s="17"/>
      <c r="PUA106" s="17"/>
      <c r="PUB106" s="17"/>
      <c r="PUC106" s="17"/>
      <c r="PUD106" s="17"/>
      <c r="PUE106" s="17"/>
      <c r="PUF106" s="17"/>
      <c r="PUG106" s="17"/>
      <c r="PUH106" s="17"/>
      <c r="PUI106" s="17"/>
      <c r="PUJ106" s="17"/>
      <c r="PUK106" s="17"/>
      <c r="PUL106" s="17"/>
      <c r="PUM106" s="17"/>
      <c r="PUN106" s="17"/>
      <c r="PUO106" s="17"/>
      <c r="PUP106" s="17"/>
      <c r="PUQ106" s="17"/>
      <c r="PUR106" s="17"/>
      <c r="PUS106" s="17"/>
      <c r="PUT106" s="17"/>
      <c r="PUU106" s="17"/>
      <c r="PUV106" s="17"/>
      <c r="PUW106" s="17"/>
      <c r="PUX106" s="17"/>
      <c r="PUY106" s="17"/>
      <c r="PUZ106" s="17"/>
      <c r="PVA106" s="17"/>
      <c r="PVB106" s="17"/>
      <c r="PVC106" s="17"/>
      <c r="PVD106" s="17"/>
      <c r="PVE106" s="17"/>
      <c r="PVF106" s="17"/>
      <c r="PVG106" s="17"/>
      <c r="PVH106" s="17"/>
      <c r="PVI106" s="17"/>
      <c r="PVJ106" s="17"/>
      <c r="PVK106" s="17"/>
      <c r="PVL106" s="17"/>
      <c r="PVM106" s="17"/>
      <c r="PVN106" s="17"/>
      <c r="PVO106" s="17"/>
      <c r="PVP106" s="17"/>
      <c r="PVQ106" s="17"/>
      <c r="PVR106" s="17"/>
      <c r="PVS106" s="17"/>
      <c r="PVT106" s="17"/>
      <c r="PVU106" s="17"/>
      <c r="PVV106" s="17"/>
      <c r="PVW106" s="17"/>
      <c r="PVX106" s="17"/>
      <c r="PVY106" s="17"/>
      <c r="PVZ106" s="17"/>
      <c r="PWA106" s="17"/>
      <c r="PWB106" s="17"/>
      <c r="PWC106" s="17"/>
      <c r="PWD106" s="17"/>
      <c r="PWE106" s="17"/>
      <c r="PWF106" s="17"/>
      <c r="PWG106" s="17"/>
      <c r="PWH106" s="17"/>
      <c r="PWI106" s="17"/>
      <c r="PWJ106" s="17"/>
      <c r="PWK106" s="17"/>
      <c r="PWL106" s="17"/>
      <c r="PWM106" s="17"/>
      <c r="PWN106" s="17"/>
      <c r="PWO106" s="17"/>
      <c r="PWP106" s="17"/>
      <c r="PWQ106" s="17"/>
      <c r="PWR106" s="17"/>
      <c r="PWS106" s="17"/>
      <c r="PWT106" s="17"/>
      <c r="PWU106" s="17"/>
      <c r="PWV106" s="17"/>
      <c r="PWW106" s="17"/>
      <c r="PWX106" s="17"/>
      <c r="PWY106" s="17"/>
      <c r="PWZ106" s="17"/>
      <c r="PXA106" s="17"/>
      <c r="PXB106" s="17"/>
      <c r="PXC106" s="17"/>
      <c r="PXD106" s="17"/>
      <c r="PXE106" s="17"/>
      <c r="PXF106" s="17"/>
      <c r="PXG106" s="17"/>
      <c r="PXH106" s="17"/>
      <c r="PXI106" s="17"/>
      <c r="PXJ106" s="17"/>
      <c r="PXK106" s="17"/>
      <c r="PXL106" s="17"/>
      <c r="PXM106" s="17"/>
      <c r="PXN106" s="17"/>
      <c r="PXO106" s="17"/>
      <c r="PXP106" s="17"/>
      <c r="PXQ106" s="17"/>
      <c r="PXR106" s="17"/>
      <c r="PXS106" s="17"/>
      <c r="PXT106" s="17"/>
      <c r="PXU106" s="17"/>
      <c r="PXV106" s="17"/>
      <c r="PXW106" s="17"/>
      <c r="PXX106" s="17"/>
      <c r="PXY106" s="17"/>
      <c r="PXZ106" s="17"/>
      <c r="PYA106" s="17"/>
      <c r="PYB106" s="17"/>
      <c r="PYC106" s="17"/>
      <c r="PYD106" s="17"/>
      <c r="PYE106" s="17"/>
      <c r="PYF106" s="17"/>
      <c r="PYG106" s="17"/>
      <c r="PYH106" s="17"/>
      <c r="PYI106" s="17"/>
      <c r="PYJ106" s="17"/>
      <c r="PYK106" s="17"/>
      <c r="PYL106" s="17"/>
      <c r="PYM106" s="17"/>
      <c r="PYN106" s="17"/>
      <c r="PYO106" s="17"/>
      <c r="PYP106" s="17"/>
      <c r="PYQ106" s="17"/>
      <c r="PYR106" s="17"/>
      <c r="PYS106" s="17"/>
      <c r="PYT106" s="17"/>
      <c r="PYU106" s="17"/>
      <c r="PYV106" s="17"/>
      <c r="PYW106" s="17"/>
      <c r="PYX106" s="17"/>
      <c r="PYY106" s="17"/>
      <c r="PYZ106" s="17"/>
      <c r="PZA106" s="17"/>
      <c r="PZB106" s="17"/>
      <c r="PZC106" s="17"/>
      <c r="PZD106" s="17"/>
      <c r="PZE106" s="17"/>
      <c r="PZF106" s="17"/>
      <c r="PZG106" s="17"/>
      <c r="PZH106" s="17"/>
      <c r="PZI106" s="17"/>
      <c r="PZJ106" s="17"/>
      <c r="PZK106" s="17"/>
      <c r="PZL106" s="17"/>
      <c r="PZM106" s="17"/>
      <c r="PZN106" s="17"/>
      <c r="PZO106" s="17"/>
      <c r="PZP106" s="17"/>
      <c r="PZQ106" s="17"/>
      <c r="PZR106" s="17"/>
      <c r="PZS106" s="17"/>
      <c r="PZT106" s="17"/>
      <c r="PZU106" s="17"/>
      <c r="PZV106" s="17"/>
      <c r="PZW106" s="17"/>
      <c r="PZX106" s="17"/>
      <c r="PZY106" s="17"/>
      <c r="PZZ106" s="17"/>
      <c r="QAA106" s="17"/>
      <c r="QAB106" s="17"/>
      <c r="QAC106" s="17"/>
      <c r="QAD106" s="17"/>
      <c r="QAE106" s="17"/>
      <c r="QAF106" s="17"/>
      <c r="QAG106" s="17"/>
      <c r="QAH106" s="17"/>
      <c r="QAI106" s="17"/>
      <c r="QAJ106" s="17"/>
      <c r="QAK106" s="17"/>
      <c r="QAL106" s="17"/>
      <c r="QAM106" s="17"/>
      <c r="QAN106" s="17"/>
      <c r="QAO106" s="17"/>
      <c r="QAP106" s="17"/>
      <c r="QAQ106" s="17"/>
      <c r="QAR106" s="17"/>
      <c r="QAS106" s="17"/>
      <c r="QAT106" s="17"/>
      <c r="QAU106" s="17"/>
      <c r="QAV106" s="17"/>
      <c r="QAW106" s="17"/>
      <c r="QAX106" s="17"/>
      <c r="QAY106" s="17"/>
      <c r="QAZ106" s="17"/>
      <c r="QBA106" s="17"/>
      <c r="QBB106" s="17"/>
      <c r="QBC106" s="17"/>
      <c r="QBD106" s="17"/>
      <c r="QBE106" s="17"/>
      <c r="QBF106" s="17"/>
      <c r="QBG106" s="17"/>
      <c r="QBH106" s="17"/>
      <c r="QBI106" s="17"/>
      <c r="QBJ106" s="17"/>
      <c r="QBK106" s="17"/>
      <c r="QBL106" s="17"/>
      <c r="QBM106" s="17"/>
      <c r="QBN106" s="17"/>
      <c r="QBO106" s="17"/>
      <c r="QBP106" s="17"/>
      <c r="QBQ106" s="17"/>
      <c r="QBR106" s="17"/>
      <c r="QBS106" s="17"/>
      <c r="QBT106" s="17"/>
      <c r="QBU106" s="17"/>
      <c r="QBV106" s="17"/>
      <c r="QBW106" s="17"/>
      <c r="QBX106" s="17"/>
      <c r="QBY106" s="17"/>
      <c r="QBZ106" s="17"/>
      <c r="QCA106" s="17"/>
      <c r="QCB106" s="17"/>
      <c r="QCC106" s="17"/>
      <c r="QCD106" s="17"/>
      <c r="QCE106" s="17"/>
      <c r="QCF106" s="17"/>
      <c r="QCG106" s="17"/>
      <c r="QCH106" s="17"/>
      <c r="QCI106" s="17"/>
      <c r="QCJ106" s="17"/>
      <c r="QCK106" s="17"/>
      <c r="QCL106" s="17"/>
      <c r="QCM106" s="17"/>
      <c r="QCN106" s="17"/>
      <c r="QCO106" s="17"/>
      <c r="QCP106" s="17"/>
      <c r="QCQ106" s="17"/>
      <c r="QCR106" s="17"/>
      <c r="QCS106" s="17"/>
      <c r="QCT106" s="17"/>
      <c r="QCU106" s="17"/>
      <c r="QCV106" s="17"/>
      <c r="QCW106" s="17"/>
      <c r="QCX106" s="17"/>
      <c r="QCY106" s="17"/>
      <c r="QCZ106" s="17"/>
      <c r="QDA106" s="17"/>
      <c r="QDB106" s="17"/>
      <c r="QDC106" s="17"/>
      <c r="QDD106" s="17"/>
      <c r="QDE106" s="17"/>
      <c r="QDF106" s="17"/>
      <c r="QDG106" s="17"/>
      <c r="QDH106" s="17"/>
      <c r="QDI106" s="17"/>
      <c r="QDJ106" s="17"/>
      <c r="QDK106" s="17"/>
      <c r="QDL106" s="17"/>
      <c r="QDM106" s="17"/>
      <c r="QDN106" s="17"/>
      <c r="QDO106" s="17"/>
      <c r="QDP106" s="17"/>
      <c r="QDQ106" s="17"/>
      <c r="QDR106" s="17"/>
      <c r="QDS106" s="17"/>
      <c r="QDT106" s="17"/>
      <c r="QDU106" s="17"/>
      <c r="QDV106" s="17"/>
      <c r="QDW106" s="17"/>
      <c r="QDX106" s="17"/>
      <c r="QDY106" s="17"/>
      <c r="QDZ106" s="17"/>
      <c r="QEA106" s="17"/>
      <c r="QEB106" s="17"/>
      <c r="QEC106" s="17"/>
      <c r="QED106" s="17"/>
      <c r="QEE106" s="17"/>
      <c r="QEF106" s="17"/>
      <c r="QEG106" s="17"/>
      <c r="QEH106" s="17"/>
      <c r="QEI106" s="17"/>
      <c r="QEJ106" s="17"/>
      <c r="QEK106" s="17"/>
      <c r="QEL106" s="17"/>
      <c r="QEM106" s="17"/>
      <c r="QEN106" s="17"/>
      <c r="QEO106" s="17"/>
      <c r="QEP106" s="17"/>
      <c r="QEQ106" s="17"/>
      <c r="QER106" s="17"/>
      <c r="QES106" s="17"/>
      <c r="QET106" s="17"/>
      <c r="QEU106" s="17"/>
      <c r="QEV106" s="17"/>
      <c r="QEW106" s="17"/>
      <c r="QEX106" s="17"/>
      <c r="QEY106" s="17"/>
      <c r="QEZ106" s="17"/>
      <c r="QFA106" s="17"/>
      <c r="QFB106" s="17"/>
      <c r="QFC106" s="17"/>
      <c r="QFD106" s="17"/>
      <c r="QFE106" s="17"/>
      <c r="QFF106" s="17"/>
      <c r="QFG106" s="17"/>
      <c r="QFH106" s="17"/>
      <c r="QFI106" s="17"/>
      <c r="QFJ106" s="17"/>
      <c r="QFK106" s="17"/>
      <c r="QFL106" s="17"/>
      <c r="QFM106" s="17"/>
      <c r="QFN106" s="17"/>
      <c r="QFO106" s="17"/>
      <c r="QFP106" s="17"/>
      <c r="QFQ106" s="17"/>
      <c r="QFR106" s="17"/>
      <c r="QFS106" s="17"/>
      <c r="QFT106" s="17"/>
      <c r="QFU106" s="17"/>
      <c r="QFV106" s="17"/>
      <c r="QFW106" s="17"/>
      <c r="QFX106" s="17"/>
      <c r="QFY106" s="17"/>
      <c r="QFZ106" s="17"/>
      <c r="QGA106" s="17"/>
      <c r="QGB106" s="17"/>
      <c r="QGC106" s="17"/>
      <c r="QGD106" s="17"/>
      <c r="QGE106" s="17"/>
      <c r="QGF106" s="17"/>
      <c r="QGG106" s="17"/>
      <c r="QGH106" s="17"/>
      <c r="QGI106" s="17"/>
      <c r="QGJ106" s="17"/>
      <c r="QGK106" s="17"/>
      <c r="QGL106" s="17"/>
      <c r="QGM106" s="17"/>
      <c r="QGN106" s="17"/>
      <c r="QGO106" s="17"/>
      <c r="QGP106" s="17"/>
      <c r="QGQ106" s="17"/>
      <c r="QGR106" s="17"/>
      <c r="QGS106" s="17"/>
      <c r="QGT106" s="17"/>
      <c r="QGU106" s="17"/>
      <c r="QGV106" s="17"/>
      <c r="QGW106" s="17"/>
      <c r="QGX106" s="17"/>
      <c r="QGY106" s="17"/>
      <c r="QGZ106" s="17"/>
      <c r="QHA106" s="17"/>
      <c r="QHB106" s="17"/>
      <c r="QHC106" s="17"/>
      <c r="QHD106" s="17"/>
      <c r="QHE106" s="17"/>
      <c r="QHF106" s="17"/>
      <c r="QHG106" s="17"/>
      <c r="QHH106" s="17"/>
      <c r="QHI106" s="17"/>
      <c r="QHJ106" s="17"/>
      <c r="QHK106" s="17"/>
      <c r="QHL106" s="17"/>
      <c r="QHM106" s="17"/>
      <c r="QHN106" s="17"/>
      <c r="QHO106" s="17"/>
      <c r="QHP106" s="17"/>
      <c r="QHQ106" s="17"/>
      <c r="QHR106" s="17"/>
      <c r="QHS106" s="17"/>
      <c r="QHT106" s="17"/>
      <c r="QHU106" s="17"/>
      <c r="QHV106" s="17"/>
      <c r="QHW106" s="17"/>
      <c r="QHX106" s="17"/>
      <c r="QHY106" s="17"/>
      <c r="QHZ106" s="17"/>
      <c r="QIA106" s="17"/>
      <c r="QIB106" s="17"/>
      <c r="QIC106" s="17"/>
      <c r="QID106" s="17"/>
      <c r="QIE106" s="17"/>
      <c r="QIF106" s="17"/>
      <c r="QIG106" s="17"/>
      <c r="QIH106" s="17"/>
      <c r="QII106" s="17"/>
      <c r="QIJ106" s="17"/>
      <c r="QIK106" s="17"/>
      <c r="QIL106" s="17"/>
      <c r="QIM106" s="17"/>
      <c r="QIN106" s="17"/>
      <c r="QIO106" s="17"/>
      <c r="QIP106" s="17"/>
      <c r="QIQ106" s="17"/>
      <c r="QIR106" s="17"/>
      <c r="QIS106" s="17"/>
      <c r="QIT106" s="17"/>
      <c r="QIU106" s="17"/>
      <c r="QIV106" s="17"/>
      <c r="QIW106" s="17"/>
      <c r="QIX106" s="17"/>
      <c r="QIY106" s="17"/>
      <c r="QIZ106" s="17"/>
      <c r="QJA106" s="17"/>
      <c r="QJB106" s="17"/>
      <c r="QJC106" s="17"/>
      <c r="QJD106" s="17"/>
      <c r="QJE106" s="17"/>
      <c r="QJF106" s="17"/>
      <c r="QJG106" s="17"/>
      <c r="QJH106" s="17"/>
      <c r="QJI106" s="17"/>
      <c r="QJJ106" s="17"/>
      <c r="QJK106" s="17"/>
      <c r="QJL106" s="17"/>
      <c r="QJM106" s="17"/>
      <c r="QJN106" s="17"/>
      <c r="QJO106" s="17"/>
      <c r="QJP106" s="17"/>
      <c r="QJQ106" s="17"/>
      <c r="QJR106" s="17"/>
      <c r="QJS106" s="17"/>
      <c r="QJT106" s="17"/>
      <c r="QJU106" s="17"/>
      <c r="QJV106" s="17"/>
      <c r="QJW106" s="17"/>
      <c r="QJX106" s="17"/>
      <c r="QJY106" s="17"/>
      <c r="QJZ106" s="17"/>
      <c r="QKA106" s="17"/>
      <c r="QKB106" s="17"/>
      <c r="QKC106" s="17"/>
      <c r="QKD106" s="17"/>
      <c r="QKE106" s="17"/>
      <c r="QKF106" s="17"/>
      <c r="QKG106" s="17"/>
      <c r="QKH106" s="17"/>
      <c r="QKI106" s="17"/>
      <c r="QKJ106" s="17"/>
      <c r="QKK106" s="17"/>
      <c r="QKL106" s="17"/>
      <c r="QKM106" s="17"/>
      <c r="QKN106" s="17"/>
      <c r="QKO106" s="17"/>
      <c r="QKP106" s="17"/>
      <c r="QKQ106" s="17"/>
      <c r="QKR106" s="17"/>
      <c r="QKS106" s="17"/>
      <c r="QKT106" s="17"/>
      <c r="QKU106" s="17"/>
      <c r="QKV106" s="17"/>
      <c r="QKW106" s="17"/>
      <c r="QKX106" s="17"/>
      <c r="QKY106" s="17"/>
      <c r="QKZ106" s="17"/>
      <c r="QLA106" s="17"/>
      <c r="QLB106" s="17"/>
      <c r="QLC106" s="17"/>
      <c r="QLD106" s="17"/>
      <c r="QLE106" s="17"/>
      <c r="QLF106" s="17"/>
      <c r="QLG106" s="17"/>
      <c r="QLH106" s="17"/>
      <c r="QLI106" s="17"/>
      <c r="QLJ106" s="17"/>
      <c r="QLK106" s="17"/>
      <c r="QLL106" s="17"/>
      <c r="QLM106" s="17"/>
      <c r="QLN106" s="17"/>
      <c r="QLO106" s="17"/>
      <c r="QLP106" s="17"/>
      <c r="QLQ106" s="17"/>
      <c r="QLR106" s="17"/>
      <c r="QLS106" s="17"/>
      <c r="QLT106" s="17"/>
      <c r="QLU106" s="17"/>
      <c r="QLV106" s="17"/>
      <c r="QLW106" s="17"/>
      <c r="QLX106" s="17"/>
      <c r="QLY106" s="17"/>
      <c r="QLZ106" s="17"/>
      <c r="QMA106" s="17"/>
      <c r="QMB106" s="17"/>
      <c r="QMC106" s="17"/>
      <c r="QMD106" s="17"/>
      <c r="QME106" s="17"/>
      <c r="QMF106" s="17"/>
      <c r="QMG106" s="17"/>
      <c r="QMH106" s="17"/>
      <c r="QMI106" s="17"/>
      <c r="QMJ106" s="17"/>
      <c r="QMK106" s="17"/>
      <c r="QML106" s="17"/>
      <c r="QMM106" s="17"/>
      <c r="QMN106" s="17"/>
      <c r="QMO106" s="17"/>
      <c r="QMP106" s="17"/>
      <c r="QMQ106" s="17"/>
      <c r="QMR106" s="17"/>
      <c r="QMS106" s="17"/>
      <c r="QMT106" s="17"/>
      <c r="QMU106" s="17"/>
      <c r="QMV106" s="17"/>
      <c r="QMW106" s="17"/>
      <c r="QMX106" s="17"/>
      <c r="QMY106" s="17"/>
      <c r="QMZ106" s="17"/>
      <c r="QNA106" s="17"/>
      <c r="QNB106" s="17"/>
      <c r="QNC106" s="17"/>
      <c r="QND106" s="17"/>
      <c r="QNE106" s="17"/>
      <c r="QNF106" s="17"/>
      <c r="QNG106" s="17"/>
      <c r="QNH106" s="17"/>
      <c r="QNI106" s="17"/>
      <c r="QNJ106" s="17"/>
      <c r="QNK106" s="17"/>
      <c r="QNL106" s="17"/>
      <c r="QNM106" s="17"/>
      <c r="QNN106" s="17"/>
      <c r="QNO106" s="17"/>
      <c r="QNP106" s="17"/>
      <c r="QNQ106" s="17"/>
      <c r="QNR106" s="17"/>
      <c r="QNS106" s="17"/>
      <c r="QNT106" s="17"/>
      <c r="QNU106" s="17"/>
      <c r="QNV106" s="17"/>
      <c r="QNW106" s="17"/>
      <c r="QNX106" s="17"/>
      <c r="QNY106" s="17"/>
      <c r="QNZ106" s="17"/>
      <c r="QOA106" s="17"/>
      <c r="QOB106" s="17"/>
      <c r="QOC106" s="17"/>
      <c r="QOD106" s="17"/>
      <c r="QOE106" s="17"/>
      <c r="QOF106" s="17"/>
      <c r="QOG106" s="17"/>
      <c r="QOH106" s="17"/>
      <c r="QOI106" s="17"/>
      <c r="QOJ106" s="17"/>
      <c r="QOK106" s="17"/>
      <c r="QOL106" s="17"/>
      <c r="QOM106" s="17"/>
      <c r="QON106" s="17"/>
      <c r="QOO106" s="17"/>
      <c r="QOP106" s="17"/>
      <c r="QOQ106" s="17"/>
      <c r="QOR106" s="17"/>
      <c r="QOS106" s="17"/>
      <c r="QOT106" s="17"/>
      <c r="QOU106" s="17"/>
      <c r="QOV106" s="17"/>
      <c r="QOW106" s="17"/>
      <c r="QOX106" s="17"/>
      <c r="QOY106" s="17"/>
      <c r="QOZ106" s="17"/>
      <c r="QPA106" s="17"/>
      <c r="QPB106" s="17"/>
      <c r="QPC106" s="17"/>
      <c r="QPD106" s="17"/>
      <c r="QPE106" s="17"/>
      <c r="QPF106" s="17"/>
      <c r="QPG106" s="17"/>
      <c r="QPH106" s="17"/>
      <c r="QPI106" s="17"/>
      <c r="QPJ106" s="17"/>
      <c r="QPK106" s="17"/>
      <c r="QPL106" s="17"/>
      <c r="QPM106" s="17"/>
      <c r="QPN106" s="17"/>
      <c r="QPO106" s="17"/>
      <c r="QPP106" s="17"/>
      <c r="QPQ106" s="17"/>
      <c r="QPR106" s="17"/>
      <c r="QPS106" s="17"/>
      <c r="QPT106" s="17"/>
      <c r="QPU106" s="17"/>
      <c r="QPV106" s="17"/>
      <c r="QPW106" s="17"/>
      <c r="QPX106" s="17"/>
      <c r="QPY106" s="17"/>
      <c r="QPZ106" s="17"/>
      <c r="QQA106" s="17"/>
      <c r="QQB106" s="17"/>
      <c r="QQC106" s="17"/>
      <c r="QQD106" s="17"/>
      <c r="QQE106" s="17"/>
      <c r="QQF106" s="17"/>
      <c r="QQG106" s="17"/>
      <c r="QQH106" s="17"/>
      <c r="QQI106" s="17"/>
      <c r="QQJ106" s="17"/>
      <c r="QQK106" s="17"/>
      <c r="QQL106" s="17"/>
      <c r="QQM106" s="17"/>
      <c r="QQN106" s="17"/>
      <c r="QQO106" s="17"/>
      <c r="QQP106" s="17"/>
      <c r="QQQ106" s="17"/>
      <c r="QQR106" s="17"/>
      <c r="QQS106" s="17"/>
      <c r="QQT106" s="17"/>
      <c r="QQU106" s="17"/>
      <c r="QQV106" s="17"/>
      <c r="QQW106" s="17"/>
      <c r="QQX106" s="17"/>
      <c r="QQY106" s="17"/>
      <c r="QQZ106" s="17"/>
      <c r="QRA106" s="17"/>
      <c r="QRB106" s="17"/>
      <c r="QRC106" s="17"/>
      <c r="QRD106" s="17"/>
      <c r="QRE106" s="17"/>
      <c r="QRF106" s="17"/>
      <c r="QRG106" s="17"/>
      <c r="QRH106" s="17"/>
      <c r="QRI106" s="17"/>
      <c r="QRJ106" s="17"/>
      <c r="QRK106" s="17"/>
      <c r="QRL106" s="17"/>
      <c r="QRM106" s="17"/>
      <c r="QRN106" s="17"/>
      <c r="QRO106" s="17"/>
      <c r="QRP106" s="17"/>
      <c r="QRQ106" s="17"/>
      <c r="QRR106" s="17"/>
      <c r="QRS106" s="17"/>
      <c r="QRT106" s="17"/>
      <c r="QRU106" s="17"/>
      <c r="QRV106" s="17"/>
      <c r="QRW106" s="17"/>
      <c r="QRX106" s="17"/>
      <c r="QRY106" s="17"/>
      <c r="QRZ106" s="17"/>
      <c r="QSA106" s="17"/>
      <c r="QSB106" s="17"/>
      <c r="QSC106" s="17"/>
      <c r="QSD106" s="17"/>
      <c r="QSE106" s="17"/>
      <c r="QSF106" s="17"/>
      <c r="QSG106" s="17"/>
      <c r="QSH106" s="17"/>
      <c r="QSI106" s="17"/>
      <c r="QSJ106" s="17"/>
      <c r="QSK106" s="17"/>
      <c r="QSL106" s="17"/>
      <c r="QSM106" s="17"/>
      <c r="QSN106" s="17"/>
      <c r="QSO106" s="17"/>
      <c r="QSP106" s="17"/>
      <c r="QSQ106" s="17"/>
      <c r="QSR106" s="17"/>
      <c r="QSS106" s="17"/>
      <c r="QST106" s="17"/>
      <c r="QSU106" s="17"/>
      <c r="QSV106" s="17"/>
      <c r="QSW106" s="17"/>
      <c r="QSX106" s="17"/>
      <c r="QSY106" s="17"/>
      <c r="QSZ106" s="17"/>
      <c r="QTA106" s="17"/>
      <c r="QTB106" s="17"/>
      <c r="QTC106" s="17"/>
      <c r="QTD106" s="17"/>
      <c r="QTE106" s="17"/>
      <c r="QTF106" s="17"/>
      <c r="QTG106" s="17"/>
      <c r="QTH106" s="17"/>
      <c r="QTI106" s="17"/>
      <c r="QTJ106" s="17"/>
      <c r="QTK106" s="17"/>
      <c r="QTL106" s="17"/>
      <c r="QTM106" s="17"/>
      <c r="QTN106" s="17"/>
      <c r="QTO106" s="17"/>
      <c r="QTP106" s="17"/>
      <c r="QTQ106" s="17"/>
      <c r="QTR106" s="17"/>
      <c r="QTS106" s="17"/>
      <c r="QTT106" s="17"/>
      <c r="QTU106" s="17"/>
      <c r="QTV106" s="17"/>
      <c r="QTW106" s="17"/>
      <c r="QTX106" s="17"/>
      <c r="QTY106" s="17"/>
      <c r="QTZ106" s="17"/>
      <c r="QUA106" s="17"/>
      <c r="QUB106" s="17"/>
      <c r="QUC106" s="17"/>
      <c r="QUD106" s="17"/>
      <c r="QUE106" s="17"/>
      <c r="QUF106" s="17"/>
      <c r="QUG106" s="17"/>
      <c r="QUH106" s="17"/>
      <c r="QUI106" s="17"/>
      <c r="QUJ106" s="17"/>
      <c r="QUK106" s="17"/>
      <c r="QUL106" s="17"/>
      <c r="QUM106" s="17"/>
      <c r="QUN106" s="17"/>
      <c r="QUO106" s="17"/>
      <c r="QUP106" s="17"/>
      <c r="QUQ106" s="17"/>
      <c r="QUR106" s="17"/>
      <c r="QUS106" s="17"/>
      <c r="QUT106" s="17"/>
      <c r="QUU106" s="17"/>
      <c r="QUV106" s="17"/>
      <c r="QUW106" s="17"/>
      <c r="QUX106" s="17"/>
      <c r="QUY106" s="17"/>
      <c r="QUZ106" s="17"/>
      <c r="QVA106" s="17"/>
      <c r="QVB106" s="17"/>
      <c r="QVC106" s="17"/>
      <c r="QVD106" s="17"/>
      <c r="QVE106" s="17"/>
      <c r="QVF106" s="17"/>
      <c r="QVG106" s="17"/>
      <c r="QVH106" s="17"/>
      <c r="QVI106" s="17"/>
      <c r="QVJ106" s="17"/>
      <c r="QVK106" s="17"/>
      <c r="QVL106" s="17"/>
      <c r="QVM106" s="17"/>
      <c r="QVN106" s="17"/>
      <c r="QVO106" s="17"/>
      <c r="QVP106" s="17"/>
      <c r="QVQ106" s="17"/>
      <c r="QVR106" s="17"/>
      <c r="QVS106" s="17"/>
      <c r="QVT106" s="17"/>
      <c r="QVU106" s="17"/>
      <c r="QVV106" s="17"/>
      <c r="QVW106" s="17"/>
      <c r="QVX106" s="17"/>
      <c r="QVY106" s="17"/>
      <c r="QVZ106" s="17"/>
      <c r="QWA106" s="17"/>
      <c r="QWB106" s="17"/>
      <c r="QWC106" s="17"/>
      <c r="QWD106" s="17"/>
      <c r="QWE106" s="17"/>
      <c r="QWF106" s="17"/>
      <c r="QWG106" s="17"/>
      <c r="QWH106" s="17"/>
      <c r="QWI106" s="17"/>
      <c r="QWJ106" s="17"/>
      <c r="QWK106" s="17"/>
      <c r="QWL106" s="17"/>
      <c r="QWM106" s="17"/>
      <c r="QWN106" s="17"/>
      <c r="QWO106" s="17"/>
      <c r="QWP106" s="17"/>
      <c r="QWQ106" s="17"/>
      <c r="QWR106" s="17"/>
      <c r="QWS106" s="17"/>
      <c r="QWT106" s="17"/>
      <c r="QWU106" s="17"/>
      <c r="QWV106" s="17"/>
      <c r="QWW106" s="17"/>
      <c r="QWX106" s="17"/>
      <c r="QWY106" s="17"/>
      <c r="QWZ106" s="17"/>
      <c r="QXA106" s="17"/>
      <c r="QXB106" s="17"/>
      <c r="QXC106" s="17"/>
      <c r="QXD106" s="17"/>
      <c r="QXE106" s="17"/>
      <c r="QXF106" s="17"/>
      <c r="QXG106" s="17"/>
      <c r="QXH106" s="17"/>
      <c r="QXI106" s="17"/>
      <c r="QXJ106" s="17"/>
      <c r="QXK106" s="17"/>
      <c r="QXL106" s="17"/>
      <c r="QXM106" s="17"/>
      <c r="QXN106" s="17"/>
      <c r="QXO106" s="17"/>
      <c r="QXP106" s="17"/>
      <c r="QXQ106" s="17"/>
      <c r="QXR106" s="17"/>
      <c r="QXS106" s="17"/>
      <c r="QXT106" s="17"/>
      <c r="QXU106" s="17"/>
      <c r="QXV106" s="17"/>
      <c r="QXW106" s="17"/>
      <c r="QXX106" s="17"/>
      <c r="QXY106" s="17"/>
      <c r="QXZ106" s="17"/>
      <c r="QYA106" s="17"/>
      <c r="QYB106" s="17"/>
      <c r="QYC106" s="17"/>
      <c r="QYD106" s="17"/>
      <c r="QYE106" s="17"/>
      <c r="QYF106" s="17"/>
      <c r="QYG106" s="17"/>
      <c r="QYH106" s="17"/>
      <c r="QYI106" s="17"/>
      <c r="QYJ106" s="17"/>
      <c r="QYK106" s="17"/>
      <c r="QYL106" s="17"/>
      <c r="QYM106" s="17"/>
      <c r="QYN106" s="17"/>
      <c r="QYO106" s="17"/>
      <c r="QYP106" s="17"/>
      <c r="QYQ106" s="17"/>
      <c r="QYR106" s="17"/>
      <c r="QYS106" s="17"/>
      <c r="QYT106" s="17"/>
      <c r="QYU106" s="17"/>
      <c r="QYV106" s="17"/>
      <c r="QYW106" s="17"/>
      <c r="QYX106" s="17"/>
      <c r="QYY106" s="17"/>
      <c r="QYZ106" s="17"/>
      <c r="QZA106" s="17"/>
      <c r="QZB106" s="17"/>
      <c r="QZC106" s="17"/>
      <c r="QZD106" s="17"/>
      <c r="QZE106" s="17"/>
      <c r="QZF106" s="17"/>
      <c r="QZG106" s="17"/>
      <c r="QZH106" s="17"/>
      <c r="QZI106" s="17"/>
      <c r="QZJ106" s="17"/>
      <c r="QZK106" s="17"/>
      <c r="QZL106" s="17"/>
      <c r="QZM106" s="17"/>
      <c r="QZN106" s="17"/>
      <c r="QZO106" s="17"/>
      <c r="QZP106" s="17"/>
      <c r="QZQ106" s="17"/>
      <c r="QZR106" s="17"/>
      <c r="QZS106" s="17"/>
      <c r="QZT106" s="17"/>
      <c r="QZU106" s="17"/>
      <c r="QZV106" s="17"/>
      <c r="QZW106" s="17"/>
      <c r="QZX106" s="17"/>
      <c r="QZY106" s="17"/>
      <c r="QZZ106" s="17"/>
      <c r="RAA106" s="17"/>
      <c r="RAB106" s="17"/>
      <c r="RAC106" s="17"/>
      <c r="RAD106" s="17"/>
      <c r="RAE106" s="17"/>
      <c r="RAF106" s="17"/>
      <c r="RAG106" s="17"/>
      <c r="RAH106" s="17"/>
      <c r="RAI106" s="17"/>
      <c r="RAJ106" s="17"/>
      <c r="RAK106" s="17"/>
      <c r="RAL106" s="17"/>
      <c r="RAM106" s="17"/>
      <c r="RAN106" s="17"/>
      <c r="RAO106" s="17"/>
      <c r="RAP106" s="17"/>
      <c r="RAQ106" s="17"/>
      <c r="RAR106" s="17"/>
      <c r="RAS106" s="17"/>
      <c r="RAT106" s="17"/>
      <c r="RAU106" s="17"/>
      <c r="RAV106" s="17"/>
      <c r="RAW106" s="17"/>
      <c r="RAX106" s="17"/>
      <c r="RAY106" s="17"/>
      <c r="RAZ106" s="17"/>
      <c r="RBA106" s="17"/>
      <c r="RBB106" s="17"/>
      <c r="RBC106" s="17"/>
      <c r="RBD106" s="17"/>
      <c r="RBE106" s="17"/>
      <c r="RBF106" s="17"/>
      <c r="RBG106" s="17"/>
      <c r="RBH106" s="17"/>
      <c r="RBI106" s="17"/>
      <c r="RBJ106" s="17"/>
      <c r="RBK106" s="17"/>
      <c r="RBL106" s="17"/>
      <c r="RBM106" s="17"/>
      <c r="RBN106" s="17"/>
      <c r="RBO106" s="17"/>
      <c r="RBP106" s="17"/>
      <c r="RBQ106" s="17"/>
      <c r="RBR106" s="17"/>
      <c r="RBS106" s="17"/>
      <c r="RBT106" s="17"/>
      <c r="RBU106" s="17"/>
      <c r="RBV106" s="17"/>
      <c r="RBW106" s="17"/>
      <c r="RBX106" s="17"/>
      <c r="RBY106" s="17"/>
      <c r="RBZ106" s="17"/>
      <c r="RCA106" s="17"/>
      <c r="RCB106" s="17"/>
      <c r="RCC106" s="17"/>
      <c r="RCD106" s="17"/>
      <c r="RCE106" s="17"/>
      <c r="RCF106" s="17"/>
      <c r="RCG106" s="17"/>
      <c r="RCH106" s="17"/>
      <c r="RCI106" s="17"/>
      <c r="RCJ106" s="17"/>
      <c r="RCK106" s="17"/>
      <c r="RCL106" s="17"/>
      <c r="RCM106" s="17"/>
      <c r="RCN106" s="17"/>
      <c r="RCO106" s="17"/>
      <c r="RCP106" s="17"/>
      <c r="RCQ106" s="17"/>
      <c r="RCR106" s="17"/>
      <c r="RCS106" s="17"/>
      <c r="RCT106" s="17"/>
      <c r="RCU106" s="17"/>
      <c r="RCV106" s="17"/>
      <c r="RCW106" s="17"/>
      <c r="RCX106" s="17"/>
      <c r="RCY106" s="17"/>
      <c r="RCZ106" s="17"/>
      <c r="RDA106" s="17"/>
      <c r="RDB106" s="17"/>
      <c r="RDC106" s="17"/>
      <c r="RDD106" s="17"/>
      <c r="RDE106" s="17"/>
      <c r="RDF106" s="17"/>
      <c r="RDG106" s="17"/>
      <c r="RDH106" s="17"/>
      <c r="RDI106" s="17"/>
      <c r="RDJ106" s="17"/>
      <c r="RDK106" s="17"/>
      <c r="RDL106" s="17"/>
      <c r="RDM106" s="17"/>
      <c r="RDN106" s="17"/>
      <c r="RDO106" s="17"/>
      <c r="RDP106" s="17"/>
      <c r="RDQ106" s="17"/>
      <c r="RDR106" s="17"/>
      <c r="RDS106" s="17"/>
      <c r="RDT106" s="17"/>
      <c r="RDU106" s="17"/>
      <c r="RDV106" s="17"/>
      <c r="RDW106" s="17"/>
      <c r="RDX106" s="17"/>
      <c r="RDY106" s="17"/>
      <c r="RDZ106" s="17"/>
      <c r="REA106" s="17"/>
      <c r="REB106" s="17"/>
      <c r="REC106" s="17"/>
      <c r="RED106" s="17"/>
      <c r="REE106" s="17"/>
      <c r="REF106" s="17"/>
      <c r="REG106" s="17"/>
      <c r="REH106" s="17"/>
      <c r="REI106" s="17"/>
      <c r="REJ106" s="17"/>
      <c r="REK106" s="17"/>
      <c r="REL106" s="17"/>
      <c r="REM106" s="17"/>
      <c r="REN106" s="17"/>
      <c r="REO106" s="17"/>
      <c r="REP106" s="17"/>
      <c r="REQ106" s="17"/>
      <c r="RER106" s="17"/>
      <c r="RES106" s="17"/>
      <c r="RET106" s="17"/>
      <c r="REU106" s="17"/>
      <c r="REV106" s="17"/>
      <c r="REW106" s="17"/>
      <c r="REX106" s="17"/>
      <c r="REY106" s="17"/>
      <c r="REZ106" s="17"/>
      <c r="RFA106" s="17"/>
      <c r="RFB106" s="17"/>
      <c r="RFC106" s="17"/>
      <c r="RFD106" s="17"/>
      <c r="RFE106" s="17"/>
      <c r="RFF106" s="17"/>
      <c r="RFG106" s="17"/>
      <c r="RFH106" s="17"/>
      <c r="RFI106" s="17"/>
      <c r="RFJ106" s="17"/>
      <c r="RFK106" s="17"/>
      <c r="RFL106" s="17"/>
      <c r="RFM106" s="17"/>
      <c r="RFN106" s="17"/>
      <c r="RFO106" s="17"/>
      <c r="RFP106" s="17"/>
      <c r="RFQ106" s="17"/>
      <c r="RFR106" s="17"/>
      <c r="RFS106" s="17"/>
      <c r="RFT106" s="17"/>
      <c r="RFU106" s="17"/>
      <c r="RFV106" s="17"/>
      <c r="RFW106" s="17"/>
      <c r="RFX106" s="17"/>
      <c r="RFY106" s="17"/>
      <c r="RFZ106" s="17"/>
      <c r="RGA106" s="17"/>
      <c r="RGB106" s="17"/>
      <c r="RGC106" s="17"/>
      <c r="RGD106" s="17"/>
      <c r="RGE106" s="17"/>
      <c r="RGF106" s="17"/>
      <c r="RGG106" s="17"/>
      <c r="RGH106" s="17"/>
      <c r="RGI106" s="17"/>
      <c r="RGJ106" s="17"/>
      <c r="RGK106" s="17"/>
      <c r="RGL106" s="17"/>
      <c r="RGM106" s="17"/>
      <c r="RGN106" s="17"/>
      <c r="RGO106" s="17"/>
      <c r="RGP106" s="17"/>
      <c r="RGQ106" s="17"/>
      <c r="RGR106" s="17"/>
      <c r="RGS106" s="17"/>
      <c r="RGT106" s="17"/>
      <c r="RGU106" s="17"/>
      <c r="RGV106" s="17"/>
      <c r="RGW106" s="17"/>
      <c r="RGX106" s="17"/>
      <c r="RGY106" s="17"/>
      <c r="RGZ106" s="17"/>
      <c r="RHA106" s="17"/>
      <c r="RHB106" s="17"/>
      <c r="RHC106" s="17"/>
      <c r="RHD106" s="17"/>
      <c r="RHE106" s="17"/>
      <c r="RHF106" s="17"/>
      <c r="RHG106" s="17"/>
      <c r="RHH106" s="17"/>
      <c r="RHI106" s="17"/>
      <c r="RHJ106" s="17"/>
      <c r="RHK106" s="17"/>
      <c r="RHL106" s="17"/>
      <c r="RHM106" s="17"/>
      <c r="RHN106" s="17"/>
      <c r="RHO106" s="17"/>
      <c r="RHP106" s="17"/>
      <c r="RHQ106" s="17"/>
      <c r="RHR106" s="17"/>
      <c r="RHS106" s="17"/>
      <c r="RHT106" s="17"/>
      <c r="RHU106" s="17"/>
      <c r="RHV106" s="17"/>
      <c r="RHW106" s="17"/>
      <c r="RHX106" s="17"/>
      <c r="RHY106" s="17"/>
      <c r="RHZ106" s="17"/>
      <c r="RIA106" s="17"/>
      <c r="RIB106" s="17"/>
      <c r="RIC106" s="17"/>
      <c r="RID106" s="17"/>
      <c r="RIE106" s="17"/>
      <c r="RIF106" s="17"/>
      <c r="RIG106" s="17"/>
      <c r="RIH106" s="17"/>
      <c r="RII106" s="17"/>
      <c r="RIJ106" s="17"/>
      <c r="RIK106" s="17"/>
      <c r="RIL106" s="17"/>
      <c r="RIM106" s="17"/>
      <c r="RIN106" s="17"/>
      <c r="RIO106" s="17"/>
      <c r="RIP106" s="17"/>
      <c r="RIQ106" s="17"/>
      <c r="RIR106" s="17"/>
      <c r="RIS106" s="17"/>
      <c r="RIT106" s="17"/>
      <c r="RIU106" s="17"/>
      <c r="RIV106" s="17"/>
      <c r="RIW106" s="17"/>
      <c r="RIX106" s="17"/>
      <c r="RIY106" s="17"/>
      <c r="RIZ106" s="17"/>
      <c r="RJA106" s="17"/>
      <c r="RJB106" s="17"/>
      <c r="RJC106" s="17"/>
      <c r="RJD106" s="17"/>
      <c r="RJE106" s="17"/>
      <c r="RJF106" s="17"/>
      <c r="RJG106" s="17"/>
      <c r="RJH106" s="17"/>
      <c r="RJI106" s="17"/>
      <c r="RJJ106" s="17"/>
      <c r="RJK106" s="17"/>
      <c r="RJL106" s="17"/>
      <c r="RJM106" s="17"/>
      <c r="RJN106" s="17"/>
      <c r="RJO106" s="17"/>
      <c r="RJP106" s="17"/>
      <c r="RJQ106" s="17"/>
      <c r="RJR106" s="17"/>
      <c r="RJS106" s="17"/>
      <c r="RJT106" s="17"/>
      <c r="RJU106" s="17"/>
      <c r="RJV106" s="17"/>
      <c r="RJW106" s="17"/>
      <c r="RJX106" s="17"/>
      <c r="RJY106" s="17"/>
      <c r="RJZ106" s="17"/>
      <c r="RKA106" s="17"/>
      <c r="RKB106" s="17"/>
      <c r="RKC106" s="17"/>
      <c r="RKD106" s="17"/>
      <c r="RKE106" s="17"/>
      <c r="RKF106" s="17"/>
      <c r="RKG106" s="17"/>
      <c r="RKH106" s="17"/>
      <c r="RKI106" s="17"/>
      <c r="RKJ106" s="17"/>
      <c r="RKK106" s="17"/>
      <c r="RKL106" s="17"/>
      <c r="RKM106" s="17"/>
      <c r="RKN106" s="17"/>
      <c r="RKO106" s="17"/>
      <c r="RKP106" s="17"/>
      <c r="RKQ106" s="17"/>
      <c r="RKR106" s="17"/>
      <c r="RKS106" s="17"/>
      <c r="RKT106" s="17"/>
      <c r="RKU106" s="17"/>
      <c r="RKV106" s="17"/>
      <c r="RKW106" s="17"/>
      <c r="RKX106" s="17"/>
      <c r="RKY106" s="17"/>
      <c r="RKZ106" s="17"/>
      <c r="RLA106" s="17"/>
      <c r="RLB106" s="17"/>
      <c r="RLC106" s="17"/>
      <c r="RLD106" s="17"/>
      <c r="RLE106" s="17"/>
      <c r="RLF106" s="17"/>
      <c r="RLG106" s="17"/>
      <c r="RLH106" s="17"/>
      <c r="RLI106" s="17"/>
      <c r="RLJ106" s="17"/>
      <c r="RLK106" s="17"/>
      <c r="RLL106" s="17"/>
      <c r="RLM106" s="17"/>
      <c r="RLN106" s="17"/>
      <c r="RLO106" s="17"/>
      <c r="RLP106" s="17"/>
      <c r="RLQ106" s="17"/>
      <c r="RLR106" s="17"/>
      <c r="RLS106" s="17"/>
      <c r="RLT106" s="17"/>
      <c r="RLU106" s="17"/>
      <c r="RLV106" s="17"/>
      <c r="RLW106" s="17"/>
      <c r="RLX106" s="17"/>
      <c r="RLY106" s="17"/>
      <c r="RLZ106" s="17"/>
      <c r="RMA106" s="17"/>
      <c r="RMB106" s="17"/>
      <c r="RMC106" s="17"/>
      <c r="RMD106" s="17"/>
      <c r="RME106" s="17"/>
      <c r="RMF106" s="17"/>
      <c r="RMG106" s="17"/>
      <c r="RMH106" s="17"/>
      <c r="RMI106" s="17"/>
      <c r="RMJ106" s="17"/>
      <c r="RMK106" s="17"/>
      <c r="RML106" s="17"/>
      <c r="RMM106" s="17"/>
      <c r="RMN106" s="17"/>
      <c r="RMO106" s="17"/>
      <c r="RMP106" s="17"/>
      <c r="RMQ106" s="17"/>
      <c r="RMR106" s="17"/>
      <c r="RMS106" s="17"/>
      <c r="RMT106" s="17"/>
      <c r="RMU106" s="17"/>
      <c r="RMV106" s="17"/>
      <c r="RMW106" s="17"/>
      <c r="RMX106" s="17"/>
      <c r="RMY106" s="17"/>
      <c r="RMZ106" s="17"/>
      <c r="RNA106" s="17"/>
      <c r="RNB106" s="17"/>
      <c r="RNC106" s="17"/>
      <c r="RND106" s="17"/>
      <c r="RNE106" s="17"/>
      <c r="RNF106" s="17"/>
      <c r="RNG106" s="17"/>
      <c r="RNH106" s="17"/>
      <c r="RNI106" s="17"/>
      <c r="RNJ106" s="17"/>
      <c r="RNK106" s="17"/>
      <c r="RNL106" s="17"/>
      <c r="RNM106" s="17"/>
      <c r="RNN106" s="17"/>
      <c r="RNO106" s="17"/>
      <c r="RNP106" s="17"/>
      <c r="RNQ106" s="17"/>
      <c r="RNR106" s="17"/>
      <c r="RNS106" s="17"/>
      <c r="RNT106" s="17"/>
      <c r="RNU106" s="17"/>
      <c r="RNV106" s="17"/>
      <c r="RNW106" s="17"/>
      <c r="RNX106" s="17"/>
      <c r="RNY106" s="17"/>
      <c r="RNZ106" s="17"/>
      <c r="ROA106" s="17"/>
      <c r="ROB106" s="17"/>
      <c r="ROC106" s="17"/>
      <c r="ROD106" s="17"/>
      <c r="ROE106" s="17"/>
      <c r="ROF106" s="17"/>
      <c r="ROG106" s="17"/>
      <c r="ROH106" s="17"/>
      <c r="ROI106" s="17"/>
      <c r="ROJ106" s="17"/>
      <c r="ROK106" s="17"/>
      <c r="ROL106" s="17"/>
      <c r="ROM106" s="17"/>
      <c r="RON106" s="17"/>
      <c r="ROO106" s="17"/>
      <c r="ROP106" s="17"/>
      <c r="ROQ106" s="17"/>
      <c r="ROR106" s="17"/>
      <c r="ROS106" s="17"/>
      <c r="ROT106" s="17"/>
      <c r="ROU106" s="17"/>
      <c r="ROV106" s="17"/>
      <c r="ROW106" s="17"/>
      <c r="ROX106" s="17"/>
      <c r="ROY106" s="17"/>
      <c r="ROZ106" s="17"/>
      <c r="RPA106" s="17"/>
      <c r="RPB106" s="17"/>
      <c r="RPC106" s="17"/>
      <c r="RPD106" s="17"/>
      <c r="RPE106" s="17"/>
      <c r="RPF106" s="17"/>
      <c r="RPG106" s="17"/>
      <c r="RPH106" s="17"/>
      <c r="RPI106" s="17"/>
      <c r="RPJ106" s="17"/>
      <c r="RPK106" s="17"/>
      <c r="RPL106" s="17"/>
      <c r="RPM106" s="17"/>
      <c r="RPN106" s="17"/>
      <c r="RPO106" s="17"/>
      <c r="RPP106" s="17"/>
      <c r="RPQ106" s="17"/>
      <c r="RPR106" s="17"/>
      <c r="RPS106" s="17"/>
      <c r="RPT106" s="17"/>
      <c r="RPU106" s="17"/>
      <c r="RPV106" s="17"/>
      <c r="RPW106" s="17"/>
      <c r="RPX106" s="17"/>
      <c r="RPY106" s="17"/>
      <c r="RPZ106" s="17"/>
      <c r="RQA106" s="17"/>
      <c r="RQB106" s="17"/>
      <c r="RQC106" s="17"/>
      <c r="RQD106" s="17"/>
      <c r="RQE106" s="17"/>
      <c r="RQF106" s="17"/>
      <c r="RQG106" s="17"/>
      <c r="RQH106" s="17"/>
      <c r="RQI106" s="17"/>
      <c r="RQJ106" s="17"/>
      <c r="RQK106" s="17"/>
      <c r="RQL106" s="17"/>
      <c r="RQM106" s="17"/>
      <c r="RQN106" s="17"/>
      <c r="RQO106" s="17"/>
      <c r="RQP106" s="17"/>
      <c r="RQQ106" s="17"/>
      <c r="RQR106" s="17"/>
      <c r="RQS106" s="17"/>
      <c r="RQT106" s="17"/>
      <c r="RQU106" s="17"/>
      <c r="RQV106" s="17"/>
      <c r="RQW106" s="17"/>
      <c r="RQX106" s="17"/>
      <c r="RQY106" s="17"/>
      <c r="RQZ106" s="17"/>
      <c r="RRA106" s="17"/>
      <c r="RRB106" s="17"/>
      <c r="RRC106" s="17"/>
      <c r="RRD106" s="17"/>
      <c r="RRE106" s="17"/>
      <c r="RRF106" s="17"/>
      <c r="RRG106" s="17"/>
      <c r="RRH106" s="17"/>
      <c r="RRI106" s="17"/>
      <c r="RRJ106" s="17"/>
      <c r="RRK106" s="17"/>
      <c r="RRL106" s="17"/>
      <c r="RRM106" s="17"/>
      <c r="RRN106" s="17"/>
      <c r="RRO106" s="17"/>
      <c r="RRP106" s="17"/>
      <c r="RRQ106" s="17"/>
      <c r="RRR106" s="17"/>
      <c r="RRS106" s="17"/>
      <c r="RRT106" s="17"/>
      <c r="RRU106" s="17"/>
      <c r="RRV106" s="17"/>
      <c r="RRW106" s="17"/>
      <c r="RRX106" s="17"/>
      <c r="RRY106" s="17"/>
      <c r="RRZ106" s="17"/>
      <c r="RSA106" s="17"/>
      <c r="RSB106" s="17"/>
      <c r="RSC106" s="17"/>
      <c r="RSD106" s="17"/>
      <c r="RSE106" s="17"/>
      <c r="RSF106" s="17"/>
      <c r="RSG106" s="17"/>
      <c r="RSH106" s="17"/>
      <c r="RSI106" s="17"/>
      <c r="RSJ106" s="17"/>
      <c r="RSK106" s="17"/>
      <c r="RSL106" s="17"/>
      <c r="RSM106" s="17"/>
      <c r="RSN106" s="17"/>
      <c r="RSO106" s="17"/>
      <c r="RSP106" s="17"/>
      <c r="RSQ106" s="17"/>
      <c r="RSR106" s="17"/>
      <c r="RSS106" s="17"/>
      <c r="RST106" s="17"/>
      <c r="RSU106" s="17"/>
      <c r="RSV106" s="17"/>
      <c r="RSW106" s="17"/>
      <c r="RSX106" s="17"/>
      <c r="RSY106" s="17"/>
      <c r="RSZ106" s="17"/>
      <c r="RTA106" s="17"/>
      <c r="RTB106" s="17"/>
      <c r="RTC106" s="17"/>
      <c r="RTD106" s="17"/>
      <c r="RTE106" s="17"/>
      <c r="RTF106" s="17"/>
      <c r="RTG106" s="17"/>
      <c r="RTH106" s="17"/>
      <c r="RTI106" s="17"/>
      <c r="RTJ106" s="17"/>
      <c r="RTK106" s="17"/>
      <c r="RTL106" s="17"/>
      <c r="RTM106" s="17"/>
      <c r="RTN106" s="17"/>
      <c r="RTO106" s="17"/>
      <c r="RTP106" s="17"/>
      <c r="RTQ106" s="17"/>
      <c r="RTR106" s="17"/>
      <c r="RTS106" s="17"/>
      <c r="RTT106" s="17"/>
      <c r="RTU106" s="17"/>
      <c r="RTV106" s="17"/>
      <c r="RTW106" s="17"/>
      <c r="RTX106" s="17"/>
      <c r="RTY106" s="17"/>
      <c r="RTZ106" s="17"/>
      <c r="RUA106" s="17"/>
      <c r="RUB106" s="17"/>
      <c r="RUC106" s="17"/>
      <c r="RUD106" s="17"/>
      <c r="RUE106" s="17"/>
      <c r="RUF106" s="17"/>
      <c r="RUG106" s="17"/>
      <c r="RUH106" s="17"/>
      <c r="RUI106" s="17"/>
      <c r="RUJ106" s="17"/>
      <c r="RUK106" s="17"/>
      <c r="RUL106" s="17"/>
      <c r="RUM106" s="17"/>
      <c r="RUN106" s="17"/>
      <c r="RUO106" s="17"/>
      <c r="RUP106" s="17"/>
      <c r="RUQ106" s="17"/>
      <c r="RUR106" s="17"/>
      <c r="RUS106" s="17"/>
      <c r="RUT106" s="17"/>
      <c r="RUU106" s="17"/>
      <c r="RUV106" s="17"/>
      <c r="RUW106" s="17"/>
      <c r="RUX106" s="17"/>
      <c r="RUY106" s="17"/>
      <c r="RUZ106" s="17"/>
      <c r="RVA106" s="17"/>
      <c r="RVB106" s="17"/>
      <c r="RVC106" s="17"/>
      <c r="RVD106" s="17"/>
      <c r="RVE106" s="17"/>
      <c r="RVF106" s="17"/>
      <c r="RVG106" s="17"/>
      <c r="RVH106" s="17"/>
      <c r="RVI106" s="17"/>
      <c r="RVJ106" s="17"/>
      <c r="RVK106" s="17"/>
      <c r="RVL106" s="17"/>
      <c r="RVM106" s="17"/>
      <c r="RVN106" s="17"/>
      <c r="RVO106" s="17"/>
      <c r="RVP106" s="17"/>
      <c r="RVQ106" s="17"/>
      <c r="RVR106" s="17"/>
      <c r="RVS106" s="17"/>
      <c r="RVT106" s="17"/>
      <c r="RVU106" s="17"/>
      <c r="RVV106" s="17"/>
      <c r="RVW106" s="17"/>
      <c r="RVX106" s="17"/>
      <c r="RVY106" s="17"/>
      <c r="RVZ106" s="17"/>
      <c r="RWA106" s="17"/>
      <c r="RWB106" s="17"/>
      <c r="RWC106" s="17"/>
      <c r="RWD106" s="17"/>
      <c r="RWE106" s="17"/>
      <c r="RWF106" s="17"/>
      <c r="RWG106" s="17"/>
      <c r="RWH106" s="17"/>
      <c r="RWI106" s="17"/>
      <c r="RWJ106" s="17"/>
      <c r="RWK106" s="17"/>
      <c r="RWL106" s="17"/>
      <c r="RWM106" s="17"/>
      <c r="RWN106" s="17"/>
      <c r="RWO106" s="17"/>
      <c r="RWP106" s="17"/>
      <c r="RWQ106" s="17"/>
      <c r="RWR106" s="17"/>
      <c r="RWS106" s="17"/>
      <c r="RWT106" s="17"/>
      <c r="RWU106" s="17"/>
      <c r="RWV106" s="17"/>
      <c r="RWW106" s="17"/>
      <c r="RWX106" s="17"/>
      <c r="RWY106" s="17"/>
      <c r="RWZ106" s="17"/>
      <c r="RXA106" s="17"/>
      <c r="RXB106" s="17"/>
      <c r="RXC106" s="17"/>
      <c r="RXD106" s="17"/>
      <c r="RXE106" s="17"/>
      <c r="RXF106" s="17"/>
      <c r="RXG106" s="17"/>
      <c r="RXH106" s="17"/>
      <c r="RXI106" s="17"/>
      <c r="RXJ106" s="17"/>
      <c r="RXK106" s="17"/>
      <c r="RXL106" s="17"/>
      <c r="RXM106" s="17"/>
      <c r="RXN106" s="17"/>
      <c r="RXO106" s="17"/>
      <c r="RXP106" s="17"/>
      <c r="RXQ106" s="17"/>
      <c r="RXR106" s="17"/>
      <c r="RXS106" s="17"/>
      <c r="RXT106" s="17"/>
      <c r="RXU106" s="17"/>
      <c r="RXV106" s="17"/>
      <c r="RXW106" s="17"/>
      <c r="RXX106" s="17"/>
      <c r="RXY106" s="17"/>
      <c r="RXZ106" s="17"/>
      <c r="RYA106" s="17"/>
      <c r="RYB106" s="17"/>
      <c r="RYC106" s="17"/>
      <c r="RYD106" s="17"/>
      <c r="RYE106" s="17"/>
      <c r="RYF106" s="17"/>
      <c r="RYG106" s="17"/>
      <c r="RYH106" s="17"/>
      <c r="RYI106" s="17"/>
      <c r="RYJ106" s="17"/>
      <c r="RYK106" s="17"/>
      <c r="RYL106" s="17"/>
      <c r="RYM106" s="17"/>
      <c r="RYN106" s="17"/>
      <c r="RYO106" s="17"/>
      <c r="RYP106" s="17"/>
      <c r="RYQ106" s="17"/>
      <c r="RYR106" s="17"/>
      <c r="RYS106" s="17"/>
      <c r="RYT106" s="17"/>
      <c r="RYU106" s="17"/>
      <c r="RYV106" s="17"/>
      <c r="RYW106" s="17"/>
      <c r="RYX106" s="17"/>
      <c r="RYY106" s="17"/>
      <c r="RYZ106" s="17"/>
      <c r="RZA106" s="17"/>
      <c r="RZB106" s="17"/>
      <c r="RZC106" s="17"/>
      <c r="RZD106" s="17"/>
      <c r="RZE106" s="17"/>
      <c r="RZF106" s="17"/>
      <c r="RZG106" s="17"/>
      <c r="RZH106" s="17"/>
      <c r="RZI106" s="17"/>
      <c r="RZJ106" s="17"/>
      <c r="RZK106" s="17"/>
      <c r="RZL106" s="17"/>
      <c r="RZM106" s="17"/>
      <c r="RZN106" s="17"/>
      <c r="RZO106" s="17"/>
      <c r="RZP106" s="17"/>
      <c r="RZQ106" s="17"/>
      <c r="RZR106" s="17"/>
      <c r="RZS106" s="17"/>
      <c r="RZT106" s="17"/>
      <c r="RZU106" s="17"/>
      <c r="RZV106" s="17"/>
      <c r="RZW106" s="17"/>
      <c r="RZX106" s="17"/>
      <c r="RZY106" s="17"/>
      <c r="RZZ106" s="17"/>
      <c r="SAA106" s="17"/>
      <c r="SAB106" s="17"/>
      <c r="SAC106" s="17"/>
      <c r="SAD106" s="17"/>
      <c r="SAE106" s="17"/>
      <c r="SAF106" s="17"/>
      <c r="SAG106" s="17"/>
      <c r="SAH106" s="17"/>
      <c r="SAI106" s="17"/>
      <c r="SAJ106" s="17"/>
      <c r="SAK106" s="17"/>
      <c r="SAL106" s="17"/>
      <c r="SAM106" s="17"/>
      <c r="SAN106" s="17"/>
      <c r="SAO106" s="17"/>
      <c r="SAP106" s="17"/>
      <c r="SAQ106" s="17"/>
      <c r="SAR106" s="17"/>
      <c r="SAS106" s="17"/>
      <c r="SAT106" s="17"/>
      <c r="SAU106" s="17"/>
      <c r="SAV106" s="17"/>
      <c r="SAW106" s="17"/>
      <c r="SAX106" s="17"/>
      <c r="SAY106" s="17"/>
      <c r="SAZ106" s="17"/>
      <c r="SBA106" s="17"/>
      <c r="SBB106" s="17"/>
      <c r="SBC106" s="17"/>
      <c r="SBD106" s="17"/>
      <c r="SBE106" s="17"/>
      <c r="SBF106" s="17"/>
      <c r="SBG106" s="17"/>
      <c r="SBH106" s="17"/>
      <c r="SBI106" s="17"/>
      <c r="SBJ106" s="17"/>
      <c r="SBK106" s="17"/>
      <c r="SBL106" s="17"/>
      <c r="SBM106" s="17"/>
      <c r="SBN106" s="17"/>
      <c r="SBO106" s="17"/>
      <c r="SBP106" s="17"/>
      <c r="SBQ106" s="17"/>
      <c r="SBR106" s="17"/>
      <c r="SBS106" s="17"/>
      <c r="SBT106" s="17"/>
      <c r="SBU106" s="17"/>
      <c r="SBV106" s="17"/>
      <c r="SBW106" s="17"/>
      <c r="SBX106" s="17"/>
      <c r="SBY106" s="17"/>
      <c r="SBZ106" s="17"/>
      <c r="SCA106" s="17"/>
      <c r="SCB106" s="17"/>
      <c r="SCC106" s="17"/>
      <c r="SCD106" s="17"/>
      <c r="SCE106" s="17"/>
      <c r="SCF106" s="17"/>
      <c r="SCG106" s="17"/>
      <c r="SCH106" s="17"/>
      <c r="SCI106" s="17"/>
      <c r="SCJ106" s="17"/>
      <c r="SCK106" s="17"/>
      <c r="SCL106" s="17"/>
      <c r="SCM106" s="17"/>
      <c r="SCN106" s="17"/>
      <c r="SCO106" s="17"/>
      <c r="SCP106" s="17"/>
      <c r="SCQ106" s="17"/>
      <c r="SCR106" s="17"/>
      <c r="SCS106" s="17"/>
      <c r="SCT106" s="17"/>
      <c r="SCU106" s="17"/>
      <c r="SCV106" s="17"/>
      <c r="SCW106" s="17"/>
      <c r="SCX106" s="17"/>
      <c r="SCY106" s="17"/>
      <c r="SCZ106" s="17"/>
      <c r="SDA106" s="17"/>
      <c r="SDB106" s="17"/>
      <c r="SDC106" s="17"/>
      <c r="SDD106" s="17"/>
      <c r="SDE106" s="17"/>
      <c r="SDF106" s="17"/>
      <c r="SDG106" s="17"/>
      <c r="SDH106" s="17"/>
      <c r="SDI106" s="17"/>
      <c r="SDJ106" s="17"/>
      <c r="SDK106" s="17"/>
      <c r="SDL106" s="17"/>
      <c r="SDM106" s="17"/>
      <c r="SDN106" s="17"/>
      <c r="SDO106" s="17"/>
      <c r="SDP106" s="17"/>
      <c r="SDQ106" s="17"/>
      <c r="SDR106" s="17"/>
      <c r="SDS106" s="17"/>
      <c r="SDT106" s="17"/>
      <c r="SDU106" s="17"/>
      <c r="SDV106" s="17"/>
      <c r="SDW106" s="17"/>
      <c r="SDX106" s="17"/>
      <c r="SDY106" s="17"/>
      <c r="SDZ106" s="17"/>
      <c r="SEA106" s="17"/>
      <c r="SEB106" s="17"/>
      <c r="SEC106" s="17"/>
      <c r="SED106" s="17"/>
      <c r="SEE106" s="17"/>
      <c r="SEF106" s="17"/>
      <c r="SEG106" s="17"/>
      <c r="SEH106" s="17"/>
      <c r="SEI106" s="17"/>
      <c r="SEJ106" s="17"/>
      <c r="SEK106" s="17"/>
      <c r="SEL106" s="17"/>
      <c r="SEM106" s="17"/>
      <c r="SEN106" s="17"/>
      <c r="SEO106" s="17"/>
      <c r="SEP106" s="17"/>
      <c r="SEQ106" s="17"/>
      <c r="SER106" s="17"/>
      <c r="SES106" s="17"/>
      <c r="SET106" s="17"/>
      <c r="SEU106" s="17"/>
      <c r="SEV106" s="17"/>
      <c r="SEW106" s="17"/>
      <c r="SEX106" s="17"/>
      <c r="SEY106" s="17"/>
      <c r="SEZ106" s="17"/>
      <c r="SFA106" s="17"/>
      <c r="SFB106" s="17"/>
      <c r="SFC106" s="17"/>
      <c r="SFD106" s="17"/>
      <c r="SFE106" s="17"/>
      <c r="SFF106" s="17"/>
      <c r="SFG106" s="17"/>
      <c r="SFH106" s="17"/>
      <c r="SFI106" s="17"/>
      <c r="SFJ106" s="17"/>
      <c r="SFK106" s="17"/>
      <c r="SFL106" s="17"/>
      <c r="SFM106" s="17"/>
      <c r="SFN106" s="17"/>
      <c r="SFO106" s="17"/>
      <c r="SFP106" s="17"/>
      <c r="SFQ106" s="17"/>
      <c r="SFR106" s="17"/>
      <c r="SFS106" s="17"/>
      <c r="SFT106" s="17"/>
      <c r="SFU106" s="17"/>
      <c r="SFV106" s="17"/>
      <c r="SFW106" s="17"/>
      <c r="SFX106" s="17"/>
      <c r="SFY106" s="17"/>
      <c r="SFZ106" s="17"/>
      <c r="SGA106" s="17"/>
      <c r="SGB106" s="17"/>
      <c r="SGC106" s="17"/>
      <c r="SGD106" s="17"/>
      <c r="SGE106" s="17"/>
      <c r="SGF106" s="17"/>
      <c r="SGG106" s="17"/>
      <c r="SGH106" s="17"/>
      <c r="SGI106" s="17"/>
      <c r="SGJ106" s="17"/>
      <c r="SGK106" s="17"/>
      <c r="SGL106" s="17"/>
      <c r="SGM106" s="17"/>
      <c r="SGN106" s="17"/>
      <c r="SGO106" s="17"/>
      <c r="SGP106" s="17"/>
      <c r="SGQ106" s="17"/>
      <c r="SGR106" s="17"/>
      <c r="SGS106" s="17"/>
      <c r="SGT106" s="17"/>
      <c r="SGU106" s="17"/>
      <c r="SGV106" s="17"/>
      <c r="SGW106" s="17"/>
      <c r="SGX106" s="17"/>
      <c r="SGY106" s="17"/>
      <c r="SGZ106" s="17"/>
      <c r="SHA106" s="17"/>
      <c r="SHB106" s="17"/>
      <c r="SHC106" s="17"/>
      <c r="SHD106" s="17"/>
      <c r="SHE106" s="17"/>
      <c r="SHF106" s="17"/>
      <c r="SHG106" s="17"/>
      <c r="SHH106" s="17"/>
      <c r="SHI106" s="17"/>
      <c r="SHJ106" s="17"/>
      <c r="SHK106" s="17"/>
      <c r="SHL106" s="17"/>
      <c r="SHM106" s="17"/>
      <c r="SHN106" s="17"/>
      <c r="SHO106" s="17"/>
      <c r="SHP106" s="17"/>
      <c r="SHQ106" s="17"/>
      <c r="SHR106" s="17"/>
      <c r="SHS106" s="17"/>
      <c r="SHT106" s="17"/>
      <c r="SHU106" s="17"/>
      <c r="SHV106" s="17"/>
      <c r="SHW106" s="17"/>
      <c r="SHX106" s="17"/>
      <c r="SHY106" s="17"/>
      <c r="SHZ106" s="17"/>
      <c r="SIA106" s="17"/>
      <c r="SIB106" s="17"/>
      <c r="SIC106" s="17"/>
      <c r="SID106" s="17"/>
      <c r="SIE106" s="17"/>
      <c r="SIF106" s="17"/>
      <c r="SIG106" s="17"/>
      <c r="SIH106" s="17"/>
      <c r="SII106" s="17"/>
      <c r="SIJ106" s="17"/>
      <c r="SIK106" s="17"/>
      <c r="SIL106" s="17"/>
      <c r="SIM106" s="17"/>
      <c r="SIN106" s="17"/>
      <c r="SIO106" s="17"/>
      <c r="SIP106" s="17"/>
      <c r="SIQ106" s="17"/>
      <c r="SIR106" s="17"/>
      <c r="SIS106" s="17"/>
      <c r="SIT106" s="17"/>
      <c r="SIU106" s="17"/>
      <c r="SIV106" s="17"/>
      <c r="SIW106" s="17"/>
      <c r="SIX106" s="17"/>
      <c r="SIY106" s="17"/>
      <c r="SIZ106" s="17"/>
      <c r="SJA106" s="17"/>
      <c r="SJB106" s="17"/>
      <c r="SJC106" s="17"/>
      <c r="SJD106" s="17"/>
      <c r="SJE106" s="17"/>
      <c r="SJF106" s="17"/>
      <c r="SJG106" s="17"/>
      <c r="SJH106" s="17"/>
      <c r="SJI106" s="17"/>
      <c r="SJJ106" s="17"/>
      <c r="SJK106" s="17"/>
      <c r="SJL106" s="17"/>
      <c r="SJM106" s="17"/>
      <c r="SJN106" s="17"/>
      <c r="SJO106" s="17"/>
      <c r="SJP106" s="17"/>
      <c r="SJQ106" s="17"/>
      <c r="SJR106" s="17"/>
      <c r="SJS106" s="17"/>
      <c r="SJT106" s="17"/>
      <c r="SJU106" s="17"/>
      <c r="SJV106" s="17"/>
      <c r="SJW106" s="17"/>
      <c r="SJX106" s="17"/>
      <c r="SJY106" s="17"/>
      <c r="SJZ106" s="17"/>
      <c r="SKA106" s="17"/>
      <c r="SKB106" s="17"/>
      <c r="SKC106" s="17"/>
      <c r="SKD106" s="17"/>
      <c r="SKE106" s="17"/>
      <c r="SKF106" s="17"/>
      <c r="SKG106" s="17"/>
      <c r="SKH106" s="17"/>
      <c r="SKI106" s="17"/>
      <c r="SKJ106" s="17"/>
      <c r="SKK106" s="17"/>
      <c r="SKL106" s="17"/>
      <c r="SKM106" s="17"/>
      <c r="SKN106" s="17"/>
      <c r="SKO106" s="17"/>
      <c r="SKP106" s="17"/>
      <c r="SKQ106" s="17"/>
      <c r="SKR106" s="17"/>
      <c r="SKS106" s="17"/>
      <c r="SKT106" s="17"/>
      <c r="SKU106" s="17"/>
      <c r="SKV106" s="17"/>
      <c r="SKW106" s="17"/>
      <c r="SKX106" s="17"/>
      <c r="SKY106" s="17"/>
      <c r="SKZ106" s="17"/>
      <c r="SLA106" s="17"/>
      <c r="SLB106" s="17"/>
      <c r="SLC106" s="17"/>
      <c r="SLD106" s="17"/>
      <c r="SLE106" s="17"/>
      <c r="SLF106" s="17"/>
      <c r="SLG106" s="17"/>
      <c r="SLH106" s="17"/>
      <c r="SLI106" s="17"/>
      <c r="SLJ106" s="17"/>
      <c r="SLK106" s="17"/>
      <c r="SLL106" s="17"/>
      <c r="SLM106" s="17"/>
      <c r="SLN106" s="17"/>
      <c r="SLO106" s="17"/>
      <c r="SLP106" s="17"/>
      <c r="SLQ106" s="17"/>
      <c r="SLR106" s="17"/>
      <c r="SLS106" s="17"/>
      <c r="SLT106" s="17"/>
      <c r="SLU106" s="17"/>
      <c r="SLV106" s="17"/>
      <c r="SLW106" s="17"/>
      <c r="SLX106" s="17"/>
      <c r="SLY106" s="17"/>
      <c r="SLZ106" s="17"/>
      <c r="SMA106" s="17"/>
      <c r="SMB106" s="17"/>
      <c r="SMC106" s="17"/>
      <c r="SMD106" s="17"/>
      <c r="SME106" s="17"/>
      <c r="SMF106" s="17"/>
      <c r="SMG106" s="17"/>
      <c r="SMH106" s="17"/>
      <c r="SMI106" s="17"/>
      <c r="SMJ106" s="17"/>
      <c r="SMK106" s="17"/>
      <c r="SML106" s="17"/>
      <c r="SMM106" s="17"/>
      <c r="SMN106" s="17"/>
      <c r="SMO106" s="17"/>
      <c r="SMP106" s="17"/>
      <c r="SMQ106" s="17"/>
      <c r="SMR106" s="17"/>
      <c r="SMS106" s="17"/>
      <c r="SMT106" s="17"/>
      <c r="SMU106" s="17"/>
      <c r="SMV106" s="17"/>
      <c r="SMW106" s="17"/>
      <c r="SMX106" s="17"/>
      <c r="SMY106" s="17"/>
      <c r="SMZ106" s="17"/>
      <c r="SNA106" s="17"/>
      <c r="SNB106" s="17"/>
      <c r="SNC106" s="17"/>
      <c r="SND106" s="17"/>
      <c r="SNE106" s="17"/>
      <c r="SNF106" s="17"/>
      <c r="SNG106" s="17"/>
      <c r="SNH106" s="17"/>
      <c r="SNI106" s="17"/>
      <c r="SNJ106" s="17"/>
      <c r="SNK106" s="17"/>
      <c r="SNL106" s="17"/>
      <c r="SNM106" s="17"/>
      <c r="SNN106" s="17"/>
      <c r="SNO106" s="17"/>
      <c r="SNP106" s="17"/>
      <c r="SNQ106" s="17"/>
      <c r="SNR106" s="17"/>
      <c r="SNS106" s="17"/>
      <c r="SNT106" s="17"/>
      <c r="SNU106" s="17"/>
      <c r="SNV106" s="17"/>
      <c r="SNW106" s="17"/>
      <c r="SNX106" s="17"/>
      <c r="SNY106" s="17"/>
      <c r="SNZ106" s="17"/>
      <c r="SOA106" s="17"/>
      <c r="SOB106" s="17"/>
      <c r="SOC106" s="17"/>
      <c r="SOD106" s="17"/>
      <c r="SOE106" s="17"/>
      <c r="SOF106" s="17"/>
      <c r="SOG106" s="17"/>
      <c r="SOH106" s="17"/>
      <c r="SOI106" s="17"/>
      <c r="SOJ106" s="17"/>
      <c r="SOK106" s="17"/>
      <c r="SOL106" s="17"/>
      <c r="SOM106" s="17"/>
      <c r="SON106" s="17"/>
      <c r="SOO106" s="17"/>
      <c r="SOP106" s="17"/>
      <c r="SOQ106" s="17"/>
      <c r="SOR106" s="17"/>
      <c r="SOS106" s="17"/>
      <c r="SOT106" s="17"/>
      <c r="SOU106" s="17"/>
      <c r="SOV106" s="17"/>
      <c r="SOW106" s="17"/>
      <c r="SOX106" s="17"/>
      <c r="SOY106" s="17"/>
      <c r="SOZ106" s="17"/>
      <c r="SPA106" s="17"/>
      <c r="SPB106" s="17"/>
      <c r="SPC106" s="17"/>
      <c r="SPD106" s="17"/>
      <c r="SPE106" s="17"/>
      <c r="SPF106" s="17"/>
      <c r="SPG106" s="17"/>
      <c r="SPH106" s="17"/>
      <c r="SPI106" s="17"/>
      <c r="SPJ106" s="17"/>
      <c r="SPK106" s="17"/>
      <c r="SPL106" s="17"/>
      <c r="SPM106" s="17"/>
      <c r="SPN106" s="17"/>
      <c r="SPO106" s="17"/>
      <c r="SPP106" s="17"/>
      <c r="SPQ106" s="17"/>
      <c r="SPR106" s="17"/>
      <c r="SPS106" s="17"/>
      <c r="SPT106" s="17"/>
      <c r="SPU106" s="17"/>
      <c r="SPV106" s="17"/>
      <c r="SPW106" s="17"/>
      <c r="SPX106" s="17"/>
      <c r="SPY106" s="17"/>
      <c r="SPZ106" s="17"/>
      <c r="SQA106" s="17"/>
      <c r="SQB106" s="17"/>
      <c r="SQC106" s="17"/>
      <c r="SQD106" s="17"/>
      <c r="SQE106" s="17"/>
      <c r="SQF106" s="17"/>
      <c r="SQG106" s="17"/>
      <c r="SQH106" s="17"/>
      <c r="SQI106" s="17"/>
      <c r="SQJ106" s="17"/>
      <c r="SQK106" s="17"/>
      <c r="SQL106" s="17"/>
      <c r="SQM106" s="17"/>
      <c r="SQN106" s="17"/>
      <c r="SQO106" s="17"/>
      <c r="SQP106" s="17"/>
      <c r="SQQ106" s="17"/>
      <c r="SQR106" s="17"/>
      <c r="SQS106" s="17"/>
      <c r="SQT106" s="17"/>
      <c r="SQU106" s="17"/>
      <c r="SQV106" s="17"/>
      <c r="SQW106" s="17"/>
      <c r="SQX106" s="17"/>
      <c r="SQY106" s="17"/>
      <c r="SQZ106" s="17"/>
      <c r="SRA106" s="17"/>
      <c r="SRB106" s="17"/>
      <c r="SRC106" s="17"/>
      <c r="SRD106" s="17"/>
      <c r="SRE106" s="17"/>
      <c r="SRF106" s="17"/>
      <c r="SRG106" s="17"/>
      <c r="SRH106" s="17"/>
      <c r="SRI106" s="17"/>
      <c r="SRJ106" s="17"/>
      <c r="SRK106" s="17"/>
      <c r="SRL106" s="17"/>
      <c r="SRM106" s="17"/>
      <c r="SRN106" s="17"/>
      <c r="SRO106" s="17"/>
      <c r="SRP106" s="17"/>
      <c r="SRQ106" s="17"/>
      <c r="SRR106" s="17"/>
      <c r="SRS106" s="17"/>
      <c r="SRT106" s="17"/>
      <c r="SRU106" s="17"/>
      <c r="SRV106" s="17"/>
      <c r="SRW106" s="17"/>
      <c r="SRX106" s="17"/>
      <c r="SRY106" s="17"/>
      <c r="SRZ106" s="17"/>
      <c r="SSA106" s="17"/>
      <c r="SSB106" s="17"/>
      <c r="SSC106" s="17"/>
      <c r="SSD106" s="17"/>
      <c r="SSE106" s="17"/>
      <c r="SSF106" s="17"/>
      <c r="SSG106" s="17"/>
      <c r="SSH106" s="17"/>
      <c r="SSI106" s="17"/>
      <c r="SSJ106" s="17"/>
      <c r="SSK106" s="17"/>
      <c r="SSL106" s="17"/>
      <c r="SSM106" s="17"/>
      <c r="SSN106" s="17"/>
      <c r="SSO106" s="17"/>
      <c r="SSP106" s="17"/>
      <c r="SSQ106" s="17"/>
      <c r="SSR106" s="17"/>
      <c r="SSS106" s="17"/>
      <c r="SST106" s="17"/>
      <c r="SSU106" s="17"/>
      <c r="SSV106" s="17"/>
      <c r="SSW106" s="17"/>
      <c r="SSX106" s="17"/>
      <c r="SSY106" s="17"/>
      <c r="SSZ106" s="17"/>
      <c r="STA106" s="17"/>
      <c r="STB106" s="17"/>
      <c r="STC106" s="17"/>
      <c r="STD106" s="17"/>
      <c r="STE106" s="17"/>
      <c r="STF106" s="17"/>
      <c r="STG106" s="17"/>
      <c r="STH106" s="17"/>
      <c r="STI106" s="17"/>
      <c r="STJ106" s="17"/>
      <c r="STK106" s="17"/>
      <c r="STL106" s="17"/>
      <c r="STM106" s="17"/>
      <c r="STN106" s="17"/>
      <c r="STO106" s="17"/>
      <c r="STP106" s="17"/>
      <c r="STQ106" s="17"/>
      <c r="STR106" s="17"/>
      <c r="STS106" s="17"/>
      <c r="STT106" s="17"/>
      <c r="STU106" s="17"/>
      <c r="STV106" s="17"/>
      <c r="STW106" s="17"/>
      <c r="STX106" s="17"/>
      <c r="STY106" s="17"/>
      <c r="STZ106" s="17"/>
      <c r="SUA106" s="17"/>
      <c r="SUB106" s="17"/>
      <c r="SUC106" s="17"/>
      <c r="SUD106" s="17"/>
      <c r="SUE106" s="17"/>
      <c r="SUF106" s="17"/>
      <c r="SUG106" s="17"/>
      <c r="SUH106" s="17"/>
      <c r="SUI106" s="17"/>
      <c r="SUJ106" s="17"/>
      <c r="SUK106" s="17"/>
      <c r="SUL106" s="17"/>
      <c r="SUM106" s="17"/>
      <c r="SUN106" s="17"/>
      <c r="SUO106" s="17"/>
      <c r="SUP106" s="17"/>
      <c r="SUQ106" s="17"/>
      <c r="SUR106" s="17"/>
      <c r="SUS106" s="17"/>
      <c r="SUT106" s="17"/>
      <c r="SUU106" s="17"/>
      <c r="SUV106" s="17"/>
      <c r="SUW106" s="17"/>
      <c r="SUX106" s="17"/>
      <c r="SUY106" s="17"/>
      <c r="SUZ106" s="17"/>
      <c r="SVA106" s="17"/>
      <c r="SVB106" s="17"/>
      <c r="SVC106" s="17"/>
      <c r="SVD106" s="17"/>
      <c r="SVE106" s="17"/>
      <c r="SVF106" s="17"/>
      <c r="SVG106" s="17"/>
      <c r="SVH106" s="17"/>
      <c r="SVI106" s="17"/>
      <c r="SVJ106" s="17"/>
      <c r="SVK106" s="17"/>
      <c r="SVL106" s="17"/>
      <c r="SVM106" s="17"/>
      <c r="SVN106" s="17"/>
      <c r="SVO106" s="17"/>
      <c r="SVP106" s="17"/>
      <c r="SVQ106" s="17"/>
      <c r="SVR106" s="17"/>
      <c r="SVS106" s="17"/>
      <c r="SVT106" s="17"/>
      <c r="SVU106" s="17"/>
      <c r="SVV106" s="17"/>
      <c r="SVW106" s="17"/>
      <c r="SVX106" s="17"/>
      <c r="SVY106" s="17"/>
      <c r="SVZ106" s="17"/>
      <c r="SWA106" s="17"/>
      <c r="SWB106" s="17"/>
      <c r="SWC106" s="17"/>
      <c r="SWD106" s="17"/>
      <c r="SWE106" s="17"/>
      <c r="SWF106" s="17"/>
      <c r="SWG106" s="17"/>
      <c r="SWH106" s="17"/>
      <c r="SWI106" s="17"/>
      <c r="SWJ106" s="17"/>
      <c r="SWK106" s="17"/>
      <c r="SWL106" s="17"/>
      <c r="SWM106" s="17"/>
      <c r="SWN106" s="17"/>
      <c r="SWO106" s="17"/>
      <c r="SWP106" s="17"/>
      <c r="SWQ106" s="17"/>
      <c r="SWR106" s="17"/>
      <c r="SWS106" s="17"/>
      <c r="SWT106" s="17"/>
      <c r="SWU106" s="17"/>
      <c r="SWV106" s="17"/>
      <c r="SWW106" s="17"/>
      <c r="SWX106" s="17"/>
      <c r="SWY106" s="17"/>
      <c r="SWZ106" s="17"/>
      <c r="SXA106" s="17"/>
      <c r="SXB106" s="17"/>
      <c r="SXC106" s="17"/>
      <c r="SXD106" s="17"/>
      <c r="SXE106" s="17"/>
      <c r="SXF106" s="17"/>
      <c r="SXG106" s="17"/>
      <c r="SXH106" s="17"/>
      <c r="SXI106" s="17"/>
      <c r="SXJ106" s="17"/>
      <c r="SXK106" s="17"/>
      <c r="SXL106" s="17"/>
      <c r="SXM106" s="17"/>
      <c r="SXN106" s="17"/>
      <c r="SXO106" s="17"/>
      <c r="SXP106" s="17"/>
      <c r="SXQ106" s="17"/>
      <c r="SXR106" s="17"/>
      <c r="SXS106" s="17"/>
      <c r="SXT106" s="17"/>
      <c r="SXU106" s="17"/>
      <c r="SXV106" s="17"/>
      <c r="SXW106" s="17"/>
      <c r="SXX106" s="17"/>
      <c r="SXY106" s="17"/>
      <c r="SXZ106" s="17"/>
      <c r="SYA106" s="17"/>
      <c r="SYB106" s="17"/>
      <c r="SYC106" s="17"/>
      <c r="SYD106" s="17"/>
      <c r="SYE106" s="17"/>
      <c r="SYF106" s="17"/>
      <c r="SYG106" s="17"/>
      <c r="SYH106" s="17"/>
      <c r="SYI106" s="17"/>
      <c r="SYJ106" s="17"/>
      <c r="SYK106" s="17"/>
      <c r="SYL106" s="17"/>
      <c r="SYM106" s="17"/>
      <c r="SYN106" s="17"/>
      <c r="SYO106" s="17"/>
      <c r="SYP106" s="17"/>
      <c r="SYQ106" s="17"/>
      <c r="SYR106" s="17"/>
      <c r="SYS106" s="17"/>
      <c r="SYT106" s="17"/>
      <c r="SYU106" s="17"/>
      <c r="SYV106" s="17"/>
      <c r="SYW106" s="17"/>
      <c r="SYX106" s="17"/>
      <c r="SYY106" s="17"/>
      <c r="SYZ106" s="17"/>
      <c r="SZA106" s="17"/>
      <c r="SZB106" s="17"/>
      <c r="SZC106" s="17"/>
      <c r="SZD106" s="17"/>
      <c r="SZE106" s="17"/>
      <c r="SZF106" s="17"/>
      <c r="SZG106" s="17"/>
      <c r="SZH106" s="17"/>
      <c r="SZI106" s="17"/>
      <c r="SZJ106" s="17"/>
      <c r="SZK106" s="17"/>
      <c r="SZL106" s="17"/>
      <c r="SZM106" s="17"/>
      <c r="SZN106" s="17"/>
      <c r="SZO106" s="17"/>
      <c r="SZP106" s="17"/>
      <c r="SZQ106" s="17"/>
      <c r="SZR106" s="17"/>
      <c r="SZS106" s="17"/>
      <c r="SZT106" s="17"/>
      <c r="SZU106" s="17"/>
      <c r="SZV106" s="17"/>
      <c r="SZW106" s="17"/>
      <c r="SZX106" s="17"/>
      <c r="SZY106" s="17"/>
      <c r="SZZ106" s="17"/>
      <c r="TAA106" s="17"/>
      <c r="TAB106" s="17"/>
      <c r="TAC106" s="17"/>
      <c r="TAD106" s="17"/>
      <c r="TAE106" s="17"/>
      <c r="TAF106" s="17"/>
      <c r="TAG106" s="17"/>
      <c r="TAH106" s="17"/>
      <c r="TAI106" s="17"/>
      <c r="TAJ106" s="17"/>
      <c r="TAK106" s="17"/>
      <c r="TAL106" s="17"/>
      <c r="TAM106" s="17"/>
      <c r="TAN106" s="17"/>
      <c r="TAO106" s="17"/>
      <c r="TAP106" s="17"/>
      <c r="TAQ106" s="17"/>
      <c r="TAR106" s="17"/>
      <c r="TAS106" s="17"/>
      <c r="TAT106" s="17"/>
      <c r="TAU106" s="17"/>
      <c r="TAV106" s="17"/>
      <c r="TAW106" s="17"/>
      <c r="TAX106" s="17"/>
      <c r="TAY106" s="17"/>
      <c r="TAZ106" s="17"/>
      <c r="TBA106" s="17"/>
      <c r="TBB106" s="17"/>
      <c r="TBC106" s="17"/>
      <c r="TBD106" s="17"/>
      <c r="TBE106" s="17"/>
      <c r="TBF106" s="17"/>
      <c r="TBG106" s="17"/>
      <c r="TBH106" s="17"/>
      <c r="TBI106" s="17"/>
      <c r="TBJ106" s="17"/>
      <c r="TBK106" s="17"/>
      <c r="TBL106" s="17"/>
      <c r="TBM106" s="17"/>
      <c r="TBN106" s="17"/>
      <c r="TBO106" s="17"/>
      <c r="TBP106" s="17"/>
      <c r="TBQ106" s="17"/>
      <c r="TBR106" s="17"/>
      <c r="TBS106" s="17"/>
      <c r="TBT106" s="17"/>
      <c r="TBU106" s="17"/>
      <c r="TBV106" s="17"/>
      <c r="TBW106" s="17"/>
      <c r="TBX106" s="17"/>
      <c r="TBY106" s="17"/>
      <c r="TBZ106" s="17"/>
      <c r="TCA106" s="17"/>
      <c r="TCB106" s="17"/>
      <c r="TCC106" s="17"/>
      <c r="TCD106" s="17"/>
      <c r="TCE106" s="17"/>
      <c r="TCF106" s="17"/>
      <c r="TCG106" s="17"/>
      <c r="TCH106" s="17"/>
      <c r="TCI106" s="17"/>
      <c r="TCJ106" s="17"/>
      <c r="TCK106" s="17"/>
      <c r="TCL106" s="17"/>
      <c r="TCM106" s="17"/>
      <c r="TCN106" s="17"/>
      <c r="TCO106" s="17"/>
      <c r="TCP106" s="17"/>
      <c r="TCQ106" s="17"/>
      <c r="TCR106" s="17"/>
      <c r="TCS106" s="17"/>
      <c r="TCT106" s="17"/>
      <c r="TCU106" s="17"/>
      <c r="TCV106" s="17"/>
      <c r="TCW106" s="17"/>
      <c r="TCX106" s="17"/>
      <c r="TCY106" s="17"/>
      <c r="TCZ106" s="17"/>
      <c r="TDA106" s="17"/>
      <c r="TDB106" s="17"/>
      <c r="TDC106" s="17"/>
      <c r="TDD106" s="17"/>
      <c r="TDE106" s="17"/>
      <c r="TDF106" s="17"/>
      <c r="TDG106" s="17"/>
      <c r="TDH106" s="17"/>
      <c r="TDI106" s="17"/>
      <c r="TDJ106" s="17"/>
      <c r="TDK106" s="17"/>
      <c r="TDL106" s="17"/>
      <c r="TDM106" s="17"/>
      <c r="TDN106" s="17"/>
      <c r="TDO106" s="17"/>
      <c r="TDP106" s="17"/>
      <c r="TDQ106" s="17"/>
      <c r="TDR106" s="17"/>
      <c r="TDS106" s="17"/>
      <c r="TDT106" s="17"/>
      <c r="TDU106" s="17"/>
      <c r="TDV106" s="17"/>
      <c r="TDW106" s="17"/>
      <c r="TDX106" s="17"/>
      <c r="TDY106" s="17"/>
      <c r="TDZ106" s="17"/>
      <c r="TEA106" s="17"/>
      <c r="TEB106" s="17"/>
      <c r="TEC106" s="17"/>
      <c r="TED106" s="17"/>
      <c r="TEE106" s="17"/>
      <c r="TEF106" s="17"/>
      <c r="TEG106" s="17"/>
      <c r="TEH106" s="17"/>
      <c r="TEI106" s="17"/>
      <c r="TEJ106" s="17"/>
      <c r="TEK106" s="17"/>
      <c r="TEL106" s="17"/>
      <c r="TEM106" s="17"/>
      <c r="TEN106" s="17"/>
      <c r="TEO106" s="17"/>
      <c r="TEP106" s="17"/>
      <c r="TEQ106" s="17"/>
      <c r="TER106" s="17"/>
      <c r="TES106" s="17"/>
      <c r="TET106" s="17"/>
      <c r="TEU106" s="17"/>
      <c r="TEV106" s="17"/>
      <c r="TEW106" s="17"/>
      <c r="TEX106" s="17"/>
      <c r="TEY106" s="17"/>
      <c r="TEZ106" s="17"/>
      <c r="TFA106" s="17"/>
      <c r="TFB106" s="17"/>
      <c r="TFC106" s="17"/>
      <c r="TFD106" s="17"/>
      <c r="TFE106" s="17"/>
      <c r="TFF106" s="17"/>
      <c r="TFG106" s="17"/>
      <c r="TFH106" s="17"/>
      <c r="TFI106" s="17"/>
      <c r="TFJ106" s="17"/>
      <c r="TFK106" s="17"/>
      <c r="TFL106" s="17"/>
      <c r="TFM106" s="17"/>
      <c r="TFN106" s="17"/>
      <c r="TFO106" s="17"/>
      <c r="TFP106" s="17"/>
      <c r="TFQ106" s="17"/>
      <c r="TFR106" s="17"/>
      <c r="TFS106" s="17"/>
      <c r="TFT106" s="17"/>
      <c r="TFU106" s="17"/>
      <c r="TFV106" s="17"/>
      <c r="TFW106" s="17"/>
      <c r="TFX106" s="17"/>
      <c r="TFY106" s="17"/>
      <c r="TFZ106" s="17"/>
      <c r="TGA106" s="17"/>
      <c r="TGB106" s="17"/>
      <c r="TGC106" s="17"/>
      <c r="TGD106" s="17"/>
      <c r="TGE106" s="17"/>
      <c r="TGF106" s="17"/>
      <c r="TGG106" s="17"/>
      <c r="TGH106" s="17"/>
      <c r="TGI106" s="17"/>
      <c r="TGJ106" s="17"/>
      <c r="TGK106" s="17"/>
      <c r="TGL106" s="17"/>
      <c r="TGM106" s="17"/>
      <c r="TGN106" s="17"/>
      <c r="TGO106" s="17"/>
      <c r="TGP106" s="17"/>
      <c r="TGQ106" s="17"/>
      <c r="TGR106" s="17"/>
      <c r="TGS106" s="17"/>
      <c r="TGT106" s="17"/>
      <c r="TGU106" s="17"/>
      <c r="TGV106" s="17"/>
      <c r="TGW106" s="17"/>
      <c r="TGX106" s="17"/>
      <c r="TGY106" s="17"/>
      <c r="TGZ106" s="17"/>
      <c r="THA106" s="17"/>
      <c r="THB106" s="17"/>
      <c r="THC106" s="17"/>
      <c r="THD106" s="17"/>
      <c r="THE106" s="17"/>
      <c r="THF106" s="17"/>
      <c r="THG106" s="17"/>
      <c r="THH106" s="17"/>
      <c r="THI106" s="17"/>
      <c r="THJ106" s="17"/>
      <c r="THK106" s="17"/>
      <c r="THL106" s="17"/>
      <c r="THM106" s="17"/>
      <c r="THN106" s="17"/>
      <c r="THO106" s="17"/>
      <c r="THP106" s="17"/>
      <c r="THQ106" s="17"/>
      <c r="THR106" s="17"/>
      <c r="THS106" s="17"/>
      <c r="THT106" s="17"/>
      <c r="THU106" s="17"/>
      <c r="THV106" s="17"/>
      <c r="THW106" s="17"/>
      <c r="THX106" s="17"/>
      <c r="THY106" s="17"/>
      <c r="THZ106" s="17"/>
      <c r="TIA106" s="17"/>
      <c r="TIB106" s="17"/>
      <c r="TIC106" s="17"/>
      <c r="TID106" s="17"/>
      <c r="TIE106" s="17"/>
      <c r="TIF106" s="17"/>
      <c r="TIG106" s="17"/>
      <c r="TIH106" s="17"/>
      <c r="TII106" s="17"/>
      <c r="TIJ106" s="17"/>
      <c r="TIK106" s="17"/>
      <c r="TIL106" s="17"/>
      <c r="TIM106" s="17"/>
      <c r="TIN106" s="17"/>
      <c r="TIO106" s="17"/>
      <c r="TIP106" s="17"/>
      <c r="TIQ106" s="17"/>
      <c r="TIR106" s="17"/>
      <c r="TIS106" s="17"/>
      <c r="TIT106" s="17"/>
      <c r="TIU106" s="17"/>
      <c r="TIV106" s="17"/>
      <c r="TIW106" s="17"/>
      <c r="TIX106" s="17"/>
      <c r="TIY106" s="17"/>
      <c r="TIZ106" s="17"/>
      <c r="TJA106" s="17"/>
      <c r="TJB106" s="17"/>
      <c r="TJC106" s="17"/>
      <c r="TJD106" s="17"/>
      <c r="TJE106" s="17"/>
      <c r="TJF106" s="17"/>
      <c r="TJG106" s="17"/>
      <c r="TJH106" s="17"/>
      <c r="TJI106" s="17"/>
      <c r="TJJ106" s="17"/>
      <c r="TJK106" s="17"/>
      <c r="TJL106" s="17"/>
      <c r="TJM106" s="17"/>
      <c r="TJN106" s="17"/>
      <c r="TJO106" s="17"/>
      <c r="TJP106" s="17"/>
      <c r="TJQ106" s="17"/>
      <c r="TJR106" s="17"/>
      <c r="TJS106" s="17"/>
      <c r="TJT106" s="17"/>
      <c r="TJU106" s="17"/>
      <c r="TJV106" s="17"/>
      <c r="TJW106" s="17"/>
      <c r="TJX106" s="17"/>
      <c r="TJY106" s="17"/>
      <c r="TJZ106" s="17"/>
      <c r="TKA106" s="17"/>
      <c r="TKB106" s="17"/>
      <c r="TKC106" s="17"/>
      <c r="TKD106" s="17"/>
      <c r="TKE106" s="17"/>
      <c r="TKF106" s="17"/>
      <c r="TKG106" s="17"/>
      <c r="TKH106" s="17"/>
      <c r="TKI106" s="17"/>
      <c r="TKJ106" s="17"/>
      <c r="TKK106" s="17"/>
      <c r="TKL106" s="17"/>
      <c r="TKM106" s="17"/>
      <c r="TKN106" s="17"/>
      <c r="TKO106" s="17"/>
      <c r="TKP106" s="17"/>
      <c r="TKQ106" s="17"/>
      <c r="TKR106" s="17"/>
      <c r="TKS106" s="17"/>
      <c r="TKT106" s="17"/>
      <c r="TKU106" s="17"/>
      <c r="TKV106" s="17"/>
      <c r="TKW106" s="17"/>
      <c r="TKX106" s="17"/>
      <c r="TKY106" s="17"/>
      <c r="TKZ106" s="17"/>
      <c r="TLA106" s="17"/>
      <c r="TLB106" s="17"/>
      <c r="TLC106" s="17"/>
      <c r="TLD106" s="17"/>
      <c r="TLE106" s="17"/>
      <c r="TLF106" s="17"/>
      <c r="TLG106" s="17"/>
      <c r="TLH106" s="17"/>
      <c r="TLI106" s="17"/>
      <c r="TLJ106" s="17"/>
      <c r="TLK106" s="17"/>
      <c r="TLL106" s="17"/>
      <c r="TLM106" s="17"/>
      <c r="TLN106" s="17"/>
      <c r="TLO106" s="17"/>
      <c r="TLP106" s="17"/>
      <c r="TLQ106" s="17"/>
      <c r="TLR106" s="17"/>
      <c r="TLS106" s="17"/>
      <c r="TLT106" s="17"/>
      <c r="TLU106" s="17"/>
      <c r="TLV106" s="17"/>
      <c r="TLW106" s="17"/>
      <c r="TLX106" s="17"/>
      <c r="TLY106" s="17"/>
      <c r="TLZ106" s="17"/>
      <c r="TMA106" s="17"/>
      <c r="TMB106" s="17"/>
      <c r="TMC106" s="17"/>
      <c r="TMD106" s="17"/>
      <c r="TME106" s="17"/>
      <c r="TMF106" s="17"/>
      <c r="TMG106" s="17"/>
      <c r="TMH106" s="17"/>
      <c r="TMI106" s="17"/>
      <c r="TMJ106" s="17"/>
      <c r="TMK106" s="17"/>
      <c r="TML106" s="17"/>
      <c r="TMM106" s="17"/>
      <c r="TMN106" s="17"/>
      <c r="TMO106" s="17"/>
      <c r="TMP106" s="17"/>
      <c r="TMQ106" s="17"/>
      <c r="TMR106" s="17"/>
      <c r="TMS106" s="17"/>
      <c r="TMT106" s="17"/>
      <c r="TMU106" s="17"/>
      <c r="TMV106" s="17"/>
      <c r="TMW106" s="17"/>
      <c r="TMX106" s="17"/>
      <c r="TMY106" s="17"/>
      <c r="TMZ106" s="17"/>
      <c r="TNA106" s="17"/>
      <c r="TNB106" s="17"/>
      <c r="TNC106" s="17"/>
      <c r="TND106" s="17"/>
      <c r="TNE106" s="17"/>
      <c r="TNF106" s="17"/>
      <c r="TNG106" s="17"/>
      <c r="TNH106" s="17"/>
      <c r="TNI106" s="17"/>
      <c r="TNJ106" s="17"/>
      <c r="TNK106" s="17"/>
      <c r="TNL106" s="17"/>
      <c r="TNM106" s="17"/>
      <c r="TNN106" s="17"/>
      <c r="TNO106" s="17"/>
      <c r="TNP106" s="17"/>
      <c r="TNQ106" s="17"/>
      <c r="TNR106" s="17"/>
      <c r="TNS106" s="17"/>
      <c r="TNT106" s="17"/>
      <c r="TNU106" s="17"/>
      <c r="TNV106" s="17"/>
      <c r="TNW106" s="17"/>
      <c r="TNX106" s="17"/>
      <c r="TNY106" s="17"/>
      <c r="TNZ106" s="17"/>
      <c r="TOA106" s="17"/>
      <c r="TOB106" s="17"/>
      <c r="TOC106" s="17"/>
      <c r="TOD106" s="17"/>
      <c r="TOE106" s="17"/>
      <c r="TOF106" s="17"/>
      <c r="TOG106" s="17"/>
      <c r="TOH106" s="17"/>
      <c r="TOI106" s="17"/>
      <c r="TOJ106" s="17"/>
      <c r="TOK106" s="17"/>
      <c r="TOL106" s="17"/>
      <c r="TOM106" s="17"/>
      <c r="TON106" s="17"/>
      <c r="TOO106" s="17"/>
      <c r="TOP106" s="17"/>
      <c r="TOQ106" s="17"/>
      <c r="TOR106" s="17"/>
      <c r="TOS106" s="17"/>
      <c r="TOT106" s="17"/>
      <c r="TOU106" s="17"/>
      <c r="TOV106" s="17"/>
      <c r="TOW106" s="17"/>
      <c r="TOX106" s="17"/>
      <c r="TOY106" s="17"/>
      <c r="TOZ106" s="17"/>
      <c r="TPA106" s="17"/>
      <c r="TPB106" s="17"/>
      <c r="TPC106" s="17"/>
      <c r="TPD106" s="17"/>
      <c r="TPE106" s="17"/>
      <c r="TPF106" s="17"/>
      <c r="TPG106" s="17"/>
      <c r="TPH106" s="17"/>
      <c r="TPI106" s="17"/>
      <c r="TPJ106" s="17"/>
      <c r="TPK106" s="17"/>
      <c r="TPL106" s="17"/>
      <c r="TPM106" s="17"/>
      <c r="TPN106" s="17"/>
      <c r="TPO106" s="17"/>
      <c r="TPP106" s="17"/>
      <c r="TPQ106" s="17"/>
      <c r="TPR106" s="17"/>
      <c r="TPS106" s="17"/>
      <c r="TPT106" s="17"/>
      <c r="TPU106" s="17"/>
      <c r="TPV106" s="17"/>
      <c r="TPW106" s="17"/>
      <c r="TPX106" s="17"/>
      <c r="TPY106" s="17"/>
      <c r="TPZ106" s="17"/>
      <c r="TQA106" s="17"/>
      <c r="TQB106" s="17"/>
      <c r="TQC106" s="17"/>
      <c r="TQD106" s="17"/>
      <c r="TQE106" s="17"/>
      <c r="TQF106" s="17"/>
      <c r="TQG106" s="17"/>
      <c r="TQH106" s="17"/>
      <c r="TQI106" s="17"/>
      <c r="TQJ106" s="17"/>
      <c r="TQK106" s="17"/>
      <c r="TQL106" s="17"/>
      <c r="TQM106" s="17"/>
      <c r="TQN106" s="17"/>
      <c r="TQO106" s="17"/>
      <c r="TQP106" s="17"/>
      <c r="TQQ106" s="17"/>
      <c r="TQR106" s="17"/>
      <c r="TQS106" s="17"/>
      <c r="TQT106" s="17"/>
      <c r="TQU106" s="17"/>
      <c r="TQV106" s="17"/>
      <c r="TQW106" s="17"/>
      <c r="TQX106" s="17"/>
      <c r="TQY106" s="17"/>
      <c r="TQZ106" s="17"/>
      <c r="TRA106" s="17"/>
      <c r="TRB106" s="17"/>
      <c r="TRC106" s="17"/>
      <c r="TRD106" s="17"/>
      <c r="TRE106" s="17"/>
      <c r="TRF106" s="17"/>
      <c r="TRG106" s="17"/>
      <c r="TRH106" s="17"/>
      <c r="TRI106" s="17"/>
      <c r="TRJ106" s="17"/>
      <c r="TRK106" s="17"/>
      <c r="TRL106" s="17"/>
      <c r="TRM106" s="17"/>
      <c r="TRN106" s="17"/>
      <c r="TRO106" s="17"/>
      <c r="TRP106" s="17"/>
      <c r="TRQ106" s="17"/>
      <c r="TRR106" s="17"/>
      <c r="TRS106" s="17"/>
      <c r="TRT106" s="17"/>
      <c r="TRU106" s="17"/>
      <c r="TRV106" s="17"/>
      <c r="TRW106" s="17"/>
      <c r="TRX106" s="17"/>
      <c r="TRY106" s="17"/>
      <c r="TRZ106" s="17"/>
      <c r="TSA106" s="17"/>
      <c r="TSB106" s="17"/>
      <c r="TSC106" s="17"/>
      <c r="TSD106" s="17"/>
      <c r="TSE106" s="17"/>
      <c r="TSF106" s="17"/>
      <c r="TSG106" s="17"/>
      <c r="TSH106" s="17"/>
      <c r="TSI106" s="17"/>
      <c r="TSJ106" s="17"/>
      <c r="TSK106" s="17"/>
      <c r="TSL106" s="17"/>
      <c r="TSM106" s="17"/>
      <c r="TSN106" s="17"/>
      <c r="TSO106" s="17"/>
      <c r="TSP106" s="17"/>
      <c r="TSQ106" s="17"/>
      <c r="TSR106" s="17"/>
      <c r="TSS106" s="17"/>
      <c r="TST106" s="17"/>
      <c r="TSU106" s="17"/>
      <c r="TSV106" s="17"/>
      <c r="TSW106" s="17"/>
      <c r="TSX106" s="17"/>
      <c r="TSY106" s="17"/>
      <c r="TSZ106" s="17"/>
      <c r="TTA106" s="17"/>
      <c r="TTB106" s="17"/>
      <c r="TTC106" s="17"/>
      <c r="TTD106" s="17"/>
      <c r="TTE106" s="17"/>
      <c r="TTF106" s="17"/>
      <c r="TTG106" s="17"/>
      <c r="TTH106" s="17"/>
      <c r="TTI106" s="17"/>
      <c r="TTJ106" s="17"/>
      <c r="TTK106" s="17"/>
      <c r="TTL106" s="17"/>
      <c r="TTM106" s="17"/>
      <c r="TTN106" s="17"/>
      <c r="TTO106" s="17"/>
      <c r="TTP106" s="17"/>
      <c r="TTQ106" s="17"/>
      <c r="TTR106" s="17"/>
      <c r="TTS106" s="17"/>
      <c r="TTT106" s="17"/>
      <c r="TTU106" s="17"/>
      <c r="TTV106" s="17"/>
      <c r="TTW106" s="17"/>
      <c r="TTX106" s="17"/>
      <c r="TTY106" s="17"/>
      <c r="TTZ106" s="17"/>
      <c r="TUA106" s="17"/>
      <c r="TUB106" s="17"/>
      <c r="TUC106" s="17"/>
      <c r="TUD106" s="17"/>
      <c r="TUE106" s="17"/>
      <c r="TUF106" s="17"/>
      <c r="TUG106" s="17"/>
      <c r="TUH106" s="17"/>
      <c r="TUI106" s="17"/>
      <c r="TUJ106" s="17"/>
      <c r="TUK106" s="17"/>
      <c r="TUL106" s="17"/>
      <c r="TUM106" s="17"/>
      <c r="TUN106" s="17"/>
      <c r="TUO106" s="17"/>
      <c r="TUP106" s="17"/>
      <c r="TUQ106" s="17"/>
      <c r="TUR106" s="17"/>
      <c r="TUS106" s="17"/>
      <c r="TUT106" s="17"/>
      <c r="TUU106" s="17"/>
      <c r="TUV106" s="17"/>
      <c r="TUW106" s="17"/>
      <c r="TUX106" s="17"/>
      <c r="TUY106" s="17"/>
      <c r="TUZ106" s="17"/>
      <c r="TVA106" s="17"/>
      <c r="TVB106" s="17"/>
      <c r="TVC106" s="17"/>
      <c r="TVD106" s="17"/>
      <c r="TVE106" s="17"/>
      <c r="TVF106" s="17"/>
      <c r="TVG106" s="17"/>
      <c r="TVH106" s="17"/>
      <c r="TVI106" s="17"/>
      <c r="TVJ106" s="17"/>
      <c r="TVK106" s="17"/>
      <c r="TVL106" s="17"/>
      <c r="TVM106" s="17"/>
      <c r="TVN106" s="17"/>
      <c r="TVO106" s="17"/>
      <c r="TVP106" s="17"/>
      <c r="TVQ106" s="17"/>
      <c r="TVR106" s="17"/>
      <c r="TVS106" s="17"/>
      <c r="TVT106" s="17"/>
      <c r="TVU106" s="17"/>
      <c r="TVV106" s="17"/>
      <c r="TVW106" s="17"/>
      <c r="TVX106" s="17"/>
      <c r="TVY106" s="17"/>
      <c r="TVZ106" s="17"/>
      <c r="TWA106" s="17"/>
      <c r="TWB106" s="17"/>
      <c r="TWC106" s="17"/>
      <c r="TWD106" s="17"/>
      <c r="TWE106" s="17"/>
      <c r="TWF106" s="17"/>
      <c r="TWG106" s="17"/>
      <c r="TWH106" s="17"/>
      <c r="TWI106" s="17"/>
      <c r="TWJ106" s="17"/>
      <c r="TWK106" s="17"/>
      <c r="TWL106" s="17"/>
      <c r="TWM106" s="17"/>
      <c r="TWN106" s="17"/>
      <c r="TWO106" s="17"/>
      <c r="TWP106" s="17"/>
      <c r="TWQ106" s="17"/>
      <c r="TWR106" s="17"/>
      <c r="TWS106" s="17"/>
      <c r="TWT106" s="17"/>
      <c r="TWU106" s="17"/>
      <c r="TWV106" s="17"/>
      <c r="TWW106" s="17"/>
      <c r="TWX106" s="17"/>
      <c r="TWY106" s="17"/>
      <c r="TWZ106" s="17"/>
      <c r="TXA106" s="17"/>
      <c r="TXB106" s="17"/>
      <c r="TXC106" s="17"/>
      <c r="TXD106" s="17"/>
      <c r="TXE106" s="17"/>
      <c r="TXF106" s="17"/>
      <c r="TXG106" s="17"/>
      <c r="TXH106" s="17"/>
      <c r="TXI106" s="17"/>
      <c r="TXJ106" s="17"/>
      <c r="TXK106" s="17"/>
      <c r="TXL106" s="17"/>
      <c r="TXM106" s="17"/>
      <c r="TXN106" s="17"/>
      <c r="TXO106" s="17"/>
      <c r="TXP106" s="17"/>
      <c r="TXQ106" s="17"/>
      <c r="TXR106" s="17"/>
      <c r="TXS106" s="17"/>
      <c r="TXT106" s="17"/>
      <c r="TXU106" s="17"/>
      <c r="TXV106" s="17"/>
      <c r="TXW106" s="17"/>
      <c r="TXX106" s="17"/>
      <c r="TXY106" s="17"/>
      <c r="TXZ106" s="17"/>
      <c r="TYA106" s="17"/>
      <c r="TYB106" s="17"/>
      <c r="TYC106" s="17"/>
      <c r="TYD106" s="17"/>
      <c r="TYE106" s="17"/>
      <c r="TYF106" s="17"/>
      <c r="TYG106" s="17"/>
      <c r="TYH106" s="17"/>
      <c r="TYI106" s="17"/>
      <c r="TYJ106" s="17"/>
      <c r="TYK106" s="17"/>
      <c r="TYL106" s="17"/>
      <c r="TYM106" s="17"/>
      <c r="TYN106" s="17"/>
      <c r="TYO106" s="17"/>
      <c r="TYP106" s="17"/>
      <c r="TYQ106" s="17"/>
      <c r="TYR106" s="17"/>
      <c r="TYS106" s="17"/>
      <c r="TYT106" s="17"/>
      <c r="TYU106" s="17"/>
      <c r="TYV106" s="17"/>
      <c r="TYW106" s="17"/>
      <c r="TYX106" s="17"/>
      <c r="TYY106" s="17"/>
      <c r="TYZ106" s="17"/>
      <c r="TZA106" s="17"/>
      <c r="TZB106" s="17"/>
      <c r="TZC106" s="17"/>
      <c r="TZD106" s="17"/>
      <c r="TZE106" s="17"/>
      <c r="TZF106" s="17"/>
      <c r="TZG106" s="17"/>
      <c r="TZH106" s="17"/>
      <c r="TZI106" s="17"/>
      <c r="TZJ106" s="17"/>
      <c r="TZK106" s="17"/>
      <c r="TZL106" s="17"/>
      <c r="TZM106" s="17"/>
      <c r="TZN106" s="17"/>
      <c r="TZO106" s="17"/>
      <c r="TZP106" s="17"/>
      <c r="TZQ106" s="17"/>
      <c r="TZR106" s="17"/>
      <c r="TZS106" s="17"/>
      <c r="TZT106" s="17"/>
      <c r="TZU106" s="17"/>
      <c r="TZV106" s="17"/>
      <c r="TZW106" s="17"/>
      <c r="TZX106" s="17"/>
      <c r="TZY106" s="17"/>
      <c r="TZZ106" s="17"/>
      <c r="UAA106" s="17"/>
      <c r="UAB106" s="17"/>
      <c r="UAC106" s="17"/>
      <c r="UAD106" s="17"/>
      <c r="UAE106" s="17"/>
      <c r="UAF106" s="17"/>
      <c r="UAG106" s="17"/>
      <c r="UAH106" s="17"/>
      <c r="UAI106" s="17"/>
      <c r="UAJ106" s="17"/>
      <c r="UAK106" s="17"/>
      <c r="UAL106" s="17"/>
      <c r="UAM106" s="17"/>
      <c r="UAN106" s="17"/>
      <c r="UAO106" s="17"/>
      <c r="UAP106" s="17"/>
      <c r="UAQ106" s="17"/>
      <c r="UAR106" s="17"/>
      <c r="UAS106" s="17"/>
      <c r="UAT106" s="17"/>
      <c r="UAU106" s="17"/>
      <c r="UAV106" s="17"/>
      <c r="UAW106" s="17"/>
      <c r="UAX106" s="17"/>
      <c r="UAY106" s="17"/>
      <c r="UAZ106" s="17"/>
      <c r="UBA106" s="17"/>
      <c r="UBB106" s="17"/>
      <c r="UBC106" s="17"/>
      <c r="UBD106" s="17"/>
      <c r="UBE106" s="17"/>
      <c r="UBF106" s="17"/>
      <c r="UBG106" s="17"/>
      <c r="UBH106" s="17"/>
      <c r="UBI106" s="17"/>
      <c r="UBJ106" s="17"/>
      <c r="UBK106" s="17"/>
      <c r="UBL106" s="17"/>
      <c r="UBM106" s="17"/>
      <c r="UBN106" s="17"/>
      <c r="UBO106" s="17"/>
      <c r="UBP106" s="17"/>
      <c r="UBQ106" s="17"/>
      <c r="UBR106" s="17"/>
      <c r="UBS106" s="17"/>
      <c r="UBT106" s="17"/>
      <c r="UBU106" s="17"/>
      <c r="UBV106" s="17"/>
      <c r="UBW106" s="17"/>
      <c r="UBX106" s="17"/>
      <c r="UBY106" s="17"/>
      <c r="UBZ106" s="17"/>
      <c r="UCA106" s="17"/>
      <c r="UCB106" s="17"/>
      <c r="UCC106" s="17"/>
      <c r="UCD106" s="17"/>
      <c r="UCE106" s="17"/>
      <c r="UCF106" s="17"/>
      <c r="UCG106" s="17"/>
      <c r="UCH106" s="17"/>
      <c r="UCI106" s="17"/>
      <c r="UCJ106" s="17"/>
      <c r="UCK106" s="17"/>
      <c r="UCL106" s="17"/>
      <c r="UCM106" s="17"/>
      <c r="UCN106" s="17"/>
      <c r="UCO106" s="17"/>
      <c r="UCP106" s="17"/>
      <c r="UCQ106" s="17"/>
      <c r="UCR106" s="17"/>
      <c r="UCS106" s="17"/>
      <c r="UCT106" s="17"/>
      <c r="UCU106" s="17"/>
      <c r="UCV106" s="17"/>
      <c r="UCW106" s="17"/>
      <c r="UCX106" s="17"/>
      <c r="UCY106" s="17"/>
      <c r="UCZ106" s="17"/>
      <c r="UDA106" s="17"/>
      <c r="UDB106" s="17"/>
      <c r="UDC106" s="17"/>
      <c r="UDD106" s="17"/>
      <c r="UDE106" s="17"/>
      <c r="UDF106" s="17"/>
      <c r="UDG106" s="17"/>
      <c r="UDH106" s="17"/>
      <c r="UDI106" s="17"/>
      <c r="UDJ106" s="17"/>
      <c r="UDK106" s="17"/>
      <c r="UDL106" s="17"/>
      <c r="UDM106" s="17"/>
      <c r="UDN106" s="17"/>
      <c r="UDO106" s="17"/>
      <c r="UDP106" s="17"/>
      <c r="UDQ106" s="17"/>
      <c r="UDR106" s="17"/>
      <c r="UDS106" s="17"/>
      <c r="UDT106" s="17"/>
      <c r="UDU106" s="17"/>
      <c r="UDV106" s="17"/>
      <c r="UDW106" s="17"/>
      <c r="UDX106" s="17"/>
      <c r="UDY106" s="17"/>
      <c r="UDZ106" s="17"/>
      <c r="UEA106" s="17"/>
      <c r="UEB106" s="17"/>
      <c r="UEC106" s="17"/>
      <c r="UED106" s="17"/>
      <c r="UEE106" s="17"/>
      <c r="UEF106" s="17"/>
      <c r="UEG106" s="17"/>
      <c r="UEH106" s="17"/>
      <c r="UEI106" s="17"/>
      <c r="UEJ106" s="17"/>
      <c r="UEK106" s="17"/>
      <c r="UEL106" s="17"/>
      <c r="UEM106" s="17"/>
      <c r="UEN106" s="17"/>
      <c r="UEO106" s="17"/>
      <c r="UEP106" s="17"/>
      <c r="UEQ106" s="17"/>
      <c r="UER106" s="17"/>
      <c r="UES106" s="17"/>
      <c r="UET106" s="17"/>
      <c r="UEU106" s="17"/>
      <c r="UEV106" s="17"/>
      <c r="UEW106" s="17"/>
      <c r="UEX106" s="17"/>
      <c r="UEY106" s="17"/>
      <c r="UEZ106" s="17"/>
      <c r="UFA106" s="17"/>
      <c r="UFB106" s="17"/>
      <c r="UFC106" s="17"/>
      <c r="UFD106" s="17"/>
      <c r="UFE106" s="17"/>
      <c r="UFF106" s="17"/>
      <c r="UFG106" s="17"/>
      <c r="UFH106" s="17"/>
      <c r="UFI106" s="17"/>
      <c r="UFJ106" s="17"/>
      <c r="UFK106" s="17"/>
      <c r="UFL106" s="17"/>
      <c r="UFM106" s="17"/>
      <c r="UFN106" s="17"/>
      <c r="UFO106" s="17"/>
      <c r="UFP106" s="17"/>
      <c r="UFQ106" s="17"/>
      <c r="UFR106" s="17"/>
      <c r="UFS106" s="17"/>
      <c r="UFT106" s="17"/>
      <c r="UFU106" s="17"/>
      <c r="UFV106" s="17"/>
      <c r="UFW106" s="17"/>
      <c r="UFX106" s="17"/>
      <c r="UFY106" s="17"/>
      <c r="UFZ106" s="17"/>
      <c r="UGA106" s="17"/>
      <c r="UGB106" s="17"/>
      <c r="UGC106" s="17"/>
      <c r="UGD106" s="17"/>
      <c r="UGE106" s="17"/>
      <c r="UGF106" s="17"/>
      <c r="UGG106" s="17"/>
      <c r="UGH106" s="17"/>
      <c r="UGI106" s="17"/>
      <c r="UGJ106" s="17"/>
      <c r="UGK106" s="17"/>
      <c r="UGL106" s="17"/>
      <c r="UGM106" s="17"/>
      <c r="UGN106" s="17"/>
      <c r="UGO106" s="17"/>
      <c r="UGP106" s="17"/>
      <c r="UGQ106" s="17"/>
      <c r="UGR106" s="17"/>
      <c r="UGS106" s="17"/>
      <c r="UGT106" s="17"/>
      <c r="UGU106" s="17"/>
      <c r="UGV106" s="17"/>
      <c r="UGW106" s="17"/>
      <c r="UGX106" s="17"/>
      <c r="UGY106" s="17"/>
      <c r="UGZ106" s="17"/>
      <c r="UHA106" s="17"/>
      <c r="UHB106" s="17"/>
      <c r="UHC106" s="17"/>
      <c r="UHD106" s="17"/>
      <c r="UHE106" s="17"/>
      <c r="UHF106" s="17"/>
      <c r="UHG106" s="17"/>
      <c r="UHH106" s="17"/>
      <c r="UHI106" s="17"/>
      <c r="UHJ106" s="17"/>
      <c r="UHK106" s="17"/>
      <c r="UHL106" s="17"/>
      <c r="UHM106" s="17"/>
      <c r="UHN106" s="17"/>
      <c r="UHO106" s="17"/>
      <c r="UHP106" s="17"/>
      <c r="UHQ106" s="17"/>
      <c r="UHR106" s="17"/>
      <c r="UHS106" s="17"/>
      <c r="UHT106" s="17"/>
      <c r="UHU106" s="17"/>
      <c r="UHV106" s="17"/>
      <c r="UHW106" s="17"/>
      <c r="UHX106" s="17"/>
      <c r="UHY106" s="17"/>
      <c r="UHZ106" s="17"/>
      <c r="UIA106" s="17"/>
      <c r="UIB106" s="17"/>
      <c r="UIC106" s="17"/>
      <c r="UID106" s="17"/>
      <c r="UIE106" s="17"/>
      <c r="UIF106" s="17"/>
      <c r="UIG106" s="17"/>
      <c r="UIH106" s="17"/>
      <c r="UII106" s="17"/>
      <c r="UIJ106" s="17"/>
      <c r="UIK106" s="17"/>
      <c r="UIL106" s="17"/>
      <c r="UIM106" s="17"/>
      <c r="UIN106" s="17"/>
      <c r="UIO106" s="17"/>
      <c r="UIP106" s="17"/>
      <c r="UIQ106" s="17"/>
      <c r="UIR106" s="17"/>
      <c r="UIS106" s="17"/>
      <c r="UIT106" s="17"/>
      <c r="UIU106" s="17"/>
      <c r="UIV106" s="17"/>
      <c r="UIW106" s="17"/>
      <c r="UIX106" s="17"/>
      <c r="UIY106" s="17"/>
      <c r="UIZ106" s="17"/>
      <c r="UJA106" s="17"/>
      <c r="UJB106" s="17"/>
      <c r="UJC106" s="17"/>
      <c r="UJD106" s="17"/>
      <c r="UJE106" s="17"/>
      <c r="UJF106" s="17"/>
      <c r="UJG106" s="17"/>
      <c r="UJH106" s="17"/>
      <c r="UJI106" s="17"/>
      <c r="UJJ106" s="17"/>
      <c r="UJK106" s="17"/>
      <c r="UJL106" s="17"/>
      <c r="UJM106" s="17"/>
      <c r="UJN106" s="17"/>
      <c r="UJO106" s="17"/>
      <c r="UJP106" s="17"/>
      <c r="UJQ106" s="17"/>
      <c r="UJR106" s="17"/>
      <c r="UJS106" s="17"/>
      <c r="UJT106" s="17"/>
      <c r="UJU106" s="17"/>
      <c r="UJV106" s="17"/>
      <c r="UJW106" s="17"/>
      <c r="UJX106" s="17"/>
      <c r="UJY106" s="17"/>
      <c r="UJZ106" s="17"/>
      <c r="UKA106" s="17"/>
      <c r="UKB106" s="17"/>
      <c r="UKC106" s="17"/>
      <c r="UKD106" s="17"/>
      <c r="UKE106" s="17"/>
      <c r="UKF106" s="17"/>
      <c r="UKG106" s="17"/>
      <c r="UKH106" s="17"/>
      <c r="UKI106" s="17"/>
      <c r="UKJ106" s="17"/>
      <c r="UKK106" s="17"/>
      <c r="UKL106" s="17"/>
      <c r="UKM106" s="17"/>
      <c r="UKN106" s="17"/>
      <c r="UKO106" s="17"/>
      <c r="UKP106" s="17"/>
      <c r="UKQ106" s="17"/>
      <c r="UKR106" s="17"/>
      <c r="UKS106" s="17"/>
      <c r="UKT106" s="17"/>
      <c r="UKU106" s="17"/>
      <c r="UKV106" s="17"/>
      <c r="UKW106" s="17"/>
      <c r="UKX106" s="17"/>
      <c r="UKY106" s="17"/>
      <c r="UKZ106" s="17"/>
      <c r="ULA106" s="17"/>
      <c r="ULB106" s="17"/>
      <c r="ULC106" s="17"/>
      <c r="ULD106" s="17"/>
      <c r="ULE106" s="17"/>
      <c r="ULF106" s="17"/>
      <c r="ULG106" s="17"/>
      <c r="ULH106" s="17"/>
      <c r="ULI106" s="17"/>
      <c r="ULJ106" s="17"/>
      <c r="ULK106" s="17"/>
      <c r="ULL106" s="17"/>
      <c r="ULM106" s="17"/>
      <c r="ULN106" s="17"/>
      <c r="ULO106" s="17"/>
      <c r="ULP106" s="17"/>
      <c r="ULQ106" s="17"/>
      <c r="ULR106" s="17"/>
      <c r="ULS106" s="17"/>
      <c r="ULT106" s="17"/>
      <c r="ULU106" s="17"/>
      <c r="ULV106" s="17"/>
      <c r="ULW106" s="17"/>
      <c r="ULX106" s="17"/>
      <c r="ULY106" s="17"/>
      <c r="ULZ106" s="17"/>
      <c r="UMA106" s="17"/>
      <c r="UMB106" s="17"/>
      <c r="UMC106" s="17"/>
      <c r="UMD106" s="17"/>
      <c r="UME106" s="17"/>
      <c r="UMF106" s="17"/>
      <c r="UMG106" s="17"/>
      <c r="UMH106" s="17"/>
      <c r="UMI106" s="17"/>
      <c r="UMJ106" s="17"/>
      <c r="UMK106" s="17"/>
      <c r="UML106" s="17"/>
      <c r="UMM106" s="17"/>
      <c r="UMN106" s="17"/>
      <c r="UMO106" s="17"/>
      <c r="UMP106" s="17"/>
      <c r="UMQ106" s="17"/>
      <c r="UMR106" s="17"/>
      <c r="UMS106" s="17"/>
      <c r="UMT106" s="17"/>
      <c r="UMU106" s="17"/>
      <c r="UMV106" s="17"/>
      <c r="UMW106" s="17"/>
      <c r="UMX106" s="17"/>
      <c r="UMY106" s="17"/>
      <c r="UMZ106" s="17"/>
      <c r="UNA106" s="17"/>
      <c r="UNB106" s="17"/>
      <c r="UNC106" s="17"/>
      <c r="UND106" s="17"/>
      <c r="UNE106" s="17"/>
      <c r="UNF106" s="17"/>
      <c r="UNG106" s="17"/>
      <c r="UNH106" s="17"/>
      <c r="UNI106" s="17"/>
      <c r="UNJ106" s="17"/>
      <c r="UNK106" s="17"/>
      <c r="UNL106" s="17"/>
      <c r="UNM106" s="17"/>
      <c r="UNN106" s="17"/>
      <c r="UNO106" s="17"/>
      <c r="UNP106" s="17"/>
      <c r="UNQ106" s="17"/>
      <c r="UNR106" s="17"/>
      <c r="UNS106" s="17"/>
      <c r="UNT106" s="17"/>
      <c r="UNU106" s="17"/>
      <c r="UNV106" s="17"/>
      <c r="UNW106" s="17"/>
      <c r="UNX106" s="17"/>
      <c r="UNY106" s="17"/>
      <c r="UNZ106" s="17"/>
      <c r="UOA106" s="17"/>
      <c r="UOB106" s="17"/>
      <c r="UOC106" s="17"/>
      <c r="UOD106" s="17"/>
      <c r="UOE106" s="17"/>
      <c r="UOF106" s="17"/>
      <c r="UOG106" s="17"/>
      <c r="UOH106" s="17"/>
      <c r="UOI106" s="17"/>
      <c r="UOJ106" s="17"/>
      <c r="UOK106" s="17"/>
      <c r="UOL106" s="17"/>
      <c r="UOM106" s="17"/>
      <c r="UON106" s="17"/>
      <c r="UOO106" s="17"/>
      <c r="UOP106" s="17"/>
      <c r="UOQ106" s="17"/>
      <c r="UOR106" s="17"/>
      <c r="UOS106" s="17"/>
      <c r="UOT106" s="17"/>
      <c r="UOU106" s="17"/>
      <c r="UOV106" s="17"/>
      <c r="UOW106" s="17"/>
      <c r="UOX106" s="17"/>
      <c r="UOY106" s="17"/>
      <c r="UOZ106" s="17"/>
      <c r="UPA106" s="17"/>
      <c r="UPB106" s="17"/>
      <c r="UPC106" s="17"/>
      <c r="UPD106" s="17"/>
      <c r="UPE106" s="17"/>
      <c r="UPF106" s="17"/>
      <c r="UPG106" s="17"/>
      <c r="UPH106" s="17"/>
      <c r="UPI106" s="17"/>
      <c r="UPJ106" s="17"/>
      <c r="UPK106" s="17"/>
      <c r="UPL106" s="17"/>
      <c r="UPM106" s="17"/>
      <c r="UPN106" s="17"/>
      <c r="UPO106" s="17"/>
      <c r="UPP106" s="17"/>
      <c r="UPQ106" s="17"/>
      <c r="UPR106" s="17"/>
      <c r="UPS106" s="17"/>
      <c r="UPT106" s="17"/>
      <c r="UPU106" s="17"/>
      <c r="UPV106" s="17"/>
      <c r="UPW106" s="17"/>
      <c r="UPX106" s="17"/>
      <c r="UPY106" s="17"/>
      <c r="UPZ106" s="17"/>
      <c r="UQA106" s="17"/>
      <c r="UQB106" s="17"/>
      <c r="UQC106" s="17"/>
      <c r="UQD106" s="17"/>
      <c r="UQE106" s="17"/>
      <c r="UQF106" s="17"/>
      <c r="UQG106" s="17"/>
      <c r="UQH106" s="17"/>
      <c r="UQI106" s="17"/>
      <c r="UQJ106" s="17"/>
      <c r="UQK106" s="17"/>
      <c r="UQL106" s="17"/>
      <c r="UQM106" s="17"/>
      <c r="UQN106" s="17"/>
      <c r="UQO106" s="17"/>
      <c r="UQP106" s="17"/>
      <c r="UQQ106" s="17"/>
      <c r="UQR106" s="17"/>
      <c r="UQS106" s="17"/>
      <c r="UQT106" s="17"/>
      <c r="UQU106" s="17"/>
      <c r="UQV106" s="17"/>
      <c r="UQW106" s="17"/>
      <c r="UQX106" s="17"/>
      <c r="UQY106" s="17"/>
      <c r="UQZ106" s="17"/>
      <c r="URA106" s="17"/>
      <c r="URB106" s="17"/>
      <c r="URC106" s="17"/>
      <c r="URD106" s="17"/>
      <c r="URE106" s="17"/>
      <c r="URF106" s="17"/>
      <c r="URG106" s="17"/>
      <c r="URH106" s="17"/>
      <c r="URI106" s="17"/>
      <c r="URJ106" s="17"/>
      <c r="URK106" s="17"/>
      <c r="URL106" s="17"/>
      <c r="URM106" s="17"/>
      <c r="URN106" s="17"/>
      <c r="URO106" s="17"/>
      <c r="URP106" s="17"/>
      <c r="URQ106" s="17"/>
      <c r="URR106" s="17"/>
      <c r="URS106" s="17"/>
      <c r="URT106" s="17"/>
      <c r="URU106" s="17"/>
      <c r="URV106" s="17"/>
      <c r="URW106" s="17"/>
      <c r="URX106" s="17"/>
      <c r="URY106" s="17"/>
      <c r="URZ106" s="17"/>
      <c r="USA106" s="17"/>
      <c r="USB106" s="17"/>
      <c r="USC106" s="17"/>
      <c r="USD106" s="17"/>
      <c r="USE106" s="17"/>
      <c r="USF106" s="17"/>
      <c r="USG106" s="17"/>
      <c r="USH106" s="17"/>
      <c r="USI106" s="17"/>
      <c r="USJ106" s="17"/>
      <c r="USK106" s="17"/>
      <c r="USL106" s="17"/>
      <c r="USM106" s="17"/>
      <c r="USN106" s="17"/>
      <c r="USO106" s="17"/>
      <c r="USP106" s="17"/>
      <c r="USQ106" s="17"/>
      <c r="USR106" s="17"/>
      <c r="USS106" s="17"/>
      <c r="UST106" s="17"/>
      <c r="USU106" s="17"/>
      <c r="USV106" s="17"/>
      <c r="USW106" s="17"/>
      <c r="USX106" s="17"/>
      <c r="USY106" s="17"/>
      <c r="USZ106" s="17"/>
      <c r="UTA106" s="17"/>
      <c r="UTB106" s="17"/>
      <c r="UTC106" s="17"/>
      <c r="UTD106" s="17"/>
      <c r="UTE106" s="17"/>
      <c r="UTF106" s="17"/>
      <c r="UTG106" s="17"/>
      <c r="UTH106" s="17"/>
      <c r="UTI106" s="17"/>
      <c r="UTJ106" s="17"/>
      <c r="UTK106" s="17"/>
      <c r="UTL106" s="17"/>
      <c r="UTM106" s="17"/>
      <c r="UTN106" s="17"/>
      <c r="UTO106" s="17"/>
      <c r="UTP106" s="17"/>
      <c r="UTQ106" s="17"/>
      <c r="UTR106" s="17"/>
      <c r="UTS106" s="17"/>
      <c r="UTT106" s="17"/>
      <c r="UTU106" s="17"/>
      <c r="UTV106" s="17"/>
      <c r="UTW106" s="17"/>
      <c r="UTX106" s="17"/>
      <c r="UTY106" s="17"/>
      <c r="UTZ106" s="17"/>
      <c r="UUA106" s="17"/>
      <c r="UUB106" s="17"/>
      <c r="UUC106" s="17"/>
      <c r="UUD106" s="17"/>
      <c r="UUE106" s="17"/>
      <c r="UUF106" s="17"/>
      <c r="UUG106" s="17"/>
      <c r="UUH106" s="17"/>
      <c r="UUI106" s="17"/>
      <c r="UUJ106" s="17"/>
      <c r="UUK106" s="17"/>
      <c r="UUL106" s="17"/>
      <c r="UUM106" s="17"/>
      <c r="UUN106" s="17"/>
      <c r="UUO106" s="17"/>
      <c r="UUP106" s="17"/>
      <c r="UUQ106" s="17"/>
      <c r="UUR106" s="17"/>
      <c r="UUS106" s="17"/>
      <c r="UUT106" s="17"/>
      <c r="UUU106" s="17"/>
      <c r="UUV106" s="17"/>
      <c r="UUW106" s="17"/>
      <c r="UUX106" s="17"/>
      <c r="UUY106" s="17"/>
      <c r="UUZ106" s="17"/>
      <c r="UVA106" s="17"/>
      <c r="UVB106" s="17"/>
      <c r="UVC106" s="17"/>
      <c r="UVD106" s="17"/>
      <c r="UVE106" s="17"/>
      <c r="UVF106" s="17"/>
      <c r="UVG106" s="17"/>
      <c r="UVH106" s="17"/>
      <c r="UVI106" s="17"/>
      <c r="UVJ106" s="17"/>
      <c r="UVK106" s="17"/>
      <c r="UVL106" s="17"/>
      <c r="UVM106" s="17"/>
      <c r="UVN106" s="17"/>
      <c r="UVO106" s="17"/>
      <c r="UVP106" s="17"/>
      <c r="UVQ106" s="17"/>
      <c r="UVR106" s="17"/>
      <c r="UVS106" s="17"/>
      <c r="UVT106" s="17"/>
      <c r="UVU106" s="17"/>
      <c r="UVV106" s="17"/>
      <c r="UVW106" s="17"/>
      <c r="UVX106" s="17"/>
      <c r="UVY106" s="17"/>
      <c r="UVZ106" s="17"/>
      <c r="UWA106" s="17"/>
      <c r="UWB106" s="17"/>
      <c r="UWC106" s="17"/>
      <c r="UWD106" s="17"/>
      <c r="UWE106" s="17"/>
      <c r="UWF106" s="17"/>
      <c r="UWG106" s="17"/>
      <c r="UWH106" s="17"/>
      <c r="UWI106" s="17"/>
      <c r="UWJ106" s="17"/>
      <c r="UWK106" s="17"/>
      <c r="UWL106" s="17"/>
      <c r="UWM106" s="17"/>
      <c r="UWN106" s="17"/>
      <c r="UWO106" s="17"/>
      <c r="UWP106" s="17"/>
      <c r="UWQ106" s="17"/>
      <c r="UWR106" s="17"/>
      <c r="UWS106" s="17"/>
      <c r="UWT106" s="17"/>
      <c r="UWU106" s="17"/>
      <c r="UWV106" s="17"/>
      <c r="UWW106" s="17"/>
      <c r="UWX106" s="17"/>
      <c r="UWY106" s="17"/>
      <c r="UWZ106" s="17"/>
      <c r="UXA106" s="17"/>
      <c r="UXB106" s="17"/>
      <c r="UXC106" s="17"/>
      <c r="UXD106" s="17"/>
      <c r="UXE106" s="17"/>
      <c r="UXF106" s="17"/>
      <c r="UXG106" s="17"/>
      <c r="UXH106" s="17"/>
      <c r="UXI106" s="17"/>
      <c r="UXJ106" s="17"/>
      <c r="UXK106" s="17"/>
      <c r="UXL106" s="17"/>
      <c r="UXM106" s="17"/>
      <c r="UXN106" s="17"/>
      <c r="UXO106" s="17"/>
      <c r="UXP106" s="17"/>
      <c r="UXQ106" s="17"/>
      <c r="UXR106" s="17"/>
      <c r="UXS106" s="17"/>
      <c r="UXT106" s="17"/>
      <c r="UXU106" s="17"/>
      <c r="UXV106" s="17"/>
      <c r="UXW106" s="17"/>
      <c r="UXX106" s="17"/>
      <c r="UXY106" s="17"/>
      <c r="UXZ106" s="17"/>
      <c r="UYA106" s="17"/>
      <c r="UYB106" s="17"/>
      <c r="UYC106" s="17"/>
      <c r="UYD106" s="17"/>
      <c r="UYE106" s="17"/>
      <c r="UYF106" s="17"/>
      <c r="UYG106" s="17"/>
      <c r="UYH106" s="17"/>
      <c r="UYI106" s="17"/>
      <c r="UYJ106" s="17"/>
      <c r="UYK106" s="17"/>
      <c r="UYL106" s="17"/>
      <c r="UYM106" s="17"/>
      <c r="UYN106" s="17"/>
      <c r="UYO106" s="17"/>
      <c r="UYP106" s="17"/>
      <c r="UYQ106" s="17"/>
      <c r="UYR106" s="17"/>
      <c r="UYS106" s="17"/>
      <c r="UYT106" s="17"/>
      <c r="UYU106" s="17"/>
      <c r="UYV106" s="17"/>
      <c r="UYW106" s="17"/>
      <c r="UYX106" s="17"/>
      <c r="UYY106" s="17"/>
      <c r="UYZ106" s="17"/>
      <c r="UZA106" s="17"/>
      <c r="UZB106" s="17"/>
      <c r="UZC106" s="17"/>
      <c r="UZD106" s="17"/>
      <c r="UZE106" s="17"/>
      <c r="UZF106" s="17"/>
      <c r="UZG106" s="17"/>
      <c r="UZH106" s="17"/>
      <c r="UZI106" s="17"/>
      <c r="UZJ106" s="17"/>
      <c r="UZK106" s="17"/>
      <c r="UZL106" s="17"/>
      <c r="UZM106" s="17"/>
      <c r="UZN106" s="17"/>
      <c r="UZO106" s="17"/>
      <c r="UZP106" s="17"/>
      <c r="UZQ106" s="17"/>
      <c r="UZR106" s="17"/>
      <c r="UZS106" s="17"/>
      <c r="UZT106" s="17"/>
      <c r="UZU106" s="17"/>
      <c r="UZV106" s="17"/>
      <c r="UZW106" s="17"/>
      <c r="UZX106" s="17"/>
      <c r="UZY106" s="17"/>
      <c r="UZZ106" s="17"/>
      <c r="VAA106" s="17"/>
      <c r="VAB106" s="17"/>
      <c r="VAC106" s="17"/>
      <c r="VAD106" s="17"/>
      <c r="VAE106" s="17"/>
      <c r="VAF106" s="17"/>
      <c r="VAG106" s="17"/>
      <c r="VAH106" s="17"/>
      <c r="VAI106" s="17"/>
      <c r="VAJ106" s="17"/>
      <c r="VAK106" s="17"/>
      <c r="VAL106" s="17"/>
      <c r="VAM106" s="17"/>
      <c r="VAN106" s="17"/>
      <c r="VAO106" s="17"/>
      <c r="VAP106" s="17"/>
      <c r="VAQ106" s="17"/>
      <c r="VAR106" s="17"/>
      <c r="VAS106" s="17"/>
      <c r="VAT106" s="17"/>
      <c r="VAU106" s="17"/>
      <c r="VAV106" s="17"/>
      <c r="VAW106" s="17"/>
      <c r="VAX106" s="17"/>
      <c r="VAY106" s="17"/>
      <c r="VAZ106" s="17"/>
      <c r="VBA106" s="17"/>
      <c r="VBB106" s="17"/>
      <c r="VBC106" s="17"/>
      <c r="VBD106" s="17"/>
      <c r="VBE106" s="17"/>
      <c r="VBF106" s="17"/>
      <c r="VBG106" s="17"/>
      <c r="VBH106" s="17"/>
      <c r="VBI106" s="17"/>
      <c r="VBJ106" s="17"/>
      <c r="VBK106" s="17"/>
      <c r="VBL106" s="17"/>
      <c r="VBM106" s="17"/>
      <c r="VBN106" s="17"/>
      <c r="VBO106" s="17"/>
      <c r="VBP106" s="17"/>
      <c r="VBQ106" s="17"/>
      <c r="VBR106" s="17"/>
      <c r="VBS106" s="17"/>
      <c r="VBT106" s="17"/>
      <c r="VBU106" s="17"/>
      <c r="VBV106" s="17"/>
      <c r="VBW106" s="17"/>
      <c r="VBX106" s="17"/>
      <c r="VBY106" s="17"/>
      <c r="VBZ106" s="17"/>
      <c r="VCA106" s="17"/>
      <c r="VCB106" s="17"/>
      <c r="VCC106" s="17"/>
      <c r="VCD106" s="17"/>
      <c r="VCE106" s="17"/>
      <c r="VCF106" s="17"/>
      <c r="VCG106" s="17"/>
      <c r="VCH106" s="17"/>
      <c r="VCI106" s="17"/>
      <c r="VCJ106" s="17"/>
      <c r="VCK106" s="17"/>
      <c r="VCL106" s="17"/>
      <c r="VCM106" s="17"/>
      <c r="VCN106" s="17"/>
      <c r="VCO106" s="17"/>
      <c r="VCP106" s="17"/>
      <c r="VCQ106" s="17"/>
      <c r="VCR106" s="17"/>
      <c r="VCS106" s="17"/>
      <c r="VCT106" s="17"/>
      <c r="VCU106" s="17"/>
      <c r="VCV106" s="17"/>
      <c r="VCW106" s="17"/>
      <c r="VCX106" s="17"/>
      <c r="VCY106" s="17"/>
      <c r="VCZ106" s="17"/>
      <c r="VDA106" s="17"/>
      <c r="VDB106" s="17"/>
      <c r="VDC106" s="17"/>
      <c r="VDD106" s="17"/>
      <c r="VDE106" s="17"/>
      <c r="VDF106" s="17"/>
      <c r="VDG106" s="17"/>
      <c r="VDH106" s="17"/>
      <c r="VDI106" s="17"/>
      <c r="VDJ106" s="17"/>
      <c r="VDK106" s="17"/>
      <c r="VDL106" s="17"/>
      <c r="VDM106" s="17"/>
      <c r="VDN106" s="17"/>
      <c r="VDO106" s="17"/>
      <c r="VDP106" s="17"/>
      <c r="VDQ106" s="17"/>
      <c r="VDR106" s="17"/>
      <c r="VDS106" s="17"/>
      <c r="VDT106" s="17"/>
      <c r="VDU106" s="17"/>
      <c r="VDV106" s="17"/>
      <c r="VDW106" s="17"/>
      <c r="VDX106" s="17"/>
      <c r="VDY106" s="17"/>
      <c r="VDZ106" s="17"/>
      <c r="VEA106" s="17"/>
      <c r="VEB106" s="17"/>
      <c r="VEC106" s="17"/>
      <c r="VED106" s="17"/>
      <c r="VEE106" s="17"/>
      <c r="VEF106" s="17"/>
      <c r="VEG106" s="17"/>
      <c r="VEH106" s="17"/>
      <c r="VEI106" s="17"/>
      <c r="VEJ106" s="17"/>
      <c r="VEK106" s="17"/>
      <c r="VEL106" s="17"/>
      <c r="VEM106" s="17"/>
      <c r="VEN106" s="17"/>
      <c r="VEO106" s="17"/>
      <c r="VEP106" s="17"/>
      <c r="VEQ106" s="17"/>
      <c r="VER106" s="17"/>
      <c r="VES106" s="17"/>
      <c r="VET106" s="17"/>
      <c r="VEU106" s="17"/>
      <c r="VEV106" s="17"/>
      <c r="VEW106" s="17"/>
      <c r="VEX106" s="17"/>
      <c r="VEY106" s="17"/>
      <c r="VEZ106" s="17"/>
      <c r="VFA106" s="17"/>
      <c r="VFB106" s="17"/>
      <c r="VFC106" s="17"/>
      <c r="VFD106" s="17"/>
      <c r="VFE106" s="17"/>
      <c r="VFF106" s="17"/>
      <c r="VFG106" s="17"/>
      <c r="VFH106" s="17"/>
      <c r="VFI106" s="17"/>
      <c r="VFJ106" s="17"/>
      <c r="VFK106" s="17"/>
      <c r="VFL106" s="17"/>
      <c r="VFM106" s="17"/>
      <c r="VFN106" s="17"/>
      <c r="VFO106" s="17"/>
      <c r="VFP106" s="17"/>
      <c r="VFQ106" s="17"/>
      <c r="VFR106" s="17"/>
      <c r="VFS106" s="17"/>
      <c r="VFT106" s="17"/>
      <c r="VFU106" s="17"/>
      <c r="VFV106" s="17"/>
      <c r="VFW106" s="17"/>
      <c r="VFX106" s="17"/>
      <c r="VFY106" s="17"/>
      <c r="VFZ106" s="17"/>
      <c r="VGA106" s="17"/>
      <c r="VGB106" s="17"/>
      <c r="VGC106" s="17"/>
      <c r="VGD106" s="17"/>
      <c r="VGE106" s="17"/>
      <c r="VGF106" s="17"/>
      <c r="VGG106" s="17"/>
      <c r="VGH106" s="17"/>
      <c r="VGI106" s="17"/>
      <c r="VGJ106" s="17"/>
      <c r="VGK106" s="17"/>
      <c r="VGL106" s="17"/>
      <c r="VGM106" s="17"/>
      <c r="VGN106" s="17"/>
      <c r="VGO106" s="17"/>
      <c r="VGP106" s="17"/>
      <c r="VGQ106" s="17"/>
      <c r="VGR106" s="17"/>
      <c r="VGS106" s="17"/>
      <c r="VGT106" s="17"/>
      <c r="VGU106" s="17"/>
      <c r="VGV106" s="17"/>
      <c r="VGW106" s="17"/>
      <c r="VGX106" s="17"/>
      <c r="VGY106" s="17"/>
      <c r="VGZ106" s="17"/>
      <c r="VHA106" s="17"/>
      <c r="VHB106" s="17"/>
      <c r="VHC106" s="17"/>
      <c r="VHD106" s="17"/>
      <c r="VHE106" s="17"/>
      <c r="VHF106" s="17"/>
      <c r="VHG106" s="17"/>
      <c r="VHH106" s="17"/>
      <c r="VHI106" s="17"/>
      <c r="VHJ106" s="17"/>
      <c r="VHK106" s="17"/>
      <c r="VHL106" s="17"/>
      <c r="VHM106" s="17"/>
      <c r="VHN106" s="17"/>
      <c r="VHO106" s="17"/>
      <c r="VHP106" s="17"/>
      <c r="VHQ106" s="17"/>
      <c r="VHR106" s="17"/>
      <c r="VHS106" s="17"/>
      <c r="VHT106" s="17"/>
      <c r="VHU106" s="17"/>
      <c r="VHV106" s="17"/>
      <c r="VHW106" s="17"/>
      <c r="VHX106" s="17"/>
      <c r="VHY106" s="17"/>
      <c r="VHZ106" s="17"/>
      <c r="VIA106" s="17"/>
      <c r="VIB106" s="17"/>
      <c r="VIC106" s="17"/>
      <c r="VID106" s="17"/>
      <c r="VIE106" s="17"/>
      <c r="VIF106" s="17"/>
      <c r="VIG106" s="17"/>
      <c r="VIH106" s="17"/>
      <c r="VII106" s="17"/>
      <c r="VIJ106" s="17"/>
      <c r="VIK106" s="17"/>
      <c r="VIL106" s="17"/>
      <c r="VIM106" s="17"/>
      <c r="VIN106" s="17"/>
      <c r="VIO106" s="17"/>
      <c r="VIP106" s="17"/>
      <c r="VIQ106" s="17"/>
      <c r="VIR106" s="17"/>
      <c r="VIS106" s="17"/>
      <c r="VIT106" s="17"/>
      <c r="VIU106" s="17"/>
      <c r="VIV106" s="17"/>
      <c r="VIW106" s="17"/>
      <c r="VIX106" s="17"/>
      <c r="VIY106" s="17"/>
      <c r="VIZ106" s="17"/>
      <c r="VJA106" s="17"/>
      <c r="VJB106" s="17"/>
      <c r="VJC106" s="17"/>
      <c r="VJD106" s="17"/>
      <c r="VJE106" s="17"/>
      <c r="VJF106" s="17"/>
      <c r="VJG106" s="17"/>
      <c r="VJH106" s="17"/>
      <c r="VJI106" s="17"/>
      <c r="VJJ106" s="17"/>
      <c r="VJK106" s="17"/>
      <c r="VJL106" s="17"/>
      <c r="VJM106" s="17"/>
      <c r="VJN106" s="17"/>
      <c r="VJO106" s="17"/>
      <c r="VJP106" s="17"/>
      <c r="VJQ106" s="17"/>
      <c r="VJR106" s="17"/>
      <c r="VJS106" s="17"/>
      <c r="VJT106" s="17"/>
      <c r="VJU106" s="17"/>
      <c r="VJV106" s="17"/>
      <c r="VJW106" s="17"/>
      <c r="VJX106" s="17"/>
      <c r="VJY106" s="17"/>
      <c r="VJZ106" s="17"/>
      <c r="VKA106" s="17"/>
      <c r="VKB106" s="17"/>
      <c r="VKC106" s="17"/>
      <c r="VKD106" s="17"/>
      <c r="VKE106" s="17"/>
      <c r="VKF106" s="17"/>
      <c r="VKG106" s="17"/>
      <c r="VKH106" s="17"/>
      <c r="VKI106" s="17"/>
      <c r="VKJ106" s="17"/>
      <c r="VKK106" s="17"/>
      <c r="VKL106" s="17"/>
      <c r="VKM106" s="17"/>
      <c r="VKN106" s="17"/>
      <c r="VKO106" s="17"/>
      <c r="VKP106" s="17"/>
      <c r="VKQ106" s="17"/>
      <c r="VKR106" s="17"/>
      <c r="VKS106" s="17"/>
      <c r="VKT106" s="17"/>
      <c r="VKU106" s="17"/>
      <c r="VKV106" s="17"/>
      <c r="VKW106" s="17"/>
      <c r="VKX106" s="17"/>
      <c r="VKY106" s="17"/>
      <c r="VKZ106" s="17"/>
      <c r="VLA106" s="17"/>
      <c r="VLB106" s="17"/>
      <c r="VLC106" s="17"/>
      <c r="VLD106" s="17"/>
      <c r="VLE106" s="17"/>
      <c r="VLF106" s="17"/>
      <c r="VLG106" s="17"/>
      <c r="VLH106" s="17"/>
      <c r="VLI106" s="17"/>
      <c r="VLJ106" s="17"/>
      <c r="VLK106" s="17"/>
      <c r="VLL106" s="17"/>
      <c r="VLM106" s="17"/>
      <c r="VLN106" s="17"/>
      <c r="VLO106" s="17"/>
      <c r="VLP106" s="17"/>
      <c r="VLQ106" s="17"/>
      <c r="VLR106" s="17"/>
      <c r="VLS106" s="17"/>
      <c r="VLT106" s="17"/>
      <c r="VLU106" s="17"/>
      <c r="VLV106" s="17"/>
      <c r="VLW106" s="17"/>
      <c r="VLX106" s="17"/>
      <c r="VLY106" s="17"/>
      <c r="VLZ106" s="17"/>
      <c r="VMA106" s="17"/>
      <c r="VMB106" s="17"/>
      <c r="VMC106" s="17"/>
      <c r="VMD106" s="17"/>
      <c r="VME106" s="17"/>
      <c r="VMF106" s="17"/>
      <c r="VMG106" s="17"/>
      <c r="VMH106" s="17"/>
      <c r="VMI106" s="17"/>
      <c r="VMJ106" s="17"/>
      <c r="VMK106" s="17"/>
      <c r="VML106" s="17"/>
      <c r="VMM106" s="17"/>
      <c r="VMN106" s="17"/>
      <c r="VMO106" s="17"/>
      <c r="VMP106" s="17"/>
      <c r="VMQ106" s="17"/>
      <c r="VMR106" s="17"/>
      <c r="VMS106" s="17"/>
      <c r="VMT106" s="17"/>
      <c r="VMU106" s="17"/>
      <c r="VMV106" s="17"/>
      <c r="VMW106" s="17"/>
      <c r="VMX106" s="17"/>
      <c r="VMY106" s="17"/>
      <c r="VMZ106" s="17"/>
      <c r="VNA106" s="17"/>
      <c r="VNB106" s="17"/>
      <c r="VNC106" s="17"/>
      <c r="VND106" s="17"/>
      <c r="VNE106" s="17"/>
      <c r="VNF106" s="17"/>
      <c r="VNG106" s="17"/>
      <c r="VNH106" s="17"/>
      <c r="VNI106" s="17"/>
      <c r="VNJ106" s="17"/>
      <c r="VNK106" s="17"/>
      <c r="VNL106" s="17"/>
      <c r="VNM106" s="17"/>
      <c r="VNN106" s="17"/>
      <c r="VNO106" s="17"/>
      <c r="VNP106" s="17"/>
      <c r="VNQ106" s="17"/>
      <c r="VNR106" s="17"/>
      <c r="VNS106" s="17"/>
      <c r="VNT106" s="17"/>
      <c r="VNU106" s="17"/>
      <c r="VNV106" s="17"/>
      <c r="VNW106" s="17"/>
      <c r="VNX106" s="17"/>
      <c r="VNY106" s="17"/>
      <c r="VNZ106" s="17"/>
      <c r="VOA106" s="17"/>
      <c r="VOB106" s="17"/>
      <c r="VOC106" s="17"/>
      <c r="VOD106" s="17"/>
      <c r="VOE106" s="17"/>
      <c r="VOF106" s="17"/>
      <c r="VOG106" s="17"/>
      <c r="VOH106" s="17"/>
      <c r="VOI106" s="17"/>
      <c r="VOJ106" s="17"/>
      <c r="VOK106" s="17"/>
      <c r="VOL106" s="17"/>
      <c r="VOM106" s="17"/>
      <c r="VON106" s="17"/>
      <c r="VOO106" s="17"/>
      <c r="VOP106" s="17"/>
      <c r="VOQ106" s="17"/>
      <c r="VOR106" s="17"/>
      <c r="VOS106" s="17"/>
      <c r="VOT106" s="17"/>
      <c r="VOU106" s="17"/>
      <c r="VOV106" s="17"/>
      <c r="VOW106" s="17"/>
      <c r="VOX106" s="17"/>
      <c r="VOY106" s="17"/>
      <c r="VOZ106" s="17"/>
      <c r="VPA106" s="17"/>
      <c r="VPB106" s="17"/>
      <c r="VPC106" s="17"/>
      <c r="VPD106" s="17"/>
      <c r="VPE106" s="17"/>
      <c r="VPF106" s="17"/>
      <c r="VPG106" s="17"/>
      <c r="VPH106" s="17"/>
      <c r="VPI106" s="17"/>
      <c r="VPJ106" s="17"/>
      <c r="VPK106" s="17"/>
      <c r="VPL106" s="17"/>
      <c r="VPM106" s="17"/>
      <c r="VPN106" s="17"/>
      <c r="VPO106" s="17"/>
      <c r="VPP106" s="17"/>
      <c r="VPQ106" s="17"/>
      <c r="VPR106" s="17"/>
      <c r="VPS106" s="17"/>
      <c r="VPT106" s="17"/>
      <c r="VPU106" s="17"/>
      <c r="VPV106" s="17"/>
      <c r="VPW106" s="17"/>
      <c r="VPX106" s="17"/>
      <c r="VPY106" s="17"/>
      <c r="VPZ106" s="17"/>
      <c r="VQA106" s="17"/>
      <c r="VQB106" s="17"/>
      <c r="VQC106" s="17"/>
      <c r="VQD106" s="17"/>
      <c r="VQE106" s="17"/>
      <c r="VQF106" s="17"/>
      <c r="VQG106" s="17"/>
      <c r="VQH106" s="17"/>
      <c r="VQI106" s="17"/>
      <c r="VQJ106" s="17"/>
      <c r="VQK106" s="17"/>
      <c r="VQL106" s="17"/>
      <c r="VQM106" s="17"/>
      <c r="VQN106" s="17"/>
      <c r="VQO106" s="17"/>
      <c r="VQP106" s="17"/>
      <c r="VQQ106" s="17"/>
      <c r="VQR106" s="17"/>
      <c r="VQS106" s="17"/>
      <c r="VQT106" s="17"/>
      <c r="VQU106" s="17"/>
      <c r="VQV106" s="17"/>
      <c r="VQW106" s="17"/>
      <c r="VQX106" s="17"/>
      <c r="VQY106" s="17"/>
      <c r="VQZ106" s="17"/>
      <c r="VRA106" s="17"/>
      <c r="VRB106" s="17"/>
      <c r="VRC106" s="17"/>
      <c r="VRD106" s="17"/>
      <c r="VRE106" s="17"/>
      <c r="VRF106" s="17"/>
      <c r="VRG106" s="17"/>
      <c r="VRH106" s="17"/>
      <c r="VRI106" s="17"/>
      <c r="VRJ106" s="17"/>
      <c r="VRK106" s="17"/>
      <c r="VRL106" s="17"/>
      <c r="VRM106" s="17"/>
      <c r="VRN106" s="17"/>
      <c r="VRO106" s="17"/>
      <c r="VRP106" s="17"/>
      <c r="VRQ106" s="17"/>
      <c r="VRR106" s="17"/>
      <c r="VRS106" s="17"/>
      <c r="VRT106" s="17"/>
      <c r="VRU106" s="17"/>
      <c r="VRV106" s="17"/>
      <c r="VRW106" s="17"/>
      <c r="VRX106" s="17"/>
      <c r="VRY106" s="17"/>
      <c r="VRZ106" s="17"/>
      <c r="VSA106" s="17"/>
      <c r="VSB106" s="17"/>
      <c r="VSC106" s="17"/>
      <c r="VSD106" s="17"/>
      <c r="VSE106" s="17"/>
      <c r="VSF106" s="17"/>
      <c r="VSG106" s="17"/>
      <c r="VSH106" s="17"/>
      <c r="VSI106" s="17"/>
      <c r="VSJ106" s="17"/>
      <c r="VSK106" s="17"/>
      <c r="VSL106" s="17"/>
      <c r="VSM106" s="17"/>
      <c r="VSN106" s="17"/>
      <c r="VSO106" s="17"/>
      <c r="VSP106" s="17"/>
      <c r="VSQ106" s="17"/>
      <c r="VSR106" s="17"/>
      <c r="VSS106" s="17"/>
      <c r="VST106" s="17"/>
      <c r="VSU106" s="17"/>
      <c r="VSV106" s="17"/>
      <c r="VSW106" s="17"/>
      <c r="VSX106" s="17"/>
      <c r="VSY106" s="17"/>
      <c r="VSZ106" s="17"/>
      <c r="VTA106" s="17"/>
      <c r="VTB106" s="17"/>
      <c r="VTC106" s="17"/>
      <c r="VTD106" s="17"/>
      <c r="VTE106" s="17"/>
      <c r="VTF106" s="17"/>
      <c r="VTG106" s="17"/>
      <c r="VTH106" s="17"/>
      <c r="VTI106" s="17"/>
      <c r="VTJ106" s="17"/>
      <c r="VTK106" s="17"/>
      <c r="VTL106" s="17"/>
      <c r="VTM106" s="17"/>
      <c r="VTN106" s="17"/>
      <c r="VTO106" s="17"/>
      <c r="VTP106" s="17"/>
      <c r="VTQ106" s="17"/>
      <c r="VTR106" s="17"/>
      <c r="VTS106" s="17"/>
      <c r="VTT106" s="17"/>
      <c r="VTU106" s="17"/>
      <c r="VTV106" s="17"/>
      <c r="VTW106" s="17"/>
      <c r="VTX106" s="17"/>
      <c r="VTY106" s="17"/>
      <c r="VTZ106" s="17"/>
      <c r="VUA106" s="17"/>
      <c r="VUB106" s="17"/>
      <c r="VUC106" s="17"/>
      <c r="VUD106" s="17"/>
      <c r="VUE106" s="17"/>
      <c r="VUF106" s="17"/>
      <c r="VUG106" s="17"/>
      <c r="VUH106" s="17"/>
      <c r="VUI106" s="17"/>
      <c r="VUJ106" s="17"/>
      <c r="VUK106" s="17"/>
      <c r="VUL106" s="17"/>
      <c r="VUM106" s="17"/>
      <c r="VUN106" s="17"/>
      <c r="VUO106" s="17"/>
      <c r="VUP106" s="17"/>
      <c r="VUQ106" s="17"/>
      <c r="VUR106" s="17"/>
      <c r="VUS106" s="17"/>
      <c r="VUT106" s="17"/>
      <c r="VUU106" s="17"/>
      <c r="VUV106" s="17"/>
      <c r="VUW106" s="17"/>
      <c r="VUX106" s="17"/>
      <c r="VUY106" s="17"/>
      <c r="VUZ106" s="17"/>
      <c r="VVA106" s="17"/>
      <c r="VVB106" s="17"/>
      <c r="VVC106" s="17"/>
      <c r="VVD106" s="17"/>
      <c r="VVE106" s="17"/>
      <c r="VVF106" s="17"/>
      <c r="VVG106" s="17"/>
      <c r="VVH106" s="17"/>
      <c r="VVI106" s="17"/>
      <c r="VVJ106" s="17"/>
      <c r="VVK106" s="17"/>
      <c r="VVL106" s="17"/>
      <c r="VVM106" s="17"/>
      <c r="VVN106" s="17"/>
      <c r="VVO106" s="17"/>
      <c r="VVP106" s="17"/>
      <c r="VVQ106" s="17"/>
      <c r="VVR106" s="17"/>
      <c r="VVS106" s="17"/>
      <c r="VVT106" s="17"/>
      <c r="VVU106" s="17"/>
      <c r="VVV106" s="17"/>
      <c r="VVW106" s="17"/>
      <c r="VVX106" s="17"/>
      <c r="VVY106" s="17"/>
      <c r="VVZ106" s="17"/>
      <c r="VWA106" s="17"/>
      <c r="VWB106" s="17"/>
      <c r="VWC106" s="17"/>
      <c r="VWD106" s="17"/>
      <c r="VWE106" s="17"/>
      <c r="VWF106" s="17"/>
      <c r="VWG106" s="17"/>
      <c r="VWH106" s="17"/>
      <c r="VWI106" s="17"/>
      <c r="VWJ106" s="17"/>
      <c r="VWK106" s="17"/>
      <c r="VWL106" s="17"/>
      <c r="VWM106" s="17"/>
      <c r="VWN106" s="17"/>
      <c r="VWO106" s="17"/>
      <c r="VWP106" s="17"/>
      <c r="VWQ106" s="17"/>
      <c r="VWR106" s="17"/>
      <c r="VWS106" s="17"/>
      <c r="VWT106" s="17"/>
      <c r="VWU106" s="17"/>
      <c r="VWV106" s="17"/>
      <c r="VWW106" s="17"/>
      <c r="VWX106" s="17"/>
      <c r="VWY106" s="17"/>
      <c r="VWZ106" s="17"/>
      <c r="VXA106" s="17"/>
      <c r="VXB106" s="17"/>
      <c r="VXC106" s="17"/>
      <c r="VXD106" s="17"/>
      <c r="VXE106" s="17"/>
      <c r="VXF106" s="17"/>
      <c r="VXG106" s="17"/>
      <c r="VXH106" s="17"/>
      <c r="VXI106" s="17"/>
      <c r="VXJ106" s="17"/>
      <c r="VXK106" s="17"/>
      <c r="VXL106" s="17"/>
      <c r="VXM106" s="17"/>
      <c r="VXN106" s="17"/>
      <c r="VXO106" s="17"/>
      <c r="VXP106" s="17"/>
      <c r="VXQ106" s="17"/>
      <c r="VXR106" s="17"/>
      <c r="VXS106" s="17"/>
      <c r="VXT106" s="17"/>
      <c r="VXU106" s="17"/>
      <c r="VXV106" s="17"/>
      <c r="VXW106" s="17"/>
      <c r="VXX106" s="17"/>
      <c r="VXY106" s="17"/>
      <c r="VXZ106" s="17"/>
      <c r="VYA106" s="17"/>
      <c r="VYB106" s="17"/>
      <c r="VYC106" s="17"/>
      <c r="VYD106" s="17"/>
      <c r="VYE106" s="17"/>
      <c r="VYF106" s="17"/>
      <c r="VYG106" s="17"/>
      <c r="VYH106" s="17"/>
      <c r="VYI106" s="17"/>
      <c r="VYJ106" s="17"/>
      <c r="VYK106" s="17"/>
      <c r="VYL106" s="17"/>
      <c r="VYM106" s="17"/>
      <c r="VYN106" s="17"/>
      <c r="VYO106" s="17"/>
      <c r="VYP106" s="17"/>
      <c r="VYQ106" s="17"/>
      <c r="VYR106" s="17"/>
      <c r="VYS106" s="17"/>
      <c r="VYT106" s="17"/>
      <c r="VYU106" s="17"/>
      <c r="VYV106" s="17"/>
      <c r="VYW106" s="17"/>
      <c r="VYX106" s="17"/>
      <c r="VYY106" s="17"/>
      <c r="VYZ106" s="17"/>
      <c r="VZA106" s="17"/>
      <c r="VZB106" s="17"/>
      <c r="VZC106" s="17"/>
      <c r="VZD106" s="17"/>
      <c r="VZE106" s="17"/>
      <c r="VZF106" s="17"/>
      <c r="VZG106" s="17"/>
      <c r="VZH106" s="17"/>
      <c r="VZI106" s="17"/>
      <c r="VZJ106" s="17"/>
      <c r="VZK106" s="17"/>
      <c r="VZL106" s="17"/>
      <c r="VZM106" s="17"/>
      <c r="VZN106" s="17"/>
      <c r="VZO106" s="17"/>
      <c r="VZP106" s="17"/>
      <c r="VZQ106" s="17"/>
      <c r="VZR106" s="17"/>
      <c r="VZS106" s="17"/>
      <c r="VZT106" s="17"/>
      <c r="VZU106" s="17"/>
      <c r="VZV106" s="17"/>
      <c r="VZW106" s="17"/>
      <c r="VZX106" s="17"/>
      <c r="VZY106" s="17"/>
      <c r="VZZ106" s="17"/>
      <c r="WAA106" s="17"/>
      <c r="WAB106" s="17"/>
      <c r="WAC106" s="17"/>
      <c r="WAD106" s="17"/>
      <c r="WAE106" s="17"/>
      <c r="WAF106" s="17"/>
      <c r="WAG106" s="17"/>
      <c r="WAH106" s="17"/>
      <c r="WAI106" s="17"/>
      <c r="WAJ106" s="17"/>
      <c r="WAK106" s="17"/>
      <c r="WAL106" s="17"/>
      <c r="WAM106" s="17"/>
      <c r="WAN106" s="17"/>
      <c r="WAO106" s="17"/>
      <c r="WAP106" s="17"/>
      <c r="WAQ106" s="17"/>
      <c r="WAR106" s="17"/>
      <c r="WAS106" s="17"/>
      <c r="WAT106" s="17"/>
      <c r="WAU106" s="17"/>
      <c r="WAV106" s="17"/>
      <c r="WAW106" s="17"/>
      <c r="WAX106" s="17"/>
      <c r="WAY106" s="17"/>
      <c r="WAZ106" s="17"/>
      <c r="WBA106" s="17"/>
      <c r="WBB106" s="17"/>
      <c r="WBC106" s="17"/>
      <c r="WBD106" s="17"/>
      <c r="WBE106" s="17"/>
      <c r="WBF106" s="17"/>
      <c r="WBG106" s="17"/>
      <c r="WBH106" s="17"/>
      <c r="WBI106" s="17"/>
      <c r="WBJ106" s="17"/>
      <c r="WBK106" s="17"/>
      <c r="WBL106" s="17"/>
      <c r="WBM106" s="17"/>
      <c r="WBN106" s="17"/>
      <c r="WBO106" s="17"/>
      <c r="WBP106" s="17"/>
      <c r="WBQ106" s="17"/>
      <c r="WBR106" s="17"/>
      <c r="WBS106" s="17"/>
      <c r="WBT106" s="17"/>
      <c r="WBU106" s="17"/>
      <c r="WBV106" s="17"/>
      <c r="WBW106" s="17"/>
      <c r="WBX106" s="17"/>
      <c r="WBY106" s="17"/>
      <c r="WBZ106" s="17"/>
      <c r="WCA106" s="17"/>
      <c r="WCB106" s="17"/>
      <c r="WCC106" s="17"/>
      <c r="WCD106" s="17"/>
      <c r="WCE106" s="17"/>
      <c r="WCF106" s="17"/>
      <c r="WCG106" s="17"/>
      <c r="WCH106" s="17"/>
      <c r="WCI106" s="17"/>
      <c r="WCJ106" s="17"/>
      <c r="WCK106" s="17"/>
      <c r="WCL106" s="17"/>
      <c r="WCM106" s="17"/>
      <c r="WCN106" s="17"/>
      <c r="WCO106" s="17"/>
      <c r="WCP106" s="17"/>
      <c r="WCQ106" s="17"/>
      <c r="WCR106" s="17"/>
      <c r="WCS106" s="17"/>
      <c r="WCT106" s="17"/>
      <c r="WCU106" s="17"/>
      <c r="WCV106" s="17"/>
      <c r="WCW106" s="17"/>
      <c r="WCX106" s="17"/>
      <c r="WCY106" s="17"/>
      <c r="WCZ106" s="17"/>
      <c r="WDA106" s="17"/>
      <c r="WDB106" s="17"/>
      <c r="WDC106" s="17"/>
      <c r="WDD106" s="17"/>
      <c r="WDE106" s="17"/>
      <c r="WDF106" s="17"/>
      <c r="WDG106" s="17"/>
      <c r="WDH106" s="17"/>
      <c r="WDI106" s="17"/>
      <c r="WDJ106" s="17"/>
      <c r="WDK106" s="17"/>
      <c r="WDL106" s="17"/>
      <c r="WDM106" s="17"/>
      <c r="WDN106" s="17"/>
      <c r="WDO106" s="17"/>
      <c r="WDP106" s="17"/>
      <c r="WDQ106" s="17"/>
      <c r="WDR106" s="17"/>
      <c r="WDS106" s="17"/>
      <c r="WDT106" s="17"/>
      <c r="WDU106" s="17"/>
      <c r="WDV106" s="17"/>
      <c r="WDW106" s="17"/>
      <c r="WDX106" s="17"/>
      <c r="WDY106" s="17"/>
      <c r="WDZ106" s="17"/>
      <c r="WEA106" s="17"/>
      <c r="WEB106" s="17"/>
      <c r="WEC106" s="17"/>
      <c r="WED106" s="17"/>
      <c r="WEE106" s="17"/>
      <c r="WEF106" s="17"/>
      <c r="WEG106" s="17"/>
      <c r="WEH106" s="17"/>
      <c r="WEI106" s="17"/>
      <c r="WEJ106" s="17"/>
      <c r="WEK106" s="17"/>
      <c r="WEL106" s="17"/>
      <c r="WEM106" s="17"/>
      <c r="WEN106" s="17"/>
      <c r="WEO106" s="17"/>
      <c r="WEP106" s="17"/>
      <c r="WEQ106" s="17"/>
      <c r="WER106" s="17"/>
      <c r="WES106" s="17"/>
      <c r="WET106" s="17"/>
      <c r="WEU106" s="17"/>
      <c r="WEV106" s="17"/>
      <c r="WEW106" s="17"/>
      <c r="WEX106" s="17"/>
      <c r="WEY106" s="17"/>
      <c r="WEZ106" s="17"/>
      <c r="WFA106" s="17"/>
      <c r="WFB106" s="17"/>
      <c r="WFC106" s="17"/>
      <c r="WFD106" s="17"/>
      <c r="WFE106" s="17"/>
      <c r="WFF106" s="17"/>
      <c r="WFG106" s="17"/>
      <c r="WFH106" s="17"/>
      <c r="WFI106" s="17"/>
      <c r="WFJ106" s="17"/>
      <c r="WFK106" s="17"/>
      <c r="WFL106" s="17"/>
      <c r="WFM106" s="17"/>
      <c r="WFN106" s="17"/>
      <c r="WFO106" s="17"/>
      <c r="WFP106" s="17"/>
      <c r="WFQ106" s="17"/>
      <c r="WFR106" s="17"/>
      <c r="WFS106" s="17"/>
      <c r="WFT106" s="17"/>
      <c r="WFU106" s="17"/>
      <c r="WFV106" s="17"/>
      <c r="WFW106" s="17"/>
      <c r="WFX106" s="17"/>
      <c r="WFY106" s="17"/>
      <c r="WFZ106" s="17"/>
      <c r="WGA106" s="17"/>
      <c r="WGB106" s="17"/>
      <c r="WGC106" s="17"/>
      <c r="WGD106" s="17"/>
      <c r="WGE106" s="17"/>
      <c r="WGF106" s="17"/>
      <c r="WGG106" s="17"/>
      <c r="WGH106" s="17"/>
      <c r="WGI106" s="17"/>
      <c r="WGJ106" s="17"/>
      <c r="WGK106" s="17"/>
      <c r="WGL106" s="17"/>
      <c r="WGM106" s="17"/>
      <c r="WGN106" s="17"/>
      <c r="WGO106" s="17"/>
      <c r="WGP106" s="17"/>
      <c r="WGQ106" s="17"/>
      <c r="WGR106" s="17"/>
      <c r="WGS106" s="17"/>
      <c r="WGT106" s="17"/>
      <c r="WGU106" s="17"/>
      <c r="WGV106" s="17"/>
      <c r="WGW106" s="17"/>
      <c r="WGX106" s="17"/>
      <c r="WGY106" s="17"/>
      <c r="WGZ106" s="17"/>
      <c r="WHA106" s="17"/>
      <c r="WHB106" s="17"/>
      <c r="WHC106" s="17"/>
      <c r="WHD106" s="17"/>
      <c r="WHE106" s="17"/>
      <c r="WHF106" s="17"/>
      <c r="WHG106" s="17"/>
      <c r="WHH106" s="17"/>
      <c r="WHI106" s="17"/>
      <c r="WHJ106" s="17"/>
      <c r="WHK106" s="17"/>
      <c r="WHL106" s="17"/>
      <c r="WHM106" s="17"/>
      <c r="WHN106" s="17"/>
      <c r="WHO106" s="17"/>
      <c r="WHP106" s="17"/>
      <c r="WHQ106" s="17"/>
      <c r="WHR106" s="17"/>
      <c r="WHS106" s="17"/>
      <c r="WHT106" s="17"/>
      <c r="WHU106" s="17"/>
      <c r="WHV106" s="17"/>
      <c r="WHW106" s="17"/>
      <c r="WHX106" s="17"/>
      <c r="WHY106" s="17"/>
      <c r="WHZ106" s="17"/>
      <c r="WIA106" s="17"/>
      <c r="WIB106" s="17"/>
      <c r="WIC106" s="17"/>
      <c r="WID106" s="17"/>
      <c r="WIE106" s="17"/>
      <c r="WIF106" s="17"/>
      <c r="WIG106" s="17"/>
      <c r="WIH106" s="17"/>
      <c r="WII106" s="17"/>
      <c r="WIJ106" s="17"/>
      <c r="WIK106" s="17"/>
      <c r="WIL106" s="17"/>
      <c r="WIM106" s="17"/>
      <c r="WIN106" s="17"/>
      <c r="WIO106" s="17"/>
      <c r="WIP106" s="17"/>
      <c r="WIQ106" s="17"/>
      <c r="WIR106" s="17"/>
      <c r="WIS106" s="17"/>
      <c r="WIT106" s="17"/>
      <c r="WIU106" s="17"/>
      <c r="WIV106" s="17"/>
      <c r="WIW106" s="17"/>
      <c r="WIX106" s="17"/>
      <c r="WIY106" s="17"/>
      <c r="WIZ106" s="17"/>
      <c r="WJA106" s="17"/>
      <c r="WJB106" s="17"/>
      <c r="WJC106" s="17"/>
      <c r="WJD106" s="17"/>
      <c r="WJE106" s="17"/>
      <c r="WJF106" s="17"/>
      <c r="WJG106" s="17"/>
      <c r="WJH106" s="17"/>
      <c r="WJI106" s="17"/>
      <c r="WJJ106" s="17"/>
      <c r="WJK106" s="17"/>
      <c r="WJL106" s="17"/>
      <c r="WJM106" s="17"/>
      <c r="WJN106" s="17"/>
      <c r="WJO106" s="17"/>
      <c r="WJP106" s="17"/>
      <c r="WJQ106" s="17"/>
      <c r="WJR106" s="17"/>
      <c r="WJS106" s="17"/>
      <c r="WJT106" s="17"/>
      <c r="WJU106" s="17"/>
      <c r="WJV106" s="17"/>
      <c r="WJW106" s="17"/>
      <c r="WJX106" s="17"/>
      <c r="WJY106" s="17"/>
      <c r="WJZ106" s="17"/>
      <c r="WKA106" s="17"/>
      <c r="WKB106" s="17"/>
      <c r="WKC106" s="17"/>
      <c r="WKD106" s="17"/>
      <c r="WKE106" s="17"/>
      <c r="WKF106" s="17"/>
      <c r="WKG106" s="17"/>
      <c r="WKH106" s="17"/>
      <c r="WKI106" s="17"/>
      <c r="WKJ106" s="17"/>
      <c r="WKK106" s="17"/>
      <c r="WKL106" s="17"/>
      <c r="WKM106" s="17"/>
      <c r="WKN106" s="17"/>
      <c r="WKO106" s="17"/>
      <c r="WKP106" s="17"/>
      <c r="WKQ106" s="17"/>
      <c r="WKR106" s="17"/>
      <c r="WKS106" s="17"/>
      <c r="WKT106" s="17"/>
      <c r="WKU106" s="17"/>
      <c r="WKV106" s="17"/>
      <c r="WKW106" s="17"/>
      <c r="WKX106" s="17"/>
      <c r="WKY106" s="17"/>
      <c r="WKZ106" s="17"/>
      <c r="WLA106" s="17"/>
      <c r="WLB106" s="17"/>
      <c r="WLC106" s="17"/>
      <c r="WLD106" s="17"/>
      <c r="WLE106" s="17"/>
      <c r="WLF106" s="17"/>
      <c r="WLG106" s="17"/>
      <c r="WLH106" s="17"/>
      <c r="WLI106" s="17"/>
      <c r="WLJ106" s="17"/>
      <c r="WLK106" s="17"/>
      <c r="WLL106" s="17"/>
      <c r="WLM106" s="17"/>
      <c r="WLN106" s="17"/>
      <c r="WLO106" s="17"/>
      <c r="WLP106" s="17"/>
      <c r="WLQ106" s="17"/>
      <c r="WLR106" s="17"/>
      <c r="WLS106" s="17"/>
      <c r="WLT106" s="17"/>
      <c r="WLU106" s="17"/>
      <c r="WLV106" s="17"/>
      <c r="WLW106" s="17"/>
      <c r="WLX106" s="17"/>
      <c r="WLY106" s="17"/>
      <c r="WLZ106" s="17"/>
      <c r="WMA106" s="17"/>
      <c r="WMB106" s="17"/>
      <c r="WMC106" s="17"/>
      <c r="WMD106" s="17"/>
      <c r="WME106" s="17"/>
      <c r="WMF106" s="17"/>
      <c r="WMG106" s="17"/>
      <c r="WMH106" s="17"/>
      <c r="WMI106" s="17"/>
      <c r="WMJ106" s="17"/>
      <c r="WMK106" s="17"/>
      <c r="WML106" s="17"/>
      <c r="WMM106" s="17"/>
      <c r="WMN106" s="17"/>
      <c r="WMO106" s="17"/>
      <c r="WMP106" s="17"/>
      <c r="WMQ106" s="17"/>
      <c r="WMR106" s="17"/>
      <c r="WMS106" s="17"/>
      <c r="WMT106" s="17"/>
      <c r="WMU106" s="17"/>
      <c r="WMV106" s="17"/>
      <c r="WMW106" s="17"/>
      <c r="WMX106" s="17"/>
      <c r="WMY106" s="17"/>
      <c r="WMZ106" s="17"/>
      <c r="WNA106" s="17"/>
      <c r="WNB106" s="17"/>
      <c r="WNC106" s="17"/>
      <c r="WND106" s="17"/>
      <c r="WNE106" s="17"/>
      <c r="WNF106" s="17"/>
      <c r="WNG106" s="17"/>
      <c r="WNH106" s="17"/>
      <c r="WNI106" s="17"/>
      <c r="WNJ106" s="17"/>
      <c r="WNK106" s="17"/>
      <c r="WNL106" s="17"/>
      <c r="WNM106" s="17"/>
      <c r="WNN106" s="17"/>
      <c r="WNO106" s="17"/>
      <c r="WNP106" s="17"/>
      <c r="WNQ106" s="17"/>
      <c r="WNR106" s="17"/>
      <c r="WNS106" s="17"/>
      <c r="WNT106" s="17"/>
      <c r="WNU106" s="17"/>
      <c r="WNV106" s="17"/>
      <c r="WNW106" s="17"/>
      <c r="WNX106" s="17"/>
      <c r="WNY106" s="17"/>
      <c r="WNZ106" s="17"/>
      <c r="WOA106" s="17"/>
      <c r="WOB106" s="17"/>
      <c r="WOC106" s="17"/>
      <c r="WOD106" s="17"/>
      <c r="WOE106" s="17"/>
      <c r="WOF106" s="17"/>
      <c r="WOG106" s="17"/>
      <c r="WOH106" s="17"/>
      <c r="WOI106" s="17"/>
      <c r="WOJ106" s="17"/>
      <c r="WOK106" s="17"/>
      <c r="WOL106" s="17"/>
      <c r="WOM106" s="17"/>
      <c r="WON106" s="17"/>
      <c r="WOO106" s="17"/>
      <c r="WOP106" s="17"/>
      <c r="WOQ106" s="17"/>
      <c r="WOR106" s="17"/>
      <c r="WOS106" s="17"/>
      <c r="WOT106" s="17"/>
      <c r="WOU106" s="17"/>
      <c r="WOV106" s="17"/>
      <c r="WOW106" s="17"/>
      <c r="WOX106" s="17"/>
      <c r="WOY106" s="17"/>
      <c r="WOZ106" s="17"/>
      <c r="WPA106" s="17"/>
      <c r="WPB106" s="17"/>
      <c r="WPC106" s="17"/>
      <c r="WPD106" s="17"/>
      <c r="WPE106" s="17"/>
      <c r="WPF106" s="17"/>
      <c r="WPG106" s="17"/>
      <c r="WPH106" s="17"/>
      <c r="WPI106" s="17"/>
      <c r="WPJ106" s="17"/>
      <c r="WPK106" s="17"/>
      <c r="WPL106" s="17"/>
      <c r="WPM106" s="17"/>
      <c r="WPN106" s="17"/>
      <c r="WPO106" s="17"/>
      <c r="WPP106" s="17"/>
      <c r="WPQ106" s="17"/>
      <c r="WPR106" s="17"/>
      <c r="WPS106" s="17"/>
      <c r="WPT106" s="17"/>
      <c r="WPU106" s="17"/>
      <c r="WPV106" s="17"/>
      <c r="WPW106" s="17"/>
      <c r="WPX106" s="17"/>
      <c r="WPY106" s="17"/>
      <c r="WPZ106" s="17"/>
      <c r="WQA106" s="17"/>
      <c r="WQB106" s="17"/>
      <c r="WQC106" s="17"/>
      <c r="WQD106" s="17"/>
      <c r="WQE106" s="17"/>
      <c r="WQF106" s="17"/>
      <c r="WQG106" s="17"/>
      <c r="WQH106" s="17"/>
      <c r="WQI106" s="17"/>
      <c r="WQJ106" s="17"/>
      <c r="WQK106" s="17"/>
      <c r="WQL106" s="17"/>
      <c r="WQM106" s="17"/>
      <c r="WQN106" s="17"/>
      <c r="WQO106" s="17"/>
      <c r="WQP106" s="17"/>
      <c r="WQQ106" s="17"/>
      <c r="WQR106" s="17"/>
      <c r="WQS106" s="17"/>
      <c r="WQT106" s="17"/>
      <c r="WQU106" s="17"/>
      <c r="WQV106" s="17"/>
      <c r="WQW106" s="17"/>
      <c r="WQX106" s="17"/>
      <c r="WQY106" s="17"/>
      <c r="WQZ106" s="17"/>
      <c r="WRA106" s="17"/>
      <c r="WRB106" s="17"/>
      <c r="WRC106" s="17"/>
      <c r="WRD106" s="17"/>
      <c r="WRE106" s="17"/>
      <c r="WRF106" s="17"/>
      <c r="WRG106" s="17"/>
      <c r="WRH106" s="17"/>
      <c r="WRI106" s="17"/>
      <c r="WRJ106" s="17"/>
      <c r="WRK106" s="17"/>
      <c r="WRL106" s="17"/>
      <c r="WRM106" s="17"/>
      <c r="WRN106" s="17"/>
      <c r="WRO106" s="17"/>
      <c r="WRP106" s="17"/>
      <c r="WRQ106" s="17"/>
      <c r="WRR106" s="17"/>
      <c r="WRS106" s="17"/>
      <c r="WRT106" s="17"/>
      <c r="WRU106" s="17"/>
      <c r="WRV106" s="17"/>
      <c r="WRW106" s="17"/>
      <c r="WRX106" s="17"/>
      <c r="WRY106" s="17"/>
      <c r="WRZ106" s="17"/>
      <c r="WSA106" s="17"/>
      <c r="WSB106" s="17"/>
      <c r="WSC106" s="17"/>
      <c r="WSD106" s="17"/>
      <c r="WSE106" s="17"/>
      <c r="WSF106" s="17"/>
      <c r="WSG106" s="17"/>
      <c r="WSH106" s="17"/>
      <c r="WSI106" s="17"/>
      <c r="WSJ106" s="17"/>
      <c r="WSK106" s="17"/>
      <c r="WSL106" s="17"/>
      <c r="WSM106" s="17"/>
      <c r="WSN106" s="17"/>
      <c r="WSO106" s="17"/>
      <c r="WSP106" s="17"/>
      <c r="WSQ106" s="17"/>
      <c r="WSR106" s="17"/>
      <c r="WSS106" s="17"/>
      <c r="WST106" s="17"/>
      <c r="WSU106" s="17"/>
      <c r="WSV106" s="17"/>
      <c r="WSW106" s="17"/>
      <c r="WSX106" s="17"/>
      <c r="WSY106" s="17"/>
      <c r="WSZ106" s="17"/>
      <c r="WTA106" s="17"/>
      <c r="WTB106" s="17"/>
      <c r="WTC106" s="17"/>
      <c r="WTD106" s="17"/>
      <c r="WTE106" s="17"/>
      <c r="WTF106" s="17"/>
      <c r="WTG106" s="17"/>
      <c r="WTH106" s="17"/>
      <c r="WTI106" s="17"/>
      <c r="WTJ106" s="17"/>
      <c r="WTK106" s="17"/>
      <c r="WTL106" s="17"/>
      <c r="WTM106" s="17"/>
      <c r="WTN106" s="17"/>
      <c r="WTO106" s="17"/>
      <c r="WTP106" s="17"/>
      <c r="WTQ106" s="17"/>
      <c r="WTR106" s="17"/>
      <c r="WTS106" s="17"/>
      <c r="WTT106" s="17"/>
      <c r="WTU106" s="17"/>
      <c r="WTV106" s="17"/>
      <c r="WTW106" s="17"/>
      <c r="WTX106" s="17"/>
      <c r="WTY106" s="17"/>
      <c r="WTZ106" s="17"/>
      <c r="WUA106" s="17"/>
      <c r="WUB106" s="17"/>
      <c r="WUC106" s="17"/>
      <c r="WUD106" s="17"/>
      <c r="WUE106" s="17"/>
      <c r="WUF106" s="17"/>
      <c r="WUG106" s="17"/>
      <c r="WUH106" s="17"/>
      <c r="WUI106" s="17"/>
      <c r="WUJ106" s="17"/>
      <c r="WUK106" s="17"/>
      <c r="WUL106" s="17"/>
      <c r="WUM106" s="17"/>
      <c r="WUN106" s="17"/>
      <c r="WUO106" s="17"/>
      <c r="WUP106" s="17"/>
      <c r="WUQ106" s="17"/>
      <c r="WUR106" s="17"/>
      <c r="WUS106" s="17"/>
      <c r="WUT106" s="17"/>
      <c r="WUU106" s="17"/>
      <c r="WUV106" s="17"/>
      <c r="WUW106" s="17"/>
      <c r="WUX106" s="17"/>
      <c r="WUY106" s="17"/>
      <c r="WUZ106" s="17"/>
      <c r="WVA106" s="17"/>
      <c r="WVB106" s="17"/>
      <c r="WVC106" s="17"/>
      <c r="WVD106" s="17"/>
      <c r="WVE106" s="17"/>
      <c r="WVF106" s="17"/>
      <c r="WVG106" s="17"/>
      <c r="WVH106" s="17"/>
      <c r="WVI106" s="17"/>
      <c r="WVJ106" s="17"/>
      <c r="WVK106" s="17"/>
      <c r="WVL106" s="17"/>
      <c r="WVM106" s="17"/>
      <c r="WVN106" s="17"/>
      <c r="WVO106" s="17"/>
      <c r="WVP106" s="17"/>
      <c r="WVQ106" s="17"/>
      <c r="WVR106" s="17"/>
      <c r="WVS106" s="17"/>
      <c r="WVT106" s="17"/>
      <c r="WVU106" s="17"/>
      <c r="WVV106" s="17"/>
      <c r="WVW106" s="17"/>
      <c r="WVX106" s="17"/>
      <c r="WVY106" s="17"/>
      <c r="WVZ106" s="17"/>
      <c r="WWA106" s="17"/>
      <c r="WWB106" s="17"/>
      <c r="WWC106" s="17"/>
      <c r="WWD106" s="17"/>
      <c r="WWE106" s="17"/>
      <c r="WWF106" s="17"/>
      <c r="WWG106" s="17"/>
      <c r="WWH106" s="17"/>
      <c r="WWI106" s="17"/>
      <c r="WWJ106" s="17"/>
      <c r="WWK106" s="17"/>
      <c r="WWL106" s="17"/>
      <c r="WWM106" s="17"/>
      <c r="WWN106" s="17"/>
      <c r="WWO106" s="17"/>
      <c r="WWP106" s="17"/>
      <c r="WWQ106" s="17"/>
      <c r="WWR106" s="17"/>
      <c r="WWS106" s="17"/>
      <c r="WWT106" s="17"/>
      <c r="WWU106" s="17"/>
      <c r="WWV106" s="17"/>
      <c r="WWW106" s="17"/>
      <c r="WWX106" s="17"/>
      <c r="WWY106" s="17"/>
      <c r="WWZ106" s="17"/>
      <c r="WXA106" s="17"/>
      <c r="WXB106" s="17"/>
      <c r="WXC106" s="17"/>
      <c r="WXD106" s="17"/>
      <c r="WXE106" s="17"/>
      <c r="WXF106" s="17"/>
      <c r="WXG106" s="17"/>
      <c r="WXH106" s="17"/>
      <c r="WXI106" s="17"/>
      <c r="WXJ106" s="17"/>
      <c r="WXK106" s="17"/>
      <c r="WXL106" s="17"/>
      <c r="WXM106" s="17"/>
      <c r="WXN106" s="17"/>
      <c r="WXO106" s="17"/>
      <c r="WXP106" s="17"/>
      <c r="WXQ106" s="17"/>
      <c r="WXR106" s="17"/>
      <c r="WXS106" s="17"/>
      <c r="WXT106" s="17"/>
      <c r="WXU106" s="17"/>
      <c r="WXV106" s="17"/>
      <c r="WXW106" s="17"/>
      <c r="WXX106" s="17"/>
      <c r="WXY106" s="17"/>
      <c r="WXZ106" s="17"/>
      <c r="WYA106" s="17"/>
      <c r="WYB106" s="17"/>
      <c r="WYC106" s="17"/>
      <c r="WYD106" s="17"/>
      <c r="WYE106" s="17"/>
      <c r="WYF106" s="17"/>
      <c r="WYG106" s="17"/>
      <c r="WYH106" s="17"/>
      <c r="WYI106" s="17"/>
      <c r="WYJ106" s="17"/>
      <c r="WYK106" s="17"/>
      <c r="WYL106" s="17"/>
      <c r="WYM106" s="17"/>
      <c r="WYN106" s="17"/>
      <c r="WYO106" s="17"/>
      <c r="WYP106" s="17"/>
      <c r="WYQ106" s="17"/>
      <c r="WYR106" s="17"/>
      <c r="WYS106" s="17"/>
      <c r="WYT106" s="17"/>
      <c r="WYU106" s="17"/>
      <c r="WYV106" s="17"/>
      <c r="WYW106" s="17"/>
      <c r="WYX106" s="17"/>
      <c r="WYY106" s="17"/>
      <c r="WYZ106" s="17"/>
      <c r="WZA106" s="17"/>
      <c r="WZB106" s="17"/>
      <c r="WZC106" s="17"/>
      <c r="WZD106" s="17"/>
      <c r="WZE106" s="17"/>
      <c r="WZF106" s="17"/>
      <c r="WZG106" s="17"/>
      <c r="WZH106" s="17"/>
      <c r="WZI106" s="17"/>
      <c r="WZJ106" s="17"/>
      <c r="WZK106" s="17"/>
      <c r="WZL106" s="17"/>
      <c r="WZM106" s="17"/>
      <c r="WZN106" s="17"/>
      <c r="WZO106" s="17"/>
      <c r="WZP106" s="17"/>
      <c r="WZQ106" s="17"/>
      <c r="WZR106" s="17"/>
      <c r="WZS106" s="17"/>
      <c r="WZT106" s="17"/>
      <c r="WZU106" s="17"/>
      <c r="WZV106" s="17"/>
      <c r="WZW106" s="17"/>
      <c r="WZX106" s="17"/>
      <c r="WZY106" s="17"/>
      <c r="WZZ106" s="17"/>
      <c r="XAA106" s="17"/>
      <c r="XAB106" s="17"/>
      <c r="XAC106" s="17"/>
      <c r="XAD106" s="17"/>
      <c r="XAE106" s="17"/>
      <c r="XAF106" s="17"/>
      <c r="XAG106" s="17"/>
      <c r="XAH106" s="17"/>
      <c r="XAI106" s="17"/>
      <c r="XAJ106" s="17"/>
      <c r="XAK106" s="17"/>
      <c r="XAL106" s="17"/>
      <c r="XAM106" s="17"/>
      <c r="XAN106" s="17"/>
      <c r="XAO106" s="17"/>
      <c r="XAP106" s="17"/>
      <c r="XAQ106" s="17"/>
      <c r="XAR106" s="17"/>
      <c r="XAS106" s="17"/>
      <c r="XAT106" s="17"/>
      <c r="XAU106" s="17"/>
      <c r="XAV106" s="17"/>
      <c r="XAW106" s="17"/>
      <c r="XAX106" s="17"/>
      <c r="XAY106" s="17"/>
      <c r="XAZ106" s="17"/>
      <c r="XBA106" s="17"/>
      <c r="XBB106" s="17"/>
      <c r="XBC106" s="17"/>
      <c r="XBD106" s="17"/>
      <c r="XBE106" s="17"/>
      <c r="XBF106" s="17"/>
      <c r="XBG106" s="17"/>
      <c r="XBH106" s="17"/>
      <c r="XBI106" s="17"/>
      <c r="XBJ106" s="17"/>
      <c r="XBK106" s="17"/>
      <c r="XBL106" s="17"/>
      <c r="XBM106" s="17"/>
      <c r="XBN106" s="17"/>
      <c r="XBO106" s="17"/>
      <c r="XBP106" s="17"/>
      <c r="XBQ106" s="17"/>
      <c r="XBR106" s="17"/>
      <c r="XBS106" s="17"/>
      <c r="XBT106" s="17"/>
      <c r="XBU106" s="17"/>
      <c r="XBV106" s="17"/>
      <c r="XBW106" s="17"/>
      <c r="XBX106" s="17"/>
      <c r="XBY106" s="17"/>
      <c r="XBZ106" s="17"/>
      <c r="XCA106" s="17"/>
      <c r="XCB106" s="17"/>
      <c r="XCC106" s="17"/>
      <c r="XCD106" s="17"/>
      <c r="XCE106" s="17"/>
      <c r="XCF106" s="17"/>
      <c r="XCG106" s="17"/>
      <c r="XCH106" s="17"/>
      <c r="XCI106" s="17"/>
      <c r="XCJ106" s="17"/>
      <c r="XCK106" s="17"/>
      <c r="XCL106" s="17"/>
      <c r="XCM106" s="17"/>
      <c r="XCN106" s="17"/>
      <c r="XCO106" s="17"/>
      <c r="XCP106" s="17"/>
      <c r="XCQ106" s="17"/>
      <c r="XCR106" s="17"/>
      <c r="XCS106" s="17"/>
      <c r="XCT106" s="17"/>
      <c r="XCU106" s="17"/>
      <c r="XCV106" s="17"/>
      <c r="XCW106" s="17"/>
      <c r="XCX106" s="17"/>
      <c r="XCY106" s="17"/>
      <c r="XCZ106" s="17"/>
      <c r="XDA106" s="17"/>
      <c r="XDB106" s="17"/>
      <c r="XDC106" s="17"/>
      <c r="XDD106" s="17"/>
      <c r="XDE106" s="17"/>
      <c r="XDF106" s="17"/>
      <c r="XDG106" s="17"/>
      <c r="XDH106" s="17"/>
      <c r="XDI106" s="17"/>
      <c r="XDJ106" s="17"/>
      <c r="XDK106" s="17"/>
      <c r="XDL106" s="17"/>
      <c r="XDM106" s="17"/>
      <c r="XDN106" s="17"/>
      <c r="XDO106" s="17"/>
      <c r="XDP106" s="17"/>
      <c r="XDQ106" s="17"/>
      <c r="XDR106" s="17"/>
      <c r="XDS106" s="17"/>
      <c r="XDT106" s="17"/>
      <c r="XDU106" s="17"/>
      <c r="XDV106" s="17"/>
      <c r="XDW106" s="17"/>
      <c r="XDX106" s="17"/>
      <c r="XDY106" s="17"/>
      <c r="XDZ106" s="17"/>
      <c r="XEA106" s="17"/>
      <c r="XEB106" s="17"/>
      <c r="XEC106" s="17"/>
      <c r="XED106" s="17"/>
      <c r="XEE106" s="17"/>
      <c r="XEF106" s="17"/>
      <c r="XEG106" s="17"/>
      <c r="XEH106" s="17"/>
      <c r="XEI106" s="17"/>
      <c r="XEJ106" s="17"/>
      <c r="XEK106" s="17"/>
      <c r="XEL106" s="17"/>
      <c r="XEM106" s="17"/>
      <c r="XEN106" s="17"/>
      <c r="XEO106" s="17"/>
      <c r="XEP106" s="17"/>
      <c r="XEQ106" s="17"/>
      <c r="XER106" s="17"/>
      <c r="XES106" s="17"/>
      <c r="XET106" s="17"/>
      <c r="XEU106" s="17"/>
      <c r="XEV106" s="17"/>
      <c r="XEW106" s="17"/>
      <c r="XEX106" s="17"/>
      <c r="XEY106" s="10"/>
      <c r="XEZ106" s="10"/>
      <c r="XFA106" s="10"/>
      <c r="XFB106" s="10"/>
      <c r="XFC106" s="94"/>
    </row>
    <row r="107" s="4" customFormat="1" ht="42" customHeight="1" spans="1:16383">
      <c r="A107" s="61"/>
      <c r="B107" s="62"/>
      <c r="C107" s="34" t="s">
        <v>106</v>
      </c>
      <c r="D107" s="35"/>
      <c r="E107" s="67" t="s">
        <v>17</v>
      </c>
      <c r="F107" s="68">
        <v>0</v>
      </c>
      <c r="G107" s="71">
        <v>188</v>
      </c>
      <c r="H107" s="71">
        <f t="shared" si="6"/>
        <v>0</v>
      </c>
      <c r="I107" s="86" t="s">
        <v>107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7"/>
      <c r="IP107" s="17"/>
      <c r="IQ107" s="17"/>
      <c r="IR107" s="17"/>
      <c r="IS107" s="17"/>
      <c r="IT107" s="17"/>
      <c r="IU107" s="17"/>
      <c r="IV107" s="17"/>
      <c r="IW107" s="17"/>
      <c r="IX107" s="17"/>
      <c r="IY107" s="17"/>
      <c r="IZ107" s="17"/>
      <c r="JA107" s="17"/>
      <c r="JB107" s="17"/>
      <c r="JC107" s="17"/>
      <c r="JD107" s="17"/>
      <c r="JE107" s="17"/>
      <c r="JF107" s="17"/>
      <c r="JG107" s="17"/>
      <c r="JH107" s="17"/>
      <c r="JI107" s="17"/>
      <c r="JJ107" s="17"/>
      <c r="JK107" s="17"/>
      <c r="JL107" s="17"/>
      <c r="JM107" s="17"/>
      <c r="JN107" s="17"/>
      <c r="JO107" s="17"/>
      <c r="JP107" s="17"/>
      <c r="JQ107" s="17"/>
      <c r="JR107" s="17"/>
      <c r="JS107" s="17"/>
      <c r="JT107" s="17"/>
      <c r="JU107" s="17"/>
      <c r="JV107" s="17"/>
      <c r="JW107" s="17"/>
      <c r="JX107" s="17"/>
      <c r="JY107" s="17"/>
      <c r="JZ107" s="17"/>
      <c r="KA107" s="17"/>
      <c r="KB107" s="17"/>
      <c r="KC107" s="17"/>
      <c r="KD107" s="17"/>
      <c r="KE107" s="17"/>
      <c r="KF107" s="17"/>
      <c r="KG107" s="17"/>
      <c r="KH107" s="17"/>
      <c r="KI107" s="17"/>
      <c r="KJ107" s="17"/>
      <c r="KK107" s="17"/>
      <c r="KL107" s="17"/>
      <c r="KM107" s="17"/>
      <c r="KN107" s="17"/>
      <c r="KO107" s="17"/>
      <c r="KP107" s="17"/>
      <c r="KQ107" s="17"/>
      <c r="KR107" s="17"/>
      <c r="KS107" s="17"/>
      <c r="KT107" s="17"/>
      <c r="KU107" s="17"/>
      <c r="KV107" s="17"/>
      <c r="KW107" s="17"/>
      <c r="KX107" s="17"/>
      <c r="KY107" s="17"/>
      <c r="KZ107" s="17"/>
      <c r="LA107" s="17"/>
      <c r="LB107" s="17"/>
      <c r="LC107" s="17"/>
      <c r="LD107" s="17"/>
      <c r="LE107" s="17"/>
      <c r="LF107" s="17"/>
      <c r="LG107" s="17"/>
      <c r="LH107" s="17"/>
      <c r="LI107" s="17"/>
      <c r="LJ107" s="17"/>
      <c r="LK107" s="17"/>
      <c r="LL107" s="17"/>
      <c r="LM107" s="17"/>
      <c r="LN107" s="17"/>
      <c r="LO107" s="17"/>
      <c r="LP107" s="17"/>
      <c r="LQ107" s="17"/>
      <c r="LR107" s="17"/>
      <c r="LS107" s="17"/>
      <c r="LT107" s="17"/>
      <c r="LU107" s="17"/>
      <c r="LV107" s="17"/>
      <c r="LW107" s="17"/>
      <c r="LX107" s="17"/>
      <c r="LY107" s="17"/>
      <c r="LZ107" s="17"/>
      <c r="MA107" s="17"/>
      <c r="MB107" s="17"/>
      <c r="MC107" s="17"/>
      <c r="MD107" s="17"/>
      <c r="ME107" s="17"/>
      <c r="MF107" s="17"/>
      <c r="MG107" s="17"/>
      <c r="MH107" s="17"/>
      <c r="MI107" s="17"/>
      <c r="MJ107" s="17"/>
      <c r="MK107" s="17"/>
      <c r="ML107" s="17"/>
      <c r="MM107" s="17"/>
      <c r="MN107" s="17"/>
      <c r="MO107" s="17"/>
      <c r="MP107" s="17"/>
      <c r="MQ107" s="17"/>
      <c r="MR107" s="17"/>
      <c r="MS107" s="17"/>
      <c r="MT107" s="17"/>
      <c r="MU107" s="17"/>
      <c r="MV107" s="17"/>
      <c r="MW107" s="17"/>
      <c r="MX107" s="17"/>
      <c r="MY107" s="17"/>
      <c r="MZ107" s="17"/>
      <c r="NA107" s="17"/>
      <c r="NB107" s="17"/>
      <c r="NC107" s="17"/>
      <c r="ND107" s="17"/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  <c r="NX107" s="17"/>
      <c r="NY107" s="17"/>
      <c r="NZ107" s="17"/>
      <c r="OA107" s="17"/>
      <c r="OB107" s="17"/>
      <c r="OC107" s="17"/>
      <c r="OD107" s="17"/>
      <c r="OE107" s="17"/>
      <c r="OF107" s="17"/>
      <c r="OG107" s="17"/>
      <c r="OH107" s="17"/>
      <c r="OI107" s="17"/>
      <c r="OJ107" s="17"/>
      <c r="OK107" s="17"/>
      <c r="OL107" s="17"/>
      <c r="OM107" s="17"/>
      <c r="ON107" s="17"/>
      <c r="OO107" s="17"/>
      <c r="OP107" s="17"/>
      <c r="OQ107" s="17"/>
      <c r="OR107" s="17"/>
      <c r="OS107" s="17"/>
      <c r="OT107" s="17"/>
      <c r="OU107" s="17"/>
      <c r="OV107" s="17"/>
      <c r="OW107" s="17"/>
      <c r="OX107" s="17"/>
      <c r="OY107" s="17"/>
      <c r="OZ107" s="17"/>
      <c r="PA107" s="17"/>
      <c r="PB107" s="17"/>
      <c r="PC107" s="17"/>
      <c r="PD107" s="17"/>
      <c r="PE107" s="17"/>
      <c r="PF107" s="17"/>
      <c r="PG107" s="17"/>
      <c r="PH107" s="17"/>
      <c r="PI107" s="17"/>
      <c r="PJ107" s="17"/>
      <c r="PK107" s="17"/>
      <c r="PL107" s="17"/>
      <c r="PM107" s="17"/>
      <c r="PN107" s="17"/>
      <c r="PO107" s="17"/>
      <c r="PP107" s="17"/>
      <c r="PQ107" s="17"/>
      <c r="PR107" s="17"/>
      <c r="PS107" s="17"/>
      <c r="PT107" s="17"/>
      <c r="PU107" s="17"/>
      <c r="PV107" s="17"/>
      <c r="PW107" s="17"/>
      <c r="PX107" s="17"/>
      <c r="PY107" s="17"/>
      <c r="PZ107" s="17"/>
      <c r="QA107" s="17"/>
      <c r="QB107" s="17"/>
      <c r="QC107" s="17"/>
      <c r="QD107" s="17"/>
      <c r="QE107" s="17"/>
      <c r="QF107" s="17"/>
      <c r="QG107" s="17"/>
      <c r="QH107" s="17"/>
      <c r="QI107" s="17"/>
      <c r="QJ107" s="17"/>
      <c r="QK107" s="17"/>
      <c r="QL107" s="17"/>
      <c r="QM107" s="17"/>
      <c r="QN107" s="17"/>
      <c r="QO107" s="17"/>
      <c r="QP107" s="17"/>
      <c r="QQ107" s="17"/>
      <c r="QR107" s="17"/>
      <c r="QS107" s="17"/>
      <c r="QT107" s="17"/>
      <c r="QU107" s="17"/>
      <c r="QV107" s="17"/>
      <c r="QW107" s="17"/>
      <c r="QX107" s="17"/>
      <c r="QY107" s="17"/>
      <c r="QZ107" s="17"/>
      <c r="RA107" s="17"/>
      <c r="RB107" s="17"/>
      <c r="RC107" s="17"/>
      <c r="RD107" s="17"/>
      <c r="RE107" s="17"/>
      <c r="RF107" s="17"/>
      <c r="RG107" s="17"/>
      <c r="RH107" s="17"/>
      <c r="RI107" s="17"/>
      <c r="RJ107" s="17"/>
      <c r="RK107" s="17"/>
      <c r="RL107" s="17"/>
      <c r="RM107" s="17"/>
      <c r="RN107" s="17"/>
      <c r="RO107" s="17"/>
      <c r="RP107" s="17"/>
      <c r="RQ107" s="17"/>
      <c r="RR107" s="17"/>
      <c r="RS107" s="17"/>
      <c r="RT107" s="17"/>
      <c r="RU107" s="17"/>
      <c r="RV107" s="17"/>
      <c r="RW107" s="17"/>
      <c r="RX107" s="17"/>
      <c r="RY107" s="17"/>
      <c r="RZ107" s="17"/>
      <c r="SA107" s="17"/>
      <c r="SB107" s="17"/>
      <c r="SC107" s="17"/>
      <c r="SD107" s="17"/>
      <c r="SE107" s="17"/>
      <c r="SF107" s="17"/>
      <c r="SG107" s="17"/>
      <c r="SH107" s="17"/>
      <c r="SI107" s="17"/>
      <c r="SJ107" s="17"/>
      <c r="SK107" s="17"/>
      <c r="SL107" s="17"/>
      <c r="SM107" s="17"/>
      <c r="SN107" s="17"/>
      <c r="SO107" s="17"/>
      <c r="SP107" s="17"/>
      <c r="SQ107" s="17"/>
      <c r="SR107" s="17"/>
      <c r="SS107" s="17"/>
      <c r="ST107" s="17"/>
      <c r="SU107" s="17"/>
      <c r="SV107" s="17"/>
      <c r="SW107" s="17"/>
      <c r="SX107" s="17"/>
      <c r="SY107" s="17"/>
      <c r="SZ107" s="17"/>
      <c r="TA107" s="17"/>
      <c r="TB107" s="17"/>
      <c r="TC107" s="17"/>
      <c r="TD107" s="17"/>
      <c r="TE107" s="17"/>
      <c r="TF107" s="17"/>
      <c r="TG107" s="17"/>
      <c r="TH107" s="17"/>
      <c r="TI107" s="17"/>
      <c r="TJ107" s="17"/>
      <c r="TK107" s="17"/>
      <c r="TL107" s="17"/>
      <c r="TM107" s="17"/>
      <c r="TN107" s="17"/>
      <c r="TO107" s="17"/>
      <c r="TP107" s="17"/>
      <c r="TQ107" s="17"/>
      <c r="TR107" s="17"/>
      <c r="TS107" s="17"/>
      <c r="TT107" s="17"/>
      <c r="TU107" s="17"/>
      <c r="TV107" s="17"/>
      <c r="TW107" s="17"/>
      <c r="TX107" s="17"/>
      <c r="TY107" s="17"/>
      <c r="TZ107" s="17"/>
      <c r="UA107" s="17"/>
      <c r="UB107" s="17"/>
      <c r="UC107" s="17"/>
      <c r="UD107" s="17"/>
      <c r="UE107" s="17"/>
      <c r="UF107" s="17"/>
      <c r="UG107" s="17"/>
      <c r="UH107" s="17"/>
      <c r="UI107" s="17"/>
      <c r="UJ107" s="17"/>
      <c r="UK107" s="17"/>
      <c r="UL107" s="17"/>
      <c r="UM107" s="17"/>
      <c r="UN107" s="17"/>
      <c r="UO107" s="17"/>
      <c r="UP107" s="17"/>
      <c r="UQ107" s="17"/>
      <c r="UR107" s="17"/>
      <c r="US107" s="17"/>
      <c r="UT107" s="17"/>
      <c r="UU107" s="17"/>
      <c r="UV107" s="17"/>
      <c r="UW107" s="17"/>
      <c r="UX107" s="17"/>
      <c r="UY107" s="17"/>
      <c r="UZ107" s="17"/>
      <c r="VA107" s="17"/>
      <c r="VB107" s="17"/>
      <c r="VC107" s="17"/>
      <c r="VD107" s="17"/>
      <c r="VE107" s="17"/>
      <c r="VF107" s="17"/>
      <c r="VG107" s="17"/>
      <c r="VH107" s="17"/>
      <c r="VI107" s="17"/>
      <c r="VJ107" s="17"/>
      <c r="VK107" s="17"/>
      <c r="VL107" s="17"/>
      <c r="VM107" s="17"/>
      <c r="VN107" s="17"/>
      <c r="VO107" s="17"/>
      <c r="VP107" s="17"/>
      <c r="VQ107" s="17"/>
      <c r="VR107" s="17"/>
      <c r="VS107" s="17"/>
      <c r="VT107" s="17"/>
      <c r="VU107" s="17"/>
      <c r="VV107" s="17"/>
      <c r="VW107" s="17"/>
      <c r="VX107" s="17"/>
      <c r="VY107" s="17"/>
      <c r="VZ107" s="17"/>
      <c r="WA107" s="17"/>
      <c r="WB107" s="17"/>
      <c r="WC107" s="17"/>
      <c r="WD107" s="17"/>
      <c r="WE107" s="17"/>
      <c r="WF107" s="17"/>
      <c r="WG107" s="17"/>
      <c r="WH107" s="17"/>
      <c r="WI107" s="17"/>
      <c r="WJ107" s="17"/>
      <c r="WK107" s="17"/>
      <c r="WL107" s="17"/>
      <c r="WM107" s="17"/>
      <c r="WN107" s="17"/>
      <c r="WO107" s="17"/>
      <c r="WP107" s="17"/>
      <c r="WQ107" s="17"/>
      <c r="WR107" s="17"/>
      <c r="WS107" s="17"/>
      <c r="WT107" s="17"/>
      <c r="WU107" s="17"/>
      <c r="WV107" s="17"/>
      <c r="WW107" s="17"/>
      <c r="WX107" s="17"/>
      <c r="WY107" s="17"/>
      <c r="WZ107" s="17"/>
      <c r="XA107" s="17"/>
      <c r="XB107" s="17"/>
      <c r="XC107" s="17"/>
      <c r="XD107" s="17"/>
      <c r="XE107" s="17"/>
      <c r="XF107" s="17"/>
      <c r="XG107" s="17"/>
      <c r="XH107" s="17"/>
      <c r="XI107" s="17"/>
      <c r="XJ107" s="17"/>
      <c r="XK107" s="17"/>
      <c r="XL107" s="17"/>
      <c r="XM107" s="17"/>
      <c r="XN107" s="17"/>
      <c r="XO107" s="17"/>
      <c r="XP107" s="17"/>
      <c r="XQ107" s="17"/>
      <c r="XR107" s="17"/>
      <c r="XS107" s="17"/>
      <c r="XT107" s="17"/>
      <c r="XU107" s="17"/>
      <c r="XV107" s="17"/>
      <c r="XW107" s="17"/>
      <c r="XX107" s="17"/>
      <c r="XY107" s="17"/>
      <c r="XZ107" s="17"/>
      <c r="YA107" s="17"/>
      <c r="YB107" s="17"/>
      <c r="YC107" s="17"/>
      <c r="YD107" s="17"/>
      <c r="YE107" s="17"/>
      <c r="YF107" s="17"/>
      <c r="YG107" s="17"/>
      <c r="YH107" s="17"/>
      <c r="YI107" s="17"/>
      <c r="YJ107" s="17"/>
      <c r="YK107" s="17"/>
      <c r="YL107" s="17"/>
      <c r="YM107" s="17"/>
      <c r="YN107" s="17"/>
      <c r="YO107" s="17"/>
      <c r="YP107" s="17"/>
      <c r="YQ107" s="17"/>
      <c r="YR107" s="17"/>
      <c r="YS107" s="17"/>
      <c r="YT107" s="17"/>
      <c r="YU107" s="17"/>
      <c r="YV107" s="17"/>
      <c r="YW107" s="17"/>
      <c r="YX107" s="17"/>
      <c r="YY107" s="17"/>
      <c r="YZ107" s="17"/>
      <c r="ZA107" s="17"/>
      <c r="ZB107" s="17"/>
      <c r="ZC107" s="17"/>
      <c r="ZD107" s="17"/>
      <c r="ZE107" s="17"/>
      <c r="ZF107" s="17"/>
      <c r="ZG107" s="17"/>
      <c r="ZH107" s="17"/>
      <c r="ZI107" s="17"/>
      <c r="ZJ107" s="17"/>
      <c r="ZK107" s="17"/>
      <c r="ZL107" s="17"/>
      <c r="ZM107" s="17"/>
      <c r="ZN107" s="17"/>
      <c r="ZO107" s="17"/>
      <c r="ZP107" s="17"/>
      <c r="ZQ107" s="17"/>
      <c r="ZR107" s="17"/>
      <c r="ZS107" s="17"/>
      <c r="ZT107" s="17"/>
      <c r="ZU107" s="17"/>
      <c r="ZV107" s="17"/>
      <c r="ZW107" s="17"/>
      <c r="ZX107" s="17"/>
      <c r="ZY107" s="17"/>
      <c r="ZZ107" s="17"/>
      <c r="AAA107" s="17"/>
      <c r="AAB107" s="17"/>
      <c r="AAC107" s="17"/>
      <c r="AAD107" s="17"/>
      <c r="AAE107" s="17"/>
      <c r="AAF107" s="17"/>
      <c r="AAG107" s="17"/>
      <c r="AAH107" s="17"/>
      <c r="AAI107" s="17"/>
      <c r="AAJ107" s="17"/>
      <c r="AAK107" s="17"/>
      <c r="AAL107" s="17"/>
      <c r="AAM107" s="17"/>
      <c r="AAN107" s="17"/>
      <c r="AAO107" s="17"/>
      <c r="AAP107" s="17"/>
      <c r="AAQ107" s="17"/>
      <c r="AAR107" s="17"/>
      <c r="AAS107" s="17"/>
      <c r="AAT107" s="17"/>
      <c r="AAU107" s="17"/>
      <c r="AAV107" s="17"/>
      <c r="AAW107" s="17"/>
      <c r="AAX107" s="17"/>
      <c r="AAY107" s="17"/>
      <c r="AAZ107" s="17"/>
      <c r="ABA107" s="17"/>
      <c r="ABB107" s="17"/>
      <c r="ABC107" s="17"/>
      <c r="ABD107" s="17"/>
      <c r="ABE107" s="17"/>
      <c r="ABF107" s="17"/>
      <c r="ABG107" s="17"/>
      <c r="ABH107" s="17"/>
      <c r="ABI107" s="17"/>
      <c r="ABJ107" s="17"/>
      <c r="ABK107" s="17"/>
      <c r="ABL107" s="17"/>
      <c r="ABM107" s="17"/>
      <c r="ABN107" s="17"/>
      <c r="ABO107" s="17"/>
      <c r="ABP107" s="17"/>
      <c r="ABQ107" s="17"/>
      <c r="ABR107" s="17"/>
      <c r="ABS107" s="17"/>
      <c r="ABT107" s="17"/>
      <c r="ABU107" s="17"/>
      <c r="ABV107" s="17"/>
      <c r="ABW107" s="17"/>
      <c r="ABX107" s="17"/>
      <c r="ABY107" s="17"/>
      <c r="ABZ107" s="17"/>
      <c r="ACA107" s="17"/>
      <c r="ACB107" s="17"/>
      <c r="ACC107" s="17"/>
      <c r="ACD107" s="17"/>
      <c r="ACE107" s="17"/>
      <c r="ACF107" s="17"/>
      <c r="ACG107" s="17"/>
      <c r="ACH107" s="17"/>
      <c r="ACI107" s="17"/>
      <c r="ACJ107" s="17"/>
      <c r="ACK107" s="17"/>
      <c r="ACL107" s="17"/>
      <c r="ACM107" s="17"/>
      <c r="ACN107" s="17"/>
      <c r="ACO107" s="17"/>
      <c r="ACP107" s="17"/>
      <c r="ACQ107" s="17"/>
      <c r="ACR107" s="17"/>
      <c r="ACS107" s="17"/>
      <c r="ACT107" s="17"/>
      <c r="ACU107" s="17"/>
      <c r="ACV107" s="17"/>
      <c r="ACW107" s="17"/>
      <c r="ACX107" s="17"/>
      <c r="ACY107" s="17"/>
      <c r="ACZ107" s="17"/>
      <c r="ADA107" s="17"/>
      <c r="ADB107" s="17"/>
      <c r="ADC107" s="17"/>
      <c r="ADD107" s="17"/>
      <c r="ADE107" s="17"/>
      <c r="ADF107" s="17"/>
      <c r="ADG107" s="17"/>
      <c r="ADH107" s="17"/>
      <c r="ADI107" s="17"/>
      <c r="ADJ107" s="17"/>
      <c r="ADK107" s="17"/>
      <c r="ADL107" s="17"/>
      <c r="ADM107" s="17"/>
      <c r="ADN107" s="17"/>
      <c r="ADO107" s="17"/>
      <c r="ADP107" s="17"/>
      <c r="ADQ107" s="17"/>
      <c r="ADR107" s="17"/>
      <c r="ADS107" s="17"/>
      <c r="ADT107" s="17"/>
      <c r="ADU107" s="17"/>
      <c r="ADV107" s="17"/>
      <c r="ADW107" s="17"/>
      <c r="ADX107" s="17"/>
      <c r="ADY107" s="17"/>
      <c r="ADZ107" s="17"/>
      <c r="AEA107" s="17"/>
      <c r="AEB107" s="17"/>
      <c r="AEC107" s="17"/>
      <c r="AED107" s="17"/>
      <c r="AEE107" s="17"/>
      <c r="AEF107" s="17"/>
      <c r="AEG107" s="17"/>
      <c r="AEH107" s="17"/>
      <c r="AEI107" s="17"/>
      <c r="AEJ107" s="17"/>
      <c r="AEK107" s="17"/>
      <c r="AEL107" s="17"/>
      <c r="AEM107" s="17"/>
      <c r="AEN107" s="17"/>
      <c r="AEO107" s="17"/>
      <c r="AEP107" s="17"/>
      <c r="AEQ107" s="17"/>
      <c r="AER107" s="17"/>
      <c r="AES107" s="17"/>
      <c r="AET107" s="17"/>
      <c r="AEU107" s="17"/>
      <c r="AEV107" s="17"/>
      <c r="AEW107" s="17"/>
      <c r="AEX107" s="17"/>
      <c r="AEY107" s="17"/>
      <c r="AEZ107" s="17"/>
      <c r="AFA107" s="17"/>
      <c r="AFB107" s="17"/>
      <c r="AFC107" s="17"/>
      <c r="AFD107" s="17"/>
      <c r="AFE107" s="17"/>
      <c r="AFF107" s="17"/>
      <c r="AFG107" s="17"/>
      <c r="AFH107" s="17"/>
      <c r="AFI107" s="17"/>
      <c r="AFJ107" s="17"/>
      <c r="AFK107" s="17"/>
      <c r="AFL107" s="17"/>
      <c r="AFM107" s="17"/>
      <c r="AFN107" s="17"/>
      <c r="AFO107" s="17"/>
      <c r="AFP107" s="17"/>
      <c r="AFQ107" s="17"/>
      <c r="AFR107" s="17"/>
      <c r="AFS107" s="17"/>
      <c r="AFT107" s="17"/>
      <c r="AFU107" s="17"/>
      <c r="AFV107" s="17"/>
      <c r="AFW107" s="17"/>
      <c r="AFX107" s="17"/>
      <c r="AFY107" s="17"/>
      <c r="AFZ107" s="17"/>
      <c r="AGA107" s="17"/>
      <c r="AGB107" s="17"/>
      <c r="AGC107" s="17"/>
      <c r="AGD107" s="17"/>
      <c r="AGE107" s="17"/>
      <c r="AGF107" s="17"/>
      <c r="AGG107" s="17"/>
      <c r="AGH107" s="17"/>
      <c r="AGI107" s="17"/>
      <c r="AGJ107" s="17"/>
      <c r="AGK107" s="17"/>
      <c r="AGL107" s="17"/>
      <c r="AGM107" s="17"/>
      <c r="AGN107" s="17"/>
      <c r="AGO107" s="17"/>
      <c r="AGP107" s="17"/>
      <c r="AGQ107" s="17"/>
      <c r="AGR107" s="17"/>
      <c r="AGS107" s="17"/>
      <c r="AGT107" s="17"/>
      <c r="AGU107" s="17"/>
      <c r="AGV107" s="17"/>
      <c r="AGW107" s="17"/>
      <c r="AGX107" s="17"/>
      <c r="AGY107" s="17"/>
      <c r="AGZ107" s="17"/>
      <c r="AHA107" s="17"/>
      <c r="AHB107" s="17"/>
      <c r="AHC107" s="17"/>
      <c r="AHD107" s="17"/>
      <c r="AHE107" s="17"/>
      <c r="AHF107" s="17"/>
      <c r="AHG107" s="17"/>
      <c r="AHH107" s="17"/>
      <c r="AHI107" s="17"/>
      <c r="AHJ107" s="17"/>
      <c r="AHK107" s="17"/>
      <c r="AHL107" s="17"/>
      <c r="AHM107" s="17"/>
      <c r="AHN107" s="17"/>
      <c r="AHO107" s="17"/>
      <c r="AHP107" s="17"/>
      <c r="AHQ107" s="17"/>
      <c r="AHR107" s="17"/>
      <c r="AHS107" s="17"/>
      <c r="AHT107" s="17"/>
      <c r="AHU107" s="17"/>
      <c r="AHV107" s="17"/>
      <c r="AHW107" s="17"/>
      <c r="AHX107" s="17"/>
      <c r="AHY107" s="17"/>
      <c r="AHZ107" s="17"/>
      <c r="AIA107" s="17"/>
      <c r="AIB107" s="17"/>
      <c r="AIC107" s="17"/>
      <c r="AID107" s="17"/>
      <c r="AIE107" s="17"/>
      <c r="AIF107" s="17"/>
      <c r="AIG107" s="17"/>
      <c r="AIH107" s="17"/>
      <c r="AII107" s="17"/>
      <c r="AIJ107" s="17"/>
      <c r="AIK107" s="17"/>
      <c r="AIL107" s="17"/>
      <c r="AIM107" s="17"/>
      <c r="AIN107" s="17"/>
      <c r="AIO107" s="17"/>
      <c r="AIP107" s="17"/>
      <c r="AIQ107" s="17"/>
      <c r="AIR107" s="17"/>
      <c r="AIS107" s="17"/>
      <c r="AIT107" s="17"/>
      <c r="AIU107" s="17"/>
      <c r="AIV107" s="17"/>
      <c r="AIW107" s="17"/>
      <c r="AIX107" s="17"/>
      <c r="AIY107" s="17"/>
      <c r="AIZ107" s="17"/>
      <c r="AJA107" s="17"/>
      <c r="AJB107" s="17"/>
      <c r="AJC107" s="17"/>
      <c r="AJD107" s="17"/>
      <c r="AJE107" s="17"/>
      <c r="AJF107" s="17"/>
      <c r="AJG107" s="17"/>
      <c r="AJH107" s="17"/>
      <c r="AJI107" s="17"/>
      <c r="AJJ107" s="17"/>
      <c r="AJK107" s="17"/>
      <c r="AJL107" s="17"/>
      <c r="AJM107" s="17"/>
      <c r="AJN107" s="17"/>
      <c r="AJO107" s="17"/>
      <c r="AJP107" s="17"/>
      <c r="AJQ107" s="17"/>
      <c r="AJR107" s="17"/>
      <c r="AJS107" s="17"/>
      <c r="AJT107" s="17"/>
      <c r="AJU107" s="17"/>
      <c r="AJV107" s="17"/>
      <c r="AJW107" s="17"/>
      <c r="AJX107" s="17"/>
      <c r="AJY107" s="17"/>
      <c r="AJZ107" s="17"/>
      <c r="AKA107" s="17"/>
      <c r="AKB107" s="17"/>
      <c r="AKC107" s="17"/>
      <c r="AKD107" s="17"/>
      <c r="AKE107" s="17"/>
      <c r="AKF107" s="17"/>
      <c r="AKG107" s="17"/>
      <c r="AKH107" s="17"/>
      <c r="AKI107" s="17"/>
      <c r="AKJ107" s="17"/>
      <c r="AKK107" s="17"/>
      <c r="AKL107" s="17"/>
      <c r="AKM107" s="17"/>
      <c r="AKN107" s="17"/>
      <c r="AKO107" s="17"/>
      <c r="AKP107" s="17"/>
      <c r="AKQ107" s="17"/>
      <c r="AKR107" s="17"/>
      <c r="AKS107" s="17"/>
      <c r="AKT107" s="17"/>
      <c r="AKU107" s="17"/>
      <c r="AKV107" s="17"/>
      <c r="AKW107" s="17"/>
      <c r="AKX107" s="17"/>
      <c r="AKY107" s="17"/>
      <c r="AKZ107" s="17"/>
      <c r="ALA107" s="17"/>
      <c r="ALB107" s="17"/>
      <c r="ALC107" s="17"/>
      <c r="ALD107" s="17"/>
      <c r="ALE107" s="17"/>
      <c r="ALF107" s="17"/>
      <c r="ALG107" s="17"/>
      <c r="ALH107" s="17"/>
      <c r="ALI107" s="17"/>
      <c r="ALJ107" s="17"/>
      <c r="ALK107" s="17"/>
      <c r="ALL107" s="17"/>
      <c r="ALM107" s="17"/>
      <c r="ALN107" s="17"/>
      <c r="ALO107" s="17"/>
      <c r="ALP107" s="17"/>
      <c r="ALQ107" s="17"/>
      <c r="ALR107" s="17"/>
      <c r="ALS107" s="17"/>
      <c r="ALT107" s="17"/>
      <c r="ALU107" s="17"/>
      <c r="ALV107" s="17"/>
      <c r="ALW107" s="17"/>
      <c r="ALX107" s="17"/>
      <c r="ALY107" s="17"/>
      <c r="ALZ107" s="17"/>
      <c r="AMA107" s="17"/>
      <c r="AMB107" s="17"/>
      <c r="AMC107" s="17"/>
      <c r="AMD107" s="17"/>
      <c r="AME107" s="17"/>
      <c r="AMF107" s="17"/>
      <c r="AMG107" s="17"/>
      <c r="AMH107" s="17"/>
      <c r="AMI107" s="17"/>
      <c r="AMJ107" s="17"/>
      <c r="AMK107" s="17"/>
      <c r="AML107" s="17"/>
      <c r="AMM107" s="17"/>
      <c r="AMN107" s="17"/>
      <c r="AMO107" s="17"/>
      <c r="AMP107" s="17"/>
      <c r="AMQ107" s="17"/>
      <c r="AMR107" s="17"/>
      <c r="AMS107" s="17"/>
      <c r="AMT107" s="17"/>
      <c r="AMU107" s="17"/>
      <c r="AMV107" s="17"/>
      <c r="AMW107" s="17"/>
      <c r="AMX107" s="17"/>
      <c r="AMY107" s="17"/>
      <c r="AMZ107" s="17"/>
      <c r="ANA107" s="17"/>
      <c r="ANB107" s="17"/>
      <c r="ANC107" s="17"/>
      <c r="AND107" s="17"/>
      <c r="ANE107" s="17"/>
      <c r="ANF107" s="17"/>
      <c r="ANG107" s="17"/>
      <c r="ANH107" s="17"/>
      <c r="ANI107" s="17"/>
      <c r="ANJ107" s="17"/>
      <c r="ANK107" s="17"/>
      <c r="ANL107" s="17"/>
      <c r="ANM107" s="17"/>
      <c r="ANN107" s="17"/>
      <c r="ANO107" s="17"/>
      <c r="ANP107" s="17"/>
      <c r="ANQ107" s="17"/>
      <c r="ANR107" s="17"/>
      <c r="ANS107" s="17"/>
      <c r="ANT107" s="17"/>
      <c r="ANU107" s="17"/>
      <c r="ANV107" s="17"/>
      <c r="ANW107" s="17"/>
      <c r="ANX107" s="17"/>
      <c r="ANY107" s="17"/>
      <c r="ANZ107" s="17"/>
      <c r="AOA107" s="17"/>
      <c r="AOB107" s="17"/>
      <c r="AOC107" s="17"/>
      <c r="AOD107" s="17"/>
      <c r="AOE107" s="17"/>
      <c r="AOF107" s="17"/>
      <c r="AOG107" s="17"/>
      <c r="AOH107" s="17"/>
      <c r="AOI107" s="17"/>
      <c r="AOJ107" s="17"/>
      <c r="AOK107" s="17"/>
      <c r="AOL107" s="17"/>
      <c r="AOM107" s="17"/>
      <c r="AON107" s="17"/>
      <c r="AOO107" s="17"/>
      <c r="AOP107" s="17"/>
      <c r="AOQ107" s="17"/>
      <c r="AOR107" s="17"/>
      <c r="AOS107" s="17"/>
      <c r="AOT107" s="17"/>
      <c r="AOU107" s="17"/>
      <c r="AOV107" s="17"/>
      <c r="AOW107" s="17"/>
      <c r="AOX107" s="17"/>
      <c r="AOY107" s="17"/>
      <c r="AOZ107" s="17"/>
      <c r="APA107" s="17"/>
      <c r="APB107" s="17"/>
      <c r="APC107" s="17"/>
      <c r="APD107" s="17"/>
      <c r="APE107" s="17"/>
      <c r="APF107" s="17"/>
      <c r="APG107" s="17"/>
      <c r="APH107" s="17"/>
      <c r="API107" s="17"/>
      <c r="APJ107" s="17"/>
      <c r="APK107" s="17"/>
      <c r="APL107" s="17"/>
      <c r="APM107" s="17"/>
      <c r="APN107" s="17"/>
      <c r="APO107" s="17"/>
      <c r="APP107" s="17"/>
      <c r="APQ107" s="17"/>
      <c r="APR107" s="17"/>
      <c r="APS107" s="17"/>
      <c r="APT107" s="17"/>
      <c r="APU107" s="17"/>
      <c r="APV107" s="17"/>
      <c r="APW107" s="17"/>
      <c r="APX107" s="17"/>
      <c r="APY107" s="17"/>
      <c r="APZ107" s="17"/>
      <c r="AQA107" s="17"/>
      <c r="AQB107" s="17"/>
      <c r="AQC107" s="17"/>
      <c r="AQD107" s="17"/>
      <c r="AQE107" s="17"/>
      <c r="AQF107" s="17"/>
      <c r="AQG107" s="17"/>
      <c r="AQH107" s="17"/>
      <c r="AQI107" s="17"/>
      <c r="AQJ107" s="17"/>
      <c r="AQK107" s="17"/>
      <c r="AQL107" s="17"/>
      <c r="AQM107" s="17"/>
      <c r="AQN107" s="17"/>
      <c r="AQO107" s="17"/>
      <c r="AQP107" s="17"/>
      <c r="AQQ107" s="17"/>
      <c r="AQR107" s="17"/>
      <c r="AQS107" s="17"/>
      <c r="AQT107" s="17"/>
      <c r="AQU107" s="17"/>
      <c r="AQV107" s="17"/>
      <c r="AQW107" s="17"/>
      <c r="AQX107" s="17"/>
      <c r="AQY107" s="17"/>
      <c r="AQZ107" s="17"/>
      <c r="ARA107" s="17"/>
      <c r="ARB107" s="17"/>
      <c r="ARC107" s="17"/>
      <c r="ARD107" s="17"/>
      <c r="ARE107" s="17"/>
      <c r="ARF107" s="17"/>
      <c r="ARG107" s="17"/>
      <c r="ARH107" s="17"/>
      <c r="ARI107" s="17"/>
      <c r="ARJ107" s="17"/>
      <c r="ARK107" s="17"/>
      <c r="ARL107" s="17"/>
      <c r="ARM107" s="17"/>
      <c r="ARN107" s="17"/>
      <c r="ARO107" s="17"/>
      <c r="ARP107" s="17"/>
      <c r="ARQ107" s="17"/>
      <c r="ARR107" s="17"/>
      <c r="ARS107" s="17"/>
      <c r="ART107" s="17"/>
      <c r="ARU107" s="17"/>
      <c r="ARV107" s="17"/>
      <c r="ARW107" s="17"/>
      <c r="ARX107" s="17"/>
      <c r="ARY107" s="17"/>
      <c r="ARZ107" s="17"/>
      <c r="ASA107" s="17"/>
      <c r="ASB107" s="17"/>
      <c r="ASC107" s="17"/>
      <c r="ASD107" s="17"/>
      <c r="ASE107" s="17"/>
      <c r="ASF107" s="17"/>
      <c r="ASG107" s="17"/>
      <c r="ASH107" s="17"/>
      <c r="ASI107" s="17"/>
      <c r="ASJ107" s="17"/>
      <c r="ASK107" s="17"/>
      <c r="ASL107" s="17"/>
      <c r="ASM107" s="17"/>
      <c r="ASN107" s="17"/>
      <c r="ASO107" s="17"/>
      <c r="ASP107" s="17"/>
      <c r="ASQ107" s="17"/>
      <c r="ASR107" s="17"/>
      <c r="ASS107" s="17"/>
      <c r="AST107" s="17"/>
      <c r="ASU107" s="17"/>
      <c r="ASV107" s="17"/>
      <c r="ASW107" s="17"/>
      <c r="ASX107" s="17"/>
      <c r="ASY107" s="17"/>
      <c r="ASZ107" s="17"/>
      <c r="ATA107" s="17"/>
      <c r="ATB107" s="17"/>
      <c r="ATC107" s="17"/>
      <c r="ATD107" s="17"/>
      <c r="ATE107" s="17"/>
      <c r="ATF107" s="17"/>
      <c r="ATG107" s="17"/>
      <c r="ATH107" s="17"/>
      <c r="ATI107" s="17"/>
      <c r="ATJ107" s="17"/>
      <c r="ATK107" s="17"/>
      <c r="ATL107" s="17"/>
      <c r="ATM107" s="17"/>
      <c r="ATN107" s="17"/>
      <c r="ATO107" s="17"/>
      <c r="ATP107" s="17"/>
      <c r="ATQ107" s="17"/>
      <c r="ATR107" s="17"/>
      <c r="ATS107" s="17"/>
      <c r="ATT107" s="17"/>
      <c r="ATU107" s="17"/>
      <c r="ATV107" s="17"/>
      <c r="ATW107" s="17"/>
      <c r="ATX107" s="17"/>
      <c r="ATY107" s="17"/>
      <c r="ATZ107" s="17"/>
      <c r="AUA107" s="17"/>
      <c r="AUB107" s="17"/>
      <c r="AUC107" s="17"/>
      <c r="AUD107" s="17"/>
      <c r="AUE107" s="17"/>
      <c r="AUF107" s="17"/>
      <c r="AUG107" s="17"/>
      <c r="AUH107" s="17"/>
      <c r="AUI107" s="17"/>
      <c r="AUJ107" s="17"/>
      <c r="AUK107" s="17"/>
      <c r="AUL107" s="17"/>
      <c r="AUM107" s="17"/>
      <c r="AUN107" s="17"/>
      <c r="AUO107" s="17"/>
      <c r="AUP107" s="17"/>
      <c r="AUQ107" s="17"/>
      <c r="AUR107" s="17"/>
      <c r="AUS107" s="17"/>
      <c r="AUT107" s="17"/>
      <c r="AUU107" s="17"/>
      <c r="AUV107" s="17"/>
      <c r="AUW107" s="17"/>
      <c r="AUX107" s="17"/>
      <c r="AUY107" s="17"/>
      <c r="AUZ107" s="17"/>
      <c r="AVA107" s="17"/>
      <c r="AVB107" s="17"/>
      <c r="AVC107" s="17"/>
      <c r="AVD107" s="17"/>
      <c r="AVE107" s="17"/>
      <c r="AVF107" s="17"/>
      <c r="AVG107" s="17"/>
      <c r="AVH107" s="17"/>
      <c r="AVI107" s="17"/>
      <c r="AVJ107" s="17"/>
      <c r="AVK107" s="17"/>
      <c r="AVL107" s="17"/>
      <c r="AVM107" s="17"/>
      <c r="AVN107" s="17"/>
      <c r="AVO107" s="17"/>
      <c r="AVP107" s="17"/>
      <c r="AVQ107" s="17"/>
      <c r="AVR107" s="17"/>
      <c r="AVS107" s="17"/>
      <c r="AVT107" s="17"/>
      <c r="AVU107" s="17"/>
      <c r="AVV107" s="17"/>
      <c r="AVW107" s="17"/>
      <c r="AVX107" s="17"/>
      <c r="AVY107" s="17"/>
      <c r="AVZ107" s="17"/>
      <c r="AWA107" s="17"/>
      <c r="AWB107" s="17"/>
      <c r="AWC107" s="17"/>
      <c r="AWD107" s="17"/>
      <c r="AWE107" s="17"/>
      <c r="AWF107" s="17"/>
      <c r="AWG107" s="17"/>
      <c r="AWH107" s="17"/>
      <c r="AWI107" s="17"/>
      <c r="AWJ107" s="17"/>
      <c r="AWK107" s="17"/>
      <c r="AWL107" s="17"/>
      <c r="AWM107" s="17"/>
      <c r="AWN107" s="17"/>
      <c r="AWO107" s="17"/>
      <c r="AWP107" s="17"/>
      <c r="AWQ107" s="17"/>
      <c r="AWR107" s="17"/>
      <c r="AWS107" s="17"/>
      <c r="AWT107" s="17"/>
      <c r="AWU107" s="17"/>
      <c r="AWV107" s="17"/>
      <c r="AWW107" s="17"/>
      <c r="AWX107" s="17"/>
      <c r="AWY107" s="17"/>
      <c r="AWZ107" s="17"/>
      <c r="AXA107" s="17"/>
      <c r="AXB107" s="17"/>
      <c r="AXC107" s="17"/>
      <c r="AXD107" s="17"/>
      <c r="AXE107" s="17"/>
      <c r="AXF107" s="17"/>
      <c r="AXG107" s="17"/>
      <c r="AXH107" s="17"/>
      <c r="AXI107" s="17"/>
      <c r="AXJ107" s="17"/>
      <c r="AXK107" s="17"/>
      <c r="AXL107" s="17"/>
      <c r="AXM107" s="17"/>
      <c r="AXN107" s="17"/>
      <c r="AXO107" s="17"/>
      <c r="AXP107" s="17"/>
      <c r="AXQ107" s="17"/>
      <c r="AXR107" s="17"/>
      <c r="AXS107" s="17"/>
      <c r="AXT107" s="17"/>
      <c r="AXU107" s="17"/>
      <c r="AXV107" s="17"/>
      <c r="AXW107" s="17"/>
      <c r="AXX107" s="17"/>
      <c r="AXY107" s="17"/>
      <c r="AXZ107" s="17"/>
      <c r="AYA107" s="17"/>
      <c r="AYB107" s="17"/>
      <c r="AYC107" s="17"/>
      <c r="AYD107" s="17"/>
      <c r="AYE107" s="17"/>
      <c r="AYF107" s="17"/>
      <c r="AYG107" s="17"/>
      <c r="AYH107" s="17"/>
      <c r="AYI107" s="17"/>
      <c r="AYJ107" s="17"/>
      <c r="AYK107" s="17"/>
      <c r="AYL107" s="17"/>
      <c r="AYM107" s="17"/>
      <c r="AYN107" s="17"/>
      <c r="AYO107" s="17"/>
      <c r="AYP107" s="17"/>
      <c r="AYQ107" s="17"/>
      <c r="AYR107" s="17"/>
      <c r="AYS107" s="17"/>
      <c r="AYT107" s="17"/>
      <c r="AYU107" s="17"/>
      <c r="AYV107" s="17"/>
      <c r="AYW107" s="17"/>
      <c r="AYX107" s="17"/>
      <c r="AYY107" s="17"/>
      <c r="AYZ107" s="17"/>
      <c r="AZA107" s="17"/>
      <c r="AZB107" s="17"/>
      <c r="AZC107" s="17"/>
      <c r="AZD107" s="17"/>
      <c r="AZE107" s="17"/>
      <c r="AZF107" s="17"/>
      <c r="AZG107" s="17"/>
      <c r="AZH107" s="17"/>
      <c r="AZI107" s="17"/>
      <c r="AZJ107" s="17"/>
      <c r="AZK107" s="17"/>
      <c r="AZL107" s="17"/>
      <c r="AZM107" s="17"/>
      <c r="AZN107" s="17"/>
      <c r="AZO107" s="17"/>
      <c r="AZP107" s="17"/>
      <c r="AZQ107" s="17"/>
      <c r="AZR107" s="17"/>
      <c r="AZS107" s="17"/>
      <c r="AZT107" s="17"/>
      <c r="AZU107" s="17"/>
      <c r="AZV107" s="17"/>
      <c r="AZW107" s="17"/>
      <c r="AZX107" s="17"/>
      <c r="AZY107" s="17"/>
      <c r="AZZ107" s="17"/>
      <c r="BAA107" s="17"/>
      <c r="BAB107" s="17"/>
      <c r="BAC107" s="17"/>
      <c r="BAD107" s="17"/>
      <c r="BAE107" s="17"/>
      <c r="BAF107" s="17"/>
      <c r="BAG107" s="17"/>
      <c r="BAH107" s="17"/>
      <c r="BAI107" s="17"/>
      <c r="BAJ107" s="17"/>
      <c r="BAK107" s="17"/>
      <c r="BAL107" s="17"/>
      <c r="BAM107" s="17"/>
      <c r="BAN107" s="17"/>
      <c r="BAO107" s="17"/>
      <c r="BAP107" s="17"/>
      <c r="BAQ107" s="17"/>
      <c r="BAR107" s="17"/>
      <c r="BAS107" s="17"/>
      <c r="BAT107" s="17"/>
      <c r="BAU107" s="17"/>
      <c r="BAV107" s="17"/>
      <c r="BAW107" s="17"/>
      <c r="BAX107" s="17"/>
      <c r="BAY107" s="17"/>
      <c r="BAZ107" s="17"/>
      <c r="BBA107" s="17"/>
      <c r="BBB107" s="17"/>
      <c r="BBC107" s="17"/>
      <c r="BBD107" s="17"/>
      <c r="BBE107" s="17"/>
      <c r="BBF107" s="17"/>
      <c r="BBG107" s="17"/>
      <c r="BBH107" s="17"/>
      <c r="BBI107" s="17"/>
      <c r="BBJ107" s="17"/>
      <c r="BBK107" s="17"/>
      <c r="BBL107" s="17"/>
      <c r="BBM107" s="17"/>
      <c r="BBN107" s="17"/>
      <c r="BBO107" s="17"/>
      <c r="BBP107" s="17"/>
      <c r="BBQ107" s="17"/>
      <c r="BBR107" s="17"/>
      <c r="BBS107" s="17"/>
      <c r="BBT107" s="17"/>
      <c r="BBU107" s="17"/>
      <c r="BBV107" s="17"/>
      <c r="BBW107" s="17"/>
      <c r="BBX107" s="17"/>
      <c r="BBY107" s="17"/>
      <c r="BBZ107" s="17"/>
      <c r="BCA107" s="17"/>
      <c r="BCB107" s="17"/>
      <c r="BCC107" s="17"/>
      <c r="BCD107" s="17"/>
      <c r="BCE107" s="17"/>
      <c r="BCF107" s="17"/>
      <c r="BCG107" s="17"/>
      <c r="BCH107" s="17"/>
      <c r="BCI107" s="17"/>
      <c r="BCJ107" s="17"/>
      <c r="BCK107" s="17"/>
      <c r="BCL107" s="17"/>
      <c r="BCM107" s="17"/>
      <c r="BCN107" s="17"/>
      <c r="BCO107" s="17"/>
      <c r="BCP107" s="17"/>
      <c r="BCQ107" s="17"/>
      <c r="BCR107" s="17"/>
      <c r="BCS107" s="17"/>
      <c r="BCT107" s="17"/>
      <c r="BCU107" s="17"/>
      <c r="BCV107" s="17"/>
      <c r="BCW107" s="17"/>
      <c r="BCX107" s="17"/>
      <c r="BCY107" s="17"/>
      <c r="BCZ107" s="17"/>
      <c r="BDA107" s="17"/>
      <c r="BDB107" s="17"/>
      <c r="BDC107" s="17"/>
      <c r="BDD107" s="17"/>
      <c r="BDE107" s="17"/>
      <c r="BDF107" s="17"/>
      <c r="BDG107" s="17"/>
      <c r="BDH107" s="17"/>
      <c r="BDI107" s="17"/>
      <c r="BDJ107" s="17"/>
      <c r="BDK107" s="17"/>
      <c r="BDL107" s="17"/>
      <c r="BDM107" s="17"/>
      <c r="BDN107" s="17"/>
      <c r="BDO107" s="17"/>
      <c r="BDP107" s="17"/>
      <c r="BDQ107" s="17"/>
      <c r="BDR107" s="17"/>
      <c r="BDS107" s="17"/>
      <c r="BDT107" s="17"/>
      <c r="BDU107" s="17"/>
      <c r="BDV107" s="17"/>
      <c r="BDW107" s="17"/>
      <c r="BDX107" s="17"/>
      <c r="BDY107" s="17"/>
      <c r="BDZ107" s="17"/>
      <c r="BEA107" s="17"/>
      <c r="BEB107" s="17"/>
      <c r="BEC107" s="17"/>
      <c r="BED107" s="17"/>
      <c r="BEE107" s="17"/>
      <c r="BEF107" s="17"/>
      <c r="BEG107" s="17"/>
      <c r="BEH107" s="17"/>
      <c r="BEI107" s="17"/>
      <c r="BEJ107" s="17"/>
      <c r="BEK107" s="17"/>
      <c r="BEL107" s="17"/>
      <c r="BEM107" s="17"/>
      <c r="BEN107" s="17"/>
      <c r="BEO107" s="17"/>
      <c r="BEP107" s="17"/>
      <c r="BEQ107" s="17"/>
      <c r="BER107" s="17"/>
      <c r="BES107" s="17"/>
      <c r="BET107" s="17"/>
      <c r="BEU107" s="17"/>
      <c r="BEV107" s="17"/>
      <c r="BEW107" s="17"/>
      <c r="BEX107" s="17"/>
      <c r="BEY107" s="17"/>
      <c r="BEZ107" s="17"/>
      <c r="BFA107" s="17"/>
      <c r="BFB107" s="17"/>
      <c r="BFC107" s="17"/>
      <c r="BFD107" s="17"/>
      <c r="BFE107" s="17"/>
      <c r="BFF107" s="17"/>
      <c r="BFG107" s="17"/>
      <c r="BFH107" s="17"/>
      <c r="BFI107" s="17"/>
      <c r="BFJ107" s="17"/>
      <c r="BFK107" s="17"/>
      <c r="BFL107" s="17"/>
      <c r="BFM107" s="17"/>
      <c r="BFN107" s="17"/>
      <c r="BFO107" s="17"/>
      <c r="BFP107" s="17"/>
      <c r="BFQ107" s="17"/>
      <c r="BFR107" s="17"/>
      <c r="BFS107" s="17"/>
      <c r="BFT107" s="17"/>
      <c r="BFU107" s="17"/>
      <c r="BFV107" s="17"/>
      <c r="BFW107" s="17"/>
      <c r="BFX107" s="17"/>
      <c r="BFY107" s="17"/>
      <c r="BFZ107" s="17"/>
      <c r="BGA107" s="17"/>
      <c r="BGB107" s="17"/>
      <c r="BGC107" s="17"/>
      <c r="BGD107" s="17"/>
      <c r="BGE107" s="17"/>
      <c r="BGF107" s="17"/>
      <c r="BGG107" s="17"/>
      <c r="BGH107" s="17"/>
      <c r="BGI107" s="17"/>
      <c r="BGJ107" s="17"/>
      <c r="BGK107" s="17"/>
      <c r="BGL107" s="17"/>
      <c r="BGM107" s="17"/>
      <c r="BGN107" s="17"/>
      <c r="BGO107" s="17"/>
      <c r="BGP107" s="17"/>
      <c r="BGQ107" s="17"/>
      <c r="BGR107" s="17"/>
      <c r="BGS107" s="17"/>
      <c r="BGT107" s="17"/>
      <c r="BGU107" s="17"/>
      <c r="BGV107" s="17"/>
      <c r="BGW107" s="17"/>
      <c r="BGX107" s="17"/>
      <c r="BGY107" s="17"/>
      <c r="BGZ107" s="17"/>
      <c r="BHA107" s="17"/>
      <c r="BHB107" s="17"/>
      <c r="BHC107" s="17"/>
      <c r="BHD107" s="17"/>
      <c r="BHE107" s="17"/>
      <c r="BHF107" s="17"/>
      <c r="BHG107" s="17"/>
      <c r="BHH107" s="17"/>
      <c r="BHI107" s="17"/>
      <c r="BHJ107" s="17"/>
      <c r="BHK107" s="17"/>
      <c r="BHL107" s="17"/>
      <c r="BHM107" s="17"/>
      <c r="BHN107" s="17"/>
      <c r="BHO107" s="17"/>
      <c r="BHP107" s="17"/>
      <c r="BHQ107" s="17"/>
      <c r="BHR107" s="17"/>
      <c r="BHS107" s="17"/>
      <c r="BHT107" s="17"/>
      <c r="BHU107" s="17"/>
      <c r="BHV107" s="17"/>
      <c r="BHW107" s="17"/>
      <c r="BHX107" s="17"/>
      <c r="BHY107" s="17"/>
      <c r="BHZ107" s="17"/>
      <c r="BIA107" s="17"/>
      <c r="BIB107" s="17"/>
      <c r="BIC107" s="17"/>
      <c r="BID107" s="17"/>
      <c r="BIE107" s="17"/>
      <c r="BIF107" s="17"/>
      <c r="BIG107" s="17"/>
      <c r="BIH107" s="17"/>
      <c r="BII107" s="17"/>
      <c r="BIJ107" s="17"/>
      <c r="BIK107" s="17"/>
      <c r="BIL107" s="17"/>
      <c r="BIM107" s="17"/>
      <c r="BIN107" s="17"/>
      <c r="BIO107" s="17"/>
      <c r="BIP107" s="17"/>
      <c r="BIQ107" s="17"/>
      <c r="BIR107" s="17"/>
      <c r="BIS107" s="17"/>
      <c r="BIT107" s="17"/>
      <c r="BIU107" s="17"/>
      <c r="BIV107" s="17"/>
      <c r="BIW107" s="17"/>
      <c r="BIX107" s="17"/>
      <c r="BIY107" s="17"/>
      <c r="BIZ107" s="17"/>
      <c r="BJA107" s="17"/>
      <c r="BJB107" s="17"/>
      <c r="BJC107" s="17"/>
      <c r="BJD107" s="17"/>
      <c r="BJE107" s="17"/>
      <c r="BJF107" s="17"/>
      <c r="BJG107" s="17"/>
      <c r="BJH107" s="17"/>
      <c r="BJI107" s="17"/>
      <c r="BJJ107" s="17"/>
      <c r="BJK107" s="17"/>
      <c r="BJL107" s="17"/>
      <c r="BJM107" s="17"/>
      <c r="BJN107" s="17"/>
      <c r="BJO107" s="17"/>
      <c r="BJP107" s="17"/>
      <c r="BJQ107" s="17"/>
      <c r="BJR107" s="17"/>
      <c r="BJS107" s="17"/>
      <c r="BJT107" s="17"/>
      <c r="BJU107" s="17"/>
      <c r="BJV107" s="17"/>
      <c r="BJW107" s="17"/>
      <c r="BJX107" s="17"/>
      <c r="BJY107" s="17"/>
      <c r="BJZ107" s="17"/>
      <c r="BKA107" s="17"/>
      <c r="BKB107" s="17"/>
      <c r="BKC107" s="17"/>
      <c r="BKD107" s="17"/>
      <c r="BKE107" s="17"/>
      <c r="BKF107" s="17"/>
      <c r="BKG107" s="17"/>
      <c r="BKH107" s="17"/>
      <c r="BKI107" s="17"/>
      <c r="BKJ107" s="17"/>
      <c r="BKK107" s="17"/>
      <c r="BKL107" s="17"/>
      <c r="BKM107" s="17"/>
      <c r="BKN107" s="17"/>
      <c r="BKO107" s="17"/>
      <c r="BKP107" s="17"/>
      <c r="BKQ107" s="17"/>
      <c r="BKR107" s="17"/>
      <c r="BKS107" s="17"/>
      <c r="BKT107" s="17"/>
      <c r="BKU107" s="17"/>
      <c r="BKV107" s="17"/>
      <c r="BKW107" s="17"/>
      <c r="BKX107" s="17"/>
      <c r="BKY107" s="17"/>
      <c r="BKZ107" s="17"/>
      <c r="BLA107" s="17"/>
      <c r="BLB107" s="17"/>
      <c r="BLC107" s="17"/>
      <c r="BLD107" s="17"/>
      <c r="BLE107" s="17"/>
      <c r="BLF107" s="17"/>
      <c r="BLG107" s="17"/>
      <c r="BLH107" s="17"/>
      <c r="BLI107" s="17"/>
      <c r="BLJ107" s="17"/>
      <c r="BLK107" s="17"/>
      <c r="BLL107" s="17"/>
      <c r="BLM107" s="17"/>
      <c r="BLN107" s="17"/>
      <c r="BLO107" s="17"/>
      <c r="BLP107" s="17"/>
      <c r="BLQ107" s="17"/>
      <c r="BLR107" s="17"/>
      <c r="BLS107" s="17"/>
      <c r="BLT107" s="17"/>
      <c r="BLU107" s="17"/>
      <c r="BLV107" s="17"/>
      <c r="BLW107" s="17"/>
      <c r="BLX107" s="17"/>
      <c r="BLY107" s="17"/>
      <c r="BLZ107" s="17"/>
      <c r="BMA107" s="17"/>
      <c r="BMB107" s="17"/>
      <c r="BMC107" s="17"/>
      <c r="BMD107" s="17"/>
      <c r="BME107" s="17"/>
      <c r="BMF107" s="17"/>
      <c r="BMG107" s="17"/>
      <c r="BMH107" s="17"/>
      <c r="BMI107" s="17"/>
      <c r="BMJ107" s="17"/>
      <c r="BMK107" s="17"/>
      <c r="BML107" s="17"/>
      <c r="BMM107" s="17"/>
      <c r="BMN107" s="17"/>
      <c r="BMO107" s="17"/>
      <c r="BMP107" s="17"/>
      <c r="BMQ107" s="17"/>
      <c r="BMR107" s="17"/>
      <c r="BMS107" s="17"/>
      <c r="BMT107" s="17"/>
      <c r="BMU107" s="17"/>
      <c r="BMV107" s="17"/>
      <c r="BMW107" s="17"/>
      <c r="BMX107" s="17"/>
      <c r="BMY107" s="17"/>
      <c r="BMZ107" s="17"/>
      <c r="BNA107" s="17"/>
      <c r="BNB107" s="17"/>
      <c r="BNC107" s="17"/>
      <c r="BND107" s="17"/>
      <c r="BNE107" s="17"/>
      <c r="BNF107" s="17"/>
      <c r="BNG107" s="17"/>
      <c r="BNH107" s="17"/>
      <c r="BNI107" s="17"/>
      <c r="BNJ107" s="17"/>
      <c r="BNK107" s="17"/>
      <c r="BNL107" s="17"/>
      <c r="BNM107" s="17"/>
      <c r="BNN107" s="17"/>
      <c r="BNO107" s="17"/>
      <c r="BNP107" s="17"/>
      <c r="BNQ107" s="17"/>
      <c r="BNR107" s="17"/>
      <c r="BNS107" s="17"/>
      <c r="BNT107" s="17"/>
      <c r="BNU107" s="17"/>
      <c r="BNV107" s="17"/>
      <c r="BNW107" s="17"/>
      <c r="BNX107" s="17"/>
      <c r="BNY107" s="17"/>
      <c r="BNZ107" s="17"/>
      <c r="BOA107" s="17"/>
      <c r="BOB107" s="17"/>
      <c r="BOC107" s="17"/>
      <c r="BOD107" s="17"/>
      <c r="BOE107" s="17"/>
      <c r="BOF107" s="17"/>
      <c r="BOG107" s="17"/>
      <c r="BOH107" s="17"/>
      <c r="BOI107" s="17"/>
      <c r="BOJ107" s="17"/>
      <c r="BOK107" s="17"/>
      <c r="BOL107" s="17"/>
      <c r="BOM107" s="17"/>
      <c r="BON107" s="17"/>
      <c r="BOO107" s="17"/>
      <c r="BOP107" s="17"/>
      <c r="BOQ107" s="17"/>
      <c r="BOR107" s="17"/>
      <c r="BOS107" s="17"/>
      <c r="BOT107" s="17"/>
      <c r="BOU107" s="17"/>
      <c r="BOV107" s="17"/>
      <c r="BOW107" s="17"/>
      <c r="BOX107" s="17"/>
      <c r="BOY107" s="17"/>
      <c r="BOZ107" s="17"/>
      <c r="BPA107" s="17"/>
      <c r="BPB107" s="17"/>
      <c r="BPC107" s="17"/>
      <c r="BPD107" s="17"/>
      <c r="BPE107" s="17"/>
      <c r="BPF107" s="17"/>
      <c r="BPG107" s="17"/>
      <c r="BPH107" s="17"/>
      <c r="BPI107" s="17"/>
      <c r="BPJ107" s="17"/>
      <c r="BPK107" s="17"/>
      <c r="BPL107" s="17"/>
      <c r="BPM107" s="17"/>
      <c r="BPN107" s="17"/>
      <c r="BPO107" s="17"/>
      <c r="BPP107" s="17"/>
      <c r="BPQ107" s="17"/>
      <c r="BPR107" s="17"/>
      <c r="BPS107" s="17"/>
      <c r="BPT107" s="17"/>
      <c r="BPU107" s="17"/>
      <c r="BPV107" s="17"/>
      <c r="BPW107" s="17"/>
      <c r="BPX107" s="17"/>
      <c r="BPY107" s="17"/>
      <c r="BPZ107" s="17"/>
      <c r="BQA107" s="17"/>
      <c r="BQB107" s="17"/>
      <c r="BQC107" s="17"/>
      <c r="BQD107" s="17"/>
      <c r="BQE107" s="17"/>
      <c r="BQF107" s="17"/>
      <c r="BQG107" s="17"/>
      <c r="BQH107" s="17"/>
      <c r="BQI107" s="17"/>
      <c r="BQJ107" s="17"/>
      <c r="BQK107" s="17"/>
      <c r="BQL107" s="17"/>
      <c r="BQM107" s="17"/>
      <c r="BQN107" s="17"/>
      <c r="BQO107" s="17"/>
      <c r="BQP107" s="17"/>
      <c r="BQQ107" s="17"/>
      <c r="BQR107" s="17"/>
      <c r="BQS107" s="17"/>
      <c r="BQT107" s="17"/>
      <c r="BQU107" s="17"/>
      <c r="BQV107" s="17"/>
      <c r="BQW107" s="17"/>
      <c r="BQX107" s="17"/>
      <c r="BQY107" s="17"/>
      <c r="BQZ107" s="17"/>
      <c r="BRA107" s="17"/>
      <c r="BRB107" s="17"/>
      <c r="BRC107" s="17"/>
      <c r="BRD107" s="17"/>
      <c r="BRE107" s="17"/>
      <c r="BRF107" s="17"/>
      <c r="BRG107" s="17"/>
      <c r="BRH107" s="17"/>
      <c r="BRI107" s="17"/>
      <c r="BRJ107" s="17"/>
      <c r="BRK107" s="17"/>
      <c r="BRL107" s="17"/>
      <c r="BRM107" s="17"/>
      <c r="BRN107" s="17"/>
      <c r="BRO107" s="17"/>
      <c r="BRP107" s="17"/>
      <c r="BRQ107" s="17"/>
      <c r="BRR107" s="17"/>
      <c r="BRS107" s="17"/>
      <c r="BRT107" s="17"/>
      <c r="BRU107" s="17"/>
      <c r="BRV107" s="17"/>
      <c r="BRW107" s="17"/>
      <c r="BRX107" s="17"/>
      <c r="BRY107" s="17"/>
      <c r="BRZ107" s="17"/>
      <c r="BSA107" s="17"/>
      <c r="BSB107" s="17"/>
      <c r="BSC107" s="17"/>
      <c r="BSD107" s="17"/>
      <c r="BSE107" s="17"/>
      <c r="BSF107" s="17"/>
      <c r="BSG107" s="17"/>
      <c r="BSH107" s="17"/>
      <c r="BSI107" s="17"/>
      <c r="BSJ107" s="17"/>
      <c r="BSK107" s="17"/>
      <c r="BSL107" s="17"/>
      <c r="BSM107" s="17"/>
      <c r="BSN107" s="17"/>
      <c r="BSO107" s="17"/>
      <c r="BSP107" s="17"/>
      <c r="BSQ107" s="17"/>
      <c r="BSR107" s="17"/>
      <c r="BSS107" s="17"/>
      <c r="BST107" s="17"/>
      <c r="BSU107" s="17"/>
      <c r="BSV107" s="17"/>
      <c r="BSW107" s="17"/>
      <c r="BSX107" s="17"/>
      <c r="BSY107" s="17"/>
      <c r="BSZ107" s="17"/>
      <c r="BTA107" s="17"/>
      <c r="BTB107" s="17"/>
      <c r="BTC107" s="17"/>
      <c r="BTD107" s="17"/>
      <c r="BTE107" s="17"/>
      <c r="BTF107" s="17"/>
      <c r="BTG107" s="17"/>
      <c r="BTH107" s="17"/>
      <c r="BTI107" s="17"/>
      <c r="BTJ107" s="17"/>
      <c r="BTK107" s="17"/>
      <c r="BTL107" s="17"/>
      <c r="BTM107" s="17"/>
      <c r="BTN107" s="17"/>
      <c r="BTO107" s="17"/>
      <c r="BTP107" s="17"/>
      <c r="BTQ107" s="17"/>
      <c r="BTR107" s="17"/>
      <c r="BTS107" s="17"/>
      <c r="BTT107" s="17"/>
      <c r="BTU107" s="17"/>
      <c r="BTV107" s="17"/>
      <c r="BTW107" s="17"/>
      <c r="BTX107" s="17"/>
      <c r="BTY107" s="17"/>
      <c r="BTZ107" s="17"/>
      <c r="BUA107" s="17"/>
      <c r="BUB107" s="17"/>
      <c r="BUC107" s="17"/>
      <c r="BUD107" s="17"/>
      <c r="BUE107" s="17"/>
      <c r="BUF107" s="17"/>
      <c r="BUG107" s="17"/>
      <c r="BUH107" s="17"/>
      <c r="BUI107" s="17"/>
      <c r="BUJ107" s="17"/>
      <c r="BUK107" s="17"/>
      <c r="BUL107" s="17"/>
      <c r="BUM107" s="17"/>
      <c r="BUN107" s="17"/>
      <c r="BUO107" s="17"/>
      <c r="BUP107" s="17"/>
      <c r="BUQ107" s="17"/>
      <c r="BUR107" s="17"/>
      <c r="BUS107" s="17"/>
      <c r="BUT107" s="17"/>
      <c r="BUU107" s="17"/>
      <c r="BUV107" s="17"/>
      <c r="BUW107" s="17"/>
      <c r="BUX107" s="17"/>
      <c r="BUY107" s="17"/>
      <c r="BUZ107" s="17"/>
      <c r="BVA107" s="17"/>
      <c r="BVB107" s="17"/>
      <c r="BVC107" s="17"/>
      <c r="BVD107" s="17"/>
      <c r="BVE107" s="17"/>
      <c r="BVF107" s="17"/>
      <c r="BVG107" s="17"/>
      <c r="BVH107" s="17"/>
      <c r="BVI107" s="17"/>
      <c r="BVJ107" s="17"/>
      <c r="BVK107" s="17"/>
      <c r="BVL107" s="17"/>
      <c r="BVM107" s="17"/>
      <c r="BVN107" s="17"/>
      <c r="BVO107" s="17"/>
      <c r="BVP107" s="17"/>
      <c r="BVQ107" s="17"/>
      <c r="BVR107" s="17"/>
      <c r="BVS107" s="17"/>
      <c r="BVT107" s="17"/>
      <c r="BVU107" s="17"/>
      <c r="BVV107" s="17"/>
      <c r="BVW107" s="17"/>
      <c r="BVX107" s="17"/>
      <c r="BVY107" s="17"/>
      <c r="BVZ107" s="17"/>
      <c r="BWA107" s="17"/>
      <c r="BWB107" s="17"/>
      <c r="BWC107" s="17"/>
      <c r="BWD107" s="17"/>
      <c r="BWE107" s="17"/>
      <c r="BWF107" s="17"/>
      <c r="BWG107" s="17"/>
      <c r="BWH107" s="17"/>
      <c r="BWI107" s="17"/>
      <c r="BWJ107" s="17"/>
      <c r="BWK107" s="17"/>
      <c r="BWL107" s="17"/>
      <c r="BWM107" s="17"/>
      <c r="BWN107" s="17"/>
      <c r="BWO107" s="17"/>
      <c r="BWP107" s="17"/>
      <c r="BWQ107" s="17"/>
      <c r="BWR107" s="17"/>
      <c r="BWS107" s="17"/>
      <c r="BWT107" s="17"/>
      <c r="BWU107" s="17"/>
      <c r="BWV107" s="17"/>
      <c r="BWW107" s="17"/>
      <c r="BWX107" s="17"/>
      <c r="BWY107" s="17"/>
      <c r="BWZ107" s="17"/>
      <c r="BXA107" s="17"/>
      <c r="BXB107" s="17"/>
      <c r="BXC107" s="17"/>
      <c r="BXD107" s="17"/>
      <c r="BXE107" s="17"/>
      <c r="BXF107" s="17"/>
      <c r="BXG107" s="17"/>
      <c r="BXH107" s="17"/>
      <c r="BXI107" s="17"/>
      <c r="BXJ107" s="17"/>
      <c r="BXK107" s="17"/>
      <c r="BXL107" s="17"/>
      <c r="BXM107" s="17"/>
      <c r="BXN107" s="17"/>
      <c r="BXO107" s="17"/>
      <c r="BXP107" s="17"/>
      <c r="BXQ107" s="17"/>
      <c r="BXR107" s="17"/>
      <c r="BXS107" s="17"/>
      <c r="BXT107" s="17"/>
      <c r="BXU107" s="17"/>
      <c r="BXV107" s="17"/>
      <c r="BXW107" s="17"/>
      <c r="BXX107" s="17"/>
      <c r="BXY107" s="17"/>
      <c r="BXZ107" s="17"/>
      <c r="BYA107" s="17"/>
      <c r="BYB107" s="17"/>
      <c r="BYC107" s="17"/>
      <c r="BYD107" s="17"/>
      <c r="BYE107" s="17"/>
      <c r="BYF107" s="17"/>
      <c r="BYG107" s="17"/>
      <c r="BYH107" s="17"/>
      <c r="BYI107" s="17"/>
      <c r="BYJ107" s="17"/>
      <c r="BYK107" s="17"/>
      <c r="BYL107" s="17"/>
      <c r="BYM107" s="17"/>
      <c r="BYN107" s="17"/>
      <c r="BYO107" s="17"/>
      <c r="BYP107" s="17"/>
      <c r="BYQ107" s="17"/>
      <c r="BYR107" s="17"/>
      <c r="BYS107" s="17"/>
      <c r="BYT107" s="17"/>
      <c r="BYU107" s="17"/>
      <c r="BYV107" s="17"/>
      <c r="BYW107" s="17"/>
      <c r="BYX107" s="17"/>
      <c r="BYY107" s="17"/>
      <c r="BYZ107" s="17"/>
      <c r="BZA107" s="17"/>
      <c r="BZB107" s="17"/>
      <c r="BZC107" s="17"/>
      <c r="BZD107" s="17"/>
      <c r="BZE107" s="17"/>
      <c r="BZF107" s="17"/>
      <c r="BZG107" s="17"/>
      <c r="BZH107" s="17"/>
      <c r="BZI107" s="17"/>
      <c r="BZJ107" s="17"/>
      <c r="BZK107" s="17"/>
      <c r="BZL107" s="17"/>
      <c r="BZM107" s="17"/>
      <c r="BZN107" s="17"/>
      <c r="BZO107" s="17"/>
      <c r="BZP107" s="17"/>
      <c r="BZQ107" s="17"/>
      <c r="BZR107" s="17"/>
      <c r="BZS107" s="17"/>
      <c r="BZT107" s="17"/>
      <c r="BZU107" s="17"/>
      <c r="BZV107" s="17"/>
      <c r="BZW107" s="17"/>
      <c r="BZX107" s="17"/>
      <c r="BZY107" s="17"/>
      <c r="BZZ107" s="17"/>
      <c r="CAA107" s="17"/>
      <c r="CAB107" s="17"/>
      <c r="CAC107" s="17"/>
      <c r="CAD107" s="17"/>
      <c r="CAE107" s="17"/>
      <c r="CAF107" s="17"/>
      <c r="CAG107" s="17"/>
      <c r="CAH107" s="17"/>
      <c r="CAI107" s="17"/>
      <c r="CAJ107" s="17"/>
      <c r="CAK107" s="17"/>
      <c r="CAL107" s="17"/>
      <c r="CAM107" s="17"/>
      <c r="CAN107" s="17"/>
      <c r="CAO107" s="17"/>
      <c r="CAP107" s="17"/>
      <c r="CAQ107" s="17"/>
      <c r="CAR107" s="17"/>
      <c r="CAS107" s="17"/>
      <c r="CAT107" s="17"/>
      <c r="CAU107" s="17"/>
      <c r="CAV107" s="17"/>
      <c r="CAW107" s="17"/>
      <c r="CAX107" s="17"/>
      <c r="CAY107" s="17"/>
      <c r="CAZ107" s="17"/>
      <c r="CBA107" s="17"/>
      <c r="CBB107" s="17"/>
      <c r="CBC107" s="17"/>
      <c r="CBD107" s="17"/>
      <c r="CBE107" s="17"/>
      <c r="CBF107" s="17"/>
      <c r="CBG107" s="17"/>
      <c r="CBH107" s="17"/>
      <c r="CBI107" s="17"/>
      <c r="CBJ107" s="17"/>
      <c r="CBK107" s="17"/>
      <c r="CBL107" s="17"/>
      <c r="CBM107" s="17"/>
      <c r="CBN107" s="17"/>
      <c r="CBO107" s="17"/>
      <c r="CBP107" s="17"/>
      <c r="CBQ107" s="17"/>
      <c r="CBR107" s="17"/>
      <c r="CBS107" s="17"/>
      <c r="CBT107" s="17"/>
      <c r="CBU107" s="17"/>
      <c r="CBV107" s="17"/>
      <c r="CBW107" s="17"/>
      <c r="CBX107" s="17"/>
      <c r="CBY107" s="17"/>
      <c r="CBZ107" s="17"/>
      <c r="CCA107" s="17"/>
      <c r="CCB107" s="17"/>
      <c r="CCC107" s="17"/>
      <c r="CCD107" s="17"/>
      <c r="CCE107" s="17"/>
      <c r="CCF107" s="17"/>
      <c r="CCG107" s="17"/>
      <c r="CCH107" s="17"/>
      <c r="CCI107" s="17"/>
      <c r="CCJ107" s="17"/>
      <c r="CCK107" s="17"/>
      <c r="CCL107" s="17"/>
      <c r="CCM107" s="17"/>
      <c r="CCN107" s="17"/>
      <c r="CCO107" s="17"/>
      <c r="CCP107" s="17"/>
      <c r="CCQ107" s="17"/>
      <c r="CCR107" s="17"/>
      <c r="CCS107" s="17"/>
      <c r="CCT107" s="17"/>
      <c r="CCU107" s="17"/>
      <c r="CCV107" s="17"/>
      <c r="CCW107" s="17"/>
      <c r="CCX107" s="17"/>
      <c r="CCY107" s="17"/>
      <c r="CCZ107" s="17"/>
      <c r="CDA107" s="17"/>
      <c r="CDB107" s="17"/>
      <c r="CDC107" s="17"/>
      <c r="CDD107" s="17"/>
      <c r="CDE107" s="17"/>
      <c r="CDF107" s="17"/>
      <c r="CDG107" s="17"/>
      <c r="CDH107" s="17"/>
      <c r="CDI107" s="17"/>
      <c r="CDJ107" s="17"/>
      <c r="CDK107" s="17"/>
      <c r="CDL107" s="17"/>
      <c r="CDM107" s="17"/>
      <c r="CDN107" s="17"/>
      <c r="CDO107" s="17"/>
      <c r="CDP107" s="17"/>
      <c r="CDQ107" s="17"/>
      <c r="CDR107" s="17"/>
      <c r="CDS107" s="17"/>
      <c r="CDT107" s="17"/>
      <c r="CDU107" s="17"/>
      <c r="CDV107" s="17"/>
      <c r="CDW107" s="17"/>
      <c r="CDX107" s="17"/>
      <c r="CDY107" s="17"/>
      <c r="CDZ107" s="17"/>
      <c r="CEA107" s="17"/>
      <c r="CEB107" s="17"/>
      <c r="CEC107" s="17"/>
      <c r="CED107" s="17"/>
      <c r="CEE107" s="17"/>
      <c r="CEF107" s="17"/>
      <c r="CEG107" s="17"/>
      <c r="CEH107" s="17"/>
      <c r="CEI107" s="17"/>
      <c r="CEJ107" s="17"/>
      <c r="CEK107" s="17"/>
      <c r="CEL107" s="17"/>
      <c r="CEM107" s="17"/>
      <c r="CEN107" s="17"/>
      <c r="CEO107" s="17"/>
      <c r="CEP107" s="17"/>
      <c r="CEQ107" s="17"/>
      <c r="CER107" s="17"/>
      <c r="CES107" s="17"/>
      <c r="CET107" s="17"/>
      <c r="CEU107" s="17"/>
      <c r="CEV107" s="17"/>
      <c r="CEW107" s="17"/>
      <c r="CEX107" s="17"/>
      <c r="CEY107" s="17"/>
      <c r="CEZ107" s="17"/>
      <c r="CFA107" s="17"/>
      <c r="CFB107" s="17"/>
      <c r="CFC107" s="17"/>
      <c r="CFD107" s="17"/>
      <c r="CFE107" s="17"/>
      <c r="CFF107" s="17"/>
      <c r="CFG107" s="17"/>
      <c r="CFH107" s="17"/>
      <c r="CFI107" s="17"/>
      <c r="CFJ107" s="17"/>
      <c r="CFK107" s="17"/>
      <c r="CFL107" s="17"/>
      <c r="CFM107" s="17"/>
      <c r="CFN107" s="17"/>
      <c r="CFO107" s="17"/>
      <c r="CFP107" s="17"/>
      <c r="CFQ107" s="17"/>
      <c r="CFR107" s="17"/>
      <c r="CFS107" s="17"/>
      <c r="CFT107" s="17"/>
      <c r="CFU107" s="17"/>
      <c r="CFV107" s="17"/>
      <c r="CFW107" s="17"/>
      <c r="CFX107" s="17"/>
      <c r="CFY107" s="17"/>
      <c r="CFZ107" s="17"/>
      <c r="CGA107" s="17"/>
      <c r="CGB107" s="17"/>
      <c r="CGC107" s="17"/>
      <c r="CGD107" s="17"/>
      <c r="CGE107" s="17"/>
      <c r="CGF107" s="17"/>
      <c r="CGG107" s="17"/>
      <c r="CGH107" s="17"/>
      <c r="CGI107" s="17"/>
      <c r="CGJ107" s="17"/>
      <c r="CGK107" s="17"/>
      <c r="CGL107" s="17"/>
      <c r="CGM107" s="17"/>
      <c r="CGN107" s="17"/>
      <c r="CGO107" s="17"/>
      <c r="CGP107" s="17"/>
      <c r="CGQ107" s="17"/>
      <c r="CGR107" s="17"/>
      <c r="CGS107" s="17"/>
      <c r="CGT107" s="17"/>
      <c r="CGU107" s="17"/>
      <c r="CGV107" s="17"/>
      <c r="CGW107" s="17"/>
      <c r="CGX107" s="17"/>
      <c r="CGY107" s="17"/>
      <c r="CGZ107" s="17"/>
      <c r="CHA107" s="17"/>
      <c r="CHB107" s="17"/>
      <c r="CHC107" s="17"/>
      <c r="CHD107" s="17"/>
      <c r="CHE107" s="17"/>
      <c r="CHF107" s="17"/>
      <c r="CHG107" s="17"/>
      <c r="CHH107" s="17"/>
      <c r="CHI107" s="17"/>
      <c r="CHJ107" s="17"/>
      <c r="CHK107" s="17"/>
      <c r="CHL107" s="17"/>
      <c r="CHM107" s="17"/>
      <c r="CHN107" s="17"/>
      <c r="CHO107" s="17"/>
      <c r="CHP107" s="17"/>
      <c r="CHQ107" s="17"/>
      <c r="CHR107" s="17"/>
      <c r="CHS107" s="17"/>
      <c r="CHT107" s="17"/>
      <c r="CHU107" s="17"/>
      <c r="CHV107" s="17"/>
      <c r="CHW107" s="17"/>
      <c r="CHX107" s="17"/>
      <c r="CHY107" s="17"/>
      <c r="CHZ107" s="17"/>
      <c r="CIA107" s="17"/>
      <c r="CIB107" s="17"/>
      <c r="CIC107" s="17"/>
      <c r="CID107" s="17"/>
      <c r="CIE107" s="17"/>
      <c r="CIF107" s="17"/>
      <c r="CIG107" s="17"/>
      <c r="CIH107" s="17"/>
      <c r="CII107" s="17"/>
      <c r="CIJ107" s="17"/>
      <c r="CIK107" s="17"/>
      <c r="CIL107" s="17"/>
      <c r="CIM107" s="17"/>
      <c r="CIN107" s="17"/>
      <c r="CIO107" s="17"/>
      <c r="CIP107" s="17"/>
      <c r="CIQ107" s="17"/>
      <c r="CIR107" s="17"/>
      <c r="CIS107" s="17"/>
      <c r="CIT107" s="17"/>
      <c r="CIU107" s="17"/>
      <c r="CIV107" s="17"/>
      <c r="CIW107" s="17"/>
      <c r="CIX107" s="17"/>
      <c r="CIY107" s="17"/>
      <c r="CIZ107" s="17"/>
      <c r="CJA107" s="17"/>
      <c r="CJB107" s="17"/>
      <c r="CJC107" s="17"/>
      <c r="CJD107" s="17"/>
      <c r="CJE107" s="17"/>
      <c r="CJF107" s="17"/>
      <c r="CJG107" s="17"/>
      <c r="CJH107" s="17"/>
      <c r="CJI107" s="17"/>
      <c r="CJJ107" s="17"/>
      <c r="CJK107" s="17"/>
      <c r="CJL107" s="17"/>
      <c r="CJM107" s="17"/>
      <c r="CJN107" s="17"/>
      <c r="CJO107" s="17"/>
      <c r="CJP107" s="17"/>
      <c r="CJQ107" s="17"/>
      <c r="CJR107" s="17"/>
      <c r="CJS107" s="17"/>
      <c r="CJT107" s="17"/>
      <c r="CJU107" s="17"/>
      <c r="CJV107" s="17"/>
      <c r="CJW107" s="17"/>
      <c r="CJX107" s="17"/>
      <c r="CJY107" s="17"/>
      <c r="CJZ107" s="17"/>
      <c r="CKA107" s="17"/>
      <c r="CKB107" s="17"/>
      <c r="CKC107" s="17"/>
      <c r="CKD107" s="17"/>
      <c r="CKE107" s="17"/>
      <c r="CKF107" s="17"/>
      <c r="CKG107" s="17"/>
      <c r="CKH107" s="17"/>
      <c r="CKI107" s="17"/>
      <c r="CKJ107" s="17"/>
      <c r="CKK107" s="17"/>
      <c r="CKL107" s="17"/>
      <c r="CKM107" s="17"/>
      <c r="CKN107" s="17"/>
      <c r="CKO107" s="17"/>
      <c r="CKP107" s="17"/>
      <c r="CKQ107" s="17"/>
      <c r="CKR107" s="17"/>
      <c r="CKS107" s="17"/>
      <c r="CKT107" s="17"/>
      <c r="CKU107" s="17"/>
      <c r="CKV107" s="17"/>
      <c r="CKW107" s="17"/>
      <c r="CKX107" s="17"/>
      <c r="CKY107" s="17"/>
      <c r="CKZ107" s="17"/>
      <c r="CLA107" s="17"/>
      <c r="CLB107" s="17"/>
      <c r="CLC107" s="17"/>
      <c r="CLD107" s="17"/>
      <c r="CLE107" s="17"/>
      <c r="CLF107" s="17"/>
      <c r="CLG107" s="17"/>
      <c r="CLH107" s="17"/>
      <c r="CLI107" s="17"/>
      <c r="CLJ107" s="17"/>
      <c r="CLK107" s="17"/>
      <c r="CLL107" s="17"/>
      <c r="CLM107" s="17"/>
      <c r="CLN107" s="17"/>
      <c r="CLO107" s="17"/>
      <c r="CLP107" s="17"/>
      <c r="CLQ107" s="17"/>
      <c r="CLR107" s="17"/>
      <c r="CLS107" s="17"/>
      <c r="CLT107" s="17"/>
      <c r="CLU107" s="17"/>
      <c r="CLV107" s="17"/>
      <c r="CLW107" s="17"/>
      <c r="CLX107" s="17"/>
      <c r="CLY107" s="17"/>
      <c r="CLZ107" s="17"/>
      <c r="CMA107" s="17"/>
      <c r="CMB107" s="17"/>
      <c r="CMC107" s="17"/>
      <c r="CMD107" s="17"/>
      <c r="CME107" s="17"/>
      <c r="CMF107" s="17"/>
      <c r="CMG107" s="17"/>
      <c r="CMH107" s="17"/>
      <c r="CMI107" s="17"/>
      <c r="CMJ107" s="17"/>
      <c r="CMK107" s="17"/>
      <c r="CML107" s="17"/>
      <c r="CMM107" s="17"/>
      <c r="CMN107" s="17"/>
      <c r="CMO107" s="17"/>
      <c r="CMP107" s="17"/>
      <c r="CMQ107" s="17"/>
      <c r="CMR107" s="17"/>
      <c r="CMS107" s="17"/>
      <c r="CMT107" s="17"/>
      <c r="CMU107" s="17"/>
      <c r="CMV107" s="17"/>
      <c r="CMW107" s="17"/>
      <c r="CMX107" s="17"/>
      <c r="CMY107" s="17"/>
      <c r="CMZ107" s="17"/>
      <c r="CNA107" s="17"/>
      <c r="CNB107" s="17"/>
      <c r="CNC107" s="17"/>
      <c r="CND107" s="17"/>
      <c r="CNE107" s="17"/>
      <c r="CNF107" s="17"/>
      <c r="CNG107" s="17"/>
      <c r="CNH107" s="17"/>
      <c r="CNI107" s="17"/>
      <c r="CNJ107" s="17"/>
      <c r="CNK107" s="17"/>
      <c r="CNL107" s="17"/>
      <c r="CNM107" s="17"/>
      <c r="CNN107" s="17"/>
      <c r="CNO107" s="17"/>
      <c r="CNP107" s="17"/>
      <c r="CNQ107" s="17"/>
      <c r="CNR107" s="17"/>
      <c r="CNS107" s="17"/>
      <c r="CNT107" s="17"/>
      <c r="CNU107" s="17"/>
      <c r="CNV107" s="17"/>
      <c r="CNW107" s="17"/>
      <c r="CNX107" s="17"/>
      <c r="CNY107" s="17"/>
      <c r="CNZ107" s="17"/>
      <c r="COA107" s="17"/>
      <c r="COB107" s="17"/>
      <c r="COC107" s="17"/>
      <c r="COD107" s="17"/>
      <c r="COE107" s="17"/>
      <c r="COF107" s="17"/>
      <c r="COG107" s="17"/>
      <c r="COH107" s="17"/>
      <c r="COI107" s="17"/>
      <c r="COJ107" s="17"/>
      <c r="COK107" s="17"/>
      <c r="COL107" s="17"/>
      <c r="COM107" s="17"/>
      <c r="CON107" s="17"/>
      <c r="COO107" s="17"/>
      <c r="COP107" s="17"/>
      <c r="COQ107" s="17"/>
      <c r="COR107" s="17"/>
      <c r="COS107" s="17"/>
      <c r="COT107" s="17"/>
      <c r="COU107" s="17"/>
      <c r="COV107" s="17"/>
      <c r="COW107" s="17"/>
      <c r="COX107" s="17"/>
      <c r="COY107" s="17"/>
      <c r="COZ107" s="17"/>
      <c r="CPA107" s="17"/>
      <c r="CPB107" s="17"/>
      <c r="CPC107" s="17"/>
      <c r="CPD107" s="17"/>
      <c r="CPE107" s="17"/>
      <c r="CPF107" s="17"/>
      <c r="CPG107" s="17"/>
      <c r="CPH107" s="17"/>
      <c r="CPI107" s="17"/>
      <c r="CPJ107" s="17"/>
      <c r="CPK107" s="17"/>
      <c r="CPL107" s="17"/>
      <c r="CPM107" s="17"/>
      <c r="CPN107" s="17"/>
      <c r="CPO107" s="17"/>
      <c r="CPP107" s="17"/>
      <c r="CPQ107" s="17"/>
      <c r="CPR107" s="17"/>
      <c r="CPS107" s="17"/>
      <c r="CPT107" s="17"/>
      <c r="CPU107" s="17"/>
      <c r="CPV107" s="17"/>
      <c r="CPW107" s="17"/>
      <c r="CPX107" s="17"/>
      <c r="CPY107" s="17"/>
      <c r="CPZ107" s="17"/>
      <c r="CQA107" s="17"/>
      <c r="CQB107" s="17"/>
      <c r="CQC107" s="17"/>
      <c r="CQD107" s="17"/>
      <c r="CQE107" s="17"/>
      <c r="CQF107" s="17"/>
      <c r="CQG107" s="17"/>
      <c r="CQH107" s="17"/>
      <c r="CQI107" s="17"/>
      <c r="CQJ107" s="17"/>
      <c r="CQK107" s="17"/>
      <c r="CQL107" s="17"/>
      <c r="CQM107" s="17"/>
      <c r="CQN107" s="17"/>
      <c r="CQO107" s="17"/>
      <c r="CQP107" s="17"/>
      <c r="CQQ107" s="17"/>
      <c r="CQR107" s="17"/>
      <c r="CQS107" s="17"/>
      <c r="CQT107" s="17"/>
      <c r="CQU107" s="17"/>
      <c r="CQV107" s="17"/>
      <c r="CQW107" s="17"/>
      <c r="CQX107" s="17"/>
      <c r="CQY107" s="17"/>
      <c r="CQZ107" s="17"/>
      <c r="CRA107" s="17"/>
      <c r="CRB107" s="17"/>
      <c r="CRC107" s="17"/>
      <c r="CRD107" s="17"/>
      <c r="CRE107" s="17"/>
      <c r="CRF107" s="17"/>
      <c r="CRG107" s="17"/>
      <c r="CRH107" s="17"/>
      <c r="CRI107" s="17"/>
      <c r="CRJ107" s="17"/>
      <c r="CRK107" s="17"/>
      <c r="CRL107" s="17"/>
      <c r="CRM107" s="17"/>
      <c r="CRN107" s="17"/>
      <c r="CRO107" s="17"/>
      <c r="CRP107" s="17"/>
      <c r="CRQ107" s="17"/>
      <c r="CRR107" s="17"/>
      <c r="CRS107" s="17"/>
      <c r="CRT107" s="17"/>
      <c r="CRU107" s="17"/>
      <c r="CRV107" s="17"/>
      <c r="CRW107" s="17"/>
      <c r="CRX107" s="17"/>
      <c r="CRY107" s="17"/>
      <c r="CRZ107" s="17"/>
      <c r="CSA107" s="17"/>
      <c r="CSB107" s="17"/>
      <c r="CSC107" s="17"/>
      <c r="CSD107" s="17"/>
      <c r="CSE107" s="17"/>
      <c r="CSF107" s="17"/>
      <c r="CSG107" s="17"/>
      <c r="CSH107" s="17"/>
      <c r="CSI107" s="17"/>
      <c r="CSJ107" s="17"/>
      <c r="CSK107" s="17"/>
      <c r="CSL107" s="17"/>
      <c r="CSM107" s="17"/>
      <c r="CSN107" s="17"/>
      <c r="CSO107" s="17"/>
      <c r="CSP107" s="17"/>
      <c r="CSQ107" s="17"/>
      <c r="CSR107" s="17"/>
      <c r="CSS107" s="17"/>
      <c r="CST107" s="17"/>
      <c r="CSU107" s="17"/>
      <c r="CSV107" s="17"/>
      <c r="CSW107" s="17"/>
      <c r="CSX107" s="17"/>
      <c r="CSY107" s="17"/>
      <c r="CSZ107" s="17"/>
      <c r="CTA107" s="17"/>
      <c r="CTB107" s="17"/>
      <c r="CTC107" s="17"/>
      <c r="CTD107" s="17"/>
      <c r="CTE107" s="17"/>
      <c r="CTF107" s="17"/>
      <c r="CTG107" s="17"/>
      <c r="CTH107" s="17"/>
      <c r="CTI107" s="17"/>
      <c r="CTJ107" s="17"/>
      <c r="CTK107" s="17"/>
      <c r="CTL107" s="17"/>
      <c r="CTM107" s="17"/>
      <c r="CTN107" s="17"/>
      <c r="CTO107" s="17"/>
      <c r="CTP107" s="17"/>
      <c r="CTQ107" s="17"/>
      <c r="CTR107" s="17"/>
      <c r="CTS107" s="17"/>
      <c r="CTT107" s="17"/>
      <c r="CTU107" s="17"/>
      <c r="CTV107" s="17"/>
      <c r="CTW107" s="17"/>
      <c r="CTX107" s="17"/>
      <c r="CTY107" s="17"/>
      <c r="CTZ107" s="17"/>
      <c r="CUA107" s="17"/>
      <c r="CUB107" s="17"/>
      <c r="CUC107" s="17"/>
      <c r="CUD107" s="17"/>
      <c r="CUE107" s="17"/>
      <c r="CUF107" s="17"/>
      <c r="CUG107" s="17"/>
      <c r="CUH107" s="17"/>
      <c r="CUI107" s="17"/>
      <c r="CUJ107" s="17"/>
      <c r="CUK107" s="17"/>
      <c r="CUL107" s="17"/>
      <c r="CUM107" s="17"/>
      <c r="CUN107" s="17"/>
      <c r="CUO107" s="17"/>
      <c r="CUP107" s="17"/>
      <c r="CUQ107" s="17"/>
      <c r="CUR107" s="17"/>
      <c r="CUS107" s="17"/>
      <c r="CUT107" s="17"/>
      <c r="CUU107" s="17"/>
      <c r="CUV107" s="17"/>
      <c r="CUW107" s="17"/>
      <c r="CUX107" s="17"/>
      <c r="CUY107" s="17"/>
      <c r="CUZ107" s="17"/>
      <c r="CVA107" s="17"/>
      <c r="CVB107" s="17"/>
      <c r="CVC107" s="17"/>
      <c r="CVD107" s="17"/>
      <c r="CVE107" s="17"/>
      <c r="CVF107" s="17"/>
      <c r="CVG107" s="17"/>
      <c r="CVH107" s="17"/>
      <c r="CVI107" s="17"/>
      <c r="CVJ107" s="17"/>
      <c r="CVK107" s="17"/>
      <c r="CVL107" s="17"/>
      <c r="CVM107" s="17"/>
      <c r="CVN107" s="17"/>
      <c r="CVO107" s="17"/>
      <c r="CVP107" s="17"/>
      <c r="CVQ107" s="17"/>
      <c r="CVR107" s="17"/>
      <c r="CVS107" s="17"/>
      <c r="CVT107" s="17"/>
      <c r="CVU107" s="17"/>
      <c r="CVV107" s="17"/>
      <c r="CVW107" s="17"/>
      <c r="CVX107" s="17"/>
      <c r="CVY107" s="17"/>
      <c r="CVZ107" s="17"/>
      <c r="CWA107" s="17"/>
      <c r="CWB107" s="17"/>
      <c r="CWC107" s="17"/>
      <c r="CWD107" s="17"/>
      <c r="CWE107" s="17"/>
      <c r="CWF107" s="17"/>
      <c r="CWG107" s="17"/>
      <c r="CWH107" s="17"/>
      <c r="CWI107" s="17"/>
      <c r="CWJ107" s="17"/>
      <c r="CWK107" s="17"/>
      <c r="CWL107" s="17"/>
      <c r="CWM107" s="17"/>
      <c r="CWN107" s="17"/>
      <c r="CWO107" s="17"/>
      <c r="CWP107" s="17"/>
      <c r="CWQ107" s="17"/>
      <c r="CWR107" s="17"/>
      <c r="CWS107" s="17"/>
      <c r="CWT107" s="17"/>
      <c r="CWU107" s="17"/>
      <c r="CWV107" s="17"/>
      <c r="CWW107" s="17"/>
      <c r="CWX107" s="17"/>
      <c r="CWY107" s="17"/>
      <c r="CWZ107" s="17"/>
      <c r="CXA107" s="17"/>
      <c r="CXB107" s="17"/>
      <c r="CXC107" s="17"/>
      <c r="CXD107" s="17"/>
      <c r="CXE107" s="17"/>
      <c r="CXF107" s="17"/>
      <c r="CXG107" s="17"/>
      <c r="CXH107" s="17"/>
      <c r="CXI107" s="17"/>
      <c r="CXJ107" s="17"/>
      <c r="CXK107" s="17"/>
      <c r="CXL107" s="17"/>
      <c r="CXM107" s="17"/>
      <c r="CXN107" s="17"/>
      <c r="CXO107" s="17"/>
      <c r="CXP107" s="17"/>
      <c r="CXQ107" s="17"/>
      <c r="CXR107" s="17"/>
      <c r="CXS107" s="17"/>
      <c r="CXT107" s="17"/>
      <c r="CXU107" s="17"/>
      <c r="CXV107" s="17"/>
      <c r="CXW107" s="17"/>
      <c r="CXX107" s="17"/>
      <c r="CXY107" s="17"/>
      <c r="CXZ107" s="17"/>
      <c r="CYA107" s="17"/>
      <c r="CYB107" s="17"/>
      <c r="CYC107" s="17"/>
      <c r="CYD107" s="17"/>
      <c r="CYE107" s="17"/>
      <c r="CYF107" s="17"/>
      <c r="CYG107" s="17"/>
      <c r="CYH107" s="17"/>
      <c r="CYI107" s="17"/>
      <c r="CYJ107" s="17"/>
      <c r="CYK107" s="17"/>
      <c r="CYL107" s="17"/>
      <c r="CYM107" s="17"/>
      <c r="CYN107" s="17"/>
      <c r="CYO107" s="17"/>
      <c r="CYP107" s="17"/>
      <c r="CYQ107" s="17"/>
      <c r="CYR107" s="17"/>
      <c r="CYS107" s="17"/>
      <c r="CYT107" s="17"/>
      <c r="CYU107" s="17"/>
      <c r="CYV107" s="17"/>
      <c r="CYW107" s="17"/>
      <c r="CYX107" s="17"/>
      <c r="CYY107" s="17"/>
      <c r="CYZ107" s="17"/>
      <c r="CZA107" s="17"/>
      <c r="CZB107" s="17"/>
      <c r="CZC107" s="17"/>
      <c r="CZD107" s="17"/>
      <c r="CZE107" s="17"/>
      <c r="CZF107" s="17"/>
      <c r="CZG107" s="17"/>
      <c r="CZH107" s="17"/>
      <c r="CZI107" s="17"/>
      <c r="CZJ107" s="17"/>
      <c r="CZK107" s="17"/>
      <c r="CZL107" s="17"/>
      <c r="CZM107" s="17"/>
      <c r="CZN107" s="17"/>
      <c r="CZO107" s="17"/>
      <c r="CZP107" s="17"/>
      <c r="CZQ107" s="17"/>
      <c r="CZR107" s="17"/>
      <c r="CZS107" s="17"/>
      <c r="CZT107" s="17"/>
      <c r="CZU107" s="17"/>
      <c r="CZV107" s="17"/>
      <c r="CZW107" s="17"/>
      <c r="CZX107" s="17"/>
      <c r="CZY107" s="17"/>
      <c r="CZZ107" s="17"/>
      <c r="DAA107" s="17"/>
      <c r="DAB107" s="17"/>
      <c r="DAC107" s="17"/>
      <c r="DAD107" s="17"/>
      <c r="DAE107" s="17"/>
      <c r="DAF107" s="17"/>
      <c r="DAG107" s="17"/>
      <c r="DAH107" s="17"/>
      <c r="DAI107" s="17"/>
      <c r="DAJ107" s="17"/>
      <c r="DAK107" s="17"/>
      <c r="DAL107" s="17"/>
      <c r="DAM107" s="17"/>
      <c r="DAN107" s="17"/>
      <c r="DAO107" s="17"/>
      <c r="DAP107" s="17"/>
      <c r="DAQ107" s="17"/>
      <c r="DAR107" s="17"/>
      <c r="DAS107" s="17"/>
      <c r="DAT107" s="17"/>
      <c r="DAU107" s="17"/>
      <c r="DAV107" s="17"/>
      <c r="DAW107" s="17"/>
      <c r="DAX107" s="17"/>
      <c r="DAY107" s="17"/>
      <c r="DAZ107" s="17"/>
      <c r="DBA107" s="17"/>
      <c r="DBB107" s="17"/>
      <c r="DBC107" s="17"/>
      <c r="DBD107" s="17"/>
      <c r="DBE107" s="17"/>
      <c r="DBF107" s="17"/>
      <c r="DBG107" s="17"/>
      <c r="DBH107" s="17"/>
      <c r="DBI107" s="17"/>
      <c r="DBJ107" s="17"/>
      <c r="DBK107" s="17"/>
      <c r="DBL107" s="17"/>
      <c r="DBM107" s="17"/>
      <c r="DBN107" s="17"/>
      <c r="DBO107" s="17"/>
      <c r="DBP107" s="17"/>
      <c r="DBQ107" s="17"/>
      <c r="DBR107" s="17"/>
      <c r="DBS107" s="17"/>
      <c r="DBT107" s="17"/>
      <c r="DBU107" s="17"/>
      <c r="DBV107" s="17"/>
      <c r="DBW107" s="17"/>
      <c r="DBX107" s="17"/>
      <c r="DBY107" s="17"/>
      <c r="DBZ107" s="17"/>
      <c r="DCA107" s="17"/>
      <c r="DCB107" s="17"/>
      <c r="DCC107" s="17"/>
      <c r="DCD107" s="17"/>
      <c r="DCE107" s="17"/>
      <c r="DCF107" s="17"/>
      <c r="DCG107" s="17"/>
      <c r="DCH107" s="17"/>
      <c r="DCI107" s="17"/>
      <c r="DCJ107" s="17"/>
      <c r="DCK107" s="17"/>
      <c r="DCL107" s="17"/>
      <c r="DCM107" s="17"/>
      <c r="DCN107" s="17"/>
      <c r="DCO107" s="17"/>
      <c r="DCP107" s="17"/>
      <c r="DCQ107" s="17"/>
      <c r="DCR107" s="17"/>
      <c r="DCS107" s="17"/>
      <c r="DCT107" s="17"/>
      <c r="DCU107" s="17"/>
      <c r="DCV107" s="17"/>
      <c r="DCW107" s="17"/>
      <c r="DCX107" s="17"/>
      <c r="DCY107" s="17"/>
      <c r="DCZ107" s="17"/>
      <c r="DDA107" s="17"/>
      <c r="DDB107" s="17"/>
      <c r="DDC107" s="17"/>
      <c r="DDD107" s="17"/>
      <c r="DDE107" s="17"/>
      <c r="DDF107" s="17"/>
      <c r="DDG107" s="17"/>
      <c r="DDH107" s="17"/>
      <c r="DDI107" s="17"/>
      <c r="DDJ107" s="17"/>
      <c r="DDK107" s="17"/>
      <c r="DDL107" s="17"/>
      <c r="DDM107" s="17"/>
      <c r="DDN107" s="17"/>
      <c r="DDO107" s="17"/>
      <c r="DDP107" s="17"/>
      <c r="DDQ107" s="17"/>
      <c r="DDR107" s="17"/>
      <c r="DDS107" s="17"/>
      <c r="DDT107" s="17"/>
      <c r="DDU107" s="17"/>
      <c r="DDV107" s="17"/>
      <c r="DDW107" s="17"/>
      <c r="DDX107" s="17"/>
      <c r="DDY107" s="17"/>
      <c r="DDZ107" s="17"/>
      <c r="DEA107" s="17"/>
      <c r="DEB107" s="17"/>
      <c r="DEC107" s="17"/>
      <c r="DED107" s="17"/>
      <c r="DEE107" s="17"/>
      <c r="DEF107" s="17"/>
      <c r="DEG107" s="17"/>
      <c r="DEH107" s="17"/>
      <c r="DEI107" s="17"/>
      <c r="DEJ107" s="17"/>
      <c r="DEK107" s="17"/>
      <c r="DEL107" s="17"/>
      <c r="DEM107" s="17"/>
      <c r="DEN107" s="17"/>
      <c r="DEO107" s="17"/>
      <c r="DEP107" s="17"/>
      <c r="DEQ107" s="17"/>
      <c r="DER107" s="17"/>
      <c r="DES107" s="17"/>
      <c r="DET107" s="17"/>
      <c r="DEU107" s="17"/>
      <c r="DEV107" s="17"/>
      <c r="DEW107" s="17"/>
      <c r="DEX107" s="17"/>
      <c r="DEY107" s="17"/>
      <c r="DEZ107" s="17"/>
      <c r="DFA107" s="17"/>
      <c r="DFB107" s="17"/>
      <c r="DFC107" s="17"/>
      <c r="DFD107" s="17"/>
      <c r="DFE107" s="17"/>
      <c r="DFF107" s="17"/>
      <c r="DFG107" s="17"/>
      <c r="DFH107" s="17"/>
      <c r="DFI107" s="17"/>
      <c r="DFJ107" s="17"/>
      <c r="DFK107" s="17"/>
      <c r="DFL107" s="17"/>
      <c r="DFM107" s="17"/>
      <c r="DFN107" s="17"/>
      <c r="DFO107" s="17"/>
      <c r="DFP107" s="17"/>
      <c r="DFQ107" s="17"/>
      <c r="DFR107" s="17"/>
      <c r="DFS107" s="17"/>
      <c r="DFT107" s="17"/>
      <c r="DFU107" s="17"/>
      <c r="DFV107" s="17"/>
      <c r="DFW107" s="17"/>
      <c r="DFX107" s="17"/>
      <c r="DFY107" s="17"/>
      <c r="DFZ107" s="17"/>
      <c r="DGA107" s="17"/>
      <c r="DGB107" s="17"/>
      <c r="DGC107" s="17"/>
      <c r="DGD107" s="17"/>
      <c r="DGE107" s="17"/>
      <c r="DGF107" s="17"/>
      <c r="DGG107" s="17"/>
      <c r="DGH107" s="17"/>
      <c r="DGI107" s="17"/>
      <c r="DGJ107" s="17"/>
      <c r="DGK107" s="17"/>
      <c r="DGL107" s="17"/>
      <c r="DGM107" s="17"/>
      <c r="DGN107" s="17"/>
      <c r="DGO107" s="17"/>
      <c r="DGP107" s="17"/>
      <c r="DGQ107" s="17"/>
      <c r="DGR107" s="17"/>
      <c r="DGS107" s="17"/>
      <c r="DGT107" s="17"/>
      <c r="DGU107" s="17"/>
      <c r="DGV107" s="17"/>
      <c r="DGW107" s="17"/>
      <c r="DGX107" s="17"/>
      <c r="DGY107" s="17"/>
      <c r="DGZ107" s="17"/>
      <c r="DHA107" s="17"/>
      <c r="DHB107" s="17"/>
      <c r="DHC107" s="17"/>
      <c r="DHD107" s="17"/>
      <c r="DHE107" s="17"/>
      <c r="DHF107" s="17"/>
      <c r="DHG107" s="17"/>
      <c r="DHH107" s="17"/>
      <c r="DHI107" s="17"/>
      <c r="DHJ107" s="17"/>
      <c r="DHK107" s="17"/>
      <c r="DHL107" s="17"/>
      <c r="DHM107" s="17"/>
      <c r="DHN107" s="17"/>
      <c r="DHO107" s="17"/>
      <c r="DHP107" s="17"/>
      <c r="DHQ107" s="17"/>
      <c r="DHR107" s="17"/>
      <c r="DHS107" s="17"/>
      <c r="DHT107" s="17"/>
      <c r="DHU107" s="17"/>
      <c r="DHV107" s="17"/>
      <c r="DHW107" s="17"/>
      <c r="DHX107" s="17"/>
      <c r="DHY107" s="17"/>
      <c r="DHZ107" s="17"/>
      <c r="DIA107" s="17"/>
      <c r="DIB107" s="17"/>
      <c r="DIC107" s="17"/>
      <c r="DID107" s="17"/>
      <c r="DIE107" s="17"/>
      <c r="DIF107" s="17"/>
      <c r="DIG107" s="17"/>
      <c r="DIH107" s="17"/>
      <c r="DII107" s="17"/>
      <c r="DIJ107" s="17"/>
      <c r="DIK107" s="17"/>
      <c r="DIL107" s="17"/>
      <c r="DIM107" s="17"/>
      <c r="DIN107" s="17"/>
      <c r="DIO107" s="17"/>
      <c r="DIP107" s="17"/>
      <c r="DIQ107" s="17"/>
      <c r="DIR107" s="17"/>
      <c r="DIS107" s="17"/>
      <c r="DIT107" s="17"/>
      <c r="DIU107" s="17"/>
      <c r="DIV107" s="17"/>
      <c r="DIW107" s="17"/>
      <c r="DIX107" s="17"/>
      <c r="DIY107" s="17"/>
      <c r="DIZ107" s="17"/>
      <c r="DJA107" s="17"/>
      <c r="DJB107" s="17"/>
      <c r="DJC107" s="17"/>
      <c r="DJD107" s="17"/>
      <c r="DJE107" s="17"/>
      <c r="DJF107" s="17"/>
      <c r="DJG107" s="17"/>
      <c r="DJH107" s="17"/>
      <c r="DJI107" s="17"/>
      <c r="DJJ107" s="17"/>
      <c r="DJK107" s="17"/>
      <c r="DJL107" s="17"/>
      <c r="DJM107" s="17"/>
      <c r="DJN107" s="17"/>
      <c r="DJO107" s="17"/>
      <c r="DJP107" s="17"/>
      <c r="DJQ107" s="17"/>
      <c r="DJR107" s="17"/>
      <c r="DJS107" s="17"/>
      <c r="DJT107" s="17"/>
      <c r="DJU107" s="17"/>
      <c r="DJV107" s="17"/>
      <c r="DJW107" s="17"/>
      <c r="DJX107" s="17"/>
      <c r="DJY107" s="17"/>
      <c r="DJZ107" s="17"/>
      <c r="DKA107" s="17"/>
      <c r="DKB107" s="17"/>
      <c r="DKC107" s="17"/>
      <c r="DKD107" s="17"/>
      <c r="DKE107" s="17"/>
      <c r="DKF107" s="17"/>
      <c r="DKG107" s="17"/>
      <c r="DKH107" s="17"/>
      <c r="DKI107" s="17"/>
      <c r="DKJ107" s="17"/>
      <c r="DKK107" s="17"/>
      <c r="DKL107" s="17"/>
      <c r="DKM107" s="17"/>
      <c r="DKN107" s="17"/>
      <c r="DKO107" s="17"/>
      <c r="DKP107" s="17"/>
      <c r="DKQ107" s="17"/>
      <c r="DKR107" s="17"/>
      <c r="DKS107" s="17"/>
      <c r="DKT107" s="17"/>
      <c r="DKU107" s="17"/>
      <c r="DKV107" s="17"/>
      <c r="DKW107" s="17"/>
      <c r="DKX107" s="17"/>
      <c r="DKY107" s="17"/>
      <c r="DKZ107" s="17"/>
      <c r="DLA107" s="17"/>
      <c r="DLB107" s="17"/>
      <c r="DLC107" s="17"/>
      <c r="DLD107" s="17"/>
      <c r="DLE107" s="17"/>
      <c r="DLF107" s="17"/>
      <c r="DLG107" s="17"/>
      <c r="DLH107" s="17"/>
      <c r="DLI107" s="17"/>
      <c r="DLJ107" s="17"/>
      <c r="DLK107" s="17"/>
      <c r="DLL107" s="17"/>
      <c r="DLM107" s="17"/>
      <c r="DLN107" s="17"/>
      <c r="DLO107" s="17"/>
      <c r="DLP107" s="17"/>
      <c r="DLQ107" s="17"/>
      <c r="DLR107" s="17"/>
      <c r="DLS107" s="17"/>
      <c r="DLT107" s="17"/>
      <c r="DLU107" s="17"/>
      <c r="DLV107" s="17"/>
      <c r="DLW107" s="17"/>
      <c r="DLX107" s="17"/>
      <c r="DLY107" s="17"/>
      <c r="DLZ107" s="17"/>
      <c r="DMA107" s="17"/>
      <c r="DMB107" s="17"/>
      <c r="DMC107" s="17"/>
      <c r="DMD107" s="17"/>
      <c r="DME107" s="17"/>
      <c r="DMF107" s="17"/>
      <c r="DMG107" s="17"/>
      <c r="DMH107" s="17"/>
      <c r="DMI107" s="17"/>
      <c r="DMJ107" s="17"/>
      <c r="DMK107" s="17"/>
      <c r="DML107" s="17"/>
      <c r="DMM107" s="17"/>
      <c r="DMN107" s="17"/>
      <c r="DMO107" s="17"/>
      <c r="DMP107" s="17"/>
      <c r="DMQ107" s="17"/>
      <c r="DMR107" s="17"/>
      <c r="DMS107" s="17"/>
      <c r="DMT107" s="17"/>
      <c r="DMU107" s="17"/>
      <c r="DMV107" s="17"/>
      <c r="DMW107" s="17"/>
      <c r="DMX107" s="17"/>
      <c r="DMY107" s="17"/>
      <c r="DMZ107" s="17"/>
      <c r="DNA107" s="17"/>
      <c r="DNB107" s="17"/>
      <c r="DNC107" s="17"/>
      <c r="DND107" s="17"/>
      <c r="DNE107" s="17"/>
      <c r="DNF107" s="17"/>
      <c r="DNG107" s="17"/>
      <c r="DNH107" s="17"/>
      <c r="DNI107" s="17"/>
      <c r="DNJ107" s="17"/>
      <c r="DNK107" s="17"/>
      <c r="DNL107" s="17"/>
      <c r="DNM107" s="17"/>
      <c r="DNN107" s="17"/>
      <c r="DNO107" s="17"/>
      <c r="DNP107" s="17"/>
      <c r="DNQ107" s="17"/>
      <c r="DNR107" s="17"/>
      <c r="DNS107" s="17"/>
      <c r="DNT107" s="17"/>
      <c r="DNU107" s="17"/>
      <c r="DNV107" s="17"/>
      <c r="DNW107" s="17"/>
      <c r="DNX107" s="17"/>
      <c r="DNY107" s="17"/>
      <c r="DNZ107" s="17"/>
      <c r="DOA107" s="17"/>
      <c r="DOB107" s="17"/>
      <c r="DOC107" s="17"/>
      <c r="DOD107" s="17"/>
      <c r="DOE107" s="17"/>
      <c r="DOF107" s="17"/>
      <c r="DOG107" s="17"/>
      <c r="DOH107" s="17"/>
      <c r="DOI107" s="17"/>
      <c r="DOJ107" s="17"/>
      <c r="DOK107" s="17"/>
      <c r="DOL107" s="17"/>
      <c r="DOM107" s="17"/>
      <c r="DON107" s="17"/>
      <c r="DOO107" s="17"/>
      <c r="DOP107" s="17"/>
      <c r="DOQ107" s="17"/>
      <c r="DOR107" s="17"/>
      <c r="DOS107" s="17"/>
      <c r="DOT107" s="17"/>
      <c r="DOU107" s="17"/>
      <c r="DOV107" s="17"/>
      <c r="DOW107" s="17"/>
      <c r="DOX107" s="17"/>
      <c r="DOY107" s="17"/>
      <c r="DOZ107" s="17"/>
      <c r="DPA107" s="17"/>
      <c r="DPB107" s="17"/>
      <c r="DPC107" s="17"/>
      <c r="DPD107" s="17"/>
      <c r="DPE107" s="17"/>
      <c r="DPF107" s="17"/>
      <c r="DPG107" s="17"/>
      <c r="DPH107" s="17"/>
      <c r="DPI107" s="17"/>
      <c r="DPJ107" s="17"/>
      <c r="DPK107" s="17"/>
      <c r="DPL107" s="17"/>
      <c r="DPM107" s="17"/>
      <c r="DPN107" s="17"/>
      <c r="DPO107" s="17"/>
      <c r="DPP107" s="17"/>
      <c r="DPQ107" s="17"/>
      <c r="DPR107" s="17"/>
      <c r="DPS107" s="17"/>
      <c r="DPT107" s="17"/>
      <c r="DPU107" s="17"/>
      <c r="DPV107" s="17"/>
      <c r="DPW107" s="17"/>
      <c r="DPX107" s="17"/>
      <c r="DPY107" s="17"/>
      <c r="DPZ107" s="17"/>
      <c r="DQA107" s="17"/>
      <c r="DQB107" s="17"/>
      <c r="DQC107" s="17"/>
      <c r="DQD107" s="17"/>
      <c r="DQE107" s="17"/>
      <c r="DQF107" s="17"/>
      <c r="DQG107" s="17"/>
      <c r="DQH107" s="17"/>
      <c r="DQI107" s="17"/>
      <c r="DQJ107" s="17"/>
      <c r="DQK107" s="17"/>
      <c r="DQL107" s="17"/>
      <c r="DQM107" s="17"/>
      <c r="DQN107" s="17"/>
      <c r="DQO107" s="17"/>
      <c r="DQP107" s="17"/>
      <c r="DQQ107" s="17"/>
      <c r="DQR107" s="17"/>
      <c r="DQS107" s="17"/>
      <c r="DQT107" s="17"/>
      <c r="DQU107" s="17"/>
      <c r="DQV107" s="17"/>
      <c r="DQW107" s="17"/>
      <c r="DQX107" s="17"/>
      <c r="DQY107" s="17"/>
      <c r="DQZ107" s="17"/>
      <c r="DRA107" s="17"/>
      <c r="DRB107" s="17"/>
      <c r="DRC107" s="17"/>
      <c r="DRD107" s="17"/>
      <c r="DRE107" s="17"/>
      <c r="DRF107" s="17"/>
      <c r="DRG107" s="17"/>
      <c r="DRH107" s="17"/>
      <c r="DRI107" s="17"/>
      <c r="DRJ107" s="17"/>
      <c r="DRK107" s="17"/>
      <c r="DRL107" s="17"/>
      <c r="DRM107" s="17"/>
      <c r="DRN107" s="17"/>
      <c r="DRO107" s="17"/>
      <c r="DRP107" s="17"/>
      <c r="DRQ107" s="17"/>
      <c r="DRR107" s="17"/>
      <c r="DRS107" s="17"/>
      <c r="DRT107" s="17"/>
      <c r="DRU107" s="17"/>
      <c r="DRV107" s="17"/>
      <c r="DRW107" s="17"/>
      <c r="DRX107" s="17"/>
      <c r="DRY107" s="17"/>
      <c r="DRZ107" s="17"/>
      <c r="DSA107" s="17"/>
      <c r="DSB107" s="17"/>
      <c r="DSC107" s="17"/>
      <c r="DSD107" s="17"/>
      <c r="DSE107" s="17"/>
      <c r="DSF107" s="17"/>
      <c r="DSG107" s="17"/>
      <c r="DSH107" s="17"/>
      <c r="DSI107" s="17"/>
      <c r="DSJ107" s="17"/>
      <c r="DSK107" s="17"/>
      <c r="DSL107" s="17"/>
      <c r="DSM107" s="17"/>
      <c r="DSN107" s="17"/>
      <c r="DSO107" s="17"/>
      <c r="DSP107" s="17"/>
      <c r="DSQ107" s="17"/>
      <c r="DSR107" s="17"/>
      <c r="DSS107" s="17"/>
      <c r="DST107" s="17"/>
      <c r="DSU107" s="17"/>
      <c r="DSV107" s="17"/>
      <c r="DSW107" s="17"/>
      <c r="DSX107" s="17"/>
      <c r="DSY107" s="17"/>
      <c r="DSZ107" s="17"/>
      <c r="DTA107" s="17"/>
      <c r="DTB107" s="17"/>
      <c r="DTC107" s="17"/>
      <c r="DTD107" s="17"/>
      <c r="DTE107" s="17"/>
      <c r="DTF107" s="17"/>
      <c r="DTG107" s="17"/>
      <c r="DTH107" s="17"/>
      <c r="DTI107" s="17"/>
      <c r="DTJ107" s="17"/>
      <c r="DTK107" s="17"/>
      <c r="DTL107" s="17"/>
      <c r="DTM107" s="17"/>
      <c r="DTN107" s="17"/>
      <c r="DTO107" s="17"/>
      <c r="DTP107" s="17"/>
      <c r="DTQ107" s="17"/>
      <c r="DTR107" s="17"/>
      <c r="DTS107" s="17"/>
      <c r="DTT107" s="17"/>
      <c r="DTU107" s="17"/>
      <c r="DTV107" s="17"/>
      <c r="DTW107" s="17"/>
      <c r="DTX107" s="17"/>
      <c r="DTY107" s="17"/>
      <c r="DTZ107" s="17"/>
      <c r="DUA107" s="17"/>
      <c r="DUB107" s="17"/>
      <c r="DUC107" s="17"/>
      <c r="DUD107" s="17"/>
      <c r="DUE107" s="17"/>
      <c r="DUF107" s="17"/>
      <c r="DUG107" s="17"/>
      <c r="DUH107" s="17"/>
      <c r="DUI107" s="17"/>
      <c r="DUJ107" s="17"/>
      <c r="DUK107" s="17"/>
      <c r="DUL107" s="17"/>
      <c r="DUM107" s="17"/>
      <c r="DUN107" s="17"/>
      <c r="DUO107" s="17"/>
      <c r="DUP107" s="17"/>
      <c r="DUQ107" s="17"/>
      <c r="DUR107" s="17"/>
      <c r="DUS107" s="17"/>
      <c r="DUT107" s="17"/>
      <c r="DUU107" s="17"/>
      <c r="DUV107" s="17"/>
      <c r="DUW107" s="17"/>
      <c r="DUX107" s="17"/>
      <c r="DUY107" s="17"/>
      <c r="DUZ107" s="17"/>
      <c r="DVA107" s="17"/>
      <c r="DVB107" s="17"/>
      <c r="DVC107" s="17"/>
      <c r="DVD107" s="17"/>
      <c r="DVE107" s="17"/>
      <c r="DVF107" s="17"/>
      <c r="DVG107" s="17"/>
      <c r="DVH107" s="17"/>
      <c r="DVI107" s="17"/>
      <c r="DVJ107" s="17"/>
      <c r="DVK107" s="17"/>
      <c r="DVL107" s="17"/>
      <c r="DVM107" s="17"/>
      <c r="DVN107" s="17"/>
      <c r="DVO107" s="17"/>
      <c r="DVP107" s="17"/>
      <c r="DVQ107" s="17"/>
      <c r="DVR107" s="17"/>
      <c r="DVS107" s="17"/>
      <c r="DVT107" s="17"/>
      <c r="DVU107" s="17"/>
      <c r="DVV107" s="17"/>
      <c r="DVW107" s="17"/>
      <c r="DVX107" s="17"/>
      <c r="DVY107" s="17"/>
      <c r="DVZ107" s="17"/>
      <c r="DWA107" s="17"/>
      <c r="DWB107" s="17"/>
      <c r="DWC107" s="17"/>
      <c r="DWD107" s="17"/>
      <c r="DWE107" s="17"/>
      <c r="DWF107" s="17"/>
      <c r="DWG107" s="17"/>
      <c r="DWH107" s="17"/>
      <c r="DWI107" s="17"/>
      <c r="DWJ107" s="17"/>
      <c r="DWK107" s="17"/>
      <c r="DWL107" s="17"/>
      <c r="DWM107" s="17"/>
      <c r="DWN107" s="17"/>
      <c r="DWO107" s="17"/>
      <c r="DWP107" s="17"/>
      <c r="DWQ107" s="17"/>
      <c r="DWR107" s="17"/>
      <c r="DWS107" s="17"/>
      <c r="DWT107" s="17"/>
      <c r="DWU107" s="17"/>
      <c r="DWV107" s="17"/>
      <c r="DWW107" s="17"/>
      <c r="DWX107" s="17"/>
      <c r="DWY107" s="17"/>
      <c r="DWZ107" s="17"/>
      <c r="DXA107" s="17"/>
      <c r="DXB107" s="17"/>
      <c r="DXC107" s="17"/>
      <c r="DXD107" s="17"/>
      <c r="DXE107" s="17"/>
      <c r="DXF107" s="17"/>
      <c r="DXG107" s="17"/>
      <c r="DXH107" s="17"/>
      <c r="DXI107" s="17"/>
      <c r="DXJ107" s="17"/>
      <c r="DXK107" s="17"/>
      <c r="DXL107" s="17"/>
      <c r="DXM107" s="17"/>
      <c r="DXN107" s="17"/>
      <c r="DXO107" s="17"/>
      <c r="DXP107" s="17"/>
      <c r="DXQ107" s="17"/>
      <c r="DXR107" s="17"/>
      <c r="DXS107" s="17"/>
      <c r="DXT107" s="17"/>
      <c r="DXU107" s="17"/>
      <c r="DXV107" s="17"/>
      <c r="DXW107" s="17"/>
      <c r="DXX107" s="17"/>
      <c r="DXY107" s="17"/>
      <c r="DXZ107" s="17"/>
      <c r="DYA107" s="17"/>
      <c r="DYB107" s="17"/>
      <c r="DYC107" s="17"/>
      <c r="DYD107" s="17"/>
      <c r="DYE107" s="17"/>
      <c r="DYF107" s="17"/>
      <c r="DYG107" s="17"/>
      <c r="DYH107" s="17"/>
      <c r="DYI107" s="17"/>
      <c r="DYJ107" s="17"/>
      <c r="DYK107" s="17"/>
      <c r="DYL107" s="17"/>
      <c r="DYM107" s="17"/>
      <c r="DYN107" s="17"/>
      <c r="DYO107" s="17"/>
      <c r="DYP107" s="17"/>
      <c r="DYQ107" s="17"/>
      <c r="DYR107" s="17"/>
      <c r="DYS107" s="17"/>
      <c r="DYT107" s="17"/>
      <c r="DYU107" s="17"/>
      <c r="DYV107" s="17"/>
      <c r="DYW107" s="17"/>
      <c r="DYX107" s="17"/>
      <c r="DYY107" s="17"/>
      <c r="DYZ107" s="17"/>
      <c r="DZA107" s="17"/>
      <c r="DZB107" s="17"/>
      <c r="DZC107" s="17"/>
      <c r="DZD107" s="17"/>
      <c r="DZE107" s="17"/>
      <c r="DZF107" s="17"/>
      <c r="DZG107" s="17"/>
      <c r="DZH107" s="17"/>
      <c r="DZI107" s="17"/>
      <c r="DZJ107" s="17"/>
      <c r="DZK107" s="17"/>
      <c r="DZL107" s="17"/>
      <c r="DZM107" s="17"/>
      <c r="DZN107" s="17"/>
      <c r="DZO107" s="17"/>
      <c r="DZP107" s="17"/>
      <c r="DZQ107" s="17"/>
      <c r="DZR107" s="17"/>
      <c r="DZS107" s="17"/>
      <c r="DZT107" s="17"/>
      <c r="DZU107" s="17"/>
      <c r="DZV107" s="17"/>
      <c r="DZW107" s="17"/>
      <c r="DZX107" s="17"/>
      <c r="DZY107" s="17"/>
      <c r="DZZ107" s="17"/>
      <c r="EAA107" s="17"/>
      <c r="EAB107" s="17"/>
      <c r="EAC107" s="17"/>
      <c r="EAD107" s="17"/>
      <c r="EAE107" s="17"/>
      <c r="EAF107" s="17"/>
      <c r="EAG107" s="17"/>
      <c r="EAH107" s="17"/>
      <c r="EAI107" s="17"/>
      <c r="EAJ107" s="17"/>
      <c r="EAK107" s="17"/>
      <c r="EAL107" s="17"/>
      <c r="EAM107" s="17"/>
      <c r="EAN107" s="17"/>
      <c r="EAO107" s="17"/>
      <c r="EAP107" s="17"/>
      <c r="EAQ107" s="17"/>
      <c r="EAR107" s="17"/>
      <c r="EAS107" s="17"/>
      <c r="EAT107" s="17"/>
      <c r="EAU107" s="17"/>
      <c r="EAV107" s="17"/>
      <c r="EAW107" s="17"/>
      <c r="EAX107" s="17"/>
      <c r="EAY107" s="17"/>
      <c r="EAZ107" s="17"/>
      <c r="EBA107" s="17"/>
      <c r="EBB107" s="17"/>
      <c r="EBC107" s="17"/>
      <c r="EBD107" s="17"/>
      <c r="EBE107" s="17"/>
      <c r="EBF107" s="17"/>
      <c r="EBG107" s="17"/>
      <c r="EBH107" s="17"/>
      <c r="EBI107" s="17"/>
      <c r="EBJ107" s="17"/>
      <c r="EBK107" s="17"/>
      <c r="EBL107" s="17"/>
      <c r="EBM107" s="17"/>
      <c r="EBN107" s="17"/>
      <c r="EBO107" s="17"/>
      <c r="EBP107" s="17"/>
      <c r="EBQ107" s="17"/>
      <c r="EBR107" s="17"/>
      <c r="EBS107" s="17"/>
      <c r="EBT107" s="17"/>
      <c r="EBU107" s="17"/>
      <c r="EBV107" s="17"/>
      <c r="EBW107" s="17"/>
      <c r="EBX107" s="17"/>
      <c r="EBY107" s="17"/>
      <c r="EBZ107" s="17"/>
      <c r="ECA107" s="17"/>
      <c r="ECB107" s="17"/>
      <c r="ECC107" s="17"/>
      <c r="ECD107" s="17"/>
      <c r="ECE107" s="17"/>
      <c r="ECF107" s="17"/>
      <c r="ECG107" s="17"/>
      <c r="ECH107" s="17"/>
      <c r="ECI107" s="17"/>
      <c r="ECJ107" s="17"/>
      <c r="ECK107" s="17"/>
      <c r="ECL107" s="17"/>
      <c r="ECM107" s="17"/>
      <c r="ECN107" s="17"/>
      <c r="ECO107" s="17"/>
      <c r="ECP107" s="17"/>
      <c r="ECQ107" s="17"/>
      <c r="ECR107" s="17"/>
      <c r="ECS107" s="17"/>
      <c r="ECT107" s="17"/>
      <c r="ECU107" s="17"/>
      <c r="ECV107" s="17"/>
      <c r="ECW107" s="17"/>
      <c r="ECX107" s="17"/>
      <c r="ECY107" s="17"/>
      <c r="ECZ107" s="17"/>
      <c r="EDA107" s="17"/>
      <c r="EDB107" s="17"/>
      <c r="EDC107" s="17"/>
      <c r="EDD107" s="17"/>
      <c r="EDE107" s="17"/>
      <c r="EDF107" s="17"/>
      <c r="EDG107" s="17"/>
      <c r="EDH107" s="17"/>
      <c r="EDI107" s="17"/>
      <c r="EDJ107" s="17"/>
      <c r="EDK107" s="17"/>
      <c r="EDL107" s="17"/>
      <c r="EDM107" s="17"/>
      <c r="EDN107" s="17"/>
      <c r="EDO107" s="17"/>
      <c r="EDP107" s="17"/>
      <c r="EDQ107" s="17"/>
      <c r="EDR107" s="17"/>
      <c r="EDS107" s="17"/>
      <c r="EDT107" s="17"/>
      <c r="EDU107" s="17"/>
      <c r="EDV107" s="17"/>
      <c r="EDW107" s="17"/>
      <c r="EDX107" s="17"/>
      <c r="EDY107" s="17"/>
      <c r="EDZ107" s="17"/>
      <c r="EEA107" s="17"/>
      <c r="EEB107" s="17"/>
      <c r="EEC107" s="17"/>
      <c r="EED107" s="17"/>
      <c r="EEE107" s="17"/>
      <c r="EEF107" s="17"/>
      <c r="EEG107" s="17"/>
      <c r="EEH107" s="17"/>
      <c r="EEI107" s="17"/>
      <c r="EEJ107" s="17"/>
      <c r="EEK107" s="17"/>
      <c r="EEL107" s="17"/>
      <c r="EEM107" s="17"/>
      <c r="EEN107" s="17"/>
      <c r="EEO107" s="17"/>
      <c r="EEP107" s="17"/>
      <c r="EEQ107" s="17"/>
      <c r="EER107" s="17"/>
      <c r="EES107" s="17"/>
      <c r="EET107" s="17"/>
      <c r="EEU107" s="17"/>
      <c r="EEV107" s="17"/>
      <c r="EEW107" s="17"/>
      <c r="EEX107" s="17"/>
      <c r="EEY107" s="17"/>
      <c r="EEZ107" s="17"/>
      <c r="EFA107" s="17"/>
      <c r="EFB107" s="17"/>
      <c r="EFC107" s="17"/>
      <c r="EFD107" s="17"/>
      <c r="EFE107" s="17"/>
      <c r="EFF107" s="17"/>
      <c r="EFG107" s="17"/>
      <c r="EFH107" s="17"/>
      <c r="EFI107" s="17"/>
      <c r="EFJ107" s="17"/>
      <c r="EFK107" s="17"/>
      <c r="EFL107" s="17"/>
      <c r="EFM107" s="17"/>
      <c r="EFN107" s="17"/>
      <c r="EFO107" s="17"/>
      <c r="EFP107" s="17"/>
      <c r="EFQ107" s="17"/>
      <c r="EFR107" s="17"/>
      <c r="EFS107" s="17"/>
      <c r="EFT107" s="17"/>
      <c r="EFU107" s="17"/>
      <c r="EFV107" s="17"/>
      <c r="EFW107" s="17"/>
      <c r="EFX107" s="17"/>
      <c r="EFY107" s="17"/>
      <c r="EFZ107" s="17"/>
      <c r="EGA107" s="17"/>
      <c r="EGB107" s="17"/>
      <c r="EGC107" s="17"/>
      <c r="EGD107" s="17"/>
      <c r="EGE107" s="17"/>
      <c r="EGF107" s="17"/>
      <c r="EGG107" s="17"/>
      <c r="EGH107" s="17"/>
      <c r="EGI107" s="17"/>
      <c r="EGJ107" s="17"/>
      <c r="EGK107" s="17"/>
      <c r="EGL107" s="17"/>
      <c r="EGM107" s="17"/>
      <c r="EGN107" s="17"/>
      <c r="EGO107" s="17"/>
      <c r="EGP107" s="17"/>
      <c r="EGQ107" s="17"/>
      <c r="EGR107" s="17"/>
      <c r="EGS107" s="17"/>
      <c r="EGT107" s="17"/>
      <c r="EGU107" s="17"/>
      <c r="EGV107" s="17"/>
      <c r="EGW107" s="17"/>
      <c r="EGX107" s="17"/>
      <c r="EGY107" s="17"/>
      <c r="EGZ107" s="17"/>
      <c r="EHA107" s="17"/>
      <c r="EHB107" s="17"/>
      <c r="EHC107" s="17"/>
      <c r="EHD107" s="17"/>
      <c r="EHE107" s="17"/>
      <c r="EHF107" s="17"/>
      <c r="EHG107" s="17"/>
      <c r="EHH107" s="17"/>
      <c r="EHI107" s="17"/>
      <c r="EHJ107" s="17"/>
      <c r="EHK107" s="17"/>
      <c r="EHL107" s="17"/>
      <c r="EHM107" s="17"/>
      <c r="EHN107" s="17"/>
      <c r="EHO107" s="17"/>
      <c r="EHP107" s="17"/>
      <c r="EHQ107" s="17"/>
      <c r="EHR107" s="17"/>
      <c r="EHS107" s="17"/>
      <c r="EHT107" s="17"/>
      <c r="EHU107" s="17"/>
      <c r="EHV107" s="17"/>
      <c r="EHW107" s="17"/>
      <c r="EHX107" s="17"/>
      <c r="EHY107" s="17"/>
      <c r="EHZ107" s="17"/>
      <c r="EIA107" s="17"/>
      <c r="EIB107" s="17"/>
      <c r="EIC107" s="17"/>
      <c r="EID107" s="17"/>
      <c r="EIE107" s="17"/>
      <c r="EIF107" s="17"/>
      <c r="EIG107" s="17"/>
      <c r="EIH107" s="17"/>
      <c r="EII107" s="17"/>
      <c r="EIJ107" s="17"/>
      <c r="EIK107" s="17"/>
      <c r="EIL107" s="17"/>
      <c r="EIM107" s="17"/>
      <c r="EIN107" s="17"/>
      <c r="EIO107" s="17"/>
      <c r="EIP107" s="17"/>
      <c r="EIQ107" s="17"/>
      <c r="EIR107" s="17"/>
      <c r="EIS107" s="17"/>
      <c r="EIT107" s="17"/>
      <c r="EIU107" s="17"/>
      <c r="EIV107" s="17"/>
      <c r="EIW107" s="17"/>
      <c r="EIX107" s="17"/>
      <c r="EIY107" s="17"/>
      <c r="EIZ107" s="17"/>
      <c r="EJA107" s="17"/>
      <c r="EJB107" s="17"/>
      <c r="EJC107" s="17"/>
      <c r="EJD107" s="17"/>
      <c r="EJE107" s="17"/>
      <c r="EJF107" s="17"/>
      <c r="EJG107" s="17"/>
      <c r="EJH107" s="17"/>
      <c r="EJI107" s="17"/>
      <c r="EJJ107" s="17"/>
      <c r="EJK107" s="17"/>
      <c r="EJL107" s="17"/>
      <c r="EJM107" s="17"/>
      <c r="EJN107" s="17"/>
      <c r="EJO107" s="17"/>
      <c r="EJP107" s="17"/>
      <c r="EJQ107" s="17"/>
      <c r="EJR107" s="17"/>
      <c r="EJS107" s="17"/>
      <c r="EJT107" s="17"/>
      <c r="EJU107" s="17"/>
      <c r="EJV107" s="17"/>
      <c r="EJW107" s="17"/>
      <c r="EJX107" s="17"/>
      <c r="EJY107" s="17"/>
      <c r="EJZ107" s="17"/>
      <c r="EKA107" s="17"/>
      <c r="EKB107" s="17"/>
      <c r="EKC107" s="17"/>
      <c r="EKD107" s="17"/>
      <c r="EKE107" s="17"/>
      <c r="EKF107" s="17"/>
      <c r="EKG107" s="17"/>
      <c r="EKH107" s="17"/>
      <c r="EKI107" s="17"/>
      <c r="EKJ107" s="17"/>
      <c r="EKK107" s="17"/>
      <c r="EKL107" s="17"/>
      <c r="EKM107" s="17"/>
      <c r="EKN107" s="17"/>
      <c r="EKO107" s="17"/>
      <c r="EKP107" s="17"/>
      <c r="EKQ107" s="17"/>
      <c r="EKR107" s="17"/>
      <c r="EKS107" s="17"/>
      <c r="EKT107" s="17"/>
      <c r="EKU107" s="17"/>
      <c r="EKV107" s="17"/>
      <c r="EKW107" s="17"/>
      <c r="EKX107" s="17"/>
      <c r="EKY107" s="17"/>
      <c r="EKZ107" s="17"/>
      <c r="ELA107" s="17"/>
      <c r="ELB107" s="17"/>
      <c r="ELC107" s="17"/>
      <c r="ELD107" s="17"/>
      <c r="ELE107" s="17"/>
      <c r="ELF107" s="17"/>
      <c r="ELG107" s="17"/>
      <c r="ELH107" s="17"/>
      <c r="ELI107" s="17"/>
      <c r="ELJ107" s="17"/>
      <c r="ELK107" s="17"/>
      <c r="ELL107" s="17"/>
      <c r="ELM107" s="17"/>
      <c r="ELN107" s="17"/>
      <c r="ELO107" s="17"/>
      <c r="ELP107" s="17"/>
      <c r="ELQ107" s="17"/>
      <c r="ELR107" s="17"/>
      <c r="ELS107" s="17"/>
      <c r="ELT107" s="17"/>
      <c r="ELU107" s="17"/>
      <c r="ELV107" s="17"/>
      <c r="ELW107" s="17"/>
      <c r="ELX107" s="17"/>
      <c r="ELY107" s="17"/>
      <c r="ELZ107" s="17"/>
      <c r="EMA107" s="17"/>
      <c r="EMB107" s="17"/>
      <c r="EMC107" s="17"/>
      <c r="EMD107" s="17"/>
      <c r="EME107" s="17"/>
      <c r="EMF107" s="17"/>
      <c r="EMG107" s="17"/>
      <c r="EMH107" s="17"/>
      <c r="EMI107" s="17"/>
      <c r="EMJ107" s="17"/>
      <c r="EMK107" s="17"/>
      <c r="EML107" s="17"/>
      <c r="EMM107" s="17"/>
      <c r="EMN107" s="17"/>
      <c r="EMO107" s="17"/>
      <c r="EMP107" s="17"/>
      <c r="EMQ107" s="17"/>
      <c r="EMR107" s="17"/>
      <c r="EMS107" s="17"/>
      <c r="EMT107" s="17"/>
      <c r="EMU107" s="17"/>
      <c r="EMV107" s="17"/>
      <c r="EMW107" s="17"/>
      <c r="EMX107" s="17"/>
      <c r="EMY107" s="17"/>
      <c r="EMZ107" s="17"/>
      <c r="ENA107" s="17"/>
      <c r="ENB107" s="17"/>
      <c r="ENC107" s="17"/>
      <c r="END107" s="17"/>
      <c r="ENE107" s="17"/>
      <c r="ENF107" s="17"/>
      <c r="ENG107" s="17"/>
      <c r="ENH107" s="17"/>
      <c r="ENI107" s="17"/>
      <c r="ENJ107" s="17"/>
      <c r="ENK107" s="17"/>
      <c r="ENL107" s="17"/>
      <c r="ENM107" s="17"/>
      <c r="ENN107" s="17"/>
      <c r="ENO107" s="17"/>
      <c r="ENP107" s="17"/>
      <c r="ENQ107" s="17"/>
      <c r="ENR107" s="17"/>
      <c r="ENS107" s="17"/>
      <c r="ENT107" s="17"/>
      <c r="ENU107" s="17"/>
      <c r="ENV107" s="17"/>
      <c r="ENW107" s="17"/>
      <c r="ENX107" s="17"/>
      <c r="ENY107" s="17"/>
      <c r="ENZ107" s="17"/>
      <c r="EOA107" s="17"/>
      <c r="EOB107" s="17"/>
      <c r="EOC107" s="17"/>
      <c r="EOD107" s="17"/>
      <c r="EOE107" s="17"/>
      <c r="EOF107" s="17"/>
      <c r="EOG107" s="17"/>
      <c r="EOH107" s="17"/>
      <c r="EOI107" s="17"/>
      <c r="EOJ107" s="17"/>
      <c r="EOK107" s="17"/>
      <c r="EOL107" s="17"/>
      <c r="EOM107" s="17"/>
      <c r="EON107" s="17"/>
      <c r="EOO107" s="17"/>
      <c r="EOP107" s="17"/>
      <c r="EOQ107" s="17"/>
      <c r="EOR107" s="17"/>
      <c r="EOS107" s="17"/>
      <c r="EOT107" s="17"/>
      <c r="EOU107" s="17"/>
      <c r="EOV107" s="17"/>
      <c r="EOW107" s="17"/>
      <c r="EOX107" s="17"/>
      <c r="EOY107" s="17"/>
      <c r="EOZ107" s="17"/>
      <c r="EPA107" s="17"/>
      <c r="EPB107" s="17"/>
      <c r="EPC107" s="17"/>
      <c r="EPD107" s="17"/>
      <c r="EPE107" s="17"/>
      <c r="EPF107" s="17"/>
      <c r="EPG107" s="17"/>
      <c r="EPH107" s="17"/>
      <c r="EPI107" s="17"/>
      <c r="EPJ107" s="17"/>
      <c r="EPK107" s="17"/>
      <c r="EPL107" s="17"/>
      <c r="EPM107" s="17"/>
      <c r="EPN107" s="17"/>
      <c r="EPO107" s="17"/>
      <c r="EPP107" s="17"/>
      <c r="EPQ107" s="17"/>
      <c r="EPR107" s="17"/>
      <c r="EPS107" s="17"/>
      <c r="EPT107" s="17"/>
      <c r="EPU107" s="17"/>
      <c r="EPV107" s="17"/>
      <c r="EPW107" s="17"/>
      <c r="EPX107" s="17"/>
      <c r="EPY107" s="17"/>
      <c r="EPZ107" s="17"/>
      <c r="EQA107" s="17"/>
      <c r="EQB107" s="17"/>
      <c r="EQC107" s="17"/>
      <c r="EQD107" s="17"/>
      <c r="EQE107" s="17"/>
      <c r="EQF107" s="17"/>
      <c r="EQG107" s="17"/>
      <c r="EQH107" s="17"/>
      <c r="EQI107" s="17"/>
      <c r="EQJ107" s="17"/>
      <c r="EQK107" s="17"/>
      <c r="EQL107" s="17"/>
      <c r="EQM107" s="17"/>
      <c r="EQN107" s="17"/>
      <c r="EQO107" s="17"/>
      <c r="EQP107" s="17"/>
      <c r="EQQ107" s="17"/>
      <c r="EQR107" s="17"/>
      <c r="EQS107" s="17"/>
      <c r="EQT107" s="17"/>
      <c r="EQU107" s="17"/>
      <c r="EQV107" s="17"/>
      <c r="EQW107" s="17"/>
      <c r="EQX107" s="17"/>
      <c r="EQY107" s="17"/>
      <c r="EQZ107" s="17"/>
      <c r="ERA107" s="17"/>
      <c r="ERB107" s="17"/>
      <c r="ERC107" s="17"/>
      <c r="ERD107" s="17"/>
      <c r="ERE107" s="17"/>
      <c r="ERF107" s="17"/>
      <c r="ERG107" s="17"/>
      <c r="ERH107" s="17"/>
      <c r="ERI107" s="17"/>
      <c r="ERJ107" s="17"/>
      <c r="ERK107" s="17"/>
      <c r="ERL107" s="17"/>
      <c r="ERM107" s="17"/>
      <c r="ERN107" s="17"/>
      <c r="ERO107" s="17"/>
      <c r="ERP107" s="17"/>
      <c r="ERQ107" s="17"/>
      <c r="ERR107" s="17"/>
      <c r="ERS107" s="17"/>
      <c r="ERT107" s="17"/>
      <c r="ERU107" s="17"/>
      <c r="ERV107" s="17"/>
      <c r="ERW107" s="17"/>
      <c r="ERX107" s="17"/>
      <c r="ERY107" s="17"/>
      <c r="ERZ107" s="17"/>
      <c r="ESA107" s="17"/>
      <c r="ESB107" s="17"/>
      <c r="ESC107" s="17"/>
      <c r="ESD107" s="17"/>
      <c r="ESE107" s="17"/>
      <c r="ESF107" s="17"/>
      <c r="ESG107" s="17"/>
      <c r="ESH107" s="17"/>
      <c r="ESI107" s="17"/>
      <c r="ESJ107" s="17"/>
      <c r="ESK107" s="17"/>
      <c r="ESL107" s="17"/>
      <c r="ESM107" s="17"/>
      <c r="ESN107" s="17"/>
      <c r="ESO107" s="17"/>
      <c r="ESP107" s="17"/>
      <c r="ESQ107" s="17"/>
      <c r="ESR107" s="17"/>
      <c r="ESS107" s="17"/>
      <c r="EST107" s="17"/>
      <c r="ESU107" s="17"/>
      <c r="ESV107" s="17"/>
      <c r="ESW107" s="17"/>
      <c r="ESX107" s="17"/>
      <c r="ESY107" s="17"/>
      <c r="ESZ107" s="17"/>
      <c r="ETA107" s="17"/>
      <c r="ETB107" s="17"/>
      <c r="ETC107" s="17"/>
      <c r="ETD107" s="17"/>
      <c r="ETE107" s="17"/>
      <c r="ETF107" s="17"/>
      <c r="ETG107" s="17"/>
      <c r="ETH107" s="17"/>
      <c r="ETI107" s="17"/>
      <c r="ETJ107" s="17"/>
      <c r="ETK107" s="17"/>
      <c r="ETL107" s="17"/>
      <c r="ETM107" s="17"/>
      <c r="ETN107" s="17"/>
      <c r="ETO107" s="17"/>
      <c r="ETP107" s="17"/>
      <c r="ETQ107" s="17"/>
      <c r="ETR107" s="17"/>
      <c r="ETS107" s="17"/>
      <c r="ETT107" s="17"/>
      <c r="ETU107" s="17"/>
      <c r="ETV107" s="17"/>
      <c r="ETW107" s="17"/>
      <c r="ETX107" s="17"/>
      <c r="ETY107" s="17"/>
      <c r="ETZ107" s="17"/>
      <c r="EUA107" s="17"/>
      <c r="EUB107" s="17"/>
      <c r="EUC107" s="17"/>
      <c r="EUD107" s="17"/>
      <c r="EUE107" s="17"/>
      <c r="EUF107" s="17"/>
      <c r="EUG107" s="17"/>
      <c r="EUH107" s="17"/>
      <c r="EUI107" s="17"/>
      <c r="EUJ107" s="17"/>
      <c r="EUK107" s="17"/>
      <c r="EUL107" s="17"/>
      <c r="EUM107" s="17"/>
      <c r="EUN107" s="17"/>
      <c r="EUO107" s="17"/>
      <c r="EUP107" s="17"/>
      <c r="EUQ107" s="17"/>
      <c r="EUR107" s="17"/>
      <c r="EUS107" s="17"/>
      <c r="EUT107" s="17"/>
      <c r="EUU107" s="17"/>
      <c r="EUV107" s="17"/>
      <c r="EUW107" s="17"/>
      <c r="EUX107" s="17"/>
      <c r="EUY107" s="17"/>
      <c r="EUZ107" s="17"/>
      <c r="EVA107" s="17"/>
      <c r="EVB107" s="17"/>
      <c r="EVC107" s="17"/>
      <c r="EVD107" s="17"/>
      <c r="EVE107" s="17"/>
      <c r="EVF107" s="17"/>
      <c r="EVG107" s="17"/>
      <c r="EVH107" s="17"/>
      <c r="EVI107" s="17"/>
      <c r="EVJ107" s="17"/>
      <c r="EVK107" s="17"/>
      <c r="EVL107" s="17"/>
      <c r="EVM107" s="17"/>
      <c r="EVN107" s="17"/>
      <c r="EVO107" s="17"/>
      <c r="EVP107" s="17"/>
      <c r="EVQ107" s="17"/>
      <c r="EVR107" s="17"/>
      <c r="EVS107" s="17"/>
      <c r="EVT107" s="17"/>
      <c r="EVU107" s="17"/>
      <c r="EVV107" s="17"/>
      <c r="EVW107" s="17"/>
      <c r="EVX107" s="17"/>
      <c r="EVY107" s="17"/>
      <c r="EVZ107" s="17"/>
      <c r="EWA107" s="17"/>
      <c r="EWB107" s="17"/>
      <c r="EWC107" s="17"/>
      <c r="EWD107" s="17"/>
      <c r="EWE107" s="17"/>
      <c r="EWF107" s="17"/>
      <c r="EWG107" s="17"/>
      <c r="EWH107" s="17"/>
      <c r="EWI107" s="17"/>
      <c r="EWJ107" s="17"/>
      <c r="EWK107" s="17"/>
      <c r="EWL107" s="17"/>
      <c r="EWM107" s="17"/>
      <c r="EWN107" s="17"/>
      <c r="EWO107" s="17"/>
      <c r="EWP107" s="17"/>
      <c r="EWQ107" s="17"/>
      <c r="EWR107" s="17"/>
      <c r="EWS107" s="17"/>
      <c r="EWT107" s="17"/>
      <c r="EWU107" s="17"/>
      <c r="EWV107" s="17"/>
      <c r="EWW107" s="17"/>
      <c r="EWX107" s="17"/>
      <c r="EWY107" s="17"/>
      <c r="EWZ107" s="17"/>
      <c r="EXA107" s="17"/>
      <c r="EXB107" s="17"/>
      <c r="EXC107" s="17"/>
      <c r="EXD107" s="17"/>
      <c r="EXE107" s="17"/>
      <c r="EXF107" s="17"/>
      <c r="EXG107" s="17"/>
      <c r="EXH107" s="17"/>
      <c r="EXI107" s="17"/>
      <c r="EXJ107" s="17"/>
      <c r="EXK107" s="17"/>
      <c r="EXL107" s="17"/>
      <c r="EXM107" s="17"/>
      <c r="EXN107" s="17"/>
      <c r="EXO107" s="17"/>
      <c r="EXP107" s="17"/>
      <c r="EXQ107" s="17"/>
      <c r="EXR107" s="17"/>
      <c r="EXS107" s="17"/>
      <c r="EXT107" s="17"/>
      <c r="EXU107" s="17"/>
      <c r="EXV107" s="17"/>
      <c r="EXW107" s="17"/>
      <c r="EXX107" s="17"/>
      <c r="EXY107" s="17"/>
      <c r="EXZ107" s="17"/>
      <c r="EYA107" s="17"/>
      <c r="EYB107" s="17"/>
      <c r="EYC107" s="17"/>
      <c r="EYD107" s="17"/>
      <c r="EYE107" s="17"/>
      <c r="EYF107" s="17"/>
      <c r="EYG107" s="17"/>
      <c r="EYH107" s="17"/>
      <c r="EYI107" s="17"/>
      <c r="EYJ107" s="17"/>
      <c r="EYK107" s="17"/>
      <c r="EYL107" s="17"/>
      <c r="EYM107" s="17"/>
      <c r="EYN107" s="17"/>
      <c r="EYO107" s="17"/>
      <c r="EYP107" s="17"/>
      <c r="EYQ107" s="17"/>
      <c r="EYR107" s="17"/>
      <c r="EYS107" s="17"/>
      <c r="EYT107" s="17"/>
      <c r="EYU107" s="17"/>
      <c r="EYV107" s="17"/>
      <c r="EYW107" s="17"/>
      <c r="EYX107" s="17"/>
      <c r="EYY107" s="17"/>
      <c r="EYZ107" s="17"/>
      <c r="EZA107" s="17"/>
      <c r="EZB107" s="17"/>
      <c r="EZC107" s="17"/>
      <c r="EZD107" s="17"/>
      <c r="EZE107" s="17"/>
      <c r="EZF107" s="17"/>
      <c r="EZG107" s="17"/>
      <c r="EZH107" s="17"/>
      <c r="EZI107" s="17"/>
      <c r="EZJ107" s="17"/>
      <c r="EZK107" s="17"/>
      <c r="EZL107" s="17"/>
      <c r="EZM107" s="17"/>
      <c r="EZN107" s="17"/>
      <c r="EZO107" s="17"/>
      <c r="EZP107" s="17"/>
      <c r="EZQ107" s="17"/>
      <c r="EZR107" s="17"/>
      <c r="EZS107" s="17"/>
      <c r="EZT107" s="17"/>
      <c r="EZU107" s="17"/>
      <c r="EZV107" s="17"/>
      <c r="EZW107" s="17"/>
      <c r="EZX107" s="17"/>
      <c r="EZY107" s="17"/>
      <c r="EZZ107" s="17"/>
      <c r="FAA107" s="17"/>
      <c r="FAB107" s="17"/>
      <c r="FAC107" s="17"/>
      <c r="FAD107" s="17"/>
      <c r="FAE107" s="17"/>
      <c r="FAF107" s="17"/>
      <c r="FAG107" s="17"/>
      <c r="FAH107" s="17"/>
      <c r="FAI107" s="17"/>
      <c r="FAJ107" s="17"/>
      <c r="FAK107" s="17"/>
      <c r="FAL107" s="17"/>
      <c r="FAM107" s="17"/>
      <c r="FAN107" s="17"/>
      <c r="FAO107" s="17"/>
      <c r="FAP107" s="17"/>
      <c r="FAQ107" s="17"/>
      <c r="FAR107" s="17"/>
      <c r="FAS107" s="17"/>
      <c r="FAT107" s="17"/>
      <c r="FAU107" s="17"/>
      <c r="FAV107" s="17"/>
      <c r="FAW107" s="17"/>
      <c r="FAX107" s="17"/>
      <c r="FAY107" s="17"/>
      <c r="FAZ107" s="17"/>
      <c r="FBA107" s="17"/>
      <c r="FBB107" s="17"/>
      <c r="FBC107" s="17"/>
      <c r="FBD107" s="17"/>
      <c r="FBE107" s="17"/>
      <c r="FBF107" s="17"/>
      <c r="FBG107" s="17"/>
      <c r="FBH107" s="17"/>
      <c r="FBI107" s="17"/>
      <c r="FBJ107" s="17"/>
      <c r="FBK107" s="17"/>
      <c r="FBL107" s="17"/>
      <c r="FBM107" s="17"/>
      <c r="FBN107" s="17"/>
      <c r="FBO107" s="17"/>
      <c r="FBP107" s="17"/>
      <c r="FBQ107" s="17"/>
      <c r="FBR107" s="17"/>
      <c r="FBS107" s="17"/>
      <c r="FBT107" s="17"/>
      <c r="FBU107" s="17"/>
      <c r="FBV107" s="17"/>
      <c r="FBW107" s="17"/>
      <c r="FBX107" s="17"/>
      <c r="FBY107" s="17"/>
      <c r="FBZ107" s="17"/>
      <c r="FCA107" s="17"/>
      <c r="FCB107" s="17"/>
      <c r="FCC107" s="17"/>
      <c r="FCD107" s="17"/>
      <c r="FCE107" s="17"/>
      <c r="FCF107" s="17"/>
      <c r="FCG107" s="17"/>
      <c r="FCH107" s="17"/>
      <c r="FCI107" s="17"/>
      <c r="FCJ107" s="17"/>
      <c r="FCK107" s="17"/>
      <c r="FCL107" s="17"/>
      <c r="FCM107" s="17"/>
      <c r="FCN107" s="17"/>
      <c r="FCO107" s="17"/>
      <c r="FCP107" s="17"/>
      <c r="FCQ107" s="17"/>
      <c r="FCR107" s="17"/>
      <c r="FCS107" s="17"/>
      <c r="FCT107" s="17"/>
      <c r="FCU107" s="17"/>
      <c r="FCV107" s="17"/>
      <c r="FCW107" s="17"/>
      <c r="FCX107" s="17"/>
      <c r="FCY107" s="17"/>
      <c r="FCZ107" s="17"/>
      <c r="FDA107" s="17"/>
      <c r="FDB107" s="17"/>
      <c r="FDC107" s="17"/>
      <c r="FDD107" s="17"/>
      <c r="FDE107" s="17"/>
      <c r="FDF107" s="17"/>
      <c r="FDG107" s="17"/>
      <c r="FDH107" s="17"/>
      <c r="FDI107" s="17"/>
      <c r="FDJ107" s="17"/>
      <c r="FDK107" s="17"/>
      <c r="FDL107" s="17"/>
      <c r="FDM107" s="17"/>
      <c r="FDN107" s="17"/>
      <c r="FDO107" s="17"/>
      <c r="FDP107" s="17"/>
      <c r="FDQ107" s="17"/>
      <c r="FDR107" s="17"/>
      <c r="FDS107" s="17"/>
      <c r="FDT107" s="17"/>
      <c r="FDU107" s="17"/>
      <c r="FDV107" s="17"/>
      <c r="FDW107" s="17"/>
      <c r="FDX107" s="17"/>
      <c r="FDY107" s="17"/>
      <c r="FDZ107" s="17"/>
      <c r="FEA107" s="17"/>
      <c r="FEB107" s="17"/>
      <c r="FEC107" s="17"/>
      <c r="FED107" s="17"/>
      <c r="FEE107" s="17"/>
      <c r="FEF107" s="17"/>
      <c r="FEG107" s="17"/>
      <c r="FEH107" s="17"/>
      <c r="FEI107" s="17"/>
      <c r="FEJ107" s="17"/>
      <c r="FEK107" s="17"/>
      <c r="FEL107" s="17"/>
      <c r="FEM107" s="17"/>
      <c r="FEN107" s="17"/>
      <c r="FEO107" s="17"/>
      <c r="FEP107" s="17"/>
      <c r="FEQ107" s="17"/>
      <c r="FER107" s="17"/>
      <c r="FES107" s="17"/>
      <c r="FET107" s="17"/>
      <c r="FEU107" s="17"/>
      <c r="FEV107" s="17"/>
      <c r="FEW107" s="17"/>
      <c r="FEX107" s="17"/>
      <c r="FEY107" s="17"/>
      <c r="FEZ107" s="17"/>
      <c r="FFA107" s="17"/>
      <c r="FFB107" s="17"/>
      <c r="FFC107" s="17"/>
      <c r="FFD107" s="17"/>
      <c r="FFE107" s="17"/>
      <c r="FFF107" s="17"/>
      <c r="FFG107" s="17"/>
      <c r="FFH107" s="17"/>
      <c r="FFI107" s="17"/>
      <c r="FFJ107" s="17"/>
      <c r="FFK107" s="17"/>
      <c r="FFL107" s="17"/>
      <c r="FFM107" s="17"/>
      <c r="FFN107" s="17"/>
      <c r="FFO107" s="17"/>
      <c r="FFP107" s="17"/>
      <c r="FFQ107" s="17"/>
      <c r="FFR107" s="17"/>
      <c r="FFS107" s="17"/>
      <c r="FFT107" s="17"/>
      <c r="FFU107" s="17"/>
      <c r="FFV107" s="17"/>
      <c r="FFW107" s="17"/>
      <c r="FFX107" s="17"/>
      <c r="FFY107" s="17"/>
      <c r="FFZ107" s="17"/>
      <c r="FGA107" s="17"/>
      <c r="FGB107" s="17"/>
      <c r="FGC107" s="17"/>
      <c r="FGD107" s="17"/>
      <c r="FGE107" s="17"/>
      <c r="FGF107" s="17"/>
      <c r="FGG107" s="17"/>
      <c r="FGH107" s="17"/>
      <c r="FGI107" s="17"/>
      <c r="FGJ107" s="17"/>
      <c r="FGK107" s="17"/>
      <c r="FGL107" s="17"/>
      <c r="FGM107" s="17"/>
      <c r="FGN107" s="17"/>
      <c r="FGO107" s="17"/>
      <c r="FGP107" s="17"/>
      <c r="FGQ107" s="17"/>
      <c r="FGR107" s="17"/>
      <c r="FGS107" s="17"/>
      <c r="FGT107" s="17"/>
      <c r="FGU107" s="17"/>
      <c r="FGV107" s="17"/>
      <c r="FGW107" s="17"/>
      <c r="FGX107" s="17"/>
      <c r="FGY107" s="17"/>
      <c r="FGZ107" s="17"/>
      <c r="FHA107" s="17"/>
      <c r="FHB107" s="17"/>
      <c r="FHC107" s="17"/>
      <c r="FHD107" s="17"/>
      <c r="FHE107" s="17"/>
      <c r="FHF107" s="17"/>
      <c r="FHG107" s="17"/>
      <c r="FHH107" s="17"/>
      <c r="FHI107" s="17"/>
      <c r="FHJ107" s="17"/>
      <c r="FHK107" s="17"/>
      <c r="FHL107" s="17"/>
      <c r="FHM107" s="17"/>
      <c r="FHN107" s="17"/>
      <c r="FHO107" s="17"/>
      <c r="FHP107" s="17"/>
      <c r="FHQ107" s="17"/>
      <c r="FHR107" s="17"/>
      <c r="FHS107" s="17"/>
      <c r="FHT107" s="17"/>
      <c r="FHU107" s="17"/>
      <c r="FHV107" s="17"/>
      <c r="FHW107" s="17"/>
      <c r="FHX107" s="17"/>
      <c r="FHY107" s="17"/>
      <c r="FHZ107" s="17"/>
      <c r="FIA107" s="17"/>
      <c r="FIB107" s="17"/>
      <c r="FIC107" s="17"/>
      <c r="FID107" s="17"/>
      <c r="FIE107" s="17"/>
      <c r="FIF107" s="17"/>
      <c r="FIG107" s="17"/>
      <c r="FIH107" s="17"/>
      <c r="FII107" s="17"/>
      <c r="FIJ107" s="17"/>
      <c r="FIK107" s="17"/>
      <c r="FIL107" s="17"/>
      <c r="FIM107" s="17"/>
      <c r="FIN107" s="17"/>
      <c r="FIO107" s="17"/>
      <c r="FIP107" s="17"/>
      <c r="FIQ107" s="17"/>
      <c r="FIR107" s="17"/>
      <c r="FIS107" s="17"/>
      <c r="FIT107" s="17"/>
      <c r="FIU107" s="17"/>
      <c r="FIV107" s="17"/>
      <c r="FIW107" s="17"/>
      <c r="FIX107" s="17"/>
      <c r="FIY107" s="17"/>
      <c r="FIZ107" s="17"/>
      <c r="FJA107" s="17"/>
      <c r="FJB107" s="17"/>
      <c r="FJC107" s="17"/>
      <c r="FJD107" s="17"/>
      <c r="FJE107" s="17"/>
      <c r="FJF107" s="17"/>
      <c r="FJG107" s="17"/>
      <c r="FJH107" s="17"/>
      <c r="FJI107" s="17"/>
      <c r="FJJ107" s="17"/>
      <c r="FJK107" s="17"/>
      <c r="FJL107" s="17"/>
      <c r="FJM107" s="17"/>
      <c r="FJN107" s="17"/>
      <c r="FJO107" s="17"/>
      <c r="FJP107" s="17"/>
      <c r="FJQ107" s="17"/>
      <c r="FJR107" s="17"/>
      <c r="FJS107" s="17"/>
      <c r="FJT107" s="17"/>
      <c r="FJU107" s="17"/>
      <c r="FJV107" s="17"/>
      <c r="FJW107" s="17"/>
      <c r="FJX107" s="17"/>
      <c r="FJY107" s="17"/>
      <c r="FJZ107" s="17"/>
      <c r="FKA107" s="17"/>
      <c r="FKB107" s="17"/>
      <c r="FKC107" s="17"/>
      <c r="FKD107" s="17"/>
      <c r="FKE107" s="17"/>
      <c r="FKF107" s="17"/>
      <c r="FKG107" s="17"/>
      <c r="FKH107" s="17"/>
      <c r="FKI107" s="17"/>
      <c r="FKJ107" s="17"/>
      <c r="FKK107" s="17"/>
      <c r="FKL107" s="17"/>
      <c r="FKM107" s="17"/>
      <c r="FKN107" s="17"/>
      <c r="FKO107" s="17"/>
      <c r="FKP107" s="17"/>
      <c r="FKQ107" s="17"/>
      <c r="FKR107" s="17"/>
      <c r="FKS107" s="17"/>
      <c r="FKT107" s="17"/>
      <c r="FKU107" s="17"/>
      <c r="FKV107" s="17"/>
      <c r="FKW107" s="17"/>
      <c r="FKX107" s="17"/>
      <c r="FKY107" s="17"/>
      <c r="FKZ107" s="17"/>
      <c r="FLA107" s="17"/>
      <c r="FLB107" s="17"/>
      <c r="FLC107" s="17"/>
      <c r="FLD107" s="17"/>
      <c r="FLE107" s="17"/>
      <c r="FLF107" s="17"/>
      <c r="FLG107" s="17"/>
      <c r="FLH107" s="17"/>
      <c r="FLI107" s="17"/>
      <c r="FLJ107" s="17"/>
      <c r="FLK107" s="17"/>
      <c r="FLL107" s="17"/>
      <c r="FLM107" s="17"/>
      <c r="FLN107" s="17"/>
      <c r="FLO107" s="17"/>
      <c r="FLP107" s="17"/>
      <c r="FLQ107" s="17"/>
      <c r="FLR107" s="17"/>
      <c r="FLS107" s="17"/>
      <c r="FLT107" s="17"/>
      <c r="FLU107" s="17"/>
      <c r="FLV107" s="17"/>
      <c r="FLW107" s="17"/>
      <c r="FLX107" s="17"/>
      <c r="FLY107" s="17"/>
      <c r="FLZ107" s="17"/>
      <c r="FMA107" s="17"/>
      <c r="FMB107" s="17"/>
      <c r="FMC107" s="17"/>
      <c r="FMD107" s="17"/>
      <c r="FME107" s="17"/>
      <c r="FMF107" s="17"/>
      <c r="FMG107" s="17"/>
      <c r="FMH107" s="17"/>
      <c r="FMI107" s="17"/>
      <c r="FMJ107" s="17"/>
      <c r="FMK107" s="17"/>
      <c r="FML107" s="17"/>
      <c r="FMM107" s="17"/>
      <c r="FMN107" s="17"/>
      <c r="FMO107" s="17"/>
      <c r="FMP107" s="17"/>
      <c r="FMQ107" s="17"/>
      <c r="FMR107" s="17"/>
      <c r="FMS107" s="17"/>
      <c r="FMT107" s="17"/>
      <c r="FMU107" s="17"/>
      <c r="FMV107" s="17"/>
      <c r="FMW107" s="17"/>
      <c r="FMX107" s="17"/>
      <c r="FMY107" s="17"/>
      <c r="FMZ107" s="17"/>
      <c r="FNA107" s="17"/>
      <c r="FNB107" s="17"/>
      <c r="FNC107" s="17"/>
      <c r="FND107" s="17"/>
      <c r="FNE107" s="17"/>
      <c r="FNF107" s="17"/>
      <c r="FNG107" s="17"/>
      <c r="FNH107" s="17"/>
      <c r="FNI107" s="17"/>
      <c r="FNJ107" s="17"/>
      <c r="FNK107" s="17"/>
      <c r="FNL107" s="17"/>
      <c r="FNM107" s="17"/>
      <c r="FNN107" s="17"/>
      <c r="FNO107" s="17"/>
      <c r="FNP107" s="17"/>
      <c r="FNQ107" s="17"/>
      <c r="FNR107" s="17"/>
      <c r="FNS107" s="17"/>
      <c r="FNT107" s="17"/>
      <c r="FNU107" s="17"/>
      <c r="FNV107" s="17"/>
      <c r="FNW107" s="17"/>
      <c r="FNX107" s="17"/>
      <c r="FNY107" s="17"/>
      <c r="FNZ107" s="17"/>
      <c r="FOA107" s="17"/>
      <c r="FOB107" s="17"/>
      <c r="FOC107" s="17"/>
      <c r="FOD107" s="17"/>
      <c r="FOE107" s="17"/>
      <c r="FOF107" s="17"/>
      <c r="FOG107" s="17"/>
      <c r="FOH107" s="17"/>
      <c r="FOI107" s="17"/>
      <c r="FOJ107" s="17"/>
      <c r="FOK107" s="17"/>
      <c r="FOL107" s="17"/>
      <c r="FOM107" s="17"/>
      <c r="FON107" s="17"/>
      <c r="FOO107" s="17"/>
      <c r="FOP107" s="17"/>
      <c r="FOQ107" s="17"/>
      <c r="FOR107" s="17"/>
      <c r="FOS107" s="17"/>
      <c r="FOT107" s="17"/>
      <c r="FOU107" s="17"/>
      <c r="FOV107" s="17"/>
      <c r="FOW107" s="17"/>
      <c r="FOX107" s="17"/>
      <c r="FOY107" s="17"/>
      <c r="FOZ107" s="17"/>
      <c r="FPA107" s="17"/>
      <c r="FPB107" s="17"/>
      <c r="FPC107" s="17"/>
      <c r="FPD107" s="17"/>
      <c r="FPE107" s="17"/>
      <c r="FPF107" s="17"/>
      <c r="FPG107" s="17"/>
      <c r="FPH107" s="17"/>
      <c r="FPI107" s="17"/>
      <c r="FPJ107" s="17"/>
      <c r="FPK107" s="17"/>
      <c r="FPL107" s="17"/>
      <c r="FPM107" s="17"/>
      <c r="FPN107" s="17"/>
      <c r="FPO107" s="17"/>
      <c r="FPP107" s="17"/>
      <c r="FPQ107" s="17"/>
      <c r="FPR107" s="17"/>
      <c r="FPS107" s="17"/>
      <c r="FPT107" s="17"/>
      <c r="FPU107" s="17"/>
      <c r="FPV107" s="17"/>
      <c r="FPW107" s="17"/>
      <c r="FPX107" s="17"/>
      <c r="FPY107" s="17"/>
      <c r="FPZ107" s="17"/>
      <c r="FQA107" s="17"/>
      <c r="FQB107" s="17"/>
      <c r="FQC107" s="17"/>
      <c r="FQD107" s="17"/>
      <c r="FQE107" s="17"/>
      <c r="FQF107" s="17"/>
      <c r="FQG107" s="17"/>
      <c r="FQH107" s="17"/>
      <c r="FQI107" s="17"/>
      <c r="FQJ107" s="17"/>
      <c r="FQK107" s="17"/>
      <c r="FQL107" s="17"/>
      <c r="FQM107" s="17"/>
      <c r="FQN107" s="17"/>
      <c r="FQO107" s="17"/>
      <c r="FQP107" s="17"/>
      <c r="FQQ107" s="17"/>
      <c r="FQR107" s="17"/>
      <c r="FQS107" s="17"/>
      <c r="FQT107" s="17"/>
      <c r="FQU107" s="17"/>
      <c r="FQV107" s="17"/>
      <c r="FQW107" s="17"/>
      <c r="FQX107" s="17"/>
      <c r="FQY107" s="17"/>
      <c r="FQZ107" s="17"/>
      <c r="FRA107" s="17"/>
      <c r="FRB107" s="17"/>
      <c r="FRC107" s="17"/>
      <c r="FRD107" s="17"/>
      <c r="FRE107" s="17"/>
      <c r="FRF107" s="17"/>
      <c r="FRG107" s="17"/>
      <c r="FRH107" s="17"/>
      <c r="FRI107" s="17"/>
      <c r="FRJ107" s="17"/>
      <c r="FRK107" s="17"/>
      <c r="FRL107" s="17"/>
      <c r="FRM107" s="17"/>
      <c r="FRN107" s="17"/>
      <c r="FRO107" s="17"/>
      <c r="FRP107" s="17"/>
      <c r="FRQ107" s="17"/>
      <c r="FRR107" s="17"/>
      <c r="FRS107" s="17"/>
      <c r="FRT107" s="17"/>
      <c r="FRU107" s="17"/>
      <c r="FRV107" s="17"/>
      <c r="FRW107" s="17"/>
      <c r="FRX107" s="17"/>
      <c r="FRY107" s="17"/>
      <c r="FRZ107" s="17"/>
      <c r="FSA107" s="17"/>
      <c r="FSB107" s="17"/>
      <c r="FSC107" s="17"/>
      <c r="FSD107" s="17"/>
      <c r="FSE107" s="17"/>
      <c r="FSF107" s="17"/>
      <c r="FSG107" s="17"/>
      <c r="FSH107" s="17"/>
      <c r="FSI107" s="17"/>
      <c r="FSJ107" s="17"/>
      <c r="FSK107" s="17"/>
      <c r="FSL107" s="17"/>
      <c r="FSM107" s="17"/>
      <c r="FSN107" s="17"/>
      <c r="FSO107" s="17"/>
      <c r="FSP107" s="17"/>
      <c r="FSQ107" s="17"/>
      <c r="FSR107" s="17"/>
      <c r="FSS107" s="17"/>
      <c r="FST107" s="17"/>
      <c r="FSU107" s="17"/>
      <c r="FSV107" s="17"/>
      <c r="FSW107" s="17"/>
      <c r="FSX107" s="17"/>
      <c r="FSY107" s="17"/>
      <c r="FSZ107" s="17"/>
      <c r="FTA107" s="17"/>
      <c r="FTB107" s="17"/>
      <c r="FTC107" s="17"/>
      <c r="FTD107" s="17"/>
      <c r="FTE107" s="17"/>
      <c r="FTF107" s="17"/>
      <c r="FTG107" s="17"/>
      <c r="FTH107" s="17"/>
      <c r="FTI107" s="17"/>
      <c r="FTJ107" s="17"/>
      <c r="FTK107" s="17"/>
      <c r="FTL107" s="17"/>
      <c r="FTM107" s="17"/>
      <c r="FTN107" s="17"/>
      <c r="FTO107" s="17"/>
      <c r="FTP107" s="17"/>
      <c r="FTQ107" s="17"/>
      <c r="FTR107" s="17"/>
      <c r="FTS107" s="17"/>
      <c r="FTT107" s="17"/>
      <c r="FTU107" s="17"/>
      <c r="FTV107" s="17"/>
      <c r="FTW107" s="17"/>
      <c r="FTX107" s="17"/>
      <c r="FTY107" s="17"/>
      <c r="FTZ107" s="17"/>
      <c r="FUA107" s="17"/>
      <c r="FUB107" s="17"/>
      <c r="FUC107" s="17"/>
      <c r="FUD107" s="17"/>
      <c r="FUE107" s="17"/>
      <c r="FUF107" s="17"/>
      <c r="FUG107" s="17"/>
      <c r="FUH107" s="17"/>
      <c r="FUI107" s="17"/>
      <c r="FUJ107" s="17"/>
      <c r="FUK107" s="17"/>
      <c r="FUL107" s="17"/>
      <c r="FUM107" s="17"/>
      <c r="FUN107" s="17"/>
      <c r="FUO107" s="17"/>
      <c r="FUP107" s="17"/>
      <c r="FUQ107" s="17"/>
      <c r="FUR107" s="17"/>
      <c r="FUS107" s="17"/>
      <c r="FUT107" s="17"/>
      <c r="FUU107" s="17"/>
      <c r="FUV107" s="17"/>
      <c r="FUW107" s="17"/>
      <c r="FUX107" s="17"/>
      <c r="FUY107" s="17"/>
      <c r="FUZ107" s="17"/>
      <c r="FVA107" s="17"/>
      <c r="FVB107" s="17"/>
      <c r="FVC107" s="17"/>
      <c r="FVD107" s="17"/>
      <c r="FVE107" s="17"/>
      <c r="FVF107" s="17"/>
      <c r="FVG107" s="17"/>
      <c r="FVH107" s="17"/>
      <c r="FVI107" s="17"/>
      <c r="FVJ107" s="17"/>
      <c r="FVK107" s="17"/>
      <c r="FVL107" s="17"/>
      <c r="FVM107" s="17"/>
      <c r="FVN107" s="17"/>
      <c r="FVO107" s="17"/>
      <c r="FVP107" s="17"/>
      <c r="FVQ107" s="17"/>
      <c r="FVR107" s="17"/>
      <c r="FVS107" s="17"/>
      <c r="FVT107" s="17"/>
      <c r="FVU107" s="17"/>
      <c r="FVV107" s="17"/>
      <c r="FVW107" s="17"/>
      <c r="FVX107" s="17"/>
      <c r="FVY107" s="17"/>
      <c r="FVZ107" s="17"/>
      <c r="FWA107" s="17"/>
      <c r="FWB107" s="17"/>
      <c r="FWC107" s="17"/>
      <c r="FWD107" s="17"/>
      <c r="FWE107" s="17"/>
      <c r="FWF107" s="17"/>
      <c r="FWG107" s="17"/>
      <c r="FWH107" s="17"/>
      <c r="FWI107" s="17"/>
      <c r="FWJ107" s="17"/>
      <c r="FWK107" s="17"/>
      <c r="FWL107" s="17"/>
      <c r="FWM107" s="17"/>
      <c r="FWN107" s="17"/>
      <c r="FWO107" s="17"/>
      <c r="FWP107" s="17"/>
      <c r="FWQ107" s="17"/>
      <c r="FWR107" s="17"/>
      <c r="FWS107" s="17"/>
      <c r="FWT107" s="17"/>
      <c r="FWU107" s="17"/>
      <c r="FWV107" s="17"/>
      <c r="FWW107" s="17"/>
      <c r="FWX107" s="17"/>
      <c r="FWY107" s="17"/>
      <c r="FWZ107" s="17"/>
      <c r="FXA107" s="17"/>
      <c r="FXB107" s="17"/>
      <c r="FXC107" s="17"/>
      <c r="FXD107" s="17"/>
      <c r="FXE107" s="17"/>
      <c r="FXF107" s="17"/>
      <c r="FXG107" s="17"/>
      <c r="FXH107" s="17"/>
      <c r="FXI107" s="17"/>
      <c r="FXJ107" s="17"/>
      <c r="FXK107" s="17"/>
      <c r="FXL107" s="17"/>
      <c r="FXM107" s="17"/>
      <c r="FXN107" s="17"/>
      <c r="FXO107" s="17"/>
      <c r="FXP107" s="17"/>
      <c r="FXQ107" s="17"/>
      <c r="FXR107" s="17"/>
      <c r="FXS107" s="17"/>
      <c r="FXT107" s="17"/>
      <c r="FXU107" s="17"/>
      <c r="FXV107" s="17"/>
      <c r="FXW107" s="17"/>
      <c r="FXX107" s="17"/>
      <c r="FXY107" s="17"/>
      <c r="FXZ107" s="17"/>
      <c r="FYA107" s="17"/>
      <c r="FYB107" s="17"/>
      <c r="FYC107" s="17"/>
      <c r="FYD107" s="17"/>
      <c r="FYE107" s="17"/>
      <c r="FYF107" s="17"/>
      <c r="FYG107" s="17"/>
      <c r="FYH107" s="17"/>
      <c r="FYI107" s="17"/>
      <c r="FYJ107" s="17"/>
      <c r="FYK107" s="17"/>
      <c r="FYL107" s="17"/>
      <c r="FYM107" s="17"/>
      <c r="FYN107" s="17"/>
      <c r="FYO107" s="17"/>
      <c r="FYP107" s="17"/>
      <c r="FYQ107" s="17"/>
      <c r="FYR107" s="17"/>
      <c r="FYS107" s="17"/>
      <c r="FYT107" s="17"/>
      <c r="FYU107" s="17"/>
      <c r="FYV107" s="17"/>
      <c r="FYW107" s="17"/>
      <c r="FYX107" s="17"/>
      <c r="FYY107" s="17"/>
      <c r="FYZ107" s="17"/>
      <c r="FZA107" s="17"/>
      <c r="FZB107" s="17"/>
      <c r="FZC107" s="17"/>
      <c r="FZD107" s="17"/>
      <c r="FZE107" s="17"/>
      <c r="FZF107" s="17"/>
      <c r="FZG107" s="17"/>
      <c r="FZH107" s="17"/>
      <c r="FZI107" s="17"/>
      <c r="FZJ107" s="17"/>
      <c r="FZK107" s="17"/>
      <c r="FZL107" s="17"/>
      <c r="FZM107" s="17"/>
      <c r="FZN107" s="17"/>
      <c r="FZO107" s="17"/>
      <c r="FZP107" s="17"/>
      <c r="FZQ107" s="17"/>
      <c r="FZR107" s="17"/>
      <c r="FZS107" s="17"/>
      <c r="FZT107" s="17"/>
      <c r="FZU107" s="17"/>
      <c r="FZV107" s="17"/>
      <c r="FZW107" s="17"/>
      <c r="FZX107" s="17"/>
      <c r="FZY107" s="17"/>
      <c r="FZZ107" s="17"/>
      <c r="GAA107" s="17"/>
      <c r="GAB107" s="17"/>
      <c r="GAC107" s="17"/>
      <c r="GAD107" s="17"/>
      <c r="GAE107" s="17"/>
      <c r="GAF107" s="17"/>
      <c r="GAG107" s="17"/>
      <c r="GAH107" s="17"/>
      <c r="GAI107" s="17"/>
      <c r="GAJ107" s="17"/>
      <c r="GAK107" s="17"/>
      <c r="GAL107" s="17"/>
      <c r="GAM107" s="17"/>
      <c r="GAN107" s="17"/>
      <c r="GAO107" s="17"/>
      <c r="GAP107" s="17"/>
      <c r="GAQ107" s="17"/>
      <c r="GAR107" s="17"/>
      <c r="GAS107" s="17"/>
      <c r="GAT107" s="17"/>
      <c r="GAU107" s="17"/>
      <c r="GAV107" s="17"/>
      <c r="GAW107" s="17"/>
      <c r="GAX107" s="17"/>
      <c r="GAY107" s="17"/>
      <c r="GAZ107" s="17"/>
      <c r="GBA107" s="17"/>
      <c r="GBB107" s="17"/>
      <c r="GBC107" s="17"/>
      <c r="GBD107" s="17"/>
      <c r="GBE107" s="17"/>
      <c r="GBF107" s="17"/>
      <c r="GBG107" s="17"/>
      <c r="GBH107" s="17"/>
      <c r="GBI107" s="17"/>
      <c r="GBJ107" s="17"/>
      <c r="GBK107" s="17"/>
      <c r="GBL107" s="17"/>
      <c r="GBM107" s="17"/>
      <c r="GBN107" s="17"/>
      <c r="GBO107" s="17"/>
      <c r="GBP107" s="17"/>
      <c r="GBQ107" s="17"/>
      <c r="GBR107" s="17"/>
      <c r="GBS107" s="17"/>
      <c r="GBT107" s="17"/>
      <c r="GBU107" s="17"/>
      <c r="GBV107" s="17"/>
      <c r="GBW107" s="17"/>
      <c r="GBX107" s="17"/>
      <c r="GBY107" s="17"/>
      <c r="GBZ107" s="17"/>
      <c r="GCA107" s="17"/>
      <c r="GCB107" s="17"/>
      <c r="GCC107" s="17"/>
      <c r="GCD107" s="17"/>
      <c r="GCE107" s="17"/>
      <c r="GCF107" s="17"/>
      <c r="GCG107" s="17"/>
      <c r="GCH107" s="17"/>
      <c r="GCI107" s="17"/>
      <c r="GCJ107" s="17"/>
      <c r="GCK107" s="17"/>
      <c r="GCL107" s="17"/>
      <c r="GCM107" s="17"/>
      <c r="GCN107" s="17"/>
      <c r="GCO107" s="17"/>
      <c r="GCP107" s="17"/>
      <c r="GCQ107" s="17"/>
      <c r="GCR107" s="17"/>
      <c r="GCS107" s="17"/>
      <c r="GCT107" s="17"/>
      <c r="GCU107" s="17"/>
      <c r="GCV107" s="17"/>
      <c r="GCW107" s="17"/>
      <c r="GCX107" s="17"/>
      <c r="GCY107" s="17"/>
      <c r="GCZ107" s="17"/>
      <c r="GDA107" s="17"/>
      <c r="GDB107" s="17"/>
      <c r="GDC107" s="17"/>
      <c r="GDD107" s="17"/>
      <c r="GDE107" s="17"/>
      <c r="GDF107" s="17"/>
      <c r="GDG107" s="17"/>
      <c r="GDH107" s="17"/>
      <c r="GDI107" s="17"/>
      <c r="GDJ107" s="17"/>
      <c r="GDK107" s="17"/>
      <c r="GDL107" s="17"/>
      <c r="GDM107" s="17"/>
      <c r="GDN107" s="17"/>
      <c r="GDO107" s="17"/>
      <c r="GDP107" s="17"/>
      <c r="GDQ107" s="17"/>
      <c r="GDR107" s="17"/>
      <c r="GDS107" s="17"/>
      <c r="GDT107" s="17"/>
      <c r="GDU107" s="17"/>
      <c r="GDV107" s="17"/>
      <c r="GDW107" s="17"/>
      <c r="GDX107" s="17"/>
      <c r="GDY107" s="17"/>
      <c r="GDZ107" s="17"/>
      <c r="GEA107" s="17"/>
      <c r="GEB107" s="17"/>
      <c r="GEC107" s="17"/>
      <c r="GED107" s="17"/>
      <c r="GEE107" s="17"/>
      <c r="GEF107" s="17"/>
      <c r="GEG107" s="17"/>
      <c r="GEH107" s="17"/>
      <c r="GEI107" s="17"/>
      <c r="GEJ107" s="17"/>
      <c r="GEK107" s="17"/>
      <c r="GEL107" s="17"/>
      <c r="GEM107" s="17"/>
      <c r="GEN107" s="17"/>
      <c r="GEO107" s="17"/>
      <c r="GEP107" s="17"/>
      <c r="GEQ107" s="17"/>
      <c r="GER107" s="17"/>
      <c r="GES107" s="17"/>
      <c r="GET107" s="17"/>
      <c r="GEU107" s="17"/>
      <c r="GEV107" s="17"/>
      <c r="GEW107" s="17"/>
      <c r="GEX107" s="17"/>
      <c r="GEY107" s="17"/>
      <c r="GEZ107" s="17"/>
      <c r="GFA107" s="17"/>
      <c r="GFB107" s="17"/>
      <c r="GFC107" s="17"/>
      <c r="GFD107" s="17"/>
      <c r="GFE107" s="17"/>
      <c r="GFF107" s="17"/>
      <c r="GFG107" s="17"/>
      <c r="GFH107" s="17"/>
      <c r="GFI107" s="17"/>
      <c r="GFJ107" s="17"/>
      <c r="GFK107" s="17"/>
      <c r="GFL107" s="17"/>
      <c r="GFM107" s="17"/>
      <c r="GFN107" s="17"/>
      <c r="GFO107" s="17"/>
      <c r="GFP107" s="17"/>
      <c r="GFQ107" s="17"/>
      <c r="GFR107" s="17"/>
      <c r="GFS107" s="17"/>
      <c r="GFT107" s="17"/>
      <c r="GFU107" s="17"/>
      <c r="GFV107" s="17"/>
      <c r="GFW107" s="17"/>
      <c r="GFX107" s="17"/>
      <c r="GFY107" s="17"/>
      <c r="GFZ107" s="17"/>
      <c r="GGA107" s="17"/>
      <c r="GGB107" s="17"/>
      <c r="GGC107" s="17"/>
      <c r="GGD107" s="17"/>
      <c r="GGE107" s="17"/>
      <c r="GGF107" s="17"/>
      <c r="GGG107" s="17"/>
      <c r="GGH107" s="17"/>
      <c r="GGI107" s="17"/>
      <c r="GGJ107" s="17"/>
      <c r="GGK107" s="17"/>
      <c r="GGL107" s="17"/>
      <c r="GGM107" s="17"/>
      <c r="GGN107" s="17"/>
      <c r="GGO107" s="17"/>
      <c r="GGP107" s="17"/>
      <c r="GGQ107" s="17"/>
      <c r="GGR107" s="17"/>
      <c r="GGS107" s="17"/>
      <c r="GGT107" s="17"/>
      <c r="GGU107" s="17"/>
      <c r="GGV107" s="17"/>
      <c r="GGW107" s="17"/>
      <c r="GGX107" s="17"/>
      <c r="GGY107" s="17"/>
      <c r="GGZ107" s="17"/>
      <c r="GHA107" s="17"/>
      <c r="GHB107" s="17"/>
      <c r="GHC107" s="17"/>
      <c r="GHD107" s="17"/>
      <c r="GHE107" s="17"/>
      <c r="GHF107" s="17"/>
      <c r="GHG107" s="17"/>
      <c r="GHH107" s="17"/>
      <c r="GHI107" s="17"/>
      <c r="GHJ107" s="17"/>
      <c r="GHK107" s="17"/>
      <c r="GHL107" s="17"/>
      <c r="GHM107" s="17"/>
      <c r="GHN107" s="17"/>
      <c r="GHO107" s="17"/>
      <c r="GHP107" s="17"/>
      <c r="GHQ107" s="17"/>
      <c r="GHR107" s="17"/>
      <c r="GHS107" s="17"/>
      <c r="GHT107" s="17"/>
      <c r="GHU107" s="17"/>
      <c r="GHV107" s="17"/>
      <c r="GHW107" s="17"/>
      <c r="GHX107" s="17"/>
      <c r="GHY107" s="17"/>
      <c r="GHZ107" s="17"/>
      <c r="GIA107" s="17"/>
      <c r="GIB107" s="17"/>
      <c r="GIC107" s="17"/>
      <c r="GID107" s="17"/>
      <c r="GIE107" s="17"/>
      <c r="GIF107" s="17"/>
      <c r="GIG107" s="17"/>
      <c r="GIH107" s="17"/>
      <c r="GII107" s="17"/>
      <c r="GIJ107" s="17"/>
      <c r="GIK107" s="17"/>
      <c r="GIL107" s="17"/>
      <c r="GIM107" s="17"/>
      <c r="GIN107" s="17"/>
      <c r="GIO107" s="17"/>
      <c r="GIP107" s="17"/>
      <c r="GIQ107" s="17"/>
      <c r="GIR107" s="17"/>
      <c r="GIS107" s="17"/>
      <c r="GIT107" s="17"/>
      <c r="GIU107" s="17"/>
      <c r="GIV107" s="17"/>
      <c r="GIW107" s="17"/>
      <c r="GIX107" s="17"/>
      <c r="GIY107" s="17"/>
      <c r="GIZ107" s="17"/>
      <c r="GJA107" s="17"/>
      <c r="GJB107" s="17"/>
      <c r="GJC107" s="17"/>
      <c r="GJD107" s="17"/>
      <c r="GJE107" s="17"/>
      <c r="GJF107" s="17"/>
      <c r="GJG107" s="17"/>
      <c r="GJH107" s="17"/>
      <c r="GJI107" s="17"/>
      <c r="GJJ107" s="17"/>
      <c r="GJK107" s="17"/>
      <c r="GJL107" s="17"/>
      <c r="GJM107" s="17"/>
      <c r="GJN107" s="17"/>
      <c r="GJO107" s="17"/>
      <c r="GJP107" s="17"/>
      <c r="GJQ107" s="17"/>
      <c r="GJR107" s="17"/>
      <c r="GJS107" s="17"/>
      <c r="GJT107" s="17"/>
      <c r="GJU107" s="17"/>
      <c r="GJV107" s="17"/>
      <c r="GJW107" s="17"/>
      <c r="GJX107" s="17"/>
      <c r="GJY107" s="17"/>
      <c r="GJZ107" s="17"/>
      <c r="GKA107" s="17"/>
      <c r="GKB107" s="17"/>
      <c r="GKC107" s="17"/>
      <c r="GKD107" s="17"/>
      <c r="GKE107" s="17"/>
      <c r="GKF107" s="17"/>
      <c r="GKG107" s="17"/>
      <c r="GKH107" s="17"/>
      <c r="GKI107" s="17"/>
      <c r="GKJ107" s="17"/>
      <c r="GKK107" s="17"/>
      <c r="GKL107" s="17"/>
      <c r="GKM107" s="17"/>
      <c r="GKN107" s="17"/>
      <c r="GKO107" s="17"/>
      <c r="GKP107" s="17"/>
      <c r="GKQ107" s="17"/>
      <c r="GKR107" s="17"/>
      <c r="GKS107" s="17"/>
      <c r="GKT107" s="17"/>
      <c r="GKU107" s="17"/>
      <c r="GKV107" s="17"/>
      <c r="GKW107" s="17"/>
      <c r="GKX107" s="17"/>
      <c r="GKY107" s="17"/>
      <c r="GKZ107" s="17"/>
      <c r="GLA107" s="17"/>
      <c r="GLB107" s="17"/>
      <c r="GLC107" s="17"/>
      <c r="GLD107" s="17"/>
      <c r="GLE107" s="17"/>
      <c r="GLF107" s="17"/>
      <c r="GLG107" s="17"/>
      <c r="GLH107" s="17"/>
      <c r="GLI107" s="17"/>
      <c r="GLJ107" s="17"/>
      <c r="GLK107" s="17"/>
      <c r="GLL107" s="17"/>
      <c r="GLM107" s="17"/>
      <c r="GLN107" s="17"/>
      <c r="GLO107" s="17"/>
      <c r="GLP107" s="17"/>
      <c r="GLQ107" s="17"/>
      <c r="GLR107" s="17"/>
      <c r="GLS107" s="17"/>
      <c r="GLT107" s="17"/>
      <c r="GLU107" s="17"/>
      <c r="GLV107" s="17"/>
      <c r="GLW107" s="17"/>
      <c r="GLX107" s="17"/>
      <c r="GLY107" s="17"/>
      <c r="GLZ107" s="17"/>
      <c r="GMA107" s="17"/>
      <c r="GMB107" s="17"/>
      <c r="GMC107" s="17"/>
      <c r="GMD107" s="17"/>
      <c r="GME107" s="17"/>
      <c r="GMF107" s="17"/>
      <c r="GMG107" s="17"/>
      <c r="GMH107" s="17"/>
      <c r="GMI107" s="17"/>
      <c r="GMJ107" s="17"/>
      <c r="GMK107" s="17"/>
      <c r="GML107" s="17"/>
      <c r="GMM107" s="17"/>
      <c r="GMN107" s="17"/>
      <c r="GMO107" s="17"/>
      <c r="GMP107" s="17"/>
      <c r="GMQ107" s="17"/>
      <c r="GMR107" s="17"/>
      <c r="GMS107" s="17"/>
      <c r="GMT107" s="17"/>
      <c r="GMU107" s="17"/>
      <c r="GMV107" s="17"/>
      <c r="GMW107" s="17"/>
      <c r="GMX107" s="17"/>
      <c r="GMY107" s="17"/>
      <c r="GMZ107" s="17"/>
      <c r="GNA107" s="17"/>
      <c r="GNB107" s="17"/>
      <c r="GNC107" s="17"/>
      <c r="GND107" s="17"/>
      <c r="GNE107" s="17"/>
      <c r="GNF107" s="17"/>
      <c r="GNG107" s="17"/>
      <c r="GNH107" s="17"/>
      <c r="GNI107" s="17"/>
      <c r="GNJ107" s="17"/>
      <c r="GNK107" s="17"/>
      <c r="GNL107" s="17"/>
      <c r="GNM107" s="17"/>
      <c r="GNN107" s="17"/>
      <c r="GNO107" s="17"/>
      <c r="GNP107" s="17"/>
      <c r="GNQ107" s="17"/>
      <c r="GNR107" s="17"/>
      <c r="GNS107" s="17"/>
      <c r="GNT107" s="17"/>
      <c r="GNU107" s="17"/>
      <c r="GNV107" s="17"/>
      <c r="GNW107" s="17"/>
      <c r="GNX107" s="17"/>
      <c r="GNY107" s="17"/>
      <c r="GNZ107" s="17"/>
      <c r="GOA107" s="17"/>
      <c r="GOB107" s="17"/>
      <c r="GOC107" s="17"/>
      <c r="GOD107" s="17"/>
      <c r="GOE107" s="17"/>
      <c r="GOF107" s="17"/>
      <c r="GOG107" s="17"/>
      <c r="GOH107" s="17"/>
      <c r="GOI107" s="17"/>
      <c r="GOJ107" s="17"/>
      <c r="GOK107" s="17"/>
      <c r="GOL107" s="17"/>
      <c r="GOM107" s="17"/>
      <c r="GON107" s="17"/>
      <c r="GOO107" s="17"/>
      <c r="GOP107" s="17"/>
      <c r="GOQ107" s="17"/>
      <c r="GOR107" s="17"/>
      <c r="GOS107" s="17"/>
      <c r="GOT107" s="17"/>
      <c r="GOU107" s="17"/>
      <c r="GOV107" s="17"/>
      <c r="GOW107" s="17"/>
      <c r="GOX107" s="17"/>
      <c r="GOY107" s="17"/>
      <c r="GOZ107" s="17"/>
      <c r="GPA107" s="17"/>
      <c r="GPB107" s="17"/>
      <c r="GPC107" s="17"/>
      <c r="GPD107" s="17"/>
      <c r="GPE107" s="17"/>
      <c r="GPF107" s="17"/>
      <c r="GPG107" s="17"/>
      <c r="GPH107" s="17"/>
      <c r="GPI107" s="17"/>
      <c r="GPJ107" s="17"/>
      <c r="GPK107" s="17"/>
      <c r="GPL107" s="17"/>
      <c r="GPM107" s="17"/>
      <c r="GPN107" s="17"/>
      <c r="GPO107" s="17"/>
      <c r="GPP107" s="17"/>
      <c r="GPQ107" s="17"/>
      <c r="GPR107" s="17"/>
      <c r="GPS107" s="17"/>
      <c r="GPT107" s="17"/>
      <c r="GPU107" s="17"/>
      <c r="GPV107" s="17"/>
      <c r="GPW107" s="17"/>
      <c r="GPX107" s="17"/>
      <c r="GPY107" s="17"/>
      <c r="GPZ107" s="17"/>
      <c r="GQA107" s="17"/>
      <c r="GQB107" s="17"/>
      <c r="GQC107" s="17"/>
      <c r="GQD107" s="17"/>
      <c r="GQE107" s="17"/>
      <c r="GQF107" s="17"/>
      <c r="GQG107" s="17"/>
      <c r="GQH107" s="17"/>
      <c r="GQI107" s="17"/>
      <c r="GQJ107" s="17"/>
      <c r="GQK107" s="17"/>
      <c r="GQL107" s="17"/>
      <c r="GQM107" s="17"/>
      <c r="GQN107" s="17"/>
      <c r="GQO107" s="17"/>
      <c r="GQP107" s="17"/>
      <c r="GQQ107" s="17"/>
      <c r="GQR107" s="17"/>
      <c r="GQS107" s="17"/>
      <c r="GQT107" s="17"/>
      <c r="GQU107" s="17"/>
      <c r="GQV107" s="17"/>
      <c r="GQW107" s="17"/>
      <c r="GQX107" s="17"/>
      <c r="GQY107" s="17"/>
      <c r="GQZ107" s="17"/>
      <c r="GRA107" s="17"/>
      <c r="GRB107" s="17"/>
      <c r="GRC107" s="17"/>
      <c r="GRD107" s="17"/>
      <c r="GRE107" s="17"/>
      <c r="GRF107" s="17"/>
      <c r="GRG107" s="17"/>
      <c r="GRH107" s="17"/>
      <c r="GRI107" s="17"/>
      <c r="GRJ107" s="17"/>
      <c r="GRK107" s="17"/>
      <c r="GRL107" s="17"/>
      <c r="GRM107" s="17"/>
      <c r="GRN107" s="17"/>
      <c r="GRO107" s="17"/>
      <c r="GRP107" s="17"/>
      <c r="GRQ107" s="17"/>
      <c r="GRR107" s="17"/>
      <c r="GRS107" s="17"/>
      <c r="GRT107" s="17"/>
      <c r="GRU107" s="17"/>
      <c r="GRV107" s="17"/>
      <c r="GRW107" s="17"/>
      <c r="GRX107" s="17"/>
      <c r="GRY107" s="17"/>
      <c r="GRZ107" s="17"/>
      <c r="GSA107" s="17"/>
      <c r="GSB107" s="17"/>
      <c r="GSC107" s="17"/>
      <c r="GSD107" s="17"/>
      <c r="GSE107" s="17"/>
      <c r="GSF107" s="17"/>
      <c r="GSG107" s="17"/>
      <c r="GSH107" s="17"/>
      <c r="GSI107" s="17"/>
      <c r="GSJ107" s="17"/>
      <c r="GSK107" s="17"/>
      <c r="GSL107" s="17"/>
      <c r="GSM107" s="17"/>
      <c r="GSN107" s="17"/>
      <c r="GSO107" s="17"/>
      <c r="GSP107" s="17"/>
      <c r="GSQ107" s="17"/>
      <c r="GSR107" s="17"/>
      <c r="GSS107" s="17"/>
      <c r="GST107" s="17"/>
      <c r="GSU107" s="17"/>
      <c r="GSV107" s="17"/>
      <c r="GSW107" s="17"/>
      <c r="GSX107" s="17"/>
      <c r="GSY107" s="17"/>
      <c r="GSZ107" s="17"/>
      <c r="GTA107" s="17"/>
      <c r="GTB107" s="17"/>
      <c r="GTC107" s="17"/>
      <c r="GTD107" s="17"/>
      <c r="GTE107" s="17"/>
      <c r="GTF107" s="17"/>
      <c r="GTG107" s="17"/>
      <c r="GTH107" s="17"/>
      <c r="GTI107" s="17"/>
      <c r="GTJ107" s="17"/>
      <c r="GTK107" s="17"/>
      <c r="GTL107" s="17"/>
      <c r="GTM107" s="17"/>
      <c r="GTN107" s="17"/>
      <c r="GTO107" s="17"/>
      <c r="GTP107" s="17"/>
      <c r="GTQ107" s="17"/>
      <c r="GTR107" s="17"/>
      <c r="GTS107" s="17"/>
      <c r="GTT107" s="17"/>
      <c r="GTU107" s="17"/>
      <c r="GTV107" s="17"/>
      <c r="GTW107" s="17"/>
      <c r="GTX107" s="17"/>
      <c r="GTY107" s="17"/>
      <c r="GTZ107" s="17"/>
      <c r="GUA107" s="17"/>
      <c r="GUB107" s="17"/>
      <c r="GUC107" s="17"/>
      <c r="GUD107" s="17"/>
      <c r="GUE107" s="17"/>
      <c r="GUF107" s="17"/>
      <c r="GUG107" s="17"/>
      <c r="GUH107" s="17"/>
      <c r="GUI107" s="17"/>
      <c r="GUJ107" s="17"/>
      <c r="GUK107" s="17"/>
      <c r="GUL107" s="17"/>
      <c r="GUM107" s="17"/>
      <c r="GUN107" s="17"/>
      <c r="GUO107" s="17"/>
      <c r="GUP107" s="17"/>
      <c r="GUQ107" s="17"/>
      <c r="GUR107" s="17"/>
      <c r="GUS107" s="17"/>
      <c r="GUT107" s="17"/>
      <c r="GUU107" s="17"/>
      <c r="GUV107" s="17"/>
      <c r="GUW107" s="17"/>
      <c r="GUX107" s="17"/>
      <c r="GUY107" s="17"/>
      <c r="GUZ107" s="17"/>
      <c r="GVA107" s="17"/>
      <c r="GVB107" s="17"/>
      <c r="GVC107" s="17"/>
      <c r="GVD107" s="17"/>
      <c r="GVE107" s="17"/>
      <c r="GVF107" s="17"/>
      <c r="GVG107" s="17"/>
      <c r="GVH107" s="17"/>
      <c r="GVI107" s="17"/>
      <c r="GVJ107" s="17"/>
      <c r="GVK107" s="17"/>
      <c r="GVL107" s="17"/>
      <c r="GVM107" s="17"/>
      <c r="GVN107" s="17"/>
      <c r="GVO107" s="17"/>
      <c r="GVP107" s="17"/>
      <c r="GVQ107" s="17"/>
      <c r="GVR107" s="17"/>
      <c r="GVS107" s="17"/>
      <c r="GVT107" s="17"/>
      <c r="GVU107" s="17"/>
      <c r="GVV107" s="17"/>
      <c r="GVW107" s="17"/>
      <c r="GVX107" s="17"/>
      <c r="GVY107" s="17"/>
      <c r="GVZ107" s="17"/>
      <c r="GWA107" s="17"/>
      <c r="GWB107" s="17"/>
      <c r="GWC107" s="17"/>
      <c r="GWD107" s="17"/>
      <c r="GWE107" s="17"/>
      <c r="GWF107" s="17"/>
      <c r="GWG107" s="17"/>
      <c r="GWH107" s="17"/>
      <c r="GWI107" s="17"/>
      <c r="GWJ107" s="17"/>
      <c r="GWK107" s="17"/>
      <c r="GWL107" s="17"/>
      <c r="GWM107" s="17"/>
      <c r="GWN107" s="17"/>
      <c r="GWO107" s="17"/>
      <c r="GWP107" s="17"/>
      <c r="GWQ107" s="17"/>
      <c r="GWR107" s="17"/>
      <c r="GWS107" s="17"/>
      <c r="GWT107" s="17"/>
      <c r="GWU107" s="17"/>
      <c r="GWV107" s="17"/>
      <c r="GWW107" s="17"/>
      <c r="GWX107" s="17"/>
      <c r="GWY107" s="17"/>
      <c r="GWZ107" s="17"/>
      <c r="GXA107" s="17"/>
      <c r="GXB107" s="17"/>
      <c r="GXC107" s="17"/>
      <c r="GXD107" s="17"/>
      <c r="GXE107" s="17"/>
      <c r="GXF107" s="17"/>
      <c r="GXG107" s="17"/>
      <c r="GXH107" s="17"/>
      <c r="GXI107" s="17"/>
      <c r="GXJ107" s="17"/>
      <c r="GXK107" s="17"/>
      <c r="GXL107" s="17"/>
      <c r="GXM107" s="17"/>
      <c r="GXN107" s="17"/>
      <c r="GXO107" s="17"/>
      <c r="GXP107" s="17"/>
      <c r="GXQ107" s="17"/>
      <c r="GXR107" s="17"/>
      <c r="GXS107" s="17"/>
      <c r="GXT107" s="17"/>
      <c r="GXU107" s="17"/>
      <c r="GXV107" s="17"/>
      <c r="GXW107" s="17"/>
      <c r="GXX107" s="17"/>
      <c r="GXY107" s="17"/>
      <c r="GXZ107" s="17"/>
      <c r="GYA107" s="17"/>
      <c r="GYB107" s="17"/>
      <c r="GYC107" s="17"/>
      <c r="GYD107" s="17"/>
      <c r="GYE107" s="17"/>
      <c r="GYF107" s="17"/>
      <c r="GYG107" s="17"/>
      <c r="GYH107" s="17"/>
      <c r="GYI107" s="17"/>
      <c r="GYJ107" s="17"/>
      <c r="GYK107" s="17"/>
      <c r="GYL107" s="17"/>
      <c r="GYM107" s="17"/>
      <c r="GYN107" s="17"/>
      <c r="GYO107" s="17"/>
      <c r="GYP107" s="17"/>
      <c r="GYQ107" s="17"/>
      <c r="GYR107" s="17"/>
      <c r="GYS107" s="17"/>
      <c r="GYT107" s="17"/>
      <c r="GYU107" s="17"/>
      <c r="GYV107" s="17"/>
      <c r="GYW107" s="17"/>
      <c r="GYX107" s="17"/>
      <c r="GYY107" s="17"/>
      <c r="GYZ107" s="17"/>
      <c r="GZA107" s="17"/>
      <c r="GZB107" s="17"/>
      <c r="GZC107" s="17"/>
      <c r="GZD107" s="17"/>
      <c r="GZE107" s="17"/>
      <c r="GZF107" s="17"/>
      <c r="GZG107" s="17"/>
      <c r="GZH107" s="17"/>
      <c r="GZI107" s="17"/>
      <c r="GZJ107" s="17"/>
      <c r="GZK107" s="17"/>
      <c r="GZL107" s="17"/>
      <c r="GZM107" s="17"/>
      <c r="GZN107" s="17"/>
      <c r="GZO107" s="17"/>
      <c r="GZP107" s="17"/>
      <c r="GZQ107" s="17"/>
      <c r="GZR107" s="17"/>
      <c r="GZS107" s="17"/>
      <c r="GZT107" s="17"/>
      <c r="GZU107" s="17"/>
      <c r="GZV107" s="17"/>
      <c r="GZW107" s="17"/>
      <c r="GZX107" s="17"/>
      <c r="GZY107" s="17"/>
      <c r="GZZ107" s="17"/>
      <c r="HAA107" s="17"/>
      <c r="HAB107" s="17"/>
      <c r="HAC107" s="17"/>
      <c r="HAD107" s="17"/>
      <c r="HAE107" s="17"/>
      <c r="HAF107" s="17"/>
      <c r="HAG107" s="17"/>
      <c r="HAH107" s="17"/>
      <c r="HAI107" s="17"/>
      <c r="HAJ107" s="17"/>
      <c r="HAK107" s="17"/>
      <c r="HAL107" s="17"/>
      <c r="HAM107" s="17"/>
      <c r="HAN107" s="17"/>
      <c r="HAO107" s="17"/>
      <c r="HAP107" s="17"/>
      <c r="HAQ107" s="17"/>
      <c r="HAR107" s="17"/>
      <c r="HAS107" s="17"/>
      <c r="HAT107" s="17"/>
      <c r="HAU107" s="17"/>
      <c r="HAV107" s="17"/>
      <c r="HAW107" s="17"/>
      <c r="HAX107" s="17"/>
      <c r="HAY107" s="17"/>
      <c r="HAZ107" s="17"/>
      <c r="HBA107" s="17"/>
      <c r="HBB107" s="17"/>
      <c r="HBC107" s="17"/>
      <c r="HBD107" s="17"/>
      <c r="HBE107" s="17"/>
      <c r="HBF107" s="17"/>
      <c r="HBG107" s="17"/>
      <c r="HBH107" s="17"/>
      <c r="HBI107" s="17"/>
      <c r="HBJ107" s="17"/>
      <c r="HBK107" s="17"/>
      <c r="HBL107" s="17"/>
      <c r="HBM107" s="17"/>
      <c r="HBN107" s="17"/>
      <c r="HBO107" s="17"/>
      <c r="HBP107" s="17"/>
      <c r="HBQ107" s="17"/>
      <c r="HBR107" s="17"/>
      <c r="HBS107" s="17"/>
      <c r="HBT107" s="17"/>
      <c r="HBU107" s="17"/>
      <c r="HBV107" s="17"/>
      <c r="HBW107" s="17"/>
      <c r="HBX107" s="17"/>
      <c r="HBY107" s="17"/>
      <c r="HBZ107" s="17"/>
      <c r="HCA107" s="17"/>
      <c r="HCB107" s="17"/>
      <c r="HCC107" s="17"/>
      <c r="HCD107" s="17"/>
      <c r="HCE107" s="17"/>
      <c r="HCF107" s="17"/>
      <c r="HCG107" s="17"/>
      <c r="HCH107" s="17"/>
      <c r="HCI107" s="17"/>
      <c r="HCJ107" s="17"/>
      <c r="HCK107" s="17"/>
      <c r="HCL107" s="17"/>
      <c r="HCM107" s="17"/>
      <c r="HCN107" s="17"/>
      <c r="HCO107" s="17"/>
      <c r="HCP107" s="17"/>
      <c r="HCQ107" s="17"/>
      <c r="HCR107" s="17"/>
      <c r="HCS107" s="17"/>
      <c r="HCT107" s="17"/>
      <c r="HCU107" s="17"/>
      <c r="HCV107" s="17"/>
      <c r="HCW107" s="17"/>
      <c r="HCX107" s="17"/>
      <c r="HCY107" s="17"/>
      <c r="HCZ107" s="17"/>
      <c r="HDA107" s="17"/>
      <c r="HDB107" s="17"/>
      <c r="HDC107" s="17"/>
      <c r="HDD107" s="17"/>
      <c r="HDE107" s="17"/>
      <c r="HDF107" s="17"/>
      <c r="HDG107" s="17"/>
      <c r="HDH107" s="17"/>
      <c r="HDI107" s="17"/>
      <c r="HDJ107" s="17"/>
      <c r="HDK107" s="17"/>
      <c r="HDL107" s="17"/>
      <c r="HDM107" s="17"/>
      <c r="HDN107" s="17"/>
      <c r="HDO107" s="17"/>
      <c r="HDP107" s="17"/>
      <c r="HDQ107" s="17"/>
      <c r="HDR107" s="17"/>
      <c r="HDS107" s="17"/>
      <c r="HDT107" s="17"/>
      <c r="HDU107" s="17"/>
      <c r="HDV107" s="17"/>
      <c r="HDW107" s="17"/>
      <c r="HDX107" s="17"/>
      <c r="HDY107" s="17"/>
      <c r="HDZ107" s="17"/>
      <c r="HEA107" s="17"/>
      <c r="HEB107" s="17"/>
      <c r="HEC107" s="17"/>
      <c r="HED107" s="17"/>
      <c r="HEE107" s="17"/>
      <c r="HEF107" s="17"/>
      <c r="HEG107" s="17"/>
      <c r="HEH107" s="17"/>
      <c r="HEI107" s="17"/>
      <c r="HEJ107" s="17"/>
      <c r="HEK107" s="17"/>
      <c r="HEL107" s="17"/>
      <c r="HEM107" s="17"/>
      <c r="HEN107" s="17"/>
      <c r="HEO107" s="17"/>
      <c r="HEP107" s="17"/>
      <c r="HEQ107" s="17"/>
      <c r="HER107" s="17"/>
      <c r="HES107" s="17"/>
      <c r="HET107" s="17"/>
      <c r="HEU107" s="17"/>
      <c r="HEV107" s="17"/>
      <c r="HEW107" s="17"/>
      <c r="HEX107" s="17"/>
      <c r="HEY107" s="17"/>
      <c r="HEZ107" s="17"/>
      <c r="HFA107" s="17"/>
      <c r="HFB107" s="17"/>
      <c r="HFC107" s="17"/>
      <c r="HFD107" s="17"/>
      <c r="HFE107" s="17"/>
      <c r="HFF107" s="17"/>
      <c r="HFG107" s="17"/>
      <c r="HFH107" s="17"/>
      <c r="HFI107" s="17"/>
      <c r="HFJ107" s="17"/>
      <c r="HFK107" s="17"/>
      <c r="HFL107" s="17"/>
      <c r="HFM107" s="17"/>
      <c r="HFN107" s="17"/>
      <c r="HFO107" s="17"/>
      <c r="HFP107" s="17"/>
      <c r="HFQ107" s="17"/>
      <c r="HFR107" s="17"/>
      <c r="HFS107" s="17"/>
      <c r="HFT107" s="17"/>
      <c r="HFU107" s="17"/>
      <c r="HFV107" s="17"/>
      <c r="HFW107" s="17"/>
      <c r="HFX107" s="17"/>
      <c r="HFY107" s="17"/>
      <c r="HFZ107" s="17"/>
      <c r="HGA107" s="17"/>
      <c r="HGB107" s="17"/>
      <c r="HGC107" s="17"/>
      <c r="HGD107" s="17"/>
      <c r="HGE107" s="17"/>
      <c r="HGF107" s="17"/>
      <c r="HGG107" s="17"/>
      <c r="HGH107" s="17"/>
      <c r="HGI107" s="17"/>
      <c r="HGJ107" s="17"/>
      <c r="HGK107" s="17"/>
      <c r="HGL107" s="17"/>
      <c r="HGM107" s="17"/>
      <c r="HGN107" s="17"/>
      <c r="HGO107" s="17"/>
      <c r="HGP107" s="17"/>
      <c r="HGQ107" s="17"/>
      <c r="HGR107" s="17"/>
      <c r="HGS107" s="17"/>
      <c r="HGT107" s="17"/>
      <c r="HGU107" s="17"/>
      <c r="HGV107" s="17"/>
      <c r="HGW107" s="17"/>
      <c r="HGX107" s="17"/>
      <c r="HGY107" s="17"/>
      <c r="HGZ107" s="17"/>
      <c r="HHA107" s="17"/>
      <c r="HHB107" s="17"/>
      <c r="HHC107" s="17"/>
      <c r="HHD107" s="17"/>
      <c r="HHE107" s="17"/>
      <c r="HHF107" s="17"/>
      <c r="HHG107" s="17"/>
      <c r="HHH107" s="17"/>
      <c r="HHI107" s="17"/>
      <c r="HHJ107" s="17"/>
      <c r="HHK107" s="17"/>
      <c r="HHL107" s="17"/>
      <c r="HHM107" s="17"/>
      <c r="HHN107" s="17"/>
      <c r="HHO107" s="17"/>
      <c r="HHP107" s="17"/>
      <c r="HHQ107" s="17"/>
      <c r="HHR107" s="17"/>
      <c r="HHS107" s="17"/>
      <c r="HHT107" s="17"/>
      <c r="HHU107" s="17"/>
      <c r="HHV107" s="17"/>
      <c r="HHW107" s="17"/>
      <c r="HHX107" s="17"/>
      <c r="HHY107" s="17"/>
      <c r="HHZ107" s="17"/>
      <c r="HIA107" s="17"/>
      <c r="HIB107" s="17"/>
      <c r="HIC107" s="17"/>
      <c r="HID107" s="17"/>
      <c r="HIE107" s="17"/>
      <c r="HIF107" s="17"/>
      <c r="HIG107" s="17"/>
      <c r="HIH107" s="17"/>
      <c r="HII107" s="17"/>
      <c r="HIJ107" s="17"/>
      <c r="HIK107" s="17"/>
      <c r="HIL107" s="17"/>
      <c r="HIM107" s="17"/>
      <c r="HIN107" s="17"/>
      <c r="HIO107" s="17"/>
      <c r="HIP107" s="17"/>
      <c r="HIQ107" s="17"/>
      <c r="HIR107" s="17"/>
      <c r="HIS107" s="17"/>
      <c r="HIT107" s="17"/>
      <c r="HIU107" s="17"/>
      <c r="HIV107" s="17"/>
      <c r="HIW107" s="17"/>
      <c r="HIX107" s="17"/>
      <c r="HIY107" s="17"/>
      <c r="HIZ107" s="17"/>
      <c r="HJA107" s="17"/>
      <c r="HJB107" s="17"/>
      <c r="HJC107" s="17"/>
      <c r="HJD107" s="17"/>
      <c r="HJE107" s="17"/>
      <c r="HJF107" s="17"/>
      <c r="HJG107" s="17"/>
      <c r="HJH107" s="17"/>
      <c r="HJI107" s="17"/>
      <c r="HJJ107" s="17"/>
      <c r="HJK107" s="17"/>
      <c r="HJL107" s="17"/>
      <c r="HJM107" s="17"/>
      <c r="HJN107" s="17"/>
      <c r="HJO107" s="17"/>
      <c r="HJP107" s="17"/>
      <c r="HJQ107" s="17"/>
      <c r="HJR107" s="17"/>
      <c r="HJS107" s="17"/>
      <c r="HJT107" s="17"/>
      <c r="HJU107" s="17"/>
      <c r="HJV107" s="17"/>
      <c r="HJW107" s="17"/>
      <c r="HJX107" s="17"/>
      <c r="HJY107" s="17"/>
      <c r="HJZ107" s="17"/>
      <c r="HKA107" s="17"/>
      <c r="HKB107" s="17"/>
      <c r="HKC107" s="17"/>
      <c r="HKD107" s="17"/>
      <c r="HKE107" s="17"/>
      <c r="HKF107" s="17"/>
      <c r="HKG107" s="17"/>
      <c r="HKH107" s="17"/>
      <c r="HKI107" s="17"/>
      <c r="HKJ107" s="17"/>
      <c r="HKK107" s="17"/>
      <c r="HKL107" s="17"/>
      <c r="HKM107" s="17"/>
      <c r="HKN107" s="17"/>
      <c r="HKO107" s="17"/>
      <c r="HKP107" s="17"/>
      <c r="HKQ107" s="17"/>
      <c r="HKR107" s="17"/>
      <c r="HKS107" s="17"/>
      <c r="HKT107" s="17"/>
      <c r="HKU107" s="17"/>
      <c r="HKV107" s="17"/>
      <c r="HKW107" s="17"/>
      <c r="HKX107" s="17"/>
      <c r="HKY107" s="17"/>
      <c r="HKZ107" s="17"/>
      <c r="HLA107" s="17"/>
      <c r="HLB107" s="17"/>
      <c r="HLC107" s="17"/>
      <c r="HLD107" s="17"/>
      <c r="HLE107" s="17"/>
      <c r="HLF107" s="17"/>
      <c r="HLG107" s="17"/>
      <c r="HLH107" s="17"/>
      <c r="HLI107" s="17"/>
      <c r="HLJ107" s="17"/>
      <c r="HLK107" s="17"/>
      <c r="HLL107" s="17"/>
      <c r="HLM107" s="17"/>
      <c r="HLN107" s="17"/>
      <c r="HLO107" s="17"/>
      <c r="HLP107" s="17"/>
      <c r="HLQ107" s="17"/>
      <c r="HLR107" s="17"/>
      <c r="HLS107" s="17"/>
      <c r="HLT107" s="17"/>
      <c r="HLU107" s="17"/>
      <c r="HLV107" s="17"/>
      <c r="HLW107" s="17"/>
      <c r="HLX107" s="17"/>
      <c r="HLY107" s="17"/>
      <c r="HLZ107" s="17"/>
      <c r="HMA107" s="17"/>
      <c r="HMB107" s="17"/>
      <c r="HMC107" s="17"/>
      <c r="HMD107" s="17"/>
      <c r="HME107" s="17"/>
      <c r="HMF107" s="17"/>
      <c r="HMG107" s="17"/>
      <c r="HMH107" s="17"/>
      <c r="HMI107" s="17"/>
      <c r="HMJ107" s="17"/>
      <c r="HMK107" s="17"/>
      <c r="HML107" s="17"/>
      <c r="HMM107" s="17"/>
      <c r="HMN107" s="17"/>
      <c r="HMO107" s="17"/>
      <c r="HMP107" s="17"/>
      <c r="HMQ107" s="17"/>
      <c r="HMR107" s="17"/>
      <c r="HMS107" s="17"/>
      <c r="HMT107" s="17"/>
      <c r="HMU107" s="17"/>
      <c r="HMV107" s="17"/>
      <c r="HMW107" s="17"/>
      <c r="HMX107" s="17"/>
      <c r="HMY107" s="17"/>
      <c r="HMZ107" s="17"/>
      <c r="HNA107" s="17"/>
      <c r="HNB107" s="17"/>
      <c r="HNC107" s="17"/>
      <c r="HND107" s="17"/>
      <c r="HNE107" s="17"/>
      <c r="HNF107" s="17"/>
      <c r="HNG107" s="17"/>
      <c r="HNH107" s="17"/>
      <c r="HNI107" s="17"/>
      <c r="HNJ107" s="17"/>
      <c r="HNK107" s="17"/>
      <c r="HNL107" s="17"/>
      <c r="HNM107" s="17"/>
      <c r="HNN107" s="17"/>
      <c r="HNO107" s="17"/>
      <c r="HNP107" s="17"/>
      <c r="HNQ107" s="17"/>
      <c r="HNR107" s="17"/>
      <c r="HNS107" s="17"/>
      <c r="HNT107" s="17"/>
      <c r="HNU107" s="17"/>
      <c r="HNV107" s="17"/>
      <c r="HNW107" s="17"/>
      <c r="HNX107" s="17"/>
      <c r="HNY107" s="17"/>
      <c r="HNZ107" s="17"/>
      <c r="HOA107" s="17"/>
      <c r="HOB107" s="17"/>
      <c r="HOC107" s="17"/>
      <c r="HOD107" s="17"/>
      <c r="HOE107" s="17"/>
      <c r="HOF107" s="17"/>
      <c r="HOG107" s="17"/>
      <c r="HOH107" s="17"/>
      <c r="HOI107" s="17"/>
      <c r="HOJ107" s="17"/>
      <c r="HOK107" s="17"/>
      <c r="HOL107" s="17"/>
      <c r="HOM107" s="17"/>
      <c r="HON107" s="17"/>
      <c r="HOO107" s="17"/>
      <c r="HOP107" s="17"/>
      <c r="HOQ107" s="17"/>
      <c r="HOR107" s="17"/>
      <c r="HOS107" s="17"/>
      <c r="HOT107" s="17"/>
      <c r="HOU107" s="17"/>
      <c r="HOV107" s="17"/>
      <c r="HOW107" s="17"/>
      <c r="HOX107" s="17"/>
      <c r="HOY107" s="17"/>
      <c r="HOZ107" s="17"/>
      <c r="HPA107" s="17"/>
      <c r="HPB107" s="17"/>
      <c r="HPC107" s="17"/>
      <c r="HPD107" s="17"/>
      <c r="HPE107" s="17"/>
      <c r="HPF107" s="17"/>
      <c r="HPG107" s="17"/>
      <c r="HPH107" s="17"/>
      <c r="HPI107" s="17"/>
      <c r="HPJ107" s="17"/>
      <c r="HPK107" s="17"/>
      <c r="HPL107" s="17"/>
      <c r="HPM107" s="17"/>
      <c r="HPN107" s="17"/>
      <c r="HPO107" s="17"/>
      <c r="HPP107" s="17"/>
      <c r="HPQ107" s="17"/>
      <c r="HPR107" s="17"/>
      <c r="HPS107" s="17"/>
      <c r="HPT107" s="17"/>
      <c r="HPU107" s="17"/>
      <c r="HPV107" s="17"/>
      <c r="HPW107" s="17"/>
      <c r="HPX107" s="17"/>
      <c r="HPY107" s="17"/>
      <c r="HPZ107" s="17"/>
      <c r="HQA107" s="17"/>
      <c r="HQB107" s="17"/>
      <c r="HQC107" s="17"/>
      <c r="HQD107" s="17"/>
      <c r="HQE107" s="17"/>
      <c r="HQF107" s="17"/>
      <c r="HQG107" s="17"/>
      <c r="HQH107" s="17"/>
      <c r="HQI107" s="17"/>
      <c r="HQJ107" s="17"/>
      <c r="HQK107" s="17"/>
      <c r="HQL107" s="17"/>
      <c r="HQM107" s="17"/>
      <c r="HQN107" s="17"/>
      <c r="HQO107" s="17"/>
      <c r="HQP107" s="17"/>
      <c r="HQQ107" s="17"/>
      <c r="HQR107" s="17"/>
      <c r="HQS107" s="17"/>
      <c r="HQT107" s="17"/>
      <c r="HQU107" s="17"/>
      <c r="HQV107" s="17"/>
      <c r="HQW107" s="17"/>
      <c r="HQX107" s="17"/>
      <c r="HQY107" s="17"/>
      <c r="HQZ107" s="17"/>
      <c r="HRA107" s="17"/>
      <c r="HRB107" s="17"/>
      <c r="HRC107" s="17"/>
      <c r="HRD107" s="17"/>
      <c r="HRE107" s="17"/>
      <c r="HRF107" s="17"/>
      <c r="HRG107" s="17"/>
      <c r="HRH107" s="17"/>
      <c r="HRI107" s="17"/>
      <c r="HRJ107" s="17"/>
      <c r="HRK107" s="17"/>
      <c r="HRL107" s="17"/>
      <c r="HRM107" s="17"/>
      <c r="HRN107" s="17"/>
      <c r="HRO107" s="17"/>
      <c r="HRP107" s="17"/>
      <c r="HRQ107" s="17"/>
      <c r="HRR107" s="17"/>
      <c r="HRS107" s="17"/>
      <c r="HRT107" s="17"/>
      <c r="HRU107" s="17"/>
      <c r="HRV107" s="17"/>
      <c r="HRW107" s="17"/>
      <c r="HRX107" s="17"/>
      <c r="HRY107" s="17"/>
      <c r="HRZ107" s="17"/>
      <c r="HSA107" s="17"/>
      <c r="HSB107" s="17"/>
      <c r="HSC107" s="17"/>
      <c r="HSD107" s="17"/>
      <c r="HSE107" s="17"/>
      <c r="HSF107" s="17"/>
      <c r="HSG107" s="17"/>
      <c r="HSH107" s="17"/>
      <c r="HSI107" s="17"/>
      <c r="HSJ107" s="17"/>
      <c r="HSK107" s="17"/>
      <c r="HSL107" s="17"/>
      <c r="HSM107" s="17"/>
      <c r="HSN107" s="17"/>
      <c r="HSO107" s="17"/>
      <c r="HSP107" s="17"/>
      <c r="HSQ107" s="17"/>
      <c r="HSR107" s="17"/>
      <c r="HSS107" s="17"/>
      <c r="HST107" s="17"/>
      <c r="HSU107" s="17"/>
      <c r="HSV107" s="17"/>
      <c r="HSW107" s="17"/>
      <c r="HSX107" s="17"/>
      <c r="HSY107" s="17"/>
      <c r="HSZ107" s="17"/>
      <c r="HTA107" s="17"/>
      <c r="HTB107" s="17"/>
      <c r="HTC107" s="17"/>
      <c r="HTD107" s="17"/>
      <c r="HTE107" s="17"/>
      <c r="HTF107" s="17"/>
      <c r="HTG107" s="17"/>
      <c r="HTH107" s="17"/>
      <c r="HTI107" s="17"/>
      <c r="HTJ107" s="17"/>
      <c r="HTK107" s="17"/>
      <c r="HTL107" s="17"/>
      <c r="HTM107" s="17"/>
      <c r="HTN107" s="17"/>
      <c r="HTO107" s="17"/>
      <c r="HTP107" s="17"/>
      <c r="HTQ107" s="17"/>
      <c r="HTR107" s="17"/>
      <c r="HTS107" s="17"/>
      <c r="HTT107" s="17"/>
      <c r="HTU107" s="17"/>
      <c r="HTV107" s="17"/>
      <c r="HTW107" s="17"/>
      <c r="HTX107" s="17"/>
      <c r="HTY107" s="17"/>
      <c r="HTZ107" s="17"/>
      <c r="HUA107" s="17"/>
      <c r="HUB107" s="17"/>
      <c r="HUC107" s="17"/>
      <c r="HUD107" s="17"/>
      <c r="HUE107" s="17"/>
      <c r="HUF107" s="17"/>
      <c r="HUG107" s="17"/>
      <c r="HUH107" s="17"/>
      <c r="HUI107" s="17"/>
      <c r="HUJ107" s="17"/>
      <c r="HUK107" s="17"/>
      <c r="HUL107" s="17"/>
      <c r="HUM107" s="17"/>
      <c r="HUN107" s="17"/>
      <c r="HUO107" s="17"/>
      <c r="HUP107" s="17"/>
      <c r="HUQ107" s="17"/>
      <c r="HUR107" s="17"/>
      <c r="HUS107" s="17"/>
      <c r="HUT107" s="17"/>
      <c r="HUU107" s="17"/>
      <c r="HUV107" s="17"/>
      <c r="HUW107" s="17"/>
      <c r="HUX107" s="17"/>
      <c r="HUY107" s="17"/>
      <c r="HUZ107" s="17"/>
      <c r="HVA107" s="17"/>
      <c r="HVB107" s="17"/>
      <c r="HVC107" s="17"/>
      <c r="HVD107" s="17"/>
      <c r="HVE107" s="17"/>
      <c r="HVF107" s="17"/>
      <c r="HVG107" s="17"/>
      <c r="HVH107" s="17"/>
      <c r="HVI107" s="17"/>
      <c r="HVJ107" s="17"/>
      <c r="HVK107" s="17"/>
      <c r="HVL107" s="17"/>
      <c r="HVM107" s="17"/>
      <c r="HVN107" s="17"/>
      <c r="HVO107" s="17"/>
      <c r="HVP107" s="17"/>
      <c r="HVQ107" s="17"/>
      <c r="HVR107" s="17"/>
      <c r="HVS107" s="17"/>
      <c r="HVT107" s="17"/>
      <c r="HVU107" s="17"/>
      <c r="HVV107" s="17"/>
      <c r="HVW107" s="17"/>
      <c r="HVX107" s="17"/>
      <c r="HVY107" s="17"/>
      <c r="HVZ107" s="17"/>
      <c r="HWA107" s="17"/>
      <c r="HWB107" s="17"/>
      <c r="HWC107" s="17"/>
      <c r="HWD107" s="17"/>
      <c r="HWE107" s="17"/>
      <c r="HWF107" s="17"/>
      <c r="HWG107" s="17"/>
      <c r="HWH107" s="17"/>
      <c r="HWI107" s="17"/>
      <c r="HWJ107" s="17"/>
      <c r="HWK107" s="17"/>
      <c r="HWL107" s="17"/>
      <c r="HWM107" s="17"/>
      <c r="HWN107" s="17"/>
      <c r="HWO107" s="17"/>
      <c r="HWP107" s="17"/>
      <c r="HWQ107" s="17"/>
      <c r="HWR107" s="17"/>
      <c r="HWS107" s="17"/>
      <c r="HWT107" s="17"/>
      <c r="HWU107" s="17"/>
      <c r="HWV107" s="17"/>
      <c r="HWW107" s="17"/>
      <c r="HWX107" s="17"/>
      <c r="HWY107" s="17"/>
      <c r="HWZ107" s="17"/>
      <c r="HXA107" s="17"/>
      <c r="HXB107" s="17"/>
      <c r="HXC107" s="17"/>
      <c r="HXD107" s="17"/>
      <c r="HXE107" s="17"/>
      <c r="HXF107" s="17"/>
      <c r="HXG107" s="17"/>
      <c r="HXH107" s="17"/>
      <c r="HXI107" s="17"/>
      <c r="HXJ107" s="17"/>
      <c r="HXK107" s="17"/>
      <c r="HXL107" s="17"/>
      <c r="HXM107" s="17"/>
      <c r="HXN107" s="17"/>
      <c r="HXO107" s="17"/>
      <c r="HXP107" s="17"/>
      <c r="HXQ107" s="17"/>
      <c r="HXR107" s="17"/>
      <c r="HXS107" s="17"/>
      <c r="HXT107" s="17"/>
      <c r="HXU107" s="17"/>
      <c r="HXV107" s="17"/>
      <c r="HXW107" s="17"/>
      <c r="HXX107" s="17"/>
      <c r="HXY107" s="17"/>
      <c r="HXZ107" s="17"/>
      <c r="HYA107" s="17"/>
      <c r="HYB107" s="17"/>
      <c r="HYC107" s="17"/>
      <c r="HYD107" s="17"/>
      <c r="HYE107" s="17"/>
      <c r="HYF107" s="17"/>
      <c r="HYG107" s="17"/>
      <c r="HYH107" s="17"/>
      <c r="HYI107" s="17"/>
      <c r="HYJ107" s="17"/>
      <c r="HYK107" s="17"/>
      <c r="HYL107" s="17"/>
      <c r="HYM107" s="17"/>
      <c r="HYN107" s="17"/>
      <c r="HYO107" s="17"/>
      <c r="HYP107" s="17"/>
      <c r="HYQ107" s="17"/>
      <c r="HYR107" s="17"/>
      <c r="HYS107" s="17"/>
      <c r="HYT107" s="17"/>
      <c r="HYU107" s="17"/>
      <c r="HYV107" s="17"/>
      <c r="HYW107" s="17"/>
      <c r="HYX107" s="17"/>
      <c r="HYY107" s="17"/>
      <c r="HYZ107" s="17"/>
      <c r="HZA107" s="17"/>
      <c r="HZB107" s="17"/>
      <c r="HZC107" s="17"/>
      <c r="HZD107" s="17"/>
      <c r="HZE107" s="17"/>
      <c r="HZF107" s="17"/>
      <c r="HZG107" s="17"/>
      <c r="HZH107" s="17"/>
      <c r="HZI107" s="17"/>
      <c r="HZJ107" s="17"/>
      <c r="HZK107" s="17"/>
      <c r="HZL107" s="17"/>
      <c r="HZM107" s="17"/>
      <c r="HZN107" s="17"/>
      <c r="HZO107" s="17"/>
      <c r="HZP107" s="17"/>
      <c r="HZQ107" s="17"/>
      <c r="HZR107" s="17"/>
      <c r="HZS107" s="17"/>
      <c r="HZT107" s="17"/>
      <c r="HZU107" s="17"/>
      <c r="HZV107" s="17"/>
      <c r="HZW107" s="17"/>
      <c r="HZX107" s="17"/>
      <c r="HZY107" s="17"/>
      <c r="HZZ107" s="17"/>
      <c r="IAA107" s="17"/>
      <c r="IAB107" s="17"/>
      <c r="IAC107" s="17"/>
      <c r="IAD107" s="17"/>
      <c r="IAE107" s="17"/>
      <c r="IAF107" s="17"/>
      <c r="IAG107" s="17"/>
      <c r="IAH107" s="17"/>
      <c r="IAI107" s="17"/>
      <c r="IAJ107" s="17"/>
      <c r="IAK107" s="17"/>
      <c r="IAL107" s="17"/>
      <c r="IAM107" s="17"/>
      <c r="IAN107" s="17"/>
      <c r="IAO107" s="17"/>
      <c r="IAP107" s="17"/>
      <c r="IAQ107" s="17"/>
      <c r="IAR107" s="17"/>
      <c r="IAS107" s="17"/>
      <c r="IAT107" s="17"/>
      <c r="IAU107" s="17"/>
      <c r="IAV107" s="17"/>
      <c r="IAW107" s="17"/>
      <c r="IAX107" s="17"/>
      <c r="IAY107" s="17"/>
      <c r="IAZ107" s="17"/>
      <c r="IBA107" s="17"/>
      <c r="IBB107" s="17"/>
      <c r="IBC107" s="17"/>
      <c r="IBD107" s="17"/>
      <c r="IBE107" s="17"/>
      <c r="IBF107" s="17"/>
      <c r="IBG107" s="17"/>
      <c r="IBH107" s="17"/>
      <c r="IBI107" s="17"/>
      <c r="IBJ107" s="17"/>
      <c r="IBK107" s="17"/>
      <c r="IBL107" s="17"/>
      <c r="IBM107" s="17"/>
      <c r="IBN107" s="17"/>
      <c r="IBO107" s="17"/>
      <c r="IBP107" s="17"/>
      <c r="IBQ107" s="17"/>
      <c r="IBR107" s="17"/>
      <c r="IBS107" s="17"/>
      <c r="IBT107" s="17"/>
      <c r="IBU107" s="17"/>
      <c r="IBV107" s="17"/>
      <c r="IBW107" s="17"/>
      <c r="IBX107" s="17"/>
      <c r="IBY107" s="17"/>
      <c r="IBZ107" s="17"/>
      <c r="ICA107" s="17"/>
      <c r="ICB107" s="17"/>
      <c r="ICC107" s="17"/>
      <c r="ICD107" s="17"/>
      <c r="ICE107" s="17"/>
      <c r="ICF107" s="17"/>
      <c r="ICG107" s="17"/>
      <c r="ICH107" s="17"/>
      <c r="ICI107" s="17"/>
      <c r="ICJ107" s="17"/>
      <c r="ICK107" s="17"/>
      <c r="ICL107" s="17"/>
      <c r="ICM107" s="17"/>
      <c r="ICN107" s="17"/>
      <c r="ICO107" s="17"/>
      <c r="ICP107" s="17"/>
      <c r="ICQ107" s="17"/>
      <c r="ICR107" s="17"/>
      <c r="ICS107" s="17"/>
      <c r="ICT107" s="17"/>
      <c r="ICU107" s="17"/>
      <c r="ICV107" s="17"/>
      <c r="ICW107" s="17"/>
      <c r="ICX107" s="17"/>
      <c r="ICY107" s="17"/>
      <c r="ICZ107" s="17"/>
      <c r="IDA107" s="17"/>
      <c r="IDB107" s="17"/>
      <c r="IDC107" s="17"/>
      <c r="IDD107" s="17"/>
      <c r="IDE107" s="17"/>
      <c r="IDF107" s="17"/>
      <c r="IDG107" s="17"/>
      <c r="IDH107" s="17"/>
      <c r="IDI107" s="17"/>
      <c r="IDJ107" s="17"/>
      <c r="IDK107" s="17"/>
      <c r="IDL107" s="17"/>
      <c r="IDM107" s="17"/>
      <c r="IDN107" s="17"/>
      <c r="IDO107" s="17"/>
      <c r="IDP107" s="17"/>
      <c r="IDQ107" s="17"/>
      <c r="IDR107" s="17"/>
      <c r="IDS107" s="17"/>
      <c r="IDT107" s="17"/>
      <c r="IDU107" s="17"/>
      <c r="IDV107" s="17"/>
      <c r="IDW107" s="17"/>
      <c r="IDX107" s="17"/>
      <c r="IDY107" s="17"/>
      <c r="IDZ107" s="17"/>
      <c r="IEA107" s="17"/>
      <c r="IEB107" s="17"/>
      <c r="IEC107" s="17"/>
      <c r="IED107" s="17"/>
      <c r="IEE107" s="17"/>
      <c r="IEF107" s="17"/>
      <c r="IEG107" s="17"/>
      <c r="IEH107" s="17"/>
      <c r="IEI107" s="17"/>
      <c r="IEJ107" s="17"/>
      <c r="IEK107" s="17"/>
      <c r="IEL107" s="17"/>
      <c r="IEM107" s="17"/>
      <c r="IEN107" s="17"/>
      <c r="IEO107" s="17"/>
      <c r="IEP107" s="17"/>
      <c r="IEQ107" s="17"/>
      <c r="IER107" s="17"/>
      <c r="IES107" s="17"/>
      <c r="IET107" s="17"/>
      <c r="IEU107" s="17"/>
      <c r="IEV107" s="17"/>
      <c r="IEW107" s="17"/>
      <c r="IEX107" s="17"/>
      <c r="IEY107" s="17"/>
      <c r="IEZ107" s="17"/>
      <c r="IFA107" s="17"/>
      <c r="IFB107" s="17"/>
      <c r="IFC107" s="17"/>
      <c r="IFD107" s="17"/>
      <c r="IFE107" s="17"/>
      <c r="IFF107" s="17"/>
      <c r="IFG107" s="17"/>
      <c r="IFH107" s="17"/>
      <c r="IFI107" s="17"/>
      <c r="IFJ107" s="17"/>
      <c r="IFK107" s="17"/>
      <c r="IFL107" s="17"/>
      <c r="IFM107" s="17"/>
      <c r="IFN107" s="17"/>
      <c r="IFO107" s="17"/>
      <c r="IFP107" s="17"/>
      <c r="IFQ107" s="17"/>
      <c r="IFR107" s="17"/>
      <c r="IFS107" s="17"/>
      <c r="IFT107" s="17"/>
      <c r="IFU107" s="17"/>
      <c r="IFV107" s="17"/>
      <c r="IFW107" s="17"/>
      <c r="IFX107" s="17"/>
      <c r="IFY107" s="17"/>
      <c r="IFZ107" s="17"/>
      <c r="IGA107" s="17"/>
      <c r="IGB107" s="17"/>
      <c r="IGC107" s="17"/>
      <c r="IGD107" s="17"/>
      <c r="IGE107" s="17"/>
      <c r="IGF107" s="17"/>
      <c r="IGG107" s="17"/>
      <c r="IGH107" s="17"/>
      <c r="IGI107" s="17"/>
      <c r="IGJ107" s="17"/>
      <c r="IGK107" s="17"/>
      <c r="IGL107" s="17"/>
      <c r="IGM107" s="17"/>
      <c r="IGN107" s="17"/>
      <c r="IGO107" s="17"/>
      <c r="IGP107" s="17"/>
      <c r="IGQ107" s="17"/>
      <c r="IGR107" s="17"/>
      <c r="IGS107" s="17"/>
      <c r="IGT107" s="17"/>
      <c r="IGU107" s="17"/>
      <c r="IGV107" s="17"/>
      <c r="IGW107" s="17"/>
      <c r="IGX107" s="17"/>
      <c r="IGY107" s="17"/>
      <c r="IGZ107" s="17"/>
      <c r="IHA107" s="17"/>
      <c r="IHB107" s="17"/>
      <c r="IHC107" s="17"/>
      <c r="IHD107" s="17"/>
      <c r="IHE107" s="17"/>
      <c r="IHF107" s="17"/>
      <c r="IHG107" s="17"/>
      <c r="IHH107" s="17"/>
      <c r="IHI107" s="17"/>
      <c r="IHJ107" s="17"/>
      <c r="IHK107" s="17"/>
      <c r="IHL107" s="17"/>
      <c r="IHM107" s="17"/>
      <c r="IHN107" s="17"/>
      <c r="IHO107" s="17"/>
      <c r="IHP107" s="17"/>
      <c r="IHQ107" s="17"/>
      <c r="IHR107" s="17"/>
      <c r="IHS107" s="17"/>
      <c r="IHT107" s="17"/>
      <c r="IHU107" s="17"/>
      <c r="IHV107" s="17"/>
      <c r="IHW107" s="17"/>
      <c r="IHX107" s="17"/>
      <c r="IHY107" s="17"/>
      <c r="IHZ107" s="17"/>
      <c r="IIA107" s="17"/>
      <c r="IIB107" s="17"/>
      <c r="IIC107" s="17"/>
      <c r="IID107" s="17"/>
      <c r="IIE107" s="17"/>
      <c r="IIF107" s="17"/>
      <c r="IIG107" s="17"/>
      <c r="IIH107" s="17"/>
      <c r="III107" s="17"/>
      <c r="IIJ107" s="17"/>
      <c r="IIK107" s="17"/>
      <c r="IIL107" s="17"/>
      <c r="IIM107" s="17"/>
      <c r="IIN107" s="17"/>
      <c r="IIO107" s="17"/>
      <c r="IIP107" s="17"/>
      <c r="IIQ107" s="17"/>
      <c r="IIR107" s="17"/>
      <c r="IIS107" s="17"/>
      <c r="IIT107" s="17"/>
      <c r="IIU107" s="17"/>
      <c r="IIV107" s="17"/>
      <c r="IIW107" s="17"/>
      <c r="IIX107" s="17"/>
      <c r="IIY107" s="17"/>
      <c r="IIZ107" s="17"/>
      <c r="IJA107" s="17"/>
      <c r="IJB107" s="17"/>
      <c r="IJC107" s="17"/>
      <c r="IJD107" s="17"/>
      <c r="IJE107" s="17"/>
      <c r="IJF107" s="17"/>
      <c r="IJG107" s="17"/>
      <c r="IJH107" s="17"/>
      <c r="IJI107" s="17"/>
      <c r="IJJ107" s="17"/>
      <c r="IJK107" s="17"/>
      <c r="IJL107" s="17"/>
      <c r="IJM107" s="17"/>
      <c r="IJN107" s="17"/>
      <c r="IJO107" s="17"/>
      <c r="IJP107" s="17"/>
      <c r="IJQ107" s="17"/>
      <c r="IJR107" s="17"/>
      <c r="IJS107" s="17"/>
      <c r="IJT107" s="17"/>
      <c r="IJU107" s="17"/>
      <c r="IJV107" s="17"/>
      <c r="IJW107" s="17"/>
      <c r="IJX107" s="17"/>
      <c r="IJY107" s="17"/>
      <c r="IJZ107" s="17"/>
      <c r="IKA107" s="17"/>
      <c r="IKB107" s="17"/>
      <c r="IKC107" s="17"/>
      <c r="IKD107" s="17"/>
      <c r="IKE107" s="17"/>
      <c r="IKF107" s="17"/>
      <c r="IKG107" s="17"/>
      <c r="IKH107" s="17"/>
      <c r="IKI107" s="17"/>
      <c r="IKJ107" s="17"/>
      <c r="IKK107" s="17"/>
      <c r="IKL107" s="17"/>
      <c r="IKM107" s="17"/>
      <c r="IKN107" s="17"/>
      <c r="IKO107" s="17"/>
      <c r="IKP107" s="17"/>
      <c r="IKQ107" s="17"/>
      <c r="IKR107" s="17"/>
      <c r="IKS107" s="17"/>
      <c r="IKT107" s="17"/>
      <c r="IKU107" s="17"/>
      <c r="IKV107" s="17"/>
      <c r="IKW107" s="17"/>
      <c r="IKX107" s="17"/>
      <c r="IKY107" s="17"/>
      <c r="IKZ107" s="17"/>
      <c r="ILA107" s="17"/>
      <c r="ILB107" s="17"/>
      <c r="ILC107" s="17"/>
      <c r="ILD107" s="17"/>
      <c r="ILE107" s="17"/>
      <c r="ILF107" s="17"/>
      <c r="ILG107" s="17"/>
      <c r="ILH107" s="17"/>
      <c r="ILI107" s="17"/>
      <c r="ILJ107" s="17"/>
      <c r="ILK107" s="17"/>
      <c r="ILL107" s="17"/>
      <c r="ILM107" s="17"/>
      <c r="ILN107" s="17"/>
      <c r="ILO107" s="17"/>
      <c r="ILP107" s="17"/>
      <c r="ILQ107" s="17"/>
      <c r="ILR107" s="17"/>
      <c r="ILS107" s="17"/>
      <c r="ILT107" s="17"/>
      <c r="ILU107" s="17"/>
      <c r="ILV107" s="17"/>
      <c r="ILW107" s="17"/>
      <c r="ILX107" s="17"/>
      <c r="ILY107" s="17"/>
      <c r="ILZ107" s="17"/>
      <c r="IMA107" s="17"/>
      <c r="IMB107" s="17"/>
      <c r="IMC107" s="17"/>
      <c r="IMD107" s="17"/>
      <c r="IME107" s="17"/>
      <c r="IMF107" s="17"/>
      <c r="IMG107" s="17"/>
      <c r="IMH107" s="17"/>
      <c r="IMI107" s="17"/>
      <c r="IMJ107" s="17"/>
      <c r="IMK107" s="17"/>
      <c r="IML107" s="17"/>
      <c r="IMM107" s="17"/>
      <c r="IMN107" s="17"/>
      <c r="IMO107" s="17"/>
      <c r="IMP107" s="17"/>
      <c r="IMQ107" s="17"/>
      <c r="IMR107" s="17"/>
      <c r="IMS107" s="17"/>
      <c r="IMT107" s="17"/>
      <c r="IMU107" s="17"/>
      <c r="IMV107" s="17"/>
      <c r="IMW107" s="17"/>
      <c r="IMX107" s="17"/>
      <c r="IMY107" s="17"/>
      <c r="IMZ107" s="17"/>
      <c r="INA107" s="17"/>
      <c r="INB107" s="17"/>
      <c r="INC107" s="17"/>
      <c r="IND107" s="17"/>
      <c r="INE107" s="17"/>
      <c r="INF107" s="17"/>
      <c r="ING107" s="17"/>
      <c r="INH107" s="17"/>
      <c r="INI107" s="17"/>
      <c r="INJ107" s="17"/>
      <c r="INK107" s="17"/>
      <c r="INL107" s="17"/>
      <c r="INM107" s="17"/>
      <c r="INN107" s="17"/>
      <c r="INO107" s="17"/>
      <c r="INP107" s="17"/>
      <c r="INQ107" s="17"/>
      <c r="INR107" s="17"/>
      <c r="INS107" s="17"/>
      <c r="INT107" s="17"/>
      <c r="INU107" s="17"/>
      <c r="INV107" s="17"/>
      <c r="INW107" s="17"/>
      <c r="INX107" s="17"/>
      <c r="INY107" s="17"/>
      <c r="INZ107" s="17"/>
      <c r="IOA107" s="17"/>
      <c r="IOB107" s="17"/>
      <c r="IOC107" s="17"/>
      <c r="IOD107" s="17"/>
      <c r="IOE107" s="17"/>
      <c r="IOF107" s="17"/>
      <c r="IOG107" s="17"/>
      <c r="IOH107" s="17"/>
      <c r="IOI107" s="17"/>
      <c r="IOJ107" s="17"/>
      <c r="IOK107" s="17"/>
      <c r="IOL107" s="17"/>
      <c r="IOM107" s="17"/>
      <c r="ION107" s="17"/>
      <c r="IOO107" s="17"/>
      <c r="IOP107" s="17"/>
      <c r="IOQ107" s="17"/>
      <c r="IOR107" s="17"/>
      <c r="IOS107" s="17"/>
      <c r="IOT107" s="17"/>
      <c r="IOU107" s="17"/>
      <c r="IOV107" s="17"/>
      <c r="IOW107" s="17"/>
      <c r="IOX107" s="17"/>
      <c r="IOY107" s="17"/>
      <c r="IOZ107" s="17"/>
      <c r="IPA107" s="17"/>
      <c r="IPB107" s="17"/>
      <c r="IPC107" s="17"/>
      <c r="IPD107" s="17"/>
      <c r="IPE107" s="17"/>
      <c r="IPF107" s="17"/>
      <c r="IPG107" s="17"/>
      <c r="IPH107" s="17"/>
      <c r="IPI107" s="17"/>
      <c r="IPJ107" s="17"/>
      <c r="IPK107" s="17"/>
      <c r="IPL107" s="17"/>
      <c r="IPM107" s="17"/>
      <c r="IPN107" s="17"/>
      <c r="IPO107" s="17"/>
      <c r="IPP107" s="17"/>
      <c r="IPQ107" s="17"/>
      <c r="IPR107" s="17"/>
      <c r="IPS107" s="17"/>
      <c r="IPT107" s="17"/>
      <c r="IPU107" s="17"/>
      <c r="IPV107" s="17"/>
      <c r="IPW107" s="17"/>
      <c r="IPX107" s="17"/>
      <c r="IPY107" s="17"/>
      <c r="IPZ107" s="17"/>
      <c r="IQA107" s="17"/>
      <c r="IQB107" s="17"/>
      <c r="IQC107" s="17"/>
      <c r="IQD107" s="17"/>
      <c r="IQE107" s="17"/>
      <c r="IQF107" s="17"/>
      <c r="IQG107" s="17"/>
      <c r="IQH107" s="17"/>
      <c r="IQI107" s="17"/>
      <c r="IQJ107" s="17"/>
      <c r="IQK107" s="17"/>
      <c r="IQL107" s="17"/>
      <c r="IQM107" s="17"/>
      <c r="IQN107" s="17"/>
      <c r="IQO107" s="17"/>
      <c r="IQP107" s="17"/>
      <c r="IQQ107" s="17"/>
      <c r="IQR107" s="17"/>
      <c r="IQS107" s="17"/>
      <c r="IQT107" s="17"/>
      <c r="IQU107" s="17"/>
      <c r="IQV107" s="17"/>
      <c r="IQW107" s="17"/>
      <c r="IQX107" s="17"/>
      <c r="IQY107" s="17"/>
      <c r="IQZ107" s="17"/>
      <c r="IRA107" s="17"/>
      <c r="IRB107" s="17"/>
      <c r="IRC107" s="17"/>
      <c r="IRD107" s="17"/>
      <c r="IRE107" s="17"/>
      <c r="IRF107" s="17"/>
      <c r="IRG107" s="17"/>
      <c r="IRH107" s="17"/>
      <c r="IRI107" s="17"/>
      <c r="IRJ107" s="17"/>
      <c r="IRK107" s="17"/>
      <c r="IRL107" s="17"/>
      <c r="IRM107" s="17"/>
      <c r="IRN107" s="17"/>
      <c r="IRO107" s="17"/>
      <c r="IRP107" s="17"/>
      <c r="IRQ107" s="17"/>
      <c r="IRR107" s="17"/>
      <c r="IRS107" s="17"/>
      <c r="IRT107" s="17"/>
      <c r="IRU107" s="17"/>
      <c r="IRV107" s="17"/>
      <c r="IRW107" s="17"/>
      <c r="IRX107" s="17"/>
      <c r="IRY107" s="17"/>
      <c r="IRZ107" s="17"/>
      <c r="ISA107" s="17"/>
      <c r="ISB107" s="17"/>
      <c r="ISC107" s="17"/>
      <c r="ISD107" s="17"/>
      <c r="ISE107" s="17"/>
      <c r="ISF107" s="17"/>
      <c r="ISG107" s="17"/>
      <c r="ISH107" s="17"/>
      <c r="ISI107" s="17"/>
      <c r="ISJ107" s="17"/>
      <c r="ISK107" s="17"/>
      <c r="ISL107" s="17"/>
      <c r="ISM107" s="17"/>
      <c r="ISN107" s="17"/>
      <c r="ISO107" s="17"/>
      <c r="ISP107" s="17"/>
      <c r="ISQ107" s="17"/>
      <c r="ISR107" s="17"/>
      <c r="ISS107" s="17"/>
      <c r="IST107" s="17"/>
      <c r="ISU107" s="17"/>
      <c r="ISV107" s="17"/>
      <c r="ISW107" s="17"/>
      <c r="ISX107" s="17"/>
      <c r="ISY107" s="17"/>
      <c r="ISZ107" s="17"/>
      <c r="ITA107" s="17"/>
      <c r="ITB107" s="17"/>
      <c r="ITC107" s="17"/>
      <c r="ITD107" s="17"/>
      <c r="ITE107" s="17"/>
      <c r="ITF107" s="17"/>
      <c r="ITG107" s="17"/>
      <c r="ITH107" s="17"/>
      <c r="ITI107" s="17"/>
      <c r="ITJ107" s="17"/>
      <c r="ITK107" s="17"/>
      <c r="ITL107" s="17"/>
      <c r="ITM107" s="17"/>
      <c r="ITN107" s="17"/>
      <c r="ITO107" s="17"/>
      <c r="ITP107" s="17"/>
      <c r="ITQ107" s="17"/>
      <c r="ITR107" s="17"/>
      <c r="ITS107" s="17"/>
      <c r="ITT107" s="17"/>
      <c r="ITU107" s="17"/>
      <c r="ITV107" s="17"/>
      <c r="ITW107" s="17"/>
      <c r="ITX107" s="17"/>
      <c r="ITY107" s="17"/>
      <c r="ITZ107" s="17"/>
      <c r="IUA107" s="17"/>
      <c r="IUB107" s="17"/>
      <c r="IUC107" s="17"/>
      <c r="IUD107" s="17"/>
      <c r="IUE107" s="17"/>
      <c r="IUF107" s="17"/>
      <c r="IUG107" s="17"/>
      <c r="IUH107" s="17"/>
      <c r="IUI107" s="17"/>
      <c r="IUJ107" s="17"/>
      <c r="IUK107" s="17"/>
      <c r="IUL107" s="17"/>
      <c r="IUM107" s="17"/>
      <c r="IUN107" s="17"/>
      <c r="IUO107" s="17"/>
      <c r="IUP107" s="17"/>
      <c r="IUQ107" s="17"/>
      <c r="IUR107" s="17"/>
      <c r="IUS107" s="17"/>
      <c r="IUT107" s="17"/>
      <c r="IUU107" s="17"/>
      <c r="IUV107" s="17"/>
      <c r="IUW107" s="17"/>
      <c r="IUX107" s="17"/>
      <c r="IUY107" s="17"/>
      <c r="IUZ107" s="17"/>
      <c r="IVA107" s="17"/>
      <c r="IVB107" s="17"/>
      <c r="IVC107" s="17"/>
      <c r="IVD107" s="17"/>
      <c r="IVE107" s="17"/>
      <c r="IVF107" s="17"/>
      <c r="IVG107" s="17"/>
      <c r="IVH107" s="17"/>
      <c r="IVI107" s="17"/>
      <c r="IVJ107" s="17"/>
      <c r="IVK107" s="17"/>
      <c r="IVL107" s="17"/>
      <c r="IVM107" s="17"/>
      <c r="IVN107" s="17"/>
      <c r="IVO107" s="17"/>
      <c r="IVP107" s="17"/>
      <c r="IVQ107" s="17"/>
      <c r="IVR107" s="17"/>
      <c r="IVS107" s="17"/>
      <c r="IVT107" s="17"/>
      <c r="IVU107" s="17"/>
      <c r="IVV107" s="17"/>
      <c r="IVW107" s="17"/>
      <c r="IVX107" s="17"/>
      <c r="IVY107" s="17"/>
      <c r="IVZ107" s="17"/>
      <c r="IWA107" s="17"/>
      <c r="IWB107" s="17"/>
      <c r="IWC107" s="17"/>
      <c r="IWD107" s="17"/>
      <c r="IWE107" s="17"/>
      <c r="IWF107" s="17"/>
      <c r="IWG107" s="17"/>
      <c r="IWH107" s="17"/>
      <c r="IWI107" s="17"/>
      <c r="IWJ107" s="17"/>
      <c r="IWK107" s="17"/>
      <c r="IWL107" s="17"/>
      <c r="IWM107" s="17"/>
      <c r="IWN107" s="17"/>
      <c r="IWO107" s="17"/>
      <c r="IWP107" s="17"/>
      <c r="IWQ107" s="17"/>
      <c r="IWR107" s="17"/>
      <c r="IWS107" s="17"/>
      <c r="IWT107" s="17"/>
      <c r="IWU107" s="17"/>
      <c r="IWV107" s="17"/>
      <c r="IWW107" s="17"/>
      <c r="IWX107" s="17"/>
      <c r="IWY107" s="17"/>
      <c r="IWZ107" s="17"/>
      <c r="IXA107" s="17"/>
      <c r="IXB107" s="17"/>
      <c r="IXC107" s="17"/>
      <c r="IXD107" s="17"/>
      <c r="IXE107" s="17"/>
      <c r="IXF107" s="17"/>
      <c r="IXG107" s="17"/>
      <c r="IXH107" s="17"/>
      <c r="IXI107" s="17"/>
      <c r="IXJ107" s="17"/>
      <c r="IXK107" s="17"/>
      <c r="IXL107" s="17"/>
      <c r="IXM107" s="17"/>
      <c r="IXN107" s="17"/>
      <c r="IXO107" s="17"/>
      <c r="IXP107" s="17"/>
      <c r="IXQ107" s="17"/>
      <c r="IXR107" s="17"/>
      <c r="IXS107" s="17"/>
      <c r="IXT107" s="17"/>
      <c r="IXU107" s="17"/>
      <c r="IXV107" s="17"/>
      <c r="IXW107" s="17"/>
      <c r="IXX107" s="17"/>
      <c r="IXY107" s="17"/>
      <c r="IXZ107" s="17"/>
      <c r="IYA107" s="17"/>
      <c r="IYB107" s="17"/>
      <c r="IYC107" s="17"/>
      <c r="IYD107" s="17"/>
      <c r="IYE107" s="17"/>
      <c r="IYF107" s="17"/>
      <c r="IYG107" s="17"/>
      <c r="IYH107" s="17"/>
      <c r="IYI107" s="17"/>
      <c r="IYJ107" s="17"/>
      <c r="IYK107" s="17"/>
      <c r="IYL107" s="17"/>
      <c r="IYM107" s="17"/>
      <c r="IYN107" s="17"/>
      <c r="IYO107" s="17"/>
      <c r="IYP107" s="17"/>
      <c r="IYQ107" s="17"/>
      <c r="IYR107" s="17"/>
      <c r="IYS107" s="17"/>
      <c r="IYT107" s="17"/>
      <c r="IYU107" s="17"/>
      <c r="IYV107" s="17"/>
      <c r="IYW107" s="17"/>
      <c r="IYX107" s="17"/>
      <c r="IYY107" s="17"/>
      <c r="IYZ107" s="17"/>
      <c r="IZA107" s="17"/>
      <c r="IZB107" s="17"/>
      <c r="IZC107" s="17"/>
      <c r="IZD107" s="17"/>
      <c r="IZE107" s="17"/>
      <c r="IZF107" s="17"/>
      <c r="IZG107" s="17"/>
      <c r="IZH107" s="17"/>
      <c r="IZI107" s="17"/>
      <c r="IZJ107" s="17"/>
      <c r="IZK107" s="17"/>
      <c r="IZL107" s="17"/>
      <c r="IZM107" s="17"/>
      <c r="IZN107" s="17"/>
      <c r="IZO107" s="17"/>
      <c r="IZP107" s="17"/>
      <c r="IZQ107" s="17"/>
      <c r="IZR107" s="17"/>
      <c r="IZS107" s="17"/>
      <c r="IZT107" s="17"/>
      <c r="IZU107" s="17"/>
      <c r="IZV107" s="17"/>
      <c r="IZW107" s="17"/>
      <c r="IZX107" s="17"/>
      <c r="IZY107" s="17"/>
      <c r="IZZ107" s="17"/>
      <c r="JAA107" s="17"/>
      <c r="JAB107" s="17"/>
      <c r="JAC107" s="17"/>
      <c r="JAD107" s="17"/>
      <c r="JAE107" s="17"/>
      <c r="JAF107" s="17"/>
      <c r="JAG107" s="17"/>
      <c r="JAH107" s="17"/>
      <c r="JAI107" s="17"/>
      <c r="JAJ107" s="17"/>
      <c r="JAK107" s="17"/>
      <c r="JAL107" s="17"/>
      <c r="JAM107" s="17"/>
      <c r="JAN107" s="17"/>
      <c r="JAO107" s="17"/>
      <c r="JAP107" s="17"/>
      <c r="JAQ107" s="17"/>
      <c r="JAR107" s="17"/>
      <c r="JAS107" s="17"/>
      <c r="JAT107" s="17"/>
      <c r="JAU107" s="17"/>
      <c r="JAV107" s="17"/>
      <c r="JAW107" s="17"/>
      <c r="JAX107" s="17"/>
      <c r="JAY107" s="17"/>
      <c r="JAZ107" s="17"/>
      <c r="JBA107" s="17"/>
      <c r="JBB107" s="17"/>
      <c r="JBC107" s="17"/>
      <c r="JBD107" s="17"/>
      <c r="JBE107" s="17"/>
      <c r="JBF107" s="17"/>
      <c r="JBG107" s="17"/>
      <c r="JBH107" s="17"/>
      <c r="JBI107" s="17"/>
      <c r="JBJ107" s="17"/>
      <c r="JBK107" s="17"/>
      <c r="JBL107" s="17"/>
      <c r="JBM107" s="17"/>
      <c r="JBN107" s="17"/>
      <c r="JBO107" s="17"/>
      <c r="JBP107" s="17"/>
      <c r="JBQ107" s="17"/>
      <c r="JBR107" s="17"/>
      <c r="JBS107" s="17"/>
      <c r="JBT107" s="17"/>
      <c r="JBU107" s="17"/>
      <c r="JBV107" s="17"/>
      <c r="JBW107" s="17"/>
      <c r="JBX107" s="17"/>
      <c r="JBY107" s="17"/>
      <c r="JBZ107" s="17"/>
      <c r="JCA107" s="17"/>
      <c r="JCB107" s="17"/>
      <c r="JCC107" s="17"/>
      <c r="JCD107" s="17"/>
      <c r="JCE107" s="17"/>
      <c r="JCF107" s="17"/>
      <c r="JCG107" s="17"/>
      <c r="JCH107" s="17"/>
      <c r="JCI107" s="17"/>
      <c r="JCJ107" s="17"/>
      <c r="JCK107" s="17"/>
      <c r="JCL107" s="17"/>
      <c r="JCM107" s="17"/>
      <c r="JCN107" s="17"/>
      <c r="JCO107" s="17"/>
      <c r="JCP107" s="17"/>
      <c r="JCQ107" s="17"/>
      <c r="JCR107" s="17"/>
      <c r="JCS107" s="17"/>
      <c r="JCT107" s="17"/>
      <c r="JCU107" s="17"/>
      <c r="JCV107" s="17"/>
      <c r="JCW107" s="17"/>
      <c r="JCX107" s="17"/>
      <c r="JCY107" s="17"/>
      <c r="JCZ107" s="17"/>
      <c r="JDA107" s="17"/>
      <c r="JDB107" s="17"/>
      <c r="JDC107" s="17"/>
      <c r="JDD107" s="17"/>
      <c r="JDE107" s="17"/>
      <c r="JDF107" s="17"/>
      <c r="JDG107" s="17"/>
      <c r="JDH107" s="17"/>
      <c r="JDI107" s="17"/>
      <c r="JDJ107" s="17"/>
      <c r="JDK107" s="17"/>
      <c r="JDL107" s="17"/>
      <c r="JDM107" s="17"/>
      <c r="JDN107" s="17"/>
      <c r="JDO107" s="17"/>
      <c r="JDP107" s="17"/>
      <c r="JDQ107" s="17"/>
      <c r="JDR107" s="17"/>
      <c r="JDS107" s="17"/>
      <c r="JDT107" s="17"/>
      <c r="JDU107" s="17"/>
      <c r="JDV107" s="17"/>
      <c r="JDW107" s="17"/>
      <c r="JDX107" s="17"/>
      <c r="JDY107" s="17"/>
      <c r="JDZ107" s="17"/>
      <c r="JEA107" s="17"/>
      <c r="JEB107" s="17"/>
      <c r="JEC107" s="17"/>
      <c r="JED107" s="17"/>
      <c r="JEE107" s="17"/>
      <c r="JEF107" s="17"/>
      <c r="JEG107" s="17"/>
      <c r="JEH107" s="17"/>
      <c r="JEI107" s="17"/>
      <c r="JEJ107" s="17"/>
      <c r="JEK107" s="17"/>
      <c r="JEL107" s="17"/>
      <c r="JEM107" s="17"/>
      <c r="JEN107" s="17"/>
      <c r="JEO107" s="17"/>
      <c r="JEP107" s="17"/>
      <c r="JEQ107" s="17"/>
      <c r="JER107" s="17"/>
      <c r="JES107" s="17"/>
      <c r="JET107" s="17"/>
      <c r="JEU107" s="17"/>
      <c r="JEV107" s="17"/>
      <c r="JEW107" s="17"/>
      <c r="JEX107" s="17"/>
      <c r="JEY107" s="17"/>
      <c r="JEZ107" s="17"/>
      <c r="JFA107" s="17"/>
      <c r="JFB107" s="17"/>
      <c r="JFC107" s="17"/>
      <c r="JFD107" s="17"/>
      <c r="JFE107" s="17"/>
      <c r="JFF107" s="17"/>
      <c r="JFG107" s="17"/>
      <c r="JFH107" s="17"/>
      <c r="JFI107" s="17"/>
      <c r="JFJ107" s="17"/>
      <c r="JFK107" s="17"/>
      <c r="JFL107" s="17"/>
      <c r="JFM107" s="17"/>
      <c r="JFN107" s="17"/>
      <c r="JFO107" s="17"/>
      <c r="JFP107" s="17"/>
      <c r="JFQ107" s="17"/>
      <c r="JFR107" s="17"/>
      <c r="JFS107" s="17"/>
      <c r="JFT107" s="17"/>
      <c r="JFU107" s="17"/>
      <c r="JFV107" s="17"/>
      <c r="JFW107" s="17"/>
      <c r="JFX107" s="17"/>
      <c r="JFY107" s="17"/>
      <c r="JFZ107" s="17"/>
      <c r="JGA107" s="17"/>
      <c r="JGB107" s="17"/>
      <c r="JGC107" s="17"/>
      <c r="JGD107" s="17"/>
      <c r="JGE107" s="17"/>
      <c r="JGF107" s="17"/>
      <c r="JGG107" s="17"/>
      <c r="JGH107" s="17"/>
      <c r="JGI107" s="17"/>
      <c r="JGJ107" s="17"/>
      <c r="JGK107" s="17"/>
      <c r="JGL107" s="17"/>
      <c r="JGM107" s="17"/>
      <c r="JGN107" s="17"/>
      <c r="JGO107" s="17"/>
      <c r="JGP107" s="17"/>
      <c r="JGQ107" s="17"/>
      <c r="JGR107" s="17"/>
      <c r="JGS107" s="17"/>
      <c r="JGT107" s="17"/>
      <c r="JGU107" s="17"/>
      <c r="JGV107" s="17"/>
      <c r="JGW107" s="17"/>
      <c r="JGX107" s="17"/>
      <c r="JGY107" s="17"/>
      <c r="JGZ107" s="17"/>
      <c r="JHA107" s="17"/>
      <c r="JHB107" s="17"/>
      <c r="JHC107" s="17"/>
      <c r="JHD107" s="17"/>
      <c r="JHE107" s="17"/>
      <c r="JHF107" s="17"/>
      <c r="JHG107" s="17"/>
      <c r="JHH107" s="17"/>
      <c r="JHI107" s="17"/>
      <c r="JHJ107" s="17"/>
      <c r="JHK107" s="17"/>
      <c r="JHL107" s="17"/>
      <c r="JHM107" s="17"/>
      <c r="JHN107" s="17"/>
      <c r="JHO107" s="17"/>
      <c r="JHP107" s="17"/>
      <c r="JHQ107" s="17"/>
      <c r="JHR107" s="17"/>
      <c r="JHS107" s="17"/>
      <c r="JHT107" s="17"/>
      <c r="JHU107" s="17"/>
      <c r="JHV107" s="17"/>
      <c r="JHW107" s="17"/>
      <c r="JHX107" s="17"/>
      <c r="JHY107" s="17"/>
      <c r="JHZ107" s="17"/>
      <c r="JIA107" s="17"/>
      <c r="JIB107" s="17"/>
      <c r="JIC107" s="17"/>
      <c r="JID107" s="17"/>
      <c r="JIE107" s="17"/>
      <c r="JIF107" s="17"/>
      <c r="JIG107" s="17"/>
      <c r="JIH107" s="17"/>
      <c r="JII107" s="17"/>
      <c r="JIJ107" s="17"/>
      <c r="JIK107" s="17"/>
      <c r="JIL107" s="17"/>
      <c r="JIM107" s="17"/>
      <c r="JIN107" s="17"/>
      <c r="JIO107" s="17"/>
      <c r="JIP107" s="17"/>
      <c r="JIQ107" s="17"/>
      <c r="JIR107" s="17"/>
      <c r="JIS107" s="17"/>
      <c r="JIT107" s="17"/>
      <c r="JIU107" s="17"/>
      <c r="JIV107" s="17"/>
      <c r="JIW107" s="17"/>
      <c r="JIX107" s="17"/>
      <c r="JIY107" s="17"/>
      <c r="JIZ107" s="17"/>
      <c r="JJA107" s="17"/>
      <c r="JJB107" s="17"/>
      <c r="JJC107" s="17"/>
      <c r="JJD107" s="17"/>
      <c r="JJE107" s="17"/>
      <c r="JJF107" s="17"/>
      <c r="JJG107" s="17"/>
      <c r="JJH107" s="17"/>
      <c r="JJI107" s="17"/>
      <c r="JJJ107" s="17"/>
      <c r="JJK107" s="17"/>
      <c r="JJL107" s="17"/>
      <c r="JJM107" s="17"/>
      <c r="JJN107" s="17"/>
      <c r="JJO107" s="17"/>
      <c r="JJP107" s="17"/>
      <c r="JJQ107" s="17"/>
      <c r="JJR107" s="17"/>
      <c r="JJS107" s="17"/>
      <c r="JJT107" s="17"/>
      <c r="JJU107" s="17"/>
      <c r="JJV107" s="17"/>
      <c r="JJW107" s="17"/>
      <c r="JJX107" s="17"/>
      <c r="JJY107" s="17"/>
      <c r="JJZ107" s="17"/>
      <c r="JKA107" s="17"/>
      <c r="JKB107" s="17"/>
      <c r="JKC107" s="17"/>
      <c r="JKD107" s="17"/>
      <c r="JKE107" s="17"/>
      <c r="JKF107" s="17"/>
      <c r="JKG107" s="17"/>
      <c r="JKH107" s="17"/>
      <c r="JKI107" s="17"/>
      <c r="JKJ107" s="17"/>
      <c r="JKK107" s="17"/>
      <c r="JKL107" s="17"/>
      <c r="JKM107" s="17"/>
      <c r="JKN107" s="17"/>
      <c r="JKO107" s="17"/>
      <c r="JKP107" s="17"/>
      <c r="JKQ107" s="17"/>
      <c r="JKR107" s="17"/>
      <c r="JKS107" s="17"/>
      <c r="JKT107" s="17"/>
      <c r="JKU107" s="17"/>
      <c r="JKV107" s="17"/>
      <c r="JKW107" s="17"/>
      <c r="JKX107" s="17"/>
      <c r="JKY107" s="17"/>
      <c r="JKZ107" s="17"/>
      <c r="JLA107" s="17"/>
      <c r="JLB107" s="17"/>
      <c r="JLC107" s="17"/>
      <c r="JLD107" s="17"/>
      <c r="JLE107" s="17"/>
      <c r="JLF107" s="17"/>
      <c r="JLG107" s="17"/>
      <c r="JLH107" s="17"/>
      <c r="JLI107" s="17"/>
      <c r="JLJ107" s="17"/>
      <c r="JLK107" s="17"/>
      <c r="JLL107" s="17"/>
      <c r="JLM107" s="17"/>
      <c r="JLN107" s="17"/>
      <c r="JLO107" s="17"/>
      <c r="JLP107" s="17"/>
      <c r="JLQ107" s="17"/>
      <c r="JLR107" s="17"/>
      <c r="JLS107" s="17"/>
      <c r="JLT107" s="17"/>
      <c r="JLU107" s="17"/>
      <c r="JLV107" s="17"/>
      <c r="JLW107" s="17"/>
      <c r="JLX107" s="17"/>
      <c r="JLY107" s="17"/>
      <c r="JLZ107" s="17"/>
      <c r="JMA107" s="17"/>
      <c r="JMB107" s="17"/>
      <c r="JMC107" s="17"/>
      <c r="JMD107" s="17"/>
      <c r="JME107" s="17"/>
      <c r="JMF107" s="17"/>
      <c r="JMG107" s="17"/>
      <c r="JMH107" s="17"/>
      <c r="JMI107" s="17"/>
      <c r="JMJ107" s="17"/>
      <c r="JMK107" s="17"/>
      <c r="JML107" s="17"/>
      <c r="JMM107" s="17"/>
      <c r="JMN107" s="17"/>
      <c r="JMO107" s="17"/>
      <c r="JMP107" s="17"/>
      <c r="JMQ107" s="17"/>
      <c r="JMR107" s="17"/>
      <c r="JMS107" s="17"/>
      <c r="JMT107" s="17"/>
      <c r="JMU107" s="17"/>
      <c r="JMV107" s="17"/>
      <c r="JMW107" s="17"/>
      <c r="JMX107" s="17"/>
      <c r="JMY107" s="17"/>
      <c r="JMZ107" s="17"/>
      <c r="JNA107" s="17"/>
      <c r="JNB107" s="17"/>
      <c r="JNC107" s="17"/>
      <c r="JND107" s="17"/>
      <c r="JNE107" s="17"/>
      <c r="JNF107" s="17"/>
      <c r="JNG107" s="17"/>
      <c r="JNH107" s="17"/>
      <c r="JNI107" s="17"/>
      <c r="JNJ107" s="17"/>
      <c r="JNK107" s="17"/>
      <c r="JNL107" s="17"/>
      <c r="JNM107" s="17"/>
      <c r="JNN107" s="17"/>
      <c r="JNO107" s="17"/>
      <c r="JNP107" s="17"/>
      <c r="JNQ107" s="17"/>
      <c r="JNR107" s="17"/>
      <c r="JNS107" s="17"/>
      <c r="JNT107" s="17"/>
      <c r="JNU107" s="17"/>
      <c r="JNV107" s="17"/>
      <c r="JNW107" s="17"/>
      <c r="JNX107" s="17"/>
      <c r="JNY107" s="17"/>
      <c r="JNZ107" s="17"/>
      <c r="JOA107" s="17"/>
      <c r="JOB107" s="17"/>
      <c r="JOC107" s="17"/>
      <c r="JOD107" s="17"/>
      <c r="JOE107" s="17"/>
      <c r="JOF107" s="17"/>
      <c r="JOG107" s="17"/>
      <c r="JOH107" s="17"/>
      <c r="JOI107" s="17"/>
      <c r="JOJ107" s="17"/>
      <c r="JOK107" s="17"/>
      <c r="JOL107" s="17"/>
      <c r="JOM107" s="17"/>
      <c r="JON107" s="17"/>
      <c r="JOO107" s="17"/>
      <c r="JOP107" s="17"/>
      <c r="JOQ107" s="17"/>
      <c r="JOR107" s="17"/>
      <c r="JOS107" s="17"/>
      <c r="JOT107" s="17"/>
      <c r="JOU107" s="17"/>
      <c r="JOV107" s="17"/>
      <c r="JOW107" s="17"/>
      <c r="JOX107" s="17"/>
      <c r="JOY107" s="17"/>
      <c r="JOZ107" s="17"/>
      <c r="JPA107" s="17"/>
      <c r="JPB107" s="17"/>
      <c r="JPC107" s="17"/>
      <c r="JPD107" s="17"/>
      <c r="JPE107" s="17"/>
      <c r="JPF107" s="17"/>
      <c r="JPG107" s="17"/>
      <c r="JPH107" s="17"/>
      <c r="JPI107" s="17"/>
      <c r="JPJ107" s="17"/>
      <c r="JPK107" s="17"/>
      <c r="JPL107" s="17"/>
      <c r="JPM107" s="17"/>
      <c r="JPN107" s="17"/>
      <c r="JPO107" s="17"/>
      <c r="JPP107" s="17"/>
      <c r="JPQ107" s="17"/>
      <c r="JPR107" s="17"/>
      <c r="JPS107" s="17"/>
      <c r="JPT107" s="17"/>
      <c r="JPU107" s="17"/>
      <c r="JPV107" s="17"/>
      <c r="JPW107" s="17"/>
      <c r="JPX107" s="17"/>
      <c r="JPY107" s="17"/>
      <c r="JPZ107" s="17"/>
      <c r="JQA107" s="17"/>
      <c r="JQB107" s="17"/>
      <c r="JQC107" s="17"/>
      <c r="JQD107" s="17"/>
      <c r="JQE107" s="17"/>
      <c r="JQF107" s="17"/>
      <c r="JQG107" s="17"/>
      <c r="JQH107" s="17"/>
      <c r="JQI107" s="17"/>
      <c r="JQJ107" s="17"/>
      <c r="JQK107" s="17"/>
      <c r="JQL107" s="17"/>
      <c r="JQM107" s="17"/>
      <c r="JQN107" s="17"/>
      <c r="JQO107" s="17"/>
      <c r="JQP107" s="17"/>
      <c r="JQQ107" s="17"/>
      <c r="JQR107" s="17"/>
      <c r="JQS107" s="17"/>
      <c r="JQT107" s="17"/>
      <c r="JQU107" s="17"/>
      <c r="JQV107" s="17"/>
      <c r="JQW107" s="17"/>
      <c r="JQX107" s="17"/>
      <c r="JQY107" s="17"/>
      <c r="JQZ107" s="17"/>
      <c r="JRA107" s="17"/>
      <c r="JRB107" s="17"/>
      <c r="JRC107" s="17"/>
      <c r="JRD107" s="17"/>
      <c r="JRE107" s="17"/>
      <c r="JRF107" s="17"/>
      <c r="JRG107" s="17"/>
      <c r="JRH107" s="17"/>
      <c r="JRI107" s="17"/>
      <c r="JRJ107" s="17"/>
      <c r="JRK107" s="17"/>
      <c r="JRL107" s="17"/>
      <c r="JRM107" s="17"/>
      <c r="JRN107" s="17"/>
      <c r="JRO107" s="17"/>
      <c r="JRP107" s="17"/>
      <c r="JRQ107" s="17"/>
      <c r="JRR107" s="17"/>
      <c r="JRS107" s="17"/>
      <c r="JRT107" s="17"/>
      <c r="JRU107" s="17"/>
      <c r="JRV107" s="17"/>
      <c r="JRW107" s="17"/>
      <c r="JRX107" s="17"/>
      <c r="JRY107" s="17"/>
      <c r="JRZ107" s="17"/>
      <c r="JSA107" s="17"/>
      <c r="JSB107" s="17"/>
      <c r="JSC107" s="17"/>
      <c r="JSD107" s="17"/>
      <c r="JSE107" s="17"/>
      <c r="JSF107" s="17"/>
      <c r="JSG107" s="17"/>
      <c r="JSH107" s="17"/>
      <c r="JSI107" s="17"/>
      <c r="JSJ107" s="17"/>
      <c r="JSK107" s="17"/>
      <c r="JSL107" s="17"/>
      <c r="JSM107" s="17"/>
      <c r="JSN107" s="17"/>
      <c r="JSO107" s="17"/>
      <c r="JSP107" s="17"/>
      <c r="JSQ107" s="17"/>
      <c r="JSR107" s="17"/>
      <c r="JSS107" s="17"/>
      <c r="JST107" s="17"/>
      <c r="JSU107" s="17"/>
      <c r="JSV107" s="17"/>
      <c r="JSW107" s="17"/>
      <c r="JSX107" s="17"/>
      <c r="JSY107" s="17"/>
      <c r="JSZ107" s="17"/>
      <c r="JTA107" s="17"/>
      <c r="JTB107" s="17"/>
      <c r="JTC107" s="17"/>
      <c r="JTD107" s="17"/>
      <c r="JTE107" s="17"/>
      <c r="JTF107" s="17"/>
      <c r="JTG107" s="17"/>
      <c r="JTH107" s="17"/>
      <c r="JTI107" s="17"/>
      <c r="JTJ107" s="17"/>
      <c r="JTK107" s="17"/>
      <c r="JTL107" s="17"/>
      <c r="JTM107" s="17"/>
      <c r="JTN107" s="17"/>
      <c r="JTO107" s="17"/>
      <c r="JTP107" s="17"/>
      <c r="JTQ107" s="17"/>
      <c r="JTR107" s="17"/>
      <c r="JTS107" s="17"/>
      <c r="JTT107" s="17"/>
      <c r="JTU107" s="17"/>
      <c r="JTV107" s="17"/>
      <c r="JTW107" s="17"/>
      <c r="JTX107" s="17"/>
      <c r="JTY107" s="17"/>
      <c r="JTZ107" s="17"/>
      <c r="JUA107" s="17"/>
      <c r="JUB107" s="17"/>
      <c r="JUC107" s="17"/>
      <c r="JUD107" s="17"/>
      <c r="JUE107" s="17"/>
      <c r="JUF107" s="17"/>
      <c r="JUG107" s="17"/>
      <c r="JUH107" s="17"/>
      <c r="JUI107" s="17"/>
      <c r="JUJ107" s="17"/>
      <c r="JUK107" s="17"/>
      <c r="JUL107" s="17"/>
      <c r="JUM107" s="17"/>
      <c r="JUN107" s="17"/>
      <c r="JUO107" s="17"/>
      <c r="JUP107" s="17"/>
      <c r="JUQ107" s="17"/>
      <c r="JUR107" s="17"/>
      <c r="JUS107" s="17"/>
      <c r="JUT107" s="17"/>
      <c r="JUU107" s="17"/>
      <c r="JUV107" s="17"/>
      <c r="JUW107" s="17"/>
      <c r="JUX107" s="17"/>
      <c r="JUY107" s="17"/>
      <c r="JUZ107" s="17"/>
      <c r="JVA107" s="17"/>
      <c r="JVB107" s="17"/>
      <c r="JVC107" s="17"/>
      <c r="JVD107" s="17"/>
      <c r="JVE107" s="17"/>
      <c r="JVF107" s="17"/>
      <c r="JVG107" s="17"/>
      <c r="JVH107" s="17"/>
      <c r="JVI107" s="17"/>
      <c r="JVJ107" s="17"/>
      <c r="JVK107" s="17"/>
      <c r="JVL107" s="17"/>
      <c r="JVM107" s="17"/>
      <c r="JVN107" s="17"/>
      <c r="JVO107" s="17"/>
      <c r="JVP107" s="17"/>
      <c r="JVQ107" s="17"/>
      <c r="JVR107" s="17"/>
      <c r="JVS107" s="17"/>
      <c r="JVT107" s="17"/>
      <c r="JVU107" s="17"/>
      <c r="JVV107" s="17"/>
      <c r="JVW107" s="17"/>
      <c r="JVX107" s="17"/>
      <c r="JVY107" s="17"/>
      <c r="JVZ107" s="17"/>
      <c r="JWA107" s="17"/>
      <c r="JWB107" s="17"/>
      <c r="JWC107" s="17"/>
      <c r="JWD107" s="17"/>
      <c r="JWE107" s="17"/>
      <c r="JWF107" s="17"/>
      <c r="JWG107" s="17"/>
      <c r="JWH107" s="17"/>
      <c r="JWI107" s="17"/>
      <c r="JWJ107" s="17"/>
      <c r="JWK107" s="17"/>
      <c r="JWL107" s="17"/>
      <c r="JWM107" s="17"/>
      <c r="JWN107" s="17"/>
      <c r="JWO107" s="17"/>
      <c r="JWP107" s="17"/>
      <c r="JWQ107" s="17"/>
      <c r="JWR107" s="17"/>
      <c r="JWS107" s="17"/>
      <c r="JWT107" s="17"/>
      <c r="JWU107" s="17"/>
      <c r="JWV107" s="17"/>
      <c r="JWW107" s="17"/>
      <c r="JWX107" s="17"/>
      <c r="JWY107" s="17"/>
      <c r="JWZ107" s="17"/>
      <c r="JXA107" s="17"/>
      <c r="JXB107" s="17"/>
      <c r="JXC107" s="17"/>
      <c r="JXD107" s="17"/>
      <c r="JXE107" s="17"/>
      <c r="JXF107" s="17"/>
      <c r="JXG107" s="17"/>
      <c r="JXH107" s="17"/>
      <c r="JXI107" s="17"/>
      <c r="JXJ107" s="17"/>
      <c r="JXK107" s="17"/>
      <c r="JXL107" s="17"/>
      <c r="JXM107" s="17"/>
      <c r="JXN107" s="17"/>
      <c r="JXO107" s="17"/>
      <c r="JXP107" s="17"/>
      <c r="JXQ107" s="17"/>
      <c r="JXR107" s="17"/>
      <c r="JXS107" s="17"/>
      <c r="JXT107" s="17"/>
      <c r="JXU107" s="17"/>
      <c r="JXV107" s="17"/>
      <c r="JXW107" s="17"/>
      <c r="JXX107" s="17"/>
      <c r="JXY107" s="17"/>
      <c r="JXZ107" s="17"/>
      <c r="JYA107" s="17"/>
      <c r="JYB107" s="17"/>
      <c r="JYC107" s="17"/>
      <c r="JYD107" s="17"/>
      <c r="JYE107" s="17"/>
      <c r="JYF107" s="17"/>
      <c r="JYG107" s="17"/>
      <c r="JYH107" s="17"/>
      <c r="JYI107" s="17"/>
      <c r="JYJ107" s="17"/>
      <c r="JYK107" s="17"/>
      <c r="JYL107" s="17"/>
      <c r="JYM107" s="17"/>
      <c r="JYN107" s="17"/>
      <c r="JYO107" s="17"/>
      <c r="JYP107" s="17"/>
      <c r="JYQ107" s="17"/>
      <c r="JYR107" s="17"/>
      <c r="JYS107" s="17"/>
      <c r="JYT107" s="17"/>
      <c r="JYU107" s="17"/>
      <c r="JYV107" s="17"/>
      <c r="JYW107" s="17"/>
      <c r="JYX107" s="17"/>
      <c r="JYY107" s="17"/>
      <c r="JYZ107" s="17"/>
      <c r="JZA107" s="17"/>
      <c r="JZB107" s="17"/>
      <c r="JZC107" s="17"/>
      <c r="JZD107" s="17"/>
      <c r="JZE107" s="17"/>
      <c r="JZF107" s="17"/>
      <c r="JZG107" s="17"/>
      <c r="JZH107" s="17"/>
      <c r="JZI107" s="17"/>
      <c r="JZJ107" s="17"/>
      <c r="JZK107" s="17"/>
      <c r="JZL107" s="17"/>
      <c r="JZM107" s="17"/>
      <c r="JZN107" s="17"/>
      <c r="JZO107" s="17"/>
      <c r="JZP107" s="17"/>
      <c r="JZQ107" s="17"/>
      <c r="JZR107" s="17"/>
      <c r="JZS107" s="17"/>
      <c r="JZT107" s="17"/>
      <c r="JZU107" s="17"/>
      <c r="JZV107" s="17"/>
      <c r="JZW107" s="17"/>
      <c r="JZX107" s="17"/>
      <c r="JZY107" s="17"/>
      <c r="JZZ107" s="17"/>
      <c r="KAA107" s="17"/>
      <c r="KAB107" s="17"/>
      <c r="KAC107" s="17"/>
      <c r="KAD107" s="17"/>
      <c r="KAE107" s="17"/>
      <c r="KAF107" s="17"/>
      <c r="KAG107" s="17"/>
      <c r="KAH107" s="17"/>
      <c r="KAI107" s="17"/>
      <c r="KAJ107" s="17"/>
      <c r="KAK107" s="17"/>
      <c r="KAL107" s="17"/>
      <c r="KAM107" s="17"/>
      <c r="KAN107" s="17"/>
      <c r="KAO107" s="17"/>
      <c r="KAP107" s="17"/>
      <c r="KAQ107" s="17"/>
      <c r="KAR107" s="17"/>
      <c r="KAS107" s="17"/>
      <c r="KAT107" s="17"/>
      <c r="KAU107" s="17"/>
      <c r="KAV107" s="17"/>
      <c r="KAW107" s="17"/>
      <c r="KAX107" s="17"/>
      <c r="KAY107" s="17"/>
      <c r="KAZ107" s="17"/>
      <c r="KBA107" s="17"/>
      <c r="KBB107" s="17"/>
      <c r="KBC107" s="17"/>
      <c r="KBD107" s="17"/>
      <c r="KBE107" s="17"/>
      <c r="KBF107" s="17"/>
      <c r="KBG107" s="17"/>
      <c r="KBH107" s="17"/>
      <c r="KBI107" s="17"/>
      <c r="KBJ107" s="17"/>
      <c r="KBK107" s="17"/>
      <c r="KBL107" s="17"/>
      <c r="KBM107" s="17"/>
      <c r="KBN107" s="17"/>
      <c r="KBO107" s="17"/>
      <c r="KBP107" s="17"/>
      <c r="KBQ107" s="17"/>
      <c r="KBR107" s="17"/>
      <c r="KBS107" s="17"/>
      <c r="KBT107" s="17"/>
      <c r="KBU107" s="17"/>
      <c r="KBV107" s="17"/>
      <c r="KBW107" s="17"/>
      <c r="KBX107" s="17"/>
      <c r="KBY107" s="17"/>
      <c r="KBZ107" s="17"/>
      <c r="KCA107" s="17"/>
      <c r="KCB107" s="17"/>
      <c r="KCC107" s="17"/>
      <c r="KCD107" s="17"/>
      <c r="KCE107" s="17"/>
      <c r="KCF107" s="17"/>
      <c r="KCG107" s="17"/>
      <c r="KCH107" s="17"/>
      <c r="KCI107" s="17"/>
      <c r="KCJ107" s="17"/>
      <c r="KCK107" s="17"/>
      <c r="KCL107" s="17"/>
      <c r="KCM107" s="17"/>
      <c r="KCN107" s="17"/>
      <c r="KCO107" s="17"/>
      <c r="KCP107" s="17"/>
      <c r="KCQ107" s="17"/>
      <c r="KCR107" s="17"/>
      <c r="KCS107" s="17"/>
      <c r="KCT107" s="17"/>
      <c r="KCU107" s="17"/>
      <c r="KCV107" s="17"/>
      <c r="KCW107" s="17"/>
      <c r="KCX107" s="17"/>
      <c r="KCY107" s="17"/>
      <c r="KCZ107" s="17"/>
      <c r="KDA107" s="17"/>
      <c r="KDB107" s="17"/>
      <c r="KDC107" s="17"/>
      <c r="KDD107" s="17"/>
      <c r="KDE107" s="17"/>
      <c r="KDF107" s="17"/>
      <c r="KDG107" s="17"/>
      <c r="KDH107" s="17"/>
      <c r="KDI107" s="17"/>
      <c r="KDJ107" s="17"/>
      <c r="KDK107" s="17"/>
      <c r="KDL107" s="17"/>
      <c r="KDM107" s="17"/>
      <c r="KDN107" s="17"/>
      <c r="KDO107" s="17"/>
      <c r="KDP107" s="17"/>
      <c r="KDQ107" s="17"/>
      <c r="KDR107" s="17"/>
      <c r="KDS107" s="17"/>
      <c r="KDT107" s="17"/>
      <c r="KDU107" s="17"/>
      <c r="KDV107" s="17"/>
      <c r="KDW107" s="17"/>
      <c r="KDX107" s="17"/>
      <c r="KDY107" s="17"/>
      <c r="KDZ107" s="17"/>
      <c r="KEA107" s="17"/>
      <c r="KEB107" s="17"/>
      <c r="KEC107" s="17"/>
      <c r="KED107" s="17"/>
      <c r="KEE107" s="17"/>
      <c r="KEF107" s="17"/>
      <c r="KEG107" s="17"/>
      <c r="KEH107" s="17"/>
      <c r="KEI107" s="17"/>
      <c r="KEJ107" s="17"/>
      <c r="KEK107" s="17"/>
      <c r="KEL107" s="17"/>
      <c r="KEM107" s="17"/>
      <c r="KEN107" s="17"/>
      <c r="KEO107" s="17"/>
      <c r="KEP107" s="17"/>
      <c r="KEQ107" s="17"/>
      <c r="KER107" s="17"/>
      <c r="KES107" s="17"/>
      <c r="KET107" s="17"/>
      <c r="KEU107" s="17"/>
      <c r="KEV107" s="17"/>
      <c r="KEW107" s="17"/>
      <c r="KEX107" s="17"/>
      <c r="KEY107" s="17"/>
      <c r="KEZ107" s="17"/>
      <c r="KFA107" s="17"/>
      <c r="KFB107" s="17"/>
      <c r="KFC107" s="17"/>
      <c r="KFD107" s="17"/>
      <c r="KFE107" s="17"/>
      <c r="KFF107" s="17"/>
      <c r="KFG107" s="17"/>
      <c r="KFH107" s="17"/>
      <c r="KFI107" s="17"/>
      <c r="KFJ107" s="17"/>
      <c r="KFK107" s="17"/>
      <c r="KFL107" s="17"/>
      <c r="KFM107" s="17"/>
      <c r="KFN107" s="17"/>
      <c r="KFO107" s="17"/>
      <c r="KFP107" s="17"/>
      <c r="KFQ107" s="17"/>
      <c r="KFR107" s="17"/>
      <c r="KFS107" s="17"/>
      <c r="KFT107" s="17"/>
      <c r="KFU107" s="17"/>
      <c r="KFV107" s="17"/>
      <c r="KFW107" s="17"/>
      <c r="KFX107" s="17"/>
      <c r="KFY107" s="17"/>
      <c r="KFZ107" s="17"/>
      <c r="KGA107" s="17"/>
      <c r="KGB107" s="17"/>
      <c r="KGC107" s="17"/>
      <c r="KGD107" s="17"/>
      <c r="KGE107" s="17"/>
      <c r="KGF107" s="17"/>
      <c r="KGG107" s="17"/>
      <c r="KGH107" s="17"/>
      <c r="KGI107" s="17"/>
      <c r="KGJ107" s="17"/>
      <c r="KGK107" s="17"/>
      <c r="KGL107" s="17"/>
      <c r="KGM107" s="17"/>
      <c r="KGN107" s="17"/>
      <c r="KGO107" s="17"/>
      <c r="KGP107" s="17"/>
      <c r="KGQ107" s="17"/>
      <c r="KGR107" s="17"/>
      <c r="KGS107" s="17"/>
      <c r="KGT107" s="17"/>
      <c r="KGU107" s="17"/>
      <c r="KGV107" s="17"/>
      <c r="KGW107" s="17"/>
      <c r="KGX107" s="17"/>
      <c r="KGY107" s="17"/>
      <c r="KGZ107" s="17"/>
      <c r="KHA107" s="17"/>
      <c r="KHB107" s="17"/>
      <c r="KHC107" s="17"/>
      <c r="KHD107" s="17"/>
      <c r="KHE107" s="17"/>
      <c r="KHF107" s="17"/>
      <c r="KHG107" s="17"/>
      <c r="KHH107" s="17"/>
      <c r="KHI107" s="17"/>
      <c r="KHJ107" s="17"/>
      <c r="KHK107" s="17"/>
      <c r="KHL107" s="17"/>
      <c r="KHM107" s="17"/>
      <c r="KHN107" s="17"/>
      <c r="KHO107" s="17"/>
      <c r="KHP107" s="17"/>
      <c r="KHQ107" s="17"/>
      <c r="KHR107" s="17"/>
      <c r="KHS107" s="17"/>
      <c r="KHT107" s="17"/>
      <c r="KHU107" s="17"/>
      <c r="KHV107" s="17"/>
      <c r="KHW107" s="17"/>
      <c r="KHX107" s="17"/>
      <c r="KHY107" s="17"/>
      <c r="KHZ107" s="17"/>
      <c r="KIA107" s="17"/>
      <c r="KIB107" s="17"/>
      <c r="KIC107" s="17"/>
      <c r="KID107" s="17"/>
      <c r="KIE107" s="17"/>
      <c r="KIF107" s="17"/>
      <c r="KIG107" s="17"/>
      <c r="KIH107" s="17"/>
      <c r="KII107" s="17"/>
      <c r="KIJ107" s="17"/>
      <c r="KIK107" s="17"/>
      <c r="KIL107" s="17"/>
      <c r="KIM107" s="17"/>
      <c r="KIN107" s="17"/>
      <c r="KIO107" s="17"/>
      <c r="KIP107" s="17"/>
      <c r="KIQ107" s="17"/>
      <c r="KIR107" s="17"/>
      <c r="KIS107" s="17"/>
      <c r="KIT107" s="17"/>
      <c r="KIU107" s="17"/>
      <c r="KIV107" s="17"/>
      <c r="KIW107" s="17"/>
      <c r="KIX107" s="17"/>
      <c r="KIY107" s="17"/>
      <c r="KIZ107" s="17"/>
      <c r="KJA107" s="17"/>
      <c r="KJB107" s="17"/>
      <c r="KJC107" s="17"/>
      <c r="KJD107" s="17"/>
      <c r="KJE107" s="17"/>
      <c r="KJF107" s="17"/>
      <c r="KJG107" s="17"/>
      <c r="KJH107" s="17"/>
      <c r="KJI107" s="17"/>
      <c r="KJJ107" s="17"/>
      <c r="KJK107" s="17"/>
      <c r="KJL107" s="17"/>
      <c r="KJM107" s="17"/>
      <c r="KJN107" s="17"/>
      <c r="KJO107" s="17"/>
      <c r="KJP107" s="17"/>
      <c r="KJQ107" s="17"/>
      <c r="KJR107" s="17"/>
      <c r="KJS107" s="17"/>
      <c r="KJT107" s="17"/>
      <c r="KJU107" s="17"/>
      <c r="KJV107" s="17"/>
      <c r="KJW107" s="17"/>
      <c r="KJX107" s="17"/>
      <c r="KJY107" s="17"/>
      <c r="KJZ107" s="17"/>
      <c r="KKA107" s="17"/>
      <c r="KKB107" s="17"/>
      <c r="KKC107" s="17"/>
      <c r="KKD107" s="17"/>
      <c r="KKE107" s="17"/>
      <c r="KKF107" s="17"/>
      <c r="KKG107" s="17"/>
      <c r="KKH107" s="17"/>
      <c r="KKI107" s="17"/>
      <c r="KKJ107" s="17"/>
      <c r="KKK107" s="17"/>
      <c r="KKL107" s="17"/>
      <c r="KKM107" s="17"/>
      <c r="KKN107" s="17"/>
      <c r="KKO107" s="17"/>
      <c r="KKP107" s="17"/>
      <c r="KKQ107" s="17"/>
      <c r="KKR107" s="17"/>
      <c r="KKS107" s="17"/>
      <c r="KKT107" s="17"/>
      <c r="KKU107" s="17"/>
      <c r="KKV107" s="17"/>
      <c r="KKW107" s="17"/>
      <c r="KKX107" s="17"/>
      <c r="KKY107" s="17"/>
      <c r="KKZ107" s="17"/>
      <c r="KLA107" s="17"/>
      <c r="KLB107" s="17"/>
      <c r="KLC107" s="17"/>
      <c r="KLD107" s="17"/>
      <c r="KLE107" s="17"/>
      <c r="KLF107" s="17"/>
      <c r="KLG107" s="17"/>
      <c r="KLH107" s="17"/>
      <c r="KLI107" s="17"/>
      <c r="KLJ107" s="17"/>
      <c r="KLK107" s="17"/>
      <c r="KLL107" s="17"/>
      <c r="KLM107" s="17"/>
      <c r="KLN107" s="17"/>
      <c r="KLO107" s="17"/>
      <c r="KLP107" s="17"/>
      <c r="KLQ107" s="17"/>
      <c r="KLR107" s="17"/>
      <c r="KLS107" s="17"/>
      <c r="KLT107" s="17"/>
      <c r="KLU107" s="17"/>
      <c r="KLV107" s="17"/>
      <c r="KLW107" s="17"/>
      <c r="KLX107" s="17"/>
      <c r="KLY107" s="17"/>
      <c r="KLZ107" s="17"/>
      <c r="KMA107" s="17"/>
      <c r="KMB107" s="17"/>
      <c r="KMC107" s="17"/>
      <c r="KMD107" s="17"/>
      <c r="KME107" s="17"/>
      <c r="KMF107" s="17"/>
      <c r="KMG107" s="17"/>
      <c r="KMH107" s="17"/>
      <c r="KMI107" s="17"/>
      <c r="KMJ107" s="17"/>
      <c r="KMK107" s="17"/>
      <c r="KML107" s="17"/>
      <c r="KMM107" s="17"/>
      <c r="KMN107" s="17"/>
      <c r="KMO107" s="17"/>
      <c r="KMP107" s="17"/>
      <c r="KMQ107" s="17"/>
      <c r="KMR107" s="17"/>
      <c r="KMS107" s="17"/>
      <c r="KMT107" s="17"/>
      <c r="KMU107" s="17"/>
      <c r="KMV107" s="17"/>
      <c r="KMW107" s="17"/>
      <c r="KMX107" s="17"/>
      <c r="KMY107" s="17"/>
      <c r="KMZ107" s="17"/>
      <c r="KNA107" s="17"/>
      <c r="KNB107" s="17"/>
      <c r="KNC107" s="17"/>
      <c r="KND107" s="17"/>
      <c r="KNE107" s="17"/>
      <c r="KNF107" s="17"/>
      <c r="KNG107" s="17"/>
      <c r="KNH107" s="17"/>
      <c r="KNI107" s="17"/>
      <c r="KNJ107" s="17"/>
      <c r="KNK107" s="17"/>
      <c r="KNL107" s="17"/>
      <c r="KNM107" s="17"/>
      <c r="KNN107" s="17"/>
      <c r="KNO107" s="17"/>
      <c r="KNP107" s="17"/>
      <c r="KNQ107" s="17"/>
      <c r="KNR107" s="17"/>
      <c r="KNS107" s="17"/>
      <c r="KNT107" s="17"/>
      <c r="KNU107" s="17"/>
      <c r="KNV107" s="17"/>
      <c r="KNW107" s="17"/>
      <c r="KNX107" s="17"/>
      <c r="KNY107" s="17"/>
      <c r="KNZ107" s="17"/>
      <c r="KOA107" s="17"/>
      <c r="KOB107" s="17"/>
      <c r="KOC107" s="17"/>
      <c r="KOD107" s="17"/>
      <c r="KOE107" s="17"/>
      <c r="KOF107" s="17"/>
      <c r="KOG107" s="17"/>
      <c r="KOH107" s="17"/>
      <c r="KOI107" s="17"/>
      <c r="KOJ107" s="17"/>
      <c r="KOK107" s="17"/>
      <c r="KOL107" s="17"/>
      <c r="KOM107" s="17"/>
      <c r="KON107" s="17"/>
      <c r="KOO107" s="17"/>
      <c r="KOP107" s="17"/>
      <c r="KOQ107" s="17"/>
      <c r="KOR107" s="17"/>
      <c r="KOS107" s="17"/>
      <c r="KOT107" s="17"/>
      <c r="KOU107" s="17"/>
      <c r="KOV107" s="17"/>
      <c r="KOW107" s="17"/>
      <c r="KOX107" s="17"/>
      <c r="KOY107" s="17"/>
      <c r="KOZ107" s="17"/>
      <c r="KPA107" s="17"/>
      <c r="KPB107" s="17"/>
      <c r="KPC107" s="17"/>
      <c r="KPD107" s="17"/>
      <c r="KPE107" s="17"/>
      <c r="KPF107" s="17"/>
      <c r="KPG107" s="17"/>
      <c r="KPH107" s="17"/>
      <c r="KPI107" s="17"/>
      <c r="KPJ107" s="17"/>
      <c r="KPK107" s="17"/>
      <c r="KPL107" s="17"/>
      <c r="KPM107" s="17"/>
      <c r="KPN107" s="17"/>
      <c r="KPO107" s="17"/>
      <c r="KPP107" s="17"/>
      <c r="KPQ107" s="17"/>
      <c r="KPR107" s="17"/>
      <c r="KPS107" s="17"/>
      <c r="KPT107" s="17"/>
      <c r="KPU107" s="17"/>
      <c r="KPV107" s="17"/>
      <c r="KPW107" s="17"/>
      <c r="KPX107" s="17"/>
      <c r="KPY107" s="17"/>
      <c r="KPZ107" s="17"/>
      <c r="KQA107" s="17"/>
      <c r="KQB107" s="17"/>
      <c r="KQC107" s="17"/>
      <c r="KQD107" s="17"/>
      <c r="KQE107" s="17"/>
      <c r="KQF107" s="17"/>
      <c r="KQG107" s="17"/>
      <c r="KQH107" s="17"/>
      <c r="KQI107" s="17"/>
      <c r="KQJ107" s="17"/>
      <c r="KQK107" s="17"/>
      <c r="KQL107" s="17"/>
      <c r="KQM107" s="17"/>
      <c r="KQN107" s="17"/>
      <c r="KQO107" s="17"/>
      <c r="KQP107" s="17"/>
      <c r="KQQ107" s="17"/>
      <c r="KQR107" s="17"/>
      <c r="KQS107" s="17"/>
      <c r="KQT107" s="17"/>
      <c r="KQU107" s="17"/>
      <c r="KQV107" s="17"/>
      <c r="KQW107" s="17"/>
      <c r="KQX107" s="17"/>
      <c r="KQY107" s="17"/>
      <c r="KQZ107" s="17"/>
      <c r="KRA107" s="17"/>
      <c r="KRB107" s="17"/>
      <c r="KRC107" s="17"/>
      <c r="KRD107" s="17"/>
      <c r="KRE107" s="17"/>
      <c r="KRF107" s="17"/>
      <c r="KRG107" s="17"/>
      <c r="KRH107" s="17"/>
      <c r="KRI107" s="17"/>
      <c r="KRJ107" s="17"/>
      <c r="KRK107" s="17"/>
      <c r="KRL107" s="17"/>
      <c r="KRM107" s="17"/>
      <c r="KRN107" s="17"/>
      <c r="KRO107" s="17"/>
      <c r="KRP107" s="17"/>
      <c r="KRQ107" s="17"/>
      <c r="KRR107" s="17"/>
      <c r="KRS107" s="17"/>
      <c r="KRT107" s="17"/>
      <c r="KRU107" s="17"/>
      <c r="KRV107" s="17"/>
      <c r="KRW107" s="17"/>
      <c r="KRX107" s="17"/>
      <c r="KRY107" s="17"/>
      <c r="KRZ107" s="17"/>
      <c r="KSA107" s="17"/>
      <c r="KSB107" s="17"/>
      <c r="KSC107" s="17"/>
      <c r="KSD107" s="17"/>
      <c r="KSE107" s="17"/>
      <c r="KSF107" s="17"/>
      <c r="KSG107" s="17"/>
      <c r="KSH107" s="17"/>
      <c r="KSI107" s="17"/>
      <c r="KSJ107" s="17"/>
      <c r="KSK107" s="17"/>
      <c r="KSL107" s="17"/>
      <c r="KSM107" s="17"/>
      <c r="KSN107" s="17"/>
      <c r="KSO107" s="17"/>
      <c r="KSP107" s="17"/>
      <c r="KSQ107" s="17"/>
      <c r="KSR107" s="17"/>
      <c r="KSS107" s="17"/>
      <c r="KST107" s="17"/>
      <c r="KSU107" s="17"/>
      <c r="KSV107" s="17"/>
      <c r="KSW107" s="17"/>
      <c r="KSX107" s="17"/>
      <c r="KSY107" s="17"/>
      <c r="KSZ107" s="17"/>
      <c r="KTA107" s="17"/>
      <c r="KTB107" s="17"/>
      <c r="KTC107" s="17"/>
      <c r="KTD107" s="17"/>
      <c r="KTE107" s="17"/>
      <c r="KTF107" s="17"/>
      <c r="KTG107" s="17"/>
      <c r="KTH107" s="17"/>
      <c r="KTI107" s="17"/>
      <c r="KTJ107" s="17"/>
      <c r="KTK107" s="17"/>
      <c r="KTL107" s="17"/>
      <c r="KTM107" s="17"/>
      <c r="KTN107" s="17"/>
      <c r="KTO107" s="17"/>
      <c r="KTP107" s="17"/>
      <c r="KTQ107" s="17"/>
      <c r="KTR107" s="17"/>
      <c r="KTS107" s="17"/>
      <c r="KTT107" s="17"/>
      <c r="KTU107" s="17"/>
      <c r="KTV107" s="17"/>
      <c r="KTW107" s="17"/>
      <c r="KTX107" s="17"/>
      <c r="KTY107" s="17"/>
      <c r="KTZ107" s="17"/>
      <c r="KUA107" s="17"/>
      <c r="KUB107" s="17"/>
      <c r="KUC107" s="17"/>
      <c r="KUD107" s="17"/>
      <c r="KUE107" s="17"/>
      <c r="KUF107" s="17"/>
      <c r="KUG107" s="17"/>
      <c r="KUH107" s="17"/>
      <c r="KUI107" s="17"/>
      <c r="KUJ107" s="17"/>
      <c r="KUK107" s="17"/>
      <c r="KUL107" s="17"/>
      <c r="KUM107" s="17"/>
      <c r="KUN107" s="17"/>
      <c r="KUO107" s="17"/>
      <c r="KUP107" s="17"/>
      <c r="KUQ107" s="17"/>
      <c r="KUR107" s="17"/>
      <c r="KUS107" s="17"/>
      <c r="KUT107" s="17"/>
      <c r="KUU107" s="17"/>
      <c r="KUV107" s="17"/>
      <c r="KUW107" s="17"/>
      <c r="KUX107" s="17"/>
      <c r="KUY107" s="17"/>
      <c r="KUZ107" s="17"/>
      <c r="KVA107" s="17"/>
      <c r="KVB107" s="17"/>
      <c r="KVC107" s="17"/>
      <c r="KVD107" s="17"/>
      <c r="KVE107" s="17"/>
      <c r="KVF107" s="17"/>
      <c r="KVG107" s="17"/>
      <c r="KVH107" s="17"/>
      <c r="KVI107" s="17"/>
      <c r="KVJ107" s="17"/>
      <c r="KVK107" s="17"/>
      <c r="KVL107" s="17"/>
      <c r="KVM107" s="17"/>
      <c r="KVN107" s="17"/>
      <c r="KVO107" s="17"/>
      <c r="KVP107" s="17"/>
      <c r="KVQ107" s="17"/>
      <c r="KVR107" s="17"/>
      <c r="KVS107" s="17"/>
      <c r="KVT107" s="17"/>
      <c r="KVU107" s="17"/>
      <c r="KVV107" s="17"/>
      <c r="KVW107" s="17"/>
      <c r="KVX107" s="17"/>
      <c r="KVY107" s="17"/>
      <c r="KVZ107" s="17"/>
      <c r="KWA107" s="17"/>
      <c r="KWB107" s="17"/>
      <c r="KWC107" s="17"/>
      <c r="KWD107" s="17"/>
      <c r="KWE107" s="17"/>
      <c r="KWF107" s="17"/>
      <c r="KWG107" s="17"/>
      <c r="KWH107" s="17"/>
      <c r="KWI107" s="17"/>
      <c r="KWJ107" s="17"/>
      <c r="KWK107" s="17"/>
      <c r="KWL107" s="17"/>
      <c r="KWM107" s="17"/>
      <c r="KWN107" s="17"/>
      <c r="KWO107" s="17"/>
      <c r="KWP107" s="17"/>
      <c r="KWQ107" s="17"/>
      <c r="KWR107" s="17"/>
      <c r="KWS107" s="17"/>
      <c r="KWT107" s="17"/>
      <c r="KWU107" s="17"/>
      <c r="KWV107" s="17"/>
      <c r="KWW107" s="17"/>
      <c r="KWX107" s="17"/>
      <c r="KWY107" s="17"/>
      <c r="KWZ107" s="17"/>
      <c r="KXA107" s="17"/>
      <c r="KXB107" s="17"/>
      <c r="KXC107" s="17"/>
      <c r="KXD107" s="17"/>
      <c r="KXE107" s="17"/>
      <c r="KXF107" s="17"/>
      <c r="KXG107" s="17"/>
      <c r="KXH107" s="17"/>
      <c r="KXI107" s="17"/>
      <c r="KXJ107" s="17"/>
      <c r="KXK107" s="17"/>
      <c r="KXL107" s="17"/>
      <c r="KXM107" s="17"/>
      <c r="KXN107" s="17"/>
      <c r="KXO107" s="17"/>
      <c r="KXP107" s="17"/>
      <c r="KXQ107" s="17"/>
      <c r="KXR107" s="17"/>
      <c r="KXS107" s="17"/>
      <c r="KXT107" s="17"/>
      <c r="KXU107" s="17"/>
      <c r="KXV107" s="17"/>
      <c r="KXW107" s="17"/>
      <c r="KXX107" s="17"/>
      <c r="KXY107" s="17"/>
      <c r="KXZ107" s="17"/>
      <c r="KYA107" s="17"/>
      <c r="KYB107" s="17"/>
      <c r="KYC107" s="17"/>
      <c r="KYD107" s="17"/>
      <c r="KYE107" s="17"/>
      <c r="KYF107" s="17"/>
      <c r="KYG107" s="17"/>
      <c r="KYH107" s="17"/>
      <c r="KYI107" s="17"/>
      <c r="KYJ107" s="17"/>
      <c r="KYK107" s="17"/>
      <c r="KYL107" s="17"/>
      <c r="KYM107" s="17"/>
      <c r="KYN107" s="17"/>
      <c r="KYO107" s="17"/>
      <c r="KYP107" s="17"/>
      <c r="KYQ107" s="17"/>
      <c r="KYR107" s="17"/>
      <c r="KYS107" s="17"/>
      <c r="KYT107" s="17"/>
      <c r="KYU107" s="17"/>
      <c r="KYV107" s="17"/>
      <c r="KYW107" s="17"/>
      <c r="KYX107" s="17"/>
      <c r="KYY107" s="17"/>
      <c r="KYZ107" s="17"/>
      <c r="KZA107" s="17"/>
      <c r="KZB107" s="17"/>
      <c r="KZC107" s="17"/>
      <c r="KZD107" s="17"/>
      <c r="KZE107" s="17"/>
      <c r="KZF107" s="17"/>
      <c r="KZG107" s="17"/>
      <c r="KZH107" s="17"/>
      <c r="KZI107" s="17"/>
      <c r="KZJ107" s="17"/>
      <c r="KZK107" s="17"/>
      <c r="KZL107" s="17"/>
      <c r="KZM107" s="17"/>
      <c r="KZN107" s="17"/>
      <c r="KZO107" s="17"/>
      <c r="KZP107" s="17"/>
      <c r="KZQ107" s="17"/>
      <c r="KZR107" s="17"/>
      <c r="KZS107" s="17"/>
      <c r="KZT107" s="17"/>
      <c r="KZU107" s="17"/>
      <c r="KZV107" s="17"/>
      <c r="KZW107" s="17"/>
      <c r="KZX107" s="17"/>
      <c r="KZY107" s="17"/>
      <c r="KZZ107" s="17"/>
      <c r="LAA107" s="17"/>
      <c r="LAB107" s="17"/>
      <c r="LAC107" s="17"/>
      <c r="LAD107" s="17"/>
      <c r="LAE107" s="17"/>
      <c r="LAF107" s="17"/>
      <c r="LAG107" s="17"/>
      <c r="LAH107" s="17"/>
      <c r="LAI107" s="17"/>
      <c r="LAJ107" s="17"/>
      <c r="LAK107" s="17"/>
      <c r="LAL107" s="17"/>
      <c r="LAM107" s="17"/>
      <c r="LAN107" s="17"/>
      <c r="LAO107" s="17"/>
      <c r="LAP107" s="17"/>
      <c r="LAQ107" s="17"/>
      <c r="LAR107" s="17"/>
      <c r="LAS107" s="17"/>
      <c r="LAT107" s="17"/>
      <c r="LAU107" s="17"/>
      <c r="LAV107" s="17"/>
      <c r="LAW107" s="17"/>
      <c r="LAX107" s="17"/>
      <c r="LAY107" s="17"/>
      <c r="LAZ107" s="17"/>
      <c r="LBA107" s="17"/>
      <c r="LBB107" s="17"/>
      <c r="LBC107" s="17"/>
      <c r="LBD107" s="17"/>
      <c r="LBE107" s="17"/>
      <c r="LBF107" s="17"/>
      <c r="LBG107" s="17"/>
      <c r="LBH107" s="17"/>
      <c r="LBI107" s="17"/>
      <c r="LBJ107" s="17"/>
      <c r="LBK107" s="17"/>
      <c r="LBL107" s="17"/>
      <c r="LBM107" s="17"/>
      <c r="LBN107" s="17"/>
      <c r="LBO107" s="17"/>
      <c r="LBP107" s="17"/>
      <c r="LBQ107" s="17"/>
      <c r="LBR107" s="17"/>
      <c r="LBS107" s="17"/>
      <c r="LBT107" s="17"/>
      <c r="LBU107" s="17"/>
      <c r="LBV107" s="17"/>
      <c r="LBW107" s="17"/>
      <c r="LBX107" s="17"/>
      <c r="LBY107" s="17"/>
      <c r="LBZ107" s="17"/>
      <c r="LCA107" s="17"/>
      <c r="LCB107" s="17"/>
      <c r="LCC107" s="17"/>
      <c r="LCD107" s="17"/>
      <c r="LCE107" s="17"/>
      <c r="LCF107" s="17"/>
      <c r="LCG107" s="17"/>
      <c r="LCH107" s="17"/>
      <c r="LCI107" s="17"/>
      <c r="LCJ107" s="17"/>
      <c r="LCK107" s="17"/>
      <c r="LCL107" s="17"/>
      <c r="LCM107" s="17"/>
      <c r="LCN107" s="17"/>
      <c r="LCO107" s="17"/>
      <c r="LCP107" s="17"/>
      <c r="LCQ107" s="17"/>
      <c r="LCR107" s="17"/>
      <c r="LCS107" s="17"/>
      <c r="LCT107" s="17"/>
      <c r="LCU107" s="17"/>
      <c r="LCV107" s="17"/>
      <c r="LCW107" s="17"/>
      <c r="LCX107" s="17"/>
      <c r="LCY107" s="17"/>
      <c r="LCZ107" s="17"/>
      <c r="LDA107" s="17"/>
      <c r="LDB107" s="17"/>
      <c r="LDC107" s="17"/>
      <c r="LDD107" s="17"/>
      <c r="LDE107" s="17"/>
      <c r="LDF107" s="17"/>
      <c r="LDG107" s="17"/>
      <c r="LDH107" s="17"/>
      <c r="LDI107" s="17"/>
      <c r="LDJ107" s="17"/>
      <c r="LDK107" s="17"/>
      <c r="LDL107" s="17"/>
      <c r="LDM107" s="17"/>
      <c r="LDN107" s="17"/>
      <c r="LDO107" s="17"/>
      <c r="LDP107" s="17"/>
      <c r="LDQ107" s="17"/>
      <c r="LDR107" s="17"/>
      <c r="LDS107" s="17"/>
      <c r="LDT107" s="17"/>
      <c r="LDU107" s="17"/>
      <c r="LDV107" s="17"/>
      <c r="LDW107" s="17"/>
      <c r="LDX107" s="17"/>
      <c r="LDY107" s="17"/>
      <c r="LDZ107" s="17"/>
      <c r="LEA107" s="17"/>
      <c r="LEB107" s="17"/>
      <c r="LEC107" s="17"/>
      <c r="LED107" s="17"/>
      <c r="LEE107" s="17"/>
      <c r="LEF107" s="17"/>
      <c r="LEG107" s="17"/>
      <c r="LEH107" s="17"/>
      <c r="LEI107" s="17"/>
      <c r="LEJ107" s="17"/>
      <c r="LEK107" s="17"/>
      <c r="LEL107" s="17"/>
      <c r="LEM107" s="17"/>
      <c r="LEN107" s="17"/>
      <c r="LEO107" s="17"/>
      <c r="LEP107" s="17"/>
      <c r="LEQ107" s="17"/>
      <c r="LER107" s="17"/>
      <c r="LES107" s="17"/>
      <c r="LET107" s="17"/>
      <c r="LEU107" s="17"/>
      <c r="LEV107" s="17"/>
      <c r="LEW107" s="17"/>
      <c r="LEX107" s="17"/>
      <c r="LEY107" s="17"/>
      <c r="LEZ107" s="17"/>
      <c r="LFA107" s="17"/>
      <c r="LFB107" s="17"/>
      <c r="LFC107" s="17"/>
      <c r="LFD107" s="17"/>
      <c r="LFE107" s="17"/>
      <c r="LFF107" s="17"/>
      <c r="LFG107" s="17"/>
      <c r="LFH107" s="17"/>
      <c r="LFI107" s="17"/>
      <c r="LFJ107" s="17"/>
      <c r="LFK107" s="17"/>
      <c r="LFL107" s="17"/>
      <c r="LFM107" s="17"/>
      <c r="LFN107" s="17"/>
      <c r="LFO107" s="17"/>
      <c r="LFP107" s="17"/>
      <c r="LFQ107" s="17"/>
      <c r="LFR107" s="17"/>
      <c r="LFS107" s="17"/>
      <c r="LFT107" s="17"/>
      <c r="LFU107" s="17"/>
      <c r="LFV107" s="17"/>
      <c r="LFW107" s="17"/>
      <c r="LFX107" s="17"/>
      <c r="LFY107" s="17"/>
      <c r="LFZ107" s="17"/>
      <c r="LGA107" s="17"/>
      <c r="LGB107" s="17"/>
      <c r="LGC107" s="17"/>
      <c r="LGD107" s="17"/>
      <c r="LGE107" s="17"/>
      <c r="LGF107" s="17"/>
      <c r="LGG107" s="17"/>
      <c r="LGH107" s="17"/>
      <c r="LGI107" s="17"/>
      <c r="LGJ107" s="17"/>
      <c r="LGK107" s="17"/>
      <c r="LGL107" s="17"/>
      <c r="LGM107" s="17"/>
      <c r="LGN107" s="17"/>
      <c r="LGO107" s="17"/>
      <c r="LGP107" s="17"/>
      <c r="LGQ107" s="17"/>
      <c r="LGR107" s="17"/>
      <c r="LGS107" s="17"/>
      <c r="LGT107" s="17"/>
      <c r="LGU107" s="17"/>
      <c r="LGV107" s="17"/>
      <c r="LGW107" s="17"/>
      <c r="LGX107" s="17"/>
      <c r="LGY107" s="17"/>
      <c r="LGZ107" s="17"/>
      <c r="LHA107" s="17"/>
      <c r="LHB107" s="17"/>
      <c r="LHC107" s="17"/>
      <c r="LHD107" s="17"/>
      <c r="LHE107" s="17"/>
      <c r="LHF107" s="17"/>
      <c r="LHG107" s="17"/>
      <c r="LHH107" s="17"/>
      <c r="LHI107" s="17"/>
      <c r="LHJ107" s="17"/>
      <c r="LHK107" s="17"/>
      <c r="LHL107" s="17"/>
      <c r="LHM107" s="17"/>
      <c r="LHN107" s="17"/>
      <c r="LHO107" s="17"/>
      <c r="LHP107" s="17"/>
      <c r="LHQ107" s="17"/>
      <c r="LHR107" s="17"/>
      <c r="LHS107" s="17"/>
      <c r="LHT107" s="17"/>
      <c r="LHU107" s="17"/>
      <c r="LHV107" s="17"/>
      <c r="LHW107" s="17"/>
      <c r="LHX107" s="17"/>
      <c r="LHY107" s="17"/>
      <c r="LHZ107" s="17"/>
      <c r="LIA107" s="17"/>
      <c r="LIB107" s="17"/>
      <c r="LIC107" s="17"/>
      <c r="LID107" s="17"/>
      <c r="LIE107" s="17"/>
      <c r="LIF107" s="17"/>
      <c r="LIG107" s="17"/>
      <c r="LIH107" s="17"/>
      <c r="LII107" s="17"/>
      <c r="LIJ107" s="17"/>
      <c r="LIK107" s="17"/>
      <c r="LIL107" s="17"/>
      <c r="LIM107" s="17"/>
      <c r="LIN107" s="17"/>
      <c r="LIO107" s="17"/>
      <c r="LIP107" s="17"/>
      <c r="LIQ107" s="17"/>
      <c r="LIR107" s="17"/>
      <c r="LIS107" s="17"/>
      <c r="LIT107" s="17"/>
      <c r="LIU107" s="17"/>
      <c r="LIV107" s="17"/>
      <c r="LIW107" s="17"/>
      <c r="LIX107" s="17"/>
      <c r="LIY107" s="17"/>
      <c r="LIZ107" s="17"/>
      <c r="LJA107" s="17"/>
      <c r="LJB107" s="17"/>
      <c r="LJC107" s="17"/>
      <c r="LJD107" s="17"/>
      <c r="LJE107" s="17"/>
      <c r="LJF107" s="17"/>
      <c r="LJG107" s="17"/>
      <c r="LJH107" s="17"/>
      <c r="LJI107" s="17"/>
      <c r="LJJ107" s="17"/>
      <c r="LJK107" s="17"/>
      <c r="LJL107" s="17"/>
      <c r="LJM107" s="17"/>
      <c r="LJN107" s="17"/>
      <c r="LJO107" s="17"/>
      <c r="LJP107" s="17"/>
      <c r="LJQ107" s="17"/>
      <c r="LJR107" s="17"/>
      <c r="LJS107" s="17"/>
      <c r="LJT107" s="17"/>
      <c r="LJU107" s="17"/>
      <c r="LJV107" s="17"/>
      <c r="LJW107" s="17"/>
      <c r="LJX107" s="17"/>
      <c r="LJY107" s="17"/>
      <c r="LJZ107" s="17"/>
      <c r="LKA107" s="17"/>
      <c r="LKB107" s="17"/>
      <c r="LKC107" s="17"/>
      <c r="LKD107" s="17"/>
      <c r="LKE107" s="17"/>
      <c r="LKF107" s="17"/>
      <c r="LKG107" s="17"/>
      <c r="LKH107" s="17"/>
      <c r="LKI107" s="17"/>
      <c r="LKJ107" s="17"/>
      <c r="LKK107" s="17"/>
      <c r="LKL107" s="17"/>
      <c r="LKM107" s="17"/>
      <c r="LKN107" s="17"/>
      <c r="LKO107" s="17"/>
      <c r="LKP107" s="17"/>
      <c r="LKQ107" s="17"/>
      <c r="LKR107" s="17"/>
      <c r="LKS107" s="17"/>
      <c r="LKT107" s="17"/>
      <c r="LKU107" s="17"/>
      <c r="LKV107" s="17"/>
      <c r="LKW107" s="17"/>
      <c r="LKX107" s="17"/>
      <c r="LKY107" s="17"/>
      <c r="LKZ107" s="17"/>
      <c r="LLA107" s="17"/>
      <c r="LLB107" s="17"/>
      <c r="LLC107" s="17"/>
      <c r="LLD107" s="17"/>
      <c r="LLE107" s="17"/>
      <c r="LLF107" s="17"/>
      <c r="LLG107" s="17"/>
      <c r="LLH107" s="17"/>
      <c r="LLI107" s="17"/>
      <c r="LLJ107" s="17"/>
      <c r="LLK107" s="17"/>
      <c r="LLL107" s="17"/>
      <c r="LLM107" s="17"/>
      <c r="LLN107" s="17"/>
      <c r="LLO107" s="17"/>
      <c r="LLP107" s="17"/>
      <c r="LLQ107" s="17"/>
      <c r="LLR107" s="17"/>
      <c r="LLS107" s="17"/>
      <c r="LLT107" s="17"/>
      <c r="LLU107" s="17"/>
      <c r="LLV107" s="17"/>
      <c r="LLW107" s="17"/>
      <c r="LLX107" s="17"/>
      <c r="LLY107" s="17"/>
      <c r="LLZ107" s="17"/>
      <c r="LMA107" s="17"/>
      <c r="LMB107" s="17"/>
      <c r="LMC107" s="17"/>
      <c r="LMD107" s="17"/>
      <c r="LME107" s="17"/>
      <c r="LMF107" s="17"/>
      <c r="LMG107" s="17"/>
      <c r="LMH107" s="17"/>
      <c r="LMI107" s="17"/>
      <c r="LMJ107" s="17"/>
      <c r="LMK107" s="17"/>
      <c r="LML107" s="17"/>
      <c r="LMM107" s="17"/>
      <c r="LMN107" s="17"/>
      <c r="LMO107" s="17"/>
      <c r="LMP107" s="17"/>
      <c r="LMQ107" s="17"/>
      <c r="LMR107" s="17"/>
      <c r="LMS107" s="17"/>
      <c r="LMT107" s="17"/>
      <c r="LMU107" s="17"/>
      <c r="LMV107" s="17"/>
      <c r="LMW107" s="17"/>
      <c r="LMX107" s="17"/>
      <c r="LMY107" s="17"/>
      <c r="LMZ107" s="17"/>
      <c r="LNA107" s="17"/>
      <c r="LNB107" s="17"/>
      <c r="LNC107" s="17"/>
      <c r="LND107" s="17"/>
      <c r="LNE107" s="17"/>
      <c r="LNF107" s="17"/>
      <c r="LNG107" s="17"/>
      <c r="LNH107" s="17"/>
      <c r="LNI107" s="17"/>
      <c r="LNJ107" s="17"/>
      <c r="LNK107" s="17"/>
      <c r="LNL107" s="17"/>
      <c r="LNM107" s="17"/>
      <c r="LNN107" s="17"/>
      <c r="LNO107" s="17"/>
      <c r="LNP107" s="17"/>
      <c r="LNQ107" s="17"/>
      <c r="LNR107" s="17"/>
      <c r="LNS107" s="17"/>
      <c r="LNT107" s="17"/>
      <c r="LNU107" s="17"/>
      <c r="LNV107" s="17"/>
      <c r="LNW107" s="17"/>
      <c r="LNX107" s="17"/>
      <c r="LNY107" s="17"/>
      <c r="LNZ107" s="17"/>
      <c r="LOA107" s="17"/>
      <c r="LOB107" s="17"/>
      <c r="LOC107" s="17"/>
      <c r="LOD107" s="17"/>
      <c r="LOE107" s="17"/>
      <c r="LOF107" s="17"/>
      <c r="LOG107" s="17"/>
      <c r="LOH107" s="17"/>
      <c r="LOI107" s="17"/>
      <c r="LOJ107" s="17"/>
      <c r="LOK107" s="17"/>
      <c r="LOL107" s="17"/>
      <c r="LOM107" s="17"/>
      <c r="LON107" s="17"/>
      <c r="LOO107" s="17"/>
      <c r="LOP107" s="17"/>
      <c r="LOQ107" s="17"/>
      <c r="LOR107" s="17"/>
      <c r="LOS107" s="17"/>
      <c r="LOT107" s="17"/>
      <c r="LOU107" s="17"/>
      <c r="LOV107" s="17"/>
      <c r="LOW107" s="17"/>
      <c r="LOX107" s="17"/>
      <c r="LOY107" s="17"/>
      <c r="LOZ107" s="17"/>
      <c r="LPA107" s="17"/>
      <c r="LPB107" s="17"/>
      <c r="LPC107" s="17"/>
      <c r="LPD107" s="17"/>
      <c r="LPE107" s="17"/>
      <c r="LPF107" s="17"/>
      <c r="LPG107" s="17"/>
      <c r="LPH107" s="17"/>
      <c r="LPI107" s="17"/>
      <c r="LPJ107" s="17"/>
      <c r="LPK107" s="17"/>
      <c r="LPL107" s="17"/>
      <c r="LPM107" s="17"/>
      <c r="LPN107" s="17"/>
      <c r="LPO107" s="17"/>
      <c r="LPP107" s="17"/>
      <c r="LPQ107" s="17"/>
      <c r="LPR107" s="17"/>
      <c r="LPS107" s="17"/>
      <c r="LPT107" s="17"/>
      <c r="LPU107" s="17"/>
      <c r="LPV107" s="17"/>
      <c r="LPW107" s="17"/>
      <c r="LPX107" s="17"/>
      <c r="LPY107" s="17"/>
      <c r="LPZ107" s="17"/>
      <c r="LQA107" s="17"/>
      <c r="LQB107" s="17"/>
      <c r="LQC107" s="17"/>
      <c r="LQD107" s="17"/>
      <c r="LQE107" s="17"/>
      <c r="LQF107" s="17"/>
      <c r="LQG107" s="17"/>
      <c r="LQH107" s="17"/>
      <c r="LQI107" s="17"/>
      <c r="LQJ107" s="17"/>
      <c r="LQK107" s="17"/>
      <c r="LQL107" s="17"/>
      <c r="LQM107" s="17"/>
      <c r="LQN107" s="17"/>
      <c r="LQO107" s="17"/>
      <c r="LQP107" s="17"/>
      <c r="LQQ107" s="17"/>
      <c r="LQR107" s="17"/>
      <c r="LQS107" s="17"/>
      <c r="LQT107" s="17"/>
      <c r="LQU107" s="17"/>
      <c r="LQV107" s="17"/>
      <c r="LQW107" s="17"/>
      <c r="LQX107" s="17"/>
      <c r="LQY107" s="17"/>
      <c r="LQZ107" s="17"/>
      <c r="LRA107" s="17"/>
      <c r="LRB107" s="17"/>
      <c r="LRC107" s="17"/>
      <c r="LRD107" s="17"/>
      <c r="LRE107" s="17"/>
      <c r="LRF107" s="17"/>
      <c r="LRG107" s="17"/>
      <c r="LRH107" s="17"/>
      <c r="LRI107" s="17"/>
      <c r="LRJ107" s="17"/>
      <c r="LRK107" s="17"/>
      <c r="LRL107" s="17"/>
      <c r="LRM107" s="17"/>
      <c r="LRN107" s="17"/>
      <c r="LRO107" s="17"/>
      <c r="LRP107" s="17"/>
      <c r="LRQ107" s="17"/>
      <c r="LRR107" s="17"/>
      <c r="LRS107" s="17"/>
      <c r="LRT107" s="17"/>
      <c r="LRU107" s="17"/>
      <c r="LRV107" s="17"/>
      <c r="LRW107" s="17"/>
      <c r="LRX107" s="17"/>
      <c r="LRY107" s="17"/>
      <c r="LRZ107" s="17"/>
      <c r="LSA107" s="17"/>
      <c r="LSB107" s="17"/>
      <c r="LSC107" s="17"/>
      <c r="LSD107" s="17"/>
      <c r="LSE107" s="17"/>
      <c r="LSF107" s="17"/>
      <c r="LSG107" s="17"/>
      <c r="LSH107" s="17"/>
      <c r="LSI107" s="17"/>
      <c r="LSJ107" s="17"/>
      <c r="LSK107" s="17"/>
      <c r="LSL107" s="17"/>
      <c r="LSM107" s="17"/>
      <c r="LSN107" s="17"/>
      <c r="LSO107" s="17"/>
      <c r="LSP107" s="17"/>
      <c r="LSQ107" s="17"/>
      <c r="LSR107" s="17"/>
      <c r="LSS107" s="17"/>
      <c r="LST107" s="17"/>
      <c r="LSU107" s="17"/>
      <c r="LSV107" s="17"/>
      <c r="LSW107" s="17"/>
      <c r="LSX107" s="17"/>
      <c r="LSY107" s="17"/>
      <c r="LSZ107" s="17"/>
      <c r="LTA107" s="17"/>
      <c r="LTB107" s="17"/>
      <c r="LTC107" s="17"/>
      <c r="LTD107" s="17"/>
      <c r="LTE107" s="17"/>
      <c r="LTF107" s="17"/>
      <c r="LTG107" s="17"/>
      <c r="LTH107" s="17"/>
      <c r="LTI107" s="17"/>
      <c r="LTJ107" s="17"/>
      <c r="LTK107" s="17"/>
      <c r="LTL107" s="17"/>
      <c r="LTM107" s="17"/>
      <c r="LTN107" s="17"/>
      <c r="LTO107" s="17"/>
      <c r="LTP107" s="17"/>
      <c r="LTQ107" s="17"/>
      <c r="LTR107" s="17"/>
      <c r="LTS107" s="17"/>
      <c r="LTT107" s="17"/>
      <c r="LTU107" s="17"/>
      <c r="LTV107" s="17"/>
      <c r="LTW107" s="17"/>
      <c r="LTX107" s="17"/>
      <c r="LTY107" s="17"/>
      <c r="LTZ107" s="17"/>
      <c r="LUA107" s="17"/>
      <c r="LUB107" s="17"/>
      <c r="LUC107" s="17"/>
      <c r="LUD107" s="17"/>
      <c r="LUE107" s="17"/>
      <c r="LUF107" s="17"/>
      <c r="LUG107" s="17"/>
      <c r="LUH107" s="17"/>
      <c r="LUI107" s="17"/>
      <c r="LUJ107" s="17"/>
      <c r="LUK107" s="17"/>
      <c r="LUL107" s="17"/>
      <c r="LUM107" s="17"/>
      <c r="LUN107" s="17"/>
      <c r="LUO107" s="17"/>
      <c r="LUP107" s="17"/>
      <c r="LUQ107" s="17"/>
      <c r="LUR107" s="17"/>
      <c r="LUS107" s="17"/>
      <c r="LUT107" s="17"/>
      <c r="LUU107" s="17"/>
      <c r="LUV107" s="17"/>
      <c r="LUW107" s="17"/>
      <c r="LUX107" s="17"/>
      <c r="LUY107" s="17"/>
      <c r="LUZ107" s="17"/>
      <c r="LVA107" s="17"/>
      <c r="LVB107" s="17"/>
      <c r="LVC107" s="17"/>
      <c r="LVD107" s="17"/>
      <c r="LVE107" s="17"/>
      <c r="LVF107" s="17"/>
      <c r="LVG107" s="17"/>
      <c r="LVH107" s="17"/>
      <c r="LVI107" s="17"/>
      <c r="LVJ107" s="17"/>
      <c r="LVK107" s="17"/>
      <c r="LVL107" s="17"/>
      <c r="LVM107" s="17"/>
      <c r="LVN107" s="17"/>
      <c r="LVO107" s="17"/>
      <c r="LVP107" s="17"/>
      <c r="LVQ107" s="17"/>
      <c r="LVR107" s="17"/>
      <c r="LVS107" s="17"/>
      <c r="LVT107" s="17"/>
      <c r="LVU107" s="17"/>
      <c r="LVV107" s="17"/>
      <c r="LVW107" s="17"/>
      <c r="LVX107" s="17"/>
      <c r="LVY107" s="17"/>
      <c r="LVZ107" s="17"/>
      <c r="LWA107" s="17"/>
      <c r="LWB107" s="17"/>
      <c r="LWC107" s="17"/>
      <c r="LWD107" s="17"/>
      <c r="LWE107" s="17"/>
      <c r="LWF107" s="17"/>
      <c r="LWG107" s="17"/>
      <c r="LWH107" s="17"/>
      <c r="LWI107" s="17"/>
      <c r="LWJ107" s="17"/>
      <c r="LWK107" s="17"/>
      <c r="LWL107" s="17"/>
      <c r="LWM107" s="17"/>
      <c r="LWN107" s="17"/>
      <c r="LWO107" s="17"/>
      <c r="LWP107" s="17"/>
      <c r="LWQ107" s="17"/>
      <c r="LWR107" s="17"/>
      <c r="LWS107" s="17"/>
      <c r="LWT107" s="17"/>
      <c r="LWU107" s="17"/>
      <c r="LWV107" s="17"/>
      <c r="LWW107" s="17"/>
      <c r="LWX107" s="17"/>
      <c r="LWY107" s="17"/>
      <c r="LWZ107" s="17"/>
      <c r="LXA107" s="17"/>
      <c r="LXB107" s="17"/>
      <c r="LXC107" s="17"/>
      <c r="LXD107" s="17"/>
      <c r="LXE107" s="17"/>
      <c r="LXF107" s="17"/>
      <c r="LXG107" s="17"/>
      <c r="LXH107" s="17"/>
      <c r="LXI107" s="17"/>
      <c r="LXJ107" s="17"/>
      <c r="LXK107" s="17"/>
      <c r="LXL107" s="17"/>
      <c r="LXM107" s="17"/>
      <c r="LXN107" s="17"/>
      <c r="LXO107" s="17"/>
      <c r="LXP107" s="17"/>
      <c r="LXQ107" s="17"/>
      <c r="LXR107" s="17"/>
      <c r="LXS107" s="17"/>
      <c r="LXT107" s="17"/>
      <c r="LXU107" s="17"/>
      <c r="LXV107" s="17"/>
      <c r="LXW107" s="17"/>
      <c r="LXX107" s="17"/>
      <c r="LXY107" s="17"/>
      <c r="LXZ107" s="17"/>
      <c r="LYA107" s="17"/>
      <c r="LYB107" s="17"/>
      <c r="LYC107" s="17"/>
      <c r="LYD107" s="17"/>
      <c r="LYE107" s="17"/>
      <c r="LYF107" s="17"/>
      <c r="LYG107" s="17"/>
      <c r="LYH107" s="17"/>
      <c r="LYI107" s="17"/>
      <c r="LYJ107" s="17"/>
      <c r="LYK107" s="17"/>
      <c r="LYL107" s="17"/>
      <c r="LYM107" s="17"/>
      <c r="LYN107" s="17"/>
      <c r="LYO107" s="17"/>
      <c r="LYP107" s="17"/>
      <c r="LYQ107" s="17"/>
      <c r="LYR107" s="17"/>
      <c r="LYS107" s="17"/>
      <c r="LYT107" s="17"/>
      <c r="LYU107" s="17"/>
      <c r="LYV107" s="17"/>
      <c r="LYW107" s="17"/>
      <c r="LYX107" s="17"/>
      <c r="LYY107" s="17"/>
      <c r="LYZ107" s="17"/>
      <c r="LZA107" s="17"/>
      <c r="LZB107" s="17"/>
      <c r="LZC107" s="17"/>
      <c r="LZD107" s="17"/>
      <c r="LZE107" s="17"/>
      <c r="LZF107" s="17"/>
      <c r="LZG107" s="17"/>
      <c r="LZH107" s="17"/>
      <c r="LZI107" s="17"/>
      <c r="LZJ107" s="17"/>
      <c r="LZK107" s="17"/>
      <c r="LZL107" s="17"/>
      <c r="LZM107" s="17"/>
      <c r="LZN107" s="17"/>
      <c r="LZO107" s="17"/>
      <c r="LZP107" s="17"/>
      <c r="LZQ107" s="17"/>
      <c r="LZR107" s="17"/>
      <c r="LZS107" s="17"/>
      <c r="LZT107" s="17"/>
      <c r="LZU107" s="17"/>
      <c r="LZV107" s="17"/>
      <c r="LZW107" s="17"/>
      <c r="LZX107" s="17"/>
      <c r="LZY107" s="17"/>
      <c r="LZZ107" s="17"/>
      <c r="MAA107" s="17"/>
      <c r="MAB107" s="17"/>
      <c r="MAC107" s="17"/>
      <c r="MAD107" s="17"/>
      <c r="MAE107" s="17"/>
      <c r="MAF107" s="17"/>
      <c r="MAG107" s="17"/>
      <c r="MAH107" s="17"/>
      <c r="MAI107" s="17"/>
      <c r="MAJ107" s="17"/>
      <c r="MAK107" s="17"/>
      <c r="MAL107" s="17"/>
      <c r="MAM107" s="17"/>
      <c r="MAN107" s="17"/>
      <c r="MAO107" s="17"/>
      <c r="MAP107" s="17"/>
      <c r="MAQ107" s="17"/>
      <c r="MAR107" s="17"/>
      <c r="MAS107" s="17"/>
      <c r="MAT107" s="17"/>
      <c r="MAU107" s="17"/>
      <c r="MAV107" s="17"/>
      <c r="MAW107" s="17"/>
      <c r="MAX107" s="17"/>
      <c r="MAY107" s="17"/>
      <c r="MAZ107" s="17"/>
      <c r="MBA107" s="17"/>
      <c r="MBB107" s="17"/>
      <c r="MBC107" s="17"/>
      <c r="MBD107" s="17"/>
      <c r="MBE107" s="17"/>
      <c r="MBF107" s="17"/>
      <c r="MBG107" s="17"/>
      <c r="MBH107" s="17"/>
      <c r="MBI107" s="17"/>
      <c r="MBJ107" s="17"/>
      <c r="MBK107" s="17"/>
      <c r="MBL107" s="17"/>
      <c r="MBM107" s="17"/>
      <c r="MBN107" s="17"/>
      <c r="MBO107" s="17"/>
      <c r="MBP107" s="17"/>
      <c r="MBQ107" s="17"/>
      <c r="MBR107" s="17"/>
      <c r="MBS107" s="17"/>
      <c r="MBT107" s="17"/>
      <c r="MBU107" s="17"/>
      <c r="MBV107" s="17"/>
      <c r="MBW107" s="17"/>
      <c r="MBX107" s="17"/>
      <c r="MBY107" s="17"/>
      <c r="MBZ107" s="17"/>
      <c r="MCA107" s="17"/>
      <c r="MCB107" s="17"/>
      <c r="MCC107" s="17"/>
      <c r="MCD107" s="17"/>
      <c r="MCE107" s="17"/>
      <c r="MCF107" s="17"/>
      <c r="MCG107" s="17"/>
      <c r="MCH107" s="17"/>
      <c r="MCI107" s="17"/>
      <c r="MCJ107" s="17"/>
      <c r="MCK107" s="17"/>
      <c r="MCL107" s="17"/>
      <c r="MCM107" s="17"/>
      <c r="MCN107" s="17"/>
      <c r="MCO107" s="17"/>
      <c r="MCP107" s="17"/>
      <c r="MCQ107" s="17"/>
      <c r="MCR107" s="17"/>
      <c r="MCS107" s="17"/>
      <c r="MCT107" s="17"/>
      <c r="MCU107" s="17"/>
      <c r="MCV107" s="17"/>
      <c r="MCW107" s="17"/>
      <c r="MCX107" s="17"/>
      <c r="MCY107" s="17"/>
      <c r="MCZ107" s="17"/>
      <c r="MDA107" s="17"/>
      <c r="MDB107" s="17"/>
      <c r="MDC107" s="17"/>
      <c r="MDD107" s="17"/>
      <c r="MDE107" s="17"/>
      <c r="MDF107" s="17"/>
      <c r="MDG107" s="17"/>
      <c r="MDH107" s="17"/>
      <c r="MDI107" s="17"/>
      <c r="MDJ107" s="17"/>
      <c r="MDK107" s="17"/>
      <c r="MDL107" s="17"/>
      <c r="MDM107" s="17"/>
      <c r="MDN107" s="17"/>
      <c r="MDO107" s="17"/>
      <c r="MDP107" s="17"/>
      <c r="MDQ107" s="17"/>
      <c r="MDR107" s="17"/>
      <c r="MDS107" s="17"/>
      <c r="MDT107" s="17"/>
      <c r="MDU107" s="17"/>
      <c r="MDV107" s="17"/>
      <c r="MDW107" s="17"/>
      <c r="MDX107" s="17"/>
      <c r="MDY107" s="17"/>
      <c r="MDZ107" s="17"/>
      <c r="MEA107" s="17"/>
      <c r="MEB107" s="17"/>
      <c r="MEC107" s="17"/>
      <c r="MED107" s="17"/>
      <c r="MEE107" s="17"/>
      <c r="MEF107" s="17"/>
      <c r="MEG107" s="17"/>
      <c r="MEH107" s="17"/>
      <c r="MEI107" s="17"/>
      <c r="MEJ107" s="17"/>
      <c r="MEK107" s="17"/>
      <c r="MEL107" s="17"/>
      <c r="MEM107" s="17"/>
      <c r="MEN107" s="17"/>
      <c r="MEO107" s="17"/>
      <c r="MEP107" s="17"/>
      <c r="MEQ107" s="17"/>
      <c r="MER107" s="17"/>
      <c r="MES107" s="17"/>
      <c r="MET107" s="17"/>
      <c r="MEU107" s="17"/>
      <c r="MEV107" s="17"/>
      <c r="MEW107" s="17"/>
      <c r="MEX107" s="17"/>
      <c r="MEY107" s="17"/>
      <c r="MEZ107" s="17"/>
      <c r="MFA107" s="17"/>
      <c r="MFB107" s="17"/>
      <c r="MFC107" s="17"/>
      <c r="MFD107" s="17"/>
      <c r="MFE107" s="17"/>
      <c r="MFF107" s="17"/>
      <c r="MFG107" s="17"/>
      <c r="MFH107" s="17"/>
      <c r="MFI107" s="17"/>
      <c r="MFJ107" s="17"/>
      <c r="MFK107" s="17"/>
      <c r="MFL107" s="17"/>
      <c r="MFM107" s="17"/>
      <c r="MFN107" s="17"/>
      <c r="MFO107" s="17"/>
      <c r="MFP107" s="17"/>
      <c r="MFQ107" s="17"/>
      <c r="MFR107" s="17"/>
      <c r="MFS107" s="17"/>
      <c r="MFT107" s="17"/>
      <c r="MFU107" s="17"/>
      <c r="MFV107" s="17"/>
      <c r="MFW107" s="17"/>
      <c r="MFX107" s="17"/>
      <c r="MFY107" s="17"/>
      <c r="MFZ107" s="17"/>
      <c r="MGA107" s="17"/>
      <c r="MGB107" s="17"/>
      <c r="MGC107" s="17"/>
      <c r="MGD107" s="17"/>
      <c r="MGE107" s="17"/>
      <c r="MGF107" s="17"/>
      <c r="MGG107" s="17"/>
      <c r="MGH107" s="17"/>
      <c r="MGI107" s="17"/>
      <c r="MGJ107" s="17"/>
      <c r="MGK107" s="17"/>
      <c r="MGL107" s="17"/>
      <c r="MGM107" s="17"/>
      <c r="MGN107" s="17"/>
      <c r="MGO107" s="17"/>
      <c r="MGP107" s="17"/>
      <c r="MGQ107" s="17"/>
      <c r="MGR107" s="17"/>
      <c r="MGS107" s="17"/>
      <c r="MGT107" s="17"/>
      <c r="MGU107" s="17"/>
      <c r="MGV107" s="17"/>
      <c r="MGW107" s="17"/>
      <c r="MGX107" s="17"/>
      <c r="MGY107" s="17"/>
      <c r="MGZ107" s="17"/>
      <c r="MHA107" s="17"/>
      <c r="MHB107" s="17"/>
      <c r="MHC107" s="17"/>
      <c r="MHD107" s="17"/>
      <c r="MHE107" s="17"/>
      <c r="MHF107" s="17"/>
      <c r="MHG107" s="17"/>
      <c r="MHH107" s="17"/>
      <c r="MHI107" s="17"/>
      <c r="MHJ107" s="17"/>
      <c r="MHK107" s="17"/>
      <c r="MHL107" s="17"/>
      <c r="MHM107" s="17"/>
      <c r="MHN107" s="17"/>
      <c r="MHO107" s="17"/>
      <c r="MHP107" s="17"/>
      <c r="MHQ107" s="17"/>
      <c r="MHR107" s="17"/>
      <c r="MHS107" s="17"/>
      <c r="MHT107" s="17"/>
      <c r="MHU107" s="17"/>
      <c r="MHV107" s="17"/>
      <c r="MHW107" s="17"/>
      <c r="MHX107" s="17"/>
      <c r="MHY107" s="17"/>
      <c r="MHZ107" s="17"/>
      <c r="MIA107" s="17"/>
      <c r="MIB107" s="17"/>
      <c r="MIC107" s="17"/>
      <c r="MID107" s="17"/>
      <c r="MIE107" s="17"/>
      <c r="MIF107" s="17"/>
      <c r="MIG107" s="17"/>
      <c r="MIH107" s="17"/>
      <c r="MII107" s="17"/>
      <c r="MIJ107" s="17"/>
      <c r="MIK107" s="17"/>
      <c r="MIL107" s="17"/>
      <c r="MIM107" s="17"/>
      <c r="MIN107" s="17"/>
      <c r="MIO107" s="17"/>
      <c r="MIP107" s="17"/>
      <c r="MIQ107" s="17"/>
      <c r="MIR107" s="17"/>
      <c r="MIS107" s="17"/>
      <c r="MIT107" s="17"/>
      <c r="MIU107" s="17"/>
      <c r="MIV107" s="17"/>
      <c r="MIW107" s="17"/>
      <c r="MIX107" s="17"/>
      <c r="MIY107" s="17"/>
      <c r="MIZ107" s="17"/>
      <c r="MJA107" s="17"/>
      <c r="MJB107" s="17"/>
      <c r="MJC107" s="17"/>
      <c r="MJD107" s="17"/>
      <c r="MJE107" s="17"/>
      <c r="MJF107" s="17"/>
      <c r="MJG107" s="17"/>
      <c r="MJH107" s="17"/>
      <c r="MJI107" s="17"/>
      <c r="MJJ107" s="17"/>
      <c r="MJK107" s="17"/>
      <c r="MJL107" s="17"/>
      <c r="MJM107" s="17"/>
      <c r="MJN107" s="17"/>
      <c r="MJO107" s="17"/>
      <c r="MJP107" s="17"/>
      <c r="MJQ107" s="17"/>
      <c r="MJR107" s="17"/>
      <c r="MJS107" s="17"/>
      <c r="MJT107" s="17"/>
      <c r="MJU107" s="17"/>
      <c r="MJV107" s="17"/>
      <c r="MJW107" s="17"/>
      <c r="MJX107" s="17"/>
      <c r="MJY107" s="17"/>
      <c r="MJZ107" s="17"/>
      <c r="MKA107" s="17"/>
      <c r="MKB107" s="17"/>
      <c r="MKC107" s="17"/>
      <c r="MKD107" s="17"/>
      <c r="MKE107" s="17"/>
      <c r="MKF107" s="17"/>
      <c r="MKG107" s="17"/>
      <c r="MKH107" s="17"/>
      <c r="MKI107" s="17"/>
      <c r="MKJ107" s="17"/>
      <c r="MKK107" s="17"/>
      <c r="MKL107" s="17"/>
      <c r="MKM107" s="17"/>
      <c r="MKN107" s="17"/>
      <c r="MKO107" s="17"/>
      <c r="MKP107" s="17"/>
      <c r="MKQ107" s="17"/>
      <c r="MKR107" s="17"/>
      <c r="MKS107" s="17"/>
      <c r="MKT107" s="17"/>
      <c r="MKU107" s="17"/>
      <c r="MKV107" s="17"/>
      <c r="MKW107" s="17"/>
      <c r="MKX107" s="17"/>
      <c r="MKY107" s="17"/>
      <c r="MKZ107" s="17"/>
      <c r="MLA107" s="17"/>
      <c r="MLB107" s="17"/>
      <c r="MLC107" s="17"/>
      <c r="MLD107" s="17"/>
      <c r="MLE107" s="17"/>
      <c r="MLF107" s="17"/>
      <c r="MLG107" s="17"/>
      <c r="MLH107" s="17"/>
      <c r="MLI107" s="17"/>
      <c r="MLJ107" s="17"/>
      <c r="MLK107" s="17"/>
      <c r="MLL107" s="17"/>
      <c r="MLM107" s="17"/>
      <c r="MLN107" s="17"/>
      <c r="MLO107" s="17"/>
      <c r="MLP107" s="17"/>
      <c r="MLQ107" s="17"/>
      <c r="MLR107" s="17"/>
      <c r="MLS107" s="17"/>
      <c r="MLT107" s="17"/>
      <c r="MLU107" s="17"/>
      <c r="MLV107" s="17"/>
      <c r="MLW107" s="17"/>
      <c r="MLX107" s="17"/>
      <c r="MLY107" s="17"/>
      <c r="MLZ107" s="17"/>
      <c r="MMA107" s="17"/>
      <c r="MMB107" s="17"/>
      <c r="MMC107" s="17"/>
      <c r="MMD107" s="17"/>
      <c r="MME107" s="17"/>
      <c r="MMF107" s="17"/>
      <c r="MMG107" s="17"/>
      <c r="MMH107" s="17"/>
      <c r="MMI107" s="17"/>
      <c r="MMJ107" s="17"/>
      <c r="MMK107" s="17"/>
      <c r="MML107" s="17"/>
      <c r="MMM107" s="17"/>
      <c r="MMN107" s="17"/>
      <c r="MMO107" s="17"/>
      <c r="MMP107" s="17"/>
      <c r="MMQ107" s="17"/>
      <c r="MMR107" s="17"/>
      <c r="MMS107" s="17"/>
      <c r="MMT107" s="17"/>
      <c r="MMU107" s="17"/>
      <c r="MMV107" s="17"/>
      <c r="MMW107" s="17"/>
      <c r="MMX107" s="17"/>
      <c r="MMY107" s="17"/>
      <c r="MMZ107" s="17"/>
      <c r="MNA107" s="17"/>
      <c r="MNB107" s="17"/>
      <c r="MNC107" s="17"/>
      <c r="MND107" s="17"/>
      <c r="MNE107" s="17"/>
      <c r="MNF107" s="17"/>
      <c r="MNG107" s="17"/>
      <c r="MNH107" s="17"/>
      <c r="MNI107" s="17"/>
      <c r="MNJ107" s="17"/>
      <c r="MNK107" s="17"/>
      <c r="MNL107" s="17"/>
      <c r="MNM107" s="17"/>
      <c r="MNN107" s="17"/>
      <c r="MNO107" s="17"/>
      <c r="MNP107" s="17"/>
      <c r="MNQ107" s="17"/>
      <c r="MNR107" s="17"/>
      <c r="MNS107" s="17"/>
      <c r="MNT107" s="17"/>
      <c r="MNU107" s="17"/>
      <c r="MNV107" s="17"/>
      <c r="MNW107" s="17"/>
      <c r="MNX107" s="17"/>
      <c r="MNY107" s="17"/>
      <c r="MNZ107" s="17"/>
      <c r="MOA107" s="17"/>
      <c r="MOB107" s="17"/>
      <c r="MOC107" s="17"/>
      <c r="MOD107" s="17"/>
      <c r="MOE107" s="17"/>
      <c r="MOF107" s="17"/>
      <c r="MOG107" s="17"/>
      <c r="MOH107" s="17"/>
      <c r="MOI107" s="17"/>
      <c r="MOJ107" s="17"/>
      <c r="MOK107" s="17"/>
      <c r="MOL107" s="17"/>
      <c r="MOM107" s="17"/>
      <c r="MON107" s="17"/>
      <c r="MOO107" s="17"/>
      <c r="MOP107" s="17"/>
      <c r="MOQ107" s="17"/>
      <c r="MOR107" s="17"/>
      <c r="MOS107" s="17"/>
      <c r="MOT107" s="17"/>
      <c r="MOU107" s="17"/>
      <c r="MOV107" s="17"/>
      <c r="MOW107" s="17"/>
      <c r="MOX107" s="17"/>
      <c r="MOY107" s="17"/>
      <c r="MOZ107" s="17"/>
      <c r="MPA107" s="17"/>
      <c r="MPB107" s="17"/>
      <c r="MPC107" s="17"/>
      <c r="MPD107" s="17"/>
      <c r="MPE107" s="17"/>
      <c r="MPF107" s="17"/>
      <c r="MPG107" s="17"/>
      <c r="MPH107" s="17"/>
      <c r="MPI107" s="17"/>
      <c r="MPJ107" s="17"/>
      <c r="MPK107" s="17"/>
      <c r="MPL107" s="17"/>
      <c r="MPM107" s="17"/>
      <c r="MPN107" s="17"/>
      <c r="MPO107" s="17"/>
      <c r="MPP107" s="17"/>
      <c r="MPQ107" s="17"/>
      <c r="MPR107" s="17"/>
      <c r="MPS107" s="17"/>
      <c r="MPT107" s="17"/>
      <c r="MPU107" s="17"/>
      <c r="MPV107" s="17"/>
      <c r="MPW107" s="17"/>
      <c r="MPX107" s="17"/>
      <c r="MPY107" s="17"/>
      <c r="MPZ107" s="17"/>
      <c r="MQA107" s="17"/>
      <c r="MQB107" s="17"/>
      <c r="MQC107" s="17"/>
      <c r="MQD107" s="17"/>
      <c r="MQE107" s="17"/>
      <c r="MQF107" s="17"/>
      <c r="MQG107" s="17"/>
      <c r="MQH107" s="17"/>
      <c r="MQI107" s="17"/>
      <c r="MQJ107" s="17"/>
      <c r="MQK107" s="17"/>
      <c r="MQL107" s="17"/>
      <c r="MQM107" s="17"/>
      <c r="MQN107" s="17"/>
      <c r="MQO107" s="17"/>
      <c r="MQP107" s="17"/>
      <c r="MQQ107" s="17"/>
      <c r="MQR107" s="17"/>
      <c r="MQS107" s="17"/>
      <c r="MQT107" s="17"/>
      <c r="MQU107" s="17"/>
      <c r="MQV107" s="17"/>
      <c r="MQW107" s="17"/>
      <c r="MQX107" s="17"/>
      <c r="MQY107" s="17"/>
      <c r="MQZ107" s="17"/>
      <c r="MRA107" s="17"/>
      <c r="MRB107" s="17"/>
      <c r="MRC107" s="17"/>
      <c r="MRD107" s="17"/>
      <c r="MRE107" s="17"/>
      <c r="MRF107" s="17"/>
      <c r="MRG107" s="17"/>
      <c r="MRH107" s="17"/>
      <c r="MRI107" s="17"/>
      <c r="MRJ107" s="17"/>
      <c r="MRK107" s="17"/>
      <c r="MRL107" s="17"/>
      <c r="MRM107" s="17"/>
      <c r="MRN107" s="17"/>
      <c r="MRO107" s="17"/>
      <c r="MRP107" s="17"/>
      <c r="MRQ107" s="17"/>
      <c r="MRR107" s="17"/>
      <c r="MRS107" s="17"/>
      <c r="MRT107" s="17"/>
      <c r="MRU107" s="17"/>
      <c r="MRV107" s="17"/>
      <c r="MRW107" s="17"/>
      <c r="MRX107" s="17"/>
      <c r="MRY107" s="17"/>
      <c r="MRZ107" s="17"/>
      <c r="MSA107" s="17"/>
      <c r="MSB107" s="17"/>
      <c r="MSC107" s="17"/>
      <c r="MSD107" s="17"/>
      <c r="MSE107" s="17"/>
      <c r="MSF107" s="17"/>
      <c r="MSG107" s="17"/>
      <c r="MSH107" s="17"/>
      <c r="MSI107" s="17"/>
      <c r="MSJ107" s="17"/>
      <c r="MSK107" s="17"/>
      <c r="MSL107" s="17"/>
      <c r="MSM107" s="17"/>
      <c r="MSN107" s="17"/>
      <c r="MSO107" s="17"/>
      <c r="MSP107" s="17"/>
      <c r="MSQ107" s="17"/>
      <c r="MSR107" s="17"/>
      <c r="MSS107" s="17"/>
      <c r="MST107" s="17"/>
      <c r="MSU107" s="17"/>
      <c r="MSV107" s="17"/>
      <c r="MSW107" s="17"/>
      <c r="MSX107" s="17"/>
      <c r="MSY107" s="17"/>
      <c r="MSZ107" s="17"/>
      <c r="MTA107" s="17"/>
      <c r="MTB107" s="17"/>
      <c r="MTC107" s="17"/>
      <c r="MTD107" s="17"/>
      <c r="MTE107" s="17"/>
      <c r="MTF107" s="17"/>
      <c r="MTG107" s="17"/>
      <c r="MTH107" s="17"/>
      <c r="MTI107" s="17"/>
      <c r="MTJ107" s="17"/>
      <c r="MTK107" s="17"/>
      <c r="MTL107" s="17"/>
      <c r="MTM107" s="17"/>
      <c r="MTN107" s="17"/>
      <c r="MTO107" s="17"/>
      <c r="MTP107" s="17"/>
      <c r="MTQ107" s="17"/>
      <c r="MTR107" s="17"/>
      <c r="MTS107" s="17"/>
      <c r="MTT107" s="17"/>
      <c r="MTU107" s="17"/>
      <c r="MTV107" s="17"/>
      <c r="MTW107" s="17"/>
      <c r="MTX107" s="17"/>
      <c r="MTY107" s="17"/>
      <c r="MTZ107" s="17"/>
      <c r="MUA107" s="17"/>
      <c r="MUB107" s="17"/>
      <c r="MUC107" s="17"/>
      <c r="MUD107" s="17"/>
      <c r="MUE107" s="17"/>
      <c r="MUF107" s="17"/>
      <c r="MUG107" s="17"/>
      <c r="MUH107" s="17"/>
      <c r="MUI107" s="17"/>
      <c r="MUJ107" s="17"/>
      <c r="MUK107" s="17"/>
      <c r="MUL107" s="17"/>
      <c r="MUM107" s="17"/>
      <c r="MUN107" s="17"/>
      <c r="MUO107" s="17"/>
      <c r="MUP107" s="17"/>
      <c r="MUQ107" s="17"/>
      <c r="MUR107" s="17"/>
      <c r="MUS107" s="17"/>
      <c r="MUT107" s="17"/>
      <c r="MUU107" s="17"/>
      <c r="MUV107" s="17"/>
      <c r="MUW107" s="17"/>
      <c r="MUX107" s="17"/>
      <c r="MUY107" s="17"/>
      <c r="MUZ107" s="17"/>
      <c r="MVA107" s="17"/>
      <c r="MVB107" s="17"/>
      <c r="MVC107" s="17"/>
      <c r="MVD107" s="17"/>
      <c r="MVE107" s="17"/>
      <c r="MVF107" s="17"/>
      <c r="MVG107" s="17"/>
      <c r="MVH107" s="17"/>
      <c r="MVI107" s="17"/>
      <c r="MVJ107" s="17"/>
      <c r="MVK107" s="17"/>
      <c r="MVL107" s="17"/>
      <c r="MVM107" s="17"/>
      <c r="MVN107" s="17"/>
      <c r="MVO107" s="17"/>
      <c r="MVP107" s="17"/>
      <c r="MVQ107" s="17"/>
      <c r="MVR107" s="17"/>
      <c r="MVS107" s="17"/>
      <c r="MVT107" s="17"/>
      <c r="MVU107" s="17"/>
      <c r="MVV107" s="17"/>
      <c r="MVW107" s="17"/>
      <c r="MVX107" s="17"/>
      <c r="MVY107" s="17"/>
      <c r="MVZ107" s="17"/>
      <c r="MWA107" s="17"/>
      <c r="MWB107" s="17"/>
      <c r="MWC107" s="17"/>
      <c r="MWD107" s="17"/>
      <c r="MWE107" s="17"/>
      <c r="MWF107" s="17"/>
      <c r="MWG107" s="17"/>
      <c r="MWH107" s="17"/>
      <c r="MWI107" s="17"/>
      <c r="MWJ107" s="17"/>
      <c r="MWK107" s="17"/>
      <c r="MWL107" s="17"/>
      <c r="MWM107" s="17"/>
      <c r="MWN107" s="17"/>
      <c r="MWO107" s="17"/>
      <c r="MWP107" s="17"/>
      <c r="MWQ107" s="17"/>
      <c r="MWR107" s="17"/>
      <c r="MWS107" s="17"/>
      <c r="MWT107" s="17"/>
      <c r="MWU107" s="17"/>
      <c r="MWV107" s="17"/>
      <c r="MWW107" s="17"/>
      <c r="MWX107" s="17"/>
      <c r="MWY107" s="17"/>
      <c r="MWZ107" s="17"/>
      <c r="MXA107" s="17"/>
      <c r="MXB107" s="17"/>
      <c r="MXC107" s="17"/>
      <c r="MXD107" s="17"/>
      <c r="MXE107" s="17"/>
      <c r="MXF107" s="17"/>
      <c r="MXG107" s="17"/>
      <c r="MXH107" s="17"/>
      <c r="MXI107" s="17"/>
      <c r="MXJ107" s="17"/>
      <c r="MXK107" s="17"/>
      <c r="MXL107" s="17"/>
      <c r="MXM107" s="17"/>
      <c r="MXN107" s="17"/>
      <c r="MXO107" s="17"/>
      <c r="MXP107" s="17"/>
      <c r="MXQ107" s="17"/>
      <c r="MXR107" s="17"/>
      <c r="MXS107" s="17"/>
      <c r="MXT107" s="17"/>
      <c r="MXU107" s="17"/>
      <c r="MXV107" s="17"/>
      <c r="MXW107" s="17"/>
      <c r="MXX107" s="17"/>
      <c r="MXY107" s="17"/>
      <c r="MXZ107" s="17"/>
      <c r="MYA107" s="17"/>
      <c r="MYB107" s="17"/>
      <c r="MYC107" s="17"/>
      <c r="MYD107" s="17"/>
      <c r="MYE107" s="17"/>
      <c r="MYF107" s="17"/>
      <c r="MYG107" s="17"/>
      <c r="MYH107" s="17"/>
      <c r="MYI107" s="17"/>
      <c r="MYJ107" s="17"/>
      <c r="MYK107" s="17"/>
      <c r="MYL107" s="17"/>
      <c r="MYM107" s="17"/>
      <c r="MYN107" s="17"/>
      <c r="MYO107" s="17"/>
      <c r="MYP107" s="17"/>
      <c r="MYQ107" s="17"/>
      <c r="MYR107" s="17"/>
      <c r="MYS107" s="17"/>
      <c r="MYT107" s="17"/>
      <c r="MYU107" s="17"/>
      <c r="MYV107" s="17"/>
      <c r="MYW107" s="17"/>
      <c r="MYX107" s="17"/>
      <c r="MYY107" s="17"/>
      <c r="MYZ107" s="17"/>
      <c r="MZA107" s="17"/>
      <c r="MZB107" s="17"/>
      <c r="MZC107" s="17"/>
      <c r="MZD107" s="17"/>
      <c r="MZE107" s="17"/>
      <c r="MZF107" s="17"/>
      <c r="MZG107" s="17"/>
      <c r="MZH107" s="17"/>
      <c r="MZI107" s="17"/>
      <c r="MZJ107" s="17"/>
      <c r="MZK107" s="17"/>
      <c r="MZL107" s="17"/>
      <c r="MZM107" s="17"/>
      <c r="MZN107" s="17"/>
      <c r="MZO107" s="17"/>
      <c r="MZP107" s="17"/>
      <c r="MZQ107" s="17"/>
      <c r="MZR107" s="17"/>
      <c r="MZS107" s="17"/>
      <c r="MZT107" s="17"/>
      <c r="MZU107" s="17"/>
      <c r="MZV107" s="17"/>
      <c r="MZW107" s="17"/>
      <c r="MZX107" s="17"/>
      <c r="MZY107" s="17"/>
      <c r="MZZ107" s="17"/>
      <c r="NAA107" s="17"/>
      <c r="NAB107" s="17"/>
      <c r="NAC107" s="17"/>
      <c r="NAD107" s="17"/>
      <c r="NAE107" s="17"/>
      <c r="NAF107" s="17"/>
      <c r="NAG107" s="17"/>
      <c r="NAH107" s="17"/>
      <c r="NAI107" s="17"/>
      <c r="NAJ107" s="17"/>
      <c r="NAK107" s="17"/>
      <c r="NAL107" s="17"/>
      <c r="NAM107" s="17"/>
      <c r="NAN107" s="17"/>
      <c r="NAO107" s="17"/>
      <c r="NAP107" s="17"/>
      <c r="NAQ107" s="17"/>
      <c r="NAR107" s="17"/>
      <c r="NAS107" s="17"/>
      <c r="NAT107" s="17"/>
      <c r="NAU107" s="17"/>
      <c r="NAV107" s="17"/>
      <c r="NAW107" s="17"/>
      <c r="NAX107" s="17"/>
      <c r="NAY107" s="17"/>
      <c r="NAZ107" s="17"/>
      <c r="NBA107" s="17"/>
      <c r="NBB107" s="17"/>
      <c r="NBC107" s="17"/>
      <c r="NBD107" s="17"/>
      <c r="NBE107" s="17"/>
      <c r="NBF107" s="17"/>
      <c r="NBG107" s="17"/>
      <c r="NBH107" s="17"/>
      <c r="NBI107" s="17"/>
      <c r="NBJ107" s="17"/>
      <c r="NBK107" s="17"/>
      <c r="NBL107" s="17"/>
      <c r="NBM107" s="17"/>
      <c r="NBN107" s="17"/>
      <c r="NBO107" s="17"/>
      <c r="NBP107" s="17"/>
      <c r="NBQ107" s="17"/>
      <c r="NBR107" s="17"/>
      <c r="NBS107" s="17"/>
      <c r="NBT107" s="17"/>
      <c r="NBU107" s="17"/>
      <c r="NBV107" s="17"/>
      <c r="NBW107" s="17"/>
      <c r="NBX107" s="17"/>
      <c r="NBY107" s="17"/>
      <c r="NBZ107" s="17"/>
      <c r="NCA107" s="17"/>
      <c r="NCB107" s="17"/>
      <c r="NCC107" s="17"/>
      <c r="NCD107" s="17"/>
      <c r="NCE107" s="17"/>
      <c r="NCF107" s="17"/>
      <c r="NCG107" s="17"/>
      <c r="NCH107" s="17"/>
      <c r="NCI107" s="17"/>
      <c r="NCJ107" s="17"/>
      <c r="NCK107" s="17"/>
      <c r="NCL107" s="17"/>
      <c r="NCM107" s="17"/>
      <c r="NCN107" s="17"/>
      <c r="NCO107" s="17"/>
      <c r="NCP107" s="17"/>
      <c r="NCQ107" s="17"/>
      <c r="NCR107" s="17"/>
      <c r="NCS107" s="17"/>
      <c r="NCT107" s="17"/>
      <c r="NCU107" s="17"/>
      <c r="NCV107" s="17"/>
      <c r="NCW107" s="17"/>
      <c r="NCX107" s="17"/>
      <c r="NCY107" s="17"/>
      <c r="NCZ107" s="17"/>
      <c r="NDA107" s="17"/>
      <c r="NDB107" s="17"/>
      <c r="NDC107" s="17"/>
      <c r="NDD107" s="17"/>
      <c r="NDE107" s="17"/>
      <c r="NDF107" s="17"/>
      <c r="NDG107" s="17"/>
      <c r="NDH107" s="17"/>
      <c r="NDI107" s="17"/>
      <c r="NDJ107" s="17"/>
      <c r="NDK107" s="17"/>
      <c r="NDL107" s="17"/>
      <c r="NDM107" s="17"/>
      <c r="NDN107" s="17"/>
      <c r="NDO107" s="17"/>
      <c r="NDP107" s="17"/>
      <c r="NDQ107" s="17"/>
      <c r="NDR107" s="17"/>
      <c r="NDS107" s="17"/>
      <c r="NDT107" s="17"/>
      <c r="NDU107" s="17"/>
      <c r="NDV107" s="17"/>
      <c r="NDW107" s="17"/>
      <c r="NDX107" s="17"/>
      <c r="NDY107" s="17"/>
      <c r="NDZ107" s="17"/>
      <c r="NEA107" s="17"/>
      <c r="NEB107" s="17"/>
      <c r="NEC107" s="17"/>
      <c r="NED107" s="17"/>
      <c r="NEE107" s="17"/>
      <c r="NEF107" s="17"/>
      <c r="NEG107" s="17"/>
      <c r="NEH107" s="17"/>
      <c r="NEI107" s="17"/>
      <c r="NEJ107" s="17"/>
      <c r="NEK107" s="17"/>
      <c r="NEL107" s="17"/>
      <c r="NEM107" s="17"/>
      <c r="NEN107" s="17"/>
      <c r="NEO107" s="17"/>
      <c r="NEP107" s="17"/>
      <c r="NEQ107" s="17"/>
      <c r="NER107" s="17"/>
      <c r="NES107" s="17"/>
      <c r="NET107" s="17"/>
      <c r="NEU107" s="17"/>
      <c r="NEV107" s="17"/>
      <c r="NEW107" s="17"/>
      <c r="NEX107" s="17"/>
      <c r="NEY107" s="17"/>
      <c r="NEZ107" s="17"/>
      <c r="NFA107" s="17"/>
      <c r="NFB107" s="17"/>
      <c r="NFC107" s="17"/>
      <c r="NFD107" s="17"/>
      <c r="NFE107" s="17"/>
      <c r="NFF107" s="17"/>
      <c r="NFG107" s="17"/>
      <c r="NFH107" s="17"/>
      <c r="NFI107" s="17"/>
      <c r="NFJ107" s="17"/>
      <c r="NFK107" s="17"/>
      <c r="NFL107" s="17"/>
      <c r="NFM107" s="17"/>
      <c r="NFN107" s="17"/>
      <c r="NFO107" s="17"/>
      <c r="NFP107" s="17"/>
      <c r="NFQ107" s="17"/>
      <c r="NFR107" s="17"/>
      <c r="NFS107" s="17"/>
      <c r="NFT107" s="17"/>
      <c r="NFU107" s="17"/>
      <c r="NFV107" s="17"/>
      <c r="NFW107" s="17"/>
      <c r="NFX107" s="17"/>
      <c r="NFY107" s="17"/>
      <c r="NFZ107" s="17"/>
      <c r="NGA107" s="17"/>
      <c r="NGB107" s="17"/>
      <c r="NGC107" s="17"/>
      <c r="NGD107" s="17"/>
      <c r="NGE107" s="17"/>
      <c r="NGF107" s="17"/>
      <c r="NGG107" s="17"/>
      <c r="NGH107" s="17"/>
      <c r="NGI107" s="17"/>
      <c r="NGJ107" s="17"/>
      <c r="NGK107" s="17"/>
      <c r="NGL107" s="17"/>
      <c r="NGM107" s="17"/>
      <c r="NGN107" s="17"/>
      <c r="NGO107" s="17"/>
      <c r="NGP107" s="17"/>
      <c r="NGQ107" s="17"/>
      <c r="NGR107" s="17"/>
      <c r="NGS107" s="17"/>
      <c r="NGT107" s="17"/>
      <c r="NGU107" s="17"/>
      <c r="NGV107" s="17"/>
      <c r="NGW107" s="17"/>
      <c r="NGX107" s="17"/>
      <c r="NGY107" s="17"/>
      <c r="NGZ107" s="17"/>
      <c r="NHA107" s="17"/>
      <c r="NHB107" s="17"/>
      <c r="NHC107" s="17"/>
      <c r="NHD107" s="17"/>
      <c r="NHE107" s="17"/>
      <c r="NHF107" s="17"/>
      <c r="NHG107" s="17"/>
      <c r="NHH107" s="17"/>
      <c r="NHI107" s="17"/>
      <c r="NHJ107" s="17"/>
      <c r="NHK107" s="17"/>
      <c r="NHL107" s="17"/>
      <c r="NHM107" s="17"/>
      <c r="NHN107" s="17"/>
      <c r="NHO107" s="17"/>
      <c r="NHP107" s="17"/>
      <c r="NHQ107" s="17"/>
      <c r="NHR107" s="17"/>
      <c r="NHS107" s="17"/>
      <c r="NHT107" s="17"/>
      <c r="NHU107" s="17"/>
      <c r="NHV107" s="17"/>
      <c r="NHW107" s="17"/>
      <c r="NHX107" s="17"/>
      <c r="NHY107" s="17"/>
      <c r="NHZ107" s="17"/>
      <c r="NIA107" s="17"/>
      <c r="NIB107" s="17"/>
      <c r="NIC107" s="17"/>
      <c r="NID107" s="17"/>
      <c r="NIE107" s="17"/>
      <c r="NIF107" s="17"/>
      <c r="NIG107" s="17"/>
      <c r="NIH107" s="17"/>
      <c r="NII107" s="17"/>
      <c r="NIJ107" s="17"/>
      <c r="NIK107" s="17"/>
      <c r="NIL107" s="17"/>
      <c r="NIM107" s="17"/>
      <c r="NIN107" s="17"/>
      <c r="NIO107" s="17"/>
      <c r="NIP107" s="17"/>
      <c r="NIQ107" s="17"/>
      <c r="NIR107" s="17"/>
      <c r="NIS107" s="17"/>
      <c r="NIT107" s="17"/>
      <c r="NIU107" s="17"/>
      <c r="NIV107" s="17"/>
      <c r="NIW107" s="17"/>
      <c r="NIX107" s="17"/>
      <c r="NIY107" s="17"/>
      <c r="NIZ107" s="17"/>
      <c r="NJA107" s="17"/>
      <c r="NJB107" s="17"/>
      <c r="NJC107" s="17"/>
      <c r="NJD107" s="17"/>
      <c r="NJE107" s="17"/>
      <c r="NJF107" s="17"/>
      <c r="NJG107" s="17"/>
      <c r="NJH107" s="17"/>
      <c r="NJI107" s="17"/>
      <c r="NJJ107" s="17"/>
      <c r="NJK107" s="17"/>
      <c r="NJL107" s="17"/>
      <c r="NJM107" s="17"/>
      <c r="NJN107" s="17"/>
      <c r="NJO107" s="17"/>
      <c r="NJP107" s="17"/>
      <c r="NJQ107" s="17"/>
      <c r="NJR107" s="17"/>
      <c r="NJS107" s="17"/>
      <c r="NJT107" s="17"/>
      <c r="NJU107" s="17"/>
      <c r="NJV107" s="17"/>
      <c r="NJW107" s="17"/>
      <c r="NJX107" s="17"/>
      <c r="NJY107" s="17"/>
      <c r="NJZ107" s="17"/>
      <c r="NKA107" s="17"/>
      <c r="NKB107" s="17"/>
      <c r="NKC107" s="17"/>
      <c r="NKD107" s="17"/>
      <c r="NKE107" s="17"/>
      <c r="NKF107" s="17"/>
      <c r="NKG107" s="17"/>
      <c r="NKH107" s="17"/>
      <c r="NKI107" s="17"/>
      <c r="NKJ107" s="17"/>
      <c r="NKK107" s="17"/>
      <c r="NKL107" s="17"/>
      <c r="NKM107" s="17"/>
      <c r="NKN107" s="17"/>
      <c r="NKO107" s="17"/>
      <c r="NKP107" s="17"/>
      <c r="NKQ107" s="17"/>
      <c r="NKR107" s="17"/>
      <c r="NKS107" s="17"/>
      <c r="NKT107" s="17"/>
      <c r="NKU107" s="17"/>
      <c r="NKV107" s="17"/>
      <c r="NKW107" s="17"/>
      <c r="NKX107" s="17"/>
      <c r="NKY107" s="17"/>
      <c r="NKZ107" s="17"/>
      <c r="NLA107" s="17"/>
      <c r="NLB107" s="17"/>
      <c r="NLC107" s="17"/>
      <c r="NLD107" s="17"/>
      <c r="NLE107" s="17"/>
      <c r="NLF107" s="17"/>
      <c r="NLG107" s="17"/>
      <c r="NLH107" s="17"/>
      <c r="NLI107" s="17"/>
      <c r="NLJ107" s="17"/>
      <c r="NLK107" s="17"/>
      <c r="NLL107" s="17"/>
      <c r="NLM107" s="17"/>
      <c r="NLN107" s="17"/>
      <c r="NLO107" s="17"/>
      <c r="NLP107" s="17"/>
      <c r="NLQ107" s="17"/>
      <c r="NLR107" s="17"/>
      <c r="NLS107" s="17"/>
      <c r="NLT107" s="17"/>
      <c r="NLU107" s="17"/>
      <c r="NLV107" s="17"/>
      <c r="NLW107" s="17"/>
      <c r="NLX107" s="17"/>
      <c r="NLY107" s="17"/>
      <c r="NLZ107" s="17"/>
      <c r="NMA107" s="17"/>
      <c r="NMB107" s="17"/>
      <c r="NMC107" s="17"/>
      <c r="NMD107" s="17"/>
      <c r="NME107" s="17"/>
      <c r="NMF107" s="17"/>
      <c r="NMG107" s="17"/>
      <c r="NMH107" s="17"/>
      <c r="NMI107" s="17"/>
      <c r="NMJ107" s="17"/>
      <c r="NMK107" s="17"/>
      <c r="NML107" s="17"/>
      <c r="NMM107" s="17"/>
      <c r="NMN107" s="17"/>
      <c r="NMO107" s="17"/>
      <c r="NMP107" s="17"/>
      <c r="NMQ107" s="17"/>
      <c r="NMR107" s="17"/>
      <c r="NMS107" s="17"/>
      <c r="NMT107" s="17"/>
      <c r="NMU107" s="17"/>
      <c r="NMV107" s="17"/>
      <c r="NMW107" s="17"/>
      <c r="NMX107" s="17"/>
      <c r="NMY107" s="17"/>
      <c r="NMZ107" s="17"/>
      <c r="NNA107" s="17"/>
      <c r="NNB107" s="17"/>
      <c r="NNC107" s="17"/>
      <c r="NND107" s="17"/>
      <c r="NNE107" s="17"/>
      <c r="NNF107" s="17"/>
      <c r="NNG107" s="17"/>
      <c r="NNH107" s="17"/>
      <c r="NNI107" s="17"/>
      <c r="NNJ107" s="17"/>
      <c r="NNK107" s="17"/>
      <c r="NNL107" s="17"/>
      <c r="NNM107" s="17"/>
      <c r="NNN107" s="17"/>
      <c r="NNO107" s="17"/>
      <c r="NNP107" s="17"/>
      <c r="NNQ107" s="17"/>
      <c r="NNR107" s="17"/>
      <c r="NNS107" s="17"/>
      <c r="NNT107" s="17"/>
      <c r="NNU107" s="17"/>
      <c r="NNV107" s="17"/>
      <c r="NNW107" s="17"/>
      <c r="NNX107" s="17"/>
      <c r="NNY107" s="17"/>
      <c r="NNZ107" s="17"/>
      <c r="NOA107" s="17"/>
      <c r="NOB107" s="17"/>
      <c r="NOC107" s="17"/>
      <c r="NOD107" s="17"/>
      <c r="NOE107" s="17"/>
      <c r="NOF107" s="17"/>
      <c r="NOG107" s="17"/>
      <c r="NOH107" s="17"/>
      <c r="NOI107" s="17"/>
      <c r="NOJ107" s="17"/>
      <c r="NOK107" s="17"/>
      <c r="NOL107" s="17"/>
      <c r="NOM107" s="17"/>
      <c r="NON107" s="17"/>
      <c r="NOO107" s="17"/>
      <c r="NOP107" s="17"/>
      <c r="NOQ107" s="17"/>
      <c r="NOR107" s="17"/>
      <c r="NOS107" s="17"/>
      <c r="NOT107" s="17"/>
      <c r="NOU107" s="17"/>
      <c r="NOV107" s="17"/>
      <c r="NOW107" s="17"/>
      <c r="NOX107" s="17"/>
      <c r="NOY107" s="17"/>
      <c r="NOZ107" s="17"/>
      <c r="NPA107" s="17"/>
      <c r="NPB107" s="17"/>
      <c r="NPC107" s="17"/>
      <c r="NPD107" s="17"/>
      <c r="NPE107" s="17"/>
      <c r="NPF107" s="17"/>
      <c r="NPG107" s="17"/>
      <c r="NPH107" s="17"/>
      <c r="NPI107" s="17"/>
      <c r="NPJ107" s="17"/>
      <c r="NPK107" s="17"/>
      <c r="NPL107" s="17"/>
      <c r="NPM107" s="17"/>
      <c r="NPN107" s="17"/>
      <c r="NPO107" s="17"/>
      <c r="NPP107" s="17"/>
      <c r="NPQ107" s="17"/>
      <c r="NPR107" s="17"/>
      <c r="NPS107" s="17"/>
      <c r="NPT107" s="17"/>
      <c r="NPU107" s="17"/>
      <c r="NPV107" s="17"/>
      <c r="NPW107" s="17"/>
      <c r="NPX107" s="17"/>
      <c r="NPY107" s="17"/>
      <c r="NPZ107" s="17"/>
      <c r="NQA107" s="17"/>
      <c r="NQB107" s="17"/>
      <c r="NQC107" s="17"/>
      <c r="NQD107" s="17"/>
      <c r="NQE107" s="17"/>
      <c r="NQF107" s="17"/>
      <c r="NQG107" s="17"/>
      <c r="NQH107" s="17"/>
      <c r="NQI107" s="17"/>
      <c r="NQJ107" s="17"/>
      <c r="NQK107" s="17"/>
      <c r="NQL107" s="17"/>
      <c r="NQM107" s="17"/>
      <c r="NQN107" s="17"/>
      <c r="NQO107" s="17"/>
      <c r="NQP107" s="17"/>
      <c r="NQQ107" s="17"/>
      <c r="NQR107" s="17"/>
      <c r="NQS107" s="17"/>
      <c r="NQT107" s="17"/>
      <c r="NQU107" s="17"/>
      <c r="NQV107" s="17"/>
      <c r="NQW107" s="17"/>
      <c r="NQX107" s="17"/>
      <c r="NQY107" s="17"/>
      <c r="NQZ107" s="17"/>
      <c r="NRA107" s="17"/>
      <c r="NRB107" s="17"/>
      <c r="NRC107" s="17"/>
      <c r="NRD107" s="17"/>
      <c r="NRE107" s="17"/>
      <c r="NRF107" s="17"/>
      <c r="NRG107" s="17"/>
      <c r="NRH107" s="17"/>
      <c r="NRI107" s="17"/>
      <c r="NRJ107" s="17"/>
      <c r="NRK107" s="17"/>
      <c r="NRL107" s="17"/>
      <c r="NRM107" s="17"/>
      <c r="NRN107" s="17"/>
      <c r="NRO107" s="17"/>
      <c r="NRP107" s="17"/>
      <c r="NRQ107" s="17"/>
      <c r="NRR107" s="17"/>
      <c r="NRS107" s="17"/>
      <c r="NRT107" s="17"/>
      <c r="NRU107" s="17"/>
      <c r="NRV107" s="17"/>
      <c r="NRW107" s="17"/>
      <c r="NRX107" s="17"/>
      <c r="NRY107" s="17"/>
      <c r="NRZ107" s="17"/>
      <c r="NSA107" s="17"/>
      <c r="NSB107" s="17"/>
      <c r="NSC107" s="17"/>
      <c r="NSD107" s="17"/>
      <c r="NSE107" s="17"/>
      <c r="NSF107" s="17"/>
      <c r="NSG107" s="17"/>
      <c r="NSH107" s="17"/>
      <c r="NSI107" s="17"/>
      <c r="NSJ107" s="17"/>
      <c r="NSK107" s="17"/>
      <c r="NSL107" s="17"/>
      <c r="NSM107" s="17"/>
      <c r="NSN107" s="17"/>
      <c r="NSO107" s="17"/>
      <c r="NSP107" s="17"/>
      <c r="NSQ107" s="17"/>
      <c r="NSR107" s="17"/>
      <c r="NSS107" s="17"/>
      <c r="NST107" s="17"/>
      <c r="NSU107" s="17"/>
      <c r="NSV107" s="17"/>
      <c r="NSW107" s="17"/>
      <c r="NSX107" s="17"/>
      <c r="NSY107" s="17"/>
      <c r="NSZ107" s="17"/>
      <c r="NTA107" s="17"/>
      <c r="NTB107" s="17"/>
      <c r="NTC107" s="17"/>
      <c r="NTD107" s="17"/>
      <c r="NTE107" s="17"/>
      <c r="NTF107" s="17"/>
      <c r="NTG107" s="17"/>
      <c r="NTH107" s="17"/>
      <c r="NTI107" s="17"/>
      <c r="NTJ107" s="17"/>
      <c r="NTK107" s="17"/>
      <c r="NTL107" s="17"/>
      <c r="NTM107" s="17"/>
      <c r="NTN107" s="17"/>
      <c r="NTO107" s="17"/>
      <c r="NTP107" s="17"/>
      <c r="NTQ107" s="17"/>
      <c r="NTR107" s="17"/>
      <c r="NTS107" s="17"/>
      <c r="NTT107" s="17"/>
      <c r="NTU107" s="17"/>
      <c r="NTV107" s="17"/>
      <c r="NTW107" s="17"/>
      <c r="NTX107" s="17"/>
      <c r="NTY107" s="17"/>
      <c r="NTZ107" s="17"/>
      <c r="NUA107" s="17"/>
      <c r="NUB107" s="17"/>
      <c r="NUC107" s="17"/>
      <c r="NUD107" s="17"/>
      <c r="NUE107" s="17"/>
      <c r="NUF107" s="17"/>
      <c r="NUG107" s="17"/>
      <c r="NUH107" s="17"/>
      <c r="NUI107" s="17"/>
      <c r="NUJ107" s="17"/>
      <c r="NUK107" s="17"/>
      <c r="NUL107" s="17"/>
      <c r="NUM107" s="17"/>
      <c r="NUN107" s="17"/>
      <c r="NUO107" s="17"/>
      <c r="NUP107" s="17"/>
      <c r="NUQ107" s="17"/>
      <c r="NUR107" s="17"/>
      <c r="NUS107" s="17"/>
      <c r="NUT107" s="17"/>
      <c r="NUU107" s="17"/>
      <c r="NUV107" s="17"/>
      <c r="NUW107" s="17"/>
      <c r="NUX107" s="17"/>
      <c r="NUY107" s="17"/>
      <c r="NUZ107" s="17"/>
      <c r="NVA107" s="17"/>
      <c r="NVB107" s="17"/>
      <c r="NVC107" s="17"/>
      <c r="NVD107" s="17"/>
      <c r="NVE107" s="17"/>
      <c r="NVF107" s="17"/>
      <c r="NVG107" s="17"/>
      <c r="NVH107" s="17"/>
      <c r="NVI107" s="17"/>
      <c r="NVJ107" s="17"/>
      <c r="NVK107" s="17"/>
      <c r="NVL107" s="17"/>
      <c r="NVM107" s="17"/>
      <c r="NVN107" s="17"/>
      <c r="NVO107" s="17"/>
      <c r="NVP107" s="17"/>
      <c r="NVQ107" s="17"/>
      <c r="NVR107" s="17"/>
      <c r="NVS107" s="17"/>
      <c r="NVT107" s="17"/>
      <c r="NVU107" s="17"/>
      <c r="NVV107" s="17"/>
      <c r="NVW107" s="17"/>
      <c r="NVX107" s="17"/>
      <c r="NVY107" s="17"/>
      <c r="NVZ107" s="17"/>
      <c r="NWA107" s="17"/>
      <c r="NWB107" s="17"/>
      <c r="NWC107" s="17"/>
      <c r="NWD107" s="17"/>
      <c r="NWE107" s="17"/>
      <c r="NWF107" s="17"/>
      <c r="NWG107" s="17"/>
      <c r="NWH107" s="17"/>
      <c r="NWI107" s="17"/>
      <c r="NWJ107" s="17"/>
      <c r="NWK107" s="17"/>
      <c r="NWL107" s="17"/>
      <c r="NWM107" s="17"/>
      <c r="NWN107" s="17"/>
      <c r="NWO107" s="17"/>
      <c r="NWP107" s="17"/>
      <c r="NWQ107" s="17"/>
      <c r="NWR107" s="17"/>
      <c r="NWS107" s="17"/>
      <c r="NWT107" s="17"/>
      <c r="NWU107" s="17"/>
      <c r="NWV107" s="17"/>
      <c r="NWW107" s="17"/>
      <c r="NWX107" s="17"/>
      <c r="NWY107" s="17"/>
      <c r="NWZ107" s="17"/>
      <c r="NXA107" s="17"/>
      <c r="NXB107" s="17"/>
      <c r="NXC107" s="17"/>
      <c r="NXD107" s="17"/>
      <c r="NXE107" s="17"/>
      <c r="NXF107" s="17"/>
      <c r="NXG107" s="17"/>
      <c r="NXH107" s="17"/>
      <c r="NXI107" s="17"/>
      <c r="NXJ107" s="17"/>
      <c r="NXK107" s="17"/>
      <c r="NXL107" s="17"/>
      <c r="NXM107" s="17"/>
      <c r="NXN107" s="17"/>
      <c r="NXO107" s="17"/>
      <c r="NXP107" s="17"/>
      <c r="NXQ107" s="17"/>
      <c r="NXR107" s="17"/>
      <c r="NXS107" s="17"/>
      <c r="NXT107" s="17"/>
      <c r="NXU107" s="17"/>
      <c r="NXV107" s="17"/>
      <c r="NXW107" s="17"/>
      <c r="NXX107" s="17"/>
      <c r="NXY107" s="17"/>
      <c r="NXZ107" s="17"/>
      <c r="NYA107" s="17"/>
      <c r="NYB107" s="17"/>
      <c r="NYC107" s="17"/>
      <c r="NYD107" s="17"/>
      <c r="NYE107" s="17"/>
      <c r="NYF107" s="17"/>
      <c r="NYG107" s="17"/>
      <c r="NYH107" s="17"/>
      <c r="NYI107" s="17"/>
      <c r="NYJ107" s="17"/>
      <c r="NYK107" s="17"/>
      <c r="NYL107" s="17"/>
      <c r="NYM107" s="17"/>
      <c r="NYN107" s="17"/>
      <c r="NYO107" s="17"/>
      <c r="NYP107" s="17"/>
      <c r="NYQ107" s="17"/>
      <c r="NYR107" s="17"/>
      <c r="NYS107" s="17"/>
      <c r="NYT107" s="17"/>
      <c r="NYU107" s="17"/>
      <c r="NYV107" s="17"/>
      <c r="NYW107" s="17"/>
      <c r="NYX107" s="17"/>
      <c r="NYY107" s="17"/>
      <c r="NYZ107" s="17"/>
      <c r="NZA107" s="17"/>
      <c r="NZB107" s="17"/>
      <c r="NZC107" s="17"/>
      <c r="NZD107" s="17"/>
      <c r="NZE107" s="17"/>
      <c r="NZF107" s="17"/>
      <c r="NZG107" s="17"/>
      <c r="NZH107" s="17"/>
      <c r="NZI107" s="17"/>
      <c r="NZJ107" s="17"/>
      <c r="NZK107" s="17"/>
      <c r="NZL107" s="17"/>
      <c r="NZM107" s="17"/>
      <c r="NZN107" s="17"/>
      <c r="NZO107" s="17"/>
      <c r="NZP107" s="17"/>
      <c r="NZQ107" s="17"/>
      <c r="NZR107" s="17"/>
      <c r="NZS107" s="17"/>
      <c r="NZT107" s="17"/>
      <c r="NZU107" s="17"/>
      <c r="NZV107" s="17"/>
      <c r="NZW107" s="17"/>
      <c r="NZX107" s="17"/>
      <c r="NZY107" s="17"/>
      <c r="NZZ107" s="17"/>
      <c r="OAA107" s="17"/>
      <c r="OAB107" s="17"/>
      <c r="OAC107" s="17"/>
      <c r="OAD107" s="17"/>
      <c r="OAE107" s="17"/>
      <c r="OAF107" s="17"/>
      <c r="OAG107" s="17"/>
      <c r="OAH107" s="17"/>
      <c r="OAI107" s="17"/>
      <c r="OAJ107" s="17"/>
      <c r="OAK107" s="17"/>
      <c r="OAL107" s="17"/>
      <c r="OAM107" s="17"/>
      <c r="OAN107" s="17"/>
      <c r="OAO107" s="17"/>
      <c r="OAP107" s="17"/>
      <c r="OAQ107" s="17"/>
      <c r="OAR107" s="17"/>
      <c r="OAS107" s="17"/>
      <c r="OAT107" s="17"/>
      <c r="OAU107" s="17"/>
      <c r="OAV107" s="17"/>
      <c r="OAW107" s="17"/>
      <c r="OAX107" s="17"/>
      <c r="OAY107" s="17"/>
      <c r="OAZ107" s="17"/>
      <c r="OBA107" s="17"/>
      <c r="OBB107" s="17"/>
      <c r="OBC107" s="17"/>
      <c r="OBD107" s="17"/>
      <c r="OBE107" s="17"/>
      <c r="OBF107" s="17"/>
      <c r="OBG107" s="17"/>
      <c r="OBH107" s="17"/>
      <c r="OBI107" s="17"/>
      <c r="OBJ107" s="17"/>
      <c r="OBK107" s="17"/>
      <c r="OBL107" s="17"/>
      <c r="OBM107" s="17"/>
      <c r="OBN107" s="17"/>
      <c r="OBO107" s="17"/>
      <c r="OBP107" s="17"/>
      <c r="OBQ107" s="17"/>
      <c r="OBR107" s="17"/>
      <c r="OBS107" s="17"/>
      <c r="OBT107" s="17"/>
      <c r="OBU107" s="17"/>
      <c r="OBV107" s="17"/>
      <c r="OBW107" s="17"/>
      <c r="OBX107" s="17"/>
      <c r="OBY107" s="17"/>
      <c r="OBZ107" s="17"/>
      <c r="OCA107" s="17"/>
      <c r="OCB107" s="17"/>
      <c r="OCC107" s="17"/>
      <c r="OCD107" s="17"/>
      <c r="OCE107" s="17"/>
      <c r="OCF107" s="17"/>
      <c r="OCG107" s="17"/>
      <c r="OCH107" s="17"/>
      <c r="OCI107" s="17"/>
      <c r="OCJ107" s="17"/>
      <c r="OCK107" s="17"/>
      <c r="OCL107" s="17"/>
      <c r="OCM107" s="17"/>
      <c r="OCN107" s="17"/>
      <c r="OCO107" s="17"/>
      <c r="OCP107" s="17"/>
      <c r="OCQ107" s="17"/>
      <c r="OCR107" s="17"/>
      <c r="OCS107" s="17"/>
      <c r="OCT107" s="17"/>
      <c r="OCU107" s="17"/>
      <c r="OCV107" s="17"/>
      <c r="OCW107" s="17"/>
      <c r="OCX107" s="17"/>
      <c r="OCY107" s="17"/>
      <c r="OCZ107" s="17"/>
      <c r="ODA107" s="17"/>
      <c r="ODB107" s="17"/>
      <c r="ODC107" s="17"/>
      <c r="ODD107" s="17"/>
      <c r="ODE107" s="17"/>
      <c r="ODF107" s="17"/>
      <c r="ODG107" s="17"/>
      <c r="ODH107" s="17"/>
      <c r="ODI107" s="17"/>
      <c r="ODJ107" s="17"/>
      <c r="ODK107" s="17"/>
      <c r="ODL107" s="17"/>
      <c r="ODM107" s="17"/>
      <c r="ODN107" s="17"/>
      <c r="ODO107" s="17"/>
      <c r="ODP107" s="17"/>
      <c r="ODQ107" s="17"/>
      <c r="ODR107" s="17"/>
      <c r="ODS107" s="17"/>
      <c r="ODT107" s="17"/>
      <c r="ODU107" s="17"/>
      <c r="ODV107" s="17"/>
      <c r="ODW107" s="17"/>
      <c r="ODX107" s="17"/>
      <c r="ODY107" s="17"/>
      <c r="ODZ107" s="17"/>
      <c r="OEA107" s="17"/>
      <c r="OEB107" s="17"/>
      <c r="OEC107" s="17"/>
      <c r="OED107" s="17"/>
      <c r="OEE107" s="17"/>
      <c r="OEF107" s="17"/>
      <c r="OEG107" s="17"/>
      <c r="OEH107" s="17"/>
      <c r="OEI107" s="17"/>
      <c r="OEJ107" s="17"/>
      <c r="OEK107" s="17"/>
      <c r="OEL107" s="17"/>
      <c r="OEM107" s="17"/>
      <c r="OEN107" s="17"/>
      <c r="OEO107" s="17"/>
      <c r="OEP107" s="17"/>
      <c r="OEQ107" s="17"/>
      <c r="OER107" s="17"/>
      <c r="OES107" s="17"/>
      <c r="OET107" s="17"/>
      <c r="OEU107" s="17"/>
      <c r="OEV107" s="17"/>
      <c r="OEW107" s="17"/>
      <c r="OEX107" s="17"/>
      <c r="OEY107" s="17"/>
      <c r="OEZ107" s="17"/>
      <c r="OFA107" s="17"/>
      <c r="OFB107" s="17"/>
      <c r="OFC107" s="17"/>
      <c r="OFD107" s="17"/>
      <c r="OFE107" s="17"/>
      <c r="OFF107" s="17"/>
      <c r="OFG107" s="17"/>
      <c r="OFH107" s="17"/>
      <c r="OFI107" s="17"/>
      <c r="OFJ107" s="17"/>
      <c r="OFK107" s="17"/>
      <c r="OFL107" s="17"/>
      <c r="OFM107" s="17"/>
      <c r="OFN107" s="17"/>
      <c r="OFO107" s="17"/>
      <c r="OFP107" s="17"/>
      <c r="OFQ107" s="17"/>
      <c r="OFR107" s="17"/>
      <c r="OFS107" s="17"/>
      <c r="OFT107" s="17"/>
      <c r="OFU107" s="17"/>
      <c r="OFV107" s="17"/>
      <c r="OFW107" s="17"/>
      <c r="OFX107" s="17"/>
      <c r="OFY107" s="17"/>
      <c r="OFZ107" s="17"/>
      <c r="OGA107" s="17"/>
      <c r="OGB107" s="17"/>
      <c r="OGC107" s="17"/>
      <c r="OGD107" s="17"/>
      <c r="OGE107" s="17"/>
      <c r="OGF107" s="17"/>
      <c r="OGG107" s="17"/>
      <c r="OGH107" s="17"/>
      <c r="OGI107" s="17"/>
      <c r="OGJ107" s="17"/>
      <c r="OGK107" s="17"/>
      <c r="OGL107" s="17"/>
      <c r="OGM107" s="17"/>
      <c r="OGN107" s="17"/>
      <c r="OGO107" s="17"/>
      <c r="OGP107" s="17"/>
      <c r="OGQ107" s="17"/>
      <c r="OGR107" s="17"/>
      <c r="OGS107" s="17"/>
      <c r="OGT107" s="17"/>
      <c r="OGU107" s="17"/>
      <c r="OGV107" s="17"/>
      <c r="OGW107" s="17"/>
      <c r="OGX107" s="17"/>
      <c r="OGY107" s="17"/>
      <c r="OGZ107" s="17"/>
      <c r="OHA107" s="17"/>
      <c r="OHB107" s="17"/>
      <c r="OHC107" s="17"/>
      <c r="OHD107" s="17"/>
      <c r="OHE107" s="17"/>
      <c r="OHF107" s="17"/>
      <c r="OHG107" s="17"/>
      <c r="OHH107" s="17"/>
      <c r="OHI107" s="17"/>
      <c r="OHJ107" s="17"/>
      <c r="OHK107" s="17"/>
      <c r="OHL107" s="17"/>
      <c r="OHM107" s="17"/>
      <c r="OHN107" s="17"/>
      <c r="OHO107" s="17"/>
      <c r="OHP107" s="17"/>
      <c r="OHQ107" s="17"/>
      <c r="OHR107" s="17"/>
      <c r="OHS107" s="17"/>
      <c r="OHT107" s="17"/>
      <c r="OHU107" s="17"/>
      <c r="OHV107" s="17"/>
      <c r="OHW107" s="17"/>
      <c r="OHX107" s="17"/>
      <c r="OHY107" s="17"/>
      <c r="OHZ107" s="17"/>
      <c r="OIA107" s="17"/>
      <c r="OIB107" s="17"/>
      <c r="OIC107" s="17"/>
      <c r="OID107" s="17"/>
      <c r="OIE107" s="17"/>
      <c r="OIF107" s="17"/>
      <c r="OIG107" s="17"/>
      <c r="OIH107" s="17"/>
      <c r="OII107" s="17"/>
      <c r="OIJ107" s="17"/>
      <c r="OIK107" s="17"/>
      <c r="OIL107" s="17"/>
      <c r="OIM107" s="17"/>
      <c r="OIN107" s="17"/>
      <c r="OIO107" s="17"/>
      <c r="OIP107" s="17"/>
      <c r="OIQ107" s="17"/>
      <c r="OIR107" s="17"/>
      <c r="OIS107" s="17"/>
      <c r="OIT107" s="17"/>
      <c r="OIU107" s="17"/>
      <c r="OIV107" s="17"/>
      <c r="OIW107" s="17"/>
      <c r="OIX107" s="17"/>
      <c r="OIY107" s="17"/>
      <c r="OIZ107" s="17"/>
      <c r="OJA107" s="17"/>
      <c r="OJB107" s="17"/>
      <c r="OJC107" s="17"/>
      <c r="OJD107" s="17"/>
      <c r="OJE107" s="17"/>
      <c r="OJF107" s="17"/>
      <c r="OJG107" s="17"/>
      <c r="OJH107" s="17"/>
      <c r="OJI107" s="17"/>
      <c r="OJJ107" s="17"/>
      <c r="OJK107" s="17"/>
      <c r="OJL107" s="17"/>
      <c r="OJM107" s="17"/>
      <c r="OJN107" s="17"/>
      <c r="OJO107" s="17"/>
      <c r="OJP107" s="17"/>
      <c r="OJQ107" s="17"/>
      <c r="OJR107" s="17"/>
      <c r="OJS107" s="17"/>
      <c r="OJT107" s="17"/>
      <c r="OJU107" s="17"/>
      <c r="OJV107" s="17"/>
      <c r="OJW107" s="17"/>
      <c r="OJX107" s="17"/>
      <c r="OJY107" s="17"/>
      <c r="OJZ107" s="17"/>
      <c r="OKA107" s="17"/>
      <c r="OKB107" s="17"/>
      <c r="OKC107" s="17"/>
      <c r="OKD107" s="17"/>
      <c r="OKE107" s="17"/>
      <c r="OKF107" s="17"/>
      <c r="OKG107" s="17"/>
      <c r="OKH107" s="17"/>
      <c r="OKI107" s="17"/>
      <c r="OKJ107" s="17"/>
      <c r="OKK107" s="17"/>
      <c r="OKL107" s="17"/>
      <c r="OKM107" s="17"/>
      <c r="OKN107" s="17"/>
      <c r="OKO107" s="17"/>
      <c r="OKP107" s="17"/>
      <c r="OKQ107" s="17"/>
      <c r="OKR107" s="17"/>
      <c r="OKS107" s="17"/>
      <c r="OKT107" s="17"/>
      <c r="OKU107" s="17"/>
      <c r="OKV107" s="17"/>
      <c r="OKW107" s="17"/>
      <c r="OKX107" s="17"/>
      <c r="OKY107" s="17"/>
      <c r="OKZ107" s="17"/>
      <c r="OLA107" s="17"/>
      <c r="OLB107" s="17"/>
      <c r="OLC107" s="17"/>
      <c r="OLD107" s="17"/>
      <c r="OLE107" s="17"/>
      <c r="OLF107" s="17"/>
      <c r="OLG107" s="17"/>
      <c r="OLH107" s="17"/>
      <c r="OLI107" s="17"/>
      <c r="OLJ107" s="17"/>
      <c r="OLK107" s="17"/>
      <c r="OLL107" s="17"/>
      <c r="OLM107" s="17"/>
      <c r="OLN107" s="17"/>
      <c r="OLO107" s="17"/>
      <c r="OLP107" s="17"/>
      <c r="OLQ107" s="17"/>
      <c r="OLR107" s="17"/>
      <c r="OLS107" s="17"/>
      <c r="OLT107" s="17"/>
      <c r="OLU107" s="17"/>
      <c r="OLV107" s="17"/>
      <c r="OLW107" s="17"/>
      <c r="OLX107" s="17"/>
      <c r="OLY107" s="17"/>
      <c r="OLZ107" s="17"/>
      <c r="OMA107" s="17"/>
      <c r="OMB107" s="17"/>
      <c r="OMC107" s="17"/>
      <c r="OMD107" s="17"/>
      <c r="OME107" s="17"/>
      <c r="OMF107" s="17"/>
      <c r="OMG107" s="17"/>
      <c r="OMH107" s="17"/>
      <c r="OMI107" s="17"/>
      <c r="OMJ107" s="17"/>
      <c r="OMK107" s="17"/>
      <c r="OML107" s="17"/>
      <c r="OMM107" s="17"/>
      <c r="OMN107" s="17"/>
      <c r="OMO107" s="17"/>
      <c r="OMP107" s="17"/>
      <c r="OMQ107" s="17"/>
      <c r="OMR107" s="17"/>
      <c r="OMS107" s="17"/>
      <c r="OMT107" s="17"/>
      <c r="OMU107" s="17"/>
      <c r="OMV107" s="17"/>
      <c r="OMW107" s="17"/>
      <c r="OMX107" s="17"/>
      <c r="OMY107" s="17"/>
      <c r="OMZ107" s="17"/>
      <c r="ONA107" s="17"/>
      <c r="ONB107" s="17"/>
      <c r="ONC107" s="17"/>
      <c r="OND107" s="17"/>
      <c r="ONE107" s="17"/>
      <c r="ONF107" s="17"/>
      <c r="ONG107" s="17"/>
      <c r="ONH107" s="17"/>
      <c r="ONI107" s="17"/>
      <c r="ONJ107" s="17"/>
      <c r="ONK107" s="17"/>
      <c r="ONL107" s="17"/>
      <c r="ONM107" s="17"/>
      <c r="ONN107" s="17"/>
      <c r="ONO107" s="17"/>
      <c r="ONP107" s="17"/>
      <c r="ONQ107" s="17"/>
      <c r="ONR107" s="17"/>
      <c r="ONS107" s="17"/>
      <c r="ONT107" s="17"/>
      <c r="ONU107" s="17"/>
      <c r="ONV107" s="17"/>
      <c r="ONW107" s="17"/>
      <c r="ONX107" s="17"/>
      <c r="ONY107" s="17"/>
      <c r="ONZ107" s="17"/>
      <c r="OOA107" s="17"/>
      <c r="OOB107" s="17"/>
      <c r="OOC107" s="17"/>
      <c r="OOD107" s="17"/>
      <c r="OOE107" s="17"/>
      <c r="OOF107" s="17"/>
      <c r="OOG107" s="17"/>
      <c r="OOH107" s="17"/>
      <c r="OOI107" s="17"/>
      <c r="OOJ107" s="17"/>
      <c r="OOK107" s="17"/>
      <c r="OOL107" s="17"/>
      <c r="OOM107" s="17"/>
      <c r="OON107" s="17"/>
      <c r="OOO107" s="17"/>
      <c r="OOP107" s="17"/>
      <c r="OOQ107" s="17"/>
      <c r="OOR107" s="17"/>
      <c r="OOS107" s="17"/>
      <c r="OOT107" s="17"/>
      <c r="OOU107" s="17"/>
      <c r="OOV107" s="17"/>
      <c r="OOW107" s="17"/>
      <c r="OOX107" s="17"/>
      <c r="OOY107" s="17"/>
      <c r="OOZ107" s="17"/>
      <c r="OPA107" s="17"/>
      <c r="OPB107" s="17"/>
      <c r="OPC107" s="17"/>
      <c r="OPD107" s="17"/>
      <c r="OPE107" s="17"/>
      <c r="OPF107" s="17"/>
      <c r="OPG107" s="17"/>
      <c r="OPH107" s="17"/>
      <c r="OPI107" s="17"/>
      <c r="OPJ107" s="17"/>
      <c r="OPK107" s="17"/>
      <c r="OPL107" s="17"/>
      <c r="OPM107" s="17"/>
      <c r="OPN107" s="17"/>
      <c r="OPO107" s="17"/>
      <c r="OPP107" s="17"/>
      <c r="OPQ107" s="17"/>
      <c r="OPR107" s="17"/>
      <c r="OPS107" s="17"/>
      <c r="OPT107" s="17"/>
      <c r="OPU107" s="17"/>
      <c r="OPV107" s="17"/>
      <c r="OPW107" s="17"/>
      <c r="OPX107" s="17"/>
      <c r="OPY107" s="17"/>
      <c r="OPZ107" s="17"/>
      <c r="OQA107" s="17"/>
      <c r="OQB107" s="17"/>
      <c r="OQC107" s="17"/>
      <c r="OQD107" s="17"/>
      <c r="OQE107" s="17"/>
      <c r="OQF107" s="17"/>
      <c r="OQG107" s="17"/>
      <c r="OQH107" s="17"/>
      <c r="OQI107" s="17"/>
      <c r="OQJ107" s="17"/>
      <c r="OQK107" s="17"/>
      <c r="OQL107" s="17"/>
      <c r="OQM107" s="17"/>
      <c r="OQN107" s="17"/>
      <c r="OQO107" s="17"/>
      <c r="OQP107" s="17"/>
      <c r="OQQ107" s="17"/>
      <c r="OQR107" s="17"/>
      <c r="OQS107" s="17"/>
      <c r="OQT107" s="17"/>
      <c r="OQU107" s="17"/>
      <c r="OQV107" s="17"/>
      <c r="OQW107" s="17"/>
      <c r="OQX107" s="17"/>
      <c r="OQY107" s="17"/>
      <c r="OQZ107" s="17"/>
      <c r="ORA107" s="17"/>
      <c r="ORB107" s="17"/>
      <c r="ORC107" s="17"/>
      <c r="ORD107" s="17"/>
      <c r="ORE107" s="17"/>
      <c r="ORF107" s="17"/>
      <c r="ORG107" s="17"/>
      <c r="ORH107" s="17"/>
      <c r="ORI107" s="17"/>
      <c r="ORJ107" s="17"/>
      <c r="ORK107" s="17"/>
      <c r="ORL107" s="17"/>
      <c r="ORM107" s="17"/>
      <c r="ORN107" s="17"/>
      <c r="ORO107" s="17"/>
      <c r="ORP107" s="17"/>
      <c r="ORQ107" s="17"/>
      <c r="ORR107" s="17"/>
      <c r="ORS107" s="17"/>
      <c r="ORT107" s="17"/>
      <c r="ORU107" s="17"/>
      <c r="ORV107" s="17"/>
      <c r="ORW107" s="17"/>
      <c r="ORX107" s="17"/>
      <c r="ORY107" s="17"/>
      <c r="ORZ107" s="17"/>
      <c r="OSA107" s="17"/>
      <c r="OSB107" s="17"/>
      <c r="OSC107" s="17"/>
      <c r="OSD107" s="17"/>
      <c r="OSE107" s="17"/>
      <c r="OSF107" s="17"/>
      <c r="OSG107" s="17"/>
      <c r="OSH107" s="17"/>
      <c r="OSI107" s="17"/>
      <c r="OSJ107" s="17"/>
      <c r="OSK107" s="17"/>
      <c r="OSL107" s="17"/>
      <c r="OSM107" s="17"/>
      <c r="OSN107" s="17"/>
      <c r="OSO107" s="17"/>
      <c r="OSP107" s="17"/>
      <c r="OSQ107" s="17"/>
      <c r="OSR107" s="17"/>
      <c r="OSS107" s="17"/>
      <c r="OST107" s="17"/>
      <c r="OSU107" s="17"/>
      <c r="OSV107" s="17"/>
      <c r="OSW107" s="17"/>
      <c r="OSX107" s="17"/>
      <c r="OSY107" s="17"/>
      <c r="OSZ107" s="17"/>
      <c r="OTA107" s="17"/>
      <c r="OTB107" s="17"/>
      <c r="OTC107" s="17"/>
      <c r="OTD107" s="17"/>
      <c r="OTE107" s="17"/>
      <c r="OTF107" s="17"/>
      <c r="OTG107" s="17"/>
      <c r="OTH107" s="17"/>
      <c r="OTI107" s="17"/>
      <c r="OTJ107" s="17"/>
      <c r="OTK107" s="17"/>
      <c r="OTL107" s="17"/>
      <c r="OTM107" s="17"/>
      <c r="OTN107" s="17"/>
      <c r="OTO107" s="17"/>
      <c r="OTP107" s="17"/>
      <c r="OTQ107" s="17"/>
      <c r="OTR107" s="17"/>
      <c r="OTS107" s="17"/>
      <c r="OTT107" s="17"/>
      <c r="OTU107" s="17"/>
      <c r="OTV107" s="17"/>
      <c r="OTW107" s="17"/>
      <c r="OTX107" s="17"/>
      <c r="OTY107" s="17"/>
      <c r="OTZ107" s="17"/>
      <c r="OUA107" s="17"/>
      <c r="OUB107" s="17"/>
      <c r="OUC107" s="17"/>
      <c r="OUD107" s="17"/>
      <c r="OUE107" s="17"/>
      <c r="OUF107" s="17"/>
      <c r="OUG107" s="17"/>
      <c r="OUH107" s="17"/>
      <c r="OUI107" s="17"/>
      <c r="OUJ107" s="17"/>
      <c r="OUK107" s="17"/>
      <c r="OUL107" s="17"/>
      <c r="OUM107" s="17"/>
      <c r="OUN107" s="17"/>
      <c r="OUO107" s="17"/>
      <c r="OUP107" s="17"/>
      <c r="OUQ107" s="17"/>
      <c r="OUR107" s="17"/>
      <c r="OUS107" s="17"/>
      <c r="OUT107" s="17"/>
      <c r="OUU107" s="17"/>
      <c r="OUV107" s="17"/>
      <c r="OUW107" s="17"/>
      <c r="OUX107" s="17"/>
      <c r="OUY107" s="17"/>
      <c r="OUZ107" s="17"/>
      <c r="OVA107" s="17"/>
      <c r="OVB107" s="17"/>
      <c r="OVC107" s="17"/>
      <c r="OVD107" s="17"/>
      <c r="OVE107" s="17"/>
      <c r="OVF107" s="17"/>
      <c r="OVG107" s="17"/>
      <c r="OVH107" s="17"/>
      <c r="OVI107" s="17"/>
      <c r="OVJ107" s="17"/>
      <c r="OVK107" s="17"/>
      <c r="OVL107" s="17"/>
      <c r="OVM107" s="17"/>
      <c r="OVN107" s="17"/>
      <c r="OVO107" s="17"/>
      <c r="OVP107" s="17"/>
      <c r="OVQ107" s="17"/>
      <c r="OVR107" s="17"/>
      <c r="OVS107" s="17"/>
      <c r="OVT107" s="17"/>
      <c r="OVU107" s="17"/>
      <c r="OVV107" s="17"/>
      <c r="OVW107" s="17"/>
      <c r="OVX107" s="17"/>
      <c r="OVY107" s="17"/>
      <c r="OVZ107" s="17"/>
      <c r="OWA107" s="17"/>
      <c r="OWB107" s="17"/>
      <c r="OWC107" s="17"/>
      <c r="OWD107" s="17"/>
      <c r="OWE107" s="17"/>
      <c r="OWF107" s="17"/>
      <c r="OWG107" s="17"/>
      <c r="OWH107" s="17"/>
      <c r="OWI107" s="17"/>
      <c r="OWJ107" s="17"/>
      <c r="OWK107" s="17"/>
      <c r="OWL107" s="17"/>
      <c r="OWM107" s="17"/>
      <c r="OWN107" s="17"/>
      <c r="OWO107" s="17"/>
      <c r="OWP107" s="17"/>
      <c r="OWQ107" s="17"/>
      <c r="OWR107" s="17"/>
      <c r="OWS107" s="17"/>
      <c r="OWT107" s="17"/>
      <c r="OWU107" s="17"/>
      <c r="OWV107" s="17"/>
      <c r="OWW107" s="17"/>
      <c r="OWX107" s="17"/>
      <c r="OWY107" s="17"/>
      <c r="OWZ107" s="17"/>
      <c r="OXA107" s="17"/>
      <c r="OXB107" s="17"/>
      <c r="OXC107" s="17"/>
      <c r="OXD107" s="17"/>
      <c r="OXE107" s="17"/>
      <c r="OXF107" s="17"/>
      <c r="OXG107" s="17"/>
      <c r="OXH107" s="17"/>
      <c r="OXI107" s="17"/>
      <c r="OXJ107" s="17"/>
      <c r="OXK107" s="17"/>
      <c r="OXL107" s="17"/>
      <c r="OXM107" s="17"/>
      <c r="OXN107" s="17"/>
      <c r="OXO107" s="17"/>
      <c r="OXP107" s="17"/>
      <c r="OXQ107" s="17"/>
      <c r="OXR107" s="17"/>
      <c r="OXS107" s="17"/>
      <c r="OXT107" s="17"/>
      <c r="OXU107" s="17"/>
      <c r="OXV107" s="17"/>
      <c r="OXW107" s="17"/>
      <c r="OXX107" s="17"/>
      <c r="OXY107" s="17"/>
      <c r="OXZ107" s="17"/>
      <c r="OYA107" s="17"/>
      <c r="OYB107" s="17"/>
      <c r="OYC107" s="17"/>
      <c r="OYD107" s="17"/>
      <c r="OYE107" s="17"/>
      <c r="OYF107" s="17"/>
      <c r="OYG107" s="17"/>
      <c r="OYH107" s="17"/>
      <c r="OYI107" s="17"/>
      <c r="OYJ107" s="17"/>
      <c r="OYK107" s="17"/>
      <c r="OYL107" s="17"/>
      <c r="OYM107" s="17"/>
      <c r="OYN107" s="17"/>
      <c r="OYO107" s="17"/>
      <c r="OYP107" s="17"/>
      <c r="OYQ107" s="17"/>
      <c r="OYR107" s="17"/>
      <c r="OYS107" s="17"/>
      <c r="OYT107" s="17"/>
      <c r="OYU107" s="17"/>
      <c r="OYV107" s="17"/>
      <c r="OYW107" s="17"/>
      <c r="OYX107" s="17"/>
      <c r="OYY107" s="17"/>
      <c r="OYZ107" s="17"/>
      <c r="OZA107" s="17"/>
      <c r="OZB107" s="17"/>
      <c r="OZC107" s="17"/>
      <c r="OZD107" s="17"/>
      <c r="OZE107" s="17"/>
      <c r="OZF107" s="17"/>
      <c r="OZG107" s="17"/>
      <c r="OZH107" s="17"/>
      <c r="OZI107" s="17"/>
      <c r="OZJ107" s="17"/>
      <c r="OZK107" s="17"/>
      <c r="OZL107" s="17"/>
      <c r="OZM107" s="17"/>
      <c r="OZN107" s="17"/>
      <c r="OZO107" s="17"/>
      <c r="OZP107" s="17"/>
      <c r="OZQ107" s="17"/>
      <c r="OZR107" s="17"/>
      <c r="OZS107" s="17"/>
      <c r="OZT107" s="17"/>
      <c r="OZU107" s="17"/>
      <c r="OZV107" s="17"/>
      <c r="OZW107" s="17"/>
      <c r="OZX107" s="17"/>
      <c r="OZY107" s="17"/>
      <c r="OZZ107" s="17"/>
      <c r="PAA107" s="17"/>
      <c r="PAB107" s="17"/>
      <c r="PAC107" s="17"/>
      <c r="PAD107" s="17"/>
      <c r="PAE107" s="17"/>
      <c r="PAF107" s="17"/>
      <c r="PAG107" s="17"/>
      <c r="PAH107" s="17"/>
      <c r="PAI107" s="17"/>
      <c r="PAJ107" s="17"/>
      <c r="PAK107" s="17"/>
      <c r="PAL107" s="17"/>
      <c r="PAM107" s="17"/>
      <c r="PAN107" s="17"/>
      <c r="PAO107" s="17"/>
      <c r="PAP107" s="17"/>
      <c r="PAQ107" s="17"/>
      <c r="PAR107" s="17"/>
      <c r="PAS107" s="17"/>
      <c r="PAT107" s="17"/>
      <c r="PAU107" s="17"/>
      <c r="PAV107" s="17"/>
      <c r="PAW107" s="17"/>
      <c r="PAX107" s="17"/>
      <c r="PAY107" s="17"/>
      <c r="PAZ107" s="17"/>
      <c r="PBA107" s="17"/>
      <c r="PBB107" s="17"/>
      <c r="PBC107" s="17"/>
      <c r="PBD107" s="17"/>
      <c r="PBE107" s="17"/>
      <c r="PBF107" s="17"/>
      <c r="PBG107" s="17"/>
      <c r="PBH107" s="17"/>
      <c r="PBI107" s="17"/>
      <c r="PBJ107" s="17"/>
      <c r="PBK107" s="17"/>
      <c r="PBL107" s="17"/>
      <c r="PBM107" s="17"/>
      <c r="PBN107" s="17"/>
      <c r="PBO107" s="17"/>
      <c r="PBP107" s="17"/>
      <c r="PBQ107" s="17"/>
      <c r="PBR107" s="17"/>
      <c r="PBS107" s="17"/>
      <c r="PBT107" s="17"/>
      <c r="PBU107" s="17"/>
      <c r="PBV107" s="17"/>
      <c r="PBW107" s="17"/>
      <c r="PBX107" s="17"/>
      <c r="PBY107" s="17"/>
      <c r="PBZ107" s="17"/>
      <c r="PCA107" s="17"/>
      <c r="PCB107" s="17"/>
      <c r="PCC107" s="17"/>
      <c r="PCD107" s="17"/>
      <c r="PCE107" s="17"/>
      <c r="PCF107" s="17"/>
      <c r="PCG107" s="17"/>
      <c r="PCH107" s="17"/>
      <c r="PCI107" s="17"/>
      <c r="PCJ107" s="17"/>
      <c r="PCK107" s="17"/>
      <c r="PCL107" s="17"/>
      <c r="PCM107" s="17"/>
      <c r="PCN107" s="17"/>
      <c r="PCO107" s="17"/>
      <c r="PCP107" s="17"/>
      <c r="PCQ107" s="17"/>
      <c r="PCR107" s="17"/>
      <c r="PCS107" s="17"/>
      <c r="PCT107" s="17"/>
      <c r="PCU107" s="17"/>
      <c r="PCV107" s="17"/>
      <c r="PCW107" s="17"/>
      <c r="PCX107" s="17"/>
      <c r="PCY107" s="17"/>
      <c r="PCZ107" s="17"/>
      <c r="PDA107" s="17"/>
      <c r="PDB107" s="17"/>
      <c r="PDC107" s="17"/>
      <c r="PDD107" s="17"/>
      <c r="PDE107" s="17"/>
      <c r="PDF107" s="17"/>
      <c r="PDG107" s="17"/>
      <c r="PDH107" s="17"/>
      <c r="PDI107" s="17"/>
      <c r="PDJ107" s="17"/>
      <c r="PDK107" s="17"/>
      <c r="PDL107" s="17"/>
      <c r="PDM107" s="17"/>
      <c r="PDN107" s="17"/>
      <c r="PDO107" s="17"/>
      <c r="PDP107" s="17"/>
      <c r="PDQ107" s="17"/>
      <c r="PDR107" s="17"/>
      <c r="PDS107" s="17"/>
      <c r="PDT107" s="17"/>
      <c r="PDU107" s="17"/>
      <c r="PDV107" s="17"/>
      <c r="PDW107" s="17"/>
      <c r="PDX107" s="17"/>
      <c r="PDY107" s="17"/>
      <c r="PDZ107" s="17"/>
      <c r="PEA107" s="17"/>
      <c r="PEB107" s="17"/>
      <c r="PEC107" s="17"/>
      <c r="PED107" s="17"/>
      <c r="PEE107" s="17"/>
      <c r="PEF107" s="17"/>
      <c r="PEG107" s="17"/>
      <c r="PEH107" s="17"/>
      <c r="PEI107" s="17"/>
      <c r="PEJ107" s="17"/>
      <c r="PEK107" s="17"/>
      <c r="PEL107" s="17"/>
      <c r="PEM107" s="17"/>
      <c r="PEN107" s="17"/>
      <c r="PEO107" s="17"/>
      <c r="PEP107" s="17"/>
      <c r="PEQ107" s="17"/>
      <c r="PER107" s="17"/>
      <c r="PES107" s="17"/>
      <c r="PET107" s="17"/>
      <c r="PEU107" s="17"/>
      <c r="PEV107" s="17"/>
      <c r="PEW107" s="17"/>
      <c r="PEX107" s="17"/>
      <c r="PEY107" s="17"/>
      <c r="PEZ107" s="17"/>
      <c r="PFA107" s="17"/>
      <c r="PFB107" s="17"/>
      <c r="PFC107" s="17"/>
      <c r="PFD107" s="17"/>
      <c r="PFE107" s="17"/>
      <c r="PFF107" s="17"/>
      <c r="PFG107" s="17"/>
      <c r="PFH107" s="17"/>
      <c r="PFI107" s="17"/>
      <c r="PFJ107" s="17"/>
      <c r="PFK107" s="17"/>
      <c r="PFL107" s="17"/>
      <c r="PFM107" s="17"/>
      <c r="PFN107" s="17"/>
      <c r="PFO107" s="17"/>
      <c r="PFP107" s="17"/>
      <c r="PFQ107" s="17"/>
      <c r="PFR107" s="17"/>
      <c r="PFS107" s="17"/>
      <c r="PFT107" s="17"/>
      <c r="PFU107" s="17"/>
      <c r="PFV107" s="17"/>
      <c r="PFW107" s="17"/>
      <c r="PFX107" s="17"/>
      <c r="PFY107" s="17"/>
      <c r="PFZ107" s="17"/>
      <c r="PGA107" s="17"/>
      <c r="PGB107" s="17"/>
      <c r="PGC107" s="17"/>
      <c r="PGD107" s="17"/>
      <c r="PGE107" s="17"/>
      <c r="PGF107" s="17"/>
      <c r="PGG107" s="17"/>
      <c r="PGH107" s="17"/>
      <c r="PGI107" s="17"/>
      <c r="PGJ107" s="17"/>
      <c r="PGK107" s="17"/>
      <c r="PGL107" s="17"/>
      <c r="PGM107" s="17"/>
      <c r="PGN107" s="17"/>
      <c r="PGO107" s="17"/>
      <c r="PGP107" s="17"/>
      <c r="PGQ107" s="17"/>
      <c r="PGR107" s="17"/>
      <c r="PGS107" s="17"/>
      <c r="PGT107" s="17"/>
      <c r="PGU107" s="17"/>
      <c r="PGV107" s="17"/>
      <c r="PGW107" s="17"/>
      <c r="PGX107" s="17"/>
      <c r="PGY107" s="17"/>
      <c r="PGZ107" s="17"/>
      <c r="PHA107" s="17"/>
      <c r="PHB107" s="17"/>
      <c r="PHC107" s="17"/>
      <c r="PHD107" s="17"/>
      <c r="PHE107" s="17"/>
      <c r="PHF107" s="17"/>
      <c r="PHG107" s="17"/>
      <c r="PHH107" s="17"/>
      <c r="PHI107" s="17"/>
      <c r="PHJ107" s="17"/>
      <c r="PHK107" s="17"/>
      <c r="PHL107" s="17"/>
      <c r="PHM107" s="17"/>
      <c r="PHN107" s="17"/>
      <c r="PHO107" s="17"/>
      <c r="PHP107" s="17"/>
      <c r="PHQ107" s="17"/>
      <c r="PHR107" s="17"/>
      <c r="PHS107" s="17"/>
      <c r="PHT107" s="17"/>
      <c r="PHU107" s="17"/>
      <c r="PHV107" s="17"/>
      <c r="PHW107" s="17"/>
      <c r="PHX107" s="17"/>
      <c r="PHY107" s="17"/>
      <c r="PHZ107" s="17"/>
      <c r="PIA107" s="17"/>
      <c r="PIB107" s="17"/>
      <c r="PIC107" s="17"/>
      <c r="PID107" s="17"/>
      <c r="PIE107" s="17"/>
      <c r="PIF107" s="17"/>
      <c r="PIG107" s="17"/>
      <c r="PIH107" s="17"/>
      <c r="PII107" s="17"/>
      <c r="PIJ107" s="17"/>
      <c r="PIK107" s="17"/>
      <c r="PIL107" s="17"/>
      <c r="PIM107" s="17"/>
      <c r="PIN107" s="17"/>
      <c r="PIO107" s="17"/>
      <c r="PIP107" s="17"/>
      <c r="PIQ107" s="17"/>
      <c r="PIR107" s="17"/>
      <c r="PIS107" s="17"/>
      <c r="PIT107" s="17"/>
      <c r="PIU107" s="17"/>
      <c r="PIV107" s="17"/>
      <c r="PIW107" s="17"/>
      <c r="PIX107" s="17"/>
      <c r="PIY107" s="17"/>
      <c r="PIZ107" s="17"/>
      <c r="PJA107" s="17"/>
      <c r="PJB107" s="17"/>
      <c r="PJC107" s="17"/>
      <c r="PJD107" s="17"/>
      <c r="PJE107" s="17"/>
      <c r="PJF107" s="17"/>
      <c r="PJG107" s="17"/>
      <c r="PJH107" s="17"/>
      <c r="PJI107" s="17"/>
      <c r="PJJ107" s="17"/>
      <c r="PJK107" s="17"/>
      <c r="PJL107" s="17"/>
      <c r="PJM107" s="17"/>
      <c r="PJN107" s="17"/>
      <c r="PJO107" s="17"/>
      <c r="PJP107" s="17"/>
      <c r="PJQ107" s="17"/>
      <c r="PJR107" s="17"/>
      <c r="PJS107" s="17"/>
      <c r="PJT107" s="17"/>
      <c r="PJU107" s="17"/>
      <c r="PJV107" s="17"/>
      <c r="PJW107" s="17"/>
      <c r="PJX107" s="17"/>
      <c r="PJY107" s="17"/>
      <c r="PJZ107" s="17"/>
      <c r="PKA107" s="17"/>
      <c r="PKB107" s="17"/>
      <c r="PKC107" s="17"/>
      <c r="PKD107" s="17"/>
      <c r="PKE107" s="17"/>
      <c r="PKF107" s="17"/>
      <c r="PKG107" s="17"/>
      <c r="PKH107" s="17"/>
      <c r="PKI107" s="17"/>
      <c r="PKJ107" s="17"/>
      <c r="PKK107" s="17"/>
      <c r="PKL107" s="17"/>
      <c r="PKM107" s="17"/>
      <c r="PKN107" s="17"/>
      <c r="PKO107" s="17"/>
      <c r="PKP107" s="17"/>
      <c r="PKQ107" s="17"/>
      <c r="PKR107" s="17"/>
      <c r="PKS107" s="17"/>
      <c r="PKT107" s="17"/>
      <c r="PKU107" s="17"/>
      <c r="PKV107" s="17"/>
      <c r="PKW107" s="17"/>
      <c r="PKX107" s="17"/>
      <c r="PKY107" s="17"/>
      <c r="PKZ107" s="17"/>
      <c r="PLA107" s="17"/>
      <c r="PLB107" s="17"/>
      <c r="PLC107" s="17"/>
      <c r="PLD107" s="17"/>
      <c r="PLE107" s="17"/>
      <c r="PLF107" s="17"/>
      <c r="PLG107" s="17"/>
      <c r="PLH107" s="17"/>
      <c r="PLI107" s="17"/>
      <c r="PLJ107" s="17"/>
      <c r="PLK107" s="17"/>
      <c r="PLL107" s="17"/>
      <c r="PLM107" s="17"/>
      <c r="PLN107" s="17"/>
      <c r="PLO107" s="17"/>
      <c r="PLP107" s="17"/>
      <c r="PLQ107" s="17"/>
      <c r="PLR107" s="17"/>
      <c r="PLS107" s="17"/>
      <c r="PLT107" s="17"/>
      <c r="PLU107" s="17"/>
      <c r="PLV107" s="17"/>
      <c r="PLW107" s="17"/>
      <c r="PLX107" s="17"/>
      <c r="PLY107" s="17"/>
      <c r="PLZ107" s="17"/>
      <c r="PMA107" s="17"/>
      <c r="PMB107" s="17"/>
      <c r="PMC107" s="17"/>
      <c r="PMD107" s="17"/>
      <c r="PME107" s="17"/>
      <c r="PMF107" s="17"/>
      <c r="PMG107" s="17"/>
      <c r="PMH107" s="17"/>
      <c r="PMI107" s="17"/>
      <c r="PMJ107" s="17"/>
      <c r="PMK107" s="17"/>
      <c r="PML107" s="17"/>
      <c r="PMM107" s="17"/>
      <c r="PMN107" s="17"/>
      <c r="PMO107" s="17"/>
      <c r="PMP107" s="17"/>
      <c r="PMQ107" s="17"/>
      <c r="PMR107" s="17"/>
      <c r="PMS107" s="17"/>
      <c r="PMT107" s="17"/>
      <c r="PMU107" s="17"/>
      <c r="PMV107" s="17"/>
      <c r="PMW107" s="17"/>
      <c r="PMX107" s="17"/>
      <c r="PMY107" s="17"/>
      <c r="PMZ107" s="17"/>
      <c r="PNA107" s="17"/>
      <c r="PNB107" s="17"/>
      <c r="PNC107" s="17"/>
      <c r="PND107" s="17"/>
      <c r="PNE107" s="17"/>
      <c r="PNF107" s="17"/>
      <c r="PNG107" s="17"/>
      <c r="PNH107" s="17"/>
      <c r="PNI107" s="17"/>
      <c r="PNJ107" s="17"/>
      <c r="PNK107" s="17"/>
      <c r="PNL107" s="17"/>
      <c r="PNM107" s="17"/>
      <c r="PNN107" s="17"/>
      <c r="PNO107" s="17"/>
      <c r="PNP107" s="17"/>
      <c r="PNQ107" s="17"/>
      <c r="PNR107" s="17"/>
      <c r="PNS107" s="17"/>
      <c r="PNT107" s="17"/>
      <c r="PNU107" s="17"/>
      <c r="PNV107" s="17"/>
      <c r="PNW107" s="17"/>
      <c r="PNX107" s="17"/>
      <c r="PNY107" s="17"/>
      <c r="PNZ107" s="17"/>
      <c r="POA107" s="17"/>
      <c r="POB107" s="17"/>
      <c r="POC107" s="17"/>
      <c r="POD107" s="17"/>
      <c r="POE107" s="17"/>
      <c r="POF107" s="17"/>
      <c r="POG107" s="17"/>
      <c r="POH107" s="17"/>
      <c r="POI107" s="17"/>
      <c r="POJ107" s="17"/>
      <c r="POK107" s="17"/>
      <c r="POL107" s="17"/>
      <c r="POM107" s="17"/>
      <c r="PON107" s="17"/>
      <c r="POO107" s="17"/>
      <c r="POP107" s="17"/>
      <c r="POQ107" s="17"/>
      <c r="POR107" s="17"/>
      <c r="POS107" s="17"/>
      <c r="POT107" s="17"/>
      <c r="POU107" s="17"/>
      <c r="POV107" s="17"/>
      <c r="POW107" s="17"/>
      <c r="POX107" s="17"/>
      <c r="POY107" s="17"/>
      <c r="POZ107" s="17"/>
      <c r="PPA107" s="17"/>
      <c r="PPB107" s="17"/>
      <c r="PPC107" s="17"/>
      <c r="PPD107" s="17"/>
      <c r="PPE107" s="17"/>
      <c r="PPF107" s="17"/>
      <c r="PPG107" s="17"/>
      <c r="PPH107" s="17"/>
      <c r="PPI107" s="17"/>
      <c r="PPJ107" s="17"/>
      <c r="PPK107" s="17"/>
      <c r="PPL107" s="17"/>
      <c r="PPM107" s="17"/>
      <c r="PPN107" s="17"/>
      <c r="PPO107" s="17"/>
      <c r="PPP107" s="17"/>
      <c r="PPQ107" s="17"/>
      <c r="PPR107" s="17"/>
      <c r="PPS107" s="17"/>
      <c r="PPT107" s="17"/>
      <c r="PPU107" s="17"/>
      <c r="PPV107" s="17"/>
      <c r="PPW107" s="17"/>
      <c r="PPX107" s="17"/>
      <c r="PPY107" s="17"/>
      <c r="PPZ107" s="17"/>
      <c r="PQA107" s="17"/>
      <c r="PQB107" s="17"/>
      <c r="PQC107" s="17"/>
      <c r="PQD107" s="17"/>
      <c r="PQE107" s="17"/>
      <c r="PQF107" s="17"/>
      <c r="PQG107" s="17"/>
      <c r="PQH107" s="17"/>
      <c r="PQI107" s="17"/>
      <c r="PQJ107" s="17"/>
      <c r="PQK107" s="17"/>
      <c r="PQL107" s="17"/>
      <c r="PQM107" s="17"/>
      <c r="PQN107" s="17"/>
      <c r="PQO107" s="17"/>
      <c r="PQP107" s="17"/>
      <c r="PQQ107" s="17"/>
      <c r="PQR107" s="17"/>
      <c r="PQS107" s="17"/>
      <c r="PQT107" s="17"/>
      <c r="PQU107" s="17"/>
      <c r="PQV107" s="17"/>
      <c r="PQW107" s="17"/>
      <c r="PQX107" s="17"/>
      <c r="PQY107" s="17"/>
      <c r="PQZ107" s="17"/>
      <c r="PRA107" s="17"/>
      <c r="PRB107" s="17"/>
      <c r="PRC107" s="17"/>
      <c r="PRD107" s="17"/>
      <c r="PRE107" s="17"/>
      <c r="PRF107" s="17"/>
      <c r="PRG107" s="17"/>
      <c r="PRH107" s="17"/>
      <c r="PRI107" s="17"/>
      <c r="PRJ107" s="17"/>
      <c r="PRK107" s="17"/>
      <c r="PRL107" s="17"/>
      <c r="PRM107" s="17"/>
      <c r="PRN107" s="17"/>
      <c r="PRO107" s="17"/>
      <c r="PRP107" s="17"/>
      <c r="PRQ107" s="17"/>
      <c r="PRR107" s="17"/>
      <c r="PRS107" s="17"/>
      <c r="PRT107" s="17"/>
      <c r="PRU107" s="17"/>
      <c r="PRV107" s="17"/>
      <c r="PRW107" s="17"/>
      <c r="PRX107" s="17"/>
      <c r="PRY107" s="17"/>
      <c r="PRZ107" s="17"/>
      <c r="PSA107" s="17"/>
      <c r="PSB107" s="17"/>
      <c r="PSC107" s="17"/>
      <c r="PSD107" s="17"/>
      <c r="PSE107" s="17"/>
      <c r="PSF107" s="17"/>
      <c r="PSG107" s="17"/>
      <c r="PSH107" s="17"/>
      <c r="PSI107" s="17"/>
      <c r="PSJ107" s="17"/>
      <c r="PSK107" s="17"/>
      <c r="PSL107" s="17"/>
      <c r="PSM107" s="17"/>
      <c r="PSN107" s="17"/>
      <c r="PSO107" s="17"/>
      <c r="PSP107" s="17"/>
      <c r="PSQ107" s="17"/>
      <c r="PSR107" s="17"/>
      <c r="PSS107" s="17"/>
      <c r="PST107" s="17"/>
      <c r="PSU107" s="17"/>
      <c r="PSV107" s="17"/>
      <c r="PSW107" s="17"/>
      <c r="PSX107" s="17"/>
      <c r="PSY107" s="17"/>
      <c r="PSZ107" s="17"/>
      <c r="PTA107" s="17"/>
      <c r="PTB107" s="17"/>
      <c r="PTC107" s="17"/>
      <c r="PTD107" s="17"/>
      <c r="PTE107" s="17"/>
      <c r="PTF107" s="17"/>
      <c r="PTG107" s="17"/>
      <c r="PTH107" s="17"/>
      <c r="PTI107" s="17"/>
      <c r="PTJ107" s="17"/>
      <c r="PTK107" s="17"/>
      <c r="PTL107" s="17"/>
      <c r="PTM107" s="17"/>
      <c r="PTN107" s="17"/>
      <c r="PTO107" s="17"/>
      <c r="PTP107" s="17"/>
      <c r="PTQ107" s="17"/>
      <c r="PTR107" s="17"/>
      <c r="PTS107" s="17"/>
      <c r="PTT107" s="17"/>
      <c r="PTU107" s="17"/>
      <c r="PTV107" s="17"/>
      <c r="PTW107" s="17"/>
      <c r="PTX107" s="17"/>
      <c r="PTY107" s="17"/>
      <c r="PTZ107" s="17"/>
      <c r="PUA107" s="17"/>
      <c r="PUB107" s="17"/>
      <c r="PUC107" s="17"/>
      <c r="PUD107" s="17"/>
      <c r="PUE107" s="17"/>
      <c r="PUF107" s="17"/>
      <c r="PUG107" s="17"/>
      <c r="PUH107" s="17"/>
      <c r="PUI107" s="17"/>
      <c r="PUJ107" s="17"/>
      <c r="PUK107" s="17"/>
      <c r="PUL107" s="17"/>
      <c r="PUM107" s="17"/>
      <c r="PUN107" s="17"/>
      <c r="PUO107" s="17"/>
      <c r="PUP107" s="17"/>
      <c r="PUQ107" s="17"/>
      <c r="PUR107" s="17"/>
      <c r="PUS107" s="17"/>
      <c r="PUT107" s="17"/>
      <c r="PUU107" s="17"/>
      <c r="PUV107" s="17"/>
      <c r="PUW107" s="17"/>
      <c r="PUX107" s="17"/>
      <c r="PUY107" s="17"/>
      <c r="PUZ107" s="17"/>
      <c r="PVA107" s="17"/>
      <c r="PVB107" s="17"/>
      <c r="PVC107" s="17"/>
      <c r="PVD107" s="17"/>
      <c r="PVE107" s="17"/>
      <c r="PVF107" s="17"/>
      <c r="PVG107" s="17"/>
      <c r="PVH107" s="17"/>
      <c r="PVI107" s="17"/>
      <c r="PVJ107" s="17"/>
      <c r="PVK107" s="17"/>
      <c r="PVL107" s="17"/>
      <c r="PVM107" s="17"/>
      <c r="PVN107" s="17"/>
      <c r="PVO107" s="17"/>
      <c r="PVP107" s="17"/>
      <c r="PVQ107" s="17"/>
      <c r="PVR107" s="17"/>
      <c r="PVS107" s="17"/>
      <c r="PVT107" s="17"/>
      <c r="PVU107" s="17"/>
      <c r="PVV107" s="17"/>
      <c r="PVW107" s="17"/>
      <c r="PVX107" s="17"/>
      <c r="PVY107" s="17"/>
      <c r="PVZ107" s="17"/>
      <c r="PWA107" s="17"/>
      <c r="PWB107" s="17"/>
      <c r="PWC107" s="17"/>
      <c r="PWD107" s="17"/>
      <c r="PWE107" s="17"/>
      <c r="PWF107" s="17"/>
      <c r="PWG107" s="17"/>
      <c r="PWH107" s="17"/>
      <c r="PWI107" s="17"/>
      <c r="PWJ107" s="17"/>
      <c r="PWK107" s="17"/>
      <c r="PWL107" s="17"/>
      <c r="PWM107" s="17"/>
      <c r="PWN107" s="17"/>
      <c r="PWO107" s="17"/>
      <c r="PWP107" s="17"/>
      <c r="PWQ107" s="17"/>
      <c r="PWR107" s="17"/>
      <c r="PWS107" s="17"/>
      <c r="PWT107" s="17"/>
      <c r="PWU107" s="17"/>
      <c r="PWV107" s="17"/>
      <c r="PWW107" s="17"/>
      <c r="PWX107" s="17"/>
      <c r="PWY107" s="17"/>
      <c r="PWZ107" s="17"/>
      <c r="PXA107" s="17"/>
      <c r="PXB107" s="17"/>
      <c r="PXC107" s="17"/>
      <c r="PXD107" s="17"/>
      <c r="PXE107" s="17"/>
      <c r="PXF107" s="17"/>
      <c r="PXG107" s="17"/>
      <c r="PXH107" s="17"/>
      <c r="PXI107" s="17"/>
      <c r="PXJ107" s="17"/>
      <c r="PXK107" s="17"/>
      <c r="PXL107" s="17"/>
      <c r="PXM107" s="17"/>
      <c r="PXN107" s="17"/>
      <c r="PXO107" s="17"/>
      <c r="PXP107" s="17"/>
      <c r="PXQ107" s="17"/>
      <c r="PXR107" s="17"/>
      <c r="PXS107" s="17"/>
      <c r="PXT107" s="17"/>
      <c r="PXU107" s="17"/>
      <c r="PXV107" s="17"/>
      <c r="PXW107" s="17"/>
      <c r="PXX107" s="17"/>
      <c r="PXY107" s="17"/>
      <c r="PXZ107" s="17"/>
      <c r="PYA107" s="17"/>
      <c r="PYB107" s="17"/>
      <c r="PYC107" s="17"/>
      <c r="PYD107" s="17"/>
      <c r="PYE107" s="17"/>
      <c r="PYF107" s="17"/>
      <c r="PYG107" s="17"/>
      <c r="PYH107" s="17"/>
      <c r="PYI107" s="17"/>
      <c r="PYJ107" s="17"/>
      <c r="PYK107" s="17"/>
      <c r="PYL107" s="17"/>
      <c r="PYM107" s="17"/>
      <c r="PYN107" s="17"/>
      <c r="PYO107" s="17"/>
      <c r="PYP107" s="17"/>
      <c r="PYQ107" s="17"/>
      <c r="PYR107" s="17"/>
      <c r="PYS107" s="17"/>
      <c r="PYT107" s="17"/>
      <c r="PYU107" s="17"/>
      <c r="PYV107" s="17"/>
      <c r="PYW107" s="17"/>
      <c r="PYX107" s="17"/>
      <c r="PYY107" s="17"/>
      <c r="PYZ107" s="17"/>
      <c r="PZA107" s="17"/>
      <c r="PZB107" s="17"/>
      <c r="PZC107" s="17"/>
      <c r="PZD107" s="17"/>
      <c r="PZE107" s="17"/>
      <c r="PZF107" s="17"/>
      <c r="PZG107" s="17"/>
      <c r="PZH107" s="17"/>
      <c r="PZI107" s="17"/>
      <c r="PZJ107" s="17"/>
      <c r="PZK107" s="17"/>
      <c r="PZL107" s="17"/>
      <c r="PZM107" s="17"/>
      <c r="PZN107" s="17"/>
      <c r="PZO107" s="17"/>
      <c r="PZP107" s="17"/>
      <c r="PZQ107" s="17"/>
      <c r="PZR107" s="17"/>
      <c r="PZS107" s="17"/>
      <c r="PZT107" s="17"/>
      <c r="PZU107" s="17"/>
      <c r="PZV107" s="17"/>
      <c r="PZW107" s="17"/>
      <c r="PZX107" s="17"/>
      <c r="PZY107" s="17"/>
      <c r="PZZ107" s="17"/>
      <c r="QAA107" s="17"/>
      <c r="QAB107" s="17"/>
      <c r="QAC107" s="17"/>
      <c r="QAD107" s="17"/>
      <c r="QAE107" s="17"/>
      <c r="QAF107" s="17"/>
      <c r="QAG107" s="17"/>
      <c r="QAH107" s="17"/>
      <c r="QAI107" s="17"/>
      <c r="QAJ107" s="17"/>
      <c r="QAK107" s="17"/>
      <c r="QAL107" s="17"/>
      <c r="QAM107" s="17"/>
      <c r="QAN107" s="17"/>
      <c r="QAO107" s="17"/>
      <c r="QAP107" s="17"/>
      <c r="QAQ107" s="17"/>
      <c r="QAR107" s="17"/>
      <c r="QAS107" s="17"/>
      <c r="QAT107" s="17"/>
      <c r="QAU107" s="17"/>
      <c r="QAV107" s="17"/>
      <c r="QAW107" s="17"/>
      <c r="QAX107" s="17"/>
      <c r="QAY107" s="17"/>
      <c r="QAZ107" s="17"/>
      <c r="QBA107" s="17"/>
      <c r="QBB107" s="17"/>
      <c r="QBC107" s="17"/>
      <c r="QBD107" s="17"/>
      <c r="QBE107" s="17"/>
      <c r="QBF107" s="17"/>
      <c r="QBG107" s="17"/>
      <c r="QBH107" s="17"/>
      <c r="QBI107" s="17"/>
      <c r="QBJ107" s="17"/>
      <c r="QBK107" s="17"/>
      <c r="QBL107" s="17"/>
      <c r="QBM107" s="17"/>
      <c r="QBN107" s="17"/>
      <c r="QBO107" s="17"/>
      <c r="QBP107" s="17"/>
      <c r="QBQ107" s="17"/>
      <c r="QBR107" s="17"/>
      <c r="QBS107" s="17"/>
      <c r="QBT107" s="17"/>
      <c r="QBU107" s="17"/>
      <c r="QBV107" s="17"/>
      <c r="QBW107" s="17"/>
      <c r="QBX107" s="17"/>
      <c r="QBY107" s="17"/>
      <c r="QBZ107" s="17"/>
      <c r="QCA107" s="17"/>
      <c r="QCB107" s="17"/>
      <c r="QCC107" s="17"/>
      <c r="QCD107" s="17"/>
      <c r="QCE107" s="17"/>
      <c r="QCF107" s="17"/>
      <c r="QCG107" s="17"/>
      <c r="QCH107" s="17"/>
      <c r="QCI107" s="17"/>
      <c r="QCJ107" s="17"/>
      <c r="QCK107" s="17"/>
      <c r="QCL107" s="17"/>
      <c r="QCM107" s="17"/>
      <c r="QCN107" s="17"/>
      <c r="QCO107" s="17"/>
      <c r="QCP107" s="17"/>
      <c r="QCQ107" s="17"/>
      <c r="QCR107" s="17"/>
      <c r="QCS107" s="17"/>
      <c r="QCT107" s="17"/>
      <c r="QCU107" s="17"/>
      <c r="QCV107" s="17"/>
      <c r="QCW107" s="17"/>
      <c r="QCX107" s="17"/>
      <c r="QCY107" s="17"/>
      <c r="QCZ107" s="17"/>
      <c r="QDA107" s="17"/>
      <c r="QDB107" s="17"/>
      <c r="QDC107" s="17"/>
      <c r="QDD107" s="17"/>
      <c r="QDE107" s="17"/>
      <c r="QDF107" s="17"/>
      <c r="QDG107" s="17"/>
      <c r="QDH107" s="17"/>
      <c r="QDI107" s="17"/>
      <c r="QDJ107" s="17"/>
      <c r="QDK107" s="17"/>
      <c r="QDL107" s="17"/>
      <c r="QDM107" s="17"/>
      <c r="QDN107" s="17"/>
      <c r="QDO107" s="17"/>
      <c r="QDP107" s="17"/>
      <c r="QDQ107" s="17"/>
      <c r="QDR107" s="17"/>
      <c r="QDS107" s="17"/>
      <c r="QDT107" s="17"/>
      <c r="QDU107" s="17"/>
      <c r="QDV107" s="17"/>
      <c r="QDW107" s="17"/>
      <c r="QDX107" s="17"/>
      <c r="QDY107" s="17"/>
      <c r="QDZ107" s="17"/>
      <c r="QEA107" s="17"/>
      <c r="QEB107" s="17"/>
      <c r="QEC107" s="17"/>
      <c r="QED107" s="17"/>
      <c r="QEE107" s="17"/>
      <c r="QEF107" s="17"/>
      <c r="QEG107" s="17"/>
      <c r="QEH107" s="17"/>
      <c r="QEI107" s="17"/>
      <c r="QEJ107" s="17"/>
      <c r="QEK107" s="17"/>
      <c r="QEL107" s="17"/>
      <c r="QEM107" s="17"/>
      <c r="QEN107" s="17"/>
      <c r="QEO107" s="17"/>
      <c r="QEP107" s="17"/>
      <c r="QEQ107" s="17"/>
      <c r="QER107" s="17"/>
      <c r="QES107" s="17"/>
      <c r="QET107" s="17"/>
      <c r="QEU107" s="17"/>
      <c r="QEV107" s="17"/>
      <c r="QEW107" s="17"/>
      <c r="QEX107" s="17"/>
      <c r="QEY107" s="17"/>
      <c r="QEZ107" s="17"/>
      <c r="QFA107" s="17"/>
      <c r="QFB107" s="17"/>
      <c r="QFC107" s="17"/>
      <c r="QFD107" s="17"/>
      <c r="QFE107" s="17"/>
      <c r="QFF107" s="17"/>
      <c r="QFG107" s="17"/>
      <c r="QFH107" s="17"/>
      <c r="QFI107" s="17"/>
      <c r="QFJ107" s="17"/>
      <c r="QFK107" s="17"/>
      <c r="QFL107" s="17"/>
      <c r="QFM107" s="17"/>
      <c r="QFN107" s="17"/>
      <c r="QFO107" s="17"/>
      <c r="QFP107" s="17"/>
      <c r="QFQ107" s="17"/>
      <c r="QFR107" s="17"/>
      <c r="QFS107" s="17"/>
      <c r="QFT107" s="17"/>
      <c r="QFU107" s="17"/>
      <c r="QFV107" s="17"/>
      <c r="QFW107" s="17"/>
      <c r="QFX107" s="17"/>
      <c r="QFY107" s="17"/>
      <c r="QFZ107" s="17"/>
      <c r="QGA107" s="17"/>
      <c r="QGB107" s="17"/>
      <c r="QGC107" s="17"/>
      <c r="QGD107" s="17"/>
      <c r="QGE107" s="17"/>
      <c r="QGF107" s="17"/>
      <c r="QGG107" s="17"/>
      <c r="QGH107" s="17"/>
      <c r="QGI107" s="17"/>
      <c r="QGJ107" s="17"/>
      <c r="QGK107" s="17"/>
      <c r="QGL107" s="17"/>
      <c r="QGM107" s="17"/>
      <c r="QGN107" s="17"/>
      <c r="QGO107" s="17"/>
      <c r="QGP107" s="17"/>
      <c r="QGQ107" s="17"/>
      <c r="QGR107" s="17"/>
      <c r="QGS107" s="17"/>
      <c r="QGT107" s="17"/>
      <c r="QGU107" s="17"/>
      <c r="QGV107" s="17"/>
      <c r="QGW107" s="17"/>
      <c r="QGX107" s="17"/>
      <c r="QGY107" s="17"/>
      <c r="QGZ107" s="17"/>
      <c r="QHA107" s="17"/>
      <c r="QHB107" s="17"/>
      <c r="QHC107" s="17"/>
      <c r="QHD107" s="17"/>
      <c r="QHE107" s="17"/>
      <c r="QHF107" s="17"/>
      <c r="QHG107" s="17"/>
      <c r="QHH107" s="17"/>
      <c r="QHI107" s="17"/>
      <c r="QHJ107" s="17"/>
      <c r="QHK107" s="17"/>
      <c r="QHL107" s="17"/>
      <c r="QHM107" s="17"/>
      <c r="QHN107" s="17"/>
      <c r="QHO107" s="17"/>
      <c r="QHP107" s="17"/>
      <c r="QHQ107" s="17"/>
      <c r="QHR107" s="17"/>
      <c r="QHS107" s="17"/>
      <c r="QHT107" s="17"/>
      <c r="QHU107" s="17"/>
      <c r="QHV107" s="17"/>
      <c r="QHW107" s="17"/>
      <c r="QHX107" s="17"/>
      <c r="QHY107" s="17"/>
      <c r="QHZ107" s="17"/>
      <c r="QIA107" s="17"/>
      <c r="QIB107" s="17"/>
      <c r="QIC107" s="17"/>
      <c r="QID107" s="17"/>
      <c r="QIE107" s="17"/>
      <c r="QIF107" s="17"/>
      <c r="QIG107" s="17"/>
      <c r="QIH107" s="17"/>
      <c r="QII107" s="17"/>
      <c r="QIJ107" s="17"/>
      <c r="QIK107" s="17"/>
      <c r="QIL107" s="17"/>
      <c r="QIM107" s="17"/>
      <c r="QIN107" s="17"/>
      <c r="QIO107" s="17"/>
      <c r="QIP107" s="17"/>
      <c r="QIQ107" s="17"/>
      <c r="QIR107" s="17"/>
      <c r="QIS107" s="17"/>
      <c r="QIT107" s="17"/>
      <c r="QIU107" s="17"/>
      <c r="QIV107" s="17"/>
      <c r="QIW107" s="17"/>
      <c r="QIX107" s="17"/>
      <c r="QIY107" s="17"/>
      <c r="QIZ107" s="17"/>
      <c r="QJA107" s="17"/>
      <c r="QJB107" s="17"/>
      <c r="QJC107" s="17"/>
      <c r="QJD107" s="17"/>
      <c r="QJE107" s="17"/>
      <c r="QJF107" s="17"/>
      <c r="QJG107" s="17"/>
      <c r="QJH107" s="17"/>
      <c r="QJI107" s="17"/>
      <c r="QJJ107" s="17"/>
      <c r="QJK107" s="17"/>
      <c r="QJL107" s="17"/>
      <c r="QJM107" s="17"/>
      <c r="QJN107" s="17"/>
      <c r="QJO107" s="17"/>
      <c r="QJP107" s="17"/>
      <c r="QJQ107" s="17"/>
      <c r="QJR107" s="17"/>
      <c r="QJS107" s="17"/>
      <c r="QJT107" s="17"/>
      <c r="QJU107" s="17"/>
      <c r="QJV107" s="17"/>
      <c r="QJW107" s="17"/>
      <c r="QJX107" s="17"/>
      <c r="QJY107" s="17"/>
      <c r="QJZ107" s="17"/>
      <c r="QKA107" s="17"/>
      <c r="QKB107" s="17"/>
      <c r="QKC107" s="17"/>
      <c r="QKD107" s="17"/>
      <c r="QKE107" s="17"/>
      <c r="QKF107" s="17"/>
      <c r="QKG107" s="17"/>
      <c r="QKH107" s="17"/>
      <c r="QKI107" s="17"/>
      <c r="QKJ107" s="17"/>
      <c r="QKK107" s="17"/>
      <c r="QKL107" s="17"/>
      <c r="QKM107" s="17"/>
      <c r="QKN107" s="17"/>
      <c r="QKO107" s="17"/>
      <c r="QKP107" s="17"/>
      <c r="QKQ107" s="17"/>
      <c r="QKR107" s="17"/>
      <c r="QKS107" s="17"/>
      <c r="QKT107" s="17"/>
      <c r="QKU107" s="17"/>
      <c r="QKV107" s="17"/>
      <c r="QKW107" s="17"/>
      <c r="QKX107" s="17"/>
      <c r="QKY107" s="17"/>
      <c r="QKZ107" s="17"/>
      <c r="QLA107" s="17"/>
      <c r="QLB107" s="17"/>
      <c r="QLC107" s="17"/>
      <c r="QLD107" s="17"/>
      <c r="QLE107" s="17"/>
      <c r="QLF107" s="17"/>
      <c r="QLG107" s="17"/>
      <c r="QLH107" s="17"/>
      <c r="QLI107" s="17"/>
      <c r="QLJ107" s="17"/>
      <c r="QLK107" s="17"/>
      <c r="QLL107" s="17"/>
      <c r="QLM107" s="17"/>
      <c r="QLN107" s="17"/>
      <c r="QLO107" s="17"/>
      <c r="QLP107" s="17"/>
      <c r="QLQ107" s="17"/>
      <c r="QLR107" s="17"/>
      <c r="QLS107" s="17"/>
      <c r="QLT107" s="17"/>
      <c r="QLU107" s="17"/>
      <c r="QLV107" s="17"/>
      <c r="QLW107" s="17"/>
      <c r="QLX107" s="17"/>
      <c r="QLY107" s="17"/>
      <c r="QLZ107" s="17"/>
      <c r="QMA107" s="17"/>
      <c r="QMB107" s="17"/>
      <c r="QMC107" s="17"/>
      <c r="QMD107" s="17"/>
      <c r="QME107" s="17"/>
      <c r="QMF107" s="17"/>
      <c r="QMG107" s="17"/>
      <c r="QMH107" s="17"/>
      <c r="QMI107" s="17"/>
      <c r="QMJ107" s="17"/>
      <c r="QMK107" s="17"/>
      <c r="QML107" s="17"/>
      <c r="QMM107" s="17"/>
      <c r="QMN107" s="17"/>
      <c r="QMO107" s="17"/>
      <c r="QMP107" s="17"/>
      <c r="QMQ107" s="17"/>
      <c r="QMR107" s="17"/>
      <c r="QMS107" s="17"/>
      <c r="QMT107" s="17"/>
      <c r="QMU107" s="17"/>
      <c r="QMV107" s="17"/>
      <c r="QMW107" s="17"/>
      <c r="QMX107" s="17"/>
      <c r="QMY107" s="17"/>
      <c r="QMZ107" s="17"/>
      <c r="QNA107" s="17"/>
      <c r="QNB107" s="17"/>
      <c r="QNC107" s="17"/>
      <c r="QND107" s="17"/>
      <c r="QNE107" s="17"/>
      <c r="QNF107" s="17"/>
      <c r="QNG107" s="17"/>
      <c r="QNH107" s="17"/>
      <c r="QNI107" s="17"/>
      <c r="QNJ107" s="17"/>
      <c r="QNK107" s="17"/>
      <c r="QNL107" s="17"/>
      <c r="QNM107" s="17"/>
      <c r="QNN107" s="17"/>
      <c r="QNO107" s="17"/>
      <c r="QNP107" s="17"/>
      <c r="QNQ107" s="17"/>
      <c r="QNR107" s="17"/>
      <c r="QNS107" s="17"/>
      <c r="QNT107" s="17"/>
      <c r="QNU107" s="17"/>
      <c r="QNV107" s="17"/>
      <c r="QNW107" s="17"/>
      <c r="QNX107" s="17"/>
      <c r="QNY107" s="17"/>
      <c r="QNZ107" s="17"/>
      <c r="QOA107" s="17"/>
      <c r="QOB107" s="17"/>
      <c r="QOC107" s="17"/>
      <c r="QOD107" s="17"/>
      <c r="QOE107" s="17"/>
      <c r="QOF107" s="17"/>
      <c r="QOG107" s="17"/>
      <c r="QOH107" s="17"/>
      <c r="QOI107" s="17"/>
      <c r="QOJ107" s="17"/>
      <c r="QOK107" s="17"/>
      <c r="QOL107" s="17"/>
      <c r="QOM107" s="17"/>
      <c r="QON107" s="17"/>
      <c r="QOO107" s="17"/>
      <c r="QOP107" s="17"/>
      <c r="QOQ107" s="17"/>
      <c r="QOR107" s="17"/>
      <c r="QOS107" s="17"/>
      <c r="QOT107" s="17"/>
      <c r="QOU107" s="17"/>
      <c r="QOV107" s="17"/>
      <c r="QOW107" s="17"/>
      <c r="QOX107" s="17"/>
      <c r="QOY107" s="17"/>
      <c r="QOZ107" s="17"/>
      <c r="QPA107" s="17"/>
      <c r="QPB107" s="17"/>
      <c r="QPC107" s="17"/>
      <c r="QPD107" s="17"/>
      <c r="QPE107" s="17"/>
      <c r="QPF107" s="17"/>
      <c r="QPG107" s="17"/>
      <c r="QPH107" s="17"/>
      <c r="QPI107" s="17"/>
      <c r="QPJ107" s="17"/>
      <c r="QPK107" s="17"/>
      <c r="QPL107" s="17"/>
      <c r="QPM107" s="17"/>
      <c r="QPN107" s="17"/>
      <c r="QPO107" s="17"/>
      <c r="QPP107" s="17"/>
      <c r="QPQ107" s="17"/>
      <c r="QPR107" s="17"/>
      <c r="QPS107" s="17"/>
      <c r="QPT107" s="17"/>
      <c r="QPU107" s="17"/>
      <c r="QPV107" s="17"/>
      <c r="QPW107" s="17"/>
      <c r="QPX107" s="17"/>
      <c r="QPY107" s="17"/>
      <c r="QPZ107" s="17"/>
      <c r="QQA107" s="17"/>
      <c r="QQB107" s="17"/>
      <c r="QQC107" s="17"/>
      <c r="QQD107" s="17"/>
      <c r="QQE107" s="17"/>
      <c r="QQF107" s="17"/>
      <c r="QQG107" s="17"/>
      <c r="QQH107" s="17"/>
      <c r="QQI107" s="17"/>
      <c r="QQJ107" s="17"/>
      <c r="QQK107" s="17"/>
      <c r="QQL107" s="17"/>
      <c r="QQM107" s="17"/>
      <c r="QQN107" s="17"/>
      <c r="QQO107" s="17"/>
      <c r="QQP107" s="17"/>
      <c r="QQQ107" s="17"/>
      <c r="QQR107" s="17"/>
      <c r="QQS107" s="17"/>
      <c r="QQT107" s="17"/>
      <c r="QQU107" s="17"/>
      <c r="QQV107" s="17"/>
      <c r="QQW107" s="17"/>
      <c r="QQX107" s="17"/>
      <c r="QQY107" s="17"/>
      <c r="QQZ107" s="17"/>
      <c r="QRA107" s="17"/>
      <c r="QRB107" s="17"/>
      <c r="QRC107" s="17"/>
      <c r="QRD107" s="17"/>
      <c r="QRE107" s="17"/>
      <c r="QRF107" s="17"/>
      <c r="QRG107" s="17"/>
      <c r="QRH107" s="17"/>
      <c r="QRI107" s="17"/>
      <c r="QRJ107" s="17"/>
      <c r="QRK107" s="17"/>
      <c r="QRL107" s="17"/>
      <c r="QRM107" s="17"/>
      <c r="QRN107" s="17"/>
      <c r="QRO107" s="17"/>
      <c r="QRP107" s="17"/>
      <c r="QRQ107" s="17"/>
      <c r="QRR107" s="17"/>
      <c r="QRS107" s="17"/>
      <c r="QRT107" s="17"/>
      <c r="QRU107" s="17"/>
      <c r="QRV107" s="17"/>
      <c r="QRW107" s="17"/>
      <c r="QRX107" s="17"/>
      <c r="QRY107" s="17"/>
      <c r="QRZ107" s="17"/>
      <c r="QSA107" s="17"/>
      <c r="QSB107" s="17"/>
      <c r="QSC107" s="17"/>
      <c r="QSD107" s="17"/>
      <c r="QSE107" s="17"/>
      <c r="QSF107" s="17"/>
      <c r="QSG107" s="17"/>
      <c r="QSH107" s="17"/>
      <c r="QSI107" s="17"/>
      <c r="QSJ107" s="17"/>
      <c r="QSK107" s="17"/>
      <c r="QSL107" s="17"/>
      <c r="QSM107" s="17"/>
      <c r="QSN107" s="17"/>
      <c r="QSO107" s="17"/>
      <c r="QSP107" s="17"/>
      <c r="QSQ107" s="17"/>
      <c r="QSR107" s="17"/>
      <c r="QSS107" s="17"/>
      <c r="QST107" s="17"/>
      <c r="QSU107" s="17"/>
      <c r="QSV107" s="17"/>
      <c r="QSW107" s="17"/>
      <c r="QSX107" s="17"/>
      <c r="QSY107" s="17"/>
      <c r="QSZ107" s="17"/>
      <c r="QTA107" s="17"/>
      <c r="QTB107" s="17"/>
      <c r="QTC107" s="17"/>
      <c r="QTD107" s="17"/>
      <c r="QTE107" s="17"/>
      <c r="QTF107" s="17"/>
      <c r="QTG107" s="17"/>
      <c r="QTH107" s="17"/>
      <c r="QTI107" s="17"/>
      <c r="QTJ107" s="17"/>
      <c r="QTK107" s="17"/>
      <c r="QTL107" s="17"/>
      <c r="QTM107" s="17"/>
      <c r="QTN107" s="17"/>
      <c r="QTO107" s="17"/>
      <c r="QTP107" s="17"/>
      <c r="QTQ107" s="17"/>
      <c r="QTR107" s="17"/>
      <c r="QTS107" s="17"/>
      <c r="QTT107" s="17"/>
      <c r="QTU107" s="17"/>
      <c r="QTV107" s="17"/>
      <c r="QTW107" s="17"/>
      <c r="QTX107" s="17"/>
      <c r="QTY107" s="17"/>
      <c r="QTZ107" s="17"/>
      <c r="QUA107" s="17"/>
      <c r="QUB107" s="17"/>
      <c r="QUC107" s="17"/>
      <c r="QUD107" s="17"/>
      <c r="QUE107" s="17"/>
      <c r="QUF107" s="17"/>
      <c r="QUG107" s="17"/>
      <c r="QUH107" s="17"/>
      <c r="QUI107" s="17"/>
      <c r="QUJ107" s="17"/>
      <c r="QUK107" s="17"/>
      <c r="QUL107" s="17"/>
      <c r="QUM107" s="17"/>
      <c r="QUN107" s="17"/>
      <c r="QUO107" s="17"/>
      <c r="QUP107" s="17"/>
      <c r="QUQ107" s="17"/>
      <c r="QUR107" s="17"/>
      <c r="QUS107" s="17"/>
      <c r="QUT107" s="17"/>
      <c r="QUU107" s="17"/>
      <c r="QUV107" s="17"/>
      <c r="QUW107" s="17"/>
      <c r="QUX107" s="17"/>
      <c r="QUY107" s="17"/>
      <c r="QUZ107" s="17"/>
      <c r="QVA107" s="17"/>
      <c r="QVB107" s="17"/>
      <c r="QVC107" s="17"/>
      <c r="QVD107" s="17"/>
      <c r="QVE107" s="17"/>
      <c r="QVF107" s="17"/>
      <c r="QVG107" s="17"/>
      <c r="QVH107" s="17"/>
      <c r="QVI107" s="17"/>
      <c r="QVJ107" s="17"/>
      <c r="QVK107" s="17"/>
      <c r="QVL107" s="17"/>
      <c r="QVM107" s="17"/>
      <c r="QVN107" s="17"/>
      <c r="QVO107" s="17"/>
      <c r="QVP107" s="17"/>
      <c r="QVQ107" s="17"/>
      <c r="QVR107" s="17"/>
      <c r="QVS107" s="17"/>
      <c r="QVT107" s="17"/>
      <c r="QVU107" s="17"/>
      <c r="QVV107" s="17"/>
      <c r="QVW107" s="17"/>
      <c r="QVX107" s="17"/>
      <c r="QVY107" s="17"/>
      <c r="QVZ107" s="17"/>
      <c r="QWA107" s="17"/>
      <c r="QWB107" s="17"/>
      <c r="QWC107" s="17"/>
      <c r="QWD107" s="17"/>
      <c r="QWE107" s="17"/>
      <c r="QWF107" s="17"/>
      <c r="QWG107" s="17"/>
      <c r="QWH107" s="17"/>
      <c r="QWI107" s="17"/>
      <c r="QWJ107" s="17"/>
      <c r="QWK107" s="17"/>
      <c r="QWL107" s="17"/>
      <c r="QWM107" s="17"/>
      <c r="QWN107" s="17"/>
      <c r="QWO107" s="17"/>
      <c r="QWP107" s="17"/>
      <c r="QWQ107" s="17"/>
      <c r="QWR107" s="17"/>
      <c r="QWS107" s="17"/>
      <c r="QWT107" s="17"/>
      <c r="QWU107" s="17"/>
      <c r="QWV107" s="17"/>
      <c r="QWW107" s="17"/>
      <c r="QWX107" s="17"/>
      <c r="QWY107" s="17"/>
      <c r="QWZ107" s="17"/>
      <c r="QXA107" s="17"/>
      <c r="QXB107" s="17"/>
      <c r="QXC107" s="17"/>
      <c r="QXD107" s="17"/>
      <c r="QXE107" s="17"/>
      <c r="QXF107" s="17"/>
      <c r="QXG107" s="17"/>
      <c r="QXH107" s="17"/>
      <c r="QXI107" s="17"/>
      <c r="QXJ107" s="17"/>
      <c r="QXK107" s="17"/>
      <c r="QXL107" s="17"/>
      <c r="QXM107" s="17"/>
      <c r="QXN107" s="17"/>
      <c r="QXO107" s="17"/>
      <c r="QXP107" s="17"/>
      <c r="QXQ107" s="17"/>
      <c r="QXR107" s="17"/>
      <c r="QXS107" s="17"/>
      <c r="QXT107" s="17"/>
      <c r="QXU107" s="17"/>
      <c r="QXV107" s="17"/>
      <c r="QXW107" s="17"/>
      <c r="QXX107" s="17"/>
      <c r="QXY107" s="17"/>
      <c r="QXZ107" s="17"/>
      <c r="QYA107" s="17"/>
      <c r="QYB107" s="17"/>
      <c r="QYC107" s="17"/>
      <c r="QYD107" s="17"/>
      <c r="QYE107" s="17"/>
      <c r="QYF107" s="17"/>
      <c r="QYG107" s="17"/>
      <c r="QYH107" s="17"/>
      <c r="QYI107" s="17"/>
      <c r="QYJ107" s="17"/>
      <c r="QYK107" s="17"/>
      <c r="QYL107" s="17"/>
      <c r="QYM107" s="17"/>
      <c r="QYN107" s="17"/>
      <c r="QYO107" s="17"/>
      <c r="QYP107" s="17"/>
      <c r="QYQ107" s="17"/>
      <c r="QYR107" s="17"/>
      <c r="QYS107" s="17"/>
      <c r="QYT107" s="17"/>
      <c r="QYU107" s="17"/>
      <c r="QYV107" s="17"/>
      <c r="QYW107" s="17"/>
      <c r="QYX107" s="17"/>
      <c r="QYY107" s="17"/>
      <c r="QYZ107" s="17"/>
      <c r="QZA107" s="17"/>
      <c r="QZB107" s="17"/>
      <c r="QZC107" s="17"/>
      <c r="QZD107" s="17"/>
      <c r="QZE107" s="17"/>
      <c r="QZF107" s="17"/>
      <c r="QZG107" s="17"/>
      <c r="QZH107" s="17"/>
      <c r="QZI107" s="17"/>
      <c r="QZJ107" s="17"/>
      <c r="QZK107" s="17"/>
      <c r="QZL107" s="17"/>
      <c r="QZM107" s="17"/>
      <c r="QZN107" s="17"/>
      <c r="QZO107" s="17"/>
      <c r="QZP107" s="17"/>
      <c r="QZQ107" s="17"/>
      <c r="QZR107" s="17"/>
      <c r="QZS107" s="17"/>
      <c r="QZT107" s="17"/>
      <c r="QZU107" s="17"/>
      <c r="QZV107" s="17"/>
      <c r="QZW107" s="17"/>
      <c r="QZX107" s="17"/>
      <c r="QZY107" s="17"/>
      <c r="QZZ107" s="17"/>
      <c r="RAA107" s="17"/>
      <c r="RAB107" s="17"/>
      <c r="RAC107" s="17"/>
      <c r="RAD107" s="17"/>
      <c r="RAE107" s="17"/>
      <c r="RAF107" s="17"/>
      <c r="RAG107" s="17"/>
      <c r="RAH107" s="17"/>
      <c r="RAI107" s="17"/>
      <c r="RAJ107" s="17"/>
      <c r="RAK107" s="17"/>
      <c r="RAL107" s="17"/>
      <c r="RAM107" s="17"/>
      <c r="RAN107" s="17"/>
      <c r="RAO107" s="17"/>
      <c r="RAP107" s="17"/>
      <c r="RAQ107" s="17"/>
      <c r="RAR107" s="17"/>
      <c r="RAS107" s="17"/>
      <c r="RAT107" s="17"/>
      <c r="RAU107" s="17"/>
      <c r="RAV107" s="17"/>
      <c r="RAW107" s="17"/>
      <c r="RAX107" s="17"/>
      <c r="RAY107" s="17"/>
      <c r="RAZ107" s="17"/>
      <c r="RBA107" s="17"/>
      <c r="RBB107" s="17"/>
      <c r="RBC107" s="17"/>
      <c r="RBD107" s="17"/>
      <c r="RBE107" s="17"/>
      <c r="RBF107" s="17"/>
      <c r="RBG107" s="17"/>
      <c r="RBH107" s="17"/>
      <c r="RBI107" s="17"/>
      <c r="RBJ107" s="17"/>
      <c r="RBK107" s="17"/>
      <c r="RBL107" s="17"/>
      <c r="RBM107" s="17"/>
      <c r="RBN107" s="17"/>
      <c r="RBO107" s="17"/>
      <c r="RBP107" s="17"/>
      <c r="RBQ107" s="17"/>
      <c r="RBR107" s="17"/>
      <c r="RBS107" s="17"/>
      <c r="RBT107" s="17"/>
      <c r="RBU107" s="17"/>
      <c r="RBV107" s="17"/>
      <c r="RBW107" s="17"/>
      <c r="RBX107" s="17"/>
      <c r="RBY107" s="17"/>
      <c r="RBZ107" s="17"/>
      <c r="RCA107" s="17"/>
      <c r="RCB107" s="17"/>
      <c r="RCC107" s="17"/>
      <c r="RCD107" s="17"/>
      <c r="RCE107" s="17"/>
      <c r="RCF107" s="17"/>
      <c r="RCG107" s="17"/>
      <c r="RCH107" s="17"/>
      <c r="RCI107" s="17"/>
      <c r="RCJ107" s="17"/>
      <c r="RCK107" s="17"/>
      <c r="RCL107" s="17"/>
      <c r="RCM107" s="17"/>
      <c r="RCN107" s="17"/>
      <c r="RCO107" s="17"/>
      <c r="RCP107" s="17"/>
      <c r="RCQ107" s="17"/>
      <c r="RCR107" s="17"/>
      <c r="RCS107" s="17"/>
      <c r="RCT107" s="17"/>
      <c r="RCU107" s="17"/>
      <c r="RCV107" s="17"/>
      <c r="RCW107" s="17"/>
      <c r="RCX107" s="17"/>
      <c r="RCY107" s="17"/>
      <c r="RCZ107" s="17"/>
      <c r="RDA107" s="17"/>
      <c r="RDB107" s="17"/>
      <c r="RDC107" s="17"/>
      <c r="RDD107" s="17"/>
      <c r="RDE107" s="17"/>
      <c r="RDF107" s="17"/>
      <c r="RDG107" s="17"/>
      <c r="RDH107" s="17"/>
      <c r="RDI107" s="17"/>
      <c r="RDJ107" s="17"/>
      <c r="RDK107" s="17"/>
      <c r="RDL107" s="17"/>
      <c r="RDM107" s="17"/>
      <c r="RDN107" s="17"/>
      <c r="RDO107" s="17"/>
      <c r="RDP107" s="17"/>
      <c r="RDQ107" s="17"/>
      <c r="RDR107" s="17"/>
      <c r="RDS107" s="17"/>
      <c r="RDT107" s="17"/>
      <c r="RDU107" s="17"/>
      <c r="RDV107" s="17"/>
      <c r="RDW107" s="17"/>
      <c r="RDX107" s="17"/>
      <c r="RDY107" s="17"/>
      <c r="RDZ107" s="17"/>
      <c r="REA107" s="17"/>
      <c r="REB107" s="17"/>
      <c r="REC107" s="17"/>
      <c r="RED107" s="17"/>
      <c r="REE107" s="17"/>
      <c r="REF107" s="17"/>
      <c r="REG107" s="17"/>
      <c r="REH107" s="17"/>
      <c r="REI107" s="17"/>
      <c r="REJ107" s="17"/>
      <c r="REK107" s="17"/>
      <c r="REL107" s="17"/>
      <c r="REM107" s="17"/>
      <c r="REN107" s="17"/>
      <c r="REO107" s="17"/>
      <c r="REP107" s="17"/>
      <c r="REQ107" s="17"/>
      <c r="RER107" s="17"/>
      <c r="RES107" s="17"/>
      <c r="RET107" s="17"/>
      <c r="REU107" s="17"/>
      <c r="REV107" s="17"/>
      <c r="REW107" s="17"/>
      <c r="REX107" s="17"/>
      <c r="REY107" s="17"/>
      <c r="REZ107" s="17"/>
      <c r="RFA107" s="17"/>
      <c r="RFB107" s="17"/>
      <c r="RFC107" s="17"/>
      <c r="RFD107" s="17"/>
      <c r="RFE107" s="17"/>
      <c r="RFF107" s="17"/>
      <c r="RFG107" s="17"/>
      <c r="RFH107" s="17"/>
      <c r="RFI107" s="17"/>
      <c r="RFJ107" s="17"/>
      <c r="RFK107" s="17"/>
      <c r="RFL107" s="17"/>
      <c r="RFM107" s="17"/>
      <c r="RFN107" s="17"/>
      <c r="RFO107" s="17"/>
      <c r="RFP107" s="17"/>
      <c r="RFQ107" s="17"/>
      <c r="RFR107" s="17"/>
      <c r="RFS107" s="17"/>
      <c r="RFT107" s="17"/>
      <c r="RFU107" s="17"/>
      <c r="RFV107" s="17"/>
      <c r="RFW107" s="17"/>
      <c r="RFX107" s="17"/>
      <c r="RFY107" s="17"/>
      <c r="RFZ107" s="17"/>
      <c r="RGA107" s="17"/>
      <c r="RGB107" s="17"/>
      <c r="RGC107" s="17"/>
      <c r="RGD107" s="17"/>
      <c r="RGE107" s="17"/>
      <c r="RGF107" s="17"/>
      <c r="RGG107" s="17"/>
      <c r="RGH107" s="17"/>
      <c r="RGI107" s="17"/>
      <c r="RGJ107" s="17"/>
      <c r="RGK107" s="17"/>
      <c r="RGL107" s="17"/>
      <c r="RGM107" s="17"/>
      <c r="RGN107" s="17"/>
      <c r="RGO107" s="17"/>
      <c r="RGP107" s="17"/>
      <c r="RGQ107" s="17"/>
      <c r="RGR107" s="17"/>
      <c r="RGS107" s="17"/>
      <c r="RGT107" s="17"/>
      <c r="RGU107" s="17"/>
      <c r="RGV107" s="17"/>
      <c r="RGW107" s="17"/>
      <c r="RGX107" s="17"/>
      <c r="RGY107" s="17"/>
      <c r="RGZ107" s="17"/>
      <c r="RHA107" s="17"/>
      <c r="RHB107" s="17"/>
      <c r="RHC107" s="17"/>
      <c r="RHD107" s="17"/>
      <c r="RHE107" s="17"/>
      <c r="RHF107" s="17"/>
      <c r="RHG107" s="17"/>
      <c r="RHH107" s="17"/>
      <c r="RHI107" s="17"/>
      <c r="RHJ107" s="17"/>
      <c r="RHK107" s="17"/>
      <c r="RHL107" s="17"/>
      <c r="RHM107" s="17"/>
      <c r="RHN107" s="17"/>
      <c r="RHO107" s="17"/>
      <c r="RHP107" s="17"/>
      <c r="RHQ107" s="17"/>
      <c r="RHR107" s="17"/>
      <c r="RHS107" s="17"/>
      <c r="RHT107" s="17"/>
      <c r="RHU107" s="17"/>
      <c r="RHV107" s="17"/>
      <c r="RHW107" s="17"/>
      <c r="RHX107" s="17"/>
      <c r="RHY107" s="17"/>
      <c r="RHZ107" s="17"/>
      <c r="RIA107" s="17"/>
      <c r="RIB107" s="17"/>
      <c r="RIC107" s="17"/>
      <c r="RID107" s="17"/>
      <c r="RIE107" s="17"/>
      <c r="RIF107" s="17"/>
      <c r="RIG107" s="17"/>
      <c r="RIH107" s="17"/>
      <c r="RII107" s="17"/>
      <c r="RIJ107" s="17"/>
      <c r="RIK107" s="17"/>
      <c r="RIL107" s="17"/>
      <c r="RIM107" s="17"/>
      <c r="RIN107" s="17"/>
      <c r="RIO107" s="17"/>
      <c r="RIP107" s="17"/>
      <c r="RIQ107" s="17"/>
      <c r="RIR107" s="17"/>
      <c r="RIS107" s="17"/>
      <c r="RIT107" s="17"/>
      <c r="RIU107" s="17"/>
      <c r="RIV107" s="17"/>
      <c r="RIW107" s="17"/>
      <c r="RIX107" s="17"/>
      <c r="RIY107" s="17"/>
      <c r="RIZ107" s="17"/>
      <c r="RJA107" s="17"/>
      <c r="RJB107" s="17"/>
      <c r="RJC107" s="17"/>
      <c r="RJD107" s="17"/>
      <c r="RJE107" s="17"/>
      <c r="RJF107" s="17"/>
      <c r="RJG107" s="17"/>
      <c r="RJH107" s="17"/>
      <c r="RJI107" s="17"/>
      <c r="RJJ107" s="17"/>
      <c r="RJK107" s="17"/>
      <c r="RJL107" s="17"/>
      <c r="RJM107" s="17"/>
      <c r="RJN107" s="17"/>
      <c r="RJO107" s="17"/>
      <c r="RJP107" s="17"/>
      <c r="RJQ107" s="17"/>
      <c r="RJR107" s="17"/>
      <c r="RJS107" s="17"/>
      <c r="RJT107" s="17"/>
      <c r="RJU107" s="17"/>
      <c r="RJV107" s="17"/>
      <c r="RJW107" s="17"/>
      <c r="RJX107" s="17"/>
      <c r="RJY107" s="17"/>
      <c r="RJZ107" s="17"/>
      <c r="RKA107" s="17"/>
      <c r="RKB107" s="17"/>
      <c r="RKC107" s="17"/>
      <c r="RKD107" s="17"/>
      <c r="RKE107" s="17"/>
      <c r="RKF107" s="17"/>
      <c r="RKG107" s="17"/>
      <c r="RKH107" s="17"/>
      <c r="RKI107" s="17"/>
      <c r="RKJ107" s="17"/>
      <c r="RKK107" s="17"/>
      <c r="RKL107" s="17"/>
      <c r="RKM107" s="17"/>
      <c r="RKN107" s="17"/>
      <c r="RKO107" s="17"/>
      <c r="RKP107" s="17"/>
      <c r="RKQ107" s="17"/>
      <c r="RKR107" s="17"/>
      <c r="RKS107" s="17"/>
      <c r="RKT107" s="17"/>
      <c r="RKU107" s="17"/>
      <c r="RKV107" s="17"/>
      <c r="RKW107" s="17"/>
      <c r="RKX107" s="17"/>
      <c r="RKY107" s="17"/>
      <c r="RKZ107" s="17"/>
      <c r="RLA107" s="17"/>
      <c r="RLB107" s="17"/>
      <c r="RLC107" s="17"/>
      <c r="RLD107" s="17"/>
      <c r="RLE107" s="17"/>
      <c r="RLF107" s="17"/>
      <c r="RLG107" s="17"/>
      <c r="RLH107" s="17"/>
      <c r="RLI107" s="17"/>
      <c r="RLJ107" s="17"/>
      <c r="RLK107" s="17"/>
      <c r="RLL107" s="17"/>
      <c r="RLM107" s="17"/>
      <c r="RLN107" s="17"/>
      <c r="RLO107" s="17"/>
      <c r="RLP107" s="17"/>
      <c r="RLQ107" s="17"/>
      <c r="RLR107" s="17"/>
      <c r="RLS107" s="17"/>
      <c r="RLT107" s="17"/>
      <c r="RLU107" s="17"/>
      <c r="RLV107" s="17"/>
      <c r="RLW107" s="17"/>
      <c r="RLX107" s="17"/>
      <c r="RLY107" s="17"/>
      <c r="RLZ107" s="17"/>
      <c r="RMA107" s="17"/>
      <c r="RMB107" s="17"/>
      <c r="RMC107" s="17"/>
      <c r="RMD107" s="17"/>
      <c r="RME107" s="17"/>
      <c r="RMF107" s="17"/>
      <c r="RMG107" s="17"/>
      <c r="RMH107" s="17"/>
      <c r="RMI107" s="17"/>
      <c r="RMJ107" s="17"/>
      <c r="RMK107" s="17"/>
      <c r="RML107" s="17"/>
      <c r="RMM107" s="17"/>
      <c r="RMN107" s="17"/>
      <c r="RMO107" s="17"/>
      <c r="RMP107" s="17"/>
      <c r="RMQ107" s="17"/>
      <c r="RMR107" s="17"/>
      <c r="RMS107" s="17"/>
      <c r="RMT107" s="17"/>
      <c r="RMU107" s="17"/>
      <c r="RMV107" s="17"/>
      <c r="RMW107" s="17"/>
      <c r="RMX107" s="17"/>
      <c r="RMY107" s="17"/>
      <c r="RMZ107" s="17"/>
      <c r="RNA107" s="17"/>
      <c r="RNB107" s="17"/>
      <c r="RNC107" s="17"/>
      <c r="RND107" s="17"/>
      <c r="RNE107" s="17"/>
      <c r="RNF107" s="17"/>
      <c r="RNG107" s="17"/>
      <c r="RNH107" s="17"/>
      <c r="RNI107" s="17"/>
      <c r="RNJ107" s="17"/>
      <c r="RNK107" s="17"/>
      <c r="RNL107" s="17"/>
      <c r="RNM107" s="17"/>
      <c r="RNN107" s="17"/>
      <c r="RNO107" s="17"/>
      <c r="RNP107" s="17"/>
      <c r="RNQ107" s="17"/>
      <c r="RNR107" s="17"/>
      <c r="RNS107" s="17"/>
      <c r="RNT107" s="17"/>
      <c r="RNU107" s="17"/>
      <c r="RNV107" s="17"/>
      <c r="RNW107" s="17"/>
      <c r="RNX107" s="17"/>
      <c r="RNY107" s="17"/>
      <c r="RNZ107" s="17"/>
      <c r="ROA107" s="17"/>
      <c r="ROB107" s="17"/>
      <c r="ROC107" s="17"/>
      <c r="ROD107" s="17"/>
      <c r="ROE107" s="17"/>
      <c r="ROF107" s="17"/>
      <c r="ROG107" s="17"/>
      <c r="ROH107" s="17"/>
      <c r="ROI107" s="17"/>
      <c r="ROJ107" s="17"/>
      <c r="ROK107" s="17"/>
      <c r="ROL107" s="17"/>
      <c r="ROM107" s="17"/>
      <c r="RON107" s="17"/>
      <c r="ROO107" s="17"/>
      <c r="ROP107" s="17"/>
      <c r="ROQ107" s="17"/>
      <c r="ROR107" s="17"/>
      <c r="ROS107" s="17"/>
      <c r="ROT107" s="17"/>
      <c r="ROU107" s="17"/>
      <c r="ROV107" s="17"/>
      <c r="ROW107" s="17"/>
      <c r="ROX107" s="17"/>
      <c r="ROY107" s="17"/>
      <c r="ROZ107" s="17"/>
      <c r="RPA107" s="17"/>
      <c r="RPB107" s="17"/>
      <c r="RPC107" s="17"/>
      <c r="RPD107" s="17"/>
      <c r="RPE107" s="17"/>
      <c r="RPF107" s="17"/>
      <c r="RPG107" s="17"/>
      <c r="RPH107" s="17"/>
      <c r="RPI107" s="17"/>
      <c r="RPJ107" s="17"/>
      <c r="RPK107" s="17"/>
      <c r="RPL107" s="17"/>
      <c r="RPM107" s="17"/>
      <c r="RPN107" s="17"/>
      <c r="RPO107" s="17"/>
      <c r="RPP107" s="17"/>
      <c r="RPQ107" s="17"/>
      <c r="RPR107" s="17"/>
      <c r="RPS107" s="17"/>
      <c r="RPT107" s="17"/>
      <c r="RPU107" s="17"/>
      <c r="RPV107" s="17"/>
      <c r="RPW107" s="17"/>
      <c r="RPX107" s="17"/>
      <c r="RPY107" s="17"/>
      <c r="RPZ107" s="17"/>
      <c r="RQA107" s="17"/>
      <c r="RQB107" s="17"/>
      <c r="RQC107" s="17"/>
      <c r="RQD107" s="17"/>
      <c r="RQE107" s="17"/>
      <c r="RQF107" s="17"/>
      <c r="RQG107" s="17"/>
      <c r="RQH107" s="17"/>
      <c r="RQI107" s="17"/>
      <c r="RQJ107" s="17"/>
      <c r="RQK107" s="17"/>
      <c r="RQL107" s="17"/>
      <c r="RQM107" s="17"/>
      <c r="RQN107" s="17"/>
      <c r="RQO107" s="17"/>
      <c r="RQP107" s="17"/>
      <c r="RQQ107" s="17"/>
      <c r="RQR107" s="17"/>
      <c r="RQS107" s="17"/>
      <c r="RQT107" s="17"/>
      <c r="RQU107" s="17"/>
      <c r="RQV107" s="17"/>
      <c r="RQW107" s="17"/>
      <c r="RQX107" s="17"/>
      <c r="RQY107" s="17"/>
      <c r="RQZ107" s="17"/>
      <c r="RRA107" s="17"/>
      <c r="RRB107" s="17"/>
      <c r="RRC107" s="17"/>
      <c r="RRD107" s="17"/>
      <c r="RRE107" s="17"/>
      <c r="RRF107" s="17"/>
      <c r="RRG107" s="17"/>
      <c r="RRH107" s="17"/>
      <c r="RRI107" s="17"/>
      <c r="RRJ107" s="17"/>
      <c r="RRK107" s="17"/>
      <c r="RRL107" s="17"/>
      <c r="RRM107" s="17"/>
      <c r="RRN107" s="17"/>
      <c r="RRO107" s="17"/>
      <c r="RRP107" s="17"/>
      <c r="RRQ107" s="17"/>
      <c r="RRR107" s="17"/>
      <c r="RRS107" s="17"/>
      <c r="RRT107" s="17"/>
      <c r="RRU107" s="17"/>
      <c r="RRV107" s="17"/>
      <c r="RRW107" s="17"/>
      <c r="RRX107" s="17"/>
      <c r="RRY107" s="17"/>
      <c r="RRZ107" s="17"/>
      <c r="RSA107" s="17"/>
      <c r="RSB107" s="17"/>
      <c r="RSC107" s="17"/>
      <c r="RSD107" s="17"/>
      <c r="RSE107" s="17"/>
      <c r="RSF107" s="17"/>
      <c r="RSG107" s="17"/>
      <c r="RSH107" s="17"/>
      <c r="RSI107" s="17"/>
      <c r="RSJ107" s="17"/>
      <c r="RSK107" s="17"/>
      <c r="RSL107" s="17"/>
      <c r="RSM107" s="17"/>
      <c r="RSN107" s="17"/>
      <c r="RSO107" s="17"/>
      <c r="RSP107" s="17"/>
      <c r="RSQ107" s="17"/>
      <c r="RSR107" s="17"/>
      <c r="RSS107" s="17"/>
      <c r="RST107" s="17"/>
      <c r="RSU107" s="17"/>
      <c r="RSV107" s="17"/>
      <c r="RSW107" s="17"/>
      <c r="RSX107" s="17"/>
      <c r="RSY107" s="17"/>
      <c r="RSZ107" s="17"/>
      <c r="RTA107" s="17"/>
      <c r="RTB107" s="17"/>
      <c r="RTC107" s="17"/>
      <c r="RTD107" s="17"/>
      <c r="RTE107" s="17"/>
      <c r="RTF107" s="17"/>
      <c r="RTG107" s="17"/>
      <c r="RTH107" s="17"/>
      <c r="RTI107" s="17"/>
      <c r="RTJ107" s="17"/>
      <c r="RTK107" s="17"/>
      <c r="RTL107" s="17"/>
      <c r="RTM107" s="17"/>
      <c r="RTN107" s="17"/>
      <c r="RTO107" s="17"/>
      <c r="RTP107" s="17"/>
      <c r="RTQ107" s="17"/>
      <c r="RTR107" s="17"/>
      <c r="RTS107" s="17"/>
      <c r="RTT107" s="17"/>
      <c r="RTU107" s="17"/>
      <c r="RTV107" s="17"/>
      <c r="RTW107" s="17"/>
      <c r="RTX107" s="17"/>
      <c r="RTY107" s="17"/>
      <c r="RTZ107" s="17"/>
      <c r="RUA107" s="17"/>
      <c r="RUB107" s="17"/>
      <c r="RUC107" s="17"/>
      <c r="RUD107" s="17"/>
      <c r="RUE107" s="17"/>
      <c r="RUF107" s="17"/>
      <c r="RUG107" s="17"/>
      <c r="RUH107" s="17"/>
      <c r="RUI107" s="17"/>
      <c r="RUJ107" s="17"/>
      <c r="RUK107" s="17"/>
      <c r="RUL107" s="17"/>
      <c r="RUM107" s="17"/>
      <c r="RUN107" s="17"/>
      <c r="RUO107" s="17"/>
      <c r="RUP107" s="17"/>
      <c r="RUQ107" s="17"/>
      <c r="RUR107" s="17"/>
      <c r="RUS107" s="17"/>
      <c r="RUT107" s="17"/>
      <c r="RUU107" s="17"/>
      <c r="RUV107" s="17"/>
      <c r="RUW107" s="17"/>
      <c r="RUX107" s="17"/>
      <c r="RUY107" s="17"/>
      <c r="RUZ107" s="17"/>
      <c r="RVA107" s="17"/>
      <c r="RVB107" s="17"/>
      <c r="RVC107" s="17"/>
      <c r="RVD107" s="17"/>
      <c r="RVE107" s="17"/>
      <c r="RVF107" s="17"/>
      <c r="RVG107" s="17"/>
      <c r="RVH107" s="17"/>
      <c r="RVI107" s="17"/>
      <c r="RVJ107" s="17"/>
      <c r="RVK107" s="17"/>
      <c r="RVL107" s="17"/>
      <c r="RVM107" s="17"/>
      <c r="RVN107" s="17"/>
      <c r="RVO107" s="17"/>
      <c r="RVP107" s="17"/>
      <c r="RVQ107" s="17"/>
      <c r="RVR107" s="17"/>
      <c r="RVS107" s="17"/>
      <c r="RVT107" s="17"/>
      <c r="RVU107" s="17"/>
      <c r="RVV107" s="17"/>
      <c r="RVW107" s="17"/>
      <c r="RVX107" s="17"/>
      <c r="RVY107" s="17"/>
      <c r="RVZ107" s="17"/>
      <c r="RWA107" s="17"/>
      <c r="RWB107" s="17"/>
      <c r="RWC107" s="17"/>
      <c r="RWD107" s="17"/>
      <c r="RWE107" s="17"/>
      <c r="RWF107" s="17"/>
      <c r="RWG107" s="17"/>
      <c r="RWH107" s="17"/>
      <c r="RWI107" s="17"/>
      <c r="RWJ107" s="17"/>
      <c r="RWK107" s="17"/>
      <c r="RWL107" s="17"/>
      <c r="RWM107" s="17"/>
      <c r="RWN107" s="17"/>
      <c r="RWO107" s="17"/>
      <c r="RWP107" s="17"/>
      <c r="RWQ107" s="17"/>
      <c r="RWR107" s="17"/>
      <c r="RWS107" s="17"/>
      <c r="RWT107" s="17"/>
      <c r="RWU107" s="17"/>
      <c r="RWV107" s="17"/>
      <c r="RWW107" s="17"/>
      <c r="RWX107" s="17"/>
      <c r="RWY107" s="17"/>
      <c r="RWZ107" s="17"/>
      <c r="RXA107" s="17"/>
      <c r="RXB107" s="17"/>
      <c r="RXC107" s="17"/>
      <c r="RXD107" s="17"/>
      <c r="RXE107" s="17"/>
      <c r="RXF107" s="17"/>
      <c r="RXG107" s="17"/>
      <c r="RXH107" s="17"/>
      <c r="RXI107" s="17"/>
      <c r="RXJ107" s="17"/>
      <c r="RXK107" s="17"/>
      <c r="RXL107" s="17"/>
      <c r="RXM107" s="17"/>
      <c r="RXN107" s="17"/>
      <c r="RXO107" s="17"/>
      <c r="RXP107" s="17"/>
      <c r="RXQ107" s="17"/>
      <c r="RXR107" s="17"/>
      <c r="RXS107" s="17"/>
      <c r="RXT107" s="17"/>
      <c r="RXU107" s="17"/>
      <c r="RXV107" s="17"/>
      <c r="RXW107" s="17"/>
      <c r="RXX107" s="17"/>
      <c r="RXY107" s="17"/>
      <c r="RXZ107" s="17"/>
      <c r="RYA107" s="17"/>
      <c r="RYB107" s="17"/>
      <c r="RYC107" s="17"/>
      <c r="RYD107" s="17"/>
      <c r="RYE107" s="17"/>
      <c r="RYF107" s="17"/>
      <c r="RYG107" s="17"/>
      <c r="RYH107" s="17"/>
      <c r="RYI107" s="17"/>
      <c r="RYJ107" s="17"/>
      <c r="RYK107" s="17"/>
      <c r="RYL107" s="17"/>
      <c r="RYM107" s="17"/>
      <c r="RYN107" s="17"/>
      <c r="RYO107" s="17"/>
      <c r="RYP107" s="17"/>
      <c r="RYQ107" s="17"/>
      <c r="RYR107" s="17"/>
      <c r="RYS107" s="17"/>
      <c r="RYT107" s="17"/>
      <c r="RYU107" s="17"/>
      <c r="RYV107" s="17"/>
      <c r="RYW107" s="17"/>
      <c r="RYX107" s="17"/>
      <c r="RYY107" s="17"/>
      <c r="RYZ107" s="17"/>
      <c r="RZA107" s="17"/>
      <c r="RZB107" s="17"/>
      <c r="RZC107" s="17"/>
      <c r="RZD107" s="17"/>
      <c r="RZE107" s="17"/>
      <c r="RZF107" s="17"/>
      <c r="RZG107" s="17"/>
      <c r="RZH107" s="17"/>
      <c r="RZI107" s="17"/>
      <c r="RZJ107" s="17"/>
      <c r="RZK107" s="17"/>
      <c r="RZL107" s="17"/>
      <c r="RZM107" s="17"/>
      <c r="RZN107" s="17"/>
      <c r="RZO107" s="17"/>
      <c r="RZP107" s="17"/>
      <c r="RZQ107" s="17"/>
      <c r="RZR107" s="17"/>
      <c r="RZS107" s="17"/>
      <c r="RZT107" s="17"/>
      <c r="RZU107" s="17"/>
      <c r="RZV107" s="17"/>
      <c r="RZW107" s="17"/>
      <c r="RZX107" s="17"/>
      <c r="RZY107" s="17"/>
      <c r="RZZ107" s="17"/>
      <c r="SAA107" s="17"/>
      <c r="SAB107" s="17"/>
      <c r="SAC107" s="17"/>
      <c r="SAD107" s="17"/>
      <c r="SAE107" s="17"/>
      <c r="SAF107" s="17"/>
      <c r="SAG107" s="17"/>
      <c r="SAH107" s="17"/>
      <c r="SAI107" s="17"/>
      <c r="SAJ107" s="17"/>
      <c r="SAK107" s="17"/>
      <c r="SAL107" s="17"/>
      <c r="SAM107" s="17"/>
      <c r="SAN107" s="17"/>
      <c r="SAO107" s="17"/>
      <c r="SAP107" s="17"/>
      <c r="SAQ107" s="17"/>
      <c r="SAR107" s="17"/>
      <c r="SAS107" s="17"/>
      <c r="SAT107" s="17"/>
      <c r="SAU107" s="17"/>
      <c r="SAV107" s="17"/>
      <c r="SAW107" s="17"/>
      <c r="SAX107" s="17"/>
      <c r="SAY107" s="17"/>
      <c r="SAZ107" s="17"/>
      <c r="SBA107" s="17"/>
      <c r="SBB107" s="17"/>
      <c r="SBC107" s="17"/>
      <c r="SBD107" s="17"/>
      <c r="SBE107" s="17"/>
      <c r="SBF107" s="17"/>
      <c r="SBG107" s="17"/>
      <c r="SBH107" s="17"/>
      <c r="SBI107" s="17"/>
      <c r="SBJ107" s="17"/>
      <c r="SBK107" s="17"/>
      <c r="SBL107" s="17"/>
      <c r="SBM107" s="17"/>
      <c r="SBN107" s="17"/>
      <c r="SBO107" s="17"/>
      <c r="SBP107" s="17"/>
      <c r="SBQ107" s="17"/>
      <c r="SBR107" s="17"/>
      <c r="SBS107" s="17"/>
      <c r="SBT107" s="17"/>
      <c r="SBU107" s="17"/>
      <c r="SBV107" s="17"/>
      <c r="SBW107" s="17"/>
      <c r="SBX107" s="17"/>
      <c r="SBY107" s="17"/>
      <c r="SBZ107" s="17"/>
      <c r="SCA107" s="17"/>
      <c r="SCB107" s="17"/>
      <c r="SCC107" s="17"/>
      <c r="SCD107" s="17"/>
      <c r="SCE107" s="17"/>
      <c r="SCF107" s="17"/>
      <c r="SCG107" s="17"/>
      <c r="SCH107" s="17"/>
      <c r="SCI107" s="17"/>
      <c r="SCJ107" s="17"/>
      <c r="SCK107" s="17"/>
      <c r="SCL107" s="17"/>
      <c r="SCM107" s="17"/>
      <c r="SCN107" s="17"/>
      <c r="SCO107" s="17"/>
      <c r="SCP107" s="17"/>
      <c r="SCQ107" s="17"/>
      <c r="SCR107" s="17"/>
      <c r="SCS107" s="17"/>
      <c r="SCT107" s="17"/>
      <c r="SCU107" s="17"/>
      <c r="SCV107" s="17"/>
      <c r="SCW107" s="17"/>
      <c r="SCX107" s="17"/>
      <c r="SCY107" s="17"/>
      <c r="SCZ107" s="17"/>
      <c r="SDA107" s="17"/>
      <c r="SDB107" s="17"/>
      <c r="SDC107" s="17"/>
      <c r="SDD107" s="17"/>
      <c r="SDE107" s="17"/>
      <c r="SDF107" s="17"/>
      <c r="SDG107" s="17"/>
      <c r="SDH107" s="17"/>
      <c r="SDI107" s="17"/>
      <c r="SDJ107" s="17"/>
      <c r="SDK107" s="17"/>
      <c r="SDL107" s="17"/>
      <c r="SDM107" s="17"/>
      <c r="SDN107" s="17"/>
      <c r="SDO107" s="17"/>
      <c r="SDP107" s="17"/>
      <c r="SDQ107" s="17"/>
      <c r="SDR107" s="17"/>
      <c r="SDS107" s="17"/>
      <c r="SDT107" s="17"/>
      <c r="SDU107" s="17"/>
      <c r="SDV107" s="17"/>
      <c r="SDW107" s="17"/>
      <c r="SDX107" s="17"/>
      <c r="SDY107" s="17"/>
      <c r="SDZ107" s="17"/>
      <c r="SEA107" s="17"/>
      <c r="SEB107" s="17"/>
      <c r="SEC107" s="17"/>
      <c r="SED107" s="17"/>
      <c r="SEE107" s="17"/>
      <c r="SEF107" s="17"/>
      <c r="SEG107" s="17"/>
      <c r="SEH107" s="17"/>
      <c r="SEI107" s="17"/>
      <c r="SEJ107" s="17"/>
      <c r="SEK107" s="17"/>
      <c r="SEL107" s="17"/>
      <c r="SEM107" s="17"/>
      <c r="SEN107" s="17"/>
      <c r="SEO107" s="17"/>
      <c r="SEP107" s="17"/>
      <c r="SEQ107" s="17"/>
      <c r="SER107" s="17"/>
      <c r="SES107" s="17"/>
      <c r="SET107" s="17"/>
      <c r="SEU107" s="17"/>
      <c r="SEV107" s="17"/>
      <c r="SEW107" s="17"/>
      <c r="SEX107" s="17"/>
      <c r="SEY107" s="17"/>
      <c r="SEZ107" s="17"/>
      <c r="SFA107" s="17"/>
      <c r="SFB107" s="17"/>
      <c r="SFC107" s="17"/>
      <c r="SFD107" s="17"/>
      <c r="SFE107" s="17"/>
      <c r="SFF107" s="17"/>
      <c r="SFG107" s="17"/>
      <c r="SFH107" s="17"/>
      <c r="SFI107" s="17"/>
      <c r="SFJ107" s="17"/>
      <c r="SFK107" s="17"/>
      <c r="SFL107" s="17"/>
      <c r="SFM107" s="17"/>
      <c r="SFN107" s="17"/>
      <c r="SFO107" s="17"/>
      <c r="SFP107" s="17"/>
      <c r="SFQ107" s="17"/>
      <c r="SFR107" s="17"/>
      <c r="SFS107" s="17"/>
      <c r="SFT107" s="17"/>
      <c r="SFU107" s="17"/>
      <c r="SFV107" s="17"/>
      <c r="SFW107" s="17"/>
      <c r="SFX107" s="17"/>
      <c r="SFY107" s="17"/>
      <c r="SFZ107" s="17"/>
      <c r="SGA107" s="17"/>
      <c r="SGB107" s="17"/>
      <c r="SGC107" s="17"/>
      <c r="SGD107" s="17"/>
      <c r="SGE107" s="17"/>
      <c r="SGF107" s="17"/>
      <c r="SGG107" s="17"/>
      <c r="SGH107" s="17"/>
      <c r="SGI107" s="17"/>
      <c r="SGJ107" s="17"/>
      <c r="SGK107" s="17"/>
      <c r="SGL107" s="17"/>
      <c r="SGM107" s="17"/>
      <c r="SGN107" s="17"/>
      <c r="SGO107" s="17"/>
      <c r="SGP107" s="17"/>
      <c r="SGQ107" s="17"/>
      <c r="SGR107" s="17"/>
      <c r="SGS107" s="17"/>
      <c r="SGT107" s="17"/>
      <c r="SGU107" s="17"/>
      <c r="SGV107" s="17"/>
      <c r="SGW107" s="17"/>
      <c r="SGX107" s="17"/>
      <c r="SGY107" s="17"/>
      <c r="SGZ107" s="17"/>
      <c r="SHA107" s="17"/>
      <c r="SHB107" s="17"/>
      <c r="SHC107" s="17"/>
      <c r="SHD107" s="17"/>
      <c r="SHE107" s="17"/>
      <c r="SHF107" s="17"/>
      <c r="SHG107" s="17"/>
      <c r="SHH107" s="17"/>
      <c r="SHI107" s="17"/>
      <c r="SHJ107" s="17"/>
      <c r="SHK107" s="17"/>
      <c r="SHL107" s="17"/>
      <c r="SHM107" s="17"/>
      <c r="SHN107" s="17"/>
      <c r="SHO107" s="17"/>
      <c r="SHP107" s="17"/>
      <c r="SHQ107" s="17"/>
      <c r="SHR107" s="17"/>
      <c r="SHS107" s="17"/>
      <c r="SHT107" s="17"/>
      <c r="SHU107" s="17"/>
      <c r="SHV107" s="17"/>
      <c r="SHW107" s="17"/>
      <c r="SHX107" s="17"/>
      <c r="SHY107" s="17"/>
      <c r="SHZ107" s="17"/>
      <c r="SIA107" s="17"/>
      <c r="SIB107" s="17"/>
      <c r="SIC107" s="17"/>
      <c r="SID107" s="17"/>
      <c r="SIE107" s="17"/>
      <c r="SIF107" s="17"/>
      <c r="SIG107" s="17"/>
      <c r="SIH107" s="17"/>
      <c r="SII107" s="17"/>
      <c r="SIJ107" s="17"/>
      <c r="SIK107" s="17"/>
      <c r="SIL107" s="17"/>
      <c r="SIM107" s="17"/>
      <c r="SIN107" s="17"/>
      <c r="SIO107" s="17"/>
      <c r="SIP107" s="17"/>
      <c r="SIQ107" s="17"/>
      <c r="SIR107" s="17"/>
      <c r="SIS107" s="17"/>
      <c r="SIT107" s="17"/>
      <c r="SIU107" s="17"/>
      <c r="SIV107" s="17"/>
      <c r="SIW107" s="17"/>
      <c r="SIX107" s="17"/>
      <c r="SIY107" s="17"/>
      <c r="SIZ107" s="17"/>
      <c r="SJA107" s="17"/>
      <c r="SJB107" s="17"/>
      <c r="SJC107" s="17"/>
      <c r="SJD107" s="17"/>
      <c r="SJE107" s="17"/>
      <c r="SJF107" s="17"/>
      <c r="SJG107" s="17"/>
      <c r="SJH107" s="17"/>
      <c r="SJI107" s="17"/>
      <c r="SJJ107" s="17"/>
      <c r="SJK107" s="17"/>
      <c r="SJL107" s="17"/>
      <c r="SJM107" s="17"/>
      <c r="SJN107" s="17"/>
      <c r="SJO107" s="17"/>
      <c r="SJP107" s="17"/>
      <c r="SJQ107" s="17"/>
      <c r="SJR107" s="17"/>
      <c r="SJS107" s="17"/>
      <c r="SJT107" s="17"/>
      <c r="SJU107" s="17"/>
      <c r="SJV107" s="17"/>
      <c r="SJW107" s="17"/>
      <c r="SJX107" s="17"/>
      <c r="SJY107" s="17"/>
      <c r="SJZ107" s="17"/>
      <c r="SKA107" s="17"/>
      <c r="SKB107" s="17"/>
      <c r="SKC107" s="17"/>
      <c r="SKD107" s="17"/>
      <c r="SKE107" s="17"/>
      <c r="SKF107" s="17"/>
      <c r="SKG107" s="17"/>
      <c r="SKH107" s="17"/>
      <c r="SKI107" s="17"/>
      <c r="SKJ107" s="17"/>
      <c r="SKK107" s="17"/>
      <c r="SKL107" s="17"/>
      <c r="SKM107" s="17"/>
      <c r="SKN107" s="17"/>
      <c r="SKO107" s="17"/>
      <c r="SKP107" s="17"/>
      <c r="SKQ107" s="17"/>
      <c r="SKR107" s="17"/>
      <c r="SKS107" s="17"/>
      <c r="SKT107" s="17"/>
      <c r="SKU107" s="17"/>
      <c r="SKV107" s="17"/>
      <c r="SKW107" s="17"/>
      <c r="SKX107" s="17"/>
      <c r="SKY107" s="17"/>
      <c r="SKZ107" s="17"/>
      <c r="SLA107" s="17"/>
      <c r="SLB107" s="17"/>
      <c r="SLC107" s="17"/>
      <c r="SLD107" s="17"/>
      <c r="SLE107" s="17"/>
      <c r="SLF107" s="17"/>
      <c r="SLG107" s="17"/>
      <c r="SLH107" s="17"/>
      <c r="SLI107" s="17"/>
      <c r="SLJ107" s="17"/>
      <c r="SLK107" s="17"/>
      <c r="SLL107" s="17"/>
      <c r="SLM107" s="17"/>
      <c r="SLN107" s="17"/>
      <c r="SLO107" s="17"/>
      <c r="SLP107" s="17"/>
      <c r="SLQ107" s="17"/>
      <c r="SLR107" s="17"/>
      <c r="SLS107" s="17"/>
      <c r="SLT107" s="17"/>
      <c r="SLU107" s="17"/>
      <c r="SLV107" s="17"/>
      <c r="SLW107" s="17"/>
      <c r="SLX107" s="17"/>
      <c r="SLY107" s="17"/>
      <c r="SLZ107" s="17"/>
      <c r="SMA107" s="17"/>
      <c r="SMB107" s="17"/>
      <c r="SMC107" s="17"/>
      <c r="SMD107" s="17"/>
      <c r="SME107" s="17"/>
      <c r="SMF107" s="17"/>
      <c r="SMG107" s="17"/>
      <c r="SMH107" s="17"/>
      <c r="SMI107" s="17"/>
      <c r="SMJ107" s="17"/>
      <c r="SMK107" s="17"/>
      <c r="SML107" s="17"/>
      <c r="SMM107" s="17"/>
      <c r="SMN107" s="17"/>
      <c r="SMO107" s="17"/>
      <c r="SMP107" s="17"/>
      <c r="SMQ107" s="17"/>
      <c r="SMR107" s="17"/>
      <c r="SMS107" s="17"/>
      <c r="SMT107" s="17"/>
      <c r="SMU107" s="17"/>
      <c r="SMV107" s="17"/>
      <c r="SMW107" s="17"/>
      <c r="SMX107" s="17"/>
      <c r="SMY107" s="17"/>
      <c r="SMZ107" s="17"/>
      <c r="SNA107" s="17"/>
      <c r="SNB107" s="17"/>
      <c r="SNC107" s="17"/>
      <c r="SND107" s="17"/>
      <c r="SNE107" s="17"/>
      <c r="SNF107" s="17"/>
      <c r="SNG107" s="17"/>
      <c r="SNH107" s="17"/>
      <c r="SNI107" s="17"/>
      <c r="SNJ107" s="17"/>
      <c r="SNK107" s="17"/>
      <c r="SNL107" s="17"/>
      <c r="SNM107" s="17"/>
      <c r="SNN107" s="17"/>
      <c r="SNO107" s="17"/>
      <c r="SNP107" s="17"/>
      <c r="SNQ107" s="17"/>
      <c r="SNR107" s="17"/>
      <c r="SNS107" s="17"/>
      <c r="SNT107" s="17"/>
      <c r="SNU107" s="17"/>
      <c r="SNV107" s="17"/>
      <c r="SNW107" s="17"/>
      <c r="SNX107" s="17"/>
      <c r="SNY107" s="17"/>
      <c r="SNZ107" s="17"/>
      <c r="SOA107" s="17"/>
      <c r="SOB107" s="17"/>
      <c r="SOC107" s="17"/>
      <c r="SOD107" s="17"/>
      <c r="SOE107" s="17"/>
      <c r="SOF107" s="17"/>
      <c r="SOG107" s="17"/>
      <c r="SOH107" s="17"/>
      <c r="SOI107" s="17"/>
      <c r="SOJ107" s="17"/>
      <c r="SOK107" s="17"/>
      <c r="SOL107" s="17"/>
      <c r="SOM107" s="17"/>
      <c r="SON107" s="17"/>
      <c r="SOO107" s="17"/>
      <c r="SOP107" s="17"/>
      <c r="SOQ107" s="17"/>
      <c r="SOR107" s="17"/>
      <c r="SOS107" s="17"/>
      <c r="SOT107" s="17"/>
      <c r="SOU107" s="17"/>
      <c r="SOV107" s="17"/>
      <c r="SOW107" s="17"/>
      <c r="SOX107" s="17"/>
      <c r="SOY107" s="17"/>
      <c r="SOZ107" s="17"/>
      <c r="SPA107" s="17"/>
      <c r="SPB107" s="17"/>
      <c r="SPC107" s="17"/>
      <c r="SPD107" s="17"/>
      <c r="SPE107" s="17"/>
      <c r="SPF107" s="17"/>
      <c r="SPG107" s="17"/>
      <c r="SPH107" s="17"/>
      <c r="SPI107" s="17"/>
      <c r="SPJ107" s="17"/>
      <c r="SPK107" s="17"/>
      <c r="SPL107" s="17"/>
      <c r="SPM107" s="17"/>
      <c r="SPN107" s="17"/>
      <c r="SPO107" s="17"/>
      <c r="SPP107" s="17"/>
      <c r="SPQ107" s="17"/>
      <c r="SPR107" s="17"/>
      <c r="SPS107" s="17"/>
      <c r="SPT107" s="17"/>
      <c r="SPU107" s="17"/>
      <c r="SPV107" s="17"/>
      <c r="SPW107" s="17"/>
      <c r="SPX107" s="17"/>
      <c r="SPY107" s="17"/>
      <c r="SPZ107" s="17"/>
      <c r="SQA107" s="17"/>
      <c r="SQB107" s="17"/>
      <c r="SQC107" s="17"/>
      <c r="SQD107" s="17"/>
      <c r="SQE107" s="17"/>
      <c r="SQF107" s="17"/>
      <c r="SQG107" s="17"/>
      <c r="SQH107" s="17"/>
      <c r="SQI107" s="17"/>
      <c r="SQJ107" s="17"/>
      <c r="SQK107" s="17"/>
      <c r="SQL107" s="17"/>
      <c r="SQM107" s="17"/>
      <c r="SQN107" s="17"/>
      <c r="SQO107" s="17"/>
      <c r="SQP107" s="17"/>
      <c r="SQQ107" s="17"/>
      <c r="SQR107" s="17"/>
      <c r="SQS107" s="17"/>
      <c r="SQT107" s="17"/>
      <c r="SQU107" s="17"/>
      <c r="SQV107" s="17"/>
      <c r="SQW107" s="17"/>
      <c r="SQX107" s="17"/>
      <c r="SQY107" s="17"/>
      <c r="SQZ107" s="17"/>
      <c r="SRA107" s="17"/>
      <c r="SRB107" s="17"/>
      <c r="SRC107" s="17"/>
      <c r="SRD107" s="17"/>
      <c r="SRE107" s="17"/>
      <c r="SRF107" s="17"/>
      <c r="SRG107" s="17"/>
      <c r="SRH107" s="17"/>
      <c r="SRI107" s="17"/>
      <c r="SRJ107" s="17"/>
      <c r="SRK107" s="17"/>
      <c r="SRL107" s="17"/>
      <c r="SRM107" s="17"/>
      <c r="SRN107" s="17"/>
      <c r="SRO107" s="17"/>
      <c r="SRP107" s="17"/>
      <c r="SRQ107" s="17"/>
      <c r="SRR107" s="17"/>
      <c r="SRS107" s="17"/>
      <c r="SRT107" s="17"/>
      <c r="SRU107" s="17"/>
      <c r="SRV107" s="17"/>
      <c r="SRW107" s="17"/>
      <c r="SRX107" s="17"/>
      <c r="SRY107" s="17"/>
      <c r="SRZ107" s="17"/>
      <c r="SSA107" s="17"/>
      <c r="SSB107" s="17"/>
      <c r="SSC107" s="17"/>
      <c r="SSD107" s="17"/>
      <c r="SSE107" s="17"/>
      <c r="SSF107" s="17"/>
      <c r="SSG107" s="17"/>
      <c r="SSH107" s="17"/>
      <c r="SSI107" s="17"/>
      <c r="SSJ107" s="17"/>
      <c r="SSK107" s="17"/>
      <c r="SSL107" s="17"/>
      <c r="SSM107" s="17"/>
      <c r="SSN107" s="17"/>
      <c r="SSO107" s="17"/>
      <c r="SSP107" s="17"/>
      <c r="SSQ107" s="17"/>
      <c r="SSR107" s="17"/>
      <c r="SSS107" s="17"/>
      <c r="SST107" s="17"/>
      <c r="SSU107" s="17"/>
      <c r="SSV107" s="17"/>
      <c r="SSW107" s="17"/>
      <c r="SSX107" s="17"/>
      <c r="SSY107" s="17"/>
      <c r="SSZ107" s="17"/>
      <c r="STA107" s="17"/>
      <c r="STB107" s="17"/>
      <c r="STC107" s="17"/>
      <c r="STD107" s="17"/>
      <c r="STE107" s="17"/>
      <c r="STF107" s="17"/>
      <c r="STG107" s="17"/>
      <c r="STH107" s="17"/>
      <c r="STI107" s="17"/>
      <c r="STJ107" s="17"/>
      <c r="STK107" s="17"/>
      <c r="STL107" s="17"/>
      <c r="STM107" s="17"/>
      <c r="STN107" s="17"/>
      <c r="STO107" s="17"/>
      <c r="STP107" s="17"/>
      <c r="STQ107" s="17"/>
      <c r="STR107" s="17"/>
      <c r="STS107" s="17"/>
      <c r="STT107" s="17"/>
      <c r="STU107" s="17"/>
      <c r="STV107" s="17"/>
      <c r="STW107" s="17"/>
      <c r="STX107" s="17"/>
      <c r="STY107" s="17"/>
      <c r="STZ107" s="17"/>
      <c r="SUA107" s="17"/>
      <c r="SUB107" s="17"/>
      <c r="SUC107" s="17"/>
      <c r="SUD107" s="17"/>
      <c r="SUE107" s="17"/>
      <c r="SUF107" s="17"/>
      <c r="SUG107" s="17"/>
      <c r="SUH107" s="17"/>
      <c r="SUI107" s="17"/>
      <c r="SUJ107" s="17"/>
      <c r="SUK107" s="17"/>
      <c r="SUL107" s="17"/>
      <c r="SUM107" s="17"/>
      <c r="SUN107" s="17"/>
      <c r="SUO107" s="17"/>
      <c r="SUP107" s="17"/>
      <c r="SUQ107" s="17"/>
      <c r="SUR107" s="17"/>
      <c r="SUS107" s="17"/>
      <c r="SUT107" s="17"/>
      <c r="SUU107" s="17"/>
      <c r="SUV107" s="17"/>
      <c r="SUW107" s="17"/>
      <c r="SUX107" s="17"/>
      <c r="SUY107" s="17"/>
      <c r="SUZ107" s="17"/>
      <c r="SVA107" s="17"/>
      <c r="SVB107" s="17"/>
      <c r="SVC107" s="17"/>
      <c r="SVD107" s="17"/>
      <c r="SVE107" s="17"/>
      <c r="SVF107" s="17"/>
      <c r="SVG107" s="17"/>
      <c r="SVH107" s="17"/>
      <c r="SVI107" s="17"/>
      <c r="SVJ107" s="17"/>
      <c r="SVK107" s="17"/>
      <c r="SVL107" s="17"/>
      <c r="SVM107" s="17"/>
      <c r="SVN107" s="17"/>
      <c r="SVO107" s="17"/>
      <c r="SVP107" s="17"/>
      <c r="SVQ107" s="17"/>
      <c r="SVR107" s="17"/>
      <c r="SVS107" s="17"/>
      <c r="SVT107" s="17"/>
      <c r="SVU107" s="17"/>
      <c r="SVV107" s="17"/>
      <c r="SVW107" s="17"/>
      <c r="SVX107" s="17"/>
      <c r="SVY107" s="17"/>
      <c r="SVZ107" s="17"/>
      <c r="SWA107" s="17"/>
      <c r="SWB107" s="17"/>
      <c r="SWC107" s="17"/>
      <c r="SWD107" s="17"/>
      <c r="SWE107" s="17"/>
      <c r="SWF107" s="17"/>
      <c r="SWG107" s="17"/>
      <c r="SWH107" s="17"/>
      <c r="SWI107" s="17"/>
      <c r="SWJ107" s="17"/>
      <c r="SWK107" s="17"/>
      <c r="SWL107" s="17"/>
      <c r="SWM107" s="17"/>
      <c r="SWN107" s="17"/>
      <c r="SWO107" s="17"/>
      <c r="SWP107" s="17"/>
      <c r="SWQ107" s="17"/>
      <c r="SWR107" s="17"/>
      <c r="SWS107" s="17"/>
      <c r="SWT107" s="17"/>
      <c r="SWU107" s="17"/>
      <c r="SWV107" s="17"/>
      <c r="SWW107" s="17"/>
      <c r="SWX107" s="17"/>
      <c r="SWY107" s="17"/>
      <c r="SWZ107" s="17"/>
      <c r="SXA107" s="17"/>
      <c r="SXB107" s="17"/>
      <c r="SXC107" s="17"/>
      <c r="SXD107" s="17"/>
      <c r="SXE107" s="17"/>
      <c r="SXF107" s="17"/>
      <c r="SXG107" s="17"/>
      <c r="SXH107" s="17"/>
      <c r="SXI107" s="17"/>
      <c r="SXJ107" s="17"/>
      <c r="SXK107" s="17"/>
      <c r="SXL107" s="17"/>
      <c r="SXM107" s="17"/>
      <c r="SXN107" s="17"/>
      <c r="SXO107" s="17"/>
      <c r="SXP107" s="17"/>
      <c r="SXQ107" s="17"/>
      <c r="SXR107" s="17"/>
      <c r="SXS107" s="17"/>
      <c r="SXT107" s="17"/>
      <c r="SXU107" s="17"/>
      <c r="SXV107" s="17"/>
      <c r="SXW107" s="17"/>
      <c r="SXX107" s="17"/>
      <c r="SXY107" s="17"/>
      <c r="SXZ107" s="17"/>
      <c r="SYA107" s="17"/>
      <c r="SYB107" s="17"/>
      <c r="SYC107" s="17"/>
      <c r="SYD107" s="17"/>
      <c r="SYE107" s="17"/>
      <c r="SYF107" s="17"/>
      <c r="SYG107" s="17"/>
      <c r="SYH107" s="17"/>
      <c r="SYI107" s="17"/>
      <c r="SYJ107" s="17"/>
      <c r="SYK107" s="17"/>
      <c r="SYL107" s="17"/>
      <c r="SYM107" s="17"/>
      <c r="SYN107" s="17"/>
      <c r="SYO107" s="17"/>
      <c r="SYP107" s="17"/>
      <c r="SYQ107" s="17"/>
      <c r="SYR107" s="17"/>
      <c r="SYS107" s="17"/>
      <c r="SYT107" s="17"/>
      <c r="SYU107" s="17"/>
      <c r="SYV107" s="17"/>
      <c r="SYW107" s="17"/>
      <c r="SYX107" s="17"/>
      <c r="SYY107" s="17"/>
      <c r="SYZ107" s="17"/>
      <c r="SZA107" s="17"/>
      <c r="SZB107" s="17"/>
      <c r="SZC107" s="17"/>
      <c r="SZD107" s="17"/>
      <c r="SZE107" s="17"/>
      <c r="SZF107" s="17"/>
      <c r="SZG107" s="17"/>
      <c r="SZH107" s="17"/>
      <c r="SZI107" s="17"/>
      <c r="SZJ107" s="17"/>
      <c r="SZK107" s="17"/>
      <c r="SZL107" s="17"/>
      <c r="SZM107" s="17"/>
      <c r="SZN107" s="17"/>
      <c r="SZO107" s="17"/>
      <c r="SZP107" s="17"/>
      <c r="SZQ107" s="17"/>
      <c r="SZR107" s="17"/>
      <c r="SZS107" s="17"/>
      <c r="SZT107" s="17"/>
      <c r="SZU107" s="17"/>
      <c r="SZV107" s="17"/>
      <c r="SZW107" s="17"/>
      <c r="SZX107" s="17"/>
      <c r="SZY107" s="17"/>
      <c r="SZZ107" s="17"/>
      <c r="TAA107" s="17"/>
      <c r="TAB107" s="17"/>
      <c r="TAC107" s="17"/>
      <c r="TAD107" s="17"/>
      <c r="TAE107" s="17"/>
      <c r="TAF107" s="17"/>
      <c r="TAG107" s="17"/>
      <c r="TAH107" s="17"/>
      <c r="TAI107" s="17"/>
      <c r="TAJ107" s="17"/>
      <c r="TAK107" s="17"/>
      <c r="TAL107" s="17"/>
      <c r="TAM107" s="17"/>
      <c r="TAN107" s="17"/>
      <c r="TAO107" s="17"/>
      <c r="TAP107" s="17"/>
      <c r="TAQ107" s="17"/>
      <c r="TAR107" s="17"/>
      <c r="TAS107" s="17"/>
      <c r="TAT107" s="17"/>
      <c r="TAU107" s="17"/>
      <c r="TAV107" s="17"/>
      <c r="TAW107" s="17"/>
      <c r="TAX107" s="17"/>
      <c r="TAY107" s="17"/>
      <c r="TAZ107" s="17"/>
      <c r="TBA107" s="17"/>
      <c r="TBB107" s="17"/>
      <c r="TBC107" s="17"/>
      <c r="TBD107" s="17"/>
      <c r="TBE107" s="17"/>
      <c r="TBF107" s="17"/>
      <c r="TBG107" s="17"/>
      <c r="TBH107" s="17"/>
      <c r="TBI107" s="17"/>
      <c r="TBJ107" s="17"/>
      <c r="TBK107" s="17"/>
      <c r="TBL107" s="17"/>
      <c r="TBM107" s="17"/>
      <c r="TBN107" s="17"/>
      <c r="TBO107" s="17"/>
      <c r="TBP107" s="17"/>
      <c r="TBQ107" s="17"/>
      <c r="TBR107" s="17"/>
      <c r="TBS107" s="17"/>
      <c r="TBT107" s="17"/>
      <c r="TBU107" s="17"/>
      <c r="TBV107" s="17"/>
      <c r="TBW107" s="17"/>
      <c r="TBX107" s="17"/>
      <c r="TBY107" s="17"/>
      <c r="TBZ107" s="17"/>
      <c r="TCA107" s="17"/>
      <c r="TCB107" s="17"/>
      <c r="TCC107" s="17"/>
      <c r="TCD107" s="17"/>
      <c r="TCE107" s="17"/>
      <c r="TCF107" s="17"/>
      <c r="TCG107" s="17"/>
      <c r="TCH107" s="17"/>
      <c r="TCI107" s="17"/>
      <c r="TCJ107" s="17"/>
      <c r="TCK107" s="17"/>
      <c r="TCL107" s="17"/>
      <c r="TCM107" s="17"/>
      <c r="TCN107" s="17"/>
      <c r="TCO107" s="17"/>
      <c r="TCP107" s="17"/>
      <c r="TCQ107" s="17"/>
      <c r="TCR107" s="17"/>
      <c r="TCS107" s="17"/>
      <c r="TCT107" s="17"/>
      <c r="TCU107" s="17"/>
      <c r="TCV107" s="17"/>
      <c r="TCW107" s="17"/>
      <c r="TCX107" s="17"/>
      <c r="TCY107" s="17"/>
      <c r="TCZ107" s="17"/>
      <c r="TDA107" s="17"/>
      <c r="TDB107" s="17"/>
      <c r="TDC107" s="17"/>
      <c r="TDD107" s="17"/>
      <c r="TDE107" s="17"/>
      <c r="TDF107" s="17"/>
      <c r="TDG107" s="17"/>
      <c r="TDH107" s="17"/>
      <c r="TDI107" s="17"/>
      <c r="TDJ107" s="17"/>
      <c r="TDK107" s="17"/>
      <c r="TDL107" s="17"/>
      <c r="TDM107" s="17"/>
      <c r="TDN107" s="17"/>
      <c r="TDO107" s="17"/>
      <c r="TDP107" s="17"/>
      <c r="TDQ107" s="17"/>
      <c r="TDR107" s="17"/>
      <c r="TDS107" s="17"/>
      <c r="TDT107" s="17"/>
      <c r="TDU107" s="17"/>
      <c r="TDV107" s="17"/>
      <c r="TDW107" s="17"/>
      <c r="TDX107" s="17"/>
      <c r="TDY107" s="17"/>
      <c r="TDZ107" s="17"/>
      <c r="TEA107" s="17"/>
      <c r="TEB107" s="17"/>
      <c r="TEC107" s="17"/>
      <c r="TED107" s="17"/>
      <c r="TEE107" s="17"/>
      <c r="TEF107" s="17"/>
      <c r="TEG107" s="17"/>
      <c r="TEH107" s="17"/>
      <c r="TEI107" s="17"/>
      <c r="TEJ107" s="17"/>
      <c r="TEK107" s="17"/>
      <c r="TEL107" s="17"/>
      <c r="TEM107" s="17"/>
      <c r="TEN107" s="17"/>
      <c r="TEO107" s="17"/>
      <c r="TEP107" s="17"/>
      <c r="TEQ107" s="17"/>
      <c r="TER107" s="17"/>
      <c r="TES107" s="17"/>
      <c r="TET107" s="17"/>
      <c r="TEU107" s="17"/>
      <c r="TEV107" s="17"/>
      <c r="TEW107" s="17"/>
      <c r="TEX107" s="17"/>
      <c r="TEY107" s="17"/>
      <c r="TEZ107" s="17"/>
      <c r="TFA107" s="17"/>
      <c r="TFB107" s="17"/>
      <c r="TFC107" s="17"/>
      <c r="TFD107" s="17"/>
      <c r="TFE107" s="17"/>
      <c r="TFF107" s="17"/>
      <c r="TFG107" s="17"/>
      <c r="TFH107" s="17"/>
      <c r="TFI107" s="17"/>
      <c r="TFJ107" s="17"/>
      <c r="TFK107" s="17"/>
      <c r="TFL107" s="17"/>
      <c r="TFM107" s="17"/>
      <c r="TFN107" s="17"/>
      <c r="TFO107" s="17"/>
      <c r="TFP107" s="17"/>
      <c r="TFQ107" s="17"/>
      <c r="TFR107" s="17"/>
      <c r="TFS107" s="17"/>
      <c r="TFT107" s="17"/>
      <c r="TFU107" s="17"/>
      <c r="TFV107" s="17"/>
      <c r="TFW107" s="17"/>
      <c r="TFX107" s="17"/>
      <c r="TFY107" s="17"/>
      <c r="TFZ107" s="17"/>
      <c r="TGA107" s="17"/>
      <c r="TGB107" s="17"/>
      <c r="TGC107" s="17"/>
      <c r="TGD107" s="17"/>
      <c r="TGE107" s="17"/>
      <c r="TGF107" s="17"/>
      <c r="TGG107" s="17"/>
      <c r="TGH107" s="17"/>
      <c r="TGI107" s="17"/>
      <c r="TGJ107" s="17"/>
      <c r="TGK107" s="17"/>
      <c r="TGL107" s="17"/>
      <c r="TGM107" s="17"/>
      <c r="TGN107" s="17"/>
      <c r="TGO107" s="17"/>
      <c r="TGP107" s="17"/>
      <c r="TGQ107" s="17"/>
      <c r="TGR107" s="17"/>
      <c r="TGS107" s="17"/>
      <c r="TGT107" s="17"/>
      <c r="TGU107" s="17"/>
      <c r="TGV107" s="17"/>
      <c r="TGW107" s="17"/>
      <c r="TGX107" s="17"/>
      <c r="TGY107" s="17"/>
      <c r="TGZ107" s="17"/>
      <c r="THA107" s="17"/>
      <c r="THB107" s="17"/>
      <c r="THC107" s="17"/>
      <c r="THD107" s="17"/>
      <c r="THE107" s="17"/>
      <c r="THF107" s="17"/>
      <c r="THG107" s="17"/>
      <c r="THH107" s="17"/>
      <c r="THI107" s="17"/>
      <c r="THJ107" s="17"/>
      <c r="THK107" s="17"/>
      <c r="THL107" s="17"/>
      <c r="THM107" s="17"/>
      <c r="THN107" s="17"/>
      <c r="THO107" s="17"/>
      <c r="THP107" s="17"/>
      <c r="THQ107" s="17"/>
      <c r="THR107" s="17"/>
      <c r="THS107" s="17"/>
      <c r="THT107" s="17"/>
      <c r="THU107" s="17"/>
      <c r="THV107" s="17"/>
      <c r="THW107" s="17"/>
      <c r="THX107" s="17"/>
      <c r="THY107" s="17"/>
      <c r="THZ107" s="17"/>
      <c r="TIA107" s="17"/>
      <c r="TIB107" s="17"/>
      <c r="TIC107" s="17"/>
      <c r="TID107" s="17"/>
      <c r="TIE107" s="17"/>
      <c r="TIF107" s="17"/>
      <c r="TIG107" s="17"/>
      <c r="TIH107" s="17"/>
      <c r="TII107" s="17"/>
      <c r="TIJ107" s="17"/>
      <c r="TIK107" s="17"/>
      <c r="TIL107" s="17"/>
      <c r="TIM107" s="17"/>
      <c r="TIN107" s="17"/>
      <c r="TIO107" s="17"/>
      <c r="TIP107" s="17"/>
      <c r="TIQ107" s="17"/>
      <c r="TIR107" s="17"/>
      <c r="TIS107" s="17"/>
      <c r="TIT107" s="17"/>
      <c r="TIU107" s="17"/>
      <c r="TIV107" s="17"/>
      <c r="TIW107" s="17"/>
      <c r="TIX107" s="17"/>
      <c r="TIY107" s="17"/>
      <c r="TIZ107" s="17"/>
      <c r="TJA107" s="17"/>
      <c r="TJB107" s="17"/>
      <c r="TJC107" s="17"/>
      <c r="TJD107" s="17"/>
      <c r="TJE107" s="17"/>
      <c r="TJF107" s="17"/>
      <c r="TJG107" s="17"/>
      <c r="TJH107" s="17"/>
      <c r="TJI107" s="17"/>
      <c r="TJJ107" s="17"/>
      <c r="TJK107" s="17"/>
      <c r="TJL107" s="17"/>
      <c r="TJM107" s="17"/>
      <c r="TJN107" s="17"/>
      <c r="TJO107" s="17"/>
      <c r="TJP107" s="17"/>
      <c r="TJQ107" s="17"/>
      <c r="TJR107" s="17"/>
      <c r="TJS107" s="17"/>
      <c r="TJT107" s="17"/>
      <c r="TJU107" s="17"/>
      <c r="TJV107" s="17"/>
      <c r="TJW107" s="17"/>
      <c r="TJX107" s="17"/>
      <c r="TJY107" s="17"/>
      <c r="TJZ107" s="17"/>
      <c r="TKA107" s="17"/>
      <c r="TKB107" s="17"/>
      <c r="TKC107" s="17"/>
      <c r="TKD107" s="17"/>
      <c r="TKE107" s="17"/>
      <c r="TKF107" s="17"/>
      <c r="TKG107" s="17"/>
      <c r="TKH107" s="17"/>
      <c r="TKI107" s="17"/>
      <c r="TKJ107" s="17"/>
      <c r="TKK107" s="17"/>
      <c r="TKL107" s="17"/>
      <c r="TKM107" s="17"/>
      <c r="TKN107" s="17"/>
      <c r="TKO107" s="17"/>
      <c r="TKP107" s="17"/>
      <c r="TKQ107" s="17"/>
      <c r="TKR107" s="17"/>
      <c r="TKS107" s="17"/>
      <c r="TKT107" s="17"/>
      <c r="TKU107" s="17"/>
      <c r="TKV107" s="17"/>
      <c r="TKW107" s="17"/>
      <c r="TKX107" s="17"/>
      <c r="TKY107" s="17"/>
      <c r="TKZ107" s="17"/>
      <c r="TLA107" s="17"/>
      <c r="TLB107" s="17"/>
      <c r="TLC107" s="17"/>
      <c r="TLD107" s="17"/>
      <c r="TLE107" s="17"/>
      <c r="TLF107" s="17"/>
      <c r="TLG107" s="17"/>
      <c r="TLH107" s="17"/>
      <c r="TLI107" s="17"/>
      <c r="TLJ107" s="17"/>
      <c r="TLK107" s="17"/>
      <c r="TLL107" s="17"/>
      <c r="TLM107" s="17"/>
      <c r="TLN107" s="17"/>
      <c r="TLO107" s="17"/>
      <c r="TLP107" s="17"/>
      <c r="TLQ107" s="17"/>
      <c r="TLR107" s="17"/>
      <c r="TLS107" s="17"/>
      <c r="TLT107" s="17"/>
      <c r="TLU107" s="17"/>
      <c r="TLV107" s="17"/>
      <c r="TLW107" s="17"/>
      <c r="TLX107" s="17"/>
      <c r="TLY107" s="17"/>
      <c r="TLZ107" s="17"/>
      <c r="TMA107" s="17"/>
      <c r="TMB107" s="17"/>
      <c r="TMC107" s="17"/>
      <c r="TMD107" s="17"/>
      <c r="TME107" s="17"/>
      <c r="TMF107" s="17"/>
      <c r="TMG107" s="17"/>
      <c r="TMH107" s="17"/>
      <c r="TMI107" s="17"/>
      <c r="TMJ107" s="17"/>
      <c r="TMK107" s="17"/>
      <c r="TML107" s="17"/>
      <c r="TMM107" s="17"/>
      <c r="TMN107" s="17"/>
      <c r="TMO107" s="17"/>
      <c r="TMP107" s="17"/>
      <c r="TMQ107" s="17"/>
      <c r="TMR107" s="17"/>
      <c r="TMS107" s="17"/>
      <c r="TMT107" s="17"/>
      <c r="TMU107" s="17"/>
      <c r="TMV107" s="17"/>
      <c r="TMW107" s="17"/>
      <c r="TMX107" s="17"/>
      <c r="TMY107" s="17"/>
      <c r="TMZ107" s="17"/>
      <c r="TNA107" s="17"/>
      <c r="TNB107" s="17"/>
      <c r="TNC107" s="17"/>
      <c r="TND107" s="17"/>
      <c r="TNE107" s="17"/>
      <c r="TNF107" s="17"/>
      <c r="TNG107" s="17"/>
      <c r="TNH107" s="17"/>
      <c r="TNI107" s="17"/>
      <c r="TNJ107" s="17"/>
      <c r="TNK107" s="17"/>
      <c r="TNL107" s="17"/>
      <c r="TNM107" s="17"/>
      <c r="TNN107" s="17"/>
      <c r="TNO107" s="17"/>
      <c r="TNP107" s="17"/>
      <c r="TNQ107" s="17"/>
      <c r="TNR107" s="17"/>
      <c r="TNS107" s="17"/>
      <c r="TNT107" s="17"/>
      <c r="TNU107" s="17"/>
      <c r="TNV107" s="17"/>
      <c r="TNW107" s="17"/>
      <c r="TNX107" s="17"/>
      <c r="TNY107" s="17"/>
      <c r="TNZ107" s="17"/>
      <c r="TOA107" s="17"/>
      <c r="TOB107" s="17"/>
      <c r="TOC107" s="17"/>
      <c r="TOD107" s="17"/>
      <c r="TOE107" s="17"/>
      <c r="TOF107" s="17"/>
      <c r="TOG107" s="17"/>
      <c r="TOH107" s="17"/>
      <c r="TOI107" s="17"/>
      <c r="TOJ107" s="17"/>
      <c r="TOK107" s="17"/>
      <c r="TOL107" s="17"/>
      <c r="TOM107" s="17"/>
      <c r="TON107" s="17"/>
      <c r="TOO107" s="17"/>
      <c r="TOP107" s="17"/>
      <c r="TOQ107" s="17"/>
      <c r="TOR107" s="17"/>
      <c r="TOS107" s="17"/>
      <c r="TOT107" s="17"/>
      <c r="TOU107" s="17"/>
      <c r="TOV107" s="17"/>
      <c r="TOW107" s="17"/>
      <c r="TOX107" s="17"/>
      <c r="TOY107" s="17"/>
      <c r="TOZ107" s="17"/>
      <c r="TPA107" s="17"/>
      <c r="TPB107" s="17"/>
      <c r="TPC107" s="17"/>
      <c r="TPD107" s="17"/>
      <c r="TPE107" s="17"/>
      <c r="TPF107" s="17"/>
      <c r="TPG107" s="17"/>
      <c r="TPH107" s="17"/>
      <c r="TPI107" s="17"/>
      <c r="TPJ107" s="17"/>
      <c r="TPK107" s="17"/>
      <c r="TPL107" s="17"/>
      <c r="TPM107" s="17"/>
      <c r="TPN107" s="17"/>
      <c r="TPO107" s="17"/>
      <c r="TPP107" s="17"/>
      <c r="TPQ107" s="17"/>
      <c r="TPR107" s="17"/>
      <c r="TPS107" s="17"/>
      <c r="TPT107" s="17"/>
      <c r="TPU107" s="17"/>
      <c r="TPV107" s="17"/>
      <c r="TPW107" s="17"/>
      <c r="TPX107" s="17"/>
      <c r="TPY107" s="17"/>
      <c r="TPZ107" s="17"/>
      <c r="TQA107" s="17"/>
      <c r="TQB107" s="17"/>
      <c r="TQC107" s="17"/>
      <c r="TQD107" s="17"/>
      <c r="TQE107" s="17"/>
      <c r="TQF107" s="17"/>
      <c r="TQG107" s="17"/>
      <c r="TQH107" s="17"/>
      <c r="TQI107" s="17"/>
      <c r="TQJ107" s="17"/>
      <c r="TQK107" s="17"/>
      <c r="TQL107" s="17"/>
      <c r="TQM107" s="17"/>
      <c r="TQN107" s="17"/>
      <c r="TQO107" s="17"/>
      <c r="TQP107" s="17"/>
      <c r="TQQ107" s="17"/>
      <c r="TQR107" s="17"/>
      <c r="TQS107" s="17"/>
      <c r="TQT107" s="17"/>
      <c r="TQU107" s="17"/>
      <c r="TQV107" s="17"/>
      <c r="TQW107" s="17"/>
      <c r="TQX107" s="17"/>
      <c r="TQY107" s="17"/>
      <c r="TQZ107" s="17"/>
      <c r="TRA107" s="17"/>
      <c r="TRB107" s="17"/>
      <c r="TRC107" s="17"/>
      <c r="TRD107" s="17"/>
      <c r="TRE107" s="17"/>
      <c r="TRF107" s="17"/>
      <c r="TRG107" s="17"/>
      <c r="TRH107" s="17"/>
      <c r="TRI107" s="17"/>
      <c r="TRJ107" s="17"/>
      <c r="TRK107" s="17"/>
      <c r="TRL107" s="17"/>
      <c r="TRM107" s="17"/>
      <c r="TRN107" s="17"/>
      <c r="TRO107" s="17"/>
      <c r="TRP107" s="17"/>
      <c r="TRQ107" s="17"/>
      <c r="TRR107" s="17"/>
      <c r="TRS107" s="17"/>
      <c r="TRT107" s="17"/>
      <c r="TRU107" s="17"/>
      <c r="TRV107" s="17"/>
      <c r="TRW107" s="17"/>
      <c r="TRX107" s="17"/>
      <c r="TRY107" s="17"/>
      <c r="TRZ107" s="17"/>
      <c r="TSA107" s="17"/>
      <c r="TSB107" s="17"/>
      <c r="TSC107" s="17"/>
      <c r="TSD107" s="17"/>
      <c r="TSE107" s="17"/>
      <c r="TSF107" s="17"/>
      <c r="TSG107" s="17"/>
      <c r="TSH107" s="17"/>
      <c r="TSI107" s="17"/>
      <c r="TSJ107" s="17"/>
      <c r="TSK107" s="17"/>
      <c r="TSL107" s="17"/>
      <c r="TSM107" s="17"/>
      <c r="TSN107" s="17"/>
      <c r="TSO107" s="17"/>
      <c r="TSP107" s="17"/>
      <c r="TSQ107" s="17"/>
      <c r="TSR107" s="17"/>
      <c r="TSS107" s="17"/>
      <c r="TST107" s="17"/>
      <c r="TSU107" s="17"/>
      <c r="TSV107" s="17"/>
      <c r="TSW107" s="17"/>
      <c r="TSX107" s="17"/>
      <c r="TSY107" s="17"/>
      <c r="TSZ107" s="17"/>
      <c r="TTA107" s="17"/>
      <c r="TTB107" s="17"/>
      <c r="TTC107" s="17"/>
      <c r="TTD107" s="17"/>
      <c r="TTE107" s="17"/>
      <c r="TTF107" s="17"/>
      <c r="TTG107" s="17"/>
      <c r="TTH107" s="17"/>
      <c r="TTI107" s="17"/>
      <c r="TTJ107" s="17"/>
      <c r="TTK107" s="17"/>
      <c r="TTL107" s="17"/>
      <c r="TTM107" s="17"/>
      <c r="TTN107" s="17"/>
      <c r="TTO107" s="17"/>
      <c r="TTP107" s="17"/>
      <c r="TTQ107" s="17"/>
      <c r="TTR107" s="17"/>
      <c r="TTS107" s="17"/>
      <c r="TTT107" s="17"/>
      <c r="TTU107" s="17"/>
      <c r="TTV107" s="17"/>
      <c r="TTW107" s="17"/>
      <c r="TTX107" s="17"/>
      <c r="TTY107" s="17"/>
      <c r="TTZ107" s="17"/>
      <c r="TUA107" s="17"/>
      <c r="TUB107" s="17"/>
      <c r="TUC107" s="17"/>
      <c r="TUD107" s="17"/>
      <c r="TUE107" s="17"/>
      <c r="TUF107" s="17"/>
      <c r="TUG107" s="17"/>
      <c r="TUH107" s="17"/>
      <c r="TUI107" s="17"/>
      <c r="TUJ107" s="17"/>
      <c r="TUK107" s="17"/>
      <c r="TUL107" s="17"/>
      <c r="TUM107" s="17"/>
      <c r="TUN107" s="17"/>
      <c r="TUO107" s="17"/>
      <c r="TUP107" s="17"/>
      <c r="TUQ107" s="17"/>
      <c r="TUR107" s="17"/>
      <c r="TUS107" s="17"/>
      <c r="TUT107" s="17"/>
      <c r="TUU107" s="17"/>
      <c r="TUV107" s="17"/>
      <c r="TUW107" s="17"/>
      <c r="TUX107" s="17"/>
      <c r="TUY107" s="17"/>
      <c r="TUZ107" s="17"/>
      <c r="TVA107" s="17"/>
      <c r="TVB107" s="17"/>
      <c r="TVC107" s="17"/>
      <c r="TVD107" s="17"/>
      <c r="TVE107" s="17"/>
      <c r="TVF107" s="17"/>
      <c r="TVG107" s="17"/>
      <c r="TVH107" s="17"/>
      <c r="TVI107" s="17"/>
      <c r="TVJ107" s="17"/>
      <c r="TVK107" s="17"/>
      <c r="TVL107" s="17"/>
      <c r="TVM107" s="17"/>
      <c r="TVN107" s="17"/>
      <c r="TVO107" s="17"/>
      <c r="TVP107" s="17"/>
      <c r="TVQ107" s="17"/>
      <c r="TVR107" s="17"/>
      <c r="TVS107" s="17"/>
      <c r="TVT107" s="17"/>
      <c r="TVU107" s="17"/>
      <c r="TVV107" s="17"/>
      <c r="TVW107" s="17"/>
      <c r="TVX107" s="17"/>
      <c r="TVY107" s="17"/>
      <c r="TVZ107" s="17"/>
      <c r="TWA107" s="17"/>
      <c r="TWB107" s="17"/>
      <c r="TWC107" s="17"/>
      <c r="TWD107" s="17"/>
      <c r="TWE107" s="17"/>
      <c r="TWF107" s="17"/>
      <c r="TWG107" s="17"/>
      <c r="TWH107" s="17"/>
      <c r="TWI107" s="17"/>
      <c r="TWJ107" s="17"/>
      <c r="TWK107" s="17"/>
      <c r="TWL107" s="17"/>
      <c r="TWM107" s="17"/>
      <c r="TWN107" s="17"/>
      <c r="TWO107" s="17"/>
      <c r="TWP107" s="17"/>
      <c r="TWQ107" s="17"/>
      <c r="TWR107" s="17"/>
      <c r="TWS107" s="17"/>
      <c r="TWT107" s="17"/>
      <c r="TWU107" s="17"/>
      <c r="TWV107" s="17"/>
      <c r="TWW107" s="17"/>
      <c r="TWX107" s="17"/>
      <c r="TWY107" s="17"/>
      <c r="TWZ107" s="17"/>
      <c r="TXA107" s="17"/>
      <c r="TXB107" s="17"/>
      <c r="TXC107" s="17"/>
      <c r="TXD107" s="17"/>
      <c r="TXE107" s="17"/>
      <c r="TXF107" s="17"/>
      <c r="TXG107" s="17"/>
      <c r="TXH107" s="17"/>
      <c r="TXI107" s="17"/>
      <c r="TXJ107" s="17"/>
      <c r="TXK107" s="17"/>
      <c r="TXL107" s="17"/>
      <c r="TXM107" s="17"/>
      <c r="TXN107" s="17"/>
      <c r="TXO107" s="17"/>
      <c r="TXP107" s="17"/>
      <c r="TXQ107" s="17"/>
      <c r="TXR107" s="17"/>
      <c r="TXS107" s="17"/>
      <c r="TXT107" s="17"/>
      <c r="TXU107" s="17"/>
      <c r="TXV107" s="17"/>
      <c r="TXW107" s="17"/>
      <c r="TXX107" s="17"/>
      <c r="TXY107" s="17"/>
      <c r="TXZ107" s="17"/>
      <c r="TYA107" s="17"/>
      <c r="TYB107" s="17"/>
      <c r="TYC107" s="17"/>
      <c r="TYD107" s="17"/>
      <c r="TYE107" s="17"/>
      <c r="TYF107" s="17"/>
      <c r="TYG107" s="17"/>
      <c r="TYH107" s="17"/>
      <c r="TYI107" s="17"/>
      <c r="TYJ107" s="17"/>
      <c r="TYK107" s="17"/>
      <c r="TYL107" s="17"/>
      <c r="TYM107" s="17"/>
      <c r="TYN107" s="17"/>
      <c r="TYO107" s="17"/>
      <c r="TYP107" s="17"/>
      <c r="TYQ107" s="17"/>
      <c r="TYR107" s="17"/>
      <c r="TYS107" s="17"/>
      <c r="TYT107" s="17"/>
      <c r="TYU107" s="17"/>
      <c r="TYV107" s="17"/>
      <c r="TYW107" s="17"/>
      <c r="TYX107" s="17"/>
      <c r="TYY107" s="17"/>
      <c r="TYZ107" s="17"/>
      <c r="TZA107" s="17"/>
      <c r="TZB107" s="17"/>
      <c r="TZC107" s="17"/>
      <c r="TZD107" s="17"/>
      <c r="TZE107" s="17"/>
      <c r="TZF107" s="17"/>
      <c r="TZG107" s="17"/>
      <c r="TZH107" s="17"/>
      <c r="TZI107" s="17"/>
      <c r="TZJ107" s="17"/>
      <c r="TZK107" s="17"/>
      <c r="TZL107" s="17"/>
      <c r="TZM107" s="17"/>
      <c r="TZN107" s="17"/>
      <c r="TZO107" s="17"/>
      <c r="TZP107" s="17"/>
      <c r="TZQ107" s="17"/>
      <c r="TZR107" s="17"/>
      <c r="TZS107" s="17"/>
      <c r="TZT107" s="17"/>
      <c r="TZU107" s="17"/>
      <c r="TZV107" s="17"/>
      <c r="TZW107" s="17"/>
      <c r="TZX107" s="17"/>
      <c r="TZY107" s="17"/>
      <c r="TZZ107" s="17"/>
      <c r="UAA107" s="17"/>
      <c r="UAB107" s="17"/>
      <c r="UAC107" s="17"/>
      <c r="UAD107" s="17"/>
      <c r="UAE107" s="17"/>
      <c r="UAF107" s="17"/>
      <c r="UAG107" s="17"/>
      <c r="UAH107" s="17"/>
      <c r="UAI107" s="17"/>
      <c r="UAJ107" s="17"/>
      <c r="UAK107" s="17"/>
      <c r="UAL107" s="17"/>
      <c r="UAM107" s="17"/>
      <c r="UAN107" s="17"/>
      <c r="UAO107" s="17"/>
      <c r="UAP107" s="17"/>
      <c r="UAQ107" s="17"/>
      <c r="UAR107" s="17"/>
      <c r="UAS107" s="17"/>
      <c r="UAT107" s="17"/>
      <c r="UAU107" s="17"/>
      <c r="UAV107" s="17"/>
      <c r="UAW107" s="17"/>
      <c r="UAX107" s="17"/>
      <c r="UAY107" s="17"/>
      <c r="UAZ107" s="17"/>
      <c r="UBA107" s="17"/>
      <c r="UBB107" s="17"/>
      <c r="UBC107" s="17"/>
      <c r="UBD107" s="17"/>
      <c r="UBE107" s="17"/>
      <c r="UBF107" s="17"/>
      <c r="UBG107" s="17"/>
      <c r="UBH107" s="17"/>
      <c r="UBI107" s="17"/>
      <c r="UBJ107" s="17"/>
      <c r="UBK107" s="17"/>
      <c r="UBL107" s="17"/>
      <c r="UBM107" s="17"/>
      <c r="UBN107" s="17"/>
      <c r="UBO107" s="17"/>
      <c r="UBP107" s="17"/>
      <c r="UBQ107" s="17"/>
      <c r="UBR107" s="17"/>
      <c r="UBS107" s="17"/>
      <c r="UBT107" s="17"/>
      <c r="UBU107" s="17"/>
      <c r="UBV107" s="17"/>
      <c r="UBW107" s="17"/>
      <c r="UBX107" s="17"/>
      <c r="UBY107" s="17"/>
      <c r="UBZ107" s="17"/>
      <c r="UCA107" s="17"/>
      <c r="UCB107" s="17"/>
      <c r="UCC107" s="17"/>
      <c r="UCD107" s="17"/>
      <c r="UCE107" s="17"/>
      <c r="UCF107" s="17"/>
      <c r="UCG107" s="17"/>
      <c r="UCH107" s="17"/>
      <c r="UCI107" s="17"/>
      <c r="UCJ107" s="17"/>
      <c r="UCK107" s="17"/>
      <c r="UCL107" s="17"/>
      <c r="UCM107" s="17"/>
      <c r="UCN107" s="17"/>
      <c r="UCO107" s="17"/>
      <c r="UCP107" s="17"/>
      <c r="UCQ107" s="17"/>
      <c r="UCR107" s="17"/>
      <c r="UCS107" s="17"/>
      <c r="UCT107" s="17"/>
      <c r="UCU107" s="17"/>
      <c r="UCV107" s="17"/>
      <c r="UCW107" s="17"/>
      <c r="UCX107" s="17"/>
      <c r="UCY107" s="17"/>
      <c r="UCZ107" s="17"/>
      <c r="UDA107" s="17"/>
      <c r="UDB107" s="17"/>
      <c r="UDC107" s="17"/>
      <c r="UDD107" s="17"/>
      <c r="UDE107" s="17"/>
      <c r="UDF107" s="17"/>
      <c r="UDG107" s="17"/>
      <c r="UDH107" s="17"/>
      <c r="UDI107" s="17"/>
      <c r="UDJ107" s="17"/>
      <c r="UDK107" s="17"/>
      <c r="UDL107" s="17"/>
      <c r="UDM107" s="17"/>
      <c r="UDN107" s="17"/>
      <c r="UDO107" s="17"/>
      <c r="UDP107" s="17"/>
      <c r="UDQ107" s="17"/>
      <c r="UDR107" s="17"/>
      <c r="UDS107" s="17"/>
      <c r="UDT107" s="17"/>
      <c r="UDU107" s="17"/>
      <c r="UDV107" s="17"/>
      <c r="UDW107" s="17"/>
      <c r="UDX107" s="17"/>
      <c r="UDY107" s="17"/>
      <c r="UDZ107" s="17"/>
      <c r="UEA107" s="17"/>
      <c r="UEB107" s="17"/>
      <c r="UEC107" s="17"/>
      <c r="UED107" s="17"/>
      <c r="UEE107" s="17"/>
      <c r="UEF107" s="17"/>
      <c r="UEG107" s="17"/>
      <c r="UEH107" s="17"/>
      <c r="UEI107" s="17"/>
      <c r="UEJ107" s="17"/>
      <c r="UEK107" s="17"/>
      <c r="UEL107" s="17"/>
      <c r="UEM107" s="17"/>
      <c r="UEN107" s="17"/>
      <c r="UEO107" s="17"/>
      <c r="UEP107" s="17"/>
      <c r="UEQ107" s="17"/>
      <c r="UER107" s="17"/>
      <c r="UES107" s="17"/>
      <c r="UET107" s="17"/>
      <c r="UEU107" s="17"/>
      <c r="UEV107" s="17"/>
      <c r="UEW107" s="17"/>
      <c r="UEX107" s="17"/>
      <c r="UEY107" s="17"/>
      <c r="UEZ107" s="17"/>
      <c r="UFA107" s="17"/>
      <c r="UFB107" s="17"/>
      <c r="UFC107" s="17"/>
      <c r="UFD107" s="17"/>
      <c r="UFE107" s="17"/>
      <c r="UFF107" s="17"/>
      <c r="UFG107" s="17"/>
      <c r="UFH107" s="17"/>
      <c r="UFI107" s="17"/>
      <c r="UFJ107" s="17"/>
      <c r="UFK107" s="17"/>
      <c r="UFL107" s="17"/>
      <c r="UFM107" s="17"/>
      <c r="UFN107" s="17"/>
      <c r="UFO107" s="17"/>
      <c r="UFP107" s="17"/>
      <c r="UFQ107" s="17"/>
      <c r="UFR107" s="17"/>
      <c r="UFS107" s="17"/>
      <c r="UFT107" s="17"/>
      <c r="UFU107" s="17"/>
      <c r="UFV107" s="17"/>
      <c r="UFW107" s="17"/>
      <c r="UFX107" s="17"/>
      <c r="UFY107" s="17"/>
      <c r="UFZ107" s="17"/>
      <c r="UGA107" s="17"/>
      <c r="UGB107" s="17"/>
      <c r="UGC107" s="17"/>
      <c r="UGD107" s="17"/>
      <c r="UGE107" s="17"/>
      <c r="UGF107" s="17"/>
      <c r="UGG107" s="17"/>
      <c r="UGH107" s="17"/>
      <c r="UGI107" s="17"/>
      <c r="UGJ107" s="17"/>
      <c r="UGK107" s="17"/>
      <c r="UGL107" s="17"/>
      <c r="UGM107" s="17"/>
      <c r="UGN107" s="17"/>
      <c r="UGO107" s="17"/>
      <c r="UGP107" s="17"/>
      <c r="UGQ107" s="17"/>
      <c r="UGR107" s="17"/>
      <c r="UGS107" s="17"/>
      <c r="UGT107" s="17"/>
      <c r="UGU107" s="17"/>
      <c r="UGV107" s="17"/>
      <c r="UGW107" s="17"/>
      <c r="UGX107" s="17"/>
      <c r="UGY107" s="17"/>
      <c r="UGZ107" s="17"/>
      <c r="UHA107" s="17"/>
      <c r="UHB107" s="17"/>
      <c r="UHC107" s="17"/>
      <c r="UHD107" s="17"/>
      <c r="UHE107" s="17"/>
      <c r="UHF107" s="17"/>
      <c r="UHG107" s="17"/>
      <c r="UHH107" s="17"/>
      <c r="UHI107" s="17"/>
      <c r="UHJ107" s="17"/>
      <c r="UHK107" s="17"/>
      <c r="UHL107" s="17"/>
      <c r="UHM107" s="17"/>
      <c r="UHN107" s="17"/>
      <c r="UHO107" s="17"/>
      <c r="UHP107" s="17"/>
      <c r="UHQ107" s="17"/>
      <c r="UHR107" s="17"/>
      <c r="UHS107" s="17"/>
      <c r="UHT107" s="17"/>
      <c r="UHU107" s="17"/>
      <c r="UHV107" s="17"/>
      <c r="UHW107" s="17"/>
      <c r="UHX107" s="17"/>
      <c r="UHY107" s="17"/>
      <c r="UHZ107" s="17"/>
      <c r="UIA107" s="17"/>
      <c r="UIB107" s="17"/>
      <c r="UIC107" s="17"/>
      <c r="UID107" s="17"/>
      <c r="UIE107" s="17"/>
      <c r="UIF107" s="17"/>
      <c r="UIG107" s="17"/>
      <c r="UIH107" s="17"/>
      <c r="UII107" s="17"/>
      <c r="UIJ107" s="17"/>
      <c r="UIK107" s="17"/>
      <c r="UIL107" s="17"/>
      <c r="UIM107" s="17"/>
      <c r="UIN107" s="17"/>
      <c r="UIO107" s="17"/>
      <c r="UIP107" s="17"/>
      <c r="UIQ107" s="17"/>
      <c r="UIR107" s="17"/>
      <c r="UIS107" s="17"/>
      <c r="UIT107" s="17"/>
      <c r="UIU107" s="17"/>
      <c r="UIV107" s="17"/>
      <c r="UIW107" s="17"/>
      <c r="UIX107" s="17"/>
      <c r="UIY107" s="17"/>
      <c r="UIZ107" s="17"/>
      <c r="UJA107" s="17"/>
      <c r="UJB107" s="17"/>
      <c r="UJC107" s="17"/>
      <c r="UJD107" s="17"/>
      <c r="UJE107" s="17"/>
      <c r="UJF107" s="17"/>
      <c r="UJG107" s="17"/>
      <c r="UJH107" s="17"/>
      <c r="UJI107" s="17"/>
      <c r="UJJ107" s="17"/>
      <c r="UJK107" s="17"/>
      <c r="UJL107" s="17"/>
      <c r="UJM107" s="17"/>
      <c r="UJN107" s="17"/>
      <c r="UJO107" s="17"/>
      <c r="UJP107" s="17"/>
      <c r="UJQ107" s="17"/>
      <c r="UJR107" s="17"/>
      <c r="UJS107" s="17"/>
      <c r="UJT107" s="17"/>
      <c r="UJU107" s="17"/>
      <c r="UJV107" s="17"/>
      <c r="UJW107" s="17"/>
      <c r="UJX107" s="17"/>
      <c r="UJY107" s="17"/>
      <c r="UJZ107" s="17"/>
      <c r="UKA107" s="17"/>
      <c r="UKB107" s="17"/>
      <c r="UKC107" s="17"/>
      <c r="UKD107" s="17"/>
      <c r="UKE107" s="17"/>
      <c r="UKF107" s="17"/>
      <c r="UKG107" s="17"/>
      <c r="UKH107" s="17"/>
      <c r="UKI107" s="17"/>
      <c r="UKJ107" s="17"/>
      <c r="UKK107" s="17"/>
      <c r="UKL107" s="17"/>
      <c r="UKM107" s="17"/>
      <c r="UKN107" s="17"/>
      <c r="UKO107" s="17"/>
      <c r="UKP107" s="17"/>
      <c r="UKQ107" s="17"/>
      <c r="UKR107" s="17"/>
      <c r="UKS107" s="17"/>
      <c r="UKT107" s="17"/>
      <c r="UKU107" s="17"/>
      <c r="UKV107" s="17"/>
      <c r="UKW107" s="17"/>
      <c r="UKX107" s="17"/>
      <c r="UKY107" s="17"/>
      <c r="UKZ107" s="17"/>
      <c r="ULA107" s="17"/>
      <c r="ULB107" s="17"/>
      <c r="ULC107" s="17"/>
      <c r="ULD107" s="17"/>
      <c r="ULE107" s="17"/>
      <c r="ULF107" s="17"/>
      <c r="ULG107" s="17"/>
      <c r="ULH107" s="17"/>
      <c r="ULI107" s="17"/>
      <c r="ULJ107" s="17"/>
      <c r="ULK107" s="17"/>
      <c r="ULL107" s="17"/>
      <c r="ULM107" s="17"/>
      <c r="ULN107" s="17"/>
      <c r="ULO107" s="17"/>
      <c r="ULP107" s="17"/>
      <c r="ULQ107" s="17"/>
      <c r="ULR107" s="17"/>
      <c r="ULS107" s="17"/>
      <c r="ULT107" s="17"/>
      <c r="ULU107" s="17"/>
      <c r="ULV107" s="17"/>
      <c r="ULW107" s="17"/>
      <c r="ULX107" s="17"/>
      <c r="ULY107" s="17"/>
      <c r="ULZ107" s="17"/>
      <c r="UMA107" s="17"/>
      <c r="UMB107" s="17"/>
      <c r="UMC107" s="17"/>
      <c r="UMD107" s="17"/>
      <c r="UME107" s="17"/>
      <c r="UMF107" s="17"/>
      <c r="UMG107" s="17"/>
      <c r="UMH107" s="17"/>
      <c r="UMI107" s="17"/>
      <c r="UMJ107" s="17"/>
      <c r="UMK107" s="17"/>
      <c r="UML107" s="17"/>
      <c r="UMM107" s="17"/>
      <c r="UMN107" s="17"/>
      <c r="UMO107" s="17"/>
      <c r="UMP107" s="17"/>
      <c r="UMQ107" s="17"/>
      <c r="UMR107" s="17"/>
      <c r="UMS107" s="17"/>
      <c r="UMT107" s="17"/>
      <c r="UMU107" s="17"/>
      <c r="UMV107" s="17"/>
      <c r="UMW107" s="17"/>
      <c r="UMX107" s="17"/>
      <c r="UMY107" s="17"/>
      <c r="UMZ107" s="17"/>
      <c r="UNA107" s="17"/>
      <c r="UNB107" s="17"/>
      <c r="UNC107" s="17"/>
      <c r="UND107" s="17"/>
      <c r="UNE107" s="17"/>
      <c r="UNF107" s="17"/>
      <c r="UNG107" s="17"/>
      <c r="UNH107" s="17"/>
      <c r="UNI107" s="17"/>
      <c r="UNJ107" s="17"/>
      <c r="UNK107" s="17"/>
      <c r="UNL107" s="17"/>
      <c r="UNM107" s="17"/>
      <c r="UNN107" s="17"/>
      <c r="UNO107" s="17"/>
      <c r="UNP107" s="17"/>
      <c r="UNQ107" s="17"/>
      <c r="UNR107" s="17"/>
      <c r="UNS107" s="17"/>
      <c r="UNT107" s="17"/>
      <c r="UNU107" s="17"/>
      <c r="UNV107" s="17"/>
      <c r="UNW107" s="17"/>
      <c r="UNX107" s="17"/>
      <c r="UNY107" s="17"/>
      <c r="UNZ107" s="17"/>
      <c r="UOA107" s="17"/>
      <c r="UOB107" s="17"/>
      <c r="UOC107" s="17"/>
      <c r="UOD107" s="17"/>
      <c r="UOE107" s="17"/>
      <c r="UOF107" s="17"/>
      <c r="UOG107" s="17"/>
      <c r="UOH107" s="17"/>
      <c r="UOI107" s="17"/>
      <c r="UOJ107" s="17"/>
      <c r="UOK107" s="17"/>
      <c r="UOL107" s="17"/>
      <c r="UOM107" s="17"/>
      <c r="UON107" s="17"/>
      <c r="UOO107" s="17"/>
      <c r="UOP107" s="17"/>
      <c r="UOQ107" s="17"/>
      <c r="UOR107" s="17"/>
      <c r="UOS107" s="17"/>
      <c r="UOT107" s="17"/>
      <c r="UOU107" s="17"/>
      <c r="UOV107" s="17"/>
      <c r="UOW107" s="17"/>
      <c r="UOX107" s="17"/>
      <c r="UOY107" s="17"/>
      <c r="UOZ107" s="17"/>
      <c r="UPA107" s="17"/>
      <c r="UPB107" s="17"/>
      <c r="UPC107" s="17"/>
      <c r="UPD107" s="17"/>
      <c r="UPE107" s="17"/>
      <c r="UPF107" s="17"/>
      <c r="UPG107" s="17"/>
      <c r="UPH107" s="17"/>
      <c r="UPI107" s="17"/>
      <c r="UPJ107" s="17"/>
      <c r="UPK107" s="17"/>
      <c r="UPL107" s="17"/>
      <c r="UPM107" s="17"/>
      <c r="UPN107" s="17"/>
      <c r="UPO107" s="17"/>
      <c r="UPP107" s="17"/>
      <c r="UPQ107" s="17"/>
      <c r="UPR107" s="17"/>
      <c r="UPS107" s="17"/>
      <c r="UPT107" s="17"/>
      <c r="UPU107" s="17"/>
      <c r="UPV107" s="17"/>
      <c r="UPW107" s="17"/>
      <c r="UPX107" s="17"/>
      <c r="UPY107" s="17"/>
      <c r="UPZ107" s="17"/>
      <c r="UQA107" s="17"/>
      <c r="UQB107" s="17"/>
      <c r="UQC107" s="17"/>
      <c r="UQD107" s="17"/>
      <c r="UQE107" s="17"/>
      <c r="UQF107" s="17"/>
      <c r="UQG107" s="17"/>
      <c r="UQH107" s="17"/>
      <c r="UQI107" s="17"/>
      <c r="UQJ107" s="17"/>
      <c r="UQK107" s="17"/>
      <c r="UQL107" s="17"/>
      <c r="UQM107" s="17"/>
      <c r="UQN107" s="17"/>
      <c r="UQO107" s="17"/>
      <c r="UQP107" s="17"/>
      <c r="UQQ107" s="17"/>
      <c r="UQR107" s="17"/>
      <c r="UQS107" s="17"/>
      <c r="UQT107" s="17"/>
      <c r="UQU107" s="17"/>
      <c r="UQV107" s="17"/>
      <c r="UQW107" s="17"/>
      <c r="UQX107" s="17"/>
      <c r="UQY107" s="17"/>
      <c r="UQZ107" s="17"/>
      <c r="URA107" s="17"/>
      <c r="URB107" s="17"/>
      <c r="URC107" s="17"/>
      <c r="URD107" s="17"/>
      <c r="URE107" s="17"/>
      <c r="URF107" s="17"/>
      <c r="URG107" s="17"/>
      <c r="URH107" s="17"/>
      <c r="URI107" s="17"/>
      <c r="URJ107" s="17"/>
      <c r="URK107" s="17"/>
      <c r="URL107" s="17"/>
      <c r="URM107" s="17"/>
      <c r="URN107" s="17"/>
      <c r="URO107" s="17"/>
      <c r="URP107" s="17"/>
      <c r="URQ107" s="17"/>
      <c r="URR107" s="17"/>
      <c r="URS107" s="17"/>
      <c r="URT107" s="17"/>
      <c r="URU107" s="17"/>
      <c r="URV107" s="17"/>
      <c r="URW107" s="17"/>
      <c r="URX107" s="17"/>
      <c r="URY107" s="17"/>
      <c r="URZ107" s="17"/>
      <c r="USA107" s="17"/>
      <c r="USB107" s="17"/>
      <c r="USC107" s="17"/>
      <c r="USD107" s="17"/>
      <c r="USE107" s="17"/>
      <c r="USF107" s="17"/>
      <c r="USG107" s="17"/>
      <c r="USH107" s="17"/>
      <c r="USI107" s="17"/>
      <c r="USJ107" s="17"/>
      <c r="USK107" s="17"/>
      <c r="USL107" s="17"/>
      <c r="USM107" s="17"/>
      <c r="USN107" s="17"/>
      <c r="USO107" s="17"/>
      <c r="USP107" s="17"/>
      <c r="USQ107" s="17"/>
      <c r="USR107" s="17"/>
      <c r="USS107" s="17"/>
      <c r="UST107" s="17"/>
      <c r="USU107" s="17"/>
      <c r="USV107" s="17"/>
      <c r="USW107" s="17"/>
      <c r="USX107" s="17"/>
      <c r="USY107" s="17"/>
      <c r="USZ107" s="17"/>
      <c r="UTA107" s="17"/>
      <c r="UTB107" s="17"/>
      <c r="UTC107" s="17"/>
      <c r="UTD107" s="17"/>
      <c r="UTE107" s="17"/>
      <c r="UTF107" s="17"/>
      <c r="UTG107" s="17"/>
      <c r="UTH107" s="17"/>
      <c r="UTI107" s="17"/>
      <c r="UTJ107" s="17"/>
      <c r="UTK107" s="17"/>
      <c r="UTL107" s="17"/>
      <c r="UTM107" s="17"/>
      <c r="UTN107" s="17"/>
      <c r="UTO107" s="17"/>
      <c r="UTP107" s="17"/>
      <c r="UTQ107" s="17"/>
      <c r="UTR107" s="17"/>
      <c r="UTS107" s="17"/>
      <c r="UTT107" s="17"/>
      <c r="UTU107" s="17"/>
      <c r="UTV107" s="17"/>
      <c r="UTW107" s="17"/>
      <c r="UTX107" s="17"/>
      <c r="UTY107" s="17"/>
      <c r="UTZ107" s="17"/>
      <c r="UUA107" s="17"/>
      <c r="UUB107" s="17"/>
      <c r="UUC107" s="17"/>
      <c r="UUD107" s="17"/>
      <c r="UUE107" s="17"/>
      <c r="UUF107" s="17"/>
      <c r="UUG107" s="17"/>
      <c r="UUH107" s="17"/>
      <c r="UUI107" s="17"/>
      <c r="UUJ107" s="17"/>
      <c r="UUK107" s="17"/>
      <c r="UUL107" s="17"/>
      <c r="UUM107" s="17"/>
      <c r="UUN107" s="17"/>
      <c r="UUO107" s="17"/>
      <c r="UUP107" s="17"/>
      <c r="UUQ107" s="17"/>
      <c r="UUR107" s="17"/>
      <c r="UUS107" s="17"/>
      <c r="UUT107" s="17"/>
      <c r="UUU107" s="17"/>
      <c r="UUV107" s="17"/>
      <c r="UUW107" s="17"/>
      <c r="UUX107" s="17"/>
      <c r="UUY107" s="17"/>
      <c r="UUZ107" s="17"/>
      <c r="UVA107" s="17"/>
      <c r="UVB107" s="17"/>
      <c r="UVC107" s="17"/>
      <c r="UVD107" s="17"/>
      <c r="UVE107" s="17"/>
      <c r="UVF107" s="17"/>
      <c r="UVG107" s="17"/>
      <c r="UVH107" s="17"/>
      <c r="UVI107" s="17"/>
      <c r="UVJ107" s="17"/>
      <c r="UVK107" s="17"/>
      <c r="UVL107" s="17"/>
      <c r="UVM107" s="17"/>
      <c r="UVN107" s="17"/>
      <c r="UVO107" s="17"/>
      <c r="UVP107" s="17"/>
      <c r="UVQ107" s="17"/>
      <c r="UVR107" s="17"/>
      <c r="UVS107" s="17"/>
      <c r="UVT107" s="17"/>
      <c r="UVU107" s="17"/>
      <c r="UVV107" s="17"/>
      <c r="UVW107" s="17"/>
      <c r="UVX107" s="17"/>
      <c r="UVY107" s="17"/>
      <c r="UVZ107" s="17"/>
      <c r="UWA107" s="17"/>
      <c r="UWB107" s="17"/>
      <c r="UWC107" s="17"/>
      <c r="UWD107" s="17"/>
      <c r="UWE107" s="17"/>
      <c r="UWF107" s="17"/>
      <c r="UWG107" s="17"/>
      <c r="UWH107" s="17"/>
      <c r="UWI107" s="17"/>
      <c r="UWJ107" s="17"/>
      <c r="UWK107" s="17"/>
      <c r="UWL107" s="17"/>
      <c r="UWM107" s="17"/>
      <c r="UWN107" s="17"/>
      <c r="UWO107" s="17"/>
      <c r="UWP107" s="17"/>
      <c r="UWQ107" s="17"/>
      <c r="UWR107" s="17"/>
      <c r="UWS107" s="17"/>
      <c r="UWT107" s="17"/>
      <c r="UWU107" s="17"/>
      <c r="UWV107" s="17"/>
      <c r="UWW107" s="17"/>
      <c r="UWX107" s="17"/>
      <c r="UWY107" s="17"/>
      <c r="UWZ107" s="17"/>
      <c r="UXA107" s="17"/>
      <c r="UXB107" s="17"/>
      <c r="UXC107" s="17"/>
      <c r="UXD107" s="17"/>
      <c r="UXE107" s="17"/>
      <c r="UXF107" s="17"/>
      <c r="UXG107" s="17"/>
      <c r="UXH107" s="17"/>
      <c r="UXI107" s="17"/>
      <c r="UXJ107" s="17"/>
      <c r="UXK107" s="17"/>
      <c r="UXL107" s="17"/>
      <c r="UXM107" s="17"/>
      <c r="UXN107" s="17"/>
      <c r="UXO107" s="17"/>
      <c r="UXP107" s="17"/>
      <c r="UXQ107" s="17"/>
      <c r="UXR107" s="17"/>
      <c r="UXS107" s="17"/>
      <c r="UXT107" s="17"/>
      <c r="UXU107" s="17"/>
      <c r="UXV107" s="17"/>
      <c r="UXW107" s="17"/>
      <c r="UXX107" s="17"/>
      <c r="UXY107" s="17"/>
      <c r="UXZ107" s="17"/>
      <c r="UYA107" s="17"/>
      <c r="UYB107" s="17"/>
      <c r="UYC107" s="17"/>
      <c r="UYD107" s="17"/>
      <c r="UYE107" s="17"/>
      <c r="UYF107" s="17"/>
      <c r="UYG107" s="17"/>
      <c r="UYH107" s="17"/>
      <c r="UYI107" s="17"/>
      <c r="UYJ107" s="17"/>
      <c r="UYK107" s="17"/>
      <c r="UYL107" s="17"/>
      <c r="UYM107" s="17"/>
      <c r="UYN107" s="17"/>
      <c r="UYO107" s="17"/>
      <c r="UYP107" s="17"/>
      <c r="UYQ107" s="17"/>
      <c r="UYR107" s="17"/>
      <c r="UYS107" s="17"/>
      <c r="UYT107" s="17"/>
      <c r="UYU107" s="17"/>
      <c r="UYV107" s="17"/>
      <c r="UYW107" s="17"/>
      <c r="UYX107" s="17"/>
      <c r="UYY107" s="17"/>
      <c r="UYZ107" s="17"/>
      <c r="UZA107" s="17"/>
      <c r="UZB107" s="17"/>
      <c r="UZC107" s="17"/>
      <c r="UZD107" s="17"/>
      <c r="UZE107" s="17"/>
      <c r="UZF107" s="17"/>
      <c r="UZG107" s="17"/>
      <c r="UZH107" s="17"/>
      <c r="UZI107" s="17"/>
      <c r="UZJ107" s="17"/>
      <c r="UZK107" s="17"/>
      <c r="UZL107" s="17"/>
      <c r="UZM107" s="17"/>
      <c r="UZN107" s="17"/>
      <c r="UZO107" s="17"/>
      <c r="UZP107" s="17"/>
      <c r="UZQ107" s="17"/>
      <c r="UZR107" s="17"/>
      <c r="UZS107" s="17"/>
      <c r="UZT107" s="17"/>
      <c r="UZU107" s="17"/>
      <c r="UZV107" s="17"/>
      <c r="UZW107" s="17"/>
      <c r="UZX107" s="17"/>
      <c r="UZY107" s="17"/>
      <c r="UZZ107" s="17"/>
      <c r="VAA107" s="17"/>
      <c r="VAB107" s="17"/>
      <c r="VAC107" s="17"/>
      <c r="VAD107" s="17"/>
      <c r="VAE107" s="17"/>
      <c r="VAF107" s="17"/>
      <c r="VAG107" s="17"/>
      <c r="VAH107" s="17"/>
      <c r="VAI107" s="17"/>
      <c r="VAJ107" s="17"/>
      <c r="VAK107" s="17"/>
      <c r="VAL107" s="17"/>
      <c r="VAM107" s="17"/>
      <c r="VAN107" s="17"/>
      <c r="VAO107" s="17"/>
      <c r="VAP107" s="17"/>
      <c r="VAQ107" s="17"/>
      <c r="VAR107" s="17"/>
      <c r="VAS107" s="17"/>
      <c r="VAT107" s="17"/>
      <c r="VAU107" s="17"/>
      <c r="VAV107" s="17"/>
      <c r="VAW107" s="17"/>
      <c r="VAX107" s="17"/>
      <c r="VAY107" s="17"/>
      <c r="VAZ107" s="17"/>
      <c r="VBA107" s="17"/>
      <c r="VBB107" s="17"/>
      <c r="VBC107" s="17"/>
      <c r="VBD107" s="17"/>
      <c r="VBE107" s="17"/>
      <c r="VBF107" s="17"/>
      <c r="VBG107" s="17"/>
      <c r="VBH107" s="17"/>
      <c r="VBI107" s="17"/>
      <c r="VBJ107" s="17"/>
      <c r="VBK107" s="17"/>
      <c r="VBL107" s="17"/>
      <c r="VBM107" s="17"/>
      <c r="VBN107" s="17"/>
      <c r="VBO107" s="17"/>
      <c r="VBP107" s="17"/>
      <c r="VBQ107" s="17"/>
      <c r="VBR107" s="17"/>
      <c r="VBS107" s="17"/>
      <c r="VBT107" s="17"/>
      <c r="VBU107" s="17"/>
      <c r="VBV107" s="17"/>
      <c r="VBW107" s="17"/>
      <c r="VBX107" s="17"/>
      <c r="VBY107" s="17"/>
      <c r="VBZ107" s="17"/>
      <c r="VCA107" s="17"/>
      <c r="VCB107" s="17"/>
      <c r="VCC107" s="17"/>
      <c r="VCD107" s="17"/>
      <c r="VCE107" s="17"/>
      <c r="VCF107" s="17"/>
      <c r="VCG107" s="17"/>
      <c r="VCH107" s="17"/>
      <c r="VCI107" s="17"/>
      <c r="VCJ107" s="17"/>
      <c r="VCK107" s="17"/>
      <c r="VCL107" s="17"/>
      <c r="VCM107" s="17"/>
      <c r="VCN107" s="17"/>
      <c r="VCO107" s="17"/>
      <c r="VCP107" s="17"/>
      <c r="VCQ107" s="17"/>
      <c r="VCR107" s="17"/>
      <c r="VCS107" s="17"/>
      <c r="VCT107" s="17"/>
      <c r="VCU107" s="17"/>
      <c r="VCV107" s="17"/>
      <c r="VCW107" s="17"/>
      <c r="VCX107" s="17"/>
      <c r="VCY107" s="17"/>
      <c r="VCZ107" s="17"/>
      <c r="VDA107" s="17"/>
      <c r="VDB107" s="17"/>
      <c r="VDC107" s="17"/>
      <c r="VDD107" s="17"/>
      <c r="VDE107" s="17"/>
      <c r="VDF107" s="17"/>
      <c r="VDG107" s="17"/>
      <c r="VDH107" s="17"/>
      <c r="VDI107" s="17"/>
      <c r="VDJ107" s="17"/>
      <c r="VDK107" s="17"/>
      <c r="VDL107" s="17"/>
      <c r="VDM107" s="17"/>
      <c r="VDN107" s="17"/>
      <c r="VDO107" s="17"/>
      <c r="VDP107" s="17"/>
      <c r="VDQ107" s="17"/>
      <c r="VDR107" s="17"/>
      <c r="VDS107" s="17"/>
      <c r="VDT107" s="17"/>
      <c r="VDU107" s="17"/>
      <c r="VDV107" s="17"/>
      <c r="VDW107" s="17"/>
      <c r="VDX107" s="17"/>
      <c r="VDY107" s="17"/>
      <c r="VDZ107" s="17"/>
      <c r="VEA107" s="17"/>
      <c r="VEB107" s="17"/>
      <c r="VEC107" s="17"/>
      <c r="VED107" s="17"/>
      <c r="VEE107" s="17"/>
      <c r="VEF107" s="17"/>
      <c r="VEG107" s="17"/>
      <c r="VEH107" s="17"/>
      <c r="VEI107" s="17"/>
      <c r="VEJ107" s="17"/>
      <c r="VEK107" s="17"/>
      <c r="VEL107" s="17"/>
      <c r="VEM107" s="17"/>
      <c r="VEN107" s="17"/>
      <c r="VEO107" s="17"/>
      <c r="VEP107" s="17"/>
      <c r="VEQ107" s="17"/>
      <c r="VER107" s="17"/>
      <c r="VES107" s="17"/>
      <c r="VET107" s="17"/>
      <c r="VEU107" s="17"/>
      <c r="VEV107" s="17"/>
      <c r="VEW107" s="17"/>
      <c r="VEX107" s="17"/>
      <c r="VEY107" s="17"/>
      <c r="VEZ107" s="17"/>
      <c r="VFA107" s="17"/>
      <c r="VFB107" s="17"/>
      <c r="VFC107" s="17"/>
      <c r="VFD107" s="17"/>
      <c r="VFE107" s="17"/>
      <c r="VFF107" s="17"/>
      <c r="VFG107" s="17"/>
      <c r="VFH107" s="17"/>
      <c r="VFI107" s="17"/>
      <c r="VFJ107" s="17"/>
      <c r="VFK107" s="17"/>
      <c r="VFL107" s="17"/>
      <c r="VFM107" s="17"/>
      <c r="VFN107" s="17"/>
      <c r="VFO107" s="17"/>
      <c r="VFP107" s="17"/>
      <c r="VFQ107" s="17"/>
      <c r="VFR107" s="17"/>
      <c r="VFS107" s="17"/>
      <c r="VFT107" s="17"/>
      <c r="VFU107" s="17"/>
      <c r="VFV107" s="17"/>
      <c r="VFW107" s="17"/>
      <c r="VFX107" s="17"/>
      <c r="VFY107" s="17"/>
      <c r="VFZ107" s="17"/>
      <c r="VGA107" s="17"/>
      <c r="VGB107" s="17"/>
      <c r="VGC107" s="17"/>
      <c r="VGD107" s="17"/>
      <c r="VGE107" s="17"/>
      <c r="VGF107" s="17"/>
      <c r="VGG107" s="17"/>
      <c r="VGH107" s="17"/>
      <c r="VGI107" s="17"/>
      <c r="VGJ107" s="17"/>
      <c r="VGK107" s="17"/>
      <c r="VGL107" s="17"/>
      <c r="VGM107" s="17"/>
      <c r="VGN107" s="17"/>
      <c r="VGO107" s="17"/>
      <c r="VGP107" s="17"/>
      <c r="VGQ107" s="17"/>
      <c r="VGR107" s="17"/>
      <c r="VGS107" s="17"/>
      <c r="VGT107" s="17"/>
      <c r="VGU107" s="17"/>
      <c r="VGV107" s="17"/>
      <c r="VGW107" s="17"/>
      <c r="VGX107" s="17"/>
      <c r="VGY107" s="17"/>
      <c r="VGZ107" s="17"/>
      <c r="VHA107" s="17"/>
      <c r="VHB107" s="17"/>
      <c r="VHC107" s="17"/>
      <c r="VHD107" s="17"/>
      <c r="VHE107" s="17"/>
      <c r="VHF107" s="17"/>
      <c r="VHG107" s="17"/>
      <c r="VHH107" s="17"/>
      <c r="VHI107" s="17"/>
      <c r="VHJ107" s="17"/>
      <c r="VHK107" s="17"/>
      <c r="VHL107" s="17"/>
      <c r="VHM107" s="17"/>
      <c r="VHN107" s="17"/>
      <c r="VHO107" s="17"/>
      <c r="VHP107" s="17"/>
      <c r="VHQ107" s="17"/>
      <c r="VHR107" s="17"/>
      <c r="VHS107" s="17"/>
      <c r="VHT107" s="17"/>
      <c r="VHU107" s="17"/>
      <c r="VHV107" s="17"/>
      <c r="VHW107" s="17"/>
      <c r="VHX107" s="17"/>
      <c r="VHY107" s="17"/>
      <c r="VHZ107" s="17"/>
      <c r="VIA107" s="17"/>
      <c r="VIB107" s="17"/>
      <c r="VIC107" s="17"/>
      <c r="VID107" s="17"/>
      <c r="VIE107" s="17"/>
      <c r="VIF107" s="17"/>
      <c r="VIG107" s="17"/>
      <c r="VIH107" s="17"/>
      <c r="VII107" s="17"/>
      <c r="VIJ107" s="17"/>
      <c r="VIK107" s="17"/>
      <c r="VIL107" s="17"/>
      <c r="VIM107" s="17"/>
      <c r="VIN107" s="17"/>
      <c r="VIO107" s="17"/>
      <c r="VIP107" s="17"/>
      <c r="VIQ107" s="17"/>
      <c r="VIR107" s="17"/>
      <c r="VIS107" s="17"/>
      <c r="VIT107" s="17"/>
      <c r="VIU107" s="17"/>
      <c r="VIV107" s="17"/>
      <c r="VIW107" s="17"/>
      <c r="VIX107" s="17"/>
      <c r="VIY107" s="17"/>
      <c r="VIZ107" s="17"/>
      <c r="VJA107" s="17"/>
      <c r="VJB107" s="17"/>
      <c r="VJC107" s="17"/>
      <c r="VJD107" s="17"/>
      <c r="VJE107" s="17"/>
      <c r="VJF107" s="17"/>
      <c r="VJG107" s="17"/>
      <c r="VJH107" s="17"/>
      <c r="VJI107" s="17"/>
      <c r="VJJ107" s="17"/>
      <c r="VJK107" s="17"/>
      <c r="VJL107" s="17"/>
      <c r="VJM107" s="17"/>
      <c r="VJN107" s="17"/>
      <c r="VJO107" s="17"/>
      <c r="VJP107" s="17"/>
      <c r="VJQ107" s="17"/>
      <c r="VJR107" s="17"/>
      <c r="VJS107" s="17"/>
      <c r="VJT107" s="17"/>
      <c r="VJU107" s="17"/>
      <c r="VJV107" s="17"/>
      <c r="VJW107" s="17"/>
      <c r="VJX107" s="17"/>
      <c r="VJY107" s="17"/>
      <c r="VJZ107" s="17"/>
      <c r="VKA107" s="17"/>
      <c r="VKB107" s="17"/>
      <c r="VKC107" s="17"/>
      <c r="VKD107" s="17"/>
      <c r="VKE107" s="17"/>
      <c r="VKF107" s="17"/>
      <c r="VKG107" s="17"/>
      <c r="VKH107" s="17"/>
      <c r="VKI107" s="17"/>
      <c r="VKJ107" s="17"/>
      <c r="VKK107" s="17"/>
      <c r="VKL107" s="17"/>
      <c r="VKM107" s="17"/>
      <c r="VKN107" s="17"/>
      <c r="VKO107" s="17"/>
      <c r="VKP107" s="17"/>
      <c r="VKQ107" s="17"/>
      <c r="VKR107" s="17"/>
      <c r="VKS107" s="17"/>
      <c r="VKT107" s="17"/>
      <c r="VKU107" s="17"/>
      <c r="VKV107" s="17"/>
      <c r="VKW107" s="17"/>
      <c r="VKX107" s="17"/>
      <c r="VKY107" s="17"/>
      <c r="VKZ107" s="17"/>
      <c r="VLA107" s="17"/>
      <c r="VLB107" s="17"/>
      <c r="VLC107" s="17"/>
      <c r="VLD107" s="17"/>
      <c r="VLE107" s="17"/>
      <c r="VLF107" s="17"/>
      <c r="VLG107" s="17"/>
      <c r="VLH107" s="17"/>
      <c r="VLI107" s="17"/>
      <c r="VLJ107" s="17"/>
      <c r="VLK107" s="17"/>
      <c r="VLL107" s="17"/>
      <c r="VLM107" s="17"/>
      <c r="VLN107" s="17"/>
      <c r="VLO107" s="17"/>
      <c r="VLP107" s="17"/>
      <c r="VLQ107" s="17"/>
      <c r="VLR107" s="17"/>
      <c r="VLS107" s="17"/>
      <c r="VLT107" s="17"/>
      <c r="VLU107" s="17"/>
      <c r="VLV107" s="17"/>
      <c r="VLW107" s="17"/>
      <c r="VLX107" s="17"/>
      <c r="VLY107" s="17"/>
      <c r="VLZ107" s="17"/>
      <c r="VMA107" s="17"/>
      <c r="VMB107" s="17"/>
      <c r="VMC107" s="17"/>
      <c r="VMD107" s="17"/>
      <c r="VME107" s="17"/>
      <c r="VMF107" s="17"/>
      <c r="VMG107" s="17"/>
      <c r="VMH107" s="17"/>
      <c r="VMI107" s="17"/>
      <c r="VMJ107" s="17"/>
      <c r="VMK107" s="17"/>
      <c r="VML107" s="17"/>
      <c r="VMM107" s="17"/>
      <c r="VMN107" s="17"/>
      <c r="VMO107" s="17"/>
      <c r="VMP107" s="17"/>
      <c r="VMQ107" s="17"/>
      <c r="VMR107" s="17"/>
      <c r="VMS107" s="17"/>
      <c r="VMT107" s="17"/>
      <c r="VMU107" s="17"/>
      <c r="VMV107" s="17"/>
      <c r="VMW107" s="17"/>
      <c r="VMX107" s="17"/>
      <c r="VMY107" s="17"/>
      <c r="VMZ107" s="17"/>
      <c r="VNA107" s="17"/>
      <c r="VNB107" s="17"/>
      <c r="VNC107" s="17"/>
      <c r="VND107" s="17"/>
      <c r="VNE107" s="17"/>
      <c r="VNF107" s="17"/>
      <c r="VNG107" s="17"/>
      <c r="VNH107" s="17"/>
      <c r="VNI107" s="17"/>
      <c r="VNJ107" s="17"/>
      <c r="VNK107" s="17"/>
      <c r="VNL107" s="17"/>
      <c r="VNM107" s="17"/>
      <c r="VNN107" s="17"/>
      <c r="VNO107" s="17"/>
      <c r="VNP107" s="17"/>
      <c r="VNQ107" s="17"/>
      <c r="VNR107" s="17"/>
      <c r="VNS107" s="17"/>
      <c r="VNT107" s="17"/>
      <c r="VNU107" s="17"/>
      <c r="VNV107" s="17"/>
      <c r="VNW107" s="17"/>
      <c r="VNX107" s="17"/>
      <c r="VNY107" s="17"/>
      <c r="VNZ107" s="17"/>
      <c r="VOA107" s="17"/>
      <c r="VOB107" s="17"/>
      <c r="VOC107" s="17"/>
      <c r="VOD107" s="17"/>
      <c r="VOE107" s="17"/>
      <c r="VOF107" s="17"/>
      <c r="VOG107" s="17"/>
      <c r="VOH107" s="17"/>
      <c r="VOI107" s="17"/>
      <c r="VOJ107" s="17"/>
      <c r="VOK107" s="17"/>
      <c r="VOL107" s="17"/>
      <c r="VOM107" s="17"/>
      <c r="VON107" s="17"/>
      <c r="VOO107" s="17"/>
      <c r="VOP107" s="17"/>
      <c r="VOQ107" s="17"/>
      <c r="VOR107" s="17"/>
      <c r="VOS107" s="17"/>
      <c r="VOT107" s="17"/>
      <c r="VOU107" s="17"/>
      <c r="VOV107" s="17"/>
      <c r="VOW107" s="17"/>
      <c r="VOX107" s="17"/>
      <c r="VOY107" s="17"/>
      <c r="VOZ107" s="17"/>
      <c r="VPA107" s="17"/>
      <c r="VPB107" s="17"/>
      <c r="VPC107" s="17"/>
      <c r="VPD107" s="17"/>
      <c r="VPE107" s="17"/>
      <c r="VPF107" s="17"/>
      <c r="VPG107" s="17"/>
      <c r="VPH107" s="17"/>
      <c r="VPI107" s="17"/>
      <c r="VPJ107" s="17"/>
      <c r="VPK107" s="17"/>
      <c r="VPL107" s="17"/>
      <c r="VPM107" s="17"/>
      <c r="VPN107" s="17"/>
      <c r="VPO107" s="17"/>
      <c r="VPP107" s="17"/>
      <c r="VPQ107" s="17"/>
      <c r="VPR107" s="17"/>
      <c r="VPS107" s="17"/>
      <c r="VPT107" s="17"/>
      <c r="VPU107" s="17"/>
      <c r="VPV107" s="17"/>
      <c r="VPW107" s="17"/>
      <c r="VPX107" s="17"/>
      <c r="VPY107" s="17"/>
      <c r="VPZ107" s="17"/>
      <c r="VQA107" s="17"/>
      <c r="VQB107" s="17"/>
      <c r="VQC107" s="17"/>
      <c r="VQD107" s="17"/>
      <c r="VQE107" s="17"/>
      <c r="VQF107" s="17"/>
      <c r="VQG107" s="17"/>
      <c r="VQH107" s="17"/>
      <c r="VQI107" s="17"/>
      <c r="VQJ107" s="17"/>
      <c r="VQK107" s="17"/>
      <c r="VQL107" s="17"/>
      <c r="VQM107" s="17"/>
      <c r="VQN107" s="17"/>
      <c r="VQO107" s="17"/>
      <c r="VQP107" s="17"/>
      <c r="VQQ107" s="17"/>
      <c r="VQR107" s="17"/>
      <c r="VQS107" s="17"/>
      <c r="VQT107" s="17"/>
      <c r="VQU107" s="17"/>
      <c r="VQV107" s="17"/>
      <c r="VQW107" s="17"/>
      <c r="VQX107" s="17"/>
      <c r="VQY107" s="17"/>
      <c r="VQZ107" s="17"/>
      <c r="VRA107" s="17"/>
      <c r="VRB107" s="17"/>
      <c r="VRC107" s="17"/>
      <c r="VRD107" s="17"/>
      <c r="VRE107" s="17"/>
      <c r="VRF107" s="17"/>
      <c r="VRG107" s="17"/>
      <c r="VRH107" s="17"/>
      <c r="VRI107" s="17"/>
      <c r="VRJ107" s="17"/>
      <c r="VRK107" s="17"/>
      <c r="VRL107" s="17"/>
      <c r="VRM107" s="17"/>
      <c r="VRN107" s="17"/>
      <c r="VRO107" s="17"/>
      <c r="VRP107" s="17"/>
      <c r="VRQ107" s="17"/>
      <c r="VRR107" s="17"/>
      <c r="VRS107" s="17"/>
      <c r="VRT107" s="17"/>
      <c r="VRU107" s="17"/>
      <c r="VRV107" s="17"/>
      <c r="VRW107" s="17"/>
      <c r="VRX107" s="17"/>
      <c r="VRY107" s="17"/>
      <c r="VRZ107" s="17"/>
      <c r="VSA107" s="17"/>
      <c r="VSB107" s="17"/>
      <c r="VSC107" s="17"/>
      <c r="VSD107" s="17"/>
      <c r="VSE107" s="17"/>
      <c r="VSF107" s="17"/>
      <c r="VSG107" s="17"/>
      <c r="VSH107" s="17"/>
      <c r="VSI107" s="17"/>
      <c r="VSJ107" s="17"/>
      <c r="VSK107" s="17"/>
      <c r="VSL107" s="17"/>
      <c r="VSM107" s="17"/>
      <c r="VSN107" s="17"/>
      <c r="VSO107" s="17"/>
      <c r="VSP107" s="17"/>
      <c r="VSQ107" s="17"/>
      <c r="VSR107" s="17"/>
      <c r="VSS107" s="17"/>
      <c r="VST107" s="17"/>
      <c r="VSU107" s="17"/>
      <c r="VSV107" s="17"/>
      <c r="VSW107" s="17"/>
      <c r="VSX107" s="17"/>
      <c r="VSY107" s="17"/>
      <c r="VSZ107" s="17"/>
      <c r="VTA107" s="17"/>
      <c r="VTB107" s="17"/>
      <c r="VTC107" s="17"/>
      <c r="VTD107" s="17"/>
      <c r="VTE107" s="17"/>
      <c r="VTF107" s="17"/>
      <c r="VTG107" s="17"/>
      <c r="VTH107" s="17"/>
      <c r="VTI107" s="17"/>
      <c r="VTJ107" s="17"/>
      <c r="VTK107" s="17"/>
      <c r="VTL107" s="17"/>
      <c r="VTM107" s="17"/>
      <c r="VTN107" s="17"/>
      <c r="VTO107" s="17"/>
      <c r="VTP107" s="17"/>
      <c r="VTQ107" s="17"/>
      <c r="VTR107" s="17"/>
      <c r="VTS107" s="17"/>
      <c r="VTT107" s="17"/>
      <c r="VTU107" s="17"/>
      <c r="VTV107" s="17"/>
      <c r="VTW107" s="17"/>
      <c r="VTX107" s="17"/>
      <c r="VTY107" s="17"/>
      <c r="VTZ107" s="17"/>
      <c r="VUA107" s="17"/>
      <c r="VUB107" s="17"/>
      <c r="VUC107" s="17"/>
      <c r="VUD107" s="17"/>
      <c r="VUE107" s="17"/>
      <c r="VUF107" s="17"/>
      <c r="VUG107" s="17"/>
      <c r="VUH107" s="17"/>
      <c r="VUI107" s="17"/>
      <c r="VUJ107" s="17"/>
      <c r="VUK107" s="17"/>
      <c r="VUL107" s="17"/>
      <c r="VUM107" s="17"/>
      <c r="VUN107" s="17"/>
      <c r="VUO107" s="17"/>
      <c r="VUP107" s="17"/>
      <c r="VUQ107" s="17"/>
      <c r="VUR107" s="17"/>
      <c r="VUS107" s="17"/>
      <c r="VUT107" s="17"/>
      <c r="VUU107" s="17"/>
      <c r="VUV107" s="17"/>
      <c r="VUW107" s="17"/>
      <c r="VUX107" s="17"/>
      <c r="VUY107" s="17"/>
      <c r="VUZ107" s="17"/>
      <c r="VVA107" s="17"/>
      <c r="VVB107" s="17"/>
      <c r="VVC107" s="17"/>
      <c r="VVD107" s="17"/>
      <c r="VVE107" s="17"/>
      <c r="VVF107" s="17"/>
      <c r="VVG107" s="17"/>
      <c r="VVH107" s="17"/>
      <c r="VVI107" s="17"/>
      <c r="VVJ107" s="17"/>
      <c r="VVK107" s="17"/>
      <c r="VVL107" s="17"/>
      <c r="VVM107" s="17"/>
      <c r="VVN107" s="17"/>
      <c r="VVO107" s="17"/>
      <c r="VVP107" s="17"/>
      <c r="VVQ107" s="17"/>
      <c r="VVR107" s="17"/>
      <c r="VVS107" s="17"/>
      <c r="VVT107" s="17"/>
      <c r="VVU107" s="17"/>
      <c r="VVV107" s="17"/>
      <c r="VVW107" s="17"/>
      <c r="VVX107" s="17"/>
      <c r="VVY107" s="17"/>
      <c r="VVZ107" s="17"/>
      <c r="VWA107" s="17"/>
      <c r="VWB107" s="17"/>
      <c r="VWC107" s="17"/>
      <c r="VWD107" s="17"/>
      <c r="VWE107" s="17"/>
      <c r="VWF107" s="17"/>
      <c r="VWG107" s="17"/>
      <c r="VWH107" s="17"/>
      <c r="VWI107" s="17"/>
      <c r="VWJ107" s="17"/>
      <c r="VWK107" s="17"/>
      <c r="VWL107" s="17"/>
      <c r="VWM107" s="17"/>
      <c r="VWN107" s="17"/>
      <c r="VWO107" s="17"/>
      <c r="VWP107" s="17"/>
      <c r="VWQ107" s="17"/>
      <c r="VWR107" s="17"/>
      <c r="VWS107" s="17"/>
      <c r="VWT107" s="17"/>
      <c r="VWU107" s="17"/>
      <c r="VWV107" s="17"/>
      <c r="VWW107" s="17"/>
      <c r="VWX107" s="17"/>
      <c r="VWY107" s="17"/>
      <c r="VWZ107" s="17"/>
      <c r="VXA107" s="17"/>
      <c r="VXB107" s="17"/>
      <c r="VXC107" s="17"/>
      <c r="VXD107" s="17"/>
      <c r="VXE107" s="17"/>
      <c r="VXF107" s="17"/>
      <c r="VXG107" s="17"/>
      <c r="VXH107" s="17"/>
      <c r="VXI107" s="17"/>
      <c r="VXJ107" s="17"/>
      <c r="VXK107" s="17"/>
      <c r="VXL107" s="17"/>
      <c r="VXM107" s="17"/>
      <c r="VXN107" s="17"/>
      <c r="VXO107" s="17"/>
      <c r="VXP107" s="17"/>
      <c r="VXQ107" s="17"/>
      <c r="VXR107" s="17"/>
      <c r="VXS107" s="17"/>
      <c r="VXT107" s="17"/>
      <c r="VXU107" s="17"/>
      <c r="VXV107" s="17"/>
      <c r="VXW107" s="17"/>
      <c r="VXX107" s="17"/>
      <c r="VXY107" s="17"/>
      <c r="VXZ107" s="17"/>
      <c r="VYA107" s="17"/>
      <c r="VYB107" s="17"/>
      <c r="VYC107" s="17"/>
      <c r="VYD107" s="17"/>
      <c r="VYE107" s="17"/>
      <c r="VYF107" s="17"/>
      <c r="VYG107" s="17"/>
      <c r="VYH107" s="17"/>
      <c r="VYI107" s="17"/>
      <c r="VYJ107" s="17"/>
      <c r="VYK107" s="17"/>
      <c r="VYL107" s="17"/>
      <c r="VYM107" s="17"/>
      <c r="VYN107" s="17"/>
      <c r="VYO107" s="17"/>
      <c r="VYP107" s="17"/>
      <c r="VYQ107" s="17"/>
      <c r="VYR107" s="17"/>
      <c r="VYS107" s="17"/>
      <c r="VYT107" s="17"/>
      <c r="VYU107" s="17"/>
      <c r="VYV107" s="17"/>
      <c r="VYW107" s="17"/>
      <c r="VYX107" s="17"/>
      <c r="VYY107" s="17"/>
      <c r="VYZ107" s="17"/>
      <c r="VZA107" s="17"/>
      <c r="VZB107" s="17"/>
      <c r="VZC107" s="17"/>
      <c r="VZD107" s="17"/>
      <c r="VZE107" s="17"/>
      <c r="VZF107" s="17"/>
      <c r="VZG107" s="17"/>
      <c r="VZH107" s="17"/>
      <c r="VZI107" s="17"/>
      <c r="VZJ107" s="17"/>
      <c r="VZK107" s="17"/>
      <c r="VZL107" s="17"/>
      <c r="VZM107" s="17"/>
      <c r="VZN107" s="17"/>
      <c r="VZO107" s="17"/>
      <c r="VZP107" s="17"/>
      <c r="VZQ107" s="17"/>
      <c r="VZR107" s="17"/>
      <c r="VZS107" s="17"/>
      <c r="VZT107" s="17"/>
      <c r="VZU107" s="17"/>
      <c r="VZV107" s="17"/>
      <c r="VZW107" s="17"/>
      <c r="VZX107" s="17"/>
      <c r="VZY107" s="17"/>
      <c r="VZZ107" s="17"/>
      <c r="WAA107" s="17"/>
      <c r="WAB107" s="17"/>
      <c r="WAC107" s="17"/>
      <c r="WAD107" s="17"/>
      <c r="WAE107" s="17"/>
      <c r="WAF107" s="17"/>
      <c r="WAG107" s="17"/>
      <c r="WAH107" s="17"/>
      <c r="WAI107" s="17"/>
      <c r="WAJ107" s="17"/>
      <c r="WAK107" s="17"/>
      <c r="WAL107" s="17"/>
      <c r="WAM107" s="17"/>
      <c r="WAN107" s="17"/>
      <c r="WAO107" s="17"/>
      <c r="WAP107" s="17"/>
      <c r="WAQ107" s="17"/>
      <c r="WAR107" s="17"/>
      <c r="WAS107" s="17"/>
      <c r="WAT107" s="17"/>
      <c r="WAU107" s="17"/>
      <c r="WAV107" s="17"/>
      <c r="WAW107" s="17"/>
      <c r="WAX107" s="17"/>
      <c r="WAY107" s="17"/>
      <c r="WAZ107" s="17"/>
      <c r="WBA107" s="17"/>
      <c r="WBB107" s="17"/>
      <c r="WBC107" s="17"/>
      <c r="WBD107" s="17"/>
      <c r="WBE107" s="17"/>
      <c r="WBF107" s="17"/>
      <c r="WBG107" s="17"/>
      <c r="WBH107" s="17"/>
      <c r="WBI107" s="17"/>
      <c r="WBJ107" s="17"/>
      <c r="WBK107" s="17"/>
      <c r="WBL107" s="17"/>
      <c r="WBM107" s="17"/>
      <c r="WBN107" s="17"/>
      <c r="WBO107" s="17"/>
      <c r="WBP107" s="17"/>
      <c r="WBQ107" s="17"/>
      <c r="WBR107" s="17"/>
      <c r="WBS107" s="17"/>
      <c r="WBT107" s="17"/>
      <c r="WBU107" s="17"/>
      <c r="WBV107" s="17"/>
      <c r="WBW107" s="17"/>
      <c r="WBX107" s="17"/>
      <c r="WBY107" s="17"/>
      <c r="WBZ107" s="17"/>
      <c r="WCA107" s="17"/>
      <c r="WCB107" s="17"/>
      <c r="WCC107" s="17"/>
      <c r="WCD107" s="17"/>
      <c r="WCE107" s="17"/>
      <c r="WCF107" s="17"/>
      <c r="WCG107" s="17"/>
      <c r="WCH107" s="17"/>
      <c r="WCI107" s="17"/>
      <c r="WCJ107" s="17"/>
      <c r="WCK107" s="17"/>
      <c r="WCL107" s="17"/>
      <c r="WCM107" s="17"/>
      <c r="WCN107" s="17"/>
      <c r="WCO107" s="17"/>
      <c r="WCP107" s="17"/>
      <c r="WCQ107" s="17"/>
      <c r="WCR107" s="17"/>
      <c r="WCS107" s="17"/>
      <c r="WCT107" s="17"/>
      <c r="WCU107" s="17"/>
      <c r="WCV107" s="17"/>
      <c r="WCW107" s="17"/>
      <c r="WCX107" s="17"/>
      <c r="WCY107" s="17"/>
      <c r="WCZ107" s="17"/>
      <c r="WDA107" s="17"/>
      <c r="WDB107" s="17"/>
      <c r="WDC107" s="17"/>
      <c r="WDD107" s="17"/>
      <c r="WDE107" s="17"/>
      <c r="WDF107" s="17"/>
      <c r="WDG107" s="17"/>
      <c r="WDH107" s="17"/>
      <c r="WDI107" s="17"/>
      <c r="WDJ107" s="17"/>
      <c r="WDK107" s="17"/>
      <c r="WDL107" s="17"/>
      <c r="WDM107" s="17"/>
      <c r="WDN107" s="17"/>
      <c r="WDO107" s="17"/>
      <c r="WDP107" s="17"/>
      <c r="WDQ107" s="17"/>
      <c r="WDR107" s="17"/>
      <c r="WDS107" s="17"/>
      <c r="WDT107" s="17"/>
      <c r="WDU107" s="17"/>
      <c r="WDV107" s="17"/>
      <c r="WDW107" s="17"/>
      <c r="WDX107" s="17"/>
      <c r="WDY107" s="17"/>
      <c r="WDZ107" s="17"/>
      <c r="WEA107" s="17"/>
      <c r="WEB107" s="17"/>
      <c r="WEC107" s="17"/>
      <c r="WED107" s="17"/>
      <c r="WEE107" s="17"/>
      <c r="WEF107" s="17"/>
      <c r="WEG107" s="17"/>
      <c r="WEH107" s="17"/>
      <c r="WEI107" s="17"/>
      <c r="WEJ107" s="17"/>
      <c r="WEK107" s="17"/>
      <c r="WEL107" s="17"/>
      <c r="WEM107" s="17"/>
      <c r="WEN107" s="17"/>
      <c r="WEO107" s="17"/>
      <c r="WEP107" s="17"/>
      <c r="WEQ107" s="17"/>
      <c r="WER107" s="17"/>
      <c r="WES107" s="17"/>
      <c r="WET107" s="17"/>
      <c r="WEU107" s="17"/>
      <c r="WEV107" s="17"/>
      <c r="WEW107" s="17"/>
      <c r="WEX107" s="17"/>
      <c r="WEY107" s="17"/>
      <c r="WEZ107" s="17"/>
      <c r="WFA107" s="17"/>
      <c r="WFB107" s="17"/>
      <c r="WFC107" s="17"/>
      <c r="WFD107" s="17"/>
      <c r="WFE107" s="17"/>
      <c r="WFF107" s="17"/>
      <c r="WFG107" s="17"/>
      <c r="WFH107" s="17"/>
      <c r="WFI107" s="17"/>
      <c r="WFJ107" s="17"/>
      <c r="WFK107" s="17"/>
      <c r="WFL107" s="17"/>
      <c r="WFM107" s="17"/>
      <c r="WFN107" s="17"/>
      <c r="WFO107" s="17"/>
      <c r="WFP107" s="17"/>
      <c r="WFQ107" s="17"/>
      <c r="WFR107" s="17"/>
      <c r="WFS107" s="17"/>
      <c r="WFT107" s="17"/>
      <c r="WFU107" s="17"/>
      <c r="WFV107" s="17"/>
      <c r="WFW107" s="17"/>
      <c r="WFX107" s="17"/>
      <c r="WFY107" s="17"/>
      <c r="WFZ107" s="17"/>
      <c r="WGA107" s="17"/>
      <c r="WGB107" s="17"/>
      <c r="WGC107" s="17"/>
      <c r="WGD107" s="17"/>
      <c r="WGE107" s="17"/>
      <c r="WGF107" s="17"/>
      <c r="WGG107" s="17"/>
      <c r="WGH107" s="17"/>
      <c r="WGI107" s="17"/>
      <c r="WGJ107" s="17"/>
      <c r="WGK107" s="17"/>
      <c r="WGL107" s="17"/>
      <c r="WGM107" s="17"/>
      <c r="WGN107" s="17"/>
      <c r="WGO107" s="17"/>
      <c r="WGP107" s="17"/>
      <c r="WGQ107" s="17"/>
      <c r="WGR107" s="17"/>
      <c r="WGS107" s="17"/>
      <c r="WGT107" s="17"/>
      <c r="WGU107" s="17"/>
      <c r="WGV107" s="17"/>
      <c r="WGW107" s="17"/>
      <c r="WGX107" s="17"/>
      <c r="WGY107" s="17"/>
      <c r="WGZ107" s="17"/>
      <c r="WHA107" s="17"/>
      <c r="WHB107" s="17"/>
      <c r="WHC107" s="17"/>
      <c r="WHD107" s="17"/>
      <c r="WHE107" s="17"/>
      <c r="WHF107" s="17"/>
      <c r="WHG107" s="17"/>
      <c r="WHH107" s="17"/>
      <c r="WHI107" s="17"/>
      <c r="WHJ107" s="17"/>
      <c r="WHK107" s="17"/>
      <c r="WHL107" s="17"/>
      <c r="WHM107" s="17"/>
      <c r="WHN107" s="17"/>
      <c r="WHO107" s="17"/>
      <c r="WHP107" s="17"/>
      <c r="WHQ107" s="17"/>
      <c r="WHR107" s="17"/>
      <c r="WHS107" s="17"/>
      <c r="WHT107" s="17"/>
      <c r="WHU107" s="17"/>
      <c r="WHV107" s="17"/>
      <c r="WHW107" s="17"/>
      <c r="WHX107" s="17"/>
      <c r="WHY107" s="17"/>
      <c r="WHZ107" s="17"/>
      <c r="WIA107" s="17"/>
      <c r="WIB107" s="17"/>
      <c r="WIC107" s="17"/>
      <c r="WID107" s="17"/>
      <c r="WIE107" s="17"/>
      <c r="WIF107" s="17"/>
      <c r="WIG107" s="17"/>
      <c r="WIH107" s="17"/>
      <c r="WII107" s="17"/>
      <c r="WIJ107" s="17"/>
      <c r="WIK107" s="17"/>
      <c r="WIL107" s="17"/>
      <c r="WIM107" s="17"/>
      <c r="WIN107" s="17"/>
      <c r="WIO107" s="17"/>
      <c r="WIP107" s="17"/>
      <c r="WIQ107" s="17"/>
      <c r="WIR107" s="17"/>
      <c r="WIS107" s="17"/>
      <c r="WIT107" s="17"/>
      <c r="WIU107" s="17"/>
      <c r="WIV107" s="17"/>
      <c r="WIW107" s="17"/>
      <c r="WIX107" s="17"/>
      <c r="WIY107" s="17"/>
      <c r="WIZ107" s="17"/>
      <c r="WJA107" s="17"/>
      <c r="WJB107" s="17"/>
      <c r="WJC107" s="17"/>
      <c r="WJD107" s="17"/>
      <c r="WJE107" s="17"/>
      <c r="WJF107" s="17"/>
      <c r="WJG107" s="17"/>
      <c r="WJH107" s="17"/>
      <c r="WJI107" s="17"/>
      <c r="WJJ107" s="17"/>
      <c r="WJK107" s="17"/>
      <c r="WJL107" s="17"/>
      <c r="WJM107" s="17"/>
      <c r="WJN107" s="17"/>
      <c r="WJO107" s="17"/>
      <c r="WJP107" s="17"/>
      <c r="WJQ107" s="17"/>
      <c r="WJR107" s="17"/>
      <c r="WJS107" s="17"/>
      <c r="WJT107" s="17"/>
      <c r="WJU107" s="17"/>
      <c r="WJV107" s="17"/>
      <c r="WJW107" s="17"/>
      <c r="WJX107" s="17"/>
      <c r="WJY107" s="17"/>
      <c r="WJZ107" s="17"/>
      <c r="WKA107" s="17"/>
      <c r="WKB107" s="17"/>
      <c r="WKC107" s="17"/>
      <c r="WKD107" s="17"/>
      <c r="WKE107" s="17"/>
      <c r="WKF107" s="17"/>
      <c r="WKG107" s="17"/>
      <c r="WKH107" s="17"/>
      <c r="WKI107" s="17"/>
      <c r="WKJ107" s="17"/>
      <c r="WKK107" s="17"/>
      <c r="WKL107" s="17"/>
      <c r="WKM107" s="17"/>
      <c r="WKN107" s="17"/>
      <c r="WKO107" s="17"/>
      <c r="WKP107" s="17"/>
      <c r="WKQ107" s="17"/>
      <c r="WKR107" s="17"/>
      <c r="WKS107" s="17"/>
      <c r="WKT107" s="17"/>
      <c r="WKU107" s="17"/>
      <c r="WKV107" s="17"/>
      <c r="WKW107" s="17"/>
      <c r="WKX107" s="17"/>
      <c r="WKY107" s="17"/>
      <c r="WKZ107" s="17"/>
      <c r="WLA107" s="17"/>
      <c r="WLB107" s="17"/>
      <c r="WLC107" s="17"/>
      <c r="WLD107" s="17"/>
      <c r="WLE107" s="17"/>
      <c r="WLF107" s="17"/>
      <c r="WLG107" s="17"/>
      <c r="WLH107" s="17"/>
      <c r="WLI107" s="17"/>
      <c r="WLJ107" s="17"/>
      <c r="WLK107" s="17"/>
      <c r="WLL107" s="17"/>
      <c r="WLM107" s="17"/>
      <c r="WLN107" s="17"/>
      <c r="WLO107" s="17"/>
      <c r="WLP107" s="17"/>
      <c r="WLQ107" s="17"/>
      <c r="WLR107" s="17"/>
      <c r="WLS107" s="17"/>
      <c r="WLT107" s="17"/>
      <c r="WLU107" s="17"/>
      <c r="WLV107" s="17"/>
      <c r="WLW107" s="17"/>
      <c r="WLX107" s="17"/>
      <c r="WLY107" s="17"/>
      <c r="WLZ107" s="17"/>
      <c r="WMA107" s="17"/>
      <c r="WMB107" s="17"/>
      <c r="WMC107" s="17"/>
      <c r="WMD107" s="17"/>
      <c r="WME107" s="17"/>
      <c r="WMF107" s="17"/>
      <c r="WMG107" s="17"/>
      <c r="WMH107" s="17"/>
      <c r="WMI107" s="17"/>
      <c r="WMJ107" s="17"/>
      <c r="WMK107" s="17"/>
      <c r="WML107" s="17"/>
      <c r="WMM107" s="17"/>
      <c r="WMN107" s="17"/>
      <c r="WMO107" s="17"/>
      <c r="WMP107" s="17"/>
      <c r="WMQ107" s="17"/>
      <c r="WMR107" s="17"/>
      <c r="WMS107" s="17"/>
      <c r="WMT107" s="17"/>
      <c r="WMU107" s="17"/>
      <c r="WMV107" s="17"/>
      <c r="WMW107" s="17"/>
      <c r="WMX107" s="17"/>
      <c r="WMY107" s="17"/>
      <c r="WMZ107" s="17"/>
      <c r="WNA107" s="17"/>
      <c r="WNB107" s="17"/>
      <c r="WNC107" s="17"/>
      <c r="WND107" s="17"/>
      <c r="WNE107" s="17"/>
      <c r="WNF107" s="17"/>
      <c r="WNG107" s="17"/>
      <c r="WNH107" s="17"/>
      <c r="WNI107" s="17"/>
      <c r="WNJ107" s="17"/>
      <c r="WNK107" s="17"/>
      <c r="WNL107" s="17"/>
      <c r="WNM107" s="17"/>
      <c r="WNN107" s="17"/>
      <c r="WNO107" s="17"/>
      <c r="WNP107" s="17"/>
      <c r="WNQ107" s="17"/>
      <c r="WNR107" s="17"/>
      <c r="WNS107" s="17"/>
      <c r="WNT107" s="17"/>
      <c r="WNU107" s="17"/>
      <c r="WNV107" s="17"/>
      <c r="WNW107" s="17"/>
      <c r="WNX107" s="17"/>
      <c r="WNY107" s="17"/>
      <c r="WNZ107" s="17"/>
      <c r="WOA107" s="17"/>
      <c r="WOB107" s="17"/>
      <c r="WOC107" s="17"/>
      <c r="WOD107" s="17"/>
      <c r="WOE107" s="17"/>
      <c r="WOF107" s="17"/>
      <c r="WOG107" s="17"/>
      <c r="WOH107" s="17"/>
      <c r="WOI107" s="17"/>
      <c r="WOJ107" s="17"/>
      <c r="WOK107" s="17"/>
      <c r="WOL107" s="17"/>
      <c r="WOM107" s="17"/>
      <c r="WON107" s="17"/>
      <c r="WOO107" s="17"/>
      <c r="WOP107" s="17"/>
      <c r="WOQ107" s="17"/>
      <c r="WOR107" s="17"/>
      <c r="WOS107" s="17"/>
      <c r="WOT107" s="17"/>
      <c r="WOU107" s="17"/>
      <c r="WOV107" s="17"/>
      <c r="WOW107" s="17"/>
      <c r="WOX107" s="17"/>
      <c r="WOY107" s="17"/>
      <c r="WOZ107" s="17"/>
      <c r="WPA107" s="17"/>
      <c r="WPB107" s="17"/>
      <c r="WPC107" s="17"/>
      <c r="WPD107" s="17"/>
      <c r="WPE107" s="17"/>
      <c r="WPF107" s="17"/>
      <c r="WPG107" s="17"/>
      <c r="WPH107" s="17"/>
      <c r="WPI107" s="17"/>
      <c r="WPJ107" s="17"/>
      <c r="WPK107" s="17"/>
      <c r="WPL107" s="17"/>
      <c r="WPM107" s="17"/>
      <c r="WPN107" s="17"/>
      <c r="WPO107" s="17"/>
      <c r="WPP107" s="17"/>
      <c r="WPQ107" s="17"/>
      <c r="WPR107" s="17"/>
      <c r="WPS107" s="17"/>
      <c r="WPT107" s="17"/>
      <c r="WPU107" s="17"/>
      <c r="WPV107" s="17"/>
      <c r="WPW107" s="17"/>
      <c r="WPX107" s="17"/>
      <c r="WPY107" s="17"/>
      <c r="WPZ107" s="17"/>
      <c r="WQA107" s="17"/>
      <c r="WQB107" s="17"/>
      <c r="WQC107" s="17"/>
      <c r="WQD107" s="17"/>
      <c r="WQE107" s="17"/>
      <c r="WQF107" s="17"/>
      <c r="WQG107" s="17"/>
      <c r="WQH107" s="17"/>
      <c r="WQI107" s="17"/>
      <c r="WQJ107" s="17"/>
      <c r="WQK107" s="17"/>
      <c r="WQL107" s="17"/>
      <c r="WQM107" s="17"/>
      <c r="WQN107" s="17"/>
      <c r="WQO107" s="17"/>
      <c r="WQP107" s="17"/>
      <c r="WQQ107" s="17"/>
      <c r="WQR107" s="17"/>
      <c r="WQS107" s="17"/>
      <c r="WQT107" s="17"/>
      <c r="WQU107" s="17"/>
      <c r="WQV107" s="17"/>
      <c r="WQW107" s="17"/>
      <c r="WQX107" s="17"/>
      <c r="WQY107" s="17"/>
      <c r="WQZ107" s="17"/>
      <c r="WRA107" s="17"/>
      <c r="WRB107" s="17"/>
      <c r="WRC107" s="17"/>
      <c r="WRD107" s="17"/>
      <c r="WRE107" s="17"/>
      <c r="WRF107" s="17"/>
      <c r="WRG107" s="17"/>
      <c r="WRH107" s="17"/>
      <c r="WRI107" s="17"/>
      <c r="WRJ107" s="17"/>
      <c r="WRK107" s="17"/>
      <c r="WRL107" s="17"/>
      <c r="WRM107" s="17"/>
      <c r="WRN107" s="17"/>
      <c r="WRO107" s="17"/>
      <c r="WRP107" s="17"/>
      <c r="WRQ107" s="17"/>
      <c r="WRR107" s="17"/>
      <c r="WRS107" s="17"/>
      <c r="WRT107" s="17"/>
      <c r="WRU107" s="17"/>
      <c r="WRV107" s="17"/>
      <c r="WRW107" s="17"/>
      <c r="WRX107" s="17"/>
      <c r="WRY107" s="17"/>
      <c r="WRZ107" s="17"/>
      <c r="WSA107" s="17"/>
      <c r="WSB107" s="17"/>
      <c r="WSC107" s="17"/>
      <c r="WSD107" s="17"/>
      <c r="WSE107" s="17"/>
      <c r="WSF107" s="17"/>
      <c r="WSG107" s="17"/>
      <c r="WSH107" s="17"/>
      <c r="WSI107" s="17"/>
      <c r="WSJ107" s="17"/>
      <c r="WSK107" s="17"/>
      <c r="WSL107" s="17"/>
      <c r="WSM107" s="17"/>
      <c r="WSN107" s="17"/>
      <c r="WSO107" s="17"/>
      <c r="WSP107" s="17"/>
      <c r="WSQ107" s="17"/>
      <c r="WSR107" s="17"/>
      <c r="WSS107" s="17"/>
      <c r="WST107" s="17"/>
      <c r="WSU107" s="17"/>
      <c r="WSV107" s="17"/>
      <c r="WSW107" s="17"/>
      <c r="WSX107" s="17"/>
      <c r="WSY107" s="17"/>
      <c r="WSZ107" s="17"/>
      <c r="WTA107" s="17"/>
      <c r="WTB107" s="17"/>
      <c r="WTC107" s="17"/>
      <c r="WTD107" s="17"/>
      <c r="WTE107" s="17"/>
      <c r="WTF107" s="17"/>
      <c r="WTG107" s="17"/>
      <c r="WTH107" s="17"/>
      <c r="WTI107" s="17"/>
      <c r="WTJ107" s="17"/>
      <c r="WTK107" s="17"/>
      <c r="WTL107" s="17"/>
      <c r="WTM107" s="17"/>
      <c r="WTN107" s="17"/>
      <c r="WTO107" s="17"/>
      <c r="WTP107" s="17"/>
      <c r="WTQ107" s="17"/>
      <c r="WTR107" s="17"/>
      <c r="WTS107" s="17"/>
      <c r="WTT107" s="17"/>
      <c r="WTU107" s="17"/>
      <c r="WTV107" s="17"/>
      <c r="WTW107" s="17"/>
      <c r="WTX107" s="17"/>
      <c r="WTY107" s="17"/>
      <c r="WTZ107" s="17"/>
      <c r="WUA107" s="17"/>
      <c r="WUB107" s="17"/>
      <c r="WUC107" s="17"/>
      <c r="WUD107" s="17"/>
      <c r="WUE107" s="17"/>
      <c r="WUF107" s="17"/>
      <c r="WUG107" s="17"/>
      <c r="WUH107" s="17"/>
      <c r="WUI107" s="17"/>
      <c r="WUJ107" s="17"/>
      <c r="WUK107" s="17"/>
      <c r="WUL107" s="17"/>
      <c r="WUM107" s="17"/>
      <c r="WUN107" s="17"/>
      <c r="WUO107" s="17"/>
      <c r="WUP107" s="17"/>
      <c r="WUQ107" s="17"/>
      <c r="WUR107" s="17"/>
      <c r="WUS107" s="17"/>
      <c r="WUT107" s="17"/>
      <c r="WUU107" s="17"/>
      <c r="WUV107" s="17"/>
      <c r="WUW107" s="17"/>
      <c r="WUX107" s="17"/>
      <c r="WUY107" s="17"/>
      <c r="WUZ107" s="17"/>
      <c r="WVA107" s="17"/>
      <c r="WVB107" s="17"/>
      <c r="WVC107" s="17"/>
      <c r="WVD107" s="17"/>
      <c r="WVE107" s="17"/>
      <c r="WVF107" s="17"/>
      <c r="WVG107" s="17"/>
      <c r="WVH107" s="17"/>
      <c r="WVI107" s="17"/>
      <c r="WVJ107" s="17"/>
      <c r="WVK107" s="17"/>
      <c r="WVL107" s="17"/>
      <c r="WVM107" s="17"/>
      <c r="WVN107" s="17"/>
      <c r="WVO107" s="17"/>
      <c r="WVP107" s="17"/>
      <c r="WVQ107" s="17"/>
      <c r="WVR107" s="17"/>
      <c r="WVS107" s="17"/>
      <c r="WVT107" s="17"/>
      <c r="WVU107" s="17"/>
      <c r="WVV107" s="17"/>
      <c r="WVW107" s="17"/>
      <c r="WVX107" s="17"/>
      <c r="WVY107" s="17"/>
      <c r="WVZ107" s="17"/>
      <c r="WWA107" s="17"/>
      <c r="WWB107" s="17"/>
      <c r="WWC107" s="17"/>
      <c r="WWD107" s="17"/>
      <c r="WWE107" s="17"/>
      <c r="WWF107" s="17"/>
      <c r="WWG107" s="17"/>
      <c r="WWH107" s="17"/>
      <c r="WWI107" s="17"/>
      <c r="WWJ107" s="17"/>
      <c r="WWK107" s="17"/>
      <c r="WWL107" s="17"/>
      <c r="WWM107" s="17"/>
      <c r="WWN107" s="17"/>
      <c r="WWO107" s="17"/>
      <c r="WWP107" s="17"/>
      <c r="WWQ107" s="17"/>
      <c r="WWR107" s="17"/>
      <c r="WWS107" s="17"/>
      <c r="WWT107" s="17"/>
      <c r="WWU107" s="17"/>
      <c r="WWV107" s="17"/>
      <c r="WWW107" s="17"/>
      <c r="WWX107" s="17"/>
      <c r="WWY107" s="17"/>
      <c r="WWZ107" s="17"/>
      <c r="WXA107" s="17"/>
      <c r="WXB107" s="17"/>
      <c r="WXC107" s="17"/>
      <c r="WXD107" s="17"/>
      <c r="WXE107" s="17"/>
      <c r="WXF107" s="17"/>
      <c r="WXG107" s="17"/>
      <c r="WXH107" s="17"/>
      <c r="WXI107" s="17"/>
      <c r="WXJ107" s="17"/>
      <c r="WXK107" s="17"/>
      <c r="WXL107" s="17"/>
      <c r="WXM107" s="17"/>
      <c r="WXN107" s="17"/>
      <c r="WXO107" s="17"/>
      <c r="WXP107" s="17"/>
      <c r="WXQ107" s="17"/>
      <c r="WXR107" s="17"/>
      <c r="WXS107" s="17"/>
      <c r="WXT107" s="17"/>
      <c r="WXU107" s="17"/>
      <c r="WXV107" s="17"/>
      <c r="WXW107" s="17"/>
      <c r="WXX107" s="17"/>
      <c r="WXY107" s="17"/>
      <c r="WXZ107" s="17"/>
      <c r="WYA107" s="17"/>
      <c r="WYB107" s="17"/>
      <c r="WYC107" s="17"/>
      <c r="WYD107" s="17"/>
      <c r="WYE107" s="17"/>
      <c r="WYF107" s="17"/>
      <c r="WYG107" s="17"/>
      <c r="WYH107" s="17"/>
      <c r="WYI107" s="17"/>
      <c r="WYJ107" s="17"/>
      <c r="WYK107" s="17"/>
      <c r="WYL107" s="17"/>
      <c r="WYM107" s="17"/>
      <c r="WYN107" s="17"/>
      <c r="WYO107" s="17"/>
      <c r="WYP107" s="17"/>
      <c r="WYQ107" s="17"/>
      <c r="WYR107" s="17"/>
      <c r="WYS107" s="17"/>
      <c r="WYT107" s="17"/>
      <c r="WYU107" s="17"/>
      <c r="WYV107" s="17"/>
      <c r="WYW107" s="17"/>
      <c r="WYX107" s="17"/>
      <c r="WYY107" s="17"/>
      <c r="WYZ107" s="17"/>
      <c r="WZA107" s="17"/>
      <c r="WZB107" s="17"/>
      <c r="WZC107" s="17"/>
      <c r="WZD107" s="17"/>
      <c r="WZE107" s="17"/>
      <c r="WZF107" s="17"/>
      <c r="WZG107" s="17"/>
      <c r="WZH107" s="17"/>
      <c r="WZI107" s="17"/>
      <c r="WZJ107" s="17"/>
      <c r="WZK107" s="17"/>
      <c r="WZL107" s="17"/>
      <c r="WZM107" s="17"/>
      <c r="WZN107" s="17"/>
      <c r="WZO107" s="17"/>
      <c r="WZP107" s="17"/>
      <c r="WZQ107" s="17"/>
      <c r="WZR107" s="17"/>
      <c r="WZS107" s="17"/>
      <c r="WZT107" s="17"/>
      <c r="WZU107" s="17"/>
      <c r="WZV107" s="17"/>
      <c r="WZW107" s="17"/>
      <c r="WZX107" s="17"/>
      <c r="WZY107" s="17"/>
      <c r="WZZ107" s="17"/>
      <c r="XAA107" s="17"/>
      <c r="XAB107" s="17"/>
      <c r="XAC107" s="17"/>
      <c r="XAD107" s="17"/>
      <c r="XAE107" s="17"/>
      <c r="XAF107" s="17"/>
      <c r="XAG107" s="17"/>
      <c r="XAH107" s="17"/>
      <c r="XAI107" s="17"/>
      <c r="XAJ107" s="17"/>
      <c r="XAK107" s="17"/>
      <c r="XAL107" s="17"/>
      <c r="XAM107" s="17"/>
      <c r="XAN107" s="17"/>
      <c r="XAO107" s="17"/>
      <c r="XAP107" s="17"/>
      <c r="XAQ107" s="17"/>
      <c r="XAR107" s="17"/>
      <c r="XAS107" s="17"/>
      <c r="XAT107" s="17"/>
      <c r="XAU107" s="17"/>
      <c r="XAV107" s="17"/>
      <c r="XAW107" s="17"/>
      <c r="XAX107" s="17"/>
      <c r="XAY107" s="17"/>
      <c r="XAZ107" s="17"/>
      <c r="XBA107" s="17"/>
      <c r="XBB107" s="17"/>
      <c r="XBC107" s="17"/>
      <c r="XBD107" s="17"/>
      <c r="XBE107" s="17"/>
      <c r="XBF107" s="17"/>
      <c r="XBG107" s="17"/>
      <c r="XBH107" s="17"/>
      <c r="XBI107" s="17"/>
      <c r="XBJ107" s="17"/>
      <c r="XBK107" s="17"/>
      <c r="XBL107" s="17"/>
      <c r="XBM107" s="17"/>
      <c r="XBN107" s="17"/>
      <c r="XBO107" s="17"/>
      <c r="XBP107" s="17"/>
      <c r="XBQ107" s="17"/>
      <c r="XBR107" s="17"/>
      <c r="XBS107" s="17"/>
      <c r="XBT107" s="17"/>
      <c r="XBU107" s="17"/>
      <c r="XBV107" s="17"/>
      <c r="XBW107" s="17"/>
      <c r="XBX107" s="17"/>
      <c r="XBY107" s="17"/>
      <c r="XBZ107" s="17"/>
      <c r="XCA107" s="17"/>
      <c r="XCB107" s="17"/>
      <c r="XCC107" s="17"/>
      <c r="XCD107" s="17"/>
      <c r="XCE107" s="17"/>
      <c r="XCF107" s="17"/>
      <c r="XCG107" s="17"/>
      <c r="XCH107" s="17"/>
      <c r="XCI107" s="17"/>
      <c r="XCJ107" s="17"/>
      <c r="XCK107" s="17"/>
      <c r="XCL107" s="17"/>
      <c r="XCM107" s="17"/>
      <c r="XCN107" s="17"/>
      <c r="XCO107" s="17"/>
      <c r="XCP107" s="17"/>
      <c r="XCQ107" s="17"/>
      <c r="XCR107" s="17"/>
      <c r="XCS107" s="17"/>
      <c r="XCT107" s="17"/>
      <c r="XCU107" s="17"/>
      <c r="XCV107" s="17"/>
      <c r="XCW107" s="17"/>
      <c r="XCX107" s="17"/>
      <c r="XCY107" s="17"/>
      <c r="XCZ107" s="17"/>
      <c r="XDA107" s="17"/>
      <c r="XDB107" s="17"/>
      <c r="XDC107" s="17"/>
      <c r="XDD107" s="17"/>
      <c r="XDE107" s="17"/>
      <c r="XDF107" s="17"/>
      <c r="XDG107" s="17"/>
      <c r="XDH107" s="17"/>
      <c r="XDI107" s="17"/>
      <c r="XDJ107" s="17"/>
      <c r="XDK107" s="17"/>
      <c r="XDL107" s="17"/>
      <c r="XDM107" s="17"/>
      <c r="XDN107" s="17"/>
      <c r="XDO107" s="17"/>
      <c r="XDP107" s="17"/>
      <c r="XDQ107" s="17"/>
      <c r="XDR107" s="17"/>
      <c r="XDS107" s="17"/>
      <c r="XDT107" s="17"/>
      <c r="XDU107" s="17"/>
      <c r="XDV107" s="17"/>
      <c r="XDW107" s="17"/>
      <c r="XDX107" s="17"/>
      <c r="XDY107" s="17"/>
      <c r="XDZ107" s="17"/>
      <c r="XEA107" s="17"/>
      <c r="XEB107" s="17"/>
      <c r="XEC107" s="17"/>
      <c r="XED107" s="17"/>
      <c r="XEE107" s="17"/>
      <c r="XEF107" s="17"/>
      <c r="XEG107" s="17"/>
      <c r="XEH107" s="17"/>
      <c r="XEI107" s="17"/>
      <c r="XEJ107" s="17"/>
      <c r="XEK107" s="17"/>
      <c r="XEL107" s="17"/>
      <c r="XEM107" s="17"/>
      <c r="XEN107" s="17"/>
      <c r="XEO107" s="17"/>
      <c r="XEP107" s="17"/>
      <c r="XEQ107" s="17"/>
      <c r="XER107" s="17"/>
      <c r="XES107" s="17"/>
      <c r="XET107" s="17"/>
      <c r="XEU107" s="17"/>
      <c r="XEV107" s="17"/>
      <c r="XEW107" s="17"/>
      <c r="XEX107" s="17"/>
      <c r="XEY107" s="10"/>
      <c r="XEZ107" s="10"/>
      <c r="XFA107" s="10"/>
      <c r="XFB107" s="10"/>
      <c r="XFC107" s="94"/>
    </row>
    <row r="108" s="4" customFormat="1" ht="42" customHeight="1" spans="1:16383">
      <c r="A108" s="61"/>
      <c r="B108" s="62"/>
      <c r="C108" s="34" t="s">
        <v>108</v>
      </c>
      <c r="D108" s="35"/>
      <c r="E108" s="67" t="s">
        <v>17</v>
      </c>
      <c r="F108" s="68">
        <v>0</v>
      </c>
      <c r="G108" s="71">
        <v>238</v>
      </c>
      <c r="H108" s="71">
        <f t="shared" si="6"/>
        <v>0</v>
      </c>
      <c r="I108" s="86" t="s">
        <v>109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7"/>
      <c r="IP108" s="17"/>
      <c r="IQ108" s="17"/>
      <c r="IR108" s="17"/>
      <c r="IS108" s="17"/>
      <c r="IT108" s="17"/>
      <c r="IU108" s="17"/>
      <c r="IV108" s="17"/>
      <c r="IW108" s="17"/>
      <c r="IX108" s="17"/>
      <c r="IY108" s="17"/>
      <c r="IZ108" s="17"/>
      <c r="JA108" s="17"/>
      <c r="JB108" s="17"/>
      <c r="JC108" s="17"/>
      <c r="JD108" s="17"/>
      <c r="JE108" s="17"/>
      <c r="JF108" s="17"/>
      <c r="JG108" s="17"/>
      <c r="JH108" s="17"/>
      <c r="JI108" s="17"/>
      <c r="JJ108" s="17"/>
      <c r="JK108" s="17"/>
      <c r="JL108" s="17"/>
      <c r="JM108" s="17"/>
      <c r="JN108" s="17"/>
      <c r="JO108" s="17"/>
      <c r="JP108" s="17"/>
      <c r="JQ108" s="17"/>
      <c r="JR108" s="17"/>
      <c r="JS108" s="17"/>
      <c r="JT108" s="17"/>
      <c r="JU108" s="17"/>
      <c r="JV108" s="17"/>
      <c r="JW108" s="17"/>
      <c r="JX108" s="17"/>
      <c r="JY108" s="17"/>
      <c r="JZ108" s="17"/>
      <c r="KA108" s="17"/>
      <c r="KB108" s="17"/>
      <c r="KC108" s="17"/>
      <c r="KD108" s="17"/>
      <c r="KE108" s="17"/>
      <c r="KF108" s="17"/>
      <c r="KG108" s="17"/>
      <c r="KH108" s="17"/>
      <c r="KI108" s="17"/>
      <c r="KJ108" s="17"/>
      <c r="KK108" s="17"/>
      <c r="KL108" s="17"/>
      <c r="KM108" s="17"/>
      <c r="KN108" s="17"/>
      <c r="KO108" s="17"/>
      <c r="KP108" s="17"/>
      <c r="KQ108" s="17"/>
      <c r="KR108" s="17"/>
      <c r="KS108" s="17"/>
      <c r="KT108" s="17"/>
      <c r="KU108" s="17"/>
      <c r="KV108" s="17"/>
      <c r="KW108" s="17"/>
      <c r="KX108" s="17"/>
      <c r="KY108" s="17"/>
      <c r="KZ108" s="17"/>
      <c r="LA108" s="17"/>
      <c r="LB108" s="17"/>
      <c r="LC108" s="17"/>
      <c r="LD108" s="17"/>
      <c r="LE108" s="17"/>
      <c r="LF108" s="17"/>
      <c r="LG108" s="17"/>
      <c r="LH108" s="17"/>
      <c r="LI108" s="17"/>
      <c r="LJ108" s="17"/>
      <c r="LK108" s="17"/>
      <c r="LL108" s="17"/>
      <c r="LM108" s="17"/>
      <c r="LN108" s="17"/>
      <c r="LO108" s="17"/>
      <c r="LP108" s="17"/>
      <c r="LQ108" s="17"/>
      <c r="LR108" s="17"/>
      <c r="LS108" s="17"/>
      <c r="LT108" s="17"/>
      <c r="LU108" s="17"/>
      <c r="LV108" s="17"/>
      <c r="LW108" s="17"/>
      <c r="LX108" s="17"/>
      <c r="LY108" s="17"/>
      <c r="LZ108" s="17"/>
      <c r="MA108" s="17"/>
      <c r="MB108" s="17"/>
      <c r="MC108" s="17"/>
      <c r="MD108" s="17"/>
      <c r="ME108" s="17"/>
      <c r="MF108" s="17"/>
      <c r="MG108" s="17"/>
      <c r="MH108" s="17"/>
      <c r="MI108" s="17"/>
      <c r="MJ108" s="17"/>
      <c r="MK108" s="17"/>
      <c r="ML108" s="17"/>
      <c r="MM108" s="17"/>
      <c r="MN108" s="17"/>
      <c r="MO108" s="17"/>
      <c r="MP108" s="17"/>
      <c r="MQ108" s="17"/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17"/>
      <c r="NC108" s="17"/>
      <c r="ND108" s="17"/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  <c r="NX108" s="17"/>
      <c r="NY108" s="17"/>
      <c r="NZ108" s="17"/>
      <c r="OA108" s="17"/>
      <c r="OB108" s="17"/>
      <c r="OC108" s="17"/>
      <c r="OD108" s="17"/>
      <c r="OE108" s="17"/>
      <c r="OF108" s="17"/>
      <c r="OG108" s="17"/>
      <c r="OH108" s="17"/>
      <c r="OI108" s="17"/>
      <c r="OJ108" s="17"/>
      <c r="OK108" s="17"/>
      <c r="OL108" s="17"/>
      <c r="OM108" s="17"/>
      <c r="ON108" s="17"/>
      <c r="OO108" s="17"/>
      <c r="OP108" s="17"/>
      <c r="OQ108" s="17"/>
      <c r="OR108" s="17"/>
      <c r="OS108" s="17"/>
      <c r="OT108" s="17"/>
      <c r="OU108" s="17"/>
      <c r="OV108" s="17"/>
      <c r="OW108" s="17"/>
      <c r="OX108" s="17"/>
      <c r="OY108" s="17"/>
      <c r="OZ108" s="17"/>
      <c r="PA108" s="17"/>
      <c r="PB108" s="17"/>
      <c r="PC108" s="17"/>
      <c r="PD108" s="17"/>
      <c r="PE108" s="17"/>
      <c r="PF108" s="17"/>
      <c r="PG108" s="17"/>
      <c r="PH108" s="17"/>
      <c r="PI108" s="17"/>
      <c r="PJ108" s="17"/>
      <c r="PK108" s="17"/>
      <c r="PL108" s="17"/>
      <c r="PM108" s="17"/>
      <c r="PN108" s="17"/>
      <c r="PO108" s="17"/>
      <c r="PP108" s="17"/>
      <c r="PQ108" s="17"/>
      <c r="PR108" s="17"/>
      <c r="PS108" s="17"/>
      <c r="PT108" s="17"/>
      <c r="PU108" s="17"/>
      <c r="PV108" s="17"/>
      <c r="PW108" s="17"/>
      <c r="PX108" s="17"/>
      <c r="PY108" s="17"/>
      <c r="PZ108" s="17"/>
      <c r="QA108" s="17"/>
      <c r="QB108" s="17"/>
      <c r="QC108" s="17"/>
      <c r="QD108" s="17"/>
      <c r="QE108" s="17"/>
      <c r="QF108" s="17"/>
      <c r="QG108" s="17"/>
      <c r="QH108" s="17"/>
      <c r="QI108" s="17"/>
      <c r="QJ108" s="17"/>
      <c r="QK108" s="17"/>
      <c r="QL108" s="17"/>
      <c r="QM108" s="17"/>
      <c r="QN108" s="17"/>
      <c r="QO108" s="17"/>
      <c r="QP108" s="17"/>
      <c r="QQ108" s="17"/>
      <c r="QR108" s="17"/>
      <c r="QS108" s="17"/>
      <c r="QT108" s="17"/>
      <c r="QU108" s="17"/>
      <c r="QV108" s="17"/>
      <c r="QW108" s="17"/>
      <c r="QX108" s="17"/>
      <c r="QY108" s="17"/>
      <c r="QZ108" s="17"/>
      <c r="RA108" s="17"/>
      <c r="RB108" s="17"/>
      <c r="RC108" s="17"/>
      <c r="RD108" s="17"/>
      <c r="RE108" s="17"/>
      <c r="RF108" s="17"/>
      <c r="RG108" s="17"/>
      <c r="RH108" s="17"/>
      <c r="RI108" s="17"/>
      <c r="RJ108" s="17"/>
      <c r="RK108" s="17"/>
      <c r="RL108" s="17"/>
      <c r="RM108" s="17"/>
      <c r="RN108" s="17"/>
      <c r="RO108" s="17"/>
      <c r="RP108" s="17"/>
      <c r="RQ108" s="17"/>
      <c r="RR108" s="17"/>
      <c r="RS108" s="17"/>
      <c r="RT108" s="17"/>
      <c r="RU108" s="17"/>
      <c r="RV108" s="17"/>
      <c r="RW108" s="17"/>
      <c r="RX108" s="17"/>
      <c r="RY108" s="17"/>
      <c r="RZ108" s="17"/>
      <c r="SA108" s="17"/>
      <c r="SB108" s="17"/>
      <c r="SC108" s="17"/>
      <c r="SD108" s="17"/>
      <c r="SE108" s="17"/>
      <c r="SF108" s="17"/>
      <c r="SG108" s="17"/>
      <c r="SH108" s="17"/>
      <c r="SI108" s="17"/>
      <c r="SJ108" s="17"/>
      <c r="SK108" s="17"/>
      <c r="SL108" s="17"/>
      <c r="SM108" s="17"/>
      <c r="SN108" s="17"/>
      <c r="SO108" s="17"/>
      <c r="SP108" s="17"/>
      <c r="SQ108" s="17"/>
      <c r="SR108" s="17"/>
      <c r="SS108" s="17"/>
      <c r="ST108" s="17"/>
      <c r="SU108" s="17"/>
      <c r="SV108" s="17"/>
      <c r="SW108" s="17"/>
      <c r="SX108" s="17"/>
      <c r="SY108" s="17"/>
      <c r="SZ108" s="17"/>
      <c r="TA108" s="17"/>
      <c r="TB108" s="17"/>
      <c r="TC108" s="17"/>
      <c r="TD108" s="17"/>
      <c r="TE108" s="17"/>
      <c r="TF108" s="17"/>
      <c r="TG108" s="17"/>
      <c r="TH108" s="17"/>
      <c r="TI108" s="17"/>
      <c r="TJ108" s="17"/>
      <c r="TK108" s="17"/>
      <c r="TL108" s="17"/>
      <c r="TM108" s="17"/>
      <c r="TN108" s="17"/>
      <c r="TO108" s="17"/>
      <c r="TP108" s="17"/>
      <c r="TQ108" s="17"/>
      <c r="TR108" s="17"/>
      <c r="TS108" s="17"/>
      <c r="TT108" s="17"/>
      <c r="TU108" s="17"/>
      <c r="TV108" s="17"/>
      <c r="TW108" s="17"/>
      <c r="TX108" s="17"/>
      <c r="TY108" s="17"/>
      <c r="TZ108" s="17"/>
      <c r="UA108" s="17"/>
      <c r="UB108" s="17"/>
      <c r="UC108" s="17"/>
      <c r="UD108" s="17"/>
      <c r="UE108" s="17"/>
      <c r="UF108" s="17"/>
      <c r="UG108" s="17"/>
      <c r="UH108" s="17"/>
      <c r="UI108" s="17"/>
      <c r="UJ108" s="17"/>
      <c r="UK108" s="17"/>
      <c r="UL108" s="17"/>
      <c r="UM108" s="17"/>
      <c r="UN108" s="17"/>
      <c r="UO108" s="17"/>
      <c r="UP108" s="17"/>
      <c r="UQ108" s="17"/>
      <c r="UR108" s="17"/>
      <c r="US108" s="17"/>
      <c r="UT108" s="17"/>
      <c r="UU108" s="17"/>
      <c r="UV108" s="17"/>
      <c r="UW108" s="17"/>
      <c r="UX108" s="17"/>
      <c r="UY108" s="17"/>
      <c r="UZ108" s="17"/>
      <c r="VA108" s="17"/>
      <c r="VB108" s="17"/>
      <c r="VC108" s="17"/>
      <c r="VD108" s="17"/>
      <c r="VE108" s="17"/>
      <c r="VF108" s="17"/>
      <c r="VG108" s="17"/>
      <c r="VH108" s="17"/>
      <c r="VI108" s="17"/>
      <c r="VJ108" s="17"/>
      <c r="VK108" s="17"/>
      <c r="VL108" s="17"/>
      <c r="VM108" s="17"/>
      <c r="VN108" s="17"/>
      <c r="VO108" s="17"/>
      <c r="VP108" s="17"/>
      <c r="VQ108" s="17"/>
      <c r="VR108" s="17"/>
      <c r="VS108" s="17"/>
      <c r="VT108" s="17"/>
      <c r="VU108" s="17"/>
      <c r="VV108" s="17"/>
      <c r="VW108" s="17"/>
      <c r="VX108" s="17"/>
      <c r="VY108" s="17"/>
      <c r="VZ108" s="17"/>
      <c r="WA108" s="17"/>
      <c r="WB108" s="17"/>
      <c r="WC108" s="17"/>
      <c r="WD108" s="17"/>
      <c r="WE108" s="17"/>
      <c r="WF108" s="17"/>
      <c r="WG108" s="17"/>
      <c r="WH108" s="17"/>
      <c r="WI108" s="17"/>
      <c r="WJ108" s="17"/>
      <c r="WK108" s="17"/>
      <c r="WL108" s="17"/>
      <c r="WM108" s="17"/>
      <c r="WN108" s="17"/>
      <c r="WO108" s="17"/>
      <c r="WP108" s="17"/>
      <c r="WQ108" s="17"/>
      <c r="WR108" s="17"/>
      <c r="WS108" s="17"/>
      <c r="WT108" s="17"/>
      <c r="WU108" s="17"/>
      <c r="WV108" s="17"/>
      <c r="WW108" s="17"/>
      <c r="WX108" s="17"/>
      <c r="WY108" s="17"/>
      <c r="WZ108" s="17"/>
      <c r="XA108" s="17"/>
      <c r="XB108" s="17"/>
      <c r="XC108" s="17"/>
      <c r="XD108" s="17"/>
      <c r="XE108" s="17"/>
      <c r="XF108" s="17"/>
      <c r="XG108" s="17"/>
      <c r="XH108" s="17"/>
      <c r="XI108" s="17"/>
      <c r="XJ108" s="17"/>
      <c r="XK108" s="17"/>
      <c r="XL108" s="17"/>
      <c r="XM108" s="17"/>
      <c r="XN108" s="17"/>
      <c r="XO108" s="17"/>
      <c r="XP108" s="17"/>
      <c r="XQ108" s="17"/>
      <c r="XR108" s="17"/>
      <c r="XS108" s="17"/>
      <c r="XT108" s="17"/>
      <c r="XU108" s="17"/>
      <c r="XV108" s="17"/>
      <c r="XW108" s="17"/>
      <c r="XX108" s="17"/>
      <c r="XY108" s="17"/>
      <c r="XZ108" s="17"/>
      <c r="YA108" s="17"/>
      <c r="YB108" s="17"/>
      <c r="YC108" s="17"/>
      <c r="YD108" s="17"/>
      <c r="YE108" s="17"/>
      <c r="YF108" s="17"/>
      <c r="YG108" s="17"/>
      <c r="YH108" s="17"/>
      <c r="YI108" s="17"/>
      <c r="YJ108" s="17"/>
      <c r="YK108" s="17"/>
      <c r="YL108" s="17"/>
      <c r="YM108" s="17"/>
      <c r="YN108" s="17"/>
      <c r="YO108" s="17"/>
      <c r="YP108" s="17"/>
      <c r="YQ108" s="17"/>
      <c r="YR108" s="17"/>
      <c r="YS108" s="17"/>
      <c r="YT108" s="17"/>
      <c r="YU108" s="17"/>
      <c r="YV108" s="17"/>
      <c r="YW108" s="17"/>
      <c r="YX108" s="17"/>
      <c r="YY108" s="17"/>
      <c r="YZ108" s="17"/>
      <c r="ZA108" s="17"/>
      <c r="ZB108" s="17"/>
      <c r="ZC108" s="17"/>
      <c r="ZD108" s="17"/>
      <c r="ZE108" s="17"/>
      <c r="ZF108" s="17"/>
      <c r="ZG108" s="17"/>
      <c r="ZH108" s="17"/>
      <c r="ZI108" s="17"/>
      <c r="ZJ108" s="17"/>
      <c r="ZK108" s="17"/>
      <c r="ZL108" s="17"/>
      <c r="ZM108" s="17"/>
      <c r="ZN108" s="17"/>
      <c r="ZO108" s="17"/>
      <c r="ZP108" s="17"/>
      <c r="ZQ108" s="17"/>
      <c r="ZR108" s="17"/>
      <c r="ZS108" s="17"/>
      <c r="ZT108" s="17"/>
      <c r="ZU108" s="17"/>
      <c r="ZV108" s="17"/>
      <c r="ZW108" s="17"/>
      <c r="ZX108" s="17"/>
      <c r="ZY108" s="17"/>
      <c r="ZZ108" s="17"/>
      <c r="AAA108" s="17"/>
      <c r="AAB108" s="17"/>
      <c r="AAC108" s="17"/>
      <c r="AAD108" s="17"/>
      <c r="AAE108" s="17"/>
      <c r="AAF108" s="17"/>
      <c r="AAG108" s="17"/>
      <c r="AAH108" s="17"/>
      <c r="AAI108" s="17"/>
      <c r="AAJ108" s="17"/>
      <c r="AAK108" s="17"/>
      <c r="AAL108" s="17"/>
      <c r="AAM108" s="17"/>
      <c r="AAN108" s="17"/>
      <c r="AAO108" s="17"/>
      <c r="AAP108" s="17"/>
      <c r="AAQ108" s="17"/>
      <c r="AAR108" s="17"/>
      <c r="AAS108" s="17"/>
      <c r="AAT108" s="17"/>
      <c r="AAU108" s="17"/>
      <c r="AAV108" s="17"/>
      <c r="AAW108" s="17"/>
      <c r="AAX108" s="17"/>
      <c r="AAY108" s="17"/>
      <c r="AAZ108" s="17"/>
      <c r="ABA108" s="17"/>
      <c r="ABB108" s="17"/>
      <c r="ABC108" s="17"/>
      <c r="ABD108" s="17"/>
      <c r="ABE108" s="17"/>
      <c r="ABF108" s="17"/>
      <c r="ABG108" s="17"/>
      <c r="ABH108" s="17"/>
      <c r="ABI108" s="17"/>
      <c r="ABJ108" s="17"/>
      <c r="ABK108" s="17"/>
      <c r="ABL108" s="17"/>
      <c r="ABM108" s="17"/>
      <c r="ABN108" s="17"/>
      <c r="ABO108" s="17"/>
      <c r="ABP108" s="17"/>
      <c r="ABQ108" s="17"/>
      <c r="ABR108" s="17"/>
      <c r="ABS108" s="17"/>
      <c r="ABT108" s="17"/>
      <c r="ABU108" s="17"/>
      <c r="ABV108" s="17"/>
      <c r="ABW108" s="17"/>
      <c r="ABX108" s="17"/>
      <c r="ABY108" s="17"/>
      <c r="ABZ108" s="17"/>
      <c r="ACA108" s="17"/>
      <c r="ACB108" s="17"/>
      <c r="ACC108" s="17"/>
      <c r="ACD108" s="17"/>
      <c r="ACE108" s="17"/>
      <c r="ACF108" s="17"/>
      <c r="ACG108" s="17"/>
      <c r="ACH108" s="17"/>
      <c r="ACI108" s="17"/>
      <c r="ACJ108" s="17"/>
      <c r="ACK108" s="17"/>
      <c r="ACL108" s="17"/>
      <c r="ACM108" s="17"/>
      <c r="ACN108" s="17"/>
      <c r="ACO108" s="17"/>
      <c r="ACP108" s="17"/>
      <c r="ACQ108" s="17"/>
      <c r="ACR108" s="17"/>
      <c r="ACS108" s="17"/>
      <c r="ACT108" s="17"/>
      <c r="ACU108" s="17"/>
      <c r="ACV108" s="17"/>
      <c r="ACW108" s="17"/>
      <c r="ACX108" s="17"/>
      <c r="ACY108" s="17"/>
      <c r="ACZ108" s="17"/>
      <c r="ADA108" s="17"/>
      <c r="ADB108" s="17"/>
      <c r="ADC108" s="17"/>
      <c r="ADD108" s="17"/>
      <c r="ADE108" s="17"/>
      <c r="ADF108" s="17"/>
      <c r="ADG108" s="17"/>
      <c r="ADH108" s="17"/>
      <c r="ADI108" s="17"/>
      <c r="ADJ108" s="17"/>
      <c r="ADK108" s="17"/>
      <c r="ADL108" s="17"/>
      <c r="ADM108" s="17"/>
      <c r="ADN108" s="17"/>
      <c r="ADO108" s="17"/>
      <c r="ADP108" s="17"/>
      <c r="ADQ108" s="17"/>
      <c r="ADR108" s="17"/>
      <c r="ADS108" s="17"/>
      <c r="ADT108" s="17"/>
      <c r="ADU108" s="17"/>
      <c r="ADV108" s="17"/>
      <c r="ADW108" s="17"/>
      <c r="ADX108" s="17"/>
      <c r="ADY108" s="17"/>
      <c r="ADZ108" s="17"/>
      <c r="AEA108" s="17"/>
      <c r="AEB108" s="17"/>
      <c r="AEC108" s="17"/>
      <c r="AED108" s="17"/>
      <c r="AEE108" s="17"/>
      <c r="AEF108" s="17"/>
      <c r="AEG108" s="17"/>
      <c r="AEH108" s="17"/>
      <c r="AEI108" s="17"/>
      <c r="AEJ108" s="17"/>
      <c r="AEK108" s="17"/>
      <c r="AEL108" s="17"/>
      <c r="AEM108" s="17"/>
      <c r="AEN108" s="17"/>
      <c r="AEO108" s="17"/>
      <c r="AEP108" s="17"/>
      <c r="AEQ108" s="17"/>
      <c r="AER108" s="17"/>
      <c r="AES108" s="17"/>
      <c r="AET108" s="17"/>
      <c r="AEU108" s="17"/>
      <c r="AEV108" s="17"/>
      <c r="AEW108" s="17"/>
      <c r="AEX108" s="17"/>
      <c r="AEY108" s="17"/>
      <c r="AEZ108" s="17"/>
      <c r="AFA108" s="17"/>
      <c r="AFB108" s="17"/>
      <c r="AFC108" s="17"/>
      <c r="AFD108" s="17"/>
      <c r="AFE108" s="17"/>
      <c r="AFF108" s="17"/>
      <c r="AFG108" s="17"/>
      <c r="AFH108" s="17"/>
      <c r="AFI108" s="17"/>
      <c r="AFJ108" s="17"/>
      <c r="AFK108" s="17"/>
      <c r="AFL108" s="17"/>
      <c r="AFM108" s="17"/>
      <c r="AFN108" s="17"/>
      <c r="AFO108" s="17"/>
      <c r="AFP108" s="17"/>
      <c r="AFQ108" s="17"/>
      <c r="AFR108" s="17"/>
      <c r="AFS108" s="17"/>
      <c r="AFT108" s="17"/>
      <c r="AFU108" s="17"/>
      <c r="AFV108" s="17"/>
      <c r="AFW108" s="17"/>
      <c r="AFX108" s="17"/>
      <c r="AFY108" s="17"/>
      <c r="AFZ108" s="17"/>
      <c r="AGA108" s="17"/>
      <c r="AGB108" s="17"/>
      <c r="AGC108" s="17"/>
      <c r="AGD108" s="17"/>
      <c r="AGE108" s="17"/>
      <c r="AGF108" s="17"/>
      <c r="AGG108" s="17"/>
      <c r="AGH108" s="17"/>
      <c r="AGI108" s="17"/>
      <c r="AGJ108" s="17"/>
      <c r="AGK108" s="17"/>
      <c r="AGL108" s="17"/>
      <c r="AGM108" s="17"/>
      <c r="AGN108" s="17"/>
      <c r="AGO108" s="17"/>
      <c r="AGP108" s="17"/>
      <c r="AGQ108" s="17"/>
      <c r="AGR108" s="17"/>
      <c r="AGS108" s="17"/>
      <c r="AGT108" s="17"/>
      <c r="AGU108" s="17"/>
      <c r="AGV108" s="17"/>
      <c r="AGW108" s="17"/>
      <c r="AGX108" s="17"/>
      <c r="AGY108" s="17"/>
      <c r="AGZ108" s="17"/>
      <c r="AHA108" s="17"/>
      <c r="AHB108" s="17"/>
      <c r="AHC108" s="17"/>
      <c r="AHD108" s="17"/>
      <c r="AHE108" s="17"/>
      <c r="AHF108" s="17"/>
      <c r="AHG108" s="17"/>
      <c r="AHH108" s="17"/>
      <c r="AHI108" s="17"/>
      <c r="AHJ108" s="17"/>
      <c r="AHK108" s="17"/>
      <c r="AHL108" s="17"/>
      <c r="AHM108" s="17"/>
      <c r="AHN108" s="17"/>
      <c r="AHO108" s="17"/>
      <c r="AHP108" s="17"/>
      <c r="AHQ108" s="17"/>
      <c r="AHR108" s="17"/>
      <c r="AHS108" s="17"/>
      <c r="AHT108" s="17"/>
      <c r="AHU108" s="17"/>
      <c r="AHV108" s="17"/>
      <c r="AHW108" s="17"/>
      <c r="AHX108" s="17"/>
      <c r="AHY108" s="17"/>
      <c r="AHZ108" s="17"/>
      <c r="AIA108" s="17"/>
      <c r="AIB108" s="17"/>
      <c r="AIC108" s="17"/>
      <c r="AID108" s="17"/>
      <c r="AIE108" s="17"/>
      <c r="AIF108" s="17"/>
      <c r="AIG108" s="17"/>
      <c r="AIH108" s="17"/>
      <c r="AII108" s="17"/>
      <c r="AIJ108" s="17"/>
      <c r="AIK108" s="17"/>
      <c r="AIL108" s="17"/>
      <c r="AIM108" s="17"/>
      <c r="AIN108" s="17"/>
      <c r="AIO108" s="17"/>
      <c r="AIP108" s="17"/>
      <c r="AIQ108" s="17"/>
      <c r="AIR108" s="17"/>
      <c r="AIS108" s="17"/>
      <c r="AIT108" s="17"/>
      <c r="AIU108" s="17"/>
      <c r="AIV108" s="17"/>
      <c r="AIW108" s="17"/>
      <c r="AIX108" s="17"/>
      <c r="AIY108" s="17"/>
      <c r="AIZ108" s="17"/>
      <c r="AJA108" s="17"/>
      <c r="AJB108" s="17"/>
      <c r="AJC108" s="17"/>
      <c r="AJD108" s="17"/>
      <c r="AJE108" s="17"/>
      <c r="AJF108" s="17"/>
      <c r="AJG108" s="17"/>
      <c r="AJH108" s="17"/>
      <c r="AJI108" s="17"/>
      <c r="AJJ108" s="17"/>
      <c r="AJK108" s="17"/>
      <c r="AJL108" s="17"/>
      <c r="AJM108" s="17"/>
      <c r="AJN108" s="17"/>
      <c r="AJO108" s="17"/>
      <c r="AJP108" s="17"/>
      <c r="AJQ108" s="17"/>
      <c r="AJR108" s="17"/>
      <c r="AJS108" s="17"/>
      <c r="AJT108" s="17"/>
      <c r="AJU108" s="17"/>
      <c r="AJV108" s="17"/>
      <c r="AJW108" s="17"/>
      <c r="AJX108" s="17"/>
      <c r="AJY108" s="17"/>
      <c r="AJZ108" s="17"/>
      <c r="AKA108" s="17"/>
      <c r="AKB108" s="17"/>
      <c r="AKC108" s="17"/>
      <c r="AKD108" s="17"/>
      <c r="AKE108" s="17"/>
      <c r="AKF108" s="17"/>
      <c r="AKG108" s="17"/>
      <c r="AKH108" s="17"/>
      <c r="AKI108" s="17"/>
      <c r="AKJ108" s="17"/>
      <c r="AKK108" s="17"/>
      <c r="AKL108" s="17"/>
      <c r="AKM108" s="17"/>
      <c r="AKN108" s="17"/>
      <c r="AKO108" s="17"/>
      <c r="AKP108" s="17"/>
      <c r="AKQ108" s="17"/>
      <c r="AKR108" s="17"/>
      <c r="AKS108" s="17"/>
      <c r="AKT108" s="17"/>
      <c r="AKU108" s="17"/>
      <c r="AKV108" s="17"/>
      <c r="AKW108" s="17"/>
      <c r="AKX108" s="17"/>
      <c r="AKY108" s="17"/>
      <c r="AKZ108" s="17"/>
      <c r="ALA108" s="17"/>
      <c r="ALB108" s="17"/>
      <c r="ALC108" s="17"/>
      <c r="ALD108" s="17"/>
      <c r="ALE108" s="17"/>
      <c r="ALF108" s="17"/>
      <c r="ALG108" s="17"/>
      <c r="ALH108" s="17"/>
      <c r="ALI108" s="17"/>
      <c r="ALJ108" s="17"/>
      <c r="ALK108" s="17"/>
      <c r="ALL108" s="17"/>
      <c r="ALM108" s="17"/>
      <c r="ALN108" s="17"/>
      <c r="ALO108" s="17"/>
      <c r="ALP108" s="17"/>
      <c r="ALQ108" s="17"/>
      <c r="ALR108" s="17"/>
      <c r="ALS108" s="17"/>
      <c r="ALT108" s="17"/>
      <c r="ALU108" s="17"/>
      <c r="ALV108" s="17"/>
      <c r="ALW108" s="17"/>
      <c r="ALX108" s="17"/>
      <c r="ALY108" s="17"/>
      <c r="ALZ108" s="17"/>
      <c r="AMA108" s="17"/>
      <c r="AMB108" s="17"/>
      <c r="AMC108" s="17"/>
      <c r="AMD108" s="17"/>
      <c r="AME108" s="17"/>
      <c r="AMF108" s="17"/>
      <c r="AMG108" s="17"/>
      <c r="AMH108" s="17"/>
      <c r="AMI108" s="17"/>
      <c r="AMJ108" s="17"/>
      <c r="AMK108" s="17"/>
      <c r="AML108" s="17"/>
      <c r="AMM108" s="17"/>
      <c r="AMN108" s="17"/>
      <c r="AMO108" s="17"/>
      <c r="AMP108" s="17"/>
      <c r="AMQ108" s="17"/>
      <c r="AMR108" s="17"/>
      <c r="AMS108" s="17"/>
      <c r="AMT108" s="17"/>
      <c r="AMU108" s="17"/>
      <c r="AMV108" s="17"/>
      <c r="AMW108" s="17"/>
      <c r="AMX108" s="17"/>
      <c r="AMY108" s="17"/>
      <c r="AMZ108" s="17"/>
      <c r="ANA108" s="17"/>
      <c r="ANB108" s="17"/>
      <c r="ANC108" s="17"/>
      <c r="AND108" s="17"/>
      <c r="ANE108" s="17"/>
      <c r="ANF108" s="17"/>
      <c r="ANG108" s="17"/>
      <c r="ANH108" s="17"/>
      <c r="ANI108" s="17"/>
      <c r="ANJ108" s="17"/>
      <c r="ANK108" s="17"/>
      <c r="ANL108" s="17"/>
      <c r="ANM108" s="17"/>
      <c r="ANN108" s="17"/>
      <c r="ANO108" s="17"/>
      <c r="ANP108" s="17"/>
      <c r="ANQ108" s="17"/>
      <c r="ANR108" s="17"/>
      <c r="ANS108" s="17"/>
      <c r="ANT108" s="17"/>
      <c r="ANU108" s="17"/>
      <c r="ANV108" s="17"/>
      <c r="ANW108" s="17"/>
      <c r="ANX108" s="17"/>
      <c r="ANY108" s="17"/>
      <c r="ANZ108" s="17"/>
      <c r="AOA108" s="17"/>
      <c r="AOB108" s="17"/>
      <c r="AOC108" s="17"/>
      <c r="AOD108" s="17"/>
      <c r="AOE108" s="17"/>
      <c r="AOF108" s="17"/>
      <c r="AOG108" s="17"/>
      <c r="AOH108" s="17"/>
      <c r="AOI108" s="17"/>
      <c r="AOJ108" s="17"/>
      <c r="AOK108" s="17"/>
      <c r="AOL108" s="17"/>
      <c r="AOM108" s="17"/>
      <c r="AON108" s="17"/>
      <c r="AOO108" s="17"/>
      <c r="AOP108" s="17"/>
      <c r="AOQ108" s="17"/>
      <c r="AOR108" s="17"/>
      <c r="AOS108" s="17"/>
      <c r="AOT108" s="17"/>
      <c r="AOU108" s="17"/>
      <c r="AOV108" s="17"/>
      <c r="AOW108" s="17"/>
      <c r="AOX108" s="17"/>
      <c r="AOY108" s="17"/>
      <c r="AOZ108" s="17"/>
      <c r="APA108" s="17"/>
      <c r="APB108" s="17"/>
      <c r="APC108" s="17"/>
      <c r="APD108" s="17"/>
      <c r="APE108" s="17"/>
      <c r="APF108" s="17"/>
      <c r="APG108" s="17"/>
      <c r="APH108" s="17"/>
      <c r="API108" s="17"/>
      <c r="APJ108" s="17"/>
      <c r="APK108" s="17"/>
      <c r="APL108" s="17"/>
      <c r="APM108" s="17"/>
      <c r="APN108" s="17"/>
      <c r="APO108" s="17"/>
      <c r="APP108" s="17"/>
      <c r="APQ108" s="17"/>
      <c r="APR108" s="17"/>
      <c r="APS108" s="17"/>
      <c r="APT108" s="17"/>
      <c r="APU108" s="17"/>
      <c r="APV108" s="17"/>
      <c r="APW108" s="17"/>
      <c r="APX108" s="17"/>
      <c r="APY108" s="17"/>
      <c r="APZ108" s="17"/>
      <c r="AQA108" s="17"/>
      <c r="AQB108" s="17"/>
      <c r="AQC108" s="17"/>
      <c r="AQD108" s="17"/>
      <c r="AQE108" s="17"/>
      <c r="AQF108" s="17"/>
      <c r="AQG108" s="17"/>
      <c r="AQH108" s="17"/>
      <c r="AQI108" s="17"/>
      <c r="AQJ108" s="17"/>
      <c r="AQK108" s="17"/>
      <c r="AQL108" s="17"/>
      <c r="AQM108" s="17"/>
      <c r="AQN108" s="17"/>
      <c r="AQO108" s="17"/>
      <c r="AQP108" s="17"/>
      <c r="AQQ108" s="17"/>
      <c r="AQR108" s="17"/>
      <c r="AQS108" s="17"/>
      <c r="AQT108" s="17"/>
      <c r="AQU108" s="17"/>
      <c r="AQV108" s="17"/>
      <c r="AQW108" s="17"/>
      <c r="AQX108" s="17"/>
      <c r="AQY108" s="17"/>
      <c r="AQZ108" s="17"/>
      <c r="ARA108" s="17"/>
      <c r="ARB108" s="17"/>
      <c r="ARC108" s="17"/>
      <c r="ARD108" s="17"/>
      <c r="ARE108" s="17"/>
      <c r="ARF108" s="17"/>
      <c r="ARG108" s="17"/>
      <c r="ARH108" s="17"/>
      <c r="ARI108" s="17"/>
      <c r="ARJ108" s="17"/>
      <c r="ARK108" s="17"/>
      <c r="ARL108" s="17"/>
      <c r="ARM108" s="17"/>
      <c r="ARN108" s="17"/>
      <c r="ARO108" s="17"/>
      <c r="ARP108" s="17"/>
      <c r="ARQ108" s="17"/>
      <c r="ARR108" s="17"/>
      <c r="ARS108" s="17"/>
      <c r="ART108" s="17"/>
      <c r="ARU108" s="17"/>
      <c r="ARV108" s="17"/>
      <c r="ARW108" s="17"/>
      <c r="ARX108" s="17"/>
      <c r="ARY108" s="17"/>
      <c r="ARZ108" s="17"/>
      <c r="ASA108" s="17"/>
      <c r="ASB108" s="17"/>
      <c r="ASC108" s="17"/>
      <c r="ASD108" s="17"/>
      <c r="ASE108" s="17"/>
      <c r="ASF108" s="17"/>
      <c r="ASG108" s="17"/>
      <c r="ASH108" s="17"/>
      <c r="ASI108" s="17"/>
      <c r="ASJ108" s="17"/>
      <c r="ASK108" s="17"/>
      <c r="ASL108" s="17"/>
      <c r="ASM108" s="17"/>
      <c r="ASN108" s="17"/>
      <c r="ASO108" s="17"/>
      <c r="ASP108" s="17"/>
      <c r="ASQ108" s="17"/>
      <c r="ASR108" s="17"/>
      <c r="ASS108" s="17"/>
      <c r="AST108" s="17"/>
      <c r="ASU108" s="17"/>
      <c r="ASV108" s="17"/>
      <c r="ASW108" s="17"/>
      <c r="ASX108" s="17"/>
      <c r="ASY108" s="17"/>
      <c r="ASZ108" s="17"/>
      <c r="ATA108" s="17"/>
      <c r="ATB108" s="17"/>
      <c r="ATC108" s="17"/>
      <c r="ATD108" s="17"/>
      <c r="ATE108" s="17"/>
      <c r="ATF108" s="17"/>
      <c r="ATG108" s="17"/>
      <c r="ATH108" s="17"/>
      <c r="ATI108" s="17"/>
      <c r="ATJ108" s="17"/>
      <c r="ATK108" s="17"/>
      <c r="ATL108" s="17"/>
      <c r="ATM108" s="17"/>
      <c r="ATN108" s="17"/>
      <c r="ATO108" s="17"/>
      <c r="ATP108" s="17"/>
      <c r="ATQ108" s="17"/>
      <c r="ATR108" s="17"/>
      <c r="ATS108" s="17"/>
      <c r="ATT108" s="17"/>
      <c r="ATU108" s="17"/>
      <c r="ATV108" s="17"/>
      <c r="ATW108" s="17"/>
      <c r="ATX108" s="17"/>
      <c r="ATY108" s="17"/>
      <c r="ATZ108" s="17"/>
      <c r="AUA108" s="17"/>
      <c r="AUB108" s="17"/>
      <c r="AUC108" s="17"/>
      <c r="AUD108" s="17"/>
      <c r="AUE108" s="17"/>
      <c r="AUF108" s="17"/>
      <c r="AUG108" s="17"/>
      <c r="AUH108" s="17"/>
      <c r="AUI108" s="17"/>
      <c r="AUJ108" s="17"/>
      <c r="AUK108" s="17"/>
      <c r="AUL108" s="17"/>
      <c r="AUM108" s="17"/>
      <c r="AUN108" s="17"/>
      <c r="AUO108" s="17"/>
      <c r="AUP108" s="17"/>
      <c r="AUQ108" s="17"/>
      <c r="AUR108" s="17"/>
      <c r="AUS108" s="17"/>
      <c r="AUT108" s="17"/>
      <c r="AUU108" s="17"/>
      <c r="AUV108" s="17"/>
      <c r="AUW108" s="17"/>
      <c r="AUX108" s="17"/>
      <c r="AUY108" s="17"/>
      <c r="AUZ108" s="17"/>
      <c r="AVA108" s="17"/>
      <c r="AVB108" s="17"/>
      <c r="AVC108" s="17"/>
      <c r="AVD108" s="17"/>
      <c r="AVE108" s="17"/>
      <c r="AVF108" s="17"/>
      <c r="AVG108" s="17"/>
      <c r="AVH108" s="17"/>
      <c r="AVI108" s="17"/>
      <c r="AVJ108" s="17"/>
      <c r="AVK108" s="17"/>
      <c r="AVL108" s="17"/>
      <c r="AVM108" s="17"/>
      <c r="AVN108" s="17"/>
      <c r="AVO108" s="17"/>
      <c r="AVP108" s="17"/>
      <c r="AVQ108" s="17"/>
      <c r="AVR108" s="17"/>
      <c r="AVS108" s="17"/>
      <c r="AVT108" s="17"/>
      <c r="AVU108" s="17"/>
      <c r="AVV108" s="17"/>
      <c r="AVW108" s="17"/>
      <c r="AVX108" s="17"/>
      <c r="AVY108" s="17"/>
      <c r="AVZ108" s="17"/>
      <c r="AWA108" s="17"/>
      <c r="AWB108" s="17"/>
      <c r="AWC108" s="17"/>
      <c r="AWD108" s="17"/>
      <c r="AWE108" s="17"/>
      <c r="AWF108" s="17"/>
      <c r="AWG108" s="17"/>
      <c r="AWH108" s="17"/>
      <c r="AWI108" s="17"/>
      <c r="AWJ108" s="17"/>
      <c r="AWK108" s="17"/>
      <c r="AWL108" s="17"/>
      <c r="AWM108" s="17"/>
      <c r="AWN108" s="17"/>
      <c r="AWO108" s="17"/>
      <c r="AWP108" s="17"/>
      <c r="AWQ108" s="17"/>
      <c r="AWR108" s="17"/>
      <c r="AWS108" s="17"/>
      <c r="AWT108" s="17"/>
      <c r="AWU108" s="17"/>
      <c r="AWV108" s="17"/>
      <c r="AWW108" s="17"/>
      <c r="AWX108" s="17"/>
      <c r="AWY108" s="17"/>
      <c r="AWZ108" s="17"/>
      <c r="AXA108" s="17"/>
      <c r="AXB108" s="17"/>
      <c r="AXC108" s="17"/>
      <c r="AXD108" s="17"/>
      <c r="AXE108" s="17"/>
      <c r="AXF108" s="17"/>
      <c r="AXG108" s="17"/>
      <c r="AXH108" s="17"/>
      <c r="AXI108" s="17"/>
      <c r="AXJ108" s="17"/>
      <c r="AXK108" s="17"/>
      <c r="AXL108" s="17"/>
      <c r="AXM108" s="17"/>
      <c r="AXN108" s="17"/>
      <c r="AXO108" s="17"/>
      <c r="AXP108" s="17"/>
      <c r="AXQ108" s="17"/>
      <c r="AXR108" s="17"/>
      <c r="AXS108" s="17"/>
      <c r="AXT108" s="17"/>
      <c r="AXU108" s="17"/>
      <c r="AXV108" s="17"/>
      <c r="AXW108" s="17"/>
      <c r="AXX108" s="17"/>
      <c r="AXY108" s="17"/>
      <c r="AXZ108" s="17"/>
      <c r="AYA108" s="17"/>
      <c r="AYB108" s="17"/>
      <c r="AYC108" s="17"/>
      <c r="AYD108" s="17"/>
      <c r="AYE108" s="17"/>
      <c r="AYF108" s="17"/>
      <c r="AYG108" s="17"/>
      <c r="AYH108" s="17"/>
      <c r="AYI108" s="17"/>
      <c r="AYJ108" s="17"/>
      <c r="AYK108" s="17"/>
      <c r="AYL108" s="17"/>
      <c r="AYM108" s="17"/>
      <c r="AYN108" s="17"/>
      <c r="AYO108" s="17"/>
      <c r="AYP108" s="17"/>
      <c r="AYQ108" s="17"/>
      <c r="AYR108" s="17"/>
      <c r="AYS108" s="17"/>
      <c r="AYT108" s="17"/>
      <c r="AYU108" s="17"/>
      <c r="AYV108" s="17"/>
      <c r="AYW108" s="17"/>
      <c r="AYX108" s="17"/>
      <c r="AYY108" s="17"/>
      <c r="AYZ108" s="17"/>
      <c r="AZA108" s="17"/>
      <c r="AZB108" s="17"/>
      <c r="AZC108" s="17"/>
      <c r="AZD108" s="17"/>
      <c r="AZE108" s="17"/>
      <c r="AZF108" s="17"/>
      <c r="AZG108" s="17"/>
      <c r="AZH108" s="17"/>
      <c r="AZI108" s="17"/>
      <c r="AZJ108" s="17"/>
      <c r="AZK108" s="17"/>
      <c r="AZL108" s="17"/>
      <c r="AZM108" s="17"/>
      <c r="AZN108" s="17"/>
      <c r="AZO108" s="17"/>
      <c r="AZP108" s="17"/>
      <c r="AZQ108" s="17"/>
      <c r="AZR108" s="17"/>
      <c r="AZS108" s="17"/>
      <c r="AZT108" s="17"/>
      <c r="AZU108" s="17"/>
      <c r="AZV108" s="17"/>
      <c r="AZW108" s="17"/>
      <c r="AZX108" s="17"/>
      <c r="AZY108" s="17"/>
      <c r="AZZ108" s="17"/>
      <c r="BAA108" s="17"/>
      <c r="BAB108" s="17"/>
      <c r="BAC108" s="17"/>
      <c r="BAD108" s="17"/>
      <c r="BAE108" s="17"/>
      <c r="BAF108" s="17"/>
      <c r="BAG108" s="17"/>
      <c r="BAH108" s="17"/>
      <c r="BAI108" s="17"/>
      <c r="BAJ108" s="17"/>
      <c r="BAK108" s="17"/>
      <c r="BAL108" s="17"/>
      <c r="BAM108" s="17"/>
      <c r="BAN108" s="17"/>
      <c r="BAO108" s="17"/>
      <c r="BAP108" s="17"/>
      <c r="BAQ108" s="17"/>
      <c r="BAR108" s="17"/>
      <c r="BAS108" s="17"/>
      <c r="BAT108" s="17"/>
      <c r="BAU108" s="17"/>
      <c r="BAV108" s="17"/>
      <c r="BAW108" s="17"/>
      <c r="BAX108" s="17"/>
      <c r="BAY108" s="17"/>
      <c r="BAZ108" s="17"/>
      <c r="BBA108" s="17"/>
      <c r="BBB108" s="17"/>
      <c r="BBC108" s="17"/>
      <c r="BBD108" s="17"/>
      <c r="BBE108" s="17"/>
      <c r="BBF108" s="17"/>
      <c r="BBG108" s="17"/>
      <c r="BBH108" s="17"/>
      <c r="BBI108" s="17"/>
      <c r="BBJ108" s="17"/>
      <c r="BBK108" s="17"/>
      <c r="BBL108" s="17"/>
      <c r="BBM108" s="17"/>
      <c r="BBN108" s="17"/>
      <c r="BBO108" s="17"/>
      <c r="BBP108" s="17"/>
      <c r="BBQ108" s="17"/>
      <c r="BBR108" s="17"/>
      <c r="BBS108" s="17"/>
      <c r="BBT108" s="17"/>
      <c r="BBU108" s="17"/>
      <c r="BBV108" s="17"/>
      <c r="BBW108" s="17"/>
      <c r="BBX108" s="17"/>
      <c r="BBY108" s="17"/>
      <c r="BBZ108" s="17"/>
      <c r="BCA108" s="17"/>
      <c r="BCB108" s="17"/>
      <c r="BCC108" s="17"/>
      <c r="BCD108" s="17"/>
      <c r="BCE108" s="17"/>
      <c r="BCF108" s="17"/>
      <c r="BCG108" s="17"/>
      <c r="BCH108" s="17"/>
      <c r="BCI108" s="17"/>
      <c r="BCJ108" s="17"/>
      <c r="BCK108" s="17"/>
      <c r="BCL108" s="17"/>
      <c r="BCM108" s="17"/>
      <c r="BCN108" s="17"/>
      <c r="BCO108" s="17"/>
      <c r="BCP108" s="17"/>
      <c r="BCQ108" s="17"/>
      <c r="BCR108" s="17"/>
      <c r="BCS108" s="17"/>
      <c r="BCT108" s="17"/>
      <c r="BCU108" s="17"/>
      <c r="BCV108" s="17"/>
      <c r="BCW108" s="17"/>
      <c r="BCX108" s="17"/>
      <c r="BCY108" s="17"/>
      <c r="BCZ108" s="17"/>
      <c r="BDA108" s="17"/>
      <c r="BDB108" s="17"/>
      <c r="BDC108" s="17"/>
      <c r="BDD108" s="17"/>
      <c r="BDE108" s="17"/>
      <c r="BDF108" s="17"/>
      <c r="BDG108" s="17"/>
      <c r="BDH108" s="17"/>
      <c r="BDI108" s="17"/>
      <c r="BDJ108" s="17"/>
      <c r="BDK108" s="17"/>
      <c r="BDL108" s="17"/>
      <c r="BDM108" s="17"/>
      <c r="BDN108" s="17"/>
      <c r="BDO108" s="17"/>
      <c r="BDP108" s="17"/>
      <c r="BDQ108" s="17"/>
      <c r="BDR108" s="17"/>
      <c r="BDS108" s="17"/>
      <c r="BDT108" s="17"/>
      <c r="BDU108" s="17"/>
      <c r="BDV108" s="17"/>
      <c r="BDW108" s="17"/>
      <c r="BDX108" s="17"/>
      <c r="BDY108" s="17"/>
      <c r="BDZ108" s="17"/>
      <c r="BEA108" s="17"/>
      <c r="BEB108" s="17"/>
      <c r="BEC108" s="17"/>
      <c r="BED108" s="17"/>
      <c r="BEE108" s="17"/>
      <c r="BEF108" s="17"/>
      <c r="BEG108" s="17"/>
      <c r="BEH108" s="17"/>
      <c r="BEI108" s="17"/>
      <c r="BEJ108" s="17"/>
      <c r="BEK108" s="17"/>
      <c r="BEL108" s="17"/>
      <c r="BEM108" s="17"/>
      <c r="BEN108" s="17"/>
      <c r="BEO108" s="17"/>
      <c r="BEP108" s="17"/>
      <c r="BEQ108" s="17"/>
      <c r="BER108" s="17"/>
      <c r="BES108" s="17"/>
      <c r="BET108" s="17"/>
      <c r="BEU108" s="17"/>
      <c r="BEV108" s="17"/>
      <c r="BEW108" s="17"/>
      <c r="BEX108" s="17"/>
      <c r="BEY108" s="17"/>
      <c r="BEZ108" s="17"/>
      <c r="BFA108" s="17"/>
      <c r="BFB108" s="17"/>
      <c r="BFC108" s="17"/>
      <c r="BFD108" s="17"/>
      <c r="BFE108" s="17"/>
      <c r="BFF108" s="17"/>
      <c r="BFG108" s="17"/>
      <c r="BFH108" s="17"/>
      <c r="BFI108" s="17"/>
      <c r="BFJ108" s="17"/>
      <c r="BFK108" s="17"/>
      <c r="BFL108" s="17"/>
      <c r="BFM108" s="17"/>
      <c r="BFN108" s="17"/>
      <c r="BFO108" s="17"/>
      <c r="BFP108" s="17"/>
      <c r="BFQ108" s="17"/>
      <c r="BFR108" s="17"/>
      <c r="BFS108" s="17"/>
      <c r="BFT108" s="17"/>
      <c r="BFU108" s="17"/>
      <c r="BFV108" s="17"/>
      <c r="BFW108" s="17"/>
      <c r="BFX108" s="17"/>
      <c r="BFY108" s="17"/>
      <c r="BFZ108" s="17"/>
      <c r="BGA108" s="17"/>
      <c r="BGB108" s="17"/>
      <c r="BGC108" s="17"/>
      <c r="BGD108" s="17"/>
      <c r="BGE108" s="17"/>
      <c r="BGF108" s="17"/>
      <c r="BGG108" s="17"/>
      <c r="BGH108" s="17"/>
      <c r="BGI108" s="17"/>
      <c r="BGJ108" s="17"/>
      <c r="BGK108" s="17"/>
      <c r="BGL108" s="17"/>
      <c r="BGM108" s="17"/>
      <c r="BGN108" s="17"/>
      <c r="BGO108" s="17"/>
      <c r="BGP108" s="17"/>
      <c r="BGQ108" s="17"/>
      <c r="BGR108" s="17"/>
      <c r="BGS108" s="17"/>
      <c r="BGT108" s="17"/>
      <c r="BGU108" s="17"/>
      <c r="BGV108" s="17"/>
      <c r="BGW108" s="17"/>
      <c r="BGX108" s="17"/>
      <c r="BGY108" s="17"/>
      <c r="BGZ108" s="17"/>
      <c r="BHA108" s="17"/>
      <c r="BHB108" s="17"/>
      <c r="BHC108" s="17"/>
      <c r="BHD108" s="17"/>
      <c r="BHE108" s="17"/>
      <c r="BHF108" s="17"/>
      <c r="BHG108" s="17"/>
      <c r="BHH108" s="17"/>
      <c r="BHI108" s="17"/>
      <c r="BHJ108" s="17"/>
      <c r="BHK108" s="17"/>
      <c r="BHL108" s="17"/>
      <c r="BHM108" s="17"/>
      <c r="BHN108" s="17"/>
      <c r="BHO108" s="17"/>
      <c r="BHP108" s="17"/>
      <c r="BHQ108" s="17"/>
      <c r="BHR108" s="17"/>
      <c r="BHS108" s="17"/>
      <c r="BHT108" s="17"/>
      <c r="BHU108" s="17"/>
      <c r="BHV108" s="17"/>
      <c r="BHW108" s="17"/>
      <c r="BHX108" s="17"/>
      <c r="BHY108" s="17"/>
      <c r="BHZ108" s="17"/>
      <c r="BIA108" s="17"/>
      <c r="BIB108" s="17"/>
      <c r="BIC108" s="17"/>
      <c r="BID108" s="17"/>
      <c r="BIE108" s="17"/>
      <c r="BIF108" s="17"/>
      <c r="BIG108" s="17"/>
      <c r="BIH108" s="17"/>
      <c r="BII108" s="17"/>
      <c r="BIJ108" s="17"/>
      <c r="BIK108" s="17"/>
      <c r="BIL108" s="17"/>
      <c r="BIM108" s="17"/>
      <c r="BIN108" s="17"/>
      <c r="BIO108" s="17"/>
      <c r="BIP108" s="17"/>
      <c r="BIQ108" s="17"/>
      <c r="BIR108" s="17"/>
      <c r="BIS108" s="17"/>
      <c r="BIT108" s="17"/>
      <c r="BIU108" s="17"/>
      <c r="BIV108" s="17"/>
      <c r="BIW108" s="17"/>
      <c r="BIX108" s="17"/>
      <c r="BIY108" s="17"/>
      <c r="BIZ108" s="17"/>
      <c r="BJA108" s="17"/>
      <c r="BJB108" s="17"/>
      <c r="BJC108" s="17"/>
      <c r="BJD108" s="17"/>
      <c r="BJE108" s="17"/>
      <c r="BJF108" s="17"/>
      <c r="BJG108" s="17"/>
      <c r="BJH108" s="17"/>
      <c r="BJI108" s="17"/>
      <c r="BJJ108" s="17"/>
      <c r="BJK108" s="17"/>
      <c r="BJL108" s="17"/>
      <c r="BJM108" s="17"/>
      <c r="BJN108" s="17"/>
      <c r="BJO108" s="17"/>
      <c r="BJP108" s="17"/>
      <c r="BJQ108" s="17"/>
      <c r="BJR108" s="17"/>
      <c r="BJS108" s="17"/>
      <c r="BJT108" s="17"/>
      <c r="BJU108" s="17"/>
      <c r="BJV108" s="17"/>
      <c r="BJW108" s="17"/>
      <c r="BJX108" s="17"/>
      <c r="BJY108" s="17"/>
      <c r="BJZ108" s="17"/>
      <c r="BKA108" s="17"/>
      <c r="BKB108" s="17"/>
      <c r="BKC108" s="17"/>
      <c r="BKD108" s="17"/>
      <c r="BKE108" s="17"/>
      <c r="BKF108" s="17"/>
      <c r="BKG108" s="17"/>
      <c r="BKH108" s="17"/>
      <c r="BKI108" s="17"/>
      <c r="BKJ108" s="17"/>
      <c r="BKK108" s="17"/>
      <c r="BKL108" s="17"/>
      <c r="BKM108" s="17"/>
      <c r="BKN108" s="17"/>
      <c r="BKO108" s="17"/>
      <c r="BKP108" s="17"/>
      <c r="BKQ108" s="17"/>
      <c r="BKR108" s="17"/>
      <c r="BKS108" s="17"/>
      <c r="BKT108" s="17"/>
      <c r="BKU108" s="17"/>
      <c r="BKV108" s="17"/>
      <c r="BKW108" s="17"/>
      <c r="BKX108" s="17"/>
      <c r="BKY108" s="17"/>
      <c r="BKZ108" s="17"/>
      <c r="BLA108" s="17"/>
      <c r="BLB108" s="17"/>
      <c r="BLC108" s="17"/>
      <c r="BLD108" s="17"/>
      <c r="BLE108" s="17"/>
      <c r="BLF108" s="17"/>
      <c r="BLG108" s="17"/>
      <c r="BLH108" s="17"/>
      <c r="BLI108" s="17"/>
      <c r="BLJ108" s="17"/>
      <c r="BLK108" s="17"/>
      <c r="BLL108" s="17"/>
      <c r="BLM108" s="17"/>
      <c r="BLN108" s="17"/>
      <c r="BLO108" s="17"/>
      <c r="BLP108" s="17"/>
      <c r="BLQ108" s="17"/>
      <c r="BLR108" s="17"/>
      <c r="BLS108" s="17"/>
      <c r="BLT108" s="17"/>
      <c r="BLU108" s="17"/>
      <c r="BLV108" s="17"/>
      <c r="BLW108" s="17"/>
      <c r="BLX108" s="17"/>
      <c r="BLY108" s="17"/>
      <c r="BLZ108" s="17"/>
      <c r="BMA108" s="17"/>
      <c r="BMB108" s="17"/>
      <c r="BMC108" s="17"/>
      <c r="BMD108" s="17"/>
      <c r="BME108" s="17"/>
      <c r="BMF108" s="17"/>
      <c r="BMG108" s="17"/>
      <c r="BMH108" s="17"/>
      <c r="BMI108" s="17"/>
      <c r="BMJ108" s="17"/>
      <c r="BMK108" s="17"/>
      <c r="BML108" s="17"/>
      <c r="BMM108" s="17"/>
      <c r="BMN108" s="17"/>
      <c r="BMO108" s="17"/>
      <c r="BMP108" s="17"/>
      <c r="BMQ108" s="17"/>
      <c r="BMR108" s="17"/>
      <c r="BMS108" s="17"/>
      <c r="BMT108" s="17"/>
      <c r="BMU108" s="17"/>
      <c r="BMV108" s="17"/>
      <c r="BMW108" s="17"/>
      <c r="BMX108" s="17"/>
      <c r="BMY108" s="17"/>
      <c r="BMZ108" s="17"/>
      <c r="BNA108" s="17"/>
      <c r="BNB108" s="17"/>
      <c r="BNC108" s="17"/>
      <c r="BND108" s="17"/>
      <c r="BNE108" s="17"/>
      <c r="BNF108" s="17"/>
      <c r="BNG108" s="17"/>
      <c r="BNH108" s="17"/>
      <c r="BNI108" s="17"/>
      <c r="BNJ108" s="17"/>
      <c r="BNK108" s="17"/>
      <c r="BNL108" s="17"/>
      <c r="BNM108" s="17"/>
      <c r="BNN108" s="17"/>
      <c r="BNO108" s="17"/>
      <c r="BNP108" s="17"/>
      <c r="BNQ108" s="17"/>
      <c r="BNR108" s="17"/>
      <c r="BNS108" s="17"/>
      <c r="BNT108" s="17"/>
      <c r="BNU108" s="17"/>
      <c r="BNV108" s="17"/>
      <c r="BNW108" s="17"/>
      <c r="BNX108" s="17"/>
      <c r="BNY108" s="17"/>
      <c r="BNZ108" s="17"/>
      <c r="BOA108" s="17"/>
      <c r="BOB108" s="17"/>
      <c r="BOC108" s="17"/>
      <c r="BOD108" s="17"/>
      <c r="BOE108" s="17"/>
      <c r="BOF108" s="17"/>
      <c r="BOG108" s="17"/>
      <c r="BOH108" s="17"/>
      <c r="BOI108" s="17"/>
      <c r="BOJ108" s="17"/>
      <c r="BOK108" s="17"/>
      <c r="BOL108" s="17"/>
      <c r="BOM108" s="17"/>
      <c r="BON108" s="17"/>
      <c r="BOO108" s="17"/>
      <c r="BOP108" s="17"/>
      <c r="BOQ108" s="17"/>
      <c r="BOR108" s="17"/>
      <c r="BOS108" s="17"/>
      <c r="BOT108" s="17"/>
      <c r="BOU108" s="17"/>
      <c r="BOV108" s="17"/>
      <c r="BOW108" s="17"/>
      <c r="BOX108" s="17"/>
      <c r="BOY108" s="17"/>
      <c r="BOZ108" s="17"/>
      <c r="BPA108" s="17"/>
      <c r="BPB108" s="17"/>
      <c r="BPC108" s="17"/>
      <c r="BPD108" s="17"/>
      <c r="BPE108" s="17"/>
      <c r="BPF108" s="17"/>
      <c r="BPG108" s="17"/>
      <c r="BPH108" s="17"/>
      <c r="BPI108" s="17"/>
      <c r="BPJ108" s="17"/>
      <c r="BPK108" s="17"/>
      <c r="BPL108" s="17"/>
      <c r="BPM108" s="17"/>
      <c r="BPN108" s="17"/>
      <c r="BPO108" s="17"/>
      <c r="BPP108" s="17"/>
      <c r="BPQ108" s="17"/>
      <c r="BPR108" s="17"/>
      <c r="BPS108" s="17"/>
      <c r="BPT108" s="17"/>
      <c r="BPU108" s="17"/>
      <c r="BPV108" s="17"/>
      <c r="BPW108" s="17"/>
      <c r="BPX108" s="17"/>
      <c r="BPY108" s="17"/>
      <c r="BPZ108" s="17"/>
      <c r="BQA108" s="17"/>
      <c r="BQB108" s="17"/>
      <c r="BQC108" s="17"/>
      <c r="BQD108" s="17"/>
      <c r="BQE108" s="17"/>
      <c r="BQF108" s="17"/>
      <c r="BQG108" s="17"/>
      <c r="BQH108" s="17"/>
      <c r="BQI108" s="17"/>
      <c r="BQJ108" s="17"/>
      <c r="BQK108" s="17"/>
      <c r="BQL108" s="17"/>
      <c r="BQM108" s="17"/>
      <c r="BQN108" s="17"/>
      <c r="BQO108" s="17"/>
      <c r="BQP108" s="17"/>
      <c r="BQQ108" s="17"/>
      <c r="BQR108" s="17"/>
      <c r="BQS108" s="17"/>
      <c r="BQT108" s="17"/>
      <c r="BQU108" s="17"/>
      <c r="BQV108" s="17"/>
      <c r="BQW108" s="17"/>
      <c r="BQX108" s="17"/>
      <c r="BQY108" s="17"/>
      <c r="BQZ108" s="17"/>
      <c r="BRA108" s="17"/>
      <c r="BRB108" s="17"/>
      <c r="BRC108" s="17"/>
      <c r="BRD108" s="17"/>
      <c r="BRE108" s="17"/>
      <c r="BRF108" s="17"/>
      <c r="BRG108" s="17"/>
      <c r="BRH108" s="17"/>
      <c r="BRI108" s="17"/>
      <c r="BRJ108" s="17"/>
      <c r="BRK108" s="17"/>
      <c r="BRL108" s="17"/>
      <c r="BRM108" s="17"/>
      <c r="BRN108" s="17"/>
      <c r="BRO108" s="17"/>
      <c r="BRP108" s="17"/>
      <c r="BRQ108" s="17"/>
      <c r="BRR108" s="17"/>
      <c r="BRS108" s="17"/>
      <c r="BRT108" s="17"/>
      <c r="BRU108" s="17"/>
      <c r="BRV108" s="17"/>
      <c r="BRW108" s="17"/>
      <c r="BRX108" s="17"/>
      <c r="BRY108" s="17"/>
      <c r="BRZ108" s="17"/>
      <c r="BSA108" s="17"/>
      <c r="BSB108" s="17"/>
      <c r="BSC108" s="17"/>
      <c r="BSD108" s="17"/>
      <c r="BSE108" s="17"/>
      <c r="BSF108" s="17"/>
      <c r="BSG108" s="17"/>
      <c r="BSH108" s="17"/>
      <c r="BSI108" s="17"/>
      <c r="BSJ108" s="17"/>
      <c r="BSK108" s="17"/>
      <c r="BSL108" s="17"/>
      <c r="BSM108" s="17"/>
      <c r="BSN108" s="17"/>
      <c r="BSO108" s="17"/>
      <c r="BSP108" s="17"/>
      <c r="BSQ108" s="17"/>
      <c r="BSR108" s="17"/>
      <c r="BSS108" s="17"/>
      <c r="BST108" s="17"/>
      <c r="BSU108" s="17"/>
      <c r="BSV108" s="17"/>
      <c r="BSW108" s="17"/>
      <c r="BSX108" s="17"/>
      <c r="BSY108" s="17"/>
      <c r="BSZ108" s="17"/>
      <c r="BTA108" s="17"/>
      <c r="BTB108" s="17"/>
      <c r="BTC108" s="17"/>
      <c r="BTD108" s="17"/>
      <c r="BTE108" s="17"/>
      <c r="BTF108" s="17"/>
      <c r="BTG108" s="17"/>
      <c r="BTH108" s="17"/>
      <c r="BTI108" s="17"/>
      <c r="BTJ108" s="17"/>
      <c r="BTK108" s="17"/>
      <c r="BTL108" s="17"/>
      <c r="BTM108" s="17"/>
      <c r="BTN108" s="17"/>
      <c r="BTO108" s="17"/>
      <c r="BTP108" s="17"/>
      <c r="BTQ108" s="17"/>
      <c r="BTR108" s="17"/>
      <c r="BTS108" s="17"/>
      <c r="BTT108" s="17"/>
      <c r="BTU108" s="17"/>
      <c r="BTV108" s="17"/>
      <c r="BTW108" s="17"/>
      <c r="BTX108" s="17"/>
      <c r="BTY108" s="17"/>
      <c r="BTZ108" s="17"/>
      <c r="BUA108" s="17"/>
      <c r="BUB108" s="17"/>
      <c r="BUC108" s="17"/>
      <c r="BUD108" s="17"/>
      <c r="BUE108" s="17"/>
      <c r="BUF108" s="17"/>
      <c r="BUG108" s="17"/>
      <c r="BUH108" s="17"/>
      <c r="BUI108" s="17"/>
      <c r="BUJ108" s="17"/>
      <c r="BUK108" s="17"/>
      <c r="BUL108" s="17"/>
      <c r="BUM108" s="17"/>
      <c r="BUN108" s="17"/>
      <c r="BUO108" s="17"/>
      <c r="BUP108" s="17"/>
      <c r="BUQ108" s="17"/>
      <c r="BUR108" s="17"/>
      <c r="BUS108" s="17"/>
      <c r="BUT108" s="17"/>
      <c r="BUU108" s="17"/>
      <c r="BUV108" s="17"/>
      <c r="BUW108" s="17"/>
      <c r="BUX108" s="17"/>
      <c r="BUY108" s="17"/>
      <c r="BUZ108" s="17"/>
      <c r="BVA108" s="17"/>
      <c r="BVB108" s="17"/>
      <c r="BVC108" s="17"/>
      <c r="BVD108" s="17"/>
      <c r="BVE108" s="17"/>
      <c r="BVF108" s="17"/>
      <c r="BVG108" s="17"/>
      <c r="BVH108" s="17"/>
      <c r="BVI108" s="17"/>
      <c r="BVJ108" s="17"/>
      <c r="BVK108" s="17"/>
      <c r="BVL108" s="17"/>
      <c r="BVM108" s="17"/>
      <c r="BVN108" s="17"/>
      <c r="BVO108" s="17"/>
      <c r="BVP108" s="17"/>
      <c r="BVQ108" s="17"/>
      <c r="BVR108" s="17"/>
      <c r="BVS108" s="17"/>
      <c r="BVT108" s="17"/>
      <c r="BVU108" s="17"/>
      <c r="BVV108" s="17"/>
      <c r="BVW108" s="17"/>
      <c r="BVX108" s="17"/>
      <c r="BVY108" s="17"/>
      <c r="BVZ108" s="17"/>
      <c r="BWA108" s="17"/>
      <c r="BWB108" s="17"/>
      <c r="BWC108" s="17"/>
      <c r="BWD108" s="17"/>
      <c r="BWE108" s="17"/>
      <c r="BWF108" s="17"/>
      <c r="BWG108" s="17"/>
      <c r="BWH108" s="17"/>
      <c r="BWI108" s="17"/>
      <c r="BWJ108" s="17"/>
      <c r="BWK108" s="17"/>
      <c r="BWL108" s="17"/>
      <c r="BWM108" s="17"/>
      <c r="BWN108" s="17"/>
      <c r="BWO108" s="17"/>
      <c r="BWP108" s="17"/>
      <c r="BWQ108" s="17"/>
      <c r="BWR108" s="17"/>
      <c r="BWS108" s="17"/>
      <c r="BWT108" s="17"/>
      <c r="BWU108" s="17"/>
      <c r="BWV108" s="17"/>
      <c r="BWW108" s="17"/>
      <c r="BWX108" s="17"/>
      <c r="BWY108" s="17"/>
      <c r="BWZ108" s="17"/>
      <c r="BXA108" s="17"/>
      <c r="BXB108" s="17"/>
      <c r="BXC108" s="17"/>
      <c r="BXD108" s="17"/>
      <c r="BXE108" s="17"/>
      <c r="BXF108" s="17"/>
      <c r="BXG108" s="17"/>
      <c r="BXH108" s="17"/>
      <c r="BXI108" s="17"/>
      <c r="BXJ108" s="17"/>
      <c r="BXK108" s="17"/>
      <c r="BXL108" s="17"/>
      <c r="BXM108" s="17"/>
      <c r="BXN108" s="17"/>
      <c r="BXO108" s="17"/>
      <c r="BXP108" s="17"/>
      <c r="BXQ108" s="17"/>
      <c r="BXR108" s="17"/>
      <c r="BXS108" s="17"/>
      <c r="BXT108" s="17"/>
      <c r="BXU108" s="17"/>
      <c r="BXV108" s="17"/>
      <c r="BXW108" s="17"/>
      <c r="BXX108" s="17"/>
      <c r="BXY108" s="17"/>
      <c r="BXZ108" s="17"/>
      <c r="BYA108" s="17"/>
      <c r="BYB108" s="17"/>
      <c r="BYC108" s="17"/>
      <c r="BYD108" s="17"/>
      <c r="BYE108" s="17"/>
      <c r="BYF108" s="17"/>
      <c r="BYG108" s="17"/>
      <c r="BYH108" s="17"/>
      <c r="BYI108" s="17"/>
      <c r="BYJ108" s="17"/>
      <c r="BYK108" s="17"/>
      <c r="BYL108" s="17"/>
      <c r="BYM108" s="17"/>
      <c r="BYN108" s="17"/>
      <c r="BYO108" s="17"/>
      <c r="BYP108" s="17"/>
      <c r="BYQ108" s="17"/>
      <c r="BYR108" s="17"/>
      <c r="BYS108" s="17"/>
      <c r="BYT108" s="17"/>
      <c r="BYU108" s="17"/>
      <c r="BYV108" s="17"/>
      <c r="BYW108" s="17"/>
      <c r="BYX108" s="17"/>
      <c r="BYY108" s="17"/>
      <c r="BYZ108" s="17"/>
      <c r="BZA108" s="17"/>
      <c r="BZB108" s="17"/>
      <c r="BZC108" s="17"/>
      <c r="BZD108" s="17"/>
      <c r="BZE108" s="17"/>
      <c r="BZF108" s="17"/>
      <c r="BZG108" s="17"/>
      <c r="BZH108" s="17"/>
      <c r="BZI108" s="17"/>
      <c r="BZJ108" s="17"/>
      <c r="BZK108" s="17"/>
      <c r="BZL108" s="17"/>
      <c r="BZM108" s="17"/>
      <c r="BZN108" s="17"/>
      <c r="BZO108" s="17"/>
      <c r="BZP108" s="17"/>
      <c r="BZQ108" s="17"/>
      <c r="BZR108" s="17"/>
      <c r="BZS108" s="17"/>
      <c r="BZT108" s="17"/>
      <c r="BZU108" s="17"/>
      <c r="BZV108" s="17"/>
      <c r="BZW108" s="17"/>
      <c r="BZX108" s="17"/>
      <c r="BZY108" s="17"/>
      <c r="BZZ108" s="17"/>
      <c r="CAA108" s="17"/>
      <c r="CAB108" s="17"/>
      <c r="CAC108" s="17"/>
      <c r="CAD108" s="17"/>
      <c r="CAE108" s="17"/>
      <c r="CAF108" s="17"/>
      <c r="CAG108" s="17"/>
      <c r="CAH108" s="17"/>
      <c r="CAI108" s="17"/>
      <c r="CAJ108" s="17"/>
      <c r="CAK108" s="17"/>
      <c r="CAL108" s="17"/>
      <c r="CAM108" s="17"/>
      <c r="CAN108" s="17"/>
      <c r="CAO108" s="17"/>
      <c r="CAP108" s="17"/>
      <c r="CAQ108" s="17"/>
      <c r="CAR108" s="17"/>
      <c r="CAS108" s="17"/>
      <c r="CAT108" s="17"/>
      <c r="CAU108" s="17"/>
      <c r="CAV108" s="17"/>
      <c r="CAW108" s="17"/>
      <c r="CAX108" s="17"/>
      <c r="CAY108" s="17"/>
      <c r="CAZ108" s="17"/>
      <c r="CBA108" s="17"/>
      <c r="CBB108" s="17"/>
      <c r="CBC108" s="17"/>
      <c r="CBD108" s="17"/>
      <c r="CBE108" s="17"/>
      <c r="CBF108" s="17"/>
      <c r="CBG108" s="17"/>
      <c r="CBH108" s="17"/>
      <c r="CBI108" s="17"/>
      <c r="CBJ108" s="17"/>
      <c r="CBK108" s="17"/>
      <c r="CBL108" s="17"/>
      <c r="CBM108" s="17"/>
      <c r="CBN108" s="17"/>
      <c r="CBO108" s="17"/>
      <c r="CBP108" s="17"/>
      <c r="CBQ108" s="17"/>
      <c r="CBR108" s="17"/>
      <c r="CBS108" s="17"/>
      <c r="CBT108" s="17"/>
      <c r="CBU108" s="17"/>
      <c r="CBV108" s="17"/>
      <c r="CBW108" s="17"/>
      <c r="CBX108" s="17"/>
      <c r="CBY108" s="17"/>
      <c r="CBZ108" s="17"/>
      <c r="CCA108" s="17"/>
      <c r="CCB108" s="17"/>
      <c r="CCC108" s="17"/>
      <c r="CCD108" s="17"/>
      <c r="CCE108" s="17"/>
      <c r="CCF108" s="17"/>
      <c r="CCG108" s="17"/>
      <c r="CCH108" s="17"/>
      <c r="CCI108" s="17"/>
      <c r="CCJ108" s="17"/>
      <c r="CCK108" s="17"/>
      <c r="CCL108" s="17"/>
      <c r="CCM108" s="17"/>
      <c r="CCN108" s="17"/>
      <c r="CCO108" s="17"/>
      <c r="CCP108" s="17"/>
      <c r="CCQ108" s="17"/>
      <c r="CCR108" s="17"/>
      <c r="CCS108" s="17"/>
      <c r="CCT108" s="17"/>
      <c r="CCU108" s="17"/>
      <c r="CCV108" s="17"/>
      <c r="CCW108" s="17"/>
      <c r="CCX108" s="17"/>
      <c r="CCY108" s="17"/>
      <c r="CCZ108" s="17"/>
      <c r="CDA108" s="17"/>
      <c r="CDB108" s="17"/>
      <c r="CDC108" s="17"/>
      <c r="CDD108" s="17"/>
      <c r="CDE108" s="17"/>
      <c r="CDF108" s="17"/>
      <c r="CDG108" s="17"/>
      <c r="CDH108" s="17"/>
      <c r="CDI108" s="17"/>
      <c r="CDJ108" s="17"/>
      <c r="CDK108" s="17"/>
      <c r="CDL108" s="17"/>
      <c r="CDM108" s="17"/>
      <c r="CDN108" s="17"/>
      <c r="CDO108" s="17"/>
      <c r="CDP108" s="17"/>
      <c r="CDQ108" s="17"/>
      <c r="CDR108" s="17"/>
      <c r="CDS108" s="17"/>
      <c r="CDT108" s="17"/>
      <c r="CDU108" s="17"/>
      <c r="CDV108" s="17"/>
      <c r="CDW108" s="17"/>
      <c r="CDX108" s="17"/>
      <c r="CDY108" s="17"/>
      <c r="CDZ108" s="17"/>
      <c r="CEA108" s="17"/>
      <c r="CEB108" s="17"/>
      <c r="CEC108" s="17"/>
      <c r="CED108" s="17"/>
      <c r="CEE108" s="17"/>
      <c r="CEF108" s="17"/>
      <c r="CEG108" s="17"/>
      <c r="CEH108" s="17"/>
      <c r="CEI108" s="17"/>
      <c r="CEJ108" s="17"/>
      <c r="CEK108" s="17"/>
      <c r="CEL108" s="17"/>
      <c r="CEM108" s="17"/>
      <c r="CEN108" s="17"/>
      <c r="CEO108" s="17"/>
      <c r="CEP108" s="17"/>
      <c r="CEQ108" s="17"/>
      <c r="CER108" s="17"/>
      <c r="CES108" s="17"/>
      <c r="CET108" s="17"/>
      <c r="CEU108" s="17"/>
      <c r="CEV108" s="17"/>
      <c r="CEW108" s="17"/>
      <c r="CEX108" s="17"/>
      <c r="CEY108" s="17"/>
      <c r="CEZ108" s="17"/>
      <c r="CFA108" s="17"/>
      <c r="CFB108" s="17"/>
      <c r="CFC108" s="17"/>
      <c r="CFD108" s="17"/>
      <c r="CFE108" s="17"/>
      <c r="CFF108" s="17"/>
      <c r="CFG108" s="17"/>
      <c r="CFH108" s="17"/>
      <c r="CFI108" s="17"/>
      <c r="CFJ108" s="17"/>
      <c r="CFK108" s="17"/>
      <c r="CFL108" s="17"/>
      <c r="CFM108" s="17"/>
      <c r="CFN108" s="17"/>
      <c r="CFO108" s="17"/>
      <c r="CFP108" s="17"/>
      <c r="CFQ108" s="17"/>
      <c r="CFR108" s="17"/>
      <c r="CFS108" s="17"/>
      <c r="CFT108" s="17"/>
      <c r="CFU108" s="17"/>
      <c r="CFV108" s="17"/>
      <c r="CFW108" s="17"/>
      <c r="CFX108" s="17"/>
      <c r="CFY108" s="17"/>
      <c r="CFZ108" s="17"/>
      <c r="CGA108" s="17"/>
      <c r="CGB108" s="17"/>
      <c r="CGC108" s="17"/>
      <c r="CGD108" s="17"/>
      <c r="CGE108" s="17"/>
      <c r="CGF108" s="17"/>
      <c r="CGG108" s="17"/>
      <c r="CGH108" s="17"/>
      <c r="CGI108" s="17"/>
      <c r="CGJ108" s="17"/>
      <c r="CGK108" s="17"/>
      <c r="CGL108" s="17"/>
      <c r="CGM108" s="17"/>
      <c r="CGN108" s="17"/>
      <c r="CGO108" s="17"/>
      <c r="CGP108" s="17"/>
      <c r="CGQ108" s="17"/>
      <c r="CGR108" s="17"/>
      <c r="CGS108" s="17"/>
      <c r="CGT108" s="17"/>
      <c r="CGU108" s="17"/>
      <c r="CGV108" s="17"/>
      <c r="CGW108" s="17"/>
      <c r="CGX108" s="17"/>
      <c r="CGY108" s="17"/>
      <c r="CGZ108" s="17"/>
      <c r="CHA108" s="17"/>
      <c r="CHB108" s="17"/>
      <c r="CHC108" s="17"/>
      <c r="CHD108" s="17"/>
      <c r="CHE108" s="17"/>
      <c r="CHF108" s="17"/>
      <c r="CHG108" s="17"/>
      <c r="CHH108" s="17"/>
      <c r="CHI108" s="17"/>
      <c r="CHJ108" s="17"/>
      <c r="CHK108" s="17"/>
      <c r="CHL108" s="17"/>
      <c r="CHM108" s="17"/>
      <c r="CHN108" s="17"/>
      <c r="CHO108" s="17"/>
      <c r="CHP108" s="17"/>
      <c r="CHQ108" s="17"/>
      <c r="CHR108" s="17"/>
      <c r="CHS108" s="17"/>
      <c r="CHT108" s="17"/>
      <c r="CHU108" s="17"/>
      <c r="CHV108" s="17"/>
      <c r="CHW108" s="17"/>
      <c r="CHX108" s="17"/>
      <c r="CHY108" s="17"/>
      <c r="CHZ108" s="17"/>
      <c r="CIA108" s="17"/>
      <c r="CIB108" s="17"/>
      <c r="CIC108" s="17"/>
      <c r="CID108" s="17"/>
      <c r="CIE108" s="17"/>
      <c r="CIF108" s="17"/>
      <c r="CIG108" s="17"/>
      <c r="CIH108" s="17"/>
      <c r="CII108" s="17"/>
      <c r="CIJ108" s="17"/>
      <c r="CIK108" s="17"/>
      <c r="CIL108" s="17"/>
      <c r="CIM108" s="17"/>
      <c r="CIN108" s="17"/>
      <c r="CIO108" s="17"/>
      <c r="CIP108" s="17"/>
      <c r="CIQ108" s="17"/>
      <c r="CIR108" s="17"/>
      <c r="CIS108" s="17"/>
      <c r="CIT108" s="17"/>
      <c r="CIU108" s="17"/>
      <c r="CIV108" s="17"/>
      <c r="CIW108" s="17"/>
      <c r="CIX108" s="17"/>
      <c r="CIY108" s="17"/>
      <c r="CIZ108" s="17"/>
      <c r="CJA108" s="17"/>
      <c r="CJB108" s="17"/>
      <c r="CJC108" s="17"/>
      <c r="CJD108" s="17"/>
      <c r="CJE108" s="17"/>
      <c r="CJF108" s="17"/>
      <c r="CJG108" s="17"/>
      <c r="CJH108" s="17"/>
      <c r="CJI108" s="17"/>
      <c r="CJJ108" s="17"/>
      <c r="CJK108" s="17"/>
      <c r="CJL108" s="17"/>
      <c r="CJM108" s="17"/>
      <c r="CJN108" s="17"/>
      <c r="CJO108" s="17"/>
      <c r="CJP108" s="17"/>
      <c r="CJQ108" s="17"/>
      <c r="CJR108" s="17"/>
      <c r="CJS108" s="17"/>
      <c r="CJT108" s="17"/>
      <c r="CJU108" s="17"/>
      <c r="CJV108" s="17"/>
      <c r="CJW108" s="17"/>
      <c r="CJX108" s="17"/>
      <c r="CJY108" s="17"/>
      <c r="CJZ108" s="17"/>
      <c r="CKA108" s="17"/>
      <c r="CKB108" s="17"/>
      <c r="CKC108" s="17"/>
      <c r="CKD108" s="17"/>
      <c r="CKE108" s="17"/>
      <c r="CKF108" s="17"/>
      <c r="CKG108" s="17"/>
      <c r="CKH108" s="17"/>
      <c r="CKI108" s="17"/>
      <c r="CKJ108" s="17"/>
      <c r="CKK108" s="17"/>
      <c r="CKL108" s="17"/>
      <c r="CKM108" s="17"/>
      <c r="CKN108" s="17"/>
      <c r="CKO108" s="17"/>
      <c r="CKP108" s="17"/>
      <c r="CKQ108" s="17"/>
      <c r="CKR108" s="17"/>
      <c r="CKS108" s="17"/>
      <c r="CKT108" s="17"/>
      <c r="CKU108" s="17"/>
      <c r="CKV108" s="17"/>
      <c r="CKW108" s="17"/>
      <c r="CKX108" s="17"/>
      <c r="CKY108" s="17"/>
      <c r="CKZ108" s="17"/>
      <c r="CLA108" s="17"/>
      <c r="CLB108" s="17"/>
      <c r="CLC108" s="17"/>
      <c r="CLD108" s="17"/>
      <c r="CLE108" s="17"/>
      <c r="CLF108" s="17"/>
      <c r="CLG108" s="17"/>
      <c r="CLH108" s="17"/>
      <c r="CLI108" s="17"/>
      <c r="CLJ108" s="17"/>
      <c r="CLK108" s="17"/>
      <c r="CLL108" s="17"/>
      <c r="CLM108" s="17"/>
      <c r="CLN108" s="17"/>
      <c r="CLO108" s="17"/>
      <c r="CLP108" s="17"/>
      <c r="CLQ108" s="17"/>
      <c r="CLR108" s="17"/>
      <c r="CLS108" s="17"/>
      <c r="CLT108" s="17"/>
      <c r="CLU108" s="17"/>
      <c r="CLV108" s="17"/>
      <c r="CLW108" s="17"/>
      <c r="CLX108" s="17"/>
      <c r="CLY108" s="17"/>
      <c r="CLZ108" s="17"/>
      <c r="CMA108" s="17"/>
      <c r="CMB108" s="17"/>
      <c r="CMC108" s="17"/>
      <c r="CMD108" s="17"/>
      <c r="CME108" s="17"/>
      <c r="CMF108" s="17"/>
      <c r="CMG108" s="17"/>
      <c r="CMH108" s="17"/>
      <c r="CMI108" s="17"/>
      <c r="CMJ108" s="17"/>
      <c r="CMK108" s="17"/>
      <c r="CML108" s="17"/>
      <c r="CMM108" s="17"/>
      <c r="CMN108" s="17"/>
      <c r="CMO108" s="17"/>
      <c r="CMP108" s="17"/>
      <c r="CMQ108" s="17"/>
      <c r="CMR108" s="17"/>
      <c r="CMS108" s="17"/>
      <c r="CMT108" s="17"/>
      <c r="CMU108" s="17"/>
      <c r="CMV108" s="17"/>
      <c r="CMW108" s="17"/>
      <c r="CMX108" s="17"/>
      <c r="CMY108" s="17"/>
      <c r="CMZ108" s="17"/>
      <c r="CNA108" s="17"/>
      <c r="CNB108" s="17"/>
      <c r="CNC108" s="17"/>
      <c r="CND108" s="17"/>
      <c r="CNE108" s="17"/>
      <c r="CNF108" s="17"/>
      <c r="CNG108" s="17"/>
      <c r="CNH108" s="17"/>
      <c r="CNI108" s="17"/>
      <c r="CNJ108" s="17"/>
      <c r="CNK108" s="17"/>
      <c r="CNL108" s="17"/>
      <c r="CNM108" s="17"/>
      <c r="CNN108" s="17"/>
      <c r="CNO108" s="17"/>
      <c r="CNP108" s="17"/>
      <c r="CNQ108" s="17"/>
      <c r="CNR108" s="17"/>
      <c r="CNS108" s="17"/>
      <c r="CNT108" s="17"/>
      <c r="CNU108" s="17"/>
      <c r="CNV108" s="17"/>
      <c r="CNW108" s="17"/>
      <c r="CNX108" s="17"/>
      <c r="CNY108" s="17"/>
      <c r="CNZ108" s="17"/>
      <c r="COA108" s="17"/>
      <c r="COB108" s="17"/>
      <c r="COC108" s="17"/>
      <c r="COD108" s="17"/>
      <c r="COE108" s="17"/>
      <c r="COF108" s="17"/>
      <c r="COG108" s="17"/>
      <c r="COH108" s="17"/>
      <c r="COI108" s="17"/>
      <c r="COJ108" s="17"/>
      <c r="COK108" s="17"/>
      <c r="COL108" s="17"/>
      <c r="COM108" s="17"/>
      <c r="CON108" s="17"/>
      <c r="COO108" s="17"/>
      <c r="COP108" s="17"/>
      <c r="COQ108" s="17"/>
      <c r="COR108" s="17"/>
      <c r="COS108" s="17"/>
      <c r="COT108" s="17"/>
      <c r="COU108" s="17"/>
      <c r="COV108" s="17"/>
      <c r="COW108" s="17"/>
      <c r="COX108" s="17"/>
      <c r="COY108" s="17"/>
      <c r="COZ108" s="17"/>
      <c r="CPA108" s="17"/>
      <c r="CPB108" s="17"/>
      <c r="CPC108" s="17"/>
      <c r="CPD108" s="17"/>
      <c r="CPE108" s="17"/>
      <c r="CPF108" s="17"/>
      <c r="CPG108" s="17"/>
      <c r="CPH108" s="17"/>
      <c r="CPI108" s="17"/>
      <c r="CPJ108" s="17"/>
      <c r="CPK108" s="17"/>
      <c r="CPL108" s="17"/>
      <c r="CPM108" s="17"/>
      <c r="CPN108" s="17"/>
      <c r="CPO108" s="17"/>
      <c r="CPP108" s="17"/>
      <c r="CPQ108" s="17"/>
      <c r="CPR108" s="17"/>
      <c r="CPS108" s="17"/>
      <c r="CPT108" s="17"/>
      <c r="CPU108" s="17"/>
      <c r="CPV108" s="17"/>
      <c r="CPW108" s="17"/>
      <c r="CPX108" s="17"/>
      <c r="CPY108" s="17"/>
      <c r="CPZ108" s="17"/>
      <c r="CQA108" s="17"/>
      <c r="CQB108" s="17"/>
      <c r="CQC108" s="17"/>
      <c r="CQD108" s="17"/>
      <c r="CQE108" s="17"/>
      <c r="CQF108" s="17"/>
      <c r="CQG108" s="17"/>
      <c r="CQH108" s="17"/>
      <c r="CQI108" s="17"/>
      <c r="CQJ108" s="17"/>
      <c r="CQK108" s="17"/>
      <c r="CQL108" s="17"/>
      <c r="CQM108" s="17"/>
      <c r="CQN108" s="17"/>
      <c r="CQO108" s="17"/>
      <c r="CQP108" s="17"/>
      <c r="CQQ108" s="17"/>
      <c r="CQR108" s="17"/>
      <c r="CQS108" s="17"/>
      <c r="CQT108" s="17"/>
      <c r="CQU108" s="17"/>
      <c r="CQV108" s="17"/>
      <c r="CQW108" s="17"/>
      <c r="CQX108" s="17"/>
      <c r="CQY108" s="17"/>
      <c r="CQZ108" s="17"/>
      <c r="CRA108" s="17"/>
      <c r="CRB108" s="17"/>
      <c r="CRC108" s="17"/>
      <c r="CRD108" s="17"/>
      <c r="CRE108" s="17"/>
      <c r="CRF108" s="17"/>
      <c r="CRG108" s="17"/>
      <c r="CRH108" s="17"/>
      <c r="CRI108" s="17"/>
      <c r="CRJ108" s="17"/>
      <c r="CRK108" s="17"/>
      <c r="CRL108" s="17"/>
      <c r="CRM108" s="17"/>
      <c r="CRN108" s="17"/>
      <c r="CRO108" s="17"/>
      <c r="CRP108" s="17"/>
      <c r="CRQ108" s="17"/>
      <c r="CRR108" s="17"/>
      <c r="CRS108" s="17"/>
      <c r="CRT108" s="17"/>
      <c r="CRU108" s="17"/>
      <c r="CRV108" s="17"/>
      <c r="CRW108" s="17"/>
      <c r="CRX108" s="17"/>
      <c r="CRY108" s="17"/>
      <c r="CRZ108" s="17"/>
      <c r="CSA108" s="17"/>
      <c r="CSB108" s="17"/>
      <c r="CSC108" s="17"/>
      <c r="CSD108" s="17"/>
      <c r="CSE108" s="17"/>
      <c r="CSF108" s="17"/>
      <c r="CSG108" s="17"/>
      <c r="CSH108" s="17"/>
      <c r="CSI108" s="17"/>
      <c r="CSJ108" s="17"/>
      <c r="CSK108" s="17"/>
      <c r="CSL108" s="17"/>
      <c r="CSM108" s="17"/>
      <c r="CSN108" s="17"/>
      <c r="CSO108" s="17"/>
      <c r="CSP108" s="17"/>
      <c r="CSQ108" s="17"/>
      <c r="CSR108" s="17"/>
      <c r="CSS108" s="17"/>
      <c r="CST108" s="17"/>
      <c r="CSU108" s="17"/>
      <c r="CSV108" s="17"/>
      <c r="CSW108" s="17"/>
      <c r="CSX108" s="17"/>
      <c r="CSY108" s="17"/>
      <c r="CSZ108" s="17"/>
      <c r="CTA108" s="17"/>
      <c r="CTB108" s="17"/>
      <c r="CTC108" s="17"/>
      <c r="CTD108" s="17"/>
      <c r="CTE108" s="17"/>
      <c r="CTF108" s="17"/>
      <c r="CTG108" s="17"/>
      <c r="CTH108" s="17"/>
      <c r="CTI108" s="17"/>
      <c r="CTJ108" s="17"/>
      <c r="CTK108" s="17"/>
      <c r="CTL108" s="17"/>
      <c r="CTM108" s="17"/>
      <c r="CTN108" s="17"/>
      <c r="CTO108" s="17"/>
      <c r="CTP108" s="17"/>
      <c r="CTQ108" s="17"/>
      <c r="CTR108" s="17"/>
      <c r="CTS108" s="17"/>
      <c r="CTT108" s="17"/>
      <c r="CTU108" s="17"/>
      <c r="CTV108" s="17"/>
      <c r="CTW108" s="17"/>
      <c r="CTX108" s="17"/>
      <c r="CTY108" s="17"/>
      <c r="CTZ108" s="17"/>
      <c r="CUA108" s="17"/>
      <c r="CUB108" s="17"/>
      <c r="CUC108" s="17"/>
      <c r="CUD108" s="17"/>
      <c r="CUE108" s="17"/>
      <c r="CUF108" s="17"/>
      <c r="CUG108" s="17"/>
      <c r="CUH108" s="17"/>
      <c r="CUI108" s="17"/>
      <c r="CUJ108" s="17"/>
      <c r="CUK108" s="17"/>
      <c r="CUL108" s="17"/>
      <c r="CUM108" s="17"/>
      <c r="CUN108" s="17"/>
      <c r="CUO108" s="17"/>
      <c r="CUP108" s="17"/>
      <c r="CUQ108" s="17"/>
      <c r="CUR108" s="17"/>
      <c r="CUS108" s="17"/>
      <c r="CUT108" s="17"/>
      <c r="CUU108" s="17"/>
      <c r="CUV108" s="17"/>
      <c r="CUW108" s="17"/>
      <c r="CUX108" s="17"/>
      <c r="CUY108" s="17"/>
      <c r="CUZ108" s="17"/>
      <c r="CVA108" s="17"/>
      <c r="CVB108" s="17"/>
      <c r="CVC108" s="17"/>
      <c r="CVD108" s="17"/>
      <c r="CVE108" s="17"/>
      <c r="CVF108" s="17"/>
      <c r="CVG108" s="17"/>
      <c r="CVH108" s="17"/>
      <c r="CVI108" s="17"/>
      <c r="CVJ108" s="17"/>
      <c r="CVK108" s="17"/>
      <c r="CVL108" s="17"/>
      <c r="CVM108" s="17"/>
      <c r="CVN108" s="17"/>
      <c r="CVO108" s="17"/>
      <c r="CVP108" s="17"/>
      <c r="CVQ108" s="17"/>
      <c r="CVR108" s="17"/>
      <c r="CVS108" s="17"/>
      <c r="CVT108" s="17"/>
      <c r="CVU108" s="17"/>
      <c r="CVV108" s="17"/>
      <c r="CVW108" s="17"/>
      <c r="CVX108" s="17"/>
      <c r="CVY108" s="17"/>
      <c r="CVZ108" s="17"/>
      <c r="CWA108" s="17"/>
      <c r="CWB108" s="17"/>
      <c r="CWC108" s="17"/>
      <c r="CWD108" s="17"/>
      <c r="CWE108" s="17"/>
      <c r="CWF108" s="17"/>
      <c r="CWG108" s="17"/>
      <c r="CWH108" s="17"/>
      <c r="CWI108" s="17"/>
      <c r="CWJ108" s="17"/>
      <c r="CWK108" s="17"/>
      <c r="CWL108" s="17"/>
      <c r="CWM108" s="17"/>
      <c r="CWN108" s="17"/>
      <c r="CWO108" s="17"/>
      <c r="CWP108" s="17"/>
      <c r="CWQ108" s="17"/>
      <c r="CWR108" s="17"/>
      <c r="CWS108" s="17"/>
      <c r="CWT108" s="17"/>
      <c r="CWU108" s="17"/>
      <c r="CWV108" s="17"/>
      <c r="CWW108" s="17"/>
      <c r="CWX108" s="17"/>
      <c r="CWY108" s="17"/>
      <c r="CWZ108" s="17"/>
      <c r="CXA108" s="17"/>
      <c r="CXB108" s="17"/>
      <c r="CXC108" s="17"/>
      <c r="CXD108" s="17"/>
      <c r="CXE108" s="17"/>
      <c r="CXF108" s="17"/>
      <c r="CXG108" s="17"/>
      <c r="CXH108" s="17"/>
      <c r="CXI108" s="17"/>
      <c r="CXJ108" s="17"/>
      <c r="CXK108" s="17"/>
      <c r="CXL108" s="17"/>
      <c r="CXM108" s="17"/>
      <c r="CXN108" s="17"/>
      <c r="CXO108" s="17"/>
      <c r="CXP108" s="17"/>
      <c r="CXQ108" s="17"/>
      <c r="CXR108" s="17"/>
      <c r="CXS108" s="17"/>
      <c r="CXT108" s="17"/>
      <c r="CXU108" s="17"/>
      <c r="CXV108" s="17"/>
      <c r="CXW108" s="17"/>
      <c r="CXX108" s="17"/>
      <c r="CXY108" s="17"/>
      <c r="CXZ108" s="17"/>
      <c r="CYA108" s="17"/>
      <c r="CYB108" s="17"/>
      <c r="CYC108" s="17"/>
      <c r="CYD108" s="17"/>
      <c r="CYE108" s="17"/>
      <c r="CYF108" s="17"/>
      <c r="CYG108" s="17"/>
      <c r="CYH108" s="17"/>
      <c r="CYI108" s="17"/>
      <c r="CYJ108" s="17"/>
      <c r="CYK108" s="17"/>
      <c r="CYL108" s="17"/>
      <c r="CYM108" s="17"/>
      <c r="CYN108" s="17"/>
      <c r="CYO108" s="17"/>
      <c r="CYP108" s="17"/>
      <c r="CYQ108" s="17"/>
      <c r="CYR108" s="17"/>
      <c r="CYS108" s="17"/>
      <c r="CYT108" s="17"/>
      <c r="CYU108" s="17"/>
      <c r="CYV108" s="17"/>
      <c r="CYW108" s="17"/>
      <c r="CYX108" s="17"/>
      <c r="CYY108" s="17"/>
      <c r="CYZ108" s="17"/>
      <c r="CZA108" s="17"/>
      <c r="CZB108" s="17"/>
      <c r="CZC108" s="17"/>
      <c r="CZD108" s="17"/>
      <c r="CZE108" s="17"/>
      <c r="CZF108" s="17"/>
      <c r="CZG108" s="17"/>
      <c r="CZH108" s="17"/>
      <c r="CZI108" s="17"/>
      <c r="CZJ108" s="17"/>
      <c r="CZK108" s="17"/>
      <c r="CZL108" s="17"/>
      <c r="CZM108" s="17"/>
      <c r="CZN108" s="17"/>
      <c r="CZO108" s="17"/>
      <c r="CZP108" s="17"/>
      <c r="CZQ108" s="17"/>
      <c r="CZR108" s="17"/>
      <c r="CZS108" s="17"/>
      <c r="CZT108" s="17"/>
      <c r="CZU108" s="17"/>
      <c r="CZV108" s="17"/>
      <c r="CZW108" s="17"/>
      <c r="CZX108" s="17"/>
      <c r="CZY108" s="17"/>
      <c r="CZZ108" s="17"/>
      <c r="DAA108" s="17"/>
      <c r="DAB108" s="17"/>
      <c r="DAC108" s="17"/>
      <c r="DAD108" s="17"/>
      <c r="DAE108" s="17"/>
      <c r="DAF108" s="17"/>
      <c r="DAG108" s="17"/>
      <c r="DAH108" s="17"/>
      <c r="DAI108" s="17"/>
      <c r="DAJ108" s="17"/>
      <c r="DAK108" s="17"/>
      <c r="DAL108" s="17"/>
      <c r="DAM108" s="17"/>
      <c r="DAN108" s="17"/>
      <c r="DAO108" s="17"/>
      <c r="DAP108" s="17"/>
      <c r="DAQ108" s="17"/>
      <c r="DAR108" s="17"/>
      <c r="DAS108" s="17"/>
      <c r="DAT108" s="17"/>
      <c r="DAU108" s="17"/>
      <c r="DAV108" s="17"/>
      <c r="DAW108" s="17"/>
      <c r="DAX108" s="17"/>
      <c r="DAY108" s="17"/>
      <c r="DAZ108" s="17"/>
      <c r="DBA108" s="17"/>
      <c r="DBB108" s="17"/>
      <c r="DBC108" s="17"/>
      <c r="DBD108" s="17"/>
      <c r="DBE108" s="17"/>
      <c r="DBF108" s="17"/>
      <c r="DBG108" s="17"/>
      <c r="DBH108" s="17"/>
      <c r="DBI108" s="17"/>
      <c r="DBJ108" s="17"/>
      <c r="DBK108" s="17"/>
      <c r="DBL108" s="17"/>
      <c r="DBM108" s="17"/>
      <c r="DBN108" s="17"/>
      <c r="DBO108" s="17"/>
      <c r="DBP108" s="17"/>
      <c r="DBQ108" s="17"/>
      <c r="DBR108" s="17"/>
      <c r="DBS108" s="17"/>
      <c r="DBT108" s="17"/>
      <c r="DBU108" s="17"/>
      <c r="DBV108" s="17"/>
      <c r="DBW108" s="17"/>
      <c r="DBX108" s="17"/>
      <c r="DBY108" s="17"/>
      <c r="DBZ108" s="17"/>
      <c r="DCA108" s="17"/>
      <c r="DCB108" s="17"/>
      <c r="DCC108" s="17"/>
      <c r="DCD108" s="17"/>
      <c r="DCE108" s="17"/>
      <c r="DCF108" s="17"/>
      <c r="DCG108" s="17"/>
      <c r="DCH108" s="17"/>
      <c r="DCI108" s="17"/>
      <c r="DCJ108" s="17"/>
      <c r="DCK108" s="17"/>
      <c r="DCL108" s="17"/>
      <c r="DCM108" s="17"/>
      <c r="DCN108" s="17"/>
      <c r="DCO108" s="17"/>
      <c r="DCP108" s="17"/>
      <c r="DCQ108" s="17"/>
      <c r="DCR108" s="17"/>
      <c r="DCS108" s="17"/>
      <c r="DCT108" s="17"/>
      <c r="DCU108" s="17"/>
      <c r="DCV108" s="17"/>
      <c r="DCW108" s="17"/>
      <c r="DCX108" s="17"/>
      <c r="DCY108" s="17"/>
      <c r="DCZ108" s="17"/>
      <c r="DDA108" s="17"/>
      <c r="DDB108" s="17"/>
      <c r="DDC108" s="17"/>
      <c r="DDD108" s="17"/>
      <c r="DDE108" s="17"/>
      <c r="DDF108" s="17"/>
      <c r="DDG108" s="17"/>
      <c r="DDH108" s="17"/>
      <c r="DDI108" s="17"/>
      <c r="DDJ108" s="17"/>
      <c r="DDK108" s="17"/>
      <c r="DDL108" s="17"/>
      <c r="DDM108" s="17"/>
      <c r="DDN108" s="17"/>
      <c r="DDO108" s="17"/>
      <c r="DDP108" s="17"/>
      <c r="DDQ108" s="17"/>
      <c r="DDR108" s="17"/>
      <c r="DDS108" s="17"/>
      <c r="DDT108" s="17"/>
      <c r="DDU108" s="17"/>
      <c r="DDV108" s="17"/>
      <c r="DDW108" s="17"/>
      <c r="DDX108" s="17"/>
      <c r="DDY108" s="17"/>
      <c r="DDZ108" s="17"/>
      <c r="DEA108" s="17"/>
      <c r="DEB108" s="17"/>
      <c r="DEC108" s="17"/>
      <c r="DED108" s="17"/>
      <c r="DEE108" s="17"/>
      <c r="DEF108" s="17"/>
      <c r="DEG108" s="17"/>
      <c r="DEH108" s="17"/>
      <c r="DEI108" s="17"/>
      <c r="DEJ108" s="17"/>
      <c r="DEK108" s="17"/>
      <c r="DEL108" s="17"/>
      <c r="DEM108" s="17"/>
      <c r="DEN108" s="17"/>
      <c r="DEO108" s="17"/>
      <c r="DEP108" s="17"/>
      <c r="DEQ108" s="17"/>
      <c r="DER108" s="17"/>
      <c r="DES108" s="17"/>
      <c r="DET108" s="17"/>
      <c r="DEU108" s="17"/>
      <c r="DEV108" s="17"/>
      <c r="DEW108" s="17"/>
      <c r="DEX108" s="17"/>
      <c r="DEY108" s="17"/>
      <c r="DEZ108" s="17"/>
      <c r="DFA108" s="17"/>
      <c r="DFB108" s="17"/>
      <c r="DFC108" s="17"/>
      <c r="DFD108" s="17"/>
      <c r="DFE108" s="17"/>
      <c r="DFF108" s="17"/>
      <c r="DFG108" s="17"/>
      <c r="DFH108" s="17"/>
      <c r="DFI108" s="17"/>
      <c r="DFJ108" s="17"/>
      <c r="DFK108" s="17"/>
      <c r="DFL108" s="17"/>
      <c r="DFM108" s="17"/>
      <c r="DFN108" s="17"/>
      <c r="DFO108" s="17"/>
      <c r="DFP108" s="17"/>
      <c r="DFQ108" s="17"/>
      <c r="DFR108" s="17"/>
      <c r="DFS108" s="17"/>
      <c r="DFT108" s="17"/>
      <c r="DFU108" s="17"/>
      <c r="DFV108" s="17"/>
      <c r="DFW108" s="17"/>
      <c r="DFX108" s="17"/>
      <c r="DFY108" s="17"/>
      <c r="DFZ108" s="17"/>
      <c r="DGA108" s="17"/>
      <c r="DGB108" s="17"/>
      <c r="DGC108" s="17"/>
      <c r="DGD108" s="17"/>
      <c r="DGE108" s="17"/>
      <c r="DGF108" s="17"/>
      <c r="DGG108" s="17"/>
      <c r="DGH108" s="17"/>
      <c r="DGI108" s="17"/>
      <c r="DGJ108" s="17"/>
      <c r="DGK108" s="17"/>
      <c r="DGL108" s="17"/>
      <c r="DGM108" s="17"/>
      <c r="DGN108" s="17"/>
      <c r="DGO108" s="17"/>
      <c r="DGP108" s="17"/>
      <c r="DGQ108" s="17"/>
      <c r="DGR108" s="17"/>
      <c r="DGS108" s="17"/>
      <c r="DGT108" s="17"/>
      <c r="DGU108" s="17"/>
      <c r="DGV108" s="17"/>
      <c r="DGW108" s="17"/>
      <c r="DGX108" s="17"/>
      <c r="DGY108" s="17"/>
      <c r="DGZ108" s="17"/>
      <c r="DHA108" s="17"/>
      <c r="DHB108" s="17"/>
      <c r="DHC108" s="17"/>
      <c r="DHD108" s="17"/>
      <c r="DHE108" s="17"/>
      <c r="DHF108" s="17"/>
      <c r="DHG108" s="17"/>
      <c r="DHH108" s="17"/>
      <c r="DHI108" s="17"/>
      <c r="DHJ108" s="17"/>
      <c r="DHK108" s="17"/>
      <c r="DHL108" s="17"/>
      <c r="DHM108" s="17"/>
      <c r="DHN108" s="17"/>
      <c r="DHO108" s="17"/>
      <c r="DHP108" s="17"/>
      <c r="DHQ108" s="17"/>
      <c r="DHR108" s="17"/>
      <c r="DHS108" s="17"/>
      <c r="DHT108" s="17"/>
      <c r="DHU108" s="17"/>
      <c r="DHV108" s="17"/>
      <c r="DHW108" s="17"/>
      <c r="DHX108" s="17"/>
      <c r="DHY108" s="17"/>
      <c r="DHZ108" s="17"/>
      <c r="DIA108" s="17"/>
      <c r="DIB108" s="17"/>
      <c r="DIC108" s="17"/>
      <c r="DID108" s="17"/>
      <c r="DIE108" s="17"/>
      <c r="DIF108" s="17"/>
      <c r="DIG108" s="17"/>
      <c r="DIH108" s="17"/>
      <c r="DII108" s="17"/>
      <c r="DIJ108" s="17"/>
      <c r="DIK108" s="17"/>
      <c r="DIL108" s="17"/>
      <c r="DIM108" s="17"/>
      <c r="DIN108" s="17"/>
      <c r="DIO108" s="17"/>
      <c r="DIP108" s="17"/>
      <c r="DIQ108" s="17"/>
      <c r="DIR108" s="17"/>
      <c r="DIS108" s="17"/>
      <c r="DIT108" s="17"/>
      <c r="DIU108" s="17"/>
      <c r="DIV108" s="17"/>
      <c r="DIW108" s="17"/>
      <c r="DIX108" s="17"/>
      <c r="DIY108" s="17"/>
      <c r="DIZ108" s="17"/>
      <c r="DJA108" s="17"/>
      <c r="DJB108" s="17"/>
      <c r="DJC108" s="17"/>
      <c r="DJD108" s="17"/>
      <c r="DJE108" s="17"/>
      <c r="DJF108" s="17"/>
      <c r="DJG108" s="17"/>
      <c r="DJH108" s="17"/>
      <c r="DJI108" s="17"/>
      <c r="DJJ108" s="17"/>
      <c r="DJK108" s="17"/>
      <c r="DJL108" s="17"/>
      <c r="DJM108" s="17"/>
      <c r="DJN108" s="17"/>
      <c r="DJO108" s="17"/>
      <c r="DJP108" s="17"/>
      <c r="DJQ108" s="17"/>
      <c r="DJR108" s="17"/>
      <c r="DJS108" s="17"/>
      <c r="DJT108" s="17"/>
      <c r="DJU108" s="17"/>
      <c r="DJV108" s="17"/>
      <c r="DJW108" s="17"/>
      <c r="DJX108" s="17"/>
      <c r="DJY108" s="17"/>
      <c r="DJZ108" s="17"/>
      <c r="DKA108" s="17"/>
      <c r="DKB108" s="17"/>
      <c r="DKC108" s="17"/>
      <c r="DKD108" s="17"/>
      <c r="DKE108" s="17"/>
      <c r="DKF108" s="17"/>
      <c r="DKG108" s="17"/>
      <c r="DKH108" s="17"/>
      <c r="DKI108" s="17"/>
      <c r="DKJ108" s="17"/>
      <c r="DKK108" s="17"/>
      <c r="DKL108" s="17"/>
      <c r="DKM108" s="17"/>
      <c r="DKN108" s="17"/>
      <c r="DKO108" s="17"/>
      <c r="DKP108" s="17"/>
      <c r="DKQ108" s="17"/>
      <c r="DKR108" s="17"/>
      <c r="DKS108" s="17"/>
      <c r="DKT108" s="17"/>
      <c r="DKU108" s="17"/>
      <c r="DKV108" s="17"/>
      <c r="DKW108" s="17"/>
      <c r="DKX108" s="17"/>
      <c r="DKY108" s="17"/>
      <c r="DKZ108" s="17"/>
      <c r="DLA108" s="17"/>
      <c r="DLB108" s="17"/>
      <c r="DLC108" s="17"/>
      <c r="DLD108" s="17"/>
      <c r="DLE108" s="17"/>
      <c r="DLF108" s="17"/>
      <c r="DLG108" s="17"/>
      <c r="DLH108" s="17"/>
      <c r="DLI108" s="17"/>
      <c r="DLJ108" s="17"/>
      <c r="DLK108" s="17"/>
      <c r="DLL108" s="17"/>
      <c r="DLM108" s="17"/>
      <c r="DLN108" s="17"/>
      <c r="DLO108" s="17"/>
      <c r="DLP108" s="17"/>
      <c r="DLQ108" s="17"/>
      <c r="DLR108" s="17"/>
      <c r="DLS108" s="17"/>
      <c r="DLT108" s="17"/>
      <c r="DLU108" s="17"/>
      <c r="DLV108" s="17"/>
      <c r="DLW108" s="17"/>
      <c r="DLX108" s="17"/>
      <c r="DLY108" s="17"/>
      <c r="DLZ108" s="17"/>
      <c r="DMA108" s="17"/>
      <c r="DMB108" s="17"/>
      <c r="DMC108" s="17"/>
      <c r="DMD108" s="17"/>
      <c r="DME108" s="17"/>
      <c r="DMF108" s="17"/>
      <c r="DMG108" s="17"/>
      <c r="DMH108" s="17"/>
      <c r="DMI108" s="17"/>
      <c r="DMJ108" s="17"/>
      <c r="DMK108" s="17"/>
      <c r="DML108" s="17"/>
      <c r="DMM108" s="17"/>
      <c r="DMN108" s="17"/>
      <c r="DMO108" s="17"/>
      <c r="DMP108" s="17"/>
      <c r="DMQ108" s="17"/>
      <c r="DMR108" s="17"/>
      <c r="DMS108" s="17"/>
      <c r="DMT108" s="17"/>
      <c r="DMU108" s="17"/>
      <c r="DMV108" s="17"/>
      <c r="DMW108" s="17"/>
      <c r="DMX108" s="17"/>
      <c r="DMY108" s="17"/>
      <c r="DMZ108" s="17"/>
      <c r="DNA108" s="17"/>
      <c r="DNB108" s="17"/>
      <c r="DNC108" s="17"/>
      <c r="DND108" s="17"/>
      <c r="DNE108" s="17"/>
      <c r="DNF108" s="17"/>
      <c r="DNG108" s="17"/>
      <c r="DNH108" s="17"/>
      <c r="DNI108" s="17"/>
      <c r="DNJ108" s="17"/>
      <c r="DNK108" s="17"/>
      <c r="DNL108" s="17"/>
      <c r="DNM108" s="17"/>
      <c r="DNN108" s="17"/>
      <c r="DNO108" s="17"/>
      <c r="DNP108" s="17"/>
      <c r="DNQ108" s="17"/>
      <c r="DNR108" s="17"/>
      <c r="DNS108" s="17"/>
      <c r="DNT108" s="17"/>
      <c r="DNU108" s="17"/>
      <c r="DNV108" s="17"/>
      <c r="DNW108" s="17"/>
      <c r="DNX108" s="17"/>
      <c r="DNY108" s="17"/>
      <c r="DNZ108" s="17"/>
      <c r="DOA108" s="17"/>
      <c r="DOB108" s="17"/>
      <c r="DOC108" s="17"/>
      <c r="DOD108" s="17"/>
      <c r="DOE108" s="17"/>
      <c r="DOF108" s="17"/>
      <c r="DOG108" s="17"/>
      <c r="DOH108" s="17"/>
      <c r="DOI108" s="17"/>
      <c r="DOJ108" s="17"/>
      <c r="DOK108" s="17"/>
      <c r="DOL108" s="17"/>
      <c r="DOM108" s="17"/>
      <c r="DON108" s="17"/>
      <c r="DOO108" s="17"/>
      <c r="DOP108" s="17"/>
      <c r="DOQ108" s="17"/>
      <c r="DOR108" s="17"/>
      <c r="DOS108" s="17"/>
      <c r="DOT108" s="17"/>
      <c r="DOU108" s="17"/>
      <c r="DOV108" s="17"/>
      <c r="DOW108" s="17"/>
      <c r="DOX108" s="17"/>
      <c r="DOY108" s="17"/>
      <c r="DOZ108" s="17"/>
      <c r="DPA108" s="17"/>
      <c r="DPB108" s="17"/>
      <c r="DPC108" s="17"/>
      <c r="DPD108" s="17"/>
      <c r="DPE108" s="17"/>
      <c r="DPF108" s="17"/>
      <c r="DPG108" s="17"/>
      <c r="DPH108" s="17"/>
      <c r="DPI108" s="17"/>
      <c r="DPJ108" s="17"/>
      <c r="DPK108" s="17"/>
      <c r="DPL108" s="17"/>
      <c r="DPM108" s="17"/>
      <c r="DPN108" s="17"/>
      <c r="DPO108" s="17"/>
      <c r="DPP108" s="17"/>
      <c r="DPQ108" s="17"/>
      <c r="DPR108" s="17"/>
      <c r="DPS108" s="17"/>
      <c r="DPT108" s="17"/>
      <c r="DPU108" s="17"/>
      <c r="DPV108" s="17"/>
      <c r="DPW108" s="17"/>
      <c r="DPX108" s="17"/>
      <c r="DPY108" s="17"/>
      <c r="DPZ108" s="17"/>
      <c r="DQA108" s="17"/>
      <c r="DQB108" s="17"/>
      <c r="DQC108" s="17"/>
      <c r="DQD108" s="17"/>
      <c r="DQE108" s="17"/>
      <c r="DQF108" s="17"/>
      <c r="DQG108" s="17"/>
      <c r="DQH108" s="17"/>
      <c r="DQI108" s="17"/>
      <c r="DQJ108" s="17"/>
      <c r="DQK108" s="17"/>
      <c r="DQL108" s="17"/>
      <c r="DQM108" s="17"/>
      <c r="DQN108" s="17"/>
      <c r="DQO108" s="17"/>
      <c r="DQP108" s="17"/>
      <c r="DQQ108" s="17"/>
      <c r="DQR108" s="17"/>
      <c r="DQS108" s="17"/>
      <c r="DQT108" s="17"/>
      <c r="DQU108" s="17"/>
      <c r="DQV108" s="17"/>
      <c r="DQW108" s="17"/>
      <c r="DQX108" s="17"/>
      <c r="DQY108" s="17"/>
      <c r="DQZ108" s="17"/>
      <c r="DRA108" s="17"/>
      <c r="DRB108" s="17"/>
      <c r="DRC108" s="17"/>
      <c r="DRD108" s="17"/>
      <c r="DRE108" s="17"/>
      <c r="DRF108" s="17"/>
      <c r="DRG108" s="17"/>
      <c r="DRH108" s="17"/>
      <c r="DRI108" s="17"/>
      <c r="DRJ108" s="17"/>
      <c r="DRK108" s="17"/>
      <c r="DRL108" s="17"/>
      <c r="DRM108" s="17"/>
      <c r="DRN108" s="17"/>
      <c r="DRO108" s="17"/>
      <c r="DRP108" s="17"/>
      <c r="DRQ108" s="17"/>
      <c r="DRR108" s="17"/>
      <c r="DRS108" s="17"/>
      <c r="DRT108" s="17"/>
      <c r="DRU108" s="17"/>
      <c r="DRV108" s="17"/>
      <c r="DRW108" s="17"/>
      <c r="DRX108" s="17"/>
      <c r="DRY108" s="17"/>
      <c r="DRZ108" s="17"/>
      <c r="DSA108" s="17"/>
      <c r="DSB108" s="17"/>
      <c r="DSC108" s="17"/>
      <c r="DSD108" s="17"/>
      <c r="DSE108" s="17"/>
      <c r="DSF108" s="17"/>
      <c r="DSG108" s="17"/>
      <c r="DSH108" s="17"/>
      <c r="DSI108" s="17"/>
      <c r="DSJ108" s="17"/>
      <c r="DSK108" s="17"/>
      <c r="DSL108" s="17"/>
      <c r="DSM108" s="17"/>
      <c r="DSN108" s="17"/>
      <c r="DSO108" s="17"/>
      <c r="DSP108" s="17"/>
      <c r="DSQ108" s="17"/>
      <c r="DSR108" s="17"/>
      <c r="DSS108" s="17"/>
      <c r="DST108" s="17"/>
      <c r="DSU108" s="17"/>
      <c r="DSV108" s="17"/>
      <c r="DSW108" s="17"/>
      <c r="DSX108" s="17"/>
      <c r="DSY108" s="17"/>
      <c r="DSZ108" s="17"/>
      <c r="DTA108" s="17"/>
      <c r="DTB108" s="17"/>
      <c r="DTC108" s="17"/>
      <c r="DTD108" s="17"/>
      <c r="DTE108" s="17"/>
      <c r="DTF108" s="17"/>
      <c r="DTG108" s="17"/>
      <c r="DTH108" s="17"/>
      <c r="DTI108" s="17"/>
      <c r="DTJ108" s="17"/>
      <c r="DTK108" s="17"/>
      <c r="DTL108" s="17"/>
      <c r="DTM108" s="17"/>
      <c r="DTN108" s="17"/>
      <c r="DTO108" s="17"/>
      <c r="DTP108" s="17"/>
      <c r="DTQ108" s="17"/>
      <c r="DTR108" s="17"/>
      <c r="DTS108" s="17"/>
      <c r="DTT108" s="17"/>
      <c r="DTU108" s="17"/>
      <c r="DTV108" s="17"/>
      <c r="DTW108" s="17"/>
      <c r="DTX108" s="17"/>
      <c r="DTY108" s="17"/>
      <c r="DTZ108" s="17"/>
      <c r="DUA108" s="17"/>
      <c r="DUB108" s="17"/>
      <c r="DUC108" s="17"/>
      <c r="DUD108" s="17"/>
      <c r="DUE108" s="17"/>
      <c r="DUF108" s="17"/>
      <c r="DUG108" s="17"/>
      <c r="DUH108" s="17"/>
      <c r="DUI108" s="17"/>
      <c r="DUJ108" s="17"/>
      <c r="DUK108" s="17"/>
      <c r="DUL108" s="17"/>
      <c r="DUM108" s="17"/>
      <c r="DUN108" s="17"/>
      <c r="DUO108" s="17"/>
      <c r="DUP108" s="17"/>
      <c r="DUQ108" s="17"/>
      <c r="DUR108" s="17"/>
      <c r="DUS108" s="17"/>
      <c r="DUT108" s="17"/>
      <c r="DUU108" s="17"/>
      <c r="DUV108" s="17"/>
      <c r="DUW108" s="17"/>
      <c r="DUX108" s="17"/>
      <c r="DUY108" s="17"/>
      <c r="DUZ108" s="17"/>
      <c r="DVA108" s="17"/>
      <c r="DVB108" s="17"/>
      <c r="DVC108" s="17"/>
      <c r="DVD108" s="17"/>
      <c r="DVE108" s="17"/>
      <c r="DVF108" s="17"/>
      <c r="DVG108" s="17"/>
      <c r="DVH108" s="17"/>
      <c r="DVI108" s="17"/>
      <c r="DVJ108" s="17"/>
      <c r="DVK108" s="17"/>
      <c r="DVL108" s="17"/>
      <c r="DVM108" s="17"/>
      <c r="DVN108" s="17"/>
      <c r="DVO108" s="17"/>
      <c r="DVP108" s="17"/>
      <c r="DVQ108" s="17"/>
      <c r="DVR108" s="17"/>
      <c r="DVS108" s="17"/>
      <c r="DVT108" s="17"/>
      <c r="DVU108" s="17"/>
      <c r="DVV108" s="17"/>
      <c r="DVW108" s="17"/>
      <c r="DVX108" s="17"/>
      <c r="DVY108" s="17"/>
      <c r="DVZ108" s="17"/>
      <c r="DWA108" s="17"/>
      <c r="DWB108" s="17"/>
      <c r="DWC108" s="17"/>
      <c r="DWD108" s="17"/>
      <c r="DWE108" s="17"/>
      <c r="DWF108" s="17"/>
      <c r="DWG108" s="17"/>
      <c r="DWH108" s="17"/>
      <c r="DWI108" s="17"/>
      <c r="DWJ108" s="17"/>
      <c r="DWK108" s="17"/>
      <c r="DWL108" s="17"/>
      <c r="DWM108" s="17"/>
      <c r="DWN108" s="17"/>
      <c r="DWO108" s="17"/>
      <c r="DWP108" s="17"/>
      <c r="DWQ108" s="17"/>
      <c r="DWR108" s="17"/>
      <c r="DWS108" s="17"/>
      <c r="DWT108" s="17"/>
      <c r="DWU108" s="17"/>
      <c r="DWV108" s="17"/>
      <c r="DWW108" s="17"/>
      <c r="DWX108" s="17"/>
      <c r="DWY108" s="17"/>
      <c r="DWZ108" s="17"/>
      <c r="DXA108" s="17"/>
      <c r="DXB108" s="17"/>
      <c r="DXC108" s="17"/>
      <c r="DXD108" s="17"/>
      <c r="DXE108" s="17"/>
      <c r="DXF108" s="17"/>
      <c r="DXG108" s="17"/>
      <c r="DXH108" s="17"/>
      <c r="DXI108" s="17"/>
      <c r="DXJ108" s="17"/>
      <c r="DXK108" s="17"/>
      <c r="DXL108" s="17"/>
      <c r="DXM108" s="17"/>
      <c r="DXN108" s="17"/>
      <c r="DXO108" s="17"/>
      <c r="DXP108" s="17"/>
      <c r="DXQ108" s="17"/>
      <c r="DXR108" s="17"/>
      <c r="DXS108" s="17"/>
      <c r="DXT108" s="17"/>
      <c r="DXU108" s="17"/>
      <c r="DXV108" s="17"/>
      <c r="DXW108" s="17"/>
      <c r="DXX108" s="17"/>
      <c r="DXY108" s="17"/>
      <c r="DXZ108" s="17"/>
      <c r="DYA108" s="17"/>
      <c r="DYB108" s="17"/>
      <c r="DYC108" s="17"/>
      <c r="DYD108" s="17"/>
      <c r="DYE108" s="17"/>
      <c r="DYF108" s="17"/>
      <c r="DYG108" s="17"/>
      <c r="DYH108" s="17"/>
      <c r="DYI108" s="17"/>
      <c r="DYJ108" s="17"/>
      <c r="DYK108" s="17"/>
      <c r="DYL108" s="17"/>
      <c r="DYM108" s="17"/>
      <c r="DYN108" s="17"/>
      <c r="DYO108" s="17"/>
      <c r="DYP108" s="17"/>
      <c r="DYQ108" s="17"/>
      <c r="DYR108" s="17"/>
      <c r="DYS108" s="17"/>
      <c r="DYT108" s="17"/>
      <c r="DYU108" s="17"/>
      <c r="DYV108" s="17"/>
      <c r="DYW108" s="17"/>
      <c r="DYX108" s="17"/>
      <c r="DYY108" s="17"/>
      <c r="DYZ108" s="17"/>
      <c r="DZA108" s="17"/>
      <c r="DZB108" s="17"/>
      <c r="DZC108" s="17"/>
      <c r="DZD108" s="17"/>
      <c r="DZE108" s="17"/>
      <c r="DZF108" s="17"/>
      <c r="DZG108" s="17"/>
      <c r="DZH108" s="17"/>
      <c r="DZI108" s="17"/>
      <c r="DZJ108" s="17"/>
      <c r="DZK108" s="17"/>
      <c r="DZL108" s="17"/>
      <c r="DZM108" s="17"/>
      <c r="DZN108" s="17"/>
      <c r="DZO108" s="17"/>
      <c r="DZP108" s="17"/>
      <c r="DZQ108" s="17"/>
      <c r="DZR108" s="17"/>
      <c r="DZS108" s="17"/>
      <c r="DZT108" s="17"/>
      <c r="DZU108" s="17"/>
      <c r="DZV108" s="17"/>
      <c r="DZW108" s="17"/>
      <c r="DZX108" s="17"/>
      <c r="DZY108" s="17"/>
      <c r="DZZ108" s="17"/>
      <c r="EAA108" s="17"/>
      <c r="EAB108" s="17"/>
      <c r="EAC108" s="17"/>
      <c r="EAD108" s="17"/>
      <c r="EAE108" s="17"/>
      <c r="EAF108" s="17"/>
      <c r="EAG108" s="17"/>
      <c r="EAH108" s="17"/>
      <c r="EAI108" s="17"/>
      <c r="EAJ108" s="17"/>
      <c r="EAK108" s="17"/>
      <c r="EAL108" s="17"/>
      <c r="EAM108" s="17"/>
      <c r="EAN108" s="17"/>
      <c r="EAO108" s="17"/>
      <c r="EAP108" s="17"/>
      <c r="EAQ108" s="17"/>
      <c r="EAR108" s="17"/>
      <c r="EAS108" s="17"/>
      <c r="EAT108" s="17"/>
      <c r="EAU108" s="17"/>
      <c r="EAV108" s="17"/>
      <c r="EAW108" s="17"/>
      <c r="EAX108" s="17"/>
      <c r="EAY108" s="17"/>
      <c r="EAZ108" s="17"/>
      <c r="EBA108" s="17"/>
      <c r="EBB108" s="17"/>
      <c r="EBC108" s="17"/>
      <c r="EBD108" s="17"/>
      <c r="EBE108" s="17"/>
      <c r="EBF108" s="17"/>
      <c r="EBG108" s="17"/>
      <c r="EBH108" s="17"/>
      <c r="EBI108" s="17"/>
      <c r="EBJ108" s="17"/>
      <c r="EBK108" s="17"/>
      <c r="EBL108" s="17"/>
      <c r="EBM108" s="17"/>
      <c r="EBN108" s="17"/>
      <c r="EBO108" s="17"/>
      <c r="EBP108" s="17"/>
      <c r="EBQ108" s="17"/>
      <c r="EBR108" s="17"/>
      <c r="EBS108" s="17"/>
      <c r="EBT108" s="17"/>
      <c r="EBU108" s="17"/>
      <c r="EBV108" s="17"/>
      <c r="EBW108" s="17"/>
      <c r="EBX108" s="17"/>
      <c r="EBY108" s="17"/>
      <c r="EBZ108" s="17"/>
      <c r="ECA108" s="17"/>
      <c r="ECB108" s="17"/>
      <c r="ECC108" s="17"/>
      <c r="ECD108" s="17"/>
      <c r="ECE108" s="17"/>
      <c r="ECF108" s="17"/>
      <c r="ECG108" s="17"/>
      <c r="ECH108" s="17"/>
      <c r="ECI108" s="17"/>
      <c r="ECJ108" s="17"/>
      <c r="ECK108" s="17"/>
      <c r="ECL108" s="17"/>
      <c r="ECM108" s="17"/>
      <c r="ECN108" s="17"/>
      <c r="ECO108" s="17"/>
      <c r="ECP108" s="17"/>
      <c r="ECQ108" s="17"/>
      <c r="ECR108" s="17"/>
      <c r="ECS108" s="17"/>
      <c r="ECT108" s="17"/>
      <c r="ECU108" s="17"/>
      <c r="ECV108" s="17"/>
      <c r="ECW108" s="17"/>
      <c r="ECX108" s="17"/>
      <c r="ECY108" s="17"/>
      <c r="ECZ108" s="17"/>
      <c r="EDA108" s="17"/>
      <c r="EDB108" s="17"/>
      <c r="EDC108" s="17"/>
      <c r="EDD108" s="17"/>
      <c r="EDE108" s="17"/>
      <c r="EDF108" s="17"/>
      <c r="EDG108" s="17"/>
      <c r="EDH108" s="17"/>
      <c r="EDI108" s="17"/>
      <c r="EDJ108" s="17"/>
      <c r="EDK108" s="17"/>
      <c r="EDL108" s="17"/>
      <c r="EDM108" s="17"/>
      <c r="EDN108" s="17"/>
      <c r="EDO108" s="17"/>
      <c r="EDP108" s="17"/>
      <c r="EDQ108" s="17"/>
      <c r="EDR108" s="17"/>
      <c r="EDS108" s="17"/>
      <c r="EDT108" s="17"/>
      <c r="EDU108" s="17"/>
      <c r="EDV108" s="17"/>
      <c r="EDW108" s="17"/>
      <c r="EDX108" s="17"/>
      <c r="EDY108" s="17"/>
      <c r="EDZ108" s="17"/>
      <c r="EEA108" s="17"/>
      <c r="EEB108" s="17"/>
      <c r="EEC108" s="17"/>
      <c r="EED108" s="17"/>
      <c r="EEE108" s="17"/>
      <c r="EEF108" s="17"/>
      <c r="EEG108" s="17"/>
      <c r="EEH108" s="17"/>
      <c r="EEI108" s="17"/>
      <c r="EEJ108" s="17"/>
      <c r="EEK108" s="17"/>
      <c r="EEL108" s="17"/>
      <c r="EEM108" s="17"/>
      <c r="EEN108" s="17"/>
      <c r="EEO108" s="17"/>
      <c r="EEP108" s="17"/>
      <c r="EEQ108" s="17"/>
      <c r="EER108" s="17"/>
      <c r="EES108" s="17"/>
      <c r="EET108" s="17"/>
      <c r="EEU108" s="17"/>
      <c r="EEV108" s="17"/>
      <c r="EEW108" s="17"/>
      <c r="EEX108" s="17"/>
      <c r="EEY108" s="17"/>
      <c r="EEZ108" s="17"/>
      <c r="EFA108" s="17"/>
      <c r="EFB108" s="17"/>
      <c r="EFC108" s="17"/>
      <c r="EFD108" s="17"/>
      <c r="EFE108" s="17"/>
      <c r="EFF108" s="17"/>
      <c r="EFG108" s="17"/>
      <c r="EFH108" s="17"/>
      <c r="EFI108" s="17"/>
      <c r="EFJ108" s="17"/>
      <c r="EFK108" s="17"/>
      <c r="EFL108" s="17"/>
      <c r="EFM108" s="17"/>
      <c r="EFN108" s="17"/>
      <c r="EFO108" s="17"/>
      <c r="EFP108" s="17"/>
      <c r="EFQ108" s="17"/>
      <c r="EFR108" s="17"/>
      <c r="EFS108" s="17"/>
      <c r="EFT108" s="17"/>
      <c r="EFU108" s="17"/>
      <c r="EFV108" s="17"/>
      <c r="EFW108" s="17"/>
      <c r="EFX108" s="17"/>
      <c r="EFY108" s="17"/>
      <c r="EFZ108" s="17"/>
      <c r="EGA108" s="17"/>
      <c r="EGB108" s="17"/>
      <c r="EGC108" s="17"/>
      <c r="EGD108" s="17"/>
      <c r="EGE108" s="17"/>
      <c r="EGF108" s="17"/>
      <c r="EGG108" s="17"/>
      <c r="EGH108" s="17"/>
      <c r="EGI108" s="17"/>
      <c r="EGJ108" s="17"/>
      <c r="EGK108" s="17"/>
      <c r="EGL108" s="17"/>
      <c r="EGM108" s="17"/>
      <c r="EGN108" s="17"/>
      <c r="EGO108" s="17"/>
      <c r="EGP108" s="17"/>
      <c r="EGQ108" s="17"/>
      <c r="EGR108" s="17"/>
      <c r="EGS108" s="17"/>
      <c r="EGT108" s="17"/>
      <c r="EGU108" s="17"/>
      <c r="EGV108" s="17"/>
      <c r="EGW108" s="17"/>
      <c r="EGX108" s="17"/>
      <c r="EGY108" s="17"/>
      <c r="EGZ108" s="17"/>
      <c r="EHA108" s="17"/>
      <c r="EHB108" s="17"/>
      <c r="EHC108" s="17"/>
      <c r="EHD108" s="17"/>
      <c r="EHE108" s="17"/>
      <c r="EHF108" s="17"/>
      <c r="EHG108" s="17"/>
      <c r="EHH108" s="17"/>
      <c r="EHI108" s="17"/>
      <c r="EHJ108" s="17"/>
      <c r="EHK108" s="17"/>
      <c r="EHL108" s="17"/>
      <c r="EHM108" s="17"/>
      <c r="EHN108" s="17"/>
      <c r="EHO108" s="17"/>
      <c r="EHP108" s="17"/>
      <c r="EHQ108" s="17"/>
      <c r="EHR108" s="17"/>
      <c r="EHS108" s="17"/>
      <c r="EHT108" s="17"/>
      <c r="EHU108" s="17"/>
      <c r="EHV108" s="17"/>
      <c r="EHW108" s="17"/>
      <c r="EHX108" s="17"/>
      <c r="EHY108" s="17"/>
      <c r="EHZ108" s="17"/>
      <c r="EIA108" s="17"/>
      <c r="EIB108" s="17"/>
      <c r="EIC108" s="17"/>
      <c r="EID108" s="17"/>
      <c r="EIE108" s="17"/>
      <c r="EIF108" s="17"/>
      <c r="EIG108" s="17"/>
      <c r="EIH108" s="17"/>
      <c r="EII108" s="17"/>
      <c r="EIJ108" s="17"/>
      <c r="EIK108" s="17"/>
      <c r="EIL108" s="17"/>
      <c r="EIM108" s="17"/>
      <c r="EIN108" s="17"/>
      <c r="EIO108" s="17"/>
      <c r="EIP108" s="17"/>
      <c r="EIQ108" s="17"/>
      <c r="EIR108" s="17"/>
      <c r="EIS108" s="17"/>
      <c r="EIT108" s="17"/>
      <c r="EIU108" s="17"/>
      <c r="EIV108" s="17"/>
      <c r="EIW108" s="17"/>
      <c r="EIX108" s="17"/>
      <c r="EIY108" s="17"/>
      <c r="EIZ108" s="17"/>
      <c r="EJA108" s="17"/>
      <c r="EJB108" s="17"/>
      <c r="EJC108" s="17"/>
      <c r="EJD108" s="17"/>
      <c r="EJE108" s="17"/>
      <c r="EJF108" s="17"/>
      <c r="EJG108" s="17"/>
      <c r="EJH108" s="17"/>
      <c r="EJI108" s="17"/>
      <c r="EJJ108" s="17"/>
      <c r="EJK108" s="17"/>
      <c r="EJL108" s="17"/>
      <c r="EJM108" s="17"/>
      <c r="EJN108" s="17"/>
      <c r="EJO108" s="17"/>
      <c r="EJP108" s="17"/>
      <c r="EJQ108" s="17"/>
      <c r="EJR108" s="17"/>
      <c r="EJS108" s="17"/>
      <c r="EJT108" s="17"/>
      <c r="EJU108" s="17"/>
      <c r="EJV108" s="17"/>
      <c r="EJW108" s="17"/>
      <c r="EJX108" s="17"/>
      <c r="EJY108" s="17"/>
      <c r="EJZ108" s="17"/>
      <c r="EKA108" s="17"/>
      <c r="EKB108" s="17"/>
      <c r="EKC108" s="17"/>
      <c r="EKD108" s="17"/>
      <c r="EKE108" s="17"/>
      <c r="EKF108" s="17"/>
      <c r="EKG108" s="17"/>
      <c r="EKH108" s="17"/>
      <c r="EKI108" s="17"/>
      <c r="EKJ108" s="17"/>
      <c r="EKK108" s="17"/>
      <c r="EKL108" s="17"/>
      <c r="EKM108" s="17"/>
      <c r="EKN108" s="17"/>
      <c r="EKO108" s="17"/>
      <c r="EKP108" s="17"/>
      <c r="EKQ108" s="17"/>
      <c r="EKR108" s="17"/>
      <c r="EKS108" s="17"/>
      <c r="EKT108" s="17"/>
      <c r="EKU108" s="17"/>
      <c r="EKV108" s="17"/>
      <c r="EKW108" s="17"/>
      <c r="EKX108" s="17"/>
      <c r="EKY108" s="17"/>
      <c r="EKZ108" s="17"/>
      <c r="ELA108" s="17"/>
      <c r="ELB108" s="17"/>
      <c r="ELC108" s="17"/>
      <c r="ELD108" s="17"/>
      <c r="ELE108" s="17"/>
      <c r="ELF108" s="17"/>
      <c r="ELG108" s="17"/>
      <c r="ELH108" s="17"/>
      <c r="ELI108" s="17"/>
      <c r="ELJ108" s="17"/>
      <c r="ELK108" s="17"/>
      <c r="ELL108" s="17"/>
      <c r="ELM108" s="17"/>
      <c r="ELN108" s="17"/>
      <c r="ELO108" s="17"/>
      <c r="ELP108" s="17"/>
      <c r="ELQ108" s="17"/>
      <c r="ELR108" s="17"/>
      <c r="ELS108" s="17"/>
      <c r="ELT108" s="17"/>
      <c r="ELU108" s="17"/>
      <c r="ELV108" s="17"/>
      <c r="ELW108" s="17"/>
      <c r="ELX108" s="17"/>
      <c r="ELY108" s="17"/>
      <c r="ELZ108" s="17"/>
      <c r="EMA108" s="17"/>
      <c r="EMB108" s="17"/>
      <c r="EMC108" s="17"/>
      <c r="EMD108" s="17"/>
      <c r="EME108" s="17"/>
      <c r="EMF108" s="17"/>
      <c r="EMG108" s="17"/>
      <c r="EMH108" s="17"/>
      <c r="EMI108" s="17"/>
      <c r="EMJ108" s="17"/>
      <c r="EMK108" s="17"/>
      <c r="EML108" s="17"/>
      <c r="EMM108" s="17"/>
      <c r="EMN108" s="17"/>
      <c r="EMO108" s="17"/>
      <c r="EMP108" s="17"/>
      <c r="EMQ108" s="17"/>
      <c r="EMR108" s="17"/>
      <c r="EMS108" s="17"/>
      <c r="EMT108" s="17"/>
      <c r="EMU108" s="17"/>
      <c r="EMV108" s="17"/>
      <c r="EMW108" s="17"/>
      <c r="EMX108" s="17"/>
      <c r="EMY108" s="17"/>
      <c r="EMZ108" s="17"/>
      <c r="ENA108" s="17"/>
      <c r="ENB108" s="17"/>
      <c r="ENC108" s="17"/>
      <c r="END108" s="17"/>
      <c r="ENE108" s="17"/>
      <c r="ENF108" s="17"/>
      <c r="ENG108" s="17"/>
      <c r="ENH108" s="17"/>
      <c r="ENI108" s="17"/>
      <c r="ENJ108" s="17"/>
      <c r="ENK108" s="17"/>
      <c r="ENL108" s="17"/>
      <c r="ENM108" s="17"/>
      <c r="ENN108" s="17"/>
      <c r="ENO108" s="17"/>
      <c r="ENP108" s="17"/>
      <c r="ENQ108" s="17"/>
      <c r="ENR108" s="17"/>
      <c r="ENS108" s="17"/>
      <c r="ENT108" s="17"/>
      <c r="ENU108" s="17"/>
      <c r="ENV108" s="17"/>
      <c r="ENW108" s="17"/>
      <c r="ENX108" s="17"/>
      <c r="ENY108" s="17"/>
      <c r="ENZ108" s="17"/>
      <c r="EOA108" s="17"/>
      <c r="EOB108" s="17"/>
      <c r="EOC108" s="17"/>
      <c r="EOD108" s="17"/>
      <c r="EOE108" s="17"/>
      <c r="EOF108" s="17"/>
      <c r="EOG108" s="17"/>
      <c r="EOH108" s="17"/>
      <c r="EOI108" s="17"/>
      <c r="EOJ108" s="17"/>
      <c r="EOK108" s="17"/>
      <c r="EOL108" s="17"/>
      <c r="EOM108" s="17"/>
      <c r="EON108" s="17"/>
      <c r="EOO108" s="17"/>
      <c r="EOP108" s="17"/>
      <c r="EOQ108" s="17"/>
      <c r="EOR108" s="17"/>
      <c r="EOS108" s="17"/>
      <c r="EOT108" s="17"/>
      <c r="EOU108" s="17"/>
      <c r="EOV108" s="17"/>
      <c r="EOW108" s="17"/>
      <c r="EOX108" s="17"/>
      <c r="EOY108" s="17"/>
      <c r="EOZ108" s="17"/>
      <c r="EPA108" s="17"/>
      <c r="EPB108" s="17"/>
      <c r="EPC108" s="17"/>
      <c r="EPD108" s="17"/>
      <c r="EPE108" s="17"/>
      <c r="EPF108" s="17"/>
      <c r="EPG108" s="17"/>
      <c r="EPH108" s="17"/>
      <c r="EPI108" s="17"/>
      <c r="EPJ108" s="17"/>
      <c r="EPK108" s="17"/>
      <c r="EPL108" s="17"/>
      <c r="EPM108" s="17"/>
      <c r="EPN108" s="17"/>
      <c r="EPO108" s="17"/>
      <c r="EPP108" s="17"/>
      <c r="EPQ108" s="17"/>
      <c r="EPR108" s="17"/>
      <c r="EPS108" s="17"/>
      <c r="EPT108" s="17"/>
      <c r="EPU108" s="17"/>
      <c r="EPV108" s="17"/>
      <c r="EPW108" s="17"/>
      <c r="EPX108" s="17"/>
      <c r="EPY108" s="17"/>
      <c r="EPZ108" s="17"/>
      <c r="EQA108" s="17"/>
      <c r="EQB108" s="17"/>
      <c r="EQC108" s="17"/>
      <c r="EQD108" s="17"/>
      <c r="EQE108" s="17"/>
      <c r="EQF108" s="17"/>
      <c r="EQG108" s="17"/>
      <c r="EQH108" s="17"/>
      <c r="EQI108" s="17"/>
      <c r="EQJ108" s="17"/>
      <c r="EQK108" s="17"/>
      <c r="EQL108" s="17"/>
      <c r="EQM108" s="17"/>
      <c r="EQN108" s="17"/>
      <c r="EQO108" s="17"/>
      <c r="EQP108" s="17"/>
      <c r="EQQ108" s="17"/>
      <c r="EQR108" s="17"/>
      <c r="EQS108" s="17"/>
      <c r="EQT108" s="17"/>
      <c r="EQU108" s="17"/>
      <c r="EQV108" s="17"/>
      <c r="EQW108" s="17"/>
      <c r="EQX108" s="17"/>
      <c r="EQY108" s="17"/>
      <c r="EQZ108" s="17"/>
      <c r="ERA108" s="17"/>
      <c r="ERB108" s="17"/>
      <c r="ERC108" s="17"/>
      <c r="ERD108" s="17"/>
      <c r="ERE108" s="17"/>
      <c r="ERF108" s="17"/>
      <c r="ERG108" s="17"/>
      <c r="ERH108" s="17"/>
      <c r="ERI108" s="17"/>
      <c r="ERJ108" s="17"/>
      <c r="ERK108" s="17"/>
      <c r="ERL108" s="17"/>
      <c r="ERM108" s="17"/>
      <c r="ERN108" s="17"/>
      <c r="ERO108" s="17"/>
      <c r="ERP108" s="17"/>
      <c r="ERQ108" s="17"/>
      <c r="ERR108" s="17"/>
      <c r="ERS108" s="17"/>
      <c r="ERT108" s="17"/>
      <c r="ERU108" s="17"/>
      <c r="ERV108" s="17"/>
      <c r="ERW108" s="17"/>
      <c r="ERX108" s="17"/>
      <c r="ERY108" s="17"/>
      <c r="ERZ108" s="17"/>
      <c r="ESA108" s="17"/>
      <c r="ESB108" s="17"/>
      <c r="ESC108" s="17"/>
      <c r="ESD108" s="17"/>
      <c r="ESE108" s="17"/>
      <c r="ESF108" s="17"/>
      <c r="ESG108" s="17"/>
      <c r="ESH108" s="17"/>
      <c r="ESI108" s="17"/>
      <c r="ESJ108" s="17"/>
      <c r="ESK108" s="17"/>
      <c r="ESL108" s="17"/>
      <c r="ESM108" s="17"/>
      <c r="ESN108" s="17"/>
      <c r="ESO108" s="17"/>
      <c r="ESP108" s="17"/>
      <c r="ESQ108" s="17"/>
      <c r="ESR108" s="17"/>
      <c r="ESS108" s="17"/>
      <c r="EST108" s="17"/>
      <c r="ESU108" s="17"/>
      <c r="ESV108" s="17"/>
      <c r="ESW108" s="17"/>
      <c r="ESX108" s="17"/>
      <c r="ESY108" s="17"/>
      <c r="ESZ108" s="17"/>
      <c r="ETA108" s="17"/>
      <c r="ETB108" s="17"/>
      <c r="ETC108" s="17"/>
      <c r="ETD108" s="17"/>
      <c r="ETE108" s="17"/>
      <c r="ETF108" s="17"/>
      <c r="ETG108" s="17"/>
      <c r="ETH108" s="17"/>
      <c r="ETI108" s="17"/>
      <c r="ETJ108" s="17"/>
      <c r="ETK108" s="17"/>
      <c r="ETL108" s="17"/>
      <c r="ETM108" s="17"/>
      <c r="ETN108" s="17"/>
      <c r="ETO108" s="17"/>
      <c r="ETP108" s="17"/>
      <c r="ETQ108" s="17"/>
      <c r="ETR108" s="17"/>
      <c r="ETS108" s="17"/>
      <c r="ETT108" s="17"/>
      <c r="ETU108" s="17"/>
      <c r="ETV108" s="17"/>
      <c r="ETW108" s="17"/>
      <c r="ETX108" s="17"/>
      <c r="ETY108" s="17"/>
      <c r="ETZ108" s="17"/>
      <c r="EUA108" s="17"/>
      <c r="EUB108" s="17"/>
      <c r="EUC108" s="17"/>
      <c r="EUD108" s="17"/>
      <c r="EUE108" s="17"/>
      <c r="EUF108" s="17"/>
      <c r="EUG108" s="17"/>
      <c r="EUH108" s="17"/>
      <c r="EUI108" s="17"/>
      <c r="EUJ108" s="17"/>
      <c r="EUK108" s="17"/>
      <c r="EUL108" s="17"/>
      <c r="EUM108" s="17"/>
      <c r="EUN108" s="17"/>
      <c r="EUO108" s="17"/>
      <c r="EUP108" s="17"/>
      <c r="EUQ108" s="17"/>
      <c r="EUR108" s="17"/>
      <c r="EUS108" s="17"/>
      <c r="EUT108" s="17"/>
      <c r="EUU108" s="17"/>
      <c r="EUV108" s="17"/>
      <c r="EUW108" s="17"/>
      <c r="EUX108" s="17"/>
      <c r="EUY108" s="17"/>
      <c r="EUZ108" s="17"/>
      <c r="EVA108" s="17"/>
      <c r="EVB108" s="17"/>
      <c r="EVC108" s="17"/>
      <c r="EVD108" s="17"/>
      <c r="EVE108" s="17"/>
      <c r="EVF108" s="17"/>
      <c r="EVG108" s="17"/>
      <c r="EVH108" s="17"/>
      <c r="EVI108" s="17"/>
      <c r="EVJ108" s="17"/>
      <c r="EVK108" s="17"/>
      <c r="EVL108" s="17"/>
      <c r="EVM108" s="17"/>
      <c r="EVN108" s="17"/>
      <c r="EVO108" s="17"/>
      <c r="EVP108" s="17"/>
      <c r="EVQ108" s="17"/>
      <c r="EVR108" s="17"/>
      <c r="EVS108" s="17"/>
      <c r="EVT108" s="17"/>
      <c r="EVU108" s="17"/>
      <c r="EVV108" s="17"/>
      <c r="EVW108" s="17"/>
      <c r="EVX108" s="17"/>
      <c r="EVY108" s="17"/>
      <c r="EVZ108" s="17"/>
      <c r="EWA108" s="17"/>
      <c r="EWB108" s="17"/>
      <c r="EWC108" s="17"/>
      <c r="EWD108" s="17"/>
      <c r="EWE108" s="17"/>
      <c r="EWF108" s="17"/>
      <c r="EWG108" s="17"/>
      <c r="EWH108" s="17"/>
      <c r="EWI108" s="17"/>
      <c r="EWJ108" s="17"/>
      <c r="EWK108" s="17"/>
      <c r="EWL108" s="17"/>
      <c r="EWM108" s="17"/>
      <c r="EWN108" s="17"/>
      <c r="EWO108" s="17"/>
      <c r="EWP108" s="17"/>
      <c r="EWQ108" s="17"/>
      <c r="EWR108" s="17"/>
      <c r="EWS108" s="17"/>
      <c r="EWT108" s="17"/>
      <c r="EWU108" s="17"/>
      <c r="EWV108" s="17"/>
      <c r="EWW108" s="17"/>
      <c r="EWX108" s="17"/>
      <c r="EWY108" s="17"/>
      <c r="EWZ108" s="17"/>
      <c r="EXA108" s="17"/>
      <c r="EXB108" s="17"/>
      <c r="EXC108" s="17"/>
      <c r="EXD108" s="17"/>
      <c r="EXE108" s="17"/>
      <c r="EXF108" s="17"/>
      <c r="EXG108" s="17"/>
      <c r="EXH108" s="17"/>
      <c r="EXI108" s="17"/>
      <c r="EXJ108" s="17"/>
      <c r="EXK108" s="17"/>
      <c r="EXL108" s="17"/>
      <c r="EXM108" s="17"/>
      <c r="EXN108" s="17"/>
      <c r="EXO108" s="17"/>
      <c r="EXP108" s="17"/>
      <c r="EXQ108" s="17"/>
      <c r="EXR108" s="17"/>
      <c r="EXS108" s="17"/>
      <c r="EXT108" s="17"/>
      <c r="EXU108" s="17"/>
      <c r="EXV108" s="17"/>
      <c r="EXW108" s="17"/>
      <c r="EXX108" s="17"/>
      <c r="EXY108" s="17"/>
      <c r="EXZ108" s="17"/>
      <c r="EYA108" s="17"/>
      <c r="EYB108" s="17"/>
      <c r="EYC108" s="17"/>
      <c r="EYD108" s="17"/>
      <c r="EYE108" s="17"/>
      <c r="EYF108" s="17"/>
      <c r="EYG108" s="17"/>
      <c r="EYH108" s="17"/>
      <c r="EYI108" s="17"/>
      <c r="EYJ108" s="17"/>
      <c r="EYK108" s="17"/>
      <c r="EYL108" s="17"/>
      <c r="EYM108" s="17"/>
      <c r="EYN108" s="17"/>
      <c r="EYO108" s="17"/>
      <c r="EYP108" s="17"/>
      <c r="EYQ108" s="17"/>
      <c r="EYR108" s="17"/>
      <c r="EYS108" s="17"/>
      <c r="EYT108" s="17"/>
      <c r="EYU108" s="17"/>
      <c r="EYV108" s="17"/>
      <c r="EYW108" s="17"/>
      <c r="EYX108" s="17"/>
      <c r="EYY108" s="17"/>
      <c r="EYZ108" s="17"/>
      <c r="EZA108" s="17"/>
      <c r="EZB108" s="17"/>
      <c r="EZC108" s="17"/>
      <c r="EZD108" s="17"/>
      <c r="EZE108" s="17"/>
      <c r="EZF108" s="17"/>
      <c r="EZG108" s="17"/>
      <c r="EZH108" s="17"/>
      <c r="EZI108" s="17"/>
      <c r="EZJ108" s="17"/>
      <c r="EZK108" s="17"/>
      <c r="EZL108" s="17"/>
      <c r="EZM108" s="17"/>
      <c r="EZN108" s="17"/>
      <c r="EZO108" s="17"/>
      <c r="EZP108" s="17"/>
      <c r="EZQ108" s="17"/>
      <c r="EZR108" s="17"/>
      <c r="EZS108" s="17"/>
      <c r="EZT108" s="17"/>
      <c r="EZU108" s="17"/>
      <c r="EZV108" s="17"/>
      <c r="EZW108" s="17"/>
      <c r="EZX108" s="17"/>
      <c r="EZY108" s="17"/>
      <c r="EZZ108" s="17"/>
      <c r="FAA108" s="17"/>
      <c r="FAB108" s="17"/>
      <c r="FAC108" s="17"/>
      <c r="FAD108" s="17"/>
      <c r="FAE108" s="17"/>
      <c r="FAF108" s="17"/>
      <c r="FAG108" s="17"/>
      <c r="FAH108" s="17"/>
      <c r="FAI108" s="17"/>
      <c r="FAJ108" s="17"/>
      <c r="FAK108" s="17"/>
      <c r="FAL108" s="17"/>
      <c r="FAM108" s="17"/>
      <c r="FAN108" s="17"/>
      <c r="FAO108" s="17"/>
      <c r="FAP108" s="17"/>
      <c r="FAQ108" s="17"/>
      <c r="FAR108" s="17"/>
      <c r="FAS108" s="17"/>
      <c r="FAT108" s="17"/>
      <c r="FAU108" s="17"/>
      <c r="FAV108" s="17"/>
      <c r="FAW108" s="17"/>
      <c r="FAX108" s="17"/>
      <c r="FAY108" s="17"/>
      <c r="FAZ108" s="17"/>
      <c r="FBA108" s="17"/>
      <c r="FBB108" s="17"/>
      <c r="FBC108" s="17"/>
      <c r="FBD108" s="17"/>
      <c r="FBE108" s="17"/>
      <c r="FBF108" s="17"/>
      <c r="FBG108" s="17"/>
      <c r="FBH108" s="17"/>
      <c r="FBI108" s="17"/>
      <c r="FBJ108" s="17"/>
      <c r="FBK108" s="17"/>
      <c r="FBL108" s="17"/>
      <c r="FBM108" s="17"/>
      <c r="FBN108" s="17"/>
      <c r="FBO108" s="17"/>
      <c r="FBP108" s="17"/>
      <c r="FBQ108" s="17"/>
      <c r="FBR108" s="17"/>
      <c r="FBS108" s="17"/>
      <c r="FBT108" s="17"/>
      <c r="FBU108" s="17"/>
      <c r="FBV108" s="17"/>
      <c r="FBW108" s="17"/>
      <c r="FBX108" s="17"/>
      <c r="FBY108" s="17"/>
      <c r="FBZ108" s="17"/>
      <c r="FCA108" s="17"/>
      <c r="FCB108" s="17"/>
      <c r="FCC108" s="17"/>
      <c r="FCD108" s="17"/>
      <c r="FCE108" s="17"/>
      <c r="FCF108" s="17"/>
      <c r="FCG108" s="17"/>
      <c r="FCH108" s="17"/>
      <c r="FCI108" s="17"/>
      <c r="FCJ108" s="17"/>
      <c r="FCK108" s="17"/>
      <c r="FCL108" s="17"/>
      <c r="FCM108" s="17"/>
      <c r="FCN108" s="17"/>
      <c r="FCO108" s="17"/>
      <c r="FCP108" s="17"/>
      <c r="FCQ108" s="17"/>
      <c r="FCR108" s="17"/>
      <c r="FCS108" s="17"/>
      <c r="FCT108" s="17"/>
      <c r="FCU108" s="17"/>
      <c r="FCV108" s="17"/>
      <c r="FCW108" s="17"/>
      <c r="FCX108" s="17"/>
      <c r="FCY108" s="17"/>
      <c r="FCZ108" s="17"/>
      <c r="FDA108" s="17"/>
      <c r="FDB108" s="17"/>
      <c r="FDC108" s="17"/>
      <c r="FDD108" s="17"/>
      <c r="FDE108" s="17"/>
      <c r="FDF108" s="17"/>
      <c r="FDG108" s="17"/>
      <c r="FDH108" s="17"/>
      <c r="FDI108" s="17"/>
      <c r="FDJ108" s="17"/>
      <c r="FDK108" s="17"/>
      <c r="FDL108" s="17"/>
      <c r="FDM108" s="17"/>
      <c r="FDN108" s="17"/>
      <c r="FDO108" s="17"/>
      <c r="FDP108" s="17"/>
      <c r="FDQ108" s="17"/>
      <c r="FDR108" s="17"/>
      <c r="FDS108" s="17"/>
      <c r="FDT108" s="17"/>
      <c r="FDU108" s="17"/>
      <c r="FDV108" s="17"/>
      <c r="FDW108" s="17"/>
      <c r="FDX108" s="17"/>
      <c r="FDY108" s="17"/>
      <c r="FDZ108" s="17"/>
      <c r="FEA108" s="17"/>
      <c r="FEB108" s="17"/>
      <c r="FEC108" s="17"/>
      <c r="FED108" s="17"/>
      <c r="FEE108" s="17"/>
      <c r="FEF108" s="17"/>
      <c r="FEG108" s="17"/>
      <c r="FEH108" s="17"/>
      <c r="FEI108" s="17"/>
      <c r="FEJ108" s="17"/>
      <c r="FEK108" s="17"/>
      <c r="FEL108" s="17"/>
      <c r="FEM108" s="17"/>
      <c r="FEN108" s="17"/>
      <c r="FEO108" s="17"/>
      <c r="FEP108" s="17"/>
      <c r="FEQ108" s="17"/>
      <c r="FER108" s="17"/>
      <c r="FES108" s="17"/>
      <c r="FET108" s="17"/>
      <c r="FEU108" s="17"/>
      <c r="FEV108" s="17"/>
      <c r="FEW108" s="17"/>
      <c r="FEX108" s="17"/>
      <c r="FEY108" s="17"/>
      <c r="FEZ108" s="17"/>
      <c r="FFA108" s="17"/>
      <c r="FFB108" s="17"/>
      <c r="FFC108" s="17"/>
      <c r="FFD108" s="17"/>
      <c r="FFE108" s="17"/>
      <c r="FFF108" s="17"/>
      <c r="FFG108" s="17"/>
      <c r="FFH108" s="17"/>
      <c r="FFI108" s="17"/>
      <c r="FFJ108" s="17"/>
      <c r="FFK108" s="17"/>
      <c r="FFL108" s="17"/>
      <c r="FFM108" s="17"/>
      <c r="FFN108" s="17"/>
      <c r="FFO108" s="17"/>
      <c r="FFP108" s="17"/>
      <c r="FFQ108" s="17"/>
      <c r="FFR108" s="17"/>
      <c r="FFS108" s="17"/>
      <c r="FFT108" s="17"/>
      <c r="FFU108" s="17"/>
      <c r="FFV108" s="17"/>
      <c r="FFW108" s="17"/>
      <c r="FFX108" s="17"/>
      <c r="FFY108" s="17"/>
      <c r="FFZ108" s="17"/>
      <c r="FGA108" s="17"/>
      <c r="FGB108" s="17"/>
      <c r="FGC108" s="17"/>
      <c r="FGD108" s="17"/>
      <c r="FGE108" s="17"/>
      <c r="FGF108" s="17"/>
      <c r="FGG108" s="17"/>
      <c r="FGH108" s="17"/>
      <c r="FGI108" s="17"/>
      <c r="FGJ108" s="17"/>
      <c r="FGK108" s="17"/>
      <c r="FGL108" s="17"/>
      <c r="FGM108" s="17"/>
      <c r="FGN108" s="17"/>
      <c r="FGO108" s="17"/>
      <c r="FGP108" s="17"/>
      <c r="FGQ108" s="17"/>
      <c r="FGR108" s="17"/>
      <c r="FGS108" s="17"/>
      <c r="FGT108" s="17"/>
      <c r="FGU108" s="17"/>
      <c r="FGV108" s="17"/>
      <c r="FGW108" s="17"/>
      <c r="FGX108" s="17"/>
      <c r="FGY108" s="17"/>
      <c r="FGZ108" s="17"/>
      <c r="FHA108" s="17"/>
      <c r="FHB108" s="17"/>
      <c r="FHC108" s="17"/>
      <c r="FHD108" s="17"/>
      <c r="FHE108" s="17"/>
      <c r="FHF108" s="17"/>
      <c r="FHG108" s="17"/>
      <c r="FHH108" s="17"/>
      <c r="FHI108" s="17"/>
      <c r="FHJ108" s="17"/>
      <c r="FHK108" s="17"/>
      <c r="FHL108" s="17"/>
      <c r="FHM108" s="17"/>
      <c r="FHN108" s="17"/>
      <c r="FHO108" s="17"/>
      <c r="FHP108" s="17"/>
      <c r="FHQ108" s="17"/>
      <c r="FHR108" s="17"/>
      <c r="FHS108" s="17"/>
      <c r="FHT108" s="17"/>
      <c r="FHU108" s="17"/>
      <c r="FHV108" s="17"/>
      <c r="FHW108" s="17"/>
      <c r="FHX108" s="17"/>
      <c r="FHY108" s="17"/>
      <c r="FHZ108" s="17"/>
      <c r="FIA108" s="17"/>
      <c r="FIB108" s="17"/>
      <c r="FIC108" s="17"/>
      <c r="FID108" s="17"/>
      <c r="FIE108" s="17"/>
      <c r="FIF108" s="17"/>
      <c r="FIG108" s="17"/>
      <c r="FIH108" s="17"/>
      <c r="FII108" s="17"/>
      <c r="FIJ108" s="17"/>
      <c r="FIK108" s="17"/>
      <c r="FIL108" s="17"/>
      <c r="FIM108" s="17"/>
      <c r="FIN108" s="17"/>
      <c r="FIO108" s="17"/>
      <c r="FIP108" s="17"/>
      <c r="FIQ108" s="17"/>
      <c r="FIR108" s="17"/>
      <c r="FIS108" s="17"/>
      <c r="FIT108" s="17"/>
      <c r="FIU108" s="17"/>
      <c r="FIV108" s="17"/>
      <c r="FIW108" s="17"/>
      <c r="FIX108" s="17"/>
      <c r="FIY108" s="17"/>
      <c r="FIZ108" s="17"/>
      <c r="FJA108" s="17"/>
      <c r="FJB108" s="17"/>
      <c r="FJC108" s="17"/>
      <c r="FJD108" s="17"/>
      <c r="FJE108" s="17"/>
      <c r="FJF108" s="17"/>
      <c r="FJG108" s="17"/>
      <c r="FJH108" s="17"/>
      <c r="FJI108" s="17"/>
      <c r="FJJ108" s="17"/>
      <c r="FJK108" s="17"/>
      <c r="FJL108" s="17"/>
      <c r="FJM108" s="17"/>
      <c r="FJN108" s="17"/>
      <c r="FJO108" s="17"/>
      <c r="FJP108" s="17"/>
      <c r="FJQ108" s="17"/>
      <c r="FJR108" s="17"/>
      <c r="FJS108" s="17"/>
      <c r="FJT108" s="17"/>
      <c r="FJU108" s="17"/>
      <c r="FJV108" s="17"/>
      <c r="FJW108" s="17"/>
      <c r="FJX108" s="17"/>
      <c r="FJY108" s="17"/>
      <c r="FJZ108" s="17"/>
      <c r="FKA108" s="17"/>
      <c r="FKB108" s="17"/>
      <c r="FKC108" s="17"/>
      <c r="FKD108" s="17"/>
      <c r="FKE108" s="17"/>
      <c r="FKF108" s="17"/>
      <c r="FKG108" s="17"/>
      <c r="FKH108" s="17"/>
      <c r="FKI108" s="17"/>
      <c r="FKJ108" s="17"/>
      <c r="FKK108" s="17"/>
      <c r="FKL108" s="17"/>
      <c r="FKM108" s="17"/>
      <c r="FKN108" s="17"/>
      <c r="FKO108" s="17"/>
      <c r="FKP108" s="17"/>
      <c r="FKQ108" s="17"/>
      <c r="FKR108" s="17"/>
      <c r="FKS108" s="17"/>
      <c r="FKT108" s="17"/>
      <c r="FKU108" s="17"/>
      <c r="FKV108" s="17"/>
      <c r="FKW108" s="17"/>
      <c r="FKX108" s="17"/>
      <c r="FKY108" s="17"/>
      <c r="FKZ108" s="17"/>
      <c r="FLA108" s="17"/>
      <c r="FLB108" s="17"/>
      <c r="FLC108" s="17"/>
      <c r="FLD108" s="17"/>
      <c r="FLE108" s="17"/>
      <c r="FLF108" s="17"/>
      <c r="FLG108" s="17"/>
      <c r="FLH108" s="17"/>
      <c r="FLI108" s="17"/>
      <c r="FLJ108" s="17"/>
      <c r="FLK108" s="17"/>
      <c r="FLL108" s="17"/>
      <c r="FLM108" s="17"/>
      <c r="FLN108" s="17"/>
      <c r="FLO108" s="17"/>
      <c r="FLP108" s="17"/>
      <c r="FLQ108" s="17"/>
      <c r="FLR108" s="17"/>
      <c r="FLS108" s="17"/>
      <c r="FLT108" s="17"/>
      <c r="FLU108" s="17"/>
      <c r="FLV108" s="17"/>
      <c r="FLW108" s="17"/>
      <c r="FLX108" s="17"/>
      <c r="FLY108" s="17"/>
      <c r="FLZ108" s="17"/>
      <c r="FMA108" s="17"/>
      <c r="FMB108" s="17"/>
      <c r="FMC108" s="17"/>
      <c r="FMD108" s="17"/>
      <c r="FME108" s="17"/>
      <c r="FMF108" s="17"/>
      <c r="FMG108" s="17"/>
      <c r="FMH108" s="17"/>
      <c r="FMI108" s="17"/>
      <c r="FMJ108" s="17"/>
      <c r="FMK108" s="17"/>
      <c r="FML108" s="17"/>
      <c r="FMM108" s="17"/>
      <c r="FMN108" s="17"/>
      <c r="FMO108" s="17"/>
      <c r="FMP108" s="17"/>
      <c r="FMQ108" s="17"/>
      <c r="FMR108" s="17"/>
      <c r="FMS108" s="17"/>
      <c r="FMT108" s="17"/>
      <c r="FMU108" s="17"/>
      <c r="FMV108" s="17"/>
      <c r="FMW108" s="17"/>
      <c r="FMX108" s="17"/>
      <c r="FMY108" s="17"/>
      <c r="FMZ108" s="17"/>
      <c r="FNA108" s="17"/>
      <c r="FNB108" s="17"/>
      <c r="FNC108" s="17"/>
      <c r="FND108" s="17"/>
      <c r="FNE108" s="17"/>
      <c r="FNF108" s="17"/>
      <c r="FNG108" s="17"/>
      <c r="FNH108" s="17"/>
      <c r="FNI108" s="17"/>
      <c r="FNJ108" s="17"/>
      <c r="FNK108" s="17"/>
      <c r="FNL108" s="17"/>
      <c r="FNM108" s="17"/>
      <c r="FNN108" s="17"/>
      <c r="FNO108" s="17"/>
      <c r="FNP108" s="17"/>
      <c r="FNQ108" s="17"/>
      <c r="FNR108" s="17"/>
      <c r="FNS108" s="17"/>
      <c r="FNT108" s="17"/>
      <c r="FNU108" s="17"/>
      <c r="FNV108" s="17"/>
      <c r="FNW108" s="17"/>
      <c r="FNX108" s="17"/>
      <c r="FNY108" s="17"/>
      <c r="FNZ108" s="17"/>
      <c r="FOA108" s="17"/>
      <c r="FOB108" s="17"/>
      <c r="FOC108" s="17"/>
      <c r="FOD108" s="17"/>
      <c r="FOE108" s="17"/>
      <c r="FOF108" s="17"/>
      <c r="FOG108" s="17"/>
      <c r="FOH108" s="17"/>
      <c r="FOI108" s="17"/>
      <c r="FOJ108" s="17"/>
      <c r="FOK108" s="17"/>
      <c r="FOL108" s="17"/>
      <c r="FOM108" s="17"/>
      <c r="FON108" s="17"/>
      <c r="FOO108" s="17"/>
      <c r="FOP108" s="17"/>
      <c r="FOQ108" s="17"/>
      <c r="FOR108" s="17"/>
      <c r="FOS108" s="17"/>
      <c r="FOT108" s="17"/>
      <c r="FOU108" s="17"/>
      <c r="FOV108" s="17"/>
      <c r="FOW108" s="17"/>
      <c r="FOX108" s="17"/>
      <c r="FOY108" s="17"/>
      <c r="FOZ108" s="17"/>
      <c r="FPA108" s="17"/>
      <c r="FPB108" s="17"/>
      <c r="FPC108" s="17"/>
      <c r="FPD108" s="17"/>
      <c r="FPE108" s="17"/>
      <c r="FPF108" s="17"/>
      <c r="FPG108" s="17"/>
      <c r="FPH108" s="17"/>
      <c r="FPI108" s="17"/>
      <c r="FPJ108" s="17"/>
      <c r="FPK108" s="17"/>
      <c r="FPL108" s="17"/>
      <c r="FPM108" s="17"/>
      <c r="FPN108" s="17"/>
      <c r="FPO108" s="17"/>
      <c r="FPP108" s="17"/>
      <c r="FPQ108" s="17"/>
      <c r="FPR108" s="17"/>
      <c r="FPS108" s="17"/>
      <c r="FPT108" s="17"/>
      <c r="FPU108" s="17"/>
      <c r="FPV108" s="17"/>
      <c r="FPW108" s="17"/>
      <c r="FPX108" s="17"/>
      <c r="FPY108" s="17"/>
      <c r="FPZ108" s="17"/>
      <c r="FQA108" s="17"/>
      <c r="FQB108" s="17"/>
      <c r="FQC108" s="17"/>
      <c r="FQD108" s="17"/>
      <c r="FQE108" s="17"/>
      <c r="FQF108" s="17"/>
      <c r="FQG108" s="17"/>
      <c r="FQH108" s="17"/>
      <c r="FQI108" s="17"/>
      <c r="FQJ108" s="17"/>
      <c r="FQK108" s="17"/>
      <c r="FQL108" s="17"/>
      <c r="FQM108" s="17"/>
      <c r="FQN108" s="17"/>
      <c r="FQO108" s="17"/>
      <c r="FQP108" s="17"/>
      <c r="FQQ108" s="17"/>
      <c r="FQR108" s="17"/>
      <c r="FQS108" s="17"/>
      <c r="FQT108" s="17"/>
      <c r="FQU108" s="17"/>
      <c r="FQV108" s="17"/>
      <c r="FQW108" s="17"/>
      <c r="FQX108" s="17"/>
      <c r="FQY108" s="17"/>
      <c r="FQZ108" s="17"/>
      <c r="FRA108" s="17"/>
      <c r="FRB108" s="17"/>
      <c r="FRC108" s="17"/>
      <c r="FRD108" s="17"/>
      <c r="FRE108" s="17"/>
      <c r="FRF108" s="17"/>
      <c r="FRG108" s="17"/>
      <c r="FRH108" s="17"/>
      <c r="FRI108" s="17"/>
      <c r="FRJ108" s="17"/>
      <c r="FRK108" s="17"/>
      <c r="FRL108" s="17"/>
      <c r="FRM108" s="17"/>
      <c r="FRN108" s="17"/>
      <c r="FRO108" s="17"/>
      <c r="FRP108" s="17"/>
      <c r="FRQ108" s="17"/>
      <c r="FRR108" s="17"/>
      <c r="FRS108" s="17"/>
      <c r="FRT108" s="17"/>
      <c r="FRU108" s="17"/>
      <c r="FRV108" s="17"/>
      <c r="FRW108" s="17"/>
      <c r="FRX108" s="17"/>
      <c r="FRY108" s="17"/>
      <c r="FRZ108" s="17"/>
      <c r="FSA108" s="17"/>
      <c r="FSB108" s="17"/>
      <c r="FSC108" s="17"/>
      <c r="FSD108" s="17"/>
      <c r="FSE108" s="17"/>
      <c r="FSF108" s="17"/>
      <c r="FSG108" s="17"/>
      <c r="FSH108" s="17"/>
      <c r="FSI108" s="17"/>
      <c r="FSJ108" s="17"/>
      <c r="FSK108" s="17"/>
      <c r="FSL108" s="17"/>
      <c r="FSM108" s="17"/>
      <c r="FSN108" s="17"/>
      <c r="FSO108" s="17"/>
      <c r="FSP108" s="17"/>
      <c r="FSQ108" s="17"/>
      <c r="FSR108" s="17"/>
      <c r="FSS108" s="17"/>
      <c r="FST108" s="17"/>
      <c r="FSU108" s="17"/>
      <c r="FSV108" s="17"/>
      <c r="FSW108" s="17"/>
      <c r="FSX108" s="17"/>
      <c r="FSY108" s="17"/>
      <c r="FSZ108" s="17"/>
      <c r="FTA108" s="17"/>
      <c r="FTB108" s="17"/>
      <c r="FTC108" s="17"/>
      <c r="FTD108" s="17"/>
      <c r="FTE108" s="17"/>
      <c r="FTF108" s="17"/>
      <c r="FTG108" s="17"/>
      <c r="FTH108" s="17"/>
      <c r="FTI108" s="17"/>
      <c r="FTJ108" s="17"/>
      <c r="FTK108" s="17"/>
      <c r="FTL108" s="17"/>
      <c r="FTM108" s="17"/>
      <c r="FTN108" s="17"/>
      <c r="FTO108" s="17"/>
      <c r="FTP108" s="17"/>
      <c r="FTQ108" s="17"/>
      <c r="FTR108" s="17"/>
      <c r="FTS108" s="17"/>
      <c r="FTT108" s="17"/>
      <c r="FTU108" s="17"/>
      <c r="FTV108" s="17"/>
      <c r="FTW108" s="17"/>
      <c r="FTX108" s="17"/>
      <c r="FTY108" s="17"/>
      <c r="FTZ108" s="17"/>
      <c r="FUA108" s="17"/>
      <c r="FUB108" s="17"/>
      <c r="FUC108" s="17"/>
      <c r="FUD108" s="17"/>
      <c r="FUE108" s="17"/>
      <c r="FUF108" s="17"/>
      <c r="FUG108" s="17"/>
      <c r="FUH108" s="17"/>
      <c r="FUI108" s="17"/>
      <c r="FUJ108" s="17"/>
      <c r="FUK108" s="17"/>
      <c r="FUL108" s="17"/>
      <c r="FUM108" s="17"/>
      <c r="FUN108" s="17"/>
      <c r="FUO108" s="17"/>
      <c r="FUP108" s="17"/>
      <c r="FUQ108" s="17"/>
      <c r="FUR108" s="17"/>
      <c r="FUS108" s="17"/>
      <c r="FUT108" s="17"/>
      <c r="FUU108" s="17"/>
      <c r="FUV108" s="17"/>
      <c r="FUW108" s="17"/>
      <c r="FUX108" s="17"/>
      <c r="FUY108" s="17"/>
      <c r="FUZ108" s="17"/>
      <c r="FVA108" s="17"/>
      <c r="FVB108" s="17"/>
      <c r="FVC108" s="17"/>
      <c r="FVD108" s="17"/>
      <c r="FVE108" s="17"/>
      <c r="FVF108" s="17"/>
      <c r="FVG108" s="17"/>
      <c r="FVH108" s="17"/>
      <c r="FVI108" s="17"/>
      <c r="FVJ108" s="17"/>
      <c r="FVK108" s="17"/>
      <c r="FVL108" s="17"/>
      <c r="FVM108" s="17"/>
      <c r="FVN108" s="17"/>
      <c r="FVO108" s="17"/>
      <c r="FVP108" s="17"/>
      <c r="FVQ108" s="17"/>
      <c r="FVR108" s="17"/>
      <c r="FVS108" s="17"/>
      <c r="FVT108" s="17"/>
      <c r="FVU108" s="17"/>
      <c r="FVV108" s="17"/>
      <c r="FVW108" s="17"/>
      <c r="FVX108" s="17"/>
      <c r="FVY108" s="17"/>
      <c r="FVZ108" s="17"/>
      <c r="FWA108" s="17"/>
      <c r="FWB108" s="17"/>
      <c r="FWC108" s="17"/>
      <c r="FWD108" s="17"/>
      <c r="FWE108" s="17"/>
      <c r="FWF108" s="17"/>
      <c r="FWG108" s="17"/>
      <c r="FWH108" s="17"/>
      <c r="FWI108" s="17"/>
      <c r="FWJ108" s="17"/>
      <c r="FWK108" s="17"/>
      <c r="FWL108" s="17"/>
      <c r="FWM108" s="17"/>
      <c r="FWN108" s="17"/>
      <c r="FWO108" s="17"/>
      <c r="FWP108" s="17"/>
      <c r="FWQ108" s="17"/>
      <c r="FWR108" s="17"/>
      <c r="FWS108" s="17"/>
      <c r="FWT108" s="17"/>
      <c r="FWU108" s="17"/>
      <c r="FWV108" s="17"/>
      <c r="FWW108" s="17"/>
      <c r="FWX108" s="17"/>
      <c r="FWY108" s="17"/>
      <c r="FWZ108" s="17"/>
      <c r="FXA108" s="17"/>
      <c r="FXB108" s="17"/>
      <c r="FXC108" s="17"/>
      <c r="FXD108" s="17"/>
      <c r="FXE108" s="17"/>
      <c r="FXF108" s="17"/>
      <c r="FXG108" s="17"/>
      <c r="FXH108" s="17"/>
      <c r="FXI108" s="17"/>
      <c r="FXJ108" s="17"/>
      <c r="FXK108" s="17"/>
      <c r="FXL108" s="17"/>
      <c r="FXM108" s="17"/>
      <c r="FXN108" s="17"/>
      <c r="FXO108" s="17"/>
      <c r="FXP108" s="17"/>
      <c r="FXQ108" s="17"/>
      <c r="FXR108" s="17"/>
      <c r="FXS108" s="17"/>
      <c r="FXT108" s="17"/>
      <c r="FXU108" s="17"/>
      <c r="FXV108" s="17"/>
      <c r="FXW108" s="17"/>
      <c r="FXX108" s="17"/>
      <c r="FXY108" s="17"/>
      <c r="FXZ108" s="17"/>
      <c r="FYA108" s="17"/>
      <c r="FYB108" s="17"/>
      <c r="FYC108" s="17"/>
      <c r="FYD108" s="17"/>
      <c r="FYE108" s="17"/>
      <c r="FYF108" s="17"/>
      <c r="FYG108" s="17"/>
      <c r="FYH108" s="17"/>
      <c r="FYI108" s="17"/>
      <c r="FYJ108" s="17"/>
      <c r="FYK108" s="17"/>
      <c r="FYL108" s="17"/>
      <c r="FYM108" s="17"/>
      <c r="FYN108" s="17"/>
      <c r="FYO108" s="17"/>
      <c r="FYP108" s="17"/>
      <c r="FYQ108" s="17"/>
      <c r="FYR108" s="17"/>
      <c r="FYS108" s="17"/>
      <c r="FYT108" s="17"/>
      <c r="FYU108" s="17"/>
      <c r="FYV108" s="17"/>
      <c r="FYW108" s="17"/>
      <c r="FYX108" s="17"/>
      <c r="FYY108" s="17"/>
      <c r="FYZ108" s="17"/>
      <c r="FZA108" s="17"/>
      <c r="FZB108" s="17"/>
      <c r="FZC108" s="17"/>
      <c r="FZD108" s="17"/>
      <c r="FZE108" s="17"/>
      <c r="FZF108" s="17"/>
      <c r="FZG108" s="17"/>
      <c r="FZH108" s="17"/>
      <c r="FZI108" s="17"/>
      <c r="FZJ108" s="17"/>
      <c r="FZK108" s="17"/>
      <c r="FZL108" s="17"/>
      <c r="FZM108" s="17"/>
      <c r="FZN108" s="17"/>
      <c r="FZO108" s="17"/>
      <c r="FZP108" s="17"/>
      <c r="FZQ108" s="17"/>
      <c r="FZR108" s="17"/>
      <c r="FZS108" s="17"/>
      <c r="FZT108" s="17"/>
      <c r="FZU108" s="17"/>
      <c r="FZV108" s="17"/>
      <c r="FZW108" s="17"/>
      <c r="FZX108" s="17"/>
      <c r="FZY108" s="17"/>
      <c r="FZZ108" s="17"/>
      <c r="GAA108" s="17"/>
      <c r="GAB108" s="17"/>
      <c r="GAC108" s="17"/>
      <c r="GAD108" s="17"/>
      <c r="GAE108" s="17"/>
      <c r="GAF108" s="17"/>
      <c r="GAG108" s="17"/>
      <c r="GAH108" s="17"/>
      <c r="GAI108" s="17"/>
      <c r="GAJ108" s="17"/>
      <c r="GAK108" s="17"/>
      <c r="GAL108" s="17"/>
      <c r="GAM108" s="17"/>
      <c r="GAN108" s="17"/>
      <c r="GAO108" s="17"/>
      <c r="GAP108" s="17"/>
      <c r="GAQ108" s="17"/>
      <c r="GAR108" s="17"/>
      <c r="GAS108" s="17"/>
      <c r="GAT108" s="17"/>
      <c r="GAU108" s="17"/>
      <c r="GAV108" s="17"/>
      <c r="GAW108" s="17"/>
      <c r="GAX108" s="17"/>
      <c r="GAY108" s="17"/>
      <c r="GAZ108" s="17"/>
      <c r="GBA108" s="17"/>
      <c r="GBB108" s="17"/>
      <c r="GBC108" s="17"/>
      <c r="GBD108" s="17"/>
      <c r="GBE108" s="17"/>
      <c r="GBF108" s="17"/>
      <c r="GBG108" s="17"/>
      <c r="GBH108" s="17"/>
      <c r="GBI108" s="17"/>
      <c r="GBJ108" s="17"/>
      <c r="GBK108" s="17"/>
      <c r="GBL108" s="17"/>
      <c r="GBM108" s="17"/>
      <c r="GBN108" s="17"/>
      <c r="GBO108" s="17"/>
      <c r="GBP108" s="17"/>
      <c r="GBQ108" s="17"/>
      <c r="GBR108" s="17"/>
      <c r="GBS108" s="17"/>
      <c r="GBT108" s="17"/>
      <c r="GBU108" s="17"/>
      <c r="GBV108" s="17"/>
      <c r="GBW108" s="17"/>
      <c r="GBX108" s="17"/>
      <c r="GBY108" s="17"/>
      <c r="GBZ108" s="17"/>
      <c r="GCA108" s="17"/>
      <c r="GCB108" s="17"/>
      <c r="GCC108" s="17"/>
      <c r="GCD108" s="17"/>
      <c r="GCE108" s="17"/>
      <c r="GCF108" s="17"/>
      <c r="GCG108" s="17"/>
      <c r="GCH108" s="17"/>
      <c r="GCI108" s="17"/>
      <c r="GCJ108" s="17"/>
      <c r="GCK108" s="17"/>
      <c r="GCL108" s="17"/>
      <c r="GCM108" s="17"/>
      <c r="GCN108" s="17"/>
      <c r="GCO108" s="17"/>
      <c r="GCP108" s="17"/>
      <c r="GCQ108" s="17"/>
      <c r="GCR108" s="17"/>
      <c r="GCS108" s="17"/>
      <c r="GCT108" s="17"/>
      <c r="GCU108" s="17"/>
      <c r="GCV108" s="17"/>
      <c r="GCW108" s="17"/>
      <c r="GCX108" s="17"/>
      <c r="GCY108" s="17"/>
      <c r="GCZ108" s="17"/>
      <c r="GDA108" s="17"/>
      <c r="GDB108" s="17"/>
      <c r="GDC108" s="17"/>
      <c r="GDD108" s="17"/>
      <c r="GDE108" s="17"/>
      <c r="GDF108" s="17"/>
      <c r="GDG108" s="17"/>
      <c r="GDH108" s="17"/>
      <c r="GDI108" s="17"/>
      <c r="GDJ108" s="17"/>
      <c r="GDK108" s="17"/>
      <c r="GDL108" s="17"/>
      <c r="GDM108" s="17"/>
      <c r="GDN108" s="17"/>
      <c r="GDO108" s="17"/>
      <c r="GDP108" s="17"/>
      <c r="GDQ108" s="17"/>
      <c r="GDR108" s="17"/>
      <c r="GDS108" s="17"/>
      <c r="GDT108" s="17"/>
      <c r="GDU108" s="17"/>
      <c r="GDV108" s="17"/>
      <c r="GDW108" s="17"/>
      <c r="GDX108" s="17"/>
      <c r="GDY108" s="17"/>
      <c r="GDZ108" s="17"/>
      <c r="GEA108" s="17"/>
      <c r="GEB108" s="17"/>
      <c r="GEC108" s="17"/>
      <c r="GED108" s="17"/>
      <c r="GEE108" s="17"/>
      <c r="GEF108" s="17"/>
      <c r="GEG108" s="17"/>
      <c r="GEH108" s="17"/>
      <c r="GEI108" s="17"/>
      <c r="GEJ108" s="17"/>
      <c r="GEK108" s="17"/>
      <c r="GEL108" s="17"/>
      <c r="GEM108" s="17"/>
      <c r="GEN108" s="17"/>
      <c r="GEO108" s="17"/>
      <c r="GEP108" s="17"/>
      <c r="GEQ108" s="17"/>
      <c r="GER108" s="17"/>
      <c r="GES108" s="17"/>
      <c r="GET108" s="17"/>
      <c r="GEU108" s="17"/>
      <c r="GEV108" s="17"/>
      <c r="GEW108" s="17"/>
      <c r="GEX108" s="17"/>
      <c r="GEY108" s="17"/>
      <c r="GEZ108" s="17"/>
      <c r="GFA108" s="17"/>
      <c r="GFB108" s="17"/>
      <c r="GFC108" s="17"/>
      <c r="GFD108" s="17"/>
      <c r="GFE108" s="17"/>
      <c r="GFF108" s="17"/>
      <c r="GFG108" s="17"/>
      <c r="GFH108" s="17"/>
      <c r="GFI108" s="17"/>
      <c r="GFJ108" s="17"/>
      <c r="GFK108" s="17"/>
      <c r="GFL108" s="17"/>
      <c r="GFM108" s="17"/>
      <c r="GFN108" s="17"/>
      <c r="GFO108" s="17"/>
      <c r="GFP108" s="17"/>
      <c r="GFQ108" s="17"/>
      <c r="GFR108" s="17"/>
      <c r="GFS108" s="17"/>
      <c r="GFT108" s="17"/>
      <c r="GFU108" s="17"/>
      <c r="GFV108" s="17"/>
      <c r="GFW108" s="17"/>
      <c r="GFX108" s="17"/>
      <c r="GFY108" s="17"/>
      <c r="GFZ108" s="17"/>
      <c r="GGA108" s="17"/>
      <c r="GGB108" s="17"/>
      <c r="GGC108" s="17"/>
      <c r="GGD108" s="17"/>
      <c r="GGE108" s="17"/>
      <c r="GGF108" s="17"/>
      <c r="GGG108" s="17"/>
      <c r="GGH108" s="17"/>
      <c r="GGI108" s="17"/>
      <c r="GGJ108" s="17"/>
      <c r="GGK108" s="17"/>
      <c r="GGL108" s="17"/>
      <c r="GGM108" s="17"/>
      <c r="GGN108" s="17"/>
      <c r="GGO108" s="17"/>
      <c r="GGP108" s="17"/>
      <c r="GGQ108" s="17"/>
      <c r="GGR108" s="17"/>
      <c r="GGS108" s="17"/>
      <c r="GGT108" s="17"/>
      <c r="GGU108" s="17"/>
      <c r="GGV108" s="17"/>
      <c r="GGW108" s="17"/>
      <c r="GGX108" s="17"/>
      <c r="GGY108" s="17"/>
      <c r="GGZ108" s="17"/>
      <c r="GHA108" s="17"/>
      <c r="GHB108" s="17"/>
      <c r="GHC108" s="17"/>
      <c r="GHD108" s="17"/>
      <c r="GHE108" s="17"/>
      <c r="GHF108" s="17"/>
      <c r="GHG108" s="17"/>
      <c r="GHH108" s="17"/>
      <c r="GHI108" s="17"/>
      <c r="GHJ108" s="17"/>
      <c r="GHK108" s="17"/>
      <c r="GHL108" s="17"/>
      <c r="GHM108" s="17"/>
      <c r="GHN108" s="17"/>
      <c r="GHO108" s="17"/>
      <c r="GHP108" s="17"/>
      <c r="GHQ108" s="17"/>
      <c r="GHR108" s="17"/>
      <c r="GHS108" s="17"/>
      <c r="GHT108" s="17"/>
      <c r="GHU108" s="17"/>
      <c r="GHV108" s="17"/>
      <c r="GHW108" s="17"/>
      <c r="GHX108" s="17"/>
      <c r="GHY108" s="17"/>
      <c r="GHZ108" s="17"/>
      <c r="GIA108" s="17"/>
      <c r="GIB108" s="17"/>
      <c r="GIC108" s="17"/>
      <c r="GID108" s="17"/>
      <c r="GIE108" s="17"/>
      <c r="GIF108" s="17"/>
      <c r="GIG108" s="17"/>
      <c r="GIH108" s="17"/>
      <c r="GII108" s="17"/>
      <c r="GIJ108" s="17"/>
      <c r="GIK108" s="17"/>
      <c r="GIL108" s="17"/>
      <c r="GIM108" s="17"/>
      <c r="GIN108" s="17"/>
      <c r="GIO108" s="17"/>
      <c r="GIP108" s="17"/>
      <c r="GIQ108" s="17"/>
      <c r="GIR108" s="17"/>
      <c r="GIS108" s="17"/>
      <c r="GIT108" s="17"/>
      <c r="GIU108" s="17"/>
      <c r="GIV108" s="17"/>
      <c r="GIW108" s="17"/>
      <c r="GIX108" s="17"/>
      <c r="GIY108" s="17"/>
      <c r="GIZ108" s="17"/>
      <c r="GJA108" s="17"/>
      <c r="GJB108" s="17"/>
      <c r="GJC108" s="17"/>
      <c r="GJD108" s="17"/>
      <c r="GJE108" s="17"/>
      <c r="GJF108" s="17"/>
      <c r="GJG108" s="17"/>
      <c r="GJH108" s="17"/>
      <c r="GJI108" s="17"/>
      <c r="GJJ108" s="17"/>
      <c r="GJK108" s="17"/>
      <c r="GJL108" s="17"/>
      <c r="GJM108" s="17"/>
      <c r="GJN108" s="17"/>
      <c r="GJO108" s="17"/>
      <c r="GJP108" s="17"/>
      <c r="GJQ108" s="17"/>
      <c r="GJR108" s="17"/>
      <c r="GJS108" s="17"/>
      <c r="GJT108" s="17"/>
      <c r="GJU108" s="17"/>
      <c r="GJV108" s="17"/>
      <c r="GJW108" s="17"/>
      <c r="GJX108" s="17"/>
      <c r="GJY108" s="17"/>
      <c r="GJZ108" s="17"/>
      <c r="GKA108" s="17"/>
      <c r="GKB108" s="17"/>
      <c r="GKC108" s="17"/>
      <c r="GKD108" s="17"/>
      <c r="GKE108" s="17"/>
      <c r="GKF108" s="17"/>
      <c r="GKG108" s="17"/>
      <c r="GKH108" s="17"/>
      <c r="GKI108" s="17"/>
      <c r="GKJ108" s="17"/>
      <c r="GKK108" s="17"/>
      <c r="GKL108" s="17"/>
      <c r="GKM108" s="17"/>
      <c r="GKN108" s="17"/>
      <c r="GKO108" s="17"/>
      <c r="GKP108" s="17"/>
      <c r="GKQ108" s="17"/>
      <c r="GKR108" s="17"/>
      <c r="GKS108" s="17"/>
      <c r="GKT108" s="17"/>
      <c r="GKU108" s="17"/>
      <c r="GKV108" s="17"/>
      <c r="GKW108" s="17"/>
      <c r="GKX108" s="17"/>
      <c r="GKY108" s="17"/>
      <c r="GKZ108" s="17"/>
      <c r="GLA108" s="17"/>
      <c r="GLB108" s="17"/>
      <c r="GLC108" s="17"/>
      <c r="GLD108" s="17"/>
      <c r="GLE108" s="17"/>
      <c r="GLF108" s="17"/>
      <c r="GLG108" s="17"/>
      <c r="GLH108" s="17"/>
      <c r="GLI108" s="17"/>
      <c r="GLJ108" s="17"/>
      <c r="GLK108" s="17"/>
      <c r="GLL108" s="17"/>
      <c r="GLM108" s="17"/>
      <c r="GLN108" s="17"/>
      <c r="GLO108" s="17"/>
      <c r="GLP108" s="17"/>
      <c r="GLQ108" s="17"/>
      <c r="GLR108" s="17"/>
      <c r="GLS108" s="17"/>
      <c r="GLT108" s="17"/>
      <c r="GLU108" s="17"/>
      <c r="GLV108" s="17"/>
      <c r="GLW108" s="17"/>
      <c r="GLX108" s="17"/>
      <c r="GLY108" s="17"/>
      <c r="GLZ108" s="17"/>
      <c r="GMA108" s="17"/>
      <c r="GMB108" s="17"/>
      <c r="GMC108" s="17"/>
      <c r="GMD108" s="17"/>
      <c r="GME108" s="17"/>
      <c r="GMF108" s="17"/>
      <c r="GMG108" s="17"/>
      <c r="GMH108" s="17"/>
      <c r="GMI108" s="17"/>
      <c r="GMJ108" s="17"/>
      <c r="GMK108" s="17"/>
      <c r="GML108" s="17"/>
      <c r="GMM108" s="17"/>
      <c r="GMN108" s="17"/>
      <c r="GMO108" s="17"/>
      <c r="GMP108" s="17"/>
      <c r="GMQ108" s="17"/>
      <c r="GMR108" s="17"/>
      <c r="GMS108" s="17"/>
      <c r="GMT108" s="17"/>
      <c r="GMU108" s="17"/>
      <c r="GMV108" s="17"/>
      <c r="GMW108" s="17"/>
      <c r="GMX108" s="17"/>
      <c r="GMY108" s="17"/>
      <c r="GMZ108" s="17"/>
      <c r="GNA108" s="17"/>
      <c r="GNB108" s="17"/>
      <c r="GNC108" s="17"/>
      <c r="GND108" s="17"/>
      <c r="GNE108" s="17"/>
      <c r="GNF108" s="17"/>
      <c r="GNG108" s="17"/>
      <c r="GNH108" s="17"/>
      <c r="GNI108" s="17"/>
      <c r="GNJ108" s="17"/>
      <c r="GNK108" s="17"/>
      <c r="GNL108" s="17"/>
      <c r="GNM108" s="17"/>
      <c r="GNN108" s="17"/>
      <c r="GNO108" s="17"/>
      <c r="GNP108" s="17"/>
      <c r="GNQ108" s="17"/>
      <c r="GNR108" s="17"/>
      <c r="GNS108" s="17"/>
      <c r="GNT108" s="17"/>
      <c r="GNU108" s="17"/>
      <c r="GNV108" s="17"/>
      <c r="GNW108" s="17"/>
      <c r="GNX108" s="17"/>
      <c r="GNY108" s="17"/>
      <c r="GNZ108" s="17"/>
      <c r="GOA108" s="17"/>
      <c r="GOB108" s="17"/>
      <c r="GOC108" s="17"/>
      <c r="GOD108" s="17"/>
      <c r="GOE108" s="17"/>
      <c r="GOF108" s="17"/>
      <c r="GOG108" s="17"/>
      <c r="GOH108" s="17"/>
      <c r="GOI108" s="17"/>
      <c r="GOJ108" s="17"/>
      <c r="GOK108" s="17"/>
      <c r="GOL108" s="17"/>
      <c r="GOM108" s="17"/>
      <c r="GON108" s="17"/>
      <c r="GOO108" s="17"/>
      <c r="GOP108" s="17"/>
      <c r="GOQ108" s="17"/>
      <c r="GOR108" s="17"/>
      <c r="GOS108" s="17"/>
      <c r="GOT108" s="17"/>
      <c r="GOU108" s="17"/>
      <c r="GOV108" s="17"/>
      <c r="GOW108" s="17"/>
      <c r="GOX108" s="17"/>
      <c r="GOY108" s="17"/>
      <c r="GOZ108" s="17"/>
      <c r="GPA108" s="17"/>
      <c r="GPB108" s="17"/>
      <c r="GPC108" s="17"/>
      <c r="GPD108" s="17"/>
      <c r="GPE108" s="17"/>
      <c r="GPF108" s="17"/>
      <c r="GPG108" s="17"/>
      <c r="GPH108" s="17"/>
      <c r="GPI108" s="17"/>
      <c r="GPJ108" s="17"/>
      <c r="GPK108" s="17"/>
      <c r="GPL108" s="17"/>
      <c r="GPM108" s="17"/>
      <c r="GPN108" s="17"/>
      <c r="GPO108" s="17"/>
      <c r="GPP108" s="17"/>
      <c r="GPQ108" s="17"/>
      <c r="GPR108" s="17"/>
      <c r="GPS108" s="17"/>
      <c r="GPT108" s="17"/>
      <c r="GPU108" s="17"/>
      <c r="GPV108" s="17"/>
      <c r="GPW108" s="17"/>
      <c r="GPX108" s="17"/>
      <c r="GPY108" s="17"/>
      <c r="GPZ108" s="17"/>
      <c r="GQA108" s="17"/>
      <c r="GQB108" s="17"/>
      <c r="GQC108" s="17"/>
      <c r="GQD108" s="17"/>
      <c r="GQE108" s="17"/>
      <c r="GQF108" s="17"/>
      <c r="GQG108" s="17"/>
      <c r="GQH108" s="17"/>
      <c r="GQI108" s="17"/>
      <c r="GQJ108" s="17"/>
      <c r="GQK108" s="17"/>
      <c r="GQL108" s="17"/>
      <c r="GQM108" s="17"/>
      <c r="GQN108" s="17"/>
      <c r="GQO108" s="17"/>
      <c r="GQP108" s="17"/>
      <c r="GQQ108" s="17"/>
      <c r="GQR108" s="17"/>
      <c r="GQS108" s="17"/>
      <c r="GQT108" s="17"/>
      <c r="GQU108" s="17"/>
      <c r="GQV108" s="17"/>
      <c r="GQW108" s="17"/>
      <c r="GQX108" s="17"/>
      <c r="GQY108" s="17"/>
      <c r="GQZ108" s="17"/>
      <c r="GRA108" s="17"/>
      <c r="GRB108" s="17"/>
      <c r="GRC108" s="17"/>
      <c r="GRD108" s="17"/>
      <c r="GRE108" s="17"/>
      <c r="GRF108" s="17"/>
      <c r="GRG108" s="17"/>
      <c r="GRH108" s="17"/>
      <c r="GRI108" s="17"/>
      <c r="GRJ108" s="17"/>
      <c r="GRK108" s="17"/>
      <c r="GRL108" s="17"/>
      <c r="GRM108" s="17"/>
      <c r="GRN108" s="17"/>
      <c r="GRO108" s="17"/>
      <c r="GRP108" s="17"/>
      <c r="GRQ108" s="17"/>
      <c r="GRR108" s="17"/>
      <c r="GRS108" s="17"/>
      <c r="GRT108" s="17"/>
      <c r="GRU108" s="17"/>
      <c r="GRV108" s="17"/>
      <c r="GRW108" s="17"/>
      <c r="GRX108" s="17"/>
      <c r="GRY108" s="17"/>
      <c r="GRZ108" s="17"/>
      <c r="GSA108" s="17"/>
      <c r="GSB108" s="17"/>
      <c r="GSC108" s="17"/>
      <c r="GSD108" s="17"/>
      <c r="GSE108" s="17"/>
      <c r="GSF108" s="17"/>
      <c r="GSG108" s="17"/>
      <c r="GSH108" s="17"/>
      <c r="GSI108" s="17"/>
      <c r="GSJ108" s="17"/>
      <c r="GSK108" s="17"/>
      <c r="GSL108" s="17"/>
      <c r="GSM108" s="17"/>
      <c r="GSN108" s="17"/>
      <c r="GSO108" s="17"/>
      <c r="GSP108" s="17"/>
      <c r="GSQ108" s="17"/>
      <c r="GSR108" s="17"/>
      <c r="GSS108" s="17"/>
      <c r="GST108" s="17"/>
      <c r="GSU108" s="17"/>
      <c r="GSV108" s="17"/>
      <c r="GSW108" s="17"/>
      <c r="GSX108" s="17"/>
      <c r="GSY108" s="17"/>
      <c r="GSZ108" s="17"/>
      <c r="GTA108" s="17"/>
      <c r="GTB108" s="17"/>
      <c r="GTC108" s="17"/>
      <c r="GTD108" s="17"/>
      <c r="GTE108" s="17"/>
      <c r="GTF108" s="17"/>
      <c r="GTG108" s="17"/>
      <c r="GTH108" s="17"/>
      <c r="GTI108" s="17"/>
      <c r="GTJ108" s="17"/>
      <c r="GTK108" s="17"/>
      <c r="GTL108" s="17"/>
      <c r="GTM108" s="17"/>
      <c r="GTN108" s="17"/>
      <c r="GTO108" s="17"/>
      <c r="GTP108" s="17"/>
      <c r="GTQ108" s="17"/>
      <c r="GTR108" s="17"/>
      <c r="GTS108" s="17"/>
      <c r="GTT108" s="17"/>
      <c r="GTU108" s="17"/>
      <c r="GTV108" s="17"/>
      <c r="GTW108" s="17"/>
      <c r="GTX108" s="17"/>
      <c r="GTY108" s="17"/>
      <c r="GTZ108" s="17"/>
      <c r="GUA108" s="17"/>
      <c r="GUB108" s="17"/>
      <c r="GUC108" s="17"/>
      <c r="GUD108" s="17"/>
      <c r="GUE108" s="17"/>
      <c r="GUF108" s="17"/>
      <c r="GUG108" s="17"/>
      <c r="GUH108" s="17"/>
      <c r="GUI108" s="17"/>
      <c r="GUJ108" s="17"/>
      <c r="GUK108" s="17"/>
      <c r="GUL108" s="17"/>
      <c r="GUM108" s="17"/>
      <c r="GUN108" s="17"/>
      <c r="GUO108" s="17"/>
      <c r="GUP108" s="17"/>
      <c r="GUQ108" s="17"/>
      <c r="GUR108" s="17"/>
      <c r="GUS108" s="17"/>
      <c r="GUT108" s="17"/>
      <c r="GUU108" s="17"/>
      <c r="GUV108" s="17"/>
      <c r="GUW108" s="17"/>
      <c r="GUX108" s="17"/>
      <c r="GUY108" s="17"/>
      <c r="GUZ108" s="17"/>
      <c r="GVA108" s="17"/>
      <c r="GVB108" s="17"/>
      <c r="GVC108" s="17"/>
      <c r="GVD108" s="17"/>
      <c r="GVE108" s="17"/>
      <c r="GVF108" s="17"/>
      <c r="GVG108" s="17"/>
      <c r="GVH108" s="17"/>
      <c r="GVI108" s="17"/>
      <c r="GVJ108" s="17"/>
      <c r="GVK108" s="17"/>
      <c r="GVL108" s="17"/>
      <c r="GVM108" s="17"/>
      <c r="GVN108" s="17"/>
      <c r="GVO108" s="17"/>
      <c r="GVP108" s="17"/>
      <c r="GVQ108" s="17"/>
      <c r="GVR108" s="17"/>
      <c r="GVS108" s="17"/>
      <c r="GVT108" s="17"/>
      <c r="GVU108" s="17"/>
      <c r="GVV108" s="17"/>
      <c r="GVW108" s="17"/>
      <c r="GVX108" s="17"/>
      <c r="GVY108" s="17"/>
      <c r="GVZ108" s="17"/>
      <c r="GWA108" s="17"/>
      <c r="GWB108" s="17"/>
      <c r="GWC108" s="17"/>
      <c r="GWD108" s="17"/>
      <c r="GWE108" s="17"/>
      <c r="GWF108" s="17"/>
      <c r="GWG108" s="17"/>
      <c r="GWH108" s="17"/>
      <c r="GWI108" s="17"/>
      <c r="GWJ108" s="17"/>
      <c r="GWK108" s="17"/>
      <c r="GWL108" s="17"/>
      <c r="GWM108" s="17"/>
      <c r="GWN108" s="17"/>
      <c r="GWO108" s="17"/>
      <c r="GWP108" s="17"/>
      <c r="GWQ108" s="17"/>
      <c r="GWR108" s="17"/>
      <c r="GWS108" s="17"/>
      <c r="GWT108" s="17"/>
      <c r="GWU108" s="17"/>
      <c r="GWV108" s="17"/>
      <c r="GWW108" s="17"/>
      <c r="GWX108" s="17"/>
      <c r="GWY108" s="17"/>
      <c r="GWZ108" s="17"/>
      <c r="GXA108" s="17"/>
      <c r="GXB108" s="17"/>
      <c r="GXC108" s="17"/>
      <c r="GXD108" s="17"/>
      <c r="GXE108" s="17"/>
      <c r="GXF108" s="17"/>
      <c r="GXG108" s="17"/>
      <c r="GXH108" s="17"/>
      <c r="GXI108" s="17"/>
      <c r="GXJ108" s="17"/>
      <c r="GXK108" s="17"/>
      <c r="GXL108" s="17"/>
      <c r="GXM108" s="17"/>
      <c r="GXN108" s="17"/>
      <c r="GXO108" s="17"/>
      <c r="GXP108" s="17"/>
      <c r="GXQ108" s="17"/>
      <c r="GXR108" s="17"/>
      <c r="GXS108" s="17"/>
      <c r="GXT108" s="17"/>
      <c r="GXU108" s="17"/>
      <c r="GXV108" s="17"/>
      <c r="GXW108" s="17"/>
      <c r="GXX108" s="17"/>
      <c r="GXY108" s="17"/>
      <c r="GXZ108" s="17"/>
      <c r="GYA108" s="17"/>
      <c r="GYB108" s="17"/>
      <c r="GYC108" s="17"/>
      <c r="GYD108" s="17"/>
      <c r="GYE108" s="17"/>
      <c r="GYF108" s="17"/>
      <c r="GYG108" s="17"/>
      <c r="GYH108" s="17"/>
      <c r="GYI108" s="17"/>
      <c r="GYJ108" s="17"/>
      <c r="GYK108" s="17"/>
      <c r="GYL108" s="17"/>
      <c r="GYM108" s="17"/>
      <c r="GYN108" s="17"/>
      <c r="GYO108" s="17"/>
      <c r="GYP108" s="17"/>
      <c r="GYQ108" s="17"/>
      <c r="GYR108" s="17"/>
      <c r="GYS108" s="17"/>
      <c r="GYT108" s="17"/>
      <c r="GYU108" s="17"/>
      <c r="GYV108" s="17"/>
      <c r="GYW108" s="17"/>
      <c r="GYX108" s="17"/>
      <c r="GYY108" s="17"/>
      <c r="GYZ108" s="17"/>
      <c r="GZA108" s="17"/>
      <c r="GZB108" s="17"/>
      <c r="GZC108" s="17"/>
      <c r="GZD108" s="17"/>
      <c r="GZE108" s="17"/>
      <c r="GZF108" s="17"/>
      <c r="GZG108" s="17"/>
      <c r="GZH108" s="17"/>
      <c r="GZI108" s="17"/>
      <c r="GZJ108" s="17"/>
      <c r="GZK108" s="17"/>
      <c r="GZL108" s="17"/>
      <c r="GZM108" s="17"/>
      <c r="GZN108" s="17"/>
      <c r="GZO108" s="17"/>
      <c r="GZP108" s="17"/>
      <c r="GZQ108" s="17"/>
      <c r="GZR108" s="17"/>
      <c r="GZS108" s="17"/>
      <c r="GZT108" s="17"/>
      <c r="GZU108" s="17"/>
      <c r="GZV108" s="17"/>
      <c r="GZW108" s="17"/>
      <c r="GZX108" s="17"/>
      <c r="GZY108" s="17"/>
      <c r="GZZ108" s="17"/>
      <c r="HAA108" s="17"/>
      <c r="HAB108" s="17"/>
      <c r="HAC108" s="17"/>
      <c r="HAD108" s="17"/>
      <c r="HAE108" s="17"/>
      <c r="HAF108" s="17"/>
      <c r="HAG108" s="17"/>
      <c r="HAH108" s="17"/>
      <c r="HAI108" s="17"/>
      <c r="HAJ108" s="17"/>
      <c r="HAK108" s="17"/>
      <c r="HAL108" s="17"/>
      <c r="HAM108" s="17"/>
      <c r="HAN108" s="17"/>
      <c r="HAO108" s="17"/>
      <c r="HAP108" s="17"/>
      <c r="HAQ108" s="17"/>
      <c r="HAR108" s="17"/>
      <c r="HAS108" s="17"/>
      <c r="HAT108" s="17"/>
      <c r="HAU108" s="17"/>
      <c r="HAV108" s="17"/>
      <c r="HAW108" s="17"/>
      <c r="HAX108" s="17"/>
      <c r="HAY108" s="17"/>
      <c r="HAZ108" s="17"/>
      <c r="HBA108" s="17"/>
      <c r="HBB108" s="17"/>
      <c r="HBC108" s="17"/>
      <c r="HBD108" s="17"/>
      <c r="HBE108" s="17"/>
      <c r="HBF108" s="17"/>
      <c r="HBG108" s="17"/>
      <c r="HBH108" s="17"/>
      <c r="HBI108" s="17"/>
      <c r="HBJ108" s="17"/>
      <c r="HBK108" s="17"/>
      <c r="HBL108" s="17"/>
      <c r="HBM108" s="17"/>
      <c r="HBN108" s="17"/>
      <c r="HBO108" s="17"/>
      <c r="HBP108" s="17"/>
      <c r="HBQ108" s="17"/>
      <c r="HBR108" s="17"/>
      <c r="HBS108" s="17"/>
      <c r="HBT108" s="17"/>
      <c r="HBU108" s="17"/>
      <c r="HBV108" s="17"/>
      <c r="HBW108" s="17"/>
      <c r="HBX108" s="17"/>
      <c r="HBY108" s="17"/>
      <c r="HBZ108" s="17"/>
      <c r="HCA108" s="17"/>
      <c r="HCB108" s="17"/>
      <c r="HCC108" s="17"/>
      <c r="HCD108" s="17"/>
      <c r="HCE108" s="17"/>
      <c r="HCF108" s="17"/>
      <c r="HCG108" s="17"/>
      <c r="HCH108" s="17"/>
      <c r="HCI108" s="17"/>
      <c r="HCJ108" s="17"/>
      <c r="HCK108" s="17"/>
      <c r="HCL108" s="17"/>
      <c r="HCM108" s="17"/>
      <c r="HCN108" s="17"/>
      <c r="HCO108" s="17"/>
      <c r="HCP108" s="17"/>
      <c r="HCQ108" s="17"/>
      <c r="HCR108" s="17"/>
      <c r="HCS108" s="17"/>
      <c r="HCT108" s="17"/>
      <c r="HCU108" s="17"/>
      <c r="HCV108" s="17"/>
      <c r="HCW108" s="17"/>
      <c r="HCX108" s="17"/>
      <c r="HCY108" s="17"/>
      <c r="HCZ108" s="17"/>
      <c r="HDA108" s="17"/>
      <c r="HDB108" s="17"/>
      <c r="HDC108" s="17"/>
      <c r="HDD108" s="17"/>
      <c r="HDE108" s="17"/>
      <c r="HDF108" s="17"/>
      <c r="HDG108" s="17"/>
      <c r="HDH108" s="17"/>
      <c r="HDI108" s="17"/>
      <c r="HDJ108" s="17"/>
      <c r="HDK108" s="17"/>
      <c r="HDL108" s="17"/>
      <c r="HDM108" s="17"/>
      <c r="HDN108" s="17"/>
      <c r="HDO108" s="17"/>
      <c r="HDP108" s="17"/>
      <c r="HDQ108" s="17"/>
      <c r="HDR108" s="17"/>
      <c r="HDS108" s="17"/>
      <c r="HDT108" s="17"/>
      <c r="HDU108" s="17"/>
      <c r="HDV108" s="17"/>
      <c r="HDW108" s="17"/>
      <c r="HDX108" s="17"/>
      <c r="HDY108" s="17"/>
      <c r="HDZ108" s="17"/>
      <c r="HEA108" s="17"/>
      <c r="HEB108" s="17"/>
      <c r="HEC108" s="17"/>
      <c r="HED108" s="17"/>
      <c r="HEE108" s="17"/>
      <c r="HEF108" s="17"/>
      <c r="HEG108" s="17"/>
      <c r="HEH108" s="17"/>
      <c r="HEI108" s="17"/>
      <c r="HEJ108" s="17"/>
      <c r="HEK108" s="17"/>
      <c r="HEL108" s="17"/>
      <c r="HEM108" s="17"/>
      <c r="HEN108" s="17"/>
      <c r="HEO108" s="17"/>
      <c r="HEP108" s="17"/>
      <c r="HEQ108" s="17"/>
      <c r="HER108" s="17"/>
      <c r="HES108" s="17"/>
      <c r="HET108" s="17"/>
      <c r="HEU108" s="17"/>
      <c r="HEV108" s="17"/>
      <c r="HEW108" s="17"/>
      <c r="HEX108" s="17"/>
      <c r="HEY108" s="17"/>
      <c r="HEZ108" s="17"/>
      <c r="HFA108" s="17"/>
      <c r="HFB108" s="17"/>
      <c r="HFC108" s="17"/>
      <c r="HFD108" s="17"/>
      <c r="HFE108" s="17"/>
      <c r="HFF108" s="17"/>
      <c r="HFG108" s="17"/>
      <c r="HFH108" s="17"/>
      <c r="HFI108" s="17"/>
      <c r="HFJ108" s="17"/>
      <c r="HFK108" s="17"/>
      <c r="HFL108" s="17"/>
      <c r="HFM108" s="17"/>
      <c r="HFN108" s="17"/>
      <c r="HFO108" s="17"/>
      <c r="HFP108" s="17"/>
      <c r="HFQ108" s="17"/>
      <c r="HFR108" s="17"/>
      <c r="HFS108" s="17"/>
      <c r="HFT108" s="17"/>
      <c r="HFU108" s="17"/>
      <c r="HFV108" s="17"/>
      <c r="HFW108" s="17"/>
      <c r="HFX108" s="17"/>
      <c r="HFY108" s="17"/>
      <c r="HFZ108" s="17"/>
      <c r="HGA108" s="17"/>
      <c r="HGB108" s="17"/>
      <c r="HGC108" s="17"/>
      <c r="HGD108" s="17"/>
      <c r="HGE108" s="17"/>
      <c r="HGF108" s="17"/>
      <c r="HGG108" s="17"/>
      <c r="HGH108" s="17"/>
      <c r="HGI108" s="17"/>
      <c r="HGJ108" s="17"/>
      <c r="HGK108" s="17"/>
      <c r="HGL108" s="17"/>
      <c r="HGM108" s="17"/>
      <c r="HGN108" s="17"/>
      <c r="HGO108" s="17"/>
      <c r="HGP108" s="17"/>
      <c r="HGQ108" s="17"/>
      <c r="HGR108" s="17"/>
      <c r="HGS108" s="17"/>
      <c r="HGT108" s="17"/>
      <c r="HGU108" s="17"/>
      <c r="HGV108" s="17"/>
      <c r="HGW108" s="17"/>
      <c r="HGX108" s="17"/>
      <c r="HGY108" s="17"/>
      <c r="HGZ108" s="17"/>
      <c r="HHA108" s="17"/>
      <c r="HHB108" s="17"/>
      <c r="HHC108" s="17"/>
      <c r="HHD108" s="17"/>
      <c r="HHE108" s="17"/>
      <c r="HHF108" s="17"/>
      <c r="HHG108" s="17"/>
      <c r="HHH108" s="17"/>
      <c r="HHI108" s="17"/>
      <c r="HHJ108" s="17"/>
      <c r="HHK108" s="17"/>
      <c r="HHL108" s="17"/>
      <c r="HHM108" s="17"/>
      <c r="HHN108" s="17"/>
      <c r="HHO108" s="17"/>
      <c r="HHP108" s="17"/>
      <c r="HHQ108" s="17"/>
      <c r="HHR108" s="17"/>
      <c r="HHS108" s="17"/>
      <c r="HHT108" s="17"/>
      <c r="HHU108" s="17"/>
      <c r="HHV108" s="17"/>
      <c r="HHW108" s="17"/>
      <c r="HHX108" s="17"/>
      <c r="HHY108" s="17"/>
      <c r="HHZ108" s="17"/>
      <c r="HIA108" s="17"/>
      <c r="HIB108" s="17"/>
      <c r="HIC108" s="17"/>
      <c r="HID108" s="17"/>
      <c r="HIE108" s="17"/>
      <c r="HIF108" s="17"/>
      <c r="HIG108" s="17"/>
      <c r="HIH108" s="17"/>
      <c r="HII108" s="17"/>
      <c r="HIJ108" s="17"/>
      <c r="HIK108" s="17"/>
      <c r="HIL108" s="17"/>
      <c r="HIM108" s="17"/>
      <c r="HIN108" s="17"/>
      <c r="HIO108" s="17"/>
      <c r="HIP108" s="17"/>
      <c r="HIQ108" s="17"/>
      <c r="HIR108" s="17"/>
      <c r="HIS108" s="17"/>
      <c r="HIT108" s="17"/>
      <c r="HIU108" s="17"/>
      <c r="HIV108" s="17"/>
      <c r="HIW108" s="17"/>
      <c r="HIX108" s="17"/>
      <c r="HIY108" s="17"/>
      <c r="HIZ108" s="17"/>
      <c r="HJA108" s="17"/>
      <c r="HJB108" s="17"/>
      <c r="HJC108" s="17"/>
      <c r="HJD108" s="17"/>
      <c r="HJE108" s="17"/>
      <c r="HJF108" s="17"/>
      <c r="HJG108" s="17"/>
      <c r="HJH108" s="17"/>
      <c r="HJI108" s="17"/>
      <c r="HJJ108" s="17"/>
      <c r="HJK108" s="17"/>
      <c r="HJL108" s="17"/>
      <c r="HJM108" s="17"/>
      <c r="HJN108" s="17"/>
      <c r="HJO108" s="17"/>
      <c r="HJP108" s="17"/>
      <c r="HJQ108" s="17"/>
      <c r="HJR108" s="17"/>
      <c r="HJS108" s="17"/>
      <c r="HJT108" s="17"/>
      <c r="HJU108" s="17"/>
      <c r="HJV108" s="17"/>
      <c r="HJW108" s="17"/>
      <c r="HJX108" s="17"/>
      <c r="HJY108" s="17"/>
      <c r="HJZ108" s="17"/>
      <c r="HKA108" s="17"/>
      <c r="HKB108" s="17"/>
      <c r="HKC108" s="17"/>
      <c r="HKD108" s="17"/>
      <c r="HKE108" s="17"/>
      <c r="HKF108" s="17"/>
      <c r="HKG108" s="17"/>
      <c r="HKH108" s="17"/>
      <c r="HKI108" s="17"/>
      <c r="HKJ108" s="17"/>
      <c r="HKK108" s="17"/>
      <c r="HKL108" s="17"/>
      <c r="HKM108" s="17"/>
      <c r="HKN108" s="17"/>
      <c r="HKO108" s="17"/>
      <c r="HKP108" s="17"/>
      <c r="HKQ108" s="17"/>
      <c r="HKR108" s="17"/>
      <c r="HKS108" s="17"/>
      <c r="HKT108" s="17"/>
      <c r="HKU108" s="17"/>
      <c r="HKV108" s="17"/>
      <c r="HKW108" s="17"/>
      <c r="HKX108" s="17"/>
      <c r="HKY108" s="17"/>
      <c r="HKZ108" s="17"/>
      <c r="HLA108" s="17"/>
      <c r="HLB108" s="17"/>
      <c r="HLC108" s="17"/>
      <c r="HLD108" s="17"/>
      <c r="HLE108" s="17"/>
      <c r="HLF108" s="17"/>
      <c r="HLG108" s="17"/>
      <c r="HLH108" s="17"/>
      <c r="HLI108" s="17"/>
      <c r="HLJ108" s="17"/>
      <c r="HLK108" s="17"/>
      <c r="HLL108" s="17"/>
      <c r="HLM108" s="17"/>
      <c r="HLN108" s="17"/>
      <c r="HLO108" s="17"/>
      <c r="HLP108" s="17"/>
      <c r="HLQ108" s="17"/>
      <c r="HLR108" s="17"/>
      <c r="HLS108" s="17"/>
      <c r="HLT108" s="17"/>
      <c r="HLU108" s="17"/>
      <c r="HLV108" s="17"/>
      <c r="HLW108" s="17"/>
      <c r="HLX108" s="17"/>
      <c r="HLY108" s="17"/>
      <c r="HLZ108" s="17"/>
      <c r="HMA108" s="17"/>
      <c r="HMB108" s="17"/>
      <c r="HMC108" s="17"/>
      <c r="HMD108" s="17"/>
      <c r="HME108" s="17"/>
      <c r="HMF108" s="17"/>
      <c r="HMG108" s="17"/>
      <c r="HMH108" s="17"/>
      <c r="HMI108" s="17"/>
      <c r="HMJ108" s="17"/>
      <c r="HMK108" s="17"/>
      <c r="HML108" s="17"/>
      <c r="HMM108" s="17"/>
      <c r="HMN108" s="17"/>
      <c r="HMO108" s="17"/>
      <c r="HMP108" s="17"/>
      <c r="HMQ108" s="17"/>
      <c r="HMR108" s="17"/>
      <c r="HMS108" s="17"/>
      <c r="HMT108" s="17"/>
      <c r="HMU108" s="17"/>
      <c r="HMV108" s="17"/>
      <c r="HMW108" s="17"/>
      <c r="HMX108" s="17"/>
      <c r="HMY108" s="17"/>
      <c r="HMZ108" s="17"/>
      <c r="HNA108" s="17"/>
      <c r="HNB108" s="17"/>
      <c r="HNC108" s="17"/>
      <c r="HND108" s="17"/>
      <c r="HNE108" s="17"/>
      <c r="HNF108" s="17"/>
      <c r="HNG108" s="17"/>
      <c r="HNH108" s="17"/>
      <c r="HNI108" s="17"/>
      <c r="HNJ108" s="17"/>
      <c r="HNK108" s="17"/>
      <c r="HNL108" s="17"/>
      <c r="HNM108" s="17"/>
      <c r="HNN108" s="17"/>
      <c r="HNO108" s="17"/>
      <c r="HNP108" s="17"/>
      <c r="HNQ108" s="17"/>
      <c r="HNR108" s="17"/>
      <c r="HNS108" s="17"/>
      <c r="HNT108" s="17"/>
      <c r="HNU108" s="17"/>
      <c r="HNV108" s="17"/>
      <c r="HNW108" s="17"/>
      <c r="HNX108" s="17"/>
      <c r="HNY108" s="17"/>
      <c r="HNZ108" s="17"/>
      <c r="HOA108" s="17"/>
      <c r="HOB108" s="17"/>
      <c r="HOC108" s="17"/>
      <c r="HOD108" s="17"/>
      <c r="HOE108" s="17"/>
      <c r="HOF108" s="17"/>
      <c r="HOG108" s="17"/>
      <c r="HOH108" s="17"/>
      <c r="HOI108" s="17"/>
      <c r="HOJ108" s="17"/>
      <c r="HOK108" s="17"/>
      <c r="HOL108" s="17"/>
      <c r="HOM108" s="17"/>
      <c r="HON108" s="17"/>
      <c r="HOO108" s="17"/>
      <c r="HOP108" s="17"/>
      <c r="HOQ108" s="17"/>
      <c r="HOR108" s="17"/>
      <c r="HOS108" s="17"/>
      <c r="HOT108" s="17"/>
      <c r="HOU108" s="17"/>
      <c r="HOV108" s="17"/>
      <c r="HOW108" s="17"/>
      <c r="HOX108" s="17"/>
      <c r="HOY108" s="17"/>
      <c r="HOZ108" s="17"/>
      <c r="HPA108" s="17"/>
      <c r="HPB108" s="17"/>
      <c r="HPC108" s="17"/>
      <c r="HPD108" s="17"/>
      <c r="HPE108" s="17"/>
      <c r="HPF108" s="17"/>
      <c r="HPG108" s="17"/>
      <c r="HPH108" s="17"/>
      <c r="HPI108" s="17"/>
      <c r="HPJ108" s="17"/>
      <c r="HPK108" s="17"/>
      <c r="HPL108" s="17"/>
      <c r="HPM108" s="17"/>
      <c r="HPN108" s="17"/>
      <c r="HPO108" s="17"/>
      <c r="HPP108" s="17"/>
      <c r="HPQ108" s="17"/>
      <c r="HPR108" s="17"/>
      <c r="HPS108" s="17"/>
      <c r="HPT108" s="17"/>
      <c r="HPU108" s="17"/>
      <c r="HPV108" s="17"/>
      <c r="HPW108" s="17"/>
      <c r="HPX108" s="17"/>
      <c r="HPY108" s="17"/>
      <c r="HPZ108" s="17"/>
      <c r="HQA108" s="17"/>
      <c r="HQB108" s="17"/>
      <c r="HQC108" s="17"/>
      <c r="HQD108" s="17"/>
      <c r="HQE108" s="17"/>
      <c r="HQF108" s="17"/>
      <c r="HQG108" s="17"/>
      <c r="HQH108" s="17"/>
      <c r="HQI108" s="17"/>
      <c r="HQJ108" s="17"/>
      <c r="HQK108" s="17"/>
      <c r="HQL108" s="17"/>
      <c r="HQM108" s="17"/>
      <c r="HQN108" s="17"/>
      <c r="HQO108" s="17"/>
      <c r="HQP108" s="17"/>
      <c r="HQQ108" s="17"/>
      <c r="HQR108" s="17"/>
      <c r="HQS108" s="17"/>
      <c r="HQT108" s="17"/>
      <c r="HQU108" s="17"/>
      <c r="HQV108" s="17"/>
      <c r="HQW108" s="17"/>
      <c r="HQX108" s="17"/>
      <c r="HQY108" s="17"/>
      <c r="HQZ108" s="17"/>
      <c r="HRA108" s="17"/>
      <c r="HRB108" s="17"/>
      <c r="HRC108" s="17"/>
      <c r="HRD108" s="17"/>
      <c r="HRE108" s="17"/>
      <c r="HRF108" s="17"/>
      <c r="HRG108" s="17"/>
      <c r="HRH108" s="17"/>
      <c r="HRI108" s="17"/>
      <c r="HRJ108" s="17"/>
      <c r="HRK108" s="17"/>
      <c r="HRL108" s="17"/>
      <c r="HRM108" s="17"/>
      <c r="HRN108" s="17"/>
      <c r="HRO108" s="17"/>
      <c r="HRP108" s="17"/>
      <c r="HRQ108" s="17"/>
      <c r="HRR108" s="17"/>
      <c r="HRS108" s="17"/>
      <c r="HRT108" s="17"/>
      <c r="HRU108" s="17"/>
      <c r="HRV108" s="17"/>
      <c r="HRW108" s="17"/>
      <c r="HRX108" s="17"/>
      <c r="HRY108" s="17"/>
      <c r="HRZ108" s="17"/>
      <c r="HSA108" s="17"/>
      <c r="HSB108" s="17"/>
      <c r="HSC108" s="17"/>
      <c r="HSD108" s="17"/>
      <c r="HSE108" s="17"/>
      <c r="HSF108" s="17"/>
      <c r="HSG108" s="17"/>
      <c r="HSH108" s="17"/>
      <c r="HSI108" s="17"/>
      <c r="HSJ108" s="17"/>
      <c r="HSK108" s="17"/>
      <c r="HSL108" s="17"/>
      <c r="HSM108" s="17"/>
      <c r="HSN108" s="17"/>
      <c r="HSO108" s="17"/>
      <c r="HSP108" s="17"/>
      <c r="HSQ108" s="17"/>
      <c r="HSR108" s="17"/>
      <c r="HSS108" s="17"/>
      <c r="HST108" s="17"/>
      <c r="HSU108" s="17"/>
      <c r="HSV108" s="17"/>
      <c r="HSW108" s="17"/>
      <c r="HSX108" s="17"/>
      <c r="HSY108" s="17"/>
      <c r="HSZ108" s="17"/>
      <c r="HTA108" s="17"/>
      <c r="HTB108" s="17"/>
      <c r="HTC108" s="17"/>
      <c r="HTD108" s="17"/>
      <c r="HTE108" s="17"/>
      <c r="HTF108" s="17"/>
      <c r="HTG108" s="17"/>
      <c r="HTH108" s="17"/>
      <c r="HTI108" s="17"/>
      <c r="HTJ108" s="17"/>
      <c r="HTK108" s="17"/>
      <c r="HTL108" s="17"/>
      <c r="HTM108" s="17"/>
      <c r="HTN108" s="17"/>
      <c r="HTO108" s="17"/>
      <c r="HTP108" s="17"/>
      <c r="HTQ108" s="17"/>
      <c r="HTR108" s="17"/>
      <c r="HTS108" s="17"/>
      <c r="HTT108" s="17"/>
      <c r="HTU108" s="17"/>
      <c r="HTV108" s="17"/>
      <c r="HTW108" s="17"/>
      <c r="HTX108" s="17"/>
      <c r="HTY108" s="17"/>
      <c r="HTZ108" s="17"/>
      <c r="HUA108" s="17"/>
      <c r="HUB108" s="17"/>
      <c r="HUC108" s="17"/>
      <c r="HUD108" s="17"/>
      <c r="HUE108" s="17"/>
      <c r="HUF108" s="17"/>
      <c r="HUG108" s="17"/>
      <c r="HUH108" s="17"/>
      <c r="HUI108" s="17"/>
      <c r="HUJ108" s="17"/>
      <c r="HUK108" s="17"/>
      <c r="HUL108" s="17"/>
      <c r="HUM108" s="17"/>
      <c r="HUN108" s="17"/>
      <c r="HUO108" s="17"/>
      <c r="HUP108" s="17"/>
      <c r="HUQ108" s="17"/>
      <c r="HUR108" s="17"/>
      <c r="HUS108" s="17"/>
      <c r="HUT108" s="17"/>
      <c r="HUU108" s="17"/>
      <c r="HUV108" s="17"/>
      <c r="HUW108" s="17"/>
      <c r="HUX108" s="17"/>
      <c r="HUY108" s="17"/>
      <c r="HUZ108" s="17"/>
      <c r="HVA108" s="17"/>
      <c r="HVB108" s="17"/>
      <c r="HVC108" s="17"/>
      <c r="HVD108" s="17"/>
      <c r="HVE108" s="17"/>
      <c r="HVF108" s="17"/>
      <c r="HVG108" s="17"/>
      <c r="HVH108" s="17"/>
      <c r="HVI108" s="17"/>
      <c r="HVJ108" s="17"/>
      <c r="HVK108" s="17"/>
      <c r="HVL108" s="17"/>
      <c r="HVM108" s="17"/>
      <c r="HVN108" s="17"/>
      <c r="HVO108" s="17"/>
      <c r="HVP108" s="17"/>
      <c r="HVQ108" s="17"/>
      <c r="HVR108" s="17"/>
      <c r="HVS108" s="17"/>
      <c r="HVT108" s="17"/>
      <c r="HVU108" s="17"/>
      <c r="HVV108" s="17"/>
      <c r="HVW108" s="17"/>
      <c r="HVX108" s="17"/>
      <c r="HVY108" s="17"/>
      <c r="HVZ108" s="17"/>
      <c r="HWA108" s="17"/>
      <c r="HWB108" s="17"/>
      <c r="HWC108" s="17"/>
      <c r="HWD108" s="17"/>
      <c r="HWE108" s="17"/>
      <c r="HWF108" s="17"/>
      <c r="HWG108" s="17"/>
      <c r="HWH108" s="17"/>
      <c r="HWI108" s="17"/>
      <c r="HWJ108" s="17"/>
      <c r="HWK108" s="17"/>
      <c r="HWL108" s="17"/>
      <c r="HWM108" s="17"/>
      <c r="HWN108" s="17"/>
      <c r="HWO108" s="17"/>
      <c r="HWP108" s="17"/>
      <c r="HWQ108" s="17"/>
      <c r="HWR108" s="17"/>
      <c r="HWS108" s="17"/>
      <c r="HWT108" s="17"/>
      <c r="HWU108" s="17"/>
      <c r="HWV108" s="17"/>
      <c r="HWW108" s="17"/>
      <c r="HWX108" s="17"/>
      <c r="HWY108" s="17"/>
      <c r="HWZ108" s="17"/>
      <c r="HXA108" s="17"/>
      <c r="HXB108" s="17"/>
      <c r="HXC108" s="17"/>
      <c r="HXD108" s="17"/>
      <c r="HXE108" s="17"/>
      <c r="HXF108" s="17"/>
      <c r="HXG108" s="17"/>
      <c r="HXH108" s="17"/>
      <c r="HXI108" s="17"/>
      <c r="HXJ108" s="17"/>
      <c r="HXK108" s="17"/>
      <c r="HXL108" s="17"/>
      <c r="HXM108" s="17"/>
      <c r="HXN108" s="17"/>
      <c r="HXO108" s="17"/>
      <c r="HXP108" s="17"/>
      <c r="HXQ108" s="17"/>
      <c r="HXR108" s="17"/>
      <c r="HXS108" s="17"/>
      <c r="HXT108" s="17"/>
      <c r="HXU108" s="17"/>
      <c r="HXV108" s="17"/>
      <c r="HXW108" s="17"/>
      <c r="HXX108" s="17"/>
      <c r="HXY108" s="17"/>
      <c r="HXZ108" s="17"/>
      <c r="HYA108" s="17"/>
      <c r="HYB108" s="17"/>
      <c r="HYC108" s="17"/>
      <c r="HYD108" s="17"/>
      <c r="HYE108" s="17"/>
      <c r="HYF108" s="17"/>
      <c r="HYG108" s="17"/>
      <c r="HYH108" s="17"/>
      <c r="HYI108" s="17"/>
      <c r="HYJ108" s="17"/>
      <c r="HYK108" s="17"/>
      <c r="HYL108" s="17"/>
      <c r="HYM108" s="17"/>
      <c r="HYN108" s="17"/>
      <c r="HYO108" s="17"/>
      <c r="HYP108" s="17"/>
      <c r="HYQ108" s="17"/>
      <c r="HYR108" s="17"/>
      <c r="HYS108" s="17"/>
      <c r="HYT108" s="17"/>
      <c r="HYU108" s="17"/>
      <c r="HYV108" s="17"/>
      <c r="HYW108" s="17"/>
      <c r="HYX108" s="17"/>
      <c r="HYY108" s="17"/>
      <c r="HYZ108" s="17"/>
      <c r="HZA108" s="17"/>
      <c r="HZB108" s="17"/>
      <c r="HZC108" s="17"/>
      <c r="HZD108" s="17"/>
      <c r="HZE108" s="17"/>
      <c r="HZF108" s="17"/>
      <c r="HZG108" s="17"/>
      <c r="HZH108" s="17"/>
      <c r="HZI108" s="17"/>
      <c r="HZJ108" s="17"/>
      <c r="HZK108" s="17"/>
      <c r="HZL108" s="17"/>
      <c r="HZM108" s="17"/>
      <c r="HZN108" s="17"/>
      <c r="HZO108" s="17"/>
      <c r="HZP108" s="17"/>
      <c r="HZQ108" s="17"/>
      <c r="HZR108" s="17"/>
      <c r="HZS108" s="17"/>
      <c r="HZT108" s="17"/>
      <c r="HZU108" s="17"/>
      <c r="HZV108" s="17"/>
      <c r="HZW108" s="17"/>
      <c r="HZX108" s="17"/>
      <c r="HZY108" s="17"/>
      <c r="HZZ108" s="17"/>
      <c r="IAA108" s="17"/>
      <c r="IAB108" s="17"/>
      <c r="IAC108" s="17"/>
      <c r="IAD108" s="17"/>
      <c r="IAE108" s="17"/>
      <c r="IAF108" s="17"/>
      <c r="IAG108" s="17"/>
      <c r="IAH108" s="17"/>
      <c r="IAI108" s="17"/>
      <c r="IAJ108" s="17"/>
      <c r="IAK108" s="17"/>
      <c r="IAL108" s="17"/>
      <c r="IAM108" s="17"/>
      <c r="IAN108" s="17"/>
      <c r="IAO108" s="17"/>
      <c r="IAP108" s="17"/>
      <c r="IAQ108" s="17"/>
      <c r="IAR108" s="17"/>
      <c r="IAS108" s="17"/>
      <c r="IAT108" s="17"/>
      <c r="IAU108" s="17"/>
      <c r="IAV108" s="17"/>
      <c r="IAW108" s="17"/>
      <c r="IAX108" s="17"/>
      <c r="IAY108" s="17"/>
      <c r="IAZ108" s="17"/>
      <c r="IBA108" s="17"/>
      <c r="IBB108" s="17"/>
      <c r="IBC108" s="17"/>
      <c r="IBD108" s="17"/>
      <c r="IBE108" s="17"/>
      <c r="IBF108" s="17"/>
      <c r="IBG108" s="17"/>
      <c r="IBH108" s="17"/>
      <c r="IBI108" s="17"/>
      <c r="IBJ108" s="17"/>
      <c r="IBK108" s="17"/>
      <c r="IBL108" s="17"/>
      <c r="IBM108" s="17"/>
      <c r="IBN108" s="17"/>
      <c r="IBO108" s="17"/>
      <c r="IBP108" s="17"/>
      <c r="IBQ108" s="17"/>
      <c r="IBR108" s="17"/>
      <c r="IBS108" s="17"/>
      <c r="IBT108" s="17"/>
      <c r="IBU108" s="17"/>
      <c r="IBV108" s="17"/>
      <c r="IBW108" s="17"/>
      <c r="IBX108" s="17"/>
      <c r="IBY108" s="17"/>
      <c r="IBZ108" s="17"/>
      <c r="ICA108" s="17"/>
      <c r="ICB108" s="17"/>
      <c r="ICC108" s="17"/>
      <c r="ICD108" s="17"/>
      <c r="ICE108" s="17"/>
      <c r="ICF108" s="17"/>
      <c r="ICG108" s="17"/>
      <c r="ICH108" s="17"/>
      <c r="ICI108" s="17"/>
      <c r="ICJ108" s="17"/>
      <c r="ICK108" s="17"/>
      <c r="ICL108" s="17"/>
      <c r="ICM108" s="17"/>
      <c r="ICN108" s="17"/>
      <c r="ICO108" s="17"/>
      <c r="ICP108" s="17"/>
      <c r="ICQ108" s="17"/>
      <c r="ICR108" s="17"/>
      <c r="ICS108" s="17"/>
      <c r="ICT108" s="17"/>
      <c r="ICU108" s="17"/>
      <c r="ICV108" s="17"/>
      <c r="ICW108" s="17"/>
      <c r="ICX108" s="17"/>
      <c r="ICY108" s="17"/>
      <c r="ICZ108" s="17"/>
      <c r="IDA108" s="17"/>
      <c r="IDB108" s="17"/>
      <c r="IDC108" s="17"/>
      <c r="IDD108" s="17"/>
      <c r="IDE108" s="17"/>
      <c r="IDF108" s="17"/>
      <c r="IDG108" s="17"/>
      <c r="IDH108" s="17"/>
      <c r="IDI108" s="17"/>
      <c r="IDJ108" s="17"/>
      <c r="IDK108" s="17"/>
      <c r="IDL108" s="17"/>
      <c r="IDM108" s="17"/>
      <c r="IDN108" s="17"/>
      <c r="IDO108" s="17"/>
      <c r="IDP108" s="17"/>
      <c r="IDQ108" s="17"/>
      <c r="IDR108" s="17"/>
      <c r="IDS108" s="17"/>
      <c r="IDT108" s="17"/>
      <c r="IDU108" s="17"/>
      <c r="IDV108" s="17"/>
      <c r="IDW108" s="17"/>
      <c r="IDX108" s="17"/>
      <c r="IDY108" s="17"/>
      <c r="IDZ108" s="17"/>
      <c r="IEA108" s="17"/>
      <c r="IEB108" s="17"/>
      <c r="IEC108" s="17"/>
      <c r="IED108" s="17"/>
      <c r="IEE108" s="17"/>
      <c r="IEF108" s="17"/>
      <c r="IEG108" s="17"/>
      <c r="IEH108" s="17"/>
      <c r="IEI108" s="17"/>
      <c r="IEJ108" s="17"/>
      <c r="IEK108" s="17"/>
      <c r="IEL108" s="17"/>
      <c r="IEM108" s="17"/>
      <c r="IEN108" s="17"/>
      <c r="IEO108" s="17"/>
      <c r="IEP108" s="17"/>
      <c r="IEQ108" s="17"/>
      <c r="IER108" s="17"/>
      <c r="IES108" s="17"/>
      <c r="IET108" s="17"/>
      <c r="IEU108" s="17"/>
      <c r="IEV108" s="17"/>
      <c r="IEW108" s="17"/>
      <c r="IEX108" s="17"/>
      <c r="IEY108" s="17"/>
      <c r="IEZ108" s="17"/>
      <c r="IFA108" s="17"/>
      <c r="IFB108" s="17"/>
      <c r="IFC108" s="17"/>
      <c r="IFD108" s="17"/>
      <c r="IFE108" s="17"/>
      <c r="IFF108" s="17"/>
      <c r="IFG108" s="17"/>
      <c r="IFH108" s="17"/>
      <c r="IFI108" s="17"/>
      <c r="IFJ108" s="17"/>
      <c r="IFK108" s="17"/>
      <c r="IFL108" s="17"/>
      <c r="IFM108" s="17"/>
      <c r="IFN108" s="17"/>
      <c r="IFO108" s="17"/>
      <c r="IFP108" s="17"/>
      <c r="IFQ108" s="17"/>
      <c r="IFR108" s="17"/>
      <c r="IFS108" s="17"/>
      <c r="IFT108" s="17"/>
      <c r="IFU108" s="17"/>
      <c r="IFV108" s="17"/>
      <c r="IFW108" s="17"/>
      <c r="IFX108" s="17"/>
      <c r="IFY108" s="17"/>
      <c r="IFZ108" s="17"/>
      <c r="IGA108" s="17"/>
      <c r="IGB108" s="17"/>
      <c r="IGC108" s="17"/>
      <c r="IGD108" s="17"/>
      <c r="IGE108" s="17"/>
      <c r="IGF108" s="17"/>
      <c r="IGG108" s="17"/>
      <c r="IGH108" s="17"/>
      <c r="IGI108" s="17"/>
      <c r="IGJ108" s="17"/>
      <c r="IGK108" s="17"/>
      <c r="IGL108" s="17"/>
      <c r="IGM108" s="17"/>
      <c r="IGN108" s="17"/>
      <c r="IGO108" s="17"/>
      <c r="IGP108" s="17"/>
      <c r="IGQ108" s="17"/>
      <c r="IGR108" s="17"/>
      <c r="IGS108" s="17"/>
      <c r="IGT108" s="17"/>
      <c r="IGU108" s="17"/>
      <c r="IGV108" s="17"/>
      <c r="IGW108" s="17"/>
      <c r="IGX108" s="17"/>
      <c r="IGY108" s="17"/>
      <c r="IGZ108" s="17"/>
      <c r="IHA108" s="17"/>
      <c r="IHB108" s="17"/>
      <c r="IHC108" s="17"/>
      <c r="IHD108" s="17"/>
      <c r="IHE108" s="17"/>
      <c r="IHF108" s="17"/>
      <c r="IHG108" s="17"/>
      <c r="IHH108" s="17"/>
      <c r="IHI108" s="17"/>
      <c r="IHJ108" s="17"/>
      <c r="IHK108" s="17"/>
      <c r="IHL108" s="17"/>
      <c r="IHM108" s="17"/>
      <c r="IHN108" s="17"/>
      <c r="IHO108" s="17"/>
      <c r="IHP108" s="17"/>
      <c r="IHQ108" s="17"/>
      <c r="IHR108" s="17"/>
      <c r="IHS108" s="17"/>
      <c r="IHT108" s="17"/>
      <c r="IHU108" s="17"/>
      <c r="IHV108" s="17"/>
      <c r="IHW108" s="17"/>
      <c r="IHX108" s="17"/>
      <c r="IHY108" s="17"/>
      <c r="IHZ108" s="17"/>
      <c r="IIA108" s="17"/>
      <c r="IIB108" s="17"/>
      <c r="IIC108" s="17"/>
      <c r="IID108" s="17"/>
      <c r="IIE108" s="17"/>
      <c r="IIF108" s="17"/>
      <c r="IIG108" s="17"/>
      <c r="IIH108" s="17"/>
      <c r="III108" s="17"/>
      <c r="IIJ108" s="17"/>
      <c r="IIK108" s="17"/>
      <c r="IIL108" s="17"/>
      <c r="IIM108" s="17"/>
      <c r="IIN108" s="17"/>
      <c r="IIO108" s="17"/>
      <c r="IIP108" s="17"/>
      <c r="IIQ108" s="17"/>
      <c r="IIR108" s="17"/>
      <c r="IIS108" s="17"/>
      <c r="IIT108" s="17"/>
      <c r="IIU108" s="17"/>
      <c r="IIV108" s="17"/>
      <c r="IIW108" s="17"/>
      <c r="IIX108" s="17"/>
      <c r="IIY108" s="17"/>
      <c r="IIZ108" s="17"/>
      <c r="IJA108" s="17"/>
      <c r="IJB108" s="17"/>
      <c r="IJC108" s="17"/>
      <c r="IJD108" s="17"/>
      <c r="IJE108" s="17"/>
      <c r="IJF108" s="17"/>
      <c r="IJG108" s="17"/>
      <c r="IJH108" s="17"/>
      <c r="IJI108" s="17"/>
      <c r="IJJ108" s="17"/>
      <c r="IJK108" s="17"/>
      <c r="IJL108" s="17"/>
      <c r="IJM108" s="17"/>
      <c r="IJN108" s="17"/>
      <c r="IJO108" s="17"/>
      <c r="IJP108" s="17"/>
      <c r="IJQ108" s="17"/>
      <c r="IJR108" s="17"/>
      <c r="IJS108" s="17"/>
      <c r="IJT108" s="17"/>
      <c r="IJU108" s="17"/>
      <c r="IJV108" s="17"/>
      <c r="IJW108" s="17"/>
      <c r="IJX108" s="17"/>
      <c r="IJY108" s="17"/>
      <c r="IJZ108" s="17"/>
      <c r="IKA108" s="17"/>
      <c r="IKB108" s="17"/>
      <c r="IKC108" s="17"/>
      <c r="IKD108" s="17"/>
      <c r="IKE108" s="17"/>
      <c r="IKF108" s="17"/>
      <c r="IKG108" s="17"/>
      <c r="IKH108" s="17"/>
      <c r="IKI108" s="17"/>
      <c r="IKJ108" s="17"/>
      <c r="IKK108" s="17"/>
      <c r="IKL108" s="17"/>
      <c r="IKM108" s="17"/>
      <c r="IKN108" s="17"/>
      <c r="IKO108" s="17"/>
      <c r="IKP108" s="17"/>
      <c r="IKQ108" s="17"/>
      <c r="IKR108" s="17"/>
      <c r="IKS108" s="17"/>
      <c r="IKT108" s="17"/>
      <c r="IKU108" s="17"/>
      <c r="IKV108" s="17"/>
      <c r="IKW108" s="17"/>
      <c r="IKX108" s="17"/>
      <c r="IKY108" s="17"/>
      <c r="IKZ108" s="17"/>
      <c r="ILA108" s="17"/>
      <c r="ILB108" s="17"/>
      <c r="ILC108" s="17"/>
      <c r="ILD108" s="17"/>
      <c r="ILE108" s="17"/>
      <c r="ILF108" s="17"/>
      <c r="ILG108" s="17"/>
      <c r="ILH108" s="17"/>
      <c r="ILI108" s="17"/>
      <c r="ILJ108" s="17"/>
      <c r="ILK108" s="17"/>
      <c r="ILL108" s="17"/>
      <c r="ILM108" s="17"/>
      <c r="ILN108" s="17"/>
      <c r="ILO108" s="17"/>
      <c r="ILP108" s="17"/>
      <c r="ILQ108" s="17"/>
      <c r="ILR108" s="17"/>
      <c r="ILS108" s="17"/>
      <c r="ILT108" s="17"/>
      <c r="ILU108" s="17"/>
      <c r="ILV108" s="17"/>
      <c r="ILW108" s="17"/>
      <c r="ILX108" s="17"/>
      <c r="ILY108" s="17"/>
      <c r="ILZ108" s="17"/>
      <c r="IMA108" s="17"/>
      <c r="IMB108" s="17"/>
      <c r="IMC108" s="17"/>
      <c r="IMD108" s="17"/>
      <c r="IME108" s="17"/>
      <c r="IMF108" s="17"/>
      <c r="IMG108" s="17"/>
      <c r="IMH108" s="17"/>
      <c r="IMI108" s="17"/>
      <c r="IMJ108" s="17"/>
      <c r="IMK108" s="17"/>
      <c r="IML108" s="17"/>
      <c r="IMM108" s="17"/>
      <c r="IMN108" s="17"/>
      <c r="IMO108" s="17"/>
      <c r="IMP108" s="17"/>
      <c r="IMQ108" s="17"/>
      <c r="IMR108" s="17"/>
      <c r="IMS108" s="17"/>
      <c r="IMT108" s="17"/>
      <c r="IMU108" s="17"/>
      <c r="IMV108" s="17"/>
      <c r="IMW108" s="17"/>
      <c r="IMX108" s="17"/>
      <c r="IMY108" s="17"/>
      <c r="IMZ108" s="17"/>
      <c r="INA108" s="17"/>
      <c r="INB108" s="17"/>
      <c r="INC108" s="17"/>
      <c r="IND108" s="17"/>
      <c r="INE108" s="17"/>
      <c r="INF108" s="17"/>
      <c r="ING108" s="17"/>
      <c r="INH108" s="17"/>
      <c r="INI108" s="17"/>
      <c r="INJ108" s="17"/>
      <c r="INK108" s="17"/>
      <c r="INL108" s="17"/>
      <c r="INM108" s="17"/>
      <c r="INN108" s="17"/>
      <c r="INO108" s="17"/>
      <c r="INP108" s="17"/>
      <c r="INQ108" s="17"/>
      <c r="INR108" s="17"/>
      <c r="INS108" s="17"/>
      <c r="INT108" s="17"/>
      <c r="INU108" s="17"/>
      <c r="INV108" s="17"/>
      <c r="INW108" s="17"/>
      <c r="INX108" s="17"/>
      <c r="INY108" s="17"/>
      <c r="INZ108" s="17"/>
      <c r="IOA108" s="17"/>
      <c r="IOB108" s="17"/>
      <c r="IOC108" s="17"/>
      <c r="IOD108" s="17"/>
      <c r="IOE108" s="17"/>
      <c r="IOF108" s="17"/>
      <c r="IOG108" s="17"/>
      <c r="IOH108" s="17"/>
      <c r="IOI108" s="17"/>
      <c r="IOJ108" s="17"/>
      <c r="IOK108" s="17"/>
      <c r="IOL108" s="17"/>
      <c r="IOM108" s="17"/>
      <c r="ION108" s="17"/>
      <c r="IOO108" s="17"/>
      <c r="IOP108" s="17"/>
      <c r="IOQ108" s="17"/>
      <c r="IOR108" s="17"/>
      <c r="IOS108" s="17"/>
      <c r="IOT108" s="17"/>
      <c r="IOU108" s="17"/>
      <c r="IOV108" s="17"/>
      <c r="IOW108" s="17"/>
      <c r="IOX108" s="17"/>
      <c r="IOY108" s="17"/>
      <c r="IOZ108" s="17"/>
      <c r="IPA108" s="17"/>
      <c r="IPB108" s="17"/>
      <c r="IPC108" s="17"/>
      <c r="IPD108" s="17"/>
      <c r="IPE108" s="17"/>
      <c r="IPF108" s="17"/>
      <c r="IPG108" s="17"/>
      <c r="IPH108" s="17"/>
      <c r="IPI108" s="17"/>
      <c r="IPJ108" s="17"/>
      <c r="IPK108" s="17"/>
      <c r="IPL108" s="17"/>
      <c r="IPM108" s="17"/>
      <c r="IPN108" s="17"/>
      <c r="IPO108" s="17"/>
      <c r="IPP108" s="17"/>
      <c r="IPQ108" s="17"/>
      <c r="IPR108" s="17"/>
      <c r="IPS108" s="17"/>
      <c r="IPT108" s="17"/>
      <c r="IPU108" s="17"/>
      <c r="IPV108" s="17"/>
      <c r="IPW108" s="17"/>
      <c r="IPX108" s="17"/>
      <c r="IPY108" s="17"/>
      <c r="IPZ108" s="17"/>
      <c r="IQA108" s="17"/>
      <c r="IQB108" s="17"/>
      <c r="IQC108" s="17"/>
      <c r="IQD108" s="17"/>
      <c r="IQE108" s="17"/>
      <c r="IQF108" s="17"/>
      <c r="IQG108" s="17"/>
      <c r="IQH108" s="17"/>
      <c r="IQI108" s="17"/>
      <c r="IQJ108" s="17"/>
      <c r="IQK108" s="17"/>
      <c r="IQL108" s="17"/>
      <c r="IQM108" s="17"/>
      <c r="IQN108" s="17"/>
      <c r="IQO108" s="17"/>
      <c r="IQP108" s="17"/>
      <c r="IQQ108" s="17"/>
      <c r="IQR108" s="17"/>
      <c r="IQS108" s="17"/>
      <c r="IQT108" s="17"/>
      <c r="IQU108" s="17"/>
      <c r="IQV108" s="17"/>
      <c r="IQW108" s="17"/>
      <c r="IQX108" s="17"/>
      <c r="IQY108" s="17"/>
      <c r="IQZ108" s="17"/>
      <c r="IRA108" s="17"/>
      <c r="IRB108" s="17"/>
      <c r="IRC108" s="17"/>
      <c r="IRD108" s="17"/>
      <c r="IRE108" s="17"/>
      <c r="IRF108" s="17"/>
      <c r="IRG108" s="17"/>
      <c r="IRH108" s="17"/>
      <c r="IRI108" s="17"/>
      <c r="IRJ108" s="17"/>
      <c r="IRK108" s="17"/>
      <c r="IRL108" s="17"/>
      <c r="IRM108" s="17"/>
      <c r="IRN108" s="17"/>
      <c r="IRO108" s="17"/>
      <c r="IRP108" s="17"/>
      <c r="IRQ108" s="17"/>
      <c r="IRR108" s="17"/>
      <c r="IRS108" s="17"/>
      <c r="IRT108" s="17"/>
      <c r="IRU108" s="17"/>
      <c r="IRV108" s="17"/>
      <c r="IRW108" s="17"/>
      <c r="IRX108" s="17"/>
      <c r="IRY108" s="17"/>
      <c r="IRZ108" s="17"/>
      <c r="ISA108" s="17"/>
      <c r="ISB108" s="17"/>
      <c r="ISC108" s="17"/>
      <c r="ISD108" s="17"/>
      <c r="ISE108" s="17"/>
      <c r="ISF108" s="17"/>
      <c r="ISG108" s="17"/>
      <c r="ISH108" s="17"/>
      <c r="ISI108" s="17"/>
      <c r="ISJ108" s="17"/>
      <c r="ISK108" s="17"/>
      <c r="ISL108" s="17"/>
      <c r="ISM108" s="17"/>
      <c r="ISN108" s="17"/>
      <c r="ISO108" s="17"/>
      <c r="ISP108" s="17"/>
      <c r="ISQ108" s="17"/>
      <c r="ISR108" s="17"/>
      <c r="ISS108" s="17"/>
      <c r="IST108" s="17"/>
      <c r="ISU108" s="17"/>
      <c r="ISV108" s="17"/>
      <c r="ISW108" s="17"/>
      <c r="ISX108" s="17"/>
      <c r="ISY108" s="17"/>
      <c r="ISZ108" s="17"/>
      <c r="ITA108" s="17"/>
      <c r="ITB108" s="17"/>
      <c r="ITC108" s="17"/>
      <c r="ITD108" s="17"/>
      <c r="ITE108" s="17"/>
      <c r="ITF108" s="17"/>
      <c r="ITG108" s="17"/>
      <c r="ITH108" s="17"/>
      <c r="ITI108" s="17"/>
      <c r="ITJ108" s="17"/>
      <c r="ITK108" s="17"/>
      <c r="ITL108" s="17"/>
      <c r="ITM108" s="17"/>
      <c r="ITN108" s="17"/>
      <c r="ITO108" s="17"/>
      <c r="ITP108" s="17"/>
      <c r="ITQ108" s="17"/>
      <c r="ITR108" s="17"/>
      <c r="ITS108" s="17"/>
      <c r="ITT108" s="17"/>
      <c r="ITU108" s="17"/>
      <c r="ITV108" s="17"/>
      <c r="ITW108" s="17"/>
      <c r="ITX108" s="17"/>
      <c r="ITY108" s="17"/>
      <c r="ITZ108" s="17"/>
      <c r="IUA108" s="17"/>
      <c r="IUB108" s="17"/>
      <c r="IUC108" s="17"/>
      <c r="IUD108" s="17"/>
      <c r="IUE108" s="17"/>
      <c r="IUF108" s="17"/>
      <c r="IUG108" s="17"/>
      <c r="IUH108" s="17"/>
      <c r="IUI108" s="17"/>
      <c r="IUJ108" s="17"/>
      <c r="IUK108" s="17"/>
      <c r="IUL108" s="17"/>
      <c r="IUM108" s="17"/>
      <c r="IUN108" s="17"/>
      <c r="IUO108" s="17"/>
      <c r="IUP108" s="17"/>
      <c r="IUQ108" s="17"/>
      <c r="IUR108" s="17"/>
      <c r="IUS108" s="17"/>
      <c r="IUT108" s="17"/>
      <c r="IUU108" s="17"/>
      <c r="IUV108" s="17"/>
      <c r="IUW108" s="17"/>
      <c r="IUX108" s="17"/>
      <c r="IUY108" s="17"/>
      <c r="IUZ108" s="17"/>
      <c r="IVA108" s="17"/>
      <c r="IVB108" s="17"/>
      <c r="IVC108" s="17"/>
      <c r="IVD108" s="17"/>
      <c r="IVE108" s="17"/>
      <c r="IVF108" s="17"/>
      <c r="IVG108" s="17"/>
      <c r="IVH108" s="17"/>
      <c r="IVI108" s="17"/>
      <c r="IVJ108" s="17"/>
      <c r="IVK108" s="17"/>
      <c r="IVL108" s="17"/>
      <c r="IVM108" s="17"/>
      <c r="IVN108" s="17"/>
      <c r="IVO108" s="17"/>
      <c r="IVP108" s="17"/>
      <c r="IVQ108" s="17"/>
      <c r="IVR108" s="17"/>
      <c r="IVS108" s="17"/>
      <c r="IVT108" s="17"/>
      <c r="IVU108" s="17"/>
      <c r="IVV108" s="17"/>
      <c r="IVW108" s="17"/>
      <c r="IVX108" s="17"/>
      <c r="IVY108" s="17"/>
      <c r="IVZ108" s="17"/>
      <c r="IWA108" s="17"/>
      <c r="IWB108" s="17"/>
      <c r="IWC108" s="17"/>
      <c r="IWD108" s="17"/>
      <c r="IWE108" s="17"/>
      <c r="IWF108" s="17"/>
      <c r="IWG108" s="17"/>
      <c r="IWH108" s="17"/>
      <c r="IWI108" s="17"/>
      <c r="IWJ108" s="17"/>
      <c r="IWK108" s="17"/>
      <c r="IWL108" s="17"/>
      <c r="IWM108" s="17"/>
      <c r="IWN108" s="17"/>
      <c r="IWO108" s="17"/>
      <c r="IWP108" s="17"/>
      <c r="IWQ108" s="17"/>
      <c r="IWR108" s="17"/>
      <c r="IWS108" s="17"/>
      <c r="IWT108" s="17"/>
      <c r="IWU108" s="17"/>
      <c r="IWV108" s="17"/>
      <c r="IWW108" s="17"/>
      <c r="IWX108" s="17"/>
      <c r="IWY108" s="17"/>
      <c r="IWZ108" s="17"/>
      <c r="IXA108" s="17"/>
      <c r="IXB108" s="17"/>
      <c r="IXC108" s="17"/>
      <c r="IXD108" s="17"/>
      <c r="IXE108" s="17"/>
      <c r="IXF108" s="17"/>
      <c r="IXG108" s="17"/>
      <c r="IXH108" s="17"/>
      <c r="IXI108" s="17"/>
      <c r="IXJ108" s="17"/>
      <c r="IXK108" s="17"/>
      <c r="IXL108" s="17"/>
      <c r="IXM108" s="17"/>
      <c r="IXN108" s="17"/>
      <c r="IXO108" s="17"/>
      <c r="IXP108" s="17"/>
      <c r="IXQ108" s="17"/>
      <c r="IXR108" s="17"/>
      <c r="IXS108" s="17"/>
      <c r="IXT108" s="17"/>
      <c r="IXU108" s="17"/>
      <c r="IXV108" s="17"/>
      <c r="IXW108" s="17"/>
      <c r="IXX108" s="17"/>
      <c r="IXY108" s="17"/>
      <c r="IXZ108" s="17"/>
      <c r="IYA108" s="17"/>
      <c r="IYB108" s="17"/>
      <c r="IYC108" s="17"/>
      <c r="IYD108" s="17"/>
      <c r="IYE108" s="17"/>
      <c r="IYF108" s="17"/>
      <c r="IYG108" s="17"/>
      <c r="IYH108" s="17"/>
      <c r="IYI108" s="17"/>
      <c r="IYJ108" s="17"/>
      <c r="IYK108" s="17"/>
      <c r="IYL108" s="17"/>
      <c r="IYM108" s="17"/>
      <c r="IYN108" s="17"/>
      <c r="IYO108" s="17"/>
      <c r="IYP108" s="17"/>
      <c r="IYQ108" s="17"/>
      <c r="IYR108" s="17"/>
      <c r="IYS108" s="17"/>
      <c r="IYT108" s="17"/>
      <c r="IYU108" s="17"/>
      <c r="IYV108" s="17"/>
      <c r="IYW108" s="17"/>
      <c r="IYX108" s="17"/>
      <c r="IYY108" s="17"/>
      <c r="IYZ108" s="17"/>
      <c r="IZA108" s="17"/>
      <c r="IZB108" s="17"/>
      <c r="IZC108" s="17"/>
      <c r="IZD108" s="17"/>
      <c r="IZE108" s="17"/>
      <c r="IZF108" s="17"/>
      <c r="IZG108" s="17"/>
      <c r="IZH108" s="17"/>
      <c r="IZI108" s="17"/>
      <c r="IZJ108" s="17"/>
      <c r="IZK108" s="17"/>
      <c r="IZL108" s="17"/>
      <c r="IZM108" s="17"/>
      <c r="IZN108" s="17"/>
      <c r="IZO108" s="17"/>
      <c r="IZP108" s="17"/>
      <c r="IZQ108" s="17"/>
      <c r="IZR108" s="17"/>
      <c r="IZS108" s="17"/>
      <c r="IZT108" s="17"/>
      <c r="IZU108" s="17"/>
      <c r="IZV108" s="17"/>
      <c r="IZW108" s="17"/>
      <c r="IZX108" s="17"/>
      <c r="IZY108" s="17"/>
      <c r="IZZ108" s="17"/>
      <c r="JAA108" s="17"/>
      <c r="JAB108" s="17"/>
      <c r="JAC108" s="17"/>
      <c r="JAD108" s="17"/>
      <c r="JAE108" s="17"/>
      <c r="JAF108" s="17"/>
      <c r="JAG108" s="17"/>
      <c r="JAH108" s="17"/>
      <c r="JAI108" s="17"/>
      <c r="JAJ108" s="17"/>
      <c r="JAK108" s="17"/>
      <c r="JAL108" s="17"/>
      <c r="JAM108" s="17"/>
      <c r="JAN108" s="17"/>
      <c r="JAO108" s="17"/>
      <c r="JAP108" s="17"/>
      <c r="JAQ108" s="17"/>
      <c r="JAR108" s="17"/>
      <c r="JAS108" s="17"/>
      <c r="JAT108" s="17"/>
      <c r="JAU108" s="17"/>
      <c r="JAV108" s="17"/>
      <c r="JAW108" s="17"/>
      <c r="JAX108" s="17"/>
      <c r="JAY108" s="17"/>
      <c r="JAZ108" s="17"/>
      <c r="JBA108" s="17"/>
      <c r="JBB108" s="17"/>
      <c r="JBC108" s="17"/>
      <c r="JBD108" s="17"/>
      <c r="JBE108" s="17"/>
      <c r="JBF108" s="17"/>
      <c r="JBG108" s="17"/>
      <c r="JBH108" s="17"/>
      <c r="JBI108" s="17"/>
      <c r="JBJ108" s="17"/>
      <c r="JBK108" s="17"/>
      <c r="JBL108" s="17"/>
      <c r="JBM108" s="17"/>
      <c r="JBN108" s="17"/>
      <c r="JBO108" s="17"/>
      <c r="JBP108" s="17"/>
      <c r="JBQ108" s="17"/>
      <c r="JBR108" s="17"/>
      <c r="JBS108" s="17"/>
      <c r="JBT108" s="17"/>
      <c r="JBU108" s="17"/>
      <c r="JBV108" s="17"/>
      <c r="JBW108" s="17"/>
      <c r="JBX108" s="17"/>
      <c r="JBY108" s="17"/>
      <c r="JBZ108" s="17"/>
      <c r="JCA108" s="17"/>
      <c r="JCB108" s="17"/>
      <c r="JCC108" s="17"/>
      <c r="JCD108" s="17"/>
      <c r="JCE108" s="17"/>
      <c r="JCF108" s="17"/>
      <c r="JCG108" s="17"/>
      <c r="JCH108" s="17"/>
      <c r="JCI108" s="17"/>
      <c r="JCJ108" s="17"/>
      <c r="JCK108" s="17"/>
      <c r="JCL108" s="17"/>
      <c r="JCM108" s="17"/>
      <c r="JCN108" s="17"/>
      <c r="JCO108" s="17"/>
      <c r="JCP108" s="17"/>
      <c r="JCQ108" s="17"/>
      <c r="JCR108" s="17"/>
      <c r="JCS108" s="17"/>
      <c r="JCT108" s="17"/>
      <c r="JCU108" s="17"/>
      <c r="JCV108" s="17"/>
      <c r="JCW108" s="17"/>
      <c r="JCX108" s="17"/>
      <c r="JCY108" s="17"/>
      <c r="JCZ108" s="17"/>
      <c r="JDA108" s="17"/>
      <c r="JDB108" s="17"/>
      <c r="JDC108" s="17"/>
      <c r="JDD108" s="17"/>
      <c r="JDE108" s="17"/>
      <c r="JDF108" s="17"/>
      <c r="JDG108" s="17"/>
      <c r="JDH108" s="17"/>
      <c r="JDI108" s="17"/>
      <c r="JDJ108" s="17"/>
      <c r="JDK108" s="17"/>
      <c r="JDL108" s="17"/>
      <c r="JDM108" s="17"/>
      <c r="JDN108" s="17"/>
      <c r="JDO108" s="17"/>
      <c r="JDP108" s="17"/>
      <c r="JDQ108" s="17"/>
      <c r="JDR108" s="17"/>
      <c r="JDS108" s="17"/>
      <c r="JDT108" s="17"/>
      <c r="JDU108" s="17"/>
      <c r="JDV108" s="17"/>
      <c r="JDW108" s="17"/>
      <c r="JDX108" s="17"/>
      <c r="JDY108" s="17"/>
      <c r="JDZ108" s="17"/>
      <c r="JEA108" s="17"/>
      <c r="JEB108" s="17"/>
      <c r="JEC108" s="17"/>
      <c r="JED108" s="17"/>
      <c r="JEE108" s="17"/>
      <c r="JEF108" s="17"/>
      <c r="JEG108" s="17"/>
      <c r="JEH108" s="17"/>
      <c r="JEI108" s="17"/>
      <c r="JEJ108" s="17"/>
      <c r="JEK108" s="17"/>
      <c r="JEL108" s="17"/>
      <c r="JEM108" s="17"/>
      <c r="JEN108" s="17"/>
      <c r="JEO108" s="17"/>
      <c r="JEP108" s="17"/>
      <c r="JEQ108" s="17"/>
      <c r="JER108" s="17"/>
      <c r="JES108" s="17"/>
      <c r="JET108" s="17"/>
      <c r="JEU108" s="17"/>
      <c r="JEV108" s="17"/>
      <c r="JEW108" s="17"/>
      <c r="JEX108" s="17"/>
      <c r="JEY108" s="17"/>
      <c r="JEZ108" s="17"/>
      <c r="JFA108" s="17"/>
      <c r="JFB108" s="17"/>
      <c r="JFC108" s="17"/>
      <c r="JFD108" s="17"/>
      <c r="JFE108" s="17"/>
      <c r="JFF108" s="17"/>
      <c r="JFG108" s="17"/>
      <c r="JFH108" s="17"/>
      <c r="JFI108" s="17"/>
      <c r="JFJ108" s="17"/>
      <c r="JFK108" s="17"/>
      <c r="JFL108" s="17"/>
      <c r="JFM108" s="17"/>
      <c r="JFN108" s="17"/>
      <c r="JFO108" s="17"/>
      <c r="JFP108" s="17"/>
      <c r="JFQ108" s="17"/>
      <c r="JFR108" s="17"/>
      <c r="JFS108" s="17"/>
      <c r="JFT108" s="17"/>
      <c r="JFU108" s="17"/>
      <c r="JFV108" s="17"/>
      <c r="JFW108" s="17"/>
      <c r="JFX108" s="17"/>
      <c r="JFY108" s="17"/>
      <c r="JFZ108" s="17"/>
      <c r="JGA108" s="17"/>
      <c r="JGB108" s="17"/>
      <c r="JGC108" s="17"/>
      <c r="JGD108" s="17"/>
      <c r="JGE108" s="17"/>
      <c r="JGF108" s="17"/>
      <c r="JGG108" s="17"/>
      <c r="JGH108" s="17"/>
      <c r="JGI108" s="17"/>
      <c r="JGJ108" s="17"/>
      <c r="JGK108" s="17"/>
      <c r="JGL108" s="17"/>
      <c r="JGM108" s="17"/>
      <c r="JGN108" s="17"/>
      <c r="JGO108" s="17"/>
      <c r="JGP108" s="17"/>
      <c r="JGQ108" s="17"/>
      <c r="JGR108" s="17"/>
      <c r="JGS108" s="17"/>
      <c r="JGT108" s="17"/>
      <c r="JGU108" s="17"/>
      <c r="JGV108" s="17"/>
      <c r="JGW108" s="17"/>
      <c r="JGX108" s="17"/>
      <c r="JGY108" s="17"/>
      <c r="JGZ108" s="17"/>
      <c r="JHA108" s="17"/>
      <c r="JHB108" s="17"/>
      <c r="JHC108" s="17"/>
      <c r="JHD108" s="17"/>
      <c r="JHE108" s="17"/>
      <c r="JHF108" s="17"/>
      <c r="JHG108" s="17"/>
      <c r="JHH108" s="17"/>
      <c r="JHI108" s="17"/>
      <c r="JHJ108" s="17"/>
      <c r="JHK108" s="17"/>
      <c r="JHL108" s="17"/>
      <c r="JHM108" s="17"/>
      <c r="JHN108" s="17"/>
      <c r="JHO108" s="17"/>
      <c r="JHP108" s="17"/>
      <c r="JHQ108" s="17"/>
      <c r="JHR108" s="17"/>
      <c r="JHS108" s="17"/>
      <c r="JHT108" s="17"/>
      <c r="JHU108" s="17"/>
      <c r="JHV108" s="17"/>
      <c r="JHW108" s="17"/>
      <c r="JHX108" s="17"/>
      <c r="JHY108" s="17"/>
      <c r="JHZ108" s="17"/>
      <c r="JIA108" s="17"/>
      <c r="JIB108" s="17"/>
      <c r="JIC108" s="17"/>
      <c r="JID108" s="17"/>
      <c r="JIE108" s="17"/>
      <c r="JIF108" s="17"/>
      <c r="JIG108" s="17"/>
      <c r="JIH108" s="17"/>
      <c r="JII108" s="17"/>
      <c r="JIJ108" s="17"/>
      <c r="JIK108" s="17"/>
      <c r="JIL108" s="17"/>
      <c r="JIM108" s="17"/>
      <c r="JIN108" s="17"/>
      <c r="JIO108" s="17"/>
      <c r="JIP108" s="17"/>
      <c r="JIQ108" s="17"/>
      <c r="JIR108" s="17"/>
      <c r="JIS108" s="17"/>
      <c r="JIT108" s="17"/>
      <c r="JIU108" s="17"/>
      <c r="JIV108" s="17"/>
      <c r="JIW108" s="17"/>
      <c r="JIX108" s="17"/>
      <c r="JIY108" s="17"/>
      <c r="JIZ108" s="17"/>
      <c r="JJA108" s="17"/>
      <c r="JJB108" s="17"/>
      <c r="JJC108" s="17"/>
      <c r="JJD108" s="17"/>
      <c r="JJE108" s="17"/>
      <c r="JJF108" s="17"/>
      <c r="JJG108" s="17"/>
      <c r="JJH108" s="17"/>
      <c r="JJI108" s="17"/>
      <c r="JJJ108" s="17"/>
      <c r="JJK108" s="17"/>
      <c r="JJL108" s="17"/>
      <c r="JJM108" s="17"/>
      <c r="JJN108" s="17"/>
      <c r="JJO108" s="17"/>
      <c r="JJP108" s="17"/>
      <c r="JJQ108" s="17"/>
      <c r="JJR108" s="17"/>
      <c r="JJS108" s="17"/>
      <c r="JJT108" s="17"/>
      <c r="JJU108" s="17"/>
      <c r="JJV108" s="17"/>
      <c r="JJW108" s="17"/>
      <c r="JJX108" s="17"/>
      <c r="JJY108" s="17"/>
      <c r="JJZ108" s="17"/>
      <c r="JKA108" s="17"/>
      <c r="JKB108" s="17"/>
      <c r="JKC108" s="17"/>
      <c r="JKD108" s="17"/>
      <c r="JKE108" s="17"/>
      <c r="JKF108" s="17"/>
      <c r="JKG108" s="17"/>
      <c r="JKH108" s="17"/>
      <c r="JKI108" s="17"/>
      <c r="JKJ108" s="17"/>
      <c r="JKK108" s="17"/>
      <c r="JKL108" s="17"/>
      <c r="JKM108" s="17"/>
      <c r="JKN108" s="17"/>
      <c r="JKO108" s="17"/>
      <c r="JKP108" s="17"/>
      <c r="JKQ108" s="17"/>
      <c r="JKR108" s="17"/>
      <c r="JKS108" s="17"/>
      <c r="JKT108" s="17"/>
      <c r="JKU108" s="17"/>
      <c r="JKV108" s="17"/>
      <c r="JKW108" s="17"/>
      <c r="JKX108" s="17"/>
      <c r="JKY108" s="17"/>
      <c r="JKZ108" s="17"/>
      <c r="JLA108" s="17"/>
      <c r="JLB108" s="17"/>
      <c r="JLC108" s="17"/>
      <c r="JLD108" s="17"/>
      <c r="JLE108" s="17"/>
      <c r="JLF108" s="17"/>
      <c r="JLG108" s="17"/>
      <c r="JLH108" s="17"/>
      <c r="JLI108" s="17"/>
      <c r="JLJ108" s="17"/>
      <c r="JLK108" s="17"/>
      <c r="JLL108" s="17"/>
      <c r="JLM108" s="17"/>
      <c r="JLN108" s="17"/>
      <c r="JLO108" s="17"/>
      <c r="JLP108" s="17"/>
      <c r="JLQ108" s="17"/>
      <c r="JLR108" s="17"/>
      <c r="JLS108" s="17"/>
      <c r="JLT108" s="17"/>
      <c r="JLU108" s="17"/>
      <c r="JLV108" s="17"/>
      <c r="JLW108" s="17"/>
      <c r="JLX108" s="17"/>
      <c r="JLY108" s="17"/>
      <c r="JLZ108" s="17"/>
      <c r="JMA108" s="17"/>
      <c r="JMB108" s="17"/>
      <c r="JMC108" s="17"/>
      <c r="JMD108" s="17"/>
      <c r="JME108" s="17"/>
      <c r="JMF108" s="17"/>
      <c r="JMG108" s="17"/>
      <c r="JMH108" s="17"/>
      <c r="JMI108" s="17"/>
      <c r="JMJ108" s="17"/>
      <c r="JMK108" s="17"/>
      <c r="JML108" s="17"/>
      <c r="JMM108" s="17"/>
      <c r="JMN108" s="17"/>
      <c r="JMO108" s="17"/>
      <c r="JMP108" s="17"/>
      <c r="JMQ108" s="17"/>
      <c r="JMR108" s="17"/>
      <c r="JMS108" s="17"/>
      <c r="JMT108" s="17"/>
      <c r="JMU108" s="17"/>
      <c r="JMV108" s="17"/>
      <c r="JMW108" s="17"/>
      <c r="JMX108" s="17"/>
      <c r="JMY108" s="17"/>
      <c r="JMZ108" s="17"/>
      <c r="JNA108" s="17"/>
      <c r="JNB108" s="17"/>
      <c r="JNC108" s="17"/>
      <c r="JND108" s="17"/>
      <c r="JNE108" s="17"/>
      <c r="JNF108" s="17"/>
      <c r="JNG108" s="17"/>
      <c r="JNH108" s="17"/>
      <c r="JNI108" s="17"/>
      <c r="JNJ108" s="17"/>
      <c r="JNK108" s="17"/>
      <c r="JNL108" s="17"/>
      <c r="JNM108" s="17"/>
      <c r="JNN108" s="17"/>
      <c r="JNO108" s="17"/>
      <c r="JNP108" s="17"/>
      <c r="JNQ108" s="17"/>
      <c r="JNR108" s="17"/>
      <c r="JNS108" s="17"/>
      <c r="JNT108" s="17"/>
      <c r="JNU108" s="17"/>
      <c r="JNV108" s="17"/>
      <c r="JNW108" s="17"/>
      <c r="JNX108" s="17"/>
      <c r="JNY108" s="17"/>
      <c r="JNZ108" s="17"/>
      <c r="JOA108" s="17"/>
      <c r="JOB108" s="17"/>
      <c r="JOC108" s="17"/>
      <c r="JOD108" s="17"/>
      <c r="JOE108" s="17"/>
      <c r="JOF108" s="17"/>
      <c r="JOG108" s="17"/>
      <c r="JOH108" s="17"/>
      <c r="JOI108" s="17"/>
      <c r="JOJ108" s="17"/>
      <c r="JOK108" s="17"/>
      <c r="JOL108" s="17"/>
      <c r="JOM108" s="17"/>
      <c r="JON108" s="17"/>
      <c r="JOO108" s="17"/>
      <c r="JOP108" s="17"/>
      <c r="JOQ108" s="17"/>
      <c r="JOR108" s="17"/>
      <c r="JOS108" s="17"/>
      <c r="JOT108" s="17"/>
      <c r="JOU108" s="17"/>
      <c r="JOV108" s="17"/>
      <c r="JOW108" s="17"/>
      <c r="JOX108" s="17"/>
      <c r="JOY108" s="17"/>
      <c r="JOZ108" s="17"/>
      <c r="JPA108" s="17"/>
      <c r="JPB108" s="17"/>
      <c r="JPC108" s="17"/>
      <c r="JPD108" s="17"/>
      <c r="JPE108" s="17"/>
      <c r="JPF108" s="17"/>
      <c r="JPG108" s="17"/>
      <c r="JPH108" s="17"/>
      <c r="JPI108" s="17"/>
      <c r="JPJ108" s="17"/>
      <c r="JPK108" s="17"/>
      <c r="JPL108" s="17"/>
      <c r="JPM108" s="17"/>
      <c r="JPN108" s="17"/>
      <c r="JPO108" s="17"/>
      <c r="JPP108" s="17"/>
      <c r="JPQ108" s="17"/>
      <c r="JPR108" s="17"/>
      <c r="JPS108" s="17"/>
      <c r="JPT108" s="17"/>
      <c r="JPU108" s="17"/>
      <c r="JPV108" s="17"/>
      <c r="JPW108" s="17"/>
      <c r="JPX108" s="17"/>
      <c r="JPY108" s="17"/>
      <c r="JPZ108" s="17"/>
      <c r="JQA108" s="17"/>
      <c r="JQB108" s="17"/>
      <c r="JQC108" s="17"/>
      <c r="JQD108" s="17"/>
      <c r="JQE108" s="17"/>
      <c r="JQF108" s="17"/>
      <c r="JQG108" s="17"/>
      <c r="JQH108" s="17"/>
      <c r="JQI108" s="17"/>
      <c r="JQJ108" s="17"/>
      <c r="JQK108" s="17"/>
      <c r="JQL108" s="17"/>
      <c r="JQM108" s="17"/>
      <c r="JQN108" s="17"/>
      <c r="JQO108" s="17"/>
      <c r="JQP108" s="17"/>
      <c r="JQQ108" s="17"/>
      <c r="JQR108" s="17"/>
      <c r="JQS108" s="17"/>
      <c r="JQT108" s="17"/>
      <c r="JQU108" s="17"/>
      <c r="JQV108" s="17"/>
      <c r="JQW108" s="17"/>
      <c r="JQX108" s="17"/>
      <c r="JQY108" s="17"/>
      <c r="JQZ108" s="17"/>
      <c r="JRA108" s="17"/>
      <c r="JRB108" s="17"/>
      <c r="JRC108" s="17"/>
      <c r="JRD108" s="17"/>
      <c r="JRE108" s="17"/>
      <c r="JRF108" s="17"/>
      <c r="JRG108" s="17"/>
      <c r="JRH108" s="17"/>
      <c r="JRI108" s="17"/>
      <c r="JRJ108" s="17"/>
      <c r="JRK108" s="17"/>
      <c r="JRL108" s="17"/>
      <c r="JRM108" s="17"/>
      <c r="JRN108" s="17"/>
      <c r="JRO108" s="17"/>
      <c r="JRP108" s="17"/>
      <c r="JRQ108" s="17"/>
      <c r="JRR108" s="17"/>
      <c r="JRS108" s="17"/>
      <c r="JRT108" s="17"/>
      <c r="JRU108" s="17"/>
      <c r="JRV108" s="17"/>
      <c r="JRW108" s="17"/>
      <c r="JRX108" s="17"/>
      <c r="JRY108" s="17"/>
      <c r="JRZ108" s="17"/>
      <c r="JSA108" s="17"/>
      <c r="JSB108" s="17"/>
      <c r="JSC108" s="17"/>
      <c r="JSD108" s="17"/>
      <c r="JSE108" s="17"/>
      <c r="JSF108" s="17"/>
      <c r="JSG108" s="17"/>
      <c r="JSH108" s="17"/>
      <c r="JSI108" s="17"/>
      <c r="JSJ108" s="17"/>
      <c r="JSK108" s="17"/>
      <c r="JSL108" s="17"/>
      <c r="JSM108" s="17"/>
      <c r="JSN108" s="17"/>
      <c r="JSO108" s="17"/>
      <c r="JSP108" s="17"/>
      <c r="JSQ108" s="17"/>
      <c r="JSR108" s="17"/>
      <c r="JSS108" s="17"/>
      <c r="JST108" s="17"/>
      <c r="JSU108" s="17"/>
      <c r="JSV108" s="17"/>
      <c r="JSW108" s="17"/>
      <c r="JSX108" s="17"/>
      <c r="JSY108" s="17"/>
      <c r="JSZ108" s="17"/>
      <c r="JTA108" s="17"/>
      <c r="JTB108" s="17"/>
      <c r="JTC108" s="17"/>
      <c r="JTD108" s="17"/>
      <c r="JTE108" s="17"/>
      <c r="JTF108" s="17"/>
      <c r="JTG108" s="17"/>
      <c r="JTH108" s="17"/>
      <c r="JTI108" s="17"/>
      <c r="JTJ108" s="17"/>
      <c r="JTK108" s="17"/>
      <c r="JTL108" s="17"/>
      <c r="JTM108" s="17"/>
      <c r="JTN108" s="17"/>
      <c r="JTO108" s="17"/>
      <c r="JTP108" s="17"/>
      <c r="JTQ108" s="17"/>
      <c r="JTR108" s="17"/>
      <c r="JTS108" s="17"/>
      <c r="JTT108" s="17"/>
      <c r="JTU108" s="17"/>
      <c r="JTV108" s="17"/>
      <c r="JTW108" s="17"/>
      <c r="JTX108" s="17"/>
      <c r="JTY108" s="17"/>
      <c r="JTZ108" s="17"/>
      <c r="JUA108" s="17"/>
      <c r="JUB108" s="17"/>
      <c r="JUC108" s="17"/>
      <c r="JUD108" s="17"/>
      <c r="JUE108" s="17"/>
      <c r="JUF108" s="17"/>
      <c r="JUG108" s="17"/>
      <c r="JUH108" s="17"/>
      <c r="JUI108" s="17"/>
      <c r="JUJ108" s="17"/>
      <c r="JUK108" s="17"/>
      <c r="JUL108" s="17"/>
      <c r="JUM108" s="17"/>
      <c r="JUN108" s="17"/>
      <c r="JUO108" s="17"/>
      <c r="JUP108" s="17"/>
      <c r="JUQ108" s="17"/>
      <c r="JUR108" s="17"/>
      <c r="JUS108" s="17"/>
      <c r="JUT108" s="17"/>
      <c r="JUU108" s="17"/>
      <c r="JUV108" s="17"/>
      <c r="JUW108" s="17"/>
      <c r="JUX108" s="17"/>
      <c r="JUY108" s="17"/>
      <c r="JUZ108" s="17"/>
      <c r="JVA108" s="17"/>
      <c r="JVB108" s="17"/>
      <c r="JVC108" s="17"/>
      <c r="JVD108" s="17"/>
      <c r="JVE108" s="17"/>
      <c r="JVF108" s="17"/>
      <c r="JVG108" s="17"/>
      <c r="JVH108" s="17"/>
      <c r="JVI108" s="17"/>
      <c r="JVJ108" s="17"/>
      <c r="JVK108" s="17"/>
      <c r="JVL108" s="17"/>
      <c r="JVM108" s="17"/>
      <c r="JVN108" s="17"/>
      <c r="JVO108" s="17"/>
      <c r="JVP108" s="17"/>
      <c r="JVQ108" s="17"/>
      <c r="JVR108" s="17"/>
      <c r="JVS108" s="17"/>
      <c r="JVT108" s="17"/>
      <c r="JVU108" s="17"/>
      <c r="JVV108" s="17"/>
      <c r="JVW108" s="17"/>
      <c r="JVX108" s="17"/>
      <c r="JVY108" s="17"/>
      <c r="JVZ108" s="17"/>
      <c r="JWA108" s="17"/>
      <c r="JWB108" s="17"/>
      <c r="JWC108" s="17"/>
      <c r="JWD108" s="17"/>
      <c r="JWE108" s="17"/>
      <c r="JWF108" s="17"/>
      <c r="JWG108" s="17"/>
      <c r="JWH108" s="17"/>
      <c r="JWI108" s="17"/>
      <c r="JWJ108" s="17"/>
      <c r="JWK108" s="17"/>
      <c r="JWL108" s="17"/>
      <c r="JWM108" s="17"/>
      <c r="JWN108" s="17"/>
      <c r="JWO108" s="17"/>
      <c r="JWP108" s="17"/>
      <c r="JWQ108" s="17"/>
      <c r="JWR108" s="17"/>
      <c r="JWS108" s="17"/>
      <c r="JWT108" s="17"/>
      <c r="JWU108" s="17"/>
      <c r="JWV108" s="17"/>
      <c r="JWW108" s="17"/>
      <c r="JWX108" s="17"/>
      <c r="JWY108" s="17"/>
      <c r="JWZ108" s="17"/>
      <c r="JXA108" s="17"/>
      <c r="JXB108" s="17"/>
      <c r="JXC108" s="17"/>
      <c r="JXD108" s="17"/>
      <c r="JXE108" s="17"/>
      <c r="JXF108" s="17"/>
      <c r="JXG108" s="17"/>
      <c r="JXH108" s="17"/>
      <c r="JXI108" s="17"/>
      <c r="JXJ108" s="17"/>
      <c r="JXK108" s="17"/>
      <c r="JXL108" s="17"/>
      <c r="JXM108" s="17"/>
      <c r="JXN108" s="17"/>
      <c r="JXO108" s="17"/>
      <c r="JXP108" s="17"/>
      <c r="JXQ108" s="17"/>
      <c r="JXR108" s="17"/>
      <c r="JXS108" s="17"/>
      <c r="JXT108" s="17"/>
      <c r="JXU108" s="17"/>
      <c r="JXV108" s="17"/>
      <c r="JXW108" s="17"/>
      <c r="JXX108" s="17"/>
      <c r="JXY108" s="17"/>
      <c r="JXZ108" s="17"/>
      <c r="JYA108" s="17"/>
      <c r="JYB108" s="17"/>
      <c r="JYC108" s="17"/>
      <c r="JYD108" s="17"/>
      <c r="JYE108" s="17"/>
      <c r="JYF108" s="17"/>
      <c r="JYG108" s="17"/>
      <c r="JYH108" s="17"/>
      <c r="JYI108" s="17"/>
      <c r="JYJ108" s="17"/>
      <c r="JYK108" s="17"/>
      <c r="JYL108" s="17"/>
      <c r="JYM108" s="17"/>
      <c r="JYN108" s="17"/>
      <c r="JYO108" s="17"/>
      <c r="JYP108" s="17"/>
      <c r="JYQ108" s="17"/>
      <c r="JYR108" s="17"/>
      <c r="JYS108" s="17"/>
      <c r="JYT108" s="17"/>
      <c r="JYU108" s="17"/>
      <c r="JYV108" s="17"/>
      <c r="JYW108" s="17"/>
      <c r="JYX108" s="17"/>
      <c r="JYY108" s="17"/>
      <c r="JYZ108" s="17"/>
      <c r="JZA108" s="17"/>
      <c r="JZB108" s="17"/>
      <c r="JZC108" s="17"/>
      <c r="JZD108" s="17"/>
      <c r="JZE108" s="17"/>
      <c r="JZF108" s="17"/>
      <c r="JZG108" s="17"/>
      <c r="JZH108" s="17"/>
      <c r="JZI108" s="17"/>
      <c r="JZJ108" s="17"/>
      <c r="JZK108" s="17"/>
      <c r="JZL108" s="17"/>
      <c r="JZM108" s="17"/>
      <c r="JZN108" s="17"/>
      <c r="JZO108" s="17"/>
      <c r="JZP108" s="17"/>
      <c r="JZQ108" s="17"/>
      <c r="JZR108" s="17"/>
      <c r="JZS108" s="17"/>
      <c r="JZT108" s="17"/>
      <c r="JZU108" s="17"/>
      <c r="JZV108" s="17"/>
      <c r="JZW108" s="17"/>
      <c r="JZX108" s="17"/>
      <c r="JZY108" s="17"/>
      <c r="JZZ108" s="17"/>
      <c r="KAA108" s="17"/>
      <c r="KAB108" s="17"/>
      <c r="KAC108" s="17"/>
      <c r="KAD108" s="17"/>
      <c r="KAE108" s="17"/>
      <c r="KAF108" s="17"/>
      <c r="KAG108" s="17"/>
      <c r="KAH108" s="17"/>
      <c r="KAI108" s="17"/>
      <c r="KAJ108" s="17"/>
      <c r="KAK108" s="17"/>
      <c r="KAL108" s="17"/>
      <c r="KAM108" s="17"/>
      <c r="KAN108" s="17"/>
      <c r="KAO108" s="17"/>
      <c r="KAP108" s="17"/>
      <c r="KAQ108" s="17"/>
      <c r="KAR108" s="17"/>
      <c r="KAS108" s="17"/>
      <c r="KAT108" s="17"/>
      <c r="KAU108" s="17"/>
      <c r="KAV108" s="17"/>
      <c r="KAW108" s="17"/>
      <c r="KAX108" s="17"/>
      <c r="KAY108" s="17"/>
      <c r="KAZ108" s="17"/>
      <c r="KBA108" s="17"/>
      <c r="KBB108" s="17"/>
      <c r="KBC108" s="17"/>
      <c r="KBD108" s="17"/>
      <c r="KBE108" s="17"/>
      <c r="KBF108" s="17"/>
      <c r="KBG108" s="17"/>
      <c r="KBH108" s="17"/>
      <c r="KBI108" s="17"/>
      <c r="KBJ108" s="17"/>
      <c r="KBK108" s="17"/>
      <c r="KBL108" s="17"/>
      <c r="KBM108" s="17"/>
      <c r="KBN108" s="17"/>
      <c r="KBO108" s="17"/>
      <c r="KBP108" s="17"/>
      <c r="KBQ108" s="17"/>
      <c r="KBR108" s="17"/>
      <c r="KBS108" s="17"/>
      <c r="KBT108" s="17"/>
      <c r="KBU108" s="17"/>
      <c r="KBV108" s="17"/>
      <c r="KBW108" s="17"/>
      <c r="KBX108" s="17"/>
      <c r="KBY108" s="17"/>
      <c r="KBZ108" s="17"/>
      <c r="KCA108" s="17"/>
      <c r="KCB108" s="17"/>
      <c r="KCC108" s="17"/>
      <c r="KCD108" s="17"/>
      <c r="KCE108" s="17"/>
      <c r="KCF108" s="17"/>
      <c r="KCG108" s="17"/>
      <c r="KCH108" s="17"/>
      <c r="KCI108" s="17"/>
      <c r="KCJ108" s="17"/>
      <c r="KCK108" s="17"/>
      <c r="KCL108" s="17"/>
      <c r="KCM108" s="17"/>
      <c r="KCN108" s="17"/>
      <c r="KCO108" s="17"/>
      <c r="KCP108" s="17"/>
      <c r="KCQ108" s="17"/>
      <c r="KCR108" s="17"/>
      <c r="KCS108" s="17"/>
      <c r="KCT108" s="17"/>
      <c r="KCU108" s="17"/>
      <c r="KCV108" s="17"/>
      <c r="KCW108" s="17"/>
      <c r="KCX108" s="17"/>
      <c r="KCY108" s="17"/>
      <c r="KCZ108" s="17"/>
      <c r="KDA108" s="17"/>
      <c r="KDB108" s="17"/>
      <c r="KDC108" s="17"/>
      <c r="KDD108" s="17"/>
      <c r="KDE108" s="17"/>
      <c r="KDF108" s="17"/>
      <c r="KDG108" s="17"/>
      <c r="KDH108" s="17"/>
      <c r="KDI108" s="17"/>
      <c r="KDJ108" s="17"/>
      <c r="KDK108" s="17"/>
      <c r="KDL108" s="17"/>
      <c r="KDM108" s="17"/>
      <c r="KDN108" s="17"/>
      <c r="KDO108" s="17"/>
      <c r="KDP108" s="17"/>
      <c r="KDQ108" s="17"/>
      <c r="KDR108" s="17"/>
      <c r="KDS108" s="17"/>
      <c r="KDT108" s="17"/>
      <c r="KDU108" s="17"/>
      <c r="KDV108" s="17"/>
      <c r="KDW108" s="17"/>
      <c r="KDX108" s="17"/>
      <c r="KDY108" s="17"/>
      <c r="KDZ108" s="17"/>
      <c r="KEA108" s="17"/>
      <c r="KEB108" s="17"/>
      <c r="KEC108" s="17"/>
      <c r="KED108" s="17"/>
      <c r="KEE108" s="17"/>
      <c r="KEF108" s="17"/>
      <c r="KEG108" s="17"/>
      <c r="KEH108" s="17"/>
      <c r="KEI108" s="17"/>
      <c r="KEJ108" s="17"/>
      <c r="KEK108" s="17"/>
      <c r="KEL108" s="17"/>
      <c r="KEM108" s="17"/>
      <c r="KEN108" s="17"/>
      <c r="KEO108" s="17"/>
      <c r="KEP108" s="17"/>
      <c r="KEQ108" s="17"/>
      <c r="KER108" s="17"/>
      <c r="KES108" s="17"/>
      <c r="KET108" s="17"/>
      <c r="KEU108" s="17"/>
      <c r="KEV108" s="17"/>
      <c r="KEW108" s="17"/>
      <c r="KEX108" s="17"/>
      <c r="KEY108" s="17"/>
      <c r="KEZ108" s="17"/>
      <c r="KFA108" s="17"/>
      <c r="KFB108" s="17"/>
      <c r="KFC108" s="17"/>
      <c r="KFD108" s="17"/>
      <c r="KFE108" s="17"/>
      <c r="KFF108" s="17"/>
      <c r="KFG108" s="17"/>
      <c r="KFH108" s="17"/>
      <c r="KFI108" s="17"/>
      <c r="KFJ108" s="17"/>
      <c r="KFK108" s="17"/>
      <c r="KFL108" s="17"/>
      <c r="KFM108" s="17"/>
      <c r="KFN108" s="17"/>
      <c r="KFO108" s="17"/>
      <c r="KFP108" s="17"/>
      <c r="KFQ108" s="17"/>
      <c r="KFR108" s="17"/>
      <c r="KFS108" s="17"/>
      <c r="KFT108" s="17"/>
      <c r="KFU108" s="17"/>
      <c r="KFV108" s="17"/>
      <c r="KFW108" s="17"/>
      <c r="KFX108" s="17"/>
      <c r="KFY108" s="17"/>
      <c r="KFZ108" s="17"/>
      <c r="KGA108" s="17"/>
      <c r="KGB108" s="17"/>
      <c r="KGC108" s="17"/>
      <c r="KGD108" s="17"/>
      <c r="KGE108" s="17"/>
      <c r="KGF108" s="17"/>
      <c r="KGG108" s="17"/>
      <c r="KGH108" s="17"/>
      <c r="KGI108" s="17"/>
      <c r="KGJ108" s="17"/>
      <c r="KGK108" s="17"/>
      <c r="KGL108" s="17"/>
      <c r="KGM108" s="17"/>
      <c r="KGN108" s="17"/>
      <c r="KGO108" s="17"/>
      <c r="KGP108" s="17"/>
      <c r="KGQ108" s="17"/>
      <c r="KGR108" s="17"/>
      <c r="KGS108" s="17"/>
      <c r="KGT108" s="17"/>
      <c r="KGU108" s="17"/>
      <c r="KGV108" s="17"/>
      <c r="KGW108" s="17"/>
      <c r="KGX108" s="17"/>
      <c r="KGY108" s="17"/>
      <c r="KGZ108" s="17"/>
      <c r="KHA108" s="17"/>
      <c r="KHB108" s="17"/>
      <c r="KHC108" s="17"/>
      <c r="KHD108" s="17"/>
      <c r="KHE108" s="17"/>
      <c r="KHF108" s="17"/>
      <c r="KHG108" s="17"/>
      <c r="KHH108" s="17"/>
      <c r="KHI108" s="17"/>
      <c r="KHJ108" s="17"/>
      <c r="KHK108" s="17"/>
      <c r="KHL108" s="17"/>
      <c r="KHM108" s="17"/>
      <c r="KHN108" s="17"/>
      <c r="KHO108" s="17"/>
      <c r="KHP108" s="17"/>
      <c r="KHQ108" s="17"/>
      <c r="KHR108" s="17"/>
      <c r="KHS108" s="17"/>
      <c r="KHT108" s="17"/>
      <c r="KHU108" s="17"/>
      <c r="KHV108" s="17"/>
      <c r="KHW108" s="17"/>
      <c r="KHX108" s="17"/>
      <c r="KHY108" s="17"/>
      <c r="KHZ108" s="17"/>
      <c r="KIA108" s="17"/>
      <c r="KIB108" s="17"/>
      <c r="KIC108" s="17"/>
      <c r="KID108" s="17"/>
      <c r="KIE108" s="17"/>
      <c r="KIF108" s="17"/>
      <c r="KIG108" s="17"/>
      <c r="KIH108" s="17"/>
      <c r="KII108" s="17"/>
      <c r="KIJ108" s="17"/>
      <c r="KIK108" s="17"/>
      <c r="KIL108" s="17"/>
      <c r="KIM108" s="17"/>
      <c r="KIN108" s="17"/>
      <c r="KIO108" s="17"/>
      <c r="KIP108" s="17"/>
      <c r="KIQ108" s="17"/>
      <c r="KIR108" s="17"/>
      <c r="KIS108" s="17"/>
      <c r="KIT108" s="17"/>
      <c r="KIU108" s="17"/>
      <c r="KIV108" s="17"/>
      <c r="KIW108" s="17"/>
      <c r="KIX108" s="17"/>
      <c r="KIY108" s="17"/>
      <c r="KIZ108" s="17"/>
      <c r="KJA108" s="17"/>
      <c r="KJB108" s="17"/>
      <c r="KJC108" s="17"/>
      <c r="KJD108" s="17"/>
      <c r="KJE108" s="17"/>
      <c r="KJF108" s="17"/>
      <c r="KJG108" s="17"/>
      <c r="KJH108" s="17"/>
      <c r="KJI108" s="17"/>
      <c r="KJJ108" s="17"/>
      <c r="KJK108" s="17"/>
      <c r="KJL108" s="17"/>
      <c r="KJM108" s="17"/>
      <c r="KJN108" s="17"/>
      <c r="KJO108" s="17"/>
      <c r="KJP108" s="17"/>
      <c r="KJQ108" s="17"/>
      <c r="KJR108" s="17"/>
      <c r="KJS108" s="17"/>
      <c r="KJT108" s="17"/>
      <c r="KJU108" s="17"/>
      <c r="KJV108" s="17"/>
      <c r="KJW108" s="17"/>
      <c r="KJX108" s="17"/>
      <c r="KJY108" s="17"/>
      <c r="KJZ108" s="17"/>
      <c r="KKA108" s="17"/>
      <c r="KKB108" s="17"/>
      <c r="KKC108" s="17"/>
      <c r="KKD108" s="17"/>
      <c r="KKE108" s="17"/>
      <c r="KKF108" s="17"/>
      <c r="KKG108" s="17"/>
      <c r="KKH108" s="17"/>
      <c r="KKI108" s="17"/>
      <c r="KKJ108" s="17"/>
      <c r="KKK108" s="17"/>
      <c r="KKL108" s="17"/>
      <c r="KKM108" s="17"/>
      <c r="KKN108" s="17"/>
      <c r="KKO108" s="17"/>
      <c r="KKP108" s="17"/>
      <c r="KKQ108" s="17"/>
      <c r="KKR108" s="17"/>
      <c r="KKS108" s="17"/>
      <c r="KKT108" s="17"/>
      <c r="KKU108" s="17"/>
      <c r="KKV108" s="17"/>
      <c r="KKW108" s="17"/>
      <c r="KKX108" s="17"/>
      <c r="KKY108" s="17"/>
      <c r="KKZ108" s="17"/>
      <c r="KLA108" s="17"/>
      <c r="KLB108" s="17"/>
      <c r="KLC108" s="17"/>
      <c r="KLD108" s="17"/>
      <c r="KLE108" s="17"/>
      <c r="KLF108" s="17"/>
      <c r="KLG108" s="17"/>
      <c r="KLH108" s="17"/>
      <c r="KLI108" s="17"/>
      <c r="KLJ108" s="17"/>
      <c r="KLK108" s="17"/>
      <c r="KLL108" s="17"/>
      <c r="KLM108" s="17"/>
      <c r="KLN108" s="17"/>
      <c r="KLO108" s="17"/>
      <c r="KLP108" s="17"/>
      <c r="KLQ108" s="17"/>
      <c r="KLR108" s="17"/>
      <c r="KLS108" s="17"/>
      <c r="KLT108" s="17"/>
      <c r="KLU108" s="17"/>
      <c r="KLV108" s="17"/>
      <c r="KLW108" s="17"/>
      <c r="KLX108" s="17"/>
      <c r="KLY108" s="17"/>
      <c r="KLZ108" s="17"/>
      <c r="KMA108" s="17"/>
      <c r="KMB108" s="17"/>
      <c r="KMC108" s="17"/>
      <c r="KMD108" s="17"/>
      <c r="KME108" s="17"/>
      <c r="KMF108" s="17"/>
      <c r="KMG108" s="17"/>
      <c r="KMH108" s="17"/>
      <c r="KMI108" s="17"/>
      <c r="KMJ108" s="17"/>
      <c r="KMK108" s="17"/>
      <c r="KML108" s="17"/>
      <c r="KMM108" s="17"/>
      <c r="KMN108" s="17"/>
      <c r="KMO108" s="17"/>
      <c r="KMP108" s="17"/>
      <c r="KMQ108" s="17"/>
      <c r="KMR108" s="17"/>
      <c r="KMS108" s="17"/>
      <c r="KMT108" s="17"/>
      <c r="KMU108" s="17"/>
      <c r="KMV108" s="17"/>
      <c r="KMW108" s="17"/>
      <c r="KMX108" s="17"/>
      <c r="KMY108" s="17"/>
      <c r="KMZ108" s="17"/>
      <c r="KNA108" s="17"/>
      <c r="KNB108" s="17"/>
      <c r="KNC108" s="17"/>
      <c r="KND108" s="17"/>
      <c r="KNE108" s="17"/>
      <c r="KNF108" s="17"/>
      <c r="KNG108" s="17"/>
      <c r="KNH108" s="17"/>
      <c r="KNI108" s="17"/>
      <c r="KNJ108" s="17"/>
      <c r="KNK108" s="17"/>
      <c r="KNL108" s="17"/>
      <c r="KNM108" s="17"/>
      <c r="KNN108" s="17"/>
      <c r="KNO108" s="17"/>
      <c r="KNP108" s="17"/>
      <c r="KNQ108" s="17"/>
      <c r="KNR108" s="17"/>
      <c r="KNS108" s="17"/>
      <c r="KNT108" s="17"/>
      <c r="KNU108" s="17"/>
      <c r="KNV108" s="17"/>
      <c r="KNW108" s="17"/>
      <c r="KNX108" s="17"/>
      <c r="KNY108" s="17"/>
      <c r="KNZ108" s="17"/>
      <c r="KOA108" s="17"/>
      <c r="KOB108" s="17"/>
      <c r="KOC108" s="17"/>
      <c r="KOD108" s="17"/>
      <c r="KOE108" s="17"/>
      <c r="KOF108" s="17"/>
      <c r="KOG108" s="17"/>
      <c r="KOH108" s="17"/>
      <c r="KOI108" s="17"/>
      <c r="KOJ108" s="17"/>
      <c r="KOK108" s="17"/>
      <c r="KOL108" s="17"/>
      <c r="KOM108" s="17"/>
      <c r="KON108" s="17"/>
      <c r="KOO108" s="17"/>
      <c r="KOP108" s="17"/>
      <c r="KOQ108" s="17"/>
      <c r="KOR108" s="17"/>
      <c r="KOS108" s="17"/>
      <c r="KOT108" s="17"/>
      <c r="KOU108" s="17"/>
      <c r="KOV108" s="17"/>
      <c r="KOW108" s="17"/>
      <c r="KOX108" s="17"/>
      <c r="KOY108" s="17"/>
      <c r="KOZ108" s="17"/>
      <c r="KPA108" s="17"/>
      <c r="KPB108" s="17"/>
      <c r="KPC108" s="17"/>
      <c r="KPD108" s="17"/>
      <c r="KPE108" s="17"/>
      <c r="KPF108" s="17"/>
      <c r="KPG108" s="17"/>
      <c r="KPH108" s="17"/>
      <c r="KPI108" s="17"/>
      <c r="KPJ108" s="17"/>
      <c r="KPK108" s="17"/>
      <c r="KPL108" s="17"/>
      <c r="KPM108" s="17"/>
      <c r="KPN108" s="17"/>
      <c r="KPO108" s="17"/>
      <c r="KPP108" s="17"/>
      <c r="KPQ108" s="17"/>
      <c r="KPR108" s="17"/>
      <c r="KPS108" s="17"/>
      <c r="KPT108" s="17"/>
      <c r="KPU108" s="17"/>
      <c r="KPV108" s="17"/>
      <c r="KPW108" s="17"/>
      <c r="KPX108" s="17"/>
      <c r="KPY108" s="17"/>
      <c r="KPZ108" s="17"/>
      <c r="KQA108" s="17"/>
      <c r="KQB108" s="17"/>
      <c r="KQC108" s="17"/>
      <c r="KQD108" s="17"/>
      <c r="KQE108" s="17"/>
      <c r="KQF108" s="17"/>
      <c r="KQG108" s="17"/>
      <c r="KQH108" s="17"/>
      <c r="KQI108" s="17"/>
      <c r="KQJ108" s="17"/>
      <c r="KQK108" s="17"/>
      <c r="KQL108" s="17"/>
      <c r="KQM108" s="17"/>
      <c r="KQN108" s="17"/>
      <c r="KQO108" s="17"/>
      <c r="KQP108" s="17"/>
      <c r="KQQ108" s="17"/>
      <c r="KQR108" s="17"/>
      <c r="KQS108" s="17"/>
      <c r="KQT108" s="17"/>
      <c r="KQU108" s="17"/>
      <c r="KQV108" s="17"/>
      <c r="KQW108" s="17"/>
      <c r="KQX108" s="17"/>
      <c r="KQY108" s="17"/>
      <c r="KQZ108" s="17"/>
      <c r="KRA108" s="17"/>
      <c r="KRB108" s="17"/>
      <c r="KRC108" s="17"/>
      <c r="KRD108" s="17"/>
      <c r="KRE108" s="17"/>
      <c r="KRF108" s="17"/>
      <c r="KRG108" s="17"/>
      <c r="KRH108" s="17"/>
      <c r="KRI108" s="17"/>
      <c r="KRJ108" s="17"/>
      <c r="KRK108" s="17"/>
      <c r="KRL108" s="17"/>
      <c r="KRM108" s="17"/>
      <c r="KRN108" s="17"/>
      <c r="KRO108" s="17"/>
      <c r="KRP108" s="17"/>
      <c r="KRQ108" s="17"/>
      <c r="KRR108" s="17"/>
      <c r="KRS108" s="17"/>
      <c r="KRT108" s="17"/>
      <c r="KRU108" s="17"/>
      <c r="KRV108" s="17"/>
      <c r="KRW108" s="17"/>
      <c r="KRX108" s="17"/>
      <c r="KRY108" s="17"/>
      <c r="KRZ108" s="17"/>
      <c r="KSA108" s="17"/>
      <c r="KSB108" s="17"/>
      <c r="KSC108" s="17"/>
      <c r="KSD108" s="17"/>
      <c r="KSE108" s="17"/>
      <c r="KSF108" s="17"/>
      <c r="KSG108" s="17"/>
      <c r="KSH108" s="17"/>
      <c r="KSI108" s="17"/>
      <c r="KSJ108" s="17"/>
      <c r="KSK108" s="17"/>
      <c r="KSL108" s="17"/>
      <c r="KSM108" s="17"/>
      <c r="KSN108" s="17"/>
      <c r="KSO108" s="17"/>
      <c r="KSP108" s="17"/>
      <c r="KSQ108" s="17"/>
      <c r="KSR108" s="17"/>
      <c r="KSS108" s="17"/>
      <c r="KST108" s="17"/>
      <c r="KSU108" s="17"/>
      <c r="KSV108" s="17"/>
      <c r="KSW108" s="17"/>
      <c r="KSX108" s="17"/>
      <c r="KSY108" s="17"/>
      <c r="KSZ108" s="17"/>
      <c r="KTA108" s="17"/>
      <c r="KTB108" s="17"/>
      <c r="KTC108" s="17"/>
      <c r="KTD108" s="17"/>
      <c r="KTE108" s="17"/>
      <c r="KTF108" s="17"/>
      <c r="KTG108" s="17"/>
      <c r="KTH108" s="17"/>
      <c r="KTI108" s="17"/>
      <c r="KTJ108" s="17"/>
      <c r="KTK108" s="17"/>
      <c r="KTL108" s="17"/>
      <c r="KTM108" s="17"/>
      <c r="KTN108" s="17"/>
      <c r="KTO108" s="17"/>
      <c r="KTP108" s="17"/>
      <c r="KTQ108" s="17"/>
      <c r="KTR108" s="17"/>
      <c r="KTS108" s="17"/>
      <c r="KTT108" s="17"/>
      <c r="KTU108" s="17"/>
      <c r="KTV108" s="17"/>
      <c r="KTW108" s="17"/>
      <c r="KTX108" s="17"/>
      <c r="KTY108" s="17"/>
      <c r="KTZ108" s="17"/>
      <c r="KUA108" s="17"/>
      <c r="KUB108" s="17"/>
      <c r="KUC108" s="17"/>
      <c r="KUD108" s="17"/>
      <c r="KUE108" s="17"/>
      <c r="KUF108" s="17"/>
      <c r="KUG108" s="17"/>
      <c r="KUH108" s="17"/>
      <c r="KUI108" s="17"/>
      <c r="KUJ108" s="17"/>
      <c r="KUK108" s="17"/>
      <c r="KUL108" s="17"/>
      <c r="KUM108" s="17"/>
      <c r="KUN108" s="17"/>
      <c r="KUO108" s="17"/>
      <c r="KUP108" s="17"/>
      <c r="KUQ108" s="17"/>
      <c r="KUR108" s="17"/>
      <c r="KUS108" s="17"/>
      <c r="KUT108" s="17"/>
      <c r="KUU108" s="17"/>
      <c r="KUV108" s="17"/>
      <c r="KUW108" s="17"/>
      <c r="KUX108" s="17"/>
      <c r="KUY108" s="17"/>
      <c r="KUZ108" s="17"/>
      <c r="KVA108" s="17"/>
      <c r="KVB108" s="17"/>
      <c r="KVC108" s="17"/>
      <c r="KVD108" s="17"/>
      <c r="KVE108" s="17"/>
      <c r="KVF108" s="17"/>
      <c r="KVG108" s="17"/>
      <c r="KVH108" s="17"/>
      <c r="KVI108" s="17"/>
      <c r="KVJ108" s="17"/>
      <c r="KVK108" s="17"/>
      <c r="KVL108" s="17"/>
      <c r="KVM108" s="17"/>
      <c r="KVN108" s="17"/>
      <c r="KVO108" s="17"/>
      <c r="KVP108" s="17"/>
      <c r="KVQ108" s="17"/>
      <c r="KVR108" s="17"/>
      <c r="KVS108" s="17"/>
      <c r="KVT108" s="17"/>
      <c r="KVU108" s="17"/>
      <c r="KVV108" s="17"/>
      <c r="KVW108" s="17"/>
      <c r="KVX108" s="17"/>
      <c r="KVY108" s="17"/>
      <c r="KVZ108" s="17"/>
      <c r="KWA108" s="17"/>
      <c r="KWB108" s="17"/>
      <c r="KWC108" s="17"/>
      <c r="KWD108" s="17"/>
      <c r="KWE108" s="17"/>
      <c r="KWF108" s="17"/>
      <c r="KWG108" s="17"/>
      <c r="KWH108" s="17"/>
      <c r="KWI108" s="17"/>
      <c r="KWJ108" s="17"/>
      <c r="KWK108" s="17"/>
      <c r="KWL108" s="17"/>
      <c r="KWM108" s="17"/>
      <c r="KWN108" s="17"/>
      <c r="KWO108" s="17"/>
      <c r="KWP108" s="17"/>
      <c r="KWQ108" s="17"/>
      <c r="KWR108" s="17"/>
      <c r="KWS108" s="17"/>
      <c r="KWT108" s="17"/>
      <c r="KWU108" s="17"/>
      <c r="KWV108" s="17"/>
      <c r="KWW108" s="17"/>
      <c r="KWX108" s="17"/>
      <c r="KWY108" s="17"/>
      <c r="KWZ108" s="17"/>
      <c r="KXA108" s="17"/>
      <c r="KXB108" s="17"/>
      <c r="KXC108" s="17"/>
      <c r="KXD108" s="17"/>
      <c r="KXE108" s="17"/>
      <c r="KXF108" s="17"/>
      <c r="KXG108" s="17"/>
      <c r="KXH108" s="17"/>
      <c r="KXI108" s="17"/>
      <c r="KXJ108" s="17"/>
      <c r="KXK108" s="17"/>
      <c r="KXL108" s="17"/>
      <c r="KXM108" s="17"/>
      <c r="KXN108" s="17"/>
      <c r="KXO108" s="17"/>
      <c r="KXP108" s="17"/>
      <c r="KXQ108" s="17"/>
      <c r="KXR108" s="17"/>
      <c r="KXS108" s="17"/>
      <c r="KXT108" s="17"/>
      <c r="KXU108" s="17"/>
      <c r="KXV108" s="17"/>
      <c r="KXW108" s="17"/>
      <c r="KXX108" s="17"/>
      <c r="KXY108" s="17"/>
      <c r="KXZ108" s="17"/>
      <c r="KYA108" s="17"/>
      <c r="KYB108" s="17"/>
      <c r="KYC108" s="17"/>
      <c r="KYD108" s="17"/>
      <c r="KYE108" s="17"/>
      <c r="KYF108" s="17"/>
      <c r="KYG108" s="17"/>
      <c r="KYH108" s="17"/>
      <c r="KYI108" s="17"/>
      <c r="KYJ108" s="17"/>
      <c r="KYK108" s="17"/>
      <c r="KYL108" s="17"/>
      <c r="KYM108" s="17"/>
      <c r="KYN108" s="17"/>
      <c r="KYO108" s="17"/>
      <c r="KYP108" s="17"/>
      <c r="KYQ108" s="17"/>
      <c r="KYR108" s="17"/>
      <c r="KYS108" s="17"/>
      <c r="KYT108" s="17"/>
      <c r="KYU108" s="17"/>
      <c r="KYV108" s="17"/>
      <c r="KYW108" s="17"/>
      <c r="KYX108" s="17"/>
      <c r="KYY108" s="17"/>
      <c r="KYZ108" s="17"/>
      <c r="KZA108" s="17"/>
      <c r="KZB108" s="17"/>
      <c r="KZC108" s="17"/>
      <c r="KZD108" s="17"/>
      <c r="KZE108" s="17"/>
      <c r="KZF108" s="17"/>
      <c r="KZG108" s="17"/>
      <c r="KZH108" s="17"/>
      <c r="KZI108" s="17"/>
      <c r="KZJ108" s="17"/>
      <c r="KZK108" s="17"/>
      <c r="KZL108" s="17"/>
      <c r="KZM108" s="17"/>
      <c r="KZN108" s="17"/>
      <c r="KZO108" s="17"/>
      <c r="KZP108" s="17"/>
      <c r="KZQ108" s="17"/>
      <c r="KZR108" s="17"/>
      <c r="KZS108" s="17"/>
      <c r="KZT108" s="17"/>
      <c r="KZU108" s="17"/>
      <c r="KZV108" s="17"/>
      <c r="KZW108" s="17"/>
      <c r="KZX108" s="17"/>
      <c r="KZY108" s="17"/>
      <c r="KZZ108" s="17"/>
      <c r="LAA108" s="17"/>
      <c r="LAB108" s="17"/>
      <c r="LAC108" s="17"/>
      <c r="LAD108" s="17"/>
      <c r="LAE108" s="17"/>
      <c r="LAF108" s="17"/>
      <c r="LAG108" s="17"/>
      <c r="LAH108" s="17"/>
      <c r="LAI108" s="17"/>
      <c r="LAJ108" s="17"/>
      <c r="LAK108" s="17"/>
      <c r="LAL108" s="17"/>
      <c r="LAM108" s="17"/>
      <c r="LAN108" s="17"/>
      <c r="LAO108" s="17"/>
      <c r="LAP108" s="17"/>
      <c r="LAQ108" s="17"/>
      <c r="LAR108" s="17"/>
      <c r="LAS108" s="17"/>
      <c r="LAT108" s="17"/>
      <c r="LAU108" s="17"/>
      <c r="LAV108" s="17"/>
      <c r="LAW108" s="17"/>
      <c r="LAX108" s="17"/>
      <c r="LAY108" s="17"/>
      <c r="LAZ108" s="17"/>
      <c r="LBA108" s="17"/>
      <c r="LBB108" s="17"/>
      <c r="LBC108" s="17"/>
      <c r="LBD108" s="17"/>
      <c r="LBE108" s="17"/>
      <c r="LBF108" s="17"/>
      <c r="LBG108" s="17"/>
      <c r="LBH108" s="17"/>
      <c r="LBI108" s="17"/>
      <c r="LBJ108" s="17"/>
      <c r="LBK108" s="17"/>
      <c r="LBL108" s="17"/>
      <c r="LBM108" s="17"/>
      <c r="LBN108" s="17"/>
      <c r="LBO108" s="17"/>
      <c r="LBP108" s="17"/>
      <c r="LBQ108" s="17"/>
      <c r="LBR108" s="17"/>
      <c r="LBS108" s="17"/>
      <c r="LBT108" s="17"/>
      <c r="LBU108" s="17"/>
      <c r="LBV108" s="17"/>
      <c r="LBW108" s="17"/>
      <c r="LBX108" s="17"/>
      <c r="LBY108" s="17"/>
      <c r="LBZ108" s="17"/>
      <c r="LCA108" s="17"/>
      <c r="LCB108" s="17"/>
      <c r="LCC108" s="17"/>
      <c r="LCD108" s="17"/>
      <c r="LCE108" s="17"/>
      <c r="LCF108" s="17"/>
      <c r="LCG108" s="17"/>
      <c r="LCH108" s="17"/>
      <c r="LCI108" s="17"/>
      <c r="LCJ108" s="17"/>
      <c r="LCK108" s="17"/>
      <c r="LCL108" s="17"/>
      <c r="LCM108" s="17"/>
      <c r="LCN108" s="17"/>
      <c r="LCO108" s="17"/>
      <c r="LCP108" s="17"/>
      <c r="LCQ108" s="17"/>
      <c r="LCR108" s="17"/>
      <c r="LCS108" s="17"/>
      <c r="LCT108" s="17"/>
      <c r="LCU108" s="17"/>
      <c r="LCV108" s="17"/>
      <c r="LCW108" s="17"/>
      <c r="LCX108" s="17"/>
      <c r="LCY108" s="17"/>
      <c r="LCZ108" s="17"/>
      <c r="LDA108" s="17"/>
      <c r="LDB108" s="17"/>
      <c r="LDC108" s="17"/>
      <c r="LDD108" s="17"/>
      <c r="LDE108" s="17"/>
      <c r="LDF108" s="17"/>
      <c r="LDG108" s="17"/>
      <c r="LDH108" s="17"/>
      <c r="LDI108" s="17"/>
      <c r="LDJ108" s="17"/>
      <c r="LDK108" s="17"/>
      <c r="LDL108" s="17"/>
      <c r="LDM108" s="17"/>
      <c r="LDN108" s="17"/>
      <c r="LDO108" s="17"/>
      <c r="LDP108" s="17"/>
      <c r="LDQ108" s="17"/>
      <c r="LDR108" s="17"/>
      <c r="LDS108" s="17"/>
      <c r="LDT108" s="17"/>
      <c r="LDU108" s="17"/>
      <c r="LDV108" s="17"/>
      <c r="LDW108" s="17"/>
      <c r="LDX108" s="17"/>
      <c r="LDY108" s="17"/>
      <c r="LDZ108" s="17"/>
      <c r="LEA108" s="17"/>
      <c r="LEB108" s="17"/>
      <c r="LEC108" s="17"/>
      <c r="LED108" s="17"/>
      <c r="LEE108" s="17"/>
      <c r="LEF108" s="17"/>
      <c r="LEG108" s="17"/>
      <c r="LEH108" s="17"/>
      <c r="LEI108" s="17"/>
      <c r="LEJ108" s="17"/>
      <c r="LEK108" s="17"/>
      <c r="LEL108" s="17"/>
      <c r="LEM108" s="17"/>
      <c r="LEN108" s="17"/>
      <c r="LEO108" s="17"/>
      <c r="LEP108" s="17"/>
      <c r="LEQ108" s="17"/>
      <c r="LER108" s="17"/>
      <c r="LES108" s="17"/>
      <c r="LET108" s="17"/>
      <c r="LEU108" s="17"/>
      <c r="LEV108" s="17"/>
      <c r="LEW108" s="17"/>
      <c r="LEX108" s="17"/>
      <c r="LEY108" s="17"/>
      <c r="LEZ108" s="17"/>
      <c r="LFA108" s="17"/>
      <c r="LFB108" s="17"/>
      <c r="LFC108" s="17"/>
      <c r="LFD108" s="17"/>
      <c r="LFE108" s="17"/>
      <c r="LFF108" s="17"/>
      <c r="LFG108" s="17"/>
      <c r="LFH108" s="17"/>
      <c r="LFI108" s="17"/>
      <c r="LFJ108" s="17"/>
      <c r="LFK108" s="17"/>
      <c r="LFL108" s="17"/>
      <c r="LFM108" s="17"/>
      <c r="LFN108" s="17"/>
      <c r="LFO108" s="17"/>
      <c r="LFP108" s="17"/>
      <c r="LFQ108" s="17"/>
      <c r="LFR108" s="17"/>
      <c r="LFS108" s="17"/>
      <c r="LFT108" s="17"/>
      <c r="LFU108" s="17"/>
      <c r="LFV108" s="17"/>
      <c r="LFW108" s="17"/>
      <c r="LFX108" s="17"/>
      <c r="LFY108" s="17"/>
      <c r="LFZ108" s="17"/>
      <c r="LGA108" s="17"/>
      <c r="LGB108" s="17"/>
      <c r="LGC108" s="17"/>
      <c r="LGD108" s="17"/>
      <c r="LGE108" s="17"/>
      <c r="LGF108" s="17"/>
      <c r="LGG108" s="17"/>
      <c r="LGH108" s="17"/>
      <c r="LGI108" s="17"/>
      <c r="LGJ108" s="17"/>
      <c r="LGK108" s="17"/>
      <c r="LGL108" s="17"/>
      <c r="LGM108" s="17"/>
      <c r="LGN108" s="17"/>
      <c r="LGO108" s="17"/>
      <c r="LGP108" s="17"/>
      <c r="LGQ108" s="17"/>
      <c r="LGR108" s="17"/>
      <c r="LGS108" s="17"/>
      <c r="LGT108" s="17"/>
      <c r="LGU108" s="17"/>
      <c r="LGV108" s="17"/>
      <c r="LGW108" s="17"/>
      <c r="LGX108" s="17"/>
      <c r="LGY108" s="17"/>
      <c r="LGZ108" s="17"/>
      <c r="LHA108" s="17"/>
      <c r="LHB108" s="17"/>
      <c r="LHC108" s="17"/>
      <c r="LHD108" s="17"/>
      <c r="LHE108" s="17"/>
      <c r="LHF108" s="17"/>
      <c r="LHG108" s="17"/>
      <c r="LHH108" s="17"/>
      <c r="LHI108" s="17"/>
      <c r="LHJ108" s="17"/>
      <c r="LHK108" s="17"/>
      <c r="LHL108" s="17"/>
      <c r="LHM108" s="17"/>
      <c r="LHN108" s="17"/>
      <c r="LHO108" s="17"/>
      <c r="LHP108" s="17"/>
      <c r="LHQ108" s="17"/>
      <c r="LHR108" s="17"/>
      <c r="LHS108" s="17"/>
      <c r="LHT108" s="17"/>
      <c r="LHU108" s="17"/>
      <c r="LHV108" s="17"/>
      <c r="LHW108" s="17"/>
      <c r="LHX108" s="17"/>
      <c r="LHY108" s="17"/>
      <c r="LHZ108" s="17"/>
      <c r="LIA108" s="17"/>
      <c r="LIB108" s="17"/>
      <c r="LIC108" s="17"/>
      <c r="LID108" s="17"/>
      <c r="LIE108" s="17"/>
      <c r="LIF108" s="17"/>
      <c r="LIG108" s="17"/>
      <c r="LIH108" s="17"/>
      <c r="LII108" s="17"/>
      <c r="LIJ108" s="17"/>
      <c r="LIK108" s="17"/>
      <c r="LIL108" s="17"/>
      <c r="LIM108" s="17"/>
      <c r="LIN108" s="17"/>
      <c r="LIO108" s="17"/>
      <c r="LIP108" s="17"/>
      <c r="LIQ108" s="17"/>
      <c r="LIR108" s="17"/>
      <c r="LIS108" s="17"/>
      <c r="LIT108" s="17"/>
      <c r="LIU108" s="17"/>
      <c r="LIV108" s="17"/>
      <c r="LIW108" s="17"/>
      <c r="LIX108" s="17"/>
      <c r="LIY108" s="17"/>
      <c r="LIZ108" s="17"/>
      <c r="LJA108" s="17"/>
      <c r="LJB108" s="17"/>
      <c r="LJC108" s="17"/>
      <c r="LJD108" s="17"/>
      <c r="LJE108" s="17"/>
      <c r="LJF108" s="17"/>
      <c r="LJG108" s="17"/>
      <c r="LJH108" s="17"/>
      <c r="LJI108" s="17"/>
      <c r="LJJ108" s="17"/>
      <c r="LJK108" s="17"/>
      <c r="LJL108" s="17"/>
      <c r="LJM108" s="17"/>
      <c r="LJN108" s="17"/>
      <c r="LJO108" s="17"/>
      <c r="LJP108" s="17"/>
      <c r="LJQ108" s="17"/>
      <c r="LJR108" s="17"/>
      <c r="LJS108" s="17"/>
      <c r="LJT108" s="17"/>
      <c r="LJU108" s="17"/>
      <c r="LJV108" s="17"/>
      <c r="LJW108" s="17"/>
      <c r="LJX108" s="17"/>
      <c r="LJY108" s="17"/>
      <c r="LJZ108" s="17"/>
      <c r="LKA108" s="17"/>
      <c r="LKB108" s="17"/>
      <c r="LKC108" s="17"/>
      <c r="LKD108" s="17"/>
      <c r="LKE108" s="17"/>
      <c r="LKF108" s="17"/>
      <c r="LKG108" s="17"/>
      <c r="LKH108" s="17"/>
      <c r="LKI108" s="17"/>
      <c r="LKJ108" s="17"/>
      <c r="LKK108" s="17"/>
      <c r="LKL108" s="17"/>
      <c r="LKM108" s="17"/>
      <c r="LKN108" s="17"/>
      <c r="LKO108" s="17"/>
      <c r="LKP108" s="17"/>
      <c r="LKQ108" s="17"/>
      <c r="LKR108" s="17"/>
      <c r="LKS108" s="17"/>
      <c r="LKT108" s="17"/>
      <c r="LKU108" s="17"/>
      <c r="LKV108" s="17"/>
      <c r="LKW108" s="17"/>
      <c r="LKX108" s="17"/>
      <c r="LKY108" s="17"/>
      <c r="LKZ108" s="17"/>
      <c r="LLA108" s="17"/>
      <c r="LLB108" s="17"/>
      <c r="LLC108" s="17"/>
      <c r="LLD108" s="17"/>
      <c r="LLE108" s="17"/>
      <c r="LLF108" s="17"/>
      <c r="LLG108" s="17"/>
      <c r="LLH108" s="17"/>
      <c r="LLI108" s="17"/>
      <c r="LLJ108" s="17"/>
      <c r="LLK108" s="17"/>
      <c r="LLL108" s="17"/>
      <c r="LLM108" s="17"/>
      <c r="LLN108" s="17"/>
      <c r="LLO108" s="17"/>
      <c r="LLP108" s="17"/>
      <c r="LLQ108" s="17"/>
      <c r="LLR108" s="17"/>
      <c r="LLS108" s="17"/>
      <c r="LLT108" s="17"/>
      <c r="LLU108" s="17"/>
      <c r="LLV108" s="17"/>
      <c r="LLW108" s="17"/>
      <c r="LLX108" s="17"/>
      <c r="LLY108" s="17"/>
      <c r="LLZ108" s="17"/>
      <c r="LMA108" s="17"/>
      <c r="LMB108" s="17"/>
      <c r="LMC108" s="17"/>
      <c r="LMD108" s="17"/>
      <c r="LME108" s="17"/>
      <c r="LMF108" s="17"/>
      <c r="LMG108" s="17"/>
      <c r="LMH108" s="17"/>
      <c r="LMI108" s="17"/>
      <c r="LMJ108" s="17"/>
      <c r="LMK108" s="17"/>
      <c r="LML108" s="17"/>
      <c r="LMM108" s="17"/>
      <c r="LMN108" s="17"/>
      <c r="LMO108" s="17"/>
      <c r="LMP108" s="17"/>
      <c r="LMQ108" s="17"/>
      <c r="LMR108" s="17"/>
      <c r="LMS108" s="17"/>
      <c r="LMT108" s="17"/>
      <c r="LMU108" s="17"/>
      <c r="LMV108" s="17"/>
      <c r="LMW108" s="17"/>
      <c r="LMX108" s="17"/>
      <c r="LMY108" s="17"/>
      <c r="LMZ108" s="17"/>
      <c r="LNA108" s="17"/>
      <c r="LNB108" s="17"/>
      <c r="LNC108" s="17"/>
      <c r="LND108" s="17"/>
      <c r="LNE108" s="17"/>
      <c r="LNF108" s="17"/>
      <c r="LNG108" s="17"/>
      <c r="LNH108" s="17"/>
      <c r="LNI108" s="17"/>
      <c r="LNJ108" s="17"/>
      <c r="LNK108" s="17"/>
      <c r="LNL108" s="17"/>
      <c r="LNM108" s="17"/>
      <c r="LNN108" s="17"/>
      <c r="LNO108" s="17"/>
      <c r="LNP108" s="17"/>
      <c r="LNQ108" s="17"/>
      <c r="LNR108" s="17"/>
      <c r="LNS108" s="17"/>
      <c r="LNT108" s="17"/>
      <c r="LNU108" s="17"/>
      <c r="LNV108" s="17"/>
      <c r="LNW108" s="17"/>
      <c r="LNX108" s="17"/>
      <c r="LNY108" s="17"/>
      <c r="LNZ108" s="17"/>
      <c r="LOA108" s="17"/>
      <c r="LOB108" s="17"/>
      <c r="LOC108" s="17"/>
      <c r="LOD108" s="17"/>
      <c r="LOE108" s="17"/>
      <c r="LOF108" s="17"/>
      <c r="LOG108" s="17"/>
      <c r="LOH108" s="17"/>
      <c r="LOI108" s="17"/>
      <c r="LOJ108" s="17"/>
      <c r="LOK108" s="17"/>
      <c r="LOL108" s="17"/>
      <c r="LOM108" s="17"/>
      <c r="LON108" s="17"/>
      <c r="LOO108" s="17"/>
      <c r="LOP108" s="17"/>
      <c r="LOQ108" s="17"/>
      <c r="LOR108" s="17"/>
      <c r="LOS108" s="17"/>
      <c r="LOT108" s="17"/>
      <c r="LOU108" s="17"/>
      <c r="LOV108" s="17"/>
      <c r="LOW108" s="17"/>
      <c r="LOX108" s="17"/>
      <c r="LOY108" s="17"/>
      <c r="LOZ108" s="17"/>
      <c r="LPA108" s="17"/>
      <c r="LPB108" s="17"/>
      <c r="LPC108" s="17"/>
      <c r="LPD108" s="17"/>
      <c r="LPE108" s="17"/>
      <c r="LPF108" s="17"/>
      <c r="LPG108" s="17"/>
      <c r="LPH108" s="17"/>
      <c r="LPI108" s="17"/>
      <c r="LPJ108" s="17"/>
      <c r="LPK108" s="17"/>
      <c r="LPL108" s="17"/>
      <c r="LPM108" s="17"/>
      <c r="LPN108" s="17"/>
      <c r="LPO108" s="17"/>
      <c r="LPP108" s="17"/>
      <c r="LPQ108" s="17"/>
      <c r="LPR108" s="17"/>
      <c r="LPS108" s="17"/>
      <c r="LPT108" s="17"/>
      <c r="LPU108" s="17"/>
      <c r="LPV108" s="17"/>
      <c r="LPW108" s="17"/>
      <c r="LPX108" s="17"/>
      <c r="LPY108" s="17"/>
      <c r="LPZ108" s="17"/>
      <c r="LQA108" s="17"/>
      <c r="LQB108" s="17"/>
      <c r="LQC108" s="17"/>
      <c r="LQD108" s="17"/>
      <c r="LQE108" s="17"/>
      <c r="LQF108" s="17"/>
      <c r="LQG108" s="17"/>
      <c r="LQH108" s="17"/>
      <c r="LQI108" s="17"/>
      <c r="LQJ108" s="17"/>
      <c r="LQK108" s="17"/>
      <c r="LQL108" s="17"/>
      <c r="LQM108" s="17"/>
      <c r="LQN108" s="17"/>
      <c r="LQO108" s="17"/>
      <c r="LQP108" s="17"/>
      <c r="LQQ108" s="17"/>
      <c r="LQR108" s="17"/>
      <c r="LQS108" s="17"/>
      <c r="LQT108" s="17"/>
      <c r="LQU108" s="17"/>
      <c r="LQV108" s="17"/>
      <c r="LQW108" s="17"/>
      <c r="LQX108" s="17"/>
      <c r="LQY108" s="17"/>
      <c r="LQZ108" s="17"/>
      <c r="LRA108" s="17"/>
      <c r="LRB108" s="17"/>
      <c r="LRC108" s="17"/>
      <c r="LRD108" s="17"/>
      <c r="LRE108" s="17"/>
      <c r="LRF108" s="17"/>
      <c r="LRG108" s="17"/>
      <c r="LRH108" s="17"/>
      <c r="LRI108" s="17"/>
      <c r="LRJ108" s="17"/>
      <c r="LRK108" s="17"/>
      <c r="LRL108" s="17"/>
      <c r="LRM108" s="17"/>
      <c r="LRN108" s="17"/>
      <c r="LRO108" s="17"/>
      <c r="LRP108" s="17"/>
      <c r="LRQ108" s="17"/>
      <c r="LRR108" s="17"/>
      <c r="LRS108" s="17"/>
      <c r="LRT108" s="17"/>
      <c r="LRU108" s="17"/>
      <c r="LRV108" s="17"/>
      <c r="LRW108" s="17"/>
      <c r="LRX108" s="17"/>
      <c r="LRY108" s="17"/>
      <c r="LRZ108" s="17"/>
      <c r="LSA108" s="17"/>
      <c r="LSB108" s="17"/>
      <c r="LSC108" s="17"/>
      <c r="LSD108" s="17"/>
      <c r="LSE108" s="17"/>
      <c r="LSF108" s="17"/>
      <c r="LSG108" s="17"/>
      <c r="LSH108" s="17"/>
      <c r="LSI108" s="17"/>
      <c r="LSJ108" s="17"/>
      <c r="LSK108" s="17"/>
      <c r="LSL108" s="17"/>
      <c r="LSM108" s="17"/>
      <c r="LSN108" s="17"/>
      <c r="LSO108" s="17"/>
      <c r="LSP108" s="17"/>
      <c r="LSQ108" s="17"/>
      <c r="LSR108" s="17"/>
      <c r="LSS108" s="17"/>
      <c r="LST108" s="17"/>
      <c r="LSU108" s="17"/>
      <c r="LSV108" s="17"/>
      <c r="LSW108" s="17"/>
      <c r="LSX108" s="17"/>
      <c r="LSY108" s="17"/>
      <c r="LSZ108" s="17"/>
      <c r="LTA108" s="17"/>
      <c r="LTB108" s="17"/>
      <c r="LTC108" s="17"/>
      <c r="LTD108" s="17"/>
      <c r="LTE108" s="17"/>
      <c r="LTF108" s="17"/>
      <c r="LTG108" s="17"/>
      <c r="LTH108" s="17"/>
      <c r="LTI108" s="17"/>
      <c r="LTJ108" s="17"/>
      <c r="LTK108" s="17"/>
      <c r="LTL108" s="17"/>
      <c r="LTM108" s="17"/>
      <c r="LTN108" s="17"/>
      <c r="LTO108" s="17"/>
      <c r="LTP108" s="17"/>
      <c r="LTQ108" s="17"/>
      <c r="LTR108" s="17"/>
      <c r="LTS108" s="17"/>
      <c r="LTT108" s="17"/>
      <c r="LTU108" s="17"/>
      <c r="LTV108" s="17"/>
      <c r="LTW108" s="17"/>
      <c r="LTX108" s="17"/>
      <c r="LTY108" s="17"/>
      <c r="LTZ108" s="17"/>
      <c r="LUA108" s="17"/>
      <c r="LUB108" s="17"/>
      <c r="LUC108" s="17"/>
      <c r="LUD108" s="17"/>
      <c r="LUE108" s="17"/>
      <c r="LUF108" s="17"/>
      <c r="LUG108" s="17"/>
      <c r="LUH108" s="17"/>
      <c r="LUI108" s="17"/>
      <c r="LUJ108" s="17"/>
      <c r="LUK108" s="17"/>
      <c r="LUL108" s="17"/>
      <c r="LUM108" s="17"/>
      <c r="LUN108" s="17"/>
      <c r="LUO108" s="17"/>
      <c r="LUP108" s="17"/>
      <c r="LUQ108" s="17"/>
      <c r="LUR108" s="17"/>
      <c r="LUS108" s="17"/>
      <c r="LUT108" s="17"/>
      <c r="LUU108" s="17"/>
      <c r="LUV108" s="17"/>
      <c r="LUW108" s="17"/>
      <c r="LUX108" s="17"/>
      <c r="LUY108" s="17"/>
      <c r="LUZ108" s="17"/>
      <c r="LVA108" s="17"/>
      <c r="LVB108" s="17"/>
      <c r="LVC108" s="17"/>
      <c r="LVD108" s="17"/>
      <c r="LVE108" s="17"/>
      <c r="LVF108" s="17"/>
      <c r="LVG108" s="17"/>
      <c r="LVH108" s="17"/>
      <c r="LVI108" s="17"/>
      <c r="LVJ108" s="17"/>
      <c r="LVK108" s="17"/>
      <c r="LVL108" s="17"/>
      <c r="LVM108" s="17"/>
      <c r="LVN108" s="17"/>
      <c r="LVO108" s="17"/>
      <c r="LVP108" s="17"/>
      <c r="LVQ108" s="17"/>
      <c r="LVR108" s="17"/>
      <c r="LVS108" s="17"/>
      <c r="LVT108" s="17"/>
      <c r="LVU108" s="17"/>
      <c r="LVV108" s="17"/>
      <c r="LVW108" s="17"/>
      <c r="LVX108" s="17"/>
      <c r="LVY108" s="17"/>
      <c r="LVZ108" s="17"/>
      <c r="LWA108" s="17"/>
      <c r="LWB108" s="17"/>
      <c r="LWC108" s="17"/>
      <c r="LWD108" s="17"/>
      <c r="LWE108" s="17"/>
      <c r="LWF108" s="17"/>
      <c r="LWG108" s="17"/>
      <c r="LWH108" s="17"/>
      <c r="LWI108" s="17"/>
      <c r="LWJ108" s="17"/>
      <c r="LWK108" s="17"/>
      <c r="LWL108" s="17"/>
      <c r="LWM108" s="17"/>
      <c r="LWN108" s="17"/>
      <c r="LWO108" s="17"/>
      <c r="LWP108" s="17"/>
      <c r="LWQ108" s="17"/>
      <c r="LWR108" s="17"/>
      <c r="LWS108" s="17"/>
      <c r="LWT108" s="17"/>
      <c r="LWU108" s="17"/>
      <c r="LWV108" s="17"/>
      <c r="LWW108" s="17"/>
      <c r="LWX108" s="17"/>
      <c r="LWY108" s="17"/>
      <c r="LWZ108" s="17"/>
      <c r="LXA108" s="17"/>
      <c r="LXB108" s="17"/>
      <c r="LXC108" s="17"/>
      <c r="LXD108" s="17"/>
      <c r="LXE108" s="17"/>
      <c r="LXF108" s="17"/>
      <c r="LXG108" s="17"/>
      <c r="LXH108" s="17"/>
      <c r="LXI108" s="17"/>
      <c r="LXJ108" s="17"/>
      <c r="LXK108" s="17"/>
      <c r="LXL108" s="17"/>
      <c r="LXM108" s="17"/>
      <c r="LXN108" s="17"/>
      <c r="LXO108" s="17"/>
      <c r="LXP108" s="17"/>
      <c r="LXQ108" s="17"/>
      <c r="LXR108" s="17"/>
      <c r="LXS108" s="17"/>
      <c r="LXT108" s="17"/>
      <c r="LXU108" s="17"/>
      <c r="LXV108" s="17"/>
      <c r="LXW108" s="17"/>
      <c r="LXX108" s="17"/>
      <c r="LXY108" s="17"/>
      <c r="LXZ108" s="17"/>
      <c r="LYA108" s="17"/>
      <c r="LYB108" s="17"/>
      <c r="LYC108" s="17"/>
      <c r="LYD108" s="17"/>
      <c r="LYE108" s="17"/>
      <c r="LYF108" s="17"/>
      <c r="LYG108" s="17"/>
      <c r="LYH108" s="17"/>
      <c r="LYI108" s="17"/>
      <c r="LYJ108" s="17"/>
      <c r="LYK108" s="17"/>
      <c r="LYL108" s="17"/>
      <c r="LYM108" s="17"/>
      <c r="LYN108" s="17"/>
      <c r="LYO108" s="17"/>
      <c r="LYP108" s="17"/>
      <c r="LYQ108" s="17"/>
      <c r="LYR108" s="17"/>
      <c r="LYS108" s="17"/>
      <c r="LYT108" s="17"/>
      <c r="LYU108" s="17"/>
      <c r="LYV108" s="17"/>
      <c r="LYW108" s="17"/>
      <c r="LYX108" s="17"/>
      <c r="LYY108" s="17"/>
      <c r="LYZ108" s="17"/>
      <c r="LZA108" s="17"/>
      <c r="LZB108" s="17"/>
      <c r="LZC108" s="17"/>
      <c r="LZD108" s="17"/>
      <c r="LZE108" s="17"/>
      <c r="LZF108" s="17"/>
      <c r="LZG108" s="17"/>
      <c r="LZH108" s="17"/>
      <c r="LZI108" s="17"/>
      <c r="LZJ108" s="17"/>
      <c r="LZK108" s="17"/>
      <c r="LZL108" s="17"/>
      <c r="LZM108" s="17"/>
      <c r="LZN108" s="17"/>
      <c r="LZO108" s="17"/>
      <c r="LZP108" s="17"/>
      <c r="LZQ108" s="17"/>
      <c r="LZR108" s="17"/>
      <c r="LZS108" s="17"/>
      <c r="LZT108" s="17"/>
      <c r="LZU108" s="17"/>
      <c r="LZV108" s="17"/>
      <c r="LZW108" s="17"/>
      <c r="LZX108" s="17"/>
      <c r="LZY108" s="17"/>
      <c r="LZZ108" s="17"/>
      <c r="MAA108" s="17"/>
      <c r="MAB108" s="17"/>
      <c r="MAC108" s="17"/>
      <c r="MAD108" s="17"/>
      <c r="MAE108" s="17"/>
      <c r="MAF108" s="17"/>
      <c r="MAG108" s="17"/>
      <c r="MAH108" s="17"/>
      <c r="MAI108" s="17"/>
      <c r="MAJ108" s="17"/>
      <c r="MAK108" s="17"/>
      <c r="MAL108" s="17"/>
      <c r="MAM108" s="17"/>
      <c r="MAN108" s="17"/>
      <c r="MAO108" s="17"/>
      <c r="MAP108" s="17"/>
      <c r="MAQ108" s="17"/>
      <c r="MAR108" s="17"/>
      <c r="MAS108" s="17"/>
      <c r="MAT108" s="17"/>
      <c r="MAU108" s="17"/>
      <c r="MAV108" s="17"/>
      <c r="MAW108" s="17"/>
      <c r="MAX108" s="17"/>
      <c r="MAY108" s="17"/>
      <c r="MAZ108" s="17"/>
      <c r="MBA108" s="17"/>
      <c r="MBB108" s="17"/>
      <c r="MBC108" s="17"/>
      <c r="MBD108" s="17"/>
      <c r="MBE108" s="17"/>
      <c r="MBF108" s="17"/>
      <c r="MBG108" s="17"/>
      <c r="MBH108" s="17"/>
      <c r="MBI108" s="17"/>
      <c r="MBJ108" s="17"/>
      <c r="MBK108" s="17"/>
      <c r="MBL108" s="17"/>
      <c r="MBM108" s="17"/>
      <c r="MBN108" s="17"/>
      <c r="MBO108" s="17"/>
      <c r="MBP108" s="17"/>
      <c r="MBQ108" s="17"/>
      <c r="MBR108" s="17"/>
      <c r="MBS108" s="17"/>
      <c r="MBT108" s="17"/>
      <c r="MBU108" s="17"/>
      <c r="MBV108" s="17"/>
      <c r="MBW108" s="17"/>
      <c r="MBX108" s="17"/>
      <c r="MBY108" s="17"/>
      <c r="MBZ108" s="17"/>
      <c r="MCA108" s="17"/>
      <c r="MCB108" s="17"/>
      <c r="MCC108" s="17"/>
      <c r="MCD108" s="17"/>
      <c r="MCE108" s="17"/>
      <c r="MCF108" s="17"/>
      <c r="MCG108" s="17"/>
      <c r="MCH108" s="17"/>
      <c r="MCI108" s="17"/>
      <c r="MCJ108" s="17"/>
      <c r="MCK108" s="17"/>
      <c r="MCL108" s="17"/>
      <c r="MCM108" s="17"/>
      <c r="MCN108" s="17"/>
      <c r="MCO108" s="17"/>
      <c r="MCP108" s="17"/>
      <c r="MCQ108" s="17"/>
      <c r="MCR108" s="17"/>
      <c r="MCS108" s="17"/>
      <c r="MCT108" s="17"/>
      <c r="MCU108" s="17"/>
      <c r="MCV108" s="17"/>
      <c r="MCW108" s="17"/>
      <c r="MCX108" s="17"/>
      <c r="MCY108" s="17"/>
      <c r="MCZ108" s="17"/>
      <c r="MDA108" s="17"/>
      <c r="MDB108" s="17"/>
      <c r="MDC108" s="17"/>
      <c r="MDD108" s="17"/>
      <c r="MDE108" s="17"/>
      <c r="MDF108" s="17"/>
      <c r="MDG108" s="17"/>
      <c r="MDH108" s="17"/>
      <c r="MDI108" s="17"/>
      <c r="MDJ108" s="17"/>
      <c r="MDK108" s="17"/>
      <c r="MDL108" s="17"/>
      <c r="MDM108" s="17"/>
      <c r="MDN108" s="17"/>
      <c r="MDO108" s="17"/>
      <c r="MDP108" s="17"/>
      <c r="MDQ108" s="17"/>
      <c r="MDR108" s="17"/>
      <c r="MDS108" s="17"/>
      <c r="MDT108" s="17"/>
      <c r="MDU108" s="17"/>
      <c r="MDV108" s="17"/>
      <c r="MDW108" s="17"/>
      <c r="MDX108" s="17"/>
      <c r="MDY108" s="17"/>
      <c r="MDZ108" s="17"/>
      <c r="MEA108" s="17"/>
      <c r="MEB108" s="17"/>
      <c r="MEC108" s="17"/>
      <c r="MED108" s="17"/>
      <c r="MEE108" s="17"/>
      <c r="MEF108" s="17"/>
      <c r="MEG108" s="17"/>
      <c r="MEH108" s="17"/>
      <c r="MEI108" s="17"/>
      <c r="MEJ108" s="17"/>
      <c r="MEK108" s="17"/>
      <c r="MEL108" s="17"/>
      <c r="MEM108" s="17"/>
      <c r="MEN108" s="17"/>
      <c r="MEO108" s="17"/>
      <c r="MEP108" s="17"/>
      <c r="MEQ108" s="17"/>
      <c r="MER108" s="17"/>
      <c r="MES108" s="17"/>
      <c r="MET108" s="17"/>
      <c r="MEU108" s="17"/>
      <c r="MEV108" s="17"/>
      <c r="MEW108" s="17"/>
      <c r="MEX108" s="17"/>
      <c r="MEY108" s="17"/>
      <c r="MEZ108" s="17"/>
      <c r="MFA108" s="17"/>
      <c r="MFB108" s="17"/>
      <c r="MFC108" s="17"/>
      <c r="MFD108" s="17"/>
      <c r="MFE108" s="17"/>
      <c r="MFF108" s="17"/>
      <c r="MFG108" s="17"/>
      <c r="MFH108" s="17"/>
      <c r="MFI108" s="17"/>
      <c r="MFJ108" s="17"/>
      <c r="MFK108" s="17"/>
      <c r="MFL108" s="17"/>
      <c r="MFM108" s="17"/>
      <c r="MFN108" s="17"/>
      <c r="MFO108" s="17"/>
      <c r="MFP108" s="17"/>
      <c r="MFQ108" s="17"/>
      <c r="MFR108" s="17"/>
      <c r="MFS108" s="17"/>
      <c r="MFT108" s="17"/>
      <c r="MFU108" s="17"/>
      <c r="MFV108" s="17"/>
      <c r="MFW108" s="17"/>
      <c r="MFX108" s="17"/>
      <c r="MFY108" s="17"/>
      <c r="MFZ108" s="17"/>
      <c r="MGA108" s="17"/>
      <c r="MGB108" s="17"/>
      <c r="MGC108" s="17"/>
      <c r="MGD108" s="17"/>
      <c r="MGE108" s="17"/>
      <c r="MGF108" s="17"/>
      <c r="MGG108" s="17"/>
      <c r="MGH108" s="17"/>
      <c r="MGI108" s="17"/>
      <c r="MGJ108" s="17"/>
      <c r="MGK108" s="17"/>
      <c r="MGL108" s="17"/>
      <c r="MGM108" s="17"/>
      <c r="MGN108" s="17"/>
      <c r="MGO108" s="17"/>
      <c r="MGP108" s="17"/>
      <c r="MGQ108" s="17"/>
      <c r="MGR108" s="17"/>
      <c r="MGS108" s="17"/>
      <c r="MGT108" s="17"/>
      <c r="MGU108" s="17"/>
      <c r="MGV108" s="17"/>
      <c r="MGW108" s="17"/>
      <c r="MGX108" s="17"/>
      <c r="MGY108" s="17"/>
      <c r="MGZ108" s="17"/>
      <c r="MHA108" s="17"/>
      <c r="MHB108" s="17"/>
      <c r="MHC108" s="17"/>
      <c r="MHD108" s="17"/>
      <c r="MHE108" s="17"/>
      <c r="MHF108" s="17"/>
      <c r="MHG108" s="17"/>
      <c r="MHH108" s="17"/>
      <c r="MHI108" s="17"/>
      <c r="MHJ108" s="17"/>
      <c r="MHK108" s="17"/>
      <c r="MHL108" s="17"/>
      <c r="MHM108" s="17"/>
      <c r="MHN108" s="17"/>
      <c r="MHO108" s="17"/>
      <c r="MHP108" s="17"/>
      <c r="MHQ108" s="17"/>
      <c r="MHR108" s="17"/>
      <c r="MHS108" s="17"/>
      <c r="MHT108" s="17"/>
      <c r="MHU108" s="17"/>
      <c r="MHV108" s="17"/>
      <c r="MHW108" s="17"/>
      <c r="MHX108" s="17"/>
      <c r="MHY108" s="17"/>
      <c r="MHZ108" s="17"/>
      <c r="MIA108" s="17"/>
      <c r="MIB108" s="17"/>
      <c r="MIC108" s="17"/>
      <c r="MID108" s="17"/>
      <c r="MIE108" s="17"/>
      <c r="MIF108" s="17"/>
      <c r="MIG108" s="17"/>
      <c r="MIH108" s="17"/>
      <c r="MII108" s="17"/>
      <c r="MIJ108" s="17"/>
      <c r="MIK108" s="17"/>
      <c r="MIL108" s="17"/>
      <c r="MIM108" s="17"/>
      <c r="MIN108" s="17"/>
      <c r="MIO108" s="17"/>
      <c r="MIP108" s="17"/>
      <c r="MIQ108" s="17"/>
      <c r="MIR108" s="17"/>
      <c r="MIS108" s="17"/>
      <c r="MIT108" s="17"/>
      <c r="MIU108" s="17"/>
      <c r="MIV108" s="17"/>
      <c r="MIW108" s="17"/>
      <c r="MIX108" s="17"/>
      <c r="MIY108" s="17"/>
      <c r="MIZ108" s="17"/>
      <c r="MJA108" s="17"/>
      <c r="MJB108" s="17"/>
      <c r="MJC108" s="17"/>
      <c r="MJD108" s="17"/>
      <c r="MJE108" s="17"/>
      <c r="MJF108" s="17"/>
      <c r="MJG108" s="17"/>
      <c r="MJH108" s="17"/>
      <c r="MJI108" s="17"/>
      <c r="MJJ108" s="17"/>
      <c r="MJK108" s="17"/>
      <c r="MJL108" s="17"/>
      <c r="MJM108" s="17"/>
      <c r="MJN108" s="17"/>
      <c r="MJO108" s="17"/>
      <c r="MJP108" s="17"/>
      <c r="MJQ108" s="17"/>
      <c r="MJR108" s="17"/>
      <c r="MJS108" s="17"/>
      <c r="MJT108" s="17"/>
      <c r="MJU108" s="17"/>
      <c r="MJV108" s="17"/>
      <c r="MJW108" s="17"/>
      <c r="MJX108" s="17"/>
      <c r="MJY108" s="17"/>
      <c r="MJZ108" s="17"/>
      <c r="MKA108" s="17"/>
      <c r="MKB108" s="17"/>
      <c r="MKC108" s="17"/>
      <c r="MKD108" s="17"/>
      <c r="MKE108" s="17"/>
      <c r="MKF108" s="17"/>
      <c r="MKG108" s="17"/>
      <c r="MKH108" s="17"/>
      <c r="MKI108" s="17"/>
      <c r="MKJ108" s="17"/>
      <c r="MKK108" s="17"/>
      <c r="MKL108" s="17"/>
      <c r="MKM108" s="17"/>
      <c r="MKN108" s="17"/>
      <c r="MKO108" s="17"/>
      <c r="MKP108" s="17"/>
      <c r="MKQ108" s="17"/>
      <c r="MKR108" s="17"/>
      <c r="MKS108" s="17"/>
      <c r="MKT108" s="17"/>
      <c r="MKU108" s="17"/>
      <c r="MKV108" s="17"/>
      <c r="MKW108" s="17"/>
      <c r="MKX108" s="17"/>
      <c r="MKY108" s="17"/>
      <c r="MKZ108" s="17"/>
      <c r="MLA108" s="17"/>
      <c r="MLB108" s="17"/>
      <c r="MLC108" s="17"/>
      <c r="MLD108" s="17"/>
      <c r="MLE108" s="17"/>
      <c r="MLF108" s="17"/>
      <c r="MLG108" s="17"/>
      <c r="MLH108" s="17"/>
      <c r="MLI108" s="17"/>
      <c r="MLJ108" s="17"/>
      <c r="MLK108" s="17"/>
      <c r="MLL108" s="17"/>
      <c r="MLM108" s="17"/>
      <c r="MLN108" s="17"/>
      <c r="MLO108" s="17"/>
      <c r="MLP108" s="17"/>
      <c r="MLQ108" s="17"/>
      <c r="MLR108" s="17"/>
      <c r="MLS108" s="17"/>
      <c r="MLT108" s="17"/>
      <c r="MLU108" s="17"/>
      <c r="MLV108" s="17"/>
      <c r="MLW108" s="17"/>
      <c r="MLX108" s="17"/>
      <c r="MLY108" s="17"/>
      <c r="MLZ108" s="17"/>
      <c r="MMA108" s="17"/>
      <c r="MMB108" s="17"/>
      <c r="MMC108" s="17"/>
      <c r="MMD108" s="17"/>
      <c r="MME108" s="17"/>
      <c r="MMF108" s="17"/>
      <c r="MMG108" s="17"/>
      <c r="MMH108" s="17"/>
      <c r="MMI108" s="17"/>
      <c r="MMJ108" s="17"/>
      <c r="MMK108" s="17"/>
      <c r="MML108" s="17"/>
      <c r="MMM108" s="17"/>
      <c r="MMN108" s="17"/>
      <c r="MMO108" s="17"/>
      <c r="MMP108" s="17"/>
      <c r="MMQ108" s="17"/>
      <c r="MMR108" s="17"/>
      <c r="MMS108" s="17"/>
      <c r="MMT108" s="17"/>
      <c r="MMU108" s="17"/>
      <c r="MMV108" s="17"/>
      <c r="MMW108" s="17"/>
      <c r="MMX108" s="17"/>
      <c r="MMY108" s="17"/>
      <c r="MMZ108" s="17"/>
      <c r="MNA108" s="17"/>
      <c r="MNB108" s="17"/>
      <c r="MNC108" s="17"/>
      <c r="MND108" s="17"/>
      <c r="MNE108" s="17"/>
      <c r="MNF108" s="17"/>
      <c r="MNG108" s="17"/>
      <c r="MNH108" s="17"/>
      <c r="MNI108" s="17"/>
      <c r="MNJ108" s="17"/>
      <c r="MNK108" s="17"/>
      <c r="MNL108" s="17"/>
      <c r="MNM108" s="17"/>
      <c r="MNN108" s="17"/>
      <c r="MNO108" s="17"/>
      <c r="MNP108" s="17"/>
      <c r="MNQ108" s="17"/>
      <c r="MNR108" s="17"/>
      <c r="MNS108" s="17"/>
      <c r="MNT108" s="17"/>
      <c r="MNU108" s="17"/>
      <c r="MNV108" s="17"/>
      <c r="MNW108" s="17"/>
      <c r="MNX108" s="17"/>
      <c r="MNY108" s="17"/>
      <c r="MNZ108" s="17"/>
      <c r="MOA108" s="17"/>
      <c r="MOB108" s="17"/>
      <c r="MOC108" s="17"/>
      <c r="MOD108" s="17"/>
      <c r="MOE108" s="17"/>
      <c r="MOF108" s="17"/>
      <c r="MOG108" s="17"/>
      <c r="MOH108" s="17"/>
      <c r="MOI108" s="17"/>
      <c r="MOJ108" s="17"/>
      <c r="MOK108" s="17"/>
      <c r="MOL108" s="17"/>
      <c r="MOM108" s="17"/>
      <c r="MON108" s="17"/>
      <c r="MOO108" s="17"/>
      <c r="MOP108" s="17"/>
      <c r="MOQ108" s="17"/>
      <c r="MOR108" s="17"/>
      <c r="MOS108" s="17"/>
      <c r="MOT108" s="17"/>
      <c r="MOU108" s="17"/>
      <c r="MOV108" s="17"/>
      <c r="MOW108" s="17"/>
      <c r="MOX108" s="17"/>
      <c r="MOY108" s="17"/>
      <c r="MOZ108" s="17"/>
      <c r="MPA108" s="17"/>
      <c r="MPB108" s="17"/>
      <c r="MPC108" s="17"/>
      <c r="MPD108" s="17"/>
      <c r="MPE108" s="17"/>
      <c r="MPF108" s="17"/>
      <c r="MPG108" s="17"/>
      <c r="MPH108" s="17"/>
      <c r="MPI108" s="17"/>
      <c r="MPJ108" s="17"/>
      <c r="MPK108" s="17"/>
      <c r="MPL108" s="17"/>
      <c r="MPM108" s="17"/>
      <c r="MPN108" s="17"/>
      <c r="MPO108" s="17"/>
      <c r="MPP108" s="17"/>
      <c r="MPQ108" s="17"/>
      <c r="MPR108" s="17"/>
      <c r="MPS108" s="17"/>
      <c r="MPT108" s="17"/>
      <c r="MPU108" s="17"/>
      <c r="MPV108" s="17"/>
      <c r="MPW108" s="17"/>
      <c r="MPX108" s="17"/>
      <c r="MPY108" s="17"/>
      <c r="MPZ108" s="17"/>
      <c r="MQA108" s="17"/>
      <c r="MQB108" s="17"/>
      <c r="MQC108" s="17"/>
      <c r="MQD108" s="17"/>
      <c r="MQE108" s="17"/>
      <c r="MQF108" s="17"/>
      <c r="MQG108" s="17"/>
      <c r="MQH108" s="17"/>
      <c r="MQI108" s="17"/>
      <c r="MQJ108" s="17"/>
      <c r="MQK108" s="17"/>
      <c r="MQL108" s="17"/>
      <c r="MQM108" s="17"/>
      <c r="MQN108" s="17"/>
      <c r="MQO108" s="17"/>
      <c r="MQP108" s="17"/>
      <c r="MQQ108" s="17"/>
      <c r="MQR108" s="17"/>
      <c r="MQS108" s="17"/>
      <c r="MQT108" s="17"/>
      <c r="MQU108" s="17"/>
      <c r="MQV108" s="17"/>
      <c r="MQW108" s="17"/>
      <c r="MQX108" s="17"/>
      <c r="MQY108" s="17"/>
      <c r="MQZ108" s="17"/>
      <c r="MRA108" s="17"/>
      <c r="MRB108" s="17"/>
      <c r="MRC108" s="17"/>
      <c r="MRD108" s="17"/>
      <c r="MRE108" s="17"/>
      <c r="MRF108" s="17"/>
      <c r="MRG108" s="17"/>
      <c r="MRH108" s="17"/>
      <c r="MRI108" s="17"/>
      <c r="MRJ108" s="17"/>
      <c r="MRK108" s="17"/>
      <c r="MRL108" s="17"/>
      <c r="MRM108" s="17"/>
      <c r="MRN108" s="17"/>
      <c r="MRO108" s="17"/>
      <c r="MRP108" s="17"/>
      <c r="MRQ108" s="17"/>
      <c r="MRR108" s="17"/>
      <c r="MRS108" s="17"/>
      <c r="MRT108" s="17"/>
      <c r="MRU108" s="17"/>
      <c r="MRV108" s="17"/>
      <c r="MRW108" s="17"/>
      <c r="MRX108" s="17"/>
      <c r="MRY108" s="17"/>
      <c r="MRZ108" s="17"/>
      <c r="MSA108" s="17"/>
      <c r="MSB108" s="17"/>
      <c r="MSC108" s="17"/>
      <c r="MSD108" s="17"/>
      <c r="MSE108" s="17"/>
      <c r="MSF108" s="17"/>
      <c r="MSG108" s="17"/>
      <c r="MSH108" s="17"/>
      <c r="MSI108" s="17"/>
      <c r="MSJ108" s="17"/>
      <c r="MSK108" s="17"/>
      <c r="MSL108" s="17"/>
      <c r="MSM108" s="17"/>
      <c r="MSN108" s="17"/>
      <c r="MSO108" s="17"/>
      <c r="MSP108" s="17"/>
      <c r="MSQ108" s="17"/>
      <c r="MSR108" s="17"/>
      <c r="MSS108" s="17"/>
      <c r="MST108" s="17"/>
      <c r="MSU108" s="17"/>
      <c r="MSV108" s="17"/>
      <c r="MSW108" s="17"/>
      <c r="MSX108" s="17"/>
      <c r="MSY108" s="17"/>
      <c r="MSZ108" s="17"/>
      <c r="MTA108" s="17"/>
      <c r="MTB108" s="17"/>
      <c r="MTC108" s="17"/>
      <c r="MTD108" s="17"/>
      <c r="MTE108" s="17"/>
      <c r="MTF108" s="17"/>
      <c r="MTG108" s="17"/>
      <c r="MTH108" s="17"/>
      <c r="MTI108" s="17"/>
      <c r="MTJ108" s="17"/>
      <c r="MTK108" s="17"/>
      <c r="MTL108" s="17"/>
      <c r="MTM108" s="17"/>
      <c r="MTN108" s="17"/>
      <c r="MTO108" s="17"/>
      <c r="MTP108" s="17"/>
      <c r="MTQ108" s="17"/>
      <c r="MTR108" s="17"/>
      <c r="MTS108" s="17"/>
      <c r="MTT108" s="17"/>
      <c r="MTU108" s="17"/>
      <c r="MTV108" s="17"/>
      <c r="MTW108" s="17"/>
      <c r="MTX108" s="17"/>
      <c r="MTY108" s="17"/>
      <c r="MTZ108" s="17"/>
      <c r="MUA108" s="17"/>
      <c r="MUB108" s="17"/>
      <c r="MUC108" s="17"/>
      <c r="MUD108" s="17"/>
      <c r="MUE108" s="17"/>
      <c r="MUF108" s="17"/>
      <c r="MUG108" s="17"/>
      <c r="MUH108" s="17"/>
      <c r="MUI108" s="17"/>
      <c r="MUJ108" s="17"/>
      <c r="MUK108" s="17"/>
      <c r="MUL108" s="17"/>
      <c r="MUM108" s="17"/>
      <c r="MUN108" s="17"/>
      <c r="MUO108" s="17"/>
      <c r="MUP108" s="17"/>
      <c r="MUQ108" s="17"/>
      <c r="MUR108" s="17"/>
      <c r="MUS108" s="17"/>
      <c r="MUT108" s="17"/>
      <c r="MUU108" s="17"/>
      <c r="MUV108" s="17"/>
      <c r="MUW108" s="17"/>
      <c r="MUX108" s="17"/>
      <c r="MUY108" s="17"/>
      <c r="MUZ108" s="17"/>
      <c r="MVA108" s="17"/>
      <c r="MVB108" s="17"/>
      <c r="MVC108" s="17"/>
      <c r="MVD108" s="17"/>
      <c r="MVE108" s="17"/>
      <c r="MVF108" s="17"/>
      <c r="MVG108" s="17"/>
      <c r="MVH108" s="17"/>
      <c r="MVI108" s="17"/>
      <c r="MVJ108" s="17"/>
      <c r="MVK108" s="17"/>
      <c r="MVL108" s="17"/>
      <c r="MVM108" s="17"/>
      <c r="MVN108" s="17"/>
      <c r="MVO108" s="17"/>
      <c r="MVP108" s="17"/>
      <c r="MVQ108" s="17"/>
      <c r="MVR108" s="17"/>
      <c r="MVS108" s="17"/>
      <c r="MVT108" s="17"/>
      <c r="MVU108" s="17"/>
      <c r="MVV108" s="17"/>
      <c r="MVW108" s="17"/>
      <c r="MVX108" s="17"/>
      <c r="MVY108" s="17"/>
      <c r="MVZ108" s="17"/>
      <c r="MWA108" s="17"/>
      <c r="MWB108" s="17"/>
      <c r="MWC108" s="17"/>
      <c r="MWD108" s="17"/>
      <c r="MWE108" s="17"/>
      <c r="MWF108" s="17"/>
      <c r="MWG108" s="17"/>
      <c r="MWH108" s="17"/>
      <c r="MWI108" s="17"/>
      <c r="MWJ108" s="17"/>
      <c r="MWK108" s="17"/>
      <c r="MWL108" s="17"/>
      <c r="MWM108" s="17"/>
      <c r="MWN108" s="17"/>
      <c r="MWO108" s="17"/>
      <c r="MWP108" s="17"/>
      <c r="MWQ108" s="17"/>
      <c r="MWR108" s="17"/>
      <c r="MWS108" s="17"/>
      <c r="MWT108" s="17"/>
      <c r="MWU108" s="17"/>
      <c r="MWV108" s="17"/>
      <c r="MWW108" s="17"/>
      <c r="MWX108" s="17"/>
      <c r="MWY108" s="17"/>
      <c r="MWZ108" s="17"/>
      <c r="MXA108" s="17"/>
      <c r="MXB108" s="17"/>
      <c r="MXC108" s="17"/>
      <c r="MXD108" s="17"/>
      <c r="MXE108" s="17"/>
      <c r="MXF108" s="17"/>
      <c r="MXG108" s="17"/>
      <c r="MXH108" s="17"/>
      <c r="MXI108" s="17"/>
      <c r="MXJ108" s="17"/>
      <c r="MXK108" s="17"/>
      <c r="MXL108" s="17"/>
      <c r="MXM108" s="17"/>
      <c r="MXN108" s="17"/>
      <c r="MXO108" s="17"/>
      <c r="MXP108" s="17"/>
      <c r="MXQ108" s="17"/>
      <c r="MXR108" s="17"/>
      <c r="MXS108" s="17"/>
      <c r="MXT108" s="17"/>
      <c r="MXU108" s="17"/>
      <c r="MXV108" s="17"/>
      <c r="MXW108" s="17"/>
      <c r="MXX108" s="17"/>
      <c r="MXY108" s="17"/>
      <c r="MXZ108" s="17"/>
      <c r="MYA108" s="17"/>
      <c r="MYB108" s="17"/>
      <c r="MYC108" s="17"/>
      <c r="MYD108" s="17"/>
      <c r="MYE108" s="17"/>
      <c r="MYF108" s="17"/>
      <c r="MYG108" s="17"/>
      <c r="MYH108" s="17"/>
      <c r="MYI108" s="17"/>
      <c r="MYJ108" s="17"/>
      <c r="MYK108" s="17"/>
      <c r="MYL108" s="17"/>
      <c r="MYM108" s="17"/>
      <c r="MYN108" s="17"/>
      <c r="MYO108" s="17"/>
      <c r="MYP108" s="17"/>
      <c r="MYQ108" s="17"/>
      <c r="MYR108" s="17"/>
      <c r="MYS108" s="17"/>
      <c r="MYT108" s="17"/>
      <c r="MYU108" s="17"/>
      <c r="MYV108" s="17"/>
      <c r="MYW108" s="17"/>
      <c r="MYX108" s="17"/>
      <c r="MYY108" s="17"/>
      <c r="MYZ108" s="17"/>
      <c r="MZA108" s="17"/>
      <c r="MZB108" s="17"/>
      <c r="MZC108" s="17"/>
      <c r="MZD108" s="17"/>
      <c r="MZE108" s="17"/>
      <c r="MZF108" s="17"/>
      <c r="MZG108" s="17"/>
      <c r="MZH108" s="17"/>
      <c r="MZI108" s="17"/>
      <c r="MZJ108" s="17"/>
      <c r="MZK108" s="17"/>
      <c r="MZL108" s="17"/>
      <c r="MZM108" s="17"/>
      <c r="MZN108" s="17"/>
      <c r="MZO108" s="17"/>
      <c r="MZP108" s="17"/>
      <c r="MZQ108" s="17"/>
      <c r="MZR108" s="17"/>
      <c r="MZS108" s="17"/>
      <c r="MZT108" s="17"/>
      <c r="MZU108" s="17"/>
      <c r="MZV108" s="17"/>
      <c r="MZW108" s="17"/>
      <c r="MZX108" s="17"/>
      <c r="MZY108" s="17"/>
      <c r="MZZ108" s="17"/>
      <c r="NAA108" s="17"/>
      <c r="NAB108" s="17"/>
      <c r="NAC108" s="17"/>
      <c r="NAD108" s="17"/>
      <c r="NAE108" s="17"/>
      <c r="NAF108" s="17"/>
      <c r="NAG108" s="17"/>
      <c r="NAH108" s="17"/>
      <c r="NAI108" s="17"/>
      <c r="NAJ108" s="17"/>
      <c r="NAK108" s="17"/>
      <c r="NAL108" s="17"/>
      <c r="NAM108" s="17"/>
      <c r="NAN108" s="17"/>
      <c r="NAO108" s="17"/>
      <c r="NAP108" s="17"/>
      <c r="NAQ108" s="17"/>
      <c r="NAR108" s="17"/>
      <c r="NAS108" s="17"/>
      <c r="NAT108" s="17"/>
      <c r="NAU108" s="17"/>
      <c r="NAV108" s="17"/>
      <c r="NAW108" s="17"/>
      <c r="NAX108" s="17"/>
      <c r="NAY108" s="17"/>
      <c r="NAZ108" s="17"/>
      <c r="NBA108" s="17"/>
      <c r="NBB108" s="17"/>
      <c r="NBC108" s="17"/>
      <c r="NBD108" s="17"/>
      <c r="NBE108" s="17"/>
      <c r="NBF108" s="17"/>
      <c r="NBG108" s="17"/>
      <c r="NBH108" s="17"/>
      <c r="NBI108" s="17"/>
      <c r="NBJ108" s="17"/>
      <c r="NBK108" s="17"/>
      <c r="NBL108" s="17"/>
      <c r="NBM108" s="17"/>
      <c r="NBN108" s="17"/>
      <c r="NBO108" s="17"/>
      <c r="NBP108" s="17"/>
      <c r="NBQ108" s="17"/>
      <c r="NBR108" s="17"/>
      <c r="NBS108" s="17"/>
      <c r="NBT108" s="17"/>
      <c r="NBU108" s="17"/>
      <c r="NBV108" s="17"/>
      <c r="NBW108" s="17"/>
      <c r="NBX108" s="17"/>
      <c r="NBY108" s="17"/>
      <c r="NBZ108" s="17"/>
      <c r="NCA108" s="17"/>
      <c r="NCB108" s="17"/>
      <c r="NCC108" s="17"/>
      <c r="NCD108" s="17"/>
      <c r="NCE108" s="17"/>
      <c r="NCF108" s="17"/>
      <c r="NCG108" s="17"/>
      <c r="NCH108" s="17"/>
      <c r="NCI108" s="17"/>
      <c r="NCJ108" s="17"/>
      <c r="NCK108" s="17"/>
      <c r="NCL108" s="17"/>
      <c r="NCM108" s="17"/>
      <c r="NCN108" s="17"/>
      <c r="NCO108" s="17"/>
      <c r="NCP108" s="17"/>
      <c r="NCQ108" s="17"/>
      <c r="NCR108" s="17"/>
      <c r="NCS108" s="17"/>
      <c r="NCT108" s="17"/>
      <c r="NCU108" s="17"/>
      <c r="NCV108" s="17"/>
      <c r="NCW108" s="17"/>
      <c r="NCX108" s="17"/>
      <c r="NCY108" s="17"/>
      <c r="NCZ108" s="17"/>
      <c r="NDA108" s="17"/>
      <c r="NDB108" s="17"/>
      <c r="NDC108" s="17"/>
      <c r="NDD108" s="17"/>
      <c r="NDE108" s="17"/>
      <c r="NDF108" s="17"/>
      <c r="NDG108" s="17"/>
      <c r="NDH108" s="17"/>
      <c r="NDI108" s="17"/>
      <c r="NDJ108" s="17"/>
      <c r="NDK108" s="17"/>
      <c r="NDL108" s="17"/>
      <c r="NDM108" s="17"/>
      <c r="NDN108" s="17"/>
      <c r="NDO108" s="17"/>
      <c r="NDP108" s="17"/>
      <c r="NDQ108" s="17"/>
      <c r="NDR108" s="17"/>
      <c r="NDS108" s="17"/>
      <c r="NDT108" s="17"/>
      <c r="NDU108" s="17"/>
      <c r="NDV108" s="17"/>
      <c r="NDW108" s="17"/>
      <c r="NDX108" s="17"/>
      <c r="NDY108" s="17"/>
      <c r="NDZ108" s="17"/>
      <c r="NEA108" s="17"/>
      <c r="NEB108" s="17"/>
      <c r="NEC108" s="17"/>
      <c r="NED108" s="17"/>
      <c r="NEE108" s="17"/>
      <c r="NEF108" s="17"/>
      <c r="NEG108" s="17"/>
      <c r="NEH108" s="17"/>
      <c r="NEI108" s="17"/>
      <c r="NEJ108" s="17"/>
      <c r="NEK108" s="17"/>
      <c r="NEL108" s="17"/>
      <c r="NEM108" s="17"/>
      <c r="NEN108" s="17"/>
      <c r="NEO108" s="17"/>
      <c r="NEP108" s="17"/>
      <c r="NEQ108" s="17"/>
      <c r="NER108" s="17"/>
      <c r="NES108" s="17"/>
      <c r="NET108" s="17"/>
      <c r="NEU108" s="17"/>
      <c r="NEV108" s="17"/>
      <c r="NEW108" s="17"/>
      <c r="NEX108" s="17"/>
      <c r="NEY108" s="17"/>
      <c r="NEZ108" s="17"/>
      <c r="NFA108" s="17"/>
      <c r="NFB108" s="17"/>
      <c r="NFC108" s="17"/>
      <c r="NFD108" s="17"/>
      <c r="NFE108" s="17"/>
      <c r="NFF108" s="17"/>
      <c r="NFG108" s="17"/>
      <c r="NFH108" s="17"/>
      <c r="NFI108" s="17"/>
      <c r="NFJ108" s="17"/>
      <c r="NFK108" s="17"/>
      <c r="NFL108" s="17"/>
      <c r="NFM108" s="17"/>
      <c r="NFN108" s="17"/>
      <c r="NFO108" s="17"/>
      <c r="NFP108" s="17"/>
      <c r="NFQ108" s="17"/>
      <c r="NFR108" s="17"/>
      <c r="NFS108" s="17"/>
      <c r="NFT108" s="17"/>
      <c r="NFU108" s="17"/>
      <c r="NFV108" s="17"/>
      <c r="NFW108" s="17"/>
      <c r="NFX108" s="17"/>
      <c r="NFY108" s="17"/>
      <c r="NFZ108" s="17"/>
      <c r="NGA108" s="17"/>
      <c r="NGB108" s="17"/>
      <c r="NGC108" s="17"/>
      <c r="NGD108" s="17"/>
      <c r="NGE108" s="17"/>
      <c r="NGF108" s="17"/>
      <c r="NGG108" s="17"/>
      <c r="NGH108" s="17"/>
      <c r="NGI108" s="17"/>
      <c r="NGJ108" s="17"/>
      <c r="NGK108" s="17"/>
      <c r="NGL108" s="17"/>
      <c r="NGM108" s="17"/>
      <c r="NGN108" s="17"/>
      <c r="NGO108" s="17"/>
      <c r="NGP108" s="17"/>
      <c r="NGQ108" s="17"/>
      <c r="NGR108" s="17"/>
      <c r="NGS108" s="17"/>
      <c r="NGT108" s="17"/>
      <c r="NGU108" s="17"/>
      <c r="NGV108" s="17"/>
      <c r="NGW108" s="17"/>
      <c r="NGX108" s="17"/>
      <c r="NGY108" s="17"/>
      <c r="NGZ108" s="17"/>
      <c r="NHA108" s="17"/>
      <c r="NHB108" s="17"/>
      <c r="NHC108" s="17"/>
      <c r="NHD108" s="17"/>
      <c r="NHE108" s="17"/>
      <c r="NHF108" s="17"/>
      <c r="NHG108" s="17"/>
      <c r="NHH108" s="17"/>
      <c r="NHI108" s="17"/>
      <c r="NHJ108" s="17"/>
      <c r="NHK108" s="17"/>
      <c r="NHL108" s="17"/>
      <c r="NHM108" s="17"/>
      <c r="NHN108" s="17"/>
      <c r="NHO108" s="17"/>
      <c r="NHP108" s="17"/>
      <c r="NHQ108" s="17"/>
      <c r="NHR108" s="17"/>
      <c r="NHS108" s="17"/>
      <c r="NHT108" s="17"/>
      <c r="NHU108" s="17"/>
      <c r="NHV108" s="17"/>
      <c r="NHW108" s="17"/>
      <c r="NHX108" s="17"/>
      <c r="NHY108" s="17"/>
      <c r="NHZ108" s="17"/>
      <c r="NIA108" s="17"/>
      <c r="NIB108" s="17"/>
      <c r="NIC108" s="17"/>
      <c r="NID108" s="17"/>
      <c r="NIE108" s="17"/>
      <c r="NIF108" s="17"/>
      <c r="NIG108" s="17"/>
      <c r="NIH108" s="17"/>
      <c r="NII108" s="17"/>
      <c r="NIJ108" s="17"/>
      <c r="NIK108" s="17"/>
      <c r="NIL108" s="17"/>
      <c r="NIM108" s="17"/>
      <c r="NIN108" s="17"/>
      <c r="NIO108" s="17"/>
      <c r="NIP108" s="17"/>
      <c r="NIQ108" s="17"/>
      <c r="NIR108" s="17"/>
      <c r="NIS108" s="17"/>
      <c r="NIT108" s="17"/>
      <c r="NIU108" s="17"/>
      <c r="NIV108" s="17"/>
      <c r="NIW108" s="17"/>
      <c r="NIX108" s="17"/>
      <c r="NIY108" s="17"/>
      <c r="NIZ108" s="17"/>
      <c r="NJA108" s="17"/>
      <c r="NJB108" s="17"/>
      <c r="NJC108" s="17"/>
      <c r="NJD108" s="17"/>
      <c r="NJE108" s="17"/>
      <c r="NJF108" s="17"/>
      <c r="NJG108" s="17"/>
      <c r="NJH108" s="17"/>
      <c r="NJI108" s="17"/>
      <c r="NJJ108" s="17"/>
      <c r="NJK108" s="17"/>
      <c r="NJL108" s="17"/>
      <c r="NJM108" s="17"/>
      <c r="NJN108" s="17"/>
      <c r="NJO108" s="17"/>
      <c r="NJP108" s="17"/>
      <c r="NJQ108" s="17"/>
      <c r="NJR108" s="17"/>
      <c r="NJS108" s="17"/>
      <c r="NJT108" s="17"/>
      <c r="NJU108" s="17"/>
      <c r="NJV108" s="17"/>
      <c r="NJW108" s="17"/>
      <c r="NJX108" s="17"/>
      <c r="NJY108" s="17"/>
      <c r="NJZ108" s="17"/>
      <c r="NKA108" s="17"/>
      <c r="NKB108" s="17"/>
      <c r="NKC108" s="17"/>
      <c r="NKD108" s="17"/>
      <c r="NKE108" s="17"/>
      <c r="NKF108" s="17"/>
      <c r="NKG108" s="17"/>
      <c r="NKH108" s="17"/>
      <c r="NKI108" s="17"/>
      <c r="NKJ108" s="17"/>
      <c r="NKK108" s="17"/>
      <c r="NKL108" s="17"/>
      <c r="NKM108" s="17"/>
      <c r="NKN108" s="17"/>
      <c r="NKO108" s="17"/>
      <c r="NKP108" s="17"/>
      <c r="NKQ108" s="17"/>
      <c r="NKR108" s="17"/>
      <c r="NKS108" s="17"/>
      <c r="NKT108" s="17"/>
      <c r="NKU108" s="17"/>
      <c r="NKV108" s="17"/>
      <c r="NKW108" s="17"/>
      <c r="NKX108" s="17"/>
      <c r="NKY108" s="17"/>
      <c r="NKZ108" s="17"/>
      <c r="NLA108" s="17"/>
      <c r="NLB108" s="17"/>
      <c r="NLC108" s="17"/>
      <c r="NLD108" s="17"/>
      <c r="NLE108" s="17"/>
      <c r="NLF108" s="17"/>
      <c r="NLG108" s="17"/>
      <c r="NLH108" s="17"/>
      <c r="NLI108" s="17"/>
      <c r="NLJ108" s="17"/>
      <c r="NLK108" s="17"/>
      <c r="NLL108" s="17"/>
      <c r="NLM108" s="17"/>
      <c r="NLN108" s="17"/>
      <c r="NLO108" s="17"/>
      <c r="NLP108" s="17"/>
      <c r="NLQ108" s="17"/>
      <c r="NLR108" s="17"/>
      <c r="NLS108" s="17"/>
      <c r="NLT108" s="17"/>
      <c r="NLU108" s="17"/>
      <c r="NLV108" s="17"/>
      <c r="NLW108" s="17"/>
      <c r="NLX108" s="17"/>
      <c r="NLY108" s="17"/>
      <c r="NLZ108" s="17"/>
      <c r="NMA108" s="17"/>
      <c r="NMB108" s="17"/>
      <c r="NMC108" s="17"/>
      <c r="NMD108" s="17"/>
      <c r="NME108" s="17"/>
      <c r="NMF108" s="17"/>
      <c r="NMG108" s="17"/>
      <c r="NMH108" s="17"/>
      <c r="NMI108" s="17"/>
      <c r="NMJ108" s="17"/>
      <c r="NMK108" s="17"/>
      <c r="NML108" s="17"/>
      <c r="NMM108" s="17"/>
      <c r="NMN108" s="17"/>
      <c r="NMO108" s="17"/>
      <c r="NMP108" s="17"/>
      <c r="NMQ108" s="17"/>
      <c r="NMR108" s="17"/>
      <c r="NMS108" s="17"/>
      <c r="NMT108" s="17"/>
      <c r="NMU108" s="17"/>
      <c r="NMV108" s="17"/>
      <c r="NMW108" s="17"/>
      <c r="NMX108" s="17"/>
      <c r="NMY108" s="17"/>
      <c r="NMZ108" s="17"/>
      <c r="NNA108" s="17"/>
      <c r="NNB108" s="17"/>
      <c r="NNC108" s="17"/>
      <c r="NND108" s="17"/>
      <c r="NNE108" s="17"/>
      <c r="NNF108" s="17"/>
      <c r="NNG108" s="17"/>
      <c r="NNH108" s="17"/>
      <c r="NNI108" s="17"/>
      <c r="NNJ108" s="17"/>
      <c r="NNK108" s="17"/>
      <c r="NNL108" s="17"/>
      <c r="NNM108" s="17"/>
      <c r="NNN108" s="17"/>
      <c r="NNO108" s="17"/>
      <c r="NNP108" s="17"/>
      <c r="NNQ108" s="17"/>
      <c r="NNR108" s="17"/>
      <c r="NNS108" s="17"/>
      <c r="NNT108" s="17"/>
      <c r="NNU108" s="17"/>
      <c r="NNV108" s="17"/>
      <c r="NNW108" s="17"/>
      <c r="NNX108" s="17"/>
      <c r="NNY108" s="17"/>
      <c r="NNZ108" s="17"/>
      <c r="NOA108" s="17"/>
      <c r="NOB108" s="17"/>
      <c r="NOC108" s="17"/>
      <c r="NOD108" s="17"/>
      <c r="NOE108" s="17"/>
      <c r="NOF108" s="17"/>
      <c r="NOG108" s="17"/>
      <c r="NOH108" s="17"/>
      <c r="NOI108" s="17"/>
      <c r="NOJ108" s="17"/>
      <c r="NOK108" s="17"/>
      <c r="NOL108" s="17"/>
      <c r="NOM108" s="17"/>
      <c r="NON108" s="17"/>
      <c r="NOO108" s="17"/>
      <c r="NOP108" s="17"/>
      <c r="NOQ108" s="17"/>
      <c r="NOR108" s="17"/>
      <c r="NOS108" s="17"/>
      <c r="NOT108" s="17"/>
      <c r="NOU108" s="17"/>
      <c r="NOV108" s="17"/>
      <c r="NOW108" s="17"/>
      <c r="NOX108" s="17"/>
      <c r="NOY108" s="17"/>
      <c r="NOZ108" s="17"/>
      <c r="NPA108" s="17"/>
      <c r="NPB108" s="17"/>
      <c r="NPC108" s="17"/>
      <c r="NPD108" s="17"/>
      <c r="NPE108" s="17"/>
      <c r="NPF108" s="17"/>
      <c r="NPG108" s="17"/>
      <c r="NPH108" s="17"/>
      <c r="NPI108" s="17"/>
      <c r="NPJ108" s="17"/>
      <c r="NPK108" s="17"/>
      <c r="NPL108" s="17"/>
      <c r="NPM108" s="17"/>
      <c r="NPN108" s="17"/>
      <c r="NPO108" s="17"/>
      <c r="NPP108" s="17"/>
      <c r="NPQ108" s="17"/>
      <c r="NPR108" s="17"/>
      <c r="NPS108" s="17"/>
      <c r="NPT108" s="17"/>
      <c r="NPU108" s="17"/>
      <c r="NPV108" s="17"/>
      <c r="NPW108" s="17"/>
      <c r="NPX108" s="17"/>
      <c r="NPY108" s="17"/>
      <c r="NPZ108" s="17"/>
      <c r="NQA108" s="17"/>
      <c r="NQB108" s="17"/>
      <c r="NQC108" s="17"/>
      <c r="NQD108" s="17"/>
      <c r="NQE108" s="17"/>
      <c r="NQF108" s="17"/>
      <c r="NQG108" s="17"/>
      <c r="NQH108" s="17"/>
      <c r="NQI108" s="17"/>
      <c r="NQJ108" s="17"/>
      <c r="NQK108" s="17"/>
      <c r="NQL108" s="17"/>
      <c r="NQM108" s="17"/>
      <c r="NQN108" s="17"/>
      <c r="NQO108" s="17"/>
      <c r="NQP108" s="17"/>
      <c r="NQQ108" s="17"/>
      <c r="NQR108" s="17"/>
      <c r="NQS108" s="17"/>
      <c r="NQT108" s="17"/>
      <c r="NQU108" s="17"/>
      <c r="NQV108" s="17"/>
      <c r="NQW108" s="17"/>
      <c r="NQX108" s="17"/>
      <c r="NQY108" s="17"/>
      <c r="NQZ108" s="17"/>
      <c r="NRA108" s="17"/>
      <c r="NRB108" s="17"/>
      <c r="NRC108" s="17"/>
      <c r="NRD108" s="17"/>
      <c r="NRE108" s="17"/>
      <c r="NRF108" s="17"/>
      <c r="NRG108" s="17"/>
      <c r="NRH108" s="17"/>
      <c r="NRI108" s="17"/>
      <c r="NRJ108" s="17"/>
      <c r="NRK108" s="17"/>
      <c r="NRL108" s="17"/>
      <c r="NRM108" s="17"/>
      <c r="NRN108" s="17"/>
      <c r="NRO108" s="17"/>
      <c r="NRP108" s="17"/>
      <c r="NRQ108" s="17"/>
      <c r="NRR108" s="17"/>
      <c r="NRS108" s="17"/>
      <c r="NRT108" s="17"/>
      <c r="NRU108" s="17"/>
      <c r="NRV108" s="17"/>
      <c r="NRW108" s="17"/>
      <c r="NRX108" s="17"/>
      <c r="NRY108" s="17"/>
      <c r="NRZ108" s="17"/>
      <c r="NSA108" s="17"/>
      <c r="NSB108" s="17"/>
      <c r="NSC108" s="17"/>
      <c r="NSD108" s="17"/>
      <c r="NSE108" s="17"/>
      <c r="NSF108" s="17"/>
      <c r="NSG108" s="17"/>
      <c r="NSH108" s="17"/>
      <c r="NSI108" s="17"/>
      <c r="NSJ108" s="17"/>
      <c r="NSK108" s="17"/>
      <c r="NSL108" s="17"/>
      <c r="NSM108" s="17"/>
      <c r="NSN108" s="17"/>
      <c r="NSO108" s="17"/>
      <c r="NSP108" s="17"/>
      <c r="NSQ108" s="17"/>
      <c r="NSR108" s="17"/>
      <c r="NSS108" s="17"/>
      <c r="NST108" s="17"/>
      <c r="NSU108" s="17"/>
      <c r="NSV108" s="17"/>
      <c r="NSW108" s="17"/>
      <c r="NSX108" s="17"/>
      <c r="NSY108" s="17"/>
      <c r="NSZ108" s="17"/>
      <c r="NTA108" s="17"/>
      <c r="NTB108" s="17"/>
      <c r="NTC108" s="17"/>
      <c r="NTD108" s="17"/>
      <c r="NTE108" s="17"/>
      <c r="NTF108" s="17"/>
      <c r="NTG108" s="17"/>
      <c r="NTH108" s="17"/>
      <c r="NTI108" s="17"/>
      <c r="NTJ108" s="17"/>
      <c r="NTK108" s="17"/>
      <c r="NTL108" s="17"/>
      <c r="NTM108" s="17"/>
      <c r="NTN108" s="17"/>
      <c r="NTO108" s="17"/>
      <c r="NTP108" s="17"/>
      <c r="NTQ108" s="17"/>
      <c r="NTR108" s="17"/>
      <c r="NTS108" s="17"/>
      <c r="NTT108" s="17"/>
      <c r="NTU108" s="17"/>
      <c r="NTV108" s="17"/>
      <c r="NTW108" s="17"/>
      <c r="NTX108" s="17"/>
      <c r="NTY108" s="17"/>
      <c r="NTZ108" s="17"/>
      <c r="NUA108" s="17"/>
      <c r="NUB108" s="17"/>
      <c r="NUC108" s="17"/>
      <c r="NUD108" s="17"/>
      <c r="NUE108" s="17"/>
      <c r="NUF108" s="17"/>
      <c r="NUG108" s="17"/>
      <c r="NUH108" s="17"/>
      <c r="NUI108" s="17"/>
      <c r="NUJ108" s="17"/>
      <c r="NUK108" s="17"/>
      <c r="NUL108" s="17"/>
      <c r="NUM108" s="17"/>
      <c r="NUN108" s="17"/>
      <c r="NUO108" s="17"/>
      <c r="NUP108" s="17"/>
      <c r="NUQ108" s="17"/>
      <c r="NUR108" s="17"/>
      <c r="NUS108" s="17"/>
      <c r="NUT108" s="17"/>
      <c r="NUU108" s="17"/>
      <c r="NUV108" s="17"/>
      <c r="NUW108" s="17"/>
      <c r="NUX108" s="17"/>
      <c r="NUY108" s="17"/>
      <c r="NUZ108" s="17"/>
      <c r="NVA108" s="17"/>
      <c r="NVB108" s="17"/>
      <c r="NVC108" s="17"/>
      <c r="NVD108" s="17"/>
      <c r="NVE108" s="17"/>
      <c r="NVF108" s="17"/>
      <c r="NVG108" s="17"/>
      <c r="NVH108" s="17"/>
      <c r="NVI108" s="17"/>
      <c r="NVJ108" s="17"/>
      <c r="NVK108" s="17"/>
      <c r="NVL108" s="17"/>
      <c r="NVM108" s="17"/>
      <c r="NVN108" s="17"/>
      <c r="NVO108" s="17"/>
      <c r="NVP108" s="17"/>
      <c r="NVQ108" s="17"/>
      <c r="NVR108" s="17"/>
      <c r="NVS108" s="17"/>
      <c r="NVT108" s="17"/>
      <c r="NVU108" s="17"/>
      <c r="NVV108" s="17"/>
      <c r="NVW108" s="17"/>
      <c r="NVX108" s="17"/>
      <c r="NVY108" s="17"/>
      <c r="NVZ108" s="17"/>
      <c r="NWA108" s="17"/>
      <c r="NWB108" s="17"/>
      <c r="NWC108" s="17"/>
      <c r="NWD108" s="17"/>
      <c r="NWE108" s="17"/>
      <c r="NWF108" s="17"/>
      <c r="NWG108" s="17"/>
      <c r="NWH108" s="17"/>
      <c r="NWI108" s="17"/>
      <c r="NWJ108" s="17"/>
      <c r="NWK108" s="17"/>
      <c r="NWL108" s="17"/>
      <c r="NWM108" s="17"/>
      <c r="NWN108" s="17"/>
      <c r="NWO108" s="17"/>
      <c r="NWP108" s="17"/>
      <c r="NWQ108" s="17"/>
      <c r="NWR108" s="17"/>
      <c r="NWS108" s="17"/>
      <c r="NWT108" s="17"/>
      <c r="NWU108" s="17"/>
      <c r="NWV108" s="17"/>
      <c r="NWW108" s="17"/>
      <c r="NWX108" s="17"/>
      <c r="NWY108" s="17"/>
      <c r="NWZ108" s="17"/>
      <c r="NXA108" s="17"/>
      <c r="NXB108" s="17"/>
      <c r="NXC108" s="17"/>
      <c r="NXD108" s="17"/>
      <c r="NXE108" s="17"/>
      <c r="NXF108" s="17"/>
      <c r="NXG108" s="17"/>
      <c r="NXH108" s="17"/>
      <c r="NXI108" s="17"/>
      <c r="NXJ108" s="17"/>
      <c r="NXK108" s="17"/>
      <c r="NXL108" s="17"/>
      <c r="NXM108" s="17"/>
      <c r="NXN108" s="17"/>
      <c r="NXO108" s="17"/>
      <c r="NXP108" s="17"/>
      <c r="NXQ108" s="17"/>
      <c r="NXR108" s="17"/>
      <c r="NXS108" s="17"/>
      <c r="NXT108" s="17"/>
      <c r="NXU108" s="17"/>
      <c r="NXV108" s="17"/>
      <c r="NXW108" s="17"/>
      <c r="NXX108" s="17"/>
      <c r="NXY108" s="17"/>
      <c r="NXZ108" s="17"/>
      <c r="NYA108" s="17"/>
      <c r="NYB108" s="17"/>
      <c r="NYC108" s="17"/>
      <c r="NYD108" s="17"/>
      <c r="NYE108" s="17"/>
      <c r="NYF108" s="17"/>
      <c r="NYG108" s="17"/>
      <c r="NYH108" s="17"/>
      <c r="NYI108" s="17"/>
      <c r="NYJ108" s="17"/>
      <c r="NYK108" s="17"/>
      <c r="NYL108" s="17"/>
      <c r="NYM108" s="17"/>
      <c r="NYN108" s="17"/>
      <c r="NYO108" s="17"/>
      <c r="NYP108" s="17"/>
      <c r="NYQ108" s="17"/>
      <c r="NYR108" s="17"/>
      <c r="NYS108" s="17"/>
      <c r="NYT108" s="17"/>
      <c r="NYU108" s="17"/>
      <c r="NYV108" s="17"/>
      <c r="NYW108" s="17"/>
      <c r="NYX108" s="17"/>
      <c r="NYY108" s="17"/>
      <c r="NYZ108" s="17"/>
      <c r="NZA108" s="17"/>
      <c r="NZB108" s="17"/>
      <c r="NZC108" s="17"/>
      <c r="NZD108" s="17"/>
      <c r="NZE108" s="17"/>
      <c r="NZF108" s="17"/>
      <c r="NZG108" s="17"/>
      <c r="NZH108" s="17"/>
      <c r="NZI108" s="17"/>
      <c r="NZJ108" s="17"/>
      <c r="NZK108" s="17"/>
      <c r="NZL108" s="17"/>
      <c r="NZM108" s="17"/>
      <c r="NZN108" s="17"/>
      <c r="NZO108" s="17"/>
      <c r="NZP108" s="17"/>
      <c r="NZQ108" s="17"/>
      <c r="NZR108" s="17"/>
      <c r="NZS108" s="17"/>
      <c r="NZT108" s="17"/>
      <c r="NZU108" s="17"/>
      <c r="NZV108" s="17"/>
      <c r="NZW108" s="17"/>
      <c r="NZX108" s="17"/>
      <c r="NZY108" s="17"/>
      <c r="NZZ108" s="17"/>
      <c r="OAA108" s="17"/>
      <c r="OAB108" s="17"/>
      <c r="OAC108" s="17"/>
      <c r="OAD108" s="17"/>
      <c r="OAE108" s="17"/>
      <c r="OAF108" s="17"/>
      <c r="OAG108" s="17"/>
      <c r="OAH108" s="17"/>
      <c r="OAI108" s="17"/>
      <c r="OAJ108" s="17"/>
      <c r="OAK108" s="17"/>
      <c r="OAL108" s="17"/>
      <c r="OAM108" s="17"/>
      <c r="OAN108" s="17"/>
      <c r="OAO108" s="17"/>
      <c r="OAP108" s="17"/>
      <c r="OAQ108" s="17"/>
      <c r="OAR108" s="17"/>
      <c r="OAS108" s="17"/>
      <c r="OAT108" s="17"/>
      <c r="OAU108" s="17"/>
      <c r="OAV108" s="17"/>
      <c r="OAW108" s="17"/>
      <c r="OAX108" s="17"/>
      <c r="OAY108" s="17"/>
      <c r="OAZ108" s="17"/>
      <c r="OBA108" s="17"/>
      <c r="OBB108" s="17"/>
      <c r="OBC108" s="17"/>
      <c r="OBD108" s="17"/>
      <c r="OBE108" s="17"/>
      <c r="OBF108" s="17"/>
      <c r="OBG108" s="17"/>
      <c r="OBH108" s="17"/>
      <c r="OBI108" s="17"/>
      <c r="OBJ108" s="17"/>
      <c r="OBK108" s="17"/>
      <c r="OBL108" s="17"/>
      <c r="OBM108" s="17"/>
      <c r="OBN108" s="17"/>
      <c r="OBO108" s="17"/>
      <c r="OBP108" s="17"/>
      <c r="OBQ108" s="17"/>
      <c r="OBR108" s="17"/>
      <c r="OBS108" s="17"/>
      <c r="OBT108" s="17"/>
      <c r="OBU108" s="17"/>
      <c r="OBV108" s="17"/>
      <c r="OBW108" s="17"/>
      <c r="OBX108" s="17"/>
      <c r="OBY108" s="17"/>
      <c r="OBZ108" s="17"/>
      <c r="OCA108" s="17"/>
      <c r="OCB108" s="17"/>
      <c r="OCC108" s="17"/>
      <c r="OCD108" s="17"/>
      <c r="OCE108" s="17"/>
      <c r="OCF108" s="17"/>
      <c r="OCG108" s="17"/>
      <c r="OCH108" s="17"/>
      <c r="OCI108" s="17"/>
      <c r="OCJ108" s="17"/>
      <c r="OCK108" s="17"/>
      <c r="OCL108" s="17"/>
      <c r="OCM108" s="17"/>
      <c r="OCN108" s="17"/>
      <c r="OCO108" s="17"/>
      <c r="OCP108" s="17"/>
      <c r="OCQ108" s="17"/>
      <c r="OCR108" s="17"/>
      <c r="OCS108" s="17"/>
      <c r="OCT108" s="17"/>
      <c r="OCU108" s="17"/>
      <c r="OCV108" s="17"/>
      <c r="OCW108" s="17"/>
      <c r="OCX108" s="17"/>
      <c r="OCY108" s="17"/>
      <c r="OCZ108" s="17"/>
      <c r="ODA108" s="17"/>
      <c r="ODB108" s="17"/>
      <c r="ODC108" s="17"/>
      <c r="ODD108" s="17"/>
      <c r="ODE108" s="17"/>
      <c r="ODF108" s="17"/>
      <c r="ODG108" s="17"/>
      <c r="ODH108" s="17"/>
      <c r="ODI108" s="17"/>
      <c r="ODJ108" s="17"/>
      <c r="ODK108" s="17"/>
      <c r="ODL108" s="17"/>
      <c r="ODM108" s="17"/>
      <c r="ODN108" s="17"/>
      <c r="ODO108" s="17"/>
      <c r="ODP108" s="17"/>
      <c r="ODQ108" s="17"/>
      <c r="ODR108" s="17"/>
      <c r="ODS108" s="17"/>
      <c r="ODT108" s="17"/>
      <c r="ODU108" s="17"/>
      <c r="ODV108" s="17"/>
      <c r="ODW108" s="17"/>
      <c r="ODX108" s="17"/>
      <c r="ODY108" s="17"/>
      <c r="ODZ108" s="17"/>
      <c r="OEA108" s="17"/>
      <c r="OEB108" s="17"/>
      <c r="OEC108" s="17"/>
      <c r="OED108" s="17"/>
      <c r="OEE108" s="17"/>
      <c r="OEF108" s="17"/>
      <c r="OEG108" s="17"/>
      <c r="OEH108" s="17"/>
      <c r="OEI108" s="17"/>
      <c r="OEJ108" s="17"/>
      <c r="OEK108" s="17"/>
      <c r="OEL108" s="17"/>
      <c r="OEM108" s="17"/>
      <c r="OEN108" s="17"/>
      <c r="OEO108" s="17"/>
      <c r="OEP108" s="17"/>
      <c r="OEQ108" s="17"/>
      <c r="OER108" s="17"/>
      <c r="OES108" s="17"/>
      <c r="OET108" s="17"/>
      <c r="OEU108" s="17"/>
      <c r="OEV108" s="17"/>
      <c r="OEW108" s="17"/>
      <c r="OEX108" s="17"/>
      <c r="OEY108" s="17"/>
      <c r="OEZ108" s="17"/>
      <c r="OFA108" s="17"/>
      <c r="OFB108" s="17"/>
      <c r="OFC108" s="17"/>
      <c r="OFD108" s="17"/>
      <c r="OFE108" s="17"/>
      <c r="OFF108" s="17"/>
      <c r="OFG108" s="17"/>
      <c r="OFH108" s="17"/>
      <c r="OFI108" s="17"/>
      <c r="OFJ108" s="17"/>
      <c r="OFK108" s="17"/>
      <c r="OFL108" s="17"/>
      <c r="OFM108" s="17"/>
      <c r="OFN108" s="17"/>
      <c r="OFO108" s="17"/>
      <c r="OFP108" s="17"/>
      <c r="OFQ108" s="17"/>
      <c r="OFR108" s="17"/>
      <c r="OFS108" s="17"/>
      <c r="OFT108" s="17"/>
      <c r="OFU108" s="17"/>
      <c r="OFV108" s="17"/>
      <c r="OFW108" s="17"/>
      <c r="OFX108" s="17"/>
      <c r="OFY108" s="17"/>
      <c r="OFZ108" s="17"/>
      <c r="OGA108" s="17"/>
      <c r="OGB108" s="17"/>
      <c r="OGC108" s="17"/>
      <c r="OGD108" s="17"/>
      <c r="OGE108" s="17"/>
      <c r="OGF108" s="17"/>
      <c r="OGG108" s="17"/>
      <c r="OGH108" s="17"/>
      <c r="OGI108" s="17"/>
      <c r="OGJ108" s="17"/>
      <c r="OGK108" s="17"/>
      <c r="OGL108" s="17"/>
      <c r="OGM108" s="17"/>
      <c r="OGN108" s="17"/>
      <c r="OGO108" s="17"/>
      <c r="OGP108" s="17"/>
      <c r="OGQ108" s="17"/>
      <c r="OGR108" s="17"/>
      <c r="OGS108" s="17"/>
      <c r="OGT108" s="17"/>
      <c r="OGU108" s="17"/>
      <c r="OGV108" s="17"/>
      <c r="OGW108" s="17"/>
      <c r="OGX108" s="17"/>
      <c r="OGY108" s="17"/>
      <c r="OGZ108" s="17"/>
      <c r="OHA108" s="17"/>
      <c r="OHB108" s="17"/>
      <c r="OHC108" s="17"/>
      <c r="OHD108" s="17"/>
      <c r="OHE108" s="17"/>
      <c r="OHF108" s="17"/>
      <c r="OHG108" s="17"/>
      <c r="OHH108" s="17"/>
      <c r="OHI108" s="17"/>
      <c r="OHJ108" s="17"/>
      <c r="OHK108" s="17"/>
      <c r="OHL108" s="17"/>
      <c r="OHM108" s="17"/>
      <c r="OHN108" s="17"/>
      <c r="OHO108" s="17"/>
      <c r="OHP108" s="17"/>
      <c r="OHQ108" s="17"/>
      <c r="OHR108" s="17"/>
      <c r="OHS108" s="17"/>
      <c r="OHT108" s="17"/>
      <c r="OHU108" s="17"/>
      <c r="OHV108" s="17"/>
      <c r="OHW108" s="17"/>
      <c r="OHX108" s="17"/>
      <c r="OHY108" s="17"/>
      <c r="OHZ108" s="17"/>
      <c r="OIA108" s="17"/>
      <c r="OIB108" s="17"/>
      <c r="OIC108" s="17"/>
      <c r="OID108" s="17"/>
      <c r="OIE108" s="17"/>
      <c r="OIF108" s="17"/>
      <c r="OIG108" s="17"/>
      <c r="OIH108" s="17"/>
      <c r="OII108" s="17"/>
      <c r="OIJ108" s="17"/>
      <c r="OIK108" s="17"/>
      <c r="OIL108" s="17"/>
      <c r="OIM108" s="17"/>
      <c r="OIN108" s="17"/>
      <c r="OIO108" s="17"/>
      <c r="OIP108" s="17"/>
      <c r="OIQ108" s="17"/>
      <c r="OIR108" s="17"/>
      <c r="OIS108" s="17"/>
      <c r="OIT108" s="17"/>
      <c r="OIU108" s="17"/>
      <c r="OIV108" s="17"/>
      <c r="OIW108" s="17"/>
      <c r="OIX108" s="17"/>
      <c r="OIY108" s="17"/>
      <c r="OIZ108" s="17"/>
      <c r="OJA108" s="17"/>
      <c r="OJB108" s="17"/>
      <c r="OJC108" s="17"/>
      <c r="OJD108" s="17"/>
      <c r="OJE108" s="17"/>
      <c r="OJF108" s="17"/>
      <c r="OJG108" s="17"/>
      <c r="OJH108" s="17"/>
      <c r="OJI108" s="17"/>
      <c r="OJJ108" s="17"/>
      <c r="OJK108" s="17"/>
      <c r="OJL108" s="17"/>
      <c r="OJM108" s="17"/>
      <c r="OJN108" s="17"/>
      <c r="OJO108" s="17"/>
      <c r="OJP108" s="17"/>
      <c r="OJQ108" s="17"/>
      <c r="OJR108" s="17"/>
      <c r="OJS108" s="17"/>
      <c r="OJT108" s="17"/>
      <c r="OJU108" s="17"/>
      <c r="OJV108" s="17"/>
      <c r="OJW108" s="17"/>
      <c r="OJX108" s="17"/>
      <c r="OJY108" s="17"/>
      <c r="OJZ108" s="17"/>
      <c r="OKA108" s="17"/>
      <c r="OKB108" s="17"/>
      <c r="OKC108" s="17"/>
      <c r="OKD108" s="17"/>
      <c r="OKE108" s="17"/>
      <c r="OKF108" s="17"/>
      <c r="OKG108" s="17"/>
      <c r="OKH108" s="17"/>
      <c r="OKI108" s="17"/>
      <c r="OKJ108" s="17"/>
      <c r="OKK108" s="17"/>
      <c r="OKL108" s="17"/>
      <c r="OKM108" s="17"/>
      <c r="OKN108" s="17"/>
      <c r="OKO108" s="17"/>
      <c r="OKP108" s="17"/>
      <c r="OKQ108" s="17"/>
      <c r="OKR108" s="17"/>
      <c r="OKS108" s="17"/>
      <c r="OKT108" s="17"/>
      <c r="OKU108" s="17"/>
      <c r="OKV108" s="17"/>
      <c r="OKW108" s="17"/>
      <c r="OKX108" s="17"/>
      <c r="OKY108" s="17"/>
      <c r="OKZ108" s="17"/>
      <c r="OLA108" s="17"/>
      <c r="OLB108" s="17"/>
      <c r="OLC108" s="17"/>
      <c r="OLD108" s="17"/>
      <c r="OLE108" s="17"/>
      <c r="OLF108" s="17"/>
      <c r="OLG108" s="17"/>
      <c r="OLH108" s="17"/>
      <c r="OLI108" s="17"/>
      <c r="OLJ108" s="17"/>
      <c r="OLK108" s="17"/>
      <c r="OLL108" s="17"/>
      <c r="OLM108" s="17"/>
      <c r="OLN108" s="17"/>
      <c r="OLO108" s="17"/>
      <c r="OLP108" s="17"/>
      <c r="OLQ108" s="17"/>
      <c r="OLR108" s="17"/>
      <c r="OLS108" s="17"/>
      <c r="OLT108" s="17"/>
      <c r="OLU108" s="17"/>
      <c r="OLV108" s="17"/>
      <c r="OLW108" s="17"/>
      <c r="OLX108" s="17"/>
      <c r="OLY108" s="17"/>
      <c r="OLZ108" s="17"/>
      <c r="OMA108" s="17"/>
      <c r="OMB108" s="17"/>
      <c r="OMC108" s="17"/>
      <c r="OMD108" s="17"/>
      <c r="OME108" s="17"/>
      <c r="OMF108" s="17"/>
      <c r="OMG108" s="17"/>
      <c r="OMH108" s="17"/>
      <c r="OMI108" s="17"/>
      <c r="OMJ108" s="17"/>
      <c r="OMK108" s="17"/>
      <c r="OML108" s="17"/>
      <c r="OMM108" s="17"/>
      <c r="OMN108" s="17"/>
      <c r="OMO108" s="17"/>
      <c r="OMP108" s="17"/>
      <c r="OMQ108" s="17"/>
      <c r="OMR108" s="17"/>
      <c r="OMS108" s="17"/>
      <c r="OMT108" s="17"/>
      <c r="OMU108" s="17"/>
      <c r="OMV108" s="17"/>
      <c r="OMW108" s="17"/>
      <c r="OMX108" s="17"/>
      <c r="OMY108" s="17"/>
      <c r="OMZ108" s="17"/>
      <c r="ONA108" s="17"/>
      <c r="ONB108" s="17"/>
      <c r="ONC108" s="17"/>
      <c r="OND108" s="17"/>
      <c r="ONE108" s="17"/>
      <c r="ONF108" s="17"/>
      <c r="ONG108" s="17"/>
      <c r="ONH108" s="17"/>
      <c r="ONI108" s="17"/>
      <c r="ONJ108" s="17"/>
      <c r="ONK108" s="17"/>
      <c r="ONL108" s="17"/>
      <c r="ONM108" s="17"/>
      <c r="ONN108" s="17"/>
      <c r="ONO108" s="17"/>
      <c r="ONP108" s="17"/>
      <c r="ONQ108" s="17"/>
      <c r="ONR108" s="17"/>
      <c r="ONS108" s="17"/>
      <c r="ONT108" s="17"/>
      <c r="ONU108" s="17"/>
      <c r="ONV108" s="17"/>
      <c r="ONW108" s="17"/>
      <c r="ONX108" s="17"/>
      <c r="ONY108" s="17"/>
      <c r="ONZ108" s="17"/>
      <c r="OOA108" s="17"/>
      <c r="OOB108" s="17"/>
      <c r="OOC108" s="17"/>
      <c r="OOD108" s="17"/>
      <c r="OOE108" s="17"/>
      <c r="OOF108" s="17"/>
      <c r="OOG108" s="17"/>
      <c r="OOH108" s="17"/>
      <c r="OOI108" s="17"/>
      <c r="OOJ108" s="17"/>
      <c r="OOK108" s="17"/>
      <c r="OOL108" s="17"/>
      <c r="OOM108" s="17"/>
      <c r="OON108" s="17"/>
      <c r="OOO108" s="17"/>
      <c r="OOP108" s="17"/>
      <c r="OOQ108" s="17"/>
      <c r="OOR108" s="17"/>
      <c r="OOS108" s="17"/>
      <c r="OOT108" s="17"/>
      <c r="OOU108" s="17"/>
      <c r="OOV108" s="17"/>
      <c r="OOW108" s="17"/>
      <c r="OOX108" s="17"/>
      <c r="OOY108" s="17"/>
      <c r="OOZ108" s="17"/>
      <c r="OPA108" s="17"/>
      <c r="OPB108" s="17"/>
      <c r="OPC108" s="17"/>
      <c r="OPD108" s="17"/>
      <c r="OPE108" s="17"/>
      <c r="OPF108" s="17"/>
      <c r="OPG108" s="17"/>
      <c r="OPH108" s="17"/>
      <c r="OPI108" s="17"/>
      <c r="OPJ108" s="17"/>
      <c r="OPK108" s="17"/>
      <c r="OPL108" s="17"/>
      <c r="OPM108" s="17"/>
      <c r="OPN108" s="17"/>
      <c r="OPO108" s="17"/>
      <c r="OPP108" s="17"/>
      <c r="OPQ108" s="17"/>
      <c r="OPR108" s="17"/>
      <c r="OPS108" s="17"/>
      <c r="OPT108" s="17"/>
      <c r="OPU108" s="17"/>
      <c r="OPV108" s="17"/>
      <c r="OPW108" s="17"/>
      <c r="OPX108" s="17"/>
      <c r="OPY108" s="17"/>
      <c r="OPZ108" s="17"/>
      <c r="OQA108" s="17"/>
      <c r="OQB108" s="17"/>
      <c r="OQC108" s="17"/>
      <c r="OQD108" s="17"/>
      <c r="OQE108" s="17"/>
      <c r="OQF108" s="17"/>
      <c r="OQG108" s="17"/>
      <c r="OQH108" s="17"/>
      <c r="OQI108" s="17"/>
      <c r="OQJ108" s="17"/>
      <c r="OQK108" s="17"/>
      <c r="OQL108" s="17"/>
      <c r="OQM108" s="17"/>
      <c r="OQN108" s="17"/>
      <c r="OQO108" s="17"/>
      <c r="OQP108" s="17"/>
      <c r="OQQ108" s="17"/>
      <c r="OQR108" s="17"/>
      <c r="OQS108" s="17"/>
      <c r="OQT108" s="17"/>
      <c r="OQU108" s="17"/>
      <c r="OQV108" s="17"/>
      <c r="OQW108" s="17"/>
      <c r="OQX108" s="17"/>
      <c r="OQY108" s="17"/>
      <c r="OQZ108" s="17"/>
      <c r="ORA108" s="17"/>
      <c r="ORB108" s="17"/>
      <c r="ORC108" s="17"/>
      <c r="ORD108" s="17"/>
      <c r="ORE108" s="17"/>
      <c r="ORF108" s="17"/>
      <c r="ORG108" s="17"/>
      <c r="ORH108" s="17"/>
      <c r="ORI108" s="17"/>
      <c r="ORJ108" s="17"/>
      <c r="ORK108" s="17"/>
      <c r="ORL108" s="17"/>
      <c r="ORM108" s="17"/>
      <c r="ORN108" s="17"/>
      <c r="ORO108" s="17"/>
      <c r="ORP108" s="17"/>
      <c r="ORQ108" s="17"/>
      <c r="ORR108" s="17"/>
      <c r="ORS108" s="17"/>
      <c r="ORT108" s="17"/>
      <c r="ORU108" s="17"/>
      <c r="ORV108" s="17"/>
      <c r="ORW108" s="17"/>
      <c r="ORX108" s="17"/>
      <c r="ORY108" s="17"/>
      <c r="ORZ108" s="17"/>
      <c r="OSA108" s="17"/>
      <c r="OSB108" s="17"/>
      <c r="OSC108" s="17"/>
      <c r="OSD108" s="17"/>
      <c r="OSE108" s="17"/>
      <c r="OSF108" s="17"/>
      <c r="OSG108" s="17"/>
      <c r="OSH108" s="17"/>
      <c r="OSI108" s="17"/>
      <c r="OSJ108" s="17"/>
      <c r="OSK108" s="17"/>
      <c r="OSL108" s="17"/>
      <c r="OSM108" s="17"/>
      <c r="OSN108" s="17"/>
      <c r="OSO108" s="17"/>
      <c r="OSP108" s="17"/>
      <c r="OSQ108" s="17"/>
      <c r="OSR108" s="17"/>
      <c r="OSS108" s="17"/>
      <c r="OST108" s="17"/>
      <c r="OSU108" s="17"/>
      <c r="OSV108" s="17"/>
      <c r="OSW108" s="17"/>
      <c r="OSX108" s="17"/>
      <c r="OSY108" s="17"/>
      <c r="OSZ108" s="17"/>
      <c r="OTA108" s="17"/>
      <c r="OTB108" s="17"/>
      <c r="OTC108" s="17"/>
      <c r="OTD108" s="17"/>
      <c r="OTE108" s="17"/>
      <c r="OTF108" s="17"/>
      <c r="OTG108" s="17"/>
      <c r="OTH108" s="17"/>
      <c r="OTI108" s="17"/>
      <c r="OTJ108" s="17"/>
      <c r="OTK108" s="17"/>
      <c r="OTL108" s="17"/>
      <c r="OTM108" s="17"/>
      <c r="OTN108" s="17"/>
      <c r="OTO108" s="17"/>
      <c r="OTP108" s="17"/>
      <c r="OTQ108" s="17"/>
      <c r="OTR108" s="17"/>
      <c r="OTS108" s="17"/>
      <c r="OTT108" s="17"/>
      <c r="OTU108" s="17"/>
      <c r="OTV108" s="17"/>
      <c r="OTW108" s="17"/>
      <c r="OTX108" s="17"/>
      <c r="OTY108" s="17"/>
      <c r="OTZ108" s="17"/>
      <c r="OUA108" s="17"/>
      <c r="OUB108" s="17"/>
      <c r="OUC108" s="17"/>
      <c r="OUD108" s="17"/>
      <c r="OUE108" s="17"/>
      <c r="OUF108" s="17"/>
      <c r="OUG108" s="17"/>
      <c r="OUH108" s="17"/>
      <c r="OUI108" s="17"/>
      <c r="OUJ108" s="17"/>
      <c r="OUK108" s="17"/>
      <c r="OUL108" s="17"/>
      <c r="OUM108" s="17"/>
      <c r="OUN108" s="17"/>
      <c r="OUO108" s="17"/>
      <c r="OUP108" s="17"/>
      <c r="OUQ108" s="17"/>
      <c r="OUR108" s="17"/>
      <c r="OUS108" s="17"/>
      <c r="OUT108" s="17"/>
      <c r="OUU108" s="17"/>
      <c r="OUV108" s="17"/>
      <c r="OUW108" s="17"/>
      <c r="OUX108" s="17"/>
      <c r="OUY108" s="17"/>
      <c r="OUZ108" s="17"/>
      <c r="OVA108" s="17"/>
      <c r="OVB108" s="17"/>
      <c r="OVC108" s="17"/>
      <c r="OVD108" s="17"/>
      <c r="OVE108" s="17"/>
      <c r="OVF108" s="17"/>
      <c r="OVG108" s="17"/>
      <c r="OVH108" s="17"/>
      <c r="OVI108" s="17"/>
      <c r="OVJ108" s="17"/>
      <c r="OVK108" s="17"/>
      <c r="OVL108" s="17"/>
      <c r="OVM108" s="17"/>
      <c r="OVN108" s="17"/>
      <c r="OVO108" s="17"/>
      <c r="OVP108" s="17"/>
      <c r="OVQ108" s="17"/>
      <c r="OVR108" s="17"/>
      <c r="OVS108" s="17"/>
      <c r="OVT108" s="17"/>
      <c r="OVU108" s="17"/>
      <c r="OVV108" s="17"/>
      <c r="OVW108" s="17"/>
      <c r="OVX108" s="17"/>
      <c r="OVY108" s="17"/>
      <c r="OVZ108" s="17"/>
      <c r="OWA108" s="17"/>
      <c r="OWB108" s="17"/>
      <c r="OWC108" s="17"/>
      <c r="OWD108" s="17"/>
      <c r="OWE108" s="17"/>
      <c r="OWF108" s="17"/>
      <c r="OWG108" s="17"/>
      <c r="OWH108" s="17"/>
      <c r="OWI108" s="17"/>
      <c r="OWJ108" s="17"/>
      <c r="OWK108" s="17"/>
      <c r="OWL108" s="17"/>
      <c r="OWM108" s="17"/>
      <c r="OWN108" s="17"/>
      <c r="OWO108" s="17"/>
      <c r="OWP108" s="17"/>
      <c r="OWQ108" s="17"/>
      <c r="OWR108" s="17"/>
      <c r="OWS108" s="17"/>
      <c r="OWT108" s="17"/>
      <c r="OWU108" s="17"/>
      <c r="OWV108" s="17"/>
      <c r="OWW108" s="17"/>
      <c r="OWX108" s="17"/>
      <c r="OWY108" s="17"/>
      <c r="OWZ108" s="17"/>
      <c r="OXA108" s="17"/>
      <c r="OXB108" s="17"/>
      <c r="OXC108" s="17"/>
      <c r="OXD108" s="17"/>
      <c r="OXE108" s="17"/>
      <c r="OXF108" s="17"/>
      <c r="OXG108" s="17"/>
      <c r="OXH108" s="17"/>
      <c r="OXI108" s="17"/>
      <c r="OXJ108" s="17"/>
      <c r="OXK108" s="17"/>
      <c r="OXL108" s="17"/>
      <c r="OXM108" s="17"/>
      <c r="OXN108" s="17"/>
      <c r="OXO108" s="17"/>
      <c r="OXP108" s="17"/>
      <c r="OXQ108" s="17"/>
      <c r="OXR108" s="17"/>
      <c r="OXS108" s="17"/>
      <c r="OXT108" s="17"/>
      <c r="OXU108" s="17"/>
      <c r="OXV108" s="17"/>
      <c r="OXW108" s="17"/>
      <c r="OXX108" s="17"/>
      <c r="OXY108" s="17"/>
      <c r="OXZ108" s="17"/>
      <c r="OYA108" s="17"/>
      <c r="OYB108" s="17"/>
      <c r="OYC108" s="17"/>
      <c r="OYD108" s="17"/>
      <c r="OYE108" s="17"/>
      <c r="OYF108" s="17"/>
      <c r="OYG108" s="17"/>
      <c r="OYH108" s="17"/>
      <c r="OYI108" s="17"/>
      <c r="OYJ108" s="17"/>
      <c r="OYK108" s="17"/>
      <c r="OYL108" s="17"/>
      <c r="OYM108" s="17"/>
      <c r="OYN108" s="17"/>
      <c r="OYO108" s="17"/>
      <c r="OYP108" s="17"/>
      <c r="OYQ108" s="17"/>
      <c r="OYR108" s="17"/>
      <c r="OYS108" s="17"/>
      <c r="OYT108" s="17"/>
      <c r="OYU108" s="17"/>
      <c r="OYV108" s="17"/>
      <c r="OYW108" s="17"/>
      <c r="OYX108" s="17"/>
      <c r="OYY108" s="17"/>
      <c r="OYZ108" s="17"/>
      <c r="OZA108" s="17"/>
      <c r="OZB108" s="17"/>
      <c r="OZC108" s="17"/>
      <c r="OZD108" s="17"/>
      <c r="OZE108" s="17"/>
      <c r="OZF108" s="17"/>
      <c r="OZG108" s="17"/>
      <c r="OZH108" s="17"/>
      <c r="OZI108" s="17"/>
      <c r="OZJ108" s="17"/>
      <c r="OZK108" s="17"/>
      <c r="OZL108" s="17"/>
      <c r="OZM108" s="17"/>
      <c r="OZN108" s="17"/>
      <c r="OZO108" s="17"/>
      <c r="OZP108" s="17"/>
      <c r="OZQ108" s="17"/>
      <c r="OZR108" s="17"/>
      <c r="OZS108" s="17"/>
      <c r="OZT108" s="17"/>
      <c r="OZU108" s="17"/>
      <c r="OZV108" s="17"/>
      <c r="OZW108" s="17"/>
      <c r="OZX108" s="17"/>
      <c r="OZY108" s="17"/>
      <c r="OZZ108" s="17"/>
      <c r="PAA108" s="17"/>
      <c r="PAB108" s="17"/>
      <c r="PAC108" s="17"/>
      <c r="PAD108" s="17"/>
      <c r="PAE108" s="17"/>
      <c r="PAF108" s="17"/>
      <c r="PAG108" s="17"/>
      <c r="PAH108" s="17"/>
      <c r="PAI108" s="17"/>
      <c r="PAJ108" s="17"/>
      <c r="PAK108" s="17"/>
      <c r="PAL108" s="17"/>
      <c r="PAM108" s="17"/>
      <c r="PAN108" s="17"/>
      <c r="PAO108" s="17"/>
      <c r="PAP108" s="17"/>
      <c r="PAQ108" s="17"/>
      <c r="PAR108" s="17"/>
      <c r="PAS108" s="17"/>
      <c r="PAT108" s="17"/>
      <c r="PAU108" s="17"/>
      <c r="PAV108" s="17"/>
      <c r="PAW108" s="17"/>
      <c r="PAX108" s="17"/>
      <c r="PAY108" s="17"/>
      <c r="PAZ108" s="17"/>
      <c r="PBA108" s="17"/>
      <c r="PBB108" s="17"/>
      <c r="PBC108" s="17"/>
      <c r="PBD108" s="17"/>
      <c r="PBE108" s="17"/>
      <c r="PBF108" s="17"/>
      <c r="PBG108" s="17"/>
      <c r="PBH108" s="17"/>
      <c r="PBI108" s="17"/>
      <c r="PBJ108" s="17"/>
      <c r="PBK108" s="17"/>
      <c r="PBL108" s="17"/>
      <c r="PBM108" s="17"/>
      <c r="PBN108" s="17"/>
      <c r="PBO108" s="17"/>
      <c r="PBP108" s="17"/>
      <c r="PBQ108" s="17"/>
      <c r="PBR108" s="17"/>
      <c r="PBS108" s="17"/>
      <c r="PBT108" s="17"/>
      <c r="PBU108" s="17"/>
      <c r="PBV108" s="17"/>
      <c r="PBW108" s="17"/>
      <c r="PBX108" s="17"/>
      <c r="PBY108" s="17"/>
      <c r="PBZ108" s="17"/>
      <c r="PCA108" s="17"/>
      <c r="PCB108" s="17"/>
      <c r="PCC108" s="17"/>
      <c r="PCD108" s="17"/>
      <c r="PCE108" s="17"/>
      <c r="PCF108" s="17"/>
      <c r="PCG108" s="17"/>
      <c r="PCH108" s="17"/>
      <c r="PCI108" s="17"/>
      <c r="PCJ108" s="17"/>
      <c r="PCK108" s="17"/>
      <c r="PCL108" s="17"/>
      <c r="PCM108" s="17"/>
      <c r="PCN108" s="17"/>
      <c r="PCO108" s="17"/>
      <c r="PCP108" s="17"/>
      <c r="PCQ108" s="17"/>
      <c r="PCR108" s="17"/>
      <c r="PCS108" s="17"/>
      <c r="PCT108" s="17"/>
      <c r="PCU108" s="17"/>
      <c r="PCV108" s="17"/>
      <c r="PCW108" s="17"/>
      <c r="PCX108" s="17"/>
      <c r="PCY108" s="17"/>
      <c r="PCZ108" s="17"/>
      <c r="PDA108" s="17"/>
      <c r="PDB108" s="17"/>
      <c r="PDC108" s="17"/>
      <c r="PDD108" s="17"/>
      <c r="PDE108" s="17"/>
      <c r="PDF108" s="17"/>
      <c r="PDG108" s="17"/>
      <c r="PDH108" s="17"/>
      <c r="PDI108" s="17"/>
      <c r="PDJ108" s="17"/>
      <c r="PDK108" s="17"/>
      <c r="PDL108" s="17"/>
      <c r="PDM108" s="17"/>
      <c r="PDN108" s="17"/>
      <c r="PDO108" s="17"/>
      <c r="PDP108" s="17"/>
      <c r="PDQ108" s="17"/>
      <c r="PDR108" s="17"/>
      <c r="PDS108" s="17"/>
      <c r="PDT108" s="17"/>
      <c r="PDU108" s="17"/>
      <c r="PDV108" s="17"/>
      <c r="PDW108" s="17"/>
      <c r="PDX108" s="17"/>
      <c r="PDY108" s="17"/>
      <c r="PDZ108" s="17"/>
      <c r="PEA108" s="17"/>
      <c r="PEB108" s="17"/>
      <c r="PEC108" s="17"/>
      <c r="PED108" s="17"/>
      <c r="PEE108" s="17"/>
      <c r="PEF108" s="17"/>
      <c r="PEG108" s="17"/>
      <c r="PEH108" s="17"/>
      <c r="PEI108" s="17"/>
      <c r="PEJ108" s="17"/>
      <c r="PEK108" s="17"/>
      <c r="PEL108" s="17"/>
      <c r="PEM108" s="17"/>
      <c r="PEN108" s="17"/>
      <c r="PEO108" s="17"/>
      <c r="PEP108" s="17"/>
      <c r="PEQ108" s="17"/>
      <c r="PER108" s="17"/>
      <c r="PES108" s="17"/>
      <c r="PET108" s="17"/>
      <c r="PEU108" s="17"/>
      <c r="PEV108" s="17"/>
      <c r="PEW108" s="17"/>
      <c r="PEX108" s="17"/>
      <c r="PEY108" s="17"/>
      <c r="PEZ108" s="17"/>
      <c r="PFA108" s="17"/>
      <c r="PFB108" s="17"/>
      <c r="PFC108" s="17"/>
      <c r="PFD108" s="17"/>
      <c r="PFE108" s="17"/>
      <c r="PFF108" s="17"/>
      <c r="PFG108" s="17"/>
      <c r="PFH108" s="17"/>
      <c r="PFI108" s="17"/>
      <c r="PFJ108" s="17"/>
      <c r="PFK108" s="17"/>
      <c r="PFL108" s="17"/>
      <c r="PFM108" s="17"/>
      <c r="PFN108" s="17"/>
      <c r="PFO108" s="17"/>
      <c r="PFP108" s="17"/>
      <c r="PFQ108" s="17"/>
      <c r="PFR108" s="17"/>
      <c r="PFS108" s="17"/>
      <c r="PFT108" s="17"/>
      <c r="PFU108" s="17"/>
      <c r="PFV108" s="17"/>
      <c r="PFW108" s="17"/>
      <c r="PFX108" s="17"/>
      <c r="PFY108" s="17"/>
      <c r="PFZ108" s="17"/>
      <c r="PGA108" s="17"/>
      <c r="PGB108" s="17"/>
      <c r="PGC108" s="17"/>
      <c r="PGD108" s="17"/>
      <c r="PGE108" s="17"/>
      <c r="PGF108" s="17"/>
      <c r="PGG108" s="17"/>
      <c r="PGH108" s="17"/>
      <c r="PGI108" s="17"/>
      <c r="PGJ108" s="17"/>
      <c r="PGK108" s="17"/>
      <c r="PGL108" s="17"/>
      <c r="PGM108" s="17"/>
      <c r="PGN108" s="17"/>
      <c r="PGO108" s="17"/>
      <c r="PGP108" s="17"/>
      <c r="PGQ108" s="17"/>
      <c r="PGR108" s="17"/>
      <c r="PGS108" s="17"/>
      <c r="PGT108" s="17"/>
      <c r="PGU108" s="17"/>
      <c r="PGV108" s="17"/>
      <c r="PGW108" s="17"/>
      <c r="PGX108" s="17"/>
      <c r="PGY108" s="17"/>
      <c r="PGZ108" s="17"/>
      <c r="PHA108" s="17"/>
      <c r="PHB108" s="17"/>
      <c r="PHC108" s="17"/>
      <c r="PHD108" s="17"/>
      <c r="PHE108" s="17"/>
      <c r="PHF108" s="17"/>
      <c r="PHG108" s="17"/>
      <c r="PHH108" s="17"/>
      <c r="PHI108" s="17"/>
      <c r="PHJ108" s="17"/>
      <c r="PHK108" s="17"/>
      <c r="PHL108" s="17"/>
      <c r="PHM108" s="17"/>
      <c r="PHN108" s="17"/>
      <c r="PHO108" s="17"/>
      <c r="PHP108" s="17"/>
      <c r="PHQ108" s="17"/>
      <c r="PHR108" s="17"/>
      <c r="PHS108" s="17"/>
      <c r="PHT108" s="17"/>
      <c r="PHU108" s="17"/>
      <c r="PHV108" s="17"/>
      <c r="PHW108" s="17"/>
      <c r="PHX108" s="17"/>
      <c r="PHY108" s="17"/>
      <c r="PHZ108" s="17"/>
      <c r="PIA108" s="17"/>
      <c r="PIB108" s="17"/>
      <c r="PIC108" s="17"/>
      <c r="PID108" s="17"/>
      <c r="PIE108" s="17"/>
      <c r="PIF108" s="17"/>
      <c r="PIG108" s="17"/>
      <c r="PIH108" s="17"/>
      <c r="PII108" s="17"/>
      <c r="PIJ108" s="17"/>
      <c r="PIK108" s="17"/>
      <c r="PIL108" s="17"/>
      <c r="PIM108" s="17"/>
      <c r="PIN108" s="17"/>
      <c r="PIO108" s="17"/>
      <c r="PIP108" s="17"/>
      <c r="PIQ108" s="17"/>
      <c r="PIR108" s="17"/>
      <c r="PIS108" s="17"/>
      <c r="PIT108" s="17"/>
      <c r="PIU108" s="17"/>
      <c r="PIV108" s="17"/>
      <c r="PIW108" s="17"/>
      <c r="PIX108" s="17"/>
      <c r="PIY108" s="17"/>
      <c r="PIZ108" s="17"/>
      <c r="PJA108" s="17"/>
      <c r="PJB108" s="17"/>
      <c r="PJC108" s="17"/>
      <c r="PJD108" s="17"/>
      <c r="PJE108" s="17"/>
      <c r="PJF108" s="17"/>
      <c r="PJG108" s="17"/>
      <c r="PJH108" s="17"/>
      <c r="PJI108" s="17"/>
      <c r="PJJ108" s="17"/>
      <c r="PJK108" s="17"/>
      <c r="PJL108" s="17"/>
      <c r="PJM108" s="17"/>
      <c r="PJN108" s="17"/>
      <c r="PJO108" s="17"/>
      <c r="PJP108" s="17"/>
      <c r="PJQ108" s="17"/>
      <c r="PJR108" s="17"/>
      <c r="PJS108" s="17"/>
      <c r="PJT108" s="17"/>
      <c r="PJU108" s="17"/>
      <c r="PJV108" s="17"/>
      <c r="PJW108" s="17"/>
      <c r="PJX108" s="17"/>
      <c r="PJY108" s="17"/>
      <c r="PJZ108" s="17"/>
      <c r="PKA108" s="17"/>
      <c r="PKB108" s="17"/>
      <c r="PKC108" s="17"/>
      <c r="PKD108" s="17"/>
      <c r="PKE108" s="17"/>
      <c r="PKF108" s="17"/>
      <c r="PKG108" s="17"/>
      <c r="PKH108" s="17"/>
      <c r="PKI108" s="17"/>
      <c r="PKJ108" s="17"/>
      <c r="PKK108" s="17"/>
      <c r="PKL108" s="17"/>
      <c r="PKM108" s="17"/>
      <c r="PKN108" s="17"/>
      <c r="PKO108" s="17"/>
      <c r="PKP108" s="17"/>
      <c r="PKQ108" s="17"/>
      <c r="PKR108" s="17"/>
      <c r="PKS108" s="17"/>
      <c r="PKT108" s="17"/>
      <c r="PKU108" s="17"/>
      <c r="PKV108" s="17"/>
      <c r="PKW108" s="17"/>
      <c r="PKX108" s="17"/>
      <c r="PKY108" s="17"/>
      <c r="PKZ108" s="17"/>
      <c r="PLA108" s="17"/>
      <c r="PLB108" s="17"/>
      <c r="PLC108" s="17"/>
      <c r="PLD108" s="17"/>
      <c r="PLE108" s="17"/>
      <c r="PLF108" s="17"/>
      <c r="PLG108" s="17"/>
      <c r="PLH108" s="17"/>
      <c r="PLI108" s="17"/>
      <c r="PLJ108" s="17"/>
      <c r="PLK108" s="17"/>
      <c r="PLL108" s="17"/>
      <c r="PLM108" s="17"/>
      <c r="PLN108" s="17"/>
      <c r="PLO108" s="17"/>
      <c r="PLP108" s="17"/>
      <c r="PLQ108" s="17"/>
      <c r="PLR108" s="17"/>
      <c r="PLS108" s="17"/>
      <c r="PLT108" s="17"/>
      <c r="PLU108" s="17"/>
      <c r="PLV108" s="17"/>
      <c r="PLW108" s="17"/>
      <c r="PLX108" s="17"/>
      <c r="PLY108" s="17"/>
      <c r="PLZ108" s="17"/>
      <c r="PMA108" s="17"/>
      <c r="PMB108" s="17"/>
      <c r="PMC108" s="17"/>
      <c r="PMD108" s="17"/>
      <c r="PME108" s="17"/>
      <c r="PMF108" s="17"/>
      <c r="PMG108" s="17"/>
      <c r="PMH108" s="17"/>
      <c r="PMI108" s="17"/>
      <c r="PMJ108" s="17"/>
      <c r="PMK108" s="17"/>
      <c r="PML108" s="17"/>
      <c r="PMM108" s="17"/>
      <c r="PMN108" s="17"/>
      <c r="PMO108" s="17"/>
      <c r="PMP108" s="17"/>
      <c r="PMQ108" s="17"/>
      <c r="PMR108" s="17"/>
      <c r="PMS108" s="17"/>
      <c r="PMT108" s="17"/>
      <c r="PMU108" s="17"/>
      <c r="PMV108" s="17"/>
      <c r="PMW108" s="17"/>
      <c r="PMX108" s="17"/>
      <c r="PMY108" s="17"/>
      <c r="PMZ108" s="17"/>
      <c r="PNA108" s="17"/>
      <c r="PNB108" s="17"/>
      <c r="PNC108" s="17"/>
      <c r="PND108" s="17"/>
      <c r="PNE108" s="17"/>
      <c r="PNF108" s="17"/>
      <c r="PNG108" s="17"/>
      <c r="PNH108" s="17"/>
      <c r="PNI108" s="17"/>
      <c r="PNJ108" s="17"/>
      <c r="PNK108" s="17"/>
      <c r="PNL108" s="17"/>
      <c r="PNM108" s="17"/>
      <c r="PNN108" s="17"/>
      <c r="PNO108" s="17"/>
      <c r="PNP108" s="17"/>
      <c r="PNQ108" s="17"/>
      <c r="PNR108" s="17"/>
      <c r="PNS108" s="17"/>
      <c r="PNT108" s="17"/>
      <c r="PNU108" s="17"/>
      <c r="PNV108" s="17"/>
      <c r="PNW108" s="17"/>
      <c r="PNX108" s="17"/>
      <c r="PNY108" s="17"/>
      <c r="PNZ108" s="17"/>
      <c r="POA108" s="17"/>
      <c r="POB108" s="17"/>
      <c r="POC108" s="17"/>
      <c r="POD108" s="17"/>
      <c r="POE108" s="17"/>
      <c r="POF108" s="17"/>
      <c r="POG108" s="17"/>
      <c r="POH108" s="17"/>
      <c r="POI108" s="17"/>
      <c r="POJ108" s="17"/>
      <c r="POK108" s="17"/>
      <c r="POL108" s="17"/>
      <c r="POM108" s="17"/>
      <c r="PON108" s="17"/>
      <c r="POO108" s="17"/>
      <c r="POP108" s="17"/>
      <c r="POQ108" s="17"/>
      <c r="POR108" s="17"/>
      <c r="POS108" s="17"/>
      <c r="POT108" s="17"/>
      <c r="POU108" s="17"/>
      <c r="POV108" s="17"/>
      <c r="POW108" s="17"/>
      <c r="POX108" s="17"/>
      <c r="POY108" s="17"/>
      <c r="POZ108" s="17"/>
      <c r="PPA108" s="17"/>
      <c r="PPB108" s="17"/>
      <c r="PPC108" s="17"/>
      <c r="PPD108" s="17"/>
      <c r="PPE108" s="17"/>
      <c r="PPF108" s="17"/>
      <c r="PPG108" s="17"/>
      <c r="PPH108" s="17"/>
      <c r="PPI108" s="17"/>
      <c r="PPJ108" s="17"/>
      <c r="PPK108" s="17"/>
      <c r="PPL108" s="17"/>
      <c r="PPM108" s="17"/>
      <c r="PPN108" s="17"/>
      <c r="PPO108" s="17"/>
      <c r="PPP108" s="17"/>
      <c r="PPQ108" s="17"/>
      <c r="PPR108" s="17"/>
      <c r="PPS108" s="17"/>
      <c r="PPT108" s="17"/>
      <c r="PPU108" s="17"/>
      <c r="PPV108" s="17"/>
      <c r="PPW108" s="17"/>
      <c r="PPX108" s="17"/>
      <c r="PPY108" s="17"/>
      <c r="PPZ108" s="17"/>
      <c r="PQA108" s="17"/>
      <c r="PQB108" s="17"/>
      <c r="PQC108" s="17"/>
      <c r="PQD108" s="17"/>
      <c r="PQE108" s="17"/>
      <c r="PQF108" s="17"/>
      <c r="PQG108" s="17"/>
      <c r="PQH108" s="17"/>
      <c r="PQI108" s="17"/>
      <c r="PQJ108" s="17"/>
      <c r="PQK108" s="17"/>
      <c r="PQL108" s="17"/>
      <c r="PQM108" s="17"/>
      <c r="PQN108" s="17"/>
      <c r="PQO108" s="17"/>
      <c r="PQP108" s="17"/>
      <c r="PQQ108" s="17"/>
      <c r="PQR108" s="17"/>
      <c r="PQS108" s="17"/>
      <c r="PQT108" s="17"/>
      <c r="PQU108" s="17"/>
      <c r="PQV108" s="17"/>
      <c r="PQW108" s="17"/>
      <c r="PQX108" s="17"/>
      <c r="PQY108" s="17"/>
      <c r="PQZ108" s="17"/>
      <c r="PRA108" s="17"/>
      <c r="PRB108" s="17"/>
      <c r="PRC108" s="17"/>
      <c r="PRD108" s="17"/>
      <c r="PRE108" s="17"/>
      <c r="PRF108" s="17"/>
      <c r="PRG108" s="17"/>
      <c r="PRH108" s="17"/>
      <c r="PRI108" s="17"/>
      <c r="PRJ108" s="17"/>
      <c r="PRK108" s="17"/>
      <c r="PRL108" s="17"/>
      <c r="PRM108" s="17"/>
      <c r="PRN108" s="17"/>
      <c r="PRO108" s="17"/>
      <c r="PRP108" s="17"/>
      <c r="PRQ108" s="17"/>
      <c r="PRR108" s="17"/>
      <c r="PRS108" s="17"/>
      <c r="PRT108" s="17"/>
      <c r="PRU108" s="17"/>
      <c r="PRV108" s="17"/>
      <c r="PRW108" s="17"/>
      <c r="PRX108" s="17"/>
      <c r="PRY108" s="17"/>
      <c r="PRZ108" s="17"/>
      <c r="PSA108" s="17"/>
      <c r="PSB108" s="17"/>
      <c r="PSC108" s="17"/>
      <c r="PSD108" s="17"/>
      <c r="PSE108" s="17"/>
      <c r="PSF108" s="17"/>
      <c r="PSG108" s="17"/>
      <c r="PSH108" s="17"/>
      <c r="PSI108" s="17"/>
      <c r="PSJ108" s="17"/>
      <c r="PSK108" s="17"/>
      <c r="PSL108" s="17"/>
      <c r="PSM108" s="17"/>
      <c r="PSN108" s="17"/>
      <c r="PSO108" s="17"/>
      <c r="PSP108" s="17"/>
      <c r="PSQ108" s="17"/>
      <c r="PSR108" s="17"/>
      <c r="PSS108" s="17"/>
      <c r="PST108" s="17"/>
      <c r="PSU108" s="17"/>
      <c r="PSV108" s="17"/>
      <c r="PSW108" s="17"/>
      <c r="PSX108" s="17"/>
      <c r="PSY108" s="17"/>
      <c r="PSZ108" s="17"/>
      <c r="PTA108" s="17"/>
      <c r="PTB108" s="17"/>
      <c r="PTC108" s="17"/>
      <c r="PTD108" s="17"/>
      <c r="PTE108" s="17"/>
      <c r="PTF108" s="17"/>
      <c r="PTG108" s="17"/>
      <c r="PTH108" s="17"/>
      <c r="PTI108" s="17"/>
      <c r="PTJ108" s="17"/>
      <c r="PTK108" s="17"/>
      <c r="PTL108" s="17"/>
      <c r="PTM108" s="17"/>
      <c r="PTN108" s="17"/>
      <c r="PTO108" s="17"/>
      <c r="PTP108" s="17"/>
      <c r="PTQ108" s="17"/>
      <c r="PTR108" s="17"/>
      <c r="PTS108" s="17"/>
      <c r="PTT108" s="17"/>
      <c r="PTU108" s="17"/>
      <c r="PTV108" s="17"/>
      <c r="PTW108" s="17"/>
      <c r="PTX108" s="17"/>
      <c r="PTY108" s="17"/>
      <c r="PTZ108" s="17"/>
      <c r="PUA108" s="17"/>
      <c r="PUB108" s="17"/>
      <c r="PUC108" s="17"/>
      <c r="PUD108" s="17"/>
      <c r="PUE108" s="17"/>
      <c r="PUF108" s="17"/>
      <c r="PUG108" s="17"/>
      <c r="PUH108" s="17"/>
      <c r="PUI108" s="17"/>
      <c r="PUJ108" s="17"/>
      <c r="PUK108" s="17"/>
      <c r="PUL108" s="17"/>
      <c r="PUM108" s="17"/>
      <c r="PUN108" s="17"/>
      <c r="PUO108" s="17"/>
      <c r="PUP108" s="17"/>
      <c r="PUQ108" s="17"/>
      <c r="PUR108" s="17"/>
      <c r="PUS108" s="17"/>
      <c r="PUT108" s="17"/>
      <c r="PUU108" s="17"/>
      <c r="PUV108" s="17"/>
      <c r="PUW108" s="17"/>
      <c r="PUX108" s="17"/>
      <c r="PUY108" s="17"/>
      <c r="PUZ108" s="17"/>
      <c r="PVA108" s="17"/>
      <c r="PVB108" s="17"/>
      <c r="PVC108" s="17"/>
      <c r="PVD108" s="17"/>
      <c r="PVE108" s="17"/>
      <c r="PVF108" s="17"/>
      <c r="PVG108" s="17"/>
      <c r="PVH108" s="17"/>
      <c r="PVI108" s="17"/>
      <c r="PVJ108" s="17"/>
      <c r="PVK108" s="17"/>
      <c r="PVL108" s="17"/>
      <c r="PVM108" s="17"/>
      <c r="PVN108" s="17"/>
      <c r="PVO108" s="17"/>
      <c r="PVP108" s="17"/>
      <c r="PVQ108" s="17"/>
      <c r="PVR108" s="17"/>
      <c r="PVS108" s="17"/>
      <c r="PVT108" s="17"/>
      <c r="PVU108" s="17"/>
      <c r="PVV108" s="17"/>
      <c r="PVW108" s="17"/>
      <c r="PVX108" s="17"/>
      <c r="PVY108" s="17"/>
      <c r="PVZ108" s="17"/>
      <c r="PWA108" s="17"/>
      <c r="PWB108" s="17"/>
      <c r="PWC108" s="17"/>
      <c r="PWD108" s="17"/>
      <c r="PWE108" s="17"/>
      <c r="PWF108" s="17"/>
      <c r="PWG108" s="17"/>
      <c r="PWH108" s="17"/>
      <c r="PWI108" s="17"/>
      <c r="PWJ108" s="17"/>
      <c r="PWK108" s="17"/>
      <c r="PWL108" s="17"/>
      <c r="PWM108" s="17"/>
      <c r="PWN108" s="17"/>
      <c r="PWO108" s="17"/>
      <c r="PWP108" s="17"/>
      <c r="PWQ108" s="17"/>
      <c r="PWR108" s="17"/>
      <c r="PWS108" s="17"/>
      <c r="PWT108" s="17"/>
      <c r="PWU108" s="17"/>
      <c r="PWV108" s="17"/>
      <c r="PWW108" s="17"/>
      <c r="PWX108" s="17"/>
      <c r="PWY108" s="17"/>
      <c r="PWZ108" s="17"/>
      <c r="PXA108" s="17"/>
      <c r="PXB108" s="17"/>
      <c r="PXC108" s="17"/>
      <c r="PXD108" s="17"/>
      <c r="PXE108" s="17"/>
      <c r="PXF108" s="17"/>
      <c r="PXG108" s="17"/>
      <c r="PXH108" s="17"/>
      <c r="PXI108" s="17"/>
      <c r="PXJ108" s="17"/>
      <c r="PXK108" s="17"/>
      <c r="PXL108" s="17"/>
      <c r="PXM108" s="17"/>
      <c r="PXN108" s="17"/>
      <c r="PXO108" s="17"/>
      <c r="PXP108" s="17"/>
      <c r="PXQ108" s="17"/>
      <c r="PXR108" s="17"/>
      <c r="PXS108" s="17"/>
      <c r="PXT108" s="17"/>
      <c r="PXU108" s="17"/>
      <c r="PXV108" s="17"/>
      <c r="PXW108" s="17"/>
      <c r="PXX108" s="17"/>
      <c r="PXY108" s="17"/>
      <c r="PXZ108" s="17"/>
      <c r="PYA108" s="17"/>
      <c r="PYB108" s="17"/>
      <c r="PYC108" s="17"/>
      <c r="PYD108" s="17"/>
      <c r="PYE108" s="17"/>
      <c r="PYF108" s="17"/>
      <c r="PYG108" s="17"/>
      <c r="PYH108" s="17"/>
      <c r="PYI108" s="17"/>
      <c r="PYJ108" s="17"/>
      <c r="PYK108" s="17"/>
      <c r="PYL108" s="17"/>
      <c r="PYM108" s="17"/>
      <c r="PYN108" s="17"/>
      <c r="PYO108" s="17"/>
      <c r="PYP108" s="17"/>
      <c r="PYQ108" s="17"/>
      <c r="PYR108" s="17"/>
      <c r="PYS108" s="17"/>
      <c r="PYT108" s="17"/>
      <c r="PYU108" s="17"/>
      <c r="PYV108" s="17"/>
      <c r="PYW108" s="17"/>
      <c r="PYX108" s="17"/>
      <c r="PYY108" s="17"/>
      <c r="PYZ108" s="17"/>
      <c r="PZA108" s="17"/>
      <c r="PZB108" s="17"/>
      <c r="PZC108" s="17"/>
      <c r="PZD108" s="17"/>
      <c r="PZE108" s="17"/>
      <c r="PZF108" s="17"/>
      <c r="PZG108" s="17"/>
      <c r="PZH108" s="17"/>
      <c r="PZI108" s="17"/>
      <c r="PZJ108" s="17"/>
      <c r="PZK108" s="17"/>
      <c r="PZL108" s="17"/>
      <c r="PZM108" s="17"/>
      <c r="PZN108" s="17"/>
      <c r="PZO108" s="17"/>
      <c r="PZP108" s="17"/>
      <c r="PZQ108" s="17"/>
      <c r="PZR108" s="17"/>
      <c r="PZS108" s="17"/>
      <c r="PZT108" s="17"/>
      <c r="PZU108" s="17"/>
      <c r="PZV108" s="17"/>
      <c r="PZW108" s="17"/>
      <c r="PZX108" s="17"/>
      <c r="PZY108" s="17"/>
      <c r="PZZ108" s="17"/>
      <c r="QAA108" s="17"/>
      <c r="QAB108" s="17"/>
      <c r="QAC108" s="17"/>
      <c r="QAD108" s="17"/>
      <c r="QAE108" s="17"/>
      <c r="QAF108" s="17"/>
      <c r="QAG108" s="17"/>
      <c r="QAH108" s="17"/>
      <c r="QAI108" s="17"/>
      <c r="QAJ108" s="17"/>
      <c r="QAK108" s="17"/>
      <c r="QAL108" s="17"/>
      <c r="QAM108" s="17"/>
      <c r="QAN108" s="17"/>
      <c r="QAO108" s="17"/>
      <c r="QAP108" s="17"/>
      <c r="QAQ108" s="17"/>
      <c r="QAR108" s="17"/>
      <c r="QAS108" s="17"/>
      <c r="QAT108" s="17"/>
      <c r="QAU108" s="17"/>
      <c r="QAV108" s="17"/>
      <c r="QAW108" s="17"/>
      <c r="QAX108" s="17"/>
      <c r="QAY108" s="17"/>
      <c r="QAZ108" s="17"/>
      <c r="QBA108" s="17"/>
      <c r="QBB108" s="17"/>
      <c r="QBC108" s="17"/>
      <c r="QBD108" s="17"/>
      <c r="QBE108" s="17"/>
      <c r="QBF108" s="17"/>
      <c r="QBG108" s="17"/>
      <c r="QBH108" s="17"/>
      <c r="QBI108" s="17"/>
      <c r="QBJ108" s="17"/>
      <c r="QBK108" s="17"/>
      <c r="QBL108" s="17"/>
      <c r="QBM108" s="17"/>
      <c r="QBN108" s="17"/>
      <c r="QBO108" s="17"/>
      <c r="QBP108" s="17"/>
      <c r="QBQ108" s="17"/>
      <c r="QBR108" s="17"/>
      <c r="QBS108" s="17"/>
      <c r="QBT108" s="17"/>
      <c r="QBU108" s="17"/>
      <c r="QBV108" s="17"/>
      <c r="QBW108" s="17"/>
      <c r="QBX108" s="17"/>
      <c r="QBY108" s="17"/>
      <c r="QBZ108" s="17"/>
      <c r="QCA108" s="17"/>
      <c r="QCB108" s="17"/>
      <c r="QCC108" s="17"/>
      <c r="QCD108" s="17"/>
      <c r="QCE108" s="17"/>
      <c r="QCF108" s="17"/>
      <c r="QCG108" s="17"/>
      <c r="QCH108" s="17"/>
      <c r="QCI108" s="17"/>
      <c r="QCJ108" s="17"/>
      <c r="QCK108" s="17"/>
      <c r="QCL108" s="17"/>
      <c r="QCM108" s="17"/>
      <c r="QCN108" s="17"/>
      <c r="QCO108" s="17"/>
      <c r="QCP108" s="17"/>
      <c r="QCQ108" s="17"/>
      <c r="QCR108" s="17"/>
      <c r="QCS108" s="17"/>
      <c r="QCT108" s="17"/>
      <c r="QCU108" s="17"/>
      <c r="QCV108" s="17"/>
      <c r="QCW108" s="17"/>
      <c r="QCX108" s="17"/>
      <c r="QCY108" s="17"/>
      <c r="QCZ108" s="17"/>
      <c r="QDA108" s="17"/>
      <c r="QDB108" s="17"/>
      <c r="QDC108" s="17"/>
      <c r="QDD108" s="17"/>
      <c r="QDE108" s="17"/>
      <c r="QDF108" s="17"/>
      <c r="QDG108" s="17"/>
      <c r="QDH108" s="17"/>
      <c r="QDI108" s="17"/>
      <c r="QDJ108" s="17"/>
      <c r="QDK108" s="17"/>
      <c r="QDL108" s="17"/>
      <c r="QDM108" s="17"/>
      <c r="QDN108" s="17"/>
      <c r="QDO108" s="17"/>
      <c r="QDP108" s="17"/>
      <c r="QDQ108" s="17"/>
      <c r="QDR108" s="17"/>
      <c r="QDS108" s="17"/>
      <c r="QDT108" s="17"/>
      <c r="QDU108" s="17"/>
      <c r="QDV108" s="17"/>
      <c r="QDW108" s="17"/>
      <c r="QDX108" s="17"/>
      <c r="QDY108" s="17"/>
      <c r="QDZ108" s="17"/>
      <c r="QEA108" s="17"/>
      <c r="QEB108" s="17"/>
      <c r="QEC108" s="17"/>
      <c r="QED108" s="17"/>
      <c r="QEE108" s="17"/>
      <c r="QEF108" s="17"/>
      <c r="QEG108" s="17"/>
      <c r="QEH108" s="17"/>
      <c r="QEI108" s="17"/>
      <c r="QEJ108" s="17"/>
      <c r="QEK108" s="17"/>
      <c r="QEL108" s="17"/>
      <c r="QEM108" s="17"/>
      <c r="QEN108" s="17"/>
      <c r="QEO108" s="17"/>
      <c r="QEP108" s="17"/>
      <c r="QEQ108" s="17"/>
      <c r="QER108" s="17"/>
      <c r="QES108" s="17"/>
      <c r="QET108" s="17"/>
      <c r="QEU108" s="17"/>
      <c r="QEV108" s="17"/>
      <c r="QEW108" s="17"/>
      <c r="QEX108" s="17"/>
      <c r="QEY108" s="17"/>
      <c r="QEZ108" s="17"/>
      <c r="QFA108" s="17"/>
      <c r="QFB108" s="17"/>
      <c r="QFC108" s="17"/>
      <c r="QFD108" s="17"/>
      <c r="QFE108" s="17"/>
      <c r="QFF108" s="17"/>
      <c r="QFG108" s="17"/>
      <c r="QFH108" s="17"/>
      <c r="QFI108" s="17"/>
      <c r="QFJ108" s="17"/>
      <c r="QFK108" s="17"/>
      <c r="QFL108" s="17"/>
      <c r="QFM108" s="17"/>
      <c r="QFN108" s="17"/>
      <c r="QFO108" s="17"/>
      <c r="QFP108" s="17"/>
      <c r="QFQ108" s="17"/>
      <c r="QFR108" s="17"/>
      <c r="QFS108" s="17"/>
      <c r="QFT108" s="17"/>
      <c r="QFU108" s="17"/>
      <c r="QFV108" s="17"/>
      <c r="QFW108" s="17"/>
      <c r="QFX108" s="17"/>
      <c r="QFY108" s="17"/>
      <c r="QFZ108" s="17"/>
      <c r="QGA108" s="17"/>
      <c r="QGB108" s="17"/>
      <c r="QGC108" s="17"/>
      <c r="QGD108" s="17"/>
      <c r="QGE108" s="17"/>
      <c r="QGF108" s="17"/>
      <c r="QGG108" s="17"/>
      <c r="QGH108" s="17"/>
      <c r="QGI108" s="17"/>
      <c r="QGJ108" s="17"/>
      <c r="QGK108" s="17"/>
      <c r="QGL108" s="17"/>
      <c r="QGM108" s="17"/>
      <c r="QGN108" s="17"/>
      <c r="QGO108" s="17"/>
      <c r="QGP108" s="17"/>
      <c r="QGQ108" s="17"/>
      <c r="QGR108" s="17"/>
      <c r="QGS108" s="17"/>
      <c r="QGT108" s="17"/>
      <c r="QGU108" s="17"/>
      <c r="QGV108" s="17"/>
      <c r="QGW108" s="17"/>
      <c r="QGX108" s="17"/>
      <c r="QGY108" s="17"/>
      <c r="QGZ108" s="17"/>
      <c r="QHA108" s="17"/>
      <c r="QHB108" s="17"/>
      <c r="QHC108" s="17"/>
      <c r="QHD108" s="17"/>
      <c r="QHE108" s="17"/>
      <c r="QHF108" s="17"/>
      <c r="QHG108" s="17"/>
      <c r="QHH108" s="17"/>
      <c r="QHI108" s="17"/>
      <c r="QHJ108" s="17"/>
      <c r="QHK108" s="17"/>
      <c r="QHL108" s="17"/>
      <c r="QHM108" s="17"/>
      <c r="QHN108" s="17"/>
      <c r="QHO108" s="17"/>
      <c r="QHP108" s="17"/>
      <c r="QHQ108" s="17"/>
      <c r="QHR108" s="17"/>
      <c r="QHS108" s="17"/>
      <c r="QHT108" s="17"/>
      <c r="QHU108" s="17"/>
      <c r="QHV108" s="17"/>
      <c r="QHW108" s="17"/>
      <c r="QHX108" s="17"/>
      <c r="QHY108" s="17"/>
      <c r="QHZ108" s="17"/>
      <c r="QIA108" s="17"/>
      <c r="QIB108" s="17"/>
      <c r="QIC108" s="17"/>
      <c r="QID108" s="17"/>
      <c r="QIE108" s="17"/>
      <c r="QIF108" s="17"/>
      <c r="QIG108" s="17"/>
      <c r="QIH108" s="17"/>
      <c r="QII108" s="17"/>
      <c r="QIJ108" s="17"/>
      <c r="QIK108" s="17"/>
      <c r="QIL108" s="17"/>
      <c r="QIM108" s="17"/>
      <c r="QIN108" s="17"/>
      <c r="QIO108" s="17"/>
      <c r="QIP108" s="17"/>
      <c r="QIQ108" s="17"/>
      <c r="QIR108" s="17"/>
      <c r="QIS108" s="17"/>
      <c r="QIT108" s="17"/>
      <c r="QIU108" s="17"/>
      <c r="QIV108" s="17"/>
      <c r="QIW108" s="17"/>
      <c r="QIX108" s="17"/>
      <c r="QIY108" s="17"/>
      <c r="QIZ108" s="17"/>
      <c r="QJA108" s="17"/>
      <c r="QJB108" s="17"/>
      <c r="QJC108" s="17"/>
      <c r="QJD108" s="17"/>
      <c r="QJE108" s="17"/>
      <c r="QJF108" s="17"/>
      <c r="QJG108" s="17"/>
      <c r="QJH108" s="17"/>
      <c r="QJI108" s="17"/>
      <c r="QJJ108" s="17"/>
      <c r="QJK108" s="17"/>
      <c r="QJL108" s="17"/>
      <c r="QJM108" s="17"/>
      <c r="QJN108" s="17"/>
      <c r="QJO108" s="17"/>
      <c r="QJP108" s="17"/>
      <c r="QJQ108" s="17"/>
      <c r="QJR108" s="17"/>
      <c r="QJS108" s="17"/>
      <c r="QJT108" s="17"/>
      <c r="QJU108" s="17"/>
      <c r="QJV108" s="17"/>
      <c r="QJW108" s="17"/>
      <c r="QJX108" s="17"/>
      <c r="QJY108" s="17"/>
      <c r="QJZ108" s="17"/>
      <c r="QKA108" s="17"/>
      <c r="QKB108" s="17"/>
      <c r="QKC108" s="17"/>
      <c r="QKD108" s="17"/>
      <c r="QKE108" s="17"/>
      <c r="QKF108" s="17"/>
      <c r="QKG108" s="17"/>
      <c r="QKH108" s="17"/>
      <c r="QKI108" s="17"/>
      <c r="QKJ108" s="17"/>
      <c r="QKK108" s="17"/>
      <c r="QKL108" s="17"/>
      <c r="QKM108" s="17"/>
      <c r="QKN108" s="17"/>
      <c r="QKO108" s="17"/>
      <c r="QKP108" s="17"/>
      <c r="QKQ108" s="17"/>
      <c r="QKR108" s="17"/>
      <c r="QKS108" s="17"/>
      <c r="QKT108" s="17"/>
      <c r="QKU108" s="17"/>
      <c r="QKV108" s="17"/>
      <c r="QKW108" s="17"/>
      <c r="QKX108" s="17"/>
      <c r="QKY108" s="17"/>
      <c r="QKZ108" s="17"/>
      <c r="QLA108" s="17"/>
      <c r="QLB108" s="17"/>
      <c r="QLC108" s="17"/>
      <c r="QLD108" s="17"/>
      <c r="QLE108" s="17"/>
      <c r="QLF108" s="17"/>
      <c r="QLG108" s="17"/>
      <c r="QLH108" s="17"/>
      <c r="QLI108" s="17"/>
      <c r="QLJ108" s="17"/>
      <c r="QLK108" s="17"/>
      <c r="QLL108" s="17"/>
      <c r="QLM108" s="17"/>
      <c r="QLN108" s="17"/>
      <c r="QLO108" s="17"/>
      <c r="QLP108" s="17"/>
      <c r="QLQ108" s="17"/>
      <c r="QLR108" s="17"/>
      <c r="QLS108" s="17"/>
      <c r="QLT108" s="17"/>
      <c r="QLU108" s="17"/>
      <c r="QLV108" s="17"/>
      <c r="QLW108" s="17"/>
      <c r="QLX108" s="17"/>
      <c r="QLY108" s="17"/>
      <c r="QLZ108" s="17"/>
      <c r="QMA108" s="17"/>
      <c r="QMB108" s="17"/>
      <c r="QMC108" s="17"/>
      <c r="QMD108" s="17"/>
      <c r="QME108" s="17"/>
      <c r="QMF108" s="17"/>
      <c r="QMG108" s="17"/>
      <c r="QMH108" s="17"/>
      <c r="QMI108" s="17"/>
      <c r="QMJ108" s="17"/>
      <c r="QMK108" s="17"/>
      <c r="QML108" s="17"/>
      <c r="QMM108" s="17"/>
      <c r="QMN108" s="17"/>
      <c r="QMO108" s="17"/>
      <c r="QMP108" s="17"/>
      <c r="QMQ108" s="17"/>
      <c r="QMR108" s="17"/>
      <c r="QMS108" s="17"/>
      <c r="QMT108" s="17"/>
      <c r="QMU108" s="17"/>
      <c r="QMV108" s="17"/>
      <c r="QMW108" s="17"/>
      <c r="QMX108" s="17"/>
      <c r="QMY108" s="17"/>
      <c r="QMZ108" s="17"/>
      <c r="QNA108" s="17"/>
      <c r="QNB108" s="17"/>
      <c r="QNC108" s="17"/>
      <c r="QND108" s="17"/>
      <c r="QNE108" s="17"/>
      <c r="QNF108" s="17"/>
      <c r="QNG108" s="17"/>
      <c r="QNH108" s="17"/>
      <c r="QNI108" s="17"/>
      <c r="QNJ108" s="17"/>
      <c r="QNK108" s="17"/>
      <c r="QNL108" s="17"/>
      <c r="QNM108" s="17"/>
      <c r="QNN108" s="17"/>
      <c r="QNO108" s="17"/>
      <c r="QNP108" s="17"/>
      <c r="QNQ108" s="17"/>
      <c r="QNR108" s="17"/>
      <c r="QNS108" s="17"/>
      <c r="QNT108" s="17"/>
      <c r="QNU108" s="17"/>
      <c r="QNV108" s="17"/>
      <c r="QNW108" s="17"/>
      <c r="QNX108" s="17"/>
      <c r="QNY108" s="17"/>
      <c r="QNZ108" s="17"/>
      <c r="QOA108" s="17"/>
      <c r="QOB108" s="17"/>
      <c r="QOC108" s="17"/>
      <c r="QOD108" s="17"/>
      <c r="QOE108" s="17"/>
      <c r="QOF108" s="17"/>
      <c r="QOG108" s="17"/>
      <c r="QOH108" s="17"/>
      <c r="QOI108" s="17"/>
      <c r="QOJ108" s="17"/>
      <c r="QOK108" s="17"/>
      <c r="QOL108" s="17"/>
      <c r="QOM108" s="17"/>
      <c r="QON108" s="17"/>
      <c r="QOO108" s="17"/>
      <c r="QOP108" s="17"/>
      <c r="QOQ108" s="17"/>
      <c r="QOR108" s="17"/>
      <c r="QOS108" s="17"/>
      <c r="QOT108" s="17"/>
      <c r="QOU108" s="17"/>
      <c r="QOV108" s="17"/>
      <c r="QOW108" s="17"/>
      <c r="QOX108" s="17"/>
      <c r="QOY108" s="17"/>
      <c r="QOZ108" s="17"/>
      <c r="QPA108" s="17"/>
      <c r="QPB108" s="17"/>
      <c r="QPC108" s="17"/>
      <c r="QPD108" s="17"/>
      <c r="QPE108" s="17"/>
      <c r="QPF108" s="17"/>
      <c r="QPG108" s="17"/>
      <c r="QPH108" s="17"/>
      <c r="QPI108" s="17"/>
      <c r="QPJ108" s="17"/>
      <c r="QPK108" s="17"/>
      <c r="QPL108" s="17"/>
      <c r="QPM108" s="17"/>
      <c r="QPN108" s="17"/>
      <c r="QPO108" s="17"/>
      <c r="QPP108" s="17"/>
      <c r="QPQ108" s="17"/>
      <c r="QPR108" s="17"/>
      <c r="QPS108" s="17"/>
      <c r="QPT108" s="17"/>
      <c r="QPU108" s="17"/>
      <c r="QPV108" s="17"/>
      <c r="QPW108" s="17"/>
      <c r="QPX108" s="17"/>
      <c r="QPY108" s="17"/>
      <c r="QPZ108" s="17"/>
      <c r="QQA108" s="17"/>
      <c r="QQB108" s="17"/>
      <c r="QQC108" s="17"/>
      <c r="QQD108" s="17"/>
      <c r="QQE108" s="17"/>
      <c r="QQF108" s="17"/>
      <c r="QQG108" s="17"/>
      <c r="QQH108" s="17"/>
      <c r="QQI108" s="17"/>
      <c r="QQJ108" s="17"/>
      <c r="QQK108" s="17"/>
      <c r="QQL108" s="17"/>
      <c r="QQM108" s="17"/>
      <c r="QQN108" s="17"/>
      <c r="QQO108" s="17"/>
      <c r="QQP108" s="17"/>
      <c r="QQQ108" s="17"/>
      <c r="QQR108" s="17"/>
      <c r="QQS108" s="17"/>
      <c r="QQT108" s="17"/>
      <c r="QQU108" s="17"/>
      <c r="QQV108" s="17"/>
      <c r="QQW108" s="17"/>
      <c r="QQX108" s="17"/>
      <c r="QQY108" s="17"/>
      <c r="QQZ108" s="17"/>
      <c r="QRA108" s="17"/>
      <c r="QRB108" s="17"/>
      <c r="QRC108" s="17"/>
      <c r="QRD108" s="17"/>
      <c r="QRE108" s="17"/>
      <c r="QRF108" s="17"/>
      <c r="QRG108" s="17"/>
      <c r="QRH108" s="17"/>
      <c r="QRI108" s="17"/>
      <c r="QRJ108" s="17"/>
      <c r="QRK108" s="17"/>
      <c r="QRL108" s="17"/>
      <c r="QRM108" s="17"/>
      <c r="QRN108" s="17"/>
      <c r="QRO108" s="17"/>
      <c r="QRP108" s="17"/>
      <c r="QRQ108" s="17"/>
      <c r="QRR108" s="17"/>
      <c r="QRS108" s="17"/>
      <c r="QRT108" s="17"/>
      <c r="QRU108" s="17"/>
      <c r="QRV108" s="17"/>
      <c r="QRW108" s="17"/>
      <c r="QRX108" s="17"/>
      <c r="QRY108" s="17"/>
      <c r="QRZ108" s="17"/>
      <c r="QSA108" s="17"/>
      <c r="QSB108" s="17"/>
      <c r="QSC108" s="17"/>
      <c r="QSD108" s="17"/>
      <c r="QSE108" s="17"/>
      <c r="QSF108" s="17"/>
      <c r="QSG108" s="17"/>
      <c r="QSH108" s="17"/>
      <c r="QSI108" s="17"/>
      <c r="QSJ108" s="17"/>
      <c r="QSK108" s="17"/>
      <c r="QSL108" s="17"/>
      <c r="QSM108" s="17"/>
      <c r="QSN108" s="17"/>
      <c r="QSO108" s="17"/>
      <c r="QSP108" s="17"/>
      <c r="QSQ108" s="17"/>
      <c r="QSR108" s="17"/>
      <c r="QSS108" s="17"/>
      <c r="QST108" s="17"/>
      <c r="QSU108" s="17"/>
      <c r="QSV108" s="17"/>
      <c r="QSW108" s="17"/>
      <c r="QSX108" s="17"/>
      <c r="QSY108" s="17"/>
      <c r="QSZ108" s="17"/>
      <c r="QTA108" s="17"/>
      <c r="QTB108" s="17"/>
      <c r="QTC108" s="17"/>
      <c r="QTD108" s="17"/>
      <c r="QTE108" s="17"/>
      <c r="QTF108" s="17"/>
      <c r="QTG108" s="17"/>
      <c r="QTH108" s="17"/>
      <c r="QTI108" s="17"/>
      <c r="QTJ108" s="17"/>
      <c r="QTK108" s="17"/>
      <c r="QTL108" s="17"/>
      <c r="QTM108" s="17"/>
      <c r="QTN108" s="17"/>
      <c r="QTO108" s="17"/>
      <c r="QTP108" s="17"/>
      <c r="QTQ108" s="17"/>
      <c r="QTR108" s="17"/>
      <c r="QTS108" s="17"/>
      <c r="QTT108" s="17"/>
      <c r="QTU108" s="17"/>
      <c r="QTV108" s="17"/>
      <c r="QTW108" s="17"/>
      <c r="QTX108" s="17"/>
      <c r="QTY108" s="17"/>
      <c r="QTZ108" s="17"/>
      <c r="QUA108" s="17"/>
      <c r="QUB108" s="17"/>
      <c r="QUC108" s="17"/>
      <c r="QUD108" s="17"/>
      <c r="QUE108" s="17"/>
      <c r="QUF108" s="17"/>
      <c r="QUG108" s="17"/>
      <c r="QUH108" s="17"/>
      <c r="QUI108" s="17"/>
      <c r="QUJ108" s="17"/>
      <c r="QUK108" s="17"/>
      <c r="QUL108" s="17"/>
      <c r="QUM108" s="17"/>
      <c r="QUN108" s="17"/>
      <c r="QUO108" s="17"/>
      <c r="QUP108" s="17"/>
      <c r="QUQ108" s="17"/>
      <c r="QUR108" s="17"/>
      <c r="QUS108" s="17"/>
      <c r="QUT108" s="17"/>
      <c r="QUU108" s="17"/>
      <c r="QUV108" s="17"/>
      <c r="QUW108" s="17"/>
      <c r="QUX108" s="17"/>
      <c r="QUY108" s="17"/>
      <c r="QUZ108" s="17"/>
      <c r="QVA108" s="17"/>
      <c r="QVB108" s="17"/>
      <c r="QVC108" s="17"/>
      <c r="QVD108" s="17"/>
      <c r="QVE108" s="17"/>
      <c r="QVF108" s="17"/>
      <c r="QVG108" s="17"/>
      <c r="QVH108" s="17"/>
      <c r="QVI108" s="17"/>
      <c r="QVJ108" s="17"/>
      <c r="QVK108" s="17"/>
      <c r="QVL108" s="17"/>
      <c r="QVM108" s="17"/>
      <c r="QVN108" s="17"/>
      <c r="QVO108" s="17"/>
      <c r="QVP108" s="17"/>
      <c r="QVQ108" s="17"/>
      <c r="QVR108" s="17"/>
      <c r="QVS108" s="17"/>
      <c r="QVT108" s="17"/>
      <c r="QVU108" s="17"/>
      <c r="QVV108" s="17"/>
      <c r="QVW108" s="17"/>
      <c r="QVX108" s="17"/>
      <c r="QVY108" s="17"/>
      <c r="QVZ108" s="17"/>
      <c r="QWA108" s="17"/>
      <c r="QWB108" s="17"/>
      <c r="QWC108" s="17"/>
      <c r="QWD108" s="17"/>
      <c r="QWE108" s="17"/>
      <c r="QWF108" s="17"/>
      <c r="QWG108" s="17"/>
      <c r="QWH108" s="17"/>
      <c r="QWI108" s="17"/>
      <c r="QWJ108" s="17"/>
      <c r="QWK108" s="17"/>
      <c r="QWL108" s="17"/>
      <c r="QWM108" s="17"/>
      <c r="QWN108" s="17"/>
      <c r="QWO108" s="17"/>
      <c r="QWP108" s="17"/>
      <c r="QWQ108" s="17"/>
      <c r="QWR108" s="17"/>
      <c r="QWS108" s="17"/>
      <c r="QWT108" s="17"/>
      <c r="QWU108" s="17"/>
      <c r="QWV108" s="17"/>
      <c r="QWW108" s="17"/>
      <c r="QWX108" s="17"/>
      <c r="QWY108" s="17"/>
      <c r="QWZ108" s="17"/>
      <c r="QXA108" s="17"/>
      <c r="QXB108" s="17"/>
      <c r="QXC108" s="17"/>
      <c r="QXD108" s="17"/>
      <c r="QXE108" s="17"/>
      <c r="QXF108" s="17"/>
      <c r="QXG108" s="17"/>
      <c r="QXH108" s="17"/>
      <c r="QXI108" s="17"/>
      <c r="QXJ108" s="17"/>
      <c r="QXK108" s="17"/>
      <c r="QXL108" s="17"/>
      <c r="QXM108" s="17"/>
      <c r="QXN108" s="17"/>
      <c r="QXO108" s="17"/>
      <c r="QXP108" s="17"/>
      <c r="QXQ108" s="17"/>
      <c r="QXR108" s="17"/>
      <c r="QXS108" s="17"/>
      <c r="QXT108" s="17"/>
      <c r="QXU108" s="17"/>
      <c r="QXV108" s="17"/>
      <c r="QXW108" s="17"/>
      <c r="QXX108" s="17"/>
      <c r="QXY108" s="17"/>
      <c r="QXZ108" s="17"/>
      <c r="QYA108" s="17"/>
      <c r="QYB108" s="17"/>
      <c r="QYC108" s="17"/>
      <c r="QYD108" s="17"/>
      <c r="QYE108" s="17"/>
      <c r="QYF108" s="17"/>
      <c r="QYG108" s="17"/>
      <c r="QYH108" s="17"/>
      <c r="QYI108" s="17"/>
      <c r="QYJ108" s="17"/>
      <c r="QYK108" s="17"/>
      <c r="QYL108" s="17"/>
      <c r="QYM108" s="17"/>
      <c r="QYN108" s="17"/>
      <c r="QYO108" s="17"/>
      <c r="QYP108" s="17"/>
      <c r="QYQ108" s="17"/>
      <c r="QYR108" s="17"/>
      <c r="QYS108" s="17"/>
      <c r="QYT108" s="17"/>
      <c r="QYU108" s="17"/>
      <c r="QYV108" s="17"/>
      <c r="QYW108" s="17"/>
      <c r="QYX108" s="17"/>
      <c r="QYY108" s="17"/>
      <c r="QYZ108" s="17"/>
      <c r="QZA108" s="17"/>
      <c r="QZB108" s="17"/>
      <c r="QZC108" s="17"/>
      <c r="QZD108" s="17"/>
      <c r="QZE108" s="17"/>
      <c r="QZF108" s="17"/>
      <c r="QZG108" s="17"/>
      <c r="QZH108" s="17"/>
      <c r="QZI108" s="17"/>
      <c r="QZJ108" s="17"/>
      <c r="QZK108" s="17"/>
      <c r="QZL108" s="17"/>
      <c r="QZM108" s="17"/>
      <c r="QZN108" s="17"/>
      <c r="QZO108" s="17"/>
      <c r="QZP108" s="17"/>
      <c r="QZQ108" s="17"/>
      <c r="QZR108" s="17"/>
      <c r="QZS108" s="17"/>
      <c r="QZT108" s="17"/>
      <c r="QZU108" s="17"/>
      <c r="QZV108" s="17"/>
      <c r="QZW108" s="17"/>
      <c r="QZX108" s="17"/>
      <c r="QZY108" s="17"/>
      <c r="QZZ108" s="17"/>
      <c r="RAA108" s="17"/>
      <c r="RAB108" s="17"/>
      <c r="RAC108" s="17"/>
      <c r="RAD108" s="17"/>
      <c r="RAE108" s="17"/>
      <c r="RAF108" s="17"/>
      <c r="RAG108" s="17"/>
      <c r="RAH108" s="17"/>
      <c r="RAI108" s="17"/>
      <c r="RAJ108" s="17"/>
      <c r="RAK108" s="17"/>
      <c r="RAL108" s="17"/>
      <c r="RAM108" s="17"/>
      <c r="RAN108" s="17"/>
      <c r="RAO108" s="17"/>
      <c r="RAP108" s="17"/>
      <c r="RAQ108" s="17"/>
      <c r="RAR108" s="17"/>
      <c r="RAS108" s="17"/>
      <c r="RAT108" s="17"/>
      <c r="RAU108" s="17"/>
      <c r="RAV108" s="17"/>
      <c r="RAW108" s="17"/>
      <c r="RAX108" s="17"/>
      <c r="RAY108" s="17"/>
      <c r="RAZ108" s="17"/>
      <c r="RBA108" s="17"/>
      <c r="RBB108" s="17"/>
      <c r="RBC108" s="17"/>
      <c r="RBD108" s="17"/>
      <c r="RBE108" s="17"/>
      <c r="RBF108" s="17"/>
      <c r="RBG108" s="17"/>
      <c r="RBH108" s="17"/>
      <c r="RBI108" s="17"/>
      <c r="RBJ108" s="17"/>
      <c r="RBK108" s="17"/>
      <c r="RBL108" s="17"/>
      <c r="RBM108" s="17"/>
      <c r="RBN108" s="17"/>
      <c r="RBO108" s="17"/>
      <c r="RBP108" s="17"/>
      <c r="RBQ108" s="17"/>
      <c r="RBR108" s="17"/>
      <c r="RBS108" s="17"/>
      <c r="RBT108" s="17"/>
      <c r="RBU108" s="17"/>
      <c r="RBV108" s="17"/>
      <c r="RBW108" s="17"/>
      <c r="RBX108" s="17"/>
      <c r="RBY108" s="17"/>
      <c r="RBZ108" s="17"/>
      <c r="RCA108" s="17"/>
      <c r="RCB108" s="17"/>
      <c r="RCC108" s="17"/>
      <c r="RCD108" s="17"/>
      <c r="RCE108" s="17"/>
      <c r="RCF108" s="17"/>
      <c r="RCG108" s="17"/>
      <c r="RCH108" s="17"/>
      <c r="RCI108" s="17"/>
      <c r="RCJ108" s="17"/>
      <c r="RCK108" s="17"/>
      <c r="RCL108" s="17"/>
      <c r="RCM108" s="17"/>
      <c r="RCN108" s="17"/>
      <c r="RCO108" s="17"/>
      <c r="RCP108" s="17"/>
      <c r="RCQ108" s="17"/>
      <c r="RCR108" s="17"/>
      <c r="RCS108" s="17"/>
      <c r="RCT108" s="17"/>
      <c r="RCU108" s="17"/>
      <c r="RCV108" s="17"/>
      <c r="RCW108" s="17"/>
      <c r="RCX108" s="17"/>
      <c r="RCY108" s="17"/>
      <c r="RCZ108" s="17"/>
      <c r="RDA108" s="17"/>
      <c r="RDB108" s="17"/>
      <c r="RDC108" s="17"/>
      <c r="RDD108" s="17"/>
      <c r="RDE108" s="17"/>
      <c r="RDF108" s="17"/>
      <c r="RDG108" s="17"/>
      <c r="RDH108" s="17"/>
      <c r="RDI108" s="17"/>
      <c r="RDJ108" s="17"/>
      <c r="RDK108" s="17"/>
      <c r="RDL108" s="17"/>
      <c r="RDM108" s="17"/>
      <c r="RDN108" s="17"/>
      <c r="RDO108" s="17"/>
      <c r="RDP108" s="17"/>
      <c r="RDQ108" s="17"/>
      <c r="RDR108" s="17"/>
      <c r="RDS108" s="17"/>
      <c r="RDT108" s="17"/>
      <c r="RDU108" s="17"/>
      <c r="RDV108" s="17"/>
      <c r="RDW108" s="17"/>
      <c r="RDX108" s="17"/>
      <c r="RDY108" s="17"/>
      <c r="RDZ108" s="17"/>
      <c r="REA108" s="17"/>
      <c r="REB108" s="17"/>
      <c r="REC108" s="17"/>
      <c r="RED108" s="17"/>
      <c r="REE108" s="17"/>
      <c r="REF108" s="17"/>
      <c r="REG108" s="17"/>
      <c r="REH108" s="17"/>
      <c r="REI108" s="17"/>
      <c r="REJ108" s="17"/>
      <c r="REK108" s="17"/>
      <c r="REL108" s="17"/>
      <c r="REM108" s="17"/>
      <c r="REN108" s="17"/>
      <c r="REO108" s="17"/>
      <c r="REP108" s="17"/>
      <c r="REQ108" s="17"/>
      <c r="RER108" s="17"/>
      <c r="RES108" s="17"/>
      <c r="RET108" s="17"/>
      <c r="REU108" s="17"/>
      <c r="REV108" s="17"/>
      <c r="REW108" s="17"/>
      <c r="REX108" s="17"/>
      <c r="REY108" s="17"/>
      <c r="REZ108" s="17"/>
      <c r="RFA108" s="17"/>
      <c r="RFB108" s="17"/>
      <c r="RFC108" s="17"/>
      <c r="RFD108" s="17"/>
      <c r="RFE108" s="17"/>
      <c r="RFF108" s="17"/>
      <c r="RFG108" s="17"/>
      <c r="RFH108" s="17"/>
      <c r="RFI108" s="17"/>
      <c r="RFJ108" s="17"/>
      <c r="RFK108" s="17"/>
      <c r="RFL108" s="17"/>
      <c r="RFM108" s="17"/>
      <c r="RFN108" s="17"/>
      <c r="RFO108" s="17"/>
      <c r="RFP108" s="17"/>
      <c r="RFQ108" s="17"/>
      <c r="RFR108" s="17"/>
      <c r="RFS108" s="17"/>
      <c r="RFT108" s="17"/>
      <c r="RFU108" s="17"/>
      <c r="RFV108" s="17"/>
      <c r="RFW108" s="17"/>
      <c r="RFX108" s="17"/>
      <c r="RFY108" s="17"/>
      <c r="RFZ108" s="17"/>
      <c r="RGA108" s="17"/>
      <c r="RGB108" s="17"/>
      <c r="RGC108" s="17"/>
      <c r="RGD108" s="17"/>
      <c r="RGE108" s="17"/>
      <c r="RGF108" s="17"/>
      <c r="RGG108" s="17"/>
      <c r="RGH108" s="17"/>
      <c r="RGI108" s="17"/>
      <c r="RGJ108" s="17"/>
      <c r="RGK108" s="17"/>
      <c r="RGL108" s="17"/>
      <c r="RGM108" s="17"/>
      <c r="RGN108" s="17"/>
      <c r="RGO108" s="17"/>
      <c r="RGP108" s="17"/>
      <c r="RGQ108" s="17"/>
      <c r="RGR108" s="17"/>
      <c r="RGS108" s="17"/>
      <c r="RGT108" s="17"/>
      <c r="RGU108" s="17"/>
      <c r="RGV108" s="17"/>
      <c r="RGW108" s="17"/>
      <c r="RGX108" s="17"/>
      <c r="RGY108" s="17"/>
      <c r="RGZ108" s="17"/>
      <c r="RHA108" s="17"/>
      <c r="RHB108" s="17"/>
      <c r="RHC108" s="17"/>
      <c r="RHD108" s="17"/>
      <c r="RHE108" s="17"/>
      <c r="RHF108" s="17"/>
      <c r="RHG108" s="17"/>
      <c r="RHH108" s="17"/>
      <c r="RHI108" s="17"/>
      <c r="RHJ108" s="17"/>
      <c r="RHK108" s="17"/>
      <c r="RHL108" s="17"/>
      <c r="RHM108" s="17"/>
      <c r="RHN108" s="17"/>
      <c r="RHO108" s="17"/>
      <c r="RHP108" s="17"/>
      <c r="RHQ108" s="17"/>
      <c r="RHR108" s="17"/>
      <c r="RHS108" s="17"/>
      <c r="RHT108" s="17"/>
      <c r="RHU108" s="17"/>
      <c r="RHV108" s="17"/>
      <c r="RHW108" s="17"/>
      <c r="RHX108" s="17"/>
      <c r="RHY108" s="17"/>
      <c r="RHZ108" s="17"/>
      <c r="RIA108" s="17"/>
      <c r="RIB108" s="17"/>
      <c r="RIC108" s="17"/>
      <c r="RID108" s="17"/>
      <c r="RIE108" s="17"/>
      <c r="RIF108" s="17"/>
      <c r="RIG108" s="17"/>
      <c r="RIH108" s="17"/>
      <c r="RII108" s="17"/>
      <c r="RIJ108" s="17"/>
      <c r="RIK108" s="17"/>
      <c r="RIL108" s="17"/>
      <c r="RIM108" s="17"/>
      <c r="RIN108" s="17"/>
      <c r="RIO108" s="17"/>
      <c r="RIP108" s="17"/>
      <c r="RIQ108" s="17"/>
      <c r="RIR108" s="17"/>
      <c r="RIS108" s="17"/>
      <c r="RIT108" s="17"/>
      <c r="RIU108" s="17"/>
      <c r="RIV108" s="17"/>
      <c r="RIW108" s="17"/>
      <c r="RIX108" s="17"/>
      <c r="RIY108" s="17"/>
      <c r="RIZ108" s="17"/>
      <c r="RJA108" s="17"/>
      <c r="RJB108" s="17"/>
      <c r="RJC108" s="17"/>
      <c r="RJD108" s="17"/>
      <c r="RJE108" s="17"/>
      <c r="RJF108" s="17"/>
      <c r="RJG108" s="17"/>
      <c r="RJH108" s="17"/>
      <c r="RJI108" s="17"/>
      <c r="RJJ108" s="17"/>
      <c r="RJK108" s="17"/>
      <c r="RJL108" s="17"/>
      <c r="RJM108" s="17"/>
      <c r="RJN108" s="17"/>
      <c r="RJO108" s="17"/>
      <c r="RJP108" s="17"/>
      <c r="RJQ108" s="17"/>
      <c r="RJR108" s="17"/>
      <c r="RJS108" s="17"/>
      <c r="RJT108" s="17"/>
      <c r="RJU108" s="17"/>
      <c r="RJV108" s="17"/>
      <c r="RJW108" s="17"/>
      <c r="RJX108" s="17"/>
      <c r="RJY108" s="17"/>
      <c r="RJZ108" s="17"/>
      <c r="RKA108" s="17"/>
      <c r="RKB108" s="17"/>
      <c r="RKC108" s="17"/>
      <c r="RKD108" s="17"/>
      <c r="RKE108" s="17"/>
      <c r="RKF108" s="17"/>
      <c r="RKG108" s="17"/>
      <c r="RKH108" s="17"/>
      <c r="RKI108" s="17"/>
      <c r="RKJ108" s="17"/>
      <c r="RKK108" s="17"/>
      <c r="RKL108" s="17"/>
      <c r="RKM108" s="17"/>
      <c r="RKN108" s="17"/>
      <c r="RKO108" s="17"/>
      <c r="RKP108" s="17"/>
      <c r="RKQ108" s="17"/>
      <c r="RKR108" s="17"/>
      <c r="RKS108" s="17"/>
      <c r="RKT108" s="17"/>
      <c r="RKU108" s="17"/>
      <c r="RKV108" s="17"/>
      <c r="RKW108" s="17"/>
      <c r="RKX108" s="17"/>
      <c r="RKY108" s="17"/>
      <c r="RKZ108" s="17"/>
      <c r="RLA108" s="17"/>
      <c r="RLB108" s="17"/>
      <c r="RLC108" s="17"/>
      <c r="RLD108" s="17"/>
      <c r="RLE108" s="17"/>
      <c r="RLF108" s="17"/>
      <c r="RLG108" s="17"/>
      <c r="RLH108" s="17"/>
      <c r="RLI108" s="17"/>
      <c r="RLJ108" s="17"/>
      <c r="RLK108" s="17"/>
      <c r="RLL108" s="17"/>
      <c r="RLM108" s="17"/>
      <c r="RLN108" s="17"/>
      <c r="RLO108" s="17"/>
      <c r="RLP108" s="17"/>
      <c r="RLQ108" s="17"/>
      <c r="RLR108" s="17"/>
      <c r="RLS108" s="17"/>
      <c r="RLT108" s="17"/>
      <c r="RLU108" s="17"/>
      <c r="RLV108" s="17"/>
      <c r="RLW108" s="17"/>
      <c r="RLX108" s="17"/>
      <c r="RLY108" s="17"/>
      <c r="RLZ108" s="17"/>
      <c r="RMA108" s="17"/>
      <c r="RMB108" s="17"/>
      <c r="RMC108" s="17"/>
      <c r="RMD108" s="17"/>
      <c r="RME108" s="17"/>
      <c r="RMF108" s="17"/>
      <c r="RMG108" s="17"/>
      <c r="RMH108" s="17"/>
      <c r="RMI108" s="17"/>
      <c r="RMJ108" s="17"/>
      <c r="RMK108" s="17"/>
      <c r="RML108" s="17"/>
      <c r="RMM108" s="17"/>
      <c r="RMN108" s="17"/>
      <c r="RMO108" s="17"/>
      <c r="RMP108" s="17"/>
      <c r="RMQ108" s="17"/>
      <c r="RMR108" s="17"/>
      <c r="RMS108" s="17"/>
      <c r="RMT108" s="17"/>
      <c r="RMU108" s="17"/>
      <c r="RMV108" s="17"/>
      <c r="RMW108" s="17"/>
      <c r="RMX108" s="17"/>
      <c r="RMY108" s="17"/>
      <c r="RMZ108" s="17"/>
      <c r="RNA108" s="17"/>
      <c r="RNB108" s="17"/>
      <c r="RNC108" s="17"/>
      <c r="RND108" s="17"/>
      <c r="RNE108" s="17"/>
      <c r="RNF108" s="17"/>
      <c r="RNG108" s="17"/>
      <c r="RNH108" s="17"/>
      <c r="RNI108" s="17"/>
      <c r="RNJ108" s="17"/>
      <c r="RNK108" s="17"/>
      <c r="RNL108" s="17"/>
      <c r="RNM108" s="17"/>
      <c r="RNN108" s="17"/>
      <c r="RNO108" s="17"/>
      <c r="RNP108" s="17"/>
      <c r="RNQ108" s="17"/>
      <c r="RNR108" s="17"/>
      <c r="RNS108" s="17"/>
      <c r="RNT108" s="17"/>
      <c r="RNU108" s="17"/>
      <c r="RNV108" s="17"/>
      <c r="RNW108" s="17"/>
      <c r="RNX108" s="17"/>
      <c r="RNY108" s="17"/>
      <c r="RNZ108" s="17"/>
      <c r="ROA108" s="17"/>
      <c r="ROB108" s="17"/>
      <c r="ROC108" s="17"/>
      <c r="ROD108" s="17"/>
      <c r="ROE108" s="17"/>
      <c r="ROF108" s="17"/>
      <c r="ROG108" s="17"/>
      <c r="ROH108" s="17"/>
      <c r="ROI108" s="17"/>
      <c r="ROJ108" s="17"/>
      <c r="ROK108" s="17"/>
      <c r="ROL108" s="17"/>
      <c r="ROM108" s="17"/>
      <c r="RON108" s="17"/>
      <c r="ROO108" s="17"/>
      <c r="ROP108" s="17"/>
      <c r="ROQ108" s="17"/>
      <c r="ROR108" s="17"/>
      <c r="ROS108" s="17"/>
      <c r="ROT108" s="17"/>
      <c r="ROU108" s="17"/>
      <c r="ROV108" s="17"/>
      <c r="ROW108" s="17"/>
      <c r="ROX108" s="17"/>
      <c r="ROY108" s="17"/>
      <c r="ROZ108" s="17"/>
      <c r="RPA108" s="17"/>
      <c r="RPB108" s="17"/>
      <c r="RPC108" s="17"/>
      <c r="RPD108" s="17"/>
      <c r="RPE108" s="17"/>
      <c r="RPF108" s="17"/>
      <c r="RPG108" s="17"/>
      <c r="RPH108" s="17"/>
      <c r="RPI108" s="17"/>
      <c r="RPJ108" s="17"/>
      <c r="RPK108" s="17"/>
      <c r="RPL108" s="17"/>
      <c r="RPM108" s="17"/>
      <c r="RPN108" s="17"/>
      <c r="RPO108" s="17"/>
      <c r="RPP108" s="17"/>
      <c r="RPQ108" s="17"/>
      <c r="RPR108" s="17"/>
      <c r="RPS108" s="17"/>
      <c r="RPT108" s="17"/>
      <c r="RPU108" s="17"/>
      <c r="RPV108" s="17"/>
      <c r="RPW108" s="17"/>
      <c r="RPX108" s="17"/>
      <c r="RPY108" s="17"/>
      <c r="RPZ108" s="17"/>
      <c r="RQA108" s="17"/>
      <c r="RQB108" s="17"/>
      <c r="RQC108" s="17"/>
      <c r="RQD108" s="17"/>
      <c r="RQE108" s="17"/>
      <c r="RQF108" s="17"/>
      <c r="RQG108" s="17"/>
      <c r="RQH108" s="17"/>
      <c r="RQI108" s="17"/>
      <c r="RQJ108" s="17"/>
      <c r="RQK108" s="17"/>
      <c r="RQL108" s="17"/>
      <c r="RQM108" s="17"/>
      <c r="RQN108" s="17"/>
      <c r="RQO108" s="17"/>
      <c r="RQP108" s="17"/>
      <c r="RQQ108" s="17"/>
      <c r="RQR108" s="17"/>
      <c r="RQS108" s="17"/>
      <c r="RQT108" s="17"/>
      <c r="RQU108" s="17"/>
      <c r="RQV108" s="17"/>
      <c r="RQW108" s="17"/>
      <c r="RQX108" s="17"/>
      <c r="RQY108" s="17"/>
      <c r="RQZ108" s="17"/>
      <c r="RRA108" s="17"/>
      <c r="RRB108" s="17"/>
      <c r="RRC108" s="17"/>
      <c r="RRD108" s="17"/>
      <c r="RRE108" s="17"/>
      <c r="RRF108" s="17"/>
      <c r="RRG108" s="17"/>
      <c r="RRH108" s="17"/>
      <c r="RRI108" s="17"/>
      <c r="RRJ108" s="17"/>
      <c r="RRK108" s="17"/>
      <c r="RRL108" s="17"/>
      <c r="RRM108" s="17"/>
      <c r="RRN108" s="17"/>
      <c r="RRO108" s="17"/>
      <c r="RRP108" s="17"/>
      <c r="RRQ108" s="17"/>
      <c r="RRR108" s="17"/>
      <c r="RRS108" s="17"/>
      <c r="RRT108" s="17"/>
      <c r="RRU108" s="17"/>
      <c r="RRV108" s="17"/>
      <c r="RRW108" s="17"/>
      <c r="RRX108" s="17"/>
      <c r="RRY108" s="17"/>
      <c r="RRZ108" s="17"/>
      <c r="RSA108" s="17"/>
      <c r="RSB108" s="17"/>
      <c r="RSC108" s="17"/>
      <c r="RSD108" s="17"/>
      <c r="RSE108" s="17"/>
      <c r="RSF108" s="17"/>
      <c r="RSG108" s="17"/>
      <c r="RSH108" s="17"/>
      <c r="RSI108" s="17"/>
      <c r="RSJ108" s="17"/>
      <c r="RSK108" s="17"/>
      <c r="RSL108" s="17"/>
      <c r="RSM108" s="17"/>
      <c r="RSN108" s="17"/>
      <c r="RSO108" s="17"/>
      <c r="RSP108" s="17"/>
      <c r="RSQ108" s="17"/>
      <c r="RSR108" s="17"/>
      <c r="RSS108" s="17"/>
      <c r="RST108" s="17"/>
      <c r="RSU108" s="17"/>
      <c r="RSV108" s="17"/>
      <c r="RSW108" s="17"/>
      <c r="RSX108" s="17"/>
      <c r="RSY108" s="17"/>
      <c r="RSZ108" s="17"/>
      <c r="RTA108" s="17"/>
      <c r="RTB108" s="17"/>
      <c r="RTC108" s="17"/>
      <c r="RTD108" s="17"/>
      <c r="RTE108" s="17"/>
      <c r="RTF108" s="17"/>
      <c r="RTG108" s="17"/>
      <c r="RTH108" s="17"/>
      <c r="RTI108" s="17"/>
      <c r="RTJ108" s="17"/>
      <c r="RTK108" s="17"/>
      <c r="RTL108" s="17"/>
      <c r="RTM108" s="17"/>
      <c r="RTN108" s="17"/>
      <c r="RTO108" s="17"/>
      <c r="RTP108" s="17"/>
      <c r="RTQ108" s="17"/>
      <c r="RTR108" s="17"/>
      <c r="RTS108" s="17"/>
      <c r="RTT108" s="17"/>
      <c r="RTU108" s="17"/>
      <c r="RTV108" s="17"/>
      <c r="RTW108" s="17"/>
      <c r="RTX108" s="17"/>
      <c r="RTY108" s="17"/>
      <c r="RTZ108" s="17"/>
      <c r="RUA108" s="17"/>
      <c r="RUB108" s="17"/>
      <c r="RUC108" s="17"/>
      <c r="RUD108" s="17"/>
      <c r="RUE108" s="17"/>
      <c r="RUF108" s="17"/>
      <c r="RUG108" s="17"/>
      <c r="RUH108" s="17"/>
      <c r="RUI108" s="17"/>
      <c r="RUJ108" s="17"/>
      <c r="RUK108" s="17"/>
      <c r="RUL108" s="17"/>
      <c r="RUM108" s="17"/>
      <c r="RUN108" s="17"/>
      <c r="RUO108" s="17"/>
      <c r="RUP108" s="17"/>
      <c r="RUQ108" s="17"/>
      <c r="RUR108" s="17"/>
      <c r="RUS108" s="17"/>
      <c r="RUT108" s="17"/>
      <c r="RUU108" s="17"/>
      <c r="RUV108" s="17"/>
      <c r="RUW108" s="17"/>
      <c r="RUX108" s="17"/>
      <c r="RUY108" s="17"/>
      <c r="RUZ108" s="17"/>
      <c r="RVA108" s="17"/>
      <c r="RVB108" s="17"/>
      <c r="RVC108" s="17"/>
      <c r="RVD108" s="17"/>
      <c r="RVE108" s="17"/>
      <c r="RVF108" s="17"/>
      <c r="RVG108" s="17"/>
      <c r="RVH108" s="17"/>
      <c r="RVI108" s="17"/>
      <c r="RVJ108" s="17"/>
      <c r="RVK108" s="17"/>
      <c r="RVL108" s="17"/>
      <c r="RVM108" s="17"/>
      <c r="RVN108" s="17"/>
      <c r="RVO108" s="17"/>
      <c r="RVP108" s="17"/>
      <c r="RVQ108" s="17"/>
      <c r="RVR108" s="17"/>
      <c r="RVS108" s="17"/>
      <c r="RVT108" s="17"/>
      <c r="RVU108" s="17"/>
      <c r="RVV108" s="17"/>
      <c r="RVW108" s="17"/>
      <c r="RVX108" s="17"/>
      <c r="RVY108" s="17"/>
      <c r="RVZ108" s="17"/>
      <c r="RWA108" s="17"/>
      <c r="RWB108" s="17"/>
      <c r="RWC108" s="17"/>
      <c r="RWD108" s="17"/>
      <c r="RWE108" s="17"/>
      <c r="RWF108" s="17"/>
      <c r="RWG108" s="17"/>
      <c r="RWH108" s="17"/>
      <c r="RWI108" s="17"/>
      <c r="RWJ108" s="17"/>
      <c r="RWK108" s="17"/>
      <c r="RWL108" s="17"/>
      <c r="RWM108" s="17"/>
      <c r="RWN108" s="17"/>
      <c r="RWO108" s="17"/>
      <c r="RWP108" s="17"/>
      <c r="RWQ108" s="17"/>
      <c r="RWR108" s="17"/>
      <c r="RWS108" s="17"/>
      <c r="RWT108" s="17"/>
      <c r="RWU108" s="17"/>
      <c r="RWV108" s="17"/>
      <c r="RWW108" s="17"/>
      <c r="RWX108" s="17"/>
      <c r="RWY108" s="17"/>
      <c r="RWZ108" s="17"/>
      <c r="RXA108" s="17"/>
      <c r="RXB108" s="17"/>
      <c r="RXC108" s="17"/>
      <c r="RXD108" s="17"/>
      <c r="RXE108" s="17"/>
      <c r="RXF108" s="17"/>
      <c r="RXG108" s="17"/>
      <c r="RXH108" s="17"/>
      <c r="RXI108" s="17"/>
      <c r="RXJ108" s="17"/>
      <c r="RXK108" s="17"/>
      <c r="RXL108" s="17"/>
      <c r="RXM108" s="17"/>
      <c r="RXN108" s="17"/>
      <c r="RXO108" s="17"/>
      <c r="RXP108" s="17"/>
      <c r="RXQ108" s="17"/>
      <c r="RXR108" s="17"/>
      <c r="RXS108" s="17"/>
      <c r="RXT108" s="17"/>
      <c r="RXU108" s="17"/>
      <c r="RXV108" s="17"/>
      <c r="RXW108" s="17"/>
      <c r="RXX108" s="17"/>
      <c r="RXY108" s="17"/>
      <c r="RXZ108" s="17"/>
      <c r="RYA108" s="17"/>
      <c r="RYB108" s="17"/>
      <c r="RYC108" s="17"/>
      <c r="RYD108" s="17"/>
      <c r="RYE108" s="17"/>
      <c r="RYF108" s="17"/>
      <c r="RYG108" s="17"/>
      <c r="RYH108" s="17"/>
      <c r="RYI108" s="17"/>
      <c r="RYJ108" s="17"/>
      <c r="RYK108" s="17"/>
      <c r="RYL108" s="17"/>
      <c r="RYM108" s="17"/>
      <c r="RYN108" s="17"/>
      <c r="RYO108" s="17"/>
      <c r="RYP108" s="17"/>
      <c r="RYQ108" s="17"/>
      <c r="RYR108" s="17"/>
      <c r="RYS108" s="17"/>
      <c r="RYT108" s="17"/>
      <c r="RYU108" s="17"/>
      <c r="RYV108" s="17"/>
      <c r="RYW108" s="17"/>
      <c r="RYX108" s="17"/>
      <c r="RYY108" s="17"/>
      <c r="RYZ108" s="17"/>
      <c r="RZA108" s="17"/>
      <c r="RZB108" s="17"/>
      <c r="RZC108" s="17"/>
      <c r="RZD108" s="17"/>
      <c r="RZE108" s="17"/>
      <c r="RZF108" s="17"/>
      <c r="RZG108" s="17"/>
      <c r="RZH108" s="17"/>
      <c r="RZI108" s="17"/>
      <c r="RZJ108" s="17"/>
      <c r="RZK108" s="17"/>
      <c r="RZL108" s="17"/>
      <c r="RZM108" s="17"/>
      <c r="RZN108" s="17"/>
      <c r="RZO108" s="17"/>
      <c r="RZP108" s="17"/>
      <c r="RZQ108" s="17"/>
      <c r="RZR108" s="17"/>
      <c r="RZS108" s="17"/>
      <c r="RZT108" s="17"/>
      <c r="RZU108" s="17"/>
      <c r="RZV108" s="17"/>
      <c r="RZW108" s="17"/>
      <c r="RZX108" s="17"/>
      <c r="RZY108" s="17"/>
      <c r="RZZ108" s="17"/>
      <c r="SAA108" s="17"/>
      <c r="SAB108" s="17"/>
      <c r="SAC108" s="17"/>
      <c r="SAD108" s="17"/>
      <c r="SAE108" s="17"/>
      <c r="SAF108" s="17"/>
      <c r="SAG108" s="17"/>
      <c r="SAH108" s="17"/>
      <c r="SAI108" s="17"/>
      <c r="SAJ108" s="17"/>
      <c r="SAK108" s="17"/>
      <c r="SAL108" s="17"/>
      <c r="SAM108" s="17"/>
      <c r="SAN108" s="17"/>
      <c r="SAO108" s="17"/>
      <c r="SAP108" s="17"/>
      <c r="SAQ108" s="17"/>
      <c r="SAR108" s="17"/>
      <c r="SAS108" s="17"/>
      <c r="SAT108" s="17"/>
      <c r="SAU108" s="17"/>
      <c r="SAV108" s="17"/>
      <c r="SAW108" s="17"/>
      <c r="SAX108" s="17"/>
      <c r="SAY108" s="17"/>
      <c r="SAZ108" s="17"/>
      <c r="SBA108" s="17"/>
      <c r="SBB108" s="17"/>
      <c r="SBC108" s="17"/>
      <c r="SBD108" s="17"/>
      <c r="SBE108" s="17"/>
      <c r="SBF108" s="17"/>
      <c r="SBG108" s="17"/>
      <c r="SBH108" s="17"/>
      <c r="SBI108" s="17"/>
      <c r="SBJ108" s="17"/>
      <c r="SBK108" s="17"/>
      <c r="SBL108" s="17"/>
      <c r="SBM108" s="17"/>
      <c r="SBN108" s="17"/>
      <c r="SBO108" s="17"/>
      <c r="SBP108" s="17"/>
      <c r="SBQ108" s="17"/>
      <c r="SBR108" s="17"/>
      <c r="SBS108" s="17"/>
      <c r="SBT108" s="17"/>
      <c r="SBU108" s="17"/>
      <c r="SBV108" s="17"/>
      <c r="SBW108" s="17"/>
      <c r="SBX108" s="17"/>
      <c r="SBY108" s="17"/>
      <c r="SBZ108" s="17"/>
      <c r="SCA108" s="17"/>
      <c r="SCB108" s="17"/>
      <c r="SCC108" s="17"/>
      <c r="SCD108" s="17"/>
      <c r="SCE108" s="17"/>
      <c r="SCF108" s="17"/>
      <c r="SCG108" s="17"/>
      <c r="SCH108" s="17"/>
      <c r="SCI108" s="17"/>
      <c r="SCJ108" s="17"/>
      <c r="SCK108" s="17"/>
      <c r="SCL108" s="17"/>
      <c r="SCM108" s="17"/>
      <c r="SCN108" s="17"/>
      <c r="SCO108" s="17"/>
      <c r="SCP108" s="17"/>
      <c r="SCQ108" s="17"/>
      <c r="SCR108" s="17"/>
      <c r="SCS108" s="17"/>
      <c r="SCT108" s="17"/>
      <c r="SCU108" s="17"/>
      <c r="SCV108" s="17"/>
      <c r="SCW108" s="17"/>
      <c r="SCX108" s="17"/>
      <c r="SCY108" s="17"/>
      <c r="SCZ108" s="17"/>
      <c r="SDA108" s="17"/>
      <c r="SDB108" s="17"/>
      <c r="SDC108" s="17"/>
      <c r="SDD108" s="17"/>
      <c r="SDE108" s="17"/>
      <c r="SDF108" s="17"/>
      <c r="SDG108" s="17"/>
      <c r="SDH108" s="17"/>
      <c r="SDI108" s="17"/>
      <c r="SDJ108" s="17"/>
      <c r="SDK108" s="17"/>
      <c r="SDL108" s="17"/>
      <c r="SDM108" s="17"/>
      <c r="SDN108" s="17"/>
      <c r="SDO108" s="17"/>
      <c r="SDP108" s="17"/>
      <c r="SDQ108" s="17"/>
      <c r="SDR108" s="17"/>
      <c r="SDS108" s="17"/>
      <c r="SDT108" s="17"/>
      <c r="SDU108" s="17"/>
      <c r="SDV108" s="17"/>
      <c r="SDW108" s="17"/>
      <c r="SDX108" s="17"/>
      <c r="SDY108" s="17"/>
      <c r="SDZ108" s="17"/>
      <c r="SEA108" s="17"/>
      <c r="SEB108" s="17"/>
      <c r="SEC108" s="17"/>
      <c r="SED108" s="17"/>
      <c r="SEE108" s="17"/>
      <c r="SEF108" s="17"/>
      <c r="SEG108" s="17"/>
      <c r="SEH108" s="17"/>
      <c r="SEI108" s="17"/>
      <c r="SEJ108" s="17"/>
      <c r="SEK108" s="17"/>
      <c r="SEL108" s="17"/>
      <c r="SEM108" s="17"/>
      <c r="SEN108" s="17"/>
      <c r="SEO108" s="17"/>
      <c r="SEP108" s="17"/>
      <c r="SEQ108" s="17"/>
      <c r="SER108" s="17"/>
      <c r="SES108" s="17"/>
      <c r="SET108" s="17"/>
      <c r="SEU108" s="17"/>
      <c r="SEV108" s="17"/>
      <c r="SEW108" s="17"/>
      <c r="SEX108" s="17"/>
      <c r="SEY108" s="17"/>
      <c r="SEZ108" s="17"/>
      <c r="SFA108" s="17"/>
      <c r="SFB108" s="17"/>
      <c r="SFC108" s="17"/>
      <c r="SFD108" s="17"/>
      <c r="SFE108" s="17"/>
      <c r="SFF108" s="17"/>
      <c r="SFG108" s="17"/>
      <c r="SFH108" s="17"/>
      <c r="SFI108" s="17"/>
      <c r="SFJ108" s="17"/>
      <c r="SFK108" s="17"/>
      <c r="SFL108" s="17"/>
      <c r="SFM108" s="17"/>
      <c r="SFN108" s="17"/>
      <c r="SFO108" s="17"/>
      <c r="SFP108" s="17"/>
      <c r="SFQ108" s="17"/>
      <c r="SFR108" s="17"/>
      <c r="SFS108" s="17"/>
      <c r="SFT108" s="17"/>
      <c r="SFU108" s="17"/>
      <c r="SFV108" s="17"/>
      <c r="SFW108" s="17"/>
      <c r="SFX108" s="17"/>
      <c r="SFY108" s="17"/>
      <c r="SFZ108" s="17"/>
      <c r="SGA108" s="17"/>
      <c r="SGB108" s="17"/>
      <c r="SGC108" s="17"/>
      <c r="SGD108" s="17"/>
      <c r="SGE108" s="17"/>
      <c r="SGF108" s="17"/>
      <c r="SGG108" s="17"/>
      <c r="SGH108" s="17"/>
      <c r="SGI108" s="17"/>
      <c r="SGJ108" s="17"/>
      <c r="SGK108" s="17"/>
      <c r="SGL108" s="17"/>
      <c r="SGM108" s="17"/>
      <c r="SGN108" s="17"/>
      <c r="SGO108" s="17"/>
      <c r="SGP108" s="17"/>
      <c r="SGQ108" s="17"/>
      <c r="SGR108" s="17"/>
      <c r="SGS108" s="17"/>
      <c r="SGT108" s="17"/>
      <c r="SGU108" s="17"/>
      <c r="SGV108" s="17"/>
      <c r="SGW108" s="17"/>
      <c r="SGX108" s="17"/>
      <c r="SGY108" s="17"/>
      <c r="SGZ108" s="17"/>
      <c r="SHA108" s="17"/>
      <c r="SHB108" s="17"/>
      <c r="SHC108" s="17"/>
      <c r="SHD108" s="17"/>
      <c r="SHE108" s="17"/>
      <c r="SHF108" s="17"/>
      <c r="SHG108" s="17"/>
      <c r="SHH108" s="17"/>
      <c r="SHI108" s="17"/>
      <c r="SHJ108" s="17"/>
      <c r="SHK108" s="17"/>
      <c r="SHL108" s="17"/>
      <c r="SHM108" s="17"/>
      <c r="SHN108" s="17"/>
      <c r="SHO108" s="17"/>
      <c r="SHP108" s="17"/>
      <c r="SHQ108" s="17"/>
      <c r="SHR108" s="17"/>
      <c r="SHS108" s="17"/>
      <c r="SHT108" s="17"/>
      <c r="SHU108" s="17"/>
      <c r="SHV108" s="17"/>
      <c r="SHW108" s="17"/>
      <c r="SHX108" s="17"/>
      <c r="SHY108" s="17"/>
      <c r="SHZ108" s="17"/>
      <c r="SIA108" s="17"/>
      <c r="SIB108" s="17"/>
      <c r="SIC108" s="17"/>
      <c r="SID108" s="17"/>
      <c r="SIE108" s="17"/>
      <c r="SIF108" s="17"/>
      <c r="SIG108" s="17"/>
      <c r="SIH108" s="17"/>
      <c r="SII108" s="17"/>
      <c r="SIJ108" s="17"/>
      <c r="SIK108" s="17"/>
      <c r="SIL108" s="17"/>
      <c r="SIM108" s="17"/>
      <c r="SIN108" s="17"/>
      <c r="SIO108" s="17"/>
      <c r="SIP108" s="17"/>
      <c r="SIQ108" s="17"/>
      <c r="SIR108" s="17"/>
      <c r="SIS108" s="17"/>
      <c r="SIT108" s="17"/>
      <c r="SIU108" s="17"/>
      <c r="SIV108" s="17"/>
      <c r="SIW108" s="17"/>
      <c r="SIX108" s="17"/>
      <c r="SIY108" s="17"/>
      <c r="SIZ108" s="17"/>
      <c r="SJA108" s="17"/>
      <c r="SJB108" s="17"/>
      <c r="SJC108" s="17"/>
      <c r="SJD108" s="17"/>
      <c r="SJE108" s="17"/>
      <c r="SJF108" s="17"/>
      <c r="SJG108" s="17"/>
      <c r="SJH108" s="17"/>
      <c r="SJI108" s="17"/>
      <c r="SJJ108" s="17"/>
      <c r="SJK108" s="17"/>
      <c r="SJL108" s="17"/>
      <c r="SJM108" s="17"/>
      <c r="SJN108" s="17"/>
      <c r="SJO108" s="17"/>
      <c r="SJP108" s="17"/>
      <c r="SJQ108" s="17"/>
      <c r="SJR108" s="17"/>
      <c r="SJS108" s="17"/>
      <c r="SJT108" s="17"/>
      <c r="SJU108" s="17"/>
      <c r="SJV108" s="17"/>
      <c r="SJW108" s="17"/>
      <c r="SJX108" s="17"/>
      <c r="SJY108" s="17"/>
      <c r="SJZ108" s="17"/>
      <c r="SKA108" s="17"/>
      <c r="SKB108" s="17"/>
      <c r="SKC108" s="17"/>
      <c r="SKD108" s="17"/>
      <c r="SKE108" s="17"/>
      <c r="SKF108" s="17"/>
      <c r="SKG108" s="17"/>
      <c r="SKH108" s="17"/>
      <c r="SKI108" s="17"/>
      <c r="SKJ108" s="17"/>
      <c r="SKK108" s="17"/>
      <c r="SKL108" s="17"/>
      <c r="SKM108" s="17"/>
      <c r="SKN108" s="17"/>
      <c r="SKO108" s="17"/>
      <c r="SKP108" s="17"/>
      <c r="SKQ108" s="17"/>
      <c r="SKR108" s="17"/>
      <c r="SKS108" s="17"/>
      <c r="SKT108" s="17"/>
      <c r="SKU108" s="17"/>
      <c r="SKV108" s="17"/>
      <c r="SKW108" s="17"/>
      <c r="SKX108" s="17"/>
      <c r="SKY108" s="17"/>
      <c r="SKZ108" s="17"/>
      <c r="SLA108" s="17"/>
      <c r="SLB108" s="17"/>
      <c r="SLC108" s="17"/>
      <c r="SLD108" s="17"/>
      <c r="SLE108" s="17"/>
      <c r="SLF108" s="17"/>
      <c r="SLG108" s="17"/>
      <c r="SLH108" s="17"/>
      <c r="SLI108" s="17"/>
      <c r="SLJ108" s="17"/>
      <c r="SLK108" s="17"/>
      <c r="SLL108" s="17"/>
      <c r="SLM108" s="17"/>
      <c r="SLN108" s="17"/>
      <c r="SLO108" s="17"/>
      <c r="SLP108" s="17"/>
      <c r="SLQ108" s="17"/>
      <c r="SLR108" s="17"/>
      <c r="SLS108" s="17"/>
      <c r="SLT108" s="17"/>
      <c r="SLU108" s="17"/>
      <c r="SLV108" s="17"/>
      <c r="SLW108" s="17"/>
      <c r="SLX108" s="17"/>
      <c r="SLY108" s="17"/>
      <c r="SLZ108" s="17"/>
      <c r="SMA108" s="17"/>
      <c r="SMB108" s="17"/>
      <c r="SMC108" s="17"/>
      <c r="SMD108" s="17"/>
      <c r="SME108" s="17"/>
      <c r="SMF108" s="17"/>
      <c r="SMG108" s="17"/>
      <c r="SMH108" s="17"/>
      <c r="SMI108" s="17"/>
      <c r="SMJ108" s="17"/>
      <c r="SMK108" s="17"/>
      <c r="SML108" s="17"/>
      <c r="SMM108" s="17"/>
      <c r="SMN108" s="17"/>
      <c r="SMO108" s="17"/>
      <c r="SMP108" s="17"/>
      <c r="SMQ108" s="17"/>
      <c r="SMR108" s="17"/>
      <c r="SMS108" s="17"/>
      <c r="SMT108" s="17"/>
      <c r="SMU108" s="17"/>
      <c r="SMV108" s="17"/>
      <c r="SMW108" s="17"/>
      <c r="SMX108" s="17"/>
      <c r="SMY108" s="17"/>
      <c r="SMZ108" s="17"/>
      <c r="SNA108" s="17"/>
      <c r="SNB108" s="17"/>
      <c r="SNC108" s="17"/>
      <c r="SND108" s="17"/>
      <c r="SNE108" s="17"/>
      <c r="SNF108" s="17"/>
      <c r="SNG108" s="17"/>
      <c r="SNH108" s="17"/>
      <c r="SNI108" s="17"/>
      <c r="SNJ108" s="17"/>
      <c r="SNK108" s="17"/>
      <c r="SNL108" s="17"/>
      <c r="SNM108" s="17"/>
      <c r="SNN108" s="17"/>
      <c r="SNO108" s="17"/>
      <c r="SNP108" s="17"/>
      <c r="SNQ108" s="17"/>
      <c r="SNR108" s="17"/>
      <c r="SNS108" s="17"/>
      <c r="SNT108" s="17"/>
      <c r="SNU108" s="17"/>
      <c r="SNV108" s="17"/>
      <c r="SNW108" s="17"/>
      <c r="SNX108" s="17"/>
      <c r="SNY108" s="17"/>
      <c r="SNZ108" s="17"/>
      <c r="SOA108" s="17"/>
      <c r="SOB108" s="17"/>
      <c r="SOC108" s="17"/>
      <c r="SOD108" s="17"/>
      <c r="SOE108" s="17"/>
      <c r="SOF108" s="17"/>
      <c r="SOG108" s="17"/>
      <c r="SOH108" s="17"/>
      <c r="SOI108" s="17"/>
      <c r="SOJ108" s="17"/>
      <c r="SOK108" s="17"/>
      <c r="SOL108" s="17"/>
      <c r="SOM108" s="17"/>
      <c r="SON108" s="17"/>
      <c r="SOO108" s="17"/>
      <c r="SOP108" s="17"/>
      <c r="SOQ108" s="17"/>
      <c r="SOR108" s="17"/>
      <c r="SOS108" s="17"/>
      <c r="SOT108" s="17"/>
      <c r="SOU108" s="17"/>
      <c r="SOV108" s="17"/>
      <c r="SOW108" s="17"/>
      <c r="SOX108" s="17"/>
      <c r="SOY108" s="17"/>
      <c r="SOZ108" s="17"/>
      <c r="SPA108" s="17"/>
      <c r="SPB108" s="17"/>
      <c r="SPC108" s="17"/>
      <c r="SPD108" s="17"/>
      <c r="SPE108" s="17"/>
      <c r="SPF108" s="17"/>
      <c r="SPG108" s="17"/>
      <c r="SPH108" s="17"/>
      <c r="SPI108" s="17"/>
      <c r="SPJ108" s="17"/>
      <c r="SPK108" s="17"/>
      <c r="SPL108" s="17"/>
      <c r="SPM108" s="17"/>
      <c r="SPN108" s="17"/>
      <c r="SPO108" s="17"/>
      <c r="SPP108" s="17"/>
      <c r="SPQ108" s="17"/>
      <c r="SPR108" s="17"/>
      <c r="SPS108" s="17"/>
      <c r="SPT108" s="17"/>
      <c r="SPU108" s="17"/>
      <c r="SPV108" s="17"/>
      <c r="SPW108" s="17"/>
      <c r="SPX108" s="17"/>
      <c r="SPY108" s="17"/>
      <c r="SPZ108" s="17"/>
      <c r="SQA108" s="17"/>
      <c r="SQB108" s="17"/>
      <c r="SQC108" s="17"/>
      <c r="SQD108" s="17"/>
      <c r="SQE108" s="17"/>
      <c r="SQF108" s="17"/>
      <c r="SQG108" s="17"/>
      <c r="SQH108" s="17"/>
      <c r="SQI108" s="17"/>
      <c r="SQJ108" s="17"/>
      <c r="SQK108" s="17"/>
      <c r="SQL108" s="17"/>
      <c r="SQM108" s="17"/>
      <c r="SQN108" s="17"/>
      <c r="SQO108" s="17"/>
      <c r="SQP108" s="17"/>
      <c r="SQQ108" s="17"/>
      <c r="SQR108" s="17"/>
      <c r="SQS108" s="17"/>
      <c r="SQT108" s="17"/>
      <c r="SQU108" s="17"/>
      <c r="SQV108" s="17"/>
      <c r="SQW108" s="17"/>
      <c r="SQX108" s="17"/>
      <c r="SQY108" s="17"/>
      <c r="SQZ108" s="17"/>
      <c r="SRA108" s="17"/>
      <c r="SRB108" s="17"/>
      <c r="SRC108" s="17"/>
      <c r="SRD108" s="17"/>
      <c r="SRE108" s="17"/>
      <c r="SRF108" s="17"/>
      <c r="SRG108" s="17"/>
      <c r="SRH108" s="17"/>
      <c r="SRI108" s="17"/>
      <c r="SRJ108" s="17"/>
      <c r="SRK108" s="17"/>
      <c r="SRL108" s="17"/>
      <c r="SRM108" s="17"/>
      <c r="SRN108" s="17"/>
      <c r="SRO108" s="17"/>
      <c r="SRP108" s="17"/>
      <c r="SRQ108" s="17"/>
      <c r="SRR108" s="17"/>
      <c r="SRS108" s="17"/>
      <c r="SRT108" s="17"/>
      <c r="SRU108" s="17"/>
      <c r="SRV108" s="17"/>
      <c r="SRW108" s="17"/>
      <c r="SRX108" s="17"/>
      <c r="SRY108" s="17"/>
      <c r="SRZ108" s="17"/>
      <c r="SSA108" s="17"/>
      <c r="SSB108" s="17"/>
      <c r="SSC108" s="17"/>
      <c r="SSD108" s="17"/>
      <c r="SSE108" s="17"/>
      <c r="SSF108" s="17"/>
      <c r="SSG108" s="17"/>
      <c r="SSH108" s="17"/>
      <c r="SSI108" s="17"/>
      <c r="SSJ108" s="17"/>
      <c r="SSK108" s="17"/>
      <c r="SSL108" s="17"/>
      <c r="SSM108" s="17"/>
      <c r="SSN108" s="17"/>
      <c r="SSO108" s="17"/>
      <c r="SSP108" s="17"/>
      <c r="SSQ108" s="17"/>
      <c r="SSR108" s="17"/>
      <c r="SSS108" s="17"/>
      <c r="SST108" s="17"/>
      <c r="SSU108" s="17"/>
      <c r="SSV108" s="17"/>
      <c r="SSW108" s="17"/>
      <c r="SSX108" s="17"/>
      <c r="SSY108" s="17"/>
      <c r="SSZ108" s="17"/>
      <c r="STA108" s="17"/>
      <c r="STB108" s="17"/>
      <c r="STC108" s="17"/>
      <c r="STD108" s="17"/>
      <c r="STE108" s="17"/>
      <c r="STF108" s="17"/>
      <c r="STG108" s="17"/>
      <c r="STH108" s="17"/>
      <c r="STI108" s="17"/>
      <c r="STJ108" s="17"/>
      <c r="STK108" s="17"/>
      <c r="STL108" s="17"/>
      <c r="STM108" s="17"/>
      <c r="STN108" s="17"/>
      <c r="STO108" s="17"/>
      <c r="STP108" s="17"/>
      <c r="STQ108" s="17"/>
      <c r="STR108" s="17"/>
      <c r="STS108" s="17"/>
      <c r="STT108" s="17"/>
      <c r="STU108" s="17"/>
      <c r="STV108" s="17"/>
      <c r="STW108" s="17"/>
      <c r="STX108" s="17"/>
      <c r="STY108" s="17"/>
      <c r="STZ108" s="17"/>
      <c r="SUA108" s="17"/>
      <c r="SUB108" s="17"/>
      <c r="SUC108" s="17"/>
      <c r="SUD108" s="17"/>
      <c r="SUE108" s="17"/>
      <c r="SUF108" s="17"/>
      <c r="SUG108" s="17"/>
      <c r="SUH108" s="17"/>
      <c r="SUI108" s="17"/>
      <c r="SUJ108" s="17"/>
      <c r="SUK108" s="17"/>
      <c r="SUL108" s="17"/>
      <c r="SUM108" s="17"/>
      <c r="SUN108" s="17"/>
      <c r="SUO108" s="17"/>
      <c r="SUP108" s="17"/>
      <c r="SUQ108" s="17"/>
      <c r="SUR108" s="17"/>
      <c r="SUS108" s="17"/>
      <c r="SUT108" s="17"/>
      <c r="SUU108" s="17"/>
      <c r="SUV108" s="17"/>
      <c r="SUW108" s="17"/>
      <c r="SUX108" s="17"/>
      <c r="SUY108" s="17"/>
      <c r="SUZ108" s="17"/>
      <c r="SVA108" s="17"/>
      <c r="SVB108" s="17"/>
      <c r="SVC108" s="17"/>
      <c r="SVD108" s="17"/>
      <c r="SVE108" s="17"/>
      <c r="SVF108" s="17"/>
      <c r="SVG108" s="17"/>
      <c r="SVH108" s="17"/>
      <c r="SVI108" s="17"/>
      <c r="SVJ108" s="17"/>
      <c r="SVK108" s="17"/>
      <c r="SVL108" s="17"/>
      <c r="SVM108" s="17"/>
      <c r="SVN108" s="17"/>
      <c r="SVO108" s="17"/>
      <c r="SVP108" s="17"/>
      <c r="SVQ108" s="17"/>
      <c r="SVR108" s="17"/>
      <c r="SVS108" s="17"/>
      <c r="SVT108" s="17"/>
      <c r="SVU108" s="17"/>
      <c r="SVV108" s="17"/>
      <c r="SVW108" s="17"/>
      <c r="SVX108" s="17"/>
      <c r="SVY108" s="17"/>
      <c r="SVZ108" s="17"/>
      <c r="SWA108" s="17"/>
      <c r="SWB108" s="17"/>
      <c r="SWC108" s="17"/>
      <c r="SWD108" s="17"/>
      <c r="SWE108" s="17"/>
      <c r="SWF108" s="17"/>
      <c r="SWG108" s="17"/>
      <c r="SWH108" s="17"/>
      <c r="SWI108" s="17"/>
      <c r="SWJ108" s="17"/>
      <c r="SWK108" s="17"/>
      <c r="SWL108" s="17"/>
      <c r="SWM108" s="17"/>
      <c r="SWN108" s="17"/>
      <c r="SWO108" s="17"/>
      <c r="SWP108" s="17"/>
      <c r="SWQ108" s="17"/>
      <c r="SWR108" s="17"/>
      <c r="SWS108" s="17"/>
      <c r="SWT108" s="17"/>
      <c r="SWU108" s="17"/>
      <c r="SWV108" s="17"/>
      <c r="SWW108" s="17"/>
      <c r="SWX108" s="17"/>
      <c r="SWY108" s="17"/>
      <c r="SWZ108" s="17"/>
      <c r="SXA108" s="17"/>
      <c r="SXB108" s="17"/>
      <c r="SXC108" s="17"/>
      <c r="SXD108" s="17"/>
      <c r="SXE108" s="17"/>
      <c r="SXF108" s="17"/>
      <c r="SXG108" s="17"/>
      <c r="SXH108" s="17"/>
      <c r="SXI108" s="17"/>
      <c r="SXJ108" s="17"/>
      <c r="SXK108" s="17"/>
      <c r="SXL108" s="17"/>
      <c r="SXM108" s="17"/>
      <c r="SXN108" s="17"/>
      <c r="SXO108" s="17"/>
      <c r="SXP108" s="17"/>
      <c r="SXQ108" s="17"/>
      <c r="SXR108" s="17"/>
      <c r="SXS108" s="17"/>
      <c r="SXT108" s="17"/>
      <c r="SXU108" s="17"/>
      <c r="SXV108" s="17"/>
      <c r="SXW108" s="17"/>
      <c r="SXX108" s="17"/>
      <c r="SXY108" s="17"/>
      <c r="SXZ108" s="17"/>
      <c r="SYA108" s="17"/>
      <c r="SYB108" s="17"/>
      <c r="SYC108" s="17"/>
      <c r="SYD108" s="17"/>
      <c r="SYE108" s="17"/>
      <c r="SYF108" s="17"/>
      <c r="SYG108" s="17"/>
      <c r="SYH108" s="17"/>
      <c r="SYI108" s="17"/>
      <c r="SYJ108" s="17"/>
      <c r="SYK108" s="17"/>
      <c r="SYL108" s="17"/>
      <c r="SYM108" s="17"/>
      <c r="SYN108" s="17"/>
      <c r="SYO108" s="17"/>
      <c r="SYP108" s="17"/>
      <c r="SYQ108" s="17"/>
      <c r="SYR108" s="17"/>
      <c r="SYS108" s="17"/>
      <c r="SYT108" s="17"/>
      <c r="SYU108" s="17"/>
      <c r="SYV108" s="17"/>
      <c r="SYW108" s="17"/>
      <c r="SYX108" s="17"/>
      <c r="SYY108" s="17"/>
      <c r="SYZ108" s="17"/>
      <c r="SZA108" s="17"/>
      <c r="SZB108" s="17"/>
      <c r="SZC108" s="17"/>
      <c r="SZD108" s="17"/>
      <c r="SZE108" s="17"/>
      <c r="SZF108" s="17"/>
      <c r="SZG108" s="17"/>
      <c r="SZH108" s="17"/>
      <c r="SZI108" s="17"/>
      <c r="SZJ108" s="17"/>
      <c r="SZK108" s="17"/>
      <c r="SZL108" s="17"/>
      <c r="SZM108" s="17"/>
      <c r="SZN108" s="17"/>
      <c r="SZO108" s="17"/>
      <c r="SZP108" s="17"/>
      <c r="SZQ108" s="17"/>
      <c r="SZR108" s="17"/>
      <c r="SZS108" s="17"/>
      <c r="SZT108" s="17"/>
      <c r="SZU108" s="17"/>
      <c r="SZV108" s="17"/>
      <c r="SZW108" s="17"/>
      <c r="SZX108" s="17"/>
      <c r="SZY108" s="17"/>
      <c r="SZZ108" s="17"/>
      <c r="TAA108" s="17"/>
      <c r="TAB108" s="17"/>
      <c r="TAC108" s="17"/>
      <c r="TAD108" s="17"/>
      <c r="TAE108" s="17"/>
      <c r="TAF108" s="17"/>
      <c r="TAG108" s="17"/>
      <c r="TAH108" s="17"/>
      <c r="TAI108" s="17"/>
      <c r="TAJ108" s="17"/>
      <c r="TAK108" s="17"/>
      <c r="TAL108" s="17"/>
      <c r="TAM108" s="17"/>
      <c r="TAN108" s="17"/>
      <c r="TAO108" s="17"/>
      <c r="TAP108" s="17"/>
      <c r="TAQ108" s="17"/>
      <c r="TAR108" s="17"/>
      <c r="TAS108" s="17"/>
      <c r="TAT108" s="17"/>
      <c r="TAU108" s="17"/>
      <c r="TAV108" s="17"/>
      <c r="TAW108" s="17"/>
      <c r="TAX108" s="17"/>
      <c r="TAY108" s="17"/>
      <c r="TAZ108" s="17"/>
      <c r="TBA108" s="17"/>
      <c r="TBB108" s="17"/>
      <c r="TBC108" s="17"/>
      <c r="TBD108" s="17"/>
      <c r="TBE108" s="17"/>
      <c r="TBF108" s="17"/>
      <c r="TBG108" s="17"/>
      <c r="TBH108" s="17"/>
      <c r="TBI108" s="17"/>
      <c r="TBJ108" s="17"/>
      <c r="TBK108" s="17"/>
      <c r="TBL108" s="17"/>
      <c r="TBM108" s="17"/>
      <c r="TBN108" s="17"/>
      <c r="TBO108" s="17"/>
      <c r="TBP108" s="17"/>
      <c r="TBQ108" s="17"/>
      <c r="TBR108" s="17"/>
      <c r="TBS108" s="17"/>
      <c r="TBT108" s="17"/>
      <c r="TBU108" s="17"/>
      <c r="TBV108" s="17"/>
      <c r="TBW108" s="17"/>
      <c r="TBX108" s="17"/>
      <c r="TBY108" s="17"/>
      <c r="TBZ108" s="17"/>
      <c r="TCA108" s="17"/>
      <c r="TCB108" s="17"/>
      <c r="TCC108" s="17"/>
      <c r="TCD108" s="17"/>
      <c r="TCE108" s="17"/>
      <c r="TCF108" s="17"/>
      <c r="TCG108" s="17"/>
      <c r="TCH108" s="17"/>
      <c r="TCI108" s="17"/>
      <c r="TCJ108" s="17"/>
      <c r="TCK108" s="17"/>
      <c r="TCL108" s="17"/>
      <c r="TCM108" s="17"/>
      <c r="TCN108" s="17"/>
      <c r="TCO108" s="17"/>
      <c r="TCP108" s="17"/>
      <c r="TCQ108" s="17"/>
      <c r="TCR108" s="17"/>
      <c r="TCS108" s="17"/>
      <c r="TCT108" s="17"/>
      <c r="TCU108" s="17"/>
      <c r="TCV108" s="17"/>
      <c r="TCW108" s="17"/>
      <c r="TCX108" s="17"/>
      <c r="TCY108" s="17"/>
      <c r="TCZ108" s="17"/>
      <c r="TDA108" s="17"/>
      <c r="TDB108" s="17"/>
      <c r="TDC108" s="17"/>
      <c r="TDD108" s="17"/>
      <c r="TDE108" s="17"/>
      <c r="TDF108" s="17"/>
      <c r="TDG108" s="17"/>
      <c r="TDH108" s="17"/>
      <c r="TDI108" s="17"/>
      <c r="TDJ108" s="17"/>
      <c r="TDK108" s="17"/>
      <c r="TDL108" s="17"/>
      <c r="TDM108" s="17"/>
      <c r="TDN108" s="17"/>
      <c r="TDO108" s="17"/>
      <c r="TDP108" s="17"/>
      <c r="TDQ108" s="17"/>
      <c r="TDR108" s="17"/>
      <c r="TDS108" s="17"/>
      <c r="TDT108" s="17"/>
      <c r="TDU108" s="17"/>
      <c r="TDV108" s="17"/>
      <c r="TDW108" s="17"/>
      <c r="TDX108" s="17"/>
      <c r="TDY108" s="17"/>
      <c r="TDZ108" s="17"/>
      <c r="TEA108" s="17"/>
      <c r="TEB108" s="17"/>
      <c r="TEC108" s="17"/>
      <c r="TED108" s="17"/>
      <c r="TEE108" s="17"/>
      <c r="TEF108" s="17"/>
      <c r="TEG108" s="17"/>
      <c r="TEH108" s="17"/>
      <c r="TEI108" s="17"/>
      <c r="TEJ108" s="17"/>
      <c r="TEK108" s="17"/>
      <c r="TEL108" s="17"/>
      <c r="TEM108" s="17"/>
      <c r="TEN108" s="17"/>
      <c r="TEO108" s="17"/>
      <c r="TEP108" s="17"/>
      <c r="TEQ108" s="17"/>
      <c r="TER108" s="17"/>
      <c r="TES108" s="17"/>
      <c r="TET108" s="17"/>
      <c r="TEU108" s="17"/>
      <c r="TEV108" s="17"/>
      <c r="TEW108" s="17"/>
      <c r="TEX108" s="17"/>
      <c r="TEY108" s="17"/>
      <c r="TEZ108" s="17"/>
      <c r="TFA108" s="17"/>
      <c r="TFB108" s="17"/>
      <c r="TFC108" s="17"/>
      <c r="TFD108" s="17"/>
      <c r="TFE108" s="17"/>
      <c r="TFF108" s="17"/>
      <c r="TFG108" s="17"/>
      <c r="TFH108" s="17"/>
      <c r="TFI108" s="17"/>
      <c r="TFJ108" s="17"/>
      <c r="TFK108" s="17"/>
      <c r="TFL108" s="17"/>
      <c r="TFM108" s="17"/>
      <c r="TFN108" s="17"/>
      <c r="TFO108" s="17"/>
      <c r="TFP108" s="17"/>
      <c r="TFQ108" s="17"/>
      <c r="TFR108" s="17"/>
      <c r="TFS108" s="17"/>
      <c r="TFT108" s="17"/>
      <c r="TFU108" s="17"/>
      <c r="TFV108" s="17"/>
      <c r="TFW108" s="17"/>
      <c r="TFX108" s="17"/>
      <c r="TFY108" s="17"/>
      <c r="TFZ108" s="17"/>
      <c r="TGA108" s="17"/>
      <c r="TGB108" s="17"/>
      <c r="TGC108" s="17"/>
      <c r="TGD108" s="17"/>
      <c r="TGE108" s="17"/>
      <c r="TGF108" s="17"/>
      <c r="TGG108" s="17"/>
      <c r="TGH108" s="17"/>
      <c r="TGI108" s="17"/>
      <c r="TGJ108" s="17"/>
      <c r="TGK108" s="17"/>
      <c r="TGL108" s="17"/>
      <c r="TGM108" s="17"/>
      <c r="TGN108" s="17"/>
      <c r="TGO108" s="17"/>
      <c r="TGP108" s="17"/>
      <c r="TGQ108" s="17"/>
      <c r="TGR108" s="17"/>
      <c r="TGS108" s="17"/>
      <c r="TGT108" s="17"/>
      <c r="TGU108" s="17"/>
      <c r="TGV108" s="17"/>
      <c r="TGW108" s="17"/>
      <c r="TGX108" s="17"/>
      <c r="TGY108" s="17"/>
      <c r="TGZ108" s="17"/>
      <c r="THA108" s="17"/>
      <c r="THB108" s="17"/>
      <c r="THC108" s="17"/>
      <c r="THD108" s="17"/>
      <c r="THE108" s="17"/>
      <c r="THF108" s="17"/>
      <c r="THG108" s="17"/>
      <c r="THH108" s="17"/>
      <c r="THI108" s="17"/>
      <c r="THJ108" s="17"/>
      <c r="THK108" s="17"/>
      <c r="THL108" s="17"/>
      <c r="THM108" s="17"/>
      <c r="THN108" s="17"/>
      <c r="THO108" s="17"/>
      <c r="THP108" s="17"/>
      <c r="THQ108" s="17"/>
      <c r="THR108" s="17"/>
      <c r="THS108" s="17"/>
      <c r="THT108" s="17"/>
      <c r="THU108" s="17"/>
      <c r="THV108" s="17"/>
      <c r="THW108" s="17"/>
      <c r="THX108" s="17"/>
      <c r="THY108" s="17"/>
      <c r="THZ108" s="17"/>
      <c r="TIA108" s="17"/>
      <c r="TIB108" s="17"/>
      <c r="TIC108" s="17"/>
      <c r="TID108" s="17"/>
      <c r="TIE108" s="17"/>
      <c r="TIF108" s="17"/>
      <c r="TIG108" s="17"/>
      <c r="TIH108" s="17"/>
      <c r="TII108" s="17"/>
      <c r="TIJ108" s="17"/>
      <c r="TIK108" s="17"/>
      <c r="TIL108" s="17"/>
      <c r="TIM108" s="17"/>
      <c r="TIN108" s="17"/>
      <c r="TIO108" s="17"/>
      <c r="TIP108" s="17"/>
      <c r="TIQ108" s="17"/>
      <c r="TIR108" s="17"/>
      <c r="TIS108" s="17"/>
      <c r="TIT108" s="17"/>
      <c r="TIU108" s="17"/>
      <c r="TIV108" s="17"/>
      <c r="TIW108" s="17"/>
      <c r="TIX108" s="17"/>
      <c r="TIY108" s="17"/>
      <c r="TIZ108" s="17"/>
      <c r="TJA108" s="17"/>
      <c r="TJB108" s="17"/>
      <c r="TJC108" s="17"/>
      <c r="TJD108" s="17"/>
      <c r="TJE108" s="17"/>
      <c r="TJF108" s="17"/>
      <c r="TJG108" s="17"/>
      <c r="TJH108" s="17"/>
      <c r="TJI108" s="17"/>
      <c r="TJJ108" s="17"/>
      <c r="TJK108" s="17"/>
      <c r="TJL108" s="17"/>
      <c r="TJM108" s="17"/>
      <c r="TJN108" s="17"/>
      <c r="TJO108" s="17"/>
      <c r="TJP108" s="17"/>
      <c r="TJQ108" s="17"/>
      <c r="TJR108" s="17"/>
      <c r="TJS108" s="17"/>
      <c r="TJT108" s="17"/>
      <c r="TJU108" s="17"/>
      <c r="TJV108" s="17"/>
      <c r="TJW108" s="17"/>
      <c r="TJX108" s="17"/>
      <c r="TJY108" s="17"/>
      <c r="TJZ108" s="17"/>
      <c r="TKA108" s="17"/>
      <c r="TKB108" s="17"/>
      <c r="TKC108" s="17"/>
      <c r="TKD108" s="17"/>
      <c r="TKE108" s="17"/>
      <c r="TKF108" s="17"/>
      <c r="TKG108" s="17"/>
      <c r="TKH108" s="17"/>
      <c r="TKI108" s="17"/>
      <c r="TKJ108" s="17"/>
      <c r="TKK108" s="17"/>
      <c r="TKL108" s="17"/>
      <c r="TKM108" s="17"/>
      <c r="TKN108" s="17"/>
      <c r="TKO108" s="17"/>
      <c r="TKP108" s="17"/>
      <c r="TKQ108" s="17"/>
      <c r="TKR108" s="17"/>
      <c r="TKS108" s="17"/>
      <c r="TKT108" s="17"/>
      <c r="TKU108" s="17"/>
      <c r="TKV108" s="17"/>
      <c r="TKW108" s="17"/>
      <c r="TKX108" s="17"/>
      <c r="TKY108" s="17"/>
      <c r="TKZ108" s="17"/>
      <c r="TLA108" s="17"/>
      <c r="TLB108" s="17"/>
      <c r="TLC108" s="17"/>
      <c r="TLD108" s="17"/>
      <c r="TLE108" s="17"/>
      <c r="TLF108" s="17"/>
      <c r="TLG108" s="17"/>
      <c r="TLH108" s="17"/>
      <c r="TLI108" s="17"/>
      <c r="TLJ108" s="17"/>
      <c r="TLK108" s="17"/>
      <c r="TLL108" s="17"/>
      <c r="TLM108" s="17"/>
      <c r="TLN108" s="17"/>
      <c r="TLO108" s="17"/>
      <c r="TLP108" s="17"/>
      <c r="TLQ108" s="17"/>
      <c r="TLR108" s="17"/>
      <c r="TLS108" s="17"/>
      <c r="TLT108" s="17"/>
      <c r="TLU108" s="17"/>
      <c r="TLV108" s="17"/>
      <c r="TLW108" s="17"/>
      <c r="TLX108" s="17"/>
      <c r="TLY108" s="17"/>
      <c r="TLZ108" s="17"/>
      <c r="TMA108" s="17"/>
      <c r="TMB108" s="17"/>
      <c r="TMC108" s="17"/>
      <c r="TMD108" s="17"/>
      <c r="TME108" s="17"/>
      <c r="TMF108" s="17"/>
      <c r="TMG108" s="17"/>
      <c r="TMH108" s="17"/>
      <c r="TMI108" s="17"/>
      <c r="TMJ108" s="17"/>
      <c r="TMK108" s="17"/>
      <c r="TML108" s="17"/>
      <c r="TMM108" s="17"/>
      <c r="TMN108" s="17"/>
      <c r="TMO108" s="17"/>
      <c r="TMP108" s="17"/>
      <c r="TMQ108" s="17"/>
      <c r="TMR108" s="17"/>
      <c r="TMS108" s="17"/>
      <c r="TMT108" s="17"/>
      <c r="TMU108" s="17"/>
      <c r="TMV108" s="17"/>
      <c r="TMW108" s="17"/>
      <c r="TMX108" s="17"/>
      <c r="TMY108" s="17"/>
      <c r="TMZ108" s="17"/>
      <c r="TNA108" s="17"/>
      <c r="TNB108" s="17"/>
      <c r="TNC108" s="17"/>
      <c r="TND108" s="17"/>
      <c r="TNE108" s="17"/>
      <c r="TNF108" s="17"/>
      <c r="TNG108" s="17"/>
      <c r="TNH108" s="17"/>
      <c r="TNI108" s="17"/>
      <c r="TNJ108" s="17"/>
      <c r="TNK108" s="17"/>
      <c r="TNL108" s="17"/>
      <c r="TNM108" s="17"/>
      <c r="TNN108" s="17"/>
      <c r="TNO108" s="17"/>
      <c r="TNP108" s="17"/>
      <c r="TNQ108" s="17"/>
      <c r="TNR108" s="17"/>
      <c r="TNS108" s="17"/>
      <c r="TNT108" s="17"/>
      <c r="TNU108" s="17"/>
      <c r="TNV108" s="17"/>
      <c r="TNW108" s="17"/>
      <c r="TNX108" s="17"/>
      <c r="TNY108" s="17"/>
      <c r="TNZ108" s="17"/>
      <c r="TOA108" s="17"/>
      <c r="TOB108" s="17"/>
      <c r="TOC108" s="17"/>
      <c r="TOD108" s="17"/>
      <c r="TOE108" s="17"/>
      <c r="TOF108" s="17"/>
      <c r="TOG108" s="17"/>
      <c r="TOH108" s="17"/>
      <c r="TOI108" s="17"/>
      <c r="TOJ108" s="17"/>
      <c r="TOK108" s="17"/>
      <c r="TOL108" s="17"/>
      <c r="TOM108" s="17"/>
      <c r="TON108" s="17"/>
      <c r="TOO108" s="17"/>
      <c r="TOP108" s="17"/>
      <c r="TOQ108" s="17"/>
      <c r="TOR108" s="17"/>
      <c r="TOS108" s="17"/>
      <c r="TOT108" s="17"/>
      <c r="TOU108" s="17"/>
      <c r="TOV108" s="17"/>
      <c r="TOW108" s="17"/>
      <c r="TOX108" s="17"/>
      <c r="TOY108" s="17"/>
      <c r="TOZ108" s="17"/>
      <c r="TPA108" s="17"/>
      <c r="TPB108" s="17"/>
      <c r="TPC108" s="17"/>
      <c r="TPD108" s="17"/>
      <c r="TPE108" s="17"/>
      <c r="TPF108" s="17"/>
      <c r="TPG108" s="17"/>
      <c r="TPH108" s="17"/>
      <c r="TPI108" s="17"/>
      <c r="TPJ108" s="17"/>
      <c r="TPK108" s="17"/>
      <c r="TPL108" s="17"/>
      <c r="TPM108" s="17"/>
      <c r="TPN108" s="17"/>
      <c r="TPO108" s="17"/>
      <c r="TPP108" s="17"/>
      <c r="TPQ108" s="17"/>
      <c r="TPR108" s="17"/>
      <c r="TPS108" s="17"/>
      <c r="TPT108" s="17"/>
      <c r="TPU108" s="17"/>
      <c r="TPV108" s="17"/>
      <c r="TPW108" s="17"/>
      <c r="TPX108" s="17"/>
      <c r="TPY108" s="17"/>
      <c r="TPZ108" s="17"/>
      <c r="TQA108" s="17"/>
      <c r="TQB108" s="17"/>
      <c r="TQC108" s="17"/>
      <c r="TQD108" s="17"/>
      <c r="TQE108" s="17"/>
      <c r="TQF108" s="17"/>
      <c r="TQG108" s="17"/>
      <c r="TQH108" s="17"/>
      <c r="TQI108" s="17"/>
      <c r="TQJ108" s="17"/>
      <c r="TQK108" s="17"/>
      <c r="TQL108" s="17"/>
      <c r="TQM108" s="17"/>
      <c r="TQN108" s="17"/>
      <c r="TQO108" s="17"/>
      <c r="TQP108" s="17"/>
      <c r="TQQ108" s="17"/>
      <c r="TQR108" s="17"/>
      <c r="TQS108" s="17"/>
      <c r="TQT108" s="17"/>
      <c r="TQU108" s="17"/>
      <c r="TQV108" s="17"/>
      <c r="TQW108" s="17"/>
      <c r="TQX108" s="17"/>
      <c r="TQY108" s="17"/>
      <c r="TQZ108" s="17"/>
      <c r="TRA108" s="17"/>
      <c r="TRB108" s="17"/>
      <c r="TRC108" s="17"/>
      <c r="TRD108" s="17"/>
      <c r="TRE108" s="17"/>
      <c r="TRF108" s="17"/>
      <c r="TRG108" s="17"/>
      <c r="TRH108" s="17"/>
      <c r="TRI108" s="17"/>
      <c r="TRJ108" s="17"/>
      <c r="TRK108" s="17"/>
      <c r="TRL108" s="17"/>
      <c r="TRM108" s="17"/>
      <c r="TRN108" s="17"/>
      <c r="TRO108" s="17"/>
      <c r="TRP108" s="17"/>
      <c r="TRQ108" s="17"/>
      <c r="TRR108" s="17"/>
      <c r="TRS108" s="17"/>
      <c r="TRT108" s="17"/>
      <c r="TRU108" s="17"/>
      <c r="TRV108" s="17"/>
      <c r="TRW108" s="17"/>
      <c r="TRX108" s="17"/>
      <c r="TRY108" s="17"/>
      <c r="TRZ108" s="17"/>
      <c r="TSA108" s="17"/>
      <c r="TSB108" s="17"/>
      <c r="TSC108" s="17"/>
      <c r="TSD108" s="17"/>
      <c r="TSE108" s="17"/>
      <c r="TSF108" s="17"/>
      <c r="TSG108" s="17"/>
      <c r="TSH108" s="17"/>
      <c r="TSI108" s="17"/>
      <c r="TSJ108" s="17"/>
      <c r="TSK108" s="17"/>
      <c r="TSL108" s="17"/>
      <c r="TSM108" s="17"/>
      <c r="TSN108" s="17"/>
      <c r="TSO108" s="17"/>
      <c r="TSP108" s="17"/>
      <c r="TSQ108" s="17"/>
      <c r="TSR108" s="17"/>
      <c r="TSS108" s="17"/>
      <c r="TST108" s="17"/>
      <c r="TSU108" s="17"/>
      <c r="TSV108" s="17"/>
      <c r="TSW108" s="17"/>
      <c r="TSX108" s="17"/>
      <c r="TSY108" s="17"/>
      <c r="TSZ108" s="17"/>
      <c r="TTA108" s="17"/>
      <c r="TTB108" s="17"/>
      <c r="TTC108" s="17"/>
      <c r="TTD108" s="17"/>
      <c r="TTE108" s="17"/>
      <c r="TTF108" s="17"/>
      <c r="TTG108" s="17"/>
      <c r="TTH108" s="17"/>
      <c r="TTI108" s="17"/>
      <c r="TTJ108" s="17"/>
      <c r="TTK108" s="17"/>
      <c r="TTL108" s="17"/>
      <c r="TTM108" s="17"/>
      <c r="TTN108" s="17"/>
      <c r="TTO108" s="17"/>
      <c r="TTP108" s="17"/>
      <c r="TTQ108" s="17"/>
      <c r="TTR108" s="17"/>
      <c r="TTS108" s="17"/>
      <c r="TTT108" s="17"/>
      <c r="TTU108" s="17"/>
      <c r="TTV108" s="17"/>
      <c r="TTW108" s="17"/>
      <c r="TTX108" s="17"/>
      <c r="TTY108" s="17"/>
      <c r="TTZ108" s="17"/>
      <c r="TUA108" s="17"/>
      <c r="TUB108" s="17"/>
      <c r="TUC108" s="17"/>
      <c r="TUD108" s="17"/>
      <c r="TUE108" s="17"/>
      <c r="TUF108" s="17"/>
      <c r="TUG108" s="17"/>
      <c r="TUH108" s="17"/>
      <c r="TUI108" s="17"/>
      <c r="TUJ108" s="17"/>
      <c r="TUK108" s="17"/>
      <c r="TUL108" s="17"/>
      <c r="TUM108" s="17"/>
      <c r="TUN108" s="17"/>
      <c r="TUO108" s="17"/>
      <c r="TUP108" s="17"/>
      <c r="TUQ108" s="17"/>
      <c r="TUR108" s="17"/>
      <c r="TUS108" s="17"/>
      <c r="TUT108" s="17"/>
      <c r="TUU108" s="17"/>
      <c r="TUV108" s="17"/>
      <c r="TUW108" s="17"/>
      <c r="TUX108" s="17"/>
      <c r="TUY108" s="17"/>
      <c r="TUZ108" s="17"/>
      <c r="TVA108" s="17"/>
      <c r="TVB108" s="17"/>
      <c r="TVC108" s="17"/>
      <c r="TVD108" s="17"/>
      <c r="TVE108" s="17"/>
      <c r="TVF108" s="17"/>
      <c r="TVG108" s="17"/>
      <c r="TVH108" s="17"/>
      <c r="TVI108" s="17"/>
      <c r="TVJ108" s="17"/>
      <c r="TVK108" s="17"/>
      <c r="TVL108" s="17"/>
      <c r="TVM108" s="17"/>
      <c r="TVN108" s="17"/>
      <c r="TVO108" s="17"/>
      <c r="TVP108" s="17"/>
      <c r="TVQ108" s="17"/>
      <c r="TVR108" s="17"/>
      <c r="TVS108" s="17"/>
      <c r="TVT108" s="17"/>
      <c r="TVU108" s="17"/>
      <c r="TVV108" s="17"/>
      <c r="TVW108" s="17"/>
      <c r="TVX108" s="17"/>
      <c r="TVY108" s="17"/>
      <c r="TVZ108" s="17"/>
      <c r="TWA108" s="17"/>
      <c r="TWB108" s="17"/>
      <c r="TWC108" s="17"/>
      <c r="TWD108" s="17"/>
      <c r="TWE108" s="17"/>
      <c r="TWF108" s="17"/>
      <c r="TWG108" s="17"/>
      <c r="TWH108" s="17"/>
      <c r="TWI108" s="17"/>
      <c r="TWJ108" s="17"/>
      <c r="TWK108" s="17"/>
      <c r="TWL108" s="17"/>
      <c r="TWM108" s="17"/>
      <c r="TWN108" s="17"/>
      <c r="TWO108" s="17"/>
      <c r="TWP108" s="17"/>
      <c r="TWQ108" s="17"/>
      <c r="TWR108" s="17"/>
      <c r="TWS108" s="17"/>
      <c r="TWT108" s="17"/>
      <c r="TWU108" s="17"/>
      <c r="TWV108" s="17"/>
      <c r="TWW108" s="17"/>
      <c r="TWX108" s="17"/>
      <c r="TWY108" s="17"/>
      <c r="TWZ108" s="17"/>
      <c r="TXA108" s="17"/>
      <c r="TXB108" s="17"/>
      <c r="TXC108" s="17"/>
      <c r="TXD108" s="17"/>
      <c r="TXE108" s="17"/>
      <c r="TXF108" s="17"/>
      <c r="TXG108" s="17"/>
      <c r="TXH108" s="17"/>
      <c r="TXI108" s="17"/>
      <c r="TXJ108" s="17"/>
      <c r="TXK108" s="17"/>
      <c r="TXL108" s="17"/>
      <c r="TXM108" s="17"/>
      <c r="TXN108" s="17"/>
      <c r="TXO108" s="17"/>
      <c r="TXP108" s="17"/>
      <c r="TXQ108" s="17"/>
      <c r="TXR108" s="17"/>
      <c r="TXS108" s="17"/>
      <c r="TXT108" s="17"/>
      <c r="TXU108" s="17"/>
      <c r="TXV108" s="17"/>
      <c r="TXW108" s="17"/>
      <c r="TXX108" s="17"/>
      <c r="TXY108" s="17"/>
      <c r="TXZ108" s="17"/>
      <c r="TYA108" s="17"/>
      <c r="TYB108" s="17"/>
      <c r="TYC108" s="17"/>
      <c r="TYD108" s="17"/>
      <c r="TYE108" s="17"/>
      <c r="TYF108" s="17"/>
      <c r="TYG108" s="17"/>
      <c r="TYH108" s="17"/>
      <c r="TYI108" s="17"/>
      <c r="TYJ108" s="17"/>
      <c r="TYK108" s="17"/>
      <c r="TYL108" s="17"/>
      <c r="TYM108" s="17"/>
      <c r="TYN108" s="17"/>
      <c r="TYO108" s="17"/>
      <c r="TYP108" s="17"/>
      <c r="TYQ108" s="17"/>
      <c r="TYR108" s="17"/>
      <c r="TYS108" s="17"/>
      <c r="TYT108" s="17"/>
      <c r="TYU108" s="17"/>
      <c r="TYV108" s="17"/>
      <c r="TYW108" s="17"/>
      <c r="TYX108" s="17"/>
      <c r="TYY108" s="17"/>
      <c r="TYZ108" s="17"/>
      <c r="TZA108" s="17"/>
      <c r="TZB108" s="17"/>
      <c r="TZC108" s="17"/>
      <c r="TZD108" s="17"/>
      <c r="TZE108" s="17"/>
      <c r="TZF108" s="17"/>
      <c r="TZG108" s="17"/>
      <c r="TZH108" s="17"/>
      <c r="TZI108" s="17"/>
      <c r="TZJ108" s="17"/>
      <c r="TZK108" s="17"/>
      <c r="TZL108" s="17"/>
      <c r="TZM108" s="17"/>
      <c r="TZN108" s="17"/>
      <c r="TZO108" s="17"/>
      <c r="TZP108" s="17"/>
      <c r="TZQ108" s="17"/>
      <c r="TZR108" s="17"/>
      <c r="TZS108" s="17"/>
      <c r="TZT108" s="17"/>
      <c r="TZU108" s="17"/>
      <c r="TZV108" s="17"/>
      <c r="TZW108" s="17"/>
      <c r="TZX108" s="17"/>
      <c r="TZY108" s="17"/>
      <c r="TZZ108" s="17"/>
      <c r="UAA108" s="17"/>
      <c r="UAB108" s="17"/>
      <c r="UAC108" s="17"/>
      <c r="UAD108" s="17"/>
      <c r="UAE108" s="17"/>
      <c r="UAF108" s="17"/>
      <c r="UAG108" s="17"/>
      <c r="UAH108" s="17"/>
      <c r="UAI108" s="17"/>
      <c r="UAJ108" s="17"/>
      <c r="UAK108" s="17"/>
      <c r="UAL108" s="17"/>
      <c r="UAM108" s="17"/>
      <c r="UAN108" s="17"/>
      <c r="UAO108" s="17"/>
      <c r="UAP108" s="17"/>
      <c r="UAQ108" s="17"/>
      <c r="UAR108" s="17"/>
      <c r="UAS108" s="17"/>
      <c r="UAT108" s="17"/>
      <c r="UAU108" s="17"/>
      <c r="UAV108" s="17"/>
      <c r="UAW108" s="17"/>
      <c r="UAX108" s="17"/>
      <c r="UAY108" s="17"/>
      <c r="UAZ108" s="17"/>
      <c r="UBA108" s="17"/>
      <c r="UBB108" s="17"/>
      <c r="UBC108" s="17"/>
      <c r="UBD108" s="17"/>
      <c r="UBE108" s="17"/>
      <c r="UBF108" s="17"/>
      <c r="UBG108" s="17"/>
      <c r="UBH108" s="17"/>
      <c r="UBI108" s="17"/>
      <c r="UBJ108" s="17"/>
      <c r="UBK108" s="17"/>
      <c r="UBL108" s="17"/>
      <c r="UBM108" s="17"/>
      <c r="UBN108" s="17"/>
      <c r="UBO108" s="17"/>
      <c r="UBP108" s="17"/>
      <c r="UBQ108" s="17"/>
      <c r="UBR108" s="17"/>
      <c r="UBS108" s="17"/>
      <c r="UBT108" s="17"/>
      <c r="UBU108" s="17"/>
      <c r="UBV108" s="17"/>
      <c r="UBW108" s="17"/>
      <c r="UBX108" s="17"/>
      <c r="UBY108" s="17"/>
      <c r="UBZ108" s="17"/>
      <c r="UCA108" s="17"/>
      <c r="UCB108" s="17"/>
      <c r="UCC108" s="17"/>
      <c r="UCD108" s="17"/>
      <c r="UCE108" s="17"/>
      <c r="UCF108" s="17"/>
      <c r="UCG108" s="17"/>
      <c r="UCH108" s="17"/>
      <c r="UCI108" s="17"/>
      <c r="UCJ108" s="17"/>
      <c r="UCK108" s="17"/>
      <c r="UCL108" s="17"/>
      <c r="UCM108" s="17"/>
      <c r="UCN108" s="17"/>
      <c r="UCO108" s="17"/>
      <c r="UCP108" s="17"/>
      <c r="UCQ108" s="17"/>
      <c r="UCR108" s="17"/>
      <c r="UCS108" s="17"/>
      <c r="UCT108" s="17"/>
      <c r="UCU108" s="17"/>
      <c r="UCV108" s="17"/>
      <c r="UCW108" s="17"/>
      <c r="UCX108" s="17"/>
      <c r="UCY108" s="17"/>
      <c r="UCZ108" s="17"/>
      <c r="UDA108" s="17"/>
      <c r="UDB108" s="17"/>
      <c r="UDC108" s="17"/>
      <c r="UDD108" s="17"/>
      <c r="UDE108" s="17"/>
      <c r="UDF108" s="17"/>
      <c r="UDG108" s="17"/>
      <c r="UDH108" s="17"/>
      <c r="UDI108" s="17"/>
      <c r="UDJ108" s="17"/>
      <c r="UDK108" s="17"/>
      <c r="UDL108" s="17"/>
      <c r="UDM108" s="17"/>
      <c r="UDN108" s="17"/>
      <c r="UDO108" s="17"/>
      <c r="UDP108" s="17"/>
      <c r="UDQ108" s="17"/>
      <c r="UDR108" s="17"/>
      <c r="UDS108" s="17"/>
      <c r="UDT108" s="17"/>
      <c r="UDU108" s="17"/>
      <c r="UDV108" s="17"/>
      <c r="UDW108" s="17"/>
      <c r="UDX108" s="17"/>
      <c r="UDY108" s="17"/>
      <c r="UDZ108" s="17"/>
      <c r="UEA108" s="17"/>
      <c r="UEB108" s="17"/>
      <c r="UEC108" s="17"/>
      <c r="UED108" s="17"/>
      <c r="UEE108" s="17"/>
      <c r="UEF108" s="17"/>
      <c r="UEG108" s="17"/>
      <c r="UEH108" s="17"/>
      <c r="UEI108" s="17"/>
      <c r="UEJ108" s="17"/>
      <c r="UEK108" s="17"/>
      <c r="UEL108" s="17"/>
      <c r="UEM108" s="17"/>
      <c r="UEN108" s="17"/>
      <c r="UEO108" s="17"/>
      <c r="UEP108" s="17"/>
      <c r="UEQ108" s="17"/>
      <c r="UER108" s="17"/>
      <c r="UES108" s="17"/>
      <c r="UET108" s="17"/>
      <c r="UEU108" s="17"/>
      <c r="UEV108" s="17"/>
      <c r="UEW108" s="17"/>
      <c r="UEX108" s="17"/>
      <c r="UEY108" s="17"/>
      <c r="UEZ108" s="17"/>
      <c r="UFA108" s="17"/>
      <c r="UFB108" s="17"/>
      <c r="UFC108" s="17"/>
      <c r="UFD108" s="17"/>
      <c r="UFE108" s="17"/>
      <c r="UFF108" s="17"/>
      <c r="UFG108" s="17"/>
      <c r="UFH108" s="17"/>
      <c r="UFI108" s="17"/>
      <c r="UFJ108" s="17"/>
      <c r="UFK108" s="17"/>
      <c r="UFL108" s="17"/>
      <c r="UFM108" s="17"/>
      <c r="UFN108" s="17"/>
      <c r="UFO108" s="17"/>
      <c r="UFP108" s="17"/>
      <c r="UFQ108" s="17"/>
      <c r="UFR108" s="17"/>
      <c r="UFS108" s="17"/>
      <c r="UFT108" s="17"/>
      <c r="UFU108" s="17"/>
      <c r="UFV108" s="17"/>
      <c r="UFW108" s="17"/>
      <c r="UFX108" s="17"/>
      <c r="UFY108" s="17"/>
      <c r="UFZ108" s="17"/>
      <c r="UGA108" s="17"/>
      <c r="UGB108" s="17"/>
      <c r="UGC108" s="17"/>
      <c r="UGD108" s="17"/>
      <c r="UGE108" s="17"/>
      <c r="UGF108" s="17"/>
      <c r="UGG108" s="17"/>
      <c r="UGH108" s="17"/>
      <c r="UGI108" s="17"/>
      <c r="UGJ108" s="17"/>
      <c r="UGK108" s="17"/>
      <c r="UGL108" s="17"/>
      <c r="UGM108" s="17"/>
      <c r="UGN108" s="17"/>
      <c r="UGO108" s="17"/>
      <c r="UGP108" s="17"/>
      <c r="UGQ108" s="17"/>
      <c r="UGR108" s="17"/>
      <c r="UGS108" s="17"/>
      <c r="UGT108" s="17"/>
      <c r="UGU108" s="17"/>
      <c r="UGV108" s="17"/>
      <c r="UGW108" s="17"/>
      <c r="UGX108" s="17"/>
      <c r="UGY108" s="17"/>
      <c r="UGZ108" s="17"/>
      <c r="UHA108" s="17"/>
      <c r="UHB108" s="17"/>
      <c r="UHC108" s="17"/>
      <c r="UHD108" s="17"/>
      <c r="UHE108" s="17"/>
      <c r="UHF108" s="17"/>
      <c r="UHG108" s="17"/>
      <c r="UHH108" s="17"/>
      <c r="UHI108" s="17"/>
      <c r="UHJ108" s="17"/>
      <c r="UHK108" s="17"/>
      <c r="UHL108" s="17"/>
      <c r="UHM108" s="17"/>
      <c r="UHN108" s="17"/>
      <c r="UHO108" s="17"/>
      <c r="UHP108" s="17"/>
      <c r="UHQ108" s="17"/>
      <c r="UHR108" s="17"/>
      <c r="UHS108" s="17"/>
      <c r="UHT108" s="17"/>
      <c r="UHU108" s="17"/>
      <c r="UHV108" s="17"/>
      <c r="UHW108" s="17"/>
      <c r="UHX108" s="17"/>
      <c r="UHY108" s="17"/>
      <c r="UHZ108" s="17"/>
      <c r="UIA108" s="17"/>
      <c r="UIB108" s="17"/>
      <c r="UIC108" s="17"/>
      <c r="UID108" s="17"/>
      <c r="UIE108" s="17"/>
      <c r="UIF108" s="17"/>
      <c r="UIG108" s="17"/>
      <c r="UIH108" s="17"/>
      <c r="UII108" s="17"/>
      <c r="UIJ108" s="17"/>
      <c r="UIK108" s="17"/>
      <c r="UIL108" s="17"/>
      <c r="UIM108" s="17"/>
      <c r="UIN108" s="17"/>
      <c r="UIO108" s="17"/>
      <c r="UIP108" s="17"/>
      <c r="UIQ108" s="17"/>
      <c r="UIR108" s="17"/>
      <c r="UIS108" s="17"/>
      <c r="UIT108" s="17"/>
      <c r="UIU108" s="17"/>
      <c r="UIV108" s="17"/>
      <c r="UIW108" s="17"/>
      <c r="UIX108" s="17"/>
      <c r="UIY108" s="17"/>
      <c r="UIZ108" s="17"/>
      <c r="UJA108" s="17"/>
      <c r="UJB108" s="17"/>
      <c r="UJC108" s="17"/>
      <c r="UJD108" s="17"/>
      <c r="UJE108" s="17"/>
      <c r="UJF108" s="17"/>
      <c r="UJG108" s="17"/>
      <c r="UJH108" s="17"/>
      <c r="UJI108" s="17"/>
      <c r="UJJ108" s="17"/>
      <c r="UJK108" s="17"/>
      <c r="UJL108" s="17"/>
      <c r="UJM108" s="17"/>
      <c r="UJN108" s="17"/>
      <c r="UJO108" s="17"/>
      <c r="UJP108" s="17"/>
      <c r="UJQ108" s="17"/>
      <c r="UJR108" s="17"/>
      <c r="UJS108" s="17"/>
      <c r="UJT108" s="17"/>
      <c r="UJU108" s="17"/>
      <c r="UJV108" s="17"/>
      <c r="UJW108" s="17"/>
      <c r="UJX108" s="17"/>
      <c r="UJY108" s="17"/>
      <c r="UJZ108" s="17"/>
      <c r="UKA108" s="17"/>
      <c r="UKB108" s="17"/>
      <c r="UKC108" s="17"/>
      <c r="UKD108" s="17"/>
      <c r="UKE108" s="17"/>
      <c r="UKF108" s="17"/>
      <c r="UKG108" s="17"/>
      <c r="UKH108" s="17"/>
      <c r="UKI108" s="17"/>
      <c r="UKJ108" s="17"/>
      <c r="UKK108" s="17"/>
      <c r="UKL108" s="17"/>
      <c r="UKM108" s="17"/>
      <c r="UKN108" s="17"/>
      <c r="UKO108" s="17"/>
      <c r="UKP108" s="17"/>
      <c r="UKQ108" s="17"/>
      <c r="UKR108" s="17"/>
      <c r="UKS108" s="17"/>
      <c r="UKT108" s="17"/>
      <c r="UKU108" s="17"/>
      <c r="UKV108" s="17"/>
      <c r="UKW108" s="17"/>
      <c r="UKX108" s="17"/>
      <c r="UKY108" s="17"/>
      <c r="UKZ108" s="17"/>
      <c r="ULA108" s="17"/>
      <c r="ULB108" s="17"/>
      <c r="ULC108" s="17"/>
      <c r="ULD108" s="17"/>
      <c r="ULE108" s="17"/>
      <c r="ULF108" s="17"/>
      <c r="ULG108" s="17"/>
      <c r="ULH108" s="17"/>
      <c r="ULI108" s="17"/>
      <c r="ULJ108" s="17"/>
      <c r="ULK108" s="17"/>
      <c r="ULL108" s="17"/>
      <c r="ULM108" s="17"/>
      <c r="ULN108" s="17"/>
      <c r="ULO108" s="17"/>
      <c r="ULP108" s="17"/>
      <c r="ULQ108" s="17"/>
      <c r="ULR108" s="17"/>
      <c r="ULS108" s="17"/>
      <c r="ULT108" s="17"/>
      <c r="ULU108" s="17"/>
      <c r="ULV108" s="17"/>
      <c r="ULW108" s="17"/>
      <c r="ULX108" s="17"/>
      <c r="ULY108" s="17"/>
      <c r="ULZ108" s="17"/>
      <c r="UMA108" s="17"/>
      <c r="UMB108" s="17"/>
      <c r="UMC108" s="17"/>
      <c r="UMD108" s="17"/>
      <c r="UME108" s="17"/>
      <c r="UMF108" s="17"/>
      <c r="UMG108" s="17"/>
      <c r="UMH108" s="17"/>
      <c r="UMI108" s="17"/>
      <c r="UMJ108" s="17"/>
      <c r="UMK108" s="17"/>
      <c r="UML108" s="17"/>
      <c r="UMM108" s="17"/>
      <c r="UMN108" s="17"/>
      <c r="UMO108" s="17"/>
      <c r="UMP108" s="17"/>
      <c r="UMQ108" s="17"/>
      <c r="UMR108" s="17"/>
      <c r="UMS108" s="17"/>
      <c r="UMT108" s="17"/>
      <c r="UMU108" s="17"/>
      <c r="UMV108" s="17"/>
      <c r="UMW108" s="17"/>
      <c r="UMX108" s="17"/>
      <c r="UMY108" s="17"/>
      <c r="UMZ108" s="17"/>
      <c r="UNA108" s="17"/>
      <c r="UNB108" s="17"/>
      <c r="UNC108" s="17"/>
      <c r="UND108" s="17"/>
      <c r="UNE108" s="17"/>
      <c r="UNF108" s="17"/>
      <c r="UNG108" s="17"/>
      <c r="UNH108" s="17"/>
      <c r="UNI108" s="17"/>
      <c r="UNJ108" s="17"/>
      <c r="UNK108" s="17"/>
      <c r="UNL108" s="17"/>
      <c r="UNM108" s="17"/>
      <c r="UNN108" s="17"/>
      <c r="UNO108" s="17"/>
      <c r="UNP108" s="17"/>
      <c r="UNQ108" s="17"/>
      <c r="UNR108" s="17"/>
      <c r="UNS108" s="17"/>
      <c r="UNT108" s="17"/>
      <c r="UNU108" s="17"/>
      <c r="UNV108" s="17"/>
      <c r="UNW108" s="17"/>
      <c r="UNX108" s="17"/>
      <c r="UNY108" s="17"/>
      <c r="UNZ108" s="17"/>
      <c r="UOA108" s="17"/>
      <c r="UOB108" s="17"/>
      <c r="UOC108" s="17"/>
      <c r="UOD108" s="17"/>
      <c r="UOE108" s="17"/>
      <c r="UOF108" s="17"/>
      <c r="UOG108" s="17"/>
      <c r="UOH108" s="17"/>
      <c r="UOI108" s="17"/>
      <c r="UOJ108" s="17"/>
      <c r="UOK108" s="17"/>
      <c r="UOL108" s="17"/>
      <c r="UOM108" s="17"/>
      <c r="UON108" s="17"/>
      <c r="UOO108" s="17"/>
      <c r="UOP108" s="17"/>
      <c r="UOQ108" s="17"/>
      <c r="UOR108" s="17"/>
      <c r="UOS108" s="17"/>
      <c r="UOT108" s="17"/>
      <c r="UOU108" s="17"/>
      <c r="UOV108" s="17"/>
      <c r="UOW108" s="17"/>
      <c r="UOX108" s="17"/>
      <c r="UOY108" s="17"/>
      <c r="UOZ108" s="17"/>
      <c r="UPA108" s="17"/>
      <c r="UPB108" s="17"/>
      <c r="UPC108" s="17"/>
      <c r="UPD108" s="17"/>
      <c r="UPE108" s="17"/>
      <c r="UPF108" s="17"/>
      <c r="UPG108" s="17"/>
      <c r="UPH108" s="17"/>
      <c r="UPI108" s="17"/>
      <c r="UPJ108" s="17"/>
      <c r="UPK108" s="17"/>
      <c r="UPL108" s="17"/>
      <c r="UPM108" s="17"/>
      <c r="UPN108" s="17"/>
      <c r="UPO108" s="17"/>
      <c r="UPP108" s="17"/>
      <c r="UPQ108" s="17"/>
      <c r="UPR108" s="17"/>
      <c r="UPS108" s="17"/>
      <c r="UPT108" s="17"/>
      <c r="UPU108" s="17"/>
      <c r="UPV108" s="17"/>
      <c r="UPW108" s="17"/>
      <c r="UPX108" s="17"/>
      <c r="UPY108" s="17"/>
      <c r="UPZ108" s="17"/>
      <c r="UQA108" s="17"/>
      <c r="UQB108" s="17"/>
      <c r="UQC108" s="17"/>
      <c r="UQD108" s="17"/>
      <c r="UQE108" s="17"/>
      <c r="UQF108" s="17"/>
      <c r="UQG108" s="17"/>
      <c r="UQH108" s="17"/>
      <c r="UQI108" s="17"/>
      <c r="UQJ108" s="17"/>
      <c r="UQK108" s="17"/>
      <c r="UQL108" s="17"/>
      <c r="UQM108" s="17"/>
      <c r="UQN108" s="17"/>
      <c r="UQO108" s="17"/>
      <c r="UQP108" s="17"/>
      <c r="UQQ108" s="17"/>
      <c r="UQR108" s="17"/>
      <c r="UQS108" s="17"/>
      <c r="UQT108" s="17"/>
      <c r="UQU108" s="17"/>
      <c r="UQV108" s="17"/>
      <c r="UQW108" s="17"/>
      <c r="UQX108" s="17"/>
      <c r="UQY108" s="17"/>
      <c r="UQZ108" s="17"/>
      <c r="URA108" s="17"/>
      <c r="URB108" s="17"/>
      <c r="URC108" s="17"/>
      <c r="URD108" s="17"/>
      <c r="URE108" s="17"/>
      <c r="URF108" s="17"/>
      <c r="URG108" s="17"/>
      <c r="URH108" s="17"/>
      <c r="URI108" s="17"/>
      <c r="URJ108" s="17"/>
      <c r="URK108" s="17"/>
      <c r="URL108" s="17"/>
      <c r="URM108" s="17"/>
      <c r="URN108" s="17"/>
      <c r="URO108" s="17"/>
      <c r="URP108" s="17"/>
      <c r="URQ108" s="17"/>
      <c r="URR108" s="17"/>
      <c r="URS108" s="17"/>
      <c r="URT108" s="17"/>
      <c r="URU108" s="17"/>
      <c r="URV108" s="17"/>
      <c r="URW108" s="17"/>
      <c r="URX108" s="17"/>
      <c r="URY108" s="17"/>
      <c r="URZ108" s="17"/>
      <c r="USA108" s="17"/>
      <c r="USB108" s="17"/>
      <c r="USC108" s="17"/>
      <c r="USD108" s="17"/>
      <c r="USE108" s="17"/>
      <c r="USF108" s="17"/>
      <c r="USG108" s="17"/>
      <c r="USH108" s="17"/>
      <c r="USI108" s="17"/>
      <c r="USJ108" s="17"/>
      <c r="USK108" s="17"/>
      <c r="USL108" s="17"/>
      <c r="USM108" s="17"/>
      <c r="USN108" s="17"/>
      <c r="USO108" s="17"/>
      <c r="USP108" s="17"/>
      <c r="USQ108" s="17"/>
      <c r="USR108" s="17"/>
      <c r="USS108" s="17"/>
      <c r="UST108" s="17"/>
      <c r="USU108" s="17"/>
      <c r="USV108" s="17"/>
      <c r="USW108" s="17"/>
      <c r="USX108" s="17"/>
      <c r="USY108" s="17"/>
      <c r="USZ108" s="17"/>
      <c r="UTA108" s="17"/>
      <c r="UTB108" s="17"/>
      <c r="UTC108" s="17"/>
      <c r="UTD108" s="17"/>
      <c r="UTE108" s="17"/>
      <c r="UTF108" s="17"/>
      <c r="UTG108" s="17"/>
      <c r="UTH108" s="17"/>
      <c r="UTI108" s="17"/>
      <c r="UTJ108" s="17"/>
      <c r="UTK108" s="17"/>
      <c r="UTL108" s="17"/>
      <c r="UTM108" s="17"/>
      <c r="UTN108" s="17"/>
      <c r="UTO108" s="17"/>
      <c r="UTP108" s="17"/>
      <c r="UTQ108" s="17"/>
      <c r="UTR108" s="17"/>
      <c r="UTS108" s="17"/>
      <c r="UTT108" s="17"/>
      <c r="UTU108" s="17"/>
      <c r="UTV108" s="17"/>
      <c r="UTW108" s="17"/>
      <c r="UTX108" s="17"/>
      <c r="UTY108" s="17"/>
      <c r="UTZ108" s="17"/>
      <c r="UUA108" s="17"/>
      <c r="UUB108" s="17"/>
      <c r="UUC108" s="17"/>
      <c r="UUD108" s="17"/>
      <c r="UUE108" s="17"/>
      <c r="UUF108" s="17"/>
      <c r="UUG108" s="17"/>
      <c r="UUH108" s="17"/>
      <c r="UUI108" s="17"/>
      <c r="UUJ108" s="17"/>
      <c r="UUK108" s="17"/>
      <c r="UUL108" s="17"/>
      <c r="UUM108" s="17"/>
      <c r="UUN108" s="17"/>
      <c r="UUO108" s="17"/>
      <c r="UUP108" s="17"/>
      <c r="UUQ108" s="17"/>
      <c r="UUR108" s="17"/>
      <c r="UUS108" s="17"/>
      <c r="UUT108" s="17"/>
      <c r="UUU108" s="17"/>
      <c r="UUV108" s="17"/>
      <c r="UUW108" s="17"/>
      <c r="UUX108" s="17"/>
      <c r="UUY108" s="17"/>
      <c r="UUZ108" s="17"/>
      <c r="UVA108" s="17"/>
      <c r="UVB108" s="17"/>
      <c r="UVC108" s="17"/>
      <c r="UVD108" s="17"/>
      <c r="UVE108" s="17"/>
      <c r="UVF108" s="17"/>
      <c r="UVG108" s="17"/>
      <c r="UVH108" s="17"/>
      <c r="UVI108" s="17"/>
      <c r="UVJ108" s="17"/>
      <c r="UVK108" s="17"/>
      <c r="UVL108" s="17"/>
      <c r="UVM108" s="17"/>
      <c r="UVN108" s="17"/>
      <c r="UVO108" s="17"/>
      <c r="UVP108" s="17"/>
      <c r="UVQ108" s="17"/>
      <c r="UVR108" s="17"/>
      <c r="UVS108" s="17"/>
      <c r="UVT108" s="17"/>
      <c r="UVU108" s="17"/>
      <c r="UVV108" s="17"/>
      <c r="UVW108" s="17"/>
      <c r="UVX108" s="17"/>
      <c r="UVY108" s="17"/>
      <c r="UVZ108" s="17"/>
      <c r="UWA108" s="17"/>
      <c r="UWB108" s="17"/>
      <c r="UWC108" s="17"/>
      <c r="UWD108" s="17"/>
      <c r="UWE108" s="17"/>
      <c r="UWF108" s="17"/>
      <c r="UWG108" s="17"/>
      <c r="UWH108" s="17"/>
      <c r="UWI108" s="17"/>
      <c r="UWJ108" s="17"/>
      <c r="UWK108" s="17"/>
      <c r="UWL108" s="17"/>
      <c r="UWM108" s="17"/>
      <c r="UWN108" s="17"/>
      <c r="UWO108" s="17"/>
      <c r="UWP108" s="17"/>
      <c r="UWQ108" s="17"/>
      <c r="UWR108" s="17"/>
      <c r="UWS108" s="17"/>
      <c r="UWT108" s="17"/>
      <c r="UWU108" s="17"/>
      <c r="UWV108" s="17"/>
      <c r="UWW108" s="17"/>
      <c r="UWX108" s="17"/>
      <c r="UWY108" s="17"/>
      <c r="UWZ108" s="17"/>
      <c r="UXA108" s="17"/>
      <c r="UXB108" s="17"/>
      <c r="UXC108" s="17"/>
      <c r="UXD108" s="17"/>
      <c r="UXE108" s="17"/>
      <c r="UXF108" s="17"/>
      <c r="UXG108" s="17"/>
      <c r="UXH108" s="17"/>
      <c r="UXI108" s="17"/>
      <c r="UXJ108" s="17"/>
      <c r="UXK108" s="17"/>
      <c r="UXL108" s="17"/>
      <c r="UXM108" s="17"/>
      <c r="UXN108" s="17"/>
      <c r="UXO108" s="17"/>
      <c r="UXP108" s="17"/>
      <c r="UXQ108" s="17"/>
      <c r="UXR108" s="17"/>
      <c r="UXS108" s="17"/>
      <c r="UXT108" s="17"/>
      <c r="UXU108" s="17"/>
      <c r="UXV108" s="17"/>
      <c r="UXW108" s="17"/>
      <c r="UXX108" s="17"/>
      <c r="UXY108" s="17"/>
      <c r="UXZ108" s="17"/>
      <c r="UYA108" s="17"/>
      <c r="UYB108" s="17"/>
      <c r="UYC108" s="17"/>
      <c r="UYD108" s="17"/>
      <c r="UYE108" s="17"/>
      <c r="UYF108" s="17"/>
      <c r="UYG108" s="17"/>
      <c r="UYH108" s="17"/>
      <c r="UYI108" s="17"/>
      <c r="UYJ108" s="17"/>
      <c r="UYK108" s="17"/>
      <c r="UYL108" s="17"/>
      <c r="UYM108" s="17"/>
      <c r="UYN108" s="17"/>
      <c r="UYO108" s="17"/>
      <c r="UYP108" s="17"/>
      <c r="UYQ108" s="17"/>
      <c r="UYR108" s="17"/>
      <c r="UYS108" s="17"/>
      <c r="UYT108" s="17"/>
      <c r="UYU108" s="17"/>
      <c r="UYV108" s="17"/>
      <c r="UYW108" s="17"/>
      <c r="UYX108" s="17"/>
      <c r="UYY108" s="17"/>
      <c r="UYZ108" s="17"/>
      <c r="UZA108" s="17"/>
      <c r="UZB108" s="17"/>
      <c r="UZC108" s="17"/>
      <c r="UZD108" s="17"/>
      <c r="UZE108" s="17"/>
      <c r="UZF108" s="17"/>
      <c r="UZG108" s="17"/>
      <c r="UZH108" s="17"/>
      <c r="UZI108" s="17"/>
      <c r="UZJ108" s="17"/>
      <c r="UZK108" s="17"/>
      <c r="UZL108" s="17"/>
      <c r="UZM108" s="17"/>
      <c r="UZN108" s="17"/>
      <c r="UZO108" s="17"/>
      <c r="UZP108" s="17"/>
      <c r="UZQ108" s="17"/>
      <c r="UZR108" s="17"/>
      <c r="UZS108" s="17"/>
      <c r="UZT108" s="17"/>
      <c r="UZU108" s="17"/>
      <c r="UZV108" s="17"/>
      <c r="UZW108" s="17"/>
      <c r="UZX108" s="17"/>
      <c r="UZY108" s="17"/>
      <c r="UZZ108" s="17"/>
      <c r="VAA108" s="17"/>
      <c r="VAB108" s="17"/>
      <c r="VAC108" s="17"/>
      <c r="VAD108" s="17"/>
      <c r="VAE108" s="17"/>
      <c r="VAF108" s="17"/>
      <c r="VAG108" s="17"/>
      <c r="VAH108" s="17"/>
      <c r="VAI108" s="17"/>
      <c r="VAJ108" s="17"/>
      <c r="VAK108" s="17"/>
      <c r="VAL108" s="17"/>
      <c r="VAM108" s="17"/>
      <c r="VAN108" s="17"/>
      <c r="VAO108" s="17"/>
      <c r="VAP108" s="17"/>
      <c r="VAQ108" s="17"/>
      <c r="VAR108" s="17"/>
      <c r="VAS108" s="17"/>
      <c r="VAT108" s="17"/>
      <c r="VAU108" s="17"/>
      <c r="VAV108" s="17"/>
      <c r="VAW108" s="17"/>
      <c r="VAX108" s="17"/>
      <c r="VAY108" s="17"/>
      <c r="VAZ108" s="17"/>
      <c r="VBA108" s="17"/>
      <c r="VBB108" s="17"/>
      <c r="VBC108" s="17"/>
      <c r="VBD108" s="17"/>
      <c r="VBE108" s="17"/>
      <c r="VBF108" s="17"/>
      <c r="VBG108" s="17"/>
      <c r="VBH108" s="17"/>
      <c r="VBI108" s="17"/>
      <c r="VBJ108" s="17"/>
      <c r="VBK108" s="17"/>
      <c r="VBL108" s="17"/>
      <c r="VBM108" s="17"/>
      <c r="VBN108" s="17"/>
      <c r="VBO108" s="17"/>
      <c r="VBP108" s="17"/>
      <c r="VBQ108" s="17"/>
      <c r="VBR108" s="17"/>
      <c r="VBS108" s="17"/>
      <c r="VBT108" s="17"/>
      <c r="VBU108" s="17"/>
      <c r="VBV108" s="17"/>
      <c r="VBW108" s="17"/>
      <c r="VBX108" s="17"/>
      <c r="VBY108" s="17"/>
      <c r="VBZ108" s="17"/>
      <c r="VCA108" s="17"/>
      <c r="VCB108" s="17"/>
      <c r="VCC108" s="17"/>
      <c r="VCD108" s="17"/>
      <c r="VCE108" s="17"/>
      <c r="VCF108" s="17"/>
      <c r="VCG108" s="17"/>
      <c r="VCH108" s="17"/>
      <c r="VCI108" s="17"/>
      <c r="VCJ108" s="17"/>
      <c r="VCK108" s="17"/>
      <c r="VCL108" s="17"/>
      <c r="VCM108" s="17"/>
      <c r="VCN108" s="17"/>
      <c r="VCO108" s="17"/>
      <c r="VCP108" s="17"/>
      <c r="VCQ108" s="17"/>
      <c r="VCR108" s="17"/>
      <c r="VCS108" s="17"/>
      <c r="VCT108" s="17"/>
      <c r="VCU108" s="17"/>
      <c r="VCV108" s="17"/>
      <c r="VCW108" s="17"/>
      <c r="VCX108" s="17"/>
      <c r="VCY108" s="17"/>
      <c r="VCZ108" s="17"/>
      <c r="VDA108" s="17"/>
      <c r="VDB108" s="17"/>
      <c r="VDC108" s="17"/>
      <c r="VDD108" s="17"/>
      <c r="VDE108" s="17"/>
      <c r="VDF108" s="17"/>
      <c r="VDG108" s="17"/>
      <c r="VDH108" s="17"/>
      <c r="VDI108" s="17"/>
      <c r="VDJ108" s="17"/>
      <c r="VDK108" s="17"/>
      <c r="VDL108" s="17"/>
      <c r="VDM108" s="17"/>
      <c r="VDN108" s="17"/>
      <c r="VDO108" s="17"/>
      <c r="VDP108" s="17"/>
      <c r="VDQ108" s="17"/>
      <c r="VDR108" s="17"/>
      <c r="VDS108" s="17"/>
      <c r="VDT108" s="17"/>
      <c r="VDU108" s="17"/>
      <c r="VDV108" s="17"/>
      <c r="VDW108" s="17"/>
      <c r="VDX108" s="17"/>
      <c r="VDY108" s="17"/>
      <c r="VDZ108" s="17"/>
      <c r="VEA108" s="17"/>
      <c r="VEB108" s="17"/>
      <c r="VEC108" s="17"/>
      <c r="VED108" s="17"/>
      <c r="VEE108" s="17"/>
      <c r="VEF108" s="17"/>
      <c r="VEG108" s="17"/>
      <c r="VEH108" s="17"/>
      <c r="VEI108" s="17"/>
      <c r="VEJ108" s="17"/>
      <c r="VEK108" s="17"/>
      <c r="VEL108" s="17"/>
      <c r="VEM108" s="17"/>
      <c r="VEN108" s="17"/>
      <c r="VEO108" s="17"/>
      <c r="VEP108" s="17"/>
      <c r="VEQ108" s="17"/>
      <c r="VER108" s="17"/>
      <c r="VES108" s="17"/>
      <c r="VET108" s="17"/>
      <c r="VEU108" s="17"/>
      <c r="VEV108" s="17"/>
      <c r="VEW108" s="17"/>
      <c r="VEX108" s="17"/>
      <c r="VEY108" s="17"/>
      <c r="VEZ108" s="17"/>
      <c r="VFA108" s="17"/>
      <c r="VFB108" s="17"/>
      <c r="VFC108" s="17"/>
      <c r="VFD108" s="17"/>
      <c r="VFE108" s="17"/>
      <c r="VFF108" s="17"/>
      <c r="VFG108" s="17"/>
      <c r="VFH108" s="17"/>
      <c r="VFI108" s="17"/>
      <c r="VFJ108" s="17"/>
      <c r="VFK108" s="17"/>
      <c r="VFL108" s="17"/>
      <c r="VFM108" s="17"/>
      <c r="VFN108" s="17"/>
      <c r="VFO108" s="17"/>
      <c r="VFP108" s="17"/>
      <c r="VFQ108" s="17"/>
      <c r="VFR108" s="17"/>
      <c r="VFS108" s="17"/>
      <c r="VFT108" s="17"/>
      <c r="VFU108" s="17"/>
      <c r="VFV108" s="17"/>
      <c r="VFW108" s="17"/>
      <c r="VFX108" s="17"/>
      <c r="VFY108" s="17"/>
      <c r="VFZ108" s="17"/>
      <c r="VGA108" s="17"/>
      <c r="VGB108" s="17"/>
      <c r="VGC108" s="17"/>
      <c r="VGD108" s="17"/>
      <c r="VGE108" s="17"/>
      <c r="VGF108" s="17"/>
      <c r="VGG108" s="17"/>
      <c r="VGH108" s="17"/>
      <c r="VGI108" s="17"/>
      <c r="VGJ108" s="17"/>
      <c r="VGK108" s="17"/>
      <c r="VGL108" s="17"/>
      <c r="VGM108" s="17"/>
      <c r="VGN108" s="17"/>
      <c r="VGO108" s="17"/>
      <c r="VGP108" s="17"/>
      <c r="VGQ108" s="17"/>
      <c r="VGR108" s="17"/>
      <c r="VGS108" s="17"/>
      <c r="VGT108" s="17"/>
      <c r="VGU108" s="17"/>
      <c r="VGV108" s="17"/>
      <c r="VGW108" s="17"/>
      <c r="VGX108" s="17"/>
      <c r="VGY108" s="17"/>
      <c r="VGZ108" s="17"/>
      <c r="VHA108" s="17"/>
      <c r="VHB108" s="17"/>
      <c r="VHC108" s="17"/>
      <c r="VHD108" s="17"/>
      <c r="VHE108" s="17"/>
      <c r="VHF108" s="17"/>
      <c r="VHG108" s="17"/>
      <c r="VHH108" s="17"/>
      <c r="VHI108" s="17"/>
      <c r="VHJ108" s="17"/>
      <c r="VHK108" s="17"/>
      <c r="VHL108" s="17"/>
      <c r="VHM108" s="17"/>
      <c r="VHN108" s="17"/>
      <c r="VHO108" s="17"/>
      <c r="VHP108" s="17"/>
      <c r="VHQ108" s="17"/>
      <c r="VHR108" s="17"/>
      <c r="VHS108" s="17"/>
      <c r="VHT108" s="17"/>
      <c r="VHU108" s="17"/>
      <c r="VHV108" s="17"/>
      <c r="VHW108" s="17"/>
      <c r="VHX108" s="17"/>
      <c r="VHY108" s="17"/>
      <c r="VHZ108" s="17"/>
      <c r="VIA108" s="17"/>
      <c r="VIB108" s="17"/>
      <c r="VIC108" s="17"/>
      <c r="VID108" s="17"/>
      <c r="VIE108" s="17"/>
      <c r="VIF108" s="17"/>
      <c r="VIG108" s="17"/>
      <c r="VIH108" s="17"/>
      <c r="VII108" s="17"/>
      <c r="VIJ108" s="17"/>
      <c r="VIK108" s="17"/>
      <c r="VIL108" s="17"/>
      <c r="VIM108" s="17"/>
      <c r="VIN108" s="17"/>
      <c r="VIO108" s="17"/>
      <c r="VIP108" s="17"/>
      <c r="VIQ108" s="17"/>
      <c r="VIR108" s="17"/>
      <c r="VIS108" s="17"/>
      <c r="VIT108" s="17"/>
      <c r="VIU108" s="17"/>
      <c r="VIV108" s="17"/>
      <c r="VIW108" s="17"/>
      <c r="VIX108" s="17"/>
      <c r="VIY108" s="17"/>
      <c r="VIZ108" s="17"/>
      <c r="VJA108" s="17"/>
      <c r="VJB108" s="17"/>
      <c r="VJC108" s="17"/>
      <c r="VJD108" s="17"/>
      <c r="VJE108" s="17"/>
      <c r="VJF108" s="17"/>
      <c r="VJG108" s="17"/>
      <c r="VJH108" s="17"/>
      <c r="VJI108" s="17"/>
      <c r="VJJ108" s="17"/>
      <c r="VJK108" s="17"/>
      <c r="VJL108" s="17"/>
      <c r="VJM108" s="17"/>
      <c r="VJN108" s="17"/>
      <c r="VJO108" s="17"/>
      <c r="VJP108" s="17"/>
      <c r="VJQ108" s="17"/>
      <c r="VJR108" s="17"/>
      <c r="VJS108" s="17"/>
      <c r="VJT108" s="17"/>
      <c r="VJU108" s="17"/>
      <c r="VJV108" s="17"/>
      <c r="VJW108" s="17"/>
      <c r="VJX108" s="17"/>
      <c r="VJY108" s="17"/>
      <c r="VJZ108" s="17"/>
      <c r="VKA108" s="17"/>
      <c r="VKB108" s="17"/>
      <c r="VKC108" s="17"/>
      <c r="VKD108" s="17"/>
      <c r="VKE108" s="17"/>
      <c r="VKF108" s="17"/>
      <c r="VKG108" s="17"/>
      <c r="VKH108" s="17"/>
      <c r="VKI108" s="17"/>
      <c r="VKJ108" s="17"/>
      <c r="VKK108" s="17"/>
      <c r="VKL108" s="17"/>
      <c r="VKM108" s="17"/>
      <c r="VKN108" s="17"/>
      <c r="VKO108" s="17"/>
      <c r="VKP108" s="17"/>
      <c r="VKQ108" s="17"/>
      <c r="VKR108" s="17"/>
      <c r="VKS108" s="17"/>
      <c r="VKT108" s="17"/>
      <c r="VKU108" s="17"/>
      <c r="VKV108" s="17"/>
      <c r="VKW108" s="17"/>
      <c r="VKX108" s="17"/>
      <c r="VKY108" s="17"/>
      <c r="VKZ108" s="17"/>
      <c r="VLA108" s="17"/>
      <c r="VLB108" s="17"/>
      <c r="VLC108" s="17"/>
      <c r="VLD108" s="17"/>
      <c r="VLE108" s="17"/>
      <c r="VLF108" s="17"/>
      <c r="VLG108" s="17"/>
      <c r="VLH108" s="17"/>
      <c r="VLI108" s="17"/>
      <c r="VLJ108" s="17"/>
      <c r="VLK108" s="17"/>
      <c r="VLL108" s="17"/>
      <c r="VLM108" s="17"/>
      <c r="VLN108" s="17"/>
      <c r="VLO108" s="17"/>
      <c r="VLP108" s="17"/>
      <c r="VLQ108" s="17"/>
      <c r="VLR108" s="17"/>
      <c r="VLS108" s="17"/>
      <c r="VLT108" s="17"/>
      <c r="VLU108" s="17"/>
      <c r="VLV108" s="17"/>
      <c r="VLW108" s="17"/>
      <c r="VLX108" s="17"/>
      <c r="VLY108" s="17"/>
      <c r="VLZ108" s="17"/>
      <c r="VMA108" s="17"/>
      <c r="VMB108" s="17"/>
      <c r="VMC108" s="17"/>
      <c r="VMD108" s="17"/>
      <c r="VME108" s="17"/>
      <c r="VMF108" s="17"/>
      <c r="VMG108" s="17"/>
      <c r="VMH108" s="17"/>
      <c r="VMI108" s="17"/>
      <c r="VMJ108" s="17"/>
      <c r="VMK108" s="17"/>
      <c r="VML108" s="17"/>
      <c r="VMM108" s="17"/>
      <c r="VMN108" s="17"/>
      <c r="VMO108" s="17"/>
      <c r="VMP108" s="17"/>
      <c r="VMQ108" s="17"/>
      <c r="VMR108" s="17"/>
      <c r="VMS108" s="17"/>
      <c r="VMT108" s="17"/>
      <c r="VMU108" s="17"/>
      <c r="VMV108" s="17"/>
      <c r="VMW108" s="17"/>
      <c r="VMX108" s="17"/>
      <c r="VMY108" s="17"/>
      <c r="VMZ108" s="17"/>
      <c r="VNA108" s="17"/>
      <c r="VNB108" s="17"/>
      <c r="VNC108" s="17"/>
      <c r="VND108" s="17"/>
      <c r="VNE108" s="17"/>
      <c r="VNF108" s="17"/>
      <c r="VNG108" s="17"/>
      <c r="VNH108" s="17"/>
      <c r="VNI108" s="17"/>
      <c r="VNJ108" s="17"/>
      <c r="VNK108" s="17"/>
      <c r="VNL108" s="17"/>
      <c r="VNM108" s="17"/>
      <c r="VNN108" s="17"/>
      <c r="VNO108" s="17"/>
      <c r="VNP108" s="17"/>
      <c r="VNQ108" s="17"/>
      <c r="VNR108" s="17"/>
      <c r="VNS108" s="17"/>
      <c r="VNT108" s="17"/>
      <c r="VNU108" s="17"/>
      <c r="VNV108" s="17"/>
      <c r="VNW108" s="17"/>
      <c r="VNX108" s="17"/>
      <c r="VNY108" s="17"/>
      <c r="VNZ108" s="17"/>
      <c r="VOA108" s="17"/>
      <c r="VOB108" s="17"/>
      <c r="VOC108" s="17"/>
      <c r="VOD108" s="17"/>
      <c r="VOE108" s="17"/>
      <c r="VOF108" s="17"/>
      <c r="VOG108" s="17"/>
      <c r="VOH108" s="17"/>
      <c r="VOI108" s="17"/>
      <c r="VOJ108" s="17"/>
      <c r="VOK108" s="17"/>
      <c r="VOL108" s="17"/>
      <c r="VOM108" s="17"/>
      <c r="VON108" s="17"/>
      <c r="VOO108" s="17"/>
      <c r="VOP108" s="17"/>
      <c r="VOQ108" s="17"/>
      <c r="VOR108" s="17"/>
      <c r="VOS108" s="17"/>
      <c r="VOT108" s="17"/>
      <c r="VOU108" s="17"/>
      <c r="VOV108" s="17"/>
      <c r="VOW108" s="17"/>
      <c r="VOX108" s="17"/>
      <c r="VOY108" s="17"/>
      <c r="VOZ108" s="17"/>
      <c r="VPA108" s="17"/>
      <c r="VPB108" s="17"/>
      <c r="VPC108" s="17"/>
      <c r="VPD108" s="17"/>
      <c r="VPE108" s="17"/>
      <c r="VPF108" s="17"/>
      <c r="VPG108" s="17"/>
      <c r="VPH108" s="17"/>
      <c r="VPI108" s="17"/>
      <c r="VPJ108" s="17"/>
      <c r="VPK108" s="17"/>
      <c r="VPL108" s="17"/>
      <c r="VPM108" s="17"/>
      <c r="VPN108" s="17"/>
      <c r="VPO108" s="17"/>
      <c r="VPP108" s="17"/>
      <c r="VPQ108" s="17"/>
      <c r="VPR108" s="17"/>
      <c r="VPS108" s="17"/>
      <c r="VPT108" s="17"/>
      <c r="VPU108" s="17"/>
      <c r="VPV108" s="17"/>
      <c r="VPW108" s="17"/>
      <c r="VPX108" s="17"/>
      <c r="VPY108" s="17"/>
      <c r="VPZ108" s="17"/>
      <c r="VQA108" s="17"/>
      <c r="VQB108" s="17"/>
      <c r="VQC108" s="17"/>
      <c r="VQD108" s="17"/>
      <c r="VQE108" s="17"/>
      <c r="VQF108" s="17"/>
      <c r="VQG108" s="17"/>
      <c r="VQH108" s="17"/>
      <c r="VQI108" s="17"/>
      <c r="VQJ108" s="17"/>
      <c r="VQK108" s="17"/>
      <c r="VQL108" s="17"/>
      <c r="VQM108" s="17"/>
      <c r="VQN108" s="17"/>
      <c r="VQO108" s="17"/>
      <c r="VQP108" s="17"/>
      <c r="VQQ108" s="17"/>
      <c r="VQR108" s="17"/>
      <c r="VQS108" s="17"/>
      <c r="VQT108" s="17"/>
      <c r="VQU108" s="17"/>
      <c r="VQV108" s="17"/>
      <c r="VQW108" s="17"/>
      <c r="VQX108" s="17"/>
      <c r="VQY108" s="17"/>
      <c r="VQZ108" s="17"/>
      <c r="VRA108" s="17"/>
      <c r="VRB108" s="17"/>
      <c r="VRC108" s="17"/>
      <c r="VRD108" s="17"/>
      <c r="VRE108" s="17"/>
      <c r="VRF108" s="17"/>
      <c r="VRG108" s="17"/>
      <c r="VRH108" s="17"/>
      <c r="VRI108" s="17"/>
      <c r="VRJ108" s="17"/>
      <c r="VRK108" s="17"/>
      <c r="VRL108" s="17"/>
      <c r="VRM108" s="17"/>
      <c r="VRN108" s="17"/>
      <c r="VRO108" s="17"/>
      <c r="VRP108" s="17"/>
      <c r="VRQ108" s="17"/>
      <c r="VRR108" s="17"/>
      <c r="VRS108" s="17"/>
      <c r="VRT108" s="17"/>
      <c r="VRU108" s="17"/>
      <c r="VRV108" s="17"/>
      <c r="VRW108" s="17"/>
      <c r="VRX108" s="17"/>
      <c r="VRY108" s="17"/>
      <c r="VRZ108" s="17"/>
      <c r="VSA108" s="17"/>
      <c r="VSB108" s="17"/>
      <c r="VSC108" s="17"/>
      <c r="VSD108" s="17"/>
      <c r="VSE108" s="17"/>
      <c r="VSF108" s="17"/>
      <c r="VSG108" s="17"/>
      <c r="VSH108" s="17"/>
      <c r="VSI108" s="17"/>
      <c r="VSJ108" s="17"/>
      <c r="VSK108" s="17"/>
      <c r="VSL108" s="17"/>
      <c r="VSM108" s="17"/>
      <c r="VSN108" s="17"/>
      <c r="VSO108" s="17"/>
      <c r="VSP108" s="17"/>
      <c r="VSQ108" s="17"/>
      <c r="VSR108" s="17"/>
      <c r="VSS108" s="17"/>
      <c r="VST108" s="17"/>
      <c r="VSU108" s="17"/>
      <c r="VSV108" s="17"/>
      <c r="VSW108" s="17"/>
      <c r="VSX108" s="17"/>
      <c r="VSY108" s="17"/>
      <c r="VSZ108" s="17"/>
      <c r="VTA108" s="17"/>
      <c r="VTB108" s="17"/>
      <c r="VTC108" s="17"/>
      <c r="VTD108" s="17"/>
      <c r="VTE108" s="17"/>
      <c r="VTF108" s="17"/>
      <c r="VTG108" s="17"/>
      <c r="VTH108" s="17"/>
      <c r="VTI108" s="17"/>
      <c r="VTJ108" s="17"/>
      <c r="VTK108" s="17"/>
      <c r="VTL108" s="17"/>
      <c r="VTM108" s="17"/>
      <c r="VTN108" s="17"/>
      <c r="VTO108" s="17"/>
      <c r="VTP108" s="17"/>
      <c r="VTQ108" s="17"/>
      <c r="VTR108" s="17"/>
      <c r="VTS108" s="17"/>
      <c r="VTT108" s="17"/>
      <c r="VTU108" s="17"/>
      <c r="VTV108" s="17"/>
      <c r="VTW108" s="17"/>
      <c r="VTX108" s="17"/>
      <c r="VTY108" s="17"/>
      <c r="VTZ108" s="17"/>
      <c r="VUA108" s="17"/>
      <c r="VUB108" s="17"/>
      <c r="VUC108" s="17"/>
      <c r="VUD108" s="17"/>
      <c r="VUE108" s="17"/>
      <c r="VUF108" s="17"/>
      <c r="VUG108" s="17"/>
      <c r="VUH108" s="17"/>
      <c r="VUI108" s="17"/>
      <c r="VUJ108" s="17"/>
      <c r="VUK108" s="17"/>
      <c r="VUL108" s="17"/>
      <c r="VUM108" s="17"/>
      <c r="VUN108" s="17"/>
      <c r="VUO108" s="17"/>
      <c r="VUP108" s="17"/>
      <c r="VUQ108" s="17"/>
      <c r="VUR108" s="17"/>
      <c r="VUS108" s="17"/>
      <c r="VUT108" s="17"/>
      <c r="VUU108" s="17"/>
      <c r="VUV108" s="17"/>
      <c r="VUW108" s="17"/>
      <c r="VUX108" s="17"/>
      <c r="VUY108" s="17"/>
      <c r="VUZ108" s="17"/>
      <c r="VVA108" s="17"/>
      <c r="VVB108" s="17"/>
      <c r="VVC108" s="17"/>
      <c r="VVD108" s="17"/>
      <c r="VVE108" s="17"/>
      <c r="VVF108" s="17"/>
      <c r="VVG108" s="17"/>
      <c r="VVH108" s="17"/>
      <c r="VVI108" s="17"/>
      <c r="VVJ108" s="17"/>
      <c r="VVK108" s="17"/>
      <c r="VVL108" s="17"/>
      <c r="VVM108" s="17"/>
      <c r="VVN108" s="17"/>
      <c r="VVO108" s="17"/>
      <c r="VVP108" s="17"/>
      <c r="VVQ108" s="17"/>
      <c r="VVR108" s="17"/>
      <c r="VVS108" s="17"/>
      <c r="VVT108" s="17"/>
      <c r="VVU108" s="17"/>
      <c r="VVV108" s="17"/>
      <c r="VVW108" s="17"/>
      <c r="VVX108" s="17"/>
      <c r="VVY108" s="17"/>
      <c r="VVZ108" s="17"/>
      <c r="VWA108" s="17"/>
      <c r="VWB108" s="17"/>
      <c r="VWC108" s="17"/>
      <c r="VWD108" s="17"/>
      <c r="VWE108" s="17"/>
      <c r="VWF108" s="17"/>
      <c r="VWG108" s="17"/>
      <c r="VWH108" s="17"/>
      <c r="VWI108" s="17"/>
      <c r="VWJ108" s="17"/>
      <c r="VWK108" s="17"/>
      <c r="VWL108" s="17"/>
      <c r="VWM108" s="17"/>
      <c r="VWN108" s="17"/>
      <c r="VWO108" s="17"/>
      <c r="VWP108" s="17"/>
      <c r="VWQ108" s="17"/>
      <c r="VWR108" s="17"/>
      <c r="VWS108" s="17"/>
      <c r="VWT108" s="17"/>
      <c r="VWU108" s="17"/>
      <c r="VWV108" s="17"/>
      <c r="VWW108" s="17"/>
      <c r="VWX108" s="17"/>
      <c r="VWY108" s="17"/>
      <c r="VWZ108" s="17"/>
      <c r="VXA108" s="17"/>
      <c r="VXB108" s="17"/>
      <c r="VXC108" s="17"/>
      <c r="VXD108" s="17"/>
      <c r="VXE108" s="17"/>
      <c r="VXF108" s="17"/>
      <c r="VXG108" s="17"/>
      <c r="VXH108" s="17"/>
      <c r="VXI108" s="17"/>
      <c r="VXJ108" s="17"/>
      <c r="VXK108" s="17"/>
      <c r="VXL108" s="17"/>
      <c r="VXM108" s="17"/>
      <c r="VXN108" s="17"/>
      <c r="VXO108" s="17"/>
      <c r="VXP108" s="17"/>
      <c r="VXQ108" s="17"/>
      <c r="VXR108" s="17"/>
      <c r="VXS108" s="17"/>
      <c r="VXT108" s="17"/>
      <c r="VXU108" s="17"/>
      <c r="VXV108" s="17"/>
      <c r="VXW108" s="17"/>
      <c r="VXX108" s="17"/>
      <c r="VXY108" s="17"/>
      <c r="VXZ108" s="17"/>
      <c r="VYA108" s="17"/>
      <c r="VYB108" s="17"/>
      <c r="VYC108" s="17"/>
      <c r="VYD108" s="17"/>
      <c r="VYE108" s="17"/>
      <c r="VYF108" s="17"/>
      <c r="VYG108" s="17"/>
      <c r="VYH108" s="17"/>
      <c r="VYI108" s="17"/>
      <c r="VYJ108" s="17"/>
      <c r="VYK108" s="17"/>
      <c r="VYL108" s="17"/>
      <c r="VYM108" s="17"/>
      <c r="VYN108" s="17"/>
      <c r="VYO108" s="17"/>
      <c r="VYP108" s="17"/>
      <c r="VYQ108" s="17"/>
      <c r="VYR108" s="17"/>
      <c r="VYS108" s="17"/>
      <c r="VYT108" s="17"/>
      <c r="VYU108" s="17"/>
      <c r="VYV108" s="17"/>
      <c r="VYW108" s="17"/>
      <c r="VYX108" s="17"/>
      <c r="VYY108" s="17"/>
      <c r="VYZ108" s="17"/>
      <c r="VZA108" s="17"/>
      <c r="VZB108" s="17"/>
      <c r="VZC108" s="17"/>
      <c r="VZD108" s="17"/>
      <c r="VZE108" s="17"/>
      <c r="VZF108" s="17"/>
      <c r="VZG108" s="17"/>
      <c r="VZH108" s="17"/>
      <c r="VZI108" s="17"/>
      <c r="VZJ108" s="17"/>
      <c r="VZK108" s="17"/>
      <c r="VZL108" s="17"/>
      <c r="VZM108" s="17"/>
      <c r="VZN108" s="17"/>
      <c r="VZO108" s="17"/>
      <c r="VZP108" s="17"/>
      <c r="VZQ108" s="17"/>
      <c r="VZR108" s="17"/>
      <c r="VZS108" s="17"/>
      <c r="VZT108" s="17"/>
      <c r="VZU108" s="17"/>
      <c r="VZV108" s="17"/>
      <c r="VZW108" s="17"/>
      <c r="VZX108" s="17"/>
      <c r="VZY108" s="17"/>
      <c r="VZZ108" s="17"/>
      <c r="WAA108" s="17"/>
      <c r="WAB108" s="17"/>
      <c r="WAC108" s="17"/>
      <c r="WAD108" s="17"/>
      <c r="WAE108" s="17"/>
      <c r="WAF108" s="17"/>
      <c r="WAG108" s="17"/>
      <c r="WAH108" s="17"/>
      <c r="WAI108" s="17"/>
      <c r="WAJ108" s="17"/>
      <c r="WAK108" s="17"/>
      <c r="WAL108" s="17"/>
      <c r="WAM108" s="17"/>
      <c r="WAN108" s="17"/>
      <c r="WAO108" s="17"/>
      <c r="WAP108" s="17"/>
      <c r="WAQ108" s="17"/>
      <c r="WAR108" s="17"/>
      <c r="WAS108" s="17"/>
      <c r="WAT108" s="17"/>
      <c r="WAU108" s="17"/>
      <c r="WAV108" s="17"/>
      <c r="WAW108" s="17"/>
      <c r="WAX108" s="17"/>
      <c r="WAY108" s="17"/>
      <c r="WAZ108" s="17"/>
      <c r="WBA108" s="17"/>
      <c r="WBB108" s="17"/>
      <c r="WBC108" s="17"/>
      <c r="WBD108" s="17"/>
      <c r="WBE108" s="17"/>
      <c r="WBF108" s="17"/>
      <c r="WBG108" s="17"/>
      <c r="WBH108" s="17"/>
      <c r="WBI108" s="17"/>
      <c r="WBJ108" s="17"/>
      <c r="WBK108" s="17"/>
      <c r="WBL108" s="17"/>
      <c r="WBM108" s="17"/>
      <c r="WBN108" s="17"/>
      <c r="WBO108" s="17"/>
      <c r="WBP108" s="17"/>
      <c r="WBQ108" s="17"/>
      <c r="WBR108" s="17"/>
      <c r="WBS108" s="17"/>
      <c r="WBT108" s="17"/>
      <c r="WBU108" s="17"/>
      <c r="WBV108" s="17"/>
      <c r="WBW108" s="17"/>
      <c r="WBX108" s="17"/>
      <c r="WBY108" s="17"/>
      <c r="WBZ108" s="17"/>
      <c r="WCA108" s="17"/>
      <c r="WCB108" s="17"/>
      <c r="WCC108" s="17"/>
      <c r="WCD108" s="17"/>
      <c r="WCE108" s="17"/>
      <c r="WCF108" s="17"/>
      <c r="WCG108" s="17"/>
      <c r="WCH108" s="17"/>
      <c r="WCI108" s="17"/>
      <c r="WCJ108" s="17"/>
      <c r="WCK108" s="17"/>
      <c r="WCL108" s="17"/>
      <c r="WCM108" s="17"/>
      <c r="WCN108" s="17"/>
      <c r="WCO108" s="17"/>
      <c r="WCP108" s="17"/>
      <c r="WCQ108" s="17"/>
      <c r="WCR108" s="17"/>
      <c r="WCS108" s="17"/>
      <c r="WCT108" s="17"/>
      <c r="WCU108" s="17"/>
      <c r="WCV108" s="17"/>
      <c r="WCW108" s="17"/>
      <c r="WCX108" s="17"/>
      <c r="WCY108" s="17"/>
      <c r="WCZ108" s="17"/>
      <c r="WDA108" s="17"/>
      <c r="WDB108" s="17"/>
      <c r="WDC108" s="17"/>
      <c r="WDD108" s="17"/>
      <c r="WDE108" s="17"/>
      <c r="WDF108" s="17"/>
      <c r="WDG108" s="17"/>
      <c r="WDH108" s="17"/>
      <c r="WDI108" s="17"/>
      <c r="WDJ108" s="17"/>
      <c r="WDK108" s="17"/>
      <c r="WDL108" s="17"/>
      <c r="WDM108" s="17"/>
      <c r="WDN108" s="17"/>
      <c r="WDO108" s="17"/>
      <c r="WDP108" s="17"/>
      <c r="WDQ108" s="17"/>
      <c r="WDR108" s="17"/>
      <c r="WDS108" s="17"/>
      <c r="WDT108" s="17"/>
      <c r="WDU108" s="17"/>
      <c r="WDV108" s="17"/>
      <c r="WDW108" s="17"/>
      <c r="WDX108" s="17"/>
      <c r="WDY108" s="17"/>
      <c r="WDZ108" s="17"/>
      <c r="WEA108" s="17"/>
      <c r="WEB108" s="17"/>
      <c r="WEC108" s="17"/>
      <c r="WED108" s="17"/>
      <c r="WEE108" s="17"/>
      <c r="WEF108" s="17"/>
      <c r="WEG108" s="17"/>
      <c r="WEH108" s="17"/>
      <c r="WEI108" s="17"/>
      <c r="WEJ108" s="17"/>
      <c r="WEK108" s="17"/>
      <c r="WEL108" s="17"/>
      <c r="WEM108" s="17"/>
      <c r="WEN108" s="17"/>
      <c r="WEO108" s="17"/>
      <c r="WEP108" s="17"/>
      <c r="WEQ108" s="17"/>
      <c r="WER108" s="17"/>
      <c r="WES108" s="17"/>
      <c r="WET108" s="17"/>
      <c r="WEU108" s="17"/>
      <c r="WEV108" s="17"/>
      <c r="WEW108" s="17"/>
      <c r="WEX108" s="17"/>
      <c r="WEY108" s="17"/>
      <c r="WEZ108" s="17"/>
      <c r="WFA108" s="17"/>
      <c r="WFB108" s="17"/>
      <c r="WFC108" s="17"/>
      <c r="WFD108" s="17"/>
      <c r="WFE108" s="17"/>
      <c r="WFF108" s="17"/>
      <c r="WFG108" s="17"/>
      <c r="WFH108" s="17"/>
      <c r="WFI108" s="17"/>
      <c r="WFJ108" s="17"/>
      <c r="WFK108" s="17"/>
      <c r="WFL108" s="17"/>
      <c r="WFM108" s="17"/>
      <c r="WFN108" s="17"/>
      <c r="WFO108" s="17"/>
      <c r="WFP108" s="17"/>
      <c r="WFQ108" s="17"/>
      <c r="WFR108" s="17"/>
      <c r="WFS108" s="17"/>
      <c r="WFT108" s="17"/>
      <c r="WFU108" s="17"/>
      <c r="WFV108" s="17"/>
      <c r="WFW108" s="17"/>
      <c r="WFX108" s="17"/>
      <c r="WFY108" s="17"/>
      <c r="WFZ108" s="17"/>
      <c r="WGA108" s="17"/>
      <c r="WGB108" s="17"/>
      <c r="WGC108" s="17"/>
      <c r="WGD108" s="17"/>
      <c r="WGE108" s="17"/>
      <c r="WGF108" s="17"/>
      <c r="WGG108" s="17"/>
      <c r="WGH108" s="17"/>
      <c r="WGI108" s="17"/>
      <c r="WGJ108" s="17"/>
      <c r="WGK108" s="17"/>
      <c r="WGL108" s="17"/>
      <c r="WGM108" s="17"/>
      <c r="WGN108" s="17"/>
      <c r="WGO108" s="17"/>
      <c r="WGP108" s="17"/>
      <c r="WGQ108" s="17"/>
      <c r="WGR108" s="17"/>
      <c r="WGS108" s="17"/>
      <c r="WGT108" s="17"/>
      <c r="WGU108" s="17"/>
      <c r="WGV108" s="17"/>
      <c r="WGW108" s="17"/>
      <c r="WGX108" s="17"/>
      <c r="WGY108" s="17"/>
      <c r="WGZ108" s="17"/>
      <c r="WHA108" s="17"/>
      <c r="WHB108" s="17"/>
      <c r="WHC108" s="17"/>
      <c r="WHD108" s="17"/>
      <c r="WHE108" s="17"/>
      <c r="WHF108" s="17"/>
      <c r="WHG108" s="17"/>
      <c r="WHH108" s="17"/>
      <c r="WHI108" s="17"/>
      <c r="WHJ108" s="17"/>
      <c r="WHK108" s="17"/>
      <c r="WHL108" s="17"/>
      <c r="WHM108" s="17"/>
      <c r="WHN108" s="17"/>
      <c r="WHO108" s="17"/>
      <c r="WHP108" s="17"/>
      <c r="WHQ108" s="17"/>
      <c r="WHR108" s="17"/>
      <c r="WHS108" s="17"/>
      <c r="WHT108" s="17"/>
      <c r="WHU108" s="17"/>
      <c r="WHV108" s="17"/>
      <c r="WHW108" s="17"/>
      <c r="WHX108" s="17"/>
      <c r="WHY108" s="17"/>
      <c r="WHZ108" s="17"/>
      <c r="WIA108" s="17"/>
      <c r="WIB108" s="17"/>
      <c r="WIC108" s="17"/>
      <c r="WID108" s="17"/>
      <c r="WIE108" s="17"/>
      <c r="WIF108" s="17"/>
      <c r="WIG108" s="17"/>
      <c r="WIH108" s="17"/>
      <c r="WII108" s="17"/>
      <c r="WIJ108" s="17"/>
      <c r="WIK108" s="17"/>
      <c r="WIL108" s="17"/>
      <c r="WIM108" s="17"/>
      <c r="WIN108" s="17"/>
      <c r="WIO108" s="17"/>
      <c r="WIP108" s="17"/>
      <c r="WIQ108" s="17"/>
      <c r="WIR108" s="17"/>
      <c r="WIS108" s="17"/>
      <c r="WIT108" s="17"/>
      <c r="WIU108" s="17"/>
      <c r="WIV108" s="17"/>
      <c r="WIW108" s="17"/>
      <c r="WIX108" s="17"/>
      <c r="WIY108" s="17"/>
      <c r="WIZ108" s="17"/>
      <c r="WJA108" s="17"/>
      <c r="WJB108" s="17"/>
      <c r="WJC108" s="17"/>
      <c r="WJD108" s="17"/>
      <c r="WJE108" s="17"/>
      <c r="WJF108" s="17"/>
      <c r="WJG108" s="17"/>
      <c r="WJH108" s="17"/>
      <c r="WJI108" s="17"/>
      <c r="WJJ108" s="17"/>
      <c r="WJK108" s="17"/>
      <c r="WJL108" s="17"/>
      <c r="WJM108" s="17"/>
      <c r="WJN108" s="17"/>
      <c r="WJO108" s="17"/>
      <c r="WJP108" s="17"/>
      <c r="WJQ108" s="17"/>
      <c r="WJR108" s="17"/>
      <c r="WJS108" s="17"/>
      <c r="WJT108" s="17"/>
      <c r="WJU108" s="17"/>
      <c r="WJV108" s="17"/>
      <c r="WJW108" s="17"/>
      <c r="WJX108" s="17"/>
      <c r="WJY108" s="17"/>
      <c r="WJZ108" s="17"/>
      <c r="WKA108" s="17"/>
      <c r="WKB108" s="17"/>
      <c r="WKC108" s="17"/>
      <c r="WKD108" s="17"/>
      <c r="WKE108" s="17"/>
      <c r="WKF108" s="17"/>
      <c r="WKG108" s="17"/>
      <c r="WKH108" s="17"/>
      <c r="WKI108" s="17"/>
      <c r="WKJ108" s="17"/>
      <c r="WKK108" s="17"/>
      <c r="WKL108" s="17"/>
      <c r="WKM108" s="17"/>
      <c r="WKN108" s="17"/>
      <c r="WKO108" s="17"/>
      <c r="WKP108" s="17"/>
      <c r="WKQ108" s="17"/>
      <c r="WKR108" s="17"/>
      <c r="WKS108" s="17"/>
      <c r="WKT108" s="17"/>
      <c r="WKU108" s="17"/>
      <c r="WKV108" s="17"/>
      <c r="WKW108" s="17"/>
      <c r="WKX108" s="17"/>
      <c r="WKY108" s="17"/>
      <c r="WKZ108" s="17"/>
      <c r="WLA108" s="17"/>
      <c r="WLB108" s="17"/>
      <c r="WLC108" s="17"/>
      <c r="WLD108" s="17"/>
      <c r="WLE108" s="17"/>
      <c r="WLF108" s="17"/>
      <c r="WLG108" s="17"/>
      <c r="WLH108" s="17"/>
      <c r="WLI108" s="17"/>
      <c r="WLJ108" s="17"/>
      <c r="WLK108" s="17"/>
      <c r="WLL108" s="17"/>
      <c r="WLM108" s="17"/>
      <c r="WLN108" s="17"/>
      <c r="WLO108" s="17"/>
      <c r="WLP108" s="17"/>
      <c r="WLQ108" s="17"/>
      <c r="WLR108" s="17"/>
      <c r="WLS108" s="17"/>
      <c r="WLT108" s="17"/>
      <c r="WLU108" s="17"/>
      <c r="WLV108" s="17"/>
      <c r="WLW108" s="17"/>
      <c r="WLX108" s="17"/>
      <c r="WLY108" s="17"/>
      <c r="WLZ108" s="17"/>
      <c r="WMA108" s="17"/>
      <c r="WMB108" s="17"/>
      <c r="WMC108" s="17"/>
      <c r="WMD108" s="17"/>
      <c r="WME108" s="17"/>
      <c r="WMF108" s="17"/>
      <c r="WMG108" s="17"/>
      <c r="WMH108" s="17"/>
      <c r="WMI108" s="17"/>
      <c r="WMJ108" s="17"/>
      <c r="WMK108" s="17"/>
      <c r="WML108" s="17"/>
      <c r="WMM108" s="17"/>
      <c r="WMN108" s="17"/>
      <c r="WMO108" s="17"/>
      <c r="WMP108" s="17"/>
      <c r="WMQ108" s="17"/>
      <c r="WMR108" s="17"/>
      <c r="WMS108" s="17"/>
      <c r="WMT108" s="17"/>
      <c r="WMU108" s="17"/>
      <c r="WMV108" s="17"/>
      <c r="WMW108" s="17"/>
      <c r="WMX108" s="17"/>
      <c r="WMY108" s="17"/>
      <c r="WMZ108" s="17"/>
      <c r="WNA108" s="17"/>
      <c r="WNB108" s="17"/>
      <c r="WNC108" s="17"/>
      <c r="WND108" s="17"/>
      <c r="WNE108" s="17"/>
      <c r="WNF108" s="17"/>
      <c r="WNG108" s="17"/>
      <c r="WNH108" s="17"/>
      <c r="WNI108" s="17"/>
      <c r="WNJ108" s="17"/>
      <c r="WNK108" s="17"/>
      <c r="WNL108" s="17"/>
      <c r="WNM108" s="17"/>
      <c r="WNN108" s="17"/>
      <c r="WNO108" s="17"/>
      <c r="WNP108" s="17"/>
      <c r="WNQ108" s="17"/>
      <c r="WNR108" s="17"/>
      <c r="WNS108" s="17"/>
      <c r="WNT108" s="17"/>
      <c r="WNU108" s="17"/>
      <c r="WNV108" s="17"/>
      <c r="WNW108" s="17"/>
      <c r="WNX108" s="17"/>
      <c r="WNY108" s="17"/>
      <c r="WNZ108" s="17"/>
      <c r="WOA108" s="17"/>
      <c r="WOB108" s="17"/>
      <c r="WOC108" s="17"/>
      <c r="WOD108" s="17"/>
      <c r="WOE108" s="17"/>
      <c r="WOF108" s="17"/>
      <c r="WOG108" s="17"/>
      <c r="WOH108" s="17"/>
      <c r="WOI108" s="17"/>
      <c r="WOJ108" s="17"/>
      <c r="WOK108" s="17"/>
      <c r="WOL108" s="17"/>
      <c r="WOM108" s="17"/>
      <c r="WON108" s="17"/>
      <c r="WOO108" s="17"/>
      <c r="WOP108" s="17"/>
      <c r="WOQ108" s="17"/>
      <c r="WOR108" s="17"/>
      <c r="WOS108" s="17"/>
      <c r="WOT108" s="17"/>
      <c r="WOU108" s="17"/>
      <c r="WOV108" s="17"/>
      <c r="WOW108" s="17"/>
      <c r="WOX108" s="17"/>
      <c r="WOY108" s="17"/>
      <c r="WOZ108" s="17"/>
      <c r="WPA108" s="17"/>
      <c r="WPB108" s="17"/>
      <c r="WPC108" s="17"/>
      <c r="WPD108" s="17"/>
      <c r="WPE108" s="17"/>
      <c r="WPF108" s="17"/>
      <c r="WPG108" s="17"/>
      <c r="WPH108" s="17"/>
      <c r="WPI108" s="17"/>
      <c r="WPJ108" s="17"/>
      <c r="WPK108" s="17"/>
      <c r="WPL108" s="17"/>
      <c r="WPM108" s="17"/>
      <c r="WPN108" s="17"/>
      <c r="WPO108" s="17"/>
      <c r="WPP108" s="17"/>
      <c r="WPQ108" s="17"/>
      <c r="WPR108" s="17"/>
      <c r="WPS108" s="17"/>
      <c r="WPT108" s="17"/>
      <c r="WPU108" s="17"/>
      <c r="WPV108" s="17"/>
      <c r="WPW108" s="17"/>
      <c r="WPX108" s="17"/>
      <c r="WPY108" s="17"/>
      <c r="WPZ108" s="17"/>
      <c r="WQA108" s="17"/>
      <c r="WQB108" s="17"/>
      <c r="WQC108" s="17"/>
      <c r="WQD108" s="17"/>
      <c r="WQE108" s="17"/>
      <c r="WQF108" s="17"/>
      <c r="WQG108" s="17"/>
      <c r="WQH108" s="17"/>
      <c r="WQI108" s="17"/>
      <c r="WQJ108" s="17"/>
      <c r="WQK108" s="17"/>
      <c r="WQL108" s="17"/>
      <c r="WQM108" s="17"/>
      <c r="WQN108" s="17"/>
      <c r="WQO108" s="17"/>
      <c r="WQP108" s="17"/>
      <c r="WQQ108" s="17"/>
      <c r="WQR108" s="17"/>
      <c r="WQS108" s="17"/>
      <c r="WQT108" s="17"/>
      <c r="WQU108" s="17"/>
      <c r="WQV108" s="17"/>
      <c r="WQW108" s="17"/>
      <c r="WQX108" s="17"/>
      <c r="WQY108" s="17"/>
      <c r="WQZ108" s="17"/>
      <c r="WRA108" s="17"/>
      <c r="WRB108" s="17"/>
      <c r="WRC108" s="17"/>
      <c r="WRD108" s="17"/>
      <c r="WRE108" s="17"/>
      <c r="WRF108" s="17"/>
      <c r="WRG108" s="17"/>
      <c r="WRH108" s="17"/>
      <c r="WRI108" s="17"/>
      <c r="WRJ108" s="17"/>
      <c r="WRK108" s="17"/>
      <c r="WRL108" s="17"/>
      <c r="WRM108" s="17"/>
      <c r="WRN108" s="17"/>
      <c r="WRO108" s="17"/>
      <c r="WRP108" s="17"/>
      <c r="WRQ108" s="17"/>
      <c r="WRR108" s="17"/>
      <c r="WRS108" s="17"/>
      <c r="WRT108" s="17"/>
      <c r="WRU108" s="17"/>
      <c r="WRV108" s="17"/>
      <c r="WRW108" s="17"/>
      <c r="WRX108" s="17"/>
      <c r="WRY108" s="17"/>
      <c r="WRZ108" s="17"/>
      <c r="WSA108" s="17"/>
      <c r="WSB108" s="17"/>
      <c r="WSC108" s="17"/>
      <c r="WSD108" s="17"/>
      <c r="WSE108" s="17"/>
      <c r="WSF108" s="17"/>
      <c r="WSG108" s="17"/>
      <c r="WSH108" s="17"/>
      <c r="WSI108" s="17"/>
      <c r="WSJ108" s="17"/>
      <c r="WSK108" s="17"/>
      <c r="WSL108" s="17"/>
      <c r="WSM108" s="17"/>
      <c r="WSN108" s="17"/>
      <c r="WSO108" s="17"/>
      <c r="WSP108" s="17"/>
      <c r="WSQ108" s="17"/>
      <c r="WSR108" s="17"/>
      <c r="WSS108" s="17"/>
      <c r="WST108" s="17"/>
      <c r="WSU108" s="17"/>
      <c r="WSV108" s="17"/>
      <c r="WSW108" s="17"/>
      <c r="WSX108" s="17"/>
      <c r="WSY108" s="17"/>
      <c r="WSZ108" s="17"/>
      <c r="WTA108" s="17"/>
      <c r="WTB108" s="17"/>
      <c r="WTC108" s="17"/>
      <c r="WTD108" s="17"/>
      <c r="WTE108" s="17"/>
      <c r="WTF108" s="17"/>
      <c r="WTG108" s="17"/>
      <c r="WTH108" s="17"/>
      <c r="WTI108" s="17"/>
      <c r="WTJ108" s="17"/>
      <c r="WTK108" s="17"/>
      <c r="WTL108" s="17"/>
      <c r="WTM108" s="17"/>
      <c r="WTN108" s="17"/>
      <c r="WTO108" s="17"/>
      <c r="WTP108" s="17"/>
      <c r="WTQ108" s="17"/>
      <c r="WTR108" s="17"/>
      <c r="WTS108" s="17"/>
      <c r="WTT108" s="17"/>
      <c r="WTU108" s="17"/>
      <c r="WTV108" s="17"/>
      <c r="WTW108" s="17"/>
      <c r="WTX108" s="17"/>
      <c r="WTY108" s="17"/>
      <c r="WTZ108" s="17"/>
      <c r="WUA108" s="17"/>
      <c r="WUB108" s="17"/>
      <c r="WUC108" s="17"/>
      <c r="WUD108" s="17"/>
      <c r="WUE108" s="17"/>
      <c r="WUF108" s="17"/>
      <c r="WUG108" s="17"/>
      <c r="WUH108" s="17"/>
      <c r="WUI108" s="17"/>
      <c r="WUJ108" s="17"/>
      <c r="WUK108" s="17"/>
      <c r="WUL108" s="17"/>
      <c r="WUM108" s="17"/>
      <c r="WUN108" s="17"/>
      <c r="WUO108" s="17"/>
      <c r="WUP108" s="17"/>
      <c r="WUQ108" s="17"/>
      <c r="WUR108" s="17"/>
      <c r="WUS108" s="17"/>
      <c r="WUT108" s="17"/>
      <c r="WUU108" s="17"/>
      <c r="WUV108" s="17"/>
      <c r="WUW108" s="17"/>
      <c r="WUX108" s="17"/>
      <c r="WUY108" s="17"/>
      <c r="WUZ108" s="17"/>
      <c r="WVA108" s="17"/>
      <c r="WVB108" s="17"/>
      <c r="WVC108" s="17"/>
      <c r="WVD108" s="17"/>
      <c r="WVE108" s="17"/>
      <c r="WVF108" s="17"/>
      <c r="WVG108" s="17"/>
      <c r="WVH108" s="17"/>
      <c r="WVI108" s="17"/>
      <c r="WVJ108" s="17"/>
      <c r="WVK108" s="17"/>
      <c r="WVL108" s="17"/>
      <c r="WVM108" s="17"/>
      <c r="WVN108" s="17"/>
      <c r="WVO108" s="17"/>
      <c r="WVP108" s="17"/>
      <c r="WVQ108" s="17"/>
      <c r="WVR108" s="17"/>
      <c r="WVS108" s="17"/>
      <c r="WVT108" s="17"/>
      <c r="WVU108" s="17"/>
      <c r="WVV108" s="17"/>
      <c r="WVW108" s="17"/>
      <c r="WVX108" s="17"/>
      <c r="WVY108" s="17"/>
      <c r="WVZ108" s="17"/>
      <c r="WWA108" s="17"/>
      <c r="WWB108" s="17"/>
      <c r="WWC108" s="17"/>
      <c r="WWD108" s="17"/>
      <c r="WWE108" s="17"/>
      <c r="WWF108" s="17"/>
      <c r="WWG108" s="17"/>
      <c r="WWH108" s="17"/>
      <c r="WWI108" s="17"/>
      <c r="WWJ108" s="17"/>
      <c r="WWK108" s="17"/>
      <c r="WWL108" s="17"/>
      <c r="WWM108" s="17"/>
      <c r="WWN108" s="17"/>
      <c r="WWO108" s="17"/>
      <c r="WWP108" s="17"/>
      <c r="WWQ108" s="17"/>
      <c r="WWR108" s="17"/>
      <c r="WWS108" s="17"/>
      <c r="WWT108" s="17"/>
      <c r="WWU108" s="17"/>
      <c r="WWV108" s="17"/>
      <c r="WWW108" s="17"/>
      <c r="WWX108" s="17"/>
      <c r="WWY108" s="17"/>
      <c r="WWZ108" s="17"/>
      <c r="WXA108" s="17"/>
      <c r="WXB108" s="17"/>
      <c r="WXC108" s="17"/>
      <c r="WXD108" s="17"/>
      <c r="WXE108" s="17"/>
      <c r="WXF108" s="17"/>
      <c r="WXG108" s="17"/>
      <c r="WXH108" s="17"/>
      <c r="WXI108" s="17"/>
      <c r="WXJ108" s="17"/>
      <c r="WXK108" s="17"/>
      <c r="WXL108" s="17"/>
      <c r="WXM108" s="17"/>
      <c r="WXN108" s="17"/>
      <c r="WXO108" s="17"/>
      <c r="WXP108" s="17"/>
      <c r="WXQ108" s="17"/>
      <c r="WXR108" s="17"/>
      <c r="WXS108" s="17"/>
      <c r="WXT108" s="17"/>
      <c r="WXU108" s="17"/>
      <c r="WXV108" s="17"/>
      <c r="WXW108" s="17"/>
      <c r="WXX108" s="17"/>
      <c r="WXY108" s="17"/>
      <c r="WXZ108" s="17"/>
      <c r="WYA108" s="17"/>
      <c r="WYB108" s="17"/>
      <c r="WYC108" s="17"/>
      <c r="WYD108" s="17"/>
      <c r="WYE108" s="17"/>
      <c r="WYF108" s="17"/>
      <c r="WYG108" s="17"/>
      <c r="WYH108" s="17"/>
      <c r="WYI108" s="17"/>
      <c r="WYJ108" s="17"/>
      <c r="WYK108" s="17"/>
      <c r="WYL108" s="17"/>
      <c r="WYM108" s="17"/>
      <c r="WYN108" s="17"/>
      <c r="WYO108" s="17"/>
      <c r="WYP108" s="17"/>
      <c r="WYQ108" s="17"/>
      <c r="WYR108" s="17"/>
      <c r="WYS108" s="17"/>
      <c r="WYT108" s="17"/>
      <c r="WYU108" s="17"/>
      <c r="WYV108" s="17"/>
      <c r="WYW108" s="17"/>
      <c r="WYX108" s="17"/>
      <c r="WYY108" s="17"/>
      <c r="WYZ108" s="17"/>
      <c r="WZA108" s="17"/>
      <c r="WZB108" s="17"/>
      <c r="WZC108" s="17"/>
      <c r="WZD108" s="17"/>
      <c r="WZE108" s="17"/>
      <c r="WZF108" s="17"/>
      <c r="WZG108" s="17"/>
      <c r="WZH108" s="17"/>
      <c r="WZI108" s="17"/>
      <c r="WZJ108" s="17"/>
      <c r="WZK108" s="17"/>
      <c r="WZL108" s="17"/>
      <c r="WZM108" s="17"/>
      <c r="WZN108" s="17"/>
      <c r="WZO108" s="17"/>
      <c r="WZP108" s="17"/>
      <c r="WZQ108" s="17"/>
      <c r="WZR108" s="17"/>
      <c r="WZS108" s="17"/>
      <c r="WZT108" s="17"/>
      <c r="WZU108" s="17"/>
      <c r="WZV108" s="17"/>
      <c r="WZW108" s="17"/>
      <c r="WZX108" s="17"/>
      <c r="WZY108" s="17"/>
      <c r="WZZ108" s="17"/>
      <c r="XAA108" s="17"/>
      <c r="XAB108" s="17"/>
      <c r="XAC108" s="17"/>
      <c r="XAD108" s="17"/>
      <c r="XAE108" s="17"/>
      <c r="XAF108" s="17"/>
      <c r="XAG108" s="17"/>
      <c r="XAH108" s="17"/>
      <c r="XAI108" s="17"/>
      <c r="XAJ108" s="17"/>
      <c r="XAK108" s="17"/>
      <c r="XAL108" s="17"/>
      <c r="XAM108" s="17"/>
      <c r="XAN108" s="17"/>
      <c r="XAO108" s="17"/>
      <c r="XAP108" s="17"/>
      <c r="XAQ108" s="17"/>
      <c r="XAR108" s="17"/>
      <c r="XAS108" s="17"/>
      <c r="XAT108" s="17"/>
      <c r="XAU108" s="17"/>
      <c r="XAV108" s="17"/>
      <c r="XAW108" s="17"/>
      <c r="XAX108" s="17"/>
      <c r="XAY108" s="17"/>
      <c r="XAZ108" s="17"/>
      <c r="XBA108" s="17"/>
      <c r="XBB108" s="17"/>
      <c r="XBC108" s="17"/>
      <c r="XBD108" s="17"/>
      <c r="XBE108" s="17"/>
      <c r="XBF108" s="17"/>
      <c r="XBG108" s="17"/>
      <c r="XBH108" s="17"/>
      <c r="XBI108" s="17"/>
      <c r="XBJ108" s="17"/>
      <c r="XBK108" s="17"/>
      <c r="XBL108" s="17"/>
      <c r="XBM108" s="17"/>
      <c r="XBN108" s="17"/>
      <c r="XBO108" s="17"/>
      <c r="XBP108" s="17"/>
      <c r="XBQ108" s="17"/>
      <c r="XBR108" s="17"/>
      <c r="XBS108" s="17"/>
      <c r="XBT108" s="17"/>
      <c r="XBU108" s="17"/>
      <c r="XBV108" s="17"/>
      <c r="XBW108" s="17"/>
      <c r="XBX108" s="17"/>
      <c r="XBY108" s="17"/>
      <c r="XBZ108" s="17"/>
      <c r="XCA108" s="17"/>
      <c r="XCB108" s="17"/>
      <c r="XCC108" s="17"/>
      <c r="XCD108" s="17"/>
      <c r="XCE108" s="17"/>
      <c r="XCF108" s="17"/>
      <c r="XCG108" s="17"/>
      <c r="XCH108" s="17"/>
      <c r="XCI108" s="17"/>
      <c r="XCJ108" s="17"/>
      <c r="XCK108" s="17"/>
      <c r="XCL108" s="17"/>
      <c r="XCM108" s="17"/>
      <c r="XCN108" s="17"/>
      <c r="XCO108" s="17"/>
      <c r="XCP108" s="17"/>
      <c r="XCQ108" s="17"/>
      <c r="XCR108" s="17"/>
      <c r="XCS108" s="17"/>
      <c r="XCT108" s="17"/>
      <c r="XCU108" s="17"/>
      <c r="XCV108" s="17"/>
      <c r="XCW108" s="17"/>
      <c r="XCX108" s="17"/>
      <c r="XCY108" s="17"/>
      <c r="XCZ108" s="17"/>
      <c r="XDA108" s="17"/>
      <c r="XDB108" s="17"/>
      <c r="XDC108" s="17"/>
      <c r="XDD108" s="17"/>
      <c r="XDE108" s="17"/>
      <c r="XDF108" s="17"/>
      <c r="XDG108" s="17"/>
      <c r="XDH108" s="17"/>
      <c r="XDI108" s="17"/>
      <c r="XDJ108" s="17"/>
      <c r="XDK108" s="17"/>
      <c r="XDL108" s="17"/>
      <c r="XDM108" s="17"/>
      <c r="XDN108" s="17"/>
      <c r="XDO108" s="17"/>
      <c r="XDP108" s="17"/>
      <c r="XDQ108" s="17"/>
      <c r="XDR108" s="17"/>
      <c r="XDS108" s="17"/>
      <c r="XDT108" s="17"/>
      <c r="XDU108" s="17"/>
      <c r="XDV108" s="17"/>
      <c r="XDW108" s="17"/>
      <c r="XDX108" s="17"/>
      <c r="XDY108" s="17"/>
      <c r="XDZ108" s="17"/>
      <c r="XEA108" s="17"/>
      <c r="XEB108" s="17"/>
      <c r="XEC108" s="17"/>
      <c r="XED108" s="17"/>
      <c r="XEE108" s="17"/>
      <c r="XEF108" s="17"/>
      <c r="XEG108" s="17"/>
      <c r="XEH108" s="17"/>
      <c r="XEI108" s="17"/>
      <c r="XEJ108" s="17"/>
      <c r="XEK108" s="17"/>
      <c r="XEL108" s="17"/>
      <c r="XEM108" s="17"/>
      <c r="XEN108" s="17"/>
      <c r="XEO108" s="17"/>
      <c r="XEP108" s="17"/>
      <c r="XEQ108" s="17"/>
      <c r="XER108" s="17"/>
      <c r="XES108" s="17"/>
      <c r="XET108" s="17"/>
      <c r="XEU108" s="17"/>
      <c r="XEV108" s="17"/>
      <c r="XEW108" s="17"/>
      <c r="XEX108" s="17"/>
      <c r="XEY108" s="10"/>
      <c r="XEZ108" s="10"/>
      <c r="XFA108" s="10"/>
      <c r="XFB108" s="10"/>
      <c r="XFC108" s="94"/>
    </row>
    <row r="109" s="4" customFormat="1" ht="42" customHeight="1" spans="1:16383">
      <c r="A109" s="61"/>
      <c r="B109" s="62"/>
      <c r="C109" s="34" t="s">
        <v>110</v>
      </c>
      <c r="D109" s="35"/>
      <c r="E109" s="67" t="s">
        <v>17</v>
      </c>
      <c r="F109" s="68">
        <v>0</v>
      </c>
      <c r="G109" s="71">
        <v>188</v>
      </c>
      <c r="H109" s="71">
        <f t="shared" si="6"/>
        <v>0</v>
      </c>
      <c r="I109" s="80" t="s">
        <v>101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7"/>
      <c r="IP109" s="17"/>
      <c r="IQ109" s="17"/>
      <c r="IR109" s="17"/>
      <c r="IS109" s="17"/>
      <c r="IT109" s="17"/>
      <c r="IU109" s="17"/>
      <c r="IV109" s="17"/>
      <c r="IW109" s="17"/>
      <c r="IX109" s="17"/>
      <c r="IY109" s="17"/>
      <c r="IZ109" s="17"/>
      <c r="JA109" s="17"/>
      <c r="JB109" s="17"/>
      <c r="JC109" s="17"/>
      <c r="JD109" s="17"/>
      <c r="JE109" s="17"/>
      <c r="JF109" s="17"/>
      <c r="JG109" s="17"/>
      <c r="JH109" s="17"/>
      <c r="JI109" s="17"/>
      <c r="JJ109" s="17"/>
      <c r="JK109" s="17"/>
      <c r="JL109" s="17"/>
      <c r="JM109" s="17"/>
      <c r="JN109" s="17"/>
      <c r="JO109" s="17"/>
      <c r="JP109" s="17"/>
      <c r="JQ109" s="17"/>
      <c r="JR109" s="17"/>
      <c r="JS109" s="17"/>
      <c r="JT109" s="17"/>
      <c r="JU109" s="17"/>
      <c r="JV109" s="17"/>
      <c r="JW109" s="17"/>
      <c r="JX109" s="17"/>
      <c r="JY109" s="17"/>
      <c r="JZ109" s="17"/>
      <c r="KA109" s="17"/>
      <c r="KB109" s="17"/>
      <c r="KC109" s="17"/>
      <c r="KD109" s="17"/>
      <c r="KE109" s="17"/>
      <c r="KF109" s="17"/>
      <c r="KG109" s="17"/>
      <c r="KH109" s="17"/>
      <c r="KI109" s="17"/>
      <c r="KJ109" s="17"/>
      <c r="KK109" s="17"/>
      <c r="KL109" s="17"/>
      <c r="KM109" s="17"/>
      <c r="KN109" s="17"/>
      <c r="KO109" s="17"/>
      <c r="KP109" s="17"/>
      <c r="KQ109" s="17"/>
      <c r="KR109" s="17"/>
      <c r="KS109" s="17"/>
      <c r="KT109" s="17"/>
      <c r="KU109" s="17"/>
      <c r="KV109" s="17"/>
      <c r="KW109" s="17"/>
      <c r="KX109" s="17"/>
      <c r="KY109" s="17"/>
      <c r="KZ109" s="17"/>
      <c r="LA109" s="17"/>
      <c r="LB109" s="17"/>
      <c r="LC109" s="17"/>
      <c r="LD109" s="17"/>
      <c r="LE109" s="17"/>
      <c r="LF109" s="17"/>
      <c r="LG109" s="17"/>
      <c r="LH109" s="17"/>
      <c r="LI109" s="17"/>
      <c r="LJ109" s="17"/>
      <c r="LK109" s="17"/>
      <c r="LL109" s="17"/>
      <c r="LM109" s="17"/>
      <c r="LN109" s="17"/>
      <c r="LO109" s="17"/>
      <c r="LP109" s="17"/>
      <c r="LQ109" s="17"/>
      <c r="LR109" s="17"/>
      <c r="LS109" s="17"/>
      <c r="LT109" s="17"/>
      <c r="LU109" s="17"/>
      <c r="LV109" s="17"/>
      <c r="LW109" s="17"/>
      <c r="LX109" s="17"/>
      <c r="LY109" s="17"/>
      <c r="LZ109" s="17"/>
      <c r="MA109" s="17"/>
      <c r="MB109" s="17"/>
      <c r="MC109" s="17"/>
      <c r="MD109" s="17"/>
      <c r="ME109" s="17"/>
      <c r="MF109" s="17"/>
      <c r="MG109" s="17"/>
      <c r="MH109" s="17"/>
      <c r="MI109" s="17"/>
      <c r="MJ109" s="17"/>
      <c r="MK109" s="17"/>
      <c r="ML109" s="17"/>
      <c r="MM109" s="17"/>
      <c r="MN109" s="17"/>
      <c r="MO109" s="17"/>
      <c r="MP109" s="17"/>
      <c r="MQ109" s="17"/>
      <c r="MR109" s="17"/>
      <c r="MS109" s="17"/>
      <c r="MT109" s="17"/>
      <c r="MU109" s="17"/>
      <c r="MV109" s="17"/>
      <c r="MW109" s="17"/>
      <c r="MX109" s="17"/>
      <c r="MY109" s="17"/>
      <c r="MZ109" s="17"/>
      <c r="NA109" s="17"/>
      <c r="NB109" s="17"/>
      <c r="NC109" s="17"/>
      <c r="ND109" s="17"/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  <c r="NX109" s="17"/>
      <c r="NY109" s="17"/>
      <c r="NZ109" s="17"/>
      <c r="OA109" s="17"/>
      <c r="OB109" s="17"/>
      <c r="OC109" s="17"/>
      <c r="OD109" s="17"/>
      <c r="OE109" s="17"/>
      <c r="OF109" s="17"/>
      <c r="OG109" s="17"/>
      <c r="OH109" s="17"/>
      <c r="OI109" s="17"/>
      <c r="OJ109" s="17"/>
      <c r="OK109" s="17"/>
      <c r="OL109" s="17"/>
      <c r="OM109" s="17"/>
      <c r="ON109" s="17"/>
      <c r="OO109" s="17"/>
      <c r="OP109" s="17"/>
      <c r="OQ109" s="17"/>
      <c r="OR109" s="17"/>
      <c r="OS109" s="17"/>
      <c r="OT109" s="17"/>
      <c r="OU109" s="17"/>
      <c r="OV109" s="17"/>
      <c r="OW109" s="17"/>
      <c r="OX109" s="17"/>
      <c r="OY109" s="17"/>
      <c r="OZ109" s="17"/>
      <c r="PA109" s="17"/>
      <c r="PB109" s="17"/>
      <c r="PC109" s="17"/>
      <c r="PD109" s="17"/>
      <c r="PE109" s="17"/>
      <c r="PF109" s="17"/>
      <c r="PG109" s="17"/>
      <c r="PH109" s="17"/>
      <c r="PI109" s="17"/>
      <c r="PJ109" s="17"/>
      <c r="PK109" s="17"/>
      <c r="PL109" s="17"/>
      <c r="PM109" s="17"/>
      <c r="PN109" s="17"/>
      <c r="PO109" s="17"/>
      <c r="PP109" s="17"/>
      <c r="PQ109" s="17"/>
      <c r="PR109" s="17"/>
      <c r="PS109" s="17"/>
      <c r="PT109" s="17"/>
      <c r="PU109" s="17"/>
      <c r="PV109" s="17"/>
      <c r="PW109" s="17"/>
      <c r="PX109" s="17"/>
      <c r="PY109" s="17"/>
      <c r="PZ109" s="17"/>
      <c r="QA109" s="17"/>
      <c r="QB109" s="17"/>
      <c r="QC109" s="17"/>
      <c r="QD109" s="17"/>
      <c r="QE109" s="17"/>
      <c r="QF109" s="17"/>
      <c r="QG109" s="17"/>
      <c r="QH109" s="17"/>
      <c r="QI109" s="17"/>
      <c r="QJ109" s="17"/>
      <c r="QK109" s="17"/>
      <c r="QL109" s="17"/>
      <c r="QM109" s="17"/>
      <c r="QN109" s="17"/>
      <c r="QO109" s="17"/>
      <c r="QP109" s="17"/>
      <c r="QQ109" s="17"/>
      <c r="QR109" s="17"/>
      <c r="QS109" s="17"/>
      <c r="QT109" s="17"/>
      <c r="QU109" s="17"/>
      <c r="QV109" s="17"/>
      <c r="QW109" s="17"/>
      <c r="QX109" s="17"/>
      <c r="QY109" s="17"/>
      <c r="QZ109" s="17"/>
      <c r="RA109" s="17"/>
      <c r="RB109" s="17"/>
      <c r="RC109" s="17"/>
      <c r="RD109" s="17"/>
      <c r="RE109" s="17"/>
      <c r="RF109" s="17"/>
      <c r="RG109" s="17"/>
      <c r="RH109" s="17"/>
      <c r="RI109" s="17"/>
      <c r="RJ109" s="17"/>
      <c r="RK109" s="17"/>
      <c r="RL109" s="17"/>
      <c r="RM109" s="17"/>
      <c r="RN109" s="17"/>
      <c r="RO109" s="17"/>
      <c r="RP109" s="17"/>
      <c r="RQ109" s="17"/>
      <c r="RR109" s="17"/>
      <c r="RS109" s="17"/>
      <c r="RT109" s="17"/>
      <c r="RU109" s="17"/>
      <c r="RV109" s="17"/>
      <c r="RW109" s="17"/>
      <c r="RX109" s="17"/>
      <c r="RY109" s="17"/>
      <c r="RZ109" s="17"/>
      <c r="SA109" s="17"/>
      <c r="SB109" s="17"/>
      <c r="SC109" s="17"/>
      <c r="SD109" s="17"/>
      <c r="SE109" s="17"/>
      <c r="SF109" s="17"/>
      <c r="SG109" s="17"/>
      <c r="SH109" s="17"/>
      <c r="SI109" s="17"/>
      <c r="SJ109" s="17"/>
      <c r="SK109" s="17"/>
      <c r="SL109" s="17"/>
      <c r="SM109" s="17"/>
      <c r="SN109" s="17"/>
      <c r="SO109" s="17"/>
      <c r="SP109" s="17"/>
      <c r="SQ109" s="17"/>
      <c r="SR109" s="17"/>
      <c r="SS109" s="17"/>
      <c r="ST109" s="17"/>
      <c r="SU109" s="17"/>
      <c r="SV109" s="17"/>
      <c r="SW109" s="17"/>
      <c r="SX109" s="17"/>
      <c r="SY109" s="17"/>
      <c r="SZ109" s="17"/>
      <c r="TA109" s="17"/>
      <c r="TB109" s="17"/>
      <c r="TC109" s="17"/>
      <c r="TD109" s="17"/>
      <c r="TE109" s="17"/>
      <c r="TF109" s="17"/>
      <c r="TG109" s="17"/>
      <c r="TH109" s="17"/>
      <c r="TI109" s="17"/>
      <c r="TJ109" s="17"/>
      <c r="TK109" s="17"/>
      <c r="TL109" s="17"/>
      <c r="TM109" s="17"/>
      <c r="TN109" s="17"/>
      <c r="TO109" s="17"/>
      <c r="TP109" s="17"/>
      <c r="TQ109" s="17"/>
      <c r="TR109" s="17"/>
      <c r="TS109" s="17"/>
      <c r="TT109" s="17"/>
      <c r="TU109" s="17"/>
      <c r="TV109" s="17"/>
      <c r="TW109" s="17"/>
      <c r="TX109" s="17"/>
      <c r="TY109" s="17"/>
      <c r="TZ109" s="17"/>
      <c r="UA109" s="17"/>
      <c r="UB109" s="17"/>
      <c r="UC109" s="17"/>
      <c r="UD109" s="17"/>
      <c r="UE109" s="17"/>
      <c r="UF109" s="17"/>
      <c r="UG109" s="17"/>
      <c r="UH109" s="17"/>
      <c r="UI109" s="17"/>
      <c r="UJ109" s="17"/>
      <c r="UK109" s="17"/>
      <c r="UL109" s="17"/>
      <c r="UM109" s="17"/>
      <c r="UN109" s="17"/>
      <c r="UO109" s="17"/>
      <c r="UP109" s="17"/>
      <c r="UQ109" s="17"/>
      <c r="UR109" s="17"/>
      <c r="US109" s="17"/>
      <c r="UT109" s="17"/>
      <c r="UU109" s="17"/>
      <c r="UV109" s="17"/>
      <c r="UW109" s="17"/>
      <c r="UX109" s="17"/>
      <c r="UY109" s="17"/>
      <c r="UZ109" s="17"/>
      <c r="VA109" s="17"/>
      <c r="VB109" s="17"/>
      <c r="VC109" s="17"/>
      <c r="VD109" s="17"/>
      <c r="VE109" s="17"/>
      <c r="VF109" s="17"/>
      <c r="VG109" s="17"/>
      <c r="VH109" s="17"/>
      <c r="VI109" s="17"/>
      <c r="VJ109" s="17"/>
      <c r="VK109" s="17"/>
      <c r="VL109" s="17"/>
      <c r="VM109" s="17"/>
      <c r="VN109" s="17"/>
      <c r="VO109" s="17"/>
      <c r="VP109" s="17"/>
      <c r="VQ109" s="17"/>
      <c r="VR109" s="17"/>
      <c r="VS109" s="17"/>
      <c r="VT109" s="17"/>
      <c r="VU109" s="17"/>
      <c r="VV109" s="17"/>
      <c r="VW109" s="17"/>
      <c r="VX109" s="17"/>
      <c r="VY109" s="17"/>
      <c r="VZ109" s="17"/>
      <c r="WA109" s="17"/>
      <c r="WB109" s="17"/>
      <c r="WC109" s="17"/>
      <c r="WD109" s="17"/>
      <c r="WE109" s="17"/>
      <c r="WF109" s="17"/>
      <c r="WG109" s="17"/>
      <c r="WH109" s="17"/>
      <c r="WI109" s="17"/>
      <c r="WJ109" s="17"/>
      <c r="WK109" s="17"/>
      <c r="WL109" s="17"/>
      <c r="WM109" s="17"/>
      <c r="WN109" s="17"/>
      <c r="WO109" s="17"/>
      <c r="WP109" s="17"/>
      <c r="WQ109" s="17"/>
      <c r="WR109" s="17"/>
      <c r="WS109" s="17"/>
      <c r="WT109" s="17"/>
      <c r="WU109" s="17"/>
      <c r="WV109" s="17"/>
      <c r="WW109" s="17"/>
      <c r="WX109" s="17"/>
      <c r="WY109" s="17"/>
      <c r="WZ109" s="17"/>
      <c r="XA109" s="17"/>
      <c r="XB109" s="17"/>
      <c r="XC109" s="17"/>
      <c r="XD109" s="17"/>
      <c r="XE109" s="17"/>
      <c r="XF109" s="17"/>
      <c r="XG109" s="17"/>
      <c r="XH109" s="17"/>
      <c r="XI109" s="17"/>
      <c r="XJ109" s="17"/>
      <c r="XK109" s="17"/>
      <c r="XL109" s="17"/>
      <c r="XM109" s="17"/>
      <c r="XN109" s="17"/>
      <c r="XO109" s="17"/>
      <c r="XP109" s="17"/>
      <c r="XQ109" s="17"/>
      <c r="XR109" s="17"/>
      <c r="XS109" s="17"/>
      <c r="XT109" s="17"/>
      <c r="XU109" s="17"/>
      <c r="XV109" s="17"/>
      <c r="XW109" s="17"/>
      <c r="XX109" s="17"/>
      <c r="XY109" s="17"/>
      <c r="XZ109" s="17"/>
      <c r="YA109" s="17"/>
      <c r="YB109" s="17"/>
      <c r="YC109" s="17"/>
      <c r="YD109" s="17"/>
      <c r="YE109" s="17"/>
      <c r="YF109" s="17"/>
      <c r="YG109" s="17"/>
      <c r="YH109" s="17"/>
      <c r="YI109" s="17"/>
      <c r="YJ109" s="17"/>
      <c r="YK109" s="17"/>
      <c r="YL109" s="17"/>
      <c r="YM109" s="17"/>
      <c r="YN109" s="17"/>
      <c r="YO109" s="17"/>
      <c r="YP109" s="17"/>
      <c r="YQ109" s="17"/>
      <c r="YR109" s="17"/>
      <c r="YS109" s="17"/>
      <c r="YT109" s="17"/>
      <c r="YU109" s="17"/>
      <c r="YV109" s="17"/>
      <c r="YW109" s="17"/>
      <c r="YX109" s="17"/>
      <c r="YY109" s="17"/>
      <c r="YZ109" s="17"/>
      <c r="ZA109" s="17"/>
      <c r="ZB109" s="17"/>
      <c r="ZC109" s="17"/>
      <c r="ZD109" s="17"/>
      <c r="ZE109" s="17"/>
      <c r="ZF109" s="17"/>
      <c r="ZG109" s="17"/>
      <c r="ZH109" s="17"/>
      <c r="ZI109" s="17"/>
      <c r="ZJ109" s="17"/>
      <c r="ZK109" s="17"/>
      <c r="ZL109" s="17"/>
      <c r="ZM109" s="17"/>
      <c r="ZN109" s="17"/>
      <c r="ZO109" s="17"/>
      <c r="ZP109" s="17"/>
      <c r="ZQ109" s="17"/>
      <c r="ZR109" s="17"/>
      <c r="ZS109" s="17"/>
      <c r="ZT109" s="17"/>
      <c r="ZU109" s="17"/>
      <c r="ZV109" s="17"/>
      <c r="ZW109" s="17"/>
      <c r="ZX109" s="17"/>
      <c r="ZY109" s="17"/>
      <c r="ZZ109" s="17"/>
      <c r="AAA109" s="17"/>
      <c r="AAB109" s="17"/>
      <c r="AAC109" s="17"/>
      <c r="AAD109" s="17"/>
      <c r="AAE109" s="17"/>
      <c r="AAF109" s="17"/>
      <c r="AAG109" s="17"/>
      <c r="AAH109" s="17"/>
      <c r="AAI109" s="17"/>
      <c r="AAJ109" s="17"/>
      <c r="AAK109" s="17"/>
      <c r="AAL109" s="17"/>
      <c r="AAM109" s="17"/>
      <c r="AAN109" s="17"/>
      <c r="AAO109" s="17"/>
      <c r="AAP109" s="17"/>
      <c r="AAQ109" s="17"/>
      <c r="AAR109" s="17"/>
      <c r="AAS109" s="17"/>
      <c r="AAT109" s="17"/>
      <c r="AAU109" s="17"/>
      <c r="AAV109" s="17"/>
      <c r="AAW109" s="17"/>
      <c r="AAX109" s="17"/>
      <c r="AAY109" s="17"/>
      <c r="AAZ109" s="17"/>
      <c r="ABA109" s="17"/>
      <c r="ABB109" s="17"/>
      <c r="ABC109" s="17"/>
      <c r="ABD109" s="17"/>
      <c r="ABE109" s="17"/>
      <c r="ABF109" s="17"/>
      <c r="ABG109" s="17"/>
      <c r="ABH109" s="17"/>
      <c r="ABI109" s="17"/>
      <c r="ABJ109" s="17"/>
      <c r="ABK109" s="17"/>
      <c r="ABL109" s="17"/>
      <c r="ABM109" s="17"/>
      <c r="ABN109" s="17"/>
      <c r="ABO109" s="17"/>
      <c r="ABP109" s="17"/>
      <c r="ABQ109" s="17"/>
      <c r="ABR109" s="17"/>
      <c r="ABS109" s="17"/>
      <c r="ABT109" s="17"/>
      <c r="ABU109" s="17"/>
      <c r="ABV109" s="17"/>
      <c r="ABW109" s="17"/>
      <c r="ABX109" s="17"/>
      <c r="ABY109" s="17"/>
      <c r="ABZ109" s="17"/>
      <c r="ACA109" s="17"/>
      <c r="ACB109" s="17"/>
      <c r="ACC109" s="17"/>
      <c r="ACD109" s="17"/>
      <c r="ACE109" s="17"/>
      <c r="ACF109" s="17"/>
      <c r="ACG109" s="17"/>
      <c r="ACH109" s="17"/>
      <c r="ACI109" s="17"/>
      <c r="ACJ109" s="17"/>
      <c r="ACK109" s="17"/>
      <c r="ACL109" s="17"/>
      <c r="ACM109" s="17"/>
      <c r="ACN109" s="17"/>
      <c r="ACO109" s="17"/>
      <c r="ACP109" s="17"/>
      <c r="ACQ109" s="17"/>
      <c r="ACR109" s="17"/>
      <c r="ACS109" s="17"/>
      <c r="ACT109" s="17"/>
      <c r="ACU109" s="17"/>
      <c r="ACV109" s="17"/>
      <c r="ACW109" s="17"/>
      <c r="ACX109" s="17"/>
      <c r="ACY109" s="17"/>
      <c r="ACZ109" s="17"/>
      <c r="ADA109" s="17"/>
      <c r="ADB109" s="17"/>
      <c r="ADC109" s="17"/>
      <c r="ADD109" s="17"/>
      <c r="ADE109" s="17"/>
      <c r="ADF109" s="17"/>
      <c r="ADG109" s="17"/>
      <c r="ADH109" s="17"/>
      <c r="ADI109" s="17"/>
      <c r="ADJ109" s="17"/>
      <c r="ADK109" s="17"/>
      <c r="ADL109" s="17"/>
      <c r="ADM109" s="17"/>
      <c r="ADN109" s="17"/>
      <c r="ADO109" s="17"/>
      <c r="ADP109" s="17"/>
      <c r="ADQ109" s="17"/>
      <c r="ADR109" s="17"/>
      <c r="ADS109" s="17"/>
      <c r="ADT109" s="17"/>
      <c r="ADU109" s="17"/>
      <c r="ADV109" s="17"/>
      <c r="ADW109" s="17"/>
      <c r="ADX109" s="17"/>
      <c r="ADY109" s="17"/>
      <c r="ADZ109" s="17"/>
      <c r="AEA109" s="17"/>
      <c r="AEB109" s="17"/>
      <c r="AEC109" s="17"/>
      <c r="AED109" s="17"/>
      <c r="AEE109" s="17"/>
      <c r="AEF109" s="17"/>
      <c r="AEG109" s="17"/>
      <c r="AEH109" s="17"/>
      <c r="AEI109" s="17"/>
      <c r="AEJ109" s="17"/>
      <c r="AEK109" s="17"/>
      <c r="AEL109" s="17"/>
      <c r="AEM109" s="17"/>
      <c r="AEN109" s="17"/>
      <c r="AEO109" s="17"/>
      <c r="AEP109" s="17"/>
      <c r="AEQ109" s="17"/>
      <c r="AER109" s="17"/>
      <c r="AES109" s="17"/>
      <c r="AET109" s="17"/>
      <c r="AEU109" s="17"/>
      <c r="AEV109" s="17"/>
      <c r="AEW109" s="17"/>
      <c r="AEX109" s="17"/>
      <c r="AEY109" s="17"/>
      <c r="AEZ109" s="17"/>
      <c r="AFA109" s="17"/>
      <c r="AFB109" s="17"/>
      <c r="AFC109" s="17"/>
      <c r="AFD109" s="17"/>
      <c r="AFE109" s="17"/>
      <c r="AFF109" s="17"/>
      <c r="AFG109" s="17"/>
      <c r="AFH109" s="17"/>
      <c r="AFI109" s="17"/>
      <c r="AFJ109" s="17"/>
      <c r="AFK109" s="17"/>
      <c r="AFL109" s="17"/>
      <c r="AFM109" s="17"/>
      <c r="AFN109" s="17"/>
      <c r="AFO109" s="17"/>
      <c r="AFP109" s="17"/>
      <c r="AFQ109" s="17"/>
      <c r="AFR109" s="17"/>
      <c r="AFS109" s="17"/>
      <c r="AFT109" s="17"/>
      <c r="AFU109" s="17"/>
      <c r="AFV109" s="17"/>
      <c r="AFW109" s="17"/>
      <c r="AFX109" s="17"/>
      <c r="AFY109" s="17"/>
      <c r="AFZ109" s="17"/>
      <c r="AGA109" s="17"/>
      <c r="AGB109" s="17"/>
      <c r="AGC109" s="17"/>
      <c r="AGD109" s="17"/>
      <c r="AGE109" s="17"/>
      <c r="AGF109" s="17"/>
      <c r="AGG109" s="17"/>
      <c r="AGH109" s="17"/>
      <c r="AGI109" s="17"/>
      <c r="AGJ109" s="17"/>
      <c r="AGK109" s="17"/>
      <c r="AGL109" s="17"/>
      <c r="AGM109" s="17"/>
      <c r="AGN109" s="17"/>
      <c r="AGO109" s="17"/>
      <c r="AGP109" s="17"/>
      <c r="AGQ109" s="17"/>
      <c r="AGR109" s="17"/>
      <c r="AGS109" s="17"/>
      <c r="AGT109" s="17"/>
      <c r="AGU109" s="17"/>
      <c r="AGV109" s="17"/>
      <c r="AGW109" s="17"/>
      <c r="AGX109" s="17"/>
      <c r="AGY109" s="17"/>
      <c r="AGZ109" s="17"/>
      <c r="AHA109" s="17"/>
      <c r="AHB109" s="17"/>
      <c r="AHC109" s="17"/>
      <c r="AHD109" s="17"/>
      <c r="AHE109" s="17"/>
      <c r="AHF109" s="17"/>
      <c r="AHG109" s="17"/>
      <c r="AHH109" s="17"/>
      <c r="AHI109" s="17"/>
      <c r="AHJ109" s="17"/>
      <c r="AHK109" s="17"/>
      <c r="AHL109" s="17"/>
      <c r="AHM109" s="17"/>
      <c r="AHN109" s="17"/>
      <c r="AHO109" s="17"/>
      <c r="AHP109" s="17"/>
      <c r="AHQ109" s="17"/>
      <c r="AHR109" s="17"/>
      <c r="AHS109" s="17"/>
      <c r="AHT109" s="17"/>
      <c r="AHU109" s="17"/>
      <c r="AHV109" s="17"/>
      <c r="AHW109" s="17"/>
      <c r="AHX109" s="17"/>
      <c r="AHY109" s="17"/>
      <c r="AHZ109" s="17"/>
      <c r="AIA109" s="17"/>
      <c r="AIB109" s="17"/>
      <c r="AIC109" s="17"/>
      <c r="AID109" s="17"/>
      <c r="AIE109" s="17"/>
      <c r="AIF109" s="17"/>
      <c r="AIG109" s="17"/>
      <c r="AIH109" s="17"/>
      <c r="AII109" s="17"/>
      <c r="AIJ109" s="17"/>
      <c r="AIK109" s="17"/>
      <c r="AIL109" s="17"/>
      <c r="AIM109" s="17"/>
      <c r="AIN109" s="17"/>
      <c r="AIO109" s="17"/>
      <c r="AIP109" s="17"/>
      <c r="AIQ109" s="17"/>
      <c r="AIR109" s="17"/>
      <c r="AIS109" s="17"/>
      <c r="AIT109" s="17"/>
      <c r="AIU109" s="17"/>
      <c r="AIV109" s="17"/>
      <c r="AIW109" s="17"/>
      <c r="AIX109" s="17"/>
      <c r="AIY109" s="17"/>
      <c r="AIZ109" s="17"/>
      <c r="AJA109" s="17"/>
      <c r="AJB109" s="17"/>
      <c r="AJC109" s="17"/>
      <c r="AJD109" s="17"/>
      <c r="AJE109" s="17"/>
      <c r="AJF109" s="17"/>
      <c r="AJG109" s="17"/>
      <c r="AJH109" s="17"/>
      <c r="AJI109" s="17"/>
      <c r="AJJ109" s="17"/>
      <c r="AJK109" s="17"/>
      <c r="AJL109" s="17"/>
      <c r="AJM109" s="17"/>
      <c r="AJN109" s="17"/>
      <c r="AJO109" s="17"/>
      <c r="AJP109" s="17"/>
      <c r="AJQ109" s="17"/>
      <c r="AJR109" s="17"/>
      <c r="AJS109" s="17"/>
      <c r="AJT109" s="17"/>
      <c r="AJU109" s="17"/>
      <c r="AJV109" s="17"/>
      <c r="AJW109" s="17"/>
      <c r="AJX109" s="17"/>
      <c r="AJY109" s="17"/>
      <c r="AJZ109" s="17"/>
      <c r="AKA109" s="17"/>
      <c r="AKB109" s="17"/>
      <c r="AKC109" s="17"/>
      <c r="AKD109" s="17"/>
      <c r="AKE109" s="17"/>
      <c r="AKF109" s="17"/>
      <c r="AKG109" s="17"/>
      <c r="AKH109" s="17"/>
      <c r="AKI109" s="17"/>
      <c r="AKJ109" s="17"/>
      <c r="AKK109" s="17"/>
      <c r="AKL109" s="17"/>
      <c r="AKM109" s="17"/>
      <c r="AKN109" s="17"/>
      <c r="AKO109" s="17"/>
      <c r="AKP109" s="17"/>
      <c r="AKQ109" s="17"/>
      <c r="AKR109" s="17"/>
      <c r="AKS109" s="17"/>
      <c r="AKT109" s="17"/>
      <c r="AKU109" s="17"/>
      <c r="AKV109" s="17"/>
      <c r="AKW109" s="17"/>
      <c r="AKX109" s="17"/>
      <c r="AKY109" s="17"/>
      <c r="AKZ109" s="17"/>
      <c r="ALA109" s="17"/>
      <c r="ALB109" s="17"/>
      <c r="ALC109" s="17"/>
      <c r="ALD109" s="17"/>
      <c r="ALE109" s="17"/>
      <c r="ALF109" s="17"/>
      <c r="ALG109" s="17"/>
      <c r="ALH109" s="17"/>
      <c r="ALI109" s="17"/>
      <c r="ALJ109" s="17"/>
      <c r="ALK109" s="17"/>
      <c r="ALL109" s="17"/>
      <c r="ALM109" s="17"/>
      <c r="ALN109" s="17"/>
      <c r="ALO109" s="17"/>
      <c r="ALP109" s="17"/>
      <c r="ALQ109" s="17"/>
      <c r="ALR109" s="17"/>
      <c r="ALS109" s="17"/>
      <c r="ALT109" s="17"/>
      <c r="ALU109" s="17"/>
      <c r="ALV109" s="17"/>
      <c r="ALW109" s="17"/>
      <c r="ALX109" s="17"/>
      <c r="ALY109" s="17"/>
      <c r="ALZ109" s="17"/>
      <c r="AMA109" s="17"/>
      <c r="AMB109" s="17"/>
      <c r="AMC109" s="17"/>
      <c r="AMD109" s="17"/>
      <c r="AME109" s="17"/>
      <c r="AMF109" s="17"/>
      <c r="AMG109" s="17"/>
      <c r="AMH109" s="17"/>
      <c r="AMI109" s="17"/>
      <c r="AMJ109" s="17"/>
      <c r="AMK109" s="17"/>
      <c r="AML109" s="17"/>
      <c r="AMM109" s="17"/>
      <c r="AMN109" s="17"/>
      <c r="AMO109" s="17"/>
      <c r="AMP109" s="17"/>
      <c r="AMQ109" s="17"/>
      <c r="AMR109" s="17"/>
      <c r="AMS109" s="17"/>
      <c r="AMT109" s="17"/>
      <c r="AMU109" s="17"/>
      <c r="AMV109" s="17"/>
      <c r="AMW109" s="17"/>
      <c r="AMX109" s="17"/>
      <c r="AMY109" s="17"/>
      <c r="AMZ109" s="17"/>
      <c r="ANA109" s="17"/>
      <c r="ANB109" s="17"/>
      <c r="ANC109" s="17"/>
      <c r="AND109" s="17"/>
      <c r="ANE109" s="17"/>
      <c r="ANF109" s="17"/>
      <c r="ANG109" s="17"/>
      <c r="ANH109" s="17"/>
      <c r="ANI109" s="17"/>
      <c r="ANJ109" s="17"/>
      <c r="ANK109" s="17"/>
      <c r="ANL109" s="17"/>
      <c r="ANM109" s="17"/>
      <c r="ANN109" s="17"/>
      <c r="ANO109" s="17"/>
      <c r="ANP109" s="17"/>
      <c r="ANQ109" s="17"/>
      <c r="ANR109" s="17"/>
      <c r="ANS109" s="17"/>
      <c r="ANT109" s="17"/>
      <c r="ANU109" s="17"/>
      <c r="ANV109" s="17"/>
      <c r="ANW109" s="17"/>
      <c r="ANX109" s="17"/>
      <c r="ANY109" s="17"/>
      <c r="ANZ109" s="17"/>
      <c r="AOA109" s="17"/>
      <c r="AOB109" s="17"/>
      <c r="AOC109" s="17"/>
      <c r="AOD109" s="17"/>
      <c r="AOE109" s="17"/>
      <c r="AOF109" s="17"/>
      <c r="AOG109" s="17"/>
      <c r="AOH109" s="17"/>
      <c r="AOI109" s="17"/>
      <c r="AOJ109" s="17"/>
      <c r="AOK109" s="17"/>
      <c r="AOL109" s="17"/>
      <c r="AOM109" s="17"/>
      <c r="AON109" s="17"/>
      <c r="AOO109" s="17"/>
      <c r="AOP109" s="17"/>
      <c r="AOQ109" s="17"/>
      <c r="AOR109" s="17"/>
      <c r="AOS109" s="17"/>
      <c r="AOT109" s="17"/>
      <c r="AOU109" s="17"/>
      <c r="AOV109" s="17"/>
      <c r="AOW109" s="17"/>
      <c r="AOX109" s="17"/>
      <c r="AOY109" s="17"/>
      <c r="AOZ109" s="17"/>
      <c r="APA109" s="17"/>
      <c r="APB109" s="17"/>
      <c r="APC109" s="17"/>
      <c r="APD109" s="17"/>
      <c r="APE109" s="17"/>
      <c r="APF109" s="17"/>
      <c r="APG109" s="17"/>
      <c r="APH109" s="17"/>
      <c r="API109" s="17"/>
      <c r="APJ109" s="17"/>
      <c r="APK109" s="17"/>
      <c r="APL109" s="17"/>
      <c r="APM109" s="17"/>
      <c r="APN109" s="17"/>
      <c r="APO109" s="17"/>
      <c r="APP109" s="17"/>
      <c r="APQ109" s="17"/>
      <c r="APR109" s="17"/>
      <c r="APS109" s="17"/>
      <c r="APT109" s="17"/>
      <c r="APU109" s="17"/>
      <c r="APV109" s="17"/>
      <c r="APW109" s="17"/>
      <c r="APX109" s="17"/>
      <c r="APY109" s="17"/>
      <c r="APZ109" s="17"/>
      <c r="AQA109" s="17"/>
      <c r="AQB109" s="17"/>
      <c r="AQC109" s="17"/>
      <c r="AQD109" s="17"/>
      <c r="AQE109" s="17"/>
      <c r="AQF109" s="17"/>
      <c r="AQG109" s="17"/>
      <c r="AQH109" s="17"/>
      <c r="AQI109" s="17"/>
      <c r="AQJ109" s="17"/>
      <c r="AQK109" s="17"/>
      <c r="AQL109" s="17"/>
      <c r="AQM109" s="17"/>
      <c r="AQN109" s="17"/>
      <c r="AQO109" s="17"/>
      <c r="AQP109" s="17"/>
      <c r="AQQ109" s="17"/>
      <c r="AQR109" s="17"/>
      <c r="AQS109" s="17"/>
      <c r="AQT109" s="17"/>
      <c r="AQU109" s="17"/>
      <c r="AQV109" s="17"/>
      <c r="AQW109" s="17"/>
      <c r="AQX109" s="17"/>
      <c r="AQY109" s="17"/>
      <c r="AQZ109" s="17"/>
      <c r="ARA109" s="17"/>
      <c r="ARB109" s="17"/>
      <c r="ARC109" s="17"/>
      <c r="ARD109" s="17"/>
      <c r="ARE109" s="17"/>
      <c r="ARF109" s="17"/>
      <c r="ARG109" s="17"/>
      <c r="ARH109" s="17"/>
      <c r="ARI109" s="17"/>
      <c r="ARJ109" s="17"/>
      <c r="ARK109" s="17"/>
      <c r="ARL109" s="17"/>
      <c r="ARM109" s="17"/>
      <c r="ARN109" s="17"/>
      <c r="ARO109" s="17"/>
      <c r="ARP109" s="17"/>
      <c r="ARQ109" s="17"/>
      <c r="ARR109" s="17"/>
      <c r="ARS109" s="17"/>
      <c r="ART109" s="17"/>
      <c r="ARU109" s="17"/>
      <c r="ARV109" s="17"/>
      <c r="ARW109" s="17"/>
      <c r="ARX109" s="17"/>
      <c r="ARY109" s="17"/>
      <c r="ARZ109" s="17"/>
      <c r="ASA109" s="17"/>
      <c r="ASB109" s="17"/>
      <c r="ASC109" s="17"/>
      <c r="ASD109" s="17"/>
      <c r="ASE109" s="17"/>
      <c r="ASF109" s="17"/>
      <c r="ASG109" s="17"/>
      <c r="ASH109" s="17"/>
      <c r="ASI109" s="17"/>
      <c r="ASJ109" s="17"/>
      <c r="ASK109" s="17"/>
      <c r="ASL109" s="17"/>
      <c r="ASM109" s="17"/>
      <c r="ASN109" s="17"/>
      <c r="ASO109" s="17"/>
      <c r="ASP109" s="17"/>
      <c r="ASQ109" s="17"/>
      <c r="ASR109" s="17"/>
      <c r="ASS109" s="17"/>
      <c r="AST109" s="17"/>
      <c r="ASU109" s="17"/>
      <c r="ASV109" s="17"/>
      <c r="ASW109" s="17"/>
      <c r="ASX109" s="17"/>
      <c r="ASY109" s="17"/>
      <c r="ASZ109" s="17"/>
      <c r="ATA109" s="17"/>
      <c r="ATB109" s="17"/>
      <c r="ATC109" s="17"/>
      <c r="ATD109" s="17"/>
      <c r="ATE109" s="17"/>
      <c r="ATF109" s="17"/>
      <c r="ATG109" s="17"/>
      <c r="ATH109" s="17"/>
      <c r="ATI109" s="17"/>
      <c r="ATJ109" s="17"/>
      <c r="ATK109" s="17"/>
      <c r="ATL109" s="17"/>
      <c r="ATM109" s="17"/>
      <c r="ATN109" s="17"/>
      <c r="ATO109" s="17"/>
      <c r="ATP109" s="17"/>
      <c r="ATQ109" s="17"/>
      <c r="ATR109" s="17"/>
      <c r="ATS109" s="17"/>
      <c r="ATT109" s="17"/>
      <c r="ATU109" s="17"/>
      <c r="ATV109" s="17"/>
      <c r="ATW109" s="17"/>
      <c r="ATX109" s="17"/>
      <c r="ATY109" s="17"/>
      <c r="ATZ109" s="17"/>
      <c r="AUA109" s="17"/>
      <c r="AUB109" s="17"/>
      <c r="AUC109" s="17"/>
      <c r="AUD109" s="17"/>
      <c r="AUE109" s="17"/>
      <c r="AUF109" s="17"/>
      <c r="AUG109" s="17"/>
      <c r="AUH109" s="17"/>
      <c r="AUI109" s="17"/>
      <c r="AUJ109" s="17"/>
      <c r="AUK109" s="17"/>
      <c r="AUL109" s="17"/>
      <c r="AUM109" s="17"/>
      <c r="AUN109" s="17"/>
      <c r="AUO109" s="17"/>
      <c r="AUP109" s="17"/>
      <c r="AUQ109" s="17"/>
      <c r="AUR109" s="17"/>
      <c r="AUS109" s="17"/>
      <c r="AUT109" s="17"/>
      <c r="AUU109" s="17"/>
      <c r="AUV109" s="17"/>
      <c r="AUW109" s="17"/>
      <c r="AUX109" s="17"/>
      <c r="AUY109" s="17"/>
      <c r="AUZ109" s="17"/>
      <c r="AVA109" s="17"/>
      <c r="AVB109" s="17"/>
      <c r="AVC109" s="17"/>
      <c r="AVD109" s="17"/>
      <c r="AVE109" s="17"/>
      <c r="AVF109" s="17"/>
      <c r="AVG109" s="17"/>
      <c r="AVH109" s="17"/>
      <c r="AVI109" s="17"/>
      <c r="AVJ109" s="17"/>
      <c r="AVK109" s="17"/>
      <c r="AVL109" s="17"/>
      <c r="AVM109" s="17"/>
      <c r="AVN109" s="17"/>
      <c r="AVO109" s="17"/>
      <c r="AVP109" s="17"/>
      <c r="AVQ109" s="17"/>
      <c r="AVR109" s="17"/>
      <c r="AVS109" s="17"/>
      <c r="AVT109" s="17"/>
      <c r="AVU109" s="17"/>
      <c r="AVV109" s="17"/>
      <c r="AVW109" s="17"/>
      <c r="AVX109" s="17"/>
      <c r="AVY109" s="17"/>
      <c r="AVZ109" s="17"/>
      <c r="AWA109" s="17"/>
      <c r="AWB109" s="17"/>
      <c r="AWC109" s="17"/>
      <c r="AWD109" s="17"/>
      <c r="AWE109" s="17"/>
      <c r="AWF109" s="17"/>
      <c r="AWG109" s="17"/>
      <c r="AWH109" s="17"/>
      <c r="AWI109" s="17"/>
      <c r="AWJ109" s="17"/>
      <c r="AWK109" s="17"/>
      <c r="AWL109" s="17"/>
      <c r="AWM109" s="17"/>
      <c r="AWN109" s="17"/>
      <c r="AWO109" s="17"/>
      <c r="AWP109" s="17"/>
      <c r="AWQ109" s="17"/>
      <c r="AWR109" s="17"/>
      <c r="AWS109" s="17"/>
      <c r="AWT109" s="17"/>
      <c r="AWU109" s="17"/>
      <c r="AWV109" s="17"/>
      <c r="AWW109" s="17"/>
      <c r="AWX109" s="17"/>
      <c r="AWY109" s="17"/>
      <c r="AWZ109" s="17"/>
      <c r="AXA109" s="17"/>
      <c r="AXB109" s="17"/>
      <c r="AXC109" s="17"/>
      <c r="AXD109" s="17"/>
      <c r="AXE109" s="17"/>
      <c r="AXF109" s="17"/>
      <c r="AXG109" s="17"/>
      <c r="AXH109" s="17"/>
      <c r="AXI109" s="17"/>
      <c r="AXJ109" s="17"/>
      <c r="AXK109" s="17"/>
      <c r="AXL109" s="17"/>
      <c r="AXM109" s="17"/>
      <c r="AXN109" s="17"/>
      <c r="AXO109" s="17"/>
      <c r="AXP109" s="17"/>
      <c r="AXQ109" s="17"/>
      <c r="AXR109" s="17"/>
      <c r="AXS109" s="17"/>
      <c r="AXT109" s="17"/>
      <c r="AXU109" s="17"/>
      <c r="AXV109" s="17"/>
      <c r="AXW109" s="17"/>
      <c r="AXX109" s="17"/>
      <c r="AXY109" s="17"/>
      <c r="AXZ109" s="17"/>
      <c r="AYA109" s="17"/>
      <c r="AYB109" s="17"/>
      <c r="AYC109" s="17"/>
      <c r="AYD109" s="17"/>
      <c r="AYE109" s="17"/>
      <c r="AYF109" s="17"/>
      <c r="AYG109" s="17"/>
      <c r="AYH109" s="17"/>
      <c r="AYI109" s="17"/>
      <c r="AYJ109" s="17"/>
      <c r="AYK109" s="17"/>
      <c r="AYL109" s="17"/>
      <c r="AYM109" s="17"/>
      <c r="AYN109" s="17"/>
      <c r="AYO109" s="17"/>
      <c r="AYP109" s="17"/>
      <c r="AYQ109" s="17"/>
      <c r="AYR109" s="17"/>
      <c r="AYS109" s="17"/>
      <c r="AYT109" s="17"/>
      <c r="AYU109" s="17"/>
      <c r="AYV109" s="17"/>
      <c r="AYW109" s="17"/>
      <c r="AYX109" s="17"/>
      <c r="AYY109" s="17"/>
      <c r="AYZ109" s="17"/>
      <c r="AZA109" s="17"/>
      <c r="AZB109" s="17"/>
      <c r="AZC109" s="17"/>
      <c r="AZD109" s="17"/>
      <c r="AZE109" s="17"/>
      <c r="AZF109" s="17"/>
      <c r="AZG109" s="17"/>
      <c r="AZH109" s="17"/>
      <c r="AZI109" s="17"/>
      <c r="AZJ109" s="17"/>
      <c r="AZK109" s="17"/>
      <c r="AZL109" s="17"/>
      <c r="AZM109" s="17"/>
      <c r="AZN109" s="17"/>
      <c r="AZO109" s="17"/>
      <c r="AZP109" s="17"/>
      <c r="AZQ109" s="17"/>
      <c r="AZR109" s="17"/>
      <c r="AZS109" s="17"/>
      <c r="AZT109" s="17"/>
      <c r="AZU109" s="17"/>
      <c r="AZV109" s="17"/>
      <c r="AZW109" s="17"/>
      <c r="AZX109" s="17"/>
      <c r="AZY109" s="17"/>
      <c r="AZZ109" s="17"/>
      <c r="BAA109" s="17"/>
      <c r="BAB109" s="17"/>
      <c r="BAC109" s="17"/>
      <c r="BAD109" s="17"/>
      <c r="BAE109" s="17"/>
      <c r="BAF109" s="17"/>
      <c r="BAG109" s="17"/>
      <c r="BAH109" s="17"/>
      <c r="BAI109" s="17"/>
      <c r="BAJ109" s="17"/>
      <c r="BAK109" s="17"/>
      <c r="BAL109" s="17"/>
      <c r="BAM109" s="17"/>
      <c r="BAN109" s="17"/>
      <c r="BAO109" s="17"/>
      <c r="BAP109" s="17"/>
      <c r="BAQ109" s="17"/>
      <c r="BAR109" s="17"/>
      <c r="BAS109" s="17"/>
      <c r="BAT109" s="17"/>
      <c r="BAU109" s="17"/>
      <c r="BAV109" s="17"/>
      <c r="BAW109" s="17"/>
      <c r="BAX109" s="17"/>
      <c r="BAY109" s="17"/>
      <c r="BAZ109" s="17"/>
      <c r="BBA109" s="17"/>
      <c r="BBB109" s="17"/>
      <c r="BBC109" s="17"/>
      <c r="BBD109" s="17"/>
      <c r="BBE109" s="17"/>
      <c r="BBF109" s="17"/>
      <c r="BBG109" s="17"/>
      <c r="BBH109" s="17"/>
      <c r="BBI109" s="17"/>
      <c r="BBJ109" s="17"/>
      <c r="BBK109" s="17"/>
      <c r="BBL109" s="17"/>
      <c r="BBM109" s="17"/>
      <c r="BBN109" s="17"/>
      <c r="BBO109" s="17"/>
      <c r="BBP109" s="17"/>
      <c r="BBQ109" s="17"/>
      <c r="BBR109" s="17"/>
      <c r="BBS109" s="17"/>
      <c r="BBT109" s="17"/>
      <c r="BBU109" s="17"/>
      <c r="BBV109" s="17"/>
      <c r="BBW109" s="17"/>
      <c r="BBX109" s="17"/>
      <c r="BBY109" s="17"/>
      <c r="BBZ109" s="17"/>
      <c r="BCA109" s="17"/>
      <c r="BCB109" s="17"/>
      <c r="BCC109" s="17"/>
      <c r="BCD109" s="17"/>
      <c r="BCE109" s="17"/>
      <c r="BCF109" s="17"/>
      <c r="BCG109" s="17"/>
      <c r="BCH109" s="17"/>
      <c r="BCI109" s="17"/>
      <c r="BCJ109" s="17"/>
      <c r="BCK109" s="17"/>
      <c r="BCL109" s="17"/>
      <c r="BCM109" s="17"/>
      <c r="BCN109" s="17"/>
      <c r="BCO109" s="17"/>
      <c r="BCP109" s="17"/>
      <c r="BCQ109" s="17"/>
      <c r="BCR109" s="17"/>
      <c r="BCS109" s="17"/>
      <c r="BCT109" s="17"/>
      <c r="BCU109" s="17"/>
      <c r="BCV109" s="17"/>
      <c r="BCW109" s="17"/>
      <c r="BCX109" s="17"/>
      <c r="BCY109" s="17"/>
      <c r="BCZ109" s="17"/>
      <c r="BDA109" s="17"/>
      <c r="BDB109" s="17"/>
      <c r="BDC109" s="17"/>
      <c r="BDD109" s="17"/>
      <c r="BDE109" s="17"/>
      <c r="BDF109" s="17"/>
      <c r="BDG109" s="17"/>
      <c r="BDH109" s="17"/>
      <c r="BDI109" s="17"/>
      <c r="BDJ109" s="17"/>
      <c r="BDK109" s="17"/>
      <c r="BDL109" s="17"/>
      <c r="BDM109" s="17"/>
      <c r="BDN109" s="17"/>
      <c r="BDO109" s="17"/>
      <c r="BDP109" s="17"/>
      <c r="BDQ109" s="17"/>
      <c r="BDR109" s="17"/>
      <c r="BDS109" s="17"/>
      <c r="BDT109" s="17"/>
      <c r="BDU109" s="17"/>
      <c r="BDV109" s="17"/>
      <c r="BDW109" s="17"/>
      <c r="BDX109" s="17"/>
      <c r="BDY109" s="17"/>
      <c r="BDZ109" s="17"/>
      <c r="BEA109" s="17"/>
      <c r="BEB109" s="17"/>
      <c r="BEC109" s="17"/>
      <c r="BED109" s="17"/>
      <c r="BEE109" s="17"/>
      <c r="BEF109" s="17"/>
      <c r="BEG109" s="17"/>
      <c r="BEH109" s="17"/>
      <c r="BEI109" s="17"/>
      <c r="BEJ109" s="17"/>
      <c r="BEK109" s="17"/>
      <c r="BEL109" s="17"/>
      <c r="BEM109" s="17"/>
      <c r="BEN109" s="17"/>
      <c r="BEO109" s="17"/>
      <c r="BEP109" s="17"/>
      <c r="BEQ109" s="17"/>
      <c r="BER109" s="17"/>
      <c r="BES109" s="17"/>
      <c r="BET109" s="17"/>
      <c r="BEU109" s="17"/>
      <c r="BEV109" s="17"/>
      <c r="BEW109" s="17"/>
      <c r="BEX109" s="17"/>
      <c r="BEY109" s="17"/>
      <c r="BEZ109" s="17"/>
      <c r="BFA109" s="17"/>
      <c r="BFB109" s="17"/>
      <c r="BFC109" s="17"/>
      <c r="BFD109" s="17"/>
      <c r="BFE109" s="17"/>
      <c r="BFF109" s="17"/>
      <c r="BFG109" s="17"/>
      <c r="BFH109" s="17"/>
      <c r="BFI109" s="17"/>
      <c r="BFJ109" s="17"/>
      <c r="BFK109" s="17"/>
      <c r="BFL109" s="17"/>
      <c r="BFM109" s="17"/>
      <c r="BFN109" s="17"/>
      <c r="BFO109" s="17"/>
      <c r="BFP109" s="17"/>
      <c r="BFQ109" s="17"/>
      <c r="BFR109" s="17"/>
      <c r="BFS109" s="17"/>
      <c r="BFT109" s="17"/>
      <c r="BFU109" s="17"/>
      <c r="BFV109" s="17"/>
      <c r="BFW109" s="17"/>
      <c r="BFX109" s="17"/>
      <c r="BFY109" s="17"/>
      <c r="BFZ109" s="17"/>
      <c r="BGA109" s="17"/>
      <c r="BGB109" s="17"/>
      <c r="BGC109" s="17"/>
      <c r="BGD109" s="17"/>
      <c r="BGE109" s="17"/>
      <c r="BGF109" s="17"/>
      <c r="BGG109" s="17"/>
      <c r="BGH109" s="17"/>
      <c r="BGI109" s="17"/>
      <c r="BGJ109" s="17"/>
      <c r="BGK109" s="17"/>
      <c r="BGL109" s="17"/>
      <c r="BGM109" s="17"/>
      <c r="BGN109" s="17"/>
      <c r="BGO109" s="17"/>
      <c r="BGP109" s="17"/>
      <c r="BGQ109" s="17"/>
      <c r="BGR109" s="17"/>
      <c r="BGS109" s="17"/>
      <c r="BGT109" s="17"/>
      <c r="BGU109" s="17"/>
      <c r="BGV109" s="17"/>
      <c r="BGW109" s="17"/>
      <c r="BGX109" s="17"/>
      <c r="BGY109" s="17"/>
      <c r="BGZ109" s="17"/>
      <c r="BHA109" s="17"/>
      <c r="BHB109" s="17"/>
      <c r="BHC109" s="17"/>
      <c r="BHD109" s="17"/>
      <c r="BHE109" s="17"/>
      <c r="BHF109" s="17"/>
      <c r="BHG109" s="17"/>
      <c r="BHH109" s="17"/>
      <c r="BHI109" s="17"/>
      <c r="BHJ109" s="17"/>
      <c r="BHK109" s="17"/>
      <c r="BHL109" s="17"/>
      <c r="BHM109" s="17"/>
      <c r="BHN109" s="17"/>
      <c r="BHO109" s="17"/>
      <c r="BHP109" s="17"/>
      <c r="BHQ109" s="17"/>
      <c r="BHR109" s="17"/>
      <c r="BHS109" s="17"/>
      <c r="BHT109" s="17"/>
      <c r="BHU109" s="17"/>
      <c r="BHV109" s="17"/>
      <c r="BHW109" s="17"/>
      <c r="BHX109" s="17"/>
      <c r="BHY109" s="17"/>
      <c r="BHZ109" s="17"/>
      <c r="BIA109" s="17"/>
      <c r="BIB109" s="17"/>
      <c r="BIC109" s="17"/>
      <c r="BID109" s="17"/>
      <c r="BIE109" s="17"/>
      <c r="BIF109" s="17"/>
      <c r="BIG109" s="17"/>
      <c r="BIH109" s="17"/>
      <c r="BII109" s="17"/>
      <c r="BIJ109" s="17"/>
      <c r="BIK109" s="17"/>
      <c r="BIL109" s="17"/>
      <c r="BIM109" s="17"/>
      <c r="BIN109" s="17"/>
      <c r="BIO109" s="17"/>
      <c r="BIP109" s="17"/>
      <c r="BIQ109" s="17"/>
      <c r="BIR109" s="17"/>
      <c r="BIS109" s="17"/>
      <c r="BIT109" s="17"/>
      <c r="BIU109" s="17"/>
      <c r="BIV109" s="17"/>
      <c r="BIW109" s="17"/>
      <c r="BIX109" s="17"/>
      <c r="BIY109" s="17"/>
      <c r="BIZ109" s="17"/>
      <c r="BJA109" s="17"/>
      <c r="BJB109" s="17"/>
      <c r="BJC109" s="17"/>
      <c r="BJD109" s="17"/>
      <c r="BJE109" s="17"/>
      <c r="BJF109" s="17"/>
      <c r="BJG109" s="17"/>
      <c r="BJH109" s="17"/>
      <c r="BJI109" s="17"/>
      <c r="BJJ109" s="17"/>
      <c r="BJK109" s="17"/>
      <c r="BJL109" s="17"/>
      <c r="BJM109" s="17"/>
      <c r="BJN109" s="17"/>
      <c r="BJO109" s="17"/>
      <c r="BJP109" s="17"/>
      <c r="BJQ109" s="17"/>
      <c r="BJR109" s="17"/>
      <c r="BJS109" s="17"/>
      <c r="BJT109" s="17"/>
      <c r="BJU109" s="17"/>
      <c r="BJV109" s="17"/>
      <c r="BJW109" s="17"/>
      <c r="BJX109" s="17"/>
      <c r="BJY109" s="17"/>
      <c r="BJZ109" s="17"/>
      <c r="BKA109" s="17"/>
      <c r="BKB109" s="17"/>
      <c r="BKC109" s="17"/>
      <c r="BKD109" s="17"/>
      <c r="BKE109" s="17"/>
      <c r="BKF109" s="17"/>
      <c r="BKG109" s="17"/>
      <c r="BKH109" s="17"/>
      <c r="BKI109" s="17"/>
      <c r="BKJ109" s="17"/>
      <c r="BKK109" s="17"/>
      <c r="BKL109" s="17"/>
      <c r="BKM109" s="17"/>
      <c r="BKN109" s="17"/>
      <c r="BKO109" s="17"/>
      <c r="BKP109" s="17"/>
      <c r="BKQ109" s="17"/>
      <c r="BKR109" s="17"/>
      <c r="BKS109" s="17"/>
      <c r="BKT109" s="17"/>
      <c r="BKU109" s="17"/>
      <c r="BKV109" s="17"/>
      <c r="BKW109" s="17"/>
      <c r="BKX109" s="17"/>
      <c r="BKY109" s="17"/>
      <c r="BKZ109" s="17"/>
      <c r="BLA109" s="17"/>
      <c r="BLB109" s="17"/>
      <c r="BLC109" s="17"/>
      <c r="BLD109" s="17"/>
      <c r="BLE109" s="17"/>
      <c r="BLF109" s="17"/>
      <c r="BLG109" s="17"/>
      <c r="BLH109" s="17"/>
      <c r="BLI109" s="17"/>
      <c r="BLJ109" s="17"/>
      <c r="BLK109" s="17"/>
      <c r="BLL109" s="17"/>
      <c r="BLM109" s="17"/>
      <c r="BLN109" s="17"/>
      <c r="BLO109" s="17"/>
      <c r="BLP109" s="17"/>
      <c r="BLQ109" s="17"/>
      <c r="BLR109" s="17"/>
      <c r="BLS109" s="17"/>
      <c r="BLT109" s="17"/>
      <c r="BLU109" s="17"/>
      <c r="BLV109" s="17"/>
      <c r="BLW109" s="17"/>
      <c r="BLX109" s="17"/>
      <c r="BLY109" s="17"/>
      <c r="BLZ109" s="17"/>
      <c r="BMA109" s="17"/>
      <c r="BMB109" s="17"/>
      <c r="BMC109" s="17"/>
      <c r="BMD109" s="17"/>
      <c r="BME109" s="17"/>
      <c r="BMF109" s="17"/>
      <c r="BMG109" s="17"/>
      <c r="BMH109" s="17"/>
      <c r="BMI109" s="17"/>
      <c r="BMJ109" s="17"/>
      <c r="BMK109" s="17"/>
      <c r="BML109" s="17"/>
      <c r="BMM109" s="17"/>
      <c r="BMN109" s="17"/>
      <c r="BMO109" s="17"/>
      <c r="BMP109" s="17"/>
      <c r="BMQ109" s="17"/>
      <c r="BMR109" s="17"/>
      <c r="BMS109" s="17"/>
      <c r="BMT109" s="17"/>
      <c r="BMU109" s="17"/>
      <c r="BMV109" s="17"/>
      <c r="BMW109" s="17"/>
      <c r="BMX109" s="17"/>
      <c r="BMY109" s="17"/>
      <c r="BMZ109" s="17"/>
      <c r="BNA109" s="17"/>
      <c r="BNB109" s="17"/>
      <c r="BNC109" s="17"/>
      <c r="BND109" s="17"/>
      <c r="BNE109" s="17"/>
      <c r="BNF109" s="17"/>
      <c r="BNG109" s="17"/>
      <c r="BNH109" s="17"/>
      <c r="BNI109" s="17"/>
      <c r="BNJ109" s="17"/>
      <c r="BNK109" s="17"/>
      <c r="BNL109" s="17"/>
      <c r="BNM109" s="17"/>
      <c r="BNN109" s="17"/>
      <c r="BNO109" s="17"/>
      <c r="BNP109" s="17"/>
      <c r="BNQ109" s="17"/>
      <c r="BNR109" s="17"/>
      <c r="BNS109" s="17"/>
      <c r="BNT109" s="17"/>
      <c r="BNU109" s="17"/>
      <c r="BNV109" s="17"/>
      <c r="BNW109" s="17"/>
      <c r="BNX109" s="17"/>
      <c r="BNY109" s="17"/>
      <c r="BNZ109" s="17"/>
      <c r="BOA109" s="17"/>
      <c r="BOB109" s="17"/>
      <c r="BOC109" s="17"/>
      <c r="BOD109" s="17"/>
      <c r="BOE109" s="17"/>
      <c r="BOF109" s="17"/>
      <c r="BOG109" s="17"/>
      <c r="BOH109" s="17"/>
      <c r="BOI109" s="17"/>
      <c r="BOJ109" s="17"/>
      <c r="BOK109" s="17"/>
      <c r="BOL109" s="17"/>
      <c r="BOM109" s="17"/>
      <c r="BON109" s="17"/>
      <c r="BOO109" s="17"/>
      <c r="BOP109" s="17"/>
      <c r="BOQ109" s="17"/>
      <c r="BOR109" s="17"/>
      <c r="BOS109" s="17"/>
      <c r="BOT109" s="17"/>
      <c r="BOU109" s="17"/>
      <c r="BOV109" s="17"/>
      <c r="BOW109" s="17"/>
      <c r="BOX109" s="17"/>
      <c r="BOY109" s="17"/>
      <c r="BOZ109" s="17"/>
      <c r="BPA109" s="17"/>
      <c r="BPB109" s="17"/>
      <c r="BPC109" s="17"/>
      <c r="BPD109" s="17"/>
      <c r="BPE109" s="17"/>
      <c r="BPF109" s="17"/>
      <c r="BPG109" s="17"/>
      <c r="BPH109" s="17"/>
      <c r="BPI109" s="17"/>
      <c r="BPJ109" s="17"/>
      <c r="BPK109" s="17"/>
      <c r="BPL109" s="17"/>
      <c r="BPM109" s="17"/>
      <c r="BPN109" s="17"/>
      <c r="BPO109" s="17"/>
      <c r="BPP109" s="17"/>
      <c r="BPQ109" s="17"/>
      <c r="BPR109" s="17"/>
      <c r="BPS109" s="17"/>
      <c r="BPT109" s="17"/>
      <c r="BPU109" s="17"/>
      <c r="BPV109" s="17"/>
      <c r="BPW109" s="17"/>
      <c r="BPX109" s="17"/>
      <c r="BPY109" s="17"/>
      <c r="BPZ109" s="17"/>
      <c r="BQA109" s="17"/>
      <c r="BQB109" s="17"/>
      <c r="BQC109" s="17"/>
      <c r="BQD109" s="17"/>
      <c r="BQE109" s="17"/>
      <c r="BQF109" s="17"/>
      <c r="BQG109" s="17"/>
      <c r="BQH109" s="17"/>
      <c r="BQI109" s="17"/>
      <c r="BQJ109" s="17"/>
      <c r="BQK109" s="17"/>
      <c r="BQL109" s="17"/>
      <c r="BQM109" s="17"/>
      <c r="BQN109" s="17"/>
      <c r="BQO109" s="17"/>
      <c r="BQP109" s="17"/>
      <c r="BQQ109" s="17"/>
      <c r="BQR109" s="17"/>
      <c r="BQS109" s="17"/>
      <c r="BQT109" s="17"/>
      <c r="BQU109" s="17"/>
      <c r="BQV109" s="17"/>
      <c r="BQW109" s="17"/>
      <c r="BQX109" s="17"/>
      <c r="BQY109" s="17"/>
      <c r="BQZ109" s="17"/>
      <c r="BRA109" s="17"/>
      <c r="BRB109" s="17"/>
      <c r="BRC109" s="17"/>
      <c r="BRD109" s="17"/>
      <c r="BRE109" s="17"/>
      <c r="BRF109" s="17"/>
      <c r="BRG109" s="17"/>
      <c r="BRH109" s="17"/>
      <c r="BRI109" s="17"/>
      <c r="BRJ109" s="17"/>
      <c r="BRK109" s="17"/>
      <c r="BRL109" s="17"/>
      <c r="BRM109" s="17"/>
      <c r="BRN109" s="17"/>
      <c r="BRO109" s="17"/>
      <c r="BRP109" s="17"/>
      <c r="BRQ109" s="17"/>
      <c r="BRR109" s="17"/>
      <c r="BRS109" s="17"/>
      <c r="BRT109" s="17"/>
      <c r="BRU109" s="17"/>
      <c r="BRV109" s="17"/>
      <c r="BRW109" s="17"/>
      <c r="BRX109" s="17"/>
      <c r="BRY109" s="17"/>
      <c r="BRZ109" s="17"/>
      <c r="BSA109" s="17"/>
      <c r="BSB109" s="17"/>
      <c r="BSC109" s="17"/>
      <c r="BSD109" s="17"/>
      <c r="BSE109" s="17"/>
      <c r="BSF109" s="17"/>
      <c r="BSG109" s="17"/>
      <c r="BSH109" s="17"/>
      <c r="BSI109" s="17"/>
      <c r="BSJ109" s="17"/>
      <c r="BSK109" s="17"/>
      <c r="BSL109" s="17"/>
      <c r="BSM109" s="17"/>
      <c r="BSN109" s="17"/>
      <c r="BSO109" s="17"/>
      <c r="BSP109" s="17"/>
      <c r="BSQ109" s="17"/>
      <c r="BSR109" s="17"/>
      <c r="BSS109" s="17"/>
      <c r="BST109" s="17"/>
      <c r="BSU109" s="17"/>
      <c r="BSV109" s="17"/>
      <c r="BSW109" s="17"/>
      <c r="BSX109" s="17"/>
      <c r="BSY109" s="17"/>
      <c r="BSZ109" s="17"/>
      <c r="BTA109" s="17"/>
      <c r="BTB109" s="17"/>
      <c r="BTC109" s="17"/>
      <c r="BTD109" s="17"/>
      <c r="BTE109" s="17"/>
      <c r="BTF109" s="17"/>
      <c r="BTG109" s="17"/>
      <c r="BTH109" s="17"/>
      <c r="BTI109" s="17"/>
      <c r="BTJ109" s="17"/>
      <c r="BTK109" s="17"/>
      <c r="BTL109" s="17"/>
      <c r="BTM109" s="17"/>
      <c r="BTN109" s="17"/>
      <c r="BTO109" s="17"/>
      <c r="BTP109" s="17"/>
      <c r="BTQ109" s="17"/>
      <c r="BTR109" s="17"/>
      <c r="BTS109" s="17"/>
      <c r="BTT109" s="17"/>
      <c r="BTU109" s="17"/>
      <c r="BTV109" s="17"/>
      <c r="BTW109" s="17"/>
      <c r="BTX109" s="17"/>
      <c r="BTY109" s="17"/>
      <c r="BTZ109" s="17"/>
      <c r="BUA109" s="17"/>
      <c r="BUB109" s="17"/>
      <c r="BUC109" s="17"/>
      <c r="BUD109" s="17"/>
      <c r="BUE109" s="17"/>
      <c r="BUF109" s="17"/>
      <c r="BUG109" s="17"/>
      <c r="BUH109" s="17"/>
      <c r="BUI109" s="17"/>
      <c r="BUJ109" s="17"/>
      <c r="BUK109" s="17"/>
      <c r="BUL109" s="17"/>
      <c r="BUM109" s="17"/>
      <c r="BUN109" s="17"/>
      <c r="BUO109" s="17"/>
      <c r="BUP109" s="17"/>
      <c r="BUQ109" s="17"/>
      <c r="BUR109" s="17"/>
      <c r="BUS109" s="17"/>
      <c r="BUT109" s="17"/>
      <c r="BUU109" s="17"/>
      <c r="BUV109" s="17"/>
      <c r="BUW109" s="17"/>
      <c r="BUX109" s="17"/>
      <c r="BUY109" s="17"/>
      <c r="BUZ109" s="17"/>
      <c r="BVA109" s="17"/>
      <c r="BVB109" s="17"/>
      <c r="BVC109" s="17"/>
      <c r="BVD109" s="17"/>
      <c r="BVE109" s="17"/>
      <c r="BVF109" s="17"/>
      <c r="BVG109" s="17"/>
      <c r="BVH109" s="17"/>
      <c r="BVI109" s="17"/>
      <c r="BVJ109" s="17"/>
      <c r="BVK109" s="17"/>
      <c r="BVL109" s="17"/>
      <c r="BVM109" s="17"/>
      <c r="BVN109" s="17"/>
      <c r="BVO109" s="17"/>
      <c r="BVP109" s="17"/>
      <c r="BVQ109" s="17"/>
      <c r="BVR109" s="17"/>
      <c r="BVS109" s="17"/>
      <c r="BVT109" s="17"/>
      <c r="BVU109" s="17"/>
      <c r="BVV109" s="17"/>
      <c r="BVW109" s="17"/>
      <c r="BVX109" s="17"/>
      <c r="BVY109" s="17"/>
      <c r="BVZ109" s="17"/>
      <c r="BWA109" s="17"/>
      <c r="BWB109" s="17"/>
      <c r="BWC109" s="17"/>
      <c r="BWD109" s="17"/>
      <c r="BWE109" s="17"/>
      <c r="BWF109" s="17"/>
      <c r="BWG109" s="17"/>
      <c r="BWH109" s="17"/>
      <c r="BWI109" s="17"/>
      <c r="BWJ109" s="17"/>
      <c r="BWK109" s="17"/>
      <c r="BWL109" s="17"/>
      <c r="BWM109" s="17"/>
      <c r="BWN109" s="17"/>
      <c r="BWO109" s="17"/>
      <c r="BWP109" s="17"/>
      <c r="BWQ109" s="17"/>
      <c r="BWR109" s="17"/>
      <c r="BWS109" s="17"/>
      <c r="BWT109" s="17"/>
      <c r="BWU109" s="17"/>
      <c r="BWV109" s="17"/>
      <c r="BWW109" s="17"/>
      <c r="BWX109" s="17"/>
      <c r="BWY109" s="17"/>
      <c r="BWZ109" s="17"/>
      <c r="BXA109" s="17"/>
      <c r="BXB109" s="17"/>
      <c r="BXC109" s="17"/>
      <c r="BXD109" s="17"/>
      <c r="BXE109" s="17"/>
      <c r="BXF109" s="17"/>
      <c r="BXG109" s="17"/>
      <c r="BXH109" s="17"/>
      <c r="BXI109" s="17"/>
      <c r="BXJ109" s="17"/>
      <c r="BXK109" s="17"/>
      <c r="BXL109" s="17"/>
      <c r="BXM109" s="17"/>
      <c r="BXN109" s="17"/>
      <c r="BXO109" s="17"/>
      <c r="BXP109" s="17"/>
      <c r="BXQ109" s="17"/>
      <c r="BXR109" s="17"/>
      <c r="BXS109" s="17"/>
      <c r="BXT109" s="17"/>
      <c r="BXU109" s="17"/>
      <c r="BXV109" s="17"/>
      <c r="BXW109" s="17"/>
      <c r="BXX109" s="17"/>
      <c r="BXY109" s="17"/>
      <c r="BXZ109" s="17"/>
      <c r="BYA109" s="17"/>
      <c r="BYB109" s="17"/>
      <c r="BYC109" s="17"/>
      <c r="BYD109" s="17"/>
      <c r="BYE109" s="17"/>
      <c r="BYF109" s="17"/>
      <c r="BYG109" s="17"/>
      <c r="BYH109" s="17"/>
      <c r="BYI109" s="17"/>
      <c r="BYJ109" s="17"/>
      <c r="BYK109" s="17"/>
      <c r="BYL109" s="17"/>
      <c r="BYM109" s="17"/>
      <c r="BYN109" s="17"/>
      <c r="BYO109" s="17"/>
      <c r="BYP109" s="17"/>
      <c r="BYQ109" s="17"/>
      <c r="BYR109" s="17"/>
      <c r="BYS109" s="17"/>
      <c r="BYT109" s="17"/>
      <c r="BYU109" s="17"/>
      <c r="BYV109" s="17"/>
      <c r="BYW109" s="17"/>
      <c r="BYX109" s="17"/>
      <c r="BYY109" s="17"/>
      <c r="BYZ109" s="17"/>
      <c r="BZA109" s="17"/>
      <c r="BZB109" s="17"/>
      <c r="BZC109" s="17"/>
      <c r="BZD109" s="17"/>
      <c r="BZE109" s="17"/>
      <c r="BZF109" s="17"/>
      <c r="BZG109" s="17"/>
      <c r="BZH109" s="17"/>
      <c r="BZI109" s="17"/>
      <c r="BZJ109" s="17"/>
      <c r="BZK109" s="17"/>
      <c r="BZL109" s="17"/>
      <c r="BZM109" s="17"/>
      <c r="BZN109" s="17"/>
      <c r="BZO109" s="17"/>
      <c r="BZP109" s="17"/>
      <c r="BZQ109" s="17"/>
      <c r="BZR109" s="17"/>
      <c r="BZS109" s="17"/>
      <c r="BZT109" s="17"/>
      <c r="BZU109" s="17"/>
      <c r="BZV109" s="17"/>
      <c r="BZW109" s="17"/>
      <c r="BZX109" s="17"/>
      <c r="BZY109" s="17"/>
      <c r="BZZ109" s="17"/>
      <c r="CAA109" s="17"/>
      <c r="CAB109" s="17"/>
      <c r="CAC109" s="17"/>
      <c r="CAD109" s="17"/>
      <c r="CAE109" s="17"/>
      <c r="CAF109" s="17"/>
      <c r="CAG109" s="17"/>
      <c r="CAH109" s="17"/>
      <c r="CAI109" s="17"/>
      <c r="CAJ109" s="17"/>
      <c r="CAK109" s="17"/>
      <c r="CAL109" s="17"/>
      <c r="CAM109" s="17"/>
      <c r="CAN109" s="17"/>
      <c r="CAO109" s="17"/>
      <c r="CAP109" s="17"/>
      <c r="CAQ109" s="17"/>
      <c r="CAR109" s="17"/>
      <c r="CAS109" s="17"/>
      <c r="CAT109" s="17"/>
      <c r="CAU109" s="17"/>
      <c r="CAV109" s="17"/>
      <c r="CAW109" s="17"/>
      <c r="CAX109" s="17"/>
      <c r="CAY109" s="17"/>
      <c r="CAZ109" s="17"/>
      <c r="CBA109" s="17"/>
      <c r="CBB109" s="17"/>
      <c r="CBC109" s="17"/>
      <c r="CBD109" s="17"/>
      <c r="CBE109" s="17"/>
      <c r="CBF109" s="17"/>
      <c r="CBG109" s="17"/>
      <c r="CBH109" s="17"/>
      <c r="CBI109" s="17"/>
      <c r="CBJ109" s="17"/>
      <c r="CBK109" s="17"/>
      <c r="CBL109" s="17"/>
      <c r="CBM109" s="17"/>
      <c r="CBN109" s="17"/>
      <c r="CBO109" s="17"/>
      <c r="CBP109" s="17"/>
      <c r="CBQ109" s="17"/>
      <c r="CBR109" s="17"/>
      <c r="CBS109" s="17"/>
      <c r="CBT109" s="17"/>
      <c r="CBU109" s="17"/>
      <c r="CBV109" s="17"/>
      <c r="CBW109" s="17"/>
      <c r="CBX109" s="17"/>
      <c r="CBY109" s="17"/>
      <c r="CBZ109" s="17"/>
      <c r="CCA109" s="17"/>
      <c r="CCB109" s="17"/>
      <c r="CCC109" s="17"/>
      <c r="CCD109" s="17"/>
      <c r="CCE109" s="17"/>
      <c r="CCF109" s="17"/>
      <c r="CCG109" s="17"/>
      <c r="CCH109" s="17"/>
      <c r="CCI109" s="17"/>
      <c r="CCJ109" s="17"/>
      <c r="CCK109" s="17"/>
      <c r="CCL109" s="17"/>
      <c r="CCM109" s="17"/>
      <c r="CCN109" s="17"/>
      <c r="CCO109" s="17"/>
      <c r="CCP109" s="17"/>
      <c r="CCQ109" s="17"/>
      <c r="CCR109" s="17"/>
      <c r="CCS109" s="17"/>
      <c r="CCT109" s="17"/>
      <c r="CCU109" s="17"/>
      <c r="CCV109" s="17"/>
      <c r="CCW109" s="17"/>
      <c r="CCX109" s="17"/>
      <c r="CCY109" s="17"/>
      <c r="CCZ109" s="17"/>
      <c r="CDA109" s="17"/>
      <c r="CDB109" s="17"/>
      <c r="CDC109" s="17"/>
      <c r="CDD109" s="17"/>
      <c r="CDE109" s="17"/>
      <c r="CDF109" s="17"/>
      <c r="CDG109" s="17"/>
      <c r="CDH109" s="17"/>
      <c r="CDI109" s="17"/>
      <c r="CDJ109" s="17"/>
      <c r="CDK109" s="17"/>
      <c r="CDL109" s="17"/>
      <c r="CDM109" s="17"/>
      <c r="CDN109" s="17"/>
      <c r="CDO109" s="17"/>
      <c r="CDP109" s="17"/>
      <c r="CDQ109" s="17"/>
      <c r="CDR109" s="17"/>
      <c r="CDS109" s="17"/>
      <c r="CDT109" s="17"/>
      <c r="CDU109" s="17"/>
      <c r="CDV109" s="17"/>
      <c r="CDW109" s="17"/>
      <c r="CDX109" s="17"/>
      <c r="CDY109" s="17"/>
      <c r="CDZ109" s="17"/>
      <c r="CEA109" s="17"/>
      <c r="CEB109" s="17"/>
      <c r="CEC109" s="17"/>
      <c r="CED109" s="17"/>
      <c r="CEE109" s="17"/>
      <c r="CEF109" s="17"/>
      <c r="CEG109" s="17"/>
      <c r="CEH109" s="17"/>
      <c r="CEI109" s="17"/>
      <c r="CEJ109" s="17"/>
      <c r="CEK109" s="17"/>
      <c r="CEL109" s="17"/>
      <c r="CEM109" s="17"/>
      <c r="CEN109" s="17"/>
      <c r="CEO109" s="17"/>
      <c r="CEP109" s="17"/>
      <c r="CEQ109" s="17"/>
      <c r="CER109" s="17"/>
      <c r="CES109" s="17"/>
      <c r="CET109" s="17"/>
      <c r="CEU109" s="17"/>
      <c r="CEV109" s="17"/>
      <c r="CEW109" s="17"/>
      <c r="CEX109" s="17"/>
      <c r="CEY109" s="17"/>
      <c r="CEZ109" s="17"/>
      <c r="CFA109" s="17"/>
      <c r="CFB109" s="17"/>
      <c r="CFC109" s="17"/>
      <c r="CFD109" s="17"/>
      <c r="CFE109" s="17"/>
      <c r="CFF109" s="17"/>
      <c r="CFG109" s="17"/>
      <c r="CFH109" s="17"/>
      <c r="CFI109" s="17"/>
      <c r="CFJ109" s="17"/>
      <c r="CFK109" s="17"/>
      <c r="CFL109" s="17"/>
      <c r="CFM109" s="17"/>
      <c r="CFN109" s="17"/>
      <c r="CFO109" s="17"/>
      <c r="CFP109" s="17"/>
      <c r="CFQ109" s="17"/>
      <c r="CFR109" s="17"/>
      <c r="CFS109" s="17"/>
      <c r="CFT109" s="17"/>
      <c r="CFU109" s="17"/>
      <c r="CFV109" s="17"/>
      <c r="CFW109" s="17"/>
      <c r="CFX109" s="17"/>
      <c r="CFY109" s="17"/>
      <c r="CFZ109" s="17"/>
      <c r="CGA109" s="17"/>
      <c r="CGB109" s="17"/>
      <c r="CGC109" s="17"/>
      <c r="CGD109" s="17"/>
      <c r="CGE109" s="17"/>
      <c r="CGF109" s="17"/>
      <c r="CGG109" s="17"/>
      <c r="CGH109" s="17"/>
      <c r="CGI109" s="17"/>
      <c r="CGJ109" s="17"/>
      <c r="CGK109" s="17"/>
      <c r="CGL109" s="17"/>
      <c r="CGM109" s="17"/>
      <c r="CGN109" s="17"/>
      <c r="CGO109" s="17"/>
      <c r="CGP109" s="17"/>
      <c r="CGQ109" s="17"/>
      <c r="CGR109" s="17"/>
      <c r="CGS109" s="17"/>
      <c r="CGT109" s="17"/>
      <c r="CGU109" s="17"/>
      <c r="CGV109" s="17"/>
      <c r="CGW109" s="17"/>
      <c r="CGX109" s="17"/>
      <c r="CGY109" s="17"/>
      <c r="CGZ109" s="17"/>
      <c r="CHA109" s="17"/>
      <c r="CHB109" s="17"/>
      <c r="CHC109" s="17"/>
      <c r="CHD109" s="17"/>
      <c r="CHE109" s="17"/>
      <c r="CHF109" s="17"/>
      <c r="CHG109" s="17"/>
      <c r="CHH109" s="17"/>
      <c r="CHI109" s="17"/>
      <c r="CHJ109" s="17"/>
      <c r="CHK109" s="17"/>
      <c r="CHL109" s="17"/>
      <c r="CHM109" s="17"/>
      <c r="CHN109" s="17"/>
      <c r="CHO109" s="17"/>
      <c r="CHP109" s="17"/>
      <c r="CHQ109" s="17"/>
      <c r="CHR109" s="17"/>
      <c r="CHS109" s="17"/>
      <c r="CHT109" s="17"/>
      <c r="CHU109" s="17"/>
      <c r="CHV109" s="17"/>
      <c r="CHW109" s="17"/>
      <c r="CHX109" s="17"/>
      <c r="CHY109" s="17"/>
      <c r="CHZ109" s="17"/>
      <c r="CIA109" s="17"/>
      <c r="CIB109" s="17"/>
      <c r="CIC109" s="17"/>
      <c r="CID109" s="17"/>
      <c r="CIE109" s="17"/>
      <c r="CIF109" s="17"/>
      <c r="CIG109" s="17"/>
      <c r="CIH109" s="17"/>
      <c r="CII109" s="17"/>
      <c r="CIJ109" s="17"/>
      <c r="CIK109" s="17"/>
      <c r="CIL109" s="17"/>
      <c r="CIM109" s="17"/>
      <c r="CIN109" s="17"/>
      <c r="CIO109" s="17"/>
      <c r="CIP109" s="17"/>
      <c r="CIQ109" s="17"/>
      <c r="CIR109" s="17"/>
      <c r="CIS109" s="17"/>
      <c r="CIT109" s="17"/>
      <c r="CIU109" s="17"/>
      <c r="CIV109" s="17"/>
      <c r="CIW109" s="17"/>
      <c r="CIX109" s="17"/>
      <c r="CIY109" s="17"/>
      <c r="CIZ109" s="17"/>
      <c r="CJA109" s="17"/>
      <c r="CJB109" s="17"/>
      <c r="CJC109" s="17"/>
      <c r="CJD109" s="17"/>
      <c r="CJE109" s="17"/>
      <c r="CJF109" s="17"/>
      <c r="CJG109" s="17"/>
      <c r="CJH109" s="17"/>
      <c r="CJI109" s="17"/>
      <c r="CJJ109" s="17"/>
      <c r="CJK109" s="17"/>
      <c r="CJL109" s="17"/>
      <c r="CJM109" s="17"/>
      <c r="CJN109" s="17"/>
      <c r="CJO109" s="17"/>
      <c r="CJP109" s="17"/>
      <c r="CJQ109" s="17"/>
      <c r="CJR109" s="17"/>
      <c r="CJS109" s="17"/>
      <c r="CJT109" s="17"/>
      <c r="CJU109" s="17"/>
      <c r="CJV109" s="17"/>
      <c r="CJW109" s="17"/>
      <c r="CJX109" s="17"/>
      <c r="CJY109" s="17"/>
      <c r="CJZ109" s="17"/>
      <c r="CKA109" s="17"/>
      <c r="CKB109" s="17"/>
      <c r="CKC109" s="17"/>
      <c r="CKD109" s="17"/>
      <c r="CKE109" s="17"/>
      <c r="CKF109" s="17"/>
      <c r="CKG109" s="17"/>
      <c r="CKH109" s="17"/>
      <c r="CKI109" s="17"/>
      <c r="CKJ109" s="17"/>
      <c r="CKK109" s="17"/>
      <c r="CKL109" s="17"/>
      <c r="CKM109" s="17"/>
      <c r="CKN109" s="17"/>
      <c r="CKO109" s="17"/>
      <c r="CKP109" s="17"/>
      <c r="CKQ109" s="17"/>
      <c r="CKR109" s="17"/>
      <c r="CKS109" s="17"/>
      <c r="CKT109" s="17"/>
      <c r="CKU109" s="17"/>
      <c r="CKV109" s="17"/>
      <c r="CKW109" s="17"/>
      <c r="CKX109" s="17"/>
      <c r="CKY109" s="17"/>
      <c r="CKZ109" s="17"/>
      <c r="CLA109" s="17"/>
      <c r="CLB109" s="17"/>
      <c r="CLC109" s="17"/>
      <c r="CLD109" s="17"/>
      <c r="CLE109" s="17"/>
      <c r="CLF109" s="17"/>
      <c r="CLG109" s="17"/>
      <c r="CLH109" s="17"/>
      <c r="CLI109" s="17"/>
      <c r="CLJ109" s="17"/>
      <c r="CLK109" s="17"/>
      <c r="CLL109" s="17"/>
      <c r="CLM109" s="17"/>
      <c r="CLN109" s="17"/>
      <c r="CLO109" s="17"/>
      <c r="CLP109" s="17"/>
      <c r="CLQ109" s="17"/>
      <c r="CLR109" s="17"/>
      <c r="CLS109" s="17"/>
      <c r="CLT109" s="17"/>
      <c r="CLU109" s="17"/>
      <c r="CLV109" s="17"/>
      <c r="CLW109" s="17"/>
      <c r="CLX109" s="17"/>
      <c r="CLY109" s="17"/>
      <c r="CLZ109" s="17"/>
      <c r="CMA109" s="17"/>
      <c r="CMB109" s="17"/>
      <c r="CMC109" s="17"/>
      <c r="CMD109" s="17"/>
      <c r="CME109" s="17"/>
      <c r="CMF109" s="17"/>
      <c r="CMG109" s="17"/>
      <c r="CMH109" s="17"/>
      <c r="CMI109" s="17"/>
      <c r="CMJ109" s="17"/>
      <c r="CMK109" s="17"/>
      <c r="CML109" s="17"/>
      <c r="CMM109" s="17"/>
      <c r="CMN109" s="17"/>
      <c r="CMO109" s="17"/>
      <c r="CMP109" s="17"/>
      <c r="CMQ109" s="17"/>
      <c r="CMR109" s="17"/>
      <c r="CMS109" s="17"/>
      <c r="CMT109" s="17"/>
      <c r="CMU109" s="17"/>
      <c r="CMV109" s="17"/>
      <c r="CMW109" s="17"/>
      <c r="CMX109" s="17"/>
      <c r="CMY109" s="17"/>
      <c r="CMZ109" s="17"/>
      <c r="CNA109" s="17"/>
      <c r="CNB109" s="17"/>
      <c r="CNC109" s="17"/>
      <c r="CND109" s="17"/>
      <c r="CNE109" s="17"/>
      <c r="CNF109" s="17"/>
      <c r="CNG109" s="17"/>
      <c r="CNH109" s="17"/>
      <c r="CNI109" s="17"/>
      <c r="CNJ109" s="17"/>
      <c r="CNK109" s="17"/>
      <c r="CNL109" s="17"/>
      <c r="CNM109" s="17"/>
      <c r="CNN109" s="17"/>
      <c r="CNO109" s="17"/>
      <c r="CNP109" s="17"/>
      <c r="CNQ109" s="17"/>
      <c r="CNR109" s="17"/>
      <c r="CNS109" s="17"/>
      <c r="CNT109" s="17"/>
      <c r="CNU109" s="17"/>
      <c r="CNV109" s="17"/>
      <c r="CNW109" s="17"/>
      <c r="CNX109" s="17"/>
      <c r="CNY109" s="17"/>
      <c r="CNZ109" s="17"/>
      <c r="COA109" s="17"/>
      <c r="COB109" s="17"/>
      <c r="COC109" s="17"/>
      <c r="COD109" s="17"/>
      <c r="COE109" s="17"/>
      <c r="COF109" s="17"/>
      <c r="COG109" s="17"/>
      <c r="COH109" s="17"/>
      <c r="COI109" s="17"/>
      <c r="COJ109" s="17"/>
      <c r="COK109" s="17"/>
      <c r="COL109" s="17"/>
      <c r="COM109" s="17"/>
      <c r="CON109" s="17"/>
      <c r="COO109" s="17"/>
      <c r="COP109" s="17"/>
      <c r="COQ109" s="17"/>
      <c r="COR109" s="17"/>
      <c r="COS109" s="17"/>
      <c r="COT109" s="17"/>
      <c r="COU109" s="17"/>
      <c r="COV109" s="17"/>
      <c r="COW109" s="17"/>
      <c r="COX109" s="17"/>
      <c r="COY109" s="17"/>
      <c r="COZ109" s="17"/>
      <c r="CPA109" s="17"/>
      <c r="CPB109" s="17"/>
      <c r="CPC109" s="17"/>
      <c r="CPD109" s="17"/>
      <c r="CPE109" s="17"/>
      <c r="CPF109" s="17"/>
      <c r="CPG109" s="17"/>
      <c r="CPH109" s="17"/>
      <c r="CPI109" s="17"/>
      <c r="CPJ109" s="17"/>
      <c r="CPK109" s="17"/>
      <c r="CPL109" s="17"/>
      <c r="CPM109" s="17"/>
      <c r="CPN109" s="17"/>
      <c r="CPO109" s="17"/>
      <c r="CPP109" s="17"/>
      <c r="CPQ109" s="17"/>
      <c r="CPR109" s="17"/>
      <c r="CPS109" s="17"/>
      <c r="CPT109" s="17"/>
      <c r="CPU109" s="17"/>
      <c r="CPV109" s="17"/>
      <c r="CPW109" s="17"/>
      <c r="CPX109" s="17"/>
      <c r="CPY109" s="17"/>
      <c r="CPZ109" s="17"/>
      <c r="CQA109" s="17"/>
      <c r="CQB109" s="17"/>
      <c r="CQC109" s="17"/>
      <c r="CQD109" s="17"/>
      <c r="CQE109" s="17"/>
      <c r="CQF109" s="17"/>
      <c r="CQG109" s="17"/>
      <c r="CQH109" s="17"/>
      <c r="CQI109" s="17"/>
      <c r="CQJ109" s="17"/>
      <c r="CQK109" s="17"/>
      <c r="CQL109" s="17"/>
      <c r="CQM109" s="17"/>
      <c r="CQN109" s="17"/>
      <c r="CQO109" s="17"/>
      <c r="CQP109" s="17"/>
      <c r="CQQ109" s="17"/>
      <c r="CQR109" s="17"/>
      <c r="CQS109" s="17"/>
      <c r="CQT109" s="17"/>
      <c r="CQU109" s="17"/>
      <c r="CQV109" s="17"/>
      <c r="CQW109" s="17"/>
      <c r="CQX109" s="17"/>
      <c r="CQY109" s="17"/>
      <c r="CQZ109" s="17"/>
      <c r="CRA109" s="17"/>
      <c r="CRB109" s="17"/>
      <c r="CRC109" s="17"/>
      <c r="CRD109" s="17"/>
      <c r="CRE109" s="17"/>
      <c r="CRF109" s="17"/>
      <c r="CRG109" s="17"/>
      <c r="CRH109" s="17"/>
      <c r="CRI109" s="17"/>
      <c r="CRJ109" s="17"/>
      <c r="CRK109" s="17"/>
      <c r="CRL109" s="17"/>
      <c r="CRM109" s="17"/>
      <c r="CRN109" s="17"/>
      <c r="CRO109" s="17"/>
      <c r="CRP109" s="17"/>
      <c r="CRQ109" s="17"/>
      <c r="CRR109" s="17"/>
      <c r="CRS109" s="17"/>
      <c r="CRT109" s="17"/>
      <c r="CRU109" s="17"/>
      <c r="CRV109" s="17"/>
      <c r="CRW109" s="17"/>
      <c r="CRX109" s="17"/>
      <c r="CRY109" s="17"/>
      <c r="CRZ109" s="17"/>
      <c r="CSA109" s="17"/>
      <c r="CSB109" s="17"/>
      <c r="CSC109" s="17"/>
      <c r="CSD109" s="17"/>
      <c r="CSE109" s="17"/>
      <c r="CSF109" s="17"/>
      <c r="CSG109" s="17"/>
      <c r="CSH109" s="17"/>
      <c r="CSI109" s="17"/>
      <c r="CSJ109" s="17"/>
      <c r="CSK109" s="17"/>
      <c r="CSL109" s="17"/>
      <c r="CSM109" s="17"/>
      <c r="CSN109" s="17"/>
      <c r="CSO109" s="17"/>
      <c r="CSP109" s="17"/>
      <c r="CSQ109" s="17"/>
      <c r="CSR109" s="17"/>
      <c r="CSS109" s="17"/>
      <c r="CST109" s="17"/>
      <c r="CSU109" s="17"/>
      <c r="CSV109" s="17"/>
      <c r="CSW109" s="17"/>
      <c r="CSX109" s="17"/>
      <c r="CSY109" s="17"/>
      <c r="CSZ109" s="17"/>
      <c r="CTA109" s="17"/>
      <c r="CTB109" s="17"/>
      <c r="CTC109" s="17"/>
      <c r="CTD109" s="17"/>
      <c r="CTE109" s="17"/>
      <c r="CTF109" s="17"/>
      <c r="CTG109" s="17"/>
      <c r="CTH109" s="17"/>
      <c r="CTI109" s="17"/>
      <c r="CTJ109" s="17"/>
      <c r="CTK109" s="17"/>
      <c r="CTL109" s="17"/>
      <c r="CTM109" s="17"/>
      <c r="CTN109" s="17"/>
      <c r="CTO109" s="17"/>
      <c r="CTP109" s="17"/>
      <c r="CTQ109" s="17"/>
      <c r="CTR109" s="17"/>
      <c r="CTS109" s="17"/>
      <c r="CTT109" s="17"/>
      <c r="CTU109" s="17"/>
      <c r="CTV109" s="17"/>
      <c r="CTW109" s="17"/>
      <c r="CTX109" s="17"/>
      <c r="CTY109" s="17"/>
      <c r="CTZ109" s="17"/>
      <c r="CUA109" s="17"/>
      <c r="CUB109" s="17"/>
      <c r="CUC109" s="17"/>
      <c r="CUD109" s="17"/>
      <c r="CUE109" s="17"/>
      <c r="CUF109" s="17"/>
      <c r="CUG109" s="17"/>
      <c r="CUH109" s="17"/>
      <c r="CUI109" s="17"/>
      <c r="CUJ109" s="17"/>
      <c r="CUK109" s="17"/>
      <c r="CUL109" s="17"/>
      <c r="CUM109" s="17"/>
      <c r="CUN109" s="17"/>
      <c r="CUO109" s="17"/>
      <c r="CUP109" s="17"/>
      <c r="CUQ109" s="17"/>
      <c r="CUR109" s="17"/>
      <c r="CUS109" s="17"/>
      <c r="CUT109" s="17"/>
      <c r="CUU109" s="17"/>
      <c r="CUV109" s="17"/>
      <c r="CUW109" s="17"/>
      <c r="CUX109" s="17"/>
      <c r="CUY109" s="17"/>
      <c r="CUZ109" s="17"/>
      <c r="CVA109" s="17"/>
      <c r="CVB109" s="17"/>
      <c r="CVC109" s="17"/>
      <c r="CVD109" s="17"/>
      <c r="CVE109" s="17"/>
      <c r="CVF109" s="17"/>
      <c r="CVG109" s="17"/>
      <c r="CVH109" s="17"/>
      <c r="CVI109" s="17"/>
      <c r="CVJ109" s="17"/>
      <c r="CVK109" s="17"/>
      <c r="CVL109" s="17"/>
      <c r="CVM109" s="17"/>
      <c r="CVN109" s="17"/>
      <c r="CVO109" s="17"/>
      <c r="CVP109" s="17"/>
      <c r="CVQ109" s="17"/>
      <c r="CVR109" s="17"/>
      <c r="CVS109" s="17"/>
      <c r="CVT109" s="17"/>
      <c r="CVU109" s="17"/>
      <c r="CVV109" s="17"/>
      <c r="CVW109" s="17"/>
      <c r="CVX109" s="17"/>
      <c r="CVY109" s="17"/>
      <c r="CVZ109" s="17"/>
      <c r="CWA109" s="17"/>
      <c r="CWB109" s="17"/>
      <c r="CWC109" s="17"/>
      <c r="CWD109" s="17"/>
      <c r="CWE109" s="17"/>
      <c r="CWF109" s="17"/>
      <c r="CWG109" s="17"/>
      <c r="CWH109" s="17"/>
      <c r="CWI109" s="17"/>
      <c r="CWJ109" s="17"/>
      <c r="CWK109" s="17"/>
      <c r="CWL109" s="17"/>
      <c r="CWM109" s="17"/>
      <c r="CWN109" s="17"/>
      <c r="CWO109" s="17"/>
      <c r="CWP109" s="17"/>
      <c r="CWQ109" s="17"/>
      <c r="CWR109" s="17"/>
      <c r="CWS109" s="17"/>
      <c r="CWT109" s="17"/>
      <c r="CWU109" s="17"/>
      <c r="CWV109" s="17"/>
      <c r="CWW109" s="17"/>
      <c r="CWX109" s="17"/>
      <c r="CWY109" s="17"/>
      <c r="CWZ109" s="17"/>
      <c r="CXA109" s="17"/>
      <c r="CXB109" s="17"/>
      <c r="CXC109" s="17"/>
      <c r="CXD109" s="17"/>
      <c r="CXE109" s="17"/>
      <c r="CXF109" s="17"/>
      <c r="CXG109" s="17"/>
      <c r="CXH109" s="17"/>
      <c r="CXI109" s="17"/>
      <c r="CXJ109" s="17"/>
      <c r="CXK109" s="17"/>
      <c r="CXL109" s="17"/>
      <c r="CXM109" s="17"/>
      <c r="CXN109" s="17"/>
      <c r="CXO109" s="17"/>
      <c r="CXP109" s="17"/>
      <c r="CXQ109" s="17"/>
      <c r="CXR109" s="17"/>
      <c r="CXS109" s="17"/>
      <c r="CXT109" s="17"/>
      <c r="CXU109" s="17"/>
      <c r="CXV109" s="17"/>
      <c r="CXW109" s="17"/>
      <c r="CXX109" s="17"/>
      <c r="CXY109" s="17"/>
      <c r="CXZ109" s="17"/>
      <c r="CYA109" s="17"/>
      <c r="CYB109" s="17"/>
      <c r="CYC109" s="17"/>
      <c r="CYD109" s="17"/>
      <c r="CYE109" s="17"/>
      <c r="CYF109" s="17"/>
      <c r="CYG109" s="17"/>
      <c r="CYH109" s="17"/>
      <c r="CYI109" s="17"/>
      <c r="CYJ109" s="17"/>
      <c r="CYK109" s="17"/>
      <c r="CYL109" s="17"/>
      <c r="CYM109" s="17"/>
      <c r="CYN109" s="17"/>
      <c r="CYO109" s="17"/>
      <c r="CYP109" s="17"/>
      <c r="CYQ109" s="17"/>
      <c r="CYR109" s="17"/>
      <c r="CYS109" s="17"/>
      <c r="CYT109" s="17"/>
      <c r="CYU109" s="17"/>
      <c r="CYV109" s="17"/>
      <c r="CYW109" s="17"/>
      <c r="CYX109" s="17"/>
      <c r="CYY109" s="17"/>
      <c r="CYZ109" s="17"/>
      <c r="CZA109" s="17"/>
      <c r="CZB109" s="17"/>
      <c r="CZC109" s="17"/>
      <c r="CZD109" s="17"/>
      <c r="CZE109" s="17"/>
      <c r="CZF109" s="17"/>
      <c r="CZG109" s="17"/>
      <c r="CZH109" s="17"/>
      <c r="CZI109" s="17"/>
      <c r="CZJ109" s="17"/>
      <c r="CZK109" s="17"/>
      <c r="CZL109" s="17"/>
      <c r="CZM109" s="17"/>
      <c r="CZN109" s="17"/>
      <c r="CZO109" s="17"/>
      <c r="CZP109" s="17"/>
      <c r="CZQ109" s="17"/>
      <c r="CZR109" s="17"/>
      <c r="CZS109" s="17"/>
      <c r="CZT109" s="17"/>
      <c r="CZU109" s="17"/>
      <c r="CZV109" s="17"/>
      <c r="CZW109" s="17"/>
      <c r="CZX109" s="17"/>
      <c r="CZY109" s="17"/>
      <c r="CZZ109" s="17"/>
      <c r="DAA109" s="17"/>
      <c r="DAB109" s="17"/>
      <c r="DAC109" s="17"/>
      <c r="DAD109" s="17"/>
      <c r="DAE109" s="17"/>
      <c r="DAF109" s="17"/>
      <c r="DAG109" s="17"/>
      <c r="DAH109" s="17"/>
      <c r="DAI109" s="17"/>
      <c r="DAJ109" s="17"/>
      <c r="DAK109" s="17"/>
      <c r="DAL109" s="17"/>
      <c r="DAM109" s="17"/>
      <c r="DAN109" s="17"/>
      <c r="DAO109" s="17"/>
      <c r="DAP109" s="17"/>
      <c r="DAQ109" s="17"/>
      <c r="DAR109" s="17"/>
      <c r="DAS109" s="17"/>
      <c r="DAT109" s="17"/>
      <c r="DAU109" s="17"/>
      <c r="DAV109" s="17"/>
      <c r="DAW109" s="17"/>
      <c r="DAX109" s="17"/>
      <c r="DAY109" s="17"/>
      <c r="DAZ109" s="17"/>
      <c r="DBA109" s="17"/>
      <c r="DBB109" s="17"/>
      <c r="DBC109" s="17"/>
      <c r="DBD109" s="17"/>
      <c r="DBE109" s="17"/>
      <c r="DBF109" s="17"/>
      <c r="DBG109" s="17"/>
      <c r="DBH109" s="17"/>
      <c r="DBI109" s="17"/>
      <c r="DBJ109" s="17"/>
      <c r="DBK109" s="17"/>
      <c r="DBL109" s="17"/>
      <c r="DBM109" s="17"/>
      <c r="DBN109" s="17"/>
      <c r="DBO109" s="17"/>
      <c r="DBP109" s="17"/>
      <c r="DBQ109" s="17"/>
      <c r="DBR109" s="17"/>
      <c r="DBS109" s="17"/>
      <c r="DBT109" s="17"/>
      <c r="DBU109" s="17"/>
      <c r="DBV109" s="17"/>
      <c r="DBW109" s="17"/>
      <c r="DBX109" s="17"/>
      <c r="DBY109" s="17"/>
      <c r="DBZ109" s="17"/>
      <c r="DCA109" s="17"/>
      <c r="DCB109" s="17"/>
      <c r="DCC109" s="17"/>
      <c r="DCD109" s="17"/>
      <c r="DCE109" s="17"/>
      <c r="DCF109" s="17"/>
      <c r="DCG109" s="17"/>
      <c r="DCH109" s="17"/>
      <c r="DCI109" s="17"/>
      <c r="DCJ109" s="17"/>
      <c r="DCK109" s="17"/>
      <c r="DCL109" s="17"/>
      <c r="DCM109" s="17"/>
      <c r="DCN109" s="17"/>
      <c r="DCO109" s="17"/>
      <c r="DCP109" s="17"/>
      <c r="DCQ109" s="17"/>
      <c r="DCR109" s="17"/>
      <c r="DCS109" s="17"/>
      <c r="DCT109" s="17"/>
      <c r="DCU109" s="17"/>
      <c r="DCV109" s="17"/>
      <c r="DCW109" s="17"/>
      <c r="DCX109" s="17"/>
      <c r="DCY109" s="17"/>
      <c r="DCZ109" s="17"/>
      <c r="DDA109" s="17"/>
      <c r="DDB109" s="17"/>
      <c r="DDC109" s="17"/>
      <c r="DDD109" s="17"/>
      <c r="DDE109" s="17"/>
      <c r="DDF109" s="17"/>
      <c r="DDG109" s="17"/>
      <c r="DDH109" s="17"/>
      <c r="DDI109" s="17"/>
      <c r="DDJ109" s="17"/>
      <c r="DDK109" s="17"/>
      <c r="DDL109" s="17"/>
      <c r="DDM109" s="17"/>
      <c r="DDN109" s="17"/>
      <c r="DDO109" s="17"/>
      <c r="DDP109" s="17"/>
      <c r="DDQ109" s="17"/>
      <c r="DDR109" s="17"/>
      <c r="DDS109" s="17"/>
      <c r="DDT109" s="17"/>
      <c r="DDU109" s="17"/>
      <c r="DDV109" s="17"/>
      <c r="DDW109" s="17"/>
      <c r="DDX109" s="17"/>
      <c r="DDY109" s="17"/>
      <c r="DDZ109" s="17"/>
      <c r="DEA109" s="17"/>
      <c r="DEB109" s="17"/>
      <c r="DEC109" s="17"/>
      <c r="DED109" s="17"/>
      <c r="DEE109" s="17"/>
      <c r="DEF109" s="17"/>
      <c r="DEG109" s="17"/>
      <c r="DEH109" s="17"/>
      <c r="DEI109" s="17"/>
      <c r="DEJ109" s="17"/>
      <c r="DEK109" s="17"/>
      <c r="DEL109" s="17"/>
      <c r="DEM109" s="17"/>
      <c r="DEN109" s="17"/>
      <c r="DEO109" s="17"/>
      <c r="DEP109" s="17"/>
      <c r="DEQ109" s="17"/>
      <c r="DER109" s="17"/>
      <c r="DES109" s="17"/>
      <c r="DET109" s="17"/>
      <c r="DEU109" s="17"/>
      <c r="DEV109" s="17"/>
      <c r="DEW109" s="17"/>
      <c r="DEX109" s="17"/>
      <c r="DEY109" s="17"/>
      <c r="DEZ109" s="17"/>
      <c r="DFA109" s="17"/>
      <c r="DFB109" s="17"/>
      <c r="DFC109" s="17"/>
      <c r="DFD109" s="17"/>
      <c r="DFE109" s="17"/>
      <c r="DFF109" s="17"/>
      <c r="DFG109" s="17"/>
      <c r="DFH109" s="17"/>
      <c r="DFI109" s="17"/>
      <c r="DFJ109" s="17"/>
      <c r="DFK109" s="17"/>
      <c r="DFL109" s="17"/>
      <c r="DFM109" s="17"/>
      <c r="DFN109" s="17"/>
      <c r="DFO109" s="17"/>
      <c r="DFP109" s="17"/>
      <c r="DFQ109" s="17"/>
      <c r="DFR109" s="17"/>
      <c r="DFS109" s="17"/>
      <c r="DFT109" s="17"/>
      <c r="DFU109" s="17"/>
      <c r="DFV109" s="17"/>
      <c r="DFW109" s="17"/>
      <c r="DFX109" s="17"/>
      <c r="DFY109" s="17"/>
      <c r="DFZ109" s="17"/>
      <c r="DGA109" s="17"/>
      <c r="DGB109" s="17"/>
      <c r="DGC109" s="17"/>
      <c r="DGD109" s="17"/>
      <c r="DGE109" s="17"/>
      <c r="DGF109" s="17"/>
      <c r="DGG109" s="17"/>
      <c r="DGH109" s="17"/>
      <c r="DGI109" s="17"/>
      <c r="DGJ109" s="17"/>
      <c r="DGK109" s="17"/>
      <c r="DGL109" s="17"/>
      <c r="DGM109" s="17"/>
      <c r="DGN109" s="17"/>
      <c r="DGO109" s="17"/>
      <c r="DGP109" s="17"/>
      <c r="DGQ109" s="17"/>
      <c r="DGR109" s="17"/>
      <c r="DGS109" s="17"/>
      <c r="DGT109" s="17"/>
      <c r="DGU109" s="17"/>
      <c r="DGV109" s="17"/>
      <c r="DGW109" s="17"/>
      <c r="DGX109" s="17"/>
      <c r="DGY109" s="17"/>
      <c r="DGZ109" s="17"/>
      <c r="DHA109" s="17"/>
      <c r="DHB109" s="17"/>
      <c r="DHC109" s="17"/>
      <c r="DHD109" s="17"/>
      <c r="DHE109" s="17"/>
      <c r="DHF109" s="17"/>
      <c r="DHG109" s="17"/>
      <c r="DHH109" s="17"/>
      <c r="DHI109" s="17"/>
      <c r="DHJ109" s="17"/>
      <c r="DHK109" s="17"/>
      <c r="DHL109" s="17"/>
      <c r="DHM109" s="17"/>
      <c r="DHN109" s="17"/>
      <c r="DHO109" s="17"/>
      <c r="DHP109" s="17"/>
      <c r="DHQ109" s="17"/>
      <c r="DHR109" s="17"/>
      <c r="DHS109" s="17"/>
      <c r="DHT109" s="17"/>
      <c r="DHU109" s="17"/>
      <c r="DHV109" s="17"/>
      <c r="DHW109" s="17"/>
      <c r="DHX109" s="17"/>
      <c r="DHY109" s="17"/>
      <c r="DHZ109" s="17"/>
      <c r="DIA109" s="17"/>
      <c r="DIB109" s="17"/>
      <c r="DIC109" s="17"/>
      <c r="DID109" s="17"/>
      <c r="DIE109" s="17"/>
      <c r="DIF109" s="17"/>
      <c r="DIG109" s="17"/>
      <c r="DIH109" s="17"/>
      <c r="DII109" s="17"/>
      <c r="DIJ109" s="17"/>
      <c r="DIK109" s="17"/>
      <c r="DIL109" s="17"/>
      <c r="DIM109" s="17"/>
      <c r="DIN109" s="17"/>
      <c r="DIO109" s="17"/>
      <c r="DIP109" s="17"/>
      <c r="DIQ109" s="17"/>
      <c r="DIR109" s="17"/>
      <c r="DIS109" s="17"/>
      <c r="DIT109" s="17"/>
      <c r="DIU109" s="17"/>
      <c r="DIV109" s="17"/>
      <c r="DIW109" s="17"/>
      <c r="DIX109" s="17"/>
      <c r="DIY109" s="17"/>
      <c r="DIZ109" s="17"/>
      <c r="DJA109" s="17"/>
      <c r="DJB109" s="17"/>
      <c r="DJC109" s="17"/>
      <c r="DJD109" s="17"/>
      <c r="DJE109" s="17"/>
      <c r="DJF109" s="17"/>
      <c r="DJG109" s="17"/>
      <c r="DJH109" s="17"/>
      <c r="DJI109" s="17"/>
      <c r="DJJ109" s="17"/>
      <c r="DJK109" s="17"/>
      <c r="DJL109" s="17"/>
      <c r="DJM109" s="17"/>
      <c r="DJN109" s="17"/>
      <c r="DJO109" s="17"/>
      <c r="DJP109" s="17"/>
      <c r="DJQ109" s="17"/>
      <c r="DJR109" s="17"/>
      <c r="DJS109" s="17"/>
      <c r="DJT109" s="17"/>
      <c r="DJU109" s="17"/>
      <c r="DJV109" s="17"/>
      <c r="DJW109" s="17"/>
      <c r="DJX109" s="17"/>
      <c r="DJY109" s="17"/>
      <c r="DJZ109" s="17"/>
      <c r="DKA109" s="17"/>
      <c r="DKB109" s="17"/>
      <c r="DKC109" s="17"/>
      <c r="DKD109" s="17"/>
      <c r="DKE109" s="17"/>
      <c r="DKF109" s="17"/>
      <c r="DKG109" s="17"/>
      <c r="DKH109" s="17"/>
      <c r="DKI109" s="17"/>
      <c r="DKJ109" s="17"/>
      <c r="DKK109" s="17"/>
      <c r="DKL109" s="17"/>
      <c r="DKM109" s="17"/>
      <c r="DKN109" s="17"/>
      <c r="DKO109" s="17"/>
      <c r="DKP109" s="17"/>
      <c r="DKQ109" s="17"/>
      <c r="DKR109" s="17"/>
      <c r="DKS109" s="17"/>
      <c r="DKT109" s="17"/>
      <c r="DKU109" s="17"/>
      <c r="DKV109" s="17"/>
      <c r="DKW109" s="17"/>
      <c r="DKX109" s="17"/>
      <c r="DKY109" s="17"/>
      <c r="DKZ109" s="17"/>
      <c r="DLA109" s="17"/>
      <c r="DLB109" s="17"/>
      <c r="DLC109" s="17"/>
      <c r="DLD109" s="17"/>
      <c r="DLE109" s="17"/>
      <c r="DLF109" s="17"/>
      <c r="DLG109" s="17"/>
      <c r="DLH109" s="17"/>
      <c r="DLI109" s="17"/>
      <c r="DLJ109" s="17"/>
      <c r="DLK109" s="17"/>
      <c r="DLL109" s="17"/>
      <c r="DLM109" s="17"/>
      <c r="DLN109" s="17"/>
      <c r="DLO109" s="17"/>
      <c r="DLP109" s="17"/>
      <c r="DLQ109" s="17"/>
      <c r="DLR109" s="17"/>
      <c r="DLS109" s="17"/>
      <c r="DLT109" s="17"/>
      <c r="DLU109" s="17"/>
      <c r="DLV109" s="17"/>
      <c r="DLW109" s="17"/>
      <c r="DLX109" s="17"/>
      <c r="DLY109" s="17"/>
      <c r="DLZ109" s="17"/>
      <c r="DMA109" s="17"/>
      <c r="DMB109" s="17"/>
      <c r="DMC109" s="17"/>
      <c r="DMD109" s="17"/>
      <c r="DME109" s="17"/>
      <c r="DMF109" s="17"/>
      <c r="DMG109" s="17"/>
      <c r="DMH109" s="17"/>
      <c r="DMI109" s="17"/>
      <c r="DMJ109" s="17"/>
      <c r="DMK109" s="17"/>
      <c r="DML109" s="17"/>
      <c r="DMM109" s="17"/>
      <c r="DMN109" s="17"/>
      <c r="DMO109" s="17"/>
      <c r="DMP109" s="17"/>
      <c r="DMQ109" s="17"/>
      <c r="DMR109" s="17"/>
      <c r="DMS109" s="17"/>
      <c r="DMT109" s="17"/>
      <c r="DMU109" s="17"/>
      <c r="DMV109" s="17"/>
      <c r="DMW109" s="17"/>
      <c r="DMX109" s="17"/>
      <c r="DMY109" s="17"/>
      <c r="DMZ109" s="17"/>
      <c r="DNA109" s="17"/>
      <c r="DNB109" s="17"/>
      <c r="DNC109" s="17"/>
      <c r="DND109" s="17"/>
      <c r="DNE109" s="17"/>
      <c r="DNF109" s="17"/>
      <c r="DNG109" s="17"/>
      <c r="DNH109" s="17"/>
      <c r="DNI109" s="17"/>
      <c r="DNJ109" s="17"/>
      <c r="DNK109" s="17"/>
      <c r="DNL109" s="17"/>
      <c r="DNM109" s="17"/>
      <c r="DNN109" s="17"/>
      <c r="DNO109" s="17"/>
      <c r="DNP109" s="17"/>
      <c r="DNQ109" s="17"/>
      <c r="DNR109" s="17"/>
      <c r="DNS109" s="17"/>
      <c r="DNT109" s="17"/>
      <c r="DNU109" s="17"/>
      <c r="DNV109" s="17"/>
      <c r="DNW109" s="17"/>
      <c r="DNX109" s="17"/>
      <c r="DNY109" s="17"/>
      <c r="DNZ109" s="17"/>
      <c r="DOA109" s="17"/>
      <c r="DOB109" s="17"/>
      <c r="DOC109" s="17"/>
      <c r="DOD109" s="17"/>
      <c r="DOE109" s="17"/>
      <c r="DOF109" s="17"/>
      <c r="DOG109" s="17"/>
      <c r="DOH109" s="17"/>
      <c r="DOI109" s="17"/>
      <c r="DOJ109" s="17"/>
      <c r="DOK109" s="17"/>
      <c r="DOL109" s="17"/>
      <c r="DOM109" s="17"/>
      <c r="DON109" s="17"/>
      <c r="DOO109" s="17"/>
      <c r="DOP109" s="17"/>
      <c r="DOQ109" s="17"/>
      <c r="DOR109" s="17"/>
      <c r="DOS109" s="17"/>
      <c r="DOT109" s="17"/>
      <c r="DOU109" s="17"/>
      <c r="DOV109" s="17"/>
      <c r="DOW109" s="17"/>
      <c r="DOX109" s="17"/>
      <c r="DOY109" s="17"/>
      <c r="DOZ109" s="17"/>
      <c r="DPA109" s="17"/>
      <c r="DPB109" s="17"/>
      <c r="DPC109" s="17"/>
      <c r="DPD109" s="17"/>
      <c r="DPE109" s="17"/>
      <c r="DPF109" s="17"/>
      <c r="DPG109" s="17"/>
      <c r="DPH109" s="17"/>
      <c r="DPI109" s="17"/>
      <c r="DPJ109" s="17"/>
      <c r="DPK109" s="17"/>
      <c r="DPL109" s="17"/>
      <c r="DPM109" s="17"/>
      <c r="DPN109" s="17"/>
      <c r="DPO109" s="17"/>
      <c r="DPP109" s="17"/>
      <c r="DPQ109" s="17"/>
      <c r="DPR109" s="17"/>
      <c r="DPS109" s="17"/>
      <c r="DPT109" s="17"/>
      <c r="DPU109" s="17"/>
      <c r="DPV109" s="17"/>
      <c r="DPW109" s="17"/>
      <c r="DPX109" s="17"/>
      <c r="DPY109" s="17"/>
      <c r="DPZ109" s="17"/>
      <c r="DQA109" s="17"/>
      <c r="DQB109" s="17"/>
      <c r="DQC109" s="17"/>
      <c r="DQD109" s="17"/>
      <c r="DQE109" s="17"/>
      <c r="DQF109" s="17"/>
      <c r="DQG109" s="17"/>
      <c r="DQH109" s="17"/>
      <c r="DQI109" s="17"/>
      <c r="DQJ109" s="17"/>
      <c r="DQK109" s="17"/>
      <c r="DQL109" s="17"/>
      <c r="DQM109" s="17"/>
      <c r="DQN109" s="17"/>
      <c r="DQO109" s="17"/>
      <c r="DQP109" s="17"/>
      <c r="DQQ109" s="17"/>
      <c r="DQR109" s="17"/>
      <c r="DQS109" s="17"/>
      <c r="DQT109" s="17"/>
      <c r="DQU109" s="17"/>
      <c r="DQV109" s="17"/>
      <c r="DQW109" s="17"/>
      <c r="DQX109" s="17"/>
      <c r="DQY109" s="17"/>
      <c r="DQZ109" s="17"/>
      <c r="DRA109" s="17"/>
      <c r="DRB109" s="17"/>
      <c r="DRC109" s="17"/>
      <c r="DRD109" s="17"/>
      <c r="DRE109" s="17"/>
      <c r="DRF109" s="17"/>
      <c r="DRG109" s="17"/>
      <c r="DRH109" s="17"/>
      <c r="DRI109" s="17"/>
      <c r="DRJ109" s="17"/>
      <c r="DRK109" s="17"/>
      <c r="DRL109" s="17"/>
      <c r="DRM109" s="17"/>
      <c r="DRN109" s="17"/>
      <c r="DRO109" s="17"/>
      <c r="DRP109" s="17"/>
      <c r="DRQ109" s="17"/>
      <c r="DRR109" s="17"/>
      <c r="DRS109" s="17"/>
      <c r="DRT109" s="17"/>
      <c r="DRU109" s="17"/>
      <c r="DRV109" s="17"/>
      <c r="DRW109" s="17"/>
      <c r="DRX109" s="17"/>
      <c r="DRY109" s="17"/>
      <c r="DRZ109" s="17"/>
      <c r="DSA109" s="17"/>
      <c r="DSB109" s="17"/>
      <c r="DSC109" s="17"/>
      <c r="DSD109" s="17"/>
      <c r="DSE109" s="17"/>
      <c r="DSF109" s="17"/>
      <c r="DSG109" s="17"/>
      <c r="DSH109" s="17"/>
      <c r="DSI109" s="17"/>
      <c r="DSJ109" s="17"/>
      <c r="DSK109" s="17"/>
      <c r="DSL109" s="17"/>
      <c r="DSM109" s="17"/>
      <c r="DSN109" s="17"/>
      <c r="DSO109" s="17"/>
      <c r="DSP109" s="17"/>
      <c r="DSQ109" s="17"/>
      <c r="DSR109" s="17"/>
      <c r="DSS109" s="17"/>
      <c r="DST109" s="17"/>
      <c r="DSU109" s="17"/>
      <c r="DSV109" s="17"/>
      <c r="DSW109" s="17"/>
      <c r="DSX109" s="17"/>
      <c r="DSY109" s="17"/>
      <c r="DSZ109" s="17"/>
      <c r="DTA109" s="17"/>
      <c r="DTB109" s="17"/>
      <c r="DTC109" s="17"/>
      <c r="DTD109" s="17"/>
      <c r="DTE109" s="17"/>
      <c r="DTF109" s="17"/>
      <c r="DTG109" s="17"/>
      <c r="DTH109" s="17"/>
      <c r="DTI109" s="17"/>
      <c r="DTJ109" s="17"/>
      <c r="DTK109" s="17"/>
      <c r="DTL109" s="17"/>
      <c r="DTM109" s="17"/>
      <c r="DTN109" s="17"/>
      <c r="DTO109" s="17"/>
      <c r="DTP109" s="17"/>
      <c r="DTQ109" s="17"/>
      <c r="DTR109" s="17"/>
      <c r="DTS109" s="17"/>
      <c r="DTT109" s="17"/>
      <c r="DTU109" s="17"/>
      <c r="DTV109" s="17"/>
      <c r="DTW109" s="17"/>
      <c r="DTX109" s="17"/>
      <c r="DTY109" s="17"/>
      <c r="DTZ109" s="17"/>
      <c r="DUA109" s="17"/>
      <c r="DUB109" s="17"/>
      <c r="DUC109" s="17"/>
      <c r="DUD109" s="17"/>
      <c r="DUE109" s="17"/>
      <c r="DUF109" s="17"/>
      <c r="DUG109" s="17"/>
      <c r="DUH109" s="17"/>
      <c r="DUI109" s="17"/>
      <c r="DUJ109" s="17"/>
      <c r="DUK109" s="17"/>
      <c r="DUL109" s="17"/>
      <c r="DUM109" s="17"/>
      <c r="DUN109" s="17"/>
      <c r="DUO109" s="17"/>
      <c r="DUP109" s="17"/>
      <c r="DUQ109" s="17"/>
      <c r="DUR109" s="17"/>
      <c r="DUS109" s="17"/>
      <c r="DUT109" s="17"/>
      <c r="DUU109" s="17"/>
      <c r="DUV109" s="17"/>
      <c r="DUW109" s="17"/>
      <c r="DUX109" s="17"/>
      <c r="DUY109" s="17"/>
      <c r="DUZ109" s="17"/>
      <c r="DVA109" s="17"/>
      <c r="DVB109" s="17"/>
      <c r="DVC109" s="17"/>
      <c r="DVD109" s="17"/>
      <c r="DVE109" s="17"/>
      <c r="DVF109" s="17"/>
      <c r="DVG109" s="17"/>
      <c r="DVH109" s="17"/>
      <c r="DVI109" s="17"/>
      <c r="DVJ109" s="17"/>
      <c r="DVK109" s="17"/>
      <c r="DVL109" s="17"/>
      <c r="DVM109" s="17"/>
      <c r="DVN109" s="17"/>
      <c r="DVO109" s="17"/>
      <c r="DVP109" s="17"/>
      <c r="DVQ109" s="17"/>
      <c r="DVR109" s="17"/>
      <c r="DVS109" s="17"/>
      <c r="DVT109" s="17"/>
      <c r="DVU109" s="17"/>
      <c r="DVV109" s="17"/>
      <c r="DVW109" s="17"/>
      <c r="DVX109" s="17"/>
      <c r="DVY109" s="17"/>
      <c r="DVZ109" s="17"/>
      <c r="DWA109" s="17"/>
      <c r="DWB109" s="17"/>
      <c r="DWC109" s="17"/>
      <c r="DWD109" s="17"/>
      <c r="DWE109" s="17"/>
      <c r="DWF109" s="17"/>
      <c r="DWG109" s="17"/>
      <c r="DWH109" s="17"/>
      <c r="DWI109" s="17"/>
      <c r="DWJ109" s="17"/>
      <c r="DWK109" s="17"/>
      <c r="DWL109" s="17"/>
      <c r="DWM109" s="17"/>
      <c r="DWN109" s="17"/>
      <c r="DWO109" s="17"/>
      <c r="DWP109" s="17"/>
      <c r="DWQ109" s="17"/>
      <c r="DWR109" s="17"/>
      <c r="DWS109" s="17"/>
      <c r="DWT109" s="17"/>
      <c r="DWU109" s="17"/>
      <c r="DWV109" s="17"/>
      <c r="DWW109" s="17"/>
      <c r="DWX109" s="17"/>
      <c r="DWY109" s="17"/>
      <c r="DWZ109" s="17"/>
      <c r="DXA109" s="17"/>
      <c r="DXB109" s="17"/>
      <c r="DXC109" s="17"/>
      <c r="DXD109" s="17"/>
      <c r="DXE109" s="17"/>
      <c r="DXF109" s="17"/>
      <c r="DXG109" s="17"/>
      <c r="DXH109" s="17"/>
      <c r="DXI109" s="17"/>
      <c r="DXJ109" s="17"/>
      <c r="DXK109" s="17"/>
      <c r="DXL109" s="17"/>
      <c r="DXM109" s="17"/>
      <c r="DXN109" s="17"/>
      <c r="DXO109" s="17"/>
      <c r="DXP109" s="17"/>
      <c r="DXQ109" s="17"/>
      <c r="DXR109" s="17"/>
      <c r="DXS109" s="17"/>
      <c r="DXT109" s="17"/>
      <c r="DXU109" s="17"/>
      <c r="DXV109" s="17"/>
      <c r="DXW109" s="17"/>
      <c r="DXX109" s="17"/>
      <c r="DXY109" s="17"/>
      <c r="DXZ109" s="17"/>
      <c r="DYA109" s="17"/>
      <c r="DYB109" s="17"/>
      <c r="DYC109" s="17"/>
      <c r="DYD109" s="17"/>
      <c r="DYE109" s="17"/>
      <c r="DYF109" s="17"/>
      <c r="DYG109" s="17"/>
      <c r="DYH109" s="17"/>
      <c r="DYI109" s="17"/>
      <c r="DYJ109" s="17"/>
      <c r="DYK109" s="17"/>
      <c r="DYL109" s="17"/>
      <c r="DYM109" s="17"/>
      <c r="DYN109" s="17"/>
      <c r="DYO109" s="17"/>
      <c r="DYP109" s="17"/>
      <c r="DYQ109" s="17"/>
      <c r="DYR109" s="17"/>
      <c r="DYS109" s="17"/>
      <c r="DYT109" s="17"/>
      <c r="DYU109" s="17"/>
      <c r="DYV109" s="17"/>
      <c r="DYW109" s="17"/>
      <c r="DYX109" s="17"/>
      <c r="DYY109" s="17"/>
      <c r="DYZ109" s="17"/>
      <c r="DZA109" s="17"/>
      <c r="DZB109" s="17"/>
      <c r="DZC109" s="17"/>
      <c r="DZD109" s="17"/>
      <c r="DZE109" s="17"/>
      <c r="DZF109" s="17"/>
      <c r="DZG109" s="17"/>
      <c r="DZH109" s="17"/>
      <c r="DZI109" s="17"/>
      <c r="DZJ109" s="17"/>
      <c r="DZK109" s="17"/>
      <c r="DZL109" s="17"/>
      <c r="DZM109" s="17"/>
      <c r="DZN109" s="17"/>
      <c r="DZO109" s="17"/>
      <c r="DZP109" s="17"/>
      <c r="DZQ109" s="17"/>
      <c r="DZR109" s="17"/>
      <c r="DZS109" s="17"/>
      <c r="DZT109" s="17"/>
      <c r="DZU109" s="17"/>
      <c r="DZV109" s="17"/>
      <c r="DZW109" s="17"/>
      <c r="DZX109" s="17"/>
      <c r="DZY109" s="17"/>
      <c r="DZZ109" s="17"/>
      <c r="EAA109" s="17"/>
      <c r="EAB109" s="17"/>
      <c r="EAC109" s="17"/>
      <c r="EAD109" s="17"/>
      <c r="EAE109" s="17"/>
      <c r="EAF109" s="17"/>
      <c r="EAG109" s="17"/>
      <c r="EAH109" s="17"/>
      <c r="EAI109" s="17"/>
      <c r="EAJ109" s="17"/>
      <c r="EAK109" s="17"/>
      <c r="EAL109" s="17"/>
      <c r="EAM109" s="17"/>
      <c r="EAN109" s="17"/>
      <c r="EAO109" s="17"/>
      <c r="EAP109" s="17"/>
      <c r="EAQ109" s="17"/>
      <c r="EAR109" s="17"/>
      <c r="EAS109" s="17"/>
      <c r="EAT109" s="17"/>
      <c r="EAU109" s="17"/>
      <c r="EAV109" s="17"/>
      <c r="EAW109" s="17"/>
      <c r="EAX109" s="17"/>
      <c r="EAY109" s="17"/>
      <c r="EAZ109" s="17"/>
      <c r="EBA109" s="17"/>
      <c r="EBB109" s="17"/>
      <c r="EBC109" s="17"/>
      <c r="EBD109" s="17"/>
      <c r="EBE109" s="17"/>
      <c r="EBF109" s="17"/>
      <c r="EBG109" s="17"/>
      <c r="EBH109" s="17"/>
      <c r="EBI109" s="17"/>
      <c r="EBJ109" s="17"/>
      <c r="EBK109" s="17"/>
      <c r="EBL109" s="17"/>
      <c r="EBM109" s="17"/>
      <c r="EBN109" s="17"/>
      <c r="EBO109" s="17"/>
      <c r="EBP109" s="17"/>
      <c r="EBQ109" s="17"/>
      <c r="EBR109" s="17"/>
      <c r="EBS109" s="17"/>
      <c r="EBT109" s="17"/>
      <c r="EBU109" s="17"/>
      <c r="EBV109" s="17"/>
      <c r="EBW109" s="17"/>
      <c r="EBX109" s="17"/>
      <c r="EBY109" s="17"/>
      <c r="EBZ109" s="17"/>
      <c r="ECA109" s="17"/>
      <c r="ECB109" s="17"/>
      <c r="ECC109" s="17"/>
      <c r="ECD109" s="17"/>
      <c r="ECE109" s="17"/>
      <c r="ECF109" s="17"/>
      <c r="ECG109" s="17"/>
      <c r="ECH109" s="17"/>
      <c r="ECI109" s="17"/>
      <c r="ECJ109" s="17"/>
      <c r="ECK109" s="17"/>
      <c r="ECL109" s="17"/>
      <c r="ECM109" s="17"/>
      <c r="ECN109" s="17"/>
      <c r="ECO109" s="17"/>
      <c r="ECP109" s="17"/>
      <c r="ECQ109" s="17"/>
      <c r="ECR109" s="17"/>
      <c r="ECS109" s="17"/>
      <c r="ECT109" s="17"/>
      <c r="ECU109" s="17"/>
      <c r="ECV109" s="17"/>
      <c r="ECW109" s="17"/>
      <c r="ECX109" s="17"/>
      <c r="ECY109" s="17"/>
      <c r="ECZ109" s="17"/>
      <c r="EDA109" s="17"/>
      <c r="EDB109" s="17"/>
      <c r="EDC109" s="17"/>
      <c r="EDD109" s="17"/>
      <c r="EDE109" s="17"/>
      <c r="EDF109" s="17"/>
      <c r="EDG109" s="17"/>
      <c r="EDH109" s="17"/>
      <c r="EDI109" s="17"/>
      <c r="EDJ109" s="17"/>
      <c r="EDK109" s="17"/>
      <c r="EDL109" s="17"/>
      <c r="EDM109" s="17"/>
      <c r="EDN109" s="17"/>
      <c r="EDO109" s="17"/>
      <c r="EDP109" s="17"/>
      <c r="EDQ109" s="17"/>
      <c r="EDR109" s="17"/>
      <c r="EDS109" s="17"/>
      <c r="EDT109" s="17"/>
      <c r="EDU109" s="17"/>
      <c r="EDV109" s="17"/>
      <c r="EDW109" s="17"/>
      <c r="EDX109" s="17"/>
      <c r="EDY109" s="17"/>
      <c r="EDZ109" s="17"/>
      <c r="EEA109" s="17"/>
      <c r="EEB109" s="17"/>
      <c r="EEC109" s="17"/>
      <c r="EED109" s="17"/>
      <c r="EEE109" s="17"/>
      <c r="EEF109" s="17"/>
      <c r="EEG109" s="17"/>
      <c r="EEH109" s="17"/>
      <c r="EEI109" s="17"/>
      <c r="EEJ109" s="17"/>
      <c r="EEK109" s="17"/>
      <c r="EEL109" s="17"/>
      <c r="EEM109" s="17"/>
      <c r="EEN109" s="17"/>
      <c r="EEO109" s="17"/>
      <c r="EEP109" s="17"/>
      <c r="EEQ109" s="17"/>
      <c r="EER109" s="17"/>
      <c r="EES109" s="17"/>
      <c r="EET109" s="17"/>
      <c r="EEU109" s="17"/>
      <c r="EEV109" s="17"/>
      <c r="EEW109" s="17"/>
      <c r="EEX109" s="17"/>
      <c r="EEY109" s="17"/>
      <c r="EEZ109" s="17"/>
      <c r="EFA109" s="17"/>
      <c r="EFB109" s="17"/>
      <c r="EFC109" s="17"/>
      <c r="EFD109" s="17"/>
      <c r="EFE109" s="17"/>
      <c r="EFF109" s="17"/>
      <c r="EFG109" s="17"/>
      <c r="EFH109" s="17"/>
      <c r="EFI109" s="17"/>
      <c r="EFJ109" s="17"/>
      <c r="EFK109" s="17"/>
      <c r="EFL109" s="17"/>
      <c r="EFM109" s="17"/>
      <c r="EFN109" s="17"/>
      <c r="EFO109" s="17"/>
      <c r="EFP109" s="17"/>
      <c r="EFQ109" s="17"/>
      <c r="EFR109" s="17"/>
      <c r="EFS109" s="17"/>
      <c r="EFT109" s="17"/>
      <c r="EFU109" s="17"/>
      <c r="EFV109" s="17"/>
      <c r="EFW109" s="17"/>
      <c r="EFX109" s="17"/>
      <c r="EFY109" s="17"/>
      <c r="EFZ109" s="17"/>
      <c r="EGA109" s="17"/>
      <c r="EGB109" s="17"/>
      <c r="EGC109" s="17"/>
      <c r="EGD109" s="17"/>
      <c r="EGE109" s="17"/>
      <c r="EGF109" s="17"/>
      <c r="EGG109" s="17"/>
      <c r="EGH109" s="17"/>
      <c r="EGI109" s="17"/>
      <c r="EGJ109" s="17"/>
      <c r="EGK109" s="17"/>
      <c r="EGL109" s="17"/>
      <c r="EGM109" s="17"/>
      <c r="EGN109" s="17"/>
      <c r="EGO109" s="17"/>
      <c r="EGP109" s="17"/>
      <c r="EGQ109" s="17"/>
      <c r="EGR109" s="17"/>
      <c r="EGS109" s="17"/>
      <c r="EGT109" s="17"/>
      <c r="EGU109" s="17"/>
      <c r="EGV109" s="17"/>
      <c r="EGW109" s="17"/>
      <c r="EGX109" s="17"/>
      <c r="EGY109" s="17"/>
      <c r="EGZ109" s="17"/>
      <c r="EHA109" s="17"/>
      <c r="EHB109" s="17"/>
      <c r="EHC109" s="17"/>
      <c r="EHD109" s="17"/>
      <c r="EHE109" s="17"/>
      <c r="EHF109" s="17"/>
      <c r="EHG109" s="17"/>
      <c r="EHH109" s="17"/>
      <c r="EHI109" s="17"/>
      <c r="EHJ109" s="17"/>
      <c r="EHK109" s="17"/>
      <c r="EHL109" s="17"/>
      <c r="EHM109" s="17"/>
      <c r="EHN109" s="17"/>
      <c r="EHO109" s="17"/>
      <c r="EHP109" s="17"/>
      <c r="EHQ109" s="17"/>
      <c r="EHR109" s="17"/>
      <c r="EHS109" s="17"/>
      <c r="EHT109" s="17"/>
      <c r="EHU109" s="17"/>
      <c r="EHV109" s="17"/>
      <c r="EHW109" s="17"/>
      <c r="EHX109" s="17"/>
      <c r="EHY109" s="17"/>
      <c r="EHZ109" s="17"/>
      <c r="EIA109" s="17"/>
      <c r="EIB109" s="17"/>
      <c r="EIC109" s="17"/>
      <c r="EID109" s="17"/>
      <c r="EIE109" s="17"/>
      <c r="EIF109" s="17"/>
      <c r="EIG109" s="17"/>
      <c r="EIH109" s="17"/>
      <c r="EII109" s="17"/>
      <c r="EIJ109" s="17"/>
      <c r="EIK109" s="17"/>
      <c r="EIL109" s="17"/>
      <c r="EIM109" s="17"/>
      <c r="EIN109" s="17"/>
      <c r="EIO109" s="17"/>
      <c r="EIP109" s="17"/>
      <c r="EIQ109" s="17"/>
      <c r="EIR109" s="17"/>
      <c r="EIS109" s="17"/>
      <c r="EIT109" s="17"/>
      <c r="EIU109" s="17"/>
      <c r="EIV109" s="17"/>
      <c r="EIW109" s="17"/>
      <c r="EIX109" s="17"/>
      <c r="EIY109" s="17"/>
      <c r="EIZ109" s="17"/>
      <c r="EJA109" s="17"/>
      <c r="EJB109" s="17"/>
      <c r="EJC109" s="17"/>
      <c r="EJD109" s="17"/>
      <c r="EJE109" s="17"/>
      <c r="EJF109" s="17"/>
      <c r="EJG109" s="17"/>
      <c r="EJH109" s="17"/>
      <c r="EJI109" s="17"/>
      <c r="EJJ109" s="17"/>
      <c r="EJK109" s="17"/>
      <c r="EJL109" s="17"/>
      <c r="EJM109" s="17"/>
      <c r="EJN109" s="17"/>
      <c r="EJO109" s="17"/>
      <c r="EJP109" s="17"/>
      <c r="EJQ109" s="17"/>
      <c r="EJR109" s="17"/>
      <c r="EJS109" s="17"/>
      <c r="EJT109" s="17"/>
      <c r="EJU109" s="17"/>
      <c r="EJV109" s="17"/>
      <c r="EJW109" s="17"/>
      <c r="EJX109" s="17"/>
      <c r="EJY109" s="17"/>
      <c r="EJZ109" s="17"/>
      <c r="EKA109" s="17"/>
      <c r="EKB109" s="17"/>
      <c r="EKC109" s="17"/>
      <c r="EKD109" s="17"/>
      <c r="EKE109" s="17"/>
      <c r="EKF109" s="17"/>
      <c r="EKG109" s="17"/>
      <c r="EKH109" s="17"/>
      <c r="EKI109" s="17"/>
      <c r="EKJ109" s="17"/>
      <c r="EKK109" s="17"/>
      <c r="EKL109" s="17"/>
      <c r="EKM109" s="17"/>
      <c r="EKN109" s="17"/>
      <c r="EKO109" s="17"/>
      <c r="EKP109" s="17"/>
      <c r="EKQ109" s="17"/>
      <c r="EKR109" s="17"/>
      <c r="EKS109" s="17"/>
      <c r="EKT109" s="17"/>
      <c r="EKU109" s="17"/>
      <c r="EKV109" s="17"/>
      <c r="EKW109" s="17"/>
      <c r="EKX109" s="17"/>
      <c r="EKY109" s="17"/>
      <c r="EKZ109" s="17"/>
      <c r="ELA109" s="17"/>
      <c r="ELB109" s="17"/>
      <c r="ELC109" s="17"/>
      <c r="ELD109" s="17"/>
      <c r="ELE109" s="17"/>
      <c r="ELF109" s="17"/>
      <c r="ELG109" s="17"/>
      <c r="ELH109" s="17"/>
      <c r="ELI109" s="17"/>
      <c r="ELJ109" s="17"/>
      <c r="ELK109" s="17"/>
      <c r="ELL109" s="17"/>
      <c r="ELM109" s="17"/>
      <c r="ELN109" s="17"/>
      <c r="ELO109" s="17"/>
      <c r="ELP109" s="17"/>
      <c r="ELQ109" s="17"/>
      <c r="ELR109" s="17"/>
      <c r="ELS109" s="17"/>
      <c r="ELT109" s="17"/>
      <c r="ELU109" s="17"/>
      <c r="ELV109" s="17"/>
      <c r="ELW109" s="17"/>
      <c r="ELX109" s="17"/>
      <c r="ELY109" s="17"/>
      <c r="ELZ109" s="17"/>
      <c r="EMA109" s="17"/>
      <c r="EMB109" s="17"/>
      <c r="EMC109" s="17"/>
      <c r="EMD109" s="17"/>
      <c r="EME109" s="17"/>
      <c r="EMF109" s="17"/>
      <c r="EMG109" s="17"/>
      <c r="EMH109" s="17"/>
      <c r="EMI109" s="17"/>
      <c r="EMJ109" s="17"/>
      <c r="EMK109" s="17"/>
      <c r="EML109" s="17"/>
      <c r="EMM109" s="17"/>
      <c r="EMN109" s="17"/>
      <c r="EMO109" s="17"/>
      <c r="EMP109" s="17"/>
      <c r="EMQ109" s="17"/>
      <c r="EMR109" s="17"/>
      <c r="EMS109" s="17"/>
      <c r="EMT109" s="17"/>
      <c r="EMU109" s="17"/>
      <c r="EMV109" s="17"/>
      <c r="EMW109" s="17"/>
      <c r="EMX109" s="17"/>
      <c r="EMY109" s="17"/>
      <c r="EMZ109" s="17"/>
      <c r="ENA109" s="17"/>
      <c r="ENB109" s="17"/>
      <c r="ENC109" s="17"/>
      <c r="END109" s="17"/>
      <c r="ENE109" s="17"/>
      <c r="ENF109" s="17"/>
      <c r="ENG109" s="17"/>
      <c r="ENH109" s="17"/>
      <c r="ENI109" s="17"/>
      <c r="ENJ109" s="17"/>
      <c r="ENK109" s="17"/>
      <c r="ENL109" s="17"/>
      <c r="ENM109" s="17"/>
      <c r="ENN109" s="17"/>
      <c r="ENO109" s="17"/>
      <c r="ENP109" s="17"/>
      <c r="ENQ109" s="17"/>
      <c r="ENR109" s="17"/>
      <c r="ENS109" s="17"/>
      <c r="ENT109" s="17"/>
      <c r="ENU109" s="17"/>
      <c r="ENV109" s="17"/>
      <c r="ENW109" s="17"/>
      <c r="ENX109" s="17"/>
      <c r="ENY109" s="17"/>
      <c r="ENZ109" s="17"/>
      <c r="EOA109" s="17"/>
      <c r="EOB109" s="17"/>
      <c r="EOC109" s="17"/>
      <c r="EOD109" s="17"/>
      <c r="EOE109" s="17"/>
      <c r="EOF109" s="17"/>
      <c r="EOG109" s="17"/>
      <c r="EOH109" s="17"/>
      <c r="EOI109" s="17"/>
      <c r="EOJ109" s="17"/>
      <c r="EOK109" s="17"/>
      <c r="EOL109" s="17"/>
      <c r="EOM109" s="17"/>
      <c r="EON109" s="17"/>
      <c r="EOO109" s="17"/>
      <c r="EOP109" s="17"/>
      <c r="EOQ109" s="17"/>
      <c r="EOR109" s="17"/>
      <c r="EOS109" s="17"/>
      <c r="EOT109" s="17"/>
      <c r="EOU109" s="17"/>
      <c r="EOV109" s="17"/>
      <c r="EOW109" s="17"/>
      <c r="EOX109" s="17"/>
      <c r="EOY109" s="17"/>
      <c r="EOZ109" s="17"/>
      <c r="EPA109" s="17"/>
      <c r="EPB109" s="17"/>
      <c r="EPC109" s="17"/>
      <c r="EPD109" s="17"/>
      <c r="EPE109" s="17"/>
      <c r="EPF109" s="17"/>
      <c r="EPG109" s="17"/>
      <c r="EPH109" s="17"/>
      <c r="EPI109" s="17"/>
      <c r="EPJ109" s="17"/>
      <c r="EPK109" s="17"/>
      <c r="EPL109" s="17"/>
      <c r="EPM109" s="17"/>
      <c r="EPN109" s="17"/>
      <c r="EPO109" s="17"/>
      <c r="EPP109" s="17"/>
      <c r="EPQ109" s="17"/>
      <c r="EPR109" s="17"/>
      <c r="EPS109" s="17"/>
      <c r="EPT109" s="17"/>
      <c r="EPU109" s="17"/>
      <c r="EPV109" s="17"/>
      <c r="EPW109" s="17"/>
      <c r="EPX109" s="17"/>
      <c r="EPY109" s="17"/>
      <c r="EPZ109" s="17"/>
      <c r="EQA109" s="17"/>
      <c r="EQB109" s="17"/>
      <c r="EQC109" s="17"/>
      <c r="EQD109" s="17"/>
      <c r="EQE109" s="17"/>
      <c r="EQF109" s="17"/>
      <c r="EQG109" s="17"/>
      <c r="EQH109" s="17"/>
      <c r="EQI109" s="17"/>
      <c r="EQJ109" s="17"/>
      <c r="EQK109" s="17"/>
      <c r="EQL109" s="17"/>
      <c r="EQM109" s="17"/>
      <c r="EQN109" s="17"/>
      <c r="EQO109" s="17"/>
      <c r="EQP109" s="17"/>
      <c r="EQQ109" s="17"/>
      <c r="EQR109" s="17"/>
      <c r="EQS109" s="17"/>
      <c r="EQT109" s="17"/>
      <c r="EQU109" s="17"/>
      <c r="EQV109" s="17"/>
      <c r="EQW109" s="17"/>
      <c r="EQX109" s="17"/>
      <c r="EQY109" s="17"/>
      <c r="EQZ109" s="17"/>
      <c r="ERA109" s="17"/>
      <c r="ERB109" s="17"/>
      <c r="ERC109" s="17"/>
      <c r="ERD109" s="17"/>
      <c r="ERE109" s="17"/>
      <c r="ERF109" s="17"/>
      <c r="ERG109" s="17"/>
      <c r="ERH109" s="17"/>
      <c r="ERI109" s="17"/>
      <c r="ERJ109" s="17"/>
      <c r="ERK109" s="17"/>
      <c r="ERL109" s="17"/>
      <c r="ERM109" s="17"/>
      <c r="ERN109" s="17"/>
      <c r="ERO109" s="17"/>
      <c r="ERP109" s="17"/>
      <c r="ERQ109" s="17"/>
      <c r="ERR109" s="17"/>
      <c r="ERS109" s="17"/>
      <c r="ERT109" s="17"/>
      <c r="ERU109" s="17"/>
      <c r="ERV109" s="17"/>
      <c r="ERW109" s="17"/>
      <c r="ERX109" s="17"/>
      <c r="ERY109" s="17"/>
      <c r="ERZ109" s="17"/>
      <c r="ESA109" s="17"/>
      <c r="ESB109" s="17"/>
      <c r="ESC109" s="17"/>
      <c r="ESD109" s="17"/>
      <c r="ESE109" s="17"/>
      <c r="ESF109" s="17"/>
      <c r="ESG109" s="17"/>
      <c r="ESH109" s="17"/>
      <c r="ESI109" s="17"/>
      <c r="ESJ109" s="17"/>
      <c r="ESK109" s="17"/>
      <c r="ESL109" s="17"/>
      <c r="ESM109" s="17"/>
      <c r="ESN109" s="17"/>
      <c r="ESO109" s="17"/>
      <c r="ESP109" s="17"/>
      <c r="ESQ109" s="17"/>
      <c r="ESR109" s="17"/>
      <c r="ESS109" s="17"/>
      <c r="EST109" s="17"/>
      <c r="ESU109" s="17"/>
      <c r="ESV109" s="17"/>
      <c r="ESW109" s="17"/>
      <c r="ESX109" s="17"/>
      <c r="ESY109" s="17"/>
      <c r="ESZ109" s="17"/>
      <c r="ETA109" s="17"/>
      <c r="ETB109" s="17"/>
      <c r="ETC109" s="17"/>
      <c r="ETD109" s="17"/>
      <c r="ETE109" s="17"/>
      <c r="ETF109" s="17"/>
      <c r="ETG109" s="17"/>
      <c r="ETH109" s="17"/>
      <c r="ETI109" s="17"/>
      <c r="ETJ109" s="17"/>
      <c r="ETK109" s="17"/>
      <c r="ETL109" s="17"/>
      <c r="ETM109" s="17"/>
      <c r="ETN109" s="17"/>
      <c r="ETO109" s="17"/>
      <c r="ETP109" s="17"/>
      <c r="ETQ109" s="17"/>
      <c r="ETR109" s="17"/>
      <c r="ETS109" s="17"/>
      <c r="ETT109" s="17"/>
      <c r="ETU109" s="17"/>
      <c r="ETV109" s="17"/>
      <c r="ETW109" s="17"/>
      <c r="ETX109" s="17"/>
      <c r="ETY109" s="17"/>
      <c r="ETZ109" s="17"/>
      <c r="EUA109" s="17"/>
      <c r="EUB109" s="17"/>
      <c r="EUC109" s="17"/>
      <c r="EUD109" s="17"/>
      <c r="EUE109" s="17"/>
      <c r="EUF109" s="17"/>
      <c r="EUG109" s="17"/>
      <c r="EUH109" s="17"/>
      <c r="EUI109" s="17"/>
      <c r="EUJ109" s="17"/>
      <c r="EUK109" s="17"/>
      <c r="EUL109" s="17"/>
      <c r="EUM109" s="17"/>
      <c r="EUN109" s="17"/>
      <c r="EUO109" s="17"/>
      <c r="EUP109" s="17"/>
      <c r="EUQ109" s="17"/>
      <c r="EUR109" s="17"/>
      <c r="EUS109" s="17"/>
      <c r="EUT109" s="17"/>
      <c r="EUU109" s="17"/>
      <c r="EUV109" s="17"/>
      <c r="EUW109" s="17"/>
      <c r="EUX109" s="17"/>
      <c r="EUY109" s="17"/>
      <c r="EUZ109" s="17"/>
      <c r="EVA109" s="17"/>
      <c r="EVB109" s="17"/>
      <c r="EVC109" s="17"/>
      <c r="EVD109" s="17"/>
      <c r="EVE109" s="17"/>
      <c r="EVF109" s="17"/>
      <c r="EVG109" s="17"/>
      <c r="EVH109" s="17"/>
      <c r="EVI109" s="17"/>
      <c r="EVJ109" s="17"/>
      <c r="EVK109" s="17"/>
      <c r="EVL109" s="17"/>
      <c r="EVM109" s="17"/>
      <c r="EVN109" s="17"/>
      <c r="EVO109" s="17"/>
      <c r="EVP109" s="17"/>
      <c r="EVQ109" s="17"/>
      <c r="EVR109" s="17"/>
      <c r="EVS109" s="17"/>
      <c r="EVT109" s="17"/>
      <c r="EVU109" s="17"/>
      <c r="EVV109" s="17"/>
      <c r="EVW109" s="17"/>
      <c r="EVX109" s="17"/>
      <c r="EVY109" s="17"/>
      <c r="EVZ109" s="17"/>
      <c r="EWA109" s="17"/>
      <c r="EWB109" s="17"/>
      <c r="EWC109" s="17"/>
      <c r="EWD109" s="17"/>
      <c r="EWE109" s="17"/>
      <c r="EWF109" s="17"/>
      <c r="EWG109" s="17"/>
      <c r="EWH109" s="17"/>
      <c r="EWI109" s="17"/>
      <c r="EWJ109" s="17"/>
      <c r="EWK109" s="17"/>
      <c r="EWL109" s="17"/>
      <c r="EWM109" s="17"/>
      <c r="EWN109" s="17"/>
      <c r="EWO109" s="17"/>
      <c r="EWP109" s="17"/>
      <c r="EWQ109" s="17"/>
      <c r="EWR109" s="17"/>
      <c r="EWS109" s="17"/>
      <c r="EWT109" s="17"/>
      <c r="EWU109" s="17"/>
      <c r="EWV109" s="17"/>
      <c r="EWW109" s="17"/>
      <c r="EWX109" s="17"/>
      <c r="EWY109" s="17"/>
      <c r="EWZ109" s="17"/>
      <c r="EXA109" s="17"/>
      <c r="EXB109" s="17"/>
      <c r="EXC109" s="17"/>
      <c r="EXD109" s="17"/>
      <c r="EXE109" s="17"/>
      <c r="EXF109" s="17"/>
      <c r="EXG109" s="17"/>
      <c r="EXH109" s="17"/>
      <c r="EXI109" s="17"/>
      <c r="EXJ109" s="17"/>
      <c r="EXK109" s="17"/>
      <c r="EXL109" s="17"/>
      <c r="EXM109" s="17"/>
      <c r="EXN109" s="17"/>
      <c r="EXO109" s="17"/>
      <c r="EXP109" s="17"/>
      <c r="EXQ109" s="17"/>
      <c r="EXR109" s="17"/>
      <c r="EXS109" s="17"/>
      <c r="EXT109" s="17"/>
      <c r="EXU109" s="17"/>
      <c r="EXV109" s="17"/>
      <c r="EXW109" s="17"/>
      <c r="EXX109" s="17"/>
      <c r="EXY109" s="17"/>
      <c r="EXZ109" s="17"/>
      <c r="EYA109" s="17"/>
      <c r="EYB109" s="17"/>
      <c r="EYC109" s="17"/>
      <c r="EYD109" s="17"/>
      <c r="EYE109" s="17"/>
      <c r="EYF109" s="17"/>
      <c r="EYG109" s="17"/>
      <c r="EYH109" s="17"/>
      <c r="EYI109" s="17"/>
      <c r="EYJ109" s="17"/>
      <c r="EYK109" s="17"/>
      <c r="EYL109" s="17"/>
      <c r="EYM109" s="17"/>
      <c r="EYN109" s="17"/>
      <c r="EYO109" s="17"/>
      <c r="EYP109" s="17"/>
      <c r="EYQ109" s="17"/>
      <c r="EYR109" s="17"/>
      <c r="EYS109" s="17"/>
      <c r="EYT109" s="17"/>
      <c r="EYU109" s="17"/>
      <c r="EYV109" s="17"/>
      <c r="EYW109" s="17"/>
      <c r="EYX109" s="17"/>
      <c r="EYY109" s="17"/>
      <c r="EYZ109" s="17"/>
      <c r="EZA109" s="17"/>
      <c r="EZB109" s="17"/>
      <c r="EZC109" s="17"/>
      <c r="EZD109" s="17"/>
      <c r="EZE109" s="17"/>
      <c r="EZF109" s="17"/>
      <c r="EZG109" s="17"/>
      <c r="EZH109" s="17"/>
      <c r="EZI109" s="17"/>
      <c r="EZJ109" s="17"/>
      <c r="EZK109" s="17"/>
      <c r="EZL109" s="17"/>
      <c r="EZM109" s="17"/>
      <c r="EZN109" s="17"/>
      <c r="EZO109" s="17"/>
      <c r="EZP109" s="17"/>
      <c r="EZQ109" s="17"/>
      <c r="EZR109" s="17"/>
      <c r="EZS109" s="17"/>
      <c r="EZT109" s="17"/>
      <c r="EZU109" s="17"/>
      <c r="EZV109" s="17"/>
      <c r="EZW109" s="17"/>
      <c r="EZX109" s="17"/>
      <c r="EZY109" s="17"/>
      <c r="EZZ109" s="17"/>
      <c r="FAA109" s="17"/>
      <c r="FAB109" s="17"/>
      <c r="FAC109" s="17"/>
      <c r="FAD109" s="17"/>
      <c r="FAE109" s="17"/>
      <c r="FAF109" s="17"/>
      <c r="FAG109" s="17"/>
      <c r="FAH109" s="17"/>
      <c r="FAI109" s="17"/>
      <c r="FAJ109" s="17"/>
      <c r="FAK109" s="17"/>
      <c r="FAL109" s="17"/>
      <c r="FAM109" s="17"/>
      <c r="FAN109" s="17"/>
      <c r="FAO109" s="17"/>
      <c r="FAP109" s="17"/>
      <c r="FAQ109" s="17"/>
      <c r="FAR109" s="17"/>
      <c r="FAS109" s="17"/>
      <c r="FAT109" s="17"/>
      <c r="FAU109" s="17"/>
      <c r="FAV109" s="17"/>
      <c r="FAW109" s="17"/>
      <c r="FAX109" s="17"/>
      <c r="FAY109" s="17"/>
      <c r="FAZ109" s="17"/>
      <c r="FBA109" s="17"/>
      <c r="FBB109" s="17"/>
      <c r="FBC109" s="17"/>
      <c r="FBD109" s="17"/>
      <c r="FBE109" s="17"/>
      <c r="FBF109" s="17"/>
      <c r="FBG109" s="17"/>
      <c r="FBH109" s="17"/>
      <c r="FBI109" s="17"/>
      <c r="FBJ109" s="17"/>
      <c r="FBK109" s="17"/>
      <c r="FBL109" s="17"/>
      <c r="FBM109" s="17"/>
      <c r="FBN109" s="17"/>
      <c r="FBO109" s="17"/>
      <c r="FBP109" s="17"/>
      <c r="FBQ109" s="17"/>
      <c r="FBR109" s="17"/>
      <c r="FBS109" s="17"/>
      <c r="FBT109" s="17"/>
      <c r="FBU109" s="17"/>
      <c r="FBV109" s="17"/>
      <c r="FBW109" s="17"/>
      <c r="FBX109" s="17"/>
      <c r="FBY109" s="17"/>
      <c r="FBZ109" s="17"/>
      <c r="FCA109" s="17"/>
      <c r="FCB109" s="17"/>
      <c r="FCC109" s="17"/>
      <c r="FCD109" s="17"/>
      <c r="FCE109" s="17"/>
      <c r="FCF109" s="17"/>
      <c r="FCG109" s="17"/>
      <c r="FCH109" s="17"/>
      <c r="FCI109" s="17"/>
      <c r="FCJ109" s="17"/>
      <c r="FCK109" s="17"/>
      <c r="FCL109" s="17"/>
      <c r="FCM109" s="17"/>
      <c r="FCN109" s="17"/>
      <c r="FCO109" s="17"/>
      <c r="FCP109" s="17"/>
      <c r="FCQ109" s="17"/>
      <c r="FCR109" s="17"/>
      <c r="FCS109" s="17"/>
      <c r="FCT109" s="17"/>
      <c r="FCU109" s="17"/>
      <c r="FCV109" s="17"/>
      <c r="FCW109" s="17"/>
      <c r="FCX109" s="17"/>
      <c r="FCY109" s="17"/>
      <c r="FCZ109" s="17"/>
      <c r="FDA109" s="17"/>
      <c r="FDB109" s="17"/>
      <c r="FDC109" s="17"/>
      <c r="FDD109" s="17"/>
      <c r="FDE109" s="17"/>
      <c r="FDF109" s="17"/>
      <c r="FDG109" s="17"/>
      <c r="FDH109" s="17"/>
      <c r="FDI109" s="17"/>
      <c r="FDJ109" s="17"/>
      <c r="FDK109" s="17"/>
      <c r="FDL109" s="17"/>
      <c r="FDM109" s="17"/>
      <c r="FDN109" s="17"/>
      <c r="FDO109" s="17"/>
      <c r="FDP109" s="17"/>
      <c r="FDQ109" s="17"/>
      <c r="FDR109" s="17"/>
      <c r="FDS109" s="17"/>
      <c r="FDT109" s="17"/>
      <c r="FDU109" s="17"/>
      <c r="FDV109" s="17"/>
      <c r="FDW109" s="17"/>
      <c r="FDX109" s="17"/>
      <c r="FDY109" s="17"/>
      <c r="FDZ109" s="17"/>
      <c r="FEA109" s="17"/>
      <c r="FEB109" s="17"/>
      <c r="FEC109" s="17"/>
      <c r="FED109" s="17"/>
      <c r="FEE109" s="17"/>
      <c r="FEF109" s="17"/>
      <c r="FEG109" s="17"/>
      <c r="FEH109" s="17"/>
      <c r="FEI109" s="17"/>
      <c r="FEJ109" s="17"/>
      <c r="FEK109" s="17"/>
      <c r="FEL109" s="17"/>
      <c r="FEM109" s="17"/>
      <c r="FEN109" s="17"/>
      <c r="FEO109" s="17"/>
      <c r="FEP109" s="17"/>
      <c r="FEQ109" s="17"/>
      <c r="FER109" s="17"/>
      <c r="FES109" s="17"/>
      <c r="FET109" s="17"/>
      <c r="FEU109" s="17"/>
      <c r="FEV109" s="17"/>
      <c r="FEW109" s="17"/>
      <c r="FEX109" s="17"/>
      <c r="FEY109" s="17"/>
      <c r="FEZ109" s="17"/>
      <c r="FFA109" s="17"/>
      <c r="FFB109" s="17"/>
      <c r="FFC109" s="17"/>
      <c r="FFD109" s="17"/>
      <c r="FFE109" s="17"/>
      <c r="FFF109" s="17"/>
      <c r="FFG109" s="17"/>
      <c r="FFH109" s="17"/>
      <c r="FFI109" s="17"/>
      <c r="FFJ109" s="17"/>
      <c r="FFK109" s="17"/>
      <c r="FFL109" s="17"/>
      <c r="FFM109" s="17"/>
      <c r="FFN109" s="17"/>
      <c r="FFO109" s="17"/>
      <c r="FFP109" s="17"/>
      <c r="FFQ109" s="17"/>
      <c r="FFR109" s="17"/>
      <c r="FFS109" s="17"/>
      <c r="FFT109" s="17"/>
      <c r="FFU109" s="17"/>
      <c r="FFV109" s="17"/>
      <c r="FFW109" s="17"/>
      <c r="FFX109" s="17"/>
      <c r="FFY109" s="17"/>
      <c r="FFZ109" s="17"/>
      <c r="FGA109" s="17"/>
      <c r="FGB109" s="17"/>
      <c r="FGC109" s="17"/>
      <c r="FGD109" s="17"/>
      <c r="FGE109" s="17"/>
      <c r="FGF109" s="17"/>
      <c r="FGG109" s="17"/>
      <c r="FGH109" s="17"/>
      <c r="FGI109" s="17"/>
      <c r="FGJ109" s="17"/>
      <c r="FGK109" s="17"/>
      <c r="FGL109" s="17"/>
      <c r="FGM109" s="17"/>
      <c r="FGN109" s="17"/>
      <c r="FGO109" s="17"/>
      <c r="FGP109" s="17"/>
      <c r="FGQ109" s="17"/>
      <c r="FGR109" s="17"/>
      <c r="FGS109" s="17"/>
      <c r="FGT109" s="17"/>
      <c r="FGU109" s="17"/>
      <c r="FGV109" s="17"/>
      <c r="FGW109" s="17"/>
      <c r="FGX109" s="17"/>
      <c r="FGY109" s="17"/>
      <c r="FGZ109" s="17"/>
      <c r="FHA109" s="17"/>
      <c r="FHB109" s="17"/>
      <c r="FHC109" s="17"/>
      <c r="FHD109" s="17"/>
      <c r="FHE109" s="17"/>
      <c r="FHF109" s="17"/>
      <c r="FHG109" s="17"/>
      <c r="FHH109" s="17"/>
      <c r="FHI109" s="17"/>
      <c r="FHJ109" s="17"/>
      <c r="FHK109" s="17"/>
      <c r="FHL109" s="17"/>
      <c r="FHM109" s="17"/>
      <c r="FHN109" s="17"/>
      <c r="FHO109" s="17"/>
      <c r="FHP109" s="17"/>
      <c r="FHQ109" s="17"/>
      <c r="FHR109" s="17"/>
      <c r="FHS109" s="17"/>
      <c r="FHT109" s="17"/>
      <c r="FHU109" s="17"/>
      <c r="FHV109" s="17"/>
      <c r="FHW109" s="17"/>
      <c r="FHX109" s="17"/>
      <c r="FHY109" s="17"/>
      <c r="FHZ109" s="17"/>
      <c r="FIA109" s="17"/>
      <c r="FIB109" s="17"/>
      <c r="FIC109" s="17"/>
      <c r="FID109" s="17"/>
      <c r="FIE109" s="17"/>
      <c r="FIF109" s="17"/>
      <c r="FIG109" s="17"/>
      <c r="FIH109" s="17"/>
      <c r="FII109" s="17"/>
      <c r="FIJ109" s="17"/>
      <c r="FIK109" s="17"/>
      <c r="FIL109" s="17"/>
      <c r="FIM109" s="17"/>
      <c r="FIN109" s="17"/>
      <c r="FIO109" s="17"/>
      <c r="FIP109" s="17"/>
      <c r="FIQ109" s="17"/>
      <c r="FIR109" s="17"/>
      <c r="FIS109" s="17"/>
      <c r="FIT109" s="17"/>
      <c r="FIU109" s="17"/>
      <c r="FIV109" s="17"/>
      <c r="FIW109" s="17"/>
      <c r="FIX109" s="17"/>
      <c r="FIY109" s="17"/>
      <c r="FIZ109" s="17"/>
      <c r="FJA109" s="17"/>
      <c r="FJB109" s="17"/>
      <c r="FJC109" s="17"/>
      <c r="FJD109" s="17"/>
      <c r="FJE109" s="17"/>
      <c r="FJF109" s="17"/>
      <c r="FJG109" s="17"/>
      <c r="FJH109" s="17"/>
      <c r="FJI109" s="17"/>
      <c r="FJJ109" s="17"/>
      <c r="FJK109" s="17"/>
      <c r="FJL109" s="17"/>
      <c r="FJM109" s="17"/>
      <c r="FJN109" s="17"/>
      <c r="FJO109" s="17"/>
      <c r="FJP109" s="17"/>
      <c r="FJQ109" s="17"/>
      <c r="FJR109" s="17"/>
      <c r="FJS109" s="17"/>
      <c r="FJT109" s="17"/>
      <c r="FJU109" s="17"/>
      <c r="FJV109" s="17"/>
      <c r="FJW109" s="17"/>
      <c r="FJX109" s="17"/>
      <c r="FJY109" s="17"/>
      <c r="FJZ109" s="17"/>
      <c r="FKA109" s="17"/>
      <c r="FKB109" s="17"/>
      <c r="FKC109" s="17"/>
      <c r="FKD109" s="17"/>
      <c r="FKE109" s="17"/>
      <c r="FKF109" s="17"/>
      <c r="FKG109" s="17"/>
      <c r="FKH109" s="17"/>
      <c r="FKI109" s="17"/>
      <c r="FKJ109" s="17"/>
      <c r="FKK109" s="17"/>
      <c r="FKL109" s="17"/>
      <c r="FKM109" s="17"/>
      <c r="FKN109" s="17"/>
      <c r="FKO109" s="17"/>
      <c r="FKP109" s="17"/>
      <c r="FKQ109" s="17"/>
      <c r="FKR109" s="17"/>
      <c r="FKS109" s="17"/>
      <c r="FKT109" s="17"/>
      <c r="FKU109" s="17"/>
      <c r="FKV109" s="17"/>
      <c r="FKW109" s="17"/>
      <c r="FKX109" s="17"/>
      <c r="FKY109" s="17"/>
      <c r="FKZ109" s="17"/>
      <c r="FLA109" s="17"/>
      <c r="FLB109" s="17"/>
      <c r="FLC109" s="17"/>
      <c r="FLD109" s="17"/>
      <c r="FLE109" s="17"/>
      <c r="FLF109" s="17"/>
      <c r="FLG109" s="17"/>
      <c r="FLH109" s="17"/>
      <c r="FLI109" s="17"/>
      <c r="FLJ109" s="17"/>
      <c r="FLK109" s="17"/>
      <c r="FLL109" s="17"/>
      <c r="FLM109" s="17"/>
      <c r="FLN109" s="17"/>
      <c r="FLO109" s="17"/>
      <c r="FLP109" s="17"/>
      <c r="FLQ109" s="17"/>
      <c r="FLR109" s="17"/>
      <c r="FLS109" s="17"/>
      <c r="FLT109" s="17"/>
      <c r="FLU109" s="17"/>
      <c r="FLV109" s="17"/>
      <c r="FLW109" s="17"/>
      <c r="FLX109" s="17"/>
      <c r="FLY109" s="17"/>
      <c r="FLZ109" s="17"/>
      <c r="FMA109" s="17"/>
      <c r="FMB109" s="17"/>
      <c r="FMC109" s="17"/>
      <c r="FMD109" s="17"/>
      <c r="FME109" s="17"/>
      <c r="FMF109" s="17"/>
      <c r="FMG109" s="17"/>
      <c r="FMH109" s="17"/>
      <c r="FMI109" s="17"/>
      <c r="FMJ109" s="17"/>
      <c r="FMK109" s="17"/>
      <c r="FML109" s="17"/>
      <c r="FMM109" s="17"/>
      <c r="FMN109" s="17"/>
      <c r="FMO109" s="17"/>
      <c r="FMP109" s="17"/>
      <c r="FMQ109" s="17"/>
      <c r="FMR109" s="17"/>
      <c r="FMS109" s="17"/>
      <c r="FMT109" s="17"/>
      <c r="FMU109" s="17"/>
      <c r="FMV109" s="17"/>
      <c r="FMW109" s="17"/>
      <c r="FMX109" s="17"/>
      <c r="FMY109" s="17"/>
      <c r="FMZ109" s="17"/>
      <c r="FNA109" s="17"/>
      <c r="FNB109" s="17"/>
      <c r="FNC109" s="17"/>
      <c r="FND109" s="17"/>
      <c r="FNE109" s="17"/>
      <c r="FNF109" s="17"/>
      <c r="FNG109" s="17"/>
      <c r="FNH109" s="17"/>
      <c r="FNI109" s="17"/>
      <c r="FNJ109" s="17"/>
      <c r="FNK109" s="17"/>
      <c r="FNL109" s="17"/>
      <c r="FNM109" s="17"/>
      <c r="FNN109" s="17"/>
      <c r="FNO109" s="17"/>
      <c r="FNP109" s="17"/>
      <c r="FNQ109" s="17"/>
      <c r="FNR109" s="17"/>
      <c r="FNS109" s="17"/>
      <c r="FNT109" s="17"/>
      <c r="FNU109" s="17"/>
      <c r="FNV109" s="17"/>
      <c r="FNW109" s="17"/>
      <c r="FNX109" s="17"/>
      <c r="FNY109" s="17"/>
      <c r="FNZ109" s="17"/>
      <c r="FOA109" s="17"/>
      <c r="FOB109" s="17"/>
      <c r="FOC109" s="17"/>
      <c r="FOD109" s="17"/>
      <c r="FOE109" s="17"/>
      <c r="FOF109" s="17"/>
      <c r="FOG109" s="17"/>
      <c r="FOH109" s="17"/>
      <c r="FOI109" s="17"/>
      <c r="FOJ109" s="17"/>
      <c r="FOK109" s="17"/>
      <c r="FOL109" s="17"/>
      <c r="FOM109" s="17"/>
      <c r="FON109" s="17"/>
      <c r="FOO109" s="17"/>
      <c r="FOP109" s="17"/>
      <c r="FOQ109" s="17"/>
      <c r="FOR109" s="17"/>
      <c r="FOS109" s="17"/>
      <c r="FOT109" s="17"/>
      <c r="FOU109" s="17"/>
      <c r="FOV109" s="17"/>
      <c r="FOW109" s="17"/>
      <c r="FOX109" s="17"/>
      <c r="FOY109" s="17"/>
      <c r="FOZ109" s="17"/>
      <c r="FPA109" s="17"/>
      <c r="FPB109" s="17"/>
      <c r="FPC109" s="17"/>
      <c r="FPD109" s="17"/>
      <c r="FPE109" s="17"/>
      <c r="FPF109" s="17"/>
      <c r="FPG109" s="17"/>
      <c r="FPH109" s="17"/>
      <c r="FPI109" s="17"/>
      <c r="FPJ109" s="17"/>
      <c r="FPK109" s="17"/>
      <c r="FPL109" s="17"/>
      <c r="FPM109" s="17"/>
      <c r="FPN109" s="17"/>
      <c r="FPO109" s="17"/>
      <c r="FPP109" s="17"/>
      <c r="FPQ109" s="17"/>
      <c r="FPR109" s="17"/>
      <c r="FPS109" s="17"/>
      <c r="FPT109" s="17"/>
      <c r="FPU109" s="17"/>
      <c r="FPV109" s="17"/>
      <c r="FPW109" s="17"/>
      <c r="FPX109" s="17"/>
      <c r="FPY109" s="17"/>
      <c r="FPZ109" s="17"/>
      <c r="FQA109" s="17"/>
      <c r="FQB109" s="17"/>
      <c r="FQC109" s="17"/>
      <c r="FQD109" s="17"/>
      <c r="FQE109" s="17"/>
      <c r="FQF109" s="17"/>
      <c r="FQG109" s="17"/>
      <c r="FQH109" s="17"/>
      <c r="FQI109" s="17"/>
      <c r="FQJ109" s="17"/>
      <c r="FQK109" s="17"/>
      <c r="FQL109" s="17"/>
      <c r="FQM109" s="17"/>
      <c r="FQN109" s="17"/>
      <c r="FQO109" s="17"/>
      <c r="FQP109" s="17"/>
      <c r="FQQ109" s="17"/>
      <c r="FQR109" s="17"/>
      <c r="FQS109" s="17"/>
      <c r="FQT109" s="17"/>
      <c r="FQU109" s="17"/>
      <c r="FQV109" s="17"/>
      <c r="FQW109" s="17"/>
      <c r="FQX109" s="17"/>
      <c r="FQY109" s="17"/>
      <c r="FQZ109" s="17"/>
      <c r="FRA109" s="17"/>
      <c r="FRB109" s="17"/>
      <c r="FRC109" s="17"/>
      <c r="FRD109" s="17"/>
      <c r="FRE109" s="17"/>
      <c r="FRF109" s="17"/>
      <c r="FRG109" s="17"/>
      <c r="FRH109" s="17"/>
      <c r="FRI109" s="17"/>
      <c r="FRJ109" s="17"/>
      <c r="FRK109" s="17"/>
      <c r="FRL109" s="17"/>
      <c r="FRM109" s="17"/>
      <c r="FRN109" s="17"/>
      <c r="FRO109" s="17"/>
      <c r="FRP109" s="17"/>
      <c r="FRQ109" s="17"/>
      <c r="FRR109" s="17"/>
      <c r="FRS109" s="17"/>
      <c r="FRT109" s="17"/>
      <c r="FRU109" s="17"/>
      <c r="FRV109" s="17"/>
      <c r="FRW109" s="17"/>
      <c r="FRX109" s="17"/>
      <c r="FRY109" s="17"/>
      <c r="FRZ109" s="17"/>
      <c r="FSA109" s="17"/>
      <c r="FSB109" s="17"/>
      <c r="FSC109" s="17"/>
      <c r="FSD109" s="17"/>
      <c r="FSE109" s="17"/>
      <c r="FSF109" s="17"/>
      <c r="FSG109" s="17"/>
      <c r="FSH109" s="17"/>
      <c r="FSI109" s="17"/>
      <c r="FSJ109" s="17"/>
      <c r="FSK109" s="17"/>
      <c r="FSL109" s="17"/>
      <c r="FSM109" s="17"/>
      <c r="FSN109" s="17"/>
      <c r="FSO109" s="17"/>
      <c r="FSP109" s="17"/>
      <c r="FSQ109" s="17"/>
      <c r="FSR109" s="17"/>
      <c r="FSS109" s="17"/>
      <c r="FST109" s="17"/>
      <c r="FSU109" s="17"/>
      <c r="FSV109" s="17"/>
      <c r="FSW109" s="17"/>
      <c r="FSX109" s="17"/>
      <c r="FSY109" s="17"/>
      <c r="FSZ109" s="17"/>
      <c r="FTA109" s="17"/>
      <c r="FTB109" s="17"/>
      <c r="FTC109" s="17"/>
      <c r="FTD109" s="17"/>
      <c r="FTE109" s="17"/>
      <c r="FTF109" s="17"/>
      <c r="FTG109" s="17"/>
      <c r="FTH109" s="17"/>
      <c r="FTI109" s="17"/>
      <c r="FTJ109" s="17"/>
      <c r="FTK109" s="17"/>
      <c r="FTL109" s="17"/>
      <c r="FTM109" s="17"/>
      <c r="FTN109" s="17"/>
      <c r="FTO109" s="17"/>
      <c r="FTP109" s="17"/>
      <c r="FTQ109" s="17"/>
      <c r="FTR109" s="17"/>
      <c r="FTS109" s="17"/>
      <c r="FTT109" s="17"/>
      <c r="FTU109" s="17"/>
      <c r="FTV109" s="17"/>
      <c r="FTW109" s="17"/>
      <c r="FTX109" s="17"/>
      <c r="FTY109" s="17"/>
      <c r="FTZ109" s="17"/>
      <c r="FUA109" s="17"/>
      <c r="FUB109" s="17"/>
      <c r="FUC109" s="17"/>
      <c r="FUD109" s="17"/>
      <c r="FUE109" s="17"/>
      <c r="FUF109" s="17"/>
      <c r="FUG109" s="17"/>
      <c r="FUH109" s="17"/>
      <c r="FUI109" s="17"/>
      <c r="FUJ109" s="17"/>
      <c r="FUK109" s="17"/>
      <c r="FUL109" s="17"/>
      <c r="FUM109" s="17"/>
      <c r="FUN109" s="17"/>
      <c r="FUO109" s="17"/>
      <c r="FUP109" s="17"/>
      <c r="FUQ109" s="17"/>
      <c r="FUR109" s="17"/>
      <c r="FUS109" s="17"/>
      <c r="FUT109" s="17"/>
      <c r="FUU109" s="17"/>
      <c r="FUV109" s="17"/>
      <c r="FUW109" s="17"/>
      <c r="FUX109" s="17"/>
      <c r="FUY109" s="17"/>
      <c r="FUZ109" s="17"/>
      <c r="FVA109" s="17"/>
      <c r="FVB109" s="17"/>
      <c r="FVC109" s="17"/>
      <c r="FVD109" s="17"/>
      <c r="FVE109" s="17"/>
      <c r="FVF109" s="17"/>
      <c r="FVG109" s="17"/>
      <c r="FVH109" s="17"/>
      <c r="FVI109" s="17"/>
      <c r="FVJ109" s="17"/>
      <c r="FVK109" s="17"/>
      <c r="FVL109" s="17"/>
      <c r="FVM109" s="17"/>
      <c r="FVN109" s="17"/>
      <c r="FVO109" s="17"/>
      <c r="FVP109" s="17"/>
      <c r="FVQ109" s="17"/>
      <c r="FVR109" s="17"/>
      <c r="FVS109" s="17"/>
      <c r="FVT109" s="17"/>
      <c r="FVU109" s="17"/>
      <c r="FVV109" s="17"/>
      <c r="FVW109" s="17"/>
      <c r="FVX109" s="17"/>
      <c r="FVY109" s="17"/>
      <c r="FVZ109" s="17"/>
      <c r="FWA109" s="17"/>
      <c r="FWB109" s="17"/>
      <c r="FWC109" s="17"/>
      <c r="FWD109" s="17"/>
      <c r="FWE109" s="17"/>
      <c r="FWF109" s="17"/>
      <c r="FWG109" s="17"/>
      <c r="FWH109" s="17"/>
      <c r="FWI109" s="17"/>
      <c r="FWJ109" s="17"/>
      <c r="FWK109" s="17"/>
      <c r="FWL109" s="17"/>
      <c r="FWM109" s="17"/>
      <c r="FWN109" s="17"/>
      <c r="FWO109" s="17"/>
      <c r="FWP109" s="17"/>
      <c r="FWQ109" s="17"/>
      <c r="FWR109" s="17"/>
      <c r="FWS109" s="17"/>
      <c r="FWT109" s="17"/>
      <c r="FWU109" s="17"/>
      <c r="FWV109" s="17"/>
      <c r="FWW109" s="17"/>
      <c r="FWX109" s="17"/>
      <c r="FWY109" s="17"/>
      <c r="FWZ109" s="17"/>
      <c r="FXA109" s="17"/>
      <c r="FXB109" s="17"/>
      <c r="FXC109" s="17"/>
      <c r="FXD109" s="17"/>
      <c r="FXE109" s="17"/>
      <c r="FXF109" s="17"/>
      <c r="FXG109" s="17"/>
      <c r="FXH109" s="17"/>
      <c r="FXI109" s="17"/>
      <c r="FXJ109" s="17"/>
      <c r="FXK109" s="17"/>
      <c r="FXL109" s="17"/>
      <c r="FXM109" s="17"/>
      <c r="FXN109" s="17"/>
      <c r="FXO109" s="17"/>
      <c r="FXP109" s="17"/>
      <c r="FXQ109" s="17"/>
      <c r="FXR109" s="17"/>
      <c r="FXS109" s="17"/>
      <c r="FXT109" s="17"/>
      <c r="FXU109" s="17"/>
      <c r="FXV109" s="17"/>
      <c r="FXW109" s="17"/>
      <c r="FXX109" s="17"/>
      <c r="FXY109" s="17"/>
      <c r="FXZ109" s="17"/>
      <c r="FYA109" s="17"/>
      <c r="FYB109" s="17"/>
      <c r="FYC109" s="17"/>
      <c r="FYD109" s="17"/>
      <c r="FYE109" s="17"/>
      <c r="FYF109" s="17"/>
      <c r="FYG109" s="17"/>
      <c r="FYH109" s="17"/>
      <c r="FYI109" s="17"/>
      <c r="FYJ109" s="17"/>
      <c r="FYK109" s="17"/>
      <c r="FYL109" s="17"/>
      <c r="FYM109" s="17"/>
      <c r="FYN109" s="17"/>
      <c r="FYO109" s="17"/>
      <c r="FYP109" s="17"/>
      <c r="FYQ109" s="17"/>
      <c r="FYR109" s="17"/>
      <c r="FYS109" s="17"/>
      <c r="FYT109" s="17"/>
      <c r="FYU109" s="17"/>
      <c r="FYV109" s="17"/>
      <c r="FYW109" s="17"/>
      <c r="FYX109" s="17"/>
      <c r="FYY109" s="17"/>
      <c r="FYZ109" s="17"/>
      <c r="FZA109" s="17"/>
      <c r="FZB109" s="17"/>
      <c r="FZC109" s="17"/>
      <c r="FZD109" s="17"/>
      <c r="FZE109" s="17"/>
      <c r="FZF109" s="17"/>
      <c r="FZG109" s="17"/>
      <c r="FZH109" s="17"/>
      <c r="FZI109" s="17"/>
      <c r="FZJ109" s="17"/>
      <c r="FZK109" s="17"/>
      <c r="FZL109" s="17"/>
      <c r="FZM109" s="17"/>
      <c r="FZN109" s="17"/>
      <c r="FZO109" s="17"/>
      <c r="FZP109" s="17"/>
      <c r="FZQ109" s="17"/>
      <c r="FZR109" s="17"/>
      <c r="FZS109" s="17"/>
      <c r="FZT109" s="17"/>
      <c r="FZU109" s="17"/>
      <c r="FZV109" s="17"/>
      <c r="FZW109" s="17"/>
      <c r="FZX109" s="17"/>
      <c r="FZY109" s="17"/>
      <c r="FZZ109" s="17"/>
      <c r="GAA109" s="17"/>
      <c r="GAB109" s="17"/>
      <c r="GAC109" s="17"/>
      <c r="GAD109" s="17"/>
      <c r="GAE109" s="17"/>
      <c r="GAF109" s="17"/>
      <c r="GAG109" s="17"/>
      <c r="GAH109" s="17"/>
      <c r="GAI109" s="17"/>
      <c r="GAJ109" s="17"/>
      <c r="GAK109" s="17"/>
      <c r="GAL109" s="17"/>
      <c r="GAM109" s="17"/>
      <c r="GAN109" s="17"/>
      <c r="GAO109" s="17"/>
      <c r="GAP109" s="17"/>
      <c r="GAQ109" s="17"/>
      <c r="GAR109" s="17"/>
      <c r="GAS109" s="17"/>
      <c r="GAT109" s="17"/>
      <c r="GAU109" s="17"/>
      <c r="GAV109" s="17"/>
      <c r="GAW109" s="17"/>
      <c r="GAX109" s="17"/>
      <c r="GAY109" s="17"/>
      <c r="GAZ109" s="17"/>
      <c r="GBA109" s="17"/>
      <c r="GBB109" s="17"/>
      <c r="GBC109" s="17"/>
      <c r="GBD109" s="17"/>
      <c r="GBE109" s="17"/>
      <c r="GBF109" s="17"/>
      <c r="GBG109" s="17"/>
      <c r="GBH109" s="17"/>
      <c r="GBI109" s="17"/>
      <c r="GBJ109" s="17"/>
      <c r="GBK109" s="17"/>
      <c r="GBL109" s="17"/>
      <c r="GBM109" s="17"/>
      <c r="GBN109" s="17"/>
      <c r="GBO109" s="17"/>
      <c r="GBP109" s="17"/>
      <c r="GBQ109" s="17"/>
      <c r="GBR109" s="17"/>
      <c r="GBS109" s="17"/>
      <c r="GBT109" s="17"/>
      <c r="GBU109" s="17"/>
      <c r="GBV109" s="17"/>
      <c r="GBW109" s="17"/>
      <c r="GBX109" s="17"/>
      <c r="GBY109" s="17"/>
      <c r="GBZ109" s="17"/>
      <c r="GCA109" s="17"/>
      <c r="GCB109" s="17"/>
      <c r="GCC109" s="17"/>
      <c r="GCD109" s="17"/>
      <c r="GCE109" s="17"/>
      <c r="GCF109" s="17"/>
      <c r="GCG109" s="17"/>
      <c r="GCH109" s="17"/>
      <c r="GCI109" s="17"/>
      <c r="GCJ109" s="17"/>
      <c r="GCK109" s="17"/>
      <c r="GCL109" s="17"/>
      <c r="GCM109" s="17"/>
      <c r="GCN109" s="17"/>
      <c r="GCO109" s="17"/>
      <c r="GCP109" s="17"/>
      <c r="GCQ109" s="17"/>
      <c r="GCR109" s="17"/>
      <c r="GCS109" s="17"/>
      <c r="GCT109" s="17"/>
      <c r="GCU109" s="17"/>
      <c r="GCV109" s="17"/>
      <c r="GCW109" s="17"/>
      <c r="GCX109" s="17"/>
      <c r="GCY109" s="17"/>
      <c r="GCZ109" s="17"/>
      <c r="GDA109" s="17"/>
      <c r="GDB109" s="17"/>
      <c r="GDC109" s="17"/>
      <c r="GDD109" s="17"/>
      <c r="GDE109" s="17"/>
      <c r="GDF109" s="17"/>
      <c r="GDG109" s="17"/>
      <c r="GDH109" s="17"/>
      <c r="GDI109" s="17"/>
      <c r="GDJ109" s="17"/>
      <c r="GDK109" s="17"/>
      <c r="GDL109" s="17"/>
      <c r="GDM109" s="17"/>
      <c r="GDN109" s="17"/>
      <c r="GDO109" s="17"/>
      <c r="GDP109" s="17"/>
      <c r="GDQ109" s="17"/>
      <c r="GDR109" s="17"/>
      <c r="GDS109" s="17"/>
      <c r="GDT109" s="17"/>
      <c r="GDU109" s="17"/>
      <c r="GDV109" s="17"/>
      <c r="GDW109" s="17"/>
      <c r="GDX109" s="17"/>
      <c r="GDY109" s="17"/>
      <c r="GDZ109" s="17"/>
      <c r="GEA109" s="17"/>
      <c r="GEB109" s="17"/>
      <c r="GEC109" s="17"/>
      <c r="GED109" s="17"/>
      <c r="GEE109" s="17"/>
      <c r="GEF109" s="17"/>
      <c r="GEG109" s="17"/>
      <c r="GEH109" s="17"/>
      <c r="GEI109" s="17"/>
      <c r="GEJ109" s="17"/>
      <c r="GEK109" s="17"/>
      <c r="GEL109" s="17"/>
      <c r="GEM109" s="17"/>
      <c r="GEN109" s="17"/>
      <c r="GEO109" s="17"/>
      <c r="GEP109" s="17"/>
      <c r="GEQ109" s="17"/>
      <c r="GER109" s="17"/>
      <c r="GES109" s="17"/>
      <c r="GET109" s="17"/>
      <c r="GEU109" s="17"/>
      <c r="GEV109" s="17"/>
      <c r="GEW109" s="17"/>
      <c r="GEX109" s="17"/>
      <c r="GEY109" s="17"/>
      <c r="GEZ109" s="17"/>
      <c r="GFA109" s="17"/>
      <c r="GFB109" s="17"/>
      <c r="GFC109" s="17"/>
      <c r="GFD109" s="17"/>
      <c r="GFE109" s="17"/>
      <c r="GFF109" s="17"/>
      <c r="GFG109" s="17"/>
      <c r="GFH109" s="17"/>
      <c r="GFI109" s="17"/>
      <c r="GFJ109" s="17"/>
      <c r="GFK109" s="17"/>
      <c r="GFL109" s="17"/>
      <c r="GFM109" s="17"/>
      <c r="GFN109" s="17"/>
      <c r="GFO109" s="17"/>
      <c r="GFP109" s="17"/>
      <c r="GFQ109" s="17"/>
      <c r="GFR109" s="17"/>
      <c r="GFS109" s="17"/>
      <c r="GFT109" s="17"/>
      <c r="GFU109" s="17"/>
      <c r="GFV109" s="17"/>
      <c r="GFW109" s="17"/>
      <c r="GFX109" s="17"/>
      <c r="GFY109" s="17"/>
      <c r="GFZ109" s="17"/>
      <c r="GGA109" s="17"/>
      <c r="GGB109" s="17"/>
      <c r="GGC109" s="17"/>
      <c r="GGD109" s="17"/>
      <c r="GGE109" s="17"/>
      <c r="GGF109" s="17"/>
      <c r="GGG109" s="17"/>
      <c r="GGH109" s="17"/>
      <c r="GGI109" s="17"/>
      <c r="GGJ109" s="17"/>
      <c r="GGK109" s="17"/>
      <c r="GGL109" s="17"/>
      <c r="GGM109" s="17"/>
      <c r="GGN109" s="17"/>
      <c r="GGO109" s="17"/>
      <c r="GGP109" s="17"/>
      <c r="GGQ109" s="17"/>
      <c r="GGR109" s="17"/>
      <c r="GGS109" s="17"/>
      <c r="GGT109" s="17"/>
      <c r="GGU109" s="17"/>
      <c r="GGV109" s="17"/>
      <c r="GGW109" s="17"/>
      <c r="GGX109" s="17"/>
      <c r="GGY109" s="17"/>
      <c r="GGZ109" s="17"/>
      <c r="GHA109" s="17"/>
      <c r="GHB109" s="17"/>
      <c r="GHC109" s="17"/>
      <c r="GHD109" s="17"/>
      <c r="GHE109" s="17"/>
      <c r="GHF109" s="17"/>
      <c r="GHG109" s="17"/>
      <c r="GHH109" s="17"/>
      <c r="GHI109" s="17"/>
      <c r="GHJ109" s="17"/>
      <c r="GHK109" s="17"/>
      <c r="GHL109" s="17"/>
      <c r="GHM109" s="17"/>
      <c r="GHN109" s="17"/>
      <c r="GHO109" s="17"/>
      <c r="GHP109" s="17"/>
      <c r="GHQ109" s="17"/>
      <c r="GHR109" s="17"/>
      <c r="GHS109" s="17"/>
      <c r="GHT109" s="17"/>
      <c r="GHU109" s="17"/>
      <c r="GHV109" s="17"/>
      <c r="GHW109" s="17"/>
      <c r="GHX109" s="17"/>
      <c r="GHY109" s="17"/>
      <c r="GHZ109" s="17"/>
      <c r="GIA109" s="17"/>
      <c r="GIB109" s="17"/>
      <c r="GIC109" s="17"/>
      <c r="GID109" s="17"/>
      <c r="GIE109" s="17"/>
      <c r="GIF109" s="17"/>
      <c r="GIG109" s="17"/>
      <c r="GIH109" s="17"/>
      <c r="GII109" s="17"/>
      <c r="GIJ109" s="17"/>
      <c r="GIK109" s="17"/>
      <c r="GIL109" s="17"/>
      <c r="GIM109" s="17"/>
      <c r="GIN109" s="17"/>
      <c r="GIO109" s="17"/>
      <c r="GIP109" s="17"/>
      <c r="GIQ109" s="17"/>
      <c r="GIR109" s="17"/>
      <c r="GIS109" s="17"/>
      <c r="GIT109" s="17"/>
      <c r="GIU109" s="17"/>
      <c r="GIV109" s="17"/>
      <c r="GIW109" s="17"/>
      <c r="GIX109" s="17"/>
      <c r="GIY109" s="17"/>
      <c r="GIZ109" s="17"/>
      <c r="GJA109" s="17"/>
      <c r="GJB109" s="17"/>
      <c r="GJC109" s="17"/>
      <c r="GJD109" s="17"/>
      <c r="GJE109" s="17"/>
      <c r="GJF109" s="17"/>
      <c r="GJG109" s="17"/>
      <c r="GJH109" s="17"/>
      <c r="GJI109" s="17"/>
      <c r="GJJ109" s="17"/>
      <c r="GJK109" s="17"/>
      <c r="GJL109" s="17"/>
      <c r="GJM109" s="17"/>
      <c r="GJN109" s="17"/>
      <c r="GJO109" s="17"/>
      <c r="GJP109" s="17"/>
      <c r="GJQ109" s="17"/>
      <c r="GJR109" s="17"/>
      <c r="GJS109" s="17"/>
      <c r="GJT109" s="17"/>
      <c r="GJU109" s="17"/>
      <c r="GJV109" s="17"/>
      <c r="GJW109" s="17"/>
      <c r="GJX109" s="17"/>
      <c r="GJY109" s="17"/>
      <c r="GJZ109" s="17"/>
      <c r="GKA109" s="17"/>
      <c r="GKB109" s="17"/>
      <c r="GKC109" s="17"/>
      <c r="GKD109" s="17"/>
      <c r="GKE109" s="17"/>
      <c r="GKF109" s="17"/>
      <c r="GKG109" s="17"/>
      <c r="GKH109" s="17"/>
      <c r="GKI109" s="17"/>
      <c r="GKJ109" s="17"/>
      <c r="GKK109" s="17"/>
      <c r="GKL109" s="17"/>
      <c r="GKM109" s="17"/>
      <c r="GKN109" s="17"/>
      <c r="GKO109" s="17"/>
      <c r="GKP109" s="17"/>
      <c r="GKQ109" s="17"/>
      <c r="GKR109" s="17"/>
      <c r="GKS109" s="17"/>
      <c r="GKT109" s="17"/>
      <c r="GKU109" s="17"/>
      <c r="GKV109" s="17"/>
      <c r="GKW109" s="17"/>
      <c r="GKX109" s="17"/>
      <c r="GKY109" s="17"/>
      <c r="GKZ109" s="17"/>
      <c r="GLA109" s="17"/>
      <c r="GLB109" s="17"/>
      <c r="GLC109" s="17"/>
      <c r="GLD109" s="17"/>
      <c r="GLE109" s="17"/>
      <c r="GLF109" s="17"/>
      <c r="GLG109" s="17"/>
      <c r="GLH109" s="17"/>
      <c r="GLI109" s="17"/>
      <c r="GLJ109" s="17"/>
      <c r="GLK109" s="17"/>
      <c r="GLL109" s="17"/>
      <c r="GLM109" s="17"/>
      <c r="GLN109" s="17"/>
      <c r="GLO109" s="17"/>
      <c r="GLP109" s="17"/>
      <c r="GLQ109" s="17"/>
      <c r="GLR109" s="17"/>
      <c r="GLS109" s="17"/>
      <c r="GLT109" s="17"/>
      <c r="GLU109" s="17"/>
      <c r="GLV109" s="17"/>
      <c r="GLW109" s="17"/>
      <c r="GLX109" s="17"/>
      <c r="GLY109" s="17"/>
      <c r="GLZ109" s="17"/>
      <c r="GMA109" s="17"/>
      <c r="GMB109" s="17"/>
      <c r="GMC109" s="17"/>
      <c r="GMD109" s="17"/>
      <c r="GME109" s="17"/>
      <c r="GMF109" s="17"/>
      <c r="GMG109" s="17"/>
      <c r="GMH109" s="17"/>
      <c r="GMI109" s="17"/>
      <c r="GMJ109" s="17"/>
      <c r="GMK109" s="17"/>
      <c r="GML109" s="17"/>
      <c r="GMM109" s="17"/>
      <c r="GMN109" s="17"/>
      <c r="GMO109" s="17"/>
      <c r="GMP109" s="17"/>
      <c r="GMQ109" s="17"/>
      <c r="GMR109" s="17"/>
      <c r="GMS109" s="17"/>
      <c r="GMT109" s="17"/>
      <c r="GMU109" s="17"/>
      <c r="GMV109" s="17"/>
      <c r="GMW109" s="17"/>
      <c r="GMX109" s="17"/>
      <c r="GMY109" s="17"/>
      <c r="GMZ109" s="17"/>
      <c r="GNA109" s="17"/>
      <c r="GNB109" s="17"/>
      <c r="GNC109" s="17"/>
      <c r="GND109" s="17"/>
      <c r="GNE109" s="17"/>
      <c r="GNF109" s="17"/>
      <c r="GNG109" s="17"/>
      <c r="GNH109" s="17"/>
      <c r="GNI109" s="17"/>
      <c r="GNJ109" s="17"/>
      <c r="GNK109" s="17"/>
      <c r="GNL109" s="17"/>
      <c r="GNM109" s="17"/>
      <c r="GNN109" s="17"/>
      <c r="GNO109" s="17"/>
      <c r="GNP109" s="17"/>
      <c r="GNQ109" s="17"/>
      <c r="GNR109" s="17"/>
      <c r="GNS109" s="17"/>
      <c r="GNT109" s="17"/>
      <c r="GNU109" s="17"/>
      <c r="GNV109" s="17"/>
      <c r="GNW109" s="17"/>
      <c r="GNX109" s="17"/>
      <c r="GNY109" s="17"/>
      <c r="GNZ109" s="17"/>
      <c r="GOA109" s="17"/>
      <c r="GOB109" s="17"/>
      <c r="GOC109" s="17"/>
      <c r="GOD109" s="17"/>
      <c r="GOE109" s="17"/>
      <c r="GOF109" s="17"/>
      <c r="GOG109" s="17"/>
      <c r="GOH109" s="17"/>
      <c r="GOI109" s="17"/>
      <c r="GOJ109" s="17"/>
      <c r="GOK109" s="17"/>
      <c r="GOL109" s="17"/>
      <c r="GOM109" s="17"/>
      <c r="GON109" s="17"/>
      <c r="GOO109" s="17"/>
      <c r="GOP109" s="17"/>
      <c r="GOQ109" s="17"/>
      <c r="GOR109" s="17"/>
      <c r="GOS109" s="17"/>
      <c r="GOT109" s="17"/>
      <c r="GOU109" s="17"/>
      <c r="GOV109" s="17"/>
      <c r="GOW109" s="17"/>
      <c r="GOX109" s="17"/>
      <c r="GOY109" s="17"/>
      <c r="GOZ109" s="17"/>
      <c r="GPA109" s="17"/>
      <c r="GPB109" s="17"/>
      <c r="GPC109" s="17"/>
      <c r="GPD109" s="17"/>
      <c r="GPE109" s="17"/>
      <c r="GPF109" s="17"/>
      <c r="GPG109" s="17"/>
      <c r="GPH109" s="17"/>
      <c r="GPI109" s="17"/>
      <c r="GPJ109" s="17"/>
      <c r="GPK109" s="17"/>
      <c r="GPL109" s="17"/>
      <c r="GPM109" s="17"/>
      <c r="GPN109" s="17"/>
      <c r="GPO109" s="17"/>
      <c r="GPP109" s="17"/>
      <c r="GPQ109" s="17"/>
      <c r="GPR109" s="17"/>
      <c r="GPS109" s="17"/>
      <c r="GPT109" s="17"/>
      <c r="GPU109" s="17"/>
      <c r="GPV109" s="17"/>
      <c r="GPW109" s="17"/>
      <c r="GPX109" s="17"/>
      <c r="GPY109" s="17"/>
      <c r="GPZ109" s="17"/>
      <c r="GQA109" s="17"/>
      <c r="GQB109" s="17"/>
      <c r="GQC109" s="17"/>
      <c r="GQD109" s="17"/>
      <c r="GQE109" s="17"/>
      <c r="GQF109" s="17"/>
      <c r="GQG109" s="17"/>
      <c r="GQH109" s="17"/>
      <c r="GQI109" s="17"/>
      <c r="GQJ109" s="17"/>
      <c r="GQK109" s="17"/>
      <c r="GQL109" s="17"/>
      <c r="GQM109" s="17"/>
      <c r="GQN109" s="17"/>
      <c r="GQO109" s="17"/>
      <c r="GQP109" s="17"/>
      <c r="GQQ109" s="17"/>
      <c r="GQR109" s="17"/>
      <c r="GQS109" s="17"/>
      <c r="GQT109" s="17"/>
      <c r="GQU109" s="17"/>
      <c r="GQV109" s="17"/>
      <c r="GQW109" s="17"/>
      <c r="GQX109" s="17"/>
      <c r="GQY109" s="17"/>
      <c r="GQZ109" s="17"/>
      <c r="GRA109" s="17"/>
      <c r="GRB109" s="17"/>
      <c r="GRC109" s="17"/>
      <c r="GRD109" s="17"/>
      <c r="GRE109" s="17"/>
      <c r="GRF109" s="17"/>
      <c r="GRG109" s="17"/>
      <c r="GRH109" s="17"/>
      <c r="GRI109" s="17"/>
      <c r="GRJ109" s="17"/>
      <c r="GRK109" s="17"/>
      <c r="GRL109" s="17"/>
      <c r="GRM109" s="17"/>
      <c r="GRN109" s="17"/>
      <c r="GRO109" s="17"/>
      <c r="GRP109" s="17"/>
      <c r="GRQ109" s="17"/>
      <c r="GRR109" s="17"/>
      <c r="GRS109" s="17"/>
      <c r="GRT109" s="17"/>
      <c r="GRU109" s="17"/>
      <c r="GRV109" s="17"/>
      <c r="GRW109" s="17"/>
      <c r="GRX109" s="17"/>
      <c r="GRY109" s="17"/>
      <c r="GRZ109" s="17"/>
      <c r="GSA109" s="17"/>
      <c r="GSB109" s="17"/>
      <c r="GSC109" s="17"/>
      <c r="GSD109" s="17"/>
      <c r="GSE109" s="17"/>
      <c r="GSF109" s="17"/>
      <c r="GSG109" s="17"/>
      <c r="GSH109" s="17"/>
      <c r="GSI109" s="17"/>
      <c r="GSJ109" s="17"/>
      <c r="GSK109" s="17"/>
      <c r="GSL109" s="17"/>
      <c r="GSM109" s="17"/>
      <c r="GSN109" s="17"/>
      <c r="GSO109" s="17"/>
      <c r="GSP109" s="17"/>
      <c r="GSQ109" s="17"/>
      <c r="GSR109" s="17"/>
      <c r="GSS109" s="17"/>
      <c r="GST109" s="17"/>
      <c r="GSU109" s="17"/>
      <c r="GSV109" s="17"/>
      <c r="GSW109" s="17"/>
      <c r="GSX109" s="17"/>
      <c r="GSY109" s="17"/>
      <c r="GSZ109" s="17"/>
      <c r="GTA109" s="17"/>
      <c r="GTB109" s="17"/>
      <c r="GTC109" s="17"/>
      <c r="GTD109" s="17"/>
      <c r="GTE109" s="17"/>
      <c r="GTF109" s="17"/>
      <c r="GTG109" s="17"/>
      <c r="GTH109" s="17"/>
      <c r="GTI109" s="17"/>
      <c r="GTJ109" s="17"/>
      <c r="GTK109" s="17"/>
      <c r="GTL109" s="17"/>
      <c r="GTM109" s="17"/>
      <c r="GTN109" s="17"/>
      <c r="GTO109" s="17"/>
      <c r="GTP109" s="17"/>
      <c r="GTQ109" s="17"/>
      <c r="GTR109" s="17"/>
      <c r="GTS109" s="17"/>
      <c r="GTT109" s="17"/>
      <c r="GTU109" s="17"/>
      <c r="GTV109" s="17"/>
      <c r="GTW109" s="17"/>
      <c r="GTX109" s="17"/>
      <c r="GTY109" s="17"/>
      <c r="GTZ109" s="17"/>
      <c r="GUA109" s="17"/>
      <c r="GUB109" s="17"/>
      <c r="GUC109" s="17"/>
      <c r="GUD109" s="17"/>
      <c r="GUE109" s="17"/>
      <c r="GUF109" s="17"/>
      <c r="GUG109" s="17"/>
      <c r="GUH109" s="17"/>
      <c r="GUI109" s="17"/>
      <c r="GUJ109" s="17"/>
      <c r="GUK109" s="17"/>
      <c r="GUL109" s="17"/>
      <c r="GUM109" s="17"/>
      <c r="GUN109" s="17"/>
      <c r="GUO109" s="17"/>
      <c r="GUP109" s="17"/>
      <c r="GUQ109" s="17"/>
      <c r="GUR109" s="17"/>
      <c r="GUS109" s="17"/>
      <c r="GUT109" s="17"/>
      <c r="GUU109" s="17"/>
      <c r="GUV109" s="17"/>
      <c r="GUW109" s="17"/>
      <c r="GUX109" s="17"/>
      <c r="GUY109" s="17"/>
      <c r="GUZ109" s="17"/>
      <c r="GVA109" s="17"/>
      <c r="GVB109" s="17"/>
      <c r="GVC109" s="17"/>
      <c r="GVD109" s="17"/>
      <c r="GVE109" s="17"/>
      <c r="GVF109" s="17"/>
      <c r="GVG109" s="17"/>
      <c r="GVH109" s="17"/>
      <c r="GVI109" s="17"/>
      <c r="GVJ109" s="17"/>
      <c r="GVK109" s="17"/>
      <c r="GVL109" s="17"/>
      <c r="GVM109" s="17"/>
      <c r="GVN109" s="17"/>
      <c r="GVO109" s="17"/>
      <c r="GVP109" s="17"/>
      <c r="GVQ109" s="17"/>
      <c r="GVR109" s="17"/>
      <c r="GVS109" s="17"/>
      <c r="GVT109" s="17"/>
      <c r="GVU109" s="17"/>
      <c r="GVV109" s="17"/>
      <c r="GVW109" s="17"/>
      <c r="GVX109" s="17"/>
      <c r="GVY109" s="17"/>
      <c r="GVZ109" s="17"/>
      <c r="GWA109" s="17"/>
      <c r="GWB109" s="17"/>
      <c r="GWC109" s="17"/>
      <c r="GWD109" s="17"/>
      <c r="GWE109" s="17"/>
      <c r="GWF109" s="17"/>
      <c r="GWG109" s="17"/>
      <c r="GWH109" s="17"/>
      <c r="GWI109" s="17"/>
      <c r="GWJ109" s="17"/>
      <c r="GWK109" s="17"/>
      <c r="GWL109" s="17"/>
      <c r="GWM109" s="17"/>
      <c r="GWN109" s="17"/>
      <c r="GWO109" s="17"/>
      <c r="GWP109" s="17"/>
      <c r="GWQ109" s="17"/>
      <c r="GWR109" s="17"/>
      <c r="GWS109" s="17"/>
      <c r="GWT109" s="17"/>
      <c r="GWU109" s="17"/>
      <c r="GWV109" s="17"/>
      <c r="GWW109" s="17"/>
      <c r="GWX109" s="17"/>
      <c r="GWY109" s="17"/>
      <c r="GWZ109" s="17"/>
      <c r="GXA109" s="17"/>
      <c r="GXB109" s="17"/>
      <c r="GXC109" s="17"/>
      <c r="GXD109" s="17"/>
      <c r="GXE109" s="17"/>
      <c r="GXF109" s="17"/>
      <c r="GXG109" s="17"/>
      <c r="GXH109" s="17"/>
      <c r="GXI109" s="17"/>
      <c r="GXJ109" s="17"/>
      <c r="GXK109" s="17"/>
      <c r="GXL109" s="17"/>
      <c r="GXM109" s="17"/>
      <c r="GXN109" s="17"/>
      <c r="GXO109" s="17"/>
      <c r="GXP109" s="17"/>
      <c r="GXQ109" s="17"/>
      <c r="GXR109" s="17"/>
      <c r="GXS109" s="17"/>
      <c r="GXT109" s="17"/>
      <c r="GXU109" s="17"/>
      <c r="GXV109" s="17"/>
      <c r="GXW109" s="17"/>
      <c r="GXX109" s="17"/>
      <c r="GXY109" s="17"/>
      <c r="GXZ109" s="17"/>
      <c r="GYA109" s="17"/>
      <c r="GYB109" s="17"/>
      <c r="GYC109" s="17"/>
      <c r="GYD109" s="17"/>
      <c r="GYE109" s="17"/>
      <c r="GYF109" s="17"/>
      <c r="GYG109" s="17"/>
      <c r="GYH109" s="17"/>
      <c r="GYI109" s="17"/>
      <c r="GYJ109" s="17"/>
      <c r="GYK109" s="17"/>
      <c r="GYL109" s="17"/>
      <c r="GYM109" s="17"/>
      <c r="GYN109" s="17"/>
      <c r="GYO109" s="17"/>
      <c r="GYP109" s="17"/>
      <c r="GYQ109" s="17"/>
      <c r="GYR109" s="17"/>
      <c r="GYS109" s="17"/>
      <c r="GYT109" s="17"/>
      <c r="GYU109" s="17"/>
      <c r="GYV109" s="17"/>
      <c r="GYW109" s="17"/>
      <c r="GYX109" s="17"/>
      <c r="GYY109" s="17"/>
      <c r="GYZ109" s="17"/>
      <c r="GZA109" s="17"/>
      <c r="GZB109" s="17"/>
      <c r="GZC109" s="17"/>
      <c r="GZD109" s="17"/>
      <c r="GZE109" s="17"/>
      <c r="GZF109" s="17"/>
      <c r="GZG109" s="17"/>
      <c r="GZH109" s="17"/>
      <c r="GZI109" s="17"/>
      <c r="GZJ109" s="17"/>
      <c r="GZK109" s="17"/>
      <c r="GZL109" s="17"/>
      <c r="GZM109" s="17"/>
      <c r="GZN109" s="17"/>
      <c r="GZO109" s="17"/>
      <c r="GZP109" s="17"/>
      <c r="GZQ109" s="17"/>
      <c r="GZR109" s="17"/>
      <c r="GZS109" s="17"/>
      <c r="GZT109" s="17"/>
      <c r="GZU109" s="17"/>
      <c r="GZV109" s="17"/>
      <c r="GZW109" s="17"/>
      <c r="GZX109" s="17"/>
      <c r="GZY109" s="17"/>
      <c r="GZZ109" s="17"/>
      <c r="HAA109" s="17"/>
      <c r="HAB109" s="17"/>
      <c r="HAC109" s="17"/>
      <c r="HAD109" s="17"/>
      <c r="HAE109" s="17"/>
      <c r="HAF109" s="17"/>
      <c r="HAG109" s="17"/>
      <c r="HAH109" s="17"/>
      <c r="HAI109" s="17"/>
      <c r="HAJ109" s="17"/>
      <c r="HAK109" s="17"/>
      <c r="HAL109" s="17"/>
      <c r="HAM109" s="17"/>
      <c r="HAN109" s="17"/>
      <c r="HAO109" s="17"/>
      <c r="HAP109" s="17"/>
      <c r="HAQ109" s="17"/>
      <c r="HAR109" s="17"/>
      <c r="HAS109" s="17"/>
      <c r="HAT109" s="17"/>
      <c r="HAU109" s="17"/>
      <c r="HAV109" s="17"/>
      <c r="HAW109" s="17"/>
      <c r="HAX109" s="17"/>
      <c r="HAY109" s="17"/>
      <c r="HAZ109" s="17"/>
      <c r="HBA109" s="17"/>
      <c r="HBB109" s="17"/>
      <c r="HBC109" s="17"/>
      <c r="HBD109" s="17"/>
      <c r="HBE109" s="17"/>
      <c r="HBF109" s="17"/>
      <c r="HBG109" s="17"/>
      <c r="HBH109" s="17"/>
      <c r="HBI109" s="17"/>
      <c r="HBJ109" s="17"/>
      <c r="HBK109" s="17"/>
      <c r="HBL109" s="17"/>
      <c r="HBM109" s="17"/>
      <c r="HBN109" s="17"/>
      <c r="HBO109" s="17"/>
      <c r="HBP109" s="17"/>
      <c r="HBQ109" s="17"/>
      <c r="HBR109" s="17"/>
      <c r="HBS109" s="17"/>
      <c r="HBT109" s="17"/>
      <c r="HBU109" s="17"/>
      <c r="HBV109" s="17"/>
      <c r="HBW109" s="17"/>
      <c r="HBX109" s="17"/>
      <c r="HBY109" s="17"/>
      <c r="HBZ109" s="17"/>
      <c r="HCA109" s="17"/>
      <c r="HCB109" s="17"/>
      <c r="HCC109" s="17"/>
      <c r="HCD109" s="17"/>
      <c r="HCE109" s="17"/>
      <c r="HCF109" s="17"/>
      <c r="HCG109" s="17"/>
      <c r="HCH109" s="17"/>
      <c r="HCI109" s="17"/>
      <c r="HCJ109" s="17"/>
      <c r="HCK109" s="17"/>
      <c r="HCL109" s="17"/>
      <c r="HCM109" s="17"/>
      <c r="HCN109" s="17"/>
      <c r="HCO109" s="17"/>
      <c r="HCP109" s="17"/>
      <c r="HCQ109" s="17"/>
      <c r="HCR109" s="17"/>
      <c r="HCS109" s="17"/>
      <c r="HCT109" s="17"/>
      <c r="HCU109" s="17"/>
      <c r="HCV109" s="17"/>
      <c r="HCW109" s="17"/>
      <c r="HCX109" s="17"/>
      <c r="HCY109" s="17"/>
      <c r="HCZ109" s="17"/>
      <c r="HDA109" s="17"/>
      <c r="HDB109" s="17"/>
      <c r="HDC109" s="17"/>
      <c r="HDD109" s="17"/>
      <c r="HDE109" s="17"/>
      <c r="HDF109" s="17"/>
      <c r="HDG109" s="17"/>
      <c r="HDH109" s="17"/>
      <c r="HDI109" s="17"/>
      <c r="HDJ109" s="17"/>
      <c r="HDK109" s="17"/>
      <c r="HDL109" s="17"/>
      <c r="HDM109" s="17"/>
      <c r="HDN109" s="17"/>
      <c r="HDO109" s="17"/>
      <c r="HDP109" s="17"/>
      <c r="HDQ109" s="17"/>
      <c r="HDR109" s="17"/>
      <c r="HDS109" s="17"/>
      <c r="HDT109" s="17"/>
      <c r="HDU109" s="17"/>
      <c r="HDV109" s="17"/>
      <c r="HDW109" s="17"/>
      <c r="HDX109" s="17"/>
      <c r="HDY109" s="17"/>
      <c r="HDZ109" s="17"/>
      <c r="HEA109" s="17"/>
      <c r="HEB109" s="17"/>
      <c r="HEC109" s="17"/>
      <c r="HED109" s="17"/>
      <c r="HEE109" s="17"/>
      <c r="HEF109" s="17"/>
      <c r="HEG109" s="17"/>
      <c r="HEH109" s="17"/>
      <c r="HEI109" s="17"/>
      <c r="HEJ109" s="17"/>
      <c r="HEK109" s="17"/>
      <c r="HEL109" s="17"/>
      <c r="HEM109" s="17"/>
      <c r="HEN109" s="17"/>
      <c r="HEO109" s="17"/>
      <c r="HEP109" s="17"/>
      <c r="HEQ109" s="17"/>
      <c r="HER109" s="17"/>
      <c r="HES109" s="17"/>
      <c r="HET109" s="17"/>
      <c r="HEU109" s="17"/>
      <c r="HEV109" s="17"/>
      <c r="HEW109" s="17"/>
      <c r="HEX109" s="17"/>
      <c r="HEY109" s="17"/>
      <c r="HEZ109" s="17"/>
      <c r="HFA109" s="17"/>
      <c r="HFB109" s="17"/>
      <c r="HFC109" s="17"/>
      <c r="HFD109" s="17"/>
      <c r="HFE109" s="17"/>
      <c r="HFF109" s="17"/>
      <c r="HFG109" s="17"/>
      <c r="HFH109" s="17"/>
      <c r="HFI109" s="17"/>
      <c r="HFJ109" s="17"/>
      <c r="HFK109" s="17"/>
      <c r="HFL109" s="17"/>
      <c r="HFM109" s="17"/>
      <c r="HFN109" s="17"/>
      <c r="HFO109" s="17"/>
      <c r="HFP109" s="17"/>
      <c r="HFQ109" s="17"/>
      <c r="HFR109" s="17"/>
      <c r="HFS109" s="17"/>
      <c r="HFT109" s="17"/>
      <c r="HFU109" s="17"/>
      <c r="HFV109" s="17"/>
      <c r="HFW109" s="17"/>
      <c r="HFX109" s="17"/>
      <c r="HFY109" s="17"/>
      <c r="HFZ109" s="17"/>
      <c r="HGA109" s="17"/>
      <c r="HGB109" s="17"/>
      <c r="HGC109" s="17"/>
      <c r="HGD109" s="17"/>
      <c r="HGE109" s="17"/>
      <c r="HGF109" s="17"/>
      <c r="HGG109" s="17"/>
      <c r="HGH109" s="17"/>
      <c r="HGI109" s="17"/>
      <c r="HGJ109" s="17"/>
      <c r="HGK109" s="17"/>
      <c r="HGL109" s="17"/>
      <c r="HGM109" s="17"/>
      <c r="HGN109" s="17"/>
      <c r="HGO109" s="17"/>
      <c r="HGP109" s="17"/>
      <c r="HGQ109" s="17"/>
      <c r="HGR109" s="17"/>
      <c r="HGS109" s="17"/>
      <c r="HGT109" s="17"/>
      <c r="HGU109" s="17"/>
      <c r="HGV109" s="17"/>
      <c r="HGW109" s="17"/>
      <c r="HGX109" s="17"/>
      <c r="HGY109" s="17"/>
      <c r="HGZ109" s="17"/>
      <c r="HHA109" s="17"/>
      <c r="HHB109" s="17"/>
      <c r="HHC109" s="17"/>
      <c r="HHD109" s="17"/>
      <c r="HHE109" s="17"/>
      <c r="HHF109" s="17"/>
      <c r="HHG109" s="17"/>
      <c r="HHH109" s="17"/>
      <c r="HHI109" s="17"/>
      <c r="HHJ109" s="17"/>
      <c r="HHK109" s="17"/>
      <c r="HHL109" s="17"/>
      <c r="HHM109" s="17"/>
      <c r="HHN109" s="17"/>
      <c r="HHO109" s="17"/>
      <c r="HHP109" s="17"/>
      <c r="HHQ109" s="17"/>
      <c r="HHR109" s="17"/>
      <c r="HHS109" s="17"/>
      <c r="HHT109" s="17"/>
      <c r="HHU109" s="17"/>
      <c r="HHV109" s="17"/>
      <c r="HHW109" s="17"/>
      <c r="HHX109" s="17"/>
      <c r="HHY109" s="17"/>
      <c r="HHZ109" s="17"/>
      <c r="HIA109" s="17"/>
      <c r="HIB109" s="17"/>
      <c r="HIC109" s="17"/>
      <c r="HID109" s="17"/>
      <c r="HIE109" s="17"/>
      <c r="HIF109" s="17"/>
      <c r="HIG109" s="17"/>
      <c r="HIH109" s="17"/>
      <c r="HII109" s="17"/>
      <c r="HIJ109" s="17"/>
      <c r="HIK109" s="17"/>
      <c r="HIL109" s="17"/>
      <c r="HIM109" s="17"/>
      <c r="HIN109" s="17"/>
      <c r="HIO109" s="17"/>
      <c r="HIP109" s="17"/>
      <c r="HIQ109" s="17"/>
      <c r="HIR109" s="17"/>
      <c r="HIS109" s="17"/>
      <c r="HIT109" s="17"/>
      <c r="HIU109" s="17"/>
      <c r="HIV109" s="17"/>
      <c r="HIW109" s="17"/>
      <c r="HIX109" s="17"/>
      <c r="HIY109" s="17"/>
      <c r="HIZ109" s="17"/>
      <c r="HJA109" s="17"/>
      <c r="HJB109" s="17"/>
      <c r="HJC109" s="17"/>
      <c r="HJD109" s="17"/>
      <c r="HJE109" s="17"/>
      <c r="HJF109" s="17"/>
      <c r="HJG109" s="17"/>
      <c r="HJH109" s="17"/>
      <c r="HJI109" s="17"/>
      <c r="HJJ109" s="17"/>
      <c r="HJK109" s="17"/>
      <c r="HJL109" s="17"/>
      <c r="HJM109" s="17"/>
      <c r="HJN109" s="17"/>
      <c r="HJO109" s="17"/>
      <c r="HJP109" s="17"/>
      <c r="HJQ109" s="17"/>
      <c r="HJR109" s="17"/>
      <c r="HJS109" s="17"/>
      <c r="HJT109" s="17"/>
      <c r="HJU109" s="17"/>
      <c r="HJV109" s="17"/>
      <c r="HJW109" s="17"/>
      <c r="HJX109" s="17"/>
      <c r="HJY109" s="17"/>
      <c r="HJZ109" s="17"/>
      <c r="HKA109" s="17"/>
      <c r="HKB109" s="17"/>
      <c r="HKC109" s="17"/>
      <c r="HKD109" s="17"/>
      <c r="HKE109" s="17"/>
      <c r="HKF109" s="17"/>
      <c r="HKG109" s="17"/>
      <c r="HKH109" s="17"/>
      <c r="HKI109" s="17"/>
      <c r="HKJ109" s="17"/>
      <c r="HKK109" s="17"/>
      <c r="HKL109" s="17"/>
      <c r="HKM109" s="17"/>
      <c r="HKN109" s="17"/>
      <c r="HKO109" s="17"/>
      <c r="HKP109" s="17"/>
      <c r="HKQ109" s="17"/>
      <c r="HKR109" s="17"/>
      <c r="HKS109" s="17"/>
      <c r="HKT109" s="17"/>
      <c r="HKU109" s="17"/>
      <c r="HKV109" s="17"/>
      <c r="HKW109" s="17"/>
      <c r="HKX109" s="17"/>
      <c r="HKY109" s="17"/>
      <c r="HKZ109" s="17"/>
      <c r="HLA109" s="17"/>
      <c r="HLB109" s="17"/>
      <c r="HLC109" s="17"/>
      <c r="HLD109" s="17"/>
      <c r="HLE109" s="17"/>
      <c r="HLF109" s="17"/>
      <c r="HLG109" s="17"/>
      <c r="HLH109" s="17"/>
      <c r="HLI109" s="17"/>
      <c r="HLJ109" s="17"/>
      <c r="HLK109" s="17"/>
      <c r="HLL109" s="17"/>
      <c r="HLM109" s="17"/>
      <c r="HLN109" s="17"/>
      <c r="HLO109" s="17"/>
      <c r="HLP109" s="17"/>
      <c r="HLQ109" s="17"/>
      <c r="HLR109" s="17"/>
      <c r="HLS109" s="17"/>
      <c r="HLT109" s="17"/>
      <c r="HLU109" s="17"/>
      <c r="HLV109" s="17"/>
      <c r="HLW109" s="17"/>
      <c r="HLX109" s="17"/>
      <c r="HLY109" s="17"/>
      <c r="HLZ109" s="17"/>
      <c r="HMA109" s="17"/>
      <c r="HMB109" s="17"/>
      <c r="HMC109" s="17"/>
      <c r="HMD109" s="17"/>
      <c r="HME109" s="17"/>
      <c r="HMF109" s="17"/>
      <c r="HMG109" s="17"/>
      <c r="HMH109" s="17"/>
      <c r="HMI109" s="17"/>
      <c r="HMJ109" s="17"/>
      <c r="HMK109" s="17"/>
      <c r="HML109" s="17"/>
      <c r="HMM109" s="17"/>
      <c r="HMN109" s="17"/>
      <c r="HMO109" s="17"/>
      <c r="HMP109" s="17"/>
      <c r="HMQ109" s="17"/>
      <c r="HMR109" s="17"/>
      <c r="HMS109" s="17"/>
      <c r="HMT109" s="17"/>
      <c r="HMU109" s="17"/>
      <c r="HMV109" s="17"/>
      <c r="HMW109" s="17"/>
      <c r="HMX109" s="17"/>
      <c r="HMY109" s="17"/>
      <c r="HMZ109" s="17"/>
      <c r="HNA109" s="17"/>
      <c r="HNB109" s="17"/>
      <c r="HNC109" s="17"/>
      <c r="HND109" s="17"/>
      <c r="HNE109" s="17"/>
      <c r="HNF109" s="17"/>
      <c r="HNG109" s="17"/>
      <c r="HNH109" s="17"/>
      <c r="HNI109" s="17"/>
      <c r="HNJ109" s="17"/>
      <c r="HNK109" s="17"/>
      <c r="HNL109" s="17"/>
      <c r="HNM109" s="17"/>
      <c r="HNN109" s="17"/>
      <c r="HNO109" s="17"/>
      <c r="HNP109" s="17"/>
      <c r="HNQ109" s="17"/>
      <c r="HNR109" s="17"/>
      <c r="HNS109" s="17"/>
      <c r="HNT109" s="17"/>
      <c r="HNU109" s="17"/>
      <c r="HNV109" s="17"/>
      <c r="HNW109" s="17"/>
      <c r="HNX109" s="17"/>
      <c r="HNY109" s="17"/>
      <c r="HNZ109" s="17"/>
      <c r="HOA109" s="17"/>
      <c r="HOB109" s="17"/>
      <c r="HOC109" s="17"/>
      <c r="HOD109" s="17"/>
      <c r="HOE109" s="17"/>
      <c r="HOF109" s="17"/>
      <c r="HOG109" s="17"/>
      <c r="HOH109" s="17"/>
      <c r="HOI109" s="17"/>
      <c r="HOJ109" s="17"/>
      <c r="HOK109" s="17"/>
      <c r="HOL109" s="17"/>
      <c r="HOM109" s="17"/>
      <c r="HON109" s="17"/>
      <c r="HOO109" s="17"/>
      <c r="HOP109" s="17"/>
      <c r="HOQ109" s="17"/>
      <c r="HOR109" s="17"/>
      <c r="HOS109" s="17"/>
      <c r="HOT109" s="17"/>
      <c r="HOU109" s="17"/>
      <c r="HOV109" s="17"/>
      <c r="HOW109" s="17"/>
      <c r="HOX109" s="17"/>
      <c r="HOY109" s="17"/>
      <c r="HOZ109" s="17"/>
      <c r="HPA109" s="17"/>
      <c r="HPB109" s="17"/>
      <c r="HPC109" s="17"/>
      <c r="HPD109" s="17"/>
      <c r="HPE109" s="17"/>
      <c r="HPF109" s="17"/>
      <c r="HPG109" s="17"/>
      <c r="HPH109" s="17"/>
      <c r="HPI109" s="17"/>
      <c r="HPJ109" s="17"/>
      <c r="HPK109" s="17"/>
      <c r="HPL109" s="17"/>
      <c r="HPM109" s="17"/>
      <c r="HPN109" s="17"/>
      <c r="HPO109" s="17"/>
      <c r="HPP109" s="17"/>
      <c r="HPQ109" s="17"/>
      <c r="HPR109" s="17"/>
      <c r="HPS109" s="17"/>
      <c r="HPT109" s="17"/>
      <c r="HPU109" s="17"/>
      <c r="HPV109" s="17"/>
      <c r="HPW109" s="17"/>
      <c r="HPX109" s="17"/>
      <c r="HPY109" s="17"/>
      <c r="HPZ109" s="17"/>
      <c r="HQA109" s="17"/>
      <c r="HQB109" s="17"/>
      <c r="HQC109" s="17"/>
      <c r="HQD109" s="17"/>
      <c r="HQE109" s="17"/>
      <c r="HQF109" s="17"/>
      <c r="HQG109" s="17"/>
      <c r="HQH109" s="17"/>
      <c r="HQI109" s="17"/>
      <c r="HQJ109" s="17"/>
      <c r="HQK109" s="17"/>
      <c r="HQL109" s="17"/>
      <c r="HQM109" s="17"/>
      <c r="HQN109" s="17"/>
      <c r="HQO109" s="17"/>
      <c r="HQP109" s="17"/>
      <c r="HQQ109" s="17"/>
      <c r="HQR109" s="17"/>
      <c r="HQS109" s="17"/>
      <c r="HQT109" s="17"/>
      <c r="HQU109" s="17"/>
      <c r="HQV109" s="17"/>
      <c r="HQW109" s="17"/>
      <c r="HQX109" s="17"/>
      <c r="HQY109" s="17"/>
      <c r="HQZ109" s="17"/>
      <c r="HRA109" s="17"/>
      <c r="HRB109" s="17"/>
      <c r="HRC109" s="17"/>
      <c r="HRD109" s="17"/>
      <c r="HRE109" s="17"/>
      <c r="HRF109" s="17"/>
      <c r="HRG109" s="17"/>
      <c r="HRH109" s="17"/>
      <c r="HRI109" s="17"/>
      <c r="HRJ109" s="17"/>
      <c r="HRK109" s="17"/>
      <c r="HRL109" s="17"/>
      <c r="HRM109" s="17"/>
      <c r="HRN109" s="17"/>
      <c r="HRO109" s="17"/>
      <c r="HRP109" s="17"/>
      <c r="HRQ109" s="17"/>
      <c r="HRR109" s="17"/>
      <c r="HRS109" s="17"/>
      <c r="HRT109" s="17"/>
      <c r="HRU109" s="17"/>
      <c r="HRV109" s="17"/>
      <c r="HRW109" s="17"/>
      <c r="HRX109" s="17"/>
      <c r="HRY109" s="17"/>
      <c r="HRZ109" s="17"/>
      <c r="HSA109" s="17"/>
      <c r="HSB109" s="17"/>
      <c r="HSC109" s="17"/>
      <c r="HSD109" s="17"/>
      <c r="HSE109" s="17"/>
      <c r="HSF109" s="17"/>
      <c r="HSG109" s="17"/>
      <c r="HSH109" s="17"/>
      <c r="HSI109" s="17"/>
      <c r="HSJ109" s="17"/>
      <c r="HSK109" s="17"/>
      <c r="HSL109" s="17"/>
      <c r="HSM109" s="17"/>
      <c r="HSN109" s="17"/>
      <c r="HSO109" s="17"/>
      <c r="HSP109" s="17"/>
      <c r="HSQ109" s="17"/>
      <c r="HSR109" s="17"/>
      <c r="HSS109" s="17"/>
      <c r="HST109" s="17"/>
      <c r="HSU109" s="17"/>
      <c r="HSV109" s="17"/>
      <c r="HSW109" s="17"/>
      <c r="HSX109" s="17"/>
      <c r="HSY109" s="17"/>
      <c r="HSZ109" s="17"/>
      <c r="HTA109" s="17"/>
      <c r="HTB109" s="17"/>
      <c r="HTC109" s="17"/>
      <c r="HTD109" s="17"/>
      <c r="HTE109" s="17"/>
      <c r="HTF109" s="17"/>
      <c r="HTG109" s="17"/>
      <c r="HTH109" s="17"/>
      <c r="HTI109" s="17"/>
      <c r="HTJ109" s="17"/>
      <c r="HTK109" s="17"/>
      <c r="HTL109" s="17"/>
      <c r="HTM109" s="17"/>
      <c r="HTN109" s="17"/>
      <c r="HTO109" s="17"/>
      <c r="HTP109" s="17"/>
      <c r="HTQ109" s="17"/>
      <c r="HTR109" s="17"/>
      <c r="HTS109" s="17"/>
      <c r="HTT109" s="17"/>
      <c r="HTU109" s="17"/>
      <c r="HTV109" s="17"/>
      <c r="HTW109" s="17"/>
      <c r="HTX109" s="17"/>
      <c r="HTY109" s="17"/>
      <c r="HTZ109" s="17"/>
      <c r="HUA109" s="17"/>
      <c r="HUB109" s="17"/>
      <c r="HUC109" s="17"/>
      <c r="HUD109" s="17"/>
      <c r="HUE109" s="17"/>
      <c r="HUF109" s="17"/>
      <c r="HUG109" s="17"/>
      <c r="HUH109" s="17"/>
      <c r="HUI109" s="17"/>
      <c r="HUJ109" s="17"/>
      <c r="HUK109" s="17"/>
      <c r="HUL109" s="17"/>
      <c r="HUM109" s="17"/>
      <c r="HUN109" s="17"/>
      <c r="HUO109" s="17"/>
      <c r="HUP109" s="17"/>
      <c r="HUQ109" s="17"/>
      <c r="HUR109" s="17"/>
      <c r="HUS109" s="17"/>
      <c r="HUT109" s="17"/>
      <c r="HUU109" s="17"/>
      <c r="HUV109" s="17"/>
      <c r="HUW109" s="17"/>
      <c r="HUX109" s="17"/>
      <c r="HUY109" s="17"/>
      <c r="HUZ109" s="17"/>
      <c r="HVA109" s="17"/>
      <c r="HVB109" s="17"/>
      <c r="HVC109" s="17"/>
      <c r="HVD109" s="17"/>
      <c r="HVE109" s="17"/>
      <c r="HVF109" s="17"/>
      <c r="HVG109" s="17"/>
      <c r="HVH109" s="17"/>
      <c r="HVI109" s="17"/>
      <c r="HVJ109" s="17"/>
      <c r="HVK109" s="17"/>
      <c r="HVL109" s="17"/>
      <c r="HVM109" s="17"/>
      <c r="HVN109" s="17"/>
      <c r="HVO109" s="17"/>
      <c r="HVP109" s="17"/>
      <c r="HVQ109" s="17"/>
      <c r="HVR109" s="17"/>
      <c r="HVS109" s="17"/>
      <c r="HVT109" s="17"/>
      <c r="HVU109" s="17"/>
      <c r="HVV109" s="17"/>
      <c r="HVW109" s="17"/>
      <c r="HVX109" s="17"/>
      <c r="HVY109" s="17"/>
      <c r="HVZ109" s="17"/>
      <c r="HWA109" s="17"/>
      <c r="HWB109" s="17"/>
      <c r="HWC109" s="17"/>
      <c r="HWD109" s="17"/>
      <c r="HWE109" s="17"/>
      <c r="HWF109" s="17"/>
      <c r="HWG109" s="17"/>
      <c r="HWH109" s="17"/>
      <c r="HWI109" s="17"/>
      <c r="HWJ109" s="17"/>
      <c r="HWK109" s="17"/>
      <c r="HWL109" s="17"/>
      <c r="HWM109" s="17"/>
      <c r="HWN109" s="17"/>
      <c r="HWO109" s="17"/>
      <c r="HWP109" s="17"/>
      <c r="HWQ109" s="17"/>
      <c r="HWR109" s="17"/>
      <c r="HWS109" s="17"/>
      <c r="HWT109" s="17"/>
      <c r="HWU109" s="17"/>
      <c r="HWV109" s="17"/>
      <c r="HWW109" s="17"/>
      <c r="HWX109" s="17"/>
      <c r="HWY109" s="17"/>
      <c r="HWZ109" s="17"/>
      <c r="HXA109" s="17"/>
      <c r="HXB109" s="17"/>
      <c r="HXC109" s="17"/>
      <c r="HXD109" s="17"/>
      <c r="HXE109" s="17"/>
      <c r="HXF109" s="17"/>
      <c r="HXG109" s="17"/>
      <c r="HXH109" s="17"/>
      <c r="HXI109" s="17"/>
      <c r="HXJ109" s="17"/>
      <c r="HXK109" s="17"/>
      <c r="HXL109" s="17"/>
      <c r="HXM109" s="17"/>
      <c r="HXN109" s="17"/>
      <c r="HXO109" s="17"/>
      <c r="HXP109" s="17"/>
      <c r="HXQ109" s="17"/>
      <c r="HXR109" s="17"/>
      <c r="HXS109" s="17"/>
      <c r="HXT109" s="17"/>
      <c r="HXU109" s="17"/>
      <c r="HXV109" s="17"/>
      <c r="HXW109" s="17"/>
      <c r="HXX109" s="17"/>
      <c r="HXY109" s="17"/>
      <c r="HXZ109" s="17"/>
      <c r="HYA109" s="17"/>
      <c r="HYB109" s="17"/>
      <c r="HYC109" s="17"/>
      <c r="HYD109" s="17"/>
      <c r="HYE109" s="17"/>
      <c r="HYF109" s="17"/>
      <c r="HYG109" s="17"/>
      <c r="HYH109" s="17"/>
      <c r="HYI109" s="17"/>
      <c r="HYJ109" s="17"/>
      <c r="HYK109" s="17"/>
      <c r="HYL109" s="17"/>
      <c r="HYM109" s="17"/>
      <c r="HYN109" s="17"/>
      <c r="HYO109" s="17"/>
      <c r="HYP109" s="17"/>
      <c r="HYQ109" s="17"/>
      <c r="HYR109" s="17"/>
      <c r="HYS109" s="17"/>
      <c r="HYT109" s="17"/>
      <c r="HYU109" s="17"/>
      <c r="HYV109" s="17"/>
      <c r="HYW109" s="17"/>
      <c r="HYX109" s="17"/>
      <c r="HYY109" s="17"/>
      <c r="HYZ109" s="17"/>
      <c r="HZA109" s="17"/>
      <c r="HZB109" s="17"/>
      <c r="HZC109" s="17"/>
      <c r="HZD109" s="17"/>
      <c r="HZE109" s="17"/>
      <c r="HZF109" s="17"/>
      <c r="HZG109" s="17"/>
      <c r="HZH109" s="17"/>
      <c r="HZI109" s="17"/>
      <c r="HZJ109" s="17"/>
      <c r="HZK109" s="17"/>
      <c r="HZL109" s="17"/>
      <c r="HZM109" s="17"/>
      <c r="HZN109" s="17"/>
      <c r="HZO109" s="17"/>
      <c r="HZP109" s="17"/>
      <c r="HZQ109" s="17"/>
      <c r="HZR109" s="17"/>
      <c r="HZS109" s="17"/>
      <c r="HZT109" s="17"/>
      <c r="HZU109" s="17"/>
      <c r="HZV109" s="17"/>
      <c r="HZW109" s="17"/>
      <c r="HZX109" s="17"/>
      <c r="HZY109" s="17"/>
      <c r="HZZ109" s="17"/>
      <c r="IAA109" s="17"/>
      <c r="IAB109" s="17"/>
      <c r="IAC109" s="17"/>
      <c r="IAD109" s="17"/>
      <c r="IAE109" s="17"/>
      <c r="IAF109" s="17"/>
      <c r="IAG109" s="17"/>
      <c r="IAH109" s="17"/>
      <c r="IAI109" s="17"/>
      <c r="IAJ109" s="17"/>
      <c r="IAK109" s="17"/>
      <c r="IAL109" s="17"/>
      <c r="IAM109" s="17"/>
      <c r="IAN109" s="17"/>
      <c r="IAO109" s="17"/>
      <c r="IAP109" s="17"/>
      <c r="IAQ109" s="17"/>
      <c r="IAR109" s="17"/>
      <c r="IAS109" s="17"/>
      <c r="IAT109" s="17"/>
      <c r="IAU109" s="17"/>
      <c r="IAV109" s="17"/>
      <c r="IAW109" s="17"/>
      <c r="IAX109" s="17"/>
      <c r="IAY109" s="17"/>
      <c r="IAZ109" s="17"/>
      <c r="IBA109" s="17"/>
      <c r="IBB109" s="17"/>
      <c r="IBC109" s="17"/>
      <c r="IBD109" s="17"/>
      <c r="IBE109" s="17"/>
      <c r="IBF109" s="17"/>
      <c r="IBG109" s="17"/>
      <c r="IBH109" s="17"/>
      <c r="IBI109" s="17"/>
      <c r="IBJ109" s="17"/>
      <c r="IBK109" s="17"/>
      <c r="IBL109" s="17"/>
      <c r="IBM109" s="17"/>
      <c r="IBN109" s="17"/>
      <c r="IBO109" s="17"/>
      <c r="IBP109" s="17"/>
      <c r="IBQ109" s="17"/>
      <c r="IBR109" s="17"/>
      <c r="IBS109" s="17"/>
      <c r="IBT109" s="17"/>
      <c r="IBU109" s="17"/>
      <c r="IBV109" s="17"/>
      <c r="IBW109" s="17"/>
      <c r="IBX109" s="17"/>
      <c r="IBY109" s="17"/>
      <c r="IBZ109" s="17"/>
      <c r="ICA109" s="17"/>
      <c r="ICB109" s="17"/>
      <c r="ICC109" s="17"/>
      <c r="ICD109" s="17"/>
      <c r="ICE109" s="17"/>
      <c r="ICF109" s="17"/>
      <c r="ICG109" s="17"/>
      <c r="ICH109" s="17"/>
      <c r="ICI109" s="17"/>
      <c r="ICJ109" s="17"/>
      <c r="ICK109" s="17"/>
      <c r="ICL109" s="17"/>
      <c r="ICM109" s="17"/>
      <c r="ICN109" s="17"/>
      <c r="ICO109" s="17"/>
      <c r="ICP109" s="17"/>
      <c r="ICQ109" s="17"/>
      <c r="ICR109" s="17"/>
      <c r="ICS109" s="17"/>
      <c r="ICT109" s="17"/>
      <c r="ICU109" s="17"/>
      <c r="ICV109" s="17"/>
      <c r="ICW109" s="17"/>
      <c r="ICX109" s="17"/>
      <c r="ICY109" s="17"/>
      <c r="ICZ109" s="17"/>
      <c r="IDA109" s="17"/>
      <c r="IDB109" s="17"/>
      <c r="IDC109" s="17"/>
      <c r="IDD109" s="17"/>
      <c r="IDE109" s="17"/>
      <c r="IDF109" s="17"/>
      <c r="IDG109" s="17"/>
      <c r="IDH109" s="17"/>
      <c r="IDI109" s="17"/>
      <c r="IDJ109" s="17"/>
      <c r="IDK109" s="17"/>
      <c r="IDL109" s="17"/>
      <c r="IDM109" s="17"/>
      <c r="IDN109" s="17"/>
      <c r="IDO109" s="17"/>
      <c r="IDP109" s="17"/>
      <c r="IDQ109" s="17"/>
      <c r="IDR109" s="17"/>
      <c r="IDS109" s="17"/>
      <c r="IDT109" s="17"/>
      <c r="IDU109" s="17"/>
      <c r="IDV109" s="17"/>
      <c r="IDW109" s="17"/>
      <c r="IDX109" s="17"/>
      <c r="IDY109" s="17"/>
      <c r="IDZ109" s="17"/>
      <c r="IEA109" s="17"/>
      <c r="IEB109" s="17"/>
      <c r="IEC109" s="17"/>
      <c r="IED109" s="17"/>
      <c r="IEE109" s="17"/>
      <c r="IEF109" s="17"/>
      <c r="IEG109" s="17"/>
      <c r="IEH109" s="17"/>
      <c r="IEI109" s="17"/>
      <c r="IEJ109" s="17"/>
      <c r="IEK109" s="17"/>
      <c r="IEL109" s="17"/>
      <c r="IEM109" s="17"/>
      <c r="IEN109" s="17"/>
      <c r="IEO109" s="17"/>
      <c r="IEP109" s="17"/>
      <c r="IEQ109" s="17"/>
      <c r="IER109" s="17"/>
      <c r="IES109" s="17"/>
      <c r="IET109" s="17"/>
      <c r="IEU109" s="17"/>
      <c r="IEV109" s="17"/>
      <c r="IEW109" s="17"/>
      <c r="IEX109" s="17"/>
      <c r="IEY109" s="17"/>
      <c r="IEZ109" s="17"/>
      <c r="IFA109" s="17"/>
      <c r="IFB109" s="17"/>
      <c r="IFC109" s="17"/>
      <c r="IFD109" s="17"/>
      <c r="IFE109" s="17"/>
      <c r="IFF109" s="17"/>
      <c r="IFG109" s="17"/>
      <c r="IFH109" s="17"/>
      <c r="IFI109" s="17"/>
      <c r="IFJ109" s="17"/>
      <c r="IFK109" s="17"/>
      <c r="IFL109" s="17"/>
      <c r="IFM109" s="17"/>
      <c r="IFN109" s="17"/>
      <c r="IFO109" s="17"/>
      <c r="IFP109" s="17"/>
      <c r="IFQ109" s="17"/>
      <c r="IFR109" s="17"/>
      <c r="IFS109" s="17"/>
      <c r="IFT109" s="17"/>
      <c r="IFU109" s="17"/>
      <c r="IFV109" s="17"/>
      <c r="IFW109" s="17"/>
      <c r="IFX109" s="17"/>
      <c r="IFY109" s="17"/>
      <c r="IFZ109" s="17"/>
      <c r="IGA109" s="17"/>
      <c r="IGB109" s="17"/>
      <c r="IGC109" s="17"/>
      <c r="IGD109" s="17"/>
      <c r="IGE109" s="17"/>
      <c r="IGF109" s="17"/>
      <c r="IGG109" s="17"/>
      <c r="IGH109" s="17"/>
      <c r="IGI109" s="17"/>
      <c r="IGJ109" s="17"/>
      <c r="IGK109" s="17"/>
      <c r="IGL109" s="17"/>
      <c r="IGM109" s="17"/>
      <c r="IGN109" s="17"/>
      <c r="IGO109" s="17"/>
      <c r="IGP109" s="17"/>
      <c r="IGQ109" s="17"/>
      <c r="IGR109" s="17"/>
      <c r="IGS109" s="17"/>
      <c r="IGT109" s="17"/>
      <c r="IGU109" s="17"/>
      <c r="IGV109" s="17"/>
      <c r="IGW109" s="17"/>
      <c r="IGX109" s="17"/>
      <c r="IGY109" s="17"/>
      <c r="IGZ109" s="17"/>
      <c r="IHA109" s="17"/>
      <c r="IHB109" s="17"/>
      <c r="IHC109" s="17"/>
      <c r="IHD109" s="17"/>
      <c r="IHE109" s="17"/>
      <c r="IHF109" s="17"/>
      <c r="IHG109" s="17"/>
      <c r="IHH109" s="17"/>
      <c r="IHI109" s="17"/>
      <c r="IHJ109" s="17"/>
      <c r="IHK109" s="17"/>
      <c r="IHL109" s="17"/>
      <c r="IHM109" s="17"/>
      <c r="IHN109" s="17"/>
      <c r="IHO109" s="17"/>
      <c r="IHP109" s="17"/>
      <c r="IHQ109" s="17"/>
      <c r="IHR109" s="17"/>
      <c r="IHS109" s="17"/>
      <c r="IHT109" s="17"/>
      <c r="IHU109" s="17"/>
      <c r="IHV109" s="17"/>
      <c r="IHW109" s="17"/>
      <c r="IHX109" s="17"/>
      <c r="IHY109" s="17"/>
      <c r="IHZ109" s="17"/>
      <c r="IIA109" s="17"/>
      <c r="IIB109" s="17"/>
      <c r="IIC109" s="17"/>
      <c r="IID109" s="17"/>
      <c r="IIE109" s="17"/>
      <c r="IIF109" s="17"/>
      <c r="IIG109" s="17"/>
      <c r="IIH109" s="17"/>
      <c r="III109" s="17"/>
      <c r="IIJ109" s="17"/>
      <c r="IIK109" s="17"/>
      <c r="IIL109" s="17"/>
      <c r="IIM109" s="17"/>
      <c r="IIN109" s="17"/>
      <c r="IIO109" s="17"/>
      <c r="IIP109" s="17"/>
      <c r="IIQ109" s="17"/>
      <c r="IIR109" s="17"/>
      <c r="IIS109" s="17"/>
      <c r="IIT109" s="17"/>
      <c r="IIU109" s="17"/>
      <c r="IIV109" s="17"/>
      <c r="IIW109" s="17"/>
      <c r="IIX109" s="17"/>
      <c r="IIY109" s="17"/>
      <c r="IIZ109" s="17"/>
      <c r="IJA109" s="17"/>
      <c r="IJB109" s="17"/>
      <c r="IJC109" s="17"/>
      <c r="IJD109" s="17"/>
      <c r="IJE109" s="17"/>
      <c r="IJF109" s="17"/>
      <c r="IJG109" s="17"/>
      <c r="IJH109" s="17"/>
      <c r="IJI109" s="17"/>
      <c r="IJJ109" s="17"/>
      <c r="IJK109" s="17"/>
      <c r="IJL109" s="17"/>
      <c r="IJM109" s="17"/>
      <c r="IJN109" s="17"/>
      <c r="IJO109" s="17"/>
      <c r="IJP109" s="17"/>
      <c r="IJQ109" s="17"/>
      <c r="IJR109" s="17"/>
      <c r="IJS109" s="17"/>
      <c r="IJT109" s="17"/>
      <c r="IJU109" s="17"/>
      <c r="IJV109" s="17"/>
      <c r="IJW109" s="17"/>
      <c r="IJX109" s="17"/>
      <c r="IJY109" s="17"/>
      <c r="IJZ109" s="17"/>
      <c r="IKA109" s="17"/>
      <c r="IKB109" s="17"/>
      <c r="IKC109" s="17"/>
      <c r="IKD109" s="17"/>
      <c r="IKE109" s="17"/>
      <c r="IKF109" s="17"/>
      <c r="IKG109" s="17"/>
      <c r="IKH109" s="17"/>
      <c r="IKI109" s="17"/>
      <c r="IKJ109" s="17"/>
      <c r="IKK109" s="17"/>
      <c r="IKL109" s="17"/>
      <c r="IKM109" s="17"/>
      <c r="IKN109" s="17"/>
      <c r="IKO109" s="17"/>
      <c r="IKP109" s="17"/>
      <c r="IKQ109" s="17"/>
      <c r="IKR109" s="17"/>
      <c r="IKS109" s="17"/>
      <c r="IKT109" s="17"/>
      <c r="IKU109" s="17"/>
      <c r="IKV109" s="17"/>
      <c r="IKW109" s="17"/>
      <c r="IKX109" s="17"/>
      <c r="IKY109" s="17"/>
      <c r="IKZ109" s="17"/>
      <c r="ILA109" s="17"/>
      <c r="ILB109" s="17"/>
      <c r="ILC109" s="17"/>
      <c r="ILD109" s="17"/>
      <c r="ILE109" s="17"/>
      <c r="ILF109" s="17"/>
      <c r="ILG109" s="17"/>
      <c r="ILH109" s="17"/>
      <c r="ILI109" s="17"/>
      <c r="ILJ109" s="17"/>
      <c r="ILK109" s="17"/>
      <c r="ILL109" s="17"/>
      <c r="ILM109" s="17"/>
      <c r="ILN109" s="17"/>
      <c r="ILO109" s="17"/>
      <c r="ILP109" s="17"/>
      <c r="ILQ109" s="17"/>
      <c r="ILR109" s="17"/>
      <c r="ILS109" s="17"/>
      <c r="ILT109" s="17"/>
      <c r="ILU109" s="17"/>
      <c r="ILV109" s="17"/>
      <c r="ILW109" s="17"/>
      <c r="ILX109" s="17"/>
      <c r="ILY109" s="17"/>
      <c r="ILZ109" s="17"/>
      <c r="IMA109" s="17"/>
      <c r="IMB109" s="17"/>
      <c r="IMC109" s="17"/>
      <c r="IMD109" s="17"/>
      <c r="IME109" s="17"/>
      <c r="IMF109" s="17"/>
      <c r="IMG109" s="17"/>
      <c r="IMH109" s="17"/>
      <c r="IMI109" s="17"/>
      <c r="IMJ109" s="17"/>
      <c r="IMK109" s="17"/>
      <c r="IML109" s="17"/>
      <c r="IMM109" s="17"/>
      <c r="IMN109" s="17"/>
      <c r="IMO109" s="17"/>
      <c r="IMP109" s="17"/>
      <c r="IMQ109" s="17"/>
      <c r="IMR109" s="17"/>
      <c r="IMS109" s="17"/>
      <c r="IMT109" s="17"/>
      <c r="IMU109" s="17"/>
      <c r="IMV109" s="17"/>
      <c r="IMW109" s="17"/>
      <c r="IMX109" s="17"/>
      <c r="IMY109" s="17"/>
      <c r="IMZ109" s="17"/>
      <c r="INA109" s="17"/>
      <c r="INB109" s="17"/>
      <c r="INC109" s="17"/>
      <c r="IND109" s="17"/>
      <c r="INE109" s="17"/>
      <c r="INF109" s="17"/>
      <c r="ING109" s="17"/>
      <c r="INH109" s="17"/>
      <c r="INI109" s="17"/>
      <c r="INJ109" s="17"/>
      <c r="INK109" s="17"/>
      <c r="INL109" s="17"/>
      <c r="INM109" s="17"/>
      <c r="INN109" s="17"/>
      <c r="INO109" s="17"/>
      <c r="INP109" s="17"/>
      <c r="INQ109" s="17"/>
      <c r="INR109" s="17"/>
      <c r="INS109" s="17"/>
      <c r="INT109" s="17"/>
      <c r="INU109" s="17"/>
      <c r="INV109" s="17"/>
      <c r="INW109" s="17"/>
      <c r="INX109" s="17"/>
      <c r="INY109" s="17"/>
      <c r="INZ109" s="17"/>
      <c r="IOA109" s="17"/>
      <c r="IOB109" s="17"/>
      <c r="IOC109" s="17"/>
      <c r="IOD109" s="17"/>
      <c r="IOE109" s="17"/>
      <c r="IOF109" s="17"/>
      <c r="IOG109" s="17"/>
      <c r="IOH109" s="17"/>
      <c r="IOI109" s="17"/>
      <c r="IOJ109" s="17"/>
      <c r="IOK109" s="17"/>
      <c r="IOL109" s="17"/>
      <c r="IOM109" s="17"/>
      <c r="ION109" s="17"/>
      <c r="IOO109" s="17"/>
      <c r="IOP109" s="17"/>
      <c r="IOQ109" s="17"/>
      <c r="IOR109" s="17"/>
      <c r="IOS109" s="17"/>
      <c r="IOT109" s="17"/>
      <c r="IOU109" s="17"/>
      <c r="IOV109" s="17"/>
      <c r="IOW109" s="17"/>
      <c r="IOX109" s="17"/>
      <c r="IOY109" s="17"/>
      <c r="IOZ109" s="17"/>
      <c r="IPA109" s="17"/>
      <c r="IPB109" s="17"/>
      <c r="IPC109" s="17"/>
      <c r="IPD109" s="17"/>
      <c r="IPE109" s="17"/>
      <c r="IPF109" s="17"/>
      <c r="IPG109" s="17"/>
      <c r="IPH109" s="17"/>
      <c r="IPI109" s="17"/>
      <c r="IPJ109" s="17"/>
      <c r="IPK109" s="17"/>
      <c r="IPL109" s="17"/>
      <c r="IPM109" s="17"/>
      <c r="IPN109" s="17"/>
      <c r="IPO109" s="17"/>
      <c r="IPP109" s="17"/>
      <c r="IPQ109" s="17"/>
      <c r="IPR109" s="17"/>
      <c r="IPS109" s="17"/>
      <c r="IPT109" s="17"/>
      <c r="IPU109" s="17"/>
      <c r="IPV109" s="17"/>
      <c r="IPW109" s="17"/>
      <c r="IPX109" s="17"/>
      <c r="IPY109" s="17"/>
      <c r="IPZ109" s="17"/>
      <c r="IQA109" s="17"/>
      <c r="IQB109" s="17"/>
      <c r="IQC109" s="17"/>
      <c r="IQD109" s="17"/>
      <c r="IQE109" s="17"/>
      <c r="IQF109" s="17"/>
      <c r="IQG109" s="17"/>
      <c r="IQH109" s="17"/>
      <c r="IQI109" s="17"/>
      <c r="IQJ109" s="17"/>
      <c r="IQK109" s="17"/>
      <c r="IQL109" s="17"/>
      <c r="IQM109" s="17"/>
      <c r="IQN109" s="17"/>
      <c r="IQO109" s="17"/>
      <c r="IQP109" s="17"/>
      <c r="IQQ109" s="17"/>
      <c r="IQR109" s="17"/>
      <c r="IQS109" s="17"/>
      <c r="IQT109" s="17"/>
      <c r="IQU109" s="17"/>
      <c r="IQV109" s="17"/>
      <c r="IQW109" s="17"/>
      <c r="IQX109" s="17"/>
      <c r="IQY109" s="17"/>
      <c r="IQZ109" s="17"/>
      <c r="IRA109" s="17"/>
      <c r="IRB109" s="17"/>
      <c r="IRC109" s="17"/>
      <c r="IRD109" s="17"/>
      <c r="IRE109" s="17"/>
      <c r="IRF109" s="17"/>
      <c r="IRG109" s="17"/>
      <c r="IRH109" s="17"/>
      <c r="IRI109" s="17"/>
      <c r="IRJ109" s="17"/>
      <c r="IRK109" s="17"/>
      <c r="IRL109" s="17"/>
      <c r="IRM109" s="17"/>
      <c r="IRN109" s="17"/>
      <c r="IRO109" s="17"/>
      <c r="IRP109" s="17"/>
      <c r="IRQ109" s="17"/>
      <c r="IRR109" s="17"/>
      <c r="IRS109" s="17"/>
      <c r="IRT109" s="17"/>
      <c r="IRU109" s="17"/>
      <c r="IRV109" s="17"/>
      <c r="IRW109" s="17"/>
      <c r="IRX109" s="17"/>
      <c r="IRY109" s="17"/>
      <c r="IRZ109" s="17"/>
      <c r="ISA109" s="17"/>
      <c r="ISB109" s="17"/>
      <c r="ISC109" s="17"/>
      <c r="ISD109" s="17"/>
      <c r="ISE109" s="17"/>
      <c r="ISF109" s="17"/>
      <c r="ISG109" s="17"/>
      <c r="ISH109" s="17"/>
      <c r="ISI109" s="17"/>
      <c r="ISJ109" s="17"/>
      <c r="ISK109" s="17"/>
      <c r="ISL109" s="17"/>
      <c r="ISM109" s="17"/>
      <c r="ISN109" s="17"/>
      <c r="ISO109" s="17"/>
      <c r="ISP109" s="17"/>
      <c r="ISQ109" s="17"/>
      <c r="ISR109" s="17"/>
      <c r="ISS109" s="17"/>
      <c r="IST109" s="17"/>
      <c r="ISU109" s="17"/>
      <c r="ISV109" s="17"/>
      <c r="ISW109" s="17"/>
      <c r="ISX109" s="17"/>
      <c r="ISY109" s="17"/>
      <c r="ISZ109" s="17"/>
      <c r="ITA109" s="17"/>
      <c r="ITB109" s="17"/>
      <c r="ITC109" s="17"/>
      <c r="ITD109" s="17"/>
      <c r="ITE109" s="17"/>
      <c r="ITF109" s="17"/>
      <c r="ITG109" s="17"/>
      <c r="ITH109" s="17"/>
      <c r="ITI109" s="17"/>
      <c r="ITJ109" s="17"/>
      <c r="ITK109" s="17"/>
      <c r="ITL109" s="17"/>
      <c r="ITM109" s="17"/>
      <c r="ITN109" s="17"/>
      <c r="ITO109" s="17"/>
      <c r="ITP109" s="17"/>
      <c r="ITQ109" s="17"/>
      <c r="ITR109" s="17"/>
      <c r="ITS109" s="17"/>
      <c r="ITT109" s="17"/>
      <c r="ITU109" s="17"/>
      <c r="ITV109" s="17"/>
      <c r="ITW109" s="17"/>
      <c r="ITX109" s="17"/>
      <c r="ITY109" s="17"/>
      <c r="ITZ109" s="17"/>
      <c r="IUA109" s="17"/>
      <c r="IUB109" s="17"/>
      <c r="IUC109" s="17"/>
      <c r="IUD109" s="17"/>
      <c r="IUE109" s="17"/>
      <c r="IUF109" s="17"/>
      <c r="IUG109" s="17"/>
      <c r="IUH109" s="17"/>
      <c r="IUI109" s="17"/>
      <c r="IUJ109" s="17"/>
      <c r="IUK109" s="17"/>
      <c r="IUL109" s="17"/>
      <c r="IUM109" s="17"/>
      <c r="IUN109" s="17"/>
      <c r="IUO109" s="17"/>
      <c r="IUP109" s="17"/>
      <c r="IUQ109" s="17"/>
      <c r="IUR109" s="17"/>
      <c r="IUS109" s="17"/>
      <c r="IUT109" s="17"/>
      <c r="IUU109" s="17"/>
      <c r="IUV109" s="17"/>
      <c r="IUW109" s="17"/>
      <c r="IUX109" s="17"/>
      <c r="IUY109" s="17"/>
      <c r="IUZ109" s="17"/>
      <c r="IVA109" s="17"/>
      <c r="IVB109" s="17"/>
      <c r="IVC109" s="17"/>
      <c r="IVD109" s="17"/>
      <c r="IVE109" s="17"/>
      <c r="IVF109" s="17"/>
      <c r="IVG109" s="17"/>
      <c r="IVH109" s="17"/>
      <c r="IVI109" s="17"/>
      <c r="IVJ109" s="17"/>
      <c r="IVK109" s="17"/>
      <c r="IVL109" s="17"/>
      <c r="IVM109" s="17"/>
      <c r="IVN109" s="17"/>
      <c r="IVO109" s="17"/>
      <c r="IVP109" s="17"/>
      <c r="IVQ109" s="17"/>
      <c r="IVR109" s="17"/>
      <c r="IVS109" s="17"/>
      <c r="IVT109" s="17"/>
      <c r="IVU109" s="17"/>
      <c r="IVV109" s="17"/>
      <c r="IVW109" s="17"/>
      <c r="IVX109" s="17"/>
      <c r="IVY109" s="17"/>
      <c r="IVZ109" s="17"/>
      <c r="IWA109" s="17"/>
      <c r="IWB109" s="17"/>
      <c r="IWC109" s="17"/>
      <c r="IWD109" s="17"/>
      <c r="IWE109" s="17"/>
      <c r="IWF109" s="17"/>
      <c r="IWG109" s="17"/>
      <c r="IWH109" s="17"/>
      <c r="IWI109" s="17"/>
      <c r="IWJ109" s="17"/>
      <c r="IWK109" s="17"/>
      <c r="IWL109" s="17"/>
      <c r="IWM109" s="17"/>
      <c r="IWN109" s="17"/>
      <c r="IWO109" s="17"/>
      <c r="IWP109" s="17"/>
      <c r="IWQ109" s="17"/>
      <c r="IWR109" s="17"/>
      <c r="IWS109" s="17"/>
      <c r="IWT109" s="17"/>
      <c r="IWU109" s="17"/>
      <c r="IWV109" s="17"/>
      <c r="IWW109" s="17"/>
      <c r="IWX109" s="17"/>
      <c r="IWY109" s="17"/>
      <c r="IWZ109" s="17"/>
      <c r="IXA109" s="17"/>
      <c r="IXB109" s="17"/>
      <c r="IXC109" s="17"/>
      <c r="IXD109" s="17"/>
      <c r="IXE109" s="17"/>
      <c r="IXF109" s="17"/>
      <c r="IXG109" s="17"/>
      <c r="IXH109" s="17"/>
      <c r="IXI109" s="17"/>
      <c r="IXJ109" s="17"/>
      <c r="IXK109" s="17"/>
      <c r="IXL109" s="17"/>
      <c r="IXM109" s="17"/>
      <c r="IXN109" s="17"/>
      <c r="IXO109" s="17"/>
      <c r="IXP109" s="17"/>
      <c r="IXQ109" s="17"/>
      <c r="IXR109" s="17"/>
      <c r="IXS109" s="17"/>
      <c r="IXT109" s="17"/>
      <c r="IXU109" s="17"/>
      <c r="IXV109" s="17"/>
      <c r="IXW109" s="17"/>
      <c r="IXX109" s="17"/>
      <c r="IXY109" s="17"/>
      <c r="IXZ109" s="17"/>
      <c r="IYA109" s="17"/>
      <c r="IYB109" s="17"/>
      <c r="IYC109" s="17"/>
      <c r="IYD109" s="17"/>
      <c r="IYE109" s="17"/>
      <c r="IYF109" s="17"/>
      <c r="IYG109" s="17"/>
      <c r="IYH109" s="17"/>
      <c r="IYI109" s="17"/>
      <c r="IYJ109" s="17"/>
      <c r="IYK109" s="17"/>
      <c r="IYL109" s="17"/>
      <c r="IYM109" s="17"/>
      <c r="IYN109" s="17"/>
      <c r="IYO109" s="17"/>
      <c r="IYP109" s="17"/>
      <c r="IYQ109" s="17"/>
      <c r="IYR109" s="17"/>
      <c r="IYS109" s="17"/>
      <c r="IYT109" s="17"/>
      <c r="IYU109" s="17"/>
      <c r="IYV109" s="17"/>
      <c r="IYW109" s="17"/>
      <c r="IYX109" s="17"/>
      <c r="IYY109" s="17"/>
      <c r="IYZ109" s="17"/>
      <c r="IZA109" s="17"/>
      <c r="IZB109" s="17"/>
      <c r="IZC109" s="17"/>
      <c r="IZD109" s="17"/>
      <c r="IZE109" s="17"/>
      <c r="IZF109" s="17"/>
      <c r="IZG109" s="17"/>
      <c r="IZH109" s="17"/>
      <c r="IZI109" s="17"/>
      <c r="IZJ109" s="17"/>
      <c r="IZK109" s="17"/>
      <c r="IZL109" s="17"/>
      <c r="IZM109" s="17"/>
      <c r="IZN109" s="17"/>
      <c r="IZO109" s="17"/>
      <c r="IZP109" s="17"/>
      <c r="IZQ109" s="17"/>
      <c r="IZR109" s="17"/>
      <c r="IZS109" s="17"/>
      <c r="IZT109" s="17"/>
      <c r="IZU109" s="17"/>
      <c r="IZV109" s="17"/>
      <c r="IZW109" s="17"/>
      <c r="IZX109" s="17"/>
      <c r="IZY109" s="17"/>
      <c r="IZZ109" s="17"/>
      <c r="JAA109" s="17"/>
      <c r="JAB109" s="17"/>
      <c r="JAC109" s="17"/>
      <c r="JAD109" s="17"/>
      <c r="JAE109" s="17"/>
      <c r="JAF109" s="17"/>
      <c r="JAG109" s="17"/>
      <c r="JAH109" s="17"/>
      <c r="JAI109" s="17"/>
      <c r="JAJ109" s="17"/>
      <c r="JAK109" s="17"/>
      <c r="JAL109" s="17"/>
      <c r="JAM109" s="17"/>
      <c r="JAN109" s="17"/>
      <c r="JAO109" s="17"/>
      <c r="JAP109" s="17"/>
      <c r="JAQ109" s="17"/>
      <c r="JAR109" s="17"/>
      <c r="JAS109" s="17"/>
      <c r="JAT109" s="17"/>
      <c r="JAU109" s="17"/>
      <c r="JAV109" s="17"/>
      <c r="JAW109" s="17"/>
      <c r="JAX109" s="17"/>
      <c r="JAY109" s="17"/>
      <c r="JAZ109" s="17"/>
      <c r="JBA109" s="17"/>
      <c r="JBB109" s="17"/>
      <c r="JBC109" s="17"/>
      <c r="JBD109" s="17"/>
      <c r="JBE109" s="17"/>
      <c r="JBF109" s="17"/>
      <c r="JBG109" s="17"/>
      <c r="JBH109" s="17"/>
      <c r="JBI109" s="17"/>
      <c r="JBJ109" s="17"/>
      <c r="JBK109" s="17"/>
      <c r="JBL109" s="17"/>
      <c r="JBM109" s="17"/>
      <c r="JBN109" s="17"/>
      <c r="JBO109" s="17"/>
      <c r="JBP109" s="17"/>
      <c r="JBQ109" s="17"/>
      <c r="JBR109" s="17"/>
      <c r="JBS109" s="17"/>
      <c r="JBT109" s="17"/>
      <c r="JBU109" s="17"/>
      <c r="JBV109" s="17"/>
      <c r="JBW109" s="17"/>
      <c r="JBX109" s="17"/>
      <c r="JBY109" s="17"/>
      <c r="JBZ109" s="17"/>
      <c r="JCA109" s="17"/>
      <c r="JCB109" s="17"/>
      <c r="JCC109" s="17"/>
      <c r="JCD109" s="17"/>
      <c r="JCE109" s="17"/>
      <c r="JCF109" s="17"/>
      <c r="JCG109" s="17"/>
      <c r="JCH109" s="17"/>
      <c r="JCI109" s="17"/>
      <c r="JCJ109" s="17"/>
      <c r="JCK109" s="17"/>
      <c r="JCL109" s="17"/>
      <c r="JCM109" s="17"/>
      <c r="JCN109" s="17"/>
      <c r="JCO109" s="17"/>
      <c r="JCP109" s="17"/>
      <c r="JCQ109" s="17"/>
      <c r="JCR109" s="17"/>
      <c r="JCS109" s="17"/>
      <c r="JCT109" s="17"/>
      <c r="JCU109" s="17"/>
      <c r="JCV109" s="17"/>
      <c r="JCW109" s="17"/>
      <c r="JCX109" s="17"/>
      <c r="JCY109" s="17"/>
      <c r="JCZ109" s="17"/>
      <c r="JDA109" s="17"/>
      <c r="JDB109" s="17"/>
      <c r="JDC109" s="17"/>
      <c r="JDD109" s="17"/>
      <c r="JDE109" s="17"/>
      <c r="JDF109" s="17"/>
      <c r="JDG109" s="17"/>
      <c r="JDH109" s="17"/>
      <c r="JDI109" s="17"/>
      <c r="JDJ109" s="17"/>
      <c r="JDK109" s="17"/>
      <c r="JDL109" s="17"/>
      <c r="JDM109" s="17"/>
      <c r="JDN109" s="17"/>
      <c r="JDO109" s="17"/>
      <c r="JDP109" s="17"/>
      <c r="JDQ109" s="17"/>
      <c r="JDR109" s="17"/>
      <c r="JDS109" s="17"/>
      <c r="JDT109" s="17"/>
      <c r="JDU109" s="17"/>
      <c r="JDV109" s="17"/>
      <c r="JDW109" s="17"/>
      <c r="JDX109" s="17"/>
      <c r="JDY109" s="17"/>
      <c r="JDZ109" s="17"/>
      <c r="JEA109" s="17"/>
      <c r="JEB109" s="17"/>
      <c r="JEC109" s="17"/>
      <c r="JED109" s="17"/>
      <c r="JEE109" s="17"/>
      <c r="JEF109" s="17"/>
      <c r="JEG109" s="17"/>
      <c r="JEH109" s="17"/>
      <c r="JEI109" s="17"/>
      <c r="JEJ109" s="17"/>
      <c r="JEK109" s="17"/>
      <c r="JEL109" s="17"/>
      <c r="JEM109" s="17"/>
      <c r="JEN109" s="17"/>
      <c r="JEO109" s="17"/>
      <c r="JEP109" s="17"/>
      <c r="JEQ109" s="17"/>
      <c r="JER109" s="17"/>
      <c r="JES109" s="17"/>
      <c r="JET109" s="17"/>
      <c r="JEU109" s="17"/>
      <c r="JEV109" s="17"/>
      <c r="JEW109" s="17"/>
      <c r="JEX109" s="17"/>
      <c r="JEY109" s="17"/>
      <c r="JEZ109" s="17"/>
      <c r="JFA109" s="17"/>
      <c r="JFB109" s="17"/>
      <c r="JFC109" s="17"/>
      <c r="JFD109" s="17"/>
      <c r="JFE109" s="17"/>
      <c r="JFF109" s="17"/>
      <c r="JFG109" s="17"/>
      <c r="JFH109" s="17"/>
      <c r="JFI109" s="17"/>
      <c r="JFJ109" s="17"/>
      <c r="JFK109" s="17"/>
      <c r="JFL109" s="17"/>
      <c r="JFM109" s="17"/>
      <c r="JFN109" s="17"/>
      <c r="JFO109" s="17"/>
      <c r="JFP109" s="17"/>
      <c r="JFQ109" s="17"/>
      <c r="JFR109" s="17"/>
      <c r="JFS109" s="17"/>
      <c r="JFT109" s="17"/>
      <c r="JFU109" s="17"/>
      <c r="JFV109" s="17"/>
      <c r="JFW109" s="17"/>
      <c r="JFX109" s="17"/>
      <c r="JFY109" s="17"/>
      <c r="JFZ109" s="17"/>
      <c r="JGA109" s="17"/>
      <c r="JGB109" s="17"/>
      <c r="JGC109" s="17"/>
      <c r="JGD109" s="17"/>
      <c r="JGE109" s="17"/>
      <c r="JGF109" s="17"/>
      <c r="JGG109" s="17"/>
      <c r="JGH109" s="17"/>
      <c r="JGI109" s="17"/>
      <c r="JGJ109" s="17"/>
      <c r="JGK109" s="17"/>
      <c r="JGL109" s="17"/>
      <c r="JGM109" s="17"/>
      <c r="JGN109" s="17"/>
      <c r="JGO109" s="17"/>
      <c r="JGP109" s="17"/>
      <c r="JGQ109" s="17"/>
      <c r="JGR109" s="17"/>
      <c r="JGS109" s="17"/>
      <c r="JGT109" s="17"/>
      <c r="JGU109" s="17"/>
      <c r="JGV109" s="17"/>
      <c r="JGW109" s="17"/>
      <c r="JGX109" s="17"/>
      <c r="JGY109" s="17"/>
      <c r="JGZ109" s="17"/>
      <c r="JHA109" s="17"/>
      <c r="JHB109" s="17"/>
      <c r="JHC109" s="17"/>
      <c r="JHD109" s="17"/>
      <c r="JHE109" s="17"/>
      <c r="JHF109" s="17"/>
      <c r="JHG109" s="17"/>
      <c r="JHH109" s="17"/>
      <c r="JHI109" s="17"/>
      <c r="JHJ109" s="17"/>
      <c r="JHK109" s="17"/>
      <c r="JHL109" s="17"/>
      <c r="JHM109" s="17"/>
      <c r="JHN109" s="17"/>
      <c r="JHO109" s="17"/>
      <c r="JHP109" s="17"/>
      <c r="JHQ109" s="17"/>
      <c r="JHR109" s="17"/>
      <c r="JHS109" s="17"/>
      <c r="JHT109" s="17"/>
      <c r="JHU109" s="17"/>
      <c r="JHV109" s="17"/>
      <c r="JHW109" s="17"/>
      <c r="JHX109" s="17"/>
      <c r="JHY109" s="17"/>
      <c r="JHZ109" s="17"/>
      <c r="JIA109" s="17"/>
      <c r="JIB109" s="17"/>
      <c r="JIC109" s="17"/>
      <c r="JID109" s="17"/>
      <c r="JIE109" s="17"/>
      <c r="JIF109" s="17"/>
      <c r="JIG109" s="17"/>
      <c r="JIH109" s="17"/>
      <c r="JII109" s="17"/>
      <c r="JIJ109" s="17"/>
      <c r="JIK109" s="17"/>
      <c r="JIL109" s="17"/>
      <c r="JIM109" s="17"/>
      <c r="JIN109" s="17"/>
      <c r="JIO109" s="17"/>
      <c r="JIP109" s="17"/>
      <c r="JIQ109" s="17"/>
      <c r="JIR109" s="17"/>
      <c r="JIS109" s="17"/>
      <c r="JIT109" s="17"/>
      <c r="JIU109" s="17"/>
      <c r="JIV109" s="17"/>
      <c r="JIW109" s="17"/>
      <c r="JIX109" s="17"/>
      <c r="JIY109" s="17"/>
      <c r="JIZ109" s="17"/>
      <c r="JJA109" s="17"/>
      <c r="JJB109" s="17"/>
      <c r="JJC109" s="17"/>
      <c r="JJD109" s="17"/>
      <c r="JJE109" s="17"/>
      <c r="JJF109" s="17"/>
      <c r="JJG109" s="17"/>
      <c r="JJH109" s="17"/>
      <c r="JJI109" s="17"/>
      <c r="JJJ109" s="17"/>
      <c r="JJK109" s="17"/>
      <c r="JJL109" s="17"/>
      <c r="JJM109" s="17"/>
      <c r="JJN109" s="17"/>
      <c r="JJO109" s="17"/>
      <c r="JJP109" s="17"/>
      <c r="JJQ109" s="17"/>
      <c r="JJR109" s="17"/>
      <c r="JJS109" s="17"/>
      <c r="JJT109" s="17"/>
      <c r="JJU109" s="17"/>
      <c r="JJV109" s="17"/>
      <c r="JJW109" s="17"/>
      <c r="JJX109" s="17"/>
      <c r="JJY109" s="17"/>
      <c r="JJZ109" s="17"/>
      <c r="JKA109" s="17"/>
      <c r="JKB109" s="17"/>
      <c r="JKC109" s="17"/>
      <c r="JKD109" s="17"/>
      <c r="JKE109" s="17"/>
      <c r="JKF109" s="17"/>
      <c r="JKG109" s="17"/>
      <c r="JKH109" s="17"/>
      <c r="JKI109" s="17"/>
      <c r="JKJ109" s="17"/>
      <c r="JKK109" s="17"/>
      <c r="JKL109" s="17"/>
      <c r="JKM109" s="17"/>
      <c r="JKN109" s="17"/>
      <c r="JKO109" s="17"/>
      <c r="JKP109" s="17"/>
      <c r="JKQ109" s="17"/>
      <c r="JKR109" s="17"/>
      <c r="JKS109" s="17"/>
      <c r="JKT109" s="17"/>
      <c r="JKU109" s="17"/>
      <c r="JKV109" s="17"/>
      <c r="JKW109" s="17"/>
      <c r="JKX109" s="17"/>
      <c r="JKY109" s="17"/>
      <c r="JKZ109" s="17"/>
      <c r="JLA109" s="17"/>
      <c r="JLB109" s="17"/>
      <c r="JLC109" s="17"/>
      <c r="JLD109" s="17"/>
      <c r="JLE109" s="17"/>
      <c r="JLF109" s="17"/>
      <c r="JLG109" s="17"/>
      <c r="JLH109" s="17"/>
      <c r="JLI109" s="17"/>
      <c r="JLJ109" s="17"/>
      <c r="JLK109" s="17"/>
      <c r="JLL109" s="17"/>
      <c r="JLM109" s="17"/>
      <c r="JLN109" s="17"/>
      <c r="JLO109" s="17"/>
      <c r="JLP109" s="17"/>
      <c r="JLQ109" s="17"/>
      <c r="JLR109" s="17"/>
      <c r="JLS109" s="17"/>
      <c r="JLT109" s="17"/>
      <c r="JLU109" s="17"/>
      <c r="JLV109" s="17"/>
      <c r="JLW109" s="17"/>
      <c r="JLX109" s="17"/>
      <c r="JLY109" s="17"/>
      <c r="JLZ109" s="17"/>
      <c r="JMA109" s="17"/>
      <c r="JMB109" s="17"/>
      <c r="JMC109" s="17"/>
      <c r="JMD109" s="17"/>
      <c r="JME109" s="17"/>
      <c r="JMF109" s="17"/>
      <c r="JMG109" s="17"/>
      <c r="JMH109" s="17"/>
      <c r="JMI109" s="17"/>
      <c r="JMJ109" s="17"/>
      <c r="JMK109" s="17"/>
      <c r="JML109" s="17"/>
      <c r="JMM109" s="17"/>
      <c r="JMN109" s="17"/>
      <c r="JMO109" s="17"/>
      <c r="JMP109" s="17"/>
      <c r="JMQ109" s="17"/>
      <c r="JMR109" s="17"/>
      <c r="JMS109" s="17"/>
      <c r="JMT109" s="17"/>
      <c r="JMU109" s="17"/>
      <c r="JMV109" s="17"/>
      <c r="JMW109" s="17"/>
      <c r="JMX109" s="17"/>
      <c r="JMY109" s="17"/>
      <c r="JMZ109" s="17"/>
      <c r="JNA109" s="17"/>
      <c r="JNB109" s="17"/>
      <c r="JNC109" s="17"/>
      <c r="JND109" s="17"/>
      <c r="JNE109" s="17"/>
      <c r="JNF109" s="17"/>
      <c r="JNG109" s="17"/>
      <c r="JNH109" s="17"/>
      <c r="JNI109" s="17"/>
      <c r="JNJ109" s="17"/>
      <c r="JNK109" s="17"/>
      <c r="JNL109" s="17"/>
      <c r="JNM109" s="17"/>
      <c r="JNN109" s="17"/>
      <c r="JNO109" s="17"/>
      <c r="JNP109" s="17"/>
      <c r="JNQ109" s="17"/>
      <c r="JNR109" s="17"/>
      <c r="JNS109" s="17"/>
      <c r="JNT109" s="17"/>
      <c r="JNU109" s="17"/>
      <c r="JNV109" s="17"/>
      <c r="JNW109" s="17"/>
      <c r="JNX109" s="17"/>
      <c r="JNY109" s="17"/>
      <c r="JNZ109" s="17"/>
      <c r="JOA109" s="17"/>
      <c r="JOB109" s="17"/>
      <c r="JOC109" s="17"/>
      <c r="JOD109" s="17"/>
      <c r="JOE109" s="17"/>
      <c r="JOF109" s="17"/>
      <c r="JOG109" s="17"/>
      <c r="JOH109" s="17"/>
      <c r="JOI109" s="17"/>
      <c r="JOJ109" s="17"/>
      <c r="JOK109" s="17"/>
      <c r="JOL109" s="17"/>
      <c r="JOM109" s="17"/>
      <c r="JON109" s="17"/>
      <c r="JOO109" s="17"/>
      <c r="JOP109" s="17"/>
      <c r="JOQ109" s="17"/>
      <c r="JOR109" s="17"/>
      <c r="JOS109" s="17"/>
      <c r="JOT109" s="17"/>
      <c r="JOU109" s="17"/>
      <c r="JOV109" s="17"/>
      <c r="JOW109" s="17"/>
      <c r="JOX109" s="17"/>
      <c r="JOY109" s="17"/>
      <c r="JOZ109" s="17"/>
      <c r="JPA109" s="17"/>
      <c r="JPB109" s="17"/>
      <c r="JPC109" s="17"/>
      <c r="JPD109" s="17"/>
      <c r="JPE109" s="17"/>
      <c r="JPF109" s="17"/>
      <c r="JPG109" s="17"/>
      <c r="JPH109" s="17"/>
      <c r="JPI109" s="17"/>
      <c r="JPJ109" s="17"/>
      <c r="JPK109" s="17"/>
      <c r="JPL109" s="17"/>
      <c r="JPM109" s="17"/>
      <c r="JPN109" s="17"/>
      <c r="JPO109" s="17"/>
      <c r="JPP109" s="17"/>
      <c r="JPQ109" s="17"/>
      <c r="JPR109" s="17"/>
      <c r="JPS109" s="17"/>
      <c r="JPT109" s="17"/>
      <c r="JPU109" s="17"/>
      <c r="JPV109" s="17"/>
      <c r="JPW109" s="17"/>
      <c r="JPX109" s="17"/>
      <c r="JPY109" s="17"/>
      <c r="JPZ109" s="17"/>
      <c r="JQA109" s="17"/>
      <c r="JQB109" s="17"/>
      <c r="JQC109" s="17"/>
      <c r="JQD109" s="17"/>
      <c r="JQE109" s="17"/>
      <c r="JQF109" s="17"/>
      <c r="JQG109" s="17"/>
      <c r="JQH109" s="17"/>
      <c r="JQI109" s="17"/>
      <c r="JQJ109" s="17"/>
      <c r="JQK109" s="17"/>
      <c r="JQL109" s="17"/>
      <c r="JQM109" s="17"/>
      <c r="JQN109" s="17"/>
      <c r="JQO109" s="17"/>
      <c r="JQP109" s="17"/>
      <c r="JQQ109" s="17"/>
      <c r="JQR109" s="17"/>
      <c r="JQS109" s="17"/>
      <c r="JQT109" s="17"/>
      <c r="JQU109" s="17"/>
      <c r="JQV109" s="17"/>
      <c r="JQW109" s="17"/>
      <c r="JQX109" s="17"/>
      <c r="JQY109" s="17"/>
      <c r="JQZ109" s="17"/>
      <c r="JRA109" s="17"/>
      <c r="JRB109" s="17"/>
      <c r="JRC109" s="17"/>
      <c r="JRD109" s="17"/>
      <c r="JRE109" s="17"/>
      <c r="JRF109" s="17"/>
      <c r="JRG109" s="17"/>
      <c r="JRH109" s="17"/>
      <c r="JRI109" s="17"/>
      <c r="JRJ109" s="17"/>
      <c r="JRK109" s="17"/>
      <c r="JRL109" s="17"/>
      <c r="JRM109" s="17"/>
      <c r="JRN109" s="17"/>
      <c r="JRO109" s="17"/>
      <c r="JRP109" s="17"/>
      <c r="JRQ109" s="17"/>
      <c r="JRR109" s="17"/>
      <c r="JRS109" s="17"/>
      <c r="JRT109" s="17"/>
      <c r="JRU109" s="17"/>
      <c r="JRV109" s="17"/>
      <c r="JRW109" s="17"/>
      <c r="JRX109" s="17"/>
      <c r="JRY109" s="17"/>
      <c r="JRZ109" s="17"/>
      <c r="JSA109" s="17"/>
      <c r="JSB109" s="17"/>
      <c r="JSC109" s="17"/>
      <c r="JSD109" s="17"/>
      <c r="JSE109" s="17"/>
      <c r="JSF109" s="17"/>
      <c r="JSG109" s="17"/>
      <c r="JSH109" s="17"/>
      <c r="JSI109" s="17"/>
      <c r="JSJ109" s="17"/>
      <c r="JSK109" s="17"/>
      <c r="JSL109" s="17"/>
      <c r="JSM109" s="17"/>
      <c r="JSN109" s="17"/>
      <c r="JSO109" s="17"/>
      <c r="JSP109" s="17"/>
      <c r="JSQ109" s="17"/>
      <c r="JSR109" s="17"/>
      <c r="JSS109" s="17"/>
      <c r="JST109" s="17"/>
      <c r="JSU109" s="17"/>
      <c r="JSV109" s="17"/>
      <c r="JSW109" s="17"/>
      <c r="JSX109" s="17"/>
      <c r="JSY109" s="17"/>
      <c r="JSZ109" s="17"/>
      <c r="JTA109" s="17"/>
      <c r="JTB109" s="17"/>
      <c r="JTC109" s="17"/>
      <c r="JTD109" s="17"/>
      <c r="JTE109" s="17"/>
      <c r="JTF109" s="17"/>
      <c r="JTG109" s="17"/>
      <c r="JTH109" s="17"/>
      <c r="JTI109" s="17"/>
      <c r="JTJ109" s="17"/>
      <c r="JTK109" s="17"/>
      <c r="JTL109" s="17"/>
      <c r="JTM109" s="17"/>
      <c r="JTN109" s="17"/>
      <c r="JTO109" s="17"/>
      <c r="JTP109" s="17"/>
      <c r="JTQ109" s="17"/>
      <c r="JTR109" s="17"/>
      <c r="JTS109" s="17"/>
      <c r="JTT109" s="17"/>
      <c r="JTU109" s="17"/>
      <c r="JTV109" s="17"/>
      <c r="JTW109" s="17"/>
      <c r="JTX109" s="17"/>
      <c r="JTY109" s="17"/>
      <c r="JTZ109" s="17"/>
      <c r="JUA109" s="17"/>
      <c r="JUB109" s="17"/>
      <c r="JUC109" s="17"/>
      <c r="JUD109" s="17"/>
      <c r="JUE109" s="17"/>
      <c r="JUF109" s="17"/>
      <c r="JUG109" s="17"/>
      <c r="JUH109" s="17"/>
      <c r="JUI109" s="17"/>
      <c r="JUJ109" s="17"/>
      <c r="JUK109" s="17"/>
      <c r="JUL109" s="17"/>
      <c r="JUM109" s="17"/>
      <c r="JUN109" s="17"/>
      <c r="JUO109" s="17"/>
      <c r="JUP109" s="17"/>
      <c r="JUQ109" s="17"/>
      <c r="JUR109" s="17"/>
      <c r="JUS109" s="17"/>
      <c r="JUT109" s="17"/>
      <c r="JUU109" s="17"/>
      <c r="JUV109" s="17"/>
      <c r="JUW109" s="17"/>
      <c r="JUX109" s="17"/>
      <c r="JUY109" s="17"/>
      <c r="JUZ109" s="17"/>
      <c r="JVA109" s="17"/>
      <c r="JVB109" s="17"/>
      <c r="JVC109" s="17"/>
      <c r="JVD109" s="17"/>
      <c r="JVE109" s="17"/>
      <c r="JVF109" s="17"/>
      <c r="JVG109" s="17"/>
      <c r="JVH109" s="17"/>
      <c r="JVI109" s="17"/>
      <c r="JVJ109" s="17"/>
      <c r="JVK109" s="17"/>
      <c r="JVL109" s="17"/>
      <c r="JVM109" s="17"/>
      <c r="JVN109" s="17"/>
      <c r="JVO109" s="17"/>
      <c r="JVP109" s="17"/>
      <c r="JVQ109" s="17"/>
      <c r="JVR109" s="17"/>
      <c r="JVS109" s="17"/>
      <c r="JVT109" s="17"/>
      <c r="JVU109" s="17"/>
      <c r="JVV109" s="17"/>
      <c r="JVW109" s="17"/>
      <c r="JVX109" s="17"/>
      <c r="JVY109" s="17"/>
      <c r="JVZ109" s="17"/>
      <c r="JWA109" s="17"/>
      <c r="JWB109" s="17"/>
      <c r="JWC109" s="17"/>
      <c r="JWD109" s="17"/>
      <c r="JWE109" s="17"/>
      <c r="JWF109" s="17"/>
      <c r="JWG109" s="17"/>
      <c r="JWH109" s="17"/>
      <c r="JWI109" s="17"/>
      <c r="JWJ109" s="17"/>
      <c r="JWK109" s="17"/>
      <c r="JWL109" s="17"/>
      <c r="JWM109" s="17"/>
      <c r="JWN109" s="17"/>
      <c r="JWO109" s="17"/>
      <c r="JWP109" s="17"/>
      <c r="JWQ109" s="17"/>
      <c r="JWR109" s="17"/>
      <c r="JWS109" s="17"/>
      <c r="JWT109" s="17"/>
      <c r="JWU109" s="17"/>
      <c r="JWV109" s="17"/>
      <c r="JWW109" s="17"/>
      <c r="JWX109" s="17"/>
      <c r="JWY109" s="17"/>
      <c r="JWZ109" s="17"/>
      <c r="JXA109" s="17"/>
      <c r="JXB109" s="17"/>
      <c r="JXC109" s="17"/>
      <c r="JXD109" s="17"/>
      <c r="JXE109" s="17"/>
      <c r="JXF109" s="17"/>
      <c r="JXG109" s="17"/>
      <c r="JXH109" s="17"/>
      <c r="JXI109" s="17"/>
      <c r="JXJ109" s="17"/>
      <c r="JXK109" s="17"/>
      <c r="JXL109" s="17"/>
      <c r="JXM109" s="17"/>
      <c r="JXN109" s="17"/>
      <c r="JXO109" s="17"/>
      <c r="JXP109" s="17"/>
      <c r="JXQ109" s="17"/>
      <c r="JXR109" s="17"/>
      <c r="JXS109" s="17"/>
      <c r="JXT109" s="17"/>
      <c r="JXU109" s="17"/>
      <c r="JXV109" s="17"/>
      <c r="JXW109" s="17"/>
      <c r="JXX109" s="17"/>
      <c r="JXY109" s="17"/>
      <c r="JXZ109" s="17"/>
      <c r="JYA109" s="17"/>
      <c r="JYB109" s="17"/>
      <c r="JYC109" s="17"/>
      <c r="JYD109" s="17"/>
      <c r="JYE109" s="17"/>
      <c r="JYF109" s="17"/>
      <c r="JYG109" s="17"/>
      <c r="JYH109" s="17"/>
      <c r="JYI109" s="17"/>
      <c r="JYJ109" s="17"/>
      <c r="JYK109" s="17"/>
      <c r="JYL109" s="17"/>
      <c r="JYM109" s="17"/>
      <c r="JYN109" s="17"/>
      <c r="JYO109" s="17"/>
      <c r="JYP109" s="17"/>
      <c r="JYQ109" s="17"/>
      <c r="JYR109" s="17"/>
      <c r="JYS109" s="17"/>
      <c r="JYT109" s="17"/>
      <c r="JYU109" s="17"/>
      <c r="JYV109" s="17"/>
      <c r="JYW109" s="17"/>
      <c r="JYX109" s="17"/>
      <c r="JYY109" s="17"/>
      <c r="JYZ109" s="17"/>
      <c r="JZA109" s="17"/>
      <c r="JZB109" s="17"/>
      <c r="JZC109" s="17"/>
      <c r="JZD109" s="17"/>
      <c r="JZE109" s="17"/>
      <c r="JZF109" s="17"/>
      <c r="JZG109" s="17"/>
      <c r="JZH109" s="17"/>
      <c r="JZI109" s="17"/>
      <c r="JZJ109" s="17"/>
      <c r="JZK109" s="17"/>
      <c r="JZL109" s="17"/>
      <c r="JZM109" s="17"/>
      <c r="JZN109" s="17"/>
      <c r="JZO109" s="17"/>
      <c r="JZP109" s="17"/>
      <c r="JZQ109" s="17"/>
      <c r="JZR109" s="17"/>
      <c r="JZS109" s="17"/>
      <c r="JZT109" s="17"/>
      <c r="JZU109" s="17"/>
      <c r="JZV109" s="17"/>
      <c r="JZW109" s="17"/>
      <c r="JZX109" s="17"/>
      <c r="JZY109" s="17"/>
      <c r="JZZ109" s="17"/>
      <c r="KAA109" s="17"/>
      <c r="KAB109" s="17"/>
      <c r="KAC109" s="17"/>
      <c r="KAD109" s="17"/>
      <c r="KAE109" s="17"/>
      <c r="KAF109" s="17"/>
      <c r="KAG109" s="17"/>
      <c r="KAH109" s="17"/>
      <c r="KAI109" s="17"/>
      <c r="KAJ109" s="17"/>
      <c r="KAK109" s="17"/>
      <c r="KAL109" s="17"/>
      <c r="KAM109" s="17"/>
      <c r="KAN109" s="17"/>
      <c r="KAO109" s="17"/>
      <c r="KAP109" s="17"/>
      <c r="KAQ109" s="17"/>
      <c r="KAR109" s="17"/>
      <c r="KAS109" s="17"/>
      <c r="KAT109" s="17"/>
      <c r="KAU109" s="17"/>
      <c r="KAV109" s="17"/>
      <c r="KAW109" s="17"/>
      <c r="KAX109" s="17"/>
      <c r="KAY109" s="17"/>
      <c r="KAZ109" s="17"/>
      <c r="KBA109" s="17"/>
      <c r="KBB109" s="17"/>
      <c r="KBC109" s="17"/>
      <c r="KBD109" s="17"/>
      <c r="KBE109" s="17"/>
      <c r="KBF109" s="17"/>
      <c r="KBG109" s="17"/>
      <c r="KBH109" s="17"/>
      <c r="KBI109" s="17"/>
      <c r="KBJ109" s="17"/>
      <c r="KBK109" s="17"/>
      <c r="KBL109" s="17"/>
      <c r="KBM109" s="17"/>
      <c r="KBN109" s="17"/>
      <c r="KBO109" s="17"/>
      <c r="KBP109" s="17"/>
      <c r="KBQ109" s="17"/>
      <c r="KBR109" s="17"/>
      <c r="KBS109" s="17"/>
      <c r="KBT109" s="17"/>
      <c r="KBU109" s="17"/>
      <c r="KBV109" s="17"/>
      <c r="KBW109" s="17"/>
      <c r="KBX109" s="17"/>
      <c r="KBY109" s="17"/>
      <c r="KBZ109" s="17"/>
      <c r="KCA109" s="17"/>
      <c r="KCB109" s="17"/>
      <c r="KCC109" s="17"/>
      <c r="KCD109" s="17"/>
      <c r="KCE109" s="17"/>
      <c r="KCF109" s="17"/>
      <c r="KCG109" s="17"/>
      <c r="KCH109" s="17"/>
      <c r="KCI109" s="17"/>
      <c r="KCJ109" s="17"/>
      <c r="KCK109" s="17"/>
      <c r="KCL109" s="17"/>
      <c r="KCM109" s="17"/>
      <c r="KCN109" s="17"/>
      <c r="KCO109" s="17"/>
      <c r="KCP109" s="17"/>
      <c r="KCQ109" s="17"/>
      <c r="KCR109" s="17"/>
      <c r="KCS109" s="17"/>
      <c r="KCT109" s="17"/>
      <c r="KCU109" s="17"/>
      <c r="KCV109" s="17"/>
      <c r="KCW109" s="17"/>
      <c r="KCX109" s="17"/>
      <c r="KCY109" s="17"/>
      <c r="KCZ109" s="17"/>
      <c r="KDA109" s="17"/>
      <c r="KDB109" s="17"/>
      <c r="KDC109" s="17"/>
      <c r="KDD109" s="17"/>
      <c r="KDE109" s="17"/>
      <c r="KDF109" s="17"/>
      <c r="KDG109" s="17"/>
      <c r="KDH109" s="17"/>
      <c r="KDI109" s="17"/>
      <c r="KDJ109" s="17"/>
      <c r="KDK109" s="17"/>
      <c r="KDL109" s="17"/>
      <c r="KDM109" s="17"/>
      <c r="KDN109" s="17"/>
      <c r="KDO109" s="17"/>
      <c r="KDP109" s="17"/>
      <c r="KDQ109" s="17"/>
      <c r="KDR109" s="17"/>
      <c r="KDS109" s="17"/>
      <c r="KDT109" s="17"/>
      <c r="KDU109" s="17"/>
      <c r="KDV109" s="17"/>
      <c r="KDW109" s="17"/>
      <c r="KDX109" s="17"/>
      <c r="KDY109" s="17"/>
      <c r="KDZ109" s="17"/>
      <c r="KEA109" s="17"/>
      <c r="KEB109" s="17"/>
      <c r="KEC109" s="17"/>
      <c r="KED109" s="17"/>
      <c r="KEE109" s="17"/>
      <c r="KEF109" s="17"/>
      <c r="KEG109" s="17"/>
      <c r="KEH109" s="17"/>
      <c r="KEI109" s="17"/>
      <c r="KEJ109" s="17"/>
      <c r="KEK109" s="17"/>
      <c r="KEL109" s="17"/>
      <c r="KEM109" s="17"/>
      <c r="KEN109" s="17"/>
      <c r="KEO109" s="17"/>
      <c r="KEP109" s="17"/>
      <c r="KEQ109" s="17"/>
      <c r="KER109" s="17"/>
      <c r="KES109" s="17"/>
      <c r="KET109" s="17"/>
      <c r="KEU109" s="17"/>
      <c r="KEV109" s="17"/>
      <c r="KEW109" s="17"/>
      <c r="KEX109" s="17"/>
      <c r="KEY109" s="17"/>
      <c r="KEZ109" s="17"/>
      <c r="KFA109" s="17"/>
      <c r="KFB109" s="17"/>
      <c r="KFC109" s="17"/>
      <c r="KFD109" s="17"/>
      <c r="KFE109" s="17"/>
      <c r="KFF109" s="17"/>
      <c r="KFG109" s="17"/>
      <c r="KFH109" s="17"/>
      <c r="KFI109" s="17"/>
      <c r="KFJ109" s="17"/>
      <c r="KFK109" s="17"/>
      <c r="KFL109" s="17"/>
      <c r="KFM109" s="17"/>
      <c r="KFN109" s="17"/>
      <c r="KFO109" s="17"/>
      <c r="KFP109" s="17"/>
      <c r="KFQ109" s="17"/>
      <c r="KFR109" s="17"/>
      <c r="KFS109" s="17"/>
      <c r="KFT109" s="17"/>
      <c r="KFU109" s="17"/>
      <c r="KFV109" s="17"/>
      <c r="KFW109" s="17"/>
      <c r="KFX109" s="17"/>
      <c r="KFY109" s="17"/>
      <c r="KFZ109" s="17"/>
      <c r="KGA109" s="17"/>
      <c r="KGB109" s="17"/>
      <c r="KGC109" s="17"/>
      <c r="KGD109" s="17"/>
      <c r="KGE109" s="17"/>
      <c r="KGF109" s="17"/>
      <c r="KGG109" s="17"/>
      <c r="KGH109" s="17"/>
      <c r="KGI109" s="17"/>
      <c r="KGJ109" s="17"/>
      <c r="KGK109" s="17"/>
      <c r="KGL109" s="17"/>
      <c r="KGM109" s="17"/>
      <c r="KGN109" s="17"/>
      <c r="KGO109" s="17"/>
      <c r="KGP109" s="17"/>
      <c r="KGQ109" s="17"/>
      <c r="KGR109" s="17"/>
      <c r="KGS109" s="17"/>
      <c r="KGT109" s="17"/>
      <c r="KGU109" s="17"/>
      <c r="KGV109" s="17"/>
      <c r="KGW109" s="17"/>
      <c r="KGX109" s="17"/>
      <c r="KGY109" s="17"/>
      <c r="KGZ109" s="17"/>
      <c r="KHA109" s="17"/>
      <c r="KHB109" s="17"/>
      <c r="KHC109" s="17"/>
      <c r="KHD109" s="17"/>
      <c r="KHE109" s="17"/>
      <c r="KHF109" s="17"/>
      <c r="KHG109" s="17"/>
      <c r="KHH109" s="17"/>
      <c r="KHI109" s="17"/>
      <c r="KHJ109" s="17"/>
      <c r="KHK109" s="17"/>
      <c r="KHL109" s="17"/>
      <c r="KHM109" s="17"/>
      <c r="KHN109" s="17"/>
      <c r="KHO109" s="17"/>
      <c r="KHP109" s="17"/>
      <c r="KHQ109" s="17"/>
      <c r="KHR109" s="17"/>
      <c r="KHS109" s="17"/>
      <c r="KHT109" s="17"/>
      <c r="KHU109" s="17"/>
      <c r="KHV109" s="17"/>
      <c r="KHW109" s="17"/>
      <c r="KHX109" s="17"/>
      <c r="KHY109" s="17"/>
      <c r="KHZ109" s="17"/>
      <c r="KIA109" s="17"/>
      <c r="KIB109" s="17"/>
      <c r="KIC109" s="17"/>
      <c r="KID109" s="17"/>
      <c r="KIE109" s="17"/>
      <c r="KIF109" s="17"/>
      <c r="KIG109" s="17"/>
      <c r="KIH109" s="17"/>
      <c r="KII109" s="17"/>
      <c r="KIJ109" s="17"/>
      <c r="KIK109" s="17"/>
      <c r="KIL109" s="17"/>
      <c r="KIM109" s="17"/>
      <c r="KIN109" s="17"/>
      <c r="KIO109" s="17"/>
      <c r="KIP109" s="17"/>
      <c r="KIQ109" s="17"/>
      <c r="KIR109" s="17"/>
      <c r="KIS109" s="17"/>
      <c r="KIT109" s="17"/>
      <c r="KIU109" s="17"/>
      <c r="KIV109" s="17"/>
      <c r="KIW109" s="17"/>
      <c r="KIX109" s="17"/>
      <c r="KIY109" s="17"/>
      <c r="KIZ109" s="17"/>
      <c r="KJA109" s="17"/>
      <c r="KJB109" s="17"/>
      <c r="KJC109" s="17"/>
      <c r="KJD109" s="17"/>
      <c r="KJE109" s="17"/>
      <c r="KJF109" s="17"/>
      <c r="KJG109" s="17"/>
      <c r="KJH109" s="17"/>
      <c r="KJI109" s="17"/>
      <c r="KJJ109" s="17"/>
      <c r="KJK109" s="17"/>
      <c r="KJL109" s="17"/>
      <c r="KJM109" s="17"/>
      <c r="KJN109" s="17"/>
      <c r="KJO109" s="17"/>
      <c r="KJP109" s="17"/>
      <c r="KJQ109" s="17"/>
      <c r="KJR109" s="17"/>
      <c r="KJS109" s="17"/>
      <c r="KJT109" s="17"/>
      <c r="KJU109" s="17"/>
      <c r="KJV109" s="17"/>
      <c r="KJW109" s="17"/>
      <c r="KJX109" s="17"/>
      <c r="KJY109" s="17"/>
      <c r="KJZ109" s="17"/>
      <c r="KKA109" s="17"/>
      <c r="KKB109" s="17"/>
      <c r="KKC109" s="17"/>
      <c r="KKD109" s="17"/>
      <c r="KKE109" s="17"/>
      <c r="KKF109" s="17"/>
      <c r="KKG109" s="17"/>
      <c r="KKH109" s="17"/>
      <c r="KKI109" s="17"/>
      <c r="KKJ109" s="17"/>
      <c r="KKK109" s="17"/>
      <c r="KKL109" s="17"/>
      <c r="KKM109" s="17"/>
      <c r="KKN109" s="17"/>
      <c r="KKO109" s="17"/>
      <c r="KKP109" s="17"/>
      <c r="KKQ109" s="17"/>
      <c r="KKR109" s="17"/>
      <c r="KKS109" s="17"/>
      <c r="KKT109" s="17"/>
      <c r="KKU109" s="17"/>
      <c r="KKV109" s="17"/>
      <c r="KKW109" s="17"/>
      <c r="KKX109" s="17"/>
      <c r="KKY109" s="17"/>
      <c r="KKZ109" s="17"/>
      <c r="KLA109" s="17"/>
      <c r="KLB109" s="17"/>
      <c r="KLC109" s="17"/>
      <c r="KLD109" s="17"/>
      <c r="KLE109" s="17"/>
      <c r="KLF109" s="17"/>
      <c r="KLG109" s="17"/>
      <c r="KLH109" s="17"/>
      <c r="KLI109" s="17"/>
      <c r="KLJ109" s="17"/>
      <c r="KLK109" s="17"/>
      <c r="KLL109" s="17"/>
      <c r="KLM109" s="17"/>
      <c r="KLN109" s="17"/>
      <c r="KLO109" s="17"/>
      <c r="KLP109" s="17"/>
      <c r="KLQ109" s="17"/>
      <c r="KLR109" s="17"/>
      <c r="KLS109" s="17"/>
      <c r="KLT109" s="17"/>
      <c r="KLU109" s="17"/>
      <c r="KLV109" s="17"/>
      <c r="KLW109" s="17"/>
      <c r="KLX109" s="17"/>
      <c r="KLY109" s="17"/>
      <c r="KLZ109" s="17"/>
      <c r="KMA109" s="17"/>
      <c r="KMB109" s="17"/>
      <c r="KMC109" s="17"/>
      <c r="KMD109" s="17"/>
      <c r="KME109" s="17"/>
      <c r="KMF109" s="17"/>
      <c r="KMG109" s="17"/>
      <c r="KMH109" s="17"/>
      <c r="KMI109" s="17"/>
      <c r="KMJ109" s="17"/>
      <c r="KMK109" s="17"/>
      <c r="KML109" s="17"/>
      <c r="KMM109" s="17"/>
      <c r="KMN109" s="17"/>
      <c r="KMO109" s="17"/>
      <c r="KMP109" s="17"/>
      <c r="KMQ109" s="17"/>
      <c r="KMR109" s="17"/>
      <c r="KMS109" s="17"/>
      <c r="KMT109" s="17"/>
      <c r="KMU109" s="17"/>
      <c r="KMV109" s="17"/>
      <c r="KMW109" s="17"/>
      <c r="KMX109" s="17"/>
      <c r="KMY109" s="17"/>
      <c r="KMZ109" s="17"/>
      <c r="KNA109" s="17"/>
      <c r="KNB109" s="17"/>
      <c r="KNC109" s="17"/>
      <c r="KND109" s="17"/>
      <c r="KNE109" s="17"/>
      <c r="KNF109" s="17"/>
      <c r="KNG109" s="17"/>
      <c r="KNH109" s="17"/>
      <c r="KNI109" s="17"/>
      <c r="KNJ109" s="17"/>
      <c r="KNK109" s="17"/>
      <c r="KNL109" s="17"/>
      <c r="KNM109" s="17"/>
      <c r="KNN109" s="17"/>
      <c r="KNO109" s="17"/>
      <c r="KNP109" s="17"/>
      <c r="KNQ109" s="17"/>
      <c r="KNR109" s="17"/>
      <c r="KNS109" s="17"/>
      <c r="KNT109" s="17"/>
      <c r="KNU109" s="17"/>
      <c r="KNV109" s="17"/>
      <c r="KNW109" s="17"/>
      <c r="KNX109" s="17"/>
      <c r="KNY109" s="17"/>
      <c r="KNZ109" s="17"/>
      <c r="KOA109" s="17"/>
      <c r="KOB109" s="17"/>
      <c r="KOC109" s="17"/>
      <c r="KOD109" s="17"/>
      <c r="KOE109" s="17"/>
      <c r="KOF109" s="17"/>
      <c r="KOG109" s="17"/>
      <c r="KOH109" s="17"/>
      <c r="KOI109" s="17"/>
      <c r="KOJ109" s="17"/>
      <c r="KOK109" s="17"/>
      <c r="KOL109" s="17"/>
      <c r="KOM109" s="17"/>
      <c r="KON109" s="17"/>
      <c r="KOO109" s="17"/>
      <c r="KOP109" s="17"/>
      <c r="KOQ109" s="17"/>
      <c r="KOR109" s="17"/>
      <c r="KOS109" s="17"/>
      <c r="KOT109" s="17"/>
      <c r="KOU109" s="17"/>
      <c r="KOV109" s="17"/>
      <c r="KOW109" s="17"/>
      <c r="KOX109" s="17"/>
      <c r="KOY109" s="17"/>
      <c r="KOZ109" s="17"/>
      <c r="KPA109" s="17"/>
      <c r="KPB109" s="17"/>
      <c r="KPC109" s="17"/>
      <c r="KPD109" s="17"/>
      <c r="KPE109" s="17"/>
      <c r="KPF109" s="17"/>
      <c r="KPG109" s="17"/>
      <c r="KPH109" s="17"/>
      <c r="KPI109" s="17"/>
      <c r="KPJ109" s="17"/>
      <c r="KPK109" s="17"/>
      <c r="KPL109" s="17"/>
      <c r="KPM109" s="17"/>
      <c r="KPN109" s="17"/>
      <c r="KPO109" s="17"/>
      <c r="KPP109" s="17"/>
      <c r="KPQ109" s="17"/>
      <c r="KPR109" s="17"/>
      <c r="KPS109" s="17"/>
      <c r="KPT109" s="17"/>
      <c r="KPU109" s="17"/>
      <c r="KPV109" s="17"/>
      <c r="KPW109" s="17"/>
      <c r="KPX109" s="17"/>
      <c r="KPY109" s="17"/>
      <c r="KPZ109" s="17"/>
      <c r="KQA109" s="17"/>
      <c r="KQB109" s="17"/>
      <c r="KQC109" s="17"/>
      <c r="KQD109" s="17"/>
      <c r="KQE109" s="17"/>
      <c r="KQF109" s="17"/>
      <c r="KQG109" s="17"/>
      <c r="KQH109" s="17"/>
      <c r="KQI109" s="17"/>
      <c r="KQJ109" s="17"/>
      <c r="KQK109" s="17"/>
      <c r="KQL109" s="17"/>
      <c r="KQM109" s="17"/>
      <c r="KQN109" s="17"/>
      <c r="KQO109" s="17"/>
      <c r="KQP109" s="17"/>
      <c r="KQQ109" s="17"/>
      <c r="KQR109" s="17"/>
      <c r="KQS109" s="17"/>
      <c r="KQT109" s="17"/>
      <c r="KQU109" s="17"/>
      <c r="KQV109" s="17"/>
      <c r="KQW109" s="17"/>
      <c r="KQX109" s="17"/>
      <c r="KQY109" s="17"/>
      <c r="KQZ109" s="17"/>
      <c r="KRA109" s="17"/>
      <c r="KRB109" s="17"/>
      <c r="KRC109" s="17"/>
      <c r="KRD109" s="17"/>
      <c r="KRE109" s="17"/>
      <c r="KRF109" s="17"/>
      <c r="KRG109" s="17"/>
      <c r="KRH109" s="17"/>
      <c r="KRI109" s="17"/>
      <c r="KRJ109" s="17"/>
      <c r="KRK109" s="17"/>
      <c r="KRL109" s="17"/>
      <c r="KRM109" s="17"/>
      <c r="KRN109" s="17"/>
      <c r="KRO109" s="17"/>
      <c r="KRP109" s="17"/>
      <c r="KRQ109" s="17"/>
      <c r="KRR109" s="17"/>
      <c r="KRS109" s="17"/>
      <c r="KRT109" s="17"/>
      <c r="KRU109" s="17"/>
      <c r="KRV109" s="17"/>
      <c r="KRW109" s="17"/>
      <c r="KRX109" s="17"/>
      <c r="KRY109" s="17"/>
      <c r="KRZ109" s="17"/>
      <c r="KSA109" s="17"/>
      <c r="KSB109" s="17"/>
      <c r="KSC109" s="17"/>
      <c r="KSD109" s="17"/>
      <c r="KSE109" s="17"/>
      <c r="KSF109" s="17"/>
      <c r="KSG109" s="17"/>
      <c r="KSH109" s="17"/>
      <c r="KSI109" s="17"/>
      <c r="KSJ109" s="17"/>
      <c r="KSK109" s="17"/>
      <c r="KSL109" s="17"/>
      <c r="KSM109" s="17"/>
      <c r="KSN109" s="17"/>
      <c r="KSO109" s="17"/>
      <c r="KSP109" s="17"/>
      <c r="KSQ109" s="17"/>
      <c r="KSR109" s="17"/>
      <c r="KSS109" s="17"/>
      <c r="KST109" s="17"/>
      <c r="KSU109" s="17"/>
      <c r="KSV109" s="17"/>
      <c r="KSW109" s="17"/>
      <c r="KSX109" s="17"/>
      <c r="KSY109" s="17"/>
      <c r="KSZ109" s="17"/>
      <c r="KTA109" s="17"/>
      <c r="KTB109" s="17"/>
      <c r="KTC109" s="17"/>
      <c r="KTD109" s="17"/>
      <c r="KTE109" s="17"/>
      <c r="KTF109" s="17"/>
      <c r="KTG109" s="17"/>
      <c r="KTH109" s="17"/>
      <c r="KTI109" s="17"/>
      <c r="KTJ109" s="17"/>
      <c r="KTK109" s="17"/>
      <c r="KTL109" s="17"/>
      <c r="KTM109" s="17"/>
      <c r="KTN109" s="17"/>
      <c r="KTO109" s="17"/>
      <c r="KTP109" s="17"/>
      <c r="KTQ109" s="17"/>
      <c r="KTR109" s="17"/>
      <c r="KTS109" s="17"/>
      <c r="KTT109" s="17"/>
      <c r="KTU109" s="17"/>
      <c r="KTV109" s="17"/>
      <c r="KTW109" s="17"/>
      <c r="KTX109" s="17"/>
      <c r="KTY109" s="17"/>
      <c r="KTZ109" s="17"/>
      <c r="KUA109" s="17"/>
      <c r="KUB109" s="17"/>
      <c r="KUC109" s="17"/>
      <c r="KUD109" s="17"/>
      <c r="KUE109" s="17"/>
      <c r="KUF109" s="17"/>
      <c r="KUG109" s="17"/>
      <c r="KUH109" s="17"/>
      <c r="KUI109" s="17"/>
      <c r="KUJ109" s="17"/>
      <c r="KUK109" s="17"/>
      <c r="KUL109" s="17"/>
      <c r="KUM109" s="17"/>
      <c r="KUN109" s="17"/>
      <c r="KUO109" s="17"/>
      <c r="KUP109" s="17"/>
      <c r="KUQ109" s="17"/>
      <c r="KUR109" s="17"/>
      <c r="KUS109" s="17"/>
      <c r="KUT109" s="17"/>
      <c r="KUU109" s="17"/>
      <c r="KUV109" s="17"/>
      <c r="KUW109" s="17"/>
      <c r="KUX109" s="17"/>
      <c r="KUY109" s="17"/>
      <c r="KUZ109" s="17"/>
      <c r="KVA109" s="17"/>
      <c r="KVB109" s="17"/>
      <c r="KVC109" s="17"/>
      <c r="KVD109" s="17"/>
      <c r="KVE109" s="17"/>
      <c r="KVF109" s="17"/>
      <c r="KVG109" s="17"/>
      <c r="KVH109" s="17"/>
      <c r="KVI109" s="17"/>
      <c r="KVJ109" s="17"/>
      <c r="KVK109" s="17"/>
      <c r="KVL109" s="17"/>
      <c r="KVM109" s="17"/>
      <c r="KVN109" s="17"/>
      <c r="KVO109" s="17"/>
      <c r="KVP109" s="17"/>
      <c r="KVQ109" s="17"/>
      <c r="KVR109" s="17"/>
      <c r="KVS109" s="17"/>
      <c r="KVT109" s="17"/>
      <c r="KVU109" s="17"/>
      <c r="KVV109" s="17"/>
      <c r="KVW109" s="17"/>
      <c r="KVX109" s="17"/>
      <c r="KVY109" s="17"/>
      <c r="KVZ109" s="17"/>
      <c r="KWA109" s="17"/>
      <c r="KWB109" s="17"/>
      <c r="KWC109" s="17"/>
      <c r="KWD109" s="17"/>
      <c r="KWE109" s="17"/>
      <c r="KWF109" s="17"/>
      <c r="KWG109" s="17"/>
      <c r="KWH109" s="17"/>
      <c r="KWI109" s="17"/>
      <c r="KWJ109" s="17"/>
      <c r="KWK109" s="17"/>
      <c r="KWL109" s="17"/>
      <c r="KWM109" s="17"/>
      <c r="KWN109" s="17"/>
      <c r="KWO109" s="17"/>
      <c r="KWP109" s="17"/>
      <c r="KWQ109" s="17"/>
      <c r="KWR109" s="17"/>
      <c r="KWS109" s="17"/>
      <c r="KWT109" s="17"/>
      <c r="KWU109" s="17"/>
      <c r="KWV109" s="17"/>
      <c r="KWW109" s="17"/>
      <c r="KWX109" s="17"/>
      <c r="KWY109" s="17"/>
      <c r="KWZ109" s="17"/>
      <c r="KXA109" s="17"/>
      <c r="KXB109" s="17"/>
      <c r="KXC109" s="17"/>
      <c r="KXD109" s="17"/>
      <c r="KXE109" s="17"/>
      <c r="KXF109" s="17"/>
      <c r="KXG109" s="17"/>
      <c r="KXH109" s="17"/>
      <c r="KXI109" s="17"/>
      <c r="KXJ109" s="17"/>
      <c r="KXK109" s="17"/>
      <c r="KXL109" s="17"/>
      <c r="KXM109" s="17"/>
      <c r="KXN109" s="17"/>
      <c r="KXO109" s="17"/>
      <c r="KXP109" s="17"/>
      <c r="KXQ109" s="17"/>
      <c r="KXR109" s="17"/>
      <c r="KXS109" s="17"/>
      <c r="KXT109" s="17"/>
      <c r="KXU109" s="17"/>
      <c r="KXV109" s="17"/>
      <c r="KXW109" s="17"/>
      <c r="KXX109" s="17"/>
      <c r="KXY109" s="17"/>
      <c r="KXZ109" s="17"/>
      <c r="KYA109" s="17"/>
      <c r="KYB109" s="17"/>
      <c r="KYC109" s="17"/>
      <c r="KYD109" s="17"/>
      <c r="KYE109" s="17"/>
      <c r="KYF109" s="17"/>
      <c r="KYG109" s="17"/>
      <c r="KYH109" s="17"/>
      <c r="KYI109" s="17"/>
      <c r="KYJ109" s="17"/>
      <c r="KYK109" s="17"/>
      <c r="KYL109" s="17"/>
      <c r="KYM109" s="17"/>
      <c r="KYN109" s="17"/>
      <c r="KYO109" s="17"/>
      <c r="KYP109" s="17"/>
      <c r="KYQ109" s="17"/>
      <c r="KYR109" s="17"/>
      <c r="KYS109" s="17"/>
      <c r="KYT109" s="17"/>
      <c r="KYU109" s="17"/>
      <c r="KYV109" s="17"/>
      <c r="KYW109" s="17"/>
      <c r="KYX109" s="17"/>
      <c r="KYY109" s="17"/>
      <c r="KYZ109" s="17"/>
      <c r="KZA109" s="17"/>
      <c r="KZB109" s="17"/>
      <c r="KZC109" s="17"/>
      <c r="KZD109" s="17"/>
      <c r="KZE109" s="17"/>
      <c r="KZF109" s="17"/>
      <c r="KZG109" s="17"/>
      <c r="KZH109" s="17"/>
      <c r="KZI109" s="17"/>
      <c r="KZJ109" s="17"/>
      <c r="KZK109" s="17"/>
      <c r="KZL109" s="17"/>
      <c r="KZM109" s="17"/>
      <c r="KZN109" s="17"/>
      <c r="KZO109" s="17"/>
      <c r="KZP109" s="17"/>
      <c r="KZQ109" s="17"/>
      <c r="KZR109" s="17"/>
      <c r="KZS109" s="17"/>
      <c r="KZT109" s="17"/>
      <c r="KZU109" s="17"/>
      <c r="KZV109" s="17"/>
      <c r="KZW109" s="17"/>
      <c r="KZX109" s="17"/>
      <c r="KZY109" s="17"/>
      <c r="KZZ109" s="17"/>
      <c r="LAA109" s="17"/>
      <c r="LAB109" s="17"/>
      <c r="LAC109" s="17"/>
      <c r="LAD109" s="17"/>
      <c r="LAE109" s="17"/>
      <c r="LAF109" s="17"/>
      <c r="LAG109" s="17"/>
      <c r="LAH109" s="17"/>
      <c r="LAI109" s="17"/>
      <c r="LAJ109" s="17"/>
      <c r="LAK109" s="17"/>
      <c r="LAL109" s="17"/>
      <c r="LAM109" s="17"/>
      <c r="LAN109" s="17"/>
      <c r="LAO109" s="17"/>
      <c r="LAP109" s="17"/>
      <c r="LAQ109" s="17"/>
      <c r="LAR109" s="17"/>
      <c r="LAS109" s="17"/>
      <c r="LAT109" s="17"/>
      <c r="LAU109" s="17"/>
      <c r="LAV109" s="17"/>
      <c r="LAW109" s="17"/>
      <c r="LAX109" s="17"/>
      <c r="LAY109" s="17"/>
      <c r="LAZ109" s="17"/>
      <c r="LBA109" s="17"/>
      <c r="LBB109" s="17"/>
      <c r="LBC109" s="17"/>
      <c r="LBD109" s="17"/>
      <c r="LBE109" s="17"/>
      <c r="LBF109" s="17"/>
      <c r="LBG109" s="17"/>
      <c r="LBH109" s="17"/>
      <c r="LBI109" s="17"/>
      <c r="LBJ109" s="17"/>
      <c r="LBK109" s="17"/>
      <c r="LBL109" s="17"/>
      <c r="LBM109" s="17"/>
      <c r="LBN109" s="17"/>
      <c r="LBO109" s="17"/>
      <c r="LBP109" s="17"/>
      <c r="LBQ109" s="17"/>
      <c r="LBR109" s="17"/>
      <c r="LBS109" s="17"/>
      <c r="LBT109" s="17"/>
      <c r="LBU109" s="17"/>
      <c r="LBV109" s="17"/>
      <c r="LBW109" s="17"/>
      <c r="LBX109" s="17"/>
      <c r="LBY109" s="17"/>
      <c r="LBZ109" s="17"/>
      <c r="LCA109" s="17"/>
      <c r="LCB109" s="17"/>
      <c r="LCC109" s="17"/>
      <c r="LCD109" s="17"/>
      <c r="LCE109" s="17"/>
      <c r="LCF109" s="17"/>
      <c r="LCG109" s="17"/>
      <c r="LCH109" s="17"/>
      <c r="LCI109" s="17"/>
      <c r="LCJ109" s="17"/>
      <c r="LCK109" s="17"/>
      <c r="LCL109" s="17"/>
      <c r="LCM109" s="17"/>
      <c r="LCN109" s="17"/>
      <c r="LCO109" s="17"/>
      <c r="LCP109" s="17"/>
      <c r="LCQ109" s="17"/>
      <c r="LCR109" s="17"/>
      <c r="LCS109" s="17"/>
      <c r="LCT109" s="17"/>
      <c r="LCU109" s="17"/>
      <c r="LCV109" s="17"/>
      <c r="LCW109" s="17"/>
      <c r="LCX109" s="17"/>
      <c r="LCY109" s="17"/>
      <c r="LCZ109" s="17"/>
      <c r="LDA109" s="17"/>
      <c r="LDB109" s="17"/>
      <c r="LDC109" s="17"/>
      <c r="LDD109" s="17"/>
      <c r="LDE109" s="17"/>
      <c r="LDF109" s="17"/>
      <c r="LDG109" s="17"/>
      <c r="LDH109" s="17"/>
      <c r="LDI109" s="17"/>
      <c r="LDJ109" s="17"/>
      <c r="LDK109" s="17"/>
      <c r="LDL109" s="17"/>
      <c r="LDM109" s="17"/>
      <c r="LDN109" s="17"/>
      <c r="LDO109" s="17"/>
      <c r="LDP109" s="17"/>
      <c r="LDQ109" s="17"/>
      <c r="LDR109" s="17"/>
      <c r="LDS109" s="17"/>
      <c r="LDT109" s="17"/>
      <c r="LDU109" s="17"/>
      <c r="LDV109" s="17"/>
      <c r="LDW109" s="17"/>
      <c r="LDX109" s="17"/>
      <c r="LDY109" s="17"/>
      <c r="LDZ109" s="17"/>
      <c r="LEA109" s="17"/>
      <c r="LEB109" s="17"/>
      <c r="LEC109" s="17"/>
      <c r="LED109" s="17"/>
      <c r="LEE109" s="17"/>
      <c r="LEF109" s="17"/>
      <c r="LEG109" s="17"/>
      <c r="LEH109" s="17"/>
      <c r="LEI109" s="17"/>
      <c r="LEJ109" s="17"/>
      <c r="LEK109" s="17"/>
      <c r="LEL109" s="17"/>
      <c r="LEM109" s="17"/>
      <c r="LEN109" s="17"/>
      <c r="LEO109" s="17"/>
      <c r="LEP109" s="17"/>
      <c r="LEQ109" s="17"/>
      <c r="LER109" s="17"/>
      <c r="LES109" s="17"/>
      <c r="LET109" s="17"/>
      <c r="LEU109" s="17"/>
      <c r="LEV109" s="17"/>
      <c r="LEW109" s="17"/>
      <c r="LEX109" s="17"/>
      <c r="LEY109" s="17"/>
      <c r="LEZ109" s="17"/>
      <c r="LFA109" s="17"/>
      <c r="LFB109" s="17"/>
      <c r="LFC109" s="17"/>
      <c r="LFD109" s="17"/>
      <c r="LFE109" s="17"/>
      <c r="LFF109" s="17"/>
      <c r="LFG109" s="17"/>
      <c r="LFH109" s="17"/>
      <c r="LFI109" s="17"/>
      <c r="LFJ109" s="17"/>
      <c r="LFK109" s="17"/>
      <c r="LFL109" s="17"/>
      <c r="LFM109" s="17"/>
      <c r="LFN109" s="17"/>
      <c r="LFO109" s="17"/>
      <c r="LFP109" s="17"/>
      <c r="LFQ109" s="17"/>
      <c r="LFR109" s="17"/>
      <c r="LFS109" s="17"/>
      <c r="LFT109" s="17"/>
      <c r="LFU109" s="17"/>
      <c r="LFV109" s="17"/>
      <c r="LFW109" s="17"/>
      <c r="LFX109" s="17"/>
      <c r="LFY109" s="17"/>
      <c r="LFZ109" s="17"/>
      <c r="LGA109" s="17"/>
      <c r="LGB109" s="17"/>
      <c r="LGC109" s="17"/>
      <c r="LGD109" s="17"/>
      <c r="LGE109" s="17"/>
      <c r="LGF109" s="17"/>
      <c r="LGG109" s="17"/>
      <c r="LGH109" s="17"/>
      <c r="LGI109" s="17"/>
      <c r="LGJ109" s="17"/>
      <c r="LGK109" s="17"/>
      <c r="LGL109" s="17"/>
      <c r="LGM109" s="17"/>
      <c r="LGN109" s="17"/>
      <c r="LGO109" s="17"/>
      <c r="LGP109" s="17"/>
      <c r="LGQ109" s="17"/>
      <c r="LGR109" s="17"/>
      <c r="LGS109" s="17"/>
      <c r="LGT109" s="17"/>
      <c r="LGU109" s="17"/>
      <c r="LGV109" s="17"/>
      <c r="LGW109" s="17"/>
      <c r="LGX109" s="17"/>
      <c r="LGY109" s="17"/>
      <c r="LGZ109" s="17"/>
      <c r="LHA109" s="17"/>
      <c r="LHB109" s="17"/>
      <c r="LHC109" s="17"/>
      <c r="LHD109" s="17"/>
      <c r="LHE109" s="17"/>
      <c r="LHF109" s="17"/>
      <c r="LHG109" s="17"/>
      <c r="LHH109" s="17"/>
      <c r="LHI109" s="17"/>
      <c r="LHJ109" s="17"/>
      <c r="LHK109" s="17"/>
      <c r="LHL109" s="17"/>
      <c r="LHM109" s="17"/>
      <c r="LHN109" s="17"/>
      <c r="LHO109" s="17"/>
      <c r="LHP109" s="17"/>
      <c r="LHQ109" s="17"/>
      <c r="LHR109" s="17"/>
      <c r="LHS109" s="17"/>
      <c r="LHT109" s="17"/>
      <c r="LHU109" s="17"/>
      <c r="LHV109" s="17"/>
      <c r="LHW109" s="17"/>
      <c r="LHX109" s="17"/>
      <c r="LHY109" s="17"/>
      <c r="LHZ109" s="17"/>
      <c r="LIA109" s="17"/>
      <c r="LIB109" s="17"/>
      <c r="LIC109" s="17"/>
      <c r="LID109" s="17"/>
      <c r="LIE109" s="17"/>
      <c r="LIF109" s="17"/>
      <c r="LIG109" s="17"/>
      <c r="LIH109" s="17"/>
      <c r="LII109" s="17"/>
      <c r="LIJ109" s="17"/>
      <c r="LIK109" s="17"/>
      <c r="LIL109" s="17"/>
      <c r="LIM109" s="17"/>
      <c r="LIN109" s="17"/>
      <c r="LIO109" s="17"/>
      <c r="LIP109" s="17"/>
      <c r="LIQ109" s="17"/>
      <c r="LIR109" s="17"/>
      <c r="LIS109" s="17"/>
      <c r="LIT109" s="17"/>
      <c r="LIU109" s="17"/>
      <c r="LIV109" s="17"/>
      <c r="LIW109" s="17"/>
      <c r="LIX109" s="17"/>
      <c r="LIY109" s="17"/>
      <c r="LIZ109" s="17"/>
      <c r="LJA109" s="17"/>
      <c r="LJB109" s="17"/>
      <c r="LJC109" s="17"/>
      <c r="LJD109" s="17"/>
      <c r="LJE109" s="17"/>
      <c r="LJF109" s="17"/>
      <c r="LJG109" s="17"/>
      <c r="LJH109" s="17"/>
      <c r="LJI109" s="17"/>
      <c r="LJJ109" s="17"/>
      <c r="LJK109" s="17"/>
      <c r="LJL109" s="17"/>
      <c r="LJM109" s="17"/>
      <c r="LJN109" s="17"/>
      <c r="LJO109" s="17"/>
      <c r="LJP109" s="17"/>
      <c r="LJQ109" s="17"/>
      <c r="LJR109" s="17"/>
      <c r="LJS109" s="17"/>
      <c r="LJT109" s="17"/>
      <c r="LJU109" s="17"/>
      <c r="LJV109" s="17"/>
      <c r="LJW109" s="17"/>
      <c r="LJX109" s="17"/>
      <c r="LJY109" s="17"/>
      <c r="LJZ109" s="17"/>
      <c r="LKA109" s="17"/>
      <c r="LKB109" s="17"/>
      <c r="LKC109" s="17"/>
      <c r="LKD109" s="17"/>
      <c r="LKE109" s="17"/>
      <c r="LKF109" s="17"/>
      <c r="LKG109" s="17"/>
      <c r="LKH109" s="17"/>
      <c r="LKI109" s="17"/>
      <c r="LKJ109" s="17"/>
      <c r="LKK109" s="17"/>
      <c r="LKL109" s="17"/>
      <c r="LKM109" s="17"/>
      <c r="LKN109" s="17"/>
      <c r="LKO109" s="17"/>
      <c r="LKP109" s="17"/>
      <c r="LKQ109" s="17"/>
      <c r="LKR109" s="17"/>
      <c r="LKS109" s="17"/>
      <c r="LKT109" s="17"/>
      <c r="LKU109" s="17"/>
      <c r="LKV109" s="17"/>
      <c r="LKW109" s="17"/>
      <c r="LKX109" s="17"/>
      <c r="LKY109" s="17"/>
      <c r="LKZ109" s="17"/>
      <c r="LLA109" s="17"/>
      <c r="LLB109" s="17"/>
      <c r="LLC109" s="17"/>
      <c r="LLD109" s="17"/>
      <c r="LLE109" s="17"/>
      <c r="LLF109" s="17"/>
      <c r="LLG109" s="17"/>
      <c r="LLH109" s="17"/>
      <c r="LLI109" s="17"/>
      <c r="LLJ109" s="17"/>
      <c r="LLK109" s="17"/>
      <c r="LLL109" s="17"/>
      <c r="LLM109" s="17"/>
      <c r="LLN109" s="17"/>
      <c r="LLO109" s="17"/>
      <c r="LLP109" s="17"/>
      <c r="LLQ109" s="17"/>
      <c r="LLR109" s="17"/>
      <c r="LLS109" s="17"/>
      <c r="LLT109" s="17"/>
      <c r="LLU109" s="17"/>
      <c r="LLV109" s="17"/>
      <c r="LLW109" s="17"/>
      <c r="LLX109" s="17"/>
      <c r="LLY109" s="17"/>
      <c r="LLZ109" s="17"/>
      <c r="LMA109" s="17"/>
      <c r="LMB109" s="17"/>
      <c r="LMC109" s="17"/>
      <c r="LMD109" s="17"/>
      <c r="LME109" s="17"/>
      <c r="LMF109" s="17"/>
      <c r="LMG109" s="17"/>
      <c r="LMH109" s="17"/>
      <c r="LMI109" s="17"/>
      <c r="LMJ109" s="17"/>
      <c r="LMK109" s="17"/>
      <c r="LML109" s="17"/>
      <c r="LMM109" s="17"/>
      <c r="LMN109" s="17"/>
      <c r="LMO109" s="17"/>
      <c r="LMP109" s="17"/>
      <c r="LMQ109" s="17"/>
      <c r="LMR109" s="17"/>
      <c r="LMS109" s="17"/>
      <c r="LMT109" s="17"/>
      <c r="LMU109" s="17"/>
      <c r="LMV109" s="17"/>
      <c r="LMW109" s="17"/>
      <c r="LMX109" s="17"/>
      <c r="LMY109" s="17"/>
      <c r="LMZ109" s="17"/>
      <c r="LNA109" s="17"/>
      <c r="LNB109" s="17"/>
      <c r="LNC109" s="17"/>
      <c r="LND109" s="17"/>
      <c r="LNE109" s="17"/>
      <c r="LNF109" s="17"/>
      <c r="LNG109" s="17"/>
      <c r="LNH109" s="17"/>
      <c r="LNI109" s="17"/>
      <c r="LNJ109" s="17"/>
      <c r="LNK109" s="17"/>
      <c r="LNL109" s="17"/>
      <c r="LNM109" s="17"/>
      <c r="LNN109" s="17"/>
      <c r="LNO109" s="17"/>
      <c r="LNP109" s="17"/>
      <c r="LNQ109" s="17"/>
      <c r="LNR109" s="17"/>
      <c r="LNS109" s="17"/>
      <c r="LNT109" s="17"/>
      <c r="LNU109" s="17"/>
      <c r="LNV109" s="17"/>
      <c r="LNW109" s="17"/>
      <c r="LNX109" s="17"/>
      <c r="LNY109" s="17"/>
      <c r="LNZ109" s="17"/>
      <c r="LOA109" s="17"/>
      <c r="LOB109" s="17"/>
      <c r="LOC109" s="17"/>
      <c r="LOD109" s="17"/>
      <c r="LOE109" s="17"/>
      <c r="LOF109" s="17"/>
      <c r="LOG109" s="17"/>
      <c r="LOH109" s="17"/>
      <c r="LOI109" s="17"/>
      <c r="LOJ109" s="17"/>
      <c r="LOK109" s="17"/>
      <c r="LOL109" s="17"/>
      <c r="LOM109" s="17"/>
      <c r="LON109" s="17"/>
      <c r="LOO109" s="17"/>
      <c r="LOP109" s="17"/>
      <c r="LOQ109" s="17"/>
      <c r="LOR109" s="17"/>
      <c r="LOS109" s="17"/>
      <c r="LOT109" s="17"/>
      <c r="LOU109" s="17"/>
      <c r="LOV109" s="17"/>
      <c r="LOW109" s="17"/>
      <c r="LOX109" s="17"/>
      <c r="LOY109" s="17"/>
      <c r="LOZ109" s="17"/>
      <c r="LPA109" s="17"/>
      <c r="LPB109" s="17"/>
      <c r="LPC109" s="17"/>
      <c r="LPD109" s="17"/>
      <c r="LPE109" s="17"/>
      <c r="LPF109" s="17"/>
      <c r="LPG109" s="17"/>
      <c r="LPH109" s="17"/>
      <c r="LPI109" s="17"/>
      <c r="LPJ109" s="17"/>
      <c r="LPK109" s="17"/>
      <c r="LPL109" s="17"/>
      <c r="LPM109" s="17"/>
      <c r="LPN109" s="17"/>
      <c r="LPO109" s="17"/>
      <c r="LPP109" s="17"/>
      <c r="LPQ109" s="17"/>
      <c r="LPR109" s="17"/>
      <c r="LPS109" s="17"/>
      <c r="LPT109" s="17"/>
      <c r="LPU109" s="17"/>
      <c r="LPV109" s="17"/>
      <c r="LPW109" s="17"/>
      <c r="LPX109" s="17"/>
      <c r="LPY109" s="17"/>
      <c r="LPZ109" s="17"/>
      <c r="LQA109" s="17"/>
      <c r="LQB109" s="17"/>
      <c r="LQC109" s="17"/>
      <c r="LQD109" s="17"/>
      <c r="LQE109" s="17"/>
      <c r="LQF109" s="17"/>
      <c r="LQG109" s="17"/>
      <c r="LQH109" s="17"/>
      <c r="LQI109" s="17"/>
      <c r="LQJ109" s="17"/>
      <c r="LQK109" s="17"/>
      <c r="LQL109" s="17"/>
      <c r="LQM109" s="17"/>
      <c r="LQN109" s="17"/>
      <c r="LQO109" s="17"/>
      <c r="LQP109" s="17"/>
      <c r="LQQ109" s="17"/>
      <c r="LQR109" s="17"/>
      <c r="LQS109" s="17"/>
      <c r="LQT109" s="17"/>
      <c r="LQU109" s="17"/>
      <c r="LQV109" s="17"/>
      <c r="LQW109" s="17"/>
      <c r="LQX109" s="17"/>
      <c r="LQY109" s="17"/>
      <c r="LQZ109" s="17"/>
      <c r="LRA109" s="17"/>
      <c r="LRB109" s="17"/>
      <c r="LRC109" s="17"/>
      <c r="LRD109" s="17"/>
      <c r="LRE109" s="17"/>
      <c r="LRF109" s="17"/>
      <c r="LRG109" s="17"/>
      <c r="LRH109" s="17"/>
      <c r="LRI109" s="17"/>
      <c r="LRJ109" s="17"/>
      <c r="LRK109" s="17"/>
      <c r="LRL109" s="17"/>
      <c r="LRM109" s="17"/>
      <c r="LRN109" s="17"/>
      <c r="LRO109" s="17"/>
      <c r="LRP109" s="17"/>
      <c r="LRQ109" s="17"/>
      <c r="LRR109" s="17"/>
      <c r="LRS109" s="17"/>
      <c r="LRT109" s="17"/>
      <c r="LRU109" s="17"/>
      <c r="LRV109" s="17"/>
      <c r="LRW109" s="17"/>
      <c r="LRX109" s="17"/>
      <c r="LRY109" s="17"/>
      <c r="LRZ109" s="17"/>
      <c r="LSA109" s="17"/>
      <c r="LSB109" s="17"/>
      <c r="LSC109" s="17"/>
      <c r="LSD109" s="17"/>
      <c r="LSE109" s="17"/>
      <c r="LSF109" s="17"/>
      <c r="LSG109" s="17"/>
      <c r="LSH109" s="17"/>
      <c r="LSI109" s="17"/>
      <c r="LSJ109" s="17"/>
      <c r="LSK109" s="17"/>
      <c r="LSL109" s="17"/>
      <c r="LSM109" s="17"/>
      <c r="LSN109" s="17"/>
      <c r="LSO109" s="17"/>
      <c r="LSP109" s="17"/>
      <c r="LSQ109" s="17"/>
      <c r="LSR109" s="17"/>
      <c r="LSS109" s="17"/>
      <c r="LST109" s="17"/>
      <c r="LSU109" s="17"/>
      <c r="LSV109" s="17"/>
      <c r="LSW109" s="17"/>
      <c r="LSX109" s="17"/>
      <c r="LSY109" s="17"/>
      <c r="LSZ109" s="17"/>
      <c r="LTA109" s="17"/>
      <c r="LTB109" s="17"/>
      <c r="LTC109" s="17"/>
      <c r="LTD109" s="17"/>
      <c r="LTE109" s="17"/>
      <c r="LTF109" s="17"/>
      <c r="LTG109" s="17"/>
      <c r="LTH109" s="17"/>
      <c r="LTI109" s="17"/>
      <c r="LTJ109" s="17"/>
      <c r="LTK109" s="17"/>
      <c r="LTL109" s="17"/>
      <c r="LTM109" s="17"/>
      <c r="LTN109" s="17"/>
      <c r="LTO109" s="17"/>
      <c r="LTP109" s="17"/>
      <c r="LTQ109" s="17"/>
      <c r="LTR109" s="17"/>
      <c r="LTS109" s="17"/>
      <c r="LTT109" s="17"/>
      <c r="LTU109" s="17"/>
      <c r="LTV109" s="17"/>
      <c r="LTW109" s="17"/>
      <c r="LTX109" s="17"/>
      <c r="LTY109" s="17"/>
      <c r="LTZ109" s="17"/>
      <c r="LUA109" s="17"/>
      <c r="LUB109" s="17"/>
      <c r="LUC109" s="17"/>
      <c r="LUD109" s="17"/>
      <c r="LUE109" s="17"/>
      <c r="LUF109" s="17"/>
      <c r="LUG109" s="17"/>
      <c r="LUH109" s="17"/>
      <c r="LUI109" s="17"/>
      <c r="LUJ109" s="17"/>
      <c r="LUK109" s="17"/>
      <c r="LUL109" s="17"/>
      <c r="LUM109" s="17"/>
      <c r="LUN109" s="17"/>
      <c r="LUO109" s="17"/>
      <c r="LUP109" s="17"/>
      <c r="LUQ109" s="17"/>
      <c r="LUR109" s="17"/>
      <c r="LUS109" s="17"/>
      <c r="LUT109" s="17"/>
      <c r="LUU109" s="17"/>
      <c r="LUV109" s="17"/>
      <c r="LUW109" s="17"/>
      <c r="LUX109" s="17"/>
      <c r="LUY109" s="17"/>
      <c r="LUZ109" s="17"/>
      <c r="LVA109" s="17"/>
      <c r="LVB109" s="17"/>
      <c r="LVC109" s="17"/>
      <c r="LVD109" s="17"/>
      <c r="LVE109" s="17"/>
      <c r="LVF109" s="17"/>
      <c r="LVG109" s="17"/>
      <c r="LVH109" s="17"/>
      <c r="LVI109" s="17"/>
      <c r="LVJ109" s="17"/>
      <c r="LVK109" s="17"/>
      <c r="LVL109" s="17"/>
      <c r="LVM109" s="17"/>
      <c r="LVN109" s="17"/>
      <c r="LVO109" s="17"/>
      <c r="LVP109" s="17"/>
      <c r="LVQ109" s="17"/>
      <c r="LVR109" s="17"/>
      <c r="LVS109" s="17"/>
      <c r="LVT109" s="17"/>
      <c r="LVU109" s="17"/>
      <c r="LVV109" s="17"/>
      <c r="LVW109" s="17"/>
      <c r="LVX109" s="17"/>
      <c r="LVY109" s="17"/>
      <c r="LVZ109" s="17"/>
      <c r="LWA109" s="17"/>
      <c r="LWB109" s="17"/>
      <c r="LWC109" s="17"/>
      <c r="LWD109" s="17"/>
      <c r="LWE109" s="17"/>
      <c r="LWF109" s="17"/>
      <c r="LWG109" s="17"/>
      <c r="LWH109" s="17"/>
      <c r="LWI109" s="17"/>
      <c r="LWJ109" s="17"/>
      <c r="LWK109" s="17"/>
      <c r="LWL109" s="17"/>
      <c r="LWM109" s="17"/>
      <c r="LWN109" s="17"/>
      <c r="LWO109" s="17"/>
      <c r="LWP109" s="17"/>
      <c r="LWQ109" s="17"/>
      <c r="LWR109" s="17"/>
      <c r="LWS109" s="17"/>
      <c r="LWT109" s="17"/>
      <c r="LWU109" s="17"/>
      <c r="LWV109" s="17"/>
      <c r="LWW109" s="17"/>
      <c r="LWX109" s="17"/>
      <c r="LWY109" s="17"/>
      <c r="LWZ109" s="17"/>
      <c r="LXA109" s="17"/>
      <c r="LXB109" s="17"/>
      <c r="LXC109" s="17"/>
      <c r="LXD109" s="17"/>
      <c r="LXE109" s="17"/>
      <c r="LXF109" s="17"/>
      <c r="LXG109" s="17"/>
      <c r="LXH109" s="17"/>
      <c r="LXI109" s="17"/>
      <c r="LXJ109" s="17"/>
      <c r="LXK109" s="17"/>
      <c r="LXL109" s="17"/>
      <c r="LXM109" s="17"/>
      <c r="LXN109" s="17"/>
      <c r="LXO109" s="17"/>
      <c r="LXP109" s="17"/>
      <c r="LXQ109" s="17"/>
      <c r="LXR109" s="17"/>
      <c r="LXS109" s="17"/>
      <c r="LXT109" s="17"/>
      <c r="LXU109" s="17"/>
      <c r="LXV109" s="17"/>
      <c r="LXW109" s="17"/>
      <c r="LXX109" s="17"/>
      <c r="LXY109" s="17"/>
      <c r="LXZ109" s="17"/>
      <c r="LYA109" s="17"/>
      <c r="LYB109" s="17"/>
      <c r="LYC109" s="17"/>
      <c r="LYD109" s="17"/>
      <c r="LYE109" s="17"/>
      <c r="LYF109" s="17"/>
      <c r="LYG109" s="17"/>
      <c r="LYH109" s="17"/>
      <c r="LYI109" s="17"/>
      <c r="LYJ109" s="17"/>
      <c r="LYK109" s="17"/>
      <c r="LYL109" s="17"/>
      <c r="LYM109" s="17"/>
      <c r="LYN109" s="17"/>
      <c r="LYO109" s="17"/>
      <c r="LYP109" s="17"/>
      <c r="LYQ109" s="17"/>
      <c r="LYR109" s="17"/>
      <c r="LYS109" s="17"/>
      <c r="LYT109" s="17"/>
      <c r="LYU109" s="17"/>
      <c r="LYV109" s="17"/>
      <c r="LYW109" s="17"/>
      <c r="LYX109" s="17"/>
      <c r="LYY109" s="17"/>
      <c r="LYZ109" s="17"/>
      <c r="LZA109" s="17"/>
      <c r="LZB109" s="17"/>
      <c r="LZC109" s="17"/>
      <c r="LZD109" s="17"/>
      <c r="LZE109" s="17"/>
      <c r="LZF109" s="17"/>
      <c r="LZG109" s="17"/>
      <c r="LZH109" s="17"/>
      <c r="LZI109" s="17"/>
      <c r="LZJ109" s="17"/>
      <c r="LZK109" s="17"/>
      <c r="LZL109" s="17"/>
      <c r="LZM109" s="17"/>
      <c r="LZN109" s="17"/>
      <c r="LZO109" s="17"/>
      <c r="LZP109" s="17"/>
      <c r="LZQ109" s="17"/>
      <c r="LZR109" s="17"/>
      <c r="LZS109" s="17"/>
      <c r="LZT109" s="17"/>
      <c r="LZU109" s="17"/>
      <c r="LZV109" s="17"/>
      <c r="LZW109" s="17"/>
      <c r="LZX109" s="17"/>
      <c r="LZY109" s="17"/>
      <c r="LZZ109" s="17"/>
      <c r="MAA109" s="17"/>
      <c r="MAB109" s="17"/>
      <c r="MAC109" s="17"/>
      <c r="MAD109" s="17"/>
      <c r="MAE109" s="17"/>
      <c r="MAF109" s="17"/>
      <c r="MAG109" s="17"/>
      <c r="MAH109" s="17"/>
      <c r="MAI109" s="17"/>
      <c r="MAJ109" s="17"/>
      <c r="MAK109" s="17"/>
      <c r="MAL109" s="17"/>
      <c r="MAM109" s="17"/>
      <c r="MAN109" s="17"/>
      <c r="MAO109" s="17"/>
      <c r="MAP109" s="17"/>
      <c r="MAQ109" s="17"/>
      <c r="MAR109" s="17"/>
      <c r="MAS109" s="17"/>
      <c r="MAT109" s="17"/>
      <c r="MAU109" s="17"/>
      <c r="MAV109" s="17"/>
      <c r="MAW109" s="17"/>
      <c r="MAX109" s="17"/>
      <c r="MAY109" s="17"/>
      <c r="MAZ109" s="17"/>
      <c r="MBA109" s="17"/>
      <c r="MBB109" s="17"/>
      <c r="MBC109" s="17"/>
      <c r="MBD109" s="17"/>
      <c r="MBE109" s="17"/>
      <c r="MBF109" s="17"/>
      <c r="MBG109" s="17"/>
      <c r="MBH109" s="17"/>
      <c r="MBI109" s="17"/>
      <c r="MBJ109" s="17"/>
      <c r="MBK109" s="17"/>
      <c r="MBL109" s="17"/>
      <c r="MBM109" s="17"/>
      <c r="MBN109" s="17"/>
      <c r="MBO109" s="17"/>
      <c r="MBP109" s="17"/>
      <c r="MBQ109" s="17"/>
      <c r="MBR109" s="17"/>
      <c r="MBS109" s="17"/>
      <c r="MBT109" s="17"/>
      <c r="MBU109" s="17"/>
      <c r="MBV109" s="17"/>
      <c r="MBW109" s="17"/>
      <c r="MBX109" s="17"/>
      <c r="MBY109" s="17"/>
      <c r="MBZ109" s="17"/>
      <c r="MCA109" s="17"/>
      <c r="MCB109" s="17"/>
      <c r="MCC109" s="17"/>
      <c r="MCD109" s="17"/>
      <c r="MCE109" s="17"/>
      <c r="MCF109" s="17"/>
      <c r="MCG109" s="17"/>
      <c r="MCH109" s="17"/>
      <c r="MCI109" s="17"/>
      <c r="MCJ109" s="17"/>
      <c r="MCK109" s="17"/>
      <c r="MCL109" s="17"/>
      <c r="MCM109" s="17"/>
      <c r="MCN109" s="17"/>
      <c r="MCO109" s="17"/>
      <c r="MCP109" s="17"/>
      <c r="MCQ109" s="17"/>
      <c r="MCR109" s="17"/>
      <c r="MCS109" s="17"/>
      <c r="MCT109" s="17"/>
      <c r="MCU109" s="17"/>
      <c r="MCV109" s="17"/>
      <c r="MCW109" s="17"/>
      <c r="MCX109" s="17"/>
      <c r="MCY109" s="17"/>
      <c r="MCZ109" s="17"/>
      <c r="MDA109" s="17"/>
      <c r="MDB109" s="17"/>
      <c r="MDC109" s="17"/>
      <c r="MDD109" s="17"/>
      <c r="MDE109" s="17"/>
      <c r="MDF109" s="17"/>
      <c r="MDG109" s="17"/>
      <c r="MDH109" s="17"/>
      <c r="MDI109" s="17"/>
      <c r="MDJ109" s="17"/>
      <c r="MDK109" s="17"/>
      <c r="MDL109" s="17"/>
      <c r="MDM109" s="17"/>
      <c r="MDN109" s="17"/>
      <c r="MDO109" s="17"/>
      <c r="MDP109" s="17"/>
      <c r="MDQ109" s="17"/>
      <c r="MDR109" s="17"/>
      <c r="MDS109" s="17"/>
      <c r="MDT109" s="17"/>
      <c r="MDU109" s="17"/>
      <c r="MDV109" s="17"/>
      <c r="MDW109" s="17"/>
      <c r="MDX109" s="17"/>
      <c r="MDY109" s="17"/>
      <c r="MDZ109" s="17"/>
      <c r="MEA109" s="17"/>
      <c r="MEB109" s="17"/>
      <c r="MEC109" s="17"/>
      <c r="MED109" s="17"/>
      <c r="MEE109" s="17"/>
      <c r="MEF109" s="17"/>
      <c r="MEG109" s="17"/>
      <c r="MEH109" s="17"/>
      <c r="MEI109" s="17"/>
      <c r="MEJ109" s="17"/>
      <c r="MEK109" s="17"/>
      <c r="MEL109" s="17"/>
      <c r="MEM109" s="17"/>
      <c r="MEN109" s="17"/>
      <c r="MEO109" s="17"/>
      <c r="MEP109" s="17"/>
      <c r="MEQ109" s="17"/>
      <c r="MER109" s="17"/>
      <c r="MES109" s="17"/>
      <c r="MET109" s="17"/>
      <c r="MEU109" s="17"/>
      <c r="MEV109" s="17"/>
      <c r="MEW109" s="17"/>
      <c r="MEX109" s="17"/>
      <c r="MEY109" s="17"/>
      <c r="MEZ109" s="17"/>
      <c r="MFA109" s="17"/>
      <c r="MFB109" s="17"/>
      <c r="MFC109" s="17"/>
      <c r="MFD109" s="17"/>
      <c r="MFE109" s="17"/>
      <c r="MFF109" s="17"/>
      <c r="MFG109" s="17"/>
      <c r="MFH109" s="17"/>
      <c r="MFI109" s="17"/>
      <c r="MFJ109" s="17"/>
      <c r="MFK109" s="17"/>
      <c r="MFL109" s="17"/>
      <c r="MFM109" s="17"/>
      <c r="MFN109" s="17"/>
      <c r="MFO109" s="17"/>
      <c r="MFP109" s="17"/>
      <c r="MFQ109" s="17"/>
      <c r="MFR109" s="17"/>
      <c r="MFS109" s="17"/>
      <c r="MFT109" s="17"/>
      <c r="MFU109" s="17"/>
      <c r="MFV109" s="17"/>
      <c r="MFW109" s="17"/>
      <c r="MFX109" s="17"/>
      <c r="MFY109" s="17"/>
      <c r="MFZ109" s="17"/>
      <c r="MGA109" s="17"/>
      <c r="MGB109" s="17"/>
      <c r="MGC109" s="17"/>
      <c r="MGD109" s="17"/>
      <c r="MGE109" s="17"/>
      <c r="MGF109" s="17"/>
      <c r="MGG109" s="17"/>
      <c r="MGH109" s="17"/>
      <c r="MGI109" s="17"/>
      <c r="MGJ109" s="17"/>
      <c r="MGK109" s="17"/>
      <c r="MGL109" s="17"/>
      <c r="MGM109" s="17"/>
      <c r="MGN109" s="17"/>
      <c r="MGO109" s="17"/>
      <c r="MGP109" s="17"/>
      <c r="MGQ109" s="17"/>
      <c r="MGR109" s="17"/>
      <c r="MGS109" s="17"/>
      <c r="MGT109" s="17"/>
      <c r="MGU109" s="17"/>
      <c r="MGV109" s="17"/>
      <c r="MGW109" s="17"/>
      <c r="MGX109" s="17"/>
      <c r="MGY109" s="17"/>
      <c r="MGZ109" s="17"/>
      <c r="MHA109" s="17"/>
      <c r="MHB109" s="17"/>
      <c r="MHC109" s="17"/>
      <c r="MHD109" s="17"/>
      <c r="MHE109" s="17"/>
      <c r="MHF109" s="17"/>
      <c r="MHG109" s="17"/>
      <c r="MHH109" s="17"/>
      <c r="MHI109" s="17"/>
      <c r="MHJ109" s="17"/>
      <c r="MHK109" s="17"/>
      <c r="MHL109" s="17"/>
      <c r="MHM109" s="17"/>
      <c r="MHN109" s="17"/>
      <c r="MHO109" s="17"/>
      <c r="MHP109" s="17"/>
      <c r="MHQ109" s="17"/>
      <c r="MHR109" s="17"/>
      <c r="MHS109" s="17"/>
      <c r="MHT109" s="17"/>
      <c r="MHU109" s="17"/>
      <c r="MHV109" s="17"/>
      <c r="MHW109" s="17"/>
      <c r="MHX109" s="17"/>
      <c r="MHY109" s="17"/>
      <c r="MHZ109" s="17"/>
      <c r="MIA109" s="17"/>
      <c r="MIB109" s="17"/>
      <c r="MIC109" s="17"/>
      <c r="MID109" s="17"/>
      <c r="MIE109" s="17"/>
      <c r="MIF109" s="17"/>
      <c r="MIG109" s="17"/>
      <c r="MIH109" s="17"/>
      <c r="MII109" s="17"/>
      <c r="MIJ109" s="17"/>
      <c r="MIK109" s="17"/>
      <c r="MIL109" s="17"/>
      <c r="MIM109" s="17"/>
      <c r="MIN109" s="17"/>
      <c r="MIO109" s="17"/>
      <c r="MIP109" s="17"/>
      <c r="MIQ109" s="17"/>
      <c r="MIR109" s="17"/>
      <c r="MIS109" s="17"/>
      <c r="MIT109" s="17"/>
      <c r="MIU109" s="17"/>
      <c r="MIV109" s="17"/>
      <c r="MIW109" s="17"/>
      <c r="MIX109" s="17"/>
      <c r="MIY109" s="17"/>
      <c r="MIZ109" s="17"/>
      <c r="MJA109" s="17"/>
      <c r="MJB109" s="17"/>
      <c r="MJC109" s="17"/>
      <c r="MJD109" s="17"/>
      <c r="MJE109" s="17"/>
      <c r="MJF109" s="17"/>
      <c r="MJG109" s="17"/>
      <c r="MJH109" s="17"/>
      <c r="MJI109" s="17"/>
      <c r="MJJ109" s="17"/>
      <c r="MJK109" s="17"/>
      <c r="MJL109" s="17"/>
      <c r="MJM109" s="17"/>
      <c r="MJN109" s="17"/>
      <c r="MJO109" s="17"/>
      <c r="MJP109" s="17"/>
      <c r="MJQ109" s="17"/>
      <c r="MJR109" s="17"/>
      <c r="MJS109" s="17"/>
      <c r="MJT109" s="17"/>
      <c r="MJU109" s="17"/>
      <c r="MJV109" s="17"/>
      <c r="MJW109" s="17"/>
      <c r="MJX109" s="17"/>
      <c r="MJY109" s="17"/>
      <c r="MJZ109" s="17"/>
      <c r="MKA109" s="17"/>
      <c r="MKB109" s="17"/>
      <c r="MKC109" s="17"/>
      <c r="MKD109" s="17"/>
      <c r="MKE109" s="17"/>
      <c r="MKF109" s="17"/>
      <c r="MKG109" s="17"/>
      <c r="MKH109" s="17"/>
      <c r="MKI109" s="17"/>
      <c r="MKJ109" s="17"/>
      <c r="MKK109" s="17"/>
      <c r="MKL109" s="17"/>
      <c r="MKM109" s="17"/>
      <c r="MKN109" s="17"/>
      <c r="MKO109" s="17"/>
      <c r="MKP109" s="17"/>
      <c r="MKQ109" s="17"/>
      <c r="MKR109" s="17"/>
      <c r="MKS109" s="17"/>
      <c r="MKT109" s="17"/>
      <c r="MKU109" s="17"/>
      <c r="MKV109" s="17"/>
      <c r="MKW109" s="17"/>
      <c r="MKX109" s="17"/>
      <c r="MKY109" s="17"/>
      <c r="MKZ109" s="17"/>
      <c r="MLA109" s="17"/>
      <c r="MLB109" s="17"/>
      <c r="MLC109" s="17"/>
      <c r="MLD109" s="17"/>
      <c r="MLE109" s="17"/>
      <c r="MLF109" s="17"/>
      <c r="MLG109" s="17"/>
      <c r="MLH109" s="17"/>
      <c r="MLI109" s="17"/>
      <c r="MLJ109" s="17"/>
      <c r="MLK109" s="17"/>
      <c r="MLL109" s="17"/>
      <c r="MLM109" s="17"/>
      <c r="MLN109" s="17"/>
      <c r="MLO109" s="17"/>
      <c r="MLP109" s="17"/>
      <c r="MLQ109" s="17"/>
      <c r="MLR109" s="17"/>
      <c r="MLS109" s="17"/>
      <c r="MLT109" s="17"/>
      <c r="MLU109" s="17"/>
      <c r="MLV109" s="17"/>
      <c r="MLW109" s="17"/>
      <c r="MLX109" s="17"/>
      <c r="MLY109" s="17"/>
      <c r="MLZ109" s="17"/>
      <c r="MMA109" s="17"/>
      <c r="MMB109" s="17"/>
      <c r="MMC109" s="17"/>
      <c r="MMD109" s="17"/>
      <c r="MME109" s="17"/>
      <c r="MMF109" s="17"/>
      <c r="MMG109" s="17"/>
      <c r="MMH109" s="17"/>
      <c r="MMI109" s="17"/>
      <c r="MMJ109" s="17"/>
      <c r="MMK109" s="17"/>
      <c r="MML109" s="17"/>
      <c r="MMM109" s="17"/>
      <c r="MMN109" s="17"/>
      <c r="MMO109" s="17"/>
      <c r="MMP109" s="17"/>
      <c r="MMQ109" s="17"/>
      <c r="MMR109" s="17"/>
      <c r="MMS109" s="17"/>
      <c r="MMT109" s="17"/>
      <c r="MMU109" s="17"/>
      <c r="MMV109" s="17"/>
      <c r="MMW109" s="17"/>
      <c r="MMX109" s="17"/>
      <c r="MMY109" s="17"/>
      <c r="MMZ109" s="17"/>
      <c r="MNA109" s="17"/>
      <c r="MNB109" s="17"/>
      <c r="MNC109" s="17"/>
      <c r="MND109" s="17"/>
      <c r="MNE109" s="17"/>
      <c r="MNF109" s="17"/>
      <c r="MNG109" s="17"/>
      <c r="MNH109" s="17"/>
      <c r="MNI109" s="17"/>
      <c r="MNJ109" s="17"/>
      <c r="MNK109" s="17"/>
      <c r="MNL109" s="17"/>
      <c r="MNM109" s="17"/>
      <c r="MNN109" s="17"/>
      <c r="MNO109" s="17"/>
      <c r="MNP109" s="17"/>
      <c r="MNQ109" s="17"/>
      <c r="MNR109" s="17"/>
      <c r="MNS109" s="17"/>
      <c r="MNT109" s="17"/>
      <c r="MNU109" s="17"/>
      <c r="MNV109" s="17"/>
      <c r="MNW109" s="17"/>
      <c r="MNX109" s="17"/>
      <c r="MNY109" s="17"/>
      <c r="MNZ109" s="17"/>
      <c r="MOA109" s="17"/>
      <c r="MOB109" s="17"/>
      <c r="MOC109" s="17"/>
      <c r="MOD109" s="17"/>
      <c r="MOE109" s="17"/>
      <c r="MOF109" s="17"/>
      <c r="MOG109" s="17"/>
      <c r="MOH109" s="17"/>
      <c r="MOI109" s="17"/>
      <c r="MOJ109" s="17"/>
      <c r="MOK109" s="17"/>
      <c r="MOL109" s="17"/>
      <c r="MOM109" s="17"/>
      <c r="MON109" s="17"/>
      <c r="MOO109" s="17"/>
      <c r="MOP109" s="17"/>
      <c r="MOQ109" s="17"/>
      <c r="MOR109" s="17"/>
      <c r="MOS109" s="17"/>
      <c r="MOT109" s="17"/>
      <c r="MOU109" s="17"/>
      <c r="MOV109" s="17"/>
      <c r="MOW109" s="17"/>
      <c r="MOX109" s="17"/>
      <c r="MOY109" s="17"/>
      <c r="MOZ109" s="17"/>
      <c r="MPA109" s="17"/>
      <c r="MPB109" s="17"/>
      <c r="MPC109" s="17"/>
      <c r="MPD109" s="17"/>
      <c r="MPE109" s="17"/>
      <c r="MPF109" s="17"/>
      <c r="MPG109" s="17"/>
      <c r="MPH109" s="17"/>
      <c r="MPI109" s="17"/>
      <c r="MPJ109" s="17"/>
      <c r="MPK109" s="17"/>
      <c r="MPL109" s="17"/>
      <c r="MPM109" s="17"/>
      <c r="MPN109" s="17"/>
      <c r="MPO109" s="17"/>
      <c r="MPP109" s="17"/>
      <c r="MPQ109" s="17"/>
      <c r="MPR109" s="17"/>
      <c r="MPS109" s="17"/>
      <c r="MPT109" s="17"/>
      <c r="MPU109" s="17"/>
      <c r="MPV109" s="17"/>
      <c r="MPW109" s="17"/>
      <c r="MPX109" s="17"/>
      <c r="MPY109" s="17"/>
      <c r="MPZ109" s="17"/>
      <c r="MQA109" s="17"/>
      <c r="MQB109" s="17"/>
      <c r="MQC109" s="17"/>
      <c r="MQD109" s="17"/>
      <c r="MQE109" s="17"/>
      <c r="MQF109" s="17"/>
      <c r="MQG109" s="17"/>
      <c r="MQH109" s="17"/>
      <c r="MQI109" s="17"/>
      <c r="MQJ109" s="17"/>
      <c r="MQK109" s="17"/>
      <c r="MQL109" s="17"/>
      <c r="MQM109" s="17"/>
      <c r="MQN109" s="17"/>
      <c r="MQO109" s="17"/>
      <c r="MQP109" s="17"/>
      <c r="MQQ109" s="17"/>
      <c r="MQR109" s="17"/>
      <c r="MQS109" s="17"/>
      <c r="MQT109" s="17"/>
      <c r="MQU109" s="17"/>
      <c r="MQV109" s="17"/>
      <c r="MQW109" s="17"/>
      <c r="MQX109" s="17"/>
      <c r="MQY109" s="17"/>
      <c r="MQZ109" s="17"/>
      <c r="MRA109" s="17"/>
      <c r="MRB109" s="17"/>
      <c r="MRC109" s="17"/>
      <c r="MRD109" s="17"/>
      <c r="MRE109" s="17"/>
      <c r="MRF109" s="17"/>
      <c r="MRG109" s="17"/>
      <c r="MRH109" s="17"/>
      <c r="MRI109" s="17"/>
      <c r="MRJ109" s="17"/>
      <c r="MRK109" s="17"/>
      <c r="MRL109" s="17"/>
      <c r="MRM109" s="17"/>
      <c r="MRN109" s="17"/>
      <c r="MRO109" s="17"/>
      <c r="MRP109" s="17"/>
      <c r="MRQ109" s="17"/>
      <c r="MRR109" s="17"/>
      <c r="MRS109" s="17"/>
      <c r="MRT109" s="17"/>
      <c r="MRU109" s="17"/>
      <c r="MRV109" s="17"/>
      <c r="MRW109" s="17"/>
      <c r="MRX109" s="17"/>
      <c r="MRY109" s="17"/>
      <c r="MRZ109" s="17"/>
      <c r="MSA109" s="17"/>
      <c r="MSB109" s="17"/>
      <c r="MSC109" s="17"/>
      <c r="MSD109" s="17"/>
      <c r="MSE109" s="17"/>
      <c r="MSF109" s="17"/>
      <c r="MSG109" s="17"/>
      <c r="MSH109" s="17"/>
      <c r="MSI109" s="17"/>
      <c r="MSJ109" s="17"/>
      <c r="MSK109" s="17"/>
      <c r="MSL109" s="17"/>
      <c r="MSM109" s="17"/>
      <c r="MSN109" s="17"/>
      <c r="MSO109" s="17"/>
      <c r="MSP109" s="17"/>
      <c r="MSQ109" s="17"/>
      <c r="MSR109" s="17"/>
      <c r="MSS109" s="17"/>
      <c r="MST109" s="17"/>
      <c r="MSU109" s="17"/>
      <c r="MSV109" s="17"/>
      <c r="MSW109" s="17"/>
      <c r="MSX109" s="17"/>
      <c r="MSY109" s="17"/>
      <c r="MSZ109" s="17"/>
      <c r="MTA109" s="17"/>
      <c r="MTB109" s="17"/>
      <c r="MTC109" s="17"/>
      <c r="MTD109" s="17"/>
      <c r="MTE109" s="17"/>
      <c r="MTF109" s="17"/>
      <c r="MTG109" s="17"/>
      <c r="MTH109" s="17"/>
      <c r="MTI109" s="17"/>
      <c r="MTJ109" s="17"/>
      <c r="MTK109" s="17"/>
      <c r="MTL109" s="17"/>
      <c r="MTM109" s="17"/>
      <c r="MTN109" s="17"/>
      <c r="MTO109" s="17"/>
      <c r="MTP109" s="17"/>
      <c r="MTQ109" s="17"/>
      <c r="MTR109" s="17"/>
      <c r="MTS109" s="17"/>
      <c r="MTT109" s="17"/>
      <c r="MTU109" s="17"/>
      <c r="MTV109" s="17"/>
      <c r="MTW109" s="17"/>
      <c r="MTX109" s="17"/>
      <c r="MTY109" s="17"/>
      <c r="MTZ109" s="17"/>
      <c r="MUA109" s="17"/>
      <c r="MUB109" s="17"/>
      <c r="MUC109" s="17"/>
      <c r="MUD109" s="17"/>
      <c r="MUE109" s="17"/>
      <c r="MUF109" s="17"/>
      <c r="MUG109" s="17"/>
      <c r="MUH109" s="17"/>
      <c r="MUI109" s="17"/>
      <c r="MUJ109" s="17"/>
      <c r="MUK109" s="17"/>
      <c r="MUL109" s="17"/>
      <c r="MUM109" s="17"/>
      <c r="MUN109" s="17"/>
      <c r="MUO109" s="17"/>
      <c r="MUP109" s="17"/>
      <c r="MUQ109" s="17"/>
      <c r="MUR109" s="17"/>
      <c r="MUS109" s="17"/>
      <c r="MUT109" s="17"/>
      <c r="MUU109" s="17"/>
      <c r="MUV109" s="17"/>
      <c r="MUW109" s="17"/>
      <c r="MUX109" s="17"/>
      <c r="MUY109" s="17"/>
      <c r="MUZ109" s="17"/>
      <c r="MVA109" s="17"/>
      <c r="MVB109" s="17"/>
      <c r="MVC109" s="17"/>
      <c r="MVD109" s="17"/>
      <c r="MVE109" s="17"/>
      <c r="MVF109" s="17"/>
      <c r="MVG109" s="17"/>
      <c r="MVH109" s="17"/>
      <c r="MVI109" s="17"/>
      <c r="MVJ109" s="17"/>
      <c r="MVK109" s="17"/>
      <c r="MVL109" s="17"/>
      <c r="MVM109" s="17"/>
      <c r="MVN109" s="17"/>
      <c r="MVO109" s="17"/>
      <c r="MVP109" s="17"/>
      <c r="MVQ109" s="17"/>
      <c r="MVR109" s="17"/>
      <c r="MVS109" s="17"/>
      <c r="MVT109" s="17"/>
      <c r="MVU109" s="17"/>
      <c r="MVV109" s="17"/>
      <c r="MVW109" s="17"/>
      <c r="MVX109" s="17"/>
      <c r="MVY109" s="17"/>
      <c r="MVZ109" s="17"/>
      <c r="MWA109" s="17"/>
      <c r="MWB109" s="17"/>
      <c r="MWC109" s="17"/>
      <c r="MWD109" s="17"/>
      <c r="MWE109" s="17"/>
      <c r="MWF109" s="17"/>
      <c r="MWG109" s="17"/>
      <c r="MWH109" s="17"/>
      <c r="MWI109" s="17"/>
      <c r="MWJ109" s="17"/>
      <c r="MWK109" s="17"/>
      <c r="MWL109" s="17"/>
      <c r="MWM109" s="17"/>
      <c r="MWN109" s="17"/>
      <c r="MWO109" s="17"/>
      <c r="MWP109" s="17"/>
      <c r="MWQ109" s="17"/>
      <c r="MWR109" s="17"/>
      <c r="MWS109" s="17"/>
      <c r="MWT109" s="17"/>
      <c r="MWU109" s="17"/>
      <c r="MWV109" s="17"/>
      <c r="MWW109" s="17"/>
      <c r="MWX109" s="17"/>
      <c r="MWY109" s="17"/>
      <c r="MWZ109" s="17"/>
      <c r="MXA109" s="17"/>
      <c r="MXB109" s="17"/>
      <c r="MXC109" s="17"/>
      <c r="MXD109" s="17"/>
      <c r="MXE109" s="17"/>
      <c r="MXF109" s="17"/>
      <c r="MXG109" s="17"/>
      <c r="MXH109" s="17"/>
      <c r="MXI109" s="17"/>
      <c r="MXJ109" s="17"/>
      <c r="MXK109" s="17"/>
      <c r="MXL109" s="17"/>
      <c r="MXM109" s="17"/>
      <c r="MXN109" s="17"/>
      <c r="MXO109" s="17"/>
      <c r="MXP109" s="17"/>
      <c r="MXQ109" s="17"/>
      <c r="MXR109" s="17"/>
      <c r="MXS109" s="17"/>
      <c r="MXT109" s="17"/>
      <c r="MXU109" s="17"/>
      <c r="MXV109" s="17"/>
      <c r="MXW109" s="17"/>
      <c r="MXX109" s="17"/>
      <c r="MXY109" s="17"/>
      <c r="MXZ109" s="17"/>
      <c r="MYA109" s="17"/>
      <c r="MYB109" s="17"/>
      <c r="MYC109" s="17"/>
      <c r="MYD109" s="17"/>
      <c r="MYE109" s="17"/>
      <c r="MYF109" s="17"/>
      <c r="MYG109" s="17"/>
      <c r="MYH109" s="17"/>
      <c r="MYI109" s="17"/>
      <c r="MYJ109" s="17"/>
      <c r="MYK109" s="17"/>
      <c r="MYL109" s="17"/>
      <c r="MYM109" s="17"/>
      <c r="MYN109" s="17"/>
      <c r="MYO109" s="17"/>
      <c r="MYP109" s="17"/>
      <c r="MYQ109" s="17"/>
      <c r="MYR109" s="17"/>
      <c r="MYS109" s="17"/>
      <c r="MYT109" s="17"/>
      <c r="MYU109" s="17"/>
      <c r="MYV109" s="17"/>
      <c r="MYW109" s="17"/>
      <c r="MYX109" s="17"/>
      <c r="MYY109" s="17"/>
      <c r="MYZ109" s="17"/>
      <c r="MZA109" s="17"/>
      <c r="MZB109" s="17"/>
      <c r="MZC109" s="17"/>
      <c r="MZD109" s="17"/>
      <c r="MZE109" s="17"/>
      <c r="MZF109" s="17"/>
      <c r="MZG109" s="17"/>
      <c r="MZH109" s="17"/>
      <c r="MZI109" s="17"/>
      <c r="MZJ109" s="17"/>
      <c r="MZK109" s="17"/>
      <c r="MZL109" s="17"/>
      <c r="MZM109" s="17"/>
      <c r="MZN109" s="17"/>
      <c r="MZO109" s="17"/>
      <c r="MZP109" s="17"/>
      <c r="MZQ109" s="17"/>
      <c r="MZR109" s="17"/>
      <c r="MZS109" s="17"/>
      <c r="MZT109" s="17"/>
      <c r="MZU109" s="17"/>
      <c r="MZV109" s="17"/>
      <c r="MZW109" s="17"/>
      <c r="MZX109" s="17"/>
      <c r="MZY109" s="17"/>
      <c r="MZZ109" s="17"/>
      <c r="NAA109" s="17"/>
      <c r="NAB109" s="17"/>
      <c r="NAC109" s="17"/>
      <c r="NAD109" s="17"/>
      <c r="NAE109" s="17"/>
      <c r="NAF109" s="17"/>
      <c r="NAG109" s="17"/>
      <c r="NAH109" s="17"/>
      <c r="NAI109" s="17"/>
      <c r="NAJ109" s="17"/>
      <c r="NAK109" s="17"/>
      <c r="NAL109" s="17"/>
      <c r="NAM109" s="17"/>
      <c r="NAN109" s="17"/>
      <c r="NAO109" s="17"/>
      <c r="NAP109" s="17"/>
      <c r="NAQ109" s="17"/>
      <c r="NAR109" s="17"/>
      <c r="NAS109" s="17"/>
      <c r="NAT109" s="17"/>
      <c r="NAU109" s="17"/>
      <c r="NAV109" s="17"/>
      <c r="NAW109" s="17"/>
      <c r="NAX109" s="17"/>
      <c r="NAY109" s="17"/>
      <c r="NAZ109" s="17"/>
      <c r="NBA109" s="17"/>
      <c r="NBB109" s="17"/>
      <c r="NBC109" s="17"/>
      <c r="NBD109" s="17"/>
      <c r="NBE109" s="17"/>
      <c r="NBF109" s="17"/>
      <c r="NBG109" s="17"/>
      <c r="NBH109" s="17"/>
      <c r="NBI109" s="17"/>
      <c r="NBJ109" s="17"/>
      <c r="NBK109" s="17"/>
      <c r="NBL109" s="17"/>
      <c r="NBM109" s="17"/>
      <c r="NBN109" s="17"/>
      <c r="NBO109" s="17"/>
      <c r="NBP109" s="17"/>
      <c r="NBQ109" s="17"/>
      <c r="NBR109" s="17"/>
      <c r="NBS109" s="17"/>
      <c r="NBT109" s="17"/>
      <c r="NBU109" s="17"/>
      <c r="NBV109" s="17"/>
      <c r="NBW109" s="17"/>
      <c r="NBX109" s="17"/>
      <c r="NBY109" s="17"/>
      <c r="NBZ109" s="17"/>
      <c r="NCA109" s="17"/>
      <c r="NCB109" s="17"/>
      <c r="NCC109" s="17"/>
      <c r="NCD109" s="17"/>
      <c r="NCE109" s="17"/>
      <c r="NCF109" s="17"/>
      <c r="NCG109" s="17"/>
      <c r="NCH109" s="17"/>
      <c r="NCI109" s="17"/>
      <c r="NCJ109" s="17"/>
      <c r="NCK109" s="17"/>
      <c r="NCL109" s="17"/>
      <c r="NCM109" s="17"/>
      <c r="NCN109" s="17"/>
      <c r="NCO109" s="17"/>
      <c r="NCP109" s="17"/>
      <c r="NCQ109" s="17"/>
      <c r="NCR109" s="17"/>
      <c r="NCS109" s="17"/>
      <c r="NCT109" s="17"/>
      <c r="NCU109" s="17"/>
      <c r="NCV109" s="17"/>
      <c r="NCW109" s="17"/>
      <c r="NCX109" s="17"/>
      <c r="NCY109" s="17"/>
      <c r="NCZ109" s="17"/>
      <c r="NDA109" s="17"/>
      <c r="NDB109" s="17"/>
      <c r="NDC109" s="17"/>
      <c r="NDD109" s="17"/>
      <c r="NDE109" s="17"/>
      <c r="NDF109" s="17"/>
      <c r="NDG109" s="17"/>
      <c r="NDH109" s="17"/>
      <c r="NDI109" s="17"/>
      <c r="NDJ109" s="17"/>
      <c r="NDK109" s="17"/>
      <c r="NDL109" s="17"/>
      <c r="NDM109" s="17"/>
      <c r="NDN109" s="17"/>
      <c r="NDO109" s="17"/>
      <c r="NDP109" s="17"/>
      <c r="NDQ109" s="17"/>
      <c r="NDR109" s="17"/>
      <c r="NDS109" s="17"/>
      <c r="NDT109" s="17"/>
      <c r="NDU109" s="17"/>
      <c r="NDV109" s="17"/>
      <c r="NDW109" s="17"/>
      <c r="NDX109" s="17"/>
      <c r="NDY109" s="17"/>
      <c r="NDZ109" s="17"/>
      <c r="NEA109" s="17"/>
      <c r="NEB109" s="17"/>
      <c r="NEC109" s="17"/>
      <c r="NED109" s="17"/>
      <c r="NEE109" s="17"/>
      <c r="NEF109" s="17"/>
      <c r="NEG109" s="17"/>
      <c r="NEH109" s="17"/>
      <c r="NEI109" s="17"/>
      <c r="NEJ109" s="17"/>
      <c r="NEK109" s="17"/>
      <c r="NEL109" s="17"/>
      <c r="NEM109" s="17"/>
      <c r="NEN109" s="17"/>
      <c r="NEO109" s="17"/>
      <c r="NEP109" s="17"/>
      <c r="NEQ109" s="17"/>
      <c r="NER109" s="17"/>
      <c r="NES109" s="17"/>
      <c r="NET109" s="17"/>
      <c r="NEU109" s="17"/>
      <c r="NEV109" s="17"/>
      <c r="NEW109" s="17"/>
      <c r="NEX109" s="17"/>
      <c r="NEY109" s="17"/>
      <c r="NEZ109" s="17"/>
      <c r="NFA109" s="17"/>
      <c r="NFB109" s="17"/>
      <c r="NFC109" s="17"/>
      <c r="NFD109" s="17"/>
      <c r="NFE109" s="17"/>
      <c r="NFF109" s="17"/>
      <c r="NFG109" s="17"/>
      <c r="NFH109" s="17"/>
      <c r="NFI109" s="17"/>
      <c r="NFJ109" s="17"/>
      <c r="NFK109" s="17"/>
      <c r="NFL109" s="17"/>
      <c r="NFM109" s="17"/>
      <c r="NFN109" s="17"/>
      <c r="NFO109" s="17"/>
      <c r="NFP109" s="17"/>
      <c r="NFQ109" s="17"/>
      <c r="NFR109" s="17"/>
      <c r="NFS109" s="17"/>
      <c r="NFT109" s="17"/>
      <c r="NFU109" s="17"/>
      <c r="NFV109" s="17"/>
      <c r="NFW109" s="17"/>
      <c r="NFX109" s="17"/>
      <c r="NFY109" s="17"/>
      <c r="NFZ109" s="17"/>
      <c r="NGA109" s="17"/>
      <c r="NGB109" s="17"/>
      <c r="NGC109" s="17"/>
      <c r="NGD109" s="17"/>
      <c r="NGE109" s="17"/>
      <c r="NGF109" s="17"/>
      <c r="NGG109" s="17"/>
      <c r="NGH109" s="17"/>
      <c r="NGI109" s="17"/>
      <c r="NGJ109" s="17"/>
      <c r="NGK109" s="17"/>
      <c r="NGL109" s="17"/>
      <c r="NGM109" s="17"/>
      <c r="NGN109" s="17"/>
      <c r="NGO109" s="17"/>
      <c r="NGP109" s="17"/>
      <c r="NGQ109" s="17"/>
      <c r="NGR109" s="17"/>
      <c r="NGS109" s="17"/>
      <c r="NGT109" s="17"/>
      <c r="NGU109" s="17"/>
      <c r="NGV109" s="17"/>
      <c r="NGW109" s="17"/>
      <c r="NGX109" s="17"/>
      <c r="NGY109" s="17"/>
      <c r="NGZ109" s="17"/>
      <c r="NHA109" s="17"/>
      <c r="NHB109" s="17"/>
      <c r="NHC109" s="17"/>
      <c r="NHD109" s="17"/>
      <c r="NHE109" s="17"/>
      <c r="NHF109" s="17"/>
      <c r="NHG109" s="17"/>
      <c r="NHH109" s="17"/>
      <c r="NHI109" s="17"/>
      <c r="NHJ109" s="17"/>
      <c r="NHK109" s="17"/>
      <c r="NHL109" s="17"/>
      <c r="NHM109" s="17"/>
      <c r="NHN109" s="17"/>
      <c r="NHO109" s="17"/>
      <c r="NHP109" s="17"/>
      <c r="NHQ109" s="17"/>
      <c r="NHR109" s="17"/>
      <c r="NHS109" s="17"/>
      <c r="NHT109" s="17"/>
      <c r="NHU109" s="17"/>
      <c r="NHV109" s="17"/>
      <c r="NHW109" s="17"/>
      <c r="NHX109" s="17"/>
      <c r="NHY109" s="17"/>
      <c r="NHZ109" s="17"/>
      <c r="NIA109" s="17"/>
      <c r="NIB109" s="17"/>
      <c r="NIC109" s="17"/>
      <c r="NID109" s="17"/>
      <c r="NIE109" s="17"/>
      <c r="NIF109" s="17"/>
      <c r="NIG109" s="17"/>
      <c r="NIH109" s="17"/>
      <c r="NII109" s="17"/>
      <c r="NIJ109" s="17"/>
      <c r="NIK109" s="17"/>
      <c r="NIL109" s="17"/>
      <c r="NIM109" s="17"/>
      <c r="NIN109" s="17"/>
      <c r="NIO109" s="17"/>
      <c r="NIP109" s="17"/>
      <c r="NIQ109" s="17"/>
      <c r="NIR109" s="17"/>
      <c r="NIS109" s="17"/>
      <c r="NIT109" s="17"/>
      <c r="NIU109" s="17"/>
      <c r="NIV109" s="17"/>
      <c r="NIW109" s="17"/>
      <c r="NIX109" s="17"/>
      <c r="NIY109" s="17"/>
      <c r="NIZ109" s="17"/>
      <c r="NJA109" s="17"/>
      <c r="NJB109" s="17"/>
      <c r="NJC109" s="17"/>
      <c r="NJD109" s="17"/>
      <c r="NJE109" s="17"/>
      <c r="NJF109" s="17"/>
      <c r="NJG109" s="17"/>
      <c r="NJH109" s="17"/>
      <c r="NJI109" s="17"/>
      <c r="NJJ109" s="17"/>
      <c r="NJK109" s="17"/>
      <c r="NJL109" s="17"/>
      <c r="NJM109" s="17"/>
      <c r="NJN109" s="17"/>
      <c r="NJO109" s="17"/>
      <c r="NJP109" s="17"/>
      <c r="NJQ109" s="17"/>
      <c r="NJR109" s="17"/>
      <c r="NJS109" s="17"/>
      <c r="NJT109" s="17"/>
      <c r="NJU109" s="17"/>
      <c r="NJV109" s="17"/>
      <c r="NJW109" s="17"/>
      <c r="NJX109" s="17"/>
      <c r="NJY109" s="17"/>
      <c r="NJZ109" s="17"/>
      <c r="NKA109" s="17"/>
      <c r="NKB109" s="17"/>
      <c r="NKC109" s="17"/>
      <c r="NKD109" s="17"/>
      <c r="NKE109" s="17"/>
      <c r="NKF109" s="17"/>
      <c r="NKG109" s="17"/>
      <c r="NKH109" s="17"/>
      <c r="NKI109" s="17"/>
      <c r="NKJ109" s="17"/>
      <c r="NKK109" s="17"/>
      <c r="NKL109" s="17"/>
      <c r="NKM109" s="17"/>
      <c r="NKN109" s="17"/>
      <c r="NKO109" s="17"/>
      <c r="NKP109" s="17"/>
      <c r="NKQ109" s="17"/>
      <c r="NKR109" s="17"/>
      <c r="NKS109" s="17"/>
      <c r="NKT109" s="17"/>
      <c r="NKU109" s="17"/>
      <c r="NKV109" s="17"/>
      <c r="NKW109" s="17"/>
      <c r="NKX109" s="17"/>
      <c r="NKY109" s="17"/>
      <c r="NKZ109" s="17"/>
      <c r="NLA109" s="17"/>
      <c r="NLB109" s="17"/>
      <c r="NLC109" s="17"/>
      <c r="NLD109" s="17"/>
      <c r="NLE109" s="17"/>
      <c r="NLF109" s="17"/>
      <c r="NLG109" s="17"/>
      <c r="NLH109" s="17"/>
      <c r="NLI109" s="17"/>
      <c r="NLJ109" s="17"/>
      <c r="NLK109" s="17"/>
      <c r="NLL109" s="17"/>
      <c r="NLM109" s="17"/>
      <c r="NLN109" s="17"/>
      <c r="NLO109" s="17"/>
      <c r="NLP109" s="17"/>
      <c r="NLQ109" s="17"/>
      <c r="NLR109" s="17"/>
      <c r="NLS109" s="17"/>
      <c r="NLT109" s="17"/>
      <c r="NLU109" s="17"/>
      <c r="NLV109" s="17"/>
      <c r="NLW109" s="17"/>
      <c r="NLX109" s="17"/>
      <c r="NLY109" s="17"/>
      <c r="NLZ109" s="17"/>
      <c r="NMA109" s="17"/>
      <c r="NMB109" s="17"/>
      <c r="NMC109" s="17"/>
      <c r="NMD109" s="17"/>
      <c r="NME109" s="17"/>
      <c r="NMF109" s="17"/>
      <c r="NMG109" s="17"/>
      <c r="NMH109" s="17"/>
      <c r="NMI109" s="17"/>
      <c r="NMJ109" s="17"/>
      <c r="NMK109" s="17"/>
      <c r="NML109" s="17"/>
      <c r="NMM109" s="17"/>
      <c r="NMN109" s="17"/>
      <c r="NMO109" s="17"/>
      <c r="NMP109" s="17"/>
      <c r="NMQ109" s="17"/>
      <c r="NMR109" s="17"/>
      <c r="NMS109" s="17"/>
      <c r="NMT109" s="17"/>
      <c r="NMU109" s="17"/>
      <c r="NMV109" s="17"/>
      <c r="NMW109" s="17"/>
      <c r="NMX109" s="17"/>
      <c r="NMY109" s="17"/>
      <c r="NMZ109" s="17"/>
      <c r="NNA109" s="17"/>
      <c r="NNB109" s="17"/>
      <c r="NNC109" s="17"/>
      <c r="NND109" s="17"/>
      <c r="NNE109" s="17"/>
      <c r="NNF109" s="17"/>
      <c r="NNG109" s="17"/>
      <c r="NNH109" s="17"/>
      <c r="NNI109" s="17"/>
      <c r="NNJ109" s="17"/>
      <c r="NNK109" s="17"/>
      <c r="NNL109" s="17"/>
      <c r="NNM109" s="17"/>
      <c r="NNN109" s="17"/>
      <c r="NNO109" s="17"/>
      <c r="NNP109" s="17"/>
      <c r="NNQ109" s="17"/>
      <c r="NNR109" s="17"/>
      <c r="NNS109" s="17"/>
      <c r="NNT109" s="17"/>
      <c r="NNU109" s="17"/>
      <c r="NNV109" s="17"/>
      <c r="NNW109" s="17"/>
      <c r="NNX109" s="17"/>
      <c r="NNY109" s="17"/>
      <c r="NNZ109" s="17"/>
      <c r="NOA109" s="17"/>
      <c r="NOB109" s="17"/>
      <c r="NOC109" s="17"/>
      <c r="NOD109" s="17"/>
      <c r="NOE109" s="17"/>
      <c r="NOF109" s="17"/>
      <c r="NOG109" s="17"/>
      <c r="NOH109" s="17"/>
      <c r="NOI109" s="17"/>
      <c r="NOJ109" s="17"/>
      <c r="NOK109" s="17"/>
      <c r="NOL109" s="17"/>
      <c r="NOM109" s="17"/>
      <c r="NON109" s="17"/>
      <c r="NOO109" s="17"/>
      <c r="NOP109" s="17"/>
      <c r="NOQ109" s="17"/>
      <c r="NOR109" s="17"/>
      <c r="NOS109" s="17"/>
      <c r="NOT109" s="17"/>
      <c r="NOU109" s="17"/>
      <c r="NOV109" s="17"/>
      <c r="NOW109" s="17"/>
      <c r="NOX109" s="17"/>
      <c r="NOY109" s="17"/>
      <c r="NOZ109" s="17"/>
      <c r="NPA109" s="17"/>
      <c r="NPB109" s="17"/>
      <c r="NPC109" s="17"/>
      <c r="NPD109" s="17"/>
      <c r="NPE109" s="17"/>
      <c r="NPF109" s="17"/>
      <c r="NPG109" s="17"/>
      <c r="NPH109" s="17"/>
      <c r="NPI109" s="17"/>
      <c r="NPJ109" s="17"/>
      <c r="NPK109" s="17"/>
      <c r="NPL109" s="17"/>
      <c r="NPM109" s="17"/>
      <c r="NPN109" s="17"/>
      <c r="NPO109" s="17"/>
      <c r="NPP109" s="17"/>
      <c r="NPQ109" s="17"/>
      <c r="NPR109" s="17"/>
      <c r="NPS109" s="17"/>
      <c r="NPT109" s="17"/>
      <c r="NPU109" s="17"/>
      <c r="NPV109" s="17"/>
      <c r="NPW109" s="17"/>
      <c r="NPX109" s="17"/>
      <c r="NPY109" s="17"/>
      <c r="NPZ109" s="17"/>
      <c r="NQA109" s="17"/>
      <c r="NQB109" s="17"/>
      <c r="NQC109" s="17"/>
      <c r="NQD109" s="17"/>
      <c r="NQE109" s="17"/>
      <c r="NQF109" s="17"/>
      <c r="NQG109" s="17"/>
      <c r="NQH109" s="17"/>
      <c r="NQI109" s="17"/>
      <c r="NQJ109" s="17"/>
      <c r="NQK109" s="17"/>
      <c r="NQL109" s="17"/>
      <c r="NQM109" s="17"/>
      <c r="NQN109" s="17"/>
      <c r="NQO109" s="17"/>
      <c r="NQP109" s="17"/>
      <c r="NQQ109" s="17"/>
      <c r="NQR109" s="17"/>
      <c r="NQS109" s="17"/>
      <c r="NQT109" s="17"/>
      <c r="NQU109" s="17"/>
      <c r="NQV109" s="17"/>
      <c r="NQW109" s="17"/>
      <c r="NQX109" s="17"/>
      <c r="NQY109" s="17"/>
      <c r="NQZ109" s="17"/>
      <c r="NRA109" s="17"/>
      <c r="NRB109" s="17"/>
      <c r="NRC109" s="17"/>
      <c r="NRD109" s="17"/>
      <c r="NRE109" s="17"/>
      <c r="NRF109" s="17"/>
      <c r="NRG109" s="17"/>
      <c r="NRH109" s="17"/>
      <c r="NRI109" s="17"/>
      <c r="NRJ109" s="17"/>
      <c r="NRK109" s="17"/>
      <c r="NRL109" s="17"/>
      <c r="NRM109" s="17"/>
      <c r="NRN109" s="17"/>
      <c r="NRO109" s="17"/>
      <c r="NRP109" s="17"/>
      <c r="NRQ109" s="17"/>
      <c r="NRR109" s="17"/>
      <c r="NRS109" s="17"/>
      <c r="NRT109" s="17"/>
      <c r="NRU109" s="17"/>
      <c r="NRV109" s="17"/>
      <c r="NRW109" s="17"/>
      <c r="NRX109" s="17"/>
      <c r="NRY109" s="17"/>
      <c r="NRZ109" s="17"/>
      <c r="NSA109" s="17"/>
      <c r="NSB109" s="17"/>
      <c r="NSC109" s="17"/>
      <c r="NSD109" s="17"/>
      <c r="NSE109" s="17"/>
      <c r="NSF109" s="17"/>
      <c r="NSG109" s="17"/>
      <c r="NSH109" s="17"/>
      <c r="NSI109" s="17"/>
      <c r="NSJ109" s="17"/>
      <c r="NSK109" s="17"/>
      <c r="NSL109" s="17"/>
      <c r="NSM109" s="17"/>
      <c r="NSN109" s="17"/>
      <c r="NSO109" s="17"/>
      <c r="NSP109" s="17"/>
      <c r="NSQ109" s="17"/>
      <c r="NSR109" s="17"/>
      <c r="NSS109" s="17"/>
      <c r="NST109" s="17"/>
      <c r="NSU109" s="17"/>
      <c r="NSV109" s="17"/>
      <c r="NSW109" s="17"/>
      <c r="NSX109" s="17"/>
      <c r="NSY109" s="17"/>
      <c r="NSZ109" s="17"/>
      <c r="NTA109" s="17"/>
      <c r="NTB109" s="17"/>
      <c r="NTC109" s="17"/>
      <c r="NTD109" s="17"/>
      <c r="NTE109" s="17"/>
      <c r="NTF109" s="17"/>
      <c r="NTG109" s="17"/>
      <c r="NTH109" s="17"/>
      <c r="NTI109" s="17"/>
      <c r="NTJ109" s="17"/>
      <c r="NTK109" s="17"/>
      <c r="NTL109" s="17"/>
      <c r="NTM109" s="17"/>
      <c r="NTN109" s="17"/>
      <c r="NTO109" s="17"/>
      <c r="NTP109" s="17"/>
      <c r="NTQ109" s="17"/>
      <c r="NTR109" s="17"/>
      <c r="NTS109" s="17"/>
      <c r="NTT109" s="17"/>
      <c r="NTU109" s="17"/>
      <c r="NTV109" s="17"/>
      <c r="NTW109" s="17"/>
      <c r="NTX109" s="17"/>
      <c r="NTY109" s="17"/>
      <c r="NTZ109" s="17"/>
      <c r="NUA109" s="17"/>
      <c r="NUB109" s="17"/>
      <c r="NUC109" s="17"/>
      <c r="NUD109" s="17"/>
      <c r="NUE109" s="17"/>
      <c r="NUF109" s="17"/>
      <c r="NUG109" s="17"/>
      <c r="NUH109" s="17"/>
      <c r="NUI109" s="17"/>
      <c r="NUJ109" s="17"/>
      <c r="NUK109" s="17"/>
      <c r="NUL109" s="17"/>
      <c r="NUM109" s="17"/>
      <c r="NUN109" s="17"/>
      <c r="NUO109" s="17"/>
      <c r="NUP109" s="17"/>
      <c r="NUQ109" s="17"/>
      <c r="NUR109" s="17"/>
      <c r="NUS109" s="17"/>
      <c r="NUT109" s="17"/>
      <c r="NUU109" s="17"/>
      <c r="NUV109" s="17"/>
      <c r="NUW109" s="17"/>
      <c r="NUX109" s="17"/>
      <c r="NUY109" s="17"/>
      <c r="NUZ109" s="17"/>
      <c r="NVA109" s="17"/>
      <c r="NVB109" s="17"/>
      <c r="NVC109" s="17"/>
      <c r="NVD109" s="17"/>
      <c r="NVE109" s="17"/>
      <c r="NVF109" s="17"/>
      <c r="NVG109" s="17"/>
      <c r="NVH109" s="17"/>
      <c r="NVI109" s="17"/>
      <c r="NVJ109" s="17"/>
      <c r="NVK109" s="17"/>
      <c r="NVL109" s="17"/>
      <c r="NVM109" s="17"/>
      <c r="NVN109" s="17"/>
      <c r="NVO109" s="17"/>
      <c r="NVP109" s="17"/>
      <c r="NVQ109" s="17"/>
      <c r="NVR109" s="17"/>
      <c r="NVS109" s="17"/>
      <c r="NVT109" s="17"/>
      <c r="NVU109" s="17"/>
      <c r="NVV109" s="17"/>
      <c r="NVW109" s="17"/>
      <c r="NVX109" s="17"/>
      <c r="NVY109" s="17"/>
      <c r="NVZ109" s="17"/>
      <c r="NWA109" s="17"/>
      <c r="NWB109" s="17"/>
      <c r="NWC109" s="17"/>
      <c r="NWD109" s="17"/>
      <c r="NWE109" s="17"/>
      <c r="NWF109" s="17"/>
      <c r="NWG109" s="17"/>
      <c r="NWH109" s="17"/>
      <c r="NWI109" s="17"/>
      <c r="NWJ109" s="17"/>
      <c r="NWK109" s="17"/>
      <c r="NWL109" s="17"/>
      <c r="NWM109" s="17"/>
      <c r="NWN109" s="17"/>
      <c r="NWO109" s="17"/>
      <c r="NWP109" s="17"/>
      <c r="NWQ109" s="17"/>
      <c r="NWR109" s="17"/>
      <c r="NWS109" s="17"/>
      <c r="NWT109" s="17"/>
      <c r="NWU109" s="17"/>
      <c r="NWV109" s="17"/>
      <c r="NWW109" s="17"/>
      <c r="NWX109" s="17"/>
      <c r="NWY109" s="17"/>
      <c r="NWZ109" s="17"/>
      <c r="NXA109" s="17"/>
      <c r="NXB109" s="17"/>
      <c r="NXC109" s="17"/>
      <c r="NXD109" s="17"/>
      <c r="NXE109" s="17"/>
      <c r="NXF109" s="17"/>
      <c r="NXG109" s="17"/>
      <c r="NXH109" s="17"/>
      <c r="NXI109" s="17"/>
      <c r="NXJ109" s="17"/>
      <c r="NXK109" s="17"/>
      <c r="NXL109" s="17"/>
      <c r="NXM109" s="17"/>
      <c r="NXN109" s="17"/>
      <c r="NXO109" s="17"/>
      <c r="NXP109" s="17"/>
      <c r="NXQ109" s="17"/>
      <c r="NXR109" s="17"/>
      <c r="NXS109" s="17"/>
      <c r="NXT109" s="17"/>
      <c r="NXU109" s="17"/>
      <c r="NXV109" s="17"/>
      <c r="NXW109" s="17"/>
      <c r="NXX109" s="17"/>
      <c r="NXY109" s="17"/>
      <c r="NXZ109" s="17"/>
      <c r="NYA109" s="17"/>
      <c r="NYB109" s="17"/>
      <c r="NYC109" s="17"/>
      <c r="NYD109" s="17"/>
      <c r="NYE109" s="17"/>
      <c r="NYF109" s="17"/>
      <c r="NYG109" s="17"/>
      <c r="NYH109" s="17"/>
      <c r="NYI109" s="17"/>
      <c r="NYJ109" s="17"/>
      <c r="NYK109" s="17"/>
      <c r="NYL109" s="17"/>
      <c r="NYM109" s="17"/>
      <c r="NYN109" s="17"/>
      <c r="NYO109" s="17"/>
      <c r="NYP109" s="17"/>
      <c r="NYQ109" s="17"/>
      <c r="NYR109" s="17"/>
      <c r="NYS109" s="17"/>
      <c r="NYT109" s="17"/>
      <c r="NYU109" s="17"/>
      <c r="NYV109" s="17"/>
      <c r="NYW109" s="17"/>
      <c r="NYX109" s="17"/>
      <c r="NYY109" s="17"/>
      <c r="NYZ109" s="17"/>
      <c r="NZA109" s="17"/>
      <c r="NZB109" s="17"/>
      <c r="NZC109" s="17"/>
      <c r="NZD109" s="17"/>
      <c r="NZE109" s="17"/>
      <c r="NZF109" s="17"/>
      <c r="NZG109" s="17"/>
      <c r="NZH109" s="17"/>
      <c r="NZI109" s="17"/>
      <c r="NZJ109" s="17"/>
      <c r="NZK109" s="17"/>
      <c r="NZL109" s="17"/>
      <c r="NZM109" s="17"/>
      <c r="NZN109" s="17"/>
      <c r="NZO109" s="17"/>
      <c r="NZP109" s="17"/>
      <c r="NZQ109" s="17"/>
      <c r="NZR109" s="17"/>
      <c r="NZS109" s="17"/>
      <c r="NZT109" s="17"/>
      <c r="NZU109" s="17"/>
      <c r="NZV109" s="17"/>
      <c r="NZW109" s="17"/>
      <c r="NZX109" s="17"/>
      <c r="NZY109" s="17"/>
      <c r="NZZ109" s="17"/>
      <c r="OAA109" s="17"/>
      <c r="OAB109" s="17"/>
      <c r="OAC109" s="17"/>
      <c r="OAD109" s="17"/>
      <c r="OAE109" s="17"/>
      <c r="OAF109" s="17"/>
      <c r="OAG109" s="17"/>
      <c r="OAH109" s="17"/>
      <c r="OAI109" s="17"/>
      <c r="OAJ109" s="17"/>
      <c r="OAK109" s="17"/>
      <c r="OAL109" s="17"/>
      <c r="OAM109" s="17"/>
      <c r="OAN109" s="17"/>
      <c r="OAO109" s="17"/>
      <c r="OAP109" s="17"/>
      <c r="OAQ109" s="17"/>
      <c r="OAR109" s="17"/>
      <c r="OAS109" s="17"/>
      <c r="OAT109" s="17"/>
      <c r="OAU109" s="17"/>
      <c r="OAV109" s="17"/>
      <c r="OAW109" s="17"/>
      <c r="OAX109" s="17"/>
      <c r="OAY109" s="17"/>
      <c r="OAZ109" s="17"/>
      <c r="OBA109" s="17"/>
      <c r="OBB109" s="17"/>
      <c r="OBC109" s="17"/>
      <c r="OBD109" s="17"/>
      <c r="OBE109" s="17"/>
      <c r="OBF109" s="17"/>
      <c r="OBG109" s="17"/>
      <c r="OBH109" s="17"/>
      <c r="OBI109" s="17"/>
      <c r="OBJ109" s="17"/>
      <c r="OBK109" s="17"/>
      <c r="OBL109" s="17"/>
      <c r="OBM109" s="17"/>
      <c r="OBN109" s="17"/>
      <c r="OBO109" s="17"/>
      <c r="OBP109" s="17"/>
      <c r="OBQ109" s="17"/>
      <c r="OBR109" s="17"/>
      <c r="OBS109" s="17"/>
      <c r="OBT109" s="17"/>
      <c r="OBU109" s="17"/>
      <c r="OBV109" s="17"/>
      <c r="OBW109" s="17"/>
      <c r="OBX109" s="17"/>
      <c r="OBY109" s="17"/>
      <c r="OBZ109" s="17"/>
      <c r="OCA109" s="17"/>
      <c r="OCB109" s="17"/>
      <c r="OCC109" s="17"/>
      <c r="OCD109" s="17"/>
      <c r="OCE109" s="17"/>
      <c r="OCF109" s="17"/>
      <c r="OCG109" s="17"/>
      <c r="OCH109" s="17"/>
      <c r="OCI109" s="17"/>
      <c r="OCJ109" s="17"/>
      <c r="OCK109" s="17"/>
      <c r="OCL109" s="17"/>
      <c r="OCM109" s="17"/>
      <c r="OCN109" s="17"/>
      <c r="OCO109" s="17"/>
      <c r="OCP109" s="17"/>
      <c r="OCQ109" s="17"/>
      <c r="OCR109" s="17"/>
      <c r="OCS109" s="17"/>
      <c r="OCT109" s="17"/>
      <c r="OCU109" s="17"/>
      <c r="OCV109" s="17"/>
      <c r="OCW109" s="17"/>
      <c r="OCX109" s="17"/>
      <c r="OCY109" s="17"/>
      <c r="OCZ109" s="17"/>
      <c r="ODA109" s="17"/>
      <c r="ODB109" s="17"/>
      <c r="ODC109" s="17"/>
      <c r="ODD109" s="17"/>
      <c r="ODE109" s="17"/>
      <c r="ODF109" s="17"/>
      <c r="ODG109" s="17"/>
      <c r="ODH109" s="17"/>
      <c r="ODI109" s="17"/>
      <c r="ODJ109" s="17"/>
      <c r="ODK109" s="17"/>
      <c r="ODL109" s="17"/>
      <c r="ODM109" s="17"/>
      <c r="ODN109" s="17"/>
      <c r="ODO109" s="17"/>
      <c r="ODP109" s="17"/>
      <c r="ODQ109" s="17"/>
      <c r="ODR109" s="17"/>
      <c r="ODS109" s="17"/>
      <c r="ODT109" s="17"/>
      <c r="ODU109" s="17"/>
      <c r="ODV109" s="17"/>
      <c r="ODW109" s="17"/>
      <c r="ODX109" s="17"/>
      <c r="ODY109" s="17"/>
      <c r="ODZ109" s="17"/>
      <c r="OEA109" s="17"/>
      <c r="OEB109" s="17"/>
      <c r="OEC109" s="17"/>
      <c r="OED109" s="17"/>
      <c r="OEE109" s="17"/>
      <c r="OEF109" s="17"/>
      <c r="OEG109" s="17"/>
      <c r="OEH109" s="17"/>
      <c r="OEI109" s="17"/>
      <c r="OEJ109" s="17"/>
      <c r="OEK109" s="17"/>
      <c r="OEL109" s="17"/>
      <c r="OEM109" s="17"/>
      <c r="OEN109" s="17"/>
      <c r="OEO109" s="17"/>
      <c r="OEP109" s="17"/>
      <c r="OEQ109" s="17"/>
      <c r="OER109" s="17"/>
      <c r="OES109" s="17"/>
      <c r="OET109" s="17"/>
      <c r="OEU109" s="17"/>
      <c r="OEV109" s="17"/>
      <c r="OEW109" s="17"/>
      <c r="OEX109" s="17"/>
      <c r="OEY109" s="17"/>
      <c r="OEZ109" s="17"/>
      <c r="OFA109" s="17"/>
      <c r="OFB109" s="17"/>
      <c r="OFC109" s="17"/>
      <c r="OFD109" s="17"/>
      <c r="OFE109" s="17"/>
      <c r="OFF109" s="17"/>
      <c r="OFG109" s="17"/>
      <c r="OFH109" s="17"/>
      <c r="OFI109" s="17"/>
      <c r="OFJ109" s="17"/>
      <c r="OFK109" s="17"/>
      <c r="OFL109" s="17"/>
      <c r="OFM109" s="17"/>
      <c r="OFN109" s="17"/>
      <c r="OFO109" s="17"/>
      <c r="OFP109" s="17"/>
      <c r="OFQ109" s="17"/>
      <c r="OFR109" s="17"/>
      <c r="OFS109" s="17"/>
      <c r="OFT109" s="17"/>
      <c r="OFU109" s="17"/>
      <c r="OFV109" s="17"/>
      <c r="OFW109" s="17"/>
      <c r="OFX109" s="17"/>
      <c r="OFY109" s="17"/>
      <c r="OFZ109" s="17"/>
      <c r="OGA109" s="17"/>
      <c r="OGB109" s="17"/>
      <c r="OGC109" s="17"/>
      <c r="OGD109" s="17"/>
      <c r="OGE109" s="17"/>
      <c r="OGF109" s="17"/>
      <c r="OGG109" s="17"/>
      <c r="OGH109" s="17"/>
      <c r="OGI109" s="17"/>
      <c r="OGJ109" s="17"/>
      <c r="OGK109" s="17"/>
      <c r="OGL109" s="17"/>
      <c r="OGM109" s="17"/>
      <c r="OGN109" s="17"/>
      <c r="OGO109" s="17"/>
      <c r="OGP109" s="17"/>
      <c r="OGQ109" s="17"/>
      <c r="OGR109" s="17"/>
      <c r="OGS109" s="17"/>
      <c r="OGT109" s="17"/>
      <c r="OGU109" s="17"/>
      <c r="OGV109" s="17"/>
      <c r="OGW109" s="17"/>
      <c r="OGX109" s="17"/>
      <c r="OGY109" s="17"/>
      <c r="OGZ109" s="17"/>
      <c r="OHA109" s="17"/>
      <c r="OHB109" s="17"/>
      <c r="OHC109" s="17"/>
      <c r="OHD109" s="17"/>
      <c r="OHE109" s="17"/>
      <c r="OHF109" s="17"/>
      <c r="OHG109" s="17"/>
      <c r="OHH109" s="17"/>
      <c r="OHI109" s="17"/>
      <c r="OHJ109" s="17"/>
      <c r="OHK109" s="17"/>
      <c r="OHL109" s="17"/>
      <c r="OHM109" s="17"/>
      <c r="OHN109" s="17"/>
      <c r="OHO109" s="17"/>
      <c r="OHP109" s="17"/>
      <c r="OHQ109" s="17"/>
      <c r="OHR109" s="17"/>
      <c r="OHS109" s="17"/>
      <c r="OHT109" s="17"/>
      <c r="OHU109" s="17"/>
      <c r="OHV109" s="17"/>
      <c r="OHW109" s="17"/>
      <c r="OHX109" s="17"/>
      <c r="OHY109" s="17"/>
      <c r="OHZ109" s="17"/>
      <c r="OIA109" s="17"/>
      <c r="OIB109" s="17"/>
      <c r="OIC109" s="17"/>
      <c r="OID109" s="17"/>
      <c r="OIE109" s="17"/>
      <c r="OIF109" s="17"/>
      <c r="OIG109" s="17"/>
      <c r="OIH109" s="17"/>
      <c r="OII109" s="17"/>
      <c r="OIJ109" s="17"/>
      <c r="OIK109" s="17"/>
      <c r="OIL109" s="17"/>
      <c r="OIM109" s="17"/>
      <c r="OIN109" s="17"/>
      <c r="OIO109" s="17"/>
      <c r="OIP109" s="17"/>
      <c r="OIQ109" s="17"/>
      <c r="OIR109" s="17"/>
      <c r="OIS109" s="17"/>
      <c r="OIT109" s="17"/>
      <c r="OIU109" s="17"/>
      <c r="OIV109" s="17"/>
      <c r="OIW109" s="17"/>
      <c r="OIX109" s="17"/>
      <c r="OIY109" s="17"/>
      <c r="OIZ109" s="17"/>
      <c r="OJA109" s="17"/>
      <c r="OJB109" s="17"/>
      <c r="OJC109" s="17"/>
      <c r="OJD109" s="17"/>
      <c r="OJE109" s="17"/>
      <c r="OJF109" s="17"/>
      <c r="OJG109" s="17"/>
      <c r="OJH109" s="17"/>
      <c r="OJI109" s="17"/>
      <c r="OJJ109" s="17"/>
      <c r="OJK109" s="17"/>
      <c r="OJL109" s="17"/>
      <c r="OJM109" s="17"/>
      <c r="OJN109" s="17"/>
      <c r="OJO109" s="17"/>
      <c r="OJP109" s="17"/>
      <c r="OJQ109" s="17"/>
      <c r="OJR109" s="17"/>
      <c r="OJS109" s="17"/>
      <c r="OJT109" s="17"/>
      <c r="OJU109" s="17"/>
      <c r="OJV109" s="17"/>
      <c r="OJW109" s="17"/>
      <c r="OJX109" s="17"/>
      <c r="OJY109" s="17"/>
      <c r="OJZ109" s="17"/>
      <c r="OKA109" s="17"/>
      <c r="OKB109" s="17"/>
      <c r="OKC109" s="17"/>
      <c r="OKD109" s="17"/>
      <c r="OKE109" s="17"/>
      <c r="OKF109" s="17"/>
      <c r="OKG109" s="17"/>
      <c r="OKH109" s="17"/>
      <c r="OKI109" s="17"/>
      <c r="OKJ109" s="17"/>
      <c r="OKK109" s="17"/>
      <c r="OKL109" s="17"/>
      <c r="OKM109" s="17"/>
      <c r="OKN109" s="17"/>
      <c r="OKO109" s="17"/>
      <c r="OKP109" s="17"/>
      <c r="OKQ109" s="17"/>
      <c r="OKR109" s="17"/>
      <c r="OKS109" s="17"/>
      <c r="OKT109" s="17"/>
      <c r="OKU109" s="17"/>
      <c r="OKV109" s="17"/>
      <c r="OKW109" s="17"/>
      <c r="OKX109" s="17"/>
      <c r="OKY109" s="17"/>
      <c r="OKZ109" s="17"/>
      <c r="OLA109" s="17"/>
      <c r="OLB109" s="17"/>
      <c r="OLC109" s="17"/>
      <c r="OLD109" s="17"/>
      <c r="OLE109" s="17"/>
      <c r="OLF109" s="17"/>
      <c r="OLG109" s="17"/>
      <c r="OLH109" s="17"/>
      <c r="OLI109" s="17"/>
      <c r="OLJ109" s="17"/>
      <c r="OLK109" s="17"/>
      <c r="OLL109" s="17"/>
      <c r="OLM109" s="17"/>
      <c r="OLN109" s="17"/>
      <c r="OLO109" s="17"/>
      <c r="OLP109" s="17"/>
      <c r="OLQ109" s="17"/>
      <c r="OLR109" s="17"/>
      <c r="OLS109" s="17"/>
      <c r="OLT109" s="17"/>
      <c r="OLU109" s="17"/>
      <c r="OLV109" s="17"/>
      <c r="OLW109" s="17"/>
      <c r="OLX109" s="17"/>
      <c r="OLY109" s="17"/>
      <c r="OLZ109" s="17"/>
      <c r="OMA109" s="17"/>
      <c r="OMB109" s="17"/>
      <c r="OMC109" s="17"/>
      <c r="OMD109" s="17"/>
      <c r="OME109" s="17"/>
      <c r="OMF109" s="17"/>
      <c r="OMG109" s="17"/>
      <c r="OMH109" s="17"/>
      <c r="OMI109" s="17"/>
      <c r="OMJ109" s="17"/>
      <c r="OMK109" s="17"/>
      <c r="OML109" s="17"/>
      <c r="OMM109" s="17"/>
      <c r="OMN109" s="17"/>
      <c r="OMO109" s="17"/>
      <c r="OMP109" s="17"/>
      <c r="OMQ109" s="17"/>
      <c r="OMR109" s="17"/>
      <c r="OMS109" s="17"/>
      <c r="OMT109" s="17"/>
      <c r="OMU109" s="17"/>
      <c r="OMV109" s="17"/>
      <c r="OMW109" s="17"/>
      <c r="OMX109" s="17"/>
      <c r="OMY109" s="17"/>
      <c r="OMZ109" s="17"/>
      <c r="ONA109" s="17"/>
      <c r="ONB109" s="17"/>
      <c r="ONC109" s="17"/>
      <c r="OND109" s="17"/>
      <c r="ONE109" s="17"/>
      <c r="ONF109" s="17"/>
      <c r="ONG109" s="17"/>
      <c r="ONH109" s="17"/>
      <c r="ONI109" s="17"/>
      <c r="ONJ109" s="17"/>
      <c r="ONK109" s="17"/>
      <c r="ONL109" s="17"/>
      <c r="ONM109" s="17"/>
      <c r="ONN109" s="17"/>
      <c r="ONO109" s="17"/>
      <c r="ONP109" s="17"/>
      <c r="ONQ109" s="17"/>
      <c r="ONR109" s="17"/>
      <c r="ONS109" s="17"/>
      <c r="ONT109" s="17"/>
      <c r="ONU109" s="17"/>
      <c r="ONV109" s="17"/>
      <c r="ONW109" s="17"/>
      <c r="ONX109" s="17"/>
      <c r="ONY109" s="17"/>
      <c r="ONZ109" s="17"/>
      <c r="OOA109" s="17"/>
      <c r="OOB109" s="17"/>
      <c r="OOC109" s="17"/>
      <c r="OOD109" s="17"/>
      <c r="OOE109" s="17"/>
      <c r="OOF109" s="17"/>
      <c r="OOG109" s="17"/>
      <c r="OOH109" s="17"/>
      <c r="OOI109" s="17"/>
      <c r="OOJ109" s="17"/>
      <c r="OOK109" s="17"/>
      <c r="OOL109" s="17"/>
      <c r="OOM109" s="17"/>
      <c r="OON109" s="17"/>
      <c r="OOO109" s="17"/>
      <c r="OOP109" s="17"/>
      <c r="OOQ109" s="17"/>
      <c r="OOR109" s="17"/>
      <c r="OOS109" s="17"/>
      <c r="OOT109" s="17"/>
      <c r="OOU109" s="17"/>
      <c r="OOV109" s="17"/>
      <c r="OOW109" s="17"/>
      <c r="OOX109" s="17"/>
      <c r="OOY109" s="17"/>
      <c r="OOZ109" s="17"/>
      <c r="OPA109" s="17"/>
      <c r="OPB109" s="17"/>
      <c r="OPC109" s="17"/>
      <c r="OPD109" s="17"/>
      <c r="OPE109" s="17"/>
      <c r="OPF109" s="17"/>
      <c r="OPG109" s="17"/>
      <c r="OPH109" s="17"/>
      <c r="OPI109" s="17"/>
      <c r="OPJ109" s="17"/>
      <c r="OPK109" s="17"/>
      <c r="OPL109" s="17"/>
      <c r="OPM109" s="17"/>
      <c r="OPN109" s="17"/>
      <c r="OPO109" s="17"/>
      <c r="OPP109" s="17"/>
      <c r="OPQ109" s="17"/>
      <c r="OPR109" s="17"/>
      <c r="OPS109" s="17"/>
      <c r="OPT109" s="17"/>
      <c r="OPU109" s="17"/>
      <c r="OPV109" s="17"/>
      <c r="OPW109" s="17"/>
      <c r="OPX109" s="17"/>
      <c r="OPY109" s="17"/>
      <c r="OPZ109" s="17"/>
      <c r="OQA109" s="17"/>
      <c r="OQB109" s="17"/>
      <c r="OQC109" s="17"/>
      <c r="OQD109" s="17"/>
      <c r="OQE109" s="17"/>
      <c r="OQF109" s="17"/>
      <c r="OQG109" s="17"/>
      <c r="OQH109" s="17"/>
      <c r="OQI109" s="17"/>
      <c r="OQJ109" s="17"/>
      <c r="OQK109" s="17"/>
      <c r="OQL109" s="17"/>
      <c r="OQM109" s="17"/>
      <c r="OQN109" s="17"/>
      <c r="OQO109" s="17"/>
      <c r="OQP109" s="17"/>
      <c r="OQQ109" s="17"/>
      <c r="OQR109" s="17"/>
      <c r="OQS109" s="17"/>
      <c r="OQT109" s="17"/>
      <c r="OQU109" s="17"/>
      <c r="OQV109" s="17"/>
      <c r="OQW109" s="17"/>
      <c r="OQX109" s="17"/>
      <c r="OQY109" s="17"/>
      <c r="OQZ109" s="17"/>
      <c r="ORA109" s="17"/>
      <c r="ORB109" s="17"/>
      <c r="ORC109" s="17"/>
      <c r="ORD109" s="17"/>
      <c r="ORE109" s="17"/>
      <c r="ORF109" s="17"/>
      <c r="ORG109" s="17"/>
      <c r="ORH109" s="17"/>
      <c r="ORI109" s="17"/>
      <c r="ORJ109" s="17"/>
      <c r="ORK109" s="17"/>
      <c r="ORL109" s="17"/>
      <c r="ORM109" s="17"/>
      <c r="ORN109" s="17"/>
      <c r="ORO109" s="17"/>
      <c r="ORP109" s="17"/>
      <c r="ORQ109" s="17"/>
      <c r="ORR109" s="17"/>
      <c r="ORS109" s="17"/>
      <c r="ORT109" s="17"/>
      <c r="ORU109" s="17"/>
      <c r="ORV109" s="17"/>
      <c r="ORW109" s="17"/>
      <c r="ORX109" s="17"/>
      <c r="ORY109" s="17"/>
      <c r="ORZ109" s="17"/>
      <c r="OSA109" s="17"/>
      <c r="OSB109" s="17"/>
      <c r="OSC109" s="17"/>
      <c r="OSD109" s="17"/>
      <c r="OSE109" s="17"/>
      <c r="OSF109" s="17"/>
      <c r="OSG109" s="17"/>
      <c r="OSH109" s="17"/>
      <c r="OSI109" s="17"/>
      <c r="OSJ109" s="17"/>
      <c r="OSK109" s="17"/>
      <c r="OSL109" s="17"/>
      <c r="OSM109" s="17"/>
      <c r="OSN109" s="17"/>
      <c r="OSO109" s="17"/>
      <c r="OSP109" s="17"/>
      <c r="OSQ109" s="17"/>
      <c r="OSR109" s="17"/>
      <c r="OSS109" s="17"/>
      <c r="OST109" s="17"/>
      <c r="OSU109" s="17"/>
      <c r="OSV109" s="17"/>
      <c r="OSW109" s="17"/>
      <c r="OSX109" s="17"/>
      <c r="OSY109" s="17"/>
      <c r="OSZ109" s="17"/>
      <c r="OTA109" s="17"/>
      <c r="OTB109" s="17"/>
      <c r="OTC109" s="17"/>
      <c r="OTD109" s="17"/>
      <c r="OTE109" s="17"/>
      <c r="OTF109" s="17"/>
      <c r="OTG109" s="17"/>
      <c r="OTH109" s="17"/>
      <c r="OTI109" s="17"/>
      <c r="OTJ109" s="17"/>
      <c r="OTK109" s="17"/>
      <c r="OTL109" s="17"/>
      <c r="OTM109" s="17"/>
      <c r="OTN109" s="17"/>
      <c r="OTO109" s="17"/>
      <c r="OTP109" s="17"/>
      <c r="OTQ109" s="17"/>
      <c r="OTR109" s="17"/>
      <c r="OTS109" s="17"/>
      <c r="OTT109" s="17"/>
      <c r="OTU109" s="17"/>
      <c r="OTV109" s="17"/>
      <c r="OTW109" s="17"/>
      <c r="OTX109" s="17"/>
      <c r="OTY109" s="17"/>
      <c r="OTZ109" s="17"/>
      <c r="OUA109" s="17"/>
      <c r="OUB109" s="17"/>
      <c r="OUC109" s="17"/>
      <c r="OUD109" s="17"/>
      <c r="OUE109" s="17"/>
      <c r="OUF109" s="17"/>
      <c r="OUG109" s="17"/>
      <c r="OUH109" s="17"/>
      <c r="OUI109" s="17"/>
      <c r="OUJ109" s="17"/>
      <c r="OUK109" s="17"/>
      <c r="OUL109" s="17"/>
      <c r="OUM109" s="17"/>
      <c r="OUN109" s="17"/>
      <c r="OUO109" s="17"/>
      <c r="OUP109" s="17"/>
      <c r="OUQ109" s="17"/>
      <c r="OUR109" s="17"/>
      <c r="OUS109" s="17"/>
      <c r="OUT109" s="17"/>
      <c r="OUU109" s="17"/>
      <c r="OUV109" s="17"/>
      <c r="OUW109" s="17"/>
      <c r="OUX109" s="17"/>
      <c r="OUY109" s="17"/>
      <c r="OUZ109" s="17"/>
      <c r="OVA109" s="17"/>
      <c r="OVB109" s="17"/>
      <c r="OVC109" s="17"/>
      <c r="OVD109" s="17"/>
      <c r="OVE109" s="17"/>
      <c r="OVF109" s="17"/>
      <c r="OVG109" s="17"/>
      <c r="OVH109" s="17"/>
      <c r="OVI109" s="17"/>
      <c r="OVJ109" s="17"/>
      <c r="OVK109" s="17"/>
      <c r="OVL109" s="17"/>
      <c r="OVM109" s="17"/>
      <c r="OVN109" s="17"/>
      <c r="OVO109" s="17"/>
      <c r="OVP109" s="17"/>
      <c r="OVQ109" s="17"/>
      <c r="OVR109" s="17"/>
      <c r="OVS109" s="17"/>
      <c r="OVT109" s="17"/>
      <c r="OVU109" s="17"/>
      <c r="OVV109" s="17"/>
      <c r="OVW109" s="17"/>
      <c r="OVX109" s="17"/>
      <c r="OVY109" s="17"/>
      <c r="OVZ109" s="17"/>
      <c r="OWA109" s="17"/>
      <c r="OWB109" s="17"/>
      <c r="OWC109" s="17"/>
      <c r="OWD109" s="17"/>
      <c r="OWE109" s="17"/>
      <c r="OWF109" s="17"/>
      <c r="OWG109" s="17"/>
      <c r="OWH109" s="17"/>
      <c r="OWI109" s="17"/>
      <c r="OWJ109" s="17"/>
      <c r="OWK109" s="17"/>
      <c r="OWL109" s="17"/>
      <c r="OWM109" s="17"/>
      <c r="OWN109" s="17"/>
      <c r="OWO109" s="17"/>
      <c r="OWP109" s="17"/>
      <c r="OWQ109" s="17"/>
      <c r="OWR109" s="17"/>
      <c r="OWS109" s="17"/>
      <c r="OWT109" s="17"/>
      <c r="OWU109" s="17"/>
      <c r="OWV109" s="17"/>
      <c r="OWW109" s="17"/>
      <c r="OWX109" s="17"/>
      <c r="OWY109" s="17"/>
      <c r="OWZ109" s="17"/>
      <c r="OXA109" s="17"/>
      <c r="OXB109" s="17"/>
      <c r="OXC109" s="17"/>
      <c r="OXD109" s="17"/>
      <c r="OXE109" s="17"/>
      <c r="OXF109" s="17"/>
      <c r="OXG109" s="17"/>
      <c r="OXH109" s="17"/>
      <c r="OXI109" s="17"/>
      <c r="OXJ109" s="17"/>
      <c r="OXK109" s="17"/>
      <c r="OXL109" s="17"/>
      <c r="OXM109" s="17"/>
      <c r="OXN109" s="17"/>
      <c r="OXO109" s="17"/>
      <c r="OXP109" s="17"/>
      <c r="OXQ109" s="17"/>
      <c r="OXR109" s="17"/>
      <c r="OXS109" s="17"/>
      <c r="OXT109" s="17"/>
      <c r="OXU109" s="17"/>
      <c r="OXV109" s="17"/>
      <c r="OXW109" s="17"/>
      <c r="OXX109" s="17"/>
      <c r="OXY109" s="17"/>
      <c r="OXZ109" s="17"/>
      <c r="OYA109" s="17"/>
      <c r="OYB109" s="17"/>
      <c r="OYC109" s="17"/>
      <c r="OYD109" s="17"/>
      <c r="OYE109" s="17"/>
      <c r="OYF109" s="17"/>
      <c r="OYG109" s="17"/>
      <c r="OYH109" s="17"/>
      <c r="OYI109" s="17"/>
      <c r="OYJ109" s="17"/>
      <c r="OYK109" s="17"/>
      <c r="OYL109" s="17"/>
      <c r="OYM109" s="17"/>
      <c r="OYN109" s="17"/>
      <c r="OYO109" s="17"/>
      <c r="OYP109" s="17"/>
      <c r="OYQ109" s="17"/>
      <c r="OYR109" s="17"/>
      <c r="OYS109" s="17"/>
      <c r="OYT109" s="17"/>
      <c r="OYU109" s="17"/>
      <c r="OYV109" s="17"/>
      <c r="OYW109" s="17"/>
      <c r="OYX109" s="17"/>
      <c r="OYY109" s="17"/>
      <c r="OYZ109" s="17"/>
      <c r="OZA109" s="17"/>
      <c r="OZB109" s="17"/>
      <c r="OZC109" s="17"/>
      <c r="OZD109" s="17"/>
      <c r="OZE109" s="17"/>
      <c r="OZF109" s="17"/>
      <c r="OZG109" s="17"/>
      <c r="OZH109" s="17"/>
      <c r="OZI109" s="17"/>
      <c r="OZJ109" s="17"/>
      <c r="OZK109" s="17"/>
      <c r="OZL109" s="17"/>
      <c r="OZM109" s="17"/>
      <c r="OZN109" s="17"/>
      <c r="OZO109" s="17"/>
      <c r="OZP109" s="17"/>
      <c r="OZQ109" s="17"/>
      <c r="OZR109" s="17"/>
      <c r="OZS109" s="17"/>
      <c r="OZT109" s="17"/>
      <c r="OZU109" s="17"/>
      <c r="OZV109" s="17"/>
      <c r="OZW109" s="17"/>
      <c r="OZX109" s="17"/>
      <c r="OZY109" s="17"/>
      <c r="OZZ109" s="17"/>
      <c r="PAA109" s="17"/>
      <c r="PAB109" s="17"/>
      <c r="PAC109" s="17"/>
      <c r="PAD109" s="17"/>
      <c r="PAE109" s="17"/>
      <c r="PAF109" s="17"/>
      <c r="PAG109" s="17"/>
      <c r="PAH109" s="17"/>
      <c r="PAI109" s="17"/>
      <c r="PAJ109" s="17"/>
      <c r="PAK109" s="17"/>
      <c r="PAL109" s="17"/>
      <c r="PAM109" s="17"/>
      <c r="PAN109" s="17"/>
      <c r="PAO109" s="17"/>
      <c r="PAP109" s="17"/>
      <c r="PAQ109" s="17"/>
      <c r="PAR109" s="17"/>
      <c r="PAS109" s="17"/>
      <c r="PAT109" s="17"/>
      <c r="PAU109" s="17"/>
      <c r="PAV109" s="17"/>
      <c r="PAW109" s="17"/>
      <c r="PAX109" s="17"/>
      <c r="PAY109" s="17"/>
      <c r="PAZ109" s="17"/>
      <c r="PBA109" s="17"/>
      <c r="PBB109" s="17"/>
      <c r="PBC109" s="17"/>
      <c r="PBD109" s="17"/>
      <c r="PBE109" s="17"/>
      <c r="PBF109" s="17"/>
      <c r="PBG109" s="17"/>
      <c r="PBH109" s="17"/>
      <c r="PBI109" s="17"/>
      <c r="PBJ109" s="17"/>
      <c r="PBK109" s="17"/>
      <c r="PBL109" s="17"/>
      <c r="PBM109" s="17"/>
      <c r="PBN109" s="17"/>
      <c r="PBO109" s="17"/>
      <c r="PBP109" s="17"/>
      <c r="PBQ109" s="17"/>
      <c r="PBR109" s="17"/>
      <c r="PBS109" s="17"/>
      <c r="PBT109" s="17"/>
      <c r="PBU109" s="17"/>
      <c r="PBV109" s="17"/>
      <c r="PBW109" s="17"/>
      <c r="PBX109" s="17"/>
      <c r="PBY109" s="17"/>
      <c r="PBZ109" s="17"/>
      <c r="PCA109" s="17"/>
      <c r="PCB109" s="17"/>
      <c r="PCC109" s="17"/>
      <c r="PCD109" s="17"/>
      <c r="PCE109" s="17"/>
      <c r="PCF109" s="17"/>
      <c r="PCG109" s="17"/>
      <c r="PCH109" s="17"/>
      <c r="PCI109" s="17"/>
      <c r="PCJ109" s="17"/>
      <c r="PCK109" s="17"/>
      <c r="PCL109" s="17"/>
      <c r="PCM109" s="17"/>
      <c r="PCN109" s="17"/>
      <c r="PCO109" s="17"/>
      <c r="PCP109" s="17"/>
      <c r="PCQ109" s="17"/>
      <c r="PCR109" s="17"/>
      <c r="PCS109" s="17"/>
      <c r="PCT109" s="17"/>
      <c r="PCU109" s="17"/>
      <c r="PCV109" s="17"/>
      <c r="PCW109" s="17"/>
      <c r="PCX109" s="17"/>
      <c r="PCY109" s="17"/>
      <c r="PCZ109" s="17"/>
      <c r="PDA109" s="17"/>
      <c r="PDB109" s="17"/>
      <c r="PDC109" s="17"/>
      <c r="PDD109" s="17"/>
      <c r="PDE109" s="17"/>
      <c r="PDF109" s="17"/>
      <c r="PDG109" s="17"/>
      <c r="PDH109" s="17"/>
      <c r="PDI109" s="17"/>
      <c r="PDJ109" s="17"/>
      <c r="PDK109" s="17"/>
      <c r="PDL109" s="17"/>
      <c r="PDM109" s="17"/>
      <c r="PDN109" s="17"/>
      <c r="PDO109" s="17"/>
      <c r="PDP109" s="17"/>
      <c r="PDQ109" s="17"/>
      <c r="PDR109" s="17"/>
      <c r="PDS109" s="17"/>
      <c r="PDT109" s="17"/>
      <c r="PDU109" s="17"/>
      <c r="PDV109" s="17"/>
      <c r="PDW109" s="17"/>
      <c r="PDX109" s="17"/>
      <c r="PDY109" s="17"/>
      <c r="PDZ109" s="17"/>
      <c r="PEA109" s="17"/>
      <c r="PEB109" s="17"/>
      <c r="PEC109" s="17"/>
      <c r="PED109" s="17"/>
      <c r="PEE109" s="17"/>
      <c r="PEF109" s="17"/>
      <c r="PEG109" s="17"/>
      <c r="PEH109" s="17"/>
      <c r="PEI109" s="17"/>
      <c r="PEJ109" s="17"/>
      <c r="PEK109" s="17"/>
      <c r="PEL109" s="17"/>
      <c r="PEM109" s="17"/>
      <c r="PEN109" s="17"/>
      <c r="PEO109" s="17"/>
      <c r="PEP109" s="17"/>
      <c r="PEQ109" s="17"/>
      <c r="PER109" s="17"/>
      <c r="PES109" s="17"/>
      <c r="PET109" s="17"/>
      <c r="PEU109" s="17"/>
      <c r="PEV109" s="17"/>
      <c r="PEW109" s="17"/>
      <c r="PEX109" s="17"/>
      <c r="PEY109" s="17"/>
      <c r="PEZ109" s="17"/>
      <c r="PFA109" s="17"/>
      <c r="PFB109" s="17"/>
      <c r="PFC109" s="17"/>
      <c r="PFD109" s="17"/>
      <c r="PFE109" s="17"/>
      <c r="PFF109" s="17"/>
      <c r="PFG109" s="17"/>
      <c r="PFH109" s="17"/>
      <c r="PFI109" s="17"/>
      <c r="PFJ109" s="17"/>
      <c r="PFK109" s="17"/>
      <c r="PFL109" s="17"/>
      <c r="PFM109" s="17"/>
      <c r="PFN109" s="17"/>
      <c r="PFO109" s="17"/>
      <c r="PFP109" s="17"/>
      <c r="PFQ109" s="17"/>
      <c r="PFR109" s="17"/>
      <c r="PFS109" s="17"/>
      <c r="PFT109" s="17"/>
      <c r="PFU109" s="17"/>
      <c r="PFV109" s="17"/>
      <c r="PFW109" s="17"/>
      <c r="PFX109" s="17"/>
      <c r="PFY109" s="17"/>
      <c r="PFZ109" s="17"/>
      <c r="PGA109" s="17"/>
      <c r="PGB109" s="17"/>
      <c r="PGC109" s="17"/>
      <c r="PGD109" s="17"/>
      <c r="PGE109" s="17"/>
      <c r="PGF109" s="17"/>
      <c r="PGG109" s="17"/>
      <c r="PGH109" s="17"/>
      <c r="PGI109" s="17"/>
      <c r="PGJ109" s="17"/>
      <c r="PGK109" s="17"/>
      <c r="PGL109" s="17"/>
      <c r="PGM109" s="17"/>
      <c r="PGN109" s="17"/>
      <c r="PGO109" s="17"/>
      <c r="PGP109" s="17"/>
      <c r="PGQ109" s="17"/>
      <c r="PGR109" s="17"/>
      <c r="PGS109" s="17"/>
      <c r="PGT109" s="17"/>
      <c r="PGU109" s="17"/>
      <c r="PGV109" s="17"/>
      <c r="PGW109" s="17"/>
      <c r="PGX109" s="17"/>
      <c r="PGY109" s="17"/>
      <c r="PGZ109" s="17"/>
      <c r="PHA109" s="17"/>
      <c r="PHB109" s="17"/>
      <c r="PHC109" s="17"/>
      <c r="PHD109" s="17"/>
      <c r="PHE109" s="17"/>
      <c r="PHF109" s="17"/>
      <c r="PHG109" s="17"/>
      <c r="PHH109" s="17"/>
      <c r="PHI109" s="17"/>
      <c r="PHJ109" s="17"/>
      <c r="PHK109" s="17"/>
      <c r="PHL109" s="17"/>
      <c r="PHM109" s="17"/>
      <c r="PHN109" s="17"/>
      <c r="PHO109" s="17"/>
      <c r="PHP109" s="17"/>
      <c r="PHQ109" s="17"/>
      <c r="PHR109" s="17"/>
      <c r="PHS109" s="17"/>
      <c r="PHT109" s="17"/>
      <c r="PHU109" s="17"/>
      <c r="PHV109" s="17"/>
      <c r="PHW109" s="17"/>
      <c r="PHX109" s="17"/>
      <c r="PHY109" s="17"/>
      <c r="PHZ109" s="17"/>
      <c r="PIA109" s="17"/>
      <c r="PIB109" s="17"/>
      <c r="PIC109" s="17"/>
      <c r="PID109" s="17"/>
      <c r="PIE109" s="17"/>
      <c r="PIF109" s="17"/>
      <c r="PIG109" s="17"/>
      <c r="PIH109" s="17"/>
      <c r="PII109" s="17"/>
      <c r="PIJ109" s="17"/>
      <c r="PIK109" s="17"/>
      <c r="PIL109" s="17"/>
      <c r="PIM109" s="17"/>
      <c r="PIN109" s="17"/>
      <c r="PIO109" s="17"/>
      <c r="PIP109" s="17"/>
      <c r="PIQ109" s="17"/>
      <c r="PIR109" s="17"/>
      <c r="PIS109" s="17"/>
      <c r="PIT109" s="17"/>
      <c r="PIU109" s="17"/>
      <c r="PIV109" s="17"/>
      <c r="PIW109" s="17"/>
      <c r="PIX109" s="17"/>
      <c r="PIY109" s="17"/>
      <c r="PIZ109" s="17"/>
      <c r="PJA109" s="17"/>
      <c r="PJB109" s="17"/>
      <c r="PJC109" s="17"/>
      <c r="PJD109" s="17"/>
      <c r="PJE109" s="17"/>
      <c r="PJF109" s="17"/>
      <c r="PJG109" s="17"/>
      <c r="PJH109" s="17"/>
      <c r="PJI109" s="17"/>
      <c r="PJJ109" s="17"/>
      <c r="PJK109" s="17"/>
      <c r="PJL109" s="17"/>
      <c r="PJM109" s="17"/>
      <c r="PJN109" s="17"/>
      <c r="PJO109" s="17"/>
      <c r="PJP109" s="17"/>
      <c r="PJQ109" s="17"/>
      <c r="PJR109" s="17"/>
      <c r="PJS109" s="17"/>
      <c r="PJT109" s="17"/>
      <c r="PJU109" s="17"/>
      <c r="PJV109" s="17"/>
      <c r="PJW109" s="17"/>
      <c r="PJX109" s="17"/>
      <c r="PJY109" s="17"/>
      <c r="PJZ109" s="17"/>
      <c r="PKA109" s="17"/>
      <c r="PKB109" s="17"/>
      <c r="PKC109" s="17"/>
      <c r="PKD109" s="17"/>
      <c r="PKE109" s="17"/>
      <c r="PKF109" s="17"/>
      <c r="PKG109" s="17"/>
      <c r="PKH109" s="17"/>
      <c r="PKI109" s="17"/>
      <c r="PKJ109" s="17"/>
      <c r="PKK109" s="17"/>
      <c r="PKL109" s="17"/>
      <c r="PKM109" s="17"/>
      <c r="PKN109" s="17"/>
      <c r="PKO109" s="17"/>
      <c r="PKP109" s="17"/>
      <c r="PKQ109" s="17"/>
      <c r="PKR109" s="17"/>
      <c r="PKS109" s="17"/>
      <c r="PKT109" s="17"/>
      <c r="PKU109" s="17"/>
      <c r="PKV109" s="17"/>
      <c r="PKW109" s="17"/>
      <c r="PKX109" s="17"/>
      <c r="PKY109" s="17"/>
      <c r="PKZ109" s="17"/>
      <c r="PLA109" s="17"/>
      <c r="PLB109" s="17"/>
      <c r="PLC109" s="17"/>
      <c r="PLD109" s="17"/>
      <c r="PLE109" s="17"/>
      <c r="PLF109" s="17"/>
      <c r="PLG109" s="17"/>
      <c r="PLH109" s="17"/>
      <c r="PLI109" s="17"/>
      <c r="PLJ109" s="17"/>
      <c r="PLK109" s="17"/>
      <c r="PLL109" s="17"/>
      <c r="PLM109" s="17"/>
      <c r="PLN109" s="17"/>
      <c r="PLO109" s="17"/>
      <c r="PLP109" s="17"/>
      <c r="PLQ109" s="17"/>
      <c r="PLR109" s="17"/>
      <c r="PLS109" s="17"/>
      <c r="PLT109" s="17"/>
      <c r="PLU109" s="17"/>
      <c r="PLV109" s="17"/>
      <c r="PLW109" s="17"/>
      <c r="PLX109" s="17"/>
      <c r="PLY109" s="17"/>
      <c r="PLZ109" s="17"/>
      <c r="PMA109" s="17"/>
      <c r="PMB109" s="17"/>
      <c r="PMC109" s="17"/>
      <c r="PMD109" s="17"/>
      <c r="PME109" s="17"/>
      <c r="PMF109" s="17"/>
      <c r="PMG109" s="17"/>
      <c r="PMH109" s="17"/>
      <c r="PMI109" s="17"/>
      <c r="PMJ109" s="17"/>
      <c r="PMK109" s="17"/>
      <c r="PML109" s="17"/>
      <c r="PMM109" s="17"/>
      <c r="PMN109" s="17"/>
      <c r="PMO109" s="17"/>
      <c r="PMP109" s="17"/>
      <c r="PMQ109" s="17"/>
      <c r="PMR109" s="17"/>
      <c r="PMS109" s="17"/>
      <c r="PMT109" s="17"/>
      <c r="PMU109" s="17"/>
      <c r="PMV109" s="17"/>
      <c r="PMW109" s="17"/>
      <c r="PMX109" s="17"/>
      <c r="PMY109" s="17"/>
      <c r="PMZ109" s="17"/>
      <c r="PNA109" s="17"/>
      <c r="PNB109" s="17"/>
      <c r="PNC109" s="17"/>
      <c r="PND109" s="17"/>
      <c r="PNE109" s="17"/>
      <c r="PNF109" s="17"/>
      <c r="PNG109" s="17"/>
      <c r="PNH109" s="17"/>
      <c r="PNI109" s="17"/>
      <c r="PNJ109" s="17"/>
      <c r="PNK109" s="17"/>
      <c r="PNL109" s="17"/>
      <c r="PNM109" s="17"/>
      <c r="PNN109" s="17"/>
      <c r="PNO109" s="17"/>
      <c r="PNP109" s="17"/>
      <c r="PNQ109" s="17"/>
      <c r="PNR109" s="17"/>
      <c r="PNS109" s="17"/>
      <c r="PNT109" s="17"/>
      <c r="PNU109" s="17"/>
      <c r="PNV109" s="17"/>
      <c r="PNW109" s="17"/>
      <c r="PNX109" s="17"/>
      <c r="PNY109" s="17"/>
      <c r="PNZ109" s="17"/>
      <c r="POA109" s="17"/>
      <c r="POB109" s="17"/>
      <c r="POC109" s="17"/>
      <c r="POD109" s="17"/>
      <c r="POE109" s="17"/>
      <c r="POF109" s="17"/>
      <c r="POG109" s="17"/>
      <c r="POH109" s="17"/>
      <c r="POI109" s="17"/>
      <c r="POJ109" s="17"/>
      <c r="POK109" s="17"/>
      <c r="POL109" s="17"/>
      <c r="POM109" s="17"/>
      <c r="PON109" s="17"/>
      <c r="POO109" s="17"/>
      <c r="POP109" s="17"/>
      <c r="POQ109" s="17"/>
      <c r="POR109" s="17"/>
      <c r="POS109" s="17"/>
      <c r="POT109" s="17"/>
      <c r="POU109" s="17"/>
      <c r="POV109" s="17"/>
      <c r="POW109" s="17"/>
      <c r="POX109" s="17"/>
      <c r="POY109" s="17"/>
      <c r="POZ109" s="17"/>
      <c r="PPA109" s="17"/>
      <c r="PPB109" s="17"/>
      <c r="PPC109" s="17"/>
      <c r="PPD109" s="17"/>
      <c r="PPE109" s="17"/>
      <c r="PPF109" s="17"/>
      <c r="PPG109" s="17"/>
      <c r="PPH109" s="17"/>
      <c r="PPI109" s="17"/>
      <c r="PPJ109" s="17"/>
      <c r="PPK109" s="17"/>
      <c r="PPL109" s="17"/>
      <c r="PPM109" s="17"/>
      <c r="PPN109" s="17"/>
      <c r="PPO109" s="17"/>
      <c r="PPP109" s="17"/>
      <c r="PPQ109" s="17"/>
      <c r="PPR109" s="17"/>
      <c r="PPS109" s="17"/>
      <c r="PPT109" s="17"/>
      <c r="PPU109" s="17"/>
      <c r="PPV109" s="17"/>
      <c r="PPW109" s="17"/>
      <c r="PPX109" s="17"/>
      <c r="PPY109" s="17"/>
      <c r="PPZ109" s="17"/>
      <c r="PQA109" s="17"/>
      <c r="PQB109" s="17"/>
      <c r="PQC109" s="17"/>
      <c r="PQD109" s="17"/>
      <c r="PQE109" s="17"/>
      <c r="PQF109" s="17"/>
      <c r="PQG109" s="17"/>
      <c r="PQH109" s="17"/>
      <c r="PQI109" s="17"/>
      <c r="PQJ109" s="17"/>
      <c r="PQK109" s="17"/>
      <c r="PQL109" s="17"/>
      <c r="PQM109" s="17"/>
      <c r="PQN109" s="17"/>
      <c r="PQO109" s="17"/>
      <c r="PQP109" s="17"/>
      <c r="PQQ109" s="17"/>
      <c r="PQR109" s="17"/>
      <c r="PQS109" s="17"/>
      <c r="PQT109" s="17"/>
      <c r="PQU109" s="17"/>
      <c r="PQV109" s="17"/>
      <c r="PQW109" s="17"/>
      <c r="PQX109" s="17"/>
      <c r="PQY109" s="17"/>
      <c r="PQZ109" s="17"/>
      <c r="PRA109" s="17"/>
      <c r="PRB109" s="17"/>
      <c r="PRC109" s="17"/>
      <c r="PRD109" s="17"/>
      <c r="PRE109" s="17"/>
      <c r="PRF109" s="17"/>
      <c r="PRG109" s="17"/>
      <c r="PRH109" s="17"/>
      <c r="PRI109" s="17"/>
      <c r="PRJ109" s="17"/>
      <c r="PRK109" s="17"/>
      <c r="PRL109" s="17"/>
      <c r="PRM109" s="17"/>
      <c r="PRN109" s="17"/>
      <c r="PRO109" s="17"/>
      <c r="PRP109" s="17"/>
      <c r="PRQ109" s="17"/>
      <c r="PRR109" s="17"/>
      <c r="PRS109" s="17"/>
      <c r="PRT109" s="17"/>
      <c r="PRU109" s="17"/>
      <c r="PRV109" s="17"/>
      <c r="PRW109" s="17"/>
      <c r="PRX109" s="17"/>
      <c r="PRY109" s="17"/>
      <c r="PRZ109" s="17"/>
      <c r="PSA109" s="17"/>
      <c r="PSB109" s="17"/>
      <c r="PSC109" s="17"/>
      <c r="PSD109" s="17"/>
      <c r="PSE109" s="17"/>
      <c r="PSF109" s="17"/>
      <c r="PSG109" s="17"/>
      <c r="PSH109" s="17"/>
      <c r="PSI109" s="17"/>
      <c r="PSJ109" s="17"/>
      <c r="PSK109" s="17"/>
      <c r="PSL109" s="17"/>
      <c r="PSM109" s="17"/>
      <c r="PSN109" s="17"/>
      <c r="PSO109" s="17"/>
      <c r="PSP109" s="17"/>
      <c r="PSQ109" s="17"/>
      <c r="PSR109" s="17"/>
      <c r="PSS109" s="17"/>
      <c r="PST109" s="17"/>
      <c r="PSU109" s="17"/>
      <c r="PSV109" s="17"/>
      <c r="PSW109" s="17"/>
      <c r="PSX109" s="17"/>
      <c r="PSY109" s="17"/>
      <c r="PSZ109" s="17"/>
      <c r="PTA109" s="17"/>
      <c r="PTB109" s="17"/>
      <c r="PTC109" s="17"/>
      <c r="PTD109" s="17"/>
      <c r="PTE109" s="17"/>
      <c r="PTF109" s="17"/>
      <c r="PTG109" s="17"/>
      <c r="PTH109" s="17"/>
      <c r="PTI109" s="17"/>
      <c r="PTJ109" s="17"/>
      <c r="PTK109" s="17"/>
      <c r="PTL109" s="17"/>
      <c r="PTM109" s="17"/>
      <c r="PTN109" s="17"/>
      <c r="PTO109" s="17"/>
      <c r="PTP109" s="17"/>
      <c r="PTQ109" s="17"/>
      <c r="PTR109" s="17"/>
      <c r="PTS109" s="17"/>
      <c r="PTT109" s="17"/>
      <c r="PTU109" s="17"/>
      <c r="PTV109" s="17"/>
      <c r="PTW109" s="17"/>
      <c r="PTX109" s="17"/>
      <c r="PTY109" s="17"/>
      <c r="PTZ109" s="17"/>
      <c r="PUA109" s="17"/>
      <c r="PUB109" s="17"/>
      <c r="PUC109" s="17"/>
      <c r="PUD109" s="17"/>
      <c r="PUE109" s="17"/>
      <c r="PUF109" s="17"/>
      <c r="PUG109" s="17"/>
      <c r="PUH109" s="17"/>
      <c r="PUI109" s="17"/>
      <c r="PUJ109" s="17"/>
      <c r="PUK109" s="17"/>
      <c r="PUL109" s="17"/>
      <c r="PUM109" s="17"/>
      <c r="PUN109" s="17"/>
      <c r="PUO109" s="17"/>
      <c r="PUP109" s="17"/>
      <c r="PUQ109" s="17"/>
      <c r="PUR109" s="17"/>
      <c r="PUS109" s="17"/>
      <c r="PUT109" s="17"/>
      <c r="PUU109" s="17"/>
      <c r="PUV109" s="17"/>
      <c r="PUW109" s="17"/>
      <c r="PUX109" s="17"/>
      <c r="PUY109" s="17"/>
      <c r="PUZ109" s="17"/>
      <c r="PVA109" s="17"/>
      <c r="PVB109" s="17"/>
      <c r="PVC109" s="17"/>
      <c r="PVD109" s="17"/>
      <c r="PVE109" s="17"/>
      <c r="PVF109" s="17"/>
      <c r="PVG109" s="17"/>
      <c r="PVH109" s="17"/>
      <c r="PVI109" s="17"/>
      <c r="PVJ109" s="17"/>
      <c r="PVK109" s="17"/>
      <c r="PVL109" s="17"/>
      <c r="PVM109" s="17"/>
      <c r="PVN109" s="17"/>
      <c r="PVO109" s="17"/>
      <c r="PVP109" s="17"/>
      <c r="PVQ109" s="17"/>
      <c r="PVR109" s="17"/>
      <c r="PVS109" s="17"/>
      <c r="PVT109" s="17"/>
      <c r="PVU109" s="17"/>
      <c r="PVV109" s="17"/>
      <c r="PVW109" s="17"/>
      <c r="PVX109" s="17"/>
      <c r="PVY109" s="17"/>
      <c r="PVZ109" s="17"/>
      <c r="PWA109" s="17"/>
      <c r="PWB109" s="17"/>
      <c r="PWC109" s="17"/>
      <c r="PWD109" s="17"/>
      <c r="PWE109" s="17"/>
      <c r="PWF109" s="17"/>
      <c r="PWG109" s="17"/>
      <c r="PWH109" s="17"/>
      <c r="PWI109" s="17"/>
      <c r="PWJ109" s="17"/>
      <c r="PWK109" s="17"/>
      <c r="PWL109" s="17"/>
      <c r="PWM109" s="17"/>
      <c r="PWN109" s="17"/>
      <c r="PWO109" s="17"/>
      <c r="PWP109" s="17"/>
      <c r="PWQ109" s="17"/>
      <c r="PWR109" s="17"/>
      <c r="PWS109" s="17"/>
      <c r="PWT109" s="17"/>
      <c r="PWU109" s="17"/>
      <c r="PWV109" s="17"/>
      <c r="PWW109" s="17"/>
      <c r="PWX109" s="17"/>
      <c r="PWY109" s="17"/>
      <c r="PWZ109" s="17"/>
      <c r="PXA109" s="17"/>
      <c r="PXB109" s="17"/>
      <c r="PXC109" s="17"/>
      <c r="PXD109" s="17"/>
      <c r="PXE109" s="17"/>
      <c r="PXF109" s="17"/>
      <c r="PXG109" s="17"/>
      <c r="PXH109" s="17"/>
      <c r="PXI109" s="17"/>
      <c r="PXJ109" s="17"/>
      <c r="PXK109" s="17"/>
      <c r="PXL109" s="17"/>
      <c r="PXM109" s="17"/>
      <c r="PXN109" s="17"/>
      <c r="PXO109" s="17"/>
      <c r="PXP109" s="17"/>
      <c r="PXQ109" s="17"/>
      <c r="PXR109" s="17"/>
      <c r="PXS109" s="17"/>
      <c r="PXT109" s="17"/>
      <c r="PXU109" s="17"/>
      <c r="PXV109" s="17"/>
      <c r="PXW109" s="17"/>
      <c r="PXX109" s="17"/>
      <c r="PXY109" s="17"/>
      <c r="PXZ109" s="17"/>
      <c r="PYA109" s="17"/>
      <c r="PYB109" s="17"/>
      <c r="PYC109" s="17"/>
      <c r="PYD109" s="17"/>
      <c r="PYE109" s="17"/>
      <c r="PYF109" s="17"/>
      <c r="PYG109" s="17"/>
      <c r="PYH109" s="17"/>
      <c r="PYI109" s="17"/>
      <c r="PYJ109" s="17"/>
      <c r="PYK109" s="17"/>
      <c r="PYL109" s="17"/>
      <c r="PYM109" s="17"/>
      <c r="PYN109" s="17"/>
      <c r="PYO109" s="17"/>
      <c r="PYP109" s="17"/>
      <c r="PYQ109" s="17"/>
      <c r="PYR109" s="17"/>
      <c r="PYS109" s="17"/>
      <c r="PYT109" s="17"/>
      <c r="PYU109" s="17"/>
      <c r="PYV109" s="17"/>
      <c r="PYW109" s="17"/>
      <c r="PYX109" s="17"/>
      <c r="PYY109" s="17"/>
      <c r="PYZ109" s="17"/>
      <c r="PZA109" s="17"/>
      <c r="PZB109" s="17"/>
      <c r="PZC109" s="17"/>
      <c r="PZD109" s="17"/>
      <c r="PZE109" s="17"/>
      <c r="PZF109" s="17"/>
      <c r="PZG109" s="17"/>
      <c r="PZH109" s="17"/>
      <c r="PZI109" s="17"/>
      <c r="PZJ109" s="17"/>
      <c r="PZK109" s="17"/>
      <c r="PZL109" s="17"/>
      <c r="PZM109" s="17"/>
      <c r="PZN109" s="17"/>
      <c r="PZO109" s="17"/>
      <c r="PZP109" s="17"/>
      <c r="PZQ109" s="17"/>
      <c r="PZR109" s="17"/>
      <c r="PZS109" s="17"/>
      <c r="PZT109" s="17"/>
      <c r="PZU109" s="17"/>
      <c r="PZV109" s="17"/>
      <c r="PZW109" s="17"/>
      <c r="PZX109" s="17"/>
      <c r="PZY109" s="17"/>
      <c r="PZZ109" s="17"/>
      <c r="QAA109" s="17"/>
      <c r="QAB109" s="17"/>
      <c r="QAC109" s="17"/>
      <c r="QAD109" s="17"/>
      <c r="QAE109" s="17"/>
      <c r="QAF109" s="17"/>
      <c r="QAG109" s="17"/>
      <c r="QAH109" s="17"/>
      <c r="QAI109" s="17"/>
      <c r="QAJ109" s="17"/>
      <c r="QAK109" s="17"/>
      <c r="QAL109" s="17"/>
      <c r="QAM109" s="17"/>
      <c r="QAN109" s="17"/>
      <c r="QAO109" s="17"/>
      <c r="QAP109" s="17"/>
      <c r="QAQ109" s="17"/>
      <c r="QAR109" s="17"/>
      <c r="QAS109" s="17"/>
      <c r="QAT109" s="17"/>
      <c r="QAU109" s="17"/>
      <c r="QAV109" s="17"/>
      <c r="QAW109" s="17"/>
      <c r="QAX109" s="17"/>
      <c r="QAY109" s="17"/>
      <c r="QAZ109" s="17"/>
      <c r="QBA109" s="17"/>
      <c r="QBB109" s="17"/>
      <c r="QBC109" s="17"/>
      <c r="QBD109" s="17"/>
      <c r="QBE109" s="17"/>
      <c r="QBF109" s="17"/>
      <c r="QBG109" s="17"/>
      <c r="QBH109" s="17"/>
      <c r="QBI109" s="17"/>
      <c r="QBJ109" s="17"/>
      <c r="QBK109" s="17"/>
      <c r="QBL109" s="17"/>
      <c r="QBM109" s="17"/>
      <c r="QBN109" s="17"/>
      <c r="QBO109" s="17"/>
      <c r="QBP109" s="17"/>
      <c r="QBQ109" s="17"/>
      <c r="QBR109" s="17"/>
      <c r="QBS109" s="17"/>
      <c r="QBT109" s="17"/>
      <c r="QBU109" s="17"/>
      <c r="QBV109" s="17"/>
      <c r="QBW109" s="17"/>
      <c r="QBX109" s="17"/>
      <c r="QBY109" s="17"/>
      <c r="QBZ109" s="17"/>
      <c r="QCA109" s="17"/>
      <c r="QCB109" s="17"/>
      <c r="QCC109" s="17"/>
      <c r="QCD109" s="17"/>
      <c r="QCE109" s="17"/>
      <c r="QCF109" s="17"/>
      <c r="QCG109" s="17"/>
      <c r="QCH109" s="17"/>
      <c r="QCI109" s="17"/>
      <c r="QCJ109" s="17"/>
      <c r="QCK109" s="17"/>
      <c r="QCL109" s="17"/>
      <c r="QCM109" s="17"/>
      <c r="QCN109" s="17"/>
      <c r="QCO109" s="17"/>
      <c r="QCP109" s="17"/>
      <c r="QCQ109" s="17"/>
      <c r="QCR109" s="17"/>
      <c r="QCS109" s="17"/>
      <c r="QCT109" s="17"/>
      <c r="QCU109" s="17"/>
      <c r="QCV109" s="17"/>
      <c r="QCW109" s="17"/>
      <c r="QCX109" s="17"/>
      <c r="QCY109" s="17"/>
      <c r="QCZ109" s="17"/>
      <c r="QDA109" s="17"/>
      <c r="QDB109" s="17"/>
      <c r="QDC109" s="17"/>
      <c r="QDD109" s="17"/>
      <c r="QDE109" s="17"/>
      <c r="QDF109" s="17"/>
      <c r="QDG109" s="17"/>
      <c r="QDH109" s="17"/>
      <c r="QDI109" s="17"/>
      <c r="QDJ109" s="17"/>
      <c r="QDK109" s="17"/>
      <c r="QDL109" s="17"/>
      <c r="QDM109" s="17"/>
      <c r="QDN109" s="17"/>
      <c r="QDO109" s="17"/>
      <c r="QDP109" s="17"/>
      <c r="QDQ109" s="17"/>
      <c r="QDR109" s="17"/>
      <c r="QDS109" s="17"/>
      <c r="QDT109" s="17"/>
      <c r="QDU109" s="17"/>
      <c r="QDV109" s="17"/>
      <c r="QDW109" s="17"/>
      <c r="QDX109" s="17"/>
      <c r="QDY109" s="17"/>
      <c r="QDZ109" s="17"/>
      <c r="QEA109" s="17"/>
      <c r="QEB109" s="17"/>
      <c r="QEC109" s="17"/>
      <c r="QED109" s="17"/>
      <c r="QEE109" s="17"/>
      <c r="QEF109" s="17"/>
      <c r="QEG109" s="17"/>
      <c r="QEH109" s="17"/>
      <c r="QEI109" s="17"/>
      <c r="QEJ109" s="17"/>
      <c r="QEK109" s="17"/>
      <c r="QEL109" s="17"/>
      <c r="QEM109" s="17"/>
      <c r="QEN109" s="17"/>
      <c r="QEO109" s="17"/>
      <c r="QEP109" s="17"/>
      <c r="QEQ109" s="17"/>
      <c r="QER109" s="17"/>
      <c r="QES109" s="17"/>
      <c r="QET109" s="17"/>
      <c r="QEU109" s="17"/>
      <c r="QEV109" s="17"/>
      <c r="QEW109" s="17"/>
      <c r="QEX109" s="17"/>
      <c r="QEY109" s="17"/>
      <c r="QEZ109" s="17"/>
      <c r="QFA109" s="17"/>
      <c r="QFB109" s="17"/>
      <c r="QFC109" s="17"/>
      <c r="QFD109" s="17"/>
      <c r="QFE109" s="17"/>
      <c r="QFF109" s="17"/>
      <c r="QFG109" s="17"/>
      <c r="QFH109" s="17"/>
      <c r="QFI109" s="17"/>
      <c r="QFJ109" s="17"/>
      <c r="QFK109" s="17"/>
      <c r="QFL109" s="17"/>
      <c r="QFM109" s="17"/>
      <c r="QFN109" s="17"/>
      <c r="QFO109" s="17"/>
      <c r="QFP109" s="17"/>
      <c r="QFQ109" s="17"/>
      <c r="QFR109" s="17"/>
      <c r="QFS109" s="17"/>
      <c r="QFT109" s="17"/>
      <c r="QFU109" s="17"/>
      <c r="QFV109" s="17"/>
      <c r="QFW109" s="17"/>
      <c r="QFX109" s="17"/>
      <c r="QFY109" s="17"/>
      <c r="QFZ109" s="17"/>
      <c r="QGA109" s="17"/>
      <c r="QGB109" s="17"/>
      <c r="QGC109" s="17"/>
      <c r="QGD109" s="17"/>
      <c r="QGE109" s="17"/>
      <c r="QGF109" s="17"/>
      <c r="QGG109" s="17"/>
      <c r="QGH109" s="17"/>
      <c r="QGI109" s="17"/>
      <c r="QGJ109" s="17"/>
      <c r="QGK109" s="17"/>
      <c r="QGL109" s="17"/>
      <c r="QGM109" s="17"/>
      <c r="QGN109" s="17"/>
      <c r="QGO109" s="17"/>
      <c r="QGP109" s="17"/>
      <c r="QGQ109" s="17"/>
      <c r="QGR109" s="17"/>
      <c r="QGS109" s="17"/>
      <c r="QGT109" s="17"/>
      <c r="QGU109" s="17"/>
      <c r="QGV109" s="17"/>
      <c r="QGW109" s="17"/>
      <c r="QGX109" s="17"/>
      <c r="QGY109" s="17"/>
      <c r="QGZ109" s="17"/>
      <c r="QHA109" s="17"/>
      <c r="QHB109" s="17"/>
      <c r="QHC109" s="17"/>
      <c r="QHD109" s="17"/>
      <c r="QHE109" s="17"/>
      <c r="QHF109" s="17"/>
      <c r="QHG109" s="17"/>
      <c r="QHH109" s="17"/>
      <c r="QHI109" s="17"/>
      <c r="QHJ109" s="17"/>
      <c r="QHK109" s="17"/>
      <c r="QHL109" s="17"/>
      <c r="QHM109" s="17"/>
      <c r="QHN109" s="17"/>
      <c r="QHO109" s="17"/>
      <c r="QHP109" s="17"/>
      <c r="QHQ109" s="17"/>
      <c r="QHR109" s="17"/>
      <c r="QHS109" s="17"/>
      <c r="QHT109" s="17"/>
      <c r="QHU109" s="17"/>
      <c r="QHV109" s="17"/>
      <c r="QHW109" s="17"/>
      <c r="QHX109" s="17"/>
      <c r="QHY109" s="17"/>
      <c r="QHZ109" s="17"/>
      <c r="QIA109" s="17"/>
      <c r="QIB109" s="17"/>
      <c r="QIC109" s="17"/>
      <c r="QID109" s="17"/>
      <c r="QIE109" s="17"/>
      <c r="QIF109" s="17"/>
      <c r="QIG109" s="17"/>
      <c r="QIH109" s="17"/>
      <c r="QII109" s="17"/>
      <c r="QIJ109" s="17"/>
      <c r="QIK109" s="17"/>
      <c r="QIL109" s="17"/>
      <c r="QIM109" s="17"/>
      <c r="QIN109" s="17"/>
      <c r="QIO109" s="17"/>
      <c r="QIP109" s="17"/>
      <c r="QIQ109" s="17"/>
      <c r="QIR109" s="17"/>
      <c r="QIS109" s="17"/>
      <c r="QIT109" s="17"/>
      <c r="QIU109" s="17"/>
      <c r="QIV109" s="17"/>
      <c r="QIW109" s="17"/>
      <c r="QIX109" s="17"/>
      <c r="QIY109" s="17"/>
      <c r="QIZ109" s="17"/>
      <c r="QJA109" s="17"/>
      <c r="QJB109" s="17"/>
      <c r="QJC109" s="17"/>
      <c r="QJD109" s="17"/>
      <c r="QJE109" s="17"/>
      <c r="QJF109" s="17"/>
      <c r="QJG109" s="17"/>
      <c r="QJH109" s="17"/>
      <c r="QJI109" s="17"/>
      <c r="QJJ109" s="17"/>
      <c r="QJK109" s="17"/>
      <c r="QJL109" s="17"/>
      <c r="QJM109" s="17"/>
      <c r="QJN109" s="17"/>
      <c r="QJO109" s="17"/>
      <c r="QJP109" s="17"/>
      <c r="QJQ109" s="17"/>
      <c r="QJR109" s="17"/>
      <c r="QJS109" s="17"/>
      <c r="QJT109" s="17"/>
      <c r="QJU109" s="17"/>
      <c r="QJV109" s="17"/>
      <c r="QJW109" s="17"/>
      <c r="QJX109" s="17"/>
      <c r="QJY109" s="17"/>
      <c r="QJZ109" s="17"/>
      <c r="QKA109" s="17"/>
      <c r="QKB109" s="17"/>
      <c r="QKC109" s="17"/>
      <c r="QKD109" s="17"/>
      <c r="QKE109" s="17"/>
      <c r="QKF109" s="17"/>
      <c r="QKG109" s="17"/>
      <c r="QKH109" s="17"/>
      <c r="QKI109" s="17"/>
      <c r="QKJ109" s="17"/>
      <c r="QKK109" s="17"/>
      <c r="QKL109" s="17"/>
      <c r="QKM109" s="17"/>
      <c r="QKN109" s="17"/>
      <c r="QKO109" s="17"/>
      <c r="QKP109" s="17"/>
      <c r="QKQ109" s="17"/>
      <c r="QKR109" s="17"/>
      <c r="QKS109" s="17"/>
      <c r="QKT109" s="17"/>
      <c r="QKU109" s="17"/>
      <c r="QKV109" s="17"/>
      <c r="QKW109" s="17"/>
      <c r="QKX109" s="17"/>
      <c r="QKY109" s="17"/>
      <c r="QKZ109" s="17"/>
      <c r="QLA109" s="17"/>
      <c r="QLB109" s="17"/>
      <c r="QLC109" s="17"/>
      <c r="QLD109" s="17"/>
      <c r="QLE109" s="17"/>
      <c r="QLF109" s="17"/>
      <c r="QLG109" s="17"/>
      <c r="QLH109" s="17"/>
      <c r="QLI109" s="17"/>
      <c r="QLJ109" s="17"/>
      <c r="QLK109" s="17"/>
      <c r="QLL109" s="17"/>
      <c r="QLM109" s="17"/>
      <c r="QLN109" s="17"/>
      <c r="QLO109" s="17"/>
      <c r="QLP109" s="17"/>
      <c r="QLQ109" s="17"/>
      <c r="QLR109" s="17"/>
      <c r="QLS109" s="17"/>
      <c r="QLT109" s="17"/>
      <c r="QLU109" s="17"/>
      <c r="QLV109" s="17"/>
      <c r="QLW109" s="17"/>
      <c r="QLX109" s="17"/>
      <c r="QLY109" s="17"/>
      <c r="QLZ109" s="17"/>
      <c r="QMA109" s="17"/>
      <c r="QMB109" s="17"/>
      <c r="QMC109" s="17"/>
      <c r="QMD109" s="17"/>
      <c r="QME109" s="17"/>
      <c r="QMF109" s="17"/>
      <c r="QMG109" s="17"/>
      <c r="QMH109" s="17"/>
      <c r="QMI109" s="17"/>
      <c r="QMJ109" s="17"/>
      <c r="QMK109" s="17"/>
      <c r="QML109" s="17"/>
      <c r="QMM109" s="17"/>
      <c r="QMN109" s="17"/>
      <c r="QMO109" s="17"/>
      <c r="QMP109" s="17"/>
      <c r="QMQ109" s="17"/>
      <c r="QMR109" s="17"/>
      <c r="QMS109" s="17"/>
      <c r="QMT109" s="17"/>
      <c r="QMU109" s="17"/>
      <c r="QMV109" s="17"/>
      <c r="QMW109" s="17"/>
      <c r="QMX109" s="17"/>
      <c r="QMY109" s="17"/>
      <c r="QMZ109" s="17"/>
      <c r="QNA109" s="17"/>
      <c r="QNB109" s="17"/>
      <c r="QNC109" s="17"/>
      <c r="QND109" s="17"/>
      <c r="QNE109" s="17"/>
      <c r="QNF109" s="17"/>
      <c r="QNG109" s="17"/>
      <c r="QNH109" s="17"/>
      <c r="QNI109" s="17"/>
      <c r="QNJ109" s="17"/>
      <c r="QNK109" s="17"/>
      <c r="QNL109" s="17"/>
      <c r="QNM109" s="17"/>
      <c r="QNN109" s="17"/>
      <c r="QNO109" s="17"/>
      <c r="QNP109" s="17"/>
      <c r="QNQ109" s="17"/>
      <c r="QNR109" s="17"/>
      <c r="QNS109" s="17"/>
      <c r="QNT109" s="17"/>
      <c r="QNU109" s="17"/>
      <c r="QNV109" s="17"/>
      <c r="QNW109" s="17"/>
      <c r="QNX109" s="17"/>
      <c r="QNY109" s="17"/>
      <c r="QNZ109" s="17"/>
      <c r="QOA109" s="17"/>
      <c r="QOB109" s="17"/>
      <c r="QOC109" s="17"/>
      <c r="QOD109" s="17"/>
      <c r="QOE109" s="17"/>
      <c r="QOF109" s="17"/>
      <c r="QOG109" s="17"/>
      <c r="QOH109" s="17"/>
      <c r="QOI109" s="17"/>
      <c r="QOJ109" s="17"/>
      <c r="QOK109" s="17"/>
      <c r="QOL109" s="17"/>
      <c r="QOM109" s="17"/>
      <c r="QON109" s="17"/>
      <c r="QOO109" s="17"/>
      <c r="QOP109" s="17"/>
      <c r="QOQ109" s="17"/>
      <c r="QOR109" s="17"/>
      <c r="QOS109" s="17"/>
      <c r="QOT109" s="17"/>
      <c r="QOU109" s="17"/>
      <c r="QOV109" s="17"/>
      <c r="QOW109" s="17"/>
      <c r="QOX109" s="17"/>
      <c r="QOY109" s="17"/>
      <c r="QOZ109" s="17"/>
      <c r="QPA109" s="17"/>
      <c r="QPB109" s="17"/>
      <c r="QPC109" s="17"/>
      <c r="QPD109" s="17"/>
      <c r="QPE109" s="17"/>
      <c r="QPF109" s="17"/>
      <c r="QPG109" s="17"/>
      <c r="QPH109" s="17"/>
      <c r="QPI109" s="17"/>
      <c r="QPJ109" s="17"/>
      <c r="QPK109" s="17"/>
      <c r="QPL109" s="17"/>
      <c r="QPM109" s="17"/>
      <c r="QPN109" s="17"/>
      <c r="QPO109" s="17"/>
      <c r="QPP109" s="17"/>
      <c r="QPQ109" s="17"/>
      <c r="QPR109" s="17"/>
      <c r="QPS109" s="17"/>
      <c r="QPT109" s="17"/>
      <c r="QPU109" s="17"/>
      <c r="QPV109" s="17"/>
      <c r="QPW109" s="17"/>
      <c r="QPX109" s="17"/>
      <c r="QPY109" s="17"/>
      <c r="QPZ109" s="17"/>
      <c r="QQA109" s="17"/>
      <c r="QQB109" s="17"/>
      <c r="QQC109" s="17"/>
      <c r="QQD109" s="17"/>
      <c r="QQE109" s="17"/>
      <c r="QQF109" s="17"/>
      <c r="QQG109" s="17"/>
      <c r="QQH109" s="17"/>
      <c r="QQI109" s="17"/>
      <c r="QQJ109" s="17"/>
      <c r="QQK109" s="17"/>
      <c r="QQL109" s="17"/>
      <c r="QQM109" s="17"/>
      <c r="QQN109" s="17"/>
      <c r="QQO109" s="17"/>
      <c r="QQP109" s="17"/>
      <c r="QQQ109" s="17"/>
      <c r="QQR109" s="17"/>
      <c r="QQS109" s="17"/>
      <c r="QQT109" s="17"/>
      <c r="QQU109" s="17"/>
      <c r="QQV109" s="17"/>
      <c r="QQW109" s="17"/>
      <c r="QQX109" s="17"/>
      <c r="QQY109" s="17"/>
      <c r="QQZ109" s="17"/>
      <c r="QRA109" s="17"/>
      <c r="QRB109" s="17"/>
      <c r="QRC109" s="17"/>
      <c r="QRD109" s="17"/>
      <c r="QRE109" s="17"/>
      <c r="QRF109" s="17"/>
      <c r="QRG109" s="17"/>
      <c r="QRH109" s="17"/>
      <c r="QRI109" s="17"/>
      <c r="QRJ109" s="17"/>
      <c r="QRK109" s="17"/>
      <c r="QRL109" s="17"/>
      <c r="QRM109" s="17"/>
      <c r="QRN109" s="17"/>
      <c r="QRO109" s="17"/>
      <c r="QRP109" s="17"/>
      <c r="QRQ109" s="17"/>
      <c r="QRR109" s="17"/>
      <c r="QRS109" s="17"/>
      <c r="QRT109" s="17"/>
      <c r="QRU109" s="17"/>
      <c r="QRV109" s="17"/>
      <c r="QRW109" s="17"/>
      <c r="QRX109" s="17"/>
      <c r="QRY109" s="17"/>
      <c r="QRZ109" s="17"/>
      <c r="QSA109" s="17"/>
      <c r="QSB109" s="17"/>
      <c r="QSC109" s="17"/>
      <c r="QSD109" s="17"/>
      <c r="QSE109" s="17"/>
      <c r="QSF109" s="17"/>
      <c r="QSG109" s="17"/>
      <c r="QSH109" s="17"/>
      <c r="QSI109" s="17"/>
      <c r="QSJ109" s="17"/>
      <c r="QSK109" s="17"/>
      <c r="QSL109" s="17"/>
      <c r="QSM109" s="17"/>
      <c r="QSN109" s="17"/>
      <c r="QSO109" s="17"/>
      <c r="QSP109" s="17"/>
      <c r="QSQ109" s="17"/>
      <c r="QSR109" s="17"/>
      <c r="QSS109" s="17"/>
      <c r="QST109" s="17"/>
      <c r="QSU109" s="17"/>
      <c r="QSV109" s="17"/>
      <c r="QSW109" s="17"/>
      <c r="QSX109" s="17"/>
      <c r="QSY109" s="17"/>
      <c r="QSZ109" s="17"/>
      <c r="QTA109" s="17"/>
      <c r="QTB109" s="17"/>
      <c r="QTC109" s="17"/>
      <c r="QTD109" s="17"/>
      <c r="QTE109" s="17"/>
      <c r="QTF109" s="17"/>
      <c r="QTG109" s="17"/>
      <c r="QTH109" s="17"/>
      <c r="QTI109" s="17"/>
      <c r="QTJ109" s="17"/>
      <c r="QTK109" s="17"/>
      <c r="QTL109" s="17"/>
      <c r="QTM109" s="17"/>
      <c r="QTN109" s="17"/>
      <c r="QTO109" s="17"/>
      <c r="QTP109" s="17"/>
      <c r="QTQ109" s="17"/>
      <c r="QTR109" s="17"/>
      <c r="QTS109" s="17"/>
      <c r="QTT109" s="17"/>
      <c r="QTU109" s="17"/>
      <c r="QTV109" s="17"/>
      <c r="QTW109" s="17"/>
      <c r="QTX109" s="17"/>
      <c r="QTY109" s="17"/>
      <c r="QTZ109" s="17"/>
      <c r="QUA109" s="17"/>
      <c r="QUB109" s="17"/>
      <c r="QUC109" s="17"/>
      <c r="QUD109" s="17"/>
      <c r="QUE109" s="17"/>
      <c r="QUF109" s="17"/>
      <c r="QUG109" s="17"/>
      <c r="QUH109" s="17"/>
      <c r="QUI109" s="17"/>
      <c r="QUJ109" s="17"/>
      <c r="QUK109" s="17"/>
      <c r="QUL109" s="17"/>
      <c r="QUM109" s="17"/>
      <c r="QUN109" s="17"/>
      <c r="QUO109" s="17"/>
      <c r="QUP109" s="17"/>
      <c r="QUQ109" s="17"/>
      <c r="QUR109" s="17"/>
      <c r="QUS109" s="17"/>
      <c r="QUT109" s="17"/>
      <c r="QUU109" s="17"/>
      <c r="QUV109" s="17"/>
      <c r="QUW109" s="17"/>
      <c r="QUX109" s="17"/>
      <c r="QUY109" s="17"/>
      <c r="QUZ109" s="17"/>
      <c r="QVA109" s="17"/>
      <c r="QVB109" s="17"/>
      <c r="QVC109" s="17"/>
      <c r="QVD109" s="17"/>
      <c r="QVE109" s="17"/>
      <c r="QVF109" s="17"/>
      <c r="QVG109" s="17"/>
      <c r="QVH109" s="17"/>
      <c r="QVI109" s="17"/>
      <c r="QVJ109" s="17"/>
      <c r="QVK109" s="17"/>
      <c r="QVL109" s="17"/>
      <c r="QVM109" s="17"/>
      <c r="QVN109" s="17"/>
      <c r="QVO109" s="17"/>
      <c r="QVP109" s="17"/>
      <c r="QVQ109" s="17"/>
      <c r="QVR109" s="17"/>
      <c r="QVS109" s="17"/>
      <c r="QVT109" s="17"/>
      <c r="QVU109" s="17"/>
      <c r="QVV109" s="17"/>
      <c r="QVW109" s="17"/>
      <c r="QVX109" s="17"/>
      <c r="QVY109" s="17"/>
      <c r="QVZ109" s="17"/>
      <c r="QWA109" s="17"/>
      <c r="QWB109" s="17"/>
      <c r="QWC109" s="17"/>
      <c r="QWD109" s="17"/>
      <c r="QWE109" s="17"/>
      <c r="QWF109" s="17"/>
      <c r="QWG109" s="17"/>
      <c r="QWH109" s="17"/>
      <c r="QWI109" s="17"/>
      <c r="QWJ109" s="17"/>
      <c r="QWK109" s="17"/>
      <c r="QWL109" s="17"/>
      <c r="QWM109" s="17"/>
      <c r="QWN109" s="17"/>
      <c r="QWO109" s="17"/>
      <c r="QWP109" s="17"/>
      <c r="QWQ109" s="17"/>
      <c r="QWR109" s="17"/>
      <c r="QWS109" s="17"/>
      <c r="QWT109" s="17"/>
      <c r="QWU109" s="17"/>
      <c r="QWV109" s="17"/>
      <c r="QWW109" s="17"/>
      <c r="QWX109" s="17"/>
      <c r="QWY109" s="17"/>
      <c r="QWZ109" s="17"/>
      <c r="QXA109" s="17"/>
      <c r="QXB109" s="17"/>
      <c r="QXC109" s="17"/>
      <c r="QXD109" s="17"/>
      <c r="QXE109" s="17"/>
      <c r="QXF109" s="17"/>
      <c r="QXG109" s="17"/>
      <c r="QXH109" s="17"/>
      <c r="QXI109" s="17"/>
      <c r="QXJ109" s="17"/>
      <c r="QXK109" s="17"/>
      <c r="QXL109" s="17"/>
      <c r="QXM109" s="17"/>
      <c r="QXN109" s="17"/>
      <c r="QXO109" s="17"/>
      <c r="QXP109" s="17"/>
      <c r="QXQ109" s="17"/>
      <c r="QXR109" s="17"/>
      <c r="QXS109" s="17"/>
      <c r="QXT109" s="17"/>
      <c r="QXU109" s="17"/>
      <c r="QXV109" s="17"/>
      <c r="QXW109" s="17"/>
      <c r="QXX109" s="17"/>
      <c r="QXY109" s="17"/>
      <c r="QXZ109" s="17"/>
      <c r="QYA109" s="17"/>
      <c r="QYB109" s="17"/>
      <c r="QYC109" s="17"/>
      <c r="QYD109" s="17"/>
      <c r="QYE109" s="17"/>
      <c r="QYF109" s="17"/>
      <c r="QYG109" s="17"/>
      <c r="QYH109" s="17"/>
      <c r="QYI109" s="17"/>
      <c r="QYJ109" s="17"/>
      <c r="QYK109" s="17"/>
      <c r="QYL109" s="17"/>
      <c r="QYM109" s="17"/>
      <c r="QYN109" s="17"/>
      <c r="QYO109" s="17"/>
      <c r="QYP109" s="17"/>
      <c r="QYQ109" s="17"/>
      <c r="QYR109" s="17"/>
      <c r="QYS109" s="17"/>
      <c r="QYT109" s="17"/>
      <c r="QYU109" s="17"/>
      <c r="QYV109" s="17"/>
      <c r="QYW109" s="17"/>
      <c r="QYX109" s="17"/>
      <c r="QYY109" s="17"/>
      <c r="QYZ109" s="17"/>
      <c r="QZA109" s="17"/>
      <c r="QZB109" s="17"/>
      <c r="QZC109" s="17"/>
      <c r="QZD109" s="17"/>
      <c r="QZE109" s="17"/>
      <c r="QZF109" s="17"/>
      <c r="QZG109" s="17"/>
      <c r="QZH109" s="17"/>
      <c r="QZI109" s="17"/>
      <c r="QZJ109" s="17"/>
      <c r="QZK109" s="17"/>
      <c r="QZL109" s="17"/>
      <c r="QZM109" s="17"/>
      <c r="QZN109" s="17"/>
      <c r="QZO109" s="17"/>
      <c r="QZP109" s="17"/>
      <c r="QZQ109" s="17"/>
      <c r="QZR109" s="17"/>
      <c r="QZS109" s="17"/>
      <c r="QZT109" s="17"/>
      <c r="QZU109" s="17"/>
      <c r="QZV109" s="17"/>
      <c r="QZW109" s="17"/>
      <c r="QZX109" s="17"/>
      <c r="QZY109" s="17"/>
      <c r="QZZ109" s="17"/>
      <c r="RAA109" s="17"/>
      <c r="RAB109" s="17"/>
      <c r="RAC109" s="17"/>
      <c r="RAD109" s="17"/>
      <c r="RAE109" s="17"/>
      <c r="RAF109" s="17"/>
      <c r="RAG109" s="17"/>
      <c r="RAH109" s="17"/>
      <c r="RAI109" s="17"/>
      <c r="RAJ109" s="17"/>
      <c r="RAK109" s="17"/>
      <c r="RAL109" s="17"/>
      <c r="RAM109" s="17"/>
      <c r="RAN109" s="17"/>
      <c r="RAO109" s="17"/>
      <c r="RAP109" s="17"/>
      <c r="RAQ109" s="17"/>
      <c r="RAR109" s="17"/>
      <c r="RAS109" s="17"/>
      <c r="RAT109" s="17"/>
      <c r="RAU109" s="17"/>
      <c r="RAV109" s="17"/>
      <c r="RAW109" s="17"/>
      <c r="RAX109" s="17"/>
      <c r="RAY109" s="17"/>
      <c r="RAZ109" s="17"/>
      <c r="RBA109" s="17"/>
      <c r="RBB109" s="17"/>
      <c r="RBC109" s="17"/>
      <c r="RBD109" s="17"/>
      <c r="RBE109" s="17"/>
      <c r="RBF109" s="17"/>
      <c r="RBG109" s="17"/>
      <c r="RBH109" s="17"/>
      <c r="RBI109" s="17"/>
      <c r="RBJ109" s="17"/>
      <c r="RBK109" s="17"/>
      <c r="RBL109" s="17"/>
      <c r="RBM109" s="17"/>
      <c r="RBN109" s="17"/>
      <c r="RBO109" s="17"/>
      <c r="RBP109" s="17"/>
      <c r="RBQ109" s="17"/>
      <c r="RBR109" s="17"/>
      <c r="RBS109" s="17"/>
      <c r="RBT109" s="17"/>
      <c r="RBU109" s="17"/>
      <c r="RBV109" s="17"/>
      <c r="RBW109" s="17"/>
      <c r="RBX109" s="17"/>
      <c r="RBY109" s="17"/>
      <c r="RBZ109" s="17"/>
      <c r="RCA109" s="17"/>
      <c r="RCB109" s="17"/>
      <c r="RCC109" s="17"/>
      <c r="RCD109" s="17"/>
      <c r="RCE109" s="17"/>
      <c r="RCF109" s="17"/>
      <c r="RCG109" s="17"/>
      <c r="RCH109" s="17"/>
      <c r="RCI109" s="17"/>
      <c r="RCJ109" s="17"/>
      <c r="RCK109" s="17"/>
      <c r="RCL109" s="17"/>
      <c r="RCM109" s="17"/>
      <c r="RCN109" s="17"/>
      <c r="RCO109" s="17"/>
      <c r="RCP109" s="17"/>
      <c r="RCQ109" s="17"/>
      <c r="RCR109" s="17"/>
      <c r="RCS109" s="17"/>
      <c r="RCT109" s="17"/>
      <c r="RCU109" s="17"/>
      <c r="RCV109" s="17"/>
      <c r="RCW109" s="17"/>
      <c r="RCX109" s="17"/>
      <c r="RCY109" s="17"/>
      <c r="RCZ109" s="17"/>
      <c r="RDA109" s="17"/>
      <c r="RDB109" s="17"/>
      <c r="RDC109" s="17"/>
      <c r="RDD109" s="17"/>
      <c r="RDE109" s="17"/>
      <c r="RDF109" s="17"/>
      <c r="RDG109" s="17"/>
      <c r="RDH109" s="17"/>
      <c r="RDI109" s="17"/>
      <c r="RDJ109" s="17"/>
      <c r="RDK109" s="17"/>
      <c r="RDL109" s="17"/>
      <c r="RDM109" s="17"/>
      <c r="RDN109" s="17"/>
      <c r="RDO109" s="17"/>
      <c r="RDP109" s="17"/>
      <c r="RDQ109" s="17"/>
      <c r="RDR109" s="17"/>
      <c r="RDS109" s="17"/>
      <c r="RDT109" s="17"/>
      <c r="RDU109" s="17"/>
      <c r="RDV109" s="17"/>
      <c r="RDW109" s="17"/>
      <c r="RDX109" s="17"/>
      <c r="RDY109" s="17"/>
      <c r="RDZ109" s="17"/>
      <c r="REA109" s="17"/>
      <c r="REB109" s="17"/>
      <c r="REC109" s="17"/>
      <c r="RED109" s="17"/>
      <c r="REE109" s="17"/>
      <c r="REF109" s="17"/>
      <c r="REG109" s="17"/>
      <c r="REH109" s="17"/>
      <c r="REI109" s="17"/>
      <c r="REJ109" s="17"/>
      <c r="REK109" s="17"/>
      <c r="REL109" s="17"/>
      <c r="REM109" s="17"/>
      <c r="REN109" s="17"/>
      <c r="REO109" s="17"/>
      <c r="REP109" s="17"/>
      <c r="REQ109" s="17"/>
      <c r="RER109" s="17"/>
      <c r="RES109" s="17"/>
      <c r="RET109" s="17"/>
      <c r="REU109" s="17"/>
      <c r="REV109" s="17"/>
      <c r="REW109" s="17"/>
      <c r="REX109" s="17"/>
      <c r="REY109" s="17"/>
      <c r="REZ109" s="17"/>
      <c r="RFA109" s="17"/>
      <c r="RFB109" s="17"/>
      <c r="RFC109" s="17"/>
      <c r="RFD109" s="17"/>
      <c r="RFE109" s="17"/>
      <c r="RFF109" s="17"/>
      <c r="RFG109" s="17"/>
      <c r="RFH109" s="17"/>
      <c r="RFI109" s="17"/>
      <c r="RFJ109" s="17"/>
      <c r="RFK109" s="17"/>
      <c r="RFL109" s="17"/>
      <c r="RFM109" s="17"/>
      <c r="RFN109" s="17"/>
      <c r="RFO109" s="17"/>
      <c r="RFP109" s="17"/>
      <c r="RFQ109" s="17"/>
      <c r="RFR109" s="17"/>
      <c r="RFS109" s="17"/>
      <c r="RFT109" s="17"/>
      <c r="RFU109" s="17"/>
      <c r="RFV109" s="17"/>
      <c r="RFW109" s="17"/>
      <c r="RFX109" s="17"/>
      <c r="RFY109" s="17"/>
      <c r="RFZ109" s="17"/>
      <c r="RGA109" s="17"/>
      <c r="RGB109" s="17"/>
      <c r="RGC109" s="17"/>
      <c r="RGD109" s="17"/>
      <c r="RGE109" s="17"/>
      <c r="RGF109" s="17"/>
      <c r="RGG109" s="17"/>
      <c r="RGH109" s="17"/>
      <c r="RGI109" s="17"/>
      <c r="RGJ109" s="17"/>
      <c r="RGK109" s="17"/>
      <c r="RGL109" s="17"/>
      <c r="RGM109" s="17"/>
      <c r="RGN109" s="17"/>
      <c r="RGO109" s="17"/>
      <c r="RGP109" s="17"/>
      <c r="RGQ109" s="17"/>
      <c r="RGR109" s="17"/>
      <c r="RGS109" s="17"/>
      <c r="RGT109" s="17"/>
      <c r="RGU109" s="17"/>
      <c r="RGV109" s="17"/>
      <c r="RGW109" s="17"/>
      <c r="RGX109" s="17"/>
      <c r="RGY109" s="17"/>
      <c r="RGZ109" s="17"/>
      <c r="RHA109" s="17"/>
      <c r="RHB109" s="17"/>
      <c r="RHC109" s="17"/>
      <c r="RHD109" s="17"/>
      <c r="RHE109" s="17"/>
      <c r="RHF109" s="17"/>
      <c r="RHG109" s="17"/>
      <c r="RHH109" s="17"/>
      <c r="RHI109" s="17"/>
      <c r="RHJ109" s="17"/>
      <c r="RHK109" s="17"/>
      <c r="RHL109" s="17"/>
      <c r="RHM109" s="17"/>
      <c r="RHN109" s="17"/>
      <c r="RHO109" s="17"/>
      <c r="RHP109" s="17"/>
      <c r="RHQ109" s="17"/>
      <c r="RHR109" s="17"/>
      <c r="RHS109" s="17"/>
      <c r="RHT109" s="17"/>
      <c r="RHU109" s="17"/>
      <c r="RHV109" s="17"/>
      <c r="RHW109" s="17"/>
      <c r="RHX109" s="17"/>
      <c r="RHY109" s="17"/>
      <c r="RHZ109" s="17"/>
      <c r="RIA109" s="17"/>
      <c r="RIB109" s="17"/>
      <c r="RIC109" s="17"/>
      <c r="RID109" s="17"/>
      <c r="RIE109" s="17"/>
      <c r="RIF109" s="17"/>
      <c r="RIG109" s="17"/>
      <c r="RIH109" s="17"/>
      <c r="RII109" s="17"/>
      <c r="RIJ109" s="17"/>
      <c r="RIK109" s="17"/>
      <c r="RIL109" s="17"/>
      <c r="RIM109" s="17"/>
      <c r="RIN109" s="17"/>
      <c r="RIO109" s="17"/>
      <c r="RIP109" s="17"/>
      <c r="RIQ109" s="17"/>
      <c r="RIR109" s="17"/>
      <c r="RIS109" s="17"/>
      <c r="RIT109" s="17"/>
      <c r="RIU109" s="17"/>
      <c r="RIV109" s="17"/>
      <c r="RIW109" s="17"/>
      <c r="RIX109" s="17"/>
      <c r="RIY109" s="17"/>
      <c r="RIZ109" s="17"/>
      <c r="RJA109" s="17"/>
      <c r="RJB109" s="17"/>
      <c r="RJC109" s="17"/>
      <c r="RJD109" s="17"/>
      <c r="RJE109" s="17"/>
      <c r="RJF109" s="17"/>
      <c r="RJG109" s="17"/>
      <c r="RJH109" s="17"/>
      <c r="RJI109" s="17"/>
      <c r="RJJ109" s="17"/>
      <c r="RJK109" s="17"/>
      <c r="RJL109" s="17"/>
      <c r="RJM109" s="17"/>
      <c r="RJN109" s="17"/>
      <c r="RJO109" s="17"/>
      <c r="RJP109" s="17"/>
      <c r="RJQ109" s="17"/>
      <c r="RJR109" s="17"/>
      <c r="RJS109" s="17"/>
      <c r="RJT109" s="17"/>
      <c r="RJU109" s="17"/>
      <c r="RJV109" s="17"/>
      <c r="RJW109" s="17"/>
      <c r="RJX109" s="17"/>
      <c r="RJY109" s="17"/>
      <c r="RJZ109" s="17"/>
      <c r="RKA109" s="17"/>
      <c r="RKB109" s="17"/>
      <c r="RKC109" s="17"/>
      <c r="RKD109" s="17"/>
      <c r="RKE109" s="17"/>
      <c r="RKF109" s="17"/>
      <c r="RKG109" s="17"/>
      <c r="RKH109" s="17"/>
      <c r="RKI109" s="17"/>
      <c r="RKJ109" s="17"/>
      <c r="RKK109" s="17"/>
      <c r="RKL109" s="17"/>
      <c r="RKM109" s="17"/>
      <c r="RKN109" s="17"/>
      <c r="RKO109" s="17"/>
      <c r="RKP109" s="17"/>
      <c r="RKQ109" s="17"/>
      <c r="RKR109" s="17"/>
      <c r="RKS109" s="17"/>
      <c r="RKT109" s="17"/>
      <c r="RKU109" s="17"/>
      <c r="RKV109" s="17"/>
      <c r="RKW109" s="17"/>
      <c r="RKX109" s="17"/>
      <c r="RKY109" s="17"/>
      <c r="RKZ109" s="17"/>
      <c r="RLA109" s="17"/>
      <c r="RLB109" s="17"/>
      <c r="RLC109" s="17"/>
      <c r="RLD109" s="17"/>
      <c r="RLE109" s="17"/>
      <c r="RLF109" s="17"/>
      <c r="RLG109" s="17"/>
      <c r="RLH109" s="17"/>
      <c r="RLI109" s="17"/>
      <c r="RLJ109" s="17"/>
      <c r="RLK109" s="17"/>
      <c r="RLL109" s="17"/>
      <c r="RLM109" s="17"/>
      <c r="RLN109" s="17"/>
      <c r="RLO109" s="17"/>
      <c r="RLP109" s="17"/>
      <c r="RLQ109" s="17"/>
      <c r="RLR109" s="17"/>
      <c r="RLS109" s="17"/>
      <c r="RLT109" s="17"/>
      <c r="RLU109" s="17"/>
      <c r="RLV109" s="17"/>
      <c r="RLW109" s="17"/>
      <c r="RLX109" s="17"/>
      <c r="RLY109" s="17"/>
      <c r="RLZ109" s="17"/>
      <c r="RMA109" s="17"/>
      <c r="RMB109" s="17"/>
      <c r="RMC109" s="17"/>
      <c r="RMD109" s="17"/>
      <c r="RME109" s="17"/>
      <c r="RMF109" s="17"/>
      <c r="RMG109" s="17"/>
      <c r="RMH109" s="17"/>
      <c r="RMI109" s="17"/>
      <c r="RMJ109" s="17"/>
      <c r="RMK109" s="17"/>
      <c r="RML109" s="17"/>
      <c r="RMM109" s="17"/>
      <c r="RMN109" s="17"/>
      <c r="RMO109" s="17"/>
      <c r="RMP109" s="17"/>
      <c r="RMQ109" s="17"/>
      <c r="RMR109" s="17"/>
      <c r="RMS109" s="17"/>
      <c r="RMT109" s="17"/>
      <c r="RMU109" s="17"/>
      <c r="RMV109" s="17"/>
      <c r="RMW109" s="17"/>
      <c r="RMX109" s="17"/>
      <c r="RMY109" s="17"/>
      <c r="RMZ109" s="17"/>
      <c r="RNA109" s="17"/>
      <c r="RNB109" s="17"/>
      <c r="RNC109" s="17"/>
      <c r="RND109" s="17"/>
      <c r="RNE109" s="17"/>
      <c r="RNF109" s="17"/>
      <c r="RNG109" s="17"/>
      <c r="RNH109" s="17"/>
      <c r="RNI109" s="17"/>
      <c r="RNJ109" s="17"/>
      <c r="RNK109" s="17"/>
      <c r="RNL109" s="17"/>
      <c r="RNM109" s="17"/>
      <c r="RNN109" s="17"/>
      <c r="RNO109" s="17"/>
      <c r="RNP109" s="17"/>
      <c r="RNQ109" s="17"/>
      <c r="RNR109" s="17"/>
      <c r="RNS109" s="17"/>
      <c r="RNT109" s="17"/>
      <c r="RNU109" s="17"/>
      <c r="RNV109" s="17"/>
      <c r="RNW109" s="17"/>
      <c r="RNX109" s="17"/>
      <c r="RNY109" s="17"/>
      <c r="RNZ109" s="17"/>
      <c r="ROA109" s="17"/>
      <c r="ROB109" s="17"/>
      <c r="ROC109" s="17"/>
      <c r="ROD109" s="17"/>
      <c r="ROE109" s="17"/>
      <c r="ROF109" s="17"/>
      <c r="ROG109" s="17"/>
      <c r="ROH109" s="17"/>
      <c r="ROI109" s="17"/>
      <c r="ROJ109" s="17"/>
      <c r="ROK109" s="17"/>
      <c r="ROL109" s="17"/>
      <c r="ROM109" s="17"/>
      <c r="RON109" s="17"/>
      <c r="ROO109" s="17"/>
      <c r="ROP109" s="17"/>
      <c r="ROQ109" s="17"/>
      <c r="ROR109" s="17"/>
      <c r="ROS109" s="17"/>
      <c r="ROT109" s="17"/>
      <c r="ROU109" s="17"/>
      <c r="ROV109" s="17"/>
      <c r="ROW109" s="17"/>
      <c r="ROX109" s="17"/>
      <c r="ROY109" s="17"/>
      <c r="ROZ109" s="17"/>
      <c r="RPA109" s="17"/>
      <c r="RPB109" s="17"/>
      <c r="RPC109" s="17"/>
      <c r="RPD109" s="17"/>
      <c r="RPE109" s="17"/>
      <c r="RPF109" s="17"/>
      <c r="RPG109" s="17"/>
      <c r="RPH109" s="17"/>
      <c r="RPI109" s="17"/>
      <c r="RPJ109" s="17"/>
      <c r="RPK109" s="17"/>
      <c r="RPL109" s="17"/>
      <c r="RPM109" s="17"/>
      <c r="RPN109" s="17"/>
      <c r="RPO109" s="17"/>
      <c r="RPP109" s="17"/>
      <c r="RPQ109" s="17"/>
      <c r="RPR109" s="17"/>
      <c r="RPS109" s="17"/>
      <c r="RPT109" s="17"/>
      <c r="RPU109" s="17"/>
      <c r="RPV109" s="17"/>
      <c r="RPW109" s="17"/>
      <c r="RPX109" s="17"/>
      <c r="RPY109" s="17"/>
      <c r="RPZ109" s="17"/>
      <c r="RQA109" s="17"/>
      <c r="RQB109" s="17"/>
      <c r="RQC109" s="17"/>
      <c r="RQD109" s="17"/>
      <c r="RQE109" s="17"/>
      <c r="RQF109" s="17"/>
      <c r="RQG109" s="17"/>
      <c r="RQH109" s="17"/>
      <c r="RQI109" s="17"/>
      <c r="RQJ109" s="17"/>
      <c r="RQK109" s="17"/>
      <c r="RQL109" s="17"/>
      <c r="RQM109" s="17"/>
      <c r="RQN109" s="17"/>
      <c r="RQO109" s="17"/>
      <c r="RQP109" s="17"/>
      <c r="RQQ109" s="17"/>
      <c r="RQR109" s="17"/>
      <c r="RQS109" s="17"/>
      <c r="RQT109" s="17"/>
      <c r="RQU109" s="17"/>
      <c r="RQV109" s="17"/>
      <c r="RQW109" s="17"/>
      <c r="RQX109" s="17"/>
      <c r="RQY109" s="17"/>
      <c r="RQZ109" s="17"/>
      <c r="RRA109" s="17"/>
      <c r="RRB109" s="17"/>
      <c r="RRC109" s="17"/>
      <c r="RRD109" s="17"/>
      <c r="RRE109" s="17"/>
      <c r="RRF109" s="17"/>
      <c r="RRG109" s="17"/>
      <c r="RRH109" s="17"/>
      <c r="RRI109" s="17"/>
      <c r="RRJ109" s="17"/>
      <c r="RRK109" s="17"/>
      <c r="RRL109" s="17"/>
      <c r="RRM109" s="17"/>
      <c r="RRN109" s="17"/>
      <c r="RRO109" s="17"/>
      <c r="RRP109" s="17"/>
      <c r="RRQ109" s="17"/>
      <c r="RRR109" s="17"/>
      <c r="RRS109" s="17"/>
      <c r="RRT109" s="17"/>
      <c r="RRU109" s="17"/>
      <c r="RRV109" s="17"/>
      <c r="RRW109" s="17"/>
      <c r="RRX109" s="17"/>
      <c r="RRY109" s="17"/>
      <c r="RRZ109" s="17"/>
      <c r="RSA109" s="17"/>
      <c r="RSB109" s="17"/>
      <c r="RSC109" s="17"/>
      <c r="RSD109" s="17"/>
      <c r="RSE109" s="17"/>
      <c r="RSF109" s="17"/>
      <c r="RSG109" s="17"/>
      <c r="RSH109" s="17"/>
      <c r="RSI109" s="17"/>
      <c r="RSJ109" s="17"/>
      <c r="RSK109" s="17"/>
      <c r="RSL109" s="17"/>
      <c r="RSM109" s="17"/>
      <c r="RSN109" s="17"/>
      <c r="RSO109" s="17"/>
      <c r="RSP109" s="17"/>
      <c r="RSQ109" s="17"/>
      <c r="RSR109" s="17"/>
      <c r="RSS109" s="17"/>
      <c r="RST109" s="17"/>
      <c r="RSU109" s="17"/>
      <c r="RSV109" s="17"/>
      <c r="RSW109" s="17"/>
      <c r="RSX109" s="17"/>
      <c r="RSY109" s="17"/>
      <c r="RSZ109" s="17"/>
      <c r="RTA109" s="17"/>
      <c r="RTB109" s="17"/>
      <c r="RTC109" s="17"/>
      <c r="RTD109" s="17"/>
      <c r="RTE109" s="17"/>
      <c r="RTF109" s="17"/>
      <c r="RTG109" s="17"/>
      <c r="RTH109" s="17"/>
      <c r="RTI109" s="17"/>
      <c r="RTJ109" s="17"/>
      <c r="RTK109" s="17"/>
      <c r="RTL109" s="17"/>
      <c r="RTM109" s="17"/>
      <c r="RTN109" s="17"/>
      <c r="RTO109" s="17"/>
      <c r="RTP109" s="17"/>
      <c r="RTQ109" s="17"/>
      <c r="RTR109" s="17"/>
      <c r="RTS109" s="17"/>
      <c r="RTT109" s="17"/>
      <c r="RTU109" s="17"/>
      <c r="RTV109" s="17"/>
      <c r="RTW109" s="17"/>
      <c r="RTX109" s="17"/>
      <c r="RTY109" s="17"/>
      <c r="RTZ109" s="17"/>
      <c r="RUA109" s="17"/>
      <c r="RUB109" s="17"/>
      <c r="RUC109" s="17"/>
      <c r="RUD109" s="17"/>
      <c r="RUE109" s="17"/>
      <c r="RUF109" s="17"/>
      <c r="RUG109" s="17"/>
      <c r="RUH109" s="17"/>
      <c r="RUI109" s="17"/>
      <c r="RUJ109" s="17"/>
      <c r="RUK109" s="17"/>
      <c r="RUL109" s="17"/>
      <c r="RUM109" s="17"/>
      <c r="RUN109" s="17"/>
      <c r="RUO109" s="17"/>
      <c r="RUP109" s="17"/>
      <c r="RUQ109" s="17"/>
      <c r="RUR109" s="17"/>
      <c r="RUS109" s="17"/>
      <c r="RUT109" s="17"/>
      <c r="RUU109" s="17"/>
      <c r="RUV109" s="17"/>
      <c r="RUW109" s="17"/>
      <c r="RUX109" s="17"/>
      <c r="RUY109" s="17"/>
      <c r="RUZ109" s="17"/>
      <c r="RVA109" s="17"/>
      <c r="RVB109" s="17"/>
      <c r="RVC109" s="17"/>
      <c r="RVD109" s="17"/>
      <c r="RVE109" s="17"/>
      <c r="RVF109" s="17"/>
      <c r="RVG109" s="17"/>
      <c r="RVH109" s="17"/>
      <c r="RVI109" s="17"/>
      <c r="RVJ109" s="17"/>
      <c r="RVK109" s="17"/>
      <c r="RVL109" s="17"/>
      <c r="RVM109" s="17"/>
      <c r="RVN109" s="17"/>
      <c r="RVO109" s="17"/>
      <c r="RVP109" s="17"/>
      <c r="RVQ109" s="17"/>
      <c r="RVR109" s="17"/>
      <c r="RVS109" s="17"/>
      <c r="RVT109" s="17"/>
      <c r="RVU109" s="17"/>
      <c r="RVV109" s="17"/>
      <c r="RVW109" s="17"/>
      <c r="RVX109" s="17"/>
      <c r="RVY109" s="17"/>
      <c r="RVZ109" s="17"/>
      <c r="RWA109" s="17"/>
      <c r="RWB109" s="17"/>
      <c r="RWC109" s="17"/>
      <c r="RWD109" s="17"/>
      <c r="RWE109" s="17"/>
      <c r="RWF109" s="17"/>
      <c r="RWG109" s="17"/>
      <c r="RWH109" s="17"/>
      <c r="RWI109" s="17"/>
      <c r="RWJ109" s="17"/>
      <c r="RWK109" s="17"/>
      <c r="RWL109" s="17"/>
      <c r="RWM109" s="17"/>
      <c r="RWN109" s="17"/>
      <c r="RWO109" s="17"/>
      <c r="RWP109" s="17"/>
      <c r="RWQ109" s="17"/>
      <c r="RWR109" s="17"/>
      <c r="RWS109" s="17"/>
      <c r="RWT109" s="17"/>
      <c r="RWU109" s="17"/>
      <c r="RWV109" s="17"/>
      <c r="RWW109" s="17"/>
      <c r="RWX109" s="17"/>
      <c r="RWY109" s="17"/>
      <c r="RWZ109" s="17"/>
      <c r="RXA109" s="17"/>
      <c r="RXB109" s="17"/>
      <c r="RXC109" s="17"/>
      <c r="RXD109" s="17"/>
      <c r="RXE109" s="17"/>
      <c r="RXF109" s="17"/>
      <c r="RXG109" s="17"/>
      <c r="RXH109" s="17"/>
      <c r="RXI109" s="17"/>
      <c r="RXJ109" s="17"/>
      <c r="RXK109" s="17"/>
      <c r="RXL109" s="17"/>
      <c r="RXM109" s="17"/>
      <c r="RXN109" s="17"/>
      <c r="RXO109" s="17"/>
      <c r="RXP109" s="17"/>
      <c r="RXQ109" s="17"/>
      <c r="RXR109" s="17"/>
      <c r="RXS109" s="17"/>
      <c r="RXT109" s="17"/>
      <c r="RXU109" s="17"/>
      <c r="RXV109" s="17"/>
      <c r="RXW109" s="17"/>
      <c r="RXX109" s="17"/>
      <c r="RXY109" s="17"/>
      <c r="RXZ109" s="17"/>
      <c r="RYA109" s="17"/>
      <c r="RYB109" s="17"/>
      <c r="RYC109" s="17"/>
      <c r="RYD109" s="17"/>
      <c r="RYE109" s="17"/>
      <c r="RYF109" s="17"/>
      <c r="RYG109" s="17"/>
      <c r="RYH109" s="17"/>
      <c r="RYI109" s="17"/>
      <c r="RYJ109" s="17"/>
      <c r="RYK109" s="17"/>
      <c r="RYL109" s="17"/>
      <c r="RYM109" s="17"/>
      <c r="RYN109" s="17"/>
      <c r="RYO109" s="17"/>
      <c r="RYP109" s="17"/>
      <c r="RYQ109" s="17"/>
      <c r="RYR109" s="17"/>
      <c r="RYS109" s="17"/>
      <c r="RYT109" s="17"/>
      <c r="RYU109" s="17"/>
      <c r="RYV109" s="17"/>
      <c r="RYW109" s="17"/>
      <c r="RYX109" s="17"/>
      <c r="RYY109" s="17"/>
      <c r="RYZ109" s="17"/>
      <c r="RZA109" s="17"/>
      <c r="RZB109" s="17"/>
      <c r="RZC109" s="17"/>
      <c r="RZD109" s="17"/>
      <c r="RZE109" s="17"/>
      <c r="RZF109" s="17"/>
      <c r="RZG109" s="17"/>
      <c r="RZH109" s="17"/>
      <c r="RZI109" s="17"/>
      <c r="RZJ109" s="17"/>
      <c r="RZK109" s="17"/>
      <c r="RZL109" s="17"/>
      <c r="RZM109" s="17"/>
      <c r="RZN109" s="17"/>
      <c r="RZO109" s="17"/>
      <c r="RZP109" s="17"/>
      <c r="RZQ109" s="17"/>
      <c r="RZR109" s="17"/>
      <c r="RZS109" s="17"/>
      <c r="RZT109" s="17"/>
      <c r="RZU109" s="17"/>
      <c r="RZV109" s="17"/>
      <c r="RZW109" s="17"/>
      <c r="RZX109" s="17"/>
      <c r="RZY109" s="17"/>
      <c r="RZZ109" s="17"/>
      <c r="SAA109" s="17"/>
      <c r="SAB109" s="17"/>
      <c r="SAC109" s="17"/>
      <c r="SAD109" s="17"/>
      <c r="SAE109" s="17"/>
      <c r="SAF109" s="17"/>
      <c r="SAG109" s="17"/>
      <c r="SAH109" s="17"/>
      <c r="SAI109" s="17"/>
      <c r="SAJ109" s="17"/>
      <c r="SAK109" s="17"/>
      <c r="SAL109" s="17"/>
      <c r="SAM109" s="17"/>
      <c r="SAN109" s="17"/>
      <c r="SAO109" s="17"/>
      <c r="SAP109" s="17"/>
      <c r="SAQ109" s="17"/>
      <c r="SAR109" s="17"/>
      <c r="SAS109" s="17"/>
      <c r="SAT109" s="17"/>
      <c r="SAU109" s="17"/>
      <c r="SAV109" s="17"/>
      <c r="SAW109" s="17"/>
      <c r="SAX109" s="17"/>
      <c r="SAY109" s="17"/>
      <c r="SAZ109" s="17"/>
      <c r="SBA109" s="17"/>
      <c r="SBB109" s="17"/>
      <c r="SBC109" s="17"/>
      <c r="SBD109" s="17"/>
      <c r="SBE109" s="17"/>
      <c r="SBF109" s="17"/>
      <c r="SBG109" s="17"/>
      <c r="SBH109" s="17"/>
      <c r="SBI109" s="17"/>
      <c r="SBJ109" s="17"/>
      <c r="SBK109" s="17"/>
      <c r="SBL109" s="17"/>
      <c r="SBM109" s="17"/>
      <c r="SBN109" s="17"/>
      <c r="SBO109" s="17"/>
      <c r="SBP109" s="17"/>
      <c r="SBQ109" s="17"/>
      <c r="SBR109" s="17"/>
      <c r="SBS109" s="17"/>
      <c r="SBT109" s="17"/>
      <c r="SBU109" s="17"/>
      <c r="SBV109" s="17"/>
      <c r="SBW109" s="17"/>
      <c r="SBX109" s="17"/>
      <c r="SBY109" s="17"/>
      <c r="SBZ109" s="17"/>
      <c r="SCA109" s="17"/>
      <c r="SCB109" s="17"/>
      <c r="SCC109" s="17"/>
      <c r="SCD109" s="17"/>
      <c r="SCE109" s="17"/>
      <c r="SCF109" s="17"/>
      <c r="SCG109" s="17"/>
      <c r="SCH109" s="17"/>
      <c r="SCI109" s="17"/>
      <c r="SCJ109" s="17"/>
      <c r="SCK109" s="17"/>
      <c r="SCL109" s="17"/>
      <c r="SCM109" s="17"/>
      <c r="SCN109" s="17"/>
      <c r="SCO109" s="17"/>
      <c r="SCP109" s="17"/>
      <c r="SCQ109" s="17"/>
      <c r="SCR109" s="17"/>
      <c r="SCS109" s="17"/>
      <c r="SCT109" s="17"/>
      <c r="SCU109" s="17"/>
      <c r="SCV109" s="17"/>
      <c r="SCW109" s="17"/>
      <c r="SCX109" s="17"/>
      <c r="SCY109" s="17"/>
      <c r="SCZ109" s="17"/>
      <c r="SDA109" s="17"/>
      <c r="SDB109" s="17"/>
      <c r="SDC109" s="17"/>
      <c r="SDD109" s="17"/>
      <c r="SDE109" s="17"/>
      <c r="SDF109" s="17"/>
      <c r="SDG109" s="17"/>
      <c r="SDH109" s="17"/>
      <c r="SDI109" s="17"/>
      <c r="SDJ109" s="17"/>
      <c r="SDK109" s="17"/>
      <c r="SDL109" s="17"/>
      <c r="SDM109" s="17"/>
      <c r="SDN109" s="17"/>
      <c r="SDO109" s="17"/>
      <c r="SDP109" s="17"/>
      <c r="SDQ109" s="17"/>
      <c r="SDR109" s="17"/>
      <c r="SDS109" s="17"/>
      <c r="SDT109" s="17"/>
      <c r="SDU109" s="17"/>
      <c r="SDV109" s="17"/>
      <c r="SDW109" s="17"/>
      <c r="SDX109" s="17"/>
      <c r="SDY109" s="17"/>
      <c r="SDZ109" s="17"/>
      <c r="SEA109" s="17"/>
      <c r="SEB109" s="17"/>
      <c r="SEC109" s="17"/>
      <c r="SED109" s="17"/>
      <c r="SEE109" s="17"/>
      <c r="SEF109" s="17"/>
      <c r="SEG109" s="17"/>
      <c r="SEH109" s="17"/>
      <c r="SEI109" s="17"/>
      <c r="SEJ109" s="17"/>
      <c r="SEK109" s="17"/>
      <c r="SEL109" s="17"/>
      <c r="SEM109" s="17"/>
      <c r="SEN109" s="17"/>
      <c r="SEO109" s="17"/>
      <c r="SEP109" s="17"/>
      <c r="SEQ109" s="17"/>
      <c r="SER109" s="17"/>
      <c r="SES109" s="17"/>
      <c r="SET109" s="17"/>
      <c r="SEU109" s="17"/>
      <c r="SEV109" s="17"/>
      <c r="SEW109" s="17"/>
      <c r="SEX109" s="17"/>
      <c r="SEY109" s="17"/>
      <c r="SEZ109" s="17"/>
      <c r="SFA109" s="17"/>
      <c r="SFB109" s="17"/>
      <c r="SFC109" s="17"/>
      <c r="SFD109" s="17"/>
      <c r="SFE109" s="17"/>
      <c r="SFF109" s="17"/>
      <c r="SFG109" s="17"/>
      <c r="SFH109" s="17"/>
      <c r="SFI109" s="17"/>
      <c r="SFJ109" s="17"/>
      <c r="SFK109" s="17"/>
      <c r="SFL109" s="17"/>
      <c r="SFM109" s="17"/>
      <c r="SFN109" s="17"/>
      <c r="SFO109" s="17"/>
      <c r="SFP109" s="17"/>
      <c r="SFQ109" s="17"/>
      <c r="SFR109" s="17"/>
      <c r="SFS109" s="17"/>
      <c r="SFT109" s="17"/>
      <c r="SFU109" s="17"/>
      <c r="SFV109" s="17"/>
      <c r="SFW109" s="17"/>
      <c r="SFX109" s="17"/>
      <c r="SFY109" s="17"/>
      <c r="SFZ109" s="17"/>
      <c r="SGA109" s="17"/>
      <c r="SGB109" s="17"/>
      <c r="SGC109" s="17"/>
      <c r="SGD109" s="17"/>
      <c r="SGE109" s="17"/>
      <c r="SGF109" s="17"/>
      <c r="SGG109" s="17"/>
      <c r="SGH109" s="17"/>
      <c r="SGI109" s="17"/>
      <c r="SGJ109" s="17"/>
      <c r="SGK109" s="17"/>
      <c r="SGL109" s="17"/>
      <c r="SGM109" s="17"/>
      <c r="SGN109" s="17"/>
      <c r="SGO109" s="17"/>
      <c r="SGP109" s="17"/>
      <c r="SGQ109" s="17"/>
      <c r="SGR109" s="17"/>
      <c r="SGS109" s="17"/>
      <c r="SGT109" s="17"/>
      <c r="SGU109" s="17"/>
      <c r="SGV109" s="17"/>
      <c r="SGW109" s="17"/>
      <c r="SGX109" s="17"/>
      <c r="SGY109" s="17"/>
      <c r="SGZ109" s="17"/>
      <c r="SHA109" s="17"/>
      <c r="SHB109" s="17"/>
      <c r="SHC109" s="17"/>
      <c r="SHD109" s="17"/>
      <c r="SHE109" s="17"/>
      <c r="SHF109" s="17"/>
      <c r="SHG109" s="17"/>
      <c r="SHH109" s="17"/>
      <c r="SHI109" s="17"/>
      <c r="SHJ109" s="17"/>
      <c r="SHK109" s="17"/>
      <c r="SHL109" s="17"/>
      <c r="SHM109" s="17"/>
      <c r="SHN109" s="17"/>
      <c r="SHO109" s="17"/>
      <c r="SHP109" s="17"/>
      <c r="SHQ109" s="17"/>
      <c r="SHR109" s="17"/>
      <c r="SHS109" s="17"/>
      <c r="SHT109" s="17"/>
      <c r="SHU109" s="17"/>
      <c r="SHV109" s="17"/>
      <c r="SHW109" s="17"/>
      <c r="SHX109" s="17"/>
      <c r="SHY109" s="17"/>
      <c r="SHZ109" s="17"/>
      <c r="SIA109" s="17"/>
      <c r="SIB109" s="17"/>
      <c r="SIC109" s="17"/>
      <c r="SID109" s="17"/>
      <c r="SIE109" s="17"/>
      <c r="SIF109" s="17"/>
      <c r="SIG109" s="17"/>
      <c r="SIH109" s="17"/>
      <c r="SII109" s="17"/>
      <c r="SIJ109" s="17"/>
      <c r="SIK109" s="17"/>
      <c r="SIL109" s="17"/>
      <c r="SIM109" s="17"/>
      <c r="SIN109" s="17"/>
      <c r="SIO109" s="17"/>
      <c r="SIP109" s="17"/>
      <c r="SIQ109" s="17"/>
      <c r="SIR109" s="17"/>
      <c r="SIS109" s="17"/>
      <c r="SIT109" s="17"/>
      <c r="SIU109" s="17"/>
      <c r="SIV109" s="17"/>
      <c r="SIW109" s="17"/>
      <c r="SIX109" s="17"/>
      <c r="SIY109" s="17"/>
      <c r="SIZ109" s="17"/>
      <c r="SJA109" s="17"/>
      <c r="SJB109" s="17"/>
      <c r="SJC109" s="17"/>
      <c r="SJD109" s="17"/>
      <c r="SJE109" s="17"/>
      <c r="SJF109" s="17"/>
      <c r="SJG109" s="17"/>
      <c r="SJH109" s="17"/>
      <c r="SJI109" s="17"/>
      <c r="SJJ109" s="17"/>
      <c r="SJK109" s="17"/>
      <c r="SJL109" s="17"/>
      <c r="SJM109" s="17"/>
      <c r="SJN109" s="17"/>
      <c r="SJO109" s="17"/>
      <c r="SJP109" s="17"/>
      <c r="SJQ109" s="17"/>
      <c r="SJR109" s="17"/>
      <c r="SJS109" s="17"/>
      <c r="SJT109" s="17"/>
      <c r="SJU109" s="17"/>
      <c r="SJV109" s="17"/>
      <c r="SJW109" s="17"/>
      <c r="SJX109" s="17"/>
      <c r="SJY109" s="17"/>
      <c r="SJZ109" s="17"/>
      <c r="SKA109" s="17"/>
      <c r="SKB109" s="17"/>
      <c r="SKC109" s="17"/>
      <c r="SKD109" s="17"/>
      <c r="SKE109" s="17"/>
      <c r="SKF109" s="17"/>
      <c r="SKG109" s="17"/>
      <c r="SKH109" s="17"/>
      <c r="SKI109" s="17"/>
      <c r="SKJ109" s="17"/>
      <c r="SKK109" s="17"/>
      <c r="SKL109" s="17"/>
      <c r="SKM109" s="17"/>
      <c r="SKN109" s="17"/>
      <c r="SKO109" s="17"/>
      <c r="SKP109" s="17"/>
      <c r="SKQ109" s="17"/>
      <c r="SKR109" s="17"/>
      <c r="SKS109" s="17"/>
      <c r="SKT109" s="17"/>
      <c r="SKU109" s="17"/>
      <c r="SKV109" s="17"/>
      <c r="SKW109" s="17"/>
      <c r="SKX109" s="17"/>
      <c r="SKY109" s="17"/>
      <c r="SKZ109" s="17"/>
      <c r="SLA109" s="17"/>
      <c r="SLB109" s="17"/>
      <c r="SLC109" s="17"/>
      <c r="SLD109" s="17"/>
      <c r="SLE109" s="17"/>
      <c r="SLF109" s="17"/>
      <c r="SLG109" s="17"/>
      <c r="SLH109" s="17"/>
      <c r="SLI109" s="17"/>
      <c r="SLJ109" s="17"/>
      <c r="SLK109" s="17"/>
      <c r="SLL109" s="17"/>
      <c r="SLM109" s="17"/>
      <c r="SLN109" s="17"/>
      <c r="SLO109" s="17"/>
      <c r="SLP109" s="17"/>
      <c r="SLQ109" s="17"/>
      <c r="SLR109" s="17"/>
      <c r="SLS109" s="17"/>
      <c r="SLT109" s="17"/>
      <c r="SLU109" s="17"/>
      <c r="SLV109" s="17"/>
      <c r="SLW109" s="17"/>
      <c r="SLX109" s="17"/>
      <c r="SLY109" s="17"/>
      <c r="SLZ109" s="17"/>
      <c r="SMA109" s="17"/>
      <c r="SMB109" s="17"/>
      <c r="SMC109" s="17"/>
      <c r="SMD109" s="17"/>
      <c r="SME109" s="17"/>
      <c r="SMF109" s="17"/>
      <c r="SMG109" s="17"/>
      <c r="SMH109" s="17"/>
      <c r="SMI109" s="17"/>
      <c r="SMJ109" s="17"/>
      <c r="SMK109" s="17"/>
      <c r="SML109" s="17"/>
      <c r="SMM109" s="17"/>
      <c r="SMN109" s="17"/>
      <c r="SMO109" s="17"/>
      <c r="SMP109" s="17"/>
      <c r="SMQ109" s="17"/>
      <c r="SMR109" s="17"/>
      <c r="SMS109" s="17"/>
      <c r="SMT109" s="17"/>
      <c r="SMU109" s="17"/>
      <c r="SMV109" s="17"/>
      <c r="SMW109" s="17"/>
      <c r="SMX109" s="17"/>
      <c r="SMY109" s="17"/>
      <c r="SMZ109" s="17"/>
      <c r="SNA109" s="17"/>
      <c r="SNB109" s="17"/>
      <c r="SNC109" s="17"/>
      <c r="SND109" s="17"/>
      <c r="SNE109" s="17"/>
      <c r="SNF109" s="17"/>
      <c r="SNG109" s="17"/>
      <c r="SNH109" s="17"/>
      <c r="SNI109" s="17"/>
      <c r="SNJ109" s="17"/>
      <c r="SNK109" s="17"/>
      <c r="SNL109" s="17"/>
      <c r="SNM109" s="17"/>
      <c r="SNN109" s="17"/>
      <c r="SNO109" s="17"/>
      <c r="SNP109" s="17"/>
      <c r="SNQ109" s="17"/>
      <c r="SNR109" s="17"/>
      <c r="SNS109" s="17"/>
      <c r="SNT109" s="17"/>
      <c r="SNU109" s="17"/>
      <c r="SNV109" s="17"/>
      <c r="SNW109" s="17"/>
      <c r="SNX109" s="17"/>
      <c r="SNY109" s="17"/>
      <c r="SNZ109" s="17"/>
      <c r="SOA109" s="17"/>
      <c r="SOB109" s="17"/>
      <c r="SOC109" s="17"/>
      <c r="SOD109" s="17"/>
      <c r="SOE109" s="17"/>
      <c r="SOF109" s="17"/>
      <c r="SOG109" s="17"/>
      <c r="SOH109" s="17"/>
      <c r="SOI109" s="17"/>
      <c r="SOJ109" s="17"/>
      <c r="SOK109" s="17"/>
      <c r="SOL109" s="17"/>
      <c r="SOM109" s="17"/>
      <c r="SON109" s="17"/>
      <c r="SOO109" s="17"/>
      <c r="SOP109" s="17"/>
      <c r="SOQ109" s="17"/>
      <c r="SOR109" s="17"/>
      <c r="SOS109" s="17"/>
      <c r="SOT109" s="17"/>
      <c r="SOU109" s="17"/>
      <c r="SOV109" s="17"/>
      <c r="SOW109" s="17"/>
      <c r="SOX109" s="17"/>
      <c r="SOY109" s="17"/>
      <c r="SOZ109" s="17"/>
      <c r="SPA109" s="17"/>
      <c r="SPB109" s="17"/>
      <c r="SPC109" s="17"/>
      <c r="SPD109" s="17"/>
      <c r="SPE109" s="17"/>
      <c r="SPF109" s="17"/>
      <c r="SPG109" s="17"/>
      <c r="SPH109" s="17"/>
      <c r="SPI109" s="17"/>
      <c r="SPJ109" s="17"/>
      <c r="SPK109" s="17"/>
      <c r="SPL109" s="17"/>
      <c r="SPM109" s="17"/>
      <c r="SPN109" s="17"/>
      <c r="SPO109" s="17"/>
      <c r="SPP109" s="17"/>
      <c r="SPQ109" s="17"/>
      <c r="SPR109" s="17"/>
      <c r="SPS109" s="17"/>
      <c r="SPT109" s="17"/>
      <c r="SPU109" s="17"/>
      <c r="SPV109" s="17"/>
      <c r="SPW109" s="17"/>
      <c r="SPX109" s="17"/>
      <c r="SPY109" s="17"/>
      <c r="SPZ109" s="17"/>
      <c r="SQA109" s="17"/>
      <c r="SQB109" s="17"/>
      <c r="SQC109" s="17"/>
      <c r="SQD109" s="17"/>
      <c r="SQE109" s="17"/>
      <c r="SQF109" s="17"/>
      <c r="SQG109" s="17"/>
      <c r="SQH109" s="17"/>
      <c r="SQI109" s="17"/>
      <c r="SQJ109" s="17"/>
      <c r="SQK109" s="17"/>
      <c r="SQL109" s="17"/>
      <c r="SQM109" s="17"/>
      <c r="SQN109" s="17"/>
      <c r="SQO109" s="17"/>
      <c r="SQP109" s="17"/>
      <c r="SQQ109" s="17"/>
      <c r="SQR109" s="17"/>
      <c r="SQS109" s="17"/>
      <c r="SQT109" s="17"/>
      <c r="SQU109" s="17"/>
      <c r="SQV109" s="17"/>
      <c r="SQW109" s="17"/>
      <c r="SQX109" s="17"/>
      <c r="SQY109" s="17"/>
      <c r="SQZ109" s="17"/>
      <c r="SRA109" s="17"/>
      <c r="SRB109" s="17"/>
      <c r="SRC109" s="17"/>
      <c r="SRD109" s="17"/>
      <c r="SRE109" s="17"/>
      <c r="SRF109" s="17"/>
      <c r="SRG109" s="17"/>
      <c r="SRH109" s="17"/>
      <c r="SRI109" s="17"/>
      <c r="SRJ109" s="17"/>
      <c r="SRK109" s="17"/>
      <c r="SRL109" s="17"/>
      <c r="SRM109" s="17"/>
      <c r="SRN109" s="17"/>
      <c r="SRO109" s="17"/>
      <c r="SRP109" s="17"/>
      <c r="SRQ109" s="17"/>
      <c r="SRR109" s="17"/>
      <c r="SRS109" s="17"/>
      <c r="SRT109" s="17"/>
      <c r="SRU109" s="17"/>
      <c r="SRV109" s="17"/>
      <c r="SRW109" s="17"/>
      <c r="SRX109" s="17"/>
      <c r="SRY109" s="17"/>
      <c r="SRZ109" s="17"/>
      <c r="SSA109" s="17"/>
      <c r="SSB109" s="17"/>
      <c r="SSC109" s="17"/>
      <c r="SSD109" s="17"/>
      <c r="SSE109" s="17"/>
      <c r="SSF109" s="17"/>
      <c r="SSG109" s="17"/>
      <c r="SSH109" s="17"/>
      <c r="SSI109" s="17"/>
      <c r="SSJ109" s="17"/>
      <c r="SSK109" s="17"/>
      <c r="SSL109" s="17"/>
      <c r="SSM109" s="17"/>
      <c r="SSN109" s="17"/>
      <c r="SSO109" s="17"/>
      <c r="SSP109" s="17"/>
      <c r="SSQ109" s="17"/>
      <c r="SSR109" s="17"/>
      <c r="SSS109" s="17"/>
      <c r="SST109" s="17"/>
      <c r="SSU109" s="17"/>
      <c r="SSV109" s="17"/>
      <c r="SSW109" s="17"/>
      <c r="SSX109" s="17"/>
      <c r="SSY109" s="17"/>
      <c r="SSZ109" s="17"/>
      <c r="STA109" s="17"/>
      <c r="STB109" s="17"/>
      <c r="STC109" s="17"/>
      <c r="STD109" s="17"/>
      <c r="STE109" s="17"/>
      <c r="STF109" s="17"/>
      <c r="STG109" s="17"/>
      <c r="STH109" s="17"/>
      <c r="STI109" s="17"/>
      <c r="STJ109" s="17"/>
      <c r="STK109" s="17"/>
      <c r="STL109" s="17"/>
      <c r="STM109" s="17"/>
      <c r="STN109" s="17"/>
      <c r="STO109" s="17"/>
      <c r="STP109" s="17"/>
      <c r="STQ109" s="17"/>
      <c r="STR109" s="17"/>
      <c r="STS109" s="17"/>
      <c r="STT109" s="17"/>
      <c r="STU109" s="17"/>
      <c r="STV109" s="17"/>
      <c r="STW109" s="17"/>
      <c r="STX109" s="17"/>
      <c r="STY109" s="17"/>
      <c r="STZ109" s="17"/>
      <c r="SUA109" s="17"/>
      <c r="SUB109" s="17"/>
      <c r="SUC109" s="17"/>
      <c r="SUD109" s="17"/>
      <c r="SUE109" s="17"/>
      <c r="SUF109" s="17"/>
      <c r="SUG109" s="17"/>
      <c r="SUH109" s="17"/>
      <c r="SUI109" s="17"/>
      <c r="SUJ109" s="17"/>
      <c r="SUK109" s="17"/>
      <c r="SUL109" s="17"/>
      <c r="SUM109" s="17"/>
      <c r="SUN109" s="17"/>
      <c r="SUO109" s="17"/>
      <c r="SUP109" s="17"/>
      <c r="SUQ109" s="17"/>
      <c r="SUR109" s="17"/>
      <c r="SUS109" s="17"/>
      <c r="SUT109" s="17"/>
      <c r="SUU109" s="17"/>
      <c r="SUV109" s="17"/>
      <c r="SUW109" s="17"/>
      <c r="SUX109" s="17"/>
      <c r="SUY109" s="17"/>
      <c r="SUZ109" s="17"/>
      <c r="SVA109" s="17"/>
      <c r="SVB109" s="17"/>
      <c r="SVC109" s="17"/>
      <c r="SVD109" s="17"/>
      <c r="SVE109" s="17"/>
      <c r="SVF109" s="17"/>
      <c r="SVG109" s="17"/>
      <c r="SVH109" s="17"/>
      <c r="SVI109" s="17"/>
      <c r="SVJ109" s="17"/>
      <c r="SVK109" s="17"/>
      <c r="SVL109" s="17"/>
      <c r="SVM109" s="17"/>
      <c r="SVN109" s="17"/>
      <c r="SVO109" s="17"/>
      <c r="SVP109" s="17"/>
      <c r="SVQ109" s="17"/>
      <c r="SVR109" s="17"/>
      <c r="SVS109" s="17"/>
      <c r="SVT109" s="17"/>
      <c r="SVU109" s="17"/>
      <c r="SVV109" s="17"/>
      <c r="SVW109" s="17"/>
      <c r="SVX109" s="17"/>
      <c r="SVY109" s="17"/>
      <c r="SVZ109" s="17"/>
      <c r="SWA109" s="17"/>
      <c r="SWB109" s="17"/>
      <c r="SWC109" s="17"/>
      <c r="SWD109" s="17"/>
      <c r="SWE109" s="17"/>
      <c r="SWF109" s="17"/>
      <c r="SWG109" s="17"/>
      <c r="SWH109" s="17"/>
      <c r="SWI109" s="17"/>
      <c r="SWJ109" s="17"/>
      <c r="SWK109" s="17"/>
      <c r="SWL109" s="17"/>
      <c r="SWM109" s="17"/>
      <c r="SWN109" s="17"/>
      <c r="SWO109" s="17"/>
      <c r="SWP109" s="17"/>
      <c r="SWQ109" s="17"/>
      <c r="SWR109" s="17"/>
      <c r="SWS109" s="17"/>
      <c r="SWT109" s="17"/>
      <c r="SWU109" s="17"/>
      <c r="SWV109" s="17"/>
      <c r="SWW109" s="17"/>
      <c r="SWX109" s="17"/>
      <c r="SWY109" s="17"/>
      <c r="SWZ109" s="17"/>
      <c r="SXA109" s="17"/>
      <c r="SXB109" s="17"/>
      <c r="SXC109" s="17"/>
      <c r="SXD109" s="17"/>
      <c r="SXE109" s="17"/>
      <c r="SXF109" s="17"/>
      <c r="SXG109" s="17"/>
      <c r="SXH109" s="17"/>
      <c r="SXI109" s="17"/>
      <c r="SXJ109" s="17"/>
      <c r="SXK109" s="17"/>
      <c r="SXL109" s="17"/>
      <c r="SXM109" s="17"/>
      <c r="SXN109" s="17"/>
      <c r="SXO109" s="17"/>
      <c r="SXP109" s="17"/>
      <c r="SXQ109" s="17"/>
      <c r="SXR109" s="17"/>
      <c r="SXS109" s="17"/>
      <c r="SXT109" s="17"/>
      <c r="SXU109" s="17"/>
      <c r="SXV109" s="17"/>
      <c r="SXW109" s="17"/>
      <c r="SXX109" s="17"/>
      <c r="SXY109" s="17"/>
      <c r="SXZ109" s="17"/>
      <c r="SYA109" s="17"/>
      <c r="SYB109" s="17"/>
      <c r="SYC109" s="17"/>
      <c r="SYD109" s="17"/>
      <c r="SYE109" s="17"/>
      <c r="SYF109" s="17"/>
      <c r="SYG109" s="17"/>
      <c r="SYH109" s="17"/>
      <c r="SYI109" s="17"/>
      <c r="SYJ109" s="17"/>
      <c r="SYK109" s="17"/>
      <c r="SYL109" s="17"/>
      <c r="SYM109" s="17"/>
      <c r="SYN109" s="17"/>
      <c r="SYO109" s="17"/>
      <c r="SYP109" s="17"/>
      <c r="SYQ109" s="17"/>
      <c r="SYR109" s="17"/>
      <c r="SYS109" s="17"/>
      <c r="SYT109" s="17"/>
      <c r="SYU109" s="17"/>
      <c r="SYV109" s="17"/>
      <c r="SYW109" s="17"/>
      <c r="SYX109" s="17"/>
      <c r="SYY109" s="17"/>
      <c r="SYZ109" s="17"/>
      <c r="SZA109" s="17"/>
      <c r="SZB109" s="17"/>
      <c r="SZC109" s="17"/>
      <c r="SZD109" s="17"/>
      <c r="SZE109" s="17"/>
      <c r="SZF109" s="17"/>
      <c r="SZG109" s="17"/>
      <c r="SZH109" s="17"/>
      <c r="SZI109" s="17"/>
      <c r="SZJ109" s="17"/>
      <c r="SZK109" s="17"/>
      <c r="SZL109" s="17"/>
      <c r="SZM109" s="17"/>
      <c r="SZN109" s="17"/>
      <c r="SZO109" s="17"/>
      <c r="SZP109" s="17"/>
      <c r="SZQ109" s="17"/>
      <c r="SZR109" s="17"/>
      <c r="SZS109" s="17"/>
      <c r="SZT109" s="17"/>
      <c r="SZU109" s="17"/>
      <c r="SZV109" s="17"/>
      <c r="SZW109" s="17"/>
      <c r="SZX109" s="17"/>
      <c r="SZY109" s="17"/>
      <c r="SZZ109" s="17"/>
      <c r="TAA109" s="17"/>
      <c r="TAB109" s="17"/>
      <c r="TAC109" s="17"/>
      <c r="TAD109" s="17"/>
      <c r="TAE109" s="17"/>
      <c r="TAF109" s="17"/>
      <c r="TAG109" s="17"/>
      <c r="TAH109" s="17"/>
      <c r="TAI109" s="17"/>
      <c r="TAJ109" s="17"/>
      <c r="TAK109" s="17"/>
      <c r="TAL109" s="17"/>
      <c r="TAM109" s="17"/>
      <c r="TAN109" s="17"/>
      <c r="TAO109" s="17"/>
      <c r="TAP109" s="17"/>
      <c r="TAQ109" s="17"/>
      <c r="TAR109" s="17"/>
      <c r="TAS109" s="17"/>
      <c r="TAT109" s="17"/>
      <c r="TAU109" s="17"/>
      <c r="TAV109" s="17"/>
      <c r="TAW109" s="17"/>
      <c r="TAX109" s="17"/>
      <c r="TAY109" s="17"/>
      <c r="TAZ109" s="17"/>
      <c r="TBA109" s="17"/>
      <c r="TBB109" s="17"/>
      <c r="TBC109" s="17"/>
      <c r="TBD109" s="17"/>
      <c r="TBE109" s="17"/>
      <c r="TBF109" s="17"/>
      <c r="TBG109" s="17"/>
      <c r="TBH109" s="17"/>
      <c r="TBI109" s="17"/>
      <c r="TBJ109" s="17"/>
      <c r="TBK109" s="17"/>
      <c r="TBL109" s="17"/>
      <c r="TBM109" s="17"/>
      <c r="TBN109" s="17"/>
      <c r="TBO109" s="17"/>
      <c r="TBP109" s="17"/>
      <c r="TBQ109" s="17"/>
      <c r="TBR109" s="17"/>
      <c r="TBS109" s="17"/>
      <c r="TBT109" s="17"/>
      <c r="TBU109" s="17"/>
      <c r="TBV109" s="17"/>
      <c r="TBW109" s="17"/>
      <c r="TBX109" s="17"/>
      <c r="TBY109" s="17"/>
      <c r="TBZ109" s="17"/>
      <c r="TCA109" s="17"/>
      <c r="TCB109" s="17"/>
      <c r="TCC109" s="17"/>
      <c r="TCD109" s="17"/>
      <c r="TCE109" s="17"/>
      <c r="TCF109" s="17"/>
      <c r="TCG109" s="17"/>
      <c r="TCH109" s="17"/>
      <c r="TCI109" s="17"/>
      <c r="TCJ109" s="17"/>
      <c r="TCK109" s="17"/>
      <c r="TCL109" s="17"/>
      <c r="TCM109" s="17"/>
      <c r="TCN109" s="17"/>
      <c r="TCO109" s="17"/>
      <c r="TCP109" s="17"/>
      <c r="TCQ109" s="17"/>
      <c r="TCR109" s="17"/>
      <c r="TCS109" s="17"/>
      <c r="TCT109" s="17"/>
      <c r="TCU109" s="17"/>
      <c r="TCV109" s="17"/>
      <c r="TCW109" s="17"/>
      <c r="TCX109" s="17"/>
      <c r="TCY109" s="17"/>
      <c r="TCZ109" s="17"/>
      <c r="TDA109" s="17"/>
      <c r="TDB109" s="17"/>
      <c r="TDC109" s="17"/>
      <c r="TDD109" s="17"/>
      <c r="TDE109" s="17"/>
      <c r="TDF109" s="17"/>
      <c r="TDG109" s="17"/>
      <c r="TDH109" s="17"/>
      <c r="TDI109" s="17"/>
      <c r="TDJ109" s="17"/>
      <c r="TDK109" s="17"/>
      <c r="TDL109" s="17"/>
      <c r="TDM109" s="17"/>
      <c r="TDN109" s="17"/>
      <c r="TDO109" s="17"/>
      <c r="TDP109" s="17"/>
      <c r="TDQ109" s="17"/>
      <c r="TDR109" s="17"/>
      <c r="TDS109" s="17"/>
      <c r="TDT109" s="17"/>
      <c r="TDU109" s="17"/>
      <c r="TDV109" s="17"/>
      <c r="TDW109" s="17"/>
      <c r="TDX109" s="17"/>
      <c r="TDY109" s="17"/>
      <c r="TDZ109" s="17"/>
      <c r="TEA109" s="17"/>
      <c r="TEB109" s="17"/>
      <c r="TEC109" s="17"/>
      <c r="TED109" s="17"/>
      <c r="TEE109" s="17"/>
      <c r="TEF109" s="17"/>
      <c r="TEG109" s="17"/>
      <c r="TEH109" s="17"/>
      <c r="TEI109" s="17"/>
      <c r="TEJ109" s="17"/>
      <c r="TEK109" s="17"/>
      <c r="TEL109" s="17"/>
      <c r="TEM109" s="17"/>
      <c r="TEN109" s="17"/>
      <c r="TEO109" s="17"/>
      <c r="TEP109" s="17"/>
      <c r="TEQ109" s="17"/>
      <c r="TER109" s="17"/>
      <c r="TES109" s="17"/>
      <c r="TET109" s="17"/>
      <c r="TEU109" s="17"/>
      <c r="TEV109" s="17"/>
      <c r="TEW109" s="17"/>
      <c r="TEX109" s="17"/>
      <c r="TEY109" s="17"/>
      <c r="TEZ109" s="17"/>
      <c r="TFA109" s="17"/>
      <c r="TFB109" s="17"/>
      <c r="TFC109" s="17"/>
      <c r="TFD109" s="17"/>
      <c r="TFE109" s="17"/>
      <c r="TFF109" s="17"/>
      <c r="TFG109" s="17"/>
      <c r="TFH109" s="17"/>
      <c r="TFI109" s="17"/>
      <c r="TFJ109" s="17"/>
      <c r="TFK109" s="17"/>
      <c r="TFL109" s="17"/>
      <c r="TFM109" s="17"/>
      <c r="TFN109" s="17"/>
      <c r="TFO109" s="17"/>
      <c r="TFP109" s="17"/>
      <c r="TFQ109" s="17"/>
      <c r="TFR109" s="17"/>
      <c r="TFS109" s="17"/>
      <c r="TFT109" s="17"/>
      <c r="TFU109" s="17"/>
      <c r="TFV109" s="17"/>
      <c r="TFW109" s="17"/>
      <c r="TFX109" s="17"/>
      <c r="TFY109" s="17"/>
      <c r="TFZ109" s="17"/>
      <c r="TGA109" s="17"/>
      <c r="TGB109" s="17"/>
      <c r="TGC109" s="17"/>
      <c r="TGD109" s="17"/>
      <c r="TGE109" s="17"/>
      <c r="TGF109" s="17"/>
      <c r="TGG109" s="17"/>
      <c r="TGH109" s="17"/>
      <c r="TGI109" s="17"/>
      <c r="TGJ109" s="17"/>
      <c r="TGK109" s="17"/>
      <c r="TGL109" s="17"/>
      <c r="TGM109" s="17"/>
      <c r="TGN109" s="17"/>
      <c r="TGO109" s="17"/>
      <c r="TGP109" s="17"/>
      <c r="TGQ109" s="17"/>
      <c r="TGR109" s="17"/>
      <c r="TGS109" s="17"/>
      <c r="TGT109" s="17"/>
      <c r="TGU109" s="17"/>
      <c r="TGV109" s="17"/>
      <c r="TGW109" s="17"/>
      <c r="TGX109" s="17"/>
      <c r="TGY109" s="17"/>
      <c r="TGZ109" s="17"/>
      <c r="THA109" s="17"/>
      <c r="THB109" s="17"/>
      <c r="THC109" s="17"/>
      <c r="THD109" s="17"/>
      <c r="THE109" s="17"/>
      <c r="THF109" s="17"/>
      <c r="THG109" s="17"/>
      <c r="THH109" s="17"/>
      <c r="THI109" s="17"/>
      <c r="THJ109" s="17"/>
      <c r="THK109" s="17"/>
      <c r="THL109" s="17"/>
      <c r="THM109" s="17"/>
      <c r="THN109" s="17"/>
      <c r="THO109" s="17"/>
      <c r="THP109" s="17"/>
      <c r="THQ109" s="17"/>
      <c r="THR109" s="17"/>
      <c r="THS109" s="17"/>
      <c r="THT109" s="17"/>
      <c r="THU109" s="17"/>
      <c r="THV109" s="17"/>
      <c r="THW109" s="17"/>
      <c r="THX109" s="17"/>
      <c r="THY109" s="17"/>
      <c r="THZ109" s="17"/>
      <c r="TIA109" s="17"/>
      <c r="TIB109" s="17"/>
      <c r="TIC109" s="17"/>
      <c r="TID109" s="17"/>
      <c r="TIE109" s="17"/>
      <c r="TIF109" s="17"/>
      <c r="TIG109" s="17"/>
      <c r="TIH109" s="17"/>
      <c r="TII109" s="17"/>
      <c r="TIJ109" s="17"/>
      <c r="TIK109" s="17"/>
      <c r="TIL109" s="17"/>
      <c r="TIM109" s="17"/>
      <c r="TIN109" s="17"/>
      <c r="TIO109" s="17"/>
      <c r="TIP109" s="17"/>
      <c r="TIQ109" s="17"/>
      <c r="TIR109" s="17"/>
      <c r="TIS109" s="17"/>
      <c r="TIT109" s="17"/>
      <c r="TIU109" s="17"/>
      <c r="TIV109" s="17"/>
      <c r="TIW109" s="17"/>
      <c r="TIX109" s="17"/>
      <c r="TIY109" s="17"/>
      <c r="TIZ109" s="17"/>
      <c r="TJA109" s="17"/>
      <c r="TJB109" s="17"/>
      <c r="TJC109" s="17"/>
      <c r="TJD109" s="17"/>
      <c r="TJE109" s="17"/>
      <c r="TJF109" s="17"/>
      <c r="TJG109" s="17"/>
      <c r="TJH109" s="17"/>
      <c r="TJI109" s="17"/>
      <c r="TJJ109" s="17"/>
      <c r="TJK109" s="17"/>
      <c r="TJL109" s="17"/>
      <c r="TJM109" s="17"/>
      <c r="TJN109" s="17"/>
      <c r="TJO109" s="17"/>
      <c r="TJP109" s="17"/>
      <c r="TJQ109" s="17"/>
      <c r="TJR109" s="17"/>
      <c r="TJS109" s="17"/>
      <c r="TJT109" s="17"/>
      <c r="TJU109" s="17"/>
      <c r="TJV109" s="17"/>
      <c r="TJW109" s="17"/>
      <c r="TJX109" s="17"/>
      <c r="TJY109" s="17"/>
      <c r="TJZ109" s="17"/>
      <c r="TKA109" s="17"/>
      <c r="TKB109" s="17"/>
      <c r="TKC109" s="17"/>
      <c r="TKD109" s="17"/>
      <c r="TKE109" s="17"/>
      <c r="TKF109" s="17"/>
      <c r="TKG109" s="17"/>
      <c r="TKH109" s="17"/>
      <c r="TKI109" s="17"/>
      <c r="TKJ109" s="17"/>
      <c r="TKK109" s="17"/>
      <c r="TKL109" s="17"/>
      <c r="TKM109" s="17"/>
      <c r="TKN109" s="17"/>
      <c r="TKO109" s="17"/>
      <c r="TKP109" s="17"/>
      <c r="TKQ109" s="17"/>
      <c r="TKR109" s="17"/>
      <c r="TKS109" s="17"/>
      <c r="TKT109" s="17"/>
      <c r="TKU109" s="17"/>
      <c r="TKV109" s="17"/>
      <c r="TKW109" s="17"/>
      <c r="TKX109" s="17"/>
      <c r="TKY109" s="17"/>
      <c r="TKZ109" s="17"/>
      <c r="TLA109" s="17"/>
      <c r="TLB109" s="17"/>
      <c r="TLC109" s="17"/>
      <c r="TLD109" s="17"/>
      <c r="TLE109" s="17"/>
      <c r="TLF109" s="17"/>
      <c r="TLG109" s="17"/>
      <c r="TLH109" s="17"/>
      <c r="TLI109" s="17"/>
      <c r="TLJ109" s="17"/>
      <c r="TLK109" s="17"/>
      <c r="TLL109" s="17"/>
      <c r="TLM109" s="17"/>
      <c r="TLN109" s="17"/>
      <c r="TLO109" s="17"/>
      <c r="TLP109" s="17"/>
      <c r="TLQ109" s="17"/>
      <c r="TLR109" s="17"/>
      <c r="TLS109" s="17"/>
      <c r="TLT109" s="17"/>
      <c r="TLU109" s="17"/>
      <c r="TLV109" s="17"/>
      <c r="TLW109" s="17"/>
      <c r="TLX109" s="17"/>
      <c r="TLY109" s="17"/>
      <c r="TLZ109" s="17"/>
      <c r="TMA109" s="17"/>
      <c r="TMB109" s="17"/>
      <c r="TMC109" s="17"/>
      <c r="TMD109" s="17"/>
      <c r="TME109" s="17"/>
      <c r="TMF109" s="17"/>
      <c r="TMG109" s="17"/>
      <c r="TMH109" s="17"/>
      <c r="TMI109" s="17"/>
      <c r="TMJ109" s="17"/>
      <c r="TMK109" s="17"/>
      <c r="TML109" s="17"/>
      <c r="TMM109" s="17"/>
      <c r="TMN109" s="17"/>
      <c r="TMO109" s="17"/>
      <c r="TMP109" s="17"/>
      <c r="TMQ109" s="17"/>
      <c r="TMR109" s="17"/>
      <c r="TMS109" s="17"/>
      <c r="TMT109" s="17"/>
      <c r="TMU109" s="17"/>
      <c r="TMV109" s="17"/>
      <c r="TMW109" s="17"/>
      <c r="TMX109" s="17"/>
      <c r="TMY109" s="17"/>
      <c r="TMZ109" s="17"/>
      <c r="TNA109" s="17"/>
      <c r="TNB109" s="17"/>
      <c r="TNC109" s="17"/>
      <c r="TND109" s="17"/>
      <c r="TNE109" s="17"/>
      <c r="TNF109" s="17"/>
      <c r="TNG109" s="17"/>
      <c r="TNH109" s="17"/>
      <c r="TNI109" s="17"/>
      <c r="TNJ109" s="17"/>
      <c r="TNK109" s="17"/>
      <c r="TNL109" s="17"/>
      <c r="TNM109" s="17"/>
      <c r="TNN109" s="17"/>
      <c r="TNO109" s="17"/>
      <c r="TNP109" s="17"/>
      <c r="TNQ109" s="17"/>
      <c r="TNR109" s="17"/>
      <c r="TNS109" s="17"/>
      <c r="TNT109" s="17"/>
      <c r="TNU109" s="17"/>
      <c r="TNV109" s="17"/>
      <c r="TNW109" s="17"/>
      <c r="TNX109" s="17"/>
      <c r="TNY109" s="17"/>
      <c r="TNZ109" s="17"/>
      <c r="TOA109" s="17"/>
      <c r="TOB109" s="17"/>
      <c r="TOC109" s="17"/>
      <c r="TOD109" s="17"/>
      <c r="TOE109" s="17"/>
      <c r="TOF109" s="17"/>
      <c r="TOG109" s="17"/>
      <c r="TOH109" s="17"/>
      <c r="TOI109" s="17"/>
      <c r="TOJ109" s="17"/>
      <c r="TOK109" s="17"/>
      <c r="TOL109" s="17"/>
      <c r="TOM109" s="17"/>
      <c r="TON109" s="17"/>
      <c r="TOO109" s="17"/>
      <c r="TOP109" s="17"/>
      <c r="TOQ109" s="17"/>
      <c r="TOR109" s="17"/>
      <c r="TOS109" s="17"/>
      <c r="TOT109" s="17"/>
      <c r="TOU109" s="17"/>
      <c r="TOV109" s="17"/>
      <c r="TOW109" s="17"/>
      <c r="TOX109" s="17"/>
      <c r="TOY109" s="17"/>
      <c r="TOZ109" s="17"/>
      <c r="TPA109" s="17"/>
      <c r="TPB109" s="17"/>
      <c r="TPC109" s="17"/>
      <c r="TPD109" s="17"/>
      <c r="TPE109" s="17"/>
      <c r="TPF109" s="17"/>
      <c r="TPG109" s="17"/>
      <c r="TPH109" s="17"/>
      <c r="TPI109" s="17"/>
      <c r="TPJ109" s="17"/>
      <c r="TPK109" s="17"/>
      <c r="TPL109" s="17"/>
      <c r="TPM109" s="17"/>
      <c r="TPN109" s="17"/>
      <c r="TPO109" s="17"/>
      <c r="TPP109" s="17"/>
      <c r="TPQ109" s="17"/>
      <c r="TPR109" s="17"/>
      <c r="TPS109" s="17"/>
      <c r="TPT109" s="17"/>
      <c r="TPU109" s="17"/>
      <c r="TPV109" s="17"/>
      <c r="TPW109" s="17"/>
      <c r="TPX109" s="17"/>
      <c r="TPY109" s="17"/>
      <c r="TPZ109" s="17"/>
      <c r="TQA109" s="17"/>
      <c r="TQB109" s="17"/>
      <c r="TQC109" s="17"/>
      <c r="TQD109" s="17"/>
      <c r="TQE109" s="17"/>
      <c r="TQF109" s="17"/>
      <c r="TQG109" s="17"/>
      <c r="TQH109" s="17"/>
      <c r="TQI109" s="17"/>
      <c r="TQJ109" s="17"/>
      <c r="TQK109" s="17"/>
      <c r="TQL109" s="17"/>
      <c r="TQM109" s="17"/>
      <c r="TQN109" s="17"/>
      <c r="TQO109" s="17"/>
      <c r="TQP109" s="17"/>
      <c r="TQQ109" s="17"/>
      <c r="TQR109" s="17"/>
      <c r="TQS109" s="17"/>
      <c r="TQT109" s="17"/>
      <c r="TQU109" s="17"/>
      <c r="TQV109" s="17"/>
      <c r="TQW109" s="17"/>
      <c r="TQX109" s="17"/>
      <c r="TQY109" s="17"/>
      <c r="TQZ109" s="17"/>
      <c r="TRA109" s="17"/>
      <c r="TRB109" s="17"/>
      <c r="TRC109" s="17"/>
      <c r="TRD109" s="17"/>
      <c r="TRE109" s="17"/>
      <c r="TRF109" s="17"/>
      <c r="TRG109" s="17"/>
      <c r="TRH109" s="17"/>
      <c r="TRI109" s="17"/>
      <c r="TRJ109" s="17"/>
      <c r="TRK109" s="17"/>
      <c r="TRL109" s="17"/>
      <c r="TRM109" s="17"/>
      <c r="TRN109" s="17"/>
      <c r="TRO109" s="17"/>
      <c r="TRP109" s="17"/>
      <c r="TRQ109" s="17"/>
      <c r="TRR109" s="17"/>
      <c r="TRS109" s="17"/>
      <c r="TRT109" s="17"/>
      <c r="TRU109" s="17"/>
      <c r="TRV109" s="17"/>
      <c r="TRW109" s="17"/>
      <c r="TRX109" s="17"/>
      <c r="TRY109" s="17"/>
      <c r="TRZ109" s="17"/>
      <c r="TSA109" s="17"/>
      <c r="TSB109" s="17"/>
      <c r="TSC109" s="17"/>
      <c r="TSD109" s="17"/>
      <c r="TSE109" s="17"/>
      <c r="TSF109" s="17"/>
      <c r="TSG109" s="17"/>
      <c r="TSH109" s="17"/>
      <c r="TSI109" s="17"/>
      <c r="TSJ109" s="17"/>
      <c r="TSK109" s="17"/>
      <c r="TSL109" s="17"/>
      <c r="TSM109" s="17"/>
      <c r="TSN109" s="17"/>
      <c r="TSO109" s="17"/>
      <c r="TSP109" s="17"/>
      <c r="TSQ109" s="17"/>
      <c r="TSR109" s="17"/>
      <c r="TSS109" s="17"/>
      <c r="TST109" s="17"/>
      <c r="TSU109" s="17"/>
      <c r="TSV109" s="17"/>
      <c r="TSW109" s="17"/>
      <c r="TSX109" s="17"/>
      <c r="TSY109" s="17"/>
      <c r="TSZ109" s="17"/>
      <c r="TTA109" s="17"/>
      <c r="TTB109" s="17"/>
      <c r="TTC109" s="17"/>
      <c r="TTD109" s="17"/>
      <c r="TTE109" s="17"/>
      <c r="TTF109" s="17"/>
      <c r="TTG109" s="17"/>
      <c r="TTH109" s="17"/>
      <c r="TTI109" s="17"/>
      <c r="TTJ109" s="17"/>
      <c r="TTK109" s="17"/>
      <c r="TTL109" s="17"/>
      <c r="TTM109" s="17"/>
      <c r="TTN109" s="17"/>
      <c r="TTO109" s="17"/>
      <c r="TTP109" s="17"/>
      <c r="TTQ109" s="17"/>
      <c r="TTR109" s="17"/>
      <c r="TTS109" s="17"/>
      <c r="TTT109" s="17"/>
      <c r="TTU109" s="17"/>
      <c r="TTV109" s="17"/>
      <c r="TTW109" s="17"/>
      <c r="TTX109" s="17"/>
      <c r="TTY109" s="17"/>
      <c r="TTZ109" s="17"/>
      <c r="TUA109" s="17"/>
      <c r="TUB109" s="17"/>
      <c r="TUC109" s="17"/>
      <c r="TUD109" s="17"/>
      <c r="TUE109" s="17"/>
      <c r="TUF109" s="17"/>
      <c r="TUG109" s="17"/>
      <c r="TUH109" s="17"/>
      <c r="TUI109" s="17"/>
      <c r="TUJ109" s="17"/>
      <c r="TUK109" s="17"/>
      <c r="TUL109" s="17"/>
      <c r="TUM109" s="17"/>
      <c r="TUN109" s="17"/>
      <c r="TUO109" s="17"/>
      <c r="TUP109" s="17"/>
      <c r="TUQ109" s="17"/>
      <c r="TUR109" s="17"/>
      <c r="TUS109" s="17"/>
      <c r="TUT109" s="17"/>
      <c r="TUU109" s="17"/>
      <c r="TUV109" s="17"/>
      <c r="TUW109" s="17"/>
      <c r="TUX109" s="17"/>
      <c r="TUY109" s="17"/>
      <c r="TUZ109" s="17"/>
      <c r="TVA109" s="17"/>
      <c r="TVB109" s="17"/>
      <c r="TVC109" s="17"/>
      <c r="TVD109" s="17"/>
      <c r="TVE109" s="17"/>
      <c r="TVF109" s="17"/>
      <c r="TVG109" s="17"/>
      <c r="TVH109" s="17"/>
      <c r="TVI109" s="17"/>
      <c r="TVJ109" s="17"/>
      <c r="TVK109" s="17"/>
      <c r="TVL109" s="17"/>
      <c r="TVM109" s="17"/>
      <c r="TVN109" s="17"/>
      <c r="TVO109" s="17"/>
      <c r="TVP109" s="17"/>
      <c r="TVQ109" s="17"/>
      <c r="TVR109" s="17"/>
      <c r="TVS109" s="17"/>
      <c r="TVT109" s="17"/>
      <c r="TVU109" s="17"/>
      <c r="TVV109" s="17"/>
      <c r="TVW109" s="17"/>
      <c r="TVX109" s="17"/>
      <c r="TVY109" s="17"/>
      <c r="TVZ109" s="17"/>
      <c r="TWA109" s="17"/>
      <c r="TWB109" s="17"/>
      <c r="TWC109" s="17"/>
      <c r="TWD109" s="17"/>
      <c r="TWE109" s="17"/>
      <c r="TWF109" s="17"/>
      <c r="TWG109" s="17"/>
      <c r="TWH109" s="17"/>
      <c r="TWI109" s="17"/>
      <c r="TWJ109" s="17"/>
      <c r="TWK109" s="17"/>
      <c r="TWL109" s="17"/>
      <c r="TWM109" s="17"/>
      <c r="TWN109" s="17"/>
      <c r="TWO109" s="17"/>
      <c r="TWP109" s="17"/>
      <c r="TWQ109" s="17"/>
      <c r="TWR109" s="17"/>
      <c r="TWS109" s="17"/>
      <c r="TWT109" s="17"/>
      <c r="TWU109" s="17"/>
      <c r="TWV109" s="17"/>
      <c r="TWW109" s="17"/>
      <c r="TWX109" s="17"/>
      <c r="TWY109" s="17"/>
      <c r="TWZ109" s="17"/>
      <c r="TXA109" s="17"/>
      <c r="TXB109" s="17"/>
      <c r="TXC109" s="17"/>
      <c r="TXD109" s="17"/>
      <c r="TXE109" s="17"/>
      <c r="TXF109" s="17"/>
      <c r="TXG109" s="17"/>
      <c r="TXH109" s="17"/>
      <c r="TXI109" s="17"/>
      <c r="TXJ109" s="17"/>
      <c r="TXK109" s="17"/>
      <c r="TXL109" s="17"/>
      <c r="TXM109" s="17"/>
      <c r="TXN109" s="17"/>
      <c r="TXO109" s="17"/>
      <c r="TXP109" s="17"/>
      <c r="TXQ109" s="17"/>
      <c r="TXR109" s="17"/>
      <c r="TXS109" s="17"/>
      <c r="TXT109" s="17"/>
      <c r="TXU109" s="17"/>
      <c r="TXV109" s="17"/>
      <c r="TXW109" s="17"/>
      <c r="TXX109" s="17"/>
      <c r="TXY109" s="17"/>
      <c r="TXZ109" s="17"/>
      <c r="TYA109" s="17"/>
      <c r="TYB109" s="17"/>
      <c r="TYC109" s="17"/>
      <c r="TYD109" s="17"/>
      <c r="TYE109" s="17"/>
      <c r="TYF109" s="17"/>
      <c r="TYG109" s="17"/>
      <c r="TYH109" s="17"/>
      <c r="TYI109" s="17"/>
      <c r="TYJ109" s="17"/>
      <c r="TYK109" s="17"/>
      <c r="TYL109" s="17"/>
      <c r="TYM109" s="17"/>
      <c r="TYN109" s="17"/>
      <c r="TYO109" s="17"/>
      <c r="TYP109" s="17"/>
      <c r="TYQ109" s="17"/>
      <c r="TYR109" s="17"/>
      <c r="TYS109" s="17"/>
      <c r="TYT109" s="17"/>
      <c r="TYU109" s="17"/>
      <c r="TYV109" s="17"/>
      <c r="TYW109" s="17"/>
      <c r="TYX109" s="17"/>
      <c r="TYY109" s="17"/>
      <c r="TYZ109" s="17"/>
      <c r="TZA109" s="17"/>
      <c r="TZB109" s="17"/>
      <c r="TZC109" s="17"/>
      <c r="TZD109" s="17"/>
      <c r="TZE109" s="17"/>
      <c r="TZF109" s="17"/>
      <c r="TZG109" s="17"/>
      <c r="TZH109" s="17"/>
      <c r="TZI109" s="17"/>
      <c r="TZJ109" s="17"/>
      <c r="TZK109" s="17"/>
      <c r="TZL109" s="17"/>
      <c r="TZM109" s="17"/>
      <c r="TZN109" s="17"/>
      <c r="TZO109" s="17"/>
      <c r="TZP109" s="17"/>
      <c r="TZQ109" s="17"/>
      <c r="TZR109" s="17"/>
      <c r="TZS109" s="17"/>
      <c r="TZT109" s="17"/>
      <c r="TZU109" s="17"/>
      <c r="TZV109" s="17"/>
      <c r="TZW109" s="17"/>
      <c r="TZX109" s="17"/>
      <c r="TZY109" s="17"/>
      <c r="TZZ109" s="17"/>
      <c r="UAA109" s="17"/>
      <c r="UAB109" s="17"/>
      <c r="UAC109" s="17"/>
      <c r="UAD109" s="17"/>
      <c r="UAE109" s="17"/>
      <c r="UAF109" s="17"/>
      <c r="UAG109" s="17"/>
      <c r="UAH109" s="17"/>
      <c r="UAI109" s="17"/>
      <c r="UAJ109" s="17"/>
      <c r="UAK109" s="17"/>
      <c r="UAL109" s="17"/>
      <c r="UAM109" s="17"/>
      <c r="UAN109" s="17"/>
      <c r="UAO109" s="17"/>
      <c r="UAP109" s="17"/>
      <c r="UAQ109" s="17"/>
      <c r="UAR109" s="17"/>
      <c r="UAS109" s="17"/>
      <c r="UAT109" s="17"/>
      <c r="UAU109" s="17"/>
      <c r="UAV109" s="17"/>
      <c r="UAW109" s="17"/>
      <c r="UAX109" s="17"/>
      <c r="UAY109" s="17"/>
      <c r="UAZ109" s="17"/>
      <c r="UBA109" s="17"/>
      <c r="UBB109" s="17"/>
      <c r="UBC109" s="17"/>
      <c r="UBD109" s="17"/>
      <c r="UBE109" s="17"/>
      <c r="UBF109" s="17"/>
      <c r="UBG109" s="17"/>
      <c r="UBH109" s="17"/>
      <c r="UBI109" s="17"/>
      <c r="UBJ109" s="17"/>
      <c r="UBK109" s="17"/>
      <c r="UBL109" s="17"/>
      <c r="UBM109" s="17"/>
      <c r="UBN109" s="17"/>
      <c r="UBO109" s="17"/>
      <c r="UBP109" s="17"/>
      <c r="UBQ109" s="17"/>
      <c r="UBR109" s="17"/>
      <c r="UBS109" s="17"/>
      <c r="UBT109" s="17"/>
      <c r="UBU109" s="17"/>
      <c r="UBV109" s="17"/>
      <c r="UBW109" s="17"/>
      <c r="UBX109" s="17"/>
      <c r="UBY109" s="17"/>
      <c r="UBZ109" s="17"/>
      <c r="UCA109" s="17"/>
      <c r="UCB109" s="17"/>
      <c r="UCC109" s="17"/>
      <c r="UCD109" s="17"/>
      <c r="UCE109" s="17"/>
      <c r="UCF109" s="17"/>
      <c r="UCG109" s="17"/>
      <c r="UCH109" s="17"/>
      <c r="UCI109" s="17"/>
      <c r="UCJ109" s="17"/>
      <c r="UCK109" s="17"/>
      <c r="UCL109" s="17"/>
      <c r="UCM109" s="17"/>
      <c r="UCN109" s="17"/>
      <c r="UCO109" s="17"/>
      <c r="UCP109" s="17"/>
      <c r="UCQ109" s="17"/>
      <c r="UCR109" s="17"/>
      <c r="UCS109" s="17"/>
      <c r="UCT109" s="17"/>
      <c r="UCU109" s="17"/>
      <c r="UCV109" s="17"/>
      <c r="UCW109" s="17"/>
      <c r="UCX109" s="17"/>
      <c r="UCY109" s="17"/>
      <c r="UCZ109" s="17"/>
      <c r="UDA109" s="17"/>
      <c r="UDB109" s="17"/>
      <c r="UDC109" s="17"/>
      <c r="UDD109" s="17"/>
      <c r="UDE109" s="17"/>
      <c r="UDF109" s="17"/>
      <c r="UDG109" s="17"/>
      <c r="UDH109" s="17"/>
      <c r="UDI109" s="17"/>
      <c r="UDJ109" s="17"/>
      <c r="UDK109" s="17"/>
      <c r="UDL109" s="17"/>
      <c r="UDM109" s="17"/>
      <c r="UDN109" s="17"/>
      <c r="UDO109" s="17"/>
      <c r="UDP109" s="17"/>
      <c r="UDQ109" s="17"/>
      <c r="UDR109" s="17"/>
      <c r="UDS109" s="17"/>
      <c r="UDT109" s="17"/>
      <c r="UDU109" s="17"/>
      <c r="UDV109" s="17"/>
      <c r="UDW109" s="17"/>
      <c r="UDX109" s="17"/>
      <c r="UDY109" s="17"/>
      <c r="UDZ109" s="17"/>
      <c r="UEA109" s="17"/>
      <c r="UEB109" s="17"/>
      <c r="UEC109" s="17"/>
      <c r="UED109" s="17"/>
      <c r="UEE109" s="17"/>
      <c r="UEF109" s="17"/>
      <c r="UEG109" s="17"/>
      <c r="UEH109" s="17"/>
      <c r="UEI109" s="17"/>
      <c r="UEJ109" s="17"/>
      <c r="UEK109" s="17"/>
      <c r="UEL109" s="17"/>
      <c r="UEM109" s="17"/>
      <c r="UEN109" s="17"/>
      <c r="UEO109" s="17"/>
      <c r="UEP109" s="17"/>
      <c r="UEQ109" s="17"/>
      <c r="UER109" s="17"/>
      <c r="UES109" s="17"/>
      <c r="UET109" s="17"/>
      <c r="UEU109" s="17"/>
      <c r="UEV109" s="17"/>
      <c r="UEW109" s="17"/>
      <c r="UEX109" s="17"/>
      <c r="UEY109" s="17"/>
      <c r="UEZ109" s="17"/>
      <c r="UFA109" s="17"/>
      <c r="UFB109" s="17"/>
      <c r="UFC109" s="17"/>
      <c r="UFD109" s="17"/>
      <c r="UFE109" s="17"/>
      <c r="UFF109" s="17"/>
      <c r="UFG109" s="17"/>
      <c r="UFH109" s="17"/>
      <c r="UFI109" s="17"/>
      <c r="UFJ109" s="17"/>
      <c r="UFK109" s="17"/>
      <c r="UFL109" s="17"/>
      <c r="UFM109" s="17"/>
      <c r="UFN109" s="17"/>
      <c r="UFO109" s="17"/>
      <c r="UFP109" s="17"/>
      <c r="UFQ109" s="17"/>
      <c r="UFR109" s="17"/>
      <c r="UFS109" s="17"/>
      <c r="UFT109" s="17"/>
      <c r="UFU109" s="17"/>
      <c r="UFV109" s="17"/>
      <c r="UFW109" s="17"/>
      <c r="UFX109" s="17"/>
      <c r="UFY109" s="17"/>
      <c r="UFZ109" s="17"/>
      <c r="UGA109" s="17"/>
      <c r="UGB109" s="17"/>
      <c r="UGC109" s="17"/>
      <c r="UGD109" s="17"/>
      <c r="UGE109" s="17"/>
      <c r="UGF109" s="17"/>
      <c r="UGG109" s="17"/>
      <c r="UGH109" s="17"/>
      <c r="UGI109" s="17"/>
      <c r="UGJ109" s="17"/>
      <c r="UGK109" s="17"/>
      <c r="UGL109" s="17"/>
      <c r="UGM109" s="17"/>
      <c r="UGN109" s="17"/>
      <c r="UGO109" s="17"/>
      <c r="UGP109" s="17"/>
      <c r="UGQ109" s="17"/>
      <c r="UGR109" s="17"/>
      <c r="UGS109" s="17"/>
      <c r="UGT109" s="17"/>
      <c r="UGU109" s="17"/>
      <c r="UGV109" s="17"/>
      <c r="UGW109" s="17"/>
      <c r="UGX109" s="17"/>
      <c r="UGY109" s="17"/>
      <c r="UGZ109" s="17"/>
      <c r="UHA109" s="17"/>
      <c r="UHB109" s="17"/>
      <c r="UHC109" s="17"/>
      <c r="UHD109" s="17"/>
      <c r="UHE109" s="17"/>
      <c r="UHF109" s="17"/>
      <c r="UHG109" s="17"/>
      <c r="UHH109" s="17"/>
      <c r="UHI109" s="17"/>
      <c r="UHJ109" s="17"/>
      <c r="UHK109" s="17"/>
      <c r="UHL109" s="17"/>
      <c r="UHM109" s="17"/>
      <c r="UHN109" s="17"/>
      <c r="UHO109" s="17"/>
      <c r="UHP109" s="17"/>
      <c r="UHQ109" s="17"/>
      <c r="UHR109" s="17"/>
      <c r="UHS109" s="17"/>
      <c r="UHT109" s="17"/>
      <c r="UHU109" s="17"/>
      <c r="UHV109" s="17"/>
      <c r="UHW109" s="17"/>
      <c r="UHX109" s="17"/>
      <c r="UHY109" s="17"/>
      <c r="UHZ109" s="17"/>
      <c r="UIA109" s="17"/>
      <c r="UIB109" s="17"/>
      <c r="UIC109" s="17"/>
      <c r="UID109" s="17"/>
      <c r="UIE109" s="17"/>
      <c r="UIF109" s="17"/>
      <c r="UIG109" s="17"/>
      <c r="UIH109" s="17"/>
      <c r="UII109" s="17"/>
      <c r="UIJ109" s="17"/>
      <c r="UIK109" s="17"/>
      <c r="UIL109" s="17"/>
      <c r="UIM109" s="17"/>
      <c r="UIN109" s="17"/>
      <c r="UIO109" s="17"/>
      <c r="UIP109" s="17"/>
      <c r="UIQ109" s="17"/>
      <c r="UIR109" s="17"/>
      <c r="UIS109" s="17"/>
      <c r="UIT109" s="17"/>
      <c r="UIU109" s="17"/>
      <c r="UIV109" s="17"/>
      <c r="UIW109" s="17"/>
      <c r="UIX109" s="17"/>
      <c r="UIY109" s="17"/>
      <c r="UIZ109" s="17"/>
      <c r="UJA109" s="17"/>
      <c r="UJB109" s="17"/>
      <c r="UJC109" s="17"/>
      <c r="UJD109" s="17"/>
      <c r="UJE109" s="17"/>
      <c r="UJF109" s="17"/>
      <c r="UJG109" s="17"/>
      <c r="UJH109" s="17"/>
      <c r="UJI109" s="17"/>
      <c r="UJJ109" s="17"/>
      <c r="UJK109" s="17"/>
      <c r="UJL109" s="17"/>
      <c r="UJM109" s="17"/>
      <c r="UJN109" s="17"/>
      <c r="UJO109" s="17"/>
      <c r="UJP109" s="17"/>
      <c r="UJQ109" s="17"/>
      <c r="UJR109" s="17"/>
      <c r="UJS109" s="17"/>
      <c r="UJT109" s="17"/>
      <c r="UJU109" s="17"/>
      <c r="UJV109" s="17"/>
      <c r="UJW109" s="17"/>
      <c r="UJX109" s="17"/>
      <c r="UJY109" s="17"/>
      <c r="UJZ109" s="17"/>
      <c r="UKA109" s="17"/>
      <c r="UKB109" s="17"/>
      <c r="UKC109" s="17"/>
      <c r="UKD109" s="17"/>
      <c r="UKE109" s="17"/>
      <c r="UKF109" s="17"/>
      <c r="UKG109" s="17"/>
      <c r="UKH109" s="17"/>
      <c r="UKI109" s="17"/>
      <c r="UKJ109" s="17"/>
      <c r="UKK109" s="17"/>
      <c r="UKL109" s="17"/>
      <c r="UKM109" s="17"/>
      <c r="UKN109" s="17"/>
      <c r="UKO109" s="17"/>
      <c r="UKP109" s="17"/>
      <c r="UKQ109" s="17"/>
      <c r="UKR109" s="17"/>
      <c r="UKS109" s="17"/>
      <c r="UKT109" s="17"/>
      <c r="UKU109" s="17"/>
      <c r="UKV109" s="17"/>
      <c r="UKW109" s="17"/>
      <c r="UKX109" s="17"/>
      <c r="UKY109" s="17"/>
      <c r="UKZ109" s="17"/>
      <c r="ULA109" s="17"/>
      <c r="ULB109" s="17"/>
      <c r="ULC109" s="17"/>
      <c r="ULD109" s="17"/>
      <c r="ULE109" s="17"/>
      <c r="ULF109" s="17"/>
      <c r="ULG109" s="17"/>
      <c r="ULH109" s="17"/>
      <c r="ULI109" s="17"/>
      <c r="ULJ109" s="17"/>
      <c r="ULK109" s="17"/>
      <c r="ULL109" s="17"/>
      <c r="ULM109" s="17"/>
      <c r="ULN109" s="17"/>
      <c r="ULO109" s="17"/>
      <c r="ULP109" s="17"/>
      <c r="ULQ109" s="17"/>
      <c r="ULR109" s="17"/>
      <c r="ULS109" s="17"/>
      <c r="ULT109" s="17"/>
      <c r="ULU109" s="17"/>
      <c r="ULV109" s="17"/>
      <c r="ULW109" s="17"/>
      <c r="ULX109" s="17"/>
      <c r="ULY109" s="17"/>
      <c r="ULZ109" s="17"/>
      <c r="UMA109" s="17"/>
      <c r="UMB109" s="17"/>
      <c r="UMC109" s="17"/>
      <c r="UMD109" s="17"/>
      <c r="UME109" s="17"/>
      <c r="UMF109" s="17"/>
      <c r="UMG109" s="17"/>
      <c r="UMH109" s="17"/>
      <c r="UMI109" s="17"/>
      <c r="UMJ109" s="17"/>
      <c r="UMK109" s="17"/>
      <c r="UML109" s="17"/>
      <c r="UMM109" s="17"/>
      <c r="UMN109" s="17"/>
      <c r="UMO109" s="17"/>
      <c r="UMP109" s="17"/>
      <c r="UMQ109" s="17"/>
      <c r="UMR109" s="17"/>
      <c r="UMS109" s="17"/>
      <c r="UMT109" s="17"/>
      <c r="UMU109" s="17"/>
      <c r="UMV109" s="17"/>
      <c r="UMW109" s="17"/>
      <c r="UMX109" s="17"/>
      <c r="UMY109" s="17"/>
      <c r="UMZ109" s="17"/>
      <c r="UNA109" s="17"/>
      <c r="UNB109" s="17"/>
      <c r="UNC109" s="17"/>
      <c r="UND109" s="17"/>
      <c r="UNE109" s="17"/>
      <c r="UNF109" s="17"/>
      <c r="UNG109" s="17"/>
      <c r="UNH109" s="17"/>
      <c r="UNI109" s="17"/>
      <c r="UNJ109" s="17"/>
      <c r="UNK109" s="17"/>
      <c r="UNL109" s="17"/>
      <c r="UNM109" s="17"/>
      <c r="UNN109" s="17"/>
      <c r="UNO109" s="17"/>
      <c r="UNP109" s="17"/>
      <c r="UNQ109" s="17"/>
      <c r="UNR109" s="17"/>
      <c r="UNS109" s="17"/>
      <c r="UNT109" s="17"/>
      <c r="UNU109" s="17"/>
      <c r="UNV109" s="17"/>
      <c r="UNW109" s="17"/>
      <c r="UNX109" s="17"/>
      <c r="UNY109" s="17"/>
      <c r="UNZ109" s="17"/>
      <c r="UOA109" s="17"/>
      <c r="UOB109" s="17"/>
      <c r="UOC109" s="17"/>
      <c r="UOD109" s="17"/>
      <c r="UOE109" s="17"/>
      <c r="UOF109" s="17"/>
      <c r="UOG109" s="17"/>
      <c r="UOH109" s="17"/>
      <c r="UOI109" s="17"/>
      <c r="UOJ109" s="17"/>
      <c r="UOK109" s="17"/>
      <c r="UOL109" s="17"/>
      <c r="UOM109" s="17"/>
      <c r="UON109" s="17"/>
      <c r="UOO109" s="17"/>
      <c r="UOP109" s="17"/>
      <c r="UOQ109" s="17"/>
      <c r="UOR109" s="17"/>
      <c r="UOS109" s="17"/>
      <c r="UOT109" s="17"/>
      <c r="UOU109" s="17"/>
      <c r="UOV109" s="17"/>
      <c r="UOW109" s="17"/>
      <c r="UOX109" s="17"/>
      <c r="UOY109" s="17"/>
      <c r="UOZ109" s="17"/>
      <c r="UPA109" s="17"/>
      <c r="UPB109" s="17"/>
      <c r="UPC109" s="17"/>
      <c r="UPD109" s="17"/>
      <c r="UPE109" s="17"/>
      <c r="UPF109" s="17"/>
      <c r="UPG109" s="17"/>
      <c r="UPH109" s="17"/>
      <c r="UPI109" s="17"/>
      <c r="UPJ109" s="17"/>
      <c r="UPK109" s="17"/>
      <c r="UPL109" s="17"/>
      <c r="UPM109" s="17"/>
      <c r="UPN109" s="17"/>
      <c r="UPO109" s="17"/>
      <c r="UPP109" s="17"/>
      <c r="UPQ109" s="17"/>
      <c r="UPR109" s="17"/>
      <c r="UPS109" s="17"/>
      <c r="UPT109" s="17"/>
      <c r="UPU109" s="17"/>
      <c r="UPV109" s="17"/>
      <c r="UPW109" s="17"/>
      <c r="UPX109" s="17"/>
      <c r="UPY109" s="17"/>
      <c r="UPZ109" s="17"/>
      <c r="UQA109" s="17"/>
      <c r="UQB109" s="17"/>
      <c r="UQC109" s="17"/>
      <c r="UQD109" s="17"/>
      <c r="UQE109" s="17"/>
      <c r="UQF109" s="17"/>
      <c r="UQG109" s="17"/>
      <c r="UQH109" s="17"/>
      <c r="UQI109" s="17"/>
      <c r="UQJ109" s="17"/>
      <c r="UQK109" s="17"/>
      <c r="UQL109" s="17"/>
      <c r="UQM109" s="17"/>
      <c r="UQN109" s="17"/>
      <c r="UQO109" s="17"/>
      <c r="UQP109" s="17"/>
      <c r="UQQ109" s="17"/>
      <c r="UQR109" s="17"/>
      <c r="UQS109" s="17"/>
      <c r="UQT109" s="17"/>
      <c r="UQU109" s="17"/>
      <c r="UQV109" s="17"/>
      <c r="UQW109" s="17"/>
      <c r="UQX109" s="17"/>
      <c r="UQY109" s="17"/>
      <c r="UQZ109" s="17"/>
      <c r="URA109" s="17"/>
      <c r="URB109" s="17"/>
      <c r="URC109" s="17"/>
      <c r="URD109" s="17"/>
      <c r="URE109" s="17"/>
      <c r="URF109" s="17"/>
      <c r="URG109" s="17"/>
      <c r="URH109" s="17"/>
      <c r="URI109" s="17"/>
      <c r="URJ109" s="17"/>
      <c r="URK109" s="17"/>
      <c r="URL109" s="17"/>
      <c r="URM109" s="17"/>
      <c r="URN109" s="17"/>
      <c r="URO109" s="17"/>
      <c r="URP109" s="17"/>
      <c r="URQ109" s="17"/>
      <c r="URR109" s="17"/>
      <c r="URS109" s="17"/>
      <c r="URT109" s="17"/>
      <c r="URU109" s="17"/>
      <c r="URV109" s="17"/>
      <c r="URW109" s="17"/>
      <c r="URX109" s="17"/>
      <c r="URY109" s="17"/>
      <c r="URZ109" s="17"/>
      <c r="USA109" s="17"/>
      <c r="USB109" s="17"/>
      <c r="USC109" s="17"/>
      <c r="USD109" s="17"/>
      <c r="USE109" s="17"/>
      <c r="USF109" s="17"/>
      <c r="USG109" s="17"/>
      <c r="USH109" s="17"/>
      <c r="USI109" s="17"/>
      <c r="USJ109" s="17"/>
      <c r="USK109" s="17"/>
      <c r="USL109" s="17"/>
      <c r="USM109" s="17"/>
      <c r="USN109" s="17"/>
      <c r="USO109" s="17"/>
      <c r="USP109" s="17"/>
      <c r="USQ109" s="17"/>
      <c r="USR109" s="17"/>
      <c r="USS109" s="17"/>
      <c r="UST109" s="17"/>
      <c r="USU109" s="17"/>
      <c r="USV109" s="17"/>
      <c r="USW109" s="17"/>
      <c r="USX109" s="17"/>
      <c r="USY109" s="17"/>
      <c r="USZ109" s="17"/>
      <c r="UTA109" s="17"/>
      <c r="UTB109" s="17"/>
      <c r="UTC109" s="17"/>
      <c r="UTD109" s="17"/>
      <c r="UTE109" s="17"/>
      <c r="UTF109" s="17"/>
      <c r="UTG109" s="17"/>
      <c r="UTH109" s="17"/>
      <c r="UTI109" s="17"/>
      <c r="UTJ109" s="17"/>
      <c r="UTK109" s="17"/>
      <c r="UTL109" s="17"/>
      <c r="UTM109" s="17"/>
      <c r="UTN109" s="17"/>
      <c r="UTO109" s="17"/>
      <c r="UTP109" s="17"/>
      <c r="UTQ109" s="17"/>
      <c r="UTR109" s="17"/>
      <c r="UTS109" s="17"/>
      <c r="UTT109" s="17"/>
      <c r="UTU109" s="17"/>
      <c r="UTV109" s="17"/>
      <c r="UTW109" s="17"/>
      <c r="UTX109" s="17"/>
      <c r="UTY109" s="17"/>
      <c r="UTZ109" s="17"/>
      <c r="UUA109" s="17"/>
      <c r="UUB109" s="17"/>
      <c r="UUC109" s="17"/>
      <c r="UUD109" s="17"/>
      <c r="UUE109" s="17"/>
      <c r="UUF109" s="17"/>
      <c r="UUG109" s="17"/>
      <c r="UUH109" s="17"/>
      <c r="UUI109" s="17"/>
      <c r="UUJ109" s="17"/>
      <c r="UUK109" s="17"/>
      <c r="UUL109" s="17"/>
      <c r="UUM109" s="17"/>
      <c r="UUN109" s="17"/>
      <c r="UUO109" s="17"/>
      <c r="UUP109" s="17"/>
      <c r="UUQ109" s="17"/>
      <c r="UUR109" s="17"/>
      <c r="UUS109" s="17"/>
      <c r="UUT109" s="17"/>
      <c r="UUU109" s="17"/>
      <c r="UUV109" s="17"/>
      <c r="UUW109" s="17"/>
      <c r="UUX109" s="17"/>
      <c r="UUY109" s="17"/>
      <c r="UUZ109" s="17"/>
      <c r="UVA109" s="17"/>
      <c r="UVB109" s="17"/>
      <c r="UVC109" s="17"/>
      <c r="UVD109" s="17"/>
      <c r="UVE109" s="17"/>
      <c r="UVF109" s="17"/>
      <c r="UVG109" s="17"/>
      <c r="UVH109" s="17"/>
      <c r="UVI109" s="17"/>
      <c r="UVJ109" s="17"/>
      <c r="UVK109" s="17"/>
      <c r="UVL109" s="17"/>
      <c r="UVM109" s="17"/>
      <c r="UVN109" s="17"/>
      <c r="UVO109" s="17"/>
      <c r="UVP109" s="17"/>
      <c r="UVQ109" s="17"/>
      <c r="UVR109" s="17"/>
      <c r="UVS109" s="17"/>
      <c r="UVT109" s="17"/>
      <c r="UVU109" s="17"/>
      <c r="UVV109" s="17"/>
      <c r="UVW109" s="17"/>
      <c r="UVX109" s="17"/>
      <c r="UVY109" s="17"/>
      <c r="UVZ109" s="17"/>
      <c r="UWA109" s="17"/>
      <c r="UWB109" s="17"/>
      <c r="UWC109" s="17"/>
      <c r="UWD109" s="17"/>
      <c r="UWE109" s="17"/>
      <c r="UWF109" s="17"/>
      <c r="UWG109" s="17"/>
      <c r="UWH109" s="17"/>
      <c r="UWI109" s="17"/>
      <c r="UWJ109" s="17"/>
      <c r="UWK109" s="17"/>
      <c r="UWL109" s="17"/>
      <c r="UWM109" s="17"/>
      <c r="UWN109" s="17"/>
      <c r="UWO109" s="17"/>
      <c r="UWP109" s="17"/>
      <c r="UWQ109" s="17"/>
      <c r="UWR109" s="17"/>
      <c r="UWS109" s="17"/>
      <c r="UWT109" s="17"/>
      <c r="UWU109" s="17"/>
      <c r="UWV109" s="17"/>
      <c r="UWW109" s="17"/>
      <c r="UWX109" s="17"/>
      <c r="UWY109" s="17"/>
      <c r="UWZ109" s="17"/>
      <c r="UXA109" s="17"/>
      <c r="UXB109" s="17"/>
      <c r="UXC109" s="17"/>
      <c r="UXD109" s="17"/>
      <c r="UXE109" s="17"/>
      <c r="UXF109" s="17"/>
      <c r="UXG109" s="17"/>
      <c r="UXH109" s="17"/>
      <c r="UXI109" s="17"/>
      <c r="UXJ109" s="17"/>
      <c r="UXK109" s="17"/>
      <c r="UXL109" s="17"/>
      <c r="UXM109" s="17"/>
      <c r="UXN109" s="17"/>
      <c r="UXO109" s="17"/>
      <c r="UXP109" s="17"/>
      <c r="UXQ109" s="17"/>
      <c r="UXR109" s="17"/>
      <c r="UXS109" s="17"/>
      <c r="UXT109" s="17"/>
      <c r="UXU109" s="17"/>
      <c r="UXV109" s="17"/>
      <c r="UXW109" s="17"/>
      <c r="UXX109" s="17"/>
      <c r="UXY109" s="17"/>
      <c r="UXZ109" s="17"/>
      <c r="UYA109" s="17"/>
      <c r="UYB109" s="17"/>
      <c r="UYC109" s="17"/>
      <c r="UYD109" s="17"/>
      <c r="UYE109" s="17"/>
      <c r="UYF109" s="17"/>
      <c r="UYG109" s="17"/>
      <c r="UYH109" s="17"/>
      <c r="UYI109" s="17"/>
      <c r="UYJ109" s="17"/>
      <c r="UYK109" s="17"/>
      <c r="UYL109" s="17"/>
      <c r="UYM109" s="17"/>
      <c r="UYN109" s="17"/>
      <c r="UYO109" s="17"/>
      <c r="UYP109" s="17"/>
      <c r="UYQ109" s="17"/>
      <c r="UYR109" s="17"/>
      <c r="UYS109" s="17"/>
      <c r="UYT109" s="17"/>
      <c r="UYU109" s="17"/>
      <c r="UYV109" s="17"/>
      <c r="UYW109" s="17"/>
      <c r="UYX109" s="17"/>
      <c r="UYY109" s="17"/>
      <c r="UYZ109" s="17"/>
      <c r="UZA109" s="17"/>
      <c r="UZB109" s="17"/>
      <c r="UZC109" s="17"/>
      <c r="UZD109" s="17"/>
      <c r="UZE109" s="17"/>
      <c r="UZF109" s="17"/>
      <c r="UZG109" s="17"/>
      <c r="UZH109" s="17"/>
      <c r="UZI109" s="17"/>
      <c r="UZJ109" s="17"/>
      <c r="UZK109" s="17"/>
      <c r="UZL109" s="17"/>
      <c r="UZM109" s="17"/>
      <c r="UZN109" s="17"/>
      <c r="UZO109" s="17"/>
      <c r="UZP109" s="17"/>
      <c r="UZQ109" s="17"/>
      <c r="UZR109" s="17"/>
      <c r="UZS109" s="17"/>
      <c r="UZT109" s="17"/>
      <c r="UZU109" s="17"/>
      <c r="UZV109" s="17"/>
      <c r="UZW109" s="17"/>
      <c r="UZX109" s="17"/>
      <c r="UZY109" s="17"/>
      <c r="UZZ109" s="17"/>
      <c r="VAA109" s="17"/>
      <c r="VAB109" s="17"/>
      <c r="VAC109" s="17"/>
      <c r="VAD109" s="17"/>
      <c r="VAE109" s="17"/>
      <c r="VAF109" s="17"/>
      <c r="VAG109" s="17"/>
      <c r="VAH109" s="17"/>
      <c r="VAI109" s="17"/>
      <c r="VAJ109" s="17"/>
      <c r="VAK109" s="17"/>
      <c r="VAL109" s="17"/>
      <c r="VAM109" s="17"/>
      <c r="VAN109" s="17"/>
      <c r="VAO109" s="17"/>
      <c r="VAP109" s="17"/>
      <c r="VAQ109" s="17"/>
      <c r="VAR109" s="17"/>
      <c r="VAS109" s="17"/>
      <c r="VAT109" s="17"/>
      <c r="VAU109" s="17"/>
      <c r="VAV109" s="17"/>
      <c r="VAW109" s="17"/>
      <c r="VAX109" s="17"/>
      <c r="VAY109" s="17"/>
      <c r="VAZ109" s="17"/>
      <c r="VBA109" s="17"/>
      <c r="VBB109" s="17"/>
      <c r="VBC109" s="17"/>
      <c r="VBD109" s="17"/>
      <c r="VBE109" s="17"/>
      <c r="VBF109" s="17"/>
      <c r="VBG109" s="17"/>
      <c r="VBH109" s="17"/>
      <c r="VBI109" s="17"/>
      <c r="VBJ109" s="17"/>
      <c r="VBK109" s="17"/>
      <c r="VBL109" s="17"/>
      <c r="VBM109" s="17"/>
      <c r="VBN109" s="17"/>
      <c r="VBO109" s="17"/>
      <c r="VBP109" s="17"/>
      <c r="VBQ109" s="17"/>
      <c r="VBR109" s="17"/>
      <c r="VBS109" s="17"/>
      <c r="VBT109" s="17"/>
      <c r="VBU109" s="17"/>
      <c r="VBV109" s="17"/>
      <c r="VBW109" s="17"/>
      <c r="VBX109" s="17"/>
      <c r="VBY109" s="17"/>
      <c r="VBZ109" s="17"/>
      <c r="VCA109" s="17"/>
      <c r="VCB109" s="17"/>
      <c r="VCC109" s="17"/>
      <c r="VCD109" s="17"/>
      <c r="VCE109" s="17"/>
      <c r="VCF109" s="17"/>
      <c r="VCG109" s="17"/>
      <c r="VCH109" s="17"/>
      <c r="VCI109" s="17"/>
      <c r="VCJ109" s="17"/>
      <c r="VCK109" s="17"/>
      <c r="VCL109" s="17"/>
      <c r="VCM109" s="17"/>
      <c r="VCN109" s="17"/>
      <c r="VCO109" s="17"/>
      <c r="VCP109" s="17"/>
      <c r="VCQ109" s="17"/>
      <c r="VCR109" s="17"/>
      <c r="VCS109" s="17"/>
      <c r="VCT109" s="17"/>
      <c r="VCU109" s="17"/>
      <c r="VCV109" s="17"/>
      <c r="VCW109" s="17"/>
      <c r="VCX109" s="17"/>
      <c r="VCY109" s="17"/>
      <c r="VCZ109" s="17"/>
      <c r="VDA109" s="17"/>
      <c r="VDB109" s="17"/>
      <c r="VDC109" s="17"/>
      <c r="VDD109" s="17"/>
      <c r="VDE109" s="17"/>
      <c r="VDF109" s="17"/>
      <c r="VDG109" s="17"/>
      <c r="VDH109" s="17"/>
      <c r="VDI109" s="17"/>
      <c r="VDJ109" s="17"/>
      <c r="VDK109" s="17"/>
      <c r="VDL109" s="17"/>
      <c r="VDM109" s="17"/>
      <c r="VDN109" s="17"/>
      <c r="VDO109" s="17"/>
      <c r="VDP109" s="17"/>
      <c r="VDQ109" s="17"/>
      <c r="VDR109" s="17"/>
      <c r="VDS109" s="17"/>
      <c r="VDT109" s="17"/>
      <c r="VDU109" s="17"/>
      <c r="VDV109" s="17"/>
      <c r="VDW109" s="17"/>
      <c r="VDX109" s="17"/>
      <c r="VDY109" s="17"/>
      <c r="VDZ109" s="17"/>
      <c r="VEA109" s="17"/>
      <c r="VEB109" s="17"/>
      <c r="VEC109" s="17"/>
      <c r="VED109" s="17"/>
      <c r="VEE109" s="17"/>
      <c r="VEF109" s="17"/>
      <c r="VEG109" s="17"/>
      <c r="VEH109" s="17"/>
      <c r="VEI109" s="17"/>
      <c r="VEJ109" s="17"/>
      <c r="VEK109" s="17"/>
      <c r="VEL109" s="17"/>
      <c r="VEM109" s="17"/>
      <c r="VEN109" s="17"/>
      <c r="VEO109" s="17"/>
      <c r="VEP109" s="17"/>
      <c r="VEQ109" s="17"/>
      <c r="VER109" s="17"/>
      <c r="VES109" s="17"/>
      <c r="VET109" s="17"/>
      <c r="VEU109" s="17"/>
      <c r="VEV109" s="17"/>
      <c r="VEW109" s="17"/>
      <c r="VEX109" s="17"/>
      <c r="VEY109" s="17"/>
      <c r="VEZ109" s="17"/>
      <c r="VFA109" s="17"/>
      <c r="VFB109" s="17"/>
      <c r="VFC109" s="17"/>
      <c r="VFD109" s="17"/>
      <c r="VFE109" s="17"/>
      <c r="VFF109" s="17"/>
      <c r="VFG109" s="17"/>
      <c r="VFH109" s="17"/>
      <c r="VFI109" s="17"/>
      <c r="VFJ109" s="17"/>
      <c r="VFK109" s="17"/>
      <c r="VFL109" s="17"/>
      <c r="VFM109" s="17"/>
      <c r="VFN109" s="17"/>
      <c r="VFO109" s="17"/>
      <c r="VFP109" s="17"/>
      <c r="VFQ109" s="17"/>
      <c r="VFR109" s="17"/>
      <c r="VFS109" s="17"/>
      <c r="VFT109" s="17"/>
      <c r="VFU109" s="17"/>
      <c r="VFV109" s="17"/>
      <c r="VFW109" s="17"/>
      <c r="VFX109" s="17"/>
      <c r="VFY109" s="17"/>
      <c r="VFZ109" s="17"/>
      <c r="VGA109" s="17"/>
      <c r="VGB109" s="17"/>
      <c r="VGC109" s="17"/>
      <c r="VGD109" s="17"/>
      <c r="VGE109" s="17"/>
      <c r="VGF109" s="17"/>
      <c r="VGG109" s="17"/>
      <c r="VGH109" s="17"/>
      <c r="VGI109" s="17"/>
      <c r="VGJ109" s="17"/>
      <c r="VGK109" s="17"/>
      <c r="VGL109" s="17"/>
      <c r="VGM109" s="17"/>
      <c r="VGN109" s="17"/>
      <c r="VGO109" s="17"/>
      <c r="VGP109" s="17"/>
      <c r="VGQ109" s="17"/>
      <c r="VGR109" s="17"/>
      <c r="VGS109" s="17"/>
      <c r="VGT109" s="17"/>
      <c r="VGU109" s="17"/>
      <c r="VGV109" s="17"/>
      <c r="VGW109" s="17"/>
      <c r="VGX109" s="17"/>
      <c r="VGY109" s="17"/>
      <c r="VGZ109" s="17"/>
      <c r="VHA109" s="17"/>
      <c r="VHB109" s="17"/>
      <c r="VHC109" s="17"/>
      <c r="VHD109" s="17"/>
      <c r="VHE109" s="17"/>
      <c r="VHF109" s="17"/>
      <c r="VHG109" s="17"/>
      <c r="VHH109" s="17"/>
      <c r="VHI109" s="17"/>
      <c r="VHJ109" s="17"/>
      <c r="VHK109" s="17"/>
      <c r="VHL109" s="17"/>
      <c r="VHM109" s="17"/>
      <c r="VHN109" s="17"/>
      <c r="VHO109" s="17"/>
      <c r="VHP109" s="17"/>
      <c r="VHQ109" s="17"/>
      <c r="VHR109" s="17"/>
      <c r="VHS109" s="17"/>
      <c r="VHT109" s="17"/>
      <c r="VHU109" s="17"/>
      <c r="VHV109" s="17"/>
      <c r="VHW109" s="17"/>
      <c r="VHX109" s="17"/>
      <c r="VHY109" s="17"/>
      <c r="VHZ109" s="17"/>
      <c r="VIA109" s="17"/>
      <c r="VIB109" s="17"/>
      <c r="VIC109" s="17"/>
      <c r="VID109" s="17"/>
      <c r="VIE109" s="17"/>
      <c r="VIF109" s="17"/>
      <c r="VIG109" s="17"/>
      <c r="VIH109" s="17"/>
      <c r="VII109" s="17"/>
      <c r="VIJ109" s="17"/>
      <c r="VIK109" s="17"/>
      <c r="VIL109" s="17"/>
      <c r="VIM109" s="17"/>
      <c r="VIN109" s="17"/>
      <c r="VIO109" s="17"/>
      <c r="VIP109" s="17"/>
      <c r="VIQ109" s="17"/>
      <c r="VIR109" s="17"/>
      <c r="VIS109" s="17"/>
      <c r="VIT109" s="17"/>
      <c r="VIU109" s="17"/>
      <c r="VIV109" s="17"/>
      <c r="VIW109" s="17"/>
      <c r="VIX109" s="17"/>
      <c r="VIY109" s="17"/>
      <c r="VIZ109" s="17"/>
      <c r="VJA109" s="17"/>
      <c r="VJB109" s="17"/>
      <c r="VJC109" s="17"/>
      <c r="VJD109" s="17"/>
      <c r="VJE109" s="17"/>
      <c r="VJF109" s="17"/>
      <c r="VJG109" s="17"/>
      <c r="VJH109" s="17"/>
      <c r="VJI109" s="17"/>
      <c r="VJJ109" s="17"/>
      <c r="VJK109" s="17"/>
      <c r="VJL109" s="17"/>
      <c r="VJM109" s="17"/>
      <c r="VJN109" s="17"/>
      <c r="VJO109" s="17"/>
      <c r="VJP109" s="17"/>
      <c r="VJQ109" s="17"/>
      <c r="VJR109" s="17"/>
      <c r="VJS109" s="17"/>
      <c r="VJT109" s="17"/>
      <c r="VJU109" s="17"/>
      <c r="VJV109" s="17"/>
      <c r="VJW109" s="17"/>
      <c r="VJX109" s="17"/>
      <c r="VJY109" s="17"/>
      <c r="VJZ109" s="17"/>
      <c r="VKA109" s="17"/>
      <c r="VKB109" s="17"/>
      <c r="VKC109" s="17"/>
      <c r="VKD109" s="17"/>
      <c r="VKE109" s="17"/>
      <c r="VKF109" s="17"/>
      <c r="VKG109" s="17"/>
      <c r="VKH109" s="17"/>
      <c r="VKI109" s="17"/>
      <c r="VKJ109" s="17"/>
      <c r="VKK109" s="17"/>
      <c r="VKL109" s="17"/>
      <c r="VKM109" s="17"/>
      <c r="VKN109" s="17"/>
      <c r="VKO109" s="17"/>
      <c r="VKP109" s="17"/>
      <c r="VKQ109" s="17"/>
      <c r="VKR109" s="17"/>
      <c r="VKS109" s="17"/>
      <c r="VKT109" s="17"/>
      <c r="VKU109" s="17"/>
      <c r="VKV109" s="17"/>
      <c r="VKW109" s="17"/>
      <c r="VKX109" s="17"/>
      <c r="VKY109" s="17"/>
      <c r="VKZ109" s="17"/>
      <c r="VLA109" s="17"/>
      <c r="VLB109" s="17"/>
      <c r="VLC109" s="17"/>
      <c r="VLD109" s="17"/>
      <c r="VLE109" s="17"/>
      <c r="VLF109" s="17"/>
      <c r="VLG109" s="17"/>
      <c r="VLH109" s="17"/>
      <c r="VLI109" s="17"/>
      <c r="VLJ109" s="17"/>
      <c r="VLK109" s="17"/>
      <c r="VLL109" s="17"/>
      <c r="VLM109" s="17"/>
      <c r="VLN109" s="17"/>
      <c r="VLO109" s="17"/>
      <c r="VLP109" s="17"/>
      <c r="VLQ109" s="17"/>
      <c r="VLR109" s="17"/>
      <c r="VLS109" s="17"/>
      <c r="VLT109" s="17"/>
      <c r="VLU109" s="17"/>
      <c r="VLV109" s="17"/>
      <c r="VLW109" s="17"/>
      <c r="VLX109" s="17"/>
      <c r="VLY109" s="17"/>
      <c r="VLZ109" s="17"/>
      <c r="VMA109" s="17"/>
      <c r="VMB109" s="17"/>
      <c r="VMC109" s="17"/>
      <c r="VMD109" s="17"/>
      <c r="VME109" s="17"/>
      <c r="VMF109" s="17"/>
      <c r="VMG109" s="17"/>
      <c r="VMH109" s="17"/>
      <c r="VMI109" s="17"/>
      <c r="VMJ109" s="17"/>
      <c r="VMK109" s="17"/>
      <c r="VML109" s="17"/>
      <c r="VMM109" s="17"/>
      <c r="VMN109" s="17"/>
      <c r="VMO109" s="17"/>
      <c r="VMP109" s="17"/>
      <c r="VMQ109" s="17"/>
      <c r="VMR109" s="17"/>
      <c r="VMS109" s="17"/>
      <c r="VMT109" s="17"/>
      <c r="VMU109" s="17"/>
      <c r="VMV109" s="17"/>
      <c r="VMW109" s="17"/>
      <c r="VMX109" s="17"/>
      <c r="VMY109" s="17"/>
      <c r="VMZ109" s="17"/>
      <c r="VNA109" s="17"/>
      <c r="VNB109" s="17"/>
      <c r="VNC109" s="17"/>
      <c r="VND109" s="17"/>
      <c r="VNE109" s="17"/>
      <c r="VNF109" s="17"/>
      <c r="VNG109" s="17"/>
      <c r="VNH109" s="17"/>
      <c r="VNI109" s="17"/>
      <c r="VNJ109" s="17"/>
      <c r="VNK109" s="17"/>
      <c r="VNL109" s="17"/>
      <c r="VNM109" s="17"/>
      <c r="VNN109" s="17"/>
      <c r="VNO109" s="17"/>
      <c r="VNP109" s="17"/>
      <c r="VNQ109" s="17"/>
      <c r="VNR109" s="17"/>
      <c r="VNS109" s="17"/>
      <c r="VNT109" s="17"/>
      <c r="VNU109" s="17"/>
      <c r="VNV109" s="17"/>
      <c r="VNW109" s="17"/>
      <c r="VNX109" s="17"/>
      <c r="VNY109" s="17"/>
      <c r="VNZ109" s="17"/>
      <c r="VOA109" s="17"/>
      <c r="VOB109" s="17"/>
      <c r="VOC109" s="17"/>
      <c r="VOD109" s="17"/>
      <c r="VOE109" s="17"/>
      <c r="VOF109" s="17"/>
      <c r="VOG109" s="17"/>
      <c r="VOH109" s="17"/>
      <c r="VOI109" s="17"/>
      <c r="VOJ109" s="17"/>
      <c r="VOK109" s="17"/>
      <c r="VOL109" s="17"/>
      <c r="VOM109" s="17"/>
      <c r="VON109" s="17"/>
      <c r="VOO109" s="17"/>
      <c r="VOP109" s="17"/>
      <c r="VOQ109" s="17"/>
      <c r="VOR109" s="17"/>
      <c r="VOS109" s="17"/>
      <c r="VOT109" s="17"/>
      <c r="VOU109" s="17"/>
      <c r="VOV109" s="17"/>
      <c r="VOW109" s="17"/>
      <c r="VOX109" s="17"/>
      <c r="VOY109" s="17"/>
      <c r="VOZ109" s="17"/>
      <c r="VPA109" s="17"/>
      <c r="VPB109" s="17"/>
      <c r="VPC109" s="17"/>
      <c r="VPD109" s="17"/>
      <c r="VPE109" s="17"/>
      <c r="VPF109" s="17"/>
      <c r="VPG109" s="17"/>
      <c r="VPH109" s="17"/>
      <c r="VPI109" s="17"/>
      <c r="VPJ109" s="17"/>
      <c r="VPK109" s="17"/>
      <c r="VPL109" s="17"/>
      <c r="VPM109" s="17"/>
      <c r="VPN109" s="17"/>
      <c r="VPO109" s="17"/>
      <c r="VPP109" s="17"/>
      <c r="VPQ109" s="17"/>
      <c r="VPR109" s="17"/>
      <c r="VPS109" s="17"/>
      <c r="VPT109" s="17"/>
      <c r="VPU109" s="17"/>
      <c r="VPV109" s="17"/>
      <c r="VPW109" s="17"/>
      <c r="VPX109" s="17"/>
      <c r="VPY109" s="17"/>
      <c r="VPZ109" s="17"/>
      <c r="VQA109" s="17"/>
      <c r="VQB109" s="17"/>
      <c r="VQC109" s="17"/>
      <c r="VQD109" s="17"/>
      <c r="VQE109" s="17"/>
      <c r="VQF109" s="17"/>
      <c r="VQG109" s="17"/>
      <c r="VQH109" s="17"/>
      <c r="VQI109" s="17"/>
      <c r="VQJ109" s="17"/>
      <c r="VQK109" s="17"/>
      <c r="VQL109" s="17"/>
      <c r="VQM109" s="17"/>
      <c r="VQN109" s="17"/>
      <c r="VQO109" s="17"/>
      <c r="VQP109" s="17"/>
      <c r="VQQ109" s="17"/>
      <c r="VQR109" s="17"/>
      <c r="VQS109" s="17"/>
      <c r="VQT109" s="17"/>
      <c r="VQU109" s="17"/>
      <c r="VQV109" s="17"/>
      <c r="VQW109" s="17"/>
      <c r="VQX109" s="17"/>
      <c r="VQY109" s="17"/>
      <c r="VQZ109" s="17"/>
      <c r="VRA109" s="17"/>
      <c r="VRB109" s="17"/>
      <c r="VRC109" s="17"/>
      <c r="VRD109" s="17"/>
      <c r="VRE109" s="17"/>
      <c r="VRF109" s="17"/>
      <c r="VRG109" s="17"/>
      <c r="VRH109" s="17"/>
      <c r="VRI109" s="17"/>
      <c r="VRJ109" s="17"/>
      <c r="VRK109" s="17"/>
      <c r="VRL109" s="17"/>
      <c r="VRM109" s="17"/>
      <c r="VRN109" s="17"/>
      <c r="VRO109" s="17"/>
      <c r="VRP109" s="17"/>
      <c r="VRQ109" s="17"/>
      <c r="VRR109" s="17"/>
      <c r="VRS109" s="17"/>
      <c r="VRT109" s="17"/>
      <c r="VRU109" s="17"/>
      <c r="VRV109" s="17"/>
      <c r="VRW109" s="17"/>
      <c r="VRX109" s="17"/>
      <c r="VRY109" s="17"/>
      <c r="VRZ109" s="17"/>
      <c r="VSA109" s="17"/>
      <c r="VSB109" s="17"/>
      <c r="VSC109" s="17"/>
      <c r="VSD109" s="17"/>
      <c r="VSE109" s="17"/>
      <c r="VSF109" s="17"/>
      <c r="VSG109" s="17"/>
      <c r="VSH109" s="17"/>
      <c r="VSI109" s="17"/>
      <c r="VSJ109" s="17"/>
      <c r="VSK109" s="17"/>
      <c r="VSL109" s="17"/>
      <c r="VSM109" s="17"/>
      <c r="VSN109" s="17"/>
      <c r="VSO109" s="17"/>
      <c r="VSP109" s="17"/>
      <c r="VSQ109" s="17"/>
      <c r="VSR109" s="17"/>
      <c r="VSS109" s="17"/>
      <c r="VST109" s="17"/>
      <c r="VSU109" s="17"/>
      <c r="VSV109" s="17"/>
      <c r="VSW109" s="17"/>
      <c r="VSX109" s="17"/>
      <c r="VSY109" s="17"/>
      <c r="VSZ109" s="17"/>
      <c r="VTA109" s="17"/>
      <c r="VTB109" s="17"/>
      <c r="VTC109" s="17"/>
      <c r="VTD109" s="17"/>
      <c r="VTE109" s="17"/>
      <c r="VTF109" s="17"/>
      <c r="VTG109" s="17"/>
      <c r="VTH109" s="17"/>
      <c r="VTI109" s="17"/>
      <c r="VTJ109" s="17"/>
      <c r="VTK109" s="17"/>
      <c r="VTL109" s="17"/>
      <c r="VTM109" s="17"/>
      <c r="VTN109" s="17"/>
      <c r="VTO109" s="17"/>
      <c r="VTP109" s="17"/>
      <c r="VTQ109" s="17"/>
      <c r="VTR109" s="17"/>
      <c r="VTS109" s="17"/>
      <c r="VTT109" s="17"/>
      <c r="VTU109" s="17"/>
      <c r="VTV109" s="17"/>
      <c r="VTW109" s="17"/>
      <c r="VTX109" s="17"/>
      <c r="VTY109" s="17"/>
      <c r="VTZ109" s="17"/>
      <c r="VUA109" s="17"/>
      <c r="VUB109" s="17"/>
      <c r="VUC109" s="17"/>
      <c r="VUD109" s="17"/>
      <c r="VUE109" s="17"/>
      <c r="VUF109" s="17"/>
      <c r="VUG109" s="17"/>
      <c r="VUH109" s="17"/>
      <c r="VUI109" s="17"/>
      <c r="VUJ109" s="17"/>
      <c r="VUK109" s="17"/>
      <c r="VUL109" s="17"/>
      <c r="VUM109" s="17"/>
      <c r="VUN109" s="17"/>
      <c r="VUO109" s="17"/>
      <c r="VUP109" s="17"/>
      <c r="VUQ109" s="17"/>
      <c r="VUR109" s="17"/>
      <c r="VUS109" s="17"/>
      <c r="VUT109" s="17"/>
      <c r="VUU109" s="17"/>
      <c r="VUV109" s="17"/>
      <c r="VUW109" s="17"/>
      <c r="VUX109" s="17"/>
      <c r="VUY109" s="17"/>
      <c r="VUZ109" s="17"/>
      <c r="VVA109" s="17"/>
      <c r="VVB109" s="17"/>
      <c r="VVC109" s="17"/>
      <c r="VVD109" s="17"/>
      <c r="VVE109" s="17"/>
      <c r="VVF109" s="17"/>
      <c r="VVG109" s="17"/>
      <c r="VVH109" s="17"/>
      <c r="VVI109" s="17"/>
      <c r="VVJ109" s="17"/>
      <c r="VVK109" s="17"/>
      <c r="VVL109" s="17"/>
      <c r="VVM109" s="17"/>
      <c r="VVN109" s="17"/>
      <c r="VVO109" s="17"/>
      <c r="VVP109" s="17"/>
      <c r="VVQ109" s="17"/>
      <c r="VVR109" s="17"/>
      <c r="VVS109" s="17"/>
      <c r="VVT109" s="17"/>
      <c r="VVU109" s="17"/>
      <c r="VVV109" s="17"/>
      <c r="VVW109" s="17"/>
      <c r="VVX109" s="17"/>
      <c r="VVY109" s="17"/>
      <c r="VVZ109" s="17"/>
      <c r="VWA109" s="17"/>
      <c r="VWB109" s="17"/>
      <c r="VWC109" s="17"/>
      <c r="VWD109" s="17"/>
      <c r="VWE109" s="17"/>
      <c r="VWF109" s="17"/>
      <c r="VWG109" s="17"/>
      <c r="VWH109" s="17"/>
      <c r="VWI109" s="17"/>
      <c r="VWJ109" s="17"/>
      <c r="VWK109" s="17"/>
      <c r="VWL109" s="17"/>
      <c r="VWM109" s="17"/>
      <c r="VWN109" s="17"/>
      <c r="VWO109" s="17"/>
      <c r="VWP109" s="17"/>
      <c r="VWQ109" s="17"/>
      <c r="VWR109" s="17"/>
      <c r="VWS109" s="17"/>
      <c r="VWT109" s="17"/>
      <c r="VWU109" s="17"/>
      <c r="VWV109" s="17"/>
      <c r="VWW109" s="17"/>
      <c r="VWX109" s="17"/>
      <c r="VWY109" s="17"/>
      <c r="VWZ109" s="17"/>
      <c r="VXA109" s="17"/>
      <c r="VXB109" s="17"/>
      <c r="VXC109" s="17"/>
      <c r="VXD109" s="17"/>
      <c r="VXE109" s="17"/>
      <c r="VXF109" s="17"/>
      <c r="VXG109" s="17"/>
      <c r="VXH109" s="17"/>
      <c r="VXI109" s="17"/>
      <c r="VXJ109" s="17"/>
      <c r="VXK109" s="17"/>
      <c r="VXL109" s="17"/>
      <c r="VXM109" s="17"/>
      <c r="VXN109" s="17"/>
      <c r="VXO109" s="17"/>
      <c r="VXP109" s="17"/>
      <c r="VXQ109" s="17"/>
      <c r="VXR109" s="17"/>
      <c r="VXS109" s="17"/>
      <c r="VXT109" s="17"/>
      <c r="VXU109" s="17"/>
      <c r="VXV109" s="17"/>
      <c r="VXW109" s="17"/>
      <c r="VXX109" s="17"/>
      <c r="VXY109" s="17"/>
      <c r="VXZ109" s="17"/>
      <c r="VYA109" s="17"/>
      <c r="VYB109" s="17"/>
      <c r="VYC109" s="17"/>
      <c r="VYD109" s="17"/>
      <c r="VYE109" s="17"/>
      <c r="VYF109" s="17"/>
      <c r="VYG109" s="17"/>
      <c r="VYH109" s="17"/>
      <c r="VYI109" s="17"/>
      <c r="VYJ109" s="17"/>
      <c r="VYK109" s="17"/>
      <c r="VYL109" s="17"/>
      <c r="VYM109" s="17"/>
      <c r="VYN109" s="17"/>
      <c r="VYO109" s="17"/>
      <c r="VYP109" s="17"/>
      <c r="VYQ109" s="17"/>
      <c r="VYR109" s="17"/>
      <c r="VYS109" s="17"/>
      <c r="VYT109" s="17"/>
      <c r="VYU109" s="17"/>
      <c r="VYV109" s="17"/>
      <c r="VYW109" s="17"/>
      <c r="VYX109" s="17"/>
      <c r="VYY109" s="17"/>
      <c r="VYZ109" s="17"/>
      <c r="VZA109" s="17"/>
      <c r="VZB109" s="17"/>
      <c r="VZC109" s="17"/>
      <c r="VZD109" s="17"/>
      <c r="VZE109" s="17"/>
      <c r="VZF109" s="17"/>
      <c r="VZG109" s="17"/>
      <c r="VZH109" s="17"/>
      <c r="VZI109" s="17"/>
      <c r="VZJ109" s="17"/>
      <c r="VZK109" s="17"/>
      <c r="VZL109" s="17"/>
      <c r="VZM109" s="17"/>
      <c r="VZN109" s="17"/>
      <c r="VZO109" s="17"/>
      <c r="VZP109" s="17"/>
      <c r="VZQ109" s="17"/>
      <c r="VZR109" s="17"/>
      <c r="VZS109" s="17"/>
      <c r="VZT109" s="17"/>
      <c r="VZU109" s="17"/>
      <c r="VZV109" s="17"/>
      <c r="VZW109" s="17"/>
      <c r="VZX109" s="17"/>
      <c r="VZY109" s="17"/>
      <c r="VZZ109" s="17"/>
      <c r="WAA109" s="17"/>
      <c r="WAB109" s="17"/>
      <c r="WAC109" s="17"/>
      <c r="WAD109" s="17"/>
      <c r="WAE109" s="17"/>
      <c r="WAF109" s="17"/>
      <c r="WAG109" s="17"/>
      <c r="WAH109" s="17"/>
      <c r="WAI109" s="17"/>
      <c r="WAJ109" s="17"/>
      <c r="WAK109" s="17"/>
      <c r="WAL109" s="17"/>
      <c r="WAM109" s="17"/>
      <c r="WAN109" s="17"/>
      <c r="WAO109" s="17"/>
      <c r="WAP109" s="17"/>
      <c r="WAQ109" s="17"/>
      <c r="WAR109" s="17"/>
      <c r="WAS109" s="17"/>
      <c r="WAT109" s="17"/>
      <c r="WAU109" s="17"/>
      <c r="WAV109" s="17"/>
      <c r="WAW109" s="17"/>
      <c r="WAX109" s="17"/>
      <c r="WAY109" s="17"/>
      <c r="WAZ109" s="17"/>
      <c r="WBA109" s="17"/>
      <c r="WBB109" s="17"/>
      <c r="WBC109" s="17"/>
      <c r="WBD109" s="17"/>
      <c r="WBE109" s="17"/>
      <c r="WBF109" s="17"/>
      <c r="WBG109" s="17"/>
      <c r="WBH109" s="17"/>
      <c r="WBI109" s="17"/>
      <c r="WBJ109" s="17"/>
      <c r="WBK109" s="17"/>
      <c r="WBL109" s="17"/>
      <c r="WBM109" s="17"/>
      <c r="WBN109" s="17"/>
      <c r="WBO109" s="17"/>
      <c r="WBP109" s="17"/>
      <c r="WBQ109" s="17"/>
      <c r="WBR109" s="17"/>
      <c r="WBS109" s="17"/>
      <c r="WBT109" s="17"/>
      <c r="WBU109" s="17"/>
      <c r="WBV109" s="17"/>
      <c r="WBW109" s="17"/>
      <c r="WBX109" s="17"/>
      <c r="WBY109" s="17"/>
      <c r="WBZ109" s="17"/>
      <c r="WCA109" s="17"/>
      <c r="WCB109" s="17"/>
      <c r="WCC109" s="17"/>
      <c r="WCD109" s="17"/>
      <c r="WCE109" s="17"/>
      <c r="WCF109" s="17"/>
      <c r="WCG109" s="17"/>
      <c r="WCH109" s="17"/>
      <c r="WCI109" s="17"/>
      <c r="WCJ109" s="17"/>
      <c r="WCK109" s="17"/>
      <c r="WCL109" s="17"/>
      <c r="WCM109" s="17"/>
      <c r="WCN109" s="17"/>
      <c r="WCO109" s="17"/>
      <c r="WCP109" s="17"/>
      <c r="WCQ109" s="17"/>
      <c r="WCR109" s="17"/>
      <c r="WCS109" s="17"/>
      <c r="WCT109" s="17"/>
      <c r="WCU109" s="17"/>
      <c r="WCV109" s="17"/>
      <c r="WCW109" s="17"/>
      <c r="WCX109" s="17"/>
      <c r="WCY109" s="17"/>
      <c r="WCZ109" s="17"/>
      <c r="WDA109" s="17"/>
      <c r="WDB109" s="17"/>
      <c r="WDC109" s="17"/>
      <c r="WDD109" s="17"/>
      <c r="WDE109" s="17"/>
      <c r="WDF109" s="17"/>
      <c r="WDG109" s="17"/>
      <c r="WDH109" s="17"/>
      <c r="WDI109" s="17"/>
      <c r="WDJ109" s="17"/>
      <c r="WDK109" s="17"/>
      <c r="WDL109" s="17"/>
      <c r="WDM109" s="17"/>
      <c r="WDN109" s="17"/>
      <c r="WDO109" s="17"/>
      <c r="WDP109" s="17"/>
      <c r="WDQ109" s="17"/>
      <c r="WDR109" s="17"/>
      <c r="WDS109" s="17"/>
      <c r="WDT109" s="17"/>
      <c r="WDU109" s="17"/>
      <c r="WDV109" s="17"/>
      <c r="WDW109" s="17"/>
      <c r="WDX109" s="17"/>
      <c r="WDY109" s="17"/>
      <c r="WDZ109" s="17"/>
      <c r="WEA109" s="17"/>
      <c r="WEB109" s="17"/>
      <c r="WEC109" s="17"/>
      <c r="WED109" s="17"/>
      <c r="WEE109" s="17"/>
      <c r="WEF109" s="17"/>
      <c r="WEG109" s="17"/>
      <c r="WEH109" s="17"/>
      <c r="WEI109" s="17"/>
      <c r="WEJ109" s="17"/>
      <c r="WEK109" s="17"/>
      <c r="WEL109" s="17"/>
      <c r="WEM109" s="17"/>
      <c r="WEN109" s="17"/>
      <c r="WEO109" s="17"/>
      <c r="WEP109" s="17"/>
      <c r="WEQ109" s="17"/>
      <c r="WER109" s="17"/>
      <c r="WES109" s="17"/>
      <c r="WET109" s="17"/>
      <c r="WEU109" s="17"/>
      <c r="WEV109" s="17"/>
      <c r="WEW109" s="17"/>
      <c r="WEX109" s="17"/>
      <c r="WEY109" s="17"/>
      <c r="WEZ109" s="17"/>
      <c r="WFA109" s="17"/>
      <c r="WFB109" s="17"/>
      <c r="WFC109" s="17"/>
      <c r="WFD109" s="17"/>
      <c r="WFE109" s="17"/>
      <c r="WFF109" s="17"/>
      <c r="WFG109" s="17"/>
      <c r="WFH109" s="17"/>
      <c r="WFI109" s="17"/>
      <c r="WFJ109" s="17"/>
      <c r="WFK109" s="17"/>
      <c r="WFL109" s="17"/>
      <c r="WFM109" s="17"/>
      <c r="WFN109" s="17"/>
      <c r="WFO109" s="17"/>
      <c r="WFP109" s="17"/>
      <c r="WFQ109" s="17"/>
      <c r="WFR109" s="17"/>
      <c r="WFS109" s="17"/>
      <c r="WFT109" s="17"/>
      <c r="WFU109" s="17"/>
      <c r="WFV109" s="17"/>
      <c r="WFW109" s="17"/>
      <c r="WFX109" s="17"/>
      <c r="WFY109" s="17"/>
      <c r="WFZ109" s="17"/>
      <c r="WGA109" s="17"/>
      <c r="WGB109" s="17"/>
      <c r="WGC109" s="17"/>
      <c r="WGD109" s="17"/>
      <c r="WGE109" s="17"/>
      <c r="WGF109" s="17"/>
      <c r="WGG109" s="17"/>
      <c r="WGH109" s="17"/>
      <c r="WGI109" s="17"/>
      <c r="WGJ109" s="17"/>
      <c r="WGK109" s="17"/>
      <c r="WGL109" s="17"/>
      <c r="WGM109" s="17"/>
      <c r="WGN109" s="17"/>
      <c r="WGO109" s="17"/>
      <c r="WGP109" s="17"/>
      <c r="WGQ109" s="17"/>
      <c r="WGR109" s="17"/>
      <c r="WGS109" s="17"/>
      <c r="WGT109" s="17"/>
      <c r="WGU109" s="17"/>
      <c r="WGV109" s="17"/>
      <c r="WGW109" s="17"/>
      <c r="WGX109" s="17"/>
      <c r="WGY109" s="17"/>
      <c r="WGZ109" s="17"/>
      <c r="WHA109" s="17"/>
      <c r="WHB109" s="17"/>
      <c r="WHC109" s="17"/>
      <c r="WHD109" s="17"/>
      <c r="WHE109" s="17"/>
      <c r="WHF109" s="17"/>
      <c r="WHG109" s="17"/>
      <c r="WHH109" s="17"/>
      <c r="WHI109" s="17"/>
      <c r="WHJ109" s="17"/>
      <c r="WHK109" s="17"/>
      <c r="WHL109" s="17"/>
      <c r="WHM109" s="17"/>
      <c r="WHN109" s="17"/>
      <c r="WHO109" s="17"/>
      <c r="WHP109" s="17"/>
      <c r="WHQ109" s="17"/>
      <c r="WHR109" s="17"/>
      <c r="WHS109" s="17"/>
      <c r="WHT109" s="17"/>
      <c r="WHU109" s="17"/>
      <c r="WHV109" s="17"/>
      <c r="WHW109" s="17"/>
      <c r="WHX109" s="17"/>
      <c r="WHY109" s="17"/>
      <c r="WHZ109" s="17"/>
      <c r="WIA109" s="17"/>
      <c r="WIB109" s="17"/>
      <c r="WIC109" s="17"/>
      <c r="WID109" s="17"/>
      <c r="WIE109" s="17"/>
      <c r="WIF109" s="17"/>
      <c r="WIG109" s="17"/>
      <c r="WIH109" s="17"/>
      <c r="WII109" s="17"/>
      <c r="WIJ109" s="17"/>
      <c r="WIK109" s="17"/>
      <c r="WIL109" s="17"/>
      <c r="WIM109" s="17"/>
      <c r="WIN109" s="17"/>
      <c r="WIO109" s="17"/>
      <c r="WIP109" s="17"/>
      <c r="WIQ109" s="17"/>
      <c r="WIR109" s="17"/>
      <c r="WIS109" s="17"/>
      <c r="WIT109" s="17"/>
      <c r="WIU109" s="17"/>
      <c r="WIV109" s="17"/>
      <c r="WIW109" s="17"/>
      <c r="WIX109" s="17"/>
      <c r="WIY109" s="17"/>
      <c r="WIZ109" s="17"/>
      <c r="WJA109" s="17"/>
      <c r="WJB109" s="17"/>
      <c r="WJC109" s="17"/>
      <c r="WJD109" s="17"/>
      <c r="WJE109" s="17"/>
      <c r="WJF109" s="17"/>
      <c r="WJG109" s="17"/>
      <c r="WJH109" s="17"/>
      <c r="WJI109" s="17"/>
      <c r="WJJ109" s="17"/>
      <c r="WJK109" s="17"/>
      <c r="WJL109" s="17"/>
      <c r="WJM109" s="17"/>
      <c r="WJN109" s="17"/>
      <c r="WJO109" s="17"/>
      <c r="WJP109" s="17"/>
      <c r="WJQ109" s="17"/>
      <c r="WJR109" s="17"/>
      <c r="WJS109" s="17"/>
      <c r="WJT109" s="17"/>
      <c r="WJU109" s="17"/>
      <c r="WJV109" s="17"/>
      <c r="WJW109" s="17"/>
      <c r="WJX109" s="17"/>
      <c r="WJY109" s="17"/>
      <c r="WJZ109" s="17"/>
      <c r="WKA109" s="17"/>
      <c r="WKB109" s="17"/>
      <c r="WKC109" s="17"/>
      <c r="WKD109" s="17"/>
      <c r="WKE109" s="17"/>
      <c r="WKF109" s="17"/>
      <c r="WKG109" s="17"/>
      <c r="WKH109" s="17"/>
      <c r="WKI109" s="17"/>
      <c r="WKJ109" s="17"/>
      <c r="WKK109" s="17"/>
      <c r="WKL109" s="17"/>
      <c r="WKM109" s="17"/>
      <c r="WKN109" s="17"/>
      <c r="WKO109" s="17"/>
      <c r="WKP109" s="17"/>
      <c r="WKQ109" s="17"/>
      <c r="WKR109" s="17"/>
      <c r="WKS109" s="17"/>
      <c r="WKT109" s="17"/>
      <c r="WKU109" s="17"/>
      <c r="WKV109" s="17"/>
      <c r="WKW109" s="17"/>
      <c r="WKX109" s="17"/>
      <c r="WKY109" s="17"/>
      <c r="WKZ109" s="17"/>
      <c r="WLA109" s="17"/>
      <c r="WLB109" s="17"/>
      <c r="WLC109" s="17"/>
      <c r="WLD109" s="17"/>
      <c r="WLE109" s="17"/>
      <c r="WLF109" s="17"/>
      <c r="WLG109" s="17"/>
      <c r="WLH109" s="17"/>
      <c r="WLI109" s="17"/>
      <c r="WLJ109" s="17"/>
      <c r="WLK109" s="17"/>
      <c r="WLL109" s="17"/>
      <c r="WLM109" s="17"/>
      <c r="WLN109" s="17"/>
      <c r="WLO109" s="17"/>
      <c r="WLP109" s="17"/>
      <c r="WLQ109" s="17"/>
      <c r="WLR109" s="17"/>
      <c r="WLS109" s="17"/>
      <c r="WLT109" s="17"/>
      <c r="WLU109" s="17"/>
      <c r="WLV109" s="17"/>
      <c r="WLW109" s="17"/>
      <c r="WLX109" s="17"/>
      <c r="WLY109" s="17"/>
      <c r="WLZ109" s="17"/>
      <c r="WMA109" s="17"/>
      <c r="WMB109" s="17"/>
      <c r="WMC109" s="17"/>
      <c r="WMD109" s="17"/>
      <c r="WME109" s="17"/>
      <c r="WMF109" s="17"/>
      <c r="WMG109" s="17"/>
      <c r="WMH109" s="17"/>
      <c r="WMI109" s="17"/>
      <c r="WMJ109" s="17"/>
      <c r="WMK109" s="17"/>
      <c r="WML109" s="17"/>
      <c r="WMM109" s="17"/>
      <c r="WMN109" s="17"/>
      <c r="WMO109" s="17"/>
      <c r="WMP109" s="17"/>
      <c r="WMQ109" s="17"/>
      <c r="WMR109" s="17"/>
      <c r="WMS109" s="17"/>
      <c r="WMT109" s="17"/>
      <c r="WMU109" s="17"/>
      <c r="WMV109" s="17"/>
      <c r="WMW109" s="17"/>
      <c r="WMX109" s="17"/>
      <c r="WMY109" s="17"/>
      <c r="WMZ109" s="17"/>
      <c r="WNA109" s="17"/>
      <c r="WNB109" s="17"/>
      <c r="WNC109" s="17"/>
      <c r="WND109" s="17"/>
      <c r="WNE109" s="17"/>
      <c r="WNF109" s="17"/>
      <c r="WNG109" s="17"/>
      <c r="WNH109" s="17"/>
      <c r="WNI109" s="17"/>
      <c r="WNJ109" s="17"/>
      <c r="WNK109" s="17"/>
      <c r="WNL109" s="17"/>
      <c r="WNM109" s="17"/>
      <c r="WNN109" s="17"/>
      <c r="WNO109" s="17"/>
      <c r="WNP109" s="17"/>
      <c r="WNQ109" s="17"/>
      <c r="WNR109" s="17"/>
      <c r="WNS109" s="17"/>
      <c r="WNT109" s="17"/>
      <c r="WNU109" s="17"/>
      <c r="WNV109" s="17"/>
      <c r="WNW109" s="17"/>
      <c r="WNX109" s="17"/>
      <c r="WNY109" s="17"/>
      <c r="WNZ109" s="17"/>
      <c r="WOA109" s="17"/>
      <c r="WOB109" s="17"/>
      <c r="WOC109" s="17"/>
      <c r="WOD109" s="17"/>
      <c r="WOE109" s="17"/>
      <c r="WOF109" s="17"/>
      <c r="WOG109" s="17"/>
      <c r="WOH109" s="17"/>
      <c r="WOI109" s="17"/>
      <c r="WOJ109" s="17"/>
      <c r="WOK109" s="17"/>
      <c r="WOL109" s="17"/>
      <c r="WOM109" s="17"/>
      <c r="WON109" s="17"/>
      <c r="WOO109" s="17"/>
      <c r="WOP109" s="17"/>
      <c r="WOQ109" s="17"/>
      <c r="WOR109" s="17"/>
      <c r="WOS109" s="17"/>
      <c r="WOT109" s="17"/>
      <c r="WOU109" s="17"/>
      <c r="WOV109" s="17"/>
      <c r="WOW109" s="17"/>
      <c r="WOX109" s="17"/>
      <c r="WOY109" s="17"/>
      <c r="WOZ109" s="17"/>
      <c r="WPA109" s="17"/>
      <c r="WPB109" s="17"/>
      <c r="WPC109" s="17"/>
      <c r="WPD109" s="17"/>
      <c r="WPE109" s="17"/>
      <c r="WPF109" s="17"/>
      <c r="WPG109" s="17"/>
      <c r="WPH109" s="17"/>
      <c r="WPI109" s="17"/>
      <c r="WPJ109" s="17"/>
      <c r="WPK109" s="17"/>
      <c r="WPL109" s="17"/>
      <c r="WPM109" s="17"/>
      <c r="WPN109" s="17"/>
      <c r="WPO109" s="17"/>
      <c r="WPP109" s="17"/>
      <c r="WPQ109" s="17"/>
      <c r="WPR109" s="17"/>
      <c r="WPS109" s="17"/>
      <c r="WPT109" s="17"/>
      <c r="WPU109" s="17"/>
      <c r="WPV109" s="17"/>
      <c r="WPW109" s="17"/>
      <c r="WPX109" s="17"/>
      <c r="WPY109" s="17"/>
      <c r="WPZ109" s="17"/>
      <c r="WQA109" s="17"/>
      <c r="WQB109" s="17"/>
      <c r="WQC109" s="17"/>
      <c r="WQD109" s="17"/>
      <c r="WQE109" s="17"/>
      <c r="WQF109" s="17"/>
      <c r="WQG109" s="17"/>
      <c r="WQH109" s="17"/>
      <c r="WQI109" s="17"/>
      <c r="WQJ109" s="17"/>
      <c r="WQK109" s="17"/>
      <c r="WQL109" s="17"/>
      <c r="WQM109" s="17"/>
      <c r="WQN109" s="17"/>
      <c r="WQO109" s="17"/>
      <c r="WQP109" s="17"/>
      <c r="WQQ109" s="17"/>
      <c r="WQR109" s="17"/>
      <c r="WQS109" s="17"/>
      <c r="WQT109" s="17"/>
      <c r="WQU109" s="17"/>
      <c r="WQV109" s="17"/>
      <c r="WQW109" s="17"/>
      <c r="WQX109" s="17"/>
      <c r="WQY109" s="17"/>
      <c r="WQZ109" s="17"/>
      <c r="WRA109" s="17"/>
      <c r="WRB109" s="17"/>
      <c r="WRC109" s="17"/>
      <c r="WRD109" s="17"/>
      <c r="WRE109" s="17"/>
      <c r="WRF109" s="17"/>
      <c r="WRG109" s="17"/>
      <c r="WRH109" s="17"/>
      <c r="WRI109" s="17"/>
      <c r="WRJ109" s="17"/>
      <c r="WRK109" s="17"/>
      <c r="WRL109" s="17"/>
      <c r="WRM109" s="17"/>
      <c r="WRN109" s="17"/>
      <c r="WRO109" s="17"/>
      <c r="WRP109" s="17"/>
      <c r="WRQ109" s="17"/>
      <c r="WRR109" s="17"/>
      <c r="WRS109" s="17"/>
      <c r="WRT109" s="17"/>
      <c r="WRU109" s="17"/>
      <c r="WRV109" s="17"/>
      <c r="WRW109" s="17"/>
      <c r="WRX109" s="17"/>
      <c r="WRY109" s="17"/>
      <c r="WRZ109" s="17"/>
      <c r="WSA109" s="17"/>
      <c r="WSB109" s="17"/>
      <c r="WSC109" s="17"/>
      <c r="WSD109" s="17"/>
      <c r="WSE109" s="17"/>
      <c r="WSF109" s="17"/>
      <c r="WSG109" s="17"/>
      <c r="WSH109" s="17"/>
      <c r="WSI109" s="17"/>
      <c r="WSJ109" s="17"/>
      <c r="WSK109" s="17"/>
      <c r="WSL109" s="17"/>
      <c r="WSM109" s="17"/>
      <c r="WSN109" s="17"/>
      <c r="WSO109" s="17"/>
      <c r="WSP109" s="17"/>
      <c r="WSQ109" s="17"/>
      <c r="WSR109" s="17"/>
      <c r="WSS109" s="17"/>
      <c r="WST109" s="17"/>
      <c r="WSU109" s="17"/>
      <c r="WSV109" s="17"/>
      <c r="WSW109" s="17"/>
      <c r="WSX109" s="17"/>
      <c r="WSY109" s="17"/>
      <c r="WSZ109" s="17"/>
      <c r="WTA109" s="17"/>
      <c r="WTB109" s="17"/>
      <c r="WTC109" s="17"/>
      <c r="WTD109" s="17"/>
      <c r="WTE109" s="17"/>
      <c r="WTF109" s="17"/>
      <c r="WTG109" s="17"/>
      <c r="WTH109" s="17"/>
      <c r="WTI109" s="17"/>
      <c r="WTJ109" s="17"/>
      <c r="WTK109" s="17"/>
      <c r="WTL109" s="17"/>
      <c r="WTM109" s="17"/>
      <c r="WTN109" s="17"/>
      <c r="WTO109" s="17"/>
      <c r="WTP109" s="17"/>
      <c r="WTQ109" s="17"/>
      <c r="WTR109" s="17"/>
      <c r="WTS109" s="17"/>
      <c r="WTT109" s="17"/>
      <c r="WTU109" s="17"/>
      <c r="WTV109" s="17"/>
      <c r="WTW109" s="17"/>
      <c r="WTX109" s="17"/>
      <c r="WTY109" s="17"/>
      <c r="WTZ109" s="17"/>
      <c r="WUA109" s="17"/>
      <c r="WUB109" s="17"/>
      <c r="WUC109" s="17"/>
      <c r="WUD109" s="17"/>
      <c r="WUE109" s="17"/>
      <c r="WUF109" s="17"/>
      <c r="WUG109" s="17"/>
      <c r="WUH109" s="17"/>
      <c r="WUI109" s="17"/>
      <c r="WUJ109" s="17"/>
      <c r="WUK109" s="17"/>
      <c r="WUL109" s="17"/>
      <c r="WUM109" s="17"/>
      <c r="WUN109" s="17"/>
      <c r="WUO109" s="17"/>
      <c r="WUP109" s="17"/>
      <c r="WUQ109" s="17"/>
      <c r="WUR109" s="17"/>
      <c r="WUS109" s="17"/>
      <c r="WUT109" s="17"/>
      <c r="WUU109" s="17"/>
      <c r="WUV109" s="17"/>
      <c r="WUW109" s="17"/>
      <c r="WUX109" s="17"/>
      <c r="WUY109" s="17"/>
      <c r="WUZ109" s="17"/>
      <c r="WVA109" s="17"/>
      <c r="WVB109" s="17"/>
      <c r="WVC109" s="17"/>
      <c r="WVD109" s="17"/>
      <c r="WVE109" s="17"/>
      <c r="WVF109" s="17"/>
      <c r="WVG109" s="17"/>
      <c r="WVH109" s="17"/>
      <c r="WVI109" s="17"/>
      <c r="WVJ109" s="17"/>
      <c r="WVK109" s="17"/>
      <c r="WVL109" s="17"/>
      <c r="WVM109" s="17"/>
      <c r="WVN109" s="17"/>
      <c r="WVO109" s="17"/>
      <c r="WVP109" s="17"/>
      <c r="WVQ109" s="17"/>
      <c r="WVR109" s="17"/>
      <c r="WVS109" s="17"/>
      <c r="WVT109" s="17"/>
      <c r="WVU109" s="17"/>
      <c r="WVV109" s="17"/>
      <c r="WVW109" s="17"/>
      <c r="WVX109" s="17"/>
      <c r="WVY109" s="17"/>
      <c r="WVZ109" s="17"/>
      <c r="WWA109" s="17"/>
      <c r="WWB109" s="17"/>
      <c r="WWC109" s="17"/>
      <c r="WWD109" s="17"/>
      <c r="WWE109" s="17"/>
      <c r="WWF109" s="17"/>
      <c r="WWG109" s="17"/>
      <c r="WWH109" s="17"/>
      <c r="WWI109" s="17"/>
      <c r="WWJ109" s="17"/>
      <c r="WWK109" s="17"/>
      <c r="WWL109" s="17"/>
      <c r="WWM109" s="17"/>
      <c r="WWN109" s="17"/>
      <c r="WWO109" s="17"/>
      <c r="WWP109" s="17"/>
      <c r="WWQ109" s="17"/>
      <c r="WWR109" s="17"/>
      <c r="WWS109" s="17"/>
      <c r="WWT109" s="17"/>
      <c r="WWU109" s="17"/>
      <c r="WWV109" s="17"/>
      <c r="WWW109" s="17"/>
      <c r="WWX109" s="17"/>
      <c r="WWY109" s="17"/>
      <c r="WWZ109" s="17"/>
      <c r="WXA109" s="17"/>
      <c r="WXB109" s="17"/>
      <c r="WXC109" s="17"/>
      <c r="WXD109" s="17"/>
      <c r="WXE109" s="17"/>
      <c r="WXF109" s="17"/>
      <c r="WXG109" s="17"/>
      <c r="WXH109" s="17"/>
      <c r="WXI109" s="17"/>
      <c r="WXJ109" s="17"/>
      <c r="WXK109" s="17"/>
      <c r="WXL109" s="17"/>
      <c r="WXM109" s="17"/>
      <c r="WXN109" s="17"/>
      <c r="WXO109" s="17"/>
      <c r="WXP109" s="17"/>
      <c r="WXQ109" s="17"/>
      <c r="WXR109" s="17"/>
      <c r="WXS109" s="17"/>
      <c r="WXT109" s="17"/>
      <c r="WXU109" s="17"/>
      <c r="WXV109" s="17"/>
      <c r="WXW109" s="17"/>
      <c r="WXX109" s="17"/>
      <c r="WXY109" s="17"/>
      <c r="WXZ109" s="17"/>
      <c r="WYA109" s="17"/>
      <c r="WYB109" s="17"/>
      <c r="WYC109" s="17"/>
      <c r="WYD109" s="17"/>
      <c r="WYE109" s="17"/>
      <c r="WYF109" s="17"/>
      <c r="WYG109" s="17"/>
      <c r="WYH109" s="17"/>
      <c r="WYI109" s="17"/>
      <c r="WYJ109" s="17"/>
      <c r="WYK109" s="17"/>
      <c r="WYL109" s="17"/>
      <c r="WYM109" s="17"/>
      <c r="WYN109" s="17"/>
      <c r="WYO109" s="17"/>
      <c r="WYP109" s="17"/>
      <c r="WYQ109" s="17"/>
      <c r="WYR109" s="17"/>
      <c r="WYS109" s="17"/>
      <c r="WYT109" s="17"/>
      <c r="WYU109" s="17"/>
      <c r="WYV109" s="17"/>
      <c r="WYW109" s="17"/>
      <c r="WYX109" s="17"/>
      <c r="WYY109" s="17"/>
      <c r="WYZ109" s="17"/>
      <c r="WZA109" s="17"/>
      <c r="WZB109" s="17"/>
      <c r="WZC109" s="17"/>
      <c r="WZD109" s="17"/>
      <c r="WZE109" s="17"/>
      <c r="WZF109" s="17"/>
      <c r="WZG109" s="17"/>
      <c r="WZH109" s="17"/>
      <c r="WZI109" s="17"/>
      <c r="WZJ109" s="17"/>
      <c r="WZK109" s="17"/>
      <c r="WZL109" s="17"/>
      <c r="WZM109" s="17"/>
      <c r="WZN109" s="17"/>
      <c r="WZO109" s="17"/>
      <c r="WZP109" s="17"/>
      <c r="WZQ109" s="17"/>
      <c r="WZR109" s="17"/>
      <c r="WZS109" s="17"/>
      <c r="WZT109" s="17"/>
      <c r="WZU109" s="17"/>
      <c r="WZV109" s="17"/>
      <c r="WZW109" s="17"/>
      <c r="WZX109" s="17"/>
      <c r="WZY109" s="17"/>
      <c r="WZZ109" s="17"/>
      <c r="XAA109" s="17"/>
      <c r="XAB109" s="17"/>
      <c r="XAC109" s="17"/>
      <c r="XAD109" s="17"/>
      <c r="XAE109" s="17"/>
      <c r="XAF109" s="17"/>
      <c r="XAG109" s="17"/>
      <c r="XAH109" s="17"/>
      <c r="XAI109" s="17"/>
      <c r="XAJ109" s="17"/>
      <c r="XAK109" s="17"/>
      <c r="XAL109" s="17"/>
      <c r="XAM109" s="17"/>
      <c r="XAN109" s="17"/>
      <c r="XAO109" s="17"/>
      <c r="XAP109" s="17"/>
      <c r="XAQ109" s="17"/>
      <c r="XAR109" s="17"/>
      <c r="XAS109" s="17"/>
      <c r="XAT109" s="17"/>
      <c r="XAU109" s="17"/>
      <c r="XAV109" s="17"/>
      <c r="XAW109" s="17"/>
      <c r="XAX109" s="17"/>
      <c r="XAY109" s="17"/>
      <c r="XAZ109" s="17"/>
      <c r="XBA109" s="17"/>
      <c r="XBB109" s="17"/>
      <c r="XBC109" s="17"/>
      <c r="XBD109" s="17"/>
      <c r="XBE109" s="17"/>
      <c r="XBF109" s="17"/>
      <c r="XBG109" s="17"/>
      <c r="XBH109" s="17"/>
      <c r="XBI109" s="17"/>
      <c r="XBJ109" s="17"/>
      <c r="XBK109" s="17"/>
      <c r="XBL109" s="17"/>
      <c r="XBM109" s="17"/>
      <c r="XBN109" s="17"/>
      <c r="XBO109" s="17"/>
      <c r="XBP109" s="17"/>
      <c r="XBQ109" s="17"/>
      <c r="XBR109" s="17"/>
      <c r="XBS109" s="17"/>
      <c r="XBT109" s="17"/>
      <c r="XBU109" s="17"/>
      <c r="XBV109" s="17"/>
      <c r="XBW109" s="17"/>
      <c r="XBX109" s="17"/>
      <c r="XBY109" s="17"/>
      <c r="XBZ109" s="17"/>
      <c r="XCA109" s="17"/>
      <c r="XCB109" s="17"/>
      <c r="XCC109" s="17"/>
      <c r="XCD109" s="17"/>
      <c r="XCE109" s="17"/>
      <c r="XCF109" s="17"/>
      <c r="XCG109" s="17"/>
      <c r="XCH109" s="17"/>
      <c r="XCI109" s="17"/>
      <c r="XCJ109" s="17"/>
      <c r="XCK109" s="17"/>
      <c r="XCL109" s="17"/>
      <c r="XCM109" s="17"/>
      <c r="XCN109" s="17"/>
      <c r="XCO109" s="17"/>
      <c r="XCP109" s="17"/>
      <c r="XCQ109" s="17"/>
      <c r="XCR109" s="17"/>
      <c r="XCS109" s="17"/>
      <c r="XCT109" s="17"/>
      <c r="XCU109" s="17"/>
      <c r="XCV109" s="17"/>
      <c r="XCW109" s="17"/>
      <c r="XCX109" s="17"/>
      <c r="XCY109" s="17"/>
      <c r="XCZ109" s="17"/>
      <c r="XDA109" s="17"/>
      <c r="XDB109" s="17"/>
      <c r="XDC109" s="17"/>
      <c r="XDD109" s="17"/>
      <c r="XDE109" s="17"/>
      <c r="XDF109" s="17"/>
      <c r="XDG109" s="17"/>
      <c r="XDH109" s="17"/>
      <c r="XDI109" s="17"/>
      <c r="XDJ109" s="17"/>
      <c r="XDK109" s="17"/>
      <c r="XDL109" s="17"/>
      <c r="XDM109" s="17"/>
      <c r="XDN109" s="17"/>
      <c r="XDO109" s="17"/>
      <c r="XDP109" s="17"/>
      <c r="XDQ109" s="17"/>
      <c r="XDR109" s="17"/>
      <c r="XDS109" s="17"/>
      <c r="XDT109" s="17"/>
      <c r="XDU109" s="17"/>
      <c r="XDV109" s="17"/>
      <c r="XDW109" s="17"/>
      <c r="XDX109" s="17"/>
      <c r="XDY109" s="17"/>
      <c r="XDZ109" s="17"/>
      <c r="XEA109" s="17"/>
      <c r="XEB109" s="17"/>
      <c r="XEC109" s="17"/>
      <c r="XED109" s="17"/>
      <c r="XEE109" s="17"/>
      <c r="XEF109" s="17"/>
      <c r="XEG109" s="17"/>
      <c r="XEH109" s="17"/>
      <c r="XEI109" s="17"/>
      <c r="XEJ109" s="17"/>
      <c r="XEK109" s="17"/>
      <c r="XEL109" s="17"/>
      <c r="XEM109" s="17"/>
      <c r="XEN109" s="17"/>
      <c r="XEO109" s="17"/>
      <c r="XEP109" s="17"/>
      <c r="XEQ109" s="17"/>
      <c r="XER109" s="17"/>
      <c r="XES109" s="17"/>
      <c r="XET109" s="17"/>
      <c r="XEU109" s="17"/>
      <c r="XEV109" s="17"/>
      <c r="XEW109" s="17"/>
      <c r="XEX109" s="17"/>
      <c r="XEY109" s="10"/>
      <c r="XEZ109" s="10"/>
      <c r="XFA109" s="10"/>
      <c r="XFB109" s="10"/>
      <c r="XFC109" s="94"/>
    </row>
    <row r="110" s="4" customFormat="1" ht="42" customHeight="1" spans="1:16383">
      <c r="A110" s="61"/>
      <c r="B110" s="62"/>
      <c r="C110" s="34" t="s">
        <v>111</v>
      </c>
      <c r="D110" s="35"/>
      <c r="E110" s="67" t="s">
        <v>17</v>
      </c>
      <c r="F110" s="68">
        <v>0</v>
      </c>
      <c r="G110" s="71">
        <v>198</v>
      </c>
      <c r="H110" s="71">
        <f t="shared" si="6"/>
        <v>0</v>
      </c>
      <c r="I110" s="80" t="s">
        <v>101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7"/>
      <c r="IP110" s="17"/>
      <c r="IQ110" s="17"/>
      <c r="IR110" s="17"/>
      <c r="IS110" s="17"/>
      <c r="IT110" s="17"/>
      <c r="IU110" s="17"/>
      <c r="IV110" s="17"/>
      <c r="IW110" s="17"/>
      <c r="IX110" s="17"/>
      <c r="IY110" s="17"/>
      <c r="IZ110" s="17"/>
      <c r="JA110" s="17"/>
      <c r="JB110" s="17"/>
      <c r="JC110" s="17"/>
      <c r="JD110" s="17"/>
      <c r="JE110" s="17"/>
      <c r="JF110" s="17"/>
      <c r="JG110" s="17"/>
      <c r="JH110" s="17"/>
      <c r="JI110" s="17"/>
      <c r="JJ110" s="17"/>
      <c r="JK110" s="17"/>
      <c r="JL110" s="17"/>
      <c r="JM110" s="17"/>
      <c r="JN110" s="17"/>
      <c r="JO110" s="17"/>
      <c r="JP110" s="17"/>
      <c r="JQ110" s="17"/>
      <c r="JR110" s="17"/>
      <c r="JS110" s="17"/>
      <c r="JT110" s="17"/>
      <c r="JU110" s="17"/>
      <c r="JV110" s="17"/>
      <c r="JW110" s="17"/>
      <c r="JX110" s="17"/>
      <c r="JY110" s="17"/>
      <c r="JZ110" s="17"/>
      <c r="KA110" s="17"/>
      <c r="KB110" s="17"/>
      <c r="KC110" s="17"/>
      <c r="KD110" s="17"/>
      <c r="KE110" s="17"/>
      <c r="KF110" s="17"/>
      <c r="KG110" s="17"/>
      <c r="KH110" s="17"/>
      <c r="KI110" s="17"/>
      <c r="KJ110" s="17"/>
      <c r="KK110" s="17"/>
      <c r="KL110" s="17"/>
      <c r="KM110" s="17"/>
      <c r="KN110" s="17"/>
      <c r="KO110" s="17"/>
      <c r="KP110" s="17"/>
      <c r="KQ110" s="17"/>
      <c r="KR110" s="17"/>
      <c r="KS110" s="17"/>
      <c r="KT110" s="17"/>
      <c r="KU110" s="17"/>
      <c r="KV110" s="17"/>
      <c r="KW110" s="17"/>
      <c r="KX110" s="17"/>
      <c r="KY110" s="17"/>
      <c r="KZ110" s="17"/>
      <c r="LA110" s="17"/>
      <c r="LB110" s="17"/>
      <c r="LC110" s="17"/>
      <c r="LD110" s="17"/>
      <c r="LE110" s="17"/>
      <c r="LF110" s="17"/>
      <c r="LG110" s="17"/>
      <c r="LH110" s="17"/>
      <c r="LI110" s="17"/>
      <c r="LJ110" s="17"/>
      <c r="LK110" s="17"/>
      <c r="LL110" s="17"/>
      <c r="LM110" s="17"/>
      <c r="LN110" s="17"/>
      <c r="LO110" s="17"/>
      <c r="LP110" s="17"/>
      <c r="LQ110" s="17"/>
      <c r="LR110" s="17"/>
      <c r="LS110" s="17"/>
      <c r="LT110" s="17"/>
      <c r="LU110" s="17"/>
      <c r="LV110" s="17"/>
      <c r="LW110" s="17"/>
      <c r="LX110" s="17"/>
      <c r="LY110" s="17"/>
      <c r="LZ110" s="17"/>
      <c r="MA110" s="17"/>
      <c r="MB110" s="17"/>
      <c r="MC110" s="17"/>
      <c r="MD110" s="17"/>
      <c r="ME110" s="17"/>
      <c r="MF110" s="17"/>
      <c r="MG110" s="17"/>
      <c r="MH110" s="17"/>
      <c r="MI110" s="17"/>
      <c r="MJ110" s="17"/>
      <c r="MK110" s="17"/>
      <c r="ML110" s="17"/>
      <c r="MM110" s="17"/>
      <c r="MN110" s="17"/>
      <c r="MO110" s="17"/>
      <c r="MP110" s="17"/>
      <c r="MQ110" s="17"/>
      <c r="MR110" s="17"/>
      <c r="MS110" s="17"/>
      <c r="MT110" s="17"/>
      <c r="MU110" s="17"/>
      <c r="MV110" s="17"/>
      <c r="MW110" s="17"/>
      <c r="MX110" s="17"/>
      <c r="MY110" s="17"/>
      <c r="MZ110" s="17"/>
      <c r="NA110" s="17"/>
      <c r="NB110" s="17"/>
      <c r="NC110" s="17"/>
      <c r="ND110" s="17"/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17"/>
      <c r="OT110" s="17"/>
      <c r="OU110" s="17"/>
      <c r="OV110" s="17"/>
      <c r="OW110" s="17"/>
      <c r="OX110" s="17"/>
      <c r="OY110" s="17"/>
      <c r="OZ110" s="17"/>
      <c r="PA110" s="17"/>
      <c r="PB110" s="17"/>
      <c r="PC110" s="17"/>
      <c r="PD110" s="17"/>
      <c r="PE110" s="17"/>
      <c r="PF110" s="17"/>
      <c r="PG110" s="17"/>
      <c r="PH110" s="17"/>
      <c r="PI110" s="17"/>
      <c r="PJ110" s="17"/>
      <c r="PK110" s="17"/>
      <c r="PL110" s="17"/>
      <c r="PM110" s="17"/>
      <c r="PN110" s="17"/>
      <c r="PO110" s="17"/>
      <c r="PP110" s="17"/>
      <c r="PQ110" s="17"/>
      <c r="PR110" s="17"/>
      <c r="PS110" s="17"/>
      <c r="PT110" s="17"/>
      <c r="PU110" s="17"/>
      <c r="PV110" s="17"/>
      <c r="PW110" s="17"/>
      <c r="PX110" s="17"/>
      <c r="PY110" s="17"/>
      <c r="PZ110" s="17"/>
      <c r="QA110" s="17"/>
      <c r="QB110" s="17"/>
      <c r="QC110" s="17"/>
      <c r="QD110" s="17"/>
      <c r="QE110" s="17"/>
      <c r="QF110" s="17"/>
      <c r="QG110" s="17"/>
      <c r="QH110" s="17"/>
      <c r="QI110" s="17"/>
      <c r="QJ110" s="17"/>
      <c r="QK110" s="17"/>
      <c r="QL110" s="17"/>
      <c r="QM110" s="17"/>
      <c r="QN110" s="17"/>
      <c r="QO110" s="17"/>
      <c r="QP110" s="17"/>
      <c r="QQ110" s="17"/>
      <c r="QR110" s="17"/>
      <c r="QS110" s="17"/>
      <c r="QT110" s="17"/>
      <c r="QU110" s="17"/>
      <c r="QV110" s="17"/>
      <c r="QW110" s="17"/>
      <c r="QX110" s="17"/>
      <c r="QY110" s="17"/>
      <c r="QZ110" s="17"/>
      <c r="RA110" s="17"/>
      <c r="RB110" s="17"/>
      <c r="RC110" s="17"/>
      <c r="RD110" s="17"/>
      <c r="RE110" s="17"/>
      <c r="RF110" s="17"/>
      <c r="RG110" s="17"/>
      <c r="RH110" s="17"/>
      <c r="RI110" s="17"/>
      <c r="RJ110" s="17"/>
      <c r="RK110" s="17"/>
      <c r="RL110" s="17"/>
      <c r="RM110" s="17"/>
      <c r="RN110" s="17"/>
      <c r="RO110" s="17"/>
      <c r="RP110" s="17"/>
      <c r="RQ110" s="17"/>
      <c r="RR110" s="17"/>
      <c r="RS110" s="17"/>
      <c r="RT110" s="17"/>
      <c r="RU110" s="17"/>
      <c r="RV110" s="17"/>
      <c r="RW110" s="17"/>
      <c r="RX110" s="17"/>
      <c r="RY110" s="17"/>
      <c r="RZ110" s="17"/>
      <c r="SA110" s="17"/>
      <c r="SB110" s="17"/>
      <c r="SC110" s="17"/>
      <c r="SD110" s="17"/>
      <c r="SE110" s="17"/>
      <c r="SF110" s="17"/>
      <c r="SG110" s="17"/>
      <c r="SH110" s="17"/>
      <c r="SI110" s="17"/>
      <c r="SJ110" s="17"/>
      <c r="SK110" s="17"/>
      <c r="SL110" s="17"/>
      <c r="SM110" s="17"/>
      <c r="SN110" s="17"/>
      <c r="SO110" s="17"/>
      <c r="SP110" s="17"/>
      <c r="SQ110" s="17"/>
      <c r="SR110" s="17"/>
      <c r="SS110" s="17"/>
      <c r="ST110" s="17"/>
      <c r="SU110" s="17"/>
      <c r="SV110" s="17"/>
      <c r="SW110" s="17"/>
      <c r="SX110" s="17"/>
      <c r="SY110" s="17"/>
      <c r="SZ110" s="17"/>
      <c r="TA110" s="17"/>
      <c r="TB110" s="17"/>
      <c r="TC110" s="17"/>
      <c r="TD110" s="17"/>
      <c r="TE110" s="17"/>
      <c r="TF110" s="17"/>
      <c r="TG110" s="17"/>
      <c r="TH110" s="17"/>
      <c r="TI110" s="17"/>
      <c r="TJ110" s="17"/>
      <c r="TK110" s="17"/>
      <c r="TL110" s="17"/>
      <c r="TM110" s="17"/>
      <c r="TN110" s="17"/>
      <c r="TO110" s="17"/>
      <c r="TP110" s="17"/>
      <c r="TQ110" s="17"/>
      <c r="TR110" s="17"/>
      <c r="TS110" s="17"/>
      <c r="TT110" s="17"/>
      <c r="TU110" s="17"/>
      <c r="TV110" s="17"/>
      <c r="TW110" s="17"/>
      <c r="TX110" s="17"/>
      <c r="TY110" s="17"/>
      <c r="TZ110" s="17"/>
      <c r="UA110" s="17"/>
      <c r="UB110" s="17"/>
      <c r="UC110" s="17"/>
      <c r="UD110" s="17"/>
      <c r="UE110" s="17"/>
      <c r="UF110" s="17"/>
      <c r="UG110" s="17"/>
      <c r="UH110" s="17"/>
      <c r="UI110" s="17"/>
      <c r="UJ110" s="17"/>
      <c r="UK110" s="17"/>
      <c r="UL110" s="17"/>
      <c r="UM110" s="17"/>
      <c r="UN110" s="17"/>
      <c r="UO110" s="17"/>
      <c r="UP110" s="17"/>
      <c r="UQ110" s="17"/>
      <c r="UR110" s="17"/>
      <c r="US110" s="17"/>
      <c r="UT110" s="17"/>
      <c r="UU110" s="17"/>
      <c r="UV110" s="17"/>
      <c r="UW110" s="17"/>
      <c r="UX110" s="17"/>
      <c r="UY110" s="17"/>
      <c r="UZ110" s="17"/>
      <c r="VA110" s="17"/>
      <c r="VB110" s="17"/>
      <c r="VC110" s="17"/>
      <c r="VD110" s="17"/>
      <c r="VE110" s="17"/>
      <c r="VF110" s="17"/>
      <c r="VG110" s="17"/>
      <c r="VH110" s="17"/>
      <c r="VI110" s="17"/>
      <c r="VJ110" s="17"/>
      <c r="VK110" s="17"/>
      <c r="VL110" s="17"/>
      <c r="VM110" s="17"/>
      <c r="VN110" s="17"/>
      <c r="VO110" s="17"/>
      <c r="VP110" s="17"/>
      <c r="VQ110" s="17"/>
      <c r="VR110" s="17"/>
      <c r="VS110" s="17"/>
      <c r="VT110" s="17"/>
      <c r="VU110" s="17"/>
      <c r="VV110" s="17"/>
      <c r="VW110" s="17"/>
      <c r="VX110" s="17"/>
      <c r="VY110" s="17"/>
      <c r="VZ110" s="17"/>
      <c r="WA110" s="17"/>
      <c r="WB110" s="17"/>
      <c r="WC110" s="17"/>
      <c r="WD110" s="17"/>
      <c r="WE110" s="17"/>
      <c r="WF110" s="17"/>
      <c r="WG110" s="17"/>
      <c r="WH110" s="17"/>
      <c r="WI110" s="17"/>
      <c r="WJ110" s="17"/>
      <c r="WK110" s="17"/>
      <c r="WL110" s="17"/>
      <c r="WM110" s="17"/>
      <c r="WN110" s="17"/>
      <c r="WO110" s="17"/>
      <c r="WP110" s="17"/>
      <c r="WQ110" s="17"/>
      <c r="WR110" s="17"/>
      <c r="WS110" s="17"/>
      <c r="WT110" s="17"/>
      <c r="WU110" s="17"/>
      <c r="WV110" s="17"/>
      <c r="WW110" s="17"/>
      <c r="WX110" s="17"/>
      <c r="WY110" s="17"/>
      <c r="WZ110" s="17"/>
      <c r="XA110" s="17"/>
      <c r="XB110" s="17"/>
      <c r="XC110" s="17"/>
      <c r="XD110" s="17"/>
      <c r="XE110" s="17"/>
      <c r="XF110" s="17"/>
      <c r="XG110" s="17"/>
      <c r="XH110" s="17"/>
      <c r="XI110" s="17"/>
      <c r="XJ110" s="17"/>
      <c r="XK110" s="17"/>
      <c r="XL110" s="17"/>
      <c r="XM110" s="17"/>
      <c r="XN110" s="17"/>
      <c r="XO110" s="17"/>
      <c r="XP110" s="17"/>
      <c r="XQ110" s="17"/>
      <c r="XR110" s="17"/>
      <c r="XS110" s="17"/>
      <c r="XT110" s="17"/>
      <c r="XU110" s="17"/>
      <c r="XV110" s="17"/>
      <c r="XW110" s="17"/>
      <c r="XX110" s="17"/>
      <c r="XY110" s="17"/>
      <c r="XZ110" s="17"/>
      <c r="YA110" s="17"/>
      <c r="YB110" s="17"/>
      <c r="YC110" s="17"/>
      <c r="YD110" s="17"/>
      <c r="YE110" s="17"/>
      <c r="YF110" s="17"/>
      <c r="YG110" s="17"/>
      <c r="YH110" s="17"/>
      <c r="YI110" s="17"/>
      <c r="YJ110" s="17"/>
      <c r="YK110" s="17"/>
      <c r="YL110" s="17"/>
      <c r="YM110" s="17"/>
      <c r="YN110" s="17"/>
      <c r="YO110" s="17"/>
      <c r="YP110" s="17"/>
      <c r="YQ110" s="17"/>
      <c r="YR110" s="17"/>
      <c r="YS110" s="17"/>
      <c r="YT110" s="17"/>
      <c r="YU110" s="17"/>
      <c r="YV110" s="17"/>
      <c r="YW110" s="17"/>
      <c r="YX110" s="17"/>
      <c r="YY110" s="17"/>
      <c r="YZ110" s="17"/>
      <c r="ZA110" s="17"/>
      <c r="ZB110" s="17"/>
      <c r="ZC110" s="17"/>
      <c r="ZD110" s="17"/>
      <c r="ZE110" s="17"/>
      <c r="ZF110" s="17"/>
      <c r="ZG110" s="17"/>
      <c r="ZH110" s="17"/>
      <c r="ZI110" s="17"/>
      <c r="ZJ110" s="17"/>
      <c r="ZK110" s="17"/>
      <c r="ZL110" s="17"/>
      <c r="ZM110" s="17"/>
      <c r="ZN110" s="17"/>
      <c r="ZO110" s="17"/>
      <c r="ZP110" s="17"/>
      <c r="ZQ110" s="17"/>
      <c r="ZR110" s="17"/>
      <c r="ZS110" s="17"/>
      <c r="ZT110" s="17"/>
      <c r="ZU110" s="17"/>
      <c r="ZV110" s="17"/>
      <c r="ZW110" s="17"/>
      <c r="ZX110" s="17"/>
      <c r="ZY110" s="17"/>
      <c r="ZZ110" s="17"/>
      <c r="AAA110" s="17"/>
      <c r="AAB110" s="17"/>
      <c r="AAC110" s="17"/>
      <c r="AAD110" s="17"/>
      <c r="AAE110" s="17"/>
      <c r="AAF110" s="17"/>
      <c r="AAG110" s="17"/>
      <c r="AAH110" s="17"/>
      <c r="AAI110" s="17"/>
      <c r="AAJ110" s="17"/>
      <c r="AAK110" s="17"/>
      <c r="AAL110" s="17"/>
      <c r="AAM110" s="17"/>
      <c r="AAN110" s="17"/>
      <c r="AAO110" s="17"/>
      <c r="AAP110" s="17"/>
      <c r="AAQ110" s="17"/>
      <c r="AAR110" s="17"/>
      <c r="AAS110" s="17"/>
      <c r="AAT110" s="17"/>
      <c r="AAU110" s="17"/>
      <c r="AAV110" s="17"/>
      <c r="AAW110" s="17"/>
      <c r="AAX110" s="17"/>
      <c r="AAY110" s="17"/>
      <c r="AAZ110" s="17"/>
      <c r="ABA110" s="17"/>
      <c r="ABB110" s="17"/>
      <c r="ABC110" s="17"/>
      <c r="ABD110" s="17"/>
      <c r="ABE110" s="17"/>
      <c r="ABF110" s="17"/>
      <c r="ABG110" s="17"/>
      <c r="ABH110" s="17"/>
      <c r="ABI110" s="17"/>
      <c r="ABJ110" s="17"/>
      <c r="ABK110" s="17"/>
      <c r="ABL110" s="17"/>
      <c r="ABM110" s="17"/>
      <c r="ABN110" s="17"/>
      <c r="ABO110" s="17"/>
      <c r="ABP110" s="17"/>
      <c r="ABQ110" s="17"/>
      <c r="ABR110" s="17"/>
      <c r="ABS110" s="17"/>
      <c r="ABT110" s="17"/>
      <c r="ABU110" s="17"/>
      <c r="ABV110" s="17"/>
      <c r="ABW110" s="17"/>
      <c r="ABX110" s="17"/>
      <c r="ABY110" s="17"/>
      <c r="ABZ110" s="17"/>
      <c r="ACA110" s="17"/>
      <c r="ACB110" s="17"/>
      <c r="ACC110" s="17"/>
      <c r="ACD110" s="17"/>
      <c r="ACE110" s="17"/>
      <c r="ACF110" s="17"/>
      <c r="ACG110" s="17"/>
      <c r="ACH110" s="17"/>
      <c r="ACI110" s="17"/>
      <c r="ACJ110" s="17"/>
      <c r="ACK110" s="17"/>
      <c r="ACL110" s="17"/>
      <c r="ACM110" s="17"/>
      <c r="ACN110" s="17"/>
      <c r="ACO110" s="17"/>
      <c r="ACP110" s="17"/>
      <c r="ACQ110" s="17"/>
      <c r="ACR110" s="17"/>
      <c r="ACS110" s="17"/>
      <c r="ACT110" s="17"/>
      <c r="ACU110" s="17"/>
      <c r="ACV110" s="17"/>
      <c r="ACW110" s="17"/>
      <c r="ACX110" s="17"/>
      <c r="ACY110" s="17"/>
      <c r="ACZ110" s="17"/>
      <c r="ADA110" s="17"/>
      <c r="ADB110" s="17"/>
      <c r="ADC110" s="17"/>
      <c r="ADD110" s="17"/>
      <c r="ADE110" s="17"/>
      <c r="ADF110" s="17"/>
      <c r="ADG110" s="17"/>
      <c r="ADH110" s="17"/>
      <c r="ADI110" s="17"/>
      <c r="ADJ110" s="17"/>
      <c r="ADK110" s="17"/>
      <c r="ADL110" s="17"/>
      <c r="ADM110" s="17"/>
      <c r="ADN110" s="17"/>
      <c r="ADO110" s="17"/>
      <c r="ADP110" s="17"/>
      <c r="ADQ110" s="17"/>
      <c r="ADR110" s="17"/>
      <c r="ADS110" s="17"/>
      <c r="ADT110" s="17"/>
      <c r="ADU110" s="17"/>
      <c r="ADV110" s="17"/>
      <c r="ADW110" s="17"/>
      <c r="ADX110" s="17"/>
      <c r="ADY110" s="17"/>
      <c r="ADZ110" s="17"/>
      <c r="AEA110" s="17"/>
      <c r="AEB110" s="17"/>
      <c r="AEC110" s="17"/>
      <c r="AED110" s="17"/>
      <c r="AEE110" s="17"/>
      <c r="AEF110" s="17"/>
      <c r="AEG110" s="17"/>
      <c r="AEH110" s="17"/>
      <c r="AEI110" s="17"/>
      <c r="AEJ110" s="17"/>
      <c r="AEK110" s="17"/>
      <c r="AEL110" s="17"/>
      <c r="AEM110" s="17"/>
      <c r="AEN110" s="17"/>
      <c r="AEO110" s="17"/>
      <c r="AEP110" s="17"/>
      <c r="AEQ110" s="17"/>
      <c r="AER110" s="17"/>
      <c r="AES110" s="17"/>
      <c r="AET110" s="17"/>
      <c r="AEU110" s="17"/>
      <c r="AEV110" s="17"/>
      <c r="AEW110" s="17"/>
      <c r="AEX110" s="17"/>
      <c r="AEY110" s="17"/>
      <c r="AEZ110" s="17"/>
      <c r="AFA110" s="17"/>
      <c r="AFB110" s="17"/>
      <c r="AFC110" s="17"/>
      <c r="AFD110" s="17"/>
      <c r="AFE110" s="17"/>
      <c r="AFF110" s="17"/>
      <c r="AFG110" s="17"/>
      <c r="AFH110" s="17"/>
      <c r="AFI110" s="17"/>
      <c r="AFJ110" s="17"/>
      <c r="AFK110" s="17"/>
      <c r="AFL110" s="17"/>
      <c r="AFM110" s="17"/>
      <c r="AFN110" s="17"/>
      <c r="AFO110" s="17"/>
      <c r="AFP110" s="17"/>
      <c r="AFQ110" s="17"/>
      <c r="AFR110" s="17"/>
      <c r="AFS110" s="17"/>
      <c r="AFT110" s="17"/>
      <c r="AFU110" s="17"/>
      <c r="AFV110" s="17"/>
      <c r="AFW110" s="17"/>
      <c r="AFX110" s="17"/>
      <c r="AFY110" s="17"/>
      <c r="AFZ110" s="17"/>
      <c r="AGA110" s="17"/>
      <c r="AGB110" s="17"/>
      <c r="AGC110" s="17"/>
      <c r="AGD110" s="17"/>
      <c r="AGE110" s="17"/>
      <c r="AGF110" s="17"/>
      <c r="AGG110" s="17"/>
      <c r="AGH110" s="17"/>
      <c r="AGI110" s="17"/>
      <c r="AGJ110" s="17"/>
      <c r="AGK110" s="17"/>
      <c r="AGL110" s="17"/>
      <c r="AGM110" s="17"/>
      <c r="AGN110" s="17"/>
      <c r="AGO110" s="17"/>
      <c r="AGP110" s="17"/>
      <c r="AGQ110" s="17"/>
      <c r="AGR110" s="17"/>
      <c r="AGS110" s="17"/>
      <c r="AGT110" s="17"/>
      <c r="AGU110" s="17"/>
      <c r="AGV110" s="17"/>
      <c r="AGW110" s="17"/>
      <c r="AGX110" s="17"/>
      <c r="AGY110" s="17"/>
      <c r="AGZ110" s="17"/>
      <c r="AHA110" s="17"/>
      <c r="AHB110" s="17"/>
      <c r="AHC110" s="17"/>
      <c r="AHD110" s="17"/>
      <c r="AHE110" s="17"/>
      <c r="AHF110" s="17"/>
      <c r="AHG110" s="17"/>
      <c r="AHH110" s="17"/>
      <c r="AHI110" s="17"/>
      <c r="AHJ110" s="17"/>
      <c r="AHK110" s="17"/>
      <c r="AHL110" s="17"/>
      <c r="AHM110" s="17"/>
      <c r="AHN110" s="17"/>
      <c r="AHO110" s="17"/>
      <c r="AHP110" s="17"/>
      <c r="AHQ110" s="17"/>
      <c r="AHR110" s="17"/>
      <c r="AHS110" s="17"/>
      <c r="AHT110" s="17"/>
      <c r="AHU110" s="17"/>
      <c r="AHV110" s="17"/>
      <c r="AHW110" s="17"/>
      <c r="AHX110" s="17"/>
      <c r="AHY110" s="17"/>
      <c r="AHZ110" s="17"/>
      <c r="AIA110" s="17"/>
      <c r="AIB110" s="17"/>
      <c r="AIC110" s="17"/>
      <c r="AID110" s="17"/>
      <c r="AIE110" s="17"/>
      <c r="AIF110" s="17"/>
      <c r="AIG110" s="17"/>
      <c r="AIH110" s="17"/>
      <c r="AII110" s="17"/>
      <c r="AIJ110" s="17"/>
      <c r="AIK110" s="17"/>
      <c r="AIL110" s="17"/>
      <c r="AIM110" s="17"/>
      <c r="AIN110" s="17"/>
      <c r="AIO110" s="17"/>
      <c r="AIP110" s="17"/>
      <c r="AIQ110" s="17"/>
      <c r="AIR110" s="17"/>
      <c r="AIS110" s="17"/>
      <c r="AIT110" s="17"/>
      <c r="AIU110" s="17"/>
      <c r="AIV110" s="17"/>
      <c r="AIW110" s="17"/>
      <c r="AIX110" s="17"/>
      <c r="AIY110" s="17"/>
      <c r="AIZ110" s="17"/>
      <c r="AJA110" s="17"/>
      <c r="AJB110" s="17"/>
      <c r="AJC110" s="17"/>
      <c r="AJD110" s="17"/>
      <c r="AJE110" s="17"/>
      <c r="AJF110" s="17"/>
      <c r="AJG110" s="17"/>
      <c r="AJH110" s="17"/>
      <c r="AJI110" s="17"/>
      <c r="AJJ110" s="17"/>
      <c r="AJK110" s="17"/>
      <c r="AJL110" s="17"/>
      <c r="AJM110" s="17"/>
      <c r="AJN110" s="17"/>
      <c r="AJO110" s="17"/>
      <c r="AJP110" s="17"/>
      <c r="AJQ110" s="17"/>
      <c r="AJR110" s="17"/>
      <c r="AJS110" s="17"/>
      <c r="AJT110" s="17"/>
      <c r="AJU110" s="17"/>
      <c r="AJV110" s="17"/>
      <c r="AJW110" s="17"/>
      <c r="AJX110" s="17"/>
      <c r="AJY110" s="17"/>
      <c r="AJZ110" s="17"/>
      <c r="AKA110" s="17"/>
      <c r="AKB110" s="17"/>
      <c r="AKC110" s="17"/>
      <c r="AKD110" s="17"/>
      <c r="AKE110" s="17"/>
      <c r="AKF110" s="17"/>
      <c r="AKG110" s="17"/>
      <c r="AKH110" s="17"/>
      <c r="AKI110" s="17"/>
      <c r="AKJ110" s="17"/>
      <c r="AKK110" s="17"/>
      <c r="AKL110" s="17"/>
      <c r="AKM110" s="17"/>
      <c r="AKN110" s="17"/>
      <c r="AKO110" s="17"/>
      <c r="AKP110" s="17"/>
      <c r="AKQ110" s="17"/>
      <c r="AKR110" s="17"/>
      <c r="AKS110" s="17"/>
      <c r="AKT110" s="17"/>
      <c r="AKU110" s="17"/>
      <c r="AKV110" s="17"/>
      <c r="AKW110" s="17"/>
      <c r="AKX110" s="17"/>
      <c r="AKY110" s="17"/>
      <c r="AKZ110" s="17"/>
      <c r="ALA110" s="17"/>
      <c r="ALB110" s="17"/>
      <c r="ALC110" s="17"/>
      <c r="ALD110" s="17"/>
      <c r="ALE110" s="17"/>
      <c r="ALF110" s="17"/>
      <c r="ALG110" s="17"/>
      <c r="ALH110" s="17"/>
      <c r="ALI110" s="17"/>
      <c r="ALJ110" s="17"/>
      <c r="ALK110" s="17"/>
      <c r="ALL110" s="17"/>
      <c r="ALM110" s="17"/>
      <c r="ALN110" s="17"/>
      <c r="ALO110" s="17"/>
      <c r="ALP110" s="17"/>
      <c r="ALQ110" s="17"/>
      <c r="ALR110" s="17"/>
      <c r="ALS110" s="17"/>
      <c r="ALT110" s="17"/>
      <c r="ALU110" s="17"/>
      <c r="ALV110" s="17"/>
      <c r="ALW110" s="17"/>
      <c r="ALX110" s="17"/>
      <c r="ALY110" s="17"/>
      <c r="ALZ110" s="17"/>
      <c r="AMA110" s="17"/>
      <c r="AMB110" s="17"/>
      <c r="AMC110" s="17"/>
      <c r="AMD110" s="17"/>
      <c r="AME110" s="17"/>
      <c r="AMF110" s="17"/>
      <c r="AMG110" s="17"/>
      <c r="AMH110" s="17"/>
      <c r="AMI110" s="17"/>
      <c r="AMJ110" s="17"/>
      <c r="AMK110" s="17"/>
      <c r="AML110" s="17"/>
      <c r="AMM110" s="17"/>
      <c r="AMN110" s="17"/>
      <c r="AMO110" s="17"/>
      <c r="AMP110" s="17"/>
      <c r="AMQ110" s="17"/>
      <c r="AMR110" s="17"/>
      <c r="AMS110" s="17"/>
      <c r="AMT110" s="17"/>
      <c r="AMU110" s="17"/>
      <c r="AMV110" s="17"/>
      <c r="AMW110" s="17"/>
      <c r="AMX110" s="17"/>
      <c r="AMY110" s="17"/>
      <c r="AMZ110" s="17"/>
      <c r="ANA110" s="17"/>
      <c r="ANB110" s="17"/>
      <c r="ANC110" s="17"/>
      <c r="AND110" s="17"/>
      <c r="ANE110" s="17"/>
      <c r="ANF110" s="17"/>
      <c r="ANG110" s="17"/>
      <c r="ANH110" s="17"/>
      <c r="ANI110" s="17"/>
      <c r="ANJ110" s="17"/>
      <c r="ANK110" s="17"/>
      <c r="ANL110" s="17"/>
      <c r="ANM110" s="17"/>
      <c r="ANN110" s="17"/>
      <c r="ANO110" s="17"/>
      <c r="ANP110" s="17"/>
      <c r="ANQ110" s="17"/>
      <c r="ANR110" s="17"/>
      <c r="ANS110" s="17"/>
      <c r="ANT110" s="17"/>
      <c r="ANU110" s="17"/>
      <c r="ANV110" s="17"/>
      <c r="ANW110" s="17"/>
      <c r="ANX110" s="17"/>
      <c r="ANY110" s="17"/>
      <c r="ANZ110" s="17"/>
      <c r="AOA110" s="17"/>
      <c r="AOB110" s="17"/>
      <c r="AOC110" s="17"/>
      <c r="AOD110" s="17"/>
      <c r="AOE110" s="17"/>
      <c r="AOF110" s="17"/>
      <c r="AOG110" s="17"/>
      <c r="AOH110" s="17"/>
      <c r="AOI110" s="17"/>
      <c r="AOJ110" s="17"/>
      <c r="AOK110" s="17"/>
      <c r="AOL110" s="17"/>
      <c r="AOM110" s="17"/>
      <c r="AON110" s="17"/>
      <c r="AOO110" s="17"/>
      <c r="AOP110" s="17"/>
      <c r="AOQ110" s="17"/>
      <c r="AOR110" s="17"/>
      <c r="AOS110" s="17"/>
      <c r="AOT110" s="17"/>
      <c r="AOU110" s="17"/>
      <c r="AOV110" s="17"/>
      <c r="AOW110" s="17"/>
      <c r="AOX110" s="17"/>
      <c r="AOY110" s="17"/>
      <c r="AOZ110" s="17"/>
      <c r="APA110" s="17"/>
      <c r="APB110" s="17"/>
      <c r="APC110" s="17"/>
      <c r="APD110" s="17"/>
      <c r="APE110" s="17"/>
      <c r="APF110" s="17"/>
      <c r="APG110" s="17"/>
      <c r="APH110" s="17"/>
      <c r="API110" s="17"/>
      <c r="APJ110" s="17"/>
      <c r="APK110" s="17"/>
      <c r="APL110" s="17"/>
      <c r="APM110" s="17"/>
      <c r="APN110" s="17"/>
      <c r="APO110" s="17"/>
      <c r="APP110" s="17"/>
      <c r="APQ110" s="17"/>
      <c r="APR110" s="17"/>
      <c r="APS110" s="17"/>
      <c r="APT110" s="17"/>
      <c r="APU110" s="17"/>
      <c r="APV110" s="17"/>
      <c r="APW110" s="17"/>
      <c r="APX110" s="17"/>
      <c r="APY110" s="17"/>
      <c r="APZ110" s="17"/>
      <c r="AQA110" s="17"/>
      <c r="AQB110" s="17"/>
      <c r="AQC110" s="17"/>
      <c r="AQD110" s="17"/>
      <c r="AQE110" s="17"/>
      <c r="AQF110" s="17"/>
      <c r="AQG110" s="17"/>
      <c r="AQH110" s="17"/>
      <c r="AQI110" s="17"/>
      <c r="AQJ110" s="17"/>
      <c r="AQK110" s="17"/>
      <c r="AQL110" s="17"/>
      <c r="AQM110" s="17"/>
      <c r="AQN110" s="17"/>
      <c r="AQO110" s="17"/>
      <c r="AQP110" s="17"/>
      <c r="AQQ110" s="17"/>
      <c r="AQR110" s="17"/>
      <c r="AQS110" s="17"/>
      <c r="AQT110" s="17"/>
      <c r="AQU110" s="17"/>
      <c r="AQV110" s="17"/>
      <c r="AQW110" s="17"/>
      <c r="AQX110" s="17"/>
      <c r="AQY110" s="17"/>
      <c r="AQZ110" s="17"/>
      <c r="ARA110" s="17"/>
      <c r="ARB110" s="17"/>
      <c r="ARC110" s="17"/>
      <c r="ARD110" s="17"/>
      <c r="ARE110" s="17"/>
      <c r="ARF110" s="17"/>
      <c r="ARG110" s="17"/>
      <c r="ARH110" s="17"/>
      <c r="ARI110" s="17"/>
      <c r="ARJ110" s="17"/>
      <c r="ARK110" s="17"/>
      <c r="ARL110" s="17"/>
      <c r="ARM110" s="17"/>
      <c r="ARN110" s="17"/>
      <c r="ARO110" s="17"/>
      <c r="ARP110" s="17"/>
      <c r="ARQ110" s="17"/>
      <c r="ARR110" s="17"/>
      <c r="ARS110" s="17"/>
      <c r="ART110" s="17"/>
      <c r="ARU110" s="17"/>
      <c r="ARV110" s="17"/>
      <c r="ARW110" s="17"/>
      <c r="ARX110" s="17"/>
      <c r="ARY110" s="17"/>
      <c r="ARZ110" s="17"/>
      <c r="ASA110" s="17"/>
      <c r="ASB110" s="17"/>
      <c r="ASC110" s="17"/>
      <c r="ASD110" s="17"/>
      <c r="ASE110" s="17"/>
      <c r="ASF110" s="17"/>
      <c r="ASG110" s="17"/>
      <c r="ASH110" s="17"/>
      <c r="ASI110" s="17"/>
      <c r="ASJ110" s="17"/>
      <c r="ASK110" s="17"/>
      <c r="ASL110" s="17"/>
      <c r="ASM110" s="17"/>
      <c r="ASN110" s="17"/>
      <c r="ASO110" s="17"/>
      <c r="ASP110" s="17"/>
      <c r="ASQ110" s="17"/>
      <c r="ASR110" s="17"/>
      <c r="ASS110" s="17"/>
      <c r="AST110" s="17"/>
      <c r="ASU110" s="17"/>
      <c r="ASV110" s="17"/>
      <c r="ASW110" s="17"/>
      <c r="ASX110" s="17"/>
      <c r="ASY110" s="17"/>
      <c r="ASZ110" s="17"/>
      <c r="ATA110" s="17"/>
      <c r="ATB110" s="17"/>
      <c r="ATC110" s="17"/>
      <c r="ATD110" s="17"/>
      <c r="ATE110" s="17"/>
      <c r="ATF110" s="17"/>
      <c r="ATG110" s="17"/>
      <c r="ATH110" s="17"/>
      <c r="ATI110" s="17"/>
      <c r="ATJ110" s="17"/>
      <c r="ATK110" s="17"/>
      <c r="ATL110" s="17"/>
      <c r="ATM110" s="17"/>
      <c r="ATN110" s="17"/>
      <c r="ATO110" s="17"/>
      <c r="ATP110" s="17"/>
      <c r="ATQ110" s="17"/>
      <c r="ATR110" s="17"/>
      <c r="ATS110" s="17"/>
      <c r="ATT110" s="17"/>
      <c r="ATU110" s="17"/>
      <c r="ATV110" s="17"/>
      <c r="ATW110" s="17"/>
      <c r="ATX110" s="17"/>
      <c r="ATY110" s="17"/>
      <c r="ATZ110" s="17"/>
      <c r="AUA110" s="17"/>
      <c r="AUB110" s="17"/>
      <c r="AUC110" s="17"/>
      <c r="AUD110" s="17"/>
      <c r="AUE110" s="17"/>
      <c r="AUF110" s="17"/>
      <c r="AUG110" s="17"/>
      <c r="AUH110" s="17"/>
      <c r="AUI110" s="17"/>
      <c r="AUJ110" s="17"/>
      <c r="AUK110" s="17"/>
      <c r="AUL110" s="17"/>
      <c r="AUM110" s="17"/>
      <c r="AUN110" s="17"/>
      <c r="AUO110" s="17"/>
      <c r="AUP110" s="17"/>
      <c r="AUQ110" s="17"/>
      <c r="AUR110" s="17"/>
      <c r="AUS110" s="17"/>
      <c r="AUT110" s="17"/>
      <c r="AUU110" s="17"/>
      <c r="AUV110" s="17"/>
      <c r="AUW110" s="17"/>
      <c r="AUX110" s="17"/>
      <c r="AUY110" s="17"/>
      <c r="AUZ110" s="17"/>
      <c r="AVA110" s="17"/>
      <c r="AVB110" s="17"/>
      <c r="AVC110" s="17"/>
      <c r="AVD110" s="17"/>
      <c r="AVE110" s="17"/>
      <c r="AVF110" s="17"/>
      <c r="AVG110" s="17"/>
      <c r="AVH110" s="17"/>
      <c r="AVI110" s="17"/>
      <c r="AVJ110" s="17"/>
      <c r="AVK110" s="17"/>
      <c r="AVL110" s="17"/>
      <c r="AVM110" s="17"/>
      <c r="AVN110" s="17"/>
      <c r="AVO110" s="17"/>
      <c r="AVP110" s="17"/>
      <c r="AVQ110" s="17"/>
      <c r="AVR110" s="17"/>
      <c r="AVS110" s="17"/>
      <c r="AVT110" s="17"/>
      <c r="AVU110" s="17"/>
      <c r="AVV110" s="17"/>
      <c r="AVW110" s="17"/>
      <c r="AVX110" s="17"/>
      <c r="AVY110" s="17"/>
      <c r="AVZ110" s="17"/>
      <c r="AWA110" s="17"/>
      <c r="AWB110" s="17"/>
      <c r="AWC110" s="17"/>
      <c r="AWD110" s="17"/>
      <c r="AWE110" s="17"/>
      <c r="AWF110" s="17"/>
      <c r="AWG110" s="17"/>
      <c r="AWH110" s="17"/>
      <c r="AWI110" s="17"/>
      <c r="AWJ110" s="17"/>
      <c r="AWK110" s="17"/>
      <c r="AWL110" s="17"/>
      <c r="AWM110" s="17"/>
      <c r="AWN110" s="17"/>
      <c r="AWO110" s="17"/>
      <c r="AWP110" s="17"/>
      <c r="AWQ110" s="17"/>
      <c r="AWR110" s="17"/>
      <c r="AWS110" s="17"/>
      <c r="AWT110" s="17"/>
      <c r="AWU110" s="17"/>
      <c r="AWV110" s="17"/>
      <c r="AWW110" s="17"/>
      <c r="AWX110" s="17"/>
      <c r="AWY110" s="17"/>
      <c r="AWZ110" s="17"/>
      <c r="AXA110" s="17"/>
      <c r="AXB110" s="17"/>
      <c r="AXC110" s="17"/>
      <c r="AXD110" s="17"/>
      <c r="AXE110" s="17"/>
      <c r="AXF110" s="17"/>
      <c r="AXG110" s="17"/>
      <c r="AXH110" s="17"/>
      <c r="AXI110" s="17"/>
      <c r="AXJ110" s="17"/>
      <c r="AXK110" s="17"/>
      <c r="AXL110" s="17"/>
      <c r="AXM110" s="17"/>
      <c r="AXN110" s="17"/>
      <c r="AXO110" s="17"/>
      <c r="AXP110" s="17"/>
      <c r="AXQ110" s="17"/>
      <c r="AXR110" s="17"/>
      <c r="AXS110" s="17"/>
      <c r="AXT110" s="17"/>
      <c r="AXU110" s="17"/>
      <c r="AXV110" s="17"/>
      <c r="AXW110" s="17"/>
      <c r="AXX110" s="17"/>
      <c r="AXY110" s="17"/>
      <c r="AXZ110" s="17"/>
      <c r="AYA110" s="17"/>
      <c r="AYB110" s="17"/>
      <c r="AYC110" s="17"/>
      <c r="AYD110" s="17"/>
      <c r="AYE110" s="17"/>
      <c r="AYF110" s="17"/>
      <c r="AYG110" s="17"/>
      <c r="AYH110" s="17"/>
      <c r="AYI110" s="17"/>
      <c r="AYJ110" s="17"/>
      <c r="AYK110" s="17"/>
      <c r="AYL110" s="17"/>
      <c r="AYM110" s="17"/>
      <c r="AYN110" s="17"/>
      <c r="AYO110" s="17"/>
      <c r="AYP110" s="17"/>
      <c r="AYQ110" s="17"/>
      <c r="AYR110" s="17"/>
      <c r="AYS110" s="17"/>
      <c r="AYT110" s="17"/>
      <c r="AYU110" s="17"/>
      <c r="AYV110" s="17"/>
      <c r="AYW110" s="17"/>
      <c r="AYX110" s="17"/>
      <c r="AYY110" s="17"/>
      <c r="AYZ110" s="17"/>
      <c r="AZA110" s="17"/>
      <c r="AZB110" s="17"/>
      <c r="AZC110" s="17"/>
      <c r="AZD110" s="17"/>
      <c r="AZE110" s="17"/>
      <c r="AZF110" s="17"/>
      <c r="AZG110" s="17"/>
      <c r="AZH110" s="17"/>
      <c r="AZI110" s="17"/>
      <c r="AZJ110" s="17"/>
      <c r="AZK110" s="17"/>
      <c r="AZL110" s="17"/>
      <c r="AZM110" s="17"/>
      <c r="AZN110" s="17"/>
      <c r="AZO110" s="17"/>
      <c r="AZP110" s="17"/>
      <c r="AZQ110" s="17"/>
      <c r="AZR110" s="17"/>
      <c r="AZS110" s="17"/>
      <c r="AZT110" s="17"/>
      <c r="AZU110" s="17"/>
      <c r="AZV110" s="17"/>
      <c r="AZW110" s="17"/>
      <c r="AZX110" s="17"/>
      <c r="AZY110" s="17"/>
      <c r="AZZ110" s="17"/>
      <c r="BAA110" s="17"/>
      <c r="BAB110" s="17"/>
      <c r="BAC110" s="17"/>
      <c r="BAD110" s="17"/>
      <c r="BAE110" s="17"/>
      <c r="BAF110" s="17"/>
      <c r="BAG110" s="17"/>
      <c r="BAH110" s="17"/>
      <c r="BAI110" s="17"/>
      <c r="BAJ110" s="17"/>
      <c r="BAK110" s="17"/>
      <c r="BAL110" s="17"/>
      <c r="BAM110" s="17"/>
      <c r="BAN110" s="17"/>
      <c r="BAO110" s="17"/>
      <c r="BAP110" s="17"/>
      <c r="BAQ110" s="17"/>
      <c r="BAR110" s="17"/>
      <c r="BAS110" s="17"/>
      <c r="BAT110" s="17"/>
      <c r="BAU110" s="17"/>
      <c r="BAV110" s="17"/>
      <c r="BAW110" s="17"/>
      <c r="BAX110" s="17"/>
      <c r="BAY110" s="17"/>
      <c r="BAZ110" s="17"/>
      <c r="BBA110" s="17"/>
      <c r="BBB110" s="17"/>
      <c r="BBC110" s="17"/>
      <c r="BBD110" s="17"/>
      <c r="BBE110" s="17"/>
      <c r="BBF110" s="17"/>
      <c r="BBG110" s="17"/>
      <c r="BBH110" s="17"/>
      <c r="BBI110" s="17"/>
      <c r="BBJ110" s="17"/>
      <c r="BBK110" s="17"/>
      <c r="BBL110" s="17"/>
      <c r="BBM110" s="17"/>
      <c r="BBN110" s="17"/>
      <c r="BBO110" s="17"/>
      <c r="BBP110" s="17"/>
      <c r="BBQ110" s="17"/>
      <c r="BBR110" s="17"/>
      <c r="BBS110" s="17"/>
      <c r="BBT110" s="17"/>
      <c r="BBU110" s="17"/>
      <c r="BBV110" s="17"/>
      <c r="BBW110" s="17"/>
      <c r="BBX110" s="17"/>
      <c r="BBY110" s="17"/>
      <c r="BBZ110" s="17"/>
      <c r="BCA110" s="17"/>
      <c r="BCB110" s="17"/>
      <c r="BCC110" s="17"/>
      <c r="BCD110" s="17"/>
      <c r="BCE110" s="17"/>
      <c r="BCF110" s="17"/>
      <c r="BCG110" s="17"/>
      <c r="BCH110" s="17"/>
      <c r="BCI110" s="17"/>
      <c r="BCJ110" s="17"/>
      <c r="BCK110" s="17"/>
      <c r="BCL110" s="17"/>
      <c r="BCM110" s="17"/>
      <c r="BCN110" s="17"/>
      <c r="BCO110" s="17"/>
      <c r="BCP110" s="17"/>
      <c r="BCQ110" s="17"/>
      <c r="BCR110" s="17"/>
      <c r="BCS110" s="17"/>
      <c r="BCT110" s="17"/>
      <c r="BCU110" s="17"/>
      <c r="BCV110" s="17"/>
      <c r="BCW110" s="17"/>
      <c r="BCX110" s="17"/>
      <c r="BCY110" s="17"/>
      <c r="BCZ110" s="17"/>
      <c r="BDA110" s="17"/>
      <c r="BDB110" s="17"/>
      <c r="BDC110" s="17"/>
      <c r="BDD110" s="17"/>
      <c r="BDE110" s="17"/>
      <c r="BDF110" s="17"/>
      <c r="BDG110" s="17"/>
      <c r="BDH110" s="17"/>
      <c r="BDI110" s="17"/>
      <c r="BDJ110" s="17"/>
      <c r="BDK110" s="17"/>
      <c r="BDL110" s="17"/>
      <c r="BDM110" s="17"/>
      <c r="BDN110" s="17"/>
      <c r="BDO110" s="17"/>
      <c r="BDP110" s="17"/>
      <c r="BDQ110" s="17"/>
      <c r="BDR110" s="17"/>
      <c r="BDS110" s="17"/>
      <c r="BDT110" s="17"/>
      <c r="BDU110" s="17"/>
      <c r="BDV110" s="17"/>
      <c r="BDW110" s="17"/>
      <c r="BDX110" s="17"/>
      <c r="BDY110" s="17"/>
      <c r="BDZ110" s="17"/>
      <c r="BEA110" s="17"/>
      <c r="BEB110" s="17"/>
      <c r="BEC110" s="17"/>
      <c r="BED110" s="17"/>
      <c r="BEE110" s="17"/>
      <c r="BEF110" s="17"/>
      <c r="BEG110" s="17"/>
      <c r="BEH110" s="17"/>
      <c r="BEI110" s="17"/>
      <c r="BEJ110" s="17"/>
      <c r="BEK110" s="17"/>
      <c r="BEL110" s="17"/>
      <c r="BEM110" s="17"/>
      <c r="BEN110" s="17"/>
      <c r="BEO110" s="17"/>
      <c r="BEP110" s="17"/>
      <c r="BEQ110" s="17"/>
      <c r="BER110" s="17"/>
      <c r="BES110" s="17"/>
      <c r="BET110" s="17"/>
      <c r="BEU110" s="17"/>
      <c r="BEV110" s="17"/>
      <c r="BEW110" s="17"/>
      <c r="BEX110" s="17"/>
      <c r="BEY110" s="17"/>
      <c r="BEZ110" s="17"/>
      <c r="BFA110" s="17"/>
      <c r="BFB110" s="17"/>
      <c r="BFC110" s="17"/>
      <c r="BFD110" s="17"/>
      <c r="BFE110" s="17"/>
      <c r="BFF110" s="17"/>
      <c r="BFG110" s="17"/>
      <c r="BFH110" s="17"/>
      <c r="BFI110" s="17"/>
      <c r="BFJ110" s="17"/>
      <c r="BFK110" s="17"/>
      <c r="BFL110" s="17"/>
      <c r="BFM110" s="17"/>
      <c r="BFN110" s="17"/>
      <c r="BFO110" s="17"/>
      <c r="BFP110" s="17"/>
      <c r="BFQ110" s="17"/>
      <c r="BFR110" s="17"/>
      <c r="BFS110" s="17"/>
      <c r="BFT110" s="17"/>
      <c r="BFU110" s="17"/>
      <c r="BFV110" s="17"/>
      <c r="BFW110" s="17"/>
      <c r="BFX110" s="17"/>
      <c r="BFY110" s="17"/>
      <c r="BFZ110" s="17"/>
      <c r="BGA110" s="17"/>
      <c r="BGB110" s="17"/>
      <c r="BGC110" s="17"/>
      <c r="BGD110" s="17"/>
      <c r="BGE110" s="17"/>
      <c r="BGF110" s="17"/>
      <c r="BGG110" s="17"/>
      <c r="BGH110" s="17"/>
      <c r="BGI110" s="17"/>
      <c r="BGJ110" s="17"/>
      <c r="BGK110" s="17"/>
      <c r="BGL110" s="17"/>
      <c r="BGM110" s="17"/>
      <c r="BGN110" s="17"/>
      <c r="BGO110" s="17"/>
      <c r="BGP110" s="17"/>
      <c r="BGQ110" s="17"/>
      <c r="BGR110" s="17"/>
      <c r="BGS110" s="17"/>
      <c r="BGT110" s="17"/>
      <c r="BGU110" s="17"/>
      <c r="BGV110" s="17"/>
      <c r="BGW110" s="17"/>
      <c r="BGX110" s="17"/>
      <c r="BGY110" s="17"/>
      <c r="BGZ110" s="17"/>
      <c r="BHA110" s="17"/>
      <c r="BHB110" s="17"/>
      <c r="BHC110" s="17"/>
      <c r="BHD110" s="17"/>
      <c r="BHE110" s="17"/>
      <c r="BHF110" s="17"/>
      <c r="BHG110" s="17"/>
      <c r="BHH110" s="17"/>
      <c r="BHI110" s="17"/>
      <c r="BHJ110" s="17"/>
      <c r="BHK110" s="17"/>
      <c r="BHL110" s="17"/>
      <c r="BHM110" s="17"/>
      <c r="BHN110" s="17"/>
      <c r="BHO110" s="17"/>
      <c r="BHP110" s="17"/>
      <c r="BHQ110" s="17"/>
      <c r="BHR110" s="17"/>
      <c r="BHS110" s="17"/>
      <c r="BHT110" s="17"/>
      <c r="BHU110" s="17"/>
      <c r="BHV110" s="17"/>
      <c r="BHW110" s="17"/>
      <c r="BHX110" s="17"/>
      <c r="BHY110" s="17"/>
      <c r="BHZ110" s="17"/>
      <c r="BIA110" s="17"/>
      <c r="BIB110" s="17"/>
      <c r="BIC110" s="17"/>
      <c r="BID110" s="17"/>
      <c r="BIE110" s="17"/>
      <c r="BIF110" s="17"/>
      <c r="BIG110" s="17"/>
      <c r="BIH110" s="17"/>
      <c r="BII110" s="17"/>
      <c r="BIJ110" s="17"/>
      <c r="BIK110" s="17"/>
      <c r="BIL110" s="17"/>
      <c r="BIM110" s="17"/>
      <c r="BIN110" s="17"/>
      <c r="BIO110" s="17"/>
      <c r="BIP110" s="17"/>
      <c r="BIQ110" s="17"/>
      <c r="BIR110" s="17"/>
      <c r="BIS110" s="17"/>
      <c r="BIT110" s="17"/>
      <c r="BIU110" s="17"/>
      <c r="BIV110" s="17"/>
      <c r="BIW110" s="17"/>
      <c r="BIX110" s="17"/>
      <c r="BIY110" s="17"/>
      <c r="BIZ110" s="17"/>
      <c r="BJA110" s="17"/>
      <c r="BJB110" s="17"/>
      <c r="BJC110" s="17"/>
      <c r="BJD110" s="17"/>
      <c r="BJE110" s="17"/>
      <c r="BJF110" s="17"/>
      <c r="BJG110" s="17"/>
      <c r="BJH110" s="17"/>
      <c r="BJI110" s="17"/>
      <c r="BJJ110" s="17"/>
      <c r="BJK110" s="17"/>
      <c r="BJL110" s="17"/>
      <c r="BJM110" s="17"/>
      <c r="BJN110" s="17"/>
      <c r="BJO110" s="17"/>
      <c r="BJP110" s="17"/>
      <c r="BJQ110" s="17"/>
      <c r="BJR110" s="17"/>
      <c r="BJS110" s="17"/>
      <c r="BJT110" s="17"/>
      <c r="BJU110" s="17"/>
      <c r="BJV110" s="17"/>
      <c r="BJW110" s="17"/>
      <c r="BJX110" s="17"/>
      <c r="BJY110" s="17"/>
      <c r="BJZ110" s="17"/>
      <c r="BKA110" s="17"/>
      <c r="BKB110" s="17"/>
      <c r="BKC110" s="17"/>
      <c r="BKD110" s="17"/>
      <c r="BKE110" s="17"/>
      <c r="BKF110" s="17"/>
      <c r="BKG110" s="17"/>
      <c r="BKH110" s="17"/>
      <c r="BKI110" s="17"/>
      <c r="BKJ110" s="17"/>
      <c r="BKK110" s="17"/>
      <c r="BKL110" s="17"/>
      <c r="BKM110" s="17"/>
      <c r="BKN110" s="17"/>
      <c r="BKO110" s="17"/>
      <c r="BKP110" s="17"/>
      <c r="BKQ110" s="17"/>
      <c r="BKR110" s="17"/>
      <c r="BKS110" s="17"/>
      <c r="BKT110" s="17"/>
      <c r="BKU110" s="17"/>
      <c r="BKV110" s="17"/>
      <c r="BKW110" s="17"/>
      <c r="BKX110" s="17"/>
      <c r="BKY110" s="17"/>
      <c r="BKZ110" s="17"/>
      <c r="BLA110" s="17"/>
      <c r="BLB110" s="17"/>
      <c r="BLC110" s="17"/>
      <c r="BLD110" s="17"/>
      <c r="BLE110" s="17"/>
      <c r="BLF110" s="17"/>
      <c r="BLG110" s="17"/>
      <c r="BLH110" s="17"/>
      <c r="BLI110" s="17"/>
      <c r="BLJ110" s="17"/>
      <c r="BLK110" s="17"/>
      <c r="BLL110" s="17"/>
      <c r="BLM110" s="17"/>
      <c r="BLN110" s="17"/>
      <c r="BLO110" s="17"/>
      <c r="BLP110" s="17"/>
      <c r="BLQ110" s="17"/>
      <c r="BLR110" s="17"/>
      <c r="BLS110" s="17"/>
      <c r="BLT110" s="17"/>
      <c r="BLU110" s="17"/>
      <c r="BLV110" s="17"/>
      <c r="BLW110" s="17"/>
      <c r="BLX110" s="17"/>
      <c r="BLY110" s="17"/>
      <c r="BLZ110" s="17"/>
      <c r="BMA110" s="17"/>
      <c r="BMB110" s="17"/>
      <c r="BMC110" s="17"/>
      <c r="BMD110" s="17"/>
      <c r="BME110" s="17"/>
      <c r="BMF110" s="17"/>
      <c r="BMG110" s="17"/>
      <c r="BMH110" s="17"/>
      <c r="BMI110" s="17"/>
      <c r="BMJ110" s="17"/>
      <c r="BMK110" s="17"/>
      <c r="BML110" s="17"/>
      <c r="BMM110" s="17"/>
      <c r="BMN110" s="17"/>
      <c r="BMO110" s="17"/>
      <c r="BMP110" s="17"/>
      <c r="BMQ110" s="17"/>
      <c r="BMR110" s="17"/>
      <c r="BMS110" s="17"/>
      <c r="BMT110" s="17"/>
      <c r="BMU110" s="17"/>
      <c r="BMV110" s="17"/>
      <c r="BMW110" s="17"/>
      <c r="BMX110" s="17"/>
      <c r="BMY110" s="17"/>
      <c r="BMZ110" s="17"/>
      <c r="BNA110" s="17"/>
      <c r="BNB110" s="17"/>
      <c r="BNC110" s="17"/>
      <c r="BND110" s="17"/>
      <c r="BNE110" s="17"/>
      <c r="BNF110" s="17"/>
      <c r="BNG110" s="17"/>
      <c r="BNH110" s="17"/>
      <c r="BNI110" s="17"/>
      <c r="BNJ110" s="17"/>
      <c r="BNK110" s="17"/>
      <c r="BNL110" s="17"/>
      <c r="BNM110" s="17"/>
      <c r="BNN110" s="17"/>
      <c r="BNO110" s="17"/>
      <c r="BNP110" s="17"/>
      <c r="BNQ110" s="17"/>
      <c r="BNR110" s="17"/>
      <c r="BNS110" s="17"/>
      <c r="BNT110" s="17"/>
      <c r="BNU110" s="17"/>
      <c r="BNV110" s="17"/>
      <c r="BNW110" s="17"/>
      <c r="BNX110" s="17"/>
      <c r="BNY110" s="17"/>
      <c r="BNZ110" s="17"/>
      <c r="BOA110" s="17"/>
      <c r="BOB110" s="17"/>
      <c r="BOC110" s="17"/>
      <c r="BOD110" s="17"/>
      <c r="BOE110" s="17"/>
      <c r="BOF110" s="17"/>
      <c r="BOG110" s="17"/>
      <c r="BOH110" s="17"/>
      <c r="BOI110" s="17"/>
      <c r="BOJ110" s="17"/>
      <c r="BOK110" s="17"/>
      <c r="BOL110" s="17"/>
      <c r="BOM110" s="17"/>
      <c r="BON110" s="17"/>
      <c r="BOO110" s="17"/>
      <c r="BOP110" s="17"/>
      <c r="BOQ110" s="17"/>
      <c r="BOR110" s="17"/>
      <c r="BOS110" s="17"/>
      <c r="BOT110" s="17"/>
      <c r="BOU110" s="17"/>
      <c r="BOV110" s="17"/>
      <c r="BOW110" s="17"/>
      <c r="BOX110" s="17"/>
      <c r="BOY110" s="17"/>
      <c r="BOZ110" s="17"/>
      <c r="BPA110" s="17"/>
      <c r="BPB110" s="17"/>
      <c r="BPC110" s="17"/>
      <c r="BPD110" s="17"/>
      <c r="BPE110" s="17"/>
      <c r="BPF110" s="17"/>
      <c r="BPG110" s="17"/>
      <c r="BPH110" s="17"/>
      <c r="BPI110" s="17"/>
      <c r="BPJ110" s="17"/>
      <c r="BPK110" s="17"/>
      <c r="BPL110" s="17"/>
      <c r="BPM110" s="17"/>
      <c r="BPN110" s="17"/>
      <c r="BPO110" s="17"/>
      <c r="BPP110" s="17"/>
      <c r="BPQ110" s="17"/>
      <c r="BPR110" s="17"/>
      <c r="BPS110" s="17"/>
      <c r="BPT110" s="17"/>
      <c r="BPU110" s="17"/>
      <c r="BPV110" s="17"/>
      <c r="BPW110" s="17"/>
      <c r="BPX110" s="17"/>
      <c r="BPY110" s="17"/>
      <c r="BPZ110" s="17"/>
      <c r="BQA110" s="17"/>
      <c r="BQB110" s="17"/>
      <c r="BQC110" s="17"/>
      <c r="BQD110" s="17"/>
      <c r="BQE110" s="17"/>
      <c r="BQF110" s="17"/>
      <c r="BQG110" s="17"/>
      <c r="BQH110" s="17"/>
      <c r="BQI110" s="17"/>
      <c r="BQJ110" s="17"/>
      <c r="BQK110" s="17"/>
      <c r="BQL110" s="17"/>
      <c r="BQM110" s="17"/>
      <c r="BQN110" s="17"/>
      <c r="BQO110" s="17"/>
      <c r="BQP110" s="17"/>
      <c r="BQQ110" s="17"/>
      <c r="BQR110" s="17"/>
      <c r="BQS110" s="17"/>
      <c r="BQT110" s="17"/>
      <c r="BQU110" s="17"/>
      <c r="BQV110" s="17"/>
      <c r="BQW110" s="17"/>
      <c r="BQX110" s="17"/>
      <c r="BQY110" s="17"/>
      <c r="BQZ110" s="17"/>
      <c r="BRA110" s="17"/>
      <c r="BRB110" s="17"/>
      <c r="BRC110" s="17"/>
      <c r="BRD110" s="17"/>
      <c r="BRE110" s="17"/>
      <c r="BRF110" s="17"/>
      <c r="BRG110" s="17"/>
      <c r="BRH110" s="17"/>
      <c r="BRI110" s="17"/>
      <c r="BRJ110" s="17"/>
      <c r="BRK110" s="17"/>
      <c r="BRL110" s="17"/>
      <c r="BRM110" s="17"/>
      <c r="BRN110" s="17"/>
      <c r="BRO110" s="17"/>
      <c r="BRP110" s="17"/>
      <c r="BRQ110" s="17"/>
      <c r="BRR110" s="17"/>
      <c r="BRS110" s="17"/>
      <c r="BRT110" s="17"/>
      <c r="BRU110" s="17"/>
      <c r="BRV110" s="17"/>
      <c r="BRW110" s="17"/>
      <c r="BRX110" s="17"/>
      <c r="BRY110" s="17"/>
      <c r="BRZ110" s="17"/>
      <c r="BSA110" s="17"/>
      <c r="BSB110" s="17"/>
      <c r="BSC110" s="17"/>
      <c r="BSD110" s="17"/>
      <c r="BSE110" s="17"/>
      <c r="BSF110" s="17"/>
      <c r="BSG110" s="17"/>
      <c r="BSH110" s="17"/>
      <c r="BSI110" s="17"/>
      <c r="BSJ110" s="17"/>
      <c r="BSK110" s="17"/>
      <c r="BSL110" s="17"/>
      <c r="BSM110" s="17"/>
      <c r="BSN110" s="17"/>
      <c r="BSO110" s="17"/>
      <c r="BSP110" s="17"/>
      <c r="BSQ110" s="17"/>
      <c r="BSR110" s="17"/>
      <c r="BSS110" s="17"/>
      <c r="BST110" s="17"/>
      <c r="BSU110" s="17"/>
      <c r="BSV110" s="17"/>
      <c r="BSW110" s="17"/>
      <c r="BSX110" s="17"/>
      <c r="BSY110" s="17"/>
      <c r="BSZ110" s="17"/>
      <c r="BTA110" s="17"/>
      <c r="BTB110" s="17"/>
      <c r="BTC110" s="17"/>
      <c r="BTD110" s="17"/>
      <c r="BTE110" s="17"/>
      <c r="BTF110" s="17"/>
      <c r="BTG110" s="17"/>
      <c r="BTH110" s="17"/>
      <c r="BTI110" s="17"/>
      <c r="BTJ110" s="17"/>
      <c r="BTK110" s="17"/>
      <c r="BTL110" s="17"/>
      <c r="BTM110" s="17"/>
      <c r="BTN110" s="17"/>
      <c r="BTO110" s="17"/>
      <c r="BTP110" s="17"/>
      <c r="BTQ110" s="17"/>
      <c r="BTR110" s="17"/>
      <c r="BTS110" s="17"/>
      <c r="BTT110" s="17"/>
      <c r="BTU110" s="17"/>
      <c r="BTV110" s="17"/>
      <c r="BTW110" s="17"/>
      <c r="BTX110" s="17"/>
      <c r="BTY110" s="17"/>
      <c r="BTZ110" s="17"/>
      <c r="BUA110" s="17"/>
      <c r="BUB110" s="17"/>
      <c r="BUC110" s="17"/>
      <c r="BUD110" s="17"/>
      <c r="BUE110" s="17"/>
      <c r="BUF110" s="17"/>
      <c r="BUG110" s="17"/>
      <c r="BUH110" s="17"/>
      <c r="BUI110" s="17"/>
      <c r="BUJ110" s="17"/>
      <c r="BUK110" s="17"/>
      <c r="BUL110" s="17"/>
      <c r="BUM110" s="17"/>
      <c r="BUN110" s="17"/>
      <c r="BUO110" s="17"/>
      <c r="BUP110" s="17"/>
      <c r="BUQ110" s="17"/>
      <c r="BUR110" s="17"/>
      <c r="BUS110" s="17"/>
      <c r="BUT110" s="17"/>
      <c r="BUU110" s="17"/>
      <c r="BUV110" s="17"/>
      <c r="BUW110" s="17"/>
      <c r="BUX110" s="17"/>
      <c r="BUY110" s="17"/>
      <c r="BUZ110" s="17"/>
      <c r="BVA110" s="17"/>
      <c r="BVB110" s="17"/>
      <c r="BVC110" s="17"/>
      <c r="BVD110" s="17"/>
      <c r="BVE110" s="17"/>
      <c r="BVF110" s="17"/>
      <c r="BVG110" s="17"/>
      <c r="BVH110" s="17"/>
      <c r="BVI110" s="17"/>
      <c r="BVJ110" s="17"/>
      <c r="BVK110" s="17"/>
      <c r="BVL110" s="17"/>
      <c r="BVM110" s="17"/>
      <c r="BVN110" s="17"/>
      <c r="BVO110" s="17"/>
      <c r="BVP110" s="17"/>
      <c r="BVQ110" s="17"/>
      <c r="BVR110" s="17"/>
      <c r="BVS110" s="17"/>
      <c r="BVT110" s="17"/>
      <c r="BVU110" s="17"/>
      <c r="BVV110" s="17"/>
      <c r="BVW110" s="17"/>
      <c r="BVX110" s="17"/>
      <c r="BVY110" s="17"/>
      <c r="BVZ110" s="17"/>
      <c r="BWA110" s="17"/>
      <c r="BWB110" s="17"/>
      <c r="BWC110" s="17"/>
      <c r="BWD110" s="17"/>
      <c r="BWE110" s="17"/>
      <c r="BWF110" s="17"/>
      <c r="BWG110" s="17"/>
      <c r="BWH110" s="17"/>
      <c r="BWI110" s="17"/>
      <c r="BWJ110" s="17"/>
      <c r="BWK110" s="17"/>
      <c r="BWL110" s="17"/>
      <c r="BWM110" s="17"/>
      <c r="BWN110" s="17"/>
      <c r="BWO110" s="17"/>
      <c r="BWP110" s="17"/>
      <c r="BWQ110" s="17"/>
      <c r="BWR110" s="17"/>
      <c r="BWS110" s="17"/>
      <c r="BWT110" s="17"/>
      <c r="BWU110" s="17"/>
      <c r="BWV110" s="17"/>
      <c r="BWW110" s="17"/>
      <c r="BWX110" s="17"/>
      <c r="BWY110" s="17"/>
      <c r="BWZ110" s="17"/>
      <c r="BXA110" s="17"/>
      <c r="BXB110" s="17"/>
      <c r="BXC110" s="17"/>
      <c r="BXD110" s="17"/>
      <c r="BXE110" s="17"/>
      <c r="BXF110" s="17"/>
      <c r="BXG110" s="17"/>
      <c r="BXH110" s="17"/>
      <c r="BXI110" s="17"/>
      <c r="BXJ110" s="17"/>
      <c r="BXK110" s="17"/>
      <c r="BXL110" s="17"/>
      <c r="BXM110" s="17"/>
      <c r="BXN110" s="17"/>
      <c r="BXO110" s="17"/>
      <c r="BXP110" s="17"/>
      <c r="BXQ110" s="17"/>
      <c r="BXR110" s="17"/>
      <c r="BXS110" s="17"/>
      <c r="BXT110" s="17"/>
      <c r="BXU110" s="17"/>
      <c r="BXV110" s="17"/>
      <c r="BXW110" s="17"/>
      <c r="BXX110" s="17"/>
      <c r="BXY110" s="17"/>
      <c r="BXZ110" s="17"/>
      <c r="BYA110" s="17"/>
      <c r="BYB110" s="17"/>
      <c r="BYC110" s="17"/>
      <c r="BYD110" s="17"/>
      <c r="BYE110" s="17"/>
      <c r="BYF110" s="17"/>
      <c r="BYG110" s="17"/>
      <c r="BYH110" s="17"/>
      <c r="BYI110" s="17"/>
      <c r="BYJ110" s="17"/>
      <c r="BYK110" s="17"/>
      <c r="BYL110" s="17"/>
      <c r="BYM110" s="17"/>
      <c r="BYN110" s="17"/>
      <c r="BYO110" s="17"/>
      <c r="BYP110" s="17"/>
      <c r="BYQ110" s="17"/>
      <c r="BYR110" s="17"/>
      <c r="BYS110" s="17"/>
      <c r="BYT110" s="17"/>
      <c r="BYU110" s="17"/>
      <c r="BYV110" s="17"/>
      <c r="BYW110" s="17"/>
      <c r="BYX110" s="17"/>
      <c r="BYY110" s="17"/>
      <c r="BYZ110" s="17"/>
      <c r="BZA110" s="17"/>
      <c r="BZB110" s="17"/>
      <c r="BZC110" s="17"/>
      <c r="BZD110" s="17"/>
      <c r="BZE110" s="17"/>
      <c r="BZF110" s="17"/>
      <c r="BZG110" s="17"/>
      <c r="BZH110" s="17"/>
      <c r="BZI110" s="17"/>
      <c r="BZJ110" s="17"/>
      <c r="BZK110" s="17"/>
      <c r="BZL110" s="17"/>
      <c r="BZM110" s="17"/>
      <c r="BZN110" s="17"/>
      <c r="BZO110" s="17"/>
      <c r="BZP110" s="17"/>
      <c r="BZQ110" s="17"/>
      <c r="BZR110" s="17"/>
      <c r="BZS110" s="17"/>
      <c r="BZT110" s="17"/>
      <c r="BZU110" s="17"/>
      <c r="BZV110" s="17"/>
      <c r="BZW110" s="17"/>
      <c r="BZX110" s="17"/>
      <c r="BZY110" s="17"/>
      <c r="BZZ110" s="17"/>
      <c r="CAA110" s="17"/>
      <c r="CAB110" s="17"/>
      <c r="CAC110" s="17"/>
      <c r="CAD110" s="17"/>
      <c r="CAE110" s="17"/>
      <c r="CAF110" s="17"/>
      <c r="CAG110" s="17"/>
      <c r="CAH110" s="17"/>
      <c r="CAI110" s="17"/>
      <c r="CAJ110" s="17"/>
      <c r="CAK110" s="17"/>
      <c r="CAL110" s="17"/>
      <c r="CAM110" s="17"/>
      <c r="CAN110" s="17"/>
      <c r="CAO110" s="17"/>
      <c r="CAP110" s="17"/>
      <c r="CAQ110" s="17"/>
      <c r="CAR110" s="17"/>
      <c r="CAS110" s="17"/>
      <c r="CAT110" s="17"/>
      <c r="CAU110" s="17"/>
      <c r="CAV110" s="17"/>
      <c r="CAW110" s="17"/>
      <c r="CAX110" s="17"/>
      <c r="CAY110" s="17"/>
      <c r="CAZ110" s="17"/>
      <c r="CBA110" s="17"/>
      <c r="CBB110" s="17"/>
      <c r="CBC110" s="17"/>
      <c r="CBD110" s="17"/>
      <c r="CBE110" s="17"/>
      <c r="CBF110" s="17"/>
      <c r="CBG110" s="17"/>
      <c r="CBH110" s="17"/>
      <c r="CBI110" s="17"/>
      <c r="CBJ110" s="17"/>
      <c r="CBK110" s="17"/>
      <c r="CBL110" s="17"/>
      <c r="CBM110" s="17"/>
      <c r="CBN110" s="17"/>
      <c r="CBO110" s="17"/>
      <c r="CBP110" s="17"/>
      <c r="CBQ110" s="17"/>
      <c r="CBR110" s="17"/>
      <c r="CBS110" s="17"/>
      <c r="CBT110" s="17"/>
      <c r="CBU110" s="17"/>
      <c r="CBV110" s="17"/>
      <c r="CBW110" s="17"/>
      <c r="CBX110" s="17"/>
      <c r="CBY110" s="17"/>
      <c r="CBZ110" s="17"/>
      <c r="CCA110" s="17"/>
      <c r="CCB110" s="17"/>
      <c r="CCC110" s="17"/>
      <c r="CCD110" s="17"/>
      <c r="CCE110" s="17"/>
      <c r="CCF110" s="17"/>
      <c r="CCG110" s="17"/>
      <c r="CCH110" s="17"/>
      <c r="CCI110" s="17"/>
      <c r="CCJ110" s="17"/>
      <c r="CCK110" s="17"/>
      <c r="CCL110" s="17"/>
      <c r="CCM110" s="17"/>
      <c r="CCN110" s="17"/>
      <c r="CCO110" s="17"/>
      <c r="CCP110" s="17"/>
      <c r="CCQ110" s="17"/>
      <c r="CCR110" s="17"/>
      <c r="CCS110" s="17"/>
      <c r="CCT110" s="17"/>
      <c r="CCU110" s="17"/>
      <c r="CCV110" s="17"/>
      <c r="CCW110" s="17"/>
      <c r="CCX110" s="17"/>
      <c r="CCY110" s="17"/>
      <c r="CCZ110" s="17"/>
      <c r="CDA110" s="17"/>
      <c r="CDB110" s="17"/>
      <c r="CDC110" s="17"/>
      <c r="CDD110" s="17"/>
      <c r="CDE110" s="17"/>
      <c r="CDF110" s="17"/>
      <c r="CDG110" s="17"/>
      <c r="CDH110" s="17"/>
      <c r="CDI110" s="17"/>
      <c r="CDJ110" s="17"/>
      <c r="CDK110" s="17"/>
      <c r="CDL110" s="17"/>
      <c r="CDM110" s="17"/>
      <c r="CDN110" s="17"/>
      <c r="CDO110" s="17"/>
      <c r="CDP110" s="17"/>
      <c r="CDQ110" s="17"/>
      <c r="CDR110" s="17"/>
      <c r="CDS110" s="17"/>
      <c r="CDT110" s="17"/>
      <c r="CDU110" s="17"/>
      <c r="CDV110" s="17"/>
      <c r="CDW110" s="17"/>
      <c r="CDX110" s="17"/>
      <c r="CDY110" s="17"/>
      <c r="CDZ110" s="17"/>
      <c r="CEA110" s="17"/>
      <c r="CEB110" s="17"/>
      <c r="CEC110" s="17"/>
      <c r="CED110" s="17"/>
      <c r="CEE110" s="17"/>
      <c r="CEF110" s="17"/>
      <c r="CEG110" s="17"/>
      <c r="CEH110" s="17"/>
      <c r="CEI110" s="17"/>
      <c r="CEJ110" s="17"/>
      <c r="CEK110" s="17"/>
      <c r="CEL110" s="17"/>
      <c r="CEM110" s="17"/>
      <c r="CEN110" s="17"/>
      <c r="CEO110" s="17"/>
      <c r="CEP110" s="17"/>
      <c r="CEQ110" s="17"/>
      <c r="CER110" s="17"/>
      <c r="CES110" s="17"/>
      <c r="CET110" s="17"/>
      <c r="CEU110" s="17"/>
      <c r="CEV110" s="17"/>
      <c r="CEW110" s="17"/>
      <c r="CEX110" s="17"/>
      <c r="CEY110" s="17"/>
      <c r="CEZ110" s="17"/>
      <c r="CFA110" s="17"/>
      <c r="CFB110" s="17"/>
      <c r="CFC110" s="17"/>
      <c r="CFD110" s="17"/>
      <c r="CFE110" s="17"/>
      <c r="CFF110" s="17"/>
      <c r="CFG110" s="17"/>
      <c r="CFH110" s="17"/>
      <c r="CFI110" s="17"/>
      <c r="CFJ110" s="17"/>
      <c r="CFK110" s="17"/>
      <c r="CFL110" s="17"/>
      <c r="CFM110" s="17"/>
      <c r="CFN110" s="17"/>
      <c r="CFO110" s="17"/>
      <c r="CFP110" s="17"/>
      <c r="CFQ110" s="17"/>
      <c r="CFR110" s="17"/>
      <c r="CFS110" s="17"/>
      <c r="CFT110" s="17"/>
      <c r="CFU110" s="17"/>
      <c r="CFV110" s="17"/>
      <c r="CFW110" s="17"/>
      <c r="CFX110" s="17"/>
      <c r="CFY110" s="17"/>
      <c r="CFZ110" s="17"/>
      <c r="CGA110" s="17"/>
      <c r="CGB110" s="17"/>
      <c r="CGC110" s="17"/>
      <c r="CGD110" s="17"/>
      <c r="CGE110" s="17"/>
      <c r="CGF110" s="17"/>
      <c r="CGG110" s="17"/>
      <c r="CGH110" s="17"/>
      <c r="CGI110" s="17"/>
      <c r="CGJ110" s="17"/>
      <c r="CGK110" s="17"/>
      <c r="CGL110" s="17"/>
      <c r="CGM110" s="17"/>
      <c r="CGN110" s="17"/>
      <c r="CGO110" s="17"/>
      <c r="CGP110" s="17"/>
      <c r="CGQ110" s="17"/>
      <c r="CGR110" s="17"/>
      <c r="CGS110" s="17"/>
      <c r="CGT110" s="17"/>
      <c r="CGU110" s="17"/>
      <c r="CGV110" s="17"/>
      <c r="CGW110" s="17"/>
      <c r="CGX110" s="17"/>
      <c r="CGY110" s="17"/>
      <c r="CGZ110" s="17"/>
      <c r="CHA110" s="17"/>
      <c r="CHB110" s="17"/>
      <c r="CHC110" s="17"/>
      <c r="CHD110" s="17"/>
      <c r="CHE110" s="17"/>
      <c r="CHF110" s="17"/>
      <c r="CHG110" s="17"/>
      <c r="CHH110" s="17"/>
      <c r="CHI110" s="17"/>
      <c r="CHJ110" s="17"/>
      <c r="CHK110" s="17"/>
      <c r="CHL110" s="17"/>
      <c r="CHM110" s="17"/>
      <c r="CHN110" s="17"/>
      <c r="CHO110" s="17"/>
      <c r="CHP110" s="17"/>
      <c r="CHQ110" s="17"/>
      <c r="CHR110" s="17"/>
      <c r="CHS110" s="17"/>
      <c r="CHT110" s="17"/>
      <c r="CHU110" s="17"/>
      <c r="CHV110" s="17"/>
      <c r="CHW110" s="17"/>
      <c r="CHX110" s="17"/>
      <c r="CHY110" s="17"/>
      <c r="CHZ110" s="17"/>
      <c r="CIA110" s="17"/>
      <c r="CIB110" s="17"/>
      <c r="CIC110" s="17"/>
      <c r="CID110" s="17"/>
      <c r="CIE110" s="17"/>
      <c r="CIF110" s="17"/>
      <c r="CIG110" s="17"/>
      <c r="CIH110" s="17"/>
      <c r="CII110" s="17"/>
      <c r="CIJ110" s="17"/>
      <c r="CIK110" s="17"/>
      <c r="CIL110" s="17"/>
      <c r="CIM110" s="17"/>
      <c r="CIN110" s="17"/>
      <c r="CIO110" s="17"/>
      <c r="CIP110" s="17"/>
      <c r="CIQ110" s="17"/>
      <c r="CIR110" s="17"/>
      <c r="CIS110" s="17"/>
      <c r="CIT110" s="17"/>
      <c r="CIU110" s="17"/>
      <c r="CIV110" s="17"/>
      <c r="CIW110" s="17"/>
      <c r="CIX110" s="17"/>
      <c r="CIY110" s="17"/>
      <c r="CIZ110" s="17"/>
      <c r="CJA110" s="17"/>
      <c r="CJB110" s="17"/>
      <c r="CJC110" s="17"/>
      <c r="CJD110" s="17"/>
      <c r="CJE110" s="17"/>
      <c r="CJF110" s="17"/>
      <c r="CJG110" s="17"/>
      <c r="CJH110" s="17"/>
      <c r="CJI110" s="17"/>
      <c r="CJJ110" s="17"/>
      <c r="CJK110" s="17"/>
      <c r="CJL110" s="17"/>
      <c r="CJM110" s="17"/>
      <c r="CJN110" s="17"/>
      <c r="CJO110" s="17"/>
      <c r="CJP110" s="17"/>
      <c r="CJQ110" s="17"/>
      <c r="CJR110" s="17"/>
      <c r="CJS110" s="17"/>
      <c r="CJT110" s="17"/>
      <c r="CJU110" s="17"/>
      <c r="CJV110" s="17"/>
      <c r="CJW110" s="17"/>
      <c r="CJX110" s="17"/>
      <c r="CJY110" s="17"/>
      <c r="CJZ110" s="17"/>
      <c r="CKA110" s="17"/>
      <c r="CKB110" s="17"/>
      <c r="CKC110" s="17"/>
      <c r="CKD110" s="17"/>
      <c r="CKE110" s="17"/>
      <c r="CKF110" s="17"/>
      <c r="CKG110" s="17"/>
      <c r="CKH110" s="17"/>
      <c r="CKI110" s="17"/>
      <c r="CKJ110" s="17"/>
      <c r="CKK110" s="17"/>
      <c r="CKL110" s="17"/>
      <c r="CKM110" s="17"/>
      <c r="CKN110" s="17"/>
      <c r="CKO110" s="17"/>
      <c r="CKP110" s="17"/>
      <c r="CKQ110" s="17"/>
      <c r="CKR110" s="17"/>
      <c r="CKS110" s="17"/>
      <c r="CKT110" s="17"/>
      <c r="CKU110" s="17"/>
      <c r="CKV110" s="17"/>
      <c r="CKW110" s="17"/>
      <c r="CKX110" s="17"/>
      <c r="CKY110" s="17"/>
      <c r="CKZ110" s="17"/>
      <c r="CLA110" s="17"/>
      <c r="CLB110" s="17"/>
      <c r="CLC110" s="17"/>
      <c r="CLD110" s="17"/>
      <c r="CLE110" s="17"/>
      <c r="CLF110" s="17"/>
      <c r="CLG110" s="17"/>
      <c r="CLH110" s="17"/>
      <c r="CLI110" s="17"/>
      <c r="CLJ110" s="17"/>
      <c r="CLK110" s="17"/>
      <c r="CLL110" s="17"/>
      <c r="CLM110" s="17"/>
      <c r="CLN110" s="17"/>
      <c r="CLO110" s="17"/>
      <c r="CLP110" s="17"/>
      <c r="CLQ110" s="17"/>
      <c r="CLR110" s="17"/>
      <c r="CLS110" s="17"/>
      <c r="CLT110" s="17"/>
      <c r="CLU110" s="17"/>
      <c r="CLV110" s="17"/>
      <c r="CLW110" s="17"/>
      <c r="CLX110" s="17"/>
      <c r="CLY110" s="17"/>
      <c r="CLZ110" s="17"/>
      <c r="CMA110" s="17"/>
      <c r="CMB110" s="17"/>
      <c r="CMC110" s="17"/>
      <c r="CMD110" s="17"/>
      <c r="CME110" s="17"/>
      <c r="CMF110" s="17"/>
      <c r="CMG110" s="17"/>
      <c r="CMH110" s="17"/>
      <c r="CMI110" s="17"/>
      <c r="CMJ110" s="17"/>
      <c r="CMK110" s="17"/>
      <c r="CML110" s="17"/>
      <c r="CMM110" s="17"/>
      <c r="CMN110" s="17"/>
      <c r="CMO110" s="17"/>
      <c r="CMP110" s="17"/>
      <c r="CMQ110" s="17"/>
      <c r="CMR110" s="17"/>
      <c r="CMS110" s="17"/>
      <c r="CMT110" s="17"/>
      <c r="CMU110" s="17"/>
      <c r="CMV110" s="17"/>
      <c r="CMW110" s="17"/>
      <c r="CMX110" s="17"/>
      <c r="CMY110" s="17"/>
      <c r="CMZ110" s="17"/>
      <c r="CNA110" s="17"/>
      <c r="CNB110" s="17"/>
      <c r="CNC110" s="17"/>
      <c r="CND110" s="17"/>
      <c r="CNE110" s="17"/>
      <c r="CNF110" s="17"/>
      <c r="CNG110" s="17"/>
      <c r="CNH110" s="17"/>
      <c r="CNI110" s="17"/>
      <c r="CNJ110" s="17"/>
      <c r="CNK110" s="17"/>
      <c r="CNL110" s="17"/>
      <c r="CNM110" s="17"/>
      <c r="CNN110" s="17"/>
      <c r="CNO110" s="17"/>
      <c r="CNP110" s="17"/>
      <c r="CNQ110" s="17"/>
      <c r="CNR110" s="17"/>
      <c r="CNS110" s="17"/>
      <c r="CNT110" s="17"/>
      <c r="CNU110" s="17"/>
      <c r="CNV110" s="17"/>
      <c r="CNW110" s="17"/>
      <c r="CNX110" s="17"/>
      <c r="CNY110" s="17"/>
      <c r="CNZ110" s="17"/>
      <c r="COA110" s="17"/>
      <c r="COB110" s="17"/>
      <c r="COC110" s="17"/>
      <c r="COD110" s="17"/>
      <c r="COE110" s="17"/>
      <c r="COF110" s="17"/>
      <c r="COG110" s="17"/>
      <c r="COH110" s="17"/>
      <c r="COI110" s="17"/>
      <c r="COJ110" s="17"/>
      <c r="COK110" s="17"/>
      <c r="COL110" s="17"/>
      <c r="COM110" s="17"/>
      <c r="CON110" s="17"/>
      <c r="COO110" s="17"/>
      <c r="COP110" s="17"/>
      <c r="COQ110" s="17"/>
      <c r="COR110" s="17"/>
      <c r="COS110" s="17"/>
      <c r="COT110" s="17"/>
      <c r="COU110" s="17"/>
      <c r="COV110" s="17"/>
      <c r="COW110" s="17"/>
      <c r="COX110" s="17"/>
      <c r="COY110" s="17"/>
      <c r="COZ110" s="17"/>
      <c r="CPA110" s="17"/>
      <c r="CPB110" s="17"/>
      <c r="CPC110" s="17"/>
      <c r="CPD110" s="17"/>
      <c r="CPE110" s="17"/>
      <c r="CPF110" s="17"/>
      <c r="CPG110" s="17"/>
      <c r="CPH110" s="17"/>
      <c r="CPI110" s="17"/>
      <c r="CPJ110" s="17"/>
      <c r="CPK110" s="17"/>
      <c r="CPL110" s="17"/>
      <c r="CPM110" s="17"/>
      <c r="CPN110" s="17"/>
      <c r="CPO110" s="17"/>
      <c r="CPP110" s="17"/>
      <c r="CPQ110" s="17"/>
      <c r="CPR110" s="17"/>
      <c r="CPS110" s="17"/>
      <c r="CPT110" s="17"/>
      <c r="CPU110" s="17"/>
      <c r="CPV110" s="17"/>
      <c r="CPW110" s="17"/>
      <c r="CPX110" s="17"/>
      <c r="CPY110" s="17"/>
      <c r="CPZ110" s="17"/>
      <c r="CQA110" s="17"/>
      <c r="CQB110" s="17"/>
      <c r="CQC110" s="17"/>
      <c r="CQD110" s="17"/>
      <c r="CQE110" s="17"/>
      <c r="CQF110" s="17"/>
      <c r="CQG110" s="17"/>
      <c r="CQH110" s="17"/>
      <c r="CQI110" s="17"/>
      <c r="CQJ110" s="17"/>
      <c r="CQK110" s="17"/>
      <c r="CQL110" s="17"/>
      <c r="CQM110" s="17"/>
      <c r="CQN110" s="17"/>
      <c r="CQO110" s="17"/>
      <c r="CQP110" s="17"/>
      <c r="CQQ110" s="17"/>
      <c r="CQR110" s="17"/>
      <c r="CQS110" s="17"/>
      <c r="CQT110" s="17"/>
      <c r="CQU110" s="17"/>
      <c r="CQV110" s="17"/>
      <c r="CQW110" s="17"/>
      <c r="CQX110" s="17"/>
      <c r="CQY110" s="17"/>
      <c r="CQZ110" s="17"/>
      <c r="CRA110" s="17"/>
      <c r="CRB110" s="17"/>
      <c r="CRC110" s="17"/>
      <c r="CRD110" s="17"/>
      <c r="CRE110" s="17"/>
      <c r="CRF110" s="17"/>
      <c r="CRG110" s="17"/>
      <c r="CRH110" s="17"/>
      <c r="CRI110" s="17"/>
      <c r="CRJ110" s="17"/>
      <c r="CRK110" s="17"/>
      <c r="CRL110" s="17"/>
      <c r="CRM110" s="17"/>
      <c r="CRN110" s="17"/>
      <c r="CRO110" s="17"/>
      <c r="CRP110" s="17"/>
      <c r="CRQ110" s="17"/>
      <c r="CRR110" s="17"/>
      <c r="CRS110" s="17"/>
      <c r="CRT110" s="17"/>
      <c r="CRU110" s="17"/>
      <c r="CRV110" s="17"/>
      <c r="CRW110" s="17"/>
      <c r="CRX110" s="17"/>
      <c r="CRY110" s="17"/>
      <c r="CRZ110" s="17"/>
      <c r="CSA110" s="17"/>
      <c r="CSB110" s="17"/>
      <c r="CSC110" s="17"/>
      <c r="CSD110" s="17"/>
      <c r="CSE110" s="17"/>
      <c r="CSF110" s="17"/>
      <c r="CSG110" s="17"/>
      <c r="CSH110" s="17"/>
      <c r="CSI110" s="17"/>
      <c r="CSJ110" s="17"/>
      <c r="CSK110" s="17"/>
      <c r="CSL110" s="17"/>
      <c r="CSM110" s="17"/>
      <c r="CSN110" s="17"/>
      <c r="CSO110" s="17"/>
      <c r="CSP110" s="17"/>
      <c r="CSQ110" s="17"/>
      <c r="CSR110" s="17"/>
      <c r="CSS110" s="17"/>
      <c r="CST110" s="17"/>
      <c r="CSU110" s="17"/>
      <c r="CSV110" s="17"/>
      <c r="CSW110" s="17"/>
      <c r="CSX110" s="17"/>
      <c r="CSY110" s="17"/>
      <c r="CSZ110" s="17"/>
      <c r="CTA110" s="17"/>
      <c r="CTB110" s="17"/>
      <c r="CTC110" s="17"/>
      <c r="CTD110" s="17"/>
      <c r="CTE110" s="17"/>
      <c r="CTF110" s="17"/>
      <c r="CTG110" s="17"/>
      <c r="CTH110" s="17"/>
      <c r="CTI110" s="17"/>
      <c r="CTJ110" s="17"/>
      <c r="CTK110" s="17"/>
      <c r="CTL110" s="17"/>
      <c r="CTM110" s="17"/>
      <c r="CTN110" s="17"/>
      <c r="CTO110" s="17"/>
      <c r="CTP110" s="17"/>
      <c r="CTQ110" s="17"/>
      <c r="CTR110" s="17"/>
      <c r="CTS110" s="17"/>
      <c r="CTT110" s="17"/>
      <c r="CTU110" s="17"/>
      <c r="CTV110" s="17"/>
      <c r="CTW110" s="17"/>
      <c r="CTX110" s="17"/>
      <c r="CTY110" s="17"/>
      <c r="CTZ110" s="17"/>
      <c r="CUA110" s="17"/>
      <c r="CUB110" s="17"/>
      <c r="CUC110" s="17"/>
      <c r="CUD110" s="17"/>
      <c r="CUE110" s="17"/>
      <c r="CUF110" s="17"/>
      <c r="CUG110" s="17"/>
      <c r="CUH110" s="17"/>
      <c r="CUI110" s="17"/>
      <c r="CUJ110" s="17"/>
      <c r="CUK110" s="17"/>
      <c r="CUL110" s="17"/>
      <c r="CUM110" s="17"/>
      <c r="CUN110" s="17"/>
      <c r="CUO110" s="17"/>
      <c r="CUP110" s="17"/>
      <c r="CUQ110" s="17"/>
      <c r="CUR110" s="17"/>
      <c r="CUS110" s="17"/>
      <c r="CUT110" s="17"/>
      <c r="CUU110" s="17"/>
      <c r="CUV110" s="17"/>
      <c r="CUW110" s="17"/>
      <c r="CUX110" s="17"/>
      <c r="CUY110" s="17"/>
      <c r="CUZ110" s="17"/>
      <c r="CVA110" s="17"/>
      <c r="CVB110" s="17"/>
      <c r="CVC110" s="17"/>
      <c r="CVD110" s="17"/>
      <c r="CVE110" s="17"/>
      <c r="CVF110" s="17"/>
      <c r="CVG110" s="17"/>
      <c r="CVH110" s="17"/>
      <c r="CVI110" s="17"/>
      <c r="CVJ110" s="17"/>
      <c r="CVK110" s="17"/>
      <c r="CVL110" s="17"/>
      <c r="CVM110" s="17"/>
      <c r="CVN110" s="17"/>
      <c r="CVO110" s="17"/>
      <c r="CVP110" s="17"/>
      <c r="CVQ110" s="17"/>
      <c r="CVR110" s="17"/>
      <c r="CVS110" s="17"/>
      <c r="CVT110" s="17"/>
      <c r="CVU110" s="17"/>
      <c r="CVV110" s="17"/>
      <c r="CVW110" s="17"/>
      <c r="CVX110" s="17"/>
      <c r="CVY110" s="17"/>
      <c r="CVZ110" s="17"/>
      <c r="CWA110" s="17"/>
      <c r="CWB110" s="17"/>
      <c r="CWC110" s="17"/>
      <c r="CWD110" s="17"/>
      <c r="CWE110" s="17"/>
      <c r="CWF110" s="17"/>
      <c r="CWG110" s="17"/>
      <c r="CWH110" s="17"/>
      <c r="CWI110" s="17"/>
      <c r="CWJ110" s="17"/>
      <c r="CWK110" s="17"/>
      <c r="CWL110" s="17"/>
      <c r="CWM110" s="17"/>
      <c r="CWN110" s="17"/>
      <c r="CWO110" s="17"/>
      <c r="CWP110" s="17"/>
      <c r="CWQ110" s="17"/>
      <c r="CWR110" s="17"/>
      <c r="CWS110" s="17"/>
      <c r="CWT110" s="17"/>
      <c r="CWU110" s="17"/>
      <c r="CWV110" s="17"/>
      <c r="CWW110" s="17"/>
      <c r="CWX110" s="17"/>
      <c r="CWY110" s="17"/>
      <c r="CWZ110" s="17"/>
      <c r="CXA110" s="17"/>
      <c r="CXB110" s="17"/>
      <c r="CXC110" s="17"/>
      <c r="CXD110" s="17"/>
      <c r="CXE110" s="17"/>
      <c r="CXF110" s="17"/>
      <c r="CXG110" s="17"/>
      <c r="CXH110" s="17"/>
      <c r="CXI110" s="17"/>
      <c r="CXJ110" s="17"/>
      <c r="CXK110" s="17"/>
      <c r="CXL110" s="17"/>
      <c r="CXM110" s="17"/>
      <c r="CXN110" s="17"/>
      <c r="CXO110" s="17"/>
      <c r="CXP110" s="17"/>
      <c r="CXQ110" s="17"/>
      <c r="CXR110" s="17"/>
      <c r="CXS110" s="17"/>
      <c r="CXT110" s="17"/>
      <c r="CXU110" s="17"/>
      <c r="CXV110" s="17"/>
      <c r="CXW110" s="17"/>
      <c r="CXX110" s="17"/>
      <c r="CXY110" s="17"/>
      <c r="CXZ110" s="17"/>
      <c r="CYA110" s="17"/>
      <c r="CYB110" s="17"/>
      <c r="CYC110" s="17"/>
      <c r="CYD110" s="17"/>
      <c r="CYE110" s="17"/>
      <c r="CYF110" s="17"/>
      <c r="CYG110" s="17"/>
      <c r="CYH110" s="17"/>
      <c r="CYI110" s="17"/>
      <c r="CYJ110" s="17"/>
      <c r="CYK110" s="17"/>
      <c r="CYL110" s="17"/>
      <c r="CYM110" s="17"/>
      <c r="CYN110" s="17"/>
      <c r="CYO110" s="17"/>
      <c r="CYP110" s="17"/>
      <c r="CYQ110" s="17"/>
      <c r="CYR110" s="17"/>
      <c r="CYS110" s="17"/>
      <c r="CYT110" s="17"/>
      <c r="CYU110" s="17"/>
      <c r="CYV110" s="17"/>
      <c r="CYW110" s="17"/>
      <c r="CYX110" s="17"/>
      <c r="CYY110" s="17"/>
      <c r="CYZ110" s="17"/>
      <c r="CZA110" s="17"/>
      <c r="CZB110" s="17"/>
      <c r="CZC110" s="17"/>
      <c r="CZD110" s="17"/>
      <c r="CZE110" s="17"/>
      <c r="CZF110" s="17"/>
      <c r="CZG110" s="17"/>
      <c r="CZH110" s="17"/>
      <c r="CZI110" s="17"/>
      <c r="CZJ110" s="17"/>
      <c r="CZK110" s="17"/>
      <c r="CZL110" s="17"/>
      <c r="CZM110" s="17"/>
      <c r="CZN110" s="17"/>
      <c r="CZO110" s="17"/>
      <c r="CZP110" s="17"/>
      <c r="CZQ110" s="17"/>
      <c r="CZR110" s="17"/>
      <c r="CZS110" s="17"/>
      <c r="CZT110" s="17"/>
      <c r="CZU110" s="17"/>
      <c r="CZV110" s="17"/>
      <c r="CZW110" s="17"/>
      <c r="CZX110" s="17"/>
      <c r="CZY110" s="17"/>
      <c r="CZZ110" s="17"/>
      <c r="DAA110" s="17"/>
      <c r="DAB110" s="17"/>
      <c r="DAC110" s="17"/>
      <c r="DAD110" s="17"/>
      <c r="DAE110" s="17"/>
      <c r="DAF110" s="17"/>
      <c r="DAG110" s="17"/>
      <c r="DAH110" s="17"/>
      <c r="DAI110" s="17"/>
      <c r="DAJ110" s="17"/>
      <c r="DAK110" s="17"/>
      <c r="DAL110" s="17"/>
      <c r="DAM110" s="17"/>
      <c r="DAN110" s="17"/>
      <c r="DAO110" s="17"/>
      <c r="DAP110" s="17"/>
      <c r="DAQ110" s="17"/>
      <c r="DAR110" s="17"/>
      <c r="DAS110" s="17"/>
      <c r="DAT110" s="17"/>
      <c r="DAU110" s="17"/>
      <c r="DAV110" s="17"/>
      <c r="DAW110" s="17"/>
      <c r="DAX110" s="17"/>
      <c r="DAY110" s="17"/>
      <c r="DAZ110" s="17"/>
      <c r="DBA110" s="17"/>
      <c r="DBB110" s="17"/>
      <c r="DBC110" s="17"/>
      <c r="DBD110" s="17"/>
      <c r="DBE110" s="17"/>
      <c r="DBF110" s="17"/>
      <c r="DBG110" s="17"/>
      <c r="DBH110" s="17"/>
      <c r="DBI110" s="17"/>
      <c r="DBJ110" s="17"/>
      <c r="DBK110" s="17"/>
      <c r="DBL110" s="17"/>
      <c r="DBM110" s="17"/>
      <c r="DBN110" s="17"/>
      <c r="DBO110" s="17"/>
      <c r="DBP110" s="17"/>
      <c r="DBQ110" s="17"/>
      <c r="DBR110" s="17"/>
      <c r="DBS110" s="17"/>
      <c r="DBT110" s="17"/>
      <c r="DBU110" s="17"/>
      <c r="DBV110" s="17"/>
      <c r="DBW110" s="17"/>
      <c r="DBX110" s="17"/>
      <c r="DBY110" s="17"/>
      <c r="DBZ110" s="17"/>
      <c r="DCA110" s="17"/>
      <c r="DCB110" s="17"/>
      <c r="DCC110" s="17"/>
      <c r="DCD110" s="17"/>
      <c r="DCE110" s="17"/>
      <c r="DCF110" s="17"/>
      <c r="DCG110" s="17"/>
      <c r="DCH110" s="17"/>
      <c r="DCI110" s="17"/>
      <c r="DCJ110" s="17"/>
      <c r="DCK110" s="17"/>
      <c r="DCL110" s="17"/>
      <c r="DCM110" s="17"/>
      <c r="DCN110" s="17"/>
      <c r="DCO110" s="17"/>
      <c r="DCP110" s="17"/>
      <c r="DCQ110" s="17"/>
      <c r="DCR110" s="17"/>
      <c r="DCS110" s="17"/>
      <c r="DCT110" s="17"/>
      <c r="DCU110" s="17"/>
      <c r="DCV110" s="17"/>
      <c r="DCW110" s="17"/>
      <c r="DCX110" s="17"/>
      <c r="DCY110" s="17"/>
      <c r="DCZ110" s="17"/>
      <c r="DDA110" s="17"/>
      <c r="DDB110" s="17"/>
      <c r="DDC110" s="17"/>
      <c r="DDD110" s="17"/>
      <c r="DDE110" s="17"/>
      <c r="DDF110" s="17"/>
      <c r="DDG110" s="17"/>
      <c r="DDH110" s="17"/>
      <c r="DDI110" s="17"/>
      <c r="DDJ110" s="17"/>
      <c r="DDK110" s="17"/>
      <c r="DDL110" s="17"/>
      <c r="DDM110" s="17"/>
      <c r="DDN110" s="17"/>
      <c r="DDO110" s="17"/>
      <c r="DDP110" s="17"/>
      <c r="DDQ110" s="17"/>
      <c r="DDR110" s="17"/>
      <c r="DDS110" s="17"/>
      <c r="DDT110" s="17"/>
      <c r="DDU110" s="17"/>
      <c r="DDV110" s="17"/>
      <c r="DDW110" s="17"/>
      <c r="DDX110" s="17"/>
      <c r="DDY110" s="17"/>
      <c r="DDZ110" s="17"/>
      <c r="DEA110" s="17"/>
      <c r="DEB110" s="17"/>
      <c r="DEC110" s="17"/>
      <c r="DED110" s="17"/>
      <c r="DEE110" s="17"/>
      <c r="DEF110" s="17"/>
      <c r="DEG110" s="17"/>
      <c r="DEH110" s="17"/>
      <c r="DEI110" s="17"/>
      <c r="DEJ110" s="17"/>
      <c r="DEK110" s="17"/>
      <c r="DEL110" s="17"/>
      <c r="DEM110" s="17"/>
      <c r="DEN110" s="17"/>
      <c r="DEO110" s="17"/>
      <c r="DEP110" s="17"/>
      <c r="DEQ110" s="17"/>
      <c r="DER110" s="17"/>
      <c r="DES110" s="17"/>
      <c r="DET110" s="17"/>
      <c r="DEU110" s="17"/>
      <c r="DEV110" s="17"/>
      <c r="DEW110" s="17"/>
      <c r="DEX110" s="17"/>
      <c r="DEY110" s="17"/>
      <c r="DEZ110" s="17"/>
      <c r="DFA110" s="17"/>
      <c r="DFB110" s="17"/>
      <c r="DFC110" s="17"/>
      <c r="DFD110" s="17"/>
      <c r="DFE110" s="17"/>
      <c r="DFF110" s="17"/>
      <c r="DFG110" s="17"/>
      <c r="DFH110" s="17"/>
      <c r="DFI110" s="17"/>
      <c r="DFJ110" s="17"/>
      <c r="DFK110" s="17"/>
      <c r="DFL110" s="17"/>
      <c r="DFM110" s="17"/>
      <c r="DFN110" s="17"/>
      <c r="DFO110" s="17"/>
      <c r="DFP110" s="17"/>
      <c r="DFQ110" s="17"/>
      <c r="DFR110" s="17"/>
      <c r="DFS110" s="17"/>
      <c r="DFT110" s="17"/>
      <c r="DFU110" s="17"/>
      <c r="DFV110" s="17"/>
      <c r="DFW110" s="17"/>
      <c r="DFX110" s="17"/>
      <c r="DFY110" s="17"/>
      <c r="DFZ110" s="17"/>
      <c r="DGA110" s="17"/>
      <c r="DGB110" s="17"/>
      <c r="DGC110" s="17"/>
      <c r="DGD110" s="17"/>
      <c r="DGE110" s="17"/>
      <c r="DGF110" s="17"/>
      <c r="DGG110" s="17"/>
      <c r="DGH110" s="17"/>
      <c r="DGI110" s="17"/>
      <c r="DGJ110" s="17"/>
      <c r="DGK110" s="17"/>
      <c r="DGL110" s="17"/>
      <c r="DGM110" s="17"/>
      <c r="DGN110" s="17"/>
      <c r="DGO110" s="17"/>
      <c r="DGP110" s="17"/>
      <c r="DGQ110" s="17"/>
      <c r="DGR110" s="17"/>
      <c r="DGS110" s="17"/>
      <c r="DGT110" s="17"/>
      <c r="DGU110" s="17"/>
      <c r="DGV110" s="17"/>
      <c r="DGW110" s="17"/>
      <c r="DGX110" s="17"/>
      <c r="DGY110" s="17"/>
      <c r="DGZ110" s="17"/>
      <c r="DHA110" s="17"/>
      <c r="DHB110" s="17"/>
      <c r="DHC110" s="17"/>
      <c r="DHD110" s="17"/>
      <c r="DHE110" s="17"/>
      <c r="DHF110" s="17"/>
      <c r="DHG110" s="17"/>
      <c r="DHH110" s="17"/>
      <c r="DHI110" s="17"/>
      <c r="DHJ110" s="17"/>
      <c r="DHK110" s="17"/>
      <c r="DHL110" s="17"/>
      <c r="DHM110" s="17"/>
      <c r="DHN110" s="17"/>
      <c r="DHO110" s="17"/>
      <c r="DHP110" s="17"/>
      <c r="DHQ110" s="17"/>
      <c r="DHR110" s="17"/>
      <c r="DHS110" s="17"/>
      <c r="DHT110" s="17"/>
      <c r="DHU110" s="17"/>
      <c r="DHV110" s="17"/>
      <c r="DHW110" s="17"/>
      <c r="DHX110" s="17"/>
      <c r="DHY110" s="17"/>
      <c r="DHZ110" s="17"/>
      <c r="DIA110" s="17"/>
      <c r="DIB110" s="17"/>
      <c r="DIC110" s="17"/>
      <c r="DID110" s="17"/>
      <c r="DIE110" s="17"/>
      <c r="DIF110" s="17"/>
      <c r="DIG110" s="17"/>
      <c r="DIH110" s="17"/>
      <c r="DII110" s="17"/>
      <c r="DIJ110" s="17"/>
      <c r="DIK110" s="17"/>
      <c r="DIL110" s="17"/>
      <c r="DIM110" s="17"/>
      <c r="DIN110" s="17"/>
      <c r="DIO110" s="17"/>
      <c r="DIP110" s="17"/>
      <c r="DIQ110" s="17"/>
      <c r="DIR110" s="17"/>
      <c r="DIS110" s="17"/>
      <c r="DIT110" s="17"/>
      <c r="DIU110" s="17"/>
      <c r="DIV110" s="17"/>
      <c r="DIW110" s="17"/>
      <c r="DIX110" s="17"/>
      <c r="DIY110" s="17"/>
      <c r="DIZ110" s="17"/>
      <c r="DJA110" s="17"/>
      <c r="DJB110" s="17"/>
      <c r="DJC110" s="17"/>
      <c r="DJD110" s="17"/>
      <c r="DJE110" s="17"/>
      <c r="DJF110" s="17"/>
      <c r="DJG110" s="17"/>
      <c r="DJH110" s="17"/>
      <c r="DJI110" s="17"/>
      <c r="DJJ110" s="17"/>
      <c r="DJK110" s="17"/>
      <c r="DJL110" s="17"/>
      <c r="DJM110" s="17"/>
      <c r="DJN110" s="17"/>
      <c r="DJO110" s="17"/>
      <c r="DJP110" s="17"/>
      <c r="DJQ110" s="17"/>
      <c r="DJR110" s="17"/>
      <c r="DJS110" s="17"/>
      <c r="DJT110" s="17"/>
      <c r="DJU110" s="17"/>
      <c r="DJV110" s="17"/>
      <c r="DJW110" s="17"/>
      <c r="DJX110" s="17"/>
      <c r="DJY110" s="17"/>
      <c r="DJZ110" s="17"/>
      <c r="DKA110" s="17"/>
      <c r="DKB110" s="17"/>
      <c r="DKC110" s="17"/>
      <c r="DKD110" s="17"/>
      <c r="DKE110" s="17"/>
      <c r="DKF110" s="17"/>
      <c r="DKG110" s="17"/>
      <c r="DKH110" s="17"/>
      <c r="DKI110" s="17"/>
      <c r="DKJ110" s="17"/>
      <c r="DKK110" s="17"/>
      <c r="DKL110" s="17"/>
      <c r="DKM110" s="17"/>
      <c r="DKN110" s="17"/>
      <c r="DKO110" s="17"/>
      <c r="DKP110" s="17"/>
      <c r="DKQ110" s="17"/>
      <c r="DKR110" s="17"/>
      <c r="DKS110" s="17"/>
      <c r="DKT110" s="17"/>
      <c r="DKU110" s="17"/>
      <c r="DKV110" s="17"/>
      <c r="DKW110" s="17"/>
      <c r="DKX110" s="17"/>
      <c r="DKY110" s="17"/>
      <c r="DKZ110" s="17"/>
      <c r="DLA110" s="17"/>
      <c r="DLB110" s="17"/>
      <c r="DLC110" s="17"/>
      <c r="DLD110" s="17"/>
      <c r="DLE110" s="17"/>
      <c r="DLF110" s="17"/>
      <c r="DLG110" s="17"/>
      <c r="DLH110" s="17"/>
      <c r="DLI110" s="17"/>
      <c r="DLJ110" s="17"/>
      <c r="DLK110" s="17"/>
      <c r="DLL110" s="17"/>
      <c r="DLM110" s="17"/>
      <c r="DLN110" s="17"/>
      <c r="DLO110" s="17"/>
      <c r="DLP110" s="17"/>
      <c r="DLQ110" s="17"/>
      <c r="DLR110" s="17"/>
      <c r="DLS110" s="17"/>
      <c r="DLT110" s="17"/>
      <c r="DLU110" s="17"/>
      <c r="DLV110" s="17"/>
      <c r="DLW110" s="17"/>
      <c r="DLX110" s="17"/>
      <c r="DLY110" s="17"/>
      <c r="DLZ110" s="17"/>
      <c r="DMA110" s="17"/>
      <c r="DMB110" s="17"/>
      <c r="DMC110" s="17"/>
      <c r="DMD110" s="17"/>
      <c r="DME110" s="17"/>
      <c r="DMF110" s="17"/>
      <c r="DMG110" s="17"/>
      <c r="DMH110" s="17"/>
      <c r="DMI110" s="17"/>
      <c r="DMJ110" s="17"/>
      <c r="DMK110" s="17"/>
      <c r="DML110" s="17"/>
      <c r="DMM110" s="17"/>
      <c r="DMN110" s="17"/>
      <c r="DMO110" s="17"/>
      <c r="DMP110" s="17"/>
      <c r="DMQ110" s="17"/>
      <c r="DMR110" s="17"/>
      <c r="DMS110" s="17"/>
      <c r="DMT110" s="17"/>
      <c r="DMU110" s="17"/>
      <c r="DMV110" s="17"/>
      <c r="DMW110" s="17"/>
      <c r="DMX110" s="17"/>
      <c r="DMY110" s="17"/>
      <c r="DMZ110" s="17"/>
      <c r="DNA110" s="17"/>
      <c r="DNB110" s="17"/>
      <c r="DNC110" s="17"/>
      <c r="DND110" s="17"/>
      <c r="DNE110" s="17"/>
      <c r="DNF110" s="17"/>
      <c r="DNG110" s="17"/>
      <c r="DNH110" s="17"/>
      <c r="DNI110" s="17"/>
      <c r="DNJ110" s="17"/>
      <c r="DNK110" s="17"/>
      <c r="DNL110" s="17"/>
      <c r="DNM110" s="17"/>
      <c r="DNN110" s="17"/>
      <c r="DNO110" s="17"/>
      <c r="DNP110" s="17"/>
      <c r="DNQ110" s="17"/>
      <c r="DNR110" s="17"/>
      <c r="DNS110" s="17"/>
      <c r="DNT110" s="17"/>
      <c r="DNU110" s="17"/>
      <c r="DNV110" s="17"/>
      <c r="DNW110" s="17"/>
      <c r="DNX110" s="17"/>
      <c r="DNY110" s="17"/>
      <c r="DNZ110" s="17"/>
      <c r="DOA110" s="17"/>
      <c r="DOB110" s="17"/>
      <c r="DOC110" s="17"/>
      <c r="DOD110" s="17"/>
      <c r="DOE110" s="17"/>
      <c r="DOF110" s="17"/>
      <c r="DOG110" s="17"/>
      <c r="DOH110" s="17"/>
      <c r="DOI110" s="17"/>
      <c r="DOJ110" s="17"/>
      <c r="DOK110" s="17"/>
      <c r="DOL110" s="17"/>
      <c r="DOM110" s="17"/>
      <c r="DON110" s="17"/>
      <c r="DOO110" s="17"/>
      <c r="DOP110" s="17"/>
      <c r="DOQ110" s="17"/>
      <c r="DOR110" s="17"/>
      <c r="DOS110" s="17"/>
      <c r="DOT110" s="17"/>
      <c r="DOU110" s="17"/>
      <c r="DOV110" s="17"/>
      <c r="DOW110" s="17"/>
      <c r="DOX110" s="17"/>
      <c r="DOY110" s="17"/>
      <c r="DOZ110" s="17"/>
      <c r="DPA110" s="17"/>
      <c r="DPB110" s="17"/>
      <c r="DPC110" s="17"/>
      <c r="DPD110" s="17"/>
      <c r="DPE110" s="17"/>
      <c r="DPF110" s="17"/>
      <c r="DPG110" s="17"/>
      <c r="DPH110" s="17"/>
      <c r="DPI110" s="17"/>
      <c r="DPJ110" s="17"/>
      <c r="DPK110" s="17"/>
      <c r="DPL110" s="17"/>
      <c r="DPM110" s="17"/>
      <c r="DPN110" s="17"/>
      <c r="DPO110" s="17"/>
      <c r="DPP110" s="17"/>
      <c r="DPQ110" s="17"/>
      <c r="DPR110" s="17"/>
      <c r="DPS110" s="17"/>
      <c r="DPT110" s="17"/>
      <c r="DPU110" s="17"/>
      <c r="DPV110" s="17"/>
      <c r="DPW110" s="17"/>
      <c r="DPX110" s="17"/>
      <c r="DPY110" s="17"/>
      <c r="DPZ110" s="17"/>
      <c r="DQA110" s="17"/>
      <c r="DQB110" s="17"/>
      <c r="DQC110" s="17"/>
      <c r="DQD110" s="17"/>
      <c r="DQE110" s="17"/>
      <c r="DQF110" s="17"/>
      <c r="DQG110" s="17"/>
      <c r="DQH110" s="17"/>
      <c r="DQI110" s="17"/>
      <c r="DQJ110" s="17"/>
      <c r="DQK110" s="17"/>
      <c r="DQL110" s="17"/>
      <c r="DQM110" s="17"/>
      <c r="DQN110" s="17"/>
      <c r="DQO110" s="17"/>
      <c r="DQP110" s="17"/>
      <c r="DQQ110" s="17"/>
      <c r="DQR110" s="17"/>
      <c r="DQS110" s="17"/>
      <c r="DQT110" s="17"/>
      <c r="DQU110" s="17"/>
      <c r="DQV110" s="17"/>
      <c r="DQW110" s="17"/>
      <c r="DQX110" s="17"/>
      <c r="DQY110" s="17"/>
      <c r="DQZ110" s="17"/>
      <c r="DRA110" s="17"/>
      <c r="DRB110" s="17"/>
      <c r="DRC110" s="17"/>
      <c r="DRD110" s="17"/>
      <c r="DRE110" s="17"/>
      <c r="DRF110" s="17"/>
      <c r="DRG110" s="17"/>
      <c r="DRH110" s="17"/>
      <c r="DRI110" s="17"/>
      <c r="DRJ110" s="17"/>
      <c r="DRK110" s="17"/>
      <c r="DRL110" s="17"/>
      <c r="DRM110" s="17"/>
      <c r="DRN110" s="17"/>
      <c r="DRO110" s="17"/>
      <c r="DRP110" s="17"/>
      <c r="DRQ110" s="17"/>
      <c r="DRR110" s="17"/>
      <c r="DRS110" s="17"/>
      <c r="DRT110" s="17"/>
      <c r="DRU110" s="17"/>
      <c r="DRV110" s="17"/>
      <c r="DRW110" s="17"/>
      <c r="DRX110" s="17"/>
      <c r="DRY110" s="17"/>
      <c r="DRZ110" s="17"/>
      <c r="DSA110" s="17"/>
      <c r="DSB110" s="17"/>
      <c r="DSC110" s="17"/>
      <c r="DSD110" s="17"/>
      <c r="DSE110" s="17"/>
      <c r="DSF110" s="17"/>
      <c r="DSG110" s="17"/>
      <c r="DSH110" s="17"/>
      <c r="DSI110" s="17"/>
      <c r="DSJ110" s="17"/>
      <c r="DSK110" s="17"/>
      <c r="DSL110" s="17"/>
      <c r="DSM110" s="17"/>
      <c r="DSN110" s="17"/>
      <c r="DSO110" s="17"/>
      <c r="DSP110" s="17"/>
      <c r="DSQ110" s="17"/>
      <c r="DSR110" s="17"/>
      <c r="DSS110" s="17"/>
      <c r="DST110" s="17"/>
      <c r="DSU110" s="17"/>
      <c r="DSV110" s="17"/>
      <c r="DSW110" s="17"/>
      <c r="DSX110" s="17"/>
      <c r="DSY110" s="17"/>
      <c r="DSZ110" s="17"/>
      <c r="DTA110" s="17"/>
      <c r="DTB110" s="17"/>
      <c r="DTC110" s="17"/>
      <c r="DTD110" s="17"/>
      <c r="DTE110" s="17"/>
      <c r="DTF110" s="17"/>
      <c r="DTG110" s="17"/>
      <c r="DTH110" s="17"/>
      <c r="DTI110" s="17"/>
      <c r="DTJ110" s="17"/>
      <c r="DTK110" s="17"/>
      <c r="DTL110" s="17"/>
      <c r="DTM110" s="17"/>
      <c r="DTN110" s="17"/>
      <c r="DTO110" s="17"/>
      <c r="DTP110" s="17"/>
      <c r="DTQ110" s="17"/>
      <c r="DTR110" s="17"/>
      <c r="DTS110" s="17"/>
      <c r="DTT110" s="17"/>
      <c r="DTU110" s="17"/>
      <c r="DTV110" s="17"/>
      <c r="DTW110" s="17"/>
      <c r="DTX110" s="17"/>
      <c r="DTY110" s="17"/>
      <c r="DTZ110" s="17"/>
      <c r="DUA110" s="17"/>
      <c r="DUB110" s="17"/>
      <c r="DUC110" s="17"/>
      <c r="DUD110" s="17"/>
      <c r="DUE110" s="17"/>
      <c r="DUF110" s="17"/>
      <c r="DUG110" s="17"/>
      <c r="DUH110" s="17"/>
      <c r="DUI110" s="17"/>
      <c r="DUJ110" s="17"/>
      <c r="DUK110" s="17"/>
      <c r="DUL110" s="17"/>
      <c r="DUM110" s="17"/>
      <c r="DUN110" s="17"/>
      <c r="DUO110" s="17"/>
      <c r="DUP110" s="17"/>
      <c r="DUQ110" s="17"/>
      <c r="DUR110" s="17"/>
      <c r="DUS110" s="17"/>
      <c r="DUT110" s="17"/>
      <c r="DUU110" s="17"/>
      <c r="DUV110" s="17"/>
      <c r="DUW110" s="17"/>
      <c r="DUX110" s="17"/>
      <c r="DUY110" s="17"/>
      <c r="DUZ110" s="17"/>
      <c r="DVA110" s="17"/>
      <c r="DVB110" s="17"/>
      <c r="DVC110" s="17"/>
      <c r="DVD110" s="17"/>
      <c r="DVE110" s="17"/>
      <c r="DVF110" s="17"/>
      <c r="DVG110" s="17"/>
      <c r="DVH110" s="17"/>
      <c r="DVI110" s="17"/>
      <c r="DVJ110" s="17"/>
      <c r="DVK110" s="17"/>
      <c r="DVL110" s="17"/>
      <c r="DVM110" s="17"/>
      <c r="DVN110" s="17"/>
      <c r="DVO110" s="17"/>
      <c r="DVP110" s="17"/>
      <c r="DVQ110" s="17"/>
      <c r="DVR110" s="17"/>
      <c r="DVS110" s="17"/>
      <c r="DVT110" s="17"/>
      <c r="DVU110" s="17"/>
      <c r="DVV110" s="17"/>
      <c r="DVW110" s="17"/>
      <c r="DVX110" s="17"/>
      <c r="DVY110" s="17"/>
      <c r="DVZ110" s="17"/>
      <c r="DWA110" s="17"/>
      <c r="DWB110" s="17"/>
      <c r="DWC110" s="17"/>
      <c r="DWD110" s="17"/>
      <c r="DWE110" s="17"/>
      <c r="DWF110" s="17"/>
      <c r="DWG110" s="17"/>
      <c r="DWH110" s="17"/>
      <c r="DWI110" s="17"/>
      <c r="DWJ110" s="17"/>
      <c r="DWK110" s="17"/>
      <c r="DWL110" s="17"/>
      <c r="DWM110" s="17"/>
      <c r="DWN110" s="17"/>
      <c r="DWO110" s="17"/>
      <c r="DWP110" s="17"/>
      <c r="DWQ110" s="17"/>
      <c r="DWR110" s="17"/>
      <c r="DWS110" s="17"/>
      <c r="DWT110" s="17"/>
      <c r="DWU110" s="17"/>
      <c r="DWV110" s="17"/>
      <c r="DWW110" s="17"/>
      <c r="DWX110" s="17"/>
      <c r="DWY110" s="17"/>
      <c r="DWZ110" s="17"/>
      <c r="DXA110" s="17"/>
      <c r="DXB110" s="17"/>
      <c r="DXC110" s="17"/>
      <c r="DXD110" s="17"/>
      <c r="DXE110" s="17"/>
      <c r="DXF110" s="17"/>
      <c r="DXG110" s="17"/>
      <c r="DXH110" s="17"/>
      <c r="DXI110" s="17"/>
      <c r="DXJ110" s="17"/>
      <c r="DXK110" s="17"/>
      <c r="DXL110" s="17"/>
      <c r="DXM110" s="17"/>
      <c r="DXN110" s="17"/>
      <c r="DXO110" s="17"/>
      <c r="DXP110" s="17"/>
      <c r="DXQ110" s="17"/>
      <c r="DXR110" s="17"/>
      <c r="DXS110" s="17"/>
      <c r="DXT110" s="17"/>
      <c r="DXU110" s="17"/>
      <c r="DXV110" s="17"/>
      <c r="DXW110" s="17"/>
      <c r="DXX110" s="17"/>
      <c r="DXY110" s="17"/>
      <c r="DXZ110" s="17"/>
      <c r="DYA110" s="17"/>
      <c r="DYB110" s="17"/>
      <c r="DYC110" s="17"/>
      <c r="DYD110" s="17"/>
      <c r="DYE110" s="17"/>
      <c r="DYF110" s="17"/>
      <c r="DYG110" s="17"/>
      <c r="DYH110" s="17"/>
      <c r="DYI110" s="17"/>
      <c r="DYJ110" s="17"/>
      <c r="DYK110" s="17"/>
      <c r="DYL110" s="17"/>
      <c r="DYM110" s="17"/>
      <c r="DYN110" s="17"/>
      <c r="DYO110" s="17"/>
      <c r="DYP110" s="17"/>
      <c r="DYQ110" s="17"/>
      <c r="DYR110" s="17"/>
      <c r="DYS110" s="17"/>
      <c r="DYT110" s="17"/>
      <c r="DYU110" s="17"/>
      <c r="DYV110" s="17"/>
      <c r="DYW110" s="17"/>
      <c r="DYX110" s="17"/>
      <c r="DYY110" s="17"/>
      <c r="DYZ110" s="17"/>
      <c r="DZA110" s="17"/>
      <c r="DZB110" s="17"/>
      <c r="DZC110" s="17"/>
      <c r="DZD110" s="17"/>
      <c r="DZE110" s="17"/>
      <c r="DZF110" s="17"/>
      <c r="DZG110" s="17"/>
      <c r="DZH110" s="17"/>
      <c r="DZI110" s="17"/>
      <c r="DZJ110" s="17"/>
      <c r="DZK110" s="17"/>
      <c r="DZL110" s="17"/>
      <c r="DZM110" s="17"/>
      <c r="DZN110" s="17"/>
      <c r="DZO110" s="17"/>
      <c r="DZP110" s="17"/>
      <c r="DZQ110" s="17"/>
      <c r="DZR110" s="17"/>
      <c r="DZS110" s="17"/>
      <c r="DZT110" s="17"/>
      <c r="DZU110" s="17"/>
      <c r="DZV110" s="17"/>
      <c r="DZW110" s="17"/>
      <c r="DZX110" s="17"/>
      <c r="DZY110" s="17"/>
      <c r="DZZ110" s="17"/>
      <c r="EAA110" s="17"/>
      <c r="EAB110" s="17"/>
      <c r="EAC110" s="17"/>
      <c r="EAD110" s="17"/>
      <c r="EAE110" s="17"/>
      <c r="EAF110" s="17"/>
      <c r="EAG110" s="17"/>
      <c r="EAH110" s="17"/>
      <c r="EAI110" s="17"/>
      <c r="EAJ110" s="17"/>
      <c r="EAK110" s="17"/>
      <c r="EAL110" s="17"/>
      <c r="EAM110" s="17"/>
      <c r="EAN110" s="17"/>
      <c r="EAO110" s="17"/>
      <c r="EAP110" s="17"/>
      <c r="EAQ110" s="17"/>
      <c r="EAR110" s="17"/>
      <c r="EAS110" s="17"/>
      <c r="EAT110" s="17"/>
      <c r="EAU110" s="17"/>
      <c r="EAV110" s="17"/>
      <c r="EAW110" s="17"/>
      <c r="EAX110" s="17"/>
      <c r="EAY110" s="17"/>
      <c r="EAZ110" s="17"/>
      <c r="EBA110" s="17"/>
      <c r="EBB110" s="17"/>
      <c r="EBC110" s="17"/>
      <c r="EBD110" s="17"/>
      <c r="EBE110" s="17"/>
      <c r="EBF110" s="17"/>
      <c r="EBG110" s="17"/>
      <c r="EBH110" s="17"/>
      <c r="EBI110" s="17"/>
      <c r="EBJ110" s="17"/>
      <c r="EBK110" s="17"/>
      <c r="EBL110" s="17"/>
      <c r="EBM110" s="17"/>
      <c r="EBN110" s="17"/>
      <c r="EBO110" s="17"/>
      <c r="EBP110" s="17"/>
      <c r="EBQ110" s="17"/>
      <c r="EBR110" s="17"/>
      <c r="EBS110" s="17"/>
      <c r="EBT110" s="17"/>
      <c r="EBU110" s="17"/>
      <c r="EBV110" s="17"/>
      <c r="EBW110" s="17"/>
      <c r="EBX110" s="17"/>
      <c r="EBY110" s="17"/>
      <c r="EBZ110" s="17"/>
      <c r="ECA110" s="17"/>
      <c r="ECB110" s="17"/>
      <c r="ECC110" s="17"/>
      <c r="ECD110" s="17"/>
      <c r="ECE110" s="17"/>
      <c r="ECF110" s="17"/>
      <c r="ECG110" s="17"/>
      <c r="ECH110" s="17"/>
      <c r="ECI110" s="17"/>
      <c r="ECJ110" s="17"/>
      <c r="ECK110" s="17"/>
      <c r="ECL110" s="17"/>
      <c r="ECM110" s="17"/>
      <c r="ECN110" s="17"/>
      <c r="ECO110" s="17"/>
      <c r="ECP110" s="17"/>
      <c r="ECQ110" s="17"/>
      <c r="ECR110" s="17"/>
      <c r="ECS110" s="17"/>
      <c r="ECT110" s="17"/>
      <c r="ECU110" s="17"/>
      <c r="ECV110" s="17"/>
      <c r="ECW110" s="17"/>
      <c r="ECX110" s="17"/>
      <c r="ECY110" s="17"/>
      <c r="ECZ110" s="17"/>
      <c r="EDA110" s="17"/>
      <c r="EDB110" s="17"/>
      <c r="EDC110" s="17"/>
      <c r="EDD110" s="17"/>
      <c r="EDE110" s="17"/>
      <c r="EDF110" s="17"/>
      <c r="EDG110" s="17"/>
      <c r="EDH110" s="17"/>
      <c r="EDI110" s="17"/>
      <c r="EDJ110" s="17"/>
      <c r="EDK110" s="17"/>
      <c r="EDL110" s="17"/>
      <c r="EDM110" s="17"/>
      <c r="EDN110" s="17"/>
      <c r="EDO110" s="17"/>
      <c r="EDP110" s="17"/>
      <c r="EDQ110" s="17"/>
      <c r="EDR110" s="17"/>
      <c r="EDS110" s="17"/>
      <c r="EDT110" s="17"/>
      <c r="EDU110" s="17"/>
      <c r="EDV110" s="17"/>
      <c r="EDW110" s="17"/>
      <c r="EDX110" s="17"/>
      <c r="EDY110" s="17"/>
      <c r="EDZ110" s="17"/>
      <c r="EEA110" s="17"/>
      <c r="EEB110" s="17"/>
      <c r="EEC110" s="17"/>
      <c r="EED110" s="17"/>
      <c r="EEE110" s="17"/>
      <c r="EEF110" s="17"/>
      <c r="EEG110" s="17"/>
      <c r="EEH110" s="17"/>
      <c r="EEI110" s="17"/>
      <c r="EEJ110" s="17"/>
      <c r="EEK110" s="17"/>
      <c r="EEL110" s="17"/>
      <c r="EEM110" s="17"/>
      <c r="EEN110" s="17"/>
      <c r="EEO110" s="17"/>
      <c r="EEP110" s="17"/>
      <c r="EEQ110" s="17"/>
      <c r="EER110" s="17"/>
      <c r="EES110" s="17"/>
      <c r="EET110" s="17"/>
      <c r="EEU110" s="17"/>
      <c r="EEV110" s="17"/>
      <c r="EEW110" s="17"/>
      <c r="EEX110" s="17"/>
      <c r="EEY110" s="17"/>
      <c r="EEZ110" s="17"/>
      <c r="EFA110" s="17"/>
      <c r="EFB110" s="17"/>
      <c r="EFC110" s="17"/>
      <c r="EFD110" s="17"/>
      <c r="EFE110" s="17"/>
      <c r="EFF110" s="17"/>
      <c r="EFG110" s="17"/>
      <c r="EFH110" s="17"/>
      <c r="EFI110" s="17"/>
      <c r="EFJ110" s="17"/>
      <c r="EFK110" s="17"/>
      <c r="EFL110" s="17"/>
      <c r="EFM110" s="17"/>
      <c r="EFN110" s="17"/>
      <c r="EFO110" s="17"/>
      <c r="EFP110" s="17"/>
      <c r="EFQ110" s="17"/>
      <c r="EFR110" s="17"/>
      <c r="EFS110" s="17"/>
      <c r="EFT110" s="17"/>
      <c r="EFU110" s="17"/>
      <c r="EFV110" s="17"/>
      <c r="EFW110" s="17"/>
      <c r="EFX110" s="17"/>
      <c r="EFY110" s="17"/>
      <c r="EFZ110" s="17"/>
      <c r="EGA110" s="17"/>
      <c r="EGB110" s="17"/>
      <c r="EGC110" s="17"/>
      <c r="EGD110" s="17"/>
      <c r="EGE110" s="17"/>
      <c r="EGF110" s="17"/>
      <c r="EGG110" s="17"/>
      <c r="EGH110" s="17"/>
      <c r="EGI110" s="17"/>
      <c r="EGJ110" s="17"/>
      <c r="EGK110" s="17"/>
      <c r="EGL110" s="17"/>
      <c r="EGM110" s="17"/>
      <c r="EGN110" s="17"/>
      <c r="EGO110" s="17"/>
      <c r="EGP110" s="17"/>
      <c r="EGQ110" s="17"/>
      <c r="EGR110" s="17"/>
      <c r="EGS110" s="17"/>
      <c r="EGT110" s="17"/>
      <c r="EGU110" s="17"/>
      <c r="EGV110" s="17"/>
      <c r="EGW110" s="17"/>
      <c r="EGX110" s="17"/>
      <c r="EGY110" s="17"/>
      <c r="EGZ110" s="17"/>
      <c r="EHA110" s="17"/>
      <c r="EHB110" s="17"/>
      <c r="EHC110" s="17"/>
      <c r="EHD110" s="17"/>
      <c r="EHE110" s="17"/>
      <c r="EHF110" s="17"/>
      <c r="EHG110" s="17"/>
      <c r="EHH110" s="17"/>
      <c r="EHI110" s="17"/>
      <c r="EHJ110" s="17"/>
      <c r="EHK110" s="17"/>
      <c r="EHL110" s="17"/>
      <c r="EHM110" s="17"/>
      <c r="EHN110" s="17"/>
      <c r="EHO110" s="17"/>
      <c r="EHP110" s="17"/>
      <c r="EHQ110" s="17"/>
      <c r="EHR110" s="17"/>
      <c r="EHS110" s="17"/>
      <c r="EHT110" s="17"/>
      <c r="EHU110" s="17"/>
      <c r="EHV110" s="17"/>
      <c r="EHW110" s="17"/>
      <c r="EHX110" s="17"/>
      <c r="EHY110" s="17"/>
      <c r="EHZ110" s="17"/>
      <c r="EIA110" s="17"/>
      <c r="EIB110" s="17"/>
      <c r="EIC110" s="17"/>
      <c r="EID110" s="17"/>
      <c r="EIE110" s="17"/>
      <c r="EIF110" s="17"/>
      <c r="EIG110" s="17"/>
      <c r="EIH110" s="17"/>
      <c r="EII110" s="17"/>
      <c r="EIJ110" s="17"/>
      <c r="EIK110" s="17"/>
      <c r="EIL110" s="17"/>
      <c r="EIM110" s="17"/>
      <c r="EIN110" s="17"/>
      <c r="EIO110" s="17"/>
      <c r="EIP110" s="17"/>
      <c r="EIQ110" s="17"/>
      <c r="EIR110" s="17"/>
      <c r="EIS110" s="17"/>
      <c r="EIT110" s="17"/>
      <c r="EIU110" s="17"/>
      <c r="EIV110" s="17"/>
      <c r="EIW110" s="17"/>
      <c r="EIX110" s="17"/>
      <c r="EIY110" s="17"/>
      <c r="EIZ110" s="17"/>
      <c r="EJA110" s="17"/>
      <c r="EJB110" s="17"/>
      <c r="EJC110" s="17"/>
      <c r="EJD110" s="17"/>
      <c r="EJE110" s="17"/>
      <c r="EJF110" s="17"/>
      <c r="EJG110" s="17"/>
      <c r="EJH110" s="17"/>
      <c r="EJI110" s="17"/>
      <c r="EJJ110" s="17"/>
      <c r="EJK110" s="17"/>
      <c r="EJL110" s="17"/>
      <c r="EJM110" s="17"/>
      <c r="EJN110" s="17"/>
      <c r="EJO110" s="17"/>
      <c r="EJP110" s="17"/>
      <c r="EJQ110" s="17"/>
      <c r="EJR110" s="17"/>
      <c r="EJS110" s="17"/>
      <c r="EJT110" s="17"/>
      <c r="EJU110" s="17"/>
      <c r="EJV110" s="17"/>
      <c r="EJW110" s="17"/>
      <c r="EJX110" s="17"/>
      <c r="EJY110" s="17"/>
      <c r="EJZ110" s="17"/>
      <c r="EKA110" s="17"/>
      <c r="EKB110" s="17"/>
      <c r="EKC110" s="17"/>
      <c r="EKD110" s="17"/>
      <c r="EKE110" s="17"/>
      <c r="EKF110" s="17"/>
      <c r="EKG110" s="17"/>
      <c r="EKH110" s="17"/>
      <c r="EKI110" s="17"/>
      <c r="EKJ110" s="17"/>
      <c r="EKK110" s="17"/>
      <c r="EKL110" s="17"/>
      <c r="EKM110" s="17"/>
      <c r="EKN110" s="17"/>
      <c r="EKO110" s="17"/>
      <c r="EKP110" s="17"/>
      <c r="EKQ110" s="17"/>
      <c r="EKR110" s="17"/>
      <c r="EKS110" s="17"/>
      <c r="EKT110" s="17"/>
      <c r="EKU110" s="17"/>
      <c r="EKV110" s="17"/>
      <c r="EKW110" s="17"/>
      <c r="EKX110" s="17"/>
      <c r="EKY110" s="17"/>
      <c r="EKZ110" s="17"/>
      <c r="ELA110" s="17"/>
      <c r="ELB110" s="17"/>
      <c r="ELC110" s="17"/>
      <c r="ELD110" s="17"/>
      <c r="ELE110" s="17"/>
      <c r="ELF110" s="17"/>
      <c r="ELG110" s="17"/>
      <c r="ELH110" s="17"/>
      <c r="ELI110" s="17"/>
      <c r="ELJ110" s="17"/>
      <c r="ELK110" s="17"/>
      <c r="ELL110" s="17"/>
      <c r="ELM110" s="17"/>
      <c r="ELN110" s="17"/>
      <c r="ELO110" s="17"/>
      <c r="ELP110" s="17"/>
      <c r="ELQ110" s="17"/>
      <c r="ELR110" s="17"/>
      <c r="ELS110" s="17"/>
      <c r="ELT110" s="17"/>
      <c r="ELU110" s="17"/>
      <c r="ELV110" s="17"/>
      <c r="ELW110" s="17"/>
      <c r="ELX110" s="17"/>
      <c r="ELY110" s="17"/>
      <c r="ELZ110" s="17"/>
      <c r="EMA110" s="17"/>
      <c r="EMB110" s="17"/>
      <c r="EMC110" s="17"/>
      <c r="EMD110" s="17"/>
      <c r="EME110" s="17"/>
      <c r="EMF110" s="17"/>
      <c r="EMG110" s="17"/>
      <c r="EMH110" s="17"/>
      <c r="EMI110" s="17"/>
      <c r="EMJ110" s="17"/>
      <c r="EMK110" s="17"/>
      <c r="EML110" s="17"/>
      <c r="EMM110" s="17"/>
      <c r="EMN110" s="17"/>
      <c r="EMO110" s="17"/>
      <c r="EMP110" s="17"/>
      <c r="EMQ110" s="17"/>
      <c r="EMR110" s="17"/>
      <c r="EMS110" s="17"/>
      <c r="EMT110" s="17"/>
      <c r="EMU110" s="17"/>
      <c r="EMV110" s="17"/>
      <c r="EMW110" s="17"/>
      <c r="EMX110" s="17"/>
      <c r="EMY110" s="17"/>
      <c r="EMZ110" s="17"/>
      <c r="ENA110" s="17"/>
      <c r="ENB110" s="17"/>
      <c r="ENC110" s="17"/>
      <c r="END110" s="17"/>
      <c r="ENE110" s="17"/>
      <c r="ENF110" s="17"/>
      <c r="ENG110" s="17"/>
      <c r="ENH110" s="17"/>
      <c r="ENI110" s="17"/>
      <c r="ENJ110" s="17"/>
      <c r="ENK110" s="17"/>
      <c r="ENL110" s="17"/>
      <c r="ENM110" s="17"/>
      <c r="ENN110" s="17"/>
      <c r="ENO110" s="17"/>
      <c r="ENP110" s="17"/>
      <c r="ENQ110" s="17"/>
      <c r="ENR110" s="17"/>
      <c r="ENS110" s="17"/>
      <c r="ENT110" s="17"/>
      <c r="ENU110" s="17"/>
      <c r="ENV110" s="17"/>
      <c r="ENW110" s="17"/>
      <c r="ENX110" s="17"/>
      <c r="ENY110" s="17"/>
      <c r="ENZ110" s="17"/>
      <c r="EOA110" s="17"/>
      <c r="EOB110" s="17"/>
      <c r="EOC110" s="17"/>
      <c r="EOD110" s="17"/>
      <c r="EOE110" s="17"/>
      <c r="EOF110" s="17"/>
      <c r="EOG110" s="17"/>
      <c r="EOH110" s="17"/>
      <c r="EOI110" s="17"/>
      <c r="EOJ110" s="17"/>
      <c r="EOK110" s="17"/>
      <c r="EOL110" s="17"/>
      <c r="EOM110" s="17"/>
      <c r="EON110" s="17"/>
      <c r="EOO110" s="17"/>
      <c r="EOP110" s="17"/>
      <c r="EOQ110" s="17"/>
      <c r="EOR110" s="17"/>
      <c r="EOS110" s="17"/>
      <c r="EOT110" s="17"/>
      <c r="EOU110" s="17"/>
      <c r="EOV110" s="17"/>
      <c r="EOW110" s="17"/>
      <c r="EOX110" s="17"/>
      <c r="EOY110" s="17"/>
      <c r="EOZ110" s="17"/>
      <c r="EPA110" s="17"/>
      <c r="EPB110" s="17"/>
      <c r="EPC110" s="17"/>
      <c r="EPD110" s="17"/>
      <c r="EPE110" s="17"/>
      <c r="EPF110" s="17"/>
      <c r="EPG110" s="17"/>
      <c r="EPH110" s="17"/>
      <c r="EPI110" s="17"/>
      <c r="EPJ110" s="17"/>
      <c r="EPK110" s="17"/>
      <c r="EPL110" s="17"/>
      <c r="EPM110" s="17"/>
      <c r="EPN110" s="17"/>
      <c r="EPO110" s="17"/>
      <c r="EPP110" s="17"/>
      <c r="EPQ110" s="17"/>
      <c r="EPR110" s="17"/>
      <c r="EPS110" s="17"/>
      <c r="EPT110" s="17"/>
      <c r="EPU110" s="17"/>
      <c r="EPV110" s="17"/>
      <c r="EPW110" s="17"/>
      <c r="EPX110" s="17"/>
      <c r="EPY110" s="17"/>
      <c r="EPZ110" s="17"/>
      <c r="EQA110" s="17"/>
      <c r="EQB110" s="17"/>
      <c r="EQC110" s="17"/>
      <c r="EQD110" s="17"/>
      <c r="EQE110" s="17"/>
      <c r="EQF110" s="17"/>
      <c r="EQG110" s="17"/>
      <c r="EQH110" s="17"/>
      <c r="EQI110" s="17"/>
      <c r="EQJ110" s="17"/>
      <c r="EQK110" s="17"/>
      <c r="EQL110" s="17"/>
      <c r="EQM110" s="17"/>
      <c r="EQN110" s="17"/>
      <c r="EQO110" s="17"/>
      <c r="EQP110" s="17"/>
      <c r="EQQ110" s="17"/>
      <c r="EQR110" s="17"/>
      <c r="EQS110" s="17"/>
      <c r="EQT110" s="17"/>
      <c r="EQU110" s="17"/>
      <c r="EQV110" s="17"/>
      <c r="EQW110" s="17"/>
      <c r="EQX110" s="17"/>
      <c r="EQY110" s="17"/>
      <c r="EQZ110" s="17"/>
      <c r="ERA110" s="17"/>
      <c r="ERB110" s="17"/>
      <c r="ERC110" s="17"/>
      <c r="ERD110" s="17"/>
      <c r="ERE110" s="17"/>
      <c r="ERF110" s="17"/>
      <c r="ERG110" s="17"/>
      <c r="ERH110" s="17"/>
      <c r="ERI110" s="17"/>
      <c r="ERJ110" s="17"/>
      <c r="ERK110" s="17"/>
      <c r="ERL110" s="17"/>
      <c r="ERM110" s="17"/>
      <c r="ERN110" s="17"/>
      <c r="ERO110" s="17"/>
      <c r="ERP110" s="17"/>
      <c r="ERQ110" s="17"/>
      <c r="ERR110" s="17"/>
      <c r="ERS110" s="17"/>
      <c r="ERT110" s="17"/>
      <c r="ERU110" s="17"/>
      <c r="ERV110" s="17"/>
      <c r="ERW110" s="17"/>
      <c r="ERX110" s="17"/>
      <c r="ERY110" s="17"/>
      <c r="ERZ110" s="17"/>
      <c r="ESA110" s="17"/>
      <c r="ESB110" s="17"/>
      <c r="ESC110" s="17"/>
      <c r="ESD110" s="17"/>
      <c r="ESE110" s="17"/>
      <c r="ESF110" s="17"/>
      <c r="ESG110" s="17"/>
      <c r="ESH110" s="17"/>
      <c r="ESI110" s="17"/>
      <c r="ESJ110" s="17"/>
      <c r="ESK110" s="17"/>
      <c r="ESL110" s="17"/>
      <c r="ESM110" s="17"/>
      <c r="ESN110" s="17"/>
      <c r="ESO110" s="17"/>
      <c r="ESP110" s="17"/>
      <c r="ESQ110" s="17"/>
      <c r="ESR110" s="17"/>
      <c r="ESS110" s="17"/>
      <c r="EST110" s="17"/>
      <c r="ESU110" s="17"/>
      <c r="ESV110" s="17"/>
      <c r="ESW110" s="17"/>
      <c r="ESX110" s="17"/>
      <c r="ESY110" s="17"/>
      <c r="ESZ110" s="17"/>
      <c r="ETA110" s="17"/>
      <c r="ETB110" s="17"/>
      <c r="ETC110" s="17"/>
      <c r="ETD110" s="17"/>
      <c r="ETE110" s="17"/>
      <c r="ETF110" s="17"/>
      <c r="ETG110" s="17"/>
      <c r="ETH110" s="17"/>
      <c r="ETI110" s="17"/>
      <c r="ETJ110" s="17"/>
      <c r="ETK110" s="17"/>
      <c r="ETL110" s="17"/>
      <c r="ETM110" s="17"/>
      <c r="ETN110" s="17"/>
      <c r="ETO110" s="17"/>
      <c r="ETP110" s="17"/>
      <c r="ETQ110" s="17"/>
      <c r="ETR110" s="17"/>
      <c r="ETS110" s="17"/>
      <c r="ETT110" s="17"/>
      <c r="ETU110" s="17"/>
      <c r="ETV110" s="17"/>
      <c r="ETW110" s="17"/>
      <c r="ETX110" s="17"/>
      <c r="ETY110" s="17"/>
      <c r="ETZ110" s="17"/>
      <c r="EUA110" s="17"/>
      <c r="EUB110" s="17"/>
      <c r="EUC110" s="17"/>
      <c r="EUD110" s="17"/>
      <c r="EUE110" s="17"/>
      <c r="EUF110" s="17"/>
      <c r="EUG110" s="17"/>
      <c r="EUH110" s="17"/>
      <c r="EUI110" s="17"/>
      <c r="EUJ110" s="17"/>
      <c r="EUK110" s="17"/>
      <c r="EUL110" s="17"/>
      <c r="EUM110" s="17"/>
      <c r="EUN110" s="17"/>
      <c r="EUO110" s="17"/>
      <c r="EUP110" s="17"/>
      <c r="EUQ110" s="17"/>
      <c r="EUR110" s="17"/>
      <c r="EUS110" s="17"/>
      <c r="EUT110" s="17"/>
      <c r="EUU110" s="17"/>
      <c r="EUV110" s="17"/>
      <c r="EUW110" s="17"/>
      <c r="EUX110" s="17"/>
      <c r="EUY110" s="17"/>
      <c r="EUZ110" s="17"/>
      <c r="EVA110" s="17"/>
      <c r="EVB110" s="17"/>
      <c r="EVC110" s="17"/>
      <c r="EVD110" s="17"/>
      <c r="EVE110" s="17"/>
      <c r="EVF110" s="17"/>
      <c r="EVG110" s="17"/>
      <c r="EVH110" s="17"/>
      <c r="EVI110" s="17"/>
      <c r="EVJ110" s="17"/>
      <c r="EVK110" s="17"/>
      <c r="EVL110" s="17"/>
      <c r="EVM110" s="17"/>
      <c r="EVN110" s="17"/>
      <c r="EVO110" s="17"/>
      <c r="EVP110" s="17"/>
      <c r="EVQ110" s="17"/>
      <c r="EVR110" s="17"/>
      <c r="EVS110" s="17"/>
      <c r="EVT110" s="17"/>
      <c r="EVU110" s="17"/>
      <c r="EVV110" s="17"/>
      <c r="EVW110" s="17"/>
      <c r="EVX110" s="17"/>
      <c r="EVY110" s="17"/>
      <c r="EVZ110" s="17"/>
      <c r="EWA110" s="17"/>
      <c r="EWB110" s="17"/>
      <c r="EWC110" s="17"/>
      <c r="EWD110" s="17"/>
      <c r="EWE110" s="17"/>
      <c r="EWF110" s="17"/>
      <c r="EWG110" s="17"/>
      <c r="EWH110" s="17"/>
      <c r="EWI110" s="17"/>
      <c r="EWJ110" s="17"/>
      <c r="EWK110" s="17"/>
      <c r="EWL110" s="17"/>
      <c r="EWM110" s="17"/>
      <c r="EWN110" s="17"/>
      <c r="EWO110" s="17"/>
      <c r="EWP110" s="17"/>
      <c r="EWQ110" s="17"/>
      <c r="EWR110" s="17"/>
      <c r="EWS110" s="17"/>
      <c r="EWT110" s="17"/>
      <c r="EWU110" s="17"/>
      <c r="EWV110" s="17"/>
      <c r="EWW110" s="17"/>
      <c r="EWX110" s="17"/>
      <c r="EWY110" s="17"/>
      <c r="EWZ110" s="17"/>
      <c r="EXA110" s="17"/>
      <c r="EXB110" s="17"/>
      <c r="EXC110" s="17"/>
      <c r="EXD110" s="17"/>
      <c r="EXE110" s="17"/>
      <c r="EXF110" s="17"/>
      <c r="EXG110" s="17"/>
      <c r="EXH110" s="17"/>
      <c r="EXI110" s="17"/>
      <c r="EXJ110" s="17"/>
      <c r="EXK110" s="17"/>
      <c r="EXL110" s="17"/>
      <c r="EXM110" s="17"/>
      <c r="EXN110" s="17"/>
      <c r="EXO110" s="17"/>
      <c r="EXP110" s="17"/>
      <c r="EXQ110" s="17"/>
      <c r="EXR110" s="17"/>
      <c r="EXS110" s="17"/>
      <c r="EXT110" s="17"/>
      <c r="EXU110" s="17"/>
      <c r="EXV110" s="17"/>
      <c r="EXW110" s="17"/>
      <c r="EXX110" s="17"/>
      <c r="EXY110" s="17"/>
      <c r="EXZ110" s="17"/>
      <c r="EYA110" s="17"/>
      <c r="EYB110" s="17"/>
      <c r="EYC110" s="17"/>
      <c r="EYD110" s="17"/>
      <c r="EYE110" s="17"/>
      <c r="EYF110" s="17"/>
      <c r="EYG110" s="17"/>
      <c r="EYH110" s="17"/>
      <c r="EYI110" s="17"/>
      <c r="EYJ110" s="17"/>
      <c r="EYK110" s="17"/>
      <c r="EYL110" s="17"/>
      <c r="EYM110" s="17"/>
      <c r="EYN110" s="17"/>
      <c r="EYO110" s="17"/>
      <c r="EYP110" s="17"/>
      <c r="EYQ110" s="17"/>
      <c r="EYR110" s="17"/>
      <c r="EYS110" s="17"/>
      <c r="EYT110" s="17"/>
      <c r="EYU110" s="17"/>
      <c r="EYV110" s="17"/>
      <c r="EYW110" s="17"/>
      <c r="EYX110" s="17"/>
      <c r="EYY110" s="17"/>
      <c r="EYZ110" s="17"/>
      <c r="EZA110" s="17"/>
      <c r="EZB110" s="17"/>
      <c r="EZC110" s="17"/>
      <c r="EZD110" s="17"/>
      <c r="EZE110" s="17"/>
      <c r="EZF110" s="17"/>
      <c r="EZG110" s="17"/>
      <c r="EZH110" s="17"/>
      <c r="EZI110" s="17"/>
      <c r="EZJ110" s="17"/>
      <c r="EZK110" s="17"/>
      <c r="EZL110" s="17"/>
      <c r="EZM110" s="17"/>
      <c r="EZN110" s="17"/>
      <c r="EZO110" s="17"/>
      <c r="EZP110" s="17"/>
      <c r="EZQ110" s="17"/>
      <c r="EZR110" s="17"/>
      <c r="EZS110" s="17"/>
      <c r="EZT110" s="17"/>
      <c r="EZU110" s="17"/>
      <c r="EZV110" s="17"/>
      <c r="EZW110" s="17"/>
      <c r="EZX110" s="17"/>
      <c r="EZY110" s="17"/>
      <c r="EZZ110" s="17"/>
      <c r="FAA110" s="17"/>
      <c r="FAB110" s="17"/>
      <c r="FAC110" s="17"/>
      <c r="FAD110" s="17"/>
      <c r="FAE110" s="17"/>
      <c r="FAF110" s="17"/>
      <c r="FAG110" s="17"/>
      <c r="FAH110" s="17"/>
      <c r="FAI110" s="17"/>
      <c r="FAJ110" s="17"/>
      <c r="FAK110" s="17"/>
      <c r="FAL110" s="17"/>
      <c r="FAM110" s="17"/>
      <c r="FAN110" s="17"/>
      <c r="FAO110" s="17"/>
      <c r="FAP110" s="17"/>
      <c r="FAQ110" s="17"/>
      <c r="FAR110" s="17"/>
      <c r="FAS110" s="17"/>
      <c r="FAT110" s="17"/>
      <c r="FAU110" s="17"/>
      <c r="FAV110" s="17"/>
      <c r="FAW110" s="17"/>
      <c r="FAX110" s="17"/>
      <c r="FAY110" s="17"/>
      <c r="FAZ110" s="17"/>
      <c r="FBA110" s="17"/>
      <c r="FBB110" s="17"/>
      <c r="FBC110" s="17"/>
      <c r="FBD110" s="17"/>
      <c r="FBE110" s="17"/>
      <c r="FBF110" s="17"/>
      <c r="FBG110" s="17"/>
      <c r="FBH110" s="17"/>
      <c r="FBI110" s="17"/>
      <c r="FBJ110" s="17"/>
      <c r="FBK110" s="17"/>
      <c r="FBL110" s="17"/>
      <c r="FBM110" s="17"/>
      <c r="FBN110" s="17"/>
      <c r="FBO110" s="17"/>
      <c r="FBP110" s="17"/>
      <c r="FBQ110" s="17"/>
      <c r="FBR110" s="17"/>
      <c r="FBS110" s="17"/>
      <c r="FBT110" s="17"/>
      <c r="FBU110" s="17"/>
      <c r="FBV110" s="17"/>
      <c r="FBW110" s="17"/>
      <c r="FBX110" s="17"/>
      <c r="FBY110" s="17"/>
      <c r="FBZ110" s="17"/>
      <c r="FCA110" s="17"/>
      <c r="FCB110" s="17"/>
      <c r="FCC110" s="17"/>
      <c r="FCD110" s="17"/>
      <c r="FCE110" s="17"/>
      <c r="FCF110" s="17"/>
      <c r="FCG110" s="17"/>
      <c r="FCH110" s="17"/>
      <c r="FCI110" s="17"/>
      <c r="FCJ110" s="17"/>
      <c r="FCK110" s="17"/>
      <c r="FCL110" s="17"/>
      <c r="FCM110" s="17"/>
      <c r="FCN110" s="17"/>
      <c r="FCO110" s="17"/>
      <c r="FCP110" s="17"/>
      <c r="FCQ110" s="17"/>
      <c r="FCR110" s="17"/>
      <c r="FCS110" s="17"/>
      <c r="FCT110" s="17"/>
      <c r="FCU110" s="17"/>
      <c r="FCV110" s="17"/>
      <c r="FCW110" s="17"/>
      <c r="FCX110" s="17"/>
      <c r="FCY110" s="17"/>
      <c r="FCZ110" s="17"/>
      <c r="FDA110" s="17"/>
      <c r="FDB110" s="17"/>
      <c r="FDC110" s="17"/>
      <c r="FDD110" s="17"/>
      <c r="FDE110" s="17"/>
      <c r="FDF110" s="17"/>
      <c r="FDG110" s="17"/>
      <c r="FDH110" s="17"/>
      <c r="FDI110" s="17"/>
      <c r="FDJ110" s="17"/>
      <c r="FDK110" s="17"/>
      <c r="FDL110" s="17"/>
      <c r="FDM110" s="17"/>
      <c r="FDN110" s="17"/>
      <c r="FDO110" s="17"/>
      <c r="FDP110" s="17"/>
      <c r="FDQ110" s="17"/>
      <c r="FDR110" s="17"/>
      <c r="FDS110" s="17"/>
      <c r="FDT110" s="17"/>
      <c r="FDU110" s="17"/>
      <c r="FDV110" s="17"/>
      <c r="FDW110" s="17"/>
      <c r="FDX110" s="17"/>
      <c r="FDY110" s="17"/>
      <c r="FDZ110" s="17"/>
      <c r="FEA110" s="17"/>
      <c r="FEB110" s="17"/>
      <c r="FEC110" s="17"/>
      <c r="FED110" s="17"/>
      <c r="FEE110" s="17"/>
      <c r="FEF110" s="17"/>
      <c r="FEG110" s="17"/>
      <c r="FEH110" s="17"/>
      <c r="FEI110" s="17"/>
      <c r="FEJ110" s="17"/>
      <c r="FEK110" s="17"/>
      <c r="FEL110" s="17"/>
      <c r="FEM110" s="17"/>
      <c r="FEN110" s="17"/>
      <c r="FEO110" s="17"/>
      <c r="FEP110" s="17"/>
      <c r="FEQ110" s="17"/>
      <c r="FER110" s="17"/>
      <c r="FES110" s="17"/>
      <c r="FET110" s="17"/>
      <c r="FEU110" s="17"/>
      <c r="FEV110" s="17"/>
      <c r="FEW110" s="17"/>
      <c r="FEX110" s="17"/>
      <c r="FEY110" s="17"/>
      <c r="FEZ110" s="17"/>
      <c r="FFA110" s="17"/>
      <c r="FFB110" s="17"/>
      <c r="FFC110" s="17"/>
      <c r="FFD110" s="17"/>
      <c r="FFE110" s="17"/>
      <c r="FFF110" s="17"/>
      <c r="FFG110" s="17"/>
      <c r="FFH110" s="17"/>
      <c r="FFI110" s="17"/>
      <c r="FFJ110" s="17"/>
      <c r="FFK110" s="17"/>
      <c r="FFL110" s="17"/>
      <c r="FFM110" s="17"/>
      <c r="FFN110" s="17"/>
      <c r="FFO110" s="17"/>
      <c r="FFP110" s="17"/>
      <c r="FFQ110" s="17"/>
      <c r="FFR110" s="17"/>
      <c r="FFS110" s="17"/>
      <c r="FFT110" s="17"/>
      <c r="FFU110" s="17"/>
      <c r="FFV110" s="17"/>
      <c r="FFW110" s="17"/>
      <c r="FFX110" s="17"/>
      <c r="FFY110" s="17"/>
      <c r="FFZ110" s="17"/>
      <c r="FGA110" s="17"/>
      <c r="FGB110" s="17"/>
      <c r="FGC110" s="17"/>
      <c r="FGD110" s="17"/>
      <c r="FGE110" s="17"/>
      <c r="FGF110" s="17"/>
      <c r="FGG110" s="17"/>
      <c r="FGH110" s="17"/>
      <c r="FGI110" s="17"/>
      <c r="FGJ110" s="17"/>
      <c r="FGK110" s="17"/>
      <c r="FGL110" s="17"/>
      <c r="FGM110" s="17"/>
      <c r="FGN110" s="17"/>
      <c r="FGO110" s="17"/>
      <c r="FGP110" s="17"/>
      <c r="FGQ110" s="17"/>
      <c r="FGR110" s="17"/>
      <c r="FGS110" s="17"/>
      <c r="FGT110" s="17"/>
      <c r="FGU110" s="17"/>
      <c r="FGV110" s="17"/>
      <c r="FGW110" s="17"/>
      <c r="FGX110" s="17"/>
      <c r="FGY110" s="17"/>
      <c r="FGZ110" s="17"/>
      <c r="FHA110" s="17"/>
      <c r="FHB110" s="17"/>
      <c r="FHC110" s="17"/>
      <c r="FHD110" s="17"/>
      <c r="FHE110" s="17"/>
      <c r="FHF110" s="17"/>
      <c r="FHG110" s="17"/>
      <c r="FHH110" s="17"/>
      <c r="FHI110" s="17"/>
      <c r="FHJ110" s="17"/>
      <c r="FHK110" s="17"/>
      <c r="FHL110" s="17"/>
      <c r="FHM110" s="17"/>
      <c r="FHN110" s="17"/>
      <c r="FHO110" s="17"/>
      <c r="FHP110" s="17"/>
      <c r="FHQ110" s="17"/>
      <c r="FHR110" s="17"/>
      <c r="FHS110" s="17"/>
      <c r="FHT110" s="17"/>
      <c r="FHU110" s="17"/>
      <c r="FHV110" s="17"/>
      <c r="FHW110" s="17"/>
      <c r="FHX110" s="17"/>
      <c r="FHY110" s="17"/>
      <c r="FHZ110" s="17"/>
      <c r="FIA110" s="17"/>
      <c r="FIB110" s="17"/>
      <c r="FIC110" s="17"/>
      <c r="FID110" s="17"/>
      <c r="FIE110" s="17"/>
      <c r="FIF110" s="17"/>
      <c r="FIG110" s="17"/>
      <c r="FIH110" s="17"/>
      <c r="FII110" s="17"/>
      <c r="FIJ110" s="17"/>
      <c r="FIK110" s="17"/>
      <c r="FIL110" s="17"/>
      <c r="FIM110" s="17"/>
      <c r="FIN110" s="17"/>
      <c r="FIO110" s="17"/>
      <c r="FIP110" s="17"/>
      <c r="FIQ110" s="17"/>
      <c r="FIR110" s="17"/>
      <c r="FIS110" s="17"/>
      <c r="FIT110" s="17"/>
      <c r="FIU110" s="17"/>
      <c r="FIV110" s="17"/>
      <c r="FIW110" s="17"/>
      <c r="FIX110" s="17"/>
      <c r="FIY110" s="17"/>
      <c r="FIZ110" s="17"/>
      <c r="FJA110" s="17"/>
      <c r="FJB110" s="17"/>
      <c r="FJC110" s="17"/>
      <c r="FJD110" s="17"/>
      <c r="FJE110" s="17"/>
      <c r="FJF110" s="17"/>
      <c r="FJG110" s="17"/>
      <c r="FJH110" s="17"/>
      <c r="FJI110" s="17"/>
      <c r="FJJ110" s="17"/>
      <c r="FJK110" s="17"/>
      <c r="FJL110" s="17"/>
      <c r="FJM110" s="17"/>
      <c r="FJN110" s="17"/>
      <c r="FJO110" s="17"/>
      <c r="FJP110" s="17"/>
      <c r="FJQ110" s="17"/>
      <c r="FJR110" s="17"/>
      <c r="FJS110" s="17"/>
      <c r="FJT110" s="17"/>
      <c r="FJU110" s="17"/>
      <c r="FJV110" s="17"/>
      <c r="FJW110" s="17"/>
      <c r="FJX110" s="17"/>
      <c r="FJY110" s="17"/>
      <c r="FJZ110" s="17"/>
      <c r="FKA110" s="17"/>
      <c r="FKB110" s="17"/>
      <c r="FKC110" s="17"/>
      <c r="FKD110" s="17"/>
      <c r="FKE110" s="17"/>
      <c r="FKF110" s="17"/>
      <c r="FKG110" s="17"/>
      <c r="FKH110" s="17"/>
      <c r="FKI110" s="17"/>
      <c r="FKJ110" s="17"/>
      <c r="FKK110" s="17"/>
      <c r="FKL110" s="17"/>
      <c r="FKM110" s="17"/>
      <c r="FKN110" s="17"/>
      <c r="FKO110" s="17"/>
      <c r="FKP110" s="17"/>
      <c r="FKQ110" s="17"/>
      <c r="FKR110" s="17"/>
      <c r="FKS110" s="17"/>
      <c r="FKT110" s="17"/>
      <c r="FKU110" s="17"/>
      <c r="FKV110" s="17"/>
      <c r="FKW110" s="17"/>
      <c r="FKX110" s="17"/>
      <c r="FKY110" s="17"/>
      <c r="FKZ110" s="17"/>
      <c r="FLA110" s="17"/>
      <c r="FLB110" s="17"/>
      <c r="FLC110" s="17"/>
      <c r="FLD110" s="17"/>
      <c r="FLE110" s="17"/>
      <c r="FLF110" s="17"/>
      <c r="FLG110" s="17"/>
      <c r="FLH110" s="17"/>
      <c r="FLI110" s="17"/>
      <c r="FLJ110" s="17"/>
      <c r="FLK110" s="17"/>
      <c r="FLL110" s="17"/>
      <c r="FLM110" s="17"/>
      <c r="FLN110" s="17"/>
      <c r="FLO110" s="17"/>
      <c r="FLP110" s="17"/>
      <c r="FLQ110" s="17"/>
      <c r="FLR110" s="17"/>
      <c r="FLS110" s="17"/>
      <c r="FLT110" s="17"/>
      <c r="FLU110" s="17"/>
      <c r="FLV110" s="17"/>
      <c r="FLW110" s="17"/>
      <c r="FLX110" s="17"/>
      <c r="FLY110" s="17"/>
      <c r="FLZ110" s="17"/>
      <c r="FMA110" s="17"/>
      <c r="FMB110" s="17"/>
      <c r="FMC110" s="17"/>
      <c r="FMD110" s="17"/>
      <c r="FME110" s="17"/>
      <c r="FMF110" s="17"/>
      <c r="FMG110" s="17"/>
      <c r="FMH110" s="17"/>
      <c r="FMI110" s="17"/>
      <c r="FMJ110" s="17"/>
      <c r="FMK110" s="17"/>
      <c r="FML110" s="17"/>
      <c r="FMM110" s="17"/>
      <c r="FMN110" s="17"/>
      <c r="FMO110" s="17"/>
      <c r="FMP110" s="17"/>
      <c r="FMQ110" s="17"/>
      <c r="FMR110" s="17"/>
      <c r="FMS110" s="17"/>
      <c r="FMT110" s="17"/>
      <c r="FMU110" s="17"/>
      <c r="FMV110" s="17"/>
      <c r="FMW110" s="17"/>
      <c r="FMX110" s="17"/>
      <c r="FMY110" s="17"/>
      <c r="FMZ110" s="17"/>
      <c r="FNA110" s="17"/>
      <c r="FNB110" s="17"/>
      <c r="FNC110" s="17"/>
      <c r="FND110" s="17"/>
      <c r="FNE110" s="17"/>
      <c r="FNF110" s="17"/>
      <c r="FNG110" s="17"/>
      <c r="FNH110" s="17"/>
      <c r="FNI110" s="17"/>
      <c r="FNJ110" s="17"/>
      <c r="FNK110" s="17"/>
      <c r="FNL110" s="17"/>
      <c r="FNM110" s="17"/>
      <c r="FNN110" s="17"/>
      <c r="FNO110" s="17"/>
      <c r="FNP110" s="17"/>
      <c r="FNQ110" s="17"/>
      <c r="FNR110" s="17"/>
      <c r="FNS110" s="17"/>
      <c r="FNT110" s="17"/>
      <c r="FNU110" s="17"/>
      <c r="FNV110" s="17"/>
      <c r="FNW110" s="17"/>
      <c r="FNX110" s="17"/>
      <c r="FNY110" s="17"/>
      <c r="FNZ110" s="17"/>
      <c r="FOA110" s="17"/>
      <c r="FOB110" s="17"/>
      <c r="FOC110" s="17"/>
      <c r="FOD110" s="17"/>
      <c r="FOE110" s="17"/>
      <c r="FOF110" s="17"/>
      <c r="FOG110" s="17"/>
      <c r="FOH110" s="17"/>
      <c r="FOI110" s="17"/>
      <c r="FOJ110" s="17"/>
      <c r="FOK110" s="17"/>
      <c r="FOL110" s="17"/>
      <c r="FOM110" s="17"/>
      <c r="FON110" s="17"/>
      <c r="FOO110" s="17"/>
      <c r="FOP110" s="17"/>
      <c r="FOQ110" s="17"/>
      <c r="FOR110" s="17"/>
      <c r="FOS110" s="17"/>
      <c r="FOT110" s="17"/>
      <c r="FOU110" s="17"/>
      <c r="FOV110" s="17"/>
      <c r="FOW110" s="17"/>
      <c r="FOX110" s="17"/>
      <c r="FOY110" s="17"/>
      <c r="FOZ110" s="17"/>
      <c r="FPA110" s="17"/>
      <c r="FPB110" s="17"/>
      <c r="FPC110" s="17"/>
      <c r="FPD110" s="17"/>
      <c r="FPE110" s="17"/>
      <c r="FPF110" s="17"/>
      <c r="FPG110" s="17"/>
      <c r="FPH110" s="17"/>
      <c r="FPI110" s="17"/>
      <c r="FPJ110" s="17"/>
      <c r="FPK110" s="17"/>
      <c r="FPL110" s="17"/>
      <c r="FPM110" s="17"/>
      <c r="FPN110" s="17"/>
      <c r="FPO110" s="17"/>
      <c r="FPP110" s="17"/>
      <c r="FPQ110" s="17"/>
      <c r="FPR110" s="17"/>
      <c r="FPS110" s="17"/>
      <c r="FPT110" s="17"/>
      <c r="FPU110" s="17"/>
      <c r="FPV110" s="17"/>
      <c r="FPW110" s="17"/>
      <c r="FPX110" s="17"/>
      <c r="FPY110" s="17"/>
      <c r="FPZ110" s="17"/>
      <c r="FQA110" s="17"/>
      <c r="FQB110" s="17"/>
      <c r="FQC110" s="17"/>
      <c r="FQD110" s="17"/>
      <c r="FQE110" s="17"/>
      <c r="FQF110" s="17"/>
      <c r="FQG110" s="17"/>
      <c r="FQH110" s="17"/>
      <c r="FQI110" s="17"/>
      <c r="FQJ110" s="17"/>
      <c r="FQK110" s="17"/>
      <c r="FQL110" s="17"/>
      <c r="FQM110" s="17"/>
      <c r="FQN110" s="17"/>
      <c r="FQO110" s="17"/>
      <c r="FQP110" s="17"/>
      <c r="FQQ110" s="17"/>
      <c r="FQR110" s="17"/>
      <c r="FQS110" s="17"/>
      <c r="FQT110" s="17"/>
      <c r="FQU110" s="17"/>
      <c r="FQV110" s="17"/>
      <c r="FQW110" s="17"/>
      <c r="FQX110" s="17"/>
      <c r="FQY110" s="17"/>
      <c r="FQZ110" s="17"/>
      <c r="FRA110" s="17"/>
      <c r="FRB110" s="17"/>
      <c r="FRC110" s="17"/>
      <c r="FRD110" s="17"/>
      <c r="FRE110" s="17"/>
      <c r="FRF110" s="17"/>
      <c r="FRG110" s="17"/>
      <c r="FRH110" s="17"/>
      <c r="FRI110" s="17"/>
      <c r="FRJ110" s="17"/>
      <c r="FRK110" s="17"/>
      <c r="FRL110" s="17"/>
      <c r="FRM110" s="17"/>
      <c r="FRN110" s="17"/>
      <c r="FRO110" s="17"/>
      <c r="FRP110" s="17"/>
      <c r="FRQ110" s="17"/>
      <c r="FRR110" s="17"/>
      <c r="FRS110" s="17"/>
      <c r="FRT110" s="17"/>
      <c r="FRU110" s="17"/>
      <c r="FRV110" s="17"/>
      <c r="FRW110" s="17"/>
      <c r="FRX110" s="17"/>
      <c r="FRY110" s="17"/>
      <c r="FRZ110" s="17"/>
      <c r="FSA110" s="17"/>
      <c r="FSB110" s="17"/>
      <c r="FSC110" s="17"/>
      <c r="FSD110" s="17"/>
      <c r="FSE110" s="17"/>
      <c r="FSF110" s="17"/>
      <c r="FSG110" s="17"/>
      <c r="FSH110" s="17"/>
      <c r="FSI110" s="17"/>
      <c r="FSJ110" s="17"/>
      <c r="FSK110" s="17"/>
      <c r="FSL110" s="17"/>
      <c r="FSM110" s="17"/>
      <c r="FSN110" s="17"/>
      <c r="FSO110" s="17"/>
      <c r="FSP110" s="17"/>
      <c r="FSQ110" s="17"/>
      <c r="FSR110" s="17"/>
      <c r="FSS110" s="17"/>
      <c r="FST110" s="17"/>
      <c r="FSU110" s="17"/>
      <c r="FSV110" s="17"/>
      <c r="FSW110" s="17"/>
      <c r="FSX110" s="17"/>
      <c r="FSY110" s="17"/>
      <c r="FSZ110" s="17"/>
      <c r="FTA110" s="17"/>
      <c r="FTB110" s="17"/>
      <c r="FTC110" s="17"/>
      <c r="FTD110" s="17"/>
      <c r="FTE110" s="17"/>
      <c r="FTF110" s="17"/>
      <c r="FTG110" s="17"/>
      <c r="FTH110" s="17"/>
      <c r="FTI110" s="17"/>
      <c r="FTJ110" s="17"/>
      <c r="FTK110" s="17"/>
      <c r="FTL110" s="17"/>
      <c r="FTM110" s="17"/>
      <c r="FTN110" s="17"/>
      <c r="FTO110" s="17"/>
      <c r="FTP110" s="17"/>
      <c r="FTQ110" s="17"/>
      <c r="FTR110" s="17"/>
      <c r="FTS110" s="17"/>
      <c r="FTT110" s="17"/>
      <c r="FTU110" s="17"/>
      <c r="FTV110" s="17"/>
      <c r="FTW110" s="17"/>
      <c r="FTX110" s="17"/>
      <c r="FTY110" s="17"/>
      <c r="FTZ110" s="17"/>
      <c r="FUA110" s="17"/>
      <c r="FUB110" s="17"/>
      <c r="FUC110" s="17"/>
      <c r="FUD110" s="17"/>
      <c r="FUE110" s="17"/>
      <c r="FUF110" s="17"/>
      <c r="FUG110" s="17"/>
      <c r="FUH110" s="17"/>
      <c r="FUI110" s="17"/>
      <c r="FUJ110" s="17"/>
      <c r="FUK110" s="17"/>
      <c r="FUL110" s="17"/>
      <c r="FUM110" s="17"/>
      <c r="FUN110" s="17"/>
      <c r="FUO110" s="17"/>
      <c r="FUP110" s="17"/>
      <c r="FUQ110" s="17"/>
      <c r="FUR110" s="17"/>
      <c r="FUS110" s="17"/>
      <c r="FUT110" s="17"/>
      <c r="FUU110" s="17"/>
      <c r="FUV110" s="17"/>
      <c r="FUW110" s="17"/>
      <c r="FUX110" s="17"/>
      <c r="FUY110" s="17"/>
      <c r="FUZ110" s="17"/>
      <c r="FVA110" s="17"/>
      <c r="FVB110" s="17"/>
      <c r="FVC110" s="17"/>
      <c r="FVD110" s="17"/>
      <c r="FVE110" s="17"/>
      <c r="FVF110" s="17"/>
      <c r="FVG110" s="17"/>
      <c r="FVH110" s="17"/>
      <c r="FVI110" s="17"/>
      <c r="FVJ110" s="17"/>
      <c r="FVK110" s="17"/>
      <c r="FVL110" s="17"/>
      <c r="FVM110" s="17"/>
      <c r="FVN110" s="17"/>
      <c r="FVO110" s="17"/>
      <c r="FVP110" s="17"/>
      <c r="FVQ110" s="17"/>
      <c r="FVR110" s="17"/>
      <c r="FVS110" s="17"/>
      <c r="FVT110" s="17"/>
      <c r="FVU110" s="17"/>
      <c r="FVV110" s="17"/>
      <c r="FVW110" s="17"/>
      <c r="FVX110" s="17"/>
      <c r="FVY110" s="17"/>
      <c r="FVZ110" s="17"/>
      <c r="FWA110" s="17"/>
      <c r="FWB110" s="17"/>
      <c r="FWC110" s="17"/>
      <c r="FWD110" s="17"/>
      <c r="FWE110" s="17"/>
      <c r="FWF110" s="17"/>
      <c r="FWG110" s="17"/>
      <c r="FWH110" s="17"/>
      <c r="FWI110" s="17"/>
      <c r="FWJ110" s="17"/>
      <c r="FWK110" s="17"/>
      <c r="FWL110" s="17"/>
      <c r="FWM110" s="17"/>
      <c r="FWN110" s="17"/>
      <c r="FWO110" s="17"/>
      <c r="FWP110" s="17"/>
      <c r="FWQ110" s="17"/>
      <c r="FWR110" s="17"/>
      <c r="FWS110" s="17"/>
      <c r="FWT110" s="17"/>
      <c r="FWU110" s="17"/>
      <c r="FWV110" s="17"/>
      <c r="FWW110" s="17"/>
      <c r="FWX110" s="17"/>
      <c r="FWY110" s="17"/>
      <c r="FWZ110" s="17"/>
      <c r="FXA110" s="17"/>
      <c r="FXB110" s="17"/>
      <c r="FXC110" s="17"/>
      <c r="FXD110" s="17"/>
      <c r="FXE110" s="17"/>
      <c r="FXF110" s="17"/>
      <c r="FXG110" s="17"/>
      <c r="FXH110" s="17"/>
      <c r="FXI110" s="17"/>
      <c r="FXJ110" s="17"/>
      <c r="FXK110" s="17"/>
      <c r="FXL110" s="17"/>
      <c r="FXM110" s="17"/>
      <c r="FXN110" s="17"/>
      <c r="FXO110" s="17"/>
      <c r="FXP110" s="17"/>
      <c r="FXQ110" s="17"/>
      <c r="FXR110" s="17"/>
      <c r="FXS110" s="17"/>
      <c r="FXT110" s="17"/>
      <c r="FXU110" s="17"/>
      <c r="FXV110" s="17"/>
      <c r="FXW110" s="17"/>
      <c r="FXX110" s="17"/>
      <c r="FXY110" s="17"/>
      <c r="FXZ110" s="17"/>
      <c r="FYA110" s="17"/>
      <c r="FYB110" s="17"/>
      <c r="FYC110" s="17"/>
      <c r="FYD110" s="17"/>
      <c r="FYE110" s="17"/>
      <c r="FYF110" s="17"/>
      <c r="FYG110" s="17"/>
      <c r="FYH110" s="17"/>
      <c r="FYI110" s="17"/>
      <c r="FYJ110" s="17"/>
      <c r="FYK110" s="17"/>
      <c r="FYL110" s="17"/>
      <c r="FYM110" s="17"/>
      <c r="FYN110" s="17"/>
      <c r="FYO110" s="17"/>
      <c r="FYP110" s="17"/>
      <c r="FYQ110" s="17"/>
      <c r="FYR110" s="17"/>
      <c r="FYS110" s="17"/>
      <c r="FYT110" s="17"/>
      <c r="FYU110" s="17"/>
      <c r="FYV110" s="17"/>
      <c r="FYW110" s="17"/>
      <c r="FYX110" s="17"/>
      <c r="FYY110" s="17"/>
      <c r="FYZ110" s="17"/>
      <c r="FZA110" s="17"/>
      <c r="FZB110" s="17"/>
      <c r="FZC110" s="17"/>
      <c r="FZD110" s="17"/>
      <c r="FZE110" s="17"/>
      <c r="FZF110" s="17"/>
      <c r="FZG110" s="17"/>
      <c r="FZH110" s="17"/>
      <c r="FZI110" s="17"/>
      <c r="FZJ110" s="17"/>
      <c r="FZK110" s="17"/>
      <c r="FZL110" s="17"/>
      <c r="FZM110" s="17"/>
      <c r="FZN110" s="17"/>
      <c r="FZO110" s="17"/>
      <c r="FZP110" s="17"/>
      <c r="FZQ110" s="17"/>
      <c r="FZR110" s="17"/>
      <c r="FZS110" s="17"/>
      <c r="FZT110" s="17"/>
      <c r="FZU110" s="17"/>
      <c r="FZV110" s="17"/>
      <c r="FZW110" s="17"/>
      <c r="FZX110" s="17"/>
      <c r="FZY110" s="17"/>
      <c r="FZZ110" s="17"/>
      <c r="GAA110" s="17"/>
      <c r="GAB110" s="17"/>
      <c r="GAC110" s="17"/>
      <c r="GAD110" s="17"/>
      <c r="GAE110" s="17"/>
      <c r="GAF110" s="17"/>
      <c r="GAG110" s="17"/>
      <c r="GAH110" s="17"/>
      <c r="GAI110" s="17"/>
      <c r="GAJ110" s="17"/>
      <c r="GAK110" s="17"/>
      <c r="GAL110" s="17"/>
      <c r="GAM110" s="17"/>
      <c r="GAN110" s="17"/>
      <c r="GAO110" s="17"/>
      <c r="GAP110" s="17"/>
      <c r="GAQ110" s="17"/>
      <c r="GAR110" s="17"/>
      <c r="GAS110" s="17"/>
      <c r="GAT110" s="17"/>
      <c r="GAU110" s="17"/>
      <c r="GAV110" s="17"/>
      <c r="GAW110" s="17"/>
      <c r="GAX110" s="17"/>
      <c r="GAY110" s="17"/>
      <c r="GAZ110" s="17"/>
      <c r="GBA110" s="17"/>
      <c r="GBB110" s="17"/>
      <c r="GBC110" s="17"/>
      <c r="GBD110" s="17"/>
      <c r="GBE110" s="17"/>
      <c r="GBF110" s="17"/>
      <c r="GBG110" s="17"/>
      <c r="GBH110" s="17"/>
      <c r="GBI110" s="17"/>
      <c r="GBJ110" s="17"/>
      <c r="GBK110" s="17"/>
      <c r="GBL110" s="17"/>
      <c r="GBM110" s="17"/>
      <c r="GBN110" s="17"/>
      <c r="GBO110" s="17"/>
      <c r="GBP110" s="17"/>
      <c r="GBQ110" s="17"/>
      <c r="GBR110" s="17"/>
      <c r="GBS110" s="17"/>
      <c r="GBT110" s="17"/>
      <c r="GBU110" s="17"/>
      <c r="GBV110" s="17"/>
      <c r="GBW110" s="17"/>
      <c r="GBX110" s="17"/>
      <c r="GBY110" s="17"/>
      <c r="GBZ110" s="17"/>
      <c r="GCA110" s="17"/>
      <c r="GCB110" s="17"/>
      <c r="GCC110" s="17"/>
      <c r="GCD110" s="17"/>
      <c r="GCE110" s="17"/>
      <c r="GCF110" s="17"/>
      <c r="GCG110" s="17"/>
      <c r="GCH110" s="17"/>
      <c r="GCI110" s="17"/>
      <c r="GCJ110" s="17"/>
      <c r="GCK110" s="17"/>
      <c r="GCL110" s="17"/>
      <c r="GCM110" s="17"/>
      <c r="GCN110" s="17"/>
      <c r="GCO110" s="17"/>
      <c r="GCP110" s="17"/>
      <c r="GCQ110" s="17"/>
      <c r="GCR110" s="17"/>
      <c r="GCS110" s="17"/>
      <c r="GCT110" s="17"/>
      <c r="GCU110" s="17"/>
      <c r="GCV110" s="17"/>
      <c r="GCW110" s="17"/>
      <c r="GCX110" s="17"/>
      <c r="GCY110" s="17"/>
      <c r="GCZ110" s="17"/>
      <c r="GDA110" s="17"/>
      <c r="GDB110" s="17"/>
      <c r="GDC110" s="17"/>
      <c r="GDD110" s="17"/>
      <c r="GDE110" s="17"/>
      <c r="GDF110" s="17"/>
      <c r="GDG110" s="17"/>
      <c r="GDH110" s="17"/>
      <c r="GDI110" s="17"/>
      <c r="GDJ110" s="17"/>
      <c r="GDK110" s="17"/>
      <c r="GDL110" s="17"/>
      <c r="GDM110" s="17"/>
      <c r="GDN110" s="17"/>
      <c r="GDO110" s="17"/>
      <c r="GDP110" s="17"/>
      <c r="GDQ110" s="17"/>
      <c r="GDR110" s="17"/>
      <c r="GDS110" s="17"/>
      <c r="GDT110" s="17"/>
      <c r="GDU110" s="17"/>
      <c r="GDV110" s="17"/>
      <c r="GDW110" s="17"/>
      <c r="GDX110" s="17"/>
      <c r="GDY110" s="17"/>
      <c r="GDZ110" s="17"/>
      <c r="GEA110" s="17"/>
      <c r="GEB110" s="17"/>
      <c r="GEC110" s="17"/>
      <c r="GED110" s="17"/>
      <c r="GEE110" s="17"/>
      <c r="GEF110" s="17"/>
      <c r="GEG110" s="17"/>
      <c r="GEH110" s="17"/>
      <c r="GEI110" s="17"/>
      <c r="GEJ110" s="17"/>
      <c r="GEK110" s="17"/>
      <c r="GEL110" s="17"/>
      <c r="GEM110" s="17"/>
      <c r="GEN110" s="17"/>
      <c r="GEO110" s="17"/>
      <c r="GEP110" s="17"/>
      <c r="GEQ110" s="17"/>
      <c r="GER110" s="17"/>
      <c r="GES110" s="17"/>
      <c r="GET110" s="17"/>
      <c r="GEU110" s="17"/>
      <c r="GEV110" s="17"/>
      <c r="GEW110" s="17"/>
      <c r="GEX110" s="17"/>
      <c r="GEY110" s="17"/>
      <c r="GEZ110" s="17"/>
      <c r="GFA110" s="17"/>
      <c r="GFB110" s="17"/>
      <c r="GFC110" s="17"/>
      <c r="GFD110" s="17"/>
      <c r="GFE110" s="17"/>
      <c r="GFF110" s="17"/>
      <c r="GFG110" s="17"/>
      <c r="GFH110" s="17"/>
      <c r="GFI110" s="17"/>
      <c r="GFJ110" s="17"/>
      <c r="GFK110" s="17"/>
      <c r="GFL110" s="17"/>
      <c r="GFM110" s="17"/>
      <c r="GFN110" s="17"/>
      <c r="GFO110" s="17"/>
      <c r="GFP110" s="17"/>
      <c r="GFQ110" s="17"/>
      <c r="GFR110" s="17"/>
      <c r="GFS110" s="17"/>
      <c r="GFT110" s="17"/>
      <c r="GFU110" s="17"/>
      <c r="GFV110" s="17"/>
      <c r="GFW110" s="17"/>
      <c r="GFX110" s="17"/>
      <c r="GFY110" s="17"/>
      <c r="GFZ110" s="17"/>
      <c r="GGA110" s="17"/>
      <c r="GGB110" s="17"/>
      <c r="GGC110" s="17"/>
      <c r="GGD110" s="17"/>
      <c r="GGE110" s="17"/>
      <c r="GGF110" s="17"/>
      <c r="GGG110" s="17"/>
      <c r="GGH110" s="17"/>
      <c r="GGI110" s="17"/>
      <c r="GGJ110" s="17"/>
      <c r="GGK110" s="17"/>
      <c r="GGL110" s="17"/>
      <c r="GGM110" s="17"/>
      <c r="GGN110" s="17"/>
      <c r="GGO110" s="17"/>
      <c r="GGP110" s="17"/>
      <c r="GGQ110" s="17"/>
      <c r="GGR110" s="17"/>
      <c r="GGS110" s="17"/>
      <c r="GGT110" s="17"/>
      <c r="GGU110" s="17"/>
      <c r="GGV110" s="17"/>
      <c r="GGW110" s="17"/>
      <c r="GGX110" s="17"/>
      <c r="GGY110" s="17"/>
      <c r="GGZ110" s="17"/>
      <c r="GHA110" s="17"/>
      <c r="GHB110" s="17"/>
      <c r="GHC110" s="17"/>
      <c r="GHD110" s="17"/>
      <c r="GHE110" s="17"/>
      <c r="GHF110" s="17"/>
      <c r="GHG110" s="17"/>
      <c r="GHH110" s="17"/>
      <c r="GHI110" s="17"/>
      <c r="GHJ110" s="17"/>
      <c r="GHK110" s="17"/>
      <c r="GHL110" s="17"/>
      <c r="GHM110" s="17"/>
      <c r="GHN110" s="17"/>
      <c r="GHO110" s="17"/>
      <c r="GHP110" s="17"/>
      <c r="GHQ110" s="17"/>
      <c r="GHR110" s="17"/>
      <c r="GHS110" s="17"/>
      <c r="GHT110" s="17"/>
      <c r="GHU110" s="17"/>
      <c r="GHV110" s="17"/>
      <c r="GHW110" s="17"/>
      <c r="GHX110" s="17"/>
      <c r="GHY110" s="17"/>
      <c r="GHZ110" s="17"/>
      <c r="GIA110" s="17"/>
      <c r="GIB110" s="17"/>
      <c r="GIC110" s="17"/>
      <c r="GID110" s="17"/>
      <c r="GIE110" s="17"/>
      <c r="GIF110" s="17"/>
      <c r="GIG110" s="17"/>
      <c r="GIH110" s="17"/>
      <c r="GII110" s="17"/>
      <c r="GIJ110" s="17"/>
      <c r="GIK110" s="17"/>
      <c r="GIL110" s="17"/>
      <c r="GIM110" s="17"/>
      <c r="GIN110" s="17"/>
      <c r="GIO110" s="17"/>
      <c r="GIP110" s="17"/>
      <c r="GIQ110" s="17"/>
      <c r="GIR110" s="17"/>
      <c r="GIS110" s="17"/>
      <c r="GIT110" s="17"/>
      <c r="GIU110" s="17"/>
      <c r="GIV110" s="17"/>
      <c r="GIW110" s="17"/>
      <c r="GIX110" s="17"/>
      <c r="GIY110" s="17"/>
      <c r="GIZ110" s="17"/>
      <c r="GJA110" s="17"/>
      <c r="GJB110" s="17"/>
      <c r="GJC110" s="17"/>
      <c r="GJD110" s="17"/>
      <c r="GJE110" s="17"/>
      <c r="GJF110" s="17"/>
      <c r="GJG110" s="17"/>
      <c r="GJH110" s="17"/>
      <c r="GJI110" s="17"/>
      <c r="GJJ110" s="17"/>
      <c r="GJK110" s="17"/>
      <c r="GJL110" s="17"/>
      <c r="GJM110" s="17"/>
      <c r="GJN110" s="17"/>
      <c r="GJO110" s="17"/>
      <c r="GJP110" s="17"/>
      <c r="GJQ110" s="17"/>
      <c r="GJR110" s="17"/>
      <c r="GJS110" s="17"/>
      <c r="GJT110" s="17"/>
      <c r="GJU110" s="17"/>
      <c r="GJV110" s="17"/>
      <c r="GJW110" s="17"/>
      <c r="GJX110" s="17"/>
      <c r="GJY110" s="17"/>
      <c r="GJZ110" s="17"/>
      <c r="GKA110" s="17"/>
      <c r="GKB110" s="17"/>
      <c r="GKC110" s="17"/>
      <c r="GKD110" s="17"/>
      <c r="GKE110" s="17"/>
      <c r="GKF110" s="17"/>
      <c r="GKG110" s="17"/>
      <c r="GKH110" s="17"/>
      <c r="GKI110" s="17"/>
      <c r="GKJ110" s="17"/>
      <c r="GKK110" s="17"/>
      <c r="GKL110" s="17"/>
      <c r="GKM110" s="17"/>
      <c r="GKN110" s="17"/>
      <c r="GKO110" s="17"/>
      <c r="GKP110" s="17"/>
      <c r="GKQ110" s="17"/>
      <c r="GKR110" s="17"/>
      <c r="GKS110" s="17"/>
      <c r="GKT110" s="17"/>
      <c r="GKU110" s="17"/>
      <c r="GKV110" s="17"/>
      <c r="GKW110" s="17"/>
      <c r="GKX110" s="17"/>
      <c r="GKY110" s="17"/>
      <c r="GKZ110" s="17"/>
      <c r="GLA110" s="17"/>
      <c r="GLB110" s="17"/>
      <c r="GLC110" s="17"/>
      <c r="GLD110" s="17"/>
      <c r="GLE110" s="17"/>
      <c r="GLF110" s="17"/>
      <c r="GLG110" s="17"/>
      <c r="GLH110" s="17"/>
      <c r="GLI110" s="17"/>
      <c r="GLJ110" s="17"/>
      <c r="GLK110" s="17"/>
      <c r="GLL110" s="17"/>
      <c r="GLM110" s="17"/>
      <c r="GLN110" s="17"/>
      <c r="GLO110" s="17"/>
      <c r="GLP110" s="17"/>
      <c r="GLQ110" s="17"/>
      <c r="GLR110" s="17"/>
      <c r="GLS110" s="17"/>
      <c r="GLT110" s="17"/>
      <c r="GLU110" s="17"/>
      <c r="GLV110" s="17"/>
      <c r="GLW110" s="17"/>
      <c r="GLX110" s="17"/>
      <c r="GLY110" s="17"/>
      <c r="GLZ110" s="17"/>
      <c r="GMA110" s="17"/>
      <c r="GMB110" s="17"/>
      <c r="GMC110" s="17"/>
      <c r="GMD110" s="17"/>
      <c r="GME110" s="17"/>
      <c r="GMF110" s="17"/>
      <c r="GMG110" s="17"/>
      <c r="GMH110" s="17"/>
      <c r="GMI110" s="17"/>
      <c r="GMJ110" s="17"/>
      <c r="GMK110" s="17"/>
      <c r="GML110" s="17"/>
      <c r="GMM110" s="17"/>
      <c r="GMN110" s="17"/>
      <c r="GMO110" s="17"/>
      <c r="GMP110" s="17"/>
      <c r="GMQ110" s="17"/>
      <c r="GMR110" s="17"/>
      <c r="GMS110" s="17"/>
      <c r="GMT110" s="17"/>
      <c r="GMU110" s="17"/>
      <c r="GMV110" s="17"/>
      <c r="GMW110" s="17"/>
      <c r="GMX110" s="17"/>
      <c r="GMY110" s="17"/>
      <c r="GMZ110" s="17"/>
      <c r="GNA110" s="17"/>
      <c r="GNB110" s="17"/>
      <c r="GNC110" s="17"/>
      <c r="GND110" s="17"/>
      <c r="GNE110" s="17"/>
      <c r="GNF110" s="17"/>
      <c r="GNG110" s="17"/>
      <c r="GNH110" s="17"/>
      <c r="GNI110" s="17"/>
      <c r="GNJ110" s="17"/>
      <c r="GNK110" s="17"/>
      <c r="GNL110" s="17"/>
      <c r="GNM110" s="17"/>
      <c r="GNN110" s="17"/>
      <c r="GNO110" s="17"/>
      <c r="GNP110" s="17"/>
      <c r="GNQ110" s="17"/>
      <c r="GNR110" s="17"/>
      <c r="GNS110" s="17"/>
      <c r="GNT110" s="17"/>
      <c r="GNU110" s="17"/>
      <c r="GNV110" s="17"/>
      <c r="GNW110" s="17"/>
      <c r="GNX110" s="17"/>
      <c r="GNY110" s="17"/>
      <c r="GNZ110" s="17"/>
      <c r="GOA110" s="17"/>
      <c r="GOB110" s="17"/>
      <c r="GOC110" s="17"/>
      <c r="GOD110" s="17"/>
      <c r="GOE110" s="17"/>
      <c r="GOF110" s="17"/>
      <c r="GOG110" s="17"/>
      <c r="GOH110" s="17"/>
      <c r="GOI110" s="17"/>
      <c r="GOJ110" s="17"/>
      <c r="GOK110" s="17"/>
      <c r="GOL110" s="17"/>
      <c r="GOM110" s="17"/>
      <c r="GON110" s="17"/>
      <c r="GOO110" s="17"/>
      <c r="GOP110" s="17"/>
      <c r="GOQ110" s="17"/>
      <c r="GOR110" s="17"/>
      <c r="GOS110" s="17"/>
      <c r="GOT110" s="17"/>
      <c r="GOU110" s="17"/>
      <c r="GOV110" s="17"/>
      <c r="GOW110" s="17"/>
      <c r="GOX110" s="17"/>
      <c r="GOY110" s="17"/>
      <c r="GOZ110" s="17"/>
      <c r="GPA110" s="17"/>
      <c r="GPB110" s="17"/>
      <c r="GPC110" s="17"/>
      <c r="GPD110" s="17"/>
      <c r="GPE110" s="17"/>
      <c r="GPF110" s="17"/>
      <c r="GPG110" s="17"/>
      <c r="GPH110" s="17"/>
      <c r="GPI110" s="17"/>
      <c r="GPJ110" s="17"/>
      <c r="GPK110" s="17"/>
      <c r="GPL110" s="17"/>
      <c r="GPM110" s="17"/>
      <c r="GPN110" s="17"/>
      <c r="GPO110" s="17"/>
      <c r="GPP110" s="17"/>
      <c r="GPQ110" s="17"/>
      <c r="GPR110" s="17"/>
      <c r="GPS110" s="17"/>
      <c r="GPT110" s="17"/>
      <c r="GPU110" s="17"/>
      <c r="GPV110" s="17"/>
      <c r="GPW110" s="17"/>
      <c r="GPX110" s="17"/>
      <c r="GPY110" s="17"/>
      <c r="GPZ110" s="17"/>
      <c r="GQA110" s="17"/>
      <c r="GQB110" s="17"/>
      <c r="GQC110" s="17"/>
      <c r="GQD110" s="17"/>
      <c r="GQE110" s="17"/>
      <c r="GQF110" s="17"/>
      <c r="GQG110" s="17"/>
      <c r="GQH110" s="17"/>
      <c r="GQI110" s="17"/>
      <c r="GQJ110" s="17"/>
      <c r="GQK110" s="17"/>
      <c r="GQL110" s="17"/>
      <c r="GQM110" s="17"/>
      <c r="GQN110" s="17"/>
      <c r="GQO110" s="17"/>
      <c r="GQP110" s="17"/>
      <c r="GQQ110" s="17"/>
      <c r="GQR110" s="17"/>
      <c r="GQS110" s="17"/>
      <c r="GQT110" s="17"/>
      <c r="GQU110" s="17"/>
      <c r="GQV110" s="17"/>
      <c r="GQW110" s="17"/>
      <c r="GQX110" s="17"/>
      <c r="GQY110" s="17"/>
      <c r="GQZ110" s="17"/>
      <c r="GRA110" s="17"/>
      <c r="GRB110" s="17"/>
      <c r="GRC110" s="17"/>
      <c r="GRD110" s="17"/>
      <c r="GRE110" s="17"/>
      <c r="GRF110" s="17"/>
      <c r="GRG110" s="17"/>
      <c r="GRH110" s="17"/>
      <c r="GRI110" s="17"/>
      <c r="GRJ110" s="17"/>
      <c r="GRK110" s="17"/>
      <c r="GRL110" s="17"/>
      <c r="GRM110" s="17"/>
      <c r="GRN110" s="17"/>
      <c r="GRO110" s="17"/>
      <c r="GRP110" s="17"/>
      <c r="GRQ110" s="17"/>
      <c r="GRR110" s="17"/>
      <c r="GRS110" s="17"/>
      <c r="GRT110" s="17"/>
      <c r="GRU110" s="17"/>
      <c r="GRV110" s="17"/>
      <c r="GRW110" s="17"/>
      <c r="GRX110" s="17"/>
      <c r="GRY110" s="17"/>
      <c r="GRZ110" s="17"/>
      <c r="GSA110" s="17"/>
      <c r="GSB110" s="17"/>
      <c r="GSC110" s="17"/>
      <c r="GSD110" s="17"/>
      <c r="GSE110" s="17"/>
      <c r="GSF110" s="17"/>
      <c r="GSG110" s="17"/>
      <c r="GSH110" s="17"/>
      <c r="GSI110" s="17"/>
      <c r="GSJ110" s="17"/>
      <c r="GSK110" s="17"/>
      <c r="GSL110" s="17"/>
      <c r="GSM110" s="17"/>
      <c r="GSN110" s="17"/>
      <c r="GSO110" s="17"/>
      <c r="GSP110" s="17"/>
      <c r="GSQ110" s="17"/>
      <c r="GSR110" s="17"/>
      <c r="GSS110" s="17"/>
      <c r="GST110" s="17"/>
      <c r="GSU110" s="17"/>
      <c r="GSV110" s="17"/>
      <c r="GSW110" s="17"/>
      <c r="GSX110" s="17"/>
      <c r="GSY110" s="17"/>
      <c r="GSZ110" s="17"/>
      <c r="GTA110" s="17"/>
      <c r="GTB110" s="17"/>
      <c r="GTC110" s="17"/>
      <c r="GTD110" s="17"/>
      <c r="GTE110" s="17"/>
      <c r="GTF110" s="17"/>
      <c r="GTG110" s="17"/>
      <c r="GTH110" s="17"/>
      <c r="GTI110" s="17"/>
      <c r="GTJ110" s="17"/>
      <c r="GTK110" s="17"/>
      <c r="GTL110" s="17"/>
      <c r="GTM110" s="17"/>
      <c r="GTN110" s="17"/>
      <c r="GTO110" s="17"/>
      <c r="GTP110" s="17"/>
      <c r="GTQ110" s="17"/>
      <c r="GTR110" s="17"/>
      <c r="GTS110" s="17"/>
      <c r="GTT110" s="17"/>
      <c r="GTU110" s="17"/>
      <c r="GTV110" s="17"/>
      <c r="GTW110" s="17"/>
      <c r="GTX110" s="17"/>
      <c r="GTY110" s="17"/>
      <c r="GTZ110" s="17"/>
      <c r="GUA110" s="17"/>
      <c r="GUB110" s="17"/>
      <c r="GUC110" s="17"/>
      <c r="GUD110" s="17"/>
      <c r="GUE110" s="17"/>
      <c r="GUF110" s="17"/>
      <c r="GUG110" s="17"/>
      <c r="GUH110" s="17"/>
      <c r="GUI110" s="17"/>
      <c r="GUJ110" s="17"/>
      <c r="GUK110" s="17"/>
      <c r="GUL110" s="17"/>
      <c r="GUM110" s="17"/>
      <c r="GUN110" s="17"/>
      <c r="GUO110" s="17"/>
      <c r="GUP110" s="17"/>
      <c r="GUQ110" s="17"/>
      <c r="GUR110" s="17"/>
      <c r="GUS110" s="17"/>
      <c r="GUT110" s="17"/>
      <c r="GUU110" s="17"/>
      <c r="GUV110" s="17"/>
      <c r="GUW110" s="17"/>
      <c r="GUX110" s="17"/>
      <c r="GUY110" s="17"/>
      <c r="GUZ110" s="17"/>
      <c r="GVA110" s="17"/>
      <c r="GVB110" s="17"/>
      <c r="GVC110" s="17"/>
      <c r="GVD110" s="17"/>
      <c r="GVE110" s="17"/>
      <c r="GVF110" s="17"/>
      <c r="GVG110" s="17"/>
      <c r="GVH110" s="17"/>
      <c r="GVI110" s="17"/>
      <c r="GVJ110" s="17"/>
      <c r="GVK110" s="17"/>
      <c r="GVL110" s="17"/>
      <c r="GVM110" s="17"/>
      <c r="GVN110" s="17"/>
      <c r="GVO110" s="17"/>
      <c r="GVP110" s="17"/>
      <c r="GVQ110" s="17"/>
      <c r="GVR110" s="17"/>
      <c r="GVS110" s="17"/>
      <c r="GVT110" s="17"/>
      <c r="GVU110" s="17"/>
      <c r="GVV110" s="17"/>
      <c r="GVW110" s="17"/>
      <c r="GVX110" s="17"/>
      <c r="GVY110" s="17"/>
      <c r="GVZ110" s="17"/>
      <c r="GWA110" s="17"/>
      <c r="GWB110" s="17"/>
      <c r="GWC110" s="17"/>
      <c r="GWD110" s="17"/>
      <c r="GWE110" s="17"/>
      <c r="GWF110" s="17"/>
      <c r="GWG110" s="17"/>
      <c r="GWH110" s="17"/>
      <c r="GWI110" s="17"/>
      <c r="GWJ110" s="17"/>
      <c r="GWK110" s="17"/>
      <c r="GWL110" s="17"/>
      <c r="GWM110" s="17"/>
      <c r="GWN110" s="17"/>
      <c r="GWO110" s="17"/>
      <c r="GWP110" s="17"/>
      <c r="GWQ110" s="17"/>
      <c r="GWR110" s="17"/>
      <c r="GWS110" s="17"/>
      <c r="GWT110" s="17"/>
      <c r="GWU110" s="17"/>
      <c r="GWV110" s="17"/>
      <c r="GWW110" s="17"/>
      <c r="GWX110" s="17"/>
      <c r="GWY110" s="17"/>
      <c r="GWZ110" s="17"/>
      <c r="GXA110" s="17"/>
      <c r="GXB110" s="17"/>
      <c r="GXC110" s="17"/>
      <c r="GXD110" s="17"/>
      <c r="GXE110" s="17"/>
      <c r="GXF110" s="17"/>
      <c r="GXG110" s="17"/>
      <c r="GXH110" s="17"/>
      <c r="GXI110" s="17"/>
      <c r="GXJ110" s="17"/>
      <c r="GXK110" s="17"/>
      <c r="GXL110" s="17"/>
      <c r="GXM110" s="17"/>
      <c r="GXN110" s="17"/>
      <c r="GXO110" s="17"/>
      <c r="GXP110" s="17"/>
      <c r="GXQ110" s="17"/>
      <c r="GXR110" s="17"/>
      <c r="GXS110" s="17"/>
      <c r="GXT110" s="17"/>
      <c r="GXU110" s="17"/>
      <c r="GXV110" s="17"/>
      <c r="GXW110" s="17"/>
      <c r="GXX110" s="17"/>
      <c r="GXY110" s="17"/>
      <c r="GXZ110" s="17"/>
      <c r="GYA110" s="17"/>
      <c r="GYB110" s="17"/>
      <c r="GYC110" s="17"/>
      <c r="GYD110" s="17"/>
      <c r="GYE110" s="17"/>
      <c r="GYF110" s="17"/>
      <c r="GYG110" s="17"/>
      <c r="GYH110" s="17"/>
      <c r="GYI110" s="17"/>
      <c r="GYJ110" s="17"/>
      <c r="GYK110" s="17"/>
      <c r="GYL110" s="17"/>
      <c r="GYM110" s="17"/>
      <c r="GYN110" s="17"/>
      <c r="GYO110" s="17"/>
      <c r="GYP110" s="17"/>
      <c r="GYQ110" s="17"/>
      <c r="GYR110" s="17"/>
      <c r="GYS110" s="17"/>
      <c r="GYT110" s="17"/>
      <c r="GYU110" s="17"/>
      <c r="GYV110" s="17"/>
      <c r="GYW110" s="17"/>
      <c r="GYX110" s="17"/>
      <c r="GYY110" s="17"/>
      <c r="GYZ110" s="17"/>
      <c r="GZA110" s="17"/>
      <c r="GZB110" s="17"/>
      <c r="GZC110" s="17"/>
      <c r="GZD110" s="17"/>
      <c r="GZE110" s="17"/>
      <c r="GZF110" s="17"/>
      <c r="GZG110" s="17"/>
      <c r="GZH110" s="17"/>
      <c r="GZI110" s="17"/>
      <c r="GZJ110" s="17"/>
      <c r="GZK110" s="17"/>
      <c r="GZL110" s="17"/>
      <c r="GZM110" s="17"/>
      <c r="GZN110" s="17"/>
      <c r="GZO110" s="17"/>
      <c r="GZP110" s="17"/>
      <c r="GZQ110" s="17"/>
      <c r="GZR110" s="17"/>
      <c r="GZS110" s="17"/>
      <c r="GZT110" s="17"/>
      <c r="GZU110" s="17"/>
      <c r="GZV110" s="17"/>
      <c r="GZW110" s="17"/>
      <c r="GZX110" s="17"/>
      <c r="GZY110" s="17"/>
      <c r="GZZ110" s="17"/>
      <c r="HAA110" s="17"/>
      <c r="HAB110" s="17"/>
      <c r="HAC110" s="17"/>
      <c r="HAD110" s="17"/>
      <c r="HAE110" s="17"/>
      <c r="HAF110" s="17"/>
      <c r="HAG110" s="17"/>
      <c r="HAH110" s="17"/>
      <c r="HAI110" s="17"/>
      <c r="HAJ110" s="17"/>
      <c r="HAK110" s="17"/>
      <c r="HAL110" s="17"/>
      <c r="HAM110" s="17"/>
      <c r="HAN110" s="17"/>
      <c r="HAO110" s="17"/>
      <c r="HAP110" s="17"/>
      <c r="HAQ110" s="17"/>
      <c r="HAR110" s="17"/>
      <c r="HAS110" s="17"/>
      <c r="HAT110" s="17"/>
      <c r="HAU110" s="17"/>
      <c r="HAV110" s="17"/>
      <c r="HAW110" s="17"/>
      <c r="HAX110" s="17"/>
      <c r="HAY110" s="17"/>
      <c r="HAZ110" s="17"/>
      <c r="HBA110" s="17"/>
      <c r="HBB110" s="17"/>
      <c r="HBC110" s="17"/>
      <c r="HBD110" s="17"/>
      <c r="HBE110" s="17"/>
      <c r="HBF110" s="17"/>
      <c r="HBG110" s="17"/>
      <c r="HBH110" s="17"/>
      <c r="HBI110" s="17"/>
      <c r="HBJ110" s="17"/>
      <c r="HBK110" s="17"/>
      <c r="HBL110" s="17"/>
      <c r="HBM110" s="17"/>
      <c r="HBN110" s="17"/>
      <c r="HBO110" s="17"/>
      <c r="HBP110" s="17"/>
      <c r="HBQ110" s="17"/>
      <c r="HBR110" s="17"/>
      <c r="HBS110" s="17"/>
      <c r="HBT110" s="17"/>
      <c r="HBU110" s="17"/>
      <c r="HBV110" s="17"/>
      <c r="HBW110" s="17"/>
      <c r="HBX110" s="17"/>
      <c r="HBY110" s="17"/>
      <c r="HBZ110" s="17"/>
      <c r="HCA110" s="17"/>
      <c r="HCB110" s="17"/>
      <c r="HCC110" s="17"/>
      <c r="HCD110" s="17"/>
      <c r="HCE110" s="17"/>
      <c r="HCF110" s="17"/>
      <c r="HCG110" s="17"/>
      <c r="HCH110" s="17"/>
      <c r="HCI110" s="17"/>
      <c r="HCJ110" s="17"/>
      <c r="HCK110" s="17"/>
      <c r="HCL110" s="17"/>
      <c r="HCM110" s="17"/>
      <c r="HCN110" s="17"/>
      <c r="HCO110" s="17"/>
      <c r="HCP110" s="17"/>
      <c r="HCQ110" s="17"/>
      <c r="HCR110" s="17"/>
      <c r="HCS110" s="17"/>
      <c r="HCT110" s="17"/>
      <c r="HCU110" s="17"/>
      <c r="HCV110" s="17"/>
      <c r="HCW110" s="17"/>
      <c r="HCX110" s="17"/>
      <c r="HCY110" s="17"/>
      <c r="HCZ110" s="17"/>
      <c r="HDA110" s="17"/>
      <c r="HDB110" s="17"/>
      <c r="HDC110" s="17"/>
      <c r="HDD110" s="17"/>
      <c r="HDE110" s="17"/>
      <c r="HDF110" s="17"/>
      <c r="HDG110" s="17"/>
      <c r="HDH110" s="17"/>
      <c r="HDI110" s="17"/>
      <c r="HDJ110" s="17"/>
      <c r="HDK110" s="17"/>
      <c r="HDL110" s="17"/>
      <c r="HDM110" s="17"/>
      <c r="HDN110" s="17"/>
      <c r="HDO110" s="17"/>
      <c r="HDP110" s="17"/>
      <c r="HDQ110" s="17"/>
      <c r="HDR110" s="17"/>
      <c r="HDS110" s="17"/>
      <c r="HDT110" s="17"/>
      <c r="HDU110" s="17"/>
      <c r="HDV110" s="17"/>
      <c r="HDW110" s="17"/>
      <c r="HDX110" s="17"/>
      <c r="HDY110" s="17"/>
      <c r="HDZ110" s="17"/>
      <c r="HEA110" s="17"/>
      <c r="HEB110" s="17"/>
      <c r="HEC110" s="17"/>
      <c r="HED110" s="17"/>
      <c r="HEE110" s="17"/>
      <c r="HEF110" s="17"/>
      <c r="HEG110" s="17"/>
      <c r="HEH110" s="17"/>
      <c r="HEI110" s="17"/>
      <c r="HEJ110" s="17"/>
      <c r="HEK110" s="17"/>
      <c r="HEL110" s="17"/>
      <c r="HEM110" s="17"/>
      <c r="HEN110" s="17"/>
      <c r="HEO110" s="17"/>
      <c r="HEP110" s="17"/>
      <c r="HEQ110" s="17"/>
      <c r="HER110" s="17"/>
      <c r="HES110" s="17"/>
      <c r="HET110" s="17"/>
      <c r="HEU110" s="17"/>
      <c r="HEV110" s="17"/>
      <c r="HEW110" s="17"/>
      <c r="HEX110" s="17"/>
      <c r="HEY110" s="17"/>
      <c r="HEZ110" s="17"/>
      <c r="HFA110" s="17"/>
      <c r="HFB110" s="17"/>
      <c r="HFC110" s="17"/>
      <c r="HFD110" s="17"/>
      <c r="HFE110" s="17"/>
      <c r="HFF110" s="17"/>
      <c r="HFG110" s="17"/>
      <c r="HFH110" s="17"/>
      <c r="HFI110" s="17"/>
      <c r="HFJ110" s="17"/>
      <c r="HFK110" s="17"/>
      <c r="HFL110" s="17"/>
      <c r="HFM110" s="17"/>
      <c r="HFN110" s="17"/>
      <c r="HFO110" s="17"/>
      <c r="HFP110" s="17"/>
      <c r="HFQ110" s="17"/>
      <c r="HFR110" s="17"/>
      <c r="HFS110" s="17"/>
      <c r="HFT110" s="17"/>
      <c r="HFU110" s="17"/>
      <c r="HFV110" s="17"/>
      <c r="HFW110" s="17"/>
      <c r="HFX110" s="17"/>
      <c r="HFY110" s="17"/>
      <c r="HFZ110" s="17"/>
      <c r="HGA110" s="17"/>
      <c r="HGB110" s="17"/>
      <c r="HGC110" s="17"/>
      <c r="HGD110" s="17"/>
      <c r="HGE110" s="17"/>
      <c r="HGF110" s="17"/>
      <c r="HGG110" s="17"/>
      <c r="HGH110" s="17"/>
      <c r="HGI110" s="17"/>
      <c r="HGJ110" s="17"/>
      <c r="HGK110" s="17"/>
      <c r="HGL110" s="17"/>
      <c r="HGM110" s="17"/>
      <c r="HGN110" s="17"/>
      <c r="HGO110" s="17"/>
      <c r="HGP110" s="17"/>
      <c r="HGQ110" s="17"/>
      <c r="HGR110" s="17"/>
      <c r="HGS110" s="17"/>
      <c r="HGT110" s="17"/>
      <c r="HGU110" s="17"/>
      <c r="HGV110" s="17"/>
      <c r="HGW110" s="17"/>
      <c r="HGX110" s="17"/>
      <c r="HGY110" s="17"/>
      <c r="HGZ110" s="17"/>
      <c r="HHA110" s="17"/>
      <c r="HHB110" s="17"/>
      <c r="HHC110" s="17"/>
      <c r="HHD110" s="17"/>
      <c r="HHE110" s="17"/>
      <c r="HHF110" s="17"/>
      <c r="HHG110" s="17"/>
      <c r="HHH110" s="17"/>
      <c r="HHI110" s="17"/>
      <c r="HHJ110" s="17"/>
      <c r="HHK110" s="17"/>
      <c r="HHL110" s="17"/>
      <c r="HHM110" s="17"/>
      <c r="HHN110" s="17"/>
      <c r="HHO110" s="17"/>
      <c r="HHP110" s="17"/>
      <c r="HHQ110" s="17"/>
      <c r="HHR110" s="17"/>
      <c r="HHS110" s="17"/>
      <c r="HHT110" s="17"/>
      <c r="HHU110" s="17"/>
      <c r="HHV110" s="17"/>
      <c r="HHW110" s="17"/>
      <c r="HHX110" s="17"/>
      <c r="HHY110" s="17"/>
      <c r="HHZ110" s="17"/>
      <c r="HIA110" s="17"/>
      <c r="HIB110" s="17"/>
      <c r="HIC110" s="17"/>
      <c r="HID110" s="17"/>
      <c r="HIE110" s="17"/>
      <c r="HIF110" s="17"/>
      <c r="HIG110" s="17"/>
      <c r="HIH110" s="17"/>
      <c r="HII110" s="17"/>
      <c r="HIJ110" s="17"/>
      <c r="HIK110" s="17"/>
      <c r="HIL110" s="17"/>
      <c r="HIM110" s="17"/>
      <c r="HIN110" s="17"/>
      <c r="HIO110" s="17"/>
      <c r="HIP110" s="17"/>
      <c r="HIQ110" s="17"/>
      <c r="HIR110" s="17"/>
      <c r="HIS110" s="17"/>
      <c r="HIT110" s="17"/>
      <c r="HIU110" s="17"/>
      <c r="HIV110" s="17"/>
      <c r="HIW110" s="17"/>
      <c r="HIX110" s="17"/>
      <c r="HIY110" s="17"/>
      <c r="HIZ110" s="17"/>
      <c r="HJA110" s="17"/>
      <c r="HJB110" s="17"/>
      <c r="HJC110" s="17"/>
      <c r="HJD110" s="17"/>
      <c r="HJE110" s="17"/>
      <c r="HJF110" s="17"/>
      <c r="HJG110" s="17"/>
      <c r="HJH110" s="17"/>
      <c r="HJI110" s="17"/>
      <c r="HJJ110" s="17"/>
      <c r="HJK110" s="17"/>
      <c r="HJL110" s="17"/>
      <c r="HJM110" s="17"/>
      <c r="HJN110" s="17"/>
      <c r="HJO110" s="17"/>
      <c r="HJP110" s="17"/>
      <c r="HJQ110" s="17"/>
      <c r="HJR110" s="17"/>
      <c r="HJS110" s="17"/>
      <c r="HJT110" s="17"/>
      <c r="HJU110" s="17"/>
      <c r="HJV110" s="17"/>
      <c r="HJW110" s="17"/>
      <c r="HJX110" s="17"/>
      <c r="HJY110" s="17"/>
      <c r="HJZ110" s="17"/>
      <c r="HKA110" s="17"/>
      <c r="HKB110" s="17"/>
      <c r="HKC110" s="17"/>
      <c r="HKD110" s="17"/>
      <c r="HKE110" s="17"/>
      <c r="HKF110" s="17"/>
      <c r="HKG110" s="17"/>
      <c r="HKH110" s="17"/>
      <c r="HKI110" s="17"/>
      <c r="HKJ110" s="17"/>
      <c r="HKK110" s="17"/>
      <c r="HKL110" s="17"/>
      <c r="HKM110" s="17"/>
      <c r="HKN110" s="17"/>
      <c r="HKO110" s="17"/>
      <c r="HKP110" s="17"/>
      <c r="HKQ110" s="17"/>
      <c r="HKR110" s="17"/>
      <c r="HKS110" s="17"/>
      <c r="HKT110" s="17"/>
      <c r="HKU110" s="17"/>
      <c r="HKV110" s="17"/>
      <c r="HKW110" s="17"/>
      <c r="HKX110" s="17"/>
      <c r="HKY110" s="17"/>
      <c r="HKZ110" s="17"/>
      <c r="HLA110" s="17"/>
      <c r="HLB110" s="17"/>
      <c r="HLC110" s="17"/>
      <c r="HLD110" s="17"/>
      <c r="HLE110" s="17"/>
      <c r="HLF110" s="17"/>
      <c r="HLG110" s="17"/>
      <c r="HLH110" s="17"/>
      <c r="HLI110" s="17"/>
      <c r="HLJ110" s="17"/>
      <c r="HLK110" s="17"/>
      <c r="HLL110" s="17"/>
      <c r="HLM110" s="17"/>
      <c r="HLN110" s="17"/>
      <c r="HLO110" s="17"/>
      <c r="HLP110" s="17"/>
      <c r="HLQ110" s="17"/>
      <c r="HLR110" s="17"/>
      <c r="HLS110" s="17"/>
      <c r="HLT110" s="17"/>
      <c r="HLU110" s="17"/>
      <c r="HLV110" s="17"/>
      <c r="HLW110" s="17"/>
      <c r="HLX110" s="17"/>
      <c r="HLY110" s="17"/>
      <c r="HLZ110" s="17"/>
      <c r="HMA110" s="17"/>
      <c r="HMB110" s="17"/>
      <c r="HMC110" s="17"/>
      <c r="HMD110" s="17"/>
      <c r="HME110" s="17"/>
      <c r="HMF110" s="17"/>
      <c r="HMG110" s="17"/>
      <c r="HMH110" s="17"/>
      <c r="HMI110" s="17"/>
      <c r="HMJ110" s="17"/>
      <c r="HMK110" s="17"/>
      <c r="HML110" s="17"/>
      <c r="HMM110" s="17"/>
      <c r="HMN110" s="17"/>
      <c r="HMO110" s="17"/>
      <c r="HMP110" s="17"/>
      <c r="HMQ110" s="17"/>
      <c r="HMR110" s="17"/>
      <c r="HMS110" s="17"/>
      <c r="HMT110" s="17"/>
      <c r="HMU110" s="17"/>
      <c r="HMV110" s="17"/>
      <c r="HMW110" s="17"/>
      <c r="HMX110" s="17"/>
      <c r="HMY110" s="17"/>
      <c r="HMZ110" s="17"/>
      <c r="HNA110" s="17"/>
      <c r="HNB110" s="17"/>
      <c r="HNC110" s="17"/>
      <c r="HND110" s="17"/>
      <c r="HNE110" s="17"/>
      <c r="HNF110" s="17"/>
      <c r="HNG110" s="17"/>
      <c r="HNH110" s="17"/>
      <c r="HNI110" s="17"/>
      <c r="HNJ110" s="17"/>
      <c r="HNK110" s="17"/>
      <c r="HNL110" s="17"/>
      <c r="HNM110" s="17"/>
      <c r="HNN110" s="17"/>
      <c r="HNO110" s="17"/>
      <c r="HNP110" s="17"/>
      <c r="HNQ110" s="17"/>
      <c r="HNR110" s="17"/>
      <c r="HNS110" s="17"/>
      <c r="HNT110" s="17"/>
      <c r="HNU110" s="17"/>
      <c r="HNV110" s="17"/>
      <c r="HNW110" s="17"/>
      <c r="HNX110" s="17"/>
      <c r="HNY110" s="17"/>
      <c r="HNZ110" s="17"/>
      <c r="HOA110" s="17"/>
      <c r="HOB110" s="17"/>
      <c r="HOC110" s="17"/>
      <c r="HOD110" s="17"/>
      <c r="HOE110" s="17"/>
      <c r="HOF110" s="17"/>
      <c r="HOG110" s="17"/>
      <c r="HOH110" s="17"/>
      <c r="HOI110" s="17"/>
      <c r="HOJ110" s="17"/>
      <c r="HOK110" s="17"/>
      <c r="HOL110" s="17"/>
      <c r="HOM110" s="17"/>
      <c r="HON110" s="17"/>
      <c r="HOO110" s="17"/>
      <c r="HOP110" s="17"/>
      <c r="HOQ110" s="17"/>
      <c r="HOR110" s="17"/>
      <c r="HOS110" s="17"/>
      <c r="HOT110" s="17"/>
      <c r="HOU110" s="17"/>
      <c r="HOV110" s="17"/>
      <c r="HOW110" s="17"/>
      <c r="HOX110" s="17"/>
      <c r="HOY110" s="17"/>
      <c r="HOZ110" s="17"/>
      <c r="HPA110" s="17"/>
      <c r="HPB110" s="17"/>
      <c r="HPC110" s="17"/>
      <c r="HPD110" s="17"/>
      <c r="HPE110" s="17"/>
      <c r="HPF110" s="17"/>
      <c r="HPG110" s="17"/>
      <c r="HPH110" s="17"/>
      <c r="HPI110" s="17"/>
      <c r="HPJ110" s="17"/>
      <c r="HPK110" s="17"/>
      <c r="HPL110" s="17"/>
      <c r="HPM110" s="17"/>
      <c r="HPN110" s="17"/>
      <c r="HPO110" s="17"/>
      <c r="HPP110" s="17"/>
      <c r="HPQ110" s="17"/>
      <c r="HPR110" s="17"/>
      <c r="HPS110" s="17"/>
      <c r="HPT110" s="17"/>
      <c r="HPU110" s="17"/>
      <c r="HPV110" s="17"/>
      <c r="HPW110" s="17"/>
      <c r="HPX110" s="17"/>
      <c r="HPY110" s="17"/>
      <c r="HPZ110" s="17"/>
      <c r="HQA110" s="17"/>
      <c r="HQB110" s="17"/>
      <c r="HQC110" s="17"/>
      <c r="HQD110" s="17"/>
      <c r="HQE110" s="17"/>
      <c r="HQF110" s="17"/>
      <c r="HQG110" s="17"/>
      <c r="HQH110" s="17"/>
      <c r="HQI110" s="17"/>
      <c r="HQJ110" s="17"/>
      <c r="HQK110" s="17"/>
      <c r="HQL110" s="17"/>
      <c r="HQM110" s="17"/>
      <c r="HQN110" s="17"/>
      <c r="HQO110" s="17"/>
      <c r="HQP110" s="17"/>
      <c r="HQQ110" s="17"/>
      <c r="HQR110" s="17"/>
      <c r="HQS110" s="17"/>
      <c r="HQT110" s="17"/>
      <c r="HQU110" s="17"/>
      <c r="HQV110" s="17"/>
      <c r="HQW110" s="17"/>
      <c r="HQX110" s="17"/>
      <c r="HQY110" s="17"/>
      <c r="HQZ110" s="17"/>
      <c r="HRA110" s="17"/>
      <c r="HRB110" s="17"/>
      <c r="HRC110" s="17"/>
      <c r="HRD110" s="17"/>
      <c r="HRE110" s="17"/>
      <c r="HRF110" s="17"/>
      <c r="HRG110" s="17"/>
      <c r="HRH110" s="17"/>
      <c r="HRI110" s="17"/>
      <c r="HRJ110" s="17"/>
      <c r="HRK110" s="17"/>
      <c r="HRL110" s="17"/>
      <c r="HRM110" s="17"/>
      <c r="HRN110" s="17"/>
      <c r="HRO110" s="17"/>
      <c r="HRP110" s="17"/>
      <c r="HRQ110" s="17"/>
      <c r="HRR110" s="17"/>
      <c r="HRS110" s="17"/>
      <c r="HRT110" s="17"/>
      <c r="HRU110" s="17"/>
      <c r="HRV110" s="17"/>
      <c r="HRW110" s="17"/>
      <c r="HRX110" s="17"/>
      <c r="HRY110" s="17"/>
      <c r="HRZ110" s="17"/>
      <c r="HSA110" s="17"/>
      <c r="HSB110" s="17"/>
      <c r="HSC110" s="17"/>
      <c r="HSD110" s="17"/>
      <c r="HSE110" s="17"/>
      <c r="HSF110" s="17"/>
      <c r="HSG110" s="17"/>
      <c r="HSH110" s="17"/>
      <c r="HSI110" s="17"/>
      <c r="HSJ110" s="17"/>
      <c r="HSK110" s="17"/>
      <c r="HSL110" s="17"/>
      <c r="HSM110" s="17"/>
      <c r="HSN110" s="17"/>
      <c r="HSO110" s="17"/>
      <c r="HSP110" s="17"/>
      <c r="HSQ110" s="17"/>
      <c r="HSR110" s="17"/>
      <c r="HSS110" s="17"/>
      <c r="HST110" s="17"/>
      <c r="HSU110" s="17"/>
      <c r="HSV110" s="17"/>
      <c r="HSW110" s="17"/>
      <c r="HSX110" s="17"/>
      <c r="HSY110" s="17"/>
      <c r="HSZ110" s="17"/>
      <c r="HTA110" s="17"/>
      <c r="HTB110" s="17"/>
      <c r="HTC110" s="17"/>
      <c r="HTD110" s="17"/>
      <c r="HTE110" s="17"/>
      <c r="HTF110" s="17"/>
      <c r="HTG110" s="17"/>
      <c r="HTH110" s="17"/>
      <c r="HTI110" s="17"/>
      <c r="HTJ110" s="17"/>
      <c r="HTK110" s="17"/>
      <c r="HTL110" s="17"/>
      <c r="HTM110" s="17"/>
      <c r="HTN110" s="17"/>
      <c r="HTO110" s="17"/>
      <c r="HTP110" s="17"/>
      <c r="HTQ110" s="17"/>
      <c r="HTR110" s="17"/>
      <c r="HTS110" s="17"/>
      <c r="HTT110" s="17"/>
      <c r="HTU110" s="17"/>
      <c r="HTV110" s="17"/>
      <c r="HTW110" s="17"/>
      <c r="HTX110" s="17"/>
      <c r="HTY110" s="17"/>
      <c r="HTZ110" s="17"/>
      <c r="HUA110" s="17"/>
      <c r="HUB110" s="17"/>
      <c r="HUC110" s="17"/>
      <c r="HUD110" s="17"/>
      <c r="HUE110" s="17"/>
      <c r="HUF110" s="17"/>
      <c r="HUG110" s="17"/>
      <c r="HUH110" s="17"/>
      <c r="HUI110" s="17"/>
      <c r="HUJ110" s="17"/>
      <c r="HUK110" s="17"/>
      <c r="HUL110" s="17"/>
      <c r="HUM110" s="17"/>
      <c r="HUN110" s="17"/>
      <c r="HUO110" s="17"/>
      <c r="HUP110" s="17"/>
      <c r="HUQ110" s="17"/>
      <c r="HUR110" s="17"/>
      <c r="HUS110" s="17"/>
      <c r="HUT110" s="17"/>
      <c r="HUU110" s="17"/>
      <c r="HUV110" s="17"/>
      <c r="HUW110" s="17"/>
      <c r="HUX110" s="17"/>
      <c r="HUY110" s="17"/>
      <c r="HUZ110" s="17"/>
      <c r="HVA110" s="17"/>
      <c r="HVB110" s="17"/>
      <c r="HVC110" s="17"/>
      <c r="HVD110" s="17"/>
      <c r="HVE110" s="17"/>
      <c r="HVF110" s="17"/>
      <c r="HVG110" s="17"/>
      <c r="HVH110" s="17"/>
      <c r="HVI110" s="17"/>
      <c r="HVJ110" s="17"/>
      <c r="HVK110" s="17"/>
      <c r="HVL110" s="17"/>
      <c r="HVM110" s="17"/>
      <c r="HVN110" s="17"/>
      <c r="HVO110" s="17"/>
      <c r="HVP110" s="17"/>
      <c r="HVQ110" s="17"/>
      <c r="HVR110" s="17"/>
      <c r="HVS110" s="17"/>
      <c r="HVT110" s="17"/>
      <c r="HVU110" s="17"/>
      <c r="HVV110" s="17"/>
      <c r="HVW110" s="17"/>
      <c r="HVX110" s="17"/>
      <c r="HVY110" s="17"/>
      <c r="HVZ110" s="17"/>
      <c r="HWA110" s="17"/>
      <c r="HWB110" s="17"/>
      <c r="HWC110" s="17"/>
      <c r="HWD110" s="17"/>
      <c r="HWE110" s="17"/>
      <c r="HWF110" s="17"/>
      <c r="HWG110" s="17"/>
      <c r="HWH110" s="17"/>
      <c r="HWI110" s="17"/>
      <c r="HWJ110" s="17"/>
      <c r="HWK110" s="17"/>
      <c r="HWL110" s="17"/>
      <c r="HWM110" s="17"/>
      <c r="HWN110" s="17"/>
      <c r="HWO110" s="17"/>
      <c r="HWP110" s="17"/>
      <c r="HWQ110" s="17"/>
      <c r="HWR110" s="17"/>
      <c r="HWS110" s="17"/>
      <c r="HWT110" s="17"/>
      <c r="HWU110" s="17"/>
      <c r="HWV110" s="17"/>
      <c r="HWW110" s="17"/>
      <c r="HWX110" s="17"/>
      <c r="HWY110" s="17"/>
      <c r="HWZ110" s="17"/>
      <c r="HXA110" s="17"/>
      <c r="HXB110" s="17"/>
      <c r="HXC110" s="17"/>
      <c r="HXD110" s="17"/>
      <c r="HXE110" s="17"/>
      <c r="HXF110" s="17"/>
      <c r="HXG110" s="17"/>
      <c r="HXH110" s="17"/>
      <c r="HXI110" s="17"/>
      <c r="HXJ110" s="17"/>
      <c r="HXK110" s="17"/>
      <c r="HXL110" s="17"/>
      <c r="HXM110" s="17"/>
      <c r="HXN110" s="17"/>
      <c r="HXO110" s="17"/>
      <c r="HXP110" s="17"/>
      <c r="HXQ110" s="17"/>
      <c r="HXR110" s="17"/>
      <c r="HXS110" s="17"/>
      <c r="HXT110" s="17"/>
      <c r="HXU110" s="17"/>
      <c r="HXV110" s="17"/>
      <c r="HXW110" s="17"/>
      <c r="HXX110" s="17"/>
      <c r="HXY110" s="17"/>
      <c r="HXZ110" s="17"/>
      <c r="HYA110" s="17"/>
      <c r="HYB110" s="17"/>
      <c r="HYC110" s="17"/>
      <c r="HYD110" s="17"/>
      <c r="HYE110" s="17"/>
      <c r="HYF110" s="17"/>
      <c r="HYG110" s="17"/>
      <c r="HYH110" s="17"/>
      <c r="HYI110" s="17"/>
      <c r="HYJ110" s="17"/>
      <c r="HYK110" s="17"/>
      <c r="HYL110" s="17"/>
      <c r="HYM110" s="17"/>
      <c r="HYN110" s="17"/>
      <c r="HYO110" s="17"/>
      <c r="HYP110" s="17"/>
      <c r="HYQ110" s="17"/>
      <c r="HYR110" s="17"/>
      <c r="HYS110" s="17"/>
      <c r="HYT110" s="17"/>
      <c r="HYU110" s="17"/>
      <c r="HYV110" s="17"/>
      <c r="HYW110" s="17"/>
      <c r="HYX110" s="17"/>
      <c r="HYY110" s="17"/>
      <c r="HYZ110" s="17"/>
      <c r="HZA110" s="17"/>
      <c r="HZB110" s="17"/>
      <c r="HZC110" s="17"/>
      <c r="HZD110" s="17"/>
      <c r="HZE110" s="17"/>
      <c r="HZF110" s="17"/>
      <c r="HZG110" s="17"/>
      <c r="HZH110" s="17"/>
      <c r="HZI110" s="17"/>
      <c r="HZJ110" s="17"/>
      <c r="HZK110" s="17"/>
      <c r="HZL110" s="17"/>
      <c r="HZM110" s="17"/>
      <c r="HZN110" s="17"/>
      <c r="HZO110" s="17"/>
      <c r="HZP110" s="17"/>
      <c r="HZQ110" s="17"/>
      <c r="HZR110" s="17"/>
      <c r="HZS110" s="17"/>
      <c r="HZT110" s="17"/>
      <c r="HZU110" s="17"/>
      <c r="HZV110" s="17"/>
      <c r="HZW110" s="17"/>
      <c r="HZX110" s="17"/>
      <c r="HZY110" s="17"/>
      <c r="HZZ110" s="17"/>
      <c r="IAA110" s="17"/>
      <c r="IAB110" s="17"/>
      <c r="IAC110" s="17"/>
      <c r="IAD110" s="17"/>
      <c r="IAE110" s="17"/>
      <c r="IAF110" s="17"/>
      <c r="IAG110" s="17"/>
      <c r="IAH110" s="17"/>
      <c r="IAI110" s="17"/>
      <c r="IAJ110" s="17"/>
      <c r="IAK110" s="17"/>
      <c r="IAL110" s="17"/>
      <c r="IAM110" s="17"/>
      <c r="IAN110" s="17"/>
      <c r="IAO110" s="17"/>
      <c r="IAP110" s="17"/>
      <c r="IAQ110" s="17"/>
      <c r="IAR110" s="17"/>
      <c r="IAS110" s="17"/>
      <c r="IAT110" s="17"/>
      <c r="IAU110" s="17"/>
      <c r="IAV110" s="17"/>
      <c r="IAW110" s="17"/>
      <c r="IAX110" s="17"/>
      <c r="IAY110" s="17"/>
      <c r="IAZ110" s="17"/>
      <c r="IBA110" s="17"/>
      <c r="IBB110" s="17"/>
      <c r="IBC110" s="17"/>
      <c r="IBD110" s="17"/>
      <c r="IBE110" s="17"/>
      <c r="IBF110" s="17"/>
      <c r="IBG110" s="17"/>
      <c r="IBH110" s="17"/>
      <c r="IBI110" s="17"/>
      <c r="IBJ110" s="17"/>
      <c r="IBK110" s="17"/>
      <c r="IBL110" s="17"/>
      <c r="IBM110" s="17"/>
      <c r="IBN110" s="17"/>
      <c r="IBO110" s="17"/>
      <c r="IBP110" s="17"/>
      <c r="IBQ110" s="17"/>
      <c r="IBR110" s="17"/>
      <c r="IBS110" s="17"/>
      <c r="IBT110" s="17"/>
      <c r="IBU110" s="17"/>
      <c r="IBV110" s="17"/>
      <c r="IBW110" s="17"/>
      <c r="IBX110" s="17"/>
      <c r="IBY110" s="17"/>
      <c r="IBZ110" s="17"/>
      <c r="ICA110" s="17"/>
      <c r="ICB110" s="17"/>
      <c r="ICC110" s="17"/>
      <c r="ICD110" s="17"/>
      <c r="ICE110" s="17"/>
      <c r="ICF110" s="17"/>
      <c r="ICG110" s="17"/>
      <c r="ICH110" s="17"/>
      <c r="ICI110" s="17"/>
      <c r="ICJ110" s="17"/>
      <c r="ICK110" s="17"/>
      <c r="ICL110" s="17"/>
      <c r="ICM110" s="17"/>
      <c r="ICN110" s="17"/>
      <c r="ICO110" s="17"/>
      <c r="ICP110" s="17"/>
      <c r="ICQ110" s="17"/>
      <c r="ICR110" s="17"/>
      <c r="ICS110" s="17"/>
      <c r="ICT110" s="17"/>
      <c r="ICU110" s="17"/>
      <c r="ICV110" s="17"/>
      <c r="ICW110" s="17"/>
      <c r="ICX110" s="17"/>
      <c r="ICY110" s="17"/>
      <c r="ICZ110" s="17"/>
      <c r="IDA110" s="17"/>
      <c r="IDB110" s="17"/>
      <c r="IDC110" s="17"/>
      <c r="IDD110" s="17"/>
      <c r="IDE110" s="17"/>
      <c r="IDF110" s="17"/>
      <c r="IDG110" s="17"/>
      <c r="IDH110" s="17"/>
      <c r="IDI110" s="17"/>
      <c r="IDJ110" s="17"/>
      <c r="IDK110" s="17"/>
      <c r="IDL110" s="17"/>
      <c r="IDM110" s="17"/>
      <c r="IDN110" s="17"/>
      <c r="IDO110" s="17"/>
      <c r="IDP110" s="17"/>
      <c r="IDQ110" s="17"/>
      <c r="IDR110" s="17"/>
      <c r="IDS110" s="17"/>
      <c r="IDT110" s="17"/>
      <c r="IDU110" s="17"/>
      <c r="IDV110" s="17"/>
      <c r="IDW110" s="17"/>
      <c r="IDX110" s="17"/>
      <c r="IDY110" s="17"/>
      <c r="IDZ110" s="17"/>
      <c r="IEA110" s="17"/>
      <c r="IEB110" s="17"/>
      <c r="IEC110" s="17"/>
      <c r="IED110" s="17"/>
      <c r="IEE110" s="17"/>
      <c r="IEF110" s="17"/>
      <c r="IEG110" s="17"/>
      <c r="IEH110" s="17"/>
      <c r="IEI110" s="17"/>
      <c r="IEJ110" s="17"/>
      <c r="IEK110" s="17"/>
      <c r="IEL110" s="17"/>
      <c r="IEM110" s="17"/>
      <c r="IEN110" s="17"/>
      <c r="IEO110" s="17"/>
      <c r="IEP110" s="17"/>
      <c r="IEQ110" s="17"/>
      <c r="IER110" s="17"/>
      <c r="IES110" s="17"/>
      <c r="IET110" s="17"/>
      <c r="IEU110" s="17"/>
      <c r="IEV110" s="17"/>
      <c r="IEW110" s="17"/>
      <c r="IEX110" s="17"/>
      <c r="IEY110" s="17"/>
      <c r="IEZ110" s="17"/>
      <c r="IFA110" s="17"/>
      <c r="IFB110" s="17"/>
      <c r="IFC110" s="17"/>
      <c r="IFD110" s="17"/>
      <c r="IFE110" s="17"/>
      <c r="IFF110" s="17"/>
      <c r="IFG110" s="17"/>
      <c r="IFH110" s="17"/>
      <c r="IFI110" s="17"/>
      <c r="IFJ110" s="17"/>
      <c r="IFK110" s="17"/>
      <c r="IFL110" s="17"/>
      <c r="IFM110" s="17"/>
      <c r="IFN110" s="17"/>
      <c r="IFO110" s="17"/>
      <c r="IFP110" s="17"/>
      <c r="IFQ110" s="17"/>
      <c r="IFR110" s="17"/>
      <c r="IFS110" s="17"/>
      <c r="IFT110" s="17"/>
      <c r="IFU110" s="17"/>
      <c r="IFV110" s="17"/>
      <c r="IFW110" s="17"/>
      <c r="IFX110" s="17"/>
      <c r="IFY110" s="17"/>
      <c r="IFZ110" s="17"/>
      <c r="IGA110" s="17"/>
      <c r="IGB110" s="17"/>
      <c r="IGC110" s="17"/>
      <c r="IGD110" s="17"/>
      <c r="IGE110" s="17"/>
      <c r="IGF110" s="17"/>
      <c r="IGG110" s="17"/>
      <c r="IGH110" s="17"/>
      <c r="IGI110" s="17"/>
      <c r="IGJ110" s="17"/>
      <c r="IGK110" s="17"/>
      <c r="IGL110" s="17"/>
      <c r="IGM110" s="17"/>
      <c r="IGN110" s="17"/>
      <c r="IGO110" s="17"/>
      <c r="IGP110" s="17"/>
      <c r="IGQ110" s="17"/>
      <c r="IGR110" s="17"/>
      <c r="IGS110" s="17"/>
      <c r="IGT110" s="17"/>
      <c r="IGU110" s="17"/>
      <c r="IGV110" s="17"/>
      <c r="IGW110" s="17"/>
      <c r="IGX110" s="17"/>
      <c r="IGY110" s="17"/>
      <c r="IGZ110" s="17"/>
      <c r="IHA110" s="17"/>
      <c r="IHB110" s="17"/>
      <c r="IHC110" s="17"/>
      <c r="IHD110" s="17"/>
      <c r="IHE110" s="17"/>
      <c r="IHF110" s="17"/>
      <c r="IHG110" s="17"/>
      <c r="IHH110" s="17"/>
      <c r="IHI110" s="17"/>
      <c r="IHJ110" s="17"/>
      <c r="IHK110" s="17"/>
      <c r="IHL110" s="17"/>
      <c r="IHM110" s="17"/>
      <c r="IHN110" s="17"/>
      <c r="IHO110" s="17"/>
      <c r="IHP110" s="17"/>
      <c r="IHQ110" s="17"/>
      <c r="IHR110" s="17"/>
      <c r="IHS110" s="17"/>
      <c r="IHT110" s="17"/>
      <c r="IHU110" s="17"/>
      <c r="IHV110" s="17"/>
      <c r="IHW110" s="17"/>
      <c r="IHX110" s="17"/>
      <c r="IHY110" s="17"/>
      <c r="IHZ110" s="17"/>
      <c r="IIA110" s="17"/>
      <c r="IIB110" s="17"/>
      <c r="IIC110" s="17"/>
      <c r="IID110" s="17"/>
      <c r="IIE110" s="17"/>
      <c r="IIF110" s="17"/>
      <c r="IIG110" s="17"/>
      <c r="IIH110" s="17"/>
      <c r="III110" s="17"/>
      <c r="IIJ110" s="17"/>
      <c r="IIK110" s="17"/>
      <c r="IIL110" s="17"/>
      <c r="IIM110" s="17"/>
      <c r="IIN110" s="17"/>
      <c r="IIO110" s="17"/>
      <c r="IIP110" s="17"/>
      <c r="IIQ110" s="17"/>
      <c r="IIR110" s="17"/>
      <c r="IIS110" s="17"/>
      <c r="IIT110" s="17"/>
      <c r="IIU110" s="17"/>
      <c r="IIV110" s="17"/>
      <c r="IIW110" s="17"/>
      <c r="IIX110" s="17"/>
      <c r="IIY110" s="17"/>
      <c r="IIZ110" s="17"/>
      <c r="IJA110" s="17"/>
      <c r="IJB110" s="17"/>
      <c r="IJC110" s="17"/>
      <c r="IJD110" s="17"/>
      <c r="IJE110" s="17"/>
      <c r="IJF110" s="17"/>
      <c r="IJG110" s="17"/>
      <c r="IJH110" s="17"/>
      <c r="IJI110" s="17"/>
      <c r="IJJ110" s="17"/>
      <c r="IJK110" s="17"/>
      <c r="IJL110" s="17"/>
      <c r="IJM110" s="17"/>
      <c r="IJN110" s="17"/>
      <c r="IJO110" s="17"/>
      <c r="IJP110" s="17"/>
      <c r="IJQ110" s="17"/>
      <c r="IJR110" s="17"/>
      <c r="IJS110" s="17"/>
      <c r="IJT110" s="17"/>
      <c r="IJU110" s="17"/>
      <c r="IJV110" s="17"/>
      <c r="IJW110" s="17"/>
      <c r="IJX110" s="17"/>
      <c r="IJY110" s="17"/>
      <c r="IJZ110" s="17"/>
      <c r="IKA110" s="17"/>
      <c r="IKB110" s="17"/>
      <c r="IKC110" s="17"/>
      <c r="IKD110" s="17"/>
      <c r="IKE110" s="17"/>
      <c r="IKF110" s="17"/>
      <c r="IKG110" s="17"/>
      <c r="IKH110" s="17"/>
      <c r="IKI110" s="17"/>
      <c r="IKJ110" s="17"/>
      <c r="IKK110" s="17"/>
      <c r="IKL110" s="17"/>
      <c r="IKM110" s="17"/>
      <c r="IKN110" s="17"/>
      <c r="IKO110" s="17"/>
      <c r="IKP110" s="17"/>
      <c r="IKQ110" s="17"/>
      <c r="IKR110" s="17"/>
      <c r="IKS110" s="17"/>
      <c r="IKT110" s="17"/>
      <c r="IKU110" s="17"/>
      <c r="IKV110" s="17"/>
      <c r="IKW110" s="17"/>
      <c r="IKX110" s="17"/>
      <c r="IKY110" s="17"/>
      <c r="IKZ110" s="17"/>
      <c r="ILA110" s="17"/>
      <c r="ILB110" s="17"/>
      <c r="ILC110" s="17"/>
      <c r="ILD110" s="17"/>
      <c r="ILE110" s="17"/>
      <c r="ILF110" s="17"/>
      <c r="ILG110" s="17"/>
      <c r="ILH110" s="17"/>
      <c r="ILI110" s="17"/>
      <c r="ILJ110" s="17"/>
      <c r="ILK110" s="17"/>
      <c r="ILL110" s="17"/>
      <c r="ILM110" s="17"/>
      <c r="ILN110" s="17"/>
      <c r="ILO110" s="17"/>
      <c r="ILP110" s="17"/>
      <c r="ILQ110" s="17"/>
      <c r="ILR110" s="17"/>
      <c r="ILS110" s="17"/>
      <c r="ILT110" s="17"/>
      <c r="ILU110" s="17"/>
      <c r="ILV110" s="17"/>
      <c r="ILW110" s="17"/>
      <c r="ILX110" s="17"/>
      <c r="ILY110" s="17"/>
      <c r="ILZ110" s="17"/>
      <c r="IMA110" s="17"/>
      <c r="IMB110" s="17"/>
      <c r="IMC110" s="17"/>
      <c r="IMD110" s="17"/>
      <c r="IME110" s="17"/>
      <c r="IMF110" s="17"/>
      <c r="IMG110" s="17"/>
      <c r="IMH110" s="17"/>
      <c r="IMI110" s="17"/>
      <c r="IMJ110" s="17"/>
      <c r="IMK110" s="17"/>
      <c r="IML110" s="17"/>
      <c r="IMM110" s="17"/>
      <c r="IMN110" s="17"/>
      <c r="IMO110" s="17"/>
      <c r="IMP110" s="17"/>
      <c r="IMQ110" s="17"/>
      <c r="IMR110" s="17"/>
      <c r="IMS110" s="17"/>
      <c r="IMT110" s="17"/>
      <c r="IMU110" s="17"/>
      <c r="IMV110" s="17"/>
      <c r="IMW110" s="17"/>
      <c r="IMX110" s="17"/>
      <c r="IMY110" s="17"/>
      <c r="IMZ110" s="17"/>
      <c r="INA110" s="17"/>
      <c r="INB110" s="17"/>
      <c r="INC110" s="17"/>
      <c r="IND110" s="17"/>
      <c r="INE110" s="17"/>
      <c r="INF110" s="17"/>
      <c r="ING110" s="17"/>
      <c r="INH110" s="17"/>
      <c r="INI110" s="17"/>
      <c r="INJ110" s="17"/>
      <c r="INK110" s="17"/>
      <c r="INL110" s="17"/>
      <c r="INM110" s="17"/>
      <c r="INN110" s="17"/>
      <c r="INO110" s="17"/>
      <c r="INP110" s="17"/>
      <c r="INQ110" s="17"/>
      <c r="INR110" s="17"/>
      <c r="INS110" s="17"/>
      <c r="INT110" s="17"/>
      <c r="INU110" s="17"/>
      <c r="INV110" s="17"/>
      <c r="INW110" s="17"/>
      <c r="INX110" s="17"/>
      <c r="INY110" s="17"/>
      <c r="INZ110" s="17"/>
      <c r="IOA110" s="17"/>
      <c r="IOB110" s="17"/>
      <c r="IOC110" s="17"/>
      <c r="IOD110" s="17"/>
      <c r="IOE110" s="17"/>
      <c r="IOF110" s="17"/>
      <c r="IOG110" s="17"/>
      <c r="IOH110" s="17"/>
      <c r="IOI110" s="17"/>
      <c r="IOJ110" s="17"/>
      <c r="IOK110" s="17"/>
      <c r="IOL110" s="17"/>
      <c r="IOM110" s="17"/>
      <c r="ION110" s="17"/>
      <c r="IOO110" s="17"/>
      <c r="IOP110" s="17"/>
      <c r="IOQ110" s="17"/>
      <c r="IOR110" s="17"/>
      <c r="IOS110" s="17"/>
      <c r="IOT110" s="17"/>
      <c r="IOU110" s="17"/>
      <c r="IOV110" s="17"/>
      <c r="IOW110" s="17"/>
      <c r="IOX110" s="17"/>
      <c r="IOY110" s="17"/>
      <c r="IOZ110" s="17"/>
      <c r="IPA110" s="17"/>
      <c r="IPB110" s="17"/>
      <c r="IPC110" s="17"/>
      <c r="IPD110" s="17"/>
      <c r="IPE110" s="17"/>
      <c r="IPF110" s="17"/>
      <c r="IPG110" s="17"/>
      <c r="IPH110" s="17"/>
      <c r="IPI110" s="17"/>
      <c r="IPJ110" s="17"/>
      <c r="IPK110" s="17"/>
      <c r="IPL110" s="17"/>
      <c r="IPM110" s="17"/>
      <c r="IPN110" s="17"/>
      <c r="IPO110" s="17"/>
      <c r="IPP110" s="17"/>
      <c r="IPQ110" s="17"/>
      <c r="IPR110" s="17"/>
      <c r="IPS110" s="17"/>
      <c r="IPT110" s="17"/>
      <c r="IPU110" s="17"/>
      <c r="IPV110" s="17"/>
      <c r="IPW110" s="17"/>
      <c r="IPX110" s="17"/>
      <c r="IPY110" s="17"/>
      <c r="IPZ110" s="17"/>
      <c r="IQA110" s="17"/>
      <c r="IQB110" s="17"/>
      <c r="IQC110" s="17"/>
      <c r="IQD110" s="17"/>
      <c r="IQE110" s="17"/>
      <c r="IQF110" s="17"/>
      <c r="IQG110" s="17"/>
      <c r="IQH110" s="17"/>
      <c r="IQI110" s="17"/>
      <c r="IQJ110" s="17"/>
      <c r="IQK110" s="17"/>
      <c r="IQL110" s="17"/>
      <c r="IQM110" s="17"/>
      <c r="IQN110" s="17"/>
      <c r="IQO110" s="17"/>
      <c r="IQP110" s="17"/>
      <c r="IQQ110" s="17"/>
      <c r="IQR110" s="17"/>
      <c r="IQS110" s="17"/>
      <c r="IQT110" s="17"/>
      <c r="IQU110" s="17"/>
      <c r="IQV110" s="17"/>
      <c r="IQW110" s="17"/>
      <c r="IQX110" s="17"/>
      <c r="IQY110" s="17"/>
      <c r="IQZ110" s="17"/>
      <c r="IRA110" s="17"/>
      <c r="IRB110" s="17"/>
      <c r="IRC110" s="17"/>
      <c r="IRD110" s="17"/>
      <c r="IRE110" s="17"/>
      <c r="IRF110" s="17"/>
      <c r="IRG110" s="17"/>
      <c r="IRH110" s="17"/>
      <c r="IRI110" s="17"/>
      <c r="IRJ110" s="17"/>
      <c r="IRK110" s="17"/>
      <c r="IRL110" s="17"/>
      <c r="IRM110" s="17"/>
      <c r="IRN110" s="17"/>
      <c r="IRO110" s="17"/>
      <c r="IRP110" s="17"/>
      <c r="IRQ110" s="17"/>
      <c r="IRR110" s="17"/>
      <c r="IRS110" s="17"/>
      <c r="IRT110" s="17"/>
      <c r="IRU110" s="17"/>
      <c r="IRV110" s="17"/>
      <c r="IRW110" s="17"/>
      <c r="IRX110" s="17"/>
      <c r="IRY110" s="17"/>
      <c r="IRZ110" s="17"/>
      <c r="ISA110" s="17"/>
      <c r="ISB110" s="17"/>
      <c r="ISC110" s="17"/>
      <c r="ISD110" s="17"/>
      <c r="ISE110" s="17"/>
      <c r="ISF110" s="17"/>
      <c r="ISG110" s="17"/>
      <c r="ISH110" s="17"/>
      <c r="ISI110" s="17"/>
      <c r="ISJ110" s="17"/>
      <c r="ISK110" s="17"/>
      <c r="ISL110" s="17"/>
      <c r="ISM110" s="17"/>
      <c r="ISN110" s="17"/>
      <c r="ISO110" s="17"/>
      <c r="ISP110" s="17"/>
      <c r="ISQ110" s="17"/>
      <c r="ISR110" s="17"/>
      <c r="ISS110" s="17"/>
      <c r="IST110" s="17"/>
      <c r="ISU110" s="17"/>
      <c r="ISV110" s="17"/>
      <c r="ISW110" s="17"/>
      <c r="ISX110" s="17"/>
      <c r="ISY110" s="17"/>
      <c r="ISZ110" s="17"/>
      <c r="ITA110" s="17"/>
      <c r="ITB110" s="17"/>
      <c r="ITC110" s="17"/>
      <c r="ITD110" s="17"/>
      <c r="ITE110" s="17"/>
      <c r="ITF110" s="17"/>
      <c r="ITG110" s="17"/>
      <c r="ITH110" s="17"/>
      <c r="ITI110" s="17"/>
      <c r="ITJ110" s="17"/>
      <c r="ITK110" s="17"/>
      <c r="ITL110" s="17"/>
      <c r="ITM110" s="17"/>
      <c r="ITN110" s="17"/>
      <c r="ITO110" s="17"/>
      <c r="ITP110" s="17"/>
      <c r="ITQ110" s="17"/>
      <c r="ITR110" s="17"/>
      <c r="ITS110" s="17"/>
      <c r="ITT110" s="17"/>
      <c r="ITU110" s="17"/>
      <c r="ITV110" s="17"/>
      <c r="ITW110" s="17"/>
      <c r="ITX110" s="17"/>
      <c r="ITY110" s="17"/>
      <c r="ITZ110" s="17"/>
      <c r="IUA110" s="17"/>
      <c r="IUB110" s="17"/>
      <c r="IUC110" s="17"/>
      <c r="IUD110" s="17"/>
      <c r="IUE110" s="17"/>
      <c r="IUF110" s="17"/>
      <c r="IUG110" s="17"/>
      <c r="IUH110" s="17"/>
      <c r="IUI110" s="17"/>
      <c r="IUJ110" s="17"/>
      <c r="IUK110" s="17"/>
      <c r="IUL110" s="17"/>
      <c r="IUM110" s="17"/>
      <c r="IUN110" s="17"/>
      <c r="IUO110" s="17"/>
      <c r="IUP110" s="17"/>
      <c r="IUQ110" s="17"/>
      <c r="IUR110" s="17"/>
      <c r="IUS110" s="17"/>
      <c r="IUT110" s="17"/>
      <c r="IUU110" s="17"/>
      <c r="IUV110" s="17"/>
      <c r="IUW110" s="17"/>
      <c r="IUX110" s="17"/>
      <c r="IUY110" s="17"/>
      <c r="IUZ110" s="17"/>
      <c r="IVA110" s="17"/>
      <c r="IVB110" s="17"/>
      <c r="IVC110" s="17"/>
      <c r="IVD110" s="17"/>
      <c r="IVE110" s="17"/>
      <c r="IVF110" s="17"/>
      <c r="IVG110" s="17"/>
      <c r="IVH110" s="17"/>
      <c r="IVI110" s="17"/>
      <c r="IVJ110" s="17"/>
      <c r="IVK110" s="17"/>
      <c r="IVL110" s="17"/>
      <c r="IVM110" s="17"/>
      <c r="IVN110" s="17"/>
      <c r="IVO110" s="17"/>
      <c r="IVP110" s="17"/>
      <c r="IVQ110" s="17"/>
      <c r="IVR110" s="17"/>
      <c r="IVS110" s="17"/>
      <c r="IVT110" s="17"/>
      <c r="IVU110" s="17"/>
      <c r="IVV110" s="17"/>
      <c r="IVW110" s="17"/>
      <c r="IVX110" s="17"/>
      <c r="IVY110" s="17"/>
      <c r="IVZ110" s="17"/>
      <c r="IWA110" s="17"/>
      <c r="IWB110" s="17"/>
      <c r="IWC110" s="17"/>
      <c r="IWD110" s="17"/>
      <c r="IWE110" s="17"/>
      <c r="IWF110" s="17"/>
      <c r="IWG110" s="17"/>
      <c r="IWH110" s="17"/>
      <c r="IWI110" s="17"/>
      <c r="IWJ110" s="17"/>
      <c r="IWK110" s="17"/>
      <c r="IWL110" s="17"/>
      <c r="IWM110" s="17"/>
      <c r="IWN110" s="17"/>
      <c r="IWO110" s="17"/>
      <c r="IWP110" s="17"/>
      <c r="IWQ110" s="17"/>
      <c r="IWR110" s="17"/>
      <c r="IWS110" s="17"/>
      <c r="IWT110" s="17"/>
      <c r="IWU110" s="17"/>
      <c r="IWV110" s="17"/>
      <c r="IWW110" s="17"/>
      <c r="IWX110" s="17"/>
      <c r="IWY110" s="17"/>
      <c r="IWZ110" s="17"/>
      <c r="IXA110" s="17"/>
      <c r="IXB110" s="17"/>
      <c r="IXC110" s="17"/>
      <c r="IXD110" s="17"/>
      <c r="IXE110" s="17"/>
      <c r="IXF110" s="17"/>
      <c r="IXG110" s="17"/>
      <c r="IXH110" s="17"/>
      <c r="IXI110" s="17"/>
      <c r="IXJ110" s="17"/>
      <c r="IXK110" s="17"/>
      <c r="IXL110" s="17"/>
      <c r="IXM110" s="17"/>
      <c r="IXN110" s="17"/>
      <c r="IXO110" s="17"/>
      <c r="IXP110" s="17"/>
      <c r="IXQ110" s="17"/>
      <c r="IXR110" s="17"/>
      <c r="IXS110" s="17"/>
      <c r="IXT110" s="17"/>
      <c r="IXU110" s="17"/>
      <c r="IXV110" s="17"/>
      <c r="IXW110" s="17"/>
      <c r="IXX110" s="17"/>
      <c r="IXY110" s="17"/>
      <c r="IXZ110" s="17"/>
      <c r="IYA110" s="17"/>
      <c r="IYB110" s="17"/>
      <c r="IYC110" s="17"/>
      <c r="IYD110" s="17"/>
      <c r="IYE110" s="17"/>
      <c r="IYF110" s="17"/>
      <c r="IYG110" s="17"/>
      <c r="IYH110" s="17"/>
      <c r="IYI110" s="17"/>
      <c r="IYJ110" s="17"/>
      <c r="IYK110" s="17"/>
      <c r="IYL110" s="17"/>
      <c r="IYM110" s="17"/>
      <c r="IYN110" s="17"/>
      <c r="IYO110" s="17"/>
      <c r="IYP110" s="17"/>
      <c r="IYQ110" s="17"/>
      <c r="IYR110" s="17"/>
      <c r="IYS110" s="17"/>
      <c r="IYT110" s="17"/>
      <c r="IYU110" s="17"/>
      <c r="IYV110" s="17"/>
      <c r="IYW110" s="17"/>
      <c r="IYX110" s="17"/>
      <c r="IYY110" s="17"/>
      <c r="IYZ110" s="17"/>
      <c r="IZA110" s="17"/>
      <c r="IZB110" s="17"/>
      <c r="IZC110" s="17"/>
      <c r="IZD110" s="17"/>
      <c r="IZE110" s="17"/>
      <c r="IZF110" s="17"/>
      <c r="IZG110" s="17"/>
      <c r="IZH110" s="17"/>
      <c r="IZI110" s="17"/>
      <c r="IZJ110" s="17"/>
      <c r="IZK110" s="17"/>
      <c r="IZL110" s="17"/>
      <c r="IZM110" s="17"/>
      <c r="IZN110" s="17"/>
      <c r="IZO110" s="17"/>
      <c r="IZP110" s="17"/>
      <c r="IZQ110" s="17"/>
      <c r="IZR110" s="17"/>
      <c r="IZS110" s="17"/>
      <c r="IZT110" s="17"/>
      <c r="IZU110" s="17"/>
      <c r="IZV110" s="17"/>
      <c r="IZW110" s="17"/>
      <c r="IZX110" s="17"/>
      <c r="IZY110" s="17"/>
      <c r="IZZ110" s="17"/>
      <c r="JAA110" s="17"/>
      <c r="JAB110" s="17"/>
      <c r="JAC110" s="17"/>
      <c r="JAD110" s="17"/>
      <c r="JAE110" s="17"/>
      <c r="JAF110" s="17"/>
      <c r="JAG110" s="17"/>
      <c r="JAH110" s="17"/>
      <c r="JAI110" s="17"/>
      <c r="JAJ110" s="17"/>
      <c r="JAK110" s="17"/>
      <c r="JAL110" s="17"/>
      <c r="JAM110" s="17"/>
      <c r="JAN110" s="17"/>
      <c r="JAO110" s="17"/>
      <c r="JAP110" s="17"/>
      <c r="JAQ110" s="17"/>
      <c r="JAR110" s="17"/>
      <c r="JAS110" s="17"/>
      <c r="JAT110" s="17"/>
      <c r="JAU110" s="17"/>
      <c r="JAV110" s="17"/>
      <c r="JAW110" s="17"/>
      <c r="JAX110" s="17"/>
      <c r="JAY110" s="17"/>
      <c r="JAZ110" s="17"/>
      <c r="JBA110" s="17"/>
      <c r="JBB110" s="17"/>
      <c r="JBC110" s="17"/>
      <c r="JBD110" s="17"/>
      <c r="JBE110" s="17"/>
      <c r="JBF110" s="17"/>
      <c r="JBG110" s="17"/>
      <c r="JBH110" s="17"/>
      <c r="JBI110" s="17"/>
      <c r="JBJ110" s="17"/>
      <c r="JBK110" s="17"/>
      <c r="JBL110" s="17"/>
      <c r="JBM110" s="17"/>
      <c r="JBN110" s="17"/>
      <c r="JBO110" s="17"/>
      <c r="JBP110" s="17"/>
      <c r="JBQ110" s="17"/>
      <c r="JBR110" s="17"/>
      <c r="JBS110" s="17"/>
      <c r="JBT110" s="17"/>
      <c r="JBU110" s="17"/>
      <c r="JBV110" s="17"/>
      <c r="JBW110" s="17"/>
      <c r="JBX110" s="17"/>
      <c r="JBY110" s="17"/>
      <c r="JBZ110" s="17"/>
      <c r="JCA110" s="17"/>
      <c r="JCB110" s="17"/>
      <c r="JCC110" s="17"/>
      <c r="JCD110" s="17"/>
      <c r="JCE110" s="17"/>
      <c r="JCF110" s="17"/>
      <c r="JCG110" s="17"/>
      <c r="JCH110" s="17"/>
      <c r="JCI110" s="17"/>
      <c r="JCJ110" s="17"/>
      <c r="JCK110" s="17"/>
      <c r="JCL110" s="17"/>
      <c r="JCM110" s="17"/>
      <c r="JCN110" s="17"/>
      <c r="JCO110" s="17"/>
      <c r="JCP110" s="17"/>
      <c r="JCQ110" s="17"/>
      <c r="JCR110" s="17"/>
      <c r="JCS110" s="17"/>
      <c r="JCT110" s="17"/>
      <c r="JCU110" s="17"/>
      <c r="JCV110" s="17"/>
      <c r="JCW110" s="17"/>
      <c r="JCX110" s="17"/>
      <c r="JCY110" s="17"/>
      <c r="JCZ110" s="17"/>
      <c r="JDA110" s="17"/>
      <c r="JDB110" s="17"/>
      <c r="JDC110" s="17"/>
      <c r="JDD110" s="17"/>
      <c r="JDE110" s="17"/>
      <c r="JDF110" s="17"/>
      <c r="JDG110" s="17"/>
      <c r="JDH110" s="17"/>
      <c r="JDI110" s="17"/>
      <c r="JDJ110" s="17"/>
      <c r="JDK110" s="17"/>
      <c r="JDL110" s="17"/>
      <c r="JDM110" s="17"/>
      <c r="JDN110" s="17"/>
      <c r="JDO110" s="17"/>
      <c r="JDP110" s="17"/>
      <c r="JDQ110" s="17"/>
      <c r="JDR110" s="17"/>
      <c r="JDS110" s="17"/>
      <c r="JDT110" s="17"/>
      <c r="JDU110" s="17"/>
      <c r="JDV110" s="17"/>
      <c r="JDW110" s="17"/>
      <c r="JDX110" s="17"/>
      <c r="JDY110" s="17"/>
      <c r="JDZ110" s="17"/>
      <c r="JEA110" s="17"/>
      <c r="JEB110" s="17"/>
      <c r="JEC110" s="17"/>
      <c r="JED110" s="17"/>
      <c r="JEE110" s="17"/>
      <c r="JEF110" s="17"/>
      <c r="JEG110" s="17"/>
      <c r="JEH110" s="17"/>
      <c r="JEI110" s="17"/>
      <c r="JEJ110" s="17"/>
      <c r="JEK110" s="17"/>
      <c r="JEL110" s="17"/>
      <c r="JEM110" s="17"/>
      <c r="JEN110" s="17"/>
      <c r="JEO110" s="17"/>
      <c r="JEP110" s="17"/>
      <c r="JEQ110" s="17"/>
      <c r="JER110" s="17"/>
      <c r="JES110" s="17"/>
      <c r="JET110" s="17"/>
      <c r="JEU110" s="17"/>
      <c r="JEV110" s="17"/>
      <c r="JEW110" s="17"/>
      <c r="JEX110" s="17"/>
      <c r="JEY110" s="17"/>
      <c r="JEZ110" s="17"/>
      <c r="JFA110" s="17"/>
      <c r="JFB110" s="17"/>
      <c r="JFC110" s="17"/>
      <c r="JFD110" s="17"/>
      <c r="JFE110" s="17"/>
      <c r="JFF110" s="17"/>
      <c r="JFG110" s="17"/>
      <c r="JFH110" s="17"/>
      <c r="JFI110" s="17"/>
      <c r="JFJ110" s="17"/>
      <c r="JFK110" s="17"/>
      <c r="JFL110" s="17"/>
      <c r="JFM110" s="17"/>
      <c r="JFN110" s="17"/>
      <c r="JFO110" s="17"/>
      <c r="JFP110" s="17"/>
      <c r="JFQ110" s="17"/>
      <c r="JFR110" s="17"/>
      <c r="JFS110" s="17"/>
      <c r="JFT110" s="17"/>
      <c r="JFU110" s="17"/>
      <c r="JFV110" s="17"/>
      <c r="JFW110" s="17"/>
      <c r="JFX110" s="17"/>
      <c r="JFY110" s="17"/>
      <c r="JFZ110" s="17"/>
      <c r="JGA110" s="17"/>
      <c r="JGB110" s="17"/>
      <c r="JGC110" s="17"/>
      <c r="JGD110" s="17"/>
      <c r="JGE110" s="17"/>
      <c r="JGF110" s="17"/>
      <c r="JGG110" s="17"/>
      <c r="JGH110" s="17"/>
      <c r="JGI110" s="17"/>
      <c r="JGJ110" s="17"/>
      <c r="JGK110" s="17"/>
      <c r="JGL110" s="17"/>
      <c r="JGM110" s="17"/>
      <c r="JGN110" s="17"/>
      <c r="JGO110" s="17"/>
      <c r="JGP110" s="17"/>
      <c r="JGQ110" s="17"/>
      <c r="JGR110" s="17"/>
      <c r="JGS110" s="17"/>
      <c r="JGT110" s="17"/>
      <c r="JGU110" s="17"/>
      <c r="JGV110" s="17"/>
      <c r="JGW110" s="17"/>
      <c r="JGX110" s="17"/>
      <c r="JGY110" s="17"/>
      <c r="JGZ110" s="17"/>
      <c r="JHA110" s="17"/>
      <c r="JHB110" s="17"/>
      <c r="JHC110" s="17"/>
      <c r="JHD110" s="17"/>
      <c r="JHE110" s="17"/>
      <c r="JHF110" s="17"/>
      <c r="JHG110" s="17"/>
      <c r="JHH110" s="17"/>
      <c r="JHI110" s="17"/>
      <c r="JHJ110" s="17"/>
      <c r="JHK110" s="17"/>
      <c r="JHL110" s="17"/>
      <c r="JHM110" s="17"/>
      <c r="JHN110" s="17"/>
      <c r="JHO110" s="17"/>
      <c r="JHP110" s="17"/>
      <c r="JHQ110" s="17"/>
      <c r="JHR110" s="17"/>
      <c r="JHS110" s="17"/>
      <c r="JHT110" s="17"/>
      <c r="JHU110" s="17"/>
      <c r="JHV110" s="17"/>
      <c r="JHW110" s="17"/>
      <c r="JHX110" s="17"/>
      <c r="JHY110" s="17"/>
      <c r="JHZ110" s="17"/>
      <c r="JIA110" s="17"/>
      <c r="JIB110" s="17"/>
      <c r="JIC110" s="17"/>
      <c r="JID110" s="17"/>
      <c r="JIE110" s="17"/>
      <c r="JIF110" s="17"/>
      <c r="JIG110" s="17"/>
      <c r="JIH110" s="17"/>
      <c r="JII110" s="17"/>
      <c r="JIJ110" s="17"/>
      <c r="JIK110" s="17"/>
      <c r="JIL110" s="17"/>
      <c r="JIM110" s="17"/>
      <c r="JIN110" s="17"/>
      <c r="JIO110" s="17"/>
      <c r="JIP110" s="17"/>
      <c r="JIQ110" s="17"/>
      <c r="JIR110" s="17"/>
      <c r="JIS110" s="17"/>
      <c r="JIT110" s="17"/>
      <c r="JIU110" s="17"/>
      <c r="JIV110" s="17"/>
      <c r="JIW110" s="17"/>
      <c r="JIX110" s="17"/>
      <c r="JIY110" s="17"/>
      <c r="JIZ110" s="17"/>
      <c r="JJA110" s="17"/>
      <c r="JJB110" s="17"/>
      <c r="JJC110" s="17"/>
      <c r="JJD110" s="17"/>
      <c r="JJE110" s="17"/>
      <c r="JJF110" s="17"/>
      <c r="JJG110" s="17"/>
      <c r="JJH110" s="17"/>
      <c r="JJI110" s="17"/>
      <c r="JJJ110" s="17"/>
      <c r="JJK110" s="17"/>
      <c r="JJL110" s="17"/>
      <c r="JJM110" s="17"/>
      <c r="JJN110" s="17"/>
      <c r="JJO110" s="17"/>
      <c r="JJP110" s="17"/>
      <c r="JJQ110" s="17"/>
      <c r="JJR110" s="17"/>
      <c r="JJS110" s="17"/>
      <c r="JJT110" s="17"/>
      <c r="JJU110" s="17"/>
      <c r="JJV110" s="17"/>
      <c r="JJW110" s="17"/>
      <c r="JJX110" s="17"/>
      <c r="JJY110" s="17"/>
      <c r="JJZ110" s="17"/>
      <c r="JKA110" s="17"/>
      <c r="JKB110" s="17"/>
      <c r="JKC110" s="17"/>
      <c r="JKD110" s="17"/>
      <c r="JKE110" s="17"/>
      <c r="JKF110" s="17"/>
      <c r="JKG110" s="17"/>
      <c r="JKH110" s="17"/>
      <c r="JKI110" s="17"/>
      <c r="JKJ110" s="17"/>
      <c r="JKK110" s="17"/>
      <c r="JKL110" s="17"/>
      <c r="JKM110" s="17"/>
      <c r="JKN110" s="17"/>
      <c r="JKO110" s="17"/>
      <c r="JKP110" s="17"/>
      <c r="JKQ110" s="17"/>
      <c r="JKR110" s="17"/>
      <c r="JKS110" s="17"/>
      <c r="JKT110" s="17"/>
      <c r="JKU110" s="17"/>
      <c r="JKV110" s="17"/>
      <c r="JKW110" s="17"/>
      <c r="JKX110" s="17"/>
      <c r="JKY110" s="17"/>
      <c r="JKZ110" s="17"/>
      <c r="JLA110" s="17"/>
      <c r="JLB110" s="17"/>
      <c r="JLC110" s="17"/>
      <c r="JLD110" s="17"/>
      <c r="JLE110" s="17"/>
      <c r="JLF110" s="17"/>
      <c r="JLG110" s="17"/>
      <c r="JLH110" s="17"/>
      <c r="JLI110" s="17"/>
      <c r="JLJ110" s="17"/>
      <c r="JLK110" s="17"/>
      <c r="JLL110" s="17"/>
      <c r="JLM110" s="17"/>
      <c r="JLN110" s="17"/>
      <c r="JLO110" s="17"/>
      <c r="JLP110" s="17"/>
      <c r="JLQ110" s="17"/>
      <c r="JLR110" s="17"/>
      <c r="JLS110" s="17"/>
      <c r="JLT110" s="17"/>
      <c r="JLU110" s="17"/>
      <c r="JLV110" s="17"/>
      <c r="JLW110" s="17"/>
      <c r="JLX110" s="17"/>
      <c r="JLY110" s="17"/>
      <c r="JLZ110" s="17"/>
      <c r="JMA110" s="17"/>
      <c r="JMB110" s="17"/>
      <c r="JMC110" s="17"/>
      <c r="JMD110" s="17"/>
      <c r="JME110" s="17"/>
      <c r="JMF110" s="17"/>
      <c r="JMG110" s="17"/>
      <c r="JMH110" s="17"/>
      <c r="JMI110" s="17"/>
      <c r="JMJ110" s="17"/>
      <c r="JMK110" s="17"/>
      <c r="JML110" s="17"/>
      <c r="JMM110" s="17"/>
      <c r="JMN110" s="17"/>
      <c r="JMO110" s="17"/>
      <c r="JMP110" s="17"/>
      <c r="JMQ110" s="17"/>
      <c r="JMR110" s="17"/>
      <c r="JMS110" s="17"/>
      <c r="JMT110" s="17"/>
      <c r="JMU110" s="17"/>
      <c r="JMV110" s="17"/>
      <c r="JMW110" s="17"/>
      <c r="JMX110" s="17"/>
      <c r="JMY110" s="17"/>
      <c r="JMZ110" s="17"/>
      <c r="JNA110" s="17"/>
      <c r="JNB110" s="17"/>
      <c r="JNC110" s="17"/>
      <c r="JND110" s="17"/>
      <c r="JNE110" s="17"/>
      <c r="JNF110" s="17"/>
      <c r="JNG110" s="17"/>
      <c r="JNH110" s="17"/>
      <c r="JNI110" s="17"/>
      <c r="JNJ110" s="17"/>
      <c r="JNK110" s="17"/>
      <c r="JNL110" s="17"/>
      <c r="JNM110" s="17"/>
      <c r="JNN110" s="17"/>
      <c r="JNO110" s="17"/>
      <c r="JNP110" s="17"/>
      <c r="JNQ110" s="17"/>
      <c r="JNR110" s="17"/>
      <c r="JNS110" s="17"/>
      <c r="JNT110" s="17"/>
      <c r="JNU110" s="17"/>
      <c r="JNV110" s="17"/>
      <c r="JNW110" s="17"/>
      <c r="JNX110" s="17"/>
      <c r="JNY110" s="17"/>
      <c r="JNZ110" s="17"/>
      <c r="JOA110" s="17"/>
      <c r="JOB110" s="17"/>
      <c r="JOC110" s="17"/>
      <c r="JOD110" s="17"/>
      <c r="JOE110" s="17"/>
      <c r="JOF110" s="17"/>
      <c r="JOG110" s="17"/>
      <c r="JOH110" s="17"/>
      <c r="JOI110" s="17"/>
      <c r="JOJ110" s="17"/>
      <c r="JOK110" s="17"/>
      <c r="JOL110" s="17"/>
      <c r="JOM110" s="17"/>
      <c r="JON110" s="17"/>
      <c r="JOO110" s="17"/>
      <c r="JOP110" s="17"/>
      <c r="JOQ110" s="17"/>
      <c r="JOR110" s="17"/>
      <c r="JOS110" s="17"/>
      <c r="JOT110" s="17"/>
      <c r="JOU110" s="17"/>
      <c r="JOV110" s="17"/>
      <c r="JOW110" s="17"/>
      <c r="JOX110" s="17"/>
      <c r="JOY110" s="17"/>
      <c r="JOZ110" s="17"/>
      <c r="JPA110" s="17"/>
      <c r="JPB110" s="17"/>
      <c r="JPC110" s="17"/>
      <c r="JPD110" s="17"/>
      <c r="JPE110" s="17"/>
      <c r="JPF110" s="17"/>
      <c r="JPG110" s="17"/>
      <c r="JPH110" s="17"/>
      <c r="JPI110" s="17"/>
      <c r="JPJ110" s="17"/>
      <c r="JPK110" s="17"/>
      <c r="JPL110" s="17"/>
      <c r="JPM110" s="17"/>
      <c r="JPN110" s="17"/>
      <c r="JPO110" s="17"/>
      <c r="JPP110" s="17"/>
      <c r="JPQ110" s="17"/>
      <c r="JPR110" s="17"/>
      <c r="JPS110" s="17"/>
      <c r="JPT110" s="17"/>
      <c r="JPU110" s="17"/>
      <c r="JPV110" s="17"/>
      <c r="JPW110" s="17"/>
      <c r="JPX110" s="17"/>
      <c r="JPY110" s="17"/>
      <c r="JPZ110" s="17"/>
      <c r="JQA110" s="17"/>
      <c r="JQB110" s="17"/>
      <c r="JQC110" s="17"/>
      <c r="JQD110" s="17"/>
      <c r="JQE110" s="17"/>
      <c r="JQF110" s="17"/>
      <c r="JQG110" s="17"/>
      <c r="JQH110" s="17"/>
      <c r="JQI110" s="17"/>
      <c r="JQJ110" s="17"/>
      <c r="JQK110" s="17"/>
      <c r="JQL110" s="17"/>
      <c r="JQM110" s="17"/>
      <c r="JQN110" s="17"/>
      <c r="JQO110" s="17"/>
      <c r="JQP110" s="17"/>
      <c r="JQQ110" s="17"/>
      <c r="JQR110" s="17"/>
      <c r="JQS110" s="17"/>
      <c r="JQT110" s="17"/>
      <c r="JQU110" s="17"/>
      <c r="JQV110" s="17"/>
      <c r="JQW110" s="17"/>
      <c r="JQX110" s="17"/>
      <c r="JQY110" s="17"/>
      <c r="JQZ110" s="17"/>
      <c r="JRA110" s="17"/>
      <c r="JRB110" s="17"/>
      <c r="JRC110" s="17"/>
      <c r="JRD110" s="17"/>
      <c r="JRE110" s="17"/>
      <c r="JRF110" s="17"/>
      <c r="JRG110" s="17"/>
      <c r="JRH110" s="17"/>
      <c r="JRI110" s="17"/>
      <c r="JRJ110" s="17"/>
      <c r="JRK110" s="17"/>
      <c r="JRL110" s="17"/>
      <c r="JRM110" s="17"/>
      <c r="JRN110" s="17"/>
      <c r="JRO110" s="17"/>
      <c r="JRP110" s="17"/>
      <c r="JRQ110" s="17"/>
      <c r="JRR110" s="17"/>
      <c r="JRS110" s="17"/>
      <c r="JRT110" s="17"/>
      <c r="JRU110" s="17"/>
      <c r="JRV110" s="17"/>
      <c r="JRW110" s="17"/>
      <c r="JRX110" s="17"/>
      <c r="JRY110" s="17"/>
      <c r="JRZ110" s="17"/>
      <c r="JSA110" s="17"/>
      <c r="JSB110" s="17"/>
      <c r="JSC110" s="17"/>
      <c r="JSD110" s="17"/>
      <c r="JSE110" s="17"/>
      <c r="JSF110" s="17"/>
      <c r="JSG110" s="17"/>
      <c r="JSH110" s="17"/>
      <c r="JSI110" s="17"/>
      <c r="JSJ110" s="17"/>
      <c r="JSK110" s="17"/>
      <c r="JSL110" s="17"/>
      <c r="JSM110" s="17"/>
      <c r="JSN110" s="17"/>
      <c r="JSO110" s="17"/>
      <c r="JSP110" s="17"/>
      <c r="JSQ110" s="17"/>
      <c r="JSR110" s="17"/>
      <c r="JSS110" s="17"/>
      <c r="JST110" s="17"/>
      <c r="JSU110" s="17"/>
      <c r="JSV110" s="17"/>
      <c r="JSW110" s="17"/>
      <c r="JSX110" s="17"/>
      <c r="JSY110" s="17"/>
      <c r="JSZ110" s="17"/>
      <c r="JTA110" s="17"/>
      <c r="JTB110" s="17"/>
      <c r="JTC110" s="17"/>
      <c r="JTD110" s="17"/>
      <c r="JTE110" s="17"/>
      <c r="JTF110" s="17"/>
      <c r="JTG110" s="17"/>
      <c r="JTH110" s="17"/>
      <c r="JTI110" s="17"/>
      <c r="JTJ110" s="17"/>
      <c r="JTK110" s="17"/>
      <c r="JTL110" s="17"/>
      <c r="JTM110" s="17"/>
      <c r="JTN110" s="17"/>
      <c r="JTO110" s="17"/>
      <c r="JTP110" s="17"/>
      <c r="JTQ110" s="17"/>
      <c r="JTR110" s="17"/>
      <c r="JTS110" s="17"/>
      <c r="JTT110" s="17"/>
      <c r="JTU110" s="17"/>
      <c r="JTV110" s="17"/>
      <c r="JTW110" s="17"/>
      <c r="JTX110" s="17"/>
      <c r="JTY110" s="17"/>
      <c r="JTZ110" s="17"/>
      <c r="JUA110" s="17"/>
      <c r="JUB110" s="17"/>
      <c r="JUC110" s="17"/>
      <c r="JUD110" s="17"/>
      <c r="JUE110" s="17"/>
      <c r="JUF110" s="17"/>
      <c r="JUG110" s="17"/>
      <c r="JUH110" s="17"/>
      <c r="JUI110" s="17"/>
      <c r="JUJ110" s="17"/>
      <c r="JUK110" s="17"/>
      <c r="JUL110" s="17"/>
      <c r="JUM110" s="17"/>
      <c r="JUN110" s="17"/>
      <c r="JUO110" s="17"/>
      <c r="JUP110" s="17"/>
      <c r="JUQ110" s="17"/>
      <c r="JUR110" s="17"/>
      <c r="JUS110" s="17"/>
      <c r="JUT110" s="17"/>
      <c r="JUU110" s="17"/>
      <c r="JUV110" s="17"/>
      <c r="JUW110" s="17"/>
      <c r="JUX110" s="17"/>
      <c r="JUY110" s="17"/>
      <c r="JUZ110" s="17"/>
      <c r="JVA110" s="17"/>
      <c r="JVB110" s="17"/>
      <c r="JVC110" s="17"/>
      <c r="JVD110" s="17"/>
      <c r="JVE110" s="17"/>
      <c r="JVF110" s="17"/>
      <c r="JVG110" s="17"/>
      <c r="JVH110" s="17"/>
      <c r="JVI110" s="17"/>
      <c r="JVJ110" s="17"/>
      <c r="JVK110" s="17"/>
      <c r="JVL110" s="17"/>
      <c r="JVM110" s="17"/>
      <c r="JVN110" s="17"/>
      <c r="JVO110" s="17"/>
      <c r="JVP110" s="17"/>
      <c r="JVQ110" s="17"/>
      <c r="JVR110" s="17"/>
      <c r="JVS110" s="17"/>
      <c r="JVT110" s="17"/>
      <c r="JVU110" s="17"/>
      <c r="JVV110" s="17"/>
      <c r="JVW110" s="17"/>
      <c r="JVX110" s="17"/>
      <c r="JVY110" s="17"/>
      <c r="JVZ110" s="17"/>
      <c r="JWA110" s="17"/>
      <c r="JWB110" s="17"/>
      <c r="JWC110" s="17"/>
      <c r="JWD110" s="17"/>
      <c r="JWE110" s="17"/>
      <c r="JWF110" s="17"/>
      <c r="JWG110" s="17"/>
      <c r="JWH110" s="17"/>
      <c r="JWI110" s="17"/>
      <c r="JWJ110" s="17"/>
      <c r="JWK110" s="17"/>
      <c r="JWL110" s="17"/>
      <c r="JWM110" s="17"/>
      <c r="JWN110" s="17"/>
      <c r="JWO110" s="17"/>
      <c r="JWP110" s="17"/>
      <c r="JWQ110" s="17"/>
      <c r="JWR110" s="17"/>
      <c r="JWS110" s="17"/>
      <c r="JWT110" s="17"/>
      <c r="JWU110" s="17"/>
      <c r="JWV110" s="17"/>
      <c r="JWW110" s="17"/>
      <c r="JWX110" s="17"/>
      <c r="JWY110" s="17"/>
      <c r="JWZ110" s="17"/>
      <c r="JXA110" s="17"/>
      <c r="JXB110" s="17"/>
      <c r="JXC110" s="17"/>
      <c r="JXD110" s="17"/>
      <c r="JXE110" s="17"/>
      <c r="JXF110" s="17"/>
      <c r="JXG110" s="17"/>
      <c r="JXH110" s="17"/>
      <c r="JXI110" s="17"/>
      <c r="JXJ110" s="17"/>
      <c r="JXK110" s="17"/>
      <c r="JXL110" s="17"/>
      <c r="JXM110" s="17"/>
      <c r="JXN110" s="17"/>
      <c r="JXO110" s="17"/>
      <c r="JXP110" s="17"/>
      <c r="JXQ110" s="17"/>
      <c r="JXR110" s="17"/>
      <c r="JXS110" s="17"/>
      <c r="JXT110" s="17"/>
      <c r="JXU110" s="17"/>
      <c r="JXV110" s="17"/>
      <c r="JXW110" s="17"/>
      <c r="JXX110" s="17"/>
      <c r="JXY110" s="17"/>
      <c r="JXZ110" s="17"/>
      <c r="JYA110" s="17"/>
      <c r="JYB110" s="17"/>
      <c r="JYC110" s="17"/>
      <c r="JYD110" s="17"/>
      <c r="JYE110" s="17"/>
      <c r="JYF110" s="17"/>
      <c r="JYG110" s="17"/>
      <c r="JYH110" s="17"/>
      <c r="JYI110" s="17"/>
      <c r="JYJ110" s="17"/>
      <c r="JYK110" s="17"/>
      <c r="JYL110" s="17"/>
      <c r="JYM110" s="17"/>
      <c r="JYN110" s="17"/>
      <c r="JYO110" s="17"/>
      <c r="JYP110" s="17"/>
      <c r="JYQ110" s="17"/>
      <c r="JYR110" s="17"/>
      <c r="JYS110" s="17"/>
      <c r="JYT110" s="17"/>
      <c r="JYU110" s="17"/>
      <c r="JYV110" s="17"/>
      <c r="JYW110" s="17"/>
      <c r="JYX110" s="17"/>
      <c r="JYY110" s="17"/>
      <c r="JYZ110" s="17"/>
      <c r="JZA110" s="17"/>
      <c r="JZB110" s="17"/>
      <c r="JZC110" s="17"/>
      <c r="JZD110" s="17"/>
      <c r="JZE110" s="17"/>
      <c r="JZF110" s="17"/>
      <c r="JZG110" s="17"/>
      <c r="JZH110" s="17"/>
      <c r="JZI110" s="17"/>
      <c r="JZJ110" s="17"/>
      <c r="JZK110" s="17"/>
      <c r="JZL110" s="17"/>
      <c r="JZM110" s="17"/>
      <c r="JZN110" s="17"/>
      <c r="JZO110" s="17"/>
      <c r="JZP110" s="17"/>
      <c r="JZQ110" s="17"/>
      <c r="JZR110" s="17"/>
      <c r="JZS110" s="17"/>
      <c r="JZT110" s="17"/>
      <c r="JZU110" s="17"/>
      <c r="JZV110" s="17"/>
      <c r="JZW110" s="17"/>
      <c r="JZX110" s="17"/>
      <c r="JZY110" s="17"/>
      <c r="JZZ110" s="17"/>
      <c r="KAA110" s="17"/>
      <c r="KAB110" s="17"/>
      <c r="KAC110" s="17"/>
      <c r="KAD110" s="17"/>
      <c r="KAE110" s="17"/>
      <c r="KAF110" s="17"/>
      <c r="KAG110" s="17"/>
      <c r="KAH110" s="17"/>
      <c r="KAI110" s="17"/>
      <c r="KAJ110" s="17"/>
      <c r="KAK110" s="17"/>
      <c r="KAL110" s="17"/>
      <c r="KAM110" s="17"/>
      <c r="KAN110" s="17"/>
      <c r="KAO110" s="17"/>
      <c r="KAP110" s="17"/>
      <c r="KAQ110" s="17"/>
      <c r="KAR110" s="17"/>
      <c r="KAS110" s="17"/>
      <c r="KAT110" s="17"/>
      <c r="KAU110" s="17"/>
      <c r="KAV110" s="17"/>
      <c r="KAW110" s="17"/>
      <c r="KAX110" s="17"/>
      <c r="KAY110" s="17"/>
      <c r="KAZ110" s="17"/>
      <c r="KBA110" s="17"/>
      <c r="KBB110" s="17"/>
      <c r="KBC110" s="17"/>
      <c r="KBD110" s="17"/>
      <c r="KBE110" s="17"/>
      <c r="KBF110" s="17"/>
      <c r="KBG110" s="17"/>
      <c r="KBH110" s="17"/>
      <c r="KBI110" s="17"/>
      <c r="KBJ110" s="17"/>
      <c r="KBK110" s="17"/>
      <c r="KBL110" s="17"/>
      <c r="KBM110" s="17"/>
      <c r="KBN110" s="17"/>
      <c r="KBO110" s="17"/>
      <c r="KBP110" s="17"/>
      <c r="KBQ110" s="17"/>
      <c r="KBR110" s="17"/>
      <c r="KBS110" s="17"/>
      <c r="KBT110" s="17"/>
      <c r="KBU110" s="17"/>
      <c r="KBV110" s="17"/>
      <c r="KBW110" s="17"/>
      <c r="KBX110" s="17"/>
      <c r="KBY110" s="17"/>
      <c r="KBZ110" s="17"/>
      <c r="KCA110" s="17"/>
      <c r="KCB110" s="17"/>
      <c r="KCC110" s="17"/>
      <c r="KCD110" s="17"/>
      <c r="KCE110" s="17"/>
      <c r="KCF110" s="17"/>
      <c r="KCG110" s="17"/>
      <c r="KCH110" s="17"/>
      <c r="KCI110" s="17"/>
      <c r="KCJ110" s="17"/>
      <c r="KCK110" s="17"/>
      <c r="KCL110" s="17"/>
      <c r="KCM110" s="17"/>
      <c r="KCN110" s="17"/>
      <c r="KCO110" s="17"/>
      <c r="KCP110" s="17"/>
      <c r="KCQ110" s="17"/>
      <c r="KCR110" s="17"/>
      <c r="KCS110" s="17"/>
      <c r="KCT110" s="17"/>
      <c r="KCU110" s="17"/>
      <c r="KCV110" s="17"/>
      <c r="KCW110" s="17"/>
      <c r="KCX110" s="17"/>
      <c r="KCY110" s="17"/>
      <c r="KCZ110" s="17"/>
      <c r="KDA110" s="17"/>
      <c r="KDB110" s="17"/>
      <c r="KDC110" s="17"/>
      <c r="KDD110" s="17"/>
      <c r="KDE110" s="17"/>
      <c r="KDF110" s="17"/>
      <c r="KDG110" s="17"/>
      <c r="KDH110" s="17"/>
      <c r="KDI110" s="17"/>
      <c r="KDJ110" s="17"/>
      <c r="KDK110" s="17"/>
      <c r="KDL110" s="17"/>
      <c r="KDM110" s="17"/>
      <c r="KDN110" s="17"/>
      <c r="KDO110" s="17"/>
      <c r="KDP110" s="17"/>
      <c r="KDQ110" s="17"/>
      <c r="KDR110" s="17"/>
      <c r="KDS110" s="17"/>
      <c r="KDT110" s="17"/>
      <c r="KDU110" s="17"/>
      <c r="KDV110" s="17"/>
      <c r="KDW110" s="17"/>
      <c r="KDX110" s="17"/>
      <c r="KDY110" s="17"/>
      <c r="KDZ110" s="17"/>
      <c r="KEA110" s="17"/>
      <c r="KEB110" s="17"/>
      <c r="KEC110" s="17"/>
      <c r="KED110" s="17"/>
      <c r="KEE110" s="17"/>
      <c r="KEF110" s="17"/>
      <c r="KEG110" s="17"/>
      <c r="KEH110" s="17"/>
      <c r="KEI110" s="17"/>
      <c r="KEJ110" s="17"/>
      <c r="KEK110" s="17"/>
      <c r="KEL110" s="17"/>
      <c r="KEM110" s="17"/>
      <c r="KEN110" s="17"/>
      <c r="KEO110" s="17"/>
      <c r="KEP110" s="17"/>
      <c r="KEQ110" s="17"/>
      <c r="KER110" s="17"/>
      <c r="KES110" s="17"/>
      <c r="KET110" s="17"/>
      <c r="KEU110" s="17"/>
      <c r="KEV110" s="17"/>
      <c r="KEW110" s="17"/>
      <c r="KEX110" s="17"/>
      <c r="KEY110" s="17"/>
      <c r="KEZ110" s="17"/>
      <c r="KFA110" s="17"/>
      <c r="KFB110" s="17"/>
      <c r="KFC110" s="17"/>
      <c r="KFD110" s="17"/>
      <c r="KFE110" s="17"/>
      <c r="KFF110" s="17"/>
      <c r="KFG110" s="17"/>
      <c r="KFH110" s="17"/>
      <c r="KFI110" s="17"/>
      <c r="KFJ110" s="17"/>
      <c r="KFK110" s="17"/>
      <c r="KFL110" s="17"/>
      <c r="KFM110" s="17"/>
      <c r="KFN110" s="17"/>
      <c r="KFO110" s="17"/>
      <c r="KFP110" s="17"/>
      <c r="KFQ110" s="17"/>
      <c r="KFR110" s="17"/>
      <c r="KFS110" s="17"/>
      <c r="KFT110" s="17"/>
      <c r="KFU110" s="17"/>
      <c r="KFV110" s="17"/>
      <c r="KFW110" s="17"/>
      <c r="KFX110" s="17"/>
      <c r="KFY110" s="17"/>
      <c r="KFZ110" s="17"/>
      <c r="KGA110" s="17"/>
      <c r="KGB110" s="17"/>
      <c r="KGC110" s="17"/>
      <c r="KGD110" s="17"/>
      <c r="KGE110" s="17"/>
      <c r="KGF110" s="17"/>
      <c r="KGG110" s="17"/>
      <c r="KGH110" s="17"/>
      <c r="KGI110" s="17"/>
      <c r="KGJ110" s="17"/>
      <c r="KGK110" s="17"/>
      <c r="KGL110" s="17"/>
      <c r="KGM110" s="17"/>
      <c r="KGN110" s="17"/>
      <c r="KGO110" s="17"/>
      <c r="KGP110" s="17"/>
      <c r="KGQ110" s="17"/>
      <c r="KGR110" s="17"/>
      <c r="KGS110" s="17"/>
      <c r="KGT110" s="17"/>
      <c r="KGU110" s="17"/>
      <c r="KGV110" s="17"/>
      <c r="KGW110" s="17"/>
      <c r="KGX110" s="17"/>
      <c r="KGY110" s="17"/>
      <c r="KGZ110" s="17"/>
      <c r="KHA110" s="17"/>
      <c r="KHB110" s="17"/>
      <c r="KHC110" s="17"/>
      <c r="KHD110" s="17"/>
      <c r="KHE110" s="17"/>
      <c r="KHF110" s="17"/>
      <c r="KHG110" s="17"/>
      <c r="KHH110" s="17"/>
      <c r="KHI110" s="17"/>
      <c r="KHJ110" s="17"/>
      <c r="KHK110" s="17"/>
      <c r="KHL110" s="17"/>
      <c r="KHM110" s="17"/>
      <c r="KHN110" s="17"/>
      <c r="KHO110" s="17"/>
      <c r="KHP110" s="17"/>
      <c r="KHQ110" s="17"/>
      <c r="KHR110" s="17"/>
      <c r="KHS110" s="17"/>
      <c r="KHT110" s="17"/>
      <c r="KHU110" s="17"/>
      <c r="KHV110" s="17"/>
      <c r="KHW110" s="17"/>
      <c r="KHX110" s="17"/>
      <c r="KHY110" s="17"/>
      <c r="KHZ110" s="17"/>
      <c r="KIA110" s="17"/>
      <c r="KIB110" s="17"/>
      <c r="KIC110" s="17"/>
      <c r="KID110" s="17"/>
      <c r="KIE110" s="17"/>
      <c r="KIF110" s="17"/>
      <c r="KIG110" s="17"/>
      <c r="KIH110" s="17"/>
      <c r="KII110" s="17"/>
      <c r="KIJ110" s="17"/>
      <c r="KIK110" s="17"/>
      <c r="KIL110" s="17"/>
      <c r="KIM110" s="17"/>
      <c r="KIN110" s="17"/>
      <c r="KIO110" s="17"/>
      <c r="KIP110" s="17"/>
      <c r="KIQ110" s="17"/>
      <c r="KIR110" s="17"/>
      <c r="KIS110" s="17"/>
      <c r="KIT110" s="17"/>
      <c r="KIU110" s="17"/>
      <c r="KIV110" s="17"/>
      <c r="KIW110" s="17"/>
      <c r="KIX110" s="17"/>
      <c r="KIY110" s="17"/>
      <c r="KIZ110" s="17"/>
      <c r="KJA110" s="17"/>
      <c r="KJB110" s="17"/>
      <c r="KJC110" s="17"/>
      <c r="KJD110" s="17"/>
      <c r="KJE110" s="17"/>
      <c r="KJF110" s="17"/>
      <c r="KJG110" s="17"/>
      <c r="KJH110" s="17"/>
      <c r="KJI110" s="17"/>
      <c r="KJJ110" s="17"/>
      <c r="KJK110" s="17"/>
      <c r="KJL110" s="17"/>
      <c r="KJM110" s="17"/>
      <c r="KJN110" s="17"/>
      <c r="KJO110" s="17"/>
      <c r="KJP110" s="17"/>
      <c r="KJQ110" s="17"/>
      <c r="KJR110" s="17"/>
      <c r="KJS110" s="17"/>
      <c r="KJT110" s="17"/>
      <c r="KJU110" s="17"/>
      <c r="KJV110" s="17"/>
      <c r="KJW110" s="17"/>
      <c r="KJX110" s="17"/>
      <c r="KJY110" s="17"/>
      <c r="KJZ110" s="17"/>
      <c r="KKA110" s="17"/>
      <c r="KKB110" s="17"/>
      <c r="KKC110" s="17"/>
      <c r="KKD110" s="17"/>
      <c r="KKE110" s="17"/>
      <c r="KKF110" s="17"/>
      <c r="KKG110" s="17"/>
      <c r="KKH110" s="17"/>
      <c r="KKI110" s="17"/>
      <c r="KKJ110" s="17"/>
      <c r="KKK110" s="17"/>
      <c r="KKL110" s="17"/>
      <c r="KKM110" s="17"/>
      <c r="KKN110" s="17"/>
      <c r="KKO110" s="17"/>
      <c r="KKP110" s="17"/>
      <c r="KKQ110" s="17"/>
      <c r="KKR110" s="17"/>
      <c r="KKS110" s="17"/>
      <c r="KKT110" s="17"/>
      <c r="KKU110" s="17"/>
      <c r="KKV110" s="17"/>
      <c r="KKW110" s="17"/>
      <c r="KKX110" s="17"/>
      <c r="KKY110" s="17"/>
      <c r="KKZ110" s="17"/>
      <c r="KLA110" s="17"/>
      <c r="KLB110" s="17"/>
      <c r="KLC110" s="17"/>
      <c r="KLD110" s="17"/>
      <c r="KLE110" s="17"/>
      <c r="KLF110" s="17"/>
      <c r="KLG110" s="17"/>
      <c r="KLH110" s="17"/>
      <c r="KLI110" s="17"/>
      <c r="KLJ110" s="17"/>
      <c r="KLK110" s="17"/>
      <c r="KLL110" s="17"/>
      <c r="KLM110" s="17"/>
      <c r="KLN110" s="17"/>
      <c r="KLO110" s="17"/>
      <c r="KLP110" s="17"/>
      <c r="KLQ110" s="17"/>
      <c r="KLR110" s="17"/>
      <c r="KLS110" s="17"/>
      <c r="KLT110" s="17"/>
      <c r="KLU110" s="17"/>
      <c r="KLV110" s="17"/>
      <c r="KLW110" s="17"/>
      <c r="KLX110" s="17"/>
      <c r="KLY110" s="17"/>
      <c r="KLZ110" s="17"/>
      <c r="KMA110" s="17"/>
      <c r="KMB110" s="17"/>
      <c r="KMC110" s="17"/>
      <c r="KMD110" s="17"/>
      <c r="KME110" s="17"/>
      <c r="KMF110" s="17"/>
      <c r="KMG110" s="17"/>
      <c r="KMH110" s="17"/>
      <c r="KMI110" s="17"/>
      <c r="KMJ110" s="17"/>
      <c r="KMK110" s="17"/>
      <c r="KML110" s="17"/>
      <c r="KMM110" s="17"/>
      <c r="KMN110" s="17"/>
      <c r="KMO110" s="17"/>
      <c r="KMP110" s="17"/>
      <c r="KMQ110" s="17"/>
      <c r="KMR110" s="17"/>
      <c r="KMS110" s="17"/>
      <c r="KMT110" s="17"/>
      <c r="KMU110" s="17"/>
      <c r="KMV110" s="17"/>
      <c r="KMW110" s="17"/>
      <c r="KMX110" s="17"/>
      <c r="KMY110" s="17"/>
      <c r="KMZ110" s="17"/>
      <c r="KNA110" s="17"/>
      <c r="KNB110" s="17"/>
      <c r="KNC110" s="17"/>
      <c r="KND110" s="17"/>
      <c r="KNE110" s="17"/>
      <c r="KNF110" s="17"/>
      <c r="KNG110" s="17"/>
      <c r="KNH110" s="17"/>
      <c r="KNI110" s="17"/>
      <c r="KNJ110" s="17"/>
      <c r="KNK110" s="17"/>
      <c r="KNL110" s="17"/>
      <c r="KNM110" s="17"/>
      <c r="KNN110" s="17"/>
      <c r="KNO110" s="17"/>
      <c r="KNP110" s="17"/>
      <c r="KNQ110" s="17"/>
      <c r="KNR110" s="17"/>
      <c r="KNS110" s="17"/>
      <c r="KNT110" s="17"/>
      <c r="KNU110" s="17"/>
      <c r="KNV110" s="17"/>
      <c r="KNW110" s="17"/>
      <c r="KNX110" s="17"/>
      <c r="KNY110" s="17"/>
      <c r="KNZ110" s="17"/>
      <c r="KOA110" s="17"/>
      <c r="KOB110" s="17"/>
      <c r="KOC110" s="17"/>
      <c r="KOD110" s="17"/>
      <c r="KOE110" s="17"/>
      <c r="KOF110" s="17"/>
      <c r="KOG110" s="17"/>
      <c r="KOH110" s="17"/>
      <c r="KOI110" s="17"/>
      <c r="KOJ110" s="17"/>
      <c r="KOK110" s="17"/>
      <c r="KOL110" s="17"/>
      <c r="KOM110" s="17"/>
      <c r="KON110" s="17"/>
      <c r="KOO110" s="17"/>
      <c r="KOP110" s="17"/>
      <c r="KOQ110" s="17"/>
      <c r="KOR110" s="17"/>
      <c r="KOS110" s="17"/>
      <c r="KOT110" s="17"/>
      <c r="KOU110" s="17"/>
      <c r="KOV110" s="17"/>
      <c r="KOW110" s="17"/>
      <c r="KOX110" s="17"/>
      <c r="KOY110" s="17"/>
      <c r="KOZ110" s="17"/>
      <c r="KPA110" s="17"/>
      <c r="KPB110" s="17"/>
      <c r="KPC110" s="17"/>
      <c r="KPD110" s="17"/>
      <c r="KPE110" s="17"/>
      <c r="KPF110" s="17"/>
      <c r="KPG110" s="17"/>
      <c r="KPH110" s="17"/>
      <c r="KPI110" s="17"/>
      <c r="KPJ110" s="17"/>
      <c r="KPK110" s="17"/>
      <c r="KPL110" s="17"/>
      <c r="KPM110" s="17"/>
      <c r="KPN110" s="17"/>
      <c r="KPO110" s="17"/>
      <c r="KPP110" s="17"/>
      <c r="KPQ110" s="17"/>
      <c r="KPR110" s="17"/>
      <c r="KPS110" s="17"/>
      <c r="KPT110" s="17"/>
      <c r="KPU110" s="17"/>
      <c r="KPV110" s="17"/>
      <c r="KPW110" s="17"/>
      <c r="KPX110" s="17"/>
      <c r="KPY110" s="17"/>
      <c r="KPZ110" s="17"/>
      <c r="KQA110" s="17"/>
      <c r="KQB110" s="17"/>
      <c r="KQC110" s="17"/>
      <c r="KQD110" s="17"/>
      <c r="KQE110" s="17"/>
      <c r="KQF110" s="17"/>
      <c r="KQG110" s="17"/>
      <c r="KQH110" s="17"/>
      <c r="KQI110" s="17"/>
      <c r="KQJ110" s="17"/>
      <c r="KQK110" s="17"/>
      <c r="KQL110" s="17"/>
      <c r="KQM110" s="17"/>
      <c r="KQN110" s="17"/>
      <c r="KQO110" s="17"/>
      <c r="KQP110" s="17"/>
      <c r="KQQ110" s="17"/>
      <c r="KQR110" s="17"/>
      <c r="KQS110" s="17"/>
      <c r="KQT110" s="17"/>
      <c r="KQU110" s="17"/>
      <c r="KQV110" s="17"/>
      <c r="KQW110" s="17"/>
      <c r="KQX110" s="17"/>
      <c r="KQY110" s="17"/>
      <c r="KQZ110" s="17"/>
      <c r="KRA110" s="17"/>
      <c r="KRB110" s="17"/>
      <c r="KRC110" s="17"/>
      <c r="KRD110" s="17"/>
      <c r="KRE110" s="17"/>
      <c r="KRF110" s="17"/>
      <c r="KRG110" s="17"/>
      <c r="KRH110" s="17"/>
      <c r="KRI110" s="17"/>
      <c r="KRJ110" s="17"/>
      <c r="KRK110" s="17"/>
      <c r="KRL110" s="17"/>
      <c r="KRM110" s="17"/>
      <c r="KRN110" s="17"/>
      <c r="KRO110" s="17"/>
      <c r="KRP110" s="17"/>
      <c r="KRQ110" s="17"/>
      <c r="KRR110" s="17"/>
      <c r="KRS110" s="17"/>
      <c r="KRT110" s="17"/>
      <c r="KRU110" s="17"/>
      <c r="KRV110" s="17"/>
      <c r="KRW110" s="17"/>
      <c r="KRX110" s="17"/>
      <c r="KRY110" s="17"/>
      <c r="KRZ110" s="17"/>
      <c r="KSA110" s="17"/>
      <c r="KSB110" s="17"/>
      <c r="KSC110" s="17"/>
      <c r="KSD110" s="17"/>
      <c r="KSE110" s="17"/>
      <c r="KSF110" s="17"/>
      <c r="KSG110" s="17"/>
      <c r="KSH110" s="17"/>
      <c r="KSI110" s="17"/>
      <c r="KSJ110" s="17"/>
      <c r="KSK110" s="17"/>
      <c r="KSL110" s="17"/>
      <c r="KSM110" s="17"/>
      <c r="KSN110" s="17"/>
      <c r="KSO110" s="17"/>
      <c r="KSP110" s="17"/>
      <c r="KSQ110" s="17"/>
      <c r="KSR110" s="17"/>
      <c r="KSS110" s="17"/>
      <c r="KST110" s="17"/>
      <c r="KSU110" s="17"/>
      <c r="KSV110" s="17"/>
      <c r="KSW110" s="17"/>
      <c r="KSX110" s="17"/>
      <c r="KSY110" s="17"/>
      <c r="KSZ110" s="17"/>
      <c r="KTA110" s="17"/>
      <c r="KTB110" s="17"/>
      <c r="KTC110" s="17"/>
      <c r="KTD110" s="17"/>
      <c r="KTE110" s="17"/>
      <c r="KTF110" s="17"/>
      <c r="KTG110" s="17"/>
      <c r="KTH110" s="17"/>
      <c r="KTI110" s="17"/>
      <c r="KTJ110" s="17"/>
      <c r="KTK110" s="17"/>
      <c r="KTL110" s="17"/>
      <c r="KTM110" s="17"/>
      <c r="KTN110" s="17"/>
      <c r="KTO110" s="17"/>
      <c r="KTP110" s="17"/>
      <c r="KTQ110" s="17"/>
      <c r="KTR110" s="17"/>
      <c r="KTS110" s="17"/>
      <c r="KTT110" s="17"/>
      <c r="KTU110" s="17"/>
      <c r="KTV110" s="17"/>
      <c r="KTW110" s="17"/>
      <c r="KTX110" s="17"/>
      <c r="KTY110" s="17"/>
      <c r="KTZ110" s="17"/>
      <c r="KUA110" s="17"/>
      <c r="KUB110" s="17"/>
      <c r="KUC110" s="17"/>
      <c r="KUD110" s="17"/>
      <c r="KUE110" s="17"/>
      <c r="KUF110" s="17"/>
      <c r="KUG110" s="17"/>
      <c r="KUH110" s="17"/>
      <c r="KUI110" s="17"/>
      <c r="KUJ110" s="17"/>
      <c r="KUK110" s="17"/>
      <c r="KUL110" s="17"/>
      <c r="KUM110" s="17"/>
      <c r="KUN110" s="17"/>
      <c r="KUO110" s="17"/>
      <c r="KUP110" s="17"/>
      <c r="KUQ110" s="17"/>
      <c r="KUR110" s="17"/>
      <c r="KUS110" s="17"/>
      <c r="KUT110" s="17"/>
      <c r="KUU110" s="17"/>
      <c r="KUV110" s="17"/>
      <c r="KUW110" s="17"/>
      <c r="KUX110" s="17"/>
      <c r="KUY110" s="17"/>
      <c r="KUZ110" s="17"/>
      <c r="KVA110" s="17"/>
      <c r="KVB110" s="17"/>
      <c r="KVC110" s="17"/>
      <c r="KVD110" s="17"/>
      <c r="KVE110" s="17"/>
      <c r="KVF110" s="17"/>
      <c r="KVG110" s="17"/>
      <c r="KVH110" s="17"/>
      <c r="KVI110" s="17"/>
      <c r="KVJ110" s="17"/>
      <c r="KVK110" s="17"/>
      <c r="KVL110" s="17"/>
      <c r="KVM110" s="17"/>
      <c r="KVN110" s="17"/>
      <c r="KVO110" s="17"/>
      <c r="KVP110" s="17"/>
      <c r="KVQ110" s="17"/>
      <c r="KVR110" s="17"/>
      <c r="KVS110" s="17"/>
      <c r="KVT110" s="17"/>
      <c r="KVU110" s="17"/>
      <c r="KVV110" s="17"/>
      <c r="KVW110" s="17"/>
      <c r="KVX110" s="17"/>
      <c r="KVY110" s="17"/>
      <c r="KVZ110" s="17"/>
      <c r="KWA110" s="17"/>
      <c r="KWB110" s="17"/>
      <c r="KWC110" s="17"/>
      <c r="KWD110" s="17"/>
      <c r="KWE110" s="17"/>
      <c r="KWF110" s="17"/>
      <c r="KWG110" s="17"/>
      <c r="KWH110" s="17"/>
      <c r="KWI110" s="17"/>
      <c r="KWJ110" s="17"/>
      <c r="KWK110" s="17"/>
      <c r="KWL110" s="17"/>
      <c r="KWM110" s="17"/>
      <c r="KWN110" s="17"/>
      <c r="KWO110" s="17"/>
      <c r="KWP110" s="17"/>
      <c r="KWQ110" s="17"/>
      <c r="KWR110" s="17"/>
      <c r="KWS110" s="17"/>
      <c r="KWT110" s="17"/>
      <c r="KWU110" s="17"/>
      <c r="KWV110" s="17"/>
      <c r="KWW110" s="17"/>
      <c r="KWX110" s="17"/>
      <c r="KWY110" s="17"/>
      <c r="KWZ110" s="17"/>
      <c r="KXA110" s="17"/>
      <c r="KXB110" s="17"/>
      <c r="KXC110" s="17"/>
      <c r="KXD110" s="17"/>
      <c r="KXE110" s="17"/>
      <c r="KXF110" s="17"/>
      <c r="KXG110" s="17"/>
      <c r="KXH110" s="17"/>
      <c r="KXI110" s="17"/>
      <c r="KXJ110" s="17"/>
      <c r="KXK110" s="17"/>
      <c r="KXL110" s="17"/>
      <c r="KXM110" s="17"/>
      <c r="KXN110" s="17"/>
      <c r="KXO110" s="17"/>
      <c r="KXP110" s="17"/>
      <c r="KXQ110" s="17"/>
      <c r="KXR110" s="17"/>
      <c r="KXS110" s="17"/>
      <c r="KXT110" s="17"/>
      <c r="KXU110" s="17"/>
      <c r="KXV110" s="17"/>
      <c r="KXW110" s="17"/>
      <c r="KXX110" s="17"/>
      <c r="KXY110" s="17"/>
      <c r="KXZ110" s="17"/>
      <c r="KYA110" s="17"/>
      <c r="KYB110" s="17"/>
      <c r="KYC110" s="17"/>
      <c r="KYD110" s="17"/>
      <c r="KYE110" s="17"/>
      <c r="KYF110" s="17"/>
      <c r="KYG110" s="17"/>
      <c r="KYH110" s="17"/>
      <c r="KYI110" s="17"/>
      <c r="KYJ110" s="17"/>
      <c r="KYK110" s="17"/>
      <c r="KYL110" s="17"/>
      <c r="KYM110" s="17"/>
      <c r="KYN110" s="17"/>
      <c r="KYO110" s="17"/>
      <c r="KYP110" s="17"/>
      <c r="KYQ110" s="17"/>
      <c r="KYR110" s="17"/>
      <c r="KYS110" s="17"/>
      <c r="KYT110" s="17"/>
      <c r="KYU110" s="17"/>
      <c r="KYV110" s="17"/>
      <c r="KYW110" s="17"/>
      <c r="KYX110" s="17"/>
      <c r="KYY110" s="17"/>
      <c r="KYZ110" s="17"/>
      <c r="KZA110" s="17"/>
      <c r="KZB110" s="17"/>
      <c r="KZC110" s="17"/>
      <c r="KZD110" s="17"/>
      <c r="KZE110" s="17"/>
      <c r="KZF110" s="17"/>
      <c r="KZG110" s="17"/>
      <c r="KZH110" s="17"/>
      <c r="KZI110" s="17"/>
      <c r="KZJ110" s="17"/>
      <c r="KZK110" s="17"/>
      <c r="KZL110" s="17"/>
      <c r="KZM110" s="17"/>
      <c r="KZN110" s="17"/>
      <c r="KZO110" s="17"/>
      <c r="KZP110" s="17"/>
      <c r="KZQ110" s="17"/>
      <c r="KZR110" s="17"/>
      <c r="KZS110" s="17"/>
      <c r="KZT110" s="17"/>
      <c r="KZU110" s="17"/>
      <c r="KZV110" s="17"/>
      <c r="KZW110" s="17"/>
      <c r="KZX110" s="17"/>
      <c r="KZY110" s="17"/>
      <c r="KZZ110" s="17"/>
      <c r="LAA110" s="17"/>
      <c r="LAB110" s="17"/>
      <c r="LAC110" s="17"/>
      <c r="LAD110" s="17"/>
      <c r="LAE110" s="17"/>
      <c r="LAF110" s="17"/>
      <c r="LAG110" s="17"/>
      <c r="LAH110" s="17"/>
      <c r="LAI110" s="17"/>
      <c r="LAJ110" s="17"/>
      <c r="LAK110" s="17"/>
      <c r="LAL110" s="17"/>
      <c r="LAM110" s="17"/>
      <c r="LAN110" s="17"/>
      <c r="LAO110" s="17"/>
      <c r="LAP110" s="17"/>
      <c r="LAQ110" s="17"/>
      <c r="LAR110" s="17"/>
      <c r="LAS110" s="17"/>
      <c r="LAT110" s="17"/>
      <c r="LAU110" s="17"/>
      <c r="LAV110" s="17"/>
      <c r="LAW110" s="17"/>
      <c r="LAX110" s="17"/>
      <c r="LAY110" s="17"/>
      <c r="LAZ110" s="17"/>
      <c r="LBA110" s="17"/>
      <c r="LBB110" s="17"/>
      <c r="LBC110" s="17"/>
      <c r="LBD110" s="17"/>
      <c r="LBE110" s="17"/>
      <c r="LBF110" s="17"/>
      <c r="LBG110" s="17"/>
      <c r="LBH110" s="17"/>
      <c r="LBI110" s="17"/>
      <c r="LBJ110" s="17"/>
      <c r="LBK110" s="17"/>
      <c r="LBL110" s="17"/>
      <c r="LBM110" s="17"/>
      <c r="LBN110" s="17"/>
      <c r="LBO110" s="17"/>
      <c r="LBP110" s="17"/>
      <c r="LBQ110" s="17"/>
      <c r="LBR110" s="17"/>
      <c r="LBS110" s="17"/>
      <c r="LBT110" s="17"/>
      <c r="LBU110" s="17"/>
      <c r="LBV110" s="17"/>
      <c r="LBW110" s="17"/>
      <c r="LBX110" s="17"/>
      <c r="LBY110" s="17"/>
      <c r="LBZ110" s="17"/>
      <c r="LCA110" s="17"/>
      <c r="LCB110" s="17"/>
      <c r="LCC110" s="17"/>
      <c r="LCD110" s="17"/>
      <c r="LCE110" s="17"/>
      <c r="LCF110" s="17"/>
      <c r="LCG110" s="17"/>
      <c r="LCH110" s="17"/>
      <c r="LCI110" s="17"/>
      <c r="LCJ110" s="17"/>
      <c r="LCK110" s="17"/>
      <c r="LCL110" s="17"/>
      <c r="LCM110" s="17"/>
      <c r="LCN110" s="17"/>
      <c r="LCO110" s="17"/>
      <c r="LCP110" s="17"/>
      <c r="LCQ110" s="17"/>
      <c r="LCR110" s="17"/>
      <c r="LCS110" s="17"/>
      <c r="LCT110" s="17"/>
      <c r="LCU110" s="17"/>
      <c r="LCV110" s="17"/>
      <c r="LCW110" s="17"/>
      <c r="LCX110" s="17"/>
      <c r="LCY110" s="17"/>
      <c r="LCZ110" s="17"/>
      <c r="LDA110" s="17"/>
      <c r="LDB110" s="17"/>
      <c r="LDC110" s="17"/>
      <c r="LDD110" s="17"/>
      <c r="LDE110" s="17"/>
      <c r="LDF110" s="17"/>
      <c r="LDG110" s="17"/>
      <c r="LDH110" s="17"/>
      <c r="LDI110" s="17"/>
      <c r="LDJ110" s="17"/>
      <c r="LDK110" s="17"/>
      <c r="LDL110" s="17"/>
      <c r="LDM110" s="17"/>
      <c r="LDN110" s="17"/>
      <c r="LDO110" s="17"/>
      <c r="LDP110" s="17"/>
      <c r="LDQ110" s="17"/>
      <c r="LDR110" s="17"/>
      <c r="LDS110" s="17"/>
      <c r="LDT110" s="17"/>
      <c r="LDU110" s="17"/>
      <c r="LDV110" s="17"/>
      <c r="LDW110" s="17"/>
      <c r="LDX110" s="17"/>
      <c r="LDY110" s="17"/>
      <c r="LDZ110" s="17"/>
      <c r="LEA110" s="17"/>
      <c r="LEB110" s="17"/>
      <c r="LEC110" s="17"/>
      <c r="LED110" s="17"/>
      <c r="LEE110" s="17"/>
      <c r="LEF110" s="17"/>
      <c r="LEG110" s="17"/>
      <c r="LEH110" s="17"/>
      <c r="LEI110" s="17"/>
      <c r="LEJ110" s="17"/>
      <c r="LEK110" s="17"/>
      <c r="LEL110" s="17"/>
      <c r="LEM110" s="17"/>
      <c r="LEN110" s="17"/>
      <c r="LEO110" s="17"/>
      <c r="LEP110" s="17"/>
      <c r="LEQ110" s="17"/>
      <c r="LER110" s="17"/>
      <c r="LES110" s="17"/>
      <c r="LET110" s="17"/>
      <c r="LEU110" s="17"/>
      <c r="LEV110" s="17"/>
      <c r="LEW110" s="17"/>
      <c r="LEX110" s="17"/>
      <c r="LEY110" s="17"/>
      <c r="LEZ110" s="17"/>
      <c r="LFA110" s="17"/>
      <c r="LFB110" s="17"/>
      <c r="LFC110" s="17"/>
      <c r="LFD110" s="17"/>
      <c r="LFE110" s="17"/>
      <c r="LFF110" s="17"/>
      <c r="LFG110" s="17"/>
      <c r="LFH110" s="17"/>
      <c r="LFI110" s="17"/>
      <c r="LFJ110" s="17"/>
      <c r="LFK110" s="17"/>
      <c r="LFL110" s="17"/>
      <c r="LFM110" s="17"/>
      <c r="LFN110" s="17"/>
      <c r="LFO110" s="17"/>
      <c r="LFP110" s="17"/>
      <c r="LFQ110" s="17"/>
      <c r="LFR110" s="17"/>
      <c r="LFS110" s="17"/>
      <c r="LFT110" s="17"/>
      <c r="LFU110" s="17"/>
      <c r="LFV110" s="17"/>
      <c r="LFW110" s="17"/>
      <c r="LFX110" s="17"/>
      <c r="LFY110" s="17"/>
      <c r="LFZ110" s="17"/>
      <c r="LGA110" s="17"/>
      <c r="LGB110" s="17"/>
      <c r="LGC110" s="17"/>
      <c r="LGD110" s="17"/>
      <c r="LGE110" s="17"/>
      <c r="LGF110" s="17"/>
      <c r="LGG110" s="17"/>
      <c r="LGH110" s="17"/>
      <c r="LGI110" s="17"/>
      <c r="LGJ110" s="17"/>
      <c r="LGK110" s="17"/>
      <c r="LGL110" s="17"/>
      <c r="LGM110" s="17"/>
      <c r="LGN110" s="17"/>
      <c r="LGO110" s="17"/>
      <c r="LGP110" s="17"/>
      <c r="LGQ110" s="17"/>
      <c r="LGR110" s="17"/>
      <c r="LGS110" s="17"/>
      <c r="LGT110" s="17"/>
      <c r="LGU110" s="17"/>
      <c r="LGV110" s="17"/>
      <c r="LGW110" s="17"/>
      <c r="LGX110" s="17"/>
      <c r="LGY110" s="17"/>
      <c r="LGZ110" s="17"/>
      <c r="LHA110" s="17"/>
      <c r="LHB110" s="17"/>
      <c r="LHC110" s="17"/>
      <c r="LHD110" s="17"/>
      <c r="LHE110" s="17"/>
      <c r="LHF110" s="17"/>
      <c r="LHG110" s="17"/>
      <c r="LHH110" s="17"/>
      <c r="LHI110" s="17"/>
      <c r="LHJ110" s="17"/>
      <c r="LHK110" s="17"/>
      <c r="LHL110" s="17"/>
      <c r="LHM110" s="17"/>
      <c r="LHN110" s="17"/>
      <c r="LHO110" s="17"/>
      <c r="LHP110" s="17"/>
      <c r="LHQ110" s="17"/>
      <c r="LHR110" s="17"/>
      <c r="LHS110" s="17"/>
      <c r="LHT110" s="17"/>
      <c r="LHU110" s="17"/>
      <c r="LHV110" s="17"/>
      <c r="LHW110" s="17"/>
      <c r="LHX110" s="17"/>
      <c r="LHY110" s="17"/>
      <c r="LHZ110" s="17"/>
      <c r="LIA110" s="17"/>
      <c r="LIB110" s="17"/>
      <c r="LIC110" s="17"/>
      <c r="LID110" s="17"/>
      <c r="LIE110" s="17"/>
      <c r="LIF110" s="17"/>
      <c r="LIG110" s="17"/>
      <c r="LIH110" s="17"/>
      <c r="LII110" s="17"/>
      <c r="LIJ110" s="17"/>
      <c r="LIK110" s="17"/>
      <c r="LIL110" s="17"/>
      <c r="LIM110" s="17"/>
      <c r="LIN110" s="17"/>
      <c r="LIO110" s="17"/>
      <c r="LIP110" s="17"/>
      <c r="LIQ110" s="17"/>
      <c r="LIR110" s="17"/>
      <c r="LIS110" s="17"/>
      <c r="LIT110" s="17"/>
      <c r="LIU110" s="17"/>
      <c r="LIV110" s="17"/>
      <c r="LIW110" s="17"/>
      <c r="LIX110" s="17"/>
      <c r="LIY110" s="17"/>
      <c r="LIZ110" s="17"/>
      <c r="LJA110" s="17"/>
      <c r="LJB110" s="17"/>
      <c r="LJC110" s="17"/>
      <c r="LJD110" s="17"/>
      <c r="LJE110" s="17"/>
      <c r="LJF110" s="17"/>
      <c r="LJG110" s="17"/>
      <c r="LJH110" s="17"/>
      <c r="LJI110" s="17"/>
      <c r="LJJ110" s="17"/>
      <c r="LJK110" s="17"/>
      <c r="LJL110" s="17"/>
      <c r="LJM110" s="17"/>
      <c r="LJN110" s="17"/>
      <c r="LJO110" s="17"/>
      <c r="LJP110" s="17"/>
      <c r="LJQ110" s="17"/>
      <c r="LJR110" s="17"/>
      <c r="LJS110" s="17"/>
      <c r="LJT110" s="17"/>
      <c r="LJU110" s="17"/>
      <c r="LJV110" s="17"/>
      <c r="LJW110" s="17"/>
      <c r="LJX110" s="17"/>
      <c r="LJY110" s="17"/>
      <c r="LJZ110" s="17"/>
      <c r="LKA110" s="17"/>
      <c r="LKB110" s="17"/>
      <c r="LKC110" s="17"/>
      <c r="LKD110" s="17"/>
      <c r="LKE110" s="17"/>
      <c r="LKF110" s="17"/>
      <c r="LKG110" s="17"/>
      <c r="LKH110" s="17"/>
      <c r="LKI110" s="17"/>
      <c r="LKJ110" s="17"/>
      <c r="LKK110" s="17"/>
      <c r="LKL110" s="17"/>
      <c r="LKM110" s="17"/>
      <c r="LKN110" s="17"/>
      <c r="LKO110" s="17"/>
      <c r="LKP110" s="17"/>
      <c r="LKQ110" s="17"/>
      <c r="LKR110" s="17"/>
      <c r="LKS110" s="17"/>
      <c r="LKT110" s="17"/>
      <c r="LKU110" s="17"/>
      <c r="LKV110" s="17"/>
      <c r="LKW110" s="17"/>
      <c r="LKX110" s="17"/>
      <c r="LKY110" s="17"/>
      <c r="LKZ110" s="17"/>
      <c r="LLA110" s="17"/>
      <c r="LLB110" s="17"/>
      <c r="LLC110" s="17"/>
      <c r="LLD110" s="17"/>
      <c r="LLE110" s="17"/>
      <c r="LLF110" s="17"/>
      <c r="LLG110" s="17"/>
      <c r="LLH110" s="17"/>
      <c r="LLI110" s="17"/>
      <c r="LLJ110" s="17"/>
      <c r="LLK110" s="17"/>
      <c r="LLL110" s="17"/>
      <c r="LLM110" s="17"/>
      <c r="LLN110" s="17"/>
      <c r="LLO110" s="17"/>
      <c r="LLP110" s="17"/>
      <c r="LLQ110" s="17"/>
      <c r="LLR110" s="17"/>
      <c r="LLS110" s="17"/>
      <c r="LLT110" s="17"/>
      <c r="LLU110" s="17"/>
      <c r="LLV110" s="17"/>
      <c r="LLW110" s="17"/>
      <c r="LLX110" s="17"/>
      <c r="LLY110" s="17"/>
      <c r="LLZ110" s="17"/>
      <c r="LMA110" s="17"/>
      <c r="LMB110" s="17"/>
      <c r="LMC110" s="17"/>
      <c r="LMD110" s="17"/>
      <c r="LME110" s="17"/>
      <c r="LMF110" s="17"/>
      <c r="LMG110" s="17"/>
      <c r="LMH110" s="17"/>
      <c r="LMI110" s="17"/>
      <c r="LMJ110" s="17"/>
      <c r="LMK110" s="17"/>
      <c r="LML110" s="17"/>
      <c r="LMM110" s="17"/>
      <c r="LMN110" s="17"/>
      <c r="LMO110" s="17"/>
      <c r="LMP110" s="17"/>
      <c r="LMQ110" s="17"/>
      <c r="LMR110" s="17"/>
      <c r="LMS110" s="17"/>
      <c r="LMT110" s="17"/>
      <c r="LMU110" s="17"/>
      <c r="LMV110" s="17"/>
      <c r="LMW110" s="17"/>
      <c r="LMX110" s="17"/>
      <c r="LMY110" s="17"/>
      <c r="LMZ110" s="17"/>
      <c r="LNA110" s="17"/>
      <c r="LNB110" s="17"/>
      <c r="LNC110" s="17"/>
      <c r="LND110" s="17"/>
      <c r="LNE110" s="17"/>
      <c r="LNF110" s="17"/>
      <c r="LNG110" s="17"/>
      <c r="LNH110" s="17"/>
      <c r="LNI110" s="17"/>
      <c r="LNJ110" s="17"/>
      <c r="LNK110" s="17"/>
      <c r="LNL110" s="17"/>
      <c r="LNM110" s="17"/>
      <c r="LNN110" s="17"/>
      <c r="LNO110" s="17"/>
      <c r="LNP110" s="17"/>
      <c r="LNQ110" s="17"/>
      <c r="LNR110" s="17"/>
      <c r="LNS110" s="17"/>
      <c r="LNT110" s="17"/>
      <c r="LNU110" s="17"/>
      <c r="LNV110" s="17"/>
      <c r="LNW110" s="17"/>
      <c r="LNX110" s="17"/>
      <c r="LNY110" s="17"/>
      <c r="LNZ110" s="17"/>
      <c r="LOA110" s="17"/>
      <c r="LOB110" s="17"/>
      <c r="LOC110" s="17"/>
      <c r="LOD110" s="17"/>
      <c r="LOE110" s="17"/>
      <c r="LOF110" s="17"/>
      <c r="LOG110" s="17"/>
      <c r="LOH110" s="17"/>
      <c r="LOI110" s="17"/>
      <c r="LOJ110" s="17"/>
      <c r="LOK110" s="17"/>
      <c r="LOL110" s="17"/>
      <c r="LOM110" s="17"/>
      <c r="LON110" s="17"/>
      <c r="LOO110" s="17"/>
      <c r="LOP110" s="17"/>
      <c r="LOQ110" s="17"/>
      <c r="LOR110" s="17"/>
      <c r="LOS110" s="17"/>
      <c r="LOT110" s="17"/>
      <c r="LOU110" s="17"/>
      <c r="LOV110" s="17"/>
      <c r="LOW110" s="17"/>
      <c r="LOX110" s="17"/>
      <c r="LOY110" s="17"/>
      <c r="LOZ110" s="17"/>
      <c r="LPA110" s="17"/>
      <c r="LPB110" s="17"/>
      <c r="LPC110" s="17"/>
      <c r="LPD110" s="17"/>
      <c r="LPE110" s="17"/>
      <c r="LPF110" s="17"/>
      <c r="LPG110" s="17"/>
      <c r="LPH110" s="17"/>
      <c r="LPI110" s="17"/>
      <c r="LPJ110" s="17"/>
      <c r="LPK110" s="17"/>
      <c r="LPL110" s="17"/>
      <c r="LPM110" s="17"/>
      <c r="LPN110" s="17"/>
      <c r="LPO110" s="17"/>
      <c r="LPP110" s="17"/>
      <c r="LPQ110" s="17"/>
      <c r="LPR110" s="17"/>
      <c r="LPS110" s="17"/>
      <c r="LPT110" s="17"/>
      <c r="LPU110" s="17"/>
      <c r="LPV110" s="17"/>
      <c r="LPW110" s="17"/>
      <c r="LPX110" s="17"/>
      <c r="LPY110" s="17"/>
      <c r="LPZ110" s="17"/>
      <c r="LQA110" s="17"/>
      <c r="LQB110" s="17"/>
      <c r="LQC110" s="17"/>
      <c r="LQD110" s="17"/>
      <c r="LQE110" s="17"/>
      <c r="LQF110" s="17"/>
      <c r="LQG110" s="17"/>
      <c r="LQH110" s="17"/>
      <c r="LQI110" s="17"/>
      <c r="LQJ110" s="17"/>
      <c r="LQK110" s="17"/>
      <c r="LQL110" s="17"/>
      <c r="LQM110" s="17"/>
      <c r="LQN110" s="17"/>
      <c r="LQO110" s="17"/>
      <c r="LQP110" s="17"/>
      <c r="LQQ110" s="17"/>
      <c r="LQR110" s="17"/>
      <c r="LQS110" s="17"/>
      <c r="LQT110" s="17"/>
      <c r="LQU110" s="17"/>
      <c r="LQV110" s="17"/>
      <c r="LQW110" s="17"/>
      <c r="LQX110" s="17"/>
      <c r="LQY110" s="17"/>
      <c r="LQZ110" s="17"/>
      <c r="LRA110" s="17"/>
      <c r="LRB110" s="17"/>
      <c r="LRC110" s="17"/>
      <c r="LRD110" s="17"/>
      <c r="LRE110" s="17"/>
      <c r="LRF110" s="17"/>
      <c r="LRG110" s="17"/>
      <c r="LRH110" s="17"/>
      <c r="LRI110" s="17"/>
      <c r="LRJ110" s="17"/>
      <c r="LRK110" s="17"/>
      <c r="LRL110" s="17"/>
      <c r="LRM110" s="17"/>
      <c r="LRN110" s="17"/>
      <c r="LRO110" s="17"/>
      <c r="LRP110" s="17"/>
      <c r="LRQ110" s="17"/>
      <c r="LRR110" s="17"/>
      <c r="LRS110" s="17"/>
      <c r="LRT110" s="17"/>
      <c r="LRU110" s="17"/>
      <c r="LRV110" s="17"/>
      <c r="LRW110" s="17"/>
      <c r="LRX110" s="17"/>
      <c r="LRY110" s="17"/>
      <c r="LRZ110" s="17"/>
      <c r="LSA110" s="17"/>
      <c r="LSB110" s="17"/>
      <c r="LSC110" s="17"/>
      <c r="LSD110" s="17"/>
      <c r="LSE110" s="17"/>
      <c r="LSF110" s="17"/>
      <c r="LSG110" s="17"/>
      <c r="LSH110" s="17"/>
      <c r="LSI110" s="17"/>
      <c r="LSJ110" s="17"/>
      <c r="LSK110" s="17"/>
      <c r="LSL110" s="17"/>
      <c r="LSM110" s="17"/>
      <c r="LSN110" s="17"/>
      <c r="LSO110" s="17"/>
      <c r="LSP110" s="17"/>
      <c r="LSQ110" s="17"/>
      <c r="LSR110" s="17"/>
      <c r="LSS110" s="17"/>
      <c r="LST110" s="17"/>
      <c r="LSU110" s="17"/>
      <c r="LSV110" s="17"/>
      <c r="LSW110" s="17"/>
      <c r="LSX110" s="17"/>
      <c r="LSY110" s="17"/>
      <c r="LSZ110" s="17"/>
      <c r="LTA110" s="17"/>
      <c r="LTB110" s="17"/>
      <c r="LTC110" s="17"/>
      <c r="LTD110" s="17"/>
      <c r="LTE110" s="17"/>
      <c r="LTF110" s="17"/>
      <c r="LTG110" s="17"/>
      <c r="LTH110" s="17"/>
      <c r="LTI110" s="17"/>
      <c r="LTJ110" s="17"/>
      <c r="LTK110" s="17"/>
      <c r="LTL110" s="17"/>
      <c r="LTM110" s="17"/>
      <c r="LTN110" s="17"/>
      <c r="LTO110" s="17"/>
      <c r="LTP110" s="17"/>
      <c r="LTQ110" s="17"/>
      <c r="LTR110" s="17"/>
      <c r="LTS110" s="17"/>
      <c r="LTT110" s="17"/>
      <c r="LTU110" s="17"/>
      <c r="LTV110" s="17"/>
      <c r="LTW110" s="17"/>
      <c r="LTX110" s="17"/>
      <c r="LTY110" s="17"/>
      <c r="LTZ110" s="17"/>
      <c r="LUA110" s="17"/>
      <c r="LUB110" s="17"/>
      <c r="LUC110" s="17"/>
      <c r="LUD110" s="17"/>
      <c r="LUE110" s="17"/>
      <c r="LUF110" s="17"/>
      <c r="LUG110" s="17"/>
      <c r="LUH110" s="17"/>
      <c r="LUI110" s="17"/>
      <c r="LUJ110" s="17"/>
      <c r="LUK110" s="17"/>
      <c r="LUL110" s="17"/>
      <c r="LUM110" s="17"/>
      <c r="LUN110" s="17"/>
      <c r="LUO110" s="17"/>
      <c r="LUP110" s="17"/>
      <c r="LUQ110" s="17"/>
      <c r="LUR110" s="17"/>
      <c r="LUS110" s="17"/>
      <c r="LUT110" s="17"/>
      <c r="LUU110" s="17"/>
      <c r="LUV110" s="17"/>
      <c r="LUW110" s="17"/>
      <c r="LUX110" s="17"/>
      <c r="LUY110" s="17"/>
      <c r="LUZ110" s="17"/>
      <c r="LVA110" s="17"/>
      <c r="LVB110" s="17"/>
      <c r="LVC110" s="17"/>
      <c r="LVD110" s="17"/>
      <c r="LVE110" s="17"/>
      <c r="LVF110" s="17"/>
      <c r="LVG110" s="17"/>
      <c r="LVH110" s="17"/>
      <c r="LVI110" s="17"/>
      <c r="LVJ110" s="17"/>
      <c r="LVK110" s="17"/>
      <c r="LVL110" s="17"/>
      <c r="LVM110" s="17"/>
      <c r="LVN110" s="17"/>
      <c r="LVO110" s="17"/>
      <c r="LVP110" s="17"/>
      <c r="LVQ110" s="17"/>
      <c r="LVR110" s="17"/>
      <c r="LVS110" s="17"/>
      <c r="LVT110" s="17"/>
      <c r="LVU110" s="17"/>
      <c r="LVV110" s="17"/>
      <c r="LVW110" s="17"/>
      <c r="LVX110" s="17"/>
      <c r="LVY110" s="17"/>
      <c r="LVZ110" s="17"/>
      <c r="LWA110" s="17"/>
      <c r="LWB110" s="17"/>
      <c r="LWC110" s="17"/>
      <c r="LWD110" s="17"/>
      <c r="LWE110" s="17"/>
      <c r="LWF110" s="17"/>
      <c r="LWG110" s="17"/>
      <c r="LWH110" s="17"/>
      <c r="LWI110" s="17"/>
      <c r="LWJ110" s="17"/>
      <c r="LWK110" s="17"/>
      <c r="LWL110" s="17"/>
      <c r="LWM110" s="17"/>
      <c r="LWN110" s="17"/>
      <c r="LWO110" s="17"/>
      <c r="LWP110" s="17"/>
      <c r="LWQ110" s="17"/>
      <c r="LWR110" s="17"/>
      <c r="LWS110" s="17"/>
      <c r="LWT110" s="17"/>
      <c r="LWU110" s="17"/>
      <c r="LWV110" s="17"/>
      <c r="LWW110" s="17"/>
      <c r="LWX110" s="17"/>
      <c r="LWY110" s="17"/>
      <c r="LWZ110" s="17"/>
      <c r="LXA110" s="17"/>
      <c r="LXB110" s="17"/>
      <c r="LXC110" s="17"/>
      <c r="LXD110" s="17"/>
      <c r="LXE110" s="17"/>
      <c r="LXF110" s="17"/>
      <c r="LXG110" s="17"/>
      <c r="LXH110" s="17"/>
      <c r="LXI110" s="17"/>
      <c r="LXJ110" s="17"/>
      <c r="LXK110" s="17"/>
      <c r="LXL110" s="17"/>
      <c r="LXM110" s="17"/>
      <c r="LXN110" s="17"/>
      <c r="LXO110" s="17"/>
      <c r="LXP110" s="17"/>
      <c r="LXQ110" s="17"/>
      <c r="LXR110" s="17"/>
      <c r="LXS110" s="17"/>
      <c r="LXT110" s="17"/>
      <c r="LXU110" s="17"/>
      <c r="LXV110" s="17"/>
      <c r="LXW110" s="17"/>
      <c r="LXX110" s="17"/>
      <c r="LXY110" s="17"/>
      <c r="LXZ110" s="17"/>
      <c r="LYA110" s="17"/>
      <c r="LYB110" s="17"/>
      <c r="LYC110" s="17"/>
      <c r="LYD110" s="17"/>
      <c r="LYE110" s="17"/>
      <c r="LYF110" s="17"/>
      <c r="LYG110" s="17"/>
      <c r="LYH110" s="17"/>
      <c r="LYI110" s="17"/>
      <c r="LYJ110" s="17"/>
      <c r="LYK110" s="17"/>
      <c r="LYL110" s="17"/>
      <c r="LYM110" s="17"/>
      <c r="LYN110" s="17"/>
      <c r="LYO110" s="17"/>
      <c r="LYP110" s="17"/>
      <c r="LYQ110" s="17"/>
      <c r="LYR110" s="17"/>
      <c r="LYS110" s="17"/>
      <c r="LYT110" s="17"/>
      <c r="LYU110" s="17"/>
      <c r="LYV110" s="17"/>
      <c r="LYW110" s="17"/>
      <c r="LYX110" s="17"/>
      <c r="LYY110" s="17"/>
      <c r="LYZ110" s="17"/>
      <c r="LZA110" s="17"/>
      <c r="LZB110" s="17"/>
      <c r="LZC110" s="17"/>
      <c r="LZD110" s="17"/>
      <c r="LZE110" s="17"/>
      <c r="LZF110" s="17"/>
      <c r="LZG110" s="17"/>
      <c r="LZH110" s="17"/>
      <c r="LZI110" s="17"/>
      <c r="LZJ110" s="17"/>
      <c r="LZK110" s="17"/>
      <c r="LZL110" s="17"/>
      <c r="LZM110" s="17"/>
      <c r="LZN110" s="17"/>
      <c r="LZO110" s="17"/>
      <c r="LZP110" s="17"/>
      <c r="LZQ110" s="17"/>
      <c r="LZR110" s="17"/>
      <c r="LZS110" s="17"/>
      <c r="LZT110" s="17"/>
      <c r="LZU110" s="17"/>
      <c r="LZV110" s="17"/>
      <c r="LZW110" s="17"/>
      <c r="LZX110" s="17"/>
      <c r="LZY110" s="17"/>
      <c r="LZZ110" s="17"/>
      <c r="MAA110" s="17"/>
      <c r="MAB110" s="17"/>
      <c r="MAC110" s="17"/>
      <c r="MAD110" s="17"/>
      <c r="MAE110" s="17"/>
      <c r="MAF110" s="17"/>
      <c r="MAG110" s="17"/>
      <c r="MAH110" s="17"/>
      <c r="MAI110" s="17"/>
      <c r="MAJ110" s="17"/>
      <c r="MAK110" s="17"/>
      <c r="MAL110" s="17"/>
      <c r="MAM110" s="17"/>
      <c r="MAN110" s="17"/>
      <c r="MAO110" s="17"/>
      <c r="MAP110" s="17"/>
      <c r="MAQ110" s="17"/>
      <c r="MAR110" s="17"/>
      <c r="MAS110" s="17"/>
      <c r="MAT110" s="17"/>
      <c r="MAU110" s="17"/>
      <c r="MAV110" s="17"/>
      <c r="MAW110" s="17"/>
      <c r="MAX110" s="17"/>
      <c r="MAY110" s="17"/>
      <c r="MAZ110" s="17"/>
      <c r="MBA110" s="17"/>
      <c r="MBB110" s="17"/>
      <c r="MBC110" s="17"/>
      <c r="MBD110" s="17"/>
      <c r="MBE110" s="17"/>
      <c r="MBF110" s="17"/>
      <c r="MBG110" s="17"/>
      <c r="MBH110" s="17"/>
      <c r="MBI110" s="17"/>
      <c r="MBJ110" s="17"/>
      <c r="MBK110" s="17"/>
      <c r="MBL110" s="17"/>
      <c r="MBM110" s="17"/>
      <c r="MBN110" s="17"/>
      <c r="MBO110" s="17"/>
      <c r="MBP110" s="17"/>
      <c r="MBQ110" s="17"/>
      <c r="MBR110" s="17"/>
      <c r="MBS110" s="17"/>
      <c r="MBT110" s="17"/>
      <c r="MBU110" s="17"/>
      <c r="MBV110" s="17"/>
      <c r="MBW110" s="17"/>
      <c r="MBX110" s="17"/>
      <c r="MBY110" s="17"/>
      <c r="MBZ110" s="17"/>
      <c r="MCA110" s="17"/>
      <c r="MCB110" s="17"/>
      <c r="MCC110" s="17"/>
      <c r="MCD110" s="17"/>
      <c r="MCE110" s="17"/>
      <c r="MCF110" s="17"/>
      <c r="MCG110" s="17"/>
      <c r="MCH110" s="17"/>
      <c r="MCI110" s="17"/>
      <c r="MCJ110" s="17"/>
      <c r="MCK110" s="17"/>
      <c r="MCL110" s="17"/>
      <c r="MCM110" s="17"/>
      <c r="MCN110" s="17"/>
      <c r="MCO110" s="17"/>
      <c r="MCP110" s="17"/>
      <c r="MCQ110" s="17"/>
      <c r="MCR110" s="17"/>
      <c r="MCS110" s="17"/>
      <c r="MCT110" s="17"/>
      <c r="MCU110" s="17"/>
      <c r="MCV110" s="17"/>
      <c r="MCW110" s="17"/>
      <c r="MCX110" s="17"/>
      <c r="MCY110" s="17"/>
      <c r="MCZ110" s="17"/>
      <c r="MDA110" s="17"/>
      <c r="MDB110" s="17"/>
      <c r="MDC110" s="17"/>
      <c r="MDD110" s="17"/>
      <c r="MDE110" s="17"/>
      <c r="MDF110" s="17"/>
      <c r="MDG110" s="17"/>
      <c r="MDH110" s="17"/>
      <c r="MDI110" s="17"/>
      <c r="MDJ110" s="17"/>
      <c r="MDK110" s="17"/>
      <c r="MDL110" s="17"/>
      <c r="MDM110" s="17"/>
      <c r="MDN110" s="17"/>
      <c r="MDO110" s="17"/>
      <c r="MDP110" s="17"/>
      <c r="MDQ110" s="17"/>
      <c r="MDR110" s="17"/>
      <c r="MDS110" s="17"/>
      <c r="MDT110" s="17"/>
      <c r="MDU110" s="17"/>
      <c r="MDV110" s="17"/>
      <c r="MDW110" s="17"/>
      <c r="MDX110" s="17"/>
      <c r="MDY110" s="17"/>
      <c r="MDZ110" s="17"/>
      <c r="MEA110" s="17"/>
      <c r="MEB110" s="17"/>
      <c r="MEC110" s="17"/>
      <c r="MED110" s="17"/>
      <c r="MEE110" s="17"/>
      <c r="MEF110" s="17"/>
      <c r="MEG110" s="17"/>
      <c r="MEH110" s="17"/>
      <c r="MEI110" s="17"/>
      <c r="MEJ110" s="17"/>
      <c r="MEK110" s="17"/>
      <c r="MEL110" s="17"/>
      <c r="MEM110" s="17"/>
      <c r="MEN110" s="17"/>
      <c r="MEO110" s="17"/>
      <c r="MEP110" s="17"/>
      <c r="MEQ110" s="17"/>
      <c r="MER110" s="17"/>
      <c r="MES110" s="17"/>
      <c r="MET110" s="17"/>
      <c r="MEU110" s="17"/>
      <c r="MEV110" s="17"/>
      <c r="MEW110" s="17"/>
      <c r="MEX110" s="17"/>
      <c r="MEY110" s="17"/>
      <c r="MEZ110" s="17"/>
      <c r="MFA110" s="17"/>
      <c r="MFB110" s="17"/>
      <c r="MFC110" s="17"/>
      <c r="MFD110" s="17"/>
      <c r="MFE110" s="17"/>
      <c r="MFF110" s="17"/>
      <c r="MFG110" s="17"/>
      <c r="MFH110" s="17"/>
      <c r="MFI110" s="17"/>
      <c r="MFJ110" s="17"/>
      <c r="MFK110" s="17"/>
      <c r="MFL110" s="17"/>
      <c r="MFM110" s="17"/>
      <c r="MFN110" s="17"/>
      <c r="MFO110" s="17"/>
      <c r="MFP110" s="17"/>
      <c r="MFQ110" s="17"/>
      <c r="MFR110" s="17"/>
      <c r="MFS110" s="17"/>
      <c r="MFT110" s="17"/>
      <c r="MFU110" s="17"/>
      <c r="MFV110" s="17"/>
      <c r="MFW110" s="17"/>
      <c r="MFX110" s="17"/>
      <c r="MFY110" s="17"/>
      <c r="MFZ110" s="17"/>
      <c r="MGA110" s="17"/>
      <c r="MGB110" s="17"/>
      <c r="MGC110" s="17"/>
      <c r="MGD110" s="17"/>
      <c r="MGE110" s="17"/>
      <c r="MGF110" s="17"/>
      <c r="MGG110" s="17"/>
      <c r="MGH110" s="17"/>
      <c r="MGI110" s="17"/>
      <c r="MGJ110" s="17"/>
      <c r="MGK110" s="17"/>
      <c r="MGL110" s="17"/>
      <c r="MGM110" s="17"/>
      <c r="MGN110" s="17"/>
      <c r="MGO110" s="17"/>
      <c r="MGP110" s="17"/>
      <c r="MGQ110" s="17"/>
      <c r="MGR110" s="17"/>
      <c r="MGS110" s="17"/>
      <c r="MGT110" s="17"/>
      <c r="MGU110" s="17"/>
      <c r="MGV110" s="17"/>
      <c r="MGW110" s="17"/>
      <c r="MGX110" s="17"/>
      <c r="MGY110" s="17"/>
      <c r="MGZ110" s="17"/>
      <c r="MHA110" s="17"/>
      <c r="MHB110" s="17"/>
      <c r="MHC110" s="17"/>
      <c r="MHD110" s="17"/>
      <c r="MHE110" s="17"/>
      <c r="MHF110" s="17"/>
      <c r="MHG110" s="17"/>
      <c r="MHH110" s="17"/>
      <c r="MHI110" s="17"/>
      <c r="MHJ110" s="17"/>
      <c r="MHK110" s="17"/>
      <c r="MHL110" s="17"/>
      <c r="MHM110" s="17"/>
      <c r="MHN110" s="17"/>
      <c r="MHO110" s="17"/>
      <c r="MHP110" s="17"/>
      <c r="MHQ110" s="17"/>
      <c r="MHR110" s="17"/>
      <c r="MHS110" s="17"/>
      <c r="MHT110" s="17"/>
      <c r="MHU110" s="17"/>
      <c r="MHV110" s="17"/>
      <c r="MHW110" s="17"/>
      <c r="MHX110" s="17"/>
      <c r="MHY110" s="17"/>
      <c r="MHZ110" s="17"/>
      <c r="MIA110" s="17"/>
      <c r="MIB110" s="17"/>
      <c r="MIC110" s="17"/>
      <c r="MID110" s="17"/>
      <c r="MIE110" s="17"/>
      <c r="MIF110" s="17"/>
      <c r="MIG110" s="17"/>
      <c r="MIH110" s="17"/>
      <c r="MII110" s="17"/>
      <c r="MIJ110" s="17"/>
      <c r="MIK110" s="17"/>
      <c r="MIL110" s="17"/>
      <c r="MIM110" s="17"/>
      <c r="MIN110" s="17"/>
      <c r="MIO110" s="17"/>
      <c r="MIP110" s="17"/>
      <c r="MIQ110" s="17"/>
      <c r="MIR110" s="17"/>
      <c r="MIS110" s="17"/>
      <c r="MIT110" s="17"/>
      <c r="MIU110" s="17"/>
      <c r="MIV110" s="17"/>
      <c r="MIW110" s="17"/>
      <c r="MIX110" s="17"/>
      <c r="MIY110" s="17"/>
      <c r="MIZ110" s="17"/>
      <c r="MJA110" s="17"/>
      <c r="MJB110" s="17"/>
      <c r="MJC110" s="17"/>
      <c r="MJD110" s="17"/>
      <c r="MJE110" s="17"/>
      <c r="MJF110" s="17"/>
      <c r="MJG110" s="17"/>
      <c r="MJH110" s="17"/>
      <c r="MJI110" s="17"/>
      <c r="MJJ110" s="17"/>
      <c r="MJK110" s="17"/>
      <c r="MJL110" s="17"/>
      <c r="MJM110" s="17"/>
      <c r="MJN110" s="17"/>
      <c r="MJO110" s="17"/>
      <c r="MJP110" s="17"/>
      <c r="MJQ110" s="17"/>
      <c r="MJR110" s="17"/>
      <c r="MJS110" s="17"/>
      <c r="MJT110" s="17"/>
      <c r="MJU110" s="17"/>
      <c r="MJV110" s="17"/>
      <c r="MJW110" s="17"/>
      <c r="MJX110" s="17"/>
      <c r="MJY110" s="17"/>
      <c r="MJZ110" s="17"/>
      <c r="MKA110" s="17"/>
      <c r="MKB110" s="17"/>
      <c r="MKC110" s="17"/>
      <c r="MKD110" s="17"/>
      <c r="MKE110" s="17"/>
      <c r="MKF110" s="17"/>
      <c r="MKG110" s="17"/>
      <c r="MKH110" s="17"/>
      <c r="MKI110" s="17"/>
      <c r="MKJ110" s="17"/>
      <c r="MKK110" s="17"/>
      <c r="MKL110" s="17"/>
      <c r="MKM110" s="17"/>
      <c r="MKN110" s="17"/>
      <c r="MKO110" s="17"/>
      <c r="MKP110" s="17"/>
      <c r="MKQ110" s="17"/>
      <c r="MKR110" s="17"/>
      <c r="MKS110" s="17"/>
      <c r="MKT110" s="17"/>
      <c r="MKU110" s="17"/>
      <c r="MKV110" s="17"/>
      <c r="MKW110" s="17"/>
      <c r="MKX110" s="17"/>
      <c r="MKY110" s="17"/>
      <c r="MKZ110" s="17"/>
      <c r="MLA110" s="17"/>
      <c r="MLB110" s="17"/>
      <c r="MLC110" s="17"/>
      <c r="MLD110" s="17"/>
      <c r="MLE110" s="17"/>
      <c r="MLF110" s="17"/>
      <c r="MLG110" s="17"/>
      <c r="MLH110" s="17"/>
      <c r="MLI110" s="17"/>
      <c r="MLJ110" s="17"/>
      <c r="MLK110" s="17"/>
      <c r="MLL110" s="17"/>
      <c r="MLM110" s="17"/>
      <c r="MLN110" s="17"/>
      <c r="MLO110" s="17"/>
      <c r="MLP110" s="17"/>
      <c r="MLQ110" s="17"/>
      <c r="MLR110" s="17"/>
      <c r="MLS110" s="17"/>
      <c r="MLT110" s="17"/>
      <c r="MLU110" s="17"/>
      <c r="MLV110" s="17"/>
      <c r="MLW110" s="17"/>
      <c r="MLX110" s="17"/>
      <c r="MLY110" s="17"/>
      <c r="MLZ110" s="17"/>
      <c r="MMA110" s="17"/>
      <c r="MMB110" s="17"/>
      <c r="MMC110" s="17"/>
      <c r="MMD110" s="17"/>
      <c r="MME110" s="17"/>
      <c r="MMF110" s="17"/>
      <c r="MMG110" s="17"/>
      <c r="MMH110" s="17"/>
      <c r="MMI110" s="17"/>
      <c r="MMJ110" s="17"/>
      <c r="MMK110" s="17"/>
      <c r="MML110" s="17"/>
      <c r="MMM110" s="17"/>
      <c r="MMN110" s="17"/>
      <c r="MMO110" s="17"/>
      <c r="MMP110" s="17"/>
      <c r="MMQ110" s="17"/>
      <c r="MMR110" s="17"/>
      <c r="MMS110" s="17"/>
      <c r="MMT110" s="17"/>
      <c r="MMU110" s="17"/>
      <c r="MMV110" s="17"/>
      <c r="MMW110" s="17"/>
      <c r="MMX110" s="17"/>
      <c r="MMY110" s="17"/>
      <c r="MMZ110" s="17"/>
      <c r="MNA110" s="17"/>
      <c r="MNB110" s="17"/>
      <c r="MNC110" s="17"/>
      <c r="MND110" s="17"/>
      <c r="MNE110" s="17"/>
      <c r="MNF110" s="17"/>
      <c r="MNG110" s="17"/>
      <c r="MNH110" s="17"/>
      <c r="MNI110" s="17"/>
      <c r="MNJ110" s="17"/>
      <c r="MNK110" s="17"/>
      <c r="MNL110" s="17"/>
      <c r="MNM110" s="17"/>
      <c r="MNN110" s="17"/>
      <c r="MNO110" s="17"/>
      <c r="MNP110" s="17"/>
      <c r="MNQ110" s="17"/>
      <c r="MNR110" s="17"/>
      <c r="MNS110" s="17"/>
      <c r="MNT110" s="17"/>
      <c r="MNU110" s="17"/>
      <c r="MNV110" s="17"/>
      <c r="MNW110" s="17"/>
      <c r="MNX110" s="17"/>
      <c r="MNY110" s="17"/>
      <c r="MNZ110" s="17"/>
      <c r="MOA110" s="17"/>
      <c r="MOB110" s="17"/>
      <c r="MOC110" s="17"/>
      <c r="MOD110" s="17"/>
      <c r="MOE110" s="17"/>
      <c r="MOF110" s="17"/>
      <c r="MOG110" s="17"/>
      <c r="MOH110" s="17"/>
      <c r="MOI110" s="17"/>
      <c r="MOJ110" s="17"/>
      <c r="MOK110" s="17"/>
      <c r="MOL110" s="17"/>
      <c r="MOM110" s="17"/>
      <c r="MON110" s="17"/>
      <c r="MOO110" s="17"/>
      <c r="MOP110" s="17"/>
      <c r="MOQ110" s="17"/>
      <c r="MOR110" s="17"/>
      <c r="MOS110" s="17"/>
      <c r="MOT110" s="17"/>
      <c r="MOU110" s="17"/>
      <c r="MOV110" s="17"/>
      <c r="MOW110" s="17"/>
      <c r="MOX110" s="17"/>
      <c r="MOY110" s="17"/>
      <c r="MOZ110" s="17"/>
      <c r="MPA110" s="17"/>
      <c r="MPB110" s="17"/>
      <c r="MPC110" s="17"/>
      <c r="MPD110" s="17"/>
      <c r="MPE110" s="17"/>
      <c r="MPF110" s="17"/>
      <c r="MPG110" s="17"/>
      <c r="MPH110" s="17"/>
      <c r="MPI110" s="17"/>
      <c r="MPJ110" s="17"/>
      <c r="MPK110" s="17"/>
      <c r="MPL110" s="17"/>
      <c r="MPM110" s="17"/>
      <c r="MPN110" s="17"/>
      <c r="MPO110" s="17"/>
      <c r="MPP110" s="17"/>
      <c r="MPQ110" s="17"/>
      <c r="MPR110" s="17"/>
      <c r="MPS110" s="17"/>
      <c r="MPT110" s="17"/>
      <c r="MPU110" s="17"/>
      <c r="MPV110" s="17"/>
      <c r="MPW110" s="17"/>
      <c r="MPX110" s="17"/>
      <c r="MPY110" s="17"/>
      <c r="MPZ110" s="17"/>
      <c r="MQA110" s="17"/>
      <c r="MQB110" s="17"/>
      <c r="MQC110" s="17"/>
      <c r="MQD110" s="17"/>
      <c r="MQE110" s="17"/>
      <c r="MQF110" s="17"/>
      <c r="MQG110" s="17"/>
      <c r="MQH110" s="17"/>
      <c r="MQI110" s="17"/>
      <c r="MQJ110" s="17"/>
      <c r="MQK110" s="17"/>
      <c r="MQL110" s="17"/>
      <c r="MQM110" s="17"/>
      <c r="MQN110" s="17"/>
      <c r="MQO110" s="17"/>
      <c r="MQP110" s="17"/>
      <c r="MQQ110" s="17"/>
      <c r="MQR110" s="17"/>
      <c r="MQS110" s="17"/>
      <c r="MQT110" s="17"/>
      <c r="MQU110" s="17"/>
      <c r="MQV110" s="17"/>
      <c r="MQW110" s="17"/>
      <c r="MQX110" s="17"/>
      <c r="MQY110" s="17"/>
      <c r="MQZ110" s="17"/>
      <c r="MRA110" s="17"/>
      <c r="MRB110" s="17"/>
      <c r="MRC110" s="17"/>
      <c r="MRD110" s="17"/>
      <c r="MRE110" s="17"/>
      <c r="MRF110" s="17"/>
      <c r="MRG110" s="17"/>
      <c r="MRH110" s="17"/>
      <c r="MRI110" s="17"/>
      <c r="MRJ110" s="17"/>
      <c r="MRK110" s="17"/>
      <c r="MRL110" s="17"/>
      <c r="MRM110" s="17"/>
      <c r="MRN110" s="17"/>
      <c r="MRO110" s="17"/>
      <c r="MRP110" s="17"/>
      <c r="MRQ110" s="17"/>
      <c r="MRR110" s="17"/>
      <c r="MRS110" s="17"/>
      <c r="MRT110" s="17"/>
      <c r="MRU110" s="17"/>
      <c r="MRV110" s="17"/>
      <c r="MRW110" s="17"/>
      <c r="MRX110" s="17"/>
      <c r="MRY110" s="17"/>
      <c r="MRZ110" s="17"/>
      <c r="MSA110" s="17"/>
      <c r="MSB110" s="17"/>
      <c r="MSC110" s="17"/>
      <c r="MSD110" s="17"/>
      <c r="MSE110" s="17"/>
      <c r="MSF110" s="17"/>
      <c r="MSG110" s="17"/>
      <c r="MSH110" s="17"/>
      <c r="MSI110" s="17"/>
      <c r="MSJ110" s="17"/>
      <c r="MSK110" s="17"/>
      <c r="MSL110" s="17"/>
      <c r="MSM110" s="17"/>
      <c r="MSN110" s="17"/>
      <c r="MSO110" s="17"/>
      <c r="MSP110" s="17"/>
      <c r="MSQ110" s="17"/>
      <c r="MSR110" s="17"/>
      <c r="MSS110" s="17"/>
      <c r="MST110" s="17"/>
      <c r="MSU110" s="17"/>
      <c r="MSV110" s="17"/>
      <c r="MSW110" s="17"/>
      <c r="MSX110" s="17"/>
      <c r="MSY110" s="17"/>
      <c r="MSZ110" s="17"/>
      <c r="MTA110" s="17"/>
      <c r="MTB110" s="17"/>
      <c r="MTC110" s="17"/>
      <c r="MTD110" s="17"/>
      <c r="MTE110" s="17"/>
      <c r="MTF110" s="17"/>
      <c r="MTG110" s="17"/>
      <c r="MTH110" s="17"/>
      <c r="MTI110" s="17"/>
      <c r="MTJ110" s="17"/>
      <c r="MTK110" s="17"/>
      <c r="MTL110" s="17"/>
      <c r="MTM110" s="17"/>
      <c r="MTN110" s="17"/>
      <c r="MTO110" s="17"/>
      <c r="MTP110" s="17"/>
      <c r="MTQ110" s="17"/>
      <c r="MTR110" s="17"/>
      <c r="MTS110" s="17"/>
      <c r="MTT110" s="17"/>
      <c r="MTU110" s="17"/>
      <c r="MTV110" s="17"/>
      <c r="MTW110" s="17"/>
      <c r="MTX110" s="17"/>
      <c r="MTY110" s="17"/>
      <c r="MTZ110" s="17"/>
      <c r="MUA110" s="17"/>
      <c r="MUB110" s="17"/>
      <c r="MUC110" s="17"/>
      <c r="MUD110" s="17"/>
      <c r="MUE110" s="17"/>
      <c r="MUF110" s="17"/>
      <c r="MUG110" s="17"/>
      <c r="MUH110" s="17"/>
      <c r="MUI110" s="17"/>
      <c r="MUJ110" s="17"/>
      <c r="MUK110" s="17"/>
      <c r="MUL110" s="17"/>
      <c r="MUM110" s="17"/>
      <c r="MUN110" s="17"/>
      <c r="MUO110" s="17"/>
      <c r="MUP110" s="17"/>
      <c r="MUQ110" s="17"/>
      <c r="MUR110" s="17"/>
      <c r="MUS110" s="17"/>
      <c r="MUT110" s="17"/>
      <c r="MUU110" s="17"/>
      <c r="MUV110" s="17"/>
      <c r="MUW110" s="17"/>
      <c r="MUX110" s="17"/>
      <c r="MUY110" s="17"/>
      <c r="MUZ110" s="17"/>
      <c r="MVA110" s="17"/>
      <c r="MVB110" s="17"/>
      <c r="MVC110" s="17"/>
      <c r="MVD110" s="17"/>
      <c r="MVE110" s="17"/>
      <c r="MVF110" s="17"/>
      <c r="MVG110" s="17"/>
      <c r="MVH110" s="17"/>
      <c r="MVI110" s="17"/>
      <c r="MVJ110" s="17"/>
      <c r="MVK110" s="17"/>
      <c r="MVL110" s="17"/>
      <c r="MVM110" s="17"/>
      <c r="MVN110" s="17"/>
      <c r="MVO110" s="17"/>
      <c r="MVP110" s="17"/>
      <c r="MVQ110" s="17"/>
      <c r="MVR110" s="17"/>
      <c r="MVS110" s="17"/>
      <c r="MVT110" s="17"/>
      <c r="MVU110" s="17"/>
      <c r="MVV110" s="17"/>
      <c r="MVW110" s="17"/>
      <c r="MVX110" s="17"/>
      <c r="MVY110" s="17"/>
      <c r="MVZ110" s="17"/>
      <c r="MWA110" s="17"/>
      <c r="MWB110" s="17"/>
      <c r="MWC110" s="17"/>
      <c r="MWD110" s="17"/>
      <c r="MWE110" s="17"/>
      <c r="MWF110" s="17"/>
      <c r="MWG110" s="17"/>
      <c r="MWH110" s="17"/>
      <c r="MWI110" s="17"/>
      <c r="MWJ110" s="17"/>
      <c r="MWK110" s="17"/>
      <c r="MWL110" s="17"/>
      <c r="MWM110" s="17"/>
      <c r="MWN110" s="17"/>
      <c r="MWO110" s="17"/>
      <c r="MWP110" s="17"/>
      <c r="MWQ110" s="17"/>
      <c r="MWR110" s="17"/>
      <c r="MWS110" s="17"/>
      <c r="MWT110" s="17"/>
      <c r="MWU110" s="17"/>
      <c r="MWV110" s="17"/>
      <c r="MWW110" s="17"/>
      <c r="MWX110" s="17"/>
      <c r="MWY110" s="17"/>
      <c r="MWZ110" s="17"/>
      <c r="MXA110" s="17"/>
      <c r="MXB110" s="17"/>
      <c r="MXC110" s="17"/>
      <c r="MXD110" s="17"/>
      <c r="MXE110" s="17"/>
      <c r="MXF110" s="17"/>
      <c r="MXG110" s="17"/>
      <c r="MXH110" s="17"/>
      <c r="MXI110" s="17"/>
      <c r="MXJ110" s="17"/>
      <c r="MXK110" s="17"/>
      <c r="MXL110" s="17"/>
      <c r="MXM110" s="17"/>
      <c r="MXN110" s="17"/>
      <c r="MXO110" s="17"/>
      <c r="MXP110" s="17"/>
      <c r="MXQ110" s="17"/>
      <c r="MXR110" s="17"/>
      <c r="MXS110" s="17"/>
      <c r="MXT110" s="17"/>
      <c r="MXU110" s="17"/>
      <c r="MXV110" s="17"/>
      <c r="MXW110" s="17"/>
      <c r="MXX110" s="17"/>
      <c r="MXY110" s="17"/>
      <c r="MXZ110" s="17"/>
      <c r="MYA110" s="17"/>
      <c r="MYB110" s="17"/>
      <c r="MYC110" s="17"/>
      <c r="MYD110" s="17"/>
      <c r="MYE110" s="17"/>
      <c r="MYF110" s="17"/>
      <c r="MYG110" s="17"/>
      <c r="MYH110" s="17"/>
      <c r="MYI110" s="17"/>
      <c r="MYJ110" s="17"/>
      <c r="MYK110" s="17"/>
      <c r="MYL110" s="17"/>
      <c r="MYM110" s="17"/>
      <c r="MYN110" s="17"/>
      <c r="MYO110" s="17"/>
      <c r="MYP110" s="17"/>
      <c r="MYQ110" s="17"/>
      <c r="MYR110" s="17"/>
      <c r="MYS110" s="17"/>
      <c r="MYT110" s="17"/>
      <c r="MYU110" s="17"/>
      <c r="MYV110" s="17"/>
      <c r="MYW110" s="17"/>
      <c r="MYX110" s="17"/>
      <c r="MYY110" s="17"/>
      <c r="MYZ110" s="17"/>
      <c r="MZA110" s="17"/>
      <c r="MZB110" s="17"/>
      <c r="MZC110" s="17"/>
      <c r="MZD110" s="17"/>
      <c r="MZE110" s="17"/>
      <c r="MZF110" s="17"/>
      <c r="MZG110" s="17"/>
      <c r="MZH110" s="17"/>
      <c r="MZI110" s="17"/>
      <c r="MZJ110" s="17"/>
      <c r="MZK110" s="17"/>
      <c r="MZL110" s="17"/>
      <c r="MZM110" s="17"/>
      <c r="MZN110" s="17"/>
      <c r="MZO110" s="17"/>
      <c r="MZP110" s="17"/>
      <c r="MZQ110" s="17"/>
      <c r="MZR110" s="17"/>
      <c r="MZS110" s="17"/>
      <c r="MZT110" s="17"/>
      <c r="MZU110" s="17"/>
      <c r="MZV110" s="17"/>
      <c r="MZW110" s="17"/>
      <c r="MZX110" s="17"/>
      <c r="MZY110" s="17"/>
      <c r="MZZ110" s="17"/>
      <c r="NAA110" s="17"/>
      <c r="NAB110" s="17"/>
      <c r="NAC110" s="17"/>
      <c r="NAD110" s="17"/>
      <c r="NAE110" s="17"/>
      <c r="NAF110" s="17"/>
      <c r="NAG110" s="17"/>
      <c r="NAH110" s="17"/>
      <c r="NAI110" s="17"/>
      <c r="NAJ110" s="17"/>
      <c r="NAK110" s="17"/>
      <c r="NAL110" s="17"/>
      <c r="NAM110" s="17"/>
      <c r="NAN110" s="17"/>
      <c r="NAO110" s="17"/>
      <c r="NAP110" s="17"/>
      <c r="NAQ110" s="17"/>
      <c r="NAR110" s="17"/>
      <c r="NAS110" s="17"/>
      <c r="NAT110" s="17"/>
      <c r="NAU110" s="17"/>
      <c r="NAV110" s="17"/>
      <c r="NAW110" s="17"/>
      <c r="NAX110" s="17"/>
      <c r="NAY110" s="17"/>
      <c r="NAZ110" s="17"/>
      <c r="NBA110" s="17"/>
      <c r="NBB110" s="17"/>
      <c r="NBC110" s="17"/>
      <c r="NBD110" s="17"/>
      <c r="NBE110" s="17"/>
      <c r="NBF110" s="17"/>
      <c r="NBG110" s="17"/>
      <c r="NBH110" s="17"/>
      <c r="NBI110" s="17"/>
      <c r="NBJ110" s="17"/>
      <c r="NBK110" s="17"/>
      <c r="NBL110" s="17"/>
      <c r="NBM110" s="17"/>
      <c r="NBN110" s="17"/>
      <c r="NBO110" s="17"/>
      <c r="NBP110" s="17"/>
      <c r="NBQ110" s="17"/>
      <c r="NBR110" s="17"/>
      <c r="NBS110" s="17"/>
      <c r="NBT110" s="17"/>
      <c r="NBU110" s="17"/>
      <c r="NBV110" s="17"/>
      <c r="NBW110" s="17"/>
      <c r="NBX110" s="17"/>
      <c r="NBY110" s="17"/>
      <c r="NBZ110" s="17"/>
      <c r="NCA110" s="17"/>
      <c r="NCB110" s="17"/>
      <c r="NCC110" s="17"/>
      <c r="NCD110" s="17"/>
      <c r="NCE110" s="17"/>
      <c r="NCF110" s="17"/>
      <c r="NCG110" s="17"/>
      <c r="NCH110" s="17"/>
      <c r="NCI110" s="17"/>
      <c r="NCJ110" s="17"/>
      <c r="NCK110" s="17"/>
      <c r="NCL110" s="17"/>
      <c r="NCM110" s="17"/>
      <c r="NCN110" s="17"/>
      <c r="NCO110" s="17"/>
      <c r="NCP110" s="17"/>
      <c r="NCQ110" s="17"/>
      <c r="NCR110" s="17"/>
      <c r="NCS110" s="17"/>
      <c r="NCT110" s="17"/>
      <c r="NCU110" s="17"/>
      <c r="NCV110" s="17"/>
      <c r="NCW110" s="17"/>
      <c r="NCX110" s="17"/>
      <c r="NCY110" s="17"/>
      <c r="NCZ110" s="17"/>
      <c r="NDA110" s="17"/>
      <c r="NDB110" s="17"/>
      <c r="NDC110" s="17"/>
      <c r="NDD110" s="17"/>
      <c r="NDE110" s="17"/>
      <c r="NDF110" s="17"/>
      <c r="NDG110" s="17"/>
      <c r="NDH110" s="17"/>
      <c r="NDI110" s="17"/>
      <c r="NDJ110" s="17"/>
      <c r="NDK110" s="17"/>
      <c r="NDL110" s="17"/>
      <c r="NDM110" s="17"/>
      <c r="NDN110" s="17"/>
      <c r="NDO110" s="17"/>
      <c r="NDP110" s="17"/>
      <c r="NDQ110" s="17"/>
      <c r="NDR110" s="17"/>
      <c r="NDS110" s="17"/>
      <c r="NDT110" s="17"/>
      <c r="NDU110" s="17"/>
      <c r="NDV110" s="17"/>
      <c r="NDW110" s="17"/>
      <c r="NDX110" s="17"/>
      <c r="NDY110" s="17"/>
      <c r="NDZ110" s="17"/>
      <c r="NEA110" s="17"/>
      <c r="NEB110" s="17"/>
      <c r="NEC110" s="17"/>
      <c r="NED110" s="17"/>
      <c r="NEE110" s="17"/>
      <c r="NEF110" s="17"/>
      <c r="NEG110" s="17"/>
      <c r="NEH110" s="17"/>
      <c r="NEI110" s="17"/>
      <c r="NEJ110" s="17"/>
      <c r="NEK110" s="17"/>
      <c r="NEL110" s="17"/>
      <c r="NEM110" s="17"/>
      <c r="NEN110" s="17"/>
      <c r="NEO110" s="17"/>
      <c r="NEP110" s="17"/>
      <c r="NEQ110" s="17"/>
      <c r="NER110" s="17"/>
      <c r="NES110" s="17"/>
      <c r="NET110" s="17"/>
      <c r="NEU110" s="17"/>
      <c r="NEV110" s="17"/>
      <c r="NEW110" s="17"/>
      <c r="NEX110" s="17"/>
      <c r="NEY110" s="17"/>
      <c r="NEZ110" s="17"/>
      <c r="NFA110" s="17"/>
      <c r="NFB110" s="17"/>
      <c r="NFC110" s="17"/>
      <c r="NFD110" s="17"/>
      <c r="NFE110" s="17"/>
      <c r="NFF110" s="17"/>
      <c r="NFG110" s="17"/>
      <c r="NFH110" s="17"/>
      <c r="NFI110" s="17"/>
      <c r="NFJ110" s="17"/>
      <c r="NFK110" s="17"/>
      <c r="NFL110" s="17"/>
      <c r="NFM110" s="17"/>
      <c r="NFN110" s="17"/>
      <c r="NFO110" s="17"/>
      <c r="NFP110" s="17"/>
      <c r="NFQ110" s="17"/>
      <c r="NFR110" s="17"/>
      <c r="NFS110" s="17"/>
      <c r="NFT110" s="17"/>
      <c r="NFU110" s="17"/>
      <c r="NFV110" s="17"/>
      <c r="NFW110" s="17"/>
      <c r="NFX110" s="17"/>
      <c r="NFY110" s="17"/>
      <c r="NFZ110" s="17"/>
      <c r="NGA110" s="17"/>
      <c r="NGB110" s="17"/>
      <c r="NGC110" s="17"/>
      <c r="NGD110" s="17"/>
      <c r="NGE110" s="17"/>
      <c r="NGF110" s="17"/>
      <c r="NGG110" s="17"/>
      <c r="NGH110" s="17"/>
      <c r="NGI110" s="17"/>
      <c r="NGJ110" s="17"/>
      <c r="NGK110" s="17"/>
      <c r="NGL110" s="17"/>
      <c r="NGM110" s="17"/>
      <c r="NGN110" s="17"/>
      <c r="NGO110" s="17"/>
      <c r="NGP110" s="17"/>
      <c r="NGQ110" s="17"/>
      <c r="NGR110" s="17"/>
      <c r="NGS110" s="17"/>
      <c r="NGT110" s="17"/>
      <c r="NGU110" s="17"/>
      <c r="NGV110" s="17"/>
      <c r="NGW110" s="17"/>
      <c r="NGX110" s="17"/>
      <c r="NGY110" s="17"/>
      <c r="NGZ110" s="17"/>
      <c r="NHA110" s="17"/>
      <c r="NHB110" s="17"/>
      <c r="NHC110" s="17"/>
      <c r="NHD110" s="17"/>
      <c r="NHE110" s="17"/>
      <c r="NHF110" s="17"/>
      <c r="NHG110" s="17"/>
      <c r="NHH110" s="17"/>
      <c r="NHI110" s="17"/>
      <c r="NHJ110" s="17"/>
      <c r="NHK110" s="17"/>
      <c r="NHL110" s="17"/>
      <c r="NHM110" s="17"/>
      <c r="NHN110" s="17"/>
      <c r="NHO110" s="17"/>
      <c r="NHP110" s="17"/>
      <c r="NHQ110" s="17"/>
      <c r="NHR110" s="17"/>
      <c r="NHS110" s="17"/>
      <c r="NHT110" s="17"/>
      <c r="NHU110" s="17"/>
      <c r="NHV110" s="17"/>
      <c r="NHW110" s="17"/>
      <c r="NHX110" s="17"/>
      <c r="NHY110" s="17"/>
      <c r="NHZ110" s="17"/>
      <c r="NIA110" s="17"/>
      <c r="NIB110" s="17"/>
      <c r="NIC110" s="17"/>
      <c r="NID110" s="17"/>
      <c r="NIE110" s="17"/>
      <c r="NIF110" s="17"/>
      <c r="NIG110" s="17"/>
      <c r="NIH110" s="17"/>
      <c r="NII110" s="17"/>
      <c r="NIJ110" s="17"/>
      <c r="NIK110" s="17"/>
      <c r="NIL110" s="17"/>
      <c r="NIM110" s="17"/>
      <c r="NIN110" s="17"/>
      <c r="NIO110" s="17"/>
      <c r="NIP110" s="17"/>
      <c r="NIQ110" s="17"/>
      <c r="NIR110" s="17"/>
      <c r="NIS110" s="17"/>
      <c r="NIT110" s="17"/>
      <c r="NIU110" s="17"/>
      <c r="NIV110" s="17"/>
      <c r="NIW110" s="17"/>
      <c r="NIX110" s="17"/>
      <c r="NIY110" s="17"/>
      <c r="NIZ110" s="17"/>
      <c r="NJA110" s="17"/>
      <c r="NJB110" s="17"/>
      <c r="NJC110" s="17"/>
      <c r="NJD110" s="17"/>
      <c r="NJE110" s="17"/>
      <c r="NJF110" s="17"/>
      <c r="NJG110" s="17"/>
      <c r="NJH110" s="17"/>
      <c r="NJI110" s="17"/>
      <c r="NJJ110" s="17"/>
      <c r="NJK110" s="17"/>
      <c r="NJL110" s="17"/>
      <c r="NJM110" s="17"/>
      <c r="NJN110" s="17"/>
      <c r="NJO110" s="17"/>
      <c r="NJP110" s="17"/>
      <c r="NJQ110" s="17"/>
      <c r="NJR110" s="17"/>
      <c r="NJS110" s="17"/>
      <c r="NJT110" s="17"/>
      <c r="NJU110" s="17"/>
      <c r="NJV110" s="17"/>
      <c r="NJW110" s="17"/>
      <c r="NJX110" s="17"/>
      <c r="NJY110" s="17"/>
      <c r="NJZ110" s="17"/>
      <c r="NKA110" s="17"/>
      <c r="NKB110" s="17"/>
      <c r="NKC110" s="17"/>
      <c r="NKD110" s="17"/>
      <c r="NKE110" s="17"/>
      <c r="NKF110" s="17"/>
      <c r="NKG110" s="17"/>
      <c r="NKH110" s="17"/>
      <c r="NKI110" s="17"/>
      <c r="NKJ110" s="17"/>
      <c r="NKK110" s="17"/>
      <c r="NKL110" s="17"/>
      <c r="NKM110" s="17"/>
      <c r="NKN110" s="17"/>
      <c r="NKO110" s="17"/>
      <c r="NKP110" s="17"/>
      <c r="NKQ110" s="17"/>
      <c r="NKR110" s="17"/>
      <c r="NKS110" s="17"/>
      <c r="NKT110" s="17"/>
      <c r="NKU110" s="17"/>
      <c r="NKV110" s="17"/>
      <c r="NKW110" s="17"/>
      <c r="NKX110" s="17"/>
      <c r="NKY110" s="17"/>
      <c r="NKZ110" s="17"/>
      <c r="NLA110" s="17"/>
      <c r="NLB110" s="17"/>
      <c r="NLC110" s="17"/>
      <c r="NLD110" s="17"/>
      <c r="NLE110" s="17"/>
      <c r="NLF110" s="17"/>
      <c r="NLG110" s="17"/>
      <c r="NLH110" s="17"/>
      <c r="NLI110" s="17"/>
      <c r="NLJ110" s="17"/>
      <c r="NLK110" s="17"/>
      <c r="NLL110" s="17"/>
      <c r="NLM110" s="17"/>
      <c r="NLN110" s="17"/>
      <c r="NLO110" s="17"/>
      <c r="NLP110" s="17"/>
      <c r="NLQ110" s="17"/>
      <c r="NLR110" s="17"/>
      <c r="NLS110" s="17"/>
      <c r="NLT110" s="17"/>
      <c r="NLU110" s="17"/>
      <c r="NLV110" s="17"/>
      <c r="NLW110" s="17"/>
      <c r="NLX110" s="17"/>
      <c r="NLY110" s="17"/>
      <c r="NLZ110" s="17"/>
      <c r="NMA110" s="17"/>
      <c r="NMB110" s="17"/>
      <c r="NMC110" s="17"/>
      <c r="NMD110" s="17"/>
      <c r="NME110" s="17"/>
      <c r="NMF110" s="17"/>
      <c r="NMG110" s="17"/>
      <c r="NMH110" s="17"/>
      <c r="NMI110" s="17"/>
      <c r="NMJ110" s="17"/>
      <c r="NMK110" s="17"/>
      <c r="NML110" s="17"/>
      <c r="NMM110" s="17"/>
      <c r="NMN110" s="17"/>
      <c r="NMO110" s="17"/>
      <c r="NMP110" s="17"/>
      <c r="NMQ110" s="17"/>
      <c r="NMR110" s="17"/>
      <c r="NMS110" s="17"/>
      <c r="NMT110" s="17"/>
      <c r="NMU110" s="17"/>
      <c r="NMV110" s="17"/>
      <c r="NMW110" s="17"/>
      <c r="NMX110" s="17"/>
      <c r="NMY110" s="17"/>
      <c r="NMZ110" s="17"/>
      <c r="NNA110" s="17"/>
      <c r="NNB110" s="17"/>
      <c r="NNC110" s="17"/>
      <c r="NND110" s="17"/>
      <c r="NNE110" s="17"/>
      <c r="NNF110" s="17"/>
      <c r="NNG110" s="17"/>
      <c r="NNH110" s="17"/>
      <c r="NNI110" s="17"/>
      <c r="NNJ110" s="17"/>
      <c r="NNK110" s="17"/>
      <c r="NNL110" s="17"/>
      <c r="NNM110" s="17"/>
      <c r="NNN110" s="17"/>
      <c r="NNO110" s="17"/>
      <c r="NNP110" s="17"/>
      <c r="NNQ110" s="17"/>
      <c r="NNR110" s="17"/>
      <c r="NNS110" s="17"/>
      <c r="NNT110" s="17"/>
      <c r="NNU110" s="17"/>
      <c r="NNV110" s="17"/>
      <c r="NNW110" s="17"/>
      <c r="NNX110" s="17"/>
      <c r="NNY110" s="17"/>
      <c r="NNZ110" s="17"/>
      <c r="NOA110" s="17"/>
      <c r="NOB110" s="17"/>
      <c r="NOC110" s="17"/>
      <c r="NOD110" s="17"/>
      <c r="NOE110" s="17"/>
      <c r="NOF110" s="17"/>
      <c r="NOG110" s="17"/>
      <c r="NOH110" s="17"/>
      <c r="NOI110" s="17"/>
      <c r="NOJ110" s="17"/>
      <c r="NOK110" s="17"/>
      <c r="NOL110" s="17"/>
      <c r="NOM110" s="17"/>
      <c r="NON110" s="17"/>
      <c r="NOO110" s="17"/>
      <c r="NOP110" s="17"/>
      <c r="NOQ110" s="17"/>
      <c r="NOR110" s="17"/>
      <c r="NOS110" s="17"/>
      <c r="NOT110" s="17"/>
      <c r="NOU110" s="17"/>
      <c r="NOV110" s="17"/>
      <c r="NOW110" s="17"/>
      <c r="NOX110" s="17"/>
      <c r="NOY110" s="17"/>
      <c r="NOZ110" s="17"/>
      <c r="NPA110" s="17"/>
      <c r="NPB110" s="17"/>
      <c r="NPC110" s="17"/>
      <c r="NPD110" s="17"/>
      <c r="NPE110" s="17"/>
      <c r="NPF110" s="17"/>
      <c r="NPG110" s="17"/>
      <c r="NPH110" s="17"/>
      <c r="NPI110" s="17"/>
      <c r="NPJ110" s="17"/>
      <c r="NPK110" s="17"/>
      <c r="NPL110" s="17"/>
      <c r="NPM110" s="17"/>
      <c r="NPN110" s="17"/>
      <c r="NPO110" s="17"/>
      <c r="NPP110" s="17"/>
      <c r="NPQ110" s="17"/>
      <c r="NPR110" s="17"/>
      <c r="NPS110" s="17"/>
      <c r="NPT110" s="17"/>
      <c r="NPU110" s="17"/>
      <c r="NPV110" s="17"/>
      <c r="NPW110" s="17"/>
      <c r="NPX110" s="17"/>
      <c r="NPY110" s="17"/>
      <c r="NPZ110" s="17"/>
      <c r="NQA110" s="17"/>
      <c r="NQB110" s="17"/>
      <c r="NQC110" s="17"/>
      <c r="NQD110" s="17"/>
      <c r="NQE110" s="17"/>
      <c r="NQF110" s="17"/>
      <c r="NQG110" s="17"/>
      <c r="NQH110" s="17"/>
      <c r="NQI110" s="17"/>
      <c r="NQJ110" s="17"/>
      <c r="NQK110" s="17"/>
      <c r="NQL110" s="17"/>
      <c r="NQM110" s="17"/>
      <c r="NQN110" s="17"/>
      <c r="NQO110" s="17"/>
      <c r="NQP110" s="17"/>
      <c r="NQQ110" s="17"/>
      <c r="NQR110" s="17"/>
      <c r="NQS110" s="17"/>
      <c r="NQT110" s="17"/>
      <c r="NQU110" s="17"/>
      <c r="NQV110" s="17"/>
      <c r="NQW110" s="17"/>
      <c r="NQX110" s="17"/>
      <c r="NQY110" s="17"/>
      <c r="NQZ110" s="17"/>
      <c r="NRA110" s="17"/>
      <c r="NRB110" s="17"/>
      <c r="NRC110" s="17"/>
      <c r="NRD110" s="17"/>
      <c r="NRE110" s="17"/>
      <c r="NRF110" s="17"/>
      <c r="NRG110" s="17"/>
      <c r="NRH110" s="17"/>
      <c r="NRI110" s="17"/>
      <c r="NRJ110" s="17"/>
      <c r="NRK110" s="17"/>
      <c r="NRL110" s="17"/>
      <c r="NRM110" s="17"/>
      <c r="NRN110" s="17"/>
      <c r="NRO110" s="17"/>
      <c r="NRP110" s="17"/>
      <c r="NRQ110" s="17"/>
      <c r="NRR110" s="17"/>
      <c r="NRS110" s="17"/>
      <c r="NRT110" s="17"/>
      <c r="NRU110" s="17"/>
      <c r="NRV110" s="17"/>
      <c r="NRW110" s="17"/>
      <c r="NRX110" s="17"/>
      <c r="NRY110" s="17"/>
      <c r="NRZ110" s="17"/>
      <c r="NSA110" s="17"/>
      <c r="NSB110" s="17"/>
      <c r="NSC110" s="17"/>
      <c r="NSD110" s="17"/>
      <c r="NSE110" s="17"/>
      <c r="NSF110" s="17"/>
      <c r="NSG110" s="17"/>
      <c r="NSH110" s="17"/>
      <c r="NSI110" s="17"/>
      <c r="NSJ110" s="17"/>
      <c r="NSK110" s="17"/>
      <c r="NSL110" s="17"/>
      <c r="NSM110" s="17"/>
      <c r="NSN110" s="17"/>
      <c r="NSO110" s="17"/>
      <c r="NSP110" s="17"/>
      <c r="NSQ110" s="17"/>
      <c r="NSR110" s="17"/>
      <c r="NSS110" s="17"/>
      <c r="NST110" s="17"/>
      <c r="NSU110" s="17"/>
      <c r="NSV110" s="17"/>
      <c r="NSW110" s="17"/>
      <c r="NSX110" s="17"/>
      <c r="NSY110" s="17"/>
      <c r="NSZ110" s="17"/>
      <c r="NTA110" s="17"/>
      <c r="NTB110" s="17"/>
      <c r="NTC110" s="17"/>
      <c r="NTD110" s="17"/>
      <c r="NTE110" s="17"/>
      <c r="NTF110" s="17"/>
      <c r="NTG110" s="17"/>
      <c r="NTH110" s="17"/>
      <c r="NTI110" s="17"/>
      <c r="NTJ110" s="17"/>
      <c r="NTK110" s="17"/>
      <c r="NTL110" s="17"/>
      <c r="NTM110" s="17"/>
      <c r="NTN110" s="17"/>
      <c r="NTO110" s="17"/>
      <c r="NTP110" s="17"/>
      <c r="NTQ110" s="17"/>
      <c r="NTR110" s="17"/>
      <c r="NTS110" s="17"/>
      <c r="NTT110" s="17"/>
      <c r="NTU110" s="17"/>
      <c r="NTV110" s="17"/>
      <c r="NTW110" s="17"/>
      <c r="NTX110" s="17"/>
      <c r="NTY110" s="17"/>
      <c r="NTZ110" s="17"/>
      <c r="NUA110" s="17"/>
      <c r="NUB110" s="17"/>
      <c r="NUC110" s="17"/>
      <c r="NUD110" s="17"/>
      <c r="NUE110" s="17"/>
      <c r="NUF110" s="17"/>
      <c r="NUG110" s="17"/>
      <c r="NUH110" s="17"/>
      <c r="NUI110" s="17"/>
      <c r="NUJ110" s="17"/>
      <c r="NUK110" s="17"/>
      <c r="NUL110" s="17"/>
      <c r="NUM110" s="17"/>
      <c r="NUN110" s="17"/>
      <c r="NUO110" s="17"/>
      <c r="NUP110" s="17"/>
      <c r="NUQ110" s="17"/>
      <c r="NUR110" s="17"/>
      <c r="NUS110" s="17"/>
      <c r="NUT110" s="17"/>
      <c r="NUU110" s="17"/>
      <c r="NUV110" s="17"/>
      <c r="NUW110" s="17"/>
      <c r="NUX110" s="17"/>
      <c r="NUY110" s="17"/>
      <c r="NUZ110" s="17"/>
      <c r="NVA110" s="17"/>
      <c r="NVB110" s="17"/>
      <c r="NVC110" s="17"/>
      <c r="NVD110" s="17"/>
      <c r="NVE110" s="17"/>
      <c r="NVF110" s="17"/>
      <c r="NVG110" s="17"/>
      <c r="NVH110" s="17"/>
      <c r="NVI110" s="17"/>
      <c r="NVJ110" s="17"/>
      <c r="NVK110" s="17"/>
      <c r="NVL110" s="17"/>
      <c r="NVM110" s="17"/>
      <c r="NVN110" s="17"/>
      <c r="NVO110" s="17"/>
      <c r="NVP110" s="17"/>
      <c r="NVQ110" s="17"/>
      <c r="NVR110" s="17"/>
      <c r="NVS110" s="17"/>
      <c r="NVT110" s="17"/>
      <c r="NVU110" s="17"/>
      <c r="NVV110" s="17"/>
      <c r="NVW110" s="17"/>
      <c r="NVX110" s="17"/>
      <c r="NVY110" s="17"/>
      <c r="NVZ110" s="17"/>
      <c r="NWA110" s="17"/>
      <c r="NWB110" s="17"/>
      <c r="NWC110" s="17"/>
      <c r="NWD110" s="17"/>
      <c r="NWE110" s="17"/>
      <c r="NWF110" s="17"/>
      <c r="NWG110" s="17"/>
      <c r="NWH110" s="17"/>
      <c r="NWI110" s="17"/>
      <c r="NWJ110" s="17"/>
      <c r="NWK110" s="17"/>
      <c r="NWL110" s="17"/>
      <c r="NWM110" s="17"/>
      <c r="NWN110" s="17"/>
      <c r="NWO110" s="17"/>
      <c r="NWP110" s="17"/>
      <c r="NWQ110" s="17"/>
      <c r="NWR110" s="17"/>
      <c r="NWS110" s="17"/>
      <c r="NWT110" s="17"/>
      <c r="NWU110" s="17"/>
      <c r="NWV110" s="17"/>
      <c r="NWW110" s="17"/>
      <c r="NWX110" s="17"/>
      <c r="NWY110" s="17"/>
      <c r="NWZ110" s="17"/>
      <c r="NXA110" s="17"/>
      <c r="NXB110" s="17"/>
      <c r="NXC110" s="17"/>
      <c r="NXD110" s="17"/>
      <c r="NXE110" s="17"/>
      <c r="NXF110" s="17"/>
      <c r="NXG110" s="17"/>
      <c r="NXH110" s="17"/>
      <c r="NXI110" s="17"/>
      <c r="NXJ110" s="17"/>
      <c r="NXK110" s="17"/>
      <c r="NXL110" s="17"/>
      <c r="NXM110" s="17"/>
      <c r="NXN110" s="17"/>
      <c r="NXO110" s="17"/>
      <c r="NXP110" s="17"/>
      <c r="NXQ110" s="17"/>
      <c r="NXR110" s="17"/>
      <c r="NXS110" s="17"/>
      <c r="NXT110" s="17"/>
      <c r="NXU110" s="17"/>
      <c r="NXV110" s="17"/>
      <c r="NXW110" s="17"/>
      <c r="NXX110" s="17"/>
      <c r="NXY110" s="17"/>
      <c r="NXZ110" s="17"/>
      <c r="NYA110" s="17"/>
      <c r="NYB110" s="17"/>
      <c r="NYC110" s="17"/>
      <c r="NYD110" s="17"/>
      <c r="NYE110" s="17"/>
      <c r="NYF110" s="17"/>
      <c r="NYG110" s="17"/>
      <c r="NYH110" s="17"/>
      <c r="NYI110" s="17"/>
      <c r="NYJ110" s="17"/>
      <c r="NYK110" s="17"/>
      <c r="NYL110" s="17"/>
      <c r="NYM110" s="17"/>
      <c r="NYN110" s="17"/>
      <c r="NYO110" s="17"/>
      <c r="NYP110" s="17"/>
      <c r="NYQ110" s="17"/>
      <c r="NYR110" s="17"/>
      <c r="NYS110" s="17"/>
      <c r="NYT110" s="17"/>
      <c r="NYU110" s="17"/>
      <c r="NYV110" s="17"/>
      <c r="NYW110" s="17"/>
      <c r="NYX110" s="17"/>
      <c r="NYY110" s="17"/>
      <c r="NYZ110" s="17"/>
      <c r="NZA110" s="17"/>
      <c r="NZB110" s="17"/>
      <c r="NZC110" s="17"/>
      <c r="NZD110" s="17"/>
      <c r="NZE110" s="17"/>
      <c r="NZF110" s="17"/>
      <c r="NZG110" s="17"/>
      <c r="NZH110" s="17"/>
      <c r="NZI110" s="17"/>
      <c r="NZJ110" s="17"/>
      <c r="NZK110" s="17"/>
      <c r="NZL110" s="17"/>
      <c r="NZM110" s="17"/>
      <c r="NZN110" s="17"/>
      <c r="NZO110" s="17"/>
      <c r="NZP110" s="17"/>
      <c r="NZQ110" s="17"/>
      <c r="NZR110" s="17"/>
      <c r="NZS110" s="17"/>
      <c r="NZT110" s="17"/>
      <c r="NZU110" s="17"/>
      <c r="NZV110" s="17"/>
      <c r="NZW110" s="17"/>
      <c r="NZX110" s="17"/>
      <c r="NZY110" s="17"/>
      <c r="NZZ110" s="17"/>
      <c r="OAA110" s="17"/>
      <c r="OAB110" s="17"/>
      <c r="OAC110" s="17"/>
      <c r="OAD110" s="17"/>
      <c r="OAE110" s="17"/>
      <c r="OAF110" s="17"/>
      <c r="OAG110" s="17"/>
      <c r="OAH110" s="17"/>
      <c r="OAI110" s="17"/>
      <c r="OAJ110" s="17"/>
      <c r="OAK110" s="17"/>
      <c r="OAL110" s="17"/>
      <c r="OAM110" s="17"/>
      <c r="OAN110" s="17"/>
      <c r="OAO110" s="17"/>
      <c r="OAP110" s="17"/>
      <c r="OAQ110" s="17"/>
      <c r="OAR110" s="17"/>
      <c r="OAS110" s="17"/>
      <c r="OAT110" s="17"/>
      <c r="OAU110" s="17"/>
      <c r="OAV110" s="17"/>
      <c r="OAW110" s="17"/>
      <c r="OAX110" s="17"/>
      <c r="OAY110" s="17"/>
      <c r="OAZ110" s="17"/>
      <c r="OBA110" s="17"/>
      <c r="OBB110" s="17"/>
      <c r="OBC110" s="17"/>
      <c r="OBD110" s="17"/>
      <c r="OBE110" s="17"/>
      <c r="OBF110" s="17"/>
      <c r="OBG110" s="17"/>
      <c r="OBH110" s="17"/>
      <c r="OBI110" s="17"/>
      <c r="OBJ110" s="17"/>
      <c r="OBK110" s="17"/>
      <c r="OBL110" s="17"/>
      <c r="OBM110" s="17"/>
      <c r="OBN110" s="17"/>
      <c r="OBO110" s="17"/>
      <c r="OBP110" s="17"/>
      <c r="OBQ110" s="17"/>
      <c r="OBR110" s="17"/>
      <c r="OBS110" s="17"/>
      <c r="OBT110" s="17"/>
      <c r="OBU110" s="17"/>
      <c r="OBV110" s="17"/>
      <c r="OBW110" s="17"/>
      <c r="OBX110" s="17"/>
      <c r="OBY110" s="17"/>
      <c r="OBZ110" s="17"/>
      <c r="OCA110" s="17"/>
      <c r="OCB110" s="17"/>
      <c r="OCC110" s="17"/>
      <c r="OCD110" s="17"/>
      <c r="OCE110" s="17"/>
      <c r="OCF110" s="17"/>
      <c r="OCG110" s="17"/>
      <c r="OCH110" s="17"/>
      <c r="OCI110" s="17"/>
      <c r="OCJ110" s="17"/>
      <c r="OCK110" s="17"/>
      <c r="OCL110" s="17"/>
      <c r="OCM110" s="17"/>
      <c r="OCN110" s="17"/>
      <c r="OCO110" s="17"/>
      <c r="OCP110" s="17"/>
      <c r="OCQ110" s="17"/>
      <c r="OCR110" s="17"/>
      <c r="OCS110" s="17"/>
      <c r="OCT110" s="17"/>
      <c r="OCU110" s="17"/>
      <c r="OCV110" s="17"/>
      <c r="OCW110" s="17"/>
      <c r="OCX110" s="17"/>
      <c r="OCY110" s="17"/>
      <c r="OCZ110" s="17"/>
      <c r="ODA110" s="17"/>
      <c r="ODB110" s="17"/>
      <c r="ODC110" s="17"/>
      <c r="ODD110" s="17"/>
      <c r="ODE110" s="17"/>
      <c r="ODF110" s="17"/>
      <c r="ODG110" s="17"/>
      <c r="ODH110" s="17"/>
      <c r="ODI110" s="17"/>
      <c r="ODJ110" s="17"/>
      <c r="ODK110" s="17"/>
      <c r="ODL110" s="17"/>
      <c r="ODM110" s="17"/>
      <c r="ODN110" s="17"/>
      <c r="ODO110" s="17"/>
      <c r="ODP110" s="17"/>
      <c r="ODQ110" s="17"/>
      <c r="ODR110" s="17"/>
      <c r="ODS110" s="17"/>
      <c r="ODT110" s="17"/>
      <c r="ODU110" s="17"/>
      <c r="ODV110" s="17"/>
      <c r="ODW110" s="17"/>
      <c r="ODX110" s="17"/>
      <c r="ODY110" s="17"/>
      <c r="ODZ110" s="17"/>
      <c r="OEA110" s="17"/>
      <c r="OEB110" s="17"/>
      <c r="OEC110" s="17"/>
      <c r="OED110" s="17"/>
      <c r="OEE110" s="17"/>
      <c r="OEF110" s="17"/>
      <c r="OEG110" s="17"/>
      <c r="OEH110" s="17"/>
      <c r="OEI110" s="17"/>
      <c r="OEJ110" s="17"/>
      <c r="OEK110" s="17"/>
      <c r="OEL110" s="17"/>
      <c r="OEM110" s="17"/>
      <c r="OEN110" s="17"/>
      <c r="OEO110" s="17"/>
      <c r="OEP110" s="17"/>
      <c r="OEQ110" s="17"/>
      <c r="OER110" s="17"/>
      <c r="OES110" s="17"/>
      <c r="OET110" s="17"/>
      <c r="OEU110" s="17"/>
      <c r="OEV110" s="17"/>
      <c r="OEW110" s="17"/>
      <c r="OEX110" s="17"/>
      <c r="OEY110" s="17"/>
      <c r="OEZ110" s="17"/>
      <c r="OFA110" s="17"/>
      <c r="OFB110" s="17"/>
      <c r="OFC110" s="17"/>
      <c r="OFD110" s="17"/>
      <c r="OFE110" s="17"/>
      <c r="OFF110" s="17"/>
      <c r="OFG110" s="17"/>
      <c r="OFH110" s="17"/>
      <c r="OFI110" s="17"/>
      <c r="OFJ110" s="17"/>
      <c r="OFK110" s="17"/>
      <c r="OFL110" s="17"/>
      <c r="OFM110" s="17"/>
      <c r="OFN110" s="17"/>
      <c r="OFO110" s="17"/>
      <c r="OFP110" s="17"/>
      <c r="OFQ110" s="17"/>
      <c r="OFR110" s="17"/>
      <c r="OFS110" s="17"/>
      <c r="OFT110" s="17"/>
      <c r="OFU110" s="17"/>
      <c r="OFV110" s="17"/>
      <c r="OFW110" s="17"/>
      <c r="OFX110" s="17"/>
      <c r="OFY110" s="17"/>
      <c r="OFZ110" s="17"/>
      <c r="OGA110" s="17"/>
      <c r="OGB110" s="17"/>
      <c r="OGC110" s="17"/>
      <c r="OGD110" s="17"/>
      <c r="OGE110" s="17"/>
      <c r="OGF110" s="17"/>
      <c r="OGG110" s="17"/>
      <c r="OGH110" s="17"/>
      <c r="OGI110" s="17"/>
      <c r="OGJ110" s="17"/>
      <c r="OGK110" s="17"/>
      <c r="OGL110" s="17"/>
      <c r="OGM110" s="17"/>
      <c r="OGN110" s="17"/>
      <c r="OGO110" s="17"/>
      <c r="OGP110" s="17"/>
      <c r="OGQ110" s="17"/>
      <c r="OGR110" s="17"/>
      <c r="OGS110" s="17"/>
      <c r="OGT110" s="17"/>
      <c r="OGU110" s="17"/>
      <c r="OGV110" s="17"/>
      <c r="OGW110" s="17"/>
      <c r="OGX110" s="17"/>
      <c r="OGY110" s="17"/>
      <c r="OGZ110" s="17"/>
      <c r="OHA110" s="17"/>
      <c r="OHB110" s="17"/>
      <c r="OHC110" s="17"/>
      <c r="OHD110" s="17"/>
      <c r="OHE110" s="17"/>
      <c r="OHF110" s="17"/>
      <c r="OHG110" s="17"/>
      <c r="OHH110" s="17"/>
      <c r="OHI110" s="17"/>
      <c r="OHJ110" s="17"/>
      <c r="OHK110" s="17"/>
      <c r="OHL110" s="17"/>
      <c r="OHM110" s="17"/>
      <c r="OHN110" s="17"/>
      <c r="OHO110" s="17"/>
      <c r="OHP110" s="17"/>
      <c r="OHQ110" s="17"/>
      <c r="OHR110" s="17"/>
      <c r="OHS110" s="17"/>
      <c r="OHT110" s="17"/>
      <c r="OHU110" s="17"/>
      <c r="OHV110" s="17"/>
      <c r="OHW110" s="17"/>
      <c r="OHX110" s="17"/>
      <c r="OHY110" s="17"/>
      <c r="OHZ110" s="17"/>
      <c r="OIA110" s="17"/>
      <c r="OIB110" s="17"/>
      <c r="OIC110" s="17"/>
      <c r="OID110" s="17"/>
      <c r="OIE110" s="17"/>
      <c r="OIF110" s="17"/>
      <c r="OIG110" s="17"/>
      <c r="OIH110" s="17"/>
      <c r="OII110" s="17"/>
      <c r="OIJ110" s="17"/>
      <c r="OIK110" s="17"/>
      <c r="OIL110" s="17"/>
      <c r="OIM110" s="17"/>
      <c r="OIN110" s="17"/>
      <c r="OIO110" s="17"/>
      <c r="OIP110" s="17"/>
      <c r="OIQ110" s="17"/>
      <c r="OIR110" s="17"/>
      <c r="OIS110" s="17"/>
      <c r="OIT110" s="17"/>
      <c r="OIU110" s="17"/>
      <c r="OIV110" s="17"/>
      <c r="OIW110" s="17"/>
      <c r="OIX110" s="17"/>
      <c r="OIY110" s="17"/>
      <c r="OIZ110" s="17"/>
      <c r="OJA110" s="17"/>
      <c r="OJB110" s="17"/>
      <c r="OJC110" s="17"/>
      <c r="OJD110" s="17"/>
      <c r="OJE110" s="17"/>
      <c r="OJF110" s="17"/>
      <c r="OJG110" s="17"/>
      <c r="OJH110" s="17"/>
      <c r="OJI110" s="17"/>
      <c r="OJJ110" s="17"/>
      <c r="OJK110" s="17"/>
      <c r="OJL110" s="17"/>
      <c r="OJM110" s="17"/>
      <c r="OJN110" s="17"/>
      <c r="OJO110" s="17"/>
      <c r="OJP110" s="17"/>
      <c r="OJQ110" s="17"/>
      <c r="OJR110" s="17"/>
      <c r="OJS110" s="17"/>
      <c r="OJT110" s="17"/>
      <c r="OJU110" s="17"/>
      <c r="OJV110" s="17"/>
      <c r="OJW110" s="17"/>
      <c r="OJX110" s="17"/>
      <c r="OJY110" s="17"/>
      <c r="OJZ110" s="17"/>
      <c r="OKA110" s="17"/>
      <c r="OKB110" s="17"/>
      <c r="OKC110" s="17"/>
      <c r="OKD110" s="17"/>
      <c r="OKE110" s="17"/>
      <c r="OKF110" s="17"/>
      <c r="OKG110" s="17"/>
      <c r="OKH110" s="17"/>
      <c r="OKI110" s="17"/>
      <c r="OKJ110" s="17"/>
      <c r="OKK110" s="17"/>
      <c r="OKL110" s="17"/>
      <c r="OKM110" s="17"/>
      <c r="OKN110" s="17"/>
      <c r="OKO110" s="17"/>
      <c r="OKP110" s="17"/>
      <c r="OKQ110" s="17"/>
      <c r="OKR110" s="17"/>
      <c r="OKS110" s="17"/>
      <c r="OKT110" s="17"/>
      <c r="OKU110" s="17"/>
      <c r="OKV110" s="17"/>
      <c r="OKW110" s="17"/>
      <c r="OKX110" s="17"/>
      <c r="OKY110" s="17"/>
      <c r="OKZ110" s="17"/>
      <c r="OLA110" s="17"/>
      <c r="OLB110" s="17"/>
      <c r="OLC110" s="17"/>
      <c r="OLD110" s="17"/>
      <c r="OLE110" s="17"/>
      <c r="OLF110" s="17"/>
      <c r="OLG110" s="17"/>
      <c r="OLH110" s="17"/>
      <c r="OLI110" s="17"/>
      <c r="OLJ110" s="17"/>
      <c r="OLK110" s="17"/>
      <c r="OLL110" s="17"/>
      <c r="OLM110" s="17"/>
      <c r="OLN110" s="17"/>
      <c r="OLO110" s="17"/>
      <c r="OLP110" s="17"/>
      <c r="OLQ110" s="17"/>
      <c r="OLR110" s="17"/>
      <c r="OLS110" s="17"/>
      <c r="OLT110" s="17"/>
      <c r="OLU110" s="17"/>
      <c r="OLV110" s="17"/>
      <c r="OLW110" s="17"/>
      <c r="OLX110" s="17"/>
      <c r="OLY110" s="17"/>
      <c r="OLZ110" s="17"/>
      <c r="OMA110" s="17"/>
      <c r="OMB110" s="17"/>
      <c r="OMC110" s="17"/>
      <c r="OMD110" s="17"/>
      <c r="OME110" s="17"/>
      <c r="OMF110" s="17"/>
      <c r="OMG110" s="17"/>
      <c r="OMH110" s="17"/>
      <c r="OMI110" s="17"/>
      <c r="OMJ110" s="17"/>
      <c r="OMK110" s="17"/>
      <c r="OML110" s="17"/>
      <c r="OMM110" s="17"/>
      <c r="OMN110" s="17"/>
      <c r="OMO110" s="17"/>
      <c r="OMP110" s="17"/>
      <c r="OMQ110" s="17"/>
      <c r="OMR110" s="17"/>
      <c r="OMS110" s="17"/>
      <c r="OMT110" s="17"/>
      <c r="OMU110" s="17"/>
      <c r="OMV110" s="17"/>
      <c r="OMW110" s="17"/>
      <c r="OMX110" s="17"/>
      <c r="OMY110" s="17"/>
      <c r="OMZ110" s="17"/>
      <c r="ONA110" s="17"/>
      <c r="ONB110" s="17"/>
      <c r="ONC110" s="17"/>
      <c r="OND110" s="17"/>
      <c r="ONE110" s="17"/>
      <c r="ONF110" s="17"/>
      <c r="ONG110" s="17"/>
      <c r="ONH110" s="17"/>
      <c r="ONI110" s="17"/>
      <c r="ONJ110" s="17"/>
      <c r="ONK110" s="17"/>
      <c r="ONL110" s="17"/>
      <c r="ONM110" s="17"/>
      <c r="ONN110" s="17"/>
      <c r="ONO110" s="17"/>
      <c r="ONP110" s="17"/>
      <c r="ONQ110" s="17"/>
      <c r="ONR110" s="17"/>
      <c r="ONS110" s="17"/>
      <c r="ONT110" s="17"/>
      <c r="ONU110" s="17"/>
      <c r="ONV110" s="17"/>
      <c r="ONW110" s="17"/>
      <c r="ONX110" s="17"/>
      <c r="ONY110" s="17"/>
      <c r="ONZ110" s="17"/>
      <c r="OOA110" s="17"/>
      <c r="OOB110" s="17"/>
      <c r="OOC110" s="17"/>
      <c r="OOD110" s="17"/>
      <c r="OOE110" s="17"/>
      <c r="OOF110" s="17"/>
      <c r="OOG110" s="17"/>
      <c r="OOH110" s="17"/>
      <c r="OOI110" s="17"/>
      <c r="OOJ110" s="17"/>
      <c r="OOK110" s="17"/>
      <c r="OOL110" s="17"/>
      <c r="OOM110" s="17"/>
      <c r="OON110" s="17"/>
      <c r="OOO110" s="17"/>
      <c r="OOP110" s="17"/>
      <c r="OOQ110" s="17"/>
      <c r="OOR110" s="17"/>
      <c r="OOS110" s="17"/>
      <c r="OOT110" s="17"/>
      <c r="OOU110" s="17"/>
      <c r="OOV110" s="17"/>
      <c r="OOW110" s="17"/>
      <c r="OOX110" s="17"/>
      <c r="OOY110" s="17"/>
      <c r="OOZ110" s="17"/>
      <c r="OPA110" s="17"/>
      <c r="OPB110" s="17"/>
      <c r="OPC110" s="17"/>
      <c r="OPD110" s="17"/>
      <c r="OPE110" s="17"/>
      <c r="OPF110" s="17"/>
      <c r="OPG110" s="17"/>
      <c r="OPH110" s="17"/>
      <c r="OPI110" s="17"/>
      <c r="OPJ110" s="17"/>
      <c r="OPK110" s="17"/>
      <c r="OPL110" s="17"/>
      <c r="OPM110" s="17"/>
      <c r="OPN110" s="17"/>
      <c r="OPO110" s="17"/>
      <c r="OPP110" s="17"/>
      <c r="OPQ110" s="17"/>
      <c r="OPR110" s="17"/>
      <c r="OPS110" s="17"/>
      <c r="OPT110" s="17"/>
      <c r="OPU110" s="17"/>
      <c r="OPV110" s="17"/>
      <c r="OPW110" s="17"/>
      <c r="OPX110" s="17"/>
      <c r="OPY110" s="17"/>
      <c r="OPZ110" s="17"/>
      <c r="OQA110" s="17"/>
      <c r="OQB110" s="17"/>
      <c r="OQC110" s="17"/>
      <c r="OQD110" s="17"/>
      <c r="OQE110" s="17"/>
      <c r="OQF110" s="17"/>
      <c r="OQG110" s="17"/>
      <c r="OQH110" s="17"/>
      <c r="OQI110" s="17"/>
      <c r="OQJ110" s="17"/>
      <c r="OQK110" s="17"/>
      <c r="OQL110" s="17"/>
      <c r="OQM110" s="17"/>
      <c r="OQN110" s="17"/>
      <c r="OQO110" s="17"/>
      <c r="OQP110" s="17"/>
      <c r="OQQ110" s="17"/>
      <c r="OQR110" s="17"/>
      <c r="OQS110" s="17"/>
      <c r="OQT110" s="17"/>
      <c r="OQU110" s="17"/>
      <c r="OQV110" s="17"/>
      <c r="OQW110" s="17"/>
      <c r="OQX110" s="17"/>
      <c r="OQY110" s="17"/>
      <c r="OQZ110" s="17"/>
      <c r="ORA110" s="17"/>
      <c r="ORB110" s="17"/>
      <c r="ORC110" s="17"/>
      <c r="ORD110" s="17"/>
      <c r="ORE110" s="17"/>
      <c r="ORF110" s="17"/>
      <c r="ORG110" s="17"/>
      <c r="ORH110" s="17"/>
      <c r="ORI110" s="17"/>
      <c r="ORJ110" s="17"/>
      <c r="ORK110" s="17"/>
      <c r="ORL110" s="17"/>
      <c r="ORM110" s="17"/>
      <c r="ORN110" s="17"/>
      <c r="ORO110" s="17"/>
      <c r="ORP110" s="17"/>
      <c r="ORQ110" s="17"/>
      <c r="ORR110" s="17"/>
      <c r="ORS110" s="17"/>
      <c r="ORT110" s="17"/>
      <c r="ORU110" s="17"/>
      <c r="ORV110" s="17"/>
      <c r="ORW110" s="17"/>
      <c r="ORX110" s="17"/>
      <c r="ORY110" s="17"/>
      <c r="ORZ110" s="17"/>
      <c r="OSA110" s="17"/>
      <c r="OSB110" s="17"/>
      <c r="OSC110" s="17"/>
      <c r="OSD110" s="17"/>
      <c r="OSE110" s="17"/>
      <c r="OSF110" s="17"/>
      <c r="OSG110" s="17"/>
      <c r="OSH110" s="17"/>
      <c r="OSI110" s="17"/>
      <c r="OSJ110" s="17"/>
      <c r="OSK110" s="17"/>
      <c r="OSL110" s="17"/>
      <c r="OSM110" s="17"/>
      <c r="OSN110" s="17"/>
      <c r="OSO110" s="17"/>
      <c r="OSP110" s="17"/>
      <c r="OSQ110" s="17"/>
      <c r="OSR110" s="17"/>
      <c r="OSS110" s="17"/>
      <c r="OST110" s="17"/>
      <c r="OSU110" s="17"/>
      <c r="OSV110" s="17"/>
      <c r="OSW110" s="17"/>
      <c r="OSX110" s="17"/>
      <c r="OSY110" s="17"/>
      <c r="OSZ110" s="17"/>
      <c r="OTA110" s="17"/>
      <c r="OTB110" s="17"/>
      <c r="OTC110" s="17"/>
      <c r="OTD110" s="17"/>
      <c r="OTE110" s="17"/>
      <c r="OTF110" s="17"/>
      <c r="OTG110" s="17"/>
      <c r="OTH110" s="17"/>
      <c r="OTI110" s="17"/>
      <c r="OTJ110" s="17"/>
      <c r="OTK110" s="17"/>
      <c r="OTL110" s="17"/>
      <c r="OTM110" s="17"/>
      <c r="OTN110" s="17"/>
      <c r="OTO110" s="17"/>
      <c r="OTP110" s="17"/>
      <c r="OTQ110" s="17"/>
      <c r="OTR110" s="17"/>
      <c r="OTS110" s="17"/>
      <c r="OTT110" s="17"/>
      <c r="OTU110" s="17"/>
      <c r="OTV110" s="17"/>
      <c r="OTW110" s="17"/>
      <c r="OTX110" s="17"/>
      <c r="OTY110" s="17"/>
      <c r="OTZ110" s="17"/>
      <c r="OUA110" s="17"/>
      <c r="OUB110" s="17"/>
      <c r="OUC110" s="17"/>
      <c r="OUD110" s="17"/>
      <c r="OUE110" s="17"/>
      <c r="OUF110" s="17"/>
      <c r="OUG110" s="17"/>
      <c r="OUH110" s="17"/>
      <c r="OUI110" s="17"/>
      <c r="OUJ110" s="17"/>
      <c r="OUK110" s="17"/>
      <c r="OUL110" s="17"/>
      <c r="OUM110" s="17"/>
      <c r="OUN110" s="17"/>
      <c r="OUO110" s="17"/>
      <c r="OUP110" s="17"/>
      <c r="OUQ110" s="17"/>
      <c r="OUR110" s="17"/>
      <c r="OUS110" s="17"/>
      <c r="OUT110" s="17"/>
      <c r="OUU110" s="17"/>
      <c r="OUV110" s="17"/>
      <c r="OUW110" s="17"/>
      <c r="OUX110" s="17"/>
      <c r="OUY110" s="17"/>
      <c r="OUZ110" s="17"/>
      <c r="OVA110" s="17"/>
      <c r="OVB110" s="17"/>
      <c r="OVC110" s="17"/>
      <c r="OVD110" s="17"/>
      <c r="OVE110" s="17"/>
      <c r="OVF110" s="17"/>
      <c r="OVG110" s="17"/>
      <c r="OVH110" s="17"/>
      <c r="OVI110" s="17"/>
      <c r="OVJ110" s="17"/>
      <c r="OVK110" s="17"/>
      <c r="OVL110" s="17"/>
      <c r="OVM110" s="17"/>
      <c r="OVN110" s="17"/>
      <c r="OVO110" s="17"/>
      <c r="OVP110" s="17"/>
      <c r="OVQ110" s="17"/>
      <c r="OVR110" s="17"/>
      <c r="OVS110" s="17"/>
      <c r="OVT110" s="17"/>
      <c r="OVU110" s="17"/>
      <c r="OVV110" s="17"/>
      <c r="OVW110" s="17"/>
      <c r="OVX110" s="17"/>
      <c r="OVY110" s="17"/>
      <c r="OVZ110" s="17"/>
      <c r="OWA110" s="17"/>
      <c r="OWB110" s="17"/>
      <c r="OWC110" s="17"/>
      <c r="OWD110" s="17"/>
      <c r="OWE110" s="17"/>
      <c r="OWF110" s="17"/>
      <c r="OWG110" s="17"/>
      <c r="OWH110" s="17"/>
      <c r="OWI110" s="17"/>
      <c r="OWJ110" s="17"/>
      <c r="OWK110" s="17"/>
      <c r="OWL110" s="17"/>
      <c r="OWM110" s="17"/>
      <c r="OWN110" s="17"/>
      <c r="OWO110" s="17"/>
      <c r="OWP110" s="17"/>
      <c r="OWQ110" s="17"/>
      <c r="OWR110" s="17"/>
      <c r="OWS110" s="17"/>
      <c r="OWT110" s="17"/>
      <c r="OWU110" s="17"/>
      <c r="OWV110" s="17"/>
      <c r="OWW110" s="17"/>
      <c r="OWX110" s="17"/>
      <c r="OWY110" s="17"/>
      <c r="OWZ110" s="17"/>
      <c r="OXA110" s="17"/>
      <c r="OXB110" s="17"/>
      <c r="OXC110" s="17"/>
      <c r="OXD110" s="17"/>
      <c r="OXE110" s="17"/>
      <c r="OXF110" s="17"/>
      <c r="OXG110" s="17"/>
      <c r="OXH110" s="17"/>
      <c r="OXI110" s="17"/>
      <c r="OXJ110" s="17"/>
      <c r="OXK110" s="17"/>
      <c r="OXL110" s="17"/>
      <c r="OXM110" s="17"/>
      <c r="OXN110" s="17"/>
      <c r="OXO110" s="17"/>
      <c r="OXP110" s="17"/>
      <c r="OXQ110" s="17"/>
      <c r="OXR110" s="17"/>
      <c r="OXS110" s="17"/>
      <c r="OXT110" s="17"/>
      <c r="OXU110" s="17"/>
      <c r="OXV110" s="17"/>
      <c r="OXW110" s="17"/>
      <c r="OXX110" s="17"/>
      <c r="OXY110" s="17"/>
      <c r="OXZ110" s="17"/>
      <c r="OYA110" s="17"/>
      <c r="OYB110" s="17"/>
      <c r="OYC110" s="17"/>
      <c r="OYD110" s="17"/>
      <c r="OYE110" s="17"/>
      <c r="OYF110" s="17"/>
      <c r="OYG110" s="17"/>
      <c r="OYH110" s="17"/>
      <c r="OYI110" s="17"/>
      <c r="OYJ110" s="17"/>
      <c r="OYK110" s="17"/>
      <c r="OYL110" s="17"/>
      <c r="OYM110" s="17"/>
      <c r="OYN110" s="17"/>
      <c r="OYO110" s="17"/>
      <c r="OYP110" s="17"/>
      <c r="OYQ110" s="17"/>
      <c r="OYR110" s="17"/>
      <c r="OYS110" s="17"/>
      <c r="OYT110" s="17"/>
      <c r="OYU110" s="17"/>
      <c r="OYV110" s="17"/>
      <c r="OYW110" s="17"/>
      <c r="OYX110" s="17"/>
      <c r="OYY110" s="17"/>
      <c r="OYZ110" s="17"/>
      <c r="OZA110" s="17"/>
      <c r="OZB110" s="17"/>
      <c r="OZC110" s="17"/>
      <c r="OZD110" s="17"/>
      <c r="OZE110" s="17"/>
      <c r="OZF110" s="17"/>
      <c r="OZG110" s="17"/>
      <c r="OZH110" s="17"/>
      <c r="OZI110" s="17"/>
      <c r="OZJ110" s="17"/>
      <c r="OZK110" s="17"/>
      <c r="OZL110" s="17"/>
      <c r="OZM110" s="17"/>
      <c r="OZN110" s="17"/>
      <c r="OZO110" s="17"/>
      <c r="OZP110" s="17"/>
      <c r="OZQ110" s="17"/>
      <c r="OZR110" s="17"/>
      <c r="OZS110" s="17"/>
      <c r="OZT110" s="17"/>
      <c r="OZU110" s="17"/>
      <c r="OZV110" s="17"/>
      <c r="OZW110" s="17"/>
      <c r="OZX110" s="17"/>
      <c r="OZY110" s="17"/>
      <c r="OZZ110" s="17"/>
      <c r="PAA110" s="17"/>
      <c r="PAB110" s="17"/>
      <c r="PAC110" s="17"/>
      <c r="PAD110" s="17"/>
      <c r="PAE110" s="17"/>
      <c r="PAF110" s="17"/>
      <c r="PAG110" s="17"/>
      <c r="PAH110" s="17"/>
      <c r="PAI110" s="17"/>
      <c r="PAJ110" s="17"/>
      <c r="PAK110" s="17"/>
      <c r="PAL110" s="17"/>
      <c r="PAM110" s="17"/>
      <c r="PAN110" s="17"/>
      <c r="PAO110" s="17"/>
      <c r="PAP110" s="17"/>
      <c r="PAQ110" s="17"/>
      <c r="PAR110" s="17"/>
      <c r="PAS110" s="17"/>
      <c r="PAT110" s="17"/>
      <c r="PAU110" s="17"/>
      <c r="PAV110" s="17"/>
      <c r="PAW110" s="17"/>
      <c r="PAX110" s="17"/>
      <c r="PAY110" s="17"/>
      <c r="PAZ110" s="17"/>
      <c r="PBA110" s="17"/>
      <c r="PBB110" s="17"/>
      <c r="PBC110" s="17"/>
      <c r="PBD110" s="17"/>
      <c r="PBE110" s="17"/>
      <c r="PBF110" s="17"/>
      <c r="PBG110" s="17"/>
      <c r="PBH110" s="17"/>
      <c r="PBI110" s="17"/>
      <c r="PBJ110" s="17"/>
      <c r="PBK110" s="17"/>
      <c r="PBL110" s="17"/>
      <c r="PBM110" s="17"/>
      <c r="PBN110" s="17"/>
      <c r="PBO110" s="17"/>
      <c r="PBP110" s="17"/>
      <c r="PBQ110" s="17"/>
      <c r="PBR110" s="17"/>
      <c r="PBS110" s="17"/>
      <c r="PBT110" s="17"/>
      <c r="PBU110" s="17"/>
      <c r="PBV110" s="17"/>
      <c r="PBW110" s="17"/>
      <c r="PBX110" s="17"/>
      <c r="PBY110" s="17"/>
      <c r="PBZ110" s="17"/>
      <c r="PCA110" s="17"/>
      <c r="PCB110" s="17"/>
      <c r="PCC110" s="17"/>
      <c r="PCD110" s="17"/>
      <c r="PCE110" s="17"/>
      <c r="PCF110" s="17"/>
      <c r="PCG110" s="17"/>
      <c r="PCH110" s="17"/>
      <c r="PCI110" s="17"/>
      <c r="PCJ110" s="17"/>
      <c r="PCK110" s="17"/>
      <c r="PCL110" s="17"/>
      <c r="PCM110" s="17"/>
      <c r="PCN110" s="17"/>
      <c r="PCO110" s="17"/>
      <c r="PCP110" s="17"/>
      <c r="PCQ110" s="17"/>
      <c r="PCR110" s="17"/>
      <c r="PCS110" s="17"/>
      <c r="PCT110" s="17"/>
      <c r="PCU110" s="17"/>
      <c r="PCV110" s="17"/>
      <c r="PCW110" s="17"/>
      <c r="PCX110" s="17"/>
      <c r="PCY110" s="17"/>
      <c r="PCZ110" s="17"/>
      <c r="PDA110" s="17"/>
      <c r="PDB110" s="17"/>
      <c r="PDC110" s="17"/>
      <c r="PDD110" s="17"/>
      <c r="PDE110" s="17"/>
      <c r="PDF110" s="17"/>
      <c r="PDG110" s="17"/>
      <c r="PDH110" s="17"/>
      <c r="PDI110" s="17"/>
      <c r="PDJ110" s="17"/>
      <c r="PDK110" s="17"/>
      <c r="PDL110" s="17"/>
      <c r="PDM110" s="17"/>
      <c r="PDN110" s="17"/>
      <c r="PDO110" s="17"/>
      <c r="PDP110" s="17"/>
      <c r="PDQ110" s="17"/>
      <c r="PDR110" s="17"/>
      <c r="PDS110" s="17"/>
      <c r="PDT110" s="17"/>
      <c r="PDU110" s="17"/>
      <c r="PDV110" s="17"/>
      <c r="PDW110" s="17"/>
      <c r="PDX110" s="17"/>
      <c r="PDY110" s="17"/>
      <c r="PDZ110" s="17"/>
      <c r="PEA110" s="17"/>
      <c r="PEB110" s="17"/>
      <c r="PEC110" s="17"/>
      <c r="PED110" s="17"/>
      <c r="PEE110" s="17"/>
      <c r="PEF110" s="17"/>
      <c r="PEG110" s="17"/>
      <c r="PEH110" s="17"/>
      <c r="PEI110" s="17"/>
      <c r="PEJ110" s="17"/>
      <c r="PEK110" s="17"/>
      <c r="PEL110" s="17"/>
      <c r="PEM110" s="17"/>
      <c r="PEN110" s="17"/>
      <c r="PEO110" s="17"/>
      <c r="PEP110" s="17"/>
      <c r="PEQ110" s="17"/>
      <c r="PER110" s="17"/>
      <c r="PES110" s="17"/>
      <c r="PET110" s="17"/>
      <c r="PEU110" s="17"/>
      <c r="PEV110" s="17"/>
      <c r="PEW110" s="17"/>
      <c r="PEX110" s="17"/>
      <c r="PEY110" s="17"/>
      <c r="PEZ110" s="17"/>
      <c r="PFA110" s="17"/>
      <c r="PFB110" s="17"/>
      <c r="PFC110" s="17"/>
      <c r="PFD110" s="17"/>
      <c r="PFE110" s="17"/>
      <c r="PFF110" s="17"/>
      <c r="PFG110" s="17"/>
      <c r="PFH110" s="17"/>
      <c r="PFI110" s="17"/>
      <c r="PFJ110" s="17"/>
      <c r="PFK110" s="17"/>
      <c r="PFL110" s="17"/>
      <c r="PFM110" s="17"/>
      <c r="PFN110" s="17"/>
      <c r="PFO110" s="17"/>
      <c r="PFP110" s="17"/>
      <c r="PFQ110" s="17"/>
      <c r="PFR110" s="17"/>
      <c r="PFS110" s="17"/>
      <c r="PFT110" s="17"/>
      <c r="PFU110" s="17"/>
      <c r="PFV110" s="17"/>
      <c r="PFW110" s="17"/>
      <c r="PFX110" s="17"/>
      <c r="PFY110" s="17"/>
      <c r="PFZ110" s="17"/>
      <c r="PGA110" s="17"/>
      <c r="PGB110" s="17"/>
      <c r="PGC110" s="17"/>
      <c r="PGD110" s="17"/>
      <c r="PGE110" s="17"/>
      <c r="PGF110" s="17"/>
      <c r="PGG110" s="17"/>
      <c r="PGH110" s="17"/>
      <c r="PGI110" s="17"/>
      <c r="PGJ110" s="17"/>
      <c r="PGK110" s="17"/>
      <c r="PGL110" s="17"/>
      <c r="PGM110" s="17"/>
      <c r="PGN110" s="17"/>
      <c r="PGO110" s="17"/>
      <c r="PGP110" s="17"/>
      <c r="PGQ110" s="17"/>
      <c r="PGR110" s="17"/>
      <c r="PGS110" s="17"/>
      <c r="PGT110" s="17"/>
      <c r="PGU110" s="17"/>
      <c r="PGV110" s="17"/>
      <c r="PGW110" s="17"/>
      <c r="PGX110" s="17"/>
      <c r="PGY110" s="17"/>
      <c r="PGZ110" s="17"/>
      <c r="PHA110" s="17"/>
      <c r="PHB110" s="17"/>
      <c r="PHC110" s="17"/>
      <c r="PHD110" s="17"/>
      <c r="PHE110" s="17"/>
      <c r="PHF110" s="17"/>
      <c r="PHG110" s="17"/>
      <c r="PHH110" s="17"/>
      <c r="PHI110" s="17"/>
      <c r="PHJ110" s="17"/>
      <c r="PHK110" s="17"/>
      <c r="PHL110" s="17"/>
      <c r="PHM110" s="17"/>
      <c r="PHN110" s="17"/>
      <c r="PHO110" s="17"/>
      <c r="PHP110" s="17"/>
      <c r="PHQ110" s="17"/>
      <c r="PHR110" s="17"/>
      <c r="PHS110" s="17"/>
      <c r="PHT110" s="17"/>
      <c r="PHU110" s="17"/>
      <c r="PHV110" s="17"/>
      <c r="PHW110" s="17"/>
      <c r="PHX110" s="17"/>
      <c r="PHY110" s="17"/>
      <c r="PHZ110" s="17"/>
      <c r="PIA110" s="17"/>
      <c r="PIB110" s="17"/>
      <c r="PIC110" s="17"/>
      <c r="PID110" s="17"/>
      <c r="PIE110" s="17"/>
      <c r="PIF110" s="17"/>
      <c r="PIG110" s="17"/>
      <c r="PIH110" s="17"/>
      <c r="PII110" s="17"/>
      <c r="PIJ110" s="17"/>
      <c r="PIK110" s="17"/>
      <c r="PIL110" s="17"/>
      <c r="PIM110" s="17"/>
      <c r="PIN110" s="17"/>
      <c r="PIO110" s="17"/>
      <c r="PIP110" s="17"/>
      <c r="PIQ110" s="17"/>
      <c r="PIR110" s="17"/>
      <c r="PIS110" s="17"/>
      <c r="PIT110" s="17"/>
      <c r="PIU110" s="17"/>
      <c r="PIV110" s="17"/>
      <c r="PIW110" s="17"/>
      <c r="PIX110" s="17"/>
      <c r="PIY110" s="17"/>
      <c r="PIZ110" s="17"/>
      <c r="PJA110" s="17"/>
      <c r="PJB110" s="17"/>
      <c r="PJC110" s="17"/>
      <c r="PJD110" s="17"/>
      <c r="PJE110" s="17"/>
      <c r="PJF110" s="17"/>
      <c r="PJG110" s="17"/>
      <c r="PJH110" s="17"/>
      <c r="PJI110" s="17"/>
      <c r="PJJ110" s="17"/>
      <c r="PJK110" s="17"/>
      <c r="PJL110" s="17"/>
      <c r="PJM110" s="17"/>
      <c r="PJN110" s="17"/>
      <c r="PJO110" s="17"/>
      <c r="PJP110" s="17"/>
      <c r="PJQ110" s="17"/>
      <c r="PJR110" s="17"/>
      <c r="PJS110" s="17"/>
      <c r="PJT110" s="17"/>
      <c r="PJU110" s="17"/>
      <c r="PJV110" s="17"/>
      <c r="PJW110" s="17"/>
      <c r="PJX110" s="17"/>
      <c r="PJY110" s="17"/>
      <c r="PJZ110" s="17"/>
      <c r="PKA110" s="17"/>
      <c r="PKB110" s="17"/>
      <c r="PKC110" s="17"/>
      <c r="PKD110" s="17"/>
      <c r="PKE110" s="17"/>
      <c r="PKF110" s="17"/>
      <c r="PKG110" s="17"/>
      <c r="PKH110" s="17"/>
      <c r="PKI110" s="17"/>
      <c r="PKJ110" s="17"/>
      <c r="PKK110" s="17"/>
      <c r="PKL110" s="17"/>
      <c r="PKM110" s="17"/>
      <c r="PKN110" s="17"/>
      <c r="PKO110" s="17"/>
      <c r="PKP110" s="17"/>
      <c r="PKQ110" s="17"/>
      <c r="PKR110" s="17"/>
      <c r="PKS110" s="17"/>
      <c r="PKT110" s="17"/>
      <c r="PKU110" s="17"/>
      <c r="PKV110" s="17"/>
      <c r="PKW110" s="17"/>
      <c r="PKX110" s="17"/>
      <c r="PKY110" s="17"/>
      <c r="PKZ110" s="17"/>
      <c r="PLA110" s="17"/>
      <c r="PLB110" s="17"/>
      <c r="PLC110" s="17"/>
      <c r="PLD110" s="17"/>
      <c r="PLE110" s="17"/>
      <c r="PLF110" s="17"/>
      <c r="PLG110" s="17"/>
      <c r="PLH110" s="17"/>
      <c r="PLI110" s="17"/>
      <c r="PLJ110" s="17"/>
      <c r="PLK110" s="17"/>
      <c r="PLL110" s="17"/>
      <c r="PLM110" s="17"/>
      <c r="PLN110" s="17"/>
      <c r="PLO110" s="17"/>
      <c r="PLP110" s="17"/>
      <c r="PLQ110" s="17"/>
      <c r="PLR110" s="17"/>
      <c r="PLS110" s="17"/>
      <c r="PLT110" s="17"/>
      <c r="PLU110" s="17"/>
      <c r="PLV110" s="17"/>
      <c r="PLW110" s="17"/>
      <c r="PLX110" s="17"/>
      <c r="PLY110" s="17"/>
      <c r="PLZ110" s="17"/>
      <c r="PMA110" s="17"/>
      <c r="PMB110" s="17"/>
      <c r="PMC110" s="17"/>
      <c r="PMD110" s="17"/>
      <c r="PME110" s="17"/>
      <c r="PMF110" s="17"/>
      <c r="PMG110" s="17"/>
      <c r="PMH110" s="17"/>
      <c r="PMI110" s="17"/>
      <c r="PMJ110" s="17"/>
      <c r="PMK110" s="17"/>
      <c r="PML110" s="17"/>
      <c r="PMM110" s="17"/>
      <c r="PMN110" s="17"/>
      <c r="PMO110" s="17"/>
      <c r="PMP110" s="17"/>
      <c r="PMQ110" s="17"/>
      <c r="PMR110" s="17"/>
      <c r="PMS110" s="17"/>
      <c r="PMT110" s="17"/>
      <c r="PMU110" s="17"/>
      <c r="PMV110" s="17"/>
      <c r="PMW110" s="17"/>
      <c r="PMX110" s="17"/>
      <c r="PMY110" s="17"/>
      <c r="PMZ110" s="17"/>
      <c r="PNA110" s="17"/>
      <c r="PNB110" s="17"/>
      <c r="PNC110" s="17"/>
      <c r="PND110" s="17"/>
      <c r="PNE110" s="17"/>
      <c r="PNF110" s="17"/>
      <c r="PNG110" s="17"/>
      <c r="PNH110" s="17"/>
      <c r="PNI110" s="17"/>
      <c r="PNJ110" s="17"/>
      <c r="PNK110" s="17"/>
      <c r="PNL110" s="17"/>
      <c r="PNM110" s="17"/>
      <c r="PNN110" s="17"/>
      <c r="PNO110" s="17"/>
      <c r="PNP110" s="17"/>
      <c r="PNQ110" s="17"/>
      <c r="PNR110" s="17"/>
      <c r="PNS110" s="17"/>
      <c r="PNT110" s="17"/>
      <c r="PNU110" s="17"/>
      <c r="PNV110" s="17"/>
      <c r="PNW110" s="17"/>
      <c r="PNX110" s="17"/>
      <c r="PNY110" s="17"/>
      <c r="PNZ110" s="17"/>
      <c r="POA110" s="17"/>
      <c r="POB110" s="17"/>
      <c r="POC110" s="17"/>
      <c r="POD110" s="17"/>
      <c r="POE110" s="17"/>
      <c r="POF110" s="17"/>
      <c r="POG110" s="17"/>
      <c r="POH110" s="17"/>
      <c r="POI110" s="17"/>
      <c r="POJ110" s="17"/>
      <c r="POK110" s="17"/>
      <c r="POL110" s="17"/>
      <c r="POM110" s="17"/>
      <c r="PON110" s="17"/>
      <c r="POO110" s="17"/>
      <c r="POP110" s="17"/>
      <c r="POQ110" s="17"/>
      <c r="POR110" s="17"/>
      <c r="POS110" s="17"/>
      <c r="POT110" s="17"/>
      <c r="POU110" s="17"/>
      <c r="POV110" s="17"/>
      <c r="POW110" s="17"/>
      <c r="POX110" s="17"/>
      <c r="POY110" s="17"/>
      <c r="POZ110" s="17"/>
      <c r="PPA110" s="17"/>
      <c r="PPB110" s="17"/>
      <c r="PPC110" s="17"/>
      <c r="PPD110" s="17"/>
      <c r="PPE110" s="17"/>
      <c r="PPF110" s="17"/>
      <c r="PPG110" s="17"/>
      <c r="PPH110" s="17"/>
      <c r="PPI110" s="17"/>
      <c r="PPJ110" s="17"/>
      <c r="PPK110" s="17"/>
      <c r="PPL110" s="17"/>
      <c r="PPM110" s="17"/>
      <c r="PPN110" s="17"/>
      <c r="PPO110" s="17"/>
      <c r="PPP110" s="17"/>
      <c r="PPQ110" s="17"/>
      <c r="PPR110" s="17"/>
      <c r="PPS110" s="17"/>
      <c r="PPT110" s="17"/>
      <c r="PPU110" s="17"/>
      <c r="PPV110" s="17"/>
      <c r="PPW110" s="17"/>
      <c r="PPX110" s="17"/>
      <c r="PPY110" s="17"/>
      <c r="PPZ110" s="17"/>
      <c r="PQA110" s="17"/>
      <c r="PQB110" s="17"/>
      <c r="PQC110" s="17"/>
      <c r="PQD110" s="17"/>
      <c r="PQE110" s="17"/>
      <c r="PQF110" s="17"/>
      <c r="PQG110" s="17"/>
      <c r="PQH110" s="17"/>
      <c r="PQI110" s="17"/>
      <c r="PQJ110" s="17"/>
      <c r="PQK110" s="17"/>
      <c r="PQL110" s="17"/>
      <c r="PQM110" s="17"/>
      <c r="PQN110" s="17"/>
      <c r="PQO110" s="17"/>
      <c r="PQP110" s="17"/>
      <c r="PQQ110" s="17"/>
      <c r="PQR110" s="17"/>
      <c r="PQS110" s="17"/>
      <c r="PQT110" s="17"/>
      <c r="PQU110" s="17"/>
      <c r="PQV110" s="17"/>
      <c r="PQW110" s="17"/>
      <c r="PQX110" s="17"/>
      <c r="PQY110" s="17"/>
      <c r="PQZ110" s="17"/>
      <c r="PRA110" s="17"/>
      <c r="PRB110" s="17"/>
      <c r="PRC110" s="17"/>
      <c r="PRD110" s="17"/>
      <c r="PRE110" s="17"/>
      <c r="PRF110" s="17"/>
      <c r="PRG110" s="17"/>
      <c r="PRH110" s="17"/>
      <c r="PRI110" s="17"/>
      <c r="PRJ110" s="17"/>
      <c r="PRK110" s="17"/>
      <c r="PRL110" s="17"/>
      <c r="PRM110" s="17"/>
      <c r="PRN110" s="17"/>
      <c r="PRO110" s="17"/>
      <c r="PRP110" s="17"/>
      <c r="PRQ110" s="17"/>
      <c r="PRR110" s="17"/>
      <c r="PRS110" s="17"/>
      <c r="PRT110" s="17"/>
      <c r="PRU110" s="17"/>
      <c r="PRV110" s="17"/>
      <c r="PRW110" s="17"/>
      <c r="PRX110" s="17"/>
      <c r="PRY110" s="17"/>
      <c r="PRZ110" s="17"/>
      <c r="PSA110" s="17"/>
      <c r="PSB110" s="17"/>
      <c r="PSC110" s="17"/>
      <c r="PSD110" s="17"/>
      <c r="PSE110" s="17"/>
      <c r="PSF110" s="17"/>
      <c r="PSG110" s="17"/>
      <c r="PSH110" s="17"/>
      <c r="PSI110" s="17"/>
      <c r="PSJ110" s="17"/>
      <c r="PSK110" s="17"/>
      <c r="PSL110" s="17"/>
      <c r="PSM110" s="17"/>
      <c r="PSN110" s="17"/>
      <c r="PSO110" s="17"/>
      <c r="PSP110" s="17"/>
      <c r="PSQ110" s="17"/>
      <c r="PSR110" s="17"/>
      <c r="PSS110" s="17"/>
      <c r="PST110" s="17"/>
      <c r="PSU110" s="17"/>
      <c r="PSV110" s="17"/>
      <c r="PSW110" s="17"/>
      <c r="PSX110" s="17"/>
      <c r="PSY110" s="17"/>
      <c r="PSZ110" s="17"/>
      <c r="PTA110" s="17"/>
      <c r="PTB110" s="17"/>
      <c r="PTC110" s="17"/>
      <c r="PTD110" s="17"/>
      <c r="PTE110" s="17"/>
      <c r="PTF110" s="17"/>
      <c r="PTG110" s="17"/>
      <c r="PTH110" s="17"/>
      <c r="PTI110" s="17"/>
      <c r="PTJ110" s="17"/>
      <c r="PTK110" s="17"/>
      <c r="PTL110" s="17"/>
      <c r="PTM110" s="17"/>
      <c r="PTN110" s="17"/>
      <c r="PTO110" s="17"/>
      <c r="PTP110" s="17"/>
      <c r="PTQ110" s="17"/>
      <c r="PTR110" s="17"/>
      <c r="PTS110" s="17"/>
      <c r="PTT110" s="17"/>
      <c r="PTU110" s="17"/>
      <c r="PTV110" s="17"/>
      <c r="PTW110" s="17"/>
      <c r="PTX110" s="17"/>
      <c r="PTY110" s="17"/>
      <c r="PTZ110" s="17"/>
      <c r="PUA110" s="17"/>
      <c r="PUB110" s="17"/>
      <c r="PUC110" s="17"/>
      <c r="PUD110" s="17"/>
      <c r="PUE110" s="17"/>
      <c r="PUF110" s="17"/>
      <c r="PUG110" s="17"/>
      <c r="PUH110" s="17"/>
      <c r="PUI110" s="17"/>
      <c r="PUJ110" s="17"/>
      <c r="PUK110" s="17"/>
      <c r="PUL110" s="17"/>
      <c r="PUM110" s="17"/>
      <c r="PUN110" s="17"/>
      <c r="PUO110" s="17"/>
      <c r="PUP110" s="17"/>
      <c r="PUQ110" s="17"/>
      <c r="PUR110" s="17"/>
      <c r="PUS110" s="17"/>
      <c r="PUT110" s="17"/>
      <c r="PUU110" s="17"/>
      <c r="PUV110" s="17"/>
      <c r="PUW110" s="17"/>
      <c r="PUX110" s="17"/>
      <c r="PUY110" s="17"/>
      <c r="PUZ110" s="17"/>
      <c r="PVA110" s="17"/>
      <c r="PVB110" s="17"/>
      <c r="PVC110" s="17"/>
      <c r="PVD110" s="17"/>
      <c r="PVE110" s="17"/>
      <c r="PVF110" s="17"/>
      <c r="PVG110" s="17"/>
      <c r="PVH110" s="17"/>
      <c r="PVI110" s="17"/>
      <c r="PVJ110" s="17"/>
      <c r="PVK110" s="17"/>
      <c r="PVL110" s="17"/>
      <c r="PVM110" s="17"/>
      <c r="PVN110" s="17"/>
      <c r="PVO110" s="17"/>
      <c r="PVP110" s="17"/>
      <c r="PVQ110" s="17"/>
      <c r="PVR110" s="17"/>
      <c r="PVS110" s="17"/>
      <c r="PVT110" s="17"/>
      <c r="PVU110" s="17"/>
      <c r="PVV110" s="17"/>
      <c r="PVW110" s="17"/>
      <c r="PVX110" s="17"/>
      <c r="PVY110" s="17"/>
      <c r="PVZ110" s="17"/>
      <c r="PWA110" s="17"/>
      <c r="PWB110" s="17"/>
      <c r="PWC110" s="17"/>
      <c r="PWD110" s="17"/>
      <c r="PWE110" s="17"/>
      <c r="PWF110" s="17"/>
      <c r="PWG110" s="17"/>
      <c r="PWH110" s="17"/>
      <c r="PWI110" s="17"/>
      <c r="PWJ110" s="17"/>
      <c r="PWK110" s="17"/>
      <c r="PWL110" s="17"/>
      <c r="PWM110" s="17"/>
      <c r="PWN110" s="17"/>
      <c r="PWO110" s="17"/>
      <c r="PWP110" s="17"/>
      <c r="PWQ110" s="17"/>
      <c r="PWR110" s="17"/>
      <c r="PWS110" s="17"/>
      <c r="PWT110" s="17"/>
      <c r="PWU110" s="17"/>
      <c r="PWV110" s="17"/>
      <c r="PWW110" s="17"/>
      <c r="PWX110" s="17"/>
      <c r="PWY110" s="17"/>
      <c r="PWZ110" s="17"/>
      <c r="PXA110" s="17"/>
      <c r="PXB110" s="17"/>
      <c r="PXC110" s="17"/>
      <c r="PXD110" s="17"/>
      <c r="PXE110" s="17"/>
      <c r="PXF110" s="17"/>
      <c r="PXG110" s="17"/>
      <c r="PXH110" s="17"/>
      <c r="PXI110" s="17"/>
      <c r="PXJ110" s="17"/>
      <c r="PXK110" s="17"/>
      <c r="PXL110" s="17"/>
      <c r="PXM110" s="17"/>
      <c r="PXN110" s="17"/>
      <c r="PXO110" s="17"/>
      <c r="PXP110" s="17"/>
      <c r="PXQ110" s="17"/>
      <c r="PXR110" s="17"/>
      <c r="PXS110" s="17"/>
      <c r="PXT110" s="17"/>
      <c r="PXU110" s="17"/>
      <c r="PXV110" s="17"/>
      <c r="PXW110" s="17"/>
      <c r="PXX110" s="17"/>
      <c r="PXY110" s="17"/>
      <c r="PXZ110" s="17"/>
      <c r="PYA110" s="17"/>
      <c r="PYB110" s="17"/>
      <c r="PYC110" s="17"/>
      <c r="PYD110" s="17"/>
      <c r="PYE110" s="17"/>
      <c r="PYF110" s="17"/>
      <c r="PYG110" s="17"/>
      <c r="PYH110" s="17"/>
      <c r="PYI110" s="17"/>
      <c r="PYJ110" s="17"/>
      <c r="PYK110" s="17"/>
      <c r="PYL110" s="17"/>
      <c r="PYM110" s="17"/>
      <c r="PYN110" s="17"/>
      <c r="PYO110" s="17"/>
      <c r="PYP110" s="17"/>
      <c r="PYQ110" s="17"/>
      <c r="PYR110" s="17"/>
      <c r="PYS110" s="17"/>
      <c r="PYT110" s="17"/>
      <c r="PYU110" s="17"/>
      <c r="PYV110" s="17"/>
      <c r="PYW110" s="17"/>
      <c r="PYX110" s="17"/>
      <c r="PYY110" s="17"/>
      <c r="PYZ110" s="17"/>
      <c r="PZA110" s="17"/>
      <c r="PZB110" s="17"/>
      <c r="PZC110" s="17"/>
      <c r="PZD110" s="17"/>
      <c r="PZE110" s="17"/>
      <c r="PZF110" s="17"/>
      <c r="PZG110" s="17"/>
      <c r="PZH110" s="17"/>
      <c r="PZI110" s="17"/>
      <c r="PZJ110" s="17"/>
      <c r="PZK110" s="17"/>
      <c r="PZL110" s="17"/>
      <c r="PZM110" s="17"/>
      <c r="PZN110" s="17"/>
      <c r="PZO110" s="17"/>
      <c r="PZP110" s="17"/>
      <c r="PZQ110" s="17"/>
      <c r="PZR110" s="17"/>
      <c r="PZS110" s="17"/>
      <c r="PZT110" s="17"/>
      <c r="PZU110" s="17"/>
      <c r="PZV110" s="17"/>
      <c r="PZW110" s="17"/>
      <c r="PZX110" s="17"/>
      <c r="PZY110" s="17"/>
      <c r="PZZ110" s="17"/>
      <c r="QAA110" s="17"/>
      <c r="QAB110" s="17"/>
      <c r="QAC110" s="17"/>
      <c r="QAD110" s="17"/>
      <c r="QAE110" s="17"/>
      <c r="QAF110" s="17"/>
      <c r="QAG110" s="17"/>
      <c r="QAH110" s="17"/>
      <c r="QAI110" s="17"/>
      <c r="QAJ110" s="17"/>
      <c r="QAK110" s="17"/>
      <c r="QAL110" s="17"/>
      <c r="QAM110" s="17"/>
      <c r="QAN110" s="17"/>
      <c r="QAO110" s="17"/>
      <c r="QAP110" s="17"/>
      <c r="QAQ110" s="17"/>
      <c r="QAR110" s="17"/>
      <c r="QAS110" s="17"/>
      <c r="QAT110" s="17"/>
      <c r="QAU110" s="17"/>
      <c r="QAV110" s="17"/>
      <c r="QAW110" s="17"/>
      <c r="QAX110" s="17"/>
      <c r="QAY110" s="17"/>
      <c r="QAZ110" s="17"/>
      <c r="QBA110" s="17"/>
      <c r="QBB110" s="17"/>
      <c r="QBC110" s="17"/>
      <c r="QBD110" s="17"/>
      <c r="QBE110" s="17"/>
      <c r="QBF110" s="17"/>
      <c r="QBG110" s="17"/>
      <c r="QBH110" s="17"/>
      <c r="QBI110" s="17"/>
      <c r="QBJ110" s="17"/>
      <c r="QBK110" s="17"/>
      <c r="QBL110" s="17"/>
      <c r="QBM110" s="17"/>
      <c r="QBN110" s="17"/>
      <c r="QBO110" s="17"/>
      <c r="QBP110" s="17"/>
      <c r="QBQ110" s="17"/>
      <c r="QBR110" s="17"/>
      <c r="QBS110" s="17"/>
      <c r="QBT110" s="17"/>
      <c r="QBU110" s="17"/>
      <c r="QBV110" s="17"/>
      <c r="QBW110" s="17"/>
      <c r="QBX110" s="17"/>
      <c r="QBY110" s="17"/>
      <c r="QBZ110" s="17"/>
      <c r="QCA110" s="17"/>
      <c r="QCB110" s="17"/>
      <c r="QCC110" s="17"/>
      <c r="QCD110" s="17"/>
      <c r="QCE110" s="17"/>
      <c r="QCF110" s="17"/>
      <c r="QCG110" s="17"/>
      <c r="QCH110" s="17"/>
      <c r="QCI110" s="17"/>
      <c r="QCJ110" s="17"/>
      <c r="QCK110" s="17"/>
      <c r="QCL110" s="17"/>
      <c r="QCM110" s="17"/>
      <c r="QCN110" s="17"/>
      <c r="QCO110" s="17"/>
      <c r="QCP110" s="17"/>
      <c r="QCQ110" s="17"/>
      <c r="QCR110" s="17"/>
      <c r="QCS110" s="17"/>
      <c r="QCT110" s="17"/>
      <c r="QCU110" s="17"/>
      <c r="QCV110" s="17"/>
      <c r="QCW110" s="17"/>
      <c r="QCX110" s="17"/>
      <c r="QCY110" s="17"/>
      <c r="QCZ110" s="17"/>
      <c r="QDA110" s="17"/>
      <c r="QDB110" s="17"/>
      <c r="QDC110" s="17"/>
      <c r="QDD110" s="17"/>
      <c r="QDE110" s="17"/>
      <c r="QDF110" s="17"/>
      <c r="QDG110" s="17"/>
      <c r="QDH110" s="17"/>
      <c r="QDI110" s="17"/>
      <c r="QDJ110" s="17"/>
      <c r="QDK110" s="17"/>
      <c r="QDL110" s="17"/>
      <c r="QDM110" s="17"/>
      <c r="QDN110" s="17"/>
      <c r="QDO110" s="17"/>
      <c r="QDP110" s="17"/>
      <c r="QDQ110" s="17"/>
      <c r="QDR110" s="17"/>
      <c r="QDS110" s="17"/>
      <c r="QDT110" s="17"/>
      <c r="QDU110" s="17"/>
      <c r="QDV110" s="17"/>
      <c r="QDW110" s="17"/>
      <c r="QDX110" s="17"/>
      <c r="QDY110" s="17"/>
      <c r="QDZ110" s="17"/>
      <c r="QEA110" s="17"/>
      <c r="QEB110" s="17"/>
      <c r="QEC110" s="17"/>
      <c r="QED110" s="17"/>
      <c r="QEE110" s="17"/>
      <c r="QEF110" s="17"/>
      <c r="QEG110" s="17"/>
      <c r="QEH110" s="17"/>
      <c r="QEI110" s="17"/>
      <c r="QEJ110" s="17"/>
      <c r="QEK110" s="17"/>
      <c r="QEL110" s="17"/>
      <c r="QEM110" s="17"/>
      <c r="QEN110" s="17"/>
      <c r="QEO110" s="17"/>
      <c r="QEP110" s="17"/>
      <c r="QEQ110" s="17"/>
      <c r="QER110" s="17"/>
      <c r="QES110" s="17"/>
      <c r="QET110" s="17"/>
      <c r="QEU110" s="17"/>
      <c r="QEV110" s="17"/>
      <c r="QEW110" s="17"/>
      <c r="QEX110" s="17"/>
      <c r="QEY110" s="17"/>
      <c r="QEZ110" s="17"/>
      <c r="QFA110" s="17"/>
      <c r="QFB110" s="17"/>
      <c r="QFC110" s="17"/>
      <c r="QFD110" s="17"/>
      <c r="QFE110" s="17"/>
      <c r="QFF110" s="17"/>
      <c r="QFG110" s="17"/>
      <c r="QFH110" s="17"/>
      <c r="QFI110" s="17"/>
      <c r="QFJ110" s="17"/>
      <c r="QFK110" s="17"/>
      <c r="QFL110" s="17"/>
      <c r="QFM110" s="17"/>
      <c r="QFN110" s="17"/>
      <c r="QFO110" s="17"/>
      <c r="QFP110" s="17"/>
      <c r="QFQ110" s="17"/>
      <c r="QFR110" s="17"/>
      <c r="QFS110" s="17"/>
      <c r="QFT110" s="17"/>
      <c r="QFU110" s="17"/>
      <c r="QFV110" s="17"/>
      <c r="QFW110" s="17"/>
      <c r="QFX110" s="17"/>
      <c r="QFY110" s="17"/>
      <c r="QFZ110" s="17"/>
      <c r="QGA110" s="17"/>
      <c r="QGB110" s="17"/>
      <c r="QGC110" s="17"/>
      <c r="QGD110" s="17"/>
      <c r="QGE110" s="17"/>
      <c r="QGF110" s="17"/>
      <c r="QGG110" s="17"/>
      <c r="QGH110" s="17"/>
      <c r="QGI110" s="17"/>
      <c r="QGJ110" s="17"/>
      <c r="QGK110" s="17"/>
      <c r="QGL110" s="17"/>
      <c r="QGM110" s="17"/>
      <c r="QGN110" s="17"/>
      <c r="QGO110" s="17"/>
      <c r="QGP110" s="17"/>
      <c r="QGQ110" s="17"/>
      <c r="QGR110" s="17"/>
      <c r="QGS110" s="17"/>
      <c r="QGT110" s="17"/>
      <c r="QGU110" s="17"/>
      <c r="QGV110" s="17"/>
      <c r="QGW110" s="17"/>
      <c r="QGX110" s="17"/>
      <c r="QGY110" s="17"/>
      <c r="QGZ110" s="17"/>
      <c r="QHA110" s="17"/>
      <c r="QHB110" s="17"/>
      <c r="QHC110" s="17"/>
      <c r="QHD110" s="17"/>
      <c r="QHE110" s="17"/>
      <c r="QHF110" s="17"/>
      <c r="QHG110" s="17"/>
      <c r="QHH110" s="17"/>
      <c r="QHI110" s="17"/>
      <c r="QHJ110" s="17"/>
      <c r="QHK110" s="17"/>
      <c r="QHL110" s="17"/>
      <c r="QHM110" s="17"/>
      <c r="QHN110" s="17"/>
      <c r="QHO110" s="17"/>
      <c r="QHP110" s="17"/>
      <c r="QHQ110" s="17"/>
      <c r="QHR110" s="17"/>
      <c r="QHS110" s="17"/>
      <c r="QHT110" s="17"/>
      <c r="QHU110" s="17"/>
      <c r="QHV110" s="17"/>
      <c r="QHW110" s="17"/>
      <c r="QHX110" s="17"/>
      <c r="QHY110" s="17"/>
      <c r="QHZ110" s="17"/>
      <c r="QIA110" s="17"/>
      <c r="QIB110" s="17"/>
      <c r="QIC110" s="17"/>
      <c r="QID110" s="17"/>
      <c r="QIE110" s="17"/>
      <c r="QIF110" s="17"/>
      <c r="QIG110" s="17"/>
      <c r="QIH110" s="17"/>
      <c r="QII110" s="17"/>
      <c r="QIJ110" s="17"/>
      <c r="QIK110" s="17"/>
      <c r="QIL110" s="17"/>
      <c r="QIM110" s="17"/>
      <c r="QIN110" s="17"/>
      <c r="QIO110" s="17"/>
      <c r="QIP110" s="17"/>
      <c r="QIQ110" s="17"/>
      <c r="QIR110" s="17"/>
      <c r="QIS110" s="17"/>
      <c r="QIT110" s="17"/>
      <c r="QIU110" s="17"/>
      <c r="QIV110" s="17"/>
      <c r="QIW110" s="17"/>
      <c r="QIX110" s="17"/>
      <c r="QIY110" s="17"/>
      <c r="QIZ110" s="17"/>
      <c r="QJA110" s="17"/>
      <c r="QJB110" s="17"/>
      <c r="QJC110" s="17"/>
      <c r="QJD110" s="17"/>
      <c r="QJE110" s="17"/>
      <c r="QJF110" s="17"/>
      <c r="QJG110" s="17"/>
      <c r="QJH110" s="17"/>
      <c r="QJI110" s="17"/>
      <c r="QJJ110" s="17"/>
      <c r="QJK110" s="17"/>
      <c r="QJL110" s="17"/>
      <c r="QJM110" s="17"/>
      <c r="QJN110" s="17"/>
      <c r="QJO110" s="17"/>
      <c r="QJP110" s="17"/>
      <c r="QJQ110" s="17"/>
      <c r="QJR110" s="17"/>
      <c r="QJS110" s="17"/>
      <c r="QJT110" s="17"/>
      <c r="QJU110" s="17"/>
      <c r="QJV110" s="17"/>
      <c r="QJW110" s="17"/>
      <c r="QJX110" s="17"/>
      <c r="QJY110" s="17"/>
      <c r="QJZ110" s="17"/>
      <c r="QKA110" s="17"/>
      <c r="QKB110" s="17"/>
      <c r="QKC110" s="17"/>
      <c r="QKD110" s="17"/>
      <c r="QKE110" s="17"/>
      <c r="QKF110" s="17"/>
      <c r="QKG110" s="17"/>
      <c r="QKH110" s="17"/>
      <c r="QKI110" s="17"/>
      <c r="QKJ110" s="17"/>
      <c r="QKK110" s="17"/>
      <c r="QKL110" s="17"/>
      <c r="QKM110" s="17"/>
      <c r="QKN110" s="17"/>
      <c r="QKO110" s="17"/>
      <c r="QKP110" s="17"/>
      <c r="QKQ110" s="17"/>
      <c r="QKR110" s="17"/>
      <c r="QKS110" s="17"/>
      <c r="QKT110" s="17"/>
      <c r="QKU110" s="17"/>
      <c r="QKV110" s="17"/>
      <c r="QKW110" s="17"/>
      <c r="QKX110" s="17"/>
      <c r="QKY110" s="17"/>
      <c r="QKZ110" s="17"/>
      <c r="QLA110" s="17"/>
      <c r="QLB110" s="17"/>
      <c r="QLC110" s="17"/>
      <c r="QLD110" s="17"/>
      <c r="QLE110" s="17"/>
      <c r="QLF110" s="17"/>
      <c r="QLG110" s="17"/>
      <c r="QLH110" s="17"/>
      <c r="QLI110" s="17"/>
      <c r="QLJ110" s="17"/>
      <c r="QLK110" s="17"/>
      <c r="QLL110" s="17"/>
      <c r="QLM110" s="17"/>
      <c r="QLN110" s="17"/>
      <c r="QLO110" s="17"/>
      <c r="QLP110" s="17"/>
      <c r="QLQ110" s="17"/>
      <c r="QLR110" s="17"/>
      <c r="QLS110" s="17"/>
      <c r="QLT110" s="17"/>
      <c r="QLU110" s="17"/>
      <c r="QLV110" s="17"/>
      <c r="QLW110" s="17"/>
      <c r="QLX110" s="17"/>
      <c r="QLY110" s="17"/>
      <c r="QLZ110" s="17"/>
      <c r="QMA110" s="17"/>
      <c r="QMB110" s="17"/>
      <c r="QMC110" s="17"/>
      <c r="QMD110" s="17"/>
      <c r="QME110" s="17"/>
      <c r="QMF110" s="17"/>
      <c r="QMG110" s="17"/>
      <c r="QMH110" s="17"/>
      <c r="QMI110" s="17"/>
      <c r="QMJ110" s="17"/>
      <c r="QMK110" s="17"/>
      <c r="QML110" s="17"/>
      <c r="QMM110" s="17"/>
      <c r="QMN110" s="17"/>
      <c r="QMO110" s="17"/>
      <c r="QMP110" s="17"/>
      <c r="QMQ110" s="17"/>
      <c r="QMR110" s="17"/>
      <c r="QMS110" s="17"/>
      <c r="QMT110" s="17"/>
      <c r="QMU110" s="17"/>
      <c r="QMV110" s="17"/>
      <c r="QMW110" s="17"/>
      <c r="QMX110" s="17"/>
      <c r="QMY110" s="17"/>
      <c r="QMZ110" s="17"/>
      <c r="QNA110" s="17"/>
      <c r="QNB110" s="17"/>
      <c r="QNC110" s="17"/>
      <c r="QND110" s="17"/>
      <c r="QNE110" s="17"/>
      <c r="QNF110" s="17"/>
      <c r="QNG110" s="17"/>
      <c r="QNH110" s="17"/>
      <c r="QNI110" s="17"/>
      <c r="QNJ110" s="17"/>
      <c r="QNK110" s="17"/>
      <c r="QNL110" s="17"/>
      <c r="QNM110" s="17"/>
      <c r="QNN110" s="17"/>
      <c r="QNO110" s="17"/>
      <c r="QNP110" s="17"/>
      <c r="QNQ110" s="17"/>
      <c r="QNR110" s="17"/>
      <c r="QNS110" s="17"/>
      <c r="QNT110" s="17"/>
      <c r="QNU110" s="17"/>
      <c r="QNV110" s="17"/>
      <c r="QNW110" s="17"/>
      <c r="QNX110" s="17"/>
      <c r="QNY110" s="17"/>
      <c r="QNZ110" s="17"/>
      <c r="QOA110" s="17"/>
      <c r="QOB110" s="17"/>
      <c r="QOC110" s="17"/>
      <c r="QOD110" s="17"/>
      <c r="QOE110" s="17"/>
      <c r="QOF110" s="17"/>
      <c r="QOG110" s="17"/>
      <c r="QOH110" s="17"/>
      <c r="QOI110" s="17"/>
      <c r="QOJ110" s="17"/>
      <c r="QOK110" s="17"/>
      <c r="QOL110" s="17"/>
      <c r="QOM110" s="17"/>
      <c r="QON110" s="17"/>
      <c r="QOO110" s="17"/>
      <c r="QOP110" s="17"/>
      <c r="QOQ110" s="17"/>
      <c r="QOR110" s="17"/>
      <c r="QOS110" s="17"/>
      <c r="QOT110" s="17"/>
      <c r="QOU110" s="17"/>
      <c r="QOV110" s="17"/>
      <c r="QOW110" s="17"/>
      <c r="QOX110" s="17"/>
      <c r="QOY110" s="17"/>
      <c r="QOZ110" s="17"/>
      <c r="QPA110" s="17"/>
      <c r="QPB110" s="17"/>
      <c r="QPC110" s="17"/>
      <c r="QPD110" s="17"/>
      <c r="QPE110" s="17"/>
      <c r="QPF110" s="17"/>
      <c r="QPG110" s="17"/>
      <c r="QPH110" s="17"/>
      <c r="QPI110" s="17"/>
      <c r="QPJ110" s="17"/>
      <c r="QPK110" s="17"/>
      <c r="QPL110" s="17"/>
      <c r="QPM110" s="17"/>
      <c r="QPN110" s="17"/>
      <c r="QPO110" s="17"/>
      <c r="QPP110" s="17"/>
      <c r="QPQ110" s="17"/>
      <c r="QPR110" s="17"/>
      <c r="QPS110" s="17"/>
      <c r="QPT110" s="17"/>
      <c r="QPU110" s="17"/>
      <c r="QPV110" s="17"/>
      <c r="QPW110" s="17"/>
      <c r="QPX110" s="17"/>
      <c r="QPY110" s="17"/>
      <c r="QPZ110" s="17"/>
      <c r="QQA110" s="17"/>
      <c r="QQB110" s="17"/>
      <c r="QQC110" s="17"/>
      <c r="QQD110" s="17"/>
      <c r="QQE110" s="17"/>
      <c r="QQF110" s="17"/>
      <c r="QQG110" s="17"/>
      <c r="QQH110" s="17"/>
      <c r="QQI110" s="17"/>
      <c r="QQJ110" s="17"/>
      <c r="QQK110" s="17"/>
      <c r="QQL110" s="17"/>
      <c r="QQM110" s="17"/>
      <c r="QQN110" s="17"/>
      <c r="QQO110" s="17"/>
      <c r="QQP110" s="17"/>
      <c r="QQQ110" s="17"/>
      <c r="QQR110" s="17"/>
      <c r="QQS110" s="17"/>
      <c r="QQT110" s="17"/>
      <c r="QQU110" s="17"/>
      <c r="QQV110" s="17"/>
      <c r="QQW110" s="17"/>
      <c r="QQX110" s="17"/>
      <c r="QQY110" s="17"/>
      <c r="QQZ110" s="17"/>
      <c r="QRA110" s="17"/>
      <c r="QRB110" s="17"/>
      <c r="QRC110" s="17"/>
      <c r="QRD110" s="17"/>
      <c r="QRE110" s="17"/>
      <c r="QRF110" s="17"/>
      <c r="QRG110" s="17"/>
      <c r="QRH110" s="17"/>
      <c r="QRI110" s="17"/>
      <c r="QRJ110" s="17"/>
      <c r="QRK110" s="17"/>
      <c r="QRL110" s="17"/>
      <c r="QRM110" s="17"/>
      <c r="QRN110" s="17"/>
      <c r="QRO110" s="17"/>
      <c r="QRP110" s="17"/>
      <c r="QRQ110" s="17"/>
      <c r="QRR110" s="17"/>
      <c r="QRS110" s="17"/>
      <c r="QRT110" s="17"/>
      <c r="QRU110" s="17"/>
      <c r="QRV110" s="17"/>
      <c r="QRW110" s="17"/>
      <c r="QRX110" s="17"/>
      <c r="QRY110" s="17"/>
      <c r="QRZ110" s="17"/>
      <c r="QSA110" s="17"/>
      <c r="QSB110" s="17"/>
      <c r="QSC110" s="17"/>
      <c r="QSD110" s="17"/>
      <c r="QSE110" s="17"/>
      <c r="QSF110" s="17"/>
      <c r="QSG110" s="17"/>
      <c r="QSH110" s="17"/>
      <c r="QSI110" s="17"/>
      <c r="QSJ110" s="17"/>
      <c r="QSK110" s="17"/>
      <c r="QSL110" s="17"/>
      <c r="QSM110" s="17"/>
      <c r="QSN110" s="17"/>
      <c r="QSO110" s="17"/>
      <c r="QSP110" s="17"/>
      <c r="QSQ110" s="17"/>
      <c r="QSR110" s="17"/>
      <c r="QSS110" s="17"/>
      <c r="QST110" s="17"/>
      <c r="QSU110" s="17"/>
      <c r="QSV110" s="17"/>
      <c r="QSW110" s="17"/>
      <c r="QSX110" s="17"/>
      <c r="QSY110" s="17"/>
      <c r="QSZ110" s="17"/>
      <c r="QTA110" s="17"/>
      <c r="QTB110" s="17"/>
      <c r="QTC110" s="17"/>
      <c r="QTD110" s="17"/>
      <c r="QTE110" s="17"/>
      <c r="QTF110" s="17"/>
      <c r="QTG110" s="17"/>
      <c r="QTH110" s="17"/>
      <c r="QTI110" s="17"/>
      <c r="QTJ110" s="17"/>
      <c r="QTK110" s="17"/>
      <c r="QTL110" s="17"/>
      <c r="QTM110" s="17"/>
      <c r="QTN110" s="17"/>
      <c r="QTO110" s="17"/>
      <c r="QTP110" s="17"/>
      <c r="QTQ110" s="17"/>
      <c r="QTR110" s="17"/>
      <c r="QTS110" s="17"/>
      <c r="QTT110" s="17"/>
      <c r="QTU110" s="17"/>
      <c r="QTV110" s="17"/>
      <c r="QTW110" s="17"/>
      <c r="QTX110" s="17"/>
      <c r="QTY110" s="17"/>
      <c r="QTZ110" s="17"/>
      <c r="QUA110" s="17"/>
      <c r="QUB110" s="17"/>
      <c r="QUC110" s="17"/>
      <c r="QUD110" s="17"/>
      <c r="QUE110" s="17"/>
      <c r="QUF110" s="17"/>
      <c r="QUG110" s="17"/>
      <c r="QUH110" s="17"/>
      <c r="QUI110" s="17"/>
      <c r="QUJ110" s="17"/>
      <c r="QUK110" s="17"/>
      <c r="QUL110" s="17"/>
      <c r="QUM110" s="17"/>
      <c r="QUN110" s="17"/>
      <c r="QUO110" s="17"/>
      <c r="QUP110" s="17"/>
      <c r="QUQ110" s="17"/>
      <c r="QUR110" s="17"/>
      <c r="QUS110" s="17"/>
      <c r="QUT110" s="17"/>
      <c r="QUU110" s="17"/>
      <c r="QUV110" s="17"/>
      <c r="QUW110" s="17"/>
      <c r="QUX110" s="17"/>
      <c r="QUY110" s="17"/>
      <c r="QUZ110" s="17"/>
      <c r="QVA110" s="17"/>
      <c r="QVB110" s="17"/>
      <c r="QVC110" s="17"/>
      <c r="QVD110" s="17"/>
      <c r="QVE110" s="17"/>
      <c r="QVF110" s="17"/>
      <c r="QVG110" s="17"/>
      <c r="QVH110" s="17"/>
      <c r="QVI110" s="17"/>
      <c r="QVJ110" s="17"/>
      <c r="QVK110" s="17"/>
      <c r="QVL110" s="17"/>
      <c r="QVM110" s="17"/>
      <c r="QVN110" s="17"/>
      <c r="QVO110" s="17"/>
      <c r="QVP110" s="17"/>
      <c r="QVQ110" s="17"/>
      <c r="QVR110" s="17"/>
      <c r="QVS110" s="17"/>
      <c r="QVT110" s="17"/>
      <c r="QVU110" s="17"/>
      <c r="QVV110" s="17"/>
      <c r="QVW110" s="17"/>
      <c r="QVX110" s="17"/>
      <c r="QVY110" s="17"/>
      <c r="QVZ110" s="17"/>
      <c r="QWA110" s="17"/>
      <c r="QWB110" s="17"/>
      <c r="QWC110" s="17"/>
      <c r="QWD110" s="17"/>
      <c r="QWE110" s="17"/>
      <c r="QWF110" s="17"/>
      <c r="QWG110" s="17"/>
      <c r="QWH110" s="17"/>
      <c r="QWI110" s="17"/>
      <c r="QWJ110" s="17"/>
      <c r="QWK110" s="17"/>
      <c r="QWL110" s="17"/>
      <c r="QWM110" s="17"/>
      <c r="QWN110" s="17"/>
      <c r="QWO110" s="17"/>
      <c r="QWP110" s="17"/>
      <c r="QWQ110" s="17"/>
      <c r="QWR110" s="17"/>
      <c r="QWS110" s="17"/>
      <c r="QWT110" s="17"/>
      <c r="QWU110" s="17"/>
      <c r="QWV110" s="17"/>
      <c r="QWW110" s="17"/>
      <c r="QWX110" s="17"/>
      <c r="QWY110" s="17"/>
      <c r="QWZ110" s="17"/>
      <c r="QXA110" s="17"/>
      <c r="QXB110" s="17"/>
      <c r="QXC110" s="17"/>
      <c r="QXD110" s="17"/>
      <c r="QXE110" s="17"/>
      <c r="QXF110" s="17"/>
      <c r="QXG110" s="17"/>
      <c r="QXH110" s="17"/>
      <c r="QXI110" s="17"/>
      <c r="QXJ110" s="17"/>
      <c r="QXK110" s="17"/>
      <c r="QXL110" s="17"/>
      <c r="QXM110" s="17"/>
      <c r="QXN110" s="17"/>
      <c r="QXO110" s="17"/>
      <c r="QXP110" s="17"/>
      <c r="QXQ110" s="17"/>
      <c r="QXR110" s="17"/>
      <c r="QXS110" s="17"/>
      <c r="QXT110" s="17"/>
      <c r="QXU110" s="17"/>
      <c r="QXV110" s="17"/>
      <c r="QXW110" s="17"/>
      <c r="QXX110" s="17"/>
      <c r="QXY110" s="17"/>
      <c r="QXZ110" s="17"/>
      <c r="QYA110" s="17"/>
      <c r="QYB110" s="17"/>
      <c r="QYC110" s="17"/>
      <c r="QYD110" s="17"/>
      <c r="QYE110" s="17"/>
      <c r="QYF110" s="17"/>
      <c r="QYG110" s="17"/>
      <c r="QYH110" s="17"/>
      <c r="QYI110" s="17"/>
      <c r="QYJ110" s="17"/>
      <c r="QYK110" s="17"/>
      <c r="QYL110" s="17"/>
      <c r="QYM110" s="17"/>
      <c r="QYN110" s="17"/>
      <c r="QYO110" s="17"/>
      <c r="QYP110" s="17"/>
      <c r="QYQ110" s="17"/>
      <c r="QYR110" s="17"/>
      <c r="QYS110" s="17"/>
      <c r="QYT110" s="17"/>
      <c r="QYU110" s="17"/>
      <c r="QYV110" s="17"/>
      <c r="QYW110" s="17"/>
      <c r="QYX110" s="17"/>
      <c r="QYY110" s="17"/>
      <c r="QYZ110" s="17"/>
      <c r="QZA110" s="17"/>
      <c r="QZB110" s="17"/>
      <c r="QZC110" s="17"/>
      <c r="QZD110" s="17"/>
      <c r="QZE110" s="17"/>
      <c r="QZF110" s="17"/>
      <c r="QZG110" s="17"/>
      <c r="QZH110" s="17"/>
      <c r="QZI110" s="17"/>
      <c r="QZJ110" s="17"/>
      <c r="QZK110" s="17"/>
      <c r="QZL110" s="17"/>
      <c r="QZM110" s="17"/>
      <c r="QZN110" s="17"/>
      <c r="QZO110" s="17"/>
      <c r="QZP110" s="17"/>
      <c r="QZQ110" s="17"/>
      <c r="QZR110" s="17"/>
      <c r="QZS110" s="17"/>
      <c r="QZT110" s="17"/>
      <c r="QZU110" s="17"/>
      <c r="QZV110" s="17"/>
      <c r="QZW110" s="17"/>
      <c r="QZX110" s="17"/>
      <c r="QZY110" s="17"/>
      <c r="QZZ110" s="17"/>
      <c r="RAA110" s="17"/>
      <c r="RAB110" s="17"/>
      <c r="RAC110" s="17"/>
      <c r="RAD110" s="17"/>
      <c r="RAE110" s="17"/>
      <c r="RAF110" s="17"/>
      <c r="RAG110" s="17"/>
      <c r="RAH110" s="17"/>
      <c r="RAI110" s="17"/>
      <c r="RAJ110" s="17"/>
      <c r="RAK110" s="17"/>
      <c r="RAL110" s="17"/>
      <c r="RAM110" s="17"/>
      <c r="RAN110" s="17"/>
      <c r="RAO110" s="17"/>
      <c r="RAP110" s="17"/>
      <c r="RAQ110" s="17"/>
      <c r="RAR110" s="17"/>
      <c r="RAS110" s="17"/>
      <c r="RAT110" s="17"/>
      <c r="RAU110" s="17"/>
      <c r="RAV110" s="17"/>
      <c r="RAW110" s="17"/>
      <c r="RAX110" s="17"/>
      <c r="RAY110" s="17"/>
      <c r="RAZ110" s="17"/>
      <c r="RBA110" s="17"/>
      <c r="RBB110" s="17"/>
      <c r="RBC110" s="17"/>
      <c r="RBD110" s="17"/>
      <c r="RBE110" s="17"/>
      <c r="RBF110" s="17"/>
      <c r="RBG110" s="17"/>
      <c r="RBH110" s="17"/>
      <c r="RBI110" s="17"/>
      <c r="RBJ110" s="17"/>
      <c r="RBK110" s="17"/>
      <c r="RBL110" s="17"/>
      <c r="RBM110" s="17"/>
      <c r="RBN110" s="17"/>
      <c r="RBO110" s="17"/>
      <c r="RBP110" s="17"/>
      <c r="RBQ110" s="17"/>
      <c r="RBR110" s="17"/>
      <c r="RBS110" s="17"/>
      <c r="RBT110" s="17"/>
      <c r="RBU110" s="17"/>
      <c r="RBV110" s="17"/>
      <c r="RBW110" s="17"/>
      <c r="RBX110" s="17"/>
      <c r="RBY110" s="17"/>
      <c r="RBZ110" s="17"/>
      <c r="RCA110" s="17"/>
      <c r="RCB110" s="17"/>
      <c r="RCC110" s="17"/>
      <c r="RCD110" s="17"/>
      <c r="RCE110" s="17"/>
      <c r="RCF110" s="17"/>
      <c r="RCG110" s="17"/>
      <c r="RCH110" s="17"/>
      <c r="RCI110" s="17"/>
      <c r="RCJ110" s="17"/>
      <c r="RCK110" s="17"/>
      <c r="RCL110" s="17"/>
      <c r="RCM110" s="17"/>
      <c r="RCN110" s="17"/>
      <c r="RCO110" s="17"/>
      <c r="RCP110" s="17"/>
      <c r="RCQ110" s="17"/>
      <c r="RCR110" s="17"/>
      <c r="RCS110" s="17"/>
      <c r="RCT110" s="17"/>
      <c r="RCU110" s="17"/>
      <c r="RCV110" s="17"/>
      <c r="RCW110" s="17"/>
      <c r="RCX110" s="17"/>
      <c r="RCY110" s="17"/>
      <c r="RCZ110" s="17"/>
      <c r="RDA110" s="17"/>
      <c r="RDB110" s="17"/>
      <c r="RDC110" s="17"/>
      <c r="RDD110" s="17"/>
      <c r="RDE110" s="17"/>
      <c r="RDF110" s="17"/>
      <c r="RDG110" s="17"/>
      <c r="RDH110" s="17"/>
      <c r="RDI110" s="17"/>
      <c r="RDJ110" s="17"/>
      <c r="RDK110" s="17"/>
      <c r="RDL110" s="17"/>
      <c r="RDM110" s="17"/>
      <c r="RDN110" s="17"/>
      <c r="RDO110" s="17"/>
      <c r="RDP110" s="17"/>
      <c r="RDQ110" s="17"/>
      <c r="RDR110" s="17"/>
      <c r="RDS110" s="17"/>
      <c r="RDT110" s="17"/>
      <c r="RDU110" s="17"/>
      <c r="RDV110" s="17"/>
      <c r="RDW110" s="17"/>
      <c r="RDX110" s="17"/>
      <c r="RDY110" s="17"/>
      <c r="RDZ110" s="17"/>
      <c r="REA110" s="17"/>
      <c r="REB110" s="17"/>
      <c r="REC110" s="17"/>
      <c r="RED110" s="17"/>
      <c r="REE110" s="17"/>
      <c r="REF110" s="17"/>
      <c r="REG110" s="17"/>
      <c r="REH110" s="17"/>
      <c r="REI110" s="17"/>
      <c r="REJ110" s="17"/>
      <c r="REK110" s="17"/>
      <c r="REL110" s="17"/>
      <c r="REM110" s="17"/>
      <c r="REN110" s="17"/>
      <c r="REO110" s="17"/>
      <c r="REP110" s="17"/>
      <c r="REQ110" s="17"/>
      <c r="RER110" s="17"/>
      <c r="RES110" s="17"/>
      <c r="RET110" s="17"/>
      <c r="REU110" s="17"/>
      <c r="REV110" s="17"/>
      <c r="REW110" s="17"/>
      <c r="REX110" s="17"/>
      <c r="REY110" s="17"/>
      <c r="REZ110" s="17"/>
      <c r="RFA110" s="17"/>
      <c r="RFB110" s="17"/>
      <c r="RFC110" s="17"/>
      <c r="RFD110" s="17"/>
      <c r="RFE110" s="17"/>
      <c r="RFF110" s="17"/>
      <c r="RFG110" s="17"/>
      <c r="RFH110" s="17"/>
      <c r="RFI110" s="17"/>
      <c r="RFJ110" s="17"/>
      <c r="RFK110" s="17"/>
      <c r="RFL110" s="17"/>
      <c r="RFM110" s="17"/>
      <c r="RFN110" s="17"/>
      <c r="RFO110" s="17"/>
      <c r="RFP110" s="17"/>
      <c r="RFQ110" s="17"/>
      <c r="RFR110" s="17"/>
      <c r="RFS110" s="17"/>
      <c r="RFT110" s="17"/>
      <c r="RFU110" s="17"/>
      <c r="RFV110" s="17"/>
      <c r="RFW110" s="17"/>
      <c r="RFX110" s="17"/>
      <c r="RFY110" s="17"/>
      <c r="RFZ110" s="17"/>
      <c r="RGA110" s="17"/>
      <c r="RGB110" s="17"/>
      <c r="RGC110" s="17"/>
      <c r="RGD110" s="17"/>
      <c r="RGE110" s="17"/>
      <c r="RGF110" s="17"/>
      <c r="RGG110" s="17"/>
      <c r="RGH110" s="17"/>
      <c r="RGI110" s="17"/>
      <c r="RGJ110" s="17"/>
      <c r="RGK110" s="17"/>
      <c r="RGL110" s="17"/>
      <c r="RGM110" s="17"/>
      <c r="RGN110" s="17"/>
      <c r="RGO110" s="17"/>
      <c r="RGP110" s="17"/>
      <c r="RGQ110" s="17"/>
      <c r="RGR110" s="17"/>
      <c r="RGS110" s="17"/>
      <c r="RGT110" s="17"/>
      <c r="RGU110" s="17"/>
      <c r="RGV110" s="17"/>
      <c r="RGW110" s="17"/>
      <c r="RGX110" s="17"/>
      <c r="RGY110" s="17"/>
      <c r="RGZ110" s="17"/>
      <c r="RHA110" s="17"/>
      <c r="RHB110" s="17"/>
      <c r="RHC110" s="17"/>
      <c r="RHD110" s="17"/>
      <c r="RHE110" s="17"/>
      <c r="RHF110" s="17"/>
      <c r="RHG110" s="17"/>
      <c r="RHH110" s="17"/>
      <c r="RHI110" s="17"/>
      <c r="RHJ110" s="17"/>
      <c r="RHK110" s="17"/>
      <c r="RHL110" s="17"/>
      <c r="RHM110" s="17"/>
      <c r="RHN110" s="17"/>
      <c r="RHO110" s="17"/>
      <c r="RHP110" s="17"/>
      <c r="RHQ110" s="17"/>
      <c r="RHR110" s="17"/>
      <c r="RHS110" s="17"/>
      <c r="RHT110" s="17"/>
      <c r="RHU110" s="17"/>
      <c r="RHV110" s="17"/>
      <c r="RHW110" s="17"/>
      <c r="RHX110" s="17"/>
      <c r="RHY110" s="17"/>
      <c r="RHZ110" s="17"/>
      <c r="RIA110" s="17"/>
      <c r="RIB110" s="17"/>
      <c r="RIC110" s="17"/>
      <c r="RID110" s="17"/>
      <c r="RIE110" s="17"/>
      <c r="RIF110" s="17"/>
      <c r="RIG110" s="17"/>
      <c r="RIH110" s="17"/>
      <c r="RII110" s="17"/>
      <c r="RIJ110" s="17"/>
      <c r="RIK110" s="17"/>
      <c r="RIL110" s="17"/>
      <c r="RIM110" s="17"/>
      <c r="RIN110" s="17"/>
      <c r="RIO110" s="17"/>
      <c r="RIP110" s="17"/>
      <c r="RIQ110" s="17"/>
      <c r="RIR110" s="17"/>
      <c r="RIS110" s="17"/>
      <c r="RIT110" s="17"/>
      <c r="RIU110" s="17"/>
      <c r="RIV110" s="17"/>
      <c r="RIW110" s="17"/>
      <c r="RIX110" s="17"/>
      <c r="RIY110" s="17"/>
      <c r="RIZ110" s="17"/>
      <c r="RJA110" s="17"/>
      <c r="RJB110" s="17"/>
      <c r="RJC110" s="17"/>
      <c r="RJD110" s="17"/>
      <c r="RJE110" s="17"/>
      <c r="RJF110" s="17"/>
      <c r="RJG110" s="17"/>
      <c r="RJH110" s="17"/>
      <c r="RJI110" s="17"/>
      <c r="RJJ110" s="17"/>
      <c r="RJK110" s="17"/>
      <c r="RJL110" s="17"/>
      <c r="RJM110" s="17"/>
      <c r="RJN110" s="17"/>
      <c r="RJO110" s="17"/>
      <c r="RJP110" s="17"/>
      <c r="RJQ110" s="17"/>
      <c r="RJR110" s="17"/>
      <c r="RJS110" s="17"/>
      <c r="RJT110" s="17"/>
      <c r="RJU110" s="17"/>
      <c r="RJV110" s="17"/>
      <c r="RJW110" s="17"/>
      <c r="RJX110" s="17"/>
      <c r="RJY110" s="17"/>
      <c r="RJZ110" s="17"/>
      <c r="RKA110" s="17"/>
      <c r="RKB110" s="17"/>
      <c r="RKC110" s="17"/>
      <c r="RKD110" s="17"/>
      <c r="RKE110" s="17"/>
      <c r="RKF110" s="17"/>
      <c r="RKG110" s="17"/>
      <c r="RKH110" s="17"/>
      <c r="RKI110" s="17"/>
      <c r="RKJ110" s="17"/>
      <c r="RKK110" s="17"/>
      <c r="RKL110" s="17"/>
      <c r="RKM110" s="17"/>
      <c r="RKN110" s="17"/>
      <c r="RKO110" s="17"/>
      <c r="RKP110" s="17"/>
      <c r="RKQ110" s="17"/>
      <c r="RKR110" s="17"/>
      <c r="RKS110" s="17"/>
      <c r="RKT110" s="17"/>
      <c r="RKU110" s="17"/>
      <c r="RKV110" s="17"/>
      <c r="RKW110" s="17"/>
      <c r="RKX110" s="17"/>
      <c r="RKY110" s="17"/>
      <c r="RKZ110" s="17"/>
      <c r="RLA110" s="17"/>
      <c r="RLB110" s="17"/>
      <c r="RLC110" s="17"/>
      <c r="RLD110" s="17"/>
      <c r="RLE110" s="17"/>
      <c r="RLF110" s="17"/>
      <c r="RLG110" s="17"/>
      <c r="RLH110" s="17"/>
      <c r="RLI110" s="17"/>
      <c r="RLJ110" s="17"/>
      <c r="RLK110" s="17"/>
      <c r="RLL110" s="17"/>
      <c r="RLM110" s="17"/>
      <c r="RLN110" s="17"/>
      <c r="RLO110" s="17"/>
      <c r="RLP110" s="17"/>
      <c r="RLQ110" s="17"/>
      <c r="RLR110" s="17"/>
      <c r="RLS110" s="17"/>
      <c r="RLT110" s="17"/>
      <c r="RLU110" s="17"/>
      <c r="RLV110" s="17"/>
      <c r="RLW110" s="17"/>
      <c r="RLX110" s="17"/>
      <c r="RLY110" s="17"/>
      <c r="RLZ110" s="17"/>
      <c r="RMA110" s="17"/>
      <c r="RMB110" s="17"/>
      <c r="RMC110" s="17"/>
      <c r="RMD110" s="17"/>
      <c r="RME110" s="17"/>
      <c r="RMF110" s="17"/>
      <c r="RMG110" s="17"/>
      <c r="RMH110" s="17"/>
      <c r="RMI110" s="17"/>
      <c r="RMJ110" s="17"/>
      <c r="RMK110" s="17"/>
      <c r="RML110" s="17"/>
      <c r="RMM110" s="17"/>
      <c r="RMN110" s="17"/>
      <c r="RMO110" s="17"/>
      <c r="RMP110" s="17"/>
      <c r="RMQ110" s="17"/>
      <c r="RMR110" s="17"/>
      <c r="RMS110" s="17"/>
      <c r="RMT110" s="17"/>
      <c r="RMU110" s="17"/>
      <c r="RMV110" s="17"/>
      <c r="RMW110" s="17"/>
      <c r="RMX110" s="17"/>
      <c r="RMY110" s="17"/>
      <c r="RMZ110" s="17"/>
      <c r="RNA110" s="17"/>
      <c r="RNB110" s="17"/>
      <c r="RNC110" s="17"/>
      <c r="RND110" s="17"/>
      <c r="RNE110" s="17"/>
      <c r="RNF110" s="17"/>
      <c r="RNG110" s="17"/>
      <c r="RNH110" s="17"/>
      <c r="RNI110" s="17"/>
      <c r="RNJ110" s="17"/>
      <c r="RNK110" s="17"/>
      <c r="RNL110" s="17"/>
      <c r="RNM110" s="17"/>
      <c r="RNN110" s="17"/>
      <c r="RNO110" s="17"/>
      <c r="RNP110" s="17"/>
      <c r="RNQ110" s="17"/>
      <c r="RNR110" s="17"/>
      <c r="RNS110" s="17"/>
      <c r="RNT110" s="17"/>
      <c r="RNU110" s="17"/>
      <c r="RNV110" s="17"/>
      <c r="RNW110" s="17"/>
      <c r="RNX110" s="17"/>
      <c r="RNY110" s="17"/>
      <c r="RNZ110" s="17"/>
      <c r="ROA110" s="17"/>
      <c r="ROB110" s="17"/>
      <c r="ROC110" s="17"/>
      <c r="ROD110" s="17"/>
      <c r="ROE110" s="17"/>
      <c r="ROF110" s="17"/>
      <c r="ROG110" s="17"/>
      <c r="ROH110" s="17"/>
      <c r="ROI110" s="17"/>
      <c r="ROJ110" s="17"/>
      <c r="ROK110" s="17"/>
      <c r="ROL110" s="17"/>
      <c r="ROM110" s="17"/>
      <c r="RON110" s="17"/>
      <c r="ROO110" s="17"/>
      <c r="ROP110" s="17"/>
      <c r="ROQ110" s="17"/>
      <c r="ROR110" s="17"/>
      <c r="ROS110" s="17"/>
      <c r="ROT110" s="17"/>
      <c r="ROU110" s="17"/>
      <c r="ROV110" s="17"/>
      <c r="ROW110" s="17"/>
      <c r="ROX110" s="17"/>
      <c r="ROY110" s="17"/>
      <c r="ROZ110" s="17"/>
      <c r="RPA110" s="17"/>
      <c r="RPB110" s="17"/>
      <c r="RPC110" s="17"/>
      <c r="RPD110" s="17"/>
      <c r="RPE110" s="17"/>
      <c r="RPF110" s="17"/>
      <c r="RPG110" s="17"/>
      <c r="RPH110" s="17"/>
      <c r="RPI110" s="17"/>
      <c r="RPJ110" s="17"/>
      <c r="RPK110" s="17"/>
      <c r="RPL110" s="17"/>
      <c r="RPM110" s="17"/>
      <c r="RPN110" s="17"/>
      <c r="RPO110" s="17"/>
      <c r="RPP110" s="17"/>
      <c r="RPQ110" s="17"/>
      <c r="RPR110" s="17"/>
      <c r="RPS110" s="17"/>
      <c r="RPT110" s="17"/>
      <c r="RPU110" s="17"/>
      <c r="RPV110" s="17"/>
      <c r="RPW110" s="17"/>
      <c r="RPX110" s="17"/>
      <c r="RPY110" s="17"/>
      <c r="RPZ110" s="17"/>
      <c r="RQA110" s="17"/>
      <c r="RQB110" s="17"/>
      <c r="RQC110" s="17"/>
      <c r="RQD110" s="17"/>
      <c r="RQE110" s="17"/>
      <c r="RQF110" s="17"/>
      <c r="RQG110" s="17"/>
      <c r="RQH110" s="17"/>
      <c r="RQI110" s="17"/>
      <c r="RQJ110" s="17"/>
      <c r="RQK110" s="17"/>
      <c r="RQL110" s="17"/>
      <c r="RQM110" s="17"/>
      <c r="RQN110" s="17"/>
      <c r="RQO110" s="17"/>
      <c r="RQP110" s="17"/>
      <c r="RQQ110" s="17"/>
      <c r="RQR110" s="17"/>
      <c r="RQS110" s="17"/>
      <c r="RQT110" s="17"/>
      <c r="RQU110" s="17"/>
      <c r="RQV110" s="17"/>
      <c r="RQW110" s="17"/>
      <c r="RQX110" s="17"/>
      <c r="RQY110" s="17"/>
      <c r="RQZ110" s="17"/>
      <c r="RRA110" s="17"/>
      <c r="RRB110" s="17"/>
      <c r="RRC110" s="17"/>
      <c r="RRD110" s="17"/>
      <c r="RRE110" s="17"/>
      <c r="RRF110" s="17"/>
      <c r="RRG110" s="17"/>
      <c r="RRH110" s="17"/>
      <c r="RRI110" s="17"/>
      <c r="RRJ110" s="17"/>
      <c r="RRK110" s="17"/>
      <c r="RRL110" s="17"/>
      <c r="RRM110" s="17"/>
      <c r="RRN110" s="17"/>
      <c r="RRO110" s="17"/>
      <c r="RRP110" s="17"/>
      <c r="RRQ110" s="17"/>
      <c r="RRR110" s="17"/>
      <c r="RRS110" s="17"/>
      <c r="RRT110" s="17"/>
      <c r="RRU110" s="17"/>
      <c r="RRV110" s="17"/>
      <c r="RRW110" s="17"/>
      <c r="RRX110" s="17"/>
      <c r="RRY110" s="17"/>
      <c r="RRZ110" s="17"/>
      <c r="RSA110" s="17"/>
      <c r="RSB110" s="17"/>
      <c r="RSC110" s="17"/>
      <c r="RSD110" s="17"/>
      <c r="RSE110" s="17"/>
      <c r="RSF110" s="17"/>
      <c r="RSG110" s="17"/>
      <c r="RSH110" s="17"/>
      <c r="RSI110" s="17"/>
      <c r="RSJ110" s="17"/>
      <c r="RSK110" s="17"/>
      <c r="RSL110" s="17"/>
      <c r="RSM110" s="17"/>
      <c r="RSN110" s="17"/>
      <c r="RSO110" s="17"/>
      <c r="RSP110" s="17"/>
      <c r="RSQ110" s="17"/>
      <c r="RSR110" s="17"/>
      <c r="RSS110" s="17"/>
      <c r="RST110" s="17"/>
      <c r="RSU110" s="17"/>
      <c r="RSV110" s="17"/>
      <c r="RSW110" s="17"/>
      <c r="RSX110" s="17"/>
      <c r="RSY110" s="17"/>
      <c r="RSZ110" s="17"/>
      <c r="RTA110" s="17"/>
      <c r="RTB110" s="17"/>
      <c r="RTC110" s="17"/>
      <c r="RTD110" s="17"/>
      <c r="RTE110" s="17"/>
      <c r="RTF110" s="17"/>
      <c r="RTG110" s="17"/>
      <c r="RTH110" s="17"/>
      <c r="RTI110" s="17"/>
      <c r="RTJ110" s="17"/>
      <c r="RTK110" s="17"/>
      <c r="RTL110" s="17"/>
      <c r="RTM110" s="17"/>
      <c r="RTN110" s="17"/>
      <c r="RTO110" s="17"/>
      <c r="RTP110" s="17"/>
      <c r="RTQ110" s="17"/>
      <c r="RTR110" s="17"/>
      <c r="RTS110" s="17"/>
      <c r="RTT110" s="17"/>
      <c r="RTU110" s="17"/>
      <c r="RTV110" s="17"/>
      <c r="RTW110" s="17"/>
      <c r="RTX110" s="17"/>
      <c r="RTY110" s="17"/>
      <c r="RTZ110" s="17"/>
      <c r="RUA110" s="17"/>
      <c r="RUB110" s="17"/>
      <c r="RUC110" s="17"/>
      <c r="RUD110" s="17"/>
      <c r="RUE110" s="17"/>
      <c r="RUF110" s="17"/>
      <c r="RUG110" s="17"/>
      <c r="RUH110" s="17"/>
      <c r="RUI110" s="17"/>
      <c r="RUJ110" s="17"/>
      <c r="RUK110" s="17"/>
      <c r="RUL110" s="17"/>
      <c r="RUM110" s="17"/>
      <c r="RUN110" s="17"/>
      <c r="RUO110" s="17"/>
      <c r="RUP110" s="17"/>
      <c r="RUQ110" s="17"/>
      <c r="RUR110" s="17"/>
      <c r="RUS110" s="17"/>
      <c r="RUT110" s="17"/>
      <c r="RUU110" s="17"/>
      <c r="RUV110" s="17"/>
      <c r="RUW110" s="17"/>
      <c r="RUX110" s="17"/>
      <c r="RUY110" s="17"/>
      <c r="RUZ110" s="17"/>
      <c r="RVA110" s="17"/>
      <c r="RVB110" s="17"/>
      <c r="RVC110" s="17"/>
      <c r="RVD110" s="17"/>
      <c r="RVE110" s="17"/>
      <c r="RVF110" s="17"/>
      <c r="RVG110" s="17"/>
      <c r="RVH110" s="17"/>
      <c r="RVI110" s="17"/>
      <c r="RVJ110" s="17"/>
      <c r="RVK110" s="17"/>
      <c r="RVL110" s="17"/>
      <c r="RVM110" s="17"/>
      <c r="RVN110" s="17"/>
      <c r="RVO110" s="17"/>
      <c r="RVP110" s="17"/>
      <c r="RVQ110" s="17"/>
      <c r="RVR110" s="17"/>
      <c r="RVS110" s="17"/>
      <c r="RVT110" s="17"/>
      <c r="RVU110" s="17"/>
      <c r="RVV110" s="17"/>
      <c r="RVW110" s="17"/>
      <c r="RVX110" s="17"/>
      <c r="RVY110" s="17"/>
      <c r="RVZ110" s="17"/>
      <c r="RWA110" s="17"/>
      <c r="RWB110" s="17"/>
      <c r="RWC110" s="17"/>
      <c r="RWD110" s="17"/>
      <c r="RWE110" s="17"/>
      <c r="RWF110" s="17"/>
      <c r="RWG110" s="17"/>
      <c r="RWH110" s="17"/>
      <c r="RWI110" s="17"/>
      <c r="RWJ110" s="17"/>
      <c r="RWK110" s="17"/>
      <c r="RWL110" s="17"/>
      <c r="RWM110" s="17"/>
      <c r="RWN110" s="17"/>
      <c r="RWO110" s="17"/>
      <c r="RWP110" s="17"/>
      <c r="RWQ110" s="17"/>
      <c r="RWR110" s="17"/>
      <c r="RWS110" s="17"/>
      <c r="RWT110" s="17"/>
      <c r="RWU110" s="17"/>
      <c r="RWV110" s="17"/>
      <c r="RWW110" s="17"/>
      <c r="RWX110" s="17"/>
      <c r="RWY110" s="17"/>
      <c r="RWZ110" s="17"/>
      <c r="RXA110" s="17"/>
      <c r="RXB110" s="17"/>
      <c r="RXC110" s="17"/>
      <c r="RXD110" s="17"/>
      <c r="RXE110" s="17"/>
      <c r="RXF110" s="17"/>
      <c r="RXG110" s="17"/>
      <c r="RXH110" s="17"/>
      <c r="RXI110" s="17"/>
      <c r="RXJ110" s="17"/>
      <c r="RXK110" s="17"/>
      <c r="RXL110" s="17"/>
      <c r="RXM110" s="17"/>
      <c r="RXN110" s="17"/>
      <c r="RXO110" s="17"/>
      <c r="RXP110" s="17"/>
      <c r="RXQ110" s="17"/>
      <c r="RXR110" s="17"/>
      <c r="RXS110" s="17"/>
      <c r="RXT110" s="17"/>
      <c r="RXU110" s="17"/>
      <c r="RXV110" s="17"/>
      <c r="RXW110" s="17"/>
      <c r="RXX110" s="17"/>
      <c r="RXY110" s="17"/>
      <c r="RXZ110" s="17"/>
      <c r="RYA110" s="17"/>
      <c r="RYB110" s="17"/>
      <c r="RYC110" s="17"/>
      <c r="RYD110" s="17"/>
      <c r="RYE110" s="17"/>
      <c r="RYF110" s="17"/>
      <c r="RYG110" s="17"/>
      <c r="RYH110" s="17"/>
      <c r="RYI110" s="17"/>
      <c r="RYJ110" s="17"/>
      <c r="RYK110" s="17"/>
      <c r="RYL110" s="17"/>
      <c r="RYM110" s="17"/>
      <c r="RYN110" s="17"/>
      <c r="RYO110" s="17"/>
      <c r="RYP110" s="17"/>
      <c r="RYQ110" s="17"/>
      <c r="RYR110" s="17"/>
      <c r="RYS110" s="17"/>
      <c r="RYT110" s="17"/>
      <c r="RYU110" s="17"/>
      <c r="RYV110" s="17"/>
      <c r="RYW110" s="17"/>
      <c r="RYX110" s="17"/>
      <c r="RYY110" s="17"/>
      <c r="RYZ110" s="17"/>
      <c r="RZA110" s="17"/>
      <c r="RZB110" s="17"/>
      <c r="RZC110" s="17"/>
      <c r="RZD110" s="17"/>
      <c r="RZE110" s="17"/>
      <c r="RZF110" s="17"/>
      <c r="RZG110" s="17"/>
      <c r="RZH110" s="17"/>
      <c r="RZI110" s="17"/>
      <c r="RZJ110" s="17"/>
      <c r="RZK110" s="17"/>
      <c r="RZL110" s="17"/>
      <c r="RZM110" s="17"/>
      <c r="RZN110" s="17"/>
      <c r="RZO110" s="17"/>
      <c r="RZP110" s="17"/>
      <c r="RZQ110" s="17"/>
      <c r="RZR110" s="17"/>
      <c r="RZS110" s="17"/>
      <c r="RZT110" s="17"/>
      <c r="RZU110" s="17"/>
      <c r="RZV110" s="17"/>
      <c r="RZW110" s="17"/>
      <c r="RZX110" s="17"/>
      <c r="RZY110" s="17"/>
      <c r="RZZ110" s="17"/>
      <c r="SAA110" s="17"/>
      <c r="SAB110" s="17"/>
      <c r="SAC110" s="17"/>
      <c r="SAD110" s="17"/>
      <c r="SAE110" s="17"/>
      <c r="SAF110" s="17"/>
      <c r="SAG110" s="17"/>
      <c r="SAH110" s="17"/>
      <c r="SAI110" s="17"/>
      <c r="SAJ110" s="17"/>
      <c r="SAK110" s="17"/>
      <c r="SAL110" s="17"/>
      <c r="SAM110" s="17"/>
      <c r="SAN110" s="17"/>
      <c r="SAO110" s="17"/>
      <c r="SAP110" s="17"/>
      <c r="SAQ110" s="17"/>
      <c r="SAR110" s="17"/>
      <c r="SAS110" s="17"/>
      <c r="SAT110" s="17"/>
      <c r="SAU110" s="17"/>
      <c r="SAV110" s="17"/>
      <c r="SAW110" s="17"/>
      <c r="SAX110" s="17"/>
      <c r="SAY110" s="17"/>
      <c r="SAZ110" s="17"/>
      <c r="SBA110" s="17"/>
      <c r="SBB110" s="17"/>
      <c r="SBC110" s="17"/>
      <c r="SBD110" s="17"/>
      <c r="SBE110" s="17"/>
      <c r="SBF110" s="17"/>
      <c r="SBG110" s="17"/>
      <c r="SBH110" s="17"/>
      <c r="SBI110" s="17"/>
      <c r="SBJ110" s="17"/>
      <c r="SBK110" s="17"/>
      <c r="SBL110" s="17"/>
      <c r="SBM110" s="17"/>
      <c r="SBN110" s="17"/>
      <c r="SBO110" s="17"/>
      <c r="SBP110" s="17"/>
      <c r="SBQ110" s="17"/>
      <c r="SBR110" s="17"/>
      <c r="SBS110" s="17"/>
      <c r="SBT110" s="17"/>
      <c r="SBU110" s="17"/>
      <c r="SBV110" s="17"/>
      <c r="SBW110" s="17"/>
      <c r="SBX110" s="17"/>
      <c r="SBY110" s="17"/>
      <c r="SBZ110" s="17"/>
      <c r="SCA110" s="17"/>
      <c r="SCB110" s="17"/>
      <c r="SCC110" s="17"/>
      <c r="SCD110" s="17"/>
      <c r="SCE110" s="17"/>
      <c r="SCF110" s="17"/>
      <c r="SCG110" s="17"/>
      <c r="SCH110" s="17"/>
      <c r="SCI110" s="17"/>
      <c r="SCJ110" s="17"/>
      <c r="SCK110" s="17"/>
      <c r="SCL110" s="17"/>
      <c r="SCM110" s="17"/>
      <c r="SCN110" s="17"/>
      <c r="SCO110" s="17"/>
      <c r="SCP110" s="17"/>
      <c r="SCQ110" s="17"/>
      <c r="SCR110" s="17"/>
      <c r="SCS110" s="17"/>
      <c r="SCT110" s="17"/>
      <c r="SCU110" s="17"/>
      <c r="SCV110" s="17"/>
      <c r="SCW110" s="17"/>
      <c r="SCX110" s="17"/>
      <c r="SCY110" s="17"/>
      <c r="SCZ110" s="17"/>
      <c r="SDA110" s="17"/>
      <c r="SDB110" s="17"/>
      <c r="SDC110" s="17"/>
      <c r="SDD110" s="17"/>
      <c r="SDE110" s="17"/>
      <c r="SDF110" s="17"/>
      <c r="SDG110" s="17"/>
      <c r="SDH110" s="17"/>
      <c r="SDI110" s="17"/>
      <c r="SDJ110" s="17"/>
      <c r="SDK110" s="17"/>
      <c r="SDL110" s="17"/>
      <c r="SDM110" s="17"/>
      <c r="SDN110" s="17"/>
      <c r="SDO110" s="17"/>
      <c r="SDP110" s="17"/>
      <c r="SDQ110" s="17"/>
      <c r="SDR110" s="17"/>
      <c r="SDS110" s="17"/>
      <c r="SDT110" s="17"/>
      <c r="SDU110" s="17"/>
      <c r="SDV110" s="17"/>
      <c r="SDW110" s="17"/>
      <c r="SDX110" s="17"/>
      <c r="SDY110" s="17"/>
      <c r="SDZ110" s="17"/>
      <c r="SEA110" s="17"/>
      <c r="SEB110" s="17"/>
      <c r="SEC110" s="17"/>
      <c r="SED110" s="17"/>
      <c r="SEE110" s="17"/>
      <c r="SEF110" s="17"/>
      <c r="SEG110" s="17"/>
      <c r="SEH110" s="17"/>
      <c r="SEI110" s="17"/>
      <c r="SEJ110" s="17"/>
      <c r="SEK110" s="17"/>
      <c r="SEL110" s="17"/>
      <c r="SEM110" s="17"/>
      <c r="SEN110" s="17"/>
      <c r="SEO110" s="17"/>
      <c r="SEP110" s="17"/>
      <c r="SEQ110" s="17"/>
      <c r="SER110" s="17"/>
      <c r="SES110" s="17"/>
      <c r="SET110" s="17"/>
      <c r="SEU110" s="17"/>
      <c r="SEV110" s="17"/>
      <c r="SEW110" s="17"/>
      <c r="SEX110" s="17"/>
      <c r="SEY110" s="17"/>
      <c r="SEZ110" s="17"/>
      <c r="SFA110" s="17"/>
      <c r="SFB110" s="17"/>
      <c r="SFC110" s="17"/>
      <c r="SFD110" s="17"/>
      <c r="SFE110" s="17"/>
      <c r="SFF110" s="17"/>
      <c r="SFG110" s="17"/>
      <c r="SFH110" s="17"/>
      <c r="SFI110" s="17"/>
      <c r="SFJ110" s="17"/>
      <c r="SFK110" s="17"/>
      <c r="SFL110" s="17"/>
      <c r="SFM110" s="17"/>
      <c r="SFN110" s="17"/>
      <c r="SFO110" s="17"/>
      <c r="SFP110" s="17"/>
      <c r="SFQ110" s="17"/>
      <c r="SFR110" s="17"/>
      <c r="SFS110" s="17"/>
      <c r="SFT110" s="17"/>
      <c r="SFU110" s="17"/>
      <c r="SFV110" s="17"/>
      <c r="SFW110" s="17"/>
      <c r="SFX110" s="17"/>
      <c r="SFY110" s="17"/>
      <c r="SFZ110" s="17"/>
      <c r="SGA110" s="17"/>
      <c r="SGB110" s="17"/>
      <c r="SGC110" s="17"/>
      <c r="SGD110" s="17"/>
      <c r="SGE110" s="17"/>
      <c r="SGF110" s="17"/>
      <c r="SGG110" s="17"/>
      <c r="SGH110" s="17"/>
      <c r="SGI110" s="17"/>
      <c r="SGJ110" s="17"/>
      <c r="SGK110" s="17"/>
      <c r="SGL110" s="17"/>
      <c r="SGM110" s="17"/>
      <c r="SGN110" s="17"/>
      <c r="SGO110" s="17"/>
      <c r="SGP110" s="17"/>
      <c r="SGQ110" s="17"/>
      <c r="SGR110" s="17"/>
      <c r="SGS110" s="17"/>
      <c r="SGT110" s="17"/>
      <c r="SGU110" s="17"/>
      <c r="SGV110" s="17"/>
      <c r="SGW110" s="17"/>
      <c r="SGX110" s="17"/>
      <c r="SGY110" s="17"/>
      <c r="SGZ110" s="17"/>
      <c r="SHA110" s="17"/>
      <c r="SHB110" s="17"/>
      <c r="SHC110" s="17"/>
      <c r="SHD110" s="17"/>
      <c r="SHE110" s="17"/>
      <c r="SHF110" s="17"/>
      <c r="SHG110" s="17"/>
      <c r="SHH110" s="17"/>
      <c r="SHI110" s="17"/>
      <c r="SHJ110" s="17"/>
      <c r="SHK110" s="17"/>
      <c r="SHL110" s="17"/>
      <c r="SHM110" s="17"/>
      <c r="SHN110" s="17"/>
      <c r="SHO110" s="17"/>
      <c r="SHP110" s="17"/>
      <c r="SHQ110" s="17"/>
      <c r="SHR110" s="17"/>
      <c r="SHS110" s="17"/>
      <c r="SHT110" s="17"/>
      <c r="SHU110" s="17"/>
      <c r="SHV110" s="17"/>
      <c r="SHW110" s="17"/>
      <c r="SHX110" s="17"/>
      <c r="SHY110" s="17"/>
      <c r="SHZ110" s="17"/>
      <c r="SIA110" s="17"/>
      <c r="SIB110" s="17"/>
      <c r="SIC110" s="17"/>
      <c r="SID110" s="17"/>
      <c r="SIE110" s="17"/>
      <c r="SIF110" s="17"/>
      <c r="SIG110" s="17"/>
      <c r="SIH110" s="17"/>
      <c r="SII110" s="17"/>
      <c r="SIJ110" s="17"/>
      <c r="SIK110" s="17"/>
      <c r="SIL110" s="17"/>
      <c r="SIM110" s="17"/>
      <c r="SIN110" s="17"/>
      <c r="SIO110" s="17"/>
      <c r="SIP110" s="17"/>
      <c r="SIQ110" s="17"/>
      <c r="SIR110" s="17"/>
      <c r="SIS110" s="17"/>
      <c r="SIT110" s="17"/>
      <c r="SIU110" s="17"/>
      <c r="SIV110" s="17"/>
      <c r="SIW110" s="17"/>
      <c r="SIX110" s="17"/>
      <c r="SIY110" s="17"/>
      <c r="SIZ110" s="17"/>
      <c r="SJA110" s="17"/>
      <c r="SJB110" s="17"/>
      <c r="SJC110" s="17"/>
      <c r="SJD110" s="17"/>
      <c r="SJE110" s="17"/>
      <c r="SJF110" s="17"/>
      <c r="SJG110" s="17"/>
      <c r="SJH110" s="17"/>
      <c r="SJI110" s="17"/>
      <c r="SJJ110" s="17"/>
      <c r="SJK110" s="17"/>
      <c r="SJL110" s="17"/>
      <c r="SJM110" s="17"/>
      <c r="SJN110" s="17"/>
      <c r="SJO110" s="17"/>
      <c r="SJP110" s="17"/>
      <c r="SJQ110" s="17"/>
      <c r="SJR110" s="17"/>
      <c r="SJS110" s="17"/>
      <c r="SJT110" s="17"/>
      <c r="SJU110" s="17"/>
      <c r="SJV110" s="17"/>
      <c r="SJW110" s="17"/>
      <c r="SJX110" s="17"/>
      <c r="SJY110" s="17"/>
      <c r="SJZ110" s="17"/>
      <c r="SKA110" s="17"/>
      <c r="SKB110" s="17"/>
      <c r="SKC110" s="17"/>
      <c r="SKD110" s="17"/>
      <c r="SKE110" s="17"/>
      <c r="SKF110" s="17"/>
      <c r="SKG110" s="17"/>
      <c r="SKH110" s="17"/>
      <c r="SKI110" s="17"/>
      <c r="SKJ110" s="17"/>
      <c r="SKK110" s="17"/>
      <c r="SKL110" s="17"/>
      <c r="SKM110" s="17"/>
      <c r="SKN110" s="17"/>
      <c r="SKO110" s="17"/>
      <c r="SKP110" s="17"/>
      <c r="SKQ110" s="17"/>
      <c r="SKR110" s="17"/>
      <c r="SKS110" s="17"/>
      <c r="SKT110" s="17"/>
      <c r="SKU110" s="17"/>
      <c r="SKV110" s="17"/>
      <c r="SKW110" s="17"/>
      <c r="SKX110" s="17"/>
      <c r="SKY110" s="17"/>
      <c r="SKZ110" s="17"/>
      <c r="SLA110" s="17"/>
      <c r="SLB110" s="17"/>
      <c r="SLC110" s="17"/>
      <c r="SLD110" s="17"/>
      <c r="SLE110" s="17"/>
      <c r="SLF110" s="17"/>
      <c r="SLG110" s="17"/>
      <c r="SLH110" s="17"/>
      <c r="SLI110" s="17"/>
      <c r="SLJ110" s="17"/>
      <c r="SLK110" s="17"/>
      <c r="SLL110" s="17"/>
      <c r="SLM110" s="17"/>
      <c r="SLN110" s="17"/>
      <c r="SLO110" s="17"/>
      <c r="SLP110" s="17"/>
      <c r="SLQ110" s="17"/>
      <c r="SLR110" s="17"/>
      <c r="SLS110" s="17"/>
      <c r="SLT110" s="17"/>
      <c r="SLU110" s="17"/>
      <c r="SLV110" s="17"/>
      <c r="SLW110" s="17"/>
      <c r="SLX110" s="17"/>
      <c r="SLY110" s="17"/>
      <c r="SLZ110" s="17"/>
      <c r="SMA110" s="17"/>
      <c r="SMB110" s="17"/>
      <c r="SMC110" s="17"/>
      <c r="SMD110" s="17"/>
      <c r="SME110" s="17"/>
      <c r="SMF110" s="17"/>
      <c r="SMG110" s="17"/>
      <c r="SMH110" s="17"/>
      <c r="SMI110" s="17"/>
      <c r="SMJ110" s="17"/>
      <c r="SMK110" s="17"/>
      <c r="SML110" s="17"/>
      <c r="SMM110" s="17"/>
      <c r="SMN110" s="17"/>
      <c r="SMO110" s="17"/>
      <c r="SMP110" s="17"/>
      <c r="SMQ110" s="17"/>
      <c r="SMR110" s="17"/>
      <c r="SMS110" s="17"/>
      <c r="SMT110" s="17"/>
      <c r="SMU110" s="17"/>
      <c r="SMV110" s="17"/>
      <c r="SMW110" s="17"/>
      <c r="SMX110" s="17"/>
      <c r="SMY110" s="17"/>
      <c r="SMZ110" s="17"/>
      <c r="SNA110" s="17"/>
      <c r="SNB110" s="17"/>
      <c r="SNC110" s="17"/>
      <c r="SND110" s="17"/>
      <c r="SNE110" s="17"/>
      <c r="SNF110" s="17"/>
      <c r="SNG110" s="17"/>
      <c r="SNH110" s="17"/>
      <c r="SNI110" s="17"/>
      <c r="SNJ110" s="17"/>
      <c r="SNK110" s="17"/>
      <c r="SNL110" s="17"/>
      <c r="SNM110" s="17"/>
      <c r="SNN110" s="17"/>
      <c r="SNO110" s="17"/>
      <c r="SNP110" s="17"/>
      <c r="SNQ110" s="17"/>
      <c r="SNR110" s="17"/>
      <c r="SNS110" s="17"/>
      <c r="SNT110" s="17"/>
      <c r="SNU110" s="17"/>
      <c r="SNV110" s="17"/>
      <c r="SNW110" s="17"/>
      <c r="SNX110" s="17"/>
      <c r="SNY110" s="17"/>
      <c r="SNZ110" s="17"/>
      <c r="SOA110" s="17"/>
      <c r="SOB110" s="17"/>
      <c r="SOC110" s="17"/>
      <c r="SOD110" s="17"/>
      <c r="SOE110" s="17"/>
      <c r="SOF110" s="17"/>
      <c r="SOG110" s="17"/>
      <c r="SOH110" s="17"/>
      <c r="SOI110" s="17"/>
      <c r="SOJ110" s="17"/>
      <c r="SOK110" s="17"/>
      <c r="SOL110" s="17"/>
      <c r="SOM110" s="17"/>
      <c r="SON110" s="17"/>
      <c r="SOO110" s="17"/>
      <c r="SOP110" s="17"/>
      <c r="SOQ110" s="17"/>
      <c r="SOR110" s="17"/>
      <c r="SOS110" s="17"/>
      <c r="SOT110" s="17"/>
      <c r="SOU110" s="17"/>
      <c r="SOV110" s="17"/>
      <c r="SOW110" s="17"/>
      <c r="SOX110" s="17"/>
      <c r="SOY110" s="17"/>
      <c r="SOZ110" s="17"/>
      <c r="SPA110" s="17"/>
      <c r="SPB110" s="17"/>
      <c r="SPC110" s="17"/>
      <c r="SPD110" s="17"/>
      <c r="SPE110" s="17"/>
      <c r="SPF110" s="17"/>
      <c r="SPG110" s="17"/>
      <c r="SPH110" s="17"/>
      <c r="SPI110" s="17"/>
      <c r="SPJ110" s="17"/>
      <c r="SPK110" s="17"/>
      <c r="SPL110" s="17"/>
      <c r="SPM110" s="17"/>
      <c r="SPN110" s="17"/>
      <c r="SPO110" s="17"/>
      <c r="SPP110" s="17"/>
      <c r="SPQ110" s="17"/>
      <c r="SPR110" s="17"/>
      <c r="SPS110" s="17"/>
      <c r="SPT110" s="17"/>
      <c r="SPU110" s="17"/>
      <c r="SPV110" s="17"/>
      <c r="SPW110" s="17"/>
      <c r="SPX110" s="17"/>
      <c r="SPY110" s="17"/>
      <c r="SPZ110" s="17"/>
      <c r="SQA110" s="17"/>
      <c r="SQB110" s="17"/>
      <c r="SQC110" s="17"/>
      <c r="SQD110" s="17"/>
      <c r="SQE110" s="17"/>
      <c r="SQF110" s="17"/>
      <c r="SQG110" s="17"/>
      <c r="SQH110" s="17"/>
      <c r="SQI110" s="17"/>
      <c r="SQJ110" s="17"/>
      <c r="SQK110" s="17"/>
      <c r="SQL110" s="17"/>
      <c r="SQM110" s="17"/>
      <c r="SQN110" s="17"/>
      <c r="SQO110" s="17"/>
      <c r="SQP110" s="17"/>
      <c r="SQQ110" s="17"/>
      <c r="SQR110" s="17"/>
      <c r="SQS110" s="17"/>
      <c r="SQT110" s="17"/>
      <c r="SQU110" s="17"/>
      <c r="SQV110" s="17"/>
      <c r="SQW110" s="17"/>
      <c r="SQX110" s="17"/>
      <c r="SQY110" s="17"/>
      <c r="SQZ110" s="17"/>
      <c r="SRA110" s="17"/>
      <c r="SRB110" s="17"/>
      <c r="SRC110" s="17"/>
      <c r="SRD110" s="17"/>
      <c r="SRE110" s="17"/>
      <c r="SRF110" s="17"/>
      <c r="SRG110" s="17"/>
      <c r="SRH110" s="17"/>
      <c r="SRI110" s="17"/>
      <c r="SRJ110" s="17"/>
      <c r="SRK110" s="17"/>
      <c r="SRL110" s="17"/>
      <c r="SRM110" s="17"/>
      <c r="SRN110" s="17"/>
      <c r="SRO110" s="17"/>
      <c r="SRP110" s="17"/>
      <c r="SRQ110" s="17"/>
      <c r="SRR110" s="17"/>
      <c r="SRS110" s="17"/>
      <c r="SRT110" s="17"/>
      <c r="SRU110" s="17"/>
      <c r="SRV110" s="17"/>
      <c r="SRW110" s="17"/>
      <c r="SRX110" s="17"/>
      <c r="SRY110" s="17"/>
      <c r="SRZ110" s="17"/>
      <c r="SSA110" s="17"/>
      <c r="SSB110" s="17"/>
      <c r="SSC110" s="17"/>
      <c r="SSD110" s="17"/>
      <c r="SSE110" s="17"/>
      <c r="SSF110" s="17"/>
      <c r="SSG110" s="17"/>
      <c r="SSH110" s="17"/>
      <c r="SSI110" s="17"/>
      <c r="SSJ110" s="17"/>
      <c r="SSK110" s="17"/>
      <c r="SSL110" s="17"/>
      <c r="SSM110" s="17"/>
      <c r="SSN110" s="17"/>
      <c r="SSO110" s="17"/>
      <c r="SSP110" s="17"/>
      <c r="SSQ110" s="17"/>
      <c r="SSR110" s="17"/>
      <c r="SSS110" s="17"/>
      <c r="SST110" s="17"/>
      <c r="SSU110" s="17"/>
      <c r="SSV110" s="17"/>
      <c r="SSW110" s="17"/>
      <c r="SSX110" s="17"/>
      <c r="SSY110" s="17"/>
      <c r="SSZ110" s="17"/>
      <c r="STA110" s="17"/>
      <c r="STB110" s="17"/>
      <c r="STC110" s="17"/>
      <c r="STD110" s="17"/>
      <c r="STE110" s="17"/>
      <c r="STF110" s="17"/>
      <c r="STG110" s="17"/>
      <c r="STH110" s="17"/>
      <c r="STI110" s="17"/>
      <c r="STJ110" s="17"/>
      <c r="STK110" s="17"/>
      <c r="STL110" s="17"/>
      <c r="STM110" s="17"/>
      <c r="STN110" s="17"/>
      <c r="STO110" s="17"/>
      <c r="STP110" s="17"/>
      <c r="STQ110" s="17"/>
      <c r="STR110" s="17"/>
      <c r="STS110" s="17"/>
      <c r="STT110" s="17"/>
      <c r="STU110" s="17"/>
      <c r="STV110" s="17"/>
      <c r="STW110" s="17"/>
      <c r="STX110" s="17"/>
      <c r="STY110" s="17"/>
      <c r="STZ110" s="17"/>
      <c r="SUA110" s="17"/>
      <c r="SUB110" s="17"/>
      <c r="SUC110" s="17"/>
      <c r="SUD110" s="17"/>
      <c r="SUE110" s="17"/>
      <c r="SUF110" s="17"/>
      <c r="SUG110" s="17"/>
      <c r="SUH110" s="17"/>
      <c r="SUI110" s="17"/>
      <c r="SUJ110" s="17"/>
      <c r="SUK110" s="17"/>
      <c r="SUL110" s="17"/>
      <c r="SUM110" s="17"/>
      <c r="SUN110" s="17"/>
      <c r="SUO110" s="17"/>
      <c r="SUP110" s="17"/>
      <c r="SUQ110" s="17"/>
      <c r="SUR110" s="17"/>
      <c r="SUS110" s="17"/>
      <c r="SUT110" s="17"/>
      <c r="SUU110" s="17"/>
      <c r="SUV110" s="17"/>
      <c r="SUW110" s="17"/>
      <c r="SUX110" s="17"/>
      <c r="SUY110" s="17"/>
      <c r="SUZ110" s="17"/>
      <c r="SVA110" s="17"/>
      <c r="SVB110" s="17"/>
      <c r="SVC110" s="17"/>
      <c r="SVD110" s="17"/>
      <c r="SVE110" s="17"/>
      <c r="SVF110" s="17"/>
      <c r="SVG110" s="17"/>
      <c r="SVH110" s="17"/>
      <c r="SVI110" s="17"/>
      <c r="SVJ110" s="17"/>
      <c r="SVK110" s="17"/>
      <c r="SVL110" s="17"/>
      <c r="SVM110" s="17"/>
      <c r="SVN110" s="17"/>
      <c r="SVO110" s="17"/>
      <c r="SVP110" s="17"/>
      <c r="SVQ110" s="17"/>
      <c r="SVR110" s="17"/>
      <c r="SVS110" s="17"/>
      <c r="SVT110" s="17"/>
      <c r="SVU110" s="17"/>
      <c r="SVV110" s="17"/>
      <c r="SVW110" s="17"/>
      <c r="SVX110" s="17"/>
      <c r="SVY110" s="17"/>
      <c r="SVZ110" s="17"/>
      <c r="SWA110" s="17"/>
      <c r="SWB110" s="17"/>
      <c r="SWC110" s="17"/>
      <c r="SWD110" s="17"/>
      <c r="SWE110" s="17"/>
      <c r="SWF110" s="17"/>
      <c r="SWG110" s="17"/>
      <c r="SWH110" s="17"/>
      <c r="SWI110" s="17"/>
      <c r="SWJ110" s="17"/>
      <c r="SWK110" s="17"/>
      <c r="SWL110" s="17"/>
      <c r="SWM110" s="17"/>
      <c r="SWN110" s="17"/>
      <c r="SWO110" s="17"/>
      <c r="SWP110" s="17"/>
      <c r="SWQ110" s="17"/>
      <c r="SWR110" s="17"/>
      <c r="SWS110" s="17"/>
      <c r="SWT110" s="17"/>
      <c r="SWU110" s="17"/>
      <c r="SWV110" s="17"/>
      <c r="SWW110" s="17"/>
      <c r="SWX110" s="17"/>
      <c r="SWY110" s="17"/>
      <c r="SWZ110" s="17"/>
      <c r="SXA110" s="17"/>
      <c r="SXB110" s="17"/>
      <c r="SXC110" s="17"/>
      <c r="SXD110" s="17"/>
      <c r="SXE110" s="17"/>
      <c r="SXF110" s="17"/>
      <c r="SXG110" s="17"/>
      <c r="SXH110" s="17"/>
      <c r="SXI110" s="17"/>
      <c r="SXJ110" s="17"/>
      <c r="SXK110" s="17"/>
      <c r="SXL110" s="17"/>
      <c r="SXM110" s="17"/>
      <c r="SXN110" s="17"/>
      <c r="SXO110" s="17"/>
      <c r="SXP110" s="17"/>
      <c r="SXQ110" s="17"/>
      <c r="SXR110" s="17"/>
      <c r="SXS110" s="17"/>
      <c r="SXT110" s="17"/>
      <c r="SXU110" s="17"/>
      <c r="SXV110" s="17"/>
      <c r="SXW110" s="17"/>
      <c r="SXX110" s="17"/>
      <c r="SXY110" s="17"/>
      <c r="SXZ110" s="17"/>
      <c r="SYA110" s="17"/>
      <c r="SYB110" s="17"/>
      <c r="SYC110" s="17"/>
      <c r="SYD110" s="17"/>
      <c r="SYE110" s="17"/>
      <c r="SYF110" s="17"/>
      <c r="SYG110" s="17"/>
      <c r="SYH110" s="17"/>
      <c r="SYI110" s="17"/>
      <c r="SYJ110" s="17"/>
      <c r="SYK110" s="17"/>
      <c r="SYL110" s="17"/>
      <c r="SYM110" s="17"/>
      <c r="SYN110" s="17"/>
      <c r="SYO110" s="17"/>
      <c r="SYP110" s="17"/>
      <c r="SYQ110" s="17"/>
      <c r="SYR110" s="17"/>
      <c r="SYS110" s="17"/>
      <c r="SYT110" s="17"/>
      <c r="SYU110" s="17"/>
      <c r="SYV110" s="17"/>
      <c r="SYW110" s="17"/>
      <c r="SYX110" s="17"/>
      <c r="SYY110" s="17"/>
      <c r="SYZ110" s="17"/>
      <c r="SZA110" s="17"/>
      <c r="SZB110" s="17"/>
      <c r="SZC110" s="17"/>
      <c r="SZD110" s="17"/>
      <c r="SZE110" s="17"/>
      <c r="SZF110" s="17"/>
      <c r="SZG110" s="17"/>
      <c r="SZH110" s="17"/>
      <c r="SZI110" s="17"/>
      <c r="SZJ110" s="17"/>
      <c r="SZK110" s="17"/>
      <c r="SZL110" s="17"/>
      <c r="SZM110" s="17"/>
      <c r="SZN110" s="17"/>
      <c r="SZO110" s="17"/>
      <c r="SZP110" s="17"/>
      <c r="SZQ110" s="17"/>
      <c r="SZR110" s="17"/>
      <c r="SZS110" s="17"/>
      <c r="SZT110" s="17"/>
      <c r="SZU110" s="17"/>
      <c r="SZV110" s="17"/>
      <c r="SZW110" s="17"/>
      <c r="SZX110" s="17"/>
      <c r="SZY110" s="17"/>
      <c r="SZZ110" s="17"/>
      <c r="TAA110" s="17"/>
      <c r="TAB110" s="17"/>
      <c r="TAC110" s="17"/>
      <c r="TAD110" s="17"/>
      <c r="TAE110" s="17"/>
      <c r="TAF110" s="17"/>
      <c r="TAG110" s="17"/>
      <c r="TAH110" s="17"/>
      <c r="TAI110" s="17"/>
      <c r="TAJ110" s="17"/>
      <c r="TAK110" s="17"/>
      <c r="TAL110" s="17"/>
      <c r="TAM110" s="17"/>
      <c r="TAN110" s="17"/>
      <c r="TAO110" s="17"/>
      <c r="TAP110" s="17"/>
      <c r="TAQ110" s="17"/>
      <c r="TAR110" s="17"/>
      <c r="TAS110" s="17"/>
      <c r="TAT110" s="17"/>
      <c r="TAU110" s="17"/>
      <c r="TAV110" s="17"/>
      <c r="TAW110" s="17"/>
      <c r="TAX110" s="17"/>
      <c r="TAY110" s="17"/>
      <c r="TAZ110" s="17"/>
      <c r="TBA110" s="17"/>
      <c r="TBB110" s="17"/>
      <c r="TBC110" s="17"/>
      <c r="TBD110" s="17"/>
      <c r="TBE110" s="17"/>
      <c r="TBF110" s="17"/>
      <c r="TBG110" s="17"/>
      <c r="TBH110" s="17"/>
      <c r="TBI110" s="17"/>
      <c r="TBJ110" s="17"/>
      <c r="TBK110" s="17"/>
      <c r="TBL110" s="17"/>
      <c r="TBM110" s="17"/>
      <c r="TBN110" s="17"/>
      <c r="TBO110" s="17"/>
      <c r="TBP110" s="17"/>
      <c r="TBQ110" s="17"/>
      <c r="TBR110" s="17"/>
      <c r="TBS110" s="17"/>
      <c r="TBT110" s="17"/>
      <c r="TBU110" s="17"/>
      <c r="TBV110" s="17"/>
      <c r="TBW110" s="17"/>
      <c r="TBX110" s="17"/>
      <c r="TBY110" s="17"/>
      <c r="TBZ110" s="17"/>
      <c r="TCA110" s="17"/>
      <c r="TCB110" s="17"/>
      <c r="TCC110" s="17"/>
      <c r="TCD110" s="17"/>
      <c r="TCE110" s="17"/>
      <c r="TCF110" s="17"/>
      <c r="TCG110" s="17"/>
      <c r="TCH110" s="17"/>
      <c r="TCI110" s="17"/>
      <c r="TCJ110" s="17"/>
      <c r="TCK110" s="17"/>
      <c r="TCL110" s="17"/>
      <c r="TCM110" s="17"/>
      <c r="TCN110" s="17"/>
      <c r="TCO110" s="17"/>
      <c r="TCP110" s="17"/>
      <c r="TCQ110" s="17"/>
      <c r="TCR110" s="17"/>
      <c r="TCS110" s="17"/>
      <c r="TCT110" s="17"/>
      <c r="TCU110" s="17"/>
      <c r="TCV110" s="17"/>
      <c r="TCW110" s="17"/>
      <c r="TCX110" s="17"/>
      <c r="TCY110" s="17"/>
      <c r="TCZ110" s="17"/>
      <c r="TDA110" s="17"/>
      <c r="TDB110" s="17"/>
      <c r="TDC110" s="17"/>
      <c r="TDD110" s="17"/>
      <c r="TDE110" s="17"/>
      <c r="TDF110" s="17"/>
      <c r="TDG110" s="17"/>
      <c r="TDH110" s="17"/>
      <c r="TDI110" s="17"/>
      <c r="TDJ110" s="17"/>
      <c r="TDK110" s="17"/>
      <c r="TDL110" s="17"/>
      <c r="TDM110" s="17"/>
      <c r="TDN110" s="17"/>
      <c r="TDO110" s="17"/>
      <c r="TDP110" s="17"/>
      <c r="TDQ110" s="17"/>
      <c r="TDR110" s="17"/>
      <c r="TDS110" s="17"/>
      <c r="TDT110" s="17"/>
      <c r="TDU110" s="17"/>
      <c r="TDV110" s="17"/>
      <c r="TDW110" s="17"/>
      <c r="TDX110" s="17"/>
      <c r="TDY110" s="17"/>
      <c r="TDZ110" s="17"/>
      <c r="TEA110" s="17"/>
      <c r="TEB110" s="17"/>
      <c r="TEC110" s="17"/>
      <c r="TED110" s="17"/>
      <c r="TEE110" s="17"/>
      <c r="TEF110" s="17"/>
      <c r="TEG110" s="17"/>
      <c r="TEH110" s="17"/>
      <c r="TEI110" s="17"/>
      <c r="TEJ110" s="17"/>
      <c r="TEK110" s="17"/>
      <c r="TEL110" s="17"/>
      <c r="TEM110" s="17"/>
      <c r="TEN110" s="17"/>
      <c r="TEO110" s="17"/>
      <c r="TEP110" s="17"/>
      <c r="TEQ110" s="17"/>
      <c r="TER110" s="17"/>
      <c r="TES110" s="17"/>
      <c r="TET110" s="17"/>
      <c r="TEU110" s="17"/>
      <c r="TEV110" s="17"/>
      <c r="TEW110" s="17"/>
      <c r="TEX110" s="17"/>
      <c r="TEY110" s="17"/>
      <c r="TEZ110" s="17"/>
      <c r="TFA110" s="17"/>
      <c r="TFB110" s="17"/>
      <c r="TFC110" s="17"/>
      <c r="TFD110" s="17"/>
      <c r="TFE110" s="17"/>
      <c r="TFF110" s="17"/>
      <c r="TFG110" s="17"/>
      <c r="TFH110" s="17"/>
      <c r="TFI110" s="17"/>
      <c r="TFJ110" s="17"/>
      <c r="TFK110" s="17"/>
      <c r="TFL110" s="17"/>
      <c r="TFM110" s="17"/>
      <c r="TFN110" s="17"/>
      <c r="TFO110" s="17"/>
      <c r="TFP110" s="17"/>
      <c r="TFQ110" s="17"/>
      <c r="TFR110" s="17"/>
      <c r="TFS110" s="17"/>
      <c r="TFT110" s="17"/>
      <c r="TFU110" s="17"/>
      <c r="TFV110" s="17"/>
      <c r="TFW110" s="17"/>
      <c r="TFX110" s="17"/>
      <c r="TFY110" s="17"/>
      <c r="TFZ110" s="17"/>
      <c r="TGA110" s="17"/>
      <c r="TGB110" s="17"/>
      <c r="TGC110" s="17"/>
      <c r="TGD110" s="17"/>
      <c r="TGE110" s="17"/>
      <c r="TGF110" s="17"/>
      <c r="TGG110" s="17"/>
      <c r="TGH110" s="17"/>
      <c r="TGI110" s="17"/>
      <c r="TGJ110" s="17"/>
      <c r="TGK110" s="17"/>
      <c r="TGL110" s="17"/>
      <c r="TGM110" s="17"/>
      <c r="TGN110" s="17"/>
      <c r="TGO110" s="17"/>
      <c r="TGP110" s="17"/>
      <c r="TGQ110" s="17"/>
      <c r="TGR110" s="17"/>
      <c r="TGS110" s="17"/>
      <c r="TGT110" s="17"/>
      <c r="TGU110" s="17"/>
      <c r="TGV110" s="17"/>
      <c r="TGW110" s="17"/>
      <c r="TGX110" s="17"/>
      <c r="TGY110" s="17"/>
      <c r="TGZ110" s="17"/>
      <c r="THA110" s="17"/>
      <c r="THB110" s="17"/>
      <c r="THC110" s="17"/>
      <c r="THD110" s="17"/>
      <c r="THE110" s="17"/>
      <c r="THF110" s="17"/>
      <c r="THG110" s="17"/>
      <c r="THH110" s="17"/>
      <c r="THI110" s="17"/>
      <c r="THJ110" s="17"/>
      <c r="THK110" s="17"/>
      <c r="THL110" s="17"/>
      <c r="THM110" s="17"/>
      <c r="THN110" s="17"/>
      <c r="THO110" s="17"/>
      <c r="THP110" s="17"/>
      <c r="THQ110" s="17"/>
      <c r="THR110" s="17"/>
      <c r="THS110" s="17"/>
      <c r="THT110" s="17"/>
      <c r="THU110" s="17"/>
      <c r="THV110" s="17"/>
      <c r="THW110" s="17"/>
      <c r="THX110" s="17"/>
      <c r="THY110" s="17"/>
      <c r="THZ110" s="17"/>
      <c r="TIA110" s="17"/>
      <c r="TIB110" s="17"/>
      <c r="TIC110" s="17"/>
      <c r="TID110" s="17"/>
      <c r="TIE110" s="17"/>
      <c r="TIF110" s="17"/>
      <c r="TIG110" s="17"/>
      <c r="TIH110" s="17"/>
      <c r="TII110" s="17"/>
      <c r="TIJ110" s="17"/>
      <c r="TIK110" s="17"/>
      <c r="TIL110" s="17"/>
      <c r="TIM110" s="17"/>
      <c r="TIN110" s="17"/>
      <c r="TIO110" s="17"/>
      <c r="TIP110" s="17"/>
      <c r="TIQ110" s="17"/>
      <c r="TIR110" s="17"/>
      <c r="TIS110" s="17"/>
      <c r="TIT110" s="17"/>
      <c r="TIU110" s="17"/>
      <c r="TIV110" s="17"/>
      <c r="TIW110" s="17"/>
      <c r="TIX110" s="17"/>
      <c r="TIY110" s="17"/>
      <c r="TIZ110" s="17"/>
      <c r="TJA110" s="17"/>
      <c r="TJB110" s="17"/>
      <c r="TJC110" s="17"/>
      <c r="TJD110" s="17"/>
      <c r="TJE110" s="17"/>
      <c r="TJF110" s="17"/>
      <c r="TJG110" s="17"/>
      <c r="TJH110" s="17"/>
      <c r="TJI110" s="17"/>
      <c r="TJJ110" s="17"/>
      <c r="TJK110" s="17"/>
      <c r="TJL110" s="17"/>
      <c r="TJM110" s="17"/>
      <c r="TJN110" s="17"/>
      <c r="TJO110" s="17"/>
      <c r="TJP110" s="17"/>
      <c r="TJQ110" s="17"/>
      <c r="TJR110" s="17"/>
      <c r="TJS110" s="17"/>
      <c r="TJT110" s="17"/>
      <c r="TJU110" s="17"/>
      <c r="TJV110" s="17"/>
      <c r="TJW110" s="17"/>
      <c r="TJX110" s="17"/>
      <c r="TJY110" s="17"/>
      <c r="TJZ110" s="17"/>
      <c r="TKA110" s="17"/>
      <c r="TKB110" s="17"/>
      <c r="TKC110" s="17"/>
      <c r="TKD110" s="17"/>
      <c r="TKE110" s="17"/>
      <c r="TKF110" s="17"/>
      <c r="TKG110" s="17"/>
      <c r="TKH110" s="17"/>
      <c r="TKI110" s="17"/>
      <c r="TKJ110" s="17"/>
      <c r="TKK110" s="17"/>
      <c r="TKL110" s="17"/>
      <c r="TKM110" s="17"/>
      <c r="TKN110" s="17"/>
      <c r="TKO110" s="17"/>
      <c r="TKP110" s="17"/>
      <c r="TKQ110" s="17"/>
      <c r="TKR110" s="17"/>
      <c r="TKS110" s="17"/>
      <c r="TKT110" s="17"/>
      <c r="TKU110" s="17"/>
      <c r="TKV110" s="17"/>
      <c r="TKW110" s="17"/>
      <c r="TKX110" s="17"/>
      <c r="TKY110" s="17"/>
      <c r="TKZ110" s="17"/>
      <c r="TLA110" s="17"/>
      <c r="TLB110" s="17"/>
      <c r="TLC110" s="17"/>
      <c r="TLD110" s="17"/>
      <c r="TLE110" s="17"/>
      <c r="TLF110" s="17"/>
      <c r="TLG110" s="17"/>
      <c r="TLH110" s="17"/>
      <c r="TLI110" s="17"/>
      <c r="TLJ110" s="17"/>
      <c r="TLK110" s="17"/>
      <c r="TLL110" s="17"/>
      <c r="TLM110" s="17"/>
      <c r="TLN110" s="17"/>
      <c r="TLO110" s="17"/>
      <c r="TLP110" s="17"/>
      <c r="TLQ110" s="17"/>
      <c r="TLR110" s="17"/>
      <c r="TLS110" s="17"/>
      <c r="TLT110" s="17"/>
      <c r="TLU110" s="17"/>
      <c r="TLV110" s="17"/>
      <c r="TLW110" s="17"/>
      <c r="TLX110" s="17"/>
      <c r="TLY110" s="17"/>
      <c r="TLZ110" s="17"/>
      <c r="TMA110" s="17"/>
      <c r="TMB110" s="17"/>
      <c r="TMC110" s="17"/>
      <c r="TMD110" s="17"/>
      <c r="TME110" s="17"/>
      <c r="TMF110" s="17"/>
      <c r="TMG110" s="17"/>
      <c r="TMH110" s="17"/>
      <c r="TMI110" s="17"/>
      <c r="TMJ110" s="17"/>
      <c r="TMK110" s="17"/>
      <c r="TML110" s="17"/>
      <c r="TMM110" s="17"/>
      <c r="TMN110" s="17"/>
      <c r="TMO110" s="17"/>
      <c r="TMP110" s="17"/>
      <c r="TMQ110" s="17"/>
      <c r="TMR110" s="17"/>
      <c r="TMS110" s="17"/>
      <c r="TMT110" s="17"/>
      <c r="TMU110" s="17"/>
      <c r="TMV110" s="17"/>
      <c r="TMW110" s="17"/>
      <c r="TMX110" s="17"/>
      <c r="TMY110" s="17"/>
      <c r="TMZ110" s="17"/>
      <c r="TNA110" s="17"/>
      <c r="TNB110" s="17"/>
      <c r="TNC110" s="17"/>
      <c r="TND110" s="17"/>
      <c r="TNE110" s="17"/>
      <c r="TNF110" s="17"/>
      <c r="TNG110" s="17"/>
      <c r="TNH110" s="17"/>
      <c r="TNI110" s="17"/>
      <c r="TNJ110" s="17"/>
      <c r="TNK110" s="17"/>
      <c r="TNL110" s="17"/>
      <c r="TNM110" s="17"/>
      <c r="TNN110" s="17"/>
      <c r="TNO110" s="17"/>
      <c r="TNP110" s="17"/>
      <c r="TNQ110" s="17"/>
      <c r="TNR110" s="17"/>
      <c r="TNS110" s="17"/>
      <c r="TNT110" s="17"/>
      <c r="TNU110" s="17"/>
      <c r="TNV110" s="17"/>
      <c r="TNW110" s="17"/>
      <c r="TNX110" s="17"/>
      <c r="TNY110" s="17"/>
      <c r="TNZ110" s="17"/>
      <c r="TOA110" s="17"/>
      <c r="TOB110" s="17"/>
      <c r="TOC110" s="17"/>
      <c r="TOD110" s="17"/>
      <c r="TOE110" s="17"/>
      <c r="TOF110" s="17"/>
      <c r="TOG110" s="17"/>
      <c r="TOH110" s="17"/>
      <c r="TOI110" s="17"/>
      <c r="TOJ110" s="17"/>
      <c r="TOK110" s="17"/>
      <c r="TOL110" s="17"/>
      <c r="TOM110" s="17"/>
      <c r="TON110" s="17"/>
      <c r="TOO110" s="17"/>
      <c r="TOP110" s="17"/>
      <c r="TOQ110" s="17"/>
      <c r="TOR110" s="17"/>
      <c r="TOS110" s="17"/>
      <c r="TOT110" s="17"/>
      <c r="TOU110" s="17"/>
      <c r="TOV110" s="17"/>
      <c r="TOW110" s="17"/>
      <c r="TOX110" s="17"/>
      <c r="TOY110" s="17"/>
      <c r="TOZ110" s="17"/>
      <c r="TPA110" s="17"/>
      <c r="TPB110" s="17"/>
      <c r="TPC110" s="17"/>
      <c r="TPD110" s="17"/>
      <c r="TPE110" s="17"/>
      <c r="TPF110" s="17"/>
      <c r="TPG110" s="17"/>
      <c r="TPH110" s="17"/>
      <c r="TPI110" s="17"/>
      <c r="TPJ110" s="17"/>
      <c r="TPK110" s="17"/>
      <c r="TPL110" s="17"/>
      <c r="TPM110" s="17"/>
      <c r="TPN110" s="17"/>
      <c r="TPO110" s="17"/>
      <c r="TPP110" s="17"/>
      <c r="TPQ110" s="17"/>
      <c r="TPR110" s="17"/>
      <c r="TPS110" s="17"/>
      <c r="TPT110" s="17"/>
      <c r="TPU110" s="17"/>
      <c r="TPV110" s="17"/>
      <c r="TPW110" s="17"/>
      <c r="TPX110" s="17"/>
      <c r="TPY110" s="17"/>
      <c r="TPZ110" s="17"/>
      <c r="TQA110" s="17"/>
      <c r="TQB110" s="17"/>
      <c r="TQC110" s="17"/>
      <c r="TQD110" s="17"/>
      <c r="TQE110" s="17"/>
      <c r="TQF110" s="17"/>
      <c r="TQG110" s="17"/>
      <c r="TQH110" s="17"/>
      <c r="TQI110" s="17"/>
      <c r="TQJ110" s="17"/>
      <c r="TQK110" s="17"/>
      <c r="TQL110" s="17"/>
      <c r="TQM110" s="17"/>
      <c r="TQN110" s="17"/>
      <c r="TQO110" s="17"/>
      <c r="TQP110" s="17"/>
      <c r="TQQ110" s="17"/>
      <c r="TQR110" s="17"/>
      <c r="TQS110" s="17"/>
      <c r="TQT110" s="17"/>
      <c r="TQU110" s="17"/>
      <c r="TQV110" s="17"/>
      <c r="TQW110" s="17"/>
      <c r="TQX110" s="17"/>
      <c r="TQY110" s="17"/>
      <c r="TQZ110" s="17"/>
      <c r="TRA110" s="17"/>
      <c r="TRB110" s="17"/>
      <c r="TRC110" s="17"/>
      <c r="TRD110" s="17"/>
      <c r="TRE110" s="17"/>
      <c r="TRF110" s="17"/>
      <c r="TRG110" s="17"/>
      <c r="TRH110" s="17"/>
      <c r="TRI110" s="17"/>
      <c r="TRJ110" s="17"/>
      <c r="TRK110" s="17"/>
      <c r="TRL110" s="17"/>
      <c r="TRM110" s="17"/>
      <c r="TRN110" s="17"/>
      <c r="TRO110" s="17"/>
      <c r="TRP110" s="17"/>
      <c r="TRQ110" s="17"/>
      <c r="TRR110" s="17"/>
      <c r="TRS110" s="17"/>
      <c r="TRT110" s="17"/>
      <c r="TRU110" s="17"/>
      <c r="TRV110" s="17"/>
      <c r="TRW110" s="17"/>
      <c r="TRX110" s="17"/>
      <c r="TRY110" s="17"/>
      <c r="TRZ110" s="17"/>
      <c r="TSA110" s="17"/>
      <c r="TSB110" s="17"/>
      <c r="TSC110" s="17"/>
      <c r="TSD110" s="17"/>
      <c r="TSE110" s="17"/>
      <c r="TSF110" s="17"/>
      <c r="TSG110" s="17"/>
      <c r="TSH110" s="17"/>
      <c r="TSI110" s="17"/>
      <c r="TSJ110" s="17"/>
      <c r="TSK110" s="17"/>
      <c r="TSL110" s="17"/>
      <c r="TSM110" s="17"/>
      <c r="TSN110" s="17"/>
      <c r="TSO110" s="17"/>
      <c r="TSP110" s="17"/>
      <c r="TSQ110" s="17"/>
      <c r="TSR110" s="17"/>
      <c r="TSS110" s="17"/>
      <c r="TST110" s="17"/>
      <c r="TSU110" s="17"/>
      <c r="TSV110" s="17"/>
      <c r="TSW110" s="17"/>
      <c r="TSX110" s="17"/>
      <c r="TSY110" s="17"/>
      <c r="TSZ110" s="17"/>
      <c r="TTA110" s="17"/>
      <c r="TTB110" s="17"/>
      <c r="TTC110" s="17"/>
      <c r="TTD110" s="17"/>
      <c r="TTE110" s="17"/>
      <c r="TTF110" s="17"/>
      <c r="TTG110" s="17"/>
      <c r="TTH110" s="17"/>
      <c r="TTI110" s="17"/>
      <c r="TTJ110" s="17"/>
      <c r="TTK110" s="17"/>
      <c r="TTL110" s="17"/>
      <c r="TTM110" s="17"/>
      <c r="TTN110" s="17"/>
      <c r="TTO110" s="17"/>
      <c r="TTP110" s="17"/>
      <c r="TTQ110" s="17"/>
      <c r="TTR110" s="17"/>
      <c r="TTS110" s="17"/>
      <c r="TTT110" s="17"/>
      <c r="TTU110" s="17"/>
      <c r="TTV110" s="17"/>
      <c r="TTW110" s="17"/>
      <c r="TTX110" s="17"/>
      <c r="TTY110" s="17"/>
      <c r="TTZ110" s="17"/>
      <c r="TUA110" s="17"/>
      <c r="TUB110" s="17"/>
      <c r="TUC110" s="17"/>
      <c r="TUD110" s="17"/>
      <c r="TUE110" s="17"/>
      <c r="TUF110" s="17"/>
      <c r="TUG110" s="17"/>
      <c r="TUH110" s="17"/>
      <c r="TUI110" s="17"/>
      <c r="TUJ110" s="17"/>
      <c r="TUK110" s="17"/>
      <c r="TUL110" s="17"/>
      <c r="TUM110" s="17"/>
      <c r="TUN110" s="17"/>
      <c r="TUO110" s="17"/>
      <c r="TUP110" s="17"/>
      <c r="TUQ110" s="17"/>
      <c r="TUR110" s="17"/>
      <c r="TUS110" s="17"/>
      <c r="TUT110" s="17"/>
      <c r="TUU110" s="17"/>
      <c r="TUV110" s="17"/>
      <c r="TUW110" s="17"/>
      <c r="TUX110" s="17"/>
      <c r="TUY110" s="17"/>
      <c r="TUZ110" s="17"/>
      <c r="TVA110" s="17"/>
      <c r="TVB110" s="17"/>
      <c r="TVC110" s="17"/>
      <c r="TVD110" s="17"/>
      <c r="TVE110" s="17"/>
      <c r="TVF110" s="17"/>
      <c r="TVG110" s="17"/>
      <c r="TVH110" s="17"/>
      <c r="TVI110" s="17"/>
      <c r="TVJ110" s="17"/>
      <c r="TVK110" s="17"/>
      <c r="TVL110" s="17"/>
      <c r="TVM110" s="17"/>
      <c r="TVN110" s="17"/>
      <c r="TVO110" s="17"/>
      <c r="TVP110" s="17"/>
      <c r="TVQ110" s="17"/>
      <c r="TVR110" s="17"/>
      <c r="TVS110" s="17"/>
      <c r="TVT110" s="17"/>
      <c r="TVU110" s="17"/>
      <c r="TVV110" s="17"/>
      <c r="TVW110" s="17"/>
      <c r="TVX110" s="17"/>
      <c r="TVY110" s="17"/>
      <c r="TVZ110" s="17"/>
      <c r="TWA110" s="17"/>
      <c r="TWB110" s="17"/>
      <c r="TWC110" s="17"/>
      <c r="TWD110" s="17"/>
      <c r="TWE110" s="17"/>
      <c r="TWF110" s="17"/>
      <c r="TWG110" s="17"/>
      <c r="TWH110" s="17"/>
      <c r="TWI110" s="17"/>
      <c r="TWJ110" s="17"/>
      <c r="TWK110" s="17"/>
      <c r="TWL110" s="17"/>
      <c r="TWM110" s="17"/>
      <c r="TWN110" s="17"/>
      <c r="TWO110" s="17"/>
      <c r="TWP110" s="17"/>
      <c r="TWQ110" s="17"/>
      <c r="TWR110" s="17"/>
      <c r="TWS110" s="17"/>
      <c r="TWT110" s="17"/>
      <c r="TWU110" s="17"/>
      <c r="TWV110" s="17"/>
      <c r="TWW110" s="17"/>
      <c r="TWX110" s="17"/>
      <c r="TWY110" s="17"/>
      <c r="TWZ110" s="17"/>
      <c r="TXA110" s="17"/>
      <c r="TXB110" s="17"/>
      <c r="TXC110" s="17"/>
      <c r="TXD110" s="17"/>
      <c r="TXE110" s="17"/>
      <c r="TXF110" s="17"/>
      <c r="TXG110" s="17"/>
      <c r="TXH110" s="17"/>
      <c r="TXI110" s="17"/>
      <c r="TXJ110" s="17"/>
      <c r="TXK110" s="17"/>
      <c r="TXL110" s="17"/>
      <c r="TXM110" s="17"/>
      <c r="TXN110" s="17"/>
      <c r="TXO110" s="17"/>
      <c r="TXP110" s="17"/>
      <c r="TXQ110" s="17"/>
      <c r="TXR110" s="17"/>
      <c r="TXS110" s="17"/>
      <c r="TXT110" s="17"/>
      <c r="TXU110" s="17"/>
      <c r="TXV110" s="17"/>
      <c r="TXW110" s="17"/>
      <c r="TXX110" s="17"/>
      <c r="TXY110" s="17"/>
      <c r="TXZ110" s="17"/>
      <c r="TYA110" s="17"/>
      <c r="TYB110" s="17"/>
      <c r="TYC110" s="17"/>
      <c r="TYD110" s="17"/>
      <c r="TYE110" s="17"/>
      <c r="TYF110" s="17"/>
      <c r="TYG110" s="17"/>
      <c r="TYH110" s="17"/>
      <c r="TYI110" s="17"/>
      <c r="TYJ110" s="17"/>
      <c r="TYK110" s="17"/>
      <c r="TYL110" s="17"/>
      <c r="TYM110" s="17"/>
      <c r="TYN110" s="17"/>
      <c r="TYO110" s="17"/>
      <c r="TYP110" s="17"/>
      <c r="TYQ110" s="17"/>
      <c r="TYR110" s="17"/>
      <c r="TYS110" s="17"/>
      <c r="TYT110" s="17"/>
      <c r="TYU110" s="17"/>
      <c r="TYV110" s="17"/>
      <c r="TYW110" s="17"/>
      <c r="TYX110" s="17"/>
      <c r="TYY110" s="17"/>
      <c r="TYZ110" s="17"/>
      <c r="TZA110" s="17"/>
      <c r="TZB110" s="17"/>
      <c r="TZC110" s="17"/>
      <c r="TZD110" s="17"/>
      <c r="TZE110" s="17"/>
      <c r="TZF110" s="17"/>
      <c r="TZG110" s="17"/>
      <c r="TZH110" s="17"/>
      <c r="TZI110" s="17"/>
      <c r="TZJ110" s="17"/>
      <c r="TZK110" s="17"/>
      <c r="TZL110" s="17"/>
      <c r="TZM110" s="17"/>
      <c r="TZN110" s="17"/>
      <c r="TZO110" s="17"/>
      <c r="TZP110" s="17"/>
      <c r="TZQ110" s="17"/>
      <c r="TZR110" s="17"/>
      <c r="TZS110" s="17"/>
      <c r="TZT110" s="17"/>
      <c r="TZU110" s="17"/>
      <c r="TZV110" s="17"/>
      <c r="TZW110" s="17"/>
      <c r="TZX110" s="17"/>
      <c r="TZY110" s="17"/>
      <c r="TZZ110" s="17"/>
      <c r="UAA110" s="17"/>
      <c r="UAB110" s="17"/>
      <c r="UAC110" s="17"/>
      <c r="UAD110" s="17"/>
      <c r="UAE110" s="17"/>
      <c r="UAF110" s="17"/>
      <c r="UAG110" s="17"/>
      <c r="UAH110" s="17"/>
      <c r="UAI110" s="17"/>
      <c r="UAJ110" s="17"/>
      <c r="UAK110" s="17"/>
      <c r="UAL110" s="17"/>
      <c r="UAM110" s="17"/>
      <c r="UAN110" s="17"/>
      <c r="UAO110" s="17"/>
      <c r="UAP110" s="17"/>
      <c r="UAQ110" s="17"/>
      <c r="UAR110" s="17"/>
      <c r="UAS110" s="17"/>
      <c r="UAT110" s="17"/>
      <c r="UAU110" s="17"/>
      <c r="UAV110" s="17"/>
      <c r="UAW110" s="17"/>
      <c r="UAX110" s="17"/>
      <c r="UAY110" s="17"/>
      <c r="UAZ110" s="17"/>
      <c r="UBA110" s="17"/>
      <c r="UBB110" s="17"/>
      <c r="UBC110" s="17"/>
      <c r="UBD110" s="17"/>
      <c r="UBE110" s="17"/>
      <c r="UBF110" s="17"/>
      <c r="UBG110" s="17"/>
      <c r="UBH110" s="17"/>
      <c r="UBI110" s="17"/>
      <c r="UBJ110" s="17"/>
      <c r="UBK110" s="17"/>
      <c r="UBL110" s="17"/>
      <c r="UBM110" s="17"/>
      <c r="UBN110" s="17"/>
      <c r="UBO110" s="17"/>
      <c r="UBP110" s="17"/>
      <c r="UBQ110" s="17"/>
      <c r="UBR110" s="17"/>
      <c r="UBS110" s="17"/>
      <c r="UBT110" s="17"/>
      <c r="UBU110" s="17"/>
      <c r="UBV110" s="17"/>
      <c r="UBW110" s="17"/>
      <c r="UBX110" s="17"/>
      <c r="UBY110" s="17"/>
      <c r="UBZ110" s="17"/>
      <c r="UCA110" s="17"/>
      <c r="UCB110" s="17"/>
      <c r="UCC110" s="17"/>
      <c r="UCD110" s="17"/>
      <c r="UCE110" s="17"/>
      <c r="UCF110" s="17"/>
      <c r="UCG110" s="17"/>
      <c r="UCH110" s="17"/>
      <c r="UCI110" s="17"/>
      <c r="UCJ110" s="17"/>
      <c r="UCK110" s="17"/>
      <c r="UCL110" s="17"/>
      <c r="UCM110" s="17"/>
      <c r="UCN110" s="17"/>
      <c r="UCO110" s="17"/>
      <c r="UCP110" s="17"/>
      <c r="UCQ110" s="17"/>
      <c r="UCR110" s="17"/>
      <c r="UCS110" s="17"/>
      <c r="UCT110" s="17"/>
      <c r="UCU110" s="17"/>
      <c r="UCV110" s="17"/>
      <c r="UCW110" s="17"/>
      <c r="UCX110" s="17"/>
      <c r="UCY110" s="17"/>
      <c r="UCZ110" s="17"/>
      <c r="UDA110" s="17"/>
      <c r="UDB110" s="17"/>
      <c r="UDC110" s="17"/>
      <c r="UDD110" s="17"/>
      <c r="UDE110" s="17"/>
      <c r="UDF110" s="17"/>
      <c r="UDG110" s="17"/>
      <c r="UDH110" s="17"/>
      <c r="UDI110" s="17"/>
      <c r="UDJ110" s="17"/>
      <c r="UDK110" s="17"/>
      <c r="UDL110" s="17"/>
      <c r="UDM110" s="17"/>
      <c r="UDN110" s="17"/>
      <c r="UDO110" s="17"/>
      <c r="UDP110" s="17"/>
      <c r="UDQ110" s="17"/>
      <c r="UDR110" s="17"/>
      <c r="UDS110" s="17"/>
      <c r="UDT110" s="17"/>
      <c r="UDU110" s="17"/>
      <c r="UDV110" s="17"/>
      <c r="UDW110" s="17"/>
      <c r="UDX110" s="17"/>
      <c r="UDY110" s="17"/>
      <c r="UDZ110" s="17"/>
      <c r="UEA110" s="17"/>
      <c r="UEB110" s="17"/>
      <c r="UEC110" s="17"/>
      <c r="UED110" s="17"/>
      <c r="UEE110" s="17"/>
      <c r="UEF110" s="17"/>
      <c r="UEG110" s="17"/>
      <c r="UEH110" s="17"/>
      <c r="UEI110" s="17"/>
      <c r="UEJ110" s="17"/>
      <c r="UEK110" s="17"/>
      <c r="UEL110" s="17"/>
      <c r="UEM110" s="17"/>
      <c r="UEN110" s="17"/>
      <c r="UEO110" s="17"/>
      <c r="UEP110" s="17"/>
      <c r="UEQ110" s="17"/>
      <c r="UER110" s="17"/>
      <c r="UES110" s="17"/>
      <c r="UET110" s="17"/>
      <c r="UEU110" s="17"/>
      <c r="UEV110" s="17"/>
      <c r="UEW110" s="17"/>
      <c r="UEX110" s="17"/>
      <c r="UEY110" s="17"/>
      <c r="UEZ110" s="17"/>
      <c r="UFA110" s="17"/>
      <c r="UFB110" s="17"/>
      <c r="UFC110" s="17"/>
      <c r="UFD110" s="17"/>
      <c r="UFE110" s="17"/>
      <c r="UFF110" s="17"/>
      <c r="UFG110" s="17"/>
      <c r="UFH110" s="17"/>
      <c r="UFI110" s="17"/>
      <c r="UFJ110" s="17"/>
      <c r="UFK110" s="17"/>
      <c r="UFL110" s="17"/>
      <c r="UFM110" s="17"/>
      <c r="UFN110" s="17"/>
      <c r="UFO110" s="17"/>
      <c r="UFP110" s="17"/>
      <c r="UFQ110" s="17"/>
      <c r="UFR110" s="17"/>
      <c r="UFS110" s="17"/>
      <c r="UFT110" s="17"/>
      <c r="UFU110" s="17"/>
      <c r="UFV110" s="17"/>
      <c r="UFW110" s="17"/>
      <c r="UFX110" s="17"/>
      <c r="UFY110" s="17"/>
      <c r="UFZ110" s="17"/>
      <c r="UGA110" s="17"/>
      <c r="UGB110" s="17"/>
      <c r="UGC110" s="17"/>
      <c r="UGD110" s="17"/>
      <c r="UGE110" s="17"/>
      <c r="UGF110" s="17"/>
      <c r="UGG110" s="17"/>
      <c r="UGH110" s="17"/>
      <c r="UGI110" s="17"/>
      <c r="UGJ110" s="17"/>
      <c r="UGK110" s="17"/>
      <c r="UGL110" s="17"/>
      <c r="UGM110" s="17"/>
      <c r="UGN110" s="17"/>
      <c r="UGO110" s="17"/>
      <c r="UGP110" s="17"/>
      <c r="UGQ110" s="17"/>
      <c r="UGR110" s="17"/>
      <c r="UGS110" s="17"/>
      <c r="UGT110" s="17"/>
      <c r="UGU110" s="17"/>
      <c r="UGV110" s="17"/>
      <c r="UGW110" s="17"/>
      <c r="UGX110" s="17"/>
      <c r="UGY110" s="17"/>
      <c r="UGZ110" s="17"/>
      <c r="UHA110" s="17"/>
      <c r="UHB110" s="17"/>
      <c r="UHC110" s="17"/>
      <c r="UHD110" s="17"/>
      <c r="UHE110" s="17"/>
      <c r="UHF110" s="17"/>
      <c r="UHG110" s="17"/>
      <c r="UHH110" s="17"/>
      <c r="UHI110" s="17"/>
      <c r="UHJ110" s="17"/>
      <c r="UHK110" s="17"/>
      <c r="UHL110" s="17"/>
      <c r="UHM110" s="17"/>
      <c r="UHN110" s="17"/>
      <c r="UHO110" s="17"/>
      <c r="UHP110" s="17"/>
      <c r="UHQ110" s="17"/>
      <c r="UHR110" s="17"/>
      <c r="UHS110" s="17"/>
      <c r="UHT110" s="17"/>
      <c r="UHU110" s="17"/>
      <c r="UHV110" s="17"/>
      <c r="UHW110" s="17"/>
      <c r="UHX110" s="17"/>
      <c r="UHY110" s="17"/>
      <c r="UHZ110" s="17"/>
      <c r="UIA110" s="17"/>
      <c r="UIB110" s="17"/>
      <c r="UIC110" s="17"/>
      <c r="UID110" s="17"/>
      <c r="UIE110" s="17"/>
      <c r="UIF110" s="17"/>
      <c r="UIG110" s="17"/>
      <c r="UIH110" s="17"/>
      <c r="UII110" s="17"/>
      <c r="UIJ110" s="17"/>
      <c r="UIK110" s="17"/>
      <c r="UIL110" s="17"/>
      <c r="UIM110" s="17"/>
      <c r="UIN110" s="17"/>
      <c r="UIO110" s="17"/>
      <c r="UIP110" s="17"/>
      <c r="UIQ110" s="17"/>
      <c r="UIR110" s="17"/>
      <c r="UIS110" s="17"/>
      <c r="UIT110" s="17"/>
      <c r="UIU110" s="17"/>
      <c r="UIV110" s="17"/>
      <c r="UIW110" s="17"/>
      <c r="UIX110" s="17"/>
      <c r="UIY110" s="17"/>
      <c r="UIZ110" s="17"/>
      <c r="UJA110" s="17"/>
      <c r="UJB110" s="17"/>
      <c r="UJC110" s="17"/>
      <c r="UJD110" s="17"/>
      <c r="UJE110" s="17"/>
      <c r="UJF110" s="17"/>
      <c r="UJG110" s="17"/>
      <c r="UJH110" s="17"/>
      <c r="UJI110" s="17"/>
      <c r="UJJ110" s="17"/>
      <c r="UJK110" s="17"/>
      <c r="UJL110" s="17"/>
      <c r="UJM110" s="17"/>
      <c r="UJN110" s="17"/>
      <c r="UJO110" s="17"/>
      <c r="UJP110" s="17"/>
      <c r="UJQ110" s="17"/>
      <c r="UJR110" s="17"/>
      <c r="UJS110" s="17"/>
      <c r="UJT110" s="17"/>
      <c r="UJU110" s="17"/>
      <c r="UJV110" s="17"/>
      <c r="UJW110" s="17"/>
      <c r="UJX110" s="17"/>
      <c r="UJY110" s="17"/>
      <c r="UJZ110" s="17"/>
      <c r="UKA110" s="17"/>
      <c r="UKB110" s="17"/>
      <c r="UKC110" s="17"/>
      <c r="UKD110" s="17"/>
      <c r="UKE110" s="17"/>
      <c r="UKF110" s="17"/>
      <c r="UKG110" s="17"/>
      <c r="UKH110" s="17"/>
      <c r="UKI110" s="17"/>
      <c r="UKJ110" s="17"/>
      <c r="UKK110" s="17"/>
      <c r="UKL110" s="17"/>
      <c r="UKM110" s="17"/>
      <c r="UKN110" s="17"/>
      <c r="UKO110" s="17"/>
      <c r="UKP110" s="17"/>
      <c r="UKQ110" s="17"/>
      <c r="UKR110" s="17"/>
      <c r="UKS110" s="17"/>
      <c r="UKT110" s="17"/>
      <c r="UKU110" s="17"/>
      <c r="UKV110" s="17"/>
      <c r="UKW110" s="17"/>
      <c r="UKX110" s="17"/>
      <c r="UKY110" s="17"/>
      <c r="UKZ110" s="17"/>
      <c r="ULA110" s="17"/>
      <c r="ULB110" s="17"/>
      <c r="ULC110" s="17"/>
      <c r="ULD110" s="17"/>
      <c r="ULE110" s="17"/>
      <c r="ULF110" s="17"/>
      <c r="ULG110" s="17"/>
      <c r="ULH110" s="17"/>
      <c r="ULI110" s="17"/>
      <c r="ULJ110" s="17"/>
      <c r="ULK110" s="17"/>
      <c r="ULL110" s="17"/>
      <c r="ULM110" s="17"/>
      <c r="ULN110" s="17"/>
      <c r="ULO110" s="17"/>
      <c r="ULP110" s="17"/>
      <c r="ULQ110" s="17"/>
      <c r="ULR110" s="17"/>
      <c r="ULS110" s="17"/>
      <c r="ULT110" s="17"/>
      <c r="ULU110" s="17"/>
      <c r="ULV110" s="17"/>
      <c r="ULW110" s="17"/>
      <c r="ULX110" s="17"/>
      <c r="ULY110" s="17"/>
      <c r="ULZ110" s="17"/>
      <c r="UMA110" s="17"/>
      <c r="UMB110" s="17"/>
      <c r="UMC110" s="17"/>
      <c r="UMD110" s="17"/>
      <c r="UME110" s="17"/>
      <c r="UMF110" s="17"/>
      <c r="UMG110" s="17"/>
      <c r="UMH110" s="17"/>
      <c r="UMI110" s="17"/>
      <c r="UMJ110" s="17"/>
      <c r="UMK110" s="17"/>
      <c r="UML110" s="17"/>
      <c r="UMM110" s="17"/>
      <c r="UMN110" s="17"/>
      <c r="UMO110" s="17"/>
      <c r="UMP110" s="17"/>
      <c r="UMQ110" s="17"/>
      <c r="UMR110" s="17"/>
      <c r="UMS110" s="17"/>
      <c r="UMT110" s="17"/>
      <c r="UMU110" s="17"/>
      <c r="UMV110" s="17"/>
      <c r="UMW110" s="17"/>
      <c r="UMX110" s="17"/>
      <c r="UMY110" s="17"/>
      <c r="UMZ110" s="17"/>
      <c r="UNA110" s="17"/>
      <c r="UNB110" s="17"/>
      <c r="UNC110" s="17"/>
      <c r="UND110" s="17"/>
      <c r="UNE110" s="17"/>
      <c r="UNF110" s="17"/>
      <c r="UNG110" s="17"/>
      <c r="UNH110" s="17"/>
      <c r="UNI110" s="17"/>
      <c r="UNJ110" s="17"/>
      <c r="UNK110" s="17"/>
      <c r="UNL110" s="17"/>
      <c r="UNM110" s="17"/>
      <c r="UNN110" s="17"/>
      <c r="UNO110" s="17"/>
      <c r="UNP110" s="17"/>
      <c r="UNQ110" s="17"/>
      <c r="UNR110" s="17"/>
      <c r="UNS110" s="17"/>
      <c r="UNT110" s="17"/>
      <c r="UNU110" s="17"/>
      <c r="UNV110" s="17"/>
      <c r="UNW110" s="17"/>
      <c r="UNX110" s="17"/>
      <c r="UNY110" s="17"/>
      <c r="UNZ110" s="17"/>
      <c r="UOA110" s="17"/>
      <c r="UOB110" s="17"/>
      <c r="UOC110" s="17"/>
      <c r="UOD110" s="17"/>
      <c r="UOE110" s="17"/>
      <c r="UOF110" s="17"/>
      <c r="UOG110" s="17"/>
      <c r="UOH110" s="17"/>
      <c r="UOI110" s="17"/>
      <c r="UOJ110" s="17"/>
      <c r="UOK110" s="17"/>
      <c r="UOL110" s="17"/>
      <c r="UOM110" s="17"/>
      <c r="UON110" s="17"/>
      <c r="UOO110" s="17"/>
      <c r="UOP110" s="17"/>
      <c r="UOQ110" s="17"/>
      <c r="UOR110" s="17"/>
      <c r="UOS110" s="17"/>
      <c r="UOT110" s="17"/>
      <c r="UOU110" s="17"/>
      <c r="UOV110" s="17"/>
      <c r="UOW110" s="17"/>
      <c r="UOX110" s="17"/>
      <c r="UOY110" s="17"/>
      <c r="UOZ110" s="17"/>
      <c r="UPA110" s="17"/>
      <c r="UPB110" s="17"/>
      <c r="UPC110" s="17"/>
      <c r="UPD110" s="17"/>
      <c r="UPE110" s="17"/>
      <c r="UPF110" s="17"/>
      <c r="UPG110" s="17"/>
      <c r="UPH110" s="17"/>
      <c r="UPI110" s="17"/>
      <c r="UPJ110" s="17"/>
      <c r="UPK110" s="17"/>
      <c r="UPL110" s="17"/>
      <c r="UPM110" s="17"/>
      <c r="UPN110" s="17"/>
      <c r="UPO110" s="17"/>
      <c r="UPP110" s="17"/>
      <c r="UPQ110" s="17"/>
      <c r="UPR110" s="17"/>
      <c r="UPS110" s="17"/>
      <c r="UPT110" s="17"/>
      <c r="UPU110" s="17"/>
      <c r="UPV110" s="17"/>
      <c r="UPW110" s="17"/>
      <c r="UPX110" s="17"/>
      <c r="UPY110" s="17"/>
      <c r="UPZ110" s="17"/>
      <c r="UQA110" s="17"/>
      <c r="UQB110" s="17"/>
      <c r="UQC110" s="17"/>
      <c r="UQD110" s="17"/>
      <c r="UQE110" s="17"/>
      <c r="UQF110" s="17"/>
      <c r="UQG110" s="17"/>
      <c r="UQH110" s="17"/>
      <c r="UQI110" s="17"/>
      <c r="UQJ110" s="17"/>
      <c r="UQK110" s="17"/>
      <c r="UQL110" s="17"/>
      <c r="UQM110" s="17"/>
      <c r="UQN110" s="17"/>
      <c r="UQO110" s="17"/>
      <c r="UQP110" s="17"/>
      <c r="UQQ110" s="17"/>
      <c r="UQR110" s="17"/>
      <c r="UQS110" s="17"/>
      <c r="UQT110" s="17"/>
      <c r="UQU110" s="17"/>
      <c r="UQV110" s="17"/>
      <c r="UQW110" s="17"/>
      <c r="UQX110" s="17"/>
      <c r="UQY110" s="17"/>
      <c r="UQZ110" s="17"/>
      <c r="URA110" s="17"/>
      <c r="URB110" s="17"/>
      <c r="URC110" s="17"/>
      <c r="URD110" s="17"/>
      <c r="URE110" s="17"/>
      <c r="URF110" s="17"/>
      <c r="URG110" s="17"/>
      <c r="URH110" s="17"/>
      <c r="URI110" s="17"/>
      <c r="URJ110" s="17"/>
      <c r="URK110" s="17"/>
      <c r="URL110" s="17"/>
      <c r="URM110" s="17"/>
      <c r="URN110" s="17"/>
      <c r="URO110" s="17"/>
      <c r="URP110" s="17"/>
      <c r="URQ110" s="17"/>
      <c r="URR110" s="17"/>
      <c r="URS110" s="17"/>
      <c r="URT110" s="17"/>
      <c r="URU110" s="17"/>
      <c r="URV110" s="17"/>
      <c r="URW110" s="17"/>
      <c r="URX110" s="17"/>
      <c r="URY110" s="17"/>
      <c r="URZ110" s="17"/>
      <c r="USA110" s="17"/>
      <c r="USB110" s="17"/>
      <c r="USC110" s="17"/>
      <c r="USD110" s="17"/>
      <c r="USE110" s="17"/>
      <c r="USF110" s="17"/>
      <c r="USG110" s="17"/>
      <c r="USH110" s="17"/>
      <c r="USI110" s="17"/>
      <c r="USJ110" s="17"/>
      <c r="USK110" s="17"/>
      <c r="USL110" s="17"/>
      <c r="USM110" s="17"/>
      <c r="USN110" s="17"/>
      <c r="USO110" s="17"/>
      <c r="USP110" s="17"/>
      <c r="USQ110" s="17"/>
      <c r="USR110" s="17"/>
      <c r="USS110" s="17"/>
      <c r="UST110" s="17"/>
      <c r="USU110" s="17"/>
      <c r="USV110" s="17"/>
      <c r="USW110" s="17"/>
      <c r="USX110" s="17"/>
      <c r="USY110" s="17"/>
      <c r="USZ110" s="17"/>
      <c r="UTA110" s="17"/>
      <c r="UTB110" s="17"/>
      <c r="UTC110" s="17"/>
      <c r="UTD110" s="17"/>
      <c r="UTE110" s="17"/>
      <c r="UTF110" s="17"/>
      <c r="UTG110" s="17"/>
      <c r="UTH110" s="17"/>
      <c r="UTI110" s="17"/>
      <c r="UTJ110" s="17"/>
      <c r="UTK110" s="17"/>
      <c r="UTL110" s="17"/>
      <c r="UTM110" s="17"/>
      <c r="UTN110" s="17"/>
      <c r="UTO110" s="17"/>
      <c r="UTP110" s="17"/>
      <c r="UTQ110" s="17"/>
      <c r="UTR110" s="17"/>
      <c r="UTS110" s="17"/>
      <c r="UTT110" s="17"/>
      <c r="UTU110" s="17"/>
      <c r="UTV110" s="17"/>
      <c r="UTW110" s="17"/>
      <c r="UTX110" s="17"/>
      <c r="UTY110" s="17"/>
      <c r="UTZ110" s="17"/>
      <c r="UUA110" s="17"/>
      <c r="UUB110" s="17"/>
      <c r="UUC110" s="17"/>
      <c r="UUD110" s="17"/>
      <c r="UUE110" s="17"/>
      <c r="UUF110" s="17"/>
      <c r="UUG110" s="17"/>
      <c r="UUH110" s="17"/>
      <c r="UUI110" s="17"/>
      <c r="UUJ110" s="17"/>
      <c r="UUK110" s="17"/>
      <c r="UUL110" s="17"/>
      <c r="UUM110" s="17"/>
      <c r="UUN110" s="17"/>
      <c r="UUO110" s="17"/>
      <c r="UUP110" s="17"/>
      <c r="UUQ110" s="17"/>
      <c r="UUR110" s="17"/>
      <c r="UUS110" s="17"/>
      <c r="UUT110" s="17"/>
      <c r="UUU110" s="17"/>
      <c r="UUV110" s="17"/>
      <c r="UUW110" s="17"/>
      <c r="UUX110" s="17"/>
      <c r="UUY110" s="17"/>
      <c r="UUZ110" s="17"/>
      <c r="UVA110" s="17"/>
      <c r="UVB110" s="17"/>
      <c r="UVC110" s="17"/>
      <c r="UVD110" s="17"/>
      <c r="UVE110" s="17"/>
      <c r="UVF110" s="17"/>
      <c r="UVG110" s="17"/>
      <c r="UVH110" s="17"/>
      <c r="UVI110" s="17"/>
      <c r="UVJ110" s="17"/>
      <c r="UVK110" s="17"/>
      <c r="UVL110" s="17"/>
      <c r="UVM110" s="17"/>
      <c r="UVN110" s="17"/>
      <c r="UVO110" s="17"/>
      <c r="UVP110" s="17"/>
      <c r="UVQ110" s="17"/>
      <c r="UVR110" s="17"/>
      <c r="UVS110" s="17"/>
      <c r="UVT110" s="17"/>
      <c r="UVU110" s="17"/>
      <c r="UVV110" s="17"/>
      <c r="UVW110" s="17"/>
      <c r="UVX110" s="17"/>
      <c r="UVY110" s="17"/>
      <c r="UVZ110" s="17"/>
      <c r="UWA110" s="17"/>
      <c r="UWB110" s="17"/>
      <c r="UWC110" s="17"/>
      <c r="UWD110" s="17"/>
      <c r="UWE110" s="17"/>
      <c r="UWF110" s="17"/>
      <c r="UWG110" s="17"/>
      <c r="UWH110" s="17"/>
      <c r="UWI110" s="17"/>
      <c r="UWJ110" s="17"/>
      <c r="UWK110" s="17"/>
      <c r="UWL110" s="17"/>
      <c r="UWM110" s="17"/>
      <c r="UWN110" s="17"/>
      <c r="UWO110" s="17"/>
      <c r="UWP110" s="17"/>
      <c r="UWQ110" s="17"/>
      <c r="UWR110" s="17"/>
      <c r="UWS110" s="17"/>
      <c r="UWT110" s="17"/>
      <c r="UWU110" s="17"/>
      <c r="UWV110" s="17"/>
      <c r="UWW110" s="17"/>
      <c r="UWX110" s="17"/>
      <c r="UWY110" s="17"/>
      <c r="UWZ110" s="17"/>
      <c r="UXA110" s="17"/>
      <c r="UXB110" s="17"/>
      <c r="UXC110" s="17"/>
      <c r="UXD110" s="17"/>
      <c r="UXE110" s="17"/>
      <c r="UXF110" s="17"/>
      <c r="UXG110" s="17"/>
      <c r="UXH110" s="17"/>
      <c r="UXI110" s="17"/>
      <c r="UXJ110" s="17"/>
      <c r="UXK110" s="17"/>
      <c r="UXL110" s="17"/>
      <c r="UXM110" s="17"/>
      <c r="UXN110" s="17"/>
      <c r="UXO110" s="17"/>
      <c r="UXP110" s="17"/>
      <c r="UXQ110" s="17"/>
      <c r="UXR110" s="17"/>
      <c r="UXS110" s="17"/>
      <c r="UXT110" s="17"/>
      <c r="UXU110" s="17"/>
      <c r="UXV110" s="17"/>
      <c r="UXW110" s="17"/>
      <c r="UXX110" s="17"/>
      <c r="UXY110" s="17"/>
      <c r="UXZ110" s="17"/>
      <c r="UYA110" s="17"/>
      <c r="UYB110" s="17"/>
      <c r="UYC110" s="17"/>
      <c r="UYD110" s="17"/>
      <c r="UYE110" s="17"/>
      <c r="UYF110" s="17"/>
      <c r="UYG110" s="17"/>
      <c r="UYH110" s="17"/>
      <c r="UYI110" s="17"/>
      <c r="UYJ110" s="17"/>
      <c r="UYK110" s="17"/>
      <c r="UYL110" s="17"/>
      <c r="UYM110" s="17"/>
      <c r="UYN110" s="17"/>
      <c r="UYO110" s="17"/>
      <c r="UYP110" s="17"/>
      <c r="UYQ110" s="17"/>
      <c r="UYR110" s="17"/>
      <c r="UYS110" s="17"/>
      <c r="UYT110" s="17"/>
      <c r="UYU110" s="17"/>
      <c r="UYV110" s="17"/>
      <c r="UYW110" s="17"/>
      <c r="UYX110" s="17"/>
      <c r="UYY110" s="17"/>
      <c r="UYZ110" s="17"/>
      <c r="UZA110" s="17"/>
      <c r="UZB110" s="17"/>
      <c r="UZC110" s="17"/>
      <c r="UZD110" s="17"/>
      <c r="UZE110" s="17"/>
      <c r="UZF110" s="17"/>
      <c r="UZG110" s="17"/>
      <c r="UZH110" s="17"/>
      <c r="UZI110" s="17"/>
      <c r="UZJ110" s="17"/>
      <c r="UZK110" s="17"/>
      <c r="UZL110" s="17"/>
      <c r="UZM110" s="17"/>
      <c r="UZN110" s="17"/>
      <c r="UZO110" s="17"/>
      <c r="UZP110" s="17"/>
      <c r="UZQ110" s="17"/>
      <c r="UZR110" s="17"/>
      <c r="UZS110" s="17"/>
      <c r="UZT110" s="17"/>
      <c r="UZU110" s="17"/>
      <c r="UZV110" s="17"/>
      <c r="UZW110" s="17"/>
      <c r="UZX110" s="17"/>
      <c r="UZY110" s="17"/>
      <c r="UZZ110" s="17"/>
      <c r="VAA110" s="17"/>
      <c r="VAB110" s="17"/>
      <c r="VAC110" s="17"/>
      <c r="VAD110" s="17"/>
      <c r="VAE110" s="17"/>
      <c r="VAF110" s="17"/>
      <c r="VAG110" s="17"/>
      <c r="VAH110" s="17"/>
      <c r="VAI110" s="17"/>
      <c r="VAJ110" s="17"/>
      <c r="VAK110" s="17"/>
      <c r="VAL110" s="17"/>
      <c r="VAM110" s="17"/>
      <c r="VAN110" s="17"/>
      <c r="VAO110" s="17"/>
      <c r="VAP110" s="17"/>
      <c r="VAQ110" s="17"/>
      <c r="VAR110" s="17"/>
      <c r="VAS110" s="17"/>
      <c r="VAT110" s="17"/>
      <c r="VAU110" s="17"/>
      <c r="VAV110" s="17"/>
      <c r="VAW110" s="17"/>
      <c r="VAX110" s="17"/>
      <c r="VAY110" s="17"/>
      <c r="VAZ110" s="17"/>
      <c r="VBA110" s="17"/>
      <c r="VBB110" s="17"/>
      <c r="VBC110" s="17"/>
      <c r="VBD110" s="17"/>
      <c r="VBE110" s="17"/>
      <c r="VBF110" s="17"/>
      <c r="VBG110" s="17"/>
      <c r="VBH110" s="17"/>
      <c r="VBI110" s="17"/>
      <c r="VBJ110" s="17"/>
      <c r="VBK110" s="17"/>
      <c r="VBL110" s="17"/>
      <c r="VBM110" s="17"/>
      <c r="VBN110" s="17"/>
      <c r="VBO110" s="17"/>
      <c r="VBP110" s="17"/>
      <c r="VBQ110" s="17"/>
      <c r="VBR110" s="17"/>
      <c r="VBS110" s="17"/>
      <c r="VBT110" s="17"/>
      <c r="VBU110" s="17"/>
      <c r="VBV110" s="17"/>
      <c r="VBW110" s="17"/>
      <c r="VBX110" s="17"/>
      <c r="VBY110" s="17"/>
      <c r="VBZ110" s="17"/>
      <c r="VCA110" s="17"/>
      <c r="VCB110" s="17"/>
      <c r="VCC110" s="17"/>
      <c r="VCD110" s="17"/>
      <c r="VCE110" s="17"/>
      <c r="VCF110" s="17"/>
      <c r="VCG110" s="17"/>
      <c r="VCH110" s="17"/>
      <c r="VCI110" s="17"/>
      <c r="VCJ110" s="17"/>
      <c r="VCK110" s="17"/>
      <c r="VCL110" s="17"/>
      <c r="VCM110" s="17"/>
      <c r="VCN110" s="17"/>
      <c r="VCO110" s="17"/>
      <c r="VCP110" s="17"/>
      <c r="VCQ110" s="17"/>
      <c r="VCR110" s="17"/>
      <c r="VCS110" s="17"/>
      <c r="VCT110" s="17"/>
      <c r="VCU110" s="17"/>
      <c r="VCV110" s="17"/>
      <c r="VCW110" s="17"/>
      <c r="VCX110" s="17"/>
      <c r="VCY110" s="17"/>
      <c r="VCZ110" s="17"/>
      <c r="VDA110" s="17"/>
      <c r="VDB110" s="17"/>
      <c r="VDC110" s="17"/>
      <c r="VDD110" s="17"/>
      <c r="VDE110" s="17"/>
      <c r="VDF110" s="17"/>
      <c r="VDG110" s="17"/>
      <c r="VDH110" s="17"/>
      <c r="VDI110" s="17"/>
      <c r="VDJ110" s="17"/>
      <c r="VDK110" s="17"/>
      <c r="VDL110" s="17"/>
      <c r="VDM110" s="17"/>
      <c r="VDN110" s="17"/>
      <c r="VDO110" s="17"/>
      <c r="VDP110" s="17"/>
      <c r="VDQ110" s="17"/>
      <c r="VDR110" s="17"/>
      <c r="VDS110" s="17"/>
      <c r="VDT110" s="17"/>
      <c r="VDU110" s="17"/>
      <c r="VDV110" s="17"/>
      <c r="VDW110" s="17"/>
      <c r="VDX110" s="17"/>
      <c r="VDY110" s="17"/>
      <c r="VDZ110" s="17"/>
      <c r="VEA110" s="17"/>
      <c r="VEB110" s="17"/>
      <c r="VEC110" s="17"/>
      <c r="VED110" s="17"/>
      <c r="VEE110" s="17"/>
      <c r="VEF110" s="17"/>
      <c r="VEG110" s="17"/>
      <c r="VEH110" s="17"/>
      <c r="VEI110" s="17"/>
      <c r="VEJ110" s="17"/>
      <c r="VEK110" s="17"/>
      <c r="VEL110" s="17"/>
      <c r="VEM110" s="17"/>
      <c r="VEN110" s="17"/>
      <c r="VEO110" s="17"/>
      <c r="VEP110" s="17"/>
      <c r="VEQ110" s="17"/>
      <c r="VER110" s="17"/>
      <c r="VES110" s="17"/>
      <c r="VET110" s="17"/>
      <c r="VEU110" s="17"/>
      <c r="VEV110" s="17"/>
      <c r="VEW110" s="17"/>
      <c r="VEX110" s="17"/>
      <c r="VEY110" s="17"/>
      <c r="VEZ110" s="17"/>
      <c r="VFA110" s="17"/>
      <c r="VFB110" s="17"/>
      <c r="VFC110" s="17"/>
      <c r="VFD110" s="17"/>
      <c r="VFE110" s="17"/>
      <c r="VFF110" s="17"/>
      <c r="VFG110" s="17"/>
      <c r="VFH110" s="17"/>
      <c r="VFI110" s="17"/>
      <c r="VFJ110" s="17"/>
      <c r="VFK110" s="17"/>
      <c r="VFL110" s="17"/>
      <c r="VFM110" s="17"/>
      <c r="VFN110" s="17"/>
      <c r="VFO110" s="17"/>
      <c r="VFP110" s="17"/>
      <c r="VFQ110" s="17"/>
      <c r="VFR110" s="17"/>
      <c r="VFS110" s="17"/>
      <c r="VFT110" s="17"/>
      <c r="VFU110" s="17"/>
      <c r="VFV110" s="17"/>
      <c r="VFW110" s="17"/>
      <c r="VFX110" s="17"/>
      <c r="VFY110" s="17"/>
      <c r="VFZ110" s="17"/>
      <c r="VGA110" s="17"/>
      <c r="VGB110" s="17"/>
      <c r="VGC110" s="17"/>
      <c r="VGD110" s="17"/>
      <c r="VGE110" s="17"/>
      <c r="VGF110" s="17"/>
      <c r="VGG110" s="17"/>
      <c r="VGH110" s="17"/>
      <c r="VGI110" s="17"/>
      <c r="VGJ110" s="17"/>
      <c r="VGK110" s="17"/>
      <c r="VGL110" s="17"/>
      <c r="VGM110" s="17"/>
      <c r="VGN110" s="17"/>
      <c r="VGO110" s="17"/>
      <c r="VGP110" s="17"/>
      <c r="VGQ110" s="17"/>
      <c r="VGR110" s="17"/>
      <c r="VGS110" s="17"/>
      <c r="VGT110" s="17"/>
      <c r="VGU110" s="17"/>
      <c r="VGV110" s="17"/>
      <c r="VGW110" s="17"/>
      <c r="VGX110" s="17"/>
      <c r="VGY110" s="17"/>
      <c r="VGZ110" s="17"/>
      <c r="VHA110" s="17"/>
      <c r="VHB110" s="17"/>
      <c r="VHC110" s="17"/>
      <c r="VHD110" s="17"/>
      <c r="VHE110" s="17"/>
      <c r="VHF110" s="17"/>
      <c r="VHG110" s="17"/>
      <c r="VHH110" s="17"/>
      <c r="VHI110" s="17"/>
      <c r="VHJ110" s="17"/>
      <c r="VHK110" s="17"/>
      <c r="VHL110" s="17"/>
      <c r="VHM110" s="17"/>
      <c r="VHN110" s="17"/>
      <c r="VHO110" s="17"/>
      <c r="VHP110" s="17"/>
      <c r="VHQ110" s="17"/>
      <c r="VHR110" s="17"/>
      <c r="VHS110" s="17"/>
      <c r="VHT110" s="17"/>
      <c r="VHU110" s="17"/>
      <c r="VHV110" s="17"/>
      <c r="VHW110" s="17"/>
      <c r="VHX110" s="17"/>
      <c r="VHY110" s="17"/>
      <c r="VHZ110" s="17"/>
      <c r="VIA110" s="17"/>
      <c r="VIB110" s="17"/>
      <c r="VIC110" s="17"/>
      <c r="VID110" s="17"/>
      <c r="VIE110" s="17"/>
      <c r="VIF110" s="17"/>
      <c r="VIG110" s="17"/>
      <c r="VIH110" s="17"/>
      <c r="VII110" s="17"/>
      <c r="VIJ110" s="17"/>
      <c r="VIK110" s="17"/>
      <c r="VIL110" s="17"/>
      <c r="VIM110" s="17"/>
      <c r="VIN110" s="17"/>
      <c r="VIO110" s="17"/>
      <c r="VIP110" s="17"/>
      <c r="VIQ110" s="17"/>
      <c r="VIR110" s="17"/>
      <c r="VIS110" s="17"/>
      <c r="VIT110" s="17"/>
      <c r="VIU110" s="17"/>
      <c r="VIV110" s="17"/>
      <c r="VIW110" s="17"/>
      <c r="VIX110" s="17"/>
      <c r="VIY110" s="17"/>
      <c r="VIZ110" s="17"/>
      <c r="VJA110" s="17"/>
      <c r="VJB110" s="17"/>
      <c r="VJC110" s="17"/>
      <c r="VJD110" s="17"/>
      <c r="VJE110" s="17"/>
      <c r="VJF110" s="17"/>
      <c r="VJG110" s="17"/>
      <c r="VJH110" s="17"/>
      <c r="VJI110" s="17"/>
      <c r="VJJ110" s="17"/>
      <c r="VJK110" s="17"/>
      <c r="VJL110" s="17"/>
      <c r="VJM110" s="17"/>
      <c r="VJN110" s="17"/>
      <c r="VJO110" s="17"/>
      <c r="VJP110" s="17"/>
      <c r="VJQ110" s="17"/>
      <c r="VJR110" s="17"/>
      <c r="VJS110" s="17"/>
      <c r="VJT110" s="17"/>
      <c r="VJU110" s="17"/>
      <c r="VJV110" s="17"/>
      <c r="VJW110" s="17"/>
      <c r="VJX110" s="17"/>
      <c r="VJY110" s="17"/>
      <c r="VJZ110" s="17"/>
      <c r="VKA110" s="17"/>
      <c r="VKB110" s="17"/>
      <c r="VKC110" s="17"/>
      <c r="VKD110" s="17"/>
      <c r="VKE110" s="17"/>
      <c r="VKF110" s="17"/>
      <c r="VKG110" s="17"/>
      <c r="VKH110" s="17"/>
      <c r="VKI110" s="17"/>
      <c r="VKJ110" s="17"/>
      <c r="VKK110" s="17"/>
      <c r="VKL110" s="17"/>
      <c r="VKM110" s="17"/>
      <c r="VKN110" s="17"/>
      <c r="VKO110" s="17"/>
      <c r="VKP110" s="17"/>
      <c r="VKQ110" s="17"/>
      <c r="VKR110" s="17"/>
      <c r="VKS110" s="17"/>
      <c r="VKT110" s="17"/>
      <c r="VKU110" s="17"/>
      <c r="VKV110" s="17"/>
      <c r="VKW110" s="17"/>
      <c r="VKX110" s="17"/>
      <c r="VKY110" s="17"/>
      <c r="VKZ110" s="17"/>
      <c r="VLA110" s="17"/>
      <c r="VLB110" s="17"/>
      <c r="VLC110" s="17"/>
      <c r="VLD110" s="17"/>
      <c r="VLE110" s="17"/>
      <c r="VLF110" s="17"/>
      <c r="VLG110" s="17"/>
      <c r="VLH110" s="17"/>
      <c r="VLI110" s="17"/>
      <c r="VLJ110" s="17"/>
      <c r="VLK110" s="17"/>
      <c r="VLL110" s="17"/>
      <c r="VLM110" s="17"/>
      <c r="VLN110" s="17"/>
      <c r="VLO110" s="17"/>
      <c r="VLP110" s="17"/>
      <c r="VLQ110" s="17"/>
      <c r="VLR110" s="17"/>
      <c r="VLS110" s="17"/>
      <c r="VLT110" s="17"/>
      <c r="VLU110" s="17"/>
      <c r="VLV110" s="17"/>
      <c r="VLW110" s="17"/>
      <c r="VLX110" s="17"/>
      <c r="VLY110" s="17"/>
      <c r="VLZ110" s="17"/>
      <c r="VMA110" s="17"/>
      <c r="VMB110" s="17"/>
      <c r="VMC110" s="17"/>
      <c r="VMD110" s="17"/>
      <c r="VME110" s="17"/>
      <c r="VMF110" s="17"/>
      <c r="VMG110" s="17"/>
      <c r="VMH110" s="17"/>
      <c r="VMI110" s="17"/>
      <c r="VMJ110" s="17"/>
      <c r="VMK110" s="17"/>
      <c r="VML110" s="17"/>
      <c r="VMM110" s="17"/>
      <c r="VMN110" s="17"/>
      <c r="VMO110" s="17"/>
      <c r="VMP110" s="17"/>
      <c r="VMQ110" s="17"/>
      <c r="VMR110" s="17"/>
      <c r="VMS110" s="17"/>
      <c r="VMT110" s="17"/>
      <c r="VMU110" s="17"/>
      <c r="VMV110" s="17"/>
      <c r="VMW110" s="17"/>
      <c r="VMX110" s="17"/>
      <c r="VMY110" s="17"/>
      <c r="VMZ110" s="17"/>
      <c r="VNA110" s="17"/>
      <c r="VNB110" s="17"/>
      <c r="VNC110" s="17"/>
      <c r="VND110" s="17"/>
      <c r="VNE110" s="17"/>
      <c r="VNF110" s="17"/>
      <c r="VNG110" s="17"/>
      <c r="VNH110" s="17"/>
      <c r="VNI110" s="17"/>
      <c r="VNJ110" s="17"/>
      <c r="VNK110" s="17"/>
      <c r="VNL110" s="17"/>
      <c r="VNM110" s="17"/>
      <c r="VNN110" s="17"/>
      <c r="VNO110" s="17"/>
      <c r="VNP110" s="17"/>
      <c r="VNQ110" s="17"/>
      <c r="VNR110" s="17"/>
      <c r="VNS110" s="17"/>
      <c r="VNT110" s="17"/>
      <c r="VNU110" s="17"/>
      <c r="VNV110" s="17"/>
      <c r="VNW110" s="17"/>
      <c r="VNX110" s="17"/>
      <c r="VNY110" s="17"/>
      <c r="VNZ110" s="17"/>
      <c r="VOA110" s="17"/>
      <c r="VOB110" s="17"/>
      <c r="VOC110" s="17"/>
      <c r="VOD110" s="17"/>
      <c r="VOE110" s="17"/>
      <c r="VOF110" s="17"/>
      <c r="VOG110" s="17"/>
      <c r="VOH110" s="17"/>
      <c r="VOI110" s="17"/>
      <c r="VOJ110" s="17"/>
      <c r="VOK110" s="17"/>
      <c r="VOL110" s="17"/>
      <c r="VOM110" s="17"/>
      <c r="VON110" s="17"/>
      <c r="VOO110" s="17"/>
      <c r="VOP110" s="17"/>
      <c r="VOQ110" s="17"/>
      <c r="VOR110" s="17"/>
      <c r="VOS110" s="17"/>
      <c r="VOT110" s="17"/>
      <c r="VOU110" s="17"/>
      <c r="VOV110" s="17"/>
      <c r="VOW110" s="17"/>
      <c r="VOX110" s="17"/>
      <c r="VOY110" s="17"/>
      <c r="VOZ110" s="17"/>
      <c r="VPA110" s="17"/>
      <c r="VPB110" s="17"/>
      <c r="VPC110" s="17"/>
      <c r="VPD110" s="17"/>
      <c r="VPE110" s="17"/>
      <c r="VPF110" s="17"/>
      <c r="VPG110" s="17"/>
      <c r="VPH110" s="17"/>
      <c r="VPI110" s="17"/>
      <c r="VPJ110" s="17"/>
      <c r="VPK110" s="17"/>
      <c r="VPL110" s="17"/>
      <c r="VPM110" s="17"/>
      <c r="VPN110" s="17"/>
      <c r="VPO110" s="17"/>
      <c r="VPP110" s="17"/>
      <c r="VPQ110" s="17"/>
      <c r="VPR110" s="17"/>
      <c r="VPS110" s="17"/>
      <c r="VPT110" s="17"/>
      <c r="VPU110" s="17"/>
      <c r="VPV110" s="17"/>
      <c r="VPW110" s="17"/>
      <c r="VPX110" s="17"/>
      <c r="VPY110" s="17"/>
      <c r="VPZ110" s="17"/>
      <c r="VQA110" s="17"/>
      <c r="VQB110" s="17"/>
      <c r="VQC110" s="17"/>
      <c r="VQD110" s="17"/>
      <c r="VQE110" s="17"/>
      <c r="VQF110" s="17"/>
      <c r="VQG110" s="17"/>
      <c r="VQH110" s="17"/>
      <c r="VQI110" s="17"/>
      <c r="VQJ110" s="17"/>
      <c r="VQK110" s="17"/>
      <c r="VQL110" s="17"/>
      <c r="VQM110" s="17"/>
      <c r="VQN110" s="17"/>
      <c r="VQO110" s="17"/>
      <c r="VQP110" s="17"/>
      <c r="VQQ110" s="17"/>
      <c r="VQR110" s="17"/>
      <c r="VQS110" s="17"/>
      <c r="VQT110" s="17"/>
      <c r="VQU110" s="17"/>
      <c r="VQV110" s="17"/>
      <c r="VQW110" s="17"/>
      <c r="VQX110" s="17"/>
      <c r="VQY110" s="17"/>
      <c r="VQZ110" s="17"/>
      <c r="VRA110" s="17"/>
      <c r="VRB110" s="17"/>
      <c r="VRC110" s="17"/>
      <c r="VRD110" s="17"/>
      <c r="VRE110" s="17"/>
      <c r="VRF110" s="17"/>
      <c r="VRG110" s="17"/>
      <c r="VRH110" s="17"/>
      <c r="VRI110" s="17"/>
      <c r="VRJ110" s="17"/>
      <c r="VRK110" s="17"/>
      <c r="VRL110" s="17"/>
      <c r="VRM110" s="17"/>
      <c r="VRN110" s="17"/>
      <c r="VRO110" s="17"/>
      <c r="VRP110" s="17"/>
      <c r="VRQ110" s="17"/>
      <c r="VRR110" s="17"/>
      <c r="VRS110" s="17"/>
      <c r="VRT110" s="17"/>
      <c r="VRU110" s="17"/>
      <c r="VRV110" s="17"/>
      <c r="VRW110" s="17"/>
      <c r="VRX110" s="17"/>
      <c r="VRY110" s="17"/>
      <c r="VRZ110" s="17"/>
      <c r="VSA110" s="17"/>
      <c r="VSB110" s="17"/>
      <c r="VSC110" s="17"/>
      <c r="VSD110" s="17"/>
      <c r="VSE110" s="17"/>
      <c r="VSF110" s="17"/>
      <c r="VSG110" s="17"/>
      <c r="VSH110" s="17"/>
      <c r="VSI110" s="17"/>
      <c r="VSJ110" s="17"/>
      <c r="VSK110" s="17"/>
      <c r="VSL110" s="17"/>
      <c r="VSM110" s="17"/>
      <c r="VSN110" s="17"/>
      <c r="VSO110" s="17"/>
      <c r="VSP110" s="17"/>
      <c r="VSQ110" s="17"/>
      <c r="VSR110" s="17"/>
      <c r="VSS110" s="17"/>
      <c r="VST110" s="17"/>
      <c r="VSU110" s="17"/>
      <c r="VSV110" s="17"/>
      <c r="VSW110" s="17"/>
      <c r="VSX110" s="17"/>
      <c r="VSY110" s="17"/>
      <c r="VSZ110" s="17"/>
      <c r="VTA110" s="17"/>
      <c r="VTB110" s="17"/>
      <c r="VTC110" s="17"/>
      <c r="VTD110" s="17"/>
      <c r="VTE110" s="17"/>
      <c r="VTF110" s="17"/>
      <c r="VTG110" s="17"/>
      <c r="VTH110" s="17"/>
      <c r="VTI110" s="17"/>
      <c r="VTJ110" s="17"/>
      <c r="VTK110" s="17"/>
      <c r="VTL110" s="17"/>
      <c r="VTM110" s="17"/>
      <c r="VTN110" s="17"/>
      <c r="VTO110" s="17"/>
      <c r="VTP110" s="17"/>
      <c r="VTQ110" s="17"/>
      <c r="VTR110" s="17"/>
      <c r="VTS110" s="17"/>
      <c r="VTT110" s="17"/>
      <c r="VTU110" s="17"/>
      <c r="VTV110" s="17"/>
      <c r="VTW110" s="17"/>
      <c r="VTX110" s="17"/>
      <c r="VTY110" s="17"/>
      <c r="VTZ110" s="17"/>
      <c r="VUA110" s="17"/>
      <c r="VUB110" s="17"/>
      <c r="VUC110" s="17"/>
      <c r="VUD110" s="17"/>
      <c r="VUE110" s="17"/>
      <c r="VUF110" s="17"/>
      <c r="VUG110" s="17"/>
      <c r="VUH110" s="17"/>
      <c r="VUI110" s="17"/>
      <c r="VUJ110" s="17"/>
      <c r="VUK110" s="17"/>
      <c r="VUL110" s="17"/>
      <c r="VUM110" s="17"/>
      <c r="VUN110" s="17"/>
      <c r="VUO110" s="17"/>
      <c r="VUP110" s="17"/>
      <c r="VUQ110" s="17"/>
      <c r="VUR110" s="17"/>
      <c r="VUS110" s="17"/>
      <c r="VUT110" s="17"/>
      <c r="VUU110" s="17"/>
      <c r="VUV110" s="17"/>
      <c r="VUW110" s="17"/>
      <c r="VUX110" s="17"/>
      <c r="VUY110" s="17"/>
      <c r="VUZ110" s="17"/>
      <c r="VVA110" s="17"/>
      <c r="VVB110" s="17"/>
      <c r="VVC110" s="17"/>
      <c r="VVD110" s="17"/>
      <c r="VVE110" s="17"/>
      <c r="VVF110" s="17"/>
      <c r="VVG110" s="17"/>
      <c r="VVH110" s="17"/>
      <c r="VVI110" s="17"/>
      <c r="VVJ110" s="17"/>
      <c r="VVK110" s="17"/>
      <c r="VVL110" s="17"/>
      <c r="VVM110" s="17"/>
      <c r="VVN110" s="17"/>
      <c r="VVO110" s="17"/>
      <c r="VVP110" s="17"/>
      <c r="VVQ110" s="17"/>
      <c r="VVR110" s="17"/>
      <c r="VVS110" s="17"/>
      <c r="VVT110" s="17"/>
      <c r="VVU110" s="17"/>
      <c r="VVV110" s="17"/>
      <c r="VVW110" s="17"/>
      <c r="VVX110" s="17"/>
      <c r="VVY110" s="17"/>
      <c r="VVZ110" s="17"/>
      <c r="VWA110" s="17"/>
      <c r="VWB110" s="17"/>
      <c r="VWC110" s="17"/>
      <c r="VWD110" s="17"/>
      <c r="VWE110" s="17"/>
      <c r="VWF110" s="17"/>
      <c r="VWG110" s="17"/>
      <c r="VWH110" s="17"/>
      <c r="VWI110" s="17"/>
      <c r="VWJ110" s="17"/>
      <c r="VWK110" s="17"/>
      <c r="VWL110" s="17"/>
      <c r="VWM110" s="17"/>
      <c r="VWN110" s="17"/>
      <c r="VWO110" s="17"/>
      <c r="VWP110" s="17"/>
      <c r="VWQ110" s="17"/>
      <c r="VWR110" s="17"/>
      <c r="VWS110" s="17"/>
      <c r="VWT110" s="17"/>
      <c r="VWU110" s="17"/>
      <c r="VWV110" s="17"/>
      <c r="VWW110" s="17"/>
      <c r="VWX110" s="17"/>
      <c r="VWY110" s="17"/>
      <c r="VWZ110" s="17"/>
      <c r="VXA110" s="17"/>
      <c r="VXB110" s="17"/>
      <c r="VXC110" s="17"/>
      <c r="VXD110" s="17"/>
      <c r="VXE110" s="17"/>
      <c r="VXF110" s="17"/>
      <c r="VXG110" s="17"/>
      <c r="VXH110" s="17"/>
      <c r="VXI110" s="17"/>
      <c r="VXJ110" s="17"/>
      <c r="VXK110" s="17"/>
      <c r="VXL110" s="17"/>
      <c r="VXM110" s="17"/>
      <c r="VXN110" s="17"/>
      <c r="VXO110" s="17"/>
      <c r="VXP110" s="17"/>
      <c r="VXQ110" s="17"/>
      <c r="VXR110" s="17"/>
      <c r="VXS110" s="17"/>
      <c r="VXT110" s="17"/>
      <c r="VXU110" s="17"/>
      <c r="VXV110" s="17"/>
      <c r="VXW110" s="17"/>
      <c r="VXX110" s="17"/>
      <c r="VXY110" s="17"/>
      <c r="VXZ110" s="17"/>
      <c r="VYA110" s="17"/>
      <c r="VYB110" s="17"/>
      <c r="VYC110" s="17"/>
      <c r="VYD110" s="17"/>
      <c r="VYE110" s="17"/>
      <c r="VYF110" s="17"/>
      <c r="VYG110" s="17"/>
      <c r="VYH110" s="17"/>
      <c r="VYI110" s="17"/>
      <c r="VYJ110" s="17"/>
      <c r="VYK110" s="17"/>
      <c r="VYL110" s="17"/>
      <c r="VYM110" s="17"/>
      <c r="VYN110" s="17"/>
      <c r="VYO110" s="17"/>
      <c r="VYP110" s="17"/>
      <c r="VYQ110" s="17"/>
      <c r="VYR110" s="17"/>
      <c r="VYS110" s="17"/>
      <c r="VYT110" s="17"/>
      <c r="VYU110" s="17"/>
      <c r="VYV110" s="17"/>
      <c r="VYW110" s="17"/>
      <c r="VYX110" s="17"/>
      <c r="VYY110" s="17"/>
      <c r="VYZ110" s="17"/>
      <c r="VZA110" s="17"/>
      <c r="VZB110" s="17"/>
      <c r="VZC110" s="17"/>
      <c r="VZD110" s="17"/>
      <c r="VZE110" s="17"/>
      <c r="VZF110" s="17"/>
      <c r="VZG110" s="17"/>
      <c r="VZH110" s="17"/>
      <c r="VZI110" s="17"/>
      <c r="VZJ110" s="17"/>
      <c r="VZK110" s="17"/>
      <c r="VZL110" s="17"/>
      <c r="VZM110" s="17"/>
      <c r="VZN110" s="17"/>
      <c r="VZO110" s="17"/>
      <c r="VZP110" s="17"/>
      <c r="VZQ110" s="17"/>
      <c r="VZR110" s="17"/>
      <c r="VZS110" s="17"/>
      <c r="VZT110" s="17"/>
      <c r="VZU110" s="17"/>
      <c r="VZV110" s="17"/>
      <c r="VZW110" s="17"/>
      <c r="VZX110" s="17"/>
      <c r="VZY110" s="17"/>
      <c r="VZZ110" s="17"/>
      <c r="WAA110" s="17"/>
      <c r="WAB110" s="17"/>
      <c r="WAC110" s="17"/>
      <c r="WAD110" s="17"/>
      <c r="WAE110" s="17"/>
      <c r="WAF110" s="17"/>
      <c r="WAG110" s="17"/>
      <c r="WAH110" s="17"/>
      <c r="WAI110" s="17"/>
      <c r="WAJ110" s="17"/>
      <c r="WAK110" s="17"/>
      <c r="WAL110" s="17"/>
      <c r="WAM110" s="17"/>
      <c r="WAN110" s="17"/>
      <c r="WAO110" s="17"/>
      <c r="WAP110" s="17"/>
      <c r="WAQ110" s="17"/>
      <c r="WAR110" s="17"/>
      <c r="WAS110" s="17"/>
      <c r="WAT110" s="17"/>
      <c r="WAU110" s="17"/>
      <c r="WAV110" s="17"/>
      <c r="WAW110" s="17"/>
      <c r="WAX110" s="17"/>
      <c r="WAY110" s="17"/>
      <c r="WAZ110" s="17"/>
      <c r="WBA110" s="17"/>
      <c r="WBB110" s="17"/>
      <c r="WBC110" s="17"/>
      <c r="WBD110" s="17"/>
      <c r="WBE110" s="17"/>
      <c r="WBF110" s="17"/>
      <c r="WBG110" s="17"/>
      <c r="WBH110" s="17"/>
      <c r="WBI110" s="17"/>
      <c r="WBJ110" s="17"/>
      <c r="WBK110" s="17"/>
      <c r="WBL110" s="17"/>
      <c r="WBM110" s="17"/>
      <c r="WBN110" s="17"/>
      <c r="WBO110" s="17"/>
      <c r="WBP110" s="17"/>
      <c r="WBQ110" s="17"/>
      <c r="WBR110" s="17"/>
      <c r="WBS110" s="17"/>
      <c r="WBT110" s="17"/>
      <c r="WBU110" s="17"/>
      <c r="WBV110" s="17"/>
      <c r="WBW110" s="17"/>
      <c r="WBX110" s="17"/>
      <c r="WBY110" s="17"/>
      <c r="WBZ110" s="17"/>
      <c r="WCA110" s="17"/>
      <c r="WCB110" s="17"/>
      <c r="WCC110" s="17"/>
      <c r="WCD110" s="17"/>
      <c r="WCE110" s="17"/>
      <c r="WCF110" s="17"/>
      <c r="WCG110" s="17"/>
      <c r="WCH110" s="17"/>
      <c r="WCI110" s="17"/>
      <c r="WCJ110" s="17"/>
      <c r="WCK110" s="17"/>
      <c r="WCL110" s="17"/>
      <c r="WCM110" s="17"/>
      <c r="WCN110" s="17"/>
      <c r="WCO110" s="17"/>
      <c r="WCP110" s="17"/>
      <c r="WCQ110" s="17"/>
      <c r="WCR110" s="17"/>
      <c r="WCS110" s="17"/>
      <c r="WCT110" s="17"/>
      <c r="WCU110" s="17"/>
      <c r="WCV110" s="17"/>
      <c r="WCW110" s="17"/>
      <c r="WCX110" s="17"/>
      <c r="WCY110" s="17"/>
      <c r="WCZ110" s="17"/>
      <c r="WDA110" s="17"/>
      <c r="WDB110" s="17"/>
      <c r="WDC110" s="17"/>
      <c r="WDD110" s="17"/>
      <c r="WDE110" s="17"/>
      <c r="WDF110" s="17"/>
      <c r="WDG110" s="17"/>
      <c r="WDH110" s="17"/>
      <c r="WDI110" s="17"/>
      <c r="WDJ110" s="17"/>
      <c r="WDK110" s="17"/>
      <c r="WDL110" s="17"/>
      <c r="WDM110" s="17"/>
      <c r="WDN110" s="17"/>
      <c r="WDO110" s="17"/>
      <c r="WDP110" s="17"/>
      <c r="WDQ110" s="17"/>
      <c r="WDR110" s="17"/>
      <c r="WDS110" s="17"/>
      <c r="WDT110" s="17"/>
      <c r="WDU110" s="17"/>
      <c r="WDV110" s="17"/>
      <c r="WDW110" s="17"/>
      <c r="WDX110" s="17"/>
      <c r="WDY110" s="17"/>
      <c r="WDZ110" s="17"/>
      <c r="WEA110" s="17"/>
      <c r="WEB110" s="17"/>
      <c r="WEC110" s="17"/>
      <c r="WED110" s="17"/>
      <c r="WEE110" s="17"/>
      <c r="WEF110" s="17"/>
      <c r="WEG110" s="17"/>
      <c r="WEH110" s="17"/>
      <c r="WEI110" s="17"/>
      <c r="WEJ110" s="17"/>
      <c r="WEK110" s="17"/>
      <c r="WEL110" s="17"/>
      <c r="WEM110" s="17"/>
      <c r="WEN110" s="17"/>
      <c r="WEO110" s="17"/>
      <c r="WEP110" s="17"/>
      <c r="WEQ110" s="17"/>
      <c r="WER110" s="17"/>
      <c r="WES110" s="17"/>
      <c r="WET110" s="17"/>
      <c r="WEU110" s="17"/>
      <c r="WEV110" s="17"/>
      <c r="WEW110" s="17"/>
      <c r="WEX110" s="17"/>
      <c r="WEY110" s="17"/>
      <c r="WEZ110" s="17"/>
      <c r="WFA110" s="17"/>
      <c r="WFB110" s="17"/>
      <c r="WFC110" s="17"/>
      <c r="WFD110" s="17"/>
      <c r="WFE110" s="17"/>
      <c r="WFF110" s="17"/>
      <c r="WFG110" s="17"/>
      <c r="WFH110" s="17"/>
      <c r="WFI110" s="17"/>
      <c r="WFJ110" s="17"/>
      <c r="WFK110" s="17"/>
      <c r="WFL110" s="17"/>
      <c r="WFM110" s="17"/>
      <c r="WFN110" s="17"/>
      <c r="WFO110" s="17"/>
      <c r="WFP110" s="17"/>
      <c r="WFQ110" s="17"/>
      <c r="WFR110" s="17"/>
      <c r="WFS110" s="17"/>
      <c r="WFT110" s="17"/>
      <c r="WFU110" s="17"/>
      <c r="WFV110" s="17"/>
      <c r="WFW110" s="17"/>
      <c r="WFX110" s="17"/>
      <c r="WFY110" s="17"/>
      <c r="WFZ110" s="17"/>
      <c r="WGA110" s="17"/>
      <c r="WGB110" s="17"/>
      <c r="WGC110" s="17"/>
      <c r="WGD110" s="17"/>
      <c r="WGE110" s="17"/>
      <c r="WGF110" s="17"/>
      <c r="WGG110" s="17"/>
      <c r="WGH110" s="17"/>
      <c r="WGI110" s="17"/>
      <c r="WGJ110" s="17"/>
      <c r="WGK110" s="17"/>
      <c r="WGL110" s="17"/>
      <c r="WGM110" s="17"/>
      <c r="WGN110" s="17"/>
      <c r="WGO110" s="17"/>
      <c r="WGP110" s="17"/>
      <c r="WGQ110" s="17"/>
      <c r="WGR110" s="17"/>
      <c r="WGS110" s="17"/>
      <c r="WGT110" s="17"/>
      <c r="WGU110" s="17"/>
      <c r="WGV110" s="17"/>
      <c r="WGW110" s="17"/>
      <c r="WGX110" s="17"/>
      <c r="WGY110" s="17"/>
      <c r="WGZ110" s="17"/>
      <c r="WHA110" s="17"/>
      <c r="WHB110" s="17"/>
      <c r="WHC110" s="17"/>
      <c r="WHD110" s="17"/>
      <c r="WHE110" s="17"/>
      <c r="WHF110" s="17"/>
      <c r="WHG110" s="17"/>
      <c r="WHH110" s="17"/>
      <c r="WHI110" s="17"/>
      <c r="WHJ110" s="17"/>
      <c r="WHK110" s="17"/>
      <c r="WHL110" s="17"/>
      <c r="WHM110" s="17"/>
      <c r="WHN110" s="17"/>
      <c r="WHO110" s="17"/>
      <c r="WHP110" s="17"/>
      <c r="WHQ110" s="17"/>
      <c r="WHR110" s="17"/>
      <c r="WHS110" s="17"/>
      <c r="WHT110" s="17"/>
      <c r="WHU110" s="17"/>
      <c r="WHV110" s="17"/>
      <c r="WHW110" s="17"/>
      <c r="WHX110" s="17"/>
      <c r="WHY110" s="17"/>
      <c r="WHZ110" s="17"/>
      <c r="WIA110" s="17"/>
      <c r="WIB110" s="17"/>
      <c r="WIC110" s="17"/>
      <c r="WID110" s="17"/>
      <c r="WIE110" s="17"/>
      <c r="WIF110" s="17"/>
      <c r="WIG110" s="17"/>
      <c r="WIH110" s="17"/>
      <c r="WII110" s="17"/>
      <c r="WIJ110" s="17"/>
      <c r="WIK110" s="17"/>
      <c r="WIL110" s="17"/>
      <c r="WIM110" s="17"/>
      <c r="WIN110" s="17"/>
      <c r="WIO110" s="17"/>
      <c r="WIP110" s="17"/>
      <c r="WIQ110" s="17"/>
      <c r="WIR110" s="17"/>
      <c r="WIS110" s="17"/>
      <c r="WIT110" s="17"/>
      <c r="WIU110" s="17"/>
      <c r="WIV110" s="17"/>
      <c r="WIW110" s="17"/>
      <c r="WIX110" s="17"/>
      <c r="WIY110" s="17"/>
      <c r="WIZ110" s="17"/>
      <c r="WJA110" s="17"/>
      <c r="WJB110" s="17"/>
      <c r="WJC110" s="17"/>
      <c r="WJD110" s="17"/>
      <c r="WJE110" s="17"/>
      <c r="WJF110" s="17"/>
      <c r="WJG110" s="17"/>
      <c r="WJH110" s="17"/>
      <c r="WJI110" s="17"/>
      <c r="WJJ110" s="17"/>
      <c r="WJK110" s="17"/>
      <c r="WJL110" s="17"/>
      <c r="WJM110" s="17"/>
      <c r="WJN110" s="17"/>
      <c r="WJO110" s="17"/>
      <c r="WJP110" s="17"/>
      <c r="WJQ110" s="17"/>
      <c r="WJR110" s="17"/>
      <c r="WJS110" s="17"/>
      <c r="WJT110" s="17"/>
      <c r="WJU110" s="17"/>
      <c r="WJV110" s="17"/>
      <c r="WJW110" s="17"/>
      <c r="WJX110" s="17"/>
      <c r="WJY110" s="17"/>
      <c r="WJZ110" s="17"/>
      <c r="WKA110" s="17"/>
      <c r="WKB110" s="17"/>
      <c r="WKC110" s="17"/>
      <c r="WKD110" s="17"/>
      <c r="WKE110" s="17"/>
      <c r="WKF110" s="17"/>
      <c r="WKG110" s="17"/>
      <c r="WKH110" s="17"/>
      <c r="WKI110" s="17"/>
      <c r="WKJ110" s="17"/>
      <c r="WKK110" s="17"/>
      <c r="WKL110" s="17"/>
      <c r="WKM110" s="17"/>
      <c r="WKN110" s="17"/>
      <c r="WKO110" s="17"/>
      <c r="WKP110" s="17"/>
      <c r="WKQ110" s="17"/>
      <c r="WKR110" s="17"/>
      <c r="WKS110" s="17"/>
      <c r="WKT110" s="17"/>
      <c r="WKU110" s="17"/>
      <c r="WKV110" s="17"/>
      <c r="WKW110" s="17"/>
      <c r="WKX110" s="17"/>
      <c r="WKY110" s="17"/>
      <c r="WKZ110" s="17"/>
      <c r="WLA110" s="17"/>
      <c r="WLB110" s="17"/>
      <c r="WLC110" s="17"/>
      <c r="WLD110" s="17"/>
      <c r="WLE110" s="17"/>
      <c r="WLF110" s="17"/>
      <c r="WLG110" s="17"/>
      <c r="WLH110" s="17"/>
      <c r="WLI110" s="17"/>
      <c r="WLJ110" s="17"/>
      <c r="WLK110" s="17"/>
      <c r="WLL110" s="17"/>
      <c r="WLM110" s="17"/>
      <c r="WLN110" s="17"/>
      <c r="WLO110" s="17"/>
      <c r="WLP110" s="17"/>
      <c r="WLQ110" s="17"/>
      <c r="WLR110" s="17"/>
      <c r="WLS110" s="17"/>
      <c r="WLT110" s="17"/>
      <c r="WLU110" s="17"/>
      <c r="WLV110" s="17"/>
      <c r="WLW110" s="17"/>
      <c r="WLX110" s="17"/>
      <c r="WLY110" s="17"/>
      <c r="WLZ110" s="17"/>
      <c r="WMA110" s="17"/>
      <c r="WMB110" s="17"/>
      <c r="WMC110" s="17"/>
      <c r="WMD110" s="17"/>
      <c r="WME110" s="17"/>
      <c r="WMF110" s="17"/>
      <c r="WMG110" s="17"/>
      <c r="WMH110" s="17"/>
      <c r="WMI110" s="17"/>
      <c r="WMJ110" s="17"/>
      <c r="WMK110" s="17"/>
      <c r="WML110" s="17"/>
      <c r="WMM110" s="17"/>
      <c r="WMN110" s="17"/>
      <c r="WMO110" s="17"/>
      <c r="WMP110" s="17"/>
      <c r="WMQ110" s="17"/>
      <c r="WMR110" s="17"/>
      <c r="WMS110" s="17"/>
      <c r="WMT110" s="17"/>
      <c r="WMU110" s="17"/>
      <c r="WMV110" s="17"/>
      <c r="WMW110" s="17"/>
      <c r="WMX110" s="17"/>
      <c r="WMY110" s="17"/>
      <c r="WMZ110" s="17"/>
      <c r="WNA110" s="17"/>
      <c r="WNB110" s="17"/>
      <c r="WNC110" s="17"/>
      <c r="WND110" s="17"/>
      <c r="WNE110" s="17"/>
      <c r="WNF110" s="17"/>
      <c r="WNG110" s="17"/>
      <c r="WNH110" s="17"/>
      <c r="WNI110" s="17"/>
      <c r="WNJ110" s="17"/>
      <c r="WNK110" s="17"/>
      <c r="WNL110" s="17"/>
      <c r="WNM110" s="17"/>
      <c r="WNN110" s="17"/>
      <c r="WNO110" s="17"/>
      <c r="WNP110" s="17"/>
      <c r="WNQ110" s="17"/>
      <c r="WNR110" s="17"/>
      <c r="WNS110" s="17"/>
      <c r="WNT110" s="17"/>
      <c r="WNU110" s="17"/>
      <c r="WNV110" s="17"/>
      <c r="WNW110" s="17"/>
      <c r="WNX110" s="17"/>
      <c r="WNY110" s="17"/>
      <c r="WNZ110" s="17"/>
      <c r="WOA110" s="17"/>
      <c r="WOB110" s="17"/>
      <c r="WOC110" s="17"/>
      <c r="WOD110" s="17"/>
      <c r="WOE110" s="17"/>
      <c r="WOF110" s="17"/>
      <c r="WOG110" s="17"/>
      <c r="WOH110" s="17"/>
      <c r="WOI110" s="17"/>
      <c r="WOJ110" s="17"/>
      <c r="WOK110" s="17"/>
      <c r="WOL110" s="17"/>
      <c r="WOM110" s="17"/>
      <c r="WON110" s="17"/>
      <c r="WOO110" s="17"/>
      <c r="WOP110" s="17"/>
      <c r="WOQ110" s="17"/>
      <c r="WOR110" s="17"/>
      <c r="WOS110" s="17"/>
      <c r="WOT110" s="17"/>
      <c r="WOU110" s="17"/>
      <c r="WOV110" s="17"/>
      <c r="WOW110" s="17"/>
      <c r="WOX110" s="17"/>
      <c r="WOY110" s="17"/>
      <c r="WOZ110" s="17"/>
      <c r="WPA110" s="17"/>
      <c r="WPB110" s="17"/>
      <c r="WPC110" s="17"/>
      <c r="WPD110" s="17"/>
      <c r="WPE110" s="17"/>
      <c r="WPF110" s="17"/>
      <c r="WPG110" s="17"/>
      <c r="WPH110" s="17"/>
      <c r="WPI110" s="17"/>
      <c r="WPJ110" s="17"/>
      <c r="WPK110" s="17"/>
      <c r="WPL110" s="17"/>
      <c r="WPM110" s="17"/>
      <c r="WPN110" s="17"/>
      <c r="WPO110" s="17"/>
      <c r="WPP110" s="17"/>
      <c r="WPQ110" s="17"/>
      <c r="WPR110" s="17"/>
      <c r="WPS110" s="17"/>
      <c r="WPT110" s="17"/>
      <c r="WPU110" s="17"/>
      <c r="WPV110" s="17"/>
      <c r="WPW110" s="17"/>
      <c r="WPX110" s="17"/>
      <c r="WPY110" s="17"/>
      <c r="WPZ110" s="17"/>
      <c r="WQA110" s="17"/>
      <c r="WQB110" s="17"/>
      <c r="WQC110" s="17"/>
      <c r="WQD110" s="17"/>
      <c r="WQE110" s="17"/>
      <c r="WQF110" s="17"/>
      <c r="WQG110" s="17"/>
      <c r="WQH110" s="17"/>
      <c r="WQI110" s="17"/>
      <c r="WQJ110" s="17"/>
      <c r="WQK110" s="17"/>
      <c r="WQL110" s="17"/>
      <c r="WQM110" s="17"/>
      <c r="WQN110" s="17"/>
      <c r="WQO110" s="17"/>
      <c r="WQP110" s="17"/>
      <c r="WQQ110" s="17"/>
      <c r="WQR110" s="17"/>
      <c r="WQS110" s="17"/>
      <c r="WQT110" s="17"/>
      <c r="WQU110" s="17"/>
      <c r="WQV110" s="17"/>
      <c r="WQW110" s="17"/>
      <c r="WQX110" s="17"/>
      <c r="WQY110" s="17"/>
      <c r="WQZ110" s="17"/>
      <c r="WRA110" s="17"/>
      <c r="WRB110" s="17"/>
      <c r="WRC110" s="17"/>
      <c r="WRD110" s="17"/>
      <c r="WRE110" s="17"/>
      <c r="WRF110" s="17"/>
      <c r="WRG110" s="17"/>
      <c r="WRH110" s="17"/>
      <c r="WRI110" s="17"/>
      <c r="WRJ110" s="17"/>
      <c r="WRK110" s="17"/>
      <c r="WRL110" s="17"/>
      <c r="WRM110" s="17"/>
      <c r="WRN110" s="17"/>
      <c r="WRO110" s="17"/>
      <c r="WRP110" s="17"/>
      <c r="WRQ110" s="17"/>
      <c r="WRR110" s="17"/>
      <c r="WRS110" s="17"/>
      <c r="WRT110" s="17"/>
      <c r="WRU110" s="17"/>
      <c r="WRV110" s="17"/>
      <c r="WRW110" s="17"/>
      <c r="WRX110" s="17"/>
      <c r="WRY110" s="17"/>
      <c r="WRZ110" s="17"/>
      <c r="WSA110" s="17"/>
      <c r="WSB110" s="17"/>
      <c r="WSC110" s="17"/>
      <c r="WSD110" s="17"/>
      <c r="WSE110" s="17"/>
      <c r="WSF110" s="17"/>
      <c r="WSG110" s="17"/>
      <c r="WSH110" s="17"/>
      <c r="WSI110" s="17"/>
      <c r="WSJ110" s="17"/>
      <c r="WSK110" s="17"/>
      <c r="WSL110" s="17"/>
      <c r="WSM110" s="17"/>
      <c r="WSN110" s="17"/>
      <c r="WSO110" s="17"/>
      <c r="WSP110" s="17"/>
      <c r="WSQ110" s="17"/>
      <c r="WSR110" s="17"/>
      <c r="WSS110" s="17"/>
      <c r="WST110" s="17"/>
      <c r="WSU110" s="17"/>
      <c r="WSV110" s="17"/>
      <c r="WSW110" s="17"/>
      <c r="WSX110" s="17"/>
      <c r="WSY110" s="17"/>
      <c r="WSZ110" s="17"/>
      <c r="WTA110" s="17"/>
      <c r="WTB110" s="17"/>
      <c r="WTC110" s="17"/>
      <c r="WTD110" s="17"/>
      <c r="WTE110" s="17"/>
      <c r="WTF110" s="17"/>
      <c r="WTG110" s="17"/>
      <c r="WTH110" s="17"/>
      <c r="WTI110" s="17"/>
      <c r="WTJ110" s="17"/>
      <c r="WTK110" s="17"/>
      <c r="WTL110" s="17"/>
      <c r="WTM110" s="17"/>
      <c r="WTN110" s="17"/>
      <c r="WTO110" s="17"/>
      <c r="WTP110" s="17"/>
      <c r="WTQ110" s="17"/>
      <c r="WTR110" s="17"/>
      <c r="WTS110" s="17"/>
      <c r="WTT110" s="17"/>
      <c r="WTU110" s="17"/>
      <c r="WTV110" s="17"/>
      <c r="WTW110" s="17"/>
      <c r="WTX110" s="17"/>
      <c r="WTY110" s="17"/>
      <c r="WTZ110" s="17"/>
      <c r="WUA110" s="17"/>
      <c r="WUB110" s="17"/>
      <c r="WUC110" s="17"/>
      <c r="WUD110" s="17"/>
      <c r="WUE110" s="17"/>
      <c r="WUF110" s="17"/>
      <c r="WUG110" s="17"/>
      <c r="WUH110" s="17"/>
      <c r="WUI110" s="17"/>
      <c r="WUJ110" s="17"/>
      <c r="WUK110" s="17"/>
      <c r="WUL110" s="17"/>
      <c r="WUM110" s="17"/>
      <c r="WUN110" s="17"/>
      <c r="WUO110" s="17"/>
      <c r="WUP110" s="17"/>
      <c r="WUQ110" s="17"/>
      <c r="WUR110" s="17"/>
      <c r="WUS110" s="17"/>
      <c r="WUT110" s="17"/>
      <c r="WUU110" s="17"/>
      <c r="WUV110" s="17"/>
      <c r="WUW110" s="17"/>
      <c r="WUX110" s="17"/>
      <c r="WUY110" s="17"/>
      <c r="WUZ110" s="17"/>
      <c r="WVA110" s="17"/>
      <c r="WVB110" s="17"/>
      <c r="WVC110" s="17"/>
      <c r="WVD110" s="17"/>
      <c r="WVE110" s="17"/>
      <c r="WVF110" s="17"/>
      <c r="WVG110" s="17"/>
      <c r="WVH110" s="17"/>
      <c r="WVI110" s="17"/>
      <c r="WVJ110" s="17"/>
      <c r="WVK110" s="17"/>
      <c r="WVL110" s="17"/>
      <c r="WVM110" s="17"/>
      <c r="WVN110" s="17"/>
      <c r="WVO110" s="17"/>
      <c r="WVP110" s="17"/>
      <c r="WVQ110" s="17"/>
      <c r="WVR110" s="17"/>
      <c r="WVS110" s="17"/>
      <c r="WVT110" s="17"/>
      <c r="WVU110" s="17"/>
      <c r="WVV110" s="17"/>
      <c r="WVW110" s="17"/>
      <c r="WVX110" s="17"/>
      <c r="WVY110" s="17"/>
      <c r="WVZ110" s="17"/>
      <c r="WWA110" s="17"/>
      <c r="WWB110" s="17"/>
      <c r="WWC110" s="17"/>
      <c r="WWD110" s="17"/>
      <c r="WWE110" s="17"/>
      <c r="WWF110" s="17"/>
      <c r="WWG110" s="17"/>
      <c r="WWH110" s="17"/>
      <c r="WWI110" s="17"/>
      <c r="WWJ110" s="17"/>
      <c r="WWK110" s="17"/>
      <c r="WWL110" s="17"/>
      <c r="WWM110" s="17"/>
      <c r="WWN110" s="17"/>
      <c r="WWO110" s="17"/>
      <c r="WWP110" s="17"/>
      <c r="WWQ110" s="17"/>
      <c r="WWR110" s="17"/>
      <c r="WWS110" s="17"/>
      <c r="WWT110" s="17"/>
      <c r="WWU110" s="17"/>
      <c r="WWV110" s="17"/>
      <c r="WWW110" s="17"/>
      <c r="WWX110" s="17"/>
      <c r="WWY110" s="17"/>
      <c r="WWZ110" s="17"/>
      <c r="WXA110" s="17"/>
      <c r="WXB110" s="17"/>
      <c r="WXC110" s="17"/>
      <c r="WXD110" s="17"/>
      <c r="WXE110" s="17"/>
      <c r="WXF110" s="17"/>
      <c r="WXG110" s="17"/>
      <c r="WXH110" s="17"/>
      <c r="WXI110" s="17"/>
      <c r="WXJ110" s="17"/>
      <c r="WXK110" s="17"/>
      <c r="WXL110" s="17"/>
      <c r="WXM110" s="17"/>
      <c r="WXN110" s="17"/>
      <c r="WXO110" s="17"/>
      <c r="WXP110" s="17"/>
      <c r="WXQ110" s="17"/>
      <c r="WXR110" s="17"/>
      <c r="WXS110" s="17"/>
      <c r="WXT110" s="17"/>
      <c r="WXU110" s="17"/>
      <c r="WXV110" s="17"/>
      <c r="WXW110" s="17"/>
      <c r="WXX110" s="17"/>
      <c r="WXY110" s="17"/>
      <c r="WXZ110" s="17"/>
      <c r="WYA110" s="17"/>
      <c r="WYB110" s="17"/>
      <c r="WYC110" s="17"/>
      <c r="WYD110" s="17"/>
      <c r="WYE110" s="17"/>
      <c r="WYF110" s="17"/>
      <c r="WYG110" s="17"/>
      <c r="WYH110" s="17"/>
      <c r="WYI110" s="17"/>
      <c r="WYJ110" s="17"/>
      <c r="WYK110" s="17"/>
      <c r="WYL110" s="17"/>
      <c r="WYM110" s="17"/>
      <c r="WYN110" s="17"/>
      <c r="WYO110" s="17"/>
      <c r="WYP110" s="17"/>
      <c r="WYQ110" s="17"/>
      <c r="WYR110" s="17"/>
      <c r="WYS110" s="17"/>
      <c r="WYT110" s="17"/>
      <c r="WYU110" s="17"/>
      <c r="WYV110" s="17"/>
      <c r="WYW110" s="17"/>
      <c r="WYX110" s="17"/>
      <c r="WYY110" s="17"/>
      <c r="WYZ110" s="17"/>
      <c r="WZA110" s="17"/>
      <c r="WZB110" s="17"/>
      <c r="WZC110" s="17"/>
      <c r="WZD110" s="17"/>
      <c r="WZE110" s="17"/>
      <c r="WZF110" s="17"/>
      <c r="WZG110" s="17"/>
      <c r="WZH110" s="17"/>
      <c r="WZI110" s="17"/>
      <c r="WZJ110" s="17"/>
      <c r="WZK110" s="17"/>
      <c r="WZL110" s="17"/>
      <c r="WZM110" s="17"/>
      <c r="WZN110" s="17"/>
      <c r="WZO110" s="17"/>
      <c r="WZP110" s="17"/>
      <c r="WZQ110" s="17"/>
      <c r="WZR110" s="17"/>
      <c r="WZS110" s="17"/>
      <c r="WZT110" s="17"/>
      <c r="WZU110" s="17"/>
      <c r="WZV110" s="17"/>
      <c r="WZW110" s="17"/>
      <c r="WZX110" s="17"/>
      <c r="WZY110" s="17"/>
      <c r="WZZ110" s="17"/>
      <c r="XAA110" s="17"/>
      <c r="XAB110" s="17"/>
      <c r="XAC110" s="17"/>
      <c r="XAD110" s="17"/>
      <c r="XAE110" s="17"/>
      <c r="XAF110" s="17"/>
      <c r="XAG110" s="17"/>
      <c r="XAH110" s="17"/>
      <c r="XAI110" s="17"/>
      <c r="XAJ110" s="17"/>
      <c r="XAK110" s="17"/>
      <c r="XAL110" s="17"/>
      <c r="XAM110" s="17"/>
      <c r="XAN110" s="17"/>
      <c r="XAO110" s="17"/>
      <c r="XAP110" s="17"/>
      <c r="XAQ110" s="17"/>
      <c r="XAR110" s="17"/>
      <c r="XAS110" s="17"/>
      <c r="XAT110" s="17"/>
      <c r="XAU110" s="17"/>
      <c r="XAV110" s="17"/>
      <c r="XAW110" s="17"/>
      <c r="XAX110" s="17"/>
      <c r="XAY110" s="17"/>
      <c r="XAZ110" s="17"/>
      <c r="XBA110" s="17"/>
      <c r="XBB110" s="17"/>
      <c r="XBC110" s="17"/>
      <c r="XBD110" s="17"/>
      <c r="XBE110" s="17"/>
      <c r="XBF110" s="17"/>
      <c r="XBG110" s="17"/>
      <c r="XBH110" s="17"/>
      <c r="XBI110" s="17"/>
      <c r="XBJ110" s="17"/>
      <c r="XBK110" s="17"/>
      <c r="XBL110" s="17"/>
      <c r="XBM110" s="17"/>
      <c r="XBN110" s="17"/>
      <c r="XBO110" s="17"/>
      <c r="XBP110" s="17"/>
      <c r="XBQ110" s="17"/>
      <c r="XBR110" s="17"/>
      <c r="XBS110" s="17"/>
      <c r="XBT110" s="17"/>
      <c r="XBU110" s="17"/>
      <c r="XBV110" s="17"/>
      <c r="XBW110" s="17"/>
      <c r="XBX110" s="17"/>
      <c r="XBY110" s="17"/>
      <c r="XBZ110" s="17"/>
      <c r="XCA110" s="17"/>
      <c r="XCB110" s="17"/>
      <c r="XCC110" s="17"/>
      <c r="XCD110" s="17"/>
      <c r="XCE110" s="17"/>
      <c r="XCF110" s="17"/>
      <c r="XCG110" s="17"/>
      <c r="XCH110" s="17"/>
      <c r="XCI110" s="17"/>
      <c r="XCJ110" s="17"/>
      <c r="XCK110" s="17"/>
      <c r="XCL110" s="17"/>
      <c r="XCM110" s="17"/>
      <c r="XCN110" s="17"/>
      <c r="XCO110" s="17"/>
      <c r="XCP110" s="17"/>
      <c r="XCQ110" s="17"/>
      <c r="XCR110" s="17"/>
      <c r="XCS110" s="17"/>
      <c r="XCT110" s="17"/>
      <c r="XCU110" s="17"/>
      <c r="XCV110" s="17"/>
      <c r="XCW110" s="17"/>
      <c r="XCX110" s="17"/>
      <c r="XCY110" s="17"/>
      <c r="XCZ110" s="17"/>
      <c r="XDA110" s="17"/>
      <c r="XDB110" s="17"/>
      <c r="XDC110" s="17"/>
      <c r="XDD110" s="17"/>
      <c r="XDE110" s="17"/>
      <c r="XDF110" s="17"/>
      <c r="XDG110" s="17"/>
      <c r="XDH110" s="17"/>
      <c r="XDI110" s="17"/>
      <c r="XDJ110" s="17"/>
      <c r="XDK110" s="17"/>
      <c r="XDL110" s="17"/>
      <c r="XDM110" s="17"/>
      <c r="XDN110" s="17"/>
      <c r="XDO110" s="17"/>
      <c r="XDP110" s="17"/>
      <c r="XDQ110" s="17"/>
      <c r="XDR110" s="17"/>
      <c r="XDS110" s="17"/>
      <c r="XDT110" s="17"/>
      <c r="XDU110" s="17"/>
      <c r="XDV110" s="17"/>
      <c r="XDW110" s="17"/>
      <c r="XDX110" s="17"/>
      <c r="XDY110" s="17"/>
      <c r="XDZ110" s="17"/>
      <c r="XEA110" s="17"/>
      <c r="XEB110" s="17"/>
      <c r="XEC110" s="17"/>
      <c r="XED110" s="17"/>
      <c r="XEE110" s="17"/>
      <c r="XEF110" s="17"/>
      <c r="XEG110" s="17"/>
      <c r="XEH110" s="17"/>
      <c r="XEI110" s="17"/>
      <c r="XEJ110" s="17"/>
      <c r="XEK110" s="17"/>
      <c r="XEL110" s="17"/>
      <c r="XEM110" s="17"/>
      <c r="XEN110" s="17"/>
      <c r="XEO110" s="17"/>
      <c r="XEP110" s="17"/>
      <c r="XEQ110" s="17"/>
      <c r="XER110" s="17"/>
      <c r="XES110" s="17"/>
      <c r="XET110" s="17"/>
      <c r="XEU110" s="17"/>
      <c r="XEV110" s="17"/>
      <c r="XEW110" s="17"/>
      <c r="XEX110" s="17"/>
      <c r="XEY110" s="10"/>
      <c r="XEZ110" s="10"/>
      <c r="XFA110" s="10"/>
      <c r="XFB110" s="10"/>
      <c r="XFC110" s="94"/>
    </row>
    <row r="111" s="4" customFormat="1" ht="42" customHeight="1" spans="1:16383">
      <c r="A111" s="61"/>
      <c r="B111" s="62"/>
      <c r="C111" s="34" t="s">
        <v>112</v>
      </c>
      <c r="D111" s="35"/>
      <c r="E111" s="67" t="s">
        <v>17</v>
      </c>
      <c r="F111" s="71">
        <f>0.9*7.71+1.57*3.21+0.13*11.1</f>
        <v>13.4217</v>
      </c>
      <c r="G111" s="71">
        <v>258</v>
      </c>
      <c r="H111" s="71">
        <f t="shared" si="6"/>
        <v>3462.7986</v>
      </c>
      <c r="I111" s="80" t="s">
        <v>113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7"/>
      <c r="IP111" s="17"/>
      <c r="IQ111" s="17"/>
      <c r="IR111" s="17"/>
      <c r="IS111" s="17"/>
      <c r="IT111" s="17"/>
      <c r="IU111" s="17"/>
      <c r="IV111" s="17"/>
      <c r="IW111" s="17"/>
      <c r="IX111" s="17"/>
      <c r="IY111" s="17"/>
      <c r="IZ111" s="17"/>
      <c r="JA111" s="17"/>
      <c r="JB111" s="17"/>
      <c r="JC111" s="17"/>
      <c r="JD111" s="17"/>
      <c r="JE111" s="17"/>
      <c r="JF111" s="17"/>
      <c r="JG111" s="17"/>
      <c r="JH111" s="17"/>
      <c r="JI111" s="17"/>
      <c r="JJ111" s="17"/>
      <c r="JK111" s="17"/>
      <c r="JL111" s="17"/>
      <c r="JM111" s="17"/>
      <c r="JN111" s="17"/>
      <c r="JO111" s="17"/>
      <c r="JP111" s="17"/>
      <c r="JQ111" s="17"/>
      <c r="JR111" s="17"/>
      <c r="JS111" s="17"/>
      <c r="JT111" s="17"/>
      <c r="JU111" s="17"/>
      <c r="JV111" s="17"/>
      <c r="JW111" s="17"/>
      <c r="JX111" s="17"/>
      <c r="JY111" s="17"/>
      <c r="JZ111" s="17"/>
      <c r="KA111" s="17"/>
      <c r="KB111" s="17"/>
      <c r="KC111" s="17"/>
      <c r="KD111" s="17"/>
      <c r="KE111" s="17"/>
      <c r="KF111" s="17"/>
      <c r="KG111" s="17"/>
      <c r="KH111" s="17"/>
      <c r="KI111" s="17"/>
      <c r="KJ111" s="17"/>
      <c r="KK111" s="17"/>
      <c r="KL111" s="17"/>
      <c r="KM111" s="17"/>
      <c r="KN111" s="17"/>
      <c r="KO111" s="17"/>
      <c r="KP111" s="17"/>
      <c r="KQ111" s="17"/>
      <c r="KR111" s="17"/>
      <c r="KS111" s="17"/>
      <c r="KT111" s="17"/>
      <c r="KU111" s="17"/>
      <c r="KV111" s="17"/>
      <c r="KW111" s="17"/>
      <c r="KX111" s="17"/>
      <c r="KY111" s="17"/>
      <c r="KZ111" s="17"/>
      <c r="LA111" s="17"/>
      <c r="LB111" s="17"/>
      <c r="LC111" s="17"/>
      <c r="LD111" s="17"/>
      <c r="LE111" s="17"/>
      <c r="LF111" s="17"/>
      <c r="LG111" s="17"/>
      <c r="LH111" s="17"/>
      <c r="LI111" s="17"/>
      <c r="LJ111" s="17"/>
      <c r="LK111" s="17"/>
      <c r="LL111" s="17"/>
      <c r="LM111" s="17"/>
      <c r="LN111" s="17"/>
      <c r="LO111" s="17"/>
      <c r="LP111" s="17"/>
      <c r="LQ111" s="17"/>
      <c r="LR111" s="17"/>
      <c r="LS111" s="17"/>
      <c r="LT111" s="17"/>
      <c r="LU111" s="17"/>
      <c r="LV111" s="17"/>
      <c r="LW111" s="17"/>
      <c r="LX111" s="17"/>
      <c r="LY111" s="17"/>
      <c r="LZ111" s="17"/>
      <c r="MA111" s="17"/>
      <c r="MB111" s="17"/>
      <c r="MC111" s="17"/>
      <c r="MD111" s="17"/>
      <c r="ME111" s="17"/>
      <c r="MF111" s="17"/>
      <c r="MG111" s="17"/>
      <c r="MH111" s="17"/>
      <c r="MI111" s="17"/>
      <c r="MJ111" s="17"/>
      <c r="MK111" s="17"/>
      <c r="ML111" s="17"/>
      <c r="MM111" s="17"/>
      <c r="MN111" s="17"/>
      <c r="MO111" s="17"/>
      <c r="MP111" s="17"/>
      <c r="MQ111" s="17"/>
      <c r="MR111" s="17"/>
      <c r="MS111" s="17"/>
      <c r="MT111" s="17"/>
      <c r="MU111" s="17"/>
      <c r="MV111" s="17"/>
      <c r="MW111" s="17"/>
      <c r="MX111" s="17"/>
      <c r="MY111" s="17"/>
      <c r="MZ111" s="17"/>
      <c r="NA111" s="17"/>
      <c r="NB111" s="17"/>
      <c r="NC111" s="17"/>
      <c r="ND111" s="17"/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7"/>
      <c r="OC111" s="17"/>
      <c r="OD111" s="17"/>
      <c r="OE111" s="17"/>
      <c r="OF111" s="17"/>
      <c r="OG111" s="17"/>
      <c r="OH111" s="17"/>
      <c r="OI111" s="17"/>
      <c r="OJ111" s="17"/>
      <c r="OK111" s="17"/>
      <c r="OL111" s="17"/>
      <c r="OM111" s="17"/>
      <c r="ON111" s="17"/>
      <c r="OO111" s="17"/>
      <c r="OP111" s="17"/>
      <c r="OQ111" s="17"/>
      <c r="OR111" s="17"/>
      <c r="OS111" s="17"/>
      <c r="OT111" s="17"/>
      <c r="OU111" s="17"/>
      <c r="OV111" s="17"/>
      <c r="OW111" s="17"/>
      <c r="OX111" s="17"/>
      <c r="OY111" s="17"/>
      <c r="OZ111" s="17"/>
      <c r="PA111" s="17"/>
      <c r="PB111" s="17"/>
      <c r="PC111" s="17"/>
      <c r="PD111" s="17"/>
      <c r="PE111" s="17"/>
      <c r="PF111" s="17"/>
      <c r="PG111" s="17"/>
      <c r="PH111" s="17"/>
      <c r="PI111" s="17"/>
      <c r="PJ111" s="17"/>
      <c r="PK111" s="17"/>
      <c r="PL111" s="17"/>
      <c r="PM111" s="17"/>
      <c r="PN111" s="17"/>
      <c r="PO111" s="17"/>
      <c r="PP111" s="17"/>
      <c r="PQ111" s="17"/>
      <c r="PR111" s="17"/>
      <c r="PS111" s="17"/>
      <c r="PT111" s="17"/>
      <c r="PU111" s="17"/>
      <c r="PV111" s="17"/>
      <c r="PW111" s="17"/>
      <c r="PX111" s="17"/>
      <c r="PY111" s="17"/>
      <c r="PZ111" s="17"/>
      <c r="QA111" s="17"/>
      <c r="QB111" s="17"/>
      <c r="QC111" s="17"/>
      <c r="QD111" s="17"/>
      <c r="QE111" s="17"/>
      <c r="QF111" s="17"/>
      <c r="QG111" s="17"/>
      <c r="QH111" s="17"/>
      <c r="QI111" s="17"/>
      <c r="QJ111" s="17"/>
      <c r="QK111" s="17"/>
      <c r="QL111" s="17"/>
      <c r="QM111" s="17"/>
      <c r="QN111" s="17"/>
      <c r="QO111" s="17"/>
      <c r="QP111" s="17"/>
      <c r="QQ111" s="17"/>
      <c r="QR111" s="17"/>
      <c r="QS111" s="17"/>
      <c r="QT111" s="17"/>
      <c r="QU111" s="17"/>
      <c r="QV111" s="17"/>
      <c r="QW111" s="17"/>
      <c r="QX111" s="17"/>
      <c r="QY111" s="17"/>
      <c r="QZ111" s="17"/>
      <c r="RA111" s="17"/>
      <c r="RB111" s="17"/>
      <c r="RC111" s="17"/>
      <c r="RD111" s="17"/>
      <c r="RE111" s="17"/>
      <c r="RF111" s="17"/>
      <c r="RG111" s="17"/>
      <c r="RH111" s="17"/>
      <c r="RI111" s="17"/>
      <c r="RJ111" s="17"/>
      <c r="RK111" s="17"/>
      <c r="RL111" s="17"/>
      <c r="RM111" s="17"/>
      <c r="RN111" s="17"/>
      <c r="RO111" s="17"/>
      <c r="RP111" s="17"/>
      <c r="RQ111" s="17"/>
      <c r="RR111" s="17"/>
      <c r="RS111" s="17"/>
      <c r="RT111" s="17"/>
      <c r="RU111" s="17"/>
      <c r="RV111" s="17"/>
      <c r="RW111" s="17"/>
      <c r="RX111" s="17"/>
      <c r="RY111" s="17"/>
      <c r="RZ111" s="17"/>
      <c r="SA111" s="17"/>
      <c r="SB111" s="17"/>
      <c r="SC111" s="17"/>
      <c r="SD111" s="17"/>
      <c r="SE111" s="17"/>
      <c r="SF111" s="17"/>
      <c r="SG111" s="17"/>
      <c r="SH111" s="17"/>
      <c r="SI111" s="17"/>
      <c r="SJ111" s="17"/>
      <c r="SK111" s="17"/>
      <c r="SL111" s="17"/>
      <c r="SM111" s="17"/>
      <c r="SN111" s="17"/>
      <c r="SO111" s="17"/>
      <c r="SP111" s="17"/>
      <c r="SQ111" s="17"/>
      <c r="SR111" s="17"/>
      <c r="SS111" s="17"/>
      <c r="ST111" s="17"/>
      <c r="SU111" s="17"/>
      <c r="SV111" s="17"/>
      <c r="SW111" s="17"/>
      <c r="SX111" s="17"/>
      <c r="SY111" s="17"/>
      <c r="SZ111" s="17"/>
      <c r="TA111" s="17"/>
      <c r="TB111" s="17"/>
      <c r="TC111" s="17"/>
      <c r="TD111" s="17"/>
      <c r="TE111" s="17"/>
      <c r="TF111" s="17"/>
      <c r="TG111" s="17"/>
      <c r="TH111" s="17"/>
      <c r="TI111" s="17"/>
      <c r="TJ111" s="17"/>
      <c r="TK111" s="17"/>
      <c r="TL111" s="17"/>
      <c r="TM111" s="17"/>
      <c r="TN111" s="17"/>
      <c r="TO111" s="17"/>
      <c r="TP111" s="17"/>
      <c r="TQ111" s="17"/>
      <c r="TR111" s="17"/>
      <c r="TS111" s="17"/>
      <c r="TT111" s="17"/>
      <c r="TU111" s="17"/>
      <c r="TV111" s="17"/>
      <c r="TW111" s="17"/>
      <c r="TX111" s="17"/>
      <c r="TY111" s="17"/>
      <c r="TZ111" s="17"/>
      <c r="UA111" s="17"/>
      <c r="UB111" s="17"/>
      <c r="UC111" s="17"/>
      <c r="UD111" s="17"/>
      <c r="UE111" s="17"/>
      <c r="UF111" s="17"/>
      <c r="UG111" s="17"/>
      <c r="UH111" s="17"/>
      <c r="UI111" s="17"/>
      <c r="UJ111" s="17"/>
      <c r="UK111" s="17"/>
      <c r="UL111" s="17"/>
      <c r="UM111" s="17"/>
      <c r="UN111" s="17"/>
      <c r="UO111" s="17"/>
      <c r="UP111" s="17"/>
      <c r="UQ111" s="17"/>
      <c r="UR111" s="17"/>
      <c r="US111" s="17"/>
      <c r="UT111" s="17"/>
      <c r="UU111" s="17"/>
      <c r="UV111" s="17"/>
      <c r="UW111" s="17"/>
      <c r="UX111" s="17"/>
      <c r="UY111" s="17"/>
      <c r="UZ111" s="17"/>
      <c r="VA111" s="17"/>
      <c r="VB111" s="17"/>
      <c r="VC111" s="17"/>
      <c r="VD111" s="17"/>
      <c r="VE111" s="17"/>
      <c r="VF111" s="17"/>
      <c r="VG111" s="17"/>
      <c r="VH111" s="17"/>
      <c r="VI111" s="17"/>
      <c r="VJ111" s="17"/>
      <c r="VK111" s="17"/>
      <c r="VL111" s="17"/>
      <c r="VM111" s="17"/>
      <c r="VN111" s="17"/>
      <c r="VO111" s="17"/>
      <c r="VP111" s="17"/>
      <c r="VQ111" s="17"/>
      <c r="VR111" s="17"/>
      <c r="VS111" s="17"/>
      <c r="VT111" s="17"/>
      <c r="VU111" s="17"/>
      <c r="VV111" s="17"/>
      <c r="VW111" s="17"/>
      <c r="VX111" s="17"/>
      <c r="VY111" s="17"/>
      <c r="VZ111" s="17"/>
      <c r="WA111" s="17"/>
      <c r="WB111" s="17"/>
      <c r="WC111" s="17"/>
      <c r="WD111" s="17"/>
      <c r="WE111" s="17"/>
      <c r="WF111" s="17"/>
      <c r="WG111" s="17"/>
      <c r="WH111" s="17"/>
      <c r="WI111" s="17"/>
      <c r="WJ111" s="17"/>
      <c r="WK111" s="17"/>
      <c r="WL111" s="17"/>
      <c r="WM111" s="17"/>
      <c r="WN111" s="17"/>
      <c r="WO111" s="17"/>
      <c r="WP111" s="17"/>
      <c r="WQ111" s="17"/>
      <c r="WR111" s="17"/>
      <c r="WS111" s="17"/>
      <c r="WT111" s="17"/>
      <c r="WU111" s="17"/>
      <c r="WV111" s="17"/>
      <c r="WW111" s="17"/>
      <c r="WX111" s="17"/>
      <c r="WY111" s="17"/>
      <c r="WZ111" s="17"/>
      <c r="XA111" s="17"/>
      <c r="XB111" s="17"/>
      <c r="XC111" s="17"/>
      <c r="XD111" s="17"/>
      <c r="XE111" s="17"/>
      <c r="XF111" s="17"/>
      <c r="XG111" s="17"/>
      <c r="XH111" s="17"/>
      <c r="XI111" s="17"/>
      <c r="XJ111" s="17"/>
      <c r="XK111" s="17"/>
      <c r="XL111" s="17"/>
      <c r="XM111" s="17"/>
      <c r="XN111" s="17"/>
      <c r="XO111" s="17"/>
      <c r="XP111" s="17"/>
      <c r="XQ111" s="17"/>
      <c r="XR111" s="17"/>
      <c r="XS111" s="17"/>
      <c r="XT111" s="17"/>
      <c r="XU111" s="17"/>
      <c r="XV111" s="17"/>
      <c r="XW111" s="17"/>
      <c r="XX111" s="17"/>
      <c r="XY111" s="17"/>
      <c r="XZ111" s="17"/>
      <c r="YA111" s="17"/>
      <c r="YB111" s="17"/>
      <c r="YC111" s="17"/>
      <c r="YD111" s="17"/>
      <c r="YE111" s="17"/>
      <c r="YF111" s="17"/>
      <c r="YG111" s="17"/>
      <c r="YH111" s="17"/>
      <c r="YI111" s="17"/>
      <c r="YJ111" s="17"/>
      <c r="YK111" s="17"/>
      <c r="YL111" s="17"/>
      <c r="YM111" s="17"/>
      <c r="YN111" s="17"/>
      <c r="YO111" s="17"/>
      <c r="YP111" s="17"/>
      <c r="YQ111" s="17"/>
      <c r="YR111" s="17"/>
      <c r="YS111" s="17"/>
      <c r="YT111" s="17"/>
      <c r="YU111" s="17"/>
      <c r="YV111" s="17"/>
      <c r="YW111" s="17"/>
      <c r="YX111" s="17"/>
      <c r="YY111" s="17"/>
      <c r="YZ111" s="17"/>
      <c r="ZA111" s="17"/>
      <c r="ZB111" s="17"/>
      <c r="ZC111" s="17"/>
      <c r="ZD111" s="17"/>
      <c r="ZE111" s="17"/>
      <c r="ZF111" s="17"/>
      <c r="ZG111" s="17"/>
      <c r="ZH111" s="17"/>
      <c r="ZI111" s="17"/>
      <c r="ZJ111" s="17"/>
      <c r="ZK111" s="17"/>
      <c r="ZL111" s="17"/>
      <c r="ZM111" s="17"/>
      <c r="ZN111" s="17"/>
      <c r="ZO111" s="17"/>
      <c r="ZP111" s="17"/>
      <c r="ZQ111" s="17"/>
      <c r="ZR111" s="17"/>
      <c r="ZS111" s="17"/>
      <c r="ZT111" s="17"/>
      <c r="ZU111" s="17"/>
      <c r="ZV111" s="17"/>
      <c r="ZW111" s="17"/>
      <c r="ZX111" s="17"/>
      <c r="ZY111" s="17"/>
      <c r="ZZ111" s="17"/>
      <c r="AAA111" s="17"/>
      <c r="AAB111" s="17"/>
      <c r="AAC111" s="17"/>
      <c r="AAD111" s="17"/>
      <c r="AAE111" s="17"/>
      <c r="AAF111" s="17"/>
      <c r="AAG111" s="17"/>
      <c r="AAH111" s="17"/>
      <c r="AAI111" s="17"/>
      <c r="AAJ111" s="17"/>
      <c r="AAK111" s="17"/>
      <c r="AAL111" s="17"/>
      <c r="AAM111" s="17"/>
      <c r="AAN111" s="17"/>
      <c r="AAO111" s="17"/>
      <c r="AAP111" s="17"/>
      <c r="AAQ111" s="17"/>
      <c r="AAR111" s="17"/>
      <c r="AAS111" s="17"/>
      <c r="AAT111" s="17"/>
      <c r="AAU111" s="17"/>
      <c r="AAV111" s="17"/>
      <c r="AAW111" s="17"/>
      <c r="AAX111" s="17"/>
      <c r="AAY111" s="17"/>
      <c r="AAZ111" s="17"/>
      <c r="ABA111" s="17"/>
      <c r="ABB111" s="17"/>
      <c r="ABC111" s="17"/>
      <c r="ABD111" s="17"/>
      <c r="ABE111" s="17"/>
      <c r="ABF111" s="17"/>
      <c r="ABG111" s="17"/>
      <c r="ABH111" s="17"/>
      <c r="ABI111" s="17"/>
      <c r="ABJ111" s="17"/>
      <c r="ABK111" s="17"/>
      <c r="ABL111" s="17"/>
      <c r="ABM111" s="17"/>
      <c r="ABN111" s="17"/>
      <c r="ABO111" s="17"/>
      <c r="ABP111" s="17"/>
      <c r="ABQ111" s="17"/>
      <c r="ABR111" s="17"/>
      <c r="ABS111" s="17"/>
      <c r="ABT111" s="17"/>
      <c r="ABU111" s="17"/>
      <c r="ABV111" s="17"/>
      <c r="ABW111" s="17"/>
      <c r="ABX111" s="17"/>
      <c r="ABY111" s="17"/>
      <c r="ABZ111" s="17"/>
      <c r="ACA111" s="17"/>
      <c r="ACB111" s="17"/>
      <c r="ACC111" s="17"/>
      <c r="ACD111" s="17"/>
      <c r="ACE111" s="17"/>
      <c r="ACF111" s="17"/>
      <c r="ACG111" s="17"/>
      <c r="ACH111" s="17"/>
      <c r="ACI111" s="17"/>
      <c r="ACJ111" s="17"/>
      <c r="ACK111" s="17"/>
      <c r="ACL111" s="17"/>
      <c r="ACM111" s="17"/>
      <c r="ACN111" s="17"/>
      <c r="ACO111" s="17"/>
      <c r="ACP111" s="17"/>
      <c r="ACQ111" s="17"/>
      <c r="ACR111" s="17"/>
      <c r="ACS111" s="17"/>
      <c r="ACT111" s="17"/>
      <c r="ACU111" s="17"/>
      <c r="ACV111" s="17"/>
      <c r="ACW111" s="17"/>
      <c r="ACX111" s="17"/>
      <c r="ACY111" s="17"/>
      <c r="ACZ111" s="17"/>
      <c r="ADA111" s="17"/>
      <c r="ADB111" s="17"/>
      <c r="ADC111" s="17"/>
      <c r="ADD111" s="17"/>
      <c r="ADE111" s="17"/>
      <c r="ADF111" s="17"/>
      <c r="ADG111" s="17"/>
      <c r="ADH111" s="17"/>
      <c r="ADI111" s="17"/>
      <c r="ADJ111" s="17"/>
      <c r="ADK111" s="17"/>
      <c r="ADL111" s="17"/>
      <c r="ADM111" s="17"/>
      <c r="ADN111" s="17"/>
      <c r="ADO111" s="17"/>
      <c r="ADP111" s="17"/>
      <c r="ADQ111" s="17"/>
      <c r="ADR111" s="17"/>
      <c r="ADS111" s="17"/>
      <c r="ADT111" s="17"/>
      <c r="ADU111" s="17"/>
      <c r="ADV111" s="17"/>
      <c r="ADW111" s="17"/>
      <c r="ADX111" s="17"/>
      <c r="ADY111" s="17"/>
      <c r="ADZ111" s="17"/>
      <c r="AEA111" s="17"/>
      <c r="AEB111" s="17"/>
      <c r="AEC111" s="17"/>
      <c r="AED111" s="17"/>
      <c r="AEE111" s="17"/>
      <c r="AEF111" s="17"/>
      <c r="AEG111" s="17"/>
      <c r="AEH111" s="17"/>
      <c r="AEI111" s="17"/>
      <c r="AEJ111" s="17"/>
      <c r="AEK111" s="17"/>
      <c r="AEL111" s="17"/>
      <c r="AEM111" s="17"/>
      <c r="AEN111" s="17"/>
      <c r="AEO111" s="17"/>
      <c r="AEP111" s="17"/>
      <c r="AEQ111" s="17"/>
      <c r="AER111" s="17"/>
      <c r="AES111" s="17"/>
      <c r="AET111" s="17"/>
      <c r="AEU111" s="17"/>
      <c r="AEV111" s="17"/>
      <c r="AEW111" s="17"/>
      <c r="AEX111" s="17"/>
      <c r="AEY111" s="17"/>
      <c r="AEZ111" s="17"/>
      <c r="AFA111" s="17"/>
      <c r="AFB111" s="17"/>
      <c r="AFC111" s="17"/>
      <c r="AFD111" s="17"/>
      <c r="AFE111" s="17"/>
      <c r="AFF111" s="17"/>
      <c r="AFG111" s="17"/>
      <c r="AFH111" s="17"/>
      <c r="AFI111" s="17"/>
      <c r="AFJ111" s="17"/>
      <c r="AFK111" s="17"/>
      <c r="AFL111" s="17"/>
      <c r="AFM111" s="17"/>
      <c r="AFN111" s="17"/>
      <c r="AFO111" s="17"/>
      <c r="AFP111" s="17"/>
      <c r="AFQ111" s="17"/>
      <c r="AFR111" s="17"/>
      <c r="AFS111" s="17"/>
      <c r="AFT111" s="17"/>
      <c r="AFU111" s="17"/>
      <c r="AFV111" s="17"/>
      <c r="AFW111" s="17"/>
      <c r="AFX111" s="17"/>
      <c r="AFY111" s="17"/>
      <c r="AFZ111" s="17"/>
      <c r="AGA111" s="17"/>
      <c r="AGB111" s="17"/>
      <c r="AGC111" s="17"/>
      <c r="AGD111" s="17"/>
      <c r="AGE111" s="17"/>
      <c r="AGF111" s="17"/>
      <c r="AGG111" s="17"/>
      <c r="AGH111" s="17"/>
      <c r="AGI111" s="17"/>
      <c r="AGJ111" s="17"/>
      <c r="AGK111" s="17"/>
      <c r="AGL111" s="17"/>
      <c r="AGM111" s="17"/>
      <c r="AGN111" s="17"/>
      <c r="AGO111" s="17"/>
      <c r="AGP111" s="17"/>
      <c r="AGQ111" s="17"/>
      <c r="AGR111" s="17"/>
      <c r="AGS111" s="17"/>
      <c r="AGT111" s="17"/>
      <c r="AGU111" s="17"/>
      <c r="AGV111" s="17"/>
      <c r="AGW111" s="17"/>
      <c r="AGX111" s="17"/>
      <c r="AGY111" s="17"/>
      <c r="AGZ111" s="17"/>
      <c r="AHA111" s="17"/>
      <c r="AHB111" s="17"/>
      <c r="AHC111" s="17"/>
      <c r="AHD111" s="17"/>
      <c r="AHE111" s="17"/>
      <c r="AHF111" s="17"/>
      <c r="AHG111" s="17"/>
      <c r="AHH111" s="17"/>
      <c r="AHI111" s="17"/>
      <c r="AHJ111" s="17"/>
      <c r="AHK111" s="17"/>
      <c r="AHL111" s="17"/>
      <c r="AHM111" s="17"/>
      <c r="AHN111" s="17"/>
      <c r="AHO111" s="17"/>
      <c r="AHP111" s="17"/>
      <c r="AHQ111" s="17"/>
      <c r="AHR111" s="17"/>
      <c r="AHS111" s="17"/>
      <c r="AHT111" s="17"/>
      <c r="AHU111" s="17"/>
      <c r="AHV111" s="17"/>
      <c r="AHW111" s="17"/>
      <c r="AHX111" s="17"/>
      <c r="AHY111" s="17"/>
      <c r="AHZ111" s="17"/>
      <c r="AIA111" s="17"/>
      <c r="AIB111" s="17"/>
      <c r="AIC111" s="17"/>
      <c r="AID111" s="17"/>
      <c r="AIE111" s="17"/>
      <c r="AIF111" s="17"/>
      <c r="AIG111" s="17"/>
      <c r="AIH111" s="17"/>
      <c r="AII111" s="17"/>
      <c r="AIJ111" s="17"/>
      <c r="AIK111" s="17"/>
      <c r="AIL111" s="17"/>
      <c r="AIM111" s="17"/>
      <c r="AIN111" s="17"/>
      <c r="AIO111" s="17"/>
      <c r="AIP111" s="17"/>
      <c r="AIQ111" s="17"/>
      <c r="AIR111" s="17"/>
      <c r="AIS111" s="17"/>
      <c r="AIT111" s="17"/>
      <c r="AIU111" s="17"/>
      <c r="AIV111" s="17"/>
      <c r="AIW111" s="17"/>
      <c r="AIX111" s="17"/>
      <c r="AIY111" s="17"/>
      <c r="AIZ111" s="17"/>
      <c r="AJA111" s="17"/>
      <c r="AJB111" s="17"/>
      <c r="AJC111" s="17"/>
      <c r="AJD111" s="17"/>
      <c r="AJE111" s="17"/>
      <c r="AJF111" s="17"/>
      <c r="AJG111" s="17"/>
      <c r="AJH111" s="17"/>
      <c r="AJI111" s="17"/>
      <c r="AJJ111" s="17"/>
      <c r="AJK111" s="17"/>
      <c r="AJL111" s="17"/>
      <c r="AJM111" s="17"/>
      <c r="AJN111" s="17"/>
      <c r="AJO111" s="17"/>
      <c r="AJP111" s="17"/>
      <c r="AJQ111" s="17"/>
      <c r="AJR111" s="17"/>
      <c r="AJS111" s="17"/>
      <c r="AJT111" s="17"/>
      <c r="AJU111" s="17"/>
      <c r="AJV111" s="17"/>
      <c r="AJW111" s="17"/>
      <c r="AJX111" s="17"/>
      <c r="AJY111" s="17"/>
      <c r="AJZ111" s="17"/>
      <c r="AKA111" s="17"/>
      <c r="AKB111" s="17"/>
      <c r="AKC111" s="17"/>
      <c r="AKD111" s="17"/>
      <c r="AKE111" s="17"/>
      <c r="AKF111" s="17"/>
      <c r="AKG111" s="17"/>
      <c r="AKH111" s="17"/>
      <c r="AKI111" s="17"/>
      <c r="AKJ111" s="17"/>
      <c r="AKK111" s="17"/>
      <c r="AKL111" s="17"/>
      <c r="AKM111" s="17"/>
      <c r="AKN111" s="17"/>
      <c r="AKO111" s="17"/>
      <c r="AKP111" s="17"/>
      <c r="AKQ111" s="17"/>
      <c r="AKR111" s="17"/>
      <c r="AKS111" s="17"/>
      <c r="AKT111" s="17"/>
      <c r="AKU111" s="17"/>
      <c r="AKV111" s="17"/>
      <c r="AKW111" s="17"/>
      <c r="AKX111" s="17"/>
      <c r="AKY111" s="17"/>
      <c r="AKZ111" s="17"/>
      <c r="ALA111" s="17"/>
      <c r="ALB111" s="17"/>
      <c r="ALC111" s="17"/>
      <c r="ALD111" s="17"/>
      <c r="ALE111" s="17"/>
      <c r="ALF111" s="17"/>
      <c r="ALG111" s="17"/>
      <c r="ALH111" s="17"/>
      <c r="ALI111" s="17"/>
      <c r="ALJ111" s="17"/>
      <c r="ALK111" s="17"/>
      <c r="ALL111" s="17"/>
      <c r="ALM111" s="17"/>
      <c r="ALN111" s="17"/>
      <c r="ALO111" s="17"/>
      <c r="ALP111" s="17"/>
      <c r="ALQ111" s="17"/>
      <c r="ALR111" s="17"/>
      <c r="ALS111" s="17"/>
      <c r="ALT111" s="17"/>
      <c r="ALU111" s="17"/>
      <c r="ALV111" s="17"/>
      <c r="ALW111" s="17"/>
      <c r="ALX111" s="17"/>
      <c r="ALY111" s="17"/>
      <c r="ALZ111" s="17"/>
      <c r="AMA111" s="17"/>
      <c r="AMB111" s="17"/>
      <c r="AMC111" s="17"/>
      <c r="AMD111" s="17"/>
      <c r="AME111" s="17"/>
      <c r="AMF111" s="17"/>
      <c r="AMG111" s="17"/>
      <c r="AMH111" s="17"/>
      <c r="AMI111" s="17"/>
      <c r="AMJ111" s="17"/>
      <c r="AMK111" s="17"/>
      <c r="AML111" s="17"/>
      <c r="AMM111" s="17"/>
      <c r="AMN111" s="17"/>
      <c r="AMO111" s="17"/>
      <c r="AMP111" s="17"/>
      <c r="AMQ111" s="17"/>
      <c r="AMR111" s="17"/>
      <c r="AMS111" s="17"/>
      <c r="AMT111" s="17"/>
      <c r="AMU111" s="17"/>
      <c r="AMV111" s="17"/>
      <c r="AMW111" s="17"/>
      <c r="AMX111" s="17"/>
      <c r="AMY111" s="17"/>
      <c r="AMZ111" s="17"/>
      <c r="ANA111" s="17"/>
      <c r="ANB111" s="17"/>
      <c r="ANC111" s="17"/>
      <c r="AND111" s="17"/>
      <c r="ANE111" s="17"/>
      <c r="ANF111" s="17"/>
      <c r="ANG111" s="17"/>
      <c r="ANH111" s="17"/>
      <c r="ANI111" s="17"/>
      <c r="ANJ111" s="17"/>
      <c r="ANK111" s="17"/>
      <c r="ANL111" s="17"/>
      <c r="ANM111" s="17"/>
      <c r="ANN111" s="17"/>
      <c r="ANO111" s="17"/>
      <c r="ANP111" s="17"/>
      <c r="ANQ111" s="17"/>
      <c r="ANR111" s="17"/>
      <c r="ANS111" s="17"/>
      <c r="ANT111" s="17"/>
      <c r="ANU111" s="17"/>
      <c r="ANV111" s="17"/>
      <c r="ANW111" s="17"/>
      <c r="ANX111" s="17"/>
      <c r="ANY111" s="17"/>
      <c r="ANZ111" s="17"/>
      <c r="AOA111" s="17"/>
      <c r="AOB111" s="17"/>
      <c r="AOC111" s="17"/>
      <c r="AOD111" s="17"/>
      <c r="AOE111" s="17"/>
      <c r="AOF111" s="17"/>
      <c r="AOG111" s="17"/>
      <c r="AOH111" s="17"/>
      <c r="AOI111" s="17"/>
      <c r="AOJ111" s="17"/>
      <c r="AOK111" s="17"/>
      <c r="AOL111" s="17"/>
      <c r="AOM111" s="17"/>
      <c r="AON111" s="17"/>
      <c r="AOO111" s="17"/>
      <c r="AOP111" s="17"/>
      <c r="AOQ111" s="17"/>
      <c r="AOR111" s="17"/>
      <c r="AOS111" s="17"/>
      <c r="AOT111" s="17"/>
      <c r="AOU111" s="17"/>
      <c r="AOV111" s="17"/>
      <c r="AOW111" s="17"/>
      <c r="AOX111" s="17"/>
      <c r="AOY111" s="17"/>
      <c r="AOZ111" s="17"/>
      <c r="APA111" s="17"/>
      <c r="APB111" s="17"/>
      <c r="APC111" s="17"/>
      <c r="APD111" s="17"/>
      <c r="APE111" s="17"/>
      <c r="APF111" s="17"/>
      <c r="APG111" s="17"/>
      <c r="APH111" s="17"/>
      <c r="API111" s="17"/>
      <c r="APJ111" s="17"/>
      <c r="APK111" s="17"/>
      <c r="APL111" s="17"/>
      <c r="APM111" s="17"/>
      <c r="APN111" s="17"/>
      <c r="APO111" s="17"/>
      <c r="APP111" s="17"/>
      <c r="APQ111" s="17"/>
      <c r="APR111" s="17"/>
      <c r="APS111" s="17"/>
      <c r="APT111" s="17"/>
      <c r="APU111" s="17"/>
      <c r="APV111" s="17"/>
      <c r="APW111" s="17"/>
      <c r="APX111" s="17"/>
      <c r="APY111" s="17"/>
      <c r="APZ111" s="17"/>
      <c r="AQA111" s="17"/>
      <c r="AQB111" s="17"/>
      <c r="AQC111" s="17"/>
      <c r="AQD111" s="17"/>
      <c r="AQE111" s="17"/>
      <c r="AQF111" s="17"/>
      <c r="AQG111" s="17"/>
      <c r="AQH111" s="17"/>
      <c r="AQI111" s="17"/>
      <c r="AQJ111" s="17"/>
      <c r="AQK111" s="17"/>
      <c r="AQL111" s="17"/>
      <c r="AQM111" s="17"/>
      <c r="AQN111" s="17"/>
      <c r="AQO111" s="17"/>
      <c r="AQP111" s="17"/>
      <c r="AQQ111" s="17"/>
      <c r="AQR111" s="17"/>
      <c r="AQS111" s="17"/>
      <c r="AQT111" s="17"/>
      <c r="AQU111" s="17"/>
      <c r="AQV111" s="17"/>
      <c r="AQW111" s="17"/>
      <c r="AQX111" s="17"/>
      <c r="AQY111" s="17"/>
      <c r="AQZ111" s="17"/>
      <c r="ARA111" s="17"/>
      <c r="ARB111" s="17"/>
      <c r="ARC111" s="17"/>
      <c r="ARD111" s="17"/>
      <c r="ARE111" s="17"/>
      <c r="ARF111" s="17"/>
      <c r="ARG111" s="17"/>
      <c r="ARH111" s="17"/>
      <c r="ARI111" s="17"/>
      <c r="ARJ111" s="17"/>
      <c r="ARK111" s="17"/>
      <c r="ARL111" s="17"/>
      <c r="ARM111" s="17"/>
      <c r="ARN111" s="17"/>
      <c r="ARO111" s="17"/>
      <c r="ARP111" s="17"/>
      <c r="ARQ111" s="17"/>
      <c r="ARR111" s="17"/>
      <c r="ARS111" s="17"/>
      <c r="ART111" s="17"/>
      <c r="ARU111" s="17"/>
      <c r="ARV111" s="17"/>
      <c r="ARW111" s="17"/>
      <c r="ARX111" s="17"/>
      <c r="ARY111" s="17"/>
      <c r="ARZ111" s="17"/>
      <c r="ASA111" s="17"/>
      <c r="ASB111" s="17"/>
      <c r="ASC111" s="17"/>
      <c r="ASD111" s="17"/>
      <c r="ASE111" s="17"/>
      <c r="ASF111" s="17"/>
      <c r="ASG111" s="17"/>
      <c r="ASH111" s="17"/>
      <c r="ASI111" s="17"/>
      <c r="ASJ111" s="17"/>
      <c r="ASK111" s="17"/>
      <c r="ASL111" s="17"/>
      <c r="ASM111" s="17"/>
      <c r="ASN111" s="17"/>
      <c r="ASO111" s="17"/>
      <c r="ASP111" s="17"/>
      <c r="ASQ111" s="17"/>
      <c r="ASR111" s="17"/>
      <c r="ASS111" s="17"/>
      <c r="AST111" s="17"/>
      <c r="ASU111" s="17"/>
      <c r="ASV111" s="17"/>
      <c r="ASW111" s="17"/>
      <c r="ASX111" s="17"/>
      <c r="ASY111" s="17"/>
      <c r="ASZ111" s="17"/>
      <c r="ATA111" s="17"/>
      <c r="ATB111" s="17"/>
      <c r="ATC111" s="17"/>
      <c r="ATD111" s="17"/>
      <c r="ATE111" s="17"/>
      <c r="ATF111" s="17"/>
      <c r="ATG111" s="17"/>
      <c r="ATH111" s="17"/>
      <c r="ATI111" s="17"/>
      <c r="ATJ111" s="17"/>
      <c r="ATK111" s="17"/>
      <c r="ATL111" s="17"/>
      <c r="ATM111" s="17"/>
      <c r="ATN111" s="17"/>
      <c r="ATO111" s="17"/>
      <c r="ATP111" s="17"/>
      <c r="ATQ111" s="17"/>
      <c r="ATR111" s="17"/>
      <c r="ATS111" s="17"/>
      <c r="ATT111" s="17"/>
      <c r="ATU111" s="17"/>
      <c r="ATV111" s="17"/>
      <c r="ATW111" s="17"/>
      <c r="ATX111" s="17"/>
      <c r="ATY111" s="17"/>
      <c r="ATZ111" s="17"/>
      <c r="AUA111" s="17"/>
      <c r="AUB111" s="17"/>
      <c r="AUC111" s="17"/>
      <c r="AUD111" s="17"/>
      <c r="AUE111" s="17"/>
      <c r="AUF111" s="17"/>
      <c r="AUG111" s="17"/>
      <c r="AUH111" s="17"/>
      <c r="AUI111" s="17"/>
      <c r="AUJ111" s="17"/>
      <c r="AUK111" s="17"/>
      <c r="AUL111" s="17"/>
      <c r="AUM111" s="17"/>
      <c r="AUN111" s="17"/>
      <c r="AUO111" s="17"/>
      <c r="AUP111" s="17"/>
      <c r="AUQ111" s="17"/>
      <c r="AUR111" s="17"/>
      <c r="AUS111" s="17"/>
      <c r="AUT111" s="17"/>
      <c r="AUU111" s="17"/>
      <c r="AUV111" s="17"/>
      <c r="AUW111" s="17"/>
      <c r="AUX111" s="17"/>
      <c r="AUY111" s="17"/>
      <c r="AUZ111" s="17"/>
      <c r="AVA111" s="17"/>
      <c r="AVB111" s="17"/>
      <c r="AVC111" s="17"/>
      <c r="AVD111" s="17"/>
      <c r="AVE111" s="17"/>
      <c r="AVF111" s="17"/>
      <c r="AVG111" s="17"/>
      <c r="AVH111" s="17"/>
      <c r="AVI111" s="17"/>
      <c r="AVJ111" s="17"/>
      <c r="AVK111" s="17"/>
      <c r="AVL111" s="17"/>
      <c r="AVM111" s="17"/>
      <c r="AVN111" s="17"/>
      <c r="AVO111" s="17"/>
      <c r="AVP111" s="17"/>
      <c r="AVQ111" s="17"/>
      <c r="AVR111" s="17"/>
      <c r="AVS111" s="17"/>
      <c r="AVT111" s="17"/>
      <c r="AVU111" s="17"/>
      <c r="AVV111" s="17"/>
      <c r="AVW111" s="17"/>
      <c r="AVX111" s="17"/>
      <c r="AVY111" s="17"/>
      <c r="AVZ111" s="17"/>
      <c r="AWA111" s="17"/>
      <c r="AWB111" s="17"/>
      <c r="AWC111" s="17"/>
      <c r="AWD111" s="17"/>
      <c r="AWE111" s="17"/>
      <c r="AWF111" s="17"/>
      <c r="AWG111" s="17"/>
      <c r="AWH111" s="17"/>
      <c r="AWI111" s="17"/>
      <c r="AWJ111" s="17"/>
      <c r="AWK111" s="17"/>
      <c r="AWL111" s="17"/>
      <c r="AWM111" s="17"/>
      <c r="AWN111" s="17"/>
      <c r="AWO111" s="17"/>
      <c r="AWP111" s="17"/>
      <c r="AWQ111" s="17"/>
      <c r="AWR111" s="17"/>
      <c r="AWS111" s="17"/>
      <c r="AWT111" s="17"/>
      <c r="AWU111" s="17"/>
      <c r="AWV111" s="17"/>
      <c r="AWW111" s="17"/>
      <c r="AWX111" s="17"/>
      <c r="AWY111" s="17"/>
      <c r="AWZ111" s="17"/>
      <c r="AXA111" s="17"/>
      <c r="AXB111" s="17"/>
      <c r="AXC111" s="17"/>
      <c r="AXD111" s="17"/>
      <c r="AXE111" s="17"/>
      <c r="AXF111" s="17"/>
      <c r="AXG111" s="17"/>
      <c r="AXH111" s="17"/>
      <c r="AXI111" s="17"/>
      <c r="AXJ111" s="17"/>
      <c r="AXK111" s="17"/>
      <c r="AXL111" s="17"/>
      <c r="AXM111" s="17"/>
      <c r="AXN111" s="17"/>
      <c r="AXO111" s="17"/>
      <c r="AXP111" s="17"/>
      <c r="AXQ111" s="17"/>
      <c r="AXR111" s="17"/>
      <c r="AXS111" s="17"/>
      <c r="AXT111" s="17"/>
      <c r="AXU111" s="17"/>
      <c r="AXV111" s="17"/>
      <c r="AXW111" s="17"/>
      <c r="AXX111" s="17"/>
      <c r="AXY111" s="17"/>
      <c r="AXZ111" s="17"/>
      <c r="AYA111" s="17"/>
      <c r="AYB111" s="17"/>
      <c r="AYC111" s="17"/>
      <c r="AYD111" s="17"/>
      <c r="AYE111" s="17"/>
      <c r="AYF111" s="17"/>
      <c r="AYG111" s="17"/>
      <c r="AYH111" s="17"/>
      <c r="AYI111" s="17"/>
      <c r="AYJ111" s="17"/>
      <c r="AYK111" s="17"/>
      <c r="AYL111" s="17"/>
      <c r="AYM111" s="17"/>
      <c r="AYN111" s="17"/>
      <c r="AYO111" s="17"/>
      <c r="AYP111" s="17"/>
      <c r="AYQ111" s="17"/>
      <c r="AYR111" s="17"/>
      <c r="AYS111" s="17"/>
      <c r="AYT111" s="17"/>
      <c r="AYU111" s="17"/>
      <c r="AYV111" s="17"/>
      <c r="AYW111" s="17"/>
      <c r="AYX111" s="17"/>
      <c r="AYY111" s="17"/>
      <c r="AYZ111" s="17"/>
      <c r="AZA111" s="17"/>
      <c r="AZB111" s="17"/>
      <c r="AZC111" s="17"/>
      <c r="AZD111" s="17"/>
      <c r="AZE111" s="17"/>
      <c r="AZF111" s="17"/>
      <c r="AZG111" s="17"/>
      <c r="AZH111" s="17"/>
      <c r="AZI111" s="17"/>
      <c r="AZJ111" s="17"/>
      <c r="AZK111" s="17"/>
      <c r="AZL111" s="17"/>
      <c r="AZM111" s="17"/>
      <c r="AZN111" s="17"/>
      <c r="AZO111" s="17"/>
      <c r="AZP111" s="17"/>
      <c r="AZQ111" s="17"/>
      <c r="AZR111" s="17"/>
      <c r="AZS111" s="17"/>
      <c r="AZT111" s="17"/>
      <c r="AZU111" s="17"/>
      <c r="AZV111" s="17"/>
      <c r="AZW111" s="17"/>
      <c r="AZX111" s="17"/>
      <c r="AZY111" s="17"/>
      <c r="AZZ111" s="17"/>
      <c r="BAA111" s="17"/>
      <c r="BAB111" s="17"/>
      <c r="BAC111" s="17"/>
      <c r="BAD111" s="17"/>
      <c r="BAE111" s="17"/>
      <c r="BAF111" s="17"/>
      <c r="BAG111" s="17"/>
      <c r="BAH111" s="17"/>
      <c r="BAI111" s="17"/>
      <c r="BAJ111" s="17"/>
      <c r="BAK111" s="17"/>
      <c r="BAL111" s="17"/>
      <c r="BAM111" s="17"/>
      <c r="BAN111" s="17"/>
      <c r="BAO111" s="17"/>
      <c r="BAP111" s="17"/>
      <c r="BAQ111" s="17"/>
      <c r="BAR111" s="17"/>
      <c r="BAS111" s="17"/>
      <c r="BAT111" s="17"/>
      <c r="BAU111" s="17"/>
      <c r="BAV111" s="17"/>
      <c r="BAW111" s="17"/>
      <c r="BAX111" s="17"/>
      <c r="BAY111" s="17"/>
      <c r="BAZ111" s="17"/>
      <c r="BBA111" s="17"/>
      <c r="BBB111" s="17"/>
      <c r="BBC111" s="17"/>
      <c r="BBD111" s="17"/>
      <c r="BBE111" s="17"/>
      <c r="BBF111" s="17"/>
      <c r="BBG111" s="17"/>
      <c r="BBH111" s="17"/>
      <c r="BBI111" s="17"/>
      <c r="BBJ111" s="17"/>
      <c r="BBK111" s="17"/>
      <c r="BBL111" s="17"/>
      <c r="BBM111" s="17"/>
      <c r="BBN111" s="17"/>
      <c r="BBO111" s="17"/>
      <c r="BBP111" s="17"/>
      <c r="BBQ111" s="17"/>
      <c r="BBR111" s="17"/>
      <c r="BBS111" s="17"/>
      <c r="BBT111" s="17"/>
      <c r="BBU111" s="17"/>
      <c r="BBV111" s="17"/>
      <c r="BBW111" s="17"/>
      <c r="BBX111" s="17"/>
      <c r="BBY111" s="17"/>
      <c r="BBZ111" s="17"/>
      <c r="BCA111" s="17"/>
      <c r="BCB111" s="17"/>
      <c r="BCC111" s="17"/>
      <c r="BCD111" s="17"/>
      <c r="BCE111" s="17"/>
      <c r="BCF111" s="17"/>
      <c r="BCG111" s="17"/>
      <c r="BCH111" s="17"/>
      <c r="BCI111" s="17"/>
      <c r="BCJ111" s="17"/>
      <c r="BCK111" s="17"/>
      <c r="BCL111" s="17"/>
      <c r="BCM111" s="17"/>
      <c r="BCN111" s="17"/>
      <c r="BCO111" s="17"/>
      <c r="BCP111" s="17"/>
      <c r="BCQ111" s="17"/>
      <c r="BCR111" s="17"/>
      <c r="BCS111" s="17"/>
      <c r="BCT111" s="17"/>
      <c r="BCU111" s="17"/>
      <c r="BCV111" s="17"/>
      <c r="BCW111" s="17"/>
      <c r="BCX111" s="17"/>
      <c r="BCY111" s="17"/>
      <c r="BCZ111" s="17"/>
      <c r="BDA111" s="17"/>
      <c r="BDB111" s="17"/>
      <c r="BDC111" s="17"/>
      <c r="BDD111" s="17"/>
      <c r="BDE111" s="17"/>
      <c r="BDF111" s="17"/>
      <c r="BDG111" s="17"/>
      <c r="BDH111" s="17"/>
      <c r="BDI111" s="17"/>
      <c r="BDJ111" s="17"/>
      <c r="BDK111" s="17"/>
      <c r="BDL111" s="17"/>
      <c r="BDM111" s="17"/>
      <c r="BDN111" s="17"/>
      <c r="BDO111" s="17"/>
      <c r="BDP111" s="17"/>
      <c r="BDQ111" s="17"/>
      <c r="BDR111" s="17"/>
      <c r="BDS111" s="17"/>
      <c r="BDT111" s="17"/>
      <c r="BDU111" s="17"/>
      <c r="BDV111" s="17"/>
      <c r="BDW111" s="17"/>
      <c r="BDX111" s="17"/>
      <c r="BDY111" s="17"/>
      <c r="BDZ111" s="17"/>
      <c r="BEA111" s="17"/>
      <c r="BEB111" s="17"/>
      <c r="BEC111" s="17"/>
      <c r="BED111" s="17"/>
      <c r="BEE111" s="17"/>
      <c r="BEF111" s="17"/>
      <c r="BEG111" s="17"/>
      <c r="BEH111" s="17"/>
      <c r="BEI111" s="17"/>
      <c r="BEJ111" s="17"/>
      <c r="BEK111" s="17"/>
      <c r="BEL111" s="17"/>
      <c r="BEM111" s="17"/>
      <c r="BEN111" s="17"/>
      <c r="BEO111" s="17"/>
      <c r="BEP111" s="17"/>
      <c r="BEQ111" s="17"/>
      <c r="BER111" s="17"/>
      <c r="BES111" s="17"/>
      <c r="BET111" s="17"/>
      <c r="BEU111" s="17"/>
      <c r="BEV111" s="17"/>
      <c r="BEW111" s="17"/>
      <c r="BEX111" s="17"/>
      <c r="BEY111" s="17"/>
      <c r="BEZ111" s="17"/>
      <c r="BFA111" s="17"/>
      <c r="BFB111" s="17"/>
      <c r="BFC111" s="17"/>
      <c r="BFD111" s="17"/>
      <c r="BFE111" s="17"/>
      <c r="BFF111" s="17"/>
      <c r="BFG111" s="17"/>
      <c r="BFH111" s="17"/>
      <c r="BFI111" s="17"/>
      <c r="BFJ111" s="17"/>
      <c r="BFK111" s="17"/>
      <c r="BFL111" s="17"/>
      <c r="BFM111" s="17"/>
      <c r="BFN111" s="17"/>
      <c r="BFO111" s="17"/>
      <c r="BFP111" s="17"/>
      <c r="BFQ111" s="17"/>
      <c r="BFR111" s="17"/>
      <c r="BFS111" s="17"/>
      <c r="BFT111" s="17"/>
      <c r="BFU111" s="17"/>
      <c r="BFV111" s="17"/>
      <c r="BFW111" s="17"/>
      <c r="BFX111" s="17"/>
      <c r="BFY111" s="17"/>
      <c r="BFZ111" s="17"/>
      <c r="BGA111" s="17"/>
      <c r="BGB111" s="17"/>
      <c r="BGC111" s="17"/>
      <c r="BGD111" s="17"/>
      <c r="BGE111" s="17"/>
      <c r="BGF111" s="17"/>
      <c r="BGG111" s="17"/>
      <c r="BGH111" s="17"/>
      <c r="BGI111" s="17"/>
      <c r="BGJ111" s="17"/>
      <c r="BGK111" s="17"/>
      <c r="BGL111" s="17"/>
      <c r="BGM111" s="17"/>
      <c r="BGN111" s="17"/>
      <c r="BGO111" s="17"/>
      <c r="BGP111" s="17"/>
      <c r="BGQ111" s="17"/>
      <c r="BGR111" s="17"/>
      <c r="BGS111" s="17"/>
      <c r="BGT111" s="17"/>
      <c r="BGU111" s="17"/>
      <c r="BGV111" s="17"/>
      <c r="BGW111" s="17"/>
      <c r="BGX111" s="17"/>
      <c r="BGY111" s="17"/>
      <c r="BGZ111" s="17"/>
      <c r="BHA111" s="17"/>
      <c r="BHB111" s="17"/>
      <c r="BHC111" s="17"/>
      <c r="BHD111" s="17"/>
      <c r="BHE111" s="17"/>
      <c r="BHF111" s="17"/>
      <c r="BHG111" s="17"/>
      <c r="BHH111" s="17"/>
      <c r="BHI111" s="17"/>
      <c r="BHJ111" s="17"/>
      <c r="BHK111" s="17"/>
      <c r="BHL111" s="17"/>
      <c r="BHM111" s="17"/>
      <c r="BHN111" s="17"/>
      <c r="BHO111" s="17"/>
      <c r="BHP111" s="17"/>
      <c r="BHQ111" s="17"/>
      <c r="BHR111" s="17"/>
      <c r="BHS111" s="17"/>
      <c r="BHT111" s="17"/>
      <c r="BHU111" s="17"/>
      <c r="BHV111" s="17"/>
      <c r="BHW111" s="17"/>
      <c r="BHX111" s="17"/>
      <c r="BHY111" s="17"/>
      <c r="BHZ111" s="17"/>
      <c r="BIA111" s="17"/>
      <c r="BIB111" s="17"/>
      <c r="BIC111" s="17"/>
      <c r="BID111" s="17"/>
      <c r="BIE111" s="17"/>
      <c r="BIF111" s="17"/>
      <c r="BIG111" s="17"/>
      <c r="BIH111" s="17"/>
      <c r="BII111" s="17"/>
      <c r="BIJ111" s="17"/>
      <c r="BIK111" s="17"/>
      <c r="BIL111" s="17"/>
      <c r="BIM111" s="17"/>
      <c r="BIN111" s="17"/>
      <c r="BIO111" s="17"/>
      <c r="BIP111" s="17"/>
      <c r="BIQ111" s="17"/>
      <c r="BIR111" s="17"/>
      <c r="BIS111" s="17"/>
      <c r="BIT111" s="17"/>
      <c r="BIU111" s="17"/>
      <c r="BIV111" s="17"/>
      <c r="BIW111" s="17"/>
      <c r="BIX111" s="17"/>
      <c r="BIY111" s="17"/>
      <c r="BIZ111" s="17"/>
      <c r="BJA111" s="17"/>
      <c r="BJB111" s="17"/>
      <c r="BJC111" s="17"/>
      <c r="BJD111" s="17"/>
      <c r="BJE111" s="17"/>
      <c r="BJF111" s="17"/>
      <c r="BJG111" s="17"/>
      <c r="BJH111" s="17"/>
      <c r="BJI111" s="17"/>
      <c r="BJJ111" s="17"/>
      <c r="BJK111" s="17"/>
      <c r="BJL111" s="17"/>
      <c r="BJM111" s="17"/>
      <c r="BJN111" s="17"/>
      <c r="BJO111" s="17"/>
      <c r="BJP111" s="17"/>
      <c r="BJQ111" s="17"/>
      <c r="BJR111" s="17"/>
      <c r="BJS111" s="17"/>
      <c r="BJT111" s="17"/>
      <c r="BJU111" s="17"/>
      <c r="BJV111" s="17"/>
      <c r="BJW111" s="17"/>
      <c r="BJX111" s="17"/>
      <c r="BJY111" s="17"/>
      <c r="BJZ111" s="17"/>
      <c r="BKA111" s="17"/>
      <c r="BKB111" s="17"/>
      <c r="BKC111" s="17"/>
      <c r="BKD111" s="17"/>
      <c r="BKE111" s="17"/>
      <c r="BKF111" s="17"/>
      <c r="BKG111" s="17"/>
      <c r="BKH111" s="17"/>
      <c r="BKI111" s="17"/>
      <c r="BKJ111" s="17"/>
      <c r="BKK111" s="17"/>
      <c r="BKL111" s="17"/>
      <c r="BKM111" s="17"/>
      <c r="BKN111" s="17"/>
      <c r="BKO111" s="17"/>
      <c r="BKP111" s="17"/>
      <c r="BKQ111" s="17"/>
      <c r="BKR111" s="17"/>
      <c r="BKS111" s="17"/>
      <c r="BKT111" s="17"/>
      <c r="BKU111" s="17"/>
      <c r="BKV111" s="17"/>
      <c r="BKW111" s="17"/>
      <c r="BKX111" s="17"/>
      <c r="BKY111" s="17"/>
      <c r="BKZ111" s="17"/>
      <c r="BLA111" s="17"/>
      <c r="BLB111" s="17"/>
      <c r="BLC111" s="17"/>
      <c r="BLD111" s="17"/>
      <c r="BLE111" s="17"/>
      <c r="BLF111" s="17"/>
      <c r="BLG111" s="17"/>
      <c r="BLH111" s="17"/>
      <c r="BLI111" s="17"/>
      <c r="BLJ111" s="17"/>
      <c r="BLK111" s="17"/>
      <c r="BLL111" s="17"/>
      <c r="BLM111" s="17"/>
      <c r="BLN111" s="17"/>
      <c r="BLO111" s="17"/>
      <c r="BLP111" s="17"/>
      <c r="BLQ111" s="17"/>
      <c r="BLR111" s="17"/>
      <c r="BLS111" s="17"/>
      <c r="BLT111" s="17"/>
      <c r="BLU111" s="17"/>
      <c r="BLV111" s="17"/>
      <c r="BLW111" s="17"/>
      <c r="BLX111" s="17"/>
      <c r="BLY111" s="17"/>
      <c r="BLZ111" s="17"/>
      <c r="BMA111" s="17"/>
      <c r="BMB111" s="17"/>
      <c r="BMC111" s="17"/>
      <c r="BMD111" s="17"/>
      <c r="BME111" s="17"/>
      <c r="BMF111" s="17"/>
      <c r="BMG111" s="17"/>
      <c r="BMH111" s="17"/>
      <c r="BMI111" s="17"/>
      <c r="BMJ111" s="17"/>
      <c r="BMK111" s="17"/>
      <c r="BML111" s="17"/>
      <c r="BMM111" s="17"/>
      <c r="BMN111" s="17"/>
      <c r="BMO111" s="17"/>
      <c r="BMP111" s="17"/>
      <c r="BMQ111" s="17"/>
      <c r="BMR111" s="17"/>
      <c r="BMS111" s="17"/>
      <c r="BMT111" s="17"/>
      <c r="BMU111" s="17"/>
      <c r="BMV111" s="17"/>
      <c r="BMW111" s="17"/>
      <c r="BMX111" s="17"/>
      <c r="BMY111" s="17"/>
      <c r="BMZ111" s="17"/>
      <c r="BNA111" s="17"/>
      <c r="BNB111" s="17"/>
      <c r="BNC111" s="17"/>
      <c r="BND111" s="17"/>
      <c r="BNE111" s="17"/>
      <c r="BNF111" s="17"/>
      <c r="BNG111" s="17"/>
      <c r="BNH111" s="17"/>
      <c r="BNI111" s="17"/>
      <c r="BNJ111" s="17"/>
      <c r="BNK111" s="17"/>
      <c r="BNL111" s="17"/>
      <c r="BNM111" s="17"/>
      <c r="BNN111" s="17"/>
      <c r="BNO111" s="17"/>
      <c r="BNP111" s="17"/>
      <c r="BNQ111" s="17"/>
      <c r="BNR111" s="17"/>
      <c r="BNS111" s="17"/>
      <c r="BNT111" s="17"/>
      <c r="BNU111" s="17"/>
      <c r="BNV111" s="17"/>
      <c r="BNW111" s="17"/>
      <c r="BNX111" s="17"/>
      <c r="BNY111" s="17"/>
      <c r="BNZ111" s="17"/>
      <c r="BOA111" s="17"/>
      <c r="BOB111" s="17"/>
      <c r="BOC111" s="17"/>
      <c r="BOD111" s="17"/>
      <c r="BOE111" s="17"/>
      <c r="BOF111" s="17"/>
      <c r="BOG111" s="17"/>
      <c r="BOH111" s="17"/>
      <c r="BOI111" s="17"/>
      <c r="BOJ111" s="17"/>
      <c r="BOK111" s="17"/>
      <c r="BOL111" s="17"/>
      <c r="BOM111" s="17"/>
      <c r="BON111" s="17"/>
      <c r="BOO111" s="17"/>
      <c r="BOP111" s="17"/>
      <c r="BOQ111" s="17"/>
      <c r="BOR111" s="17"/>
      <c r="BOS111" s="17"/>
      <c r="BOT111" s="17"/>
      <c r="BOU111" s="17"/>
      <c r="BOV111" s="17"/>
      <c r="BOW111" s="17"/>
      <c r="BOX111" s="17"/>
      <c r="BOY111" s="17"/>
      <c r="BOZ111" s="17"/>
      <c r="BPA111" s="17"/>
      <c r="BPB111" s="17"/>
      <c r="BPC111" s="17"/>
      <c r="BPD111" s="17"/>
      <c r="BPE111" s="17"/>
      <c r="BPF111" s="17"/>
      <c r="BPG111" s="17"/>
      <c r="BPH111" s="17"/>
      <c r="BPI111" s="17"/>
      <c r="BPJ111" s="17"/>
      <c r="BPK111" s="17"/>
      <c r="BPL111" s="17"/>
      <c r="BPM111" s="17"/>
      <c r="BPN111" s="17"/>
      <c r="BPO111" s="17"/>
      <c r="BPP111" s="17"/>
      <c r="BPQ111" s="17"/>
      <c r="BPR111" s="17"/>
      <c r="BPS111" s="17"/>
      <c r="BPT111" s="17"/>
      <c r="BPU111" s="17"/>
      <c r="BPV111" s="17"/>
      <c r="BPW111" s="17"/>
      <c r="BPX111" s="17"/>
      <c r="BPY111" s="17"/>
      <c r="BPZ111" s="17"/>
      <c r="BQA111" s="17"/>
      <c r="BQB111" s="17"/>
      <c r="BQC111" s="17"/>
      <c r="BQD111" s="17"/>
      <c r="BQE111" s="17"/>
      <c r="BQF111" s="17"/>
      <c r="BQG111" s="17"/>
      <c r="BQH111" s="17"/>
      <c r="BQI111" s="17"/>
      <c r="BQJ111" s="17"/>
      <c r="BQK111" s="17"/>
      <c r="BQL111" s="17"/>
      <c r="BQM111" s="17"/>
      <c r="BQN111" s="17"/>
      <c r="BQO111" s="17"/>
      <c r="BQP111" s="17"/>
      <c r="BQQ111" s="17"/>
      <c r="BQR111" s="17"/>
      <c r="BQS111" s="17"/>
      <c r="BQT111" s="17"/>
      <c r="BQU111" s="17"/>
      <c r="BQV111" s="17"/>
      <c r="BQW111" s="17"/>
      <c r="BQX111" s="17"/>
      <c r="BQY111" s="17"/>
      <c r="BQZ111" s="17"/>
      <c r="BRA111" s="17"/>
      <c r="BRB111" s="17"/>
      <c r="BRC111" s="17"/>
      <c r="BRD111" s="17"/>
      <c r="BRE111" s="17"/>
      <c r="BRF111" s="17"/>
      <c r="BRG111" s="17"/>
      <c r="BRH111" s="17"/>
      <c r="BRI111" s="17"/>
      <c r="BRJ111" s="17"/>
      <c r="BRK111" s="17"/>
      <c r="BRL111" s="17"/>
      <c r="BRM111" s="17"/>
      <c r="BRN111" s="17"/>
      <c r="BRO111" s="17"/>
      <c r="BRP111" s="17"/>
      <c r="BRQ111" s="17"/>
      <c r="BRR111" s="17"/>
      <c r="BRS111" s="17"/>
      <c r="BRT111" s="17"/>
      <c r="BRU111" s="17"/>
      <c r="BRV111" s="17"/>
      <c r="BRW111" s="17"/>
      <c r="BRX111" s="17"/>
      <c r="BRY111" s="17"/>
      <c r="BRZ111" s="17"/>
      <c r="BSA111" s="17"/>
      <c r="BSB111" s="17"/>
      <c r="BSC111" s="17"/>
      <c r="BSD111" s="17"/>
      <c r="BSE111" s="17"/>
      <c r="BSF111" s="17"/>
      <c r="BSG111" s="17"/>
      <c r="BSH111" s="17"/>
      <c r="BSI111" s="17"/>
      <c r="BSJ111" s="17"/>
      <c r="BSK111" s="17"/>
      <c r="BSL111" s="17"/>
      <c r="BSM111" s="17"/>
      <c r="BSN111" s="17"/>
      <c r="BSO111" s="17"/>
      <c r="BSP111" s="17"/>
      <c r="BSQ111" s="17"/>
      <c r="BSR111" s="17"/>
      <c r="BSS111" s="17"/>
      <c r="BST111" s="17"/>
      <c r="BSU111" s="17"/>
      <c r="BSV111" s="17"/>
      <c r="BSW111" s="17"/>
      <c r="BSX111" s="17"/>
      <c r="BSY111" s="17"/>
      <c r="BSZ111" s="17"/>
      <c r="BTA111" s="17"/>
      <c r="BTB111" s="17"/>
      <c r="BTC111" s="17"/>
      <c r="BTD111" s="17"/>
      <c r="BTE111" s="17"/>
      <c r="BTF111" s="17"/>
      <c r="BTG111" s="17"/>
      <c r="BTH111" s="17"/>
      <c r="BTI111" s="17"/>
      <c r="BTJ111" s="17"/>
      <c r="BTK111" s="17"/>
      <c r="BTL111" s="17"/>
      <c r="BTM111" s="17"/>
      <c r="BTN111" s="17"/>
      <c r="BTO111" s="17"/>
      <c r="BTP111" s="17"/>
      <c r="BTQ111" s="17"/>
      <c r="BTR111" s="17"/>
      <c r="BTS111" s="17"/>
      <c r="BTT111" s="17"/>
      <c r="BTU111" s="17"/>
      <c r="BTV111" s="17"/>
      <c r="BTW111" s="17"/>
      <c r="BTX111" s="17"/>
      <c r="BTY111" s="17"/>
      <c r="BTZ111" s="17"/>
      <c r="BUA111" s="17"/>
      <c r="BUB111" s="17"/>
      <c r="BUC111" s="17"/>
      <c r="BUD111" s="17"/>
      <c r="BUE111" s="17"/>
      <c r="BUF111" s="17"/>
      <c r="BUG111" s="17"/>
      <c r="BUH111" s="17"/>
      <c r="BUI111" s="17"/>
      <c r="BUJ111" s="17"/>
      <c r="BUK111" s="17"/>
      <c r="BUL111" s="17"/>
      <c r="BUM111" s="17"/>
      <c r="BUN111" s="17"/>
      <c r="BUO111" s="17"/>
      <c r="BUP111" s="17"/>
      <c r="BUQ111" s="17"/>
      <c r="BUR111" s="17"/>
      <c r="BUS111" s="17"/>
      <c r="BUT111" s="17"/>
      <c r="BUU111" s="17"/>
      <c r="BUV111" s="17"/>
      <c r="BUW111" s="17"/>
      <c r="BUX111" s="17"/>
      <c r="BUY111" s="17"/>
      <c r="BUZ111" s="17"/>
      <c r="BVA111" s="17"/>
      <c r="BVB111" s="17"/>
      <c r="BVC111" s="17"/>
      <c r="BVD111" s="17"/>
      <c r="BVE111" s="17"/>
      <c r="BVF111" s="17"/>
      <c r="BVG111" s="17"/>
      <c r="BVH111" s="17"/>
      <c r="BVI111" s="17"/>
      <c r="BVJ111" s="17"/>
      <c r="BVK111" s="17"/>
      <c r="BVL111" s="17"/>
      <c r="BVM111" s="17"/>
      <c r="BVN111" s="17"/>
      <c r="BVO111" s="17"/>
      <c r="BVP111" s="17"/>
      <c r="BVQ111" s="17"/>
      <c r="BVR111" s="17"/>
      <c r="BVS111" s="17"/>
      <c r="BVT111" s="17"/>
      <c r="BVU111" s="17"/>
      <c r="BVV111" s="17"/>
      <c r="BVW111" s="17"/>
      <c r="BVX111" s="17"/>
      <c r="BVY111" s="17"/>
      <c r="BVZ111" s="17"/>
      <c r="BWA111" s="17"/>
      <c r="BWB111" s="17"/>
      <c r="BWC111" s="17"/>
      <c r="BWD111" s="17"/>
      <c r="BWE111" s="17"/>
      <c r="BWF111" s="17"/>
      <c r="BWG111" s="17"/>
      <c r="BWH111" s="17"/>
      <c r="BWI111" s="17"/>
      <c r="BWJ111" s="17"/>
      <c r="BWK111" s="17"/>
      <c r="BWL111" s="17"/>
      <c r="BWM111" s="17"/>
      <c r="BWN111" s="17"/>
      <c r="BWO111" s="17"/>
      <c r="BWP111" s="17"/>
      <c r="BWQ111" s="17"/>
      <c r="BWR111" s="17"/>
      <c r="BWS111" s="17"/>
      <c r="BWT111" s="17"/>
      <c r="BWU111" s="17"/>
      <c r="BWV111" s="17"/>
      <c r="BWW111" s="17"/>
      <c r="BWX111" s="17"/>
      <c r="BWY111" s="17"/>
      <c r="BWZ111" s="17"/>
      <c r="BXA111" s="17"/>
      <c r="BXB111" s="17"/>
      <c r="BXC111" s="17"/>
      <c r="BXD111" s="17"/>
      <c r="BXE111" s="17"/>
      <c r="BXF111" s="17"/>
      <c r="BXG111" s="17"/>
      <c r="BXH111" s="17"/>
      <c r="BXI111" s="17"/>
      <c r="BXJ111" s="17"/>
      <c r="BXK111" s="17"/>
      <c r="BXL111" s="17"/>
      <c r="BXM111" s="17"/>
      <c r="BXN111" s="17"/>
      <c r="BXO111" s="17"/>
      <c r="BXP111" s="17"/>
      <c r="BXQ111" s="17"/>
      <c r="BXR111" s="17"/>
      <c r="BXS111" s="17"/>
      <c r="BXT111" s="17"/>
      <c r="BXU111" s="17"/>
      <c r="BXV111" s="17"/>
      <c r="BXW111" s="17"/>
      <c r="BXX111" s="17"/>
      <c r="BXY111" s="17"/>
      <c r="BXZ111" s="17"/>
      <c r="BYA111" s="17"/>
      <c r="BYB111" s="17"/>
      <c r="BYC111" s="17"/>
      <c r="BYD111" s="17"/>
      <c r="BYE111" s="17"/>
      <c r="BYF111" s="17"/>
      <c r="BYG111" s="17"/>
      <c r="BYH111" s="17"/>
      <c r="BYI111" s="17"/>
      <c r="BYJ111" s="17"/>
      <c r="BYK111" s="17"/>
      <c r="BYL111" s="17"/>
      <c r="BYM111" s="17"/>
      <c r="BYN111" s="17"/>
      <c r="BYO111" s="17"/>
      <c r="BYP111" s="17"/>
      <c r="BYQ111" s="17"/>
      <c r="BYR111" s="17"/>
      <c r="BYS111" s="17"/>
      <c r="BYT111" s="17"/>
      <c r="BYU111" s="17"/>
      <c r="BYV111" s="17"/>
      <c r="BYW111" s="17"/>
      <c r="BYX111" s="17"/>
      <c r="BYY111" s="17"/>
      <c r="BYZ111" s="17"/>
      <c r="BZA111" s="17"/>
      <c r="BZB111" s="17"/>
      <c r="BZC111" s="17"/>
      <c r="BZD111" s="17"/>
      <c r="BZE111" s="17"/>
      <c r="BZF111" s="17"/>
      <c r="BZG111" s="17"/>
      <c r="BZH111" s="17"/>
      <c r="BZI111" s="17"/>
      <c r="BZJ111" s="17"/>
      <c r="BZK111" s="17"/>
      <c r="BZL111" s="17"/>
      <c r="BZM111" s="17"/>
      <c r="BZN111" s="17"/>
      <c r="BZO111" s="17"/>
      <c r="BZP111" s="17"/>
      <c r="BZQ111" s="17"/>
      <c r="BZR111" s="17"/>
      <c r="BZS111" s="17"/>
      <c r="BZT111" s="17"/>
      <c r="BZU111" s="17"/>
      <c r="BZV111" s="17"/>
      <c r="BZW111" s="17"/>
      <c r="BZX111" s="17"/>
      <c r="BZY111" s="17"/>
      <c r="BZZ111" s="17"/>
      <c r="CAA111" s="17"/>
      <c r="CAB111" s="17"/>
      <c r="CAC111" s="17"/>
      <c r="CAD111" s="17"/>
      <c r="CAE111" s="17"/>
      <c r="CAF111" s="17"/>
      <c r="CAG111" s="17"/>
      <c r="CAH111" s="17"/>
      <c r="CAI111" s="17"/>
      <c r="CAJ111" s="17"/>
      <c r="CAK111" s="17"/>
      <c r="CAL111" s="17"/>
      <c r="CAM111" s="17"/>
      <c r="CAN111" s="17"/>
      <c r="CAO111" s="17"/>
      <c r="CAP111" s="17"/>
      <c r="CAQ111" s="17"/>
      <c r="CAR111" s="17"/>
      <c r="CAS111" s="17"/>
      <c r="CAT111" s="17"/>
      <c r="CAU111" s="17"/>
      <c r="CAV111" s="17"/>
      <c r="CAW111" s="17"/>
      <c r="CAX111" s="17"/>
      <c r="CAY111" s="17"/>
      <c r="CAZ111" s="17"/>
      <c r="CBA111" s="17"/>
      <c r="CBB111" s="17"/>
      <c r="CBC111" s="17"/>
      <c r="CBD111" s="17"/>
      <c r="CBE111" s="17"/>
      <c r="CBF111" s="17"/>
      <c r="CBG111" s="17"/>
      <c r="CBH111" s="17"/>
      <c r="CBI111" s="17"/>
      <c r="CBJ111" s="17"/>
      <c r="CBK111" s="17"/>
      <c r="CBL111" s="17"/>
      <c r="CBM111" s="17"/>
      <c r="CBN111" s="17"/>
      <c r="CBO111" s="17"/>
      <c r="CBP111" s="17"/>
      <c r="CBQ111" s="17"/>
      <c r="CBR111" s="17"/>
      <c r="CBS111" s="17"/>
      <c r="CBT111" s="17"/>
      <c r="CBU111" s="17"/>
      <c r="CBV111" s="17"/>
      <c r="CBW111" s="17"/>
      <c r="CBX111" s="17"/>
      <c r="CBY111" s="17"/>
      <c r="CBZ111" s="17"/>
      <c r="CCA111" s="17"/>
      <c r="CCB111" s="17"/>
      <c r="CCC111" s="17"/>
      <c r="CCD111" s="17"/>
      <c r="CCE111" s="17"/>
      <c r="CCF111" s="17"/>
      <c r="CCG111" s="17"/>
      <c r="CCH111" s="17"/>
      <c r="CCI111" s="17"/>
      <c r="CCJ111" s="17"/>
      <c r="CCK111" s="17"/>
      <c r="CCL111" s="17"/>
      <c r="CCM111" s="17"/>
      <c r="CCN111" s="17"/>
      <c r="CCO111" s="17"/>
      <c r="CCP111" s="17"/>
      <c r="CCQ111" s="17"/>
      <c r="CCR111" s="17"/>
      <c r="CCS111" s="17"/>
      <c r="CCT111" s="17"/>
      <c r="CCU111" s="17"/>
      <c r="CCV111" s="17"/>
      <c r="CCW111" s="17"/>
      <c r="CCX111" s="17"/>
      <c r="CCY111" s="17"/>
      <c r="CCZ111" s="17"/>
      <c r="CDA111" s="17"/>
      <c r="CDB111" s="17"/>
      <c r="CDC111" s="17"/>
      <c r="CDD111" s="17"/>
      <c r="CDE111" s="17"/>
      <c r="CDF111" s="17"/>
      <c r="CDG111" s="17"/>
      <c r="CDH111" s="17"/>
      <c r="CDI111" s="17"/>
      <c r="CDJ111" s="17"/>
      <c r="CDK111" s="17"/>
      <c r="CDL111" s="17"/>
      <c r="CDM111" s="17"/>
      <c r="CDN111" s="17"/>
      <c r="CDO111" s="17"/>
      <c r="CDP111" s="17"/>
      <c r="CDQ111" s="17"/>
      <c r="CDR111" s="17"/>
      <c r="CDS111" s="17"/>
      <c r="CDT111" s="17"/>
      <c r="CDU111" s="17"/>
      <c r="CDV111" s="17"/>
      <c r="CDW111" s="17"/>
      <c r="CDX111" s="17"/>
      <c r="CDY111" s="17"/>
      <c r="CDZ111" s="17"/>
      <c r="CEA111" s="17"/>
      <c r="CEB111" s="17"/>
      <c r="CEC111" s="17"/>
      <c r="CED111" s="17"/>
      <c r="CEE111" s="17"/>
      <c r="CEF111" s="17"/>
      <c r="CEG111" s="17"/>
      <c r="CEH111" s="17"/>
      <c r="CEI111" s="17"/>
      <c r="CEJ111" s="17"/>
      <c r="CEK111" s="17"/>
      <c r="CEL111" s="17"/>
      <c r="CEM111" s="17"/>
      <c r="CEN111" s="17"/>
      <c r="CEO111" s="17"/>
      <c r="CEP111" s="17"/>
      <c r="CEQ111" s="17"/>
      <c r="CER111" s="17"/>
      <c r="CES111" s="17"/>
      <c r="CET111" s="17"/>
      <c r="CEU111" s="17"/>
      <c r="CEV111" s="17"/>
      <c r="CEW111" s="17"/>
      <c r="CEX111" s="17"/>
      <c r="CEY111" s="17"/>
      <c r="CEZ111" s="17"/>
      <c r="CFA111" s="17"/>
      <c r="CFB111" s="17"/>
      <c r="CFC111" s="17"/>
      <c r="CFD111" s="17"/>
      <c r="CFE111" s="17"/>
      <c r="CFF111" s="17"/>
      <c r="CFG111" s="17"/>
      <c r="CFH111" s="17"/>
      <c r="CFI111" s="17"/>
      <c r="CFJ111" s="17"/>
      <c r="CFK111" s="17"/>
      <c r="CFL111" s="17"/>
      <c r="CFM111" s="17"/>
      <c r="CFN111" s="17"/>
      <c r="CFO111" s="17"/>
      <c r="CFP111" s="17"/>
      <c r="CFQ111" s="17"/>
      <c r="CFR111" s="17"/>
      <c r="CFS111" s="17"/>
      <c r="CFT111" s="17"/>
      <c r="CFU111" s="17"/>
      <c r="CFV111" s="17"/>
      <c r="CFW111" s="17"/>
      <c r="CFX111" s="17"/>
      <c r="CFY111" s="17"/>
      <c r="CFZ111" s="17"/>
      <c r="CGA111" s="17"/>
      <c r="CGB111" s="17"/>
      <c r="CGC111" s="17"/>
      <c r="CGD111" s="17"/>
      <c r="CGE111" s="17"/>
      <c r="CGF111" s="17"/>
      <c r="CGG111" s="17"/>
      <c r="CGH111" s="17"/>
      <c r="CGI111" s="17"/>
      <c r="CGJ111" s="17"/>
      <c r="CGK111" s="17"/>
      <c r="CGL111" s="17"/>
      <c r="CGM111" s="17"/>
      <c r="CGN111" s="17"/>
      <c r="CGO111" s="17"/>
      <c r="CGP111" s="17"/>
      <c r="CGQ111" s="17"/>
      <c r="CGR111" s="17"/>
      <c r="CGS111" s="17"/>
      <c r="CGT111" s="17"/>
      <c r="CGU111" s="17"/>
      <c r="CGV111" s="17"/>
      <c r="CGW111" s="17"/>
      <c r="CGX111" s="17"/>
      <c r="CGY111" s="17"/>
      <c r="CGZ111" s="17"/>
      <c r="CHA111" s="17"/>
      <c r="CHB111" s="17"/>
      <c r="CHC111" s="17"/>
      <c r="CHD111" s="17"/>
      <c r="CHE111" s="17"/>
      <c r="CHF111" s="17"/>
      <c r="CHG111" s="17"/>
      <c r="CHH111" s="17"/>
      <c r="CHI111" s="17"/>
      <c r="CHJ111" s="17"/>
      <c r="CHK111" s="17"/>
      <c r="CHL111" s="17"/>
      <c r="CHM111" s="17"/>
      <c r="CHN111" s="17"/>
      <c r="CHO111" s="17"/>
      <c r="CHP111" s="17"/>
      <c r="CHQ111" s="17"/>
      <c r="CHR111" s="17"/>
      <c r="CHS111" s="17"/>
      <c r="CHT111" s="17"/>
      <c r="CHU111" s="17"/>
      <c r="CHV111" s="17"/>
      <c r="CHW111" s="17"/>
      <c r="CHX111" s="17"/>
      <c r="CHY111" s="17"/>
      <c r="CHZ111" s="17"/>
      <c r="CIA111" s="17"/>
      <c r="CIB111" s="17"/>
      <c r="CIC111" s="17"/>
      <c r="CID111" s="17"/>
      <c r="CIE111" s="17"/>
      <c r="CIF111" s="17"/>
      <c r="CIG111" s="17"/>
      <c r="CIH111" s="17"/>
      <c r="CII111" s="17"/>
      <c r="CIJ111" s="17"/>
      <c r="CIK111" s="17"/>
      <c r="CIL111" s="17"/>
      <c r="CIM111" s="17"/>
      <c r="CIN111" s="17"/>
      <c r="CIO111" s="17"/>
      <c r="CIP111" s="17"/>
      <c r="CIQ111" s="17"/>
      <c r="CIR111" s="17"/>
      <c r="CIS111" s="17"/>
      <c r="CIT111" s="17"/>
      <c r="CIU111" s="17"/>
      <c r="CIV111" s="17"/>
      <c r="CIW111" s="17"/>
      <c r="CIX111" s="17"/>
      <c r="CIY111" s="17"/>
      <c r="CIZ111" s="17"/>
      <c r="CJA111" s="17"/>
      <c r="CJB111" s="17"/>
      <c r="CJC111" s="17"/>
      <c r="CJD111" s="17"/>
      <c r="CJE111" s="17"/>
      <c r="CJF111" s="17"/>
      <c r="CJG111" s="17"/>
      <c r="CJH111" s="17"/>
      <c r="CJI111" s="17"/>
      <c r="CJJ111" s="17"/>
      <c r="CJK111" s="17"/>
      <c r="CJL111" s="17"/>
      <c r="CJM111" s="17"/>
      <c r="CJN111" s="17"/>
      <c r="CJO111" s="17"/>
      <c r="CJP111" s="17"/>
      <c r="CJQ111" s="17"/>
      <c r="CJR111" s="17"/>
      <c r="CJS111" s="17"/>
      <c r="CJT111" s="17"/>
      <c r="CJU111" s="17"/>
      <c r="CJV111" s="17"/>
      <c r="CJW111" s="17"/>
      <c r="CJX111" s="17"/>
      <c r="CJY111" s="17"/>
      <c r="CJZ111" s="17"/>
      <c r="CKA111" s="17"/>
      <c r="CKB111" s="17"/>
      <c r="CKC111" s="17"/>
      <c r="CKD111" s="17"/>
      <c r="CKE111" s="17"/>
      <c r="CKF111" s="17"/>
      <c r="CKG111" s="17"/>
      <c r="CKH111" s="17"/>
      <c r="CKI111" s="17"/>
      <c r="CKJ111" s="17"/>
      <c r="CKK111" s="17"/>
      <c r="CKL111" s="17"/>
      <c r="CKM111" s="17"/>
      <c r="CKN111" s="17"/>
      <c r="CKO111" s="17"/>
      <c r="CKP111" s="17"/>
      <c r="CKQ111" s="17"/>
      <c r="CKR111" s="17"/>
      <c r="CKS111" s="17"/>
      <c r="CKT111" s="17"/>
      <c r="CKU111" s="17"/>
      <c r="CKV111" s="17"/>
      <c r="CKW111" s="17"/>
      <c r="CKX111" s="17"/>
      <c r="CKY111" s="17"/>
      <c r="CKZ111" s="17"/>
      <c r="CLA111" s="17"/>
      <c r="CLB111" s="17"/>
      <c r="CLC111" s="17"/>
      <c r="CLD111" s="17"/>
      <c r="CLE111" s="17"/>
      <c r="CLF111" s="17"/>
      <c r="CLG111" s="17"/>
      <c r="CLH111" s="17"/>
      <c r="CLI111" s="17"/>
      <c r="CLJ111" s="17"/>
      <c r="CLK111" s="17"/>
      <c r="CLL111" s="17"/>
      <c r="CLM111" s="17"/>
      <c r="CLN111" s="17"/>
      <c r="CLO111" s="17"/>
      <c r="CLP111" s="17"/>
      <c r="CLQ111" s="17"/>
      <c r="CLR111" s="17"/>
      <c r="CLS111" s="17"/>
      <c r="CLT111" s="17"/>
      <c r="CLU111" s="17"/>
      <c r="CLV111" s="17"/>
      <c r="CLW111" s="17"/>
      <c r="CLX111" s="17"/>
      <c r="CLY111" s="17"/>
      <c r="CLZ111" s="17"/>
      <c r="CMA111" s="17"/>
      <c r="CMB111" s="17"/>
      <c r="CMC111" s="17"/>
      <c r="CMD111" s="17"/>
      <c r="CME111" s="17"/>
      <c r="CMF111" s="17"/>
      <c r="CMG111" s="17"/>
      <c r="CMH111" s="17"/>
      <c r="CMI111" s="17"/>
      <c r="CMJ111" s="17"/>
      <c r="CMK111" s="17"/>
      <c r="CML111" s="17"/>
      <c r="CMM111" s="17"/>
      <c r="CMN111" s="17"/>
      <c r="CMO111" s="17"/>
      <c r="CMP111" s="17"/>
      <c r="CMQ111" s="17"/>
      <c r="CMR111" s="17"/>
      <c r="CMS111" s="17"/>
      <c r="CMT111" s="17"/>
      <c r="CMU111" s="17"/>
      <c r="CMV111" s="17"/>
      <c r="CMW111" s="17"/>
      <c r="CMX111" s="17"/>
      <c r="CMY111" s="17"/>
      <c r="CMZ111" s="17"/>
      <c r="CNA111" s="17"/>
      <c r="CNB111" s="17"/>
      <c r="CNC111" s="17"/>
      <c r="CND111" s="17"/>
      <c r="CNE111" s="17"/>
      <c r="CNF111" s="17"/>
      <c r="CNG111" s="17"/>
      <c r="CNH111" s="17"/>
      <c r="CNI111" s="17"/>
      <c r="CNJ111" s="17"/>
      <c r="CNK111" s="17"/>
      <c r="CNL111" s="17"/>
      <c r="CNM111" s="17"/>
      <c r="CNN111" s="17"/>
      <c r="CNO111" s="17"/>
      <c r="CNP111" s="17"/>
      <c r="CNQ111" s="17"/>
      <c r="CNR111" s="17"/>
      <c r="CNS111" s="17"/>
      <c r="CNT111" s="17"/>
      <c r="CNU111" s="17"/>
      <c r="CNV111" s="17"/>
      <c r="CNW111" s="17"/>
      <c r="CNX111" s="17"/>
      <c r="CNY111" s="17"/>
      <c r="CNZ111" s="17"/>
      <c r="COA111" s="17"/>
      <c r="COB111" s="17"/>
      <c r="COC111" s="17"/>
      <c r="COD111" s="17"/>
      <c r="COE111" s="17"/>
      <c r="COF111" s="17"/>
      <c r="COG111" s="17"/>
      <c r="COH111" s="17"/>
      <c r="COI111" s="17"/>
      <c r="COJ111" s="17"/>
      <c r="COK111" s="17"/>
      <c r="COL111" s="17"/>
      <c r="COM111" s="17"/>
      <c r="CON111" s="17"/>
      <c r="COO111" s="17"/>
      <c r="COP111" s="17"/>
      <c r="COQ111" s="17"/>
      <c r="COR111" s="17"/>
      <c r="COS111" s="17"/>
      <c r="COT111" s="17"/>
      <c r="COU111" s="17"/>
      <c r="COV111" s="17"/>
      <c r="COW111" s="17"/>
      <c r="COX111" s="17"/>
      <c r="COY111" s="17"/>
      <c r="COZ111" s="17"/>
      <c r="CPA111" s="17"/>
      <c r="CPB111" s="17"/>
      <c r="CPC111" s="17"/>
      <c r="CPD111" s="17"/>
      <c r="CPE111" s="17"/>
      <c r="CPF111" s="17"/>
      <c r="CPG111" s="17"/>
      <c r="CPH111" s="17"/>
      <c r="CPI111" s="17"/>
      <c r="CPJ111" s="17"/>
      <c r="CPK111" s="17"/>
      <c r="CPL111" s="17"/>
      <c r="CPM111" s="17"/>
      <c r="CPN111" s="17"/>
      <c r="CPO111" s="17"/>
      <c r="CPP111" s="17"/>
      <c r="CPQ111" s="17"/>
      <c r="CPR111" s="17"/>
      <c r="CPS111" s="17"/>
      <c r="CPT111" s="17"/>
      <c r="CPU111" s="17"/>
      <c r="CPV111" s="17"/>
      <c r="CPW111" s="17"/>
      <c r="CPX111" s="17"/>
      <c r="CPY111" s="17"/>
      <c r="CPZ111" s="17"/>
      <c r="CQA111" s="17"/>
      <c r="CQB111" s="17"/>
      <c r="CQC111" s="17"/>
      <c r="CQD111" s="17"/>
      <c r="CQE111" s="17"/>
      <c r="CQF111" s="17"/>
      <c r="CQG111" s="17"/>
      <c r="CQH111" s="17"/>
      <c r="CQI111" s="17"/>
      <c r="CQJ111" s="17"/>
      <c r="CQK111" s="17"/>
      <c r="CQL111" s="17"/>
      <c r="CQM111" s="17"/>
      <c r="CQN111" s="17"/>
      <c r="CQO111" s="17"/>
      <c r="CQP111" s="17"/>
      <c r="CQQ111" s="17"/>
      <c r="CQR111" s="17"/>
      <c r="CQS111" s="17"/>
      <c r="CQT111" s="17"/>
      <c r="CQU111" s="17"/>
      <c r="CQV111" s="17"/>
      <c r="CQW111" s="17"/>
      <c r="CQX111" s="17"/>
      <c r="CQY111" s="17"/>
      <c r="CQZ111" s="17"/>
      <c r="CRA111" s="17"/>
      <c r="CRB111" s="17"/>
      <c r="CRC111" s="17"/>
      <c r="CRD111" s="17"/>
      <c r="CRE111" s="17"/>
      <c r="CRF111" s="17"/>
      <c r="CRG111" s="17"/>
      <c r="CRH111" s="17"/>
      <c r="CRI111" s="17"/>
      <c r="CRJ111" s="17"/>
      <c r="CRK111" s="17"/>
      <c r="CRL111" s="17"/>
      <c r="CRM111" s="17"/>
      <c r="CRN111" s="17"/>
      <c r="CRO111" s="17"/>
      <c r="CRP111" s="17"/>
      <c r="CRQ111" s="17"/>
      <c r="CRR111" s="17"/>
      <c r="CRS111" s="17"/>
      <c r="CRT111" s="17"/>
      <c r="CRU111" s="17"/>
      <c r="CRV111" s="17"/>
      <c r="CRW111" s="17"/>
      <c r="CRX111" s="17"/>
      <c r="CRY111" s="17"/>
      <c r="CRZ111" s="17"/>
      <c r="CSA111" s="17"/>
      <c r="CSB111" s="17"/>
      <c r="CSC111" s="17"/>
      <c r="CSD111" s="17"/>
      <c r="CSE111" s="17"/>
      <c r="CSF111" s="17"/>
      <c r="CSG111" s="17"/>
      <c r="CSH111" s="17"/>
      <c r="CSI111" s="17"/>
      <c r="CSJ111" s="17"/>
      <c r="CSK111" s="17"/>
      <c r="CSL111" s="17"/>
      <c r="CSM111" s="17"/>
      <c r="CSN111" s="17"/>
      <c r="CSO111" s="17"/>
      <c r="CSP111" s="17"/>
      <c r="CSQ111" s="17"/>
      <c r="CSR111" s="17"/>
      <c r="CSS111" s="17"/>
      <c r="CST111" s="17"/>
      <c r="CSU111" s="17"/>
      <c r="CSV111" s="17"/>
      <c r="CSW111" s="17"/>
      <c r="CSX111" s="17"/>
      <c r="CSY111" s="17"/>
      <c r="CSZ111" s="17"/>
      <c r="CTA111" s="17"/>
      <c r="CTB111" s="17"/>
      <c r="CTC111" s="17"/>
      <c r="CTD111" s="17"/>
      <c r="CTE111" s="17"/>
      <c r="CTF111" s="17"/>
      <c r="CTG111" s="17"/>
      <c r="CTH111" s="17"/>
      <c r="CTI111" s="17"/>
      <c r="CTJ111" s="17"/>
      <c r="CTK111" s="17"/>
      <c r="CTL111" s="17"/>
      <c r="CTM111" s="17"/>
      <c r="CTN111" s="17"/>
      <c r="CTO111" s="17"/>
      <c r="CTP111" s="17"/>
      <c r="CTQ111" s="17"/>
      <c r="CTR111" s="17"/>
      <c r="CTS111" s="17"/>
      <c r="CTT111" s="17"/>
      <c r="CTU111" s="17"/>
      <c r="CTV111" s="17"/>
      <c r="CTW111" s="17"/>
      <c r="CTX111" s="17"/>
      <c r="CTY111" s="17"/>
      <c r="CTZ111" s="17"/>
      <c r="CUA111" s="17"/>
      <c r="CUB111" s="17"/>
      <c r="CUC111" s="17"/>
      <c r="CUD111" s="17"/>
      <c r="CUE111" s="17"/>
      <c r="CUF111" s="17"/>
      <c r="CUG111" s="17"/>
      <c r="CUH111" s="17"/>
      <c r="CUI111" s="17"/>
      <c r="CUJ111" s="17"/>
      <c r="CUK111" s="17"/>
      <c r="CUL111" s="17"/>
      <c r="CUM111" s="17"/>
      <c r="CUN111" s="17"/>
      <c r="CUO111" s="17"/>
      <c r="CUP111" s="17"/>
      <c r="CUQ111" s="17"/>
      <c r="CUR111" s="17"/>
      <c r="CUS111" s="17"/>
      <c r="CUT111" s="17"/>
      <c r="CUU111" s="17"/>
      <c r="CUV111" s="17"/>
      <c r="CUW111" s="17"/>
      <c r="CUX111" s="17"/>
      <c r="CUY111" s="17"/>
      <c r="CUZ111" s="17"/>
      <c r="CVA111" s="17"/>
      <c r="CVB111" s="17"/>
      <c r="CVC111" s="17"/>
      <c r="CVD111" s="17"/>
      <c r="CVE111" s="17"/>
      <c r="CVF111" s="17"/>
      <c r="CVG111" s="17"/>
      <c r="CVH111" s="17"/>
      <c r="CVI111" s="17"/>
      <c r="CVJ111" s="17"/>
      <c r="CVK111" s="17"/>
      <c r="CVL111" s="17"/>
      <c r="CVM111" s="17"/>
      <c r="CVN111" s="17"/>
      <c r="CVO111" s="17"/>
      <c r="CVP111" s="17"/>
      <c r="CVQ111" s="17"/>
      <c r="CVR111" s="17"/>
      <c r="CVS111" s="17"/>
      <c r="CVT111" s="17"/>
      <c r="CVU111" s="17"/>
      <c r="CVV111" s="17"/>
      <c r="CVW111" s="17"/>
      <c r="CVX111" s="17"/>
      <c r="CVY111" s="17"/>
      <c r="CVZ111" s="17"/>
      <c r="CWA111" s="17"/>
      <c r="CWB111" s="17"/>
      <c r="CWC111" s="17"/>
      <c r="CWD111" s="17"/>
      <c r="CWE111" s="17"/>
      <c r="CWF111" s="17"/>
      <c r="CWG111" s="17"/>
      <c r="CWH111" s="17"/>
      <c r="CWI111" s="17"/>
      <c r="CWJ111" s="17"/>
      <c r="CWK111" s="17"/>
      <c r="CWL111" s="17"/>
      <c r="CWM111" s="17"/>
      <c r="CWN111" s="17"/>
      <c r="CWO111" s="17"/>
      <c r="CWP111" s="17"/>
      <c r="CWQ111" s="17"/>
      <c r="CWR111" s="17"/>
      <c r="CWS111" s="17"/>
      <c r="CWT111" s="17"/>
      <c r="CWU111" s="17"/>
      <c r="CWV111" s="17"/>
      <c r="CWW111" s="17"/>
      <c r="CWX111" s="17"/>
      <c r="CWY111" s="17"/>
      <c r="CWZ111" s="17"/>
      <c r="CXA111" s="17"/>
      <c r="CXB111" s="17"/>
      <c r="CXC111" s="17"/>
      <c r="CXD111" s="17"/>
      <c r="CXE111" s="17"/>
      <c r="CXF111" s="17"/>
      <c r="CXG111" s="17"/>
      <c r="CXH111" s="17"/>
      <c r="CXI111" s="17"/>
      <c r="CXJ111" s="17"/>
      <c r="CXK111" s="17"/>
      <c r="CXL111" s="17"/>
      <c r="CXM111" s="17"/>
      <c r="CXN111" s="17"/>
      <c r="CXO111" s="17"/>
      <c r="CXP111" s="17"/>
      <c r="CXQ111" s="17"/>
      <c r="CXR111" s="17"/>
      <c r="CXS111" s="17"/>
      <c r="CXT111" s="17"/>
      <c r="CXU111" s="17"/>
      <c r="CXV111" s="17"/>
      <c r="CXW111" s="17"/>
      <c r="CXX111" s="17"/>
      <c r="CXY111" s="17"/>
      <c r="CXZ111" s="17"/>
      <c r="CYA111" s="17"/>
      <c r="CYB111" s="17"/>
      <c r="CYC111" s="17"/>
      <c r="CYD111" s="17"/>
      <c r="CYE111" s="17"/>
      <c r="CYF111" s="17"/>
      <c r="CYG111" s="17"/>
      <c r="CYH111" s="17"/>
      <c r="CYI111" s="17"/>
      <c r="CYJ111" s="17"/>
      <c r="CYK111" s="17"/>
      <c r="CYL111" s="17"/>
      <c r="CYM111" s="17"/>
      <c r="CYN111" s="17"/>
      <c r="CYO111" s="17"/>
      <c r="CYP111" s="17"/>
      <c r="CYQ111" s="17"/>
      <c r="CYR111" s="17"/>
      <c r="CYS111" s="17"/>
      <c r="CYT111" s="17"/>
      <c r="CYU111" s="17"/>
      <c r="CYV111" s="17"/>
      <c r="CYW111" s="17"/>
      <c r="CYX111" s="17"/>
      <c r="CYY111" s="17"/>
      <c r="CYZ111" s="17"/>
      <c r="CZA111" s="17"/>
      <c r="CZB111" s="17"/>
      <c r="CZC111" s="17"/>
      <c r="CZD111" s="17"/>
      <c r="CZE111" s="17"/>
      <c r="CZF111" s="17"/>
      <c r="CZG111" s="17"/>
      <c r="CZH111" s="17"/>
      <c r="CZI111" s="17"/>
      <c r="CZJ111" s="17"/>
      <c r="CZK111" s="17"/>
      <c r="CZL111" s="17"/>
      <c r="CZM111" s="17"/>
      <c r="CZN111" s="17"/>
      <c r="CZO111" s="17"/>
      <c r="CZP111" s="17"/>
      <c r="CZQ111" s="17"/>
      <c r="CZR111" s="17"/>
      <c r="CZS111" s="17"/>
      <c r="CZT111" s="17"/>
      <c r="CZU111" s="17"/>
      <c r="CZV111" s="17"/>
      <c r="CZW111" s="17"/>
      <c r="CZX111" s="17"/>
      <c r="CZY111" s="17"/>
      <c r="CZZ111" s="17"/>
      <c r="DAA111" s="17"/>
      <c r="DAB111" s="17"/>
      <c r="DAC111" s="17"/>
      <c r="DAD111" s="17"/>
      <c r="DAE111" s="17"/>
      <c r="DAF111" s="17"/>
      <c r="DAG111" s="17"/>
      <c r="DAH111" s="17"/>
      <c r="DAI111" s="17"/>
      <c r="DAJ111" s="17"/>
      <c r="DAK111" s="17"/>
      <c r="DAL111" s="17"/>
      <c r="DAM111" s="17"/>
      <c r="DAN111" s="17"/>
      <c r="DAO111" s="17"/>
      <c r="DAP111" s="17"/>
      <c r="DAQ111" s="17"/>
      <c r="DAR111" s="17"/>
      <c r="DAS111" s="17"/>
      <c r="DAT111" s="17"/>
      <c r="DAU111" s="17"/>
      <c r="DAV111" s="17"/>
      <c r="DAW111" s="17"/>
      <c r="DAX111" s="17"/>
      <c r="DAY111" s="17"/>
      <c r="DAZ111" s="17"/>
      <c r="DBA111" s="17"/>
      <c r="DBB111" s="17"/>
      <c r="DBC111" s="17"/>
      <c r="DBD111" s="17"/>
      <c r="DBE111" s="17"/>
      <c r="DBF111" s="17"/>
      <c r="DBG111" s="17"/>
      <c r="DBH111" s="17"/>
      <c r="DBI111" s="17"/>
      <c r="DBJ111" s="17"/>
      <c r="DBK111" s="17"/>
      <c r="DBL111" s="17"/>
      <c r="DBM111" s="17"/>
      <c r="DBN111" s="17"/>
      <c r="DBO111" s="17"/>
      <c r="DBP111" s="17"/>
      <c r="DBQ111" s="17"/>
      <c r="DBR111" s="17"/>
      <c r="DBS111" s="17"/>
      <c r="DBT111" s="17"/>
      <c r="DBU111" s="17"/>
      <c r="DBV111" s="17"/>
      <c r="DBW111" s="17"/>
      <c r="DBX111" s="17"/>
      <c r="DBY111" s="17"/>
      <c r="DBZ111" s="17"/>
      <c r="DCA111" s="17"/>
      <c r="DCB111" s="17"/>
      <c r="DCC111" s="17"/>
      <c r="DCD111" s="17"/>
      <c r="DCE111" s="17"/>
      <c r="DCF111" s="17"/>
      <c r="DCG111" s="17"/>
      <c r="DCH111" s="17"/>
      <c r="DCI111" s="17"/>
      <c r="DCJ111" s="17"/>
      <c r="DCK111" s="17"/>
      <c r="DCL111" s="17"/>
      <c r="DCM111" s="17"/>
      <c r="DCN111" s="17"/>
      <c r="DCO111" s="17"/>
      <c r="DCP111" s="17"/>
      <c r="DCQ111" s="17"/>
      <c r="DCR111" s="17"/>
      <c r="DCS111" s="17"/>
      <c r="DCT111" s="17"/>
      <c r="DCU111" s="17"/>
      <c r="DCV111" s="17"/>
      <c r="DCW111" s="17"/>
      <c r="DCX111" s="17"/>
      <c r="DCY111" s="17"/>
      <c r="DCZ111" s="17"/>
      <c r="DDA111" s="17"/>
      <c r="DDB111" s="17"/>
      <c r="DDC111" s="17"/>
      <c r="DDD111" s="17"/>
      <c r="DDE111" s="17"/>
      <c r="DDF111" s="17"/>
      <c r="DDG111" s="17"/>
      <c r="DDH111" s="17"/>
      <c r="DDI111" s="17"/>
      <c r="DDJ111" s="17"/>
      <c r="DDK111" s="17"/>
      <c r="DDL111" s="17"/>
      <c r="DDM111" s="17"/>
      <c r="DDN111" s="17"/>
      <c r="DDO111" s="17"/>
      <c r="DDP111" s="17"/>
      <c r="DDQ111" s="17"/>
      <c r="DDR111" s="17"/>
      <c r="DDS111" s="17"/>
      <c r="DDT111" s="17"/>
      <c r="DDU111" s="17"/>
      <c r="DDV111" s="17"/>
      <c r="DDW111" s="17"/>
      <c r="DDX111" s="17"/>
      <c r="DDY111" s="17"/>
      <c r="DDZ111" s="17"/>
      <c r="DEA111" s="17"/>
      <c r="DEB111" s="17"/>
      <c r="DEC111" s="17"/>
      <c r="DED111" s="17"/>
      <c r="DEE111" s="17"/>
      <c r="DEF111" s="17"/>
      <c r="DEG111" s="17"/>
      <c r="DEH111" s="17"/>
      <c r="DEI111" s="17"/>
      <c r="DEJ111" s="17"/>
      <c r="DEK111" s="17"/>
      <c r="DEL111" s="17"/>
      <c r="DEM111" s="17"/>
      <c r="DEN111" s="17"/>
      <c r="DEO111" s="17"/>
      <c r="DEP111" s="17"/>
      <c r="DEQ111" s="17"/>
      <c r="DER111" s="17"/>
      <c r="DES111" s="17"/>
      <c r="DET111" s="17"/>
      <c r="DEU111" s="17"/>
      <c r="DEV111" s="17"/>
      <c r="DEW111" s="17"/>
      <c r="DEX111" s="17"/>
      <c r="DEY111" s="17"/>
      <c r="DEZ111" s="17"/>
      <c r="DFA111" s="17"/>
      <c r="DFB111" s="17"/>
      <c r="DFC111" s="17"/>
      <c r="DFD111" s="17"/>
      <c r="DFE111" s="17"/>
      <c r="DFF111" s="17"/>
      <c r="DFG111" s="17"/>
      <c r="DFH111" s="17"/>
      <c r="DFI111" s="17"/>
      <c r="DFJ111" s="17"/>
      <c r="DFK111" s="17"/>
      <c r="DFL111" s="17"/>
      <c r="DFM111" s="17"/>
      <c r="DFN111" s="17"/>
      <c r="DFO111" s="17"/>
      <c r="DFP111" s="17"/>
      <c r="DFQ111" s="17"/>
      <c r="DFR111" s="17"/>
      <c r="DFS111" s="17"/>
      <c r="DFT111" s="17"/>
      <c r="DFU111" s="17"/>
      <c r="DFV111" s="17"/>
      <c r="DFW111" s="17"/>
      <c r="DFX111" s="17"/>
      <c r="DFY111" s="17"/>
      <c r="DFZ111" s="17"/>
      <c r="DGA111" s="17"/>
      <c r="DGB111" s="17"/>
      <c r="DGC111" s="17"/>
      <c r="DGD111" s="17"/>
      <c r="DGE111" s="17"/>
      <c r="DGF111" s="17"/>
      <c r="DGG111" s="17"/>
      <c r="DGH111" s="17"/>
      <c r="DGI111" s="17"/>
      <c r="DGJ111" s="17"/>
      <c r="DGK111" s="17"/>
      <c r="DGL111" s="17"/>
      <c r="DGM111" s="17"/>
      <c r="DGN111" s="17"/>
      <c r="DGO111" s="17"/>
      <c r="DGP111" s="17"/>
      <c r="DGQ111" s="17"/>
      <c r="DGR111" s="17"/>
      <c r="DGS111" s="17"/>
      <c r="DGT111" s="17"/>
      <c r="DGU111" s="17"/>
      <c r="DGV111" s="17"/>
      <c r="DGW111" s="17"/>
      <c r="DGX111" s="17"/>
      <c r="DGY111" s="17"/>
      <c r="DGZ111" s="17"/>
      <c r="DHA111" s="17"/>
      <c r="DHB111" s="17"/>
      <c r="DHC111" s="17"/>
      <c r="DHD111" s="17"/>
      <c r="DHE111" s="17"/>
      <c r="DHF111" s="17"/>
      <c r="DHG111" s="17"/>
      <c r="DHH111" s="17"/>
      <c r="DHI111" s="17"/>
      <c r="DHJ111" s="17"/>
      <c r="DHK111" s="17"/>
      <c r="DHL111" s="17"/>
      <c r="DHM111" s="17"/>
      <c r="DHN111" s="17"/>
      <c r="DHO111" s="17"/>
      <c r="DHP111" s="17"/>
      <c r="DHQ111" s="17"/>
      <c r="DHR111" s="17"/>
      <c r="DHS111" s="17"/>
      <c r="DHT111" s="17"/>
      <c r="DHU111" s="17"/>
      <c r="DHV111" s="17"/>
      <c r="DHW111" s="17"/>
      <c r="DHX111" s="17"/>
      <c r="DHY111" s="17"/>
      <c r="DHZ111" s="17"/>
      <c r="DIA111" s="17"/>
      <c r="DIB111" s="17"/>
      <c r="DIC111" s="17"/>
      <c r="DID111" s="17"/>
      <c r="DIE111" s="17"/>
      <c r="DIF111" s="17"/>
      <c r="DIG111" s="17"/>
      <c r="DIH111" s="17"/>
      <c r="DII111" s="17"/>
      <c r="DIJ111" s="17"/>
      <c r="DIK111" s="17"/>
      <c r="DIL111" s="17"/>
      <c r="DIM111" s="17"/>
      <c r="DIN111" s="17"/>
      <c r="DIO111" s="17"/>
      <c r="DIP111" s="17"/>
      <c r="DIQ111" s="17"/>
      <c r="DIR111" s="17"/>
      <c r="DIS111" s="17"/>
      <c r="DIT111" s="17"/>
      <c r="DIU111" s="17"/>
      <c r="DIV111" s="17"/>
      <c r="DIW111" s="17"/>
      <c r="DIX111" s="17"/>
      <c r="DIY111" s="17"/>
      <c r="DIZ111" s="17"/>
      <c r="DJA111" s="17"/>
      <c r="DJB111" s="17"/>
      <c r="DJC111" s="17"/>
      <c r="DJD111" s="17"/>
      <c r="DJE111" s="17"/>
      <c r="DJF111" s="17"/>
      <c r="DJG111" s="17"/>
      <c r="DJH111" s="17"/>
      <c r="DJI111" s="17"/>
      <c r="DJJ111" s="17"/>
      <c r="DJK111" s="17"/>
      <c r="DJL111" s="17"/>
      <c r="DJM111" s="17"/>
      <c r="DJN111" s="17"/>
      <c r="DJO111" s="17"/>
      <c r="DJP111" s="17"/>
      <c r="DJQ111" s="17"/>
      <c r="DJR111" s="17"/>
      <c r="DJS111" s="17"/>
      <c r="DJT111" s="17"/>
      <c r="DJU111" s="17"/>
      <c r="DJV111" s="17"/>
      <c r="DJW111" s="17"/>
      <c r="DJX111" s="17"/>
      <c r="DJY111" s="17"/>
      <c r="DJZ111" s="17"/>
      <c r="DKA111" s="17"/>
      <c r="DKB111" s="17"/>
      <c r="DKC111" s="17"/>
      <c r="DKD111" s="17"/>
      <c r="DKE111" s="17"/>
      <c r="DKF111" s="17"/>
      <c r="DKG111" s="17"/>
      <c r="DKH111" s="17"/>
      <c r="DKI111" s="17"/>
      <c r="DKJ111" s="17"/>
      <c r="DKK111" s="17"/>
      <c r="DKL111" s="17"/>
      <c r="DKM111" s="17"/>
      <c r="DKN111" s="17"/>
      <c r="DKO111" s="17"/>
      <c r="DKP111" s="17"/>
      <c r="DKQ111" s="17"/>
      <c r="DKR111" s="17"/>
      <c r="DKS111" s="17"/>
      <c r="DKT111" s="17"/>
      <c r="DKU111" s="17"/>
      <c r="DKV111" s="17"/>
      <c r="DKW111" s="17"/>
      <c r="DKX111" s="17"/>
      <c r="DKY111" s="17"/>
      <c r="DKZ111" s="17"/>
      <c r="DLA111" s="17"/>
      <c r="DLB111" s="17"/>
      <c r="DLC111" s="17"/>
      <c r="DLD111" s="17"/>
      <c r="DLE111" s="17"/>
      <c r="DLF111" s="17"/>
      <c r="DLG111" s="17"/>
      <c r="DLH111" s="17"/>
      <c r="DLI111" s="17"/>
      <c r="DLJ111" s="17"/>
      <c r="DLK111" s="17"/>
      <c r="DLL111" s="17"/>
      <c r="DLM111" s="17"/>
      <c r="DLN111" s="17"/>
      <c r="DLO111" s="17"/>
      <c r="DLP111" s="17"/>
      <c r="DLQ111" s="17"/>
      <c r="DLR111" s="17"/>
      <c r="DLS111" s="17"/>
      <c r="DLT111" s="17"/>
      <c r="DLU111" s="17"/>
      <c r="DLV111" s="17"/>
      <c r="DLW111" s="17"/>
      <c r="DLX111" s="17"/>
      <c r="DLY111" s="17"/>
      <c r="DLZ111" s="17"/>
      <c r="DMA111" s="17"/>
      <c r="DMB111" s="17"/>
      <c r="DMC111" s="17"/>
      <c r="DMD111" s="17"/>
      <c r="DME111" s="17"/>
      <c r="DMF111" s="17"/>
      <c r="DMG111" s="17"/>
      <c r="DMH111" s="17"/>
      <c r="DMI111" s="17"/>
      <c r="DMJ111" s="17"/>
      <c r="DMK111" s="17"/>
      <c r="DML111" s="17"/>
      <c r="DMM111" s="17"/>
      <c r="DMN111" s="17"/>
      <c r="DMO111" s="17"/>
      <c r="DMP111" s="17"/>
      <c r="DMQ111" s="17"/>
      <c r="DMR111" s="17"/>
      <c r="DMS111" s="17"/>
      <c r="DMT111" s="17"/>
      <c r="DMU111" s="17"/>
      <c r="DMV111" s="17"/>
      <c r="DMW111" s="17"/>
      <c r="DMX111" s="17"/>
      <c r="DMY111" s="17"/>
      <c r="DMZ111" s="17"/>
      <c r="DNA111" s="17"/>
      <c r="DNB111" s="17"/>
      <c r="DNC111" s="17"/>
      <c r="DND111" s="17"/>
      <c r="DNE111" s="17"/>
      <c r="DNF111" s="17"/>
      <c r="DNG111" s="17"/>
      <c r="DNH111" s="17"/>
      <c r="DNI111" s="17"/>
      <c r="DNJ111" s="17"/>
      <c r="DNK111" s="17"/>
      <c r="DNL111" s="17"/>
      <c r="DNM111" s="17"/>
      <c r="DNN111" s="17"/>
      <c r="DNO111" s="17"/>
      <c r="DNP111" s="17"/>
      <c r="DNQ111" s="17"/>
      <c r="DNR111" s="17"/>
      <c r="DNS111" s="17"/>
      <c r="DNT111" s="17"/>
      <c r="DNU111" s="17"/>
      <c r="DNV111" s="17"/>
      <c r="DNW111" s="17"/>
      <c r="DNX111" s="17"/>
      <c r="DNY111" s="17"/>
      <c r="DNZ111" s="17"/>
      <c r="DOA111" s="17"/>
      <c r="DOB111" s="17"/>
      <c r="DOC111" s="17"/>
      <c r="DOD111" s="17"/>
      <c r="DOE111" s="17"/>
      <c r="DOF111" s="17"/>
      <c r="DOG111" s="17"/>
      <c r="DOH111" s="17"/>
      <c r="DOI111" s="17"/>
      <c r="DOJ111" s="17"/>
      <c r="DOK111" s="17"/>
      <c r="DOL111" s="17"/>
      <c r="DOM111" s="17"/>
      <c r="DON111" s="17"/>
      <c r="DOO111" s="17"/>
      <c r="DOP111" s="17"/>
      <c r="DOQ111" s="17"/>
      <c r="DOR111" s="17"/>
      <c r="DOS111" s="17"/>
      <c r="DOT111" s="17"/>
      <c r="DOU111" s="17"/>
      <c r="DOV111" s="17"/>
      <c r="DOW111" s="17"/>
      <c r="DOX111" s="17"/>
      <c r="DOY111" s="17"/>
      <c r="DOZ111" s="17"/>
      <c r="DPA111" s="17"/>
      <c r="DPB111" s="17"/>
      <c r="DPC111" s="17"/>
      <c r="DPD111" s="17"/>
      <c r="DPE111" s="17"/>
      <c r="DPF111" s="17"/>
      <c r="DPG111" s="17"/>
      <c r="DPH111" s="17"/>
      <c r="DPI111" s="17"/>
      <c r="DPJ111" s="17"/>
      <c r="DPK111" s="17"/>
      <c r="DPL111" s="17"/>
      <c r="DPM111" s="17"/>
      <c r="DPN111" s="17"/>
      <c r="DPO111" s="17"/>
      <c r="DPP111" s="17"/>
      <c r="DPQ111" s="17"/>
      <c r="DPR111" s="17"/>
      <c r="DPS111" s="17"/>
      <c r="DPT111" s="17"/>
      <c r="DPU111" s="17"/>
      <c r="DPV111" s="17"/>
      <c r="DPW111" s="17"/>
      <c r="DPX111" s="17"/>
      <c r="DPY111" s="17"/>
      <c r="DPZ111" s="17"/>
      <c r="DQA111" s="17"/>
      <c r="DQB111" s="17"/>
      <c r="DQC111" s="17"/>
      <c r="DQD111" s="17"/>
      <c r="DQE111" s="17"/>
      <c r="DQF111" s="17"/>
      <c r="DQG111" s="17"/>
      <c r="DQH111" s="17"/>
      <c r="DQI111" s="17"/>
      <c r="DQJ111" s="17"/>
      <c r="DQK111" s="17"/>
      <c r="DQL111" s="17"/>
      <c r="DQM111" s="17"/>
      <c r="DQN111" s="17"/>
      <c r="DQO111" s="17"/>
      <c r="DQP111" s="17"/>
      <c r="DQQ111" s="17"/>
      <c r="DQR111" s="17"/>
      <c r="DQS111" s="17"/>
      <c r="DQT111" s="17"/>
      <c r="DQU111" s="17"/>
      <c r="DQV111" s="17"/>
      <c r="DQW111" s="17"/>
      <c r="DQX111" s="17"/>
      <c r="DQY111" s="17"/>
      <c r="DQZ111" s="17"/>
      <c r="DRA111" s="17"/>
      <c r="DRB111" s="17"/>
      <c r="DRC111" s="17"/>
      <c r="DRD111" s="17"/>
      <c r="DRE111" s="17"/>
      <c r="DRF111" s="17"/>
      <c r="DRG111" s="17"/>
      <c r="DRH111" s="17"/>
      <c r="DRI111" s="17"/>
      <c r="DRJ111" s="17"/>
      <c r="DRK111" s="17"/>
      <c r="DRL111" s="17"/>
      <c r="DRM111" s="17"/>
      <c r="DRN111" s="17"/>
      <c r="DRO111" s="17"/>
      <c r="DRP111" s="17"/>
      <c r="DRQ111" s="17"/>
      <c r="DRR111" s="17"/>
      <c r="DRS111" s="17"/>
      <c r="DRT111" s="17"/>
      <c r="DRU111" s="17"/>
      <c r="DRV111" s="17"/>
      <c r="DRW111" s="17"/>
      <c r="DRX111" s="17"/>
      <c r="DRY111" s="17"/>
      <c r="DRZ111" s="17"/>
      <c r="DSA111" s="17"/>
      <c r="DSB111" s="17"/>
      <c r="DSC111" s="17"/>
      <c r="DSD111" s="17"/>
      <c r="DSE111" s="17"/>
      <c r="DSF111" s="17"/>
      <c r="DSG111" s="17"/>
      <c r="DSH111" s="17"/>
      <c r="DSI111" s="17"/>
      <c r="DSJ111" s="17"/>
      <c r="DSK111" s="17"/>
      <c r="DSL111" s="17"/>
      <c r="DSM111" s="17"/>
      <c r="DSN111" s="17"/>
      <c r="DSO111" s="17"/>
      <c r="DSP111" s="17"/>
      <c r="DSQ111" s="17"/>
      <c r="DSR111" s="17"/>
      <c r="DSS111" s="17"/>
      <c r="DST111" s="17"/>
      <c r="DSU111" s="17"/>
      <c r="DSV111" s="17"/>
      <c r="DSW111" s="17"/>
      <c r="DSX111" s="17"/>
      <c r="DSY111" s="17"/>
      <c r="DSZ111" s="17"/>
      <c r="DTA111" s="17"/>
      <c r="DTB111" s="17"/>
      <c r="DTC111" s="17"/>
      <c r="DTD111" s="17"/>
      <c r="DTE111" s="17"/>
      <c r="DTF111" s="17"/>
      <c r="DTG111" s="17"/>
      <c r="DTH111" s="17"/>
      <c r="DTI111" s="17"/>
      <c r="DTJ111" s="17"/>
      <c r="DTK111" s="17"/>
      <c r="DTL111" s="17"/>
      <c r="DTM111" s="17"/>
      <c r="DTN111" s="17"/>
      <c r="DTO111" s="17"/>
      <c r="DTP111" s="17"/>
      <c r="DTQ111" s="17"/>
      <c r="DTR111" s="17"/>
      <c r="DTS111" s="17"/>
      <c r="DTT111" s="17"/>
      <c r="DTU111" s="17"/>
      <c r="DTV111" s="17"/>
      <c r="DTW111" s="17"/>
      <c r="DTX111" s="17"/>
      <c r="DTY111" s="17"/>
      <c r="DTZ111" s="17"/>
      <c r="DUA111" s="17"/>
      <c r="DUB111" s="17"/>
      <c r="DUC111" s="17"/>
      <c r="DUD111" s="17"/>
      <c r="DUE111" s="17"/>
      <c r="DUF111" s="17"/>
      <c r="DUG111" s="17"/>
      <c r="DUH111" s="17"/>
      <c r="DUI111" s="17"/>
      <c r="DUJ111" s="17"/>
      <c r="DUK111" s="17"/>
      <c r="DUL111" s="17"/>
      <c r="DUM111" s="17"/>
      <c r="DUN111" s="17"/>
      <c r="DUO111" s="17"/>
      <c r="DUP111" s="17"/>
      <c r="DUQ111" s="17"/>
      <c r="DUR111" s="17"/>
      <c r="DUS111" s="17"/>
      <c r="DUT111" s="17"/>
      <c r="DUU111" s="17"/>
      <c r="DUV111" s="17"/>
      <c r="DUW111" s="17"/>
      <c r="DUX111" s="17"/>
      <c r="DUY111" s="17"/>
      <c r="DUZ111" s="17"/>
      <c r="DVA111" s="17"/>
      <c r="DVB111" s="17"/>
      <c r="DVC111" s="17"/>
      <c r="DVD111" s="17"/>
      <c r="DVE111" s="17"/>
      <c r="DVF111" s="17"/>
      <c r="DVG111" s="17"/>
      <c r="DVH111" s="17"/>
      <c r="DVI111" s="17"/>
      <c r="DVJ111" s="17"/>
      <c r="DVK111" s="17"/>
      <c r="DVL111" s="17"/>
      <c r="DVM111" s="17"/>
      <c r="DVN111" s="17"/>
      <c r="DVO111" s="17"/>
      <c r="DVP111" s="17"/>
      <c r="DVQ111" s="17"/>
      <c r="DVR111" s="17"/>
      <c r="DVS111" s="17"/>
      <c r="DVT111" s="17"/>
      <c r="DVU111" s="17"/>
      <c r="DVV111" s="17"/>
      <c r="DVW111" s="17"/>
      <c r="DVX111" s="17"/>
      <c r="DVY111" s="17"/>
      <c r="DVZ111" s="17"/>
      <c r="DWA111" s="17"/>
      <c r="DWB111" s="17"/>
      <c r="DWC111" s="17"/>
      <c r="DWD111" s="17"/>
      <c r="DWE111" s="17"/>
      <c r="DWF111" s="17"/>
      <c r="DWG111" s="17"/>
      <c r="DWH111" s="17"/>
      <c r="DWI111" s="17"/>
      <c r="DWJ111" s="17"/>
      <c r="DWK111" s="17"/>
      <c r="DWL111" s="17"/>
      <c r="DWM111" s="17"/>
      <c r="DWN111" s="17"/>
      <c r="DWO111" s="17"/>
      <c r="DWP111" s="17"/>
      <c r="DWQ111" s="17"/>
      <c r="DWR111" s="17"/>
      <c r="DWS111" s="17"/>
      <c r="DWT111" s="17"/>
      <c r="DWU111" s="17"/>
      <c r="DWV111" s="17"/>
      <c r="DWW111" s="17"/>
      <c r="DWX111" s="17"/>
      <c r="DWY111" s="17"/>
      <c r="DWZ111" s="17"/>
      <c r="DXA111" s="17"/>
      <c r="DXB111" s="17"/>
      <c r="DXC111" s="17"/>
      <c r="DXD111" s="17"/>
      <c r="DXE111" s="17"/>
      <c r="DXF111" s="17"/>
      <c r="DXG111" s="17"/>
      <c r="DXH111" s="17"/>
      <c r="DXI111" s="17"/>
      <c r="DXJ111" s="17"/>
      <c r="DXK111" s="17"/>
      <c r="DXL111" s="17"/>
      <c r="DXM111" s="17"/>
      <c r="DXN111" s="17"/>
      <c r="DXO111" s="17"/>
      <c r="DXP111" s="17"/>
      <c r="DXQ111" s="17"/>
      <c r="DXR111" s="17"/>
      <c r="DXS111" s="17"/>
      <c r="DXT111" s="17"/>
      <c r="DXU111" s="17"/>
      <c r="DXV111" s="17"/>
      <c r="DXW111" s="17"/>
      <c r="DXX111" s="17"/>
      <c r="DXY111" s="17"/>
      <c r="DXZ111" s="17"/>
      <c r="DYA111" s="17"/>
      <c r="DYB111" s="17"/>
      <c r="DYC111" s="17"/>
      <c r="DYD111" s="17"/>
      <c r="DYE111" s="17"/>
      <c r="DYF111" s="17"/>
      <c r="DYG111" s="17"/>
      <c r="DYH111" s="17"/>
      <c r="DYI111" s="17"/>
      <c r="DYJ111" s="17"/>
      <c r="DYK111" s="17"/>
      <c r="DYL111" s="17"/>
      <c r="DYM111" s="17"/>
      <c r="DYN111" s="17"/>
      <c r="DYO111" s="17"/>
      <c r="DYP111" s="17"/>
      <c r="DYQ111" s="17"/>
      <c r="DYR111" s="17"/>
      <c r="DYS111" s="17"/>
      <c r="DYT111" s="17"/>
      <c r="DYU111" s="17"/>
      <c r="DYV111" s="17"/>
      <c r="DYW111" s="17"/>
      <c r="DYX111" s="17"/>
      <c r="DYY111" s="17"/>
      <c r="DYZ111" s="17"/>
      <c r="DZA111" s="17"/>
      <c r="DZB111" s="17"/>
      <c r="DZC111" s="17"/>
      <c r="DZD111" s="17"/>
      <c r="DZE111" s="17"/>
      <c r="DZF111" s="17"/>
      <c r="DZG111" s="17"/>
      <c r="DZH111" s="17"/>
      <c r="DZI111" s="17"/>
      <c r="DZJ111" s="17"/>
      <c r="DZK111" s="17"/>
      <c r="DZL111" s="17"/>
      <c r="DZM111" s="17"/>
      <c r="DZN111" s="17"/>
      <c r="DZO111" s="17"/>
      <c r="DZP111" s="17"/>
      <c r="DZQ111" s="17"/>
      <c r="DZR111" s="17"/>
      <c r="DZS111" s="17"/>
      <c r="DZT111" s="17"/>
      <c r="DZU111" s="17"/>
      <c r="DZV111" s="17"/>
      <c r="DZW111" s="17"/>
      <c r="DZX111" s="17"/>
      <c r="DZY111" s="17"/>
      <c r="DZZ111" s="17"/>
      <c r="EAA111" s="17"/>
      <c r="EAB111" s="17"/>
      <c r="EAC111" s="17"/>
      <c r="EAD111" s="17"/>
      <c r="EAE111" s="17"/>
      <c r="EAF111" s="17"/>
      <c r="EAG111" s="17"/>
      <c r="EAH111" s="17"/>
      <c r="EAI111" s="17"/>
      <c r="EAJ111" s="17"/>
      <c r="EAK111" s="17"/>
      <c r="EAL111" s="17"/>
      <c r="EAM111" s="17"/>
      <c r="EAN111" s="17"/>
      <c r="EAO111" s="17"/>
      <c r="EAP111" s="17"/>
      <c r="EAQ111" s="17"/>
      <c r="EAR111" s="17"/>
      <c r="EAS111" s="17"/>
      <c r="EAT111" s="17"/>
      <c r="EAU111" s="17"/>
      <c r="EAV111" s="17"/>
      <c r="EAW111" s="17"/>
      <c r="EAX111" s="17"/>
      <c r="EAY111" s="17"/>
      <c r="EAZ111" s="17"/>
      <c r="EBA111" s="17"/>
      <c r="EBB111" s="17"/>
      <c r="EBC111" s="17"/>
      <c r="EBD111" s="17"/>
      <c r="EBE111" s="17"/>
      <c r="EBF111" s="17"/>
      <c r="EBG111" s="17"/>
      <c r="EBH111" s="17"/>
      <c r="EBI111" s="17"/>
      <c r="EBJ111" s="17"/>
      <c r="EBK111" s="17"/>
      <c r="EBL111" s="17"/>
      <c r="EBM111" s="17"/>
      <c r="EBN111" s="17"/>
      <c r="EBO111" s="17"/>
      <c r="EBP111" s="17"/>
      <c r="EBQ111" s="17"/>
      <c r="EBR111" s="17"/>
      <c r="EBS111" s="17"/>
      <c r="EBT111" s="17"/>
      <c r="EBU111" s="17"/>
      <c r="EBV111" s="17"/>
      <c r="EBW111" s="17"/>
      <c r="EBX111" s="17"/>
      <c r="EBY111" s="17"/>
      <c r="EBZ111" s="17"/>
      <c r="ECA111" s="17"/>
      <c r="ECB111" s="17"/>
      <c r="ECC111" s="17"/>
      <c r="ECD111" s="17"/>
      <c r="ECE111" s="17"/>
      <c r="ECF111" s="17"/>
      <c r="ECG111" s="17"/>
      <c r="ECH111" s="17"/>
      <c r="ECI111" s="17"/>
      <c r="ECJ111" s="17"/>
      <c r="ECK111" s="17"/>
      <c r="ECL111" s="17"/>
      <c r="ECM111" s="17"/>
      <c r="ECN111" s="17"/>
      <c r="ECO111" s="17"/>
      <c r="ECP111" s="17"/>
      <c r="ECQ111" s="17"/>
      <c r="ECR111" s="17"/>
      <c r="ECS111" s="17"/>
      <c r="ECT111" s="17"/>
      <c r="ECU111" s="17"/>
      <c r="ECV111" s="17"/>
      <c r="ECW111" s="17"/>
      <c r="ECX111" s="17"/>
      <c r="ECY111" s="17"/>
      <c r="ECZ111" s="17"/>
      <c r="EDA111" s="17"/>
      <c r="EDB111" s="17"/>
      <c r="EDC111" s="17"/>
      <c r="EDD111" s="17"/>
      <c r="EDE111" s="17"/>
      <c r="EDF111" s="17"/>
      <c r="EDG111" s="17"/>
      <c r="EDH111" s="17"/>
      <c r="EDI111" s="17"/>
      <c r="EDJ111" s="17"/>
      <c r="EDK111" s="17"/>
      <c r="EDL111" s="17"/>
      <c r="EDM111" s="17"/>
      <c r="EDN111" s="17"/>
      <c r="EDO111" s="17"/>
      <c r="EDP111" s="17"/>
      <c r="EDQ111" s="17"/>
      <c r="EDR111" s="17"/>
      <c r="EDS111" s="17"/>
      <c r="EDT111" s="17"/>
      <c r="EDU111" s="17"/>
      <c r="EDV111" s="17"/>
      <c r="EDW111" s="17"/>
      <c r="EDX111" s="17"/>
      <c r="EDY111" s="17"/>
      <c r="EDZ111" s="17"/>
      <c r="EEA111" s="17"/>
      <c r="EEB111" s="17"/>
      <c r="EEC111" s="17"/>
      <c r="EED111" s="17"/>
      <c r="EEE111" s="17"/>
      <c r="EEF111" s="17"/>
      <c r="EEG111" s="17"/>
      <c r="EEH111" s="17"/>
      <c r="EEI111" s="17"/>
      <c r="EEJ111" s="17"/>
      <c r="EEK111" s="17"/>
      <c r="EEL111" s="17"/>
      <c r="EEM111" s="17"/>
      <c r="EEN111" s="17"/>
      <c r="EEO111" s="17"/>
      <c r="EEP111" s="17"/>
      <c r="EEQ111" s="17"/>
      <c r="EER111" s="17"/>
      <c r="EES111" s="17"/>
      <c r="EET111" s="17"/>
      <c r="EEU111" s="17"/>
      <c r="EEV111" s="17"/>
      <c r="EEW111" s="17"/>
      <c r="EEX111" s="17"/>
      <c r="EEY111" s="17"/>
      <c r="EEZ111" s="17"/>
      <c r="EFA111" s="17"/>
      <c r="EFB111" s="17"/>
      <c r="EFC111" s="17"/>
      <c r="EFD111" s="17"/>
      <c r="EFE111" s="17"/>
      <c r="EFF111" s="17"/>
      <c r="EFG111" s="17"/>
      <c r="EFH111" s="17"/>
      <c r="EFI111" s="17"/>
      <c r="EFJ111" s="17"/>
      <c r="EFK111" s="17"/>
      <c r="EFL111" s="17"/>
      <c r="EFM111" s="17"/>
      <c r="EFN111" s="17"/>
      <c r="EFO111" s="17"/>
      <c r="EFP111" s="17"/>
      <c r="EFQ111" s="17"/>
      <c r="EFR111" s="17"/>
      <c r="EFS111" s="17"/>
      <c r="EFT111" s="17"/>
      <c r="EFU111" s="17"/>
      <c r="EFV111" s="17"/>
      <c r="EFW111" s="17"/>
      <c r="EFX111" s="17"/>
      <c r="EFY111" s="17"/>
      <c r="EFZ111" s="17"/>
      <c r="EGA111" s="17"/>
      <c r="EGB111" s="17"/>
      <c r="EGC111" s="17"/>
      <c r="EGD111" s="17"/>
      <c r="EGE111" s="17"/>
      <c r="EGF111" s="17"/>
      <c r="EGG111" s="17"/>
      <c r="EGH111" s="17"/>
      <c r="EGI111" s="17"/>
      <c r="EGJ111" s="17"/>
      <c r="EGK111" s="17"/>
      <c r="EGL111" s="17"/>
      <c r="EGM111" s="17"/>
      <c r="EGN111" s="17"/>
      <c r="EGO111" s="17"/>
      <c r="EGP111" s="17"/>
      <c r="EGQ111" s="17"/>
      <c r="EGR111" s="17"/>
      <c r="EGS111" s="17"/>
      <c r="EGT111" s="17"/>
      <c r="EGU111" s="17"/>
      <c r="EGV111" s="17"/>
      <c r="EGW111" s="17"/>
      <c r="EGX111" s="17"/>
      <c r="EGY111" s="17"/>
      <c r="EGZ111" s="17"/>
      <c r="EHA111" s="17"/>
      <c r="EHB111" s="17"/>
      <c r="EHC111" s="17"/>
      <c r="EHD111" s="17"/>
      <c r="EHE111" s="17"/>
      <c r="EHF111" s="17"/>
      <c r="EHG111" s="17"/>
      <c r="EHH111" s="17"/>
      <c r="EHI111" s="17"/>
      <c r="EHJ111" s="17"/>
      <c r="EHK111" s="17"/>
      <c r="EHL111" s="17"/>
      <c r="EHM111" s="17"/>
      <c r="EHN111" s="17"/>
      <c r="EHO111" s="17"/>
      <c r="EHP111" s="17"/>
      <c r="EHQ111" s="17"/>
      <c r="EHR111" s="17"/>
      <c r="EHS111" s="17"/>
      <c r="EHT111" s="17"/>
      <c r="EHU111" s="17"/>
      <c r="EHV111" s="17"/>
      <c r="EHW111" s="17"/>
      <c r="EHX111" s="17"/>
      <c r="EHY111" s="17"/>
      <c r="EHZ111" s="17"/>
      <c r="EIA111" s="17"/>
      <c r="EIB111" s="17"/>
      <c r="EIC111" s="17"/>
      <c r="EID111" s="17"/>
      <c r="EIE111" s="17"/>
      <c r="EIF111" s="17"/>
      <c r="EIG111" s="17"/>
      <c r="EIH111" s="17"/>
      <c r="EII111" s="17"/>
      <c r="EIJ111" s="17"/>
      <c r="EIK111" s="17"/>
      <c r="EIL111" s="17"/>
      <c r="EIM111" s="17"/>
      <c r="EIN111" s="17"/>
      <c r="EIO111" s="17"/>
      <c r="EIP111" s="17"/>
      <c r="EIQ111" s="17"/>
      <c r="EIR111" s="17"/>
      <c r="EIS111" s="17"/>
      <c r="EIT111" s="17"/>
      <c r="EIU111" s="17"/>
      <c r="EIV111" s="17"/>
      <c r="EIW111" s="17"/>
      <c r="EIX111" s="17"/>
      <c r="EIY111" s="17"/>
      <c r="EIZ111" s="17"/>
      <c r="EJA111" s="17"/>
      <c r="EJB111" s="17"/>
      <c r="EJC111" s="17"/>
      <c r="EJD111" s="17"/>
      <c r="EJE111" s="17"/>
      <c r="EJF111" s="17"/>
      <c r="EJG111" s="17"/>
      <c r="EJH111" s="17"/>
      <c r="EJI111" s="17"/>
      <c r="EJJ111" s="17"/>
      <c r="EJK111" s="17"/>
      <c r="EJL111" s="17"/>
      <c r="EJM111" s="17"/>
      <c r="EJN111" s="17"/>
      <c r="EJO111" s="17"/>
      <c r="EJP111" s="17"/>
      <c r="EJQ111" s="17"/>
      <c r="EJR111" s="17"/>
      <c r="EJS111" s="17"/>
      <c r="EJT111" s="17"/>
      <c r="EJU111" s="17"/>
      <c r="EJV111" s="17"/>
      <c r="EJW111" s="17"/>
      <c r="EJX111" s="17"/>
      <c r="EJY111" s="17"/>
      <c r="EJZ111" s="17"/>
      <c r="EKA111" s="17"/>
      <c r="EKB111" s="17"/>
      <c r="EKC111" s="17"/>
      <c r="EKD111" s="17"/>
      <c r="EKE111" s="17"/>
      <c r="EKF111" s="17"/>
      <c r="EKG111" s="17"/>
      <c r="EKH111" s="17"/>
      <c r="EKI111" s="17"/>
      <c r="EKJ111" s="17"/>
      <c r="EKK111" s="17"/>
      <c r="EKL111" s="17"/>
      <c r="EKM111" s="17"/>
      <c r="EKN111" s="17"/>
      <c r="EKO111" s="17"/>
      <c r="EKP111" s="17"/>
      <c r="EKQ111" s="17"/>
      <c r="EKR111" s="17"/>
      <c r="EKS111" s="17"/>
      <c r="EKT111" s="17"/>
      <c r="EKU111" s="17"/>
      <c r="EKV111" s="17"/>
      <c r="EKW111" s="17"/>
      <c r="EKX111" s="17"/>
      <c r="EKY111" s="17"/>
      <c r="EKZ111" s="17"/>
      <c r="ELA111" s="17"/>
      <c r="ELB111" s="17"/>
      <c r="ELC111" s="17"/>
      <c r="ELD111" s="17"/>
      <c r="ELE111" s="17"/>
      <c r="ELF111" s="17"/>
      <c r="ELG111" s="17"/>
      <c r="ELH111" s="17"/>
      <c r="ELI111" s="17"/>
      <c r="ELJ111" s="17"/>
      <c r="ELK111" s="17"/>
      <c r="ELL111" s="17"/>
      <c r="ELM111" s="17"/>
      <c r="ELN111" s="17"/>
      <c r="ELO111" s="17"/>
      <c r="ELP111" s="17"/>
      <c r="ELQ111" s="17"/>
      <c r="ELR111" s="17"/>
      <c r="ELS111" s="17"/>
      <c r="ELT111" s="17"/>
      <c r="ELU111" s="17"/>
      <c r="ELV111" s="17"/>
      <c r="ELW111" s="17"/>
      <c r="ELX111" s="17"/>
      <c r="ELY111" s="17"/>
      <c r="ELZ111" s="17"/>
      <c r="EMA111" s="17"/>
      <c r="EMB111" s="17"/>
      <c r="EMC111" s="17"/>
      <c r="EMD111" s="17"/>
      <c r="EME111" s="17"/>
      <c r="EMF111" s="17"/>
      <c r="EMG111" s="17"/>
      <c r="EMH111" s="17"/>
      <c r="EMI111" s="17"/>
      <c r="EMJ111" s="17"/>
      <c r="EMK111" s="17"/>
      <c r="EML111" s="17"/>
      <c r="EMM111" s="17"/>
      <c r="EMN111" s="17"/>
      <c r="EMO111" s="17"/>
      <c r="EMP111" s="17"/>
      <c r="EMQ111" s="17"/>
      <c r="EMR111" s="17"/>
      <c r="EMS111" s="17"/>
      <c r="EMT111" s="17"/>
      <c r="EMU111" s="17"/>
      <c r="EMV111" s="17"/>
      <c r="EMW111" s="17"/>
      <c r="EMX111" s="17"/>
      <c r="EMY111" s="17"/>
      <c r="EMZ111" s="17"/>
      <c r="ENA111" s="17"/>
      <c r="ENB111" s="17"/>
      <c r="ENC111" s="17"/>
      <c r="END111" s="17"/>
      <c r="ENE111" s="17"/>
      <c r="ENF111" s="17"/>
      <c r="ENG111" s="17"/>
      <c r="ENH111" s="17"/>
      <c r="ENI111" s="17"/>
      <c r="ENJ111" s="17"/>
      <c r="ENK111" s="17"/>
      <c r="ENL111" s="17"/>
      <c r="ENM111" s="17"/>
      <c r="ENN111" s="17"/>
      <c r="ENO111" s="17"/>
      <c r="ENP111" s="17"/>
      <c r="ENQ111" s="17"/>
      <c r="ENR111" s="17"/>
      <c r="ENS111" s="17"/>
      <c r="ENT111" s="17"/>
      <c r="ENU111" s="17"/>
      <c r="ENV111" s="17"/>
      <c r="ENW111" s="17"/>
      <c r="ENX111" s="17"/>
      <c r="ENY111" s="17"/>
      <c r="ENZ111" s="17"/>
      <c r="EOA111" s="17"/>
      <c r="EOB111" s="17"/>
      <c r="EOC111" s="17"/>
      <c r="EOD111" s="17"/>
      <c r="EOE111" s="17"/>
      <c r="EOF111" s="17"/>
      <c r="EOG111" s="17"/>
      <c r="EOH111" s="17"/>
      <c r="EOI111" s="17"/>
      <c r="EOJ111" s="17"/>
      <c r="EOK111" s="17"/>
      <c r="EOL111" s="17"/>
      <c r="EOM111" s="17"/>
      <c r="EON111" s="17"/>
      <c r="EOO111" s="17"/>
      <c r="EOP111" s="17"/>
      <c r="EOQ111" s="17"/>
      <c r="EOR111" s="17"/>
      <c r="EOS111" s="17"/>
      <c r="EOT111" s="17"/>
      <c r="EOU111" s="17"/>
      <c r="EOV111" s="17"/>
      <c r="EOW111" s="17"/>
      <c r="EOX111" s="17"/>
      <c r="EOY111" s="17"/>
      <c r="EOZ111" s="17"/>
      <c r="EPA111" s="17"/>
      <c r="EPB111" s="17"/>
      <c r="EPC111" s="17"/>
      <c r="EPD111" s="17"/>
      <c r="EPE111" s="17"/>
      <c r="EPF111" s="17"/>
      <c r="EPG111" s="17"/>
      <c r="EPH111" s="17"/>
      <c r="EPI111" s="17"/>
      <c r="EPJ111" s="17"/>
      <c r="EPK111" s="17"/>
      <c r="EPL111" s="17"/>
      <c r="EPM111" s="17"/>
      <c r="EPN111" s="17"/>
      <c r="EPO111" s="17"/>
      <c r="EPP111" s="17"/>
      <c r="EPQ111" s="17"/>
      <c r="EPR111" s="17"/>
      <c r="EPS111" s="17"/>
      <c r="EPT111" s="17"/>
      <c r="EPU111" s="17"/>
      <c r="EPV111" s="17"/>
      <c r="EPW111" s="17"/>
      <c r="EPX111" s="17"/>
      <c r="EPY111" s="17"/>
      <c r="EPZ111" s="17"/>
      <c r="EQA111" s="17"/>
      <c r="EQB111" s="17"/>
      <c r="EQC111" s="17"/>
      <c r="EQD111" s="17"/>
      <c r="EQE111" s="17"/>
      <c r="EQF111" s="17"/>
      <c r="EQG111" s="17"/>
      <c r="EQH111" s="17"/>
      <c r="EQI111" s="17"/>
      <c r="EQJ111" s="17"/>
      <c r="EQK111" s="17"/>
      <c r="EQL111" s="17"/>
      <c r="EQM111" s="17"/>
      <c r="EQN111" s="17"/>
      <c r="EQO111" s="17"/>
      <c r="EQP111" s="17"/>
      <c r="EQQ111" s="17"/>
      <c r="EQR111" s="17"/>
      <c r="EQS111" s="17"/>
      <c r="EQT111" s="17"/>
      <c r="EQU111" s="17"/>
      <c r="EQV111" s="17"/>
      <c r="EQW111" s="17"/>
      <c r="EQX111" s="17"/>
      <c r="EQY111" s="17"/>
      <c r="EQZ111" s="17"/>
      <c r="ERA111" s="17"/>
      <c r="ERB111" s="17"/>
      <c r="ERC111" s="17"/>
      <c r="ERD111" s="17"/>
      <c r="ERE111" s="17"/>
      <c r="ERF111" s="17"/>
      <c r="ERG111" s="17"/>
      <c r="ERH111" s="17"/>
      <c r="ERI111" s="17"/>
      <c r="ERJ111" s="17"/>
      <c r="ERK111" s="17"/>
      <c r="ERL111" s="17"/>
      <c r="ERM111" s="17"/>
      <c r="ERN111" s="17"/>
      <c r="ERO111" s="17"/>
      <c r="ERP111" s="17"/>
      <c r="ERQ111" s="17"/>
      <c r="ERR111" s="17"/>
      <c r="ERS111" s="17"/>
      <c r="ERT111" s="17"/>
      <c r="ERU111" s="17"/>
      <c r="ERV111" s="17"/>
      <c r="ERW111" s="17"/>
      <c r="ERX111" s="17"/>
      <c r="ERY111" s="17"/>
      <c r="ERZ111" s="17"/>
      <c r="ESA111" s="17"/>
      <c r="ESB111" s="17"/>
      <c r="ESC111" s="17"/>
      <c r="ESD111" s="17"/>
      <c r="ESE111" s="17"/>
      <c r="ESF111" s="17"/>
      <c r="ESG111" s="17"/>
      <c r="ESH111" s="17"/>
      <c r="ESI111" s="17"/>
      <c r="ESJ111" s="17"/>
      <c r="ESK111" s="17"/>
      <c r="ESL111" s="17"/>
      <c r="ESM111" s="17"/>
      <c r="ESN111" s="17"/>
      <c r="ESO111" s="17"/>
      <c r="ESP111" s="17"/>
      <c r="ESQ111" s="17"/>
      <c r="ESR111" s="17"/>
      <c r="ESS111" s="17"/>
      <c r="EST111" s="17"/>
      <c r="ESU111" s="17"/>
      <c r="ESV111" s="17"/>
      <c r="ESW111" s="17"/>
      <c r="ESX111" s="17"/>
      <c r="ESY111" s="17"/>
      <c r="ESZ111" s="17"/>
      <c r="ETA111" s="17"/>
      <c r="ETB111" s="17"/>
      <c r="ETC111" s="17"/>
      <c r="ETD111" s="17"/>
      <c r="ETE111" s="17"/>
      <c r="ETF111" s="17"/>
      <c r="ETG111" s="17"/>
      <c r="ETH111" s="17"/>
      <c r="ETI111" s="17"/>
      <c r="ETJ111" s="17"/>
      <c r="ETK111" s="17"/>
      <c r="ETL111" s="17"/>
      <c r="ETM111" s="17"/>
      <c r="ETN111" s="17"/>
      <c r="ETO111" s="17"/>
      <c r="ETP111" s="17"/>
      <c r="ETQ111" s="17"/>
      <c r="ETR111" s="17"/>
      <c r="ETS111" s="17"/>
      <c r="ETT111" s="17"/>
      <c r="ETU111" s="17"/>
      <c r="ETV111" s="17"/>
      <c r="ETW111" s="17"/>
      <c r="ETX111" s="17"/>
      <c r="ETY111" s="17"/>
      <c r="ETZ111" s="17"/>
      <c r="EUA111" s="17"/>
      <c r="EUB111" s="17"/>
      <c r="EUC111" s="17"/>
      <c r="EUD111" s="17"/>
      <c r="EUE111" s="17"/>
      <c r="EUF111" s="17"/>
      <c r="EUG111" s="17"/>
      <c r="EUH111" s="17"/>
      <c r="EUI111" s="17"/>
      <c r="EUJ111" s="17"/>
      <c r="EUK111" s="17"/>
      <c r="EUL111" s="17"/>
      <c r="EUM111" s="17"/>
      <c r="EUN111" s="17"/>
      <c r="EUO111" s="17"/>
      <c r="EUP111" s="17"/>
      <c r="EUQ111" s="17"/>
      <c r="EUR111" s="17"/>
      <c r="EUS111" s="17"/>
      <c r="EUT111" s="17"/>
      <c r="EUU111" s="17"/>
      <c r="EUV111" s="17"/>
      <c r="EUW111" s="17"/>
      <c r="EUX111" s="17"/>
      <c r="EUY111" s="17"/>
      <c r="EUZ111" s="17"/>
      <c r="EVA111" s="17"/>
      <c r="EVB111" s="17"/>
      <c r="EVC111" s="17"/>
      <c r="EVD111" s="17"/>
      <c r="EVE111" s="17"/>
      <c r="EVF111" s="17"/>
      <c r="EVG111" s="17"/>
      <c r="EVH111" s="17"/>
      <c r="EVI111" s="17"/>
      <c r="EVJ111" s="17"/>
      <c r="EVK111" s="17"/>
      <c r="EVL111" s="17"/>
      <c r="EVM111" s="17"/>
      <c r="EVN111" s="17"/>
      <c r="EVO111" s="17"/>
      <c r="EVP111" s="17"/>
      <c r="EVQ111" s="17"/>
      <c r="EVR111" s="17"/>
      <c r="EVS111" s="17"/>
      <c r="EVT111" s="17"/>
      <c r="EVU111" s="17"/>
      <c r="EVV111" s="17"/>
      <c r="EVW111" s="17"/>
      <c r="EVX111" s="17"/>
      <c r="EVY111" s="17"/>
      <c r="EVZ111" s="17"/>
      <c r="EWA111" s="17"/>
      <c r="EWB111" s="17"/>
      <c r="EWC111" s="17"/>
      <c r="EWD111" s="17"/>
      <c r="EWE111" s="17"/>
      <c r="EWF111" s="17"/>
      <c r="EWG111" s="17"/>
      <c r="EWH111" s="17"/>
      <c r="EWI111" s="17"/>
      <c r="EWJ111" s="17"/>
      <c r="EWK111" s="17"/>
      <c r="EWL111" s="17"/>
      <c r="EWM111" s="17"/>
      <c r="EWN111" s="17"/>
      <c r="EWO111" s="17"/>
      <c r="EWP111" s="17"/>
      <c r="EWQ111" s="17"/>
      <c r="EWR111" s="17"/>
      <c r="EWS111" s="17"/>
      <c r="EWT111" s="17"/>
      <c r="EWU111" s="17"/>
      <c r="EWV111" s="17"/>
      <c r="EWW111" s="17"/>
      <c r="EWX111" s="17"/>
      <c r="EWY111" s="17"/>
      <c r="EWZ111" s="17"/>
      <c r="EXA111" s="17"/>
      <c r="EXB111" s="17"/>
      <c r="EXC111" s="17"/>
      <c r="EXD111" s="17"/>
      <c r="EXE111" s="17"/>
      <c r="EXF111" s="17"/>
      <c r="EXG111" s="17"/>
      <c r="EXH111" s="17"/>
      <c r="EXI111" s="17"/>
      <c r="EXJ111" s="17"/>
      <c r="EXK111" s="17"/>
      <c r="EXL111" s="17"/>
      <c r="EXM111" s="17"/>
      <c r="EXN111" s="17"/>
      <c r="EXO111" s="17"/>
      <c r="EXP111" s="17"/>
      <c r="EXQ111" s="17"/>
      <c r="EXR111" s="17"/>
      <c r="EXS111" s="17"/>
      <c r="EXT111" s="17"/>
      <c r="EXU111" s="17"/>
      <c r="EXV111" s="17"/>
      <c r="EXW111" s="17"/>
      <c r="EXX111" s="17"/>
      <c r="EXY111" s="17"/>
      <c r="EXZ111" s="17"/>
      <c r="EYA111" s="17"/>
      <c r="EYB111" s="17"/>
      <c r="EYC111" s="17"/>
      <c r="EYD111" s="17"/>
      <c r="EYE111" s="17"/>
      <c r="EYF111" s="17"/>
      <c r="EYG111" s="17"/>
      <c r="EYH111" s="17"/>
      <c r="EYI111" s="17"/>
      <c r="EYJ111" s="17"/>
      <c r="EYK111" s="17"/>
      <c r="EYL111" s="17"/>
      <c r="EYM111" s="17"/>
      <c r="EYN111" s="17"/>
      <c r="EYO111" s="17"/>
      <c r="EYP111" s="17"/>
      <c r="EYQ111" s="17"/>
      <c r="EYR111" s="17"/>
      <c r="EYS111" s="17"/>
      <c r="EYT111" s="17"/>
      <c r="EYU111" s="17"/>
      <c r="EYV111" s="17"/>
      <c r="EYW111" s="17"/>
      <c r="EYX111" s="17"/>
      <c r="EYY111" s="17"/>
      <c r="EYZ111" s="17"/>
      <c r="EZA111" s="17"/>
      <c r="EZB111" s="17"/>
      <c r="EZC111" s="17"/>
      <c r="EZD111" s="17"/>
      <c r="EZE111" s="17"/>
      <c r="EZF111" s="17"/>
      <c r="EZG111" s="17"/>
      <c r="EZH111" s="17"/>
      <c r="EZI111" s="17"/>
      <c r="EZJ111" s="17"/>
      <c r="EZK111" s="17"/>
      <c r="EZL111" s="17"/>
      <c r="EZM111" s="17"/>
      <c r="EZN111" s="17"/>
      <c r="EZO111" s="17"/>
      <c r="EZP111" s="17"/>
      <c r="EZQ111" s="17"/>
      <c r="EZR111" s="17"/>
      <c r="EZS111" s="17"/>
      <c r="EZT111" s="17"/>
      <c r="EZU111" s="17"/>
      <c r="EZV111" s="17"/>
      <c r="EZW111" s="17"/>
      <c r="EZX111" s="17"/>
      <c r="EZY111" s="17"/>
      <c r="EZZ111" s="17"/>
      <c r="FAA111" s="17"/>
      <c r="FAB111" s="17"/>
      <c r="FAC111" s="17"/>
      <c r="FAD111" s="17"/>
      <c r="FAE111" s="17"/>
      <c r="FAF111" s="17"/>
      <c r="FAG111" s="17"/>
      <c r="FAH111" s="17"/>
      <c r="FAI111" s="17"/>
      <c r="FAJ111" s="17"/>
      <c r="FAK111" s="17"/>
      <c r="FAL111" s="17"/>
      <c r="FAM111" s="17"/>
      <c r="FAN111" s="17"/>
      <c r="FAO111" s="17"/>
      <c r="FAP111" s="17"/>
      <c r="FAQ111" s="17"/>
      <c r="FAR111" s="17"/>
      <c r="FAS111" s="17"/>
      <c r="FAT111" s="17"/>
      <c r="FAU111" s="17"/>
      <c r="FAV111" s="17"/>
      <c r="FAW111" s="17"/>
      <c r="FAX111" s="17"/>
      <c r="FAY111" s="17"/>
      <c r="FAZ111" s="17"/>
      <c r="FBA111" s="17"/>
      <c r="FBB111" s="17"/>
      <c r="FBC111" s="17"/>
      <c r="FBD111" s="17"/>
      <c r="FBE111" s="17"/>
      <c r="FBF111" s="17"/>
      <c r="FBG111" s="17"/>
      <c r="FBH111" s="17"/>
      <c r="FBI111" s="17"/>
      <c r="FBJ111" s="17"/>
      <c r="FBK111" s="17"/>
      <c r="FBL111" s="17"/>
      <c r="FBM111" s="17"/>
      <c r="FBN111" s="17"/>
      <c r="FBO111" s="17"/>
      <c r="FBP111" s="17"/>
      <c r="FBQ111" s="17"/>
      <c r="FBR111" s="17"/>
      <c r="FBS111" s="17"/>
      <c r="FBT111" s="17"/>
      <c r="FBU111" s="17"/>
      <c r="FBV111" s="17"/>
      <c r="FBW111" s="17"/>
      <c r="FBX111" s="17"/>
      <c r="FBY111" s="17"/>
      <c r="FBZ111" s="17"/>
      <c r="FCA111" s="17"/>
      <c r="FCB111" s="17"/>
      <c r="FCC111" s="17"/>
      <c r="FCD111" s="17"/>
      <c r="FCE111" s="17"/>
      <c r="FCF111" s="17"/>
      <c r="FCG111" s="17"/>
      <c r="FCH111" s="17"/>
      <c r="FCI111" s="17"/>
      <c r="FCJ111" s="17"/>
      <c r="FCK111" s="17"/>
      <c r="FCL111" s="17"/>
      <c r="FCM111" s="17"/>
      <c r="FCN111" s="17"/>
      <c r="FCO111" s="17"/>
      <c r="FCP111" s="17"/>
      <c r="FCQ111" s="17"/>
      <c r="FCR111" s="17"/>
      <c r="FCS111" s="17"/>
      <c r="FCT111" s="17"/>
      <c r="FCU111" s="17"/>
      <c r="FCV111" s="17"/>
      <c r="FCW111" s="17"/>
      <c r="FCX111" s="17"/>
      <c r="FCY111" s="17"/>
      <c r="FCZ111" s="17"/>
      <c r="FDA111" s="17"/>
      <c r="FDB111" s="17"/>
      <c r="FDC111" s="17"/>
      <c r="FDD111" s="17"/>
      <c r="FDE111" s="17"/>
      <c r="FDF111" s="17"/>
      <c r="FDG111" s="17"/>
      <c r="FDH111" s="17"/>
      <c r="FDI111" s="17"/>
      <c r="FDJ111" s="17"/>
      <c r="FDK111" s="17"/>
      <c r="FDL111" s="17"/>
      <c r="FDM111" s="17"/>
      <c r="FDN111" s="17"/>
      <c r="FDO111" s="17"/>
      <c r="FDP111" s="17"/>
      <c r="FDQ111" s="17"/>
      <c r="FDR111" s="17"/>
      <c r="FDS111" s="17"/>
      <c r="FDT111" s="17"/>
      <c r="FDU111" s="17"/>
      <c r="FDV111" s="17"/>
      <c r="FDW111" s="17"/>
      <c r="FDX111" s="17"/>
      <c r="FDY111" s="17"/>
      <c r="FDZ111" s="17"/>
      <c r="FEA111" s="17"/>
      <c r="FEB111" s="17"/>
      <c r="FEC111" s="17"/>
      <c r="FED111" s="17"/>
      <c r="FEE111" s="17"/>
      <c r="FEF111" s="17"/>
      <c r="FEG111" s="17"/>
      <c r="FEH111" s="17"/>
      <c r="FEI111" s="17"/>
      <c r="FEJ111" s="17"/>
      <c r="FEK111" s="17"/>
      <c r="FEL111" s="17"/>
      <c r="FEM111" s="17"/>
      <c r="FEN111" s="17"/>
      <c r="FEO111" s="17"/>
      <c r="FEP111" s="17"/>
      <c r="FEQ111" s="17"/>
      <c r="FER111" s="17"/>
      <c r="FES111" s="17"/>
      <c r="FET111" s="17"/>
      <c r="FEU111" s="17"/>
      <c r="FEV111" s="17"/>
      <c r="FEW111" s="17"/>
      <c r="FEX111" s="17"/>
      <c r="FEY111" s="17"/>
      <c r="FEZ111" s="17"/>
      <c r="FFA111" s="17"/>
      <c r="FFB111" s="17"/>
      <c r="FFC111" s="17"/>
      <c r="FFD111" s="17"/>
      <c r="FFE111" s="17"/>
      <c r="FFF111" s="17"/>
      <c r="FFG111" s="17"/>
      <c r="FFH111" s="17"/>
      <c r="FFI111" s="17"/>
      <c r="FFJ111" s="17"/>
      <c r="FFK111" s="17"/>
      <c r="FFL111" s="17"/>
      <c r="FFM111" s="17"/>
      <c r="FFN111" s="17"/>
      <c r="FFO111" s="17"/>
      <c r="FFP111" s="17"/>
      <c r="FFQ111" s="17"/>
      <c r="FFR111" s="17"/>
      <c r="FFS111" s="17"/>
      <c r="FFT111" s="17"/>
      <c r="FFU111" s="17"/>
      <c r="FFV111" s="17"/>
      <c r="FFW111" s="17"/>
      <c r="FFX111" s="17"/>
      <c r="FFY111" s="17"/>
      <c r="FFZ111" s="17"/>
      <c r="FGA111" s="17"/>
      <c r="FGB111" s="17"/>
      <c r="FGC111" s="17"/>
      <c r="FGD111" s="17"/>
      <c r="FGE111" s="17"/>
      <c r="FGF111" s="17"/>
      <c r="FGG111" s="17"/>
      <c r="FGH111" s="17"/>
      <c r="FGI111" s="17"/>
      <c r="FGJ111" s="17"/>
      <c r="FGK111" s="17"/>
      <c r="FGL111" s="17"/>
      <c r="FGM111" s="17"/>
      <c r="FGN111" s="17"/>
      <c r="FGO111" s="17"/>
      <c r="FGP111" s="17"/>
      <c r="FGQ111" s="17"/>
      <c r="FGR111" s="17"/>
      <c r="FGS111" s="17"/>
      <c r="FGT111" s="17"/>
      <c r="FGU111" s="17"/>
      <c r="FGV111" s="17"/>
      <c r="FGW111" s="17"/>
      <c r="FGX111" s="17"/>
      <c r="FGY111" s="17"/>
      <c r="FGZ111" s="17"/>
      <c r="FHA111" s="17"/>
      <c r="FHB111" s="17"/>
      <c r="FHC111" s="17"/>
      <c r="FHD111" s="17"/>
      <c r="FHE111" s="17"/>
      <c r="FHF111" s="17"/>
      <c r="FHG111" s="17"/>
      <c r="FHH111" s="17"/>
      <c r="FHI111" s="17"/>
      <c r="FHJ111" s="17"/>
      <c r="FHK111" s="17"/>
      <c r="FHL111" s="17"/>
      <c r="FHM111" s="17"/>
      <c r="FHN111" s="17"/>
      <c r="FHO111" s="17"/>
      <c r="FHP111" s="17"/>
      <c r="FHQ111" s="17"/>
      <c r="FHR111" s="17"/>
      <c r="FHS111" s="17"/>
      <c r="FHT111" s="17"/>
      <c r="FHU111" s="17"/>
      <c r="FHV111" s="17"/>
      <c r="FHW111" s="17"/>
      <c r="FHX111" s="17"/>
      <c r="FHY111" s="17"/>
      <c r="FHZ111" s="17"/>
      <c r="FIA111" s="17"/>
      <c r="FIB111" s="17"/>
      <c r="FIC111" s="17"/>
      <c r="FID111" s="17"/>
      <c r="FIE111" s="17"/>
      <c r="FIF111" s="17"/>
      <c r="FIG111" s="17"/>
      <c r="FIH111" s="17"/>
      <c r="FII111" s="17"/>
      <c r="FIJ111" s="17"/>
      <c r="FIK111" s="17"/>
      <c r="FIL111" s="17"/>
      <c r="FIM111" s="17"/>
      <c r="FIN111" s="17"/>
      <c r="FIO111" s="17"/>
      <c r="FIP111" s="17"/>
      <c r="FIQ111" s="17"/>
      <c r="FIR111" s="17"/>
      <c r="FIS111" s="17"/>
      <c r="FIT111" s="17"/>
      <c r="FIU111" s="17"/>
      <c r="FIV111" s="17"/>
      <c r="FIW111" s="17"/>
      <c r="FIX111" s="17"/>
      <c r="FIY111" s="17"/>
      <c r="FIZ111" s="17"/>
      <c r="FJA111" s="17"/>
      <c r="FJB111" s="17"/>
      <c r="FJC111" s="17"/>
      <c r="FJD111" s="17"/>
      <c r="FJE111" s="17"/>
      <c r="FJF111" s="17"/>
      <c r="FJG111" s="17"/>
      <c r="FJH111" s="17"/>
      <c r="FJI111" s="17"/>
      <c r="FJJ111" s="17"/>
      <c r="FJK111" s="17"/>
      <c r="FJL111" s="17"/>
      <c r="FJM111" s="17"/>
      <c r="FJN111" s="17"/>
      <c r="FJO111" s="17"/>
      <c r="FJP111" s="17"/>
      <c r="FJQ111" s="17"/>
      <c r="FJR111" s="17"/>
      <c r="FJS111" s="17"/>
      <c r="FJT111" s="17"/>
      <c r="FJU111" s="17"/>
      <c r="FJV111" s="17"/>
      <c r="FJW111" s="17"/>
      <c r="FJX111" s="17"/>
      <c r="FJY111" s="17"/>
      <c r="FJZ111" s="17"/>
      <c r="FKA111" s="17"/>
      <c r="FKB111" s="17"/>
      <c r="FKC111" s="17"/>
      <c r="FKD111" s="17"/>
      <c r="FKE111" s="17"/>
      <c r="FKF111" s="17"/>
      <c r="FKG111" s="17"/>
      <c r="FKH111" s="17"/>
      <c r="FKI111" s="17"/>
      <c r="FKJ111" s="17"/>
      <c r="FKK111" s="17"/>
      <c r="FKL111" s="17"/>
      <c r="FKM111" s="17"/>
      <c r="FKN111" s="17"/>
      <c r="FKO111" s="17"/>
      <c r="FKP111" s="17"/>
      <c r="FKQ111" s="17"/>
      <c r="FKR111" s="17"/>
      <c r="FKS111" s="17"/>
      <c r="FKT111" s="17"/>
      <c r="FKU111" s="17"/>
      <c r="FKV111" s="17"/>
      <c r="FKW111" s="17"/>
      <c r="FKX111" s="17"/>
      <c r="FKY111" s="17"/>
      <c r="FKZ111" s="17"/>
      <c r="FLA111" s="17"/>
      <c r="FLB111" s="17"/>
      <c r="FLC111" s="17"/>
      <c r="FLD111" s="17"/>
      <c r="FLE111" s="17"/>
      <c r="FLF111" s="17"/>
      <c r="FLG111" s="17"/>
      <c r="FLH111" s="17"/>
      <c r="FLI111" s="17"/>
      <c r="FLJ111" s="17"/>
      <c r="FLK111" s="17"/>
      <c r="FLL111" s="17"/>
      <c r="FLM111" s="17"/>
      <c r="FLN111" s="17"/>
      <c r="FLO111" s="17"/>
      <c r="FLP111" s="17"/>
      <c r="FLQ111" s="17"/>
      <c r="FLR111" s="17"/>
      <c r="FLS111" s="17"/>
      <c r="FLT111" s="17"/>
      <c r="FLU111" s="17"/>
      <c r="FLV111" s="17"/>
      <c r="FLW111" s="17"/>
      <c r="FLX111" s="17"/>
      <c r="FLY111" s="17"/>
      <c r="FLZ111" s="17"/>
      <c r="FMA111" s="17"/>
      <c r="FMB111" s="17"/>
      <c r="FMC111" s="17"/>
      <c r="FMD111" s="17"/>
      <c r="FME111" s="17"/>
      <c r="FMF111" s="17"/>
      <c r="FMG111" s="17"/>
      <c r="FMH111" s="17"/>
      <c r="FMI111" s="17"/>
      <c r="FMJ111" s="17"/>
      <c r="FMK111" s="17"/>
      <c r="FML111" s="17"/>
      <c r="FMM111" s="17"/>
      <c r="FMN111" s="17"/>
      <c r="FMO111" s="17"/>
      <c r="FMP111" s="17"/>
      <c r="FMQ111" s="17"/>
      <c r="FMR111" s="17"/>
      <c r="FMS111" s="17"/>
      <c r="FMT111" s="17"/>
      <c r="FMU111" s="17"/>
      <c r="FMV111" s="17"/>
      <c r="FMW111" s="17"/>
      <c r="FMX111" s="17"/>
      <c r="FMY111" s="17"/>
      <c r="FMZ111" s="17"/>
      <c r="FNA111" s="17"/>
      <c r="FNB111" s="17"/>
      <c r="FNC111" s="17"/>
      <c r="FND111" s="17"/>
      <c r="FNE111" s="17"/>
      <c r="FNF111" s="17"/>
      <c r="FNG111" s="17"/>
      <c r="FNH111" s="17"/>
      <c r="FNI111" s="17"/>
      <c r="FNJ111" s="17"/>
      <c r="FNK111" s="17"/>
      <c r="FNL111" s="17"/>
      <c r="FNM111" s="17"/>
      <c r="FNN111" s="17"/>
      <c r="FNO111" s="17"/>
      <c r="FNP111" s="17"/>
      <c r="FNQ111" s="17"/>
      <c r="FNR111" s="17"/>
      <c r="FNS111" s="17"/>
      <c r="FNT111" s="17"/>
      <c r="FNU111" s="17"/>
      <c r="FNV111" s="17"/>
      <c r="FNW111" s="17"/>
      <c r="FNX111" s="17"/>
      <c r="FNY111" s="17"/>
      <c r="FNZ111" s="17"/>
      <c r="FOA111" s="17"/>
      <c r="FOB111" s="17"/>
      <c r="FOC111" s="17"/>
      <c r="FOD111" s="17"/>
      <c r="FOE111" s="17"/>
      <c r="FOF111" s="17"/>
      <c r="FOG111" s="17"/>
      <c r="FOH111" s="17"/>
      <c r="FOI111" s="17"/>
      <c r="FOJ111" s="17"/>
      <c r="FOK111" s="17"/>
      <c r="FOL111" s="17"/>
      <c r="FOM111" s="17"/>
      <c r="FON111" s="17"/>
      <c r="FOO111" s="17"/>
      <c r="FOP111" s="17"/>
      <c r="FOQ111" s="17"/>
      <c r="FOR111" s="17"/>
      <c r="FOS111" s="17"/>
      <c r="FOT111" s="17"/>
      <c r="FOU111" s="17"/>
      <c r="FOV111" s="17"/>
      <c r="FOW111" s="17"/>
      <c r="FOX111" s="17"/>
      <c r="FOY111" s="17"/>
      <c r="FOZ111" s="17"/>
      <c r="FPA111" s="17"/>
      <c r="FPB111" s="17"/>
      <c r="FPC111" s="17"/>
      <c r="FPD111" s="17"/>
      <c r="FPE111" s="17"/>
      <c r="FPF111" s="17"/>
      <c r="FPG111" s="17"/>
      <c r="FPH111" s="17"/>
      <c r="FPI111" s="17"/>
      <c r="FPJ111" s="17"/>
      <c r="FPK111" s="17"/>
      <c r="FPL111" s="17"/>
      <c r="FPM111" s="17"/>
      <c r="FPN111" s="17"/>
      <c r="FPO111" s="17"/>
      <c r="FPP111" s="17"/>
      <c r="FPQ111" s="17"/>
      <c r="FPR111" s="17"/>
      <c r="FPS111" s="17"/>
      <c r="FPT111" s="17"/>
      <c r="FPU111" s="17"/>
      <c r="FPV111" s="17"/>
      <c r="FPW111" s="17"/>
      <c r="FPX111" s="17"/>
      <c r="FPY111" s="17"/>
      <c r="FPZ111" s="17"/>
      <c r="FQA111" s="17"/>
      <c r="FQB111" s="17"/>
      <c r="FQC111" s="17"/>
      <c r="FQD111" s="17"/>
      <c r="FQE111" s="17"/>
      <c r="FQF111" s="17"/>
      <c r="FQG111" s="17"/>
      <c r="FQH111" s="17"/>
      <c r="FQI111" s="17"/>
      <c r="FQJ111" s="17"/>
      <c r="FQK111" s="17"/>
      <c r="FQL111" s="17"/>
      <c r="FQM111" s="17"/>
      <c r="FQN111" s="17"/>
      <c r="FQO111" s="17"/>
      <c r="FQP111" s="17"/>
      <c r="FQQ111" s="17"/>
      <c r="FQR111" s="17"/>
      <c r="FQS111" s="17"/>
      <c r="FQT111" s="17"/>
      <c r="FQU111" s="17"/>
      <c r="FQV111" s="17"/>
      <c r="FQW111" s="17"/>
      <c r="FQX111" s="17"/>
      <c r="FQY111" s="17"/>
      <c r="FQZ111" s="17"/>
      <c r="FRA111" s="17"/>
      <c r="FRB111" s="17"/>
      <c r="FRC111" s="17"/>
      <c r="FRD111" s="17"/>
      <c r="FRE111" s="17"/>
      <c r="FRF111" s="17"/>
      <c r="FRG111" s="17"/>
      <c r="FRH111" s="17"/>
      <c r="FRI111" s="17"/>
      <c r="FRJ111" s="17"/>
      <c r="FRK111" s="17"/>
      <c r="FRL111" s="17"/>
      <c r="FRM111" s="17"/>
      <c r="FRN111" s="17"/>
      <c r="FRO111" s="17"/>
      <c r="FRP111" s="17"/>
      <c r="FRQ111" s="17"/>
      <c r="FRR111" s="17"/>
      <c r="FRS111" s="17"/>
      <c r="FRT111" s="17"/>
      <c r="FRU111" s="17"/>
      <c r="FRV111" s="17"/>
      <c r="FRW111" s="17"/>
      <c r="FRX111" s="17"/>
      <c r="FRY111" s="17"/>
      <c r="FRZ111" s="17"/>
      <c r="FSA111" s="17"/>
      <c r="FSB111" s="17"/>
      <c r="FSC111" s="17"/>
      <c r="FSD111" s="17"/>
      <c r="FSE111" s="17"/>
      <c r="FSF111" s="17"/>
      <c r="FSG111" s="17"/>
      <c r="FSH111" s="17"/>
      <c r="FSI111" s="17"/>
      <c r="FSJ111" s="17"/>
      <c r="FSK111" s="17"/>
      <c r="FSL111" s="17"/>
      <c r="FSM111" s="17"/>
      <c r="FSN111" s="17"/>
      <c r="FSO111" s="17"/>
      <c r="FSP111" s="17"/>
      <c r="FSQ111" s="17"/>
      <c r="FSR111" s="17"/>
      <c r="FSS111" s="17"/>
      <c r="FST111" s="17"/>
      <c r="FSU111" s="17"/>
      <c r="FSV111" s="17"/>
      <c r="FSW111" s="17"/>
      <c r="FSX111" s="17"/>
      <c r="FSY111" s="17"/>
      <c r="FSZ111" s="17"/>
      <c r="FTA111" s="17"/>
      <c r="FTB111" s="17"/>
      <c r="FTC111" s="17"/>
      <c r="FTD111" s="17"/>
      <c r="FTE111" s="17"/>
      <c r="FTF111" s="17"/>
      <c r="FTG111" s="17"/>
      <c r="FTH111" s="17"/>
      <c r="FTI111" s="17"/>
      <c r="FTJ111" s="17"/>
      <c r="FTK111" s="17"/>
      <c r="FTL111" s="17"/>
      <c r="FTM111" s="17"/>
      <c r="FTN111" s="17"/>
      <c r="FTO111" s="17"/>
      <c r="FTP111" s="17"/>
      <c r="FTQ111" s="17"/>
      <c r="FTR111" s="17"/>
      <c r="FTS111" s="17"/>
      <c r="FTT111" s="17"/>
      <c r="FTU111" s="17"/>
      <c r="FTV111" s="17"/>
      <c r="FTW111" s="17"/>
      <c r="FTX111" s="17"/>
      <c r="FTY111" s="17"/>
      <c r="FTZ111" s="17"/>
      <c r="FUA111" s="17"/>
      <c r="FUB111" s="17"/>
      <c r="FUC111" s="17"/>
      <c r="FUD111" s="17"/>
      <c r="FUE111" s="17"/>
      <c r="FUF111" s="17"/>
      <c r="FUG111" s="17"/>
      <c r="FUH111" s="17"/>
      <c r="FUI111" s="17"/>
      <c r="FUJ111" s="17"/>
      <c r="FUK111" s="17"/>
      <c r="FUL111" s="17"/>
      <c r="FUM111" s="17"/>
      <c r="FUN111" s="17"/>
      <c r="FUO111" s="17"/>
      <c r="FUP111" s="17"/>
      <c r="FUQ111" s="17"/>
      <c r="FUR111" s="17"/>
      <c r="FUS111" s="17"/>
      <c r="FUT111" s="17"/>
      <c r="FUU111" s="17"/>
      <c r="FUV111" s="17"/>
      <c r="FUW111" s="17"/>
      <c r="FUX111" s="17"/>
      <c r="FUY111" s="17"/>
      <c r="FUZ111" s="17"/>
      <c r="FVA111" s="17"/>
      <c r="FVB111" s="17"/>
      <c r="FVC111" s="17"/>
      <c r="FVD111" s="17"/>
      <c r="FVE111" s="17"/>
      <c r="FVF111" s="17"/>
      <c r="FVG111" s="17"/>
      <c r="FVH111" s="17"/>
      <c r="FVI111" s="17"/>
      <c r="FVJ111" s="17"/>
      <c r="FVK111" s="17"/>
      <c r="FVL111" s="17"/>
      <c r="FVM111" s="17"/>
      <c r="FVN111" s="17"/>
      <c r="FVO111" s="17"/>
      <c r="FVP111" s="17"/>
      <c r="FVQ111" s="17"/>
      <c r="FVR111" s="17"/>
      <c r="FVS111" s="17"/>
      <c r="FVT111" s="17"/>
      <c r="FVU111" s="17"/>
      <c r="FVV111" s="17"/>
      <c r="FVW111" s="17"/>
      <c r="FVX111" s="17"/>
      <c r="FVY111" s="17"/>
      <c r="FVZ111" s="17"/>
      <c r="FWA111" s="17"/>
      <c r="FWB111" s="17"/>
      <c r="FWC111" s="17"/>
      <c r="FWD111" s="17"/>
      <c r="FWE111" s="17"/>
      <c r="FWF111" s="17"/>
      <c r="FWG111" s="17"/>
      <c r="FWH111" s="17"/>
      <c r="FWI111" s="17"/>
      <c r="FWJ111" s="17"/>
      <c r="FWK111" s="17"/>
      <c r="FWL111" s="17"/>
      <c r="FWM111" s="17"/>
      <c r="FWN111" s="17"/>
      <c r="FWO111" s="17"/>
      <c r="FWP111" s="17"/>
      <c r="FWQ111" s="17"/>
      <c r="FWR111" s="17"/>
      <c r="FWS111" s="17"/>
      <c r="FWT111" s="17"/>
      <c r="FWU111" s="17"/>
      <c r="FWV111" s="17"/>
      <c r="FWW111" s="17"/>
      <c r="FWX111" s="17"/>
      <c r="FWY111" s="17"/>
      <c r="FWZ111" s="17"/>
      <c r="FXA111" s="17"/>
      <c r="FXB111" s="17"/>
      <c r="FXC111" s="17"/>
      <c r="FXD111" s="17"/>
      <c r="FXE111" s="17"/>
      <c r="FXF111" s="17"/>
      <c r="FXG111" s="17"/>
      <c r="FXH111" s="17"/>
      <c r="FXI111" s="17"/>
      <c r="FXJ111" s="17"/>
      <c r="FXK111" s="17"/>
      <c r="FXL111" s="17"/>
      <c r="FXM111" s="17"/>
      <c r="FXN111" s="17"/>
      <c r="FXO111" s="17"/>
      <c r="FXP111" s="17"/>
      <c r="FXQ111" s="17"/>
      <c r="FXR111" s="17"/>
      <c r="FXS111" s="17"/>
      <c r="FXT111" s="17"/>
      <c r="FXU111" s="17"/>
      <c r="FXV111" s="17"/>
      <c r="FXW111" s="17"/>
      <c r="FXX111" s="17"/>
      <c r="FXY111" s="17"/>
      <c r="FXZ111" s="17"/>
      <c r="FYA111" s="17"/>
      <c r="FYB111" s="17"/>
      <c r="FYC111" s="17"/>
      <c r="FYD111" s="17"/>
      <c r="FYE111" s="17"/>
      <c r="FYF111" s="17"/>
      <c r="FYG111" s="17"/>
      <c r="FYH111" s="17"/>
      <c r="FYI111" s="17"/>
      <c r="FYJ111" s="17"/>
      <c r="FYK111" s="17"/>
      <c r="FYL111" s="17"/>
      <c r="FYM111" s="17"/>
      <c r="FYN111" s="17"/>
      <c r="FYO111" s="17"/>
      <c r="FYP111" s="17"/>
      <c r="FYQ111" s="17"/>
      <c r="FYR111" s="17"/>
      <c r="FYS111" s="17"/>
      <c r="FYT111" s="17"/>
      <c r="FYU111" s="17"/>
      <c r="FYV111" s="17"/>
      <c r="FYW111" s="17"/>
      <c r="FYX111" s="17"/>
      <c r="FYY111" s="17"/>
      <c r="FYZ111" s="17"/>
      <c r="FZA111" s="17"/>
      <c r="FZB111" s="17"/>
      <c r="FZC111" s="17"/>
      <c r="FZD111" s="17"/>
      <c r="FZE111" s="17"/>
      <c r="FZF111" s="17"/>
      <c r="FZG111" s="17"/>
      <c r="FZH111" s="17"/>
      <c r="FZI111" s="17"/>
      <c r="FZJ111" s="17"/>
      <c r="FZK111" s="17"/>
      <c r="FZL111" s="17"/>
      <c r="FZM111" s="17"/>
      <c r="FZN111" s="17"/>
      <c r="FZO111" s="17"/>
      <c r="FZP111" s="17"/>
      <c r="FZQ111" s="17"/>
      <c r="FZR111" s="17"/>
      <c r="FZS111" s="17"/>
      <c r="FZT111" s="17"/>
      <c r="FZU111" s="17"/>
      <c r="FZV111" s="17"/>
      <c r="FZW111" s="17"/>
      <c r="FZX111" s="17"/>
      <c r="FZY111" s="17"/>
      <c r="FZZ111" s="17"/>
      <c r="GAA111" s="17"/>
      <c r="GAB111" s="17"/>
      <c r="GAC111" s="17"/>
      <c r="GAD111" s="17"/>
      <c r="GAE111" s="17"/>
      <c r="GAF111" s="17"/>
      <c r="GAG111" s="17"/>
      <c r="GAH111" s="17"/>
      <c r="GAI111" s="17"/>
      <c r="GAJ111" s="17"/>
      <c r="GAK111" s="17"/>
      <c r="GAL111" s="17"/>
      <c r="GAM111" s="17"/>
      <c r="GAN111" s="17"/>
      <c r="GAO111" s="17"/>
      <c r="GAP111" s="17"/>
      <c r="GAQ111" s="17"/>
      <c r="GAR111" s="17"/>
      <c r="GAS111" s="17"/>
      <c r="GAT111" s="17"/>
      <c r="GAU111" s="17"/>
      <c r="GAV111" s="17"/>
      <c r="GAW111" s="17"/>
      <c r="GAX111" s="17"/>
      <c r="GAY111" s="17"/>
      <c r="GAZ111" s="17"/>
      <c r="GBA111" s="17"/>
      <c r="GBB111" s="17"/>
      <c r="GBC111" s="17"/>
      <c r="GBD111" s="17"/>
      <c r="GBE111" s="17"/>
      <c r="GBF111" s="17"/>
      <c r="GBG111" s="17"/>
      <c r="GBH111" s="17"/>
      <c r="GBI111" s="17"/>
      <c r="GBJ111" s="17"/>
      <c r="GBK111" s="17"/>
      <c r="GBL111" s="17"/>
      <c r="GBM111" s="17"/>
      <c r="GBN111" s="17"/>
      <c r="GBO111" s="17"/>
      <c r="GBP111" s="17"/>
      <c r="GBQ111" s="17"/>
      <c r="GBR111" s="17"/>
      <c r="GBS111" s="17"/>
      <c r="GBT111" s="17"/>
      <c r="GBU111" s="17"/>
      <c r="GBV111" s="17"/>
      <c r="GBW111" s="17"/>
      <c r="GBX111" s="17"/>
      <c r="GBY111" s="17"/>
      <c r="GBZ111" s="17"/>
      <c r="GCA111" s="17"/>
      <c r="GCB111" s="17"/>
      <c r="GCC111" s="17"/>
      <c r="GCD111" s="17"/>
      <c r="GCE111" s="17"/>
      <c r="GCF111" s="17"/>
      <c r="GCG111" s="17"/>
      <c r="GCH111" s="17"/>
      <c r="GCI111" s="17"/>
      <c r="GCJ111" s="17"/>
      <c r="GCK111" s="17"/>
      <c r="GCL111" s="17"/>
      <c r="GCM111" s="17"/>
      <c r="GCN111" s="17"/>
      <c r="GCO111" s="17"/>
      <c r="GCP111" s="17"/>
      <c r="GCQ111" s="17"/>
      <c r="GCR111" s="17"/>
      <c r="GCS111" s="17"/>
      <c r="GCT111" s="17"/>
      <c r="GCU111" s="17"/>
      <c r="GCV111" s="17"/>
      <c r="GCW111" s="17"/>
      <c r="GCX111" s="17"/>
      <c r="GCY111" s="17"/>
      <c r="GCZ111" s="17"/>
      <c r="GDA111" s="17"/>
      <c r="GDB111" s="17"/>
      <c r="GDC111" s="17"/>
      <c r="GDD111" s="17"/>
      <c r="GDE111" s="17"/>
      <c r="GDF111" s="17"/>
      <c r="GDG111" s="17"/>
      <c r="GDH111" s="17"/>
      <c r="GDI111" s="17"/>
      <c r="GDJ111" s="17"/>
      <c r="GDK111" s="17"/>
      <c r="GDL111" s="17"/>
      <c r="GDM111" s="17"/>
      <c r="GDN111" s="17"/>
      <c r="GDO111" s="17"/>
      <c r="GDP111" s="17"/>
      <c r="GDQ111" s="17"/>
      <c r="GDR111" s="17"/>
      <c r="GDS111" s="17"/>
      <c r="GDT111" s="17"/>
      <c r="GDU111" s="17"/>
      <c r="GDV111" s="17"/>
      <c r="GDW111" s="17"/>
      <c r="GDX111" s="17"/>
      <c r="GDY111" s="17"/>
      <c r="GDZ111" s="17"/>
      <c r="GEA111" s="17"/>
      <c r="GEB111" s="17"/>
      <c r="GEC111" s="17"/>
      <c r="GED111" s="17"/>
      <c r="GEE111" s="17"/>
      <c r="GEF111" s="17"/>
      <c r="GEG111" s="17"/>
      <c r="GEH111" s="17"/>
      <c r="GEI111" s="17"/>
      <c r="GEJ111" s="17"/>
      <c r="GEK111" s="17"/>
      <c r="GEL111" s="17"/>
      <c r="GEM111" s="17"/>
      <c r="GEN111" s="17"/>
      <c r="GEO111" s="17"/>
      <c r="GEP111" s="17"/>
      <c r="GEQ111" s="17"/>
      <c r="GER111" s="17"/>
      <c r="GES111" s="17"/>
      <c r="GET111" s="17"/>
      <c r="GEU111" s="17"/>
      <c r="GEV111" s="17"/>
      <c r="GEW111" s="17"/>
      <c r="GEX111" s="17"/>
      <c r="GEY111" s="17"/>
      <c r="GEZ111" s="17"/>
      <c r="GFA111" s="17"/>
      <c r="GFB111" s="17"/>
      <c r="GFC111" s="17"/>
      <c r="GFD111" s="17"/>
      <c r="GFE111" s="17"/>
      <c r="GFF111" s="17"/>
      <c r="GFG111" s="17"/>
      <c r="GFH111" s="17"/>
      <c r="GFI111" s="17"/>
      <c r="GFJ111" s="17"/>
      <c r="GFK111" s="17"/>
      <c r="GFL111" s="17"/>
      <c r="GFM111" s="17"/>
      <c r="GFN111" s="17"/>
      <c r="GFO111" s="17"/>
      <c r="GFP111" s="17"/>
      <c r="GFQ111" s="17"/>
      <c r="GFR111" s="17"/>
      <c r="GFS111" s="17"/>
      <c r="GFT111" s="17"/>
      <c r="GFU111" s="17"/>
      <c r="GFV111" s="17"/>
      <c r="GFW111" s="17"/>
      <c r="GFX111" s="17"/>
      <c r="GFY111" s="17"/>
      <c r="GFZ111" s="17"/>
      <c r="GGA111" s="17"/>
      <c r="GGB111" s="17"/>
      <c r="GGC111" s="17"/>
      <c r="GGD111" s="17"/>
      <c r="GGE111" s="17"/>
      <c r="GGF111" s="17"/>
      <c r="GGG111" s="17"/>
      <c r="GGH111" s="17"/>
      <c r="GGI111" s="17"/>
      <c r="GGJ111" s="17"/>
      <c r="GGK111" s="17"/>
      <c r="GGL111" s="17"/>
      <c r="GGM111" s="17"/>
      <c r="GGN111" s="17"/>
      <c r="GGO111" s="17"/>
      <c r="GGP111" s="17"/>
      <c r="GGQ111" s="17"/>
      <c r="GGR111" s="17"/>
      <c r="GGS111" s="17"/>
      <c r="GGT111" s="17"/>
      <c r="GGU111" s="17"/>
      <c r="GGV111" s="17"/>
      <c r="GGW111" s="17"/>
      <c r="GGX111" s="17"/>
      <c r="GGY111" s="17"/>
      <c r="GGZ111" s="17"/>
      <c r="GHA111" s="17"/>
      <c r="GHB111" s="17"/>
      <c r="GHC111" s="17"/>
      <c r="GHD111" s="17"/>
      <c r="GHE111" s="17"/>
      <c r="GHF111" s="17"/>
      <c r="GHG111" s="17"/>
      <c r="GHH111" s="17"/>
      <c r="GHI111" s="17"/>
      <c r="GHJ111" s="17"/>
      <c r="GHK111" s="17"/>
      <c r="GHL111" s="17"/>
      <c r="GHM111" s="17"/>
      <c r="GHN111" s="17"/>
      <c r="GHO111" s="17"/>
      <c r="GHP111" s="17"/>
      <c r="GHQ111" s="17"/>
      <c r="GHR111" s="17"/>
      <c r="GHS111" s="17"/>
      <c r="GHT111" s="17"/>
      <c r="GHU111" s="17"/>
      <c r="GHV111" s="17"/>
      <c r="GHW111" s="17"/>
      <c r="GHX111" s="17"/>
      <c r="GHY111" s="17"/>
      <c r="GHZ111" s="17"/>
      <c r="GIA111" s="17"/>
      <c r="GIB111" s="17"/>
      <c r="GIC111" s="17"/>
      <c r="GID111" s="17"/>
      <c r="GIE111" s="17"/>
      <c r="GIF111" s="17"/>
      <c r="GIG111" s="17"/>
      <c r="GIH111" s="17"/>
      <c r="GII111" s="17"/>
      <c r="GIJ111" s="17"/>
      <c r="GIK111" s="17"/>
      <c r="GIL111" s="17"/>
      <c r="GIM111" s="17"/>
      <c r="GIN111" s="17"/>
      <c r="GIO111" s="17"/>
      <c r="GIP111" s="17"/>
      <c r="GIQ111" s="17"/>
      <c r="GIR111" s="17"/>
      <c r="GIS111" s="17"/>
      <c r="GIT111" s="17"/>
      <c r="GIU111" s="17"/>
      <c r="GIV111" s="17"/>
      <c r="GIW111" s="17"/>
      <c r="GIX111" s="17"/>
      <c r="GIY111" s="17"/>
      <c r="GIZ111" s="17"/>
      <c r="GJA111" s="17"/>
      <c r="GJB111" s="17"/>
      <c r="GJC111" s="17"/>
      <c r="GJD111" s="17"/>
      <c r="GJE111" s="17"/>
      <c r="GJF111" s="17"/>
      <c r="GJG111" s="17"/>
      <c r="GJH111" s="17"/>
      <c r="GJI111" s="17"/>
      <c r="GJJ111" s="17"/>
      <c r="GJK111" s="17"/>
      <c r="GJL111" s="17"/>
      <c r="GJM111" s="17"/>
      <c r="GJN111" s="17"/>
      <c r="GJO111" s="17"/>
      <c r="GJP111" s="17"/>
      <c r="GJQ111" s="17"/>
      <c r="GJR111" s="17"/>
      <c r="GJS111" s="17"/>
      <c r="GJT111" s="17"/>
      <c r="GJU111" s="17"/>
      <c r="GJV111" s="17"/>
      <c r="GJW111" s="17"/>
      <c r="GJX111" s="17"/>
      <c r="GJY111" s="17"/>
      <c r="GJZ111" s="17"/>
      <c r="GKA111" s="17"/>
      <c r="GKB111" s="17"/>
      <c r="GKC111" s="17"/>
      <c r="GKD111" s="17"/>
      <c r="GKE111" s="17"/>
      <c r="GKF111" s="17"/>
      <c r="GKG111" s="17"/>
      <c r="GKH111" s="17"/>
      <c r="GKI111" s="17"/>
      <c r="GKJ111" s="17"/>
      <c r="GKK111" s="17"/>
      <c r="GKL111" s="17"/>
      <c r="GKM111" s="17"/>
      <c r="GKN111" s="17"/>
      <c r="GKO111" s="17"/>
      <c r="GKP111" s="17"/>
      <c r="GKQ111" s="17"/>
      <c r="GKR111" s="17"/>
      <c r="GKS111" s="17"/>
      <c r="GKT111" s="17"/>
      <c r="GKU111" s="17"/>
      <c r="GKV111" s="17"/>
      <c r="GKW111" s="17"/>
      <c r="GKX111" s="17"/>
      <c r="GKY111" s="17"/>
      <c r="GKZ111" s="17"/>
      <c r="GLA111" s="17"/>
      <c r="GLB111" s="17"/>
      <c r="GLC111" s="17"/>
      <c r="GLD111" s="17"/>
      <c r="GLE111" s="17"/>
      <c r="GLF111" s="17"/>
      <c r="GLG111" s="17"/>
      <c r="GLH111" s="17"/>
      <c r="GLI111" s="17"/>
      <c r="GLJ111" s="17"/>
      <c r="GLK111" s="17"/>
      <c r="GLL111" s="17"/>
      <c r="GLM111" s="17"/>
      <c r="GLN111" s="17"/>
      <c r="GLO111" s="17"/>
      <c r="GLP111" s="17"/>
      <c r="GLQ111" s="17"/>
      <c r="GLR111" s="17"/>
      <c r="GLS111" s="17"/>
      <c r="GLT111" s="17"/>
      <c r="GLU111" s="17"/>
      <c r="GLV111" s="17"/>
      <c r="GLW111" s="17"/>
      <c r="GLX111" s="17"/>
      <c r="GLY111" s="17"/>
      <c r="GLZ111" s="17"/>
      <c r="GMA111" s="17"/>
      <c r="GMB111" s="17"/>
      <c r="GMC111" s="17"/>
      <c r="GMD111" s="17"/>
      <c r="GME111" s="17"/>
      <c r="GMF111" s="17"/>
      <c r="GMG111" s="17"/>
      <c r="GMH111" s="17"/>
      <c r="GMI111" s="17"/>
      <c r="GMJ111" s="17"/>
      <c r="GMK111" s="17"/>
      <c r="GML111" s="17"/>
      <c r="GMM111" s="17"/>
      <c r="GMN111" s="17"/>
      <c r="GMO111" s="17"/>
      <c r="GMP111" s="17"/>
      <c r="GMQ111" s="17"/>
      <c r="GMR111" s="17"/>
      <c r="GMS111" s="17"/>
      <c r="GMT111" s="17"/>
      <c r="GMU111" s="17"/>
      <c r="GMV111" s="17"/>
      <c r="GMW111" s="17"/>
      <c r="GMX111" s="17"/>
      <c r="GMY111" s="17"/>
      <c r="GMZ111" s="17"/>
      <c r="GNA111" s="17"/>
      <c r="GNB111" s="17"/>
      <c r="GNC111" s="17"/>
      <c r="GND111" s="17"/>
      <c r="GNE111" s="17"/>
      <c r="GNF111" s="17"/>
      <c r="GNG111" s="17"/>
      <c r="GNH111" s="17"/>
      <c r="GNI111" s="17"/>
      <c r="GNJ111" s="17"/>
      <c r="GNK111" s="17"/>
      <c r="GNL111" s="17"/>
      <c r="GNM111" s="17"/>
      <c r="GNN111" s="17"/>
      <c r="GNO111" s="17"/>
      <c r="GNP111" s="17"/>
      <c r="GNQ111" s="17"/>
      <c r="GNR111" s="17"/>
      <c r="GNS111" s="17"/>
      <c r="GNT111" s="17"/>
      <c r="GNU111" s="17"/>
      <c r="GNV111" s="17"/>
      <c r="GNW111" s="17"/>
      <c r="GNX111" s="17"/>
      <c r="GNY111" s="17"/>
      <c r="GNZ111" s="17"/>
      <c r="GOA111" s="17"/>
      <c r="GOB111" s="17"/>
      <c r="GOC111" s="17"/>
      <c r="GOD111" s="17"/>
      <c r="GOE111" s="17"/>
      <c r="GOF111" s="17"/>
      <c r="GOG111" s="17"/>
      <c r="GOH111" s="17"/>
      <c r="GOI111" s="17"/>
      <c r="GOJ111" s="17"/>
      <c r="GOK111" s="17"/>
      <c r="GOL111" s="17"/>
      <c r="GOM111" s="17"/>
      <c r="GON111" s="17"/>
      <c r="GOO111" s="17"/>
      <c r="GOP111" s="17"/>
      <c r="GOQ111" s="17"/>
      <c r="GOR111" s="17"/>
      <c r="GOS111" s="17"/>
      <c r="GOT111" s="17"/>
      <c r="GOU111" s="17"/>
      <c r="GOV111" s="17"/>
      <c r="GOW111" s="17"/>
      <c r="GOX111" s="17"/>
      <c r="GOY111" s="17"/>
      <c r="GOZ111" s="17"/>
      <c r="GPA111" s="17"/>
      <c r="GPB111" s="17"/>
      <c r="GPC111" s="17"/>
      <c r="GPD111" s="17"/>
      <c r="GPE111" s="17"/>
      <c r="GPF111" s="17"/>
      <c r="GPG111" s="17"/>
      <c r="GPH111" s="17"/>
      <c r="GPI111" s="17"/>
      <c r="GPJ111" s="17"/>
      <c r="GPK111" s="17"/>
      <c r="GPL111" s="17"/>
      <c r="GPM111" s="17"/>
      <c r="GPN111" s="17"/>
      <c r="GPO111" s="17"/>
      <c r="GPP111" s="17"/>
      <c r="GPQ111" s="17"/>
      <c r="GPR111" s="17"/>
      <c r="GPS111" s="17"/>
      <c r="GPT111" s="17"/>
      <c r="GPU111" s="17"/>
      <c r="GPV111" s="17"/>
      <c r="GPW111" s="17"/>
      <c r="GPX111" s="17"/>
      <c r="GPY111" s="17"/>
      <c r="GPZ111" s="17"/>
      <c r="GQA111" s="17"/>
      <c r="GQB111" s="17"/>
      <c r="GQC111" s="17"/>
      <c r="GQD111" s="17"/>
      <c r="GQE111" s="17"/>
      <c r="GQF111" s="17"/>
      <c r="GQG111" s="17"/>
      <c r="GQH111" s="17"/>
      <c r="GQI111" s="17"/>
      <c r="GQJ111" s="17"/>
      <c r="GQK111" s="17"/>
      <c r="GQL111" s="17"/>
      <c r="GQM111" s="17"/>
      <c r="GQN111" s="17"/>
      <c r="GQO111" s="17"/>
      <c r="GQP111" s="17"/>
      <c r="GQQ111" s="17"/>
      <c r="GQR111" s="17"/>
      <c r="GQS111" s="17"/>
      <c r="GQT111" s="17"/>
      <c r="GQU111" s="17"/>
      <c r="GQV111" s="17"/>
      <c r="GQW111" s="17"/>
      <c r="GQX111" s="17"/>
      <c r="GQY111" s="17"/>
      <c r="GQZ111" s="17"/>
      <c r="GRA111" s="17"/>
      <c r="GRB111" s="17"/>
      <c r="GRC111" s="17"/>
      <c r="GRD111" s="17"/>
      <c r="GRE111" s="17"/>
      <c r="GRF111" s="17"/>
      <c r="GRG111" s="17"/>
      <c r="GRH111" s="17"/>
      <c r="GRI111" s="17"/>
      <c r="GRJ111" s="17"/>
      <c r="GRK111" s="17"/>
      <c r="GRL111" s="17"/>
      <c r="GRM111" s="17"/>
      <c r="GRN111" s="17"/>
      <c r="GRO111" s="17"/>
      <c r="GRP111" s="17"/>
      <c r="GRQ111" s="17"/>
      <c r="GRR111" s="17"/>
      <c r="GRS111" s="17"/>
      <c r="GRT111" s="17"/>
      <c r="GRU111" s="17"/>
      <c r="GRV111" s="17"/>
      <c r="GRW111" s="17"/>
      <c r="GRX111" s="17"/>
      <c r="GRY111" s="17"/>
      <c r="GRZ111" s="17"/>
      <c r="GSA111" s="17"/>
      <c r="GSB111" s="17"/>
      <c r="GSC111" s="17"/>
      <c r="GSD111" s="17"/>
      <c r="GSE111" s="17"/>
      <c r="GSF111" s="17"/>
      <c r="GSG111" s="17"/>
      <c r="GSH111" s="17"/>
      <c r="GSI111" s="17"/>
      <c r="GSJ111" s="17"/>
      <c r="GSK111" s="17"/>
      <c r="GSL111" s="17"/>
      <c r="GSM111" s="17"/>
      <c r="GSN111" s="17"/>
      <c r="GSO111" s="17"/>
      <c r="GSP111" s="17"/>
      <c r="GSQ111" s="17"/>
      <c r="GSR111" s="17"/>
      <c r="GSS111" s="17"/>
      <c r="GST111" s="17"/>
      <c r="GSU111" s="17"/>
      <c r="GSV111" s="17"/>
      <c r="GSW111" s="17"/>
      <c r="GSX111" s="17"/>
      <c r="GSY111" s="17"/>
      <c r="GSZ111" s="17"/>
      <c r="GTA111" s="17"/>
      <c r="GTB111" s="17"/>
      <c r="GTC111" s="17"/>
      <c r="GTD111" s="17"/>
      <c r="GTE111" s="17"/>
      <c r="GTF111" s="17"/>
      <c r="GTG111" s="17"/>
      <c r="GTH111" s="17"/>
      <c r="GTI111" s="17"/>
      <c r="GTJ111" s="17"/>
      <c r="GTK111" s="17"/>
      <c r="GTL111" s="17"/>
      <c r="GTM111" s="17"/>
      <c r="GTN111" s="17"/>
      <c r="GTO111" s="17"/>
      <c r="GTP111" s="17"/>
      <c r="GTQ111" s="17"/>
      <c r="GTR111" s="17"/>
      <c r="GTS111" s="17"/>
      <c r="GTT111" s="17"/>
      <c r="GTU111" s="17"/>
      <c r="GTV111" s="17"/>
      <c r="GTW111" s="17"/>
      <c r="GTX111" s="17"/>
      <c r="GTY111" s="17"/>
      <c r="GTZ111" s="17"/>
      <c r="GUA111" s="17"/>
      <c r="GUB111" s="17"/>
      <c r="GUC111" s="17"/>
      <c r="GUD111" s="17"/>
      <c r="GUE111" s="17"/>
      <c r="GUF111" s="17"/>
      <c r="GUG111" s="17"/>
      <c r="GUH111" s="17"/>
      <c r="GUI111" s="17"/>
      <c r="GUJ111" s="17"/>
      <c r="GUK111" s="17"/>
      <c r="GUL111" s="17"/>
      <c r="GUM111" s="17"/>
      <c r="GUN111" s="17"/>
      <c r="GUO111" s="17"/>
      <c r="GUP111" s="17"/>
      <c r="GUQ111" s="17"/>
      <c r="GUR111" s="17"/>
      <c r="GUS111" s="17"/>
      <c r="GUT111" s="17"/>
      <c r="GUU111" s="17"/>
      <c r="GUV111" s="17"/>
      <c r="GUW111" s="17"/>
      <c r="GUX111" s="17"/>
      <c r="GUY111" s="17"/>
      <c r="GUZ111" s="17"/>
      <c r="GVA111" s="17"/>
      <c r="GVB111" s="17"/>
      <c r="GVC111" s="17"/>
      <c r="GVD111" s="17"/>
      <c r="GVE111" s="17"/>
      <c r="GVF111" s="17"/>
      <c r="GVG111" s="17"/>
      <c r="GVH111" s="17"/>
      <c r="GVI111" s="17"/>
      <c r="GVJ111" s="17"/>
      <c r="GVK111" s="17"/>
      <c r="GVL111" s="17"/>
      <c r="GVM111" s="17"/>
      <c r="GVN111" s="17"/>
      <c r="GVO111" s="17"/>
      <c r="GVP111" s="17"/>
      <c r="GVQ111" s="17"/>
      <c r="GVR111" s="17"/>
      <c r="GVS111" s="17"/>
      <c r="GVT111" s="17"/>
      <c r="GVU111" s="17"/>
      <c r="GVV111" s="17"/>
      <c r="GVW111" s="17"/>
      <c r="GVX111" s="17"/>
      <c r="GVY111" s="17"/>
      <c r="GVZ111" s="17"/>
      <c r="GWA111" s="17"/>
      <c r="GWB111" s="17"/>
      <c r="GWC111" s="17"/>
      <c r="GWD111" s="17"/>
      <c r="GWE111" s="17"/>
      <c r="GWF111" s="17"/>
      <c r="GWG111" s="17"/>
      <c r="GWH111" s="17"/>
      <c r="GWI111" s="17"/>
      <c r="GWJ111" s="17"/>
      <c r="GWK111" s="17"/>
      <c r="GWL111" s="17"/>
      <c r="GWM111" s="17"/>
      <c r="GWN111" s="17"/>
      <c r="GWO111" s="17"/>
      <c r="GWP111" s="17"/>
      <c r="GWQ111" s="17"/>
      <c r="GWR111" s="17"/>
      <c r="GWS111" s="17"/>
      <c r="GWT111" s="17"/>
      <c r="GWU111" s="17"/>
      <c r="GWV111" s="17"/>
      <c r="GWW111" s="17"/>
      <c r="GWX111" s="17"/>
      <c r="GWY111" s="17"/>
      <c r="GWZ111" s="17"/>
      <c r="GXA111" s="17"/>
      <c r="GXB111" s="17"/>
      <c r="GXC111" s="17"/>
      <c r="GXD111" s="17"/>
      <c r="GXE111" s="17"/>
      <c r="GXF111" s="17"/>
      <c r="GXG111" s="17"/>
      <c r="GXH111" s="17"/>
      <c r="GXI111" s="17"/>
      <c r="GXJ111" s="17"/>
      <c r="GXK111" s="17"/>
      <c r="GXL111" s="17"/>
      <c r="GXM111" s="17"/>
      <c r="GXN111" s="17"/>
      <c r="GXO111" s="17"/>
      <c r="GXP111" s="17"/>
      <c r="GXQ111" s="17"/>
      <c r="GXR111" s="17"/>
      <c r="GXS111" s="17"/>
      <c r="GXT111" s="17"/>
      <c r="GXU111" s="17"/>
      <c r="GXV111" s="17"/>
      <c r="GXW111" s="17"/>
      <c r="GXX111" s="17"/>
      <c r="GXY111" s="17"/>
      <c r="GXZ111" s="17"/>
      <c r="GYA111" s="17"/>
      <c r="GYB111" s="17"/>
      <c r="GYC111" s="17"/>
      <c r="GYD111" s="17"/>
      <c r="GYE111" s="17"/>
      <c r="GYF111" s="17"/>
      <c r="GYG111" s="17"/>
      <c r="GYH111" s="17"/>
      <c r="GYI111" s="17"/>
      <c r="GYJ111" s="17"/>
      <c r="GYK111" s="17"/>
      <c r="GYL111" s="17"/>
      <c r="GYM111" s="17"/>
      <c r="GYN111" s="17"/>
      <c r="GYO111" s="17"/>
      <c r="GYP111" s="17"/>
      <c r="GYQ111" s="17"/>
      <c r="GYR111" s="17"/>
      <c r="GYS111" s="17"/>
      <c r="GYT111" s="17"/>
      <c r="GYU111" s="17"/>
      <c r="GYV111" s="17"/>
      <c r="GYW111" s="17"/>
      <c r="GYX111" s="17"/>
      <c r="GYY111" s="17"/>
      <c r="GYZ111" s="17"/>
      <c r="GZA111" s="17"/>
      <c r="GZB111" s="17"/>
      <c r="GZC111" s="17"/>
      <c r="GZD111" s="17"/>
      <c r="GZE111" s="17"/>
      <c r="GZF111" s="17"/>
      <c r="GZG111" s="17"/>
      <c r="GZH111" s="17"/>
      <c r="GZI111" s="17"/>
      <c r="GZJ111" s="17"/>
      <c r="GZK111" s="17"/>
      <c r="GZL111" s="17"/>
      <c r="GZM111" s="17"/>
      <c r="GZN111" s="17"/>
      <c r="GZO111" s="17"/>
      <c r="GZP111" s="17"/>
      <c r="GZQ111" s="17"/>
      <c r="GZR111" s="17"/>
      <c r="GZS111" s="17"/>
      <c r="GZT111" s="17"/>
      <c r="GZU111" s="17"/>
      <c r="GZV111" s="17"/>
      <c r="GZW111" s="17"/>
      <c r="GZX111" s="17"/>
      <c r="GZY111" s="17"/>
      <c r="GZZ111" s="17"/>
      <c r="HAA111" s="17"/>
      <c r="HAB111" s="17"/>
      <c r="HAC111" s="17"/>
      <c r="HAD111" s="17"/>
      <c r="HAE111" s="17"/>
      <c r="HAF111" s="17"/>
      <c r="HAG111" s="17"/>
      <c r="HAH111" s="17"/>
      <c r="HAI111" s="17"/>
      <c r="HAJ111" s="17"/>
      <c r="HAK111" s="17"/>
      <c r="HAL111" s="17"/>
      <c r="HAM111" s="17"/>
      <c r="HAN111" s="17"/>
      <c r="HAO111" s="17"/>
      <c r="HAP111" s="17"/>
      <c r="HAQ111" s="17"/>
      <c r="HAR111" s="17"/>
      <c r="HAS111" s="17"/>
      <c r="HAT111" s="17"/>
      <c r="HAU111" s="17"/>
      <c r="HAV111" s="17"/>
      <c r="HAW111" s="17"/>
      <c r="HAX111" s="17"/>
      <c r="HAY111" s="17"/>
      <c r="HAZ111" s="17"/>
      <c r="HBA111" s="17"/>
      <c r="HBB111" s="17"/>
      <c r="HBC111" s="17"/>
      <c r="HBD111" s="17"/>
      <c r="HBE111" s="17"/>
      <c r="HBF111" s="17"/>
      <c r="HBG111" s="17"/>
      <c r="HBH111" s="17"/>
      <c r="HBI111" s="17"/>
      <c r="HBJ111" s="17"/>
      <c r="HBK111" s="17"/>
      <c r="HBL111" s="17"/>
      <c r="HBM111" s="17"/>
      <c r="HBN111" s="17"/>
      <c r="HBO111" s="17"/>
      <c r="HBP111" s="17"/>
      <c r="HBQ111" s="17"/>
      <c r="HBR111" s="17"/>
      <c r="HBS111" s="17"/>
      <c r="HBT111" s="17"/>
      <c r="HBU111" s="17"/>
      <c r="HBV111" s="17"/>
      <c r="HBW111" s="17"/>
      <c r="HBX111" s="17"/>
      <c r="HBY111" s="17"/>
      <c r="HBZ111" s="17"/>
      <c r="HCA111" s="17"/>
      <c r="HCB111" s="17"/>
      <c r="HCC111" s="17"/>
      <c r="HCD111" s="17"/>
      <c r="HCE111" s="17"/>
      <c r="HCF111" s="17"/>
      <c r="HCG111" s="17"/>
      <c r="HCH111" s="17"/>
      <c r="HCI111" s="17"/>
      <c r="HCJ111" s="17"/>
      <c r="HCK111" s="17"/>
      <c r="HCL111" s="17"/>
      <c r="HCM111" s="17"/>
      <c r="HCN111" s="17"/>
      <c r="HCO111" s="17"/>
      <c r="HCP111" s="17"/>
      <c r="HCQ111" s="17"/>
      <c r="HCR111" s="17"/>
      <c r="HCS111" s="17"/>
      <c r="HCT111" s="17"/>
      <c r="HCU111" s="17"/>
      <c r="HCV111" s="17"/>
      <c r="HCW111" s="17"/>
      <c r="HCX111" s="17"/>
      <c r="HCY111" s="17"/>
      <c r="HCZ111" s="17"/>
      <c r="HDA111" s="17"/>
      <c r="HDB111" s="17"/>
      <c r="HDC111" s="17"/>
      <c r="HDD111" s="17"/>
      <c r="HDE111" s="17"/>
      <c r="HDF111" s="17"/>
      <c r="HDG111" s="17"/>
      <c r="HDH111" s="17"/>
      <c r="HDI111" s="17"/>
      <c r="HDJ111" s="17"/>
      <c r="HDK111" s="17"/>
      <c r="HDL111" s="17"/>
      <c r="HDM111" s="17"/>
      <c r="HDN111" s="17"/>
      <c r="HDO111" s="17"/>
      <c r="HDP111" s="17"/>
      <c r="HDQ111" s="17"/>
      <c r="HDR111" s="17"/>
      <c r="HDS111" s="17"/>
      <c r="HDT111" s="17"/>
      <c r="HDU111" s="17"/>
      <c r="HDV111" s="17"/>
      <c r="HDW111" s="17"/>
      <c r="HDX111" s="17"/>
      <c r="HDY111" s="17"/>
      <c r="HDZ111" s="17"/>
      <c r="HEA111" s="17"/>
      <c r="HEB111" s="17"/>
      <c r="HEC111" s="17"/>
      <c r="HED111" s="17"/>
      <c r="HEE111" s="17"/>
      <c r="HEF111" s="17"/>
      <c r="HEG111" s="17"/>
      <c r="HEH111" s="17"/>
      <c r="HEI111" s="17"/>
      <c r="HEJ111" s="17"/>
      <c r="HEK111" s="17"/>
      <c r="HEL111" s="17"/>
      <c r="HEM111" s="17"/>
      <c r="HEN111" s="17"/>
      <c r="HEO111" s="17"/>
      <c r="HEP111" s="17"/>
      <c r="HEQ111" s="17"/>
      <c r="HER111" s="17"/>
      <c r="HES111" s="17"/>
      <c r="HET111" s="17"/>
      <c r="HEU111" s="17"/>
      <c r="HEV111" s="17"/>
      <c r="HEW111" s="17"/>
      <c r="HEX111" s="17"/>
      <c r="HEY111" s="17"/>
      <c r="HEZ111" s="17"/>
      <c r="HFA111" s="17"/>
      <c r="HFB111" s="17"/>
      <c r="HFC111" s="17"/>
      <c r="HFD111" s="17"/>
      <c r="HFE111" s="17"/>
      <c r="HFF111" s="17"/>
      <c r="HFG111" s="17"/>
      <c r="HFH111" s="17"/>
      <c r="HFI111" s="17"/>
      <c r="HFJ111" s="17"/>
      <c r="HFK111" s="17"/>
      <c r="HFL111" s="17"/>
      <c r="HFM111" s="17"/>
      <c r="HFN111" s="17"/>
      <c r="HFO111" s="17"/>
      <c r="HFP111" s="17"/>
      <c r="HFQ111" s="17"/>
      <c r="HFR111" s="17"/>
      <c r="HFS111" s="17"/>
      <c r="HFT111" s="17"/>
      <c r="HFU111" s="17"/>
      <c r="HFV111" s="17"/>
      <c r="HFW111" s="17"/>
      <c r="HFX111" s="17"/>
      <c r="HFY111" s="17"/>
      <c r="HFZ111" s="17"/>
      <c r="HGA111" s="17"/>
      <c r="HGB111" s="17"/>
      <c r="HGC111" s="17"/>
      <c r="HGD111" s="17"/>
      <c r="HGE111" s="17"/>
      <c r="HGF111" s="17"/>
      <c r="HGG111" s="17"/>
      <c r="HGH111" s="17"/>
      <c r="HGI111" s="17"/>
      <c r="HGJ111" s="17"/>
      <c r="HGK111" s="17"/>
      <c r="HGL111" s="17"/>
      <c r="HGM111" s="17"/>
      <c r="HGN111" s="17"/>
      <c r="HGO111" s="17"/>
      <c r="HGP111" s="17"/>
      <c r="HGQ111" s="17"/>
      <c r="HGR111" s="17"/>
      <c r="HGS111" s="17"/>
      <c r="HGT111" s="17"/>
      <c r="HGU111" s="17"/>
      <c r="HGV111" s="17"/>
      <c r="HGW111" s="17"/>
      <c r="HGX111" s="17"/>
      <c r="HGY111" s="17"/>
      <c r="HGZ111" s="17"/>
      <c r="HHA111" s="17"/>
      <c r="HHB111" s="17"/>
      <c r="HHC111" s="17"/>
      <c r="HHD111" s="17"/>
      <c r="HHE111" s="17"/>
      <c r="HHF111" s="17"/>
      <c r="HHG111" s="17"/>
      <c r="HHH111" s="17"/>
      <c r="HHI111" s="17"/>
      <c r="HHJ111" s="17"/>
      <c r="HHK111" s="17"/>
      <c r="HHL111" s="17"/>
      <c r="HHM111" s="17"/>
      <c r="HHN111" s="17"/>
      <c r="HHO111" s="17"/>
      <c r="HHP111" s="17"/>
      <c r="HHQ111" s="17"/>
      <c r="HHR111" s="17"/>
      <c r="HHS111" s="17"/>
      <c r="HHT111" s="17"/>
      <c r="HHU111" s="17"/>
      <c r="HHV111" s="17"/>
      <c r="HHW111" s="17"/>
      <c r="HHX111" s="17"/>
      <c r="HHY111" s="17"/>
      <c r="HHZ111" s="17"/>
      <c r="HIA111" s="17"/>
      <c r="HIB111" s="17"/>
      <c r="HIC111" s="17"/>
      <c r="HID111" s="17"/>
      <c r="HIE111" s="17"/>
      <c r="HIF111" s="17"/>
      <c r="HIG111" s="17"/>
      <c r="HIH111" s="17"/>
      <c r="HII111" s="17"/>
      <c r="HIJ111" s="17"/>
      <c r="HIK111" s="17"/>
      <c r="HIL111" s="17"/>
      <c r="HIM111" s="17"/>
      <c r="HIN111" s="17"/>
      <c r="HIO111" s="17"/>
      <c r="HIP111" s="17"/>
      <c r="HIQ111" s="17"/>
      <c r="HIR111" s="17"/>
      <c r="HIS111" s="17"/>
      <c r="HIT111" s="17"/>
      <c r="HIU111" s="17"/>
      <c r="HIV111" s="17"/>
      <c r="HIW111" s="17"/>
      <c r="HIX111" s="17"/>
      <c r="HIY111" s="17"/>
      <c r="HIZ111" s="17"/>
      <c r="HJA111" s="17"/>
      <c r="HJB111" s="17"/>
      <c r="HJC111" s="17"/>
      <c r="HJD111" s="17"/>
      <c r="HJE111" s="17"/>
      <c r="HJF111" s="17"/>
      <c r="HJG111" s="17"/>
      <c r="HJH111" s="17"/>
      <c r="HJI111" s="17"/>
      <c r="HJJ111" s="17"/>
      <c r="HJK111" s="17"/>
      <c r="HJL111" s="17"/>
      <c r="HJM111" s="17"/>
      <c r="HJN111" s="17"/>
      <c r="HJO111" s="17"/>
      <c r="HJP111" s="17"/>
      <c r="HJQ111" s="17"/>
      <c r="HJR111" s="17"/>
      <c r="HJS111" s="17"/>
      <c r="HJT111" s="17"/>
      <c r="HJU111" s="17"/>
      <c r="HJV111" s="17"/>
      <c r="HJW111" s="17"/>
      <c r="HJX111" s="17"/>
      <c r="HJY111" s="17"/>
      <c r="HJZ111" s="17"/>
      <c r="HKA111" s="17"/>
      <c r="HKB111" s="17"/>
      <c r="HKC111" s="17"/>
      <c r="HKD111" s="17"/>
      <c r="HKE111" s="17"/>
      <c r="HKF111" s="17"/>
      <c r="HKG111" s="17"/>
      <c r="HKH111" s="17"/>
      <c r="HKI111" s="17"/>
      <c r="HKJ111" s="17"/>
      <c r="HKK111" s="17"/>
      <c r="HKL111" s="17"/>
      <c r="HKM111" s="17"/>
      <c r="HKN111" s="17"/>
      <c r="HKO111" s="17"/>
      <c r="HKP111" s="17"/>
      <c r="HKQ111" s="17"/>
      <c r="HKR111" s="17"/>
      <c r="HKS111" s="17"/>
      <c r="HKT111" s="17"/>
      <c r="HKU111" s="17"/>
      <c r="HKV111" s="17"/>
      <c r="HKW111" s="17"/>
      <c r="HKX111" s="17"/>
      <c r="HKY111" s="17"/>
      <c r="HKZ111" s="17"/>
      <c r="HLA111" s="17"/>
      <c r="HLB111" s="17"/>
      <c r="HLC111" s="17"/>
      <c r="HLD111" s="17"/>
      <c r="HLE111" s="17"/>
      <c r="HLF111" s="17"/>
      <c r="HLG111" s="17"/>
      <c r="HLH111" s="17"/>
      <c r="HLI111" s="17"/>
      <c r="HLJ111" s="17"/>
      <c r="HLK111" s="17"/>
      <c r="HLL111" s="17"/>
      <c r="HLM111" s="17"/>
      <c r="HLN111" s="17"/>
      <c r="HLO111" s="17"/>
      <c r="HLP111" s="17"/>
      <c r="HLQ111" s="17"/>
      <c r="HLR111" s="17"/>
      <c r="HLS111" s="17"/>
      <c r="HLT111" s="17"/>
      <c r="HLU111" s="17"/>
      <c r="HLV111" s="17"/>
      <c r="HLW111" s="17"/>
      <c r="HLX111" s="17"/>
      <c r="HLY111" s="17"/>
      <c r="HLZ111" s="17"/>
      <c r="HMA111" s="17"/>
      <c r="HMB111" s="17"/>
      <c r="HMC111" s="17"/>
      <c r="HMD111" s="17"/>
      <c r="HME111" s="17"/>
      <c r="HMF111" s="17"/>
      <c r="HMG111" s="17"/>
      <c r="HMH111" s="17"/>
      <c r="HMI111" s="17"/>
      <c r="HMJ111" s="17"/>
      <c r="HMK111" s="17"/>
      <c r="HML111" s="17"/>
      <c r="HMM111" s="17"/>
      <c r="HMN111" s="17"/>
      <c r="HMO111" s="17"/>
      <c r="HMP111" s="17"/>
      <c r="HMQ111" s="17"/>
      <c r="HMR111" s="17"/>
      <c r="HMS111" s="17"/>
      <c r="HMT111" s="17"/>
      <c r="HMU111" s="17"/>
      <c r="HMV111" s="17"/>
      <c r="HMW111" s="17"/>
      <c r="HMX111" s="17"/>
      <c r="HMY111" s="17"/>
      <c r="HMZ111" s="17"/>
      <c r="HNA111" s="17"/>
      <c r="HNB111" s="17"/>
      <c r="HNC111" s="17"/>
      <c r="HND111" s="17"/>
      <c r="HNE111" s="17"/>
      <c r="HNF111" s="17"/>
      <c r="HNG111" s="17"/>
      <c r="HNH111" s="17"/>
      <c r="HNI111" s="17"/>
      <c r="HNJ111" s="17"/>
      <c r="HNK111" s="17"/>
      <c r="HNL111" s="17"/>
      <c r="HNM111" s="17"/>
      <c r="HNN111" s="17"/>
      <c r="HNO111" s="17"/>
      <c r="HNP111" s="17"/>
      <c r="HNQ111" s="17"/>
      <c r="HNR111" s="17"/>
      <c r="HNS111" s="17"/>
      <c r="HNT111" s="17"/>
      <c r="HNU111" s="17"/>
      <c r="HNV111" s="17"/>
      <c r="HNW111" s="17"/>
      <c r="HNX111" s="17"/>
      <c r="HNY111" s="17"/>
      <c r="HNZ111" s="17"/>
      <c r="HOA111" s="17"/>
      <c r="HOB111" s="17"/>
      <c r="HOC111" s="17"/>
      <c r="HOD111" s="17"/>
      <c r="HOE111" s="17"/>
      <c r="HOF111" s="17"/>
      <c r="HOG111" s="17"/>
      <c r="HOH111" s="17"/>
      <c r="HOI111" s="17"/>
      <c r="HOJ111" s="17"/>
      <c r="HOK111" s="17"/>
      <c r="HOL111" s="17"/>
      <c r="HOM111" s="17"/>
      <c r="HON111" s="17"/>
      <c r="HOO111" s="17"/>
      <c r="HOP111" s="17"/>
      <c r="HOQ111" s="17"/>
      <c r="HOR111" s="17"/>
      <c r="HOS111" s="17"/>
      <c r="HOT111" s="17"/>
      <c r="HOU111" s="17"/>
      <c r="HOV111" s="17"/>
      <c r="HOW111" s="17"/>
      <c r="HOX111" s="17"/>
      <c r="HOY111" s="17"/>
      <c r="HOZ111" s="17"/>
      <c r="HPA111" s="17"/>
      <c r="HPB111" s="17"/>
      <c r="HPC111" s="17"/>
      <c r="HPD111" s="17"/>
      <c r="HPE111" s="17"/>
      <c r="HPF111" s="17"/>
      <c r="HPG111" s="17"/>
      <c r="HPH111" s="17"/>
      <c r="HPI111" s="17"/>
      <c r="HPJ111" s="17"/>
      <c r="HPK111" s="17"/>
      <c r="HPL111" s="17"/>
      <c r="HPM111" s="17"/>
      <c r="HPN111" s="17"/>
      <c r="HPO111" s="17"/>
      <c r="HPP111" s="17"/>
      <c r="HPQ111" s="17"/>
      <c r="HPR111" s="17"/>
      <c r="HPS111" s="17"/>
      <c r="HPT111" s="17"/>
      <c r="HPU111" s="17"/>
      <c r="HPV111" s="17"/>
      <c r="HPW111" s="17"/>
      <c r="HPX111" s="17"/>
      <c r="HPY111" s="17"/>
      <c r="HPZ111" s="17"/>
      <c r="HQA111" s="17"/>
      <c r="HQB111" s="17"/>
      <c r="HQC111" s="17"/>
      <c r="HQD111" s="17"/>
      <c r="HQE111" s="17"/>
      <c r="HQF111" s="17"/>
      <c r="HQG111" s="17"/>
      <c r="HQH111" s="17"/>
      <c r="HQI111" s="17"/>
      <c r="HQJ111" s="17"/>
      <c r="HQK111" s="17"/>
      <c r="HQL111" s="17"/>
      <c r="HQM111" s="17"/>
      <c r="HQN111" s="17"/>
      <c r="HQO111" s="17"/>
      <c r="HQP111" s="17"/>
      <c r="HQQ111" s="17"/>
      <c r="HQR111" s="17"/>
      <c r="HQS111" s="17"/>
      <c r="HQT111" s="17"/>
      <c r="HQU111" s="17"/>
      <c r="HQV111" s="17"/>
      <c r="HQW111" s="17"/>
      <c r="HQX111" s="17"/>
      <c r="HQY111" s="17"/>
      <c r="HQZ111" s="17"/>
      <c r="HRA111" s="17"/>
      <c r="HRB111" s="17"/>
      <c r="HRC111" s="17"/>
      <c r="HRD111" s="17"/>
      <c r="HRE111" s="17"/>
      <c r="HRF111" s="17"/>
      <c r="HRG111" s="17"/>
      <c r="HRH111" s="17"/>
      <c r="HRI111" s="17"/>
      <c r="HRJ111" s="17"/>
      <c r="HRK111" s="17"/>
      <c r="HRL111" s="17"/>
      <c r="HRM111" s="17"/>
      <c r="HRN111" s="17"/>
      <c r="HRO111" s="17"/>
      <c r="HRP111" s="17"/>
      <c r="HRQ111" s="17"/>
      <c r="HRR111" s="17"/>
      <c r="HRS111" s="17"/>
      <c r="HRT111" s="17"/>
      <c r="HRU111" s="17"/>
      <c r="HRV111" s="17"/>
      <c r="HRW111" s="17"/>
      <c r="HRX111" s="17"/>
      <c r="HRY111" s="17"/>
      <c r="HRZ111" s="17"/>
      <c r="HSA111" s="17"/>
      <c r="HSB111" s="17"/>
      <c r="HSC111" s="17"/>
      <c r="HSD111" s="17"/>
      <c r="HSE111" s="17"/>
      <c r="HSF111" s="17"/>
      <c r="HSG111" s="17"/>
      <c r="HSH111" s="17"/>
      <c r="HSI111" s="17"/>
      <c r="HSJ111" s="17"/>
      <c r="HSK111" s="17"/>
      <c r="HSL111" s="17"/>
      <c r="HSM111" s="17"/>
      <c r="HSN111" s="17"/>
      <c r="HSO111" s="17"/>
      <c r="HSP111" s="17"/>
      <c r="HSQ111" s="17"/>
      <c r="HSR111" s="17"/>
      <c r="HSS111" s="17"/>
      <c r="HST111" s="17"/>
      <c r="HSU111" s="17"/>
      <c r="HSV111" s="17"/>
      <c r="HSW111" s="17"/>
      <c r="HSX111" s="17"/>
      <c r="HSY111" s="17"/>
      <c r="HSZ111" s="17"/>
      <c r="HTA111" s="17"/>
      <c r="HTB111" s="17"/>
      <c r="HTC111" s="17"/>
      <c r="HTD111" s="17"/>
      <c r="HTE111" s="17"/>
      <c r="HTF111" s="17"/>
      <c r="HTG111" s="17"/>
      <c r="HTH111" s="17"/>
      <c r="HTI111" s="17"/>
      <c r="HTJ111" s="17"/>
      <c r="HTK111" s="17"/>
      <c r="HTL111" s="17"/>
      <c r="HTM111" s="17"/>
      <c r="HTN111" s="17"/>
      <c r="HTO111" s="17"/>
      <c r="HTP111" s="17"/>
      <c r="HTQ111" s="17"/>
      <c r="HTR111" s="17"/>
      <c r="HTS111" s="17"/>
      <c r="HTT111" s="17"/>
      <c r="HTU111" s="17"/>
      <c r="HTV111" s="17"/>
      <c r="HTW111" s="17"/>
      <c r="HTX111" s="17"/>
      <c r="HTY111" s="17"/>
      <c r="HTZ111" s="17"/>
      <c r="HUA111" s="17"/>
      <c r="HUB111" s="17"/>
      <c r="HUC111" s="17"/>
      <c r="HUD111" s="17"/>
      <c r="HUE111" s="17"/>
      <c r="HUF111" s="17"/>
      <c r="HUG111" s="17"/>
      <c r="HUH111" s="17"/>
      <c r="HUI111" s="17"/>
      <c r="HUJ111" s="17"/>
      <c r="HUK111" s="17"/>
      <c r="HUL111" s="17"/>
      <c r="HUM111" s="17"/>
      <c r="HUN111" s="17"/>
      <c r="HUO111" s="17"/>
      <c r="HUP111" s="17"/>
      <c r="HUQ111" s="17"/>
      <c r="HUR111" s="17"/>
      <c r="HUS111" s="17"/>
      <c r="HUT111" s="17"/>
      <c r="HUU111" s="17"/>
      <c r="HUV111" s="17"/>
      <c r="HUW111" s="17"/>
      <c r="HUX111" s="17"/>
      <c r="HUY111" s="17"/>
      <c r="HUZ111" s="17"/>
      <c r="HVA111" s="17"/>
      <c r="HVB111" s="17"/>
      <c r="HVC111" s="17"/>
      <c r="HVD111" s="17"/>
      <c r="HVE111" s="17"/>
      <c r="HVF111" s="17"/>
      <c r="HVG111" s="17"/>
      <c r="HVH111" s="17"/>
      <c r="HVI111" s="17"/>
      <c r="HVJ111" s="17"/>
      <c r="HVK111" s="17"/>
      <c r="HVL111" s="17"/>
      <c r="HVM111" s="17"/>
      <c r="HVN111" s="17"/>
      <c r="HVO111" s="17"/>
      <c r="HVP111" s="17"/>
      <c r="HVQ111" s="17"/>
      <c r="HVR111" s="17"/>
      <c r="HVS111" s="17"/>
      <c r="HVT111" s="17"/>
      <c r="HVU111" s="17"/>
      <c r="HVV111" s="17"/>
      <c r="HVW111" s="17"/>
      <c r="HVX111" s="17"/>
      <c r="HVY111" s="17"/>
      <c r="HVZ111" s="17"/>
      <c r="HWA111" s="17"/>
      <c r="HWB111" s="17"/>
      <c r="HWC111" s="17"/>
      <c r="HWD111" s="17"/>
      <c r="HWE111" s="17"/>
      <c r="HWF111" s="17"/>
      <c r="HWG111" s="17"/>
      <c r="HWH111" s="17"/>
      <c r="HWI111" s="17"/>
      <c r="HWJ111" s="17"/>
      <c r="HWK111" s="17"/>
      <c r="HWL111" s="17"/>
      <c r="HWM111" s="17"/>
      <c r="HWN111" s="17"/>
      <c r="HWO111" s="17"/>
      <c r="HWP111" s="17"/>
      <c r="HWQ111" s="17"/>
      <c r="HWR111" s="17"/>
      <c r="HWS111" s="17"/>
      <c r="HWT111" s="17"/>
      <c r="HWU111" s="17"/>
      <c r="HWV111" s="17"/>
      <c r="HWW111" s="17"/>
      <c r="HWX111" s="17"/>
      <c r="HWY111" s="17"/>
      <c r="HWZ111" s="17"/>
      <c r="HXA111" s="17"/>
      <c r="HXB111" s="17"/>
      <c r="HXC111" s="17"/>
      <c r="HXD111" s="17"/>
      <c r="HXE111" s="17"/>
      <c r="HXF111" s="17"/>
      <c r="HXG111" s="17"/>
      <c r="HXH111" s="17"/>
      <c r="HXI111" s="17"/>
      <c r="HXJ111" s="17"/>
      <c r="HXK111" s="17"/>
      <c r="HXL111" s="17"/>
      <c r="HXM111" s="17"/>
      <c r="HXN111" s="17"/>
      <c r="HXO111" s="17"/>
      <c r="HXP111" s="17"/>
      <c r="HXQ111" s="17"/>
      <c r="HXR111" s="17"/>
      <c r="HXS111" s="17"/>
      <c r="HXT111" s="17"/>
      <c r="HXU111" s="17"/>
      <c r="HXV111" s="17"/>
      <c r="HXW111" s="17"/>
      <c r="HXX111" s="17"/>
      <c r="HXY111" s="17"/>
      <c r="HXZ111" s="17"/>
      <c r="HYA111" s="17"/>
      <c r="HYB111" s="17"/>
      <c r="HYC111" s="17"/>
      <c r="HYD111" s="17"/>
      <c r="HYE111" s="17"/>
      <c r="HYF111" s="17"/>
      <c r="HYG111" s="17"/>
      <c r="HYH111" s="17"/>
      <c r="HYI111" s="17"/>
      <c r="HYJ111" s="17"/>
      <c r="HYK111" s="17"/>
      <c r="HYL111" s="17"/>
      <c r="HYM111" s="17"/>
      <c r="HYN111" s="17"/>
      <c r="HYO111" s="17"/>
      <c r="HYP111" s="17"/>
      <c r="HYQ111" s="17"/>
      <c r="HYR111" s="17"/>
      <c r="HYS111" s="17"/>
      <c r="HYT111" s="17"/>
      <c r="HYU111" s="17"/>
      <c r="HYV111" s="17"/>
      <c r="HYW111" s="17"/>
      <c r="HYX111" s="17"/>
      <c r="HYY111" s="17"/>
      <c r="HYZ111" s="17"/>
      <c r="HZA111" s="17"/>
      <c r="HZB111" s="17"/>
      <c r="HZC111" s="17"/>
      <c r="HZD111" s="17"/>
      <c r="HZE111" s="17"/>
      <c r="HZF111" s="17"/>
      <c r="HZG111" s="17"/>
      <c r="HZH111" s="17"/>
      <c r="HZI111" s="17"/>
      <c r="HZJ111" s="17"/>
      <c r="HZK111" s="17"/>
      <c r="HZL111" s="17"/>
      <c r="HZM111" s="17"/>
      <c r="HZN111" s="17"/>
      <c r="HZO111" s="17"/>
      <c r="HZP111" s="17"/>
      <c r="HZQ111" s="17"/>
      <c r="HZR111" s="17"/>
      <c r="HZS111" s="17"/>
      <c r="HZT111" s="17"/>
      <c r="HZU111" s="17"/>
      <c r="HZV111" s="17"/>
      <c r="HZW111" s="17"/>
      <c r="HZX111" s="17"/>
      <c r="HZY111" s="17"/>
      <c r="HZZ111" s="17"/>
      <c r="IAA111" s="17"/>
      <c r="IAB111" s="17"/>
      <c r="IAC111" s="17"/>
      <c r="IAD111" s="17"/>
      <c r="IAE111" s="17"/>
      <c r="IAF111" s="17"/>
      <c r="IAG111" s="17"/>
      <c r="IAH111" s="17"/>
      <c r="IAI111" s="17"/>
      <c r="IAJ111" s="17"/>
      <c r="IAK111" s="17"/>
      <c r="IAL111" s="17"/>
      <c r="IAM111" s="17"/>
      <c r="IAN111" s="17"/>
      <c r="IAO111" s="17"/>
      <c r="IAP111" s="17"/>
      <c r="IAQ111" s="17"/>
      <c r="IAR111" s="17"/>
      <c r="IAS111" s="17"/>
      <c r="IAT111" s="17"/>
      <c r="IAU111" s="17"/>
      <c r="IAV111" s="17"/>
      <c r="IAW111" s="17"/>
      <c r="IAX111" s="17"/>
      <c r="IAY111" s="17"/>
      <c r="IAZ111" s="17"/>
      <c r="IBA111" s="17"/>
      <c r="IBB111" s="17"/>
      <c r="IBC111" s="17"/>
      <c r="IBD111" s="17"/>
      <c r="IBE111" s="17"/>
      <c r="IBF111" s="17"/>
      <c r="IBG111" s="17"/>
      <c r="IBH111" s="17"/>
      <c r="IBI111" s="17"/>
      <c r="IBJ111" s="17"/>
      <c r="IBK111" s="17"/>
      <c r="IBL111" s="17"/>
      <c r="IBM111" s="17"/>
      <c r="IBN111" s="17"/>
      <c r="IBO111" s="17"/>
      <c r="IBP111" s="17"/>
      <c r="IBQ111" s="17"/>
      <c r="IBR111" s="17"/>
      <c r="IBS111" s="17"/>
      <c r="IBT111" s="17"/>
      <c r="IBU111" s="17"/>
      <c r="IBV111" s="17"/>
      <c r="IBW111" s="17"/>
      <c r="IBX111" s="17"/>
      <c r="IBY111" s="17"/>
      <c r="IBZ111" s="17"/>
      <c r="ICA111" s="17"/>
      <c r="ICB111" s="17"/>
      <c r="ICC111" s="17"/>
      <c r="ICD111" s="17"/>
      <c r="ICE111" s="17"/>
      <c r="ICF111" s="17"/>
      <c r="ICG111" s="17"/>
      <c r="ICH111" s="17"/>
      <c r="ICI111" s="17"/>
      <c r="ICJ111" s="17"/>
      <c r="ICK111" s="17"/>
      <c r="ICL111" s="17"/>
      <c r="ICM111" s="17"/>
      <c r="ICN111" s="17"/>
      <c r="ICO111" s="17"/>
      <c r="ICP111" s="17"/>
      <c r="ICQ111" s="17"/>
      <c r="ICR111" s="17"/>
      <c r="ICS111" s="17"/>
      <c r="ICT111" s="17"/>
      <c r="ICU111" s="17"/>
      <c r="ICV111" s="17"/>
      <c r="ICW111" s="17"/>
      <c r="ICX111" s="17"/>
      <c r="ICY111" s="17"/>
      <c r="ICZ111" s="17"/>
      <c r="IDA111" s="17"/>
      <c r="IDB111" s="17"/>
      <c r="IDC111" s="17"/>
      <c r="IDD111" s="17"/>
      <c r="IDE111" s="17"/>
      <c r="IDF111" s="17"/>
      <c r="IDG111" s="17"/>
      <c r="IDH111" s="17"/>
      <c r="IDI111" s="17"/>
      <c r="IDJ111" s="17"/>
      <c r="IDK111" s="17"/>
      <c r="IDL111" s="17"/>
      <c r="IDM111" s="17"/>
      <c r="IDN111" s="17"/>
      <c r="IDO111" s="17"/>
      <c r="IDP111" s="17"/>
      <c r="IDQ111" s="17"/>
      <c r="IDR111" s="17"/>
      <c r="IDS111" s="17"/>
      <c r="IDT111" s="17"/>
      <c r="IDU111" s="17"/>
      <c r="IDV111" s="17"/>
      <c r="IDW111" s="17"/>
      <c r="IDX111" s="17"/>
      <c r="IDY111" s="17"/>
      <c r="IDZ111" s="17"/>
      <c r="IEA111" s="17"/>
      <c r="IEB111" s="17"/>
      <c r="IEC111" s="17"/>
      <c r="IED111" s="17"/>
      <c r="IEE111" s="17"/>
      <c r="IEF111" s="17"/>
      <c r="IEG111" s="17"/>
      <c r="IEH111" s="17"/>
      <c r="IEI111" s="17"/>
      <c r="IEJ111" s="17"/>
      <c r="IEK111" s="17"/>
      <c r="IEL111" s="17"/>
      <c r="IEM111" s="17"/>
      <c r="IEN111" s="17"/>
      <c r="IEO111" s="17"/>
      <c r="IEP111" s="17"/>
      <c r="IEQ111" s="17"/>
      <c r="IER111" s="17"/>
      <c r="IES111" s="17"/>
      <c r="IET111" s="17"/>
      <c r="IEU111" s="17"/>
      <c r="IEV111" s="17"/>
      <c r="IEW111" s="17"/>
      <c r="IEX111" s="17"/>
      <c r="IEY111" s="17"/>
      <c r="IEZ111" s="17"/>
      <c r="IFA111" s="17"/>
      <c r="IFB111" s="17"/>
      <c r="IFC111" s="17"/>
      <c r="IFD111" s="17"/>
      <c r="IFE111" s="17"/>
      <c r="IFF111" s="17"/>
      <c r="IFG111" s="17"/>
      <c r="IFH111" s="17"/>
      <c r="IFI111" s="17"/>
      <c r="IFJ111" s="17"/>
      <c r="IFK111" s="17"/>
      <c r="IFL111" s="17"/>
      <c r="IFM111" s="17"/>
      <c r="IFN111" s="17"/>
      <c r="IFO111" s="17"/>
      <c r="IFP111" s="17"/>
      <c r="IFQ111" s="17"/>
      <c r="IFR111" s="17"/>
      <c r="IFS111" s="17"/>
      <c r="IFT111" s="17"/>
      <c r="IFU111" s="17"/>
      <c r="IFV111" s="17"/>
      <c r="IFW111" s="17"/>
      <c r="IFX111" s="17"/>
      <c r="IFY111" s="17"/>
      <c r="IFZ111" s="17"/>
      <c r="IGA111" s="17"/>
      <c r="IGB111" s="17"/>
      <c r="IGC111" s="17"/>
      <c r="IGD111" s="17"/>
      <c r="IGE111" s="17"/>
      <c r="IGF111" s="17"/>
      <c r="IGG111" s="17"/>
      <c r="IGH111" s="17"/>
      <c r="IGI111" s="17"/>
      <c r="IGJ111" s="17"/>
      <c r="IGK111" s="17"/>
      <c r="IGL111" s="17"/>
      <c r="IGM111" s="17"/>
      <c r="IGN111" s="17"/>
      <c r="IGO111" s="17"/>
      <c r="IGP111" s="17"/>
      <c r="IGQ111" s="17"/>
      <c r="IGR111" s="17"/>
      <c r="IGS111" s="17"/>
      <c r="IGT111" s="17"/>
      <c r="IGU111" s="17"/>
      <c r="IGV111" s="17"/>
      <c r="IGW111" s="17"/>
      <c r="IGX111" s="17"/>
      <c r="IGY111" s="17"/>
      <c r="IGZ111" s="17"/>
      <c r="IHA111" s="17"/>
      <c r="IHB111" s="17"/>
      <c r="IHC111" s="17"/>
      <c r="IHD111" s="17"/>
      <c r="IHE111" s="17"/>
      <c r="IHF111" s="17"/>
      <c r="IHG111" s="17"/>
      <c r="IHH111" s="17"/>
      <c r="IHI111" s="17"/>
      <c r="IHJ111" s="17"/>
      <c r="IHK111" s="17"/>
      <c r="IHL111" s="17"/>
      <c r="IHM111" s="17"/>
      <c r="IHN111" s="17"/>
      <c r="IHO111" s="17"/>
      <c r="IHP111" s="17"/>
      <c r="IHQ111" s="17"/>
      <c r="IHR111" s="17"/>
      <c r="IHS111" s="17"/>
      <c r="IHT111" s="17"/>
      <c r="IHU111" s="17"/>
      <c r="IHV111" s="17"/>
      <c r="IHW111" s="17"/>
      <c r="IHX111" s="17"/>
      <c r="IHY111" s="17"/>
      <c r="IHZ111" s="17"/>
      <c r="IIA111" s="17"/>
      <c r="IIB111" s="17"/>
      <c r="IIC111" s="17"/>
      <c r="IID111" s="17"/>
      <c r="IIE111" s="17"/>
      <c r="IIF111" s="17"/>
      <c r="IIG111" s="17"/>
      <c r="IIH111" s="17"/>
      <c r="III111" s="17"/>
      <c r="IIJ111" s="17"/>
      <c r="IIK111" s="17"/>
      <c r="IIL111" s="17"/>
      <c r="IIM111" s="17"/>
      <c r="IIN111" s="17"/>
      <c r="IIO111" s="17"/>
      <c r="IIP111" s="17"/>
      <c r="IIQ111" s="17"/>
      <c r="IIR111" s="17"/>
      <c r="IIS111" s="17"/>
      <c r="IIT111" s="17"/>
      <c r="IIU111" s="17"/>
      <c r="IIV111" s="17"/>
      <c r="IIW111" s="17"/>
      <c r="IIX111" s="17"/>
      <c r="IIY111" s="17"/>
      <c r="IIZ111" s="17"/>
      <c r="IJA111" s="17"/>
      <c r="IJB111" s="17"/>
      <c r="IJC111" s="17"/>
      <c r="IJD111" s="17"/>
      <c r="IJE111" s="17"/>
      <c r="IJF111" s="17"/>
      <c r="IJG111" s="17"/>
      <c r="IJH111" s="17"/>
      <c r="IJI111" s="17"/>
      <c r="IJJ111" s="17"/>
      <c r="IJK111" s="17"/>
      <c r="IJL111" s="17"/>
      <c r="IJM111" s="17"/>
      <c r="IJN111" s="17"/>
      <c r="IJO111" s="17"/>
      <c r="IJP111" s="17"/>
      <c r="IJQ111" s="17"/>
      <c r="IJR111" s="17"/>
      <c r="IJS111" s="17"/>
      <c r="IJT111" s="17"/>
      <c r="IJU111" s="17"/>
      <c r="IJV111" s="17"/>
      <c r="IJW111" s="17"/>
      <c r="IJX111" s="17"/>
      <c r="IJY111" s="17"/>
      <c r="IJZ111" s="17"/>
      <c r="IKA111" s="17"/>
      <c r="IKB111" s="17"/>
      <c r="IKC111" s="17"/>
      <c r="IKD111" s="17"/>
      <c r="IKE111" s="17"/>
      <c r="IKF111" s="17"/>
      <c r="IKG111" s="17"/>
      <c r="IKH111" s="17"/>
      <c r="IKI111" s="17"/>
      <c r="IKJ111" s="17"/>
      <c r="IKK111" s="17"/>
      <c r="IKL111" s="17"/>
      <c r="IKM111" s="17"/>
      <c r="IKN111" s="17"/>
      <c r="IKO111" s="17"/>
      <c r="IKP111" s="17"/>
      <c r="IKQ111" s="17"/>
      <c r="IKR111" s="17"/>
      <c r="IKS111" s="17"/>
      <c r="IKT111" s="17"/>
      <c r="IKU111" s="17"/>
      <c r="IKV111" s="17"/>
      <c r="IKW111" s="17"/>
      <c r="IKX111" s="17"/>
      <c r="IKY111" s="17"/>
      <c r="IKZ111" s="17"/>
      <c r="ILA111" s="17"/>
      <c r="ILB111" s="17"/>
      <c r="ILC111" s="17"/>
      <c r="ILD111" s="17"/>
      <c r="ILE111" s="17"/>
      <c r="ILF111" s="17"/>
      <c r="ILG111" s="17"/>
      <c r="ILH111" s="17"/>
      <c r="ILI111" s="17"/>
      <c r="ILJ111" s="17"/>
      <c r="ILK111" s="17"/>
      <c r="ILL111" s="17"/>
      <c r="ILM111" s="17"/>
      <c r="ILN111" s="17"/>
      <c r="ILO111" s="17"/>
      <c r="ILP111" s="17"/>
      <c r="ILQ111" s="17"/>
      <c r="ILR111" s="17"/>
      <c r="ILS111" s="17"/>
      <c r="ILT111" s="17"/>
      <c r="ILU111" s="17"/>
      <c r="ILV111" s="17"/>
      <c r="ILW111" s="17"/>
      <c r="ILX111" s="17"/>
      <c r="ILY111" s="17"/>
      <c r="ILZ111" s="17"/>
      <c r="IMA111" s="17"/>
      <c r="IMB111" s="17"/>
      <c r="IMC111" s="17"/>
      <c r="IMD111" s="17"/>
      <c r="IME111" s="17"/>
      <c r="IMF111" s="17"/>
      <c r="IMG111" s="17"/>
      <c r="IMH111" s="17"/>
      <c r="IMI111" s="17"/>
      <c r="IMJ111" s="17"/>
      <c r="IMK111" s="17"/>
      <c r="IML111" s="17"/>
      <c r="IMM111" s="17"/>
      <c r="IMN111" s="17"/>
      <c r="IMO111" s="17"/>
      <c r="IMP111" s="17"/>
      <c r="IMQ111" s="17"/>
      <c r="IMR111" s="17"/>
      <c r="IMS111" s="17"/>
      <c r="IMT111" s="17"/>
      <c r="IMU111" s="17"/>
      <c r="IMV111" s="17"/>
      <c r="IMW111" s="17"/>
      <c r="IMX111" s="17"/>
      <c r="IMY111" s="17"/>
      <c r="IMZ111" s="17"/>
      <c r="INA111" s="17"/>
      <c r="INB111" s="17"/>
      <c r="INC111" s="17"/>
      <c r="IND111" s="17"/>
      <c r="INE111" s="17"/>
      <c r="INF111" s="17"/>
      <c r="ING111" s="17"/>
      <c r="INH111" s="17"/>
      <c r="INI111" s="17"/>
      <c r="INJ111" s="17"/>
      <c r="INK111" s="17"/>
      <c r="INL111" s="17"/>
      <c r="INM111" s="17"/>
      <c r="INN111" s="17"/>
      <c r="INO111" s="17"/>
      <c r="INP111" s="17"/>
      <c r="INQ111" s="17"/>
      <c r="INR111" s="17"/>
      <c r="INS111" s="17"/>
      <c r="INT111" s="17"/>
      <c r="INU111" s="17"/>
      <c r="INV111" s="17"/>
      <c r="INW111" s="17"/>
      <c r="INX111" s="17"/>
      <c r="INY111" s="17"/>
      <c r="INZ111" s="17"/>
      <c r="IOA111" s="17"/>
      <c r="IOB111" s="17"/>
      <c r="IOC111" s="17"/>
      <c r="IOD111" s="17"/>
      <c r="IOE111" s="17"/>
      <c r="IOF111" s="17"/>
      <c r="IOG111" s="17"/>
      <c r="IOH111" s="17"/>
      <c r="IOI111" s="17"/>
      <c r="IOJ111" s="17"/>
      <c r="IOK111" s="17"/>
      <c r="IOL111" s="17"/>
      <c r="IOM111" s="17"/>
      <c r="ION111" s="17"/>
      <c r="IOO111" s="17"/>
      <c r="IOP111" s="17"/>
      <c r="IOQ111" s="17"/>
      <c r="IOR111" s="17"/>
      <c r="IOS111" s="17"/>
      <c r="IOT111" s="17"/>
      <c r="IOU111" s="17"/>
      <c r="IOV111" s="17"/>
      <c r="IOW111" s="17"/>
      <c r="IOX111" s="17"/>
      <c r="IOY111" s="17"/>
      <c r="IOZ111" s="17"/>
      <c r="IPA111" s="17"/>
      <c r="IPB111" s="17"/>
      <c r="IPC111" s="17"/>
      <c r="IPD111" s="17"/>
      <c r="IPE111" s="17"/>
      <c r="IPF111" s="17"/>
      <c r="IPG111" s="17"/>
      <c r="IPH111" s="17"/>
      <c r="IPI111" s="17"/>
      <c r="IPJ111" s="17"/>
      <c r="IPK111" s="17"/>
      <c r="IPL111" s="17"/>
      <c r="IPM111" s="17"/>
      <c r="IPN111" s="17"/>
      <c r="IPO111" s="17"/>
      <c r="IPP111" s="17"/>
      <c r="IPQ111" s="17"/>
      <c r="IPR111" s="17"/>
      <c r="IPS111" s="17"/>
      <c r="IPT111" s="17"/>
      <c r="IPU111" s="17"/>
      <c r="IPV111" s="17"/>
      <c r="IPW111" s="17"/>
      <c r="IPX111" s="17"/>
      <c r="IPY111" s="17"/>
      <c r="IPZ111" s="17"/>
      <c r="IQA111" s="17"/>
      <c r="IQB111" s="17"/>
      <c r="IQC111" s="17"/>
      <c r="IQD111" s="17"/>
      <c r="IQE111" s="17"/>
      <c r="IQF111" s="17"/>
      <c r="IQG111" s="17"/>
      <c r="IQH111" s="17"/>
      <c r="IQI111" s="17"/>
      <c r="IQJ111" s="17"/>
      <c r="IQK111" s="17"/>
      <c r="IQL111" s="17"/>
      <c r="IQM111" s="17"/>
      <c r="IQN111" s="17"/>
      <c r="IQO111" s="17"/>
      <c r="IQP111" s="17"/>
      <c r="IQQ111" s="17"/>
      <c r="IQR111" s="17"/>
      <c r="IQS111" s="17"/>
      <c r="IQT111" s="17"/>
      <c r="IQU111" s="17"/>
      <c r="IQV111" s="17"/>
      <c r="IQW111" s="17"/>
      <c r="IQX111" s="17"/>
      <c r="IQY111" s="17"/>
      <c r="IQZ111" s="17"/>
      <c r="IRA111" s="17"/>
      <c r="IRB111" s="17"/>
      <c r="IRC111" s="17"/>
      <c r="IRD111" s="17"/>
      <c r="IRE111" s="17"/>
      <c r="IRF111" s="17"/>
      <c r="IRG111" s="17"/>
      <c r="IRH111" s="17"/>
      <c r="IRI111" s="17"/>
      <c r="IRJ111" s="17"/>
      <c r="IRK111" s="17"/>
      <c r="IRL111" s="17"/>
      <c r="IRM111" s="17"/>
      <c r="IRN111" s="17"/>
      <c r="IRO111" s="17"/>
      <c r="IRP111" s="17"/>
      <c r="IRQ111" s="17"/>
      <c r="IRR111" s="17"/>
      <c r="IRS111" s="17"/>
      <c r="IRT111" s="17"/>
      <c r="IRU111" s="17"/>
      <c r="IRV111" s="17"/>
      <c r="IRW111" s="17"/>
      <c r="IRX111" s="17"/>
      <c r="IRY111" s="17"/>
      <c r="IRZ111" s="17"/>
      <c r="ISA111" s="17"/>
      <c r="ISB111" s="17"/>
      <c r="ISC111" s="17"/>
      <c r="ISD111" s="17"/>
      <c r="ISE111" s="17"/>
      <c r="ISF111" s="17"/>
      <c r="ISG111" s="17"/>
      <c r="ISH111" s="17"/>
      <c r="ISI111" s="17"/>
      <c r="ISJ111" s="17"/>
      <c r="ISK111" s="17"/>
      <c r="ISL111" s="17"/>
      <c r="ISM111" s="17"/>
      <c r="ISN111" s="17"/>
      <c r="ISO111" s="17"/>
      <c r="ISP111" s="17"/>
      <c r="ISQ111" s="17"/>
      <c r="ISR111" s="17"/>
      <c r="ISS111" s="17"/>
      <c r="IST111" s="17"/>
      <c r="ISU111" s="17"/>
      <c r="ISV111" s="17"/>
      <c r="ISW111" s="17"/>
      <c r="ISX111" s="17"/>
      <c r="ISY111" s="17"/>
      <c r="ISZ111" s="17"/>
      <c r="ITA111" s="17"/>
      <c r="ITB111" s="17"/>
      <c r="ITC111" s="17"/>
      <c r="ITD111" s="17"/>
      <c r="ITE111" s="17"/>
      <c r="ITF111" s="17"/>
      <c r="ITG111" s="17"/>
      <c r="ITH111" s="17"/>
      <c r="ITI111" s="17"/>
      <c r="ITJ111" s="17"/>
      <c r="ITK111" s="17"/>
      <c r="ITL111" s="17"/>
      <c r="ITM111" s="17"/>
      <c r="ITN111" s="17"/>
      <c r="ITO111" s="17"/>
      <c r="ITP111" s="17"/>
      <c r="ITQ111" s="17"/>
      <c r="ITR111" s="17"/>
      <c r="ITS111" s="17"/>
      <c r="ITT111" s="17"/>
      <c r="ITU111" s="17"/>
      <c r="ITV111" s="17"/>
      <c r="ITW111" s="17"/>
      <c r="ITX111" s="17"/>
      <c r="ITY111" s="17"/>
      <c r="ITZ111" s="17"/>
      <c r="IUA111" s="17"/>
      <c r="IUB111" s="17"/>
      <c r="IUC111" s="17"/>
      <c r="IUD111" s="17"/>
      <c r="IUE111" s="17"/>
      <c r="IUF111" s="17"/>
      <c r="IUG111" s="17"/>
      <c r="IUH111" s="17"/>
      <c r="IUI111" s="17"/>
      <c r="IUJ111" s="17"/>
      <c r="IUK111" s="17"/>
      <c r="IUL111" s="17"/>
      <c r="IUM111" s="17"/>
      <c r="IUN111" s="17"/>
      <c r="IUO111" s="17"/>
      <c r="IUP111" s="17"/>
      <c r="IUQ111" s="17"/>
      <c r="IUR111" s="17"/>
      <c r="IUS111" s="17"/>
      <c r="IUT111" s="17"/>
      <c r="IUU111" s="17"/>
      <c r="IUV111" s="17"/>
      <c r="IUW111" s="17"/>
      <c r="IUX111" s="17"/>
      <c r="IUY111" s="17"/>
      <c r="IUZ111" s="17"/>
      <c r="IVA111" s="17"/>
      <c r="IVB111" s="17"/>
      <c r="IVC111" s="17"/>
      <c r="IVD111" s="17"/>
      <c r="IVE111" s="17"/>
      <c r="IVF111" s="17"/>
      <c r="IVG111" s="17"/>
      <c r="IVH111" s="17"/>
      <c r="IVI111" s="17"/>
      <c r="IVJ111" s="17"/>
      <c r="IVK111" s="17"/>
      <c r="IVL111" s="17"/>
      <c r="IVM111" s="17"/>
      <c r="IVN111" s="17"/>
      <c r="IVO111" s="17"/>
      <c r="IVP111" s="17"/>
      <c r="IVQ111" s="17"/>
      <c r="IVR111" s="17"/>
      <c r="IVS111" s="17"/>
      <c r="IVT111" s="17"/>
      <c r="IVU111" s="17"/>
      <c r="IVV111" s="17"/>
      <c r="IVW111" s="17"/>
      <c r="IVX111" s="17"/>
      <c r="IVY111" s="17"/>
      <c r="IVZ111" s="17"/>
      <c r="IWA111" s="17"/>
      <c r="IWB111" s="17"/>
      <c r="IWC111" s="17"/>
      <c r="IWD111" s="17"/>
      <c r="IWE111" s="17"/>
      <c r="IWF111" s="17"/>
      <c r="IWG111" s="17"/>
      <c r="IWH111" s="17"/>
      <c r="IWI111" s="17"/>
      <c r="IWJ111" s="17"/>
      <c r="IWK111" s="17"/>
      <c r="IWL111" s="17"/>
      <c r="IWM111" s="17"/>
      <c r="IWN111" s="17"/>
      <c r="IWO111" s="17"/>
      <c r="IWP111" s="17"/>
      <c r="IWQ111" s="17"/>
      <c r="IWR111" s="17"/>
      <c r="IWS111" s="17"/>
      <c r="IWT111" s="17"/>
      <c r="IWU111" s="17"/>
      <c r="IWV111" s="17"/>
      <c r="IWW111" s="17"/>
      <c r="IWX111" s="17"/>
      <c r="IWY111" s="17"/>
      <c r="IWZ111" s="17"/>
      <c r="IXA111" s="17"/>
      <c r="IXB111" s="17"/>
      <c r="IXC111" s="17"/>
      <c r="IXD111" s="17"/>
      <c r="IXE111" s="17"/>
      <c r="IXF111" s="17"/>
      <c r="IXG111" s="17"/>
      <c r="IXH111" s="17"/>
      <c r="IXI111" s="17"/>
      <c r="IXJ111" s="17"/>
      <c r="IXK111" s="17"/>
      <c r="IXL111" s="17"/>
      <c r="IXM111" s="17"/>
      <c r="IXN111" s="17"/>
      <c r="IXO111" s="17"/>
      <c r="IXP111" s="17"/>
      <c r="IXQ111" s="17"/>
      <c r="IXR111" s="17"/>
      <c r="IXS111" s="17"/>
      <c r="IXT111" s="17"/>
      <c r="IXU111" s="17"/>
      <c r="IXV111" s="17"/>
      <c r="IXW111" s="17"/>
      <c r="IXX111" s="17"/>
      <c r="IXY111" s="17"/>
      <c r="IXZ111" s="17"/>
      <c r="IYA111" s="17"/>
      <c r="IYB111" s="17"/>
      <c r="IYC111" s="17"/>
      <c r="IYD111" s="17"/>
      <c r="IYE111" s="17"/>
      <c r="IYF111" s="17"/>
      <c r="IYG111" s="17"/>
      <c r="IYH111" s="17"/>
      <c r="IYI111" s="17"/>
      <c r="IYJ111" s="17"/>
      <c r="IYK111" s="17"/>
      <c r="IYL111" s="17"/>
      <c r="IYM111" s="17"/>
      <c r="IYN111" s="17"/>
      <c r="IYO111" s="17"/>
      <c r="IYP111" s="17"/>
      <c r="IYQ111" s="17"/>
      <c r="IYR111" s="17"/>
      <c r="IYS111" s="17"/>
      <c r="IYT111" s="17"/>
      <c r="IYU111" s="17"/>
      <c r="IYV111" s="17"/>
      <c r="IYW111" s="17"/>
      <c r="IYX111" s="17"/>
      <c r="IYY111" s="17"/>
      <c r="IYZ111" s="17"/>
      <c r="IZA111" s="17"/>
      <c r="IZB111" s="17"/>
      <c r="IZC111" s="17"/>
      <c r="IZD111" s="17"/>
      <c r="IZE111" s="17"/>
      <c r="IZF111" s="17"/>
      <c r="IZG111" s="17"/>
      <c r="IZH111" s="17"/>
      <c r="IZI111" s="17"/>
      <c r="IZJ111" s="17"/>
      <c r="IZK111" s="17"/>
      <c r="IZL111" s="17"/>
      <c r="IZM111" s="17"/>
      <c r="IZN111" s="17"/>
      <c r="IZO111" s="17"/>
      <c r="IZP111" s="17"/>
      <c r="IZQ111" s="17"/>
      <c r="IZR111" s="17"/>
      <c r="IZS111" s="17"/>
      <c r="IZT111" s="17"/>
      <c r="IZU111" s="17"/>
      <c r="IZV111" s="17"/>
      <c r="IZW111" s="17"/>
      <c r="IZX111" s="17"/>
      <c r="IZY111" s="17"/>
      <c r="IZZ111" s="17"/>
      <c r="JAA111" s="17"/>
      <c r="JAB111" s="17"/>
      <c r="JAC111" s="17"/>
      <c r="JAD111" s="17"/>
      <c r="JAE111" s="17"/>
      <c r="JAF111" s="17"/>
      <c r="JAG111" s="17"/>
      <c r="JAH111" s="17"/>
      <c r="JAI111" s="17"/>
      <c r="JAJ111" s="17"/>
      <c r="JAK111" s="17"/>
      <c r="JAL111" s="17"/>
      <c r="JAM111" s="17"/>
      <c r="JAN111" s="17"/>
      <c r="JAO111" s="17"/>
      <c r="JAP111" s="17"/>
      <c r="JAQ111" s="17"/>
      <c r="JAR111" s="17"/>
      <c r="JAS111" s="17"/>
      <c r="JAT111" s="17"/>
      <c r="JAU111" s="17"/>
      <c r="JAV111" s="17"/>
      <c r="JAW111" s="17"/>
      <c r="JAX111" s="17"/>
      <c r="JAY111" s="17"/>
      <c r="JAZ111" s="17"/>
      <c r="JBA111" s="17"/>
      <c r="JBB111" s="17"/>
      <c r="JBC111" s="17"/>
      <c r="JBD111" s="17"/>
      <c r="JBE111" s="17"/>
      <c r="JBF111" s="17"/>
      <c r="JBG111" s="17"/>
      <c r="JBH111" s="17"/>
      <c r="JBI111" s="17"/>
      <c r="JBJ111" s="17"/>
      <c r="JBK111" s="17"/>
      <c r="JBL111" s="17"/>
      <c r="JBM111" s="17"/>
      <c r="JBN111" s="17"/>
      <c r="JBO111" s="17"/>
      <c r="JBP111" s="17"/>
      <c r="JBQ111" s="17"/>
      <c r="JBR111" s="17"/>
      <c r="JBS111" s="17"/>
      <c r="JBT111" s="17"/>
      <c r="JBU111" s="17"/>
      <c r="JBV111" s="17"/>
      <c r="JBW111" s="17"/>
      <c r="JBX111" s="17"/>
      <c r="JBY111" s="17"/>
      <c r="JBZ111" s="17"/>
      <c r="JCA111" s="17"/>
      <c r="JCB111" s="17"/>
      <c r="JCC111" s="17"/>
      <c r="JCD111" s="17"/>
      <c r="JCE111" s="17"/>
      <c r="JCF111" s="17"/>
      <c r="JCG111" s="17"/>
      <c r="JCH111" s="17"/>
      <c r="JCI111" s="17"/>
      <c r="JCJ111" s="17"/>
      <c r="JCK111" s="17"/>
      <c r="JCL111" s="17"/>
      <c r="JCM111" s="17"/>
      <c r="JCN111" s="17"/>
      <c r="JCO111" s="17"/>
      <c r="JCP111" s="17"/>
      <c r="JCQ111" s="17"/>
      <c r="JCR111" s="17"/>
      <c r="JCS111" s="17"/>
      <c r="JCT111" s="17"/>
      <c r="JCU111" s="17"/>
      <c r="JCV111" s="17"/>
      <c r="JCW111" s="17"/>
      <c r="JCX111" s="17"/>
      <c r="JCY111" s="17"/>
      <c r="JCZ111" s="17"/>
      <c r="JDA111" s="17"/>
      <c r="JDB111" s="17"/>
      <c r="JDC111" s="17"/>
      <c r="JDD111" s="17"/>
      <c r="JDE111" s="17"/>
      <c r="JDF111" s="17"/>
      <c r="JDG111" s="17"/>
      <c r="JDH111" s="17"/>
      <c r="JDI111" s="17"/>
      <c r="JDJ111" s="17"/>
      <c r="JDK111" s="17"/>
      <c r="JDL111" s="17"/>
      <c r="JDM111" s="17"/>
      <c r="JDN111" s="17"/>
      <c r="JDO111" s="17"/>
      <c r="JDP111" s="17"/>
      <c r="JDQ111" s="17"/>
      <c r="JDR111" s="17"/>
      <c r="JDS111" s="17"/>
      <c r="JDT111" s="17"/>
      <c r="JDU111" s="17"/>
      <c r="JDV111" s="17"/>
      <c r="JDW111" s="17"/>
      <c r="JDX111" s="17"/>
      <c r="JDY111" s="17"/>
      <c r="JDZ111" s="17"/>
      <c r="JEA111" s="17"/>
      <c r="JEB111" s="17"/>
      <c r="JEC111" s="17"/>
      <c r="JED111" s="17"/>
      <c r="JEE111" s="17"/>
      <c r="JEF111" s="17"/>
      <c r="JEG111" s="17"/>
      <c r="JEH111" s="17"/>
      <c r="JEI111" s="17"/>
      <c r="JEJ111" s="17"/>
      <c r="JEK111" s="17"/>
      <c r="JEL111" s="17"/>
      <c r="JEM111" s="17"/>
      <c r="JEN111" s="17"/>
      <c r="JEO111" s="17"/>
      <c r="JEP111" s="17"/>
      <c r="JEQ111" s="17"/>
      <c r="JER111" s="17"/>
      <c r="JES111" s="17"/>
      <c r="JET111" s="17"/>
      <c r="JEU111" s="17"/>
      <c r="JEV111" s="17"/>
      <c r="JEW111" s="17"/>
      <c r="JEX111" s="17"/>
      <c r="JEY111" s="17"/>
      <c r="JEZ111" s="17"/>
      <c r="JFA111" s="17"/>
      <c r="JFB111" s="17"/>
      <c r="JFC111" s="17"/>
      <c r="JFD111" s="17"/>
      <c r="JFE111" s="17"/>
      <c r="JFF111" s="17"/>
      <c r="JFG111" s="17"/>
      <c r="JFH111" s="17"/>
      <c r="JFI111" s="17"/>
      <c r="JFJ111" s="17"/>
      <c r="JFK111" s="17"/>
      <c r="JFL111" s="17"/>
      <c r="JFM111" s="17"/>
      <c r="JFN111" s="17"/>
      <c r="JFO111" s="17"/>
      <c r="JFP111" s="17"/>
      <c r="JFQ111" s="17"/>
      <c r="JFR111" s="17"/>
      <c r="JFS111" s="17"/>
      <c r="JFT111" s="17"/>
      <c r="JFU111" s="17"/>
      <c r="JFV111" s="17"/>
      <c r="JFW111" s="17"/>
      <c r="JFX111" s="17"/>
      <c r="JFY111" s="17"/>
      <c r="JFZ111" s="17"/>
      <c r="JGA111" s="17"/>
      <c r="JGB111" s="17"/>
      <c r="JGC111" s="17"/>
      <c r="JGD111" s="17"/>
      <c r="JGE111" s="17"/>
      <c r="JGF111" s="17"/>
      <c r="JGG111" s="17"/>
      <c r="JGH111" s="17"/>
      <c r="JGI111" s="17"/>
      <c r="JGJ111" s="17"/>
      <c r="JGK111" s="17"/>
      <c r="JGL111" s="17"/>
      <c r="JGM111" s="17"/>
      <c r="JGN111" s="17"/>
      <c r="JGO111" s="17"/>
      <c r="JGP111" s="17"/>
      <c r="JGQ111" s="17"/>
      <c r="JGR111" s="17"/>
      <c r="JGS111" s="17"/>
      <c r="JGT111" s="17"/>
      <c r="JGU111" s="17"/>
      <c r="JGV111" s="17"/>
      <c r="JGW111" s="17"/>
      <c r="JGX111" s="17"/>
      <c r="JGY111" s="17"/>
      <c r="JGZ111" s="17"/>
      <c r="JHA111" s="17"/>
      <c r="JHB111" s="17"/>
      <c r="JHC111" s="17"/>
      <c r="JHD111" s="17"/>
      <c r="JHE111" s="17"/>
      <c r="JHF111" s="17"/>
      <c r="JHG111" s="17"/>
      <c r="JHH111" s="17"/>
      <c r="JHI111" s="17"/>
      <c r="JHJ111" s="17"/>
      <c r="JHK111" s="17"/>
      <c r="JHL111" s="17"/>
      <c r="JHM111" s="17"/>
      <c r="JHN111" s="17"/>
      <c r="JHO111" s="17"/>
      <c r="JHP111" s="17"/>
      <c r="JHQ111" s="17"/>
      <c r="JHR111" s="17"/>
      <c r="JHS111" s="17"/>
      <c r="JHT111" s="17"/>
      <c r="JHU111" s="17"/>
      <c r="JHV111" s="17"/>
      <c r="JHW111" s="17"/>
      <c r="JHX111" s="17"/>
      <c r="JHY111" s="17"/>
      <c r="JHZ111" s="17"/>
      <c r="JIA111" s="17"/>
      <c r="JIB111" s="17"/>
      <c r="JIC111" s="17"/>
      <c r="JID111" s="17"/>
      <c r="JIE111" s="17"/>
      <c r="JIF111" s="17"/>
      <c r="JIG111" s="17"/>
      <c r="JIH111" s="17"/>
      <c r="JII111" s="17"/>
      <c r="JIJ111" s="17"/>
      <c r="JIK111" s="17"/>
      <c r="JIL111" s="17"/>
      <c r="JIM111" s="17"/>
      <c r="JIN111" s="17"/>
      <c r="JIO111" s="17"/>
      <c r="JIP111" s="17"/>
      <c r="JIQ111" s="17"/>
      <c r="JIR111" s="17"/>
      <c r="JIS111" s="17"/>
      <c r="JIT111" s="17"/>
      <c r="JIU111" s="17"/>
      <c r="JIV111" s="17"/>
      <c r="JIW111" s="17"/>
      <c r="JIX111" s="17"/>
      <c r="JIY111" s="17"/>
      <c r="JIZ111" s="17"/>
      <c r="JJA111" s="17"/>
      <c r="JJB111" s="17"/>
      <c r="JJC111" s="17"/>
      <c r="JJD111" s="17"/>
      <c r="JJE111" s="17"/>
      <c r="JJF111" s="17"/>
      <c r="JJG111" s="17"/>
      <c r="JJH111" s="17"/>
      <c r="JJI111" s="17"/>
      <c r="JJJ111" s="17"/>
      <c r="JJK111" s="17"/>
      <c r="JJL111" s="17"/>
      <c r="JJM111" s="17"/>
      <c r="JJN111" s="17"/>
      <c r="JJO111" s="17"/>
      <c r="JJP111" s="17"/>
      <c r="JJQ111" s="17"/>
      <c r="JJR111" s="17"/>
      <c r="JJS111" s="17"/>
      <c r="JJT111" s="17"/>
      <c r="JJU111" s="17"/>
      <c r="JJV111" s="17"/>
      <c r="JJW111" s="17"/>
      <c r="JJX111" s="17"/>
      <c r="JJY111" s="17"/>
      <c r="JJZ111" s="17"/>
      <c r="JKA111" s="17"/>
      <c r="JKB111" s="17"/>
      <c r="JKC111" s="17"/>
      <c r="JKD111" s="17"/>
      <c r="JKE111" s="17"/>
      <c r="JKF111" s="17"/>
      <c r="JKG111" s="17"/>
      <c r="JKH111" s="17"/>
      <c r="JKI111" s="17"/>
      <c r="JKJ111" s="17"/>
      <c r="JKK111" s="17"/>
      <c r="JKL111" s="17"/>
      <c r="JKM111" s="17"/>
      <c r="JKN111" s="17"/>
      <c r="JKO111" s="17"/>
      <c r="JKP111" s="17"/>
      <c r="JKQ111" s="17"/>
      <c r="JKR111" s="17"/>
      <c r="JKS111" s="17"/>
      <c r="JKT111" s="17"/>
      <c r="JKU111" s="17"/>
      <c r="JKV111" s="17"/>
      <c r="JKW111" s="17"/>
      <c r="JKX111" s="17"/>
      <c r="JKY111" s="17"/>
      <c r="JKZ111" s="17"/>
      <c r="JLA111" s="17"/>
      <c r="JLB111" s="17"/>
      <c r="JLC111" s="17"/>
      <c r="JLD111" s="17"/>
      <c r="JLE111" s="17"/>
      <c r="JLF111" s="17"/>
      <c r="JLG111" s="17"/>
      <c r="JLH111" s="17"/>
      <c r="JLI111" s="17"/>
      <c r="JLJ111" s="17"/>
      <c r="JLK111" s="17"/>
      <c r="JLL111" s="17"/>
      <c r="JLM111" s="17"/>
      <c r="JLN111" s="17"/>
      <c r="JLO111" s="17"/>
      <c r="JLP111" s="17"/>
      <c r="JLQ111" s="17"/>
      <c r="JLR111" s="17"/>
      <c r="JLS111" s="17"/>
      <c r="JLT111" s="17"/>
      <c r="JLU111" s="17"/>
      <c r="JLV111" s="17"/>
      <c r="JLW111" s="17"/>
      <c r="JLX111" s="17"/>
      <c r="JLY111" s="17"/>
      <c r="JLZ111" s="17"/>
      <c r="JMA111" s="17"/>
      <c r="JMB111" s="17"/>
      <c r="JMC111" s="17"/>
      <c r="JMD111" s="17"/>
      <c r="JME111" s="17"/>
      <c r="JMF111" s="17"/>
      <c r="JMG111" s="17"/>
      <c r="JMH111" s="17"/>
      <c r="JMI111" s="17"/>
      <c r="JMJ111" s="17"/>
      <c r="JMK111" s="17"/>
      <c r="JML111" s="17"/>
      <c r="JMM111" s="17"/>
      <c r="JMN111" s="17"/>
      <c r="JMO111" s="17"/>
      <c r="JMP111" s="17"/>
      <c r="JMQ111" s="17"/>
      <c r="JMR111" s="17"/>
      <c r="JMS111" s="17"/>
      <c r="JMT111" s="17"/>
      <c r="JMU111" s="17"/>
      <c r="JMV111" s="17"/>
      <c r="JMW111" s="17"/>
      <c r="JMX111" s="17"/>
      <c r="JMY111" s="17"/>
      <c r="JMZ111" s="17"/>
      <c r="JNA111" s="17"/>
      <c r="JNB111" s="17"/>
      <c r="JNC111" s="17"/>
      <c r="JND111" s="17"/>
      <c r="JNE111" s="17"/>
      <c r="JNF111" s="17"/>
      <c r="JNG111" s="17"/>
      <c r="JNH111" s="17"/>
      <c r="JNI111" s="17"/>
      <c r="JNJ111" s="17"/>
      <c r="JNK111" s="17"/>
      <c r="JNL111" s="17"/>
      <c r="JNM111" s="17"/>
      <c r="JNN111" s="17"/>
      <c r="JNO111" s="17"/>
      <c r="JNP111" s="17"/>
      <c r="JNQ111" s="17"/>
      <c r="JNR111" s="17"/>
      <c r="JNS111" s="17"/>
      <c r="JNT111" s="17"/>
      <c r="JNU111" s="17"/>
      <c r="JNV111" s="17"/>
      <c r="JNW111" s="17"/>
      <c r="JNX111" s="17"/>
      <c r="JNY111" s="17"/>
      <c r="JNZ111" s="17"/>
      <c r="JOA111" s="17"/>
      <c r="JOB111" s="17"/>
      <c r="JOC111" s="17"/>
      <c r="JOD111" s="17"/>
      <c r="JOE111" s="17"/>
      <c r="JOF111" s="17"/>
      <c r="JOG111" s="17"/>
      <c r="JOH111" s="17"/>
      <c r="JOI111" s="17"/>
      <c r="JOJ111" s="17"/>
      <c r="JOK111" s="17"/>
      <c r="JOL111" s="17"/>
      <c r="JOM111" s="17"/>
      <c r="JON111" s="17"/>
      <c r="JOO111" s="17"/>
      <c r="JOP111" s="17"/>
      <c r="JOQ111" s="17"/>
      <c r="JOR111" s="17"/>
      <c r="JOS111" s="17"/>
      <c r="JOT111" s="17"/>
      <c r="JOU111" s="17"/>
      <c r="JOV111" s="17"/>
      <c r="JOW111" s="17"/>
      <c r="JOX111" s="17"/>
      <c r="JOY111" s="17"/>
      <c r="JOZ111" s="17"/>
      <c r="JPA111" s="17"/>
      <c r="JPB111" s="17"/>
      <c r="JPC111" s="17"/>
      <c r="JPD111" s="17"/>
      <c r="JPE111" s="17"/>
      <c r="JPF111" s="17"/>
      <c r="JPG111" s="17"/>
      <c r="JPH111" s="17"/>
      <c r="JPI111" s="17"/>
      <c r="JPJ111" s="17"/>
      <c r="JPK111" s="17"/>
      <c r="JPL111" s="17"/>
      <c r="JPM111" s="17"/>
      <c r="JPN111" s="17"/>
      <c r="JPO111" s="17"/>
      <c r="JPP111" s="17"/>
      <c r="JPQ111" s="17"/>
      <c r="JPR111" s="17"/>
      <c r="JPS111" s="17"/>
      <c r="JPT111" s="17"/>
      <c r="JPU111" s="17"/>
      <c r="JPV111" s="17"/>
      <c r="JPW111" s="17"/>
      <c r="JPX111" s="17"/>
      <c r="JPY111" s="17"/>
      <c r="JPZ111" s="17"/>
      <c r="JQA111" s="17"/>
      <c r="JQB111" s="17"/>
      <c r="JQC111" s="17"/>
      <c r="JQD111" s="17"/>
      <c r="JQE111" s="17"/>
      <c r="JQF111" s="17"/>
      <c r="JQG111" s="17"/>
      <c r="JQH111" s="17"/>
      <c r="JQI111" s="17"/>
      <c r="JQJ111" s="17"/>
      <c r="JQK111" s="17"/>
      <c r="JQL111" s="17"/>
      <c r="JQM111" s="17"/>
      <c r="JQN111" s="17"/>
      <c r="JQO111" s="17"/>
      <c r="JQP111" s="17"/>
      <c r="JQQ111" s="17"/>
      <c r="JQR111" s="17"/>
      <c r="JQS111" s="17"/>
      <c r="JQT111" s="17"/>
      <c r="JQU111" s="17"/>
      <c r="JQV111" s="17"/>
      <c r="JQW111" s="17"/>
      <c r="JQX111" s="17"/>
      <c r="JQY111" s="17"/>
      <c r="JQZ111" s="17"/>
      <c r="JRA111" s="17"/>
      <c r="JRB111" s="17"/>
      <c r="JRC111" s="17"/>
      <c r="JRD111" s="17"/>
      <c r="JRE111" s="17"/>
      <c r="JRF111" s="17"/>
      <c r="JRG111" s="17"/>
      <c r="JRH111" s="17"/>
      <c r="JRI111" s="17"/>
      <c r="JRJ111" s="17"/>
      <c r="JRK111" s="17"/>
      <c r="JRL111" s="17"/>
      <c r="JRM111" s="17"/>
      <c r="JRN111" s="17"/>
      <c r="JRO111" s="17"/>
      <c r="JRP111" s="17"/>
      <c r="JRQ111" s="17"/>
      <c r="JRR111" s="17"/>
      <c r="JRS111" s="17"/>
      <c r="JRT111" s="17"/>
      <c r="JRU111" s="17"/>
      <c r="JRV111" s="17"/>
      <c r="JRW111" s="17"/>
      <c r="JRX111" s="17"/>
      <c r="JRY111" s="17"/>
      <c r="JRZ111" s="17"/>
      <c r="JSA111" s="17"/>
      <c r="JSB111" s="17"/>
      <c r="JSC111" s="17"/>
      <c r="JSD111" s="17"/>
      <c r="JSE111" s="17"/>
      <c r="JSF111" s="17"/>
      <c r="JSG111" s="17"/>
      <c r="JSH111" s="17"/>
      <c r="JSI111" s="17"/>
      <c r="JSJ111" s="17"/>
      <c r="JSK111" s="17"/>
      <c r="JSL111" s="17"/>
      <c r="JSM111" s="17"/>
      <c r="JSN111" s="17"/>
      <c r="JSO111" s="17"/>
      <c r="JSP111" s="17"/>
      <c r="JSQ111" s="17"/>
      <c r="JSR111" s="17"/>
      <c r="JSS111" s="17"/>
      <c r="JST111" s="17"/>
      <c r="JSU111" s="17"/>
      <c r="JSV111" s="17"/>
      <c r="JSW111" s="17"/>
      <c r="JSX111" s="17"/>
      <c r="JSY111" s="17"/>
      <c r="JSZ111" s="17"/>
      <c r="JTA111" s="17"/>
      <c r="JTB111" s="17"/>
      <c r="JTC111" s="17"/>
      <c r="JTD111" s="17"/>
      <c r="JTE111" s="17"/>
      <c r="JTF111" s="17"/>
      <c r="JTG111" s="17"/>
      <c r="JTH111" s="17"/>
      <c r="JTI111" s="17"/>
      <c r="JTJ111" s="17"/>
      <c r="JTK111" s="17"/>
      <c r="JTL111" s="17"/>
      <c r="JTM111" s="17"/>
      <c r="JTN111" s="17"/>
      <c r="JTO111" s="17"/>
      <c r="JTP111" s="17"/>
      <c r="JTQ111" s="17"/>
      <c r="JTR111" s="17"/>
      <c r="JTS111" s="17"/>
      <c r="JTT111" s="17"/>
      <c r="JTU111" s="17"/>
      <c r="JTV111" s="17"/>
      <c r="JTW111" s="17"/>
      <c r="JTX111" s="17"/>
      <c r="JTY111" s="17"/>
      <c r="JTZ111" s="17"/>
      <c r="JUA111" s="17"/>
      <c r="JUB111" s="17"/>
      <c r="JUC111" s="17"/>
      <c r="JUD111" s="17"/>
      <c r="JUE111" s="17"/>
      <c r="JUF111" s="17"/>
      <c r="JUG111" s="17"/>
      <c r="JUH111" s="17"/>
      <c r="JUI111" s="17"/>
      <c r="JUJ111" s="17"/>
      <c r="JUK111" s="17"/>
      <c r="JUL111" s="17"/>
      <c r="JUM111" s="17"/>
      <c r="JUN111" s="17"/>
      <c r="JUO111" s="17"/>
      <c r="JUP111" s="17"/>
      <c r="JUQ111" s="17"/>
      <c r="JUR111" s="17"/>
      <c r="JUS111" s="17"/>
      <c r="JUT111" s="17"/>
      <c r="JUU111" s="17"/>
      <c r="JUV111" s="17"/>
      <c r="JUW111" s="17"/>
      <c r="JUX111" s="17"/>
      <c r="JUY111" s="17"/>
      <c r="JUZ111" s="17"/>
      <c r="JVA111" s="17"/>
      <c r="JVB111" s="17"/>
      <c r="JVC111" s="17"/>
      <c r="JVD111" s="17"/>
      <c r="JVE111" s="17"/>
      <c r="JVF111" s="17"/>
      <c r="JVG111" s="17"/>
      <c r="JVH111" s="17"/>
      <c r="JVI111" s="17"/>
      <c r="JVJ111" s="17"/>
      <c r="JVK111" s="17"/>
      <c r="JVL111" s="17"/>
      <c r="JVM111" s="17"/>
      <c r="JVN111" s="17"/>
      <c r="JVO111" s="17"/>
      <c r="JVP111" s="17"/>
      <c r="JVQ111" s="17"/>
      <c r="JVR111" s="17"/>
      <c r="JVS111" s="17"/>
      <c r="JVT111" s="17"/>
      <c r="JVU111" s="17"/>
      <c r="JVV111" s="17"/>
      <c r="JVW111" s="17"/>
      <c r="JVX111" s="17"/>
      <c r="JVY111" s="17"/>
      <c r="JVZ111" s="17"/>
      <c r="JWA111" s="17"/>
      <c r="JWB111" s="17"/>
      <c r="JWC111" s="17"/>
      <c r="JWD111" s="17"/>
      <c r="JWE111" s="17"/>
      <c r="JWF111" s="17"/>
      <c r="JWG111" s="17"/>
      <c r="JWH111" s="17"/>
      <c r="JWI111" s="17"/>
      <c r="JWJ111" s="17"/>
      <c r="JWK111" s="17"/>
      <c r="JWL111" s="17"/>
      <c r="JWM111" s="17"/>
      <c r="JWN111" s="17"/>
      <c r="JWO111" s="17"/>
      <c r="JWP111" s="17"/>
      <c r="JWQ111" s="17"/>
      <c r="JWR111" s="17"/>
      <c r="JWS111" s="17"/>
      <c r="JWT111" s="17"/>
      <c r="JWU111" s="17"/>
      <c r="JWV111" s="17"/>
      <c r="JWW111" s="17"/>
      <c r="JWX111" s="17"/>
      <c r="JWY111" s="17"/>
      <c r="JWZ111" s="17"/>
      <c r="JXA111" s="17"/>
      <c r="JXB111" s="17"/>
      <c r="JXC111" s="17"/>
      <c r="JXD111" s="17"/>
      <c r="JXE111" s="17"/>
      <c r="JXF111" s="17"/>
      <c r="JXG111" s="17"/>
      <c r="JXH111" s="17"/>
      <c r="JXI111" s="17"/>
      <c r="JXJ111" s="17"/>
      <c r="JXK111" s="17"/>
      <c r="JXL111" s="17"/>
      <c r="JXM111" s="17"/>
      <c r="JXN111" s="17"/>
      <c r="JXO111" s="17"/>
      <c r="JXP111" s="17"/>
      <c r="JXQ111" s="17"/>
      <c r="JXR111" s="17"/>
      <c r="JXS111" s="17"/>
      <c r="JXT111" s="17"/>
      <c r="JXU111" s="17"/>
      <c r="JXV111" s="17"/>
      <c r="JXW111" s="17"/>
      <c r="JXX111" s="17"/>
      <c r="JXY111" s="17"/>
      <c r="JXZ111" s="17"/>
      <c r="JYA111" s="17"/>
      <c r="JYB111" s="17"/>
      <c r="JYC111" s="17"/>
      <c r="JYD111" s="17"/>
      <c r="JYE111" s="17"/>
      <c r="JYF111" s="17"/>
      <c r="JYG111" s="17"/>
      <c r="JYH111" s="17"/>
      <c r="JYI111" s="17"/>
      <c r="JYJ111" s="17"/>
      <c r="JYK111" s="17"/>
      <c r="JYL111" s="17"/>
      <c r="JYM111" s="17"/>
      <c r="JYN111" s="17"/>
      <c r="JYO111" s="17"/>
      <c r="JYP111" s="17"/>
      <c r="JYQ111" s="17"/>
      <c r="JYR111" s="17"/>
      <c r="JYS111" s="17"/>
      <c r="JYT111" s="17"/>
      <c r="JYU111" s="17"/>
      <c r="JYV111" s="17"/>
      <c r="JYW111" s="17"/>
      <c r="JYX111" s="17"/>
      <c r="JYY111" s="17"/>
      <c r="JYZ111" s="17"/>
      <c r="JZA111" s="17"/>
      <c r="JZB111" s="17"/>
      <c r="JZC111" s="17"/>
      <c r="JZD111" s="17"/>
      <c r="JZE111" s="17"/>
      <c r="JZF111" s="17"/>
      <c r="JZG111" s="17"/>
      <c r="JZH111" s="17"/>
      <c r="JZI111" s="17"/>
      <c r="JZJ111" s="17"/>
      <c r="JZK111" s="17"/>
      <c r="JZL111" s="17"/>
      <c r="JZM111" s="17"/>
      <c r="JZN111" s="17"/>
      <c r="JZO111" s="17"/>
      <c r="JZP111" s="17"/>
      <c r="JZQ111" s="17"/>
      <c r="JZR111" s="17"/>
      <c r="JZS111" s="17"/>
      <c r="JZT111" s="17"/>
      <c r="JZU111" s="17"/>
      <c r="JZV111" s="17"/>
      <c r="JZW111" s="17"/>
      <c r="JZX111" s="17"/>
      <c r="JZY111" s="17"/>
      <c r="JZZ111" s="17"/>
      <c r="KAA111" s="17"/>
      <c r="KAB111" s="17"/>
      <c r="KAC111" s="17"/>
      <c r="KAD111" s="17"/>
      <c r="KAE111" s="17"/>
      <c r="KAF111" s="17"/>
      <c r="KAG111" s="17"/>
      <c r="KAH111" s="17"/>
      <c r="KAI111" s="17"/>
      <c r="KAJ111" s="17"/>
      <c r="KAK111" s="17"/>
      <c r="KAL111" s="17"/>
      <c r="KAM111" s="17"/>
      <c r="KAN111" s="17"/>
      <c r="KAO111" s="17"/>
      <c r="KAP111" s="17"/>
      <c r="KAQ111" s="17"/>
      <c r="KAR111" s="17"/>
      <c r="KAS111" s="17"/>
      <c r="KAT111" s="17"/>
      <c r="KAU111" s="17"/>
      <c r="KAV111" s="17"/>
      <c r="KAW111" s="17"/>
      <c r="KAX111" s="17"/>
      <c r="KAY111" s="17"/>
      <c r="KAZ111" s="17"/>
      <c r="KBA111" s="17"/>
      <c r="KBB111" s="17"/>
      <c r="KBC111" s="17"/>
      <c r="KBD111" s="17"/>
      <c r="KBE111" s="17"/>
      <c r="KBF111" s="17"/>
      <c r="KBG111" s="17"/>
      <c r="KBH111" s="17"/>
      <c r="KBI111" s="17"/>
      <c r="KBJ111" s="17"/>
      <c r="KBK111" s="17"/>
      <c r="KBL111" s="17"/>
      <c r="KBM111" s="17"/>
      <c r="KBN111" s="17"/>
      <c r="KBO111" s="17"/>
      <c r="KBP111" s="17"/>
      <c r="KBQ111" s="17"/>
      <c r="KBR111" s="17"/>
      <c r="KBS111" s="17"/>
      <c r="KBT111" s="17"/>
      <c r="KBU111" s="17"/>
      <c r="KBV111" s="17"/>
      <c r="KBW111" s="17"/>
      <c r="KBX111" s="17"/>
      <c r="KBY111" s="17"/>
      <c r="KBZ111" s="17"/>
      <c r="KCA111" s="17"/>
      <c r="KCB111" s="17"/>
      <c r="KCC111" s="17"/>
      <c r="KCD111" s="17"/>
      <c r="KCE111" s="17"/>
      <c r="KCF111" s="17"/>
      <c r="KCG111" s="17"/>
      <c r="KCH111" s="17"/>
      <c r="KCI111" s="17"/>
      <c r="KCJ111" s="17"/>
      <c r="KCK111" s="17"/>
      <c r="KCL111" s="17"/>
      <c r="KCM111" s="17"/>
      <c r="KCN111" s="17"/>
      <c r="KCO111" s="17"/>
      <c r="KCP111" s="17"/>
      <c r="KCQ111" s="17"/>
      <c r="KCR111" s="17"/>
      <c r="KCS111" s="17"/>
      <c r="KCT111" s="17"/>
      <c r="KCU111" s="17"/>
      <c r="KCV111" s="17"/>
      <c r="KCW111" s="17"/>
      <c r="KCX111" s="17"/>
      <c r="KCY111" s="17"/>
      <c r="KCZ111" s="17"/>
      <c r="KDA111" s="17"/>
      <c r="KDB111" s="17"/>
      <c r="KDC111" s="17"/>
      <c r="KDD111" s="17"/>
      <c r="KDE111" s="17"/>
      <c r="KDF111" s="17"/>
      <c r="KDG111" s="17"/>
      <c r="KDH111" s="17"/>
      <c r="KDI111" s="17"/>
      <c r="KDJ111" s="17"/>
      <c r="KDK111" s="17"/>
      <c r="KDL111" s="17"/>
      <c r="KDM111" s="17"/>
      <c r="KDN111" s="17"/>
      <c r="KDO111" s="17"/>
      <c r="KDP111" s="17"/>
      <c r="KDQ111" s="17"/>
      <c r="KDR111" s="17"/>
      <c r="KDS111" s="17"/>
      <c r="KDT111" s="17"/>
      <c r="KDU111" s="17"/>
      <c r="KDV111" s="17"/>
      <c r="KDW111" s="17"/>
      <c r="KDX111" s="17"/>
      <c r="KDY111" s="17"/>
      <c r="KDZ111" s="17"/>
      <c r="KEA111" s="17"/>
      <c r="KEB111" s="17"/>
      <c r="KEC111" s="17"/>
      <c r="KED111" s="17"/>
      <c r="KEE111" s="17"/>
      <c r="KEF111" s="17"/>
      <c r="KEG111" s="17"/>
      <c r="KEH111" s="17"/>
      <c r="KEI111" s="17"/>
      <c r="KEJ111" s="17"/>
      <c r="KEK111" s="17"/>
      <c r="KEL111" s="17"/>
      <c r="KEM111" s="17"/>
      <c r="KEN111" s="17"/>
      <c r="KEO111" s="17"/>
      <c r="KEP111" s="17"/>
      <c r="KEQ111" s="17"/>
      <c r="KER111" s="17"/>
      <c r="KES111" s="17"/>
      <c r="KET111" s="17"/>
      <c r="KEU111" s="17"/>
      <c r="KEV111" s="17"/>
      <c r="KEW111" s="17"/>
      <c r="KEX111" s="17"/>
      <c r="KEY111" s="17"/>
      <c r="KEZ111" s="17"/>
      <c r="KFA111" s="17"/>
      <c r="KFB111" s="17"/>
      <c r="KFC111" s="17"/>
      <c r="KFD111" s="17"/>
      <c r="KFE111" s="17"/>
      <c r="KFF111" s="17"/>
      <c r="KFG111" s="17"/>
      <c r="KFH111" s="17"/>
      <c r="KFI111" s="17"/>
      <c r="KFJ111" s="17"/>
      <c r="KFK111" s="17"/>
      <c r="KFL111" s="17"/>
      <c r="KFM111" s="17"/>
      <c r="KFN111" s="17"/>
      <c r="KFO111" s="17"/>
      <c r="KFP111" s="17"/>
      <c r="KFQ111" s="17"/>
      <c r="KFR111" s="17"/>
      <c r="KFS111" s="17"/>
      <c r="KFT111" s="17"/>
      <c r="KFU111" s="17"/>
      <c r="KFV111" s="17"/>
      <c r="KFW111" s="17"/>
      <c r="KFX111" s="17"/>
      <c r="KFY111" s="17"/>
      <c r="KFZ111" s="17"/>
      <c r="KGA111" s="17"/>
      <c r="KGB111" s="17"/>
      <c r="KGC111" s="17"/>
      <c r="KGD111" s="17"/>
      <c r="KGE111" s="17"/>
      <c r="KGF111" s="17"/>
      <c r="KGG111" s="17"/>
      <c r="KGH111" s="17"/>
      <c r="KGI111" s="17"/>
      <c r="KGJ111" s="17"/>
      <c r="KGK111" s="17"/>
      <c r="KGL111" s="17"/>
      <c r="KGM111" s="17"/>
      <c r="KGN111" s="17"/>
      <c r="KGO111" s="17"/>
      <c r="KGP111" s="17"/>
      <c r="KGQ111" s="17"/>
      <c r="KGR111" s="17"/>
      <c r="KGS111" s="17"/>
      <c r="KGT111" s="17"/>
      <c r="KGU111" s="17"/>
      <c r="KGV111" s="17"/>
      <c r="KGW111" s="17"/>
      <c r="KGX111" s="17"/>
      <c r="KGY111" s="17"/>
      <c r="KGZ111" s="17"/>
      <c r="KHA111" s="17"/>
      <c r="KHB111" s="17"/>
      <c r="KHC111" s="17"/>
      <c r="KHD111" s="17"/>
      <c r="KHE111" s="17"/>
      <c r="KHF111" s="17"/>
      <c r="KHG111" s="17"/>
      <c r="KHH111" s="17"/>
      <c r="KHI111" s="17"/>
      <c r="KHJ111" s="17"/>
      <c r="KHK111" s="17"/>
      <c r="KHL111" s="17"/>
      <c r="KHM111" s="17"/>
      <c r="KHN111" s="17"/>
      <c r="KHO111" s="17"/>
      <c r="KHP111" s="17"/>
      <c r="KHQ111" s="17"/>
      <c r="KHR111" s="17"/>
      <c r="KHS111" s="17"/>
      <c r="KHT111" s="17"/>
      <c r="KHU111" s="17"/>
      <c r="KHV111" s="17"/>
      <c r="KHW111" s="17"/>
      <c r="KHX111" s="17"/>
      <c r="KHY111" s="17"/>
      <c r="KHZ111" s="17"/>
      <c r="KIA111" s="17"/>
      <c r="KIB111" s="17"/>
      <c r="KIC111" s="17"/>
      <c r="KID111" s="17"/>
      <c r="KIE111" s="17"/>
      <c r="KIF111" s="17"/>
      <c r="KIG111" s="17"/>
      <c r="KIH111" s="17"/>
      <c r="KII111" s="17"/>
      <c r="KIJ111" s="17"/>
      <c r="KIK111" s="17"/>
      <c r="KIL111" s="17"/>
      <c r="KIM111" s="17"/>
      <c r="KIN111" s="17"/>
      <c r="KIO111" s="17"/>
      <c r="KIP111" s="17"/>
      <c r="KIQ111" s="17"/>
      <c r="KIR111" s="17"/>
      <c r="KIS111" s="17"/>
      <c r="KIT111" s="17"/>
      <c r="KIU111" s="17"/>
      <c r="KIV111" s="17"/>
      <c r="KIW111" s="17"/>
      <c r="KIX111" s="17"/>
      <c r="KIY111" s="17"/>
      <c r="KIZ111" s="17"/>
      <c r="KJA111" s="17"/>
      <c r="KJB111" s="17"/>
      <c r="KJC111" s="17"/>
      <c r="KJD111" s="17"/>
      <c r="KJE111" s="17"/>
      <c r="KJF111" s="17"/>
      <c r="KJG111" s="17"/>
      <c r="KJH111" s="17"/>
      <c r="KJI111" s="17"/>
      <c r="KJJ111" s="17"/>
      <c r="KJK111" s="17"/>
      <c r="KJL111" s="17"/>
      <c r="KJM111" s="17"/>
      <c r="KJN111" s="17"/>
      <c r="KJO111" s="17"/>
      <c r="KJP111" s="17"/>
      <c r="KJQ111" s="17"/>
      <c r="KJR111" s="17"/>
      <c r="KJS111" s="17"/>
      <c r="KJT111" s="17"/>
      <c r="KJU111" s="17"/>
      <c r="KJV111" s="17"/>
      <c r="KJW111" s="17"/>
      <c r="KJX111" s="17"/>
      <c r="KJY111" s="17"/>
      <c r="KJZ111" s="17"/>
      <c r="KKA111" s="17"/>
      <c r="KKB111" s="17"/>
      <c r="KKC111" s="17"/>
      <c r="KKD111" s="17"/>
      <c r="KKE111" s="17"/>
      <c r="KKF111" s="17"/>
      <c r="KKG111" s="17"/>
      <c r="KKH111" s="17"/>
      <c r="KKI111" s="17"/>
      <c r="KKJ111" s="17"/>
      <c r="KKK111" s="17"/>
      <c r="KKL111" s="17"/>
      <c r="KKM111" s="17"/>
      <c r="KKN111" s="17"/>
      <c r="KKO111" s="17"/>
      <c r="KKP111" s="17"/>
      <c r="KKQ111" s="17"/>
      <c r="KKR111" s="17"/>
      <c r="KKS111" s="17"/>
      <c r="KKT111" s="17"/>
      <c r="KKU111" s="17"/>
      <c r="KKV111" s="17"/>
      <c r="KKW111" s="17"/>
      <c r="KKX111" s="17"/>
      <c r="KKY111" s="17"/>
      <c r="KKZ111" s="17"/>
      <c r="KLA111" s="17"/>
      <c r="KLB111" s="17"/>
      <c r="KLC111" s="17"/>
      <c r="KLD111" s="17"/>
      <c r="KLE111" s="17"/>
      <c r="KLF111" s="17"/>
      <c r="KLG111" s="17"/>
      <c r="KLH111" s="17"/>
      <c r="KLI111" s="17"/>
      <c r="KLJ111" s="17"/>
      <c r="KLK111" s="17"/>
      <c r="KLL111" s="17"/>
      <c r="KLM111" s="17"/>
      <c r="KLN111" s="17"/>
      <c r="KLO111" s="17"/>
      <c r="KLP111" s="17"/>
      <c r="KLQ111" s="17"/>
      <c r="KLR111" s="17"/>
      <c r="KLS111" s="17"/>
      <c r="KLT111" s="17"/>
      <c r="KLU111" s="17"/>
      <c r="KLV111" s="17"/>
      <c r="KLW111" s="17"/>
      <c r="KLX111" s="17"/>
      <c r="KLY111" s="17"/>
      <c r="KLZ111" s="17"/>
      <c r="KMA111" s="17"/>
      <c r="KMB111" s="17"/>
      <c r="KMC111" s="17"/>
      <c r="KMD111" s="17"/>
      <c r="KME111" s="17"/>
      <c r="KMF111" s="17"/>
      <c r="KMG111" s="17"/>
      <c r="KMH111" s="17"/>
      <c r="KMI111" s="17"/>
      <c r="KMJ111" s="17"/>
      <c r="KMK111" s="17"/>
      <c r="KML111" s="17"/>
      <c r="KMM111" s="17"/>
      <c r="KMN111" s="17"/>
      <c r="KMO111" s="17"/>
      <c r="KMP111" s="17"/>
      <c r="KMQ111" s="17"/>
      <c r="KMR111" s="17"/>
      <c r="KMS111" s="17"/>
      <c r="KMT111" s="17"/>
      <c r="KMU111" s="17"/>
      <c r="KMV111" s="17"/>
      <c r="KMW111" s="17"/>
      <c r="KMX111" s="17"/>
      <c r="KMY111" s="17"/>
      <c r="KMZ111" s="17"/>
      <c r="KNA111" s="17"/>
      <c r="KNB111" s="17"/>
      <c r="KNC111" s="17"/>
      <c r="KND111" s="17"/>
      <c r="KNE111" s="17"/>
      <c r="KNF111" s="17"/>
      <c r="KNG111" s="17"/>
      <c r="KNH111" s="17"/>
      <c r="KNI111" s="17"/>
      <c r="KNJ111" s="17"/>
      <c r="KNK111" s="17"/>
      <c r="KNL111" s="17"/>
      <c r="KNM111" s="17"/>
      <c r="KNN111" s="17"/>
      <c r="KNO111" s="17"/>
      <c r="KNP111" s="17"/>
      <c r="KNQ111" s="17"/>
      <c r="KNR111" s="17"/>
      <c r="KNS111" s="17"/>
      <c r="KNT111" s="17"/>
      <c r="KNU111" s="17"/>
      <c r="KNV111" s="17"/>
      <c r="KNW111" s="17"/>
      <c r="KNX111" s="17"/>
      <c r="KNY111" s="17"/>
      <c r="KNZ111" s="17"/>
      <c r="KOA111" s="17"/>
      <c r="KOB111" s="17"/>
      <c r="KOC111" s="17"/>
      <c r="KOD111" s="17"/>
      <c r="KOE111" s="17"/>
      <c r="KOF111" s="17"/>
      <c r="KOG111" s="17"/>
      <c r="KOH111" s="17"/>
      <c r="KOI111" s="17"/>
      <c r="KOJ111" s="17"/>
      <c r="KOK111" s="17"/>
      <c r="KOL111" s="17"/>
      <c r="KOM111" s="17"/>
      <c r="KON111" s="17"/>
      <c r="KOO111" s="17"/>
      <c r="KOP111" s="17"/>
      <c r="KOQ111" s="17"/>
      <c r="KOR111" s="17"/>
      <c r="KOS111" s="17"/>
      <c r="KOT111" s="17"/>
      <c r="KOU111" s="17"/>
      <c r="KOV111" s="17"/>
      <c r="KOW111" s="17"/>
      <c r="KOX111" s="17"/>
      <c r="KOY111" s="17"/>
      <c r="KOZ111" s="17"/>
      <c r="KPA111" s="17"/>
      <c r="KPB111" s="17"/>
      <c r="KPC111" s="17"/>
      <c r="KPD111" s="17"/>
      <c r="KPE111" s="17"/>
      <c r="KPF111" s="17"/>
      <c r="KPG111" s="17"/>
      <c r="KPH111" s="17"/>
      <c r="KPI111" s="17"/>
      <c r="KPJ111" s="17"/>
      <c r="KPK111" s="17"/>
      <c r="KPL111" s="17"/>
      <c r="KPM111" s="17"/>
      <c r="KPN111" s="17"/>
      <c r="KPO111" s="17"/>
      <c r="KPP111" s="17"/>
      <c r="KPQ111" s="17"/>
      <c r="KPR111" s="17"/>
      <c r="KPS111" s="17"/>
      <c r="KPT111" s="17"/>
      <c r="KPU111" s="17"/>
      <c r="KPV111" s="17"/>
      <c r="KPW111" s="17"/>
      <c r="KPX111" s="17"/>
      <c r="KPY111" s="17"/>
      <c r="KPZ111" s="17"/>
      <c r="KQA111" s="17"/>
      <c r="KQB111" s="17"/>
      <c r="KQC111" s="17"/>
      <c r="KQD111" s="17"/>
      <c r="KQE111" s="17"/>
      <c r="KQF111" s="17"/>
      <c r="KQG111" s="17"/>
      <c r="KQH111" s="17"/>
      <c r="KQI111" s="17"/>
      <c r="KQJ111" s="17"/>
      <c r="KQK111" s="17"/>
      <c r="KQL111" s="17"/>
      <c r="KQM111" s="17"/>
      <c r="KQN111" s="17"/>
      <c r="KQO111" s="17"/>
      <c r="KQP111" s="17"/>
      <c r="KQQ111" s="17"/>
      <c r="KQR111" s="17"/>
      <c r="KQS111" s="17"/>
      <c r="KQT111" s="17"/>
      <c r="KQU111" s="17"/>
      <c r="KQV111" s="17"/>
      <c r="KQW111" s="17"/>
      <c r="KQX111" s="17"/>
      <c r="KQY111" s="17"/>
      <c r="KQZ111" s="17"/>
      <c r="KRA111" s="17"/>
      <c r="KRB111" s="17"/>
      <c r="KRC111" s="17"/>
      <c r="KRD111" s="17"/>
      <c r="KRE111" s="17"/>
      <c r="KRF111" s="17"/>
      <c r="KRG111" s="17"/>
      <c r="KRH111" s="17"/>
      <c r="KRI111" s="17"/>
      <c r="KRJ111" s="17"/>
      <c r="KRK111" s="17"/>
      <c r="KRL111" s="17"/>
      <c r="KRM111" s="17"/>
      <c r="KRN111" s="17"/>
      <c r="KRO111" s="17"/>
      <c r="KRP111" s="17"/>
      <c r="KRQ111" s="17"/>
      <c r="KRR111" s="17"/>
      <c r="KRS111" s="17"/>
      <c r="KRT111" s="17"/>
      <c r="KRU111" s="17"/>
      <c r="KRV111" s="17"/>
      <c r="KRW111" s="17"/>
      <c r="KRX111" s="17"/>
      <c r="KRY111" s="17"/>
      <c r="KRZ111" s="17"/>
      <c r="KSA111" s="17"/>
      <c r="KSB111" s="17"/>
      <c r="KSC111" s="17"/>
      <c r="KSD111" s="17"/>
      <c r="KSE111" s="17"/>
      <c r="KSF111" s="17"/>
      <c r="KSG111" s="17"/>
      <c r="KSH111" s="17"/>
      <c r="KSI111" s="17"/>
      <c r="KSJ111" s="17"/>
      <c r="KSK111" s="17"/>
      <c r="KSL111" s="17"/>
      <c r="KSM111" s="17"/>
      <c r="KSN111" s="17"/>
      <c r="KSO111" s="17"/>
      <c r="KSP111" s="17"/>
      <c r="KSQ111" s="17"/>
      <c r="KSR111" s="17"/>
      <c r="KSS111" s="17"/>
      <c r="KST111" s="17"/>
      <c r="KSU111" s="17"/>
      <c r="KSV111" s="17"/>
      <c r="KSW111" s="17"/>
      <c r="KSX111" s="17"/>
      <c r="KSY111" s="17"/>
      <c r="KSZ111" s="17"/>
      <c r="KTA111" s="17"/>
      <c r="KTB111" s="17"/>
      <c r="KTC111" s="17"/>
      <c r="KTD111" s="17"/>
      <c r="KTE111" s="17"/>
      <c r="KTF111" s="17"/>
      <c r="KTG111" s="17"/>
      <c r="KTH111" s="17"/>
      <c r="KTI111" s="17"/>
      <c r="KTJ111" s="17"/>
      <c r="KTK111" s="17"/>
      <c r="KTL111" s="17"/>
      <c r="KTM111" s="17"/>
      <c r="KTN111" s="17"/>
      <c r="KTO111" s="17"/>
      <c r="KTP111" s="17"/>
      <c r="KTQ111" s="17"/>
      <c r="KTR111" s="17"/>
      <c r="KTS111" s="17"/>
      <c r="KTT111" s="17"/>
      <c r="KTU111" s="17"/>
      <c r="KTV111" s="17"/>
      <c r="KTW111" s="17"/>
      <c r="KTX111" s="17"/>
      <c r="KTY111" s="17"/>
      <c r="KTZ111" s="17"/>
      <c r="KUA111" s="17"/>
      <c r="KUB111" s="17"/>
      <c r="KUC111" s="17"/>
      <c r="KUD111" s="17"/>
      <c r="KUE111" s="17"/>
      <c r="KUF111" s="17"/>
      <c r="KUG111" s="17"/>
      <c r="KUH111" s="17"/>
      <c r="KUI111" s="17"/>
      <c r="KUJ111" s="17"/>
      <c r="KUK111" s="17"/>
      <c r="KUL111" s="17"/>
      <c r="KUM111" s="17"/>
      <c r="KUN111" s="17"/>
      <c r="KUO111" s="17"/>
      <c r="KUP111" s="17"/>
      <c r="KUQ111" s="17"/>
      <c r="KUR111" s="17"/>
      <c r="KUS111" s="17"/>
      <c r="KUT111" s="17"/>
      <c r="KUU111" s="17"/>
      <c r="KUV111" s="17"/>
      <c r="KUW111" s="17"/>
      <c r="KUX111" s="17"/>
      <c r="KUY111" s="17"/>
      <c r="KUZ111" s="17"/>
      <c r="KVA111" s="17"/>
      <c r="KVB111" s="17"/>
      <c r="KVC111" s="17"/>
      <c r="KVD111" s="17"/>
      <c r="KVE111" s="17"/>
      <c r="KVF111" s="17"/>
      <c r="KVG111" s="17"/>
      <c r="KVH111" s="17"/>
      <c r="KVI111" s="17"/>
      <c r="KVJ111" s="17"/>
      <c r="KVK111" s="17"/>
      <c r="KVL111" s="17"/>
      <c r="KVM111" s="17"/>
      <c r="KVN111" s="17"/>
      <c r="KVO111" s="17"/>
      <c r="KVP111" s="17"/>
      <c r="KVQ111" s="17"/>
      <c r="KVR111" s="17"/>
      <c r="KVS111" s="17"/>
      <c r="KVT111" s="17"/>
      <c r="KVU111" s="17"/>
      <c r="KVV111" s="17"/>
      <c r="KVW111" s="17"/>
      <c r="KVX111" s="17"/>
      <c r="KVY111" s="17"/>
      <c r="KVZ111" s="17"/>
      <c r="KWA111" s="17"/>
      <c r="KWB111" s="17"/>
      <c r="KWC111" s="17"/>
      <c r="KWD111" s="17"/>
      <c r="KWE111" s="17"/>
      <c r="KWF111" s="17"/>
      <c r="KWG111" s="17"/>
      <c r="KWH111" s="17"/>
      <c r="KWI111" s="17"/>
      <c r="KWJ111" s="17"/>
      <c r="KWK111" s="17"/>
      <c r="KWL111" s="17"/>
      <c r="KWM111" s="17"/>
      <c r="KWN111" s="17"/>
      <c r="KWO111" s="17"/>
      <c r="KWP111" s="17"/>
      <c r="KWQ111" s="17"/>
      <c r="KWR111" s="17"/>
      <c r="KWS111" s="17"/>
      <c r="KWT111" s="17"/>
      <c r="KWU111" s="17"/>
      <c r="KWV111" s="17"/>
      <c r="KWW111" s="17"/>
      <c r="KWX111" s="17"/>
      <c r="KWY111" s="17"/>
      <c r="KWZ111" s="17"/>
      <c r="KXA111" s="17"/>
      <c r="KXB111" s="17"/>
      <c r="KXC111" s="17"/>
      <c r="KXD111" s="17"/>
      <c r="KXE111" s="17"/>
      <c r="KXF111" s="17"/>
      <c r="KXG111" s="17"/>
      <c r="KXH111" s="17"/>
      <c r="KXI111" s="17"/>
      <c r="KXJ111" s="17"/>
      <c r="KXK111" s="17"/>
      <c r="KXL111" s="17"/>
      <c r="KXM111" s="17"/>
      <c r="KXN111" s="17"/>
      <c r="KXO111" s="17"/>
      <c r="KXP111" s="17"/>
      <c r="KXQ111" s="17"/>
      <c r="KXR111" s="17"/>
      <c r="KXS111" s="17"/>
      <c r="KXT111" s="17"/>
      <c r="KXU111" s="17"/>
      <c r="KXV111" s="17"/>
      <c r="KXW111" s="17"/>
      <c r="KXX111" s="17"/>
      <c r="KXY111" s="17"/>
      <c r="KXZ111" s="17"/>
      <c r="KYA111" s="17"/>
      <c r="KYB111" s="17"/>
      <c r="KYC111" s="17"/>
      <c r="KYD111" s="17"/>
      <c r="KYE111" s="17"/>
      <c r="KYF111" s="17"/>
      <c r="KYG111" s="17"/>
      <c r="KYH111" s="17"/>
      <c r="KYI111" s="17"/>
      <c r="KYJ111" s="17"/>
      <c r="KYK111" s="17"/>
      <c r="KYL111" s="17"/>
      <c r="KYM111" s="17"/>
      <c r="KYN111" s="17"/>
      <c r="KYO111" s="17"/>
      <c r="KYP111" s="17"/>
      <c r="KYQ111" s="17"/>
      <c r="KYR111" s="17"/>
      <c r="KYS111" s="17"/>
      <c r="KYT111" s="17"/>
      <c r="KYU111" s="17"/>
      <c r="KYV111" s="17"/>
      <c r="KYW111" s="17"/>
      <c r="KYX111" s="17"/>
      <c r="KYY111" s="17"/>
      <c r="KYZ111" s="17"/>
      <c r="KZA111" s="17"/>
      <c r="KZB111" s="17"/>
      <c r="KZC111" s="17"/>
      <c r="KZD111" s="17"/>
      <c r="KZE111" s="17"/>
      <c r="KZF111" s="17"/>
      <c r="KZG111" s="17"/>
      <c r="KZH111" s="17"/>
      <c r="KZI111" s="17"/>
      <c r="KZJ111" s="17"/>
      <c r="KZK111" s="17"/>
      <c r="KZL111" s="17"/>
      <c r="KZM111" s="17"/>
      <c r="KZN111" s="17"/>
      <c r="KZO111" s="17"/>
      <c r="KZP111" s="17"/>
      <c r="KZQ111" s="17"/>
      <c r="KZR111" s="17"/>
      <c r="KZS111" s="17"/>
      <c r="KZT111" s="17"/>
      <c r="KZU111" s="17"/>
      <c r="KZV111" s="17"/>
      <c r="KZW111" s="17"/>
      <c r="KZX111" s="17"/>
      <c r="KZY111" s="17"/>
      <c r="KZZ111" s="17"/>
      <c r="LAA111" s="17"/>
      <c r="LAB111" s="17"/>
      <c r="LAC111" s="17"/>
      <c r="LAD111" s="17"/>
      <c r="LAE111" s="17"/>
      <c r="LAF111" s="17"/>
      <c r="LAG111" s="17"/>
      <c r="LAH111" s="17"/>
      <c r="LAI111" s="17"/>
      <c r="LAJ111" s="17"/>
      <c r="LAK111" s="17"/>
      <c r="LAL111" s="17"/>
      <c r="LAM111" s="17"/>
      <c r="LAN111" s="17"/>
      <c r="LAO111" s="17"/>
      <c r="LAP111" s="17"/>
      <c r="LAQ111" s="17"/>
      <c r="LAR111" s="17"/>
      <c r="LAS111" s="17"/>
      <c r="LAT111" s="17"/>
      <c r="LAU111" s="17"/>
      <c r="LAV111" s="17"/>
      <c r="LAW111" s="17"/>
      <c r="LAX111" s="17"/>
      <c r="LAY111" s="17"/>
      <c r="LAZ111" s="17"/>
      <c r="LBA111" s="17"/>
      <c r="LBB111" s="17"/>
      <c r="LBC111" s="17"/>
      <c r="LBD111" s="17"/>
      <c r="LBE111" s="17"/>
      <c r="LBF111" s="17"/>
      <c r="LBG111" s="17"/>
      <c r="LBH111" s="17"/>
      <c r="LBI111" s="17"/>
      <c r="LBJ111" s="17"/>
      <c r="LBK111" s="17"/>
      <c r="LBL111" s="17"/>
      <c r="LBM111" s="17"/>
      <c r="LBN111" s="17"/>
      <c r="LBO111" s="17"/>
      <c r="LBP111" s="17"/>
      <c r="LBQ111" s="17"/>
      <c r="LBR111" s="17"/>
      <c r="LBS111" s="17"/>
      <c r="LBT111" s="17"/>
      <c r="LBU111" s="17"/>
      <c r="LBV111" s="17"/>
      <c r="LBW111" s="17"/>
      <c r="LBX111" s="17"/>
      <c r="LBY111" s="17"/>
      <c r="LBZ111" s="17"/>
      <c r="LCA111" s="17"/>
      <c r="LCB111" s="17"/>
      <c r="LCC111" s="17"/>
      <c r="LCD111" s="17"/>
      <c r="LCE111" s="17"/>
      <c r="LCF111" s="17"/>
      <c r="LCG111" s="17"/>
      <c r="LCH111" s="17"/>
      <c r="LCI111" s="17"/>
      <c r="LCJ111" s="17"/>
      <c r="LCK111" s="17"/>
      <c r="LCL111" s="17"/>
      <c r="LCM111" s="17"/>
      <c r="LCN111" s="17"/>
      <c r="LCO111" s="17"/>
      <c r="LCP111" s="17"/>
      <c r="LCQ111" s="17"/>
      <c r="LCR111" s="17"/>
      <c r="LCS111" s="17"/>
      <c r="LCT111" s="17"/>
      <c r="LCU111" s="17"/>
      <c r="LCV111" s="17"/>
      <c r="LCW111" s="17"/>
      <c r="LCX111" s="17"/>
      <c r="LCY111" s="17"/>
      <c r="LCZ111" s="17"/>
      <c r="LDA111" s="17"/>
      <c r="LDB111" s="17"/>
      <c r="LDC111" s="17"/>
      <c r="LDD111" s="17"/>
      <c r="LDE111" s="17"/>
      <c r="LDF111" s="17"/>
      <c r="LDG111" s="17"/>
      <c r="LDH111" s="17"/>
      <c r="LDI111" s="17"/>
      <c r="LDJ111" s="17"/>
      <c r="LDK111" s="17"/>
      <c r="LDL111" s="17"/>
      <c r="LDM111" s="17"/>
      <c r="LDN111" s="17"/>
      <c r="LDO111" s="17"/>
      <c r="LDP111" s="17"/>
      <c r="LDQ111" s="17"/>
      <c r="LDR111" s="17"/>
      <c r="LDS111" s="17"/>
      <c r="LDT111" s="17"/>
      <c r="LDU111" s="17"/>
      <c r="LDV111" s="17"/>
      <c r="LDW111" s="17"/>
      <c r="LDX111" s="17"/>
      <c r="LDY111" s="17"/>
      <c r="LDZ111" s="17"/>
      <c r="LEA111" s="17"/>
      <c r="LEB111" s="17"/>
      <c r="LEC111" s="17"/>
      <c r="LED111" s="17"/>
      <c r="LEE111" s="17"/>
      <c r="LEF111" s="17"/>
      <c r="LEG111" s="17"/>
      <c r="LEH111" s="17"/>
      <c r="LEI111" s="17"/>
      <c r="LEJ111" s="17"/>
      <c r="LEK111" s="17"/>
      <c r="LEL111" s="17"/>
      <c r="LEM111" s="17"/>
      <c r="LEN111" s="17"/>
      <c r="LEO111" s="17"/>
      <c r="LEP111" s="17"/>
      <c r="LEQ111" s="17"/>
      <c r="LER111" s="17"/>
      <c r="LES111" s="17"/>
      <c r="LET111" s="17"/>
      <c r="LEU111" s="17"/>
      <c r="LEV111" s="17"/>
      <c r="LEW111" s="17"/>
      <c r="LEX111" s="17"/>
      <c r="LEY111" s="17"/>
      <c r="LEZ111" s="17"/>
      <c r="LFA111" s="17"/>
      <c r="LFB111" s="17"/>
      <c r="LFC111" s="17"/>
      <c r="LFD111" s="17"/>
      <c r="LFE111" s="17"/>
      <c r="LFF111" s="17"/>
      <c r="LFG111" s="17"/>
      <c r="LFH111" s="17"/>
      <c r="LFI111" s="17"/>
      <c r="LFJ111" s="17"/>
      <c r="LFK111" s="17"/>
      <c r="LFL111" s="17"/>
      <c r="LFM111" s="17"/>
      <c r="LFN111" s="17"/>
      <c r="LFO111" s="17"/>
      <c r="LFP111" s="17"/>
      <c r="LFQ111" s="17"/>
      <c r="LFR111" s="17"/>
      <c r="LFS111" s="17"/>
      <c r="LFT111" s="17"/>
      <c r="LFU111" s="17"/>
      <c r="LFV111" s="17"/>
      <c r="LFW111" s="17"/>
      <c r="LFX111" s="17"/>
      <c r="LFY111" s="17"/>
      <c r="LFZ111" s="17"/>
      <c r="LGA111" s="17"/>
      <c r="LGB111" s="17"/>
      <c r="LGC111" s="17"/>
      <c r="LGD111" s="17"/>
      <c r="LGE111" s="17"/>
      <c r="LGF111" s="17"/>
      <c r="LGG111" s="17"/>
      <c r="LGH111" s="17"/>
      <c r="LGI111" s="17"/>
      <c r="LGJ111" s="17"/>
      <c r="LGK111" s="17"/>
      <c r="LGL111" s="17"/>
      <c r="LGM111" s="17"/>
      <c r="LGN111" s="17"/>
      <c r="LGO111" s="17"/>
      <c r="LGP111" s="17"/>
      <c r="LGQ111" s="17"/>
      <c r="LGR111" s="17"/>
      <c r="LGS111" s="17"/>
      <c r="LGT111" s="17"/>
      <c r="LGU111" s="17"/>
      <c r="LGV111" s="17"/>
      <c r="LGW111" s="17"/>
      <c r="LGX111" s="17"/>
      <c r="LGY111" s="17"/>
      <c r="LGZ111" s="17"/>
      <c r="LHA111" s="17"/>
      <c r="LHB111" s="17"/>
      <c r="LHC111" s="17"/>
      <c r="LHD111" s="17"/>
      <c r="LHE111" s="17"/>
      <c r="LHF111" s="17"/>
      <c r="LHG111" s="17"/>
      <c r="LHH111" s="17"/>
      <c r="LHI111" s="17"/>
      <c r="LHJ111" s="17"/>
      <c r="LHK111" s="17"/>
      <c r="LHL111" s="17"/>
      <c r="LHM111" s="17"/>
      <c r="LHN111" s="17"/>
      <c r="LHO111" s="17"/>
      <c r="LHP111" s="17"/>
      <c r="LHQ111" s="17"/>
      <c r="LHR111" s="17"/>
      <c r="LHS111" s="17"/>
      <c r="LHT111" s="17"/>
      <c r="LHU111" s="17"/>
      <c r="LHV111" s="17"/>
      <c r="LHW111" s="17"/>
      <c r="LHX111" s="17"/>
      <c r="LHY111" s="17"/>
      <c r="LHZ111" s="17"/>
      <c r="LIA111" s="17"/>
      <c r="LIB111" s="17"/>
      <c r="LIC111" s="17"/>
      <c r="LID111" s="17"/>
      <c r="LIE111" s="17"/>
      <c r="LIF111" s="17"/>
      <c r="LIG111" s="17"/>
      <c r="LIH111" s="17"/>
      <c r="LII111" s="17"/>
      <c r="LIJ111" s="17"/>
      <c r="LIK111" s="17"/>
      <c r="LIL111" s="17"/>
      <c r="LIM111" s="17"/>
      <c r="LIN111" s="17"/>
      <c r="LIO111" s="17"/>
      <c r="LIP111" s="17"/>
      <c r="LIQ111" s="17"/>
      <c r="LIR111" s="17"/>
      <c r="LIS111" s="17"/>
      <c r="LIT111" s="17"/>
      <c r="LIU111" s="17"/>
      <c r="LIV111" s="17"/>
      <c r="LIW111" s="17"/>
      <c r="LIX111" s="17"/>
      <c r="LIY111" s="17"/>
      <c r="LIZ111" s="17"/>
      <c r="LJA111" s="17"/>
      <c r="LJB111" s="17"/>
      <c r="LJC111" s="17"/>
      <c r="LJD111" s="17"/>
      <c r="LJE111" s="17"/>
      <c r="LJF111" s="17"/>
      <c r="LJG111" s="17"/>
      <c r="LJH111" s="17"/>
      <c r="LJI111" s="17"/>
      <c r="LJJ111" s="17"/>
      <c r="LJK111" s="17"/>
      <c r="LJL111" s="17"/>
      <c r="LJM111" s="17"/>
      <c r="LJN111" s="17"/>
      <c r="LJO111" s="17"/>
      <c r="LJP111" s="17"/>
      <c r="LJQ111" s="17"/>
      <c r="LJR111" s="17"/>
      <c r="LJS111" s="17"/>
      <c r="LJT111" s="17"/>
      <c r="LJU111" s="17"/>
      <c r="LJV111" s="17"/>
      <c r="LJW111" s="17"/>
      <c r="LJX111" s="17"/>
      <c r="LJY111" s="17"/>
      <c r="LJZ111" s="17"/>
      <c r="LKA111" s="17"/>
      <c r="LKB111" s="17"/>
      <c r="LKC111" s="17"/>
      <c r="LKD111" s="17"/>
      <c r="LKE111" s="17"/>
      <c r="LKF111" s="17"/>
      <c r="LKG111" s="17"/>
      <c r="LKH111" s="17"/>
      <c r="LKI111" s="17"/>
      <c r="LKJ111" s="17"/>
      <c r="LKK111" s="17"/>
      <c r="LKL111" s="17"/>
      <c r="LKM111" s="17"/>
      <c r="LKN111" s="17"/>
      <c r="LKO111" s="17"/>
      <c r="LKP111" s="17"/>
      <c r="LKQ111" s="17"/>
      <c r="LKR111" s="17"/>
      <c r="LKS111" s="17"/>
      <c r="LKT111" s="17"/>
      <c r="LKU111" s="17"/>
      <c r="LKV111" s="17"/>
      <c r="LKW111" s="17"/>
      <c r="LKX111" s="17"/>
      <c r="LKY111" s="17"/>
      <c r="LKZ111" s="17"/>
      <c r="LLA111" s="17"/>
      <c r="LLB111" s="17"/>
      <c r="LLC111" s="17"/>
      <c r="LLD111" s="17"/>
      <c r="LLE111" s="17"/>
      <c r="LLF111" s="17"/>
      <c r="LLG111" s="17"/>
      <c r="LLH111" s="17"/>
      <c r="LLI111" s="17"/>
      <c r="LLJ111" s="17"/>
      <c r="LLK111" s="17"/>
      <c r="LLL111" s="17"/>
      <c r="LLM111" s="17"/>
      <c r="LLN111" s="17"/>
      <c r="LLO111" s="17"/>
      <c r="LLP111" s="17"/>
      <c r="LLQ111" s="17"/>
      <c r="LLR111" s="17"/>
      <c r="LLS111" s="17"/>
      <c r="LLT111" s="17"/>
      <c r="LLU111" s="17"/>
      <c r="LLV111" s="17"/>
      <c r="LLW111" s="17"/>
      <c r="LLX111" s="17"/>
      <c r="LLY111" s="17"/>
      <c r="LLZ111" s="17"/>
      <c r="LMA111" s="17"/>
      <c r="LMB111" s="17"/>
      <c r="LMC111" s="17"/>
      <c r="LMD111" s="17"/>
      <c r="LME111" s="17"/>
      <c r="LMF111" s="17"/>
      <c r="LMG111" s="17"/>
      <c r="LMH111" s="17"/>
      <c r="LMI111" s="17"/>
      <c r="LMJ111" s="17"/>
      <c r="LMK111" s="17"/>
      <c r="LML111" s="17"/>
      <c r="LMM111" s="17"/>
      <c r="LMN111" s="17"/>
      <c r="LMO111" s="17"/>
      <c r="LMP111" s="17"/>
      <c r="LMQ111" s="17"/>
      <c r="LMR111" s="17"/>
      <c r="LMS111" s="17"/>
      <c r="LMT111" s="17"/>
      <c r="LMU111" s="17"/>
      <c r="LMV111" s="17"/>
      <c r="LMW111" s="17"/>
      <c r="LMX111" s="17"/>
      <c r="LMY111" s="17"/>
      <c r="LMZ111" s="17"/>
      <c r="LNA111" s="17"/>
      <c r="LNB111" s="17"/>
      <c r="LNC111" s="17"/>
      <c r="LND111" s="17"/>
      <c r="LNE111" s="17"/>
      <c r="LNF111" s="17"/>
      <c r="LNG111" s="17"/>
      <c r="LNH111" s="17"/>
      <c r="LNI111" s="17"/>
      <c r="LNJ111" s="17"/>
      <c r="LNK111" s="17"/>
      <c r="LNL111" s="17"/>
      <c r="LNM111" s="17"/>
      <c r="LNN111" s="17"/>
      <c r="LNO111" s="17"/>
      <c r="LNP111" s="17"/>
      <c r="LNQ111" s="17"/>
      <c r="LNR111" s="17"/>
      <c r="LNS111" s="17"/>
      <c r="LNT111" s="17"/>
      <c r="LNU111" s="17"/>
      <c r="LNV111" s="17"/>
      <c r="LNW111" s="17"/>
      <c r="LNX111" s="17"/>
      <c r="LNY111" s="17"/>
      <c r="LNZ111" s="17"/>
      <c r="LOA111" s="17"/>
      <c r="LOB111" s="17"/>
      <c r="LOC111" s="17"/>
      <c r="LOD111" s="17"/>
      <c r="LOE111" s="17"/>
      <c r="LOF111" s="17"/>
      <c r="LOG111" s="17"/>
      <c r="LOH111" s="17"/>
      <c r="LOI111" s="17"/>
      <c r="LOJ111" s="17"/>
      <c r="LOK111" s="17"/>
      <c r="LOL111" s="17"/>
      <c r="LOM111" s="17"/>
      <c r="LON111" s="17"/>
      <c r="LOO111" s="17"/>
      <c r="LOP111" s="17"/>
      <c r="LOQ111" s="17"/>
      <c r="LOR111" s="17"/>
      <c r="LOS111" s="17"/>
      <c r="LOT111" s="17"/>
      <c r="LOU111" s="17"/>
      <c r="LOV111" s="17"/>
      <c r="LOW111" s="17"/>
      <c r="LOX111" s="17"/>
      <c r="LOY111" s="17"/>
      <c r="LOZ111" s="17"/>
      <c r="LPA111" s="17"/>
      <c r="LPB111" s="17"/>
      <c r="LPC111" s="17"/>
      <c r="LPD111" s="17"/>
      <c r="LPE111" s="17"/>
      <c r="LPF111" s="17"/>
      <c r="LPG111" s="17"/>
      <c r="LPH111" s="17"/>
      <c r="LPI111" s="17"/>
      <c r="LPJ111" s="17"/>
      <c r="LPK111" s="17"/>
      <c r="LPL111" s="17"/>
      <c r="LPM111" s="17"/>
      <c r="LPN111" s="17"/>
      <c r="LPO111" s="17"/>
      <c r="LPP111" s="17"/>
      <c r="LPQ111" s="17"/>
      <c r="LPR111" s="17"/>
      <c r="LPS111" s="17"/>
      <c r="LPT111" s="17"/>
      <c r="LPU111" s="17"/>
      <c r="LPV111" s="17"/>
      <c r="LPW111" s="17"/>
      <c r="LPX111" s="17"/>
      <c r="LPY111" s="17"/>
      <c r="LPZ111" s="17"/>
      <c r="LQA111" s="17"/>
      <c r="LQB111" s="17"/>
      <c r="LQC111" s="17"/>
      <c r="LQD111" s="17"/>
      <c r="LQE111" s="17"/>
      <c r="LQF111" s="17"/>
      <c r="LQG111" s="17"/>
      <c r="LQH111" s="17"/>
      <c r="LQI111" s="17"/>
      <c r="LQJ111" s="17"/>
      <c r="LQK111" s="17"/>
      <c r="LQL111" s="17"/>
      <c r="LQM111" s="17"/>
      <c r="LQN111" s="17"/>
      <c r="LQO111" s="17"/>
      <c r="LQP111" s="17"/>
      <c r="LQQ111" s="17"/>
      <c r="LQR111" s="17"/>
      <c r="LQS111" s="17"/>
      <c r="LQT111" s="17"/>
      <c r="LQU111" s="17"/>
      <c r="LQV111" s="17"/>
      <c r="LQW111" s="17"/>
      <c r="LQX111" s="17"/>
      <c r="LQY111" s="17"/>
      <c r="LQZ111" s="17"/>
      <c r="LRA111" s="17"/>
      <c r="LRB111" s="17"/>
      <c r="LRC111" s="17"/>
      <c r="LRD111" s="17"/>
      <c r="LRE111" s="17"/>
      <c r="LRF111" s="17"/>
      <c r="LRG111" s="17"/>
      <c r="LRH111" s="17"/>
      <c r="LRI111" s="17"/>
      <c r="LRJ111" s="17"/>
      <c r="LRK111" s="17"/>
      <c r="LRL111" s="17"/>
      <c r="LRM111" s="17"/>
      <c r="LRN111" s="17"/>
      <c r="LRO111" s="17"/>
      <c r="LRP111" s="17"/>
      <c r="LRQ111" s="17"/>
      <c r="LRR111" s="17"/>
      <c r="LRS111" s="17"/>
      <c r="LRT111" s="17"/>
      <c r="LRU111" s="17"/>
      <c r="LRV111" s="17"/>
      <c r="LRW111" s="17"/>
      <c r="LRX111" s="17"/>
      <c r="LRY111" s="17"/>
      <c r="LRZ111" s="17"/>
      <c r="LSA111" s="17"/>
      <c r="LSB111" s="17"/>
      <c r="LSC111" s="17"/>
      <c r="LSD111" s="17"/>
      <c r="LSE111" s="17"/>
      <c r="LSF111" s="17"/>
      <c r="LSG111" s="17"/>
      <c r="LSH111" s="17"/>
      <c r="LSI111" s="17"/>
      <c r="LSJ111" s="17"/>
      <c r="LSK111" s="17"/>
      <c r="LSL111" s="17"/>
      <c r="LSM111" s="17"/>
      <c r="LSN111" s="17"/>
      <c r="LSO111" s="17"/>
      <c r="LSP111" s="17"/>
      <c r="LSQ111" s="17"/>
      <c r="LSR111" s="17"/>
      <c r="LSS111" s="17"/>
      <c r="LST111" s="17"/>
      <c r="LSU111" s="17"/>
      <c r="LSV111" s="17"/>
      <c r="LSW111" s="17"/>
      <c r="LSX111" s="17"/>
      <c r="LSY111" s="17"/>
      <c r="LSZ111" s="17"/>
      <c r="LTA111" s="17"/>
      <c r="LTB111" s="17"/>
      <c r="LTC111" s="17"/>
      <c r="LTD111" s="17"/>
      <c r="LTE111" s="17"/>
      <c r="LTF111" s="17"/>
      <c r="LTG111" s="17"/>
      <c r="LTH111" s="17"/>
      <c r="LTI111" s="17"/>
      <c r="LTJ111" s="17"/>
      <c r="LTK111" s="17"/>
      <c r="LTL111" s="17"/>
      <c r="LTM111" s="17"/>
      <c r="LTN111" s="17"/>
      <c r="LTO111" s="17"/>
      <c r="LTP111" s="17"/>
      <c r="LTQ111" s="17"/>
      <c r="LTR111" s="17"/>
      <c r="LTS111" s="17"/>
      <c r="LTT111" s="17"/>
      <c r="LTU111" s="17"/>
      <c r="LTV111" s="17"/>
      <c r="LTW111" s="17"/>
      <c r="LTX111" s="17"/>
      <c r="LTY111" s="17"/>
      <c r="LTZ111" s="17"/>
      <c r="LUA111" s="17"/>
      <c r="LUB111" s="17"/>
      <c r="LUC111" s="17"/>
      <c r="LUD111" s="17"/>
      <c r="LUE111" s="17"/>
      <c r="LUF111" s="17"/>
      <c r="LUG111" s="17"/>
      <c r="LUH111" s="17"/>
      <c r="LUI111" s="17"/>
      <c r="LUJ111" s="17"/>
      <c r="LUK111" s="17"/>
      <c r="LUL111" s="17"/>
      <c r="LUM111" s="17"/>
      <c r="LUN111" s="17"/>
      <c r="LUO111" s="17"/>
      <c r="LUP111" s="17"/>
      <c r="LUQ111" s="17"/>
      <c r="LUR111" s="17"/>
      <c r="LUS111" s="17"/>
      <c r="LUT111" s="17"/>
      <c r="LUU111" s="17"/>
      <c r="LUV111" s="17"/>
      <c r="LUW111" s="17"/>
      <c r="LUX111" s="17"/>
      <c r="LUY111" s="17"/>
      <c r="LUZ111" s="17"/>
      <c r="LVA111" s="17"/>
      <c r="LVB111" s="17"/>
      <c r="LVC111" s="17"/>
      <c r="LVD111" s="17"/>
      <c r="LVE111" s="17"/>
      <c r="LVF111" s="17"/>
      <c r="LVG111" s="17"/>
      <c r="LVH111" s="17"/>
      <c r="LVI111" s="17"/>
      <c r="LVJ111" s="17"/>
      <c r="LVK111" s="17"/>
      <c r="LVL111" s="17"/>
      <c r="LVM111" s="17"/>
      <c r="LVN111" s="17"/>
      <c r="LVO111" s="17"/>
      <c r="LVP111" s="17"/>
      <c r="LVQ111" s="17"/>
      <c r="LVR111" s="17"/>
      <c r="LVS111" s="17"/>
      <c r="LVT111" s="17"/>
      <c r="LVU111" s="17"/>
      <c r="LVV111" s="17"/>
      <c r="LVW111" s="17"/>
      <c r="LVX111" s="17"/>
      <c r="LVY111" s="17"/>
      <c r="LVZ111" s="17"/>
      <c r="LWA111" s="17"/>
      <c r="LWB111" s="17"/>
      <c r="LWC111" s="17"/>
      <c r="LWD111" s="17"/>
      <c r="LWE111" s="17"/>
      <c r="LWF111" s="17"/>
      <c r="LWG111" s="17"/>
      <c r="LWH111" s="17"/>
      <c r="LWI111" s="17"/>
      <c r="LWJ111" s="17"/>
      <c r="LWK111" s="17"/>
      <c r="LWL111" s="17"/>
      <c r="LWM111" s="17"/>
      <c r="LWN111" s="17"/>
      <c r="LWO111" s="17"/>
      <c r="LWP111" s="17"/>
      <c r="LWQ111" s="17"/>
      <c r="LWR111" s="17"/>
      <c r="LWS111" s="17"/>
      <c r="LWT111" s="17"/>
      <c r="LWU111" s="17"/>
      <c r="LWV111" s="17"/>
      <c r="LWW111" s="17"/>
      <c r="LWX111" s="17"/>
      <c r="LWY111" s="17"/>
      <c r="LWZ111" s="17"/>
      <c r="LXA111" s="17"/>
      <c r="LXB111" s="17"/>
      <c r="LXC111" s="17"/>
      <c r="LXD111" s="17"/>
      <c r="LXE111" s="17"/>
      <c r="LXF111" s="17"/>
      <c r="LXG111" s="17"/>
      <c r="LXH111" s="17"/>
      <c r="LXI111" s="17"/>
      <c r="LXJ111" s="17"/>
      <c r="LXK111" s="17"/>
      <c r="LXL111" s="17"/>
      <c r="LXM111" s="17"/>
      <c r="LXN111" s="17"/>
      <c r="LXO111" s="17"/>
      <c r="LXP111" s="17"/>
      <c r="LXQ111" s="17"/>
      <c r="LXR111" s="17"/>
      <c r="LXS111" s="17"/>
      <c r="LXT111" s="17"/>
      <c r="LXU111" s="17"/>
      <c r="LXV111" s="17"/>
      <c r="LXW111" s="17"/>
      <c r="LXX111" s="17"/>
      <c r="LXY111" s="17"/>
      <c r="LXZ111" s="17"/>
      <c r="LYA111" s="17"/>
      <c r="LYB111" s="17"/>
      <c r="LYC111" s="17"/>
      <c r="LYD111" s="17"/>
      <c r="LYE111" s="17"/>
      <c r="LYF111" s="17"/>
      <c r="LYG111" s="17"/>
      <c r="LYH111" s="17"/>
      <c r="LYI111" s="17"/>
      <c r="LYJ111" s="17"/>
      <c r="LYK111" s="17"/>
      <c r="LYL111" s="17"/>
      <c r="LYM111" s="17"/>
      <c r="LYN111" s="17"/>
      <c r="LYO111" s="17"/>
      <c r="LYP111" s="17"/>
      <c r="LYQ111" s="17"/>
      <c r="LYR111" s="17"/>
      <c r="LYS111" s="17"/>
      <c r="LYT111" s="17"/>
      <c r="LYU111" s="17"/>
      <c r="LYV111" s="17"/>
      <c r="LYW111" s="17"/>
      <c r="LYX111" s="17"/>
      <c r="LYY111" s="17"/>
      <c r="LYZ111" s="17"/>
      <c r="LZA111" s="17"/>
      <c r="LZB111" s="17"/>
      <c r="LZC111" s="17"/>
      <c r="LZD111" s="17"/>
      <c r="LZE111" s="17"/>
      <c r="LZF111" s="17"/>
      <c r="LZG111" s="17"/>
      <c r="LZH111" s="17"/>
      <c r="LZI111" s="17"/>
      <c r="LZJ111" s="17"/>
      <c r="LZK111" s="17"/>
      <c r="LZL111" s="17"/>
      <c r="LZM111" s="17"/>
      <c r="LZN111" s="17"/>
      <c r="LZO111" s="17"/>
      <c r="LZP111" s="17"/>
      <c r="LZQ111" s="17"/>
      <c r="LZR111" s="17"/>
      <c r="LZS111" s="17"/>
      <c r="LZT111" s="17"/>
      <c r="LZU111" s="17"/>
      <c r="LZV111" s="17"/>
      <c r="LZW111" s="17"/>
      <c r="LZX111" s="17"/>
      <c r="LZY111" s="17"/>
      <c r="LZZ111" s="17"/>
      <c r="MAA111" s="17"/>
      <c r="MAB111" s="17"/>
      <c r="MAC111" s="17"/>
      <c r="MAD111" s="17"/>
      <c r="MAE111" s="17"/>
      <c r="MAF111" s="17"/>
      <c r="MAG111" s="17"/>
      <c r="MAH111" s="17"/>
      <c r="MAI111" s="17"/>
      <c r="MAJ111" s="17"/>
      <c r="MAK111" s="17"/>
      <c r="MAL111" s="17"/>
      <c r="MAM111" s="17"/>
      <c r="MAN111" s="17"/>
      <c r="MAO111" s="17"/>
      <c r="MAP111" s="17"/>
      <c r="MAQ111" s="17"/>
      <c r="MAR111" s="17"/>
      <c r="MAS111" s="17"/>
      <c r="MAT111" s="17"/>
      <c r="MAU111" s="17"/>
      <c r="MAV111" s="17"/>
      <c r="MAW111" s="17"/>
      <c r="MAX111" s="17"/>
      <c r="MAY111" s="17"/>
      <c r="MAZ111" s="17"/>
      <c r="MBA111" s="17"/>
      <c r="MBB111" s="17"/>
      <c r="MBC111" s="17"/>
      <c r="MBD111" s="17"/>
      <c r="MBE111" s="17"/>
      <c r="MBF111" s="17"/>
      <c r="MBG111" s="17"/>
      <c r="MBH111" s="17"/>
      <c r="MBI111" s="17"/>
      <c r="MBJ111" s="17"/>
      <c r="MBK111" s="17"/>
      <c r="MBL111" s="17"/>
      <c r="MBM111" s="17"/>
      <c r="MBN111" s="17"/>
      <c r="MBO111" s="17"/>
      <c r="MBP111" s="17"/>
      <c r="MBQ111" s="17"/>
      <c r="MBR111" s="17"/>
      <c r="MBS111" s="17"/>
      <c r="MBT111" s="17"/>
      <c r="MBU111" s="17"/>
      <c r="MBV111" s="17"/>
      <c r="MBW111" s="17"/>
      <c r="MBX111" s="17"/>
      <c r="MBY111" s="17"/>
      <c r="MBZ111" s="17"/>
      <c r="MCA111" s="17"/>
      <c r="MCB111" s="17"/>
      <c r="MCC111" s="17"/>
      <c r="MCD111" s="17"/>
      <c r="MCE111" s="17"/>
      <c r="MCF111" s="17"/>
      <c r="MCG111" s="17"/>
      <c r="MCH111" s="17"/>
      <c r="MCI111" s="17"/>
      <c r="MCJ111" s="17"/>
      <c r="MCK111" s="17"/>
      <c r="MCL111" s="17"/>
      <c r="MCM111" s="17"/>
      <c r="MCN111" s="17"/>
      <c r="MCO111" s="17"/>
      <c r="MCP111" s="17"/>
      <c r="MCQ111" s="17"/>
      <c r="MCR111" s="17"/>
      <c r="MCS111" s="17"/>
      <c r="MCT111" s="17"/>
      <c r="MCU111" s="17"/>
      <c r="MCV111" s="17"/>
      <c r="MCW111" s="17"/>
      <c r="MCX111" s="17"/>
      <c r="MCY111" s="17"/>
      <c r="MCZ111" s="17"/>
      <c r="MDA111" s="17"/>
      <c r="MDB111" s="17"/>
      <c r="MDC111" s="17"/>
      <c r="MDD111" s="17"/>
      <c r="MDE111" s="17"/>
      <c r="MDF111" s="17"/>
      <c r="MDG111" s="17"/>
      <c r="MDH111" s="17"/>
      <c r="MDI111" s="17"/>
      <c r="MDJ111" s="17"/>
      <c r="MDK111" s="17"/>
      <c r="MDL111" s="17"/>
      <c r="MDM111" s="17"/>
      <c r="MDN111" s="17"/>
      <c r="MDO111" s="17"/>
      <c r="MDP111" s="17"/>
      <c r="MDQ111" s="17"/>
      <c r="MDR111" s="17"/>
      <c r="MDS111" s="17"/>
      <c r="MDT111" s="17"/>
      <c r="MDU111" s="17"/>
      <c r="MDV111" s="17"/>
      <c r="MDW111" s="17"/>
      <c r="MDX111" s="17"/>
      <c r="MDY111" s="17"/>
      <c r="MDZ111" s="17"/>
      <c r="MEA111" s="17"/>
      <c r="MEB111" s="17"/>
      <c r="MEC111" s="17"/>
      <c r="MED111" s="17"/>
      <c r="MEE111" s="17"/>
      <c r="MEF111" s="17"/>
      <c r="MEG111" s="17"/>
      <c r="MEH111" s="17"/>
      <c r="MEI111" s="17"/>
      <c r="MEJ111" s="17"/>
      <c r="MEK111" s="17"/>
      <c r="MEL111" s="17"/>
      <c r="MEM111" s="17"/>
      <c r="MEN111" s="17"/>
      <c r="MEO111" s="17"/>
      <c r="MEP111" s="17"/>
      <c r="MEQ111" s="17"/>
      <c r="MER111" s="17"/>
      <c r="MES111" s="17"/>
      <c r="MET111" s="17"/>
      <c r="MEU111" s="17"/>
      <c r="MEV111" s="17"/>
      <c r="MEW111" s="17"/>
      <c r="MEX111" s="17"/>
      <c r="MEY111" s="17"/>
      <c r="MEZ111" s="17"/>
      <c r="MFA111" s="17"/>
      <c r="MFB111" s="17"/>
      <c r="MFC111" s="17"/>
      <c r="MFD111" s="17"/>
      <c r="MFE111" s="17"/>
      <c r="MFF111" s="17"/>
      <c r="MFG111" s="17"/>
      <c r="MFH111" s="17"/>
      <c r="MFI111" s="17"/>
      <c r="MFJ111" s="17"/>
      <c r="MFK111" s="17"/>
      <c r="MFL111" s="17"/>
      <c r="MFM111" s="17"/>
      <c r="MFN111" s="17"/>
      <c r="MFO111" s="17"/>
      <c r="MFP111" s="17"/>
      <c r="MFQ111" s="17"/>
      <c r="MFR111" s="17"/>
      <c r="MFS111" s="17"/>
      <c r="MFT111" s="17"/>
      <c r="MFU111" s="17"/>
      <c r="MFV111" s="17"/>
      <c r="MFW111" s="17"/>
      <c r="MFX111" s="17"/>
      <c r="MFY111" s="17"/>
      <c r="MFZ111" s="17"/>
      <c r="MGA111" s="17"/>
      <c r="MGB111" s="17"/>
      <c r="MGC111" s="17"/>
      <c r="MGD111" s="17"/>
      <c r="MGE111" s="17"/>
      <c r="MGF111" s="17"/>
      <c r="MGG111" s="17"/>
      <c r="MGH111" s="17"/>
      <c r="MGI111" s="17"/>
      <c r="MGJ111" s="17"/>
      <c r="MGK111" s="17"/>
      <c r="MGL111" s="17"/>
      <c r="MGM111" s="17"/>
      <c r="MGN111" s="17"/>
      <c r="MGO111" s="17"/>
      <c r="MGP111" s="17"/>
      <c r="MGQ111" s="17"/>
      <c r="MGR111" s="17"/>
      <c r="MGS111" s="17"/>
      <c r="MGT111" s="17"/>
      <c r="MGU111" s="17"/>
      <c r="MGV111" s="17"/>
      <c r="MGW111" s="17"/>
      <c r="MGX111" s="17"/>
      <c r="MGY111" s="17"/>
      <c r="MGZ111" s="17"/>
      <c r="MHA111" s="17"/>
      <c r="MHB111" s="17"/>
      <c r="MHC111" s="17"/>
      <c r="MHD111" s="17"/>
      <c r="MHE111" s="17"/>
      <c r="MHF111" s="17"/>
      <c r="MHG111" s="17"/>
      <c r="MHH111" s="17"/>
      <c r="MHI111" s="17"/>
      <c r="MHJ111" s="17"/>
      <c r="MHK111" s="17"/>
      <c r="MHL111" s="17"/>
      <c r="MHM111" s="17"/>
      <c r="MHN111" s="17"/>
      <c r="MHO111" s="17"/>
      <c r="MHP111" s="17"/>
      <c r="MHQ111" s="17"/>
      <c r="MHR111" s="17"/>
      <c r="MHS111" s="17"/>
      <c r="MHT111" s="17"/>
      <c r="MHU111" s="17"/>
      <c r="MHV111" s="17"/>
      <c r="MHW111" s="17"/>
      <c r="MHX111" s="17"/>
      <c r="MHY111" s="17"/>
      <c r="MHZ111" s="17"/>
      <c r="MIA111" s="17"/>
      <c r="MIB111" s="17"/>
      <c r="MIC111" s="17"/>
      <c r="MID111" s="17"/>
      <c r="MIE111" s="17"/>
      <c r="MIF111" s="17"/>
      <c r="MIG111" s="17"/>
      <c r="MIH111" s="17"/>
      <c r="MII111" s="17"/>
      <c r="MIJ111" s="17"/>
      <c r="MIK111" s="17"/>
      <c r="MIL111" s="17"/>
      <c r="MIM111" s="17"/>
      <c r="MIN111" s="17"/>
      <c r="MIO111" s="17"/>
      <c r="MIP111" s="17"/>
      <c r="MIQ111" s="17"/>
      <c r="MIR111" s="17"/>
      <c r="MIS111" s="17"/>
      <c r="MIT111" s="17"/>
      <c r="MIU111" s="17"/>
      <c r="MIV111" s="17"/>
      <c r="MIW111" s="17"/>
      <c r="MIX111" s="17"/>
      <c r="MIY111" s="17"/>
      <c r="MIZ111" s="17"/>
      <c r="MJA111" s="17"/>
      <c r="MJB111" s="17"/>
      <c r="MJC111" s="17"/>
      <c r="MJD111" s="17"/>
      <c r="MJE111" s="17"/>
      <c r="MJF111" s="17"/>
      <c r="MJG111" s="17"/>
      <c r="MJH111" s="17"/>
      <c r="MJI111" s="17"/>
      <c r="MJJ111" s="17"/>
      <c r="MJK111" s="17"/>
      <c r="MJL111" s="17"/>
      <c r="MJM111" s="17"/>
      <c r="MJN111" s="17"/>
      <c r="MJO111" s="17"/>
      <c r="MJP111" s="17"/>
      <c r="MJQ111" s="17"/>
      <c r="MJR111" s="17"/>
      <c r="MJS111" s="17"/>
      <c r="MJT111" s="17"/>
      <c r="MJU111" s="17"/>
      <c r="MJV111" s="17"/>
      <c r="MJW111" s="17"/>
      <c r="MJX111" s="17"/>
      <c r="MJY111" s="17"/>
      <c r="MJZ111" s="17"/>
      <c r="MKA111" s="17"/>
      <c r="MKB111" s="17"/>
      <c r="MKC111" s="17"/>
      <c r="MKD111" s="17"/>
      <c r="MKE111" s="17"/>
      <c r="MKF111" s="17"/>
      <c r="MKG111" s="17"/>
      <c r="MKH111" s="17"/>
      <c r="MKI111" s="17"/>
      <c r="MKJ111" s="17"/>
      <c r="MKK111" s="17"/>
      <c r="MKL111" s="17"/>
      <c r="MKM111" s="17"/>
      <c r="MKN111" s="17"/>
      <c r="MKO111" s="17"/>
      <c r="MKP111" s="17"/>
      <c r="MKQ111" s="17"/>
      <c r="MKR111" s="17"/>
      <c r="MKS111" s="17"/>
      <c r="MKT111" s="17"/>
      <c r="MKU111" s="17"/>
      <c r="MKV111" s="17"/>
      <c r="MKW111" s="17"/>
      <c r="MKX111" s="17"/>
      <c r="MKY111" s="17"/>
      <c r="MKZ111" s="17"/>
      <c r="MLA111" s="17"/>
      <c r="MLB111" s="17"/>
      <c r="MLC111" s="17"/>
      <c r="MLD111" s="17"/>
      <c r="MLE111" s="17"/>
      <c r="MLF111" s="17"/>
      <c r="MLG111" s="17"/>
      <c r="MLH111" s="17"/>
      <c r="MLI111" s="17"/>
      <c r="MLJ111" s="17"/>
      <c r="MLK111" s="17"/>
      <c r="MLL111" s="17"/>
      <c r="MLM111" s="17"/>
      <c r="MLN111" s="17"/>
      <c r="MLO111" s="17"/>
      <c r="MLP111" s="17"/>
      <c r="MLQ111" s="17"/>
      <c r="MLR111" s="17"/>
      <c r="MLS111" s="17"/>
      <c r="MLT111" s="17"/>
      <c r="MLU111" s="17"/>
      <c r="MLV111" s="17"/>
      <c r="MLW111" s="17"/>
      <c r="MLX111" s="17"/>
      <c r="MLY111" s="17"/>
      <c r="MLZ111" s="17"/>
      <c r="MMA111" s="17"/>
      <c r="MMB111" s="17"/>
      <c r="MMC111" s="17"/>
      <c r="MMD111" s="17"/>
      <c r="MME111" s="17"/>
      <c r="MMF111" s="17"/>
      <c r="MMG111" s="17"/>
      <c r="MMH111" s="17"/>
      <c r="MMI111" s="17"/>
      <c r="MMJ111" s="17"/>
      <c r="MMK111" s="17"/>
      <c r="MML111" s="17"/>
      <c r="MMM111" s="17"/>
      <c r="MMN111" s="17"/>
      <c r="MMO111" s="17"/>
      <c r="MMP111" s="17"/>
      <c r="MMQ111" s="17"/>
      <c r="MMR111" s="17"/>
      <c r="MMS111" s="17"/>
      <c r="MMT111" s="17"/>
      <c r="MMU111" s="17"/>
      <c r="MMV111" s="17"/>
      <c r="MMW111" s="17"/>
      <c r="MMX111" s="17"/>
      <c r="MMY111" s="17"/>
      <c r="MMZ111" s="17"/>
      <c r="MNA111" s="17"/>
      <c r="MNB111" s="17"/>
      <c r="MNC111" s="17"/>
      <c r="MND111" s="17"/>
      <c r="MNE111" s="17"/>
      <c r="MNF111" s="17"/>
      <c r="MNG111" s="17"/>
      <c r="MNH111" s="17"/>
      <c r="MNI111" s="17"/>
      <c r="MNJ111" s="17"/>
      <c r="MNK111" s="17"/>
      <c r="MNL111" s="17"/>
      <c r="MNM111" s="17"/>
      <c r="MNN111" s="17"/>
      <c r="MNO111" s="17"/>
      <c r="MNP111" s="17"/>
      <c r="MNQ111" s="17"/>
      <c r="MNR111" s="17"/>
      <c r="MNS111" s="17"/>
      <c r="MNT111" s="17"/>
      <c r="MNU111" s="17"/>
      <c r="MNV111" s="17"/>
      <c r="MNW111" s="17"/>
      <c r="MNX111" s="17"/>
      <c r="MNY111" s="17"/>
      <c r="MNZ111" s="17"/>
      <c r="MOA111" s="17"/>
      <c r="MOB111" s="17"/>
      <c r="MOC111" s="17"/>
      <c r="MOD111" s="17"/>
      <c r="MOE111" s="17"/>
      <c r="MOF111" s="17"/>
      <c r="MOG111" s="17"/>
      <c r="MOH111" s="17"/>
      <c r="MOI111" s="17"/>
      <c r="MOJ111" s="17"/>
      <c r="MOK111" s="17"/>
      <c r="MOL111" s="17"/>
      <c r="MOM111" s="17"/>
      <c r="MON111" s="17"/>
      <c r="MOO111" s="17"/>
      <c r="MOP111" s="17"/>
      <c r="MOQ111" s="17"/>
      <c r="MOR111" s="17"/>
      <c r="MOS111" s="17"/>
      <c r="MOT111" s="17"/>
      <c r="MOU111" s="17"/>
      <c r="MOV111" s="17"/>
      <c r="MOW111" s="17"/>
      <c r="MOX111" s="17"/>
      <c r="MOY111" s="17"/>
      <c r="MOZ111" s="17"/>
      <c r="MPA111" s="17"/>
      <c r="MPB111" s="17"/>
      <c r="MPC111" s="17"/>
      <c r="MPD111" s="17"/>
      <c r="MPE111" s="17"/>
      <c r="MPF111" s="17"/>
      <c r="MPG111" s="17"/>
      <c r="MPH111" s="17"/>
      <c r="MPI111" s="17"/>
      <c r="MPJ111" s="17"/>
      <c r="MPK111" s="17"/>
      <c r="MPL111" s="17"/>
      <c r="MPM111" s="17"/>
      <c r="MPN111" s="17"/>
      <c r="MPO111" s="17"/>
      <c r="MPP111" s="17"/>
      <c r="MPQ111" s="17"/>
      <c r="MPR111" s="17"/>
      <c r="MPS111" s="17"/>
      <c r="MPT111" s="17"/>
      <c r="MPU111" s="17"/>
      <c r="MPV111" s="17"/>
      <c r="MPW111" s="17"/>
      <c r="MPX111" s="17"/>
      <c r="MPY111" s="17"/>
      <c r="MPZ111" s="17"/>
      <c r="MQA111" s="17"/>
      <c r="MQB111" s="17"/>
      <c r="MQC111" s="17"/>
      <c r="MQD111" s="17"/>
      <c r="MQE111" s="17"/>
      <c r="MQF111" s="17"/>
      <c r="MQG111" s="17"/>
      <c r="MQH111" s="17"/>
      <c r="MQI111" s="17"/>
      <c r="MQJ111" s="17"/>
      <c r="MQK111" s="17"/>
      <c r="MQL111" s="17"/>
      <c r="MQM111" s="17"/>
      <c r="MQN111" s="17"/>
      <c r="MQO111" s="17"/>
      <c r="MQP111" s="17"/>
      <c r="MQQ111" s="17"/>
      <c r="MQR111" s="17"/>
      <c r="MQS111" s="17"/>
      <c r="MQT111" s="17"/>
      <c r="MQU111" s="17"/>
      <c r="MQV111" s="17"/>
      <c r="MQW111" s="17"/>
      <c r="MQX111" s="17"/>
      <c r="MQY111" s="17"/>
      <c r="MQZ111" s="17"/>
      <c r="MRA111" s="17"/>
      <c r="MRB111" s="17"/>
      <c r="MRC111" s="17"/>
      <c r="MRD111" s="17"/>
      <c r="MRE111" s="17"/>
      <c r="MRF111" s="17"/>
      <c r="MRG111" s="17"/>
      <c r="MRH111" s="17"/>
      <c r="MRI111" s="17"/>
      <c r="MRJ111" s="17"/>
      <c r="MRK111" s="17"/>
      <c r="MRL111" s="17"/>
      <c r="MRM111" s="17"/>
      <c r="MRN111" s="17"/>
      <c r="MRO111" s="17"/>
      <c r="MRP111" s="17"/>
      <c r="MRQ111" s="17"/>
      <c r="MRR111" s="17"/>
      <c r="MRS111" s="17"/>
      <c r="MRT111" s="17"/>
      <c r="MRU111" s="17"/>
      <c r="MRV111" s="17"/>
      <c r="MRW111" s="17"/>
      <c r="MRX111" s="17"/>
      <c r="MRY111" s="17"/>
      <c r="MRZ111" s="17"/>
      <c r="MSA111" s="17"/>
      <c r="MSB111" s="17"/>
      <c r="MSC111" s="17"/>
      <c r="MSD111" s="17"/>
      <c r="MSE111" s="17"/>
      <c r="MSF111" s="17"/>
      <c r="MSG111" s="17"/>
      <c r="MSH111" s="17"/>
      <c r="MSI111" s="17"/>
      <c r="MSJ111" s="17"/>
      <c r="MSK111" s="17"/>
      <c r="MSL111" s="17"/>
      <c r="MSM111" s="17"/>
      <c r="MSN111" s="17"/>
      <c r="MSO111" s="17"/>
      <c r="MSP111" s="17"/>
      <c r="MSQ111" s="17"/>
      <c r="MSR111" s="17"/>
      <c r="MSS111" s="17"/>
      <c r="MST111" s="17"/>
      <c r="MSU111" s="17"/>
      <c r="MSV111" s="17"/>
      <c r="MSW111" s="17"/>
      <c r="MSX111" s="17"/>
      <c r="MSY111" s="17"/>
      <c r="MSZ111" s="17"/>
      <c r="MTA111" s="17"/>
      <c r="MTB111" s="17"/>
      <c r="MTC111" s="17"/>
      <c r="MTD111" s="17"/>
      <c r="MTE111" s="17"/>
      <c r="MTF111" s="17"/>
      <c r="MTG111" s="17"/>
      <c r="MTH111" s="17"/>
      <c r="MTI111" s="17"/>
      <c r="MTJ111" s="17"/>
      <c r="MTK111" s="17"/>
      <c r="MTL111" s="17"/>
      <c r="MTM111" s="17"/>
      <c r="MTN111" s="17"/>
      <c r="MTO111" s="17"/>
      <c r="MTP111" s="17"/>
      <c r="MTQ111" s="17"/>
      <c r="MTR111" s="17"/>
      <c r="MTS111" s="17"/>
      <c r="MTT111" s="17"/>
      <c r="MTU111" s="17"/>
      <c r="MTV111" s="17"/>
      <c r="MTW111" s="17"/>
      <c r="MTX111" s="17"/>
      <c r="MTY111" s="17"/>
      <c r="MTZ111" s="17"/>
      <c r="MUA111" s="17"/>
      <c r="MUB111" s="17"/>
      <c r="MUC111" s="17"/>
      <c r="MUD111" s="17"/>
      <c r="MUE111" s="17"/>
      <c r="MUF111" s="17"/>
      <c r="MUG111" s="17"/>
      <c r="MUH111" s="17"/>
      <c r="MUI111" s="17"/>
      <c r="MUJ111" s="17"/>
      <c r="MUK111" s="17"/>
      <c r="MUL111" s="17"/>
      <c r="MUM111" s="17"/>
      <c r="MUN111" s="17"/>
      <c r="MUO111" s="17"/>
      <c r="MUP111" s="17"/>
      <c r="MUQ111" s="17"/>
      <c r="MUR111" s="17"/>
      <c r="MUS111" s="17"/>
      <c r="MUT111" s="17"/>
      <c r="MUU111" s="17"/>
      <c r="MUV111" s="17"/>
      <c r="MUW111" s="17"/>
      <c r="MUX111" s="17"/>
      <c r="MUY111" s="17"/>
      <c r="MUZ111" s="17"/>
      <c r="MVA111" s="17"/>
      <c r="MVB111" s="17"/>
      <c r="MVC111" s="17"/>
      <c r="MVD111" s="17"/>
      <c r="MVE111" s="17"/>
      <c r="MVF111" s="17"/>
      <c r="MVG111" s="17"/>
      <c r="MVH111" s="17"/>
      <c r="MVI111" s="17"/>
      <c r="MVJ111" s="17"/>
      <c r="MVK111" s="17"/>
      <c r="MVL111" s="17"/>
      <c r="MVM111" s="17"/>
      <c r="MVN111" s="17"/>
      <c r="MVO111" s="17"/>
      <c r="MVP111" s="17"/>
      <c r="MVQ111" s="17"/>
      <c r="MVR111" s="17"/>
      <c r="MVS111" s="17"/>
      <c r="MVT111" s="17"/>
      <c r="MVU111" s="17"/>
      <c r="MVV111" s="17"/>
      <c r="MVW111" s="17"/>
      <c r="MVX111" s="17"/>
      <c r="MVY111" s="17"/>
      <c r="MVZ111" s="17"/>
      <c r="MWA111" s="17"/>
      <c r="MWB111" s="17"/>
      <c r="MWC111" s="17"/>
      <c r="MWD111" s="17"/>
      <c r="MWE111" s="17"/>
      <c r="MWF111" s="17"/>
      <c r="MWG111" s="17"/>
      <c r="MWH111" s="17"/>
      <c r="MWI111" s="17"/>
      <c r="MWJ111" s="17"/>
      <c r="MWK111" s="17"/>
      <c r="MWL111" s="17"/>
      <c r="MWM111" s="17"/>
      <c r="MWN111" s="17"/>
      <c r="MWO111" s="17"/>
      <c r="MWP111" s="17"/>
      <c r="MWQ111" s="17"/>
      <c r="MWR111" s="17"/>
      <c r="MWS111" s="17"/>
      <c r="MWT111" s="17"/>
      <c r="MWU111" s="17"/>
      <c r="MWV111" s="17"/>
      <c r="MWW111" s="17"/>
      <c r="MWX111" s="17"/>
      <c r="MWY111" s="17"/>
      <c r="MWZ111" s="17"/>
      <c r="MXA111" s="17"/>
      <c r="MXB111" s="17"/>
      <c r="MXC111" s="17"/>
      <c r="MXD111" s="17"/>
      <c r="MXE111" s="17"/>
      <c r="MXF111" s="17"/>
      <c r="MXG111" s="17"/>
      <c r="MXH111" s="17"/>
      <c r="MXI111" s="17"/>
      <c r="MXJ111" s="17"/>
      <c r="MXK111" s="17"/>
      <c r="MXL111" s="17"/>
      <c r="MXM111" s="17"/>
      <c r="MXN111" s="17"/>
      <c r="MXO111" s="17"/>
      <c r="MXP111" s="17"/>
      <c r="MXQ111" s="17"/>
      <c r="MXR111" s="17"/>
      <c r="MXS111" s="17"/>
      <c r="MXT111" s="17"/>
      <c r="MXU111" s="17"/>
      <c r="MXV111" s="17"/>
      <c r="MXW111" s="17"/>
      <c r="MXX111" s="17"/>
      <c r="MXY111" s="17"/>
      <c r="MXZ111" s="17"/>
      <c r="MYA111" s="17"/>
      <c r="MYB111" s="17"/>
      <c r="MYC111" s="17"/>
      <c r="MYD111" s="17"/>
      <c r="MYE111" s="17"/>
      <c r="MYF111" s="17"/>
      <c r="MYG111" s="17"/>
      <c r="MYH111" s="17"/>
      <c r="MYI111" s="17"/>
      <c r="MYJ111" s="17"/>
      <c r="MYK111" s="17"/>
      <c r="MYL111" s="17"/>
      <c r="MYM111" s="17"/>
      <c r="MYN111" s="17"/>
      <c r="MYO111" s="17"/>
      <c r="MYP111" s="17"/>
      <c r="MYQ111" s="17"/>
      <c r="MYR111" s="17"/>
      <c r="MYS111" s="17"/>
      <c r="MYT111" s="17"/>
      <c r="MYU111" s="17"/>
      <c r="MYV111" s="17"/>
      <c r="MYW111" s="17"/>
      <c r="MYX111" s="17"/>
      <c r="MYY111" s="17"/>
      <c r="MYZ111" s="17"/>
      <c r="MZA111" s="17"/>
      <c r="MZB111" s="17"/>
      <c r="MZC111" s="17"/>
      <c r="MZD111" s="17"/>
      <c r="MZE111" s="17"/>
      <c r="MZF111" s="17"/>
      <c r="MZG111" s="17"/>
      <c r="MZH111" s="17"/>
      <c r="MZI111" s="17"/>
      <c r="MZJ111" s="17"/>
      <c r="MZK111" s="17"/>
      <c r="MZL111" s="17"/>
      <c r="MZM111" s="17"/>
      <c r="MZN111" s="17"/>
      <c r="MZO111" s="17"/>
      <c r="MZP111" s="17"/>
      <c r="MZQ111" s="17"/>
      <c r="MZR111" s="17"/>
      <c r="MZS111" s="17"/>
      <c r="MZT111" s="17"/>
      <c r="MZU111" s="17"/>
      <c r="MZV111" s="17"/>
      <c r="MZW111" s="17"/>
      <c r="MZX111" s="17"/>
      <c r="MZY111" s="17"/>
      <c r="MZZ111" s="17"/>
      <c r="NAA111" s="17"/>
      <c r="NAB111" s="17"/>
      <c r="NAC111" s="17"/>
      <c r="NAD111" s="17"/>
      <c r="NAE111" s="17"/>
      <c r="NAF111" s="17"/>
      <c r="NAG111" s="17"/>
      <c r="NAH111" s="17"/>
      <c r="NAI111" s="17"/>
      <c r="NAJ111" s="17"/>
      <c r="NAK111" s="17"/>
      <c r="NAL111" s="17"/>
      <c r="NAM111" s="17"/>
      <c r="NAN111" s="17"/>
      <c r="NAO111" s="17"/>
      <c r="NAP111" s="17"/>
      <c r="NAQ111" s="17"/>
      <c r="NAR111" s="17"/>
      <c r="NAS111" s="17"/>
      <c r="NAT111" s="17"/>
      <c r="NAU111" s="17"/>
      <c r="NAV111" s="17"/>
      <c r="NAW111" s="17"/>
      <c r="NAX111" s="17"/>
      <c r="NAY111" s="17"/>
      <c r="NAZ111" s="17"/>
      <c r="NBA111" s="17"/>
      <c r="NBB111" s="17"/>
      <c r="NBC111" s="17"/>
      <c r="NBD111" s="17"/>
      <c r="NBE111" s="17"/>
      <c r="NBF111" s="17"/>
      <c r="NBG111" s="17"/>
      <c r="NBH111" s="17"/>
      <c r="NBI111" s="17"/>
      <c r="NBJ111" s="17"/>
      <c r="NBK111" s="17"/>
      <c r="NBL111" s="17"/>
      <c r="NBM111" s="17"/>
      <c r="NBN111" s="17"/>
      <c r="NBO111" s="17"/>
      <c r="NBP111" s="17"/>
      <c r="NBQ111" s="17"/>
      <c r="NBR111" s="17"/>
      <c r="NBS111" s="17"/>
      <c r="NBT111" s="17"/>
      <c r="NBU111" s="17"/>
      <c r="NBV111" s="17"/>
      <c r="NBW111" s="17"/>
      <c r="NBX111" s="17"/>
      <c r="NBY111" s="17"/>
      <c r="NBZ111" s="17"/>
      <c r="NCA111" s="17"/>
      <c r="NCB111" s="17"/>
      <c r="NCC111" s="17"/>
      <c r="NCD111" s="17"/>
      <c r="NCE111" s="17"/>
      <c r="NCF111" s="17"/>
      <c r="NCG111" s="17"/>
      <c r="NCH111" s="17"/>
      <c r="NCI111" s="17"/>
      <c r="NCJ111" s="17"/>
      <c r="NCK111" s="17"/>
      <c r="NCL111" s="17"/>
      <c r="NCM111" s="17"/>
      <c r="NCN111" s="17"/>
      <c r="NCO111" s="17"/>
      <c r="NCP111" s="17"/>
      <c r="NCQ111" s="17"/>
      <c r="NCR111" s="17"/>
      <c r="NCS111" s="17"/>
      <c r="NCT111" s="17"/>
      <c r="NCU111" s="17"/>
      <c r="NCV111" s="17"/>
      <c r="NCW111" s="17"/>
      <c r="NCX111" s="17"/>
      <c r="NCY111" s="17"/>
      <c r="NCZ111" s="17"/>
      <c r="NDA111" s="17"/>
      <c r="NDB111" s="17"/>
      <c r="NDC111" s="17"/>
      <c r="NDD111" s="17"/>
      <c r="NDE111" s="17"/>
      <c r="NDF111" s="17"/>
      <c r="NDG111" s="17"/>
      <c r="NDH111" s="17"/>
      <c r="NDI111" s="17"/>
      <c r="NDJ111" s="17"/>
      <c r="NDK111" s="17"/>
      <c r="NDL111" s="17"/>
      <c r="NDM111" s="17"/>
      <c r="NDN111" s="17"/>
      <c r="NDO111" s="17"/>
      <c r="NDP111" s="17"/>
      <c r="NDQ111" s="17"/>
      <c r="NDR111" s="17"/>
      <c r="NDS111" s="17"/>
      <c r="NDT111" s="17"/>
      <c r="NDU111" s="17"/>
      <c r="NDV111" s="17"/>
      <c r="NDW111" s="17"/>
      <c r="NDX111" s="17"/>
      <c r="NDY111" s="17"/>
      <c r="NDZ111" s="17"/>
      <c r="NEA111" s="17"/>
      <c r="NEB111" s="17"/>
      <c r="NEC111" s="17"/>
      <c r="NED111" s="17"/>
      <c r="NEE111" s="17"/>
      <c r="NEF111" s="17"/>
      <c r="NEG111" s="17"/>
      <c r="NEH111" s="17"/>
      <c r="NEI111" s="17"/>
      <c r="NEJ111" s="17"/>
      <c r="NEK111" s="17"/>
      <c r="NEL111" s="17"/>
      <c r="NEM111" s="17"/>
      <c r="NEN111" s="17"/>
      <c r="NEO111" s="17"/>
      <c r="NEP111" s="17"/>
      <c r="NEQ111" s="17"/>
      <c r="NER111" s="17"/>
      <c r="NES111" s="17"/>
      <c r="NET111" s="17"/>
      <c r="NEU111" s="17"/>
      <c r="NEV111" s="17"/>
      <c r="NEW111" s="17"/>
      <c r="NEX111" s="17"/>
      <c r="NEY111" s="17"/>
      <c r="NEZ111" s="17"/>
      <c r="NFA111" s="17"/>
      <c r="NFB111" s="17"/>
      <c r="NFC111" s="17"/>
      <c r="NFD111" s="17"/>
      <c r="NFE111" s="17"/>
      <c r="NFF111" s="17"/>
      <c r="NFG111" s="17"/>
      <c r="NFH111" s="17"/>
      <c r="NFI111" s="17"/>
      <c r="NFJ111" s="17"/>
      <c r="NFK111" s="17"/>
      <c r="NFL111" s="17"/>
      <c r="NFM111" s="17"/>
      <c r="NFN111" s="17"/>
      <c r="NFO111" s="17"/>
      <c r="NFP111" s="17"/>
      <c r="NFQ111" s="17"/>
      <c r="NFR111" s="17"/>
      <c r="NFS111" s="17"/>
      <c r="NFT111" s="17"/>
      <c r="NFU111" s="17"/>
      <c r="NFV111" s="17"/>
      <c r="NFW111" s="17"/>
      <c r="NFX111" s="17"/>
      <c r="NFY111" s="17"/>
      <c r="NFZ111" s="17"/>
      <c r="NGA111" s="17"/>
      <c r="NGB111" s="17"/>
      <c r="NGC111" s="17"/>
      <c r="NGD111" s="17"/>
      <c r="NGE111" s="17"/>
      <c r="NGF111" s="17"/>
      <c r="NGG111" s="17"/>
      <c r="NGH111" s="17"/>
      <c r="NGI111" s="17"/>
      <c r="NGJ111" s="17"/>
      <c r="NGK111" s="17"/>
      <c r="NGL111" s="17"/>
      <c r="NGM111" s="17"/>
      <c r="NGN111" s="17"/>
      <c r="NGO111" s="17"/>
      <c r="NGP111" s="17"/>
      <c r="NGQ111" s="17"/>
      <c r="NGR111" s="17"/>
      <c r="NGS111" s="17"/>
      <c r="NGT111" s="17"/>
      <c r="NGU111" s="17"/>
      <c r="NGV111" s="17"/>
      <c r="NGW111" s="17"/>
      <c r="NGX111" s="17"/>
      <c r="NGY111" s="17"/>
      <c r="NGZ111" s="17"/>
      <c r="NHA111" s="17"/>
      <c r="NHB111" s="17"/>
      <c r="NHC111" s="17"/>
      <c r="NHD111" s="17"/>
      <c r="NHE111" s="17"/>
      <c r="NHF111" s="17"/>
      <c r="NHG111" s="17"/>
      <c r="NHH111" s="17"/>
      <c r="NHI111" s="17"/>
      <c r="NHJ111" s="17"/>
      <c r="NHK111" s="17"/>
      <c r="NHL111" s="17"/>
      <c r="NHM111" s="17"/>
      <c r="NHN111" s="17"/>
      <c r="NHO111" s="17"/>
      <c r="NHP111" s="17"/>
      <c r="NHQ111" s="17"/>
      <c r="NHR111" s="17"/>
      <c r="NHS111" s="17"/>
      <c r="NHT111" s="17"/>
      <c r="NHU111" s="17"/>
      <c r="NHV111" s="17"/>
      <c r="NHW111" s="17"/>
      <c r="NHX111" s="17"/>
      <c r="NHY111" s="17"/>
      <c r="NHZ111" s="17"/>
      <c r="NIA111" s="17"/>
      <c r="NIB111" s="17"/>
      <c r="NIC111" s="17"/>
      <c r="NID111" s="17"/>
      <c r="NIE111" s="17"/>
      <c r="NIF111" s="17"/>
      <c r="NIG111" s="17"/>
      <c r="NIH111" s="17"/>
      <c r="NII111" s="17"/>
      <c r="NIJ111" s="17"/>
      <c r="NIK111" s="17"/>
      <c r="NIL111" s="17"/>
      <c r="NIM111" s="17"/>
      <c r="NIN111" s="17"/>
      <c r="NIO111" s="17"/>
      <c r="NIP111" s="17"/>
      <c r="NIQ111" s="17"/>
      <c r="NIR111" s="17"/>
      <c r="NIS111" s="17"/>
      <c r="NIT111" s="17"/>
      <c r="NIU111" s="17"/>
      <c r="NIV111" s="17"/>
      <c r="NIW111" s="17"/>
      <c r="NIX111" s="17"/>
      <c r="NIY111" s="17"/>
      <c r="NIZ111" s="17"/>
      <c r="NJA111" s="17"/>
      <c r="NJB111" s="17"/>
      <c r="NJC111" s="17"/>
      <c r="NJD111" s="17"/>
      <c r="NJE111" s="17"/>
      <c r="NJF111" s="17"/>
      <c r="NJG111" s="17"/>
      <c r="NJH111" s="17"/>
      <c r="NJI111" s="17"/>
      <c r="NJJ111" s="17"/>
      <c r="NJK111" s="17"/>
      <c r="NJL111" s="17"/>
      <c r="NJM111" s="17"/>
      <c r="NJN111" s="17"/>
      <c r="NJO111" s="17"/>
      <c r="NJP111" s="17"/>
      <c r="NJQ111" s="17"/>
      <c r="NJR111" s="17"/>
      <c r="NJS111" s="17"/>
      <c r="NJT111" s="17"/>
      <c r="NJU111" s="17"/>
      <c r="NJV111" s="17"/>
      <c r="NJW111" s="17"/>
      <c r="NJX111" s="17"/>
      <c r="NJY111" s="17"/>
      <c r="NJZ111" s="17"/>
      <c r="NKA111" s="17"/>
      <c r="NKB111" s="17"/>
      <c r="NKC111" s="17"/>
      <c r="NKD111" s="17"/>
      <c r="NKE111" s="17"/>
      <c r="NKF111" s="17"/>
      <c r="NKG111" s="17"/>
      <c r="NKH111" s="17"/>
      <c r="NKI111" s="17"/>
      <c r="NKJ111" s="17"/>
      <c r="NKK111" s="17"/>
      <c r="NKL111" s="17"/>
      <c r="NKM111" s="17"/>
      <c r="NKN111" s="17"/>
      <c r="NKO111" s="17"/>
      <c r="NKP111" s="17"/>
      <c r="NKQ111" s="17"/>
      <c r="NKR111" s="17"/>
      <c r="NKS111" s="17"/>
      <c r="NKT111" s="17"/>
      <c r="NKU111" s="17"/>
      <c r="NKV111" s="17"/>
      <c r="NKW111" s="17"/>
      <c r="NKX111" s="17"/>
      <c r="NKY111" s="17"/>
      <c r="NKZ111" s="17"/>
      <c r="NLA111" s="17"/>
      <c r="NLB111" s="17"/>
      <c r="NLC111" s="17"/>
      <c r="NLD111" s="17"/>
      <c r="NLE111" s="17"/>
      <c r="NLF111" s="17"/>
      <c r="NLG111" s="17"/>
      <c r="NLH111" s="17"/>
      <c r="NLI111" s="17"/>
      <c r="NLJ111" s="17"/>
      <c r="NLK111" s="17"/>
      <c r="NLL111" s="17"/>
      <c r="NLM111" s="17"/>
      <c r="NLN111" s="17"/>
      <c r="NLO111" s="17"/>
      <c r="NLP111" s="17"/>
      <c r="NLQ111" s="17"/>
      <c r="NLR111" s="17"/>
      <c r="NLS111" s="17"/>
      <c r="NLT111" s="17"/>
      <c r="NLU111" s="17"/>
      <c r="NLV111" s="17"/>
      <c r="NLW111" s="17"/>
      <c r="NLX111" s="17"/>
      <c r="NLY111" s="17"/>
      <c r="NLZ111" s="17"/>
      <c r="NMA111" s="17"/>
      <c r="NMB111" s="17"/>
      <c r="NMC111" s="17"/>
      <c r="NMD111" s="17"/>
      <c r="NME111" s="17"/>
      <c r="NMF111" s="17"/>
      <c r="NMG111" s="17"/>
      <c r="NMH111" s="17"/>
      <c r="NMI111" s="17"/>
      <c r="NMJ111" s="17"/>
      <c r="NMK111" s="17"/>
      <c r="NML111" s="17"/>
      <c r="NMM111" s="17"/>
      <c r="NMN111" s="17"/>
      <c r="NMO111" s="17"/>
      <c r="NMP111" s="17"/>
      <c r="NMQ111" s="17"/>
      <c r="NMR111" s="17"/>
      <c r="NMS111" s="17"/>
      <c r="NMT111" s="17"/>
      <c r="NMU111" s="17"/>
      <c r="NMV111" s="17"/>
      <c r="NMW111" s="17"/>
      <c r="NMX111" s="17"/>
      <c r="NMY111" s="17"/>
      <c r="NMZ111" s="17"/>
      <c r="NNA111" s="17"/>
      <c r="NNB111" s="17"/>
      <c r="NNC111" s="17"/>
      <c r="NND111" s="17"/>
      <c r="NNE111" s="17"/>
      <c r="NNF111" s="17"/>
      <c r="NNG111" s="17"/>
      <c r="NNH111" s="17"/>
      <c r="NNI111" s="17"/>
      <c r="NNJ111" s="17"/>
      <c r="NNK111" s="17"/>
      <c r="NNL111" s="17"/>
      <c r="NNM111" s="17"/>
      <c r="NNN111" s="17"/>
      <c r="NNO111" s="17"/>
      <c r="NNP111" s="17"/>
      <c r="NNQ111" s="17"/>
      <c r="NNR111" s="17"/>
      <c r="NNS111" s="17"/>
      <c r="NNT111" s="17"/>
      <c r="NNU111" s="17"/>
      <c r="NNV111" s="17"/>
      <c r="NNW111" s="17"/>
      <c r="NNX111" s="17"/>
      <c r="NNY111" s="17"/>
      <c r="NNZ111" s="17"/>
      <c r="NOA111" s="17"/>
      <c r="NOB111" s="17"/>
      <c r="NOC111" s="17"/>
      <c r="NOD111" s="17"/>
      <c r="NOE111" s="17"/>
      <c r="NOF111" s="17"/>
      <c r="NOG111" s="17"/>
      <c r="NOH111" s="17"/>
      <c r="NOI111" s="17"/>
      <c r="NOJ111" s="17"/>
      <c r="NOK111" s="17"/>
      <c r="NOL111" s="17"/>
      <c r="NOM111" s="17"/>
      <c r="NON111" s="17"/>
      <c r="NOO111" s="17"/>
      <c r="NOP111" s="17"/>
      <c r="NOQ111" s="17"/>
      <c r="NOR111" s="17"/>
      <c r="NOS111" s="17"/>
      <c r="NOT111" s="17"/>
      <c r="NOU111" s="17"/>
      <c r="NOV111" s="17"/>
      <c r="NOW111" s="17"/>
      <c r="NOX111" s="17"/>
      <c r="NOY111" s="17"/>
      <c r="NOZ111" s="17"/>
      <c r="NPA111" s="17"/>
      <c r="NPB111" s="17"/>
      <c r="NPC111" s="17"/>
      <c r="NPD111" s="17"/>
      <c r="NPE111" s="17"/>
      <c r="NPF111" s="17"/>
      <c r="NPG111" s="17"/>
      <c r="NPH111" s="17"/>
      <c r="NPI111" s="17"/>
      <c r="NPJ111" s="17"/>
      <c r="NPK111" s="17"/>
      <c r="NPL111" s="17"/>
      <c r="NPM111" s="17"/>
      <c r="NPN111" s="17"/>
      <c r="NPO111" s="17"/>
      <c r="NPP111" s="17"/>
      <c r="NPQ111" s="17"/>
      <c r="NPR111" s="17"/>
      <c r="NPS111" s="17"/>
      <c r="NPT111" s="17"/>
      <c r="NPU111" s="17"/>
      <c r="NPV111" s="17"/>
      <c r="NPW111" s="17"/>
      <c r="NPX111" s="17"/>
      <c r="NPY111" s="17"/>
      <c r="NPZ111" s="17"/>
      <c r="NQA111" s="17"/>
      <c r="NQB111" s="17"/>
      <c r="NQC111" s="17"/>
      <c r="NQD111" s="17"/>
      <c r="NQE111" s="17"/>
      <c r="NQF111" s="17"/>
      <c r="NQG111" s="17"/>
      <c r="NQH111" s="17"/>
      <c r="NQI111" s="17"/>
      <c r="NQJ111" s="17"/>
      <c r="NQK111" s="17"/>
      <c r="NQL111" s="17"/>
      <c r="NQM111" s="17"/>
      <c r="NQN111" s="17"/>
      <c r="NQO111" s="17"/>
      <c r="NQP111" s="17"/>
      <c r="NQQ111" s="17"/>
      <c r="NQR111" s="17"/>
      <c r="NQS111" s="17"/>
      <c r="NQT111" s="17"/>
      <c r="NQU111" s="17"/>
      <c r="NQV111" s="17"/>
      <c r="NQW111" s="17"/>
      <c r="NQX111" s="17"/>
      <c r="NQY111" s="17"/>
      <c r="NQZ111" s="17"/>
      <c r="NRA111" s="17"/>
      <c r="NRB111" s="17"/>
      <c r="NRC111" s="17"/>
      <c r="NRD111" s="17"/>
      <c r="NRE111" s="17"/>
      <c r="NRF111" s="17"/>
      <c r="NRG111" s="17"/>
      <c r="NRH111" s="17"/>
      <c r="NRI111" s="17"/>
      <c r="NRJ111" s="17"/>
      <c r="NRK111" s="17"/>
      <c r="NRL111" s="17"/>
      <c r="NRM111" s="17"/>
      <c r="NRN111" s="17"/>
      <c r="NRO111" s="17"/>
      <c r="NRP111" s="17"/>
      <c r="NRQ111" s="17"/>
      <c r="NRR111" s="17"/>
      <c r="NRS111" s="17"/>
      <c r="NRT111" s="17"/>
      <c r="NRU111" s="17"/>
      <c r="NRV111" s="17"/>
      <c r="NRW111" s="17"/>
      <c r="NRX111" s="17"/>
      <c r="NRY111" s="17"/>
      <c r="NRZ111" s="17"/>
      <c r="NSA111" s="17"/>
      <c r="NSB111" s="17"/>
      <c r="NSC111" s="17"/>
      <c r="NSD111" s="17"/>
      <c r="NSE111" s="17"/>
      <c r="NSF111" s="17"/>
      <c r="NSG111" s="17"/>
      <c r="NSH111" s="17"/>
      <c r="NSI111" s="17"/>
      <c r="NSJ111" s="17"/>
      <c r="NSK111" s="17"/>
      <c r="NSL111" s="17"/>
      <c r="NSM111" s="17"/>
      <c r="NSN111" s="17"/>
      <c r="NSO111" s="17"/>
      <c r="NSP111" s="17"/>
      <c r="NSQ111" s="17"/>
      <c r="NSR111" s="17"/>
      <c r="NSS111" s="17"/>
      <c r="NST111" s="17"/>
      <c r="NSU111" s="17"/>
      <c r="NSV111" s="17"/>
      <c r="NSW111" s="17"/>
      <c r="NSX111" s="17"/>
      <c r="NSY111" s="17"/>
      <c r="NSZ111" s="17"/>
      <c r="NTA111" s="17"/>
      <c r="NTB111" s="17"/>
      <c r="NTC111" s="17"/>
      <c r="NTD111" s="17"/>
      <c r="NTE111" s="17"/>
      <c r="NTF111" s="17"/>
      <c r="NTG111" s="17"/>
      <c r="NTH111" s="17"/>
      <c r="NTI111" s="17"/>
      <c r="NTJ111" s="17"/>
      <c r="NTK111" s="17"/>
      <c r="NTL111" s="17"/>
      <c r="NTM111" s="17"/>
      <c r="NTN111" s="17"/>
      <c r="NTO111" s="17"/>
      <c r="NTP111" s="17"/>
      <c r="NTQ111" s="17"/>
      <c r="NTR111" s="17"/>
      <c r="NTS111" s="17"/>
      <c r="NTT111" s="17"/>
      <c r="NTU111" s="17"/>
      <c r="NTV111" s="17"/>
      <c r="NTW111" s="17"/>
      <c r="NTX111" s="17"/>
      <c r="NTY111" s="17"/>
      <c r="NTZ111" s="17"/>
      <c r="NUA111" s="17"/>
      <c r="NUB111" s="17"/>
      <c r="NUC111" s="17"/>
      <c r="NUD111" s="17"/>
      <c r="NUE111" s="17"/>
      <c r="NUF111" s="17"/>
      <c r="NUG111" s="17"/>
      <c r="NUH111" s="17"/>
      <c r="NUI111" s="17"/>
      <c r="NUJ111" s="17"/>
      <c r="NUK111" s="17"/>
      <c r="NUL111" s="17"/>
      <c r="NUM111" s="17"/>
      <c r="NUN111" s="17"/>
      <c r="NUO111" s="17"/>
      <c r="NUP111" s="17"/>
      <c r="NUQ111" s="17"/>
      <c r="NUR111" s="17"/>
      <c r="NUS111" s="17"/>
      <c r="NUT111" s="17"/>
      <c r="NUU111" s="17"/>
      <c r="NUV111" s="17"/>
      <c r="NUW111" s="17"/>
      <c r="NUX111" s="17"/>
      <c r="NUY111" s="17"/>
      <c r="NUZ111" s="17"/>
      <c r="NVA111" s="17"/>
      <c r="NVB111" s="17"/>
      <c r="NVC111" s="17"/>
      <c r="NVD111" s="17"/>
      <c r="NVE111" s="17"/>
      <c r="NVF111" s="17"/>
      <c r="NVG111" s="17"/>
      <c r="NVH111" s="17"/>
      <c r="NVI111" s="17"/>
      <c r="NVJ111" s="17"/>
      <c r="NVK111" s="17"/>
      <c r="NVL111" s="17"/>
      <c r="NVM111" s="17"/>
      <c r="NVN111" s="17"/>
      <c r="NVO111" s="17"/>
      <c r="NVP111" s="17"/>
      <c r="NVQ111" s="17"/>
      <c r="NVR111" s="17"/>
      <c r="NVS111" s="17"/>
      <c r="NVT111" s="17"/>
      <c r="NVU111" s="17"/>
      <c r="NVV111" s="17"/>
      <c r="NVW111" s="17"/>
      <c r="NVX111" s="17"/>
      <c r="NVY111" s="17"/>
      <c r="NVZ111" s="17"/>
      <c r="NWA111" s="17"/>
      <c r="NWB111" s="17"/>
      <c r="NWC111" s="17"/>
      <c r="NWD111" s="17"/>
      <c r="NWE111" s="17"/>
      <c r="NWF111" s="17"/>
      <c r="NWG111" s="17"/>
      <c r="NWH111" s="17"/>
      <c r="NWI111" s="17"/>
      <c r="NWJ111" s="17"/>
      <c r="NWK111" s="17"/>
      <c r="NWL111" s="17"/>
      <c r="NWM111" s="17"/>
      <c r="NWN111" s="17"/>
      <c r="NWO111" s="17"/>
      <c r="NWP111" s="17"/>
      <c r="NWQ111" s="17"/>
      <c r="NWR111" s="17"/>
      <c r="NWS111" s="17"/>
      <c r="NWT111" s="17"/>
      <c r="NWU111" s="17"/>
      <c r="NWV111" s="17"/>
      <c r="NWW111" s="17"/>
      <c r="NWX111" s="17"/>
      <c r="NWY111" s="17"/>
      <c r="NWZ111" s="17"/>
      <c r="NXA111" s="17"/>
      <c r="NXB111" s="17"/>
      <c r="NXC111" s="17"/>
      <c r="NXD111" s="17"/>
      <c r="NXE111" s="17"/>
      <c r="NXF111" s="17"/>
      <c r="NXG111" s="17"/>
      <c r="NXH111" s="17"/>
      <c r="NXI111" s="17"/>
      <c r="NXJ111" s="17"/>
      <c r="NXK111" s="17"/>
      <c r="NXL111" s="17"/>
      <c r="NXM111" s="17"/>
      <c r="NXN111" s="17"/>
      <c r="NXO111" s="17"/>
      <c r="NXP111" s="17"/>
      <c r="NXQ111" s="17"/>
      <c r="NXR111" s="17"/>
      <c r="NXS111" s="17"/>
      <c r="NXT111" s="17"/>
      <c r="NXU111" s="17"/>
      <c r="NXV111" s="17"/>
      <c r="NXW111" s="17"/>
      <c r="NXX111" s="17"/>
      <c r="NXY111" s="17"/>
      <c r="NXZ111" s="17"/>
      <c r="NYA111" s="17"/>
      <c r="NYB111" s="17"/>
      <c r="NYC111" s="17"/>
      <c r="NYD111" s="17"/>
      <c r="NYE111" s="17"/>
      <c r="NYF111" s="17"/>
      <c r="NYG111" s="17"/>
      <c r="NYH111" s="17"/>
      <c r="NYI111" s="17"/>
      <c r="NYJ111" s="17"/>
      <c r="NYK111" s="17"/>
      <c r="NYL111" s="17"/>
      <c r="NYM111" s="17"/>
      <c r="NYN111" s="17"/>
      <c r="NYO111" s="17"/>
      <c r="NYP111" s="17"/>
      <c r="NYQ111" s="17"/>
      <c r="NYR111" s="17"/>
      <c r="NYS111" s="17"/>
      <c r="NYT111" s="17"/>
      <c r="NYU111" s="17"/>
      <c r="NYV111" s="17"/>
      <c r="NYW111" s="17"/>
      <c r="NYX111" s="17"/>
      <c r="NYY111" s="17"/>
      <c r="NYZ111" s="17"/>
      <c r="NZA111" s="17"/>
      <c r="NZB111" s="17"/>
      <c r="NZC111" s="17"/>
      <c r="NZD111" s="17"/>
      <c r="NZE111" s="17"/>
      <c r="NZF111" s="17"/>
      <c r="NZG111" s="17"/>
      <c r="NZH111" s="17"/>
      <c r="NZI111" s="17"/>
      <c r="NZJ111" s="17"/>
      <c r="NZK111" s="17"/>
      <c r="NZL111" s="17"/>
      <c r="NZM111" s="17"/>
      <c r="NZN111" s="17"/>
      <c r="NZO111" s="17"/>
      <c r="NZP111" s="17"/>
      <c r="NZQ111" s="17"/>
      <c r="NZR111" s="17"/>
      <c r="NZS111" s="17"/>
      <c r="NZT111" s="17"/>
      <c r="NZU111" s="17"/>
      <c r="NZV111" s="17"/>
      <c r="NZW111" s="17"/>
      <c r="NZX111" s="17"/>
      <c r="NZY111" s="17"/>
      <c r="NZZ111" s="17"/>
      <c r="OAA111" s="17"/>
      <c r="OAB111" s="17"/>
      <c r="OAC111" s="17"/>
      <c r="OAD111" s="17"/>
      <c r="OAE111" s="17"/>
      <c r="OAF111" s="17"/>
      <c r="OAG111" s="17"/>
      <c r="OAH111" s="17"/>
      <c r="OAI111" s="17"/>
      <c r="OAJ111" s="17"/>
      <c r="OAK111" s="17"/>
      <c r="OAL111" s="17"/>
      <c r="OAM111" s="17"/>
      <c r="OAN111" s="17"/>
      <c r="OAO111" s="17"/>
      <c r="OAP111" s="17"/>
      <c r="OAQ111" s="17"/>
      <c r="OAR111" s="17"/>
      <c r="OAS111" s="17"/>
      <c r="OAT111" s="17"/>
      <c r="OAU111" s="17"/>
      <c r="OAV111" s="17"/>
      <c r="OAW111" s="17"/>
      <c r="OAX111" s="17"/>
      <c r="OAY111" s="17"/>
      <c r="OAZ111" s="17"/>
      <c r="OBA111" s="17"/>
      <c r="OBB111" s="17"/>
      <c r="OBC111" s="17"/>
      <c r="OBD111" s="17"/>
      <c r="OBE111" s="17"/>
      <c r="OBF111" s="17"/>
      <c r="OBG111" s="17"/>
      <c r="OBH111" s="17"/>
      <c r="OBI111" s="17"/>
      <c r="OBJ111" s="17"/>
      <c r="OBK111" s="17"/>
      <c r="OBL111" s="17"/>
      <c r="OBM111" s="17"/>
      <c r="OBN111" s="17"/>
      <c r="OBO111" s="17"/>
      <c r="OBP111" s="17"/>
      <c r="OBQ111" s="17"/>
      <c r="OBR111" s="17"/>
      <c r="OBS111" s="17"/>
      <c r="OBT111" s="17"/>
      <c r="OBU111" s="17"/>
      <c r="OBV111" s="17"/>
      <c r="OBW111" s="17"/>
      <c r="OBX111" s="17"/>
      <c r="OBY111" s="17"/>
      <c r="OBZ111" s="17"/>
      <c r="OCA111" s="17"/>
      <c r="OCB111" s="17"/>
      <c r="OCC111" s="17"/>
      <c r="OCD111" s="17"/>
      <c r="OCE111" s="17"/>
      <c r="OCF111" s="17"/>
      <c r="OCG111" s="17"/>
      <c r="OCH111" s="17"/>
      <c r="OCI111" s="17"/>
      <c r="OCJ111" s="17"/>
      <c r="OCK111" s="17"/>
      <c r="OCL111" s="17"/>
      <c r="OCM111" s="17"/>
      <c r="OCN111" s="17"/>
      <c r="OCO111" s="17"/>
      <c r="OCP111" s="17"/>
      <c r="OCQ111" s="17"/>
      <c r="OCR111" s="17"/>
      <c r="OCS111" s="17"/>
      <c r="OCT111" s="17"/>
      <c r="OCU111" s="17"/>
      <c r="OCV111" s="17"/>
      <c r="OCW111" s="17"/>
      <c r="OCX111" s="17"/>
      <c r="OCY111" s="17"/>
      <c r="OCZ111" s="17"/>
      <c r="ODA111" s="17"/>
      <c r="ODB111" s="17"/>
      <c r="ODC111" s="17"/>
      <c r="ODD111" s="17"/>
      <c r="ODE111" s="17"/>
      <c r="ODF111" s="17"/>
      <c r="ODG111" s="17"/>
      <c r="ODH111" s="17"/>
      <c r="ODI111" s="17"/>
      <c r="ODJ111" s="17"/>
      <c r="ODK111" s="17"/>
      <c r="ODL111" s="17"/>
      <c r="ODM111" s="17"/>
      <c r="ODN111" s="17"/>
      <c r="ODO111" s="17"/>
      <c r="ODP111" s="17"/>
      <c r="ODQ111" s="17"/>
      <c r="ODR111" s="17"/>
      <c r="ODS111" s="17"/>
      <c r="ODT111" s="17"/>
      <c r="ODU111" s="17"/>
      <c r="ODV111" s="17"/>
      <c r="ODW111" s="17"/>
      <c r="ODX111" s="17"/>
      <c r="ODY111" s="17"/>
      <c r="ODZ111" s="17"/>
      <c r="OEA111" s="17"/>
      <c r="OEB111" s="17"/>
      <c r="OEC111" s="17"/>
      <c r="OED111" s="17"/>
      <c r="OEE111" s="17"/>
      <c r="OEF111" s="17"/>
      <c r="OEG111" s="17"/>
      <c r="OEH111" s="17"/>
      <c r="OEI111" s="17"/>
      <c r="OEJ111" s="17"/>
      <c r="OEK111" s="17"/>
      <c r="OEL111" s="17"/>
      <c r="OEM111" s="17"/>
      <c r="OEN111" s="17"/>
      <c r="OEO111" s="17"/>
      <c r="OEP111" s="17"/>
      <c r="OEQ111" s="17"/>
      <c r="OER111" s="17"/>
      <c r="OES111" s="17"/>
      <c r="OET111" s="17"/>
      <c r="OEU111" s="17"/>
      <c r="OEV111" s="17"/>
      <c r="OEW111" s="17"/>
      <c r="OEX111" s="17"/>
      <c r="OEY111" s="17"/>
      <c r="OEZ111" s="17"/>
      <c r="OFA111" s="17"/>
      <c r="OFB111" s="17"/>
      <c r="OFC111" s="17"/>
      <c r="OFD111" s="17"/>
      <c r="OFE111" s="17"/>
      <c r="OFF111" s="17"/>
      <c r="OFG111" s="17"/>
      <c r="OFH111" s="17"/>
      <c r="OFI111" s="17"/>
      <c r="OFJ111" s="17"/>
      <c r="OFK111" s="17"/>
      <c r="OFL111" s="17"/>
      <c r="OFM111" s="17"/>
      <c r="OFN111" s="17"/>
      <c r="OFO111" s="17"/>
      <c r="OFP111" s="17"/>
      <c r="OFQ111" s="17"/>
      <c r="OFR111" s="17"/>
      <c r="OFS111" s="17"/>
      <c r="OFT111" s="17"/>
      <c r="OFU111" s="17"/>
      <c r="OFV111" s="17"/>
      <c r="OFW111" s="17"/>
      <c r="OFX111" s="17"/>
      <c r="OFY111" s="17"/>
      <c r="OFZ111" s="17"/>
      <c r="OGA111" s="17"/>
      <c r="OGB111" s="17"/>
      <c r="OGC111" s="17"/>
      <c r="OGD111" s="17"/>
      <c r="OGE111" s="17"/>
      <c r="OGF111" s="17"/>
      <c r="OGG111" s="17"/>
      <c r="OGH111" s="17"/>
      <c r="OGI111" s="17"/>
      <c r="OGJ111" s="17"/>
      <c r="OGK111" s="17"/>
      <c r="OGL111" s="17"/>
      <c r="OGM111" s="17"/>
      <c r="OGN111" s="17"/>
      <c r="OGO111" s="17"/>
      <c r="OGP111" s="17"/>
      <c r="OGQ111" s="17"/>
      <c r="OGR111" s="17"/>
      <c r="OGS111" s="17"/>
      <c r="OGT111" s="17"/>
      <c r="OGU111" s="17"/>
      <c r="OGV111" s="17"/>
      <c r="OGW111" s="17"/>
      <c r="OGX111" s="17"/>
      <c r="OGY111" s="17"/>
      <c r="OGZ111" s="17"/>
      <c r="OHA111" s="17"/>
      <c r="OHB111" s="17"/>
      <c r="OHC111" s="17"/>
      <c r="OHD111" s="17"/>
      <c r="OHE111" s="17"/>
      <c r="OHF111" s="17"/>
      <c r="OHG111" s="17"/>
      <c r="OHH111" s="17"/>
      <c r="OHI111" s="17"/>
      <c r="OHJ111" s="17"/>
      <c r="OHK111" s="17"/>
      <c r="OHL111" s="17"/>
      <c r="OHM111" s="17"/>
      <c r="OHN111" s="17"/>
      <c r="OHO111" s="17"/>
      <c r="OHP111" s="17"/>
      <c r="OHQ111" s="17"/>
      <c r="OHR111" s="17"/>
      <c r="OHS111" s="17"/>
      <c r="OHT111" s="17"/>
      <c r="OHU111" s="17"/>
      <c r="OHV111" s="17"/>
      <c r="OHW111" s="17"/>
      <c r="OHX111" s="17"/>
      <c r="OHY111" s="17"/>
      <c r="OHZ111" s="17"/>
      <c r="OIA111" s="17"/>
      <c r="OIB111" s="17"/>
      <c r="OIC111" s="17"/>
      <c r="OID111" s="17"/>
      <c r="OIE111" s="17"/>
      <c r="OIF111" s="17"/>
      <c r="OIG111" s="17"/>
      <c r="OIH111" s="17"/>
      <c r="OII111" s="17"/>
      <c r="OIJ111" s="17"/>
      <c r="OIK111" s="17"/>
      <c r="OIL111" s="17"/>
      <c r="OIM111" s="17"/>
      <c r="OIN111" s="17"/>
      <c r="OIO111" s="17"/>
      <c r="OIP111" s="17"/>
      <c r="OIQ111" s="17"/>
      <c r="OIR111" s="17"/>
      <c r="OIS111" s="17"/>
      <c r="OIT111" s="17"/>
      <c r="OIU111" s="17"/>
      <c r="OIV111" s="17"/>
      <c r="OIW111" s="17"/>
      <c r="OIX111" s="17"/>
      <c r="OIY111" s="17"/>
      <c r="OIZ111" s="17"/>
      <c r="OJA111" s="17"/>
      <c r="OJB111" s="17"/>
      <c r="OJC111" s="17"/>
      <c r="OJD111" s="17"/>
      <c r="OJE111" s="17"/>
      <c r="OJF111" s="17"/>
      <c r="OJG111" s="17"/>
      <c r="OJH111" s="17"/>
      <c r="OJI111" s="17"/>
      <c r="OJJ111" s="17"/>
      <c r="OJK111" s="17"/>
      <c r="OJL111" s="17"/>
      <c r="OJM111" s="17"/>
      <c r="OJN111" s="17"/>
      <c r="OJO111" s="17"/>
      <c r="OJP111" s="17"/>
      <c r="OJQ111" s="17"/>
      <c r="OJR111" s="17"/>
      <c r="OJS111" s="17"/>
      <c r="OJT111" s="17"/>
      <c r="OJU111" s="17"/>
      <c r="OJV111" s="17"/>
      <c r="OJW111" s="17"/>
      <c r="OJX111" s="17"/>
      <c r="OJY111" s="17"/>
      <c r="OJZ111" s="17"/>
      <c r="OKA111" s="17"/>
      <c r="OKB111" s="17"/>
      <c r="OKC111" s="17"/>
      <c r="OKD111" s="17"/>
      <c r="OKE111" s="17"/>
      <c r="OKF111" s="17"/>
      <c r="OKG111" s="17"/>
      <c r="OKH111" s="17"/>
      <c r="OKI111" s="17"/>
      <c r="OKJ111" s="17"/>
      <c r="OKK111" s="17"/>
      <c r="OKL111" s="17"/>
      <c r="OKM111" s="17"/>
      <c r="OKN111" s="17"/>
      <c r="OKO111" s="17"/>
      <c r="OKP111" s="17"/>
      <c r="OKQ111" s="17"/>
      <c r="OKR111" s="17"/>
      <c r="OKS111" s="17"/>
      <c r="OKT111" s="17"/>
      <c r="OKU111" s="17"/>
      <c r="OKV111" s="17"/>
      <c r="OKW111" s="17"/>
      <c r="OKX111" s="17"/>
      <c r="OKY111" s="17"/>
      <c r="OKZ111" s="17"/>
      <c r="OLA111" s="17"/>
      <c r="OLB111" s="17"/>
      <c r="OLC111" s="17"/>
      <c r="OLD111" s="17"/>
      <c r="OLE111" s="17"/>
      <c r="OLF111" s="17"/>
      <c r="OLG111" s="17"/>
      <c r="OLH111" s="17"/>
      <c r="OLI111" s="17"/>
      <c r="OLJ111" s="17"/>
      <c r="OLK111" s="17"/>
      <c r="OLL111" s="17"/>
      <c r="OLM111" s="17"/>
      <c r="OLN111" s="17"/>
      <c r="OLO111" s="17"/>
      <c r="OLP111" s="17"/>
      <c r="OLQ111" s="17"/>
      <c r="OLR111" s="17"/>
      <c r="OLS111" s="17"/>
      <c r="OLT111" s="17"/>
      <c r="OLU111" s="17"/>
      <c r="OLV111" s="17"/>
      <c r="OLW111" s="17"/>
      <c r="OLX111" s="17"/>
      <c r="OLY111" s="17"/>
      <c r="OLZ111" s="17"/>
      <c r="OMA111" s="17"/>
      <c r="OMB111" s="17"/>
      <c r="OMC111" s="17"/>
      <c r="OMD111" s="17"/>
      <c r="OME111" s="17"/>
      <c r="OMF111" s="17"/>
      <c r="OMG111" s="17"/>
      <c r="OMH111" s="17"/>
      <c r="OMI111" s="17"/>
      <c r="OMJ111" s="17"/>
      <c r="OMK111" s="17"/>
      <c r="OML111" s="17"/>
      <c r="OMM111" s="17"/>
      <c r="OMN111" s="17"/>
      <c r="OMO111" s="17"/>
      <c r="OMP111" s="17"/>
      <c r="OMQ111" s="17"/>
      <c r="OMR111" s="17"/>
      <c r="OMS111" s="17"/>
      <c r="OMT111" s="17"/>
      <c r="OMU111" s="17"/>
      <c r="OMV111" s="17"/>
      <c r="OMW111" s="17"/>
      <c r="OMX111" s="17"/>
      <c r="OMY111" s="17"/>
      <c r="OMZ111" s="17"/>
      <c r="ONA111" s="17"/>
      <c r="ONB111" s="17"/>
      <c r="ONC111" s="17"/>
      <c r="OND111" s="17"/>
      <c r="ONE111" s="17"/>
      <c r="ONF111" s="17"/>
      <c r="ONG111" s="17"/>
      <c r="ONH111" s="17"/>
      <c r="ONI111" s="17"/>
      <c r="ONJ111" s="17"/>
      <c r="ONK111" s="17"/>
      <c r="ONL111" s="17"/>
      <c r="ONM111" s="17"/>
      <c r="ONN111" s="17"/>
      <c r="ONO111" s="17"/>
      <c r="ONP111" s="17"/>
      <c r="ONQ111" s="17"/>
      <c r="ONR111" s="17"/>
      <c r="ONS111" s="17"/>
      <c r="ONT111" s="17"/>
      <c r="ONU111" s="17"/>
      <c r="ONV111" s="17"/>
      <c r="ONW111" s="17"/>
      <c r="ONX111" s="17"/>
      <c r="ONY111" s="17"/>
      <c r="ONZ111" s="17"/>
      <c r="OOA111" s="17"/>
      <c r="OOB111" s="17"/>
      <c r="OOC111" s="17"/>
      <c r="OOD111" s="17"/>
      <c r="OOE111" s="17"/>
      <c r="OOF111" s="17"/>
      <c r="OOG111" s="17"/>
      <c r="OOH111" s="17"/>
      <c r="OOI111" s="17"/>
      <c r="OOJ111" s="17"/>
      <c r="OOK111" s="17"/>
      <c r="OOL111" s="17"/>
      <c r="OOM111" s="17"/>
      <c r="OON111" s="17"/>
      <c r="OOO111" s="17"/>
      <c r="OOP111" s="17"/>
      <c r="OOQ111" s="17"/>
      <c r="OOR111" s="17"/>
      <c r="OOS111" s="17"/>
      <c r="OOT111" s="17"/>
      <c r="OOU111" s="17"/>
      <c r="OOV111" s="17"/>
      <c r="OOW111" s="17"/>
      <c r="OOX111" s="17"/>
      <c r="OOY111" s="17"/>
      <c r="OOZ111" s="17"/>
      <c r="OPA111" s="17"/>
      <c r="OPB111" s="17"/>
      <c r="OPC111" s="17"/>
      <c r="OPD111" s="17"/>
      <c r="OPE111" s="17"/>
      <c r="OPF111" s="17"/>
      <c r="OPG111" s="17"/>
      <c r="OPH111" s="17"/>
      <c r="OPI111" s="17"/>
      <c r="OPJ111" s="17"/>
      <c r="OPK111" s="17"/>
      <c r="OPL111" s="17"/>
      <c r="OPM111" s="17"/>
      <c r="OPN111" s="17"/>
      <c r="OPO111" s="17"/>
      <c r="OPP111" s="17"/>
      <c r="OPQ111" s="17"/>
      <c r="OPR111" s="17"/>
      <c r="OPS111" s="17"/>
      <c r="OPT111" s="17"/>
      <c r="OPU111" s="17"/>
      <c r="OPV111" s="17"/>
      <c r="OPW111" s="17"/>
      <c r="OPX111" s="17"/>
      <c r="OPY111" s="17"/>
      <c r="OPZ111" s="17"/>
      <c r="OQA111" s="17"/>
      <c r="OQB111" s="17"/>
      <c r="OQC111" s="17"/>
      <c r="OQD111" s="17"/>
      <c r="OQE111" s="17"/>
      <c r="OQF111" s="17"/>
      <c r="OQG111" s="17"/>
      <c r="OQH111" s="17"/>
      <c r="OQI111" s="17"/>
      <c r="OQJ111" s="17"/>
      <c r="OQK111" s="17"/>
      <c r="OQL111" s="17"/>
      <c r="OQM111" s="17"/>
      <c r="OQN111" s="17"/>
      <c r="OQO111" s="17"/>
      <c r="OQP111" s="17"/>
      <c r="OQQ111" s="17"/>
      <c r="OQR111" s="17"/>
      <c r="OQS111" s="17"/>
      <c r="OQT111" s="17"/>
      <c r="OQU111" s="17"/>
      <c r="OQV111" s="17"/>
      <c r="OQW111" s="17"/>
      <c r="OQX111" s="17"/>
      <c r="OQY111" s="17"/>
      <c r="OQZ111" s="17"/>
      <c r="ORA111" s="17"/>
      <c r="ORB111" s="17"/>
      <c r="ORC111" s="17"/>
      <c r="ORD111" s="17"/>
      <c r="ORE111" s="17"/>
      <c r="ORF111" s="17"/>
      <c r="ORG111" s="17"/>
      <c r="ORH111" s="17"/>
      <c r="ORI111" s="17"/>
      <c r="ORJ111" s="17"/>
      <c r="ORK111" s="17"/>
      <c r="ORL111" s="17"/>
      <c r="ORM111" s="17"/>
      <c r="ORN111" s="17"/>
      <c r="ORO111" s="17"/>
      <c r="ORP111" s="17"/>
      <c r="ORQ111" s="17"/>
      <c r="ORR111" s="17"/>
      <c r="ORS111" s="17"/>
      <c r="ORT111" s="17"/>
      <c r="ORU111" s="17"/>
      <c r="ORV111" s="17"/>
      <c r="ORW111" s="17"/>
      <c r="ORX111" s="17"/>
      <c r="ORY111" s="17"/>
      <c r="ORZ111" s="17"/>
      <c r="OSA111" s="17"/>
      <c r="OSB111" s="17"/>
      <c r="OSC111" s="17"/>
      <c r="OSD111" s="17"/>
      <c r="OSE111" s="17"/>
      <c r="OSF111" s="17"/>
      <c r="OSG111" s="17"/>
      <c r="OSH111" s="17"/>
      <c r="OSI111" s="17"/>
      <c r="OSJ111" s="17"/>
      <c r="OSK111" s="17"/>
      <c r="OSL111" s="17"/>
      <c r="OSM111" s="17"/>
      <c r="OSN111" s="17"/>
      <c r="OSO111" s="17"/>
      <c r="OSP111" s="17"/>
      <c r="OSQ111" s="17"/>
      <c r="OSR111" s="17"/>
      <c r="OSS111" s="17"/>
      <c r="OST111" s="17"/>
      <c r="OSU111" s="17"/>
      <c r="OSV111" s="17"/>
      <c r="OSW111" s="17"/>
      <c r="OSX111" s="17"/>
      <c r="OSY111" s="17"/>
      <c r="OSZ111" s="17"/>
      <c r="OTA111" s="17"/>
      <c r="OTB111" s="17"/>
      <c r="OTC111" s="17"/>
      <c r="OTD111" s="17"/>
      <c r="OTE111" s="17"/>
      <c r="OTF111" s="17"/>
      <c r="OTG111" s="17"/>
      <c r="OTH111" s="17"/>
      <c r="OTI111" s="17"/>
      <c r="OTJ111" s="17"/>
      <c r="OTK111" s="17"/>
      <c r="OTL111" s="17"/>
      <c r="OTM111" s="17"/>
      <c r="OTN111" s="17"/>
      <c r="OTO111" s="17"/>
      <c r="OTP111" s="17"/>
      <c r="OTQ111" s="17"/>
      <c r="OTR111" s="17"/>
      <c r="OTS111" s="17"/>
      <c r="OTT111" s="17"/>
      <c r="OTU111" s="17"/>
      <c r="OTV111" s="17"/>
      <c r="OTW111" s="17"/>
      <c r="OTX111" s="17"/>
      <c r="OTY111" s="17"/>
      <c r="OTZ111" s="17"/>
      <c r="OUA111" s="17"/>
      <c r="OUB111" s="17"/>
      <c r="OUC111" s="17"/>
      <c r="OUD111" s="17"/>
      <c r="OUE111" s="17"/>
      <c r="OUF111" s="17"/>
      <c r="OUG111" s="17"/>
      <c r="OUH111" s="17"/>
      <c r="OUI111" s="17"/>
      <c r="OUJ111" s="17"/>
      <c r="OUK111" s="17"/>
      <c r="OUL111" s="17"/>
      <c r="OUM111" s="17"/>
      <c r="OUN111" s="17"/>
      <c r="OUO111" s="17"/>
      <c r="OUP111" s="17"/>
      <c r="OUQ111" s="17"/>
      <c r="OUR111" s="17"/>
      <c r="OUS111" s="17"/>
      <c r="OUT111" s="17"/>
      <c r="OUU111" s="17"/>
      <c r="OUV111" s="17"/>
      <c r="OUW111" s="17"/>
      <c r="OUX111" s="17"/>
      <c r="OUY111" s="17"/>
      <c r="OUZ111" s="17"/>
      <c r="OVA111" s="17"/>
      <c r="OVB111" s="17"/>
      <c r="OVC111" s="17"/>
      <c r="OVD111" s="17"/>
      <c r="OVE111" s="17"/>
      <c r="OVF111" s="17"/>
      <c r="OVG111" s="17"/>
      <c r="OVH111" s="17"/>
      <c r="OVI111" s="17"/>
      <c r="OVJ111" s="17"/>
      <c r="OVK111" s="17"/>
      <c r="OVL111" s="17"/>
      <c r="OVM111" s="17"/>
      <c r="OVN111" s="17"/>
      <c r="OVO111" s="17"/>
      <c r="OVP111" s="17"/>
      <c r="OVQ111" s="17"/>
      <c r="OVR111" s="17"/>
      <c r="OVS111" s="17"/>
      <c r="OVT111" s="17"/>
      <c r="OVU111" s="17"/>
      <c r="OVV111" s="17"/>
      <c r="OVW111" s="17"/>
      <c r="OVX111" s="17"/>
      <c r="OVY111" s="17"/>
      <c r="OVZ111" s="17"/>
      <c r="OWA111" s="17"/>
      <c r="OWB111" s="17"/>
      <c r="OWC111" s="17"/>
      <c r="OWD111" s="17"/>
      <c r="OWE111" s="17"/>
      <c r="OWF111" s="17"/>
      <c r="OWG111" s="17"/>
      <c r="OWH111" s="17"/>
      <c r="OWI111" s="17"/>
      <c r="OWJ111" s="17"/>
      <c r="OWK111" s="17"/>
      <c r="OWL111" s="17"/>
      <c r="OWM111" s="17"/>
      <c r="OWN111" s="17"/>
      <c r="OWO111" s="17"/>
      <c r="OWP111" s="17"/>
      <c r="OWQ111" s="17"/>
      <c r="OWR111" s="17"/>
      <c r="OWS111" s="17"/>
      <c r="OWT111" s="17"/>
      <c r="OWU111" s="17"/>
      <c r="OWV111" s="17"/>
      <c r="OWW111" s="17"/>
      <c r="OWX111" s="17"/>
      <c r="OWY111" s="17"/>
      <c r="OWZ111" s="17"/>
      <c r="OXA111" s="17"/>
      <c r="OXB111" s="17"/>
      <c r="OXC111" s="17"/>
      <c r="OXD111" s="17"/>
      <c r="OXE111" s="17"/>
      <c r="OXF111" s="17"/>
      <c r="OXG111" s="17"/>
      <c r="OXH111" s="17"/>
      <c r="OXI111" s="17"/>
      <c r="OXJ111" s="17"/>
      <c r="OXK111" s="17"/>
      <c r="OXL111" s="17"/>
      <c r="OXM111" s="17"/>
      <c r="OXN111" s="17"/>
      <c r="OXO111" s="17"/>
      <c r="OXP111" s="17"/>
      <c r="OXQ111" s="17"/>
      <c r="OXR111" s="17"/>
      <c r="OXS111" s="17"/>
      <c r="OXT111" s="17"/>
      <c r="OXU111" s="17"/>
      <c r="OXV111" s="17"/>
      <c r="OXW111" s="17"/>
      <c r="OXX111" s="17"/>
      <c r="OXY111" s="17"/>
      <c r="OXZ111" s="17"/>
      <c r="OYA111" s="17"/>
      <c r="OYB111" s="17"/>
      <c r="OYC111" s="17"/>
      <c r="OYD111" s="17"/>
      <c r="OYE111" s="17"/>
      <c r="OYF111" s="17"/>
      <c r="OYG111" s="17"/>
      <c r="OYH111" s="17"/>
      <c r="OYI111" s="17"/>
      <c r="OYJ111" s="17"/>
      <c r="OYK111" s="17"/>
      <c r="OYL111" s="17"/>
      <c r="OYM111" s="17"/>
      <c r="OYN111" s="17"/>
      <c r="OYO111" s="17"/>
      <c r="OYP111" s="17"/>
      <c r="OYQ111" s="17"/>
      <c r="OYR111" s="17"/>
      <c r="OYS111" s="17"/>
      <c r="OYT111" s="17"/>
      <c r="OYU111" s="17"/>
      <c r="OYV111" s="17"/>
      <c r="OYW111" s="17"/>
      <c r="OYX111" s="17"/>
      <c r="OYY111" s="17"/>
      <c r="OYZ111" s="17"/>
      <c r="OZA111" s="17"/>
      <c r="OZB111" s="17"/>
      <c r="OZC111" s="17"/>
      <c r="OZD111" s="17"/>
      <c r="OZE111" s="17"/>
      <c r="OZF111" s="17"/>
      <c r="OZG111" s="17"/>
      <c r="OZH111" s="17"/>
      <c r="OZI111" s="17"/>
      <c r="OZJ111" s="17"/>
      <c r="OZK111" s="17"/>
      <c r="OZL111" s="17"/>
      <c r="OZM111" s="17"/>
      <c r="OZN111" s="17"/>
      <c r="OZO111" s="17"/>
      <c r="OZP111" s="17"/>
      <c r="OZQ111" s="17"/>
      <c r="OZR111" s="17"/>
      <c r="OZS111" s="17"/>
      <c r="OZT111" s="17"/>
      <c r="OZU111" s="17"/>
      <c r="OZV111" s="17"/>
      <c r="OZW111" s="17"/>
      <c r="OZX111" s="17"/>
      <c r="OZY111" s="17"/>
      <c r="OZZ111" s="17"/>
      <c r="PAA111" s="17"/>
      <c r="PAB111" s="17"/>
      <c r="PAC111" s="17"/>
      <c r="PAD111" s="17"/>
      <c r="PAE111" s="17"/>
      <c r="PAF111" s="17"/>
      <c r="PAG111" s="17"/>
      <c r="PAH111" s="17"/>
      <c r="PAI111" s="17"/>
      <c r="PAJ111" s="17"/>
      <c r="PAK111" s="17"/>
      <c r="PAL111" s="17"/>
      <c r="PAM111" s="17"/>
      <c r="PAN111" s="17"/>
      <c r="PAO111" s="17"/>
      <c r="PAP111" s="17"/>
      <c r="PAQ111" s="17"/>
      <c r="PAR111" s="17"/>
      <c r="PAS111" s="17"/>
      <c r="PAT111" s="17"/>
      <c r="PAU111" s="17"/>
      <c r="PAV111" s="17"/>
      <c r="PAW111" s="17"/>
      <c r="PAX111" s="17"/>
      <c r="PAY111" s="17"/>
      <c r="PAZ111" s="17"/>
      <c r="PBA111" s="17"/>
      <c r="PBB111" s="17"/>
      <c r="PBC111" s="17"/>
      <c r="PBD111" s="17"/>
      <c r="PBE111" s="17"/>
      <c r="PBF111" s="17"/>
      <c r="PBG111" s="17"/>
      <c r="PBH111" s="17"/>
      <c r="PBI111" s="17"/>
      <c r="PBJ111" s="17"/>
      <c r="PBK111" s="17"/>
      <c r="PBL111" s="17"/>
      <c r="PBM111" s="17"/>
      <c r="PBN111" s="17"/>
      <c r="PBO111" s="17"/>
      <c r="PBP111" s="17"/>
      <c r="PBQ111" s="17"/>
      <c r="PBR111" s="17"/>
      <c r="PBS111" s="17"/>
      <c r="PBT111" s="17"/>
      <c r="PBU111" s="17"/>
      <c r="PBV111" s="17"/>
      <c r="PBW111" s="17"/>
      <c r="PBX111" s="17"/>
      <c r="PBY111" s="17"/>
      <c r="PBZ111" s="17"/>
      <c r="PCA111" s="17"/>
      <c r="PCB111" s="17"/>
      <c r="PCC111" s="17"/>
      <c r="PCD111" s="17"/>
      <c r="PCE111" s="17"/>
      <c r="PCF111" s="17"/>
      <c r="PCG111" s="17"/>
      <c r="PCH111" s="17"/>
      <c r="PCI111" s="17"/>
      <c r="PCJ111" s="17"/>
      <c r="PCK111" s="17"/>
      <c r="PCL111" s="17"/>
      <c r="PCM111" s="17"/>
      <c r="PCN111" s="17"/>
      <c r="PCO111" s="17"/>
      <c r="PCP111" s="17"/>
      <c r="PCQ111" s="17"/>
      <c r="PCR111" s="17"/>
      <c r="PCS111" s="17"/>
      <c r="PCT111" s="17"/>
      <c r="PCU111" s="17"/>
      <c r="PCV111" s="17"/>
      <c r="PCW111" s="17"/>
      <c r="PCX111" s="17"/>
      <c r="PCY111" s="17"/>
      <c r="PCZ111" s="17"/>
      <c r="PDA111" s="17"/>
      <c r="PDB111" s="17"/>
      <c r="PDC111" s="17"/>
      <c r="PDD111" s="17"/>
      <c r="PDE111" s="17"/>
      <c r="PDF111" s="17"/>
      <c r="PDG111" s="17"/>
      <c r="PDH111" s="17"/>
      <c r="PDI111" s="17"/>
      <c r="PDJ111" s="17"/>
      <c r="PDK111" s="17"/>
      <c r="PDL111" s="17"/>
      <c r="PDM111" s="17"/>
      <c r="PDN111" s="17"/>
      <c r="PDO111" s="17"/>
      <c r="PDP111" s="17"/>
      <c r="PDQ111" s="17"/>
      <c r="PDR111" s="17"/>
      <c r="PDS111" s="17"/>
      <c r="PDT111" s="17"/>
      <c r="PDU111" s="17"/>
      <c r="PDV111" s="17"/>
      <c r="PDW111" s="17"/>
      <c r="PDX111" s="17"/>
      <c r="PDY111" s="17"/>
      <c r="PDZ111" s="17"/>
      <c r="PEA111" s="17"/>
      <c r="PEB111" s="17"/>
      <c r="PEC111" s="17"/>
      <c r="PED111" s="17"/>
      <c r="PEE111" s="17"/>
      <c r="PEF111" s="17"/>
      <c r="PEG111" s="17"/>
      <c r="PEH111" s="17"/>
      <c r="PEI111" s="17"/>
      <c r="PEJ111" s="17"/>
      <c r="PEK111" s="17"/>
      <c r="PEL111" s="17"/>
      <c r="PEM111" s="17"/>
      <c r="PEN111" s="17"/>
      <c r="PEO111" s="17"/>
      <c r="PEP111" s="17"/>
      <c r="PEQ111" s="17"/>
      <c r="PER111" s="17"/>
      <c r="PES111" s="17"/>
      <c r="PET111" s="17"/>
      <c r="PEU111" s="17"/>
      <c r="PEV111" s="17"/>
      <c r="PEW111" s="17"/>
      <c r="PEX111" s="17"/>
      <c r="PEY111" s="17"/>
      <c r="PEZ111" s="17"/>
      <c r="PFA111" s="17"/>
      <c r="PFB111" s="17"/>
      <c r="PFC111" s="17"/>
      <c r="PFD111" s="17"/>
      <c r="PFE111" s="17"/>
      <c r="PFF111" s="17"/>
      <c r="PFG111" s="17"/>
      <c r="PFH111" s="17"/>
      <c r="PFI111" s="17"/>
      <c r="PFJ111" s="17"/>
      <c r="PFK111" s="17"/>
      <c r="PFL111" s="17"/>
      <c r="PFM111" s="17"/>
      <c r="PFN111" s="17"/>
      <c r="PFO111" s="17"/>
      <c r="PFP111" s="17"/>
      <c r="PFQ111" s="17"/>
      <c r="PFR111" s="17"/>
      <c r="PFS111" s="17"/>
      <c r="PFT111" s="17"/>
      <c r="PFU111" s="17"/>
      <c r="PFV111" s="17"/>
      <c r="PFW111" s="17"/>
      <c r="PFX111" s="17"/>
      <c r="PFY111" s="17"/>
      <c r="PFZ111" s="17"/>
      <c r="PGA111" s="17"/>
      <c r="PGB111" s="17"/>
      <c r="PGC111" s="17"/>
      <c r="PGD111" s="17"/>
      <c r="PGE111" s="17"/>
      <c r="PGF111" s="17"/>
      <c r="PGG111" s="17"/>
      <c r="PGH111" s="17"/>
      <c r="PGI111" s="17"/>
      <c r="PGJ111" s="17"/>
      <c r="PGK111" s="17"/>
      <c r="PGL111" s="17"/>
      <c r="PGM111" s="17"/>
      <c r="PGN111" s="17"/>
      <c r="PGO111" s="17"/>
      <c r="PGP111" s="17"/>
      <c r="PGQ111" s="17"/>
      <c r="PGR111" s="17"/>
      <c r="PGS111" s="17"/>
      <c r="PGT111" s="17"/>
      <c r="PGU111" s="17"/>
      <c r="PGV111" s="17"/>
      <c r="PGW111" s="17"/>
      <c r="PGX111" s="17"/>
      <c r="PGY111" s="17"/>
      <c r="PGZ111" s="17"/>
      <c r="PHA111" s="17"/>
      <c r="PHB111" s="17"/>
      <c r="PHC111" s="17"/>
      <c r="PHD111" s="17"/>
      <c r="PHE111" s="17"/>
      <c r="PHF111" s="17"/>
      <c r="PHG111" s="17"/>
      <c r="PHH111" s="17"/>
      <c r="PHI111" s="17"/>
      <c r="PHJ111" s="17"/>
      <c r="PHK111" s="17"/>
      <c r="PHL111" s="17"/>
      <c r="PHM111" s="17"/>
      <c r="PHN111" s="17"/>
      <c r="PHO111" s="17"/>
      <c r="PHP111" s="17"/>
      <c r="PHQ111" s="17"/>
      <c r="PHR111" s="17"/>
      <c r="PHS111" s="17"/>
      <c r="PHT111" s="17"/>
      <c r="PHU111" s="17"/>
      <c r="PHV111" s="17"/>
      <c r="PHW111" s="17"/>
      <c r="PHX111" s="17"/>
      <c r="PHY111" s="17"/>
      <c r="PHZ111" s="17"/>
      <c r="PIA111" s="17"/>
      <c r="PIB111" s="17"/>
      <c r="PIC111" s="17"/>
      <c r="PID111" s="17"/>
      <c r="PIE111" s="17"/>
      <c r="PIF111" s="17"/>
      <c r="PIG111" s="17"/>
      <c r="PIH111" s="17"/>
      <c r="PII111" s="17"/>
      <c r="PIJ111" s="17"/>
      <c r="PIK111" s="17"/>
      <c r="PIL111" s="17"/>
      <c r="PIM111" s="17"/>
      <c r="PIN111" s="17"/>
      <c r="PIO111" s="17"/>
      <c r="PIP111" s="17"/>
      <c r="PIQ111" s="17"/>
      <c r="PIR111" s="17"/>
      <c r="PIS111" s="17"/>
      <c r="PIT111" s="17"/>
      <c r="PIU111" s="17"/>
      <c r="PIV111" s="17"/>
      <c r="PIW111" s="17"/>
      <c r="PIX111" s="17"/>
      <c r="PIY111" s="17"/>
      <c r="PIZ111" s="17"/>
      <c r="PJA111" s="17"/>
      <c r="PJB111" s="17"/>
      <c r="PJC111" s="17"/>
      <c r="PJD111" s="17"/>
      <c r="PJE111" s="17"/>
      <c r="PJF111" s="17"/>
      <c r="PJG111" s="17"/>
      <c r="PJH111" s="17"/>
      <c r="PJI111" s="17"/>
      <c r="PJJ111" s="17"/>
      <c r="PJK111" s="17"/>
      <c r="PJL111" s="17"/>
      <c r="PJM111" s="17"/>
      <c r="PJN111" s="17"/>
      <c r="PJO111" s="17"/>
      <c r="PJP111" s="17"/>
      <c r="PJQ111" s="17"/>
      <c r="PJR111" s="17"/>
      <c r="PJS111" s="17"/>
      <c r="PJT111" s="17"/>
      <c r="PJU111" s="17"/>
      <c r="PJV111" s="17"/>
      <c r="PJW111" s="17"/>
      <c r="PJX111" s="17"/>
      <c r="PJY111" s="17"/>
      <c r="PJZ111" s="17"/>
      <c r="PKA111" s="17"/>
      <c r="PKB111" s="17"/>
      <c r="PKC111" s="17"/>
      <c r="PKD111" s="17"/>
      <c r="PKE111" s="17"/>
      <c r="PKF111" s="17"/>
      <c r="PKG111" s="17"/>
      <c r="PKH111" s="17"/>
      <c r="PKI111" s="17"/>
      <c r="PKJ111" s="17"/>
      <c r="PKK111" s="17"/>
      <c r="PKL111" s="17"/>
      <c r="PKM111" s="17"/>
      <c r="PKN111" s="17"/>
      <c r="PKO111" s="17"/>
      <c r="PKP111" s="17"/>
      <c r="PKQ111" s="17"/>
      <c r="PKR111" s="17"/>
      <c r="PKS111" s="17"/>
      <c r="PKT111" s="17"/>
      <c r="PKU111" s="17"/>
      <c r="PKV111" s="17"/>
      <c r="PKW111" s="17"/>
      <c r="PKX111" s="17"/>
      <c r="PKY111" s="17"/>
      <c r="PKZ111" s="17"/>
      <c r="PLA111" s="17"/>
      <c r="PLB111" s="17"/>
      <c r="PLC111" s="17"/>
      <c r="PLD111" s="17"/>
      <c r="PLE111" s="17"/>
      <c r="PLF111" s="17"/>
      <c r="PLG111" s="17"/>
      <c r="PLH111" s="17"/>
      <c r="PLI111" s="17"/>
      <c r="PLJ111" s="17"/>
      <c r="PLK111" s="17"/>
      <c r="PLL111" s="17"/>
      <c r="PLM111" s="17"/>
      <c r="PLN111" s="17"/>
      <c r="PLO111" s="17"/>
      <c r="PLP111" s="17"/>
      <c r="PLQ111" s="17"/>
      <c r="PLR111" s="17"/>
      <c r="PLS111" s="17"/>
      <c r="PLT111" s="17"/>
      <c r="PLU111" s="17"/>
      <c r="PLV111" s="17"/>
      <c r="PLW111" s="17"/>
      <c r="PLX111" s="17"/>
      <c r="PLY111" s="17"/>
      <c r="PLZ111" s="17"/>
      <c r="PMA111" s="17"/>
      <c r="PMB111" s="17"/>
      <c r="PMC111" s="17"/>
      <c r="PMD111" s="17"/>
      <c r="PME111" s="17"/>
      <c r="PMF111" s="17"/>
      <c r="PMG111" s="17"/>
      <c r="PMH111" s="17"/>
      <c r="PMI111" s="17"/>
      <c r="PMJ111" s="17"/>
      <c r="PMK111" s="17"/>
      <c r="PML111" s="17"/>
      <c r="PMM111" s="17"/>
      <c r="PMN111" s="17"/>
      <c r="PMO111" s="17"/>
      <c r="PMP111" s="17"/>
      <c r="PMQ111" s="17"/>
      <c r="PMR111" s="17"/>
      <c r="PMS111" s="17"/>
      <c r="PMT111" s="17"/>
      <c r="PMU111" s="17"/>
      <c r="PMV111" s="17"/>
      <c r="PMW111" s="17"/>
      <c r="PMX111" s="17"/>
      <c r="PMY111" s="17"/>
      <c r="PMZ111" s="17"/>
      <c r="PNA111" s="17"/>
      <c r="PNB111" s="17"/>
      <c r="PNC111" s="17"/>
      <c r="PND111" s="17"/>
      <c r="PNE111" s="17"/>
      <c r="PNF111" s="17"/>
      <c r="PNG111" s="17"/>
      <c r="PNH111" s="17"/>
      <c r="PNI111" s="17"/>
      <c r="PNJ111" s="17"/>
      <c r="PNK111" s="17"/>
      <c r="PNL111" s="17"/>
      <c r="PNM111" s="17"/>
      <c r="PNN111" s="17"/>
      <c r="PNO111" s="17"/>
      <c r="PNP111" s="17"/>
      <c r="PNQ111" s="17"/>
      <c r="PNR111" s="17"/>
      <c r="PNS111" s="17"/>
      <c r="PNT111" s="17"/>
      <c r="PNU111" s="17"/>
      <c r="PNV111" s="17"/>
      <c r="PNW111" s="17"/>
      <c r="PNX111" s="17"/>
      <c r="PNY111" s="17"/>
      <c r="PNZ111" s="17"/>
      <c r="POA111" s="17"/>
      <c r="POB111" s="17"/>
      <c r="POC111" s="17"/>
      <c r="POD111" s="17"/>
      <c r="POE111" s="17"/>
      <c r="POF111" s="17"/>
      <c r="POG111" s="17"/>
      <c r="POH111" s="17"/>
      <c r="POI111" s="17"/>
      <c r="POJ111" s="17"/>
      <c r="POK111" s="17"/>
      <c r="POL111" s="17"/>
      <c r="POM111" s="17"/>
      <c r="PON111" s="17"/>
      <c r="POO111" s="17"/>
      <c r="POP111" s="17"/>
      <c r="POQ111" s="17"/>
      <c r="POR111" s="17"/>
      <c r="POS111" s="17"/>
      <c r="POT111" s="17"/>
      <c r="POU111" s="17"/>
      <c r="POV111" s="17"/>
      <c r="POW111" s="17"/>
      <c r="POX111" s="17"/>
      <c r="POY111" s="17"/>
      <c r="POZ111" s="17"/>
      <c r="PPA111" s="17"/>
      <c r="PPB111" s="17"/>
      <c r="PPC111" s="17"/>
      <c r="PPD111" s="17"/>
      <c r="PPE111" s="17"/>
      <c r="PPF111" s="17"/>
      <c r="PPG111" s="17"/>
      <c r="PPH111" s="17"/>
      <c r="PPI111" s="17"/>
      <c r="PPJ111" s="17"/>
      <c r="PPK111" s="17"/>
      <c r="PPL111" s="17"/>
      <c r="PPM111" s="17"/>
      <c r="PPN111" s="17"/>
      <c r="PPO111" s="17"/>
      <c r="PPP111" s="17"/>
      <c r="PPQ111" s="17"/>
      <c r="PPR111" s="17"/>
      <c r="PPS111" s="17"/>
      <c r="PPT111" s="17"/>
      <c r="PPU111" s="17"/>
      <c r="PPV111" s="17"/>
      <c r="PPW111" s="17"/>
      <c r="PPX111" s="17"/>
      <c r="PPY111" s="17"/>
      <c r="PPZ111" s="17"/>
      <c r="PQA111" s="17"/>
      <c r="PQB111" s="17"/>
      <c r="PQC111" s="17"/>
      <c r="PQD111" s="17"/>
      <c r="PQE111" s="17"/>
      <c r="PQF111" s="17"/>
      <c r="PQG111" s="17"/>
      <c r="PQH111" s="17"/>
      <c r="PQI111" s="17"/>
      <c r="PQJ111" s="17"/>
      <c r="PQK111" s="17"/>
      <c r="PQL111" s="17"/>
      <c r="PQM111" s="17"/>
      <c r="PQN111" s="17"/>
      <c r="PQO111" s="17"/>
      <c r="PQP111" s="17"/>
      <c r="PQQ111" s="17"/>
      <c r="PQR111" s="17"/>
      <c r="PQS111" s="17"/>
      <c r="PQT111" s="17"/>
      <c r="PQU111" s="17"/>
      <c r="PQV111" s="17"/>
      <c r="PQW111" s="17"/>
      <c r="PQX111" s="17"/>
      <c r="PQY111" s="17"/>
      <c r="PQZ111" s="17"/>
      <c r="PRA111" s="17"/>
      <c r="PRB111" s="17"/>
      <c r="PRC111" s="17"/>
      <c r="PRD111" s="17"/>
      <c r="PRE111" s="17"/>
      <c r="PRF111" s="17"/>
      <c r="PRG111" s="17"/>
      <c r="PRH111" s="17"/>
      <c r="PRI111" s="17"/>
      <c r="PRJ111" s="17"/>
      <c r="PRK111" s="17"/>
      <c r="PRL111" s="17"/>
      <c r="PRM111" s="17"/>
      <c r="PRN111" s="17"/>
      <c r="PRO111" s="17"/>
      <c r="PRP111" s="17"/>
      <c r="PRQ111" s="17"/>
      <c r="PRR111" s="17"/>
      <c r="PRS111" s="17"/>
      <c r="PRT111" s="17"/>
      <c r="PRU111" s="17"/>
      <c r="PRV111" s="17"/>
      <c r="PRW111" s="17"/>
      <c r="PRX111" s="17"/>
      <c r="PRY111" s="17"/>
      <c r="PRZ111" s="17"/>
      <c r="PSA111" s="17"/>
      <c r="PSB111" s="17"/>
      <c r="PSC111" s="17"/>
      <c r="PSD111" s="17"/>
      <c r="PSE111" s="17"/>
      <c r="PSF111" s="17"/>
      <c r="PSG111" s="17"/>
      <c r="PSH111" s="17"/>
      <c r="PSI111" s="17"/>
      <c r="PSJ111" s="17"/>
      <c r="PSK111" s="17"/>
      <c r="PSL111" s="17"/>
      <c r="PSM111" s="17"/>
      <c r="PSN111" s="17"/>
      <c r="PSO111" s="17"/>
      <c r="PSP111" s="17"/>
      <c r="PSQ111" s="17"/>
      <c r="PSR111" s="17"/>
      <c r="PSS111" s="17"/>
      <c r="PST111" s="17"/>
      <c r="PSU111" s="17"/>
      <c r="PSV111" s="17"/>
      <c r="PSW111" s="17"/>
      <c r="PSX111" s="17"/>
      <c r="PSY111" s="17"/>
      <c r="PSZ111" s="17"/>
      <c r="PTA111" s="17"/>
      <c r="PTB111" s="17"/>
      <c r="PTC111" s="17"/>
      <c r="PTD111" s="17"/>
      <c r="PTE111" s="17"/>
      <c r="PTF111" s="17"/>
      <c r="PTG111" s="17"/>
      <c r="PTH111" s="17"/>
      <c r="PTI111" s="17"/>
      <c r="PTJ111" s="17"/>
      <c r="PTK111" s="17"/>
      <c r="PTL111" s="17"/>
      <c r="PTM111" s="17"/>
      <c r="PTN111" s="17"/>
      <c r="PTO111" s="17"/>
      <c r="PTP111" s="17"/>
      <c r="PTQ111" s="17"/>
      <c r="PTR111" s="17"/>
      <c r="PTS111" s="17"/>
      <c r="PTT111" s="17"/>
      <c r="PTU111" s="17"/>
      <c r="PTV111" s="17"/>
      <c r="PTW111" s="17"/>
      <c r="PTX111" s="17"/>
      <c r="PTY111" s="17"/>
      <c r="PTZ111" s="17"/>
      <c r="PUA111" s="17"/>
      <c r="PUB111" s="17"/>
      <c r="PUC111" s="17"/>
      <c r="PUD111" s="17"/>
      <c r="PUE111" s="17"/>
      <c r="PUF111" s="17"/>
      <c r="PUG111" s="17"/>
      <c r="PUH111" s="17"/>
      <c r="PUI111" s="17"/>
      <c r="PUJ111" s="17"/>
      <c r="PUK111" s="17"/>
      <c r="PUL111" s="17"/>
      <c r="PUM111" s="17"/>
      <c r="PUN111" s="17"/>
      <c r="PUO111" s="17"/>
      <c r="PUP111" s="17"/>
      <c r="PUQ111" s="17"/>
      <c r="PUR111" s="17"/>
      <c r="PUS111" s="17"/>
      <c r="PUT111" s="17"/>
      <c r="PUU111" s="17"/>
      <c r="PUV111" s="17"/>
      <c r="PUW111" s="17"/>
      <c r="PUX111" s="17"/>
      <c r="PUY111" s="17"/>
      <c r="PUZ111" s="17"/>
      <c r="PVA111" s="17"/>
      <c r="PVB111" s="17"/>
      <c r="PVC111" s="17"/>
      <c r="PVD111" s="17"/>
      <c r="PVE111" s="17"/>
      <c r="PVF111" s="17"/>
      <c r="PVG111" s="17"/>
      <c r="PVH111" s="17"/>
      <c r="PVI111" s="17"/>
      <c r="PVJ111" s="17"/>
      <c r="PVK111" s="17"/>
      <c r="PVL111" s="17"/>
      <c r="PVM111" s="17"/>
      <c r="PVN111" s="17"/>
      <c r="PVO111" s="17"/>
      <c r="PVP111" s="17"/>
      <c r="PVQ111" s="17"/>
      <c r="PVR111" s="17"/>
      <c r="PVS111" s="17"/>
      <c r="PVT111" s="17"/>
      <c r="PVU111" s="17"/>
      <c r="PVV111" s="17"/>
      <c r="PVW111" s="17"/>
      <c r="PVX111" s="17"/>
      <c r="PVY111" s="17"/>
      <c r="PVZ111" s="17"/>
      <c r="PWA111" s="17"/>
      <c r="PWB111" s="17"/>
      <c r="PWC111" s="17"/>
      <c r="PWD111" s="17"/>
      <c r="PWE111" s="17"/>
      <c r="PWF111" s="17"/>
      <c r="PWG111" s="17"/>
      <c r="PWH111" s="17"/>
      <c r="PWI111" s="17"/>
      <c r="PWJ111" s="17"/>
      <c r="PWK111" s="17"/>
      <c r="PWL111" s="17"/>
      <c r="PWM111" s="17"/>
      <c r="PWN111" s="17"/>
      <c r="PWO111" s="17"/>
      <c r="PWP111" s="17"/>
      <c r="PWQ111" s="17"/>
      <c r="PWR111" s="17"/>
      <c r="PWS111" s="17"/>
      <c r="PWT111" s="17"/>
      <c r="PWU111" s="17"/>
      <c r="PWV111" s="17"/>
      <c r="PWW111" s="17"/>
      <c r="PWX111" s="17"/>
      <c r="PWY111" s="17"/>
      <c r="PWZ111" s="17"/>
      <c r="PXA111" s="17"/>
      <c r="PXB111" s="17"/>
      <c r="PXC111" s="17"/>
      <c r="PXD111" s="17"/>
      <c r="PXE111" s="17"/>
      <c r="PXF111" s="17"/>
      <c r="PXG111" s="17"/>
      <c r="PXH111" s="17"/>
      <c r="PXI111" s="17"/>
      <c r="PXJ111" s="17"/>
      <c r="PXK111" s="17"/>
      <c r="PXL111" s="17"/>
      <c r="PXM111" s="17"/>
      <c r="PXN111" s="17"/>
      <c r="PXO111" s="17"/>
      <c r="PXP111" s="17"/>
      <c r="PXQ111" s="17"/>
      <c r="PXR111" s="17"/>
      <c r="PXS111" s="17"/>
      <c r="PXT111" s="17"/>
      <c r="PXU111" s="17"/>
      <c r="PXV111" s="17"/>
      <c r="PXW111" s="17"/>
      <c r="PXX111" s="17"/>
      <c r="PXY111" s="17"/>
      <c r="PXZ111" s="17"/>
      <c r="PYA111" s="17"/>
      <c r="PYB111" s="17"/>
      <c r="PYC111" s="17"/>
      <c r="PYD111" s="17"/>
      <c r="PYE111" s="17"/>
      <c r="PYF111" s="17"/>
      <c r="PYG111" s="17"/>
      <c r="PYH111" s="17"/>
      <c r="PYI111" s="17"/>
      <c r="PYJ111" s="17"/>
      <c r="PYK111" s="17"/>
      <c r="PYL111" s="17"/>
      <c r="PYM111" s="17"/>
      <c r="PYN111" s="17"/>
      <c r="PYO111" s="17"/>
      <c r="PYP111" s="17"/>
      <c r="PYQ111" s="17"/>
      <c r="PYR111" s="17"/>
      <c r="PYS111" s="17"/>
      <c r="PYT111" s="17"/>
      <c r="PYU111" s="17"/>
      <c r="PYV111" s="17"/>
      <c r="PYW111" s="17"/>
      <c r="PYX111" s="17"/>
      <c r="PYY111" s="17"/>
      <c r="PYZ111" s="17"/>
      <c r="PZA111" s="17"/>
      <c r="PZB111" s="17"/>
      <c r="PZC111" s="17"/>
      <c r="PZD111" s="17"/>
      <c r="PZE111" s="17"/>
      <c r="PZF111" s="17"/>
      <c r="PZG111" s="17"/>
      <c r="PZH111" s="17"/>
      <c r="PZI111" s="17"/>
      <c r="PZJ111" s="17"/>
      <c r="PZK111" s="17"/>
      <c r="PZL111" s="17"/>
      <c r="PZM111" s="17"/>
      <c r="PZN111" s="17"/>
      <c r="PZO111" s="17"/>
      <c r="PZP111" s="17"/>
      <c r="PZQ111" s="17"/>
      <c r="PZR111" s="17"/>
      <c r="PZS111" s="17"/>
      <c r="PZT111" s="17"/>
      <c r="PZU111" s="17"/>
      <c r="PZV111" s="17"/>
      <c r="PZW111" s="17"/>
      <c r="PZX111" s="17"/>
      <c r="PZY111" s="17"/>
      <c r="PZZ111" s="17"/>
      <c r="QAA111" s="17"/>
      <c r="QAB111" s="17"/>
      <c r="QAC111" s="17"/>
      <c r="QAD111" s="17"/>
      <c r="QAE111" s="17"/>
      <c r="QAF111" s="17"/>
      <c r="QAG111" s="17"/>
      <c r="QAH111" s="17"/>
      <c r="QAI111" s="17"/>
      <c r="QAJ111" s="17"/>
      <c r="QAK111" s="17"/>
      <c r="QAL111" s="17"/>
      <c r="QAM111" s="17"/>
      <c r="QAN111" s="17"/>
      <c r="QAO111" s="17"/>
      <c r="QAP111" s="17"/>
      <c r="QAQ111" s="17"/>
      <c r="QAR111" s="17"/>
      <c r="QAS111" s="17"/>
      <c r="QAT111" s="17"/>
      <c r="QAU111" s="17"/>
      <c r="QAV111" s="17"/>
      <c r="QAW111" s="17"/>
      <c r="QAX111" s="17"/>
      <c r="QAY111" s="17"/>
      <c r="QAZ111" s="17"/>
      <c r="QBA111" s="17"/>
      <c r="QBB111" s="17"/>
      <c r="QBC111" s="17"/>
      <c r="QBD111" s="17"/>
      <c r="QBE111" s="17"/>
      <c r="QBF111" s="17"/>
      <c r="QBG111" s="17"/>
      <c r="QBH111" s="17"/>
      <c r="QBI111" s="17"/>
      <c r="QBJ111" s="17"/>
      <c r="QBK111" s="17"/>
      <c r="QBL111" s="17"/>
      <c r="QBM111" s="17"/>
      <c r="QBN111" s="17"/>
      <c r="QBO111" s="17"/>
      <c r="QBP111" s="17"/>
      <c r="QBQ111" s="17"/>
      <c r="QBR111" s="17"/>
      <c r="QBS111" s="17"/>
      <c r="QBT111" s="17"/>
      <c r="QBU111" s="17"/>
      <c r="QBV111" s="17"/>
      <c r="QBW111" s="17"/>
      <c r="QBX111" s="17"/>
      <c r="QBY111" s="17"/>
      <c r="QBZ111" s="17"/>
      <c r="QCA111" s="17"/>
      <c r="QCB111" s="17"/>
      <c r="QCC111" s="17"/>
      <c r="QCD111" s="17"/>
      <c r="QCE111" s="17"/>
      <c r="QCF111" s="17"/>
      <c r="QCG111" s="17"/>
      <c r="QCH111" s="17"/>
      <c r="QCI111" s="17"/>
      <c r="QCJ111" s="17"/>
      <c r="QCK111" s="17"/>
      <c r="QCL111" s="17"/>
      <c r="QCM111" s="17"/>
      <c r="QCN111" s="17"/>
      <c r="QCO111" s="17"/>
      <c r="QCP111" s="17"/>
      <c r="QCQ111" s="17"/>
      <c r="QCR111" s="17"/>
      <c r="QCS111" s="17"/>
      <c r="QCT111" s="17"/>
      <c r="QCU111" s="17"/>
      <c r="QCV111" s="17"/>
      <c r="QCW111" s="17"/>
      <c r="QCX111" s="17"/>
      <c r="QCY111" s="17"/>
      <c r="QCZ111" s="17"/>
      <c r="QDA111" s="17"/>
      <c r="QDB111" s="17"/>
      <c r="QDC111" s="17"/>
      <c r="QDD111" s="17"/>
      <c r="QDE111" s="17"/>
      <c r="QDF111" s="17"/>
      <c r="QDG111" s="17"/>
      <c r="QDH111" s="17"/>
      <c r="QDI111" s="17"/>
      <c r="QDJ111" s="17"/>
      <c r="QDK111" s="17"/>
      <c r="QDL111" s="17"/>
      <c r="QDM111" s="17"/>
      <c r="QDN111" s="17"/>
      <c r="QDO111" s="17"/>
      <c r="QDP111" s="17"/>
      <c r="QDQ111" s="17"/>
      <c r="QDR111" s="17"/>
      <c r="QDS111" s="17"/>
      <c r="QDT111" s="17"/>
      <c r="QDU111" s="17"/>
      <c r="QDV111" s="17"/>
      <c r="QDW111" s="17"/>
      <c r="QDX111" s="17"/>
      <c r="QDY111" s="17"/>
      <c r="QDZ111" s="17"/>
      <c r="QEA111" s="17"/>
      <c r="QEB111" s="17"/>
      <c r="QEC111" s="17"/>
      <c r="QED111" s="17"/>
      <c r="QEE111" s="17"/>
      <c r="QEF111" s="17"/>
      <c r="QEG111" s="17"/>
      <c r="QEH111" s="17"/>
      <c r="QEI111" s="17"/>
      <c r="QEJ111" s="17"/>
      <c r="QEK111" s="17"/>
      <c r="QEL111" s="17"/>
      <c r="QEM111" s="17"/>
      <c r="QEN111" s="17"/>
      <c r="QEO111" s="17"/>
      <c r="QEP111" s="17"/>
      <c r="QEQ111" s="17"/>
      <c r="QER111" s="17"/>
      <c r="QES111" s="17"/>
      <c r="QET111" s="17"/>
      <c r="QEU111" s="17"/>
      <c r="QEV111" s="17"/>
      <c r="QEW111" s="17"/>
      <c r="QEX111" s="17"/>
      <c r="QEY111" s="17"/>
      <c r="QEZ111" s="17"/>
      <c r="QFA111" s="17"/>
      <c r="QFB111" s="17"/>
      <c r="QFC111" s="17"/>
      <c r="QFD111" s="17"/>
      <c r="QFE111" s="17"/>
      <c r="QFF111" s="17"/>
      <c r="QFG111" s="17"/>
      <c r="QFH111" s="17"/>
      <c r="QFI111" s="17"/>
      <c r="QFJ111" s="17"/>
      <c r="QFK111" s="17"/>
      <c r="QFL111" s="17"/>
      <c r="QFM111" s="17"/>
      <c r="QFN111" s="17"/>
      <c r="QFO111" s="17"/>
      <c r="QFP111" s="17"/>
      <c r="QFQ111" s="17"/>
      <c r="QFR111" s="17"/>
      <c r="QFS111" s="17"/>
      <c r="QFT111" s="17"/>
      <c r="QFU111" s="17"/>
      <c r="QFV111" s="17"/>
      <c r="QFW111" s="17"/>
      <c r="QFX111" s="17"/>
      <c r="QFY111" s="17"/>
      <c r="QFZ111" s="17"/>
      <c r="QGA111" s="17"/>
      <c r="QGB111" s="17"/>
      <c r="QGC111" s="17"/>
      <c r="QGD111" s="17"/>
      <c r="QGE111" s="17"/>
      <c r="QGF111" s="17"/>
      <c r="QGG111" s="17"/>
      <c r="QGH111" s="17"/>
      <c r="QGI111" s="17"/>
      <c r="QGJ111" s="17"/>
      <c r="QGK111" s="17"/>
      <c r="QGL111" s="17"/>
      <c r="QGM111" s="17"/>
      <c r="QGN111" s="17"/>
      <c r="QGO111" s="17"/>
      <c r="QGP111" s="17"/>
      <c r="QGQ111" s="17"/>
      <c r="QGR111" s="17"/>
      <c r="QGS111" s="17"/>
      <c r="QGT111" s="17"/>
      <c r="QGU111" s="17"/>
      <c r="QGV111" s="17"/>
      <c r="QGW111" s="17"/>
      <c r="QGX111" s="17"/>
      <c r="QGY111" s="17"/>
      <c r="QGZ111" s="17"/>
      <c r="QHA111" s="17"/>
      <c r="QHB111" s="17"/>
      <c r="QHC111" s="17"/>
      <c r="QHD111" s="17"/>
      <c r="QHE111" s="17"/>
      <c r="QHF111" s="17"/>
      <c r="QHG111" s="17"/>
      <c r="QHH111" s="17"/>
      <c r="QHI111" s="17"/>
      <c r="QHJ111" s="17"/>
      <c r="QHK111" s="17"/>
      <c r="QHL111" s="17"/>
      <c r="QHM111" s="17"/>
      <c r="QHN111" s="17"/>
      <c r="QHO111" s="17"/>
      <c r="QHP111" s="17"/>
      <c r="QHQ111" s="17"/>
      <c r="QHR111" s="17"/>
      <c r="QHS111" s="17"/>
      <c r="QHT111" s="17"/>
      <c r="QHU111" s="17"/>
      <c r="QHV111" s="17"/>
      <c r="QHW111" s="17"/>
      <c r="QHX111" s="17"/>
      <c r="QHY111" s="17"/>
      <c r="QHZ111" s="17"/>
      <c r="QIA111" s="17"/>
      <c r="QIB111" s="17"/>
      <c r="QIC111" s="17"/>
      <c r="QID111" s="17"/>
      <c r="QIE111" s="17"/>
      <c r="QIF111" s="17"/>
      <c r="QIG111" s="17"/>
      <c r="QIH111" s="17"/>
      <c r="QII111" s="17"/>
      <c r="QIJ111" s="17"/>
      <c r="QIK111" s="17"/>
      <c r="QIL111" s="17"/>
      <c r="QIM111" s="17"/>
      <c r="QIN111" s="17"/>
      <c r="QIO111" s="17"/>
      <c r="QIP111" s="17"/>
      <c r="QIQ111" s="17"/>
      <c r="QIR111" s="17"/>
      <c r="QIS111" s="17"/>
      <c r="QIT111" s="17"/>
      <c r="QIU111" s="17"/>
      <c r="QIV111" s="17"/>
      <c r="QIW111" s="17"/>
      <c r="QIX111" s="17"/>
      <c r="QIY111" s="17"/>
      <c r="QIZ111" s="17"/>
      <c r="QJA111" s="17"/>
      <c r="QJB111" s="17"/>
      <c r="QJC111" s="17"/>
      <c r="QJD111" s="17"/>
      <c r="QJE111" s="17"/>
      <c r="QJF111" s="17"/>
      <c r="QJG111" s="17"/>
      <c r="QJH111" s="17"/>
      <c r="QJI111" s="17"/>
      <c r="QJJ111" s="17"/>
      <c r="QJK111" s="17"/>
      <c r="QJL111" s="17"/>
      <c r="QJM111" s="17"/>
      <c r="QJN111" s="17"/>
      <c r="QJO111" s="17"/>
      <c r="QJP111" s="17"/>
      <c r="QJQ111" s="17"/>
      <c r="QJR111" s="17"/>
      <c r="QJS111" s="17"/>
      <c r="QJT111" s="17"/>
      <c r="QJU111" s="17"/>
      <c r="QJV111" s="17"/>
      <c r="QJW111" s="17"/>
      <c r="QJX111" s="17"/>
      <c r="QJY111" s="17"/>
      <c r="QJZ111" s="17"/>
      <c r="QKA111" s="17"/>
      <c r="QKB111" s="17"/>
      <c r="QKC111" s="17"/>
      <c r="QKD111" s="17"/>
      <c r="QKE111" s="17"/>
      <c r="QKF111" s="17"/>
      <c r="QKG111" s="17"/>
      <c r="QKH111" s="17"/>
      <c r="QKI111" s="17"/>
      <c r="QKJ111" s="17"/>
      <c r="QKK111" s="17"/>
      <c r="QKL111" s="17"/>
      <c r="QKM111" s="17"/>
      <c r="QKN111" s="17"/>
      <c r="QKO111" s="17"/>
      <c r="QKP111" s="17"/>
      <c r="QKQ111" s="17"/>
      <c r="QKR111" s="17"/>
      <c r="QKS111" s="17"/>
      <c r="QKT111" s="17"/>
      <c r="QKU111" s="17"/>
      <c r="QKV111" s="17"/>
      <c r="QKW111" s="17"/>
      <c r="QKX111" s="17"/>
      <c r="QKY111" s="17"/>
      <c r="QKZ111" s="17"/>
      <c r="QLA111" s="17"/>
      <c r="QLB111" s="17"/>
      <c r="QLC111" s="17"/>
      <c r="QLD111" s="17"/>
      <c r="QLE111" s="17"/>
      <c r="QLF111" s="17"/>
      <c r="QLG111" s="17"/>
      <c r="QLH111" s="17"/>
      <c r="QLI111" s="17"/>
      <c r="QLJ111" s="17"/>
      <c r="QLK111" s="17"/>
      <c r="QLL111" s="17"/>
      <c r="QLM111" s="17"/>
      <c r="QLN111" s="17"/>
      <c r="QLO111" s="17"/>
      <c r="QLP111" s="17"/>
      <c r="QLQ111" s="17"/>
      <c r="QLR111" s="17"/>
      <c r="QLS111" s="17"/>
      <c r="QLT111" s="17"/>
      <c r="QLU111" s="17"/>
      <c r="QLV111" s="17"/>
      <c r="QLW111" s="17"/>
      <c r="QLX111" s="17"/>
      <c r="QLY111" s="17"/>
      <c r="QLZ111" s="17"/>
      <c r="QMA111" s="17"/>
      <c r="QMB111" s="17"/>
      <c r="QMC111" s="17"/>
      <c r="QMD111" s="17"/>
      <c r="QME111" s="17"/>
      <c r="QMF111" s="17"/>
      <c r="QMG111" s="17"/>
      <c r="QMH111" s="17"/>
      <c r="QMI111" s="17"/>
      <c r="QMJ111" s="17"/>
      <c r="QMK111" s="17"/>
      <c r="QML111" s="17"/>
      <c r="QMM111" s="17"/>
      <c r="QMN111" s="17"/>
      <c r="QMO111" s="17"/>
      <c r="QMP111" s="17"/>
      <c r="QMQ111" s="17"/>
      <c r="QMR111" s="17"/>
      <c r="QMS111" s="17"/>
      <c r="QMT111" s="17"/>
      <c r="QMU111" s="17"/>
      <c r="QMV111" s="17"/>
      <c r="QMW111" s="17"/>
      <c r="QMX111" s="17"/>
      <c r="QMY111" s="17"/>
      <c r="QMZ111" s="17"/>
      <c r="QNA111" s="17"/>
      <c r="QNB111" s="17"/>
      <c r="QNC111" s="17"/>
      <c r="QND111" s="17"/>
      <c r="QNE111" s="17"/>
      <c r="QNF111" s="17"/>
      <c r="QNG111" s="17"/>
      <c r="QNH111" s="17"/>
      <c r="QNI111" s="17"/>
      <c r="QNJ111" s="17"/>
      <c r="QNK111" s="17"/>
      <c r="QNL111" s="17"/>
      <c r="QNM111" s="17"/>
      <c r="QNN111" s="17"/>
      <c r="QNO111" s="17"/>
      <c r="QNP111" s="17"/>
      <c r="QNQ111" s="17"/>
      <c r="QNR111" s="17"/>
      <c r="QNS111" s="17"/>
      <c r="QNT111" s="17"/>
      <c r="QNU111" s="17"/>
      <c r="QNV111" s="17"/>
      <c r="QNW111" s="17"/>
      <c r="QNX111" s="17"/>
      <c r="QNY111" s="17"/>
      <c r="QNZ111" s="17"/>
      <c r="QOA111" s="17"/>
      <c r="QOB111" s="17"/>
      <c r="QOC111" s="17"/>
      <c r="QOD111" s="17"/>
      <c r="QOE111" s="17"/>
      <c r="QOF111" s="17"/>
      <c r="QOG111" s="17"/>
      <c r="QOH111" s="17"/>
      <c r="QOI111" s="17"/>
      <c r="QOJ111" s="17"/>
      <c r="QOK111" s="17"/>
      <c r="QOL111" s="17"/>
      <c r="QOM111" s="17"/>
      <c r="QON111" s="17"/>
      <c r="QOO111" s="17"/>
      <c r="QOP111" s="17"/>
      <c r="QOQ111" s="17"/>
      <c r="QOR111" s="17"/>
      <c r="QOS111" s="17"/>
      <c r="QOT111" s="17"/>
      <c r="QOU111" s="17"/>
      <c r="QOV111" s="17"/>
      <c r="QOW111" s="17"/>
      <c r="QOX111" s="17"/>
      <c r="QOY111" s="17"/>
      <c r="QOZ111" s="17"/>
      <c r="QPA111" s="17"/>
      <c r="QPB111" s="17"/>
      <c r="QPC111" s="17"/>
      <c r="QPD111" s="17"/>
      <c r="QPE111" s="17"/>
      <c r="QPF111" s="17"/>
      <c r="QPG111" s="17"/>
      <c r="QPH111" s="17"/>
      <c r="QPI111" s="17"/>
      <c r="QPJ111" s="17"/>
      <c r="QPK111" s="17"/>
      <c r="QPL111" s="17"/>
      <c r="QPM111" s="17"/>
      <c r="QPN111" s="17"/>
      <c r="QPO111" s="17"/>
      <c r="QPP111" s="17"/>
      <c r="QPQ111" s="17"/>
      <c r="QPR111" s="17"/>
      <c r="QPS111" s="17"/>
      <c r="QPT111" s="17"/>
      <c r="QPU111" s="17"/>
      <c r="QPV111" s="17"/>
      <c r="QPW111" s="17"/>
      <c r="QPX111" s="17"/>
      <c r="QPY111" s="17"/>
      <c r="QPZ111" s="17"/>
      <c r="QQA111" s="17"/>
      <c r="QQB111" s="17"/>
      <c r="QQC111" s="17"/>
      <c r="QQD111" s="17"/>
      <c r="QQE111" s="17"/>
      <c r="QQF111" s="17"/>
      <c r="QQG111" s="17"/>
      <c r="QQH111" s="17"/>
      <c r="QQI111" s="17"/>
      <c r="QQJ111" s="17"/>
      <c r="QQK111" s="17"/>
      <c r="QQL111" s="17"/>
      <c r="QQM111" s="17"/>
      <c r="QQN111" s="17"/>
      <c r="QQO111" s="17"/>
      <c r="QQP111" s="17"/>
      <c r="QQQ111" s="17"/>
      <c r="QQR111" s="17"/>
      <c r="QQS111" s="17"/>
      <c r="QQT111" s="17"/>
      <c r="QQU111" s="17"/>
      <c r="QQV111" s="17"/>
      <c r="QQW111" s="17"/>
      <c r="QQX111" s="17"/>
      <c r="QQY111" s="17"/>
      <c r="QQZ111" s="17"/>
      <c r="QRA111" s="17"/>
      <c r="QRB111" s="17"/>
      <c r="QRC111" s="17"/>
      <c r="QRD111" s="17"/>
      <c r="QRE111" s="17"/>
      <c r="QRF111" s="17"/>
      <c r="QRG111" s="17"/>
      <c r="QRH111" s="17"/>
      <c r="QRI111" s="17"/>
      <c r="QRJ111" s="17"/>
      <c r="QRK111" s="17"/>
      <c r="QRL111" s="17"/>
      <c r="QRM111" s="17"/>
      <c r="QRN111" s="17"/>
      <c r="QRO111" s="17"/>
      <c r="QRP111" s="17"/>
      <c r="QRQ111" s="17"/>
      <c r="QRR111" s="17"/>
      <c r="QRS111" s="17"/>
      <c r="QRT111" s="17"/>
      <c r="QRU111" s="17"/>
      <c r="QRV111" s="17"/>
      <c r="QRW111" s="17"/>
      <c r="QRX111" s="17"/>
      <c r="QRY111" s="17"/>
      <c r="QRZ111" s="17"/>
      <c r="QSA111" s="17"/>
      <c r="QSB111" s="17"/>
      <c r="QSC111" s="17"/>
      <c r="QSD111" s="17"/>
      <c r="QSE111" s="17"/>
      <c r="QSF111" s="17"/>
      <c r="QSG111" s="17"/>
      <c r="QSH111" s="17"/>
      <c r="QSI111" s="17"/>
      <c r="QSJ111" s="17"/>
      <c r="QSK111" s="17"/>
      <c r="QSL111" s="17"/>
      <c r="QSM111" s="17"/>
      <c r="QSN111" s="17"/>
      <c r="QSO111" s="17"/>
      <c r="QSP111" s="17"/>
      <c r="QSQ111" s="17"/>
      <c r="QSR111" s="17"/>
      <c r="QSS111" s="17"/>
      <c r="QST111" s="17"/>
      <c r="QSU111" s="17"/>
      <c r="QSV111" s="17"/>
      <c r="QSW111" s="17"/>
      <c r="QSX111" s="17"/>
      <c r="QSY111" s="17"/>
      <c r="QSZ111" s="17"/>
      <c r="QTA111" s="17"/>
      <c r="QTB111" s="17"/>
      <c r="QTC111" s="17"/>
      <c r="QTD111" s="17"/>
      <c r="QTE111" s="17"/>
      <c r="QTF111" s="17"/>
      <c r="QTG111" s="17"/>
      <c r="QTH111" s="17"/>
      <c r="QTI111" s="17"/>
      <c r="QTJ111" s="17"/>
      <c r="QTK111" s="17"/>
      <c r="QTL111" s="17"/>
      <c r="QTM111" s="17"/>
      <c r="QTN111" s="17"/>
      <c r="QTO111" s="17"/>
      <c r="QTP111" s="17"/>
      <c r="QTQ111" s="17"/>
      <c r="QTR111" s="17"/>
      <c r="QTS111" s="17"/>
      <c r="QTT111" s="17"/>
      <c r="QTU111" s="17"/>
      <c r="QTV111" s="17"/>
      <c r="QTW111" s="17"/>
      <c r="QTX111" s="17"/>
      <c r="QTY111" s="17"/>
      <c r="QTZ111" s="17"/>
      <c r="QUA111" s="17"/>
      <c r="QUB111" s="17"/>
      <c r="QUC111" s="17"/>
      <c r="QUD111" s="17"/>
      <c r="QUE111" s="17"/>
      <c r="QUF111" s="17"/>
      <c r="QUG111" s="17"/>
      <c r="QUH111" s="17"/>
      <c r="QUI111" s="17"/>
      <c r="QUJ111" s="17"/>
      <c r="QUK111" s="17"/>
      <c r="QUL111" s="17"/>
      <c r="QUM111" s="17"/>
      <c r="QUN111" s="17"/>
      <c r="QUO111" s="17"/>
      <c r="QUP111" s="17"/>
      <c r="QUQ111" s="17"/>
      <c r="QUR111" s="17"/>
      <c r="QUS111" s="17"/>
      <c r="QUT111" s="17"/>
      <c r="QUU111" s="17"/>
      <c r="QUV111" s="17"/>
      <c r="QUW111" s="17"/>
      <c r="QUX111" s="17"/>
      <c r="QUY111" s="17"/>
      <c r="QUZ111" s="17"/>
      <c r="QVA111" s="17"/>
      <c r="QVB111" s="17"/>
      <c r="QVC111" s="17"/>
      <c r="QVD111" s="17"/>
      <c r="QVE111" s="17"/>
      <c r="QVF111" s="17"/>
      <c r="QVG111" s="17"/>
      <c r="QVH111" s="17"/>
      <c r="QVI111" s="17"/>
      <c r="QVJ111" s="17"/>
      <c r="QVK111" s="17"/>
      <c r="QVL111" s="17"/>
      <c r="QVM111" s="17"/>
      <c r="QVN111" s="17"/>
      <c r="QVO111" s="17"/>
      <c r="QVP111" s="17"/>
      <c r="QVQ111" s="17"/>
      <c r="QVR111" s="17"/>
      <c r="QVS111" s="17"/>
      <c r="QVT111" s="17"/>
      <c r="QVU111" s="17"/>
      <c r="QVV111" s="17"/>
      <c r="QVW111" s="17"/>
      <c r="QVX111" s="17"/>
      <c r="QVY111" s="17"/>
      <c r="QVZ111" s="17"/>
      <c r="QWA111" s="17"/>
      <c r="QWB111" s="17"/>
      <c r="QWC111" s="17"/>
      <c r="QWD111" s="17"/>
      <c r="QWE111" s="17"/>
      <c r="QWF111" s="17"/>
      <c r="QWG111" s="17"/>
      <c r="QWH111" s="17"/>
      <c r="QWI111" s="17"/>
      <c r="QWJ111" s="17"/>
      <c r="QWK111" s="17"/>
      <c r="QWL111" s="17"/>
      <c r="QWM111" s="17"/>
      <c r="QWN111" s="17"/>
      <c r="QWO111" s="17"/>
      <c r="QWP111" s="17"/>
      <c r="QWQ111" s="17"/>
      <c r="QWR111" s="17"/>
      <c r="QWS111" s="17"/>
      <c r="QWT111" s="17"/>
      <c r="QWU111" s="17"/>
      <c r="QWV111" s="17"/>
      <c r="QWW111" s="17"/>
      <c r="QWX111" s="17"/>
      <c r="QWY111" s="17"/>
      <c r="QWZ111" s="17"/>
      <c r="QXA111" s="17"/>
      <c r="QXB111" s="17"/>
      <c r="QXC111" s="17"/>
      <c r="QXD111" s="17"/>
      <c r="QXE111" s="17"/>
      <c r="QXF111" s="17"/>
      <c r="QXG111" s="17"/>
      <c r="QXH111" s="17"/>
      <c r="QXI111" s="17"/>
      <c r="QXJ111" s="17"/>
      <c r="QXK111" s="17"/>
      <c r="QXL111" s="17"/>
      <c r="QXM111" s="17"/>
      <c r="QXN111" s="17"/>
      <c r="QXO111" s="17"/>
      <c r="QXP111" s="17"/>
      <c r="QXQ111" s="17"/>
      <c r="QXR111" s="17"/>
      <c r="QXS111" s="17"/>
      <c r="QXT111" s="17"/>
      <c r="QXU111" s="17"/>
      <c r="QXV111" s="17"/>
      <c r="QXW111" s="17"/>
      <c r="QXX111" s="17"/>
      <c r="QXY111" s="17"/>
      <c r="QXZ111" s="17"/>
      <c r="QYA111" s="17"/>
      <c r="QYB111" s="17"/>
      <c r="QYC111" s="17"/>
      <c r="QYD111" s="17"/>
      <c r="QYE111" s="17"/>
      <c r="QYF111" s="17"/>
      <c r="QYG111" s="17"/>
      <c r="QYH111" s="17"/>
      <c r="QYI111" s="17"/>
      <c r="QYJ111" s="17"/>
      <c r="QYK111" s="17"/>
      <c r="QYL111" s="17"/>
      <c r="QYM111" s="17"/>
      <c r="QYN111" s="17"/>
      <c r="QYO111" s="17"/>
      <c r="QYP111" s="17"/>
      <c r="QYQ111" s="17"/>
      <c r="QYR111" s="17"/>
      <c r="QYS111" s="17"/>
      <c r="QYT111" s="17"/>
      <c r="QYU111" s="17"/>
      <c r="QYV111" s="17"/>
      <c r="QYW111" s="17"/>
      <c r="QYX111" s="17"/>
      <c r="QYY111" s="17"/>
      <c r="QYZ111" s="17"/>
      <c r="QZA111" s="17"/>
      <c r="QZB111" s="17"/>
      <c r="QZC111" s="17"/>
      <c r="QZD111" s="17"/>
      <c r="QZE111" s="17"/>
      <c r="QZF111" s="17"/>
      <c r="QZG111" s="17"/>
      <c r="QZH111" s="17"/>
      <c r="QZI111" s="17"/>
      <c r="QZJ111" s="17"/>
      <c r="QZK111" s="17"/>
      <c r="QZL111" s="17"/>
      <c r="QZM111" s="17"/>
      <c r="QZN111" s="17"/>
      <c r="QZO111" s="17"/>
      <c r="QZP111" s="17"/>
      <c r="QZQ111" s="17"/>
      <c r="QZR111" s="17"/>
      <c r="QZS111" s="17"/>
      <c r="QZT111" s="17"/>
      <c r="QZU111" s="17"/>
      <c r="QZV111" s="17"/>
      <c r="QZW111" s="17"/>
      <c r="QZX111" s="17"/>
      <c r="QZY111" s="17"/>
      <c r="QZZ111" s="17"/>
      <c r="RAA111" s="17"/>
      <c r="RAB111" s="17"/>
      <c r="RAC111" s="17"/>
      <c r="RAD111" s="17"/>
      <c r="RAE111" s="17"/>
      <c r="RAF111" s="17"/>
      <c r="RAG111" s="17"/>
      <c r="RAH111" s="17"/>
      <c r="RAI111" s="17"/>
      <c r="RAJ111" s="17"/>
      <c r="RAK111" s="17"/>
      <c r="RAL111" s="17"/>
      <c r="RAM111" s="17"/>
      <c r="RAN111" s="17"/>
      <c r="RAO111" s="17"/>
      <c r="RAP111" s="17"/>
      <c r="RAQ111" s="17"/>
      <c r="RAR111" s="17"/>
      <c r="RAS111" s="17"/>
      <c r="RAT111" s="17"/>
      <c r="RAU111" s="17"/>
      <c r="RAV111" s="17"/>
      <c r="RAW111" s="17"/>
      <c r="RAX111" s="17"/>
      <c r="RAY111" s="17"/>
      <c r="RAZ111" s="17"/>
      <c r="RBA111" s="17"/>
      <c r="RBB111" s="17"/>
      <c r="RBC111" s="17"/>
      <c r="RBD111" s="17"/>
      <c r="RBE111" s="17"/>
      <c r="RBF111" s="17"/>
      <c r="RBG111" s="17"/>
      <c r="RBH111" s="17"/>
      <c r="RBI111" s="17"/>
      <c r="RBJ111" s="17"/>
      <c r="RBK111" s="17"/>
      <c r="RBL111" s="17"/>
      <c r="RBM111" s="17"/>
      <c r="RBN111" s="17"/>
      <c r="RBO111" s="17"/>
      <c r="RBP111" s="17"/>
      <c r="RBQ111" s="17"/>
      <c r="RBR111" s="17"/>
      <c r="RBS111" s="17"/>
      <c r="RBT111" s="17"/>
      <c r="RBU111" s="17"/>
      <c r="RBV111" s="17"/>
      <c r="RBW111" s="17"/>
      <c r="RBX111" s="17"/>
      <c r="RBY111" s="17"/>
      <c r="RBZ111" s="17"/>
      <c r="RCA111" s="17"/>
      <c r="RCB111" s="17"/>
      <c r="RCC111" s="17"/>
      <c r="RCD111" s="17"/>
      <c r="RCE111" s="17"/>
      <c r="RCF111" s="17"/>
      <c r="RCG111" s="17"/>
      <c r="RCH111" s="17"/>
      <c r="RCI111" s="17"/>
      <c r="RCJ111" s="17"/>
      <c r="RCK111" s="17"/>
      <c r="RCL111" s="17"/>
      <c r="RCM111" s="17"/>
      <c r="RCN111" s="17"/>
      <c r="RCO111" s="17"/>
      <c r="RCP111" s="17"/>
      <c r="RCQ111" s="17"/>
      <c r="RCR111" s="17"/>
      <c r="RCS111" s="17"/>
      <c r="RCT111" s="17"/>
      <c r="RCU111" s="17"/>
      <c r="RCV111" s="17"/>
      <c r="RCW111" s="17"/>
      <c r="RCX111" s="17"/>
      <c r="RCY111" s="17"/>
      <c r="RCZ111" s="17"/>
      <c r="RDA111" s="17"/>
      <c r="RDB111" s="17"/>
      <c r="RDC111" s="17"/>
      <c r="RDD111" s="17"/>
      <c r="RDE111" s="17"/>
      <c r="RDF111" s="17"/>
      <c r="RDG111" s="17"/>
      <c r="RDH111" s="17"/>
      <c r="RDI111" s="17"/>
      <c r="RDJ111" s="17"/>
      <c r="RDK111" s="17"/>
      <c r="RDL111" s="17"/>
      <c r="RDM111" s="17"/>
      <c r="RDN111" s="17"/>
      <c r="RDO111" s="17"/>
      <c r="RDP111" s="17"/>
      <c r="RDQ111" s="17"/>
      <c r="RDR111" s="17"/>
      <c r="RDS111" s="17"/>
      <c r="RDT111" s="17"/>
      <c r="RDU111" s="17"/>
      <c r="RDV111" s="17"/>
      <c r="RDW111" s="17"/>
      <c r="RDX111" s="17"/>
      <c r="RDY111" s="17"/>
      <c r="RDZ111" s="17"/>
      <c r="REA111" s="17"/>
      <c r="REB111" s="17"/>
      <c r="REC111" s="17"/>
      <c r="RED111" s="17"/>
      <c r="REE111" s="17"/>
      <c r="REF111" s="17"/>
      <c r="REG111" s="17"/>
      <c r="REH111" s="17"/>
      <c r="REI111" s="17"/>
      <c r="REJ111" s="17"/>
      <c r="REK111" s="17"/>
      <c r="REL111" s="17"/>
      <c r="REM111" s="17"/>
      <c r="REN111" s="17"/>
      <c r="REO111" s="17"/>
      <c r="REP111" s="17"/>
      <c r="REQ111" s="17"/>
      <c r="RER111" s="17"/>
      <c r="RES111" s="17"/>
      <c r="RET111" s="17"/>
      <c r="REU111" s="17"/>
      <c r="REV111" s="17"/>
      <c r="REW111" s="17"/>
      <c r="REX111" s="17"/>
      <c r="REY111" s="17"/>
      <c r="REZ111" s="17"/>
      <c r="RFA111" s="17"/>
      <c r="RFB111" s="17"/>
      <c r="RFC111" s="17"/>
      <c r="RFD111" s="17"/>
      <c r="RFE111" s="17"/>
      <c r="RFF111" s="17"/>
      <c r="RFG111" s="17"/>
      <c r="RFH111" s="17"/>
      <c r="RFI111" s="17"/>
      <c r="RFJ111" s="17"/>
      <c r="RFK111" s="17"/>
      <c r="RFL111" s="17"/>
      <c r="RFM111" s="17"/>
      <c r="RFN111" s="17"/>
      <c r="RFO111" s="17"/>
      <c r="RFP111" s="17"/>
      <c r="RFQ111" s="17"/>
      <c r="RFR111" s="17"/>
      <c r="RFS111" s="17"/>
      <c r="RFT111" s="17"/>
      <c r="RFU111" s="17"/>
      <c r="RFV111" s="17"/>
      <c r="RFW111" s="17"/>
      <c r="RFX111" s="17"/>
      <c r="RFY111" s="17"/>
      <c r="RFZ111" s="17"/>
      <c r="RGA111" s="17"/>
      <c r="RGB111" s="17"/>
      <c r="RGC111" s="17"/>
      <c r="RGD111" s="17"/>
      <c r="RGE111" s="17"/>
      <c r="RGF111" s="17"/>
      <c r="RGG111" s="17"/>
      <c r="RGH111" s="17"/>
      <c r="RGI111" s="17"/>
      <c r="RGJ111" s="17"/>
      <c r="RGK111" s="17"/>
      <c r="RGL111" s="17"/>
      <c r="RGM111" s="17"/>
      <c r="RGN111" s="17"/>
      <c r="RGO111" s="17"/>
      <c r="RGP111" s="17"/>
      <c r="RGQ111" s="17"/>
      <c r="RGR111" s="17"/>
      <c r="RGS111" s="17"/>
      <c r="RGT111" s="17"/>
      <c r="RGU111" s="17"/>
      <c r="RGV111" s="17"/>
      <c r="RGW111" s="17"/>
      <c r="RGX111" s="17"/>
      <c r="RGY111" s="17"/>
      <c r="RGZ111" s="17"/>
      <c r="RHA111" s="17"/>
      <c r="RHB111" s="17"/>
      <c r="RHC111" s="17"/>
      <c r="RHD111" s="17"/>
      <c r="RHE111" s="17"/>
      <c r="RHF111" s="17"/>
      <c r="RHG111" s="17"/>
      <c r="RHH111" s="17"/>
      <c r="RHI111" s="17"/>
      <c r="RHJ111" s="17"/>
      <c r="RHK111" s="17"/>
      <c r="RHL111" s="17"/>
      <c r="RHM111" s="17"/>
      <c r="RHN111" s="17"/>
      <c r="RHO111" s="17"/>
      <c r="RHP111" s="17"/>
      <c r="RHQ111" s="17"/>
      <c r="RHR111" s="17"/>
      <c r="RHS111" s="17"/>
      <c r="RHT111" s="17"/>
      <c r="RHU111" s="17"/>
      <c r="RHV111" s="17"/>
      <c r="RHW111" s="17"/>
      <c r="RHX111" s="17"/>
      <c r="RHY111" s="17"/>
      <c r="RHZ111" s="17"/>
      <c r="RIA111" s="17"/>
      <c r="RIB111" s="17"/>
      <c r="RIC111" s="17"/>
      <c r="RID111" s="17"/>
      <c r="RIE111" s="17"/>
      <c r="RIF111" s="17"/>
      <c r="RIG111" s="17"/>
      <c r="RIH111" s="17"/>
      <c r="RII111" s="17"/>
      <c r="RIJ111" s="17"/>
      <c r="RIK111" s="17"/>
      <c r="RIL111" s="17"/>
      <c r="RIM111" s="17"/>
      <c r="RIN111" s="17"/>
      <c r="RIO111" s="17"/>
      <c r="RIP111" s="17"/>
      <c r="RIQ111" s="17"/>
      <c r="RIR111" s="17"/>
      <c r="RIS111" s="17"/>
      <c r="RIT111" s="17"/>
      <c r="RIU111" s="17"/>
      <c r="RIV111" s="17"/>
      <c r="RIW111" s="17"/>
      <c r="RIX111" s="17"/>
      <c r="RIY111" s="17"/>
      <c r="RIZ111" s="17"/>
      <c r="RJA111" s="17"/>
      <c r="RJB111" s="17"/>
      <c r="RJC111" s="17"/>
      <c r="RJD111" s="17"/>
      <c r="RJE111" s="17"/>
      <c r="RJF111" s="17"/>
      <c r="RJG111" s="17"/>
      <c r="RJH111" s="17"/>
      <c r="RJI111" s="17"/>
      <c r="RJJ111" s="17"/>
      <c r="RJK111" s="17"/>
      <c r="RJL111" s="17"/>
      <c r="RJM111" s="17"/>
      <c r="RJN111" s="17"/>
      <c r="RJO111" s="17"/>
      <c r="RJP111" s="17"/>
      <c r="RJQ111" s="17"/>
      <c r="RJR111" s="17"/>
      <c r="RJS111" s="17"/>
      <c r="RJT111" s="17"/>
      <c r="RJU111" s="17"/>
      <c r="RJV111" s="17"/>
      <c r="RJW111" s="17"/>
      <c r="RJX111" s="17"/>
      <c r="RJY111" s="17"/>
      <c r="RJZ111" s="17"/>
      <c r="RKA111" s="17"/>
      <c r="RKB111" s="17"/>
      <c r="RKC111" s="17"/>
      <c r="RKD111" s="17"/>
      <c r="RKE111" s="17"/>
      <c r="RKF111" s="17"/>
      <c r="RKG111" s="17"/>
      <c r="RKH111" s="17"/>
      <c r="RKI111" s="17"/>
      <c r="RKJ111" s="17"/>
      <c r="RKK111" s="17"/>
      <c r="RKL111" s="17"/>
      <c r="RKM111" s="17"/>
      <c r="RKN111" s="17"/>
      <c r="RKO111" s="17"/>
      <c r="RKP111" s="17"/>
      <c r="RKQ111" s="17"/>
      <c r="RKR111" s="17"/>
      <c r="RKS111" s="17"/>
      <c r="RKT111" s="17"/>
      <c r="RKU111" s="17"/>
      <c r="RKV111" s="17"/>
      <c r="RKW111" s="17"/>
      <c r="RKX111" s="17"/>
      <c r="RKY111" s="17"/>
      <c r="RKZ111" s="17"/>
      <c r="RLA111" s="17"/>
      <c r="RLB111" s="17"/>
      <c r="RLC111" s="17"/>
      <c r="RLD111" s="17"/>
      <c r="RLE111" s="17"/>
      <c r="RLF111" s="17"/>
      <c r="RLG111" s="17"/>
      <c r="RLH111" s="17"/>
      <c r="RLI111" s="17"/>
      <c r="RLJ111" s="17"/>
      <c r="RLK111" s="17"/>
      <c r="RLL111" s="17"/>
      <c r="RLM111" s="17"/>
      <c r="RLN111" s="17"/>
      <c r="RLO111" s="17"/>
      <c r="RLP111" s="17"/>
      <c r="RLQ111" s="17"/>
      <c r="RLR111" s="17"/>
      <c r="RLS111" s="17"/>
      <c r="RLT111" s="17"/>
      <c r="RLU111" s="17"/>
      <c r="RLV111" s="17"/>
      <c r="RLW111" s="17"/>
      <c r="RLX111" s="17"/>
      <c r="RLY111" s="17"/>
      <c r="RLZ111" s="17"/>
      <c r="RMA111" s="17"/>
      <c r="RMB111" s="17"/>
      <c r="RMC111" s="17"/>
      <c r="RMD111" s="17"/>
      <c r="RME111" s="17"/>
      <c r="RMF111" s="17"/>
      <c r="RMG111" s="17"/>
      <c r="RMH111" s="17"/>
      <c r="RMI111" s="17"/>
      <c r="RMJ111" s="17"/>
      <c r="RMK111" s="17"/>
      <c r="RML111" s="17"/>
      <c r="RMM111" s="17"/>
      <c r="RMN111" s="17"/>
      <c r="RMO111" s="17"/>
      <c r="RMP111" s="17"/>
      <c r="RMQ111" s="17"/>
      <c r="RMR111" s="17"/>
      <c r="RMS111" s="17"/>
      <c r="RMT111" s="17"/>
      <c r="RMU111" s="17"/>
      <c r="RMV111" s="17"/>
      <c r="RMW111" s="17"/>
      <c r="RMX111" s="17"/>
      <c r="RMY111" s="17"/>
      <c r="RMZ111" s="17"/>
      <c r="RNA111" s="17"/>
      <c r="RNB111" s="17"/>
      <c r="RNC111" s="17"/>
      <c r="RND111" s="17"/>
      <c r="RNE111" s="17"/>
      <c r="RNF111" s="17"/>
      <c r="RNG111" s="17"/>
      <c r="RNH111" s="17"/>
      <c r="RNI111" s="17"/>
      <c r="RNJ111" s="17"/>
      <c r="RNK111" s="17"/>
      <c r="RNL111" s="17"/>
      <c r="RNM111" s="17"/>
      <c r="RNN111" s="17"/>
      <c r="RNO111" s="17"/>
      <c r="RNP111" s="17"/>
      <c r="RNQ111" s="17"/>
      <c r="RNR111" s="17"/>
      <c r="RNS111" s="17"/>
      <c r="RNT111" s="17"/>
      <c r="RNU111" s="17"/>
      <c r="RNV111" s="17"/>
      <c r="RNW111" s="17"/>
      <c r="RNX111" s="17"/>
      <c r="RNY111" s="17"/>
      <c r="RNZ111" s="17"/>
      <c r="ROA111" s="17"/>
      <c r="ROB111" s="17"/>
      <c r="ROC111" s="17"/>
      <c r="ROD111" s="17"/>
      <c r="ROE111" s="17"/>
      <c r="ROF111" s="17"/>
      <c r="ROG111" s="17"/>
      <c r="ROH111" s="17"/>
      <c r="ROI111" s="17"/>
      <c r="ROJ111" s="17"/>
      <c r="ROK111" s="17"/>
      <c r="ROL111" s="17"/>
      <c r="ROM111" s="17"/>
      <c r="RON111" s="17"/>
      <c r="ROO111" s="17"/>
      <c r="ROP111" s="17"/>
      <c r="ROQ111" s="17"/>
      <c r="ROR111" s="17"/>
      <c r="ROS111" s="17"/>
      <c r="ROT111" s="17"/>
      <c r="ROU111" s="17"/>
      <c r="ROV111" s="17"/>
      <c r="ROW111" s="17"/>
      <c r="ROX111" s="17"/>
      <c r="ROY111" s="17"/>
      <c r="ROZ111" s="17"/>
      <c r="RPA111" s="17"/>
      <c r="RPB111" s="17"/>
      <c r="RPC111" s="17"/>
      <c r="RPD111" s="17"/>
      <c r="RPE111" s="17"/>
      <c r="RPF111" s="17"/>
      <c r="RPG111" s="17"/>
      <c r="RPH111" s="17"/>
      <c r="RPI111" s="17"/>
      <c r="RPJ111" s="17"/>
      <c r="RPK111" s="17"/>
      <c r="RPL111" s="17"/>
      <c r="RPM111" s="17"/>
      <c r="RPN111" s="17"/>
      <c r="RPO111" s="17"/>
      <c r="RPP111" s="17"/>
      <c r="RPQ111" s="17"/>
      <c r="RPR111" s="17"/>
      <c r="RPS111" s="17"/>
      <c r="RPT111" s="17"/>
      <c r="RPU111" s="17"/>
      <c r="RPV111" s="17"/>
      <c r="RPW111" s="17"/>
      <c r="RPX111" s="17"/>
      <c r="RPY111" s="17"/>
      <c r="RPZ111" s="17"/>
      <c r="RQA111" s="17"/>
      <c r="RQB111" s="17"/>
      <c r="RQC111" s="17"/>
      <c r="RQD111" s="17"/>
      <c r="RQE111" s="17"/>
      <c r="RQF111" s="17"/>
      <c r="RQG111" s="17"/>
      <c r="RQH111" s="17"/>
      <c r="RQI111" s="17"/>
      <c r="RQJ111" s="17"/>
      <c r="RQK111" s="17"/>
      <c r="RQL111" s="17"/>
      <c r="RQM111" s="17"/>
      <c r="RQN111" s="17"/>
      <c r="RQO111" s="17"/>
      <c r="RQP111" s="17"/>
      <c r="RQQ111" s="17"/>
      <c r="RQR111" s="17"/>
      <c r="RQS111" s="17"/>
      <c r="RQT111" s="17"/>
      <c r="RQU111" s="17"/>
      <c r="RQV111" s="17"/>
      <c r="RQW111" s="17"/>
      <c r="RQX111" s="17"/>
      <c r="RQY111" s="17"/>
      <c r="RQZ111" s="17"/>
      <c r="RRA111" s="17"/>
      <c r="RRB111" s="17"/>
      <c r="RRC111" s="17"/>
      <c r="RRD111" s="17"/>
      <c r="RRE111" s="17"/>
      <c r="RRF111" s="17"/>
      <c r="RRG111" s="17"/>
      <c r="RRH111" s="17"/>
      <c r="RRI111" s="17"/>
      <c r="RRJ111" s="17"/>
      <c r="RRK111" s="17"/>
      <c r="RRL111" s="17"/>
      <c r="RRM111" s="17"/>
      <c r="RRN111" s="17"/>
      <c r="RRO111" s="17"/>
      <c r="RRP111" s="17"/>
      <c r="RRQ111" s="17"/>
      <c r="RRR111" s="17"/>
      <c r="RRS111" s="17"/>
      <c r="RRT111" s="17"/>
      <c r="RRU111" s="17"/>
      <c r="RRV111" s="17"/>
      <c r="RRW111" s="17"/>
      <c r="RRX111" s="17"/>
      <c r="RRY111" s="17"/>
      <c r="RRZ111" s="17"/>
      <c r="RSA111" s="17"/>
      <c r="RSB111" s="17"/>
      <c r="RSC111" s="17"/>
      <c r="RSD111" s="17"/>
      <c r="RSE111" s="17"/>
      <c r="RSF111" s="17"/>
      <c r="RSG111" s="17"/>
      <c r="RSH111" s="17"/>
      <c r="RSI111" s="17"/>
      <c r="RSJ111" s="17"/>
      <c r="RSK111" s="17"/>
      <c r="RSL111" s="17"/>
      <c r="RSM111" s="17"/>
      <c r="RSN111" s="17"/>
      <c r="RSO111" s="17"/>
      <c r="RSP111" s="17"/>
      <c r="RSQ111" s="17"/>
      <c r="RSR111" s="17"/>
      <c r="RSS111" s="17"/>
      <c r="RST111" s="17"/>
      <c r="RSU111" s="17"/>
      <c r="RSV111" s="17"/>
      <c r="RSW111" s="17"/>
      <c r="RSX111" s="17"/>
      <c r="RSY111" s="17"/>
      <c r="RSZ111" s="17"/>
      <c r="RTA111" s="17"/>
      <c r="RTB111" s="17"/>
      <c r="RTC111" s="17"/>
      <c r="RTD111" s="17"/>
      <c r="RTE111" s="17"/>
      <c r="RTF111" s="17"/>
      <c r="RTG111" s="17"/>
      <c r="RTH111" s="17"/>
      <c r="RTI111" s="17"/>
      <c r="RTJ111" s="17"/>
      <c r="RTK111" s="17"/>
      <c r="RTL111" s="17"/>
      <c r="RTM111" s="17"/>
      <c r="RTN111" s="17"/>
      <c r="RTO111" s="17"/>
      <c r="RTP111" s="17"/>
      <c r="RTQ111" s="17"/>
      <c r="RTR111" s="17"/>
      <c r="RTS111" s="17"/>
      <c r="RTT111" s="17"/>
      <c r="RTU111" s="17"/>
      <c r="RTV111" s="17"/>
      <c r="RTW111" s="17"/>
      <c r="RTX111" s="17"/>
      <c r="RTY111" s="17"/>
      <c r="RTZ111" s="17"/>
      <c r="RUA111" s="17"/>
      <c r="RUB111" s="17"/>
      <c r="RUC111" s="17"/>
      <c r="RUD111" s="17"/>
      <c r="RUE111" s="17"/>
      <c r="RUF111" s="17"/>
      <c r="RUG111" s="17"/>
      <c r="RUH111" s="17"/>
      <c r="RUI111" s="17"/>
      <c r="RUJ111" s="17"/>
      <c r="RUK111" s="17"/>
      <c r="RUL111" s="17"/>
      <c r="RUM111" s="17"/>
      <c r="RUN111" s="17"/>
      <c r="RUO111" s="17"/>
      <c r="RUP111" s="17"/>
      <c r="RUQ111" s="17"/>
      <c r="RUR111" s="17"/>
      <c r="RUS111" s="17"/>
      <c r="RUT111" s="17"/>
      <c r="RUU111" s="17"/>
      <c r="RUV111" s="17"/>
      <c r="RUW111" s="17"/>
      <c r="RUX111" s="17"/>
      <c r="RUY111" s="17"/>
      <c r="RUZ111" s="17"/>
      <c r="RVA111" s="17"/>
      <c r="RVB111" s="17"/>
      <c r="RVC111" s="17"/>
      <c r="RVD111" s="17"/>
      <c r="RVE111" s="17"/>
      <c r="RVF111" s="17"/>
      <c r="RVG111" s="17"/>
      <c r="RVH111" s="17"/>
      <c r="RVI111" s="17"/>
      <c r="RVJ111" s="17"/>
      <c r="RVK111" s="17"/>
      <c r="RVL111" s="17"/>
      <c r="RVM111" s="17"/>
      <c r="RVN111" s="17"/>
      <c r="RVO111" s="17"/>
      <c r="RVP111" s="17"/>
      <c r="RVQ111" s="17"/>
      <c r="RVR111" s="17"/>
      <c r="RVS111" s="17"/>
      <c r="RVT111" s="17"/>
      <c r="RVU111" s="17"/>
      <c r="RVV111" s="17"/>
      <c r="RVW111" s="17"/>
      <c r="RVX111" s="17"/>
      <c r="RVY111" s="17"/>
      <c r="RVZ111" s="17"/>
      <c r="RWA111" s="17"/>
      <c r="RWB111" s="17"/>
      <c r="RWC111" s="17"/>
      <c r="RWD111" s="17"/>
      <c r="RWE111" s="17"/>
      <c r="RWF111" s="17"/>
      <c r="RWG111" s="17"/>
      <c r="RWH111" s="17"/>
      <c r="RWI111" s="17"/>
      <c r="RWJ111" s="17"/>
      <c r="RWK111" s="17"/>
      <c r="RWL111" s="17"/>
      <c r="RWM111" s="17"/>
      <c r="RWN111" s="17"/>
      <c r="RWO111" s="17"/>
      <c r="RWP111" s="17"/>
      <c r="RWQ111" s="17"/>
      <c r="RWR111" s="17"/>
      <c r="RWS111" s="17"/>
      <c r="RWT111" s="17"/>
      <c r="RWU111" s="17"/>
      <c r="RWV111" s="17"/>
      <c r="RWW111" s="17"/>
      <c r="RWX111" s="17"/>
      <c r="RWY111" s="17"/>
      <c r="RWZ111" s="17"/>
      <c r="RXA111" s="17"/>
      <c r="RXB111" s="17"/>
      <c r="RXC111" s="17"/>
      <c r="RXD111" s="17"/>
      <c r="RXE111" s="17"/>
      <c r="RXF111" s="17"/>
      <c r="RXG111" s="17"/>
      <c r="RXH111" s="17"/>
      <c r="RXI111" s="17"/>
      <c r="RXJ111" s="17"/>
      <c r="RXK111" s="17"/>
      <c r="RXL111" s="17"/>
      <c r="RXM111" s="17"/>
      <c r="RXN111" s="17"/>
      <c r="RXO111" s="17"/>
      <c r="RXP111" s="17"/>
      <c r="RXQ111" s="17"/>
      <c r="RXR111" s="17"/>
      <c r="RXS111" s="17"/>
      <c r="RXT111" s="17"/>
      <c r="RXU111" s="17"/>
      <c r="RXV111" s="17"/>
      <c r="RXW111" s="17"/>
      <c r="RXX111" s="17"/>
      <c r="RXY111" s="17"/>
      <c r="RXZ111" s="17"/>
      <c r="RYA111" s="17"/>
      <c r="RYB111" s="17"/>
      <c r="RYC111" s="17"/>
      <c r="RYD111" s="17"/>
      <c r="RYE111" s="17"/>
      <c r="RYF111" s="17"/>
      <c r="RYG111" s="17"/>
      <c r="RYH111" s="17"/>
      <c r="RYI111" s="17"/>
      <c r="RYJ111" s="17"/>
      <c r="RYK111" s="17"/>
      <c r="RYL111" s="17"/>
      <c r="RYM111" s="17"/>
      <c r="RYN111" s="17"/>
      <c r="RYO111" s="17"/>
      <c r="RYP111" s="17"/>
      <c r="RYQ111" s="17"/>
      <c r="RYR111" s="17"/>
      <c r="RYS111" s="17"/>
      <c r="RYT111" s="17"/>
      <c r="RYU111" s="17"/>
      <c r="RYV111" s="17"/>
      <c r="RYW111" s="17"/>
      <c r="RYX111" s="17"/>
      <c r="RYY111" s="17"/>
      <c r="RYZ111" s="17"/>
      <c r="RZA111" s="17"/>
      <c r="RZB111" s="17"/>
      <c r="RZC111" s="17"/>
      <c r="RZD111" s="17"/>
      <c r="RZE111" s="17"/>
      <c r="RZF111" s="17"/>
      <c r="RZG111" s="17"/>
      <c r="RZH111" s="17"/>
      <c r="RZI111" s="17"/>
      <c r="RZJ111" s="17"/>
      <c r="RZK111" s="17"/>
      <c r="RZL111" s="17"/>
      <c r="RZM111" s="17"/>
      <c r="RZN111" s="17"/>
      <c r="RZO111" s="17"/>
      <c r="RZP111" s="17"/>
      <c r="RZQ111" s="17"/>
      <c r="RZR111" s="17"/>
      <c r="RZS111" s="17"/>
      <c r="RZT111" s="17"/>
      <c r="RZU111" s="17"/>
      <c r="RZV111" s="17"/>
      <c r="RZW111" s="17"/>
      <c r="RZX111" s="17"/>
      <c r="RZY111" s="17"/>
      <c r="RZZ111" s="17"/>
      <c r="SAA111" s="17"/>
      <c r="SAB111" s="17"/>
      <c r="SAC111" s="17"/>
      <c r="SAD111" s="17"/>
      <c r="SAE111" s="17"/>
      <c r="SAF111" s="17"/>
      <c r="SAG111" s="17"/>
      <c r="SAH111" s="17"/>
      <c r="SAI111" s="17"/>
      <c r="SAJ111" s="17"/>
      <c r="SAK111" s="17"/>
      <c r="SAL111" s="17"/>
      <c r="SAM111" s="17"/>
      <c r="SAN111" s="17"/>
      <c r="SAO111" s="17"/>
      <c r="SAP111" s="17"/>
      <c r="SAQ111" s="17"/>
      <c r="SAR111" s="17"/>
      <c r="SAS111" s="17"/>
      <c r="SAT111" s="17"/>
      <c r="SAU111" s="17"/>
      <c r="SAV111" s="17"/>
      <c r="SAW111" s="17"/>
      <c r="SAX111" s="17"/>
      <c r="SAY111" s="17"/>
      <c r="SAZ111" s="17"/>
      <c r="SBA111" s="17"/>
      <c r="SBB111" s="17"/>
      <c r="SBC111" s="17"/>
      <c r="SBD111" s="17"/>
      <c r="SBE111" s="17"/>
      <c r="SBF111" s="17"/>
      <c r="SBG111" s="17"/>
      <c r="SBH111" s="17"/>
      <c r="SBI111" s="17"/>
      <c r="SBJ111" s="17"/>
      <c r="SBK111" s="17"/>
      <c r="SBL111" s="17"/>
      <c r="SBM111" s="17"/>
      <c r="SBN111" s="17"/>
      <c r="SBO111" s="17"/>
      <c r="SBP111" s="17"/>
      <c r="SBQ111" s="17"/>
      <c r="SBR111" s="17"/>
      <c r="SBS111" s="17"/>
      <c r="SBT111" s="17"/>
      <c r="SBU111" s="17"/>
      <c r="SBV111" s="17"/>
      <c r="SBW111" s="17"/>
      <c r="SBX111" s="17"/>
      <c r="SBY111" s="17"/>
      <c r="SBZ111" s="17"/>
      <c r="SCA111" s="17"/>
      <c r="SCB111" s="17"/>
      <c r="SCC111" s="17"/>
      <c r="SCD111" s="17"/>
      <c r="SCE111" s="17"/>
      <c r="SCF111" s="17"/>
      <c r="SCG111" s="17"/>
      <c r="SCH111" s="17"/>
      <c r="SCI111" s="17"/>
      <c r="SCJ111" s="17"/>
      <c r="SCK111" s="17"/>
      <c r="SCL111" s="17"/>
      <c r="SCM111" s="17"/>
      <c r="SCN111" s="17"/>
      <c r="SCO111" s="17"/>
      <c r="SCP111" s="17"/>
      <c r="SCQ111" s="17"/>
      <c r="SCR111" s="17"/>
      <c r="SCS111" s="17"/>
      <c r="SCT111" s="17"/>
      <c r="SCU111" s="17"/>
      <c r="SCV111" s="17"/>
      <c r="SCW111" s="17"/>
      <c r="SCX111" s="17"/>
      <c r="SCY111" s="17"/>
      <c r="SCZ111" s="17"/>
      <c r="SDA111" s="17"/>
      <c r="SDB111" s="17"/>
      <c r="SDC111" s="17"/>
      <c r="SDD111" s="17"/>
      <c r="SDE111" s="17"/>
      <c r="SDF111" s="17"/>
      <c r="SDG111" s="17"/>
      <c r="SDH111" s="17"/>
      <c r="SDI111" s="17"/>
      <c r="SDJ111" s="17"/>
      <c r="SDK111" s="17"/>
      <c r="SDL111" s="17"/>
      <c r="SDM111" s="17"/>
      <c r="SDN111" s="17"/>
      <c r="SDO111" s="17"/>
      <c r="SDP111" s="17"/>
      <c r="SDQ111" s="17"/>
      <c r="SDR111" s="17"/>
      <c r="SDS111" s="17"/>
      <c r="SDT111" s="17"/>
      <c r="SDU111" s="17"/>
      <c r="SDV111" s="17"/>
      <c r="SDW111" s="17"/>
      <c r="SDX111" s="17"/>
      <c r="SDY111" s="17"/>
      <c r="SDZ111" s="17"/>
      <c r="SEA111" s="17"/>
      <c r="SEB111" s="17"/>
      <c r="SEC111" s="17"/>
      <c r="SED111" s="17"/>
      <c r="SEE111" s="17"/>
      <c r="SEF111" s="17"/>
      <c r="SEG111" s="17"/>
      <c r="SEH111" s="17"/>
      <c r="SEI111" s="17"/>
      <c r="SEJ111" s="17"/>
      <c r="SEK111" s="17"/>
      <c r="SEL111" s="17"/>
      <c r="SEM111" s="17"/>
      <c r="SEN111" s="17"/>
      <c r="SEO111" s="17"/>
      <c r="SEP111" s="17"/>
      <c r="SEQ111" s="17"/>
      <c r="SER111" s="17"/>
      <c r="SES111" s="17"/>
      <c r="SET111" s="17"/>
      <c r="SEU111" s="17"/>
      <c r="SEV111" s="17"/>
      <c r="SEW111" s="17"/>
      <c r="SEX111" s="17"/>
      <c r="SEY111" s="17"/>
      <c r="SEZ111" s="17"/>
      <c r="SFA111" s="17"/>
      <c r="SFB111" s="17"/>
      <c r="SFC111" s="17"/>
      <c r="SFD111" s="17"/>
      <c r="SFE111" s="17"/>
      <c r="SFF111" s="17"/>
      <c r="SFG111" s="17"/>
      <c r="SFH111" s="17"/>
      <c r="SFI111" s="17"/>
      <c r="SFJ111" s="17"/>
      <c r="SFK111" s="17"/>
      <c r="SFL111" s="17"/>
      <c r="SFM111" s="17"/>
      <c r="SFN111" s="17"/>
      <c r="SFO111" s="17"/>
      <c r="SFP111" s="17"/>
      <c r="SFQ111" s="17"/>
      <c r="SFR111" s="17"/>
      <c r="SFS111" s="17"/>
      <c r="SFT111" s="17"/>
      <c r="SFU111" s="17"/>
      <c r="SFV111" s="17"/>
      <c r="SFW111" s="17"/>
      <c r="SFX111" s="17"/>
      <c r="SFY111" s="17"/>
      <c r="SFZ111" s="17"/>
      <c r="SGA111" s="17"/>
      <c r="SGB111" s="17"/>
      <c r="SGC111" s="17"/>
      <c r="SGD111" s="17"/>
      <c r="SGE111" s="17"/>
      <c r="SGF111" s="17"/>
      <c r="SGG111" s="17"/>
      <c r="SGH111" s="17"/>
      <c r="SGI111" s="17"/>
      <c r="SGJ111" s="17"/>
      <c r="SGK111" s="17"/>
      <c r="SGL111" s="17"/>
      <c r="SGM111" s="17"/>
      <c r="SGN111" s="17"/>
      <c r="SGO111" s="17"/>
      <c r="SGP111" s="17"/>
      <c r="SGQ111" s="17"/>
      <c r="SGR111" s="17"/>
      <c r="SGS111" s="17"/>
      <c r="SGT111" s="17"/>
      <c r="SGU111" s="17"/>
      <c r="SGV111" s="17"/>
      <c r="SGW111" s="17"/>
      <c r="SGX111" s="17"/>
      <c r="SGY111" s="17"/>
      <c r="SGZ111" s="17"/>
      <c r="SHA111" s="17"/>
      <c r="SHB111" s="17"/>
      <c r="SHC111" s="17"/>
      <c r="SHD111" s="17"/>
      <c r="SHE111" s="17"/>
      <c r="SHF111" s="17"/>
      <c r="SHG111" s="17"/>
      <c r="SHH111" s="17"/>
      <c r="SHI111" s="17"/>
      <c r="SHJ111" s="17"/>
      <c r="SHK111" s="17"/>
      <c r="SHL111" s="17"/>
      <c r="SHM111" s="17"/>
      <c r="SHN111" s="17"/>
      <c r="SHO111" s="17"/>
      <c r="SHP111" s="17"/>
      <c r="SHQ111" s="17"/>
      <c r="SHR111" s="17"/>
      <c r="SHS111" s="17"/>
      <c r="SHT111" s="17"/>
      <c r="SHU111" s="17"/>
      <c r="SHV111" s="17"/>
      <c r="SHW111" s="17"/>
      <c r="SHX111" s="17"/>
      <c r="SHY111" s="17"/>
      <c r="SHZ111" s="17"/>
      <c r="SIA111" s="17"/>
      <c r="SIB111" s="17"/>
      <c r="SIC111" s="17"/>
      <c r="SID111" s="17"/>
      <c r="SIE111" s="17"/>
      <c r="SIF111" s="17"/>
      <c r="SIG111" s="17"/>
      <c r="SIH111" s="17"/>
      <c r="SII111" s="17"/>
      <c r="SIJ111" s="17"/>
      <c r="SIK111" s="17"/>
      <c r="SIL111" s="17"/>
      <c r="SIM111" s="17"/>
      <c r="SIN111" s="17"/>
      <c r="SIO111" s="17"/>
      <c r="SIP111" s="17"/>
      <c r="SIQ111" s="17"/>
      <c r="SIR111" s="17"/>
      <c r="SIS111" s="17"/>
      <c r="SIT111" s="17"/>
      <c r="SIU111" s="17"/>
      <c r="SIV111" s="17"/>
      <c r="SIW111" s="17"/>
      <c r="SIX111" s="17"/>
      <c r="SIY111" s="17"/>
      <c r="SIZ111" s="17"/>
      <c r="SJA111" s="17"/>
      <c r="SJB111" s="17"/>
      <c r="SJC111" s="17"/>
      <c r="SJD111" s="17"/>
      <c r="SJE111" s="17"/>
      <c r="SJF111" s="17"/>
      <c r="SJG111" s="17"/>
      <c r="SJH111" s="17"/>
      <c r="SJI111" s="17"/>
      <c r="SJJ111" s="17"/>
      <c r="SJK111" s="17"/>
      <c r="SJL111" s="17"/>
      <c r="SJM111" s="17"/>
      <c r="SJN111" s="17"/>
      <c r="SJO111" s="17"/>
      <c r="SJP111" s="17"/>
      <c r="SJQ111" s="17"/>
      <c r="SJR111" s="17"/>
      <c r="SJS111" s="17"/>
      <c r="SJT111" s="17"/>
      <c r="SJU111" s="17"/>
      <c r="SJV111" s="17"/>
      <c r="SJW111" s="17"/>
      <c r="SJX111" s="17"/>
      <c r="SJY111" s="17"/>
      <c r="SJZ111" s="17"/>
      <c r="SKA111" s="17"/>
      <c r="SKB111" s="17"/>
      <c r="SKC111" s="17"/>
      <c r="SKD111" s="17"/>
      <c r="SKE111" s="17"/>
      <c r="SKF111" s="17"/>
      <c r="SKG111" s="17"/>
      <c r="SKH111" s="17"/>
      <c r="SKI111" s="17"/>
      <c r="SKJ111" s="17"/>
      <c r="SKK111" s="17"/>
      <c r="SKL111" s="17"/>
      <c r="SKM111" s="17"/>
      <c r="SKN111" s="17"/>
      <c r="SKO111" s="17"/>
      <c r="SKP111" s="17"/>
      <c r="SKQ111" s="17"/>
      <c r="SKR111" s="17"/>
      <c r="SKS111" s="17"/>
      <c r="SKT111" s="17"/>
      <c r="SKU111" s="17"/>
      <c r="SKV111" s="17"/>
      <c r="SKW111" s="17"/>
      <c r="SKX111" s="17"/>
      <c r="SKY111" s="17"/>
      <c r="SKZ111" s="17"/>
      <c r="SLA111" s="17"/>
      <c r="SLB111" s="17"/>
      <c r="SLC111" s="17"/>
      <c r="SLD111" s="17"/>
      <c r="SLE111" s="17"/>
      <c r="SLF111" s="17"/>
      <c r="SLG111" s="17"/>
      <c r="SLH111" s="17"/>
      <c r="SLI111" s="17"/>
      <c r="SLJ111" s="17"/>
      <c r="SLK111" s="17"/>
      <c r="SLL111" s="17"/>
      <c r="SLM111" s="17"/>
      <c r="SLN111" s="17"/>
      <c r="SLO111" s="17"/>
      <c r="SLP111" s="17"/>
      <c r="SLQ111" s="17"/>
      <c r="SLR111" s="17"/>
      <c r="SLS111" s="17"/>
      <c r="SLT111" s="17"/>
      <c r="SLU111" s="17"/>
      <c r="SLV111" s="17"/>
      <c r="SLW111" s="17"/>
      <c r="SLX111" s="17"/>
      <c r="SLY111" s="17"/>
      <c r="SLZ111" s="17"/>
      <c r="SMA111" s="17"/>
      <c r="SMB111" s="17"/>
      <c r="SMC111" s="17"/>
      <c r="SMD111" s="17"/>
      <c r="SME111" s="17"/>
      <c r="SMF111" s="17"/>
      <c r="SMG111" s="17"/>
      <c r="SMH111" s="17"/>
      <c r="SMI111" s="17"/>
      <c r="SMJ111" s="17"/>
      <c r="SMK111" s="17"/>
      <c r="SML111" s="17"/>
      <c r="SMM111" s="17"/>
      <c r="SMN111" s="17"/>
      <c r="SMO111" s="17"/>
      <c r="SMP111" s="17"/>
      <c r="SMQ111" s="17"/>
      <c r="SMR111" s="17"/>
      <c r="SMS111" s="17"/>
      <c r="SMT111" s="17"/>
      <c r="SMU111" s="17"/>
      <c r="SMV111" s="17"/>
      <c r="SMW111" s="17"/>
      <c r="SMX111" s="17"/>
      <c r="SMY111" s="17"/>
      <c r="SMZ111" s="17"/>
      <c r="SNA111" s="17"/>
      <c r="SNB111" s="17"/>
      <c r="SNC111" s="17"/>
      <c r="SND111" s="17"/>
      <c r="SNE111" s="17"/>
      <c r="SNF111" s="17"/>
      <c r="SNG111" s="17"/>
      <c r="SNH111" s="17"/>
      <c r="SNI111" s="17"/>
      <c r="SNJ111" s="17"/>
      <c r="SNK111" s="17"/>
      <c r="SNL111" s="17"/>
      <c r="SNM111" s="17"/>
      <c r="SNN111" s="17"/>
      <c r="SNO111" s="17"/>
      <c r="SNP111" s="17"/>
      <c r="SNQ111" s="17"/>
      <c r="SNR111" s="17"/>
      <c r="SNS111" s="17"/>
      <c r="SNT111" s="17"/>
      <c r="SNU111" s="17"/>
      <c r="SNV111" s="17"/>
      <c r="SNW111" s="17"/>
      <c r="SNX111" s="17"/>
      <c r="SNY111" s="17"/>
      <c r="SNZ111" s="17"/>
      <c r="SOA111" s="17"/>
      <c r="SOB111" s="17"/>
      <c r="SOC111" s="17"/>
      <c r="SOD111" s="17"/>
      <c r="SOE111" s="17"/>
      <c r="SOF111" s="17"/>
      <c r="SOG111" s="17"/>
      <c r="SOH111" s="17"/>
      <c r="SOI111" s="17"/>
      <c r="SOJ111" s="17"/>
      <c r="SOK111" s="17"/>
      <c r="SOL111" s="17"/>
      <c r="SOM111" s="17"/>
      <c r="SON111" s="17"/>
      <c r="SOO111" s="17"/>
      <c r="SOP111" s="17"/>
      <c r="SOQ111" s="17"/>
      <c r="SOR111" s="17"/>
      <c r="SOS111" s="17"/>
      <c r="SOT111" s="17"/>
      <c r="SOU111" s="17"/>
      <c r="SOV111" s="17"/>
      <c r="SOW111" s="17"/>
      <c r="SOX111" s="17"/>
      <c r="SOY111" s="17"/>
      <c r="SOZ111" s="17"/>
      <c r="SPA111" s="17"/>
      <c r="SPB111" s="17"/>
      <c r="SPC111" s="17"/>
      <c r="SPD111" s="17"/>
      <c r="SPE111" s="17"/>
      <c r="SPF111" s="17"/>
      <c r="SPG111" s="17"/>
      <c r="SPH111" s="17"/>
      <c r="SPI111" s="17"/>
      <c r="SPJ111" s="17"/>
      <c r="SPK111" s="17"/>
      <c r="SPL111" s="17"/>
      <c r="SPM111" s="17"/>
      <c r="SPN111" s="17"/>
      <c r="SPO111" s="17"/>
      <c r="SPP111" s="17"/>
      <c r="SPQ111" s="17"/>
      <c r="SPR111" s="17"/>
      <c r="SPS111" s="17"/>
      <c r="SPT111" s="17"/>
      <c r="SPU111" s="17"/>
      <c r="SPV111" s="17"/>
      <c r="SPW111" s="17"/>
      <c r="SPX111" s="17"/>
      <c r="SPY111" s="17"/>
      <c r="SPZ111" s="17"/>
      <c r="SQA111" s="17"/>
      <c r="SQB111" s="17"/>
      <c r="SQC111" s="17"/>
      <c r="SQD111" s="17"/>
      <c r="SQE111" s="17"/>
      <c r="SQF111" s="17"/>
      <c r="SQG111" s="17"/>
      <c r="SQH111" s="17"/>
      <c r="SQI111" s="17"/>
      <c r="SQJ111" s="17"/>
      <c r="SQK111" s="17"/>
      <c r="SQL111" s="17"/>
      <c r="SQM111" s="17"/>
      <c r="SQN111" s="17"/>
      <c r="SQO111" s="17"/>
      <c r="SQP111" s="17"/>
      <c r="SQQ111" s="17"/>
      <c r="SQR111" s="17"/>
      <c r="SQS111" s="17"/>
      <c r="SQT111" s="17"/>
      <c r="SQU111" s="17"/>
      <c r="SQV111" s="17"/>
      <c r="SQW111" s="17"/>
      <c r="SQX111" s="17"/>
      <c r="SQY111" s="17"/>
      <c r="SQZ111" s="17"/>
      <c r="SRA111" s="17"/>
      <c r="SRB111" s="17"/>
      <c r="SRC111" s="17"/>
      <c r="SRD111" s="17"/>
      <c r="SRE111" s="17"/>
      <c r="SRF111" s="17"/>
      <c r="SRG111" s="17"/>
      <c r="SRH111" s="17"/>
      <c r="SRI111" s="17"/>
      <c r="SRJ111" s="17"/>
      <c r="SRK111" s="17"/>
      <c r="SRL111" s="17"/>
      <c r="SRM111" s="17"/>
      <c r="SRN111" s="17"/>
      <c r="SRO111" s="17"/>
      <c r="SRP111" s="17"/>
      <c r="SRQ111" s="17"/>
      <c r="SRR111" s="17"/>
      <c r="SRS111" s="17"/>
      <c r="SRT111" s="17"/>
      <c r="SRU111" s="17"/>
      <c r="SRV111" s="17"/>
      <c r="SRW111" s="17"/>
      <c r="SRX111" s="17"/>
      <c r="SRY111" s="17"/>
      <c r="SRZ111" s="17"/>
      <c r="SSA111" s="17"/>
      <c r="SSB111" s="17"/>
      <c r="SSC111" s="17"/>
      <c r="SSD111" s="17"/>
      <c r="SSE111" s="17"/>
      <c r="SSF111" s="17"/>
      <c r="SSG111" s="17"/>
      <c r="SSH111" s="17"/>
      <c r="SSI111" s="17"/>
      <c r="SSJ111" s="17"/>
      <c r="SSK111" s="17"/>
      <c r="SSL111" s="17"/>
      <c r="SSM111" s="17"/>
      <c r="SSN111" s="17"/>
      <c r="SSO111" s="17"/>
      <c r="SSP111" s="17"/>
      <c r="SSQ111" s="17"/>
      <c r="SSR111" s="17"/>
      <c r="SSS111" s="17"/>
      <c r="SST111" s="17"/>
      <c r="SSU111" s="17"/>
      <c r="SSV111" s="17"/>
      <c r="SSW111" s="17"/>
      <c r="SSX111" s="17"/>
      <c r="SSY111" s="17"/>
      <c r="SSZ111" s="17"/>
      <c r="STA111" s="17"/>
      <c r="STB111" s="17"/>
      <c r="STC111" s="17"/>
      <c r="STD111" s="17"/>
      <c r="STE111" s="17"/>
      <c r="STF111" s="17"/>
      <c r="STG111" s="17"/>
      <c r="STH111" s="17"/>
      <c r="STI111" s="17"/>
      <c r="STJ111" s="17"/>
      <c r="STK111" s="17"/>
      <c r="STL111" s="17"/>
      <c r="STM111" s="17"/>
      <c r="STN111" s="17"/>
      <c r="STO111" s="17"/>
      <c r="STP111" s="17"/>
      <c r="STQ111" s="17"/>
      <c r="STR111" s="17"/>
      <c r="STS111" s="17"/>
      <c r="STT111" s="17"/>
      <c r="STU111" s="17"/>
      <c r="STV111" s="17"/>
      <c r="STW111" s="17"/>
      <c r="STX111" s="17"/>
      <c r="STY111" s="17"/>
      <c r="STZ111" s="17"/>
      <c r="SUA111" s="17"/>
      <c r="SUB111" s="17"/>
      <c r="SUC111" s="17"/>
      <c r="SUD111" s="17"/>
      <c r="SUE111" s="17"/>
      <c r="SUF111" s="17"/>
      <c r="SUG111" s="17"/>
      <c r="SUH111" s="17"/>
      <c r="SUI111" s="17"/>
      <c r="SUJ111" s="17"/>
      <c r="SUK111" s="17"/>
      <c r="SUL111" s="17"/>
      <c r="SUM111" s="17"/>
      <c r="SUN111" s="17"/>
      <c r="SUO111" s="17"/>
      <c r="SUP111" s="17"/>
      <c r="SUQ111" s="17"/>
      <c r="SUR111" s="17"/>
      <c r="SUS111" s="17"/>
      <c r="SUT111" s="17"/>
      <c r="SUU111" s="17"/>
      <c r="SUV111" s="17"/>
      <c r="SUW111" s="17"/>
      <c r="SUX111" s="17"/>
      <c r="SUY111" s="17"/>
      <c r="SUZ111" s="17"/>
      <c r="SVA111" s="17"/>
      <c r="SVB111" s="17"/>
      <c r="SVC111" s="17"/>
      <c r="SVD111" s="17"/>
      <c r="SVE111" s="17"/>
      <c r="SVF111" s="17"/>
      <c r="SVG111" s="17"/>
      <c r="SVH111" s="17"/>
      <c r="SVI111" s="17"/>
      <c r="SVJ111" s="17"/>
      <c r="SVK111" s="17"/>
      <c r="SVL111" s="17"/>
      <c r="SVM111" s="17"/>
      <c r="SVN111" s="17"/>
      <c r="SVO111" s="17"/>
      <c r="SVP111" s="17"/>
      <c r="SVQ111" s="17"/>
      <c r="SVR111" s="17"/>
      <c r="SVS111" s="17"/>
      <c r="SVT111" s="17"/>
      <c r="SVU111" s="17"/>
      <c r="SVV111" s="17"/>
      <c r="SVW111" s="17"/>
      <c r="SVX111" s="17"/>
      <c r="SVY111" s="17"/>
      <c r="SVZ111" s="17"/>
      <c r="SWA111" s="17"/>
      <c r="SWB111" s="17"/>
      <c r="SWC111" s="17"/>
      <c r="SWD111" s="17"/>
      <c r="SWE111" s="17"/>
      <c r="SWF111" s="17"/>
      <c r="SWG111" s="17"/>
      <c r="SWH111" s="17"/>
      <c r="SWI111" s="17"/>
      <c r="SWJ111" s="17"/>
      <c r="SWK111" s="17"/>
      <c r="SWL111" s="17"/>
      <c r="SWM111" s="17"/>
      <c r="SWN111" s="17"/>
      <c r="SWO111" s="17"/>
      <c r="SWP111" s="17"/>
      <c r="SWQ111" s="17"/>
      <c r="SWR111" s="17"/>
      <c r="SWS111" s="17"/>
      <c r="SWT111" s="17"/>
      <c r="SWU111" s="17"/>
      <c r="SWV111" s="17"/>
      <c r="SWW111" s="17"/>
      <c r="SWX111" s="17"/>
      <c r="SWY111" s="17"/>
      <c r="SWZ111" s="17"/>
      <c r="SXA111" s="17"/>
      <c r="SXB111" s="17"/>
      <c r="SXC111" s="17"/>
      <c r="SXD111" s="17"/>
      <c r="SXE111" s="17"/>
      <c r="SXF111" s="17"/>
      <c r="SXG111" s="17"/>
      <c r="SXH111" s="17"/>
      <c r="SXI111" s="17"/>
      <c r="SXJ111" s="17"/>
      <c r="SXK111" s="17"/>
      <c r="SXL111" s="17"/>
      <c r="SXM111" s="17"/>
      <c r="SXN111" s="17"/>
      <c r="SXO111" s="17"/>
      <c r="SXP111" s="17"/>
      <c r="SXQ111" s="17"/>
      <c r="SXR111" s="17"/>
      <c r="SXS111" s="17"/>
      <c r="SXT111" s="17"/>
      <c r="SXU111" s="17"/>
      <c r="SXV111" s="17"/>
      <c r="SXW111" s="17"/>
      <c r="SXX111" s="17"/>
      <c r="SXY111" s="17"/>
      <c r="SXZ111" s="17"/>
      <c r="SYA111" s="17"/>
      <c r="SYB111" s="17"/>
      <c r="SYC111" s="17"/>
      <c r="SYD111" s="17"/>
      <c r="SYE111" s="17"/>
      <c r="SYF111" s="17"/>
      <c r="SYG111" s="17"/>
      <c r="SYH111" s="17"/>
      <c r="SYI111" s="17"/>
      <c r="SYJ111" s="17"/>
      <c r="SYK111" s="17"/>
      <c r="SYL111" s="17"/>
      <c r="SYM111" s="17"/>
      <c r="SYN111" s="17"/>
      <c r="SYO111" s="17"/>
      <c r="SYP111" s="17"/>
      <c r="SYQ111" s="17"/>
      <c r="SYR111" s="17"/>
      <c r="SYS111" s="17"/>
      <c r="SYT111" s="17"/>
      <c r="SYU111" s="17"/>
      <c r="SYV111" s="17"/>
      <c r="SYW111" s="17"/>
      <c r="SYX111" s="17"/>
      <c r="SYY111" s="17"/>
      <c r="SYZ111" s="17"/>
      <c r="SZA111" s="17"/>
      <c r="SZB111" s="17"/>
      <c r="SZC111" s="17"/>
      <c r="SZD111" s="17"/>
      <c r="SZE111" s="17"/>
      <c r="SZF111" s="17"/>
      <c r="SZG111" s="17"/>
      <c r="SZH111" s="17"/>
      <c r="SZI111" s="17"/>
      <c r="SZJ111" s="17"/>
      <c r="SZK111" s="17"/>
      <c r="SZL111" s="17"/>
      <c r="SZM111" s="17"/>
      <c r="SZN111" s="17"/>
      <c r="SZO111" s="17"/>
      <c r="SZP111" s="17"/>
      <c r="SZQ111" s="17"/>
      <c r="SZR111" s="17"/>
      <c r="SZS111" s="17"/>
      <c r="SZT111" s="17"/>
      <c r="SZU111" s="17"/>
      <c r="SZV111" s="17"/>
      <c r="SZW111" s="17"/>
      <c r="SZX111" s="17"/>
      <c r="SZY111" s="17"/>
      <c r="SZZ111" s="17"/>
      <c r="TAA111" s="17"/>
      <c r="TAB111" s="17"/>
      <c r="TAC111" s="17"/>
      <c r="TAD111" s="17"/>
      <c r="TAE111" s="17"/>
      <c r="TAF111" s="17"/>
      <c r="TAG111" s="17"/>
      <c r="TAH111" s="17"/>
      <c r="TAI111" s="17"/>
      <c r="TAJ111" s="17"/>
      <c r="TAK111" s="17"/>
      <c r="TAL111" s="17"/>
      <c r="TAM111" s="17"/>
      <c r="TAN111" s="17"/>
      <c r="TAO111" s="17"/>
      <c r="TAP111" s="17"/>
      <c r="TAQ111" s="17"/>
      <c r="TAR111" s="17"/>
      <c r="TAS111" s="17"/>
      <c r="TAT111" s="17"/>
      <c r="TAU111" s="17"/>
      <c r="TAV111" s="17"/>
      <c r="TAW111" s="17"/>
      <c r="TAX111" s="17"/>
      <c r="TAY111" s="17"/>
      <c r="TAZ111" s="17"/>
      <c r="TBA111" s="17"/>
      <c r="TBB111" s="17"/>
      <c r="TBC111" s="17"/>
      <c r="TBD111" s="17"/>
      <c r="TBE111" s="17"/>
      <c r="TBF111" s="17"/>
      <c r="TBG111" s="17"/>
      <c r="TBH111" s="17"/>
      <c r="TBI111" s="17"/>
      <c r="TBJ111" s="17"/>
      <c r="TBK111" s="17"/>
      <c r="TBL111" s="17"/>
      <c r="TBM111" s="17"/>
      <c r="TBN111" s="17"/>
      <c r="TBO111" s="17"/>
      <c r="TBP111" s="17"/>
      <c r="TBQ111" s="17"/>
      <c r="TBR111" s="17"/>
      <c r="TBS111" s="17"/>
      <c r="TBT111" s="17"/>
      <c r="TBU111" s="17"/>
      <c r="TBV111" s="17"/>
      <c r="TBW111" s="17"/>
      <c r="TBX111" s="17"/>
      <c r="TBY111" s="17"/>
      <c r="TBZ111" s="17"/>
      <c r="TCA111" s="17"/>
      <c r="TCB111" s="17"/>
      <c r="TCC111" s="17"/>
      <c r="TCD111" s="17"/>
      <c r="TCE111" s="17"/>
      <c r="TCF111" s="17"/>
      <c r="TCG111" s="17"/>
      <c r="TCH111" s="17"/>
      <c r="TCI111" s="17"/>
      <c r="TCJ111" s="17"/>
      <c r="TCK111" s="17"/>
      <c r="TCL111" s="17"/>
      <c r="TCM111" s="17"/>
      <c r="TCN111" s="17"/>
      <c r="TCO111" s="17"/>
      <c r="TCP111" s="17"/>
      <c r="TCQ111" s="17"/>
      <c r="TCR111" s="17"/>
      <c r="TCS111" s="17"/>
      <c r="TCT111" s="17"/>
      <c r="TCU111" s="17"/>
      <c r="TCV111" s="17"/>
      <c r="TCW111" s="17"/>
      <c r="TCX111" s="17"/>
      <c r="TCY111" s="17"/>
      <c r="TCZ111" s="17"/>
      <c r="TDA111" s="17"/>
      <c r="TDB111" s="17"/>
      <c r="TDC111" s="17"/>
      <c r="TDD111" s="17"/>
      <c r="TDE111" s="17"/>
      <c r="TDF111" s="17"/>
      <c r="TDG111" s="17"/>
      <c r="TDH111" s="17"/>
      <c r="TDI111" s="17"/>
      <c r="TDJ111" s="17"/>
      <c r="TDK111" s="17"/>
      <c r="TDL111" s="17"/>
      <c r="TDM111" s="17"/>
      <c r="TDN111" s="17"/>
      <c r="TDO111" s="17"/>
      <c r="TDP111" s="17"/>
      <c r="TDQ111" s="17"/>
      <c r="TDR111" s="17"/>
      <c r="TDS111" s="17"/>
      <c r="TDT111" s="17"/>
      <c r="TDU111" s="17"/>
      <c r="TDV111" s="17"/>
      <c r="TDW111" s="17"/>
      <c r="TDX111" s="17"/>
      <c r="TDY111" s="17"/>
      <c r="TDZ111" s="17"/>
      <c r="TEA111" s="17"/>
      <c r="TEB111" s="17"/>
      <c r="TEC111" s="17"/>
      <c r="TED111" s="17"/>
      <c r="TEE111" s="17"/>
      <c r="TEF111" s="17"/>
      <c r="TEG111" s="17"/>
      <c r="TEH111" s="17"/>
      <c r="TEI111" s="17"/>
      <c r="TEJ111" s="17"/>
      <c r="TEK111" s="17"/>
      <c r="TEL111" s="17"/>
      <c r="TEM111" s="17"/>
      <c r="TEN111" s="17"/>
      <c r="TEO111" s="17"/>
      <c r="TEP111" s="17"/>
      <c r="TEQ111" s="17"/>
      <c r="TER111" s="17"/>
      <c r="TES111" s="17"/>
      <c r="TET111" s="17"/>
      <c r="TEU111" s="17"/>
      <c r="TEV111" s="17"/>
      <c r="TEW111" s="17"/>
      <c r="TEX111" s="17"/>
      <c r="TEY111" s="17"/>
      <c r="TEZ111" s="17"/>
      <c r="TFA111" s="17"/>
      <c r="TFB111" s="17"/>
      <c r="TFC111" s="17"/>
      <c r="TFD111" s="17"/>
      <c r="TFE111" s="17"/>
      <c r="TFF111" s="17"/>
      <c r="TFG111" s="17"/>
      <c r="TFH111" s="17"/>
      <c r="TFI111" s="17"/>
      <c r="TFJ111" s="17"/>
      <c r="TFK111" s="17"/>
      <c r="TFL111" s="17"/>
      <c r="TFM111" s="17"/>
      <c r="TFN111" s="17"/>
      <c r="TFO111" s="17"/>
      <c r="TFP111" s="17"/>
      <c r="TFQ111" s="17"/>
      <c r="TFR111" s="17"/>
      <c r="TFS111" s="17"/>
      <c r="TFT111" s="17"/>
      <c r="TFU111" s="17"/>
      <c r="TFV111" s="17"/>
      <c r="TFW111" s="17"/>
      <c r="TFX111" s="17"/>
      <c r="TFY111" s="17"/>
      <c r="TFZ111" s="17"/>
      <c r="TGA111" s="17"/>
      <c r="TGB111" s="17"/>
      <c r="TGC111" s="17"/>
      <c r="TGD111" s="17"/>
      <c r="TGE111" s="17"/>
      <c r="TGF111" s="17"/>
      <c r="TGG111" s="17"/>
      <c r="TGH111" s="17"/>
      <c r="TGI111" s="17"/>
      <c r="TGJ111" s="17"/>
      <c r="TGK111" s="17"/>
      <c r="TGL111" s="17"/>
      <c r="TGM111" s="17"/>
      <c r="TGN111" s="17"/>
      <c r="TGO111" s="17"/>
      <c r="TGP111" s="17"/>
      <c r="TGQ111" s="17"/>
      <c r="TGR111" s="17"/>
      <c r="TGS111" s="17"/>
      <c r="TGT111" s="17"/>
      <c r="TGU111" s="17"/>
      <c r="TGV111" s="17"/>
      <c r="TGW111" s="17"/>
      <c r="TGX111" s="17"/>
      <c r="TGY111" s="17"/>
      <c r="TGZ111" s="17"/>
      <c r="THA111" s="17"/>
      <c r="THB111" s="17"/>
      <c r="THC111" s="17"/>
      <c r="THD111" s="17"/>
      <c r="THE111" s="17"/>
      <c r="THF111" s="17"/>
      <c r="THG111" s="17"/>
      <c r="THH111" s="17"/>
      <c r="THI111" s="17"/>
      <c r="THJ111" s="17"/>
      <c r="THK111" s="17"/>
      <c r="THL111" s="17"/>
      <c r="THM111" s="17"/>
      <c r="THN111" s="17"/>
      <c r="THO111" s="17"/>
      <c r="THP111" s="17"/>
      <c r="THQ111" s="17"/>
      <c r="THR111" s="17"/>
      <c r="THS111" s="17"/>
      <c r="THT111" s="17"/>
      <c r="THU111" s="17"/>
      <c r="THV111" s="17"/>
      <c r="THW111" s="17"/>
      <c r="THX111" s="17"/>
      <c r="THY111" s="17"/>
      <c r="THZ111" s="17"/>
      <c r="TIA111" s="17"/>
      <c r="TIB111" s="17"/>
      <c r="TIC111" s="17"/>
      <c r="TID111" s="17"/>
      <c r="TIE111" s="17"/>
      <c r="TIF111" s="17"/>
      <c r="TIG111" s="17"/>
      <c r="TIH111" s="17"/>
      <c r="TII111" s="17"/>
      <c r="TIJ111" s="17"/>
      <c r="TIK111" s="17"/>
      <c r="TIL111" s="17"/>
      <c r="TIM111" s="17"/>
      <c r="TIN111" s="17"/>
      <c r="TIO111" s="17"/>
      <c r="TIP111" s="17"/>
      <c r="TIQ111" s="17"/>
      <c r="TIR111" s="17"/>
      <c r="TIS111" s="17"/>
      <c r="TIT111" s="17"/>
      <c r="TIU111" s="17"/>
      <c r="TIV111" s="17"/>
      <c r="TIW111" s="17"/>
      <c r="TIX111" s="17"/>
      <c r="TIY111" s="17"/>
      <c r="TIZ111" s="17"/>
      <c r="TJA111" s="17"/>
      <c r="TJB111" s="17"/>
      <c r="TJC111" s="17"/>
      <c r="TJD111" s="17"/>
      <c r="TJE111" s="17"/>
      <c r="TJF111" s="17"/>
      <c r="TJG111" s="17"/>
      <c r="TJH111" s="17"/>
      <c r="TJI111" s="17"/>
      <c r="TJJ111" s="17"/>
      <c r="TJK111" s="17"/>
      <c r="TJL111" s="17"/>
      <c r="TJM111" s="17"/>
      <c r="TJN111" s="17"/>
      <c r="TJO111" s="17"/>
      <c r="TJP111" s="17"/>
      <c r="TJQ111" s="17"/>
      <c r="TJR111" s="17"/>
      <c r="TJS111" s="17"/>
      <c r="TJT111" s="17"/>
      <c r="TJU111" s="17"/>
      <c r="TJV111" s="17"/>
      <c r="TJW111" s="17"/>
      <c r="TJX111" s="17"/>
      <c r="TJY111" s="17"/>
      <c r="TJZ111" s="17"/>
      <c r="TKA111" s="17"/>
      <c r="TKB111" s="17"/>
      <c r="TKC111" s="17"/>
      <c r="TKD111" s="17"/>
      <c r="TKE111" s="17"/>
      <c r="TKF111" s="17"/>
      <c r="TKG111" s="17"/>
      <c r="TKH111" s="17"/>
      <c r="TKI111" s="17"/>
      <c r="TKJ111" s="17"/>
      <c r="TKK111" s="17"/>
      <c r="TKL111" s="17"/>
      <c r="TKM111" s="17"/>
      <c r="TKN111" s="17"/>
      <c r="TKO111" s="17"/>
      <c r="TKP111" s="17"/>
      <c r="TKQ111" s="17"/>
      <c r="TKR111" s="17"/>
      <c r="TKS111" s="17"/>
      <c r="TKT111" s="17"/>
      <c r="TKU111" s="17"/>
      <c r="TKV111" s="17"/>
      <c r="TKW111" s="17"/>
      <c r="TKX111" s="17"/>
      <c r="TKY111" s="17"/>
      <c r="TKZ111" s="17"/>
      <c r="TLA111" s="17"/>
      <c r="TLB111" s="17"/>
      <c r="TLC111" s="17"/>
      <c r="TLD111" s="17"/>
      <c r="TLE111" s="17"/>
      <c r="TLF111" s="17"/>
      <c r="TLG111" s="17"/>
      <c r="TLH111" s="17"/>
      <c r="TLI111" s="17"/>
      <c r="TLJ111" s="17"/>
      <c r="TLK111" s="17"/>
      <c r="TLL111" s="17"/>
      <c r="TLM111" s="17"/>
      <c r="TLN111" s="17"/>
      <c r="TLO111" s="17"/>
      <c r="TLP111" s="17"/>
      <c r="TLQ111" s="17"/>
      <c r="TLR111" s="17"/>
      <c r="TLS111" s="17"/>
      <c r="TLT111" s="17"/>
      <c r="TLU111" s="17"/>
      <c r="TLV111" s="17"/>
      <c r="TLW111" s="17"/>
      <c r="TLX111" s="17"/>
      <c r="TLY111" s="17"/>
      <c r="TLZ111" s="17"/>
      <c r="TMA111" s="17"/>
      <c r="TMB111" s="17"/>
      <c r="TMC111" s="17"/>
      <c r="TMD111" s="17"/>
      <c r="TME111" s="17"/>
      <c r="TMF111" s="17"/>
      <c r="TMG111" s="17"/>
      <c r="TMH111" s="17"/>
      <c r="TMI111" s="17"/>
      <c r="TMJ111" s="17"/>
      <c r="TMK111" s="17"/>
      <c r="TML111" s="17"/>
      <c r="TMM111" s="17"/>
      <c r="TMN111" s="17"/>
      <c r="TMO111" s="17"/>
      <c r="TMP111" s="17"/>
      <c r="TMQ111" s="17"/>
      <c r="TMR111" s="17"/>
      <c r="TMS111" s="17"/>
      <c r="TMT111" s="17"/>
      <c r="TMU111" s="17"/>
      <c r="TMV111" s="17"/>
      <c r="TMW111" s="17"/>
      <c r="TMX111" s="17"/>
      <c r="TMY111" s="17"/>
      <c r="TMZ111" s="17"/>
      <c r="TNA111" s="17"/>
      <c r="TNB111" s="17"/>
      <c r="TNC111" s="17"/>
      <c r="TND111" s="17"/>
      <c r="TNE111" s="17"/>
      <c r="TNF111" s="17"/>
      <c r="TNG111" s="17"/>
      <c r="TNH111" s="17"/>
      <c r="TNI111" s="17"/>
      <c r="TNJ111" s="17"/>
      <c r="TNK111" s="17"/>
      <c r="TNL111" s="17"/>
      <c r="TNM111" s="17"/>
      <c r="TNN111" s="17"/>
      <c r="TNO111" s="17"/>
      <c r="TNP111" s="17"/>
      <c r="TNQ111" s="17"/>
      <c r="TNR111" s="17"/>
      <c r="TNS111" s="17"/>
      <c r="TNT111" s="17"/>
      <c r="TNU111" s="17"/>
      <c r="TNV111" s="17"/>
      <c r="TNW111" s="17"/>
      <c r="TNX111" s="17"/>
      <c r="TNY111" s="17"/>
      <c r="TNZ111" s="17"/>
      <c r="TOA111" s="17"/>
      <c r="TOB111" s="17"/>
      <c r="TOC111" s="17"/>
      <c r="TOD111" s="17"/>
      <c r="TOE111" s="17"/>
      <c r="TOF111" s="17"/>
      <c r="TOG111" s="17"/>
      <c r="TOH111" s="17"/>
      <c r="TOI111" s="17"/>
      <c r="TOJ111" s="17"/>
      <c r="TOK111" s="17"/>
      <c r="TOL111" s="17"/>
      <c r="TOM111" s="17"/>
      <c r="TON111" s="17"/>
      <c r="TOO111" s="17"/>
      <c r="TOP111" s="17"/>
      <c r="TOQ111" s="17"/>
      <c r="TOR111" s="17"/>
      <c r="TOS111" s="17"/>
      <c r="TOT111" s="17"/>
      <c r="TOU111" s="17"/>
      <c r="TOV111" s="17"/>
      <c r="TOW111" s="17"/>
      <c r="TOX111" s="17"/>
      <c r="TOY111" s="17"/>
      <c r="TOZ111" s="17"/>
      <c r="TPA111" s="17"/>
      <c r="TPB111" s="17"/>
      <c r="TPC111" s="17"/>
      <c r="TPD111" s="17"/>
      <c r="TPE111" s="17"/>
      <c r="TPF111" s="17"/>
      <c r="TPG111" s="17"/>
      <c r="TPH111" s="17"/>
      <c r="TPI111" s="17"/>
      <c r="TPJ111" s="17"/>
      <c r="TPK111" s="17"/>
      <c r="TPL111" s="17"/>
      <c r="TPM111" s="17"/>
      <c r="TPN111" s="17"/>
      <c r="TPO111" s="17"/>
      <c r="TPP111" s="17"/>
      <c r="TPQ111" s="17"/>
      <c r="TPR111" s="17"/>
      <c r="TPS111" s="17"/>
      <c r="TPT111" s="17"/>
      <c r="TPU111" s="17"/>
      <c r="TPV111" s="17"/>
      <c r="TPW111" s="17"/>
      <c r="TPX111" s="17"/>
      <c r="TPY111" s="17"/>
      <c r="TPZ111" s="17"/>
      <c r="TQA111" s="17"/>
      <c r="TQB111" s="17"/>
      <c r="TQC111" s="17"/>
      <c r="TQD111" s="17"/>
      <c r="TQE111" s="17"/>
      <c r="TQF111" s="17"/>
      <c r="TQG111" s="17"/>
      <c r="TQH111" s="17"/>
      <c r="TQI111" s="17"/>
      <c r="TQJ111" s="17"/>
      <c r="TQK111" s="17"/>
      <c r="TQL111" s="17"/>
      <c r="TQM111" s="17"/>
      <c r="TQN111" s="17"/>
      <c r="TQO111" s="17"/>
      <c r="TQP111" s="17"/>
      <c r="TQQ111" s="17"/>
      <c r="TQR111" s="17"/>
      <c r="TQS111" s="17"/>
      <c r="TQT111" s="17"/>
      <c r="TQU111" s="17"/>
      <c r="TQV111" s="17"/>
      <c r="TQW111" s="17"/>
      <c r="TQX111" s="17"/>
      <c r="TQY111" s="17"/>
      <c r="TQZ111" s="17"/>
      <c r="TRA111" s="17"/>
      <c r="TRB111" s="17"/>
      <c r="TRC111" s="17"/>
      <c r="TRD111" s="17"/>
      <c r="TRE111" s="17"/>
      <c r="TRF111" s="17"/>
      <c r="TRG111" s="17"/>
      <c r="TRH111" s="17"/>
      <c r="TRI111" s="17"/>
      <c r="TRJ111" s="17"/>
      <c r="TRK111" s="17"/>
      <c r="TRL111" s="17"/>
      <c r="TRM111" s="17"/>
      <c r="TRN111" s="17"/>
      <c r="TRO111" s="17"/>
      <c r="TRP111" s="17"/>
      <c r="TRQ111" s="17"/>
      <c r="TRR111" s="17"/>
      <c r="TRS111" s="17"/>
      <c r="TRT111" s="17"/>
      <c r="TRU111" s="17"/>
      <c r="TRV111" s="17"/>
      <c r="TRW111" s="17"/>
      <c r="TRX111" s="17"/>
      <c r="TRY111" s="17"/>
      <c r="TRZ111" s="17"/>
      <c r="TSA111" s="17"/>
      <c r="TSB111" s="17"/>
      <c r="TSC111" s="17"/>
      <c r="TSD111" s="17"/>
      <c r="TSE111" s="17"/>
      <c r="TSF111" s="17"/>
      <c r="TSG111" s="17"/>
      <c r="TSH111" s="17"/>
      <c r="TSI111" s="17"/>
      <c r="TSJ111" s="17"/>
      <c r="TSK111" s="17"/>
      <c r="TSL111" s="17"/>
      <c r="TSM111" s="17"/>
      <c r="TSN111" s="17"/>
      <c r="TSO111" s="17"/>
      <c r="TSP111" s="17"/>
      <c r="TSQ111" s="17"/>
      <c r="TSR111" s="17"/>
      <c r="TSS111" s="17"/>
      <c r="TST111" s="17"/>
      <c r="TSU111" s="17"/>
      <c r="TSV111" s="17"/>
      <c r="TSW111" s="17"/>
      <c r="TSX111" s="17"/>
      <c r="TSY111" s="17"/>
      <c r="TSZ111" s="17"/>
      <c r="TTA111" s="17"/>
      <c r="TTB111" s="17"/>
      <c r="TTC111" s="17"/>
      <c r="TTD111" s="17"/>
      <c r="TTE111" s="17"/>
      <c r="TTF111" s="17"/>
      <c r="TTG111" s="17"/>
      <c r="TTH111" s="17"/>
      <c r="TTI111" s="17"/>
      <c r="TTJ111" s="17"/>
      <c r="TTK111" s="17"/>
      <c r="TTL111" s="17"/>
      <c r="TTM111" s="17"/>
      <c r="TTN111" s="17"/>
      <c r="TTO111" s="17"/>
      <c r="TTP111" s="17"/>
      <c r="TTQ111" s="17"/>
      <c r="TTR111" s="17"/>
      <c r="TTS111" s="17"/>
      <c r="TTT111" s="17"/>
      <c r="TTU111" s="17"/>
      <c r="TTV111" s="17"/>
      <c r="TTW111" s="17"/>
      <c r="TTX111" s="17"/>
      <c r="TTY111" s="17"/>
      <c r="TTZ111" s="17"/>
      <c r="TUA111" s="17"/>
      <c r="TUB111" s="17"/>
      <c r="TUC111" s="17"/>
      <c r="TUD111" s="17"/>
      <c r="TUE111" s="17"/>
      <c r="TUF111" s="17"/>
      <c r="TUG111" s="17"/>
      <c r="TUH111" s="17"/>
      <c r="TUI111" s="17"/>
      <c r="TUJ111" s="17"/>
      <c r="TUK111" s="17"/>
      <c r="TUL111" s="17"/>
      <c r="TUM111" s="17"/>
      <c r="TUN111" s="17"/>
      <c r="TUO111" s="17"/>
      <c r="TUP111" s="17"/>
      <c r="TUQ111" s="17"/>
      <c r="TUR111" s="17"/>
      <c r="TUS111" s="17"/>
      <c r="TUT111" s="17"/>
      <c r="TUU111" s="17"/>
      <c r="TUV111" s="17"/>
      <c r="TUW111" s="17"/>
      <c r="TUX111" s="17"/>
      <c r="TUY111" s="17"/>
      <c r="TUZ111" s="17"/>
      <c r="TVA111" s="17"/>
      <c r="TVB111" s="17"/>
      <c r="TVC111" s="17"/>
      <c r="TVD111" s="17"/>
      <c r="TVE111" s="17"/>
      <c r="TVF111" s="17"/>
      <c r="TVG111" s="17"/>
      <c r="TVH111" s="17"/>
      <c r="TVI111" s="17"/>
      <c r="TVJ111" s="17"/>
      <c r="TVK111" s="17"/>
      <c r="TVL111" s="17"/>
      <c r="TVM111" s="17"/>
      <c r="TVN111" s="17"/>
      <c r="TVO111" s="17"/>
      <c r="TVP111" s="17"/>
      <c r="TVQ111" s="17"/>
      <c r="TVR111" s="17"/>
      <c r="TVS111" s="17"/>
      <c r="TVT111" s="17"/>
      <c r="TVU111" s="17"/>
      <c r="TVV111" s="17"/>
      <c r="TVW111" s="17"/>
      <c r="TVX111" s="17"/>
      <c r="TVY111" s="17"/>
      <c r="TVZ111" s="17"/>
      <c r="TWA111" s="17"/>
      <c r="TWB111" s="17"/>
      <c r="TWC111" s="17"/>
      <c r="TWD111" s="17"/>
      <c r="TWE111" s="17"/>
      <c r="TWF111" s="17"/>
      <c r="TWG111" s="17"/>
      <c r="TWH111" s="17"/>
      <c r="TWI111" s="17"/>
      <c r="TWJ111" s="17"/>
      <c r="TWK111" s="17"/>
      <c r="TWL111" s="17"/>
      <c r="TWM111" s="17"/>
      <c r="TWN111" s="17"/>
      <c r="TWO111" s="17"/>
      <c r="TWP111" s="17"/>
      <c r="TWQ111" s="17"/>
      <c r="TWR111" s="17"/>
      <c r="TWS111" s="17"/>
      <c r="TWT111" s="17"/>
      <c r="TWU111" s="17"/>
      <c r="TWV111" s="17"/>
      <c r="TWW111" s="17"/>
      <c r="TWX111" s="17"/>
      <c r="TWY111" s="17"/>
      <c r="TWZ111" s="17"/>
      <c r="TXA111" s="17"/>
      <c r="TXB111" s="17"/>
      <c r="TXC111" s="17"/>
      <c r="TXD111" s="17"/>
      <c r="TXE111" s="17"/>
      <c r="TXF111" s="17"/>
      <c r="TXG111" s="17"/>
      <c r="TXH111" s="17"/>
      <c r="TXI111" s="17"/>
      <c r="TXJ111" s="17"/>
      <c r="TXK111" s="17"/>
      <c r="TXL111" s="17"/>
      <c r="TXM111" s="17"/>
      <c r="TXN111" s="17"/>
      <c r="TXO111" s="17"/>
      <c r="TXP111" s="17"/>
      <c r="TXQ111" s="17"/>
      <c r="TXR111" s="17"/>
      <c r="TXS111" s="17"/>
      <c r="TXT111" s="17"/>
      <c r="TXU111" s="17"/>
      <c r="TXV111" s="17"/>
      <c r="TXW111" s="17"/>
      <c r="TXX111" s="17"/>
      <c r="TXY111" s="17"/>
      <c r="TXZ111" s="17"/>
      <c r="TYA111" s="17"/>
      <c r="TYB111" s="17"/>
      <c r="TYC111" s="17"/>
      <c r="TYD111" s="17"/>
      <c r="TYE111" s="17"/>
      <c r="TYF111" s="17"/>
      <c r="TYG111" s="17"/>
      <c r="TYH111" s="17"/>
      <c r="TYI111" s="17"/>
      <c r="TYJ111" s="17"/>
      <c r="TYK111" s="17"/>
      <c r="TYL111" s="17"/>
      <c r="TYM111" s="17"/>
      <c r="TYN111" s="17"/>
      <c r="TYO111" s="17"/>
      <c r="TYP111" s="17"/>
      <c r="TYQ111" s="17"/>
      <c r="TYR111" s="17"/>
      <c r="TYS111" s="17"/>
      <c r="TYT111" s="17"/>
      <c r="TYU111" s="17"/>
      <c r="TYV111" s="17"/>
      <c r="TYW111" s="17"/>
      <c r="TYX111" s="17"/>
      <c r="TYY111" s="17"/>
      <c r="TYZ111" s="17"/>
      <c r="TZA111" s="17"/>
      <c r="TZB111" s="17"/>
      <c r="TZC111" s="17"/>
      <c r="TZD111" s="17"/>
      <c r="TZE111" s="17"/>
      <c r="TZF111" s="17"/>
      <c r="TZG111" s="17"/>
      <c r="TZH111" s="17"/>
      <c r="TZI111" s="17"/>
      <c r="TZJ111" s="17"/>
      <c r="TZK111" s="17"/>
      <c r="TZL111" s="17"/>
      <c r="TZM111" s="17"/>
      <c r="TZN111" s="17"/>
      <c r="TZO111" s="17"/>
      <c r="TZP111" s="17"/>
      <c r="TZQ111" s="17"/>
      <c r="TZR111" s="17"/>
      <c r="TZS111" s="17"/>
      <c r="TZT111" s="17"/>
      <c r="TZU111" s="17"/>
      <c r="TZV111" s="17"/>
      <c r="TZW111" s="17"/>
      <c r="TZX111" s="17"/>
      <c r="TZY111" s="17"/>
      <c r="TZZ111" s="17"/>
      <c r="UAA111" s="17"/>
      <c r="UAB111" s="17"/>
      <c r="UAC111" s="17"/>
      <c r="UAD111" s="17"/>
      <c r="UAE111" s="17"/>
      <c r="UAF111" s="17"/>
      <c r="UAG111" s="17"/>
      <c r="UAH111" s="17"/>
      <c r="UAI111" s="17"/>
      <c r="UAJ111" s="17"/>
      <c r="UAK111" s="17"/>
      <c r="UAL111" s="17"/>
      <c r="UAM111" s="17"/>
      <c r="UAN111" s="17"/>
      <c r="UAO111" s="17"/>
      <c r="UAP111" s="17"/>
      <c r="UAQ111" s="17"/>
      <c r="UAR111" s="17"/>
      <c r="UAS111" s="17"/>
      <c r="UAT111" s="17"/>
      <c r="UAU111" s="17"/>
      <c r="UAV111" s="17"/>
      <c r="UAW111" s="17"/>
      <c r="UAX111" s="17"/>
      <c r="UAY111" s="17"/>
      <c r="UAZ111" s="17"/>
      <c r="UBA111" s="17"/>
      <c r="UBB111" s="17"/>
      <c r="UBC111" s="17"/>
      <c r="UBD111" s="17"/>
      <c r="UBE111" s="17"/>
      <c r="UBF111" s="17"/>
      <c r="UBG111" s="17"/>
      <c r="UBH111" s="17"/>
      <c r="UBI111" s="17"/>
      <c r="UBJ111" s="17"/>
      <c r="UBK111" s="17"/>
      <c r="UBL111" s="17"/>
      <c r="UBM111" s="17"/>
      <c r="UBN111" s="17"/>
      <c r="UBO111" s="17"/>
      <c r="UBP111" s="17"/>
      <c r="UBQ111" s="17"/>
      <c r="UBR111" s="17"/>
      <c r="UBS111" s="17"/>
      <c r="UBT111" s="17"/>
      <c r="UBU111" s="17"/>
      <c r="UBV111" s="17"/>
      <c r="UBW111" s="17"/>
      <c r="UBX111" s="17"/>
      <c r="UBY111" s="17"/>
      <c r="UBZ111" s="17"/>
      <c r="UCA111" s="17"/>
      <c r="UCB111" s="17"/>
      <c r="UCC111" s="17"/>
      <c r="UCD111" s="17"/>
      <c r="UCE111" s="17"/>
      <c r="UCF111" s="17"/>
      <c r="UCG111" s="17"/>
      <c r="UCH111" s="17"/>
      <c r="UCI111" s="17"/>
      <c r="UCJ111" s="17"/>
      <c r="UCK111" s="17"/>
      <c r="UCL111" s="17"/>
      <c r="UCM111" s="17"/>
      <c r="UCN111" s="17"/>
      <c r="UCO111" s="17"/>
      <c r="UCP111" s="17"/>
      <c r="UCQ111" s="17"/>
      <c r="UCR111" s="17"/>
      <c r="UCS111" s="17"/>
      <c r="UCT111" s="17"/>
      <c r="UCU111" s="17"/>
      <c r="UCV111" s="17"/>
      <c r="UCW111" s="17"/>
      <c r="UCX111" s="17"/>
      <c r="UCY111" s="17"/>
      <c r="UCZ111" s="17"/>
      <c r="UDA111" s="17"/>
      <c r="UDB111" s="17"/>
      <c r="UDC111" s="17"/>
      <c r="UDD111" s="17"/>
      <c r="UDE111" s="17"/>
      <c r="UDF111" s="17"/>
      <c r="UDG111" s="17"/>
      <c r="UDH111" s="17"/>
      <c r="UDI111" s="17"/>
      <c r="UDJ111" s="17"/>
      <c r="UDK111" s="17"/>
      <c r="UDL111" s="17"/>
      <c r="UDM111" s="17"/>
      <c r="UDN111" s="17"/>
      <c r="UDO111" s="17"/>
      <c r="UDP111" s="17"/>
      <c r="UDQ111" s="17"/>
      <c r="UDR111" s="17"/>
      <c r="UDS111" s="17"/>
      <c r="UDT111" s="17"/>
      <c r="UDU111" s="17"/>
      <c r="UDV111" s="17"/>
      <c r="UDW111" s="17"/>
      <c r="UDX111" s="17"/>
      <c r="UDY111" s="17"/>
      <c r="UDZ111" s="17"/>
      <c r="UEA111" s="17"/>
      <c r="UEB111" s="17"/>
      <c r="UEC111" s="17"/>
      <c r="UED111" s="17"/>
      <c r="UEE111" s="17"/>
      <c r="UEF111" s="17"/>
      <c r="UEG111" s="17"/>
      <c r="UEH111" s="17"/>
      <c r="UEI111" s="17"/>
      <c r="UEJ111" s="17"/>
      <c r="UEK111" s="17"/>
      <c r="UEL111" s="17"/>
      <c r="UEM111" s="17"/>
      <c r="UEN111" s="17"/>
      <c r="UEO111" s="17"/>
      <c r="UEP111" s="17"/>
      <c r="UEQ111" s="17"/>
      <c r="UER111" s="17"/>
      <c r="UES111" s="17"/>
      <c r="UET111" s="17"/>
      <c r="UEU111" s="17"/>
      <c r="UEV111" s="17"/>
      <c r="UEW111" s="17"/>
      <c r="UEX111" s="17"/>
      <c r="UEY111" s="17"/>
      <c r="UEZ111" s="17"/>
      <c r="UFA111" s="17"/>
      <c r="UFB111" s="17"/>
      <c r="UFC111" s="17"/>
      <c r="UFD111" s="17"/>
      <c r="UFE111" s="17"/>
      <c r="UFF111" s="17"/>
      <c r="UFG111" s="17"/>
      <c r="UFH111" s="17"/>
      <c r="UFI111" s="17"/>
      <c r="UFJ111" s="17"/>
      <c r="UFK111" s="17"/>
      <c r="UFL111" s="17"/>
      <c r="UFM111" s="17"/>
      <c r="UFN111" s="17"/>
      <c r="UFO111" s="17"/>
      <c r="UFP111" s="17"/>
      <c r="UFQ111" s="17"/>
      <c r="UFR111" s="17"/>
      <c r="UFS111" s="17"/>
      <c r="UFT111" s="17"/>
      <c r="UFU111" s="17"/>
      <c r="UFV111" s="17"/>
      <c r="UFW111" s="17"/>
      <c r="UFX111" s="17"/>
      <c r="UFY111" s="17"/>
      <c r="UFZ111" s="17"/>
      <c r="UGA111" s="17"/>
      <c r="UGB111" s="17"/>
      <c r="UGC111" s="17"/>
      <c r="UGD111" s="17"/>
      <c r="UGE111" s="17"/>
      <c r="UGF111" s="17"/>
      <c r="UGG111" s="17"/>
      <c r="UGH111" s="17"/>
      <c r="UGI111" s="17"/>
      <c r="UGJ111" s="17"/>
      <c r="UGK111" s="17"/>
      <c r="UGL111" s="17"/>
      <c r="UGM111" s="17"/>
      <c r="UGN111" s="17"/>
      <c r="UGO111" s="17"/>
      <c r="UGP111" s="17"/>
      <c r="UGQ111" s="17"/>
      <c r="UGR111" s="17"/>
      <c r="UGS111" s="17"/>
      <c r="UGT111" s="17"/>
      <c r="UGU111" s="17"/>
      <c r="UGV111" s="17"/>
      <c r="UGW111" s="17"/>
      <c r="UGX111" s="17"/>
      <c r="UGY111" s="17"/>
      <c r="UGZ111" s="17"/>
      <c r="UHA111" s="17"/>
      <c r="UHB111" s="17"/>
      <c r="UHC111" s="17"/>
      <c r="UHD111" s="17"/>
      <c r="UHE111" s="17"/>
      <c r="UHF111" s="17"/>
      <c r="UHG111" s="17"/>
      <c r="UHH111" s="17"/>
      <c r="UHI111" s="17"/>
      <c r="UHJ111" s="17"/>
      <c r="UHK111" s="17"/>
      <c r="UHL111" s="17"/>
      <c r="UHM111" s="17"/>
      <c r="UHN111" s="17"/>
      <c r="UHO111" s="17"/>
      <c r="UHP111" s="17"/>
      <c r="UHQ111" s="17"/>
      <c r="UHR111" s="17"/>
      <c r="UHS111" s="17"/>
      <c r="UHT111" s="17"/>
      <c r="UHU111" s="17"/>
      <c r="UHV111" s="17"/>
      <c r="UHW111" s="17"/>
      <c r="UHX111" s="17"/>
      <c r="UHY111" s="17"/>
      <c r="UHZ111" s="17"/>
      <c r="UIA111" s="17"/>
      <c r="UIB111" s="17"/>
      <c r="UIC111" s="17"/>
      <c r="UID111" s="17"/>
      <c r="UIE111" s="17"/>
      <c r="UIF111" s="17"/>
      <c r="UIG111" s="17"/>
      <c r="UIH111" s="17"/>
      <c r="UII111" s="17"/>
      <c r="UIJ111" s="17"/>
      <c r="UIK111" s="17"/>
      <c r="UIL111" s="17"/>
      <c r="UIM111" s="17"/>
      <c r="UIN111" s="17"/>
      <c r="UIO111" s="17"/>
      <c r="UIP111" s="17"/>
      <c r="UIQ111" s="17"/>
      <c r="UIR111" s="17"/>
      <c r="UIS111" s="17"/>
      <c r="UIT111" s="17"/>
      <c r="UIU111" s="17"/>
      <c r="UIV111" s="17"/>
      <c r="UIW111" s="17"/>
      <c r="UIX111" s="17"/>
      <c r="UIY111" s="17"/>
      <c r="UIZ111" s="17"/>
      <c r="UJA111" s="17"/>
      <c r="UJB111" s="17"/>
      <c r="UJC111" s="17"/>
      <c r="UJD111" s="17"/>
      <c r="UJE111" s="17"/>
      <c r="UJF111" s="17"/>
      <c r="UJG111" s="17"/>
      <c r="UJH111" s="17"/>
      <c r="UJI111" s="17"/>
      <c r="UJJ111" s="17"/>
      <c r="UJK111" s="17"/>
      <c r="UJL111" s="17"/>
      <c r="UJM111" s="17"/>
      <c r="UJN111" s="17"/>
      <c r="UJO111" s="17"/>
      <c r="UJP111" s="17"/>
      <c r="UJQ111" s="17"/>
      <c r="UJR111" s="17"/>
      <c r="UJS111" s="17"/>
      <c r="UJT111" s="17"/>
      <c r="UJU111" s="17"/>
      <c r="UJV111" s="17"/>
      <c r="UJW111" s="17"/>
      <c r="UJX111" s="17"/>
      <c r="UJY111" s="17"/>
      <c r="UJZ111" s="17"/>
      <c r="UKA111" s="17"/>
      <c r="UKB111" s="17"/>
      <c r="UKC111" s="17"/>
      <c r="UKD111" s="17"/>
      <c r="UKE111" s="17"/>
      <c r="UKF111" s="17"/>
      <c r="UKG111" s="17"/>
      <c r="UKH111" s="17"/>
      <c r="UKI111" s="17"/>
      <c r="UKJ111" s="17"/>
      <c r="UKK111" s="17"/>
      <c r="UKL111" s="17"/>
      <c r="UKM111" s="17"/>
      <c r="UKN111" s="17"/>
      <c r="UKO111" s="17"/>
      <c r="UKP111" s="17"/>
      <c r="UKQ111" s="17"/>
      <c r="UKR111" s="17"/>
      <c r="UKS111" s="17"/>
      <c r="UKT111" s="17"/>
      <c r="UKU111" s="17"/>
      <c r="UKV111" s="17"/>
      <c r="UKW111" s="17"/>
      <c r="UKX111" s="17"/>
      <c r="UKY111" s="17"/>
      <c r="UKZ111" s="17"/>
      <c r="ULA111" s="17"/>
      <c r="ULB111" s="17"/>
      <c r="ULC111" s="17"/>
      <c r="ULD111" s="17"/>
      <c r="ULE111" s="17"/>
      <c r="ULF111" s="17"/>
      <c r="ULG111" s="17"/>
      <c r="ULH111" s="17"/>
      <c r="ULI111" s="17"/>
      <c r="ULJ111" s="17"/>
      <c r="ULK111" s="17"/>
      <c r="ULL111" s="17"/>
      <c r="ULM111" s="17"/>
      <c r="ULN111" s="17"/>
      <c r="ULO111" s="17"/>
      <c r="ULP111" s="17"/>
      <c r="ULQ111" s="17"/>
      <c r="ULR111" s="17"/>
      <c r="ULS111" s="17"/>
      <c r="ULT111" s="17"/>
      <c r="ULU111" s="17"/>
      <c r="ULV111" s="17"/>
      <c r="ULW111" s="17"/>
      <c r="ULX111" s="17"/>
      <c r="ULY111" s="17"/>
      <c r="ULZ111" s="17"/>
      <c r="UMA111" s="17"/>
      <c r="UMB111" s="17"/>
      <c r="UMC111" s="17"/>
      <c r="UMD111" s="17"/>
      <c r="UME111" s="17"/>
      <c r="UMF111" s="17"/>
      <c r="UMG111" s="17"/>
      <c r="UMH111" s="17"/>
      <c r="UMI111" s="17"/>
      <c r="UMJ111" s="17"/>
      <c r="UMK111" s="17"/>
      <c r="UML111" s="17"/>
      <c r="UMM111" s="17"/>
      <c r="UMN111" s="17"/>
      <c r="UMO111" s="17"/>
      <c r="UMP111" s="17"/>
      <c r="UMQ111" s="17"/>
      <c r="UMR111" s="17"/>
      <c r="UMS111" s="17"/>
      <c r="UMT111" s="17"/>
      <c r="UMU111" s="17"/>
      <c r="UMV111" s="17"/>
      <c r="UMW111" s="17"/>
      <c r="UMX111" s="17"/>
      <c r="UMY111" s="17"/>
      <c r="UMZ111" s="17"/>
      <c r="UNA111" s="17"/>
      <c r="UNB111" s="17"/>
      <c r="UNC111" s="17"/>
      <c r="UND111" s="17"/>
      <c r="UNE111" s="17"/>
      <c r="UNF111" s="17"/>
      <c r="UNG111" s="17"/>
      <c r="UNH111" s="17"/>
      <c r="UNI111" s="17"/>
      <c r="UNJ111" s="17"/>
      <c r="UNK111" s="17"/>
      <c r="UNL111" s="17"/>
      <c r="UNM111" s="17"/>
      <c r="UNN111" s="17"/>
      <c r="UNO111" s="17"/>
      <c r="UNP111" s="17"/>
      <c r="UNQ111" s="17"/>
      <c r="UNR111" s="17"/>
      <c r="UNS111" s="17"/>
      <c r="UNT111" s="17"/>
      <c r="UNU111" s="17"/>
      <c r="UNV111" s="17"/>
      <c r="UNW111" s="17"/>
      <c r="UNX111" s="17"/>
      <c r="UNY111" s="17"/>
      <c r="UNZ111" s="17"/>
      <c r="UOA111" s="17"/>
      <c r="UOB111" s="17"/>
      <c r="UOC111" s="17"/>
      <c r="UOD111" s="17"/>
      <c r="UOE111" s="17"/>
      <c r="UOF111" s="17"/>
      <c r="UOG111" s="17"/>
      <c r="UOH111" s="17"/>
      <c r="UOI111" s="17"/>
      <c r="UOJ111" s="17"/>
      <c r="UOK111" s="17"/>
      <c r="UOL111" s="17"/>
      <c r="UOM111" s="17"/>
      <c r="UON111" s="17"/>
      <c r="UOO111" s="17"/>
      <c r="UOP111" s="17"/>
      <c r="UOQ111" s="17"/>
      <c r="UOR111" s="17"/>
      <c r="UOS111" s="17"/>
      <c r="UOT111" s="17"/>
      <c r="UOU111" s="17"/>
      <c r="UOV111" s="17"/>
      <c r="UOW111" s="17"/>
      <c r="UOX111" s="17"/>
      <c r="UOY111" s="17"/>
      <c r="UOZ111" s="17"/>
      <c r="UPA111" s="17"/>
      <c r="UPB111" s="17"/>
      <c r="UPC111" s="17"/>
      <c r="UPD111" s="17"/>
      <c r="UPE111" s="17"/>
      <c r="UPF111" s="17"/>
      <c r="UPG111" s="17"/>
      <c r="UPH111" s="17"/>
      <c r="UPI111" s="17"/>
      <c r="UPJ111" s="17"/>
      <c r="UPK111" s="17"/>
      <c r="UPL111" s="17"/>
      <c r="UPM111" s="17"/>
      <c r="UPN111" s="17"/>
      <c r="UPO111" s="17"/>
      <c r="UPP111" s="17"/>
      <c r="UPQ111" s="17"/>
      <c r="UPR111" s="17"/>
      <c r="UPS111" s="17"/>
      <c r="UPT111" s="17"/>
      <c r="UPU111" s="17"/>
      <c r="UPV111" s="17"/>
      <c r="UPW111" s="17"/>
      <c r="UPX111" s="17"/>
      <c r="UPY111" s="17"/>
      <c r="UPZ111" s="17"/>
      <c r="UQA111" s="17"/>
      <c r="UQB111" s="17"/>
      <c r="UQC111" s="17"/>
      <c r="UQD111" s="17"/>
      <c r="UQE111" s="17"/>
      <c r="UQF111" s="17"/>
      <c r="UQG111" s="17"/>
      <c r="UQH111" s="17"/>
      <c r="UQI111" s="17"/>
      <c r="UQJ111" s="17"/>
      <c r="UQK111" s="17"/>
      <c r="UQL111" s="17"/>
      <c r="UQM111" s="17"/>
      <c r="UQN111" s="17"/>
      <c r="UQO111" s="17"/>
      <c r="UQP111" s="17"/>
      <c r="UQQ111" s="17"/>
      <c r="UQR111" s="17"/>
      <c r="UQS111" s="17"/>
      <c r="UQT111" s="17"/>
      <c r="UQU111" s="17"/>
      <c r="UQV111" s="17"/>
      <c r="UQW111" s="17"/>
      <c r="UQX111" s="17"/>
      <c r="UQY111" s="17"/>
      <c r="UQZ111" s="17"/>
      <c r="URA111" s="17"/>
      <c r="URB111" s="17"/>
      <c r="URC111" s="17"/>
      <c r="URD111" s="17"/>
      <c r="URE111" s="17"/>
      <c r="URF111" s="17"/>
      <c r="URG111" s="17"/>
      <c r="URH111" s="17"/>
      <c r="URI111" s="17"/>
      <c r="URJ111" s="17"/>
      <c r="URK111" s="17"/>
      <c r="URL111" s="17"/>
      <c r="URM111" s="17"/>
      <c r="URN111" s="17"/>
      <c r="URO111" s="17"/>
      <c r="URP111" s="17"/>
      <c r="URQ111" s="17"/>
      <c r="URR111" s="17"/>
      <c r="URS111" s="17"/>
      <c r="URT111" s="17"/>
      <c r="URU111" s="17"/>
      <c r="URV111" s="17"/>
      <c r="URW111" s="17"/>
      <c r="URX111" s="17"/>
      <c r="URY111" s="17"/>
      <c r="URZ111" s="17"/>
      <c r="USA111" s="17"/>
      <c r="USB111" s="17"/>
      <c r="USC111" s="17"/>
      <c r="USD111" s="17"/>
      <c r="USE111" s="17"/>
      <c r="USF111" s="17"/>
      <c r="USG111" s="17"/>
      <c r="USH111" s="17"/>
      <c r="USI111" s="17"/>
      <c r="USJ111" s="17"/>
      <c r="USK111" s="17"/>
      <c r="USL111" s="17"/>
      <c r="USM111" s="17"/>
      <c r="USN111" s="17"/>
      <c r="USO111" s="17"/>
      <c r="USP111" s="17"/>
      <c r="USQ111" s="17"/>
      <c r="USR111" s="17"/>
      <c r="USS111" s="17"/>
      <c r="UST111" s="17"/>
      <c r="USU111" s="17"/>
      <c r="USV111" s="17"/>
      <c r="USW111" s="17"/>
      <c r="USX111" s="17"/>
      <c r="USY111" s="17"/>
      <c r="USZ111" s="17"/>
      <c r="UTA111" s="17"/>
      <c r="UTB111" s="17"/>
      <c r="UTC111" s="17"/>
      <c r="UTD111" s="17"/>
      <c r="UTE111" s="17"/>
      <c r="UTF111" s="17"/>
      <c r="UTG111" s="17"/>
      <c r="UTH111" s="17"/>
      <c r="UTI111" s="17"/>
      <c r="UTJ111" s="17"/>
      <c r="UTK111" s="17"/>
      <c r="UTL111" s="17"/>
      <c r="UTM111" s="17"/>
      <c r="UTN111" s="17"/>
      <c r="UTO111" s="17"/>
      <c r="UTP111" s="17"/>
      <c r="UTQ111" s="17"/>
      <c r="UTR111" s="17"/>
      <c r="UTS111" s="17"/>
      <c r="UTT111" s="17"/>
      <c r="UTU111" s="17"/>
      <c r="UTV111" s="17"/>
      <c r="UTW111" s="17"/>
      <c r="UTX111" s="17"/>
      <c r="UTY111" s="17"/>
      <c r="UTZ111" s="17"/>
      <c r="UUA111" s="17"/>
      <c r="UUB111" s="17"/>
      <c r="UUC111" s="17"/>
      <c r="UUD111" s="17"/>
      <c r="UUE111" s="17"/>
      <c r="UUF111" s="17"/>
      <c r="UUG111" s="17"/>
      <c r="UUH111" s="17"/>
      <c r="UUI111" s="17"/>
      <c r="UUJ111" s="17"/>
      <c r="UUK111" s="17"/>
      <c r="UUL111" s="17"/>
      <c r="UUM111" s="17"/>
      <c r="UUN111" s="17"/>
      <c r="UUO111" s="17"/>
      <c r="UUP111" s="17"/>
      <c r="UUQ111" s="17"/>
      <c r="UUR111" s="17"/>
      <c r="UUS111" s="17"/>
      <c r="UUT111" s="17"/>
      <c r="UUU111" s="17"/>
      <c r="UUV111" s="17"/>
      <c r="UUW111" s="17"/>
      <c r="UUX111" s="17"/>
      <c r="UUY111" s="17"/>
      <c r="UUZ111" s="17"/>
      <c r="UVA111" s="17"/>
      <c r="UVB111" s="17"/>
      <c r="UVC111" s="17"/>
      <c r="UVD111" s="17"/>
      <c r="UVE111" s="17"/>
      <c r="UVF111" s="17"/>
      <c r="UVG111" s="17"/>
      <c r="UVH111" s="17"/>
      <c r="UVI111" s="17"/>
      <c r="UVJ111" s="17"/>
      <c r="UVK111" s="17"/>
      <c r="UVL111" s="17"/>
      <c r="UVM111" s="17"/>
      <c r="UVN111" s="17"/>
      <c r="UVO111" s="17"/>
      <c r="UVP111" s="17"/>
      <c r="UVQ111" s="17"/>
      <c r="UVR111" s="17"/>
      <c r="UVS111" s="17"/>
      <c r="UVT111" s="17"/>
      <c r="UVU111" s="17"/>
      <c r="UVV111" s="17"/>
      <c r="UVW111" s="17"/>
      <c r="UVX111" s="17"/>
      <c r="UVY111" s="17"/>
      <c r="UVZ111" s="17"/>
      <c r="UWA111" s="17"/>
      <c r="UWB111" s="17"/>
      <c r="UWC111" s="17"/>
      <c r="UWD111" s="17"/>
      <c r="UWE111" s="17"/>
      <c r="UWF111" s="17"/>
      <c r="UWG111" s="17"/>
      <c r="UWH111" s="17"/>
      <c r="UWI111" s="17"/>
      <c r="UWJ111" s="17"/>
      <c r="UWK111" s="17"/>
      <c r="UWL111" s="17"/>
      <c r="UWM111" s="17"/>
      <c r="UWN111" s="17"/>
      <c r="UWO111" s="17"/>
      <c r="UWP111" s="17"/>
      <c r="UWQ111" s="17"/>
      <c r="UWR111" s="17"/>
      <c r="UWS111" s="17"/>
      <c r="UWT111" s="17"/>
      <c r="UWU111" s="17"/>
      <c r="UWV111" s="17"/>
      <c r="UWW111" s="17"/>
      <c r="UWX111" s="17"/>
      <c r="UWY111" s="17"/>
      <c r="UWZ111" s="17"/>
      <c r="UXA111" s="17"/>
      <c r="UXB111" s="17"/>
      <c r="UXC111" s="17"/>
      <c r="UXD111" s="17"/>
      <c r="UXE111" s="17"/>
      <c r="UXF111" s="17"/>
      <c r="UXG111" s="17"/>
      <c r="UXH111" s="17"/>
      <c r="UXI111" s="17"/>
      <c r="UXJ111" s="17"/>
      <c r="UXK111" s="17"/>
      <c r="UXL111" s="17"/>
      <c r="UXM111" s="17"/>
      <c r="UXN111" s="17"/>
      <c r="UXO111" s="17"/>
      <c r="UXP111" s="17"/>
      <c r="UXQ111" s="17"/>
      <c r="UXR111" s="17"/>
      <c r="UXS111" s="17"/>
      <c r="UXT111" s="17"/>
      <c r="UXU111" s="17"/>
      <c r="UXV111" s="17"/>
      <c r="UXW111" s="17"/>
      <c r="UXX111" s="17"/>
      <c r="UXY111" s="17"/>
      <c r="UXZ111" s="17"/>
      <c r="UYA111" s="17"/>
      <c r="UYB111" s="17"/>
      <c r="UYC111" s="17"/>
      <c r="UYD111" s="17"/>
      <c r="UYE111" s="17"/>
      <c r="UYF111" s="17"/>
      <c r="UYG111" s="17"/>
      <c r="UYH111" s="17"/>
      <c r="UYI111" s="17"/>
      <c r="UYJ111" s="17"/>
      <c r="UYK111" s="17"/>
      <c r="UYL111" s="17"/>
      <c r="UYM111" s="17"/>
      <c r="UYN111" s="17"/>
      <c r="UYO111" s="17"/>
      <c r="UYP111" s="17"/>
      <c r="UYQ111" s="17"/>
      <c r="UYR111" s="17"/>
      <c r="UYS111" s="17"/>
      <c r="UYT111" s="17"/>
      <c r="UYU111" s="17"/>
      <c r="UYV111" s="17"/>
      <c r="UYW111" s="17"/>
      <c r="UYX111" s="17"/>
      <c r="UYY111" s="17"/>
      <c r="UYZ111" s="17"/>
      <c r="UZA111" s="17"/>
      <c r="UZB111" s="17"/>
      <c r="UZC111" s="17"/>
      <c r="UZD111" s="17"/>
      <c r="UZE111" s="17"/>
      <c r="UZF111" s="17"/>
      <c r="UZG111" s="17"/>
      <c r="UZH111" s="17"/>
      <c r="UZI111" s="17"/>
      <c r="UZJ111" s="17"/>
      <c r="UZK111" s="17"/>
      <c r="UZL111" s="17"/>
      <c r="UZM111" s="17"/>
      <c r="UZN111" s="17"/>
      <c r="UZO111" s="17"/>
      <c r="UZP111" s="17"/>
      <c r="UZQ111" s="17"/>
      <c r="UZR111" s="17"/>
      <c r="UZS111" s="17"/>
      <c r="UZT111" s="17"/>
      <c r="UZU111" s="17"/>
      <c r="UZV111" s="17"/>
      <c r="UZW111" s="17"/>
      <c r="UZX111" s="17"/>
      <c r="UZY111" s="17"/>
      <c r="UZZ111" s="17"/>
      <c r="VAA111" s="17"/>
      <c r="VAB111" s="17"/>
      <c r="VAC111" s="17"/>
      <c r="VAD111" s="17"/>
      <c r="VAE111" s="17"/>
      <c r="VAF111" s="17"/>
      <c r="VAG111" s="17"/>
      <c r="VAH111" s="17"/>
      <c r="VAI111" s="17"/>
      <c r="VAJ111" s="17"/>
      <c r="VAK111" s="17"/>
      <c r="VAL111" s="17"/>
      <c r="VAM111" s="17"/>
      <c r="VAN111" s="17"/>
      <c r="VAO111" s="17"/>
      <c r="VAP111" s="17"/>
      <c r="VAQ111" s="17"/>
      <c r="VAR111" s="17"/>
      <c r="VAS111" s="17"/>
      <c r="VAT111" s="17"/>
      <c r="VAU111" s="17"/>
      <c r="VAV111" s="17"/>
      <c r="VAW111" s="17"/>
      <c r="VAX111" s="17"/>
      <c r="VAY111" s="17"/>
      <c r="VAZ111" s="17"/>
      <c r="VBA111" s="17"/>
      <c r="VBB111" s="17"/>
      <c r="VBC111" s="17"/>
      <c r="VBD111" s="17"/>
      <c r="VBE111" s="17"/>
      <c r="VBF111" s="17"/>
      <c r="VBG111" s="17"/>
      <c r="VBH111" s="17"/>
      <c r="VBI111" s="17"/>
      <c r="VBJ111" s="17"/>
      <c r="VBK111" s="17"/>
      <c r="VBL111" s="17"/>
      <c r="VBM111" s="17"/>
      <c r="VBN111" s="17"/>
      <c r="VBO111" s="17"/>
      <c r="VBP111" s="17"/>
      <c r="VBQ111" s="17"/>
      <c r="VBR111" s="17"/>
      <c r="VBS111" s="17"/>
      <c r="VBT111" s="17"/>
      <c r="VBU111" s="17"/>
      <c r="VBV111" s="17"/>
      <c r="VBW111" s="17"/>
      <c r="VBX111" s="17"/>
      <c r="VBY111" s="17"/>
      <c r="VBZ111" s="17"/>
      <c r="VCA111" s="17"/>
      <c r="VCB111" s="17"/>
      <c r="VCC111" s="17"/>
      <c r="VCD111" s="17"/>
      <c r="VCE111" s="17"/>
      <c r="VCF111" s="17"/>
      <c r="VCG111" s="17"/>
      <c r="VCH111" s="17"/>
      <c r="VCI111" s="17"/>
      <c r="VCJ111" s="17"/>
      <c r="VCK111" s="17"/>
      <c r="VCL111" s="17"/>
      <c r="VCM111" s="17"/>
      <c r="VCN111" s="17"/>
      <c r="VCO111" s="17"/>
      <c r="VCP111" s="17"/>
      <c r="VCQ111" s="17"/>
      <c r="VCR111" s="17"/>
      <c r="VCS111" s="17"/>
      <c r="VCT111" s="17"/>
      <c r="VCU111" s="17"/>
      <c r="VCV111" s="17"/>
      <c r="VCW111" s="17"/>
      <c r="VCX111" s="17"/>
      <c r="VCY111" s="17"/>
      <c r="VCZ111" s="17"/>
      <c r="VDA111" s="17"/>
      <c r="VDB111" s="17"/>
      <c r="VDC111" s="17"/>
      <c r="VDD111" s="17"/>
      <c r="VDE111" s="17"/>
      <c r="VDF111" s="17"/>
      <c r="VDG111" s="17"/>
      <c r="VDH111" s="17"/>
      <c r="VDI111" s="17"/>
      <c r="VDJ111" s="17"/>
      <c r="VDK111" s="17"/>
      <c r="VDL111" s="17"/>
      <c r="VDM111" s="17"/>
      <c r="VDN111" s="17"/>
      <c r="VDO111" s="17"/>
      <c r="VDP111" s="17"/>
      <c r="VDQ111" s="17"/>
      <c r="VDR111" s="17"/>
      <c r="VDS111" s="17"/>
      <c r="VDT111" s="17"/>
      <c r="VDU111" s="17"/>
      <c r="VDV111" s="17"/>
      <c r="VDW111" s="17"/>
      <c r="VDX111" s="17"/>
      <c r="VDY111" s="17"/>
      <c r="VDZ111" s="17"/>
      <c r="VEA111" s="17"/>
      <c r="VEB111" s="17"/>
      <c r="VEC111" s="17"/>
      <c r="VED111" s="17"/>
      <c r="VEE111" s="17"/>
      <c r="VEF111" s="17"/>
      <c r="VEG111" s="17"/>
      <c r="VEH111" s="17"/>
      <c r="VEI111" s="17"/>
      <c r="VEJ111" s="17"/>
      <c r="VEK111" s="17"/>
      <c r="VEL111" s="17"/>
      <c r="VEM111" s="17"/>
      <c r="VEN111" s="17"/>
      <c r="VEO111" s="17"/>
      <c r="VEP111" s="17"/>
      <c r="VEQ111" s="17"/>
      <c r="VER111" s="17"/>
      <c r="VES111" s="17"/>
      <c r="VET111" s="17"/>
      <c r="VEU111" s="17"/>
      <c r="VEV111" s="17"/>
      <c r="VEW111" s="17"/>
      <c r="VEX111" s="17"/>
      <c r="VEY111" s="17"/>
      <c r="VEZ111" s="17"/>
      <c r="VFA111" s="17"/>
      <c r="VFB111" s="17"/>
      <c r="VFC111" s="17"/>
      <c r="VFD111" s="17"/>
      <c r="VFE111" s="17"/>
      <c r="VFF111" s="17"/>
      <c r="VFG111" s="17"/>
      <c r="VFH111" s="17"/>
      <c r="VFI111" s="17"/>
      <c r="VFJ111" s="17"/>
      <c r="VFK111" s="17"/>
      <c r="VFL111" s="17"/>
      <c r="VFM111" s="17"/>
      <c r="VFN111" s="17"/>
      <c r="VFO111" s="17"/>
      <c r="VFP111" s="17"/>
      <c r="VFQ111" s="17"/>
      <c r="VFR111" s="17"/>
      <c r="VFS111" s="17"/>
      <c r="VFT111" s="17"/>
      <c r="VFU111" s="17"/>
      <c r="VFV111" s="17"/>
      <c r="VFW111" s="17"/>
      <c r="VFX111" s="17"/>
      <c r="VFY111" s="17"/>
      <c r="VFZ111" s="17"/>
      <c r="VGA111" s="17"/>
      <c r="VGB111" s="17"/>
      <c r="VGC111" s="17"/>
      <c r="VGD111" s="17"/>
      <c r="VGE111" s="17"/>
      <c r="VGF111" s="17"/>
      <c r="VGG111" s="17"/>
      <c r="VGH111" s="17"/>
      <c r="VGI111" s="17"/>
      <c r="VGJ111" s="17"/>
      <c r="VGK111" s="17"/>
      <c r="VGL111" s="17"/>
      <c r="VGM111" s="17"/>
      <c r="VGN111" s="17"/>
      <c r="VGO111" s="17"/>
      <c r="VGP111" s="17"/>
      <c r="VGQ111" s="17"/>
      <c r="VGR111" s="17"/>
      <c r="VGS111" s="17"/>
      <c r="VGT111" s="17"/>
      <c r="VGU111" s="17"/>
      <c r="VGV111" s="17"/>
      <c r="VGW111" s="17"/>
      <c r="VGX111" s="17"/>
      <c r="VGY111" s="17"/>
      <c r="VGZ111" s="17"/>
      <c r="VHA111" s="17"/>
      <c r="VHB111" s="17"/>
      <c r="VHC111" s="17"/>
      <c r="VHD111" s="17"/>
      <c r="VHE111" s="17"/>
      <c r="VHF111" s="17"/>
      <c r="VHG111" s="17"/>
      <c r="VHH111" s="17"/>
      <c r="VHI111" s="17"/>
      <c r="VHJ111" s="17"/>
      <c r="VHK111" s="17"/>
      <c r="VHL111" s="17"/>
      <c r="VHM111" s="17"/>
      <c r="VHN111" s="17"/>
      <c r="VHO111" s="17"/>
      <c r="VHP111" s="17"/>
      <c r="VHQ111" s="17"/>
      <c r="VHR111" s="17"/>
      <c r="VHS111" s="17"/>
      <c r="VHT111" s="17"/>
      <c r="VHU111" s="17"/>
      <c r="VHV111" s="17"/>
      <c r="VHW111" s="17"/>
      <c r="VHX111" s="17"/>
      <c r="VHY111" s="17"/>
      <c r="VHZ111" s="17"/>
      <c r="VIA111" s="17"/>
      <c r="VIB111" s="17"/>
      <c r="VIC111" s="17"/>
      <c r="VID111" s="17"/>
      <c r="VIE111" s="17"/>
      <c r="VIF111" s="17"/>
      <c r="VIG111" s="17"/>
      <c r="VIH111" s="17"/>
      <c r="VII111" s="17"/>
      <c r="VIJ111" s="17"/>
      <c r="VIK111" s="17"/>
      <c r="VIL111" s="17"/>
      <c r="VIM111" s="17"/>
      <c r="VIN111" s="17"/>
      <c r="VIO111" s="17"/>
      <c r="VIP111" s="17"/>
      <c r="VIQ111" s="17"/>
      <c r="VIR111" s="17"/>
      <c r="VIS111" s="17"/>
      <c r="VIT111" s="17"/>
      <c r="VIU111" s="17"/>
      <c r="VIV111" s="17"/>
      <c r="VIW111" s="17"/>
      <c r="VIX111" s="17"/>
      <c r="VIY111" s="17"/>
      <c r="VIZ111" s="17"/>
      <c r="VJA111" s="17"/>
      <c r="VJB111" s="17"/>
      <c r="VJC111" s="17"/>
      <c r="VJD111" s="17"/>
      <c r="VJE111" s="17"/>
      <c r="VJF111" s="17"/>
      <c r="VJG111" s="17"/>
      <c r="VJH111" s="17"/>
      <c r="VJI111" s="17"/>
      <c r="VJJ111" s="17"/>
      <c r="VJK111" s="17"/>
      <c r="VJL111" s="17"/>
      <c r="VJM111" s="17"/>
      <c r="VJN111" s="17"/>
      <c r="VJO111" s="17"/>
      <c r="VJP111" s="17"/>
      <c r="VJQ111" s="17"/>
      <c r="VJR111" s="17"/>
      <c r="VJS111" s="17"/>
      <c r="VJT111" s="17"/>
      <c r="VJU111" s="17"/>
      <c r="VJV111" s="17"/>
      <c r="VJW111" s="17"/>
      <c r="VJX111" s="17"/>
      <c r="VJY111" s="17"/>
      <c r="VJZ111" s="17"/>
      <c r="VKA111" s="17"/>
      <c r="VKB111" s="17"/>
      <c r="VKC111" s="17"/>
      <c r="VKD111" s="17"/>
      <c r="VKE111" s="17"/>
      <c r="VKF111" s="17"/>
      <c r="VKG111" s="17"/>
      <c r="VKH111" s="17"/>
      <c r="VKI111" s="17"/>
      <c r="VKJ111" s="17"/>
      <c r="VKK111" s="17"/>
      <c r="VKL111" s="17"/>
      <c r="VKM111" s="17"/>
      <c r="VKN111" s="17"/>
      <c r="VKO111" s="17"/>
      <c r="VKP111" s="17"/>
      <c r="VKQ111" s="17"/>
      <c r="VKR111" s="17"/>
      <c r="VKS111" s="17"/>
      <c r="VKT111" s="17"/>
      <c r="VKU111" s="17"/>
      <c r="VKV111" s="17"/>
      <c r="VKW111" s="17"/>
      <c r="VKX111" s="17"/>
      <c r="VKY111" s="17"/>
      <c r="VKZ111" s="17"/>
      <c r="VLA111" s="17"/>
      <c r="VLB111" s="17"/>
      <c r="VLC111" s="17"/>
      <c r="VLD111" s="17"/>
      <c r="VLE111" s="17"/>
      <c r="VLF111" s="17"/>
      <c r="VLG111" s="17"/>
      <c r="VLH111" s="17"/>
      <c r="VLI111" s="17"/>
      <c r="VLJ111" s="17"/>
      <c r="VLK111" s="17"/>
      <c r="VLL111" s="17"/>
      <c r="VLM111" s="17"/>
      <c r="VLN111" s="17"/>
      <c r="VLO111" s="17"/>
      <c r="VLP111" s="17"/>
      <c r="VLQ111" s="17"/>
      <c r="VLR111" s="17"/>
      <c r="VLS111" s="17"/>
      <c r="VLT111" s="17"/>
      <c r="VLU111" s="17"/>
      <c r="VLV111" s="17"/>
      <c r="VLW111" s="17"/>
      <c r="VLX111" s="17"/>
      <c r="VLY111" s="17"/>
      <c r="VLZ111" s="17"/>
      <c r="VMA111" s="17"/>
      <c r="VMB111" s="17"/>
      <c r="VMC111" s="17"/>
      <c r="VMD111" s="17"/>
      <c r="VME111" s="17"/>
      <c r="VMF111" s="17"/>
      <c r="VMG111" s="17"/>
      <c r="VMH111" s="17"/>
      <c r="VMI111" s="17"/>
      <c r="VMJ111" s="17"/>
      <c r="VMK111" s="17"/>
      <c r="VML111" s="17"/>
      <c r="VMM111" s="17"/>
      <c r="VMN111" s="17"/>
      <c r="VMO111" s="17"/>
      <c r="VMP111" s="17"/>
      <c r="VMQ111" s="17"/>
      <c r="VMR111" s="17"/>
      <c r="VMS111" s="17"/>
      <c r="VMT111" s="17"/>
      <c r="VMU111" s="17"/>
      <c r="VMV111" s="17"/>
      <c r="VMW111" s="17"/>
      <c r="VMX111" s="17"/>
      <c r="VMY111" s="17"/>
      <c r="VMZ111" s="17"/>
      <c r="VNA111" s="17"/>
      <c r="VNB111" s="17"/>
      <c r="VNC111" s="17"/>
      <c r="VND111" s="17"/>
      <c r="VNE111" s="17"/>
      <c r="VNF111" s="17"/>
      <c r="VNG111" s="17"/>
      <c r="VNH111" s="17"/>
      <c r="VNI111" s="17"/>
      <c r="VNJ111" s="17"/>
      <c r="VNK111" s="17"/>
      <c r="VNL111" s="17"/>
      <c r="VNM111" s="17"/>
      <c r="VNN111" s="17"/>
      <c r="VNO111" s="17"/>
      <c r="VNP111" s="17"/>
      <c r="VNQ111" s="17"/>
      <c r="VNR111" s="17"/>
      <c r="VNS111" s="17"/>
      <c r="VNT111" s="17"/>
      <c r="VNU111" s="17"/>
      <c r="VNV111" s="17"/>
      <c r="VNW111" s="17"/>
      <c r="VNX111" s="17"/>
      <c r="VNY111" s="17"/>
      <c r="VNZ111" s="17"/>
      <c r="VOA111" s="17"/>
      <c r="VOB111" s="17"/>
      <c r="VOC111" s="17"/>
      <c r="VOD111" s="17"/>
      <c r="VOE111" s="17"/>
      <c r="VOF111" s="17"/>
      <c r="VOG111" s="17"/>
      <c r="VOH111" s="17"/>
      <c r="VOI111" s="17"/>
      <c r="VOJ111" s="17"/>
      <c r="VOK111" s="17"/>
      <c r="VOL111" s="17"/>
      <c r="VOM111" s="17"/>
      <c r="VON111" s="17"/>
      <c r="VOO111" s="17"/>
      <c r="VOP111" s="17"/>
      <c r="VOQ111" s="17"/>
      <c r="VOR111" s="17"/>
      <c r="VOS111" s="17"/>
      <c r="VOT111" s="17"/>
      <c r="VOU111" s="17"/>
      <c r="VOV111" s="17"/>
      <c r="VOW111" s="17"/>
      <c r="VOX111" s="17"/>
      <c r="VOY111" s="17"/>
      <c r="VOZ111" s="17"/>
      <c r="VPA111" s="17"/>
      <c r="VPB111" s="17"/>
      <c r="VPC111" s="17"/>
      <c r="VPD111" s="17"/>
      <c r="VPE111" s="17"/>
      <c r="VPF111" s="17"/>
      <c r="VPG111" s="17"/>
      <c r="VPH111" s="17"/>
      <c r="VPI111" s="17"/>
      <c r="VPJ111" s="17"/>
      <c r="VPK111" s="17"/>
      <c r="VPL111" s="17"/>
      <c r="VPM111" s="17"/>
      <c r="VPN111" s="17"/>
      <c r="VPO111" s="17"/>
      <c r="VPP111" s="17"/>
      <c r="VPQ111" s="17"/>
      <c r="VPR111" s="17"/>
      <c r="VPS111" s="17"/>
      <c r="VPT111" s="17"/>
      <c r="VPU111" s="17"/>
      <c r="VPV111" s="17"/>
      <c r="VPW111" s="17"/>
      <c r="VPX111" s="17"/>
      <c r="VPY111" s="17"/>
      <c r="VPZ111" s="17"/>
      <c r="VQA111" s="17"/>
      <c r="VQB111" s="17"/>
      <c r="VQC111" s="17"/>
      <c r="VQD111" s="17"/>
      <c r="VQE111" s="17"/>
      <c r="VQF111" s="17"/>
      <c r="VQG111" s="17"/>
      <c r="VQH111" s="17"/>
      <c r="VQI111" s="17"/>
      <c r="VQJ111" s="17"/>
      <c r="VQK111" s="17"/>
      <c r="VQL111" s="17"/>
      <c r="VQM111" s="17"/>
      <c r="VQN111" s="17"/>
      <c r="VQO111" s="17"/>
      <c r="VQP111" s="17"/>
      <c r="VQQ111" s="17"/>
      <c r="VQR111" s="17"/>
      <c r="VQS111" s="17"/>
      <c r="VQT111" s="17"/>
      <c r="VQU111" s="17"/>
      <c r="VQV111" s="17"/>
      <c r="VQW111" s="17"/>
      <c r="VQX111" s="17"/>
      <c r="VQY111" s="17"/>
      <c r="VQZ111" s="17"/>
      <c r="VRA111" s="17"/>
      <c r="VRB111" s="17"/>
      <c r="VRC111" s="17"/>
      <c r="VRD111" s="17"/>
      <c r="VRE111" s="17"/>
      <c r="VRF111" s="17"/>
      <c r="VRG111" s="17"/>
      <c r="VRH111" s="17"/>
      <c r="VRI111" s="17"/>
      <c r="VRJ111" s="17"/>
      <c r="VRK111" s="17"/>
      <c r="VRL111" s="17"/>
      <c r="VRM111" s="17"/>
      <c r="VRN111" s="17"/>
      <c r="VRO111" s="17"/>
      <c r="VRP111" s="17"/>
      <c r="VRQ111" s="17"/>
      <c r="VRR111" s="17"/>
      <c r="VRS111" s="17"/>
      <c r="VRT111" s="17"/>
      <c r="VRU111" s="17"/>
      <c r="VRV111" s="17"/>
      <c r="VRW111" s="17"/>
      <c r="VRX111" s="17"/>
      <c r="VRY111" s="17"/>
      <c r="VRZ111" s="17"/>
      <c r="VSA111" s="17"/>
      <c r="VSB111" s="17"/>
      <c r="VSC111" s="17"/>
      <c r="VSD111" s="17"/>
      <c r="VSE111" s="17"/>
      <c r="VSF111" s="17"/>
      <c r="VSG111" s="17"/>
      <c r="VSH111" s="17"/>
      <c r="VSI111" s="17"/>
      <c r="VSJ111" s="17"/>
      <c r="VSK111" s="17"/>
      <c r="VSL111" s="17"/>
      <c r="VSM111" s="17"/>
      <c r="VSN111" s="17"/>
      <c r="VSO111" s="17"/>
      <c r="VSP111" s="17"/>
      <c r="VSQ111" s="17"/>
      <c r="VSR111" s="17"/>
      <c r="VSS111" s="17"/>
      <c r="VST111" s="17"/>
      <c r="VSU111" s="17"/>
      <c r="VSV111" s="17"/>
      <c r="VSW111" s="17"/>
      <c r="VSX111" s="17"/>
      <c r="VSY111" s="17"/>
      <c r="VSZ111" s="17"/>
      <c r="VTA111" s="17"/>
      <c r="VTB111" s="17"/>
      <c r="VTC111" s="17"/>
      <c r="VTD111" s="17"/>
      <c r="VTE111" s="17"/>
      <c r="VTF111" s="17"/>
      <c r="VTG111" s="17"/>
      <c r="VTH111" s="17"/>
      <c r="VTI111" s="17"/>
      <c r="VTJ111" s="17"/>
      <c r="VTK111" s="17"/>
      <c r="VTL111" s="17"/>
      <c r="VTM111" s="17"/>
      <c r="VTN111" s="17"/>
      <c r="VTO111" s="17"/>
      <c r="VTP111" s="17"/>
      <c r="VTQ111" s="17"/>
      <c r="VTR111" s="17"/>
      <c r="VTS111" s="17"/>
      <c r="VTT111" s="17"/>
      <c r="VTU111" s="17"/>
      <c r="VTV111" s="17"/>
      <c r="VTW111" s="17"/>
      <c r="VTX111" s="17"/>
      <c r="VTY111" s="17"/>
      <c r="VTZ111" s="17"/>
      <c r="VUA111" s="17"/>
      <c r="VUB111" s="17"/>
      <c r="VUC111" s="17"/>
      <c r="VUD111" s="17"/>
      <c r="VUE111" s="17"/>
      <c r="VUF111" s="17"/>
      <c r="VUG111" s="17"/>
      <c r="VUH111" s="17"/>
      <c r="VUI111" s="17"/>
      <c r="VUJ111" s="17"/>
      <c r="VUK111" s="17"/>
      <c r="VUL111" s="17"/>
      <c r="VUM111" s="17"/>
      <c r="VUN111" s="17"/>
      <c r="VUO111" s="17"/>
      <c r="VUP111" s="17"/>
      <c r="VUQ111" s="17"/>
      <c r="VUR111" s="17"/>
      <c r="VUS111" s="17"/>
      <c r="VUT111" s="17"/>
      <c r="VUU111" s="17"/>
      <c r="VUV111" s="17"/>
      <c r="VUW111" s="17"/>
      <c r="VUX111" s="17"/>
      <c r="VUY111" s="17"/>
      <c r="VUZ111" s="17"/>
      <c r="VVA111" s="17"/>
      <c r="VVB111" s="17"/>
      <c r="VVC111" s="17"/>
      <c r="VVD111" s="17"/>
      <c r="VVE111" s="17"/>
      <c r="VVF111" s="17"/>
      <c r="VVG111" s="17"/>
      <c r="VVH111" s="17"/>
      <c r="VVI111" s="17"/>
      <c r="VVJ111" s="17"/>
      <c r="VVK111" s="17"/>
      <c r="VVL111" s="17"/>
      <c r="VVM111" s="17"/>
      <c r="VVN111" s="17"/>
      <c r="VVO111" s="17"/>
      <c r="VVP111" s="17"/>
      <c r="VVQ111" s="17"/>
      <c r="VVR111" s="17"/>
      <c r="VVS111" s="17"/>
      <c r="VVT111" s="17"/>
      <c r="VVU111" s="17"/>
      <c r="VVV111" s="17"/>
      <c r="VVW111" s="17"/>
      <c r="VVX111" s="17"/>
      <c r="VVY111" s="17"/>
      <c r="VVZ111" s="17"/>
      <c r="VWA111" s="17"/>
      <c r="VWB111" s="17"/>
      <c r="VWC111" s="17"/>
      <c r="VWD111" s="17"/>
      <c r="VWE111" s="17"/>
      <c r="VWF111" s="17"/>
      <c r="VWG111" s="17"/>
      <c r="VWH111" s="17"/>
      <c r="VWI111" s="17"/>
      <c r="VWJ111" s="17"/>
      <c r="VWK111" s="17"/>
      <c r="VWL111" s="17"/>
      <c r="VWM111" s="17"/>
      <c r="VWN111" s="17"/>
      <c r="VWO111" s="17"/>
      <c r="VWP111" s="17"/>
      <c r="VWQ111" s="17"/>
      <c r="VWR111" s="17"/>
      <c r="VWS111" s="17"/>
      <c r="VWT111" s="17"/>
      <c r="VWU111" s="17"/>
      <c r="VWV111" s="17"/>
      <c r="VWW111" s="17"/>
      <c r="VWX111" s="17"/>
      <c r="VWY111" s="17"/>
      <c r="VWZ111" s="17"/>
      <c r="VXA111" s="17"/>
      <c r="VXB111" s="17"/>
      <c r="VXC111" s="17"/>
      <c r="VXD111" s="17"/>
      <c r="VXE111" s="17"/>
      <c r="VXF111" s="17"/>
      <c r="VXG111" s="17"/>
      <c r="VXH111" s="17"/>
      <c r="VXI111" s="17"/>
      <c r="VXJ111" s="17"/>
      <c r="VXK111" s="17"/>
      <c r="VXL111" s="17"/>
      <c r="VXM111" s="17"/>
      <c r="VXN111" s="17"/>
      <c r="VXO111" s="17"/>
      <c r="VXP111" s="17"/>
      <c r="VXQ111" s="17"/>
      <c r="VXR111" s="17"/>
      <c r="VXS111" s="17"/>
      <c r="VXT111" s="17"/>
      <c r="VXU111" s="17"/>
      <c r="VXV111" s="17"/>
      <c r="VXW111" s="17"/>
      <c r="VXX111" s="17"/>
      <c r="VXY111" s="17"/>
      <c r="VXZ111" s="17"/>
      <c r="VYA111" s="17"/>
      <c r="VYB111" s="17"/>
      <c r="VYC111" s="17"/>
      <c r="VYD111" s="17"/>
      <c r="VYE111" s="17"/>
      <c r="VYF111" s="17"/>
      <c r="VYG111" s="17"/>
      <c r="VYH111" s="17"/>
      <c r="VYI111" s="17"/>
      <c r="VYJ111" s="17"/>
      <c r="VYK111" s="17"/>
      <c r="VYL111" s="17"/>
      <c r="VYM111" s="17"/>
      <c r="VYN111" s="17"/>
      <c r="VYO111" s="17"/>
      <c r="VYP111" s="17"/>
      <c r="VYQ111" s="17"/>
      <c r="VYR111" s="17"/>
      <c r="VYS111" s="17"/>
      <c r="VYT111" s="17"/>
      <c r="VYU111" s="17"/>
      <c r="VYV111" s="17"/>
      <c r="VYW111" s="17"/>
      <c r="VYX111" s="17"/>
      <c r="VYY111" s="17"/>
      <c r="VYZ111" s="17"/>
      <c r="VZA111" s="17"/>
      <c r="VZB111" s="17"/>
      <c r="VZC111" s="17"/>
      <c r="VZD111" s="17"/>
      <c r="VZE111" s="17"/>
      <c r="VZF111" s="17"/>
      <c r="VZG111" s="17"/>
      <c r="VZH111" s="17"/>
      <c r="VZI111" s="17"/>
      <c r="VZJ111" s="17"/>
      <c r="VZK111" s="17"/>
      <c r="VZL111" s="17"/>
      <c r="VZM111" s="17"/>
      <c r="VZN111" s="17"/>
      <c r="VZO111" s="17"/>
      <c r="VZP111" s="17"/>
      <c r="VZQ111" s="17"/>
      <c r="VZR111" s="17"/>
      <c r="VZS111" s="17"/>
      <c r="VZT111" s="17"/>
      <c r="VZU111" s="17"/>
      <c r="VZV111" s="17"/>
      <c r="VZW111" s="17"/>
      <c r="VZX111" s="17"/>
      <c r="VZY111" s="17"/>
      <c r="VZZ111" s="17"/>
      <c r="WAA111" s="17"/>
      <c r="WAB111" s="17"/>
      <c r="WAC111" s="17"/>
      <c r="WAD111" s="17"/>
      <c r="WAE111" s="17"/>
      <c r="WAF111" s="17"/>
      <c r="WAG111" s="17"/>
      <c r="WAH111" s="17"/>
      <c r="WAI111" s="17"/>
      <c r="WAJ111" s="17"/>
      <c r="WAK111" s="17"/>
      <c r="WAL111" s="17"/>
      <c r="WAM111" s="17"/>
      <c r="WAN111" s="17"/>
      <c r="WAO111" s="17"/>
      <c r="WAP111" s="17"/>
      <c r="WAQ111" s="17"/>
      <c r="WAR111" s="17"/>
      <c r="WAS111" s="17"/>
      <c r="WAT111" s="17"/>
      <c r="WAU111" s="17"/>
      <c r="WAV111" s="17"/>
      <c r="WAW111" s="17"/>
      <c r="WAX111" s="17"/>
      <c r="WAY111" s="17"/>
      <c r="WAZ111" s="17"/>
      <c r="WBA111" s="17"/>
      <c r="WBB111" s="17"/>
      <c r="WBC111" s="17"/>
      <c r="WBD111" s="17"/>
      <c r="WBE111" s="17"/>
      <c r="WBF111" s="17"/>
      <c r="WBG111" s="17"/>
      <c r="WBH111" s="17"/>
      <c r="WBI111" s="17"/>
      <c r="WBJ111" s="17"/>
      <c r="WBK111" s="17"/>
      <c r="WBL111" s="17"/>
      <c r="WBM111" s="17"/>
      <c r="WBN111" s="17"/>
      <c r="WBO111" s="17"/>
      <c r="WBP111" s="17"/>
      <c r="WBQ111" s="17"/>
      <c r="WBR111" s="17"/>
      <c r="WBS111" s="17"/>
      <c r="WBT111" s="17"/>
      <c r="WBU111" s="17"/>
      <c r="WBV111" s="17"/>
      <c r="WBW111" s="17"/>
      <c r="WBX111" s="17"/>
      <c r="WBY111" s="17"/>
      <c r="WBZ111" s="17"/>
      <c r="WCA111" s="17"/>
      <c r="WCB111" s="17"/>
      <c r="WCC111" s="17"/>
      <c r="WCD111" s="17"/>
      <c r="WCE111" s="17"/>
      <c r="WCF111" s="17"/>
      <c r="WCG111" s="17"/>
      <c r="WCH111" s="17"/>
      <c r="WCI111" s="17"/>
      <c r="WCJ111" s="17"/>
      <c r="WCK111" s="17"/>
      <c r="WCL111" s="17"/>
      <c r="WCM111" s="17"/>
      <c r="WCN111" s="17"/>
      <c r="WCO111" s="17"/>
      <c r="WCP111" s="17"/>
      <c r="WCQ111" s="17"/>
      <c r="WCR111" s="17"/>
      <c r="WCS111" s="17"/>
      <c r="WCT111" s="17"/>
      <c r="WCU111" s="17"/>
      <c r="WCV111" s="17"/>
      <c r="WCW111" s="17"/>
      <c r="WCX111" s="17"/>
      <c r="WCY111" s="17"/>
      <c r="WCZ111" s="17"/>
      <c r="WDA111" s="17"/>
      <c r="WDB111" s="17"/>
      <c r="WDC111" s="17"/>
      <c r="WDD111" s="17"/>
      <c r="WDE111" s="17"/>
      <c r="WDF111" s="17"/>
      <c r="WDG111" s="17"/>
      <c r="WDH111" s="17"/>
      <c r="WDI111" s="17"/>
      <c r="WDJ111" s="17"/>
      <c r="WDK111" s="17"/>
      <c r="WDL111" s="17"/>
      <c r="WDM111" s="17"/>
      <c r="WDN111" s="17"/>
      <c r="WDO111" s="17"/>
      <c r="WDP111" s="17"/>
      <c r="WDQ111" s="17"/>
      <c r="WDR111" s="17"/>
      <c r="WDS111" s="17"/>
      <c r="WDT111" s="17"/>
      <c r="WDU111" s="17"/>
      <c r="WDV111" s="17"/>
      <c r="WDW111" s="17"/>
      <c r="WDX111" s="17"/>
      <c r="WDY111" s="17"/>
      <c r="WDZ111" s="17"/>
      <c r="WEA111" s="17"/>
      <c r="WEB111" s="17"/>
      <c r="WEC111" s="17"/>
      <c r="WED111" s="17"/>
      <c r="WEE111" s="17"/>
      <c r="WEF111" s="17"/>
      <c r="WEG111" s="17"/>
      <c r="WEH111" s="17"/>
      <c r="WEI111" s="17"/>
      <c r="WEJ111" s="17"/>
      <c r="WEK111" s="17"/>
      <c r="WEL111" s="17"/>
      <c r="WEM111" s="17"/>
      <c r="WEN111" s="17"/>
      <c r="WEO111" s="17"/>
      <c r="WEP111" s="17"/>
      <c r="WEQ111" s="17"/>
      <c r="WER111" s="17"/>
      <c r="WES111" s="17"/>
      <c r="WET111" s="17"/>
      <c r="WEU111" s="17"/>
      <c r="WEV111" s="17"/>
      <c r="WEW111" s="17"/>
      <c r="WEX111" s="17"/>
      <c r="WEY111" s="17"/>
      <c r="WEZ111" s="17"/>
      <c r="WFA111" s="17"/>
      <c r="WFB111" s="17"/>
      <c r="WFC111" s="17"/>
      <c r="WFD111" s="17"/>
      <c r="WFE111" s="17"/>
      <c r="WFF111" s="17"/>
      <c r="WFG111" s="17"/>
      <c r="WFH111" s="17"/>
      <c r="WFI111" s="17"/>
      <c r="WFJ111" s="17"/>
      <c r="WFK111" s="17"/>
      <c r="WFL111" s="17"/>
      <c r="WFM111" s="17"/>
      <c r="WFN111" s="17"/>
      <c r="WFO111" s="17"/>
      <c r="WFP111" s="17"/>
      <c r="WFQ111" s="17"/>
      <c r="WFR111" s="17"/>
      <c r="WFS111" s="17"/>
      <c r="WFT111" s="17"/>
      <c r="WFU111" s="17"/>
      <c r="WFV111" s="17"/>
      <c r="WFW111" s="17"/>
      <c r="WFX111" s="17"/>
      <c r="WFY111" s="17"/>
      <c r="WFZ111" s="17"/>
      <c r="WGA111" s="17"/>
      <c r="WGB111" s="17"/>
      <c r="WGC111" s="17"/>
      <c r="WGD111" s="17"/>
      <c r="WGE111" s="17"/>
      <c r="WGF111" s="17"/>
      <c r="WGG111" s="17"/>
      <c r="WGH111" s="17"/>
      <c r="WGI111" s="17"/>
      <c r="WGJ111" s="17"/>
      <c r="WGK111" s="17"/>
      <c r="WGL111" s="17"/>
      <c r="WGM111" s="17"/>
      <c r="WGN111" s="17"/>
      <c r="WGO111" s="17"/>
      <c r="WGP111" s="17"/>
      <c r="WGQ111" s="17"/>
      <c r="WGR111" s="17"/>
      <c r="WGS111" s="17"/>
      <c r="WGT111" s="17"/>
      <c r="WGU111" s="17"/>
      <c r="WGV111" s="17"/>
      <c r="WGW111" s="17"/>
      <c r="WGX111" s="17"/>
      <c r="WGY111" s="17"/>
      <c r="WGZ111" s="17"/>
      <c r="WHA111" s="17"/>
      <c r="WHB111" s="17"/>
      <c r="WHC111" s="17"/>
      <c r="WHD111" s="17"/>
      <c r="WHE111" s="17"/>
      <c r="WHF111" s="17"/>
      <c r="WHG111" s="17"/>
      <c r="WHH111" s="17"/>
      <c r="WHI111" s="17"/>
      <c r="WHJ111" s="17"/>
      <c r="WHK111" s="17"/>
      <c r="WHL111" s="17"/>
      <c r="WHM111" s="17"/>
      <c r="WHN111" s="17"/>
      <c r="WHO111" s="17"/>
      <c r="WHP111" s="17"/>
      <c r="WHQ111" s="17"/>
      <c r="WHR111" s="17"/>
      <c r="WHS111" s="17"/>
      <c r="WHT111" s="17"/>
      <c r="WHU111" s="17"/>
      <c r="WHV111" s="17"/>
      <c r="WHW111" s="17"/>
      <c r="WHX111" s="17"/>
      <c r="WHY111" s="17"/>
      <c r="WHZ111" s="17"/>
      <c r="WIA111" s="17"/>
      <c r="WIB111" s="17"/>
      <c r="WIC111" s="17"/>
      <c r="WID111" s="17"/>
      <c r="WIE111" s="17"/>
      <c r="WIF111" s="17"/>
      <c r="WIG111" s="17"/>
      <c r="WIH111" s="17"/>
      <c r="WII111" s="17"/>
      <c r="WIJ111" s="17"/>
      <c r="WIK111" s="17"/>
      <c r="WIL111" s="17"/>
      <c r="WIM111" s="17"/>
      <c r="WIN111" s="17"/>
      <c r="WIO111" s="17"/>
      <c r="WIP111" s="17"/>
      <c r="WIQ111" s="17"/>
      <c r="WIR111" s="17"/>
      <c r="WIS111" s="17"/>
      <c r="WIT111" s="17"/>
      <c r="WIU111" s="17"/>
      <c r="WIV111" s="17"/>
      <c r="WIW111" s="17"/>
      <c r="WIX111" s="17"/>
      <c r="WIY111" s="17"/>
      <c r="WIZ111" s="17"/>
      <c r="WJA111" s="17"/>
      <c r="WJB111" s="17"/>
      <c r="WJC111" s="17"/>
      <c r="WJD111" s="17"/>
      <c r="WJE111" s="17"/>
      <c r="WJF111" s="17"/>
      <c r="WJG111" s="17"/>
      <c r="WJH111" s="17"/>
      <c r="WJI111" s="17"/>
      <c r="WJJ111" s="17"/>
      <c r="WJK111" s="17"/>
      <c r="WJL111" s="17"/>
      <c r="WJM111" s="17"/>
      <c r="WJN111" s="17"/>
      <c r="WJO111" s="17"/>
      <c r="WJP111" s="17"/>
      <c r="WJQ111" s="17"/>
      <c r="WJR111" s="17"/>
      <c r="WJS111" s="17"/>
      <c r="WJT111" s="17"/>
      <c r="WJU111" s="17"/>
      <c r="WJV111" s="17"/>
      <c r="WJW111" s="17"/>
      <c r="WJX111" s="17"/>
      <c r="WJY111" s="17"/>
      <c r="WJZ111" s="17"/>
      <c r="WKA111" s="17"/>
      <c r="WKB111" s="17"/>
      <c r="WKC111" s="17"/>
      <c r="WKD111" s="17"/>
      <c r="WKE111" s="17"/>
      <c r="WKF111" s="17"/>
      <c r="WKG111" s="17"/>
      <c r="WKH111" s="17"/>
      <c r="WKI111" s="17"/>
      <c r="WKJ111" s="17"/>
      <c r="WKK111" s="17"/>
      <c r="WKL111" s="17"/>
      <c r="WKM111" s="17"/>
      <c r="WKN111" s="17"/>
      <c r="WKO111" s="17"/>
      <c r="WKP111" s="17"/>
      <c r="WKQ111" s="17"/>
      <c r="WKR111" s="17"/>
      <c r="WKS111" s="17"/>
      <c r="WKT111" s="17"/>
      <c r="WKU111" s="17"/>
      <c r="WKV111" s="17"/>
      <c r="WKW111" s="17"/>
      <c r="WKX111" s="17"/>
      <c r="WKY111" s="17"/>
      <c r="WKZ111" s="17"/>
      <c r="WLA111" s="17"/>
      <c r="WLB111" s="17"/>
      <c r="WLC111" s="17"/>
      <c r="WLD111" s="17"/>
      <c r="WLE111" s="17"/>
      <c r="WLF111" s="17"/>
      <c r="WLG111" s="17"/>
      <c r="WLH111" s="17"/>
      <c r="WLI111" s="17"/>
      <c r="WLJ111" s="17"/>
      <c r="WLK111" s="17"/>
      <c r="WLL111" s="17"/>
      <c r="WLM111" s="17"/>
      <c r="WLN111" s="17"/>
      <c r="WLO111" s="17"/>
      <c r="WLP111" s="17"/>
      <c r="WLQ111" s="17"/>
      <c r="WLR111" s="17"/>
      <c r="WLS111" s="17"/>
      <c r="WLT111" s="17"/>
      <c r="WLU111" s="17"/>
      <c r="WLV111" s="17"/>
      <c r="WLW111" s="17"/>
      <c r="WLX111" s="17"/>
      <c r="WLY111" s="17"/>
      <c r="WLZ111" s="17"/>
      <c r="WMA111" s="17"/>
      <c r="WMB111" s="17"/>
      <c r="WMC111" s="17"/>
      <c r="WMD111" s="17"/>
      <c r="WME111" s="17"/>
      <c r="WMF111" s="17"/>
      <c r="WMG111" s="17"/>
      <c r="WMH111" s="17"/>
      <c r="WMI111" s="17"/>
      <c r="WMJ111" s="17"/>
      <c r="WMK111" s="17"/>
      <c r="WML111" s="17"/>
      <c r="WMM111" s="17"/>
      <c r="WMN111" s="17"/>
      <c r="WMO111" s="17"/>
      <c r="WMP111" s="17"/>
      <c r="WMQ111" s="17"/>
      <c r="WMR111" s="17"/>
      <c r="WMS111" s="17"/>
      <c r="WMT111" s="17"/>
      <c r="WMU111" s="17"/>
      <c r="WMV111" s="17"/>
      <c r="WMW111" s="17"/>
      <c r="WMX111" s="17"/>
      <c r="WMY111" s="17"/>
      <c r="WMZ111" s="17"/>
      <c r="WNA111" s="17"/>
      <c r="WNB111" s="17"/>
      <c r="WNC111" s="17"/>
      <c r="WND111" s="17"/>
      <c r="WNE111" s="17"/>
      <c r="WNF111" s="17"/>
      <c r="WNG111" s="17"/>
      <c r="WNH111" s="17"/>
      <c r="WNI111" s="17"/>
      <c r="WNJ111" s="17"/>
      <c r="WNK111" s="17"/>
      <c r="WNL111" s="17"/>
      <c r="WNM111" s="17"/>
      <c r="WNN111" s="17"/>
      <c r="WNO111" s="17"/>
      <c r="WNP111" s="17"/>
      <c r="WNQ111" s="17"/>
      <c r="WNR111" s="17"/>
      <c r="WNS111" s="17"/>
      <c r="WNT111" s="17"/>
      <c r="WNU111" s="17"/>
      <c r="WNV111" s="17"/>
      <c r="WNW111" s="17"/>
      <c r="WNX111" s="17"/>
      <c r="WNY111" s="17"/>
      <c r="WNZ111" s="17"/>
      <c r="WOA111" s="17"/>
      <c r="WOB111" s="17"/>
      <c r="WOC111" s="17"/>
      <c r="WOD111" s="17"/>
      <c r="WOE111" s="17"/>
      <c r="WOF111" s="17"/>
      <c r="WOG111" s="17"/>
      <c r="WOH111" s="17"/>
      <c r="WOI111" s="17"/>
      <c r="WOJ111" s="17"/>
      <c r="WOK111" s="17"/>
      <c r="WOL111" s="17"/>
      <c r="WOM111" s="17"/>
      <c r="WON111" s="17"/>
      <c r="WOO111" s="17"/>
      <c r="WOP111" s="17"/>
      <c r="WOQ111" s="17"/>
      <c r="WOR111" s="17"/>
      <c r="WOS111" s="17"/>
      <c r="WOT111" s="17"/>
      <c r="WOU111" s="17"/>
      <c r="WOV111" s="17"/>
      <c r="WOW111" s="17"/>
      <c r="WOX111" s="17"/>
      <c r="WOY111" s="17"/>
      <c r="WOZ111" s="17"/>
      <c r="WPA111" s="17"/>
      <c r="WPB111" s="17"/>
      <c r="WPC111" s="17"/>
      <c r="WPD111" s="17"/>
      <c r="WPE111" s="17"/>
      <c r="WPF111" s="17"/>
      <c r="WPG111" s="17"/>
      <c r="WPH111" s="17"/>
      <c r="WPI111" s="17"/>
      <c r="WPJ111" s="17"/>
      <c r="WPK111" s="17"/>
      <c r="WPL111" s="17"/>
      <c r="WPM111" s="17"/>
      <c r="WPN111" s="17"/>
      <c r="WPO111" s="17"/>
      <c r="WPP111" s="17"/>
      <c r="WPQ111" s="17"/>
      <c r="WPR111" s="17"/>
      <c r="WPS111" s="17"/>
      <c r="WPT111" s="17"/>
      <c r="WPU111" s="17"/>
      <c r="WPV111" s="17"/>
      <c r="WPW111" s="17"/>
      <c r="WPX111" s="17"/>
      <c r="WPY111" s="17"/>
      <c r="WPZ111" s="17"/>
      <c r="WQA111" s="17"/>
      <c r="WQB111" s="17"/>
      <c r="WQC111" s="17"/>
      <c r="WQD111" s="17"/>
      <c r="WQE111" s="17"/>
      <c r="WQF111" s="17"/>
      <c r="WQG111" s="17"/>
      <c r="WQH111" s="17"/>
      <c r="WQI111" s="17"/>
      <c r="WQJ111" s="17"/>
      <c r="WQK111" s="17"/>
      <c r="WQL111" s="17"/>
      <c r="WQM111" s="17"/>
      <c r="WQN111" s="17"/>
      <c r="WQO111" s="17"/>
      <c r="WQP111" s="17"/>
      <c r="WQQ111" s="17"/>
      <c r="WQR111" s="17"/>
      <c r="WQS111" s="17"/>
      <c r="WQT111" s="17"/>
      <c r="WQU111" s="17"/>
      <c r="WQV111" s="17"/>
      <c r="WQW111" s="17"/>
      <c r="WQX111" s="17"/>
      <c r="WQY111" s="17"/>
      <c r="WQZ111" s="17"/>
      <c r="WRA111" s="17"/>
      <c r="WRB111" s="17"/>
      <c r="WRC111" s="17"/>
      <c r="WRD111" s="17"/>
      <c r="WRE111" s="17"/>
      <c r="WRF111" s="17"/>
      <c r="WRG111" s="17"/>
      <c r="WRH111" s="17"/>
      <c r="WRI111" s="17"/>
      <c r="WRJ111" s="17"/>
      <c r="WRK111" s="17"/>
      <c r="WRL111" s="17"/>
      <c r="WRM111" s="17"/>
      <c r="WRN111" s="17"/>
      <c r="WRO111" s="17"/>
      <c r="WRP111" s="17"/>
      <c r="WRQ111" s="17"/>
      <c r="WRR111" s="17"/>
      <c r="WRS111" s="17"/>
      <c r="WRT111" s="17"/>
      <c r="WRU111" s="17"/>
      <c r="WRV111" s="17"/>
      <c r="WRW111" s="17"/>
      <c r="WRX111" s="17"/>
      <c r="WRY111" s="17"/>
      <c r="WRZ111" s="17"/>
      <c r="WSA111" s="17"/>
      <c r="WSB111" s="17"/>
      <c r="WSC111" s="17"/>
      <c r="WSD111" s="17"/>
      <c r="WSE111" s="17"/>
      <c r="WSF111" s="17"/>
      <c r="WSG111" s="17"/>
      <c r="WSH111" s="17"/>
      <c r="WSI111" s="17"/>
      <c r="WSJ111" s="17"/>
      <c r="WSK111" s="17"/>
      <c r="WSL111" s="17"/>
      <c r="WSM111" s="17"/>
      <c r="WSN111" s="17"/>
      <c r="WSO111" s="17"/>
      <c r="WSP111" s="17"/>
      <c r="WSQ111" s="17"/>
      <c r="WSR111" s="17"/>
      <c r="WSS111" s="17"/>
      <c r="WST111" s="17"/>
      <c r="WSU111" s="17"/>
      <c r="WSV111" s="17"/>
      <c r="WSW111" s="17"/>
      <c r="WSX111" s="17"/>
      <c r="WSY111" s="17"/>
      <c r="WSZ111" s="17"/>
      <c r="WTA111" s="17"/>
      <c r="WTB111" s="17"/>
      <c r="WTC111" s="17"/>
      <c r="WTD111" s="17"/>
      <c r="WTE111" s="17"/>
      <c r="WTF111" s="17"/>
      <c r="WTG111" s="17"/>
      <c r="WTH111" s="17"/>
      <c r="WTI111" s="17"/>
      <c r="WTJ111" s="17"/>
      <c r="WTK111" s="17"/>
      <c r="WTL111" s="17"/>
      <c r="WTM111" s="17"/>
      <c r="WTN111" s="17"/>
      <c r="WTO111" s="17"/>
      <c r="WTP111" s="17"/>
      <c r="WTQ111" s="17"/>
      <c r="WTR111" s="17"/>
      <c r="WTS111" s="17"/>
      <c r="WTT111" s="17"/>
      <c r="WTU111" s="17"/>
      <c r="WTV111" s="17"/>
      <c r="WTW111" s="17"/>
      <c r="WTX111" s="17"/>
      <c r="WTY111" s="17"/>
      <c r="WTZ111" s="17"/>
      <c r="WUA111" s="17"/>
      <c r="WUB111" s="17"/>
      <c r="WUC111" s="17"/>
      <c r="WUD111" s="17"/>
      <c r="WUE111" s="17"/>
      <c r="WUF111" s="17"/>
      <c r="WUG111" s="17"/>
      <c r="WUH111" s="17"/>
      <c r="WUI111" s="17"/>
      <c r="WUJ111" s="17"/>
      <c r="WUK111" s="17"/>
      <c r="WUL111" s="17"/>
      <c r="WUM111" s="17"/>
      <c r="WUN111" s="17"/>
      <c r="WUO111" s="17"/>
      <c r="WUP111" s="17"/>
      <c r="WUQ111" s="17"/>
      <c r="WUR111" s="17"/>
      <c r="WUS111" s="17"/>
      <c r="WUT111" s="17"/>
      <c r="WUU111" s="17"/>
      <c r="WUV111" s="17"/>
      <c r="WUW111" s="17"/>
      <c r="WUX111" s="17"/>
      <c r="WUY111" s="17"/>
      <c r="WUZ111" s="17"/>
      <c r="WVA111" s="17"/>
      <c r="WVB111" s="17"/>
      <c r="WVC111" s="17"/>
      <c r="WVD111" s="17"/>
      <c r="WVE111" s="17"/>
      <c r="WVF111" s="17"/>
      <c r="WVG111" s="17"/>
      <c r="WVH111" s="17"/>
      <c r="WVI111" s="17"/>
      <c r="WVJ111" s="17"/>
      <c r="WVK111" s="17"/>
      <c r="WVL111" s="17"/>
      <c r="WVM111" s="17"/>
      <c r="WVN111" s="17"/>
      <c r="WVO111" s="17"/>
      <c r="WVP111" s="17"/>
      <c r="WVQ111" s="17"/>
      <c r="WVR111" s="17"/>
      <c r="WVS111" s="17"/>
      <c r="WVT111" s="17"/>
      <c r="WVU111" s="17"/>
      <c r="WVV111" s="17"/>
      <c r="WVW111" s="17"/>
      <c r="WVX111" s="17"/>
      <c r="WVY111" s="17"/>
      <c r="WVZ111" s="17"/>
      <c r="WWA111" s="17"/>
      <c r="WWB111" s="17"/>
      <c r="WWC111" s="17"/>
      <c r="WWD111" s="17"/>
      <c r="WWE111" s="17"/>
      <c r="WWF111" s="17"/>
      <c r="WWG111" s="17"/>
      <c r="WWH111" s="17"/>
      <c r="WWI111" s="17"/>
      <c r="WWJ111" s="17"/>
      <c r="WWK111" s="17"/>
      <c r="WWL111" s="17"/>
      <c r="WWM111" s="17"/>
      <c r="WWN111" s="17"/>
      <c r="WWO111" s="17"/>
      <c r="WWP111" s="17"/>
      <c r="WWQ111" s="17"/>
      <c r="WWR111" s="17"/>
      <c r="WWS111" s="17"/>
      <c r="WWT111" s="17"/>
      <c r="WWU111" s="17"/>
      <c r="WWV111" s="17"/>
      <c r="WWW111" s="17"/>
      <c r="WWX111" s="17"/>
      <c r="WWY111" s="17"/>
      <c r="WWZ111" s="17"/>
      <c r="WXA111" s="17"/>
      <c r="WXB111" s="17"/>
      <c r="WXC111" s="17"/>
      <c r="WXD111" s="17"/>
      <c r="WXE111" s="17"/>
      <c r="WXF111" s="17"/>
      <c r="WXG111" s="17"/>
      <c r="WXH111" s="17"/>
      <c r="WXI111" s="17"/>
      <c r="WXJ111" s="17"/>
      <c r="WXK111" s="17"/>
      <c r="WXL111" s="17"/>
      <c r="WXM111" s="17"/>
      <c r="WXN111" s="17"/>
      <c r="WXO111" s="17"/>
      <c r="WXP111" s="17"/>
      <c r="WXQ111" s="17"/>
      <c r="WXR111" s="17"/>
      <c r="WXS111" s="17"/>
      <c r="WXT111" s="17"/>
      <c r="WXU111" s="17"/>
      <c r="WXV111" s="17"/>
      <c r="WXW111" s="17"/>
      <c r="WXX111" s="17"/>
      <c r="WXY111" s="17"/>
      <c r="WXZ111" s="17"/>
      <c r="WYA111" s="17"/>
      <c r="WYB111" s="17"/>
      <c r="WYC111" s="17"/>
      <c r="WYD111" s="17"/>
      <c r="WYE111" s="17"/>
      <c r="WYF111" s="17"/>
      <c r="WYG111" s="17"/>
      <c r="WYH111" s="17"/>
      <c r="WYI111" s="17"/>
      <c r="WYJ111" s="17"/>
      <c r="WYK111" s="17"/>
      <c r="WYL111" s="17"/>
      <c r="WYM111" s="17"/>
      <c r="WYN111" s="17"/>
      <c r="WYO111" s="17"/>
      <c r="WYP111" s="17"/>
      <c r="WYQ111" s="17"/>
      <c r="WYR111" s="17"/>
      <c r="WYS111" s="17"/>
      <c r="WYT111" s="17"/>
      <c r="WYU111" s="17"/>
      <c r="WYV111" s="17"/>
      <c r="WYW111" s="17"/>
      <c r="WYX111" s="17"/>
      <c r="WYY111" s="17"/>
      <c r="WYZ111" s="17"/>
      <c r="WZA111" s="17"/>
      <c r="WZB111" s="17"/>
      <c r="WZC111" s="17"/>
      <c r="WZD111" s="17"/>
      <c r="WZE111" s="17"/>
      <c r="WZF111" s="17"/>
      <c r="WZG111" s="17"/>
      <c r="WZH111" s="17"/>
      <c r="WZI111" s="17"/>
      <c r="WZJ111" s="17"/>
      <c r="WZK111" s="17"/>
      <c r="WZL111" s="17"/>
      <c r="WZM111" s="17"/>
      <c r="WZN111" s="17"/>
      <c r="WZO111" s="17"/>
      <c r="WZP111" s="17"/>
      <c r="WZQ111" s="17"/>
      <c r="WZR111" s="17"/>
      <c r="WZS111" s="17"/>
      <c r="WZT111" s="17"/>
      <c r="WZU111" s="17"/>
      <c r="WZV111" s="17"/>
      <c r="WZW111" s="17"/>
      <c r="WZX111" s="17"/>
      <c r="WZY111" s="17"/>
      <c r="WZZ111" s="17"/>
      <c r="XAA111" s="17"/>
      <c r="XAB111" s="17"/>
      <c r="XAC111" s="17"/>
      <c r="XAD111" s="17"/>
      <c r="XAE111" s="17"/>
      <c r="XAF111" s="17"/>
      <c r="XAG111" s="17"/>
      <c r="XAH111" s="17"/>
      <c r="XAI111" s="17"/>
      <c r="XAJ111" s="17"/>
      <c r="XAK111" s="17"/>
      <c r="XAL111" s="17"/>
      <c r="XAM111" s="17"/>
      <c r="XAN111" s="17"/>
      <c r="XAO111" s="17"/>
      <c r="XAP111" s="17"/>
      <c r="XAQ111" s="17"/>
      <c r="XAR111" s="17"/>
      <c r="XAS111" s="17"/>
      <c r="XAT111" s="17"/>
      <c r="XAU111" s="17"/>
      <c r="XAV111" s="17"/>
      <c r="XAW111" s="17"/>
      <c r="XAX111" s="17"/>
      <c r="XAY111" s="17"/>
      <c r="XAZ111" s="17"/>
      <c r="XBA111" s="17"/>
      <c r="XBB111" s="17"/>
      <c r="XBC111" s="17"/>
      <c r="XBD111" s="17"/>
      <c r="XBE111" s="17"/>
      <c r="XBF111" s="17"/>
      <c r="XBG111" s="17"/>
      <c r="XBH111" s="17"/>
      <c r="XBI111" s="17"/>
      <c r="XBJ111" s="17"/>
      <c r="XBK111" s="17"/>
      <c r="XBL111" s="17"/>
      <c r="XBM111" s="17"/>
      <c r="XBN111" s="17"/>
      <c r="XBO111" s="17"/>
      <c r="XBP111" s="17"/>
      <c r="XBQ111" s="17"/>
      <c r="XBR111" s="17"/>
      <c r="XBS111" s="17"/>
      <c r="XBT111" s="17"/>
      <c r="XBU111" s="17"/>
      <c r="XBV111" s="17"/>
      <c r="XBW111" s="17"/>
      <c r="XBX111" s="17"/>
      <c r="XBY111" s="17"/>
      <c r="XBZ111" s="17"/>
      <c r="XCA111" s="17"/>
      <c r="XCB111" s="17"/>
      <c r="XCC111" s="17"/>
      <c r="XCD111" s="17"/>
      <c r="XCE111" s="17"/>
      <c r="XCF111" s="17"/>
      <c r="XCG111" s="17"/>
      <c r="XCH111" s="17"/>
      <c r="XCI111" s="17"/>
      <c r="XCJ111" s="17"/>
      <c r="XCK111" s="17"/>
      <c r="XCL111" s="17"/>
      <c r="XCM111" s="17"/>
      <c r="XCN111" s="17"/>
      <c r="XCO111" s="17"/>
      <c r="XCP111" s="17"/>
      <c r="XCQ111" s="17"/>
      <c r="XCR111" s="17"/>
      <c r="XCS111" s="17"/>
      <c r="XCT111" s="17"/>
      <c r="XCU111" s="17"/>
      <c r="XCV111" s="17"/>
      <c r="XCW111" s="17"/>
      <c r="XCX111" s="17"/>
      <c r="XCY111" s="17"/>
      <c r="XCZ111" s="17"/>
      <c r="XDA111" s="17"/>
      <c r="XDB111" s="17"/>
      <c r="XDC111" s="17"/>
      <c r="XDD111" s="17"/>
      <c r="XDE111" s="17"/>
      <c r="XDF111" s="17"/>
      <c r="XDG111" s="17"/>
      <c r="XDH111" s="17"/>
      <c r="XDI111" s="17"/>
      <c r="XDJ111" s="17"/>
      <c r="XDK111" s="17"/>
      <c r="XDL111" s="17"/>
      <c r="XDM111" s="17"/>
      <c r="XDN111" s="17"/>
      <c r="XDO111" s="17"/>
      <c r="XDP111" s="17"/>
      <c r="XDQ111" s="17"/>
      <c r="XDR111" s="17"/>
      <c r="XDS111" s="17"/>
      <c r="XDT111" s="17"/>
      <c r="XDU111" s="17"/>
      <c r="XDV111" s="17"/>
      <c r="XDW111" s="17"/>
      <c r="XDX111" s="17"/>
      <c r="XDY111" s="17"/>
      <c r="XDZ111" s="17"/>
      <c r="XEA111" s="17"/>
      <c r="XEB111" s="17"/>
      <c r="XEC111" s="17"/>
      <c r="XED111" s="17"/>
      <c r="XEE111" s="17"/>
      <c r="XEF111" s="17"/>
      <c r="XEG111" s="17"/>
      <c r="XEH111" s="17"/>
      <c r="XEI111" s="17"/>
      <c r="XEJ111" s="17"/>
      <c r="XEK111" s="17"/>
      <c r="XEL111" s="17"/>
      <c r="XEM111" s="17"/>
      <c r="XEN111" s="17"/>
      <c r="XEO111" s="17"/>
      <c r="XEP111" s="17"/>
      <c r="XEQ111" s="17"/>
      <c r="XER111" s="17"/>
      <c r="XES111" s="17"/>
      <c r="XET111" s="17"/>
      <c r="XEU111" s="17"/>
      <c r="XEV111" s="17"/>
      <c r="XEW111" s="17"/>
      <c r="XEX111" s="17"/>
      <c r="XEY111" s="10"/>
      <c r="XEZ111" s="10"/>
      <c r="XFA111" s="10"/>
      <c r="XFB111" s="10"/>
      <c r="XFC111" s="94"/>
    </row>
    <row r="112" s="4" customFormat="1" ht="42" customHeight="1" spans="1:16383">
      <c r="A112" s="61"/>
      <c r="B112" s="62"/>
      <c r="C112" s="34" t="s">
        <v>114</v>
      </c>
      <c r="D112" s="35"/>
      <c r="E112" s="67" t="s">
        <v>27</v>
      </c>
      <c r="F112" s="68">
        <v>0</v>
      </c>
      <c r="G112" s="71">
        <v>208</v>
      </c>
      <c r="H112" s="71">
        <f t="shared" si="6"/>
        <v>0</v>
      </c>
      <c r="I112" s="80" t="s">
        <v>115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7"/>
      <c r="IP112" s="17"/>
      <c r="IQ112" s="17"/>
      <c r="IR112" s="17"/>
      <c r="IS112" s="17"/>
      <c r="IT112" s="17"/>
      <c r="IU112" s="17"/>
      <c r="IV112" s="17"/>
      <c r="IW112" s="17"/>
      <c r="IX112" s="17"/>
      <c r="IY112" s="17"/>
      <c r="IZ112" s="17"/>
      <c r="JA112" s="17"/>
      <c r="JB112" s="17"/>
      <c r="JC112" s="17"/>
      <c r="JD112" s="17"/>
      <c r="JE112" s="17"/>
      <c r="JF112" s="17"/>
      <c r="JG112" s="17"/>
      <c r="JH112" s="17"/>
      <c r="JI112" s="17"/>
      <c r="JJ112" s="17"/>
      <c r="JK112" s="17"/>
      <c r="JL112" s="17"/>
      <c r="JM112" s="17"/>
      <c r="JN112" s="17"/>
      <c r="JO112" s="17"/>
      <c r="JP112" s="17"/>
      <c r="JQ112" s="17"/>
      <c r="JR112" s="17"/>
      <c r="JS112" s="17"/>
      <c r="JT112" s="17"/>
      <c r="JU112" s="17"/>
      <c r="JV112" s="17"/>
      <c r="JW112" s="17"/>
      <c r="JX112" s="17"/>
      <c r="JY112" s="17"/>
      <c r="JZ112" s="17"/>
      <c r="KA112" s="17"/>
      <c r="KB112" s="17"/>
      <c r="KC112" s="17"/>
      <c r="KD112" s="17"/>
      <c r="KE112" s="17"/>
      <c r="KF112" s="17"/>
      <c r="KG112" s="17"/>
      <c r="KH112" s="17"/>
      <c r="KI112" s="17"/>
      <c r="KJ112" s="17"/>
      <c r="KK112" s="17"/>
      <c r="KL112" s="17"/>
      <c r="KM112" s="17"/>
      <c r="KN112" s="17"/>
      <c r="KO112" s="17"/>
      <c r="KP112" s="17"/>
      <c r="KQ112" s="17"/>
      <c r="KR112" s="17"/>
      <c r="KS112" s="17"/>
      <c r="KT112" s="17"/>
      <c r="KU112" s="17"/>
      <c r="KV112" s="17"/>
      <c r="KW112" s="17"/>
      <c r="KX112" s="17"/>
      <c r="KY112" s="17"/>
      <c r="KZ112" s="17"/>
      <c r="LA112" s="17"/>
      <c r="LB112" s="17"/>
      <c r="LC112" s="17"/>
      <c r="LD112" s="17"/>
      <c r="LE112" s="17"/>
      <c r="LF112" s="17"/>
      <c r="LG112" s="17"/>
      <c r="LH112" s="17"/>
      <c r="LI112" s="17"/>
      <c r="LJ112" s="17"/>
      <c r="LK112" s="17"/>
      <c r="LL112" s="17"/>
      <c r="LM112" s="17"/>
      <c r="LN112" s="17"/>
      <c r="LO112" s="17"/>
      <c r="LP112" s="17"/>
      <c r="LQ112" s="17"/>
      <c r="LR112" s="17"/>
      <c r="LS112" s="17"/>
      <c r="LT112" s="17"/>
      <c r="LU112" s="17"/>
      <c r="LV112" s="17"/>
      <c r="LW112" s="17"/>
      <c r="LX112" s="17"/>
      <c r="LY112" s="17"/>
      <c r="LZ112" s="17"/>
      <c r="MA112" s="17"/>
      <c r="MB112" s="17"/>
      <c r="MC112" s="17"/>
      <c r="MD112" s="17"/>
      <c r="ME112" s="17"/>
      <c r="MF112" s="17"/>
      <c r="MG112" s="17"/>
      <c r="MH112" s="17"/>
      <c r="MI112" s="17"/>
      <c r="MJ112" s="17"/>
      <c r="MK112" s="17"/>
      <c r="ML112" s="17"/>
      <c r="MM112" s="17"/>
      <c r="MN112" s="17"/>
      <c r="MO112" s="17"/>
      <c r="MP112" s="17"/>
      <c r="MQ112" s="17"/>
      <c r="MR112" s="17"/>
      <c r="MS112" s="17"/>
      <c r="MT112" s="17"/>
      <c r="MU112" s="17"/>
      <c r="MV112" s="17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17"/>
      <c r="PD112" s="17"/>
      <c r="PE112" s="17"/>
      <c r="PF112" s="17"/>
      <c r="PG112" s="17"/>
      <c r="PH112" s="17"/>
      <c r="PI112" s="17"/>
      <c r="PJ112" s="17"/>
      <c r="PK112" s="17"/>
      <c r="PL112" s="17"/>
      <c r="PM112" s="17"/>
      <c r="PN112" s="17"/>
      <c r="PO112" s="17"/>
      <c r="PP112" s="17"/>
      <c r="PQ112" s="17"/>
      <c r="PR112" s="17"/>
      <c r="PS112" s="17"/>
      <c r="PT112" s="17"/>
      <c r="PU112" s="17"/>
      <c r="PV112" s="17"/>
      <c r="PW112" s="17"/>
      <c r="PX112" s="17"/>
      <c r="PY112" s="17"/>
      <c r="PZ112" s="17"/>
      <c r="QA112" s="17"/>
      <c r="QB112" s="17"/>
      <c r="QC112" s="17"/>
      <c r="QD112" s="17"/>
      <c r="QE112" s="17"/>
      <c r="QF112" s="17"/>
      <c r="QG112" s="17"/>
      <c r="QH112" s="17"/>
      <c r="QI112" s="17"/>
      <c r="QJ112" s="17"/>
      <c r="QK112" s="17"/>
      <c r="QL112" s="17"/>
      <c r="QM112" s="17"/>
      <c r="QN112" s="17"/>
      <c r="QO112" s="17"/>
      <c r="QP112" s="17"/>
      <c r="QQ112" s="17"/>
      <c r="QR112" s="17"/>
      <c r="QS112" s="17"/>
      <c r="QT112" s="17"/>
      <c r="QU112" s="17"/>
      <c r="QV112" s="17"/>
      <c r="QW112" s="17"/>
      <c r="QX112" s="17"/>
      <c r="QY112" s="17"/>
      <c r="QZ112" s="17"/>
      <c r="RA112" s="17"/>
      <c r="RB112" s="17"/>
      <c r="RC112" s="17"/>
      <c r="RD112" s="17"/>
      <c r="RE112" s="17"/>
      <c r="RF112" s="17"/>
      <c r="RG112" s="17"/>
      <c r="RH112" s="17"/>
      <c r="RI112" s="17"/>
      <c r="RJ112" s="17"/>
      <c r="RK112" s="17"/>
      <c r="RL112" s="17"/>
      <c r="RM112" s="17"/>
      <c r="RN112" s="17"/>
      <c r="RO112" s="17"/>
      <c r="RP112" s="17"/>
      <c r="RQ112" s="17"/>
      <c r="RR112" s="17"/>
      <c r="RS112" s="17"/>
      <c r="RT112" s="17"/>
      <c r="RU112" s="17"/>
      <c r="RV112" s="17"/>
      <c r="RW112" s="17"/>
      <c r="RX112" s="17"/>
      <c r="RY112" s="17"/>
      <c r="RZ112" s="17"/>
      <c r="SA112" s="17"/>
      <c r="SB112" s="17"/>
      <c r="SC112" s="17"/>
      <c r="SD112" s="17"/>
      <c r="SE112" s="17"/>
      <c r="SF112" s="17"/>
      <c r="SG112" s="17"/>
      <c r="SH112" s="17"/>
      <c r="SI112" s="17"/>
      <c r="SJ112" s="17"/>
      <c r="SK112" s="17"/>
      <c r="SL112" s="17"/>
      <c r="SM112" s="17"/>
      <c r="SN112" s="17"/>
      <c r="SO112" s="17"/>
      <c r="SP112" s="17"/>
      <c r="SQ112" s="17"/>
      <c r="SR112" s="17"/>
      <c r="SS112" s="17"/>
      <c r="ST112" s="17"/>
      <c r="SU112" s="17"/>
      <c r="SV112" s="17"/>
      <c r="SW112" s="17"/>
      <c r="SX112" s="17"/>
      <c r="SY112" s="17"/>
      <c r="SZ112" s="17"/>
      <c r="TA112" s="17"/>
      <c r="TB112" s="17"/>
      <c r="TC112" s="17"/>
      <c r="TD112" s="17"/>
      <c r="TE112" s="17"/>
      <c r="TF112" s="17"/>
      <c r="TG112" s="17"/>
      <c r="TH112" s="17"/>
      <c r="TI112" s="17"/>
      <c r="TJ112" s="17"/>
      <c r="TK112" s="17"/>
      <c r="TL112" s="17"/>
      <c r="TM112" s="17"/>
      <c r="TN112" s="17"/>
      <c r="TO112" s="17"/>
      <c r="TP112" s="17"/>
      <c r="TQ112" s="17"/>
      <c r="TR112" s="17"/>
      <c r="TS112" s="17"/>
      <c r="TT112" s="17"/>
      <c r="TU112" s="17"/>
      <c r="TV112" s="17"/>
      <c r="TW112" s="17"/>
      <c r="TX112" s="17"/>
      <c r="TY112" s="17"/>
      <c r="TZ112" s="17"/>
      <c r="UA112" s="17"/>
      <c r="UB112" s="17"/>
      <c r="UC112" s="17"/>
      <c r="UD112" s="17"/>
      <c r="UE112" s="17"/>
      <c r="UF112" s="17"/>
      <c r="UG112" s="17"/>
      <c r="UH112" s="17"/>
      <c r="UI112" s="17"/>
      <c r="UJ112" s="17"/>
      <c r="UK112" s="17"/>
      <c r="UL112" s="17"/>
      <c r="UM112" s="17"/>
      <c r="UN112" s="17"/>
      <c r="UO112" s="17"/>
      <c r="UP112" s="17"/>
      <c r="UQ112" s="17"/>
      <c r="UR112" s="17"/>
      <c r="US112" s="17"/>
      <c r="UT112" s="17"/>
      <c r="UU112" s="17"/>
      <c r="UV112" s="17"/>
      <c r="UW112" s="17"/>
      <c r="UX112" s="17"/>
      <c r="UY112" s="17"/>
      <c r="UZ112" s="17"/>
      <c r="VA112" s="17"/>
      <c r="VB112" s="17"/>
      <c r="VC112" s="17"/>
      <c r="VD112" s="17"/>
      <c r="VE112" s="17"/>
      <c r="VF112" s="17"/>
      <c r="VG112" s="17"/>
      <c r="VH112" s="17"/>
      <c r="VI112" s="17"/>
      <c r="VJ112" s="17"/>
      <c r="VK112" s="17"/>
      <c r="VL112" s="17"/>
      <c r="VM112" s="17"/>
      <c r="VN112" s="17"/>
      <c r="VO112" s="17"/>
      <c r="VP112" s="17"/>
      <c r="VQ112" s="17"/>
      <c r="VR112" s="17"/>
      <c r="VS112" s="17"/>
      <c r="VT112" s="17"/>
      <c r="VU112" s="17"/>
      <c r="VV112" s="17"/>
      <c r="VW112" s="17"/>
      <c r="VX112" s="17"/>
      <c r="VY112" s="17"/>
      <c r="VZ112" s="17"/>
      <c r="WA112" s="17"/>
      <c r="WB112" s="17"/>
      <c r="WC112" s="17"/>
      <c r="WD112" s="17"/>
      <c r="WE112" s="17"/>
      <c r="WF112" s="17"/>
      <c r="WG112" s="17"/>
      <c r="WH112" s="17"/>
      <c r="WI112" s="17"/>
      <c r="WJ112" s="17"/>
      <c r="WK112" s="17"/>
      <c r="WL112" s="17"/>
      <c r="WM112" s="17"/>
      <c r="WN112" s="17"/>
      <c r="WO112" s="17"/>
      <c r="WP112" s="17"/>
      <c r="WQ112" s="17"/>
      <c r="WR112" s="17"/>
      <c r="WS112" s="17"/>
      <c r="WT112" s="17"/>
      <c r="WU112" s="17"/>
      <c r="WV112" s="17"/>
      <c r="WW112" s="17"/>
      <c r="WX112" s="17"/>
      <c r="WY112" s="17"/>
      <c r="WZ112" s="17"/>
      <c r="XA112" s="17"/>
      <c r="XB112" s="17"/>
      <c r="XC112" s="17"/>
      <c r="XD112" s="17"/>
      <c r="XE112" s="17"/>
      <c r="XF112" s="17"/>
      <c r="XG112" s="17"/>
      <c r="XH112" s="17"/>
      <c r="XI112" s="17"/>
      <c r="XJ112" s="17"/>
      <c r="XK112" s="17"/>
      <c r="XL112" s="17"/>
      <c r="XM112" s="17"/>
      <c r="XN112" s="17"/>
      <c r="XO112" s="17"/>
      <c r="XP112" s="17"/>
      <c r="XQ112" s="17"/>
      <c r="XR112" s="17"/>
      <c r="XS112" s="17"/>
      <c r="XT112" s="17"/>
      <c r="XU112" s="17"/>
      <c r="XV112" s="17"/>
      <c r="XW112" s="17"/>
      <c r="XX112" s="17"/>
      <c r="XY112" s="17"/>
      <c r="XZ112" s="17"/>
      <c r="YA112" s="17"/>
      <c r="YB112" s="17"/>
      <c r="YC112" s="17"/>
      <c r="YD112" s="17"/>
      <c r="YE112" s="17"/>
      <c r="YF112" s="17"/>
      <c r="YG112" s="17"/>
      <c r="YH112" s="17"/>
      <c r="YI112" s="17"/>
      <c r="YJ112" s="17"/>
      <c r="YK112" s="17"/>
      <c r="YL112" s="17"/>
      <c r="YM112" s="17"/>
      <c r="YN112" s="17"/>
      <c r="YO112" s="17"/>
      <c r="YP112" s="17"/>
      <c r="YQ112" s="17"/>
      <c r="YR112" s="17"/>
      <c r="YS112" s="17"/>
      <c r="YT112" s="17"/>
      <c r="YU112" s="17"/>
      <c r="YV112" s="17"/>
      <c r="YW112" s="17"/>
      <c r="YX112" s="17"/>
      <c r="YY112" s="17"/>
      <c r="YZ112" s="17"/>
      <c r="ZA112" s="17"/>
      <c r="ZB112" s="17"/>
      <c r="ZC112" s="17"/>
      <c r="ZD112" s="17"/>
      <c r="ZE112" s="17"/>
      <c r="ZF112" s="17"/>
      <c r="ZG112" s="17"/>
      <c r="ZH112" s="17"/>
      <c r="ZI112" s="17"/>
      <c r="ZJ112" s="17"/>
      <c r="ZK112" s="17"/>
      <c r="ZL112" s="17"/>
      <c r="ZM112" s="17"/>
      <c r="ZN112" s="17"/>
      <c r="ZO112" s="17"/>
      <c r="ZP112" s="17"/>
      <c r="ZQ112" s="17"/>
      <c r="ZR112" s="17"/>
      <c r="ZS112" s="17"/>
      <c r="ZT112" s="17"/>
      <c r="ZU112" s="17"/>
      <c r="ZV112" s="17"/>
      <c r="ZW112" s="17"/>
      <c r="ZX112" s="17"/>
      <c r="ZY112" s="17"/>
      <c r="ZZ112" s="17"/>
      <c r="AAA112" s="17"/>
      <c r="AAB112" s="17"/>
      <c r="AAC112" s="17"/>
      <c r="AAD112" s="17"/>
      <c r="AAE112" s="17"/>
      <c r="AAF112" s="17"/>
      <c r="AAG112" s="17"/>
      <c r="AAH112" s="17"/>
      <c r="AAI112" s="17"/>
      <c r="AAJ112" s="17"/>
      <c r="AAK112" s="17"/>
      <c r="AAL112" s="17"/>
      <c r="AAM112" s="17"/>
      <c r="AAN112" s="17"/>
      <c r="AAO112" s="17"/>
      <c r="AAP112" s="17"/>
      <c r="AAQ112" s="17"/>
      <c r="AAR112" s="17"/>
      <c r="AAS112" s="17"/>
      <c r="AAT112" s="17"/>
      <c r="AAU112" s="17"/>
      <c r="AAV112" s="17"/>
      <c r="AAW112" s="17"/>
      <c r="AAX112" s="17"/>
      <c r="AAY112" s="17"/>
      <c r="AAZ112" s="17"/>
      <c r="ABA112" s="17"/>
      <c r="ABB112" s="17"/>
      <c r="ABC112" s="17"/>
      <c r="ABD112" s="17"/>
      <c r="ABE112" s="17"/>
      <c r="ABF112" s="17"/>
      <c r="ABG112" s="17"/>
      <c r="ABH112" s="17"/>
      <c r="ABI112" s="17"/>
      <c r="ABJ112" s="17"/>
      <c r="ABK112" s="17"/>
      <c r="ABL112" s="17"/>
      <c r="ABM112" s="17"/>
      <c r="ABN112" s="17"/>
      <c r="ABO112" s="17"/>
      <c r="ABP112" s="17"/>
      <c r="ABQ112" s="17"/>
      <c r="ABR112" s="17"/>
      <c r="ABS112" s="17"/>
      <c r="ABT112" s="17"/>
      <c r="ABU112" s="17"/>
      <c r="ABV112" s="17"/>
      <c r="ABW112" s="17"/>
      <c r="ABX112" s="17"/>
      <c r="ABY112" s="17"/>
      <c r="ABZ112" s="17"/>
      <c r="ACA112" s="17"/>
      <c r="ACB112" s="17"/>
      <c r="ACC112" s="17"/>
      <c r="ACD112" s="17"/>
      <c r="ACE112" s="17"/>
      <c r="ACF112" s="17"/>
      <c r="ACG112" s="17"/>
      <c r="ACH112" s="17"/>
      <c r="ACI112" s="17"/>
      <c r="ACJ112" s="17"/>
      <c r="ACK112" s="17"/>
      <c r="ACL112" s="17"/>
      <c r="ACM112" s="17"/>
      <c r="ACN112" s="17"/>
      <c r="ACO112" s="17"/>
      <c r="ACP112" s="17"/>
      <c r="ACQ112" s="17"/>
      <c r="ACR112" s="17"/>
      <c r="ACS112" s="17"/>
      <c r="ACT112" s="17"/>
      <c r="ACU112" s="17"/>
      <c r="ACV112" s="17"/>
      <c r="ACW112" s="17"/>
      <c r="ACX112" s="17"/>
      <c r="ACY112" s="17"/>
      <c r="ACZ112" s="17"/>
      <c r="ADA112" s="17"/>
      <c r="ADB112" s="17"/>
      <c r="ADC112" s="17"/>
      <c r="ADD112" s="17"/>
      <c r="ADE112" s="17"/>
      <c r="ADF112" s="17"/>
      <c r="ADG112" s="17"/>
      <c r="ADH112" s="17"/>
      <c r="ADI112" s="17"/>
      <c r="ADJ112" s="17"/>
      <c r="ADK112" s="17"/>
      <c r="ADL112" s="17"/>
      <c r="ADM112" s="17"/>
      <c r="ADN112" s="17"/>
      <c r="ADO112" s="17"/>
      <c r="ADP112" s="17"/>
      <c r="ADQ112" s="17"/>
      <c r="ADR112" s="17"/>
      <c r="ADS112" s="17"/>
      <c r="ADT112" s="17"/>
      <c r="ADU112" s="17"/>
      <c r="ADV112" s="17"/>
      <c r="ADW112" s="17"/>
      <c r="ADX112" s="17"/>
      <c r="ADY112" s="17"/>
      <c r="ADZ112" s="17"/>
      <c r="AEA112" s="17"/>
      <c r="AEB112" s="17"/>
      <c r="AEC112" s="17"/>
      <c r="AED112" s="17"/>
      <c r="AEE112" s="17"/>
      <c r="AEF112" s="17"/>
      <c r="AEG112" s="17"/>
      <c r="AEH112" s="17"/>
      <c r="AEI112" s="17"/>
      <c r="AEJ112" s="17"/>
      <c r="AEK112" s="17"/>
      <c r="AEL112" s="17"/>
      <c r="AEM112" s="17"/>
      <c r="AEN112" s="17"/>
      <c r="AEO112" s="17"/>
      <c r="AEP112" s="17"/>
      <c r="AEQ112" s="17"/>
      <c r="AER112" s="17"/>
      <c r="AES112" s="17"/>
      <c r="AET112" s="17"/>
      <c r="AEU112" s="17"/>
      <c r="AEV112" s="17"/>
      <c r="AEW112" s="17"/>
      <c r="AEX112" s="17"/>
      <c r="AEY112" s="17"/>
      <c r="AEZ112" s="17"/>
      <c r="AFA112" s="17"/>
      <c r="AFB112" s="17"/>
      <c r="AFC112" s="17"/>
      <c r="AFD112" s="17"/>
      <c r="AFE112" s="17"/>
      <c r="AFF112" s="17"/>
      <c r="AFG112" s="17"/>
      <c r="AFH112" s="17"/>
      <c r="AFI112" s="17"/>
      <c r="AFJ112" s="17"/>
      <c r="AFK112" s="17"/>
      <c r="AFL112" s="17"/>
      <c r="AFM112" s="17"/>
      <c r="AFN112" s="17"/>
      <c r="AFO112" s="17"/>
      <c r="AFP112" s="17"/>
      <c r="AFQ112" s="17"/>
      <c r="AFR112" s="17"/>
      <c r="AFS112" s="17"/>
      <c r="AFT112" s="17"/>
      <c r="AFU112" s="17"/>
      <c r="AFV112" s="17"/>
      <c r="AFW112" s="17"/>
      <c r="AFX112" s="17"/>
      <c r="AFY112" s="17"/>
      <c r="AFZ112" s="17"/>
      <c r="AGA112" s="17"/>
      <c r="AGB112" s="17"/>
      <c r="AGC112" s="17"/>
      <c r="AGD112" s="17"/>
      <c r="AGE112" s="17"/>
      <c r="AGF112" s="17"/>
      <c r="AGG112" s="17"/>
      <c r="AGH112" s="17"/>
      <c r="AGI112" s="17"/>
      <c r="AGJ112" s="17"/>
      <c r="AGK112" s="17"/>
      <c r="AGL112" s="17"/>
      <c r="AGM112" s="17"/>
      <c r="AGN112" s="17"/>
      <c r="AGO112" s="17"/>
      <c r="AGP112" s="17"/>
      <c r="AGQ112" s="17"/>
      <c r="AGR112" s="17"/>
      <c r="AGS112" s="17"/>
      <c r="AGT112" s="17"/>
      <c r="AGU112" s="17"/>
      <c r="AGV112" s="17"/>
      <c r="AGW112" s="17"/>
      <c r="AGX112" s="17"/>
      <c r="AGY112" s="17"/>
      <c r="AGZ112" s="17"/>
      <c r="AHA112" s="17"/>
      <c r="AHB112" s="17"/>
      <c r="AHC112" s="17"/>
      <c r="AHD112" s="17"/>
      <c r="AHE112" s="17"/>
      <c r="AHF112" s="17"/>
      <c r="AHG112" s="17"/>
      <c r="AHH112" s="17"/>
      <c r="AHI112" s="17"/>
      <c r="AHJ112" s="17"/>
      <c r="AHK112" s="17"/>
      <c r="AHL112" s="17"/>
      <c r="AHM112" s="17"/>
      <c r="AHN112" s="17"/>
      <c r="AHO112" s="17"/>
      <c r="AHP112" s="17"/>
      <c r="AHQ112" s="17"/>
      <c r="AHR112" s="17"/>
      <c r="AHS112" s="17"/>
      <c r="AHT112" s="17"/>
      <c r="AHU112" s="17"/>
      <c r="AHV112" s="17"/>
      <c r="AHW112" s="17"/>
      <c r="AHX112" s="17"/>
      <c r="AHY112" s="17"/>
      <c r="AHZ112" s="17"/>
      <c r="AIA112" s="17"/>
      <c r="AIB112" s="17"/>
      <c r="AIC112" s="17"/>
      <c r="AID112" s="17"/>
      <c r="AIE112" s="17"/>
      <c r="AIF112" s="17"/>
      <c r="AIG112" s="17"/>
      <c r="AIH112" s="17"/>
      <c r="AII112" s="17"/>
      <c r="AIJ112" s="17"/>
      <c r="AIK112" s="17"/>
      <c r="AIL112" s="17"/>
      <c r="AIM112" s="17"/>
      <c r="AIN112" s="17"/>
      <c r="AIO112" s="17"/>
      <c r="AIP112" s="17"/>
      <c r="AIQ112" s="17"/>
      <c r="AIR112" s="17"/>
      <c r="AIS112" s="17"/>
      <c r="AIT112" s="17"/>
      <c r="AIU112" s="17"/>
      <c r="AIV112" s="17"/>
      <c r="AIW112" s="17"/>
      <c r="AIX112" s="17"/>
      <c r="AIY112" s="17"/>
      <c r="AIZ112" s="17"/>
      <c r="AJA112" s="17"/>
      <c r="AJB112" s="17"/>
      <c r="AJC112" s="17"/>
      <c r="AJD112" s="17"/>
      <c r="AJE112" s="17"/>
      <c r="AJF112" s="17"/>
      <c r="AJG112" s="17"/>
      <c r="AJH112" s="17"/>
      <c r="AJI112" s="17"/>
      <c r="AJJ112" s="17"/>
      <c r="AJK112" s="17"/>
      <c r="AJL112" s="17"/>
      <c r="AJM112" s="17"/>
      <c r="AJN112" s="17"/>
      <c r="AJO112" s="17"/>
      <c r="AJP112" s="17"/>
      <c r="AJQ112" s="17"/>
      <c r="AJR112" s="17"/>
      <c r="AJS112" s="17"/>
      <c r="AJT112" s="17"/>
      <c r="AJU112" s="17"/>
      <c r="AJV112" s="17"/>
      <c r="AJW112" s="17"/>
      <c r="AJX112" s="17"/>
      <c r="AJY112" s="17"/>
      <c r="AJZ112" s="17"/>
      <c r="AKA112" s="17"/>
      <c r="AKB112" s="17"/>
      <c r="AKC112" s="17"/>
      <c r="AKD112" s="17"/>
      <c r="AKE112" s="17"/>
      <c r="AKF112" s="17"/>
      <c r="AKG112" s="17"/>
      <c r="AKH112" s="17"/>
      <c r="AKI112" s="17"/>
      <c r="AKJ112" s="17"/>
      <c r="AKK112" s="17"/>
      <c r="AKL112" s="17"/>
      <c r="AKM112" s="17"/>
      <c r="AKN112" s="17"/>
      <c r="AKO112" s="17"/>
      <c r="AKP112" s="17"/>
      <c r="AKQ112" s="17"/>
      <c r="AKR112" s="17"/>
      <c r="AKS112" s="17"/>
      <c r="AKT112" s="17"/>
      <c r="AKU112" s="17"/>
      <c r="AKV112" s="17"/>
      <c r="AKW112" s="17"/>
      <c r="AKX112" s="17"/>
      <c r="AKY112" s="17"/>
      <c r="AKZ112" s="17"/>
      <c r="ALA112" s="17"/>
      <c r="ALB112" s="17"/>
      <c r="ALC112" s="17"/>
      <c r="ALD112" s="17"/>
      <c r="ALE112" s="17"/>
      <c r="ALF112" s="17"/>
      <c r="ALG112" s="17"/>
      <c r="ALH112" s="17"/>
      <c r="ALI112" s="17"/>
      <c r="ALJ112" s="17"/>
      <c r="ALK112" s="17"/>
      <c r="ALL112" s="17"/>
      <c r="ALM112" s="17"/>
      <c r="ALN112" s="17"/>
      <c r="ALO112" s="17"/>
      <c r="ALP112" s="17"/>
      <c r="ALQ112" s="17"/>
      <c r="ALR112" s="17"/>
      <c r="ALS112" s="17"/>
      <c r="ALT112" s="17"/>
      <c r="ALU112" s="17"/>
      <c r="ALV112" s="17"/>
      <c r="ALW112" s="17"/>
      <c r="ALX112" s="17"/>
      <c r="ALY112" s="17"/>
      <c r="ALZ112" s="17"/>
      <c r="AMA112" s="17"/>
      <c r="AMB112" s="17"/>
      <c r="AMC112" s="17"/>
      <c r="AMD112" s="17"/>
      <c r="AME112" s="17"/>
      <c r="AMF112" s="17"/>
      <c r="AMG112" s="17"/>
      <c r="AMH112" s="17"/>
      <c r="AMI112" s="17"/>
      <c r="AMJ112" s="17"/>
      <c r="AMK112" s="17"/>
      <c r="AML112" s="17"/>
      <c r="AMM112" s="17"/>
      <c r="AMN112" s="17"/>
      <c r="AMO112" s="17"/>
      <c r="AMP112" s="17"/>
      <c r="AMQ112" s="17"/>
      <c r="AMR112" s="17"/>
      <c r="AMS112" s="17"/>
      <c r="AMT112" s="17"/>
      <c r="AMU112" s="17"/>
      <c r="AMV112" s="17"/>
      <c r="AMW112" s="17"/>
      <c r="AMX112" s="17"/>
      <c r="AMY112" s="17"/>
      <c r="AMZ112" s="17"/>
      <c r="ANA112" s="17"/>
      <c r="ANB112" s="17"/>
      <c r="ANC112" s="17"/>
      <c r="AND112" s="17"/>
      <c r="ANE112" s="17"/>
      <c r="ANF112" s="17"/>
      <c r="ANG112" s="17"/>
      <c r="ANH112" s="17"/>
      <c r="ANI112" s="17"/>
      <c r="ANJ112" s="17"/>
      <c r="ANK112" s="17"/>
      <c r="ANL112" s="17"/>
      <c r="ANM112" s="17"/>
      <c r="ANN112" s="17"/>
      <c r="ANO112" s="17"/>
      <c r="ANP112" s="17"/>
      <c r="ANQ112" s="17"/>
      <c r="ANR112" s="17"/>
      <c r="ANS112" s="17"/>
      <c r="ANT112" s="17"/>
      <c r="ANU112" s="17"/>
      <c r="ANV112" s="17"/>
      <c r="ANW112" s="17"/>
      <c r="ANX112" s="17"/>
      <c r="ANY112" s="17"/>
      <c r="ANZ112" s="17"/>
      <c r="AOA112" s="17"/>
      <c r="AOB112" s="17"/>
      <c r="AOC112" s="17"/>
      <c r="AOD112" s="17"/>
      <c r="AOE112" s="17"/>
      <c r="AOF112" s="17"/>
      <c r="AOG112" s="17"/>
      <c r="AOH112" s="17"/>
      <c r="AOI112" s="17"/>
      <c r="AOJ112" s="17"/>
      <c r="AOK112" s="17"/>
      <c r="AOL112" s="17"/>
      <c r="AOM112" s="17"/>
      <c r="AON112" s="17"/>
      <c r="AOO112" s="17"/>
      <c r="AOP112" s="17"/>
      <c r="AOQ112" s="17"/>
      <c r="AOR112" s="17"/>
      <c r="AOS112" s="17"/>
      <c r="AOT112" s="17"/>
      <c r="AOU112" s="17"/>
      <c r="AOV112" s="17"/>
      <c r="AOW112" s="17"/>
      <c r="AOX112" s="17"/>
      <c r="AOY112" s="17"/>
      <c r="AOZ112" s="17"/>
      <c r="APA112" s="17"/>
      <c r="APB112" s="17"/>
      <c r="APC112" s="17"/>
      <c r="APD112" s="17"/>
      <c r="APE112" s="17"/>
      <c r="APF112" s="17"/>
      <c r="APG112" s="17"/>
      <c r="APH112" s="17"/>
      <c r="API112" s="17"/>
      <c r="APJ112" s="17"/>
      <c r="APK112" s="17"/>
      <c r="APL112" s="17"/>
      <c r="APM112" s="17"/>
      <c r="APN112" s="17"/>
      <c r="APO112" s="17"/>
      <c r="APP112" s="17"/>
      <c r="APQ112" s="17"/>
      <c r="APR112" s="17"/>
      <c r="APS112" s="17"/>
      <c r="APT112" s="17"/>
      <c r="APU112" s="17"/>
      <c r="APV112" s="17"/>
      <c r="APW112" s="17"/>
      <c r="APX112" s="17"/>
      <c r="APY112" s="17"/>
      <c r="APZ112" s="17"/>
      <c r="AQA112" s="17"/>
      <c r="AQB112" s="17"/>
      <c r="AQC112" s="17"/>
      <c r="AQD112" s="17"/>
      <c r="AQE112" s="17"/>
      <c r="AQF112" s="17"/>
      <c r="AQG112" s="17"/>
      <c r="AQH112" s="17"/>
      <c r="AQI112" s="17"/>
      <c r="AQJ112" s="17"/>
      <c r="AQK112" s="17"/>
      <c r="AQL112" s="17"/>
      <c r="AQM112" s="17"/>
      <c r="AQN112" s="17"/>
      <c r="AQO112" s="17"/>
      <c r="AQP112" s="17"/>
      <c r="AQQ112" s="17"/>
      <c r="AQR112" s="17"/>
      <c r="AQS112" s="17"/>
      <c r="AQT112" s="17"/>
      <c r="AQU112" s="17"/>
      <c r="AQV112" s="17"/>
      <c r="AQW112" s="17"/>
      <c r="AQX112" s="17"/>
      <c r="AQY112" s="17"/>
      <c r="AQZ112" s="17"/>
      <c r="ARA112" s="17"/>
      <c r="ARB112" s="17"/>
      <c r="ARC112" s="17"/>
      <c r="ARD112" s="17"/>
      <c r="ARE112" s="17"/>
      <c r="ARF112" s="17"/>
      <c r="ARG112" s="17"/>
      <c r="ARH112" s="17"/>
      <c r="ARI112" s="17"/>
      <c r="ARJ112" s="17"/>
      <c r="ARK112" s="17"/>
      <c r="ARL112" s="17"/>
      <c r="ARM112" s="17"/>
      <c r="ARN112" s="17"/>
      <c r="ARO112" s="17"/>
      <c r="ARP112" s="17"/>
      <c r="ARQ112" s="17"/>
      <c r="ARR112" s="17"/>
      <c r="ARS112" s="17"/>
      <c r="ART112" s="17"/>
      <c r="ARU112" s="17"/>
      <c r="ARV112" s="17"/>
      <c r="ARW112" s="17"/>
      <c r="ARX112" s="17"/>
      <c r="ARY112" s="17"/>
      <c r="ARZ112" s="17"/>
      <c r="ASA112" s="17"/>
      <c r="ASB112" s="17"/>
      <c r="ASC112" s="17"/>
      <c r="ASD112" s="17"/>
      <c r="ASE112" s="17"/>
      <c r="ASF112" s="17"/>
      <c r="ASG112" s="17"/>
      <c r="ASH112" s="17"/>
      <c r="ASI112" s="17"/>
      <c r="ASJ112" s="17"/>
      <c r="ASK112" s="17"/>
      <c r="ASL112" s="17"/>
      <c r="ASM112" s="17"/>
      <c r="ASN112" s="17"/>
      <c r="ASO112" s="17"/>
      <c r="ASP112" s="17"/>
      <c r="ASQ112" s="17"/>
      <c r="ASR112" s="17"/>
      <c r="ASS112" s="17"/>
      <c r="AST112" s="17"/>
      <c r="ASU112" s="17"/>
      <c r="ASV112" s="17"/>
      <c r="ASW112" s="17"/>
      <c r="ASX112" s="17"/>
      <c r="ASY112" s="17"/>
      <c r="ASZ112" s="17"/>
      <c r="ATA112" s="17"/>
      <c r="ATB112" s="17"/>
      <c r="ATC112" s="17"/>
      <c r="ATD112" s="17"/>
      <c r="ATE112" s="17"/>
      <c r="ATF112" s="17"/>
      <c r="ATG112" s="17"/>
      <c r="ATH112" s="17"/>
      <c r="ATI112" s="17"/>
      <c r="ATJ112" s="17"/>
      <c r="ATK112" s="17"/>
      <c r="ATL112" s="17"/>
      <c r="ATM112" s="17"/>
      <c r="ATN112" s="17"/>
      <c r="ATO112" s="17"/>
      <c r="ATP112" s="17"/>
      <c r="ATQ112" s="17"/>
      <c r="ATR112" s="17"/>
      <c r="ATS112" s="17"/>
      <c r="ATT112" s="17"/>
      <c r="ATU112" s="17"/>
      <c r="ATV112" s="17"/>
      <c r="ATW112" s="17"/>
      <c r="ATX112" s="17"/>
      <c r="ATY112" s="17"/>
      <c r="ATZ112" s="17"/>
      <c r="AUA112" s="17"/>
      <c r="AUB112" s="17"/>
      <c r="AUC112" s="17"/>
      <c r="AUD112" s="17"/>
      <c r="AUE112" s="17"/>
      <c r="AUF112" s="17"/>
      <c r="AUG112" s="17"/>
      <c r="AUH112" s="17"/>
      <c r="AUI112" s="17"/>
      <c r="AUJ112" s="17"/>
      <c r="AUK112" s="17"/>
      <c r="AUL112" s="17"/>
      <c r="AUM112" s="17"/>
      <c r="AUN112" s="17"/>
      <c r="AUO112" s="17"/>
      <c r="AUP112" s="17"/>
      <c r="AUQ112" s="17"/>
      <c r="AUR112" s="17"/>
      <c r="AUS112" s="17"/>
      <c r="AUT112" s="17"/>
      <c r="AUU112" s="17"/>
      <c r="AUV112" s="17"/>
      <c r="AUW112" s="17"/>
      <c r="AUX112" s="17"/>
      <c r="AUY112" s="17"/>
      <c r="AUZ112" s="17"/>
      <c r="AVA112" s="17"/>
      <c r="AVB112" s="17"/>
      <c r="AVC112" s="17"/>
      <c r="AVD112" s="17"/>
      <c r="AVE112" s="17"/>
      <c r="AVF112" s="17"/>
      <c r="AVG112" s="17"/>
      <c r="AVH112" s="17"/>
      <c r="AVI112" s="17"/>
      <c r="AVJ112" s="17"/>
      <c r="AVK112" s="17"/>
      <c r="AVL112" s="17"/>
      <c r="AVM112" s="17"/>
      <c r="AVN112" s="17"/>
      <c r="AVO112" s="17"/>
      <c r="AVP112" s="17"/>
      <c r="AVQ112" s="17"/>
      <c r="AVR112" s="17"/>
      <c r="AVS112" s="17"/>
      <c r="AVT112" s="17"/>
      <c r="AVU112" s="17"/>
      <c r="AVV112" s="17"/>
      <c r="AVW112" s="17"/>
      <c r="AVX112" s="17"/>
      <c r="AVY112" s="17"/>
      <c r="AVZ112" s="17"/>
      <c r="AWA112" s="17"/>
      <c r="AWB112" s="17"/>
      <c r="AWC112" s="17"/>
      <c r="AWD112" s="17"/>
      <c r="AWE112" s="17"/>
      <c r="AWF112" s="17"/>
      <c r="AWG112" s="17"/>
      <c r="AWH112" s="17"/>
      <c r="AWI112" s="17"/>
      <c r="AWJ112" s="17"/>
      <c r="AWK112" s="17"/>
      <c r="AWL112" s="17"/>
      <c r="AWM112" s="17"/>
      <c r="AWN112" s="17"/>
      <c r="AWO112" s="17"/>
      <c r="AWP112" s="17"/>
      <c r="AWQ112" s="17"/>
      <c r="AWR112" s="17"/>
      <c r="AWS112" s="17"/>
      <c r="AWT112" s="17"/>
      <c r="AWU112" s="17"/>
      <c r="AWV112" s="17"/>
      <c r="AWW112" s="17"/>
      <c r="AWX112" s="17"/>
      <c r="AWY112" s="17"/>
      <c r="AWZ112" s="17"/>
      <c r="AXA112" s="17"/>
      <c r="AXB112" s="17"/>
      <c r="AXC112" s="17"/>
      <c r="AXD112" s="17"/>
      <c r="AXE112" s="17"/>
      <c r="AXF112" s="17"/>
      <c r="AXG112" s="17"/>
      <c r="AXH112" s="17"/>
      <c r="AXI112" s="17"/>
      <c r="AXJ112" s="17"/>
      <c r="AXK112" s="17"/>
      <c r="AXL112" s="17"/>
      <c r="AXM112" s="17"/>
      <c r="AXN112" s="17"/>
      <c r="AXO112" s="17"/>
      <c r="AXP112" s="17"/>
      <c r="AXQ112" s="17"/>
      <c r="AXR112" s="17"/>
      <c r="AXS112" s="17"/>
      <c r="AXT112" s="17"/>
      <c r="AXU112" s="17"/>
      <c r="AXV112" s="17"/>
      <c r="AXW112" s="17"/>
      <c r="AXX112" s="17"/>
      <c r="AXY112" s="17"/>
      <c r="AXZ112" s="17"/>
      <c r="AYA112" s="17"/>
      <c r="AYB112" s="17"/>
      <c r="AYC112" s="17"/>
      <c r="AYD112" s="17"/>
      <c r="AYE112" s="17"/>
      <c r="AYF112" s="17"/>
      <c r="AYG112" s="17"/>
      <c r="AYH112" s="17"/>
      <c r="AYI112" s="17"/>
      <c r="AYJ112" s="17"/>
      <c r="AYK112" s="17"/>
      <c r="AYL112" s="17"/>
      <c r="AYM112" s="17"/>
      <c r="AYN112" s="17"/>
      <c r="AYO112" s="17"/>
      <c r="AYP112" s="17"/>
      <c r="AYQ112" s="17"/>
      <c r="AYR112" s="17"/>
      <c r="AYS112" s="17"/>
      <c r="AYT112" s="17"/>
      <c r="AYU112" s="17"/>
      <c r="AYV112" s="17"/>
      <c r="AYW112" s="17"/>
      <c r="AYX112" s="17"/>
      <c r="AYY112" s="17"/>
      <c r="AYZ112" s="17"/>
      <c r="AZA112" s="17"/>
      <c r="AZB112" s="17"/>
      <c r="AZC112" s="17"/>
      <c r="AZD112" s="17"/>
      <c r="AZE112" s="17"/>
      <c r="AZF112" s="17"/>
      <c r="AZG112" s="17"/>
      <c r="AZH112" s="17"/>
      <c r="AZI112" s="17"/>
      <c r="AZJ112" s="17"/>
      <c r="AZK112" s="17"/>
      <c r="AZL112" s="17"/>
      <c r="AZM112" s="17"/>
      <c r="AZN112" s="17"/>
      <c r="AZO112" s="17"/>
      <c r="AZP112" s="17"/>
      <c r="AZQ112" s="17"/>
      <c r="AZR112" s="17"/>
      <c r="AZS112" s="17"/>
      <c r="AZT112" s="17"/>
      <c r="AZU112" s="17"/>
      <c r="AZV112" s="17"/>
      <c r="AZW112" s="17"/>
      <c r="AZX112" s="17"/>
      <c r="AZY112" s="17"/>
      <c r="AZZ112" s="17"/>
      <c r="BAA112" s="17"/>
      <c r="BAB112" s="17"/>
      <c r="BAC112" s="17"/>
      <c r="BAD112" s="17"/>
      <c r="BAE112" s="17"/>
      <c r="BAF112" s="17"/>
      <c r="BAG112" s="17"/>
      <c r="BAH112" s="17"/>
      <c r="BAI112" s="17"/>
      <c r="BAJ112" s="17"/>
      <c r="BAK112" s="17"/>
      <c r="BAL112" s="17"/>
      <c r="BAM112" s="17"/>
      <c r="BAN112" s="17"/>
      <c r="BAO112" s="17"/>
      <c r="BAP112" s="17"/>
      <c r="BAQ112" s="17"/>
      <c r="BAR112" s="17"/>
      <c r="BAS112" s="17"/>
      <c r="BAT112" s="17"/>
      <c r="BAU112" s="17"/>
      <c r="BAV112" s="17"/>
      <c r="BAW112" s="17"/>
      <c r="BAX112" s="17"/>
      <c r="BAY112" s="17"/>
      <c r="BAZ112" s="17"/>
      <c r="BBA112" s="17"/>
      <c r="BBB112" s="17"/>
      <c r="BBC112" s="17"/>
      <c r="BBD112" s="17"/>
      <c r="BBE112" s="17"/>
      <c r="BBF112" s="17"/>
      <c r="BBG112" s="17"/>
      <c r="BBH112" s="17"/>
      <c r="BBI112" s="17"/>
      <c r="BBJ112" s="17"/>
      <c r="BBK112" s="17"/>
      <c r="BBL112" s="17"/>
      <c r="BBM112" s="17"/>
      <c r="BBN112" s="17"/>
      <c r="BBO112" s="17"/>
      <c r="BBP112" s="17"/>
      <c r="BBQ112" s="17"/>
      <c r="BBR112" s="17"/>
      <c r="BBS112" s="17"/>
      <c r="BBT112" s="17"/>
      <c r="BBU112" s="17"/>
      <c r="BBV112" s="17"/>
      <c r="BBW112" s="17"/>
      <c r="BBX112" s="17"/>
      <c r="BBY112" s="17"/>
      <c r="BBZ112" s="17"/>
      <c r="BCA112" s="17"/>
      <c r="BCB112" s="17"/>
      <c r="BCC112" s="17"/>
      <c r="BCD112" s="17"/>
      <c r="BCE112" s="17"/>
      <c r="BCF112" s="17"/>
      <c r="BCG112" s="17"/>
      <c r="BCH112" s="17"/>
      <c r="BCI112" s="17"/>
      <c r="BCJ112" s="17"/>
      <c r="BCK112" s="17"/>
      <c r="BCL112" s="17"/>
      <c r="BCM112" s="17"/>
      <c r="BCN112" s="17"/>
      <c r="BCO112" s="17"/>
      <c r="BCP112" s="17"/>
      <c r="BCQ112" s="17"/>
      <c r="BCR112" s="17"/>
      <c r="BCS112" s="17"/>
      <c r="BCT112" s="17"/>
      <c r="BCU112" s="17"/>
      <c r="BCV112" s="17"/>
      <c r="BCW112" s="17"/>
      <c r="BCX112" s="17"/>
      <c r="BCY112" s="17"/>
      <c r="BCZ112" s="17"/>
      <c r="BDA112" s="17"/>
      <c r="BDB112" s="17"/>
      <c r="BDC112" s="17"/>
      <c r="BDD112" s="17"/>
      <c r="BDE112" s="17"/>
      <c r="BDF112" s="17"/>
      <c r="BDG112" s="17"/>
      <c r="BDH112" s="17"/>
      <c r="BDI112" s="17"/>
      <c r="BDJ112" s="17"/>
      <c r="BDK112" s="17"/>
      <c r="BDL112" s="17"/>
      <c r="BDM112" s="17"/>
      <c r="BDN112" s="17"/>
      <c r="BDO112" s="17"/>
      <c r="BDP112" s="17"/>
      <c r="BDQ112" s="17"/>
      <c r="BDR112" s="17"/>
      <c r="BDS112" s="17"/>
      <c r="BDT112" s="17"/>
      <c r="BDU112" s="17"/>
      <c r="BDV112" s="17"/>
      <c r="BDW112" s="17"/>
      <c r="BDX112" s="17"/>
      <c r="BDY112" s="17"/>
      <c r="BDZ112" s="17"/>
      <c r="BEA112" s="17"/>
      <c r="BEB112" s="17"/>
      <c r="BEC112" s="17"/>
      <c r="BED112" s="17"/>
      <c r="BEE112" s="17"/>
      <c r="BEF112" s="17"/>
      <c r="BEG112" s="17"/>
      <c r="BEH112" s="17"/>
      <c r="BEI112" s="17"/>
      <c r="BEJ112" s="17"/>
      <c r="BEK112" s="17"/>
      <c r="BEL112" s="17"/>
      <c r="BEM112" s="17"/>
      <c r="BEN112" s="17"/>
      <c r="BEO112" s="17"/>
      <c r="BEP112" s="17"/>
      <c r="BEQ112" s="17"/>
      <c r="BER112" s="17"/>
      <c r="BES112" s="17"/>
      <c r="BET112" s="17"/>
      <c r="BEU112" s="17"/>
      <c r="BEV112" s="17"/>
      <c r="BEW112" s="17"/>
      <c r="BEX112" s="17"/>
      <c r="BEY112" s="17"/>
      <c r="BEZ112" s="17"/>
      <c r="BFA112" s="17"/>
      <c r="BFB112" s="17"/>
      <c r="BFC112" s="17"/>
      <c r="BFD112" s="17"/>
      <c r="BFE112" s="17"/>
      <c r="BFF112" s="17"/>
      <c r="BFG112" s="17"/>
      <c r="BFH112" s="17"/>
      <c r="BFI112" s="17"/>
      <c r="BFJ112" s="17"/>
      <c r="BFK112" s="17"/>
      <c r="BFL112" s="17"/>
      <c r="BFM112" s="17"/>
      <c r="BFN112" s="17"/>
      <c r="BFO112" s="17"/>
      <c r="BFP112" s="17"/>
      <c r="BFQ112" s="17"/>
      <c r="BFR112" s="17"/>
      <c r="BFS112" s="17"/>
      <c r="BFT112" s="17"/>
      <c r="BFU112" s="17"/>
      <c r="BFV112" s="17"/>
      <c r="BFW112" s="17"/>
      <c r="BFX112" s="17"/>
      <c r="BFY112" s="17"/>
      <c r="BFZ112" s="17"/>
      <c r="BGA112" s="17"/>
      <c r="BGB112" s="17"/>
      <c r="BGC112" s="17"/>
      <c r="BGD112" s="17"/>
      <c r="BGE112" s="17"/>
      <c r="BGF112" s="17"/>
      <c r="BGG112" s="17"/>
      <c r="BGH112" s="17"/>
      <c r="BGI112" s="17"/>
      <c r="BGJ112" s="17"/>
      <c r="BGK112" s="17"/>
      <c r="BGL112" s="17"/>
      <c r="BGM112" s="17"/>
      <c r="BGN112" s="17"/>
      <c r="BGO112" s="17"/>
      <c r="BGP112" s="17"/>
      <c r="BGQ112" s="17"/>
      <c r="BGR112" s="17"/>
      <c r="BGS112" s="17"/>
      <c r="BGT112" s="17"/>
      <c r="BGU112" s="17"/>
      <c r="BGV112" s="17"/>
      <c r="BGW112" s="17"/>
      <c r="BGX112" s="17"/>
      <c r="BGY112" s="17"/>
      <c r="BGZ112" s="17"/>
      <c r="BHA112" s="17"/>
      <c r="BHB112" s="17"/>
      <c r="BHC112" s="17"/>
      <c r="BHD112" s="17"/>
      <c r="BHE112" s="17"/>
      <c r="BHF112" s="17"/>
      <c r="BHG112" s="17"/>
      <c r="BHH112" s="17"/>
      <c r="BHI112" s="17"/>
      <c r="BHJ112" s="17"/>
      <c r="BHK112" s="17"/>
      <c r="BHL112" s="17"/>
      <c r="BHM112" s="17"/>
      <c r="BHN112" s="17"/>
      <c r="BHO112" s="17"/>
      <c r="BHP112" s="17"/>
      <c r="BHQ112" s="17"/>
      <c r="BHR112" s="17"/>
      <c r="BHS112" s="17"/>
      <c r="BHT112" s="17"/>
      <c r="BHU112" s="17"/>
      <c r="BHV112" s="17"/>
      <c r="BHW112" s="17"/>
      <c r="BHX112" s="17"/>
      <c r="BHY112" s="17"/>
      <c r="BHZ112" s="17"/>
      <c r="BIA112" s="17"/>
      <c r="BIB112" s="17"/>
      <c r="BIC112" s="17"/>
      <c r="BID112" s="17"/>
      <c r="BIE112" s="17"/>
      <c r="BIF112" s="17"/>
      <c r="BIG112" s="17"/>
      <c r="BIH112" s="17"/>
      <c r="BII112" s="17"/>
      <c r="BIJ112" s="17"/>
      <c r="BIK112" s="17"/>
      <c r="BIL112" s="17"/>
      <c r="BIM112" s="17"/>
      <c r="BIN112" s="17"/>
      <c r="BIO112" s="17"/>
      <c r="BIP112" s="17"/>
      <c r="BIQ112" s="17"/>
      <c r="BIR112" s="17"/>
      <c r="BIS112" s="17"/>
      <c r="BIT112" s="17"/>
      <c r="BIU112" s="17"/>
      <c r="BIV112" s="17"/>
      <c r="BIW112" s="17"/>
      <c r="BIX112" s="17"/>
      <c r="BIY112" s="17"/>
      <c r="BIZ112" s="17"/>
      <c r="BJA112" s="17"/>
      <c r="BJB112" s="17"/>
      <c r="BJC112" s="17"/>
      <c r="BJD112" s="17"/>
      <c r="BJE112" s="17"/>
      <c r="BJF112" s="17"/>
      <c r="BJG112" s="17"/>
      <c r="BJH112" s="17"/>
      <c r="BJI112" s="17"/>
      <c r="BJJ112" s="17"/>
      <c r="BJK112" s="17"/>
      <c r="BJL112" s="17"/>
      <c r="BJM112" s="17"/>
      <c r="BJN112" s="17"/>
      <c r="BJO112" s="17"/>
      <c r="BJP112" s="17"/>
      <c r="BJQ112" s="17"/>
      <c r="BJR112" s="17"/>
      <c r="BJS112" s="17"/>
      <c r="BJT112" s="17"/>
      <c r="BJU112" s="17"/>
      <c r="BJV112" s="17"/>
      <c r="BJW112" s="17"/>
      <c r="BJX112" s="17"/>
      <c r="BJY112" s="17"/>
      <c r="BJZ112" s="17"/>
      <c r="BKA112" s="17"/>
      <c r="BKB112" s="17"/>
      <c r="BKC112" s="17"/>
      <c r="BKD112" s="17"/>
      <c r="BKE112" s="17"/>
      <c r="BKF112" s="17"/>
      <c r="BKG112" s="17"/>
      <c r="BKH112" s="17"/>
      <c r="BKI112" s="17"/>
      <c r="BKJ112" s="17"/>
      <c r="BKK112" s="17"/>
      <c r="BKL112" s="17"/>
      <c r="BKM112" s="17"/>
      <c r="BKN112" s="17"/>
      <c r="BKO112" s="17"/>
      <c r="BKP112" s="17"/>
      <c r="BKQ112" s="17"/>
      <c r="BKR112" s="17"/>
      <c r="BKS112" s="17"/>
      <c r="BKT112" s="17"/>
      <c r="BKU112" s="17"/>
      <c r="BKV112" s="17"/>
      <c r="BKW112" s="17"/>
      <c r="BKX112" s="17"/>
      <c r="BKY112" s="17"/>
      <c r="BKZ112" s="17"/>
      <c r="BLA112" s="17"/>
      <c r="BLB112" s="17"/>
      <c r="BLC112" s="17"/>
      <c r="BLD112" s="17"/>
      <c r="BLE112" s="17"/>
      <c r="BLF112" s="17"/>
      <c r="BLG112" s="17"/>
      <c r="BLH112" s="17"/>
      <c r="BLI112" s="17"/>
      <c r="BLJ112" s="17"/>
      <c r="BLK112" s="17"/>
      <c r="BLL112" s="17"/>
      <c r="BLM112" s="17"/>
      <c r="BLN112" s="17"/>
      <c r="BLO112" s="17"/>
      <c r="BLP112" s="17"/>
      <c r="BLQ112" s="17"/>
      <c r="BLR112" s="17"/>
      <c r="BLS112" s="17"/>
      <c r="BLT112" s="17"/>
      <c r="BLU112" s="17"/>
      <c r="BLV112" s="17"/>
      <c r="BLW112" s="17"/>
      <c r="BLX112" s="17"/>
      <c r="BLY112" s="17"/>
      <c r="BLZ112" s="17"/>
      <c r="BMA112" s="17"/>
      <c r="BMB112" s="17"/>
      <c r="BMC112" s="17"/>
      <c r="BMD112" s="17"/>
      <c r="BME112" s="17"/>
      <c r="BMF112" s="17"/>
      <c r="BMG112" s="17"/>
      <c r="BMH112" s="17"/>
      <c r="BMI112" s="17"/>
      <c r="BMJ112" s="17"/>
      <c r="BMK112" s="17"/>
      <c r="BML112" s="17"/>
      <c r="BMM112" s="17"/>
      <c r="BMN112" s="17"/>
      <c r="BMO112" s="17"/>
      <c r="BMP112" s="17"/>
      <c r="BMQ112" s="17"/>
      <c r="BMR112" s="17"/>
      <c r="BMS112" s="17"/>
      <c r="BMT112" s="17"/>
      <c r="BMU112" s="17"/>
      <c r="BMV112" s="17"/>
      <c r="BMW112" s="17"/>
      <c r="BMX112" s="17"/>
      <c r="BMY112" s="17"/>
      <c r="BMZ112" s="17"/>
      <c r="BNA112" s="17"/>
      <c r="BNB112" s="17"/>
      <c r="BNC112" s="17"/>
      <c r="BND112" s="17"/>
      <c r="BNE112" s="17"/>
      <c r="BNF112" s="17"/>
      <c r="BNG112" s="17"/>
      <c r="BNH112" s="17"/>
      <c r="BNI112" s="17"/>
      <c r="BNJ112" s="17"/>
      <c r="BNK112" s="17"/>
      <c r="BNL112" s="17"/>
      <c r="BNM112" s="17"/>
      <c r="BNN112" s="17"/>
      <c r="BNO112" s="17"/>
      <c r="BNP112" s="17"/>
      <c r="BNQ112" s="17"/>
      <c r="BNR112" s="17"/>
      <c r="BNS112" s="17"/>
      <c r="BNT112" s="17"/>
      <c r="BNU112" s="17"/>
      <c r="BNV112" s="17"/>
      <c r="BNW112" s="17"/>
      <c r="BNX112" s="17"/>
      <c r="BNY112" s="17"/>
      <c r="BNZ112" s="17"/>
      <c r="BOA112" s="17"/>
      <c r="BOB112" s="17"/>
      <c r="BOC112" s="17"/>
      <c r="BOD112" s="17"/>
      <c r="BOE112" s="17"/>
      <c r="BOF112" s="17"/>
      <c r="BOG112" s="17"/>
      <c r="BOH112" s="17"/>
      <c r="BOI112" s="17"/>
      <c r="BOJ112" s="17"/>
      <c r="BOK112" s="17"/>
      <c r="BOL112" s="17"/>
      <c r="BOM112" s="17"/>
      <c r="BON112" s="17"/>
      <c r="BOO112" s="17"/>
      <c r="BOP112" s="17"/>
      <c r="BOQ112" s="17"/>
      <c r="BOR112" s="17"/>
      <c r="BOS112" s="17"/>
      <c r="BOT112" s="17"/>
      <c r="BOU112" s="17"/>
      <c r="BOV112" s="17"/>
      <c r="BOW112" s="17"/>
      <c r="BOX112" s="17"/>
      <c r="BOY112" s="17"/>
      <c r="BOZ112" s="17"/>
      <c r="BPA112" s="17"/>
      <c r="BPB112" s="17"/>
      <c r="BPC112" s="17"/>
      <c r="BPD112" s="17"/>
      <c r="BPE112" s="17"/>
      <c r="BPF112" s="17"/>
      <c r="BPG112" s="17"/>
      <c r="BPH112" s="17"/>
      <c r="BPI112" s="17"/>
      <c r="BPJ112" s="17"/>
      <c r="BPK112" s="17"/>
      <c r="BPL112" s="17"/>
      <c r="BPM112" s="17"/>
      <c r="BPN112" s="17"/>
      <c r="BPO112" s="17"/>
      <c r="BPP112" s="17"/>
      <c r="BPQ112" s="17"/>
      <c r="BPR112" s="17"/>
      <c r="BPS112" s="17"/>
      <c r="BPT112" s="17"/>
      <c r="BPU112" s="17"/>
      <c r="BPV112" s="17"/>
      <c r="BPW112" s="17"/>
      <c r="BPX112" s="17"/>
      <c r="BPY112" s="17"/>
      <c r="BPZ112" s="17"/>
      <c r="BQA112" s="17"/>
      <c r="BQB112" s="17"/>
      <c r="BQC112" s="17"/>
      <c r="BQD112" s="17"/>
      <c r="BQE112" s="17"/>
      <c r="BQF112" s="17"/>
      <c r="BQG112" s="17"/>
      <c r="BQH112" s="17"/>
      <c r="BQI112" s="17"/>
      <c r="BQJ112" s="17"/>
      <c r="BQK112" s="17"/>
      <c r="BQL112" s="17"/>
      <c r="BQM112" s="17"/>
      <c r="BQN112" s="17"/>
      <c r="BQO112" s="17"/>
      <c r="BQP112" s="17"/>
      <c r="BQQ112" s="17"/>
      <c r="BQR112" s="17"/>
      <c r="BQS112" s="17"/>
      <c r="BQT112" s="17"/>
      <c r="BQU112" s="17"/>
      <c r="BQV112" s="17"/>
      <c r="BQW112" s="17"/>
      <c r="BQX112" s="17"/>
      <c r="BQY112" s="17"/>
      <c r="BQZ112" s="17"/>
      <c r="BRA112" s="17"/>
      <c r="BRB112" s="17"/>
      <c r="BRC112" s="17"/>
      <c r="BRD112" s="17"/>
      <c r="BRE112" s="17"/>
      <c r="BRF112" s="17"/>
      <c r="BRG112" s="17"/>
      <c r="BRH112" s="17"/>
      <c r="BRI112" s="17"/>
      <c r="BRJ112" s="17"/>
      <c r="BRK112" s="17"/>
      <c r="BRL112" s="17"/>
      <c r="BRM112" s="17"/>
      <c r="BRN112" s="17"/>
      <c r="BRO112" s="17"/>
      <c r="BRP112" s="17"/>
      <c r="BRQ112" s="17"/>
      <c r="BRR112" s="17"/>
      <c r="BRS112" s="17"/>
      <c r="BRT112" s="17"/>
      <c r="BRU112" s="17"/>
      <c r="BRV112" s="17"/>
      <c r="BRW112" s="17"/>
      <c r="BRX112" s="17"/>
      <c r="BRY112" s="17"/>
      <c r="BRZ112" s="17"/>
      <c r="BSA112" s="17"/>
      <c r="BSB112" s="17"/>
      <c r="BSC112" s="17"/>
      <c r="BSD112" s="17"/>
      <c r="BSE112" s="17"/>
      <c r="BSF112" s="17"/>
      <c r="BSG112" s="17"/>
      <c r="BSH112" s="17"/>
      <c r="BSI112" s="17"/>
      <c r="BSJ112" s="17"/>
      <c r="BSK112" s="17"/>
      <c r="BSL112" s="17"/>
      <c r="BSM112" s="17"/>
      <c r="BSN112" s="17"/>
      <c r="BSO112" s="17"/>
      <c r="BSP112" s="17"/>
      <c r="BSQ112" s="17"/>
      <c r="BSR112" s="17"/>
      <c r="BSS112" s="17"/>
      <c r="BST112" s="17"/>
      <c r="BSU112" s="17"/>
      <c r="BSV112" s="17"/>
      <c r="BSW112" s="17"/>
      <c r="BSX112" s="17"/>
      <c r="BSY112" s="17"/>
      <c r="BSZ112" s="17"/>
      <c r="BTA112" s="17"/>
      <c r="BTB112" s="17"/>
      <c r="BTC112" s="17"/>
      <c r="BTD112" s="17"/>
      <c r="BTE112" s="17"/>
      <c r="BTF112" s="17"/>
      <c r="BTG112" s="17"/>
      <c r="BTH112" s="17"/>
      <c r="BTI112" s="17"/>
      <c r="BTJ112" s="17"/>
      <c r="BTK112" s="17"/>
      <c r="BTL112" s="17"/>
      <c r="BTM112" s="17"/>
      <c r="BTN112" s="17"/>
      <c r="BTO112" s="17"/>
      <c r="BTP112" s="17"/>
      <c r="BTQ112" s="17"/>
      <c r="BTR112" s="17"/>
      <c r="BTS112" s="17"/>
      <c r="BTT112" s="17"/>
      <c r="BTU112" s="17"/>
      <c r="BTV112" s="17"/>
      <c r="BTW112" s="17"/>
      <c r="BTX112" s="17"/>
      <c r="BTY112" s="17"/>
      <c r="BTZ112" s="17"/>
      <c r="BUA112" s="17"/>
      <c r="BUB112" s="17"/>
      <c r="BUC112" s="17"/>
      <c r="BUD112" s="17"/>
      <c r="BUE112" s="17"/>
      <c r="BUF112" s="17"/>
      <c r="BUG112" s="17"/>
      <c r="BUH112" s="17"/>
      <c r="BUI112" s="17"/>
      <c r="BUJ112" s="17"/>
      <c r="BUK112" s="17"/>
      <c r="BUL112" s="17"/>
      <c r="BUM112" s="17"/>
      <c r="BUN112" s="17"/>
      <c r="BUO112" s="17"/>
      <c r="BUP112" s="17"/>
      <c r="BUQ112" s="17"/>
      <c r="BUR112" s="17"/>
      <c r="BUS112" s="17"/>
      <c r="BUT112" s="17"/>
      <c r="BUU112" s="17"/>
      <c r="BUV112" s="17"/>
      <c r="BUW112" s="17"/>
      <c r="BUX112" s="17"/>
      <c r="BUY112" s="17"/>
      <c r="BUZ112" s="17"/>
      <c r="BVA112" s="17"/>
      <c r="BVB112" s="17"/>
      <c r="BVC112" s="17"/>
      <c r="BVD112" s="17"/>
      <c r="BVE112" s="17"/>
      <c r="BVF112" s="17"/>
      <c r="BVG112" s="17"/>
      <c r="BVH112" s="17"/>
      <c r="BVI112" s="17"/>
      <c r="BVJ112" s="17"/>
      <c r="BVK112" s="17"/>
      <c r="BVL112" s="17"/>
      <c r="BVM112" s="17"/>
      <c r="BVN112" s="17"/>
      <c r="BVO112" s="17"/>
      <c r="BVP112" s="17"/>
      <c r="BVQ112" s="17"/>
      <c r="BVR112" s="17"/>
      <c r="BVS112" s="17"/>
      <c r="BVT112" s="17"/>
      <c r="BVU112" s="17"/>
      <c r="BVV112" s="17"/>
      <c r="BVW112" s="17"/>
      <c r="BVX112" s="17"/>
      <c r="BVY112" s="17"/>
      <c r="BVZ112" s="17"/>
      <c r="BWA112" s="17"/>
      <c r="BWB112" s="17"/>
      <c r="BWC112" s="17"/>
      <c r="BWD112" s="17"/>
      <c r="BWE112" s="17"/>
      <c r="BWF112" s="17"/>
      <c r="BWG112" s="17"/>
      <c r="BWH112" s="17"/>
      <c r="BWI112" s="17"/>
      <c r="BWJ112" s="17"/>
      <c r="BWK112" s="17"/>
      <c r="BWL112" s="17"/>
      <c r="BWM112" s="17"/>
      <c r="BWN112" s="17"/>
      <c r="BWO112" s="17"/>
      <c r="BWP112" s="17"/>
      <c r="BWQ112" s="17"/>
      <c r="BWR112" s="17"/>
      <c r="BWS112" s="17"/>
      <c r="BWT112" s="17"/>
      <c r="BWU112" s="17"/>
      <c r="BWV112" s="17"/>
      <c r="BWW112" s="17"/>
      <c r="BWX112" s="17"/>
      <c r="BWY112" s="17"/>
      <c r="BWZ112" s="17"/>
      <c r="BXA112" s="17"/>
      <c r="BXB112" s="17"/>
      <c r="BXC112" s="17"/>
      <c r="BXD112" s="17"/>
      <c r="BXE112" s="17"/>
      <c r="BXF112" s="17"/>
      <c r="BXG112" s="17"/>
      <c r="BXH112" s="17"/>
      <c r="BXI112" s="17"/>
      <c r="BXJ112" s="17"/>
      <c r="BXK112" s="17"/>
      <c r="BXL112" s="17"/>
      <c r="BXM112" s="17"/>
      <c r="BXN112" s="17"/>
      <c r="BXO112" s="17"/>
      <c r="BXP112" s="17"/>
      <c r="BXQ112" s="17"/>
      <c r="BXR112" s="17"/>
      <c r="BXS112" s="17"/>
      <c r="BXT112" s="17"/>
      <c r="BXU112" s="17"/>
      <c r="BXV112" s="17"/>
      <c r="BXW112" s="17"/>
      <c r="BXX112" s="17"/>
      <c r="BXY112" s="17"/>
      <c r="BXZ112" s="17"/>
      <c r="BYA112" s="17"/>
      <c r="BYB112" s="17"/>
      <c r="BYC112" s="17"/>
      <c r="BYD112" s="17"/>
      <c r="BYE112" s="17"/>
      <c r="BYF112" s="17"/>
      <c r="BYG112" s="17"/>
      <c r="BYH112" s="17"/>
      <c r="BYI112" s="17"/>
      <c r="BYJ112" s="17"/>
      <c r="BYK112" s="17"/>
      <c r="BYL112" s="17"/>
      <c r="BYM112" s="17"/>
      <c r="BYN112" s="17"/>
      <c r="BYO112" s="17"/>
      <c r="BYP112" s="17"/>
      <c r="BYQ112" s="17"/>
      <c r="BYR112" s="17"/>
      <c r="BYS112" s="17"/>
      <c r="BYT112" s="17"/>
      <c r="BYU112" s="17"/>
      <c r="BYV112" s="17"/>
      <c r="BYW112" s="17"/>
      <c r="BYX112" s="17"/>
      <c r="BYY112" s="17"/>
      <c r="BYZ112" s="17"/>
      <c r="BZA112" s="17"/>
      <c r="BZB112" s="17"/>
      <c r="BZC112" s="17"/>
      <c r="BZD112" s="17"/>
      <c r="BZE112" s="17"/>
      <c r="BZF112" s="17"/>
      <c r="BZG112" s="17"/>
      <c r="BZH112" s="17"/>
      <c r="BZI112" s="17"/>
      <c r="BZJ112" s="17"/>
      <c r="BZK112" s="17"/>
      <c r="BZL112" s="17"/>
      <c r="BZM112" s="17"/>
      <c r="BZN112" s="17"/>
      <c r="BZO112" s="17"/>
      <c r="BZP112" s="17"/>
      <c r="BZQ112" s="17"/>
      <c r="BZR112" s="17"/>
      <c r="BZS112" s="17"/>
      <c r="BZT112" s="17"/>
      <c r="BZU112" s="17"/>
      <c r="BZV112" s="17"/>
      <c r="BZW112" s="17"/>
      <c r="BZX112" s="17"/>
      <c r="BZY112" s="17"/>
      <c r="BZZ112" s="17"/>
      <c r="CAA112" s="17"/>
      <c r="CAB112" s="17"/>
      <c r="CAC112" s="17"/>
      <c r="CAD112" s="17"/>
      <c r="CAE112" s="17"/>
      <c r="CAF112" s="17"/>
      <c r="CAG112" s="17"/>
      <c r="CAH112" s="17"/>
      <c r="CAI112" s="17"/>
      <c r="CAJ112" s="17"/>
      <c r="CAK112" s="17"/>
      <c r="CAL112" s="17"/>
      <c r="CAM112" s="17"/>
      <c r="CAN112" s="17"/>
      <c r="CAO112" s="17"/>
      <c r="CAP112" s="17"/>
      <c r="CAQ112" s="17"/>
      <c r="CAR112" s="17"/>
      <c r="CAS112" s="17"/>
      <c r="CAT112" s="17"/>
      <c r="CAU112" s="17"/>
      <c r="CAV112" s="17"/>
      <c r="CAW112" s="17"/>
      <c r="CAX112" s="17"/>
      <c r="CAY112" s="17"/>
      <c r="CAZ112" s="17"/>
      <c r="CBA112" s="17"/>
      <c r="CBB112" s="17"/>
      <c r="CBC112" s="17"/>
      <c r="CBD112" s="17"/>
      <c r="CBE112" s="17"/>
      <c r="CBF112" s="17"/>
      <c r="CBG112" s="17"/>
      <c r="CBH112" s="17"/>
      <c r="CBI112" s="17"/>
      <c r="CBJ112" s="17"/>
      <c r="CBK112" s="17"/>
      <c r="CBL112" s="17"/>
      <c r="CBM112" s="17"/>
      <c r="CBN112" s="17"/>
      <c r="CBO112" s="17"/>
      <c r="CBP112" s="17"/>
      <c r="CBQ112" s="17"/>
      <c r="CBR112" s="17"/>
      <c r="CBS112" s="17"/>
      <c r="CBT112" s="17"/>
      <c r="CBU112" s="17"/>
      <c r="CBV112" s="17"/>
      <c r="CBW112" s="17"/>
      <c r="CBX112" s="17"/>
      <c r="CBY112" s="17"/>
      <c r="CBZ112" s="17"/>
      <c r="CCA112" s="17"/>
      <c r="CCB112" s="17"/>
      <c r="CCC112" s="17"/>
      <c r="CCD112" s="17"/>
      <c r="CCE112" s="17"/>
      <c r="CCF112" s="17"/>
      <c r="CCG112" s="17"/>
      <c r="CCH112" s="17"/>
      <c r="CCI112" s="17"/>
      <c r="CCJ112" s="17"/>
      <c r="CCK112" s="17"/>
      <c r="CCL112" s="17"/>
      <c r="CCM112" s="17"/>
      <c r="CCN112" s="17"/>
      <c r="CCO112" s="17"/>
      <c r="CCP112" s="17"/>
      <c r="CCQ112" s="17"/>
      <c r="CCR112" s="17"/>
      <c r="CCS112" s="17"/>
      <c r="CCT112" s="17"/>
      <c r="CCU112" s="17"/>
      <c r="CCV112" s="17"/>
      <c r="CCW112" s="17"/>
      <c r="CCX112" s="17"/>
      <c r="CCY112" s="17"/>
      <c r="CCZ112" s="17"/>
      <c r="CDA112" s="17"/>
      <c r="CDB112" s="17"/>
      <c r="CDC112" s="17"/>
      <c r="CDD112" s="17"/>
      <c r="CDE112" s="17"/>
      <c r="CDF112" s="17"/>
      <c r="CDG112" s="17"/>
      <c r="CDH112" s="17"/>
      <c r="CDI112" s="17"/>
      <c r="CDJ112" s="17"/>
      <c r="CDK112" s="17"/>
      <c r="CDL112" s="17"/>
      <c r="CDM112" s="17"/>
      <c r="CDN112" s="17"/>
      <c r="CDO112" s="17"/>
      <c r="CDP112" s="17"/>
      <c r="CDQ112" s="17"/>
      <c r="CDR112" s="17"/>
      <c r="CDS112" s="17"/>
      <c r="CDT112" s="17"/>
      <c r="CDU112" s="17"/>
      <c r="CDV112" s="17"/>
      <c r="CDW112" s="17"/>
      <c r="CDX112" s="17"/>
      <c r="CDY112" s="17"/>
      <c r="CDZ112" s="17"/>
      <c r="CEA112" s="17"/>
      <c r="CEB112" s="17"/>
      <c r="CEC112" s="17"/>
      <c r="CED112" s="17"/>
      <c r="CEE112" s="17"/>
      <c r="CEF112" s="17"/>
      <c r="CEG112" s="17"/>
      <c r="CEH112" s="17"/>
      <c r="CEI112" s="17"/>
      <c r="CEJ112" s="17"/>
      <c r="CEK112" s="17"/>
      <c r="CEL112" s="17"/>
      <c r="CEM112" s="17"/>
      <c r="CEN112" s="17"/>
      <c r="CEO112" s="17"/>
      <c r="CEP112" s="17"/>
      <c r="CEQ112" s="17"/>
      <c r="CER112" s="17"/>
      <c r="CES112" s="17"/>
      <c r="CET112" s="17"/>
      <c r="CEU112" s="17"/>
      <c r="CEV112" s="17"/>
      <c r="CEW112" s="17"/>
      <c r="CEX112" s="17"/>
      <c r="CEY112" s="17"/>
      <c r="CEZ112" s="17"/>
      <c r="CFA112" s="17"/>
      <c r="CFB112" s="17"/>
      <c r="CFC112" s="17"/>
      <c r="CFD112" s="17"/>
      <c r="CFE112" s="17"/>
      <c r="CFF112" s="17"/>
      <c r="CFG112" s="17"/>
      <c r="CFH112" s="17"/>
      <c r="CFI112" s="17"/>
      <c r="CFJ112" s="17"/>
      <c r="CFK112" s="17"/>
      <c r="CFL112" s="17"/>
      <c r="CFM112" s="17"/>
      <c r="CFN112" s="17"/>
      <c r="CFO112" s="17"/>
      <c r="CFP112" s="17"/>
      <c r="CFQ112" s="17"/>
      <c r="CFR112" s="17"/>
      <c r="CFS112" s="17"/>
      <c r="CFT112" s="17"/>
      <c r="CFU112" s="17"/>
      <c r="CFV112" s="17"/>
      <c r="CFW112" s="17"/>
      <c r="CFX112" s="17"/>
      <c r="CFY112" s="17"/>
      <c r="CFZ112" s="17"/>
      <c r="CGA112" s="17"/>
      <c r="CGB112" s="17"/>
      <c r="CGC112" s="17"/>
      <c r="CGD112" s="17"/>
      <c r="CGE112" s="17"/>
      <c r="CGF112" s="17"/>
      <c r="CGG112" s="17"/>
      <c r="CGH112" s="17"/>
      <c r="CGI112" s="17"/>
      <c r="CGJ112" s="17"/>
      <c r="CGK112" s="17"/>
      <c r="CGL112" s="17"/>
      <c r="CGM112" s="17"/>
      <c r="CGN112" s="17"/>
      <c r="CGO112" s="17"/>
      <c r="CGP112" s="17"/>
      <c r="CGQ112" s="17"/>
      <c r="CGR112" s="17"/>
      <c r="CGS112" s="17"/>
      <c r="CGT112" s="17"/>
      <c r="CGU112" s="17"/>
      <c r="CGV112" s="17"/>
      <c r="CGW112" s="17"/>
      <c r="CGX112" s="17"/>
      <c r="CGY112" s="17"/>
      <c r="CGZ112" s="17"/>
      <c r="CHA112" s="17"/>
      <c r="CHB112" s="17"/>
      <c r="CHC112" s="17"/>
      <c r="CHD112" s="17"/>
      <c r="CHE112" s="17"/>
      <c r="CHF112" s="17"/>
      <c r="CHG112" s="17"/>
      <c r="CHH112" s="17"/>
      <c r="CHI112" s="17"/>
      <c r="CHJ112" s="17"/>
      <c r="CHK112" s="17"/>
      <c r="CHL112" s="17"/>
      <c r="CHM112" s="17"/>
      <c r="CHN112" s="17"/>
      <c r="CHO112" s="17"/>
      <c r="CHP112" s="17"/>
      <c r="CHQ112" s="17"/>
      <c r="CHR112" s="17"/>
      <c r="CHS112" s="17"/>
      <c r="CHT112" s="17"/>
      <c r="CHU112" s="17"/>
      <c r="CHV112" s="17"/>
      <c r="CHW112" s="17"/>
      <c r="CHX112" s="17"/>
      <c r="CHY112" s="17"/>
      <c r="CHZ112" s="17"/>
      <c r="CIA112" s="17"/>
      <c r="CIB112" s="17"/>
      <c r="CIC112" s="17"/>
      <c r="CID112" s="17"/>
      <c r="CIE112" s="17"/>
      <c r="CIF112" s="17"/>
      <c r="CIG112" s="17"/>
      <c r="CIH112" s="17"/>
      <c r="CII112" s="17"/>
      <c r="CIJ112" s="17"/>
      <c r="CIK112" s="17"/>
      <c r="CIL112" s="17"/>
      <c r="CIM112" s="17"/>
      <c r="CIN112" s="17"/>
      <c r="CIO112" s="17"/>
      <c r="CIP112" s="17"/>
      <c r="CIQ112" s="17"/>
      <c r="CIR112" s="17"/>
      <c r="CIS112" s="17"/>
      <c r="CIT112" s="17"/>
      <c r="CIU112" s="17"/>
      <c r="CIV112" s="17"/>
      <c r="CIW112" s="17"/>
      <c r="CIX112" s="17"/>
      <c r="CIY112" s="17"/>
      <c r="CIZ112" s="17"/>
      <c r="CJA112" s="17"/>
      <c r="CJB112" s="17"/>
      <c r="CJC112" s="17"/>
      <c r="CJD112" s="17"/>
      <c r="CJE112" s="17"/>
      <c r="CJF112" s="17"/>
      <c r="CJG112" s="17"/>
      <c r="CJH112" s="17"/>
      <c r="CJI112" s="17"/>
      <c r="CJJ112" s="17"/>
      <c r="CJK112" s="17"/>
      <c r="CJL112" s="17"/>
      <c r="CJM112" s="17"/>
      <c r="CJN112" s="17"/>
      <c r="CJO112" s="17"/>
      <c r="CJP112" s="17"/>
      <c r="CJQ112" s="17"/>
      <c r="CJR112" s="17"/>
      <c r="CJS112" s="17"/>
      <c r="CJT112" s="17"/>
      <c r="CJU112" s="17"/>
      <c r="CJV112" s="17"/>
      <c r="CJW112" s="17"/>
      <c r="CJX112" s="17"/>
      <c r="CJY112" s="17"/>
      <c r="CJZ112" s="17"/>
      <c r="CKA112" s="17"/>
      <c r="CKB112" s="17"/>
      <c r="CKC112" s="17"/>
      <c r="CKD112" s="17"/>
      <c r="CKE112" s="17"/>
      <c r="CKF112" s="17"/>
      <c r="CKG112" s="17"/>
      <c r="CKH112" s="17"/>
      <c r="CKI112" s="17"/>
      <c r="CKJ112" s="17"/>
      <c r="CKK112" s="17"/>
      <c r="CKL112" s="17"/>
      <c r="CKM112" s="17"/>
      <c r="CKN112" s="17"/>
      <c r="CKO112" s="17"/>
      <c r="CKP112" s="17"/>
      <c r="CKQ112" s="17"/>
      <c r="CKR112" s="17"/>
      <c r="CKS112" s="17"/>
      <c r="CKT112" s="17"/>
      <c r="CKU112" s="17"/>
      <c r="CKV112" s="17"/>
      <c r="CKW112" s="17"/>
      <c r="CKX112" s="17"/>
      <c r="CKY112" s="17"/>
      <c r="CKZ112" s="17"/>
      <c r="CLA112" s="17"/>
      <c r="CLB112" s="17"/>
      <c r="CLC112" s="17"/>
      <c r="CLD112" s="17"/>
      <c r="CLE112" s="17"/>
      <c r="CLF112" s="17"/>
      <c r="CLG112" s="17"/>
      <c r="CLH112" s="17"/>
      <c r="CLI112" s="17"/>
      <c r="CLJ112" s="17"/>
      <c r="CLK112" s="17"/>
      <c r="CLL112" s="17"/>
      <c r="CLM112" s="17"/>
      <c r="CLN112" s="17"/>
      <c r="CLO112" s="17"/>
      <c r="CLP112" s="17"/>
      <c r="CLQ112" s="17"/>
      <c r="CLR112" s="17"/>
      <c r="CLS112" s="17"/>
      <c r="CLT112" s="17"/>
      <c r="CLU112" s="17"/>
      <c r="CLV112" s="17"/>
      <c r="CLW112" s="17"/>
      <c r="CLX112" s="17"/>
      <c r="CLY112" s="17"/>
      <c r="CLZ112" s="17"/>
      <c r="CMA112" s="17"/>
      <c r="CMB112" s="17"/>
      <c r="CMC112" s="17"/>
      <c r="CMD112" s="17"/>
      <c r="CME112" s="17"/>
      <c r="CMF112" s="17"/>
      <c r="CMG112" s="17"/>
      <c r="CMH112" s="17"/>
      <c r="CMI112" s="17"/>
      <c r="CMJ112" s="17"/>
      <c r="CMK112" s="17"/>
      <c r="CML112" s="17"/>
      <c r="CMM112" s="17"/>
      <c r="CMN112" s="17"/>
      <c r="CMO112" s="17"/>
      <c r="CMP112" s="17"/>
      <c r="CMQ112" s="17"/>
      <c r="CMR112" s="17"/>
      <c r="CMS112" s="17"/>
      <c r="CMT112" s="17"/>
      <c r="CMU112" s="17"/>
      <c r="CMV112" s="17"/>
      <c r="CMW112" s="17"/>
      <c r="CMX112" s="17"/>
      <c r="CMY112" s="17"/>
      <c r="CMZ112" s="17"/>
      <c r="CNA112" s="17"/>
      <c r="CNB112" s="17"/>
      <c r="CNC112" s="17"/>
      <c r="CND112" s="17"/>
      <c r="CNE112" s="17"/>
      <c r="CNF112" s="17"/>
      <c r="CNG112" s="17"/>
      <c r="CNH112" s="17"/>
      <c r="CNI112" s="17"/>
      <c r="CNJ112" s="17"/>
      <c r="CNK112" s="17"/>
      <c r="CNL112" s="17"/>
      <c r="CNM112" s="17"/>
      <c r="CNN112" s="17"/>
      <c r="CNO112" s="17"/>
      <c r="CNP112" s="17"/>
      <c r="CNQ112" s="17"/>
      <c r="CNR112" s="17"/>
      <c r="CNS112" s="17"/>
      <c r="CNT112" s="17"/>
      <c r="CNU112" s="17"/>
      <c r="CNV112" s="17"/>
      <c r="CNW112" s="17"/>
      <c r="CNX112" s="17"/>
      <c r="CNY112" s="17"/>
      <c r="CNZ112" s="17"/>
      <c r="COA112" s="17"/>
      <c r="COB112" s="17"/>
      <c r="COC112" s="17"/>
      <c r="COD112" s="17"/>
      <c r="COE112" s="17"/>
      <c r="COF112" s="17"/>
      <c r="COG112" s="17"/>
      <c r="COH112" s="17"/>
      <c r="COI112" s="17"/>
      <c r="COJ112" s="17"/>
      <c r="COK112" s="17"/>
      <c r="COL112" s="17"/>
      <c r="COM112" s="17"/>
      <c r="CON112" s="17"/>
      <c r="COO112" s="17"/>
      <c r="COP112" s="17"/>
      <c r="COQ112" s="17"/>
      <c r="COR112" s="17"/>
      <c r="COS112" s="17"/>
      <c r="COT112" s="17"/>
      <c r="COU112" s="17"/>
      <c r="COV112" s="17"/>
      <c r="COW112" s="17"/>
      <c r="COX112" s="17"/>
      <c r="COY112" s="17"/>
      <c r="COZ112" s="17"/>
      <c r="CPA112" s="17"/>
      <c r="CPB112" s="17"/>
      <c r="CPC112" s="17"/>
      <c r="CPD112" s="17"/>
      <c r="CPE112" s="17"/>
      <c r="CPF112" s="17"/>
      <c r="CPG112" s="17"/>
      <c r="CPH112" s="17"/>
      <c r="CPI112" s="17"/>
      <c r="CPJ112" s="17"/>
      <c r="CPK112" s="17"/>
      <c r="CPL112" s="17"/>
      <c r="CPM112" s="17"/>
      <c r="CPN112" s="17"/>
      <c r="CPO112" s="17"/>
      <c r="CPP112" s="17"/>
      <c r="CPQ112" s="17"/>
      <c r="CPR112" s="17"/>
      <c r="CPS112" s="17"/>
      <c r="CPT112" s="17"/>
      <c r="CPU112" s="17"/>
      <c r="CPV112" s="17"/>
      <c r="CPW112" s="17"/>
      <c r="CPX112" s="17"/>
      <c r="CPY112" s="17"/>
      <c r="CPZ112" s="17"/>
      <c r="CQA112" s="17"/>
      <c r="CQB112" s="17"/>
      <c r="CQC112" s="17"/>
      <c r="CQD112" s="17"/>
      <c r="CQE112" s="17"/>
      <c r="CQF112" s="17"/>
      <c r="CQG112" s="17"/>
      <c r="CQH112" s="17"/>
      <c r="CQI112" s="17"/>
      <c r="CQJ112" s="17"/>
      <c r="CQK112" s="17"/>
      <c r="CQL112" s="17"/>
      <c r="CQM112" s="17"/>
      <c r="CQN112" s="17"/>
      <c r="CQO112" s="17"/>
      <c r="CQP112" s="17"/>
      <c r="CQQ112" s="17"/>
      <c r="CQR112" s="17"/>
      <c r="CQS112" s="17"/>
      <c r="CQT112" s="17"/>
      <c r="CQU112" s="17"/>
      <c r="CQV112" s="17"/>
      <c r="CQW112" s="17"/>
      <c r="CQX112" s="17"/>
      <c r="CQY112" s="17"/>
      <c r="CQZ112" s="17"/>
      <c r="CRA112" s="17"/>
      <c r="CRB112" s="17"/>
      <c r="CRC112" s="17"/>
      <c r="CRD112" s="17"/>
      <c r="CRE112" s="17"/>
      <c r="CRF112" s="17"/>
      <c r="CRG112" s="17"/>
      <c r="CRH112" s="17"/>
      <c r="CRI112" s="17"/>
      <c r="CRJ112" s="17"/>
      <c r="CRK112" s="17"/>
      <c r="CRL112" s="17"/>
      <c r="CRM112" s="17"/>
      <c r="CRN112" s="17"/>
      <c r="CRO112" s="17"/>
      <c r="CRP112" s="17"/>
      <c r="CRQ112" s="17"/>
      <c r="CRR112" s="17"/>
      <c r="CRS112" s="17"/>
      <c r="CRT112" s="17"/>
      <c r="CRU112" s="17"/>
      <c r="CRV112" s="17"/>
      <c r="CRW112" s="17"/>
      <c r="CRX112" s="17"/>
      <c r="CRY112" s="17"/>
      <c r="CRZ112" s="17"/>
      <c r="CSA112" s="17"/>
      <c r="CSB112" s="17"/>
      <c r="CSC112" s="17"/>
      <c r="CSD112" s="17"/>
      <c r="CSE112" s="17"/>
      <c r="CSF112" s="17"/>
      <c r="CSG112" s="17"/>
      <c r="CSH112" s="17"/>
      <c r="CSI112" s="17"/>
      <c r="CSJ112" s="17"/>
      <c r="CSK112" s="17"/>
      <c r="CSL112" s="17"/>
      <c r="CSM112" s="17"/>
      <c r="CSN112" s="17"/>
      <c r="CSO112" s="17"/>
      <c r="CSP112" s="17"/>
      <c r="CSQ112" s="17"/>
      <c r="CSR112" s="17"/>
      <c r="CSS112" s="17"/>
      <c r="CST112" s="17"/>
      <c r="CSU112" s="17"/>
      <c r="CSV112" s="17"/>
      <c r="CSW112" s="17"/>
      <c r="CSX112" s="17"/>
      <c r="CSY112" s="17"/>
      <c r="CSZ112" s="17"/>
      <c r="CTA112" s="17"/>
      <c r="CTB112" s="17"/>
      <c r="CTC112" s="17"/>
      <c r="CTD112" s="17"/>
      <c r="CTE112" s="17"/>
      <c r="CTF112" s="17"/>
      <c r="CTG112" s="17"/>
      <c r="CTH112" s="17"/>
      <c r="CTI112" s="17"/>
      <c r="CTJ112" s="17"/>
      <c r="CTK112" s="17"/>
      <c r="CTL112" s="17"/>
      <c r="CTM112" s="17"/>
      <c r="CTN112" s="17"/>
      <c r="CTO112" s="17"/>
      <c r="CTP112" s="17"/>
      <c r="CTQ112" s="17"/>
      <c r="CTR112" s="17"/>
      <c r="CTS112" s="17"/>
      <c r="CTT112" s="17"/>
      <c r="CTU112" s="17"/>
      <c r="CTV112" s="17"/>
      <c r="CTW112" s="17"/>
      <c r="CTX112" s="17"/>
      <c r="CTY112" s="17"/>
      <c r="CTZ112" s="17"/>
      <c r="CUA112" s="17"/>
      <c r="CUB112" s="17"/>
      <c r="CUC112" s="17"/>
      <c r="CUD112" s="17"/>
      <c r="CUE112" s="17"/>
      <c r="CUF112" s="17"/>
      <c r="CUG112" s="17"/>
      <c r="CUH112" s="17"/>
      <c r="CUI112" s="17"/>
      <c r="CUJ112" s="17"/>
      <c r="CUK112" s="17"/>
      <c r="CUL112" s="17"/>
      <c r="CUM112" s="17"/>
      <c r="CUN112" s="17"/>
      <c r="CUO112" s="17"/>
      <c r="CUP112" s="17"/>
      <c r="CUQ112" s="17"/>
      <c r="CUR112" s="17"/>
      <c r="CUS112" s="17"/>
      <c r="CUT112" s="17"/>
      <c r="CUU112" s="17"/>
      <c r="CUV112" s="17"/>
      <c r="CUW112" s="17"/>
      <c r="CUX112" s="17"/>
      <c r="CUY112" s="17"/>
      <c r="CUZ112" s="17"/>
      <c r="CVA112" s="17"/>
      <c r="CVB112" s="17"/>
      <c r="CVC112" s="17"/>
      <c r="CVD112" s="17"/>
      <c r="CVE112" s="17"/>
      <c r="CVF112" s="17"/>
      <c r="CVG112" s="17"/>
      <c r="CVH112" s="17"/>
      <c r="CVI112" s="17"/>
      <c r="CVJ112" s="17"/>
      <c r="CVK112" s="17"/>
      <c r="CVL112" s="17"/>
      <c r="CVM112" s="17"/>
      <c r="CVN112" s="17"/>
      <c r="CVO112" s="17"/>
      <c r="CVP112" s="17"/>
      <c r="CVQ112" s="17"/>
      <c r="CVR112" s="17"/>
      <c r="CVS112" s="17"/>
      <c r="CVT112" s="17"/>
      <c r="CVU112" s="17"/>
      <c r="CVV112" s="17"/>
      <c r="CVW112" s="17"/>
      <c r="CVX112" s="17"/>
      <c r="CVY112" s="17"/>
      <c r="CVZ112" s="17"/>
      <c r="CWA112" s="17"/>
      <c r="CWB112" s="17"/>
      <c r="CWC112" s="17"/>
      <c r="CWD112" s="17"/>
      <c r="CWE112" s="17"/>
      <c r="CWF112" s="17"/>
      <c r="CWG112" s="17"/>
      <c r="CWH112" s="17"/>
      <c r="CWI112" s="17"/>
      <c r="CWJ112" s="17"/>
      <c r="CWK112" s="17"/>
      <c r="CWL112" s="17"/>
      <c r="CWM112" s="17"/>
      <c r="CWN112" s="17"/>
      <c r="CWO112" s="17"/>
      <c r="CWP112" s="17"/>
      <c r="CWQ112" s="17"/>
      <c r="CWR112" s="17"/>
      <c r="CWS112" s="17"/>
      <c r="CWT112" s="17"/>
      <c r="CWU112" s="17"/>
      <c r="CWV112" s="17"/>
      <c r="CWW112" s="17"/>
      <c r="CWX112" s="17"/>
      <c r="CWY112" s="17"/>
      <c r="CWZ112" s="17"/>
      <c r="CXA112" s="17"/>
      <c r="CXB112" s="17"/>
      <c r="CXC112" s="17"/>
      <c r="CXD112" s="17"/>
      <c r="CXE112" s="17"/>
      <c r="CXF112" s="17"/>
      <c r="CXG112" s="17"/>
      <c r="CXH112" s="17"/>
      <c r="CXI112" s="17"/>
      <c r="CXJ112" s="17"/>
      <c r="CXK112" s="17"/>
      <c r="CXL112" s="17"/>
      <c r="CXM112" s="17"/>
      <c r="CXN112" s="17"/>
      <c r="CXO112" s="17"/>
      <c r="CXP112" s="17"/>
      <c r="CXQ112" s="17"/>
      <c r="CXR112" s="17"/>
      <c r="CXS112" s="17"/>
      <c r="CXT112" s="17"/>
      <c r="CXU112" s="17"/>
      <c r="CXV112" s="17"/>
      <c r="CXW112" s="17"/>
      <c r="CXX112" s="17"/>
      <c r="CXY112" s="17"/>
      <c r="CXZ112" s="17"/>
      <c r="CYA112" s="17"/>
      <c r="CYB112" s="17"/>
      <c r="CYC112" s="17"/>
      <c r="CYD112" s="17"/>
      <c r="CYE112" s="17"/>
      <c r="CYF112" s="17"/>
      <c r="CYG112" s="17"/>
      <c r="CYH112" s="17"/>
      <c r="CYI112" s="17"/>
      <c r="CYJ112" s="17"/>
      <c r="CYK112" s="17"/>
      <c r="CYL112" s="17"/>
      <c r="CYM112" s="17"/>
      <c r="CYN112" s="17"/>
      <c r="CYO112" s="17"/>
      <c r="CYP112" s="17"/>
      <c r="CYQ112" s="17"/>
      <c r="CYR112" s="17"/>
      <c r="CYS112" s="17"/>
      <c r="CYT112" s="17"/>
      <c r="CYU112" s="17"/>
      <c r="CYV112" s="17"/>
      <c r="CYW112" s="17"/>
      <c r="CYX112" s="17"/>
      <c r="CYY112" s="17"/>
      <c r="CYZ112" s="17"/>
      <c r="CZA112" s="17"/>
      <c r="CZB112" s="17"/>
      <c r="CZC112" s="17"/>
      <c r="CZD112" s="17"/>
      <c r="CZE112" s="17"/>
      <c r="CZF112" s="17"/>
      <c r="CZG112" s="17"/>
      <c r="CZH112" s="17"/>
      <c r="CZI112" s="17"/>
      <c r="CZJ112" s="17"/>
      <c r="CZK112" s="17"/>
      <c r="CZL112" s="17"/>
      <c r="CZM112" s="17"/>
      <c r="CZN112" s="17"/>
      <c r="CZO112" s="17"/>
      <c r="CZP112" s="17"/>
      <c r="CZQ112" s="17"/>
      <c r="CZR112" s="17"/>
      <c r="CZS112" s="17"/>
      <c r="CZT112" s="17"/>
      <c r="CZU112" s="17"/>
      <c r="CZV112" s="17"/>
      <c r="CZW112" s="17"/>
      <c r="CZX112" s="17"/>
      <c r="CZY112" s="17"/>
      <c r="CZZ112" s="17"/>
      <c r="DAA112" s="17"/>
      <c r="DAB112" s="17"/>
      <c r="DAC112" s="17"/>
      <c r="DAD112" s="17"/>
      <c r="DAE112" s="17"/>
      <c r="DAF112" s="17"/>
      <c r="DAG112" s="17"/>
      <c r="DAH112" s="17"/>
      <c r="DAI112" s="17"/>
      <c r="DAJ112" s="17"/>
      <c r="DAK112" s="17"/>
      <c r="DAL112" s="17"/>
      <c r="DAM112" s="17"/>
      <c r="DAN112" s="17"/>
      <c r="DAO112" s="17"/>
      <c r="DAP112" s="17"/>
      <c r="DAQ112" s="17"/>
      <c r="DAR112" s="17"/>
      <c r="DAS112" s="17"/>
      <c r="DAT112" s="17"/>
      <c r="DAU112" s="17"/>
      <c r="DAV112" s="17"/>
      <c r="DAW112" s="17"/>
      <c r="DAX112" s="17"/>
      <c r="DAY112" s="17"/>
      <c r="DAZ112" s="17"/>
      <c r="DBA112" s="17"/>
      <c r="DBB112" s="17"/>
      <c r="DBC112" s="17"/>
      <c r="DBD112" s="17"/>
      <c r="DBE112" s="17"/>
      <c r="DBF112" s="17"/>
      <c r="DBG112" s="17"/>
      <c r="DBH112" s="17"/>
      <c r="DBI112" s="17"/>
      <c r="DBJ112" s="17"/>
      <c r="DBK112" s="17"/>
      <c r="DBL112" s="17"/>
      <c r="DBM112" s="17"/>
      <c r="DBN112" s="17"/>
      <c r="DBO112" s="17"/>
      <c r="DBP112" s="17"/>
      <c r="DBQ112" s="17"/>
      <c r="DBR112" s="17"/>
      <c r="DBS112" s="17"/>
      <c r="DBT112" s="17"/>
      <c r="DBU112" s="17"/>
      <c r="DBV112" s="17"/>
      <c r="DBW112" s="17"/>
      <c r="DBX112" s="17"/>
      <c r="DBY112" s="17"/>
      <c r="DBZ112" s="17"/>
      <c r="DCA112" s="17"/>
      <c r="DCB112" s="17"/>
      <c r="DCC112" s="17"/>
      <c r="DCD112" s="17"/>
      <c r="DCE112" s="17"/>
      <c r="DCF112" s="17"/>
      <c r="DCG112" s="17"/>
      <c r="DCH112" s="17"/>
      <c r="DCI112" s="17"/>
      <c r="DCJ112" s="17"/>
      <c r="DCK112" s="17"/>
      <c r="DCL112" s="17"/>
      <c r="DCM112" s="17"/>
      <c r="DCN112" s="17"/>
      <c r="DCO112" s="17"/>
      <c r="DCP112" s="17"/>
      <c r="DCQ112" s="17"/>
      <c r="DCR112" s="17"/>
      <c r="DCS112" s="17"/>
      <c r="DCT112" s="17"/>
      <c r="DCU112" s="17"/>
      <c r="DCV112" s="17"/>
      <c r="DCW112" s="17"/>
      <c r="DCX112" s="17"/>
      <c r="DCY112" s="17"/>
      <c r="DCZ112" s="17"/>
      <c r="DDA112" s="17"/>
      <c r="DDB112" s="17"/>
      <c r="DDC112" s="17"/>
      <c r="DDD112" s="17"/>
      <c r="DDE112" s="17"/>
      <c r="DDF112" s="17"/>
      <c r="DDG112" s="17"/>
      <c r="DDH112" s="17"/>
      <c r="DDI112" s="17"/>
      <c r="DDJ112" s="17"/>
      <c r="DDK112" s="17"/>
      <c r="DDL112" s="17"/>
      <c r="DDM112" s="17"/>
      <c r="DDN112" s="17"/>
      <c r="DDO112" s="17"/>
      <c r="DDP112" s="17"/>
      <c r="DDQ112" s="17"/>
      <c r="DDR112" s="17"/>
      <c r="DDS112" s="17"/>
      <c r="DDT112" s="17"/>
      <c r="DDU112" s="17"/>
      <c r="DDV112" s="17"/>
      <c r="DDW112" s="17"/>
      <c r="DDX112" s="17"/>
      <c r="DDY112" s="17"/>
      <c r="DDZ112" s="17"/>
      <c r="DEA112" s="17"/>
      <c r="DEB112" s="17"/>
      <c r="DEC112" s="17"/>
      <c r="DED112" s="17"/>
      <c r="DEE112" s="17"/>
      <c r="DEF112" s="17"/>
      <c r="DEG112" s="17"/>
      <c r="DEH112" s="17"/>
      <c r="DEI112" s="17"/>
      <c r="DEJ112" s="17"/>
      <c r="DEK112" s="17"/>
      <c r="DEL112" s="17"/>
      <c r="DEM112" s="17"/>
      <c r="DEN112" s="17"/>
      <c r="DEO112" s="17"/>
      <c r="DEP112" s="17"/>
      <c r="DEQ112" s="17"/>
      <c r="DER112" s="17"/>
      <c r="DES112" s="17"/>
      <c r="DET112" s="17"/>
      <c r="DEU112" s="17"/>
      <c r="DEV112" s="17"/>
      <c r="DEW112" s="17"/>
      <c r="DEX112" s="17"/>
      <c r="DEY112" s="17"/>
      <c r="DEZ112" s="17"/>
      <c r="DFA112" s="17"/>
      <c r="DFB112" s="17"/>
      <c r="DFC112" s="17"/>
      <c r="DFD112" s="17"/>
      <c r="DFE112" s="17"/>
      <c r="DFF112" s="17"/>
      <c r="DFG112" s="17"/>
      <c r="DFH112" s="17"/>
      <c r="DFI112" s="17"/>
      <c r="DFJ112" s="17"/>
      <c r="DFK112" s="17"/>
      <c r="DFL112" s="17"/>
      <c r="DFM112" s="17"/>
      <c r="DFN112" s="17"/>
      <c r="DFO112" s="17"/>
      <c r="DFP112" s="17"/>
      <c r="DFQ112" s="17"/>
      <c r="DFR112" s="17"/>
      <c r="DFS112" s="17"/>
      <c r="DFT112" s="17"/>
      <c r="DFU112" s="17"/>
      <c r="DFV112" s="17"/>
      <c r="DFW112" s="17"/>
      <c r="DFX112" s="17"/>
      <c r="DFY112" s="17"/>
      <c r="DFZ112" s="17"/>
      <c r="DGA112" s="17"/>
      <c r="DGB112" s="17"/>
      <c r="DGC112" s="17"/>
      <c r="DGD112" s="17"/>
      <c r="DGE112" s="17"/>
      <c r="DGF112" s="17"/>
      <c r="DGG112" s="17"/>
      <c r="DGH112" s="17"/>
      <c r="DGI112" s="17"/>
      <c r="DGJ112" s="17"/>
      <c r="DGK112" s="17"/>
      <c r="DGL112" s="17"/>
      <c r="DGM112" s="17"/>
      <c r="DGN112" s="17"/>
      <c r="DGO112" s="17"/>
      <c r="DGP112" s="17"/>
      <c r="DGQ112" s="17"/>
      <c r="DGR112" s="17"/>
      <c r="DGS112" s="17"/>
      <c r="DGT112" s="17"/>
      <c r="DGU112" s="17"/>
      <c r="DGV112" s="17"/>
      <c r="DGW112" s="17"/>
      <c r="DGX112" s="17"/>
      <c r="DGY112" s="17"/>
      <c r="DGZ112" s="17"/>
      <c r="DHA112" s="17"/>
      <c r="DHB112" s="17"/>
      <c r="DHC112" s="17"/>
      <c r="DHD112" s="17"/>
      <c r="DHE112" s="17"/>
      <c r="DHF112" s="17"/>
      <c r="DHG112" s="17"/>
      <c r="DHH112" s="17"/>
      <c r="DHI112" s="17"/>
      <c r="DHJ112" s="17"/>
      <c r="DHK112" s="17"/>
      <c r="DHL112" s="17"/>
      <c r="DHM112" s="17"/>
      <c r="DHN112" s="17"/>
      <c r="DHO112" s="17"/>
      <c r="DHP112" s="17"/>
      <c r="DHQ112" s="17"/>
      <c r="DHR112" s="17"/>
      <c r="DHS112" s="17"/>
      <c r="DHT112" s="17"/>
      <c r="DHU112" s="17"/>
      <c r="DHV112" s="17"/>
      <c r="DHW112" s="17"/>
      <c r="DHX112" s="17"/>
      <c r="DHY112" s="17"/>
      <c r="DHZ112" s="17"/>
      <c r="DIA112" s="17"/>
      <c r="DIB112" s="17"/>
      <c r="DIC112" s="17"/>
      <c r="DID112" s="17"/>
      <c r="DIE112" s="17"/>
      <c r="DIF112" s="17"/>
      <c r="DIG112" s="17"/>
      <c r="DIH112" s="17"/>
      <c r="DII112" s="17"/>
      <c r="DIJ112" s="17"/>
      <c r="DIK112" s="17"/>
      <c r="DIL112" s="17"/>
      <c r="DIM112" s="17"/>
      <c r="DIN112" s="17"/>
      <c r="DIO112" s="17"/>
      <c r="DIP112" s="17"/>
      <c r="DIQ112" s="17"/>
      <c r="DIR112" s="17"/>
      <c r="DIS112" s="17"/>
      <c r="DIT112" s="17"/>
      <c r="DIU112" s="17"/>
      <c r="DIV112" s="17"/>
      <c r="DIW112" s="17"/>
      <c r="DIX112" s="17"/>
      <c r="DIY112" s="17"/>
      <c r="DIZ112" s="17"/>
      <c r="DJA112" s="17"/>
      <c r="DJB112" s="17"/>
      <c r="DJC112" s="17"/>
      <c r="DJD112" s="17"/>
      <c r="DJE112" s="17"/>
      <c r="DJF112" s="17"/>
      <c r="DJG112" s="17"/>
      <c r="DJH112" s="17"/>
      <c r="DJI112" s="17"/>
      <c r="DJJ112" s="17"/>
      <c r="DJK112" s="17"/>
      <c r="DJL112" s="17"/>
      <c r="DJM112" s="17"/>
      <c r="DJN112" s="17"/>
      <c r="DJO112" s="17"/>
      <c r="DJP112" s="17"/>
      <c r="DJQ112" s="17"/>
      <c r="DJR112" s="17"/>
      <c r="DJS112" s="17"/>
      <c r="DJT112" s="17"/>
      <c r="DJU112" s="17"/>
      <c r="DJV112" s="17"/>
      <c r="DJW112" s="17"/>
      <c r="DJX112" s="17"/>
      <c r="DJY112" s="17"/>
      <c r="DJZ112" s="17"/>
      <c r="DKA112" s="17"/>
      <c r="DKB112" s="17"/>
      <c r="DKC112" s="17"/>
      <c r="DKD112" s="17"/>
      <c r="DKE112" s="17"/>
      <c r="DKF112" s="17"/>
      <c r="DKG112" s="17"/>
      <c r="DKH112" s="17"/>
      <c r="DKI112" s="17"/>
      <c r="DKJ112" s="17"/>
      <c r="DKK112" s="17"/>
      <c r="DKL112" s="17"/>
      <c r="DKM112" s="17"/>
      <c r="DKN112" s="17"/>
      <c r="DKO112" s="17"/>
      <c r="DKP112" s="17"/>
      <c r="DKQ112" s="17"/>
      <c r="DKR112" s="17"/>
      <c r="DKS112" s="17"/>
      <c r="DKT112" s="17"/>
      <c r="DKU112" s="17"/>
      <c r="DKV112" s="17"/>
      <c r="DKW112" s="17"/>
      <c r="DKX112" s="17"/>
      <c r="DKY112" s="17"/>
      <c r="DKZ112" s="17"/>
      <c r="DLA112" s="17"/>
      <c r="DLB112" s="17"/>
      <c r="DLC112" s="17"/>
      <c r="DLD112" s="17"/>
      <c r="DLE112" s="17"/>
      <c r="DLF112" s="17"/>
      <c r="DLG112" s="17"/>
      <c r="DLH112" s="17"/>
      <c r="DLI112" s="17"/>
      <c r="DLJ112" s="17"/>
      <c r="DLK112" s="17"/>
      <c r="DLL112" s="17"/>
      <c r="DLM112" s="17"/>
      <c r="DLN112" s="17"/>
      <c r="DLO112" s="17"/>
      <c r="DLP112" s="17"/>
      <c r="DLQ112" s="17"/>
      <c r="DLR112" s="17"/>
      <c r="DLS112" s="17"/>
      <c r="DLT112" s="17"/>
      <c r="DLU112" s="17"/>
      <c r="DLV112" s="17"/>
      <c r="DLW112" s="17"/>
      <c r="DLX112" s="17"/>
      <c r="DLY112" s="17"/>
      <c r="DLZ112" s="17"/>
      <c r="DMA112" s="17"/>
      <c r="DMB112" s="17"/>
      <c r="DMC112" s="17"/>
      <c r="DMD112" s="17"/>
      <c r="DME112" s="17"/>
      <c r="DMF112" s="17"/>
      <c r="DMG112" s="17"/>
      <c r="DMH112" s="17"/>
      <c r="DMI112" s="17"/>
      <c r="DMJ112" s="17"/>
      <c r="DMK112" s="17"/>
      <c r="DML112" s="17"/>
      <c r="DMM112" s="17"/>
      <c r="DMN112" s="17"/>
      <c r="DMO112" s="17"/>
      <c r="DMP112" s="17"/>
      <c r="DMQ112" s="17"/>
      <c r="DMR112" s="17"/>
      <c r="DMS112" s="17"/>
      <c r="DMT112" s="17"/>
      <c r="DMU112" s="17"/>
      <c r="DMV112" s="17"/>
      <c r="DMW112" s="17"/>
      <c r="DMX112" s="17"/>
      <c r="DMY112" s="17"/>
      <c r="DMZ112" s="17"/>
      <c r="DNA112" s="17"/>
      <c r="DNB112" s="17"/>
      <c r="DNC112" s="17"/>
      <c r="DND112" s="17"/>
      <c r="DNE112" s="17"/>
      <c r="DNF112" s="17"/>
      <c r="DNG112" s="17"/>
      <c r="DNH112" s="17"/>
      <c r="DNI112" s="17"/>
      <c r="DNJ112" s="17"/>
      <c r="DNK112" s="17"/>
      <c r="DNL112" s="17"/>
      <c r="DNM112" s="17"/>
      <c r="DNN112" s="17"/>
      <c r="DNO112" s="17"/>
      <c r="DNP112" s="17"/>
      <c r="DNQ112" s="17"/>
      <c r="DNR112" s="17"/>
      <c r="DNS112" s="17"/>
      <c r="DNT112" s="17"/>
      <c r="DNU112" s="17"/>
      <c r="DNV112" s="17"/>
      <c r="DNW112" s="17"/>
      <c r="DNX112" s="17"/>
      <c r="DNY112" s="17"/>
      <c r="DNZ112" s="17"/>
      <c r="DOA112" s="17"/>
      <c r="DOB112" s="17"/>
      <c r="DOC112" s="17"/>
      <c r="DOD112" s="17"/>
      <c r="DOE112" s="17"/>
      <c r="DOF112" s="17"/>
      <c r="DOG112" s="17"/>
      <c r="DOH112" s="17"/>
      <c r="DOI112" s="17"/>
      <c r="DOJ112" s="17"/>
      <c r="DOK112" s="17"/>
      <c r="DOL112" s="17"/>
      <c r="DOM112" s="17"/>
      <c r="DON112" s="17"/>
      <c r="DOO112" s="17"/>
      <c r="DOP112" s="17"/>
      <c r="DOQ112" s="17"/>
      <c r="DOR112" s="17"/>
      <c r="DOS112" s="17"/>
      <c r="DOT112" s="17"/>
      <c r="DOU112" s="17"/>
      <c r="DOV112" s="17"/>
      <c r="DOW112" s="17"/>
      <c r="DOX112" s="17"/>
      <c r="DOY112" s="17"/>
      <c r="DOZ112" s="17"/>
      <c r="DPA112" s="17"/>
      <c r="DPB112" s="17"/>
      <c r="DPC112" s="17"/>
      <c r="DPD112" s="17"/>
      <c r="DPE112" s="17"/>
      <c r="DPF112" s="17"/>
      <c r="DPG112" s="17"/>
      <c r="DPH112" s="17"/>
      <c r="DPI112" s="17"/>
      <c r="DPJ112" s="17"/>
      <c r="DPK112" s="17"/>
      <c r="DPL112" s="17"/>
      <c r="DPM112" s="17"/>
      <c r="DPN112" s="17"/>
      <c r="DPO112" s="17"/>
      <c r="DPP112" s="17"/>
      <c r="DPQ112" s="17"/>
      <c r="DPR112" s="17"/>
      <c r="DPS112" s="17"/>
      <c r="DPT112" s="17"/>
      <c r="DPU112" s="17"/>
      <c r="DPV112" s="17"/>
      <c r="DPW112" s="17"/>
      <c r="DPX112" s="17"/>
      <c r="DPY112" s="17"/>
      <c r="DPZ112" s="17"/>
      <c r="DQA112" s="17"/>
      <c r="DQB112" s="17"/>
      <c r="DQC112" s="17"/>
      <c r="DQD112" s="17"/>
      <c r="DQE112" s="17"/>
      <c r="DQF112" s="17"/>
      <c r="DQG112" s="17"/>
      <c r="DQH112" s="17"/>
      <c r="DQI112" s="17"/>
      <c r="DQJ112" s="17"/>
      <c r="DQK112" s="17"/>
      <c r="DQL112" s="17"/>
      <c r="DQM112" s="17"/>
      <c r="DQN112" s="17"/>
      <c r="DQO112" s="17"/>
      <c r="DQP112" s="17"/>
      <c r="DQQ112" s="17"/>
      <c r="DQR112" s="17"/>
      <c r="DQS112" s="17"/>
      <c r="DQT112" s="17"/>
      <c r="DQU112" s="17"/>
      <c r="DQV112" s="17"/>
      <c r="DQW112" s="17"/>
      <c r="DQX112" s="17"/>
      <c r="DQY112" s="17"/>
      <c r="DQZ112" s="17"/>
      <c r="DRA112" s="17"/>
      <c r="DRB112" s="17"/>
      <c r="DRC112" s="17"/>
      <c r="DRD112" s="17"/>
      <c r="DRE112" s="17"/>
      <c r="DRF112" s="17"/>
      <c r="DRG112" s="17"/>
      <c r="DRH112" s="17"/>
      <c r="DRI112" s="17"/>
      <c r="DRJ112" s="17"/>
      <c r="DRK112" s="17"/>
      <c r="DRL112" s="17"/>
      <c r="DRM112" s="17"/>
      <c r="DRN112" s="17"/>
      <c r="DRO112" s="17"/>
      <c r="DRP112" s="17"/>
      <c r="DRQ112" s="17"/>
      <c r="DRR112" s="17"/>
      <c r="DRS112" s="17"/>
      <c r="DRT112" s="17"/>
      <c r="DRU112" s="17"/>
      <c r="DRV112" s="17"/>
      <c r="DRW112" s="17"/>
      <c r="DRX112" s="17"/>
      <c r="DRY112" s="17"/>
      <c r="DRZ112" s="17"/>
      <c r="DSA112" s="17"/>
      <c r="DSB112" s="17"/>
      <c r="DSC112" s="17"/>
      <c r="DSD112" s="17"/>
      <c r="DSE112" s="17"/>
      <c r="DSF112" s="17"/>
      <c r="DSG112" s="17"/>
      <c r="DSH112" s="17"/>
      <c r="DSI112" s="17"/>
      <c r="DSJ112" s="17"/>
      <c r="DSK112" s="17"/>
      <c r="DSL112" s="17"/>
      <c r="DSM112" s="17"/>
      <c r="DSN112" s="17"/>
      <c r="DSO112" s="17"/>
      <c r="DSP112" s="17"/>
      <c r="DSQ112" s="17"/>
      <c r="DSR112" s="17"/>
      <c r="DSS112" s="17"/>
      <c r="DST112" s="17"/>
      <c r="DSU112" s="17"/>
      <c r="DSV112" s="17"/>
      <c r="DSW112" s="17"/>
      <c r="DSX112" s="17"/>
      <c r="DSY112" s="17"/>
      <c r="DSZ112" s="17"/>
      <c r="DTA112" s="17"/>
      <c r="DTB112" s="17"/>
      <c r="DTC112" s="17"/>
      <c r="DTD112" s="17"/>
      <c r="DTE112" s="17"/>
      <c r="DTF112" s="17"/>
      <c r="DTG112" s="17"/>
      <c r="DTH112" s="17"/>
      <c r="DTI112" s="17"/>
      <c r="DTJ112" s="17"/>
      <c r="DTK112" s="17"/>
      <c r="DTL112" s="17"/>
      <c r="DTM112" s="17"/>
      <c r="DTN112" s="17"/>
      <c r="DTO112" s="17"/>
      <c r="DTP112" s="17"/>
      <c r="DTQ112" s="17"/>
      <c r="DTR112" s="17"/>
      <c r="DTS112" s="17"/>
      <c r="DTT112" s="17"/>
      <c r="DTU112" s="17"/>
      <c r="DTV112" s="17"/>
      <c r="DTW112" s="17"/>
      <c r="DTX112" s="17"/>
      <c r="DTY112" s="17"/>
      <c r="DTZ112" s="17"/>
      <c r="DUA112" s="17"/>
      <c r="DUB112" s="17"/>
      <c r="DUC112" s="17"/>
      <c r="DUD112" s="17"/>
      <c r="DUE112" s="17"/>
      <c r="DUF112" s="17"/>
      <c r="DUG112" s="17"/>
      <c r="DUH112" s="17"/>
      <c r="DUI112" s="17"/>
      <c r="DUJ112" s="17"/>
      <c r="DUK112" s="17"/>
      <c r="DUL112" s="17"/>
      <c r="DUM112" s="17"/>
      <c r="DUN112" s="17"/>
      <c r="DUO112" s="17"/>
      <c r="DUP112" s="17"/>
      <c r="DUQ112" s="17"/>
      <c r="DUR112" s="17"/>
      <c r="DUS112" s="17"/>
      <c r="DUT112" s="17"/>
      <c r="DUU112" s="17"/>
      <c r="DUV112" s="17"/>
      <c r="DUW112" s="17"/>
      <c r="DUX112" s="17"/>
      <c r="DUY112" s="17"/>
      <c r="DUZ112" s="17"/>
      <c r="DVA112" s="17"/>
      <c r="DVB112" s="17"/>
      <c r="DVC112" s="17"/>
      <c r="DVD112" s="17"/>
      <c r="DVE112" s="17"/>
      <c r="DVF112" s="17"/>
      <c r="DVG112" s="17"/>
      <c r="DVH112" s="17"/>
      <c r="DVI112" s="17"/>
      <c r="DVJ112" s="17"/>
      <c r="DVK112" s="17"/>
      <c r="DVL112" s="17"/>
      <c r="DVM112" s="17"/>
      <c r="DVN112" s="17"/>
      <c r="DVO112" s="17"/>
      <c r="DVP112" s="17"/>
      <c r="DVQ112" s="17"/>
      <c r="DVR112" s="17"/>
      <c r="DVS112" s="17"/>
      <c r="DVT112" s="17"/>
      <c r="DVU112" s="17"/>
      <c r="DVV112" s="17"/>
      <c r="DVW112" s="17"/>
      <c r="DVX112" s="17"/>
      <c r="DVY112" s="17"/>
      <c r="DVZ112" s="17"/>
      <c r="DWA112" s="17"/>
      <c r="DWB112" s="17"/>
      <c r="DWC112" s="17"/>
      <c r="DWD112" s="17"/>
      <c r="DWE112" s="17"/>
      <c r="DWF112" s="17"/>
      <c r="DWG112" s="17"/>
      <c r="DWH112" s="17"/>
      <c r="DWI112" s="17"/>
      <c r="DWJ112" s="17"/>
      <c r="DWK112" s="17"/>
      <c r="DWL112" s="17"/>
      <c r="DWM112" s="17"/>
      <c r="DWN112" s="17"/>
      <c r="DWO112" s="17"/>
      <c r="DWP112" s="17"/>
      <c r="DWQ112" s="17"/>
      <c r="DWR112" s="17"/>
      <c r="DWS112" s="17"/>
      <c r="DWT112" s="17"/>
      <c r="DWU112" s="17"/>
      <c r="DWV112" s="17"/>
      <c r="DWW112" s="17"/>
      <c r="DWX112" s="17"/>
      <c r="DWY112" s="17"/>
      <c r="DWZ112" s="17"/>
      <c r="DXA112" s="17"/>
      <c r="DXB112" s="17"/>
      <c r="DXC112" s="17"/>
      <c r="DXD112" s="17"/>
      <c r="DXE112" s="17"/>
      <c r="DXF112" s="17"/>
      <c r="DXG112" s="17"/>
      <c r="DXH112" s="17"/>
      <c r="DXI112" s="17"/>
      <c r="DXJ112" s="17"/>
      <c r="DXK112" s="17"/>
      <c r="DXL112" s="17"/>
      <c r="DXM112" s="17"/>
      <c r="DXN112" s="17"/>
      <c r="DXO112" s="17"/>
      <c r="DXP112" s="17"/>
      <c r="DXQ112" s="17"/>
      <c r="DXR112" s="17"/>
      <c r="DXS112" s="17"/>
      <c r="DXT112" s="17"/>
      <c r="DXU112" s="17"/>
      <c r="DXV112" s="17"/>
      <c r="DXW112" s="17"/>
      <c r="DXX112" s="17"/>
      <c r="DXY112" s="17"/>
      <c r="DXZ112" s="17"/>
      <c r="DYA112" s="17"/>
      <c r="DYB112" s="17"/>
      <c r="DYC112" s="17"/>
      <c r="DYD112" s="17"/>
      <c r="DYE112" s="17"/>
      <c r="DYF112" s="17"/>
      <c r="DYG112" s="17"/>
      <c r="DYH112" s="17"/>
      <c r="DYI112" s="17"/>
      <c r="DYJ112" s="17"/>
      <c r="DYK112" s="17"/>
      <c r="DYL112" s="17"/>
      <c r="DYM112" s="17"/>
      <c r="DYN112" s="17"/>
      <c r="DYO112" s="17"/>
      <c r="DYP112" s="17"/>
      <c r="DYQ112" s="17"/>
      <c r="DYR112" s="17"/>
      <c r="DYS112" s="17"/>
      <c r="DYT112" s="17"/>
      <c r="DYU112" s="17"/>
      <c r="DYV112" s="17"/>
      <c r="DYW112" s="17"/>
      <c r="DYX112" s="17"/>
      <c r="DYY112" s="17"/>
      <c r="DYZ112" s="17"/>
      <c r="DZA112" s="17"/>
      <c r="DZB112" s="17"/>
      <c r="DZC112" s="17"/>
      <c r="DZD112" s="17"/>
      <c r="DZE112" s="17"/>
      <c r="DZF112" s="17"/>
      <c r="DZG112" s="17"/>
      <c r="DZH112" s="17"/>
      <c r="DZI112" s="17"/>
      <c r="DZJ112" s="17"/>
      <c r="DZK112" s="17"/>
      <c r="DZL112" s="17"/>
      <c r="DZM112" s="17"/>
      <c r="DZN112" s="17"/>
      <c r="DZO112" s="17"/>
      <c r="DZP112" s="17"/>
      <c r="DZQ112" s="17"/>
      <c r="DZR112" s="17"/>
      <c r="DZS112" s="17"/>
      <c r="DZT112" s="17"/>
      <c r="DZU112" s="17"/>
      <c r="DZV112" s="17"/>
      <c r="DZW112" s="17"/>
      <c r="DZX112" s="17"/>
      <c r="DZY112" s="17"/>
      <c r="DZZ112" s="17"/>
      <c r="EAA112" s="17"/>
      <c r="EAB112" s="17"/>
      <c r="EAC112" s="17"/>
      <c r="EAD112" s="17"/>
      <c r="EAE112" s="17"/>
      <c r="EAF112" s="17"/>
      <c r="EAG112" s="17"/>
      <c r="EAH112" s="17"/>
      <c r="EAI112" s="17"/>
      <c r="EAJ112" s="17"/>
      <c r="EAK112" s="17"/>
      <c r="EAL112" s="17"/>
      <c r="EAM112" s="17"/>
      <c r="EAN112" s="17"/>
      <c r="EAO112" s="17"/>
      <c r="EAP112" s="17"/>
      <c r="EAQ112" s="17"/>
      <c r="EAR112" s="17"/>
      <c r="EAS112" s="17"/>
      <c r="EAT112" s="17"/>
      <c r="EAU112" s="17"/>
      <c r="EAV112" s="17"/>
      <c r="EAW112" s="17"/>
      <c r="EAX112" s="17"/>
      <c r="EAY112" s="17"/>
      <c r="EAZ112" s="17"/>
      <c r="EBA112" s="17"/>
      <c r="EBB112" s="17"/>
      <c r="EBC112" s="17"/>
      <c r="EBD112" s="17"/>
      <c r="EBE112" s="17"/>
      <c r="EBF112" s="17"/>
      <c r="EBG112" s="17"/>
      <c r="EBH112" s="17"/>
      <c r="EBI112" s="17"/>
      <c r="EBJ112" s="17"/>
      <c r="EBK112" s="17"/>
      <c r="EBL112" s="17"/>
      <c r="EBM112" s="17"/>
      <c r="EBN112" s="17"/>
      <c r="EBO112" s="17"/>
      <c r="EBP112" s="17"/>
      <c r="EBQ112" s="17"/>
      <c r="EBR112" s="17"/>
      <c r="EBS112" s="17"/>
      <c r="EBT112" s="17"/>
      <c r="EBU112" s="17"/>
      <c r="EBV112" s="17"/>
      <c r="EBW112" s="17"/>
      <c r="EBX112" s="17"/>
      <c r="EBY112" s="17"/>
      <c r="EBZ112" s="17"/>
      <c r="ECA112" s="17"/>
      <c r="ECB112" s="17"/>
      <c r="ECC112" s="17"/>
      <c r="ECD112" s="17"/>
      <c r="ECE112" s="17"/>
      <c r="ECF112" s="17"/>
      <c r="ECG112" s="17"/>
      <c r="ECH112" s="17"/>
      <c r="ECI112" s="17"/>
      <c r="ECJ112" s="17"/>
      <c r="ECK112" s="17"/>
      <c r="ECL112" s="17"/>
      <c r="ECM112" s="17"/>
      <c r="ECN112" s="17"/>
      <c r="ECO112" s="17"/>
      <c r="ECP112" s="17"/>
      <c r="ECQ112" s="17"/>
      <c r="ECR112" s="17"/>
      <c r="ECS112" s="17"/>
      <c r="ECT112" s="17"/>
      <c r="ECU112" s="17"/>
      <c r="ECV112" s="17"/>
      <c r="ECW112" s="17"/>
      <c r="ECX112" s="17"/>
      <c r="ECY112" s="17"/>
      <c r="ECZ112" s="17"/>
      <c r="EDA112" s="17"/>
      <c r="EDB112" s="17"/>
      <c r="EDC112" s="17"/>
      <c r="EDD112" s="17"/>
      <c r="EDE112" s="17"/>
      <c r="EDF112" s="17"/>
      <c r="EDG112" s="17"/>
      <c r="EDH112" s="17"/>
      <c r="EDI112" s="17"/>
      <c r="EDJ112" s="17"/>
      <c r="EDK112" s="17"/>
      <c r="EDL112" s="17"/>
      <c r="EDM112" s="17"/>
      <c r="EDN112" s="17"/>
      <c r="EDO112" s="17"/>
      <c r="EDP112" s="17"/>
      <c r="EDQ112" s="17"/>
      <c r="EDR112" s="17"/>
      <c r="EDS112" s="17"/>
      <c r="EDT112" s="17"/>
      <c r="EDU112" s="17"/>
      <c r="EDV112" s="17"/>
      <c r="EDW112" s="17"/>
      <c r="EDX112" s="17"/>
      <c r="EDY112" s="17"/>
      <c r="EDZ112" s="17"/>
      <c r="EEA112" s="17"/>
      <c r="EEB112" s="17"/>
      <c r="EEC112" s="17"/>
      <c r="EED112" s="17"/>
      <c r="EEE112" s="17"/>
      <c r="EEF112" s="17"/>
      <c r="EEG112" s="17"/>
      <c r="EEH112" s="17"/>
      <c r="EEI112" s="17"/>
      <c r="EEJ112" s="17"/>
      <c r="EEK112" s="17"/>
      <c r="EEL112" s="17"/>
      <c r="EEM112" s="17"/>
      <c r="EEN112" s="17"/>
      <c r="EEO112" s="17"/>
      <c r="EEP112" s="17"/>
      <c r="EEQ112" s="17"/>
      <c r="EER112" s="17"/>
      <c r="EES112" s="17"/>
      <c r="EET112" s="17"/>
      <c r="EEU112" s="17"/>
      <c r="EEV112" s="17"/>
      <c r="EEW112" s="17"/>
      <c r="EEX112" s="17"/>
      <c r="EEY112" s="17"/>
      <c r="EEZ112" s="17"/>
      <c r="EFA112" s="17"/>
      <c r="EFB112" s="17"/>
      <c r="EFC112" s="17"/>
      <c r="EFD112" s="17"/>
      <c r="EFE112" s="17"/>
      <c r="EFF112" s="17"/>
      <c r="EFG112" s="17"/>
      <c r="EFH112" s="17"/>
      <c r="EFI112" s="17"/>
      <c r="EFJ112" s="17"/>
      <c r="EFK112" s="17"/>
      <c r="EFL112" s="17"/>
      <c r="EFM112" s="17"/>
      <c r="EFN112" s="17"/>
      <c r="EFO112" s="17"/>
      <c r="EFP112" s="17"/>
      <c r="EFQ112" s="17"/>
      <c r="EFR112" s="17"/>
      <c r="EFS112" s="17"/>
      <c r="EFT112" s="17"/>
      <c r="EFU112" s="17"/>
      <c r="EFV112" s="17"/>
      <c r="EFW112" s="17"/>
      <c r="EFX112" s="17"/>
      <c r="EFY112" s="17"/>
      <c r="EFZ112" s="17"/>
      <c r="EGA112" s="17"/>
      <c r="EGB112" s="17"/>
      <c r="EGC112" s="17"/>
      <c r="EGD112" s="17"/>
      <c r="EGE112" s="17"/>
      <c r="EGF112" s="17"/>
      <c r="EGG112" s="17"/>
      <c r="EGH112" s="17"/>
      <c r="EGI112" s="17"/>
      <c r="EGJ112" s="17"/>
      <c r="EGK112" s="17"/>
      <c r="EGL112" s="17"/>
      <c r="EGM112" s="17"/>
      <c r="EGN112" s="17"/>
      <c r="EGO112" s="17"/>
      <c r="EGP112" s="17"/>
      <c r="EGQ112" s="17"/>
      <c r="EGR112" s="17"/>
      <c r="EGS112" s="17"/>
      <c r="EGT112" s="17"/>
      <c r="EGU112" s="17"/>
      <c r="EGV112" s="17"/>
      <c r="EGW112" s="17"/>
      <c r="EGX112" s="17"/>
      <c r="EGY112" s="17"/>
      <c r="EGZ112" s="17"/>
      <c r="EHA112" s="17"/>
      <c r="EHB112" s="17"/>
      <c r="EHC112" s="17"/>
      <c r="EHD112" s="17"/>
      <c r="EHE112" s="17"/>
      <c r="EHF112" s="17"/>
      <c r="EHG112" s="17"/>
      <c r="EHH112" s="17"/>
      <c r="EHI112" s="17"/>
      <c r="EHJ112" s="17"/>
      <c r="EHK112" s="17"/>
      <c r="EHL112" s="17"/>
      <c r="EHM112" s="17"/>
      <c r="EHN112" s="17"/>
      <c r="EHO112" s="17"/>
      <c r="EHP112" s="17"/>
      <c r="EHQ112" s="17"/>
      <c r="EHR112" s="17"/>
      <c r="EHS112" s="17"/>
      <c r="EHT112" s="17"/>
      <c r="EHU112" s="17"/>
      <c r="EHV112" s="17"/>
      <c r="EHW112" s="17"/>
      <c r="EHX112" s="17"/>
      <c r="EHY112" s="17"/>
      <c r="EHZ112" s="17"/>
      <c r="EIA112" s="17"/>
      <c r="EIB112" s="17"/>
      <c r="EIC112" s="17"/>
      <c r="EID112" s="17"/>
      <c r="EIE112" s="17"/>
      <c r="EIF112" s="17"/>
      <c r="EIG112" s="17"/>
      <c r="EIH112" s="17"/>
      <c r="EII112" s="17"/>
      <c r="EIJ112" s="17"/>
      <c r="EIK112" s="17"/>
      <c r="EIL112" s="17"/>
      <c r="EIM112" s="17"/>
      <c r="EIN112" s="17"/>
      <c r="EIO112" s="17"/>
      <c r="EIP112" s="17"/>
      <c r="EIQ112" s="17"/>
      <c r="EIR112" s="17"/>
      <c r="EIS112" s="17"/>
      <c r="EIT112" s="17"/>
      <c r="EIU112" s="17"/>
      <c r="EIV112" s="17"/>
      <c r="EIW112" s="17"/>
      <c r="EIX112" s="17"/>
      <c r="EIY112" s="17"/>
      <c r="EIZ112" s="17"/>
      <c r="EJA112" s="17"/>
      <c r="EJB112" s="17"/>
      <c r="EJC112" s="17"/>
      <c r="EJD112" s="17"/>
      <c r="EJE112" s="17"/>
      <c r="EJF112" s="17"/>
      <c r="EJG112" s="17"/>
      <c r="EJH112" s="17"/>
      <c r="EJI112" s="17"/>
      <c r="EJJ112" s="17"/>
      <c r="EJK112" s="17"/>
      <c r="EJL112" s="17"/>
      <c r="EJM112" s="17"/>
      <c r="EJN112" s="17"/>
      <c r="EJO112" s="17"/>
      <c r="EJP112" s="17"/>
      <c r="EJQ112" s="17"/>
      <c r="EJR112" s="17"/>
      <c r="EJS112" s="17"/>
      <c r="EJT112" s="17"/>
      <c r="EJU112" s="17"/>
      <c r="EJV112" s="17"/>
      <c r="EJW112" s="17"/>
      <c r="EJX112" s="17"/>
      <c r="EJY112" s="17"/>
      <c r="EJZ112" s="17"/>
      <c r="EKA112" s="17"/>
      <c r="EKB112" s="17"/>
      <c r="EKC112" s="17"/>
      <c r="EKD112" s="17"/>
      <c r="EKE112" s="17"/>
      <c r="EKF112" s="17"/>
      <c r="EKG112" s="17"/>
      <c r="EKH112" s="17"/>
      <c r="EKI112" s="17"/>
      <c r="EKJ112" s="17"/>
      <c r="EKK112" s="17"/>
      <c r="EKL112" s="17"/>
      <c r="EKM112" s="17"/>
      <c r="EKN112" s="17"/>
      <c r="EKO112" s="17"/>
      <c r="EKP112" s="17"/>
      <c r="EKQ112" s="17"/>
      <c r="EKR112" s="17"/>
      <c r="EKS112" s="17"/>
      <c r="EKT112" s="17"/>
      <c r="EKU112" s="17"/>
      <c r="EKV112" s="17"/>
      <c r="EKW112" s="17"/>
      <c r="EKX112" s="17"/>
      <c r="EKY112" s="17"/>
      <c r="EKZ112" s="17"/>
      <c r="ELA112" s="17"/>
      <c r="ELB112" s="17"/>
      <c r="ELC112" s="17"/>
      <c r="ELD112" s="17"/>
      <c r="ELE112" s="17"/>
      <c r="ELF112" s="17"/>
      <c r="ELG112" s="17"/>
      <c r="ELH112" s="17"/>
      <c r="ELI112" s="17"/>
      <c r="ELJ112" s="17"/>
      <c r="ELK112" s="17"/>
      <c r="ELL112" s="17"/>
      <c r="ELM112" s="17"/>
      <c r="ELN112" s="17"/>
      <c r="ELO112" s="17"/>
      <c r="ELP112" s="17"/>
      <c r="ELQ112" s="17"/>
      <c r="ELR112" s="17"/>
      <c r="ELS112" s="17"/>
      <c r="ELT112" s="17"/>
      <c r="ELU112" s="17"/>
      <c r="ELV112" s="17"/>
      <c r="ELW112" s="17"/>
      <c r="ELX112" s="17"/>
      <c r="ELY112" s="17"/>
      <c r="ELZ112" s="17"/>
      <c r="EMA112" s="17"/>
      <c r="EMB112" s="17"/>
      <c r="EMC112" s="17"/>
      <c r="EMD112" s="17"/>
      <c r="EME112" s="17"/>
      <c r="EMF112" s="17"/>
      <c r="EMG112" s="17"/>
      <c r="EMH112" s="17"/>
      <c r="EMI112" s="17"/>
      <c r="EMJ112" s="17"/>
      <c r="EMK112" s="17"/>
      <c r="EML112" s="17"/>
      <c r="EMM112" s="17"/>
      <c r="EMN112" s="17"/>
      <c r="EMO112" s="17"/>
      <c r="EMP112" s="17"/>
      <c r="EMQ112" s="17"/>
      <c r="EMR112" s="17"/>
      <c r="EMS112" s="17"/>
      <c r="EMT112" s="17"/>
      <c r="EMU112" s="17"/>
      <c r="EMV112" s="17"/>
      <c r="EMW112" s="17"/>
      <c r="EMX112" s="17"/>
      <c r="EMY112" s="17"/>
      <c r="EMZ112" s="17"/>
      <c r="ENA112" s="17"/>
      <c r="ENB112" s="17"/>
      <c r="ENC112" s="17"/>
      <c r="END112" s="17"/>
      <c r="ENE112" s="17"/>
      <c r="ENF112" s="17"/>
      <c r="ENG112" s="17"/>
      <c r="ENH112" s="17"/>
      <c r="ENI112" s="17"/>
      <c r="ENJ112" s="17"/>
      <c r="ENK112" s="17"/>
      <c r="ENL112" s="17"/>
      <c r="ENM112" s="17"/>
      <c r="ENN112" s="17"/>
      <c r="ENO112" s="17"/>
      <c r="ENP112" s="17"/>
      <c r="ENQ112" s="17"/>
      <c r="ENR112" s="17"/>
      <c r="ENS112" s="17"/>
      <c r="ENT112" s="17"/>
      <c r="ENU112" s="17"/>
      <c r="ENV112" s="17"/>
      <c r="ENW112" s="17"/>
      <c r="ENX112" s="17"/>
      <c r="ENY112" s="17"/>
      <c r="ENZ112" s="17"/>
      <c r="EOA112" s="17"/>
      <c r="EOB112" s="17"/>
      <c r="EOC112" s="17"/>
      <c r="EOD112" s="17"/>
      <c r="EOE112" s="17"/>
      <c r="EOF112" s="17"/>
      <c r="EOG112" s="17"/>
      <c r="EOH112" s="17"/>
      <c r="EOI112" s="17"/>
      <c r="EOJ112" s="17"/>
      <c r="EOK112" s="17"/>
      <c r="EOL112" s="17"/>
      <c r="EOM112" s="17"/>
      <c r="EON112" s="17"/>
      <c r="EOO112" s="17"/>
      <c r="EOP112" s="17"/>
      <c r="EOQ112" s="17"/>
      <c r="EOR112" s="17"/>
      <c r="EOS112" s="17"/>
      <c r="EOT112" s="17"/>
      <c r="EOU112" s="17"/>
      <c r="EOV112" s="17"/>
      <c r="EOW112" s="17"/>
      <c r="EOX112" s="17"/>
      <c r="EOY112" s="17"/>
      <c r="EOZ112" s="17"/>
      <c r="EPA112" s="17"/>
      <c r="EPB112" s="17"/>
      <c r="EPC112" s="17"/>
      <c r="EPD112" s="17"/>
      <c r="EPE112" s="17"/>
      <c r="EPF112" s="17"/>
      <c r="EPG112" s="17"/>
      <c r="EPH112" s="17"/>
      <c r="EPI112" s="17"/>
      <c r="EPJ112" s="17"/>
      <c r="EPK112" s="17"/>
      <c r="EPL112" s="17"/>
      <c r="EPM112" s="17"/>
      <c r="EPN112" s="17"/>
      <c r="EPO112" s="17"/>
      <c r="EPP112" s="17"/>
      <c r="EPQ112" s="17"/>
      <c r="EPR112" s="17"/>
      <c r="EPS112" s="17"/>
      <c r="EPT112" s="17"/>
      <c r="EPU112" s="17"/>
      <c r="EPV112" s="17"/>
      <c r="EPW112" s="17"/>
      <c r="EPX112" s="17"/>
      <c r="EPY112" s="17"/>
      <c r="EPZ112" s="17"/>
      <c r="EQA112" s="17"/>
      <c r="EQB112" s="17"/>
      <c r="EQC112" s="17"/>
      <c r="EQD112" s="17"/>
      <c r="EQE112" s="17"/>
      <c r="EQF112" s="17"/>
      <c r="EQG112" s="17"/>
      <c r="EQH112" s="17"/>
      <c r="EQI112" s="17"/>
      <c r="EQJ112" s="17"/>
      <c r="EQK112" s="17"/>
      <c r="EQL112" s="17"/>
      <c r="EQM112" s="17"/>
      <c r="EQN112" s="17"/>
      <c r="EQO112" s="17"/>
      <c r="EQP112" s="17"/>
      <c r="EQQ112" s="17"/>
      <c r="EQR112" s="17"/>
      <c r="EQS112" s="17"/>
      <c r="EQT112" s="17"/>
      <c r="EQU112" s="17"/>
      <c r="EQV112" s="17"/>
      <c r="EQW112" s="17"/>
      <c r="EQX112" s="17"/>
      <c r="EQY112" s="17"/>
      <c r="EQZ112" s="17"/>
      <c r="ERA112" s="17"/>
      <c r="ERB112" s="17"/>
      <c r="ERC112" s="17"/>
      <c r="ERD112" s="17"/>
      <c r="ERE112" s="17"/>
      <c r="ERF112" s="17"/>
      <c r="ERG112" s="17"/>
      <c r="ERH112" s="17"/>
      <c r="ERI112" s="17"/>
      <c r="ERJ112" s="17"/>
      <c r="ERK112" s="17"/>
      <c r="ERL112" s="17"/>
      <c r="ERM112" s="17"/>
      <c r="ERN112" s="17"/>
      <c r="ERO112" s="17"/>
      <c r="ERP112" s="17"/>
      <c r="ERQ112" s="17"/>
      <c r="ERR112" s="17"/>
      <c r="ERS112" s="17"/>
      <c r="ERT112" s="17"/>
      <c r="ERU112" s="17"/>
      <c r="ERV112" s="17"/>
      <c r="ERW112" s="17"/>
      <c r="ERX112" s="17"/>
      <c r="ERY112" s="17"/>
      <c r="ERZ112" s="17"/>
      <c r="ESA112" s="17"/>
      <c r="ESB112" s="17"/>
      <c r="ESC112" s="17"/>
      <c r="ESD112" s="17"/>
      <c r="ESE112" s="17"/>
      <c r="ESF112" s="17"/>
      <c r="ESG112" s="17"/>
      <c r="ESH112" s="17"/>
      <c r="ESI112" s="17"/>
      <c r="ESJ112" s="17"/>
      <c r="ESK112" s="17"/>
      <c r="ESL112" s="17"/>
      <c r="ESM112" s="17"/>
      <c r="ESN112" s="17"/>
      <c r="ESO112" s="17"/>
      <c r="ESP112" s="17"/>
      <c r="ESQ112" s="17"/>
      <c r="ESR112" s="17"/>
      <c r="ESS112" s="17"/>
      <c r="EST112" s="17"/>
      <c r="ESU112" s="17"/>
      <c r="ESV112" s="17"/>
      <c r="ESW112" s="17"/>
      <c r="ESX112" s="17"/>
      <c r="ESY112" s="17"/>
      <c r="ESZ112" s="17"/>
      <c r="ETA112" s="17"/>
      <c r="ETB112" s="17"/>
      <c r="ETC112" s="17"/>
      <c r="ETD112" s="17"/>
      <c r="ETE112" s="17"/>
      <c r="ETF112" s="17"/>
      <c r="ETG112" s="17"/>
      <c r="ETH112" s="17"/>
      <c r="ETI112" s="17"/>
      <c r="ETJ112" s="17"/>
      <c r="ETK112" s="17"/>
      <c r="ETL112" s="17"/>
      <c r="ETM112" s="17"/>
      <c r="ETN112" s="17"/>
      <c r="ETO112" s="17"/>
      <c r="ETP112" s="17"/>
      <c r="ETQ112" s="17"/>
      <c r="ETR112" s="17"/>
      <c r="ETS112" s="17"/>
      <c r="ETT112" s="17"/>
      <c r="ETU112" s="17"/>
      <c r="ETV112" s="17"/>
      <c r="ETW112" s="17"/>
      <c r="ETX112" s="17"/>
      <c r="ETY112" s="17"/>
      <c r="ETZ112" s="17"/>
      <c r="EUA112" s="17"/>
      <c r="EUB112" s="17"/>
      <c r="EUC112" s="17"/>
      <c r="EUD112" s="17"/>
      <c r="EUE112" s="17"/>
      <c r="EUF112" s="17"/>
      <c r="EUG112" s="17"/>
      <c r="EUH112" s="17"/>
      <c r="EUI112" s="17"/>
      <c r="EUJ112" s="17"/>
      <c r="EUK112" s="17"/>
      <c r="EUL112" s="17"/>
      <c r="EUM112" s="17"/>
      <c r="EUN112" s="17"/>
      <c r="EUO112" s="17"/>
      <c r="EUP112" s="17"/>
      <c r="EUQ112" s="17"/>
      <c r="EUR112" s="17"/>
      <c r="EUS112" s="17"/>
      <c r="EUT112" s="17"/>
      <c r="EUU112" s="17"/>
      <c r="EUV112" s="17"/>
      <c r="EUW112" s="17"/>
      <c r="EUX112" s="17"/>
      <c r="EUY112" s="17"/>
      <c r="EUZ112" s="17"/>
      <c r="EVA112" s="17"/>
      <c r="EVB112" s="17"/>
      <c r="EVC112" s="17"/>
      <c r="EVD112" s="17"/>
      <c r="EVE112" s="17"/>
      <c r="EVF112" s="17"/>
      <c r="EVG112" s="17"/>
      <c r="EVH112" s="17"/>
      <c r="EVI112" s="17"/>
      <c r="EVJ112" s="17"/>
      <c r="EVK112" s="17"/>
      <c r="EVL112" s="17"/>
      <c r="EVM112" s="17"/>
      <c r="EVN112" s="17"/>
      <c r="EVO112" s="17"/>
      <c r="EVP112" s="17"/>
      <c r="EVQ112" s="17"/>
      <c r="EVR112" s="17"/>
      <c r="EVS112" s="17"/>
      <c r="EVT112" s="17"/>
      <c r="EVU112" s="17"/>
      <c r="EVV112" s="17"/>
      <c r="EVW112" s="17"/>
      <c r="EVX112" s="17"/>
      <c r="EVY112" s="17"/>
      <c r="EVZ112" s="17"/>
      <c r="EWA112" s="17"/>
      <c r="EWB112" s="17"/>
      <c r="EWC112" s="17"/>
      <c r="EWD112" s="17"/>
      <c r="EWE112" s="17"/>
      <c r="EWF112" s="17"/>
      <c r="EWG112" s="17"/>
      <c r="EWH112" s="17"/>
      <c r="EWI112" s="17"/>
      <c r="EWJ112" s="17"/>
      <c r="EWK112" s="17"/>
      <c r="EWL112" s="17"/>
      <c r="EWM112" s="17"/>
      <c r="EWN112" s="17"/>
      <c r="EWO112" s="17"/>
      <c r="EWP112" s="17"/>
      <c r="EWQ112" s="17"/>
      <c r="EWR112" s="17"/>
      <c r="EWS112" s="17"/>
      <c r="EWT112" s="17"/>
      <c r="EWU112" s="17"/>
      <c r="EWV112" s="17"/>
      <c r="EWW112" s="17"/>
      <c r="EWX112" s="17"/>
      <c r="EWY112" s="17"/>
      <c r="EWZ112" s="17"/>
      <c r="EXA112" s="17"/>
      <c r="EXB112" s="17"/>
      <c r="EXC112" s="17"/>
      <c r="EXD112" s="17"/>
      <c r="EXE112" s="17"/>
      <c r="EXF112" s="17"/>
      <c r="EXG112" s="17"/>
      <c r="EXH112" s="17"/>
      <c r="EXI112" s="17"/>
      <c r="EXJ112" s="17"/>
      <c r="EXK112" s="17"/>
      <c r="EXL112" s="17"/>
      <c r="EXM112" s="17"/>
      <c r="EXN112" s="17"/>
      <c r="EXO112" s="17"/>
      <c r="EXP112" s="17"/>
      <c r="EXQ112" s="17"/>
      <c r="EXR112" s="17"/>
      <c r="EXS112" s="17"/>
      <c r="EXT112" s="17"/>
      <c r="EXU112" s="17"/>
      <c r="EXV112" s="17"/>
      <c r="EXW112" s="17"/>
      <c r="EXX112" s="17"/>
      <c r="EXY112" s="17"/>
      <c r="EXZ112" s="17"/>
      <c r="EYA112" s="17"/>
      <c r="EYB112" s="17"/>
      <c r="EYC112" s="17"/>
      <c r="EYD112" s="17"/>
      <c r="EYE112" s="17"/>
      <c r="EYF112" s="17"/>
      <c r="EYG112" s="17"/>
      <c r="EYH112" s="17"/>
      <c r="EYI112" s="17"/>
      <c r="EYJ112" s="17"/>
      <c r="EYK112" s="17"/>
      <c r="EYL112" s="17"/>
      <c r="EYM112" s="17"/>
      <c r="EYN112" s="17"/>
      <c r="EYO112" s="17"/>
      <c r="EYP112" s="17"/>
      <c r="EYQ112" s="17"/>
      <c r="EYR112" s="17"/>
      <c r="EYS112" s="17"/>
      <c r="EYT112" s="17"/>
      <c r="EYU112" s="17"/>
      <c r="EYV112" s="17"/>
      <c r="EYW112" s="17"/>
      <c r="EYX112" s="17"/>
      <c r="EYY112" s="17"/>
      <c r="EYZ112" s="17"/>
      <c r="EZA112" s="17"/>
      <c r="EZB112" s="17"/>
      <c r="EZC112" s="17"/>
      <c r="EZD112" s="17"/>
      <c r="EZE112" s="17"/>
      <c r="EZF112" s="17"/>
      <c r="EZG112" s="17"/>
      <c r="EZH112" s="17"/>
      <c r="EZI112" s="17"/>
      <c r="EZJ112" s="17"/>
      <c r="EZK112" s="17"/>
      <c r="EZL112" s="17"/>
      <c r="EZM112" s="17"/>
      <c r="EZN112" s="17"/>
      <c r="EZO112" s="17"/>
      <c r="EZP112" s="17"/>
      <c r="EZQ112" s="17"/>
      <c r="EZR112" s="17"/>
      <c r="EZS112" s="17"/>
      <c r="EZT112" s="17"/>
      <c r="EZU112" s="17"/>
      <c r="EZV112" s="17"/>
      <c r="EZW112" s="17"/>
      <c r="EZX112" s="17"/>
      <c r="EZY112" s="17"/>
      <c r="EZZ112" s="17"/>
      <c r="FAA112" s="17"/>
      <c r="FAB112" s="17"/>
      <c r="FAC112" s="17"/>
      <c r="FAD112" s="17"/>
      <c r="FAE112" s="17"/>
      <c r="FAF112" s="17"/>
      <c r="FAG112" s="17"/>
      <c r="FAH112" s="17"/>
      <c r="FAI112" s="17"/>
      <c r="FAJ112" s="17"/>
      <c r="FAK112" s="17"/>
      <c r="FAL112" s="17"/>
      <c r="FAM112" s="17"/>
      <c r="FAN112" s="17"/>
      <c r="FAO112" s="17"/>
      <c r="FAP112" s="17"/>
      <c r="FAQ112" s="17"/>
      <c r="FAR112" s="17"/>
      <c r="FAS112" s="17"/>
      <c r="FAT112" s="17"/>
      <c r="FAU112" s="17"/>
      <c r="FAV112" s="17"/>
      <c r="FAW112" s="17"/>
      <c r="FAX112" s="17"/>
      <c r="FAY112" s="17"/>
      <c r="FAZ112" s="17"/>
      <c r="FBA112" s="17"/>
      <c r="FBB112" s="17"/>
      <c r="FBC112" s="17"/>
      <c r="FBD112" s="17"/>
      <c r="FBE112" s="17"/>
      <c r="FBF112" s="17"/>
      <c r="FBG112" s="17"/>
      <c r="FBH112" s="17"/>
      <c r="FBI112" s="17"/>
      <c r="FBJ112" s="17"/>
      <c r="FBK112" s="17"/>
      <c r="FBL112" s="17"/>
      <c r="FBM112" s="17"/>
      <c r="FBN112" s="17"/>
      <c r="FBO112" s="17"/>
      <c r="FBP112" s="17"/>
      <c r="FBQ112" s="17"/>
      <c r="FBR112" s="17"/>
      <c r="FBS112" s="17"/>
      <c r="FBT112" s="17"/>
      <c r="FBU112" s="17"/>
      <c r="FBV112" s="17"/>
      <c r="FBW112" s="17"/>
      <c r="FBX112" s="17"/>
      <c r="FBY112" s="17"/>
      <c r="FBZ112" s="17"/>
      <c r="FCA112" s="17"/>
      <c r="FCB112" s="17"/>
      <c r="FCC112" s="17"/>
      <c r="FCD112" s="17"/>
      <c r="FCE112" s="17"/>
      <c r="FCF112" s="17"/>
      <c r="FCG112" s="17"/>
      <c r="FCH112" s="17"/>
      <c r="FCI112" s="17"/>
      <c r="FCJ112" s="17"/>
      <c r="FCK112" s="17"/>
      <c r="FCL112" s="17"/>
      <c r="FCM112" s="17"/>
      <c r="FCN112" s="17"/>
      <c r="FCO112" s="17"/>
      <c r="FCP112" s="17"/>
      <c r="FCQ112" s="17"/>
      <c r="FCR112" s="17"/>
      <c r="FCS112" s="17"/>
      <c r="FCT112" s="17"/>
      <c r="FCU112" s="17"/>
      <c r="FCV112" s="17"/>
      <c r="FCW112" s="17"/>
      <c r="FCX112" s="17"/>
      <c r="FCY112" s="17"/>
      <c r="FCZ112" s="17"/>
      <c r="FDA112" s="17"/>
      <c r="FDB112" s="17"/>
      <c r="FDC112" s="17"/>
      <c r="FDD112" s="17"/>
      <c r="FDE112" s="17"/>
      <c r="FDF112" s="17"/>
      <c r="FDG112" s="17"/>
      <c r="FDH112" s="17"/>
      <c r="FDI112" s="17"/>
      <c r="FDJ112" s="17"/>
      <c r="FDK112" s="17"/>
      <c r="FDL112" s="17"/>
      <c r="FDM112" s="17"/>
      <c r="FDN112" s="17"/>
      <c r="FDO112" s="17"/>
      <c r="FDP112" s="17"/>
      <c r="FDQ112" s="17"/>
      <c r="FDR112" s="17"/>
      <c r="FDS112" s="17"/>
      <c r="FDT112" s="17"/>
      <c r="FDU112" s="17"/>
      <c r="FDV112" s="17"/>
      <c r="FDW112" s="17"/>
      <c r="FDX112" s="17"/>
      <c r="FDY112" s="17"/>
      <c r="FDZ112" s="17"/>
      <c r="FEA112" s="17"/>
      <c r="FEB112" s="17"/>
      <c r="FEC112" s="17"/>
      <c r="FED112" s="17"/>
      <c r="FEE112" s="17"/>
      <c r="FEF112" s="17"/>
      <c r="FEG112" s="17"/>
      <c r="FEH112" s="17"/>
      <c r="FEI112" s="17"/>
      <c r="FEJ112" s="17"/>
      <c r="FEK112" s="17"/>
      <c r="FEL112" s="17"/>
      <c r="FEM112" s="17"/>
      <c r="FEN112" s="17"/>
      <c r="FEO112" s="17"/>
      <c r="FEP112" s="17"/>
      <c r="FEQ112" s="17"/>
      <c r="FER112" s="17"/>
      <c r="FES112" s="17"/>
      <c r="FET112" s="17"/>
      <c r="FEU112" s="17"/>
      <c r="FEV112" s="17"/>
      <c r="FEW112" s="17"/>
      <c r="FEX112" s="17"/>
      <c r="FEY112" s="17"/>
      <c r="FEZ112" s="17"/>
      <c r="FFA112" s="17"/>
      <c r="FFB112" s="17"/>
      <c r="FFC112" s="17"/>
      <c r="FFD112" s="17"/>
      <c r="FFE112" s="17"/>
      <c r="FFF112" s="17"/>
      <c r="FFG112" s="17"/>
      <c r="FFH112" s="17"/>
      <c r="FFI112" s="17"/>
      <c r="FFJ112" s="17"/>
      <c r="FFK112" s="17"/>
      <c r="FFL112" s="17"/>
      <c r="FFM112" s="17"/>
      <c r="FFN112" s="17"/>
      <c r="FFO112" s="17"/>
      <c r="FFP112" s="17"/>
      <c r="FFQ112" s="17"/>
      <c r="FFR112" s="17"/>
      <c r="FFS112" s="17"/>
      <c r="FFT112" s="17"/>
      <c r="FFU112" s="17"/>
      <c r="FFV112" s="17"/>
      <c r="FFW112" s="17"/>
      <c r="FFX112" s="17"/>
      <c r="FFY112" s="17"/>
      <c r="FFZ112" s="17"/>
      <c r="FGA112" s="17"/>
      <c r="FGB112" s="17"/>
      <c r="FGC112" s="17"/>
      <c r="FGD112" s="17"/>
      <c r="FGE112" s="17"/>
      <c r="FGF112" s="17"/>
      <c r="FGG112" s="17"/>
      <c r="FGH112" s="17"/>
      <c r="FGI112" s="17"/>
      <c r="FGJ112" s="17"/>
      <c r="FGK112" s="17"/>
      <c r="FGL112" s="17"/>
      <c r="FGM112" s="17"/>
      <c r="FGN112" s="17"/>
      <c r="FGO112" s="17"/>
      <c r="FGP112" s="17"/>
      <c r="FGQ112" s="17"/>
      <c r="FGR112" s="17"/>
      <c r="FGS112" s="17"/>
      <c r="FGT112" s="17"/>
      <c r="FGU112" s="17"/>
      <c r="FGV112" s="17"/>
      <c r="FGW112" s="17"/>
      <c r="FGX112" s="17"/>
      <c r="FGY112" s="17"/>
      <c r="FGZ112" s="17"/>
      <c r="FHA112" s="17"/>
      <c r="FHB112" s="17"/>
      <c r="FHC112" s="17"/>
      <c r="FHD112" s="17"/>
      <c r="FHE112" s="17"/>
      <c r="FHF112" s="17"/>
      <c r="FHG112" s="17"/>
      <c r="FHH112" s="17"/>
      <c r="FHI112" s="17"/>
      <c r="FHJ112" s="17"/>
      <c r="FHK112" s="17"/>
      <c r="FHL112" s="17"/>
      <c r="FHM112" s="17"/>
      <c r="FHN112" s="17"/>
      <c r="FHO112" s="17"/>
      <c r="FHP112" s="17"/>
      <c r="FHQ112" s="17"/>
      <c r="FHR112" s="17"/>
      <c r="FHS112" s="17"/>
      <c r="FHT112" s="17"/>
      <c r="FHU112" s="17"/>
      <c r="FHV112" s="17"/>
      <c r="FHW112" s="17"/>
      <c r="FHX112" s="17"/>
      <c r="FHY112" s="17"/>
      <c r="FHZ112" s="17"/>
      <c r="FIA112" s="17"/>
      <c r="FIB112" s="17"/>
      <c r="FIC112" s="17"/>
      <c r="FID112" s="17"/>
      <c r="FIE112" s="17"/>
      <c r="FIF112" s="17"/>
      <c r="FIG112" s="17"/>
      <c r="FIH112" s="17"/>
      <c r="FII112" s="17"/>
      <c r="FIJ112" s="17"/>
      <c r="FIK112" s="17"/>
      <c r="FIL112" s="17"/>
      <c r="FIM112" s="17"/>
      <c r="FIN112" s="17"/>
      <c r="FIO112" s="17"/>
      <c r="FIP112" s="17"/>
      <c r="FIQ112" s="17"/>
      <c r="FIR112" s="17"/>
      <c r="FIS112" s="17"/>
      <c r="FIT112" s="17"/>
      <c r="FIU112" s="17"/>
      <c r="FIV112" s="17"/>
      <c r="FIW112" s="17"/>
      <c r="FIX112" s="17"/>
      <c r="FIY112" s="17"/>
      <c r="FIZ112" s="17"/>
      <c r="FJA112" s="17"/>
      <c r="FJB112" s="17"/>
      <c r="FJC112" s="17"/>
      <c r="FJD112" s="17"/>
      <c r="FJE112" s="17"/>
      <c r="FJF112" s="17"/>
      <c r="FJG112" s="17"/>
      <c r="FJH112" s="17"/>
      <c r="FJI112" s="17"/>
      <c r="FJJ112" s="17"/>
      <c r="FJK112" s="17"/>
      <c r="FJL112" s="17"/>
      <c r="FJM112" s="17"/>
      <c r="FJN112" s="17"/>
      <c r="FJO112" s="17"/>
      <c r="FJP112" s="17"/>
      <c r="FJQ112" s="17"/>
      <c r="FJR112" s="17"/>
      <c r="FJS112" s="17"/>
      <c r="FJT112" s="17"/>
      <c r="FJU112" s="17"/>
      <c r="FJV112" s="17"/>
      <c r="FJW112" s="17"/>
      <c r="FJX112" s="17"/>
      <c r="FJY112" s="17"/>
      <c r="FJZ112" s="17"/>
      <c r="FKA112" s="17"/>
      <c r="FKB112" s="17"/>
      <c r="FKC112" s="17"/>
      <c r="FKD112" s="17"/>
      <c r="FKE112" s="17"/>
      <c r="FKF112" s="17"/>
      <c r="FKG112" s="17"/>
      <c r="FKH112" s="17"/>
      <c r="FKI112" s="17"/>
      <c r="FKJ112" s="17"/>
      <c r="FKK112" s="17"/>
      <c r="FKL112" s="17"/>
      <c r="FKM112" s="17"/>
      <c r="FKN112" s="17"/>
      <c r="FKO112" s="17"/>
      <c r="FKP112" s="17"/>
      <c r="FKQ112" s="17"/>
      <c r="FKR112" s="17"/>
      <c r="FKS112" s="17"/>
      <c r="FKT112" s="17"/>
      <c r="FKU112" s="17"/>
      <c r="FKV112" s="17"/>
      <c r="FKW112" s="17"/>
      <c r="FKX112" s="17"/>
      <c r="FKY112" s="17"/>
      <c r="FKZ112" s="17"/>
      <c r="FLA112" s="17"/>
      <c r="FLB112" s="17"/>
      <c r="FLC112" s="17"/>
      <c r="FLD112" s="17"/>
      <c r="FLE112" s="17"/>
      <c r="FLF112" s="17"/>
      <c r="FLG112" s="17"/>
      <c r="FLH112" s="17"/>
      <c r="FLI112" s="17"/>
      <c r="FLJ112" s="17"/>
      <c r="FLK112" s="17"/>
      <c r="FLL112" s="17"/>
      <c r="FLM112" s="17"/>
      <c r="FLN112" s="17"/>
      <c r="FLO112" s="17"/>
      <c r="FLP112" s="17"/>
      <c r="FLQ112" s="17"/>
      <c r="FLR112" s="17"/>
      <c r="FLS112" s="17"/>
      <c r="FLT112" s="17"/>
      <c r="FLU112" s="17"/>
      <c r="FLV112" s="17"/>
      <c r="FLW112" s="17"/>
      <c r="FLX112" s="17"/>
      <c r="FLY112" s="17"/>
      <c r="FLZ112" s="17"/>
      <c r="FMA112" s="17"/>
      <c r="FMB112" s="17"/>
      <c r="FMC112" s="17"/>
      <c r="FMD112" s="17"/>
      <c r="FME112" s="17"/>
      <c r="FMF112" s="17"/>
      <c r="FMG112" s="17"/>
      <c r="FMH112" s="17"/>
      <c r="FMI112" s="17"/>
      <c r="FMJ112" s="17"/>
      <c r="FMK112" s="17"/>
      <c r="FML112" s="17"/>
      <c r="FMM112" s="17"/>
      <c r="FMN112" s="17"/>
      <c r="FMO112" s="17"/>
      <c r="FMP112" s="17"/>
      <c r="FMQ112" s="17"/>
      <c r="FMR112" s="17"/>
      <c r="FMS112" s="17"/>
      <c r="FMT112" s="17"/>
      <c r="FMU112" s="17"/>
      <c r="FMV112" s="17"/>
      <c r="FMW112" s="17"/>
      <c r="FMX112" s="17"/>
      <c r="FMY112" s="17"/>
      <c r="FMZ112" s="17"/>
      <c r="FNA112" s="17"/>
      <c r="FNB112" s="17"/>
      <c r="FNC112" s="17"/>
      <c r="FND112" s="17"/>
      <c r="FNE112" s="17"/>
      <c r="FNF112" s="17"/>
      <c r="FNG112" s="17"/>
      <c r="FNH112" s="17"/>
      <c r="FNI112" s="17"/>
      <c r="FNJ112" s="17"/>
      <c r="FNK112" s="17"/>
      <c r="FNL112" s="17"/>
      <c r="FNM112" s="17"/>
      <c r="FNN112" s="17"/>
      <c r="FNO112" s="17"/>
      <c r="FNP112" s="17"/>
      <c r="FNQ112" s="17"/>
      <c r="FNR112" s="17"/>
      <c r="FNS112" s="17"/>
      <c r="FNT112" s="17"/>
      <c r="FNU112" s="17"/>
      <c r="FNV112" s="17"/>
      <c r="FNW112" s="17"/>
      <c r="FNX112" s="17"/>
      <c r="FNY112" s="17"/>
      <c r="FNZ112" s="17"/>
      <c r="FOA112" s="17"/>
      <c r="FOB112" s="17"/>
      <c r="FOC112" s="17"/>
      <c r="FOD112" s="17"/>
      <c r="FOE112" s="17"/>
      <c r="FOF112" s="17"/>
      <c r="FOG112" s="17"/>
      <c r="FOH112" s="17"/>
      <c r="FOI112" s="17"/>
      <c r="FOJ112" s="17"/>
      <c r="FOK112" s="17"/>
      <c r="FOL112" s="17"/>
      <c r="FOM112" s="17"/>
      <c r="FON112" s="17"/>
      <c r="FOO112" s="17"/>
      <c r="FOP112" s="17"/>
      <c r="FOQ112" s="17"/>
      <c r="FOR112" s="17"/>
      <c r="FOS112" s="17"/>
      <c r="FOT112" s="17"/>
      <c r="FOU112" s="17"/>
      <c r="FOV112" s="17"/>
      <c r="FOW112" s="17"/>
      <c r="FOX112" s="17"/>
      <c r="FOY112" s="17"/>
      <c r="FOZ112" s="17"/>
      <c r="FPA112" s="17"/>
      <c r="FPB112" s="17"/>
      <c r="FPC112" s="17"/>
      <c r="FPD112" s="17"/>
      <c r="FPE112" s="17"/>
      <c r="FPF112" s="17"/>
      <c r="FPG112" s="17"/>
      <c r="FPH112" s="17"/>
      <c r="FPI112" s="17"/>
      <c r="FPJ112" s="17"/>
      <c r="FPK112" s="17"/>
      <c r="FPL112" s="17"/>
      <c r="FPM112" s="17"/>
      <c r="FPN112" s="17"/>
      <c r="FPO112" s="17"/>
      <c r="FPP112" s="17"/>
      <c r="FPQ112" s="17"/>
      <c r="FPR112" s="17"/>
      <c r="FPS112" s="17"/>
      <c r="FPT112" s="17"/>
      <c r="FPU112" s="17"/>
      <c r="FPV112" s="17"/>
      <c r="FPW112" s="17"/>
      <c r="FPX112" s="17"/>
      <c r="FPY112" s="17"/>
      <c r="FPZ112" s="17"/>
      <c r="FQA112" s="17"/>
      <c r="FQB112" s="17"/>
      <c r="FQC112" s="17"/>
      <c r="FQD112" s="17"/>
      <c r="FQE112" s="17"/>
      <c r="FQF112" s="17"/>
      <c r="FQG112" s="17"/>
      <c r="FQH112" s="17"/>
      <c r="FQI112" s="17"/>
      <c r="FQJ112" s="17"/>
      <c r="FQK112" s="17"/>
      <c r="FQL112" s="17"/>
      <c r="FQM112" s="17"/>
      <c r="FQN112" s="17"/>
      <c r="FQO112" s="17"/>
      <c r="FQP112" s="17"/>
      <c r="FQQ112" s="17"/>
      <c r="FQR112" s="17"/>
      <c r="FQS112" s="17"/>
      <c r="FQT112" s="17"/>
      <c r="FQU112" s="17"/>
      <c r="FQV112" s="17"/>
      <c r="FQW112" s="17"/>
      <c r="FQX112" s="17"/>
      <c r="FQY112" s="17"/>
      <c r="FQZ112" s="17"/>
      <c r="FRA112" s="17"/>
      <c r="FRB112" s="17"/>
      <c r="FRC112" s="17"/>
      <c r="FRD112" s="17"/>
      <c r="FRE112" s="17"/>
      <c r="FRF112" s="17"/>
      <c r="FRG112" s="17"/>
      <c r="FRH112" s="17"/>
      <c r="FRI112" s="17"/>
      <c r="FRJ112" s="17"/>
      <c r="FRK112" s="17"/>
      <c r="FRL112" s="17"/>
      <c r="FRM112" s="17"/>
      <c r="FRN112" s="17"/>
      <c r="FRO112" s="17"/>
      <c r="FRP112" s="17"/>
      <c r="FRQ112" s="17"/>
      <c r="FRR112" s="17"/>
      <c r="FRS112" s="17"/>
      <c r="FRT112" s="17"/>
      <c r="FRU112" s="17"/>
      <c r="FRV112" s="17"/>
      <c r="FRW112" s="17"/>
      <c r="FRX112" s="17"/>
      <c r="FRY112" s="17"/>
      <c r="FRZ112" s="17"/>
      <c r="FSA112" s="17"/>
      <c r="FSB112" s="17"/>
      <c r="FSC112" s="17"/>
      <c r="FSD112" s="17"/>
      <c r="FSE112" s="17"/>
      <c r="FSF112" s="17"/>
      <c r="FSG112" s="17"/>
      <c r="FSH112" s="17"/>
      <c r="FSI112" s="17"/>
      <c r="FSJ112" s="17"/>
      <c r="FSK112" s="17"/>
      <c r="FSL112" s="17"/>
      <c r="FSM112" s="17"/>
      <c r="FSN112" s="17"/>
      <c r="FSO112" s="17"/>
      <c r="FSP112" s="17"/>
      <c r="FSQ112" s="17"/>
      <c r="FSR112" s="17"/>
      <c r="FSS112" s="17"/>
      <c r="FST112" s="17"/>
      <c r="FSU112" s="17"/>
      <c r="FSV112" s="17"/>
      <c r="FSW112" s="17"/>
      <c r="FSX112" s="17"/>
      <c r="FSY112" s="17"/>
      <c r="FSZ112" s="17"/>
      <c r="FTA112" s="17"/>
      <c r="FTB112" s="17"/>
      <c r="FTC112" s="17"/>
      <c r="FTD112" s="17"/>
      <c r="FTE112" s="17"/>
      <c r="FTF112" s="17"/>
      <c r="FTG112" s="17"/>
      <c r="FTH112" s="17"/>
      <c r="FTI112" s="17"/>
      <c r="FTJ112" s="17"/>
      <c r="FTK112" s="17"/>
      <c r="FTL112" s="17"/>
      <c r="FTM112" s="17"/>
      <c r="FTN112" s="17"/>
      <c r="FTO112" s="17"/>
      <c r="FTP112" s="17"/>
      <c r="FTQ112" s="17"/>
      <c r="FTR112" s="17"/>
      <c r="FTS112" s="17"/>
      <c r="FTT112" s="17"/>
      <c r="FTU112" s="17"/>
      <c r="FTV112" s="17"/>
      <c r="FTW112" s="17"/>
      <c r="FTX112" s="17"/>
      <c r="FTY112" s="17"/>
      <c r="FTZ112" s="17"/>
      <c r="FUA112" s="17"/>
      <c r="FUB112" s="17"/>
      <c r="FUC112" s="17"/>
      <c r="FUD112" s="17"/>
      <c r="FUE112" s="17"/>
      <c r="FUF112" s="17"/>
      <c r="FUG112" s="17"/>
      <c r="FUH112" s="17"/>
      <c r="FUI112" s="17"/>
      <c r="FUJ112" s="17"/>
      <c r="FUK112" s="17"/>
      <c r="FUL112" s="17"/>
      <c r="FUM112" s="17"/>
      <c r="FUN112" s="17"/>
      <c r="FUO112" s="17"/>
      <c r="FUP112" s="17"/>
      <c r="FUQ112" s="17"/>
      <c r="FUR112" s="17"/>
      <c r="FUS112" s="17"/>
      <c r="FUT112" s="17"/>
      <c r="FUU112" s="17"/>
      <c r="FUV112" s="17"/>
      <c r="FUW112" s="17"/>
      <c r="FUX112" s="17"/>
      <c r="FUY112" s="17"/>
      <c r="FUZ112" s="17"/>
      <c r="FVA112" s="17"/>
      <c r="FVB112" s="17"/>
      <c r="FVC112" s="17"/>
      <c r="FVD112" s="17"/>
      <c r="FVE112" s="17"/>
      <c r="FVF112" s="17"/>
      <c r="FVG112" s="17"/>
      <c r="FVH112" s="17"/>
      <c r="FVI112" s="17"/>
      <c r="FVJ112" s="17"/>
      <c r="FVK112" s="17"/>
      <c r="FVL112" s="17"/>
      <c r="FVM112" s="17"/>
      <c r="FVN112" s="17"/>
      <c r="FVO112" s="17"/>
      <c r="FVP112" s="17"/>
      <c r="FVQ112" s="17"/>
      <c r="FVR112" s="17"/>
      <c r="FVS112" s="17"/>
      <c r="FVT112" s="17"/>
      <c r="FVU112" s="17"/>
      <c r="FVV112" s="17"/>
      <c r="FVW112" s="17"/>
      <c r="FVX112" s="17"/>
      <c r="FVY112" s="17"/>
      <c r="FVZ112" s="17"/>
      <c r="FWA112" s="17"/>
      <c r="FWB112" s="17"/>
      <c r="FWC112" s="17"/>
      <c r="FWD112" s="17"/>
      <c r="FWE112" s="17"/>
      <c r="FWF112" s="17"/>
      <c r="FWG112" s="17"/>
      <c r="FWH112" s="17"/>
      <c r="FWI112" s="17"/>
      <c r="FWJ112" s="17"/>
      <c r="FWK112" s="17"/>
      <c r="FWL112" s="17"/>
      <c r="FWM112" s="17"/>
      <c r="FWN112" s="17"/>
      <c r="FWO112" s="17"/>
      <c r="FWP112" s="17"/>
      <c r="FWQ112" s="17"/>
      <c r="FWR112" s="17"/>
      <c r="FWS112" s="17"/>
      <c r="FWT112" s="17"/>
      <c r="FWU112" s="17"/>
      <c r="FWV112" s="17"/>
      <c r="FWW112" s="17"/>
      <c r="FWX112" s="17"/>
      <c r="FWY112" s="17"/>
      <c r="FWZ112" s="17"/>
      <c r="FXA112" s="17"/>
      <c r="FXB112" s="17"/>
      <c r="FXC112" s="17"/>
      <c r="FXD112" s="17"/>
      <c r="FXE112" s="17"/>
      <c r="FXF112" s="17"/>
      <c r="FXG112" s="17"/>
      <c r="FXH112" s="17"/>
      <c r="FXI112" s="17"/>
      <c r="FXJ112" s="17"/>
      <c r="FXK112" s="17"/>
      <c r="FXL112" s="17"/>
      <c r="FXM112" s="17"/>
      <c r="FXN112" s="17"/>
      <c r="FXO112" s="17"/>
      <c r="FXP112" s="17"/>
      <c r="FXQ112" s="17"/>
      <c r="FXR112" s="17"/>
      <c r="FXS112" s="17"/>
      <c r="FXT112" s="17"/>
      <c r="FXU112" s="17"/>
      <c r="FXV112" s="17"/>
      <c r="FXW112" s="17"/>
      <c r="FXX112" s="17"/>
      <c r="FXY112" s="17"/>
      <c r="FXZ112" s="17"/>
      <c r="FYA112" s="17"/>
      <c r="FYB112" s="17"/>
      <c r="FYC112" s="17"/>
      <c r="FYD112" s="17"/>
      <c r="FYE112" s="17"/>
      <c r="FYF112" s="17"/>
      <c r="FYG112" s="17"/>
      <c r="FYH112" s="17"/>
      <c r="FYI112" s="17"/>
      <c r="FYJ112" s="17"/>
      <c r="FYK112" s="17"/>
      <c r="FYL112" s="17"/>
      <c r="FYM112" s="17"/>
      <c r="FYN112" s="17"/>
      <c r="FYO112" s="17"/>
      <c r="FYP112" s="17"/>
      <c r="FYQ112" s="17"/>
      <c r="FYR112" s="17"/>
      <c r="FYS112" s="17"/>
      <c r="FYT112" s="17"/>
      <c r="FYU112" s="17"/>
      <c r="FYV112" s="17"/>
      <c r="FYW112" s="17"/>
      <c r="FYX112" s="17"/>
      <c r="FYY112" s="17"/>
      <c r="FYZ112" s="17"/>
      <c r="FZA112" s="17"/>
      <c r="FZB112" s="17"/>
      <c r="FZC112" s="17"/>
      <c r="FZD112" s="17"/>
      <c r="FZE112" s="17"/>
      <c r="FZF112" s="17"/>
      <c r="FZG112" s="17"/>
      <c r="FZH112" s="17"/>
      <c r="FZI112" s="17"/>
      <c r="FZJ112" s="17"/>
      <c r="FZK112" s="17"/>
      <c r="FZL112" s="17"/>
      <c r="FZM112" s="17"/>
      <c r="FZN112" s="17"/>
      <c r="FZO112" s="17"/>
      <c r="FZP112" s="17"/>
      <c r="FZQ112" s="17"/>
      <c r="FZR112" s="17"/>
      <c r="FZS112" s="17"/>
      <c r="FZT112" s="17"/>
      <c r="FZU112" s="17"/>
      <c r="FZV112" s="17"/>
      <c r="FZW112" s="17"/>
      <c r="FZX112" s="17"/>
      <c r="FZY112" s="17"/>
      <c r="FZZ112" s="17"/>
      <c r="GAA112" s="17"/>
      <c r="GAB112" s="17"/>
      <c r="GAC112" s="17"/>
      <c r="GAD112" s="17"/>
      <c r="GAE112" s="17"/>
      <c r="GAF112" s="17"/>
      <c r="GAG112" s="17"/>
      <c r="GAH112" s="17"/>
      <c r="GAI112" s="17"/>
      <c r="GAJ112" s="17"/>
      <c r="GAK112" s="17"/>
      <c r="GAL112" s="17"/>
      <c r="GAM112" s="17"/>
      <c r="GAN112" s="17"/>
      <c r="GAO112" s="17"/>
      <c r="GAP112" s="17"/>
      <c r="GAQ112" s="17"/>
      <c r="GAR112" s="17"/>
      <c r="GAS112" s="17"/>
      <c r="GAT112" s="17"/>
      <c r="GAU112" s="17"/>
      <c r="GAV112" s="17"/>
      <c r="GAW112" s="17"/>
      <c r="GAX112" s="17"/>
      <c r="GAY112" s="17"/>
      <c r="GAZ112" s="17"/>
      <c r="GBA112" s="17"/>
      <c r="GBB112" s="17"/>
      <c r="GBC112" s="17"/>
      <c r="GBD112" s="17"/>
      <c r="GBE112" s="17"/>
      <c r="GBF112" s="17"/>
      <c r="GBG112" s="17"/>
      <c r="GBH112" s="17"/>
      <c r="GBI112" s="17"/>
      <c r="GBJ112" s="17"/>
      <c r="GBK112" s="17"/>
      <c r="GBL112" s="17"/>
      <c r="GBM112" s="17"/>
      <c r="GBN112" s="17"/>
      <c r="GBO112" s="17"/>
      <c r="GBP112" s="17"/>
      <c r="GBQ112" s="17"/>
      <c r="GBR112" s="17"/>
      <c r="GBS112" s="17"/>
      <c r="GBT112" s="17"/>
      <c r="GBU112" s="17"/>
      <c r="GBV112" s="17"/>
      <c r="GBW112" s="17"/>
      <c r="GBX112" s="17"/>
      <c r="GBY112" s="17"/>
      <c r="GBZ112" s="17"/>
      <c r="GCA112" s="17"/>
      <c r="GCB112" s="17"/>
      <c r="GCC112" s="17"/>
      <c r="GCD112" s="17"/>
      <c r="GCE112" s="17"/>
      <c r="GCF112" s="17"/>
      <c r="GCG112" s="17"/>
      <c r="GCH112" s="17"/>
      <c r="GCI112" s="17"/>
      <c r="GCJ112" s="17"/>
      <c r="GCK112" s="17"/>
      <c r="GCL112" s="17"/>
      <c r="GCM112" s="17"/>
      <c r="GCN112" s="17"/>
      <c r="GCO112" s="17"/>
      <c r="GCP112" s="17"/>
      <c r="GCQ112" s="17"/>
      <c r="GCR112" s="17"/>
      <c r="GCS112" s="17"/>
      <c r="GCT112" s="17"/>
      <c r="GCU112" s="17"/>
      <c r="GCV112" s="17"/>
      <c r="GCW112" s="17"/>
      <c r="GCX112" s="17"/>
      <c r="GCY112" s="17"/>
      <c r="GCZ112" s="17"/>
      <c r="GDA112" s="17"/>
      <c r="GDB112" s="17"/>
      <c r="GDC112" s="17"/>
      <c r="GDD112" s="17"/>
      <c r="GDE112" s="17"/>
      <c r="GDF112" s="17"/>
      <c r="GDG112" s="17"/>
      <c r="GDH112" s="17"/>
      <c r="GDI112" s="17"/>
      <c r="GDJ112" s="17"/>
      <c r="GDK112" s="17"/>
      <c r="GDL112" s="17"/>
      <c r="GDM112" s="17"/>
      <c r="GDN112" s="17"/>
      <c r="GDO112" s="17"/>
      <c r="GDP112" s="17"/>
      <c r="GDQ112" s="17"/>
      <c r="GDR112" s="17"/>
      <c r="GDS112" s="17"/>
      <c r="GDT112" s="17"/>
      <c r="GDU112" s="17"/>
      <c r="GDV112" s="17"/>
      <c r="GDW112" s="17"/>
      <c r="GDX112" s="17"/>
      <c r="GDY112" s="17"/>
      <c r="GDZ112" s="17"/>
      <c r="GEA112" s="17"/>
      <c r="GEB112" s="17"/>
      <c r="GEC112" s="17"/>
      <c r="GED112" s="17"/>
      <c r="GEE112" s="17"/>
      <c r="GEF112" s="17"/>
      <c r="GEG112" s="17"/>
      <c r="GEH112" s="17"/>
      <c r="GEI112" s="17"/>
      <c r="GEJ112" s="17"/>
      <c r="GEK112" s="17"/>
      <c r="GEL112" s="17"/>
      <c r="GEM112" s="17"/>
      <c r="GEN112" s="17"/>
      <c r="GEO112" s="17"/>
      <c r="GEP112" s="17"/>
      <c r="GEQ112" s="17"/>
      <c r="GER112" s="17"/>
      <c r="GES112" s="17"/>
      <c r="GET112" s="17"/>
      <c r="GEU112" s="17"/>
      <c r="GEV112" s="17"/>
      <c r="GEW112" s="17"/>
      <c r="GEX112" s="17"/>
      <c r="GEY112" s="17"/>
      <c r="GEZ112" s="17"/>
      <c r="GFA112" s="17"/>
      <c r="GFB112" s="17"/>
      <c r="GFC112" s="17"/>
      <c r="GFD112" s="17"/>
      <c r="GFE112" s="17"/>
      <c r="GFF112" s="17"/>
      <c r="GFG112" s="17"/>
      <c r="GFH112" s="17"/>
      <c r="GFI112" s="17"/>
      <c r="GFJ112" s="17"/>
      <c r="GFK112" s="17"/>
      <c r="GFL112" s="17"/>
      <c r="GFM112" s="17"/>
      <c r="GFN112" s="17"/>
      <c r="GFO112" s="17"/>
      <c r="GFP112" s="17"/>
      <c r="GFQ112" s="17"/>
      <c r="GFR112" s="17"/>
      <c r="GFS112" s="17"/>
      <c r="GFT112" s="17"/>
      <c r="GFU112" s="17"/>
      <c r="GFV112" s="17"/>
      <c r="GFW112" s="17"/>
      <c r="GFX112" s="17"/>
      <c r="GFY112" s="17"/>
      <c r="GFZ112" s="17"/>
      <c r="GGA112" s="17"/>
      <c r="GGB112" s="17"/>
      <c r="GGC112" s="17"/>
      <c r="GGD112" s="17"/>
      <c r="GGE112" s="17"/>
      <c r="GGF112" s="17"/>
      <c r="GGG112" s="17"/>
      <c r="GGH112" s="17"/>
      <c r="GGI112" s="17"/>
      <c r="GGJ112" s="17"/>
      <c r="GGK112" s="17"/>
      <c r="GGL112" s="17"/>
      <c r="GGM112" s="17"/>
      <c r="GGN112" s="17"/>
      <c r="GGO112" s="17"/>
      <c r="GGP112" s="17"/>
      <c r="GGQ112" s="17"/>
      <c r="GGR112" s="17"/>
      <c r="GGS112" s="17"/>
      <c r="GGT112" s="17"/>
      <c r="GGU112" s="17"/>
      <c r="GGV112" s="17"/>
      <c r="GGW112" s="17"/>
      <c r="GGX112" s="17"/>
      <c r="GGY112" s="17"/>
      <c r="GGZ112" s="17"/>
      <c r="GHA112" s="17"/>
      <c r="GHB112" s="17"/>
      <c r="GHC112" s="17"/>
      <c r="GHD112" s="17"/>
      <c r="GHE112" s="17"/>
      <c r="GHF112" s="17"/>
      <c r="GHG112" s="17"/>
      <c r="GHH112" s="17"/>
      <c r="GHI112" s="17"/>
      <c r="GHJ112" s="17"/>
      <c r="GHK112" s="17"/>
      <c r="GHL112" s="17"/>
      <c r="GHM112" s="17"/>
      <c r="GHN112" s="17"/>
      <c r="GHO112" s="17"/>
      <c r="GHP112" s="17"/>
      <c r="GHQ112" s="17"/>
      <c r="GHR112" s="17"/>
      <c r="GHS112" s="17"/>
      <c r="GHT112" s="17"/>
      <c r="GHU112" s="17"/>
      <c r="GHV112" s="17"/>
      <c r="GHW112" s="17"/>
      <c r="GHX112" s="17"/>
      <c r="GHY112" s="17"/>
      <c r="GHZ112" s="17"/>
      <c r="GIA112" s="17"/>
      <c r="GIB112" s="17"/>
      <c r="GIC112" s="17"/>
      <c r="GID112" s="17"/>
      <c r="GIE112" s="17"/>
      <c r="GIF112" s="17"/>
      <c r="GIG112" s="17"/>
      <c r="GIH112" s="17"/>
      <c r="GII112" s="17"/>
      <c r="GIJ112" s="17"/>
      <c r="GIK112" s="17"/>
      <c r="GIL112" s="17"/>
      <c r="GIM112" s="17"/>
      <c r="GIN112" s="17"/>
      <c r="GIO112" s="17"/>
      <c r="GIP112" s="17"/>
      <c r="GIQ112" s="17"/>
      <c r="GIR112" s="17"/>
      <c r="GIS112" s="17"/>
      <c r="GIT112" s="17"/>
      <c r="GIU112" s="17"/>
      <c r="GIV112" s="17"/>
      <c r="GIW112" s="17"/>
      <c r="GIX112" s="17"/>
      <c r="GIY112" s="17"/>
      <c r="GIZ112" s="17"/>
      <c r="GJA112" s="17"/>
      <c r="GJB112" s="17"/>
      <c r="GJC112" s="17"/>
      <c r="GJD112" s="17"/>
      <c r="GJE112" s="17"/>
      <c r="GJF112" s="17"/>
      <c r="GJG112" s="17"/>
      <c r="GJH112" s="17"/>
      <c r="GJI112" s="17"/>
      <c r="GJJ112" s="17"/>
      <c r="GJK112" s="17"/>
      <c r="GJL112" s="17"/>
      <c r="GJM112" s="17"/>
      <c r="GJN112" s="17"/>
      <c r="GJO112" s="17"/>
      <c r="GJP112" s="17"/>
      <c r="GJQ112" s="17"/>
      <c r="GJR112" s="17"/>
      <c r="GJS112" s="17"/>
      <c r="GJT112" s="17"/>
      <c r="GJU112" s="17"/>
      <c r="GJV112" s="17"/>
      <c r="GJW112" s="17"/>
      <c r="GJX112" s="17"/>
      <c r="GJY112" s="17"/>
      <c r="GJZ112" s="17"/>
      <c r="GKA112" s="17"/>
      <c r="GKB112" s="17"/>
      <c r="GKC112" s="17"/>
      <c r="GKD112" s="17"/>
      <c r="GKE112" s="17"/>
      <c r="GKF112" s="17"/>
      <c r="GKG112" s="17"/>
      <c r="GKH112" s="17"/>
      <c r="GKI112" s="17"/>
      <c r="GKJ112" s="17"/>
      <c r="GKK112" s="17"/>
      <c r="GKL112" s="17"/>
      <c r="GKM112" s="17"/>
      <c r="GKN112" s="17"/>
      <c r="GKO112" s="17"/>
      <c r="GKP112" s="17"/>
      <c r="GKQ112" s="17"/>
      <c r="GKR112" s="17"/>
      <c r="GKS112" s="17"/>
      <c r="GKT112" s="17"/>
      <c r="GKU112" s="17"/>
      <c r="GKV112" s="17"/>
      <c r="GKW112" s="17"/>
      <c r="GKX112" s="17"/>
      <c r="GKY112" s="17"/>
      <c r="GKZ112" s="17"/>
      <c r="GLA112" s="17"/>
      <c r="GLB112" s="17"/>
      <c r="GLC112" s="17"/>
      <c r="GLD112" s="17"/>
      <c r="GLE112" s="17"/>
      <c r="GLF112" s="17"/>
      <c r="GLG112" s="17"/>
      <c r="GLH112" s="17"/>
      <c r="GLI112" s="17"/>
      <c r="GLJ112" s="17"/>
      <c r="GLK112" s="17"/>
      <c r="GLL112" s="17"/>
      <c r="GLM112" s="17"/>
      <c r="GLN112" s="17"/>
      <c r="GLO112" s="17"/>
      <c r="GLP112" s="17"/>
      <c r="GLQ112" s="17"/>
      <c r="GLR112" s="17"/>
      <c r="GLS112" s="17"/>
      <c r="GLT112" s="17"/>
      <c r="GLU112" s="17"/>
      <c r="GLV112" s="17"/>
      <c r="GLW112" s="17"/>
      <c r="GLX112" s="17"/>
      <c r="GLY112" s="17"/>
      <c r="GLZ112" s="17"/>
      <c r="GMA112" s="17"/>
      <c r="GMB112" s="17"/>
      <c r="GMC112" s="17"/>
      <c r="GMD112" s="17"/>
      <c r="GME112" s="17"/>
      <c r="GMF112" s="17"/>
      <c r="GMG112" s="17"/>
      <c r="GMH112" s="17"/>
      <c r="GMI112" s="17"/>
      <c r="GMJ112" s="17"/>
      <c r="GMK112" s="17"/>
      <c r="GML112" s="17"/>
      <c r="GMM112" s="17"/>
      <c r="GMN112" s="17"/>
      <c r="GMO112" s="17"/>
      <c r="GMP112" s="17"/>
      <c r="GMQ112" s="17"/>
      <c r="GMR112" s="17"/>
      <c r="GMS112" s="17"/>
      <c r="GMT112" s="17"/>
      <c r="GMU112" s="17"/>
      <c r="GMV112" s="17"/>
      <c r="GMW112" s="17"/>
      <c r="GMX112" s="17"/>
      <c r="GMY112" s="17"/>
      <c r="GMZ112" s="17"/>
      <c r="GNA112" s="17"/>
      <c r="GNB112" s="17"/>
      <c r="GNC112" s="17"/>
      <c r="GND112" s="17"/>
      <c r="GNE112" s="17"/>
      <c r="GNF112" s="17"/>
      <c r="GNG112" s="17"/>
      <c r="GNH112" s="17"/>
      <c r="GNI112" s="17"/>
      <c r="GNJ112" s="17"/>
      <c r="GNK112" s="17"/>
      <c r="GNL112" s="17"/>
      <c r="GNM112" s="17"/>
      <c r="GNN112" s="17"/>
      <c r="GNO112" s="17"/>
      <c r="GNP112" s="17"/>
      <c r="GNQ112" s="17"/>
      <c r="GNR112" s="17"/>
      <c r="GNS112" s="17"/>
      <c r="GNT112" s="17"/>
      <c r="GNU112" s="17"/>
      <c r="GNV112" s="17"/>
      <c r="GNW112" s="17"/>
      <c r="GNX112" s="17"/>
      <c r="GNY112" s="17"/>
      <c r="GNZ112" s="17"/>
      <c r="GOA112" s="17"/>
      <c r="GOB112" s="17"/>
      <c r="GOC112" s="17"/>
      <c r="GOD112" s="17"/>
      <c r="GOE112" s="17"/>
      <c r="GOF112" s="17"/>
      <c r="GOG112" s="17"/>
      <c r="GOH112" s="17"/>
      <c r="GOI112" s="17"/>
      <c r="GOJ112" s="17"/>
      <c r="GOK112" s="17"/>
      <c r="GOL112" s="17"/>
      <c r="GOM112" s="17"/>
      <c r="GON112" s="17"/>
      <c r="GOO112" s="17"/>
      <c r="GOP112" s="17"/>
      <c r="GOQ112" s="17"/>
      <c r="GOR112" s="17"/>
      <c r="GOS112" s="17"/>
      <c r="GOT112" s="17"/>
      <c r="GOU112" s="17"/>
      <c r="GOV112" s="17"/>
      <c r="GOW112" s="17"/>
      <c r="GOX112" s="17"/>
      <c r="GOY112" s="17"/>
      <c r="GOZ112" s="17"/>
      <c r="GPA112" s="17"/>
      <c r="GPB112" s="17"/>
      <c r="GPC112" s="17"/>
      <c r="GPD112" s="17"/>
      <c r="GPE112" s="17"/>
      <c r="GPF112" s="17"/>
      <c r="GPG112" s="17"/>
      <c r="GPH112" s="17"/>
      <c r="GPI112" s="17"/>
      <c r="GPJ112" s="17"/>
      <c r="GPK112" s="17"/>
      <c r="GPL112" s="17"/>
      <c r="GPM112" s="17"/>
      <c r="GPN112" s="17"/>
      <c r="GPO112" s="17"/>
      <c r="GPP112" s="17"/>
      <c r="GPQ112" s="17"/>
      <c r="GPR112" s="17"/>
      <c r="GPS112" s="17"/>
      <c r="GPT112" s="17"/>
      <c r="GPU112" s="17"/>
      <c r="GPV112" s="17"/>
      <c r="GPW112" s="17"/>
      <c r="GPX112" s="17"/>
      <c r="GPY112" s="17"/>
      <c r="GPZ112" s="17"/>
      <c r="GQA112" s="17"/>
      <c r="GQB112" s="17"/>
      <c r="GQC112" s="17"/>
      <c r="GQD112" s="17"/>
      <c r="GQE112" s="17"/>
      <c r="GQF112" s="17"/>
      <c r="GQG112" s="17"/>
      <c r="GQH112" s="17"/>
      <c r="GQI112" s="17"/>
      <c r="GQJ112" s="17"/>
      <c r="GQK112" s="17"/>
      <c r="GQL112" s="17"/>
      <c r="GQM112" s="17"/>
      <c r="GQN112" s="17"/>
      <c r="GQO112" s="17"/>
      <c r="GQP112" s="17"/>
      <c r="GQQ112" s="17"/>
      <c r="GQR112" s="17"/>
      <c r="GQS112" s="17"/>
      <c r="GQT112" s="17"/>
      <c r="GQU112" s="17"/>
      <c r="GQV112" s="17"/>
      <c r="GQW112" s="17"/>
      <c r="GQX112" s="17"/>
      <c r="GQY112" s="17"/>
      <c r="GQZ112" s="17"/>
      <c r="GRA112" s="17"/>
      <c r="GRB112" s="17"/>
      <c r="GRC112" s="17"/>
      <c r="GRD112" s="17"/>
      <c r="GRE112" s="17"/>
      <c r="GRF112" s="17"/>
      <c r="GRG112" s="17"/>
      <c r="GRH112" s="17"/>
      <c r="GRI112" s="17"/>
      <c r="GRJ112" s="17"/>
      <c r="GRK112" s="17"/>
      <c r="GRL112" s="17"/>
      <c r="GRM112" s="17"/>
      <c r="GRN112" s="17"/>
      <c r="GRO112" s="17"/>
      <c r="GRP112" s="17"/>
      <c r="GRQ112" s="17"/>
      <c r="GRR112" s="17"/>
      <c r="GRS112" s="17"/>
      <c r="GRT112" s="17"/>
      <c r="GRU112" s="17"/>
      <c r="GRV112" s="17"/>
      <c r="GRW112" s="17"/>
      <c r="GRX112" s="17"/>
      <c r="GRY112" s="17"/>
      <c r="GRZ112" s="17"/>
      <c r="GSA112" s="17"/>
      <c r="GSB112" s="17"/>
      <c r="GSC112" s="17"/>
      <c r="GSD112" s="17"/>
      <c r="GSE112" s="17"/>
      <c r="GSF112" s="17"/>
      <c r="GSG112" s="17"/>
      <c r="GSH112" s="17"/>
      <c r="GSI112" s="17"/>
      <c r="GSJ112" s="17"/>
      <c r="GSK112" s="17"/>
      <c r="GSL112" s="17"/>
      <c r="GSM112" s="17"/>
      <c r="GSN112" s="17"/>
      <c r="GSO112" s="17"/>
      <c r="GSP112" s="17"/>
      <c r="GSQ112" s="17"/>
      <c r="GSR112" s="17"/>
      <c r="GSS112" s="17"/>
      <c r="GST112" s="17"/>
      <c r="GSU112" s="17"/>
      <c r="GSV112" s="17"/>
      <c r="GSW112" s="17"/>
      <c r="GSX112" s="17"/>
      <c r="GSY112" s="17"/>
      <c r="GSZ112" s="17"/>
      <c r="GTA112" s="17"/>
      <c r="GTB112" s="17"/>
      <c r="GTC112" s="17"/>
      <c r="GTD112" s="17"/>
      <c r="GTE112" s="17"/>
      <c r="GTF112" s="17"/>
      <c r="GTG112" s="17"/>
      <c r="GTH112" s="17"/>
      <c r="GTI112" s="17"/>
      <c r="GTJ112" s="17"/>
      <c r="GTK112" s="17"/>
      <c r="GTL112" s="17"/>
      <c r="GTM112" s="17"/>
      <c r="GTN112" s="17"/>
      <c r="GTO112" s="17"/>
      <c r="GTP112" s="17"/>
      <c r="GTQ112" s="17"/>
      <c r="GTR112" s="17"/>
      <c r="GTS112" s="17"/>
      <c r="GTT112" s="17"/>
      <c r="GTU112" s="17"/>
      <c r="GTV112" s="17"/>
      <c r="GTW112" s="17"/>
      <c r="GTX112" s="17"/>
      <c r="GTY112" s="17"/>
      <c r="GTZ112" s="17"/>
      <c r="GUA112" s="17"/>
      <c r="GUB112" s="17"/>
      <c r="GUC112" s="17"/>
      <c r="GUD112" s="17"/>
      <c r="GUE112" s="17"/>
      <c r="GUF112" s="17"/>
      <c r="GUG112" s="17"/>
      <c r="GUH112" s="17"/>
      <c r="GUI112" s="17"/>
      <c r="GUJ112" s="17"/>
      <c r="GUK112" s="17"/>
      <c r="GUL112" s="17"/>
      <c r="GUM112" s="17"/>
      <c r="GUN112" s="17"/>
      <c r="GUO112" s="17"/>
      <c r="GUP112" s="17"/>
      <c r="GUQ112" s="17"/>
      <c r="GUR112" s="17"/>
      <c r="GUS112" s="17"/>
      <c r="GUT112" s="17"/>
      <c r="GUU112" s="17"/>
      <c r="GUV112" s="17"/>
      <c r="GUW112" s="17"/>
      <c r="GUX112" s="17"/>
      <c r="GUY112" s="17"/>
      <c r="GUZ112" s="17"/>
      <c r="GVA112" s="17"/>
      <c r="GVB112" s="17"/>
      <c r="GVC112" s="17"/>
      <c r="GVD112" s="17"/>
      <c r="GVE112" s="17"/>
      <c r="GVF112" s="17"/>
      <c r="GVG112" s="17"/>
      <c r="GVH112" s="17"/>
      <c r="GVI112" s="17"/>
      <c r="GVJ112" s="17"/>
      <c r="GVK112" s="17"/>
      <c r="GVL112" s="17"/>
      <c r="GVM112" s="17"/>
      <c r="GVN112" s="17"/>
      <c r="GVO112" s="17"/>
      <c r="GVP112" s="17"/>
      <c r="GVQ112" s="17"/>
      <c r="GVR112" s="17"/>
      <c r="GVS112" s="17"/>
      <c r="GVT112" s="17"/>
      <c r="GVU112" s="17"/>
      <c r="GVV112" s="17"/>
      <c r="GVW112" s="17"/>
      <c r="GVX112" s="17"/>
      <c r="GVY112" s="17"/>
      <c r="GVZ112" s="17"/>
      <c r="GWA112" s="17"/>
      <c r="GWB112" s="17"/>
      <c r="GWC112" s="17"/>
      <c r="GWD112" s="17"/>
      <c r="GWE112" s="17"/>
      <c r="GWF112" s="17"/>
      <c r="GWG112" s="17"/>
      <c r="GWH112" s="17"/>
      <c r="GWI112" s="17"/>
      <c r="GWJ112" s="17"/>
      <c r="GWK112" s="17"/>
      <c r="GWL112" s="17"/>
      <c r="GWM112" s="17"/>
      <c r="GWN112" s="17"/>
      <c r="GWO112" s="17"/>
      <c r="GWP112" s="17"/>
      <c r="GWQ112" s="17"/>
      <c r="GWR112" s="17"/>
      <c r="GWS112" s="17"/>
      <c r="GWT112" s="17"/>
      <c r="GWU112" s="17"/>
      <c r="GWV112" s="17"/>
      <c r="GWW112" s="17"/>
      <c r="GWX112" s="17"/>
      <c r="GWY112" s="17"/>
      <c r="GWZ112" s="17"/>
      <c r="GXA112" s="17"/>
      <c r="GXB112" s="17"/>
      <c r="GXC112" s="17"/>
      <c r="GXD112" s="17"/>
      <c r="GXE112" s="17"/>
      <c r="GXF112" s="17"/>
      <c r="GXG112" s="17"/>
      <c r="GXH112" s="17"/>
      <c r="GXI112" s="17"/>
      <c r="GXJ112" s="17"/>
      <c r="GXK112" s="17"/>
      <c r="GXL112" s="17"/>
      <c r="GXM112" s="17"/>
      <c r="GXN112" s="17"/>
      <c r="GXO112" s="17"/>
      <c r="GXP112" s="17"/>
      <c r="GXQ112" s="17"/>
      <c r="GXR112" s="17"/>
      <c r="GXS112" s="17"/>
      <c r="GXT112" s="17"/>
      <c r="GXU112" s="17"/>
      <c r="GXV112" s="17"/>
      <c r="GXW112" s="17"/>
      <c r="GXX112" s="17"/>
      <c r="GXY112" s="17"/>
      <c r="GXZ112" s="17"/>
      <c r="GYA112" s="17"/>
      <c r="GYB112" s="17"/>
      <c r="GYC112" s="17"/>
      <c r="GYD112" s="17"/>
      <c r="GYE112" s="17"/>
      <c r="GYF112" s="17"/>
      <c r="GYG112" s="17"/>
      <c r="GYH112" s="17"/>
      <c r="GYI112" s="17"/>
      <c r="GYJ112" s="17"/>
      <c r="GYK112" s="17"/>
      <c r="GYL112" s="17"/>
      <c r="GYM112" s="17"/>
      <c r="GYN112" s="17"/>
      <c r="GYO112" s="17"/>
      <c r="GYP112" s="17"/>
      <c r="GYQ112" s="17"/>
      <c r="GYR112" s="17"/>
      <c r="GYS112" s="17"/>
      <c r="GYT112" s="17"/>
      <c r="GYU112" s="17"/>
      <c r="GYV112" s="17"/>
      <c r="GYW112" s="17"/>
      <c r="GYX112" s="17"/>
      <c r="GYY112" s="17"/>
      <c r="GYZ112" s="17"/>
      <c r="GZA112" s="17"/>
      <c r="GZB112" s="17"/>
      <c r="GZC112" s="17"/>
      <c r="GZD112" s="17"/>
      <c r="GZE112" s="17"/>
      <c r="GZF112" s="17"/>
      <c r="GZG112" s="17"/>
      <c r="GZH112" s="17"/>
      <c r="GZI112" s="17"/>
      <c r="GZJ112" s="17"/>
      <c r="GZK112" s="17"/>
      <c r="GZL112" s="17"/>
      <c r="GZM112" s="17"/>
      <c r="GZN112" s="17"/>
      <c r="GZO112" s="17"/>
      <c r="GZP112" s="17"/>
      <c r="GZQ112" s="17"/>
      <c r="GZR112" s="17"/>
      <c r="GZS112" s="17"/>
      <c r="GZT112" s="17"/>
      <c r="GZU112" s="17"/>
      <c r="GZV112" s="17"/>
      <c r="GZW112" s="17"/>
      <c r="GZX112" s="17"/>
      <c r="GZY112" s="17"/>
      <c r="GZZ112" s="17"/>
      <c r="HAA112" s="17"/>
      <c r="HAB112" s="17"/>
      <c r="HAC112" s="17"/>
      <c r="HAD112" s="17"/>
      <c r="HAE112" s="17"/>
      <c r="HAF112" s="17"/>
      <c r="HAG112" s="17"/>
      <c r="HAH112" s="17"/>
      <c r="HAI112" s="17"/>
      <c r="HAJ112" s="17"/>
      <c r="HAK112" s="17"/>
      <c r="HAL112" s="17"/>
      <c r="HAM112" s="17"/>
      <c r="HAN112" s="17"/>
      <c r="HAO112" s="17"/>
      <c r="HAP112" s="17"/>
      <c r="HAQ112" s="17"/>
      <c r="HAR112" s="17"/>
      <c r="HAS112" s="17"/>
      <c r="HAT112" s="17"/>
      <c r="HAU112" s="17"/>
      <c r="HAV112" s="17"/>
      <c r="HAW112" s="17"/>
      <c r="HAX112" s="17"/>
      <c r="HAY112" s="17"/>
      <c r="HAZ112" s="17"/>
      <c r="HBA112" s="17"/>
      <c r="HBB112" s="17"/>
      <c r="HBC112" s="17"/>
      <c r="HBD112" s="17"/>
      <c r="HBE112" s="17"/>
      <c r="HBF112" s="17"/>
      <c r="HBG112" s="17"/>
      <c r="HBH112" s="17"/>
      <c r="HBI112" s="17"/>
      <c r="HBJ112" s="17"/>
      <c r="HBK112" s="17"/>
      <c r="HBL112" s="17"/>
      <c r="HBM112" s="17"/>
      <c r="HBN112" s="17"/>
      <c r="HBO112" s="17"/>
      <c r="HBP112" s="17"/>
      <c r="HBQ112" s="17"/>
      <c r="HBR112" s="17"/>
      <c r="HBS112" s="17"/>
      <c r="HBT112" s="17"/>
      <c r="HBU112" s="17"/>
      <c r="HBV112" s="17"/>
      <c r="HBW112" s="17"/>
      <c r="HBX112" s="17"/>
      <c r="HBY112" s="17"/>
      <c r="HBZ112" s="17"/>
      <c r="HCA112" s="17"/>
      <c r="HCB112" s="17"/>
      <c r="HCC112" s="17"/>
      <c r="HCD112" s="17"/>
      <c r="HCE112" s="17"/>
      <c r="HCF112" s="17"/>
      <c r="HCG112" s="17"/>
      <c r="HCH112" s="17"/>
      <c r="HCI112" s="17"/>
      <c r="HCJ112" s="17"/>
      <c r="HCK112" s="17"/>
      <c r="HCL112" s="17"/>
      <c r="HCM112" s="17"/>
      <c r="HCN112" s="17"/>
      <c r="HCO112" s="17"/>
      <c r="HCP112" s="17"/>
      <c r="HCQ112" s="17"/>
      <c r="HCR112" s="17"/>
      <c r="HCS112" s="17"/>
      <c r="HCT112" s="17"/>
      <c r="HCU112" s="17"/>
      <c r="HCV112" s="17"/>
      <c r="HCW112" s="17"/>
      <c r="HCX112" s="17"/>
      <c r="HCY112" s="17"/>
      <c r="HCZ112" s="17"/>
      <c r="HDA112" s="17"/>
      <c r="HDB112" s="17"/>
      <c r="HDC112" s="17"/>
      <c r="HDD112" s="17"/>
      <c r="HDE112" s="17"/>
      <c r="HDF112" s="17"/>
      <c r="HDG112" s="17"/>
      <c r="HDH112" s="17"/>
      <c r="HDI112" s="17"/>
      <c r="HDJ112" s="17"/>
      <c r="HDK112" s="17"/>
      <c r="HDL112" s="17"/>
      <c r="HDM112" s="17"/>
      <c r="HDN112" s="17"/>
      <c r="HDO112" s="17"/>
      <c r="HDP112" s="17"/>
      <c r="HDQ112" s="17"/>
      <c r="HDR112" s="17"/>
      <c r="HDS112" s="17"/>
      <c r="HDT112" s="17"/>
      <c r="HDU112" s="17"/>
      <c r="HDV112" s="17"/>
      <c r="HDW112" s="17"/>
      <c r="HDX112" s="17"/>
      <c r="HDY112" s="17"/>
      <c r="HDZ112" s="17"/>
      <c r="HEA112" s="17"/>
      <c r="HEB112" s="17"/>
      <c r="HEC112" s="17"/>
      <c r="HED112" s="17"/>
      <c r="HEE112" s="17"/>
      <c r="HEF112" s="17"/>
      <c r="HEG112" s="17"/>
      <c r="HEH112" s="17"/>
      <c r="HEI112" s="17"/>
      <c r="HEJ112" s="17"/>
      <c r="HEK112" s="17"/>
      <c r="HEL112" s="17"/>
      <c r="HEM112" s="17"/>
      <c r="HEN112" s="17"/>
      <c r="HEO112" s="17"/>
      <c r="HEP112" s="17"/>
      <c r="HEQ112" s="17"/>
      <c r="HER112" s="17"/>
      <c r="HES112" s="17"/>
      <c r="HET112" s="17"/>
      <c r="HEU112" s="17"/>
      <c r="HEV112" s="17"/>
      <c r="HEW112" s="17"/>
      <c r="HEX112" s="17"/>
      <c r="HEY112" s="17"/>
      <c r="HEZ112" s="17"/>
      <c r="HFA112" s="17"/>
      <c r="HFB112" s="17"/>
      <c r="HFC112" s="17"/>
      <c r="HFD112" s="17"/>
      <c r="HFE112" s="17"/>
      <c r="HFF112" s="17"/>
      <c r="HFG112" s="17"/>
      <c r="HFH112" s="17"/>
      <c r="HFI112" s="17"/>
      <c r="HFJ112" s="17"/>
      <c r="HFK112" s="17"/>
      <c r="HFL112" s="17"/>
      <c r="HFM112" s="17"/>
      <c r="HFN112" s="17"/>
      <c r="HFO112" s="17"/>
      <c r="HFP112" s="17"/>
      <c r="HFQ112" s="17"/>
      <c r="HFR112" s="17"/>
      <c r="HFS112" s="17"/>
      <c r="HFT112" s="17"/>
      <c r="HFU112" s="17"/>
      <c r="HFV112" s="17"/>
      <c r="HFW112" s="17"/>
      <c r="HFX112" s="17"/>
      <c r="HFY112" s="17"/>
      <c r="HFZ112" s="17"/>
      <c r="HGA112" s="17"/>
      <c r="HGB112" s="17"/>
      <c r="HGC112" s="17"/>
      <c r="HGD112" s="17"/>
      <c r="HGE112" s="17"/>
      <c r="HGF112" s="17"/>
      <c r="HGG112" s="17"/>
      <c r="HGH112" s="17"/>
      <c r="HGI112" s="17"/>
      <c r="HGJ112" s="17"/>
      <c r="HGK112" s="17"/>
      <c r="HGL112" s="17"/>
      <c r="HGM112" s="17"/>
      <c r="HGN112" s="17"/>
      <c r="HGO112" s="17"/>
      <c r="HGP112" s="17"/>
      <c r="HGQ112" s="17"/>
      <c r="HGR112" s="17"/>
      <c r="HGS112" s="17"/>
      <c r="HGT112" s="17"/>
      <c r="HGU112" s="17"/>
      <c r="HGV112" s="17"/>
      <c r="HGW112" s="17"/>
      <c r="HGX112" s="17"/>
      <c r="HGY112" s="17"/>
      <c r="HGZ112" s="17"/>
      <c r="HHA112" s="17"/>
      <c r="HHB112" s="17"/>
      <c r="HHC112" s="17"/>
      <c r="HHD112" s="17"/>
      <c r="HHE112" s="17"/>
      <c r="HHF112" s="17"/>
      <c r="HHG112" s="17"/>
      <c r="HHH112" s="17"/>
      <c r="HHI112" s="17"/>
      <c r="HHJ112" s="17"/>
      <c r="HHK112" s="17"/>
      <c r="HHL112" s="17"/>
      <c r="HHM112" s="17"/>
      <c r="HHN112" s="17"/>
      <c r="HHO112" s="17"/>
      <c r="HHP112" s="17"/>
      <c r="HHQ112" s="17"/>
      <c r="HHR112" s="17"/>
      <c r="HHS112" s="17"/>
      <c r="HHT112" s="17"/>
      <c r="HHU112" s="17"/>
      <c r="HHV112" s="17"/>
      <c r="HHW112" s="17"/>
      <c r="HHX112" s="17"/>
      <c r="HHY112" s="17"/>
      <c r="HHZ112" s="17"/>
      <c r="HIA112" s="17"/>
      <c r="HIB112" s="17"/>
      <c r="HIC112" s="17"/>
      <c r="HID112" s="17"/>
      <c r="HIE112" s="17"/>
      <c r="HIF112" s="17"/>
      <c r="HIG112" s="17"/>
      <c r="HIH112" s="17"/>
      <c r="HII112" s="17"/>
      <c r="HIJ112" s="17"/>
      <c r="HIK112" s="17"/>
      <c r="HIL112" s="17"/>
      <c r="HIM112" s="17"/>
      <c r="HIN112" s="17"/>
      <c r="HIO112" s="17"/>
      <c r="HIP112" s="17"/>
      <c r="HIQ112" s="17"/>
      <c r="HIR112" s="17"/>
      <c r="HIS112" s="17"/>
      <c r="HIT112" s="17"/>
      <c r="HIU112" s="17"/>
      <c r="HIV112" s="17"/>
      <c r="HIW112" s="17"/>
      <c r="HIX112" s="17"/>
      <c r="HIY112" s="17"/>
      <c r="HIZ112" s="17"/>
      <c r="HJA112" s="17"/>
      <c r="HJB112" s="17"/>
      <c r="HJC112" s="17"/>
      <c r="HJD112" s="17"/>
      <c r="HJE112" s="17"/>
      <c r="HJF112" s="17"/>
      <c r="HJG112" s="17"/>
      <c r="HJH112" s="17"/>
      <c r="HJI112" s="17"/>
      <c r="HJJ112" s="17"/>
      <c r="HJK112" s="17"/>
      <c r="HJL112" s="17"/>
      <c r="HJM112" s="17"/>
      <c r="HJN112" s="17"/>
      <c r="HJO112" s="17"/>
      <c r="HJP112" s="17"/>
      <c r="HJQ112" s="17"/>
      <c r="HJR112" s="17"/>
      <c r="HJS112" s="17"/>
      <c r="HJT112" s="17"/>
      <c r="HJU112" s="17"/>
      <c r="HJV112" s="17"/>
      <c r="HJW112" s="17"/>
      <c r="HJX112" s="17"/>
      <c r="HJY112" s="17"/>
      <c r="HJZ112" s="17"/>
      <c r="HKA112" s="17"/>
      <c r="HKB112" s="17"/>
      <c r="HKC112" s="17"/>
      <c r="HKD112" s="17"/>
      <c r="HKE112" s="17"/>
      <c r="HKF112" s="17"/>
      <c r="HKG112" s="17"/>
      <c r="HKH112" s="17"/>
      <c r="HKI112" s="17"/>
      <c r="HKJ112" s="17"/>
      <c r="HKK112" s="17"/>
      <c r="HKL112" s="17"/>
      <c r="HKM112" s="17"/>
      <c r="HKN112" s="17"/>
      <c r="HKO112" s="17"/>
      <c r="HKP112" s="17"/>
      <c r="HKQ112" s="17"/>
      <c r="HKR112" s="17"/>
      <c r="HKS112" s="17"/>
      <c r="HKT112" s="17"/>
      <c r="HKU112" s="17"/>
      <c r="HKV112" s="17"/>
      <c r="HKW112" s="17"/>
      <c r="HKX112" s="17"/>
      <c r="HKY112" s="17"/>
      <c r="HKZ112" s="17"/>
      <c r="HLA112" s="17"/>
      <c r="HLB112" s="17"/>
      <c r="HLC112" s="17"/>
      <c r="HLD112" s="17"/>
      <c r="HLE112" s="17"/>
      <c r="HLF112" s="17"/>
      <c r="HLG112" s="17"/>
      <c r="HLH112" s="17"/>
      <c r="HLI112" s="17"/>
      <c r="HLJ112" s="17"/>
      <c r="HLK112" s="17"/>
      <c r="HLL112" s="17"/>
      <c r="HLM112" s="17"/>
      <c r="HLN112" s="17"/>
      <c r="HLO112" s="17"/>
      <c r="HLP112" s="17"/>
      <c r="HLQ112" s="17"/>
      <c r="HLR112" s="17"/>
      <c r="HLS112" s="17"/>
      <c r="HLT112" s="17"/>
      <c r="HLU112" s="17"/>
      <c r="HLV112" s="17"/>
      <c r="HLW112" s="17"/>
      <c r="HLX112" s="17"/>
      <c r="HLY112" s="17"/>
      <c r="HLZ112" s="17"/>
      <c r="HMA112" s="17"/>
      <c r="HMB112" s="17"/>
      <c r="HMC112" s="17"/>
      <c r="HMD112" s="17"/>
      <c r="HME112" s="17"/>
      <c r="HMF112" s="17"/>
      <c r="HMG112" s="17"/>
      <c r="HMH112" s="17"/>
      <c r="HMI112" s="17"/>
      <c r="HMJ112" s="17"/>
      <c r="HMK112" s="17"/>
      <c r="HML112" s="17"/>
      <c r="HMM112" s="17"/>
      <c r="HMN112" s="17"/>
      <c r="HMO112" s="17"/>
      <c r="HMP112" s="17"/>
      <c r="HMQ112" s="17"/>
      <c r="HMR112" s="17"/>
      <c r="HMS112" s="17"/>
      <c r="HMT112" s="17"/>
      <c r="HMU112" s="17"/>
      <c r="HMV112" s="17"/>
      <c r="HMW112" s="17"/>
      <c r="HMX112" s="17"/>
      <c r="HMY112" s="17"/>
      <c r="HMZ112" s="17"/>
      <c r="HNA112" s="17"/>
      <c r="HNB112" s="17"/>
      <c r="HNC112" s="17"/>
      <c r="HND112" s="17"/>
      <c r="HNE112" s="17"/>
      <c r="HNF112" s="17"/>
      <c r="HNG112" s="17"/>
      <c r="HNH112" s="17"/>
      <c r="HNI112" s="17"/>
      <c r="HNJ112" s="17"/>
      <c r="HNK112" s="17"/>
      <c r="HNL112" s="17"/>
      <c r="HNM112" s="17"/>
      <c r="HNN112" s="17"/>
      <c r="HNO112" s="17"/>
      <c r="HNP112" s="17"/>
      <c r="HNQ112" s="17"/>
      <c r="HNR112" s="17"/>
      <c r="HNS112" s="17"/>
      <c r="HNT112" s="17"/>
      <c r="HNU112" s="17"/>
      <c r="HNV112" s="17"/>
      <c r="HNW112" s="17"/>
      <c r="HNX112" s="17"/>
      <c r="HNY112" s="17"/>
      <c r="HNZ112" s="17"/>
      <c r="HOA112" s="17"/>
      <c r="HOB112" s="17"/>
      <c r="HOC112" s="17"/>
      <c r="HOD112" s="17"/>
      <c r="HOE112" s="17"/>
      <c r="HOF112" s="17"/>
      <c r="HOG112" s="17"/>
      <c r="HOH112" s="17"/>
      <c r="HOI112" s="17"/>
      <c r="HOJ112" s="17"/>
      <c r="HOK112" s="17"/>
      <c r="HOL112" s="17"/>
      <c r="HOM112" s="17"/>
      <c r="HON112" s="17"/>
      <c r="HOO112" s="17"/>
      <c r="HOP112" s="17"/>
      <c r="HOQ112" s="17"/>
      <c r="HOR112" s="17"/>
      <c r="HOS112" s="17"/>
      <c r="HOT112" s="17"/>
      <c r="HOU112" s="17"/>
      <c r="HOV112" s="17"/>
      <c r="HOW112" s="17"/>
      <c r="HOX112" s="17"/>
      <c r="HOY112" s="17"/>
      <c r="HOZ112" s="17"/>
      <c r="HPA112" s="17"/>
      <c r="HPB112" s="17"/>
      <c r="HPC112" s="17"/>
      <c r="HPD112" s="17"/>
      <c r="HPE112" s="17"/>
      <c r="HPF112" s="17"/>
      <c r="HPG112" s="17"/>
      <c r="HPH112" s="17"/>
      <c r="HPI112" s="17"/>
      <c r="HPJ112" s="17"/>
      <c r="HPK112" s="17"/>
      <c r="HPL112" s="17"/>
      <c r="HPM112" s="17"/>
      <c r="HPN112" s="17"/>
      <c r="HPO112" s="17"/>
      <c r="HPP112" s="17"/>
      <c r="HPQ112" s="17"/>
      <c r="HPR112" s="17"/>
      <c r="HPS112" s="17"/>
      <c r="HPT112" s="17"/>
      <c r="HPU112" s="17"/>
      <c r="HPV112" s="17"/>
      <c r="HPW112" s="17"/>
      <c r="HPX112" s="17"/>
      <c r="HPY112" s="17"/>
      <c r="HPZ112" s="17"/>
      <c r="HQA112" s="17"/>
      <c r="HQB112" s="17"/>
      <c r="HQC112" s="17"/>
      <c r="HQD112" s="17"/>
      <c r="HQE112" s="17"/>
      <c r="HQF112" s="17"/>
      <c r="HQG112" s="17"/>
      <c r="HQH112" s="17"/>
      <c r="HQI112" s="17"/>
      <c r="HQJ112" s="17"/>
      <c r="HQK112" s="17"/>
      <c r="HQL112" s="17"/>
      <c r="HQM112" s="17"/>
      <c r="HQN112" s="17"/>
      <c r="HQO112" s="17"/>
      <c r="HQP112" s="17"/>
      <c r="HQQ112" s="17"/>
      <c r="HQR112" s="17"/>
      <c r="HQS112" s="17"/>
      <c r="HQT112" s="17"/>
      <c r="HQU112" s="17"/>
      <c r="HQV112" s="17"/>
      <c r="HQW112" s="17"/>
      <c r="HQX112" s="17"/>
      <c r="HQY112" s="17"/>
      <c r="HQZ112" s="17"/>
      <c r="HRA112" s="17"/>
      <c r="HRB112" s="17"/>
      <c r="HRC112" s="17"/>
      <c r="HRD112" s="17"/>
      <c r="HRE112" s="17"/>
      <c r="HRF112" s="17"/>
      <c r="HRG112" s="17"/>
      <c r="HRH112" s="17"/>
      <c r="HRI112" s="17"/>
      <c r="HRJ112" s="17"/>
      <c r="HRK112" s="17"/>
      <c r="HRL112" s="17"/>
      <c r="HRM112" s="17"/>
      <c r="HRN112" s="17"/>
      <c r="HRO112" s="17"/>
      <c r="HRP112" s="17"/>
      <c r="HRQ112" s="17"/>
      <c r="HRR112" s="17"/>
      <c r="HRS112" s="17"/>
      <c r="HRT112" s="17"/>
      <c r="HRU112" s="17"/>
      <c r="HRV112" s="17"/>
      <c r="HRW112" s="17"/>
      <c r="HRX112" s="17"/>
      <c r="HRY112" s="17"/>
      <c r="HRZ112" s="17"/>
      <c r="HSA112" s="17"/>
      <c r="HSB112" s="17"/>
      <c r="HSC112" s="17"/>
      <c r="HSD112" s="17"/>
      <c r="HSE112" s="17"/>
      <c r="HSF112" s="17"/>
      <c r="HSG112" s="17"/>
      <c r="HSH112" s="17"/>
      <c r="HSI112" s="17"/>
      <c r="HSJ112" s="17"/>
      <c r="HSK112" s="17"/>
      <c r="HSL112" s="17"/>
      <c r="HSM112" s="17"/>
      <c r="HSN112" s="17"/>
      <c r="HSO112" s="17"/>
      <c r="HSP112" s="17"/>
      <c r="HSQ112" s="17"/>
      <c r="HSR112" s="17"/>
      <c r="HSS112" s="17"/>
      <c r="HST112" s="17"/>
      <c r="HSU112" s="17"/>
      <c r="HSV112" s="17"/>
      <c r="HSW112" s="17"/>
      <c r="HSX112" s="17"/>
      <c r="HSY112" s="17"/>
      <c r="HSZ112" s="17"/>
      <c r="HTA112" s="17"/>
      <c r="HTB112" s="17"/>
      <c r="HTC112" s="17"/>
      <c r="HTD112" s="17"/>
      <c r="HTE112" s="17"/>
      <c r="HTF112" s="17"/>
      <c r="HTG112" s="17"/>
      <c r="HTH112" s="17"/>
      <c r="HTI112" s="17"/>
      <c r="HTJ112" s="17"/>
      <c r="HTK112" s="17"/>
      <c r="HTL112" s="17"/>
      <c r="HTM112" s="17"/>
      <c r="HTN112" s="17"/>
      <c r="HTO112" s="17"/>
      <c r="HTP112" s="17"/>
      <c r="HTQ112" s="17"/>
      <c r="HTR112" s="17"/>
      <c r="HTS112" s="17"/>
      <c r="HTT112" s="17"/>
      <c r="HTU112" s="17"/>
      <c r="HTV112" s="17"/>
      <c r="HTW112" s="17"/>
      <c r="HTX112" s="17"/>
      <c r="HTY112" s="17"/>
      <c r="HTZ112" s="17"/>
      <c r="HUA112" s="17"/>
      <c r="HUB112" s="17"/>
      <c r="HUC112" s="17"/>
      <c r="HUD112" s="17"/>
      <c r="HUE112" s="17"/>
      <c r="HUF112" s="17"/>
      <c r="HUG112" s="17"/>
      <c r="HUH112" s="17"/>
      <c r="HUI112" s="17"/>
      <c r="HUJ112" s="17"/>
      <c r="HUK112" s="17"/>
      <c r="HUL112" s="17"/>
      <c r="HUM112" s="17"/>
      <c r="HUN112" s="17"/>
      <c r="HUO112" s="17"/>
      <c r="HUP112" s="17"/>
      <c r="HUQ112" s="17"/>
      <c r="HUR112" s="17"/>
      <c r="HUS112" s="17"/>
      <c r="HUT112" s="17"/>
      <c r="HUU112" s="17"/>
      <c r="HUV112" s="17"/>
      <c r="HUW112" s="17"/>
      <c r="HUX112" s="17"/>
      <c r="HUY112" s="17"/>
      <c r="HUZ112" s="17"/>
      <c r="HVA112" s="17"/>
      <c r="HVB112" s="17"/>
      <c r="HVC112" s="17"/>
      <c r="HVD112" s="17"/>
      <c r="HVE112" s="17"/>
      <c r="HVF112" s="17"/>
      <c r="HVG112" s="17"/>
      <c r="HVH112" s="17"/>
      <c r="HVI112" s="17"/>
      <c r="HVJ112" s="17"/>
      <c r="HVK112" s="17"/>
      <c r="HVL112" s="17"/>
      <c r="HVM112" s="17"/>
      <c r="HVN112" s="17"/>
      <c r="HVO112" s="17"/>
      <c r="HVP112" s="17"/>
      <c r="HVQ112" s="17"/>
      <c r="HVR112" s="17"/>
      <c r="HVS112" s="17"/>
      <c r="HVT112" s="17"/>
      <c r="HVU112" s="17"/>
      <c r="HVV112" s="17"/>
      <c r="HVW112" s="17"/>
      <c r="HVX112" s="17"/>
      <c r="HVY112" s="17"/>
      <c r="HVZ112" s="17"/>
      <c r="HWA112" s="17"/>
      <c r="HWB112" s="17"/>
      <c r="HWC112" s="17"/>
      <c r="HWD112" s="17"/>
      <c r="HWE112" s="17"/>
      <c r="HWF112" s="17"/>
      <c r="HWG112" s="17"/>
      <c r="HWH112" s="17"/>
      <c r="HWI112" s="17"/>
      <c r="HWJ112" s="17"/>
      <c r="HWK112" s="17"/>
      <c r="HWL112" s="17"/>
      <c r="HWM112" s="17"/>
      <c r="HWN112" s="17"/>
      <c r="HWO112" s="17"/>
      <c r="HWP112" s="17"/>
      <c r="HWQ112" s="17"/>
      <c r="HWR112" s="17"/>
      <c r="HWS112" s="17"/>
      <c r="HWT112" s="17"/>
      <c r="HWU112" s="17"/>
      <c r="HWV112" s="17"/>
      <c r="HWW112" s="17"/>
      <c r="HWX112" s="17"/>
      <c r="HWY112" s="17"/>
      <c r="HWZ112" s="17"/>
      <c r="HXA112" s="17"/>
      <c r="HXB112" s="17"/>
      <c r="HXC112" s="17"/>
      <c r="HXD112" s="17"/>
      <c r="HXE112" s="17"/>
      <c r="HXF112" s="17"/>
      <c r="HXG112" s="17"/>
      <c r="HXH112" s="17"/>
      <c r="HXI112" s="17"/>
      <c r="HXJ112" s="17"/>
      <c r="HXK112" s="17"/>
      <c r="HXL112" s="17"/>
      <c r="HXM112" s="17"/>
      <c r="HXN112" s="17"/>
      <c r="HXO112" s="17"/>
      <c r="HXP112" s="17"/>
      <c r="HXQ112" s="17"/>
      <c r="HXR112" s="17"/>
      <c r="HXS112" s="17"/>
      <c r="HXT112" s="17"/>
      <c r="HXU112" s="17"/>
      <c r="HXV112" s="17"/>
      <c r="HXW112" s="17"/>
      <c r="HXX112" s="17"/>
      <c r="HXY112" s="17"/>
      <c r="HXZ112" s="17"/>
      <c r="HYA112" s="17"/>
      <c r="HYB112" s="17"/>
      <c r="HYC112" s="17"/>
      <c r="HYD112" s="17"/>
      <c r="HYE112" s="17"/>
      <c r="HYF112" s="17"/>
      <c r="HYG112" s="17"/>
      <c r="HYH112" s="17"/>
      <c r="HYI112" s="17"/>
      <c r="HYJ112" s="17"/>
      <c r="HYK112" s="17"/>
      <c r="HYL112" s="17"/>
      <c r="HYM112" s="17"/>
      <c r="HYN112" s="17"/>
      <c r="HYO112" s="17"/>
      <c r="HYP112" s="17"/>
      <c r="HYQ112" s="17"/>
      <c r="HYR112" s="17"/>
      <c r="HYS112" s="17"/>
      <c r="HYT112" s="17"/>
      <c r="HYU112" s="17"/>
      <c r="HYV112" s="17"/>
      <c r="HYW112" s="17"/>
      <c r="HYX112" s="17"/>
      <c r="HYY112" s="17"/>
      <c r="HYZ112" s="17"/>
      <c r="HZA112" s="17"/>
      <c r="HZB112" s="17"/>
      <c r="HZC112" s="17"/>
      <c r="HZD112" s="17"/>
      <c r="HZE112" s="17"/>
      <c r="HZF112" s="17"/>
      <c r="HZG112" s="17"/>
      <c r="HZH112" s="17"/>
      <c r="HZI112" s="17"/>
      <c r="HZJ112" s="17"/>
      <c r="HZK112" s="17"/>
      <c r="HZL112" s="17"/>
      <c r="HZM112" s="17"/>
      <c r="HZN112" s="17"/>
      <c r="HZO112" s="17"/>
      <c r="HZP112" s="17"/>
      <c r="HZQ112" s="17"/>
      <c r="HZR112" s="17"/>
      <c r="HZS112" s="17"/>
      <c r="HZT112" s="17"/>
      <c r="HZU112" s="17"/>
      <c r="HZV112" s="17"/>
      <c r="HZW112" s="17"/>
      <c r="HZX112" s="17"/>
      <c r="HZY112" s="17"/>
      <c r="HZZ112" s="17"/>
      <c r="IAA112" s="17"/>
      <c r="IAB112" s="17"/>
      <c r="IAC112" s="17"/>
      <c r="IAD112" s="17"/>
      <c r="IAE112" s="17"/>
      <c r="IAF112" s="17"/>
      <c r="IAG112" s="17"/>
      <c r="IAH112" s="17"/>
      <c r="IAI112" s="17"/>
      <c r="IAJ112" s="17"/>
      <c r="IAK112" s="17"/>
      <c r="IAL112" s="17"/>
      <c r="IAM112" s="17"/>
      <c r="IAN112" s="17"/>
      <c r="IAO112" s="17"/>
      <c r="IAP112" s="17"/>
      <c r="IAQ112" s="17"/>
      <c r="IAR112" s="17"/>
      <c r="IAS112" s="17"/>
      <c r="IAT112" s="17"/>
      <c r="IAU112" s="17"/>
      <c r="IAV112" s="17"/>
      <c r="IAW112" s="17"/>
      <c r="IAX112" s="17"/>
      <c r="IAY112" s="17"/>
      <c r="IAZ112" s="17"/>
      <c r="IBA112" s="17"/>
      <c r="IBB112" s="17"/>
      <c r="IBC112" s="17"/>
      <c r="IBD112" s="17"/>
      <c r="IBE112" s="17"/>
      <c r="IBF112" s="17"/>
      <c r="IBG112" s="17"/>
      <c r="IBH112" s="17"/>
      <c r="IBI112" s="17"/>
      <c r="IBJ112" s="17"/>
      <c r="IBK112" s="17"/>
      <c r="IBL112" s="17"/>
      <c r="IBM112" s="17"/>
      <c r="IBN112" s="17"/>
      <c r="IBO112" s="17"/>
      <c r="IBP112" s="17"/>
      <c r="IBQ112" s="17"/>
      <c r="IBR112" s="17"/>
      <c r="IBS112" s="17"/>
      <c r="IBT112" s="17"/>
      <c r="IBU112" s="17"/>
      <c r="IBV112" s="17"/>
      <c r="IBW112" s="17"/>
      <c r="IBX112" s="17"/>
      <c r="IBY112" s="17"/>
      <c r="IBZ112" s="17"/>
      <c r="ICA112" s="17"/>
      <c r="ICB112" s="17"/>
      <c r="ICC112" s="17"/>
      <c r="ICD112" s="17"/>
      <c r="ICE112" s="17"/>
      <c r="ICF112" s="17"/>
      <c r="ICG112" s="17"/>
      <c r="ICH112" s="17"/>
      <c r="ICI112" s="17"/>
      <c r="ICJ112" s="17"/>
      <c r="ICK112" s="17"/>
      <c r="ICL112" s="17"/>
      <c r="ICM112" s="17"/>
      <c r="ICN112" s="17"/>
      <c r="ICO112" s="17"/>
      <c r="ICP112" s="17"/>
      <c r="ICQ112" s="17"/>
      <c r="ICR112" s="17"/>
      <c r="ICS112" s="17"/>
      <c r="ICT112" s="17"/>
      <c r="ICU112" s="17"/>
      <c r="ICV112" s="17"/>
      <c r="ICW112" s="17"/>
      <c r="ICX112" s="17"/>
      <c r="ICY112" s="17"/>
      <c r="ICZ112" s="17"/>
      <c r="IDA112" s="17"/>
      <c r="IDB112" s="17"/>
      <c r="IDC112" s="17"/>
      <c r="IDD112" s="17"/>
      <c r="IDE112" s="17"/>
      <c r="IDF112" s="17"/>
      <c r="IDG112" s="17"/>
      <c r="IDH112" s="17"/>
      <c r="IDI112" s="17"/>
      <c r="IDJ112" s="17"/>
      <c r="IDK112" s="17"/>
      <c r="IDL112" s="17"/>
      <c r="IDM112" s="17"/>
      <c r="IDN112" s="17"/>
      <c r="IDO112" s="17"/>
      <c r="IDP112" s="17"/>
      <c r="IDQ112" s="17"/>
      <c r="IDR112" s="17"/>
      <c r="IDS112" s="17"/>
      <c r="IDT112" s="17"/>
      <c r="IDU112" s="17"/>
      <c r="IDV112" s="17"/>
      <c r="IDW112" s="17"/>
      <c r="IDX112" s="17"/>
      <c r="IDY112" s="17"/>
      <c r="IDZ112" s="17"/>
      <c r="IEA112" s="17"/>
      <c r="IEB112" s="17"/>
      <c r="IEC112" s="17"/>
      <c r="IED112" s="17"/>
      <c r="IEE112" s="17"/>
      <c r="IEF112" s="17"/>
      <c r="IEG112" s="17"/>
      <c r="IEH112" s="17"/>
      <c r="IEI112" s="17"/>
      <c r="IEJ112" s="17"/>
      <c r="IEK112" s="17"/>
      <c r="IEL112" s="17"/>
      <c r="IEM112" s="17"/>
      <c r="IEN112" s="17"/>
      <c r="IEO112" s="17"/>
      <c r="IEP112" s="17"/>
      <c r="IEQ112" s="17"/>
      <c r="IER112" s="17"/>
      <c r="IES112" s="17"/>
      <c r="IET112" s="17"/>
      <c r="IEU112" s="17"/>
      <c r="IEV112" s="17"/>
      <c r="IEW112" s="17"/>
      <c r="IEX112" s="17"/>
      <c r="IEY112" s="17"/>
      <c r="IEZ112" s="17"/>
      <c r="IFA112" s="17"/>
      <c r="IFB112" s="17"/>
      <c r="IFC112" s="17"/>
      <c r="IFD112" s="17"/>
      <c r="IFE112" s="17"/>
      <c r="IFF112" s="17"/>
      <c r="IFG112" s="17"/>
      <c r="IFH112" s="17"/>
      <c r="IFI112" s="17"/>
      <c r="IFJ112" s="17"/>
      <c r="IFK112" s="17"/>
      <c r="IFL112" s="17"/>
      <c r="IFM112" s="17"/>
      <c r="IFN112" s="17"/>
      <c r="IFO112" s="17"/>
      <c r="IFP112" s="17"/>
      <c r="IFQ112" s="17"/>
      <c r="IFR112" s="17"/>
      <c r="IFS112" s="17"/>
      <c r="IFT112" s="17"/>
      <c r="IFU112" s="17"/>
      <c r="IFV112" s="17"/>
      <c r="IFW112" s="17"/>
      <c r="IFX112" s="17"/>
      <c r="IFY112" s="17"/>
      <c r="IFZ112" s="17"/>
      <c r="IGA112" s="17"/>
      <c r="IGB112" s="17"/>
      <c r="IGC112" s="17"/>
      <c r="IGD112" s="17"/>
      <c r="IGE112" s="17"/>
      <c r="IGF112" s="17"/>
      <c r="IGG112" s="17"/>
      <c r="IGH112" s="17"/>
      <c r="IGI112" s="17"/>
      <c r="IGJ112" s="17"/>
      <c r="IGK112" s="17"/>
      <c r="IGL112" s="17"/>
      <c r="IGM112" s="17"/>
      <c r="IGN112" s="17"/>
      <c r="IGO112" s="17"/>
      <c r="IGP112" s="17"/>
      <c r="IGQ112" s="17"/>
      <c r="IGR112" s="17"/>
      <c r="IGS112" s="17"/>
      <c r="IGT112" s="17"/>
      <c r="IGU112" s="17"/>
      <c r="IGV112" s="17"/>
      <c r="IGW112" s="17"/>
      <c r="IGX112" s="17"/>
      <c r="IGY112" s="17"/>
      <c r="IGZ112" s="17"/>
      <c r="IHA112" s="17"/>
      <c r="IHB112" s="17"/>
      <c r="IHC112" s="17"/>
      <c r="IHD112" s="17"/>
      <c r="IHE112" s="17"/>
      <c r="IHF112" s="17"/>
      <c r="IHG112" s="17"/>
      <c r="IHH112" s="17"/>
      <c r="IHI112" s="17"/>
      <c r="IHJ112" s="17"/>
      <c r="IHK112" s="17"/>
      <c r="IHL112" s="17"/>
      <c r="IHM112" s="17"/>
      <c r="IHN112" s="17"/>
      <c r="IHO112" s="17"/>
      <c r="IHP112" s="17"/>
      <c r="IHQ112" s="17"/>
      <c r="IHR112" s="17"/>
      <c r="IHS112" s="17"/>
      <c r="IHT112" s="17"/>
      <c r="IHU112" s="17"/>
      <c r="IHV112" s="17"/>
      <c r="IHW112" s="17"/>
      <c r="IHX112" s="17"/>
      <c r="IHY112" s="17"/>
      <c r="IHZ112" s="17"/>
      <c r="IIA112" s="17"/>
      <c r="IIB112" s="17"/>
      <c r="IIC112" s="17"/>
      <c r="IID112" s="17"/>
      <c r="IIE112" s="17"/>
      <c r="IIF112" s="17"/>
      <c r="IIG112" s="17"/>
      <c r="IIH112" s="17"/>
      <c r="III112" s="17"/>
      <c r="IIJ112" s="17"/>
      <c r="IIK112" s="17"/>
      <c r="IIL112" s="17"/>
      <c r="IIM112" s="17"/>
      <c r="IIN112" s="17"/>
      <c r="IIO112" s="17"/>
      <c r="IIP112" s="17"/>
      <c r="IIQ112" s="17"/>
      <c r="IIR112" s="17"/>
      <c r="IIS112" s="17"/>
      <c r="IIT112" s="17"/>
      <c r="IIU112" s="17"/>
      <c r="IIV112" s="17"/>
      <c r="IIW112" s="17"/>
      <c r="IIX112" s="17"/>
      <c r="IIY112" s="17"/>
      <c r="IIZ112" s="17"/>
      <c r="IJA112" s="17"/>
      <c r="IJB112" s="17"/>
      <c r="IJC112" s="17"/>
      <c r="IJD112" s="17"/>
      <c r="IJE112" s="17"/>
      <c r="IJF112" s="17"/>
      <c r="IJG112" s="17"/>
      <c r="IJH112" s="17"/>
      <c r="IJI112" s="17"/>
      <c r="IJJ112" s="17"/>
      <c r="IJK112" s="17"/>
      <c r="IJL112" s="17"/>
      <c r="IJM112" s="17"/>
      <c r="IJN112" s="17"/>
      <c r="IJO112" s="17"/>
      <c r="IJP112" s="17"/>
      <c r="IJQ112" s="17"/>
      <c r="IJR112" s="17"/>
      <c r="IJS112" s="17"/>
      <c r="IJT112" s="17"/>
      <c r="IJU112" s="17"/>
      <c r="IJV112" s="17"/>
      <c r="IJW112" s="17"/>
      <c r="IJX112" s="17"/>
      <c r="IJY112" s="17"/>
      <c r="IJZ112" s="17"/>
      <c r="IKA112" s="17"/>
      <c r="IKB112" s="17"/>
      <c r="IKC112" s="17"/>
      <c r="IKD112" s="17"/>
      <c r="IKE112" s="17"/>
      <c r="IKF112" s="17"/>
      <c r="IKG112" s="17"/>
      <c r="IKH112" s="17"/>
      <c r="IKI112" s="17"/>
      <c r="IKJ112" s="17"/>
      <c r="IKK112" s="17"/>
      <c r="IKL112" s="17"/>
      <c r="IKM112" s="17"/>
      <c r="IKN112" s="17"/>
      <c r="IKO112" s="17"/>
      <c r="IKP112" s="17"/>
      <c r="IKQ112" s="17"/>
      <c r="IKR112" s="17"/>
      <c r="IKS112" s="17"/>
      <c r="IKT112" s="17"/>
      <c r="IKU112" s="17"/>
      <c r="IKV112" s="17"/>
      <c r="IKW112" s="17"/>
      <c r="IKX112" s="17"/>
      <c r="IKY112" s="17"/>
      <c r="IKZ112" s="17"/>
      <c r="ILA112" s="17"/>
      <c r="ILB112" s="17"/>
      <c r="ILC112" s="17"/>
      <c r="ILD112" s="17"/>
      <c r="ILE112" s="17"/>
      <c r="ILF112" s="17"/>
      <c r="ILG112" s="17"/>
      <c r="ILH112" s="17"/>
      <c r="ILI112" s="17"/>
      <c r="ILJ112" s="17"/>
      <c r="ILK112" s="17"/>
      <c r="ILL112" s="17"/>
      <c r="ILM112" s="17"/>
      <c r="ILN112" s="17"/>
      <c r="ILO112" s="17"/>
      <c r="ILP112" s="17"/>
      <c r="ILQ112" s="17"/>
      <c r="ILR112" s="17"/>
      <c r="ILS112" s="17"/>
      <c r="ILT112" s="17"/>
      <c r="ILU112" s="17"/>
      <c r="ILV112" s="17"/>
      <c r="ILW112" s="17"/>
      <c r="ILX112" s="17"/>
      <c r="ILY112" s="17"/>
      <c r="ILZ112" s="17"/>
      <c r="IMA112" s="17"/>
      <c r="IMB112" s="17"/>
      <c r="IMC112" s="17"/>
      <c r="IMD112" s="17"/>
      <c r="IME112" s="17"/>
      <c r="IMF112" s="17"/>
      <c r="IMG112" s="17"/>
      <c r="IMH112" s="17"/>
      <c r="IMI112" s="17"/>
      <c r="IMJ112" s="17"/>
      <c r="IMK112" s="17"/>
      <c r="IML112" s="17"/>
      <c r="IMM112" s="17"/>
      <c r="IMN112" s="17"/>
      <c r="IMO112" s="17"/>
      <c r="IMP112" s="17"/>
      <c r="IMQ112" s="17"/>
      <c r="IMR112" s="17"/>
      <c r="IMS112" s="17"/>
      <c r="IMT112" s="17"/>
      <c r="IMU112" s="17"/>
      <c r="IMV112" s="17"/>
      <c r="IMW112" s="17"/>
      <c r="IMX112" s="17"/>
      <c r="IMY112" s="17"/>
      <c r="IMZ112" s="17"/>
      <c r="INA112" s="17"/>
      <c r="INB112" s="17"/>
      <c r="INC112" s="17"/>
      <c r="IND112" s="17"/>
      <c r="INE112" s="17"/>
      <c r="INF112" s="17"/>
      <c r="ING112" s="17"/>
      <c r="INH112" s="17"/>
      <c r="INI112" s="17"/>
      <c r="INJ112" s="17"/>
      <c r="INK112" s="17"/>
      <c r="INL112" s="17"/>
      <c r="INM112" s="17"/>
      <c r="INN112" s="17"/>
      <c r="INO112" s="17"/>
      <c r="INP112" s="17"/>
      <c r="INQ112" s="17"/>
      <c r="INR112" s="17"/>
      <c r="INS112" s="17"/>
      <c r="INT112" s="17"/>
      <c r="INU112" s="17"/>
      <c r="INV112" s="17"/>
      <c r="INW112" s="17"/>
      <c r="INX112" s="17"/>
      <c r="INY112" s="17"/>
      <c r="INZ112" s="17"/>
      <c r="IOA112" s="17"/>
      <c r="IOB112" s="17"/>
      <c r="IOC112" s="17"/>
      <c r="IOD112" s="17"/>
      <c r="IOE112" s="17"/>
      <c r="IOF112" s="17"/>
      <c r="IOG112" s="17"/>
      <c r="IOH112" s="17"/>
      <c r="IOI112" s="17"/>
      <c r="IOJ112" s="17"/>
      <c r="IOK112" s="17"/>
      <c r="IOL112" s="17"/>
      <c r="IOM112" s="17"/>
      <c r="ION112" s="17"/>
      <c r="IOO112" s="17"/>
      <c r="IOP112" s="17"/>
      <c r="IOQ112" s="17"/>
      <c r="IOR112" s="17"/>
      <c r="IOS112" s="17"/>
      <c r="IOT112" s="17"/>
      <c r="IOU112" s="17"/>
      <c r="IOV112" s="17"/>
      <c r="IOW112" s="17"/>
      <c r="IOX112" s="17"/>
      <c r="IOY112" s="17"/>
      <c r="IOZ112" s="17"/>
      <c r="IPA112" s="17"/>
      <c r="IPB112" s="17"/>
      <c r="IPC112" s="17"/>
      <c r="IPD112" s="17"/>
      <c r="IPE112" s="17"/>
      <c r="IPF112" s="17"/>
      <c r="IPG112" s="17"/>
      <c r="IPH112" s="17"/>
      <c r="IPI112" s="17"/>
      <c r="IPJ112" s="17"/>
      <c r="IPK112" s="17"/>
      <c r="IPL112" s="17"/>
      <c r="IPM112" s="17"/>
      <c r="IPN112" s="17"/>
      <c r="IPO112" s="17"/>
      <c r="IPP112" s="17"/>
      <c r="IPQ112" s="17"/>
      <c r="IPR112" s="17"/>
      <c r="IPS112" s="17"/>
      <c r="IPT112" s="17"/>
      <c r="IPU112" s="17"/>
      <c r="IPV112" s="17"/>
      <c r="IPW112" s="17"/>
      <c r="IPX112" s="17"/>
      <c r="IPY112" s="17"/>
      <c r="IPZ112" s="17"/>
      <c r="IQA112" s="17"/>
      <c r="IQB112" s="17"/>
      <c r="IQC112" s="17"/>
      <c r="IQD112" s="17"/>
      <c r="IQE112" s="17"/>
      <c r="IQF112" s="17"/>
      <c r="IQG112" s="17"/>
      <c r="IQH112" s="17"/>
      <c r="IQI112" s="17"/>
      <c r="IQJ112" s="17"/>
      <c r="IQK112" s="17"/>
      <c r="IQL112" s="17"/>
      <c r="IQM112" s="17"/>
      <c r="IQN112" s="17"/>
      <c r="IQO112" s="17"/>
      <c r="IQP112" s="17"/>
      <c r="IQQ112" s="17"/>
      <c r="IQR112" s="17"/>
      <c r="IQS112" s="17"/>
      <c r="IQT112" s="17"/>
      <c r="IQU112" s="17"/>
      <c r="IQV112" s="17"/>
      <c r="IQW112" s="17"/>
      <c r="IQX112" s="17"/>
      <c r="IQY112" s="17"/>
      <c r="IQZ112" s="17"/>
      <c r="IRA112" s="17"/>
      <c r="IRB112" s="17"/>
      <c r="IRC112" s="17"/>
      <c r="IRD112" s="17"/>
      <c r="IRE112" s="17"/>
      <c r="IRF112" s="17"/>
      <c r="IRG112" s="17"/>
      <c r="IRH112" s="17"/>
      <c r="IRI112" s="17"/>
      <c r="IRJ112" s="17"/>
      <c r="IRK112" s="17"/>
      <c r="IRL112" s="17"/>
      <c r="IRM112" s="17"/>
      <c r="IRN112" s="17"/>
      <c r="IRO112" s="17"/>
      <c r="IRP112" s="17"/>
      <c r="IRQ112" s="17"/>
      <c r="IRR112" s="17"/>
      <c r="IRS112" s="17"/>
      <c r="IRT112" s="17"/>
      <c r="IRU112" s="17"/>
      <c r="IRV112" s="17"/>
      <c r="IRW112" s="17"/>
      <c r="IRX112" s="17"/>
      <c r="IRY112" s="17"/>
      <c r="IRZ112" s="17"/>
      <c r="ISA112" s="17"/>
      <c r="ISB112" s="17"/>
      <c r="ISC112" s="17"/>
      <c r="ISD112" s="17"/>
      <c r="ISE112" s="17"/>
      <c r="ISF112" s="17"/>
      <c r="ISG112" s="17"/>
      <c r="ISH112" s="17"/>
      <c r="ISI112" s="17"/>
      <c r="ISJ112" s="17"/>
      <c r="ISK112" s="17"/>
      <c r="ISL112" s="17"/>
      <c r="ISM112" s="17"/>
      <c r="ISN112" s="17"/>
      <c r="ISO112" s="17"/>
      <c r="ISP112" s="17"/>
      <c r="ISQ112" s="17"/>
      <c r="ISR112" s="17"/>
      <c r="ISS112" s="17"/>
      <c r="IST112" s="17"/>
      <c r="ISU112" s="17"/>
      <c r="ISV112" s="17"/>
      <c r="ISW112" s="17"/>
      <c r="ISX112" s="17"/>
      <c r="ISY112" s="17"/>
      <c r="ISZ112" s="17"/>
      <c r="ITA112" s="17"/>
      <c r="ITB112" s="17"/>
      <c r="ITC112" s="17"/>
      <c r="ITD112" s="17"/>
      <c r="ITE112" s="17"/>
      <c r="ITF112" s="17"/>
      <c r="ITG112" s="17"/>
      <c r="ITH112" s="17"/>
      <c r="ITI112" s="17"/>
      <c r="ITJ112" s="17"/>
      <c r="ITK112" s="17"/>
      <c r="ITL112" s="17"/>
      <c r="ITM112" s="17"/>
      <c r="ITN112" s="17"/>
      <c r="ITO112" s="17"/>
      <c r="ITP112" s="17"/>
      <c r="ITQ112" s="17"/>
      <c r="ITR112" s="17"/>
      <c r="ITS112" s="17"/>
      <c r="ITT112" s="17"/>
      <c r="ITU112" s="17"/>
      <c r="ITV112" s="17"/>
      <c r="ITW112" s="17"/>
      <c r="ITX112" s="17"/>
      <c r="ITY112" s="17"/>
      <c r="ITZ112" s="17"/>
      <c r="IUA112" s="17"/>
      <c r="IUB112" s="17"/>
      <c r="IUC112" s="17"/>
      <c r="IUD112" s="17"/>
      <c r="IUE112" s="17"/>
      <c r="IUF112" s="17"/>
      <c r="IUG112" s="17"/>
      <c r="IUH112" s="17"/>
      <c r="IUI112" s="17"/>
      <c r="IUJ112" s="17"/>
      <c r="IUK112" s="17"/>
      <c r="IUL112" s="17"/>
      <c r="IUM112" s="17"/>
      <c r="IUN112" s="17"/>
      <c r="IUO112" s="17"/>
      <c r="IUP112" s="17"/>
      <c r="IUQ112" s="17"/>
      <c r="IUR112" s="17"/>
      <c r="IUS112" s="17"/>
      <c r="IUT112" s="17"/>
      <c r="IUU112" s="17"/>
      <c r="IUV112" s="17"/>
      <c r="IUW112" s="17"/>
      <c r="IUX112" s="17"/>
      <c r="IUY112" s="17"/>
      <c r="IUZ112" s="17"/>
      <c r="IVA112" s="17"/>
      <c r="IVB112" s="17"/>
      <c r="IVC112" s="17"/>
      <c r="IVD112" s="17"/>
      <c r="IVE112" s="17"/>
      <c r="IVF112" s="17"/>
      <c r="IVG112" s="17"/>
      <c r="IVH112" s="17"/>
      <c r="IVI112" s="17"/>
      <c r="IVJ112" s="17"/>
      <c r="IVK112" s="17"/>
      <c r="IVL112" s="17"/>
      <c r="IVM112" s="17"/>
      <c r="IVN112" s="17"/>
      <c r="IVO112" s="17"/>
      <c r="IVP112" s="17"/>
      <c r="IVQ112" s="17"/>
      <c r="IVR112" s="17"/>
      <c r="IVS112" s="17"/>
      <c r="IVT112" s="17"/>
      <c r="IVU112" s="17"/>
      <c r="IVV112" s="17"/>
      <c r="IVW112" s="17"/>
      <c r="IVX112" s="17"/>
      <c r="IVY112" s="17"/>
      <c r="IVZ112" s="17"/>
      <c r="IWA112" s="17"/>
      <c r="IWB112" s="17"/>
      <c r="IWC112" s="17"/>
      <c r="IWD112" s="17"/>
      <c r="IWE112" s="17"/>
      <c r="IWF112" s="17"/>
      <c r="IWG112" s="17"/>
      <c r="IWH112" s="17"/>
      <c r="IWI112" s="17"/>
      <c r="IWJ112" s="17"/>
      <c r="IWK112" s="17"/>
      <c r="IWL112" s="17"/>
      <c r="IWM112" s="17"/>
      <c r="IWN112" s="17"/>
      <c r="IWO112" s="17"/>
      <c r="IWP112" s="17"/>
      <c r="IWQ112" s="17"/>
      <c r="IWR112" s="17"/>
      <c r="IWS112" s="17"/>
      <c r="IWT112" s="17"/>
      <c r="IWU112" s="17"/>
      <c r="IWV112" s="17"/>
      <c r="IWW112" s="17"/>
      <c r="IWX112" s="17"/>
      <c r="IWY112" s="17"/>
      <c r="IWZ112" s="17"/>
      <c r="IXA112" s="17"/>
      <c r="IXB112" s="17"/>
      <c r="IXC112" s="17"/>
      <c r="IXD112" s="17"/>
      <c r="IXE112" s="17"/>
      <c r="IXF112" s="17"/>
      <c r="IXG112" s="17"/>
      <c r="IXH112" s="17"/>
      <c r="IXI112" s="17"/>
      <c r="IXJ112" s="17"/>
      <c r="IXK112" s="17"/>
      <c r="IXL112" s="17"/>
      <c r="IXM112" s="17"/>
      <c r="IXN112" s="17"/>
      <c r="IXO112" s="17"/>
      <c r="IXP112" s="17"/>
      <c r="IXQ112" s="17"/>
      <c r="IXR112" s="17"/>
      <c r="IXS112" s="17"/>
      <c r="IXT112" s="17"/>
      <c r="IXU112" s="17"/>
      <c r="IXV112" s="17"/>
      <c r="IXW112" s="17"/>
      <c r="IXX112" s="17"/>
      <c r="IXY112" s="17"/>
      <c r="IXZ112" s="17"/>
      <c r="IYA112" s="17"/>
      <c r="IYB112" s="17"/>
      <c r="IYC112" s="17"/>
      <c r="IYD112" s="17"/>
      <c r="IYE112" s="17"/>
      <c r="IYF112" s="17"/>
      <c r="IYG112" s="17"/>
      <c r="IYH112" s="17"/>
      <c r="IYI112" s="17"/>
      <c r="IYJ112" s="17"/>
      <c r="IYK112" s="17"/>
      <c r="IYL112" s="17"/>
      <c r="IYM112" s="17"/>
      <c r="IYN112" s="17"/>
      <c r="IYO112" s="17"/>
      <c r="IYP112" s="17"/>
      <c r="IYQ112" s="17"/>
      <c r="IYR112" s="17"/>
      <c r="IYS112" s="17"/>
      <c r="IYT112" s="17"/>
      <c r="IYU112" s="17"/>
      <c r="IYV112" s="17"/>
      <c r="IYW112" s="17"/>
      <c r="IYX112" s="17"/>
      <c r="IYY112" s="17"/>
      <c r="IYZ112" s="17"/>
      <c r="IZA112" s="17"/>
      <c r="IZB112" s="17"/>
      <c r="IZC112" s="17"/>
      <c r="IZD112" s="17"/>
      <c r="IZE112" s="17"/>
      <c r="IZF112" s="17"/>
      <c r="IZG112" s="17"/>
      <c r="IZH112" s="17"/>
      <c r="IZI112" s="17"/>
      <c r="IZJ112" s="17"/>
      <c r="IZK112" s="17"/>
      <c r="IZL112" s="17"/>
      <c r="IZM112" s="17"/>
      <c r="IZN112" s="17"/>
      <c r="IZO112" s="17"/>
      <c r="IZP112" s="17"/>
      <c r="IZQ112" s="17"/>
      <c r="IZR112" s="17"/>
      <c r="IZS112" s="17"/>
      <c r="IZT112" s="17"/>
      <c r="IZU112" s="17"/>
      <c r="IZV112" s="17"/>
      <c r="IZW112" s="17"/>
      <c r="IZX112" s="17"/>
      <c r="IZY112" s="17"/>
      <c r="IZZ112" s="17"/>
      <c r="JAA112" s="17"/>
      <c r="JAB112" s="17"/>
      <c r="JAC112" s="17"/>
      <c r="JAD112" s="17"/>
      <c r="JAE112" s="17"/>
      <c r="JAF112" s="17"/>
      <c r="JAG112" s="17"/>
      <c r="JAH112" s="17"/>
      <c r="JAI112" s="17"/>
      <c r="JAJ112" s="17"/>
      <c r="JAK112" s="17"/>
      <c r="JAL112" s="17"/>
      <c r="JAM112" s="17"/>
      <c r="JAN112" s="17"/>
      <c r="JAO112" s="17"/>
      <c r="JAP112" s="17"/>
      <c r="JAQ112" s="17"/>
      <c r="JAR112" s="17"/>
      <c r="JAS112" s="17"/>
      <c r="JAT112" s="17"/>
      <c r="JAU112" s="17"/>
      <c r="JAV112" s="17"/>
      <c r="JAW112" s="17"/>
      <c r="JAX112" s="17"/>
      <c r="JAY112" s="17"/>
      <c r="JAZ112" s="17"/>
      <c r="JBA112" s="17"/>
      <c r="JBB112" s="17"/>
      <c r="JBC112" s="17"/>
      <c r="JBD112" s="17"/>
      <c r="JBE112" s="17"/>
      <c r="JBF112" s="17"/>
      <c r="JBG112" s="17"/>
      <c r="JBH112" s="17"/>
      <c r="JBI112" s="17"/>
      <c r="JBJ112" s="17"/>
      <c r="JBK112" s="17"/>
      <c r="JBL112" s="17"/>
      <c r="JBM112" s="17"/>
      <c r="JBN112" s="17"/>
      <c r="JBO112" s="17"/>
      <c r="JBP112" s="17"/>
      <c r="JBQ112" s="17"/>
      <c r="JBR112" s="17"/>
      <c r="JBS112" s="17"/>
      <c r="JBT112" s="17"/>
      <c r="JBU112" s="17"/>
      <c r="JBV112" s="17"/>
      <c r="JBW112" s="17"/>
      <c r="JBX112" s="17"/>
      <c r="JBY112" s="17"/>
      <c r="JBZ112" s="17"/>
      <c r="JCA112" s="17"/>
      <c r="JCB112" s="17"/>
      <c r="JCC112" s="17"/>
      <c r="JCD112" s="17"/>
      <c r="JCE112" s="17"/>
      <c r="JCF112" s="17"/>
      <c r="JCG112" s="17"/>
      <c r="JCH112" s="17"/>
      <c r="JCI112" s="17"/>
      <c r="JCJ112" s="17"/>
      <c r="JCK112" s="17"/>
      <c r="JCL112" s="17"/>
      <c r="JCM112" s="17"/>
      <c r="JCN112" s="17"/>
      <c r="JCO112" s="17"/>
      <c r="JCP112" s="17"/>
      <c r="JCQ112" s="17"/>
      <c r="JCR112" s="17"/>
      <c r="JCS112" s="17"/>
      <c r="JCT112" s="17"/>
      <c r="JCU112" s="17"/>
      <c r="JCV112" s="17"/>
      <c r="JCW112" s="17"/>
      <c r="JCX112" s="17"/>
      <c r="JCY112" s="17"/>
      <c r="JCZ112" s="17"/>
      <c r="JDA112" s="17"/>
      <c r="JDB112" s="17"/>
      <c r="JDC112" s="17"/>
      <c r="JDD112" s="17"/>
      <c r="JDE112" s="17"/>
      <c r="JDF112" s="17"/>
      <c r="JDG112" s="17"/>
      <c r="JDH112" s="17"/>
      <c r="JDI112" s="17"/>
      <c r="JDJ112" s="17"/>
      <c r="JDK112" s="17"/>
      <c r="JDL112" s="17"/>
      <c r="JDM112" s="17"/>
      <c r="JDN112" s="17"/>
      <c r="JDO112" s="17"/>
      <c r="JDP112" s="17"/>
      <c r="JDQ112" s="17"/>
      <c r="JDR112" s="17"/>
      <c r="JDS112" s="17"/>
      <c r="JDT112" s="17"/>
      <c r="JDU112" s="17"/>
      <c r="JDV112" s="17"/>
      <c r="JDW112" s="17"/>
      <c r="JDX112" s="17"/>
      <c r="JDY112" s="17"/>
      <c r="JDZ112" s="17"/>
      <c r="JEA112" s="17"/>
      <c r="JEB112" s="17"/>
      <c r="JEC112" s="17"/>
      <c r="JED112" s="17"/>
      <c r="JEE112" s="17"/>
      <c r="JEF112" s="17"/>
      <c r="JEG112" s="17"/>
      <c r="JEH112" s="17"/>
      <c r="JEI112" s="17"/>
      <c r="JEJ112" s="17"/>
      <c r="JEK112" s="17"/>
      <c r="JEL112" s="17"/>
      <c r="JEM112" s="17"/>
      <c r="JEN112" s="17"/>
      <c r="JEO112" s="17"/>
      <c r="JEP112" s="17"/>
      <c r="JEQ112" s="17"/>
      <c r="JER112" s="17"/>
      <c r="JES112" s="17"/>
      <c r="JET112" s="17"/>
      <c r="JEU112" s="17"/>
      <c r="JEV112" s="17"/>
      <c r="JEW112" s="17"/>
      <c r="JEX112" s="17"/>
      <c r="JEY112" s="17"/>
      <c r="JEZ112" s="17"/>
      <c r="JFA112" s="17"/>
      <c r="JFB112" s="17"/>
      <c r="JFC112" s="17"/>
      <c r="JFD112" s="17"/>
      <c r="JFE112" s="17"/>
      <c r="JFF112" s="17"/>
      <c r="JFG112" s="17"/>
      <c r="JFH112" s="17"/>
      <c r="JFI112" s="17"/>
      <c r="JFJ112" s="17"/>
      <c r="JFK112" s="17"/>
      <c r="JFL112" s="17"/>
      <c r="JFM112" s="17"/>
      <c r="JFN112" s="17"/>
      <c r="JFO112" s="17"/>
      <c r="JFP112" s="17"/>
      <c r="JFQ112" s="17"/>
      <c r="JFR112" s="17"/>
      <c r="JFS112" s="17"/>
      <c r="JFT112" s="17"/>
      <c r="JFU112" s="17"/>
      <c r="JFV112" s="17"/>
      <c r="JFW112" s="17"/>
      <c r="JFX112" s="17"/>
      <c r="JFY112" s="17"/>
      <c r="JFZ112" s="17"/>
      <c r="JGA112" s="17"/>
      <c r="JGB112" s="17"/>
      <c r="JGC112" s="17"/>
      <c r="JGD112" s="17"/>
      <c r="JGE112" s="17"/>
      <c r="JGF112" s="17"/>
      <c r="JGG112" s="17"/>
      <c r="JGH112" s="17"/>
      <c r="JGI112" s="17"/>
      <c r="JGJ112" s="17"/>
      <c r="JGK112" s="17"/>
      <c r="JGL112" s="17"/>
      <c r="JGM112" s="17"/>
      <c r="JGN112" s="17"/>
      <c r="JGO112" s="17"/>
      <c r="JGP112" s="17"/>
      <c r="JGQ112" s="17"/>
      <c r="JGR112" s="17"/>
      <c r="JGS112" s="17"/>
      <c r="JGT112" s="17"/>
      <c r="JGU112" s="17"/>
      <c r="JGV112" s="17"/>
      <c r="JGW112" s="17"/>
      <c r="JGX112" s="17"/>
      <c r="JGY112" s="17"/>
      <c r="JGZ112" s="17"/>
      <c r="JHA112" s="17"/>
      <c r="JHB112" s="17"/>
      <c r="JHC112" s="17"/>
      <c r="JHD112" s="17"/>
      <c r="JHE112" s="17"/>
      <c r="JHF112" s="17"/>
      <c r="JHG112" s="17"/>
      <c r="JHH112" s="17"/>
      <c r="JHI112" s="17"/>
      <c r="JHJ112" s="17"/>
      <c r="JHK112" s="17"/>
      <c r="JHL112" s="17"/>
      <c r="JHM112" s="17"/>
      <c r="JHN112" s="17"/>
      <c r="JHO112" s="17"/>
      <c r="JHP112" s="17"/>
      <c r="JHQ112" s="17"/>
      <c r="JHR112" s="17"/>
      <c r="JHS112" s="17"/>
      <c r="JHT112" s="17"/>
      <c r="JHU112" s="17"/>
      <c r="JHV112" s="17"/>
      <c r="JHW112" s="17"/>
      <c r="JHX112" s="17"/>
      <c r="JHY112" s="17"/>
      <c r="JHZ112" s="17"/>
      <c r="JIA112" s="17"/>
      <c r="JIB112" s="17"/>
      <c r="JIC112" s="17"/>
      <c r="JID112" s="17"/>
      <c r="JIE112" s="17"/>
      <c r="JIF112" s="17"/>
      <c r="JIG112" s="17"/>
      <c r="JIH112" s="17"/>
      <c r="JII112" s="17"/>
      <c r="JIJ112" s="17"/>
      <c r="JIK112" s="17"/>
      <c r="JIL112" s="17"/>
      <c r="JIM112" s="17"/>
      <c r="JIN112" s="17"/>
      <c r="JIO112" s="17"/>
      <c r="JIP112" s="17"/>
      <c r="JIQ112" s="17"/>
      <c r="JIR112" s="17"/>
      <c r="JIS112" s="17"/>
      <c r="JIT112" s="17"/>
      <c r="JIU112" s="17"/>
      <c r="JIV112" s="17"/>
      <c r="JIW112" s="17"/>
      <c r="JIX112" s="17"/>
      <c r="JIY112" s="17"/>
      <c r="JIZ112" s="17"/>
      <c r="JJA112" s="17"/>
      <c r="JJB112" s="17"/>
      <c r="JJC112" s="17"/>
      <c r="JJD112" s="17"/>
      <c r="JJE112" s="17"/>
      <c r="JJF112" s="17"/>
      <c r="JJG112" s="17"/>
      <c r="JJH112" s="17"/>
      <c r="JJI112" s="17"/>
      <c r="JJJ112" s="17"/>
      <c r="JJK112" s="17"/>
      <c r="JJL112" s="17"/>
      <c r="JJM112" s="17"/>
      <c r="JJN112" s="17"/>
      <c r="JJO112" s="17"/>
      <c r="JJP112" s="17"/>
      <c r="JJQ112" s="17"/>
      <c r="JJR112" s="17"/>
      <c r="JJS112" s="17"/>
      <c r="JJT112" s="17"/>
      <c r="JJU112" s="17"/>
      <c r="JJV112" s="17"/>
      <c r="JJW112" s="17"/>
      <c r="JJX112" s="17"/>
      <c r="JJY112" s="17"/>
      <c r="JJZ112" s="17"/>
      <c r="JKA112" s="17"/>
      <c r="JKB112" s="17"/>
      <c r="JKC112" s="17"/>
      <c r="JKD112" s="17"/>
      <c r="JKE112" s="17"/>
      <c r="JKF112" s="17"/>
      <c r="JKG112" s="17"/>
      <c r="JKH112" s="17"/>
      <c r="JKI112" s="17"/>
      <c r="JKJ112" s="17"/>
      <c r="JKK112" s="17"/>
      <c r="JKL112" s="17"/>
      <c r="JKM112" s="17"/>
      <c r="JKN112" s="17"/>
      <c r="JKO112" s="17"/>
      <c r="JKP112" s="17"/>
      <c r="JKQ112" s="17"/>
      <c r="JKR112" s="17"/>
      <c r="JKS112" s="17"/>
      <c r="JKT112" s="17"/>
      <c r="JKU112" s="17"/>
      <c r="JKV112" s="17"/>
      <c r="JKW112" s="17"/>
      <c r="JKX112" s="17"/>
      <c r="JKY112" s="17"/>
      <c r="JKZ112" s="17"/>
      <c r="JLA112" s="17"/>
      <c r="JLB112" s="17"/>
      <c r="JLC112" s="17"/>
      <c r="JLD112" s="17"/>
      <c r="JLE112" s="17"/>
      <c r="JLF112" s="17"/>
      <c r="JLG112" s="17"/>
      <c r="JLH112" s="17"/>
      <c r="JLI112" s="17"/>
      <c r="JLJ112" s="17"/>
      <c r="JLK112" s="17"/>
      <c r="JLL112" s="17"/>
      <c r="JLM112" s="17"/>
      <c r="JLN112" s="17"/>
      <c r="JLO112" s="17"/>
      <c r="JLP112" s="17"/>
      <c r="JLQ112" s="17"/>
      <c r="JLR112" s="17"/>
      <c r="JLS112" s="17"/>
      <c r="JLT112" s="17"/>
      <c r="JLU112" s="17"/>
      <c r="JLV112" s="17"/>
      <c r="JLW112" s="17"/>
      <c r="JLX112" s="17"/>
      <c r="JLY112" s="17"/>
      <c r="JLZ112" s="17"/>
      <c r="JMA112" s="17"/>
      <c r="JMB112" s="17"/>
      <c r="JMC112" s="17"/>
      <c r="JMD112" s="17"/>
      <c r="JME112" s="17"/>
      <c r="JMF112" s="17"/>
      <c r="JMG112" s="17"/>
      <c r="JMH112" s="17"/>
      <c r="JMI112" s="17"/>
      <c r="JMJ112" s="17"/>
      <c r="JMK112" s="17"/>
      <c r="JML112" s="17"/>
      <c r="JMM112" s="17"/>
      <c r="JMN112" s="17"/>
      <c r="JMO112" s="17"/>
      <c r="JMP112" s="17"/>
      <c r="JMQ112" s="17"/>
      <c r="JMR112" s="17"/>
      <c r="JMS112" s="17"/>
      <c r="JMT112" s="17"/>
      <c r="JMU112" s="17"/>
      <c r="JMV112" s="17"/>
      <c r="JMW112" s="17"/>
      <c r="JMX112" s="17"/>
      <c r="JMY112" s="17"/>
      <c r="JMZ112" s="17"/>
      <c r="JNA112" s="17"/>
      <c r="JNB112" s="17"/>
      <c r="JNC112" s="17"/>
      <c r="JND112" s="17"/>
      <c r="JNE112" s="17"/>
      <c r="JNF112" s="17"/>
      <c r="JNG112" s="17"/>
      <c r="JNH112" s="17"/>
      <c r="JNI112" s="17"/>
      <c r="JNJ112" s="17"/>
      <c r="JNK112" s="17"/>
      <c r="JNL112" s="17"/>
      <c r="JNM112" s="17"/>
      <c r="JNN112" s="17"/>
      <c r="JNO112" s="17"/>
      <c r="JNP112" s="17"/>
      <c r="JNQ112" s="17"/>
      <c r="JNR112" s="17"/>
      <c r="JNS112" s="17"/>
      <c r="JNT112" s="17"/>
      <c r="JNU112" s="17"/>
      <c r="JNV112" s="17"/>
      <c r="JNW112" s="17"/>
      <c r="JNX112" s="17"/>
      <c r="JNY112" s="17"/>
      <c r="JNZ112" s="17"/>
      <c r="JOA112" s="17"/>
      <c r="JOB112" s="17"/>
      <c r="JOC112" s="17"/>
      <c r="JOD112" s="17"/>
      <c r="JOE112" s="17"/>
      <c r="JOF112" s="17"/>
      <c r="JOG112" s="17"/>
      <c r="JOH112" s="17"/>
      <c r="JOI112" s="17"/>
      <c r="JOJ112" s="17"/>
      <c r="JOK112" s="17"/>
      <c r="JOL112" s="17"/>
      <c r="JOM112" s="17"/>
      <c r="JON112" s="17"/>
      <c r="JOO112" s="17"/>
      <c r="JOP112" s="17"/>
      <c r="JOQ112" s="17"/>
      <c r="JOR112" s="17"/>
      <c r="JOS112" s="17"/>
      <c r="JOT112" s="17"/>
      <c r="JOU112" s="17"/>
      <c r="JOV112" s="17"/>
      <c r="JOW112" s="17"/>
      <c r="JOX112" s="17"/>
      <c r="JOY112" s="17"/>
      <c r="JOZ112" s="17"/>
      <c r="JPA112" s="17"/>
      <c r="JPB112" s="17"/>
      <c r="JPC112" s="17"/>
      <c r="JPD112" s="17"/>
      <c r="JPE112" s="17"/>
      <c r="JPF112" s="17"/>
      <c r="JPG112" s="17"/>
      <c r="JPH112" s="17"/>
      <c r="JPI112" s="17"/>
      <c r="JPJ112" s="17"/>
      <c r="JPK112" s="17"/>
      <c r="JPL112" s="17"/>
      <c r="JPM112" s="17"/>
      <c r="JPN112" s="17"/>
      <c r="JPO112" s="17"/>
      <c r="JPP112" s="17"/>
      <c r="JPQ112" s="17"/>
      <c r="JPR112" s="17"/>
      <c r="JPS112" s="17"/>
      <c r="JPT112" s="17"/>
      <c r="JPU112" s="17"/>
      <c r="JPV112" s="17"/>
      <c r="JPW112" s="17"/>
      <c r="JPX112" s="17"/>
      <c r="JPY112" s="17"/>
      <c r="JPZ112" s="17"/>
      <c r="JQA112" s="17"/>
      <c r="JQB112" s="17"/>
      <c r="JQC112" s="17"/>
      <c r="JQD112" s="17"/>
      <c r="JQE112" s="17"/>
      <c r="JQF112" s="17"/>
      <c r="JQG112" s="17"/>
      <c r="JQH112" s="17"/>
      <c r="JQI112" s="17"/>
      <c r="JQJ112" s="17"/>
      <c r="JQK112" s="17"/>
      <c r="JQL112" s="17"/>
      <c r="JQM112" s="17"/>
      <c r="JQN112" s="17"/>
      <c r="JQO112" s="17"/>
      <c r="JQP112" s="17"/>
      <c r="JQQ112" s="17"/>
      <c r="JQR112" s="17"/>
      <c r="JQS112" s="17"/>
      <c r="JQT112" s="17"/>
      <c r="JQU112" s="17"/>
      <c r="JQV112" s="17"/>
      <c r="JQW112" s="17"/>
      <c r="JQX112" s="17"/>
      <c r="JQY112" s="17"/>
      <c r="JQZ112" s="17"/>
      <c r="JRA112" s="17"/>
      <c r="JRB112" s="17"/>
      <c r="JRC112" s="17"/>
      <c r="JRD112" s="17"/>
      <c r="JRE112" s="17"/>
      <c r="JRF112" s="17"/>
      <c r="JRG112" s="17"/>
      <c r="JRH112" s="17"/>
      <c r="JRI112" s="17"/>
      <c r="JRJ112" s="17"/>
      <c r="JRK112" s="17"/>
      <c r="JRL112" s="17"/>
      <c r="JRM112" s="17"/>
      <c r="JRN112" s="17"/>
      <c r="JRO112" s="17"/>
      <c r="JRP112" s="17"/>
      <c r="JRQ112" s="17"/>
      <c r="JRR112" s="17"/>
      <c r="JRS112" s="17"/>
      <c r="JRT112" s="17"/>
      <c r="JRU112" s="17"/>
      <c r="JRV112" s="17"/>
      <c r="JRW112" s="17"/>
      <c r="JRX112" s="17"/>
      <c r="JRY112" s="17"/>
      <c r="JRZ112" s="17"/>
      <c r="JSA112" s="17"/>
      <c r="JSB112" s="17"/>
      <c r="JSC112" s="17"/>
      <c r="JSD112" s="17"/>
      <c r="JSE112" s="17"/>
      <c r="JSF112" s="17"/>
      <c r="JSG112" s="17"/>
      <c r="JSH112" s="17"/>
      <c r="JSI112" s="17"/>
      <c r="JSJ112" s="17"/>
      <c r="JSK112" s="17"/>
      <c r="JSL112" s="17"/>
      <c r="JSM112" s="17"/>
      <c r="JSN112" s="17"/>
      <c r="JSO112" s="17"/>
      <c r="JSP112" s="17"/>
      <c r="JSQ112" s="17"/>
      <c r="JSR112" s="17"/>
      <c r="JSS112" s="17"/>
      <c r="JST112" s="17"/>
      <c r="JSU112" s="17"/>
      <c r="JSV112" s="17"/>
      <c r="JSW112" s="17"/>
      <c r="JSX112" s="17"/>
      <c r="JSY112" s="17"/>
      <c r="JSZ112" s="17"/>
      <c r="JTA112" s="17"/>
      <c r="JTB112" s="17"/>
      <c r="JTC112" s="17"/>
      <c r="JTD112" s="17"/>
      <c r="JTE112" s="17"/>
      <c r="JTF112" s="17"/>
      <c r="JTG112" s="17"/>
      <c r="JTH112" s="17"/>
      <c r="JTI112" s="17"/>
      <c r="JTJ112" s="17"/>
      <c r="JTK112" s="17"/>
      <c r="JTL112" s="17"/>
      <c r="JTM112" s="17"/>
      <c r="JTN112" s="17"/>
      <c r="JTO112" s="17"/>
      <c r="JTP112" s="17"/>
      <c r="JTQ112" s="17"/>
      <c r="JTR112" s="17"/>
      <c r="JTS112" s="17"/>
      <c r="JTT112" s="17"/>
      <c r="JTU112" s="17"/>
      <c r="JTV112" s="17"/>
      <c r="JTW112" s="17"/>
      <c r="JTX112" s="17"/>
      <c r="JTY112" s="17"/>
      <c r="JTZ112" s="17"/>
      <c r="JUA112" s="17"/>
      <c r="JUB112" s="17"/>
      <c r="JUC112" s="17"/>
      <c r="JUD112" s="17"/>
      <c r="JUE112" s="17"/>
      <c r="JUF112" s="17"/>
      <c r="JUG112" s="17"/>
      <c r="JUH112" s="17"/>
      <c r="JUI112" s="17"/>
      <c r="JUJ112" s="17"/>
      <c r="JUK112" s="17"/>
      <c r="JUL112" s="17"/>
      <c r="JUM112" s="17"/>
      <c r="JUN112" s="17"/>
      <c r="JUO112" s="17"/>
      <c r="JUP112" s="17"/>
      <c r="JUQ112" s="17"/>
      <c r="JUR112" s="17"/>
      <c r="JUS112" s="17"/>
      <c r="JUT112" s="17"/>
      <c r="JUU112" s="17"/>
      <c r="JUV112" s="17"/>
      <c r="JUW112" s="17"/>
      <c r="JUX112" s="17"/>
      <c r="JUY112" s="17"/>
      <c r="JUZ112" s="17"/>
      <c r="JVA112" s="17"/>
      <c r="JVB112" s="17"/>
      <c r="JVC112" s="17"/>
      <c r="JVD112" s="17"/>
      <c r="JVE112" s="17"/>
      <c r="JVF112" s="17"/>
      <c r="JVG112" s="17"/>
      <c r="JVH112" s="17"/>
      <c r="JVI112" s="17"/>
      <c r="JVJ112" s="17"/>
      <c r="JVK112" s="17"/>
      <c r="JVL112" s="17"/>
      <c r="JVM112" s="17"/>
      <c r="JVN112" s="17"/>
      <c r="JVO112" s="17"/>
      <c r="JVP112" s="17"/>
      <c r="JVQ112" s="17"/>
      <c r="JVR112" s="17"/>
      <c r="JVS112" s="17"/>
      <c r="JVT112" s="17"/>
      <c r="JVU112" s="17"/>
      <c r="JVV112" s="17"/>
      <c r="JVW112" s="17"/>
      <c r="JVX112" s="17"/>
      <c r="JVY112" s="17"/>
      <c r="JVZ112" s="17"/>
      <c r="JWA112" s="17"/>
      <c r="JWB112" s="17"/>
      <c r="JWC112" s="17"/>
      <c r="JWD112" s="17"/>
      <c r="JWE112" s="17"/>
      <c r="JWF112" s="17"/>
      <c r="JWG112" s="17"/>
      <c r="JWH112" s="17"/>
      <c r="JWI112" s="17"/>
      <c r="JWJ112" s="17"/>
      <c r="JWK112" s="17"/>
      <c r="JWL112" s="17"/>
      <c r="JWM112" s="17"/>
      <c r="JWN112" s="17"/>
      <c r="JWO112" s="17"/>
      <c r="JWP112" s="17"/>
      <c r="JWQ112" s="17"/>
      <c r="JWR112" s="17"/>
      <c r="JWS112" s="17"/>
      <c r="JWT112" s="17"/>
      <c r="JWU112" s="17"/>
      <c r="JWV112" s="17"/>
      <c r="JWW112" s="17"/>
      <c r="JWX112" s="17"/>
      <c r="JWY112" s="17"/>
      <c r="JWZ112" s="17"/>
      <c r="JXA112" s="17"/>
      <c r="JXB112" s="17"/>
      <c r="JXC112" s="17"/>
      <c r="JXD112" s="17"/>
      <c r="JXE112" s="17"/>
      <c r="JXF112" s="17"/>
      <c r="JXG112" s="17"/>
      <c r="JXH112" s="17"/>
      <c r="JXI112" s="17"/>
      <c r="JXJ112" s="17"/>
      <c r="JXK112" s="17"/>
      <c r="JXL112" s="17"/>
      <c r="JXM112" s="17"/>
      <c r="JXN112" s="17"/>
      <c r="JXO112" s="17"/>
      <c r="JXP112" s="17"/>
      <c r="JXQ112" s="17"/>
      <c r="JXR112" s="17"/>
      <c r="JXS112" s="17"/>
      <c r="JXT112" s="17"/>
      <c r="JXU112" s="17"/>
      <c r="JXV112" s="17"/>
      <c r="JXW112" s="17"/>
      <c r="JXX112" s="17"/>
      <c r="JXY112" s="17"/>
      <c r="JXZ112" s="17"/>
      <c r="JYA112" s="17"/>
      <c r="JYB112" s="17"/>
      <c r="JYC112" s="17"/>
      <c r="JYD112" s="17"/>
      <c r="JYE112" s="17"/>
      <c r="JYF112" s="17"/>
      <c r="JYG112" s="17"/>
      <c r="JYH112" s="17"/>
      <c r="JYI112" s="17"/>
      <c r="JYJ112" s="17"/>
      <c r="JYK112" s="17"/>
      <c r="JYL112" s="17"/>
      <c r="JYM112" s="17"/>
      <c r="JYN112" s="17"/>
      <c r="JYO112" s="17"/>
      <c r="JYP112" s="17"/>
      <c r="JYQ112" s="17"/>
      <c r="JYR112" s="17"/>
      <c r="JYS112" s="17"/>
      <c r="JYT112" s="17"/>
      <c r="JYU112" s="17"/>
      <c r="JYV112" s="17"/>
      <c r="JYW112" s="17"/>
      <c r="JYX112" s="17"/>
      <c r="JYY112" s="17"/>
      <c r="JYZ112" s="17"/>
      <c r="JZA112" s="17"/>
      <c r="JZB112" s="17"/>
      <c r="JZC112" s="17"/>
      <c r="JZD112" s="17"/>
      <c r="JZE112" s="17"/>
      <c r="JZF112" s="17"/>
      <c r="JZG112" s="17"/>
      <c r="JZH112" s="17"/>
      <c r="JZI112" s="17"/>
      <c r="JZJ112" s="17"/>
      <c r="JZK112" s="17"/>
      <c r="JZL112" s="17"/>
      <c r="JZM112" s="17"/>
      <c r="JZN112" s="17"/>
      <c r="JZO112" s="17"/>
      <c r="JZP112" s="17"/>
      <c r="JZQ112" s="17"/>
      <c r="JZR112" s="17"/>
      <c r="JZS112" s="17"/>
      <c r="JZT112" s="17"/>
      <c r="JZU112" s="17"/>
      <c r="JZV112" s="17"/>
      <c r="JZW112" s="17"/>
      <c r="JZX112" s="17"/>
      <c r="JZY112" s="17"/>
      <c r="JZZ112" s="17"/>
      <c r="KAA112" s="17"/>
      <c r="KAB112" s="17"/>
      <c r="KAC112" s="17"/>
      <c r="KAD112" s="17"/>
      <c r="KAE112" s="17"/>
      <c r="KAF112" s="17"/>
      <c r="KAG112" s="17"/>
      <c r="KAH112" s="17"/>
      <c r="KAI112" s="17"/>
      <c r="KAJ112" s="17"/>
      <c r="KAK112" s="17"/>
      <c r="KAL112" s="17"/>
      <c r="KAM112" s="17"/>
      <c r="KAN112" s="17"/>
      <c r="KAO112" s="17"/>
      <c r="KAP112" s="17"/>
      <c r="KAQ112" s="17"/>
      <c r="KAR112" s="17"/>
      <c r="KAS112" s="17"/>
      <c r="KAT112" s="17"/>
      <c r="KAU112" s="17"/>
      <c r="KAV112" s="17"/>
      <c r="KAW112" s="17"/>
      <c r="KAX112" s="17"/>
      <c r="KAY112" s="17"/>
      <c r="KAZ112" s="17"/>
      <c r="KBA112" s="17"/>
      <c r="KBB112" s="17"/>
      <c r="KBC112" s="17"/>
      <c r="KBD112" s="17"/>
      <c r="KBE112" s="17"/>
      <c r="KBF112" s="17"/>
      <c r="KBG112" s="17"/>
      <c r="KBH112" s="17"/>
      <c r="KBI112" s="17"/>
      <c r="KBJ112" s="17"/>
      <c r="KBK112" s="17"/>
      <c r="KBL112" s="17"/>
      <c r="KBM112" s="17"/>
      <c r="KBN112" s="17"/>
      <c r="KBO112" s="17"/>
      <c r="KBP112" s="17"/>
      <c r="KBQ112" s="17"/>
      <c r="KBR112" s="17"/>
      <c r="KBS112" s="17"/>
      <c r="KBT112" s="17"/>
      <c r="KBU112" s="17"/>
      <c r="KBV112" s="17"/>
      <c r="KBW112" s="17"/>
      <c r="KBX112" s="17"/>
      <c r="KBY112" s="17"/>
      <c r="KBZ112" s="17"/>
      <c r="KCA112" s="17"/>
      <c r="KCB112" s="17"/>
      <c r="KCC112" s="17"/>
      <c r="KCD112" s="17"/>
      <c r="KCE112" s="17"/>
      <c r="KCF112" s="17"/>
      <c r="KCG112" s="17"/>
      <c r="KCH112" s="17"/>
      <c r="KCI112" s="17"/>
      <c r="KCJ112" s="17"/>
      <c r="KCK112" s="17"/>
      <c r="KCL112" s="17"/>
      <c r="KCM112" s="17"/>
      <c r="KCN112" s="17"/>
      <c r="KCO112" s="17"/>
      <c r="KCP112" s="17"/>
      <c r="KCQ112" s="17"/>
      <c r="KCR112" s="17"/>
      <c r="KCS112" s="17"/>
      <c r="KCT112" s="17"/>
      <c r="KCU112" s="17"/>
      <c r="KCV112" s="17"/>
      <c r="KCW112" s="17"/>
      <c r="KCX112" s="17"/>
      <c r="KCY112" s="17"/>
      <c r="KCZ112" s="17"/>
      <c r="KDA112" s="17"/>
      <c r="KDB112" s="17"/>
      <c r="KDC112" s="17"/>
      <c r="KDD112" s="17"/>
      <c r="KDE112" s="17"/>
      <c r="KDF112" s="17"/>
      <c r="KDG112" s="17"/>
      <c r="KDH112" s="17"/>
      <c r="KDI112" s="17"/>
      <c r="KDJ112" s="17"/>
      <c r="KDK112" s="17"/>
      <c r="KDL112" s="17"/>
      <c r="KDM112" s="17"/>
      <c r="KDN112" s="17"/>
      <c r="KDO112" s="17"/>
      <c r="KDP112" s="17"/>
      <c r="KDQ112" s="17"/>
      <c r="KDR112" s="17"/>
      <c r="KDS112" s="17"/>
      <c r="KDT112" s="17"/>
      <c r="KDU112" s="17"/>
      <c r="KDV112" s="17"/>
      <c r="KDW112" s="17"/>
      <c r="KDX112" s="17"/>
      <c r="KDY112" s="17"/>
      <c r="KDZ112" s="17"/>
      <c r="KEA112" s="17"/>
      <c r="KEB112" s="17"/>
      <c r="KEC112" s="17"/>
      <c r="KED112" s="17"/>
      <c r="KEE112" s="17"/>
      <c r="KEF112" s="17"/>
      <c r="KEG112" s="17"/>
      <c r="KEH112" s="17"/>
      <c r="KEI112" s="17"/>
      <c r="KEJ112" s="17"/>
      <c r="KEK112" s="17"/>
      <c r="KEL112" s="17"/>
      <c r="KEM112" s="17"/>
      <c r="KEN112" s="17"/>
      <c r="KEO112" s="17"/>
      <c r="KEP112" s="17"/>
      <c r="KEQ112" s="17"/>
      <c r="KER112" s="17"/>
      <c r="KES112" s="17"/>
      <c r="KET112" s="17"/>
      <c r="KEU112" s="17"/>
      <c r="KEV112" s="17"/>
      <c r="KEW112" s="17"/>
      <c r="KEX112" s="17"/>
      <c r="KEY112" s="17"/>
      <c r="KEZ112" s="17"/>
      <c r="KFA112" s="17"/>
      <c r="KFB112" s="17"/>
      <c r="KFC112" s="17"/>
      <c r="KFD112" s="17"/>
      <c r="KFE112" s="17"/>
      <c r="KFF112" s="17"/>
      <c r="KFG112" s="17"/>
      <c r="KFH112" s="17"/>
      <c r="KFI112" s="17"/>
      <c r="KFJ112" s="17"/>
      <c r="KFK112" s="17"/>
      <c r="KFL112" s="17"/>
      <c r="KFM112" s="17"/>
      <c r="KFN112" s="17"/>
      <c r="KFO112" s="17"/>
      <c r="KFP112" s="17"/>
      <c r="KFQ112" s="17"/>
      <c r="KFR112" s="17"/>
      <c r="KFS112" s="17"/>
      <c r="KFT112" s="17"/>
      <c r="KFU112" s="17"/>
      <c r="KFV112" s="17"/>
      <c r="KFW112" s="17"/>
      <c r="KFX112" s="17"/>
      <c r="KFY112" s="17"/>
      <c r="KFZ112" s="17"/>
      <c r="KGA112" s="17"/>
      <c r="KGB112" s="17"/>
      <c r="KGC112" s="17"/>
      <c r="KGD112" s="17"/>
      <c r="KGE112" s="17"/>
      <c r="KGF112" s="17"/>
      <c r="KGG112" s="17"/>
      <c r="KGH112" s="17"/>
      <c r="KGI112" s="17"/>
      <c r="KGJ112" s="17"/>
      <c r="KGK112" s="17"/>
      <c r="KGL112" s="17"/>
      <c r="KGM112" s="17"/>
      <c r="KGN112" s="17"/>
      <c r="KGO112" s="17"/>
      <c r="KGP112" s="17"/>
      <c r="KGQ112" s="17"/>
      <c r="KGR112" s="17"/>
      <c r="KGS112" s="17"/>
      <c r="KGT112" s="17"/>
      <c r="KGU112" s="17"/>
      <c r="KGV112" s="17"/>
      <c r="KGW112" s="17"/>
      <c r="KGX112" s="17"/>
      <c r="KGY112" s="17"/>
      <c r="KGZ112" s="17"/>
      <c r="KHA112" s="17"/>
      <c r="KHB112" s="17"/>
      <c r="KHC112" s="17"/>
      <c r="KHD112" s="17"/>
      <c r="KHE112" s="17"/>
      <c r="KHF112" s="17"/>
      <c r="KHG112" s="17"/>
      <c r="KHH112" s="17"/>
      <c r="KHI112" s="17"/>
      <c r="KHJ112" s="17"/>
      <c r="KHK112" s="17"/>
      <c r="KHL112" s="17"/>
      <c r="KHM112" s="17"/>
      <c r="KHN112" s="17"/>
      <c r="KHO112" s="17"/>
      <c r="KHP112" s="17"/>
      <c r="KHQ112" s="17"/>
      <c r="KHR112" s="17"/>
      <c r="KHS112" s="17"/>
      <c r="KHT112" s="17"/>
      <c r="KHU112" s="17"/>
      <c r="KHV112" s="17"/>
      <c r="KHW112" s="17"/>
      <c r="KHX112" s="17"/>
      <c r="KHY112" s="17"/>
      <c r="KHZ112" s="17"/>
      <c r="KIA112" s="17"/>
      <c r="KIB112" s="17"/>
      <c r="KIC112" s="17"/>
      <c r="KID112" s="17"/>
      <c r="KIE112" s="17"/>
      <c r="KIF112" s="17"/>
      <c r="KIG112" s="17"/>
      <c r="KIH112" s="17"/>
      <c r="KII112" s="17"/>
      <c r="KIJ112" s="17"/>
      <c r="KIK112" s="17"/>
      <c r="KIL112" s="17"/>
      <c r="KIM112" s="17"/>
      <c r="KIN112" s="17"/>
      <c r="KIO112" s="17"/>
      <c r="KIP112" s="17"/>
      <c r="KIQ112" s="17"/>
      <c r="KIR112" s="17"/>
      <c r="KIS112" s="17"/>
      <c r="KIT112" s="17"/>
      <c r="KIU112" s="17"/>
      <c r="KIV112" s="17"/>
      <c r="KIW112" s="17"/>
      <c r="KIX112" s="17"/>
      <c r="KIY112" s="17"/>
      <c r="KIZ112" s="17"/>
      <c r="KJA112" s="17"/>
      <c r="KJB112" s="17"/>
      <c r="KJC112" s="17"/>
      <c r="KJD112" s="17"/>
      <c r="KJE112" s="17"/>
      <c r="KJF112" s="17"/>
      <c r="KJG112" s="17"/>
      <c r="KJH112" s="17"/>
      <c r="KJI112" s="17"/>
      <c r="KJJ112" s="17"/>
      <c r="KJK112" s="17"/>
      <c r="KJL112" s="17"/>
      <c r="KJM112" s="17"/>
      <c r="KJN112" s="17"/>
      <c r="KJO112" s="17"/>
      <c r="KJP112" s="17"/>
      <c r="KJQ112" s="17"/>
      <c r="KJR112" s="17"/>
      <c r="KJS112" s="17"/>
      <c r="KJT112" s="17"/>
      <c r="KJU112" s="17"/>
      <c r="KJV112" s="17"/>
      <c r="KJW112" s="17"/>
      <c r="KJX112" s="17"/>
      <c r="KJY112" s="17"/>
      <c r="KJZ112" s="17"/>
      <c r="KKA112" s="17"/>
      <c r="KKB112" s="17"/>
      <c r="KKC112" s="17"/>
      <c r="KKD112" s="17"/>
      <c r="KKE112" s="17"/>
      <c r="KKF112" s="17"/>
      <c r="KKG112" s="17"/>
      <c r="KKH112" s="17"/>
      <c r="KKI112" s="17"/>
      <c r="KKJ112" s="17"/>
      <c r="KKK112" s="17"/>
      <c r="KKL112" s="17"/>
      <c r="KKM112" s="17"/>
      <c r="KKN112" s="17"/>
      <c r="KKO112" s="17"/>
      <c r="KKP112" s="17"/>
      <c r="KKQ112" s="17"/>
      <c r="KKR112" s="17"/>
      <c r="KKS112" s="17"/>
      <c r="KKT112" s="17"/>
      <c r="KKU112" s="17"/>
      <c r="KKV112" s="17"/>
      <c r="KKW112" s="17"/>
      <c r="KKX112" s="17"/>
      <c r="KKY112" s="17"/>
      <c r="KKZ112" s="17"/>
      <c r="KLA112" s="17"/>
      <c r="KLB112" s="17"/>
      <c r="KLC112" s="17"/>
      <c r="KLD112" s="17"/>
      <c r="KLE112" s="17"/>
      <c r="KLF112" s="17"/>
      <c r="KLG112" s="17"/>
      <c r="KLH112" s="17"/>
      <c r="KLI112" s="17"/>
      <c r="KLJ112" s="17"/>
      <c r="KLK112" s="17"/>
      <c r="KLL112" s="17"/>
      <c r="KLM112" s="17"/>
      <c r="KLN112" s="17"/>
      <c r="KLO112" s="17"/>
      <c r="KLP112" s="17"/>
      <c r="KLQ112" s="17"/>
      <c r="KLR112" s="17"/>
      <c r="KLS112" s="17"/>
      <c r="KLT112" s="17"/>
      <c r="KLU112" s="17"/>
      <c r="KLV112" s="17"/>
      <c r="KLW112" s="17"/>
      <c r="KLX112" s="17"/>
      <c r="KLY112" s="17"/>
      <c r="KLZ112" s="17"/>
      <c r="KMA112" s="17"/>
      <c r="KMB112" s="17"/>
      <c r="KMC112" s="17"/>
      <c r="KMD112" s="17"/>
      <c r="KME112" s="17"/>
      <c r="KMF112" s="17"/>
      <c r="KMG112" s="17"/>
      <c r="KMH112" s="17"/>
      <c r="KMI112" s="17"/>
      <c r="KMJ112" s="17"/>
      <c r="KMK112" s="17"/>
      <c r="KML112" s="17"/>
      <c r="KMM112" s="17"/>
      <c r="KMN112" s="17"/>
      <c r="KMO112" s="17"/>
      <c r="KMP112" s="17"/>
      <c r="KMQ112" s="17"/>
      <c r="KMR112" s="17"/>
      <c r="KMS112" s="17"/>
      <c r="KMT112" s="17"/>
      <c r="KMU112" s="17"/>
      <c r="KMV112" s="17"/>
      <c r="KMW112" s="17"/>
      <c r="KMX112" s="17"/>
      <c r="KMY112" s="17"/>
      <c r="KMZ112" s="17"/>
      <c r="KNA112" s="17"/>
      <c r="KNB112" s="17"/>
      <c r="KNC112" s="17"/>
      <c r="KND112" s="17"/>
      <c r="KNE112" s="17"/>
      <c r="KNF112" s="17"/>
      <c r="KNG112" s="17"/>
      <c r="KNH112" s="17"/>
      <c r="KNI112" s="17"/>
      <c r="KNJ112" s="17"/>
      <c r="KNK112" s="17"/>
      <c r="KNL112" s="17"/>
      <c r="KNM112" s="17"/>
      <c r="KNN112" s="17"/>
      <c r="KNO112" s="17"/>
      <c r="KNP112" s="17"/>
      <c r="KNQ112" s="17"/>
      <c r="KNR112" s="17"/>
      <c r="KNS112" s="17"/>
      <c r="KNT112" s="17"/>
      <c r="KNU112" s="17"/>
      <c r="KNV112" s="17"/>
      <c r="KNW112" s="17"/>
      <c r="KNX112" s="17"/>
      <c r="KNY112" s="17"/>
      <c r="KNZ112" s="17"/>
      <c r="KOA112" s="17"/>
      <c r="KOB112" s="17"/>
      <c r="KOC112" s="17"/>
      <c r="KOD112" s="17"/>
      <c r="KOE112" s="17"/>
      <c r="KOF112" s="17"/>
      <c r="KOG112" s="17"/>
      <c r="KOH112" s="17"/>
      <c r="KOI112" s="17"/>
      <c r="KOJ112" s="17"/>
      <c r="KOK112" s="17"/>
      <c r="KOL112" s="17"/>
      <c r="KOM112" s="17"/>
      <c r="KON112" s="17"/>
      <c r="KOO112" s="17"/>
      <c r="KOP112" s="17"/>
      <c r="KOQ112" s="17"/>
      <c r="KOR112" s="17"/>
      <c r="KOS112" s="17"/>
      <c r="KOT112" s="17"/>
      <c r="KOU112" s="17"/>
      <c r="KOV112" s="17"/>
      <c r="KOW112" s="17"/>
      <c r="KOX112" s="17"/>
      <c r="KOY112" s="17"/>
      <c r="KOZ112" s="17"/>
      <c r="KPA112" s="17"/>
      <c r="KPB112" s="17"/>
      <c r="KPC112" s="17"/>
      <c r="KPD112" s="17"/>
      <c r="KPE112" s="17"/>
      <c r="KPF112" s="17"/>
      <c r="KPG112" s="17"/>
      <c r="KPH112" s="17"/>
      <c r="KPI112" s="17"/>
      <c r="KPJ112" s="17"/>
      <c r="KPK112" s="17"/>
      <c r="KPL112" s="17"/>
      <c r="KPM112" s="17"/>
      <c r="KPN112" s="17"/>
      <c r="KPO112" s="17"/>
      <c r="KPP112" s="17"/>
      <c r="KPQ112" s="17"/>
      <c r="KPR112" s="17"/>
      <c r="KPS112" s="17"/>
      <c r="KPT112" s="17"/>
      <c r="KPU112" s="17"/>
      <c r="KPV112" s="17"/>
      <c r="KPW112" s="17"/>
      <c r="KPX112" s="17"/>
      <c r="KPY112" s="17"/>
      <c r="KPZ112" s="17"/>
      <c r="KQA112" s="17"/>
      <c r="KQB112" s="17"/>
      <c r="KQC112" s="17"/>
      <c r="KQD112" s="17"/>
      <c r="KQE112" s="17"/>
      <c r="KQF112" s="17"/>
      <c r="KQG112" s="17"/>
      <c r="KQH112" s="17"/>
      <c r="KQI112" s="17"/>
      <c r="KQJ112" s="17"/>
      <c r="KQK112" s="17"/>
      <c r="KQL112" s="17"/>
      <c r="KQM112" s="17"/>
      <c r="KQN112" s="17"/>
      <c r="KQO112" s="17"/>
      <c r="KQP112" s="17"/>
      <c r="KQQ112" s="17"/>
      <c r="KQR112" s="17"/>
      <c r="KQS112" s="17"/>
      <c r="KQT112" s="17"/>
      <c r="KQU112" s="17"/>
      <c r="KQV112" s="17"/>
      <c r="KQW112" s="17"/>
      <c r="KQX112" s="17"/>
      <c r="KQY112" s="17"/>
      <c r="KQZ112" s="17"/>
      <c r="KRA112" s="17"/>
      <c r="KRB112" s="17"/>
      <c r="KRC112" s="17"/>
      <c r="KRD112" s="17"/>
      <c r="KRE112" s="17"/>
      <c r="KRF112" s="17"/>
      <c r="KRG112" s="17"/>
      <c r="KRH112" s="17"/>
      <c r="KRI112" s="17"/>
      <c r="KRJ112" s="17"/>
      <c r="KRK112" s="17"/>
      <c r="KRL112" s="17"/>
      <c r="KRM112" s="17"/>
      <c r="KRN112" s="17"/>
      <c r="KRO112" s="17"/>
      <c r="KRP112" s="17"/>
      <c r="KRQ112" s="17"/>
      <c r="KRR112" s="17"/>
      <c r="KRS112" s="17"/>
      <c r="KRT112" s="17"/>
      <c r="KRU112" s="17"/>
      <c r="KRV112" s="17"/>
      <c r="KRW112" s="17"/>
      <c r="KRX112" s="17"/>
      <c r="KRY112" s="17"/>
      <c r="KRZ112" s="17"/>
      <c r="KSA112" s="17"/>
      <c r="KSB112" s="17"/>
      <c r="KSC112" s="17"/>
      <c r="KSD112" s="17"/>
      <c r="KSE112" s="17"/>
      <c r="KSF112" s="17"/>
      <c r="KSG112" s="17"/>
      <c r="KSH112" s="17"/>
      <c r="KSI112" s="17"/>
      <c r="KSJ112" s="17"/>
      <c r="KSK112" s="17"/>
      <c r="KSL112" s="17"/>
      <c r="KSM112" s="17"/>
      <c r="KSN112" s="17"/>
      <c r="KSO112" s="17"/>
      <c r="KSP112" s="17"/>
      <c r="KSQ112" s="17"/>
      <c r="KSR112" s="17"/>
      <c r="KSS112" s="17"/>
      <c r="KST112" s="17"/>
      <c r="KSU112" s="17"/>
      <c r="KSV112" s="17"/>
      <c r="KSW112" s="17"/>
      <c r="KSX112" s="17"/>
      <c r="KSY112" s="17"/>
      <c r="KSZ112" s="17"/>
      <c r="KTA112" s="17"/>
      <c r="KTB112" s="17"/>
      <c r="KTC112" s="17"/>
      <c r="KTD112" s="17"/>
      <c r="KTE112" s="17"/>
      <c r="KTF112" s="17"/>
      <c r="KTG112" s="17"/>
      <c r="KTH112" s="17"/>
      <c r="KTI112" s="17"/>
      <c r="KTJ112" s="17"/>
      <c r="KTK112" s="17"/>
      <c r="KTL112" s="17"/>
      <c r="KTM112" s="17"/>
      <c r="KTN112" s="17"/>
      <c r="KTO112" s="17"/>
      <c r="KTP112" s="17"/>
      <c r="KTQ112" s="17"/>
      <c r="KTR112" s="17"/>
      <c r="KTS112" s="17"/>
      <c r="KTT112" s="17"/>
      <c r="KTU112" s="17"/>
      <c r="KTV112" s="17"/>
      <c r="KTW112" s="17"/>
      <c r="KTX112" s="17"/>
      <c r="KTY112" s="17"/>
      <c r="KTZ112" s="17"/>
      <c r="KUA112" s="17"/>
      <c r="KUB112" s="17"/>
      <c r="KUC112" s="17"/>
      <c r="KUD112" s="17"/>
      <c r="KUE112" s="17"/>
      <c r="KUF112" s="17"/>
      <c r="KUG112" s="17"/>
      <c r="KUH112" s="17"/>
      <c r="KUI112" s="17"/>
      <c r="KUJ112" s="17"/>
      <c r="KUK112" s="17"/>
      <c r="KUL112" s="17"/>
      <c r="KUM112" s="17"/>
      <c r="KUN112" s="17"/>
      <c r="KUO112" s="17"/>
      <c r="KUP112" s="17"/>
      <c r="KUQ112" s="17"/>
      <c r="KUR112" s="17"/>
      <c r="KUS112" s="17"/>
      <c r="KUT112" s="17"/>
      <c r="KUU112" s="17"/>
      <c r="KUV112" s="17"/>
      <c r="KUW112" s="17"/>
      <c r="KUX112" s="17"/>
      <c r="KUY112" s="17"/>
      <c r="KUZ112" s="17"/>
      <c r="KVA112" s="17"/>
      <c r="KVB112" s="17"/>
      <c r="KVC112" s="17"/>
      <c r="KVD112" s="17"/>
      <c r="KVE112" s="17"/>
      <c r="KVF112" s="17"/>
      <c r="KVG112" s="17"/>
      <c r="KVH112" s="17"/>
      <c r="KVI112" s="17"/>
      <c r="KVJ112" s="17"/>
      <c r="KVK112" s="17"/>
      <c r="KVL112" s="17"/>
      <c r="KVM112" s="17"/>
      <c r="KVN112" s="17"/>
      <c r="KVO112" s="17"/>
      <c r="KVP112" s="17"/>
      <c r="KVQ112" s="17"/>
      <c r="KVR112" s="17"/>
      <c r="KVS112" s="17"/>
      <c r="KVT112" s="17"/>
      <c r="KVU112" s="17"/>
      <c r="KVV112" s="17"/>
      <c r="KVW112" s="17"/>
      <c r="KVX112" s="17"/>
      <c r="KVY112" s="17"/>
      <c r="KVZ112" s="17"/>
      <c r="KWA112" s="17"/>
      <c r="KWB112" s="17"/>
      <c r="KWC112" s="17"/>
      <c r="KWD112" s="17"/>
      <c r="KWE112" s="17"/>
      <c r="KWF112" s="17"/>
      <c r="KWG112" s="17"/>
      <c r="KWH112" s="17"/>
      <c r="KWI112" s="17"/>
      <c r="KWJ112" s="17"/>
      <c r="KWK112" s="17"/>
      <c r="KWL112" s="17"/>
      <c r="KWM112" s="17"/>
      <c r="KWN112" s="17"/>
      <c r="KWO112" s="17"/>
      <c r="KWP112" s="17"/>
      <c r="KWQ112" s="17"/>
      <c r="KWR112" s="17"/>
      <c r="KWS112" s="17"/>
      <c r="KWT112" s="17"/>
      <c r="KWU112" s="17"/>
      <c r="KWV112" s="17"/>
      <c r="KWW112" s="17"/>
      <c r="KWX112" s="17"/>
      <c r="KWY112" s="17"/>
      <c r="KWZ112" s="17"/>
      <c r="KXA112" s="17"/>
      <c r="KXB112" s="17"/>
      <c r="KXC112" s="17"/>
      <c r="KXD112" s="17"/>
      <c r="KXE112" s="17"/>
      <c r="KXF112" s="17"/>
      <c r="KXG112" s="17"/>
      <c r="KXH112" s="17"/>
      <c r="KXI112" s="17"/>
      <c r="KXJ112" s="17"/>
      <c r="KXK112" s="17"/>
      <c r="KXL112" s="17"/>
      <c r="KXM112" s="17"/>
      <c r="KXN112" s="17"/>
      <c r="KXO112" s="17"/>
      <c r="KXP112" s="17"/>
      <c r="KXQ112" s="17"/>
      <c r="KXR112" s="17"/>
      <c r="KXS112" s="17"/>
      <c r="KXT112" s="17"/>
      <c r="KXU112" s="17"/>
      <c r="KXV112" s="17"/>
      <c r="KXW112" s="17"/>
      <c r="KXX112" s="17"/>
      <c r="KXY112" s="17"/>
      <c r="KXZ112" s="17"/>
      <c r="KYA112" s="17"/>
      <c r="KYB112" s="17"/>
      <c r="KYC112" s="17"/>
      <c r="KYD112" s="17"/>
      <c r="KYE112" s="17"/>
      <c r="KYF112" s="17"/>
      <c r="KYG112" s="17"/>
      <c r="KYH112" s="17"/>
      <c r="KYI112" s="17"/>
      <c r="KYJ112" s="17"/>
      <c r="KYK112" s="17"/>
      <c r="KYL112" s="17"/>
      <c r="KYM112" s="17"/>
      <c r="KYN112" s="17"/>
      <c r="KYO112" s="17"/>
      <c r="KYP112" s="17"/>
      <c r="KYQ112" s="17"/>
      <c r="KYR112" s="17"/>
      <c r="KYS112" s="17"/>
      <c r="KYT112" s="17"/>
      <c r="KYU112" s="17"/>
      <c r="KYV112" s="17"/>
      <c r="KYW112" s="17"/>
      <c r="KYX112" s="17"/>
      <c r="KYY112" s="17"/>
      <c r="KYZ112" s="17"/>
      <c r="KZA112" s="17"/>
      <c r="KZB112" s="17"/>
      <c r="KZC112" s="17"/>
      <c r="KZD112" s="17"/>
      <c r="KZE112" s="17"/>
      <c r="KZF112" s="17"/>
      <c r="KZG112" s="17"/>
      <c r="KZH112" s="17"/>
      <c r="KZI112" s="17"/>
      <c r="KZJ112" s="17"/>
      <c r="KZK112" s="17"/>
      <c r="KZL112" s="17"/>
      <c r="KZM112" s="17"/>
      <c r="KZN112" s="17"/>
      <c r="KZO112" s="17"/>
      <c r="KZP112" s="17"/>
      <c r="KZQ112" s="17"/>
      <c r="KZR112" s="17"/>
      <c r="KZS112" s="17"/>
      <c r="KZT112" s="17"/>
      <c r="KZU112" s="17"/>
      <c r="KZV112" s="17"/>
      <c r="KZW112" s="17"/>
      <c r="KZX112" s="17"/>
      <c r="KZY112" s="17"/>
      <c r="KZZ112" s="17"/>
      <c r="LAA112" s="17"/>
      <c r="LAB112" s="17"/>
      <c r="LAC112" s="17"/>
      <c r="LAD112" s="17"/>
      <c r="LAE112" s="17"/>
      <c r="LAF112" s="17"/>
      <c r="LAG112" s="17"/>
      <c r="LAH112" s="17"/>
      <c r="LAI112" s="17"/>
      <c r="LAJ112" s="17"/>
      <c r="LAK112" s="17"/>
      <c r="LAL112" s="17"/>
      <c r="LAM112" s="17"/>
      <c r="LAN112" s="17"/>
      <c r="LAO112" s="17"/>
      <c r="LAP112" s="17"/>
      <c r="LAQ112" s="17"/>
      <c r="LAR112" s="17"/>
      <c r="LAS112" s="17"/>
      <c r="LAT112" s="17"/>
      <c r="LAU112" s="17"/>
      <c r="LAV112" s="17"/>
      <c r="LAW112" s="17"/>
      <c r="LAX112" s="17"/>
      <c r="LAY112" s="17"/>
      <c r="LAZ112" s="17"/>
      <c r="LBA112" s="17"/>
      <c r="LBB112" s="17"/>
      <c r="LBC112" s="17"/>
      <c r="LBD112" s="17"/>
      <c r="LBE112" s="17"/>
      <c r="LBF112" s="17"/>
      <c r="LBG112" s="17"/>
      <c r="LBH112" s="17"/>
      <c r="LBI112" s="17"/>
      <c r="LBJ112" s="17"/>
      <c r="LBK112" s="17"/>
      <c r="LBL112" s="17"/>
      <c r="LBM112" s="17"/>
      <c r="LBN112" s="17"/>
      <c r="LBO112" s="17"/>
      <c r="LBP112" s="17"/>
      <c r="LBQ112" s="17"/>
      <c r="LBR112" s="17"/>
      <c r="LBS112" s="17"/>
      <c r="LBT112" s="17"/>
      <c r="LBU112" s="17"/>
      <c r="LBV112" s="17"/>
      <c r="LBW112" s="17"/>
      <c r="LBX112" s="17"/>
      <c r="LBY112" s="17"/>
      <c r="LBZ112" s="17"/>
      <c r="LCA112" s="17"/>
      <c r="LCB112" s="17"/>
      <c r="LCC112" s="17"/>
      <c r="LCD112" s="17"/>
      <c r="LCE112" s="17"/>
      <c r="LCF112" s="17"/>
      <c r="LCG112" s="17"/>
      <c r="LCH112" s="17"/>
      <c r="LCI112" s="17"/>
      <c r="LCJ112" s="17"/>
      <c r="LCK112" s="17"/>
      <c r="LCL112" s="17"/>
      <c r="LCM112" s="17"/>
      <c r="LCN112" s="17"/>
      <c r="LCO112" s="17"/>
      <c r="LCP112" s="17"/>
      <c r="LCQ112" s="17"/>
      <c r="LCR112" s="17"/>
      <c r="LCS112" s="17"/>
      <c r="LCT112" s="17"/>
      <c r="LCU112" s="17"/>
      <c r="LCV112" s="17"/>
      <c r="LCW112" s="17"/>
      <c r="LCX112" s="17"/>
      <c r="LCY112" s="17"/>
      <c r="LCZ112" s="17"/>
      <c r="LDA112" s="17"/>
      <c r="LDB112" s="17"/>
      <c r="LDC112" s="17"/>
      <c r="LDD112" s="17"/>
      <c r="LDE112" s="17"/>
      <c r="LDF112" s="17"/>
      <c r="LDG112" s="17"/>
      <c r="LDH112" s="17"/>
      <c r="LDI112" s="17"/>
      <c r="LDJ112" s="17"/>
      <c r="LDK112" s="17"/>
      <c r="LDL112" s="17"/>
      <c r="LDM112" s="17"/>
      <c r="LDN112" s="17"/>
      <c r="LDO112" s="17"/>
      <c r="LDP112" s="17"/>
      <c r="LDQ112" s="17"/>
      <c r="LDR112" s="17"/>
      <c r="LDS112" s="17"/>
      <c r="LDT112" s="17"/>
      <c r="LDU112" s="17"/>
      <c r="LDV112" s="17"/>
      <c r="LDW112" s="17"/>
      <c r="LDX112" s="17"/>
      <c r="LDY112" s="17"/>
      <c r="LDZ112" s="17"/>
      <c r="LEA112" s="17"/>
      <c r="LEB112" s="17"/>
      <c r="LEC112" s="17"/>
      <c r="LED112" s="17"/>
      <c r="LEE112" s="17"/>
      <c r="LEF112" s="17"/>
      <c r="LEG112" s="17"/>
      <c r="LEH112" s="17"/>
      <c r="LEI112" s="17"/>
      <c r="LEJ112" s="17"/>
      <c r="LEK112" s="17"/>
      <c r="LEL112" s="17"/>
      <c r="LEM112" s="17"/>
      <c r="LEN112" s="17"/>
      <c r="LEO112" s="17"/>
      <c r="LEP112" s="17"/>
      <c r="LEQ112" s="17"/>
      <c r="LER112" s="17"/>
      <c r="LES112" s="17"/>
      <c r="LET112" s="17"/>
      <c r="LEU112" s="17"/>
      <c r="LEV112" s="17"/>
      <c r="LEW112" s="17"/>
      <c r="LEX112" s="17"/>
      <c r="LEY112" s="17"/>
      <c r="LEZ112" s="17"/>
      <c r="LFA112" s="17"/>
      <c r="LFB112" s="17"/>
      <c r="LFC112" s="17"/>
      <c r="LFD112" s="17"/>
      <c r="LFE112" s="17"/>
      <c r="LFF112" s="17"/>
      <c r="LFG112" s="17"/>
      <c r="LFH112" s="17"/>
      <c r="LFI112" s="17"/>
      <c r="LFJ112" s="17"/>
      <c r="LFK112" s="17"/>
      <c r="LFL112" s="17"/>
      <c r="LFM112" s="17"/>
      <c r="LFN112" s="17"/>
      <c r="LFO112" s="17"/>
      <c r="LFP112" s="17"/>
      <c r="LFQ112" s="17"/>
      <c r="LFR112" s="17"/>
      <c r="LFS112" s="17"/>
      <c r="LFT112" s="17"/>
      <c r="LFU112" s="17"/>
      <c r="LFV112" s="17"/>
      <c r="LFW112" s="17"/>
      <c r="LFX112" s="17"/>
      <c r="LFY112" s="17"/>
      <c r="LFZ112" s="17"/>
      <c r="LGA112" s="17"/>
      <c r="LGB112" s="17"/>
      <c r="LGC112" s="17"/>
      <c r="LGD112" s="17"/>
      <c r="LGE112" s="17"/>
      <c r="LGF112" s="17"/>
      <c r="LGG112" s="17"/>
      <c r="LGH112" s="17"/>
      <c r="LGI112" s="17"/>
      <c r="LGJ112" s="17"/>
      <c r="LGK112" s="17"/>
      <c r="LGL112" s="17"/>
      <c r="LGM112" s="17"/>
      <c r="LGN112" s="17"/>
      <c r="LGO112" s="17"/>
      <c r="LGP112" s="17"/>
      <c r="LGQ112" s="17"/>
      <c r="LGR112" s="17"/>
      <c r="LGS112" s="17"/>
      <c r="LGT112" s="17"/>
      <c r="LGU112" s="17"/>
      <c r="LGV112" s="17"/>
      <c r="LGW112" s="17"/>
      <c r="LGX112" s="17"/>
      <c r="LGY112" s="17"/>
      <c r="LGZ112" s="17"/>
      <c r="LHA112" s="17"/>
      <c r="LHB112" s="17"/>
      <c r="LHC112" s="17"/>
      <c r="LHD112" s="17"/>
      <c r="LHE112" s="17"/>
      <c r="LHF112" s="17"/>
      <c r="LHG112" s="17"/>
      <c r="LHH112" s="17"/>
      <c r="LHI112" s="17"/>
      <c r="LHJ112" s="17"/>
      <c r="LHK112" s="17"/>
      <c r="LHL112" s="17"/>
      <c r="LHM112" s="17"/>
      <c r="LHN112" s="17"/>
      <c r="LHO112" s="17"/>
      <c r="LHP112" s="17"/>
      <c r="LHQ112" s="17"/>
      <c r="LHR112" s="17"/>
      <c r="LHS112" s="17"/>
      <c r="LHT112" s="17"/>
      <c r="LHU112" s="17"/>
      <c r="LHV112" s="17"/>
      <c r="LHW112" s="17"/>
      <c r="LHX112" s="17"/>
      <c r="LHY112" s="17"/>
      <c r="LHZ112" s="17"/>
      <c r="LIA112" s="17"/>
      <c r="LIB112" s="17"/>
      <c r="LIC112" s="17"/>
      <c r="LID112" s="17"/>
      <c r="LIE112" s="17"/>
      <c r="LIF112" s="17"/>
      <c r="LIG112" s="17"/>
      <c r="LIH112" s="17"/>
      <c r="LII112" s="17"/>
      <c r="LIJ112" s="17"/>
      <c r="LIK112" s="17"/>
      <c r="LIL112" s="17"/>
      <c r="LIM112" s="17"/>
      <c r="LIN112" s="17"/>
      <c r="LIO112" s="17"/>
      <c r="LIP112" s="17"/>
      <c r="LIQ112" s="17"/>
      <c r="LIR112" s="17"/>
      <c r="LIS112" s="17"/>
      <c r="LIT112" s="17"/>
      <c r="LIU112" s="17"/>
      <c r="LIV112" s="17"/>
      <c r="LIW112" s="17"/>
      <c r="LIX112" s="17"/>
      <c r="LIY112" s="17"/>
      <c r="LIZ112" s="17"/>
      <c r="LJA112" s="17"/>
      <c r="LJB112" s="17"/>
      <c r="LJC112" s="17"/>
      <c r="LJD112" s="17"/>
      <c r="LJE112" s="17"/>
      <c r="LJF112" s="17"/>
      <c r="LJG112" s="17"/>
      <c r="LJH112" s="17"/>
      <c r="LJI112" s="17"/>
      <c r="LJJ112" s="17"/>
      <c r="LJK112" s="17"/>
      <c r="LJL112" s="17"/>
      <c r="LJM112" s="17"/>
      <c r="LJN112" s="17"/>
      <c r="LJO112" s="17"/>
      <c r="LJP112" s="17"/>
      <c r="LJQ112" s="17"/>
      <c r="LJR112" s="17"/>
      <c r="LJS112" s="17"/>
      <c r="LJT112" s="17"/>
      <c r="LJU112" s="17"/>
      <c r="LJV112" s="17"/>
      <c r="LJW112" s="17"/>
      <c r="LJX112" s="17"/>
      <c r="LJY112" s="17"/>
      <c r="LJZ112" s="17"/>
      <c r="LKA112" s="17"/>
      <c r="LKB112" s="17"/>
      <c r="LKC112" s="17"/>
      <c r="LKD112" s="17"/>
      <c r="LKE112" s="17"/>
      <c r="LKF112" s="17"/>
      <c r="LKG112" s="17"/>
      <c r="LKH112" s="17"/>
      <c r="LKI112" s="17"/>
      <c r="LKJ112" s="17"/>
      <c r="LKK112" s="17"/>
      <c r="LKL112" s="17"/>
      <c r="LKM112" s="17"/>
      <c r="LKN112" s="17"/>
      <c r="LKO112" s="17"/>
      <c r="LKP112" s="17"/>
      <c r="LKQ112" s="17"/>
      <c r="LKR112" s="17"/>
      <c r="LKS112" s="17"/>
      <c r="LKT112" s="17"/>
      <c r="LKU112" s="17"/>
      <c r="LKV112" s="17"/>
      <c r="LKW112" s="17"/>
      <c r="LKX112" s="17"/>
      <c r="LKY112" s="17"/>
      <c r="LKZ112" s="17"/>
      <c r="LLA112" s="17"/>
      <c r="LLB112" s="17"/>
      <c r="LLC112" s="17"/>
      <c r="LLD112" s="17"/>
      <c r="LLE112" s="17"/>
      <c r="LLF112" s="17"/>
      <c r="LLG112" s="17"/>
      <c r="LLH112" s="17"/>
      <c r="LLI112" s="17"/>
      <c r="LLJ112" s="17"/>
      <c r="LLK112" s="17"/>
      <c r="LLL112" s="17"/>
      <c r="LLM112" s="17"/>
      <c r="LLN112" s="17"/>
      <c r="LLO112" s="17"/>
      <c r="LLP112" s="17"/>
      <c r="LLQ112" s="17"/>
      <c r="LLR112" s="17"/>
      <c r="LLS112" s="17"/>
      <c r="LLT112" s="17"/>
      <c r="LLU112" s="17"/>
      <c r="LLV112" s="17"/>
      <c r="LLW112" s="17"/>
      <c r="LLX112" s="17"/>
      <c r="LLY112" s="17"/>
      <c r="LLZ112" s="17"/>
      <c r="LMA112" s="17"/>
      <c r="LMB112" s="17"/>
      <c r="LMC112" s="17"/>
      <c r="LMD112" s="17"/>
      <c r="LME112" s="17"/>
      <c r="LMF112" s="17"/>
      <c r="LMG112" s="17"/>
      <c r="LMH112" s="17"/>
      <c r="LMI112" s="17"/>
      <c r="LMJ112" s="17"/>
      <c r="LMK112" s="17"/>
      <c r="LML112" s="17"/>
      <c r="LMM112" s="17"/>
      <c r="LMN112" s="17"/>
      <c r="LMO112" s="17"/>
      <c r="LMP112" s="17"/>
      <c r="LMQ112" s="17"/>
      <c r="LMR112" s="17"/>
      <c r="LMS112" s="17"/>
      <c r="LMT112" s="17"/>
      <c r="LMU112" s="17"/>
      <c r="LMV112" s="17"/>
      <c r="LMW112" s="17"/>
      <c r="LMX112" s="17"/>
      <c r="LMY112" s="17"/>
      <c r="LMZ112" s="17"/>
      <c r="LNA112" s="17"/>
      <c r="LNB112" s="17"/>
      <c r="LNC112" s="17"/>
      <c r="LND112" s="17"/>
      <c r="LNE112" s="17"/>
      <c r="LNF112" s="17"/>
      <c r="LNG112" s="17"/>
      <c r="LNH112" s="17"/>
      <c r="LNI112" s="17"/>
      <c r="LNJ112" s="17"/>
      <c r="LNK112" s="17"/>
      <c r="LNL112" s="17"/>
      <c r="LNM112" s="17"/>
      <c r="LNN112" s="17"/>
      <c r="LNO112" s="17"/>
      <c r="LNP112" s="17"/>
      <c r="LNQ112" s="17"/>
      <c r="LNR112" s="17"/>
      <c r="LNS112" s="17"/>
      <c r="LNT112" s="17"/>
      <c r="LNU112" s="17"/>
      <c r="LNV112" s="17"/>
      <c r="LNW112" s="17"/>
      <c r="LNX112" s="17"/>
      <c r="LNY112" s="17"/>
      <c r="LNZ112" s="17"/>
      <c r="LOA112" s="17"/>
      <c r="LOB112" s="17"/>
      <c r="LOC112" s="17"/>
      <c r="LOD112" s="17"/>
      <c r="LOE112" s="17"/>
      <c r="LOF112" s="17"/>
      <c r="LOG112" s="17"/>
      <c r="LOH112" s="17"/>
      <c r="LOI112" s="17"/>
      <c r="LOJ112" s="17"/>
      <c r="LOK112" s="17"/>
      <c r="LOL112" s="17"/>
      <c r="LOM112" s="17"/>
      <c r="LON112" s="17"/>
      <c r="LOO112" s="17"/>
      <c r="LOP112" s="17"/>
      <c r="LOQ112" s="17"/>
      <c r="LOR112" s="17"/>
      <c r="LOS112" s="17"/>
      <c r="LOT112" s="17"/>
      <c r="LOU112" s="17"/>
      <c r="LOV112" s="17"/>
      <c r="LOW112" s="17"/>
      <c r="LOX112" s="17"/>
      <c r="LOY112" s="17"/>
      <c r="LOZ112" s="17"/>
      <c r="LPA112" s="17"/>
      <c r="LPB112" s="17"/>
      <c r="LPC112" s="17"/>
      <c r="LPD112" s="17"/>
      <c r="LPE112" s="17"/>
      <c r="LPF112" s="17"/>
      <c r="LPG112" s="17"/>
      <c r="LPH112" s="17"/>
      <c r="LPI112" s="17"/>
      <c r="LPJ112" s="17"/>
      <c r="LPK112" s="17"/>
      <c r="LPL112" s="17"/>
      <c r="LPM112" s="17"/>
      <c r="LPN112" s="17"/>
      <c r="LPO112" s="17"/>
      <c r="LPP112" s="17"/>
      <c r="LPQ112" s="17"/>
      <c r="LPR112" s="17"/>
      <c r="LPS112" s="17"/>
      <c r="LPT112" s="17"/>
      <c r="LPU112" s="17"/>
      <c r="LPV112" s="17"/>
      <c r="LPW112" s="17"/>
      <c r="LPX112" s="17"/>
      <c r="LPY112" s="17"/>
      <c r="LPZ112" s="17"/>
      <c r="LQA112" s="17"/>
      <c r="LQB112" s="17"/>
      <c r="LQC112" s="17"/>
      <c r="LQD112" s="17"/>
      <c r="LQE112" s="17"/>
      <c r="LQF112" s="17"/>
      <c r="LQG112" s="17"/>
      <c r="LQH112" s="17"/>
      <c r="LQI112" s="17"/>
      <c r="LQJ112" s="17"/>
      <c r="LQK112" s="17"/>
      <c r="LQL112" s="17"/>
      <c r="LQM112" s="17"/>
      <c r="LQN112" s="17"/>
      <c r="LQO112" s="17"/>
      <c r="LQP112" s="17"/>
      <c r="LQQ112" s="17"/>
      <c r="LQR112" s="17"/>
      <c r="LQS112" s="17"/>
      <c r="LQT112" s="17"/>
      <c r="LQU112" s="17"/>
      <c r="LQV112" s="17"/>
      <c r="LQW112" s="17"/>
      <c r="LQX112" s="17"/>
      <c r="LQY112" s="17"/>
      <c r="LQZ112" s="17"/>
      <c r="LRA112" s="17"/>
      <c r="LRB112" s="17"/>
      <c r="LRC112" s="17"/>
      <c r="LRD112" s="17"/>
      <c r="LRE112" s="17"/>
      <c r="LRF112" s="17"/>
      <c r="LRG112" s="17"/>
      <c r="LRH112" s="17"/>
      <c r="LRI112" s="17"/>
      <c r="LRJ112" s="17"/>
      <c r="LRK112" s="17"/>
      <c r="LRL112" s="17"/>
      <c r="LRM112" s="17"/>
      <c r="LRN112" s="17"/>
      <c r="LRO112" s="17"/>
      <c r="LRP112" s="17"/>
      <c r="LRQ112" s="17"/>
      <c r="LRR112" s="17"/>
      <c r="LRS112" s="17"/>
      <c r="LRT112" s="17"/>
      <c r="LRU112" s="17"/>
      <c r="LRV112" s="17"/>
      <c r="LRW112" s="17"/>
      <c r="LRX112" s="17"/>
      <c r="LRY112" s="17"/>
      <c r="LRZ112" s="17"/>
      <c r="LSA112" s="17"/>
      <c r="LSB112" s="17"/>
      <c r="LSC112" s="17"/>
      <c r="LSD112" s="17"/>
      <c r="LSE112" s="17"/>
      <c r="LSF112" s="17"/>
      <c r="LSG112" s="17"/>
      <c r="LSH112" s="17"/>
      <c r="LSI112" s="17"/>
      <c r="LSJ112" s="17"/>
      <c r="LSK112" s="17"/>
      <c r="LSL112" s="17"/>
      <c r="LSM112" s="17"/>
      <c r="LSN112" s="17"/>
      <c r="LSO112" s="17"/>
      <c r="LSP112" s="17"/>
      <c r="LSQ112" s="17"/>
      <c r="LSR112" s="17"/>
      <c r="LSS112" s="17"/>
      <c r="LST112" s="17"/>
      <c r="LSU112" s="17"/>
      <c r="LSV112" s="17"/>
      <c r="LSW112" s="17"/>
      <c r="LSX112" s="17"/>
      <c r="LSY112" s="17"/>
      <c r="LSZ112" s="17"/>
      <c r="LTA112" s="17"/>
      <c r="LTB112" s="17"/>
      <c r="LTC112" s="17"/>
      <c r="LTD112" s="17"/>
      <c r="LTE112" s="17"/>
      <c r="LTF112" s="17"/>
      <c r="LTG112" s="17"/>
      <c r="LTH112" s="17"/>
      <c r="LTI112" s="17"/>
      <c r="LTJ112" s="17"/>
      <c r="LTK112" s="17"/>
      <c r="LTL112" s="17"/>
      <c r="LTM112" s="17"/>
      <c r="LTN112" s="17"/>
      <c r="LTO112" s="17"/>
      <c r="LTP112" s="17"/>
      <c r="LTQ112" s="17"/>
      <c r="LTR112" s="17"/>
      <c r="LTS112" s="17"/>
      <c r="LTT112" s="17"/>
      <c r="LTU112" s="17"/>
      <c r="LTV112" s="17"/>
      <c r="LTW112" s="17"/>
      <c r="LTX112" s="17"/>
      <c r="LTY112" s="17"/>
      <c r="LTZ112" s="17"/>
      <c r="LUA112" s="17"/>
      <c r="LUB112" s="17"/>
      <c r="LUC112" s="17"/>
      <c r="LUD112" s="17"/>
      <c r="LUE112" s="17"/>
      <c r="LUF112" s="17"/>
      <c r="LUG112" s="17"/>
      <c r="LUH112" s="17"/>
      <c r="LUI112" s="17"/>
      <c r="LUJ112" s="17"/>
      <c r="LUK112" s="17"/>
      <c r="LUL112" s="17"/>
      <c r="LUM112" s="17"/>
      <c r="LUN112" s="17"/>
      <c r="LUO112" s="17"/>
      <c r="LUP112" s="17"/>
      <c r="LUQ112" s="17"/>
      <c r="LUR112" s="17"/>
      <c r="LUS112" s="17"/>
      <c r="LUT112" s="17"/>
      <c r="LUU112" s="17"/>
      <c r="LUV112" s="17"/>
      <c r="LUW112" s="17"/>
      <c r="LUX112" s="17"/>
      <c r="LUY112" s="17"/>
      <c r="LUZ112" s="17"/>
      <c r="LVA112" s="17"/>
      <c r="LVB112" s="17"/>
      <c r="LVC112" s="17"/>
      <c r="LVD112" s="17"/>
      <c r="LVE112" s="17"/>
      <c r="LVF112" s="17"/>
      <c r="LVG112" s="17"/>
      <c r="LVH112" s="17"/>
      <c r="LVI112" s="17"/>
      <c r="LVJ112" s="17"/>
      <c r="LVK112" s="17"/>
      <c r="LVL112" s="17"/>
      <c r="LVM112" s="17"/>
      <c r="LVN112" s="17"/>
      <c r="LVO112" s="17"/>
      <c r="LVP112" s="17"/>
      <c r="LVQ112" s="17"/>
      <c r="LVR112" s="17"/>
      <c r="LVS112" s="17"/>
      <c r="LVT112" s="17"/>
      <c r="LVU112" s="17"/>
      <c r="LVV112" s="17"/>
      <c r="LVW112" s="17"/>
      <c r="LVX112" s="17"/>
      <c r="LVY112" s="17"/>
      <c r="LVZ112" s="17"/>
      <c r="LWA112" s="17"/>
      <c r="LWB112" s="17"/>
      <c r="LWC112" s="17"/>
      <c r="LWD112" s="17"/>
      <c r="LWE112" s="17"/>
      <c r="LWF112" s="17"/>
      <c r="LWG112" s="17"/>
      <c r="LWH112" s="17"/>
      <c r="LWI112" s="17"/>
      <c r="LWJ112" s="17"/>
      <c r="LWK112" s="17"/>
      <c r="LWL112" s="17"/>
      <c r="LWM112" s="17"/>
      <c r="LWN112" s="17"/>
      <c r="LWO112" s="17"/>
      <c r="LWP112" s="17"/>
      <c r="LWQ112" s="17"/>
      <c r="LWR112" s="17"/>
      <c r="LWS112" s="17"/>
      <c r="LWT112" s="17"/>
      <c r="LWU112" s="17"/>
      <c r="LWV112" s="17"/>
      <c r="LWW112" s="17"/>
      <c r="LWX112" s="17"/>
      <c r="LWY112" s="17"/>
      <c r="LWZ112" s="17"/>
      <c r="LXA112" s="17"/>
      <c r="LXB112" s="17"/>
      <c r="LXC112" s="17"/>
      <c r="LXD112" s="17"/>
      <c r="LXE112" s="17"/>
      <c r="LXF112" s="17"/>
      <c r="LXG112" s="17"/>
      <c r="LXH112" s="17"/>
      <c r="LXI112" s="17"/>
      <c r="LXJ112" s="17"/>
      <c r="LXK112" s="17"/>
      <c r="LXL112" s="17"/>
      <c r="LXM112" s="17"/>
      <c r="LXN112" s="17"/>
      <c r="LXO112" s="17"/>
      <c r="LXP112" s="17"/>
      <c r="LXQ112" s="17"/>
      <c r="LXR112" s="17"/>
      <c r="LXS112" s="17"/>
      <c r="LXT112" s="17"/>
      <c r="LXU112" s="17"/>
      <c r="LXV112" s="17"/>
      <c r="LXW112" s="17"/>
      <c r="LXX112" s="17"/>
      <c r="LXY112" s="17"/>
      <c r="LXZ112" s="17"/>
      <c r="LYA112" s="17"/>
      <c r="LYB112" s="17"/>
      <c r="LYC112" s="17"/>
      <c r="LYD112" s="17"/>
      <c r="LYE112" s="17"/>
      <c r="LYF112" s="17"/>
      <c r="LYG112" s="17"/>
      <c r="LYH112" s="17"/>
      <c r="LYI112" s="17"/>
      <c r="LYJ112" s="17"/>
      <c r="LYK112" s="17"/>
      <c r="LYL112" s="17"/>
      <c r="LYM112" s="17"/>
      <c r="LYN112" s="17"/>
      <c r="LYO112" s="17"/>
      <c r="LYP112" s="17"/>
      <c r="LYQ112" s="17"/>
      <c r="LYR112" s="17"/>
      <c r="LYS112" s="17"/>
      <c r="LYT112" s="17"/>
      <c r="LYU112" s="17"/>
      <c r="LYV112" s="17"/>
      <c r="LYW112" s="17"/>
      <c r="LYX112" s="17"/>
      <c r="LYY112" s="17"/>
      <c r="LYZ112" s="17"/>
      <c r="LZA112" s="17"/>
      <c r="LZB112" s="17"/>
      <c r="LZC112" s="17"/>
      <c r="LZD112" s="17"/>
      <c r="LZE112" s="17"/>
      <c r="LZF112" s="17"/>
      <c r="LZG112" s="17"/>
      <c r="LZH112" s="17"/>
      <c r="LZI112" s="17"/>
      <c r="LZJ112" s="17"/>
      <c r="LZK112" s="17"/>
      <c r="LZL112" s="17"/>
      <c r="LZM112" s="17"/>
      <c r="LZN112" s="17"/>
      <c r="LZO112" s="17"/>
      <c r="LZP112" s="17"/>
      <c r="LZQ112" s="17"/>
      <c r="LZR112" s="17"/>
      <c r="LZS112" s="17"/>
      <c r="LZT112" s="17"/>
      <c r="LZU112" s="17"/>
      <c r="LZV112" s="17"/>
      <c r="LZW112" s="17"/>
      <c r="LZX112" s="17"/>
      <c r="LZY112" s="17"/>
      <c r="LZZ112" s="17"/>
      <c r="MAA112" s="17"/>
      <c r="MAB112" s="17"/>
      <c r="MAC112" s="17"/>
      <c r="MAD112" s="17"/>
      <c r="MAE112" s="17"/>
      <c r="MAF112" s="17"/>
      <c r="MAG112" s="17"/>
      <c r="MAH112" s="17"/>
      <c r="MAI112" s="17"/>
      <c r="MAJ112" s="17"/>
      <c r="MAK112" s="17"/>
      <c r="MAL112" s="17"/>
      <c r="MAM112" s="17"/>
      <c r="MAN112" s="17"/>
      <c r="MAO112" s="17"/>
      <c r="MAP112" s="17"/>
      <c r="MAQ112" s="17"/>
      <c r="MAR112" s="17"/>
      <c r="MAS112" s="17"/>
      <c r="MAT112" s="17"/>
      <c r="MAU112" s="17"/>
      <c r="MAV112" s="17"/>
      <c r="MAW112" s="17"/>
      <c r="MAX112" s="17"/>
      <c r="MAY112" s="17"/>
      <c r="MAZ112" s="17"/>
      <c r="MBA112" s="17"/>
      <c r="MBB112" s="17"/>
      <c r="MBC112" s="17"/>
      <c r="MBD112" s="17"/>
      <c r="MBE112" s="17"/>
      <c r="MBF112" s="17"/>
      <c r="MBG112" s="17"/>
      <c r="MBH112" s="17"/>
      <c r="MBI112" s="17"/>
      <c r="MBJ112" s="17"/>
      <c r="MBK112" s="17"/>
      <c r="MBL112" s="17"/>
      <c r="MBM112" s="17"/>
      <c r="MBN112" s="17"/>
      <c r="MBO112" s="17"/>
      <c r="MBP112" s="17"/>
      <c r="MBQ112" s="17"/>
      <c r="MBR112" s="17"/>
      <c r="MBS112" s="17"/>
      <c r="MBT112" s="17"/>
      <c r="MBU112" s="17"/>
      <c r="MBV112" s="17"/>
      <c r="MBW112" s="17"/>
      <c r="MBX112" s="17"/>
      <c r="MBY112" s="17"/>
      <c r="MBZ112" s="17"/>
      <c r="MCA112" s="17"/>
      <c r="MCB112" s="17"/>
      <c r="MCC112" s="17"/>
      <c r="MCD112" s="17"/>
      <c r="MCE112" s="17"/>
      <c r="MCF112" s="17"/>
      <c r="MCG112" s="17"/>
      <c r="MCH112" s="17"/>
      <c r="MCI112" s="17"/>
      <c r="MCJ112" s="17"/>
      <c r="MCK112" s="17"/>
      <c r="MCL112" s="17"/>
      <c r="MCM112" s="17"/>
      <c r="MCN112" s="17"/>
      <c r="MCO112" s="17"/>
      <c r="MCP112" s="17"/>
      <c r="MCQ112" s="17"/>
      <c r="MCR112" s="17"/>
      <c r="MCS112" s="17"/>
      <c r="MCT112" s="17"/>
      <c r="MCU112" s="17"/>
      <c r="MCV112" s="17"/>
      <c r="MCW112" s="17"/>
      <c r="MCX112" s="17"/>
      <c r="MCY112" s="17"/>
      <c r="MCZ112" s="17"/>
      <c r="MDA112" s="17"/>
      <c r="MDB112" s="17"/>
      <c r="MDC112" s="17"/>
      <c r="MDD112" s="17"/>
      <c r="MDE112" s="17"/>
      <c r="MDF112" s="17"/>
      <c r="MDG112" s="17"/>
      <c r="MDH112" s="17"/>
      <c r="MDI112" s="17"/>
      <c r="MDJ112" s="17"/>
      <c r="MDK112" s="17"/>
      <c r="MDL112" s="17"/>
      <c r="MDM112" s="17"/>
      <c r="MDN112" s="17"/>
      <c r="MDO112" s="17"/>
      <c r="MDP112" s="17"/>
      <c r="MDQ112" s="17"/>
      <c r="MDR112" s="17"/>
      <c r="MDS112" s="17"/>
      <c r="MDT112" s="17"/>
      <c r="MDU112" s="17"/>
      <c r="MDV112" s="17"/>
      <c r="MDW112" s="17"/>
      <c r="MDX112" s="17"/>
      <c r="MDY112" s="17"/>
      <c r="MDZ112" s="17"/>
      <c r="MEA112" s="17"/>
      <c r="MEB112" s="17"/>
      <c r="MEC112" s="17"/>
      <c r="MED112" s="17"/>
      <c r="MEE112" s="17"/>
      <c r="MEF112" s="17"/>
      <c r="MEG112" s="17"/>
      <c r="MEH112" s="17"/>
      <c r="MEI112" s="17"/>
      <c r="MEJ112" s="17"/>
      <c r="MEK112" s="17"/>
      <c r="MEL112" s="17"/>
      <c r="MEM112" s="17"/>
      <c r="MEN112" s="17"/>
      <c r="MEO112" s="17"/>
      <c r="MEP112" s="17"/>
      <c r="MEQ112" s="17"/>
      <c r="MER112" s="17"/>
      <c r="MES112" s="17"/>
      <c r="MET112" s="17"/>
      <c r="MEU112" s="17"/>
      <c r="MEV112" s="17"/>
      <c r="MEW112" s="17"/>
      <c r="MEX112" s="17"/>
      <c r="MEY112" s="17"/>
      <c r="MEZ112" s="17"/>
      <c r="MFA112" s="17"/>
      <c r="MFB112" s="17"/>
      <c r="MFC112" s="17"/>
      <c r="MFD112" s="17"/>
      <c r="MFE112" s="17"/>
      <c r="MFF112" s="17"/>
      <c r="MFG112" s="17"/>
      <c r="MFH112" s="17"/>
      <c r="MFI112" s="17"/>
      <c r="MFJ112" s="17"/>
      <c r="MFK112" s="17"/>
      <c r="MFL112" s="17"/>
      <c r="MFM112" s="17"/>
      <c r="MFN112" s="17"/>
      <c r="MFO112" s="17"/>
      <c r="MFP112" s="17"/>
      <c r="MFQ112" s="17"/>
      <c r="MFR112" s="17"/>
      <c r="MFS112" s="17"/>
      <c r="MFT112" s="17"/>
      <c r="MFU112" s="17"/>
      <c r="MFV112" s="17"/>
      <c r="MFW112" s="17"/>
      <c r="MFX112" s="17"/>
      <c r="MFY112" s="17"/>
      <c r="MFZ112" s="17"/>
      <c r="MGA112" s="17"/>
      <c r="MGB112" s="17"/>
      <c r="MGC112" s="17"/>
      <c r="MGD112" s="17"/>
      <c r="MGE112" s="17"/>
      <c r="MGF112" s="17"/>
      <c r="MGG112" s="17"/>
      <c r="MGH112" s="17"/>
      <c r="MGI112" s="17"/>
      <c r="MGJ112" s="17"/>
      <c r="MGK112" s="17"/>
      <c r="MGL112" s="17"/>
      <c r="MGM112" s="17"/>
      <c r="MGN112" s="17"/>
      <c r="MGO112" s="17"/>
      <c r="MGP112" s="17"/>
      <c r="MGQ112" s="17"/>
      <c r="MGR112" s="17"/>
      <c r="MGS112" s="17"/>
      <c r="MGT112" s="17"/>
      <c r="MGU112" s="17"/>
      <c r="MGV112" s="17"/>
      <c r="MGW112" s="17"/>
      <c r="MGX112" s="17"/>
      <c r="MGY112" s="17"/>
      <c r="MGZ112" s="17"/>
      <c r="MHA112" s="17"/>
      <c r="MHB112" s="17"/>
      <c r="MHC112" s="17"/>
      <c r="MHD112" s="17"/>
      <c r="MHE112" s="17"/>
      <c r="MHF112" s="17"/>
      <c r="MHG112" s="17"/>
      <c r="MHH112" s="17"/>
      <c r="MHI112" s="17"/>
      <c r="MHJ112" s="17"/>
      <c r="MHK112" s="17"/>
      <c r="MHL112" s="17"/>
      <c r="MHM112" s="17"/>
      <c r="MHN112" s="17"/>
      <c r="MHO112" s="17"/>
      <c r="MHP112" s="17"/>
      <c r="MHQ112" s="17"/>
      <c r="MHR112" s="17"/>
      <c r="MHS112" s="17"/>
      <c r="MHT112" s="17"/>
      <c r="MHU112" s="17"/>
      <c r="MHV112" s="17"/>
      <c r="MHW112" s="17"/>
      <c r="MHX112" s="17"/>
      <c r="MHY112" s="17"/>
      <c r="MHZ112" s="17"/>
      <c r="MIA112" s="17"/>
      <c r="MIB112" s="17"/>
      <c r="MIC112" s="17"/>
      <c r="MID112" s="17"/>
      <c r="MIE112" s="17"/>
      <c r="MIF112" s="17"/>
      <c r="MIG112" s="17"/>
      <c r="MIH112" s="17"/>
      <c r="MII112" s="17"/>
      <c r="MIJ112" s="17"/>
      <c r="MIK112" s="17"/>
      <c r="MIL112" s="17"/>
      <c r="MIM112" s="17"/>
      <c r="MIN112" s="17"/>
      <c r="MIO112" s="17"/>
      <c r="MIP112" s="17"/>
      <c r="MIQ112" s="17"/>
      <c r="MIR112" s="17"/>
      <c r="MIS112" s="17"/>
      <c r="MIT112" s="17"/>
      <c r="MIU112" s="17"/>
      <c r="MIV112" s="17"/>
      <c r="MIW112" s="17"/>
      <c r="MIX112" s="17"/>
      <c r="MIY112" s="17"/>
      <c r="MIZ112" s="17"/>
      <c r="MJA112" s="17"/>
      <c r="MJB112" s="17"/>
      <c r="MJC112" s="17"/>
      <c r="MJD112" s="17"/>
      <c r="MJE112" s="17"/>
      <c r="MJF112" s="17"/>
      <c r="MJG112" s="17"/>
      <c r="MJH112" s="17"/>
      <c r="MJI112" s="17"/>
      <c r="MJJ112" s="17"/>
      <c r="MJK112" s="17"/>
      <c r="MJL112" s="17"/>
      <c r="MJM112" s="17"/>
      <c r="MJN112" s="17"/>
      <c r="MJO112" s="17"/>
      <c r="MJP112" s="17"/>
      <c r="MJQ112" s="17"/>
      <c r="MJR112" s="17"/>
      <c r="MJS112" s="17"/>
      <c r="MJT112" s="17"/>
      <c r="MJU112" s="17"/>
      <c r="MJV112" s="17"/>
      <c r="MJW112" s="17"/>
      <c r="MJX112" s="17"/>
      <c r="MJY112" s="17"/>
      <c r="MJZ112" s="17"/>
      <c r="MKA112" s="17"/>
      <c r="MKB112" s="17"/>
      <c r="MKC112" s="17"/>
      <c r="MKD112" s="17"/>
      <c r="MKE112" s="17"/>
      <c r="MKF112" s="17"/>
      <c r="MKG112" s="17"/>
      <c r="MKH112" s="17"/>
      <c r="MKI112" s="17"/>
      <c r="MKJ112" s="17"/>
      <c r="MKK112" s="17"/>
      <c r="MKL112" s="17"/>
      <c r="MKM112" s="17"/>
      <c r="MKN112" s="17"/>
      <c r="MKO112" s="17"/>
      <c r="MKP112" s="17"/>
      <c r="MKQ112" s="17"/>
      <c r="MKR112" s="17"/>
      <c r="MKS112" s="17"/>
      <c r="MKT112" s="17"/>
      <c r="MKU112" s="17"/>
      <c r="MKV112" s="17"/>
      <c r="MKW112" s="17"/>
      <c r="MKX112" s="17"/>
      <c r="MKY112" s="17"/>
      <c r="MKZ112" s="17"/>
      <c r="MLA112" s="17"/>
      <c r="MLB112" s="17"/>
      <c r="MLC112" s="17"/>
      <c r="MLD112" s="17"/>
      <c r="MLE112" s="17"/>
      <c r="MLF112" s="17"/>
      <c r="MLG112" s="17"/>
      <c r="MLH112" s="17"/>
      <c r="MLI112" s="17"/>
      <c r="MLJ112" s="17"/>
      <c r="MLK112" s="17"/>
      <c r="MLL112" s="17"/>
      <c r="MLM112" s="17"/>
      <c r="MLN112" s="17"/>
      <c r="MLO112" s="17"/>
      <c r="MLP112" s="17"/>
      <c r="MLQ112" s="17"/>
      <c r="MLR112" s="17"/>
      <c r="MLS112" s="17"/>
      <c r="MLT112" s="17"/>
      <c r="MLU112" s="17"/>
      <c r="MLV112" s="17"/>
      <c r="MLW112" s="17"/>
      <c r="MLX112" s="17"/>
      <c r="MLY112" s="17"/>
      <c r="MLZ112" s="17"/>
      <c r="MMA112" s="17"/>
      <c r="MMB112" s="17"/>
      <c r="MMC112" s="17"/>
      <c r="MMD112" s="17"/>
      <c r="MME112" s="17"/>
      <c r="MMF112" s="17"/>
      <c r="MMG112" s="17"/>
      <c r="MMH112" s="17"/>
      <c r="MMI112" s="17"/>
      <c r="MMJ112" s="17"/>
      <c r="MMK112" s="17"/>
      <c r="MML112" s="17"/>
      <c r="MMM112" s="17"/>
      <c r="MMN112" s="17"/>
      <c r="MMO112" s="17"/>
      <c r="MMP112" s="17"/>
      <c r="MMQ112" s="17"/>
      <c r="MMR112" s="17"/>
      <c r="MMS112" s="17"/>
      <c r="MMT112" s="17"/>
      <c r="MMU112" s="17"/>
      <c r="MMV112" s="17"/>
      <c r="MMW112" s="17"/>
      <c r="MMX112" s="17"/>
      <c r="MMY112" s="17"/>
      <c r="MMZ112" s="17"/>
      <c r="MNA112" s="17"/>
      <c r="MNB112" s="17"/>
      <c r="MNC112" s="17"/>
      <c r="MND112" s="17"/>
      <c r="MNE112" s="17"/>
      <c r="MNF112" s="17"/>
      <c r="MNG112" s="17"/>
      <c r="MNH112" s="17"/>
      <c r="MNI112" s="17"/>
      <c r="MNJ112" s="17"/>
      <c r="MNK112" s="17"/>
      <c r="MNL112" s="17"/>
      <c r="MNM112" s="17"/>
      <c r="MNN112" s="17"/>
      <c r="MNO112" s="17"/>
      <c r="MNP112" s="17"/>
      <c r="MNQ112" s="17"/>
      <c r="MNR112" s="17"/>
      <c r="MNS112" s="17"/>
      <c r="MNT112" s="17"/>
      <c r="MNU112" s="17"/>
      <c r="MNV112" s="17"/>
      <c r="MNW112" s="17"/>
      <c r="MNX112" s="17"/>
      <c r="MNY112" s="17"/>
      <c r="MNZ112" s="17"/>
      <c r="MOA112" s="17"/>
      <c r="MOB112" s="17"/>
      <c r="MOC112" s="17"/>
      <c r="MOD112" s="17"/>
      <c r="MOE112" s="17"/>
      <c r="MOF112" s="17"/>
      <c r="MOG112" s="17"/>
      <c r="MOH112" s="17"/>
      <c r="MOI112" s="17"/>
      <c r="MOJ112" s="17"/>
      <c r="MOK112" s="17"/>
      <c r="MOL112" s="17"/>
      <c r="MOM112" s="17"/>
      <c r="MON112" s="17"/>
      <c r="MOO112" s="17"/>
      <c r="MOP112" s="17"/>
      <c r="MOQ112" s="17"/>
      <c r="MOR112" s="17"/>
      <c r="MOS112" s="17"/>
      <c r="MOT112" s="17"/>
      <c r="MOU112" s="17"/>
      <c r="MOV112" s="17"/>
      <c r="MOW112" s="17"/>
      <c r="MOX112" s="17"/>
      <c r="MOY112" s="17"/>
      <c r="MOZ112" s="17"/>
      <c r="MPA112" s="17"/>
      <c r="MPB112" s="17"/>
      <c r="MPC112" s="17"/>
      <c r="MPD112" s="17"/>
      <c r="MPE112" s="17"/>
      <c r="MPF112" s="17"/>
      <c r="MPG112" s="17"/>
      <c r="MPH112" s="17"/>
      <c r="MPI112" s="17"/>
      <c r="MPJ112" s="17"/>
      <c r="MPK112" s="17"/>
      <c r="MPL112" s="17"/>
      <c r="MPM112" s="17"/>
      <c r="MPN112" s="17"/>
      <c r="MPO112" s="17"/>
      <c r="MPP112" s="17"/>
      <c r="MPQ112" s="17"/>
      <c r="MPR112" s="17"/>
      <c r="MPS112" s="17"/>
      <c r="MPT112" s="17"/>
      <c r="MPU112" s="17"/>
      <c r="MPV112" s="17"/>
      <c r="MPW112" s="17"/>
      <c r="MPX112" s="17"/>
      <c r="MPY112" s="17"/>
      <c r="MPZ112" s="17"/>
      <c r="MQA112" s="17"/>
      <c r="MQB112" s="17"/>
      <c r="MQC112" s="17"/>
      <c r="MQD112" s="17"/>
      <c r="MQE112" s="17"/>
      <c r="MQF112" s="17"/>
      <c r="MQG112" s="17"/>
      <c r="MQH112" s="17"/>
      <c r="MQI112" s="17"/>
      <c r="MQJ112" s="17"/>
      <c r="MQK112" s="17"/>
      <c r="MQL112" s="17"/>
      <c r="MQM112" s="17"/>
      <c r="MQN112" s="17"/>
      <c r="MQO112" s="17"/>
      <c r="MQP112" s="17"/>
      <c r="MQQ112" s="17"/>
      <c r="MQR112" s="17"/>
      <c r="MQS112" s="17"/>
      <c r="MQT112" s="17"/>
      <c r="MQU112" s="17"/>
      <c r="MQV112" s="17"/>
      <c r="MQW112" s="17"/>
      <c r="MQX112" s="17"/>
      <c r="MQY112" s="17"/>
      <c r="MQZ112" s="17"/>
      <c r="MRA112" s="17"/>
      <c r="MRB112" s="17"/>
      <c r="MRC112" s="17"/>
      <c r="MRD112" s="17"/>
      <c r="MRE112" s="17"/>
      <c r="MRF112" s="17"/>
      <c r="MRG112" s="17"/>
      <c r="MRH112" s="17"/>
      <c r="MRI112" s="17"/>
      <c r="MRJ112" s="17"/>
      <c r="MRK112" s="17"/>
      <c r="MRL112" s="17"/>
      <c r="MRM112" s="17"/>
      <c r="MRN112" s="17"/>
      <c r="MRO112" s="17"/>
      <c r="MRP112" s="17"/>
      <c r="MRQ112" s="17"/>
      <c r="MRR112" s="17"/>
      <c r="MRS112" s="17"/>
      <c r="MRT112" s="17"/>
      <c r="MRU112" s="17"/>
      <c r="MRV112" s="17"/>
      <c r="MRW112" s="17"/>
      <c r="MRX112" s="17"/>
      <c r="MRY112" s="17"/>
      <c r="MRZ112" s="17"/>
      <c r="MSA112" s="17"/>
      <c r="MSB112" s="17"/>
      <c r="MSC112" s="17"/>
      <c r="MSD112" s="17"/>
      <c r="MSE112" s="17"/>
      <c r="MSF112" s="17"/>
      <c r="MSG112" s="17"/>
      <c r="MSH112" s="17"/>
      <c r="MSI112" s="17"/>
      <c r="MSJ112" s="17"/>
      <c r="MSK112" s="17"/>
      <c r="MSL112" s="17"/>
      <c r="MSM112" s="17"/>
      <c r="MSN112" s="17"/>
      <c r="MSO112" s="17"/>
      <c r="MSP112" s="17"/>
      <c r="MSQ112" s="17"/>
      <c r="MSR112" s="17"/>
      <c r="MSS112" s="17"/>
      <c r="MST112" s="17"/>
      <c r="MSU112" s="17"/>
      <c r="MSV112" s="17"/>
      <c r="MSW112" s="17"/>
      <c r="MSX112" s="17"/>
      <c r="MSY112" s="17"/>
      <c r="MSZ112" s="17"/>
      <c r="MTA112" s="17"/>
      <c r="MTB112" s="17"/>
      <c r="MTC112" s="17"/>
      <c r="MTD112" s="17"/>
      <c r="MTE112" s="17"/>
      <c r="MTF112" s="17"/>
      <c r="MTG112" s="17"/>
      <c r="MTH112" s="17"/>
      <c r="MTI112" s="17"/>
      <c r="MTJ112" s="17"/>
      <c r="MTK112" s="17"/>
      <c r="MTL112" s="17"/>
      <c r="MTM112" s="17"/>
      <c r="MTN112" s="17"/>
      <c r="MTO112" s="17"/>
      <c r="MTP112" s="17"/>
      <c r="MTQ112" s="17"/>
      <c r="MTR112" s="17"/>
      <c r="MTS112" s="17"/>
      <c r="MTT112" s="17"/>
      <c r="MTU112" s="17"/>
      <c r="MTV112" s="17"/>
      <c r="MTW112" s="17"/>
      <c r="MTX112" s="17"/>
      <c r="MTY112" s="17"/>
      <c r="MTZ112" s="17"/>
      <c r="MUA112" s="17"/>
      <c r="MUB112" s="17"/>
      <c r="MUC112" s="17"/>
      <c r="MUD112" s="17"/>
      <c r="MUE112" s="17"/>
      <c r="MUF112" s="17"/>
      <c r="MUG112" s="17"/>
      <c r="MUH112" s="17"/>
      <c r="MUI112" s="17"/>
      <c r="MUJ112" s="17"/>
      <c r="MUK112" s="17"/>
      <c r="MUL112" s="17"/>
      <c r="MUM112" s="17"/>
      <c r="MUN112" s="17"/>
      <c r="MUO112" s="17"/>
      <c r="MUP112" s="17"/>
      <c r="MUQ112" s="17"/>
      <c r="MUR112" s="17"/>
      <c r="MUS112" s="17"/>
      <c r="MUT112" s="17"/>
      <c r="MUU112" s="17"/>
      <c r="MUV112" s="17"/>
      <c r="MUW112" s="17"/>
      <c r="MUX112" s="17"/>
      <c r="MUY112" s="17"/>
      <c r="MUZ112" s="17"/>
      <c r="MVA112" s="17"/>
      <c r="MVB112" s="17"/>
      <c r="MVC112" s="17"/>
      <c r="MVD112" s="17"/>
      <c r="MVE112" s="17"/>
      <c r="MVF112" s="17"/>
      <c r="MVG112" s="17"/>
      <c r="MVH112" s="17"/>
      <c r="MVI112" s="17"/>
      <c r="MVJ112" s="17"/>
      <c r="MVK112" s="17"/>
      <c r="MVL112" s="17"/>
      <c r="MVM112" s="17"/>
      <c r="MVN112" s="17"/>
      <c r="MVO112" s="17"/>
      <c r="MVP112" s="17"/>
      <c r="MVQ112" s="17"/>
      <c r="MVR112" s="17"/>
      <c r="MVS112" s="17"/>
      <c r="MVT112" s="17"/>
      <c r="MVU112" s="17"/>
      <c r="MVV112" s="17"/>
      <c r="MVW112" s="17"/>
      <c r="MVX112" s="17"/>
      <c r="MVY112" s="17"/>
      <c r="MVZ112" s="17"/>
      <c r="MWA112" s="17"/>
      <c r="MWB112" s="17"/>
      <c r="MWC112" s="17"/>
      <c r="MWD112" s="17"/>
      <c r="MWE112" s="17"/>
      <c r="MWF112" s="17"/>
      <c r="MWG112" s="17"/>
      <c r="MWH112" s="17"/>
      <c r="MWI112" s="17"/>
      <c r="MWJ112" s="17"/>
      <c r="MWK112" s="17"/>
      <c r="MWL112" s="17"/>
      <c r="MWM112" s="17"/>
      <c r="MWN112" s="17"/>
      <c r="MWO112" s="17"/>
      <c r="MWP112" s="17"/>
      <c r="MWQ112" s="17"/>
      <c r="MWR112" s="17"/>
      <c r="MWS112" s="17"/>
      <c r="MWT112" s="17"/>
      <c r="MWU112" s="17"/>
      <c r="MWV112" s="17"/>
      <c r="MWW112" s="17"/>
      <c r="MWX112" s="17"/>
      <c r="MWY112" s="17"/>
      <c r="MWZ112" s="17"/>
      <c r="MXA112" s="17"/>
      <c r="MXB112" s="17"/>
      <c r="MXC112" s="17"/>
      <c r="MXD112" s="17"/>
      <c r="MXE112" s="17"/>
      <c r="MXF112" s="17"/>
      <c r="MXG112" s="17"/>
      <c r="MXH112" s="17"/>
      <c r="MXI112" s="17"/>
      <c r="MXJ112" s="17"/>
      <c r="MXK112" s="17"/>
      <c r="MXL112" s="17"/>
      <c r="MXM112" s="17"/>
      <c r="MXN112" s="17"/>
      <c r="MXO112" s="17"/>
      <c r="MXP112" s="17"/>
      <c r="MXQ112" s="17"/>
      <c r="MXR112" s="17"/>
      <c r="MXS112" s="17"/>
      <c r="MXT112" s="17"/>
      <c r="MXU112" s="17"/>
      <c r="MXV112" s="17"/>
      <c r="MXW112" s="17"/>
      <c r="MXX112" s="17"/>
      <c r="MXY112" s="17"/>
      <c r="MXZ112" s="17"/>
      <c r="MYA112" s="17"/>
      <c r="MYB112" s="17"/>
      <c r="MYC112" s="17"/>
      <c r="MYD112" s="17"/>
      <c r="MYE112" s="17"/>
      <c r="MYF112" s="17"/>
      <c r="MYG112" s="17"/>
      <c r="MYH112" s="17"/>
      <c r="MYI112" s="17"/>
      <c r="MYJ112" s="17"/>
      <c r="MYK112" s="17"/>
      <c r="MYL112" s="17"/>
      <c r="MYM112" s="17"/>
      <c r="MYN112" s="17"/>
      <c r="MYO112" s="17"/>
      <c r="MYP112" s="17"/>
      <c r="MYQ112" s="17"/>
      <c r="MYR112" s="17"/>
      <c r="MYS112" s="17"/>
      <c r="MYT112" s="17"/>
      <c r="MYU112" s="17"/>
      <c r="MYV112" s="17"/>
      <c r="MYW112" s="17"/>
      <c r="MYX112" s="17"/>
      <c r="MYY112" s="17"/>
      <c r="MYZ112" s="17"/>
      <c r="MZA112" s="17"/>
      <c r="MZB112" s="17"/>
      <c r="MZC112" s="17"/>
      <c r="MZD112" s="17"/>
      <c r="MZE112" s="17"/>
      <c r="MZF112" s="17"/>
      <c r="MZG112" s="17"/>
      <c r="MZH112" s="17"/>
      <c r="MZI112" s="17"/>
      <c r="MZJ112" s="17"/>
      <c r="MZK112" s="17"/>
      <c r="MZL112" s="17"/>
      <c r="MZM112" s="17"/>
      <c r="MZN112" s="17"/>
      <c r="MZO112" s="17"/>
      <c r="MZP112" s="17"/>
      <c r="MZQ112" s="17"/>
      <c r="MZR112" s="17"/>
      <c r="MZS112" s="17"/>
      <c r="MZT112" s="17"/>
      <c r="MZU112" s="17"/>
      <c r="MZV112" s="17"/>
      <c r="MZW112" s="17"/>
      <c r="MZX112" s="17"/>
      <c r="MZY112" s="17"/>
      <c r="MZZ112" s="17"/>
      <c r="NAA112" s="17"/>
      <c r="NAB112" s="17"/>
      <c r="NAC112" s="17"/>
      <c r="NAD112" s="17"/>
      <c r="NAE112" s="17"/>
      <c r="NAF112" s="17"/>
      <c r="NAG112" s="17"/>
      <c r="NAH112" s="17"/>
      <c r="NAI112" s="17"/>
      <c r="NAJ112" s="17"/>
      <c r="NAK112" s="17"/>
      <c r="NAL112" s="17"/>
      <c r="NAM112" s="17"/>
      <c r="NAN112" s="17"/>
      <c r="NAO112" s="17"/>
      <c r="NAP112" s="17"/>
      <c r="NAQ112" s="17"/>
      <c r="NAR112" s="17"/>
      <c r="NAS112" s="17"/>
      <c r="NAT112" s="17"/>
      <c r="NAU112" s="17"/>
      <c r="NAV112" s="17"/>
      <c r="NAW112" s="17"/>
      <c r="NAX112" s="17"/>
      <c r="NAY112" s="17"/>
      <c r="NAZ112" s="17"/>
      <c r="NBA112" s="17"/>
      <c r="NBB112" s="17"/>
      <c r="NBC112" s="17"/>
      <c r="NBD112" s="17"/>
      <c r="NBE112" s="17"/>
      <c r="NBF112" s="17"/>
      <c r="NBG112" s="17"/>
      <c r="NBH112" s="17"/>
      <c r="NBI112" s="17"/>
      <c r="NBJ112" s="17"/>
      <c r="NBK112" s="17"/>
      <c r="NBL112" s="17"/>
      <c r="NBM112" s="17"/>
      <c r="NBN112" s="17"/>
      <c r="NBO112" s="17"/>
      <c r="NBP112" s="17"/>
      <c r="NBQ112" s="17"/>
      <c r="NBR112" s="17"/>
      <c r="NBS112" s="17"/>
      <c r="NBT112" s="17"/>
      <c r="NBU112" s="17"/>
      <c r="NBV112" s="17"/>
      <c r="NBW112" s="17"/>
      <c r="NBX112" s="17"/>
      <c r="NBY112" s="17"/>
      <c r="NBZ112" s="17"/>
      <c r="NCA112" s="17"/>
      <c r="NCB112" s="17"/>
      <c r="NCC112" s="17"/>
      <c r="NCD112" s="17"/>
      <c r="NCE112" s="17"/>
      <c r="NCF112" s="17"/>
      <c r="NCG112" s="17"/>
      <c r="NCH112" s="17"/>
      <c r="NCI112" s="17"/>
      <c r="NCJ112" s="17"/>
      <c r="NCK112" s="17"/>
      <c r="NCL112" s="17"/>
      <c r="NCM112" s="17"/>
      <c r="NCN112" s="17"/>
      <c r="NCO112" s="17"/>
      <c r="NCP112" s="17"/>
      <c r="NCQ112" s="17"/>
      <c r="NCR112" s="17"/>
      <c r="NCS112" s="17"/>
      <c r="NCT112" s="17"/>
      <c r="NCU112" s="17"/>
      <c r="NCV112" s="17"/>
      <c r="NCW112" s="17"/>
      <c r="NCX112" s="17"/>
      <c r="NCY112" s="17"/>
      <c r="NCZ112" s="17"/>
      <c r="NDA112" s="17"/>
      <c r="NDB112" s="17"/>
      <c r="NDC112" s="17"/>
      <c r="NDD112" s="17"/>
      <c r="NDE112" s="17"/>
      <c r="NDF112" s="17"/>
      <c r="NDG112" s="17"/>
      <c r="NDH112" s="17"/>
      <c r="NDI112" s="17"/>
      <c r="NDJ112" s="17"/>
      <c r="NDK112" s="17"/>
      <c r="NDL112" s="17"/>
      <c r="NDM112" s="17"/>
      <c r="NDN112" s="17"/>
      <c r="NDO112" s="17"/>
      <c r="NDP112" s="17"/>
      <c r="NDQ112" s="17"/>
      <c r="NDR112" s="17"/>
      <c r="NDS112" s="17"/>
      <c r="NDT112" s="17"/>
      <c r="NDU112" s="17"/>
      <c r="NDV112" s="17"/>
      <c r="NDW112" s="17"/>
      <c r="NDX112" s="17"/>
      <c r="NDY112" s="17"/>
      <c r="NDZ112" s="17"/>
      <c r="NEA112" s="17"/>
      <c r="NEB112" s="17"/>
      <c r="NEC112" s="17"/>
      <c r="NED112" s="17"/>
      <c r="NEE112" s="17"/>
      <c r="NEF112" s="17"/>
      <c r="NEG112" s="17"/>
      <c r="NEH112" s="17"/>
      <c r="NEI112" s="17"/>
      <c r="NEJ112" s="17"/>
      <c r="NEK112" s="17"/>
      <c r="NEL112" s="17"/>
      <c r="NEM112" s="17"/>
      <c r="NEN112" s="17"/>
      <c r="NEO112" s="17"/>
      <c r="NEP112" s="17"/>
      <c r="NEQ112" s="17"/>
      <c r="NER112" s="17"/>
      <c r="NES112" s="17"/>
      <c r="NET112" s="17"/>
      <c r="NEU112" s="17"/>
      <c r="NEV112" s="17"/>
      <c r="NEW112" s="17"/>
      <c r="NEX112" s="17"/>
      <c r="NEY112" s="17"/>
      <c r="NEZ112" s="17"/>
      <c r="NFA112" s="17"/>
      <c r="NFB112" s="17"/>
      <c r="NFC112" s="17"/>
      <c r="NFD112" s="17"/>
      <c r="NFE112" s="17"/>
      <c r="NFF112" s="17"/>
      <c r="NFG112" s="17"/>
      <c r="NFH112" s="17"/>
      <c r="NFI112" s="17"/>
      <c r="NFJ112" s="17"/>
      <c r="NFK112" s="17"/>
      <c r="NFL112" s="17"/>
      <c r="NFM112" s="17"/>
      <c r="NFN112" s="17"/>
      <c r="NFO112" s="17"/>
      <c r="NFP112" s="17"/>
      <c r="NFQ112" s="17"/>
      <c r="NFR112" s="17"/>
      <c r="NFS112" s="17"/>
      <c r="NFT112" s="17"/>
      <c r="NFU112" s="17"/>
      <c r="NFV112" s="17"/>
      <c r="NFW112" s="17"/>
      <c r="NFX112" s="17"/>
      <c r="NFY112" s="17"/>
      <c r="NFZ112" s="17"/>
      <c r="NGA112" s="17"/>
      <c r="NGB112" s="17"/>
      <c r="NGC112" s="17"/>
      <c r="NGD112" s="17"/>
      <c r="NGE112" s="17"/>
      <c r="NGF112" s="17"/>
      <c r="NGG112" s="17"/>
      <c r="NGH112" s="17"/>
      <c r="NGI112" s="17"/>
      <c r="NGJ112" s="17"/>
      <c r="NGK112" s="17"/>
      <c r="NGL112" s="17"/>
      <c r="NGM112" s="17"/>
      <c r="NGN112" s="17"/>
      <c r="NGO112" s="17"/>
      <c r="NGP112" s="17"/>
      <c r="NGQ112" s="17"/>
      <c r="NGR112" s="17"/>
      <c r="NGS112" s="17"/>
      <c r="NGT112" s="17"/>
      <c r="NGU112" s="17"/>
      <c r="NGV112" s="17"/>
      <c r="NGW112" s="17"/>
      <c r="NGX112" s="17"/>
      <c r="NGY112" s="17"/>
      <c r="NGZ112" s="17"/>
      <c r="NHA112" s="17"/>
      <c r="NHB112" s="17"/>
      <c r="NHC112" s="17"/>
      <c r="NHD112" s="17"/>
      <c r="NHE112" s="17"/>
      <c r="NHF112" s="17"/>
      <c r="NHG112" s="17"/>
      <c r="NHH112" s="17"/>
      <c r="NHI112" s="17"/>
      <c r="NHJ112" s="17"/>
      <c r="NHK112" s="17"/>
      <c r="NHL112" s="17"/>
      <c r="NHM112" s="17"/>
      <c r="NHN112" s="17"/>
      <c r="NHO112" s="17"/>
      <c r="NHP112" s="17"/>
      <c r="NHQ112" s="17"/>
      <c r="NHR112" s="17"/>
      <c r="NHS112" s="17"/>
      <c r="NHT112" s="17"/>
      <c r="NHU112" s="17"/>
      <c r="NHV112" s="17"/>
      <c r="NHW112" s="17"/>
      <c r="NHX112" s="17"/>
      <c r="NHY112" s="17"/>
      <c r="NHZ112" s="17"/>
      <c r="NIA112" s="17"/>
      <c r="NIB112" s="17"/>
      <c r="NIC112" s="17"/>
      <c r="NID112" s="17"/>
      <c r="NIE112" s="17"/>
      <c r="NIF112" s="17"/>
      <c r="NIG112" s="17"/>
      <c r="NIH112" s="17"/>
      <c r="NII112" s="17"/>
      <c r="NIJ112" s="17"/>
      <c r="NIK112" s="17"/>
      <c r="NIL112" s="17"/>
      <c r="NIM112" s="17"/>
      <c r="NIN112" s="17"/>
      <c r="NIO112" s="17"/>
      <c r="NIP112" s="17"/>
      <c r="NIQ112" s="17"/>
      <c r="NIR112" s="17"/>
      <c r="NIS112" s="17"/>
      <c r="NIT112" s="17"/>
      <c r="NIU112" s="17"/>
      <c r="NIV112" s="17"/>
      <c r="NIW112" s="17"/>
      <c r="NIX112" s="17"/>
      <c r="NIY112" s="17"/>
      <c r="NIZ112" s="17"/>
      <c r="NJA112" s="17"/>
      <c r="NJB112" s="17"/>
      <c r="NJC112" s="17"/>
      <c r="NJD112" s="17"/>
      <c r="NJE112" s="17"/>
      <c r="NJF112" s="17"/>
      <c r="NJG112" s="17"/>
      <c r="NJH112" s="17"/>
      <c r="NJI112" s="17"/>
      <c r="NJJ112" s="17"/>
      <c r="NJK112" s="17"/>
      <c r="NJL112" s="17"/>
      <c r="NJM112" s="17"/>
      <c r="NJN112" s="17"/>
      <c r="NJO112" s="17"/>
      <c r="NJP112" s="17"/>
      <c r="NJQ112" s="17"/>
      <c r="NJR112" s="17"/>
      <c r="NJS112" s="17"/>
      <c r="NJT112" s="17"/>
      <c r="NJU112" s="17"/>
      <c r="NJV112" s="17"/>
      <c r="NJW112" s="17"/>
      <c r="NJX112" s="17"/>
      <c r="NJY112" s="17"/>
      <c r="NJZ112" s="17"/>
      <c r="NKA112" s="17"/>
      <c r="NKB112" s="17"/>
      <c r="NKC112" s="17"/>
      <c r="NKD112" s="17"/>
      <c r="NKE112" s="17"/>
      <c r="NKF112" s="17"/>
      <c r="NKG112" s="17"/>
      <c r="NKH112" s="17"/>
      <c r="NKI112" s="17"/>
      <c r="NKJ112" s="17"/>
      <c r="NKK112" s="17"/>
      <c r="NKL112" s="17"/>
      <c r="NKM112" s="17"/>
      <c r="NKN112" s="17"/>
      <c r="NKO112" s="17"/>
      <c r="NKP112" s="17"/>
      <c r="NKQ112" s="17"/>
      <c r="NKR112" s="17"/>
      <c r="NKS112" s="17"/>
      <c r="NKT112" s="17"/>
      <c r="NKU112" s="17"/>
      <c r="NKV112" s="17"/>
      <c r="NKW112" s="17"/>
      <c r="NKX112" s="17"/>
      <c r="NKY112" s="17"/>
      <c r="NKZ112" s="17"/>
      <c r="NLA112" s="17"/>
      <c r="NLB112" s="17"/>
      <c r="NLC112" s="17"/>
      <c r="NLD112" s="17"/>
      <c r="NLE112" s="17"/>
      <c r="NLF112" s="17"/>
      <c r="NLG112" s="17"/>
      <c r="NLH112" s="17"/>
      <c r="NLI112" s="17"/>
      <c r="NLJ112" s="17"/>
      <c r="NLK112" s="17"/>
      <c r="NLL112" s="17"/>
      <c r="NLM112" s="17"/>
      <c r="NLN112" s="17"/>
      <c r="NLO112" s="17"/>
      <c r="NLP112" s="17"/>
      <c r="NLQ112" s="17"/>
      <c r="NLR112" s="17"/>
      <c r="NLS112" s="17"/>
      <c r="NLT112" s="17"/>
      <c r="NLU112" s="17"/>
      <c r="NLV112" s="17"/>
      <c r="NLW112" s="17"/>
      <c r="NLX112" s="17"/>
      <c r="NLY112" s="17"/>
      <c r="NLZ112" s="17"/>
      <c r="NMA112" s="17"/>
      <c r="NMB112" s="17"/>
      <c r="NMC112" s="17"/>
      <c r="NMD112" s="17"/>
      <c r="NME112" s="17"/>
      <c r="NMF112" s="17"/>
      <c r="NMG112" s="17"/>
      <c r="NMH112" s="17"/>
      <c r="NMI112" s="17"/>
      <c r="NMJ112" s="17"/>
      <c r="NMK112" s="17"/>
      <c r="NML112" s="17"/>
      <c r="NMM112" s="17"/>
      <c r="NMN112" s="17"/>
      <c r="NMO112" s="17"/>
      <c r="NMP112" s="17"/>
      <c r="NMQ112" s="17"/>
      <c r="NMR112" s="17"/>
      <c r="NMS112" s="17"/>
      <c r="NMT112" s="17"/>
      <c r="NMU112" s="17"/>
      <c r="NMV112" s="17"/>
      <c r="NMW112" s="17"/>
      <c r="NMX112" s="17"/>
      <c r="NMY112" s="17"/>
      <c r="NMZ112" s="17"/>
      <c r="NNA112" s="17"/>
      <c r="NNB112" s="17"/>
      <c r="NNC112" s="17"/>
      <c r="NND112" s="17"/>
      <c r="NNE112" s="17"/>
      <c r="NNF112" s="17"/>
      <c r="NNG112" s="17"/>
      <c r="NNH112" s="17"/>
      <c r="NNI112" s="17"/>
      <c r="NNJ112" s="17"/>
      <c r="NNK112" s="17"/>
      <c r="NNL112" s="17"/>
      <c r="NNM112" s="17"/>
      <c r="NNN112" s="17"/>
      <c r="NNO112" s="17"/>
      <c r="NNP112" s="17"/>
      <c r="NNQ112" s="17"/>
      <c r="NNR112" s="17"/>
      <c r="NNS112" s="17"/>
      <c r="NNT112" s="17"/>
      <c r="NNU112" s="17"/>
      <c r="NNV112" s="17"/>
      <c r="NNW112" s="17"/>
      <c r="NNX112" s="17"/>
      <c r="NNY112" s="17"/>
      <c r="NNZ112" s="17"/>
      <c r="NOA112" s="17"/>
      <c r="NOB112" s="17"/>
      <c r="NOC112" s="17"/>
      <c r="NOD112" s="17"/>
      <c r="NOE112" s="17"/>
      <c r="NOF112" s="17"/>
      <c r="NOG112" s="17"/>
      <c r="NOH112" s="17"/>
      <c r="NOI112" s="17"/>
      <c r="NOJ112" s="17"/>
      <c r="NOK112" s="17"/>
      <c r="NOL112" s="17"/>
      <c r="NOM112" s="17"/>
      <c r="NON112" s="17"/>
      <c r="NOO112" s="17"/>
      <c r="NOP112" s="17"/>
      <c r="NOQ112" s="17"/>
      <c r="NOR112" s="17"/>
      <c r="NOS112" s="17"/>
      <c r="NOT112" s="17"/>
      <c r="NOU112" s="17"/>
      <c r="NOV112" s="17"/>
      <c r="NOW112" s="17"/>
      <c r="NOX112" s="17"/>
      <c r="NOY112" s="17"/>
      <c r="NOZ112" s="17"/>
      <c r="NPA112" s="17"/>
      <c r="NPB112" s="17"/>
      <c r="NPC112" s="17"/>
      <c r="NPD112" s="17"/>
      <c r="NPE112" s="17"/>
      <c r="NPF112" s="17"/>
      <c r="NPG112" s="17"/>
      <c r="NPH112" s="17"/>
      <c r="NPI112" s="17"/>
      <c r="NPJ112" s="17"/>
      <c r="NPK112" s="17"/>
      <c r="NPL112" s="17"/>
      <c r="NPM112" s="17"/>
      <c r="NPN112" s="17"/>
      <c r="NPO112" s="17"/>
      <c r="NPP112" s="17"/>
      <c r="NPQ112" s="17"/>
      <c r="NPR112" s="17"/>
      <c r="NPS112" s="17"/>
      <c r="NPT112" s="17"/>
      <c r="NPU112" s="17"/>
      <c r="NPV112" s="17"/>
      <c r="NPW112" s="17"/>
      <c r="NPX112" s="17"/>
      <c r="NPY112" s="17"/>
      <c r="NPZ112" s="17"/>
      <c r="NQA112" s="17"/>
      <c r="NQB112" s="17"/>
      <c r="NQC112" s="17"/>
      <c r="NQD112" s="17"/>
      <c r="NQE112" s="17"/>
      <c r="NQF112" s="17"/>
      <c r="NQG112" s="17"/>
      <c r="NQH112" s="17"/>
      <c r="NQI112" s="17"/>
      <c r="NQJ112" s="17"/>
      <c r="NQK112" s="17"/>
      <c r="NQL112" s="17"/>
      <c r="NQM112" s="17"/>
      <c r="NQN112" s="17"/>
      <c r="NQO112" s="17"/>
      <c r="NQP112" s="17"/>
      <c r="NQQ112" s="17"/>
      <c r="NQR112" s="17"/>
      <c r="NQS112" s="17"/>
      <c r="NQT112" s="17"/>
      <c r="NQU112" s="17"/>
      <c r="NQV112" s="17"/>
      <c r="NQW112" s="17"/>
      <c r="NQX112" s="17"/>
      <c r="NQY112" s="17"/>
      <c r="NQZ112" s="17"/>
      <c r="NRA112" s="17"/>
      <c r="NRB112" s="17"/>
      <c r="NRC112" s="17"/>
      <c r="NRD112" s="17"/>
      <c r="NRE112" s="17"/>
      <c r="NRF112" s="17"/>
      <c r="NRG112" s="17"/>
      <c r="NRH112" s="17"/>
      <c r="NRI112" s="17"/>
      <c r="NRJ112" s="17"/>
      <c r="NRK112" s="17"/>
      <c r="NRL112" s="17"/>
      <c r="NRM112" s="17"/>
      <c r="NRN112" s="17"/>
      <c r="NRO112" s="17"/>
      <c r="NRP112" s="17"/>
      <c r="NRQ112" s="17"/>
      <c r="NRR112" s="17"/>
      <c r="NRS112" s="17"/>
      <c r="NRT112" s="17"/>
      <c r="NRU112" s="17"/>
      <c r="NRV112" s="17"/>
      <c r="NRW112" s="17"/>
      <c r="NRX112" s="17"/>
      <c r="NRY112" s="17"/>
      <c r="NRZ112" s="17"/>
      <c r="NSA112" s="17"/>
      <c r="NSB112" s="17"/>
      <c r="NSC112" s="17"/>
      <c r="NSD112" s="17"/>
      <c r="NSE112" s="17"/>
      <c r="NSF112" s="17"/>
      <c r="NSG112" s="17"/>
      <c r="NSH112" s="17"/>
      <c r="NSI112" s="17"/>
      <c r="NSJ112" s="17"/>
      <c r="NSK112" s="17"/>
      <c r="NSL112" s="17"/>
      <c r="NSM112" s="17"/>
      <c r="NSN112" s="17"/>
      <c r="NSO112" s="17"/>
      <c r="NSP112" s="17"/>
      <c r="NSQ112" s="17"/>
      <c r="NSR112" s="17"/>
      <c r="NSS112" s="17"/>
      <c r="NST112" s="17"/>
      <c r="NSU112" s="17"/>
      <c r="NSV112" s="17"/>
      <c r="NSW112" s="17"/>
      <c r="NSX112" s="17"/>
      <c r="NSY112" s="17"/>
      <c r="NSZ112" s="17"/>
      <c r="NTA112" s="17"/>
      <c r="NTB112" s="17"/>
      <c r="NTC112" s="17"/>
      <c r="NTD112" s="17"/>
      <c r="NTE112" s="17"/>
      <c r="NTF112" s="17"/>
      <c r="NTG112" s="17"/>
      <c r="NTH112" s="17"/>
      <c r="NTI112" s="17"/>
      <c r="NTJ112" s="17"/>
      <c r="NTK112" s="17"/>
      <c r="NTL112" s="17"/>
      <c r="NTM112" s="17"/>
      <c r="NTN112" s="17"/>
      <c r="NTO112" s="17"/>
      <c r="NTP112" s="17"/>
      <c r="NTQ112" s="17"/>
      <c r="NTR112" s="17"/>
      <c r="NTS112" s="17"/>
      <c r="NTT112" s="17"/>
      <c r="NTU112" s="17"/>
      <c r="NTV112" s="17"/>
      <c r="NTW112" s="17"/>
      <c r="NTX112" s="17"/>
      <c r="NTY112" s="17"/>
      <c r="NTZ112" s="17"/>
      <c r="NUA112" s="17"/>
      <c r="NUB112" s="17"/>
      <c r="NUC112" s="17"/>
      <c r="NUD112" s="17"/>
      <c r="NUE112" s="17"/>
      <c r="NUF112" s="17"/>
      <c r="NUG112" s="17"/>
      <c r="NUH112" s="17"/>
      <c r="NUI112" s="17"/>
      <c r="NUJ112" s="17"/>
      <c r="NUK112" s="17"/>
      <c r="NUL112" s="17"/>
      <c r="NUM112" s="17"/>
      <c r="NUN112" s="17"/>
      <c r="NUO112" s="17"/>
      <c r="NUP112" s="17"/>
      <c r="NUQ112" s="17"/>
      <c r="NUR112" s="17"/>
      <c r="NUS112" s="17"/>
      <c r="NUT112" s="17"/>
      <c r="NUU112" s="17"/>
      <c r="NUV112" s="17"/>
      <c r="NUW112" s="17"/>
      <c r="NUX112" s="17"/>
      <c r="NUY112" s="17"/>
      <c r="NUZ112" s="17"/>
      <c r="NVA112" s="17"/>
      <c r="NVB112" s="17"/>
      <c r="NVC112" s="17"/>
      <c r="NVD112" s="17"/>
      <c r="NVE112" s="17"/>
      <c r="NVF112" s="17"/>
      <c r="NVG112" s="17"/>
      <c r="NVH112" s="17"/>
      <c r="NVI112" s="17"/>
      <c r="NVJ112" s="17"/>
      <c r="NVK112" s="17"/>
      <c r="NVL112" s="17"/>
      <c r="NVM112" s="17"/>
      <c r="NVN112" s="17"/>
      <c r="NVO112" s="17"/>
      <c r="NVP112" s="17"/>
      <c r="NVQ112" s="17"/>
      <c r="NVR112" s="17"/>
      <c r="NVS112" s="17"/>
      <c r="NVT112" s="17"/>
      <c r="NVU112" s="17"/>
      <c r="NVV112" s="17"/>
      <c r="NVW112" s="17"/>
      <c r="NVX112" s="17"/>
      <c r="NVY112" s="17"/>
      <c r="NVZ112" s="17"/>
      <c r="NWA112" s="17"/>
      <c r="NWB112" s="17"/>
      <c r="NWC112" s="17"/>
      <c r="NWD112" s="17"/>
      <c r="NWE112" s="17"/>
      <c r="NWF112" s="17"/>
      <c r="NWG112" s="17"/>
      <c r="NWH112" s="17"/>
      <c r="NWI112" s="17"/>
      <c r="NWJ112" s="17"/>
      <c r="NWK112" s="17"/>
      <c r="NWL112" s="17"/>
      <c r="NWM112" s="17"/>
      <c r="NWN112" s="17"/>
      <c r="NWO112" s="17"/>
      <c r="NWP112" s="17"/>
      <c r="NWQ112" s="17"/>
      <c r="NWR112" s="17"/>
      <c r="NWS112" s="17"/>
      <c r="NWT112" s="17"/>
      <c r="NWU112" s="17"/>
      <c r="NWV112" s="17"/>
      <c r="NWW112" s="17"/>
      <c r="NWX112" s="17"/>
      <c r="NWY112" s="17"/>
      <c r="NWZ112" s="17"/>
      <c r="NXA112" s="17"/>
      <c r="NXB112" s="17"/>
      <c r="NXC112" s="17"/>
      <c r="NXD112" s="17"/>
      <c r="NXE112" s="17"/>
      <c r="NXF112" s="17"/>
      <c r="NXG112" s="17"/>
      <c r="NXH112" s="17"/>
      <c r="NXI112" s="17"/>
      <c r="NXJ112" s="17"/>
      <c r="NXK112" s="17"/>
      <c r="NXL112" s="17"/>
      <c r="NXM112" s="17"/>
      <c r="NXN112" s="17"/>
      <c r="NXO112" s="17"/>
      <c r="NXP112" s="17"/>
      <c r="NXQ112" s="17"/>
      <c r="NXR112" s="17"/>
      <c r="NXS112" s="17"/>
      <c r="NXT112" s="17"/>
      <c r="NXU112" s="17"/>
      <c r="NXV112" s="17"/>
      <c r="NXW112" s="17"/>
      <c r="NXX112" s="17"/>
      <c r="NXY112" s="17"/>
      <c r="NXZ112" s="17"/>
      <c r="NYA112" s="17"/>
      <c r="NYB112" s="17"/>
      <c r="NYC112" s="17"/>
      <c r="NYD112" s="17"/>
      <c r="NYE112" s="17"/>
      <c r="NYF112" s="17"/>
      <c r="NYG112" s="17"/>
      <c r="NYH112" s="17"/>
      <c r="NYI112" s="17"/>
      <c r="NYJ112" s="17"/>
      <c r="NYK112" s="17"/>
      <c r="NYL112" s="17"/>
      <c r="NYM112" s="17"/>
      <c r="NYN112" s="17"/>
      <c r="NYO112" s="17"/>
      <c r="NYP112" s="17"/>
      <c r="NYQ112" s="17"/>
      <c r="NYR112" s="17"/>
      <c r="NYS112" s="17"/>
      <c r="NYT112" s="17"/>
      <c r="NYU112" s="17"/>
      <c r="NYV112" s="17"/>
      <c r="NYW112" s="17"/>
      <c r="NYX112" s="17"/>
      <c r="NYY112" s="17"/>
      <c r="NYZ112" s="17"/>
      <c r="NZA112" s="17"/>
      <c r="NZB112" s="17"/>
      <c r="NZC112" s="17"/>
      <c r="NZD112" s="17"/>
      <c r="NZE112" s="17"/>
      <c r="NZF112" s="17"/>
      <c r="NZG112" s="17"/>
      <c r="NZH112" s="17"/>
      <c r="NZI112" s="17"/>
      <c r="NZJ112" s="17"/>
      <c r="NZK112" s="17"/>
      <c r="NZL112" s="17"/>
      <c r="NZM112" s="17"/>
      <c r="NZN112" s="17"/>
      <c r="NZO112" s="17"/>
      <c r="NZP112" s="17"/>
      <c r="NZQ112" s="17"/>
      <c r="NZR112" s="17"/>
      <c r="NZS112" s="17"/>
      <c r="NZT112" s="17"/>
      <c r="NZU112" s="17"/>
      <c r="NZV112" s="17"/>
      <c r="NZW112" s="17"/>
      <c r="NZX112" s="17"/>
      <c r="NZY112" s="17"/>
      <c r="NZZ112" s="17"/>
      <c r="OAA112" s="17"/>
      <c r="OAB112" s="17"/>
      <c r="OAC112" s="17"/>
      <c r="OAD112" s="17"/>
      <c r="OAE112" s="17"/>
      <c r="OAF112" s="17"/>
      <c r="OAG112" s="17"/>
      <c r="OAH112" s="17"/>
      <c r="OAI112" s="17"/>
      <c r="OAJ112" s="17"/>
      <c r="OAK112" s="17"/>
      <c r="OAL112" s="17"/>
      <c r="OAM112" s="17"/>
      <c r="OAN112" s="17"/>
      <c r="OAO112" s="17"/>
      <c r="OAP112" s="17"/>
      <c r="OAQ112" s="17"/>
      <c r="OAR112" s="17"/>
      <c r="OAS112" s="17"/>
      <c r="OAT112" s="17"/>
      <c r="OAU112" s="17"/>
      <c r="OAV112" s="17"/>
      <c r="OAW112" s="17"/>
      <c r="OAX112" s="17"/>
      <c r="OAY112" s="17"/>
      <c r="OAZ112" s="17"/>
      <c r="OBA112" s="17"/>
      <c r="OBB112" s="17"/>
      <c r="OBC112" s="17"/>
      <c r="OBD112" s="17"/>
      <c r="OBE112" s="17"/>
      <c r="OBF112" s="17"/>
      <c r="OBG112" s="17"/>
      <c r="OBH112" s="17"/>
      <c r="OBI112" s="17"/>
      <c r="OBJ112" s="17"/>
      <c r="OBK112" s="17"/>
      <c r="OBL112" s="17"/>
      <c r="OBM112" s="17"/>
      <c r="OBN112" s="17"/>
      <c r="OBO112" s="17"/>
      <c r="OBP112" s="17"/>
      <c r="OBQ112" s="17"/>
      <c r="OBR112" s="17"/>
      <c r="OBS112" s="17"/>
      <c r="OBT112" s="17"/>
      <c r="OBU112" s="17"/>
      <c r="OBV112" s="17"/>
      <c r="OBW112" s="17"/>
      <c r="OBX112" s="17"/>
      <c r="OBY112" s="17"/>
      <c r="OBZ112" s="17"/>
      <c r="OCA112" s="17"/>
      <c r="OCB112" s="17"/>
      <c r="OCC112" s="17"/>
      <c r="OCD112" s="17"/>
      <c r="OCE112" s="17"/>
      <c r="OCF112" s="17"/>
      <c r="OCG112" s="17"/>
      <c r="OCH112" s="17"/>
      <c r="OCI112" s="17"/>
      <c r="OCJ112" s="17"/>
      <c r="OCK112" s="17"/>
      <c r="OCL112" s="17"/>
      <c r="OCM112" s="17"/>
      <c r="OCN112" s="17"/>
      <c r="OCO112" s="17"/>
      <c r="OCP112" s="17"/>
      <c r="OCQ112" s="17"/>
      <c r="OCR112" s="17"/>
      <c r="OCS112" s="17"/>
      <c r="OCT112" s="17"/>
      <c r="OCU112" s="17"/>
      <c r="OCV112" s="17"/>
      <c r="OCW112" s="17"/>
      <c r="OCX112" s="17"/>
      <c r="OCY112" s="17"/>
      <c r="OCZ112" s="17"/>
      <c r="ODA112" s="17"/>
      <c r="ODB112" s="17"/>
      <c r="ODC112" s="17"/>
      <c r="ODD112" s="17"/>
      <c r="ODE112" s="17"/>
      <c r="ODF112" s="17"/>
      <c r="ODG112" s="17"/>
      <c r="ODH112" s="17"/>
      <c r="ODI112" s="17"/>
      <c r="ODJ112" s="17"/>
      <c r="ODK112" s="17"/>
      <c r="ODL112" s="17"/>
      <c r="ODM112" s="17"/>
      <c r="ODN112" s="17"/>
      <c r="ODO112" s="17"/>
      <c r="ODP112" s="17"/>
      <c r="ODQ112" s="17"/>
      <c r="ODR112" s="17"/>
      <c r="ODS112" s="17"/>
      <c r="ODT112" s="17"/>
      <c r="ODU112" s="17"/>
      <c r="ODV112" s="17"/>
      <c r="ODW112" s="17"/>
      <c r="ODX112" s="17"/>
      <c r="ODY112" s="17"/>
      <c r="ODZ112" s="17"/>
      <c r="OEA112" s="17"/>
      <c r="OEB112" s="17"/>
      <c r="OEC112" s="17"/>
      <c r="OED112" s="17"/>
      <c r="OEE112" s="17"/>
      <c r="OEF112" s="17"/>
      <c r="OEG112" s="17"/>
      <c r="OEH112" s="17"/>
      <c r="OEI112" s="17"/>
      <c r="OEJ112" s="17"/>
      <c r="OEK112" s="17"/>
      <c r="OEL112" s="17"/>
      <c r="OEM112" s="17"/>
      <c r="OEN112" s="17"/>
      <c r="OEO112" s="17"/>
      <c r="OEP112" s="17"/>
      <c r="OEQ112" s="17"/>
      <c r="OER112" s="17"/>
      <c r="OES112" s="17"/>
      <c r="OET112" s="17"/>
      <c r="OEU112" s="17"/>
      <c r="OEV112" s="17"/>
      <c r="OEW112" s="17"/>
      <c r="OEX112" s="17"/>
      <c r="OEY112" s="17"/>
      <c r="OEZ112" s="17"/>
      <c r="OFA112" s="17"/>
      <c r="OFB112" s="17"/>
      <c r="OFC112" s="17"/>
      <c r="OFD112" s="17"/>
      <c r="OFE112" s="17"/>
      <c r="OFF112" s="17"/>
      <c r="OFG112" s="17"/>
      <c r="OFH112" s="17"/>
      <c r="OFI112" s="17"/>
      <c r="OFJ112" s="17"/>
      <c r="OFK112" s="17"/>
      <c r="OFL112" s="17"/>
      <c r="OFM112" s="17"/>
      <c r="OFN112" s="17"/>
      <c r="OFO112" s="17"/>
      <c r="OFP112" s="17"/>
      <c r="OFQ112" s="17"/>
      <c r="OFR112" s="17"/>
      <c r="OFS112" s="17"/>
      <c r="OFT112" s="17"/>
      <c r="OFU112" s="17"/>
      <c r="OFV112" s="17"/>
      <c r="OFW112" s="17"/>
      <c r="OFX112" s="17"/>
      <c r="OFY112" s="17"/>
      <c r="OFZ112" s="17"/>
      <c r="OGA112" s="17"/>
      <c r="OGB112" s="17"/>
      <c r="OGC112" s="17"/>
      <c r="OGD112" s="17"/>
      <c r="OGE112" s="17"/>
      <c r="OGF112" s="17"/>
      <c r="OGG112" s="17"/>
      <c r="OGH112" s="17"/>
      <c r="OGI112" s="17"/>
      <c r="OGJ112" s="17"/>
      <c r="OGK112" s="17"/>
      <c r="OGL112" s="17"/>
      <c r="OGM112" s="17"/>
      <c r="OGN112" s="17"/>
      <c r="OGO112" s="17"/>
      <c r="OGP112" s="17"/>
      <c r="OGQ112" s="17"/>
      <c r="OGR112" s="17"/>
      <c r="OGS112" s="17"/>
      <c r="OGT112" s="17"/>
      <c r="OGU112" s="17"/>
      <c r="OGV112" s="17"/>
      <c r="OGW112" s="17"/>
      <c r="OGX112" s="17"/>
      <c r="OGY112" s="17"/>
      <c r="OGZ112" s="17"/>
      <c r="OHA112" s="17"/>
      <c r="OHB112" s="17"/>
      <c r="OHC112" s="17"/>
      <c r="OHD112" s="17"/>
      <c r="OHE112" s="17"/>
      <c r="OHF112" s="17"/>
      <c r="OHG112" s="17"/>
      <c r="OHH112" s="17"/>
      <c r="OHI112" s="17"/>
      <c r="OHJ112" s="17"/>
      <c r="OHK112" s="17"/>
      <c r="OHL112" s="17"/>
      <c r="OHM112" s="17"/>
      <c r="OHN112" s="17"/>
      <c r="OHO112" s="17"/>
      <c r="OHP112" s="17"/>
      <c r="OHQ112" s="17"/>
      <c r="OHR112" s="17"/>
      <c r="OHS112" s="17"/>
      <c r="OHT112" s="17"/>
      <c r="OHU112" s="17"/>
      <c r="OHV112" s="17"/>
      <c r="OHW112" s="17"/>
      <c r="OHX112" s="17"/>
      <c r="OHY112" s="17"/>
      <c r="OHZ112" s="17"/>
      <c r="OIA112" s="17"/>
      <c r="OIB112" s="17"/>
      <c r="OIC112" s="17"/>
      <c r="OID112" s="17"/>
      <c r="OIE112" s="17"/>
      <c r="OIF112" s="17"/>
      <c r="OIG112" s="17"/>
      <c r="OIH112" s="17"/>
      <c r="OII112" s="17"/>
      <c r="OIJ112" s="17"/>
      <c r="OIK112" s="17"/>
      <c r="OIL112" s="17"/>
      <c r="OIM112" s="17"/>
      <c r="OIN112" s="17"/>
      <c r="OIO112" s="17"/>
      <c r="OIP112" s="17"/>
      <c r="OIQ112" s="17"/>
      <c r="OIR112" s="17"/>
      <c r="OIS112" s="17"/>
      <c r="OIT112" s="17"/>
      <c r="OIU112" s="17"/>
      <c r="OIV112" s="17"/>
      <c r="OIW112" s="17"/>
      <c r="OIX112" s="17"/>
      <c r="OIY112" s="17"/>
      <c r="OIZ112" s="17"/>
      <c r="OJA112" s="17"/>
      <c r="OJB112" s="17"/>
      <c r="OJC112" s="17"/>
      <c r="OJD112" s="17"/>
      <c r="OJE112" s="17"/>
      <c r="OJF112" s="17"/>
      <c r="OJG112" s="17"/>
      <c r="OJH112" s="17"/>
      <c r="OJI112" s="17"/>
      <c r="OJJ112" s="17"/>
      <c r="OJK112" s="17"/>
      <c r="OJL112" s="17"/>
      <c r="OJM112" s="17"/>
      <c r="OJN112" s="17"/>
      <c r="OJO112" s="17"/>
      <c r="OJP112" s="17"/>
      <c r="OJQ112" s="17"/>
      <c r="OJR112" s="17"/>
      <c r="OJS112" s="17"/>
      <c r="OJT112" s="17"/>
      <c r="OJU112" s="17"/>
      <c r="OJV112" s="17"/>
      <c r="OJW112" s="17"/>
      <c r="OJX112" s="17"/>
      <c r="OJY112" s="17"/>
      <c r="OJZ112" s="17"/>
      <c r="OKA112" s="17"/>
      <c r="OKB112" s="17"/>
      <c r="OKC112" s="17"/>
      <c r="OKD112" s="17"/>
      <c r="OKE112" s="17"/>
      <c r="OKF112" s="17"/>
      <c r="OKG112" s="17"/>
      <c r="OKH112" s="17"/>
      <c r="OKI112" s="17"/>
      <c r="OKJ112" s="17"/>
      <c r="OKK112" s="17"/>
      <c r="OKL112" s="17"/>
      <c r="OKM112" s="17"/>
      <c r="OKN112" s="17"/>
      <c r="OKO112" s="17"/>
      <c r="OKP112" s="17"/>
      <c r="OKQ112" s="17"/>
      <c r="OKR112" s="17"/>
      <c r="OKS112" s="17"/>
      <c r="OKT112" s="17"/>
      <c r="OKU112" s="17"/>
      <c r="OKV112" s="17"/>
      <c r="OKW112" s="17"/>
      <c r="OKX112" s="17"/>
      <c r="OKY112" s="17"/>
      <c r="OKZ112" s="17"/>
      <c r="OLA112" s="17"/>
      <c r="OLB112" s="17"/>
      <c r="OLC112" s="17"/>
      <c r="OLD112" s="17"/>
      <c r="OLE112" s="17"/>
      <c r="OLF112" s="17"/>
      <c r="OLG112" s="17"/>
      <c r="OLH112" s="17"/>
      <c r="OLI112" s="17"/>
      <c r="OLJ112" s="17"/>
      <c r="OLK112" s="17"/>
      <c r="OLL112" s="17"/>
      <c r="OLM112" s="17"/>
      <c r="OLN112" s="17"/>
      <c r="OLO112" s="17"/>
      <c r="OLP112" s="17"/>
      <c r="OLQ112" s="17"/>
      <c r="OLR112" s="17"/>
      <c r="OLS112" s="17"/>
      <c r="OLT112" s="17"/>
      <c r="OLU112" s="17"/>
      <c r="OLV112" s="17"/>
      <c r="OLW112" s="17"/>
      <c r="OLX112" s="17"/>
      <c r="OLY112" s="17"/>
      <c r="OLZ112" s="17"/>
      <c r="OMA112" s="17"/>
      <c r="OMB112" s="17"/>
      <c r="OMC112" s="17"/>
      <c r="OMD112" s="17"/>
      <c r="OME112" s="17"/>
      <c r="OMF112" s="17"/>
      <c r="OMG112" s="17"/>
      <c r="OMH112" s="17"/>
      <c r="OMI112" s="17"/>
      <c r="OMJ112" s="17"/>
      <c r="OMK112" s="17"/>
      <c r="OML112" s="17"/>
      <c r="OMM112" s="17"/>
      <c r="OMN112" s="17"/>
      <c r="OMO112" s="17"/>
      <c r="OMP112" s="17"/>
      <c r="OMQ112" s="17"/>
      <c r="OMR112" s="17"/>
      <c r="OMS112" s="17"/>
      <c r="OMT112" s="17"/>
      <c r="OMU112" s="17"/>
      <c r="OMV112" s="17"/>
      <c r="OMW112" s="17"/>
      <c r="OMX112" s="17"/>
      <c r="OMY112" s="17"/>
      <c r="OMZ112" s="17"/>
      <c r="ONA112" s="17"/>
      <c r="ONB112" s="17"/>
      <c r="ONC112" s="17"/>
      <c r="OND112" s="17"/>
      <c r="ONE112" s="17"/>
      <c r="ONF112" s="17"/>
      <c r="ONG112" s="17"/>
      <c r="ONH112" s="17"/>
      <c r="ONI112" s="17"/>
      <c r="ONJ112" s="17"/>
      <c r="ONK112" s="17"/>
      <c r="ONL112" s="17"/>
      <c r="ONM112" s="17"/>
      <c r="ONN112" s="17"/>
      <c r="ONO112" s="17"/>
      <c r="ONP112" s="17"/>
      <c r="ONQ112" s="17"/>
      <c r="ONR112" s="17"/>
      <c r="ONS112" s="17"/>
      <c r="ONT112" s="17"/>
      <c r="ONU112" s="17"/>
      <c r="ONV112" s="17"/>
      <c r="ONW112" s="17"/>
      <c r="ONX112" s="17"/>
      <c r="ONY112" s="17"/>
      <c r="ONZ112" s="17"/>
      <c r="OOA112" s="17"/>
      <c r="OOB112" s="17"/>
      <c r="OOC112" s="17"/>
      <c r="OOD112" s="17"/>
      <c r="OOE112" s="17"/>
      <c r="OOF112" s="17"/>
      <c r="OOG112" s="17"/>
      <c r="OOH112" s="17"/>
      <c r="OOI112" s="17"/>
      <c r="OOJ112" s="17"/>
      <c r="OOK112" s="17"/>
      <c r="OOL112" s="17"/>
      <c r="OOM112" s="17"/>
      <c r="OON112" s="17"/>
      <c r="OOO112" s="17"/>
      <c r="OOP112" s="17"/>
      <c r="OOQ112" s="17"/>
      <c r="OOR112" s="17"/>
      <c r="OOS112" s="17"/>
      <c r="OOT112" s="17"/>
      <c r="OOU112" s="17"/>
      <c r="OOV112" s="17"/>
      <c r="OOW112" s="17"/>
      <c r="OOX112" s="17"/>
      <c r="OOY112" s="17"/>
      <c r="OOZ112" s="17"/>
      <c r="OPA112" s="17"/>
      <c r="OPB112" s="17"/>
      <c r="OPC112" s="17"/>
      <c r="OPD112" s="17"/>
      <c r="OPE112" s="17"/>
      <c r="OPF112" s="17"/>
      <c r="OPG112" s="17"/>
      <c r="OPH112" s="17"/>
      <c r="OPI112" s="17"/>
      <c r="OPJ112" s="17"/>
      <c r="OPK112" s="17"/>
      <c r="OPL112" s="17"/>
      <c r="OPM112" s="17"/>
      <c r="OPN112" s="17"/>
      <c r="OPO112" s="17"/>
      <c r="OPP112" s="17"/>
      <c r="OPQ112" s="17"/>
      <c r="OPR112" s="17"/>
      <c r="OPS112" s="17"/>
      <c r="OPT112" s="17"/>
      <c r="OPU112" s="17"/>
      <c r="OPV112" s="17"/>
      <c r="OPW112" s="17"/>
      <c r="OPX112" s="17"/>
      <c r="OPY112" s="17"/>
      <c r="OPZ112" s="17"/>
      <c r="OQA112" s="17"/>
      <c r="OQB112" s="17"/>
      <c r="OQC112" s="17"/>
      <c r="OQD112" s="17"/>
      <c r="OQE112" s="17"/>
      <c r="OQF112" s="17"/>
      <c r="OQG112" s="17"/>
      <c r="OQH112" s="17"/>
      <c r="OQI112" s="17"/>
      <c r="OQJ112" s="17"/>
      <c r="OQK112" s="17"/>
      <c r="OQL112" s="17"/>
      <c r="OQM112" s="17"/>
      <c r="OQN112" s="17"/>
      <c r="OQO112" s="17"/>
      <c r="OQP112" s="17"/>
      <c r="OQQ112" s="17"/>
      <c r="OQR112" s="17"/>
      <c r="OQS112" s="17"/>
      <c r="OQT112" s="17"/>
      <c r="OQU112" s="17"/>
      <c r="OQV112" s="17"/>
      <c r="OQW112" s="17"/>
      <c r="OQX112" s="17"/>
      <c r="OQY112" s="17"/>
      <c r="OQZ112" s="17"/>
      <c r="ORA112" s="17"/>
      <c r="ORB112" s="17"/>
      <c r="ORC112" s="17"/>
      <c r="ORD112" s="17"/>
      <c r="ORE112" s="17"/>
      <c r="ORF112" s="17"/>
      <c r="ORG112" s="17"/>
      <c r="ORH112" s="17"/>
      <c r="ORI112" s="17"/>
      <c r="ORJ112" s="17"/>
      <c r="ORK112" s="17"/>
      <c r="ORL112" s="17"/>
      <c r="ORM112" s="17"/>
      <c r="ORN112" s="17"/>
      <c r="ORO112" s="17"/>
      <c r="ORP112" s="17"/>
      <c r="ORQ112" s="17"/>
      <c r="ORR112" s="17"/>
      <c r="ORS112" s="17"/>
      <c r="ORT112" s="17"/>
      <c r="ORU112" s="17"/>
      <c r="ORV112" s="17"/>
      <c r="ORW112" s="17"/>
      <c r="ORX112" s="17"/>
      <c r="ORY112" s="17"/>
      <c r="ORZ112" s="17"/>
      <c r="OSA112" s="17"/>
      <c r="OSB112" s="17"/>
      <c r="OSC112" s="17"/>
      <c r="OSD112" s="17"/>
      <c r="OSE112" s="17"/>
      <c r="OSF112" s="17"/>
      <c r="OSG112" s="17"/>
      <c r="OSH112" s="17"/>
      <c r="OSI112" s="17"/>
      <c r="OSJ112" s="17"/>
      <c r="OSK112" s="17"/>
      <c r="OSL112" s="17"/>
      <c r="OSM112" s="17"/>
      <c r="OSN112" s="17"/>
      <c r="OSO112" s="17"/>
      <c r="OSP112" s="17"/>
      <c r="OSQ112" s="17"/>
      <c r="OSR112" s="17"/>
      <c r="OSS112" s="17"/>
      <c r="OST112" s="17"/>
      <c r="OSU112" s="17"/>
      <c r="OSV112" s="17"/>
      <c r="OSW112" s="17"/>
      <c r="OSX112" s="17"/>
      <c r="OSY112" s="17"/>
      <c r="OSZ112" s="17"/>
      <c r="OTA112" s="17"/>
      <c r="OTB112" s="17"/>
      <c r="OTC112" s="17"/>
      <c r="OTD112" s="17"/>
      <c r="OTE112" s="17"/>
      <c r="OTF112" s="17"/>
      <c r="OTG112" s="17"/>
      <c r="OTH112" s="17"/>
      <c r="OTI112" s="17"/>
      <c r="OTJ112" s="17"/>
      <c r="OTK112" s="17"/>
      <c r="OTL112" s="17"/>
      <c r="OTM112" s="17"/>
      <c r="OTN112" s="17"/>
      <c r="OTO112" s="17"/>
      <c r="OTP112" s="17"/>
      <c r="OTQ112" s="17"/>
      <c r="OTR112" s="17"/>
      <c r="OTS112" s="17"/>
      <c r="OTT112" s="17"/>
      <c r="OTU112" s="17"/>
      <c r="OTV112" s="17"/>
      <c r="OTW112" s="17"/>
      <c r="OTX112" s="17"/>
      <c r="OTY112" s="17"/>
      <c r="OTZ112" s="17"/>
      <c r="OUA112" s="17"/>
      <c r="OUB112" s="17"/>
      <c r="OUC112" s="17"/>
      <c r="OUD112" s="17"/>
      <c r="OUE112" s="17"/>
      <c r="OUF112" s="17"/>
      <c r="OUG112" s="17"/>
      <c r="OUH112" s="17"/>
      <c r="OUI112" s="17"/>
      <c r="OUJ112" s="17"/>
      <c r="OUK112" s="17"/>
      <c r="OUL112" s="17"/>
      <c r="OUM112" s="17"/>
      <c r="OUN112" s="17"/>
      <c r="OUO112" s="17"/>
      <c r="OUP112" s="17"/>
      <c r="OUQ112" s="17"/>
      <c r="OUR112" s="17"/>
      <c r="OUS112" s="17"/>
      <c r="OUT112" s="17"/>
      <c r="OUU112" s="17"/>
      <c r="OUV112" s="17"/>
      <c r="OUW112" s="17"/>
      <c r="OUX112" s="17"/>
      <c r="OUY112" s="17"/>
      <c r="OUZ112" s="17"/>
      <c r="OVA112" s="17"/>
      <c r="OVB112" s="17"/>
      <c r="OVC112" s="17"/>
      <c r="OVD112" s="17"/>
      <c r="OVE112" s="17"/>
      <c r="OVF112" s="17"/>
      <c r="OVG112" s="17"/>
      <c r="OVH112" s="17"/>
      <c r="OVI112" s="17"/>
      <c r="OVJ112" s="17"/>
      <c r="OVK112" s="17"/>
      <c r="OVL112" s="17"/>
      <c r="OVM112" s="17"/>
      <c r="OVN112" s="17"/>
      <c r="OVO112" s="17"/>
      <c r="OVP112" s="17"/>
      <c r="OVQ112" s="17"/>
      <c r="OVR112" s="17"/>
      <c r="OVS112" s="17"/>
      <c r="OVT112" s="17"/>
      <c r="OVU112" s="17"/>
      <c r="OVV112" s="17"/>
      <c r="OVW112" s="17"/>
      <c r="OVX112" s="17"/>
      <c r="OVY112" s="17"/>
      <c r="OVZ112" s="17"/>
      <c r="OWA112" s="17"/>
      <c r="OWB112" s="17"/>
      <c r="OWC112" s="17"/>
      <c r="OWD112" s="17"/>
      <c r="OWE112" s="17"/>
      <c r="OWF112" s="17"/>
      <c r="OWG112" s="17"/>
      <c r="OWH112" s="17"/>
      <c r="OWI112" s="17"/>
      <c r="OWJ112" s="17"/>
      <c r="OWK112" s="17"/>
      <c r="OWL112" s="17"/>
      <c r="OWM112" s="17"/>
      <c r="OWN112" s="17"/>
      <c r="OWO112" s="17"/>
      <c r="OWP112" s="17"/>
      <c r="OWQ112" s="17"/>
      <c r="OWR112" s="17"/>
      <c r="OWS112" s="17"/>
      <c r="OWT112" s="17"/>
      <c r="OWU112" s="17"/>
      <c r="OWV112" s="17"/>
      <c r="OWW112" s="17"/>
      <c r="OWX112" s="17"/>
      <c r="OWY112" s="17"/>
      <c r="OWZ112" s="17"/>
      <c r="OXA112" s="17"/>
      <c r="OXB112" s="17"/>
      <c r="OXC112" s="17"/>
      <c r="OXD112" s="17"/>
      <c r="OXE112" s="17"/>
      <c r="OXF112" s="17"/>
      <c r="OXG112" s="17"/>
      <c r="OXH112" s="17"/>
      <c r="OXI112" s="17"/>
      <c r="OXJ112" s="17"/>
      <c r="OXK112" s="17"/>
      <c r="OXL112" s="17"/>
      <c r="OXM112" s="17"/>
      <c r="OXN112" s="17"/>
      <c r="OXO112" s="17"/>
      <c r="OXP112" s="17"/>
      <c r="OXQ112" s="17"/>
      <c r="OXR112" s="17"/>
      <c r="OXS112" s="17"/>
      <c r="OXT112" s="17"/>
      <c r="OXU112" s="17"/>
      <c r="OXV112" s="17"/>
      <c r="OXW112" s="17"/>
      <c r="OXX112" s="17"/>
      <c r="OXY112" s="17"/>
      <c r="OXZ112" s="17"/>
      <c r="OYA112" s="17"/>
      <c r="OYB112" s="17"/>
      <c r="OYC112" s="17"/>
      <c r="OYD112" s="17"/>
      <c r="OYE112" s="17"/>
      <c r="OYF112" s="17"/>
      <c r="OYG112" s="17"/>
      <c r="OYH112" s="17"/>
      <c r="OYI112" s="17"/>
      <c r="OYJ112" s="17"/>
      <c r="OYK112" s="17"/>
      <c r="OYL112" s="17"/>
      <c r="OYM112" s="17"/>
      <c r="OYN112" s="17"/>
      <c r="OYO112" s="17"/>
      <c r="OYP112" s="17"/>
      <c r="OYQ112" s="17"/>
      <c r="OYR112" s="17"/>
      <c r="OYS112" s="17"/>
      <c r="OYT112" s="17"/>
      <c r="OYU112" s="17"/>
      <c r="OYV112" s="17"/>
      <c r="OYW112" s="17"/>
      <c r="OYX112" s="17"/>
      <c r="OYY112" s="17"/>
      <c r="OYZ112" s="17"/>
      <c r="OZA112" s="17"/>
      <c r="OZB112" s="17"/>
      <c r="OZC112" s="17"/>
      <c r="OZD112" s="17"/>
      <c r="OZE112" s="17"/>
      <c r="OZF112" s="17"/>
      <c r="OZG112" s="17"/>
      <c r="OZH112" s="17"/>
      <c r="OZI112" s="17"/>
      <c r="OZJ112" s="17"/>
      <c r="OZK112" s="17"/>
      <c r="OZL112" s="17"/>
      <c r="OZM112" s="17"/>
      <c r="OZN112" s="17"/>
      <c r="OZO112" s="17"/>
      <c r="OZP112" s="17"/>
      <c r="OZQ112" s="17"/>
      <c r="OZR112" s="17"/>
      <c r="OZS112" s="17"/>
      <c r="OZT112" s="17"/>
      <c r="OZU112" s="17"/>
      <c r="OZV112" s="17"/>
      <c r="OZW112" s="17"/>
      <c r="OZX112" s="17"/>
      <c r="OZY112" s="17"/>
      <c r="OZZ112" s="17"/>
      <c r="PAA112" s="17"/>
      <c r="PAB112" s="17"/>
      <c r="PAC112" s="17"/>
      <c r="PAD112" s="17"/>
      <c r="PAE112" s="17"/>
      <c r="PAF112" s="17"/>
      <c r="PAG112" s="17"/>
      <c r="PAH112" s="17"/>
      <c r="PAI112" s="17"/>
      <c r="PAJ112" s="17"/>
      <c r="PAK112" s="17"/>
      <c r="PAL112" s="17"/>
      <c r="PAM112" s="17"/>
      <c r="PAN112" s="17"/>
      <c r="PAO112" s="17"/>
      <c r="PAP112" s="17"/>
      <c r="PAQ112" s="17"/>
      <c r="PAR112" s="17"/>
      <c r="PAS112" s="17"/>
      <c r="PAT112" s="17"/>
      <c r="PAU112" s="17"/>
      <c r="PAV112" s="17"/>
      <c r="PAW112" s="17"/>
      <c r="PAX112" s="17"/>
      <c r="PAY112" s="17"/>
      <c r="PAZ112" s="17"/>
      <c r="PBA112" s="17"/>
      <c r="PBB112" s="17"/>
      <c r="PBC112" s="17"/>
      <c r="PBD112" s="17"/>
      <c r="PBE112" s="17"/>
      <c r="PBF112" s="17"/>
      <c r="PBG112" s="17"/>
      <c r="PBH112" s="17"/>
      <c r="PBI112" s="17"/>
      <c r="PBJ112" s="17"/>
      <c r="PBK112" s="17"/>
      <c r="PBL112" s="17"/>
      <c r="PBM112" s="17"/>
      <c r="PBN112" s="17"/>
      <c r="PBO112" s="17"/>
      <c r="PBP112" s="17"/>
      <c r="PBQ112" s="17"/>
      <c r="PBR112" s="17"/>
      <c r="PBS112" s="17"/>
      <c r="PBT112" s="17"/>
      <c r="PBU112" s="17"/>
      <c r="PBV112" s="17"/>
      <c r="PBW112" s="17"/>
      <c r="PBX112" s="17"/>
      <c r="PBY112" s="17"/>
      <c r="PBZ112" s="17"/>
      <c r="PCA112" s="17"/>
      <c r="PCB112" s="17"/>
      <c r="PCC112" s="17"/>
      <c r="PCD112" s="17"/>
      <c r="PCE112" s="17"/>
      <c r="PCF112" s="17"/>
      <c r="PCG112" s="17"/>
      <c r="PCH112" s="17"/>
      <c r="PCI112" s="17"/>
      <c r="PCJ112" s="17"/>
      <c r="PCK112" s="17"/>
      <c r="PCL112" s="17"/>
      <c r="PCM112" s="17"/>
      <c r="PCN112" s="17"/>
      <c r="PCO112" s="17"/>
      <c r="PCP112" s="17"/>
      <c r="PCQ112" s="17"/>
      <c r="PCR112" s="17"/>
      <c r="PCS112" s="17"/>
      <c r="PCT112" s="17"/>
      <c r="PCU112" s="17"/>
      <c r="PCV112" s="17"/>
      <c r="PCW112" s="17"/>
      <c r="PCX112" s="17"/>
      <c r="PCY112" s="17"/>
      <c r="PCZ112" s="17"/>
      <c r="PDA112" s="17"/>
      <c r="PDB112" s="17"/>
      <c r="PDC112" s="17"/>
      <c r="PDD112" s="17"/>
      <c r="PDE112" s="17"/>
      <c r="PDF112" s="17"/>
      <c r="PDG112" s="17"/>
      <c r="PDH112" s="17"/>
      <c r="PDI112" s="17"/>
      <c r="PDJ112" s="17"/>
      <c r="PDK112" s="17"/>
      <c r="PDL112" s="17"/>
      <c r="PDM112" s="17"/>
      <c r="PDN112" s="17"/>
      <c r="PDO112" s="17"/>
      <c r="PDP112" s="17"/>
      <c r="PDQ112" s="17"/>
      <c r="PDR112" s="17"/>
      <c r="PDS112" s="17"/>
      <c r="PDT112" s="17"/>
      <c r="PDU112" s="17"/>
      <c r="PDV112" s="17"/>
      <c r="PDW112" s="17"/>
      <c r="PDX112" s="17"/>
      <c r="PDY112" s="17"/>
      <c r="PDZ112" s="17"/>
      <c r="PEA112" s="17"/>
      <c r="PEB112" s="17"/>
      <c r="PEC112" s="17"/>
      <c r="PED112" s="17"/>
      <c r="PEE112" s="17"/>
      <c r="PEF112" s="17"/>
      <c r="PEG112" s="17"/>
      <c r="PEH112" s="17"/>
      <c r="PEI112" s="17"/>
      <c r="PEJ112" s="17"/>
      <c r="PEK112" s="17"/>
      <c r="PEL112" s="17"/>
      <c r="PEM112" s="17"/>
      <c r="PEN112" s="17"/>
      <c r="PEO112" s="17"/>
      <c r="PEP112" s="17"/>
      <c r="PEQ112" s="17"/>
      <c r="PER112" s="17"/>
      <c r="PES112" s="17"/>
      <c r="PET112" s="17"/>
      <c r="PEU112" s="17"/>
      <c r="PEV112" s="17"/>
      <c r="PEW112" s="17"/>
      <c r="PEX112" s="17"/>
      <c r="PEY112" s="17"/>
      <c r="PEZ112" s="17"/>
      <c r="PFA112" s="17"/>
      <c r="PFB112" s="17"/>
      <c r="PFC112" s="17"/>
      <c r="PFD112" s="17"/>
      <c r="PFE112" s="17"/>
      <c r="PFF112" s="17"/>
      <c r="PFG112" s="17"/>
      <c r="PFH112" s="17"/>
      <c r="PFI112" s="17"/>
      <c r="PFJ112" s="17"/>
      <c r="PFK112" s="17"/>
      <c r="PFL112" s="17"/>
      <c r="PFM112" s="17"/>
      <c r="PFN112" s="17"/>
      <c r="PFO112" s="17"/>
      <c r="PFP112" s="17"/>
      <c r="PFQ112" s="17"/>
      <c r="PFR112" s="17"/>
      <c r="PFS112" s="17"/>
      <c r="PFT112" s="17"/>
      <c r="PFU112" s="17"/>
      <c r="PFV112" s="17"/>
      <c r="PFW112" s="17"/>
      <c r="PFX112" s="17"/>
      <c r="PFY112" s="17"/>
      <c r="PFZ112" s="17"/>
      <c r="PGA112" s="17"/>
      <c r="PGB112" s="17"/>
      <c r="PGC112" s="17"/>
      <c r="PGD112" s="17"/>
      <c r="PGE112" s="17"/>
      <c r="PGF112" s="17"/>
      <c r="PGG112" s="17"/>
      <c r="PGH112" s="17"/>
      <c r="PGI112" s="17"/>
      <c r="PGJ112" s="17"/>
      <c r="PGK112" s="17"/>
      <c r="PGL112" s="17"/>
      <c r="PGM112" s="17"/>
      <c r="PGN112" s="17"/>
      <c r="PGO112" s="17"/>
      <c r="PGP112" s="17"/>
      <c r="PGQ112" s="17"/>
      <c r="PGR112" s="17"/>
      <c r="PGS112" s="17"/>
      <c r="PGT112" s="17"/>
      <c r="PGU112" s="17"/>
      <c r="PGV112" s="17"/>
      <c r="PGW112" s="17"/>
      <c r="PGX112" s="17"/>
      <c r="PGY112" s="17"/>
      <c r="PGZ112" s="17"/>
      <c r="PHA112" s="17"/>
      <c r="PHB112" s="17"/>
      <c r="PHC112" s="17"/>
      <c r="PHD112" s="17"/>
      <c r="PHE112" s="17"/>
      <c r="PHF112" s="17"/>
      <c r="PHG112" s="17"/>
      <c r="PHH112" s="17"/>
      <c r="PHI112" s="17"/>
      <c r="PHJ112" s="17"/>
      <c r="PHK112" s="17"/>
      <c r="PHL112" s="17"/>
      <c r="PHM112" s="17"/>
      <c r="PHN112" s="17"/>
      <c r="PHO112" s="17"/>
      <c r="PHP112" s="17"/>
      <c r="PHQ112" s="17"/>
      <c r="PHR112" s="17"/>
      <c r="PHS112" s="17"/>
      <c r="PHT112" s="17"/>
      <c r="PHU112" s="17"/>
      <c r="PHV112" s="17"/>
      <c r="PHW112" s="17"/>
      <c r="PHX112" s="17"/>
      <c r="PHY112" s="17"/>
      <c r="PHZ112" s="17"/>
      <c r="PIA112" s="17"/>
      <c r="PIB112" s="17"/>
      <c r="PIC112" s="17"/>
      <c r="PID112" s="17"/>
      <c r="PIE112" s="17"/>
      <c r="PIF112" s="17"/>
      <c r="PIG112" s="17"/>
      <c r="PIH112" s="17"/>
      <c r="PII112" s="17"/>
      <c r="PIJ112" s="17"/>
      <c r="PIK112" s="17"/>
      <c r="PIL112" s="17"/>
      <c r="PIM112" s="17"/>
      <c r="PIN112" s="17"/>
      <c r="PIO112" s="17"/>
      <c r="PIP112" s="17"/>
      <c r="PIQ112" s="17"/>
      <c r="PIR112" s="17"/>
      <c r="PIS112" s="17"/>
      <c r="PIT112" s="17"/>
      <c r="PIU112" s="17"/>
      <c r="PIV112" s="17"/>
      <c r="PIW112" s="17"/>
      <c r="PIX112" s="17"/>
      <c r="PIY112" s="17"/>
      <c r="PIZ112" s="17"/>
      <c r="PJA112" s="17"/>
      <c r="PJB112" s="17"/>
      <c r="PJC112" s="17"/>
      <c r="PJD112" s="17"/>
      <c r="PJE112" s="17"/>
      <c r="PJF112" s="17"/>
      <c r="PJG112" s="17"/>
      <c r="PJH112" s="17"/>
      <c r="PJI112" s="17"/>
      <c r="PJJ112" s="17"/>
      <c r="PJK112" s="17"/>
      <c r="PJL112" s="17"/>
      <c r="PJM112" s="17"/>
      <c r="PJN112" s="17"/>
      <c r="PJO112" s="17"/>
      <c r="PJP112" s="17"/>
      <c r="PJQ112" s="17"/>
      <c r="PJR112" s="17"/>
      <c r="PJS112" s="17"/>
      <c r="PJT112" s="17"/>
      <c r="PJU112" s="17"/>
      <c r="PJV112" s="17"/>
      <c r="PJW112" s="17"/>
      <c r="PJX112" s="17"/>
      <c r="PJY112" s="17"/>
      <c r="PJZ112" s="17"/>
      <c r="PKA112" s="17"/>
      <c r="PKB112" s="17"/>
      <c r="PKC112" s="17"/>
      <c r="PKD112" s="17"/>
      <c r="PKE112" s="17"/>
      <c r="PKF112" s="17"/>
      <c r="PKG112" s="17"/>
      <c r="PKH112" s="17"/>
      <c r="PKI112" s="17"/>
      <c r="PKJ112" s="17"/>
      <c r="PKK112" s="17"/>
      <c r="PKL112" s="17"/>
      <c r="PKM112" s="17"/>
      <c r="PKN112" s="17"/>
      <c r="PKO112" s="17"/>
      <c r="PKP112" s="17"/>
      <c r="PKQ112" s="17"/>
      <c r="PKR112" s="17"/>
      <c r="PKS112" s="17"/>
      <c r="PKT112" s="17"/>
      <c r="PKU112" s="17"/>
      <c r="PKV112" s="17"/>
      <c r="PKW112" s="17"/>
      <c r="PKX112" s="17"/>
      <c r="PKY112" s="17"/>
      <c r="PKZ112" s="17"/>
      <c r="PLA112" s="17"/>
      <c r="PLB112" s="17"/>
      <c r="PLC112" s="17"/>
      <c r="PLD112" s="17"/>
      <c r="PLE112" s="17"/>
      <c r="PLF112" s="17"/>
      <c r="PLG112" s="17"/>
      <c r="PLH112" s="17"/>
      <c r="PLI112" s="17"/>
      <c r="PLJ112" s="17"/>
      <c r="PLK112" s="17"/>
      <c r="PLL112" s="17"/>
      <c r="PLM112" s="17"/>
      <c r="PLN112" s="17"/>
      <c r="PLO112" s="17"/>
      <c r="PLP112" s="17"/>
      <c r="PLQ112" s="17"/>
      <c r="PLR112" s="17"/>
      <c r="PLS112" s="17"/>
      <c r="PLT112" s="17"/>
      <c r="PLU112" s="17"/>
      <c r="PLV112" s="17"/>
      <c r="PLW112" s="17"/>
      <c r="PLX112" s="17"/>
      <c r="PLY112" s="17"/>
      <c r="PLZ112" s="17"/>
      <c r="PMA112" s="17"/>
      <c r="PMB112" s="17"/>
      <c r="PMC112" s="17"/>
      <c r="PMD112" s="17"/>
      <c r="PME112" s="17"/>
      <c r="PMF112" s="17"/>
      <c r="PMG112" s="17"/>
      <c r="PMH112" s="17"/>
      <c r="PMI112" s="17"/>
      <c r="PMJ112" s="17"/>
      <c r="PMK112" s="17"/>
      <c r="PML112" s="17"/>
      <c r="PMM112" s="17"/>
      <c r="PMN112" s="17"/>
      <c r="PMO112" s="17"/>
      <c r="PMP112" s="17"/>
      <c r="PMQ112" s="17"/>
      <c r="PMR112" s="17"/>
      <c r="PMS112" s="17"/>
      <c r="PMT112" s="17"/>
      <c r="PMU112" s="17"/>
      <c r="PMV112" s="17"/>
      <c r="PMW112" s="17"/>
      <c r="PMX112" s="17"/>
      <c r="PMY112" s="17"/>
      <c r="PMZ112" s="17"/>
      <c r="PNA112" s="17"/>
      <c r="PNB112" s="17"/>
      <c r="PNC112" s="17"/>
      <c r="PND112" s="17"/>
      <c r="PNE112" s="17"/>
      <c r="PNF112" s="17"/>
      <c r="PNG112" s="17"/>
      <c r="PNH112" s="17"/>
      <c r="PNI112" s="17"/>
      <c r="PNJ112" s="17"/>
      <c r="PNK112" s="17"/>
      <c r="PNL112" s="17"/>
      <c r="PNM112" s="17"/>
      <c r="PNN112" s="17"/>
      <c r="PNO112" s="17"/>
      <c r="PNP112" s="17"/>
      <c r="PNQ112" s="17"/>
      <c r="PNR112" s="17"/>
      <c r="PNS112" s="17"/>
      <c r="PNT112" s="17"/>
      <c r="PNU112" s="17"/>
      <c r="PNV112" s="17"/>
      <c r="PNW112" s="17"/>
      <c r="PNX112" s="17"/>
      <c r="PNY112" s="17"/>
      <c r="PNZ112" s="17"/>
      <c r="POA112" s="17"/>
      <c r="POB112" s="17"/>
      <c r="POC112" s="17"/>
      <c r="POD112" s="17"/>
      <c r="POE112" s="17"/>
      <c r="POF112" s="17"/>
      <c r="POG112" s="17"/>
      <c r="POH112" s="17"/>
      <c r="POI112" s="17"/>
      <c r="POJ112" s="17"/>
      <c r="POK112" s="17"/>
      <c r="POL112" s="17"/>
      <c r="POM112" s="17"/>
      <c r="PON112" s="17"/>
      <c r="POO112" s="17"/>
      <c r="POP112" s="17"/>
      <c r="POQ112" s="17"/>
      <c r="POR112" s="17"/>
      <c r="POS112" s="17"/>
      <c r="POT112" s="17"/>
      <c r="POU112" s="17"/>
      <c r="POV112" s="17"/>
      <c r="POW112" s="17"/>
      <c r="POX112" s="17"/>
      <c r="POY112" s="17"/>
      <c r="POZ112" s="17"/>
      <c r="PPA112" s="17"/>
      <c r="PPB112" s="17"/>
      <c r="PPC112" s="17"/>
      <c r="PPD112" s="17"/>
      <c r="PPE112" s="17"/>
      <c r="PPF112" s="17"/>
      <c r="PPG112" s="17"/>
      <c r="PPH112" s="17"/>
      <c r="PPI112" s="17"/>
      <c r="PPJ112" s="17"/>
      <c r="PPK112" s="17"/>
      <c r="PPL112" s="17"/>
      <c r="PPM112" s="17"/>
      <c r="PPN112" s="17"/>
      <c r="PPO112" s="17"/>
      <c r="PPP112" s="17"/>
      <c r="PPQ112" s="17"/>
      <c r="PPR112" s="17"/>
      <c r="PPS112" s="17"/>
      <c r="PPT112" s="17"/>
      <c r="PPU112" s="17"/>
      <c r="PPV112" s="17"/>
      <c r="PPW112" s="17"/>
      <c r="PPX112" s="17"/>
      <c r="PPY112" s="17"/>
      <c r="PPZ112" s="17"/>
      <c r="PQA112" s="17"/>
      <c r="PQB112" s="17"/>
      <c r="PQC112" s="17"/>
      <c r="PQD112" s="17"/>
      <c r="PQE112" s="17"/>
      <c r="PQF112" s="17"/>
      <c r="PQG112" s="17"/>
      <c r="PQH112" s="17"/>
      <c r="PQI112" s="17"/>
      <c r="PQJ112" s="17"/>
      <c r="PQK112" s="17"/>
      <c r="PQL112" s="17"/>
      <c r="PQM112" s="17"/>
      <c r="PQN112" s="17"/>
      <c r="PQO112" s="17"/>
      <c r="PQP112" s="17"/>
      <c r="PQQ112" s="17"/>
      <c r="PQR112" s="17"/>
      <c r="PQS112" s="17"/>
      <c r="PQT112" s="17"/>
      <c r="PQU112" s="17"/>
      <c r="PQV112" s="17"/>
      <c r="PQW112" s="17"/>
      <c r="PQX112" s="17"/>
      <c r="PQY112" s="17"/>
      <c r="PQZ112" s="17"/>
      <c r="PRA112" s="17"/>
      <c r="PRB112" s="17"/>
      <c r="PRC112" s="17"/>
      <c r="PRD112" s="17"/>
      <c r="PRE112" s="17"/>
      <c r="PRF112" s="17"/>
      <c r="PRG112" s="17"/>
      <c r="PRH112" s="17"/>
      <c r="PRI112" s="17"/>
      <c r="PRJ112" s="17"/>
      <c r="PRK112" s="17"/>
      <c r="PRL112" s="17"/>
      <c r="PRM112" s="17"/>
      <c r="PRN112" s="17"/>
      <c r="PRO112" s="17"/>
      <c r="PRP112" s="17"/>
      <c r="PRQ112" s="17"/>
      <c r="PRR112" s="17"/>
      <c r="PRS112" s="17"/>
      <c r="PRT112" s="17"/>
      <c r="PRU112" s="17"/>
      <c r="PRV112" s="17"/>
      <c r="PRW112" s="17"/>
      <c r="PRX112" s="17"/>
      <c r="PRY112" s="17"/>
      <c r="PRZ112" s="17"/>
      <c r="PSA112" s="17"/>
      <c r="PSB112" s="17"/>
      <c r="PSC112" s="17"/>
      <c r="PSD112" s="17"/>
      <c r="PSE112" s="17"/>
      <c r="PSF112" s="17"/>
      <c r="PSG112" s="17"/>
      <c r="PSH112" s="17"/>
      <c r="PSI112" s="17"/>
      <c r="PSJ112" s="17"/>
      <c r="PSK112" s="17"/>
      <c r="PSL112" s="17"/>
      <c r="PSM112" s="17"/>
      <c r="PSN112" s="17"/>
      <c r="PSO112" s="17"/>
      <c r="PSP112" s="17"/>
      <c r="PSQ112" s="17"/>
      <c r="PSR112" s="17"/>
      <c r="PSS112" s="17"/>
      <c r="PST112" s="17"/>
      <c r="PSU112" s="17"/>
      <c r="PSV112" s="17"/>
      <c r="PSW112" s="17"/>
      <c r="PSX112" s="17"/>
      <c r="PSY112" s="17"/>
      <c r="PSZ112" s="17"/>
      <c r="PTA112" s="17"/>
      <c r="PTB112" s="17"/>
      <c r="PTC112" s="17"/>
      <c r="PTD112" s="17"/>
      <c r="PTE112" s="17"/>
      <c r="PTF112" s="17"/>
      <c r="PTG112" s="17"/>
      <c r="PTH112" s="17"/>
      <c r="PTI112" s="17"/>
      <c r="PTJ112" s="17"/>
      <c r="PTK112" s="17"/>
      <c r="PTL112" s="17"/>
      <c r="PTM112" s="17"/>
      <c r="PTN112" s="17"/>
      <c r="PTO112" s="17"/>
      <c r="PTP112" s="17"/>
      <c r="PTQ112" s="17"/>
      <c r="PTR112" s="17"/>
      <c r="PTS112" s="17"/>
      <c r="PTT112" s="17"/>
      <c r="PTU112" s="17"/>
      <c r="PTV112" s="17"/>
      <c r="PTW112" s="17"/>
      <c r="PTX112" s="17"/>
      <c r="PTY112" s="17"/>
      <c r="PTZ112" s="17"/>
      <c r="PUA112" s="17"/>
      <c r="PUB112" s="17"/>
      <c r="PUC112" s="17"/>
      <c r="PUD112" s="17"/>
      <c r="PUE112" s="17"/>
      <c r="PUF112" s="17"/>
      <c r="PUG112" s="17"/>
      <c r="PUH112" s="17"/>
      <c r="PUI112" s="17"/>
      <c r="PUJ112" s="17"/>
      <c r="PUK112" s="17"/>
      <c r="PUL112" s="17"/>
      <c r="PUM112" s="17"/>
      <c r="PUN112" s="17"/>
      <c r="PUO112" s="17"/>
      <c r="PUP112" s="17"/>
      <c r="PUQ112" s="17"/>
      <c r="PUR112" s="17"/>
      <c r="PUS112" s="17"/>
      <c r="PUT112" s="17"/>
      <c r="PUU112" s="17"/>
      <c r="PUV112" s="17"/>
      <c r="PUW112" s="17"/>
      <c r="PUX112" s="17"/>
      <c r="PUY112" s="17"/>
      <c r="PUZ112" s="17"/>
      <c r="PVA112" s="17"/>
      <c r="PVB112" s="17"/>
      <c r="PVC112" s="17"/>
      <c r="PVD112" s="17"/>
      <c r="PVE112" s="17"/>
      <c r="PVF112" s="17"/>
      <c r="PVG112" s="17"/>
      <c r="PVH112" s="17"/>
      <c r="PVI112" s="17"/>
      <c r="PVJ112" s="17"/>
      <c r="PVK112" s="17"/>
      <c r="PVL112" s="17"/>
      <c r="PVM112" s="17"/>
      <c r="PVN112" s="17"/>
      <c r="PVO112" s="17"/>
      <c r="PVP112" s="17"/>
      <c r="PVQ112" s="17"/>
      <c r="PVR112" s="17"/>
      <c r="PVS112" s="17"/>
      <c r="PVT112" s="17"/>
      <c r="PVU112" s="17"/>
      <c r="PVV112" s="17"/>
      <c r="PVW112" s="17"/>
      <c r="PVX112" s="17"/>
      <c r="PVY112" s="17"/>
      <c r="PVZ112" s="17"/>
      <c r="PWA112" s="17"/>
      <c r="PWB112" s="17"/>
      <c r="PWC112" s="17"/>
      <c r="PWD112" s="17"/>
      <c r="PWE112" s="17"/>
      <c r="PWF112" s="17"/>
      <c r="PWG112" s="17"/>
      <c r="PWH112" s="17"/>
      <c r="PWI112" s="17"/>
      <c r="PWJ112" s="17"/>
      <c r="PWK112" s="17"/>
      <c r="PWL112" s="17"/>
      <c r="PWM112" s="17"/>
      <c r="PWN112" s="17"/>
      <c r="PWO112" s="17"/>
      <c r="PWP112" s="17"/>
      <c r="PWQ112" s="17"/>
      <c r="PWR112" s="17"/>
      <c r="PWS112" s="17"/>
      <c r="PWT112" s="17"/>
      <c r="PWU112" s="17"/>
      <c r="PWV112" s="17"/>
      <c r="PWW112" s="17"/>
      <c r="PWX112" s="17"/>
      <c r="PWY112" s="17"/>
      <c r="PWZ112" s="17"/>
      <c r="PXA112" s="17"/>
      <c r="PXB112" s="17"/>
      <c r="PXC112" s="17"/>
      <c r="PXD112" s="17"/>
      <c r="PXE112" s="17"/>
      <c r="PXF112" s="17"/>
      <c r="PXG112" s="17"/>
      <c r="PXH112" s="17"/>
      <c r="PXI112" s="17"/>
      <c r="PXJ112" s="17"/>
      <c r="PXK112" s="17"/>
      <c r="PXL112" s="17"/>
      <c r="PXM112" s="17"/>
      <c r="PXN112" s="17"/>
      <c r="PXO112" s="17"/>
      <c r="PXP112" s="17"/>
      <c r="PXQ112" s="17"/>
      <c r="PXR112" s="17"/>
      <c r="PXS112" s="17"/>
      <c r="PXT112" s="17"/>
      <c r="PXU112" s="17"/>
      <c r="PXV112" s="17"/>
      <c r="PXW112" s="17"/>
      <c r="PXX112" s="17"/>
      <c r="PXY112" s="17"/>
      <c r="PXZ112" s="17"/>
      <c r="PYA112" s="17"/>
      <c r="PYB112" s="17"/>
      <c r="PYC112" s="17"/>
      <c r="PYD112" s="17"/>
      <c r="PYE112" s="17"/>
      <c r="PYF112" s="17"/>
      <c r="PYG112" s="17"/>
      <c r="PYH112" s="17"/>
      <c r="PYI112" s="17"/>
      <c r="PYJ112" s="17"/>
      <c r="PYK112" s="17"/>
      <c r="PYL112" s="17"/>
      <c r="PYM112" s="17"/>
      <c r="PYN112" s="17"/>
      <c r="PYO112" s="17"/>
      <c r="PYP112" s="17"/>
      <c r="PYQ112" s="17"/>
      <c r="PYR112" s="17"/>
      <c r="PYS112" s="17"/>
      <c r="PYT112" s="17"/>
      <c r="PYU112" s="17"/>
      <c r="PYV112" s="17"/>
      <c r="PYW112" s="17"/>
      <c r="PYX112" s="17"/>
      <c r="PYY112" s="17"/>
      <c r="PYZ112" s="17"/>
      <c r="PZA112" s="17"/>
      <c r="PZB112" s="17"/>
      <c r="PZC112" s="17"/>
      <c r="PZD112" s="17"/>
      <c r="PZE112" s="17"/>
      <c r="PZF112" s="17"/>
      <c r="PZG112" s="17"/>
      <c r="PZH112" s="17"/>
      <c r="PZI112" s="17"/>
      <c r="PZJ112" s="17"/>
      <c r="PZK112" s="17"/>
      <c r="PZL112" s="17"/>
      <c r="PZM112" s="17"/>
      <c r="PZN112" s="17"/>
      <c r="PZO112" s="17"/>
      <c r="PZP112" s="17"/>
      <c r="PZQ112" s="17"/>
      <c r="PZR112" s="17"/>
      <c r="PZS112" s="17"/>
      <c r="PZT112" s="17"/>
      <c r="PZU112" s="17"/>
      <c r="PZV112" s="17"/>
      <c r="PZW112" s="17"/>
      <c r="PZX112" s="17"/>
      <c r="PZY112" s="17"/>
      <c r="PZZ112" s="17"/>
      <c r="QAA112" s="17"/>
      <c r="QAB112" s="17"/>
      <c r="QAC112" s="17"/>
      <c r="QAD112" s="17"/>
      <c r="QAE112" s="17"/>
      <c r="QAF112" s="17"/>
      <c r="QAG112" s="17"/>
      <c r="QAH112" s="17"/>
      <c r="QAI112" s="17"/>
      <c r="QAJ112" s="17"/>
      <c r="QAK112" s="17"/>
      <c r="QAL112" s="17"/>
      <c r="QAM112" s="17"/>
      <c r="QAN112" s="17"/>
      <c r="QAO112" s="17"/>
      <c r="QAP112" s="17"/>
      <c r="QAQ112" s="17"/>
      <c r="QAR112" s="17"/>
      <c r="QAS112" s="17"/>
      <c r="QAT112" s="17"/>
      <c r="QAU112" s="17"/>
      <c r="QAV112" s="17"/>
      <c r="QAW112" s="17"/>
      <c r="QAX112" s="17"/>
      <c r="QAY112" s="17"/>
      <c r="QAZ112" s="17"/>
      <c r="QBA112" s="17"/>
      <c r="QBB112" s="17"/>
      <c r="QBC112" s="17"/>
      <c r="QBD112" s="17"/>
      <c r="QBE112" s="17"/>
      <c r="QBF112" s="17"/>
      <c r="QBG112" s="17"/>
      <c r="QBH112" s="17"/>
      <c r="QBI112" s="17"/>
      <c r="QBJ112" s="17"/>
      <c r="QBK112" s="17"/>
      <c r="QBL112" s="17"/>
      <c r="QBM112" s="17"/>
      <c r="QBN112" s="17"/>
      <c r="QBO112" s="17"/>
      <c r="QBP112" s="17"/>
      <c r="QBQ112" s="17"/>
      <c r="QBR112" s="17"/>
      <c r="QBS112" s="17"/>
      <c r="QBT112" s="17"/>
      <c r="QBU112" s="17"/>
      <c r="QBV112" s="17"/>
      <c r="QBW112" s="17"/>
      <c r="QBX112" s="17"/>
      <c r="QBY112" s="17"/>
      <c r="QBZ112" s="17"/>
      <c r="QCA112" s="17"/>
      <c r="QCB112" s="17"/>
      <c r="QCC112" s="17"/>
      <c r="QCD112" s="17"/>
      <c r="QCE112" s="17"/>
      <c r="QCF112" s="17"/>
      <c r="QCG112" s="17"/>
      <c r="QCH112" s="17"/>
      <c r="QCI112" s="17"/>
      <c r="QCJ112" s="17"/>
      <c r="QCK112" s="17"/>
      <c r="QCL112" s="17"/>
      <c r="QCM112" s="17"/>
      <c r="QCN112" s="17"/>
      <c r="QCO112" s="17"/>
      <c r="QCP112" s="17"/>
      <c r="QCQ112" s="17"/>
      <c r="QCR112" s="17"/>
      <c r="QCS112" s="17"/>
      <c r="QCT112" s="17"/>
      <c r="QCU112" s="17"/>
      <c r="QCV112" s="17"/>
      <c r="QCW112" s="17"/>
      <c r="QCX112" s="17"/>
      <c r="QCY112" s="17"/>
      <c r="QCZ112" s="17"/>
      <c r="QDA112" s="17"/>
      <c r="QDB112" s="17"/>
      <c r="QDC112" s="17"/>
      <c r="QDD112" s="17"/>
      <c r="QDE112" s="17"/>
      <c r="QDF112" s="17"/>
      <c r="QDG112" s="17"/>
      <c r="QDH112" s="17"/>
      <c r="QDI112" s="17"/>
      <c r="QDJ112" s="17"/>
      <c r="QDK112" s="17"/>
      <c r="QDL112" s="17"/>
      <c r="QDM112" s="17"/>
      <c r="QDN112" s="17"/>
      <c r="QDO112" s="17"/>
      <c r="QDP112" s="17"/>
      <c r="QDQ112" s="17"/>
      <c r="QDR112" s="17"/>
      <c r="QDS112" s="17"/>
      <c r="QDT112" s="17"/>
      <c r="QDU112" s="17"/>
      <c r="QDV112" s="17"/>
      <c r="QDW112" s="17"/>
      <c r="QDX112" s="17"/>
      <c r="QDY112" s="17"/>
      <c r="QDZ112" s="17"/>
      <c r="QEA112" s="17"/>
      <c r="QEB112" s="17"/>
      <c r="QEC112" s="17"/>
      <c r="QED112" s="17"/>
      <c r="QEE112" s="17"/>
      <c r="QEF112" s="17"/>
      <c r="QEG112" s="17"/>
      <c r="QEH112" s="17"/>
      <c r="QEI112" s="17"/>
      <c r="QEJ112" s="17"/>
      <c r="QEK112" s="17"/>
      <c r="QEL112" s="17"/>
      <c r="QEM112" s="17"/>
      <c r="QEN112" s="17"/>
      <c r="QEO112" s="17"/>
      <c r="QEP112" s="17"/>
      <c r="QEQ112" s="17"/>
      <c r="QER112" s="17"/>
      <c r="QES112" s="17"/>
      <c r="QET112" s="17"/>
      <c r="QEU112" s="17"/>
      <c r="QEV112" s="17"/>
      <c r="QEW112" s="17"/>
      <c r="QEX112" s="17"/>
      <c r="QEY112" s="17"/>
      <c r="QEZ112" s="17"/>
      <c r="QFA112" s="17"/>
      <c r="QFB112" s="17"/>
      <c r="QFC112" s="17"/>
      <c r="QFD112" s="17"/>
      <c r="QFE112" s="17"/>
      <c r="QFF112" s="17"/>
      <c r="QFG112" s="17"/>
      <c r="QFH112" s="17"/>
      <c r="QFI112" s="17"/>
      <c r="QFJ112" s="17"/>
      <c r="QFK112" s="17"/>
      <c r="QFL112" s="17"/>
      <c r="QFM112" s="17"/>
      <c r="QFN112" s="17"/>
      <c r="QFO112" s="17"/>
      <c r="QFP112" s="17"/>
      <c r="QFQ112" s="17"/>
      <c r="QFR112" s="17"/>
      <c r="QFS112" s="17"/>
      <c r="QFT112" s="17"/>
      <c r="QFU112" s="17"/>
      <c r="QFV112" s="17"/>
      <c r="QFW112" s="17"/>
      <c r="QFX112" s="17"/>
      <c r="QFY112" s="17"/>
      <c r="QFZ112" s="17"/>
      <c r="QGA112" s="17"/>
      <c r="QGB112" s="17"/>
      <c r="QGC112" s="17"/>
      <c r="QGD112" s="17"/>
      <c r="QGE112" s="17"/>
      <c r="QGF112" s="17"/>
      <c r="QGG112" s="17"/>
      <c r="QGH112" s="17"/>
      <c r="QGI112" s="17"/>
      <c r="QGJ112" s="17"/>
      <c r="QGK112" s="17"/>
      <c r="QGL112" s="17"/>
      <c r="QGM112" s="17"/>
      <c r="QGN112" s="17"/>
      <c r="QGO112" s="17"/>
      <c r="QGP112" s="17"/>
      <c r="QGQ112" s="17"/>
      <c r="QGR112" s="17"/>
      <c r="QGS112" s="17"/>
      <c r="QGT112" s="17"/>
      <c r="QGU112" s="17"/>
      <c r="QGV112" s="17"/>
      <c r="QGW112" s="17"/>
      <c r="QGX112" s="17"/>
      <c r="QGY112" s="17"/>
      <c r="QGZ112" s="17"/>
      <c r="QHA112" s="17"/>
      <c r="QHB112" s="17"/>
      <c r="QHC112" s="17"/>
      <c r="QHD112" s="17"/>
      <c r="QHE112" s="17"/>
      <c r="QHF112" s="17"/>
      <c r="QHG112" s="17"/>
      <c r="QHH112" s="17"/>
      <c r="QHI112" s="17"/>
      <c r="QHJ112" s="17"/>
      <c r="QHK112" s="17"/>
      <c r="QHL112" s="17"/>
      <c r="QHM112" s="17"/>
      <c r="QHN112" s="17"/>
      <c r="QHO112" s="17"/>
      <c r="QHP112" s="17"/>
      <c r="QHQ112" s="17"/>
      <c r="QHR112" s="17"/>
      <c r="QHS112" s="17"/>
      <c r="QHT112" s="17"/>
      <c r="QHU112" s="17"/>
      <c r="QHV112" s="17"/>
      <c r="QHW112" s="17"/>
      <c r="QHX112" s="17"/>
      <c r="QHY112" s="17"/>
      <c r="QHZ112" s="17"/>
      <c r="QIA112" s="17"/>
      <c r="QIB112" s="17"/>
      <c r="QIC112" s="17"/>
      <c r="QID112" s="17"/>
      <c r="QIE112" s="17"/>
      <c r="QIF112" s="17"/>
      <c r="QIG112" s="17"/>
      <c r="QIH112" s="17"/>
      <c r="QII112" s="17"/>
      <c r="QIJ112" s="17"/>
      <c r="QIK112" s="17"/>
      <c r="QIL112" s="17"/>
      <c r="QIM112" s="17"/>
      <c r="QIN112" s="17"/>
      <c r="QIO112" s="17"/>
      <c r="QIP112" s="17"/>
      <c r="QIQ112" s="17"/>
      <c r="QIR112" s="17"/>
      <c r="QIS112" s="17"/>
      <c r="QIT112" s="17"/>
      <c r="QIU112" s="17"/>
      <c r="QIV112" s="17"/>
      <c r="QIW112" s="17"/>
      <c r="QIX112" s="17"/>
      <c r="QIY112" s="17"/>
      <c r="QIZ112" s="17"/>
      <c r="QJA112" s="17"/>
      <c r="QJB112" s="17"/>
      <c r="QJC112" s="17"/>
      <c r="QJD112" s="17"/>
      <c r="QJE112" s="17"/>
      <c r="QJF112" s="17"/>
      <c r="QJG112" s="17"/>
      <c r="QJH112" s="17"/>
      <c r="QJI112" s="17"/>
      <c r="QJJ112" s="17"/>
      <c r="QJK112" s="17"/>
      <c r="QJL112" s="17"/>
      <c r="QJM112" s="17"/>
      <c r="QJN112" s="17"/>
      <c r="QJO112" s="17"/>
      <c r="QJP112" s="17"/>
      <c r="QJQ112" s="17"/>
      <c r="QJR112" s="17"/>
      <c r="QJS112" s="17"/>
      <c r="QJT112" s="17"/>
      <c r="QJU112" s="17"/>
      <c r="QJV112" s="17"/>
      <c r="QJW112" s="17"/>
      <c r="QJX112" s="17"/>
      <c r="QJY112" s="17"/>
      <c r="QJZ112" s="17"/>
      <c r="QKA112" s="17"/>
      <c r="QKB112" s="17"/>
      <c r="QKC112" s="17"/>
      <c r="QKD112" s="17"/>
      <c r="QKE112" s="17"/>
      <c r="QKF112" s="17"/>
      <c r="QKG112" s="17"/>
      <c r="QKH112" s="17"/>
      <c r="QKI112" s="17"/>
      <c r="QKJ112" s="17"/>
      <c r="QKK112" s="17"/>
      <c r="QKL112" s="17"/>
      <c r="QKM112" s="17"/>
      <c r="QKN112" s="17"/>
      <c r="QKO112" s="17"/>
      <c r="QKP112" s="17"/>
      <c r="QKQ112" s="17"/>
      <c r="QKR112" s="17"/>
      <c r="QKS112" s="17"/>
      <c r="QKT112" s="17"/>
      <c r="QKU112" s="17"/>
      <c r="QKV112" s="17"/>
      <c r="QKW112" s="17"/>
      <c r="QKX112" s="17"/>
      <c r="QKY112" s="17"/>
      <c r="QKZ112" s="17"/>
      <c r="QLA112" s="17"/>
      <c r="QLB112" s="17"/>
      <c r="QLC112" s="17"/>
      <c r="QLD112" s="17"/>
      <c r="QLE112" s="17"/>
      <c r="QLF112" s="17"/>
      <c r="QLG112" s="17"/>
      <c r="QLH112" s="17"/>
      <c r="QLI112" s="17"/>
      <c r="QLJ112" s="17"/>
      <c r="QLK112" s="17"/>
      <c r="QLL112" s="17"/>
      <c r="QLM112" s="17"/>
      <c r="QLN112" s="17"/>
      <c r="QLO112" s="17"/>
      <c r="QLP112" s="17"/>
      <c r="QLQ112" s="17"/>
      <c r="QLR112" s="17"/>
      <c r="QLS112" s="17"/>
      <c r="QLT112" s="17"/>
      <c r="QLU112" s="17"/>
      <c r="QLV112" s="17"/>
      <c r="QLW112" s="17"/>
      <c r="QLX112" s="17"/>
      <c r="QLY112" s="17"/>
      <c r="QLZ112" s="17"/>
      <c r="QMA112" s="17"/>
      <c r="QMB112" s="17"/>
      <c r="QMC112" s="17"/>
      <c r="QMD112" s="17"/>
      <c r="QME112" s="17"/>
      <c r="QMF112" s="17"/>
      <c r="QMG112" s="17"/>
      <c r="QMH112" s="17"/>
      <c r="QMI112" s="17"/>
      <c r="QMJ112" s="17"/>
      <c r="QMK112" s="17"/>
      <c r="QML112" s="17"/>
      <c r="QMM112" s="17"/>
      <c r="QMN112" s="17"/>
      <c r="QMO112" s="17"/>
      <c r="QMP112" s="17"/>
      <c r="QMQ112" s="17"/>
      <c r="QMR112" s="17"/>
      <c r="QMS112" s="17"/>
      <c r="QMT112" s="17"/>
      <c r="QMU112" s="17"/>
      <c r="QMV112" s="17"/>
      <c r="QMW112" s="17"/>
      <c r="QMX112" s="17"/>
      <c r="QMY112" s="17"/>
      <c r="QMZ112" s="17"/>
      <c r="QNA112" s="17"/>
      <c r="QNB112" s="17"/>
      <c r="QNC112" s="17"/>
      <c r="QND112" s="17"/>
      <c r="QNE112" s="17"/>
      <c r="QNF112" s="17"/>
      <c r="QNG112" s="17"/>
      <c r="QNH112" s="17"/>
      <c r="QNI112" s="17"/>
      <c r="QNJ112" s="17"/>
      <c r="QNK112" s="17"/>
      <c r="QNL112" s="17"/>
      <c r="QNM112" s="17"/>
      <c r="QNN112" s="17"/>
      <c r="QNO112" s="17"/>
      <c r="QNP112" s="17"/>
      <c r="QNQ112" s="17"/>
      <c r="QNR112" s="17"/>
      <c r="QNS112" s="17"/>
      <c r="QNT112" s="17"/>
      <c r="QNU112" s="17"/>
      <c r="QNV112" s="17"/>
      <c r="QNW112" s="17"/>
      <c r="QNX112" s="17"/>
      <c r="QNY112" s="17"/>
      <c r="QNZ112" s="17"/>
      <c r="QOA112" s="17"/>
      <c r="QOB112" s="17"/>
      <c r="QOC112" s="17"/>
      <c r="QOD112" s="17"/>
      <c r="QOE112" s="17"/>
      <c r="QOF112" s="17"/>
      <c r="QOG112" s="17"/>
      <c r="QOH112" s="17"/>
      <c r="QOI112" s="17"/>
      <c r="QOJ112" s="17"/>
      <c r="QOK112" s="17"/>
      <c r="QOL112" s="17"/>
      <c r="QOM112" s="17"/>
      <c r="QON112" s="17"/>
      <c r="QOO112" s="17"/>
      <c r="QOP112" s="17"/>
      <c r="QOQ112" s="17"/>
      <c r="QOR112" s="17"/>
      <c r="QOS112" s="17"/>
      <c r="QOT112" s="17"/>
      <c r="QOU112" s="17"/>
      <c r="QOV112" s="17"/>
      <c r="QOW112" s="17"/>
      <c r="QOX112" s="17"/>
      <c r="QOY112" s="17"/>
      <c r="QOZ112" s="17"/>
      <c r="QPA112" s="17"/>
      <c r="QPB112" s="17"/>
      <c r="QPC112" s="17"/>
      <c r="QPD112" s="17"/>
      <c r="QPE112" s="17"/>
      <c r="QPF112" s="17"/>
      <c r="QPG112" s="17"/>
      <c r="QPH112" s="17"/>
      <c r="QPI112" s="17"/>
      <c r="QPJ112" s="17"/>
      <c r="QPK112" s="17"/>
      <c r="QPL112" s="17"/>
      <c r="QPM112" s="17"/>
      <c r="QPN112" s="17"/>
      <c r="QPO112" s="17"/>
      <c r="QPP112" s="17"/>
      <c r="QPQ112" s="17"/>
      <c r="QPR112" s="17"/>
      <c r="QPS112" s="17"/>
      <c r="QPT112" s="17"/>
      <c r="QPU112" s="17"/>
      <c r="QPV112" s="17"/>
      <c r="QPW112" s="17"/>
      <c r="QPX112" s="17"/>
      <c r="QPY112" s="17"/>
      <c r="QPZ112" s="17"/>
      <c r="QQA112" s="17"/>
      <c r="QQB112" s="17"/>
      <c r="QQC112" s="17"/>
      <c r="QQD112" s="17"/>
      <c r="QQE112" s="17"/>
      <c r="QQF112" s="17"/>
      <c r="QQG112" s="17"/>
      <c r="QQH112" s="17"/>
      <c r="QQI112" s="17"/>
      <c r="QQJ112" s="17"/>
      <c r="QQK112" s="17"/>
      <c r="QQL112" s="17"/>
      <c r="QQM112" s="17"/>
      <c r="QQN112" s="17"/>
      <c r="QQO112" s="17"/>
      <c r="QQP112" s="17"/>
      <c r="QQQ112" s="17"/>
      <c r="QQR112" s="17"/>
      <c r="QQS112" s="17"/>
      <c r="QQT112" s="17"/>
      <c r="QQU112" s="17"/>
      <c r="QQV112" s="17"/>
      <c r="QQW112" s="17"/>
      <c r="QQX112" s="17"/>
      <c r="QQY112" s="17"/>
      <c r="QQZ112" s="17"/>
      <c r="QRA112" s="17"/>
      <c r="QRB112" s="17"/>
      <c r="QRC112" s="17"/>
      <c r="QRD112" s="17"/>
      <c r="QRE112" s="17"/>
      <c r="QRF112" s="17"/>
      <c r="QRG112" s="17"/>
      <c r="QRH112" s="17"/>
      <c r="QRI112" s="17"/>
      <c r="QRJ112" s="17"/>
      <c r="QRK112" s="17"/>
      <c r="QRL112" s="17"/>
      <c r="QRM112" s="17"/>
      <c r="QRN112" s="17"/>
      <c r="QRO112" s="17"/>
      <c r="QRP112" s="17"/>
      <c r="QRQ112" s="17"/>
      <c r="QRR112" s="17"/>
      <c r="QRS112" s="17"/>
      <c r="QRT112" s="17"/>
      <c r="QRU112" s="17"/>
      <c r="QRV112" s="17"/>
      <c r="QRW112" s="17"/>
      <c r="QRX112" s="17"/>
      <c r="QRY112" s="17"/>
      <c r="QRZ112" s="17"/>
      <c r="QSA112" s="17"/>
      <c r="QSB112" s="17"/>
      <c r="QSC112" s="17"/>
      <c r="QSD112" s="17"/>
      <c r="QSE112" s="17"/>
      <c r="QSF112" s="17"/>
      <c r="QSG112" s="17"/>
      <c r="QSH112" s="17"/>
      <c r="QSI112" s="17"/>
      <c r="QSJ112" s="17"/>
      <c r="QSK112" s="17"/>
      <c r="QSL112" s="17"/>
      <c r="QSM112" s="17"/>
      <c r="QSN112" s="17"/>
      <c r="QSO112" s="17"/>
      <c r="QSP112" s="17"/>
      <c r="QSQ112" s="17"/>
      <c r="QSR112" s="17"/>
      <c r="QSS112" s="17"/>
      <c r="QST112" s="17"/>
      <c r="QSU112" s="17"/>
      <c r="QSV112" s="17"/>
      <c r="QSW112" s="17"/>
      <c r="QSX112" s="17"/>
      <c r="QSY112" s="17"/>
      <c r="QSZ112" s="17"/>
      <c r="QTA112" s="17"/>
      <c r="QTB112" s="17"/>
      <c r="QTC112" s="17"/>
      <c r="QTD112" s="17"/>
      <c r="QTE112" s="17"/>
      <c r="QTF112" s="17"/>
      <c r="QTG112" s="17"/>
      <c r="QTH112" s="17"/>
      <c r="QTI112" s="17"/>
      <c r="QTJ112" s="17"/>
      <c r="QTK112" s="17"/>
      <c r="QTL112" s="17"/>
      <c r="QTM112" s="17"/>
      <c r="QTN112" s="17"/>
      <c r="QTO112" s="17"/>
      <c r="QTP112" s="17"/>
      <c r="QTQ112" s="17"/>
      <c r="QTR112" s="17"/>
      <c r="QTS112" s="17"/>
      <c r="QTT112" s="17"/>
      <c r="QTU112" s="17"/>
      <c r="QTV112" s="17"/>
      <c r="QTW112" s="17"/>
      <c r="QTX112" s="17"/>
      <c r="QTY112" s="17"/>
      <c r="QTZ112" s="17"/>
      <c r="QUA112" s="17"/>
      <c r="QUB112" s="17"/>
      <c r="QUC112" s="17"/>
      <c r="QUD112" s="17"/>
      <c r="QUE112" s="17"/>
      <c r="QUF112" s="17"/>
      <c r="QUG112" s="17"/>
      <c r="QUH112" s="17"/>
      <c r="QUI112" s="17"/>
      <c r="QUJ112" s="17"/>
      <c r="QUK112" s="17"/>
      <c r="QUL112" s="17"/>
      <c r="QUM112" s="17"/>
      <c r="QUN112" s="17"/>
      <c r="QUO112" s="17"/>
      <c r="QUP112" s="17"/>
      <c r="QUQ112" s="17"/>
      <c r="QUR112" s="17"/>
      <c r="QUS112" s="17"/>
      <c r="QUT112" s="17"/>
      <c r="QUU112" s="17"/>
      <c r="QUV112" s="17"/>
      <c r="QUW112" s="17"/>
      <c r="QUX112" s="17"/>
      <c r="QUY112" s="17"/>
      <c r="QUZ112" s="17"/>
      <c r="QVA112" s="17"/>
      <c r="QVB112" s="17"/>
      <c r="QVC112" s="17"/>
      <c r="QVD112" s="17"/>
      <c r="QVE112" s="17"/>
      <c r="QVF112" s="17"/>
      <c r="QVG112" s="17"/>
      <c r="QVH112" s="17"/>
      <c r="QVI112" s="17"/>
      <c r="QVJ112" s="17"/>
      <c r="QVK112" s="17"/>
      <c r="QVL112" s="17"/>
      <c r="QVM112" s="17"/>
      <c r="QVN112" s="17"/>
      <c r="QVO112" s="17"/>
      <c r="QVP112" s="17"/>
      <c r="QVQ112" s="17"/>
      <c r="QVR112" s="17"/>
      <c r="QVS112" s="17"/>
      <c r="QVT112" s="17"/>
      <c r="QVU112" s="17"/>
      <c r="QVV112" s="17"/>
      <c r="QVW112" s="17"/>
      <c r="QVX112" s="17"/>
      <c r="QVY112" s="17"/>
      <c r="QVZ112" s="17"/>
      <c r="QWA112" s="17"/>
      <c r="QWB112" s="17"/>
      <c r="QWC112" s="17"/>
      <c r="QWD112" s="17"/>
      <c r="QWE112" s="17"/>
      <c r="QWF112" s="17"/>
      <c r="QWG112" s="17"/>
      <c r="QWH112" s="17"/>
      <c r="QWI112" s="17"/>
      <c r="QWJ112" s="17"/>
      <c r="QWK112" s="17"/>
      <c r="QWL112" s="17"/>
      <c r="QWM112" s="17"/>
      <c r="QWN112" s="17"/>
      <c r="QWO112" s="17"/>
      <c r="QWP112" s="17"/>
      <c r="QWQ112" s="17"/>
      <c r="QWR112" s="17"/>
      <c r="QWS112" s="17"/>
      <c r="QWT112" s="17"/>
      <c r="QWU112" s="17"/>
      <c r="QWV112" s="17"/>
      <c r="QWW112" s="17"/>
      <c r="QWX112" s="17"/>
      <c r="QWY112" s="17"/>
      <c r="QWZ112" s="17"/>
      <c r="QXA112" s="17"/>
      <c r="QXB112" s="17"/>
      <c r="QXC112" s="17"/>
      <c r="QXD112" s="17"/>
      <c r="QXE112" s="17"/>
      <c r="QXF112" s="17"/>
      <c r="QXG112" s="17"/>
      <c r="QXH112" s="17"/>
      <c r="QXI112" s="17"/>
      <c r="QXJ112" s="17"/>
      <c r="QXK112" s="17"/>
      <c r="QXL112" s="17"/>
      <c r="QXM112" s="17"/>
      <c r="QXN112" s="17"/>
      <c r="QXO112" s="17"/>
      <c r="QXP112" s="17"/>
      <c r="QXQ112" s="17"/>
      <c r="QXR112" s="17"/>
      <c r="QXS112" s="17"/>
      <c r="QXT112" s="17"/>
      <c r="QXU112" s="17"/>
      <c r="QXV112" s="17"/>
      <c r="QXW112" s="17"/>
      <c r="QXX112" s="17"/>
      <c r="QXY112" s="17"/>
      <c r="QXZ112" s="17"/>
      <c r="QYA112" s="17"/>
      <c r="QYB112" s="17"/>
      <c r="QYC112" s="17"/>
      <c r="QYD112" s="17"/>
      <c r="QYE112" s="17"/>
      <c r="QYF112" s="17"/>
      <c r="QYG112" s="17"/>
      <c r="QYH112" s="17"/>
      <c r="QYI112" s="17"/>
      <c r="QYJ112" s="17"/>
      <c r="QYK112" s="17"/>
      <c r="QYL112" s="17"/>
      <c r="QYM112" s="17"/>
      <c r="QYN112" s="17"/>
      <c r="QYO112" s="17"/>
      <c r="QYP112" s="17"/>
      <c r="QYQ112" s="17"/>
      <c r="QYR112" s="17"/>
      <c r="QYS112" s="17"/>
      <c r="QYT112" s="17"/>
      <c r="QYU112" s="17"/>
      <c r="QYV112" s="17"/>
      <c r="QYW112" s="17"/>
      <c r="QYX112" s="17"/>
      <c r="QYY112" s="17"/>
      <c r="QYZ112" s="17"/>
      <c r="QZA112" s="17"/>
      <c r="QZB112" s="17"/>
      <c r="QZC112" s="17"/>
      <c r="QZD112" s="17"/>
      <c r="QZE112" s="17"/>
      <c r="QZF112" s="17"/>
      <c r="QZG112" s="17"/>
      <c r="QZH112" s="17"/>
      <c r="QZI112" s="17"/>
      <c r="QZJ112" s="17"/>
      <c r="QZK112" s="17"/>
      <c r="QZL112" s="17"/>
      <c r="QZM112" s="17"/>
      <c r="QZN112" s="17"/>
      <c r="QZO112" s="17"/>
      <c r="QZP112" s="17"/>
      <c r="QZQ112" s="17"/>
      <c r="QZR112" s="17"/>
      <c r="QZS112" s="17"/>
      <c r="QZT112" s="17"/>
      <c r="QZU112" s="17"/>
      <c r="QZV112" s="17"/>
      <c r="QZW112" s="17"/>
      <c r="QZX112" s="17"/>
      <c r="QZY112" s="17"/>
      <c r="QZZ112" s="17"/>
      <c r="RAA112" s="17"/>
      <c r="RAB112" s="17"/>
      <c r="RAC112" s="17"/>
      <c r="RAD112" s="17"/>
      <c r="RAE112" s="17"/>
      <c r="RAF112" s="17"/>
      <c r="RAG112" s="17"/>
      <c r="RAH112" s="17"/>
      <c r="RAI112" s="17"/>
      <c r="RAJ112" s="17"/>
      <c r="RAK112" s="17"/>
      <c r="RAL112" s="17"/>
      <c r="RAM112" s="17"/>
      <c r="RAN112" s="17"/>
      <c r="RAO112" s="17"/>
      <c r="RAP112" s="17"/>
      <c r="RAQ112" s="17"/>
      <c r="RAR112" s="17"/>
      <c r="RAS112" s="17"/>
      <c r="RAT112" s="17"/>
      <c r="RAU112" s="17"/>
      <c r="RAV112" s="17"/>
      <c r="RAW112" s="17"/>
      <c r="RAX112" s="17"/>
      <c r="RAY112" s="17"/>
      <c r="RAZ112" s="17"/>
      <c r="RBA112" s="17"/>
      <c r="RBB112" s="17"/>
      <c r="RBC112" s="17"/>
      <c r="RBD112" s="17"/>
      <c r="RBE112" s="17"/>
      <c r="RBF112" s="17"/>
      <c r="RBG112" s="17"/>
      <c r="RBH112" s="17"/>
      <c r="RBI112" s="17"/>
      <c r="RBJ112" s="17"/>
      <c r="RBK112" s="17"/>
      <c r="RBL112" s="17"/>
      <c r="RBM112" s="17"/>
      <c r="RBN112" s="17"/>
      <c r="RBO112" s="17"/>
      <c r="RBP112" s="17"/>
      <c r="RBQ112" s="17"/>
      <c r="RBR112" s="17"/>
      <c r="RBS112" s="17"/>
      <c r="RBT112" s="17"/>
      <c r="RBU112" s="17"/>
      <c r="RBV112" s="17"/>
      <c r="RBW112" s="17"/>
      <c r="RBX112" s="17"/>
      <c r="RBY112" s="17"/>
      <c r="RBZ112" s="17"/>
      <c r="RCA112" s="17"/>
      <c r="RCB112" s="17"/>
      <c r="RCC112" s="17"/>
      <c r="RCD112" s="17"/>
      <c r="RCE112" s="17"/>
      <c r="RCF112" s="17"/>
      <c r="RCG112" s="17"/>
      <c r="RCH112" s="17"/>
      <c r="RCI112" s="17"/>
      <c r="RCJ112" s="17"/>
      <c r="RCK112" s="17"/>
      <c r="RCL112" s="17"/>
      <c r="RCM112" s="17"/>
      <c r="RCN112" s="17"/>
      <c r="RCO112" s="17"/>
      <c r="RCP112" s="17"/>
      <c r="RCQ112" s="17"/>
      <c r="RCR112" s="17"/>
      <c r="RCS112" s="17"/>
      <c r="RCT112" s="17"/>
      <c r="RCU112" s="17"/>
      <c r="RCV112" s="17"/>
      <c r="RCW112" s="17"/>
      <c r="RCX112" s="17"/>
      <c r="RCY112" s="17"/>
      <c r="RCZ112" s="17"/>
      <c r="RDA112" s="17"/>
      <c r="RDB112" s="17"/>
      <c r="RDC112" s="17"/>
      <c r="RDD112" s="17"/>
      <c r="RDE112" s="17"/>
      <c r="RDF112" s="17"/>
      <c r="RDG112" s="17"/>
      <c r="RDH112" s="17"/>
      <c r="RDI112" s="17"/>
      <c r="RDJ112" s="17"/>
      <c r="RDK112" s="17"/>
      <c r="RDL112" s="17"/>
      <c r="RDM112" s="17"/>
      <c r="RDN112" s="17"/>
      <c r="RDO112" s="17"/>
      <c r="RDP112" s="17"/>
      <c r="RDQ112" s="17"/>
      <c r="RDR112" s="17"/>
      <c r="RDS112" s="17"/>
      <c r="RDT112" s="17"/>
      <c r="RDU112" s="17"/>
      <c r="RDV112" s="17"/>
      <c r="RDW112" s="17"/>
      <c r="RDX112" s="17"/>
      <c r="RDY112" s="17"/>
      <c r="RDZ112" s="17"/>
      <c r="REA112" s="17"/>
      <c r="REB112" s="17"/>
      <c r="REC112" s="17"/>
      <c r="RED112" s="17"/>
      <c r="REE112" s="17"/>
      <c r="REF112" s="17"/>
      <c r="REG112" s="17"/>
      <c r="REH112" s="17"/>
      <c r="REI112" s="17"/>
      <c r="REJ112" s="17"/>
      <c r="REK112" s="17"/>
      <c r="REL112" s="17"/>
      <c r="REM112" s="17"/>
      <c r="REN112" s="17"/>
      <c r="REO112" s="17"/>
      <c r="REP112" s="17"/>
      <c r="REQ112" s="17"/>
      <c r="RER112" s="17"/>
      <c r="RES112" s="17"/>
      <c r="RET112" s="17"/>
      <c r="REU112" s="17"/>
      <c r="REV112" s="17"/>
      <c r="REW112" s="17"/>
      <c r="REX112" s="17"/>
      <c r="REY112" s="17"/>
      <c r="REZ112" s="17"/>
      <c r="RFA112" s="17"/>
      <c r="RFB112" s="17"/>
      <c r="RFC112" s="17"/>
      <c r="RFD112" s="17"/>
      <c r="RFE112" s="17"/>
      <c r="RFF112" s="17"/>
      <c r="RFG112" s="17"/>
      <c r="RFH112" s="17"/>
      <c r="RFI112" s="17"/>
      <c r="RFJ112" s="17"/>
      <c r="RFK112" s="17"/>
      <c r="RFL112" s="17"/>
      <c r="RFM112" s="17"/>
      <c r="RFN112" s="17"/>
      <c r="RFO112" s="17"/>
      <c r="RFP112" s="17"/>
      <c r="RFQ112" s="17"/>
      <c r="RFR112" s="17"/>
      <c r="RFS112" s="17"/>
      <c r="RFT112" s="17"/>
      <c r="RFU112" s="17"/>
      <c r="RFV112" s="17"/>
      <c r="RFW112" s="17"/>
      <c r="RFX112" s="17"/>
      <c r="RFY112" s="17"/>
      <c r="RFZ112" s="17"/>
      <c r="RGA112" s="17"/>
      <c r="RGB112" s="17"/>
      <c r="RGC112" s="17"/>
      <c r="RGD112" s="17"/>
      <c r="RGE112" s="17"/>
      <c r="RGF112" s="17"/>
      <c r="RGG112" s="17"/>
      <c r="RGH112" s="17"/>
      <c r="RGI112" s="17"/>
      <c r="RGJ112" s="17"/>
      <c r="RGK112" s="17"/>
      <c r="RGL112" s="17"/>
      <c r="RGM112" s="17"/>
      <c r="RGN112" s="17"/>
      <c r="RGO112" s="17"/>
      <c r="RGP112" s="17"/>
      <c r="RGQ112" s="17"/>
      <c r="RGR112" s="17"/>
      <c r="RGS112" s="17"/>
      <c r="RGT112" s="17"/>
      <c r="RGU112" s="17"/>
      <c r="RGV112" s="17"/>
      <c r="RGW112" s="17"/>
      <c r="RGX112" s="17"/>
      <c r="RGY112" s="17"/>
      <c r="RGZ112" s="17"/>
      <c r="RHA112" s="17"/>
      <c r="RHB112" s="17"/>
      <c r="RHC112" s="17"/>
      <c r="RHD112" s="17"/>
      <c r="RHE112" s="17"/>
      <c r="RHF112" s="17"/>
      <c r="RHG112" s="17"/>
      <c r="RHH112" s="17"/>
      <c r="RHI112" s="17"/>
      <c r="RHJ112" s="17"/>
      <c r="RHK112" s="17"/>
      <c r="RHL112" s="17"/>
      <c r="RHM112" s="17"/>
      <c r="RHN112" s="17"/>
      <c r="RHO112" s="17"/>
      <c r="RHP112" s="17"/>
      <c r="RHQ112" s="17"/>
      <c r="RHR112" s="17"/>
      <c r="RHS112" s="17"/>
      <c r="RHT112" s="17"/>
      <c r="RHU112" s="17"/>
      <c r="RHV112" s="17"/>
      <c r="RHW112" s="17"/>
      <c r="RHX112" s="17"/>
      <c r="RHY112" s="17"/>
      <c r="RHZ112" s="17"/>
      <c r="RIA112" s="17"/>
      <c r="RIB112" s="17"/>
      <c r="RIC112" s="17"/>
      <c r="RID112" s="17"/>
      <c r="RIE112" s="17"/>
      <c r="RIF112" s="17"/>
      <c r="RIG112" s="17"/>
      <c r="RIH112" s="17"/>
      <c r="RII112" s="17"/>
      <c r="RIJ112" s="17"/>
      <c r="RIK112" s="17"/>
      <c r="RIL112" s="17"/>
      <c r="RIM112" s="17"/>
      <c r="RIN112" s="17"/>
      <c r="RIO112" s="17"/>
      <c r="RIP112" s="17"/>
      <c r="RIQ112" s="17"/>
      <c r="RIR112" s="17"/>
      <c r="RIS112" s="17"/>
      <c r="RIT112" s="17"/>
      <c r="RIU112" s="17"/>
      <c r="RIV112" s="17"/>
      <c r="RIW112" s="17"/>
      <c r="RIX112" s="17"/>
      <c r="RIY112" s="17"/>
      <c r="RIZ112" s="17"/>
      <c r="RJA112" s="17"/>
      <c r="RJB112" s="17"/>
      <c r="RJC112" s="17"/>
      <c r="RJD112" s="17"/>
      <c r="RJE112" s="17"/>
      <c r="RJF112" s="17"/>
      <c r="RJG112" s="17"/>
      <c r="RJH112" s="17"/>
      <c r="RJI112" s="17"/>
      <c r="RJJ112" s="17"/>
      <c r="RJK112" s="17"/>
      <c r="RJL112" s="17"/>
      <c r="RJM112" s="17"/>
      <c r="RJN112" s="17"/>
      <c r="RJO112" s="17"/>
      <c r="RJP112" s="17"/>
      <c r="RJQ112" s="17"/>
      <c r="RJR112" s="17"/>
      <c r="RJS112" s="17"/>
      <c r="RJT112" s="17"/>
      <c r="RJU112" s="17"/>
      <c r="RJV112" s="17"/>
      <c r="RJW112" s="17"/>
      <c r="RJX112" s="17"/>
      <c r="RJY112" s="17"/>
      <c r="RJZ112" s="17"/>
      <c r="RKA112" s="17"/>
      <c r="RKB112" s="17"/>
      <c r="RKC112" s="17"/>
      <c r="RKD112" s="17"/>
      <c r="RKE112" s="17"/>
      <c r="RKF112" s="17"/>
      <c r="RKG112" s="17"/>
      <c r="RKH112" s="17"/>
      <c r="RKI112" s="17"/>
      <c r="RKJ112" s="17"/>
      <c r="RKK112" s="17"/>
      <c r="RKL112" s="17"/>
      <c r="RKM112" s="17"/>
      <c r="RKN112" s="17"/>
      <c r="RKO112" s="17"/>
      <c r="RKP112" s="17"/>
      <c r="RKQ112" s="17"/>
      <c r="RKR112" s="17"/>
      <c r="RKS112" s="17"/>
      <c r="RKT112" s="17"/>
      <c r="RKU112" s="17"/>
      <c r="RKV112" s="17"/>
      <c r="RKW112" s="17"/>
      <c r="RKX112" s="17"/>
      <c r="RKY112" s="17"/>
      <c r="RKZ112" s="17"/>
      <c r="RLA112" s="17"/>
      <c r="RLB112" s="17"/>
      <c r="RLC112" s="17"/>
      <c r="RLD112" s="17"/>
      <c r="RLE112" s="17"/>
      <c r="RLF112" s="17"/>
      <c r="RLG112" s="17"/>
      <c r="RLH112" s="17"/>
      <c r="RLI112" s="17"/>
      <c r="RLJ112" s="17"/>
      <c r="RLK112" s="17"/>
      <c r="RLL112" s="17"/>
      <c r="RLM112" s="17"/>
      <c r="RLN112" s="17"/>
      <c r="RLO112" s="17"/>
      <c r="RLP112" s="17"/>
      <c r="RLQ112" s="17"/>
      <c r="RLR112" s="17"/>
      <c r="RLS112" s="17"/>
      <c r="RLT112" s="17"/>
      <c r="RLU112" s="17"/>
      <c r="RLV112" s="17"/>
      <c r="RLW112" s="17"/>
      <c r="RLX112" s="17"/>
      <c r="RLY112" s="17"/>
      <c r="RLZ112" s="17"/>
      <c r="RMA112" s="17"/>
      <c r="RMB112" s="17"/>
      <c r="RMC112" s="17"/>
      <c r="RMD112" s="17"/>
      <c r="RME112" s="17"/>
      <c r="RMF112" s="17"/>
      <c r="RMG112" s="17"/>
      <c r="RMH112" s="17"/>
      <c r="RMI112" s="17"/>
      <c r="RMJ112" s="17"/>
      <c r="RMK112" s="17"/>
      <c r="RML112" s="17"/>
      <c r="RMM112" s="17"/>
      <c r="RMN112" s="17"/>
      <c r="RMO112" s="17"/>
      <c r="RMP112" s="17"/>
      <c r="RMQ112" s="17"/>
      <c r="RMR112" s="17"/>
      <c r="RMS112" s="17"/>
      <c r="RMT112" s="17"/>
      <c r="RMU112" s="17"/>
      <c r="RMV112" s="17"/>
      <c r="RMW112" s="17"/>
      <c r="RMX112" s="17"/>
      <c r="RMY112" s="17"/>
      <c r="RMZ112" s="17"/>
      <c r="RNA112" s="17"/>
      <c r="RNB112" s="17"/>
      <c r="RNC112" s="17"/>
      <c r="RND112" s="17"/>
      <c r="RNE112" s="17"/>
      <c r="RNF112" s="17"/>
      <c r="RNG112" s="17"/>
      <c r="RNH112" s="17"/>
      <c r="RNI112" s="17"/>
      <c r="RNJ112" s="17"/>
      <c r="RNK112" s="17"/>
      <c r="RNL112" s="17"/>
      <c r="RNM112" s="17"/>
      <c r="RNN112" s="17"/>
      <c r="RNO112" s="17"/>
      <c r="RNP112" s="17"/>
      <c r="RNQ112" s="17"/>
      <c r="RNR112" s="17"/>
      <c r="RNS112" s="17"/>
      <c r="RNT112" s="17"/>
      <c r="RNU112" s="17"/>
      <c r="RNV112" s="17"/>
      <c r="RNW112" s="17"/>
      <c r="RNX112" s="17"/>
      <c r="RNY112" s="17"/>
      <c r="RNZ112" s="17"/>
      <c r="ROA112" s="17"/>
      <c r="ROB112" s="17"/>
      <c r="ROC112" s="17"/>
      <c r="ROD112" s="17"/>
      <c r="ROE112" s="17"/>
      <c r="ROF112" s="17"/>
      <c r="ROG112" s="17"/>
      <c r="ROH112" s="17"/>
      <c r="ROI112" s="17"/>
      <c r="ROJ112" s="17"/>
      <c r="ROK112" s="17"/>
      <c r="ROL112" s="17"/>
      <c r="ROM112" s="17"/>
      <c r="RON112" s="17"/>
      <c r="ROO112" s="17"/>
      <c r="ROP112" s="17"/>
      <c r="ROQ112" s="17"/>
      <c r="ROR112" s="17"/>
      <c r="ROS112" s="17"/>
      <c r="ROT112" s="17"/>
      <c r="ROU112" s="17"/>
      <c r="ROV112" s="17"/>
      <c r="ROW112" s="17"/>
      <c r="ROX112" s="17"/>
      <c r="ROY112" s="17"/>
      <c r="ROZ112" s="17"/>
      <c r="RPA112" s="17"/>
      <c r="RPB112" s="17"/>
      <c r="RPC112" s="17"/>
      <c r="RPD112" s="17"/>
      <c r="RPE112" s="17"/>
      <c r="RPF112" s="17"/>
      <c r="RPG112" s="17"/>
      <c r="RPH112" s="17"/>
      <c r="RPI112" s="17"/>
      <c r="RPJ112" s="17"/>
      <c r="RPK112" s="17"/>
      <c r="RPL112" s="17"/>
      <c r="RPM112" s="17"/>
      <c r="RPN112" s="17"/>
      <c r="RPO112" s="17"/>
      <c r="RPP112" s="17"/>
      <c r="RPQ112" s="17"/>
      <c r="RPR112" s="17"/>
      <c r="RPS112" s="17"/>
      <c r="RPT112" s="17"/>
      <c r="RPU112" s="17"/>
      <c r="RPV112" s="17"/>
      <c r="RPW112" s="17"/>
      <c r="RPX112" s="17"/>
      <c r="RPY112" s="17"/>
      <c r="RPZ112" s="17"/>
      <c r="RQA112" s="17"/>
      <c r="RQB112" s="17"/>
      <c r="RQC112" s="17"/>
      <c r="RQD112" s="17"/>
      <c r="RQE112" s="17"/>
      <c r="RQF112" s="17"/>
      <c r="RQG112" s="17"/>
      <c r="RQH112" s="17"/>
      <c r="RQI112" s="17"/>
      <c r="RQJ112" s="17"/>
      <c r="RQK112" s="17"/>
      <c r="RQL112" s="17"/>
      <c r="RQM112" s="17"/>
      <c r="RQN112" s="17"/>
      <c r="RQO112" s="17"/>
      <c r="RQP112" s="17"/>
      <c r="RQQ112" s="17"/>
      <c r="RQR112" s="17"/>
      <c r="RQS112" s="17"/>
      <c r="RQT112" s="17"/>
      <c r="RQU112" s="17"/>
      <c r="RQV112" s="17"/>
      <c r="RQW112" s="17"/>
      <c r="RQX112" s="17"/>
      <c r="RQY112" s="17"/>
      <c r="RQZ112" s="17"/>
      <c r="RRA112" s="17"/>
      <c r="RRB112" s="17"/>
      <c r="RRC112" s="17"/>
      <c r="RRD112" s="17"/>
      <c r="RRE112" s="17"/>
      <c r="RRF112" s="17"/>
      <c r="RRG112" s="17"/>
      <c r="RRH112" s="17"/>
      <c r="RRI112" s="17"/>
      <c r="RRJ112" s="17"/>
      <c r="RRK112" s="17"/>
      <c r="RRL112" s="17"/>
      <c r="RRM112" s="17"/>
      <c r="RRN112" s="17"/>
      <c r="RRO112" s="17"/>
      <c r="RRP112" s="17"/>
      <c r="RRQ112" s="17"/>
      <c r="RRR112" s="17"/>
      <c r="RRS112" s="17"/>
      <c r="RRT112" s="17"/>
      <c r="RRU112" s="17"/>
      <c r="RRV112" s="17"/>
      <c r="RRW112" s="17"/>
      <c r="RRX112" s="17"/>
      <c r="RRY112" s="17"/>
      <c r="RRZ112" s="17"/>
      <c r="RSA112" s="17"/>
      <c r="RSB112" s="17"/>
      <c r="RSC112" s="17"/>
      <c r="RSD112" s="17"/>
      <c r="RSE112" s="17"/>
      <c r="RSF112" s="17"/>
      <c r="RSG112" s="17"/>
      <c r="RSH112" s="17"/>
      <c r="RSI112" s="17"/>
      <c r="RSJ112" s="17"/>
      <c r="RSK112" s="17"/>
      <c r="RSL112" s="17"/>
      <c r="RSM112" s="17"/>
      <c r="RSN112" s="17"/>
      <c r="RSO112" s="17"/>
      <c r="RSP112" s="17"/>
      <c r="RSQ112" s="17"/>
      <c r="RSR112" s="17"/>
      <c r="RSS112" s="17"/>
      <c r="RST112" s="17"/>
      <c r="RSU112" s="17"/>
      <c r="RSV112" s="17"/>
      <c r="RSW112" s="17"/>
      <c r="RSX112" s="17"/>
      <c r="RSY112" s="17"/>
      <c r="RSZ112" s="17"/>
      <c r="RTA112" s="17"/>
      <c r="RTB112" s="17"/>
      <c r="RTC112" s="17"/>
      <c r="RTD112" s="17"/>
      <c r="RTE112" s="17"/>
      <c r="RTF112" s="17"/>
      <c r="RTG112" s="17"/>
      <c r="RTH112" s="17"/>
      <c r="RTI112" s="17"/>
      <c r="RTJ112" s="17"/>
      <c r="RTK112" s="17"/>
      <c r="RTL112" s="17"/>
      <c r="RTM112" s="17"/>
      <c r="RTN112" s="17"/>
      <c r="RTO112" s="17"/>
      <c r="RTP112" s="17"/>
      <c r="RTQ112" s="17"/>
      <c r="RTR112" s="17"/>
      <c r="RTS112" s="17"/>
      <c r="RTT112" s="17"/>
      <c r="RTU112" s="17"/>
      <c r="RTV112" s="17"/>
      <c r="RTW112" s="17"/>
      <c r="RTX112" s="17"/>
      <c r="RTY112" s="17"/>
      <c r="RTZ112" s="17"/>
      <c r="RUA112" s="17"/>
      <c r="RUB112" s="17"/>
      <c r="RUC112" s="17"/>
      <c r="RUD112" s="17"/>
      <c r="RUE112" s="17"/>
      <c r="RUF112" s="17"/>
      <c r="RUG112" s="17"/>
      <c r="RUH112" s="17"/>
      <c r="RUI112" s="17"/>
      <c r="RUJ112" s="17"/>
      <c r="RUK112" s="17"/>
      <c r="RUL112" s="17"/>
      <c r="RUM112" s="17"/>
      <c r="RUN112" s="17"/>
      <c r="RUO112" s="17"/>
      <c r="RUP112" s="17"/>
      <c r="RUQ112" s="17"/>
      <c r="RUR112" s="17"/>
      <c r="RUS112" s="17"/>
      <c r="RUT112" s="17"/>
      <c r="RUU112" s="17"/>
      <c r="RUV112" s="17"/>
      <c r="RUW112" s="17"/>
      <c r="RUX112" s="17"/>
      <c r="RUY112" s="17"/>
      <c r="RUZ112" s="17"/>
      <c r="RVA112" s="17"/>
      <c r="RVB112" s="17"/>
      <c r="RVC112" s="17"/>
      <c r="RVD112" s="17"/>
      <c r="RVE112" s="17"/>
      <c r="RVF112" s="17"/>
      <c r="RVG112" s="17"/>
      <c r="RVH112" s="17"/>
      <c r="RVI112" s="17"/>
      <c r="RVJ112" s="17"/>
      <c r="RVK112" s="17"/>
      <c r="RVL112" s="17"/>
      <c r="RVM112" s="17"/>
      <c r="RVN112" s="17"/>
      <c r="RVO112" s="17"/>
      <c r="RVP112" s="17"/>
      <c r="RVQ112" s="17"/>
      <c r="RVR112" s="17"/>
      <c r="RVS112" s="17"/>
      <c r="RVT112" s="17"/>
      <c r="RVU112" s="17"/>
      <c r="RVV112" s="17"/>
      <c r="RVW112" s="17"/>
      <c r="RVX112" s="17"/>
      <c r="RVY112" s="17"/>
      <c r="RVZ112" s="17"/>
      <c r="RWA112" s="17"/>
      <c r="RWB112" s="17"/>
      <c r="RWC112" s="17"/>
      <c r="RWD112" s="17"/>
      <c r="RWE112" s="17"/>
      <c r="RWF112" s="17"/>
      <c r="RWG112" s="17"/>
      <c r="RWH112" s="17"/>
      <c r="RWI112" s="17"/>
      <c r="RWJ112" s="17"/>
      <c r="RWK112" s="17"/>
      <c r="RWL112" s="17"/>
      <c r="RWM112" s="17"/>
      <c r="RWN112" s="17"/>
      <c r="RWO112" s="17"/>
      <c r="RWP112" s="17"/>
      <c r="RWQ112" s="17"/>
      <c r="RWR112" s="17"/>
      <c r="RWS112" s="17"/>
      <c r="RWT112" s="17"/>
      <c r="RWU112" s="17"/>
      <c r="RWV112" s="17"/>
      <c r="RWW112" s="17"/>
      <c r="RWX112" s="17"/>
      <c r="RWY112" s="17"/>
      <c r="RWZ112" s="17"/>
      <c r="RXA112" s="17"/>
      <c r="RXB112" s="17"/>
      <c r="RXC112" s="17"/>
      <c r="RXD112" s="17"/>
      <c r="RXE112" s="17"/>
      <c r="RXF112" s="17"/>
      <c r="RXG112" s="17"/>
      <c r="RXH112" s="17"/>
      <c r="RXI112" s="17"/>
      <c r="RXJ112" s="17"/>
      <c r="RXK112" s="17"/>
      <c r="RXL112" s="17"/>
      <c r="RXM112" s="17"/>
      <c r="RXN112" s="17"/>
      <c r="RXO112" s="17"/>
      <c r="RXP112" s="17"/>
      <c r="RXQ112" s="17"/>
      <c r="RXR112" s="17"/>
      <c r="RXS112" s="17"/>
      <c r="RXT112" s="17"/>
      <c r="RXU112" s="17"/>
      <c r="RXV112" s="17"/>
      <c r="RXW112" s="17"/>
      <c r="RXX112" s="17"/>
      <c r="RXY112" s="17"/>
      <c r="RXZ112" s="17"/>
      <c r="RYA112" s="17"/>
      <c r="RYB112" s="17"/>
      <c r="RYC112" s="17"/>
      <c r="RYD112" s="17"/>
      <c r="RYE112" s="17"/>
      <c r="RYF112" s="17"/>
      <c r="RYG112" s="17"/>
      <c r="RYH112" s="17"/>
      <c r="RYI112" s="17"/>
      <c r="RYJ112" s="17"/>
      <c r="RYK112" s="17"/>
      <c r="RYL112" s="17"/>
      <c r="RYM112" s="17"/>
      <c r="RYN112" s="17"/>
      <c r="RYO112" s="17"/>
      <c r="RYP112" s="17"/>
      <c r="RYQ112" s="17"/>
      <c r="RYR112" s="17"/>
      <c r="RYS112" s="17"/>
      <c r="RYT112" s="17"/>
      <c r="RYU112" s="17"/>
      <c r="RYV112" s="17"/>
      <c r="RYW112" s="17"/>
      <c r="RYX112" s="17"/>
      <c r="RYY112" s="17"/>
      <c r="RYZ112" s="17"/>
      <c r="RZA112" s="17"/>
      <c r="RZB112" s="17"/>
      <c r="RZC112" s="17"/>
      <c r="RZD112" s="17"/>
      <c r="RZE112" s="17"/>
      <c r="RZF112" s="17"/>
      <c r="RZG112" s="17"/>
      <c r="RZH112" s="17"/>
      <c r="RZI112" s="17"/>
      <c r="RZJ112" s="17"/>
      <c r="RZK112" s="17"/>
      <c r="RZL112" s="17"/>
      <c r="RZM112" s="17"/>
      <c r="RZN112" s="17"/>
      <c r="RZO112" s="17"/>
      <c r="RZP112" s="17"/>
      <c r="RZQ112" s="17"/>
      <c r="RZR112" s="17"/>
      <c r="RZS112" s="17"/>
      <c r="RZT112" s="17"/>
      <c r="RZU112" s="17"/>
      <c r="RZV112" s="17"/>
      <c r="RZW112" s="17"/>
      <c r="RZX112" s="17"/>
      <c r="RZY112" s="17"/>
      <c r="RZZ112" s="17"/>
      <c r="SAA112" s="17"/>
      <c r="SAB112" s="17"/>
      <c r="SAC112" s="17"/>
      <c r="SAD112" s="17"/>
      <c r="SAE112" s="17"/>
      <c r="SAF112" s="17"/>
      <c r="SAG112" s="17"/>
      <c r="SAH112" s="17"/>
      <c r="SAI112" s="17"/>
      <c r="SAJ112" s="17"/>
      <c r="SAK112" s="17"/>
      <c r="SAL112" s="17"/>
      <c r="SAM112" s="17"/>
      <c r="SAN112" s="17"/>
      <c r="SAO112" s="17"/>
      <c r="SAP112" s="17"/>
      <c r="SAQ112" s="17"/>
      <c r="SAR112" s="17"/>
      <c r="SAS112" s="17"/>
      <c r="SAT112" s="17"/>
      <c r="SAU112" s="17"/>
      <c r="SAV112" s="17"/>
      <c r="SAW112" s="17"/>
      <c r="SAX112" s="17"/>
      <c r="SAY112" s="17"/>
      <c r="SAZ112" s="17"/>
      <c r="SBA112" s="17"/>
      <c r="SBB112" s="17"/>
      <c r="SBC112" s="17"/>
      <c r="SBD112" s="17"/>
      <c r="SBE112" s="17"/>
      <c r="SBF112" s="17"/>
      <c r="SBG112" s="17"/>
      <c r="SBH112" s="17"/>
      <c r="SBI112" s="17"/>
      <c r="SBJ112" s="17"/>
      <c r="SBK112" s="17"/>
      <c r="SBL112" s="17"/>
      <c r="SBM112" s="17"/>
      <c r="SBN112" s="17"/>
      <c r="SBO112" s="17"/>
      <c r="SBP112" s="17"/>
      <c r="SBQ112" s="17"/>
      <c r="SBR112" s="17"/>
      <c r="SBS112" s="17"/>
      <c r="SBT112" s="17"/>
      <c r="SBU112" s="17"/>
      <c r="SBV112" s="17"/>
      <c r="SBW112" s="17"/>
      <c r="SBX112" s="17"/>
      <c r="SBY112" s="17"/>
      <c r="SBZ112" s="17"/>
      <c r="SCA112" s="17"/>
      <c r="SCB112" s="17"/>
      <c r="SCC112" s="17"/>
      <c r="SCD112" s="17"/>
      <c r="SCE112" s="17"/>
      <c r="SCF112" s="17"/>
      <c r="SCG112" s="17"/>
      <c r="SCH112" s="17"/>
      <c r="SCI112" s="17"/>
      <c r="SCJ112" s="17"/>
      <c r="SCK112" s="17"/>
      <c r="SCL112" s="17"/>
      <c r="SCM112" s="17"/>
      <c r="SCN112" s="17"/>
      <c r="SCO112" s="17"/>
      <c r="SCP112" s="17"/>
      <c r="SCQ112" s="17"/>
      <c r="SCR112" s="17"/>
      <c r="SCS112" s="17"/>
      <c r="SCT112" s="17"/>
      <c r="SCU112" s="17"/>
      <c r="SCV112" s="17"/>
      <c r="SCW112" s="17"/>
      <c r="SCX112" s="17"/>
      <c r="SCY112" s="17"/>
      <c r="SCZ112" s="17"/>
      <c r="SDA112" s="17"/>
      <c r="SDB112" s="17"/>
      <c r="SDC112" s="17"/>
      <c r="SDD112" s="17"/>
      <c r="SDE112" s="17"/>
      <c r="SDF112" s="17"/>
      <c r="SDG112" s="17"/>
      <c r="SDH112" s="17"/>
      <c r="SDI112" s="17"/>
      <c r="SDJ112" s="17"/>
      <c r="SDK112" s="17"/>
      <c r="SDL112" s="17"/>
      <c r="SDM112" s="17"/>
      <c r="SDN112" s="17"/>
      <c r="SDO112" s="17"/>
      <c r="SDP112" s="17"/>
      <c r="SDQ112" s="17"/>
      <c r="SDR112" s="17"/>
      <c r="SDS112" s="17"/>
      <c r="SDT112" s="17"/>
      <c r="SDU112" s="17"/>
      <c r="SDV112" s="17"/>
      <c r="SDW112" s="17"/>
      <c r="SDX112" s="17"/>
      <c r="SDY112" s="17"/>
      <c r="SDZ112" s="17"/>
      <c r="SEA112" s="17"/>
      <c r="SEB112" s="17"/>
      <c r="SEC112" s="17"/>
      <c r="SED112" s="17"/>
      <c r="SEE112" s="17"/>
      <c r="SEF112" s="17"/>
      <c r="SEG112" s="17"/>
      <c r="SEH112" s="17"/>
      <c r="SEI112" s="17"/>
      <c r="SEJ112" s="17"/>
      <c r="SEK112" s="17"/>
      <c r="SEL112" s="17"/>
      <c r="SEM112" s="17"/>
      <c r="SEN112" s="17"/>
      <c r="SEO112" s="17"/>
      <c r="SEP112" s="17"/>
      <c r="SEQ112" s="17"/>
      <c r="SER112" s="17"/>
      <c r="SES112" s="17"/>
      <c r="SET112" s="17"/>
      <c r="SEU112" s="17"/>
      <c r="SEV112" s="17"/>
      <c r="SEW112" s="17"/>
      <c r="SEX112" s="17"/>
      <c r="SEY112" s="17"/>
      <c r="SEZ112" s="17"/>
      <c r="SFA112" s="17"/>
      <c r="SFB112" s="17"/>
      <c r="SFC112" s="17"/>
      <c r="SFD112" s="17"/>
      <c r="SFE112" s="17"/>
      <c r="SFF112" s="17"/>
      <c r="SFG112" s="17"/>
      <c r="SFH112" s="17"/>
      <c r="SFI112" s="17"/>
      <c r="SFJ112" s="17"/>
      <c r="SFK112" s="17"/>
      <c r="SFL112" s="17"/>
      <c r="SFM112" s="17"/>
      <c r="SFN112" s="17"/>
      <c r="SFO112" s="17"/>
      <c r="SFP112" s="17"/>
      <c r="SFQ112" s="17"/>
      <c r="SFR112" s="17"/>
      <c r="SFS112" s="17"/>
      <c r="SFT112" s="17"/>
      <c r="SFU112" s="17"/>
      <c r="SFV112" s="17"/>
      <c r="SFW112" s="17"/>
      <c r="SFX112" s="17"/>
      <c r="SFY112" s="17"/>
      <c r="SFZ112" s="17"/>
      <c r="SGA112" s="17"/>
      <c r="SGB112" s="17"/>
      <c r="SGC112" s="17"/>
      <c r="SGD112" s="17"/>
      <c r="SGE112" s="17"/>
      <c r="SGF112" s="17"/>
      <c r="SGG112" s="17"/>
      <c r="SGH112" s="17"/>
      <c r="SGI112" s="17"/>
      <c r="SGJ112" s="17"/>
      <c r="SGK112" s="17"/>
      <c r="SGL112" s="17"/>
      <c r="SGM112" s="17"/>
      <c r="SGN112" s="17"/>
      <c r="SGO112" s="17"/>
      <c r="SGP112" s="17"/>
      <c r="SGQ112" s="17"/>
      <c r="SGR112" s="17"/>
      <c r="SGS112" s="17"/>
      <c r="SGT112" s="17"/>
      <c r="SGU112" s="17"/>
      <c r="SGV112" s="17"/>
      <c r="SGW112" s="17"/>
      <c r="SGX112" s="17"/>
      <c r="SGY112" s="17"/>
      <c r="SGZ112" s="17"/>
      <c r="SHA112" s="17"/>
      <c r="SHB112" s="17"/>
      <c r="SHC112" s="17"/>
      <c r="SHD112" s="17"/>
      <c r="SHE112" s="17"/>
      <c r="SHF112" s="17"/>
      <c r="SHG112" s="17"/>
      <c r="SHH112" s="17"/>
      <c r="SHI112" s="17"/>
      <c r="SHJ112" s="17"/>
      <c r="SHK112" s="17"/>
      <c r="SHL112" s="17"/>
      <c r="SHM112" s="17"/>
      <c r="SHN112" s="17"/>
      <c r="SHO112" s="17"/>
      <c r="SHP112" s="17"/>
      <c r="SHQ112" s="17"/>
      <c r="SHR112" s="17"/>
      <c r="SHS112" s="17"/>
      <c r="SHT112" s="17"/>
      <c r="SHU112" s="17"/>
      <c r="SHV112" s="17"/>
      <c r="SHW112" s="17"/>
      <c r="SHX112" s="17"/>
      <c r="SHY112" s="17"/>
      <c r="SHZ112" s="17"/>
      <c r="SIA112" s="17"/>
      <c r="SIB112" s="17"/>
      <c r="SIC112" s="17"/>
      <c r="SID112" s="17"/>
      <c r="SIE112" s="17"/>
      <c r="SIF112" s="17"/>
      <c r="SIG112" s="17"/>
      <c r="SIH112" s="17"/>
      <c r="SII112" s="17"/>
      <c r="SIJ112" s="17"/>
      <c r="SIK112" s="17"/>
      <c r="SIL112" s="17"/>
      <c r="SIM112" s="17"/>
      <c r="SIN112" s="17"/>
      <c r="SIO112" s="17"/>
      <c r="SIP112" s="17"/>
      <c r="SIQ112" s="17"/>
      <c r="SIR112" s="17"/>
      <c r="SIS112" s="17"/>
      <c r="SIT112" s="17"/>
      <c r="SIU112" s="17"/>
      <c r="SIV112" s="17"/>
      <c r="SIW112" s="17"/>
      <c r="SIX112" s="17"/>
      <c r="SIY112" s="17"/>
      <c r="SIZ112" s="17"/>
      <c r="SJA112" s="17"/>
      <c r="SJB112" s="17"/>
      <c r="SJC112" s="17"/>
      <c r="SJD112" s="17"/>
      <c r="SJE112" s="17"/>
      <c r="SJF112" s="17"/>
      <c r="SJG112" s="17"/>
      <c r="SJH112" s="17"/>
      <c r="SJI112" s="17"/>
      <c r="SJJ112" s="17"/>
      <c r="SJK112" s="17"/>
      <c r="SJL112" s="17"/>
      <c r="SJM112" s="17"/>
      <c r="SJN112" s="17"/>
      <c r="SJO112" s="17"/>
      <c r="SJP112" s="17"/>
      <c r="SJQ112" s="17"/>
      <c r="SJR112" s="17"/>
      <c r="SJS112" s="17"/>
      <c r="SJT112" s="17"/>
      <c r="SJU112" s="17"/>
      <c r="SJV112" s="17"/>
      <c r="SJW112" s="17"/>
      <c r="SJX112" s="17"/>
      <c r="SJY112" s="17"/>
      <c r="SJZ112" s="17"/>
      <c r="SKA112" s="17"/>
      <c r="SKB112" s="17"/>
      <c r="SKC112" s="17"/>
      <c r="SKD112" s="17"/>
      <c r="SKE112" s="17"/>
      <c r="SKF112" s="17"/>
      <c r="SKG112" s="17"/>
      <c r="SKH112" s="17"/>
      <c r="SKI112" s="17"/>
      <c r="SKJ112" s="17"/>
      <c r="SKK112" s="17"/>
      <c r="SKL112" s="17"/>
      <c r="SKM112" s="17"/>
      <c r="SKN112" s="17"/>
      <c r="SKO112" s="17"/>
      <c r="SKP112" s="17"/>
      <c r="SKQ112" s="17"/>
      <c r="SKR112" s="17"/>
      <c r="SKS112" s="17"/>
      <c r="SKT112" s="17"/>
      <c r="SKU112" s="17"/>
      <c r="SKV112" s="17"/>
      <c r="SKW112" s="17"/>
      <c r="SKX112" s="17"/>
      <c r="SKY112" s="17"/>
      <c r="SKZ112" s="17"/>
      <c r="SLA112" s="17"/>
      <c r="SLB112" s="17"/>
      <c r="SLC112" s="17"/>
      <c r="SLD112" s="17"/>
      <c r="SLE112" s="17"/>
      <c r="SLF112" s="17"/>
      <c r="SLG112" s="17"/>
      <c r="SLH112" s="17"/>
      <c r="SLI112" s="17"/>
      <c r="SLJ112" s="17"/>
      <c r="SLK112" s="17"/>
      <c r="SLL112" s="17"/>
      <c r="SLM112" s="17"/>
      <c r="SLN112" s="17"/>
      <c r="SLO112" s="17"/>
      <c r="SLP112" s="17"/>
      <c r="SLQ112" s="17"/>
      <c r="SLR112" s="17"/>
      <c r="SLS112" s="17"/>
      <c r="SLT112" s="17"/>
      <c r="SLU112" s="17"/>
      <c r="SLV112" s="17"/>
      <c r="SLW112" s="17"/>
      <c r="SLX112" s="17"/>
      <c r="SLY112" s="17"/>
      <c r="SLZ112" s="17"/>
      <c r="SMA112" s="17"/>
      <c r="SMB112" s="17"/>
      <c r="SMC112" s="17"/>
      <c r="SMD112" s="17"/>
      <c r="SME112" s="17"/>
      <c r="SMF112" s="17"/>
      <c r="SMG112" s="17"/>
      <c r="SMH112" s="17"/>
      <c r="SMI112" s="17"/>
      <c r="SMJ112" s="17"/>
      <c r="SMK112" s="17"/>
      <c r="SML112" s="17"/>
      <c r="SMM112" s="17"/>
      <c r="SMN112" s="17"/>
      <c r="SMO112" s="17"/>
      <c r="SMP112" s="17"/>
      <c r="SMQ112" s="17"/>
      <c r="SMR112" s="17"/>
      <c r="SMS112" s="17"/>
      <c r="SMT112" s="17"/>
      <c r="SMU112" s="17"/>
      <c r="SMV112" s="17"/>
      <c r="SMW112" s="17"/>
      <c r="SMX112" s="17"/>
      <c r="SMY112" s="17"/>
      <c r="SMZ112" s="17"/>
      <c r="SNA112" s="17"/>
      <c r="SNB112" s="17"/>
      <c r="SNC112" s="17"/>
      <c r="SND112" s="17"/>
      <c r="SNE112" s="17"/>
      <c r="SNF112" s="17"/>
      <c r="SNG112" s="17"/>
      <c r="SNH112" s="17"/>
      <c r="SNI112" s="17"/>
      <c r="SNJ112" s="17"/>
      <c r="SNK112" s="17"/>
      <c r="SNL112" s="17"/>
      <c r="SNM112" s="17"/>
      <c r="SNN112" s="17"/>
      <c r="SNO112" s="17"/>
      <c r="SNP112" s="17"/>
      <c r="SNQ112" s="17"/>
      <c r="SNR112" s="17"/>
      <c r="SNS112" s="17"/>
      <c r="SNT112" s="17"/>
      <c r="SNU112" s="17"/>
      <c r="SNV112" s="17"/>
      <c r="SNW112" s="17"/>
      <c r="SNX112" s="17"/>
      <c r="SNY112" s="17"/>
      <c r="SNZ112" s="17"/>
      <c r="SOA112" s="17"/>
      <c r="SOB112" s="17"/>
      <c r="SOC112" s="17"/>
      <c r="SOD112" s="17"/>
      <c r="SOE112" s="17"/>
      <c r="SOF112" s="17"/>
      <c r="SOG112" s="17"/>
      <c r="SOH112" s="17"/>
      <c r="SOI112" s="17"/>
      <c r="SOJ112" s="17"/>
      <c r="SOK112" s="17"/>
      <c r="SOL112" s="17"/>
      <c r="SOM112" s="17"/>
      <c r="SON112" s="17"/>
      <c r="SOO112" s="17"/>
      <c r="SOP112" s="17"/>
      <c r="SOQ112" s="17"/>
      <c r="SOR112" s="17"/>
      <c r="SOS112" s="17"/>
      <c r="SOT112" s="17"/>
      <c r="SOU112" s="17"/>
      <c r="SOV112" s="17"/>
      <c r="SOW112" s="17"/>
      <c r="SOX112" s="17"/>
      <c r="SOY112" s="17"/>
      <c r="SOZ112" s="17"/>
      <c r="SPA112" s="17"/>
      <c r="SPB112" s="17"/>
      <c r="SPC112" s="17"/>
      <c r="SPD112" s="17"/>
      <c r="SPE112" s="17"/>
      <c r="SPF112" s="17"/>
      <c r="SPG112" s="17"/>
      <c r="SPH112" s="17"/>
      <c r="SPI112" s="17"/>
      <c r="SPJ112" s="17"/>
      <c r="SPK112" s="17"/>
      <c r="SPL112" s="17"/>
      <c r="SPM112" s="17"/>
      <c r="SPN112" s="17"/>
      <c r="SPO112" s="17"/>
      <c r="SPP112" s="17"/>
      <c r="SPQ112" s="17"/>
      <c r="SPR112" s="17"/>
      <c r="SPS112" s="17"/>
      <c r="SPT112" s="17"/>
      <c r="SPU112" s="17"/>
      <c r="SPV112" s="17"/>
      <c r="SPW112" s="17"/>
      <c r="SPX112" s="17"/>
      <c r="SPY112" s="17"/>
      <c r="SPZ112" s="17"/>
      <c r="SQA112" s="17"/>
      <c r="SQB112" s="17"/>
      <c r="SQC112" s="17"/>
      <c r="SQD112" s="17"/>
      <c r="SQE112" s="17"/>
      <c r="SQF112" s="17"/>
      <c r="SQG112" s="17"/>
      <c r="SQH112" s="17"/>
      <c r="SQI112" s="17"/>
      <c r="SQJ112" s="17"/>
      <c r="SQK112" s="17"/>
      <c r="SQL112" s="17"/>
      <c r="SQM112" s="17"/>
      <c r="SQN112" s="17"/>
      <c r="SQO112" s="17"/>
      <c r="SQP112" s="17"/>
      <c r="SQQ112" s="17"/>
      <c r="SQR112" s="17"/>
      <c r="SQS112" s="17"/>
      <c r="SQT112" s="17"/>
      <c r="SQU112" s="17"/>
      <c r="SQV112" s="17"/>
      <c r="SQW112" s="17"/>
      <c r="SQX112" s="17"/>
      <c r="SQY112" s="17"/>
      <c r="SQZ112" s="17"/>
      <c r="SRA112" s="17"/>
      <c r="SRB112" s="17"/>
      <c r="SRC112" s="17"/>
      <c r="SRD112" s="17"/>
      <c r="SRE112" s="17"/>
      <c r="SRF112" s="17"/>
      <c r="SRG112" s="17"/>
      <c r="SRH112" s="17"/>
      <c r="SRI112" s="17"/>
      <c r="SRJ112" s="17"/>
      <c r="SRK112" s="17"/>
      <c r="SRL112" s="17"/>
      <c r="SRM112" s="17"/>
      <c r="SRN112" s="17"/>
      <c r="SRO112" s="17"/>
      <c r="SRP112" s="17"/>
      <c r="SRQ112" s="17"/>
      <c r="SRR112" s="17"/>
      <c r="SRS112" s="17"/>
      <c r="SRT112" s="17"/>
      <c r="SRU112" s="17"/>
      <c r="SRV112" s="17"/>
      <c r="SRW112" s="17"/>
      <c r="SRX112" s="17"/>
      <c r="SRY112" s="17"/>
      <c r="SRZ112" s="17"/>
      <c r="SSA112" s="17"/>
      <c r="SSB112" s="17"/>
      <c r="SSC112" s="17"/>
      <c r="SSD112" s="17"/>
      <c r="SSE112" s="17"/>
      <c r="SSF112" s="17"/>
      <c r="SSG112" s="17"/>
      <c r="SSH112" s="17"/>
      <c r="SSI112" s="17"/>
      <c r="SSJ112" s="17"/>
      <c r="SSK112" s="17"/>
      <c r="SSL112" s="17"/>
      <c r="SSM112" s="17"/>
      <c r="SSN112" s="17"/>
      <c r="SSO112" s="17"/>
      <c r="SSP112" s="17"/>
      <c r="SSQ112" s="17"/>
      <c r="SSR112" s="17"/>
      <c r="SSS112" s="17"/>
      <c r="SST112" s="17"/>
      <c r="SSU112" s="17"/>
      <c r="SSV112" s="17"/>
      <c r="SSW112" s="17"/>
      <c r="SSX112" s="17"/>
      <c r="SSY112" s="17"/>
      <c r="SSZ112" s="17"/>
      <c r="STA112" s="17"/>
      <c r="STB112" s="17"/>
      <c r="STC112" s="17"/>
      <c r="STD112" s="17"/>
      <c r="STE112" s="17"/>
      <c r="STF112" s="17"/>
      <c r="STG112" s="17"/>
      <c r="STH112" s="17"/>
      <c r="STI112" s="17"/>
      <c r="STJ112" s="17"/>
      <c r="STK112" s="17"/>
      <c r="STL112" s="17"/>
      <c r="STM112" s="17"/>
      <c r="STN112" s="17"/>
      <c r="STO112" s="17"/>
      <c r="STP112" s="17"/>
      <c r="STQ112" s="17"/>
      <c r="STR112" s="17"/>
      <c r="STS112" s="17"/>
      <c r="STT112" s="17"/>
      <c r="STU112" s="17"/>
      <c r="STV112" s="17"/>
      <c r="STW112" s="17"/>
      <c r="STX112" s="17"/>
      <c r="STY112" s="17"/>
      <c r="STZ112" s="17"/>
      <c r="SUA112" s="17"/>
      <c r="SUB112" s="17"/>
      <c r="SUC112" s="17"/>
      <c r="SUD112" s="17"/>
      <c r="SUE112" s="17"/>
      <c r="SUF112" s="17"/>
      <c r="SUG112" s="17"/>
      <c r="SUH112" s="17"/>
      <c r="SUI112" s="17"/>
      <c r="SUJ112" s="17"/>
      <c r="SUK112" s="17"/>
      <c r="SUL112" s="17"/>
      <c r="SUM112" s="17"/>
      <c r="SUN112" s="17"/>
      <c r="SUO112" s="17"/>
      <c r="SUP112" s="17"/>
      <c r="SUQ112" s="17"/>
      <c r="SUR112" s="17"/>
      <c r="SUS112" s="17"/>
      <c r="SUT112" s="17"/>
      <c r="SUU112" s="17"/>
      <c r="SUV112" s="17"/>
      <c r="SUW112" s="17"/>
      <c r="SUX112" s="17"/>
      <c r="SUY112" s="17"/>
      <c r="SUZ112" s="17"/>
      <c r="SVA112" s="17"/>
      <c r="SVB112" s="17"/>
      <c r="SVC112" s="17"/>
      <c r="SVD112" s="17"/>
      <c r="SVE112" s="17"/>
      <c r="SVF112" s="17"/>
      <c r="SVG112" s="17"/>
      <c r="SVH112" s="17"/>
      <c r="SVI112" s="17"/>
      <c r="SVJ112" s="17"/>
      <c r="SVK112" s="17"/>
      <c r="SVL112" s="17"/>
      <c r="SVM112" s="17"/>
      <c r="SVN112" s="17"/>
      <c r="SVO112" s="17"/>
      <c r="SVP112" s="17"/>
      <c r="SVQ112" s="17"/>
      <c r="SVR112" s="17"/>
      <c r="SVS112" s="17"/>
      <c r="SVT112" s="17"/>
      <c r="SVU112" s="17"/>
      <c r="SVV112" s="17"/>
      <c r="SVW112" s="17"/>
      <c r="SVX112" s="17"/>
      <c r="SVY112" s="17"/>
      <c r="SVZ112" s="17"/>
      <c r="SWA112" s="17"/>
      <c r="SWB112" s="17"/>
      <c r="SWC112" s="17"/>
      <c r="SWD112" s="17"/>
      <c r="SWE112" s="17"/>
      <c r="SWF112" s="17"/>
      <c r="SWG112" s="17"/>
      <c r="SWH112" s="17"/>
      <c r="SWI112" s="17"/>
      <c r="SWJ112" s="17"/>
      <c r="SWK112" s="17"/>
      <c r="SWL112" s="17"/>
      <c r="SWM112" s="17"/>
      <c r="SWN112" s="17"/>
      <c r="SWO112" s="17"/>
      <c r="SWP112" s="17"/>
      <c r="SWQ112" s="17"/>
      <c r="SWR112" s="17"/>
      <c r="SWS112" s="17"/>
      <c r="SWT112" s="17"/>
      <c r="SWU112" s="17"/>
      <c r="SWV112" s="17"/>
      <c r="SWW112" s="17"/>
      <c r="SWX112" s="17"/>
      <c r="SWY112" s="17"/>
      <c r="SWZ112" s="17"/>
      <c r="SXA112" s="17"/>
      <c r="SXB112" s="17"/>
      <c r="SXC112" s="17"/>
      <c r="SXD112" s="17"/>
      <c r="SXE112" s="17"/>
      <c r="SXF112" s="17"/>
      <c r="SXG112" s="17"/>
      <c r="SXH112" s="17"/>
      <c r="SXI112" s="17"/>
      <c r="SXJ112" s="17"/>
      <c r="SXK112" s="17"/>
      <c r="SXL112" s="17"/>
      <c r="SXM112" s="17"/>
      <c r="SXN112" s="17"/>
      <c r="SXO112" s="17"/>
      <c r="SXP112" s="17"/>
      <c r="SXQ112" s="17"/>
      <c r="SXR112" s="17"/>
      <c r="SXS112" s="17"/>
      <c r="SXT112" s="17"/>
      <c r="SXU112" s="17"/>
      <c r="SXV112" s="17"/>
      <c r="SXW112" s="17"/>
      <c r="SXX112" s="17"/>
      <c r="SXY112" s="17"/>
      <c r="SXZ112" s="17"/>
      <c r="SYA112" s="17"/>
      <c r="SYB112" s="17"/>
      <c r="SYC112" s="17"/>
      <c r="SYD112" s="17"/>
      <c r="SYE112" s="17"/>
      <c r="SYF112" s="17"/>
      <c r="SYG112" s="17"/>
      <c r="SYH112" s="17"/>
      <c r="SYI112" s="17"/>
      <c r="SYJ112" s="17"/>
      <c r="SYK112" s="17"/>
      <c r="SYL112" s="17"/>
      <c r="SYM112" s="17"/>
      <c r="SYN112" s="17"/>
      <c r="SYO112" s="17"/>
      <c r="SYP112" s="17"/>
      <c r="SYQ112" s="17"/>
      <c r="SYR112" s="17"/>
      <c r="SYS112" s="17"/>
      <c r="SYT112" s="17"/>
      <c r="SYU112" s="17"/>
      <c r="SYV112" s="17"/>
      <c r="SYW112" s="17"/>
      <c r="SYX112" s="17"/>
      <c r="SYY112" s="17"/>
      <c r="SYZ112" s="17"/>
      <c r="SZA112" s="17"/>
      <c r="SZB112" s="17"/>
      <c r="SZC112" s="17"/>
      <c r="SZD112" s="17"/>
      <c r="SZE112" s="17"/>
      <c r="SZF112" s="17"/>
      <c r="SZG112" s="17"/>
      <c r="SZH112" s="17"/>
      <c r="SZI112" s="17"/>
      <c r="SZJ112" s="17"/>
      <c r="SZK112" s="17"/>
      <c r="SZL112" s="17"/>
      <c r="SZM112" s="17"/>
      <c r="SZN112" s="17"/>
      <c r="SZO112" s="17"/>
      <c r="SZP112" s="17"/>
      <c r="SZQ112" s="17"/>
      <c r="SZR112" s="17"/>
      <c r="SZS112" s="17"/>
      <c r="SZT112" s="17"/>
      <c r="SZU112" s="17"/>
      <c r="SZV112" s="17"/>
      <c r="SZW112" s="17"/>
      <c r="SZX112" s="17"/>
      <c r="SZY112" s="17"/>
      <c r="SZZ112" s="17"/>
      <c r="TAA112" s="17"/>
      <c r="TAB112" s="17"/>
      <c r="TAC112" s="17"/>
      <c r="TAD112" s="17"/>
      <c r="TAE112" s="17"/>
      <c r="TAF112" s="17"/>
      <c r="TAG112" s="17"/>
      <c r="TAH112" s="17"/>
      <c r="TAI112" s="17"/>
      <c r="TAJ112" s="17"/>
      <c r="TAK112" s="17"/>
      <c r="TAL112" s="17"/>
      <c r="TAM112" s="17"/>
      <c r="TAN112" s="17"/>
      <c r="TAO112" s="17"/>
      <c r="TAP112" s="17"/>
      <c r="TAQ112" s="17"/>
      <c r="TAR112" s="17"/>
      <c r="TAS112" s="17"/>
      <c r="TAT112" s="17"/>
      <c r="TAU112" s="17"/>
      <c r="TAV112" s="17"/>
      <c r="TAW112" s="17"/>
      <c r="TAX112" s="17"/>
      <c r="TAY112" s="17"/>
      <c r="TAZ112" s="17"/>
      <c r="TBA112" s="17"/>
      <c r="TBB112" s="17"/>
      <c r="TBC112" s="17"/>
      <c r="TBD112" s="17"/>
      <c r="TBE112" s="17"/>
      <c r="TBF112" s="17"/>
      <c r="TBG112" s="17"/>
      <c r="TBH112" s="17"/>
      <c r="TBI112" s="17"/>
      <c r="TBJ112" s="17"/>
      <c r="TBK112" s="17"/>
      <c r="TBL112" s="17"/>
      <c r="TBM112" s="17"/>
      <c r="TBN112" s="17"/>
      <c r="TBO112" s="17"/>
      <c r="TBP112" s="17"/>
      <c r="TBQ112" s="17"/>
      <c r="TBR112" s="17"/>
      <c r="TBS112" s="17"/>
      <c r="TBT112" s="17"/>
      <c r="TBU112" s="17"/>
      <c r="TBV112" s="17"/>
      <c r="TBW112" s="17"/>
      <c r="TBX112" s="17"/>
      <c r="TBY112" s="17"/>
      <c r="TBZ112" s="17"/>
      <c r="TCA112" s="17"/>
      <c r="TCB112" s="17"/>
      <c r="TCC112" s="17"/>
      <c r="TCD112" s="17"/>
      <c r="TCE112" s="17"/>
      <c r="TCF112" s="17"/>
      <c r="TCG112" s="17"/>
      <c r="TCH112" s="17"/>
      <c r="TCI112" s="17"/>
      <c r="TCJ112" s="17"/>
      <c r="TCK112" s="17"/>
      <c r="TCL112" s="17"/>
      <c r="TCM112" s="17"/>
      <c r="TCN112" s="17"/>
      <c r="TCO112" s="17"/>
      <c r="TCP112" s="17"/>
      <c r="TCQ112" s="17"/>
      <c r="TCR112" s="17"/>
      <c r="TCS112" s="17"/>
      <c r="TCT112" s="17"/>
      <c r="TCU112" s="17"/>
      <c r="TCV112" s="17"/>
      <c r="TCW112" s="17"/>
      <c r="TCX112" s="17"/>
      <c r="TCY112" s="17"/>
      <c r="TCZ112" s="17"/>
      <c r="TDA112" s="17"/>
      <c r="TDB112" s="17"/>
      <c r="TDC112" s="17"/>
      <c r="TDD112" s="17"/>
      <c r="TDE112" s="17"/>
      <c r="TDF112" s="17"/>
      <c r="TDG112" s="17"/>
      <c r="TDH112" s="17"/>
      <c r="TDI112" s="17"/>
      <c r="TDJ112" s="17"/>
      <c r="TDK112" s="17"/>
      <c r="TDL112" s="17"/>
      <c r="TDM112" s="17"/>
      <c r="TDN112" s="17"/>
      <c r="TDO112" s="17"/>
      <c r="TDP112" s="17"/>
      <c r="TDQ112" s="17"/>
      <c r="TDR112" s="17"/>
      <c r="TDS112" s="17"/>
      <c r="TDT112" s="17"/>
      <c r="TDU112" s="17"/>
      <c r="TDV112" s="17"/>
      <c r="TDW112" s="17"/>
      <c r="TDX112" s="17"/>
      <c r="TDY112" s="17"/>
      <c r="TDZ112" s="17"/>
      <c r="TEA112" s="17"/>
      <c r="TEB112" s="17"/>
      <c r="TEC112" s="17"/>
      <c r="TED112" s="17"/>
      <c r="TEE112" s="17"/>
      <c r="TEF112" s="17"/>
      <c r="TEG112" s="17"/>
      <c r="TEH112" s="17"/>
      <c r="TEI112" s="17"/>
      <c r="TEJ112" s="17"/>
      <c r="TEK112" s="17"/>
      <c r="TEL112" s="17"/>
      <c r="TEM112" s="17"/>
      <c r="TEN112" s="17"/>
      <c r="TEO112" s="17"/>
      <c r="TEP112" s="17"/>
      <c r="TEQ112" s="17"/>
      <c r="TER112" s="17"/>
      <c r="TES112" s="17"/>
      <c r="TET112" s="17"/>
      <c r="TEU112" s="17"/>
      <c r="TEV112" s="17"/>
      <c r="TEW112" s="17"/>
      <c r="TEX112" s="17"/>
      <c r="TEY112" s="17"/>
      <c r="TEZ112" s="17"/>
      <c r="TFA112" s="17"/>
      <c r="TFB112" s="17"/>
      <c r="TFC112" s="17"/>
      <c r="TFD112" s="17"/>
      <c r="TFE112" s="17"/>
      <c r="TFF112" s="17"/>
      <c r="TFG112" s="17"/>
      <c r="TFH112" s="17"/>
      <c r="TFI112" s="17"/>
      <c r="TFJ112" s="17"/>
      <c r="TFK112" s="17"/>
      <c r="TFL112" s="17"/>
      <c r="TFM112" s="17"/>
      <c r="TFN112" s="17"/>
      <c r="TFO112" s="17"/>
      <c r="TFP112" s="17"/>
      <c r="TFQ112" s="17"/>
      <c r="TFR112" s="17"/>
      <c r="TFS112" s="17"/>
      <c r="TFT112" s="17"/>
      <c r="TFU112" s="17"/>
      <c r="TFV112" s="17"/>
      <c r="TFW112" s="17"/>
      <c r="TFX112" s="17"/>
      <c r="TFY112" s="17"/>
      <c r="TFZ112" s="17"/>
      <c r="TGA112" s="17"/>
      <c r="TGB112" s="17"/>
      <c r="TGC112" s="17"/>
      <c r="TGD112" s="17"/>
      <c r="TGE112" s="17"/>
      <c r="TGF112" s="17"/>
      <c r="TGG112" s="17"/>
      <c r="TGH112" s="17"/>
      <c r="TGI112" s="17"/>
      <c r="TGJ112" s="17"/>
      <c r="TGK112" s="17"/>
      <c r="TGL112" s="17"/>
      <c r="TGM112" s="17"/>
      <c r="TGN112" s="17"/>
      <c r="TGO112" s="17"/>
      <c r="TGP112" s="17"/>
      <c r="TGQ112" s="17"/>
      <c r="TGR112" s="17"/>
      <c r="TGS112" s="17"/>
      <c r="TGT112" s="17"/>
      <c r="TGU112" s="17"/>
      <c r="TGV112" s="17"/>
      <c r="TGW112" s="17"/>
      <c r="TGX112" s="17"/>
      <c r="TGY112" s="17"/>
      <c r="TGZ112" s="17"/>
      <c r="THA112" s="17"/>
      <c r="THB112" s="17"/>
      <c r="THC112" s="17"/>
      <c r="THD112" s="17"/>
      <c r="THE112" s="17"/>
      <c r="THF112" s="17"/>
      <c r="THG112" s="17"/>
      <c r="THH112" s="17"/>
      <c r="THI112" s="17"/>
      <c r="THJ112" s="17"/>
      <c r="THK112" s="17"/>
      <c r="THL112" s="17"/>
      <c r="THM112" s="17"/>
      <c r="THN112" s="17"/>
      <c r="THO112" s="17"/>
      <c r="THP112" s="17"/>
      <c r="THQ112" s="17"/>
      <c r="THR112" s="17"/>
      <c r="THS112" s="17"/>
      <c r="THT112" s="17"/>
      <c r="THU112" s="17"/>
      <c r="THV112" s="17"/>
      <c r="THW112" s="17"/>
      <c r="THX112" s="17"/>
      <c r="THY112" s="17"/>
      <c r="THZ112" s="17"/>
      <c r="TIA112" s="17"/>
      <c r="TIB112" s="17"/>
      <c r="TIC112" s="17"/>
      <c r="TID112" s="17"/>
      <c r="TIE112" s="17"/>
      <c r="TIF112" s="17"/>
      <c r="TIG112" s="17"/>
      <c r="TIH112" s="17"/>
      <c r="TII112" s="17"/>
      <c r="TIJ112" s="17"/>
      <c r="TIK112" s="17"/>
      <c r="TIL112" s="17"/>
      <c r="TIM112" s="17"/>
      <c r="TIN112" s="17"/>
      <c r="TIO112" s="17"/>
      <c r="TIP112" s="17"/>
      <c r="TIQ112" s="17"/>
      <c r="TIR112" s="17"/>
      <c r="TIS112" s="17"/>
      <c r="TIT112" s="17"/>
      <c r="TIU112" s="17"/>
      <c r="TIV112" s="17"/>
      <c r="TIW112" s="17"/>
      <c r="TIX112" s="17"/>
      <c r="TIY112" s="17"/>
      <c r="TIZ112" s="17"/>
      <c r="TJA112" s="17"/>
      <c r="TJB112" s="17"/>
      <c r="TJC112" s="17"/>
      <c r="TJD112" s="17"/>
      <c r="TJE112" s="17"/>
      <c r="TJF112" s="17"/>
      <c r="TJG112" s="17"/>
      <c r="TJH112" s="17"/>
      <c r="TJI112" s="17"/>
      <c r="TJJ112" s="17"/>
      <c r="TJK112" s="17"/>
      <c r="TJL112" s="17"/>
      <c r="TJM112" s="17"/>
      <c r="TJN112" s="17"/>
      <c r="TJO112" s="17"/>
      <c r="TJP112" s="17"/>
      <c r="TJQ112" s="17"/>
      <c r="TJR112" s="17"/>
      <c r="TJS112" s="17"/>
      <c r="TJT112" s="17"/>
      <c r="TJU112" s="17"/>
      <c r="TJV112" s="17"/>
      <c r="TJW112" s="17"/>
      <c r="TJX112" s="17"/>
      <c r="TJY112" s="17"/>
      <c r="TJZ112" s="17"/>
      <c r="TKA112" s="17"/>
      <c r="TKB112" s="17"/>
      <c r="TKC112" s="17"/>
      <c r="TKD112" s="17"/>
      <c r="TKE112" s="17"/>
      <c r="TKF112" s="17"/>
      <c r="TKG112" s="17"/>
      <c r="TKH112" s="17"/>
      <c r="TKI112" s="17"/>
      <c r="TKJ112" s="17"/>
      <c r="TKK112" s="17"/>
      <c r="TKL112" s="17"/>
      <c r="TKM112" s="17"/>
      <c r="TKN112" s="17"/>
      <c r="TKO112" s="17"/>
      <c r="TKP112" s="17"/>
      <c r="TKQ112" s="17"/>
      <c r="TKR112" s="17"/>
      <c r="TKS112" s="17"/>
      <c r="TKT112" s="17"/>
      <c r="TKU112" s="17"/>
      <c r="TKV112" s="17"/>
      <c r="TKW112" s="17"/>
      <c r="TKX112" s="17"/>
      <c r="TKY112" s="17"/>
      <c r="TKZ112" s="17"/>
      <c r="TLA112" s="17"/>
      <c r="TLB112" s="17"/>
      <c r="TLC112" s="17"/>
      <c r="TLD112" s="17"/>
      <c r="TLE112" s="17"/>
      <c r="TLF112" s="17"/>
      <c r="TLG112" s="17"/>
      <c r="TLH112" s="17"/>
      <c r="TLI112" s="17"/>
      <c r="TLJ112" s="17"/>
      <c r="TLK112" s="17"/>
      <c r="TLL112" s="17"/>
      <c r="TLM112" s="17"/>
      <c r="TLN112" s="17"/>
      <c r="TLO112" s="17"/>
      <c r="TLP112" s="17"/>
      <c r="TLQ112" s="17"/>
      <c r="TLR112" s="17"/>
      <c r="TLS112" s="17"/>
      <c r="TLT112" s="17"/>
      <c r="TLU112" s="17"/>
      <c r="TLV112" s="17"/>
      <c r="TLW112" s="17"/>
      <c r="TLX112" s="17"/>
      <c r="TLY112" s="17"/>
      <c r="TLZ112" s="17"/>
      <c r="TMA112" s="17"/>
      <c r="TMB112" s="17"/>
      <c r="TMC112" s="17"/>
      <c r="TMD112" s="17"/>
      <c r="TME112" s="17"/>
      <c r="TMF112" s="17"/>
      <c r="TMG112" s="17"/>
      <c r="TMH112" s="17"/>
      <c r="TMI112" s="17"/>
      <c r="TMJ112" s="17"/>
      <c r="TMK112" s="17"/>
      <c r="TML112" s="17"/>
      <c r="TMM112" s="17"/>
      <c r="TMN112" s="17"/>
      <c r="TMO112" s="17"/>
      <c r="TMP112" s="17"/>
      <c r="TMQ112" s="17"/>
      <c r="TMR112" s="17"/>
      <c r="TMS112" s="17"/>
      <c r="TMT112" s="17"/>
      <c r="TMU112" s="17"/>
      <c r="TMV112" s="17"/>
      <c r="TMW112" s="17"/>
      <c r="TMX112" s="17"/>
      <c r="TMY112" s="17"/>
      <c r="TMZ112" s="17"/>
      <c r="TNA112" s="17"/>
      <c r="TNB112" s="17"/>
      <c r="TNC112" s="17"/>
      <c r="TND112" s="17"/>
      <c r="TNE112" s="17"/>
      <c r="TNF112" s="17"/>
      <c r="TNG112" s="17"/>
      <c r="TNH112" s="17"/>
      <c r="TNI112" s="17"/>
      <c r="TNJ112" s="17"/>
      <c r="TNK112" s="17"/>
      <c r="TNL112" s="17"/>
      <c r="TNM112" s="17"/>
      <c r="TNN112" s="17"/>
      <c r="TNO112" s="17"/>
      <c r="TNP112" s="17"/>
      <c r="TNQ112" s="17"/>
      <c r="TNR112" s="17"/>
      <c r="TNS112" s="17"/>
      <c r="TNT112" s="17"/>
      <c r="TNU112" s="17"/>
      <c r="TNV112" s="17"/>
      <c r="TNW112" s="17"/>
      <c r="TNX112" s="17"/>
      <c r="TNY112" s="17"/>
      <c r="TNZ112" s="17"/>
      <c r="TOA112" s="17"/>
      <c r="TOB112" s="17"/>
      <c r="TOC112" s="17"/>
      <c r="TOD112" s="17"/>
      <c r="TOE112" s="17"/>
      <c r="TOF112" s="17"/>
      <c r="TOG112" s="17"/>
      <c r="TOH112" s="17"/>
      <c r="TOI112" s="17"/>
      <c r="TOJ112" s="17"/>
      <c r="TOK112" s="17"/>
      <c r="TOL112" s="17"/>
      <c r="TOM112" s="17"/>
      <c r="TON112" s="17"/>
      <c r="TOO112" s="17"/>
      <c r="TOP112" s="17"/>
      <c r="TOQ112" s="17"/>
      <c r="TOR112" s="17"/>
      <c r="TOS112" s="17"/>
      <c r="TOT112" s="17"/>
      <c r="TOU112" s="17"/>
      <c r="TOV112" s="17"/>
      <c r="TOW112" s="17"/>
      <c r="TOX112" s="17"/>
      <c r="TOY112" s="17"/>
      <c r="TOZ112" s="17"/>
      <c r="TPA112" s="17"/>
      <c r="TPB112" s="17"/>
      <c r="TPC112" s="17"/>
      <c r="TPD112" s="17"/>
      <c r="TPE112" s="17"/>
      <c r="TPF112" s="17"/>
      <c r="TPG112" s="17"/>
      <c r="TPH112" s="17"/>
      <c r="TPI112" s="17"/>
      <c r="TPJ112" s="17"/>
      <c r="TPK112" s="17"/>
      <c r="TPL112" s="17"/>
      <c r="TPM112" s="17"/>
      <c r="TPN112" s="17"/>
      <c r="TPO112" s="17"/>
      <c r="TPP112" s="17"/>
      <c r="TPQ112" s="17"/>
      <c r="TPR112" s="17"/>
      <c r="TPS112" s="17"/>
      <c r="TPT112" s="17"/>
      <c r="TPU112" s="17"/>
      <c r="TPV112" s="17"/>
      <c r="TPW112" s="17"/>
      <c r="TPX112" s="17"/>
      <c r="TPY112" s="17"/>
      <c r="TPZ112" s="17"/>
      <c r="TQA112" s="17"/>
      <c r="TQB112" s="17"/>
      <c r="TQC112" s="17"/>
      <c r="TQD112" s="17"/>
      <c r="TQE112" s="17"/>
      <c r="TQF112" s="17"/>
      <c r="TQG112" s="17"/>
      <c r="TQH112" s="17"/>
      <c r="TQI112" s="17"/>
      <c r="TQJ112" s="17"/>
      <c r="TQK112" s="17"/>
      <c r="TQL112" s="17"/>
      <c r="TQM112" s="17"/>
      <c r="TQN112" s="17"/>
      <c r="TQO112" s="17"/>
      <c r="TQP112" s="17"/>
      <c r="TQQ112" s="17"/>
      <c r="TQR112" s="17"/>
      <c r="TQS112" s="17"/>
      <c r="TQT112" s="17"/>
      <c r="TQU112" s="17"/>
      <c r="TQV112" s="17"/>
      <c r="TQW112" s="17"/>
      <c r="TQX112" s="17"/>
      <c r="TQY112" s="17"/>
      <c r="TQZ112" s="17"/>
      <c r="TRA112" s="17"/>
      <c r="TRB112" s="17"/>
      <c r="TRC112" s="17"/>
      <c r="TRD112" s="17"/>
      <c r="TRE112" s="17"/>
      <c r="TRF112" s="17"/>
      <c r="TRG112" s="17"/>
      <c r="TRH112" s="17"/>
      <c r="TRI112" s="17"/>
      <c r="TRJ112" s="17"/>
      <c r="TRK112" s="17"/>
      <c r="TRL112" s="17"/>
      <c r="TRM112" s="17"/>
      <c r="TRN112" s="17"/>
      <c r="TRO112" s="17"/>
      <c r="TRP112" s="17"/>
      <c r="TRQ112" s="17"/>
      <c r="TRR112" s="17"/>
      <c r="TRS112" s="17"/>
      <c r="TRT112" s="17"/>
      <c r="TRU112" s="17"/>
      <c r="TRV112" s="17"/>
      <c r="TRW112" s="17"/>
      <c r="TRX112" s="17"/>
      <c r="TRY112" s="17"/>
      <c r="TRZ112" s="17"/>
      <c r="TSA112" s="17"/>
      <c r="TSB112" s="17"/>
      <c r="TSC112" s="17"/>
      <c r="TSD112" s="17"/>
      <c r="TSE112" s="17"/>
      <c r="TSF112" s="17"/>
      <c r="TSG112" s="17"/>
      <c r="TSH112" s="17"/>
      <c r="TSI112" s="17"/>
      <c r="TSJ112" s="17"/>
      <c r="TSK112" s="17"/>
      <c r="TSL112" s="17"/>
      <c r="TSM112" s="17"/>
      <c r="TSN112" s="17"/>
      <c r="TSO112" s="17"/>
      <c r="TSP112" s="17"/>
      <c r="TSQ112" s="17"/>
      <c r="TSR112" s="17"/>
      <c r="TSS112" s="17"/>
      <c r="TST112" s="17"/>
      <c r="TSU112" s="17"/>
      <c r="TSV112" s="17"/>
      <c r="TSW112" s="17"/>
      <c r="TSX112" s="17"/>
      <c r="TSY112" s="17"/>
      <c r="TSZ112" s="17"/>
      <c r="TTA112" s="17"/>
      <c r="TTB112" s="17"/>
      <c r="TTC112" s="17"/>
      <c r="TTD112" s="17"/>
      <c r="TTE112" s="17"/>
      <c r="TTF112" s="17"/>
      <c r="TTG112" s="17"/>
      <c r="TTH112" s="17"/>
      <c r="TTI112" s="17"/>
      <c r="TTJ112" s="17"/>
      <c r="TTK112" s="17"/>
      <c r="TTL112" s="17"/>
      <c r="TTM112" s="17"/>
      <c r="TTN112" s="17"/>
      <c r="TTO112" s="17"/>
      <c r="TTP112" s="17"/>
      <c r="TTQ112" s="17"/>
      <c r="TTR112" s="17"/>
      <c r="TTS112" s="17"/>
      <c r="TTT112" s="17"/>
      <c r="TTU112" s="17"/>
      <c r="TTV112" s="17"/>
      <c r="TTW112" s="17"/>
      <c r="TTX112" s="17"/>
      <c r="TTY112" s="17"/>
      <c r="TTZ112" s="17"/>
      <c r="TUA112" s="17"/>
      <c r="TUB112" s="17"/>
      <c r="TUC112" s="17"/>
      <c r="TUD112" s="17"/>
      <c r="TUE112" s="17"/>
      <c r="TUF112" s="17"/>
      <c r="TUG112" s="17"/>
      <c r="TUH112" s="17"/>
      <c r="TUI112" s="17"/>
      <c r="TUJ112" s="17"/>
      <c r="TUK112" s="17"/>
      <c r="TUL112" s="17"/>
      <c r="TUM112" s="17"/>
      <c r="TUN112" s="17"/>
      <c r="TUO112" s="17"/>
      <c r="TUP112" s="17"/>
      <c r="TUQ112" s="17"/>
      <c r="TUR112" s="17"/>
      <c r="TUS112" s="17"/>
      <c r="TUT112" s="17"/>
      <c r="TUU112" s="17"/>
      <c r="TUV112" s="17"/>
      <c r="TUW112" s="17"/>
      <c r="TUX112" s="17"/>
      <c r="TUY112" s="17"/>
      <c r="TUZ112" s="17"/>
      <c r="TVA112" s="17"/>
      <c r="TVB112" s="17"/>
      <c r="TVC112" s="17"/>
      <c r="TVD112" s="17"/>
      <c r="TVE112" s="17"/>
      <c r="TVF112" s="17"/>
      <c r="TVG112" s="17"/>
      <c r="TVH112" s="17"/>
      <c r="TVI112" s="17"/>
      <c r="TVJ112" s="17"/>
      <c r="TVK112" s="17"/>
      <c r="TVL112" s="17"/>
      <c r="TVM112" s="17"/>
      <c r="TVN112" s="17"/>
      <c r="TVO112" s="17"/>
      <c r="TVP112" s="17"/>
      <c r="TVQ112" s="17"/>
      <c r="TVR112" s="17"/>
      <c r="TVS112" s="17"/>
      <c r="TVT112" s="17"/>
      <c r="TVU112" s="17"/>
      <c r="TVV112" s="17"/>
      <c r="TVW112" s="17"/>
      <c r="TVX112" s="17"/>
      <c r="TVY112" s="17"/>
      <c r="TVZ112" s="17"/>
      <c r="TWA112" s="17"/>
      <c r="TWB112" s="17"/>
      <c r="TWC112" s="17"/>
      <c r="TWD112" s="17"/>
      <c r="TWE112" s="17"/>
      <c r="TWF112" s="17"/>
      <c r="TWG112" s="17"/>
      <c r="TWH112" s="17"/>
      <c r="TWI112" s="17"/>
      <c r="TWJ112" s="17"/>
      <c r="TWK112" s="17"/>
      <c r="TWL112" s="17"/>
      <c r="TWM112" s="17"/>
      <c r="TWN112" s="17"/>
      <c r="TWO112" s="17"/>
      <c r="TWP112" s="17"/>
      <c r="TWQ112" s="17"/>
      <c r="TWR112" s="17"/>
      <c r="TWS112" s="17"/>
      <c r="TWT112" s="17"/>
      <c r="TWU112" s="17"/>
      <c r="TWV112" s="17"/>
      <c r="TWW112" s="17"/>
      <c r="TWX112" s="17"/>
      <c r="TWY112" s="17"/>
      <c r="TWZ112" s="17"/>
      <c r="TXA112" s="17"/>
      <c r="TXB112" s="17"/>
      <c r="TXC112" s="17"/>
      <c r="TXD112" s="17"/>
      <c r="TXE112" s="17"/>
      <c r="TXF112" s="17"/>
      <c r="TXG112" s="17"/>
      <c r="TXH112" s="17"/>
      <c r="TXI112" s="17"/>
      <c r="TXJ112" s="17"/>
      <c r="TXK112" s="17"/>
      <c r="TXL112" s="17"/>
      <c r="TXM112" s="17"/>
      <c r="TXN112" s="17"/>
      <c r="TXO112" s="17"/>
      <c r="TXP112" s="17"/>
      <c r="TXQ112" s="17"/>
      <c r="TXR112" s="17"/>
      <c r="TXS112" s="17"/>
      <c r="TXT112" s="17"/>
      <c r="TXU112" s="17"/>
      <c r="TXV112" s="17"/>
      <c r="TXW112" s="17"/>
      <c r="TXX112" s="17"/>
      <c r="TXY112" s="17"/>
      <c r="TXZ112" s="17"/>
      <c r="TYA112" s="17"/>
      <c r="TYB112" s="17"/>
      <c r="TYC112" s="17"/>
      <c r="TYD112" s="17"/>
      <c r="TYE112" s="17"/>
      <c r="TYF112" s="17"/>
      <c r="TYG112" s="17"/>
      <c r="TYH112" s="17"/>
      <c r="TYI112" s="17"/>
      <c r="TYJ112" s="17"/>
      <c r="TYK112" s="17"/>
      <c r="TYL112" s="17"/>
      <c r="TYM112" s="17"/>
      <c r="TYN112" s="17"/>
      <c r="TYO112" s="17"/>
      <c r="TYP112" s="17"/>
      <c r="TYQ112" s="17"/>
      <c r="TYR112" s="17"/>
      <c r="TYS112" s="17"/>
      <c r="TYT112" s="17"/>
      <c r="TYU112" s="17"/>
      <c r="TYV112" s="17"/>
      <c r="TYW112" s="17"/>
      <c r="TYX112" s="17"/>
      <c r="TYY112" s="17"/>
      <c r="TYZ112" s="17"/>
      <c r="TZA112" s="17"/>
      <c r="TZB112" s="17"/>
      <c r="TZC112" s="17"/>
      <c r="TZD112" s="17"/>
      <c r="TZE112" s="17"/>
      <c r="TZF112" s="17"/>
      <c r="TZG112" s="17"/>
      <c r="TZH112" s="17"/>
      <c r="TZI112" s="17"/>
      <c r="TZJ112" s="17"/>
      <c r="TZK112" s="17"/>
      <c r="TZL112" s="17"/>
      <c r="TZM112" s="17"/>
      <c r="TZN112" s="17"/>
      <c r="TZO112" s="17"/>
      <c r="TZP112" s="17"/>
      <c r="TZQ112" s="17"/>
      <c r="TZR112" s="17"/>
      <c r="TZS112" s="17"/>
      <c r="TZT112" s="17"/>
      <c r="TZU112" s="17"/>
      <c r="TZV112" s="17"/>
      <c r="TZW112" s="17"/>
      <c r="TZX112" s="17"/>
      <c r="TZY112" s="17"/>
      <c r="TZZ112" s="17"/>
      <c r="UAA112" s="17"/>
      <c r="UAB112" s="17"/>
      <c r="UAC112" s="17"/>
      <c r="UAD112" s="17"/>
      <c r="UAE112" s="17"/>
      <c r="UAF112" s="17"/>
      <c r="UAG112" s="17"/>
      <c r="UAH112" s="17"/>
      <c r="UAI112" s="17"/>
      <c r="UAJ112" s="17"/>
      <c r="UAK112" s="17"/>
      <c r="UAL112" s="17"/>
      <c r="UAM112" s="17"/>
      <c r="UAN112" s="17"/>
      <c r="UAO112" s="17"/>
      <c r="UAP112" s="17"/>
      <c r="UAQ112" s="17"/>
      <c r="UAR112" s="17"/>
      <c r="UAS112" s="17"/>
      <c r="UAT112" s="17"/>
      <c r="UAU112" s="17"/>
      <c r="UAV112" s="17"/>
      <c r="UAW112" s="17"/>
      <c r="UAX112" s="17"/>
      <c r="UAY112" s="17"/>
      <c r="UAZ112" s="17"/>
      <c r="UBA112" s="17"/>
      <c r="UBB112" s="17"/>
      <c r="UBC112" s="17"/>
      <c r="UBD112" s="17"/>
      <c r="UBE112" s="17"/>
      <c r="UBF112" s="17"/>
      <c r="UBG112" s="17"/>
      <c r="UBH112" s="17"/>
      <c r="UBI112" s="17"/>
      <c r="UBJ112" s="17"/>
      <c r="UBK112" s="17"/>
      <c r="UBL112" s="17"/>
      <c r="UBM112" s="17"/>
      <c r="UBN112" s="17"/>
      <c r="UBO112" s="17"/>
      <c r="UBP112" s="17"/>
      <c r="UBQ112" s="17"/>
      <c r="UBR112" s="17"/>
      <c r="UBS112" s="17"/>
      <c r="UBT112" s="17"/>
      <c r="UBU112" s="17"/>
      <c r="UBV112" s="17"/>
      <c r="UBW112" s="17"/>
      <c r="UBX112" s="17"/>
      <c r="UBY112" s="17"/>
      <c r="UBZ112" s="17"/>
      <c r="UCA112" s="17"/>
      <c r="UCB112" s="17"/>
      <c r="UCC112" s="17"/>
      <c r="UCD112" s="17"/>
      <c r="UCE112" s="17"/>
      <c r="UCF112" s="17"/>
      <c r="UCG112" s="17"/>
      <c r="UCH112" s="17"/>
      <c r="UCI112" s="17"/>
      <c r="UCJ112" s="17"/>
      <c r="UCK112" s="17"/>
      <c r="UCL112" s="17"/>
      <c r="UCM112" s="17"/>
      <c r="UCN112" s="17"/>
      <c r="UCO112" s="17"/>
      <c r="UCP112" s="17"/>
      <c r="UCQ112" s="17"/>
      <c r="UCR112" s="17"/>
      <c r="UCS112" s="17"/>
      <c r="UCT112" s="17"/>
      <c r="UCU112" s="17"/>
      <c r="UCV112" s="17"/>
      <c r="UCW112" s="17"/>
      <c r="UCX112" s="17"/>
      <c r="UCY112" s="17"/>
      <c r="UCZ112" s="17"/>
      <c r="UDA112" s="17"/>
      <c r="UDB112" s="17"/>
      <c r="UDC112" s="17"/>
      <c r="UDD112" s="17"/>
      <c r="UDE112" s="17"/>
      <c r="UDF112" s="17"/>
      <c r="UDG112" s="17"/>
      <c r="UDH112" s="17"/>
      <c r="UDI112" s="17"/>
      <c r="UDJ112" s="17"/>
      <c r="UDK112" s="17"/>
      <c r="UDL112" s="17"/>
      <c r="UDM112" s="17"/>
      <c r="UDN112" s="17"/>
      <c r="UDO112" s="17"/>
      <c r="UDP112" s="17"/>
      <c r="UDQ112" s="17"/>
      <c r="UDR112" s="17"/>
      <c r="UDS112" s="17"/>
      <c r="UDT112" s="17"/>
      <c r="UDU112" s="17"/>
      <c r="UDV112" s="17"/>
      <c r="UDW112" s="17"/>
      <c r="UDX112" s="17"/>
      <c r="UDY112" s="17"/>
      <c r="UDZ112" s="17"/>
      <c r="UEA112" s="17"/>
      <c r="UEB112" s="17"/>
      <c r="UEC112" s="17"/>
      <c r="UED112" s="17"/>
      <c r="UEE112" s="17"/>
      <c r="UEF112" s="17"/>
      <c r="UEG112" s="17"/>
      <c r="UEH112" s="17"/>
      <c r="UEI112" s="17"/>
      <c r="UEJ112" s="17"/>
      <c r="UEK112" s="17"/>
      <c r="UEL112" s="17"/>
      <c r="UEM112" s="17"/>
      <c r="UEN112" s="17"/>
      <c r="UEO112" s="17"/>
      <c r="UEP112" s="17"/>
      <c r="UEQ112" s="17"/>
      <c r="UER112" s="17"/>
      <c r="UES112" s="17"/>
      <c r="UET112" s="17"/>
      <c r="UEU112" s="17"/>
      <c r="UEV112" s="17"/>
      <c r="UEW112" s="17"/>
      <c r="UEX112" s="17"/>
      <c r="UEY112" s="17"/>
      <c r="UEZ112" s="17"/>
      <c r="UFA112" s="17"/>
      <c r="UFB112" s="17"/>
      <c r="UFC112" s="17"/>
      <c r="UFD112" s="17"/>
      <c r="UFE112" s="17"/>
      <c r="UFF112" s="17"/>
      <c r="UFG112" s="17"/>
      <c r="UFH112" s="17"/>
      <c r="UFI112" s="17"/>
      <c r="UFJ112" s="17"/>
      <c r="UFK112" s="17"/>
      <c r="UFL112" s="17"/>
      <c r="UFM112" s="17"/>
      <c r="UFN112" s="17"/>
      <c r="UFO112" s="17"/>
      <c r="UFP112" s="17"/>
      <c r="UFQ112" s="17"/>
      <c r="UFR112" s="17"/>
      <c r="UFS112" s="17"/>
      <c r="UFT112" s="17"/>
      <c r="UFU112" s="17"/>
      <c r="UFV112" s="17"/>
      <c r="UFW112" s="17"/>
      <c r="UFX112" s="17"/>
      <c r="UFY112" s="17"/>
      <c r="UFZ112" s="17"/>
      <c r="UGA112" s="17"/>
      <c r="UGB112" s="17"/>
      <c r="UGC112" s="17"/>
      <c r="UGD112" s="17"/>
      <c r="UGE112" s="17"/>
      <c r="UGF112" s="17"/>
      <c r="UGG112" s="17"/>
      <c r="UGH112" s="17"/>
      <c r="UGI112" s="17"/>
      <c r="UGJ112" s="17"/>
      <c r="UGK112" s="17"/>
      <c r="UGL112" s="17"/>
      <c r="UGM112" s="17"/>
      <c r="UGN112" s="17"/>
      <c r="UGO112" s="17"/>
      <c r="UGP112" s="17"/>
      <c r="UGQ112" s="17"/>
      <c r="UGR112" s="17"/>
      <c r="UGS112" s="17"/>
      <c r="UGT112" s="17"/>
      <c r="UGU112" s="17"/>
      <c r="UGV112" s="17"/>
      <c r="UGW112" s="17"/>
      <c r="UGX112" s="17"/>
      <c r="UGY112" s="17"/>
      <c r="UGZ112" s="17"/>
      <c r="UHA112" s="17"/>
      <c r="UHB112" s="17"/>
      <c r="UHC112" s="17"/>
      <c r="UHD112" s="17"/>
      <c r="UHE112" s="17"/>
      <c r="UHF112" s="17"/>
      <c r="UHG112" s="17"/>
      <c r="UHH112" s="17"/>
      <c r="UHI112" s="17"/>
      <c r="UHJ112" s="17"/>
      <c r="UHK112" s="17"/>
      <c r="UHL112" s="17"/>
      <c r="UHM112" s="17"/>
      <c r="UHN112" s="17"/>
      <c r="UHO112" s="17"/>
      <c r="UHP112" s="17"/>
      <c r="UHQ112" s="17"/>
      <c r="UHR112" s="17"/>
      <c r="UHS112" s="17"/>
      <c r="UHT112" s="17"/>
      <c r="UHU112" s="17"/>
      <c r="UHV112" s="17"/>
      <c r="UHW112" s="17"/>
      <c r="UHX112" s="17"/>
      <c r="UHY112" s="17"/>
      <c r="UHZ112" s="17"/>
      <c r="UIA112" s="17"/>
      <c r="UIB112" s="17"/>
      <c r="UIC112" s="17"/>
      <c r="UID112" s="17"/>
      <c r="UIE112" s="17"/>
      <c r="UIF112" s="17"/>
      <c r="UIG112" s="17"/>
      <c r="UIH112" s="17"/>
      <c r="UII112" s="17"/>
      <c r="UIJ112" s="17"/>
      <c r="UIK112" s="17"/>
      <c r="UIL112" s="17"/>
      <c r="UIM112" s="17"/>
      <c r="UIN112" s="17"/>
      <c r="UIO112" s="17"/>
      <c r="UIP112" s="17"/>
      <c r="UIQ112" s="17"/>
      <c r="UIR112" s="17"/>
      <c r="UIS112" s="17"/>
      <c r="UIT112" s="17"/>
      <c r="UIU112" s="17"/>
      <c r="UIV112" s="17"/>
      <c r="UIW112" s="17"/>
      <c r="UIX112" s="17"/>
      <c r="UIY112" s="17"/>
      <c r="UIZ112" s="17"/>
      <c r="UJA112" s="17"/>
      <c r="UJB112" s="17"/>
      <c r="UJC112" s="17"/>
      <c r="UJD112" s="17"/>
      <c r="UJE112" s="17"/>
      <c r="UJF112" s="17"/>
      <c r="UJG112" s="17"/>
      <c r="UJH112" s="17"/>
      <c r="UJI112" s="17"/>
      <c r="UJJ112" s="17"/>
      <c r="UJK112" s="17"/>
      <c r="UJL112" s="17"/>
      <c r="UJM112" s="17"/>
      <c r="UJN112" s="17"/>
      <c r="UJO112" s="17"/>
      <c r="UJP112" s="17"/>
      <c r="UJQ112" s="17"/>
      <c r="UJR112" s="17"/>
      <c r="UJS112" s="17"/>
      <c r="UJT112" s="17"/>
      <c r="UJU112" s="17"/>
      <c r="UJV112" s="17"/>
      <c r="UJW112" s="17"/>
      <c r="UJX112" s="17"/>
      <c r="UJY112" s="17"/>
      <c r="UJZ112" s="17"/>
      <c r="UKA112" s="17"/>
      <c r="UKB112" s="17"/>
      <c r="UKC112" s="17"/>
      <c r="UKD112" s="17"/>
      <c r="UKE112" s="17"/>
      <c r="UKF112" s="17"/>
      <c r="UKG112" s="17"/>
      <c r="UKH112" s="17"/>
      <c r="UKI112" s="17"/>
      <c r="UKJ112" s="17"/>
      <c r="UKK112" s="17"/>
      <c r="UKL112" s="17"/>
      <c r="UKM112" s="17"/>
      <c r="UKN112" s="17"/>
      <c r="UKO112" s="17"/>
      <c r="UKP112" s="17"/>
      <c r="UKQ112" s="17"/>
      <c r="UKR112" s="17"/>
      <c r="UKS112" s="17"/>
      <c r="UKT112" s="17"/>
      <c r="UKU112" s="17"/>
      <c r="UKV112" s="17"/>
      <c r="UKW112" s="17"/>
      <c r="UKX112" s="17"/>
      <c r="UKY112" s="17"/>
      <c r="UKZ112" s="17"/>
      <c r="ULA112" s="17"/>
      <c r="ULB112" s="17"/>
      <c r="ULC112" s="17"/>
      <c r="ULD112" s="17"/>
      <c r="ULE112" s="17"/>
      <c r="ULF112" s="17"/>
      <c r="ULG112" s="17"/>
      <c r="ULH112" s="17"/>
      <c r="ULI112" s="17"/>
      <c r="ULJ112" s="17"/>
      <c r="ULK112" s="17"/>
      <c r="ULL112" s="17"/>
      <c r="ULM112" s="17"/>
      <c r="ULN112" s="17"/>
      <c r="ULO112" s="17"/>
      <c r="ULP112" s="17"/>
      <c r="ULQ112" s="17"/>
      <c r="ULR112" s="17"/>
      <c r="ULS112" s="17"/>
      <c r="ULT112" s="17"/>
      <c r="ULU112" s="17"/>
      <c r="ULV112" s="17"/>
      <c r="ULW112" s="17"/>
      <c r="ULX112" s="17"/>
      <c r="ULY112" s="17"/>
      <c r="ULZ112" s="17"/>
      <c r="UMA112" s="17"/>
      <c r="UMB112" s="17"/>
      <c r="UMC112" s="17"/>
      <c r="UMD112" s="17"/>
      <c r="UME112" s="17"/>
      <c r="UMF112" s="17"/>
      <c r="UMG112" s="17"/>
      <c r="UMH112" s="17"/>
      <c r="UMI112" s="17"/>
      <c r="UMJ112" s="17"/>
      <c r="UMK112" s="17"/>
      <c r="UML112" s="17"/>
      <c r="UMM112" s="17"/>
      <c r="UMN112" s="17"/>
      <c r="UMO112" s="17"/>
      <c r="UMP112" s="17"/>
      <c r="UMQ112" s="17"/>
      <c r="UMR112" s="17"/>
      <c r="UMS112" s="17"/>
      <c r="UMT112" s="17"/>
      <c r="UMU112" s="17"/>
      <c r="UMV112" s="17"/>
      <c r="UMW112" s="17"/>
      <c r="UMX112" s="17"/>
      <c r="UMY112" s="17"/>
      <c r="UMZ112" s="17"/>
      <c r="UNA112" s="17"/>
      <c r="UNB112" s="17"/>
      <c r="UNC112" s="17"/>
      <c r="UND112" s="17"/>
      <c r="UNE112" s="17"/>
      <c r="UNF112" s="17"/>
      <c r="UNG112" s="17"/>
      <c r="UNH112" s="17"/>
      <c r="UNI112" s="17"/>
      <c r="UNJ112" s="17"/>
      <c r="UNK112" s="17"/>
      <c r="UNL112" s="17"/>
      <c r="UNM112" s="17"/>
      <c r="UNN112" s="17"/>
      <c r="UNO112" s="17"/>
      <c r="UNP112" s="17"/>
      <c r="UNQ112" s="17"/>
      <c r="UNR112" s="17"/>
      <c r="UNS112" s="17"/>
      <c r="UNT112" s="17"/>
      <c r="UNU112" s="17"/>
      <c r="UNV112" s="17"/>
      <c r="UNW112" s="17"/>
      <c r="UNX112" s="17"/>
      <c r="UNY112" s="17"/>
      <c r="UNZ112" s="17"/>
      <c r="UOA112" s="17"/>
      <c r="UOB112" s="17"/>
      <c r="UOC112" s="17"/>
      <c r="UOD112" s="17"/>
      <c r="UOE112" s="17"/>
      <c r="UOF112" s="17"/>
      <c r="UOG112" s="17"/>
      <c r="UOH112" s="17"/>
      <c r="UOI112" s="17"/>
      <c r="UOJ112" s="17"/>
      <c r="UOK112" s="17"/>
      <c r="UOL112" s="17"/>
      <c r="UOM112" s="17"/>
      <c r="UON112" s="17"/>
      <c r="UOO112" s="17"/>
      <c r="UOP112" s="17"/>
      <c r="UOQ112" s="17"/>
      <c r="UOR112" s="17"/>
      <c r="UOS112" s="17"/>
      <c r="UOT112" s="17"/>
      <c r="UOU112" s="17"/>
      <c r="UOV112" s="17"/>
      <c r="UOW112" s="17"/>
      <c r="UOX112" s="17"/>
      <c r="UOY112" s="17"/>
      <c r="UOZ112" s="17"/>
      <c r="UPA112" s="17"/>
      <c r="UPB112" s="17"/>
      <c r="UPC112" s="17"/>
      <c r="UPD112" s="17"/>
      <c r="UPE112" s="17"/>
      <c r="UPF112" s="17"/>
      <c r="UPG112" s="17"/>
      <c r="UPH112" s="17"/>
      <c r="UPI112" s="17"/>
      <c r="UPJ112" s="17"/>
      <c r="UPK112" s="17"/>
      <c r="UPL112" s="17"/>
      <c r="UPM112" s="17"/>
      <c r="UPN112" s="17"/>
      <c r="UPO112" s="17"/>
      <c r="UPP112" s="17"/>
      <c r="UPQ112" s="17"/>
      <c r="UPR112" s="17"/>
      <c r="UPS112" s="17"/>
      <c r="UPT112" s="17"/>
      <c r="UPU112" s="17"/>
      <c r="UPV112" s="17"/>
      <c r="UPW112" s="17"/>
      <c r="UPX112" s="17"/>
      <c r="UPY112" s="17"/>
      <c r="UPZ112" s="17"/>
      <c r="UQA112" s="17"/>
      <c r="UQB112" s="17"/>
      <c r="UQC112" s="17"/>
      <c r="UQD112" s="17"/>
      <c r="UQE112" s="17"/>
      <c r="UQF112" s="17"/>
      <c r="UQG112" s="17"/>
      <c r="UQH112" s="17"/>
      <c r="UQI112" s="17"/>
      <c r="UQJ112" s="17"/>
      <c r="UQK112" s="17"/>
      <c r="UQL112" s="17"/>
      <c r="UQM112" s="17"/>
      <c r="UQN112" s="17"/>
      <c r="UQO112" s="17"/>
      <c r="UQP112" s="17"/>
      <c r="UQQ112" s="17"/>
      <c r="UQR112" s="17"/>
      <c r="UQS112" s="17"/>
      <c r="UQT112" s="17"/>
      <c r="UQU112" s="17"/>
      <c r="UQV112" s="17"/>
      <c r="UQW112" s="17"/>
      <c r="UQX112" s="17"/>
      <c r="UQY112" s="17"/>
      <c r="UQZ112" s="17"/>
      <c r="URA112" s="17"/>
      <c r="URB112" s="17"/>
      <c r="URC112" s="17"/>
      <c r="URD112" s="17"/>
      <c r="URE112" s="17"/>
      <c r="URF112" s="17"/>
      <c r="URG112" s="17"/>
      <c r="URH112" s="17"/>
      <c r="URI112" s="17"/>
      <c r="URJ112" s="17"/>
      <c r="URK112" s="17"/>
      <c r="URL112" s="17"/>
      <c r="URM112" s="17"/>
      <c r="URN112" s="17"/>
      <c r="URO112" s="17"/>
      <c r="URP112" s="17"/>
      <c r="URQ112" s="17"/>
      <c r="URR112" s="17"/>
      <c r="URS112" s="17"/>
      <c r="URT112" s="17"/>
      <c r="URU112" s="17"/>
      <c r="URV112" s="17"/>
      <c r="URW112" s="17"/>
      <c r="URX112" s="17"/>
      <c r="URY112" s="17"/>
      <c r="URZ112" s="17"/>
      <c r="USA112" s="17"/>
      <c r="USB112" s="17"/>
      <c r="USC112" s="17"/>
      <c r="USD112" s="17"/>
      <c r="USE112" s="17"/>
      <c r="USF112" s="17"/>
      <c r="USG112" s="17"/>
      <c r="USH112" s="17"/>
      <c r="USI112" s="17"/>
      <c r="USJ112" s="17"/>
      <c r="USK112" s="17"/>
      <c r="USL112" s="17"/>
      <c r="USM112" s="17"/>
      <c r="USN112" s="17"/>
      <c r="USO112" s="17"/>
      <c r="USP112" s="17"/>
      <c r="USQ112" s="17"/>
      <c r="USR112" s="17"/>
      <c r="USS112" s="17"/>
      <c r="UST112" s="17"/>
      <c r="USU112" s="17"/>
      <c r="USV112" s="17"/>
      <c r="USW112" s="17"/>
      <c r="USX112" s="17"/>
      <c r="USY112" s="17"/>
      <c r="USZ112" s="17"/>
      <c r="UTA112" s="17"/>
      <c r="UTB112" s="17"/>
      <c r="UTC112" s="17"/>
      <c r="UTD112" s="17"/>
      <c r="UTE112" s="17"/>
      <c r="UTF112" s="17"/>
      <c r="UTG112" s="17"/>
      <c r="UTH112" s="17"/>
      <c r="UTI112" s="17"/>
      <c r="UTJ112" s="17"/>
      <c r="UTK112" s="17"/>
      <c r="UTL112" s="17"/>
      <c r="UTM112" s="17"/>
      <c r="UTN112" s="17"/>
      <c r="UTO112" s="17"/>
      <c r="UTP112" s="17"/>
      <c r="UTQ112" s="17"/>
      <c r="UTR112" s="17"/>
      <c r="UTS112" s="17"/>
      <c r="UTT112" s="17"/>
      <c r="UTU112" s="17"/>
      <c r="UTV112" s="17"/>
      <c r="UTW112" s="17"/>
      <c r="UTX112" s="17"/>
      <c r="UTY112" s="17"/>
      <c r="UTZ112" s="17"/>
      <c r="UUA112" s="17"/>
      <c r="UUB112" s="17"/>
      <c r="UUC112" s="17"/>
      <c r="UUD112" s="17"/>
      <c r="UUE112" s="17"/>
      <c r="UUF112" s="17"/>
      <c r="UUG112" s="17"/>
      <c r="UUH112" s="17"/>
      <c r="UUI112" s="17"/>
      <c r="UUJ112" s="17"/>
      <c r="UUK112" s="17"/>
      <c r="UUL112" s="17"/>
      <c r="UUM112" s="17"/>
      <c r="UUN112" s="17"/>
      <c r="UUO112" s="17"/>
      <c r="UUP112" s="17"/>
      <c r="UUQ112" s="17"/>
      <c r="UUR112" s="17"/>
      <c r="UUS112" s="17"/>
      <c r="UUT112" s="17"/>
      <c r="UUU112" s="17"/>
      <c r="UUV112" s="17"/>
      <c r="UUW112" s="17"/>
      <c r="UUX112" s="17"/>
      <c r="UUY112" s="17"/>
      <c r="UUZ112" s="17"/>
      <c r="UVA112" s="17"/>
      <c r="UVB112" s="17"/>
      <c r="UVC112" s="17"/>
      <c r="UVD112" s="17"/>
      <c r="UVE112" s="17"/>
      <c r="UVF112" s="17"/>
      <c r="UVG112" s="17"/>
      <c r="UVH112" s="17"/>
      <c r="UVI112" s="17"/>
      <c r="UVJ112" s="17"/>
      <c r="UVK112" s="17"/>
      <c r="UVL112" s="17"/>
      <c r="UVM112" s="17"/>
      <c r="UVN112" s="17"/>
      <c r="UVO112" s="17"/>
      <c r="UVP112" s="17"/>
      <c r="UVQ112" s="17"/>
      <c r="UVR112" s="17"/>
      <c r="UVS112" s="17"/>
      <c r="UVT112" s="17"/>
      <c r="UVU112" s="17"/>
      <c r="UVV112" s="17"/>
      <c r="UVW112" s="17"/>
      <c r="UVX112" s="17"/>
      <c r="UVY112" s="17"/>
      <c r="UVZ112" s="17"/>
      <c r="UWA112" s="17"/>
      <c r="UWB112" s="17"/>
      <c r="UWC112" s="17"/>
      <c r="UWD112" s="17"/>
      <c r="UWE112" s="17"/>
      <c r="UWF112" s="17"/>
      <c r="UWG112" s="17"/>
      <c r="UWH112" s="17"/>
      <c r="UWI112" s="17"/>
      <c r="UWJ112" s="17"/>
      <c r="UWK112" s="17"/>
      <c r="UWL112" s="17"/>
      <c r="UWM112" s="17"/>
      <c r="UWN112" s="17"/>
      <c r="UWO112" s="17"/>
      <c r="UWP112" s="17"/>
      <c r="UWQ112" s="17"/>
      <c r="UWR112" s="17"/>
      <c r="UWS112" s="17"/>
      <c r="UWT112" s="17"/>
      <c r="UWU112" s="17"/>
      <c r="UWV112" s="17"/>
      <c r="UWW112" s="17"/>
      <c r="UWX112" s="17"/>
      <c r="UWY112" s="17"/>
      <c r="UWZ112" s="17"/>
      <c r="UXA112" s="17"/>
      <c r="UXB112" s="17"/>
      <c r="UXC112" s="17"/>
      <c r="UXD112" s="17"/>
      <c r="UXE112" s="17"/>
      <c r="UXF112" s="17"/>
      <c r="UXG112" s="17"/>
      <c r="UXH112" s="17"/>
      <c r="UXI112" s="17"/>
      <c r="UXJ112" s="17"/>
      <c r="UXK112" s="17"/>
      <c r="UXL112" s="17"/>
      <c r="UXM112" s="17"/>
      <c r="UXN112" s="17"/>
      <c r="UXO112" s="17"/>
      <c r="UXP112" s="17"/>
      <c r="UXQ112" s="17"/>
      <c r="UXR112" s="17"/>
      <c r="UXS112" s="17"/>
      <c r="UXT112" s="17"/>
      <c r="UXU112" s="17"/>
      <c r="UXV112" s="17"/>
      <c r="UXW112" s="17"/>
      <c r="UXX112" s="17"/>
      <c r="UXY112" s="17"/>
      <c r="UXZ112" s="17"/>
      <c r="UYA112" s="17"/>
      <c r="UYB112" s="17"/>
      <c r="UYC112" s="17"/>
      <c r="UYD112" s="17"/>
      <c r="UYE112" s="17"/>
      <c r="UYF112" s="17"/>
      <c r="UYG112" s="17"/>
      <c r="UYH112" s="17"/>
      <c r="UYI112" s="17"/>
      <c r="UYJ112" s="17"/>
      <c r="UYK112" s="17"/>
      <c r="UYL112" s="17"/>
      <c r="UYM112" s="17"/>
      <c r="UYN112" s="17"/>
      <c r="UYO112" s="17"/>
      <c r="UYP112" s="17"/>
      <c r="UYQ112" s="17"/>
      <c r="UYR112" s="17"/>
      <c r="UYS112" s="17"/>
      <c r="UYT112" s="17"/>
      <c r="UYU112" s="17"/>
      <c r="UYV112" s="17"/>
      <c r="UYW112" s="17"/>
      <c r="UYX112" s="17"/>
      <c r="UYY112" s="17"/>
      <c r="UYZ112" s="17"/>
      <c r="UZA112" s="17"/>
      <c r="UZB112" s="17"/>
      <c r="UZC112" s="17"/>
      <c r="UZD112" s="17"/>
      <c r="UZE112" s="17"/>
      <c r="UZF112" s="17"/>
      <c r="UZG112" s="17"/>
      <c r="UZH112" s="17"/>
      <c r="UZI112" s="17"/>
      <c r="UZJ112" s="17"/>
      <c r="UZK112" s="17"/>
      <c r="UZL112" s="17"/>
      <c r="UZM112" s="17"/>
      <c r="UZN112" s="17"/>
      <c r="UZO112" s="17"/>
      <c r="UZP112" s="17"/>
      <c r="UZQ112" s="17"/>
      <c r="UZR112" s="17"/>
      <c r="UZS112" s="17"/>
      <c r="UZT112" s="17"/>
      <c r="UZU112" s="17"/>
      <c r="UZV112" s="17"/>
      <c r="UZW112" s="17"/>
      <c r="UZX112" s="17"/>
      <c r="UZY112" s="17"/>
      <c r="UZZ112" s="17"/>
      <c r="VAA112" s="17"/>
      <c r="VAB112" s="17"/>
      <c r="VAC112" s="17"/>
      <c r="VAD112" s="17"/>
      <c r="VAE112" s="17"/>
      <c r="VAF112" s="17"/>
      <c r="VAG112" s="17"/>
      <c r="VAH112" s="17"/>
      <c r="VAI112" s="17"/>
      <c r="VAJ112" s="17"/>
      <c r="VAK112" s="17"/>
      <c r="VAL112" s="17"/>
      <c r="VAM112" s="17"/>
      <c r="VAN112" s="17"/>
      <c r="VAO112" s="17"/>
      <c r="VAP112" s="17"/>
      <c r="VAQ112" s="17"/>
      <c r="VAR112" s="17"/>
      <c r="VAS112" s="17"/>
      <c r="VAT112" s="17"/>
      <c r="VAU112" s="17"/>
      <c r="VAV112" s="17"/>
      <c r="VAW112" s="17"/>
      <c r="VAX112" s="17"/>
      <c r="VAY112" s="17"/>
      <c r="VAZ112" s="17"/>
      <c r="VBA112" s="17"/>
      <c r="VBB112" s="17"/>
      <c r="VBC112" s="17"/>
      <c r="VBD112" s="17"/>
      <c r="VBE112" s="17"/>
      <c r="VBF112" s="17"/>
      <c r="VBG112" s="17"/>
      <c r="VBH112" s="17"/>
      <c r="VBI112" s="17"/>
      <c r="VBJ112" s="17"/>
      <c r="VBK112" s="17"/>
      <c r="VBL112" s="17"/>
      <c r="VBM112" s="17"/>
      <c r="VBN112" s="17"/>
      <c r="VBO112" s="17"/>
      <c r="VBP112" s="17"/>
      <c r="VBQ112" s="17"/>
      <c r="VBR112" s="17"/>
      <c r="VBS112" s="17"/>
      <c r="VBT112" s="17"/>
      <c r="VBU112" s="17"/>
      <c r="VBV112" s="17"/>
      <c r="VBW112" s="17"/>
      <c r="VBX112" s="17"/>
      <c r="VBY112" s="17"/>
      <c r="VBZ112" s="17"/>
      <c r="VCA112" s="17"/>
      <c r="VCB112" s="17"/>
      <c r="VCC112" s="17"/>
      <c r="VCD112" s="17"/>
      <c r="VCE112" s="17"/>
      <c r="VCF112" s="17"/>
      <c r="VCG112" s="17"/>
      <c r="VCH112" s="17"/>
      <c r="VCI112" s="17"/>
      <c r="VCJ112" s="17"/>
      <c r="VCK112" s="17"/>
      <c r="VCL112" s="17"/>
      <c r="VCM112" s="17"/>
      <c r="VCN112" s="17"/>
      <c r="VCO112" s="17"/>
      <c r="VCP112" s="17"/>
      <c r="VCQ112" s="17"/>
      <c r="VCR112" s="17"/>
      <c r="VCS112" s="17"/>
      <c r="VCT112" s="17"/>
      <c r="VCU112" s="17"/>
      <c r="VCV112" s="17"/>
      <c r="VCW112" s="17"/>
      <c r="VCX112" s="17"/>
      <c r="VCY112" s="17"/>
      <c r="VCZ112" s="17"/>
      <c r="VDA112" s="17"/>
      <c r="VDB112" s="17"/>
      <c r="VDC112" s="17"/>
      <c r="VDD112" s="17"/>
      <c r="VDE112" s="17"/>
      <c r="VDF112" s="17"/>
      <c r="VDG112" s="17"/>
      <c r="VDH112" s="17"/>
      <c r="VDI112" s="17"/>
      <c r="VDJ112" s="17"/>
      <c r="VDK112" s="17"/>
      <c r="VDL112" s="17"/>
      <c r="VDM112" s="17"/>
      <c r="VDN112" s="17"/>
      <c r="VDO112" s="17"/>
      <c r="VDP112" s="17"/>
      <c r="VDQ112" s="17"/>
      <c r="VDR112" s="17"/>
      <c r="VDS112" s="17"/>
      <c r="VDT112" s="17"/>
      <c r="VDU112" s="17"/>
      <c r="VDV112" s="17"/>
      <c r="VDW112" s="17"/>
      <c r="VDX112" s="17"/>
      <c r="VDY112" s="17"/>
      <c r="VDZ112" s="17"/>
      <c r="VEA112" s="17"/>
      <c r="VEB112" s="17"/>
      <c r="VEC112" s="17"/>
      <c r="VED112" s="17"/>
      <c r="VEE112" s="17"/>
      <c r="VEF112" s="17"/>
      <c r="VEG112" s="17"/>
      <c r="VEH112" s="17"/>
      <c r="VEI112" s="17"/>
      <c r="VEJ112" s="17"/>
      <c r="VEK112" s="17"/>
      <c r="VEL112" s="17"/>
      <c r="VEM112" s="17"/>
      <c r="VEN112" s="17"/>
      <c r="VEO112" s="17"/>
      <c r="VEP112" s="17"/>
      <c r="VEQ112" s="17"/>
      <c r="VER112" s="17"/>
      <c r="VES112" s="17"/>
      <c r="VET112" s="17"/>
      <c r="VEU112" s="17"/>
      <c r="VEV112" s="17"/>
      <c r="VEW112" s="17"/>
      <c r="VEX112" s="17"/>
      <c r="VEY112" s="17"/>
      <c r="VEZ112" s="17"/>
      <c r="VFA112" s="17"/>
      <c r="VFB112" s="17"/>
      <c r="VFC112" s="17"/>
      <c r="VFD112" s="17"/>
      <c r="VFE112" s="17"/>
      <c r="VFF112" s="17"/>
      <c r="VFG112" s="17"/>
      <c r="VFH112" s="17"/>
      <c r="VFI112" s="17"/>
      <c r="VFJ112" s="17"/>
      <c r="VFK112" s="17"/>
      <c r="VFL112" s="17"/>
      <c r="VFM112" s="17"/>
      <c r="VFN112" s="17"/>
      <c r="VFO112" s="17"/>
      <c r="VFP112" s="17"/>
      <c r="VFQ112" s="17"/>
      <c r="VFR112" s="17"/>
      <c r="VFS112" s="17"/>
      <c r="VFT112" s="17"/>
      <c r="VFU112" s="17"/>
      <c r="VFV112" s="17"/>
      <c r="VFW112" s="17"/>
      <c r="VFX112" s="17"/>
      <c r="VFY112" s="17"/>
      <c r="VFZ112" s="17"/>
      <c r="VGA112" s="17"/>
      <c r="VGB112" s="17"/>
      <c r="VGC112" s="17"/>
      <c r="VGD112" s="17"/>
      <c r="VGE112" s="17"/>
      <c r="VGF112" s="17"/>
      <c r="VGG112" s="17"/>
      <c r="VGH112" s="17"/>
      <c r="VGI112" s="17"/>
      <c r="VGJ112" s="17"/>
      <c r="VGK112" s="17"/>
      <c r="VGL112" s="17"/>
      <c r="VGM112" s="17"/>
      <c r="VGN112" s="17"/>
      <c r="VGO112" s="17"/>
      <c r="VGP112" s="17"/>
      <c r="VGQ112" s="17"/>
      <c r="VGR112" s="17"/>
      <c r="VGS112" s="17"/>
      <c r="VGT112" s="17"/>
      <c r="VGU112" s="17"/>
      <c r="VGV112" s="17"/>
      <c r="VGW112" s="17"/>
      <c r="VGX112" s="17"/>
      <c r="VGY112" s="17"/>
      <c r="VGZ112" s="17"/>
      <c r="VHA112" s="17"/>
      <c r="VHB112" s="17"/>
      <c r="VHC112" s="17"/>
      <c r="VHD112" s="17"/>
      <c r="VHE112" s="17"/>
      <c r="VHF112" s="17"/>
      <c r="VHG112" s="17"/>
      <c r="VHH112" s="17"/>
      <c r="VHI112" s="17"/>
      <c r="VHJ112" s="17"/>
      <c r="VHK112" s="17"/>
      <c r="VHL112" s="17"/>
      <c r="VHM112" s="17"/>
      <c r="VHN112" s="17"/>
      <c r="VHO112" s="17"/>
      <c r="VHP112" s="17"/>
      <c r="VHQ112" s="17"/>
      <c r="VHR112" s="17"/>
      <c r="VHS112" s="17"/>
      <c r="VHT112" s="17"/>
      <c r="VHU112" s="17"/>
      <c r="VHV112" s="17"/>
      <c r="VHW112" s="17"/>
      <c r="VHX112" s="17"/>
      <c r="VHY112" s="17"/>
      <c r="VHZ112" s="17"/>
      <c r="VIA112" s="17"/>
      <c r="VIB112" s="17"/>
      <c r="VIC112" s="17"/>
      <c r="VID112" s="17"/>
      <c r="VIE112" s="17"/>
      <c r="VIF112" s="17"/>
      <c r="VIG112" s="17"/>
      <c r="VIH112" s="17"/>
      <c r="VII112" s="17"/>
      <c r="VIJ112" s="17"/>
      <c r="VIK112" s="17"/>
      <c r="VIL112" s="17"/>
      <c r="VIM112" s="17"/>
      <c r="VIN112" s="17"/>
      <c r="VIO112" s="17"/>
      <c r="VIP112" s="17"/>
      <c r="VIQ112" s="17"/>
      <c r="VIR112" s="17"/>
      <c r="VIS112" s="17"/>
      <c r="VIT112" s="17"/>
      <c r="VIU112" s="17"/>
      <c r="VIV112" s="17"/>
      <c r="VIW112" s="17"/>
      <c r="VIX112" s="17"/>
      <c r="VIY112" s="17"/>
      <c r="VIZ112" s="17"/>
      <c r="VJA112" s="17"/>
      <c r="VJB112" s="17"/>
      <c r="VJC112" s="17"/>
      <c r="VJD112" s="17"/>
      <c r="VJE112" s="17"/>
      <c r="VJF112" s="17"/>
      <c r="VJG112" s="17"/>
      <c r="VJH112" s="17"/>
      <c r="VJI112" s="17"/>
      <c r="VJJ112" s="17"/>
      <c r="VJK112" s="17"/>
      <c r="VJL112" s="17"/>
      <c r="VJM112" s="17"/>
      <c r="VJN112" s="17"/>
      <c r="VJO112" s="17"/>
      <c r="VJP112" s="17"/>
      <c r="VJQ112" s="17"/>
      <c r="VJR112" s="17"/>
      <c r="VJS112" s="17"/>
      <c r="VJT112" s="17"/>
      <c r="VJU112" s="17"/>
      <c r="VJV112" s="17"/>
      <c r="VJW112" s="17"/>
      <c r="VJX112" s="17"/>
      <c r="VJY112" s="17"/>
      <c r="VJZ112" s="17"/>
      <c r="VKA112" s="17"/>
      <c r="VKB112" s="17"/>
      <c r="VKC112" s="17"/>
      <c r="VKD112" s="17"/>
      <c r="VKE112" s="17"/>
      <c r="VKF112" s="17"/>
      <c r="VKG112" s="17"/>
      <c r="VKH112" s="17"/>
      <c r="VKI112" s="17"/>
      <c r="VKJ112" s="17"/>
      <c r="VKK112" s="17"/>
      <c r="VKL112" s="17"/>
      <c r="VKM112" s="17"/>
      <c r="VKN112" s="17"/>
      <c r="VKO112" s="17"/>
      <c r="VKP112" s="17"/>
      <c r="VKQ112" s="17"/>
      <c r="VKR112" s="17"/>
      <c r="VKS112" s="17"/>
      <c r="VKT112" s="17"/>
      <c r="VKU112" s="17"/>
      <c r="VKV112" s="17"/>
      <c r="VKW112" s="17"/>
      <c r="VKX112" s="17"/>
      <c r="VKY112" s="17"/>
      <c r="VKZ112" s="17"/>
      <c r="VLA112" s="17"/>
      <c r="VLB112" s="17"/>
      <c r="VLC112" s="17"/>
      <c r="VLD112" s="17"/>
      <c r="VLE112" s="17"/>
      <c r="VLF112" s="17"/>
      <c r="VLG112" s="17"/>
      <c r="VLH112" s="17"/>
      <c r="VLI112" s="17"/>
      <c r="VLJ112" s="17"/>
      <c r="VLK112" s="17"/>
      <c r="VLL112" s="17"/>
      <c r="VLM112" s="17"/>
      <c r="VLN112" s="17"/>
      <c r="VLO112" s="17"/>
      <c r="VLP112" s="17"/>
      <c r="VLQ112" s="17"/>
      <c r="VLR112" s="17"/>
      <c r="VLS112" s="17"/>
      <c r="VLT112" s="17"/>
      <c r="VLU112" s="17"/>
      <c r="VLV112" s="17"/>
      <c r="VLW112" s="17"/>
      <c r="VLX112" s="17"/>
      <c r="VLY112" s="17"/>
      <c r="VLZ112" s="17"/>
      <c r="VMA112" s="17"/>
      <c r="VMB112" s="17"/>
      <c r="VMC112" s="17"/>
      <c r="VMD112" s="17"/>
      <c r="VME112" s="17"/>
      <c r="VMF112" s="17"/>
      <c r="VMG112" s="17"/>
      <c r="VMH112" s="17"/>
      <c r="VMI112" s="17"/>
      <c r="VMJ112" s="17"/>
      <c r="VMK112" s="17"/>
      <c r="VML112" s="17"/>
      <c r="VMM112" s="17"/>
      <c r="VMN112" s="17"/>
      <c r="VMO112" s="17"/>
      <c r="VMP112" s="17"/>
      <c r="VMQ112" s="17"/>
      <c r="VMR112" s="17"/>
      <c r="VMS112" s="17"/>
      <c r="VMT112" s="17"/>
      <c r="VMU112" s="17"/>
      <c r="VMV112" s="17"/>
      <c r="VMW112" s="17"/>
      <c r="VMX112" s="17"/>
      <c r="VMY112" s="17"/>
      <c r="VMZ112" s="17"/>
      <c r="VNA112" s="17"/>
      <c r="VNB112" s="17"/>
      <c r="VNC112" s="17"/>
      <c r="VND112" s="17"/>
      <c r="VNE112" s="17"/>
      <c r="VNF112" s="17"/>
      <c r="VNG112" s="17"/>
      <c r="VNH112" s="17"/>
      <c r="VNI112" s="17"/>
      <c r="VNJ112" s="17"/>
      <c r="VNK112" s="17"/>
      <c r="VNL112" s="17"/>
      <c r="VNM112" s="17"/>
      <c r="VNN112" s="17"/>
      <c r="VNO112" s="17"/>
      <c r="VNP112" s="17"/>
      <c r="VNQ112" s="17"/>
      <c r="VNR112" s="17"/>
      <c r="VNS112" s="17"/>
      <c r="VNT112" s="17"/>
      <c r="VNU112" s="17"/>
      <c r="VNV112" s="17"/>
      <c r="VNW112" s="17"/>
      <c r="VNX112" s="17"/>
      <c r="VNY112" s="17"/>
      <c r="VNZ112" s="17"/>
      <c r="VOA112" s="17"/>
      <c r="VOB112" s="17"/>
      <c r="VOC112" s="17"/>
      <c r="VOD112" s="17"/>
      <c r="VOE112" s="17"/>
      <c r="VOF112" s="17"/>
      <c r="VOG112" s="17"/>
      <c r="VOH112" s="17"/>
      <c r="VOI112" s="17"/>
      <c r="VOJ112" s="17"/>
      <c r="VOK112" s="17"/>
      <c r="VOL112" s="17"/>
      <c r="VOM112" s="17"/>
      <c r="VON112" s="17"/>
      <c r="VOO112" s="17"/>
      <c r="VOP112" s="17"/>
      <c r="VOQ112" s="17"/>
      <c r="VOR112" s="17"/>
      <c r="VOS112" s="17"/>
      <c r="VOT112" s="17"/>
      <c r="VOU112" s="17"/>
      <c r="VOV112" s="17"/>
      <c r="VOW112" s="17"/>
      <c r="VOX112" s="17"/>
      <c r="VOY112" s="17"/>
      <c r="VOZ112" s="17"/>
      <c r="VPA112" s="17"/>
      <c r="VPB112" s="17"/>
      <c r="VPC112" s="17"/>
      <c r="VPD112" s="17"/>
      <c r="VPE112" s="17"/>
      <c r="VPF112" s="17"/>
      <c r="VPG112" s="17"/>
      <c r="VPH112" s="17"/>
      <c r="VPI112" s="17"/>
      <c r="VPJ112" s="17"/>
      <c r="VPK112" s="17"/>
      <c r="VPL112" s="17"/>
      <c r="VPM112" s="17"/>
      <c r="VPN112" s="17"/>
      <c r="VPO112" s="17"/>
      <c r="VPP112" s="17"/>
      <c r="VPQ112" s="17"/>
      <c r="VPR112" s="17"/>
      <c r="VPS112" s="17"/>
      <c r="VPT112" s="17"/>
      <c r="VPU112" s="17"/>
      <c r="VPV112" s="17"/>
      <c r="VPW112" s="17"/>
      <c r="VPX112" s="17"/>
      <c r="VPY112" s="17"/>
      <c r="VPZ112" s="17"/>
      <c r="VQA112" s="17"/>
      <c r="VQB112" s="17"/>
      <c r="VQC112" s="17"/>
      <c r="VQD112" s="17"/>
      <c r="VQE112" s="17"/>
      <c r="VQF112" s="17"/>
      <c r="VQG112" s="17"/>
      <c r="VQH112" s="17"/>
      <c r="VQI112" s="17"/>
      <c r="VQJ112" s="17"/>
      <c r="VQK112" s="17"/>
      <c r="VQL112" s="17"/>
      <c r="VQM112" s="17"/>
      <c r="VQN112" s="17"/>
      <c r="VQO112" s="17"/>
      <c r="VQP112" s="17"/>
      <c r="VQQ112" s="17"/>
      <c r="VQR112" s="17"/>
      <c r="VQS112" s="17"/>
      <c r="VQT112" s="17"/>
      <c r="VQU112" s="17"/>
      <c r="VQV112" s="17"/>
      <c r="VQW112" s="17"/>
      <c r="VQX112" s="17"/>
      <c r="VQY112" s="17"/>
      <c r="VQZ112" s="17"/>
      <c r="VRA112" s="17"/>
      <c r="VRB112" s="17"/>
      <c r="VRC112" s="17"/>
      <c r="VRD112" s="17"/>
      <c r="VRE112" s="17"/>
      <c r="VRF112" s="17"/>
      <c r="VRG112" s="17"/>
      <c r="VRH112" s="17"/>
      <c r="VRI112" s="17"/>
      <c r="VRJ112" s="17"/>
      <c r="VRK112" s="17"/>
      <c r="VRL112" s="17"/>
      <c r="VRM112" s="17"/>
      <c r="VRN112" s="17"/>
      <c r="VRO112" s="17"/>
      <c r="VRP112" s="17"/>
      <c r="VRQ112" s="17"/>
      <c r="VRR112" s="17"/>
      <c r="VRS112" s="17"/>
      <c r="VRT112" s="17"/>
      <c r="VRU112" s="17"/>
      <c r="VRV112" s="17"/>
      <c r="VRW112" s="17"/>
      <c r="VRX112" s="17"/>
      <c r="VRY112" s="17"/>
      <c r="VRZ112" s="17"/>
      <c r="VSA112" s="17"/>
      <c r="VSB112" s="17"/>
      <c r="VSC112" s="17"/>
      <c r="VSD112" s="17"/>
      <c r="VSE112" s="17"/>
      <c r="VSF112" s="17"/>
      <c r="VSG112" s="17"/>
      <c r="VSH112" s="17"/>
      <c r="VSI112" s="17"/>
      <c r="VSJ112" s="17"/>
      <c r="VSK112" s="17"/>
      <c r="VSL112" s="17"/>
      <c r="VSM112" s="17"/>
      <c r="VSN112" s="17"/>
      <c r="VSO112" s="17"/>
      <c r="VSP112" s="17"/>
      <c r="VSQ112" s="17"/>
      <c r="VSR112" s="17"/>
      <c r="VSS112" s="17"/>
      <c r="VST112" s="17"/>
      <c r="VSU112" s="17"/>
      <c r="VSV112" s="17"/>
      <c r="VSW112" s="17"/>
      <c r="VSX112" s="17"/>
      <c r="VSY112" s="17"/>
      <c r="VSZ112" s="17"/>
      <c r="VTA112" s="17"/>
      <c r="VTB112" s="17"/>
      <c r="VTC112" s="17"/>
      <c r="VTD112" s="17"/>
      <c r="VTE112" s="17"/>
      <c r="VTF112" s="17"/>
      <c r="VTG112" s="17"/>
      <c r="VTH112" s="17"/>
      <c r="VTI112" s="17"/>
      <c r="VTJ112" s="17"/>
      <c r="VTK112" s="17"/>
      <c r="VTL112" s="17"/>
      <c r="VTM112" s="17"/>
      <c r="VTN112" s="17"/>
      <c r="VTO112" s="17"/>
      <c r="VTP112" s="17"/>
      <c r="VTQ112" s="17"/>
      <c r="VTR112" s="17"/>
      <c r="VTS112" s="17"/>
      <c r="VTT112" s="17"/>
      <c r="VTU112" s="17"/>
      <c r="VTV112" s="17"/>
      <c r="VTW112" s="17"/>
      <c r="VTX112" s="17"/>
      <c r="VTY112" s="17"/>
      <c r="VTZ112" s="17"/>
      <c r="VUA112" s="17"/>
      <c r="VUB112" s="17"/>
      <c r="VUC112" s="17"/>
      <c r="VUD112" s="17"/>
      <c r="VUE112" s="17"/>
      <c r="VUF112" s="17"/>
      <c r="VUG112" s="17"/>
      <c r="VUH112" s="17"/>
      <c r="VUI112" s="17"/>
      <c r="VUJ112" s="17"/>
      <c r="VUK112" s="17"/>
      <c r="VUL112" s="17"/>
      <c r="VUM112" s="17"/>
      <c r="VUN112" s="17"/>
      <c r="VUO112" s="17"/>
      <c r="VUP112" s="17"/>
      <c r="VUQ112" s="17"/>
      <c r="VUR112" s="17"/>
      <c r="VUS112" s="17"/>
      <c r="VUT112" s="17"/>
      <c r="VUU112" s="17"/>
      <c r="VUV112" s="17"/>
      <c r="VUW112" s="17"/>
      <c r="VUX112" s="17"/>
      <c r="VUY112" s="17"/>
      <c r="VUZ112" s="17"/>
      <c r="VVA112" s="17"/>
      <c r="VVB112" s="17"/>
      <c r="VVC112" s="17"/>
      <c r="VVD112" s="17"/>
      <c r="VVE112" s="17"/>
      <c r="VVF112" s="17"/>
      <c r="VVG112" s="17"/>
      <c r="VVH112" s="17"/>
      <c r="VVI112" s="17"/>
      <c r="VVJ112" s="17"/>
      <c r="VVK112" s="17"/>
      <c r="VVL112" s="17"/>
      <c r="VVM112" s="17"/>
      <c r="VVN112" s="17"/>
      <c r="VVO112" s="17"/>
      <c r="VVP112" s="17"/>
      <c r="VVQ112" s="17"/>
      <c r="VVR112" s="17"/>
      <c r="VVS112" s="17"/>
      <c r="VVT112" s="17"/>
      <c r="VVU112" s="17"/>
      <c r="VVV112" s="17"/>
      <c r="VVW112" s="17"/>
      <c r="VVX112" s="17"/>
      <c r="VVY112" s="17"/>
      <c r="VVZ112" s="17"/>
      <c r="VWA112" s="17"/>
      <c r="VWB112" s="17"/>
      <c r="VWC112" s="17"/>
      <c r="VWD112" s="17"/>
      <c r="VWE112" s="17"/>
      <c r="VWF112" s="17"/>
      <c r="VWG112" s="17"/>
      <c r="VWH112" s="17"/>
      <c r="VWI112" s="17"/>
      <c r="VWJ112" s="17"/>
      <c r="VWK112" s="17"/>
      <c r="VWL112" s="17"/>
      <c r="VWM112" s="17"/>
      <c r="VWN112" s="17"/>
      <c r="VWO112" s="17"/>
      <c r="VWP112" s="17"/>
      <c r="VWQ112" s="17"/>
      <c r="VWR112" s="17"/>
      <c r="VWS112" s="17"/>
      <c r="VWT112" s="17"/>
      <c r="VWU112" s="17"/>
      <c r="VWV112" s="17"/>
      <c r="VWW112" s="17"/>
      <c r="VWX112" s="17"/>
      <c r="VWY112" s="17"/>
      <c r="VWZ112" s="17"/>
      <c r="VXA112" s="17"/>
      <c r="VXB112" s="17"/>
      <c r="VXC112" s="17"/>
      <c r="VXD112" s="17"/>
      <c r="VXE112" s="17"/>
      <c r="VXF112" s="17"/>
      <c r="VXG112" s="17"/>
      <c r="VXH112" s="17"/>
      <c r="VXI112" s="17"/>
      <c r="VXJ112" s="17"/>
      <c r="VXK112" s="17"/>
      <c r="VXL112" s="17"/>
      <c r="VXM112" s="17"/>
      <c r="VXN112" s="17"/>
      <c r="VXO112" s="17"/>
      <c r="VXP112" s="17"/>
      <c r="VXQ112" s="17"/>
      <c r="VXR112" s="17"/>
      <c r="VXS112" s="17"/>
      <c r="VXT112" s="17"/>
      <c r="VXU112" s="17"/>
      <c r="VXV112" s="17"/>
      <c r="VXW112" s="17"/>
      <c r="VXX112" s="17"/>
      <c r="VXY112" s="17"/>
      <c r="VXZ112" s="17"/>
      <c r="VYA112" s="17"/>
      <c r="VYB112" s="17"/>
      <c r="VYC112" s="17"/>
      <c r="VYD112" s="17"/>
      <c r="VYE112" s="17"/>
      <c r="VYF112" s="17"/>
      <c r="VYG112" s="17"/>
      <c r="VYH112" s="17"/>
      <c r="VYI112" s="17"/>
      <c r="VYJ112" s="17"/>
      <c r="VYK112" s="17"/>
      <c r="VYL112" s="17"/>
      <c r="VYM112" s="17"/>
      <c r="VYN112" s="17"/>
      <c r="VYO112" s="17"/>
      <c r="VYP112" s="17"/>
      <c r="VYQ112" s="17"/>
      <c r="VYR112" s="17"/>
      <c r="VYS112" s="17"/>
      <c r="VYT112" s="17"/>
      <c r="VYU112" s="17"/>
      <c r="VYV112" s="17"/>
      <c r="VYW112" s="17"/>
      <c r="VYX112" s="17"/>
      <c r="VYY112" s="17"/>
      <c r="VYZ112" s="17"/>
      <c r="VZA112" s="17"/>
      <c r="VZB112" s="17"/>
      <c r="VZC112" s="17"/>
      <c r="VZD112" s="17"/>
      <c r="VZE112" s="17"/>
      <c r="VZF112" s="17"/>
      <c r="VZG112" s="17"/>
      <c r="VZH112" s="17"/>
      <c r="VZI112" s="17"/>
      <c r="VZJ112" s="17"/>
      <c r="VZK112" s="17"/>
      <c r="VZL112" s="17"/>
      <c r="VZM112" s="17"/>
      <c r="VZN112" s="17"/>
      <c r="VZO112" s="17"/>
      <c r="VZP112" s="17"/>
      <c r="VZQ112" s="17"/>
      <c r="VZR112" s="17"/>
      <c r="VZS112" s="17"/>
      <c r="VZT112" s="17"/>
      <c r="VZU112" s="17"/>
      <c r="VZV112" s="17"/>
      <c r="VZW112" s="17"/>
      <c r="VZX112" s="17"/>
      <c r="VZY112" s="17"/>
      <c r="VZZ112" s="17"/>
      <c r="WAA112" s="17"/>
      <c r="WAB112" s="17"/>
      <c r="WAC112" s="17"/>
      <c r="WAD112" s="17"/>
      <c r="WAE112" s="17"/>
      <c r="WAF112" s="17"/>
      <c r="WAG112" s="17"/>
      <c r="WAH112" s="17"/>
      <c r="WAI112" s="17"/>
      <c r="WAJ112" s="17"/>
      <c r="WAK112" s="17"/>
      <c r="WAL112" s="17"/>
      <c r="WAM112" s="17"/>
      <c r="WAN112" s="17"/>
      <c r="WAO112" s="17"/>
      <c r="WAP112" s="17"/>
      <c r="WAQ112" s="17"/>
      <c r="WAR112" s="17"/>
      <c r="WAS112" s="17"/>
      <c r="WAT112" s="17"/>
      <c r="WAU112" s="17"/>
      <c r="WAV112" s="17"/>
      <c r="WAW112" s="17"/>
      <c r="WAX112" s="17"/>
      <c r="WAY112" s="17"/>
      <c r="WAZ112" s="17"/>
      <c r="WBA112" s="17"/>
      <c r="WBB112" s="17"/>
      <c r="WBC112" s="17"/>
      <c r="WBD112" s="17"/>
      <c r="WBE112" s="17"/>
      <c r="WBF112" s="17"/>
      <c r="WBG112" s="17"/>
      <c r="WBH112" s="17"/>
      <c r="WBI112" s="17"/>
      <c r="WBJ112" s="17"/>
      <c r="WBK112" s="17"/>
      <c r="WBL112" s="17"/>
      <c r="WBM112" s="17"/>
      <c r="WBN112" s="17"/>
      <c r="WBO112" s="17"/>
      <c r="WBP112" s="17"/>
      <c r="WBQ112" s="17"/>
      <c r="WBR112" s="17"/>
      <c r="WBS112" s="17"/>
      <c r="WBT112" s="17"/>
      <c r="WBU112" s="17"/>
      <c r="WBV112" s="17"/>
      <c r="WBW112" s="17"/>
      <c r="WBX112" s="17"/>
      <c r="WBY112" s="17"/>
      <c r="WBZ112" s="17"/>
      <c r="WCA112" s="17"/>
      <c r="WCB112" s="17"/>
      <c r="WCC112" s="17"/>
      <c r="WCD112" s="17"/>
      <c r="WCE112" s="17"/>
      <c r="WCF112" s="17"/>
      <c r="WCG112" s="17"/>
      <c r="WCH112" s="17"/>
      <c r="WCI112" s="17"/>
      <c r="WCJ112" s="17"/>
      <c r="WCK112" s="17"/>
      <c r="WCL112" s="17"/>
      <c r="WCM112" s="17"/>
      <c r="WCN112" s="17"/>
      <c r="WCO112" s="17"/>
      <c r="WCP112" s="17"/>
      <c r="WCQ112" s="17"/>
      <c r="WCR112" s="17"/>
      <c r="WCS112" s="17"/>
      <c r="WCT112" s="17"/>
      <c r="WCU112" s="17"/>
      <c r="WCV112" s="17"/>
      <c r="WCW112" s="17"/>
      <c r="WCX112" s="17"/>
      <c r="WCY112" s="17"/>
      <c r="WCZ112" s="17"/>
      <c r="WDA112" s="17"/>
      <c r="WDB112" s="17"/>
      <c r="WDC112" s="17"/>
      <c r="WDD112" s="17"/>
      <c r="WDE112" s="17"/>
      <c r="WDF112" s="17"/>
      <c r="WDG112" s="17"/>
      <c r="WDH112" s="17"/>
      <c r="WDI112" s="17"/>
      <c r="WDJ112" s="17"/>
      <c r="WDK112" s="17"/>
      <c r="WDL112" s="17"/>
      <c r="WDM112" s="17"/>
      <c r="WDN112" s="17"/>
      <c r="WDO112" s="17"/>
      <c r="WDP112" s="17"/>
      <c r="WDQ112" s="17"/>
      <c r="WDR112" s="17"/>
      <c r="WDS112" s="17"/>
      <c r="WDT112" s="17"/>
      <c r="WDU112" s="17"/>
      <c r="WDV112" s="17"/>
      <c r="WDW112" s="17"/>
      <c r="WDX112" s="17"/>
      <c r="WDY112" s="17"/>
      <c r="WDZ112" s="17"/>
      <c r="WEA112" s="17"/>
      <c r="WEB112" s="17"/>
      <c r="WEC112" s="17"/>
      <c r="WED112" s="17"/>
      <c r="WEE112" s="17"/>
      <c r="WEF112" s="17"/>
      <c r="WEG112" s="17"/>
      <c r="WEH112" s="17"/>
      <c r="WEI112" s="17"/>
      <c r="WEJ112" s="17"/>
      <c r="WEK112" s="17"/>
      <c r="WEL112" s="17"/>
      <c r="WEM112" s="17"/>
      <c r="WEN112" s="17"/>
      <c r="WEO112" s="17"/>
      <c r="WEP112" s="17"/>
      <c r="WEQ112" s="17"/>
      <c r="WER112" s="17"/>
      <c r="WES112" s="17"/>
      <c r="WET112" s="17"/>
      <c r="WEU112" s="17"/>
      <c r="WEV112" s="17"/>
      <c r="WEW112" s="17"/>
      <c r="WEX112" s="17"/>
      <c r="WEY112" s="17"/>
      <c r="WEZ112" s="17"/>
      <c r="WFA112" s="17"/>
      <c r="WFB112" s="17"/>
      <c r="WFC112" s="17"/>
      <c r="WFD112" s="17"/>
      <c r="WFE112" s="17"/>
      <c r="WFF112" s="17"/>
      <c r="WFG112" s="17"/>
      <c r="WFH112" s="17"/>
      <c r="WFI112" s="17"/>
      <c r="WFJ112" s="17"/>
      <c r="WFK112" s="17"/>
      <c r="WFL112" s="17"/>
      <c r="WFM112" s="17"/>
      <c r="WFN112" s="17"/>
      <c r="WFO112" s="17"/>
      <c r="WFP112" s="17"/>
      <c r="WFQ112" s="17"/>
      <c r="WFR112" s="17"/>
      <c r="WFS112" s="17"/>
      <c r="WFT112" s="17"/>
      <c r="WFU112" s="17"/>
      <c r="WFV112" s="17"/>
      <c r="WFW112" s="17"/>
      <c r="WFX112" s="17"/>
      <c r="WFY112" s="17"/>
      <c r="WFZ112" s="17"/>
      <c r="WGA112" s="17"/>
      <c r="WGB112" s="17"/>
      <c r="WGC112" s="17"/>
      <c r="WGD112" s="17"/>
      <c r="WGE112" s="17"/>
      <c r="WGF112" s="17"/>
      <c r="WGG112" s="17"/>
      <c r="WGH112" s="17"/>
      <c r="WGI112" s="17"/>
      <c r="WGJ112" s="17"/>
      <c r="WGK112" s="17"/>
      <c r="WGL112" s="17"/>
      <c r="WGM112" s="17"/>
      <c r="WGN112" s="17"/>
      <c r="WGO112" s="17"/>
      <c r="WGP112" s="17"/>
      <c r="WGQ112" s="17"/>
      <c r="WGR112" s="17"/>
      <c r="WGS112" s="17"/>
      <c r="WGT112" s="17"/>
      <c r="WGU112" s="17"/>
      <c r="WGV112" s="17"/>
      <c r="WGW112" s="17"/>
      <c r="WGX112" s="17"/>
      <c r="WGY112" s="17"/>
      <c r="WGZ112" s="17"/>
      <c r="WHA112" s="17"/>
      <c r="WHB112" s="17"/>
      <c r="WHC112" s="17"/>
      <c r="WHD112" s="17"/>
      <c r="WHE112" s="17"/>
      <c r="WHF112" s="17"/>
      <c r="WHG112" s="17"/>
      <c r="WHH112" s="17"/>
      <c r="WHI112" s="17"/>
      <c r="WHJ112" s="17"/>
      <c r="WHK112" s="17"/>
      <c r="WHL112" s="17"/>
      <c r="WHM112" s="17"/>
      <c r="WHN112" s="17"/>
      <c r="WHO112" s="17"/>
      <c r="WHP112" s="17"/>
      <c r="WHQ112" s="17"/>
      <c r="WHR112" s="17"/>
      <c r="WHS112" s="17"/>
      <c r="WHT112" s="17"/>
      <c r="WHU112" s="17"/>
      <c r="WHV112" s="17"/>
      <c r="WHW112" s="17"/>
      <c r="WHX112" s="17"/>
      <c r="WHY112" s="17"/>
      <c r="WHZ112" s="17"/>
      <c r="WIA112" s="17"/>
      <c r="WIB112" s="17"/>
      <c r="WIC112" s="17"/>
      <c r="WID112" s="17"/>
      <c r="WIE112" s="17"/>
      <c r="WIF112" s="17"/>
      <c r="WIG112" s="17"/>
      <c r="WIH112" s="17"/>
      <c r="WII112" s="17"/>
      <c r="WIJ112" s="17"/>
      <c r="WIK112" s="17"/>
      <c r="WIL112" s="17"/>
      <c r="WIM112" s="17"/>
      <c r="WIN112" s="17"/>
      <c r="WIO112" s="17"/>
      <c r="WIP112" s="17"/>
      <c r="WIQ112" s="17"/>
      <c r="WIR112" s="17"/>
      <c r="WIS112" s="17"/>
      <c r="WIT112" s="17"/>
      <c r="WIU112" s="17"/>
      <c r="WIV112" s="17"/>
      <c r="WIW112" s="17"/>
      <c r="WIX112" s="17"/>
      <c r="WIY112" s="17"/>
      <c r="WIZ112" s="17"/>
      <c r="WJA112" s="17"/>
      <c r="WJB112" s="17"/>
      <c r="WJC112" s="17"/>
      <c r="WJD112" s="17"/>
      <c r="WJE112" s="17"/>
      <c r="WJF112" s="17"/>
      <c r="WJG112" s="17"/>
      <c r="WJH112" s="17"/>
      <c r="WJI112" s="17"/>
      <c r="WJJ112" s="17"/>
      <c r="WJK112" s="17"/>
      <c r="WJL112" s="17"/>
      <c r="WJM112" s="17"/>
      <c r="WJN112" s="17"/>
      <c r="WJO112" s="17"/>
      <c r="WJP112" s="17"/>
      <c r="WJQ112" s="17"/>
      <c r="WJR112" s="17"/>
      <c r="WJS112" s="17"/>
      <c r="WJT112" s="17"/>
      <c r="WJU112" s="17"/>
      <c r="WJV112" s="17"/>
      <c r="WJW112" s="17"/>
      <c r="WJX112" s="17"/>
      <c r="WJY112" s="17"/>
      <c r="WJZ112" s="17"/>
      <c r="WKA112" s="17"/>
      <c r="WKB112" s="17"/>
      <c r="WKC112" s="17"/>
      <c r="WKD112" s="17"/>
      <c r="WKE112" s="17"/>
      <c r="WKF112" s="17"/>
      <c r="WKG112" s="17"/>
      <c r="WKH112" s="17"/>
      <c r="WKI112" s="17"/>
      <c r="WKJ112" s="17"/>
      <c r="WKK112" s="17"/>
      <c r="WKL112" s="17"/>
      <c r="WKM112" s="17"/>
      <c r="WKN112" s="17"/>
      <c r="WKO112" s="17"/>
      <c r="WKP112" s="17"/>
      <c r="WKQ112" s="17"/>
      <c r="WKR112" s="17"/>
      <c r="WKS112" s="17"/>
      <c r="WKT112" s="17"/>
      <c r="WKU112" s="17"/>
      <c r="WKV112" s="17"/>
      <c r="WKW112" s="17"/>
      <c r="WKX112" s="17"/>
      <c r="WKY112" s="17"/>
      <c r="WKZ112" s="17"/>
      <c r="WLA112" s="17"/>
      <c r="WLB112" s="17"/>
      <c r="WLC112" s="17"/>
      <c r="WLD112" s="17"/>
      <c r="WLE112" s="17"/>
      <c r="WLF112" s="17"/>
      <c r="WLG112" s="17"/>
      <c r="WLH112" s="17"/>
      <c r="WLI112" s="17"/>
      <c r="WLJ112" s="17"/>
      <c r="WLK112" s="17"/>
      <c r="WLL112" s="17"/>
      <c r="WLM112" s="17"/>
      <c r="WLN112" s="17"/>
      <c r="WLO112" s="17"/>
      <c r="WLP112" s="17"/>
      <c r="WLQ112" s="17"/>
      <c r="WLR112" s="17"/>
      <c r="WLS112" s="17"/>
      <c r="WLT112" s="17"/>
      <c r="WLU112" s="17"/>
      <c r="WLV112" s="17"/>
      <c r="WLW112" s="17"/>
      <c r="WLX112" s="17"/>
      <c r="WLY112" s="17"/>
      <c r="WLZ112" s="17"/>
      <c r="WMA112" s="17"/>
      <c r="WMB112" s="17"/>
      <c r="WMC112" s="17"/>
      <c r="WMD112" s="17"/>
      <c r="WME112" s="17"/>
      <c r="WMF112" s="17"/>
      <c r="WMG112" s="17"/>
      <c r="WMH112" s="17"/>
      <c r="WMI112" s="17"/>
      <c r="WMJ112" s="17"/>
      <c r="WMK112" s="17"/>
      <c r="WML112" s="17"/>
      <c r="WMM112" s="17"/>
      <c r="WMN112" s="17"/>
      <c r="WMO112" s="17"/>
      <c r="WMP112" s="17"/>
      <c r="WMQ112" s="17"/>
      <c r="WMR112" s="17"/>
      <c r="WMS112" s="17"/>
      <c r="WMT112" s="17"/>
      <c r="WMU112" s="17"/>
      <c r="WMV112" s="17"/>
      <c r="WMW112" s="17"/>
      <c r="WMX112" s="17"/>
      <c r="WMY112" s="17"/>
      <c r="WMZ112" s="17"/>
      <c r="WNA112" s="17"/>
      <c r="WNB112" s="17"/>
      <c r="WNC112" s="17"/>
      <c r="WND112" s="17"/>
      <c r="WNE112" s="17"/>
      <c r="WNF112" s="17"/>
      <c r="WNG112" s="17"/>
      <c r="WNH112" s="17"/>
      <c r="WNI112" s="17"/>
      <c r="WNJ112" s="17"/>
      <c r="WNK112" s="17"/>
      <c r="WNL112" s="17"/>
      <c r="WNM112" s="17"/>
      <c r="WNN112" s="17"/>
      <c r="WNO112" s="17"/>
      <c r="WNP112" s="17"/>
      <c r="WNQ112" s="17"/>
      <c r="WNR112" s="17"/>
      <c r="WNS112" s="17"/>
      <c r="WNT112" s="17"/>
      <c r="WNU112" s="17"/>
      <c r="WNV112" s="17"/>
      <c r="WNW112" s="17"/>
      <c r="WNX112" s="17"/>
      <c r="WNY112" s="17"/>
      <c r="WNZ112" s="17"/>
      <c r="WOA112" s="17"/>
      <c r="WOB112" s="17"/>
      <c r="WOC112" s="17"/>
      <c r="WOD112" s="17"/>
      <c r="WOE112" s="17"/>
      <c r="WOF112" s="17"/>
      <c r="WOG112" s="17"/>
      <c r="WOH112" s="17"/>
      <c r="WOI112" s="17"/>
      <c r="WOJ112" s="17"/>
      <c r="WOK112" s="17"/>
      <c r="WOL112" s="17"/>
      <c r="WOM112" s="17"/>
      <c r="WON112" s="17"/>
      <c r="WOO112" s="17"/>
      <c r="WOP112" s="17"/>
      <c r="WOQ112" s="17"/>
      <c r="WOR112" s="17"/>
      <c r="WOS112" s="17"/>
      <c r="WOT112" s="17"/>
      <c r="WOU112" s="17"/>
      <c r="WOV112" s="17"/>
      <c r="WOW112" s="17"/>
      <c r="WOX112" s="17"/>
      <c r="WOY112" s="17"/>
      <c r="WOZ112" s="17"/>
      <c r="WPA112" s="17"/>
      <c r="WPB112" s="17"/>
      <c r="WPC112" s="17"/>
      <c r="WPD112" s="17"/>
      <c r="WPE112" s="17"/>
      <c r="WPF112" s="17"/>
      <c r="WPG112" s="17"/>
      <c r="WPH112" s="17"/>
      <c r="WPI112" s="17"/>
      <c r="WPJ112" s="17"/>
      <c r="WPK112" s="17"/>
      <c r="WPL112" s="17"/>
      <c r="WPM112" s="17"/>
      <c r="WPN112" s="17"/>
      <c r="WPO112" s="17"/>
      <c r="WPP112" s="17"/>
      <c r="WPQ112" s="17"/>
      <c r="WPR112" s="17"/>
      <c r="WPS112" s="17"/>
      <c r="WPT112" s="17"/>
      <c r="WPU112" s="17"/>
      <c r="WPV112" s="17"/>
      <c r="WPW112" s="17"/>
      <c r="WPX112" s="17"/>
      <c r="WPY112" s="17"/>
      <c r="WPZ112" s="17"/>
      <c r="WQA112" s="17"/>
      <c r="WQB112" s="17"/>
      <c r="WQC112" s="17"/>
      <c r="WQD112" s="17"/>
      <c r="WQE112" s="17"/>
      <c r="WQF112" s="17"/>
      <c r="WQG112" s="17"/>
      <c r="WQH112" s="17"/>
      <c r="WQI112" s="17"/>
      <c r="WQJ112" s="17"/>
      <c r="WQK112" s="17"/>
      <c r="WQL112" s="17"/>
      <c r="WQM112" s="17"/>
      <c r="WQN112" s="17"/>
      <c r="WQO112" s="17"/>
      <c r="WQP112" s="17"/>
      <c r="WQQ112" s="17"/>
      <c r="WQR112" s="17"/>
      <c r="WQS112" s="17"/>
      <c r="WQT112" s="17"/>
      <c r="WQU112" s="17"/>
      <c r="WQV112" s="17"/>
      <c r="WQW112" s="17"/>
      <c r="WQX112" s="17"/>
      <c r="WQY112" s="17"/>
      <c r="WQZ112" s="17"/>
      <c r="WRA112" s="17"/>
      <c r="WRB112" s="17"/>
      <c r="WRC112" s="17"/>
      <c r="WRD112" s="17"/>
      <c r="WRE112" s="17"/>
      <c r="WRF112" s="17"/>
      <c r="WRG112" s="17"/>
      <c r="WRH112" s="17"/>
      <c r="WRI112" s="17"/>
      <c r="WRJ112" s="17"/>
      <c r="WRK112" s="17"/>
      <c r="WRL112" s="17"/>
      <c r="WRM112" s="17"/>
      <c r="WRN112" s="17"/>
      <c r="WRO112" s="17"/>
      <c r="WRP112" s="17"/>
      <c r="WRQ112" s="17"/>
      <c r="WRR112" s="17"/>
      <c r="WRS112" s="17"/>
      <c r="WRT112" s="17"/>
      <c r="WRU112" s="17"/>
      <c r="WRV112" s="17"/>
      <c r="WRW112" s="17"/>
      <c r="WRX112" s="17"/>
      <c r="WRY112" s="17"/>
      <c r="WRZ112" s="17"/>
      <c r="WSA112" s="17"/>
      <c r="WSB112" s="17"/>
      <c r="WSC112" s="17"/>
      <c r="WSD112" s="17"/>
      <c r="WSE112" s="17"/>
      <c r="WSF112" s="17"/>
      <c r="WSG112" s="17"/>
      <c r="WSH112" s="17"/>
      <c r="WSI112" s="17"/>
      <c r="WSJ112" s="17"/>
      <c r="WSK112" s="17"/>
      <c r="WSL112" s="17"/>
      <c r="WSM112" s="17"/>
      <c r="WSN112" s="17"/>
      <c r="WSO112" s="17"/>
      <c r="WSP112" s="17"/>
      <c r="WSQ112" s="17"/>
      <c r="WSR112" s="17"/>
      <c r="WSS112" s="17"/>
      <c r="WST112" s="17"/>
      <c r="WSU112" s="17"/>
      <c r="WSV112" s="17"/>
      <c r="WSW112" s="17"/>
      <c r="WSX112" s="17"/>
      <c r="WSY112" s="17"/>
      <c r="WSZ112" s="17"/>
      <c r="WTA112" s="17"/>
      <c r="WTB112" s="17"/>
      <c r="WTC112" s="17"/>
      <c r="WTD112" s="17"/>
      <c r="WTE112" s="17"/>
      <c r="WTF112" s="17"/>
      <c r="WTG112" s="17"/>
      <c r="WTH112" s="17"/>
      <c r="WTI112" s="17"/>
      <c r="WTJ112" s="17"/>
      <c r="WTK112" s="17"/>
      <c r="WTL112" s="17"/>
      <c r="WTM112" s="17"/>
      <c r="WTN112" s="17"/>
      <c r="WTO112" s="17"/>
      <c r="WTP112" s="17"/>
      <c r="WTQ112" s="17"/>
      <c r="WTR112" s="17"/>
      <c r="WTS112" s="17"/>
      <c r="WTT112" s="17"/>
      <c r="WTU112" s="17"/>
      <c r="WTV112" s="17"/>
      <c r="WTW112" s="17"/>
      <c r="WTX112" s="17"/>
      <c r="WTY112" s="17"/>
      <c r="WTZ112" s="17"/>
      <c r="WUA112" s="17"/>
      <c r="WUB112" s="17"/>
      <c r="WUC112" s="17"/>
      <c r="WUD112" s="17"/>
      <c r="WUE112" s="17"/>
      <c r="WUF112" s="17"/>
      <c r="WUG112" s="17"/>
      <c r="WUH112" s="17"/>
      <c r="WUI112" s="17"/>
      <c r="WUJ112" s="17"/>
      <c r="WUK112" s="17"/>
      <c r="WUL112" s="17"/>
      <c r="WUM112" s="17"/>
      <c r="WUN112" s="17"/>
      <c r="WUO112" s="17"/>
      <c r="WUP112" s="17"/>
      <c r="WUQ112" s="17"/>
      <c r="WUR112" s="17"/>
      <c r="WUS112" s="17"/>
      <c r="WUT112" s="17"/>
      <c r="WUU112" s="17"/>
      <c r="WUV112" s="17"/>
      <c r="WUW112" s="17"/>
      <c r="WUX112" s="17"/>
      <c r="WUY112" s="17"/>
      <c r="WUZ112" s="17"/>
      <c r="WVA112" s="17"/>
      <c r="WVB112" s="17"/>
      <c r="WVC112" s="17"/>
      <c r="WVD112" s="17"/>
      <c r="WVE112" s="17"/>
      <c r="WVF112" s="17"/>
      <c r="WVG112" s="17"/>
      <c r="WVH112" s="17"/>
      <c r="WVI112" s="17"/>
      <c r="WVJ112" s="17"/>
      <c r="WVK112" s="17"/>
      <c r="WVL112" s="17"/>
      <c r="WVM112" s="17"/>
      <c r="WVN112" s="17"/>
      <c r="WVO112" s="17"/>
      <c r="WVP112" s="17"/>
      <c r="WVQ112" s="17"/>
      <c r="WVR112" s="17"/>
      <c r="WVS112" s="17"/>
      <c r="WVT112" s="17"/>
      <c r="WVU112" s="17"/>
      <c r="WVV112" s="17"/>
      <c r="WVW112" s="17"/>
      <c r="WVX112" s="17"/>
      <c r="WVY112" s="17"/>
      <c r="WVZ112" s="17"/>
      <c r="WWA112" s="17"/>
      <c r="WWB112" s="17"/>
      <c r="WWC112" s="17"/>
      <c r="WWD112" s="17"/>
      <c r="WWE112" s="17"/>
      <c r="WWF112" s="17"/>
      <c r="WWG112" s="17"/>
      <c r="WWH112" s="17"/>
      <c r="WWI112" s="17"/>
      <c r="WWJ112" s="17"/>
      <c r="WWK112" s="17"/>
      <c r="WWL112" s="17"/>
      <c r="WWM112" s="17"/>
      <c r="WWN112" s="17"/>
      <c r="WWO112" s="17"/>
      <c r="WWP112" s="17"/>
      <c r="WWQ112" s="17"/>
      <c r="WWR112" s="17"/>
      <c r="WWS112" s="17"/>
      <c r="WWT112" s="17"/>
      <c r="WWU112" s="17"/>
      <c r="WWV112" s="17"/>
      <c r="WWW112" s="17"/>
      <c r="WWX112" s="17"/>
      <c r="WWY112" s="17"/>
      <c r="WWZ112" s="17"/>
      <c r="WXA112" s="17"/>
      <c r="WXB112" s="17"/>
      <c r="WXC112" s="17"/>
      <c r="WXD112" s="17"/>
      <c r="WXE112" s="17"/>
      <c r="WXF112" s="17"/>
      <c r="WXG112" s="17"/>
      <c r="WXH112" s="17"/>
      <c r="WXI112" s="17"/>
      <c r="WXJ112" s="17"/>
      <c r="WXK112" s="17"/>
      <c r="WXL112" s="17"/>
      <c r="WXM112" s="17"/>
      <c r="WXN112" s="17"/>
      <c r="WXO112" s="17"/>
      <c r="WXP112" s="17"/>
      <c r="WXQ112" s="17"/>
      <c r="WXR112" s="17"/>
      <c r="WXS112" s="17"/>
      <c r="WXT112" s="17"/>
      <c r="WXU112" s="17"/>
      <c r="WXV112" s="17"/>
      <c r="WXW112" s="17"/>
      <c r="WXX112" s="17"/>
      <c r="WXY112" s="17"/>
      <c r="WXZ112" s="17"/>
      <c r="WYA112" s="17"/>
      <c r="WYB112" s="17"/>
      <c r="WYC112" s="17"/>
      <c r="WYD112" s="17"/>
      <c r="WYE112" s="17"/>
      <c r="WYF112" s="17"/>
      <c r="WYG112" s="17"/>
      <c r="WYH112" s="17"/>
      <c r="WYI112" s="17"/>
      <c r="WYJ112" s="17"/>
      <c r="WYK112" s="17"/>
      <c r="WYL112" s="17"/>
      <c r="WYM112" s="17"/>
      <c r="WYN112" s="17"/>
      <c r="WYO112" s="17"/>
      <c r="WYP112" s="17"/>
      <c r="WYQ112" s="17"/>
      <c r="WYR112" s="17"/>
      <c r="WYS112" s="17"/>
      <c r="WYT112" s="17"/>
      <c r="WYU112" s="17"/>
      <c r="WYV112" s="17"/>
      <c r="WYW112" s="17"/>
      <c r="WYX112" s="17"/>
      <c r="WYY112" s="17"/>
      <c r="WYZ112" s="17"/>
      <c r="WZA112" s="17"/>
      <c r="WZB112" s="17"/>
      <c r="WZC112" s="17"/>
      <c r="WZD112" s="17"/>
      <c r="WZE112" s="17"/>
      <c r="WZF112" s="17"/>
      <c r="WZG112" s="17"/>
      <c r="WZH112" s="17"/>
      <c r="WZI112" s="17"/>
      <c r="WZJ112" s="17"/>
      <c r="WZK112" s="17"/>
      <c r="WZL112" s="17"/>
      <c r="WZM112" s="17"/>
      <c r="WZN112" s="17"/>
      <c r="WZO112" s="17"/>
      <c r="WZP112" s="17"/>
      <c r="WZQ112" s="17"/>
      <c r="WZR112" s="17"/>
      <c r="WZS112" s="17"/>
      <c r="WZT112" s="17"/>
      <c r="WZU112" s="17"/>
      <c r="WZV112" s="17"/>
      <c r="WZW112" s="17"/>
      <c r="WZX112" s="17"/>
      <c r="WZY112" s="17"/>
      <c r="WZZ112" s="17"/>
      <c r="XAA112" s="17"/>
      <c r="XAB112" s="17"/>
      <c r="XAC112" s="17"/>
      <c r="XAD112" s="17"/>
      <c r="XAE112" s="17"/>
      <c r="XAF112" s="17"/>
      <c r="XAG112" s="17"/>
      <c r="XAH112" s="17"/>
      <c r="XAI112" s="17"/>
      <c r="XAJ112" s="17"/>
      <c r="XAK112" s="17"/>
      <c r="XAL112" s="17"/>
      <c r="XAM112" s="17"/>
      <c r="XAN112" s="17"/>
      <c r="XAO112" s="17"/>
      <c r="XAP112" s="17"/>
      <c r="XAQ112" s="17"/>
      <c r="XAR112" s="17"/>
      <c r="XAS112" s="17"/>
      <c r="XAT112" s="17"/>
      <c r="XAU112" s="17"/>
      <c r="XAV112" s="17"/>
      <c r="XAW112" s="17"/>
      <c r="XAX112" s="17"/>
      <c r="XAY112" s="17"/>
      <c r="XAZ112" s="17"/>
      <c r="XBA112" s="17"/>
      <c r="XBB112" s="17"/>
      <c r="XBC112" s="17"/>
      <c r="XBD112" s="17"/>
      <c r="XBE112" s="17"/>
      <c r="XBF112" s="17"/>
      <c r="XBG112" s="17"/>
      <c r="XBH112" s="17"/>
      <c r="XBI112" s="17"/>
      <c r="XBJ112" s="17"/>
      <c r="XBK112" s="17"/>
      <c r="XBL112" s="17"/>
      <c r="XBM112" s="17"/>
      <c r="XBN112" s="17"/>
      <c r="XBO112" s="17"/>
      <c r="XBP112" s="17"/>
      <c r="XBQ112" s="17"/>
      <c r="XBR112" s="17"/>
      <c r="XBS112" s="17"/>
      <c r="XBT112" s="17"/>
      <c r="XBU112" s="17"/>
      <c r="XBV112" s="17"/>
      <c r="XBW112" s="17"/>
      <c r="XBX112" s="17"/>
      <c r="XBY112" s="17"/>
      <c r="XBZ112" s="17"/>
      <c r="XCA112" s="17"/>
      <c r="XCB112" s="17"/>
      <c r="XCC112" s="17"/>
      <c r="XCD112" s="17"/>
      <c r="XCE112" s="17"/>
      <c r="XCF112" s="17"/>
      <c r="XCG112" s="17"/>
      <c r="XCH112" s="17"/>
      <c r="XCI112" s="17"/>
      <c r="XCJ112" s="17"/>
      <c r="XCK112" s="17"/>
      <c r="XCL112" s="17"/>
      <c r="XCM112" s="17"/>
      <c r="XCN112" s="17"/>
      <c r="XCO112" s="17"/>
      <c r="XCP112" s="17"/>
      <c r="XCQ112" s="17"/>
      <c r="XCR112" s="17"/>
      <c r="XCS112" s="17"/>
      <c r="XCT112" s="17"/>
      <c r="XCU112" s="17"/>
      <c r="XCV112" s="17"/>
      <c r="XCW112" s="17"/>
      <c r="XCX112" s="17"/>
      <c r="XCY112" s="17"/>
      <c r="XCZ112" s="17"/>
      <c r="XDA112" s="17"/>
      <c r="XDB112" s="17"/>
      <c r="XDC112" s="17"/>
      <c r="XDD112" s="17"/>
      <c r="XDE112" s="17"/>
      <c r="XDF112" s="17"/>
      <c r="XDG112" s="17"/>
      <c r="XDH112" s="17"/>
      <c r="XDI112" s="17"/>
      <c r="XDJ112" s="17"/>
      <c r="XDK112" s="17"/>
      <c r="XDL112" s="17"/>
      <c r="XDM112" s="17"/>
      <c r="XDN112" s="17"/>
      <c r="XDO112" s="17"/>
      <c r="XDP112" s="17"/>
      <c r="XDQ112" s="17"/>
      <c r="XDR112" s="17"/>
      <c r="XDS112" s="17"/>
      <c r="XDT112" s="17"/>
      <c r="XDU112" s="17"/>
      <c r="XDV112" s="17"/>
      <c r="XDW112" s="17"/>
      <c r="XDX112" s="17"/>
      <c r="XDY112" s="17"/>
      <c r="XDZ112" s="17"/>
      <c r="XEA112" s="17"/>
      <c r="XEB112" s="17"/>
      <c r="XEC112" s="17"/>
      <c r="XED112" s="17"/>
      <c r="XEE112" s="17"/>
      <c r="XEF112" s="17"/>
      <c r="XEG112" s="17"/>
      <c r="XEH112" s="17"/>
      <c r="XEI112" s="17"/>
      <c r="XEJ112" s="17"/>
      <c r="XEK112" s="17"/>
      <c r="XEL112" s="17"/>
      <c r="XEM112" s="17"/>
      <c r="XEN112" s="17"/>
      <c r="XEO112" s="17"/>
      <c r="XEP112" s="17"/>
      <c r="XEQ112" s="17"/>
      <c r="XER112" s="17"/>
      <c r="XES112" s="17"/>
      <c r="XET112" s="17"/>
      <c r="XEU112" s="17"/>
      <c r="XEV112" s="17"/>
      <c r="XEW112" s="17"/>
      <c r="XEX112" s="17"/>
      <c r="XEY112" s="10"/>
      <c r="XEZ112" s="10"/>
      <c r="XFA112" s="10"/>
      <c r="XFB112" s="10"/>
      <c r="XFC112" s="94"/>
    </row>
    <row r="113" s="4" customFormat="1" ht="42" customHeight="1" spans="1:16383">
      <c r="A113" s="61"/>
      <c r="B113" s="62"/>
      <c r="C113" s="34" t="s">
        <v>116</v>
      </c>
      <c r="D113" s="35"/>
      <c r="E113" s="67" t="s">
        <v>27</v>
      </c>
      <c r="F113" s="71">
        <f>9.8+6.9</f>
        <v>16.7</v>
      </c>
      <c r="G113" s="71">
        <v>80</v>
      </c>
      <c r="H113" s="71">
        <f t="shared" si="6"/>
        <v>1336</v>
      </c>
      <c r="I113" s="80" t="s">
        <v>117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7"/>
      <c r="IP113" s="17"/>
      <c r="IQ113" s="17"/>
      <c r="IR113" s="17"/>
      <c r="IS113" s="17"/>
      <c r="IT113" s="17"/>
      <c r="IU113" s="17"/>
      <c r="IV113" s="17"/>
      <c r="IW113" s="17"/>
      <c r="IX113" s="17"/>
      <c r="IY113" s="17"/>
      <c r="IZ113" s="17"/>
      <c r="JA113" s="17"/>
      <c r="JB113" s="17"/>
      <c r="JC113" s="17"/>
      <c r="JD113" s="17"/>
      <c r="JE113" s="17"/>
      <c r="JF113" s="17"/>
      <c r="JG113" s="17"/>
      <c r="JH113" s="17"/>
      <c r="JI113" s="17"/>
      <c r="JJ113" s="17"/>
      <c r="JK113" s="17"/>
      <c r="JL113" s="17"/>
      <c r="JM113" s="17"/>
      <c r="JN113" s="17"/>
      <c r="JO113" s="17"/>
      <c r="JP113" s="17"/>
      <c r="JQ113" s="17"/>
      <c r="JR113" s="17"/>
      <c r="JS113" s="17"/>
      <c r="JT113" s="17"/>
      <c r="JU113" s="17"/>
      <c r="JV113" s="17"/>
      <c r="JW113" s="17"/>
      <c r="JX113" s="17"/>
      <c r="JY113" s="17"/>
      <c r="JZ113" s="17"/>
      <c r="KA113" s="17"/>
      <c r="KB113" s="17"/>
      <c r="KC113" s="17"/>
      <c r="KD113" s="17"/>
      <c r="KE113" s="17"/>
      <c r="KF113" s="17"/>
      <c r="KG113" s="17"/>
      <c r="KH113" s="17"/>
      <c r="KI113" s="17"/>
      <c r="KJ113" s="17"/>
      <c r="KK113" s="17"/>
      <c r="KL113" s="17"/>
      <c r="KM113" s="17"/>
      <c r="KN113" s="17"/>
      <c r="KO113" s="17"/>
      <c r="KP113" s="17"/>
      <c r="KQ113" s="17"/>
      <c r="KR113" s="17"/>
      <c r="KS113" s="17"/>
      <c r="KT113" s="17"/>
      <c r="KU113" s="17"/>
      <c r="KV113" s="17"/>
      <c r="KW113" s="17"/>
      <c r="KX113" s="17"/>
      <c r="KY113" s="17"/>
      <c r="KZ113" s="17"/>
      <c r="LA113" s="17"/>
      <c r="LB113" s="17"/>
      <c r="LC113" s="17"/>
      <c r="LD113" s="17"/>
      <c r="LE113" s="17"/>
      <c r="LF113" s="17"/>
      <c r="LG113" s="17"/>
      <c r="LH113" s="17"/>
      <c r="LI113" s="17"/>
      <c r="LJ113" s="17"/>
      <c r="LK113" s="17"/>
      <c r="LL113" s="17"/>
      <c r="LM113" s="17"/>
      <c r="LN113" s="17"/>
      <c r="LO113" s="17"/>
      <c r="LP113" s="17"/>
      <c r="LQ113" s="17"/>
      <c r="LR113" s="17"/>
      <c r="LS113" s="17"/>
      <c r="LT113" s="17"/>
      <c r="LU113" s="17"/>
      <c r="LV113" s="17"/>
      <c r="LW113" s="17"/>
      <c r="LX113" s="17"/>
      <c r="LY113" s="17"/>
      <c r="LZ113" s="17"/>
      <c r="MA113" s="17"/>
      <c r="MB113" s="17"/>
      <c r="MC113" s="17"/>
      <c r="MD113" s="17"/>
      <c r="ME113" s="17"/>
      <c r="MF113" s="17"/>
      <c r="MG113" s="17"/>
      <c r="MH113" s="17"/>
      <c r="MI113" s="17"/>
      <c r="MJ113" s="17"/>
      <c r="MK113" s="17"/>
      <c r="ML113" s="17"/>
      <c r="MM113" s="17"/>
      <c r="MN113" s="17"/>
      <c r="MO113" s="17"/>
      <c r="MP113" s="17"/>
      <c r="MQ113" s="17"/>
      <c r="MR113" s="17"/>
      <c r="MS113" s="17"/>
      <c r="MT113" s="17"/>
      <c r="MU113" s="17"/>
      <c r="MV113" s="17"/>
      <c r="MW113" s="17"/>
      <c r="MX113" s="17"/>
      <c r="MY113" s="17"/>
      <c r="MZ113" s="17"/>
      <c r="NA113" s="17"/>
      <c r="NB113" s="17"/>
      <c r="NC113" s="17"/>
      <c r="ND113" s="17"/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  <c r="NX113" s="17"/>
      <c r="NY113" s="17"/>
      <c r="NZ113" s="17"/>
      <c r="OA113" s="17"/>
      <c r="OB113" s="17"/>
      <c r="OC113" s="17"/>
      <c r="OD113" s="17"/>
      <c r="OE113" s="1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7"/>
      <c r="OR113" s="17"/>
      <c r="OS113" s="17"/>
      <c r="OT113" s="17"/>
      <c r="OU113" s="17"/>
      <c r="OV113" s="17"/>
      <c r="OW113" s="17"/>
      <c r="OX113" s="17"/>
      <c r="OY113" s="17"/>
      <c r="OZ113" s="17"/>
      <c r="PA113" s="17"/>
      <c r="PB113" s="17"/>
      <c r="PC113" s="17"/>
      <c r="PD113" s="17"/>
      <c r="PE113" s="17"/>
      <c r="PF113" s="17"/>
      <c r="PG113" s="17"/>
      <c r="PH113" s="17"/>
      <c r="PI113" s="17"/>
      <c r="PJ113" s="17"/>
      <c r="PK113" s="17"/>
      <c r="PL113" s="17"/>
      <c r="PM113" s="17"/>
      <c r="PN113" s="17"/>
      <c r="PO113" s="17"/>
      <c r="PP113" s="17"/>
      <c r="PQ113" s="17"/>
      <c r="PR113" s="17"/>
      <c r="PS113" s="17"/>
      <c r="PT113" s="17"/>
      <c r="PU113" s="17"/>
      <c r="PV113" s="17"/>
      <c r="PW113" s="17"/>
      <c r="PX113" s="17"/>
      <c r="PY113" s="17"/>
      <c r="PZ113" s="17"/>
      <c r="QA113" s="17"/>
      <c r="QB113" s="17"/>
      <c r="QC113" s="17"/>
      <c r="QD113" s="17"/>
      <c r="QE113" s="17"/>
      <c r="QF113" s="17"/>
      <c r="QG113" s="17"/>
      <c r="QH113" s="17"/>
      <c r="QI113" s="17"/>
      <c r="QJ113" s="17"/>
      <c r="QK113" s="17"/>
      <c r="QL113" s="17"/>
      <c r="QM113" s="17"/>
      <c r="QN113" s="17"/>
      <c r="QO113" s="17"/>
      <c r="QP113" s="17"/>
      <c r="QQ113" s="17"/>
      <c r="QR113" s="17"/>
      <c r="QS113" s="17"/>
      <c r="QT113" s="17"/>
      <c r="QU113" s="17"/>
      <c r="QV113" s="17"/>
      <c r="QW113" s="17"/>
      <c r="QX113" s="17"/>
      <c r="QY113" s="17"/>
      <c r="QZ113" s="17"/>
      <c r="RA113" s="17"/>
      <c r="RB113" s="17"/>
      <c r="RC113" s="17"/>
      <c r="RD113" s="17"/>
      <c r="RE113" s="17"/>
      <c r="RF113" s="17"/>
      <c r="RG113" s="17"/>
      <c r="RH113" s="17"/>
      <c r="RI113" s="17"/>
      <c r="RJ113" s="17"/>
      <c r="RK113" s="17"/>
      <c r="RL113" s="17"/>
      <c r="RM113" s="17"/>
      <c r="RN113" s="17"/>
      <c r="RO113" s="17"/>
      <c r="RP113" s="17"/>
      <c r="RQ113" s="17"/>
      <c r="RR113" s="17"/>
      <c r="RS113" s="17"/>
      <c r="RT113" s="17"/>
      <c r="RU113" s="17"/>
      <c r="RV113" s="17"/>
      <c r="RW113" s="17"/>
      <c r="RX113" s="17"/>
      <c r="RY113" s="17"/>
      <c r="RZ113" s="17"/>
      <c r="SA113" s="17"/>
      <c r="SB113" s="17"/>
      <c r="SC113" s="17"/>
      <c r="SD113" s="17"/>
      <c r="SE113" s="17"/>
      <c r="SF113" s="17"/>
      <c r="SG113" s="17"/>
      <c r="SH113" s="17"/>
      <c r="SI113" s="17"/>
      <c r="SJ113" s="17"/>
      <c r="SK113" s="17"/>
      <c r="SL113" s="17"/>
      <c r="SM113" s="17"/>
      <c r="SN113" s="17"/>
      <c r="SO113" s="17"/>
      <c r="SP113" s="17"/>
      <c r="SQ113" s="17"/>
      <c r="SR113" s="17"/>
      <c r="SS113" s="17"/>
      <c r="ST113" s="17"/>
      <c r="SU113" s="17"/>
      <c r="SV113" s="17"/>
      <c r="SW113" s="17"/>
      <c r="SX113" s="17"/>
      <c r="SY113" s="17"/>
      <c r="SZ113" s="17"/>
      <c r="TA113" s="17"/>
      <c r="TB113" s="17"/>
      <c r="TC113" s="17"/>
      <c r="TD113" s="17"/>
      <c r="TE113" s="17"/>
      <c r="TF113" s="17"/>
      <c r="TG113" s="17"/>
      <c r="TH113" s="17"/>
      <c r="TI113" s="17"/>
      <c r="TJ113" s="17"/>
      <c r="TK113" s="17"/>
      <c r="TL113" s="17"/>
      <c r="TM113" s="17"/>
      <c r="TN113" s="17"/>
      <c r="TO113" s="17"/>
      <c r="TP113" s="17"/>
      <c r="TQ113" s="17"/>
      <c r="TR113" s="17"/>
      <c r="TS113" s="17"/>
      <c r="TT113" s="17"/>
      <c r="TU113" s="17"/>
      <c r="TV113" s="17"/>
      <c r="TW113" s="17"/>
      <c r="TX113" s="17"/>
      <c r="TY113" s="17"/>
      <c r="TZ113" s="17"/>
      <c r="UA113" s="17"/>
      <c r="UB113" s="17"/>
      <c r="UC113" s="17"/>
      <c r="UD113" s="17"/>
      <c r="UE113" s="17"/>
      <c r="UF113" s="17"/>
      <c r="UG113" s="17"/>
      <c r="UH113" s="17"/>
      <c r="UI113" s="17"/>
      <c r="UJ113" s="17"/>
      <c r="UK113" s="17"/>
      <c r="UL113" s="17"/>
      <c r="UM113" s="17"/>
      <c r="UN113" s="17"/>
      <c r="UO113" s="17"/>
      <c r="UP113" s="17"/>
      <c r="UQ113" s="17"/>
      <c r="UR113" s="17"/>
      <c r="US113" s="17"/>
      <c r="UT113" s="17"/>
      <c r="UU113" s="17"/>
      <c r="UV113" s="17"/>
      <c r="UW113" s="17"/>
      <c r="UX113" s="17"/>
      <c r="UY113" s="17"/>
      <c r="UZ113" s="17"/>
      <c r="VA113" s="17"/>
      <c r="VB113" s="17"/>
      <c r="VC113" s="17"/>
      <c r="VD113" s="17"/>
      <c r="VE113" s="17"/>
      <c r="VF113" s="17"/>
      <c r="VG113" s="17"/>
      <c r="VH113" s="17"/>
      <c r="VI113" s="17"/>
      <c r="VJ113" s="17"/>
      <c r="VK113" s="17"/>
      <c r="VL113" s="17"/>
      <c r="VM113" s="17"/>
      <c r="VN113" s="17"/>
      <c r="VO113" s="17"/>
      <c r="VP113" s="17"/>
      <c r="VQ113" s="17"/>
      <c r="VR113" s="17"/>
      <c r="VS113" s="17"/>
      <c r="VT113" s="17"/>
      <c r="VU113" s="17"/>
      <c r="VV113" s="17"/>
      <c r="VW113" s="17"/>
      <c r="VX113" s="17"/>
      <c r="VY113" s="17"/>
      <c r="VZ113" s="17"/>
      <c r="WA113" s="17"/>
      <c r="WB113" s="17"/>
      <c r="WC113" s="17"/>
      <c r="WD113" s="17"/>
      <c r="WE113" s="17"/>
      <c r="WF113" s="17"/>
      <c r="WG113" s="17"/>
      <c r="WH113" s="17"/>
      <c r="WI113" s="17"/>
      <c r="WJ113" s="17"/>
      <c r="WK113" s="17"/>
      <c r="WL113" s="17"/>
      <c r="WM113" s="17"/>
      <c r="WN113" s="17"/>
      <c r="WO113" s="17"/>
      <c r="WP113" s="17"/>
      <c r="WQ113" s="17"/>
      <c r="WR113" s="17"/>
      <c r="WS113" s="17"/>
      <c r="WT113" s="17"/>
      <c r="WU113" s="17"/>
      <c r="WV113" s="17"/>
      <c r="WW113" s="17"/>
      <c r="WX113" s="17"/>
      <c r="WY113" s="17"/>
      <c r="WZ113" s="17"/>
      <c r="XA113" s="17"/>
      <c r="XB113" s="17"/>
      <c r="XC113" s="17"/>
      <c r="XD113" s="17"/>
      <c r="XE113" s="17"/>
      <c r="XF113" s="17"/>
      <c r="XG113" s="17"/>
      <c r="XH113" s="17"/>
      <c r="XI113" s="17"/>
      <c r="XJ113" s="17"/>
      <c r="XK113" s="17"/>
      <c r="XL113" s="17"/>
      <c r="XM113" s="17"/>
      <c r="XN113" s="17"/>
      <c r="XO113" s="17"/>
      <c r="XP113" s="17"/>
      <c r="XQ113" s="17"/>
      <c r="XR113" s="17"/>
      <c r="XS113" s="17"/>
      <c r="XT113" s="17"/>
      <c r="XU113" s="17"/>
      <c r="XV113" s="17"/>
      <c r="XW113" s="17"/>
      <c r="XX113" s="17"/>
      <c r="XY113" s="17"/>
      <c r="XZ113" s="17"/>
      <c r="YA113" s="17"/>
      <c r="YB113" s="17"/>
      <c r="YC113" s="17"/>
      <c r="YD113" s="17"/>
      <c r="YE113" s="17"/>
      <c r="YF113" s="17"/>
      <c r="YG113" s="17"/>
      <c r="YH113" s="17"/>
      <c r="YI113" s="17"/>
      <c r="YJ113" s="17"/>
      <c r="YK113" s="17"/>
      <c r="YL113" s="17"/>
      <c r="YM113" s="17"/>
      <c r="YN113" s="17"/>
      <c r="YO113" s="17"/>
      <c r="YP113" s="17"/>
      <c r="YQ113" s="17"/>
      <c r="YR113" s="17"/>
      <c r="YS113" s="17"/>
      <c r="YT113" s="17"/>
      <c r="YU113" s="17"/>
      <c r="YV113" s="17"/>
      <c r="YW113" s="17"/>
      <c r="YX113" s="17"/>
      <c r="YY113" s="17"/>
      <c r="YZ113" s="17"/>
      <c r="ZA113" s="17"/>
      <c r="ZB113" s="17"/>
      <c r="ZC113" s="17"/>
      <c r="ZD113" s="17"/>
      <c r="ZE113" s="17"/>
      <c r="ZF113" s="17"/>
      <c r="ZG113" s="17"/>
      <c r="ZH113" s="17"/>
      <c r="ZI113" s="17"/>
      <c r="ZJ113" s="17"/>
      <c r="ZK113" s="17"/>
      <c r="ZL113" s="17"/>
      <c r="ZM113" s="17"/>
      <c r="ZN113" s="17"/>
      <c r="ZO113" s="17"/>
      <c r="ZP113" s="17"/>
      <c r="ZQ113" s="17"/>
      <c r="ZR113" s="17"/>
      <c r="ZS113" s="17"/>
      <c r="ZT113" s="17"/>
      <c r="ZU113" s="17"/>
      <c r="ZV113" s="17"/>
      <c r="ZW113" s="17"/>
      <c r="ZX113" s="17"/>
      <c r="ZY113" s="17"/>
      <c r="ZZ113" s="17"/>
      <c r="AAA113" s="17"/>
      <c r="AAB113" s="17"/>
      <c r="AAC113" s="17"/>
      <c r="AAD113" s="17"/>
      <c r="AAE113" s="17"/>
      <c r="AAF113" s="17"/>
      <c r="AAG113" s="17"/>
      <c r="AAH113" s="17"/>
      <c r="AAI113" s="17"/>
      <c r="AAJ113" s="17"/>
      <c r="AAK113" s="17"/>
      <c r="AAL113" s="17"/>
      <c r="AAM113" s="17"/>
      <c r="AAN113" s="17"/>
      <c r="AAO113" s="17"/>
      <c r="AAP113" s="17"/>
      <c r="AAQ113" s="17"/>
      <c r="AAR113" s="17"/>
      <c r="AAS113" s="17"/>
      <c r="AAT113" s="17"/>
      <c r="AAU113" s="17"/>
      <c r="AAV113" s="17"/>
      <c r="AAW113" s="17"/>
      <c r="AAX113" s="17"/>
      <c r="AAY113" s="17"/>
      <c r="AAZ113" s="17"/>
      <c r="ABA113" s="17"/>
      <c r="ABB113" s="17"/>
      <c r="ABC113" s="17"/>
      <c r="ABD113" s="17"/>
      <c r="ABE113" s="17"/>
      <c r="ABF113" s="17"/>
      <c r="ABG113" s="17"/>
      <c r="ABH113" s="17"/>
      <c r="ABI113" s="17"/>
      <c r="ABJ113" s="17"/>
      <c r="ABK113" s="17"/>
      <c r="ABL113" s="17"/>
      <c r="ABM113" s="17"/>
      <c r="ABN113" s="17"/>
      <c r="ABO113" s="17"/>
      <c r="ABP113" s="17"/>
      <c r="ABQ113" s="17"/>
      <c r="ABR113" s="17"/>
      <c r="ABS113" s="17"/>
      <c r="ABT113" s="17"/>
      <c r="ABU113" s="17"/>
      <c r="ABV113" s="17"/>
      <c r="ABW113" s="17"/>
      <c r="ABX113" s="17"/>
      <c r="ABY113" s="17"/>
      <c r="ABZ113" s="17"/>
      <c r="ACA113" s="17"/>
      <c r="ACB113" s="17"/>
      <c r="ACC113" s="17"/>
      <c r="ACD113" s="17"/>
      <c r="ACE113" s="17"/>
      <c r="ACF113" s="17"/>
      <c r="ACG113" s="17"/>
      <c r="ACH113" s="17"/>
      <c r="ACI113" s="17"/>
      <c r="ACJ113" s="17"/>
      <c r="ACK113" s="17"/>
      <c r="ACL113" s="17"/>
      <c r="ACM113" s="17"/>
      <c r="ACN113" s="17"/>
      <c r="ACO113" s="17"/>
      <c r="ACP113" s="17"/>
      <c r="ACQ113" s="17"/>
      <c r="ACR113" s="17"/>
      <c r="ACS113" s="17"/>
      <c r="ACT113" s="17"/>
      <c r="ACU113" s="17"/>
      <c r="ACV113" s="17"/>
      <c r="ACW113" s="17"/>
      <c r="ACX113" s="17"/>
      <c r="ACY113" s="17"/>
      <c r="ACZ113" s="17"/>
      <c r="ADA113" s="17"/>
      <c r="ADB113" s="17"/>
      <c r="ADC113" s="17"/>
      <c r="ADD113" s="17"/>
      <c r="ADE113" s="17"/>
      <c r="ADF113" s="17"/>
      <c r="ADG113" s="17"/>
      <c r="ADH113" s="17"/>
      <c r="ADI113" s="17"/>
      <c r="ADJ113" s="17"/>
      <c r="ADK113" s="17"/>
      <c r="ADL113" s="17"/>
      <c r="ADM113" s="17"/>
      <c r="ADN113" s="17"/>
      <c r="ADO113" s="17"/>
      <c r="ADP113" s="17"/>
      <c r="ADQ113" s="17"/>
      <c r="ADR113" s="17"/>
      <c r="ADS113" s="17"/>
      <c r="ADT113" s="17"/>
      <c r="ADU113" s="17"/>
      <c r="ADV113" s="17"/>
      <c r="ADW113" s="17"/>
      <c r="ADX113" s="17"/>
      <c r="ADY113" s="17"/>
      <c r="ADZ113" s="17"/>
      <c r="AEA113" s="17"/>
      <c r="AEB113" s="17"/>
      <c r="AEC113" s="17"/>
      <c r="AED113" s="17"/>
      <c r="AEE113" s="17"/>
      <c r="AEF113" s="17"/>
      <c r="AEG113" s="17"/>
      <c r="AEH113" s="17"/>
      <c r="AEI113" s="17"/>
      <c r="AEJ113" s="17"/>
      <c r="AEK113" s="17"/>
      <c r="AEL113" s="17"/>
      <c r="AEM113" s="17"/>
      <c r="AEN113" s="17"/>
      <c r="AEO113" s="17"/>
      <c r="AEP113" s="17"/>
      <c r="AEQ113" s="17"/>
      <c r="AER113" s="17"/>
      <c r="AES113" s="17"/>
      <c r="AET113" s="17"/>
      <c r="AEU113" s="17"/>
      <c r="AEV113" s="17"/>
      <c r="AEW113" s="17"/>
      <c r="AEX113" s="17"/>
      <c r="AEY113" s="17"/>
      <c r="AEZ113" s="17"/>
      <c r="AFA113" s="17"/>
      <c r="AFB113" s="17"/>
      <c r="AFC113" s="17"/>
      <c r="AFD113" s="17"/>
      <c r="AFE113" s="17"/>
      <c r="AFF113" s="17"/>
      <c r="AFG113" s="17"/>
      <c r="AFH113" s="17"/>
      <c r="AFI113" s="17"/>
      <c r="AFJ113" s="17"/>
      <c r="AFK113" s="17"/>
      <c r="AFL113" s="17"/>
      <c r="AFM113" s="17"/>
      <c r="AFN113" s="17"/>
      <c r="AFO113" s="17"/>
      <c r="AFP113" s="17"/>
      <c r="AFQ113" s="17"/>
      <c r="AFR113" s="17"/>
      <c r="AFS113" s="17"/>
      <c r="AFT113" s="17"/>
      <c r="AFU113" s="17"/>
      <c r="AFV113" s="17"/>
      <c r="AFW113" s="17"/>
      <c r="AFX113" s="17"/>
      <c r="AFY113" s="17"/>
      <c r="AFZ113" s="17"/>
      <c r="AGA113" s="17"/>
      <c r="AGB113" s="17"/>
      <c r="AGC113" s="17"/>
      <c r="AGD113" s="17"/>
      <c r="AGE113" s="17"/>
      <c r="AGF113" s="17"/>
      <c r="AGG113" s="17"/>
      <c r="AGH113" s="17"/>
      <c r="AGI113" s="17"/>
      <c r="AGJ113" s="17"/>
      <c r="AGK113" s="17"/>
      <c r="AGL113" s="17"/>
      <c r="AGM113" s="17"/>
      <c r="AGN113" s="17"/>
      <c r="AGO113" s="17"/>
      <c r="AGP113" s="17"/>
      <c r="AGQ113" s="17"/>
      <c r="AGR113" s="17"/>
      <c r="AGS113" s="17"/>
      <c r="AGT113" s="17"/>
      <c r="AGU113" s="17"/>
      <c r="AGV113" s="17"/>
      <c r="AGW113" s="17"/>
      <c r="AGX113" s="17"/>
      <c r="AGY113" s="17"/>
      <c r="AGZ113" s="17"/>
      <c r="AHA113" s="17"/>
      <c r="AHB113" s="17"/>
      <c r="AHC113" s="17"/>
      <c r="AHD113" s="17"/>
      <c r="AHE113" s="17"/>
      <c r="AHF113" s="17"/>
      <c r="AHG113" s="17"/>
      <c r="AHH113" s="17"/>
      <c r="AHI113" s="17"/>
      <c r="AHJ113" s="17"/>
      <c r="AHK113" s="17"/>
      <c r="AHL113" s="17"/>
      <c r="AHM113" s="17"/>
      <c r="AHN113" s="17"/>
      <c r="AHO113" s="17"/>
      <c r="AHP113" s="17"/>
      <c r="AHQ113" s="17"/>
      <c r="AHR113" s="17"/>
      <c r="AHS113" s="17"/>
      <c r="AHT113" s="17"/>
      <c r="AHU113" s="17"/>
      <c r="AHV113" s="17"/>
      <c r="AHW113" s="17"/>
      <c r="AHX113" s="17"/>
      <c r="AHY113" s="17"/>
      <c r="AHZ113" s="17"/>
      <c r="AIA113" s="17"/>
      <c r="AIB113" s="17"/>
      <c r="AIC113" s="17"/>
      <c r="AID113" s="17"/>
      <c r="AIE113" s="17"/>
      <c r="AIF113" s="17"/>
      <c r="AIG113" s="17"/>
      <c r="AIH113" s="17"/>
      <c r="AII113" s="17"/>
      <c r="AIJ113" s="17"/>
      <c r="AIK113" s="17"/>
      <c r="AIL113" s="17"/>
      <c r="AIM113" s="17"/>
      <c r="AIN113" s="17"/>
      <c r="AIO113" s="17"/>
      <c r="AIP113" s="17"/>
      <c r="AIQ113" s="17"/>
      <c r="AIR113" s="17"/>
      <c r="AIS113" s="17"/>
      <c r="AIT113" s="17"/>
      <c r="AIU113" s="17"/>
      <c r="AIV113" s="17"/>
      <c r="AIW113" s="17"/>
      <c r="AIX113" s="17"/>
      <c r="AIY113" s="17"/>
      <c r="AIZ113" s="17"/>
      <c r="AJA113" s="17"/>
      <c r="AJB113" s="17"/>
      <c r="AJC113" s="17"/>
      <c r="AJD113" s="17"/>
      <c r="AJE113" s="17"/>
      <c r="AJF113" s="17"/>
      <c r="AJG113" s="17"/>
      <c r="AJH113" s="17"/>
      <c r="AJI113" s="17"/>
      <c r="AJJ113" s="17"/>
      <c r="AJK113" s="17"/>
      <c r="AJL113" s="17"/>
      <c r="AJM113" s="17"/>
      <c r="AJN113" s="17"/>
      <c r="AJO113" s="17"/>
      <c r="AJP113" s="17"/>
      <c r="AJQ113" s="17"/>
      <c r="AJR113" s="17"/>
      <c r="AJS113" s="17"/>
      <c r="AJT113" s="17"/>
      <c r="AJU113" s="17"/>
      <c r="AJV113" s="17"/>
      <c r="AJW113" s="17"/>
      <c r="AJX113" s="17"/>
      <c r="AJY113" s="17"/>
      <c r="AJZ113" s="17"/>
      <c r="AKA113" s="17"/>
      <c r="AKB113" s="17"/>
      <c r="AKC113" s="17"/>
      <c r="AKD113" s="17"/>
      <c r="AKE113" s="17"/>
      <c r="AKF113" s="17"/>
      <c r="AKG113" s="17"/>
      <c r="AKH113" s="17"/>
      <c r="AKI113" s="17"/>
      <c r="AKJ113" s="17"/>
      <c r="AKK113" s="17"/>
      <c r="AKL113" s="17"/>
      <c r="AKM113" s="17"/>
      <c r="AKN113" s="17"/>
      <c r="AKO113" s="17"/>
      <c r="AKP113" s="17"/>
      <c r="AKQ113" s="17"/>
      <c r="AKR113" s="17"/>
      <c r="AKS113" s="17"/>
      <c r="AKT113" s="17"/>
      <c r="AKU113" s="17"/>
      <c r="AKV113" s="17"/>
      <c r="AKW113" s="17"/>
      <c r="AKX113" s="17"/>
      <c r="AKY113" s="17"/>
      <c r="AKZ113" s="17"/>
      <c r="ALA113" s="17"/>
      <c r="ALB113" s="17"/>
      <c r="ALC113" s="17"/>
      <c r="ALD113" s="17"/>
      <c r="ALE113" s="17"/>
      <c r="ALF113" s="17"/>
      <c r="ALG113" s="17"/>
      <c r="ALH113" s="17"/>
      <c r="ALI113" s="17"/>
      <c r="ALJ113" s="17"/>
      <c r="ALK113" s="17"/>
      <c r="ALL113" s="17"/>
      <c r="ALM113" s="17"/>
      <c r="ALN113" s="17"/>
      <c r="ALO113" s="17"/>
      <c r="ALP113" s="17"/>
      <c r="ALQ113" s="17"/>
      <c r="ALR113" s="17"/>
      <c r="ALS113" s="17"/>
      <c r="ALT113" s="17"/>
      <c r="ALU113" s="17"/>
      <c r="ALV113" s="17"/>
      <c r="ALW113" s="17"/>
      <c r="ALX113" s="17"/>
      <c r="ALY113" s="17"/>
      <c r="ALZ113" s="17"/>
      <c r="AMA113" s="17"/>
      <c r="AMB113" s="17"/>
      <c r="AMC113" s="17"/>
      <c r="AMD113" s="17"/>
      <c r="AME113" s="17"/>
      <c r="AMF113" s="17"/>
      <c r="AMG113" s="17"/>
      <c r="AMH113" s="17"/>
      <c r="AMI113" s="17"/>
      <c r="AMJ113" s="17"/>
      <c r="AMK113" s="17"/>
      <c r="AML113" s="17"/>
      <c r="AMM113" s="17"/>
      <c r="AMN113" s="17"/>
      <c r="AMO113" s="17"/>
      <c r="AMP113" s="17"/>
      <c r="AMQ113" s="17"/>
      <c r="AMR113" s="17"/>
      <c r="AMS113" s="17"/>
      <c r="AMT113" s="17"/>
      <c r="AMU113" s="17"/>
      <c r="AMV113" s="17"/>
      <c r="AMW113" s="17"/>
      <c r="AMX113" s="17"/>
      <c r="AMY113" s="17"/>
      <c r="AMZ113" s="17"/>
      <c r="ANA113" s="17"/>
      <c r="ANB113" s="17"/>
      <c r="ANC113" s="17"/>
      <c r="AND113" s="17"/>
      <c r="ANE113" s="17"/>
      <c r="ANF113" s="17"/>
      <c r="ANG113" s="17"/>
      <c r="ANH113" s="17"/>
      <c r="ANI113" s="17"/>
      <c r="ANJ113" s="17"/>
      <c r="ANK113" s="17"/>
      <c r="ANL113" s="17"/>
      <c r="ANM113" s="17"/>
      <c r="ANN113" s="17"/>
      <c r="ANO113" s="17"/>
      <c r="ANP113" s="17"/>
      <c r="ANQ113" s="17"/>
      <c r="ANR113" s="17"/>
      <c r="ANS113" s="17"/>
      <c r="ANT113" s="17"/>
      <c r="ANU113" s="17"/>
      <c r="ANV113" s="17"/>
      <c r="ANW113" s="17"/>
      <c r="ANX113" s="17"/>
      <c r="ANY113" s="17"/>
      <c r="ANZ113" s="17"/>
      <c r="AOA113" s="17"/>
      <c r="AOB113" s="17"/>
      <c r="AOC113" s="17"/>
      <c r="AOD113" s="17"/>
      <c r="AOE113" s="17"/>
      <c r="AOF113" s="17"/>
      <c r="AOG113" s="17"/>
      <c r="AOH113" s="17"/>
      <c r="AOI113" s="17"/>
      <c r="AOJ113" s="17"/>
      <c r="AOK113" s="17"/>
      <c r="AOL113" s="17"/>
      <c r="AOM113" s="17"/>
      <c r="AON113" s="17"/>
      <c r="AOO113" s="17"/>
      <c r="AOP113" s="17"/>
      <c r="AOQ113" s="17"/>
      <c r="AOR113" s="17"/>
      <c r="AOS113" s="17"/>
      <c r="AOT113" s="17"/>
      <c r="AOU113" s="17"/>
      <c r="AOV113" s="17"/>
      <c r="AOW113" s="17"/>
      <c r="AOX113" s="17"/>
      <c r="AOY113" s="17"/>
      <c r="AOZ113" s="17"/>
      <c r="APA113" s="17"/>
      <c r="APB113" s="17"/>
      <c r="APC113" s="17"/>
      <c r="APD113" s="17"/>
      <c r="APE113" s="17"/>
      <c r="APF113" s="17"/>
      <c r="APG113" s="17"/>
      <c r="APH113" s="17"/>
      <c r="API113" s="17"/>
      <c r="APJ113" s="17"/>
      <c r="APK113" s="17"/>
      <c r="APL113" s="17"/>
      <c r="APM113" s="17"/>
      <c r="APN113" s="17"/>
      <c r="APO113" s="17"/>
      <c r="APP113" s="17"/>
      <c r="APQ113" s="17"/>
      <c r="APR113" s="17"/>
      <c r="APS113" s="17"/>
      <c r="APT113" s="17"/>
      <c r="APU113" s="17"/>
      <c r="APV113" s="17"/>
      <c r="APW113" s="17"/>
      <c r="APX113" s="17"/>
      <c r="APY113" s="17"/>
      <c r="APZ113" s="17"/>
      <c r="AQA113" s="17"/>
      <c r="AQB113" s="17"/>
      <c r="AQC113" s="17"/>
      <c r="AQD113" s="17"/>
      <c r="AQE113" s="17"/>
      <c r="AQF113" s="17"/>
      <c r="AQG113" s="17"/>
      <c r="AQH113" s="17"/>
      <c r="AQI113" s="17"/>
      <c r="AQJ113" s="17"/>
      <c r="AQK113" s="17"/>
      <c r="AQL113" s="17"/>
      <c r="AQM113" s="17"/>
      <c r="AQN113" s="17"/>
      <c r="AQO113" s="17"/>
      <c r="AQP113" s="17"/>
      <c r="AQQ113" s="17"/>
      <c r="AQR113" s="17"/>
      <c r="AQS113" s="17"/>
      <c r="AQT113" s="17"/>
      <c r="AQU113" s="17"/>
      <c r="AQV113" s="17"/>
      <c r="AQW113" s="17"/>
      <c r="AQX113" s="17"/>
      <c r="AQY113" s="17"/>
      <c r="AQZ113" s="17"/>
      <c r="ARA113" s="17"/>
      <c r="ARB113" s="17"/>
      <c r="ARC113" s="17"/>
      <c r="ARD113" s="17"/>
      <c r="ARE113" s="17"/>
      <c r="ARF113" s="17"/>
      <c r="ARG113" s="17"/>
      <c r="ARH113" s="17"/>
      <c r="ARI113" s="17"/>
      <c r="ARJ113" s="17"/>
      <c r="ARK113" s="17"/>
      <c r="ARL113" s="17"/>
      <c r="ARM113" s="17"/>
      <c r="ARN113" s="17"/>
      <c r="ARO113" s="17"/>
      <c r="ARP113" s="17"/>
      <c r="ARQ113" s="17"/>
      <c r="ARR113" s="17"/>
      <c r="ARS113" s="17"/>
      <c r="ART113" s="17"/>
      <c r="ARU113" s="17"/>
      <c r="ARV113" s="17"/>
      <c r="ARW113" s="17"/>
      <c r="ARX113" s="17"/>
      <c r="ARY113" s="17"/>
      <c r="ARZ113" s="17"/>
      <c r="ASA113" s="17"/>
      <c r="ASB113" s="17"/>
      <c r="ASC113" s="17"/>
      <c r="ASD113" s="17"/>
      <c r="ASE113" s="17"/>
      <c r="ASF113" s="17"/>
      <c r="ASG113" s="17"/>
      <c r="ASH113" s="17"/>
      <c r="ASI113" s="17"/>
      <c r="ASJ113" s="17"/>
      <c r="ASK113" s="17"/>
      <c r="ASL113" s="17"/>
      <c r="ASM113" s="17"/>
      <c r="ASN113" s="17"/>
      <c r="ASO113" s="17"/>
      <c r="ASP113" s="17"/>
      <c r="ASQ113" s="17"/>
      <c r="ASR113" s="17"/>
      <c r="ASS113" s="17"/>
      <c r="AST113" s="17"/>
      <c r="ASU113" s="17"/>
      <c r="ASV113" s="17"/>
      <c r="ASW113" s="17"/>
      <c r="ASX113" s="17"/>
      <c r="ASY113" s="17"/>
      <c r="ASZ113" s="17"/>
      <c r="ATA113" s="17"/>
      <c r="ATB113" s="17"/>
      <c r="ATC113" s="17"/>
      <c r="ATD113" s="17"/>
      <c r="ATE113" s="17"/>
      <c r="ATF113" s="17"/>
      <c r="ATG113" s="17"/>
      <c r="ATH113" s="17"/>
      <c r="ATI113" s="17"/>
      <c r="ATJ113" s="17"/>
      <c r="ATK113" s="17"/>
      <c r="ATL113" s="17"/>
      <c r="ATM113" s="17"/>
      <c r="ATN113" s="17"/>
      <c r="ATO113" s="17"/>
      <c r="ATP113" s="17"/>
      <c r="ATQ113" s="17"/>
      <c r="ATR113" s="17"/>
      <c r="ATS113" s="17"/>
      <c r="ATT113" s="17"/>
      <c r="ATU113" s="17"/>
      <c r="ATV113" s="17"/>
      <c r="ATW113" s="17"/>
      <c r="ATX113" s="17"/>
      <c r="ATY113" s="17"/>
      <c r="ATZ113" s="17"/>
      <c r="AUA113" s="17"/>
      <c r="AUB113" s="17"/>
      <c r="AUC113" s="17"/>
      <c r="AUD113" s="17"/>
      <c r="AUE113" s="17"/>
      <c r="AUF113" s="17"/>
      <c r="AUG113" s="17"/>
      <c r="AUH113" s="17"/>
      <c r="AUI113" s="17"/>
      <c r="AUJ113" s="17"/>
      <c r="AUK113" s="17"/>
      <c r="AUL113" s="17"/>
      <c r="AUM113" s="17"/>
      <c r="AUN113" s="17"/>
      <c r="AUO113" s="17"/>
      <c r="AUP113" s="17"/>
      <c r="AUQ113" s="17"/>
      <c r="AUR113" s="17"/>
      <c r="AUS113" s="17"/>
      <c r="AUT113" s="17"/>
      <c r="AUU113" s="17"/>
      <c r="AUV113" s="17"/>
      <c r="AUW113" s="17"/>
      <c r="AUX113" s="17"/>
      <c r="AUY113" s="17"/>
      <c r="AUZ113" s="17"/>
      <c r="AVA113" s="17"/>
      <c r="AVB113" s="17"/>
      <c r="AVC113" s="17"/>
      <c r="AVD113" s="17"/>
      <c r="AVE113" s="17"/>
      <c r="AVF113" s="17"/>
      <c r="AVG113" s="17"/>
      <c r="AVH113" s="17"/>
      <c r="AVI113" s="17"/>
      <c r="AVJ113" s="17"/>
      <c r="AVK113" s="17"/>
      <c r="AVL113" s="17"/>
      <c r="AVM113" s="17"/>
      <c r="AVN113" s="17"/>
      <c r="AVO113" s="17"/>
      <c r="AVP113" s="17"/>
      <c r="AVQ113" s="17"/>
      <c r="AVR113" s="17"/>
      <c r="AVS113" s="17"/>
      <c r="AVT113" s="17"/>
      <c r="AVU113" s="17"/>
      <c r="AVV113" s="17"/>
      <c r="AVW113" s="17"/>
      <c r="AVX113" s="17"/>
      <c r="AVY113" s="17"/>
      <c r="AVZ113" s="17"/>
      <c r="AWA113" s="17"/>
      <c r="AWB113" s="17"/>
      <c r="AWC113" s="17"/>
      <c r="AWD113" s="17"/>
      <c r="AWE113" s="17"/>
      <c r="AWF113" s="17"/>
      <c r="AWG113" s="17"/>
      <c r="AWH113" s="17"/>
      <c r="AWI113" s="17"/>
      <c r="AWJ113" s="17"/>
      <c r="AWK113" s="17"/>
      <c r="AWL113" s="17"/>
      <c r="AWM113" s="17"/>
      <c r="AWN113" s="17"/>
      <c r="AWO113" s="17"/>
      <c r="AWP113" s="17"/>
      <c r="AWQ113" s="17"/>
      <c r="AWR113" s="17"/>
      <c r="AWS113" s="17"/>
      <c r="AWT113" s="17"/>
      <c r="AWU113" s="17"/>
      <c r="AWV113" s="17"/>
      <c r="AWW113" s="17"/>
      <c r="AWX113" s="17"/>
      <c r="AWY113" s="17"/>
      <c r="AWZ113" s="17"/>
      <c r="AXA113" s="17"/>
      <c r="AXB113" s="17"/>
      <c r="AXC113" s="17"/>
      <c r="AXD113" s="17"/>
      <c r="AXE113" s="17"/>
      <c r="AXF113" s="17"/>
      <c r="AXG113" s="17"/>
      <c r="AXH113" s="17"/>
      <c r="AXI113" s="17"/>
      <c r="AXJ113" s="17"/>
      <c r="AXK113" s="17"/>
      <c r="AXL113" s="17"/>
      <c r="AXM113" s="17"/>
      <c r="AXN113" s="17"/>
      <c r="AXO113" s="17"/>
      <c r="AXP113" s="17"/>
      <c r="AXQ113" s="17"/>
      <c r="AXR113" s="17"/>
      <c r="AXS113" s="17"/>
      <c r="AXT113" s="17"/>
      <c r="AXU113" s="17"/>
      <c r="AXV113" s="17"/>
      <c r="AXW113" s="17"/>
      <c r="AXX113" s="17"/>
      <c r="AXY113" s="17"/>
      <c r="AXZ113" s="17"/>
      <c r="AYA113" s="17"/>
      <c r="AYB113" s="17"/>
      <c r="AYC113" s="17"/>
      <c r="AYD113" s="17"/>
      <c r="AYE113" s="17"/>
      <c r="AYF113" s="17"/>
      <c r="AYG113" s="17"/>
      <c r="AYH113" s="17"/>
      <c r="AYI113" s="17"/>
      <c r="AYJ113" s="17"/>
      <c r="AYK113" s="17"/>
      <c r="AYL113" s="17"/>
      <c r="AYM113" s="17"/>
      <c r="AYN113" s="17"/>
      <c r="AYO113" s="17"/>
      <c r="AYP113" s="17"/>
      <c r="AYQ113" s="17"/>
      <c r="AYR113" s="17"/>
      <c r="AYS113" s="17"/>
      <c r="AYT113" s="17"/>
      <c r="AYU113" s="17"/>
      <c r="AYV113" s="17"/>
      <c r="AYW113" s="17"/>
      <c r="AYX113" s="17"/>
      <c r="AYY113" s="17"/>
      <c r="AYZ113" s="17"/>
      <c r="AZA113" s="17"/>
      <c r="AZB113" s="17"/>
      <c r="AZC113" s="17"/>
      <c r="AZD113" s="17"/>
      <c r="AZE113" s="17"/>
      <c r="AZF113" s="17"/>
      <c r="AZG113" s="17"/>
      <c r="AZH113" s="17"/>
      <c r="AZI113" s="17"/>
      <c r="AZJ113" s="17"/>
      <c r="AZK113" s="17"/>
      <c r="AZL113" s="17"/>
      <c r="AZM113" s="17"/>
      <c r="AZN113" s="17"/>
      <c r="AZO113" s="17"/>
      <c r="AZP113" s="17"/>
      <c r="AZQ113" s="17"/>
      <c r="AZR113" s="17"/>
      <c r="AZS113" s="17"/>
      <c r="AZT113" s="17"/>
      <c r="AZU113" s="17"/>
      <c r="AZV113" s="17"/>
      <c r="AZW113" s="17"/>
      <c r="AZX113" s="17"/>
      <c r="AZY113" s="17"/>
      <c r="AZZ113" s="17"/>
      <c r="BAA113" s="17"/>
      <c r="BAB113" s="17"/>
      <c r="BAC113" s="17"/>
      <c r="BAD113" s="17"/>
      <c r="BAE113" s="17"/>
      <c r="BAF113" s="17"/>
      <c r="BAG113" s="17"/>
      <c r="BAH113" s="17"/>
      <c r="BAI113" s="17"/>
      <c r="BAJ113" s="17"/>
      <c r="BAK113" s="17"/>
      <c r="BAL113" s="17"/>
      <c r="BAM113" s="17"/>
      <c r="BAN113" s="17"/>
      <c r="BAO113" s="17"/>
      <c r="BAP113" s="17"/>
      <c r="BAQ113" s="17"/>
      <c r="BAR113" s="17"/>
      <c r="BAS113" s="17"/>
      <c r="BAT113" s="17"/>
      <c r="BAU113" s="17"/>
      <c r="BAV113" s="17"/>
      <c r="BAW113" s="17"/>
      <c r="BAX113" s="17"/>
      <c r="BAY113" s="17"/>
      <c r="BAZ113" s="17"/>
      <c r="BBA113" s="17"/>
      <c r="BBB113" s="17"/>
      <c r="BBC113" s="17"/>
      <c r="BBD113" s="17"/>
      <c r="BBE113" s="17"/>
      <c r="BBF113" s="17"/>
      <c r="BBG113" s="17"/>
      <c r="BBH113" s="17"/>
      <c r="BBI113" s="17"/>
      <c r="BBJ113" s="17"/>
      <c r="BBK113" s="17"/>
      <c r="BBL113" s="17"/>
      <c r="BBM113" s="17"/>
      <c r="BBN113" s="17"/>
      <c r="BBO113" s="17"/>
      <c r="BBP113" s="17"/>
      <c r="BBQ113" s="17"/>
      <c r="BBR113" s="17"/>
      <c r="BBS113" s="17"/>
      <c r="BBT113" s="17"/>
      <c r="BBU113" s="17"/>
      <c r="BBV113" s="17"/>
      <c r="BBW113" s="17"/>
      <c r="BBX113" s="17"/>
      <c r="BBY113" s="17"/>
      <c r="BBZ113" s="17"/>
      <c r="BCA113" s="17"/>
      <c r="BCB113" s="17"/>
      <c r="BCC113" s="17"/>
      <c r="BCD113" s="17"/>
      <c r="BCE113" s="17"/>
      <c r="BCF113" s="17"/>
      <c r="BCG113" s="17"/>
      <c r="BCH113" s="17"/>
      <c r="BCI113" s="17"/>
      <c r="BCJ113" s="17"/>
      <c r="BCK113" s="17"/>
      <c r="BCL113" s="17"/>
      <c r="BCM113" s="17"/>
      <c r="BCN113" s="17"/>
      <c r="BCO113" s="17"/>
      <c r="BCP113" s="17"/>
      <c r="BCQ113" s="17"/>
      <c r="BCR113" s="17"/>
      <c r="BCS113" s="17"/>
      <c r="BCT113" s="17"/>
      <c r="BCU113" s="17"/>
      <c r="BCV113" s="17"/>
      <c r="BCW113" s="17"/>
      <c r="BCX113" s="17"/>
      <c r="BCY113" s="17"/>
      <c r="BCZ113" s="17"/>
      <c r="BDA113" s="17"/>
      <c r="BDB113" s="17"/>
      <c r="BDC113" s="17"/>
      <c r="BDD113" s="17"/>
      <c r="BDE113" s="17"/>
      <c r="BDF113" s="17"/>
      <c r="BDG113" s="17"/>
      <c r="BDH113" s="17"/>
      <c r="BDI113" s="17"/>
      <c r="BDJ113" s="17"/>
      <c r="BDK113" s="17"/>
      <c r="BDL113" s="17"/>
      <c r="BDM113" s="17"/>
      <c r="BDN113" s="17"/>
      <c r="BDO113" s="17"/>
      <c r="BDP113" s="17"/>
      <c r="BDQ113" s="17"/>
      <c r="BDR113" s="17"/>
      <c r="BDS113" s="17"/>
      <c r="BDT113" s="17"/>
      <c r="BDU113" s="17"/>
      <c r="BDV113" s="17"/>
      <c r="BDW113" s="17"/>
      <c r="BDX113" s="17"/>
      <c r="BDY113" s="17"/>
      <c r="BDZ113" s="17"/>
      <c r="BEA113" s="17"/>
      <c r="BEB113" s="17"/>
      <c r="BEC113" s="17"/>
      <c r="BED113" s="17"/>
      <c r="BEE113" s="17"/>
      <c r="BEF113" s="17"/>
      <c r="BEG113" s="17"/>
      <c r="BEH113" s="17"/>
      <c r="BEI113" s="17"/>
      <c r="BEJ113" s="17"/>
      <c r="BEK113" s="17"/>
      <c r="BEL113" s="17"/>
      <c r="BEM113" s="17"/>
      <c r="BEN113" s="17"/>
      <c r="BEO113" s="17"/>
      <c r="BEP113" s="17"/>
      <c r="BEQ113" s="17"/>
      <c r="BER113" s="17"/>
      <c r="BES113" s="17"/>
      <c r="BET113" s="17"/>
      <c r="BEU113" s="17"/>
      <c r="BEV113" s="17"/>
      <c r="BEW113" s="17"/>
      <c r="BEX113" s="17"/>
      <c r="BEY113" s="17"/>
      <c r="BEZ113" s="17"/>
      <c r="BFA113" s="17"/>
      <c r="BFB113" s="17"/>
      <c r="BFC113" s="17"/>
      <c r="BFD113" s="17"/>
      <c r="BFE113" s="17"/>
      <c r="BFF113" s="17"/>
      <c r="BFG113" s="17"/>
      <c r="BFH113" s="17"/>
      <c r="BFI113" s="17"/>
      <c r="BFJ113" s="17"/>
      <c r="BFK113" s="17"/>
      <c r="BFL113" s="17"/>
      <c r="BFM113" s="17"/>
      <c r="BFN113" s="17"/>
      <c r="BFO113" s="17"/>
      <c r="BFP113" s="17"/>
      <c r="BFQ113" s="17"/>
      <c r="BFR113" s="17"/>
      <c r="BFS113" s="17"/>
      <c r="BFT113" s="17"/>
      <c r="BFU113" s="17"/>
      <c r="BFV113" s="17"/>
      <c r="BFW113" s="17"/>
      <c r="BFX113" s="17"/>
      <c r="BFY113" s="17"/>
      <c r="BFZ113" s="17"/>
      <c r="BGA113" s="17"/>
      <c r="BGB113" s="17"/>
      <c r="BGC113" s="17"/>
      <c r="BGD113" s="17"/>
      <c r="BGE113" s="17"/>
      <c r="BGF113" s="17"/>
      <c r="BGG113" s="17"/>
      <c r="BGH113" s="17"/>
      <c r="BGI113" s="17"/>
      <c r="BGJ113" s="17"/>
      <c r="BGK113" s="17"/>
      <c r="BGL113" s="17"/>
      <c r="BGM113" s="17"/>
      <c r="BGN113" s="17"/>
      <c r="BGO113" s="17"/>
      <c r="BGP113" s="17"/>
      <c r="BGQ113" s="17"/>
      <c r="BGR113" s="17"/>
      <c r="BGS113" s="17"/>
      <c r="BGT113" s="17"/>
      <c r="BGU113" s="17"/>
      <c r="BGV113" s="17"/>
      <c r="BGW113" s="17"/>
      <c r="BGX113" s="17"/>
      <c r="BGY113" s="17"/>
      <c r="BGZ113" s="17"/>
      <c r="BHA113" s="17"/>
      <c r="BHB113" s="17"/>
      <c r="BHC113" s="17"/>
      <c r="BHD113" s="17"/>
      <c r="BHE113" s="17"/>
      <c r="BHF113" s="17"/>
      <c r="BHG113" s="17"/>
      <c r="BHH113" s="17"/>
      <c r="BHI113" s="17"/>
      <c r="BHJ113" s="17"/>
      <c r="BHK113" s="17"/>
      <c r="BHL113" s="17"/>
      <c r="BHM113" s="17"/>
      <c r="BHN113" s="17"/>
      <c r="BHO113" s="17"/>
      <c r="BHP113" s="17"/>
      <c r="BHQ113" s="17"/>
      <c r="BHR113" s="17"/>
      <c r="BHS113" s="17"/>
      <c r="BHT113" s="17"/>
      <c r="BHU113" s="17"/>
      <c r="BHV113" s="17"/>
      <c r="BHW113" s="17"/>
      <c r="BHX113" s="17"/>
      <c r="BHY113" s="17"/>
      <c r="BHZ113" s="17"/>
      <c r="BIA113" s="17"/>
      <c r="BIB113" s="17"/>
      <c r="BIC113" s="17"/>
      <c r="BID113" s="17"/>
      <c r="BIE113" s="17"/>
      <c r="BIF113" s="17"/>
      <c r="BIG113" s="17"/>
      <c r="BIH113" s="17"/>
      <c r="BII113" s="17"/>
      <c r="BIJ113" s="17"/>
      <c r="BIK113" s="17"/>
      <c r="BIL113" s="17"/>
      <c r="BIM113" s="17"/>
      <c r="BIN113" s="17"/>
      <c r="BIO113" s="17"/>
      <c r="BIP113" s="17"/>
      <c r="BIQ113" s="17"/>
      <c r="BIR113" s="17"/>
      <c r="BIS113" s="17"/>
      <c r="BIT113" s="17"/>
      <c r="BIU113" s="17"/>
      <c r="BIV113" s="17"/>
      <c r="BIW113" s="17"/>
      <c r="BIX113" s="17"/>
      <c r="BIY113" s="17"/>
      <c r="BIZ113" s="17"/>
      <c r="BJA113" s="17"/>
      <c r="BJB113" s="17"/>
      <c r="BJC113" s="17"/>
      <c r="BJD113" s="17"/>
      <c r="BJE113" s="17"/>
      <c r="BJF113" s="17"/>
      <c r="BJG113" s="17"/>
      <c r="BJH113" s="17"/>
      <c r="BJI113" s="17"/>
      <c r="BJJ113" s="17"/>
      <c r="BJK113" s="17"/>
      <c r="BJL113" s="17"/>
      <c r="BJM113" s="17"/>
      <c r="BJN113" s="17"/>
      <c r="BJO113" s="17"/>
      <c r="BJP113" s="17"/>
      <c r="BJQ113" s="17"/>
      <c r="BJR113" s="17"/>
      <c r="BJS113" s="17"/>
      <c r="BJT113" s="17"/>
      <c r="BJU113" s="17"/>
      <c r="BJV113" s="17"/>
      <c r="BJW113" s="17"/>
      <c r="BJX113" s="17"/>
      <c r="BJY113" s="17"/>
      <c r="BJZ113" s="17"/>
      <c r="BKA113" s="17"/>
      <c r="BKB113" s="17"/>
      <c r="BKC113" s="17"/>
      <c r="BKD113" s="17"/>
      <c r="BKE113" s="17"/>
      <c r="BKF113" s="17"/>
      <c r="BKG113" s="17"/>
      <c r="BKH113" s="17"/>
      <c r="BKI113" s="17"/>
      <c r="BKJ113" s="17"/>
      <c r="BKK113" s="17"/>
      <c r="BKL113" s="17"/>
      <c r="BKM113" s="17"/>
      <c r="BKN113" s="17"/>
      <c r="BKO113" s="17"/>
      <c r="BKP113" s="17"/>
      <c r="BKQ113" s="17"/>
      <c r="BKR113" s="17"/>
      <c r="BKS113" s="17"/>
      <c r="BKT113" s="17"/>
      <c r="BKU113" s="17"/>
      <c r="BKV113" s="17"/>
      <c r="BKW113" s="17"/>
      <c r="BKX113" s="17"/>
      <c r="BKY113" s="17"/>
      <c r="BKZ113" s="17"/>
      <c r="BLA113" s="17"/>
      <c r="BLB113" s="17"/>
      <c r="BLC113" s="17"/>
      <c r="BLD113" s="17"/>
      <c r="BLE113" s="17"/>
      <c r="BLF113" s="17"/>
      <c r="BLG113" s="17"/>
      <c r="BLH113" s="17"/>
      <c r="BLI113" s="17"/>
      <c r="BLJ113" s="17"/>
      <c r="BLK113" s="17"/>
      <c r="BLL113" s="17"/>
      <c r="BLM113" s="17"/>
      <c r="BLN113" s="17"/>
      <c r="BLO113" s="17"/>
      <c r="BLP113" s="17"/>
      <c r="BLQ113" s="17"/>
      <c r="BLR113" s="17"/>
      <c r="BLS113" s="17"/>
      <c r="BLT113" s="17"/>
      <c r="BLU113" s="17"/>
      <c r="BLV113" s="17"/>
      <c r="BLW113" s="17"/>
      <c r="BLX113" s="17"/>
      <c r="BLY113" s="17"/>
      <c r="BLZ113" s="17"/>
      <c r="BMA113" s="17"/>
      <c r="BMB113" s="17"/>
      <c r="BMC113" s="17"/>
      <c r="BMD113" s="17"/>
      <c r="BME113" s="17"/>
      <c r="BMF113" s="17"/>
      <c r="BMG113" s="17"/>
      <c r="BMH113" s="17"/>
      <c r="BMI113" s="17"/>
      <c r="BMJ113" s="17"/>
      <c r="BMK113" s="17"/>
      <c r="BML113" s="17"/>
      <c r="BMM113" s="17"/>
      <c r="BMN113" s="17"/>
      <c r="BMO113" s="17"/>
      <c r="BMP113" s="17"/>
      <c r="BMQ113" s="17"/>
      <c r="BMR113" s="17"/>
      <c r="BMS113" s="17"/>
      <c r="BMT113" s="17"/>
      <c r="BMU113" s="17"/>
      <c r="BMV113" s="17"/>
      <c r="BMW113" s="17"/>
      <c r="BMX113" s="17"/>
      <c r="BMY113" s="17"/>
      <c r="BMZ113" s="17"/>
      <c r="BNA113" s="17"/>
      <c r="BNB113" s="17"/>
      <c r="BNC113" s="17"/>
      <c r="BND113" s="17"/>
      <c r="BNE113" s="17"/>
      <c r="BNF113" s="17"/>
      <c r="BNG113" s="17"/>
      <c r="BNH113" s="17"/>
      <c r="BNI113" s="17"/>
      <c r="BNJ113" s="17"/>
      <c r="BNK113" s="17"/>
      <c r="BNL113" s="17"/>
      <c r="BNM113" s="17"/>
      <c r="BNN113" s="17"/>
      <c r="BNO113" s="17"/>
      <c r="BNP113" s="17"/>
      <c r="BNQ113" s="17"/>
      <c r="BNR113" s="17"/>
      <c r="BNS113" s="17"/>
      <c r="BNT113" s="17"/>
      <c r="BNU113" s="17"/>
      <c r="BNV113" s="17"/>
      <c r="BNW113" s="17"/>
      <c r="BNX113" s="17"/>
      <c r="BNY113" s="17"/>
      <c r="BNZ113" s="17"/>
      <c r="BOA113" s="17"/>
      <c r="BOB113" s="17"/>
      <c r="BOC113" s="17"/>
      <c r="BOD113" s="17"/>
      <c r="BOE113" s="17"/>
      <c r="BOF113" s="17"/>
      <c r="BOG113" s="17"/>
      <c r="BOH113" s="17"/>
      <c r="BOI113" s="17"/>
      <c r="BOJ113" s="17"/>
      <c r="BOK113" s="17"/>
      <c r="BOL113" s="17"/>
      <c r="BOM113" s="17"/>
      <c r="BON113" s="17"/>
      <c r="BOO113" s="17"/>
      <c r="BOP113" s="17"/>
      <c r="BOQ113" s="17"/>
      <c r="BOR113" s="17"/>
      <c r="BOS113" s="17"/>
      <c r="BOT113" s="17"/>
      <c r="BOU113" s="17"/>
      <c r="BOV113" s="17"/>
      <c r="BOW113" s="17"/>
      <c r="BOX113" s="17"/>
      <c r="BOY113" s="17"/>
      <c r="BOZ113" s="17"/>
      <c r="BPA113" s="17"/>
      <c r="BPB113" s="17"/>
      <c r="BPC113" s="17"/>
      <c r="BPD113" s="17"/>
      <c r="BPE113" s="17"/>
      <c r="BPF113" s="17"/>
      <c r="BPG113" s="17"/>
      <c r="BPH113" s="17"/>
      <c r="BPI113" s="17"/>
      <c r="BPJ113" s="17"/>
      <c r="BPK113" s="17"/>
      <c r="BPL113" s="17"/>
      <c r="BPM113" s="17"/>
      <c r="BPN113" s="17"/>
      <c r="BPO113" s="17"/>
      <c r="BPP113" s="17"/>
      <c r="BPQ113" s="17"/>
      <c r="BPR113" s="17"/>
      <c r="BPS113" s="17"/>
      <c r="BPT113" s="17"/>
      <c r="BPU113" s="17"/>
      <c r="BPV113" s="17"/>
      <c r="BPW113" s="17"/>
      <c r="BPX113" s="17"/>
      <c r="BPY113" s="17"/>
      <c r="BPZ113" s="17"/>
      <c r="BQA113" s="17"/>
      <c r="BQB113" s="17"/>
      <c r="BQC113" s="17"/>
      <c r="BQD113" s="17"/>
      <c r="BQE113" s="17"/>
      <c r="BQF113" s="17"/>
      <c r="BQG113" s="17"/>
      <c r="BQH113" s="17"/>
      <c r="BQI113" s="17"/>
      <c r="BQJ113" s="17"/>
      <c r="BQK113" s="17"/>
      <c r="BQL113" s="17"/>
      <c r="BQM113" s="17"/>
      <c r="BQN113" s="17"/>
      <c r="BQO113" s="17"/>
      <c r="BQP113" s="17"/>
      <c r="BQQ113" s="17"/>
      <c r="BQR113" s="17"/>
      <c r="BQS113" s="17"/>
      <c r="BQT113" s="17"/>
      <c r="BQU113" s="17"/>
      <c r="BQV113" s="17"/>
      <c r="BQW113" s="17"/>
      <c r="BQX113" s="17"/>
      <c r="BQY113" s="17"/>
      <c r="BQZ113" s="17"/>
      <c r="BRA113" s="17"/>
      <c r="BRB113" s="17"/>
      <c r="BRC113" s="17"/>
      <c r="BRD113" s="17"/>
      <c r="BRE113" s="17"/>
      <c r="BRF113" s="17"/>
      <c r="BRG113" s="17"/>
      <c r="BRH113" s="17"/>
      <c r="BRI113" s="17"/>
      <c r="BRJ113" s="17"/>
      <c r="BRK113" s="17"/>
      <c r="BRL113" s="17"/>
      <c r="BRM113" s="17"/>
      <c r="BRN113" s="17"/>
      <c r="BRO113" s="17"/>
      <c r="BRP113" s="17"/>
      <c r="BRQ113" s="17"/>
      <c r="BRR113" s="17"/>
      <c r="BRS113" s="17"/>
      <c r="BRT113" s="17"/>
      <c r="BRU113" s="17"/>
      <c r="BRV113" s="17"/>
      <c r="BRW113" s="17"/>
      <c r="BRX113" s="17"/>
      <c r="BRY113" s="17"/>
      <c r="BRZ113" s="17"/>
      <c r="BSA113" s="17"/>
      <c r="BSB113" s="17"/>
      <c r="BSC113" s="17"/>
      <c r="BSD113" s="17"/>
      <c r="BSE113" s="17"/>
      <c r="BSF113" s="17"/>
      <c r="BSG113" s="17"/>
      <c r="BSH113" s="17"/>
      <c r="BSI113" s="17"/>
      <c r="BSJ113" s="17"/>
      <c r="BSK113" s="17"/>
      <c r="BSL113" s="17"/>
      <c r="BSM113" s="17"/>
      <c r="BSN113" s="17"/>
      <c r="BSO113" s="17"/>
      <c r="BSP113" s="17"/>
      <c r="BSQ113" s="17"/>
      <c r="BSR113" s="17"/>
      <c r="BSS113" s="17"/>
      <c r="BST113" s="17"/>
      <c r="BSU113" s="17"/>
      <c r="BSV113" s="17"/>
      <c r="BSW113" s="17"/>
      <c r="BSX113" s="17"/>
      <c r="BSY113" s="17"/>
      <c r="BSZ113" s="17"/>
      <c r="BTA113" s="17"/>
      <c r="BTB113" s="17"/>
      <c r="BTC113" s="17"/>
      <c r="BTD113" s="17"/>
      <c r="BTE113" s="17"/>
      <c r="BTF113" s="17"/>
      <c r="BTG113" s="17"/>
      <c r="BTH113" s="17"/>
      <c r="BTI113" s="17"/>
      <c r="BTJ113" s="17"/>
      <c r="BTK113" s="17"/>
      <c r="BTL113" s="17"/>
      <c r="BTM113" s="17"/>
      <c r="BTN113" s="17"/>
      <c r="BTO113" s="17"/>
      <c r="BTP113" s="17"/>
      <c r="BTQ113" s="17"/>
      <c r="BTR113" s="17"/>
      <c r="BTS113" s="17"/>
      <c r="BTT113" s="17"/>
      <c r="BTU113" s="17"/>
      <c r="BTV113" s="17"/>
      <c r="BTW113" s="17"/>
      <c r="BTX113" s="17"/>
      <c r="BTY113" s="17"/>
      <c r="BTZ113" s="17"/>
      <c r="BUA113" s="17"/>
      <c r="BUB113" s="17"/>
      <c r="BUC113" s="17"/>
      <c r="BUD113" s="17"/>
      <c r="BUE113" s="17"/>
      <c r="BUF113" s="17"/>
      <c r="BUG113" s="17"/>
      <c r="BUH113" s="17"/>
      <c r="BUI113" s="17"/>
      <c r="BUJ113" s="17"/>
      <c r="BUK113" s="17"/>
      <c r="BUL113" s="17"/>
      <c r="BUM113" s="17"/>
      <c r="BUN113" s="17"/>
      <c r="BUO113" s="17"/>
      <c r="BUP113" s="17"/>
      <c r="BUQ113" s="17"/>
      <c r="BUR113" s="17"/>
      <c r="BUS113" s="17"/>
      <c r="BUT113" s="17"/>
      <c r="BUU113" s="17"/>
      <c r="BUV113" s="17"/>
      <c r="BUW113" s="17"/>
      <c r="BUX113" s="17"/>
      <c r="BUY113" s="17"/>
      <c r="BUZ113" s="17"/>
      <c r="BVA113" s="17"/>
      <c r="BVB113" s="17"/>
      <c r="BVC113" s="17"/>
      <c r="BVD113" s="17"/>
      <c r="BVE113" s="17"/>
      <c r="BVF113" s="17"/>
      <c r="BVG113" s="17"/>
      <c r="BVH113" s="17"/>
      <c r="BVI113" s="17"/>
      <c r="BVJ113" s="17"/>
      <c r="BVK113" s="17"/>
      <c r="BVL113" s="17"/>
      <c r="BVM113" s="17"/>
      <c r="BVN113" s="17"/>
      <c r="BVO113" s="17"/>
      <c r="BVP113" s="17"/>
      <c r="BVQ113" s="17"/>
      <c r="BVR113" s="17"/>
      <c r="BVS113" s="17"/>
      <c r="BVT113" s="17"/>
      <c r="BVU113" s="17"/>
      <c r="BVV113" s="17"/>
      <c r="BVW113" s="17"/>
      <c r="BVX113" s="17"/>
      <c r="BVY113" s="17"/>
      <c r="BVZ113" s="17"/>
      <c r="BWA113" s="17"/>
      <c r="BWB113" s="17"/>
      <c r="BWC113" s="17"/>
      <c r="BWD113" s="17"/>
      <c r="BWE113" s="17"/>
      <c r="BWF113" s="17"/>
      <c r="BWG113" s="17"/>
      <c r="BWH113" s="17"/>
      <c r="BWI113" s="17"/>
      <c r="BWJ113" s="17"/>
      <c r="BWK113" s="17"/>
      <c r="BWL113" s="17"/>
      <c r="BWM113" s="17"/>
      <c r="BWN113" s="17"/>
      <c r="BWO113" s="17"/>
      <c r="BWP113" s="17"/>
      <c r="BWQ113" s="17"/>
      <c r="BWR113" s="17"/>
      <c r="BWS113" s="17"/>
      <c r="BWT113" s="17"/>
      <c r="BWU113" s="17"/>
      <c r="BWV113" s="17"/>
      <c r="BWW113" s="17"/>
      <c r="BWX113" s="17"/>
      <c r="BWY113" s="17"/>
      <c r="BWZ113" s="17"/>
      <c r="BXA113" s="17"/>
      <c r="BXB113" s="17"/>
      <c r="BXC113" s="17"/>
      <c r="BXD113" s="17"/>
      <c r="BXE113" s="17"/>
      <c r="BXF113" s="17"/>
      <c r="BXG113" s="17"/>
      <c r="BXH113" s="17"/>
      <c r="BXI113" s="17"/>
      <c r="BXJ113" s="17"/>
      <c r="BXK113" s="17"/>
      <c r="BXL113" s="17"/>
      <c r="BXM113" s="17"/>
      <c r="BXN113" s="17"/>
      <c r="BXO113" s="17"/>
      <c r="BXP113" s="17"/>
      <c r="BXQ113" s="17"/>
      <c r="BXR113" s="17"/>
      <c r="BXS113" s="17"/>
      <c r="BXT113" s="17"/>
      <c r="BXU113" s="17"/>
      <c r="BXV113" s="17"/>
      <c r="BXW113" s="17"/>
      <c r="BXX113" s="17"/>
      <c r="BXY113" s="17"/>
      <c r="BXZ113" s="17"/>
      <c r="BYA113" s="17"/>
      <c r="BYB113" s="17"/>
      <c r="BYC113" s="17"/>
      <c r="BYD113" s="17"/>
      <c r="BYE113" s="17"/>
      <c r="BYF113" s="17"/>
      <c r="BYG113" s="17"/>
      <c r="BYH113" s="17"/>
      <c r="BYI113" s="17"/>
      <c r="BYJ113" s="17"/>
      <c r="BYK113" s="17"/>
      <c r="BYL113" s="17"/>
      <c r="BYM113" s="17"/>
      <c r="BYN113" s="17"/>
      <c r="BYO113" s="17"/>
      <c r="BYP113" s="17"/>
      <c r="BYQ113" s="17"/>
      <c r="BYR113" s="17"/>
      <c r="BYS113" s="17"/>
      <c r="BYT113" s="17"/>
      <c r="BYU113" s="17"/>
      <c r="BYV113" s="17"/>
      <c r="BYW113" s="17"/>
      <c r="BYX113" s="17"/>
      <c r="BYY113" s="17"/>
      <c r="BYZ113" s="17"/>
      <c r="BZA113" s="17"/>
      <c r="BZB113" s="17"/>
      <c r="BZC113" s="17"/>
      <c r="BZD113" s="17"/>
      <c r="BZE113" s="17"/>
      <c r="BZF113" s="17"/>
      <c r="BZG113" s="17"/>
      <c r="BZH113" s="17"/>
      <c r="BZI113" s="17"/>
      <c r="BZJ113" s="17"/>
      <c r="BZK113" s="17"/>
      <c r="BZL113" s="17"/>
      <c r="BZM113" s="17"/>
      <c r="BZN113" s="17"/>
      <c r="BZO113" s="17"/>
      <c r="BZP113" s="17"/>
      <c r="BZQ113" s="17"/>
      <c r="BZR113" s="17"/>
      <c r="BZS113" s="17"/>
      <c r="BZT113" s="17"/>
      <c r="BZU113" s="17"/>
      <c r="BZV113" s="17"/>
      <c r="BZW113" s="17"/>
      <c r="BZX113" s="17"/>
      <c r="BZY113" s="17"/>
      <c r="BZZ113" s="17"/>
      <c r="CAA113" s="17"/>
      <c r="CAB113" s="17"/>
      <c r="CAC113" s="17"/>
      <c r="CAD113" s="17"/>
      <c r="CAE113" s="17"/>
      <c r="CAF113" s="17"/>
      <c r="CAG113" s="17"/>
      <c r="CAH113" s="17"/>
      <c r="CAI113" s="17"/>
      <c r="CAJ113" s="17"/>
      <c r="CAK113" s="17"/>
      <c r="CAL113" s="17"/>
      <c r="CAM113" s="17"/>
      <c r="CAN113" s="17"/>
      <c r="CAO113" s="17"/>
      <c r="CAP113" s="17"/>
      <c r="CAQ113" s="17"/>
      <c r="CAR113" s="17"/>
      <c r="CAS113" s="17"/>
      <c r="CAT113" s="17"/>
      <c r="CAU113" s="17"/>
      <c r="CAV113" s="17"/>
      <c r="CAW113" s="17"/>
      <c r="CAX113" s="17"/>
      <c r="CAY113" s="17"/>
      <c r="CAZ113" s="17"/>
      <c r="CBA113" s="17"/>
      <c r="CBB113" s="17"/>
      <c r="CBC113" s="17"/>
      <c r="CBD113" s="17"/>
      <c r="CBE113" s="17"/>
      <c r="CBF113" s="17"/>
      <c r="CBG113" s="17"/>
      <c r="CBH113" s="17"/>
      <c r="CBI113" s="17"/>
      <c r="CBJ113" s="17"/>
      <c r="CBK113" s="17"/>
      <c r="CBL113" s="17"/>
      <c r="CBM113" s="17"/>
      <c r="CBN113" s="17"/>
      <c r="CBO113" s="17"/>
      <c r="CBP113" s="17"/>
      <c r="CBQ113" s="17"/>
      <c r="CBR113" s="17"/>
      <c r="CBS113" s="17"/>
      <c r="CBT113" s="17"/>
      <c r="CBU113" s="17"/>
      <c r="CBV113" s="17"/>
      <c r="CBW113" s="17"/>
      <c r="CBX113" s="17"/>
      <c r="CBY113" s="17"/>
      <c r="CBZ113" s="17"/>
      <c r="CCA113" s="17"/>
      <c r="CCB113" s="17"/>
      <c r="CCC113" s="17"/>
      <c r="CCD113" s="17"/>
      <c r="CCE113" s="17"/>
      <c r="CCF113" s="17"/>
      <c r="CCG113" s="17"/>
      <c r="CCH113" s="17"/>
      <c r="CCI113" s="17"/>
      <c r="CCJ113" s="17"/>
      <c r="CCK113" s="17"/>
      <c r="CCL113" s="17"/>
      <c r="CCM113" s="17"/>
      <c r="CCN113" s="17"/>
      <c r="CCO113" s="17"/>
      <c r="CCP113" s="17"/>
      <c r="CCQ113" s="17"/>
      <c r="CCR113" s="17"/>
      <c r="CCS113" s="17"/>
      <c r="CCT113" s="17"/>
      <c r="CCU113" s="17"/>
      <c r="CCV113" s="17"/>
      <c r="CCW113" s="17"/>
      <c r="CCX113" s="17"/>
      <c r="CCY113" s="17"/>
      <c r="CCZ113" s="17"/>
      <c r="CDA113" s="17"/>
      <c r="CDB113" s="17"/>
      <c r="CDC113" s="17"/>
      <c r="CDD113" s="17"/>
      <c r="CDE113" s="17"/>
      <c r="CDF113" s="17"/>
      <c r="CDG113" s="17"/>
      <c r="CDH113" s="17"/>
      <c r="CDI113" s="17"/>
      <c r="CDJ113" s="17"/>
      <c r="CDK113" s="17"/>
      <c r="CDL113" s="17"/>
      <c r="CDM113" s="17"/>
      <c r="CDN113" s="17"/>
      <c r="CDO113" s="17"/>
      <c r="CDP113" s="17"/>
      <c r="CDQ113" s="17"/>
      <c r="CDR113" s="17"/>
      <c r="CDS113" s="17"/>
      <c r="CDT113" s="17"/>
      <c r="CDU113" s="17"/>
      <c r="CDV113" s="17"/>
      <c r="CDW113" s="17"/>
      <c r="CDX113" s="17"/>
      <c r="CDY113" s="17"/>
      <c r="CDZ113" s="17"/>
      <c r="CEA113" s="17"/>
      <c r="CEB113" s="17"/>
      <c r="CEC113" s="17"/>
      <c r="CED113" s="17"/>
      <c r="CEE113" s="17"/>
      <c r="CEF113" s="17"/>
      <c r="CEG113" s="17"/>
      <c r="CEH113" s="17"/>
      <c r="CEI113" s="17"/>
      <c r="CEJ113" s="17"/>
      <c r="CEK113" s="17"/>
      <c r="CEL113" s="17"/>
      <c r="CEM113" s="17"/>
      <c r="CEN113" s="17"/>
      <c r="CEO113" s="17"/>
      <c r="CEP113" s="17"/>
      <c r="CEQ113" s="17"/>
      <c r="CER113" s="17"/>
      <c r="CES113" s="17"/>
      <c r="CET113" s="17"/>
      <c r="CEU113" s="17"/>
      <c r="CEV113" s="17"/>
      <c r="CEW113" s="17"/>
      <c r="CEX113" s="17"/>
      <c r="CEY113" s="17"/>
      <c r="CEZ113" s="17"/>
      <c r="CFA113" s="17"/>
      <c r="CFB113" s="17"/>
      <c r="CFC113" s="17"/>
      <c r="CFD113" s="17"/>
      <c r="CFE113" s="17"/>
      <c r="CFF113" s="17"/>
      <c r="CFG113" s="17"/>
      <c r="CFH113" s="17"/>
      <c r="CFI113" s="17"/>
      <c r="CFJ113" s="17"/>
      <c r="CFK113" s="17"/>
      <c r="CFL113" s="17"/>
      <c r="CFM113" s="17"/>
      <c r="CFN113" s="17"/>
      <c r="CFO113" s="17"/>
      <c r="CFP113" s="17"/>
      <c r="CFQ113" s="17"/>
      <c r="CFR113" s="17"/>
      <c r="CFS113" s="17"/>
      <c r="CFT113" s="17"/>
      <c r="CFU113" s="17"/>
      <c r="CFV113" s="17"/>
      <c r="CFW113" s="17"/>
      <c r="CFX113" s="17"/>
      <c r="CFY113" s="17"/>
      <c r="CFZ113" s="17"/>
      <c r="CGA113" s="17"/>
      <c r="CGB113" s="17"/>
      <c r="CGC113" s="17"/>
      <c r="CGD113" s="17"/>
      <c r="CGE113" s="17"/>
      <c r="CGF113" s="17"/>
      <c r="CGG113" s="17"/>
      <c r="CGH113" s="17"/>
      <c r="CGI113" s="17"/>
      <c r="CGJ113" s="17"/>
      <c r="CGK113" s="17"/>
      <c r="CGL113" s="17"/>
      <c r="CGM113" s="17"/>
      <c r="CGN113" s="17"/>
      <c r="CGO113" s="17"/>
      <c r="CGP113" s="17"/>
      <c r="CGQ113" s="17"/>
      <c r="CGR113" s="17"/>
      <c r="CGS113" s="17"/>
      <c r="CGT113" s="17"/>
      <c r="CGU113" s="17"/>
      <c r="CGV113" s="17"/>
      <c r="CGW113" s="17"/>
      <c r="CGX113" s="17"/>
      <c r="CGY113" s="17"/>
      <c r="CGZ113" s="17"/>
      <c r="CHA113" s="17"/>
      <c r="CHB113" s="17"/>
      <c r="CHC113" s="17"/>
      <c r="CHD113" s="17"/>
      <c r="CHE113" s="17"/>
      <c r="CHF113" s="17"/>
      <c r="CHG113" s="17"/>
      <c r="CHH113" s="17"/>
      <c r="CHI113" s="17"/>
      <c r="CHJ113" s="17"/>
      <c r="CHK113" s="17"/>
      <c r="CHL113" s="17"/>
      <c r="CHM113" s="17"/>
      <c r="CHN113" s="17"/>
      <c r="CHO113" s="17"/>
      <c r="CHP113" s="17"/>
      <c r="CHQ113" s="17"/>
      <c r="CHR113" s="17"/>
      <c r="CHS113" s="17"/>
      <c r="CHT113" s="17"/>
      <c r="CHU113" s="17"/>
      <c r="CHV113" s="17"/>
      <c r="CHW113" s="17"/>
      <c r="CHX113" s="17"/>
      <c r="CHY113" s="17"/>
      <c r="CHZ113" s="17"/>
      <c r="CIA113" s="17"/>
      <c r="CIB113" s="17"/>
      <c r="CIC113" s="17"/>
      <c r="CID113" s="17"/>
      <c r="CIE113" s="17"/>
      <c r="CIF113" s="17"/>
      <c r="CIG113" s="17"/>
      <c r="CIH113" s="17"/>
      <c r="CII113" s="17"/>
      <c r="CIJ113" s="17"/>
      <c r="CIK113" s="17"/>
      <c r="CIL113" s="17"/>
      <c r="CIM113" s="17"/>
      <c r="CIN113" s="17"/>
      <c r="CIO113" s="17"/>
      <c r="CIP113" s="17"/>
      <c r="CIQ113" s="17"/>
      <c r="CIR113" s="17"/>
      <c r="CIS113" s="17"/>
      <c r="CIT113" s="17"/>
      <c r="CIU113" s="17"/>
      <c r="CIV113" s="17"/>
      <c r="CIW113" s="17"/>
      <c r="CIX113" s="17"/>
      <c r="CIY113" s="17"/>
      <c r="CIZ113" s="17"/>
      <c r="CJA113" s="17"/>
      <c r="CJB113" s="17"/>
      <c r="CJC113" s="17"/>
      <c r="CJD113" s="17"/>
      <c r="CJE113" s="17"/>
      <c r="CJF113" s="17"/>
      <c r="CJG113" s="17"/>
      <c r="CJH113" s="17"/>
      <c r="CJI113" s="17"/>
      <c r="CJJ113" s="17"/>
      <c r="CJK113" s="17"/>
      <c r="CJL113" s="17"/>
      <c r="CJM113" s="17"/>
      <c r="CJN113" s="17"/>
      <c r="CJO113" s="17"/>
      <c r="CJP113" s="17"/>
      <c r="CJQ113" s="17"/>
      <c r="CJR113" s="17"/>
      <c r="CJS113" s="17"/>
      <c r="CJT113" s="17"/>
      <c r="CJU113" s="17"/>
      <c r="CJV113" s="17"/>
      <c r="CJW113" s="17"/>
      <c r="CJX113" s="17"/>
      <c r="CJY113" s="17"/>
      <c r="CJZ113" s="17"/>
      <c r="CKA113" s="17"/>
      <c r="CKB113" s="17"/>
      <c r="CKC113" s="17"/>
      <c r="CKD113" s="17"/>
      <c r="CKE113" s="17"/>
      <c r="CKF113" s="17"/>
      <c r="CKG113" s="17"/>
      <c r="CKH113" s="17"/>
      <c r="CKI113" s="17"/>
      <c r="CKJ113" s="17"/>
      <c r="CKK113" s="17"/>
      <c r="CKL113" s="17"/>
      <c r="CKM113" s="17"/>
      <c r="CKN113" s="17"/>
      <c r="CKO113" s="17"/>
      <c r="CKP113" s="17"/>
      <c r="CKQ113" s="17"/>
      <c r="CKR113" s="17"/>
      <c r="CKS113" s="17"/>
      <c r="CKT113" s="17"/>
      <c r="CKU113" s="17"/>
      <c r="CKV113" s="17"/>
      <c r="CKW113" s="17"/>
      <c r="CKX113" s="17"/>
      <c r="CKY113" s="17"/>
      <c r="CKZ113" s="17"/>
      <c r="CLA113" s="17"/>
      <c r="CLB113" s="17"/>
      <c r="CLC113" s="17"/>
      <c r="CLD113" s="17"/>
      <c r="CLE113" s="17"/>
      <c r="CLF113" s="17"/>
      <c r="CLG113" s="17"/>
      <c r="CLH113" s="17"/>
      <c r="CLI113" s="17"/>
      <c r="CLJ113" s="17"/>
      <c r="CLK113" s="17"/>
      <c r="CLL113" s="17"/>
      <c r="CLM113" s="17"/>
      <c r="CLN113" s="17"/>
      <c r="CLO113" s="17"/>
      <c r="CLP113" s="17"/>
      <c r="CLQ113" s="17"/>
      <c r="CLR113" s="17"/>
      <c r="CLS113" s="17"/>
      <c r="CLT113" s="17"/>
      <c r="CLU113" s="17"/>
      <c r="CLV113" s="17"/>
      <c r="CLW113" s="17"/>
      <c r="CLX113" s="17"/>
      <c r="CLY113" s="17"/>
      <c r="CLZ113" s="17"/>
      <c r="CMA113" s="17"/>
      <c r="CMB113" s="17"/>
      <c r="CMC113" s="17"/>
      <c r="CMD113" s="17"/>
      <c r="CME113" s="17"/>
      <c r="CMF113" s="17"/>
      <c r="CMG113" s="17"/>
      <c r="CMH113" s="17"/>
      <c r="CMI113" s="17"/>
      <c r="CMJ113" s="17"/>
      <c r="CMK113" s="17"/>
      <c r="CML113" s="17"/>
      <c r="CMM113" s="17"/>
      <c r="CMN113" s="17"/>
      <c r="CMO113" s="17"/>
      <c r="CMP113" s="17"/>
      <c r="CMQ113" s="17"/>
      <c r="CMR113" s="17"/>
      <c r="CMS113" s="17"/>
      <c r="CMT113" s="17"/>
      <c r="CMU113" s="17"/>
      <c r="CMV113" s="17"/>
      <c r="CMW113" s="17"/>
      <c r="CMX113" s="17"/>
      <c r="CMY113" s="17"/>
      <c r="CMZ113" s="17"/>
      <c r="CNA113" s="17"/>
      <c r="CNB113" s="17"/>
      <c r="CNC113" s="17"/>
      <c r="CND113" s="17"/>
      <c r="CNE113" s="17"/>
      <c r="CNF113" s="17"/>
      <c r="CNG113" s="17"/>
      <c r="CNH113" s="17"/>
      <c r="CNI113" s="17"/>
      <c r="CNJ113" s="17"/>
      <c r="CNK113" s="17"/>
      <c r="CNL113" s="17"/>
      <c r="CNM113" s="17"/>
      <c r="CNN113" s="17"/>
      <c r="CNO113" s="17"/>
      <c r="CNP113" s="17"/>
      <c r="CNQ113" s="17"/>
      <c r="CNR113" s="17"/>
      <c r="CNS113" s="17"/>
      <c r="CNT113" s="17"/>
      <c r="CNU113" s="17"/>
      <c r="CNV113" s="17"/>
      <c r="CNW113" s="17"/>
      <c r="CNX113" s="17"/>
      <c r="CNY113" s="17"/>
      <c r="CNZ113" s="17"/>
      <c r="COA113" s="17"/>
      <c r="COB113" s="17"/>
      <c r="COC113" s="17"/>
      <c r="COD113" s="17"/>
      <c r="COE113" s="17"/>
      <c r="COF113" s="17"/>
      <c r="COG113" s="17"/>
      <c r="COH113" s="17"/>
      <c r="COI113" s="17"/>
      <c r="COJ113" s="17"/>
      <c r="COK113" s="17"/>
      <c r="COL113" s="17"/>
      <c r="COM113" s="17"/>
      <c r="CON113" s="17"/>
      <c r="COO113" s="17"/>
      <c r="COP113" s="17"/>
      <c r="COQ113" s="17"/>
      <c r="COR113" s="17"/>
      <c r="COS113" s="17"/>
      <c r="COT113" s="17"/>
      <c r="COU113" s="17"/>
      <c r="COV113" s="17"/>
      <c r="COW113" s="17"/>
      <c r="COX113" s="17"/>
      <c r="COY113" s="17"/>
      <c r="COZ113" s="17"/>
      <c r="CPA113" s="17"/>
      <c r="CPB113" s="17"/>
      <c r="CPC113" s="17"/>
      <c r="CPD113" s="17"/>
      <c r="CPE113" s="17"/>
      <c r="CPF113" s="17"/>
      <c r="CPG113" s="17"/>
      <c r="CPH113" s="17"/>
      <c r="CPI113" s="17"/>
      <c r="CPJ113" s="17"/>
      <c r="CPK113" s="17"/>
      <c r="CPL113" s="17"/>
      <c r="CPM113" s="17"/>
      <c r="CPN113" s="17"/>
      <c r="CPO113" s="17"/>
      <c r="CPP113" s="17"/>
      <c r="CPQ113" s="17"/>
      <c r="CPR113" s="17"/>
      <c r="CPS113" s="17"/>
      <c r="CPT113" s="17"/>
      <c r="CPU113" s="17"/>
      <c r="CPV113" s="17"/>
      <c r="CPW113" s="17"/>
      <c r="CPX113" s="17"/>
      <c r="CPY113" s="17"/>
      <c r="CPZ113" s="17"/>
      <c r="CQA113" s="17"/>
      <c r="CQB113" s="17"/>
      <c r="CQC113" s="17"/>
      <c r="CQD113" s="17"/>
      <c r="CQE113" s="17"/>
      <c r="CQF113" s="17"/>
      <c r="CQG113" s="17"/>
      <c r="CQH113" s="17"/>
      <c r="CQI113" s="17"/>
      <c r="CQJ113" s="17"/>
      <c r="CQK113" s="17"/>
      <c r="CQL113" s="17"/>
      <c r="CQM113" s="17"/>
      <c r="CQN113" s="17"/>
      <c r="CQO113" s="17"/>
      <c r="CQP113" s="17"/>
      <c r="CQQ113" s="17"/>
      <c r="CQR113" s="17"/>
      <c r="CQS113" s="17"/>
      <c r="CQT113" s="17"/>
      <c r="CQU113" s="17"/>
      <c r="CQV113" s="17"/>
      <c r="CQW113" s="17"/>
      <c r="CQX113" s="17"/>
      <c r="CQY113" s="17"/>
      <c r="CQZ113" s="17"/>
      <c r="CRA113" s="17"/>
      <c r="CRB113" s="17"/>
      <c r="CRC113" s="17"/>
      <c r="CRD113" s="17"/>
      <c r="CRE113" s="17"/>
      <c r="CRF113" s="17"/>
      <c r="CRG113" s="17"/>
      <c r="CRH113" s="17"/>
      <c r="CRI113" s="17"/>
      <c r="CRJ113" s="17"/>
      <c r="CRK113" s="17"/>
      <c r="CRL113" s="17"/>
      <c r="CRM113" s="17"/>
      <c r="CRN113" s="17"/>
      <c r="CRO113" s="17"/>
      <c r="CRP113" s="17"/>
      <c r="CRQ113" s="17"/>
      <c r="CRR113" s="17"/>
      <c r="CRS113" s="17"/>
      <c r="CRT113" s="17"/>
      <c r="CRU113" s="17"/>
      <c r="CRV113" s="17"/>
      <c r="CRW113" s="17"/>
      <c r="CRX113" s="17"/>
      <c r="CRY113" s="17"/>
      <c r="CRZ113" s="17"/>
      <c r="CSA113" s="17"/>
      <c r="CSB113" s="17"/>
      <c r="CSC113" s="17"/>
      <c r="CSD113" s="17"/>
      <c r="CSE113" s="17"/>
      <c r="CSF113" s="17"/>
      <c r="CSG113" s="17"/>
      <c r="CSH113" s="17"/>
      <c r="CSI113" s="17"/>
      <c r="CSJ113" s="17"/>
      <c r="CSK113" s="17"/>
      <c r="CSL113" s="17"/>
      <c r="CSM113" s="17"/>
      <c r="CSN113" s="17"/>
      <c r="CSO113" s="17"/>
      <c r="CSP113" s="17"/>
      <c r="CSQ113" s="17"/>
      <c r="CSR113" s="17"/>
      <c r="CSS113" s="17"/>
      <c r="CST113" s="17"/>
      <c r="CSU113" s="17"/>
      <c r="CSV113" s="17"/>
      <c r="CSW113" s="17"/>
      <c r="CSX113" s="17"/>
      <c r="CSY113" s="17"/>
      <c r="CSZ113" s="17"/>
      <c r="CTA113" s="17"/>
      <c r="CTB113" s="17"/>
      <c r="CTC113" s="17"/>
      <c r="CTD113" s="17"/>
      <c r="CTE113" s="17"/>
      <c r="CTF113" s="17"/>
      <c r="CTG113" s="17"/>
      <c r="CTH113" s="17"/>
      <c r="CTI113" s="17"/>
      <c r="CTJ113" s="17"/>
      <c r="CTK113" s="17"/>
      <c r="CTL113" s="17"/>
      <c r="CTM113" s="17"/>
      <c r="CTN113" s="17"/>
      <c r="CTO113" s="17"/>
      <c r="CTP113" s="17"/>
      <c r="CTQ113" s="17"/>
      <c r="CTR113" s="17"/>
      <c r="CTS113" s="17"/>
      <c r="CTT113" s="17"/>
      <c r="CTU113" s="17"/>
      <c r="CTV113" s="17"/>
      <c r="CTW113" s="17"/>
      <c r="CTX113" s="17"/>
      <c r="CTY113" s="17"/>
      <c r="CTZ113" s="17"/>
      <c r="CUA113" s="17"/>
      <c r="CUB113" s="17"/>
      <c r="CUC113" s="17"/>
      <c r="CUD113" s="17"/>
      <c r="CUE113" s="17"/>
      <c r="CUF113" s="17"/>
      <c r="CUG113" s="17"/>
      <c r="CUH113" s="17"/>
      <c r="CUI113" s="17"/>
      <c r="CUJ113" s="17"/>
      <c r="CUK113" s="17"/>
      <c r="CUL113" s="17"/>
      <c r="CUM113" s="17"/>
      <c r="CUN113" s="17"/>
      <c r="CUO113" s="17"/>
      <c r="CUP113" s="17"/>
      <c r="CUQ113" s="17"/>
      <c r="CUR113" s="17"/>
      <c r="CUS113" s="17"/>
      <c r="CUT113" s="17"/>
      <c r="CUU113" s="17"/>
      <c r="CUV113" s="17"/>
      <c r="CUW113" s="17"/>
      <c r="CUX113" s="17"/>
      <c r="CUY113" s="17"/>
      <c r="CUZ113" s="17"/>
      <c r="CVA113" s="17"/>
      <c r="CVB113" s="17"/>
      <c r="CVC113" s="17"/>
      <c r="CVD113" s="17"/>
      <c r="CVE113" s="17"/>
      <c r="CVF113" s="17"/>
      <c r="CVG113" s="17"/>
      <c r="CVH113" s="17"/>
      <c r="CVI113" s="17"/>
      <c r="CVJ113" s="17"/>
      <c r="CVK113" s="17"/>
      <c r="CVL113" s="17"/>
      <c r="CVM113" s="17"/>
      <c r="CVN113" s="17"/>
      <c r="CVO113" s="17"/>
      <c r="CVP113" s="17"/>
      <c r="CVQ113" s="17"/>
      <c r="CVR113" s="17"/>
      <c r="CVS113" s="17"/>
      <c r="CVT113" s="17"/>
      <c r="CVU113" s="17"/>
      <c r="CVV113" s="17"/>
      <c r="CVW113" s="17"/>
      <c r="CVX113" s="17"/>
      <c r="CVY113" s="17"/>
      <c r="CVZ113" s="17"/>
      <c r="CWA113" s="17"/>
      <c r="CWB113" s="17"/>
      <c r="CWC113" s="17"/>
      <c r="CWD113" s="17"/>
      <c r="CWE113" s="17"/>
      <c r="CWF113" s="17"/>
      <c r="CWG113" s="17"/>
      <c r="CWH113" s="17"/>
      <c r="CWI113" s="17"/>
      <c r="CWJ113" s="17"/>
      <c r="CWK113" s="17"/>
      <c r="CWL113" s="17"/>
      <c r="CWM113" s="17"/>
      <c r="CWN113" s="17"/>
      <c r="CWO113" s="17"/>
      <c r="CWP113" s="17"/>
      <c r="CWQ113" s="17"/>
      <c r="CWR113" s="17"/>
      <c r="CWS113" s="17"/>
      <c r="CWT113" s="17"/>
      <c r="CWU113" s="17"/>
      <c r="CWV113" s="17"/>
      <c r="CWW113" s="17"/>
      <c r="CWX113" s="17"/>
      <c r="CWY113" s="17"/>
      <c r="CWZ113" s="17"/>
      <c r="CXA113" s="17"/>
      <c r="CXB113" s="17"/>
      <c r="CXC113" s="17"/>
      <c r="CXD113" s="17"/>
      <c r="CXE113" s="17"/>
      <c r="CXF113" s="17"/>
      <c r="CXG113" s="17"/>
      <c r="CXH113" s="17"/>
      <c r="CXI113" s="17"/>
      <c r="CXJ113" s="17"/>
      <c r="CXK113" s="17"/>
      <c r="CXL113" s="17"/>
      <c r="CXM113" s="17"/>
      <c r="CXN113" s="17"/>
      <c r="CXO113" s="17"/>
      <c r="CXP113" s="17"/>
      <c r="CXQ113" s="17"/>
      <c r="CXR113" s="17"/>
      <c r="CXS113" s="17"/>
      <c r="CXT113" s="17"/>
      <c r="CXU113" s="17"/>
      <c r="CXV113" s="17"/>
      <c r="CXW113" s="17"/>
      <c r="CXX113" s="17"/>
      <c r="CXY113" s="17"/>
      <c r="CXZ113" s="17"/>
      <c r="CYA113" s="17"/>
      <c r="CYB113" s="17"/>
      <c r="CYC113" s="17"/>
      <c r="CYD113" s="17"/>
      <c r="CYE113" s="17"/>
      <c r="CYF113" s="17"/>
      <c r="CYG113" s="17"/>
      <c r="CYH113" s="17"/>
      <c r="CYI113" s="17"/>
      <c r="CYJ113" s="17"/>
      <c r="CYK113" s="17"/>
      <c r="CYL113" s="17"/>
      <c r="CYM113" s="17"/>
      <c r="CYN113" s="17"/>
      <c r="CYO113" s="17"/>
      <c r="CYP113" s="17"/>
      <c r="CYQ113" s="17"/>
      <c r="CYR113" s="17"/>
      <c r="CYS113" s="17"/>
      <c r="CYT113" s="17"/>
      <c r="CYU113" s="17"/>
      <c r="CYV113" s="17"/>
      <c r="CYW113" s="17"/>
      <c r="CYX113" s="17"/>
      <c r="CYY113" s="17"/>
      <c r="CYZ113" s="17"/>
      <c r="CZA113" s="17"/>
      <c r="CZB113" s="17"/>
      <c r="CZC113" s="17"/>
      <c r="CZD113" s="17"/>
      <c r="CZE113" s="17"/>
      <c r="CZF113" s="17"/>
      <c r="CZG113" s="17"/>
      <c r="CZH113" s="17"/>
      <c r="CZI113" s="17"/>
      <c r="CZJ113" s="17"/>
      <c r="CZK113" s="17"/>
      <c r="CZL113" s="17"/>
      <c r="CZM113" s="17"/>
      <c r="CZN113" s="17"/>
      <c r="CZO113" s="17"/>
      <c r="CZP113" s="17"/>
      <c r="CZQ113" s="17"/>
      <c r="CZR113" s="17"/>
      <c r="CZS113" s="17"/>
      <c r="CZT113" s="17"/>
      <c r="CZU113" s="17"/>
      <c r="CZV113" s="17"/>
      <c r="CZW113" s="17"/>
      <c r="CZX113" s="17"/>
      <c r="CZY113" s="17"/>
      <c r="CZZ113" s="17"/>
      <c r="DAA113" s="17"/>
      <c r="DAB113" s="17"/>
      <c r="DAC113" s="17"/>
      <c r="DAD113" s="17"/>
      <c r="DAE113" s="17"/>
      <c r="DAF113" s="17"/>
      <c r="DAG113" s="17"/>
      <c r="DAH113" s="17"/>
      <c r="DAI113" s="17"/>
      <c r="DAJ113" s="17"/>
      <c r="DAK113" s="17"/>
      <c r="DAL113" s="17"/>
      <c r="DAM113" s="17"/>
      <c r="DAN113" s="17"/>
      <c r="DAO113" s="17"/>
      <c r="DAP113" s="17"/>
      <c r="DAQ113" s="17"/>
      <c r="DAR113" s="17"/>
      <c r="DAS113" s="17"/>
      <c r="DAT113" s="17"/>
      <c r="DAU113" s="17"/>
      <c r="DAV113" s="17"/>
      <c r="DAW113" s="17"/>
      <c r="DAX113" s="17"/>
      <c r="DAY113" s="17"/>
      <c r="DAZ113" s="17"/>
      <c r="DBA113" s="17"/>
      <c r="DBB113" s="17"/>
      <c r="DBC113" s="17"/>
      <c r="DBD113" s="17"/>
      <c r="DBE113" s="17"/>
      <c r="DBF113" s="17"/>
      <c r="DBG113" s="17"/>
      <c r="DBH113" s="17"/>
      <c r="DBI113" s="17"/>
      <c r="DBJ113" s="17"/>
      <c r="DBK113" s="17"/>
      <c r="DBL113" s="17"/>
      <c r="DBM113" s="17"/>
      <c r="DBN113" s="17"/>
      <c r="DBO113" s="17"/>
      <c r="DBP113" s="17"/>
      <c r="DBQ113" s="17"/>
      <c r="DBR113" s="17"/>
      <c r="DBS113" s="17"/>
      <c r="DBT113" s="17"/>
      <c r="DBU113" s="17"/>
      <c r="DBV113" s="17"/>
      <c r="DBW113" s="17"/>
      <c r="DBX113" s="17"/>
      <c r="DBY113" s="17"/>
      <c r="DBZ113" s="17"/>
      <c r="DCA113" s="17"/>
      <c r="DCB113" s="17"/>
      <c r="DCC113" s="17"/>
      <c r="DCD113" s="17"/>
      <c r="DCE113" s="17"/>
      <c r="DCF113" s="17"/>
      <c r="DCG113" s="17"/>
      <c r="DCH113" s="17"/>
      <c r="DCI113" s="17"/>
      <c r="DCJ113" s="17"/>
      <c r="DCK113" s="17"/>
      <c r="DCL113" s="17"/>
      <c r="DCM113" s="17"/>
      <c r="DCN113" s="17"/>
      <c r="DCO113" s="17"/>
      <c r="DCP113" s="17"/>
      <c r="DCQ113" s="17"/>
      <c r="DCR113" s="17"/>
      <c r="DCS113" s="17"/>
      <c r="DCT113" s="17"/>
      <c r="DCU113" s="17"/>
      <c r="DCV113" s="17"/>
      <c r="DCW113" s="17"/>
      <c r="DCX113" s="17"/>
      <c r="DCY113" s="17"/>
      <c r="DCZ113" s="17"/>
      <c r="DDA113" s="17"/>
      <c r="DDB113" s="17"/>
      <c r="DDC113" s="17"/>
      <c r="DDD113" s="17"/>
      <c r="DDE113" s="17"/>
      <c r="DDF113" s="17"/>
      <c r="DDG113" s="17"/>
      <c r="DDH113" s="17"/>
      <c r="DDI113" s="17"/>
      <c r="DDJ113" s="17"/>
      <c r="DDK113" s="17"/>
      <c r="DDL113" s="17"/>
      <c r="DDM113" s="17"/>
      <c r="DDN113" s="17"/>
      <c r="DDO113" s="17"/>
      <c r="DDP113" s="17"/>
      <c r="DDQ113" s="17"/>
      <c r="DDR113" s="17"/>
      <c r="DDS113" s="17"/>
      <c r="DDT113" s="17"/>
      <c r="DDU113" s="17"/>
      <c r="DDV113" s="17"/>
      <c r="DDW113" s="17"/>
      <c r="DDX113" s="17"/>
      <c r="DDY113" s="17"/>
      <c r="DDZ113" s="17"/>
      <c r="DEA113" s="17"/>
      <c r="DEB113" s="17"/>
      <c r="DEC113" s="17"/>
      <c r="DED113" s="17"/>
      <c r="DEE113" s="17"/>
      <c r="DEF113" s="17"/>
      <c r="DEG113" s="17"/>
      <c r="DEH113" s="17"/>
      <c r="DEI113" s="17"/>
      <c r="DEJ113" s="17"/>
      <c r="DEK113" s="17"/>
      <c r="DEL113" s="17"/>
      <c r="DEM113" s="17"/>
      <c r="DEN113" s="17"/>
      <c r="DEO113" s="17"/>
      <c r="DEP113" s="17"/>
      <c r="DEQ113" s="17"/>
      <c r="DER113" s="17"/>
      <c r="DES113" s="17"/>
      <c r="DET113" s="17"/>
      <c r="DEU113" s="17"/>
      <c r="DEV113" s="17"/>
      <c r="DEW113" s="17"/>
      <c r="DEX113" s="17"/>
      <c r="DEY113" s="17"/>
      <c r="DEZ113" s="17"/>
      <c r="DFA113" s="17"/>
      <c r="DFB113" s="17"/>
      <c r="DFC113" s="17"/>
      <c r="DFD113" s="17"/>
      <c r="DFE113" s="17"/>
      <c r="DFF113" s="17"/>
      <c r="DFG113" s="17"/>
      <c r="DFH113" s="17"/>
      <c r="DFI113" s="17"/>
      <c r="DFJ113" s="17"/>
      <c r="DFK113" s="17"/>
      <c r="DFL113" s="17"/>
      <c r="DFM113" s="17"/>
      <c r="DFN113" s="17"/>
      <c r="DFO113" s="17"/>
      <c r="DFP113" s="17"/>
      <c r="DFQ113" s="17"/>
      <c r="DFR113" s="17"/>
      <c r="DFS113" s="17"/>
      <c r="DFT113" s="17"/>
      <c r="DFU113" s="17"/>
      <c r="DFV113" s="17"/>
      <c r="DFW113" s="17"/>
      <c r="DFX113" s="17"/>
      <c r="DFY113" s="17"/>
      <c r="DFZ113" s="17"/>
      <c r="DGA113" s="17"/>
      <c r="DGB113" s="17"/>
      <c r="DGC113" s="17"/>
      <c r="DGD113" s="17"/>
      <c r="DGE113" s="17"/>
      <c r="DGF113" s="17"/>
      <c r="DGG113" s="17"/>
      <c r="DGH113" s="17"/>
      <c r="DGI113" s="17"/>
      <c r="DGJ113" s="17"/>
      <c r="DGK113" s="17"/>
      <c r="DGL113" s="17"/>
      <c r="DGM113" s="17"/>
      <c r="DGN113" s="17"/>
      <c r="DGO113" s="17"/>
      <c r="DGP113" s="17"/>
      <c r="DGQ113" s="17"/>
      <c r="DGR113" s="17"/>
      <c r="DGS113" s="17"/>
      <c r="DGT113" s="17"/>
      <c r="DGU113" s="17"/>
      <c r="DGV113" s="17"/>
      <c r="DGW113" s="17"/>
      <c r="DGX113" s="17"/>
      <c r="DGY113" s="17"/>
      <c r="DGZ113" s="17"/>
      <c r="DHA113" s="17"/>
      <c r="DHB113" s="17"/>
      <c r="DHC113" s="17"/>
      <c r="DHD113" s="17"/>
      <c r="DHE113" s="17"/>
      <c r="DHF113" s="17"/>
      <c r="DHG113" s="17"/>
      <c r="DHH113" s="17"/>
      <c r="DHI113" s="17"/>
      <c r="DHJ113" s="17"/>
      <c r="DHK113" s="17"/>
      <c r="DHL113" s="17"/>
      <c r="DHM113" s="17"/>
      <c r="DHN113" s="17"/>
      <c r="DHO113" s="17"/>
      <c r="DHP113" s="17"/>
      <c r="DHQ113" s="17"/>
      <c r="DHR113" s="17"/>
      <c r="DHS113" s="17"/>
      <c r="DHT113" s="17"/>
      <c r="DHU113" s="17"/>
      <c r="DHV113" s="17"/>
      <c r="DHW113" s="17"/>
      <c r="DHX113" s="17"/>
      <c r="DHY113" s="17"/>
      <c r="DHZ113" s="17"/>
      <c r="DIA113" s="17"/>
      <c r="DIB113" s="17"/>
      <c r="DIC113" s="17"/>
      <c r="DID113" s="17"/>
      <c r="DIE113" s="17"/>
      <c r="DIF113" s="17"/>
      <c r="DIG113" s="17"/>
      <c r="DIH113" s="17"/>
      <c r="DII113" s="17"/>
      <c r="DIJ113" s="17"/>
      <c r="DIK113" s="17"/>
      <c r="DIL113" s="17"/>
      <c r="DIM113" s="17"/>
      <c r="DIN113" s="17"/>
      <c r="DIO113" s="17"/>
      <c r="DIP113" s="17"/>
      <c r="DIQ113" s="17"/>
      <c r="DIR113" s="17"/>
      <c r="DIS113" s="17"/>
      <c r="DIT113" s="17"/>
      <c r="DIU113" s="17"/>
      <c r="DIV113" s="17"/>
      <c r="DIW113" s="17"/>
      <c r="DIX113" s="17"/>
      <c r="DIY113" s="17"/>
      <c r="DIZ113" s="17"/>
      <c r="DJA113" s="17"/>
      <c r="DJB113" s="17"/>
      <c r="DJC113" s="17"/>
      <c r="DJD113" s="17"/>
      <c r="DJE113" s="17"/>
      <c r="DJF113" s="17"/>
      <c r="DJG113" s="17"/>
      <c r="DJH113" s="17"/>
      <c r="DJI113" s="17"/>
      <c r="DJJ113" s="17"/>
      <c r="DJK113" s="17"/>
      <c r="DJL113" s="17"/>
      <c r="DJM113" s="17"/>
      <c r="DJN113" s="17"/>
      <c r="DJO113" s="17"/>
      <c r="DJP113" s="17"/>
      <c r="DJQ113" s="17"/>
      <c r="DJR113" s="17"/>
      <c r="DJS113" s="17"/>
      <c r="DJT113" s="17"/>
      <c r="DJU113" s="17"/>
      <c r="DJV113" s="17"/>
      <c r="DJW113" s="17"/>
      <c r="DJX113" s="17"/>
      <c r="DJY113" s="17"/>
      <c r="DJZ113" s="17"/>
      <c r="DKA113" s="17"/>
      <c r="DKB113" s="17"/>
      <c r="DKC113" s="17"/>
      <c r="DKD113" s="17"/>
      <c r="DKE113" s="17"/>
      <c r="DKF113" s="17"/>
      <c r="DKG113" s="17"/>
      <c r="DKH113" s="17"/>
      <c r="DKI113" s="17"/>
      <c r="DKJ113" s="17"/>
      <c r="DKK113" s="17"/>
      <c r="DKL113" s="17"/>
      <c r="DKM113" s="17"/>
      <c r="DKN113" s="17"/>
      <c r="DKO113" s="17"/>
      <c r="DKP113" s="17"/>
      <c r="DKQ113" s="17"/>
      <c r="DKR113" s="17"/>
      <c r="DKS113" s="17"/>
      <c r="DKT113" s="17"/>
      <c r="DKU113" s="17"/>
      <c r="DKV113" s="17"/>
      <c r="DKW113" s="17"/>
      <c r="DKX113" s="17"/>
      <c r="DKY113" s="17"/>
      <c r="DKZ113" s="17"/>
      <c r="DLA113" s="17"/>
      <c r="DLB113" s="17"/>
      <c r="DLC113" s="17"/>
      <c r="DLD113" s="17"/>
      <c r="DLE113" s="17"/>
      <c r="DLF113" s="17"/>
      <c r="DLG113" s="17"/>
      <c r="DLH113" s="17"/>
      <c r="DLI113" s="17"/>
      <c r="DLJ113" s="17"/>
      <c r="DLK113" s="17"/>
      <c r="DLL113" s="17"/>
      <c r="DLM113" s="17"/>
      <c r="DLN113" s="17"/>
      <c r="DLO113" s="17"/>
      <c r="DLP113" s="17"/>
      <c r="DLQ113" s="17"/>
      <c r="DLR113" s="17"/>
      <c r="DLS113" s="17"/>
      <c r="DLT113" s="17"/>
      <c r="DLU113" s="17"/>
      <c r="DLV113" s="17"/>
      <c r="DLW113" s="17"/>
      <c r="DLX113" s="17"/>
      <c r="DLY113" s="17"/>
      <c r="DLZ113" s="17"/>
      <c r="DMA113" s="17"/>
      <c r="DMB113" s="17"/>
      <c r="DMC113" s="17"/>
      <c r="DMD113" s="17"/>
      <c r="DME113" s="17"/>
      <c r="DMF113" s="17"/>
      <c r="DMG113" s="17"/>
      <c r="DMH113" s="17"/>
      <c r="DMI113" s="17"/>
      <c r="DMJ113" s="17"/>
      <c r="DMK113" s="17"/>
      <c r="DML113" s="17"/>
      <c r="DMM113" s="17"/>
      <c r="DMN113" s="17"/>
      <c r="DMO113" s="17"/>
      <c r="DMP113" s="17"/>
      <c r="DMQ113" s="17"/>
      <c r="DMR113" s="17"/>
      <c r="DMS113" s="17"/>
      <c r="DMT113" s="17"/>
      <c r="DMU113" s="17"/>
      <c r="DMV113" s="17"/>
      <c r="DMW113" s="17"/>
      <c r="DMX113" s="17"/>
      <c r="DMY113" s="17"/>
      <c r="DMZ113" s="17"/>
      <c r="DNA113" s="17"/>
      <c r="DNB113" s="17"/>
      <c r="DNC113" s="17"/>
      <c r="DND113" s="17"/>
      <c r="DNE113" s="17"/>
      <c r="DNF113" s="17"/>
      <c r="DNG113" s="17"/>
      <c r="DNH113" s="17"/>
      <c r="DNI113" s="17"/>
      <c r="DNJ113" s="17"/>
      <c r="DNK113" s="17"/>
      <c r="DNL113" s="17"/>
      <c r="DNM113" s="17"/>
      <c r="DNN113" s="17"/>
      <c r="DNO113" s="17"/>
      <c r="DNP113" s="17"/>
      <c r="DNQ113" s="17"/>
      <c r="DNR113" s="17"/>
      <c r="DNS113" s="17"/>
      <c r="DNT113" s="17"/>
      <c r="DNU113" s="17"/>
      <c r="DNV113" s="17"/>
      <c r="DNW113" s="17"/>
      <c r="DNX113" s="17"/>
      <c r="DNY113" s="17"/>
      <c r="DNZ113" s="17"/>
      <c r="DOA113" s="17"/>
      <c r="DOB113" s="17"/>
      <c r="DOC113" s="17"/>
      <c r="DOD113" s="17"/>
      <c r="DOE113" s="17"/>
      <c r="DOF113" s="17"/>
      <c r="DOG113" s="17"/>
      <c r="DOH113" s="17"/>
      <c r="DOI113" s="17"/>
      <c r="DOJ113" s="17"/>
      <c r="DOK113" s="17"/>
      <c r="DOL113" s="17"/>
      <c r="DOM113" s="17"/>
      <c r="DON113" s="17"/>
      <c r="DOO113" s="17"/>
      <c r="DOP113" s="17"/>
      <c r="DOQ113" s="17"/>
      <c r="DOR113" s="17"/>
      <c r="DOS113" s="17"/>
      <c r="DOT113" s="17"/>
      <c r="DOU113" s="17"/>
      <c r="DOV113" s="17"/>
      <c r="DOW113" s="17"/>
      <c r="DOX113" s="17"/>
      <c r="DOY113" s="17"/>
      <c r="DOZ113" s="17"/>
      <c r="DPA113" s="17"/>
      <c r="DPB113" s="17"/>
      <c r="DPC113" s="17"/>
      <c r="DPD113" s="17"/>
      <c r="DPE113" s="17"/>
      <c r="DPF113" s="17"/>
      <c r="DPG113" s="17"/>
      <c r="DPH113" s="17"/>
      <c r="DPI113" s="17"/>
      <c r="DPJ113" s="17"/>
      <c r="DPK113" s="17"/>
      <c r="DPL113" s="17"/>
      <c r="DPM113" s="17"/>
      <c r="DPN113" s="17"/>
      <c r="DPO113" s="17"/>
      <c r="DPP113" s="17"/>
      <c r="DPQ113" s="17"/>
      <c r="DPR113" s="17"/>
      <c r="DPS113" s="17"/>
      <c r="DPT113" s="17"/>
      <c r="DPU113" s="17"/>
      <c r="DPV113" s="17"/>
      <c r="DPW113" s="17"/>
      <c r="DPX113" s="17"/>
      <c r="DPY113" s="17"/>
      <c r="DPZ113" s="17"/>
      <c r="DQA113" s="17"/>
      <c r="DQB113" s="17"/>
      <c r="DQC113" s="17"/>
      <c r="DQD113" s="17"/>
      <c r="DQE113" s="17"/>
      <c r="DQF113" s="17"/>
      <c r="DQG113" s="17"/>
      <c r="DQH113" s="17"/>
      <c r="DQI113" s="17"/>
      <c r="DQJ113" s="17"/>
      <c r="DQK113" s="17"/>
      <c r="DQL113" s="17"/>
      <c r="DQM113" s="17"/>
      <c r="DQN113" s="17"/>
      <c r="DQO113" s="17"/>
      <c r="DQP113" s="17"/>
      <c r="DQQ113" s="17"/>
      <c r="DQR113" s="17"/>
      <c r="DQS113" s="17"/>
      <c r="DQT113" s="17"/>
      <c r="DQU113" s="17"/>
      <c r="DQV113" s="17"/>
      <c r="DQW113" s="17"/>
      <c r="DQX113" s="17"/>
      <c r="DQY113" s="17"/>
      <c r="DQZ113" s="17"/>
      <c r="DRA113" s="17"/>
      <c r="DRB113" s="17"/>
      <c r="DRC113" s="17"/>
      <c r="DRD113" s="17"/>
      <c r="DRE113" s="17"/>
      <c r="DRF113" s="17"/>
      <c r="DRG113" s="17"/>
      <c r="DRH113" s="17"/>
      <c r="DRI113" s="17"/>
      <c r="DRJ113" s="17"/>
      <c r="DRK113" s="17"/>
      <c r="DRL113" s="17"/>
      <c r="DRM113" s="17"/>
      <c r="DRN113" s="17"/>
      <c r="DRO113" s="17"/>
      <c r="DRP113" s="17"/>
      <c r="DRQ113" s="17"/>
      <c r="DRR113" s="17"/>
      <c r="DRS113" s="17"/>
      <c r="DRT113" s="17"/>
      <c r="DRU113" s="17"/>
      <c r="DRV113" s="17"/>
      <c r="DRW113" s="17"/>
      <c r="DRX113" s="17"/>
      <c r="DRY113" s="17"/>
      <c r="DRZ113" s="17"/>
      <c r="DSA113" s="17"/>
      <c r="DSB113" s="17"/>
      <c r="DSC113" s="17"/>
      <c r="DSD113" s="17"/>
      <c r="DSE113" s="17"/>
      <c r="DSF113" s="17"/>
      <c r="DSG113" s="17"/>
      <c r="DSH113" s="17"/>
      <c r="DSI113" s="17"/>
      <c r="DSJ113" s="17"/>
      <c r="DSK113" s="17"/>
      <c r="DSL113" s="17"/>
      <c r="DSM113" s="17"/>
      <c r="DSN113" s="17"/>
      <c r="DSO113" s="17"/>
      <c r="DSP113" s="17"/>
      <c r="DSQ113" s="17"/>
      <c r="DSR113" s="17"/>
      <c r="DSS113" s="17"/>
      <c r="DST113" s="17"/>
      <c r="DSU113" s="17"/>
      <c r="DSV113" s="17"/>
      <c r="DSW113" s="17"/>
      <c r="DSX113" s="17"/>
      <c r="DSY113" s="17"/>
      <c r="DSZ113" s="17"/>
      <c r="DTA113" s="17"/>
      <c r="DTB113" s="17"/>
      <c r="DTC113" s="17"/>
      <c r="DTD113" s="17"/>
      <c r="DTE113" s="17"/>
      <c r="DTF113" s="17"/>
      <c r="DTG113" s="17"/>
      <c r="DTH113" s="17"/>
      <c r="DTI113" s="17"/>
      <c r="DTJ113" s="17"/>
      <c r="DTK113" s="17"/>
      <c r="DTL113" s="17"/>
      <c r="DTM113" s="17"/>
      <c r="DTN113" s="17"/>
      <c r="DTO113" s="17"/>
      <c r="DTP113" s="17"/>
      <c r="DTQ113" s="17"/>
      <c r="DTR113" s="17"/>
      <c r="DTS113" s="17"/>
      <c r="DTT113" s="17"/>
      <c r="DTU113" s="17"/>
      <c r="DTV113" s="17"/>
      <c r="DTW113" s="17"/>
      <c r="DTX113" s="17"/>
      <c r="DTY113" s="17"/>
      <c r="DTZ113" s="17"/>
      <c r="DUA113" s="17"/>
      <c r="DUB113" s="17"/>
      <c r="DUC113" s="17"/>
      <c r="DUD113" s="17"/>
      <c r="DUE113" s="17"/>
      <c r="DUF113" s="17"/>
      <c r="DUG113" s="17"/>
      <c r="DUH113" s="17"/>
      <c r="DUI113" s="17"/>
      <c r="DUJ113" s="17"/>
      <c r="DUK113" s="17"/>
      <c r="DUL113" s="17"/>
      <c r="DUM113" s="17"/>
      <c r="DUN113" s="17"/>
      <c r="DUO113" s="17"/>
      <c r="DUP113" s="17"/>
      <c r="DUQ113" s="17"/>
      <c r="DUR113" s="17"/>
      <c r="DUS113" s="17"/>
      <c r="DUT113" s="17"/>
      <c r="DUU113" s="17"/>
      <c r="DUV113" s="17"/>
      <c r="DUW113" s="17"/>
      <c r="DUX113" s="17"/>
      <c r="DUY113" s="17"/>
      <c r="DUZ113" s="17"/>
      <c r="DVA113" s="17"/>
      <c r="DVB113" s="17"/>
      <c r="DVC113" s="17"/>
      <c r="DVD113" s="17"/>
      <c r="DVE113" s="17"/>
      <c r="DVF113" s="17"/>
      <c r="DVG113" s="17"/>
      <c r="DVH113" s="17"/>
      <c r="DVI113" s="17"/>
      <c r="DVJ113" s="17"/>
      <c r="DVK113" s="17"/>
      <c r="DVL113" s="17"/>
      <c r="DVM113" s="17"/>
      <c r="DVN113" s="17"/>
      <c r="DVO113" s="17"/>
      <c r="DVP113" s="17"/>
      <c r="DVQ113" s="17"/>
      <c r="DVR113" s="17"/>
      <c r="DVS113" s="17"/>
      <c r="DVT113" s="17"/>
      <c r="DVU113" s="17"/>
      <c r="DVV113" s="17"/>
      <c r="DVW113" s="17"/>
      <c r="DVX113" s="17"/>
      <c r="DVY113" s="17"/>
      <c r="DVZ113" s="17"/>
      <c r="DWA113" s="17"/>
      <c r="DWB113" s="17"/>
      <c r="DWC113" s="17"/>
      <c r="DWD113" s="17"/>
      <c r="DWE113" s="17"/>
      <c r="DWF113" s="17"/>
      <c r="DWG113" s="17"/>
      <c r="DWH113" s="17"/>
      <c r="DWI113" s="17"/>
      <c r="DWJ113" s="17"/>
      <c r="DWK113" s="17"/>
      <c r="DWL113" s="17"/>
      <c r="DWM113" s="17"/>
      <c r="DWN113" s="17"/>
      <c r="DWO113" s="17"/>
      <c r="DWP113" s="17"/>
      <c r="DWQ113" s="17"/>
      <c r="DWR113" s="17"/>
      <c r="DWS113" s="17"/>
      <c r="DWT113" s="17"/>
      <c r="DWU113" s="17"/>
      <c r="DWV113" s="17"/>
      <c r="DWW113" s="17"/>
      <c r="DWX113" s="17"/>
      <c r="DWY113" s="17"/>
      <c r="DWZ113" s="17"/>
      <c r="DXA113" s="17"/>
      <c r="DXB113" s="17"/>
      <c r="DXC113" s="17"/>
      <c r="DXD113" s="17"/>
      <c r="DXE113" s="17"/>
      <c r="DXF113" s="17"/>
      <c r="DXG113" s="17"/>
      <c r="DXH113" s="17"/>
      <c r="DXI113" s="17"/>
      <c r="DXJ113" s="17"/>
      <c r="DXK113" s="17"/>
      <c r="DXL113" s="17"/>
      <c r="DXM113" s="17"/>
      <c r="DXN113" s="17"/>
      <c r="DXO113" s="17"/>
      <c r="DXP113" s="17"/>
      <c r="DXQ113" s="17"/>
      <c r="DXR113" s="17"/>
      <c r="DXS113" s="17"/>
      <c r="DXT113" s="17"/>
      <c r="DXU113" s="17"/>
      <c r="DXV113" s="17"/>
      <c r="DXW113" s="17"/>
      <c r="DXX113" s="17"/>
      <c r="DXY113" s="17"/>
      <c r="DXZ113" s="17"/>
      <c r="DYA113" s="17"/>
      <c r="DYB113" s="17"/>
      <c r="DYC113" s="17"/>
      <c r="DYD113" s="17"/>
      <c r="DYE113" s="17"/>
      <c r="DYF113" s="17"/>
      <c r="DYG113" s="17"/>
      <c r="DYH113" s="17"/>
      <c r="DYI113" s="17"/>
      <c r="DYJ113" s="17"/>
      <c r="DYK113" s="17"/>
      <c r="DYL113" s="17"/>
      <c r="DYM113" s="17"/>
      <c r="DYN113" s="17"/>
      <c r="DYO113" s="17"/>
      <c r="DYP113" s="17"/>
      <c r="DYQ113" s="17"/>
      <c r="DYR113" s="17"/>
      <c r="DYS113" s="17"/>
      <c r="DYT113" s="17"/>
      <c r="DYU113" s="17"/>
      <c r="DYV113" s="17"/>
      <c r="DYW113" s="17"/>
      <c r="DYX113" s="17"/>
      <c r="DYY113" s="17"/>
      <c r="DYZ113" s="17"/>
      <c r="DZA113" s="17"/>
      <c r="DZB113" s="17"/>
      <c r="DZC113" s="17"/>
      <c r="DZD113" s="17"/>
      <c r="DZE113" s="17"/>
      <c r="DZF113" s="17"/>
      <c r="DZG113" s="17"/>
      <c r="DZH113" s="17"/>
      <c r="DZI113" s="17"/>
      <c r="DZJ113" s="17"/>
      <c r="DZK113" s="17"/>
      <c r="DZL113" s="17"/>
      <c r="DZM113" s="17"/>
      <c r="DZN113" s="17"/>
      <c r="DZO113" s="17"/>
      <c r="DZP113" s="17"/>
      <c r="DZQ113" s="17"/>
      <c r="DZR113" s="17"/>
      <c r="DZS113" s="17"/>
      <c r="DZT113" s="17"/>
      <c r="DZU113" s="17"/>
      <c r="DZV113" s="17"/>
      <c r="DZW113" s="17"/>
      <c r="DZX113" s="17"/>
      <c r="DZY113" s="17"/>
      <c r="DZZ113" s="17"/>
      <c r="EAA113" s="17"/>
      <c r="EAB113" s="17"/>
      <c r="EAC113" s="17"/>
      <c r="EAD113" s="17"/>
      <c r="EAE113" s="17"/>
      <c r="EAF113" s="17"/>
      <c r="EAG113" s="17"/>
      <c r="EAH113" s="17"/>
      <c r="EAI113" s="17"/>
      <c r="EAJ113" s="17"/>
      <c r="EAK113" s="17"/>
      <c r="EAL113" s="17"/>
      <c r="EAM113" s="17"/>
      <c r="EAN113" s="17"/>
      <c r="EAO113" s="17"/>
      <c r="EAP113" s="17"/>
      <c r="EAQ113" s="17"/>
      <c r="EAR113" s="17"/>
      <c r="EAS113" s="17"/>
      <c r="EAT113" s="17"/>
      <c r="EAU113" s="17"/>
      <c r="EAV113" s="17"/>
      <c r="EAW113" s="17"/>
      <c r="EAX113" s="17"/>
      <c r="EAY113" s="17"/>
      <c r="EAZ113" s="17"/>
      <c r="EBA113" s="17"/>
      <c r="EBB113" s="17"/>
      <c r="EBC113" s="17"/>
      <c r="EBD113" s="17"/>
      <c r="EBE113" s="17"/>
      <c r="EBF113" s="17"/>
      <c r="EBG113" s="17"/>
      <c r="EBH113" s="17"/>
      <c r="EBI113" s="17"/>
      <c r="EBJ113" s="17"/>
      <c r="EBK113" s="17"/>
      <c r="EBL113" s="17"/>
      <c r="EBM113" s="17"/>
      <c r="EBN113" s="17"/>
      <c r="EBO113" s="17"/>
      <c r="EBP113" s="17"/>
      <c r="EBQ113" s="17"/>
      <c r="EBR113" s="17"/>
      <c r="EBS113" s="17"/>
      <c r="EBT113" s="17"/>
      <c r="EBU113" s="17"/>
      <c r="EBV113" s="17"/>
      <c r="EBW113" s="17"/>
      <c r="EBX113" s="17"/>
      <c r="EBY113" s="17"/>
      <c r="EBZ113" s="17"/>
      <c r="ECA113" s="17"/>
      <c r="ECB113" s="17"/>
      <c r="ECC113" s="17"/>
      <c r="ECD113" s="17"/>
      <c r="ECE113" s="17"/>
      <c r="ECF113" s="17"/>
      <c r="ECG113" s="17"/>
      <c r="ECH113" s="17"/>
      <c r="ECI113" s="17"/>
      <c r="ECJ113" s="17"/>
      <c r="ECK113" s="17"/>
      <c r="ECL113" s="17"/>
      <c r="ECM113" s="17"/>
      <c r="ECN113" s="17"/>
      <c r="ECO113" s="17"/>
      <c r="ECP113" s="17"/>
      <c r="ECQ113" s="17"/>
      <c r="ECR113" s="17"/>
      <c r="ECS113" s="17"/>
      <c r="ECT113" s="17"/>
      <c r="ECU113" s="17"/>
      <c r="ECV113" s="17"/>
      <c r="ECW113" s="17"/>
      <c r="ECX113" s="17"/>
      <c r="ECY113" s="17"/>
      <c r="ECZ113" s="17"/>
      <c r="EDA113" s="17"/>
      <c r="EDB113" s="17"/>
      <c r="EDC113" s="17"/>
      <c r="EDD113" s="17"/>
      <c r="EDE113" s="17"/>
      <c r="EDF113" s="17"/>
      <c r="EDG113" s="17"/>
      <c r="EDH113" s="17"/>
      <c r="EDI113" s="17"/>
      <c r="EDJ113" s="17"/>
      <c r="EDK113" s="17"/>
      <c r="EDL113" s="17"/>
      <c r="EDM113" s="17"/>
      <c r="EDN113" s="17"/>
      <c r="EDO113" s="17"/>
      <c r="EDP113" s="17"/>
      <c r="EDQ113" s="17"/>
      <c r="EDR113" s="17"/>
      <c r="EDS113" s="17"/>
      <c r="EDT113" s="17"/>
      <c r="EDU113" s="17"/>
      <c r="EDV113" s="17"/>
      <c r="EDW113" s="17"/>
      <c r="EDX113" s="17"/>
      <c r="EDY113" s="17"/>
      <c r="EDZ113" s="17"/>
      <c r="EEA113" s="17"/>
      <c r="EEB113" s="17"/>
      <c r="EEC113" s="17"/>
      <c r="EED113" s="17"/>
      <c r="EEE113" s="17"/>
      <c r="EEF113" s="17"/>
      <c r="EEG113" s="17"/>
      <c r="EEH113" s="17"/>
      <c r="EEI113" s="17"/>
      <c r="EEJ113" s="17"/>
      <c r="EEK113" s="17"/>
      <c r="EEL113" s="17"/>
      <c r="EEM113" s="17"/>
      <c r="EEN113" s="17"/>
      <c r="EEO113" s="17"/>
      <c r="EEP113" s="17"/>
      <c r="EEQ113" s="17"/>
      <c r="EER113" s="17"/>
      <c r="EES113" s="17"/>
      <c r="EET113" s="17"/>
      <c r="EEU113" s="17"/>
      <c r="EEV113" s="17"/>
      <c r="EEW113" s="17"/>
      <c r="EEX113" s="17"/>
      <c r="EEY113" s="17"/>
      <c r="EEZ113" s="17"/>
      <c r="EFA113" s="17"/>
      <c r="EFB113" s="17"/>
      <c r="EFC113" s="17"/>
      <c r="EFD113" s="17"/>
      <c r="EFE113" s="17"/>
      <c r="EFF113" s="17"/>
      <c r="EFG113" s="17"/>
      <c r="EFH113" s="17"/>
      <c r="EFI113" s="17"/>
      <c r="EFJ113" s="17"/>
      <c r="EFK113" s="17"/>
      <c r="EFL113" s="17"/>
      <c r="EFM113" s="17"/>
      <c r="EFN113" s="17"/>
      <c r="EFO113" s="17"/>
      <c r="EFP113" s="17"/>
      <c r="EFQ113" s="17"/>
      <c r="EFR113" s="17"/>
      <c r="EFS113" s="17"/>
      <c r="EFT113" s="17"/>
      <c r="EFU113" s="17"/>
      <c r="EFV113" s="17"/>
      <c r="EFW113" s="17"/>
      <c r="EFX113" s="17"/>
      <c r="EFY113" s="17"/>
      <c r="EFZ113" s="17"/>
      <c r="EGA113" s="17"/>
      <c r="EGB113" s="17"/>
      <c r="EGC113" s="17"/>
      <c r="EGD113" s="17"/>
      <c r="EGE113" s="17"/>
      <c r="EGF113" s="17"/>
      <c r="EGG113" s="17"/>
      <c r="EGH113" s="17"/>
      <c r="EGI113" s="17"/>
      <c r="EGJ113" s="17"/>
      <c r="EGK113" s="17"/>
      <c r="EGL113" s="17"/>
      <c r="EGM113" s="17"/>
      <c r="EGN113" s="17"/>
      <c r="EGO113" s="17"/>
      <c r="EGP113" s="17"/>
      <c r="EGQ113" s="17"/>
      <c r="EGR113" s="17"/>
      <c r="EGS113" s="17"/>
      <c r="EGT113" s="17"/>
      <c r="EGU113" s="17"/>
      <c r="EGV113" s="17"/>
      <c r="EGW113" s="17"/>
      <c r="EGX113" s="17"/>
      <c r="EGY113" s="17"/>
      <c r="EGZ113" s="17"/>
      <c r="EHA113" s="17"/>
      <c r="EHB113" s="17"/>
      <c r="EHC113" s="17"/>
      <c r="EHD113" s="17"/>
      <c r="EHE113" s="17"/>
      <c r="EHF113" s="17"/>
      <c r="EHG113" s="17"/>
      <c r="EHH113" s="17"/>
      <c r="EHI113" s="17"/>
      <c r="EHJ113" s="17"/>
      <c r="EHK113" s="17"/>
      <c r="EHL113" s="17"/>
      <c r="EHM113" s="17"/>
      <c r="EHN113" s="17"/>
      <c r="EHO113" s="17"/>
      <c r="EHP113" s="17"/>
      <c r="EHQ113" s="17"/>
      <c r="EHR113" s="17"/>
      <c r="EHS113" s="17"/>
      <c r="EHT113" s="17"/>
      <c r="EHU113" s="17"/>
      <c r="EHV113" s="17"/>
      <c r="EHW113" s="17"/>
      <c r="EHX113" s="17"/>
      <c r="EHY113" s="17"/>
      <c r="EHZ113" s="17"/>
      <c r="EIA113" s="17"/>
      <c r="EIB113" s="17"/>
      <c r="EIC113" s="17"/>
      <c r="EID113" s="17"/>
      <c r="EIE113" s="17"/>
      <c r="EIF113" s="17"/>
      <c r="EIG113" s="17"/>
      <c r="EIH113" s="17"/>
      <c r="EII113" s="17"/>
      <c r="EIJ113" s="17"/>
      <c r="EIK113" s="17"/>
      <c r="EIL113" s="17"/>
      <c r="EIM113" s="17"/>
      <c r="EIN113" s="17"/>
      <c r="EIO113" s="17"/>
      <c r="EIP113" s="17"/>
      <c r="EIQ113" s="17"/>
      <c r="EIR113" s="17"/>
      <c r="EIS113" s="17"/>
      <c r="EIT113" s="17"/>
      <c r="EIU113" s="17"/>
      <c r="EIV113" s="17"/>
      <c r="EIW113" s="17"/>
      <c r="EIX113" s="17"/>
      <c r="EIY113" s="17"/>
      <c r="EIZ113" s="17"/>
      <c r="EJA113" s="17"/>
      <c r="EJB113" s="17"/>
      <c r="EJC113" s="17"/>
      <c r="EJD113" s="17"/>
      <c r="EJE113" s="17"/>
      <c r="EJF113" s="17"/>
      <c r="EJG113" s="17"/>
      <c r="EJH113" s="17"/>
      <c r="EJI113" s="17"/>
      <c r="EJJ113" s="17"/>
      <c r="EJK113" s="17"/>
      <c r="EJL113" s="17"/>
      <c r="EJM113" s="17"/>
      <c r="EJN113" s="17"/>
      <c r="EJO113" s="17"/>
      <c r="EJP113" s="17"/>
      <c r="EJQ113" s="17"/>
      <c r="EJR113" s="17"/>
      <c r="EJS113" s="17"/>
      <c r="EJT113" s="17"/>
      <c r="EJU113" s="17"/>
      <c r="EJV113" s="17"/>
      <c r="EJW113" s="17"/>
      <c r="EJX113" s="17"/>
      <c r="EJY113" s="17"/>
      <c r="EJZ113" s="17"/>
      <c r="EKA113" s="17"/>
      <c r="EKB113" s="17"/>
      <c r="EKC113" s="17"/>
      <c r="EKD113" s="17"/>
      <c r="EKE113" s="17"/>
      <c r="EKF113" s="17"/>
      <c r="EKG113" s="17"/>
      <c r="EKH113" s="17"/>
      <c r="EKI113" s="17"/>
      <c r="EKJ113" s="17"/>
      <c r="EKK113" s="17"/>
      <c r="EKL113" s="17"/>
      <c r="EKM113" s="17"/>
      <c r="EKN113" s="17"/>
      <c r="EKO113" s="17"/>
      <c r="EKP113" s="17"/>
      <c r="EKQ113" s="17"/>
      <c r="EKR113" s="17"/>
      <c r="EKS113" s="17"/>
      <c r="EKT113" s="17"/>
      <c r="EKU113" s="17"/>
      <c r="EKV113" s="17"/>
      <c r="EKW113" s="17"/>
      <c r="EKX113" s="17"/>
      <c r="EKY113" s="17"/>
      <c r="EKZ113" s="17"/>
      <c r="ELA113" s="17"/>
      <c r="ELB113" s="17"/>
      <c r="ELC113" s="17"/>
      <c r="ELD113" s="17"/>
      <c r="ELE113" s="17"/>
      <c r="ELF113" s="17"/>
      <c r="ELG113" s="17"/>
      <c r="ELH113" s="17"/>
      <c r="ELI113" s="17"/>
      <c r="ELJ113" s="17"/>
      <c r="ELK113" s="17"/>
      <c r="ELL113" s="17"/>
      <c r="ELM113" s="17"/>
      <c r="ELN113" s="17"/>
      <c r="ELO113" s="17"/>
      <c r="ELP113" s="17"/>
      <c r="ELQ113" s="17"/>
      <c r="ELR113" s="17"/>
      <c r="ELS113" s="17"/>
      <c r="ELT113" s="17"/>
      <c r="ELU113" s="17"/>
      <c r="ELV113" s="17"/>
      <c r="ELW113" s="17"/>
      <c r="ELX113" s="17"/>
      <c r="ELY113" s="17"/>
      <c r="ELZ113" s="17"/>
      <c r="EMA113" s="17"/>
      <c r="EMB113" s="17"/>
      <c r="EMC113" s="17"/>
      <c r="EMD113" s="17"/>
      <c r="EME113" s="17"/>
      <c r="EMF113" s="17"/>
      <c r="EMG113" s="17"/>
      <c r="EMH113" s="17"/>
      <c r="EMI113" s="17"/>
      <c r="EMJ113" s="17"/>
      <c r="EMK113" s="17"/>
      <c r="EML113" s="17"/>
      <c r="EMM113" s="17"/>
      <c r="EMN113" s="17"/>
      <c r="EMO113" s="17"/>
      <c r="EMP113" s="17"/>
      <c r="EMQ113" s="17"/>
      <c r="EMR113" s="17"/>
      <c r="EMS113" s="17"/>
      <c r="EMT113" s="17"/>
      <c r="EMU113" s="17"/>
      <c r="EMV113" s="17"/>
      <c r="EMW113" s="17"/>
      <c r="EMX113" s="17"/>
      <c r="EMY113" s="17"/>
      <c r="EMZ113" s="17"/>
      <c r="ENA113" s="17"/>
      <c r="ENB113" s="17"/>
      <c r="ENC113" s="17"/>
      <c r="END113" s="17"/>
      <c r="ENE113" s="17"/>
      <c r="ENF113" s="17"/>
      <c r="ENG113" s="17"/>
      <c r="ENH113" s="17"/>
      <c r="ENI113" s="17"/>
      <c r="ENJ113" s="17"/>
      <c r="ENK113" s="17"/>
      <c r="ENL113" s="17"/>
      <c r="ENM113" s="17"/>
      <c r="ENN113" s="17"/>
      <c r="ENO113" s="17"/>
      <c r="ENP113" s="17"/>
      <c r="ENQ113" s="17"/>
      <c r="ENR113" s="17"/>
      <c r="ENS113" s="17"/>
      <c r="ENT113" s="17"/>
      <c r="ENU113" s="17"/>
      <c r="ENV113" s="17"/>
      <c r="ENW113" s="17"/>
      <c r="ENX113" s="17"/>
      <c r="ENY113" s="17"/>
      <c r="ENZ113" s="17"/>
      <c r="EOA113" s="17"/>
      <c r="EOB113" s="17"/>
      <c r="EOC113" s="17"/>
      <c r="EOD113" s="17"/>
      <c r="EOE113" s="17"/>
      <c r="EOF113" s="17"/>
      <c r="EOG113" s="17"/>
      <c r="EOH113" s="17"/>
      <c r="EOI113" s="17"/>
      <c r="EOJ113" s="17"/>
      <c r="EOK113" s="17"/>
      <c r="EOL113" s="17"/>
      <c r="EOM113" s="17"/>
      <c r="EON113" s="17"/>
      <c r="EOO113" s="17"/>
      <c r="EOP113" s="17"/>
      <c r="EOQ113" s="17"/>
      <c r="EOR113" s="17"/>
      <c r="EOS113" s="17"/>
      <c r="EOT113" s="17"/>
      <c r="EOU113" s="17"/>
      <c r="EOV113" s="17"/>
      <c r="EOW113" s="17"/>
      <c r="EOX113" s="17"/>
      <c r="EOY113" s="17"/>
      <c r="EOZ113" s="17"/>
      <c r="EPA113" s="17"/>
      <c r="EPB113" s="17"/>
      <c r="EPC113" s="17"/>
      <c r="EPD113" s="17"/>
      <c r="EPE113" s="17"/>
      <c r="EPF113" s="17"/>
      <c r="EPG113" s="17"/>
      <c r="EPH113" s="17"/>
      <c r="EPI113" s="17"/>
      <c r="EPJ113" s="17"/>
      <c r="EPK113" s="17"/>
      <c r="EPL113" s="17"/>
      <c r="EPM113" s="17"/>
      <c r="EPN113" s="17"/>
      <c r="EPO113" s="17"/>
      <c r="EPP113" s="17"/>
      <c r="EPQ113" s="17"/>
      <c r="EPR113" s="17"/>
      <c r="EPS113" s="17"/>
      <c r="EPT113" s="17"/>
      <c r="EPU113" s="17"/>
      <c r="EPV113" s="17"/>
      <c r="EPW113" s="17"/>
      <c r="EPX113" s="17"/>
      <c r="EPY113" s="17"/>
      <c r="EPZ113" s="17"/>
      <c r="EQA113" s="17"/>
      <c r="EQB113" s="17"/>
      <c r="EQC113" s="17"/>
      <c r="EQD113" s="17"/>
      <c r="EQE113" s="17"/>
      <c r="EQF113" s="17"/>
      <c r="EQG113" s="17"/>
      <c r="EQH113" s="17"/>
      <c r="EQI113" s="17"/>
      <c r="EQJ113" s="17"/>
      <c r="EQK113" s="17"/>
      <c r="EQL113" s="17"/>
      <c r="EQM113" s="17"/>
      <c r="EQN113" s="17"/>
      <c r="EQO113" s="17"/>
      <c r="EQP113" s="17"/>
      <c r="EQQ113" s="17"/>
      <c r="EQR113" s="17"/>
      <c r="EQS113" s="17"/>
      <c r="EQT113" s="17"/>
      <c r="EQU113" s="17"/>
      <c r="EQV113" s="17"/>
      <c r="EQW113" s="17"/>
      <c r="EQX113" s="17"/>
      <c r="EQY113" s="17"/>
      <c r="EQZ113" s="17"/>
      <c r="ERA113" s="17"/>
      <c r="ERB113" s="17"/>
      <c r="ERC113" s="17"/>
      <c r="ERD113" s="17"/>
      <c r="ERE113" s="17"/>
      <c r="ERF113" s="17"/>
      <c r="ERG113" s="17"/>
      <c r="ERH113" s="17"/>
      <c r="ERI113" s="17"/>
      <c r="ERJ113" s="17"/>
      <c r="ERK113" s="17"/>
      <c r="ERL113" s="17"/>
      <c r="ERM113" s="17"/>
      <c r="ERN113" s="17"/>
      <c r="ERO113" s="17"/>
      <c r="ERP113" s="17"/>
      <c r="ERQ113" s="17"/>
      <c r="ERR113" s="17"/>
      <c r="ERS113" s="17"/>
      <c r="ERT113" s="17"/>
      <c r="ERU113" s="17"/>
      <c r="ERV113" s="17"/>
      <c r="ERW113" s="17"/>
      <c r="ERX113" s="17"/>
      <c r="ERY113" s="17"/>
      <c r="ERZ113" s="17"/>
      <c r="ESA113" s="17"/>
      <c r="ESB113" s="17"/>
      <c r="ESC113" s="17"/>
      <c r="ESD113" s="17"/>
      <c r="ESE113" s="17"/>
      <c r="ESF113" s="17"/>
      <c r="ESG113" s="17"/>
      <c r="ESH113" s="17"/>
      <c r="ESI113" s="17"/>
      <c r="ESJ113" s="17"/>
      <c r="ESK113" s="17"/>
      <c r="ESL113" s="17"/>
      <c r="ESM113" s="17"/>
      <c r="ESN113" s="17"/>
      <c r="ESO113" s="17"/>
      <c r="ESP113" s="17"/>
      <c r="ESQ113" s="17"/>
      <c r="ESR113" s="17"/>
      <c r="ESS113" s="17"/>
      <c r="EST113" s="17"/>
      <c r="ESU113" s="17"/>
      <c r="ESV113" s="17"/>
      <c r="ESW113" s="17"/>
      <c r="ESX113" s="17"/>
      <c r="ESY113" s="17"/>
      <c r="ESZ113" s="17"/>
      <c r="ETA113" s="17"/>
      <c r="ETB113" s="17"/>
      <c r="ETC113" s="17"/>
      <c r="ETD113" s="17"/>
      <c r="ETE113" s="17"/>
      <c r="ETF113" s="17"/>
      <c r="ETG113" s="17"/>
      <c r="ETH113" s="17"/>
      <c r="ETI113" s="17"/>
      <c r="ETJ113" s="17"/>
      <c r="ETK113" s="17"/>
      <c r="ETL113" s="17"/>
      <c r="ETM113" s="17"/>
      <c r="ETN113" s="17"/>
      <c r="ETO113" s="17"/>
      <c r="ETP113" s="17"/>
      <c r="ETQ113" s="17"/>
      <c r="ETR113" s="17"/>
      <c r="ETS113" s="17"/>
      <c r="ETT113" s="17"/>
      <c r="ETU113" s="17"/>
      <c r="ETV113" s="17"/>
      <c r="ETW113" s="17"/>
      <c r="ETX113" s="17"/>
      <c r="ETY113" s="17"/>
      <c r="ETZ113" s="17"/>
      <c r="EUA113" s="17"/>
      <c r="EUB113" s="17"/>
      <c r="EUC113" s="17"/>
      <c r="EUD113" s="17"/>
      <c r="EUE113" s="17"/>
      <c r="EUF113" s="17"/>
      <c r="EUG113" s="17"/>
      <c r="EUH113" s="17"/>
      <c r="EUI113" s="17"/>
      <c r="EUJ113" s="17"/>
      <c r="EUK113" s="17"/>
      <c r="EUL113" s="17"/>
      <c r="EUM113" s="17"/>
      <c r="EUN113" s="17"/>
      <c r="EUO113" s="17"/>
      <c r="EUP113" s="17"/>
      <c r="EUQ113" s="17"/>
      <c r="EUR113" s="17"/>
      <c r="EUS113" s="17"/>
      <c r="EUT113" s="17"/>
      <c r="EUU113" s="17"/>
      <c r="EUV113" s="17"/>
      <c r="EUW113" s="17"/>
      <c r="EUX113" s="17"/>
      <c r="EUY113" s="17"/>
      <c r="EUZ113" s="17"/>
      <c r="EVA113" s="17"/>
      <c r="EVB113" s="17"/>
      <c r="EVC113" s="17"/>
      <c r="EVD113" s="17"/>
      <c r="EVE113" s="17"/>
      <c r="EVF113" s="17"/>
      <c r="EVG113" s="17"/>
      <c r="EVH113" s="17"/>
      <c r="EVI113" s="17"/>
      <c r="EVJ113" s="17"/>
      <c r="EVK113" s="17"/>
      <c r="EVL113" s="17"/>
      <c r="EVM113" s="17"/>
      <c r="EVN113" s="17"/>
      <c r="EVO113" s="17"/>
      <c r="EVP113" s="17"/>
      <c r="EVQ113" s="17"/>
      <c r="EVR113" s="17"/>
      <c r="EVS113" s="17"/>
      <c r="EVT113" s="17"/>
      <c r="EVU113" s="17"/>
      <c r="EVV113" s="17"/>
      <c r="EVW113" s="17"/>
      <c r="EVX113" s="17"/>
      <c r="EVY113" s="17"/>
      <c r="EVZ113" s="17"/>
      <c r="EWA113" s="17"/>
      <c r="EWB113" s="17"/>
      <c r="EWC113" s="17"/>
      <c r="EWD113" s="17"/>
      <c r="EWE113" s="17"/>
      <c r="EWF113" s="17"/>
      <c r="EWG113" s="17"/>
      <c r="EWH113" s="17"/>
      <c r="EWI113" s="17"/>
      <c r="EWJ113" s="17"/>
      <c r="EWK113" s="17"/>
      <c r="EWL113" s="17"/>
      <c r="EWM113" s="17"/>
      <c r="EWN113" s="17"/>
      <c r="EWO113" s="17"/>
      <c r="EWP113" s="17"/>
      <c r="EWQ113" s="17"/>
      <c r="EWR113" s="17"/>
      <c r="EWS113" s="17"/>
      <c r="EWT113" s="17"/>
      <c r="EWU113" s="17"/>
      <c r="EWV113" s="17"/>
      <c r="EWW113" s="17"/>
      <c r="EWX113" s="17"/>
      <c r="EWY113" s="17"/>
      <c r="EWZ113" s="17"/>
      <c r="EXA113" s="17"/>
      <c r="EXB113" s="17"/>
      <c r="EXC113" s="17"/>
      <c r="EXD113" s="17"/>
      <c r="EXE113" s="17"/>
      <c r="EXF113" s="17"/>
      <c r="EXG113" s="17"/>
      <c r="EXH113" s="17"/>
      <c r="EXI113" s="17"/>
      <c r="EXJ113" s="17"/>
      <c r="EXK113" s="17"/>
      <c r="EXL113" s="17"/>
      <c r="EXM113" s="17"/>
      <c r="EXN113" s="17"/>
      <c r="EXO113" s="17"/>
      <c r="EXP113" s="17"/>
      <c r="EXQ113" s="17"/>
      <c r="EXR113" s="17"/>
      <c r="EXS113" s="17"/>
      <c r="EXT113" s="17"/>
      <c r="EXU113" s="17"/>
      <c r="EXV113" s="17"/>
      <c r="EXW113" s="17"/>
      <c r="EXX113" s="17"/>
      <c r="EXY113" s="17"/>
      <c r="EXZ113" s="17"/>
      <c r="EYA113" s="17"/>
      <c r="EYB113" s="17"/>
      <c r="EYC113" s="17"/>
      <c r="EYD113" s="17"/>
      <c r="EYE113" s="17"/>
      <c r="EYF113" s="17"/>
      <c r="EYG113" s="17"/>
      <c r="EYH113" s="17"/>
      <c r="EYI113" s="17"/>
      <c r="EYJ113" s="17"/>
      <c r="EYK113" s="17"/>
      <c r="EYL113" s="17"/>
      <c r="EYM113" s="17"/>
      <c r="EYN113" s="17"/>
      <c r="EYO113" s="17"/>
      <c r="EYP113" s="17"/>
      <c r="EYQ113" s="17"/>
      <c r="EYR113" s="17"/>
      <c r="EYS113" s="17"/>
      <c r="EYT113" s="17"/>
      <c r="EYU113" s="17"/>
      <c r="EYV113" s="17"/>
      <c r="EYW113" s="17"/>
      <c r="EYX113" s="17"/>
      <c r="EYY113" s="17"/>
      <c r="EYZ113" s="17"/>
      <c r="EZA113" s="17"/>
      <c r="EZB113" s="17"/>
      <c r="EZC113" s="17"/>
      <c r="EZD113" s="17"/>
      <c r="EZE113" s="17"/>
      <c r="EZF113" s="17"/>
      <c r="EZG113" s="17"/>
      <c r="EZH113" s="17"/>
      <c r="EZI113" s="17"/>
      <c r="EZJ113" s="17"/>
      <c r="EZK113" s="17"/>
      <c r="EZL113" s="17"/>
      <c r="EZM113" s="17"/>
      <c r="EZN113" s="17"/>
      <c r="EZO113" s="17"/>
      <c r="EZP113" s="17"/>
      <c r="EZQ113" s="17"/>
      <c r="EZR113" s="17"/>
      <c r="EZS113" s="17"/>
      <c r="EZT113" s="17"/>
      <c r="EZU113" s="17"/>
      <c r="EZV113" s="17"/>
      <c r="EZW113" s="17"/>
      <c r="EZX113" s="17"/>
      <c r="EZY113" s="17"/>
      <c r="EZZ113" s="17"/>
      <c r="FAA113" s="17"/>
      <c r="FAB113" s="17"/>
      <c r="FAC113" s="17"/>
      <c r="FAD113" s="17"/>
      <c r="FAE113" s="17"/>
      <c r="FAF113" s="17"/>
      <c r="FAG113" s="17"/>
      <c r="FAH113" s="17"/>
      <c r="FAI113" s="17"/>
      <c r="FAJ113" s="17"/>
      <c r="FAK113" s="17"/>
      <c r="FAL113" s="17"/>
      <c r="FAM113" s="17"/>
      <c r="FAN113" s="17"/>
      <c r="FAO113" s="17"/>
      <c r="FAP113" s="17"/>
      <c r="FAQ113" s="17"/>
      <c r="FAR113" s="17"/>
      <c r="FAS113" s="17"/>
      <c r="FAT113" s="17"/>
      <c r="FAU113" s="17"/>
      <c r="FAV113" s="17"/>
      <c r="FAW113" s="17"/>
      <c r="FAX113" s="17"/>
      <c r="FAY113" s="17"/>
      <c r="FAZ113" s="17"/>
      <c r="FBA113" s="17"/>
      <c r="FBB113" s="17"/>
      <c r="FBC113" s="17"/>
      <c r="FBD113" s="17"/>
      <c r="FBE113" s="17"/>
      <c r="FBF113" s="17"/>
      <c r="FBG113" s="17"/>
      <c r="FBH113" s="17"/>
      <c r="FBI113" s="17"/>
      <c r="FBJ113" s="17"/>
      <c r="FBK113" s="17"/>
      <c r="FBL113" s="17"/>
      <c r="FBM113" s="17"/>
      <c r="FBN113" s="17"/>
      <c r="FBO113" s="17"/>
      <c r="FBP113" s="17"/>
      <c r="FBQ113" s="17"/>
      <c r="FBR113" s="17"/>
      <c r="FBS113" s="17"/>
      <c r="FBT113" s="17"/>
      <c r="FBU113" s="17"/>
      <c r="FBV113" s="17"/>
      <c r="FBW113" s="17"/>
      <c r="FBX113" s="17"/>
      <c r="FBY113" s="17"/>
      <c r="FBZ113" s="17"/>
      <c r="FCA113" s="17"/>
      <c r="FCB113" s="17"/>
      <c r="FCC113" s="17"/>
      <c r="FCD113" s="17"/>
      <c r="FCE113" s="17"/>
      <c r="FCF113" s="17"/>
      <c r="FCG113" s="17"/>
      <c r="FCH113" s="17"/>
      <c r="FCI113" s="17"/>
      <c r="FCJ113" s="17"/>
      <c r="FCK113" s="17"/>
      <c r="FCL113" s="17"/>
      <c r="FCM113" s="17"/>
      <c r="FCN113" s="17"/>
      <c r="FCO113" s="17"/>
      <c r="FCP113" s="17"/>
      <c r="FCQ113" s="17"/>
      <c r="FCR113" s="17"/>
      <c r="FCS113" s="17"/>
      <c r="FCT113" s="17"/>
      <c r="FCU113" s="17"/>
      <c r="FCV113" s="17"/>
      <c r="FCW113" s="17"/>
      <c r="FCX113" s="17"/>
      <c r="FCY113" s="17"/>
      <c r="FCZ113" s="17"/>
      <c r="FDA113" s="17"/>
      <c r="FDB113" s="17"/>
      <c r="FDC113" s="17"/>
      <c r="FDD113" s="17"/>
      <c r="FDE113" s="17"/>
      <c r="FDF113" s="17"/>
      <c r="FDG113" s="17"/>
      <c r="FDH113" s="17"/>
      <c r="FDI113" s="17"/>
      <c r="FDJ113" s="17"/>
      <c r="FDK113" s="17"/>
      <c r="FDL113" s="17"/>
      <c r="FDM113" s="17"/>
      <c r="FDN113" s="17"/>
      <c r="FDO113" s="17"/>
      <c r="FDP113" s="17"/>
      <c r="FDQ113" s="17"/>
      <c r="FDR113" s="17"/>
      <c r="FDS113" s="17"/>
      <c r="FDT113" s="17"/>
      <c r="FDU113" s="17"/>
      <c r="FDV113" s="17"/>
      <c r="FDW113" s="17"/>
      <c r="FDX113" s="17"/>
      <c r="FDY113" s="17"/>
      <c r="FDZ113" s="17"/>
      <c r="FEA113" s="17"/>
      <c r="FEB113" s="17"/>
      <c r="FEC113" s="17"/>
      <c r="FED113" s="17"/>
      <c r="FEE113" s="17"/>
      <c r="FEF113" s="17"/>
      <c r="FEG113" s="17"/>
      <c r="FEH113" s="17"/>
      <c r="FEI113" s="17"/>
      <c r="FEJ113" s="17"/>
      <c r="FEK113" s="17"/>
      <c r="FEL113" s="17"/>
      <c r="FEM113" s="17"/>
      <c r="FEN113" s="17"/>
      <c r="FEO113" s="17"/>
      <c r="FEP113" s="17"/>
      <c r="FEQ113" s="17"/>
      <c r="FER113" s="17"/>
      <c r="FES113" s="17"/>
      <c r="FET113" s="17"/>
      <c r="FEU113" s="17"/>
      <c r="FEV113" s="17"/>
      <c r="FEW113" s="17"/>
      <c r="FEX113" s="17"/>
      <c r="FEY113" s="17"/>
      <c r="FEZ113" s="17"/>
      <c r="FFA113" s="17"/>
      <c r="FFB113" s="17"/>
      <c r="FFC113" s="17"/>
      <c r="FFD113" s="17"/>
      <c r="FFE113" s="17"/>
      <c r="FFF113" s="17"/>
      <c r="FFG113" s="17"/>
      <c r="FFH113" s="17"/>
      <c r="FFI113" s="17"/>
      <c r="FFJ113" s="17"/>
      <c r="FFK113" s="17"/>
      <c r="FFL113" s="17"/>
      <c r="FFM113" s="17"/>
      <c r="FFN113" s="17"/>
      <c r="FFO113" s="17"/>
      <c r="FFP113" s="17"/>
      <c r="FFQ113" s="17"/>
      <c r="FFR113" s="17"/>
      <c r="FFS113" s="17"/>
      <c r="FFT113" s="17"/>
      <c r="FFU113" s="17"/>
      <c r="FFV113" s="17"/>
      <c r="FFW113" s="17"/>
      <c r="FFX113" s="17"/>
      <c r="FFY113" s="17"/>
      <c r="FFZ113" s="17"/>
      <c r="FGA113" s="17"/>
      <c r="FGB113" s="17"/>
      <c r="FGC113" s="17"/>
      <c r="FGD113" s="17"/>
      <c r="FGE113" s="17"/>
      <c r="FGF113" s="17"/>
      <c r="FGG113" s="17"/>
      <c r="FGH113" s="17"/>
      <c r="FGI113" s="17"/>
      <c r="FGJ113" s="17"/>
      <c r="FGK113" s="17"/>
      <c r="FGL113" s="17"/>
      <c r="FGM113" s="17"/>
      <c r="FGN113" s="17"/>
      <c r="FGO113" s="17"/>
      <c r="FGP113" s="17"/>
      <c r="FGQ113" s="17"/>
      <c r="FGR113" s="17"/>
      <c r="FGS113" s="17"/>
      <c r="FGT113" s="17"/>
      <c r="FGU113" s="17"/>
      <c r="FGV113" s="17"/>
      <c r="FGW113" s="17"/>
      <c r="FGX113" s="17"/>
      <c r="FGY113" s="17"/>
      <c r="FGZ113" s="17"/>
      <c r="FHA113" s="17"/>
      <c r="FHB113" s="17"/>
      <c r="FHC113" s="17"/>
      <c r="FHD113" s="17"/>
      <c r="FHE113" s="17"/>
      <c r="FHF113" s="17"/>
      <c r="FHG113" s="17"/>
      <c r="FHH113" s="17"/>
      <c r="FHI113" s="17"/>
      <c r="FHJ113" s="17"/>
      <c r="FHK113" s="17"/>
      <c r="FHL113" s="17"/>
      <c r="FHM113" s="17"/>
      <c r="FHN113" s="17"/>
      <c r="FHO113" s="17"/>
      <c r="FHP113" s="17"/>
      <c r="FHQ113" s="17"/>
      <c r="FHR113" s="17"/>
      <c r="FHS113" s="17"/>
      <c r="FHT113" s="17"/>
      <c r="FHU113" s="17"/>
      <c r="FHV113" s="17"/>
      <c r="FHW113" s="17"/>
      <c r="FHX113" s="17"/>
      <c r="FHY113" s="17"/>
      <c r="FHZ113" s="17"/>
      <c r="FIA113" s="17"/>
      <c r="FIB113" s="17"/>
      <c r="FIC113" s="17"/>
      <c r="FID113" s="17"/>
      <c r="FIE113" s="17"/>
      <c r="FIF113" s="17"/>
      <c r="FIG113" s="17"/>
      <c r="FIH113" s="17"/>
      <c r="FII113" s="17"/>
      <c r="FIJ113" s="17"/>
      <c r="FIK113" s="17"/>
      <c r="FIL113" s="17"/>
      <c r="FIM113" s="17"/>
      <c r="FIN113" s="17"/>
      <c r="FIO113" s="17"/>
      <c r="FIP113" s="17"/>
      <c r="FIQ113" s="17"/>
      <c r="FIR113" s="17"/>
      <c r="FIS113" s="17"/>
      <c r="FIT113" s="17"/>
      <c r="FIU113" s="17"/>
      <c r="FIV113" s="17"/>
      <c r="FIW113" s="17"/>
      <c r="FIX113" s="17"/>
      <c r="FIY113" s="17"/>
      <c r="FIZ113" s="17"/>
      <c r="FJA113" s="17"/>
      <c r="FJB113" s="17"/>
      <c r="FJC113" s="17"/>
      <c r="FJD113" s="17"/>
      <c r="FJE113" s="17"/>
      <c r="FJF113" s="17"/>
      <c r="FJG113" s="17"/>
      <c r="FJH113" s="17"/>
      <c r="FJI113" s="17"/>
      <c r="FJJ113" s="17"/>
      <c r="FJK113" s="17"/>
      <c r="FJL113" s="17"/>
      <c r="FJM113" s="17"/>
      <c r="FJN113" s="17"/>
      <c r="FJO113" s="17"/>
      <c r="FJP113" s="17"/>
      <c r="FJQ113" s="17"/>
      <c r="FJR113" s="17"/>
      <c r="FJS113" s="17"/>
      <c r="FJT113" s="17"/>
      <c r="FJU113" s="17"/>
      <c r="FJV113" s="17"/>
      <c r="FJW113" s="17"/>
      <c r="FJX113" s="17"/>
      <c r="FJY113" s="17"/>
      <c r="FJZ113" s="17"/>
      <c r="FKA113" s="17"/>
      <c r="FKB113" s="17"/>
      <c r="FKC113" s="17"/>
      <c r="FKD113" s="17"/>
      <c r="FKE113" s="17"/>
      <c r="FKF113" s="17"/>
      <c r="FKG113" s="17"/>
      <c r="FKH113" s="17"/>
      <c r="FKI113" s="17"/>
      <c r="FKJ113" s="17"/>
      <c r="FKK113" s="17"/>
      <c r="FKL113" s="17"/>
      <c r="FKM113" s="17"/>
      <c r="FKN113" s="17"/>
      <c r="FKO113" s="17"/>
      <c r="FKP113" s="17"/>
      <c r="FKQ113" s="17"/>
      <c r="FKR113" s="17"/>
      <c r="FKS113" s="17"/>
      <c r="FKT113" s="17"/>
      <c r="FKU113" s="17"/>
      <c r="FKV113" s="17"/>
      <c r="FKW113" s="17"/>
      <c r="FKX113" s="17"/>
      <c r="FKY113" s="17"/>
      <c r="FKZ113" s="17"/>
      <c r="FLA113" s="17"/>
      <c r="FLB113" s="17"/>
      <c r="FLC113" s="17"/>
      <c r="FLD113" s="17"/>
      <c r="FLE113" s="17"/>
      <c r="FLF113" s="17"/>
      <c r="FLG113" s="17"/>
      <c r="FLH113" s="17"/>
      <c r="FLI113" s="17"/>
      <c r="FLJ113" s="17"/>
      <c r="FLK113" s="17"/>
      <c r="FLL113" s="17"/>
      <c r="FLM113" s="17"/>
      <c r="FLN113" s="17"/>
      <c r="FLO113" s="17"/>
      <c r="FLP113" s="17"/>
      <c r="FLQ113" s="17"/>
      <c r="FLR113" s="17"/>
      <c r="FLS113" s="17"/>
      <c r="FLT113" s="17"/>
      <c r="FLU113" s="17"/>
      <c r="FLV113" s="17"/>
      <c r="FLW113" s="17"/>
      <c r="FLX113" s="17"/>
      <c r="FLY113" s="17"/>
      <c r="FLZ113" s="17"/>
      <c r="FMA113" s="17"/>
      <c r="FMB113" s="17"/>
      <c r="FMC113" s="17"/>
      <c r="FMD113" s="17"/>
      <c r="FME113" s="17"/>
      <c r="FMF113" s="17"/>
      <c r="FMG113" s="17"/>
      <c r="FMH113" s="17"/>
      <c r="FMI113" s="17"/>
      <c r="FMJ113" s="17"/>
      <c r="FMK113" s="17"/>
      <c r="FML113" s="17"/>
      <c r="FMM113" s="17"/>
      <c r="FMN113" s="17"/>
      <c r="FMO113" s="17"/>
      <c r="FMP113" s="17"/>
      <c r="FMQ113" s="17"/>
      <c r="FMR113" s="17"/>
      <c r="FMS113" s="17"/>
      <c r="FMT113" s="17"/>
      <c r="FMU113" s="17"/>
      <c r="FMV113" s="17"/>
      <c r="FMW113" s="17"/>
      <c r="FMX113" s="17"/>
      <c r="FMY113" s="17"/>
      <c r="FMZ113" s="17"/>
      <c r="FNA113" s="17"/>
      <c r="FNB113" s="17"/>
      <c r="FNC113" s="17"/>
      <c r="FND113" s="17"/>
      <c r="FNE113" s="17"/>
      <c r="FNF113" s="17"/>
      <c r="FNG113" s="17"/>
      <c r="FNH113" s="17"/>
      <c r="FNI113" s="17"/>
      <c r="FNJ113" s="17"/>
      <c r="FNK113" s="17"/>
      <c r="FNL113" s="17"/>
      <c r="FNM113" s="17"/>
      <c r="FNN113" s="17"/>
      <c r="FNO113" s="17"/>
      <c r="FNP113" s="17"/>
      <c r="FNQ113" s="17"/>
      <c r="FNR113" s="17"/>
      <c r="FNS113" s="17"/>
      <c r="FNT113" s="17"/>
      <c r="FNU113" s="17"/>
      <c r="FNV113" s="17"/>
      <c r="FNW113" s="17"/>
      <c r="FNX113" s="17"/>
      <c r="FNY113" s="17"/>
      <c r="FNZ113" s="17"/>
      <c r="FOA113" s="17"/>
      <c r="FOB113" s="17"/>
      <c r="FOC113" s="17"/>
      <c r="FOD113" s="17"/>
      <c r="FOE113" s="17"/>
      <c r="FOF113" s="17"/>
      <c r="FOG113" s="17"/>
      <c r="FOH113" s="17"/>
      <c r="FOI113" s="17"/>
      <c r="FOJ113" s="17"/>
      <c r="FOK113" s="17"/>
      <c r="FOL113" s="17"/>
      <c r="FOM113" s="17"/>
      <c r="FON113" s="17"/>
      <c r="FOO113" s="17"/>
      <c r="FOP113" s="17"/>
      <c r="FOQ113" s="17"/>
      <c r="FOR113" s="17"/>
      <c r="FOS113" s="17"/>
      <c r="FOT113" s="17"/>
      <c r="FOU113" s="17"/>
      <c r="FOV113" s="17"/>
      <c r="FOW113" s="17"/>
      <c r="FOX113" s="17"/>
      <c r="FOY113" s="17"/>
      <c r="FOZ113" s="17"/>
      <c r="FPA113" s="17"/>
      <c r="FPB113" s="17"/>
      <c r="FPC113" s="17"/>
      <c r="FPD113" s="17"/>
      <c r="FPE113" s="17"/>
      <c r="FPF113" s="17"/>
      <c r="FPG113" s="17"/>
      <c r="FPH113" s="17"/>
      <c r="FPI113" s="17"/>
      <c r="FPJ113" s="17"/>
      <c r="FPK113" s="17"/>
      <c r="FPL113" s="17"/>
      <c r="FPM113" s="17"/>
      <c r="FPN113" s="17"/>
      <c r="FPO113" s="17"/>
      <c r="FPP113" s="17"/>
      <c r="FPQ113" s="17"/>
      <c r="FPR113" s="17"/>
      <c r="FPS113" s="17"/>
      <c r="FPT113" s="17"/>
      <c r="FPU113" s="17"/>
      <c r="FPV113" s="17"/>
      <c r="FPW113" s="17"/>
      <c r="FPX113" s="17"/>
      <c r="FPY113" s="17"/>
      <c r="FPZ113" s="17"/>
      <c r="FQA113" s="17"/>
      <c r="FQB113" s="17"/>
      <c r="FQC113" s="17"/>
      <c r="FQD113" s="17"/>
      <c r="FQE113" s="17"/>
      <c r="FQF113" s="17"/>
      <c r="FQG113" s="17"/>
      <c r="FQH113" s="17"/>
      <c r="FQI113" s="17"/>
      <c r="FQJ113" s="17"/>
      <c r="FQK113" s="17"/>
      <c r="FQL113" s="17"/>
      <c r="FQM113" s="17"/>
      <c r="FQN113" s="17"/>
      <c r="FQO113" s="17"/>
      <c r="FQP113" s="17"/>
      <c r="FQQ113" s="17"/>
      <c r="FQR113" s="17"/>
      <c r="FQS113" s="17"/>
      <c r="FQT113" s="17"/>
      <c r="FQU113" s="17"/>
      <c r="FQV113" s="17"/>
      <c r="FQW113" s="17"/>
      <c r="FQX113" s="17"/>
      <c r="FQY113" s="17"/>
      <c r="FQZ113" s="17"/>
      <c r="FRA113" s="17"/>
      <c r="FRB113" s="17"/>
      <c r="FRC113" s="17"/>
      <c r="FRD113" s="17"/>
      <c r="FRE113" s="17"/>
      <c r="FRF113" s="17"/>
      <c r="FRG113" s="17"/>
      <c r="FRH113" s="17"/>
      <c r="FRI113" s="17"/>
      <c r="FRJ113" s="17"/>
      <c r="FRK113" s="17"/>
      <c r="FRL113" s="17"/>
      <c r="FRM113" s="17"/>
      <c r="FRN113" s="17"/>
      <c r="FRO113" s="17"/>
      <c r="FRP113" s="17"/>
      <c r="FRQ113" s="17"/>
      <c r="FRR113" s="17"/>
      <c r="FRS113" s="17"/>
      <c r="FRT113" s="17"/>
      <c r="FRU113" s="17"/>
      <c r="FRV113" s="17"/>
      <c r="FRW113" s="17"/>
      <c r="FRX113" s="17"/>
      <c r="FRY113" s="17"/>
      <c r="FRZ113" s="17"/>
      <c r="FSA113" s="17"/>
      <c r="FSB113" s="17"/>
      <c r="FSC113" s="17"/>
      <c r="FSD113" s="17"/>
      <c r="FSE113" s="17"/>
      <c r="FSF113" s="17"/>
      <c r="FSG113" s="17"/>
      <c r="FSH113" s="17"/>
      <c r="FSI113" s="17"/>
      <c r="FSJ113" s="17"/>
      <c r="FSK113" s="17"/>
      <c r="FSL113" s="17"/>
      <c r="FSM113" s="17"/>
      <c r="FSN113" s="17"/>
      <c r="FSO113" s="17"/>
      <c r="FSP113" s="17"/>
      <c r="FSQ113" s="17"/>
      <c r="FSR113" s="17"/>
      <c r="FSS113" s="17"/>
      <c r="FST113" s="17"/>
      <c r="FSU113" s="17"/>
      <c r="FSV113" s="17"/>
      <c r="FSW113" s="17"/>
      <c r="FSX113" s="17"/>
      <c r="FSY113" s="17"/>
      <c r="FSZ113" s="17"/>
      <c r="FTA113" s="17"/>
      <c r="FTB113" s="17"/>
      <c r="FTC113" s="17"/>
      <c r="FTD113" s="17"/>
      <c r="FTE113" s="17"/>
      <c r="FTF113" s="17"/>
      <c r="FTG113" s="17"/>
      <c r="FTH113" s="17"/>
      <c r="FTI113" s="17"/>
      <c r="FTJ113" s="17"/>
      <c r="FTK113" s="17"/>
      <c r="FTL113" s="17"/>
      <c r="FTM113" s="17"/>
      <c r="FTN113" s="17"/>
      <c r="FTO113" s="17"/>
      <c r="FTP113" s="17"/>
      <c r="FTQ113" s="17"/>
      <c r="FTR113" s="17"/>
      <c r="FTS113" s="17"/>
      <c r="FTT113" s="17"/>
      <c r="FTU113" s="17"/>
      <c r="FTV113" s="17"/>
      <c r="FTW113" s="17"/>
      <c r="FTX113" s="17"/>
      <c r="FTY113" s="17"/>
      <c r="FTZ113" s="17"/>
      <c r="FUA113" s="17"/>
      <c r="FUB113" s="17"/>
      <c r="FUC113" s="17"/>
      <c r="FUD113" s="17"/>
      <c r="FUE113" s="17"/>
      <c r="FUF113" s="17"/>
      <c r="FUG113" s="17"/>
      <c r="FUH113" s="17"/>
      <c r="FUI113" s="17"/>
      <c r="FUJ113" s="17"/>
      <c r="FUK113" s="17"/>
      <c r="FUL113" s="17"/>
      <c r="FUM113" s="17"/>
      <c r="FUN113" s="17"/>
      <c r="FUO113" s="17"/>
      <c r="FUP113" s="17"/>
      <c r="FUQ113" s="17"/>
      <c r="FUR113" s="17"/>
      <c r="FUS113" s="17"/>
      <c r="FUT113" s="17"/>
      <c r="FUU113" s="17"/>
      <c r="FUV113" s="17"/>
      <c r="FUW113" s="17"/>
      <c r="FUX113" s="17"/>
      <c r="FUY113" s="17"/>
      <c r="FUZ113" s="17"/>
      <c r="FVA113" s="17"/>
      <c r="FVB113" s="17"/>
      <c r="FVC113" s="17"/>
      <c r="FVD113" s="17"/>
      <c r="FVE113" s="17"/>
      <c r="FVF113" s="17"/>
      <c r="FVG113" s="17"/>
      <c r="FVH113" s="17"/>
      <c r="FVI113" s="17"/>
      <c r="FVJ113" s="17"/>
      <c r="FVK113" s="17"/>
      <c r="FVL113" s="17"/>
      <c r="FVM113" s="17"/>
      <c r="FVN113" s="17"/>
      <c r="FVO113" s="17"/>
      <c r="FVP113" s="17"/>
      <c r="FVQ113" s="17"/>
      <c r="FVR113" s="17"/>
      <c r="FVS113" s="17"/>
      <c r="FVT113" s="17"/>
      <c r="FVU113" s="17"/>
      <c r="FVV113" s="17"/>
      <c r="FVW113" s="17"/>
      <c r="FVX113" s="17"/>
      <c r="FVY113" s="17"/>
      <c r="FVZ113" s="17"/>
      <c r="FWA113" s="17"/>
      <c r="FWB113" s="17"/>
      <c r="FWC113" s="17"/>
      <c r="FWD113" s="17"/>
      <c r="FWE113" s="17"/>
      <c r="FWF113" s="17"/>
      <c r="FWG113" s="17"/>
      <c r="FWH113" s="17"/>
      <c r="FWI113" s="17"/>
      <c r="FWJ113" s="17"/>
      <c r="FWK113" s="17"/>
      <c r="FWL113" s="17"/>
      <c r="FWM113" s="17"/>
      <c r="FWN113" s="17"/>
      <c r="FWO113" s="17"/>
      <c r="FWP113" s="17"/>
      <c r="FWQ113" s="17"/>
      <c r="FWR113" s="17"/>
      <c r="FWS113" s="17"/>
      <c r="FWT113" s="17"/>
      <c r="FWU113" s="17"/>
      <c r="FWV113" s="17"/>
      <c r="FWW113" s="17"/>
      <c r="FWX113" s="17"/>
      <c r="FWY113" s="17"/>
      <c r="FWZ113" s="17"/>
      <c r="FXA113" s="17"/>
      <c r="FXB113" s="17"/>
      <c r="FXC113" s="17"/>
      <c r="FXD113" s="17"/>
      <c r="FXE113" s="17"/>
      <c r="FXF113" s="17"/>
      <c r="FXG113" s="17"/>
      <c r="FXH113" s="17"/>
      <c r="FXI113" s="17"/>
      <c r="FXJ113" s="17"/>
      <c r="FXK113" s="17"/>
      <c r="FXL113" s="17"/>
      <c r="FXM113" s="17"/>
      <c r="FXN113" s="17"/>
      <c r="FXO113" s="17"/>
      <c r="FXP113" s="17"/>
      <c r="FXQ113" s="17"/>
      <c r="FXR113" s="17"/>
      <c r="FXS113" s="17"/>
      <c r="FXT113" s="17"/>
      <c r="FXU113" s="17"/>
      <c r="FXV113" s="17"/>
      <c r="FXW113" s="17"/>
      <c r="FXX113" s="17"/>
      <c r="FXY113" s="17"/>
      <c r="FXZ113" s="17"/>
      <c r="FYA113" s="17"/>
      <c r="FYB113" s="17"/>
      <c r="FYC113" s="17"/>
      <c r="FYD113" s="17"/>
      <c r="FYE113" s="17"/>
      <c r="FYF113" s="17"/>
      <c r="FYG113" s="17"/>
      <c r="FYH113" s="17"/>
      <c r="FYI113" s="17"/>
      <c r="FYJ113" s="17"/>
      <c r="FYK113" s="17"/>
      <c r="FYL113" s="17"/>
      <c r="FYM113" s="17"/>
      <c r="FYN113" s="17"/>
      <c r="FYO113" s="17"/>
      <c r="FYP113" s="17"/>
      <c r="FYQ113" s="17"/>
      <c r="FYR113" s="17"/>
      <c r="FYS113" s="17"/>
      <c r="FYT113" s="17"/>
      <c r="FYU113" s="17"/>
      <c r="FYV113" s="17"/>
      <c r="FYW113" s="17"/>
      <c r="FYX113" s="17"/>
      <c r="FYY113" s="17"/>
      <c r="FYZ113" s="17"/>
      <c r="FZA113" s="17"/>
      <c r="FZB113" s="17"/>
      <c r="FZC113" s="17"/>
      <c r="FZD113" s="17"/>
      <c r="FZE113" s="17"/>
      <c r="FZF113" s="17"/>
      <c r="FZG113" s="17"/>
      <c r="FZH113" s="17"/>
      <c r="FZI113" s="17"/>
      <c r="FZJ113" s="17"/>
      <c r="FZK113" s="17"/>
      <c r="FZL113" s="17"/>
      <c r="FZM113" s="17"/>
      <c r="FZN113" s="17"/>
      <c r="FZO113" s="17"/>
      <c r="FZP113" s="17"/>
      <c r="FZQ113" s="17"/>
      <c r="FZR113" s="17"/>
      <c r="FZS113" s="17"/>
      <c r="FZT113" s="17"/>
      <c r="FZU113" s="17"/>
      <c r="FZV113" s="17"/>
      <c r="FZW113" s="17"/>
      <c r="FZX113" s="17"/>
      <c r="FZY113" s="17"/>
      <c r="FZZ113" s="17"/>
      <c r="GAA113" s="17"/>
      <c r="GAB113" s="17"/>
      <c r="GAC113" s="17"/>
      <c r="GAD113" s="17"/>
      <c r="GAE113" s="17"/>
      <c r="GAF113" s="17"/>
      <c r="GAG113" s="17"/>
      <c r="GAH113" s="17"/>
      <c r="GAI113" s="17"/>
      <c r="GAJ113" s="17"/>
      <c r="GAK113" s="17"/>
      <c r="GAL113" s="17"/>
      <c r="GAM113" s="17"/>
      <c r="GAN113" s="17"/>
      <c r="GAO113" s="17"/>
      <c r="GAP113" s="17"/>
      <c r="GAQ113" s="17"/>
      <c r="GAR113" s="17"/>
      <c r="GAS113" s="17"/>
      <c r="GAT113" s="17"/>
      <c r="GAU113" s="17"/>
      <c r="GAV113" s="17"/>
      <c r="GAW113" s="17"/>
      <c r="GAX113" s="17"/>
      <c r="GAY113" s="17"/>
      <c r="GAZ113" s="17"/>
      <c r="GBA113" s="17"/>
      <c r="GBB113" s="17"/>
      <c r="GBC113" s="17"/>
      <c r="GBD113" s="17"/>
      <c r="GBE113" s="17"/>
      <c r="GBF113" s="17"/>
      <c r="GBG113" s="17"/>
      <c r="GBH113" s="17"/>
      <c r="GBI113" s="17"/>
      <c r="GBJ113" s="17"/>
      <c r="GBK113" s="17"/>
      <c r="GBL113" s="17"/>
      <c r="GBM113" s="17"/>
      <c r="GBN113" s="17"/>
      <c r="GBO113" s="17"/>
      <c r="GBP113" s="17"/>
      <c r="GBQ113" s="17"/>
      <c r="GBR113" s="17"/>
      <c r="GBS113" s="17"/>
      <c r="GBT113" s="17"/>
      <c r="GBU113" s="17"/>
      <c r="GBV113" s="17"/>
      <c r="GBW113" s="17"/>
      <c r="GBX113" s="17"/>
      <c r="GBY113" s="17"/>
      <c r="GBZ113" s="17"/>
      <c r="GCA113" s="17"/>
      <c r="GCB113" s="17"/>
      <c r="GCC113" s="17"/>
      <c r="GCD113" s="17"/>
      <c r="GCE113" s="17"/>
      <c r="GCF113" s="17"/>
      <c r="GCG113" s="17"/>
      <c r="GCH113" s="17"/>
      <c r="GCI113" s="17"/>
      <c r="GCJ113" s="17"/>
      <c r="GCK113" s="17"/>
      <c r="GCL113" s="17"/>
      <c r="GCM113" s="17"/>
      <c r="GCN113" s="17"/>
      <c r="GCO113" s="17"/>
      <c r="GCP113" s="17"/>
      <c r="GCQ113" s="17"/>
      <c r="GCR113" s="17"/>
      <c r="GCS113" s="17"/>
      <c r="GCT113" s="17"/>
      <c r="GCU113" s="17"/>
      <c r="GCV113" s="17"/>
      <c r="GCW113" s="17"/>
      <c r="GCX113" s="17"/>
      <c r="GCY113" s="17"/>
      <c r="GCZ113" s="17"/>
      <c r="GDA113" s="17"/>
      <c r="GDB113" s="17"/>
      <c r="GDC113" s="17"/>
      <c r="GDD113" s="17"/>
      <c r="GDE113" s="17"/>
      <c r="GDF113" s="17"/>
      <c r="GDG113" s="17"/>
      <c r="GDH113" s="17"/>
      <c r="GDI113" s="17"/>
      <c r="GDJ113" s="17"/>
      <c r="GDK113" s="17"/>
      <c r="GDL113" s="17"/>
      <c r="GDM113" s="17"/>
      <c r="GDN113" s="17"/>
      <c r="GDO113" s="17"/>
      <c r="GDP113" s="17"/>
      <c r="GDQ113" s="17"/>
      <c r="GDR113" s="17"/>
      <c r="GDS113" s="17"/>
      <c r="GDT113" s="17"/>
      <c r="GDU113" s="17"/>
      <c r="GDV113" s="17"/>
      <c r="GDW113" s="17"/>
      <c r="GDX113" s="17"/>
      <c r="GDY113" s="17"/>
      <c r="GDZ113" s="17"/>
      <c r="GEA113" s="17"/>
      <c r="GEB113" s="17"/>
      <c r="GEC113" s="17"/>
      <c r="GED113" s="17"/>
      <c r="GEE113" s="17"/>
      <c r="GEF113" s="17"/>
      <c r="GEG113" s="17"/>
      <c r="GEH113" s="17"/>
      <c r="GEI113" s="17"/>
      <c r="GEJ113" s="17"/>
      <c r="GEK113" s="17"/>
      <c r="GEL113" s="17"/>
      <c r="GEM113" s="17"/>
      <c r="GEN113" s="17"/>
      <c r="GEO113" s="17"/>
      <c r="GEP113" s="17"/>
      <c r="GEQ113" s="17"/>
      <c r="GER113" s="17"/>
      <c r="GES113" s="17"/>
      <c r="GET113" s="17"/>
      <c r="GEU113" s="17"/>
      <c r="GEV113" s="17"/>
      <c r="GEW113" s="17"/>
      <c r="GEX113" s="17"/>
      <c r="GEY113" s="17"/>
      <c r="GEZ113" s="17"/>
      <c r="GFA113" s="17"/>
      <c r="GFB113" s="17"/>
      <c r="GFC113" s="17"/>
      <c r="GFD113" s="17"/>
      <c r="GFE113" s="17"/>
      <c r="GFF113" s="17"/>
      <c r="GFG113" s="17"/>
      <c r="GFH113" s="17"/>
      <c r="GFI113" s="17"/>
      <c r="GFJ113" s="17"/>
      <c r="GFK113" s="17"/>
      <c r="GFL113" s="17"/>
      <c r="GFM113" s="17"/>
      <c r="GFN113" s="17"/>
      <c r="GFO113" s="17"/>
      <c r="GFP113" s="17"/>
      <c r="GFQ113" s="17"/>
      <c r="GFR113" s="17"/>
      <c r="GFS113" s="17"/>
      <c r="GFT113" s="17"/>
      <c r="GFU113" s="17"/>
      <c r="GFV113" s="17"/>
      <c r="GFW113" s="17"/>
      <c r="GFX113" s="17"/>
      <c r="GFY113" s="17"/>
      <c r="GFZ113" s="17"/>
      <c r="GGA113" s="17"/>
      <c r="GGB113" s="17"/>
      <c r="GGC113" s="17"/>
      <c r="GGD113" s="17"/>
      <c r="GGE113" s="17"/>
      <c r="GGF113" s="17"/>
      <c r="GGG113" s="17"/>
      <c r="GGH113" s="17"/>
      <c r="GGI113" s="17"/>
      <c r="GGJ113" s="17"/>
      <c r="GGK113" s="17"/>
      <c r="GGL113" s="17"/>
      <c r="GGM113" s="17"/>
      <c r="GGN113" s="17"/>
      <c r="GGO113" s="17"/>
      <c r="GGP113" s="17"/>
      <c r="GGQ113" s="17"/>
      <c r="GGR113" s="17"/>
      <c r="GGS113" s="17"/>
      <c r="GGT113" s="17"/>
      <c r="GGU113" s="17"/>
      <c r="GGV113" s="17"/>
      <c r="GGW113" s="17"/>
      <c r="GGX113" s="17"/>
      <c r="GGY113" s="17"/>
      <c r="GGZ113" s="17"/>
      <c r="GHA113" s="17"/>
      <c r="GHB113" s="17"/>
      <c r="GHC113" s="17"/>
      <c r="GHD113" s="17"/>
      <c r="GHE113" s="17"/>
      <c r="GHF113" s="17"/>
      <c r="GHG113" s="17"/>
      <c r="GHH113" s="17"/>
      <c r="GHI113" s="17"/>
      <c r="GHJ113" s="17"/>
      <c r="GHK113" s="17"/>
      <c r="GHL113" s="17"/>
      <c r="GHM113" s="17"/>
      <c r="GHN113" s="17"/>
      <c r="GHO113" s="17"/>
      <c r="GHP113" s="17"/>
      <c r="GHQ113" s="17"/>
      <c r="GHR113" s="17"/>
      <c r="GHS113" s="17"/>
      <c r="GHT113" s="17"/>
      <c r="GHU113" s="17"/>
      <c r="GHV113" s="17"/>
      <c r="GHW113" s="17"/>
      <c r="GHX113" s="17"/>
      <c r="GHY113" s="17"/>
      <c r="GHZ113" s="17"/>
      <c r="GIA113" s="17"/>
      <c r="GIB113" s="17"/>
      <c r="GIC113" s="17"/>
      <c r="GID113" s="17"/>
      <c r="GIE113" s="17"/>
      <c r="GIF113" s="17"/>
      <c r="GIG113" s="17"/>
      <c r="GIH113" s="17"/>
      <c r="GII113" s="17"/>
      <c r="GIJ113" s="17"/>
      <c r="GIK113" s="17"/>
      <c r="GIL113" s="17"/>
      <c r="GIM113" s="17"/>
      <c r="GIN113" s="17"/>
      <c r="GIO113" s="17"/>
      <c r="GIP113" s="17"/>
      <c r="GIQ113" s="17"/>
      <c r="GIR113" s="17"/>
      <c r="GIS113" s="17"/>
      <c r="GIT113" s="17"/>
      <c r="GIU113" s="17"/>
      <c r="GIV113" s="17"/>
      <c r="GIW113" s="17"/>
      <c r="GIX113" s="17"/>
      <c r="GIY113" s="17"/>
      <c r="GIZ113" s="17"/>
      <c r="GJA113" s="17"/>
      <c r="GJB113" s="17"/>
      <c r="GJC113" s="17"/>
      <c r="GJD113" s="17"/>
      <c r="GJE113" s="17"/>
      <c r="GJF113" s="17"/>
      <c r="GJG113" s="17"/>
      <c r="GJH113" s="17"/>
      <c r="GJI113" s="17"/>
      <c r="GJJ113" s="17"/>
      <c r="GJK113" s="17"/>
      <c r="GJL113" s="17"/>
      <c r="GJM113" s="17"/>
      <c r="GJN113" s="17"/>
      <c r="GJO113" s="17"/>
      <c r="GJP113" s="17"/>
      <c r="GJQ113" s="17"/>
      <c r="GJR113" s="17"/>
      <c r="GJS113" s="17"/>
      <c r="GJT113" s="17"/>
      <c r="GJU113" s="17"/>
      <c r="GJV113" s="17"/>
      <c r="GJW113" s="17"/>
      <c r="GJX113" s="17"/>
      <c r="GJY113" s="17"/>
      <c r="GJZ113" s="17"/>
      <c r="GKA113" s="17"/>
      <c r="GKB113" s="17"/>
      <c r="GKC113" s="17"/>
      <c r="GKD113" s="17"/>
      <c r="GKE113" s="17"/>
      <c r="GKF113" s="17"/>
      <c r="GKG113" s="17"/>
      <c r="GKH113" s="17"/>
      <c r="GKI113" s="17"/>
      <c r="GKJ113" s="17"/>
      <c r="GKK113" s="17"/>
      <c r="GKL113" s="17"/>
      <c r="GKM113" s="17"/>
      <c r="GKN113" s="17"/>
      <c r="GKO113" s="17"/>
      <c r="GKP113" s="17"/>
      <c r="GKQ113" s="17"/>
      <c r="GKR113" s="17"/>
      <c r="GKS113" s="17"/>
      <c r="GKT113" s="17"/>
      <c r="GKU113" s="17"/>
      <c r="GKV113" s="17"/>
      <c r="GKW113" s="17"/>
      <c r="GKX113" s="17"/>
      <c r="GKY113" s="17"/>
      <c r="GKZ113" s="17"/>
      <c r="GLA113" s="17"/>
      <c r="GLB113" s="17"/>
      <c r="GLC113" s="17"/>
      <c r="GLD113" s="17"/>
      <c r="GLE113" s="17"/>
      <c r="GLF113" s="17"/>
      <c r="GLG113" s="17"/>
      <c r="GLH113" s="17"/>
      <c r="GLI113" s="17"/>
      <c r="GLJ113" s="17"/>
      <c r="GLK113" s="17"/>
      <c r="GLL113" s="17"/>
      <c r="GLM113" s="17"/>
      <c r="GLN113" s="17"/>
      <c r="GLO113" s="17"/>
      <c r="GLP113" s="17"/>
      <c r="GLQ113" s="17"/>
      <c r="GLR113" s="17"/>
      <c r="GLS113" s="17"/>
      <c r="GLT113" s="17"/>
      <c r="GLU113" s="17"/>
      <c r="GLV113" s="17"/>
      <c r="GLW113" s="17"/>
      <c r="GLX113" s="17"/>
      <c r="GLY113" s="17"/>
      <c r="GLZ113" s="17"/>
      <c r="GMA113" s="17"/>
      <c r="GMB113" s="17"/>
      <c r="GMC113" s="17"/>
      <c r="GMD113" s="17"/>
      <c r="GME113" s="17"/>
      <c r="GMF113" s="17"/>
      <c r="GMG113" s="17"/>
      <c r="GMH113" s="17"/>
      <c r="GMI113" s="17"/>
      <c r="GMJ113" s="17"/>
      <c r="GMK113" s="17"/>
      <c r="GML113" s="17"/>
      <c r="GMM113" s="17"/>
      <c r="GMN113" s="17"/>
      <c r="GMO113" s="17"/>
      <c r="GMP113" s="17"/>
      <c r="GMQ113" s="17"/>
      <c r="GMR113" s="17"/>
      <c r="GMS113" s="17"/>
      <c r="GMT113" s="17"/>
      <c r="GMU113" s="17"/>
      <c r="GMV113" s="17"/>
      <c r="GMW113" s="17"/>
      <c r="GMX113" s="17"/>
      <c r="GMY113" s="17"/>
      <c r="GMZ113" s="17"/>
      <c r="GNA113" s="17"/>
      <c r="GNB113" s="17"/>
      <c r="GNC113" s="17"/>
      <c r="GND113" s="17"/>
      <c r="GNE113" s="17"/>
      <c r="GNF113" s="17"/>
      <c r="GNG113" s="17"/>
      <c r="GNH113" s="17"/>
      <c r="GNI113" s="17"/>
      <c r="GNJ113" s="17"/>
      <c r="GNK113" s="17"/>
      <c r="GNL113" s="17"/>
      <c r="GNM113" s="17"/>
      <c r="GNN113" s="17"/>
      <c r="GNO113" s="17"/>
      <c r="GNP113" s="17"/>
      <c r="GNQ113" s="17"/>
      <c r="GNR113" s="17"/>
      <c r="GNS113" s="17"/>
      <c r="GNT113" s="17"/>
      <c r="GNU113" s="17"/>
      <c r="GNV113" s="17"/>
      <c r="GNW113" s="17"/>
      <c r="GNX113" s="17"/>
      <c r="GNY113" s="17"/>
      <c r="GNZ113" s="17"/>
      <c r="GOA113" s="17"/>
      <c r="GOB113" s="17"/>
      <c r="GOC113" s="17"/>
      <c r="GOD113" s="17"/>
      <c r="GOE113" s="17"/>
      <c r="GOF113" s="17"/>
      <c r="GOG113" s="17"/>
      <c r="GOH113" s="17"/>
      <c r="GOI113" s="17"/>
      <c r="GOJ113" s="17"/>
      <c r="GOK113" s="17"/>
      <c r="GOL113" s="17"/>
      <c r="GOM113" s="17"/>
      <c r="GON113" s="17"/>
      <c r="GOO113" s="17"/>
      <c r="GOP113" s="17"/>
      <c r="GOQ113" s="17"/>
      <c r="GOR113" s="17"/>
      <c r="GOS113" s="17"/>
      <c r="GOT113" s="17"/>
      <c r="GOU113" s="17"/>
      <c r="GOV113" s="17"/>
      <c r="GOW113" s="17"/>
      <c r="GOX113" s="17"/>
      <c r="GOY113" s="17"/>
      <c r="GOZ113" s="17"/>
      <c r="GPA113" s="17"/>
      <c r="GPB113" s="17"/>
      <c r="GPC113" s="17"/>
      <c r="GPD113" s="17"/>
      <c r="GPE113" s="17"/>
      <c r="GPF113" s="17"/>
      <c r="GPG113" s="17"/>
      <c r="GPH113" s="17"/>
      <c r="GPI113" s="17"/>
      <c r="GPJ113" s="17"/>
      <c r="GPK113" s="17"/>
      <c r="GPL113" s="17"/>
      <c r="GPM113" s="17"/>
      <c r="GPN113" s="17"/>
      <c r="GPO113" s="17"/>
      <c r="GPP113" s="17"/>
      <c r="GPQ113" s="17"/>
      <c r="GPR113" s="17"/>
      <c r="GPS113" s="17"/>
      <c r="GPT113" s="17"/>
      <c r="GPU113" s="17"/>
      <c r="GPV113" s="17"/>
      <c r="GPW113" s="17"/>
      <c r="GPX113" s="17"/>
      <c r="GPY113" s="17"/>
      <c r="GPZ113" s="17"/>
      <c r="GQA113" s="17"/>
      <c r="GQB113" s="17"/>
      <c r="GQC113" s="17"/>
      <c r="GQD113" s="17"/>
      <c r="GQE113" s="17"/>
      <c r="GQF113" s="17"/>
      <c r="GQG113" s="17"/>
      <c r="GQH113" s="17"/>
      <c r="GQI113" s="17"/>
      <c r="GQJ113" s="17"/>
      <c r="GQK113" s="17"/>
      <c r="GQL113" s="17"/>
      <c r="GQM113" s="17"/>
      <c r="GQN113" s="17"/>
      <c r="GQO113" s="17"/>
      <c r="GQP113" s="17"/>
      <c r="GQQ113" s="17"/>
      <c r="GQR113" s="17"/>
      <c r="GQS113" s="17"/>
      <c r="GQT113" s="17"/>
      <c r="GQU113" s="17"/>
      <c r="GQV113" s="17"/>
      <c r="GQW113" s="17"/>
      <c r="GQX113" s="17"/>
      <c r="GQY113" s="17"/>
      <c r="GQZ113" s="17"/>
      <c r="GRA113" s="17"/>
      <c r="GRB113" s="17"/>
      <c r="GRC113" s="17"/>
      <c r="GRD113" s="17"/>
      <c r="GRE113" s="17"/>
      <c r="GRF113" s="17"/>
      <c r="GRG113" s="17"/>
      <c r="GRH113" s="17"/>
      <c r="GRI113" s="17"/>
      <c r="GRJ113" s="17"/>
      <c r="GRK113" s="17"/>
      <c r="GRL113" s="17"/>
      <c r="GRM113" s="17"/>
      <c r="GRN113" s="17"/>
      <c r="GRO113" s="17"/>
      <c r="GRP113" s="17"/>
      <c r="GRQ113" s="17"/>
      <c r="GRR113" s="17"/>
      <c r="GRS113" s="17"/>
      <c r="GRT113" s="17"/>
      <c r="GRU113" s="17"/>
      <c r="GRV113" s="17"/>
      <c r="GRW113" s="17"/>
      <c r="GRX113" s="17"/>
      <c r="GRY113" s="17"/>
      <c r="GRZ113" s="17"/>
      <c r="GSA113" s="17"/>
      <c r="GSB113" s="17"/>
      <c r="GSC113" s="17"/>
      <c r="GSD113" s="17"/>
      <c r="GSE113" s="17"/>
      <c r="GSF113" s="17"/>
      <c r="GSG113" s="17"/>
      <c r="GSH113" s="17"/>
      <c r="GSI113" s="17"/>
      <c r="GSJ113" s="17"/>
      <c r="GSK113" s="17"/>
      <c r="GSL113" s="17"/>
      <c r="GSM113" s="17"/>
      <c r="GSN113" s="17"/>
      <c r="GSO113" s="17"/>
      <c r="GSP113" s="17"/>
      <c r="GSQ113" s="17"/>
      <c r="GSR113" s="17"/>
      <c r="GSS113" s="17"/>
      <c r="GST113" s="17"/>
      <c r="GSU113" s="17"/>
      <c r="GSV113" s="17"/>
      <c r="GSW113" s="17"/>
      <c r="GSX113" s="17"/>
      <c r="GSY113" s="17"/>
      <c r="GSZ113" s="17"/>
      <c r="GTA113" s="17"/>
      <c r="GTB113" s="17"/>
      <c r="GTC113" s="17"/>
      <c r="GTD113" s="17"/>
      <c r="GTE113" s="17"/>
      <c r="GTF113" s="17"/>
      <c r="GTG113" s="17"/>
      <c r="GTH113" s="17"/>
      <c r="GTI113" s="17"/>
      <c r="GTJ113" s="17"/>
      <c r="GTK113" s="17"/>
      <c r="GTL113" s="17"/>
      <c r="GTM113" s="17"/>
      <c r="GTN113" s="17"/>
      <c r="GTO113" s="17"/>
      <c r="GTP113" s="17"/>
      <c r="GTQ113" s="17"/>
      <c r="GTR113" s="17"/>
      <c r="GTS113" s="17"/>
      <c r="GTT113" s="17"/>
      <c r="GTU113" s="17"/>
      <c r="GTV113" s="17"/>
      <c r="GTW113" s="17"/>
      <c r="GTX113" s="17"/>
      <c r="GTY113" s="17"/>
      <c r="GTZ113" s="17"/>
      <c r="GUA113" s="17"/>
      <c r="GUB113" s="17"/>
      <c r="GUC113" s="17"/>
      <c r="GUD113" s="17"/>
      <c r="GUE113" s="17"/>
      <c r="GUF113" s="17"/>
      <c r="GUG113" s="17"/>
      <c r="GUH113" s="17"/>
      <c r="GUI113" s="17"/>
      <c r="GUJ113" s="17"/>
      <c r="GUK113" s="17"/>
      <c r="GUL113" s="17"/>
      <c r="GUM113" s="17"/>
      <c r="GUN113" s="17"/>
      <c r="GUO113" s="17"/>
      <c r="GUP113" s="17"/>
      <c r="GUQ113" s="17"/>
      <c r="GUR113" s="17"/>
      <c r="GUS113" s="17"/>
      <c r="GUT113" s="17"/>
      <c r="GUU113" s="17"/>
      <c r="GUV113" s="17"/>
      <c r="GUW113" s="17"/>
      <c r="GUX113" s="17"/>
      <c r="GUY113" s="17"/>
      <c r="GUZ113" s="17"/>
      <c r="GVA113" s="17"/>
      <c r="GVB113" s="17"/>
      <c r="GVC113" s="17"/>
      <c r="GVD113" s="17"/>
      <c r="GVE113" s="17"/>
      <c r="GVF113" s="17"/>
      <c r="GVG113" s="17"/>
      <c r="GVH113" s="17"/>
      <c r="GVI113" s="17"/>
      <c r="GVJ113" s="17"/>
      <c r="GVK113" s="17"/>
      <c r="GVL113" s="17"/>
      <c r="GVM113" s="17"/>
      <c r="GVN113" s="17"/>
      <c r="GVO113" s="17"/>
      <c r="GVP113" s="17"/>
      <c r="GVQ113" s="17"/>
      <c r="GVR113" s="17"/>
      <c r="GVS113" s="17"/>
      <c r="GVT113" s="17"/>
      <c r="GVU113" s="17"/>
      <c r="GVV113" s="17"/>
      <c r="GVW113" s="17"/>
      <c r="GVX113" s="17"/>
      <c r="GVY113" s="17"/>
      <c r="GVZ113" s="17"/>
      <c r="GWA113" s="17"/>
      <c r="GWB113" s="17"/>
      <c r="GWC113" s="17"/>
      <c r="GWD113" s="17"/>
      <c r="GWE113" s="17"/>
      <c r="GWF113" s="17"/>
      <c r="GWG113" s="17"/>
      <c r="GWH113" s="17"/>
      <c r="GWI113" s="17"/>
      <c r="GWJ113" s="17"/>
      <c r="GWK113" s="17"/>
      <c r="GWL113" s="17"/>
      <c r="GWM113" s="17"/>
      <c r="GWN113" s="17"/>
      <c r="GWO113" s="17"/>
      <c r="GWP113" s="17"/>
      <c r="GWQ113" s="17"/>
      <c r="GWR113" s="17"/>
      <c r="GWS113" s="17"/>
      <c r="GWT113" s="17"/>
      <c r="GWU113" s="17"/>
      <c r="GWV113" s="17"/>
      <c r="GWW113" s="17"/>
      <c r="GWX113" s="17"/>
      <c r="GWY113" s="17"/>
      <c r="GWZ113" s="17"/>
      <c r="GXA113" s="17"/>
      <c r="GXB113" s="17"/>
      <c r="GXC113" s="17"/>
      <c r="GXD113" s="17"/>
      <c r="GXE113" s="17"/>
      <c r="GXF113" s="17"/>
      <c r="GXG113" s="17"/>
      <c r="GXH113" s="17"/>
      <c r="GXI113" s="17"/>
      <c r="GXJ113" s="17"/>
      <c r="GXK113" s="17"/>
      <c r="GXL113" s="17"/>
      <c r="GXM113" s="17"/>
      <c r="GXN113" s="17"/>
      <c r="GXO113" s="17"/>
      <c r="GXP113" s="17"/>
      <c r="GXQ113" s="17"/>
      <c r="GXR113" s="17"/>
      <c r="GXS113" s="17"/>
      <c r="GXT113" s="17"/>
      <c r="GXU113" s="17"/>
      <c r="GXV113" s="17"/>
      <c r="GXW113" s="17"/>
      <c r="GXX113" s="17"/>
      <c r="GXY113" s="17"/>
      <c r="GXZ113" s="17"/>
      <c r="GYA113" s="17"/>
      <c r="GYB113" s="17"/>
      <c r="GYC113" s="17"/>
      <c r="GYD113" s="17"/>
      <c r="GYE113" s="17"/>
      <c r="GYF113" s="17"/>
      <c r="GYG113" s="17"/>
      <c r="GYH113" s="17"/>
      <c r="GYI113" s="17"/>
      <c r="GYJ113" s="17"/>
      <c r="GYK113" s="17"/>
      <c r="GYL113" s="17"/>
      <c r="GYM113" s="17"/>
      <c r="GYN113" s="17"/>
      <c r="GYO113" s="17"/>
      <c r="GYP113" s="17"/>
      <c r="GYQ113" s="17"/>
      <c r="GYR113" s="17"/>
      <c r="GYS113" s="17"/>
      <c r="GYT113" s="17"/>
      <c r="GYU113" s="17"/>
      <c r="GYV113" s="17"/>
      <c r="GYW113" s="17"/>
      <c r="GYX113" s="17"/>
      <c r="GYY113" s="17"/>
      <c r="GYZ113" s="17"/>
      <c r="GZA113" s="17"/>
      <c r="GZB113" s="17"/>
      <c r="GZC113" s="17"/>
      <c r="GZD113" s="17"/>
      <c r="GZE113" s="17"/>
      <c r="GZF113" s="17"/>
      <c r="GZG113" s="17"/>
      <c r="GZH113" s="17"/>
      <c r="GZI113" s="17"/>
      <c r="GZJ113" s="17"/>
      <c r="GZK113" s="17"/>
      <c r="GZL113" s="17"/>
      <c r="GZM113" s="17"/>
      <c r="GZN113" s="17"/>
      <c r="GZO113" s="17"/>
      <c r="GZP113" s="17"/>
      <c r="GZQ113" s="17"/>
      <c r="GZR113" s="17"/>
      <c r="GZS113" s="17"/>
      <c r="GZT113" s="17"/>
      <c r="GZU113" s="17"/>
      <c r="GZV113" s="17"/>
      <c r="GZW113" s="17"/>
      <c r="GZX113" s="17"/>
      <c r="GZY113" s="17"/>
      <c r="GZZ113" s="17"/>
      <c r="HAA113" s="17"/>
      <c r="HAB113" s="17"/>
      <c r="HAC113" s="17"/>
      <c r="HAD113" s="17"/>
      <c r="HAE113" s="17"/>
      <c r="HAF113" s="17"/>
      <c r="HAG113" s="17"/>
      <c r="HAH113" s="17"/>
      <c r="HAI113" s="17"/>
      <c r="HAJ113" s="17"/>
      <c r="HAK113" s="17"/>
      <c r="HAL113" s="17"/>
      <c r="HAM113" s="17"/>
      <c r="HAN113" s="17"/>
      <c r="HAO113" s="17"/>
      <c r="HAP113" s="17"/>
      <c r="HAQ113" s="17"/>
      <c r="HAR113" s="17"/>
      <c r="HAS113" s="17"/>
      <c r="HAT113" s="17"/>
      <c r="HAU113" s="17"/>
      <c r="HAV113" s="17"/>
      <c r="HAW113" s="17"/>
      <c r="HAX113" s="17"/>
      <c r="HAY113" s="17"/>
      <c r="HAZ113" s="17"/>
      <c r="HBA113" s="17"/>
      <c r="HBB113" s="17"/>
      <c r="HBC113" s="17"/>
      <c r="HBD113" s="17"/>
      <c r="HBE113" s="17"/>
      <c r="HBF113" s="17"/>
      <c r="HBG113" s="17"/>
      <c r="HBH113" s="17"/>
      <c r="HBI113" s="17"/>
      <c r="HBJ113" s="17"/>
      <c r="HBK113" s="17"/>
      <c r="HBL113" s="17"/>
      <c r="HBM113" s="17"/>
      <c r="HBN113" s="17"/>
      <c r="HBO113" s="17"/>
      <c r="HBP113" s="17"/>
      <c r="HBQ113" s="17"/>
      <c r="HBR113" s="17"/>
      <c r="HBS113" s="17"/>
      <c r="HBT113" s="17"/>
      <c r="HBU113" s="17"/>
      <c r="HBV113" s="17"/>
      <c r="HBW113" s="17"/>
      <c r="HBX113" s="17"/>
      <c r="HBY113" s="17"/>
      <c r="HBZ113" s="17"/>
      <c r="HCA113" s="17"/>
      <c r="HCB113" s="17"/>
      <c r="HCC113" s="17"/>
      <c r="HCD113" s="17"/>
      <c r="HCE113" s="17"/>
      <c r="HCF113" s="17"/>
      <c r="HCG113" s="17"/>
      <c r="HCH113" s="17"/>
      <c r="HCI113" s="17"/>
      <c r="HCJ113" s="17"/>
      <c r="HCK113" s="17"/>
      <c r="HCL113" s="17"/>
      <c r="HCM113" s="17"/>
      <c r="HCN113" s="17"/>
      <c r="HCO113" s="17"/>
      <c r="HCP113" s="17"/>
      <c r="HCQ113" s="17"/>
      <c r="HCR113" s="17"/>
      <c r="HCS113" s="17"/>
      <c r="HCT113" s="17"/>
      <c r="HCU113" s="17"/>
      <c r="HCV113" s="17"/>
      <c r="HCW113" s="17"/>
      <c r="HCX113" s="17"/>
      <c r="HCY113" s="17"/>
      <c r="HCZ113" s="17"/>
      <c r="HDA113" s="17"/>
      <c r="HDB113" s="17"/>
      <c r="HDC113" s="17"/>
      <c r="HDD113" s="17"/>
      <c r="HDE113" s="17"/>
      <c r="HDF113" s="17"/>
      <c r="HDG113" s="17"/>
      <c r="HDH113" s="17"/>
      <c r="HDI113" s="17"/>
      <c r="HDJ113" s="17"/>
      <c r="HDK113" s="17"/>
      <c r="HDL113" s="17"/>
      <c r="HDM113" s="17"/>
      <c r="HDN113" s="17"/>
      <c r="HDO113" s="17"/>
      <c r="HDP113" s="17"/>
      <c r="HDQ113" s="17"/>
      <c r="HDR113" s="17"/>
      <c r="HDS113" s="17"/>
      <c r="HDT113" s="17"/>
      <c r="HDU113" s="17"/>
      <c r="HDV113" s="17"/>
      <c r="HDW113" s="17"/>
      <c r="HDX113" s="17"/>
      <c r="HDY113" s="17"/>
      <c r="HDZ113" s="17"/>
      <c r="HEA113" s="17"/>
      <c r="HEB113" s="17"/>
      <c r="HEC113" s="17"/>
      <c r="HED113" s="17"/>
      <c r="HEE113" s="17"/>
      <c r="HEF113" s="17"/>
      <c r="HEG113" s="17"/>
      <c r="HEH113" s="17"/>
      <c r="HEI113" s="17"/>
      <c r="HEJ113" s="17"/>
      <c r="HEK113" s="17"/>
      <c r="HEL113" s="17"/>
      <c r="HEM113" s="17"/>
      <c r="HEN113" s="17"/>
      <c r="HEO113" s="17"/>
      <c r="HEP113" s="17"/>
      <c r="HEQ113" s="17"/>
      <c r="HER113" s="17"/>
      <c r="HES113" s="17"/>
      <c r="HET113" s="17"/>
      <c r="HEU113" s="17"/>
      <c r="HEV113" s="17"/>
      <c r="HEW113" s="17"/>
      <c r="HEX113" s="17"/>
      <c r="HEY113" s="17"/>
      <c r="HEZ113" s="17"/>
      <c r="HFA113" s="17"/>
      <c r="HFB113" s="17"/>
      <c r="HFC113" s="17"/>
      <c r="HFD113" s="17"/>
      <c r="HFE113" s="17"/>
      <c r="HFF113" s="17"/>
      <c r="HFG113" s="17"/>
      <c r="HFH113" s="17"/>
      <c r="HFI113" s="17"/>
      <c r="HFJ113" s="17"/>
      <c r="HFK113" s="17"/>
      <c r="HFL113" s="17"/>
      <c r="HFM113" s="17"/>
      <c r="HFN113" s="17"/>
      <c r="HFO113" s="17"/>
      <c r="HFP113" s="17"/>
      <c r="HFQ113" s="17"/>
      <c r="HFR113" s="17"/>
      <c r="HFS113" s="17"/>
      <c r="HFT113" s="17"/>
      <c r="HFU113" s="17"/>
      <c r="HFV113" s="17"/>
      <c r="HFW113" s="17"/>
      <c r="HFX113" s="17"/>
      <c r="HFY113" s="17"/>
      <c r="HFZ113" s="17"/>
      <c r="HGA113" s="17"/>
      <c r="HGB113" s="17"/>
      <c r="HGC113" s="17"/>
      <c r="HGD113" s="17"/>
      <c r="HGE113" s="17"/>
      <c r="HGF113" s="17"/>
      <c r="HGG113" s="17"/>
      <c r="HGH113" s="17"/>
      <c r="HGI113" s="17"/>
      <c r="HGJ113" s="17"/>
      <c r="HGK113" s="17"/>
      <c r="HGL113" s="17"/>
      <c r="HGM113" s="17"/>
      <c r="HGN113" s="17"/>
      <c r="HGO113" s="17"/>
      <c r="HGP113" s="17"/>
      <c r="HGQ113" s="17"/>
      <c r="HGR113" s="17"/>
      <c r="HGS113" s="17"/>
      <c r="HGT113" s="17"/>
      <c r="HGU113" s="17"/>
      <c r="HGV113" s="17"/>
      <c r="HGW113" s="17"/>
      <c r="HGX113" s="17"/>
      <c r="HGY113" s="17"/>
      <c r="HGZ113" s="17"/>
      <c r="HHA113" s="17"/>
      <c r="HHB113" s="17"/>
      <c r="HHC113" s="17"/>
      <c r="HHD113" s="17"/>
      <c r="HHE113" s="17"/>
      <c r="HHF113" s="17"/>
      <c r="HHG113" s="17"/>
      <c r="HHH113" s="17"/>
      <c r="HHI113" s="17"/>
      <c r="HHJ113" s="17"/>
      <c r="HHK113" s="17"/>
      <c r="HHL113" s="17"/>
      <c r="HHM113" s="17"/>
      <c r="HHN113" s="17"/>
      <c r="HHO113" s="17"/>
      <c r="HHP113" s="17"/>
      <c r="HHQ113" s="17"/>
      <c r="HHR113" s="17"/>
      <c r="HHS113" s="17"/>
      <c r="HHT113" s="17"/>
      <c r="HHU113" s="17"/>
      <c r="HHV113" s="17"/>
      <c r="HHW113" s="17"/>
      <c r="HHX113" s="17"/>
      <c r="HHY113" s="17"/>
      <c r="HHZ113" s="17"/>
      <c r="HIA113" s="17"/>
      <c r="HIB113" s="17"/>
      <c r="HIC113" s="17"/>
      <c r="HID113" s="17"/>
      <c r="HIE113" s="17"/>
      <c r="HIF113" s="17"/>
      <c r="HIG113" s="17"/>
      <c r="HIH113" s="17"/>
      <c r="HII113" s="17"/>
      <c r="HIJ113" s="17"/>
      <c r="HIK113" s="17"/>
      <c r="HIL113" s="17"/>
      <c r="HIM113" s="17"/>
      <c r="HIN113" s="17"/>
      <c r="HIO113" s="17"/>
      <c r="HIP113" s="17"/>
      <c r="HIQ113" s="17"/>
      <c r="HIR113" s="17"/>
      <c r="HIS113" s="17"/>
      <c r="HIT113" s="17"/>
      <c r="HIU113" s="17"/>
      <c r="HIV113" s="17"/>
      <c r="HIW113" s="17"/>
      <c r="HIX113" s="17"/>
      <c r="HIY113" s="17"/>
      <c r="HIZ113" s="17"/>
      <c r="HJA113" s="17"/>
      <c r="HJB113" s="17"/>
      <c r="HJC113" s="17"/>
      <c r="HJD113" s="17"/>
      <c r="HJE113" s="17"/>
      <c r="HJF113" s="17"/>
      <c r="HJG113" s="17"/>
      <c r="HJH113" s="17"/>
      <c r="HJI113" s="17"/>
      <c r="HJJ113" s="17"/>
      <c r="HJK113" s="17"/>
      <c r="HJL113" s="17"/>
      <c r="HJM113" s="17"/>
      <c r="HJN113" s="17"/>
      <c r="HJO113" s="17"/>
      <c r="HJP113" s="17"/>
      <c r="HJQ113" s="17"/>
      <c r="HJR113" s="17"/>
      <c r="HJS113" s="17"/>
      <c r="HJT113" s="17"/>
      <c r="HJU113" s="17"/>
      <c r="HJV113" s="17"/>
      <c r="HJW113" s="17"/>
      <c r="HJX113" s="17"/>
      <c r="HJY113" s="17"/>
      <c r="HJZ113" s="17"/>
      <c r="HKA113" s="17"/>
      <c r="HKB113" s="17"/>
      <c r="HKC113" s="17"/>
      <c r="HKD113" s="17"/>
      <c r="HKE113" s="17"/>
      <c r="HKF113" s="17"/>
      <c r="HKG113" s="17"/>
      <c r="HKH113" s="17"/>
      <c r="HKI113" s="17"/>
      <c r="HKJ113" s="17"/>
      <c r="HKK113" s="17"/>
      <c r="HKL113" s="17"/>
      <c r="HKM113" s="17"/>
      <c r="HKN113" s="17"/>
      <c r="HKO113" s="17"/>
      <c r="HKP113" s="17"/>
      <c r="HKQ113" s="17"/>
      <c r="HKR113" s="17"/>
      <c r="HKS113" s="17"/>
      <c r="HKT113" s="17"/>
      <c r="HKU113" s="17"/>
      <c r="HKV113" s="17"/>
      <c r="HKW113" s="17"/>
      <c r="HKX113" s="17"/>
      <c r="HKY113" s="17"/>
      <c r="HKZ113" s="17"/>
      <c r="HLA113" s="17"/>
      <c r="HLB113" s="17"/>
      <c r="HLC113" s="17"/>
      <c r="HLD113" s="17"/>
      <c r="HLE113" s="17"/>
      <c r="HLF113" s="17"/>
      <c r="HLG113" s="17"/>
      <c r="HLH113" s="17"/>
      <c r="HLI113" s="17"/>
      <c r="HLJ113" s="17"/>
      <c r="HLK113" s="17"/>
      <c r="HLL113" s="17"/>
      <c r="HLM113" s="17"/>
      <c r="HLN113" s="17"/>
      <c r="HLO113" s="17"/>
      <c r="HLP113" s="17"/>
      <c r="HLQ113" s="17"/>
      <c r="HLR113" s="17"/>
      <c r="HLS113" s="17"/>
      <c r="HLT113" s="17"/>
      <c r="HLU113" s="17"/>
      <c r="HLV113" s="17"/>
      <c r="HLW113" s="17"/>
      <c r="HLX113" s="17"/>
      <c r="HLY113" s="17"/>
      <c r="HLZ113" s="17"/>
      <c r="HMA113" s="17"/>
      <c r="HMB113" s="17"/>
      <c r="HMC113" s="17"/>
      <c r="HMD113" s="17"/>
      <c r="HME113" s="17"/>
      <c r="HMF113" s="17"/>
      <c r="HMG113" s="17"/>
      <c r="HMH113" s="17"/>
      <c r="HMI113" s="17"/>
      <c r="HMJ113" s="17"/>
      <c r="HMK113" s="17"/>
      <c r="HML113" s="17"/>
      <c r="HMM113" s="17"/>
      <c r="HMN113" s="17"/>
      <c r="HMO113" s="17"/>
      <c r="HMP113" s="17"/>
      <c r="HMQ113" s="17"/>
      <c r="HMR113" s="17"/>
      <c r="HMS113" s="17"/>
      <c r="HMT113" s="17"/>
      <c r="HMU113" s="17"/>
      <c r="HMV113" s="17"/>
      <c r="HMW113" s="17"/>
      <c r="HMX113" s="17"/>
      <c r="HMY113" s="17"/>
      <c r="HMZ113" s="17"/>
      <c r="HNA113" s="17"/>
      <c r="HNB113" s="17"/>
      <c r="HNC113" s="17"/>
      <c r="HND113" s="17"/>
      <c r="HNE113" s="17"/>
      <c r="HNF113" s="17"/>
      <c r="HNG113" s="17"/>
      <c r="HNH113" s="17"/>
      <c r="HNI113" s="17"/>
      <c r="HNJ113" s="17"/>
      <c r="HNK113" s="17"/>
      <c r="HNL113" s="17"/>
      <c r="HNM113" s="17"/>
      <c r="HNN113" s="17"/>
      <c r="HNO113" s="17"/>
      <c r="HNP113" s="17"/>
      <c r="HNQ113" s="17"/>
      <c r="HNR113" s="17"/>
      <c r="HNS113" s="17"/>
      <c r="HNT113" s="17"/>
      <c r="HNU113" s="17"/>
      <c r="HNV113" s="17"/>
      <c r="HNW113" s="17"/>
      <c r="HNX113" s="17"/>
      <c r="HNY113" s="17"/>
      <c r="HNZ113" s="17"/>
      <c r="HOA113" s="17"/>
      <c r="HOB113" s="17"/>
      <c r="HOC113" s="17"/>
      <c r="HOD113" s="17"/>
      <c r="HOE113" s="17"/>
      <c r="HOF113" s="17"/>
      <c r="HOG113" s="17"/>
      <c r="HOH113" s="17"/>
      <c r="HOI113" s="17"/>
      <c r="HOJ113" s="17"/>
      <c r="HOK113" s="17"/>
      <c r="HOL113" s="17"/>
      <c r="HOM113" s="17"/>
      <c r="HON113" s="17"/>
      <c r="HOO113" s="17"/>
      <c r="HOP113" s="17"/>
      <c r="HOQ113" s="17"/>
      <c r="HOR113" s="17"/>
      <c r="HOS113" s="17"/>
      <c r="HOT113" s="17"/>
      <c r="HOU113" s="17"/>
      <c r="HOV113" s="17"/>
      <c r="HOW113" s="17"/>
      <c r="HOX113" s="17"/>
      <c r="HOY113" s="17"/>
      <c r="HOZ113" s="17"/>
      <c r="HPA113" s="17"/>
      <c r="HPB113" s="17"/>
      <c r="HPC113" s="17"/>
      <c r="HPD113" s="17"/>
      <c r="HPE113" s="17"/>
      <c r="HPF113" s="17"/>
      <c r="HPG113" s="17"/>
      <c r="HPH113" s="17"/>
      <c r="HPI113" s="17"/>
      <c r="HPJ113" s="17"/>
      <c r="HPK113" s="17"/>
      <c r="HPL113" s="17"/>
      <c r="HPM113" s="17"/>
      <c r="HPN113" s="17"/>
      <c r="HPO113" s="17"/>
      <c r="HPP113" s="17"/>
      <c r="HPQ113" s="17"/>
      <c r="HPR113" s="17"/>
      <c r="HPS113" s="17"/>
      <c r="HPT113" s="17"/>
      <c r="HPU113" s="17"/>
      <c r="HPV113" s="17"/>
      <c r="HPW113" s="17"/>
      <c r="HPX113" s="17"/>
      <c r="HPY113" s="17"/>
      <c r="HPZ113" s="17"/>
      <c r="HQA113" s="17"/>
      <c r="HQB113" s="17"/>
      <c r="HQC113" s="17"/>
      <c r="HQD113" s="17"/>
      <c r="HQE113" s="17"/>
      <c r="HQF113" s="17"/>
      <c r="HQG113" s="17"/>
      <c r="HQH113" s="17"/>
      <c r="HQI113" s="17"/>
      <c r="HQJ113" s="17"/>
      <c r="HQK113" s="17"/>
      <c r="HQL113" s="17"/>
      <c r="HQM113" s="17"/>
      <c r="HQN113" s="17"/>
      <c r="HQO113" s="17"/>
      <c r="HQP113" s="17"/>
      <c r="HQQ113" s="17"/>
      <c r="HQR113" s="17"/>
      <c r="HQS113" s="17"/>
      <c r="HQT113" s="17"/>
      <c r="HQU113" s="17"/>
      <c r="HQV113" s="17"/>
      <c r="HQW113" s="17"/>
      <c r="HQX113" s="17"/>
      <c r="HQY113" s="17"/>
      <c r="HQZ113" s="17"/>
      <c r="HRA113" s="17"/>
      <c r="HRB113" s="17"/>
      <c r="HRC113" s="17"/>
      <c r="HRD113" s="17"/>
      <c r="HRE113" s="17"/>
      <c r="HRF113" s="17"/>
      <c r="HRG113" s="17"/>
      <c r="HRH113" s="17"/>
      <c r="HRI113" s="17"/>
      <c r="HRJ113" s="17"/>
      <c r="HRK113" s="17"/>
      <c r="HRL113" s="17"/>
      <c r="HRM113" s="17"/>
      <c r="HRN113" s="17"/>
      <c r="HRO113" s="17"/>
      <c r="HRP113" s="17"/>
      <c r="HRQ113" s="17"/>
      <c r="HRR113" s="17"/>
      <c r="HRS113" s="17"/>
      <c r="HRT113" s="17"/>
      <c r="HRU113" s="17"/>
      <c r="HRV113" s="17"/>
      <c r="HRW113" s="17"/>
      <c r="HRX113" s="17"/>
      <c r="HRY113" s="17"/>
      <c r="HRZ113" s="17"/>
      <c r="HSA113" s="17"/>
      <c r="HSB113" s="17"/>
      <c r="HSC113" s="17"/>
      <c r="HSD113" s="17"/>
      <c r="HSE113" s="17"/>
      <c r="HSF113" s="17"/>
      <c r="HSG113" s="17"/>
      <c r="HSH113" s="17"/>
      <c r="HSI113" s="17"/>
      <c r="HSJ113" s="17"/>
      <c r="HSK113" s="17"/>
      <c r="HSL113" s="17"/>
      <c r="HSM113" s="17"/>
      <c r="HSN113" s="17"/>
      <c r="HSO113" s="17"/>
      <c r="HSP113" s="17"/>
      <c r="HSQ113" s="17"/>
      <c r="HSR113" s="17"/>
      <c r="HSS113" s="17"/>
      <c r="HST113" s="17"/>
      <c r="HSU113" s="17"/>
      <c r="HSV113" s="17"/>
      <c r="HSW113" s="17"/>
      <c r="HSX113" s="17"/>
      <c r="HSY113" s="17"/>
      <c r="HSZ113" s="17"/>
      <c r="HTA113" s="17"/>
      <c r="HTB113" s="17"/>
      <c r="HTC113" s="17"/>
      <c r="HTD113" s="17"/>
      <c r="HTE113" s="17"/>
      <c r="HTF113" s="17"/>
      <c r="HTG113" s="17"/>
      <c r="HTH113" s="17"/>
      <c r="HTI113" s="17"/>
      <c r="HTJ113" s="17"/>
      <c r="HTK113" s="17"/>
      <c r="HTL113" s="17"/>
      <c r="HTM113" s="17"/>
      <c r="HTN113" s="17"/>
      <c r="HTO113" s="17"/>
      <c r="HTP113" s="17"/>
      <c r="HTQ113" s="17"/>
      <c r="HTR113" s="17"/>
      <c r="HTS113" s="17"/>
      <c r="HTT113" s="17"/>
      <c r="HTU113" s="17"/>
      <c r="HTV113" s="17"/>
      <c r="HTW113" s="17"/>
      <c r="HTX113" s="17"/>
      <c r="HTY113" s="17"/>
      <c r="HTZ113" s="17"/>
      <c r="HUA113" s="17"/>
      <c r="HUB113" s="17"/>
      <c r="HUC113" s="17"/>
      <c r="HUD113" s="17"/>
      <c r="HUE113" s="17"/>
      <c r="HUF113" s="17"/>
      <c r="HUG113" s="17"/>
      <c r="HUH113" s="17"/>
      <c r="HUI113" s="17"/>
      <c r="HUJ113" s="17"/>
      <c r="HUK113" s="17"/>
      <c r="HUL113" s="17"/>
      <c r="HUM113" s="17"/>
      <c r="HUN113" s="17"/>
      <c r="HUO113" s="17"/>
      <c r="HUP113" s="17"/>
      <c r="HUQ113" s="17"/>
      <c r="HUR113" s="17"/>
      <c r="HUS113" s="17"/>
      <c r="HUT113" s="17"/>
      <c r="HUU113" s="17"/>
      <c r="HUV113" s="17"/>
      <c r="HUW113" s="17"/>
      <c r="HUX113" s="17"/>
      <c r="HUY113" s="17"/>
      <c r="HUZ113" s="17"/>
      <c r="HVA113" s="17"/>
      <c r="HVB113" s="17"/>
      <c r="HVC113" s="17"/>
      <c r="HVD113" s="17"/>
      <c r="HVE113" s="17"/>
      <c r="HVF113" s="17"/>
      <c r="HVG113" s="17"/>
      <c r="HVH113" s="17"/>
      <c r="HVI113" s="17"/>
      <c r="HVJ113" s="17"/>
      <c r="HVK113" s="17"/>
      <c r="HVL113" s="17"/>
      <c r="HVM113" s="17"/>
      <c r="HVN113" s="17"/>
      <c r="HVO113" s="17"/>
      <c r="HVP113" s="17"/>
      <c r="HVQ113" s="17"/>
      <c r="HVR113" s="17"/>
      <c r="HVS113" s="17"/>
      <c r="HVT113" s="17"/>
      <c r="HVU113" s="17"/>
      <c r="HVV113" s="17"/>
      <c r="HVW113" s="17"/>
      <c r="HVX113" s="17"/>
      <c r="HVY113" s="17"/>
      <c r="HVZ113" s="17"/>
      <c r="HWA113" s="17"/>
      <c r="HWB113" s="17"/>
      <c r="HWC113" s="17"/>
      <c r="HWD113" s="17"/>
      <c r="HWE113" s="17"/>
      <c r="HWF113" s="17"/>
      <c r="HWG113" s="17"/>
      <c r="HWH113" s="17"/>
      <c r="HWI113" s="17"/>
      <c r="HWJ113" s="17"/>
      <c r="HWK113" s="17"/>
      <c r="HWL113" s="17"/>
      <c r="HWM113" s="17"/>
      <c r="HWN113" s="17"/>
      <c r="HWO113" s="17"/>
      <c r="HWP113" s="17"/>
      <c r="HWQ113" s="17"/>
      <c r="HWR113" s="17"/>
      <c r="HWS113" s="17"/>
      <c r="HWT113" s="17"/>
      <c r="HWU113" s="17"/>
      <c r="HWV113" s="17"/>
      <c r="HWW113" s="17"/>
      <c r="HWX113" s="17"/>
      <c r="HWY113" s="17"/>
      <c r="HWZ113" s="17"/>
      <c r="HXA113" s="17"/>
      <c r="HXB113" s="17"/>
      <c r="HXC113" s="17"/>
      <c r="HXD113" s="17"/>
      <c r="HXE113" s="17"/>
      <c r="HXF113" s="17"/>
      <c r="HXG113" s="17"/>
      <c r="HXH113" s="17"/>
      <c r="HXI113" s="17"/>
      <c r="HXJ113" s="17"/>
      <c r="HXK113" s="17"/>
      <c r="HXL113" s="17"/>
      <c r="HXM113" s="17"/>
      <c r="HXN113" s="17"/>
      <c r="HXO113" s="17"/>
      <c r="HXP113" s="17"/>
      <c r="HXQ113" s="17"/>
      <c r="HXR113" s="17"/>
      <c r="HXS113" s="17"/>
      <c r="HXT113" s="17"/>
      <c r="HXU113" s="17"/>
      <c r="HXV113" s="17"/>
      <c r="HXW113" s="17"/>
      <c r="HXX113" s="17"/>
      <c r="HXY113" s="17"/>
      <c r="HXZ113" s="17"/>
      <c r="HYA113" s="17"/>
      <c r="HYB113" s="17"/>
      <c r="HYC113" s="17"/>
      <c r="HYD113" s="17"/>
      <c r="HYE113" s="17"/>
      <c r="HYF113" s="17"/>
      <c r="HYG113" s="17"/>
      <c r="HYH113" s="17"/>
      <c r="HYI113" s="17"/>
      <c r="HYJ113" s="17"/>
      <c r="HYK113" s="17"/>
      <c r="HYL113" s="17"/>
      <c r="HYM113" s="17"/>
      <c r="HYN113" s="17"/>
      <c r="HYO113" s="17"/>
      <c r="HYP113" s="17"/>
      <c r="HYQ113" s="17"/>
      <c r="HYR113" s="17"/>
      <c r="HYS113" s="17"/>
      <c r="HYT113" s="17"/>
      <c r="HYU113" s="17"/>
      <c r="HYV113" s="17"/>
      <c r="HYW113" s="17"/>
      <c r="HYX113" s="17"/>
      <c r="HYY113" s="17"/>
      <c r="HYZ113" s="17"/>
      <c r="HZA113" s="17"/>
      <c r="HZB113" s="17"/>
      <c r="HZC113" s="17"/>
      <c r="HZD113" s="17"/>
      <c r="HZE113" s="17"/>
      <c r="HZF113" s="17"/>
      <c r="HZG113" s="17"/>
      <c r="HZH113" s="17"/>
      <c r="HZI113" s="17"/>
      <c r="HZJ113" s="17"/>
      <c r="HZK113" s="17"/>
      <c r="HZL113" s="17"/>
      <c r="HZM113" s="17"/>
      <c r="HZN113" s="17"/>
      <c r="HZO113" s="17"/>
      <c r="HZP113" s="17"/>
      <c r="HZQ113" s="17"/>
      <c r="HZR113" s="17"/>
      <c r="HZS113" s="17"/>
      <c r="HZT113" s="17"/>
      <c r="HZU113" s="17"/>
      <c r="HZV113" s="17"/>
      <c r="HZW113" s="17"/>
      <c r="HZX113" s="17"/>
      <c r="HZY113" s="17"/>
      <c r="HZZ113" s="17"/>
      <c r="IAA113" s="17"/>
      <c r="IAB113" s="17"/>
      <c r="IAC113" s="17"/>
      <c r="IAD113" s="17"/>
      <c r="IAE113" s="17"/>
      <c r="IAF113" s="17"/>
      <c r="IAG113" s="17"/>
      <c r="IAH113" s="17"/>
      <c r="IAI113" s="17"/>
      <c r="IAJ113" s="17"/>
      <c r="IAK113" s="17"/>
      <c r="IAL113" s="17"/>
      <c r="IAM113" s="17"/>
      <c r="IAN113" s="17"/>
      <c r="IAO113" s="17"/>
      <c r="IAP113" s="17"/>
      <c r="IAQ113" s="17"/>
      <c r="IAR113" s="17"/>
      <c r="IAS113" s="17"/>
      <c r="IAT113" s="17"/>
      <c r="IAU113" s="17"/>
      <c r="IAV113" s="17"/>
      <c r="IAW113" s="17"/>
      <c r="IAX113" s="17"/>
      <c r="IAY113" s="17"/>
      <c r="IAZ113" s="17"/>
      <c r="IBA113" s="17"/>
      <c r="IBB113" s="17"/>
      <c r="IBC113" s="17"/>
      <c r="IBD113" s="17"/>
      <c r="IBE113" s="17"/>
      <c r="IBF113" s="17"/>
      <c r="IBG113" s="17"/>
      <c r="IBH113" s="17"/>
      <c r="IBI113" s="17"/>
      <c r="IBJ113" s="17"/>
      <c r="IBK113" s="17"/>
      <c r="IBL113" s="17"/>
      <c r="IBM113" s="17"/>
      <c r="IBN113" s="17"/>
      <c r="IBO113" s="17"/>
      <c r="IBP113" s="17"/>
      <c r="IBQ113" s="17"/>
      <c r="IBR113" s="17"/>
      <c r="IBS113" s="17"/>
      <c r="IBT113" s="17"/>
      <c r="IBU113" s="17"/>
      <c r="IBV113" s="17"/>
      <c r="IBW113" s="17"/>
      <c r="IBX113" s="17"/>
      <c r="IBY113" s="17"/>
      <c r="IBZ113" s="17"/>
      <c r="ICA113" s="17"/>
      <c r="ICB113" s="17"/>
      <c r="ICC113" s="17"/>
      <c r="ICD113" s="17"/>
      <c r="ICE113" s="17"/>
      <c r="ICF113" s="17"/>
      <c r="ICG113" s="17"/>
      <c r="ICH113" s="17"/>
      <c r="ICI113" s="17"/>
      <c r="ICJ113" s="17"/>
      <c r="ICK113" s="17"/>
      <c r="ICL113" s="17"/>
      <c r="ICM113" s="17"/>
      <c r="ICN113" s="17"/>
      <c r="ICO113" s="17"/>
      <c r="ICP113" s="17"/>
      <c r="ICQ113" s="17"/>
      <c r="ICR113" s="17"/>
      <c r="ICS113" s="17"/>
      <c r="ICT113" s="17"/>
      <c r="ICU113" s="17"/>
      <c r="ICV113" s="17"/>
      <c r="ICW113" s="17"/>
      <c r="ICX113" s="17"/>
      <c r="ICY113" s="17"/>
      <c r="ICZ113" s="17"/>
      <c r="IDA113" s="17"/>
      <c r="IDB113" s="17"/>
      <c r="IDC113" s="17"/>
      <c r="IDD113" s="17"/>
      <c r="IDE113" s="17"/>
      <c r="IDF113" s="17"/>
      <c r="IDG113" s="17"/>
      <c r="IDH113" s="17"/>
      <c r="IDI113" s="17"/>
      <c r="IDJ113" s="17"/>
      <c r="IDK113" s="17"/>
      <c r="IDL113" s="17"/>
      <c r="IDM113" s="17"/>
      <c r="IDN113" s="17"/>
      <c r="IDO113" s="17"/>
      <c r="IDP113" s="17"/>
      <c r="IDQ113" s="17"/>
      <c r="IDR113" s="17"/>
      <c r="IDS113" s="17"/>
      <c r="IDT113" s="17"/>
      <c r="IDU113" s="17"/>
      <c r="IDV113" s="17"/>
      <c r="IDW113" s="17"/>
      <c r="IDX113" s="17"/>
      <c r="IDY113" s="17"/>
      <c r="IDZ113" s="17"/>
      <c r="IEA113" s="17"/>
      <c r="IEB113" s="17"/>
      <c r="IEC113" s="17"/>
      <c r="IED113" s="17"/>
      <c r="IEE113" s="17"/>
      <c r="IEF113" s="17"/>
      <c r="IEG113" s="17"/>
      <c r="IEH113" s="17"/>
      <c r="IEI113" s="17"/>
      <c r="IEJ113" s="17"/>
      <c r="IEK113" s="17"/>
      <c r="IEL113" s="17"/>
      <c r="IEM113" s="17"/>
      <c r="IEN113" s="17"/>
      <c r="IEO113" s="17"/>
      <c r="IEP113" s="17"/>
      <c r="IEQ113" s="17"/>
      <c r="IER113" s="17"/>
      <c r="IES113" s="17"/>
      <c r="IET113" s="17"/>
      <c r="IEU113" s="17"/>
      <c r="IEV113" s="17"/>
      <c r="IEW113" s="17"/>
      <c r="IEX113" s="17"/>
      <c r="IEY113" s="17"/>
      <c r="IEZ113" s="17"/>
      <c r="IFA113" s="17"/>
      <c r="IFB113" s="17"/>
      <c r="IFC113" s="17"/>
      <c r="IFD113" s="17"/>
      <c r="IFE113" s="17"/>
      <c r="IFF113" s="17"/>
      <c r="IFG113" s="17"/>
      <c r="IFH113" s="17"/>
      <c r="IFI113" s="17"/>
      <c r="IFJ113" s="17"/>
      <c r="IFK113" s="17"/>
      <c r="IFL113" s="17"/>
      <c r="IFM113" s="17"/>
      <c r="IFN113" s="17"/>
      <c r="IFO113" s="17"/>
      <c r="IFP113" s="17"/>
      <c r="IFQ113" s="17"/>
      <c r="IFR113" s="17"/>
      <c r="IFS113" s="17"/>
      <c r="IFT113" s="17"/>
      <c r="IFU113" s="17"/>
      <c r="IFV113" s="17"/>
      <c r="IFW113" s="17"/>
      <c r="IFX113" s="17"/>
      <c r="IFY113" s="17"/>
      <c r="IFZ113" s="17"/>
      <c r="IGA113" s="17"/>
      <c r="IGB113" s="17"/>
      <c r="IGC113" s="17"/>
      <c r="IGD113" s="17"/>
      <c r="IGE113" s="17"/>
      <c r="IGF113" s="17"/>
      <c r="IGG113" s="17"/>
      <c r="IGH113" s="17"/>
      <c r="IGI113" s="17"/>
      <c r="IGJ113" s="17"/>
      <c r="IGK113" s="17"/>
      <c r="IGL113" s="17"/>
      <c r="IGM113" s="17"/>
      <c r="IGN113" s="17"/>
      <c r="IGO113" s="17"/>
      <c r="IGP113" s="17"/>
      <c r="IGQ113" s="17"/>
      <c r="IGR113" s="17"/>
      <c r="IGS113" s="17"/>
      <c r="IGT113" s="17"/>
      <c r="IGU113" s="17"/>
      <c r="IGV113" s="17"/>
      <c r="IGW113" s="17"/>
      <c r="IGX113" s="17"/>
      <c r="IGY113" s="17"/>
      <c r="IGZ113" s="17"/>
      <c r="IHA113" s="17"/>
      <c r="IHB113" s="17"/>
      <c r="IHC113" s="17"/>
      <c r="IHD113" s="17"/>
      <c r="IHE113" s="17"/>
      <c r="IHF113" s="17"/>
      <c r="IHG113" s="17"/>
      <c r="IHH113" s="17"/>
      <c r="IHI113" s="17"/>
      <c r="IHJ113" s="17"/>
      <c r="IHK113" s="17"/>
      <c r="IHL113" s="17"/>
      <c r="IHM113" s="17"/>
      <c r="IHN113" s="17"/>
      <c r="IHO113" s="17"/>
      <c r="IHP113" s="17"/>
      <c r="IHQ113" s="17"/>
      <c r="IHR113" s="17"/>
      <c r="IHS113" s="17"/>
      <c r="IHT113" s="17"/>
      <c r="IHU113" s="17"/>
      <c r="IHV113" s="17"/>
      <c r="IHW113" s="17"/>
      <c r="IHX113" s="17"/>
      <c r="IHY113" s="17"/>
      <c r="IHZ113" s="17"/>
      <c r="IIA113" s="17"/>
      <c r="IIB113" s="17"/>
      <c r="IIC113" s="17"/>
      <c r="IID113" s="17"/>
      <c r="IIE113" s="17"/>
      <c r="IIF113" s="17"/>
      <c r="IIG113" s="17"/>
      <c r="IIH113" s="17"/>
      <c r="III113" s="17"/>
      <c r="IIJ113" s="17"/>
      <c r="IIK113" s="17"/>
      <c r="IIL113" s="17"/>
      <c r="IIM113" s="17"/>
      <c r="IIN113" s="17"/>
      <c r="IIO113" s="17"/>
      <c r="IIP113" s="17"/>
      <c r="IIQ113" s="17"/>
      <c r="IIR113" s="17"/>
      <c r="IIS113" s="17"/>
      <c r="IIT113" s="17"/>
      <c r="IIU113" s="17"/>
      <c r="IIV113" s="17"/>
      <c r="IIW113" s="17"/>
      <c r="IIX113" s="17"/>
      <c r="IIY113" s="17"/>
      <c r="IIZ113" s="17"/>
      <c r="IJA113" s="17"/>
      <c r="IJB113" s="17"/>
      <c r="IJC113" s="17"/>
      <c r="IJD113" s="17"/>
      <c r="IJE113" s="17"/>
      <c r="IJF113" s="17"/>
      <c r="IJG113" s="17"/>
      <c r="IJH113" s="17"/>
      <c r="IJI113" s="17"/>
      <c r="IJJ113" s="17"/>
      <c r="IJK113" s="17"/>
      <c r="IJL113" s="17"/>
      <c r="IJM113" s="17"/>
      <c r="IJN113" s="17"/>
      <c r="IJO113" s="17"/>
      <c r="IJP113" s="17"/>
      <c r="IJQ113" s="17"/>
      <c r="IJR113" s="17"/>
      <c r="IJS113" s="17"/>
      <c r="IJT113" s="17"/>
      <c r="IJU113" s="17"/>
      <c r="IJV113" s="17"/>
      <c r="IJW113" s="17"/>
      <c r="IJX113" s="17"/>
      <c r="IJY113" s="17"/>
      <c r="IJZ113" s="17"/>
      <c r="IKA113" s="17"/>
      <c r="IKB113" s="17"/>
      <c r="IKC113" s="17"/>
      <c r="IKD113" s="17"/>
      <c r="IKE113" s="17"/>
      <c r="IKF113" s="17"/>
      <c r="IKG113" s="17"/>
      <c r="IKH113" s="17"/>
      <c r="IKI113" s="17"/>
      <c r="IKJ113" s="17"/>
      <c r="IKK113" s="17"/>
      <c r="IKL113" s="17"/>
      <c r="IKM113" s="17"/>
      <c r="IKN113" s="17"/>
      <c r="IKO113" s="17"/>
      <c r="IKP113" s="17"/>
      <c r="IKQ113" s="17"/>
      <c r="IKR113" s="17"/>
      <c r="IKS113" s="17"/>
      <c r="IKT113" s="17"/>
      <c r="IKU113" s="17"/>
      <c r="IKV113" s="17"/>
      <c r="IKW113" s="17"/>
      <c r="IKX113" s="17"/>
      <c r="IKY113" s="17"/>
      <c r="IKZ113" s="17"/>
      <c r="ILA113" s="17"/>
      <c r="ILB113" s="17"/>
      <c r="ILC113" s="17"/>
      <c r="ILD113" s="17"/>
      <c r="ILE113" s="17"/>
      <c r="ILF113" s="17"/>
      <c r="ILG113" s="17"/>
      <c r="ILH113" s="17"/>
      <c r="ILI113" s="17"/>
      <c r="ILJ113" s="17"/>
      <c r="ILK113" s="17"/>
      <c r="ILL113" s="17"/>
      <c r="ILM113" s="17"/>
      <c r="ILN113" s="17"/>
      <c r="ILO113" s="17"/>
      <c r="ILP113" s="17"/>
      <c r="ILQ113" s="17"/>
      <c r="ILR113" s="17"/>
      <c r="ILS113" s="17"/>
      <c r="ILT113" s="17"/>
      <c r="ILU113" s="17"/>
      <c r="ILV113" s="17"/>
      <c r="ILW113" s="17"/>
      <c r="ILX113" s="17"/>
      <c r="ILY113" s="17"/>
      <c r="ILZ113" s="17"/>
      <c r="IMA113" s="17"/>
      <c r="IMB113" s="17"/>
      <c r="IMC113" s="17"/>
      <c r="IMD113" s="17"/>
      <c r="IME113" s="17"/>
      <c r="IMF113" s="17"/>
      <c r="IMG113" s="17"/>
      <c r="IMH113" s="17"/>
      <c r="IMI113" s="17"/>
      <c r="IMJ113" s="17"/>
      <c r="IMK113" s="17"/>
      <c r="IML113" s="17"/>
      <c r="IMM113" s="17"/>
      <c r="IMN113" s="17"/>
      <c r="IMO113" s="17"/>
      <c r="IMP113" s="17"/>
      <c r="IMQ113" s="17"/>
      <c r="IMR113" s="17"/>
      <c r="IMS113" s="17"/>
      <c r="IMT113" s="17"/>
      <c r="IMU113" s="17"/>
      <c r="IMV113" s="17"/>
      <c r="IMW113" s="17"/>
      <c r="IMX113" s="17"/>
      <c r="IMY113" s="17"/>
      <c r="IMZ113" s="17"/>
      <c r="INA113" s="17"/>
      <c r="INB113" s="17"/>
      <c r="INC113" s="17"/>
      <c r="IND113" s="17"/>
      <c r="INE113" s="17"/>
      <c r="INF113" s="17"/>
      <c r="ING113" s="17"/>
      <c r="INH113" s="17"/>
      <c r="INI113" s="17"/>
      <c r="INJ113" s="17"/>
      <c r="INK113" s="17"/>
      <c r="INL113" s="17"/>
      <c r="INM113" s="17"/>
      <c r="INN113" s="17"/>
      <c r="INO113" s="17"/>
      <c r="INP113" s="17"/>
      <c r="INQ113" s="17"/>
      <c r="INR113" s="17"/>
      <c r="INS113" s="17"/>
      <c r="INT113" s="17"/>
      <c r="INU113" s="17"/>
      <c r="INV113" s="17"/>
      <c r="INW113" s="17"/>
      <c r="INX113" s="17"/>
      <c r="INY113" s="17"/>
      <c r="INZ113" s="17"/>
      <c r="IOA113" s="17"/>
      <c r="IOB113" s="17"/>
      <c r="IOC113" s="17"/>
      <c r="IOD113" s="17"/>
      <c r="IOE113" s="17"/>
      <c r="IOF113" s="17"/>
      <c r="IOG113" s="17"/>
      <c r="IOH113" s="17"/>
      <c r="IOI113" s="17"/>
      <c r="IOJ113" s="17"/>
      <c r="IOK113" s="17"/>
      <c r="IOL113" s="17"/>
      <c r="IOM113" s="17"/>
      <c r="ION113" s="17"/>
      <c r="IOO113" s="17"/>
      <c r="IOP113" s="17"/>
      <c r="IOQ113" s="17"/>
      <c r="IOR113" s="17"/>
      <c r="IOS113" s="17"/>
      <c r="IOT113" s="17"/>
      <c r="IOU113" s="17"/>
      <c r="IOV113" s="17"/>
      <c r="IOW113" s="17"/>
      <c r="IOX113" s="17"/>
      <c r="IOY113" s="17"/>
      <c r="IOZ113" s="17"/>
      <c r="IPA113" s="17"/>
      <c r="IPB113" s="17"/>
      <c r="IPC113" s="17"/>
      <c r="IPD113" s="17"/>
      <c r="IPE113" s="17"/>
      <c r="IPF113" s="17"/>
      <c r="IPG113" s="17"/>
      <c r="IPH113" s="17"/>
      <c r="IPI113" s="17"/>
      <c r="IPJ113" s="17"/>
      <c r="IPK113" s="17"/>
      <c r="IPL113" s="17"/>
      <c r="IPM113" s="17"/>
      <c r="IPN113" s="17"/>
      <c r="IPO113" s="17"/>
      <c r="IPP113" s="17"/>
      <c r="IPQ113" s="17"/>
      <c r="IPR113" s="17"/>
      <c r="IPS113" s="17"/>
      <c r="IPT113" s="17"/>
      <c r="IPU113" s="17"/>
      <c r="IPV113" s="17"/>
      <c r="IPW113" s="17"/>
      <c r="IPX113" s="17"/>
      <c r="IPY113" s="17"/>
      <c r="IPZ113" s="17"/>
      <c r="IQA113" s="17"/>
      <c r="IQB113" s="17"/>
      <c r="IQC113" s="17"/>
      <c r="IQD113" s="17"/>
      <c r="IQE113" s="17"/>
      <c r="IQF113" s="17"/>
      <c r="IQG113" s="17"/>
      <c r="IQH113" s="17"/>
      <c r="IQI113" s="17"/>
      <c r="IQJ113" s="17"/>
      <c r="IQK113" s="17"/>
      <c r="IQL113" s="17"/>
      <c r="IQM113" s="17"/>
      <c r="IQN113" s="17"/>
      <c r="IQO113" s="17"/>
      <c r="IQP113" s="17"/>
      <c r="IQQ113" s="17"/>
      <c r="IQR113" s="17"/>
      <c r="IQS113" s="17"/>
      <c r="IQT113" s="17"/>
      <c r="IQU113" s="17"/>
      <c r="IQV113" s="17"/>
      <c r="IQW113" s="17"/>
      <c r="IQX113" s="17"/>
      <c r="IQY113" s="17"/>
      <c r="IQZ113" s="17"/>
      <c r="IRA113" s="17"/>
      <c r="IRB113" s="17"/>
      <c r="IRC113" s="17"/>
      <c r="IRD113" s="17"/>
      <c r="IRE113" s="17"/>
      <c r="IRF113" s="17"/>
      <c r="IRG113" s="17"/>
      <c r="IRH113" s="17"/>
      <c r="IRI113" s="17"/>
      <c r="IRJ113" s="17"/>
      <c r="IRK113" s="17"/>
      <c r="IRL113" s="17"/>
      <c r="IRM113" s="17"/>
      <c r="IRN113" s="17"/>
      <c r="IRO113" s="17"/>
      <c r="IRP113" s="17"/>
      <c r="IRQ113" s="17"/>
      <c r="IRR113" s="17"/>
      <c r="IRS113" s="17"/>
      <c r="IRT113" s="17"/>
      <c r="IRU113" s="17"/>
      <c r="IRV113" s="17"/>
      <c r="IRW113" s="17"/>
      <c r="IRX113" s="17"/>
      <c r="IRY113" s="17"/>
      <c r="IRZ113" s="17"/>
      <c r="ISA113" s="17"/>
      <c r="ISB113" s="17"/>
      <c r="ISC113" s="17"/>
      <c r="ISD113" s="17"/>
      <c r="ISE113" s="17"/>
      <c r="ISF113" s="17"/>
      <c r="ISG113" s="17"/>
      <c r="ISH113" s="17"/>
      <c r="ISI113" s="17"/>
      <c r="ISJ113" s="17"/>
      <c r="ISK113" s="17"/>
      <c r="ISL113" s="17"/>
      <c r="ISM113" s="17"/>
      <c r="ISN113" s="17"/>
      <c r="ISO113" s="17"/>
      <c r="ISP113" s="17"/>
      <c r="ISQ113" s="17"/>
      <c r="ISR113" s="17"/>
      <c r="ISS113" s="17"/>
      <c r="IST113" s="17"/>
      <c r="ISU113" s="17"/>
      <c r="ISV113" s="17"/>
      <c r="ISW113" s="17"/>
      <c r="ISX113" s="17"/>
      <c r="ISY113" s="17"/>
      <c r="ISZ113" s="17"/>
      <c r="ITA113" s="17"/>
      <c r="ITB113" s="17"/>
      <c r="ITC113" s="17"/>
      <c r="ITD113" s="17"/>
      <c r="ITE113" s="17"/>
      <c r="ITF113" s="17"/>
      <c r="ITG113" s="17"/>
      <c r="ITH113" s="17"/>
      <c r="ITI113" s="17"/>
      <c r="ITJ113" s="17"/>
      <c r="ITK113" s="17"/>
      <c r="ITL113" s="17"/>
      <c r="ITM113" s="17"/>
      <c r="ITN113" s="17"/>
      <c r="ITO113" s="17"/>
      <c r="ITP113" s="17"/>
      <c r="ITQ113" s="17"/>
      <c r="ITR113" s="17"/>
      <c r="ITS113" s="17"/>
      <c r="ITT113" s="17"/>
      <c r="ITU113" s="17"/>
      <c r="ITV113" s="17"/>
      <c r="ITW113" s="17"/>
      <c r="ITX113" s="17"/>
      <c r="ITY113" s="17"/>
      <c r="ITZ113" s="17"/>
      <c r="IUA113" s="17"/>
      <c r="IUB113" s="17"/>
      <c r="IUC113" s="17"/>
      <c r="IUD113" s="17"/>
      <c r="IUE113" s="17"/>
      <c r="IUF113" s="17"/>
      <c r="IUG113" s="17"/>
      <c r="IUH113" s="17"/>
      <c r="IUI113" s="17"/>
      <c r="IUJ113" s="17"/>
      <c r="IUK113" s="17"/>
      <c r="IUL113" s="17"/>
      <c r="IUM113" s="17"/>
      <c r="IUN113" s="17"/>
      <c r="IUO113" s="17"/>
      <c r="IUP113" s="17"/>
      <c r="IUQ113" s="17"/>
      <c r="IUR113" s="17"/>
      <c r="IUS113" s="17"/>
      <c r="IUT113" s="17"/>
      <c r="IUU113" s="17"/>
      <c r="IUV113" s="17"/>
      <c r="IUW113" s="17"/>
      <c r="IUX113" s="17"/>
      <c r="IUY113" s="17"/>
      <c r="IUZ113" s="17"/>
      <c r="IVA113" s="17"/>
      <c r="IVB113" s="17"/>
      <c r="IVC113" s="17"/>
      <c r="IVD113" s="17"/>
      <c r="IVE113" s="17"/>
      <c r="IVF113" s="17"/>
      <c r="IVG113" s="17"/>
      <c r="IVH113" s="17"/>
      <c r="IVI113" s="17"/>
      <c r="IVJ113" s="17"/>
      <c r="IVK113" s="17"/>
      <c r="IVL113" s="17"/>
      <c r="IVM113" s="17"/>
      <c r="IVN113" s="17"/>
      <c r="IVO113" s="17"/>
      <c r="IVP113" s="17"/>
      <c r="IVQ113" s="17"/>
      <c r="IVR113" s="17"/>
      <c r="IVS113" s="17"/>
      <c r="IVT113" s="17"/>
      <c r="IVU113" s="17"/>
      <c r="IVV113" s="17"/>
      <c r="IVW113" s="17"/>
      <c r="IVX113" s="17"/>
      <c r="IVY113" s="17"/>
      <c r="IVZ113" s="17"/>
      <c r="IWA113" s="17"/>
      <c r="IWB113" s="17"/>
      <c r="IWC113" s="17"/>
      <c r="IWD113" s="17"/>
      <c r="IWE113" s="17"/>
      <c r="IWF113" s="17"/>
      <c r="IWG113" s="17"/>
      <c r="IWH113" s="17"/>
      <c r="IWI113" s="17"/>
      <c r="IWJ113" s="17"/>
      <c r="IWK113" s="17"/>
      <c r="IWL113" s="17"/>
      <c r="IWM113" s="17"/>
      <c r="IWN113" s="17"/>
      <c r="IWO113" s="17"/>
      <c r="IWP113" s="17"/>
      <c r="IWQ113" s="17"/>
      <c r="IWR113" s="17"/>
      <c r="IWS113" s="17"/>
      <c r="IWT113" s="17"/>
      <c r="IWU113" s="17"/>
      <c r="IWV113" s="17"/>
      <c r="IWW113" s="17"/>
      <c r="IWX113" s="17"/>
      <c r="IWY113" s="17"/>
      <c r="IWZ113" s="17"/>
      <c r="IXA113" s="17"/>
      <c r="IXB113" s="17"/>
      <c r="IXC113" s="17"/>
      <c r="IXD113" s="17"/>
      <c r="IXE113" s="17"/>
      <c r="IXF113" s="17"/>
      <c r="IXG113" s="17"/>
      <c r="IXH113" s="17"/>
      <c r="IXI113" s="17"/>
      <c r="IXJ113" s="17"/>
      <c r="IXK113" s="17"/>
      <c r="IXL113" s="17"/>
      <c r="IXM113" s="17"/>
      <c r="IXN113" s="17"/>
      <c r="IXO113" s="17"/>
      <c r="IXP113" s="17"/>
      <c r="IXQ113" s="17"/>
      <c r="IXR113" s="17"/>
      <c r="IXS113" s="17"/>
      <c r="IXT113" s="17"/>
      <c r="IXU113" s="17"/>
      <c r="IXV113" s="17"/>
      <c r="IXW113" s="17"/>
      <c r="IXX113" s="17"/>
      <c r="IXY113" s="17"/>
      <c r="IXZ113" s="17"/>
      <c r="IYA113" s="17"/>
      <c r="IYB113" s="17"/>
      <c r="IYC113" s="17"/>
      <c r="IYD113" s="17"/>
      <c r="IYE113" s="17"/>
      <c r="IYF113" s="17"/>
      <c r="IYG113" s="17"/>
      <c r="IYH113" s="17"/>
      <c r="IYI113" s="17"/>
      <c r="IYJ113" s="17"/>
      <c r="IYK113" s="17"/>
      <c r="IYL113" s="17"/>
      <c r="IYM113" s="17"/>
      <c r="IYN113" s="17"/>
      <c r="IYO113" s="17"/>
      <c r="IYP113" s="17"/>
      <c r="IYQ113" s="17"/>
      <c r="IYR113" s="17"/>
      <c r="IYS113" s="17"/>
      <c r="IYT113" s="17"/>
      <c r="IYU113" s="17"/>
      <c r="IYV113" s="17"/>
      <c r="IYW113" s="17"/>
      <c r="IYX113" s="17"/>
      <c r="IYY113" s="17"/>
      <c r="IYZ113" s="17"/>
      <c r="IZA113" s="17"/>
      <c r="IZB113" s="17"/>
      <c r="IZC113" s="17"/>
      <c r="IZD113" s="17"/>
      <c r="IZE113" s="17"/>
      <c r="IZF113" s="17"/>
      <c r="IZG113" s="17"/>
      <c r="IZH113" s="17"/>
      <c r="IZI113" s="17"/>
      <c r="IZJ113" s="17"/>
      <c r="IZK113" s="17"/>
      <c r="IZL113" s="17"/>
      <c r="IZM113" s="17"/>
      <c r="IZN113" s="17"/>
      <c r="IZO113" s="17"/>
      <c r="IZP113" s="17"/>
      <c r="IZQ113" s="17"/>
      <c r="IZR113" s="17"/>
      <c r="IZS113" s="17"/>
      <c r="IZT113" s="17"/>
      <c r="IZU113" s="17"/>
      <c r="IZV113" s="17"/>
      <c r="IZW113" s="17"/>
      <c r="IZX113" s="17"/>
      <c r="IZY113" s="17"/>
      <c r="IZZ113" s="17"/>
      <c r="JAA113" s="17"/>
      <c r="JAB113" s="17"/>
      <c r="JAC113" s="17"/>
      <c r="JAD113" s="17"/>
      <c r="JAE113" s="17"/>
      <c r="JAF113" s="17"/>
      <c r="JAG113" s="17"/>
      <c r="JAH113" s="17"/>
      <c r="JAI113" s="17"/>
      <c r="JAJ113" s="17"/>
      <c r="JAK113" s="17"/>
      <c r="JAL113" s="17"/>
      <c r="JAM113" s="17"/>
      <c r="JAN113" s="17"/>
      <c r="JAO113" s="17"/>
      <c r="JAP113" s="17"/>
      <c r="JAQ113" s="17"/>
      <c r="JAR113" s="17"/>
      <c r="JAS113" s="17"/>
      <c r="JAT113" s="17"/>
      <c r="JAU113" s="17"/>
      <c r="JAV113" s="17"/>
      <c r="JAW113" s="17"/>
      <c r="JAX113" s="17"/>
      <c r="JAY113" s="17"/>
      <c r="JAZ113" s="17"/>
      <c r="JBA113" s="17"/>
      <c r="JBB113" s="17"/>
      <c r="JBC113" s="17"/>
      <c r="JBD113" s="17"/>
      <c r="JBE113" s="17"/>
      <c r="JBF113" s="17"/>
      <c r="JBG113" s="17"/>
      <c r="JBH113" s="17"/>
      <c r="JBI113" s="17"/>
      <c r="JBJ113" s="17"/>
      <c r="JBK113" s="17"/>
      <c r="JBL113" s="17"/>
      <c r="JBM113" s="17"/>
      <c r="JBN113" s="17"/>
      <c r="JBO113" s="17"/>
      <c r="JBP113" s="17"/>
      <c r="JBQ113" s="17"/>
      <c r="JBR113" s="17"/>
      <c r="JBS113" s="17"/>
      <c r="JBT113" s="17"/>
      <c r="JBU113" s="17"/>
      <c r="JBV113" s="17"/>
      <c r="JBW113" s="17"/>
      <c r="JBX113" s="17"/>
      <c r="JBY113" s="17"/>
      <c r="JBZ113" s="17"/>
      <c r="JCA113" s="17"/>
      <c r="JCB113" s="17"/>
      <c r="JCC113" s="17"/>
      <c r="JCD113" s="17"/>
      <c r="JCE113" s="17"/>
      <c r="JCF113" s="17"/>
      <c r="JCG113" s="17"/>
      <c r="JCH113" s="17"/>
      <c r="JCI113" s="17"/>
      <c r="JCJ113" s="17"/>
      <c r="JCK113" s="17"/>
      <c r="JCL113" s="17"/>
      <c r="JCM113" s="17"/>
      <c r="JCN113" s="17"/>
      <c r="JCO113" s="17"/>
      <c r="JCP113" s="17"/>
      <c r="JCQ113" s="17"/>
      <c r="JCR113" s="17"/>
      <c r="JCS113" s="17"/>
      <c r="JCT113" s="17"/>
      <c r="JCU113" s="17"/>
      <c r="JCV113" s="17"/>
      <c r="JCW113" s="17"/>
      <c r="JCX113" s="17"/>
      <c r="JCY113" s="17"/>
      <c r="JCZ113" s="17"/>
      <c r="JDA113" s="17"/>
      <c r="JDB113" s="17"/>
      <c r="JDC113" s="17"/>
      <c r="JDD113" s="17"/>
      <c r="JDE113" s="17"/>
      <c r="JDF113" s="17"/>
      <c r="JDG113" s="17"/>
      <c r="JDH113" s="17"/>
      <c r="JDI113" s="17"/>
      <c r="JDJ113" s="17"/>
      <c r="JDK113" s="17"/>
      <c r="JDL113" s="17"/>
      <c r="JDM113" s="17"/>
      <c r="JDN113" s="17"/>
      <c r="JDO113" s="17"/>
      <c r="JDP113" s="17"/>
      <c r="JDQ113" s="17"/>
      <c r="JDR113" s="17"/>
      <c r="JDS113" s="17"/>
      <c r="JDT113" s="17"/>
      <c r="JDU113" s="17"/>
      <c r="JDV113" s="17"/>
      <c r="JDW113" s="17"/>
      <c r="JDX113" s="17"/>
      <c r="JDY113" s="17"/>
      <c r="JDZ113" s="17"/>
      <c r="JEA113" s="17"/>
      <c r="JEB113" s="17"/>
      <c r="JEC113" s="17"/>
      <c r="JED113" s="17"/>
      <c r="JEE113" s="17"/>
      <c r="JEF113" s="17"/>
      <c r="JEG113" s="17"/>
      <c r="JEH113" s="17"/>
      <c r="JEI113" s="17"/>
      <c r="JEJ113" s="17"/>
      <c r="JEK113" s="17"/>
      <c r="JEL113" s="17"/>
      <c r="JEM113" s="17"/>
      <c r="JEN113" s="17"/>
      <c r="JEO113" s="17"/>
      <c r="JEP113" s="17"/>
      <c r="JEQ113" s="17"/>
      <c r="JER113" s="17"/>
      <c r="JES113" s="17"/>
      <c r="JET113" s="17"/>
      <c r="JEU113" s="17"/>
      <c r="JEV113" s="17"/>
      <c r="JEW113" s="17"/>
      <c r="JEX113" s="17"/>
      <c r="JEY113" s="17"/>
      <c r="JEZ113" s="17"/>
      <c r="JFA113" s="17"/>
      <c r="JFB113" s="17"/>
      <c r="JFC113" s="17"/>
      <c r="JFD113" s="17"/>
      <c r="JFE113" s="17"/>
      <c r="JFF113" s="17"/>
      <c r="JFG113" s="17"/>
      <c r="JFH113" s="17"/>
      <c r="JFI113" s="17"/>
      <c r="JFJ113" s="17"/>
      <c r="JFK113" s="17"/>
      <c r="JFL113" s="17"/>
      <c r="JFM113" s="17"/>
      <c r="JFN113" s="17"/>
      <c r="JFO113" s="17"/>
      <c r="JFP113" s="17"/>
      <c r="JFQ113" s="17"/>
      <c r="JFR113" s="17"/>
      <c r="JFS113" s="17"/>
      <c r="JFT113" s="17"/>
      <c r="JFU113" s="17"/>
      <c r="JFV113" s="17"/>
      <c r="JFW113" s="17"/>
      <c r="JFX113" s="17"/>
      <c r="JFY113" s="17"/>
      <c r="JFZ113" s="17"/>
      <c r="JGA113" s="17"/>
      <c r="JGB113" s="17"/>
      <c r="JGC113" s="17"/>
      <c r="JGD113" s="17"/>
      <c r="JGE113" s="17"/>
      <c r="JGF113" s="17"/>
      <c r="JGG113" s="17"/>
      <c r="JGH113" s="17"/>
      <c r="JGI113" s="17"/>
      <c r="JGJ113" s="17"/>
      <c r="JGK113" s="17"/>
      <c r="JGL113" s="17"/>
      <c r="JGM113" s="17"/>
      <c r="JGN113" s="17"/>
      <c r="JGO113" s="17"/>
      <c r="JGP113" s="17"/>
      <c r="JGQ113" s="17"/>
      <c r="JGR113" s="17"/>
      <c r="JGS113" s="17"/>
      <c r="JGT113" s="17"/>
      <c r="JGU113" s="17"/>
      <c r="JGV113" s="17"/>
      <c r="JGW113" s="17"/>
      <c r="JGX113" s="17"/>
      <c r="JGY113" s="17"/>
      <c r="JGZ113" s="17"/>
      <c r="JHA113" s="17"/>
      <c r="JHB113" s="17"/>
      <c r="JHC113" s="17"/>
      <c r="JHD113" s="17"/>
      <c r="JHE113" s="17"/>
      <c r="JHF113" s="17"/>
      <c r="JHG113" s="17"/>
      <c r="JHH113" s="17"/>
      <c r="JHI113" s="17"/>
      <c r="JHJ113" s="17"/>
      <c r="JHK113" s="17"/>
      <c r="JHL113" s="17"/>
      <c r="JHM113" s="17"/>
      <c r="JHN113" s="17"/>
      <c r="JHO113" s="17"/>
      <c r="JHP113" s="17"/>
      <c r="JHQ113" s="17"/>
      <c r="JHR113" s="17"/>
      <c r="JHS113" s="17"/>
      <c r="JHT113" s="17"/>
      <c r="JHU113" s="17"/>
      <c r="JHV113" s="17"/>
      <c r="JHW113" s="17"/>
      <c r="JHX113" s="17"/>
      <c r="JHY113" s="17"/>
      <c r="JHZ113" s="17"/>
      <c r="JIA113" s="17"/>
      <c r="JIB113" s="17"/>
      <c r="JIC113" s="17"/>
      <c r="JID113" s="17"/>
      <c r="JIE113" s="17"/>
      <c r="JIF113" s="17"/>
      <c r="JIG113" s="17"/>
      <c r="JIH113" s="17"/>
      <c r="JII113" s="17"/>
      <c r="JIJ113" s="17"/>
      <c r="JIK113" s="17"/>
      <c r="JIL113" s="17"/>
      <c r="JIM113" s="17"/>
      <c r="JIN113" s="17"/>
      <c r="JIO113" s="17"/>
      <c r="JIP113" s="17"/>
      <c r="JIQ113" s="17"/>
      <c r="JIR113" s="17"/>
      <c r="JIS113" s="17"/>
      <c r="JIT113" s="17"/>
      <c r="JIU113" s="17"/>
      <c r="JIV113" s="17"/>
      <c r="JIW113" s="17"/>
      <c r="JIX113" s="17"/>
      <c r="JIY113" s="17"/>
      <c r="JIZ113" s="17"/>
      <c r="JJA113" s="17"/>
      <c r="JJB113" s="17"/>
      <c r="JJC113" s="17"/>
      <c r="JJD113" s="17"/>
      <c r="JJE113" s="17"/>
      <c r="JJF113" s="17"/>
      <c r="JJG113" s="17"/>
      <c r="JJH113" s="17"/>
      <c r="JJI113" s="17"/>
      <c r="JJJ113" s="17"/>
      <c r="JJK113" s="17"/>
      <c r="JJL113" s="17"/>
      <c r="JJM113" s="17"/>
      <c r="JJN113" s="17"/>
      <c r="JJO113" s="17"/>
      <c r="JJP113" s="17"/>
      <c r="JJQ113" s="17"/>
      <c r="JJR113" s="17"/>
      <c r="JJS113" s="17"/>
      <c r="JJT113" s="17"/>
      <c r="JJU113" s="17"/>
      <c r="JJV113" s="17"/>
      <c r="JJW113" s="17"/>
      <c r="JJX113" s="17"/>
      <c r="JJY113" s="17"/>
      <c r="JJZ113" s="17"/>
      <c r="JKA113" s="17"/>
      <c r="JKB113" s="17"/>
      <c r="JKC113" s="17"/>
      <c r="JKD113" s="17"/>
      <c r="JKE113" s="17"/>
      <c r="JKF113" s="17"/>
      <c r="JKG113" s="17"/>
      <c r="JKH113" s="17"/>
      <c r="JKI113" s="17"/>
      <c r="JKJ113" s="17"/>
      <c r="JKK113" s="17"/>
      <c r="JKL113" s="17"/>
      <c r="JKM113" s="17"/>
      <c r="JKN113" s="17"/>
      <c r="JKO113" s="17"/>
      <c r="JKP113" s="17"/>
      <c r="JKQ113" s="17"/>
      <c r="JKR113" s="17"/>
      <c r="JKS113" s="17"/>
      <c r="JKT113" s="17"/>
      <c r="JKU113" s="17"/>
      <c r="JKV113" s="17"/>
      <c r="JKW113" s="17"/>
      <c r="JKX113" s="17"/>
      <c r="JKY113" s="17"/>
      <c r="JKZ113" s="17"/>
      <c r="JLA113" s="17"/>
      <c r="JLB113" s="17"/>
      <c r="JLC113" s="17"/>
      <c r="JLD113" s="17"/>
      <c r="JLE113" s="17"/>
      <c r="JLF113" s="17"/>
      <c r="JLG113" s="17"/>
      <c r="JLH113" s="17"/>
      <c r="JLI113" s="17"/>
      <c r="JLJ113" s="17"/>
      <c r="JLK113" s="17"/>
      <c r="JLL113" s="17"/>
      <c r="JLM113" s="17"/>
      <c r="JLN113" s="17"/>
      <c r="JLO113" s="17"/>
      <c r="JLP113" s="17"/>
      <c r="JLQ113" s="17"/>
      <c r="JLR113" s="17"/>
      <c r="JLS113" s="17"/>
      <c r="JLT113" s="17"/>
      <c r="JLU113" s="17"/>
      <c r="JLV113" s="17"/>
      <c r="JLW113" s="17"/>
      <c r="JLX113" s="17"/>
      <c r="JLY113" s="17"/>
      <c r="JLZ113" s="17"/>
      <c r="JMA113" s="17"/>
      <c r="JMB113" s="17"/>
      <c r="JMC113" s="17"/>
      <c r="JMD113" s="17"/>
      <c r="JME113" s="17"/>
      <c r="JMF113" s="17"/>
      <c r="JMG113" s="17"/>
      <c r="JMH113" s="17"/>
      <c r="JMI113" s="17"/>
      <c r="JMJ113" s="17"/>
      <c r="JMK113" s="17"/>
      <c r="JML113" s="17"/>
      <c r="JMM113" s="17"/>
      <c r="JMN113" s="17"/>
      <c r="JMO113" s="17"/>
      <c r="JMP113" s="17"/>
      <c r="JMQ113" s="17"/>
      <c r="JMR113" s="17"/>
      <c r="JMS113" s="17"/>
      <c r="JMT113" s="17"/>
      <c r="JMU113" s="17"/>
      <c r="JMV113" s="17"/>
      <c r="JMW113" s="17"/>
      <c r="JMX113" s="17"/>
      <c r="JMY113" s="17"/>
      <c r="JMZ113" s="17"/>
      <c r="JNA113" s="17"/>
      <c r="JNB113" s="17"/>
      <c r="JNC113" s="17"/>
      <c r="JND113" s="17"/>
      <c r="JNE113" s="17"/>
      <c r="JNF113" s="17"/>
      <c r="JNG113" s="17"/>
      <c r="JNH113" s="17"/>
      <c r="JNI113" s="17"/>
      <c r="JNJ113" s="17"/>
      <c r="JNK113" s="17"/>
      <c r="JNL113" s="17"/>
      <c r="JNM113" s="17"/>
      <c r="JNN113" s="17"/>
      <c r="JNO113" s="17"/>
      <c r="JNP113" s="17"/>
      <c r="JNQ113" s="17"/>
      <c r="JNR113" s="17"/>
      <c r="JNS113" s="17"/>
      <c r="JNT113" s="17"/>
      <c r="JNU113" s="17"/>
      <c r="JNV113" s="17"/>
      <c r="JNW113" s="17"/>
      <c r="JNX113" s="17"/>
      <c r="JNY113" s="17"/>
      <c r="JNZ113" s="17"/>
      <c r="JOA113" s="17"/>
      <c r="JOB113" s="17"/>
      <c r="JOC113" s="17"/>
      <c r="JOD113" s="17"/>
      <c r="JOE113" s="17"/>
      <c r="JOF113" s="17"/>
      <c r="JOG113" s="17"/>
      <c r="JOH113" s="17"/>
      <c r="JOI113" s="17"/>
      <c r="JOJ113" s="17"/>
      <c r="JOK113" s="17"/>
      <c r="JOL113" s="17"/>
      <c r="JOM113" s="17"/>
      <c r="JON113" s="17"/>
      <c r="JOO113" s="17"/>
      <c r="JOP113" s="17"/>
      <c r="JOQ113" s="17"/>
      <c r="JOR113" s="17"/>
      <c r="JOS113" s="17"/>
      <c r="JOT113" s="17"/>
      <c r="JOU113" s="17"/>
      <c r="JOV113" s="17"/>
      <c r="JOW113" s="17"/>
      <c r="JOX113" s="17"/>
      <c r="JOY113" s="17"/>
      <c r="JOZ113" s="17"/>
      <c r="JPA113" s="17"/>
      <c r="JPB113" s="17"/>
      <c r="JPC113" s="17"/>
      <c r="JPD113" s="17"/>
      <c r="JPE113" s="17"/>
      <c r="JPF113" s="17"/>
      <c r="JPG113" s="17"/>
      <c r="JPH113" s="17"/>
      <c r="JPI113" s="17"/>
      <c r="JPJ113" s="17"/>
      <c r="JPK113" s="17"/>
      <c r="JPL113" s="17"/>
      <c r="JPM113" s="17"/>
      <c r="JPN113" s="17"/>
      <c r="JPO113" s="17"/>
      <c r="JPP113" s="17"/>
      <c r="JPQ113" s="17"/>
      <c r="JPR113" s="17"/>
      <c r="JPS113" s="17"/>
      <c r="JPT113" s="17"/>
      <c r="JPU113" s="17"/>
      <c r="JPV113" s="17"/>
      <c r="JPW113" s="17"/>
      <c r="JPX113" s="17"/>
      <c r="JPY113" s="17"/>
      <c r="JPZ113" s="17"/>
      <c r="JQA113" s="17"/>
      <c r="JQB113" s="17"/>
      <c r="JQC113" s="17"/>
      <c r="JQD113" s="17"/>
      <c r="JQE113" s="17"/>
      <c r="JQF113" s="17"/>
      <c r="JQG113" s="17"/>
      <c r="JQH113" s="17"/>
      <c r="JQI113" s="17"/>
      <c r="JQJ113" s="17"/>
      <c r="JQK113" s="17"/>
      <c r="JQL113" s="17"/>
      <c r="JQM113" s="17"/>
      <c r="JQN113" s="17"/>
      <c r="JQO113" s="17"/>
      <c r="JQP113" s="17"/>
      <c r="JQQ113" s="17"/>
      <c r="JQR113" s="17"/>
      <c r="JQS113" s="17"/>
      <c r="JQT113" s="17"/>
      <c r="JQU113" s="17"/>
      <c r="JQV113" s="17"/>
      <c r="JQW113" s="17"/>
      <c r="JQX113" s="17"/>
      <c r="JQY113" s="17"/>
      <c r="JQZ113" s="17"/>
      <c r="JRA113" s="17"/>
      <c r="JRB113" s="17"/>
      <c r="JRC113" s="17"/>
      <c r="JRD113" s="17"/>
      <c r="JRE113" s="17"/>
      <c r="JRF113" s="17"/>
      <c r="JRG113" s="17"/>
      <c r="JRH113" s="17"/>
      <c r="JRI113" s="17"/>
      <c r="JRJ113" s="17"/>
      <c r="JRK113" s="17"/>
      <c r="JRL113" s="17"/>
      <c r="JRM113" s="17"/>
      <c r="JRN113" s="17"/>
      <c r="JRO113" s="17"/>
      <c r="JRP113" s="17"/>
      <c r="JRQ113" s="17"/>
      <c r="JRR113" s="17"/>
      <c r="JRS113" s="17"/>
      <c r="JRT113" s="17"/>
      <c r="JRU113" s="17"/>
      <c r="JRV113" s="17"/>
      <c r="JRW113" s="17"/>
      <c r="JRX113" s="17"/>
      <c r="JRY113" s="17"/>
      <c r="JRZ113" s="17"/>
      <c r="JSA113" s="17"/>
      <c r="JSB113" s="17"/>
      <c r="JSC113" s="17"/>
      <c r="JSD113" s="17"/>
      <c r="JSE113" s="17"/>
      <c r="JSF113" s="17"/>
      <c r="JSG113" s="17"/>
      <c r="JSH113" s="17"/>
      <c r="JSI113" s="17"/>
      <c r="JSJ113" s="17"/>
      <c r="JSK113" s="17"/>
      <c r="JSL113" s="17"/>
      <c r="JSM113" s="17"/>
      <c r="JSN113" s="17"/>
      <c r="JSO113" s="17"/>
      <c r="JSP113" s="17"/>
      <c r="JSQ113" s="17"/>
      <c r="JSR113" s="17"/>
      <c r="JSS113" s="17"/>
      <c r="JST113" s="17"/>
      <c r="JSU113" s="17"/>
      <c r="JSV113" s="17"/>
      <c r="JSW113" s="17"/>
      <c r="JSX113" s="17"/>
      <c r="JSY113" s="17"/>
      <c r="JSZ113" s="17"/>
      <c r="JTA113" s="17"/>
      <c r="JTB113" s="17"/>
      <c r="JTC113" s="17"/>
      <c r="JTD113" s="17"/>
      <c r="JTE113" s="17"/>
      <c r="JTF113" s="17"/>
      <c r="JTG113" s="17"/>
      <c r="JTH113" s="17"/>
      <c r="JTI113" s="17"/>
      <c r="JTJ113" s="17"/>
      <c r="JTK113" s="17"/>
      <c r="JTL113" s="17"/>
      <c r="JTM113" s="17"/>
      <c r="JTN113" s="17"/>
      <c r="JTO113" s="17"/>
      <c r="JTP113" s="17"/>
      <c r="JTQ113" s="17"/>
      <c r="JTR113" s="17"/>
      <c r="JTS113" s="17"/>
      <c r="JTT113" s="17"/>
      <c r="JTU113" s="17"/>
      <c r="JTV113" s="17"/>
      <c r="JTW113" s="17"/>
      <c r="JTX113" s="17"/>
      <c r="JTY113" s="17"/>
      <c r="JTZ113" s="17"/>
      <c r="JUA113" s="17"/>
      <c r="JUB113" s="17"/>
      <c r="JUC113" s="17"/>
      <c r="JUD113" s="17"/>
      <c r="JUE113" s="17"/>
      <c r="JUF113" s="17"/>
      <c r="JUG113" s="17"/>
      <c r="JUH113" s="17"/>
      <c r="JUI113" s="17"/>
      <c r="JUJ113" s="17"/>
      <c r="JUK113" s="17"/>
      <c r="JUL113" s="17"/>
      <c r="JUM113" s="17"/>
      <c r="JUN113" s="17"/>
      <c r="JUO113" s="17"/>
      <c r="JUP113" s="17"/>
      <c r="JUQ113" s="17"/>
      <c r="JUR113" s="17"/>
      <c r="JUS113" s="17"/>
      <c r="JUT113" s="17"/>
      <c r="JUU113" s="17"/>
      <c r="JUV113" s="17"/>
      <c r="JUW113" s="17"/>
      <c r="JUX113" s="17"/>
      <c r="JUY113" s="17"/>
      <c r="JUZ113" s="17"/>
      <c r="JVA113" s="17"/>
      <c r="JVB113" s="17"/>
      <c r="JVC113" s="17"/>
      <c r="JVD113" s="17"/>
      <c r="JVE113" s="17"/>
      <c r="JVF113" s="17"/>
      <c r="JVG113" s="17"/>
      <c r="JVH113" s="17"/>
      <c r="JVI113" s="17"/>
      <c r="JVJ113" s="17"/>
      <c r="JVK113" s="17"/>
      <c r="JVL113" s="17"/>
      <c r="JVM113" s="17"/>
      <c r="JVN113" s="17"/>
      <c r="JVO113" s="17"/>
      <c r="JVP113" s="17"/>
      <c r="JVQ113" s="17"/>
      <c r="JVR113" s="17"/>
      <c r="JVS113" s="17"/>
      <c r="JVT113" s="17"/>
      <c r="JVU113" s="17"/>
      <c r="JVV113" s="17"/>
      <c r="JVW113" s="17"/>
      <c r="JVX113" s="17"/>
      <c r="JVY113" s="17"/>
      <c r="JVZ113" s="17"/>
      <c r="JWA113" s="17"/>
      <c r="JWB113" s="17"/>
      <c r="JWC113" s="17"/>
      <c r="JWD113" s="17"/>
      <c r="JWE113" s="17"/>
      <c r="JWF113" s="17"/>
      <c r="JWG113" s="17"/>
      <c r="JWH113" s="17"/>
      <c r="JWI113" s="17"/>
      <c r="JWJ113" s="17"/>
      <c r="JWK113" s="17"/>
      <c r="JWL113" s="17"/>
      <c r="JWM113" s="17"/>
      <c r="JWN113" s="17"/>
      <c r="JWO113" s="17"/>
      <c r="JWP113" s="17"/>
      <c r="JWQ113" s="17"/>
      <c r="JWR113" s="17"/>
      <c r="JWS113" s="17"/>
      <c r="JWT113" s="17"/>
      <c r="JWU113" s="17"/>
      <c r="JWV113" s="17"/>
      <c r="JWW113" s="17"/>
      <c r="JWX113" s="17"/>
      <c r="JWY113" s="17"/>
      <c r="JWZ113" s="17"/>
      <c r="JXA113" s="17"/>
      <c r="JXB113" s="17"/>
      <c r="JXC113" s="17"/>
      <c r="JXD113" s="17"/>
      <c r="JXE113" s="17"/>
      <c r="JXF113" s="17"/>
      <c r="JXG113" s="17"/>
      <c r="JXH113" s="17"/>
      <c r="JXI113" s="17"/>
      <c r="JXJ113" s="17"/>
      <c r="JXK113" s="17"/>
      <c r="JXL113" s="17"/>
      <c r="JXM113" s="17"/>
      <c r="JXN113" s="17"/>
      <c r="JXO113" s="17"/>
      <c r="JXP113" s="17"/>
      <c r="JXQ113" s="17"/>
      <c r="JXR113" s="17"/>
      <c r="JXS113" s="17"/>
      <c r="JXT113" s="17"/>
      <c r="JXU113" s="17"/>
      <c r="JXV113" s="17"/>
      <c r="JXW113" s="17"/>
      <c r="JXX113" s="17"/>
      <c r="JXY113" s="17"/>
      <c r="JXZ113" s="17"/>
      <c r="JYA113" s="17"/>
      <c r="JYB113" s="17"/>
      <c r="JYC113" s="17"/>
      <c r="JYD113" s="17"/>
      <c r="JYE113" s="17"/>
      <c r="JYF113" s="17"/>
      <c r="JYG113" s="17"/>
      <c r="JYH113" s="17"/>
      <c r="JYI113" s="17"/>
      <c r="JYJ113" s="17"/>
      <c r="JYK113" s="17"/>
      <c r="JYL113" s="17"/>
      <c r="JYM113" s="17"/>
      <c r="JYN113" s="17"/>
      <c r="JYO113" s="17"/>
      <c r="JYP113" s="17"/>
      <c r="JYQ113" s="17"/>
      <c r="JYR113" s="17"/>
      <c r="JYS113" s="17"/>
      <c r="JYT113" s="17"/>
      <c r="JYU113" s="17"/>
      <c r="JYV113" s="17"/>
      <c r="JYW113" s="17"/>
      <c r="JYX113" s="17"/>
      <c r="JYY113" s="17"/>
      <c r="JYZ113" s="17"/>
      <c r="JZA113" s="17"/>
      <c r="JZB113" s="17"/>
      <c r="JZC113" s="17"/>
      <c r="JZD113" s="17"/>
      <c r="JZE113" s="17"/>
      <c r="JZF113" s="17"/>
      <c r="JZG113" s="17"/>
      <c r="JZH113" s="17"/>
      <c r="JZI113" s="17"/>
      <c r="JZJ113" s="17"/>
      <c r="JZK113" s="17"/>
      <c r="JZL113" s="17"/>
      <c r="JZM113" s="17"/>
      <c r="JZN113" s="17"/>
      <c r="JZO113" s="17"/>
      <c r="JZP113" s="17"/>
      <c r="JZQ113" s="17"/>
      <c r="JZR113" s="17"/>
      <c r="JZS113" s="17"/>
      <c r="JZT113" s="17"/>
      <c r="JZU113" s="17"/>
      <c r="JZV113" s="17"/>
      <c r="JZW113" s="17"/>
      <c r="JZX113" s="17"/>
      <c r="JZY113" s="17"/>
      <c r="JZZ113" s="17"/>
      <c r="KAA113" s="17"/>
      <c r="KAB113" s="17"/>
      <c r="KAC113" s="17"/>
      <c r="KAD113" s="17"/>
      <c r="KAE113" s="17"/>
      <c r="KAF113" s="17"/>
      <c r="KAG113" s="17"/>
      <c r="KAH113" s="17"/>
      <c r="KAI113" s="17"/>
      <c r="KAJ113" s="17"/>
      <c r="KAK113" s="17"/>
      <c r="KAL113" s="17"/>
      <c r="KAM113" s="17"/>
      <c r="KAN113" s="17"/>
      <c r="KAO113" s="17"/>
      <c r="KAP113" s="17"/>
      <c r="KAQ113" s="17"/>
      <c r="KAR113" s="17"/>
      <c r="KAS113" s="17"/>
      <c r="KAT113" s="17"/>
      <c r="KAU113" s="17"/>
      <c r="KAV113" s="17"/>
      <c r="KAW113" s="17"/>
      <c r="KAX113" s="17"/>
      <c r="KAY113" s="17"/>
      <c r="KAZ113" s="17"/>
      <c r="KBA113" s="17"/>
      <c r="KBB113" s="17"/>
      <c r="KBC113" s="17"/>
      <c r="KBD113" s="17"/>
      <c r="KBE113" s="17"/>
      <c r="KBF113" s="17"/>
      <c r="KBG113" s="17"/>
      <c r="KBH113" s="17"/>
      <c r="KBI113" s="17"/>
      <c r="KBJ113" s="17"/>
      <c r="KBK113" s="17"/>
      <c r="KBL113" s="17"/>
      <c r="KBM113" s="17"/>
      <c r="KBN113" s="17"/>
      <c r="KBO113" s="17"/>
      <c r="KBP113" s="17"/>
      <c r="KBQ113" s="17"/>
      <c r="KBR113" s="17"/>
      <c r="KBS113" s="17"/>
      <c r="KBT113" s="17"/>
      <c r="KBU113" s="17"/>
      <c r="KBV113" s="17"/>
      <c r="KBW113" s="17"/>
      <c r="KBX113" s="17"/>
      <c r="KBY113" s="17"/>
      <c r="KBZ113" s="17"/>
      <c r="KCA113" s="17"/>
      <c r="KCB113" s="17"/>
      <c r="KCC113" s="17"/>
      <c r="KCD113" s="17"/>
      <c r="KCE113" s="17"/>
      <c r="KCF113" s="17"/>
      <c r="KCG113" s="17"/>
      <c r="KCH113" s="17"/>
      <c r="KCI113" s="17"/>
      <c r="KCJ113" s="17"/>
      <c r="KCK113" s="17"/>
      <c r="KCL113" s="17"/>
      <c r="KCM113" s="17"/>
      <c r="KCN113" s="17"/>
      <c r="KCO113" s="17"/>
      <c r="KCP113" s="17"/>
      <c r="KCQ113" s="17"/>
      <c r="KCR113" s="17"/>
      <c r="KCS113" s="17"/>
      <c r="KCT113" s="17"/>
      <c r="KCU113" s="17"/>
      <c r="KCV113" s="17"/>
      <c r="KCW113" s="17"/>
      <c r="KCX113" s="17"/>
      <c r="KCY113" s="17"/>
      <c r="KCZ113" s="17"/>
      <c r="KDA113" s="17"/>
      <c r="KDB113" s="17"/>
      <c r="KDC113" s="17"/>
      <c r="KDD113" s="17"/>
      <c r="KDE113" s="17"/>
      <c r="KDF113" s="17"/>
      <c r="KDG113" s="17"/>
      <c r="KDH113" s="17"/>
      <c r="KDI113" s="17"/>
      <c r="KDJ113" s="17"/>
      <c r="KDK113" s="17"/>
      <c r="KDL113" s="17"/>
      <c r="KDM113" s="17"/>
      <c r="KDN113" s="17"/>
      <c r="KDO113" s="17"/>
      <c r="KDP113" s="17"/>
      <c r="KDQ113" s="17"/>
      <c r="KDR113" s="17"/>
      <c r="KDS113" s="17"/>
      <c r="KDT113" s="17"/>
      <c r="KDU113" s="17"/>
      <c r="KDV113" s="17"/>
      <c r="KDW113" s="17"/>
      <c r="KDX113" s="17"/>
      <c r="KDY113" s="17"/>
      <c r="KDZ113" s="17"/>
      <c r="KEA113" s="17"/>
      <c r="KEB113" s="17"/>
      <c r="KEC113" s="17"/>
      <c r="KED113" s="17"/>
      <c r="KEE113" s="17"/>
      <c r="KEF113" s="17"/>
      <c r="KEG113" s="17"/>
      <c r="KEH113" s="17"/>
      <c r="KEI113" s="17"/>
      <c r="KEJ113" s="17"/>
      <c r="KEK113" s="17"/>
      <c r="KEL113" s="17"/>
      <c r="KEM113" s="17"/>
      <c r="KEN113" s="17"/>
      <c r="KEO113" s="17"/>
      <c r="KEP113" s="17"/>
      <c r="KEQ113" s="17"/>
      <c r="KER113" s="17"/>
      <c r="KES113" s="17"/>
      <c r="KET113" s="17"/>
      <c r="KEU113" s="17"/>
      <c r="KEV113" s="17"/>
      <c r="KEW113" s="17"/>
      <c r="KEX113" s="17"/>
      <c r="KEY113" s="17"/>
      <c r="KEZ113" s="17"/>
      <c r="KFA113" s="17"/>
      <c r="KFB113" s="17"/>
      <c r="KFC113" s="17"/>
      <c r="KFD113" s="17"/>
      <c r="KFE113" s="17"/>
      <c r="KFF113" s="17"/>
      <c r="KFG113" s="17"/>
      <c r="KFH113" s="17"/>
      <c r="KFI113" s="17"/>
      <c r="KFJ113" s="17"/>
      <c r="KFK113" s="17"/>
      <c r="KFL113" s="17"/>
      <c r="KFM113" s="17"/>
      <c r="KFN113" s="17"/>
      <c r="KFO113" s="17"/>
      <c r="KFP113" s="17"/>
      <c r="KFQ113" s="17"/>
      <c r="KFR113" s="17"/>
      <c r="KFS113" s="17"/>
      <c r="KFT113" s="17"/>
      <c r="KFU113" s="17"/>
      <c r="KFV113" s="17"/>
      <c r="KFW113" s="17"/>
      <c r="KFX113" s="17"/>
      <c r="KFY113" s="17"/>
      <c r="KFZ113" s="17"/>
      <c r="KGA113" s="17"/>
      <c r="KGB113" s="17"/>
      <c r="KGC113" s="17"/>
      <c r="KGD113" s="17"/>
      <c r="KGE113" s="17"/>
      <c r="KGF113" s="17"/>
      <c r="KGG113" s="17"/>
      <c r="KGH113" s="17"/>
      <c r="KGI113" s="17"/>
      <c r="KGJ113" s="17"/>
      <c r="KGK113" s="17"/>
      <c r="KGL113" s="17"/>
      <c r="KGM113" s="17"/>
      <c r="KGN113" s="17"/>
      <c r="KGO113" s="17"/>
      <c r="KGP113" s="17"/>
      <c r="KGQ113" s="17"/>
      <c r="KGR113" s="17"/>
      <c r="KGS113" s="17"/>
      <c r="KGT113" s="17"/>
      <c r="KGU113" s="17"/>
      <c r="KGV113" s="17"/>
      <c r="KGW113" s="17"/>
      <c r="KGX113" s="17"/>
      <c r="KGY113" s="17"/>
      <c r="KGZ113" s="17"/>
      <c r="KHA113" s="17"/>
      <c r="KHB113" s="17"/>
      <c r="KHC113" s="17"/>
      <c r="KHD113" s="17"/>
      <c r="KHE113" s="17"/>
      <c r="KHF113" s="17"/>
      <c r="KHG113" s="17"/>
      <c r="KHH113" s="17"/>
      <c r="KHI113" s="17"/>
      <c r="KHJ113" s="17"/>
      <c r="KHK113" s="17"/>
      <c r="KHL113" s="17"/>
      <c r="KHM113" s="17"/>
      <c r="KHN113" s="17"/>
      <c r="KHO113" s="17"/>
      <c r="KHP113" s="17"/>
      <c r="KHQ113" s="17"/>
      <c r="KHR113" s="17"/>
      <c r="KHS113" s="17"/>
      <c r="KHT113" s="17"/>
      <c r="KHU113" s="17"/>
      <c r="KHV113" s="17"/>
      <c r="KHW113" s="17"/>
      <c r="KHX113" s="17"/>
      <c r="KHY113" s="17"/>
      <c r="KHZ113" s="17"/>
      <c r="KIA113" s="17"/>
      <c r="KIB113" s="17"/>
      <c r="KIC113" s="17"/>
      <c r="KID113" s="17"/>
      <c r="KIE113" s="17"/>
      <c r="KIF113" s="17"/>
      <c r="KIG113" s="17"/>
      <c r="KIH113" s="17"/>
      <c r="KII113" s="17"/>
      <c r="KIJ113" s="17"/>
      <c r="KIK113" s="17"/>
      <c r="KIL113" s="17"/>
      <c r="KIM113" s="17"/>
      <c r="KIN113" s="17"/>
      <c r="KIO113" s="17"/>
      <c r="KIP113" s="17"/>
      <c r="KIQ113" s="17"/>
      <c r="KIR113" s="17"/>
      <c r="KIS113" s="17"/>
      <c r="KIT113" s="17"/>
      <c r="KIU113" s="17"/>
      <c r="KIV113" s="17"/>
      <c r="KIW113" s="17"/>
      <c r="KIX113" s="17"/>
      <c r="KIY113" s="17"/>
      <c r="KIZ113" s="17"/>
      <c r="KJA113" s="17"/>
      <c r="KJB113" s="17"/>
      <c r="KJC113" s="17"/>
      <c r="KJD113" s="17"/>
      <c r="KJE113" s="17"/>
      <c r="KJF113" s="17"/>
      <c r="KJG113" s="17"/>
      <c r="KJH113" s="17"/>
      <c r="KJI113" s="17"/>
      <c r="KJJ113" s="17"/>
      <c r="KJK113" s="17"/>
      <c r="KJL113" s="17"/>
      <c r="KJM113" s="17"/>
      <c r="KJN113" s="17"/>
      <c r="KJO113" s="17"/>
      <c r="KJP113" s="17"/>
      <c r="KJQ113" s="17"/>
      <c r="KJR113" s="17"/>
      <c r="KJS113" s="17"/>
      <c r="KJT113" s="17"/>
      <c r="KJU113" s="17"/>
      <c r="KJV113" s="17"/>
      <c r="KJW113" s="17"/>
      <c r="KJX113" s="17"/>
      <c r="KJY113" s="17"/>
      <c r="KJZ113" s="17"/>
      <c r="KKA113" s="17"/>
      <c r="KKB113" s="17"/>
      <c r="KKC113" s="17"/>
      <c r="KKD113" s="17"/>
      <c r="KKE113" s="17"/>
      <c r="KKF113" s="17"/>
      <c r="KKG113" s="17"/>
      <c r="KKH113" s="17"/>
      <c r="KKI113" s="17"/>
      <c r="KKJ113" s="17"/>
      <c r="KKK113" s="17"/>
      <c r="KKL113" s="17"/>
      <c r="KKM113" s="17"/>
      <c r="KKN113" s="17"/>
      <c r="KKO113" s="17"/>
      <c r="KKP113" s="17"/>
      <c r="KKQ113" s="17"/>
      <c r="KKR113" s="17"/>
      <c r="KKS113" s="17"/>
      <c r="KKT113" s="17"/>
      <c r="KKU113" s="17"/>
      <c r="KKV113" s="17"/>
      <c r="KKW113" s="17"/>
      <c r="KKX113" s="17"/>
      <c r="KKY113" s="17"/>
      <c r="KKZ113" s="17"/>
      <c r="KLA113" s="17"/>
      <c r="KLB113" s="17"/>
      <c r="KLC113" s="17"/>
      <c r="KLD113" s="17"/>
      <c r="KLE113" s="17"/>
      <c r="KLF113" s="17"/>
      <c r="KLG113" s="17"/>
      <c r="KLH113" s="17"/>
      <c r="KLI113" s="17"/>
      <c r="KLJ113" s="17"/>
      <c r="KLK113" s="17"/>
      <c r="KLL113" s="17"/>
      <c r="KLM113" s="17"/>
      <c r="KLN113" s="17"/>
      <c r="KLO113" s="17"/>
      <c r="KLP113" s="17"/>
      <c r="KLQ113" s="17"/>
      <c r="KLR113" s="17"/>
      <c r="KLS113" s="17"/>
      <c r="KLT113" s="17"/>
      <c r="KLU113" s="17"/>
      <c r="KLV113" s="17"/>
      <c r="KLW113" s="17"/>
      <c r="KLX113" s="17"/>
      <c r="KLY113" s="17"/>
      <c r="KLZ113" s="17"/>
      <c r="KMA113" s="17"/>
      <c r="KMB113" s="17"/>
      <c r="KMC113" s="17"/>
      <c r="KMD113" s="17"/>
      <c r="KME113" s="17"/>
      <c r="KMF113" s="17"/>
      <c r="KMG113" s="17"/>
      <c r="KMH113" s="17"/>
      <c r="KMI113" s="17"/>
      <c r="KMJ113" s="17"/>
      <c r="KMK113" s="17"/>
      <c r="KML113" s="17"/>
      <c r="KMM113" s="17"/>
      <c r="KMN113" s="17"/>
      <c r="KMO113" s="17"/>
      <c r="KMP113" s="17"/>
      <c r="KMQ113" s="17"/>
      <c r="KMR113" s="17"/>
      <c r="KMS113" s="17"/>
      <c r="KMT113" s="17"/>
      <c r="KMU113" s="17"/>
      <c r="KMV113" s="17"/>
      <c r="KMW113" s="17"/>
      <c r="KMX113" s="17"/>
      <c r="KMY113" s="17"/>
      <c r="KMZ113" s="17"/>
      <c r="KNA113" s="17"/>
      <c r="KNB113" s="17"/>
      <c r="KNC113" s="17"/>
      <c r="KND113" s="17"/>
      <c r="KNE113" s="17"/>
      <c r="KNF113" s="17"/>
      <c r="KNG113" s="17"/>
      <c r="KNH113" s="17"/>
      <c r="KNI113" s="17"/>
      <c r="KNJ113" s="17"/>
      <c r="KNK113" s="17"/>
      <c r="KNL113" s="17"/>
      <c r="KNM113" s="17"/>
      <c r="KNN113" s="17"/>
      <c r="KNO113" s="17"/>
      <c r="KNP113" s="17"/>
      <c r="KNQ113" s="17"/>
      <c r="KNR113" s="17"/>
      <c r="KNS113" s="17"/>
      <c r="KNT113" s="17"/>
      <c r="KNU113" s="17"/>
      <c r="KNV113" s="17"/>
      <c r="KNW113" s="17"/>
      <c r="KNX113" s="17"/>
      <c r="KNY113" s="17"/>
      <c r="KNZ113" s="17"/>
      <c r="KOA113" s="17"/>
      <c r="KOB113" s="17"/>
      <c r="KOC113" s="17"/>
      <c r="KOD113" s="17"/>
      <c r="KOE113" s="17"/>
      <c r="KOF113" s="17"/>
      <c r="KOG113" s="17"/>
      <c r="KOH113" s="17"/>
      <c r="KOI113" s="17"/>
      <c r="KOJ113" s="17"/>
      <c r="KOK113" s="17"/>
      <c r="KOL113" s="17"/>
      <c r="KOM113" s="17"/>
      <c r="KON113" s="17"/>
      <c r="KOO113" s="17"/>
      <c r="KOP113" s="17"/>
      <c r="KOQ113" s="17"/>
      <c r="KOR113" s="17"/>
      <c r="KOS113" s="17"/>
      <c r="KOT113" s="17"/>
      <c r="KOU113" s="17"/>
      <c r="KOV113" s="17"/>
      <c r="KOW113" s="17"/>
      <c r="KOX113" s="17"/>
      <c r="KOY113" s="17"/>
      <c r="KOZ113" s="17"/>
      <c r="KPA113" s="17"/>
      <c r="KPB113" s="17"/>
      <c r="KPC113" s="17"/>
      <c r="KPD113" s="17"/>
      <c r="KPE113" s="17"/>
      <c r="KPF113" s="17"/>
      <c r="KPG113" s="17"/>
      <c r="KPH113" s="17"/>
      <c r="KPI113" s="17"/>
      <c r="KPJ113" s="17"/>
      <c r="KPK113" s="17"/>
      <c r="KPL113" s="17"/>
      <c r="KPM113" s="17"/>
      <c r="KPN113" s="17"/>
      <c r="KPO113" s="17"/>
      <c r="KPP113" s="17"/>
      <c r="KPQ113" s="17"/>
      <c r="KPR113" s="17"/>
      <c r="KPS113" s="17"/>
      <c r="KPT113" s="17"/>
      <c r="KPU113" s="17"/>
      <c r="KPV113" s="17"/>
      <c r="KPW113" s="17"/>
      <c r="KPX113" s="17"/>
      <c r="KPY113" s="17"/>
      <c r="KPZ113" s="17"/>
      <c r="KQA113" s="17"/>
      <c r="KQB113" s="17"/>
      <c r="KQC113" s="17"/>
      <c r="KQD113" s="17"/>
      <c r="KQE113" s="17"/>
      <c r="KQF113" s="17"/>
      <c r="KQG113" s="17"/>
      <c r="KQH113" s="17"/>
      <c r="KQI113" s="17"/>
      <c r="KQJ113" s="17"/>
      <c r="KQK113" s="17"/>
      <c r="KQL113" s="17"/>
      <c r="KQM113" s="17"/>
      <c r="KQN113" s="17"/>
      <c r="KQO113" s="17"/>
      <c r="KQP113" s="17"/>
      <c r="KQQ113" s="17"/>
      <c r="KQR113" s="17"/>
      <c r="KQS113" s="17"/>
      <c r="KQT113" s="17"/>
      <c r="KQU113" s="17"/>
      <c r="KQV113" s="17"/>
      <c r="KQW113" s="17"/>
      <c r="KQX113" s="17"/>
      <c r="KQY113" s="17"/>
      <c r="KQZ113" s="17"/>
      <c r="KRA113" s="17"/>
      <c r="KRB113" s="17"/>
      <c r="KRC113" s="17"/>
      <c r="KRD113" s="17"/>
      <c r="KRE113" s="17"/>
      <c r="KRF113" s="17"/>
      <c r="KRG113" s="17"/>
      <c r="KRH113" s="17"/>
      <c r="KRI113" s="17"/>
      <c r="KRJ113" s="17"/>
      <c r="KRK113" s="17"/>
      <c r="KRL113" s="17"/>
      <c r="KRM113" s="17"/>
      <c r="KRN113" s="17"/>
      <c r="KRO113" s="17"/>
      <c r="KRP113" s="17"/>
      <c r="KRQ113" s="17"/>
      <c r="KRR113" s="17"/>
      <c r="KRS113" s="17"/>
      <c r="KRT113" s="17"/>
      <c r="KRU113" s="17"/>
      <c r="KRV113" s="17"/>
      <c r="KRW113" s="17"/>
      <c r="KRX113" s="17"/>
      <c r="KRY113" s="17"/>
      <c r="KRZ113" s="17"/>
      <c r="KSA113" s="17"/>
      <c r="KSB113" s="17"/>
      <c r="KSC113" s="17"/>
      <c r="KSD113" s="17"/>
      <c r="KSE113" s="17"/>
      <c r="KSF113" s="17"/>
      <c r="KSG113" s="17"/>
      <c r="KSH113" s="17"/>
      <c r="KSI113" s="17"/>
      <c r="KSJ113" s="17"/>
      <c r="KSK113" s="17"/>
      <c r="KSL113" s="17"/>
      <c r="KSM113" s="17"/>
      <c r="KSN113" s="17"/>
      <c r="KSO113" s="17"/>
      <c r="KSP113" s="17"/>
      <c r="KSQ113" s="17"/>
      <c r="KSR113" s="17"/>
      <c r="KSS113" s="17"/>
      <c r="KST113" s="17"/>
      <c r="KSU113" s="17"/>
      <c r="KSV113" s="17"/>
      <c r="KSW113" s="17"/>
      <c r="KSX113" s="17"/>
      <c r="KSY113" s="17"/>
      <c r="KSZ113" s="17"/>
      <c r="KTA113" s="17"/>
      <c r="KTB113" s="17"/>
      <c r="KTC113" s="17"/>
      <c r="KTD113" s="17"/>
      <c r="KTE113" s="17"/>
      <c r="KTF113" s="17"/>
      <c r="KTG113" s="17"/>
      <c r="KTH113" s="17"/>
      <c r="KTI113" s="17"/>
      <c r="KTJ113" s="17"/>
      <c r="KTK113" s="17"/>
      <c r="KTL113" s="17"/>
      <c r="KTM113" s="17"/>
      <c r="KTN113" s="17"/>
      <c r="KTO113" s="17"/>
      <c r="KTP113" s="17"/>
      <c r="KTQ113" s="17"/>
      <c r="KTR113" s="17"/>
      <c r="KTS113" s="17"/>
      <c r="KTT113" s="17"/>
      <c r="KTU113" s="17"/>
      <c r="KTV113" s="17"/>
      <c r="KTW113" s="17"/>
      <c r="KTX113" s="17"/>
      <c r="KTY113" s="17"/>
      <c r="KTZ113" s="17"/>
      <c r="KUA113" s="17"/>
      <c r="KUB113" s="17"/>
      <c r="KUC113" s="17"/>
      <c r="KUD113" s="17"/>
      <c r="KUE113" s="17"/>
      <c r="KUF113" s="17"/>
      <c r="KUG113" s="17"/>
      <c r="KUH113" s="17"/>
      <c r="KUI113" s="17"/>
      <c r="KUJ113" s="17"/>
      <c r="KUK113" s="17"/>
      <c r="KUL113" s="17"/>
      <c r="KUM113" s="17"/>
      <c r="KUN113" s="17"/>
      <c r="KUO113" s="17"/>
      <c r="KUP113" s="17"/>
      <c r="KUQ113" s="17"/>
      <c r="KUR113" s="17"/>
      <c r="KUS113" s="17"/>
      <c r="KUT113" s="17"/>
      <c r="KUU113" s="17"/>
      <c r="KUV113" s="17"/>
      <c r="KUW113" s="17"/>
      <c r="KUX113" s="17"/>
      <c r="KUY113" s="17"/>
      <c r="KUZ113" s="17"/>
      <c r="KVA113" s="17"/>
      <c r="KVB113" s="17"/>
      <c r="KVC113" s="17"/>
      <c r="KVD113" s="17"/>
      <c r="KVE113" s="17"/>
      <c r="KVF113" s="17"/>
      <c r="KVG113" s="17"/>
      <c r="KVH113" s="17"/>
      <c r="KVI113" s="17"/>
      <c r="KVJ113" s="17"/>
      <c r="KVK113" s="17"/>
      <c r="KVL113" s="17"/>
      <c r="KVM113" s="17"/>
      <c r="KVN113" s="17"/>
      <c r="KVO113" s="17"/>
      <c r="KVP113" s="17"/>
      <c r="KVQ113" s="17"/>
      <c r="KVR113" s="17"/>
      <c r="KVS113" s="17"/>
      <c r="KVT113" s="17"/>
      <c r="KVU113" s="17"/>
      <c r="KVV113" s="17"/>
      <c r="KVW113" s="17"/>
      <c r="KVX113" s="17"/>
      <c r="KVY113" s="17"/>
      <c r="KVZ113" s="17"/>
      <c r="KWA113" s="17"/>
      <c r="KWB113" s="17"/>
      <c r="KWC113" s="17"/>
      <c r="KWD113" s="17"/>
      <c r="KWE113" s="17"/>
      <c r="KWF113" s="17"/>
      <c r="KWG113" s="17"/>
      <c r="KWH113" s="17"/>
      <c r="KWI113" s="17"/>
      <c r="KWJ113" s="17"/>
      <c r="KWK113" s="17"/>
      <c r="KWL113" s="17"/>
      <c r="KWM113" s="17"/>
      <c r="KWN113" s="17"/>
      <c r="KWO113" s="17"/>
      <c r="KWP113" s="17"/>
      <c r="KWQ113" s="17"/>
      <c r="KWR113" s="17"/>
      <c r="KWS113" s="17"/>
      <c r="KWT113" s="17"/>
      <c r="KWU113" s="17"/>
      <c r="KWV113" s="17"/>
      <c r="KWW113" s="17"/>
      <c r="KWX113" s="17"/>
      <c r="KWY113" s="17"/>
      <c r="KWZ113" s="17"/>
      <c r="KXA113" s="17"/>
      <c r="KXB113" s="17"/>
      <c r="KXC113" s="17"/>
      <c r="KXD113" s="17"/>
      <c r="KXE113" s="17"/>
      <c r="KXF113" s="17"/>
      <c r="KXG113" s="17"/>
      <c r="KXH113" s="17"/>
      <c r="KXI113" s="17"/>
      <c r="KXJ113" s="17"/>
      <c r="KXK113" s="17"/>
      <c r="KXL113" s="17"/>
      <c r="KXM113" s="17"/>
      <c r="KXN113" s="17"/>
      <c r="KXO113" s="17"/>
      <c r="KXP113" s="17"/>
      <c r="KXQ113" s="17"/>
      <c r="KXR113" s="17"/>
      <c r="KXS113" s="17"/>
      <c r="KXT113" s="17"/>
      <c r="KXU113" s="17"/>
      <c r="KXV113" s="17"/>
      <c r="KXW113" s="17"/>
      <c r="KXX113" s="17"/>
      <c r="KXY113" s="17"/>
      <c r="KXZ113" s="17"/>
      <c r="KYA113" s="17"/>
      <c r="KYB113" s="17"/>
      <c r="KYC113" s="17"/>
      <c r="KYD113" s="17"/>
      <c r="KYE113" s="17"/>
      <c r="KYF113" s="17"/>
      <c r="KYG113" s="17"/>
      <c r="KYH113" s="17"/>
      <c r="KYI113" s="17"/>
      <c r="KYJ113" s="17"/>
      <c r="KYK113" s="17"/>
      <c r="KYL113" s="17"/>
      <c r="KYM113" s="17"/>
      <c r="KYN113" s="17"/>
      <c r="KYO113" s="17"/>
      <c r="KYP113" s="17"/>
      <c r="KYQ113" s="17"/>
      <c r="KYR113" s="17"/>
      <c r="KYS113" s="17"/>
      <c r="KYT113" s="17"/>
      <c r="KYU113" s="17"/>
      <c r="KYV113" s="17"/>
      <c r="KYW113" s="17"/>
      <c r="KYX113" s="17"/>
      <c r="KYY113" s="17"/>
      <c r="KYZ113" s="17"/>
      <c r="KZA113" s="17"/>
      <c r="KZB113" s="17"/>
      <c r="KZC113" s="17"/>
      <c r="KZD113" s="17"/>
      <c r="KZE113" s="17"/>
      <c r="KZF113" s="17"/>
      <c r="KZG113" s="17"/>
      <c r="KZH113" s="17"/>
      <c r="KZI113" s="17"/>
      <c r="KZJ113" s="17"/>
      <c r="KZK113" s="17"/>
      <c r="KZL113" s="17"/>
      <c r="KZM113" s="17"/>
      <c r="KZN113" s="17"/>
      <c r="KZO113" s="17"/>
      <c r="KZP113" s="17"/>
      <c r="KZQ113" s="17"/>
      <c r="KZR113" s="17"/>
      <c r="KZS113" s="17"/>
      <c r="KZT113" s="17"/>
      <c r="KZU113" s="17"/>
      <c r="KZV113" s="17"/>
      <c r="KZW113" s="17"/>
      <c r="KZX113" s="17"/>
      <c r="KZY113" s="17"/>
      <c r="KZZ113" s="17"/>
      <c r="LAA113" s="17"/>
      <c r="LAB113" s="17"/>
      <c r="LAC113" s="17"/>
      <c r="LAD113" s="17"/>
      <c r="LAE113" s="17"/>
      <c r="LAF113" s="17"/>
      <c r="LAG113" s="17"/>
      <c r="LAH113" s="17"/>
      <c r="LAI113" s="17"/>
      <c r="LAJ113" s="17"/>
      <c r="LAK113" s="17"/>
      <c r="LAL113" s="17"/>
      <c r="LAM113" s="17"/>
      <c r="LAN113" s="17"/>
      <c r="LAO113" s="17"/>
      <c r="LAP113" s="17"/>
      <c r="LAQ113" s="17"/>
      <c r="LAR113" s="17"/>
      <c r="LAS113" s="17"/>
      <c r="LAT113" s="17"/>
      <c r="LAU113" s="17"/>
      <c r="LAV113" s="17"/>
      <c r="LAW113" s="17"/>
      <c r="LAX113" s="17"/>
      <c r="LAY113" s="17"/>
      <c r="LAZ113" s="17"/>
      <c r="LBA113" s="17"/>
      <c r="LBB113" s="17"/>
      <c r="LBC113" s="17"/>
      <c r="LBD113" s="17"/>
      <c r="LBE113" s="17"/>
      <c r="LBF113" s="17"/>
      <c r="LBG113" s="17"/>
      <c r="LBH113" s="17"/>
      <c r="LBI113" s="17"/>
      <c r="LBJ113" s="17"/>
      <c r="LBK113" s="17"/>
      <c r="LBL113" s="17"/>
      <c r="LBM113" s="17"/>
      <c r="LBN113" s="17"/>
      <c r="LBO113" s="17"/>
      <c r="LBP113" s="17"/>
      <c r="LBQ113" s="17"/>
      <c r="LBR113" s="17"/>
      <c r="LBS113" s="17"/>
      <c r="LBT113" s="17"/>
      <c r="LBU113" s="17"/>
      <c r="LBV113" s="17"/>
      <c r="LBW113" s="17"/>
      <c r="LBX113" s="17"/>
      <c r="LBY113" s="17"/>
      <c r="LBZ113" s="17"/>
      <c r="LCA113" s="17"/>
      <c r="LCB113" s="17"/>
      <c r="LCC113" s="17"/>
      <c r="LCD113" s="17"/>
      <c r="LCE113" s="17"/>
      <c r="LCF113" s="17"/>
      <c r="LCG113" s="17"/>
      <c r="LCH113" s="17"/>
      <c r="LCI113" s="17"/>
      <c r="LCJ113" s="17"/>
      <c r="LCK113" s="17"/>
      <c r="LCL113" s="17"/>
      <c r="LCM113" s="17"/>
      <c r="LCN113" s="17"/>
      <c r="LCO113" s="17"/>
      <c r="LCP113" s="17"/>
      <c r="LCQ113" s="17"/>
      <c r="LCR113" s="17"/>
      <c r="LCS113" s="17"/>
      <c r="LCT113" s="17"/>
      <c r="LCU113" s="17"/>
      <c r="LCV113" s="17"/>
      <c r="LCW113" s="17"/>
      <c r="LCX113" s="17"/>
      <c r="LCY113" s="17"/>
      <c r="LCZ113" s="17"/>
      <c r="LDA113" s="17"/>
      <c r="LDB113" s="17"/>
      <c r="LDC113" s="17"/>
      <c r="LDD113" s="17"/>
      <c r="LDE113" s="17"/>
      <c r="LDF113" s="17"/>
      <c r="LDG113" s="17"/>
      <c r="LDH113" s="17"/>
      <c r="LDI113" s="17"/>
      <c r="LDJ113" s="17"/>
      <c r="LDK113" s="17"/>
      <c r="LDL113" s="17"/>
      <c r="LDM113" s="17"/>
      <c r="LDN113" s="17"/>
      <c r="LDO113" s="17"/>
      <c r="LDP113" s="17"/>
      <c r="LDQ113" s="17"/>
      <c r="LDR113" s="17"/>
      <c r="LDS113" s="17"/>
      <c r="LDT113" s="17"/>
      <c r="LDU113" s="17"/>
      <c r="LDV113" s="17"/>
      <c r="LDW113" s="17"/>
      <c r="LDX113" s="17"/>
      <c r="LDY113" s="17"/>
      <c r="LDZ113" s="17"/>
      <c r="LEA113" s="17"/>
      <c r="LEB113" s="17"/>
      <c r="LEC113" s="17"/>
      <c r="LED113" s="17"/>
      <c r="LEE113" s="17"/>
      <c r="LEF113" s="17"/>
      <c r="LEG113" s="17"/>
      <c r="LEH113" s="17"/>
      <c r="LEI113" s="17"/>
      <c r="LEJ113" s="17"/>
      <c r="LEK113" s="17"/>
      <c r="LEL113" s="17"/>
      <c r="LEM113" s="17"/>
      <c r="LEN113" s="17"/>
      <c r="LEO113" s="17"/>
      <c r="LEP113" s="17"/>
      <c r="LEQ113" s="17"/>
      <c r="LER113" s="17"/>
      <c r="LES113" s="17"/>
      <c r="LET113" s="17"/>
      <c r="LEU113" s="17"/>
      <c r="LEV113" s="17"/>
      <c r="LEW113" s="17"/>
      <c r="LEX113" s="17"/>
      <c r="LEY113" s="17"/>
      <c r="LEZ113" s="17"/>
      <c r="LFA113" s="17"/>
      <c r="LFB113" s="17"/>
      <c r="LFC113" s="17"/>
      <c r="LFD113" s="17"/>
      <c r="LFE113" s="17"/>
      <c r="LFF113" s="17"/>
      <c r="LFG113" s="17"/>
      <c r="LFH113" s="17"/>
      <c r="LFI113" s="17"/>
      <c r="LFJ113" s="17"/>
      <c r="LFK113" s="17"/>
      <c r="LFL113" s="17"/>
      <c r="LFM113" s="17"/>
      <c r="LFN113" s="17"/>
      <c r="LFO113" s="17"/>
      <c r="LFP113" s="17"/>
      <c r="LFQ113" s="17"/>
      <c r="LFR113" s="17"/>
      <c r="LFS113" s="17"/>
      <c r="LFT113" s="17"/>
      <c r="LFU113" s="17"/>
      <c r="LFV113" s="17"/>
      <c r="LFW113" s="17"/>
      <c r="LFX113" s="17"/>
      <c r="LFY113" s="17"/>
      <c r="LFZ113" s="17"/>
      <c r="LGA113" s="17"/>
      <c r="LGB113" s="17"/>
      <c r="LGC113" s="17"/>
      <c r="LGD113" s="17"/>
      <c r="LGE113" s="17"/>
      <c r="LGF113" s="17"/>
      <c r="LGG113" s="17"/>
      <c r="LGH113" s="17"/>
      <c r="LGI113" s="17"/>
      <c r="LGJ113" s="17"/>
      <c r="LGK113" s="17"/>
      <c r="LGL113" s="17"/>
      <c r="LGM113" s="17"/>
      <c r="LGN113" s="17"/>
      <c r="LGO113" s="17"/>
      <c r="LGP113" s="17"/>
      <c r="LGQ113" s="17"/>
      <c r="LGR113" s="17"/>
      <c r="LGS113" s="17"/>
      <c r="LGT113" s="17"/>
      <c r="LGU113" s="17"/>
      <c r="LGV113" s="17"/>
      <c r="LGW113" s="17"/>
      <c r="LGX113" s="17"/>
      <c r="LGY113" s="17"/>
      <c r="LGZ113" s="17"/>
      <c r="LHA113" s="17"/>
      <c r="LHB113" s="17"/>
      <c r="LHC113" s="17"/>
      <c r="LHD113" s="17"/>
      <c r="LHE113" s="17"/>
      <c r="LHF113" s="17"/>
      <c r="LHG113" s="17"/>
      <c r="LHH113" s="17"/>
      <c r="LHI113" s="17"/>
      <c r="LHJ113" s="17"/>
      <c r="LHK113" s="17"/>
      <c r="LHL113" s="17"/>
      <c r="LHM113" s="17"/>
      <c r="LHN113" s="17"/>
      <c r="LHO113" s="17"/>
      <c r="LHP113" s="17"/>
      <c r="LHQ113" s="17"/>
      <c r="LHR113" s="17"/>
      <c r="LHS113" s="17"/>
      <c r="LHT113" s="17"/>
      <c r="LHU113" s="17"/>
      <c r="LHV113" s="17"/>
      <c r="LHW113" s="17"/>
      <c r="LHX113" s="17"/>
      <c r="LHY113" s="17"/>
      <c r="LHZ113" s="17"/>
      <c r="LIA113" s="17"/>
      <c r="LIB113" s="17"/>
      <c r="LIC113" s="17"/>
      <c r="LID113" s="17"/>
      <c r="LIE113" s="17"/>
      <c r="LIF113" s="17"/>
      <c r="LIG113" s="17"/>
      <c r="LIH113" s="17"/>
      <c r="LII113" s="17"/>
      <c r="LIJ113" s="17"/>
      <c r="LIK113" s="17"/>
      <c r="LIL113" s="17"/>
      <c r="LIM113" s="17"/>
      <c r="LIN113" s="17"/>
      <c r="LIO113" s="17"/>
      <c r="LIP113" s="17"/>
      <c r="LIQ113" s="17"/>
      <c r="LIR113" s="17"/>
      <c r="LIS113" s="17"/>
      <c r="LIT113" s="17"/>
      <c r="LIU113" s="17"/>
      <c r="LIV113" s="17"/>
      <c r="LIW113" s="17"/>
      <c r="LIX113" s="17"/>
      <c r="LIY113" s="17"/>
      <c r="LIZ113" s="17"/>
      <c r="LJA113" s="17"/>
      <c r="LJB113" s="17"/>
      <c r="LJC113" s="17"/>
      <c r="LJD113" s="17"/>
      <c r="LJE113" s="17"/>
      <c r="LJF113" s="17"/>
      <c r="LJG113" s="17"/>
      <c r="LJH113" s="17"/>
      <c r="LJI113" s="17"/>
      <c r="LJJ113" s="17"/>
      <c r="LJK113" s="17"/>
      <c r="LJL113" s="17"/>
      <c r="LJM113" s="17"/>
      <c r="LJN113" s="17"/>
      <c r="LJO113" s="17"/>
      <c r="LJP113" s="17"/>
      <c r="LJQ113" s="17"/>
      <c r="LJR113" s="17"/>
      <c r="LJS113" s="17"/>
      <c r="LJT113" s="17"/>
      <c r="LJU113" s="17"/>
      <c r="LJV113" s="17"/>
      <c r="LJW113" s="17"/>
      <c r="LJX113" s="17"/>
      <c r="LJY113" s="17"/>
      <c r="LJZ113" s="17"/>
      <c r="LKA113" s="17"/>
      <c r="LKB113" s="17"/>
      <c r="LKC113" s="17"/>
      <c r="LKD113" s="17"/>
      <c r="LKE113" s="17"/>
      <c r="LKF113" s="17"/>
      <c r="LKG113" s="17"/>
      <c r="LKH113" s="17"/>
      <c r="LKI113" s="17"/>
      <c r="LKJ113" s="17"/>
      <c r="LKK113" s="17"/>
      <c r="LKL113" s="17"/>
      <c r="LKM113" s="17"/>
      <c r="LKN113" s="17"/>
      <c r="LKO113" s="17"/>
      <c r="LKP113" s="17"/>
      <c r="LKQ113" s="17"/>
      <c r="LKR113" s="17"/>
      <c r="LKS113" s="17"/>
      <c r="LKT113" s="17"/>
      <c r="LKU113" s="17"/>
      <c r="LKV113" s="17"/>
      <c r="LKW113" s="17"/>
      <c r="LKX113" s="17"/>
      <c r="LKY113" s="17"/>
      <c r="LKZ113" s="17"/>
      <c r="LLA113" s="17"/>
      <c r="LLB113" s="17"/>
      <c r="LLC113" s="17"/>
      <c r="LLD113" s="17"/>
      <c r="LLE113" s="17"/>
      <c r="LLF113" s="17"/>
      <c r="LLG113" s="17"/>
      <c r="LLH113" s="17"/>
      <c r="LLI113" s="17"/>
      <c r="LLJ113" s="17"/>
      <c r="LLK113" s="17"/>
      <c r="LLL113" s="17"/>
      <c r="LLM113" s="17"/>
      <c r="LLN113" s="17"/>
      <c r="LLO113" s="17"/>
      <c r="LLP113" s="17"/>
      <c r="LLQ113" s="17"/>
      <c r="LLR113" s="17"/>
      <c r="LLS113" s="17"/>
      <c r="LLT113" s="17"/>
      <c r="LLU113" s="17"/>
      <c r="LLV113" s="17"/>
      <c r="LLW113" s="17"/>
      <c r="LLX113" s="17"/>
      <c r="LLY113" s="17"/>
      <c r="LLZ113" s="17"/>
      <c r="LMA113" s="17"/>
      <c r="LMB113" s="17"/>
      <c r="LMC113" s="17"/>
      <c r="LMD113" s="17"/>
      <c r="LME113" s="17"/>
      <c r="LMF113" s="17"/>
      <c r="LMG113" s="17"/>
      <c r="LMH113" s="17"/>
      <c r="LMI113" s="17"/>
      <c r="LMJ113" s="17"/>
      <c r="LMK113" s="17"/>
      <c r="LML113" s="17"/>
      <c r="LMM113" s="17"/>
      <c r="LMN113" s="17"/>
      <c r="LMO113" s="17"/>
      <c r="LMP113" s="17"/>
      <c r="LMQ113" s="17"/>
      <c r="LMR113" s="17"/>
      <c r="LMS113" s="17"/>
      <c r="LMT113" s="17"/>
      <c r="LMU113" s="17"/>
      <c r="LMV113" s="17"/>
      <c r="LMW113" s="17"/>
      <c r="LMX113" s="17"/>
      <c r="LMY113" s="17"/>
      <c r="LMZ113" s="17"/>
      <c r="LNA113" s="17"/>
      <c r="LNB113" s="17"/>
      <c r="LNC113" s="17"/>
      <c r="LND113" s="17"/>
      <c r="LNE113" s="17"/>
      <c r="LNF113" s="17"/>
      <c r="LNG113" s="17"/>
      <c r="LNH113" s="17"/>
      <c r="LNI113" s="17"/>
      <c r="LNJ113" s="17"/>
      <c r="LNK113" s="17"/>
      <c r="LNL113" s="17"/>
      <c r="LNM113" s="17"/>
      <c r="LNN113" s="17"/>
      <c r="LNO113" s="17"/>
      <c r="LNP113" s="17"/>
      <c r="LNQ113" s="17"/>
      <c r="LNR113" s="17"/>
      <c r="LNS113" s="17"/>
      <c r="LNT113" s="17"/>
      <c r="LNU113" s="17"/>
      <c r="LNV113" s="17"/>
      <c r="LNW113" s="17"/>
      <c r="LNX113" s="17"/>
      <c r="LNY113" s="17"/>
      <c r="LNZ113" s="17"/>
      <c r="LOA113" s="17"/>
      <c r="LOB113" s="17"/>
      <c r="LOC113" s="17"/>
      <c r="LOD113" s="17"/>
      <c r="LOE113" s="17"/>
      <c r="LOF113" s="17"/>
      <c r="LOG113" s="17"/>
      <c r="LOH113" s="17"/>
      <c r="LOI113" s="17"/>
      <c r="LOJ113" s="17"/>
      <c r="LOK113" s="17"/>
      <c r="LOL113" s="17"/>
      <c r="LOM113" s="17"/>
      <c r="LON113" s="17"/>
      <c r="LOO113" s="17"/>
      <c r="LOP113" s="17"/>
      <c r="LOQ113" s="17"/>
      <c r="LOR113" s="17"/>
      <c r="LOS113" s="17"/>
      <c r="LOT113" s="17"/>
      <c r="LOU113" s="17"/>
      <c r="LOV113" s="17"/>
      <c r="LOW113" s="17"/>
      <c r="LOX113" s="17"/>
      <c r="LOY113" s="17"/>
      <c r="LOZ113" s="17"/>
      <c r="LPA113" s="17"/>
      <c r="LPB113" s="17"/>
      <c r="LPC113" s="17"/>
      <c r="LPD113" s="17"/>
      <c r="LPE113" s="17"/>
      <c r="LPF113" s="17"/>
      <c r="LPG113" s="17"/>
      <c r="LPH113" s="17"/>
      <c r="LPI113" s="17"/>
      <c r="LPJ113" s="17"/>
      <c r="LPK113" s="17"/>
      <c r="LPL113" s="17"/>
      <c r="LPM113" s="17"/>
      <c r="LPN113" s="17"/>
      <c r="LPO113" s="17"/>
      <c r="LPP113" s="17"/>
      <c r="LPQ113" s="17"/>
      <c r="LPR113" s="17"/>
      <c r="LPS113" s="17"/>
      <c r="LPT113" s="17"/>
      <c r="LPU113" s="17"/>
      <c r="LPV113" s="17"/>
      <c r="LPW113" s="17"/>
      <c r="LPX113" s="17"/>
      <c r="LPY113" s="17"/>
      <c r="LPZ113" s="17"/>
      <c r="LQA113" s="17"/>
      <c r="LQB113" s="17"/>
      <c r="LQC113" s="17"/>
      <c r="LQD113" s="17"/>
      <c r="LQE113" s="17"/>
      <c r="LQF113" s="17"/>
      <c r="LQG113" s="17"/>
      <c r="LQH113" s="17"/>
      <c r="LQI113" s="17"/>
      <c r="LQJ113" s="17"/>
      <c r="LQK113" s="17"/>
      <c r="LQL113" s="17"/>
      <c r="LQM113" s="17"/>
      <c r="LQN113" s="17"/>
      <c r="LQO113" s="17"/>
      <c r="LQP113" s="17"/>
      <c r="LQQ113" s="17"/>
      <c r="LQR113" s="17"/>
      <c r="LQS113" s="17"/>
      <c r="LQT113" s="17"/>
      <c r="LQU113" s="17"/>
      <c r="LQV113" s="17"/>
      <c r="LQW113" s="17"/>
      <c r="LQX113" s="17"/>
      <c r="LQY113" s="17"/>
      <c r="LQZ113" s="17"/>
      <c r="LRA113" s="17"/>
      <c r="LRB113" s="17"/>
      <c r="LRC113" s="17"/>
      <c r="LRD113" s="17"/>
      <c r="LRE113" s="17"/>
      <c r="LRF113" s="17"/>
      <c r="LRG113" s="17"/>
      <c r="LRH113" s="17"/>
      <c r="LRI113" s="17"/>
      <c r="LRJ113" s="17"/>
      <c r="LRK113" s="17"/>
      <c r="LRL113" s="17"/>
      <c r="LRM113" s="17"/>
      <c r="LRN113" s="17"/>
      <c r="LRO113" s="17"/>
      <c r="LRP113" s="17"/>
      <c r="LRQ113" s="17"/>
      <c r="LRR113" s="17"/>
      <c r="LRS113" s="17"/>
      <c r="LRT113" s="17"/>
      <c r="LRU113" s="17"/>
      <c r="LRV113" s="17"/>
      <c r="LRW113" s="17"/>
      <c r="LRX113" s="17"/>
      <c r="LRY113" s="17"/>
      <c r="LRZ113" s="17"/>
      <c r="LSA113" s="17"/>
      <c r="LSB113" s="17"/>
      <c r="LSC113" s="17"/>
      <c r="LSD113" s="17"/>
      <c r="LSE113" s="17"/>
      <c r="LSF113" s="17"/>
      <c r="LSG113" s="17"/>
      <c r="LSH113" s="17"/>
      <c r="LSI113" s="17"/>
      <c r="LSJ113" s="17"/>
      <c r="LSK113" s="17"/>
      <c r="LSL113" s="17"/>
      <c r="LSM113" s="17"/>
      <c r="LSN113" s="17"/>
      <c r="LSO113" s="17"/>
      <c r="LSP113" s="17"/>
      <c r="LSQ113" s="17"/>
      <c r="LSR113" s="17"/>
      <c r="LSS113" s="17"/>
      <c r="LST113" s="17"/>
      <c r="LSU113" s="17"/>
      <c r="LSV113" s="17"/>
      <c r="LSW113" s="17"/>
      <c r="LSX113" s="17"/>
      <c r="LSY113" s="17"/>
      <c r="LSZ113" s="17"/>
      <c r="LTA113" s="17"/>
      <c r="LTB113" s="17"/>
      <c r="LTC113" s="17"/>
      <c r="LTD113" s="17"/>
      <c r="LTE113" s="17"/>
      <c r="LTF113" s="17"/>
      <c r="LTG113" s="17"/>
      <c r="LTH113" s="17"/>
      <c r="LTI113" s="17"/>
      <c r="LTJ113" s="17"/>
      <c r="LTK113" s="17"/>
      <c r="LTL113" s="17"/>
      <c r="LTM113" s="17"/>
      <c r="LTN113" s="17"/>
      <c r="LTO113" s="17"/>
      <c r="LTP113" s="17"/>
      <c r="LTQ113" s="17"/>
      <c r="LTR113" s="17"/>
      <c r="LTS113" s="17"/>
      <c r="LTT113" s="17"/>
      <c r="LTU113" s="17"/>
      <c r="LTV113" s="17"/>
      <c r="LTW113" s="17"/>
      <c r="LTX113" s="17"/>
      <c r="LTY113" s="17"/>
      <c r="LTZ113" s="17"/>
      <c r="LUA113" s="17"/>
      <c r="LUB113" s="17"/>
      <c r="LUC113" s="17"/>
      <c r="LUD113" s="17"/>
      <c r="LUE113" s="17"/>
      <c r="LUF113" s="17"/>
      <c r="LUG113" s="17"/>
      <c r="LUH113" s="17"/>
      <c r="LUI113" s="17"/>
      <c r="LUJ113" s="17"/>
      <c r="LUK113" s="17"/>
      <c r="LUL113" s="17"/>
      <c r="LUM113" s="17"/>
      <c r="LUN113" s="17"/>
      <c r="LUO113" s="17"/>
      <c r="LUP113" s="17"/>
      <c r="LUQ113" s="17"/>
      <c r="LUR113" s="17"/>
      <c r="LUS113" s="17"/>
      <c r="LUT113" s="17"/>
      <c r="LUU113" s="17"/>
      <c r="LUV113" s="17"/>
      <c r="LUW113" s="17"/>
      <c r="LUX113" s="17"/>
      <c r="LUY113" s="17"/>
      <c r="LUZ113" s="17"/>
      <c r="LVA113" s="17"/>
      <c r="LVB113" s="17"/>
      <c r="LVC113" s="17"/>
      <c r="LVD113" s="17"/>
      <c r="LVE113" s="17"/>
      <c r="LVF113" s="17"/>
      <c r="LVG113" s="17"/>
      <c r="LVH113" s="17"/>
      <c r="LVI113" s="17"/>
      <c r="LVJ113" s="17"/>
      <c r="LVK113" s="17"/>
      <c r="LVL113" s="17"/>
      <c r="LVM113" s="17"/>
      <c r="LVN113" s="17"/>
      <c r="LVO113" s="17"/>
      <c r="LVP113" s="17"/>
      <c r="LVQ113" s="17"/>
      <c r="LVR113" s="17"/>
      <c r="LVS113" s="17"/>
      <c r="LVT113" s="17"/>
      <c r="LVU113" s="17"/>
      <c r="LVV113" s="17"/>
      <c r="LVW113" s="17"/>
      <c r="LVX113" s="17"/>
      <c r="LVY113" s="17"/>
      <c r="LVZ113" s="17"/>
      <c r="LWA113" s="17"/>
      <c r="LWB113" s="17"/>
      <c r="LWC113" s="17"/>
      <c r="LWD113" s="17"/>
      <c r="LWE113" s="17"/>
      <c r="LWF113" s="17"/>
      <c r="LWG113" s="17"/>
      <c r="LWH113" s="17"/>
      <c r="LWI113" s="17"/>
      <c r="LWJ113" s="17"/>
      <c r="LWK113" s="17"/>
      <c r="LWL113" s="17"/>
      <c r="LWM113" s="17"/>
      <c r="LWN113" s="17"/>
      <c r="LWO113" s="17"/>
      <c r="LWP113" s="17"/>
      <c r="LWQ113" s="17"/>
      <c r="LWR113" s="17"/>
      <c r="LWS113" s="17"/>
      <c r="LWT113" s="17"/>
      <c r="LWU113" s="17"/>
      <c r="LWV113" s="17"/>
      <c r="LWW113" s="17"/>
      <c r="LWX113" s="17"/>
      <c r="LWY113" s="17"/>
      <c r="LWZ113" s="17"/>
      <c r="LXA113" s="17"/>
      <c r="LXB113" s="17"/>
      <c r="LXC113" s="17"/>
      <c r="LXD113" s="17"/>
      <c r="LXE113" s="17"/>
      <c r="LXF113" s="17"/>
      <c r="LXG113" s="17"/>
      <c r="LXH113" s="17"/>
      <c r="LXI113" s="17"/>
      <c r="LXJ113" s="17"/>
      <c r="LXK113" s="17"/>
      <c r="LXL113" s="17"/>
      <c r="LXM113" s="17"/>
      <c r="LXN113" s="17"/>
      <c r="LXO113" s="17"/>
      <c r="LXP113" s="17"/>
      <c r="LXQ113" s="17"/>
      <c r="LXR113" s="17"/>
      <c r="LXS113" s="17"/>
      <c r="LXT113" s="17"/>
      <c r="LXU113" s="17"/>
      <c r="LXV113" s="17"/>
      <c r="LXW113" s="17"/>
      <c r="LXX113" s="17"/>
      <c r="LXY113" s="17"/>
      <c r="LXZ113" s="17"/>
      <c r="LYA113" s="17"/>
      <c r="LYB113" s="17"/>
      <c r="LYC113" s="17"/>
      <c r="LYD113" s="17"/>
      <c r="LYE113" s="17"/>
      <c r="LYF113" s="17"/>
      <c r="LYG113" s="17"/>
      <c r="LYH113" s="17"/>
      <c r="LYI113" s="17"/>
      <c r="LYJ113" s="17"/>
      <c r="LYK113" s="17"/>
      <c r="LYL113" s="17"/>
      <c r="LYM113" s="17"/>
      <c r="LYN113" s="17"/>
      <c r="LYO113" s="17"/>
      <c r="LYP113" s="17"/>
      <c r="LYQ113" s="17"/>
      <c r="LYR113" s="17"/>
      <c r="LYS113" s="17"/>
      <c r="LYT113" s="17"/>
      <c r="LYU113" s="17"/>
      <c r="LYV113" s="17"/>
      <c r="LYW113" s="17"/>
      <c r="LYX113" s="17"/>
      <c r="LYY113" s="17"/>
      <c r="LYZ113" s="17"/>
      <c r="LZA113" s="17"/>
      <c r="LZB113" s="17"/>
      <c r="LZC113" s="17"/>
      <c r="LZD113" s="17"/>
      <c r="LZE113" s="17"/>
      <c r="LZF113" s="17"/>
      <c r="LZG113" s="17"/>
      <c r="LZH113" s="17"/>
      <c r="LZI113" s="17"/>
      <c r="LZJ113" s="17"/>
      <c r="LZK113" s="17"/>
      <c r="LZL113" s="17"/>
      <c r="LZM113" s="17"/>
      <c r="LZN113" s="17"/>
      <c r="LZO113" s="17"/>
      <c r="LZP113" s="17"/>
      <c r="LZQ113" s="17"/>
      <c r="LZR113" s="17"/>
      <c r="LZS113" s="17"/>
      <c r="LZT113" s="17"/>
      <c r="LZU113" s="17"/>
      <c r="LZV113" s="17"/>
      <c r="LZW113" s="17"/>
      <c r="LZX113" s="17"/>
      <c r="LZY113" s="17"/>
      <c r="LZZ113" s="17"/>
      <c r="MAA113" s="17"/>
      <c r="MAB113" s="17"/>
      <c r="MAC113" s="17"/>
      <c r="MAD113" s="17"/>
      <c r="MAE113" s="17"/>
      <c r="MAF113" s="17"/>
      <c r="MAG113" s="17"/>
      <c r="MAH113" s="17"/>
      <c r="MAI113" s="17"/>
      <c r="MAJ113" s="17"/>
      <c r="MAK113" s="17"/>
      <c r="MAL113" s="17"/>
      <c r="MAM113" s="17"/>
      <c r="MAN113" s="17"/>
      <c r="MAO113" s="17"/>
      <c r="MAP113" s="17"/>
      <c r="MAQ113" s="17"/>
      <c r="MAR113" s="17"/>
      <c r="MAS113" s="17"/>
      <c r="MAT113" s="17"/>
      <c r="MAU113" s="17"/>
      <c r="MAV113" s="17"/>
      <c r="MAW113" s="17"/>
      <c r="MAX113" s="17"/>
      <c r="MAY113" s="17"/>
      <c r="MAZ113" s="17"/>
      <c r="MBA113" s="17"/>
      <c r="MBB113" s="17"/>
      <c r="MBC113" s="17"/>
      <c r="MBD113" s="17"/>
      <c r="MBE113" s="17"/>
      <c r="MBF113" s="17"/>
      <c r="MBG113" s="17"/>
      <c r="MBH113" s="17"/>
      <c r="MBI113" s="17"/>
      <c r="MBJ113" s="17"/>
      <c r="MBK113" s="17"/>
      <c r="MBL113" s="17"/>
      <c r="MBM113" s="17"/>
      <c r="MBN113" s="17"/>
      <c r="MBO113" s="17"/>
      <c r="MBP113" s="17"/>
      <c r="MBQ113" s="17"/>
      <c r="MBR113" s="17"/>
      <c r="MBS113" s="17"/>
      <c r="MBT113" s="17"/>
      <c r="MBU113" s="17"/>
      <c r="MBV113" s="17"/>
      <c r="MBW113" s="17"/>
      <c r="MBX113" s="17"/>
      <c r="MBY113" s="17"/>
      <c r="MBZ113" s="17"/>
      <c r="MCA113" s="17"/>
      <c r="MCB113" s="17"/>
      <c r="MCC113" s="17"/>
      <c r="MCD113" s="17"/>
      <c r="MCE113" s="17"/>
      <c r="MCF113" s="17"/>
      <c r="MCG113" s="17"/>
      <c r="MCH113" s="17"/>
      <c r="MCI113" s="17"/>
      <c r="MCJ113" s="17"/>
      <c r="MCK113" s="17"/>
      <c r="MCL113" s="17"/>
      <c r="MCM113" s="17"/>
      <c r="MCN113" s="17"/>
      <c r="MCO113" s="17"/>
      <c r="MCP113" s="17"/>
      <c r="MCQ113" s="17"/>
      <c r="MCR113" s="17"/>
      <c r="MCS113" s="17"/>
      <c r="MCT113" s="17"/>
      <c r="MCU113" s="17"/>
      <c r="MCV113" s="17"/>
      <c r="MCW113" s="17"/>
      <c r="MCX113" s="17"/>
      <c r="MCY113" s="17"/>
      <c r="MCZ113" s="17"/>
      <c r="MDA113" s="17"/>
      <c r="MDB113" s="17"/>
      <c r="MDC113" s="17"/>
      <c r="MDD113" s="17"/>
      <c r="MDE113" s="17"/>
      <c r="MDF113" s="17"/>
      <c r="MDG113" s="17"/>
      <c r="MDH113" s="17"/>
      <c r="MDI113" s="17"/>
      <c r="MDJ113" s="17"/>
      <c r="MDK113" s="17"/>
      <c r="MDL113" s="17"/>
      <c r="MDM113" s="17"/>
      <c r="MDN113" s="17"/>
      <c r="MDO113" s="17"/>
      <c r="MDP113" s="17"/>
      <c r="MDQ113" s="17"/>
      <c r="MDR113" s="17"/>
      <c r="MDS113" s="17"/>
      <c r="MDT113" s="17"/>
      <c r="MDU113" s="17"/>
      <c r="MDV113" s="17"/>
      <c r="MDW113" s="17"/>
      <c r="MDX113" s="17"/>
      <c r="MDY113" s="17"/>
      <c r="MDZ113" s="17"/>
      <c r="MEA113" s="17"/>
      <c r="MEB113" s="17"/>
      <c r="MEC113" s="17"/>
      <c r="MED113" s="17"/>
      <c r="MEE113" s="17"/>
      <c r="MEF113" s="17"/>
      <c r="MEG113" s="17"/>
      <c r="MEH113" s="17"/>
      <c r="MEI113" s="17"/>
      <c r="MEJ113" s="17"/>
      <c r="MEK113" s="17"/>
      <c r="MEL113" s="17"/>
      <c r="MEM113" s="17"/>
      <c r="MEN113" s="17"/>
      <c r="MEO113" s="17"/>
      <c r="MEP113" s="17"/>
      <c r="MEQ113" s="17"/>
      <c r="MER113" s="17"/>
      <c r="MES113" s="17"/>
      <c r="MET113" s="17"/>
      <c r="MEU113" s="17"/>
      <c r="MEV113" s="17"/>
      <c r="MEW113" s="17"/>
      <c r="MEX113" s="17"/>
      <c r="MEY113" s="17"/>
      <c r="MEZ113" s="17"/>
      <c r="MFA113" s="17"/>
      <c r="MFB113" s="17"/>
      <c r="MFC113" s="17"/>
      <c r="MFD113" s="17"/>
      <c r="MFE113" s="17"/>
      <c r="MFF113" s="17"/>
      <c r="MFG113" s="17"/>
      <c r="MFH113" s="17"/>
      <c r="MFI113" s="17"/>
      <c r="MFJ113" s="17"/>
      <c r="MFK113" s="17"/>
      <c r="MFL113" s="17"/>
      <c r="MFM113" s="17"/>
      <c r="MFN113" s="17"/>
      <c r="MFO113" s="17"/>
      <c r="MFP113" s="17"/>
      <c r="MFQ113" s="17"/>
      <c r="MFR113" s="17"/>
      <c r="MFS113" s="17"/>
      <c r="MFT113" s="17"/>
      <c r="MFU113" s="17"/>
      <c r="MFV113" s="17"/>
      <c r="MFW113" s="17"/>
      <c r="MFX113" s="17"/>
      <c r="MFY113" s="17"/>
      <c r="MFZ113" s="17"/>
      <c r="MGA113" s="17"/>
      <c r="MGB113" s="17"/>
      <c r="MGC113" s="17"/>
      <c r="MGD113" s="17"/>
      <c r="MGE113" s="17"/>
      <c r="MGF113" s="17"/>
      <c r="MGG113" s="17"/>
      <c r="MGH113" s="17"/>
      <c r="MGI113" s="17"/>
      <c r="MGJ113" s="17"/>
      <c r="MGK113" s="17"/>
      <c r="MGL113" s="17"/>
      <c r="MGM113" s="17"/>
      <c r="MGN113" s="17"/>
      <c r="MGO113" s="17"/>
      <c r="MGP113" s="17"/>
      <c r="MGQ113" s="17"/>
      <c r="MGR113" s="17"/>
      <c r="MGS113" s="17"/>
      <c r="MGT113" s="17"/>
      <c r="MGU113" s="17"/>
      <c r="MGV113" s="17"/>
      <c r="MGW113" s="17"/>
      <c r="MGX113" s="17"/>
      <c r="MGY113" s="17"/>
      <c r="MGZ113" s="17"/>
      <c r="MHA113" s="17"/>
      <c r="MHB113" s="17"/>
      <c r="MHC113" s="17"/>
      <c r="MHD113" s="17"/>
      <c r="MHE113" s="17"/>
      <c r="MHF113" s="17"/>
      <c r="MHG113" s="17"/>
      <c r="MHH113" s="17"/>
      <c r="MHI113" s="17"/>
      <c r="MHJ113" s="17"/>
      <c r="MHK113" s="17"/>
      <c r="MHL113" s="17"/>
      <c r="MHM113" s="17"/>
      <c r="MHN113" s="17"/>
      <c r="MHO113" s="17"/>
      <c r="MHP113" s="17"/>
      <c r="MHQ113" s="17"/>
      <c r="MHR113" s="17"/>
      <c r="MHS113" s="17"/>
      <c r="MHT113" s="17"/>
      <c r="MHU113" s="17"/>
      <c r="MHV113" s="17"/>
      <c r="MHW113" s="17"/>
      <c r="MHX113" s="17"/>
      <c r="MHY113" s="17"/>
      <c r="MHZ113" s="17"/>
      <c r="MIA113" s="17"/>
      <c r="MIB113" s="17"/>
      <c r="MIC113" s="17"/>
      <c r="MID113" s="17"/>
      <c r="MIE113" s="17"/>
      <c r="MIF113" s="17"/>
      <c r="MIG113" s="17"/>
      <c r="MIH113" s="17"/>
      <c r="MII113" s="17"/>
      <c r="MIJ113" s="17"/>
      <c r="MIK113" s="17"/>
      <c r="MIL113" s="17"/>
      <c r="MIM113" s="17"/>
      <c r="MIN113" s="17"/>
      <c r="MIO113" s="17"/>
      <c r="MIP113" s="17"/>
      <c r="MIQ113" s="17"/>
      <c r="MIR113" s="17"/>
      <c r="MIS113" s="17"/>
      <c r="MIT113" s="17"/>
      <c r="MIU113" s="17"/>
      <c r="MIV113" s="17"/>
      <c r="MIW113" s="17"/>
      <c r="MIX113" s="17"/>
      <c r="MIY113" s="17"/>
      <c r="MIZ113" s="17"/>
      <c r="MJA113" s="17"/>
      <c r="MJB113" s="17"/>
      <c r="MJC113" s="17"/>
      <c r="MJD113" s="17"/>
      <c r="MJE113" s="17"/>
      <c r="MJF113" s="17"/>
      <c r="MJG113" s="17"/>
      <c r="MJH113" s="17"/>
      <c r="MJI113" s="17"/>
      <c r="MJJ113" s="17"/>
      <c r="MJK113" s="17"/>
      <c r="MJL113" s="17"/>
      <c r="MJM113" s="17"/>
      <c r="MJN113" s="17"/>
      <c r="MJO113" s="17"/>
      <c r="MJP113" s="17"/>
      <c r="MJQ113" s="17"/>
      <c r="MJR113" s="17"/>
      <c r="MJS113" s="17"/>
      <c r="MJT113" s="17"/>
      <c r="MJU113" s="17"/>
      <c r="MJV113" s="17"/>
      <c r="MJW113" s="17"/>
      <c r="MJX113" s="17"/>
      <c r="MJY113" s="17"/>
      <c r="MJZ113" s="17"/>
      <c r="MKA113" s="17"/>
      <c r="MKB113" s="17"/>
      <c r="MKC113" s="17"/>
      <c r="MKD113" s="17"/>
      <c r="MKE113" s="17"/>
      <c r="MKF113" s="17"/>
      <c r="MKG113" s="17"/>
      <c r="MKH113" s="17"/>
      <c r="MKI113" s="17"/>
      <c r="MKJ113" s="17"/>
      <c r="MKK113" s="17"/>
      <c r="MKL113" s="17"/>
      <c r="MKM113" s="17"/>
      <c r="MKN113" s="17"/>
      <c r="MKO113" s="17"/>
      <c r="MKP113" s="17"/>
      <c r="MKQ113" s="17"/>
      <c r="MKR113" s="17"/>
      <c r="MKS113" s="17"/>
      <c r="MKT113" s="17"/>
      <c r="MKU113" s="17"/>
      <c r="MKV113" s="17"/>
      <c r="MKW113" s="17"/>
      <c r="MKX113" s="17"/>
      <c r="MKY113" s="17"/>
      <c r="MKZ113" s="17"/>
      <c r="MLA113" s="17"/>
      <c r="MLB113" s="17"/>
      <c r="MLC113" s="17"/>
      <c r="MLD113" s="17"/>
      <c r="MLE113" s="17"/>
      <c r="MLF113" s="17"/>
      <c r="MLG113" s="17"/>
      <c r="MLH113" s="17"/>
      <c r="MLI113" s="17"/>
      <c r="MLJ113" s="17"/>
      <c r="MLK113" s="17"/>
      <c r="MLL113" s="17"/>
      <c r="MLM113" s="17"/>
      <c r="MLN113" s="17"/>
      <c r="MLO113" s="17"/>
      <c r="MLP113" s="17"/>
      <c r="MLQ113" s="17"/>
      <c r="MLR113" s="17"/>
      <c r="MLS113" s="17"/>
      <c r="MLT113" s="17"/>
      <c r="MLU113" s="17"/>
      <c r="MLV113" s="17"/>
      <c r="MLW113" s="17"/>
      <c r="MLX113" s="17"/>
      <c r="MLY113" s="17"/>
      <c r="MLZ113" s="17"/>
      <c r="MMA113" s="17"/>
      <c r="MMB113" s="17"/>
      <c r="MMC113" s="17"/>
      <c r="MMD113" s="17"/>
      <c r="MME113" s="17"/>
      <c r="MMF113" s="17"/>
      <c r="MMG113" s="17"/>
      <c r="MMH113" s="17"/>
      <c r="MMI113" s="17"/>
      <c r="MMJ113" s="17"/>
      <c r="MMK113" s="17"/>
      <c r="MML113" s="17"/>
      <c r="MMM113" s="17"/>
      <c r="MMN113" s="17"/>
      <c r="MMO113" s="17"/>
      <c r="MMP113" s="17"/>
      <c r="MMQ113" s="17"/>
      <c r="MMR113" s="17"/>
      <c r="MMS113" s="17"/>
      <c r="MMT113" s="17"/>
      <c r="MMU113" s="17"/>
      <c r="MMV113" s="17"/>
      <c r="MMW113" s="17"/>
      <c r="MMX113" s="17"/>
      <c r="MMY113" s="17"/>
      <c r="MMZ113" s="17"/>
      <c r="MNA113" s="17"/>
      <c r="MNB113" s="17"/>
      <c r="MNC113" s="17"/>
      <c r="MND113" s="17"/>
      <c r="MNE113" s="17"/>
      <c r="MNF113" s="17"/>
      <c r="MNG113" s="17"/>
      <c r="MNH113" s="17"/>
      <c r="MNI113" s="17"/>
      <c r="MNJ113" s="17"/>
      <c r="MNK113" s="17"/>
      <c r="MNL113" s="17"/>
      <c r="MNM113" s="17"/>
      <c r="MNN113" s="17"/>
      <c r="MNO113" s="17"/>
      <c r="MNP113" s="17"/>
      <c r="MNQ113" s="17"/>
      <c r="MNR113" s="17"/>
      <c r="MNS113" s="17"/>
      <c r="MNT113" s="17"/>
      <c r="MNU113" s="17"/>
      <c r="MNV113" s="17"/>
      <c r="MNW113" s="17"/>
      <c r="MNX113" s="17"/>
      <c r="MNY113" s="17"/>
      <c r="MNZ113" s="17"/>
      <c r="MOA113" s="17"/>
      <c r="MOB113" s="17"/>
      <c r="MOC113" s="17"/>
      <c r="MOD113" s="17"/>
      <c r="MOE113" s="17"/>
      <c r="MOF113" s="17"/>
      <c r="MOG113" s="17"/>
      <c r="MOH113" s="17"/>
      <c r="MOI113" s="17"/>
      <c r="MOJ113" s="17"/>
      <c r="MOK113" s="17"/>
      <c r="MOL113" s="17"/>
      <c r="MOM113" s="17"/>
      <c r="MON113" s="17"/>
      <c r="MOO113" s="17"/>
      <c r="MOP113" s="17"/>
      <c r="MOQ113" s="17"/>
      <c r="MOR113" s="17"/>
      <c r="MOS113" s="17"/>
      <c r="MOT113" s="17"/>
      <c r="MOU113" s="17"/>
      <c r="MOV113" s="17"/>
      <c r="MOW113" s="17"/>
      <c r="MOX113" s="17"/>
      <c r="MOY113" s="17"/>
      <c r="MOZ113" s="17"/>
      <c r="MPA113" s="17"/>
      <c r="MPB113" s="17"/>
      <c r="MPC113" s="17"/>
      <c r="MPD113" s="17"/>
      <c r="MPE113" s="17"/>
      <c r="MPF113" s="17"/>
      <c r="MPG113" s="17"/>
      <c r="MPH113" s="17"/>
      <c r="MPI113" s="17"/>
      <c r="MPJ113" s="17"/>
      <c r="MPK113" s="17"/>
      <c r="MPL113" s="17"/>
      <c r="MPM113" s="17"/>
      <c r="MPN113" s="17"/>
      <c r="MPO113" s="17"/>
      <c r="MPP113" s="17"/>
      <c r="MPQ113" s="17"/>
      <c r="MPR113" s="17"/>
      <c r="MPS113" s="17"/>
      <c r="MPT113" s="17"/>
      <c r="MPU113" s="17"/>
      <c r="MPV113" s="17"/>
      <c r="MPW113" s="17"/>
      <c r="MPX113" s="17"/>
      <c r="MPY113" s="17"/>
      <c r="MPZ113" s="17"/>
      <c r="MQA113" s="17"/>
      <c r="MQB113" s="17"/>
      <c r="MQC113" s="17"/>
      <c r="MQD113" s="17"/>
      <c r="MQE113" s="17"/>
      <c r="MQF113" s="17"/>
      <c r="MQG113" s="17"/>
      <c r="MQH113" s="17"/>
      <c r="MQI113" s="17"/>
      <c r="MQJ113" s="17"/>
      <c r="MQK113" s="17"/>
      <c r="MQL113" s="17"/>
      <c r="MQM113" s="17"/>
      <c r="MQN113" s="17"/>
      <c r="MQO113" s="17"/>
      <c r="MQP113" s="17"/>
      <c r="MQQ113" s="17"/>
      <c r="MQR113" s="17"/>
      <c r="MQS113" s="17"/>
      <c r="MQT113" s="17"/>
      <c r="MQU113" s="17"/>
      <c r="MQV113" s="17"/>
      <c r="MQW113" s="17"/>
      <c r="MQX113" s="17"/>
      <c r="MQY113" s="17"/>
      <c r="MQZ113" s="17"/>
      <c r="MRA113" s="17"/>
      <c r="MRB113" s="17"/>
      <c r="MRC113" s="17"/>
      <c r="MRD113" s="17"/>
      <c r="MRE113" s="17"/>
      <c r="MRF113" s="17"/>
      <c r="MRG113" s="17"/>
      <c r="MRH113" s="17"/>
      <c r="MRI113" s="17"/>
      <c r="MRJ113" s="17"/>
      <c r="MRK113" s="17"/>
      <c r="MRL113" s="17"/>
      <c r="MRM113" s="17"/>
      <c r="MRN113" s="17"/>
      <c r="MRO113" s="17"/>
      <c r="MRP113" s="17"/>
      <c r="MRQ113" s="17"/>
      <c r="MRR113" s="17"/>
      <c r="MRS113" s="17"/>
      <c r="MRT113" s="17"/>
      <c r="MRU113" s="17"/>
      <c r="MRV113" s="17"/>
      <c r="MRW113" s="17"/>
      <c r="MRX113" s="17"/>
      <c r="MRY113" s="17"/>
      <c r="MRZ113" s="17"/>
      <c r="MSA113" s="17"/>
      <c r="MSB113" s="17"/>
      <c r="MSC113" s="17"/>
      <c r="MSD113" s="17"/>
      <c r="MSE113" s="17"/>
      <c r="MSF113" s="17"/>
      <c r="MSG113" s="17"/>
      <c r="MSH113" s="17"/>
      <c r="MSI113" s="17"/>
      <c r="MSJ113" s="17"/>
      <c r="MSK113" s="17"/>
      <c r="MSL113" s="17"/>
      <c r="MSM113" s="17"/>
      <c r="MSN113" s="17"/>
      <c r="MSO113" s="17"/>
      <c r="MSP113" s="17"/>
      <c r="MSQ113" s="17"/>
      <c r="MSR113" s="17"/>
      <c r="MSS113" s="17"/>
      <c r="MST113" s="17"/>
      <c r="MSU113" s="17"/>
      <c r="MSV113" s="17"/>
      <c r="MSW113" s="17"/>
      <c r="MSX113" s="17"/>
      <c r="MSY113" s="17"/>
      <c r="MSZ113" s="17"/>
      <c r="MTA113" s="17"/>
      <c r="MTB113" s="17"/>
      <c r="MTC113" s="17"/>
      <c r="MTD113" s="17"/>
      <c r="MTE113" s="17"/>
      <c r="MTF113" s="17"/>
      <c r="MTG113" s="17"/>
      <c r="MTH113" s="17"/>
      <c r="MTI113" s="17"/>
      <c r="MTJ113" s="17"/>
      <c r="MTK113" s="17"/>
      <c r="MTL113" s="17"/>
      <c r="MTM113" s="17"/>
      <c r="MTN113" s="17"/>
      <c r="MTO113" s="17"/>
      <c r="MTP113" s="17"/>
      <c r="MTQ113" s="17"/>
      <c r="MTR113" s="17"/>
      <c r="MTS113" s="17"/>
      <c r="MTT113" s="17"/>
      <c r="MTU113" s="17"/>
      <c r="MTV113" s="17"/>
      <c r="MTW113" s="17"/>
      <c r="MTX113" s="17"/>
      <c r="MTY113" s="17"/>
      <c r="MTZ113" s="17"/>
      <c r="MUA113" s="17"/>
      <c r="MUB113" s="17"/>
      <c r="MUC113" s="17"/>
      <c r="MUD113" s="17"/>
      <c r="MUE113" s="17"/>
      <c r="MUF113" s="17"/>
      <c r="MUG113" s="17"/>
      <c r="MUH113" s="17"/>
      <c r="MUI113" s="17"/>
      <c r="MUJ113" s="17"/>
      <c r="MUK113" s="17"/>
      <c r="MUL113" s="17"/>
      <c r="MUM113" s="17"/>
      <c r="MUN113" s="17"/>
      <c r="MUO113" s="17"/>
      <c r="MUP113" s="17"/>
      <c r="MUQ113" s="17"/>
      <c r="MUR113" s="17"/>
      <c r="MUS113" s="17"/>
      <c r="MUT113" s="17"/>
      <c r="MUU113" s="17"/>
      <c r="MUV113" s="17"/>
      <c r="MUW113" s="17"/>
      <c r="MUX113" s="17"/>
      <c r="MUY113" s="17"/>
      <c r="MUZ113" s="17"/>
      <c r="MVA113" s="17"/>
      <c r="MVB113" s="17"/>
      <c r="MVC113" s="17"/>
      <c r="MVD113" s="17"/>
      <c r="MVE113" s="17"/>
      <c r="MVF113" s="17"/>
      <c r="MVG113" s="17"/>
      <c r="MVH113" s="17"/>
      <c r="MVI113" s="17"/>
      <c r="MVJ113" s="17"/>
      <c r="MVK113" s="17"/>
      <c r="MVL113" s="17"/>
      <c r="MVM113" s="17"/>
      <c r="MVN113" s="17"/>
      <c r="MVO113" s="17"/>
      <c r="MVP113" s="17"/>
      <c r="MVQ113" s="17"/>
      <c r="MVR113" s="17"/>
      <c r="MVS113" s="17"/>
      <c r="MVT113" s="17"/>
      <c r="MVU113" s="17"/>
      <c r="MVV113" s="17"/>
      <c r="MVW113" s="17"/>
      <c r="MVX113" s="17"/>
      <c r="MVY113" s="17"/>
      <c r="MVZ113" s="17"/>
      <c r="MWA113" s="17"/>
      <c r="MWB113" s="17"/>
      <c r="MWC113" s="17"/>
      <c r="MWD113" s="17"/>
      <c r="MWE113" s="17"/>
      <c r="MWF113" s="17"/>
      <c r="MWG113" s="17"/>
      <c r="MWH113" s="17"/>
      <c r="MWI113" s="17"/>
      <c r="MWJ113" s="17"/>
      <c r="MWK113" s="17"/>
      <c r="MWL113" s="17"/>
      <c r="MWM113" s="17"/>
      <c r="MWN113" s="17"/>
      <c r="MWO113" s="17"/>
      <c r="MWP113" s="17"/>
      <c r="MWQ113" s="17"/>
      <c r="MWR113" s="17"/>
      <c r="MWS113" s="17"/>
      <c r="MWT113" s="17"/>
      <c r="MWU113" s="17"/>
      <c r="MWV113" s="17"/>
      <c r="MWW113" s="17"/>
      <c r="MWX113" s="17"/>
      <c r="MWY113" s="17"/>
      <c r="MWZ113" s="17"/>
      <c r="MXA113" s="17"/>
      <c r="MXB113" s="17"/>
      <c r="MXC113" s="17"/>
      <c r="MXD113" s="17"/>
      <c r="MXE113" s="17"/>
      <c r="MXF113" s="17"/>
      <c r="MXG113" s="17"/>
      <c r="MXH113" s="17"/>
      <c r="MXI113" s="17"/>
      <c r="MXJ113" s="17"/>
      <c r="MXK113" s="17"/>
      <c r="MXL113" s="17"/>
      <c r="MXM113" s="17"/>
      <c r="MXN113" s="17"/>
      <c r="MXO113" s="17"/>
      <c r="MXP113" s="17"/>
      <c r="MXQ113" s="17"/>
      <c r="MXR113" s="17"/>
      <c r="MXS113" s="17"/>
      <c r="MXT113" s="17"/>
      <c r="MXU113" s="17"/>
      <c r="MXV113" s="17"/>
      <c r="MXW113" s="17"/>
      <c r="MXX113" s="17"/>
      <c r="MXY113" s="17"/>
      <c r="MXZ113" s="17"/>
      <c r="MYA113" s="17"/>
      <c r="MYB113" s="17"/>
      <c r="MYC113" s="17"/>
      <c r="MYD113" s="17"/>
      <c r="MYE113" s="17"/>
      <c r="MYF113" s="17"/>
      <c r="MYG113" s="17"/>
      <c r="MYH113" s="17"/>
      <c r="MYI113" s="17"/>
      <c r="MYJ113" s="17"/>
      <c r="MYK113" s="17"/>
      <c r="MYL113" s="17"/>
      <c r="MYM113" s="17"/>
      <c r="MYN113" s="17"/>
      <c r="MYO113" s="17"/>
      <c r="MYP113" s="17"/>
      <c r="MYQ113" s="17"/>
      <c r="MYR113" s="17"/>
      <c r="MYS113" s="17"/>
      <c r="MYT113" s="17"/>
      <c r="MYU113" s="17"/>
      <c r="MYV113" s="17"/>
      <c r="MYW113" s="17"/>
      <c r="MYX113" s="17"/>
      <c r="MYY113" s="17"/>
      <c r="MYZ113" s="17"/>
      <c r="MZA113" s="17"/>
      <c r="MZB113" s="17"/>
      <c r="MZC113" s="17"/>
      <c r="MZD113" s="17"/>
      <c r="MZE113" s="17"/>
      <c r="MZF113" s="17"/>
      <c r="MZG113" s="17"/>
      <c r="MZH113" s="17"/>
      <c r="MZI113" s="17"/>
      <c r="MZJ113" s="17"/>
      <c r="MZK113" s="17"/>
      <c r="MZL113" s="17"/>
      <c r="MZM113" s="17"/>
      <c r="MZN113" s="17"/>
      <c r="MZO113" s="17"/>
      <c r="MZP113" s="17"/>
      <c r="MZQ113" s="17"/>
      <c r="MZR113" s="17"/>
      <c r="MZS113" s="17"/>
      <c r="MZT113" s="17"/>
      <c r="MZU113" s="17"/>
      <c r="MZV113" s="17"/>
      <c r="MZW113" s="17"/>
      <c r="MZX113" s="17"/>
      <c r="MZY113" s="17"/>
      <c r="MZZ113" s="17"/>
      <c r="NAA113" s="17"/>
      <c r="NAB113" s="17"/>
      <c r="NAC113" s="17"/>
      <c r="NAD113" s="17"/>
      <c r="NAE113" s="17"/>
      <c r="NAF113" s="17"/>
      <c r="NAG113" s="17"/>
      <c r="NAH113" s="17"/>
      <c r="NAI113" s="17"/>
      <c r="NAJ113" s="17"/>
      <c r="NAK113" s="17"/>
      <c r="NAL113" s="17"/>
      <c r="NAM113" s="17"/>
      <c r="NAN113" s="17"/>
      <c r="NAO113" s="17"/>
      <c r="NAP113" s="17"/>
      <c r="NAQ113" s="17"/>
      <c r="NAR113" s="17"/>
      <c r="NAS113" s="17"/>
      <c r="NAT113" s="17"/>
      <c r="NAU113" s="17"/>
      <c r="NAV113" s="17"/>
      <c r="NAW113" s="17"/>
      <c r="NAX113" s="17"/>
      <c r="NAY113" s="17"/>
      <c r="NAZ113" s="17"/>
      <c r="NBA113" s="17"/>
      <c r="NBB113" s="17"/>
      <c r="NBC113" s="17"/>
      <c r="NBD113" s="17"/>
      <c r="NBE113" s="17"/>
      <c r="NBF113" s="17"/>
      <c r="NBG113" s="17"/>
      <c r="NBH113" s="17"/>
      <c r="NBI113" s="17"/>
      <c r="NBJ113" s="17"/>
      <c r="NBK113" s="17"/>
      <c r="NBL113" s="17"/>
      <c r="NBM113" s="17"/>
      <c r="NBN113" s="17"/>
      <c r="NBO113" s="17"/>
      <c r="NBP113" s="17"/>
      <c r="NBQ113" s="17"/>
      <c r="NBR113" s="17"/>
      <c r="NBS113" s="17"/>
      <c r="NBT113" s="17"/>
      <c r="NBU113" s="17"/>
      <c r="NBV113" s="17"/>
      <c r="NBW113" s="17"/>
      <c r="NBX113" s="17"/>
      <c r="NBY113" s="17"/>
      <c r="NBZ113" s="17"/>
      <c r="NCA113" s="17"/>
      <c r="NCB113" s="17"/>
      <c r="NCC113" s="17"/>
      <c r="NCD113" s="17"/>
      <c r="NCE113" s="17"/>
      <c r="NCF113" s="17"/>
      <c r="NCG113" s="17"/>
      <c r="NCH113" s="17"/>
      <c r="NCI113" s="17"/>
      <c r="NCJ113" s="17"/>
      <c r="NCK113" s="17"/>
      <c r="NCL113" s="17"/>
      <c r="NCM113" s="17"/>
      <c r="NCN113" s="17"/>
      <c r="NCO113" s="17"/>
      <c r="NCP113" s="17"/>
      <c r="NCQ113" s="17"/>
      <c r="NCR113" s="17"/>
      <c r="NCS113" s="17"/>
      <c r="NCT113" s="17"/>
      <c r="NCU113" s="17"/>
      <c r="NCV113" s="17"/>
      <c r="NCW113" s="17"/>
      <c r="NCX113" s="17"/>
      <c r="NCY113" s="17"/>
      <c r="NCZ113" s="17"/>
      <c r="NDA113" s="17"/>
      <c r="NDB113" s="17"/>
      <c r="NDC113" s="17"/>
      <c r="NDD113" s="17"/>
      <c r="NDE113" s="17"/>
      <c r="NDF113" s="17"/>
      <c r="NDG113" s="17"/>
      <c r="NDH113" s="17"/>
      <c r="NDI113" s="17"/>
      <c r="NDJ113" s="17"/>
      <c r="NDK113" s="17"/>
      <c r="NDL113" s="17"/>
      <c r="NDM113" s="17"/>
      <c r="NDN113" s="17"/>
      <c r="NDO113" s="17"/>
      <c r="NDP113" s="17"/>
      <c r="NDQ113" s="17"/>
      <c r="NDR113" s="17"/>
      <c r="NDS113" s="17"/>
      <c r="NDT113" s="17"/>
      <c r="NDU113" s="17"/>
      <c r="NDV113" s="17"/>
      <c r="NDW113" s="17"/>
      <c r="NDX113" s="17"/>
      <c r="NDY113" s="17"/>
      <c r="NDZ113" s="17"/>
      <c r="NEA113" s="17"/>
      <c r="NEB113" s="17"/>
      <c r="NEC113" s="17"/>
      <c r="NED113" s="17"/>
      <c r="NEE113" s="17"/>
      <c r="NEF113" s="17"/>
      <c r="NEG113" s="17"/>
      <c r="NEH113" s="17"/>
      <c r="NEI113" s="17"/>
      <c r="NEJ113" s="17"/>
      <c r="NEK113" s="17"/>
      <c r="NEL113" s="17"/>
      <c r="NEM113" s="17"/>
      <c r="NEN113" s="17"/>
      <c r="NEO113" s="17"/>
      <c r="NEP113" s="17"/>
      <c r="NEQ113" s="17"/>
      <c r="NER113" s="17"/>
      <c r="NES113" s="17"/>
      <c r="NET113" s="17"/>
      <c r="NEU113" s="17"/>
      <c r="NEV113" s="17"/>
      <c r="NEW113" s="17"/>
      <c r="NEX113" s="17"/>
      <c r="NEY113" s="17"/>
      <c r="NEZ113" s="17"/>
      <c r="NFA113" s="17"/>
      <c r="NFB113" s="17"/>
      <c r="NFC113" s="17"/>
      <c r="NFD113" s="17"/>
      <c r="NFE113" s="17"/>
      <c r="NFF113" s="17"/>
      <c r="NFG113" s="17"/>
      <c r="NFH113" s="17"/>
      <c r="NFI113" s="17"/>
      <c r="NFJ113" s="17"/>
      <c r="NFK113" s="17"/>
      <c r="NFL113" s="17"/>
      <c r="NFM113" s="17"/>
      <c r="NFN113" s="17"/>
      <c r="NFO113" s="17"/>
      <c r="NFP113" s="17"/>
      <c r="NFQ113" s="17"/>
      <c r="NFR113" s="17"/>
      <c r="NFS113" s="17"/>
      <c r="NFT113" s="17"/>
      <c r="NFU113" s="17"/>
      <c r="NFV113" s="17"/>
      <c r="NFW113" s="17"/>
      <c r="NFX113" s="17"/>
      <c r="NFY113" s="17"/>
      <c r="NFZ113" s="17"/>
      <c r="NGA113" s="17"/>
      <c r="NGB113" s="17"/>
      <c r="NGC113" s="17"/>
      <c r="NGD113" s="17"/>
      <c r="NGE113" s="17"/>
      <c r="NGF113" s="17"/>
      <c r="NGG113" s="17"/>
      <c r="NGH113" s="17"/>
      <c r="NGI113" s="17"/>
      <c r="NGJ113" s="17"/>
      <c r="NGK113" s="17"/>
      <c r="NGL113" s="17"/>
      <c r="NGM113" s="17"/>
      <c r="NGN113" s="17"/>
      <c r="NGO113" s="17"/>
      <c r="NGP113" s="17"/>
      <c r="NGQ113" s="17"/>
      <c r="NGR113" s="17"/>
      <c r="NGS113" s="17"/>
      <c r="NGT113" s="17"/>
      <c r="NGU113" s="17"/>
      <c r="NGV113" s="17"/>
      <c r="NGW113" s="17"/>
      <c r="NGX113" s="17"/>
      <c r="NGY113" s="17"/>
      <c r="NGZ113" s="17"/>
      <c r="NHA113" s="17"/>
      <c r="NHB113" s="17"/>
      <c r="NHC113" s="17"/>
      <c r="NHD113" s="17"/>
      <c r="NHE113" s="17"/>
      <c r="NHF113" s="17"/>
      <c r="NHG113" s="17"/>
      <c r="NHH113" s="17"/>
      <c r="NHI113" s="17"/>
      <c r="NHJ113" s="17"/>
      <c r="NHK113" s="17"/>
      <c r="NHL113" s="17"/>
      <c r="NHM113" s="17"/>
      <c r="NHN113" s="17"/>
      <c r="NHO113" s="17"/>
      <c r="NHP113" s="17"/>
      <c r="NHQ113" s="17"/>
      <c r="NHR113" s="17"/>
      <c r="NHS113" s="17"/>
      <c r="NHT113" s="17"/>
      <c r="NHU113" s="17"/>
      <c r="NHV113" s="17"/>
      <c r="NHW113" s="17"/>
      <c r="NHX113" s="17"/>
      <c r="NHY113" s="17"/>
      <c r="NHZ113" s="17"/>
      <c r="NIA113" s="17"/>
      <c r="NIB113" s="17"/>
      <c r="NIC113" s="17"/>
      <c r="NID113" s="17"/>
      <c r="NIE113" s="17"/>
      <c r="NIF113" s="17"/>
      <c r="NIG113" s="17"/>
      <c r="NIH113" s="17"/>
      <c r="NII113" s="17"/>
      <c r="NIJ113" s="17"/>
      <c r="NIK113" s="17"/>
      <c r="NIL113" s="17"/>
      <c r="NIM113" s="17"/>
      <c r="NIN113" s="17"/>
      <c r="NIO113" s="17"/>
      <c r="NIP113" s="17"/>
      <c r="NIQ113" s="17"/>
      <c r="NIR113" s="17"/>
      <c r="NIS113" s="17"/>
      <c r="NIT113" s="17"/>
      <c r="NIU113" s="17"/>
      <c r="NIV113" s="17"/>
      <c r="NIW113" s="17"/>
      <c r="NIX113" s="17"/>
      <c r="NIY113" s="17"/>
      <c r="NIZ113" s="17"/>
      <c r="NJA113" s="17"/>
      <c r="NJB113" s="17"/>
      <c r="NJC113" s="17"/>
      <c r="NJD113" s="17"/>
      <c r="NJE113" s="17"/>
      <c r="NJF113" s="17"/>
      <c r="NJG113" s="17"/>
      <c r="NJH113" s="17"/>
      <c r="NJI113" s="17"/>
      <c r="NJJ113" s="17"/>
      <c r="NJK113" s="17"/>
      <c r="NJL113" s="17"/>
      <c r="NJM113" s="17"/>
      <c r="NJN113" s="17"/>
      <c r="NJO113" s="17"/>
      <c r="NJP113" s="17"/>
      <c r="NJQ113" s="17"/>
      <c r="NJR113" s="17"/>
      <c r="NJS113" s="17"/>
      <c r="NJT113" s="17"/>
      <c r="NJU113" s="17"/>
      <c r="NJV113" s="17"/>
      <c r="NJW113" s="17"/>
      <c r="NJX113" s="17"/>
      <c r="NJY113" s="17"/>
      <c r="NJZ113" s="17"/>
      <c r="NKA113" s="17"/>
      <c r="NKB113" s="17"/>
      <c r="NKC113" s="17"/>
      <c r="NKD113" s="17"/>
      <c r="NKE113" s="17"/>
      <c r="NKF113" s="17"/>
      <c r="NKG113" s="17"/>
      <c r="NKH113" s="17"/>
      <c r="NKI113" s="17"/>
      <c r="NKJ113" s="17"/>
      <c r="NKK113" s="17"/>
      <c r="NKL113" s="17"/>
      <c r="NKM113" s="17"/>
      <c r="NKN113" s="17"/>
      <c r="NKO113" s="17"/>
      <c r="NKP113" s="17"/>
      <c r="NKQ113" s="17"/>
      <c r="NKR113" s="17"/>
      <c r="NKS113" s="17"/>
      <c r="NKT113" s="17"/>
      <c r="NKU113" s="17"/>
      <c r="NKV113" s="17"/>
      <c r="NKW113" s="17"/>
      <c r="NKX113" s="17"/>
      <c r="NKY113" s="17"/>
      <c r="NKZ113" s="17"/>
      <c r="NLA113" s="17"/>
      <c r="NLB113" s="17"/>
      <c r="NLC113" s="17"/>
      <c r="NLD113" s="17"/>
      <c r="NLE113" s="17"/>
      <c r="NLF113" s="17"/>
      <c r="NLG113" s="17"/>
      <c r="NLH113" s="17"/>
      <c r="NLI113" s="17"/>
      <c r="NLJ113" s="17"/>
      <c r="NLK113" s="17"/>
      <c r="NLL113" s="17"/>
      <c r="NLM113" s="17"/>
      <c r="NLN113" s="17"/>
      <c r="NLO113" s="17"/>
      <c r="NLP113" s="17"/>
      <c r="NLQ113" s="17"/>
      <c r="NLR113" s="17"/>
      <c r="NLS113" s="17"/>
      <c r="NLT113" s="17"/>
      <c r="NLU113" s="17"/>
      <c r="NLV113" s="17"/>
      <c r="NLW113" s="17"/>
      <c r="NLX113" s="17"/>
      <c r="NLY113" s="17"/>
      <c r="NLZ113" s="17"/>
      <c r="NMA113" s="17"/>
      <c r="NMB113" s="17"/>
      <c r="NMC113" s="17"/>
      <c r="NMD113" s="17"/>
      <c r="NME113" s="17"/>
      <c r="NMF113" s="17"/>
      <c r="NMG113" s="17"/>
      <c r="NMH113" s="17"/>
      <c r="NMI113" s="17"/>
      <c r="NMJ113" s="17"/>
      <c r="NMK113" s="17"/>
      <c r="NML113" s="17"/>
      <c r="NMM113" s="17"/>
      <c r="NMN113" s="17"/>
      <c r="NMO113" s="17"/>
      <c r="NMP113" s="17"/>
      <c r="NMQ113" s="17"/>
      <c r="NMR113" s="17"/>
      <c r="NMS113" s="17"/>
      <c r="NMT113" s="17"/>
      <c r="NMU113" s="17"/>
      <c r="NMV113" s="17"/>
      <c r="NMW113" s="17"/>
      <c r="NMX113" s="17"/>
      <c r="NMY113" s="17"/>
      <c r="NMZ113" s="17"/>
      <c r="NNA113" s="17"/>
      <c r="NNB113" s="17"/>
      <c r="NNC113" s="17"/>
      <c r="NND113" s="17"/>
      <c r="NNE113" s="17"/>
      <c r="NNF113" s="17"/>
      <c r="NNG113" s="17"/>
      <c r="NNH113" s="17"/>
      <c r="NNI113" s="17"/>
      <c r="NNJ113" s="17"/>
      <c r="NNK113" s="17"/>
      <c r="NNL113" s="17"/>
      <c r="NNM113" s="17"/>
      <c r="NNN113" s="17"/>
      <c r="NNO113" s="17"/>
      <c r="NNP113" s="17"/>
      <c r="NNQ113" s="17"/>
      <c r="NNR113" s="17"/>
      <c r="NNS113" s="17"/>
      <c r="NNT113" s="17"/>
      <c r="NNU113" s="17"/>
      <c r="NNV113" s="17"/>
      <c r="NNW113" s="17"/>
      <c r="NNX113" s="17"/>
      <c r="NNY113" s="17"/>
      <c r="NNZ113" s="17"/>
      <c r="NOA113" s="17"/>
      <c r="NOB113" s="17"/>
      <c r="NOC113" s="17"/>
      <c r="NOD113" s="17"/>
      <c r="NOE113" s="17"/>
      <c r="NOF113" s="17"/>
      <c r="NOG113" s="17"/>
      <c r="NOH113" s="17"/>
      <c r="NOI113" s="17"/>
      <c r="NOJ113" s="17"/>
      <c r="NOK113" s="17"/>
      <c r="NOL113" s="17"/>
      <c r="NOM113" s="17"/>
      <c r="NON113" s="17"/>
      <c r="NOO113" s="17"/>
      <c r="NOP113" s="17"/>
      <c r="NOQ113" s="17"/>
      <c r="NOR113" s="17"/>
      <c r="NOS113" s="17"/>
      <c r="NOT113" s="17"/>
      <c r="NOU113" s="17"/>
      <c r="NOV113" s="17"/>
      <c r="NOW113" s="17"/>
      <c r="NOX113" s="17"/>
      <c r="NOY113" s="17"/>
      <c r="NOZ113" s="17"/>
      <c r="NPA113" s="17"/>
      <c r="NPB113" s="17"/>
      <c r="NPC113" s="17"/>
      <c r="NPD113" s="17"/>
      <c r="NPE113" s="17"/>
      <c r="NPF113" s="17"/>
      <c r="NPG113" s="17"/>
      <c r="NPH113" s="17"/>
      <c r="NPI113" s="17"/>
      <c r="NPJ113" s="17"/>
      <c r="NPK113" s="17"/>
      <c r="NPL113" s="17"/>
      <c r="NPM113" s="17"/>
      <c r="NPN113" s="17"/>
      <c r="NPO113" s="17"/>
      <c r="NPP113" s="17"/>
      <c r="NPQ113" s="17"/>
      <c r="NPR113" s="17"/>
      <c r="NPS113" s="17"/>
      <c r="NPT113" s="17"/>
      <c r="NPU113" s="17"/>
      <c r="NPV113" s="17"/>
      <c r="NPW113" s="17"/>
      <c r="NPX113" s="17"/>
      <c r="NPY113" s="17"/>
      <c r="NPZ113" s="17"/>
      <c r="NQA113" s="17"/>
      <c r="NQB113" s="17"/>
      <c r="NQC113" s="17"/>
      <c r="NQD113" s="17"/>
      <c r="NQE113" s="17"/>
      <c r="NQF113" s="17"/>
      <c r="NQG113" s="17"/>
      <c r="NQH113" s="17"/>
      <c r="NQI113" s="17"/>
      <c r="NQJ113" s="17"/>
      <c r="NQK113" s="17"/>
      <c r="NQL113" s="17"/>
      <c r="NQM113" s="17"/>
      <c r="NQN113" s="17"/>
      <c r="NQO113" s="17"/>
      <c r="NQP113" s="17"/>
      <c r="NQQ113" s="17"/>
      <c r="NQR113" s="17"/>
      <c r="NQS113" s="17"/>
      <c r="NQT113" s="17"/>
      <c r="NQU113" s="17"/>
      <c r="NQV113" s="17"/>
      <c r="NQW113" s="17"/>
      <c r="NQX113" s="17"/>
      <c r="NQY113" s="17"/>
      <c r="NQZ113" s="17"/>
      <c r="NRA113" s="17"/>
      <c r="NRB113" s="17"/>
      <c r="NRC113" s="17"/>
      <c r="NRD113" s="17"/>
      <c r="NRE113" s="17"/>
      <c r="NRF113" s="17"/>
      <c r="NRG113" s="17"/>
      <c r="NRH113" s="17"/>
      <c r="NRI113" s="17"/>
      <c r="NRJ113" s="17"/>
      <c r="NRK113" s="17"/>
      <c r="NRL113" s="17"/>
      <c r="NRM113" s="17"/>
      <c r="NRN113" s="17"/>
      <c r="NRO113" s="17"/>
      <c r="NRP113" s="17"/>
      <c r="NRQ113" s="17"/>
      <c r="NRR113" s="17"/>
      <c r="NRS113" s="17"/>
      <c r="NRT113" s="17"/>
      <c r="NRU113" s="17"/>
      <c r="NRV113" s="17"/>
      <c r="NRW113" s="17"/>
      <c r="NRX113" s="17"/>
      <c r="NRY113" s="17"/>
      <c r="NRZ113" s="17"/>
      <c r="NSA113" s="17"/>
      <c r="NSB113" s="17"/>
      <c r="NSC113" s="17"/>
      <c r="NSD113" s="17"/>
      <c r="NSE113" s="17"/>
      <c r="NSF113" s="17"/>
      <c r="NSG113" s="17"/>
      <c r="NSH113" s="17"/>
      <c r="NSI113" s="17"/>
      <c r="NSJ113" s="17"/>
      <c r="NSK113" s="17"/>
      <c r="NSL113" s="17"/>
      <c r="NSM113" s="17"/>
      <c r="NSN113" s="17"/>
      <c r="NSO113" s="17"/>
      <c r="NSP113" s="17"/>
      <c r="NSQ113" s="17"/>
      <c r="NSR113" s="17"/>
      <c r="NSS113" s="17"/>
      <c r="NST113" s="17"/>
      <c r="NSU113" s="17"/>
      <c r="NSV113" s="17"/>
      <c r="NSW113" s="17"/>
      <c r="NSX113" s="17"/>
      <c r="NSY113" s="17"/>
      <c r="NSZ113" s="17"/>
      <c r="NTA113" s="17"/>
      <c r="NTB113" s="17"/>
      <c r="NTC113" s="17"/>
      <c r="NTD113" s="17"/>
      <c r="NTE113" s="17"/>
      <c r="NTF113" s="17"/>
      <c r="NTG113" s="17"/>
      <c r="NTH113" s="17"/>
      <c r="NTI113" s="17"/>
      <c r="NTJ113" s="17"/>
      <c r="NTK113" s="17"/>
      <c r="NTL113" s="17"/>
      <c r="NTM113" s="17"/>
      <c r="NTN113" s="17"/>
      <c r="NTO113" s="17"/>
      <c r="NTP113" s="17"/>
      <c r="NTQ113" s="17"/>
      <c r="NTR113" s="17"/>
      <c r="NTS113" s="17"/>
      <c r="NTT113" s="17"/>
      <c r="NTU113" s="17"/>
      <c r="NTV113" s="17"/>
      <c r="NTW113" s="17"/>
      <c r="NTX113" s="17"/>
      <c r="NTY113" s="17"/>
      <c r="NTZ113" s="17"/>
      <c r="NUA113" s="17"/>
      <c r="NUB113" s="17"/>
      <c r="NUC113" s="17"/>
      <c r="NUD113" s="17"/>
      <c r="NUE113" s="17"/>
      <c r="NUF113" s="17"/>
      <c r="NUG113" s="17"/>
      <c r="NUH113" s="17"/>
      <c r="NUI113" s="17"/>
      <c r="NUJ113" s="17"/>
      <c r="NUK113" s="17"/>
      <c r="NUL113" s="17"/>
      <c r="NUM113" s="17"/>
      <c r="NUN113" s="17"/>
      <c r="NUO113" s="17"/>
      <c r="NUP113" s="17"/>
      <c r="NUQ113" s="17"/>
      <c r="NUR113" s="17"/>
      <c r="NUS113" s="17"/>
      <c r="NUT113" s="17"/>
      <c r="NUU113" s="17"/>
      <c r="NUV113" s="17"/>
      <c r="NUW113" s="17"/>
      <c r="NUX113" s="17"/>
      <c r="NUY113" s="17"/>
      <c r="NUZ113" s="17"/>
      <c r="NVA113" s="17"/>
      <c r="NVB113" s="17"/>
      <c r="NVC113" s="17"/>
      <c r="NVD113" s="17"/>
      <c r="NVE113" s="17"/>
      <c r="NVF113" s="17"/>
      <c r="NVG113" s="17"/>
      <c r="NVH113" s="17"/>
      <c r="NVI113" s="17"/>
      <c r="NVJ113" s="17"/>
      <c r="NVK113" s="17"/>
      <c r="NVL113" s="17"/>
      <c r="NVM113" s="17"/>
      <c r="NVN113" s="17"/>
      <c r="NVO113" s="17"/>
      <c r="NVP113" s="17"/>
      <c r="NVQ113" s="17"/>
      <c r="NVR113" s="17"/>
      <c r="NVS113" s="17"/>
      <c r="NVT113" s="17"/>
      <c r="NVU113" s="17"/>
      <c r="NVV113" s="17"/>
      <c r="NVW113" s="17"/>
      <c r="NVX113" s="17"/>
      <c r="NVY113" s="17"/>
      <c r="NVZ113" s="17"/>
      <c r="NWA113" s="17"/>
      <c r="NWB113" s="17"/>
      <c r="NWC113" s="17"/>
      <c r="NWD113" s="17"/>
      <c r="NWE113" s="17"/>
      <c r="NWF113" s="17"/>
      <c r="NWG113" s="17"/>
      <c r="NWH113" s="17"/>
      <c r="NWI113" s="17"/>
      <c r="NWJ113" s="17"/>
      <c r="NWK113" s="17"/>
      <c r="NWL113" s="17"/>
      <c r="NWM113" s="17"/>
      <c r="NWN113" s="17"/>
      <c r="NWO113" s="17"/>
      <c r="NWP113" s="17"/>
      <c r="NWQ113" s="17"/>
      <c r="NWR113" s="17"/>
      <c r="NWS113" s="17"/>
      <c r="NWT113" s="17"/>
      <c r="NWU113" s="17"/>
      <c r="NWV113" s="17"/>
      <c r="NWW113" s="17"/>
      <c r="NWX113" s="17"/>
      <c r="NWY113" s="17"/>
      <c r="NWZ113" s="17"/>
      <c r="NXA113" s="17"/>
      <c r="NXB113" s="17"/>
      <c r="NXC113" s="17"/>
      <c r="NXD113" s="17"/>
      <c r="NXE113" s="17"/>
      <c r="NXF113" s="17"/>
      <c r="NXG113" s="17"/>
      <c r="NXH113" s="17"/>
      <c r="NXI113" s="17"/>
      <c r="NXJ113" s="17"/>
      <c r="NXK113" s="17"/>
      <c r="NXL113" s="17"/>
      <c r="NXM113" s="17"/>
      <c r="NXN113" s="17"/>
      <c r="NXO113" s="17"/>
      <c r="NXP113" s="17"/>
      <c r="NXQ113" s="17"/>
      <c r="NXR113" s="17"/>
      <c r="NXS113" s="17"/>
      <c r="NXT113" s="17"/>
      <c r="NXU113" s="17"/>
      <c r="NXV113" s="17"/>
      <c r="NXW113" s="17"/>
      <c r="NXX113" s="17"/>
      <c r="NXY113" s="17"/>
      <c r="NXZ113" s="17"/>
      <c r="NYA113" s="17"/>
      <c r="NYB113" s="17"/>
      <c r="NYC113" s="17"/>
      <c r="NYD113" s="17"/>
      <c r="NYE113" s="17"/>
      <c r="NYF113" s="17"/>
      <c r="NYG113" s="17"/>
      <c r="NYH113" s="17"/>
      <c r="NYI113" s="17"/>
      <c r="NYJ113" s="17"/>
      <c r="NYK113" s="17"/>
      <c r="NYL113" s="17"/>
      <c r="NYM113" s="17"/>
      <c r="NYN113" s="17"/>
      <c r="NYO113" s="17"/>
      <c r="NYP113" s="17"/>
      <c r="NYQ113" s="17"/>
      <c r="NYR113" s="17"/>
      <c r="NYS113" s="17"/>
      <c r="NYT113" s="17"/>
      <c r="NYU113" s="17"/>
      <c r="NYV113" s="17"/>
      <c r="NYW113" s="17"/>
      <c r="NYX113" s="17"/>
      <c r="NYY113" s="17"/>
      <c r="NYZ113" s="17"/>
      <c r="NZA113" s="17"/>
      <c r="NZB113" s="17"/>
      <c r="NZC113" s="17"/>
      <c r="NZD113" s="17"/>
      <c r="NZE113" s="17"/>
      <c r="NZF113" s="17"/>
      <c r="NZG113" s="17"/>
      <c r="NZH113" s="17"/>
      <c r="NZI113" s="17"/>
      <c r="NZJ113" s="17"/>
      <c r="NZK113" s="17"/>
      <c r="NZL113" s="17"/>
      <c r="NZM113" s="17"/>
      <c r="NZN113" s="17"/>
      <c r="NZO113" s="17"/>
      <c r="NZP113" s="17"/>
      <c r="NZQ113" s="17"/>
      <c r="NZR113" s="17"/>
      <c r="NZS113" s="17"/>
      <c r="NZT113" s="17"/>
      <c r="NZU113" s="17"/>
      <c r="NZV113" s="17"/>
      <c r="NZW113" s="17"/>
      <c r="NZX113" s="17"/>
      <c r="NZY113" s="17"/>
      <c r="NZZ113" s="17"/>
      <c r="OAA113" s="17"/>
      <c r="OAB113" s="17"/>
      <c r="OAC113" s="17"/>
      <c r="OAD113" s="17"/>
      <c r="OAE113" s="17"/>
      <c r="OAF113" s="17"/>
      <c r="OAG113" s="17"/>
      <c r="OAH113" s="17"/>
      <c r="OAI113" s="17"/>
      <c r="OAJ113" s="17"/>
      <c r="OAK113" s="17"/>
      <c r="OAL113" s="17"/>
      <c r="OAM113" s="17"/>
      <c r="OAN113" s="17"/>
      <c r="OAO113" s="17"/>
      <c r="OAP113" s="17"/>
      <c r="OAQ113" s="17"/>
      <c r="OAR113" s="17"/>
      <c r="OAS113" s="17"/>
      <c r="OAT113" s="17"/>
      <c r="OAU113" s="17"/>
      <c r="OAV113" s="17"/>
      <c r="OAW113" s="17"/>
      <c r="OAX113" s="17"/>
      <c r="OAY113" s="17"/>
      <c r="OAZ113" s="17"/>
      <c r="OBA113" s="17"/>
      <c r="OBB113" s="17"/>
      <c r="OBC113" s="17"/>
      <c r="OBD113" s="17"/>
      <c r="OBE113" s="17"/>
      <c r="OBF113" s="17"/>
      <c r="OBG113" s="17"/>
      <c r="OBH113" s="17"/>
      <c r="OBI113" s="17"/>
      <c r="OBJ113" s="17"/>
      <c r="OBK113" s="17"/>
      <c r="OBL113" s="17"/>
      <c r="OBM113" s="17"/>
      <c r="OBN113" s="17"/>
      <c r="OBO113" s="17"/>
      <c r="OBP113" s="17"/>
      <c r="OBQ113" s="17"/>
      <c r="OBR113" s="17"/>
      <c r="OBS113" s="17"/>
      <c r="OBT113" s="17"/>
      <c r="OBU113" s="17"/>
      <c r="OBV113" s="17"/>
      <c r="OBW113" s="17"/>
      <c r="OBX113" s="17"/>
      <c r="OBY113" s="17"/>
      <c r="OBZ113" s="17"/>
      <c r="OCA113" s="17"/>
      <c r="OCB113" s="17"/>
      <c r="OCC113" s="17"/>
      <c r="OCD113" s="17"/>
      <c r="OCE113" s="17"/>
      <c r="OCF113" s="17"/>
      <c r="OCG113" s="17"/>
      <c r="OCH113" s="17"/>
      <c r="OCI113" s="17"/>
      <c r="OCJ113" s="17"/>
      <c r="OCK113" s="17"/>
      <c r="OCL113" s="17"/>
      <c r="OCM113" s="17"/>
      <c r="OCN113" s="17"/>
      <c r="OCO113" s="17"/>
      <c r="OCP113" s="17"/>
      <c r="OCQ113" s="17"/>
      <c r="OCR113" s="17"/>
      <c r="OCS113" s="17"/>
      <c r="OCT113" s="17"/>
      <c r="OCU113" s="17"/>
      <c r="OCV113" s="17"/>
      <c r="OCW113" s="17"/>
      <c r="OCX113" s="17"/>
      <c r="OCY113" s="17"/>
      <c r="OCZ113" s="17"/>
      <c r="ODA113" s="17"/>
      <c r="ODB113" s="17"/>
      <c r="ODC113" s="17"/>
      <c r="ODD113" s="17"/>
      <c r="ODE113" s="17"/>
      <c r="ODF113" s="17"/>
      <c r="ODG113" s="17"/>
      <c r="ODH113" s="17"/>
      <c r="ODI113" s="17"/>
      <c r="ODJ113" s="17"/>
      <c r="ODK113" s="17"/>
      <c r="ODL113" s="17"/>
      <c r="ODM113" s="17"/>
      <c r="ODN113" s="17"/>
      <c r="ODO113" s="17"/>
      <c r="ODP113" s="17"/>
      <c r="ODQ113" s="17"/>
      <c r="ODR113" s="17"/>
      <c r="ODS113" s="17"/>
      <c r="ODT113" s="17"/>
      <c r="ODU113" s="17"/>
      <c r="ODV113" s="17"/>
      <c r="ODW113" s="17"/>
      <c r="ODX113" s="17"/>
      <c r="ODY113" s="17"/>
      <c r="ODZ113" s="17"/>
      <c r="OEA113" s="17"/>
      <c r="OEB113" s="17"/>
      <c r="OEC113" s="17"/>
      <c r="OED113" s="17"/>
      <c r="OEE113" s="17"/>
      <c r="OEF113" s="17"/>
      <c r="OEG113" s="17"/>
      <c r="OEH113" s="17"/>
      <c r="OEI113" s="17"/>
      <c r="OEJ113" s="17"/>
      <c r="OEK113" s="17"/>
      <c r="OEL113" s="17"/>
      <c r="OEM113" s="17"/>
      <c r="OEN113" s="17"/>
      <c r="OEO113" s="17"/>
      <c r="OEP113" s="17"/>
      <c r="OEQ113" s="17"/>
      <c r="OER113" s="17"/>
      <c r="OES113" s="17"/>
      <c r="OET113" s="17"/>
      <c r="OEU113" s="17"/>
      <c r="OEV113" s="17"/>
      <c r="OEW113" s="17"/>
      <c r="OEX113" s="17"/>
      <c r="OEY113" s="17"/>
      <c r="OEZ113" s="17"/>
      <c r="OFA113" s="17"/>
      <c r="OFB113" s="17"/>
      <c r="OFC113" s="17"/>
      <c r="OFD113" s="17"/>
      <c r="OFE113" s="17"/>
      <c r="OFF113" s="17"/>
      <c r="OFG113" s="17"/>
      <c r="OFH113" s="17"/>
      <c r="OFI113" s="17"/>
      <c r="OFJ113" s="17"/>
      <c r="OFK113" s="17"/>
      <c r="OFL113" s="17"/>
      <c r="OFM113" s="17"/>
      <c r="OFN113" s="17"/>
      <c r="OFO113" s="17"/>
      <c r="OFP113" s="17"/>
      <c r="OFQ113" s="17"/>
      <c r="OFR113" s="17"/>
      <c r="OFS113" s="17"/>
      <c r="OFT113" s="17"/>
      <c r="OFU113" s="17"/>
      <c r="OFV113" s="17"/>
      <c r="OFW113" s="17"/>
      <c r="OFX113" s="17"/>
      <c r="OFY113" s="17"/>
      <c r="OFZ113" s="17"/>
      <c r="OGA113" s="17"/>
      <c r="OGB113" s="17"/>
      <c r="OGC113" s="17"/>
      <c r="OGD113" s="17"/>
      <c r="OGE113" s="17"/>
      <c r="OGF113" s="17"/>
      <c r="OGG113" s="17"/>
      <c r="OGH113" s="17"/>
      <c r="OGI113" s="17"/>
      <c r="OGJ113" s="17"/>
      <c r="OGK113" s="17"/>
      <c r="OGL113" s="17"/>
      <c r="OGM113" s="17"/>
      <c r="OGN113" s="17"/>
      <c r="OGO113" s="17"/>
      <c r="OGP113" s="17"/>
      <c r="OGQ113" s="17"/>
      <c r="OGR113" s="17"/>
      <c r="OGS113" s="17"/>
      <c r="OGT113" s="17"/>
      <c r="OGU113" s="17"/>
      <c r="OGV113" s="17"/>
      <c r="OGW113" s="17"/>
      <c r="OGX113" s="17"/>
      <c r="OGY113" s="17"/>
      <c r="OGZ113" s="17"/>
      <c r="OHA113" s="17"/>
      <c r="OHB113" s="17"/>
      <c r="OHC113" s="17"/>
      <c r="OHD113" s="17"/>
      <c r="OHE113" s="17"/>
      <c r="OHF113" s="17"/>
      <c r="OHG113" s="17"/>
      <c r="OHH113" s="17"/>
      <c r="OHI113" s="17"/>
      <c r="OHJ113" s="17"/>
      <c r="OHK113" s="17"/>
      <c r="OHL113" s="17"/>
      <c r="OHM113" s="17"/>
      <c r="OHN113" s="17"/>
      <c r="OHO113" s="17"/>
      <c r="OHP113" s="17"/>
      <c r="OHQ113" s="17"/>
      <c r="OHR113" s="17"/>
      <c r="OHS113" s="17"/>
      <c r="OHT113" s="17"/>
      <c r="OHU113" s="17"/>
      <c r="OHV113" s="17"/>
      <c r="OHW113" s="17"/>
      <c r="OHX113" s="17"/>
      <c r="OHY113" s="17"/>
      <c r="OHZ113" s="17"/>
      <c r="OIA113" s="17"/>
      <c r="OIB113" s="17"/>
      <c r="OIC113" s="17"/>
      <c r="OID113" s="17"/>
      <c r="OIE113" s="17"/>
      <c r="OIF113" s="17"/>
      <c r="OIG113" s="17"/>
      <c r="OIH113" s="17"/>
      <c r="OII113" s="17"/>
      <c r="OIJ113" s="17"/>
      <c r="OIK113" s="17"/>
      <c r="OIL113" s="17"/>
      <c r="OIM113" s="17"/>
      <c r="OIN113" s="17"/>
      <c r="OIO113" s="17"/>
      <c r="OIP113" s="17"/>
      <c r="OIQ113" s="17"/>
      <c r="OIR113" s="17"/>
      <c r="OIS113" s="17"/>
      <c r="OIT113" s="17"/>
      <c r="OIU113" s="17"/>
      <c r="OIV113" s="17"/>
      <c r="OIW113" s="17"/>
      <c r="OIX113" s="17"/>
      <c r="OIY113" s="17"/>
      <c r="OIZ113" s="17"/>
      <c r="OJA113" s="17"/>
      <c r="OJB113" s="17"/>
      <c r="OJC113" s="17"/>
      <c r="OJD113" s="17"/>
      <c r="OJE113" s="17"/>
      <c r="OJF113" s="17"/>
      <c r="OJG113" s="17"/>
      <c r="OJH113" s="17"/>
      <c r="OJI113" s="17"/>
      <c r="OJJ113" s="17"/>
      <c r="OJK113" s="17"/>
      <c r="OJL113" s="17"/>
      <c r="OJM113" s="17"/>
      <c r="OJN113" s="17"/>
      <c r="OJO113" s="17"/>
      <c r="OJP113" s="17"/>
      <c r="OJQ113" s="17"/>
      <c r="OJR113" s="17"/>
      <c r="OJS113" s="17"/>
      <c r="OJT113" s="17"/>
      <c r="OJU113" s="17"/>
      <c r="OJV113" s="17"/>
      <c r="OJW113" s="17"/>
      <c r="OJX113" s="17"/>
      <c r="OJY113" s="17"/>
      <c r="OJZ113" s="17"/>
      <c r="OKA113" s="17"/>
      <c r="OKB113" s="17"/>
      <c r="OKC113" s="17"/>
      <c r="OKD113" s="17"/>
      <c r="OKE113" s="17"/>
      <c r="OKF113" s="17"/>
      <c r="OKG113" s="17"/>
      <c r="OKH113" s="17"/>
      <c r="OKI113" s="17"/>
      <c r="OKJ113" s="17"/>
      <c r="OKK113" s="17"/>
      <c r="OKL113" s="17"/>
      <c r="OKM113" s="17"/>
      <c r="OKN113" s="17"/>
      <c r="OKO113" s="17"/>
      <c r="OKP113" s="17"/>
      <c r="OKQ113" s="17"/>
      <c r="OKR113" s="17"/>
      <c r="OKS113" s="17"/>
      <c r="OKT113" s="17"/>
      <c r="OKU113" s="17"/>
      <c r="OKV113" s="17"/>
      <c r="OKW113" s="17"/>
      <c r="OKX113" s="17"/>
      <c r="OKY113" s="17"/>
      <c r="OKZ113" s="17"/>
      <c r="OLA113" s="17"/>
      <c r="OLB113" s="17"/>
      <c r="OLC113" s="17"/>
      <c r="OLD113" s="17"/>
      <c r="OLE113" s="17"/>
      <c r="OLF113" s="17"/>
      <c r="OLG113" s="17"/>
      <c r="OLH113" s="17"/>
      <c r="OLI113" s="17"/>
      <c r="OLJ113" s="17"/>
      <c r="OLK113" s="17"/>
      <c r="OLL113" s="17"/>
      <c r="OLM113" s="17"/>
      <c r="OLN113" s="17"/>
      <c r="OLO113" s="17"/>
      <c r="OLP113" s="17"/>
      <c r="OLQ113" s="17"/>
      <c r="OLR113" s="17"/>
      <c r="OLS113" s="17"/>
      <c r="OLT113" s="17"/>
      <c r="OLU113" s="17"/>
      <c r="OLV113" s="17"/>
      <c r="OLW113" s="17"/>
      <c r="OLX113" s="17"/>
      <c r="OLY113" s="17"/>
      <c r="OLZ113" s="17"/>
      <c r="OMA113" s="17"/>
      <c r="OMB113" s="17"/>
      <c r="OMC113" s="17"/>
      <c r="OMD113" s="17"/>
      <c r="OME113" s="17"/>
      <c r="OMF113" s="17"/>
      <c r="OMG113" s="17"/>
      <c r="OMH113" s="17"/>
      <c r="OMI113" s="17"/>
      <c r="OMJ113" s="17"/>
      <c r="OMK113" s="17"/>
      <c r="OML113" s="17"/>
      <c r="OMM113" s="17"/>
      <c r="OMN113" s="17"/>
      <c r="OMO113" s="17"/>
      <c r="OMP113" s="17"/>
      <c r="OMQ113" s="17"/>
      <c r="OMR113" s="17"/>
      <c r="OMS113" s="17"/>
      <c r="OMT113" s="17"/>
      <c r="OMU113" s="17"/>
      <c r="OMV113" s="17"/>
      <c r="OMW113" s="17"/>
      <c r="OMX113" s="17"/>
      <c r="OMY113" s="17"/>
      <c r="OMZ113" s="17"/>
      <c r="ONA113" s="17"/>
      <c r="ONB113" s="17"/>
      <c r="ONC113" s="17"/>
      <c r="OND113" s="17"/>
      <c r="ONE113" s="17"/>
      <c r="ONF113" s="17"/>
      <c r="ONG113" s="17"/>
      <c r="ONH113" s="17"/>
      <c r="ONI113" s="17"/>
      <c r="ONJ113" s="17"/>
      <c r="ONK113" s="17"/>
      <c r="ONL113" s="17"/>
      <c r="ONM113" s="17"/>
      <c r="ONN113" s="17"/>
      <c r="ONO113" s="17"/>
      <c r="ONP113" s="17"/>
      <c r="ONQ113" s="17"/>
      <c r="ONR113" s="17"/>
      <c r="ONS113" s="17"/>
      <c r="ONT113" s="17"/>
      <c r="ONU113" s="17"/>
      <c r="ONV113" s="17"/>
      <c r="ONW113" s="17"/>
      <c r="ONX113" s="17"/>
      <c r="ONY113" s="17"/>
      <c r="ONZ113" s="17"/>
      <c r="OOA113" s="17"/>
      <c r="OOB113" s="17"/>
      <c r="OOC113" s="17"/>
      <c r="OOD113" s="17"/>
      <c r="OOE113" s="17"/>
      <c r="OOF113" s="17"/>
      <c r="OOG113" s="17"/>
      <c r="OOH113" s="17"/>
      <c r="OOI113" s="17"/>
      <c r="OOJ113" s="17"/>
      <c r="OOK113" s="17"/>
      <c r="OOL113" s="17"/>
      <c r="OOM113" s="17"/>
      <c r="OON113" s="17"/>
      <c r="OOO113" s="17"/>
      <c r="OOP113" s="17"/>
      <c r="OOQ113" s="17"/>
      <c r="OOR113" s="17"/>
      <c r="OOS113" s="17"/>
      <c r="OOT113" s="17"/>
      <c r="OOU113" s="17"/>
      <c r="OOV113" s="17"/>
      <c r="OOW113" s="17"/>
      <c r="OOX113" s="17"/>
      <c r="OOY113" s="17"/>
      <c r="OOZ113" s="17"/>
      <c r="OPA113" s="17"/>
      <c r="OPB113" s="17"/>
      <c r="OPC113" s="17"/>
      <c r="OPD113" s="17"/>
      <c r="OPE113" s="17"/>
      <c r="OPF113" s="17"/>
      <c r="OPG113" s="17"/>
      <c r="OPH113" s="17"/>
      <c r="OPI113" s="17"/>
      <c r="OPJ113" s="17"/>
      <c r="OPK113" s="17"/>
      <c r="OPL113" s="17"/>
      <c r="OPM113" s="17"/>
      <c r="OPN113" s="17"/>
      <c r="OPO113" s="17"/>
      <c r="OPP113" s="17"/>
      <c r="OPQ113" s="17"/>
      <c r="OPR113" s="17"/>
      <c r="OPS113" s="17"/>
      <c r="OPT113" s="17"/>
      <c r="OPU113" s="17"/>
      <c r="OPV113" s="17"/>
      <c r="OPW113" s="17"/>
      <c r="OPX113" s="17"/>
      <c r="OPY113" s="17"/>
      <c r="OPZ113" s="17"/>
      <c r="OQA113" s="17"/>
      <c r="OQB113" s="17"/>
      <c r="OQC113" s="17"/>
      <c r="OQD113" s="17"/>
      <c r="OQE113" s="17"/>
      <c r="OQF113" s="17"/>
      <c r="OQG113" s="17"/>
      <c r="OQH113" s="17"/>
      <c r="OQI113" s="17"/>
      <c r="OQJ113" s="17"/>
      <c r="OQK113" s="17"/>
      <c r="OQL113" s="17"/>
      <c r="OQM113" s="17"/>
      <c r="OQN113" s="17"/>
      <c r="OQO113" s="17"/>
      <c r="OQP113" s="17"/>
      <c r="OQQ113" s="17"/>
      <c r="OQR113" s="17"/>
      <c r="OQS113" s="17"/>
      <c r="OQT113" s="17"/>
      <c r="OQU113" s="17"/>
      <c r="OQV113" s="17"/>
      <c r="OQW113" s="17"/>
      <c r="OQX113" s="17"/>
      <c r="OQY113" s="17"/>
      <c r="OQZ113" s="17"/>
      <c r="ORA113" s="17"/>
      <c r="ORB113" s="17"/>
      <c r="ORC113" s="17"/>
      <c r="ORD113" s="17"/>
      <c r="ORE113" s="17"/>
      <c r="ORF113" s="17"/>
      <c r="ORG113" s="17"/>
      <c r="ORH113" s="17"/>
      <c r="ORI113" s="17"/>
      <c r="ORJ113" s="17"/>
      <c r="ORK113" s="17"/>
      <c r="ORL113" s="17"/>
      <c r="ORM113" s="17"/>
      <c r="ORN113" s="17"/>
      <c r="ORO113" s="17"/>
      <c r="ORP113" s="17"/>
      <c r="ORQ113" s="17"/>
      <c r="ORR113" s="17"/>
      <c r="ORS113" s="17"/>
      <c r="ORT113" s="17"/>
      <c r="ORU113" s="17"/>
      <c r="ORV113" s="17"/>
      <c r="ORW113" s="17"/>
      <c r="ORX113" s="17"/>
      <c r="ORY113" s="17"/>
      <c r="ORZ113" s="17"/>
      <c r="OSA113" s="17"/>
      <c r="OSB113" s="17"/>
      <c r="OSC113" s="17"/>
      <c r="OSD113" s="17"/>
      <c r="OSE113" s="17"/>
      <c r="OSF113" s="17"/>
      <c r="OSG113" s="17"/>
      <c r="OSH113" s="17"/>
      <c r="OSI113" s="17"/>
      <c r="OSJ113" s="17"/>
      <c r="OSK113" s="17"/>
      <c r="OSL113" s="17"/>
      <c r="OSM113" s="17"/>
      <c r="OSN113" s="17"/>
      <c r="OSO113" s="17"/>
      <c r="OSP113" s="17"/>
      <c r="OSQ113" s="17"/>
      <c r="OSR113" s="17"/>
      <c r="OSS113" s="17"/>
      <c r="OST113" s="17"/>
      <c r="OSU113" s="17"/>
      <c r="OSV113" s="17"/>
      <c r="OSW113" s="17"/>
      <c r="OSX113" s="17"/>
      <c r="OSY113" s="17"/>
      <c r="OSZ113" s="17"/>
      <c r="OTA113" s="17"/>
      <c r="OTB113" s="17"/>
      <c r="OTC113" s="17"/>
      <c r="OTD113" s="17"/>
      <c r="OTE113" s="17"/>
      <c r="OTF113" s="17"/>
      <c r="OTG113" s="17"/>
      <c r="OTH113" s="17"/>
      <c r="OTI113" s="17"/>
      <c r="OTJ113" s="17"/>
      <c r="OTK113" s="17"/>
      <c r="OTL113" s="17"/>
      <c r="OTM113" s="17"/>
      <c r="OTN113" s="17"/>
      <c r="OTO113" s="17"/>
      <c r="OTP113" s="17"/>
      <c r="OTQ113" s="17"/>
      <c r="OTR113" s="17"/>
      <c r="OTS113" s="17"/>
      <c r="OTT113" s="17"/>
      <c r="OTU113" s="17"/>
      <c r="OTV113" s="17"/>
      <c r="OTW113" s="17"/>
      <c r="OTX113" s="17"/>
      <c r="OTY113" s="17"/>
      <c r="OTZ113" s="17"/>
      <c r="OUA113" s="17"/>
      <c r="OUB113" s="17"/>
      <c r="OUC113" s="17"/>
      <c r="OUD113" s="17"/>
      <c r="OUE113" s="17"/>
      <c r="OUF113" s="17"/>
      <c r="OUG113" s="17"/>
      <c r="OUH113" s="17"/>
      <c r="OUI113" s="17"/>
      <c r="OUJ113" s="17"/>
      <c r="OUK113" s="17"/>
      <c r="OUL113" s="17"/>
      <c r="OUM113" s="17"/>
      <c r="OUN113" s="17"/>
      <c r="OUO113" s="17"/>
      <c r="OUP113" s="17"/>
      <c r="OUQ113" s="17"/>
      <c r="OUR113" s="17"/>
      <c r="OUS113" s="17"/>
      <c r="OUT113" s="17"/>
      <c r="OUU113" s="17"/>
      <c r="OUV113" s="17"/>
      <c r="OUW113" s="17"/>
      <c r="OUX113" s="17"/>
      <c r="OUY113" s="17"/>
      <c r="OUZ113" s="17"/>
      <c r="OVA113" s="17"/>
      <c r="OVB113" s="17"/>
      <c r="OVC113" s="17"/>
      <c r="OVD113" s="17"/>
      <c r="OVE113" s="17"/>
      <c r="OVF113" s="17"/>
      <c r="OVG113" s="17"/>
      <c r="OVH113" s="17"/>
      <c r="OVI113" s="17"/>
      <c r="OVJ113" s="17"/>
      <c r="OVK113" s="17"/>
      <c r="OVL113" s="17"/>
      <c r="OVM113" s="17"/>
      <c r="OVN113" s="17"/>
      <c r="OVO113" s="17"/>
      <c r="OVP113" s="17"/>
      <c r="OVQ113" s="17"/>
      <c r="OVR113" s="17"/>
      <c r="OVS113" s="17"/>
      <c r="OVT113" s="17"/>
      <c r="OVU113" s="17"/>
      <c r="OVV113" s="17"/>
      <c r="OVW113" s="17"/>
      <c r="OVX113" s="17"/>
      <c r="OVY113" s="17"/>
      <c r="OVZ113" s="17"/>
      <c r="OWA113" s="17"/>
      <c r="OWB113" s="17"/>
      <c r="OWC113" s="17"/>
      <c r="OWD113" s="17"/>
      <c r="OWE113" s="17"/>
      <c r="OWF113" s="17"/>
      <c r="OWG113" s="17"/>
      <c r="OWH113" s="17"/>
      <c r="OWI113" s="17"/>
      <c r="OWJ113" s="17"/>
      <c r="OWK113" s="17"/>
      <c r="OWL113" s="17"/>
      <c r="OWM113" s="17"/>
      <c r="OWN113" s="17"/>
      <c r="OWO113" s="17"/>
      <c r="OWP113" s="17"/>
      <c r="OWQ113" s="17"/>
      <c r="OWR113" s="17"/>
      <c r="OWS113" s="17"/>
      <c r="OWT113" s="17"/>
      <c r="OWU113" s="17"/>
      <c r="OWV113" s="17"/>
      <c r="OWW113" s="17"/>
      <c r="OWX113" s="17"/>
      <c r="OWY113" s="17"/>
      <c r="OWZ113" s="17"/>
      <c r="OXA113" s="17"/>
      <c r="OXB113" s="17"/>
      <c r="OXC113" s="17"/>
      <c r="OXD113" s="17"/>
      <c r="OXE113" s="17"/>
      <c r="OXF113" s="17"/>
      <c r="OXG113" s="17"/>
      <c r="OXH113" s="17"/>
      <c r="OXI113" s="17"/>
      <c r="OXJ113" s="17"/>
      <c r="OXK113" s="17"/>
      <c r="OXL113" s="17"/>
      <c r="OXM113" s="17"/>
      <c r="OXN113" s="17"/>
      <c r="OXO113" s="17"/>
      <c r="OXP113" s="17"/>
      <c r="OXQ113" s="17"/>
      <c r="OXR113" s="17"/>
      <c r="OXS113" s="17"/>
      <c r="OXT113" s="17"/>
      <c r="OXU113" s="17"/>
      <c r="OXV113" s="17"/>
      <c r="OXW113" s="17"/>
      <c r="OXX113" s="17"/>
      <c r="OXY113" s="17"/>
      <c r="OXZ113" s="17"/>
      <c r="OYA113" s="17"/>
      <c r="OYB113" s="17"/>
      <c r="OYC113" s="17"/>
      <c r="OYD113" s="17"/>
      <c r="OYE113" s="17"/>
      <c r="OYF113" s="17"/>
      <c r="OYG113" s="17"/>
      <c r="OYH113" s="17"/>
      <c r="OYI113" s="17"/>
      <c r="OYJ113" s="17"/>
      <c r="OYK113" s="17"/>
      <c r="OYL113" s="17"/>
      <c r="OYM113" s="17"/>
      <c r="OYN113" s="17"/>
      <c r="OYO113" s="17"/>
      <c r="OYP113" s="17"/>
      <c r="OYQ113" s="17"/>
      <c r="OYR113" s="17"/>
      <c r="OYS113" s="17"/>
      <c r="OYT113" s="17"/>
      <c r="OYU113" s="17"/>
      <c r="OYV113" s="17"/>
      <c r="OYW113" s="17"/>
      <c r="OYX113" s="17"/>
      <c r="OYY113" s="17"/>
      <c r="OYZ113" s="17"/>
      <c r="OZA113" s="17"/>
      <c r="OZB113" s="17"/>
      <c r="OZC113" s="17"/>
      <c r="OZD113" s="17"/>
      <c r="OZE113" s="17"/>
      <c r="OZF113" s="17"/>
      <c r="OZG113" s="17"/>
      <c r="OZH113" s="17"/>
      <c r="OZI113" s="17"/>
      <c r="OZJ113" s="17"/>
      <c r="OZK113" s="17"/>
      <c r="OZL113" s="17"/>
      <c r="OZM113" s="17"/>
      <c r="OZN113" s="17"/>
      <c r="OZO113" s="17"/>
      <c r="OZP113" s="17"/>
      <c r="OZQ113" s="17"/>
      <c r="OZR113" s="17"/>
      <c r="OZS113" s="17"/>
      <c r="OZT113" s="17"/>
      <c r="OZU113" s="17"/>
      <c r="OZV113" s="17"/>
      <c r="OZW113" s="17"/>
      <c r="OZX113" s="17"/>
      <c r="OZY113" s="17"/>
      <c r="OZZ113" s="17"/>
      <c r="PAA113" s="17"/>
      <c r="PAB113" s="17"/>
      <c r="PAC113" s="17"/>
      <c r="PAD113" s="17"/>
      <c r="PAE113" s="17"/>
      <c r="PAF113" s="17"/>
      <c r="PAG113" s="17"/>
      <c r="PAH113" s="17"/>
      <c r="PAI113" s="17"/>
      <c r="PAJ113" s="17"/>
      <c r="PAK113" s="17"/>
      <c r="PAL113" s="17"/>
      <c r="PAM113" s="17"/>
      <c r="PAN113" s="17"/>
      <c r="PAO113" s="17"/>
      <c r="PAP113" s="17"/>
      <c r="PAQ113" s="17"/>
      <c r="PAR113" s="17"/>
      <c r="PAS113" s="17"/>
      <c r="PAT113" s="17"/>
      <c r="PAU113" s="17"/>
      <c r="PAV113" s="17"/>
      <c r="PAW113" s="17"/>
      <c r="PAX113" s="17"/>
      <c r="PAY113" s="17"/>
      <c r="PAZ113" s="17"/>
      <c r="PBA113" s="17"/>
      <c r="PBB113" s="17"/>
      <c r="PBC113" s="17"/>
      <c r="PBD113" s="17"/>
      <c r="PBE113" s="17"/>
      <c r="PBF113" s="17"/>
      <c r="PBG113" s="17"/>
      <c r="PBH113" s="17"/>
      <c r="PBI113" s="17"/>
      <c r="PBJ113" s="17"/>
      <c r="PBK113" s="17"/>
      <c r="PBL113" s="17"/>
      <c r="PBM113" s="17"/>
      <c r="PBN113" s="17"/>
      <c r="PBO113" s="17"/>
      <c r="PBP113" s="17"/>
      <c r="PBQ113" s="17"/>
      <c r="PBR113" s="17"/>
      <c r="PBS113" s="17"/>
      <c r="PBT113" s="17"/>
      <c r="PBU113" s="17"/>
      <c r="PBV113" s="17"/>
      <c r="PBW113" s="17"/>
      <c r="PBX113" s="17"/>
      <c r="PBY113" s="17"/>
      <c r="PBZ113" s="17"/>
      <c r="PCA113" s="17"/>
      <c r="PCB113" s="17"/>
      <c r="PCC113" s="17"/>
      <c r="PCD113" s="17"/>
      <c r="PCE113" s="17"/>
      <c r="PCF113" s="17"/>
      <c r="PCG113" s="17"/>
      <c r="PCH113" s="17"/>
      <c r="PCI113" s="17"/>
      <c r="PCJ113" s="17"/>
      <c r="PCK113" s="17"/>
      <c r="PCL113" s="17"/>
      <c r="PCM113" s="17"/>
      <c r="PCN113" s="17"/>
      <c r="PCO113" s="17"/>
      <c r="PCP113" s="17"/>
      <c r="PCQ113" s="17"/>
      <c r="PCR113" s="17"/>
      <c r="PCS113" s="17"/>
      <c r="PCT113" s="17"/>
      <c r="PCU113" s="17"/>
      <c r="PCV113" s="17"/>
      <c r="PCW113" s="17"/>
      <c r="PCX113" s="17"/>
      <c r="PCY113" s="17"/>
      <c r="PCZ113" s="17"/>
      <c r="PDA113" s="17"/>
      <c r="PDB113" s="17"/>
      <c r="PDC113" s="17"/>
      <c r="PDD113" s="17"/>
      <c r="PDE113" s="17"/>
      <c r="PDF113" s="17"/>
      <c r="PDG113" s="17"/>
      <c r="PDH113" s="17"/>
      <c r="PDI113" s="17"/>
      <c r="PDJ113" s="17"/>
      <c r="PDK113" s="17"/>
      <c r="PDL113" s="17"/>
      <c r="PDM113" s="17"/>
      <c r="PDN113" s="17"/>
      <c r="PDO113" s="17"/>
      <c r="PDP113" s="17"/>
      <c r="PDQ113" s="17"/>
      <c r="PDR113" s="17"/>
      <c r="PDS113" s="17"/>
      <c r="PDT113" s="17"/>
      <c r="PDU113" s="17"/>
      <c r="PDV113" s="17"/>
      <c r="PDW113" s="17"/>
      <c r="PDX113" s="17"/>
      <c r="PDY113" s="17"/>
      <c r="PDZ113" s="17"/>
      <c r="PEA113" s="17"/>
      <c r="PEB113" s="17"/>
      <c r="PEC113" s="17"/>
      <c r="PED113" s="17"/>
      <c r="PEE113" s="17"/>
      <c r="PEF113" s="17"/>
      <c r="PEG113" s="17"/>
      <c r="PEH113" s="17"/>
      <c r="PEI113" s="17"/>
      <c r="PEJ113" s="17"/>
      <c r="PEK113" s="17"/>
      <c r="PEL113" s="17"/>
      <c r="PEM113" s="17"/>
      <c r="PEN113" s="17"/>
      <c r="PEO113" s="17"/>
      <c r="PEP113" s="17"/>
      <c r="PEQ113" s="17"/>
      <c r="PER113" s="17"/>
      <c r="PES113" s="17"/>
      <c r="PET113" s="17"/>
      <c r="PEU113" s="17"/>
      <c r="PEV113" s="17"/>
      <c r="PEW113" s="17"/>
      <c r="PEX113" s="17"/>
      <c r="PEY113" s="17"/>
      <c r="PEZ113" s="17"/>
      <c r="PFA113" s="17"/>
      <c r="PFB113" s="17"/>
      <c r="PFC113" s="17"/>
      <c r="PFD113" s="17"/>
      <c r="PFE113" s="17"/>
      <c r="PFF113" s="17"/>
      <c r="PFG113" s="17"/>
      <c r="PFH113" s="17"/>
      <c r="PFI113" s="17"/>
      <c r="PFJ113" s="17"/>
      <c r="PFK113" s="17"/>
      <c r="PFL113" s="17"/>
      <c r="PFM113" s="17"/>
      <c r="PFN113" s="17"/>
      <c r="PFO113" s="17"/>
      <c r="PFP113" s="17"/>
      <c r="PFQ113" s="17"/>
      <c r="PFR113" s="17"/>
      <c r="PFS113" s="17"/>
      <c r="PFT113" s="17"/>
      <c r="PFU113" s="17"/>
      <c r="PFV113" s="17"/>
      <c r="PFW113" s="17"/>
      <c r="PFX113" s="17"/>
      <c r="PFY113" s="17"/>
      <c r="PFZ113" s="17"/>
      <c r="PGA113" s="17"/>
      <c r="PGB113" s="17"/>
      <c r="PGC113" s="17"/>
      <c r="PGD113" s="17"/>
      <c r="PGE113" s="17"/>
      <c r="PGF113" s="17"/>
      <c r="PGG113" s="17"/>
      <c r="PGH113" s="17"/>
      <c r="PGI113" s="17"/>
      <c r="PGJ113" s="17"/>
      <c r="PGK113" s="17"/>
      <c r="PGL113" s="17"/>
      <c r="PGM113" s="17"/>
      <c r="PGN113" s="17"/>
      <c r="PGO113" s="17"/>
      <c r="PGP113" s="17"/>
      <c r="PGQ113" s="17"/>
      <c r="PGR113" s="17"/>
      <c r="PGS113" s="17"/>
      <c r="PGT113" s="17"/>
      <c r="PGU113" s="17"/>
      <c r="PGV113" s="17"/>
      <c r="PGW113" s="17"/>
      <c r="PGX113" s="17"/>
      <c r="PGY113" s="17"/>
      <c r="PGZ113" s="17"/>
      <c r="PHA113" s="17"/>
      <c r="PHB113" s="17"/>
      <c r="PHC113" s="17"/>
      <c r="PHD113" s="17"/>
      <c r="PHE113" s="17"/>
      <c r="PHF113" s="17"/>
      <c r="PHG113" s="17"/>
      <c r="PHH113" s="17"/>
      <c r="PHI113" s="17"/>
      <c r="PHJ113" s="17"/>
      <c r="PHK113" s="17"/>
      <c r="PHL113" s="17"/>
      <c r="PHM113" s="17"/>
      <c r="PHN113" s="17"/>
      <c r="PHO113" s="17"/>
      <c r="PHP113" s="17"/>
      <c r="PHQ113" s="17"/>
      <c r="PHR113" s="17"/>
      <c r="PHS113" s="17"/>
      <c r="PHT113" s="17"/>
      <c r="PHU113" s="17"/>
      <c r="PHV113" s="17"/>
      <c r="PHW113" s="17"/>
      <c r="PHX113" s="17"/>
      <c r="PHY113" s="17"/>
      <c r="PHZ113" s="17"/>
      <c r="PIA113" s="17"/>
      <c r="PIB113" s="17"/>
      <c r="PIC113" s="17"/>
      <c r="PID113" s="17"/>
      <c r="PIE113" s="17"/>
      <c r="PIF113" s="17"/>
      <c r="PIG113" s="17"/>
      <c r="PIH113" s="17"/>
      <c r="PII113" s="17"/>
      <c r="PIJ113" s="17"/>
      <c r="PIK113" s="17"/>
      <c r="PIL113" s="17"/>
      <c r="PIM113" s="17"/>
      <c r="PIN113" s="17"/>
      <c r="PIO113" s="17"/>
      <c r="PIP113" s="17"/>
      <c r="PIQ113" s="17"/>
      <c r="PIR113" s="17"/>
      <c r="PIS113" s="17"/>
      <c r="PIT113" s="17"/>
      <c r="PIU113" s="17"/>
      <c r="PIV113" s="17"/>
      <c r="PIW113" s="17"/>
      <c r="PIX113" s="17"/>
      <c r="PIY113" s="17"/>
      <c r="PIZ113" s="17"/>
      <c r="PJA113" s="17"/>
      <c r="PJB113" s="17"/>
      <c r="PJC113" s="17"/>
      <c r="PJD113" s="17"/>
      <c r="PJE113" s="17"/>
      <c r="PJF113" s="17"/>
      <c r="PJG113" s="17"/>
      <c r="PJH113" s="17"/>
      <c r="PJI113" s="17"/>
      <c r="PJJ113" s="17"/>
      <c r="PJK113" s="17"/>
      <c r="PJL113" s="17"/>
      <c r="PJM113" s="17"/>
      <c r="PJN113" s="17"/>
      <c r="PJO113" s="17"/>
      <c r="PJP113" s="17"/>
      <c r="PJQ113" s="17"/>
      <c r="PJR113" s="17"/>
      <c r="PJS113" s="17"/>
      <c r="PJT113" s="17"/>
      <c r="PJU113" s="17"/>
      <c r="PJV113" s="17"/>
      <c r="PJW113" s="17"/>
      <c r="PJX113" s="17"/>
      <c r="PJY113" s="17"/>
      <c r="PJZ113" s="17"/>
      <c r="PKA113" s="17"/>
      <c r="PKB113" s="17"/>
      <c r="PKC113" s="17"/>
      <c r="PKD113" s="17"/>
      <c r="PKE113" s="17"/>
      <c r="PKF113" s="17"/>
      <c r="PKG113" s="17"/>
      <c r="PKH113" s="17"/>
      <c r="PKI113" s="17"/>
      <c r="PKJ113" s="17"/>
      <c r="PKK113" s="17"/>
      <c r="PKL113" s="17"/>
      <c r="PKM113" s="17"/>
      <c r="PKN113" s="17"/>
      <c r="PKO113" s="17"/>
      <c r="PKP113" s="17"/>
      <c r="PKQ113" s="17"/>
      <c r="PKR113" s="17"/>
      <c r="PKS113" s="17"/>
      <c r="PKT113" s="17"/>
      <c r="PKU113" s="17"/>
      <c r="PKV113" s="17"/>
      <c r="PKW113" s="17"/>
      <c r="PKX113" s="17"/>
      <c r="PKY113" s="17"/>
      <c r="PKZ113" s="17"/>
      <c r="PLA113" s="17"/>
      <c r="PLB113" s="17"/>
      <c r="PLC113" s="17"/>
      <c r="PLD113" s="17"/>
      <c r="PLE113" s="17"/>
      <c r="PLF113" s="17"/>
      <c r="PLG113" s="17"/>
      <c r="PLH113" s="17"/>
      <c r="PLI113" s="17"/>
      <c r="PLJ113" s="17"/>
      <c r="PLK113" s="17"/>
      <c r="PLL113" s="17"/>
      <c r="PLM113" s="17"/>
      <c r="PLN113" s="17"/>
      <c r="PLO113" s="17"/>
      <c r="PLP113" s="17"/>
      <c r="PLQ113" s="17"/>
      <c r="PLR113" s="17"/>
      <c r="PLS113" s="17"/>
      <c r="PLT113" s="17"/>
      <c r="PLU113" s="17"/>
      <c r="PLV113" s="17"/>
      <c r="PLW113" s="17"/>
      <c r="PLX113" s="17"/>
      <c r="PLY113" s="17"/>
      <c r="PLZ113" s="17"/>
      <c r="PMA113" s="17"/>
      <c r="PMB113" s="17"/>
      <c r="PMC113" s="17"/>
      <c r="PMD113" s="17"/>
      <c r="PME113" s="17"/>
      <c r="PMF113" s="17"/>
      <c r="PMG113" s="17"/>
      <c r="PMH113" s="17"/>
      <c r="PMI113" s="17"/>
      <c r="PMJ113" s="17"/>
      <c r="PMK113" s="17"/>
      <c r="PML113" s="17"/>
      <c r="PMM113" s="17"/>
      <c r="PMN113" s="17"/>
      <c r="PMO113" s="17"/>
      <c r="PMP113" s="17"/>
      <c r="PMQ113" s="17"/>
      <c r="PMR113" s="17"/>
      <c r="PMS113" s="17"/>
      <c r="PMT113" s="17"/>
      <c r="PMU113" s="17"/>
      <c r="PMV113" s="17"/>
      <c r="PMW113" s="17"/>
      <c r="PMX113" s="17"/>
      <c r="PMY113" s="17"/>
      <c r="PMZ113" s="17"/>
      <c r="PNA113" s="17"/>
      <c r="PNB113" s="17"/>
      <c r="PNC113" s="17"/>
      <c r="PND113" s="17"/>
      <c r="PNE113" s="17"/>
      <c r="PNF113" s="17"/>
      <c r="PNG113" s="17"/>
      <c r="PNH113" s="17"/>
      <c r="PNI113" s="17"/>
      <c r="PNJ113" s="17"/>
      <c r="PNK113" s="17"/>
      <c r="PNL113" s="17"/>
      <c r="PNM113" s="17"/>
      <c r="PNN113" s="17"/>
      <c r="PNO113" s="17"/>
      <c r="PNP113" s="17"/>
      <c r="PNQ113" s="17"/>
      <c r="PNR113" s="17"/>
      <c r="PNS113" s="17"/>
      <c r="PNT113" s="17"/>
      <c r="PNU113" s="17"/>
      <c r="PNV113" s="17"/>
      <c r="PNW113" s="17"/>
      <c r="PNX113" s="17"/>
      <c r="PNY113" s="17"/>
      <c r="PNZ113" s="17"/>
      <c r="POA113" s="17"/>
      <c r="POB113" s="17"/>
      <c r="POC113" s="17"/>
      <c r="POD113" s="17"/>
      <c r="POE113" s="17"/>
      <c r="POF113" s="17"/>
      <c r="POG113" s="17"/>
      <c r="POH113" s="17"/>
      <c r="POI113" s="17"/>
      <c r="POJ113" s="17"/>
      <c r="POK113" s="17"/>
      <c r="POL113" s="17"/>
      <c r="POM113" s="17"/>
      <c r="PON113" s="17"/>
      <c r="POO113" s="17"/>
      <c r="POP113" s="17"/>
      <c r="POQ113" s="17"/>
      <c r="POR113" s="17"/>
      <c r="POS113" s="17"/>
      <c r="POT113" s="17"/>
      <c r="POU113" s="17"/>
      <c r="POV113" s="17"/>
      <c r="POW113" s="17"/>
      <c r="POX113" s="17"/>
      <c r="POY113" s="17"/>
      <c r="POZ113" s="17"/>
      <c r="PPA113" s="17"/>
      <c r="PPB113" s="17"/>
      <c r="PPC113" s="17"/>
      <c r="PPD113" s="17"/>
      <c r="PPE113" s="17"/>
      <c r="PPF113" s="17"/>
      <c r="PPG113" s="17"/>
      <c r="PPH113" s="17"/>
      <c r="PPI113" s="17"/>
      <c r="PPJ113" s="17"/>
      <c r="PPK113" s="17"/>
      <c r="PPL113" s="17"/>
      <c r="PPM113" s="17"/>
      <c r="PPN113" s="17"/>
      <c r="PPO113" s="17"/>
      <c r="PPP113" s="17"/>
      <c r="PPQ113" s="17"/>
      <c r="PPR113" s="17"/>
      <c r="PPS113" s="17"/>
      <c r="PPT113" s="17"/>
      <c r="PPU113" s="17"/>
      <c r="PPV113" s="17"/>
      <c r="PPW113" s="17"/>
      <c r="PPX113" s="17"/>
      <c r="PPY113" s="17"/>
      <c r="PPZ113" s="17"/>
      <c r="PQA113" s="17"/>
      <c r="PQB113" s="17"/>
      <c r="PQC113" s="17"/>
      <c r="PQD113" s="17"/>
      <c r="PQE113" s="17"/>
      <c r="PQF113" s="17"/>
      <c r="PQG113" s="17"/>
      <c r="PQH113" s="17"/>
      <c r="PQI113" s="17"/>
      <c r="PQJ113" s="17"/>
      <c r="PQK113" s="17"/>
      <c r="PQL113" s="17"/>
      <c r="PQM113" s="17"/>
      <c r="PQN113" s="17"/>
      <c r="PQO113" s="17"/>
      <c r="PQP113" s="17"/>
      <c r="PQQ113" s="17"/>
      <c r="PQR113" s="17"/>
      <c r="PQS113" s="17"/>
      <c r="PQT113" s="17"/>
      <c r="PQU113" s="17"/>
      <c r="PQV113" s="17"/>
      <c r="PQW113" s="17"/>
      <c r="PQX113" s="17"/>
      <c r="PQY113" s="17"/>
      <c r="PQZ113" s="17"/>
      <c r="PRA113" s="17"/>
      <c r="PRB113" s="17"/>
      <c r="PRC113" s="17"/>
      <c r="PRD113" s="17"/>
      <c r="PRE113" s="17"/>
      <c r="PRF113" s="17"/>
      <c r="PRG113" s="17"/>
      <c r="PRH113" s="17"/>
      <c r="PRI113" s="17"/>
      <c r="PRJ113" s="17"/>
      <c r="PRK113" s="17"/>
      <c r="PRL113" s="17"/>
      <c r="PRM113" s="17"/>
      <c r="PRN113" s="17"/>
      <c r="PRO113" s="17"/>
      <c r="PRP113" s="17"/>
      <c r="PRQ113" s="17"/>
      <c r="PRR113" s="17"/>
      <c r="PRS113" s="17"/>
      <c r="PRT113" s="17"/>
      <c r="PRU113" s="17"/>
      <c r="PRV113" s="17"/>
      <c r="PRW113" s="17"/>
      <c r="PRX113" s="17"/>
      <c r="PRY113" s="17"/>
      <c r="PRZ113" s="17"/>
      <c r="PSA113" s="17"/>
      <c r="PSB113" s="17"/>
      <c r="PSC113" s="17"/>
      <c r="PSD113" s="17"/>
      <c r="PSE113" s="17"/>
      <c r="PSF113" s="17"/>
      <c r="PSG113" s="17"/>
      <c r="PSH113" s="17"/>
      <c r="PSI113" s="17"/>
      <c r="PSJ113" s="17"/>
      <c r="PSK113" s="17"/>
      <c r="PSL113" s="17"/>
      <c r="PSM113" s="17"/>
      <c r="PSN113" s="17"/>
      <c r="PSO113" s="17"/>
      <c r="PSP113" s="17"/>
      <c r="PSQ113" s="17"/>
      <c r="PSR113" s="17"/>
      <c r="PSS113" s="17"/>
      <c r="PST113" s="17"/>
      <c r="PSU113" s="17"/>
      <c r="PSV113" s="17"/>
      <c r="PSW113" s="17"/>
      <c r="PSX113" s="17"/>
      <c r="PSY113" s="17"/>
      <c r="PSZ113" s="17"/>
      <c r="PTA113" s="17"/>
      <c r="PTB113" s="17"/>
      <c r="PTC113" s="17"/>
      <c r="PTD113" s="17"/>
      <c r="PTE113" s="17"/>
      <c r="PTF113" s="17"/>
      <c r="PTG113" s="17"/>
      <c r="PTH113" s="17"/>
      <c r="PTI113" s="17"/>
      <c r="PTJ113" s="17"/>
      <c r="PTK113" s="17"/>
      <c r="PTL113" s="17"/>
      <c r="PTM113" s="17"/>
      <c r="PTN113" s="17"/>
      <c r="PTO113" s="17"/>
      <c r="PTP113" s="17"/>
      <c r="PTQ113" s="17"/>
      <c r="PTR113" s="17"/>
      <c r="PTS113" s="17"/>
      <c r="PTT113" s="17"/>
      <c r="PTU113" s="17"/>
      <c r="PTV113" s="17"/>
      <c r="PTW113" s="17"/>
      <c r="PTX113" s="17"/>
      <c r="PTY113" s="17"/>
      <c r="PTZ113" s="17"/>
      <c r="PUA113" s="17"/>
      <c r="PUB113" s="17"/>
      <c r="PUC113" s="17"/>
      <c r="PUD113" s="17"/>
      <c r="PUE113" s="17"/>
      <c r="PUF113" s="17"/>
      <c r="PUG113" s="17"/>
      <c r="PUH113" s="17"/>
      <c r="PUI113" s="17"/>
      <c r="PUJ113" s="17"/>
      <c r="PUK113" s="17"/>
      <c r="PUL113" s="17"/>
      <c r="PUM113" s="17"/>
      <c r="PUN113" s="17"/>
      <c r="PUO113" s="17"/>
      <c r="PUP113" s="17"/>
      <c r="PUQ113" s="17"/>
      <c r="PUR113" s="17"/>
      <c r="PUS113" s="17"/>
      <c r="PUT113" s="17"/>
      <c r="PUU113" s="17"/>
      <c r="PUV113" s="17"/>
      <c r="PUW113" s="17"/>
      <c r="PUX113" s="17"/>
      <c r="PUY113" s="17"/>
      <c r="PUZ113" s="17"/>
      <c r="PVA113" s="17"/>
      <c r="PVB113" s="17"/>
      <c r="PVC113" s="17"/>
      <c r="PVD113" s="17"/>
      <c r="PVE113" s="17"/>
      <c r="PVF113" s="17"/>
      <c r="PVG113" s="17"/>
      <c r="PVH113" s="17"/>
      <c r="PVI113" s="17"/>
      <c r="PVJ113" s="17"/>
      <c r="PVK113" s="17"/>
      <c r="PVL113" s="17"/>
      <c r="PVM113" s="17"/>
      <c r="PVN113" s="17"/>
      <c r="PVO113" s="17"/>
      <c r="PVP113" s="17"/>
      <c r="PVQ113" s="17"/>
      <c r="PVR113" s="17"/>
      <c r="PVS113" s="17"/>
      <c r="PVT113" s="17"/>
      <c r="PVU113" s="17"/>
      <c r="PVV113" s="17"/>
      <c r="PVW113" s="17"/>
      <c r="PVX113" s="17"/>
      <c r="PVY113" s="17"/>
      <c r="PVZ113" s="17"/>
      <c r="PWA113" s="17"/>
      <c r="PWB113" s="17"/>
      <c r="PWC113" s="17"/>
      <c r="PWD113" s="17"/>
      <c r="PWE113" s="17"/>
      <c r="PWF113" s="17"/>
      <c r="PWG113" s="17"/>
      <c r="PWH113" s="17"/>
      <c r="PWI113" s="17"/>
      <c r="PWJ113" s="17"/>
      <c r="PWK113" s="17"/>
      <c r="PWL113" s="17"/>
      <c r="PWM113" s="17"/>
      <c r="PWN113" s="17"/>
      <c r="PWO113" s="17"/>
      <c r="PWP113" s="17"/>
      <c r="PWQ113" s="17"/>
      <c r="PWR113" s="17"/>
      <c r="PWS113" s="17"/>
      <c r="PWT113" s="17"/>
      <c r="PWU113" s="17"/>
      <c r="PWV113" s="17"/>
      <c r="PWW113" s="17"/>
      <c r="PWX113" s="17"/>
      <c r="PWY113" s="17"/>
      <c r="PWZ113" s="17"/>
      <c r="PXA113" s="17"/>
      <c r="PXB113" s="17"/>
      <c r="PXC113" s="17"/>
      <c r="PXD113" s="17"/>
      <c r="PXE113" s="17"/>
      <c r="PXF113" s="17"/>
      <c r="PXG113" s="17"/>
      <c r="PXH113" s="17"/>
      <c r="PXI113" s="17"/>
      <c r="PXJ113" s="17"/>
      <c r="PXK113" s="17"/>
      <c r="PXL113" s="17"/>
      <c r="PXM113" s="17"/>
      <c r="PXN113" s="17"/>
      <c r="PXO113" s="17"/>
      <c r="PXP113" s="17"/>
      <c r="PXQ113" s="17"/>
      <c r="PXR113" s="17"/>
      <c r="PXS113" s="17"/>
      <c r="PXT113" s="17"/>
      <c r="PXU113" s="17"/>
      <c r="PXV113" s="17"/>
      <c r="PXW113" s="17"/>
      <c r="PXX113" s="17"/>
      <c r="PXY113" s="17"/>
      <c r="PXZ113" s="17"/>
      <c r="PYA113" s="17"/>
      <c r="PYB113" s="17"/>
      <c r="PYC113" s="17"/>
      <c r="PYD113" s="17"/>
      <c r="PYE113" s="17"/>
      <c r="PYF113" s="17"/>
      <c r="PYG113" s="17"/>
      <c r="PYH113" s="17"/>
      <c r="PYI113" s="17"/>
      <c r="PYJ113" s="17"/>
      <c r="PYK113" s="17"/>
      <c r="PYL113" s="17"/>
      <c r="PYM113" s="17"/>
      <c r="PYN113" s="17"/>
      <c r="PYO113" s="17"/>
      <c r="PYP113" s="17"/>
      <c r="PYQ113" s="17"/>
      <c r="PYR113" s="17"/>
      <c r="PYS113" s="17"/>
      <c r="PYT113" s="17"/>
      <c r="PYU113" s="17"/>
      <c r="PYV113" s="17"/>
      <c r="PYW113" s="17"/>
      <c r="PYX113" s="17"/>
      <c r="PYY113" s="17"/>
      <c r="PYZ113" s="17"/>
      <c r="PZA113" s="17"/>
      <c r="PZB113" s="17"/>
      <c r="PZC113" s="17"/>
      <c r="PZD113" s="17"/>
      <c r="PZE113" s="17"/>
      <c r="PZF113" s="17"/>
      <c r="PZG113" s="17"/>
      <c r="PZH113" s="17"/>
      <c r="PZI113" s="17"/>
      <c r="PZJ113" s="17"/>
      <c r="PZK113" s="17"/>
      <c r="PZL113" s="17"/>
      <c r="PZM113" s="17"/>
      <c r="PZN113" s="17"/>
      <c r="PZO113" s="17"/>
      <c r="PZP113" s="17"/>
      <c r="PZQ113" s="17"/>
      <c r="PZR113" s="17"/>
      <c r="PZS113" s="17"/>
      <c r="PZT113" s="17"/>
      <c r="PZU113" s="17"/>
      <c r="PZV113" s="17"/>
      <c r="PZW113" s="17"/>
      <c r="PZX113" s="17"/>
      <c r="PZY113" s="17"/>
      <c r="PZZ113" s="17"/>
      <c r="QAA113" s="17"/>
      <c r="QAB113" s="17"/>
      <c r="QAC113" s="17"/>
      <c r="QAD113" s="17"/>
      <c r="QAE113" s="17"/>
      <c r="QAF113" s="17"/>
      <c r="QAG113" s="17"/>
      <c r="QAH113" s="17"/>
      <c r="QAI113" s="17"/>
      <c r="QAJ113" s="17"/>
      <c r="QAK113" s="17"/>
      <c r="QAL113" s="17"/>
      <c r="QAM113" s="17"/>
      <c r="QAN113" s="17"/>
      <c r="QAO113" s="17"/>
      <c r="QAP113" s="17"/>
      <c r="QAQ113" s="17"/>
      <c r="QAR113" s="17"/>
      <c r="QAS113" s="17"/>
      <c r="QAT113" s="17"/>
      <c r="QAU113" s="17"/>
      <c r="QAV113" s="17"/>
      <c r="QAW113" s="17"/>
      <c r="QAX113" s="17"/>
      <c r="QAY113" s="17"/>
      <c r="QAZ113" s="17"/>
      <c r="QBA113" s="17"/>
      <c r="QBB113" s="17"/>
      <c r="QBC113" s="17"/>
      <c r="QBD113" s="17"/>
      <c r="QBE113" s="17"/>
      <c r="QBF113" s="17"/>
      <c r="QBG113" s="17"/>
      <c r="QBH113" s="17"/>
      <c r="QBI113" s="17"/>
      <c r="QBJ113" s="17"/>
      <c r="QBK113" s="17"/>
      <c r="QBL113" s="17"/>
      <c r="QBM113" s="17"/>
      <c r="QBN113" s="17"/>
      <c r="QBO113" s="17"/>
      <c r="QBP113" s="17"/>
      <c r="QBQ113" s="17"/>
      <c r="QBR113" s="17"/>
      <c r="QBS113" s="17"/>
      <c r="QBT113" s="17"/>
      <c r="QBU113" s="17"/>
      <c r="QBV113" s="17"/>
      <c r="QBW113" s="17"/>
      <c r="QBX113" s="17"/>
      <c r="QBY113" s="17"/>
      <c r="QBZ113" s="17"/>
      <c r="QCA113" s="17"/>
      <c r="QCB113" s="17"/>
      <c r="QCC113" s="17"/>
      <c r="QCD113" s="17"/>
      <c r="QCE113" s="17"/>
      <c r="QCF113" s="17"/>
      <c r="QCG113" s="17"/>
      <c r="QCH113" s="17"/>
      <c r="QCI113" s="17"/>
      <c r="QCJ113" s="17"/>
      <c r="QCK113" s="17"/>
      <c r="QCL113" s="17"/>
      <c r="QCM113" s="17"/>
      <c r="QCN113" s="17"/>
      <c r="QCO113" s="17"/>
      <c r="QCP113" s="17"/>
      <c r="QCQ113" s="17"/>
      <c r="QCR113" s="17"/>
      <c r="QCS113" s="17"/>
      <c r="QCT113" s="17"/>
      <c r="QCU113" s="17"/>
      <c r="QCV113" s="17"/>
      <c r="QCW113" s="17"/>
      <c r="QCX113" s="17"/>
      <c r="QCY113" s="17"/>
      <c r="QCZ113" s="17"/>
      <c r="QDA113" s="17"/>
      <c r="QDB113" s="17"/>
      <c r="QDC113" s="17"/>
      <c r="QDD113" s="17"/>
      <c r="QDE113" s="17"/>
      <c r="QDF113" s="17"/>
      <c r="QDG113" s="17"/>
      <c r="QDH113" s="17"/>
      <c r="QDI113" s="17"/>
      <c r="QDJ113" s="17"/>
      <c r="QDK113" s="17"/>
      <c r="QDL113" s="17"/>
      <c r="QDM113" s="17"/>
      <c r="QDN113" s="17"/>
      <c r="QDO113" s="17"/>
      <c r="QDP113" s="17"/>
      <c r="QDQ113" s="17"/>
      <c r="QDR113" s="17"/>
      <c r="QDS113" s="17"/>
      <c r="QDT113" s="17"/>
      <c r="QDU113" s="17"/>
      <c r="QDV113" s="17"/>
      <c r="QDW113" s="17"/>
      <c r="QDX113" s="17"/>
      <c r="QDY113" s="17"/>
      <c r="QDZ113" s="17"/>
      <c r="QEA113" s="17"/>
      <c r="QEB113" s="17"/>
      <c r="QEC113" s="17"/>
      <c r="QED113" s="17"/>
      <c r="QEE113" s="17"/>
      <c r="QEF113" s="17"/>
      <c r="QEG113" s="17"/>
      <c r="QEH113" s="17"/>
      <c r="QEI113" s="17"/>
      <c r="QEJ113" s="17"/>
      <c r="QEK113" s="17"/>
      <c r="QEL113" s="17"/>
      <c r="QEM113" s="17"/>
      <c r="QEN113" s="17"/>
      <c r="QEO113" s="17"/>
      <c r="QEP113" s="17"/>
      <c r="QEQ113" s="17"/>
      <c r="QER113" s="17"/>
      <c r="QES113" s="17"/>
      <c r="QET113" s="17"/>
      <c r="QEU113" s="17"/>
      <c r="QEV113" s="17"/>
      <c r="QEW113" s="17"/>
      <c r="QEX113" s="17"/>
      <c r="QEY113" s="17"/>
      <c r="QEZ113" s="17"/>
      <c r="QFA113" s="17"/>
      <c r="QFB113" s="17"/>
      <c r="QFC113" s="17"/>
      <c r="QFD113" s="17"/>
      <c r="QFE113" s="17"/>
      <c r="QFF113" s="17"/>
      <c r="QFG113" s="17"/>
      <c r="QFH113" s="17"/>
      <c r="QFI113" s="17"/>
      <c r="QFJ113" s="17"/>
      <c r="QFK113" s="17"/>
      <c r="QFL113" s="17"/>
      <c r="QFM113" s="17"/>
      <c r="QFN113" s="17"/>
      <c r="QFO113" s="17"/>
      <c r="QFP113" s="17"/>
      <c r="QFQ113" s="17"/>
      <c r="QFR113" s="17"/>
      <c r="QFS113" s="17"/>
      <c r="QFT113" s="17"/>
      <c r="QFU113" s="17"/>
      <c r="QFV113" s="17"/>
      <c r="QFW113" s="17"/>
      <c r="QFX113" s="17"/>
      <c r="QFY113" s="17"/>
      <c r="QFZ113" s="17"/>
      <c r="QGA113" s="17"/>
      <c r="QGB113" s="17"/>
      <c r="QGC113" s="17"/>
      <c r="QGD113" s="17"/>
      <c r="QGE113" s="17"/>
      <c r="QGF113" s="17"/>
      <c r="QGG113" s="17"/>
      <c r="QGH113" s="17"/>
      <c r="QGI113" s="17"/>
      <c r="QGJ113" s="17"/>
      <c r="QGK113" s="17"/>
      <c r="QGL113" s="17"/>
      <c r="QGM113" s="17"/>
      <c r="QGN113" s="17"/>
      <c r="QGO113" s="17"/>
      <c r="QGP113" s="17"/>
      <c r="QGQ113" s="17"/>
      <c r="QGR113" s="17"/>
      <c r="QGS113" s="17"/>
      <c r="QGT113" s="17"/>
      <c r="QGU113" s="17"/>
      <c r="QGV113" s="17"/>
      <c r="QGW113" s="17"/>
      <c r="QGX113" s="17"/>
      <c r="QGY113" s="17"/>
      <c r="QGZ113" s="17"/>
      <c r="QHA113" s="17"/>
      <c r="QHB113" s="17"/>
      <c r="QHC113" s="17"/>
      <c r="QHD113" s="17"/>
      <c r="QHE113" s="17"/>
      <c r="QHF113" s="17"/>
      <c r="QHG113" s="17"/>
      <c r="QHH113" s="17"/>
      <c r="QHI113" s="17"/>
      <c r="QHJ113" s="17"/>
      <c r="QHK113" s="17"/>
      <c r="QHL113" s="17"/>
      <c r="QHM113" s="17"/>
      <c r="QHN113" s="17"/>
      <c r="QHO113" s="17"/>
      <c r="QHP113" s="17"/>
      <c r="QHQ113" s="17"/>
      <c r="QHR113" s="17"/>
      <c r="QHS113" s="17"/>
      <c r="QHT113" s="17"/>
      <c r="QHU113" s="17"/>
      <c r="QHV113" s="17"/>
      <c r="QHW113" s="17"/>
      <c r="QHX113" s="17"/>
      <c r="QHY113" s="17"/>
      <c r="QHZ113" s="17"/>
      <c r="QIA113" s="17"/>
      <c r="QIB113" s="17"/>
      <c r="QIC113" s="17"/>
      <c r="QID113" s="17"/>
      <c r="QIE113" s="17"/>
      <c r="QIF113" s="17"/>
      <c r="QIG113" s="17"/>
      <c r="QIH113" s="17"/>
      <c r="QII113" s="17"/>
      <c r="QIJ113" s="17"/>
      <c r="QIK113" s="17"/>
      <c r="QIL113" s="17"/>
      <c r="QIM113" s="17"/>
      <c r="QIN113" s="17"/>
      <c r="QIO113" s="17"/>
      <c r="QIP113" s="17"/>
      <c r="QIQ113" s="17"/>
      <c r="QIR113" s="17"/>
      <c r="QIS113" s="17"/>
      <c r="QIT113" s="17"/>
      <c r="QIU113" s="17"/>
      <c r="QIV113" s="17"/>
      <c r="QIW113" s="17"/>
      <c r="QIX113" s="17"/>
      <c r="QIY113" s="17"/>
      <c r="QIZ113" s="17"/>
      <c r="QJA113" s="17"/>
      <c r="QJB113" s="17"/>
      <c r="QJC113" s="17"/>
      <c r="QJD113" s="17"/>
      <c r="QJE113" s="17"/>
      <c r="QJF113" s="17"/>
      <c r="QJG113" s="17"/>
      <c r="QJH113" s="17"/>
      <c r="QJI113" s="17"/>
      <c r="QJJ113" s="17"/>
      <c r="QJK113" s="17"/>
      <c r="QJL113" s="17"/>
      <c r="QJM113" s="17"/>
      <c r="QJN113" s="17"/>
      <c r="QJO113" s="17"/>
      <c r="QJP113" s="17"/>
      <c r="QJQ113" s="17"/>
      <c r="QJR113" s="17"/>
      <c r="QJS113" s="17"/>
      <c r="QJT113" s="17"/>
      <c r="QJU113" s="17"/>
      <c r="QJV113" s="17"/>
      <c r="QJW113" s="17"/>
      <c r="QJX113" s="17"/>
      <c r="QJY113" s="17"/>
      <c r="QJZ113" s="17"/>
      <c r="QKA113" s="17"/>
      <c r="QKB113" s="17"/>
      <c r="QKC113" s="17"/>
      <c r="QKD113" s="17"/>
      <c r="QKE113" s="17"/>
      <c r="QKF113" s="17"/>
      <c r="QKG113" s="17"/>
      <c r="QKH113" s="17"/>
      <c r="QKI113" s="17"/>
      <c r="QKJ113" s="17"/>
      <c r="QKK113" s="17"/>
      <c r="QKL113" s="17"/>
      <c r="QKM113" s="17"/>
      <c r="QKN113" s="17"/>
      <c r="QKO113" s="17"/>
      <c r="QKP113" s="17"/>
      <c r="QKQ113" s="17"/>
      <c r="QKR113" s="17"/>
      <c r="QKS113" s="17"/>
      <c r="QKT113" s="17"/>
      <c r="QKU113" s="17"/>
      <c r="QKV113" s="17"/>
      <c r="QKW113" s="17"/>
      <c r="QKX113" s="17"/>
      <c r="QKY113" s="17"/>
      <c r="QKZ113" s="17"/>
      <c r="QLA113" s="17"/>
      <c r="QLB113" s="17"/>
      <c r="QLC113" s="17"/>
      <c r="QLD113" s="17"/>
      <c r="QLE113" s="17"/>
      <c r="QLF113" s="17"/>
      <c r="QLG113" s="17"/>
      <c r="QLH113" s="17"/>
      <c r="QLI113" s="17"/>
      <c r="QLJ113" s="17"/>
      <c r="QLK113" s="17"/>
      <c r="QLL113" s="17"/>
      <c r="QLM113" s="17"/>
      <c r="QLN113" s="17"/>
      <c r="QLO113" s="17"/>
      <c r="QLP113" s="17"/>
      <c r="QLQ113" s="17"/>
      <c r="QLR113" s="17"/>
      <c r="QLS113" s="17"/>
      <c r="QLT113" s="17"/>
      <c r="QLU113" s="17"/>
      <c r="QLV113" s="17"/>
      <c r="QLW113" s="17"/>
      <c r="QLX113" s="17"/>
      <c r="QLY113" s="17"/>
      <c r="QLZ113" s="17"/>
      <c r="QMA113" s="17"/>
      <c r="QMB113" s="17"/>
      <c r="QMC113" s="17"/>
      <c r="QMD113" s="17"/>
      <c r="QME113" s="17"/>
      <c r="QMF113" s="17"/>
      <c r="QMG113" s="17"/>
      <c r="QMH113" s="17"/>
      <c r="QMI113" s="17"/>
      <c r="QMJ113" s="17"/>
      <c r="QMK113" s="17"/>
      <c r="QML113" s="17"/>
      <c r="QMM113" s="17"/>
      <c r="QMN113" s="17"/>
      <c r="QMO113" s="17"/>
      <c r="QMP113" s="17"/>
      <c r="QMQ113" s="17"/>
      <c r="QMR113" s="17"/>
      <c r="QMS113" s="17"/>
      <c r="QMT113" s="17"/>
      <c r="QMU113" s="17"/>
      <c r="QMV113" s="17"/>
      <c r="QMW113" s="17"/>
      <c r="QMX113" s="17"/>
      <c r="QMY113" s="17"/>
      <c r="QMZ113" s="17"/>
      <c r="QNA113" s="17"/>
      <c r="QNB113" s="17"/>
      <c r="QNC113" s="17"/>
      <c r="QND113" s="17"/>
      <c r="QNE113" s="17"/>
      <c r="QNF113" s="17"/>
      <c r="QNG113" s="17"/>
      <c r="QNH113" s="17"/>
      <c r="QNI113" s="17"/>
      <c r="QNJ113" s="17"/>
      <c r="QNK113" s="17"/>
      <c r="QNL113" s="17"/>
      <c r="QNM113" s="17"/>
      <c r="QNN113" s="17"/>
      <c r="QNO113" s="17"/>
      <c r="QNP113" s="17"/>
      <c r="QNQ113" s="17"/>
      <c r="QNR113" s="17"/>
      <c r="QNS113" s="17"/>
      <c r="QNT113" s="17"/>
      <c r="QNU113" s="17"/>
      <c r="QNV113" s="17"/>
      <c r="QNW113" s="17"/>
      <c r="QNX113" s="17"/>
      <c r="QNY113" s="17"/>
      <c r="QNZ113" s="17"/>
      <c r="QOA113" s="17"/>
      <c r="QOB113" s="17"/>
      <c r="QOC113" s="17"/>
      <c r="QOD113" s="17"/>
      <c r="QOE113" s="17"/>
      <c r="QOF113" s="17"/>
      <c r="QOG113" s="17"/>
      <c r="QOH113" s="17"/>
      <c r="QOI113" s="17"/>
      <c r="QOJ113" s="17"/>
      <c r="QOK113" s="17"/>
      <c r="QOL113" s="17"/>
      <c r="QOM113" s="17"/>
      <c r="QON113" s="17"/>
      <c r="QOO113" s="17"/>
      <c r="QOP113" s="17"/>
      <c r="QOQ113" s="17"/>
      <c r="QOR113" s="17"/>
      <c r="QOS113" s="17"/>
      <c r="QOT113" s="17"/>
      <c r="QOU113" s="17"/>
      <c r="QOV113" s="17"/>
      <c r="QOW113" s="17"/>
      <c r="QOX113" s="17"/>
      <c r="QOY113" s="17"/>
      <c r="QOZ113" s="17"/>
      <c r="QPA113" s="17"/>
      <c r="QPB113" s="17"/>
      <c r="QPC113" s="17"/>
      <c r="QPD113" s="17"/>
      <c r="QPE113" s="17"/>
      <c r="QPF113" s="17"/>
      <c r="QPG113" s="17"/>
      <c r="QPH113" s="17"/>
      <c r="QPI113" s="17"/>
      <c r="QPJ113" s="17"/>
      <c r="QPK113" s="17"/>
      <c r="QPL113" s="17"/>
      <c r="QPM113" s="17"/>
      <c r="QPN113" s="17"/>
      <c r="QPO113" s="17"/>
      <c r="QPP113" s="17"/>
      <c r="QPQ113" s="17"/>
      <c r="QPR113" s="17"/>
      <c r="QPS113" s="17"/>
      <c r="QPT113" s="17"/>
      <c r="QPU113" s="17"/>
      <c r="QPV113" s="17"/>
      <c r="QPW113" s="17"/>
      <c r="QPX113" s="17"/>
      <c r="QPY113" s="17"/>
      <c r="QPZ113" s="17"/>
      <c r="QQA113" s="17"/>
      <c r="QQB113" s="17"/>
      <c r="QQC113" s="17"/>
      <c r="QQD113" s="17"/>
      <c r="QQE113" s="17"/>
      <c r="QQF113" s="17"/>
      <c r="QQG113" s="17"/>
      <c r="QQH113" s="17"/>
      <c r="QQI113" s="17"/>
      <c r="QQJ113" s="17"/>
      <c r="QQK113" s="17"/>
      <c r="QQL113" s="17"/>
      <c r="QQM113" s="17"/>
      <c r="QQN113" s="17"/>
      <c r="QQO113" s="17"/>
      <c r="QQP113" s="17"/>
      <c r="QQQ113" s="17"/>
      <c r="QQR113" s="17"/>
      <c r="QQS113" s="17"/>
      <c r="QQT113" s="17"/>
      <c r="QQU113" s="17"/>
      <c r="QQV113" s="17"/>
      <c r="QQW113" s="17"/>
      <c r="QQX113" s="17"/>
      <c r="QQY113" s="17"/>
      <c r="QQZ113" s="17"/>
      <c r="QRA113" s="17"/>
      <c r="QRB113" s="17"/>
      <c r="QRC113" s="17"/>
      <c r="QRD113" s="17"/>
      <c r="QRE113" s="17"/>
      <c r="QRF113" s="17"/>
      <c r="QRG113" s="17"/>
      <c r="QRH113" s="17"/>
      <c r="QRI113" s="17"/>
      <c r="QRJ113" s="17"/>
      <c r="QRK113" s="17"/>
      <c r="QRL113" s="17"/>
      <c r="QRM113" s="17"/>
      <c r="QRN113" s="17"/>
      <c r="QRO113" s="17"/>
      <c r="QRP113" s="17"/>
      <c r="QRQ113" s="17"/>
      <c r="QRR113" s="17"/>
      <c r="QRS113" s="17"/>
      <c r="QRT113" s="17"/>
      <c r="QRU113" s="17"/>
      <c r="QRV113" s="17"/>
      <c r="QRW113" s="17"/>
      <c r="QRX113" s="17"/>
      <c r="QRY113" s="17"/>
      <c r="QRZ113" s="17"/>
      <c r="QSA113" s="17"/>
      <c r="QSB113" s="17"/>
      <c r="QSC113" s="17"/>
      <c r="QSD113" s="17"/>
      <c r="QSE113" s="17"/>
      <c r="QSF113" s="17"/>
      <c r="QSG113" s="17"/>
      <c r="QSH113" s="17"/>
      <c r="QSI113" s="17"/>
      <c r="QSJ113" s="17"/>
      <c r="QSK113" s="17"/>
      <c r="QSL113" s="17"/>
      <c r="QSM113" s="17"/>
      <c r="QSN113" s="17"/>
      <c r="QSO113" s="17"/>
      <c r="QSP113" s="17"/>
      <c r="QSQ113" s="17"/>
      <c r="QSR113" s="17"/>
      <c r="QSS113" s="17"/>
      <c r="QST113" s="17"/>
      <c r="QSU113" s="17"/>
      <c r="QSV113" s="17"/>
      <c r="QSW113" s="17"/>
      <c r="QSX113" s="17"/>
      <c r="QSY113" s="17"/>
      <c r="QSZ113" s="17"/>
      <c r="QTA113" s="17"/>
      <c r="QTB113" s="17"/>
      <c r="QTC113" s="17"/>
      <c r="QTD113" s="17"/>
      <c r="QTE113" s="17"/>
      <c r="QTF113" s="17"/>
      <c r="QTG113" s="17"/>
      <c r="QTH113" s="17"/>
      <c r="QTI113" s="17"/>
      <c r="QTJ113" s="17"/>
      <c r="QTK113" s="17"/>
      <c r="QTL113" s="17"/>
      <c r="QTM113" s="17"/>
      <c r="QTN113" s="17"/>
      <c r="QTO113" s="17"/>
      <c r="QTP113" s="17"/>
      <c r="QTQ113" s="17"/>
      <c r="QTR113" s="17"/>
      <c r="QTS113" s="17"/>
      <c r="QTT113" s="17"/>
      <c r="QTU113" s="17"/>
      <c r="QTV113" s="17"/>
      <c r="QTW113" s="17"/>
      <c r="QTX113" s="17"/>
      <c r="QTY113" s="17"/>
      <c r="QTZ113" s="17"/>
      <c r="QUA113" s="17"/>
      <c r="QUB113" s="17"/>
      <c r="QUC113" s="17"/>
      <c r="QUD113" s="17"/>
      <c r="QUE113" s="17"/>
      <c r="QUF113" s="17"/>
      <c r="QUG113" s="17"/>
      <c r="QUH113" s="17"/>
      <c r="QUI113" s="17"/>
      <c r="QUJ113" s="17"/>
      <c r="QUK113" s="17"/>
      <c r="QUL113" s="17"/>
      <c r="QUM113" s="17"/>
      <c r="QUN113" s="17"/>
      <c r="QUO113" s="17"/>
      <c r="QUP113" s="17"/>
      <c r="QUQ113" s="17"/>
      <c r="QUR113" s="17"/>
      <c r="QUS113" s="17"/>
      <c r="QUT113" s="17"/>
      <c r="QUU113" s="17"/>
      <c r="QUV113" s="17"/>
      <c r="QUW113" s="17"/>
      <c r="QUX113" s="17"/>
      <c r="QUY113" s="17"/>
      <c r="QUZ113" s="17"/>
      <c r="QVA113" s="17"/>
      <c r="QVB113" s="17"/>
      <c r="QVC113" s="17"/>
      <c r="QVD113" s="17"/>
      <c r="QVE113" s="17"/>
      <c r="QVF113" s="17"/>
      <c r="QVG113" s="17"/>
      <c r="QVH113" s="17"/>
      <c r="QVI113" s="17"/>
      <c r="QVJ113" s="17"/>
      <c r="QVK113" s="17"/>
      <c r="QVL113" s="17"/>
      <c r="QVM113" s="17"/>
      <c r="QVN113" s="17"/>
      <c r="QVO113" s="17"/>
      <c r="QVP113" s="17"/>
      <c r="QVQ113" s="17"/>
      <c r="QVR113" s="17"/>
      <c r="QVS113" s="17"/>
      <c r="QVT113" s="17"/>
      <c r="QVU113" s="17"/>
      <c r="QVV113" s="17"/>
      <c r="QVW113" s="17"/>
      <c r="QVX113" s="17"/>
      <c r="QVY113" s="17"/>
      <c r="QVZ113" s="17"/>
      <c r="QWA113" s="17"/>
      <c r="QWB113" s="17"/>
      <c r="QWC113" s="17"/>
      <c r="QWD113" s="17"/>
      <c r="QWE113" s="17"/>
      <c r="QWF113" s="17"/>
      <c r="QWG113" s="17"/>
      <c r="QWH113" s="17"/>
      <c r="QWI113" s="17"/>
      <c r="QWJ113" s="17"/>
      <c r="QWK113" s="17"/>
      <c r="QWL113" s="17"/>
      <c r="QWM113" s="17"/>
      <c r="QWN113" s="17"/>
      <c r="QWO113" s="17"/>
      <c r="QWP113" s="17"/>
      <c r="QWQ113" s="17"/>
      <c r="QWR113" s="17"/>
      <c r="QWS113" s="17"/>
      <c r="QWT113" s="17"/>
      <c r="QWU113" s="17"/>
      <c r="QWV113" s="17"/>
      <c r="QWW113" s="17"/>
      <c r="QWX113" s="17"/>
      <c r="QWY113" s="17"/>
      <c r="QWZ113" s="17"/>
      <c r="QXA113" s="17"/>
      <c r="QXB113" s="17"/>
      <c r="QXC113" s="17"/>
      <c r="QXD113" s="17"/>
      <c r="QXE113" s="17"/>
      <c r="QXF113" s="17"/>
      <c r="QXG113" s="17"/>
      <c r="QXH113" s="17"/>
      <c r="QXI113" s="17"/>
      <c r="QXJ113" s="17"/>
      <c r="QXK113" s="17"/>
      <c r="QXL113" s="17"/>
      <c r="QXM113" s="17"/>
      <c r="QXN113" s="17"/>
      <c r="QXO113" s="17"/>
      <c r="QXP113" s="17"/>
      <c r="QXQ113" s="17"/>
      <c r="QXR113" s="17"/>
      <c r="QXS113" s="17"/>
      <c r="QXT113" s="17"/>
      <c r="QXU113" s="17"/>
      <c r="QXV113" s="17"/>
      <c r="QXW113" s="17"/>
      <c r="QXX113" s="17"/>
      <c r="QXY113" s="17"/>
      <c r="QXZ113" s="17"/>
      <c r="QYA113" s="17"/>
      <c r="QYB113" s="17"/>
      <c r="QYC113" s="17"/>
      <c r="QYD113" s="17"/>
      <c r="QYE113" s="17"/>
      <c r="QYF113" s="17"/>
      <c r="QYG113" s="17"/>
      <c r="QYH113" s="17"/>
      <c r="QYI113" s="17"/>
      <c r="QYJ113" s="17"/>
      <c r="QYK113" s="17"/>
      <c r="QYL113" s="17"/>
      <c r="QYM113" s="17"/>
      <c r="QYN113" s="17"/>
      <c r="QYO113" s="17"/>
      <c r="QYP113" s="17"/>
      <c r="QYQ113" s="17"/>
      <c r="QYR113" s="17"/>
      <c r="QYS113" s="17"/>
      <c r="QYT113" s="17"/>
      <c r="QYU113" s="17"/>
      <c r="QYV113" s="17"/>
      <c r="QYW113" s="17"/>
      <c r="QYX113" s="17"/>
      <c r="QYY113" s="17"/>
      <c r="QYZ113" s="17"/>
      <c r="QZA113" s="17"/>
      <c r="QZB113" s="17"/>
      <c r="QZC113" s="17"/>
      <c r="QZD113" s="17"/>
      <c r="QZE113" s="17"/>
      <c r="QZF113" s="17"/>
      <c r="QZG113" s="17"/>
      <c r="QZH113" s="17"/>
      <c r="QZI113" s="17"/>
      <c r="QZJ113" s="17"/>
      <c r="QZK113" s="17"/>
      <c r="QZL113" s="17"/>
      <c r="QZM113" s="17"/>
      <c r="QZN113" s="17"/>
      <c r="QZO113" s="17"/>
      <c r="QZP113" s="17"/>
      <c r="QZQ113" s="17"/>
      <c r="QZR113" s="17"/>
      <c r="QZS113" s="17"/>
      <c r="QZT113" s="17"/>
      <c r="QZU113" s="17"/>
      <c r="QZV113" s="17"/>
      <c r="QZW113" s="17"/>
      <c r="QZX113" s="17"/>
      <c r="QZY113" s="17"/>
      <c r="QZZ113" s="17"/>
      <c r="RAA113" s="17"/>
      <c r="RAB113" s="17"/>
      <c r="RAC113" s="17"/>
      <c r="RAD113" s="17"/>
      <c r="RAE113" s="17"/>
      <c r="RAF113" s="17"/>
      <c r="RAG113" s="17"/>
      <c r="RAH113" s="17"/>
      <c r="RAI113" s="17"/>
      <c r="RAJ113" s="17"/>
      <c r="RAK113" s="17"/>
      <c r="RAL113" s="17"/>
      <c r="RAM113" s="17"/>
      <c r="RAN113" s="17"/>
      <c r="RAO113" s="17"/>
      <c r="RAP113" s="17"/>
      <c r="RAQ113" s="17"/>
      <c r="RAR113" s="17"/>
      <c r="RAS113" s="17"/>
      <c r="RAT113" s="17"/>
      <c r="RAU113" s="17"/>
      <c r="RAV113" s="17"/>
      <c r="RAW113" s="17"/>
      <c r="RAX113" s="17"/>
      <c r="RAY113" s="17"/>
      <c r="RAZ113" s="17"/>
      <c r="RBA113" s="17"/>
      <c r="RBB113" s="17"/>
      <c r="RBC113" s="17"/>
      <c r="RBD113" s="17"/>
      <c r="RBE113" s="17"/>
      <c r="RBF113" s="17"/>
      <c r="RBG113" s="17"/>
      <c r="RBH113" s="17"/>
      <c r="RBI113" s="17"/>
      <c r="RBJ113" s="17"/>
      <c r="RBK113" s="17"/>
      <c r="RBL113" s="17"/>
      <c r="RBM113" s="17"/>
      <c r="RBN113" s="17"/>
      <c r="RBO113" s="17"/>
      <c r="RBP113" s="17"/>
      <c r="RBQ113" s="17"/>
      <c r="RBR113" s="17"/>
      <c r="RBS113" s="17"/>
      <c r="RBT113" s="17"/>
      <c r="RBU113" s="17"/>
      <c r="RBV113" s="17"/>
      <c r="RBW113" s="17"/>
      <c r="RBX113" s="17"/>
      <c r="RBY113" s="17"/>
      <c r="RBZ113" s="17"/>
      <c r="RCA113" s="17"/>
      <c r="RCB113" s="17"/>
      <c r="RCC113" s="17"/>
      <c r="RCD113" s="17"/>
      <c r="RCE113" s="17"/>
      <c r="RCF113" s="17"/>
      <c r="RCG113" s="17"/>
      <c r="RCH113" s="17"/>
      <c r="RCI113" s="17"/>
      <c r="RCJ113" s="17"/>
      <c r="RCK113" s="17"/>
      <c r="RCL113" s="17"/>
      <c r="RCM113" s="17"/>
      <c r="RCN113" s="17"/>
      <c r="RCO113" s="17"/>
      <c r="RCP113" s="17"/>
      <c r="RCQ113" s="17"/>
      <c r="RCR113" s="17"/>
      <c r="RCS113" s="17"/>
      <c r="RCT113" s="17"/>
      <c r="RCU113" s="17"/>
      <c r="RCV113" s="17"/>
      <c r="RCW113" s="17"/>
      <c r="RCX113" s="17"/>
      <c r="RCY113" s="17"/>
      <c r="RCZ113" s="17"/>
      <c r="RDA113" s="17"/>
      <c r="RDB113" s="17"/>
      <c r="RDC113" s="17"/>
      <c r="RDD113" s="17"/>
      <c r="RDE113" s="17"/>
      <c r="RDF113" s="17"/>
      <c r="RDG113" s="17"/>
      <c r="RDH113" s="17"/>
      <c r="RDI113" s="17"/>
      <c r="RDJ113" s="17"/>
      <c r="RDK113" s="17"/>
      <c r="RDL113" s="17"/>
      <c r="RDM113" s="17"/>
      <c r="RDN113" s="17"/>
      <c r="RDO113" s="17"/>
      <c r="RDP113" s="17"/>
      <c r="RDQ113" s="17"/>
      <c r="RDR113" s="17"/>
      <c r="RDS113" s="17"/>
      <c r="RDT113" s="17"/>
      <c r="RDU113" s="17"/>
      <c r="RDV113" s="17"/>
      <c r="RDW113" s="17"/>
      <c r="RDX113" s="17"/>
      <c r="RDY113" s="17"/>
      <c r="RDZ113" s="17"/>
      <c r="REA113" s="17"/>
      <c r="REB113" s="17"/>
      <c r="REC113" s="17"/>
      <c r="RED113" s="17"/>
      <c r="REE113" s="17"/>
      <c r="REF113" s="17"/>
      <c r="REG113" s="17"/>
      <c r="REH113" s="17"/>
      <c r="REI113" s="17"/>
      <c r="REJ113" s="17"/>
      <c r="REK113" s="17"/>
      <c r="REL113" s="17"/>
      <c r="REM113" s="17"/>
      <c r="REN113" s="17"/>
      <c r="REO113" s="17"/>
      <c r="REP113" s="17"/>
      <c r="REQ113" s="17"/>
      <c r="RER113" s="17"/>
      <c r="RES113" s="17"/>
      <c r="RET113" s="17"/>
      <c r="REU113" s="17"/>
      <c r="REV113" s="17"/>
      <c r="REW113" s="17"/>
      <c r="REX113" s="17"/>
      <c r="REY113" s="17"/>
      <c r="REZ113" s="17"/>
      <c r="RFA113" s="17"/>
      <c r="RFB113" s="17"/>
      <c r="RFC113" s="17"/>
      <c r="RFD113" s="17"/>
      <c r="RFE113" s="17"/>
      <c r="RFF113" s="17"/>
      <c r="RFG113" s="17"/>
      <c r="RFH113" s="17"/>
      <c r="RFI113" s="17"/>
      <c r="RFJ113" s="17"/>
      <c r="RFK113" s="17"/>
      <c r="RFL113" s="17"/>
      <c r="RFM113" s="17"/>
      <c r="RFN113" s="17"/>
      <c r="RFO113" s="17"/>
      <c r="RFP113" s="17"/>
      <c r="RFQ113" s="17"/>
      <c r="RFR113" s="17"/>
      <c r="RFS113" s="17"/>
      <c r="RFT113" s="17"/>
      <c r="RFU113" s="17"/>
      <c r="RFV113" s="17"/>
      <c r="RFW113" s="17"/>
      <c r="RFX113" s="17"/>
      <c r="RFY113" s="17"/>
      <c r="RFZ113" s="17"/>
      <c r="RGA113" s="17"/>
      <c r="RGB113" s="17"/>
      <c r="RGC113" s="17"/>
      <c r="RGD113" s="17"/>
      <c r="RGE113" s="17"/>
      <c r="RGF113" s="17"/>
      <c r="RGG113" s="17"/>
      <c r="RGH113" s="17"/>
      <c r="RGI113" s="17"/>
      <c r="RGJ113" s="17"/>
      <c r="RGK113" s="17"/>
      <c r="RGL113" s="17"/>
      <c r="RGM113" s="17"/>
      <c r="RGN113" s="17"/>
      <c r="RGO113" s="17"/>
      <c r="RGP113" s="17"/>
      <c r="RGQ113" s="17"/>
      <c r="RGR113" s="17"/>
      <c r="RGS113" s="17"/>
      <c r="RGT113" s="17"/>
      <c r="RGU113" s="17"/>
      <c r="RGV113" s="17"/>
      <c r="RGW113" s="17"/>
      <c r="RGX113" s="17"/>
      <c r="RGY113" s="17"/>
      <c r="RGZ113" s="17"/>
      <c r="RHA113" s="17"/>
      <c r="RHB113" s="17"/>
      <c r="RHC113" s="17"/>
      <c r="RHD113" s="17"/>
      <c r="RHE113" s="17"/>
      <c r="RHF113" s="17"/>
      <c r="RHG113" s="17"/>
      <c r="RHH113" s="17"/>
      <c r="RHI113" s="17"/>
      <c r="RHJ113" s="17"/>
      <c r="RHK113" s="17"/>
      <c r="RHL113" s="17"/>
      <c r="RHM113" s="17"/>
      <c r="RHN113" s="17"/>
      <c r="RHO113" s="17"/>
      <c r="RHP113" s="17"/>
      <c r="RHQ113" s="17"/>
      <c r="RHR113" s="17"/>
      <c r="RHS113" s="17"/>
      <c r="RHT113" s="17"/>
      <c r="RHU113" s="17"/>
      <c r="RHV113" s="17"/>
      <c r="RHW113" s="17"/>
      <c r="RHX113" s="17"/>
      <c r="RHY113" s="17"/>
      <c r="RHZ113" s="17"/>
      <c r="RIA113" s="17"/>
      <c r="RIB113" s="17"/>
      <c r="RIC113" s="17"/>
      <c r="RID113" s="17"/>
      <c r="RIE113" s="17"/>
      <c r="RIF113" s="17"/>
      <c r="RIG113" s="17"/>
      <c r="RIH113" s="17"/>
      <c r="RII113" s="17"/>
      <c r="RIJ113" s="17"/>
      <c r="RIK113" s="17"/>
      <c r="RIL113" s="17"/>
      <c r="RIM113" s="17"/>
      <c r="RIN113" s="17"/>
      <c r="RIO113" s="17"/>
      <c r="RIP113" s="17"/>
      <c r="RIQ113" s="17"/>
      <c r="RIR113" s="17"/>
      <c r="RIS113" s="17"/>
      <c r="RIT113" s="17"/>
      <c r="RIU113" s="17"/>
      <c r="RIV113" s="17"/>
      <c r="RIW113" s="17"/>
      <c r="RIX113" s="17"/>
      <c r="RIY113" s="17"/>
      <c r="RIZ113" s="17"/>
      <c r="RJA113" s="17"/>
      <c r="RJB113" s="17"/>
      <c r="RJC113" s="17"/>
      <c r="RJD113" s="17"/>
      <c r="RJE113" s="17"/>
      <c r="RJF113" s="17"/>
      <c r="RJG113" s="17"/>
      <c r="RJH113" s="17"/>
      <c r="RJI113" s="17"/>
      <c r="RJJ113" s="17"/>
      <c r="RJK113" s="17"/>
      <c r="RJL113" s="17"/>
      <c r="RJM113" s="17"/>
      <c r="RJN113" s="17"/>
      <c r="RJO113" s="17"/>
      <c r="RJP113" s="17"/>
      <c r="RJQ113" s="17"/>
      <c r="RJR113" s="17"/>
      <c r="RJS113" s="17"/>
      <c r="RJT113" s="17"/>
      <c r="RJU113" s="17"/>
      <c r="RJV113" s="17"/>
      <c r="RJW113" s="17"/>
      <c r="RJX113" s="17"/>
      <c r="RJY113" s="17"/>
      <c r="RJZ113" s="17"/>
      <c r="RKA113" s="17"/>
      <c r="RKB113" s="17"/>
      <c r="RKC113" s="17"/>
      <c r="RKD113" s="17"/>
      <c r="RKE113" s="17"/>
      <c r="RKF113" s="17"/>
      <c r="RKG113" s="17"/>
      <c r="RKH113" s="17"/>
      <c r="RKI113" s="17"/>
      <c r="RKJ113" s="17"/>
      <c r="RKK113" s="17"/>
      <c r="RKL113" s="17"/>
      <c r="RKM113" s="17"/>
      <c r="RKN113" s="17"/>
      <c r="RKO113" s="17"/>
      <c r="RKP113" s="17"/>
      <c r="RKQ113" s="17"/>
      <c r="RKR113" s="17"/>
      <c r="RKS113" s="17"/>
      <c r="RKT113" s="17"/>
      <c r="RKU113" s="17"/>
      <c r="RKV113" s="17"/>
      <c r="RKW113" s="17"/>
      <c r="RKX113" s="17"/>
      <c r="RKY113" s="17"/>
      <c r="RKZ113" s="17"/>
      <c r="RLA113" s="17"/>
      <c r="RLB113" s="17"/>
      <c r="RLC113" s="17"/>
      <c r="RLD113" s="17"/>
      <c r="RLE113" s="17"/>
      <c r="RLF113" s="17"/>
      <c r="RLG113" s="17"/>
      <c r="RLH113" s="17"/>
      <c r="RLI113" s="17"/>
      <c r="RLJ113" s="17"/>
      <c r="RLK113" s="17"/>
      <c r="RLL113" s="17"/>
      <c r="RLM113" s="17"/>
      <c r="RLN113" s="17"/>
      <c r="RLO113" s="17"/>
      <c r="RLP113" s="17"/>
      <c r="RLQ113" s="17"/>
      <c r="RLR113" s="17"/>
      <c r="RLS113" s="17"/>
      <c r="RLT113" s="17"/>
      <c r="RLU113" s="17"/>
      <c r="RLV113" s="17"/>
      <c r="RLW113" s="17"/>
      <c r="RLX113" s="17"/>
      <c r="RLY113" s="17"/>
      <c r="RLZ113" s="17"/>
      <c r="RMA113" s="17"/>
      <c r="RMB113" s="17"/>
      <c r="RMC113" s="17"/>
      <c r="RMD113" s="17"/>
      <c r="RME113" s="17"/>
      <c r="RMF113" s="17"/>
      <c r="RMG113" s="17"/>
      <c r="RMH113" s="17"/>
      <c r="RMI113" s="17"/>
      <c r="RMJ113" s="17"/>
      <c r="RMK113" s="17"/>
      <c r="RML113" s="17"/>
      <c r="RMM113" s="17"/>
      <c r="RMN113" s="17"/>
      <c r="RMO113" s="17"/>
      <c r="RMP113" s="17"/>
      <c r="RMQ113" s="17"/>
      <c r="RMR113" s="17"/>
      <c r="RMS113" s="17"/>
      <c r="RMT113" s="17"/>
      <c r="RMU113" s="17"/>
      <c r="RMV113" s="17"/>
      <c r="RMW113" s="17"/>
      <c r="RMX113" s="17"/>
      <c r="RMY113" s="17"/>
      <c r="RMZ113" s="17"/>
      <c r="RNA113" s="17"/>
      <c r="RNB113" s="17"/>
      <c r="RNC113" s="17"/>
      <c r="RND113" s="17"/>
      <c r="RNE113" s="17"/>
      <c r="RNF113" s="17"/>
      <c r="RNG113" s="17"/>
      <c r="RNH113" s="17"/>
      <c r="RNI113" s="17"/>
      <c r="RNJ113" s="17"/>
      <c r="RNK113" s="17"/>
      <c r="RNL113" s="17"/>
      <c r="RNM113" s="17"/>
      <c r="RNN113" s="17"/>
      <c r="RNO113" s="17"/>
      <c r="RNP113" s="17"/>
      <c r="RNQ113" s="17"/>
      <c r="RNR113" s="17"/>
      <c r="RNS113" s="17"/>
      <c r="RNT113" s="17"/>
      <c r="RNU113" s="17"/>
      <c r="RNV113" s="17"/>
      <c r="RNW113" s="17"/>
      <c r="RNX113" s="17"/>
      <c r="RNY113" s="17"/>
      <c r="RNZ113" s="17"/>
      <c r="ROA113" s="17"/>
      <c r="ROB113" s="17"/>
      <c r="ROC113" s="17"/>
      <c r="ROD113" s="17"/>
      <c r="ROE113" s="17"/>
      <c r="ROF113" s="17"/>
      <c r="ROG113" s="17"/>
      <c r="ROH113" s="17"/>
      <c r="ROI113" s="17"/>
      <c r="ROJ113" s="17"/>
      <c r="ROK113" s="17"/>
      <c r="ROL113" s="17"/>
      <c r="ROM113" s="17"/>
      <c r="RON113" s="17"/>
      <c r="ROO113" s="17"/>
      <c r="ROP113" s="17"/>
      <c r="ROQ113" s="17"/>
      <c r="ROR113" s="17"/>
      <c r="ROS113" s="17"/>
      <c r="ROT113" s="17"/>
      <c r="ROU113" s="17"/>
      <c r="ROV113" s="17"/>
      <c r="ROW113" s="17"/>
      <c r="ROX113" s="17"/>
      <c r="ROY113" s="17"/>
      <c r="ROZ113" s="17"/>
      <c r="RPA113" s="17"/>
      <c r="RPB113" s="17"/>
      <c r="RPC113" s="17"/>
      <c r="RPD113" s="17"/>
      <c r="RPE113" s="17"/>
      <c r="RPF113" s="17"/>
      <c r="RPG113" s="17"/>
      <c r="RPH113" s="17"/>
      <c r="RPI113" s="17"/>
      <c r="RPJ113" s="17"/>
      <c r="RPK113" s="17"/>
      <c r="RPL113" s="17"/>
      <c r="RPM113" s="17"/>
      <c r="RPN113" s="17"/>
      <c r="RPO113" s="17"/>
      <c r="RPP113" s="17"/>
      <c r="RPQ113" s="17"/>
      <c r="RPR113" s="17"/>
      <c r="RPS113" s="17"/>
      <c r="RPT113" s="17"/>
      <c r="RPU113" s="17"/>
      <c r="RPV113" s="17"/>
      <c r="RPW113" s="17"/>
      <c r="RPX113" s="17"/>
      <c r="RPY113" s="17"/>
      <c r="RPZ113" s="17"/>
      <c r="RQA113" s="17"/>
      <c r="RQB113" s="17"/>
      <c r="RQC113" s="17"/>
      <c r="RQD113" s="17"/>
      <c r="RQE113" s="17"/>
      <c r="RQF113" s="17"/>
      <c r="RQG113" s="17"/>
      <c r="RQH113" s="17"/>
      <c r="RQI113" s="17"/>
      <c r="RQJ113" s="17"/>
      <c r="RQK113" s="17"/>
      <c r="RQL113" s="17"/>
      <c r="RQM113" s="17"/>
      <c r="RQN113" s="17"/>
      <c r="RQO113" s="17"/>
      <c r="RQP113" s="17"/>
      <c r="RQQ113" s="17"/>
      <c r="RQR113" s="17"/>
      <c r="RQS113" s="17"/>
      <c r="RQT113" s="17"/>
      <c r="RQU113" s="17"/>
      <c r="RQV113" s="17"/>
      <c r="RQW113" s="17"/>
      <c r="RQX113" s="17"/>
      <c r="RQY113" s="17"/>
      <c r="RQZ113" s="17"/>
      <c r="RRA113" s="17"/>
      <c r="RRB113" s="17"/>
      <c r="RRC113" s="17"/>
      <c r="RRD113" s="17"/>
      <c r="RRE113" s="17"/>
      <c r="RRF113" s="17"/>
      <c r="RRG113" s="17"/>
      <c r="RRH113" s="17"/>
      <c r="RRI113" s="17"/>
      <c r="RRJ113" s="17"/>
      <c r="RRK113" s="17"/>
      <c r="RRL113" s="17"/>
      <c r="RRM113" s="17"/>
      <c r="RRN113" s="17"/>
      <c r="RRO113" s="17"/>
      <c r="RRP113" s="17"/>
      <c r="RRQ113" s="17"/>
      <c r="RRR113" s="17"/>
      <c r="RRS113" s="17"/>
      <c r="RRT113" s="17"/>
      <c r="RRU113" s="17"/>
      <c r="RRV113" s="17"/>
      <c r="RRW113" s="17"/>
      <c r="RRX113" s="17"/>
      <c r="RRY113" s="17"/>
      <c r="RRZ113" s="17"/>
      <c r="RSA113" s="17"/>
      <c r="RSB113" s="17"/>
      <c r="RSC113" s="17"/>
      <c r="RSD113" s="17"/>
      <c r="RSE113" s="17"/>
      <c r="RSF113" s="17"/>
      <c r="RSG113" s="17"/>
      <c r="RSH113" s="17"/>
      <c r="RSI113" s="17"/>
      <c r="RSJ113" s="17"/>
      <c r="RSK113" s="17"/>
      <c r="RSL113" s="17"/>
      <c r="RSM113" s="17"/>
      <c r="RSN113" s="17"/>
      <c r="RSO113" s="17"/>
      <c r="RSP113" s="17"/>
      <c r="RSQ113" s="17"/>
      <c r="RSR113" s="17"/>
      <c r="RSS113" s="17"/>
      <c r="RST113" s="17"/>
      <c r="RSU113" s="17"/>
      <c r="RSV113" s="17"/>
      <c r="RSW113" s="17"/>
      <c r="RSX113" s="17"/>
      <c r="RSY113" s="17"/>
      <c r="RSZ113" s="17"/>
      <c r="RTA113" s="17"/>
      <c r="RTB113" s="17"/>
      <c r="RTC113" s="17"/>
      <c r="RTD113" s="17"/>
      <c r="RTE113" s="17"/>
      <c r="RTF113" s="17"/>
      <c r="RTG113" s="17"/>
      <c r="RTH113" s="17"/>
      <c r="RTI113" s="17"/>
      <c r="RTJ113" s="17"/>
      <c r="RTK113" s="17"/>
      <c r="RTL113" s="17"/>
      <c r="RTM113" s="17"/>
      <c r="RTN113" s="17"/>
      <c r="RTO113" s="17"/>
      <c r="RTP113" s="17"/>
      <c r="RTQ113" s="17"/>
      <c r="RTR113" s="17"/>
      <c r="RTS113" s="17"/>
      <c r="RTT113" s="17"/>
      <c r="RTU113" s="17"/>
      <c r="RTV113" s="17"/>
      <c r="RTW113" s="17"/>
      <c r="RTX113" s="17"/>
      <c r="RTY113" s="17"/>
      <c r="RTZ113" s="17"/>
      <c r="RUA113" s="17"/>
      <c r="RUB113" s="17"/>
      <c r="RUC113" s="17"/>
      <c r="RUD113" s="17"/>
      <c r="RUE113" s="17"/>
      <c r="RUF113" s="17"/>
      <c r="RUG113" s="17"/>
      <c r="RUH113" s="17"/>
      <c r="RUI113" s="17"/>
      <c r="RUJ113" s="17"/>
      <c r="RUK113" s="17"/>
      <c r="RUL113" s="17"/>
      <c r="RUM113" s="17"/>
      <c r="RUN113" s="17"/>
      <c r="RUO113" s="17"/>
      <c r="RUP113" s="17"/>
      <c r="RUQ113" s="17"/>
      <c r="RUR113" s="17"/>
      <c r="RUS113" s="17"/>
      <c r="RUT113" s="17"/>
      <c r="RUU113" s="17"/>
      <c r="RUV113" s="17"/>
      <c r="RUW113" s="17"/>
      <c r="RUX113" s="17"/>
      <c r="RUY113" s="17"/>
      <c r="RUZ113" s="17"/>
      <c r="RVA113" s="17"/>
      <c r="RVB113" s="17"/>
      <c r="RVC113" s="17"/>
      <c r="RVD113" s="17"/>
      <c r="RVE113" s="17"/>
      <c r="RVF113" s="17"/>
      <c r="RVG113" s="17"/>
      <c r="RVH113" s="17"/>
      <c r="RVI113" s="17"/>
      <c r="RVJ113" s="17"/>
      <c r="RVK113" s="17"/>
      <c r="RVL113" s="17"/>
      <c r="RVM113" s="17"/>
      <c r="RVN113" s="17"/>
      <c r="RVO113" s="17"/>
      <c r="RVP113" s="17"/>
      <c r="RVQ113" s="17"/>
      <c r="RVR113" s="17"/>
      <c r="RVS113" s="17"/>
      <c r="RVT113" s="17"/>
      <c r="RVU113" s="17"/>
      <c r="RVV113" s="17"/>
      <c r="RVW113" s="17"/>
      <c r="RVX113" s="17"/>
      <c r="RVY113" s="17"/>
      <c r="RVZ113" s="17"/>
      <c r="RWA113" s="17"/>
      <c r="RWB113" s="17"/>
      <c r="RWC113" s="17"/>
      <c r="RWD113" s="17"/>
      <c r="RWE113" s="17"/>
      <c r="RWF113" s="17"/>
      <c r="RWG113" s="17"/>
      <c r="RWH113" s="17"/>
      <c r="RWI113" s="17"/>
      <c r="RWJ113" s="17"/>
      <c r="RWK113" s="17"/>
      <c r="RWL113" s="17"/>
      <c r="RWM113" s="17"/>
      <c r="RWN113" s="17"/>
      <c r="RWO113" s="17"/>
      <c r="RWP113" s="17"/>
      <c r="RWQ113" s="17"/>
      <c r="RWR113" s="17"/>
      <c r="RWS113" s="17"/>
      <c r="RWT113" s="17"/>
      <c r="RWU113" s="17"/>
      <c r="RWV113" s="17"/>
      <c r="RWW113" s="17"/>
      <c r="RWX113" s="17"/>
      <c r="RWY113" s="17"/>
      <c r="RWZ113" s="17"/>
      <c r="RXA113" s="17"/>
      <c r="RXB113" s="17"/>
      <c r="RXC113" s="17"/>
      <c r="RXD113" s="17"/>
      <c r="RXE113" s="17"/>
      <c r="RXF113" s="17"/>
      <c r="RXG113" s="17"/>
      <c r="RXH113" s="17"/>
      <c r="RXI113" s="17"/>
      <c r="RXJ113" s="17"/>
      <c r="RXK113" s="17"/>
      <c r="RXL113" s="17"/>
      <c r="RXM113" s="17"/>
      <c r="RXN113" s="17"/>
      <c r="RXO113" s="17"/>
      <c r="RXP113" s="17"/>
      <c r="RXQ113" s="17"/>
      <c r="RXR113" s="17"/>
      <c r="RXS113" s="17"/>
      <c r="RXT113" s="17"/>
      <c r="RXU113" s="17"/>
      <c r="RXV113" s="17"/>
      <c r="RXW113" s="17"/>
      <c r="RXX113" s="17"/>
      <c r="RXY113" s="17"/>
      <c r="RXZ113" s="17"/>
      <c r="RYA113" s="17"/>
      <c r="RYB113" s="17"/>
      <c r="RYC113" s="17"/>
      <c r="RYD113" s="17"/>
      <c r="RYE113" s="17"/>
      <c r="RYF113" s="17"/>
      <c r="RYG113" s="17"/>
      <c r="RYH113" s="17"/>
      <c r="RYI113" s="17"/>
      <c r="RYJ113" s="17"/>
      <c r="RYK113" s="17"/>
      <c r="RYL113" s="17"/>
      <c r="RYM113" s="17"/>
      <c r="RYN113" s="17"/>
      <c r="RYO113" s="17"/>
      <c r="RYP113" s="17"/>
      <c r="RYQ113" s="17"/>
      <c r="RYR113" s="17"/>
      <c r="RYS113" s="17"/>
      <c r="RYT113" s="17"/>
      <c r="RYU113" s="17"/>
      <c r="RYV113" s="17"/>
      <c r="RYW113" s="17"/>
      <c r="RYX113" s="17"/>
      <c r="RYY113" s="17"/>
      <c r="RYZ113" s="17"/>
      <c r="RZA113" s="17"/>
      <c r="RZB113" s="17"/>
      <c r="RZC113" s="17"/>
      <c r="RZD113" s="17"/>
      <c r="RZE113" s="17"/>
      <c r="RZF113" s="17"/>
      <c r="RZG113" s="17"/>
      <c r="RZH113" s="17"/>
      <c r="RZI113" s="17"/>
      <c r="RZJ113" s="17"/>
      <c r="RZK113" s="17"/>
      <c r="RZL113" s="17"/>
      <c r="RZM113" s="17"/>
      <c r="RZN113" s="17"/>
      <c r="RZO113" s="17"/>
      <c r="RZP113" s="17"/>
      <c r="RZQ113" s="17"/>
      <c r="RZR113" s="17"/>
      <c r="RZS113" s="17"/>
      <c r="RZT113" s="17"/>
      <c r="RZU113" s="17"/>
      <c r="RZV113" s="17"/>
      <c r="RZW113" s="17"/>
      <c r="RZX113" s="17"/>
      <c r="RZY113" s="17"/>
      <c r="RZZ113" s="17"/>
      <c r="SAA113" s="17"/>
      <c r="SAB113" s="17"/>
      <c r="SAC113" s="17"/>
      <c r="SAD113" s="17"/>
      <c r="SAE113" s="17"/>
      <c r="SAF113" s="17"/>
      <c r="SAG113" s="17"/>
      <c r="SAH113" s="17"/>
      <c r="SAI113" s="17"/>
      <c r="SAJ113" s="17"/>
      <c r="SAK113" s="17"/>
      <c r="SAL113" s="17"/>
      <c r="SAM113" s="17"/>
      <c r="SAN113" s="17"/>
      <c r="SAO113" s="17"/>
      <c r="SAP113" s="17"/>
      <c r="SAQ113" s="17"/>
      <c r="SAR113" s="17"/>
      <c r="SAS113" s="17"/>
      <c r="SAT113" s="17"/>
      <c r="SAU113" s="17"/>
      <c r="SAV113" s="17"/>
      <c r="SAW113" s="17"/>
      <c r="SAX113" s="17"/>
      <c r="SAY113" s="17"/>
      <c r="SAZ113" s="17"/>
      <c r="SBA113" s="17"/>
      <c r="SBB113" s="17"/>
      <c r="SBC113" s="17"/>
      <c r="SBD113" s="17"/>
      <c r="SBE113" s="17"/>
      <c r="SBF113" s="17"/>
      <c r="SBG113" s="17"/>
      <c r="SBH113" s="17"/>
      <c r="SBI113" s="17"/>
      <c r="SBJ113" s="17"/>
      <c r="SBK113" s="17"/>
      <c r="SBL113" s="17"/>
      <c r="SBM113" s="17"/>
      <c r="SBN113" s="17"/>
      <c r="SBO113" s="17"/>
      <c r="SBP113" s="17"/>
      <c r="SBQ113" s="17"/>
      <c r="SBR113" s="17"/>
      <c r="SBS113" s="17"/>
      <c r="SBT113" s="17"/>
      <c r="SBU113" s="17"/>
      <c r="SBV113" s="17"/>
      <c r="SBW113" s="17"/>
      <c r="SBX113" s="17"/>
      <c r="SBY113" s="17"/>
      <c r="SBZ113" s="17"/>
      <c r="SCA113" s="17"/>
      <c r="SCB113" s="17"/>
      <c r="SCC113" s="17"/>
      <c r="SCD113" s="17"/>
      <c r="SCE113" s="17"/>
      <c r="SCF113" s="17"/>
      <c r="SCG113" s="17"/>
      <c r="SCH113" s="17"/>
      <c r="SCI113" s="17"/>
      <c r="SCJ113" s="17"/>
      <c r="SCK113" s="17"/>
      <c r="SCL113" s="17"/>
      <c r="SCM113" s="17"/>
      <c r="SCN113" s="17"/>
      <c r="SCO113" s="17"/>
      <c r="SCP113" s="17"/>
      <c r="SCQ113" s="17"/>
      <c r="SCR113" s="17"/>
      <c r="SCS113" s="17"/>
      <c r="SCT113" s="17"/>
      <c r="SCU113" s="17"/>
      <c r="SCV113" s="17"/>
      <c r="SCW113" s="17"/>
      <c r="SCX113" s="17"/>
      <c r="SCY113" s="17"/>
      <c r="SCZ113" s="17"/>
      <c r="SDA113" s="17"/>
      <c r="SDB113" s="17"/>
      <c r="SDC113" s="17"/>
      <c r="SDD113" s="17"/>
      <c r="SDE113" s="17"/>
      <c r="SDF113" s="17"/>
      <c r="SDG113" s="17"/>
      <c r="SDH113" s="17"/>
      <c r="SDI113" s="17"/>
      <c r="SDJ113" s="17"/>
      <c r="SDK113" s="17"/>
      <c r="SDL113" s="17"/>
      <c r="SDM113" s="17"/>
      <c r="SDN113" s="17"/>
      <c r="SDO113" s="17"/>
      <c r="SDP113" s="17"/>
      <c r="SDQ113" s="17"/>
      <c r="SDR113" s="17"/>
      <c r="SDS113" s="17"/>
      <c r="SDT113" s="17"/>
      <c r="SDU113" s="17"/>
      <c r="SDV113" s="17"/>
      <c r="SDW113" s="17"/>
      <c r="SDX113" s="17"/>
      <c r="SDY113" s="17"/>
      <c r="SDZ113" s="17"/>
      <c r="SEA113" s="17"/>
      <c r="SEB113" s="17"/>
      <c r="SEC113" s="17"/>
      <c r="SED113" s="17"/>
      <c r="SEE113" s="17"/>
      <c r="SEF113" s="17"/>
      <c r="SEG113" s="17"/>
      <c r="SEH113" s="17"/>
      <c r="SEI113" s="17"/>
      <c r="SEJ113" s="17"/>
      <c r="SEK113" s="17"/>
      <c r="SEL113" s="17"/>
      <c r="SEM113" s="17"/>
      <c r="SEN113" s="17"/>
      <c r="SEO113" s="17"/>
      <c r="SEP113" s="17"/>
      <c r="SEQ113" s="17"/>
      <c r="SER113" s="17"/>
      <c r="SES113" s="17"/>
      <c r="SET113" s="17"/>
      <c r="SEU113" s="17"/>
      <c r="SEV113" s="17"/>
      <c r="SEW113" s="17"/>
      <c r="SEX113" s="17"/>
      <c r="SEY113" s="17"/>
      <c r="SEZ113" s="17"/>
      <c r="SFA113" s="17"/>
      <c r="SFB113" s="17"/>
      <c r="SFC113" s="17"/>
      <c r="SFD113" s="17"/>
      <c r="SFE113" s="17"/>
      <c r="SFF113" s="17"/>
      <c r="SFG113" s="17"/>
      <c r="SFH113" s="17"/>
      <c r="SFI113" s="17"/>
      <c r="SFJ113" s="17"/>
      <c r="SFK113" s="17"/>
      <c r="SFL113" s="17"/>
      <c r="SFM113" s="17"/>
      <c r="SFN113" s="17"/>
      <c r="SFO113" s="17"/>
      <c r="SFP113" s="17"/>
      <c r="SFQ113" s="17"/>
      <c r="SFR113" s="17"/>
      <c r="SFS113" s="17"/>
      <c r="SFT113" s="17"/>
      <c r="SFU113" s="17"/>
      <c r="SFV113" s="17"/>
      <c r="SFW113" s="17"/>
      <c r="SFX113" s="17"/>
      <c r="SFY113" s="17"/>
      <c r="SFZ113" s="17"/>
      <c r="SGA113" s="17"/>
      <c r="SGB113" s="17"/>
      <c r="SGC113" s="17"/>
      <c r="SGD113" s="17"/>
      <c r="SGE113" s="17"/>
      <c r="SGF113" s="17"/>
      <c r="SGG113" s="17"/>
      <c r="SGH113" s="17"/>
      <c r="SGI113" s="17"/>
      <c r="SGJ113" s="17"/>
      <c r="SGK113" s="17"/>
      <c r="SGL113" s="17"/>
      <c r="SGM113" s="17"/>
      <c r="SGN113" s="17"/>
      <c r="SGO113" s="17"/>
      <c r="SGP113" s="17"/>
      <c r="SGQ113" s="17"/>
      <c r="SGR113" s="17"/>
      <c r="SGS113" s="17"/>
      <c r="SGT113" s="17"/>
      <c r="SGU113" s="17"/>
      <c r="SGV113" s="17"/>
      <c r="SGW113" s="17"/>
      <c r="SGX113" s="17"/>
      <c r="SGY113" s="17"/>
      <c r="SGZ113" s="17"/>
      <c r="SHA113" s="17"/>
      <c r="SHB113" s="17"/>
      <c r="SHC113" s="17"/>
      <c r="SHD113" s="17"/>
      <c r="SHE113" s="17"/>
      <c r="SHF113" s="17"/>
      <c r="SHG113" s="17"/>
      <c r="SHH113" s="17"/>
      <c r="SHI113" s="17"/>
      <c r="SHJ113" s="17"/>
      <c r="SHK113" s="17"/>
      <c r="SHL113" s="17"/>
      <c r="SHM113" s="17"/>
      <c r="SHN113" s="17"/>
      <c r="SHO113" s="17"/>
      <c r="SHP113" s="17"/>
      <c r="SHQ113" s="17"/>
      <c r="SHR113" s="17"/>
      <c r="SHS113" s="17"/>
      <c r="SHT113" s="17"/>
      <c r="SHU113" s="17"/>
      <c r="SHV113" s="17"/>
      <c r="SHW113" s="17"/>
      <c r="SHX113" s="17"/>
      <c r="SHY113" s="17"/>
      <c r="SHZ113" s="17"/>
      <c r="SIA113" s="17"/>
      <c r="SIB113" s="17"/>
      <c r="SIC113" s="17"/>
      <c r="SID113" s="17"/>
      <c r="SIE113" s="17"/>
      <c r="SIF113" s="17"/>
      <c r="SIG113" s="17"/>
      <c r="SIH113" s="17"/>
      <c r="SII113" s="17"/>
      <c r="SIJ113" s="17"/>
      <c r="SIK113" s="17"/>
      <c r="SIL113" s="17"/>
      <c r="SIM113" s="17"/>
      <c r="SIN113" s="17"/>
      <c r="SIO113" s="17"/>
      <c r="SIP113" s="17"/>
      <c r="SIQ113" s="17"/>
      <c r="SIR113" s="17"/>
      <c r="SIS113" s="17"/>
      <c r="SIT113" s="17"/>
      <c r="SIU113" s="17"/>
      <c r="SIV113" s="17"/>
      <c r="SIW113" s="17"/>
      <c r="SIX113" s="17"/>
      <c r="SIY113" s="17"/>
      <c r="SIZ113" s="17"/>
      <c r="SJA113" s="17"/>
      <c r="SJB113" s="17"/>
      <c r="SJC113" s="17"/>
      <c r="SJD113" s="17"/>
      <c r="SJE113" s="17"/>
      <c r="SJF113" s="17"/>
      <c r="SJG113" s="17"/>
      <c r="SJH113" s="17"/>
      <c r="SJI113" s="17"/>
      <c r="SJJ113" s="17"/>
      <c r="SJK113" s="17"/>
      <c r="SJL113" s="17"/>
      <c r="SJM113" s="17"/>
      <c r="SJN113" s="17"/>
      <c r="SJO113" s="17"/>
      <c r="SJP113" s="17"/>
      <c r="SJQ113" s="17"/>
      <c r="SJR113" s="17"/>
      <c r="SJS113" s="17"/>
      <c r="SJT113" s="17"/>
      <c r="SJU113" s="17"/>
      <c r="SJV113" s="17"/>
      <c r="SJW113" s="17"/>
      <c r="SJX113" s="17"/>
      <c r="SJY113" s="17"/>
      <c r="SJZ113" s="17"/>
      <c r="SKA113" s="17"/>
      <c r="SKB113" s="17"/>
      <c r="SKC113" s="17"/>
      <c r="SKD113" s="17"/>
      <c r="SKE113" s="17"/>
      <c r="SKF113" s="17"/>
      <c r="SKG113" s="17"/>
      <c r="SKH113" s="17"/>
      <c r="SKI113" s="17"/>
      <c r="SKJ113" s="17"/>
      <c r="SKK113" s="17"/>
      <c r="SKL113" s="17"/>
      <c r="SKM113" s="17"/>
      <c r="SKN113" s="17"/>
      <c r="SKO113" s="17"/>
      <c r="SKP113" s="17"/>
      <c r="SKQ113" s="17"/>
      <c r="SKR113" s="17"/>
      <c r="SKS113" s="17"/>
      <c r="SKT113" s="17"/>
      <c r="SKU113" s="17"/>
      <c r="SKV113" s="17"/>
      <c r="SKW113" s="17"/>
      <c r="SKX113" s="17"/>
      <c r="SKY113" s="17"/>
      <c r="SKZ113" s="17"/>
      <c r="SLA113" s="17"/>
      <c r="SLB113" s="17"/>
      <c r="SLC113" s="17"/>
      <c r="SLD113" s="17"/>
      <c r="SLE113" s="17"/>
      <c r="SLF113" s="17"/>
      <c r="SLG113" s="17"/>
      <c r="SLH113" s="17"/>
      <c r="SLI113" s="17"/>
      <c r="SLJ113" s="17"/>
      <c r="SLK113" s="17"/>
      <c r="SLL113" s="17"/>
      <c r="SLM113" s="17"/>
      <c r="SLN113" s="17"/>
      <c r="SLO113" s="17"/>
      <c r="SLP113" s="17"/>
      <c r="SLQ113" s="17"/>
      <c r="SLR113" s="17"/>
      <c r="SLS113" s="17"/>
      <c r="SLT113" s="17"/>
      <c r="SLU113" s="17"/>
      <c r="SLV113" s="17"/>
      <c r="SLW113" s="17"/>
      <c r="SLX113" s="17"/>
      <c r="SLY113" s="17"/>
      <c r="SLZ113" s="17"/>
      <c r="SMA113" s="17"/>
      <c r="SMB113" s="17"/>
      <c r="SMC113" s="17"/>
      <c r="SMD113" s="17"/>
      <c r="SME113" s="17"/>
      <c r="SMF113" s="17"/>
      <c r="SMG113" s="17"/>
      <c r="SMH113" s="17"/>
      <c r="SMI113" s="17"/>
      <c r="SMJ113" s="17"/>
      <c r="SMK113" s="17"/>
      <c r="SML113" s="17"/>
      <c r="SMM113" s="17"/>
      <c r="SMN113" s="17"/>
      <c r="SMO113" s="17"/>
      <c r="SMP113" s="17"/>
      <c r="SMQ113" s="17"/>
      <c r="SMR113" s="17"/>
      <c r="SMS113" s="17"/>
      <c r="SMT113" s="17"/>
      <c r="SMU113" s="17"/>
      <c r="SMV113" s="17"/>
      <c r="SMW113" s="17"/>
      <c r="SMX113" s="17"/>
      <c r="SMY113" s="17"/>
      <c r="SMZ113" s="17"/>
      <c r="SNA113" s="17"/>
      <c r="SNB113" s="17"/>
      <c r="SNC113" s="17"/>
      <c r="SND113" s="17"/>
      <c r="SNE113" s="17"/>
      <c r="SNF113" s="17"/>
      <c r="SNG113" s="17"/>
      <c r="SNH113" s="17"/>
      <c r="SNI113" s="17"/>
      <c r="SNJ113" s="17"/>
      <c r="SNK113" s="17"/>
      <c r="SNL113" s="17"/>
      <c r="SNM113" s="17"/>
      <c r="SNN113" s="17"/>
      <c r="SNO113" s="17"/>
      <c r="SNP113" s="17"/>
      <c r="SNQ113" s="17"/>
      <c r="SNR113" s="17"/>
      <c r="SNS113" s="17"/>
      <c r="SNT113" s="17"/>
      <c r="SNU113" s="17"/>
      <c r="SNV113" s="17"/>
      <c r="SNW113" s="17"/>
      <c r="SNX113" s="17"/>
      <c r="SNY113" s="17"/>
      <c r="SNZ113" s="17"/>
      <c r="SOA113" s="17"/>
      <c r="SOB113" s="17"/>
      <c r="SOC113" s="17"/>
      <c r="SOD113" s="17"/>
      <c r="SOE113" s="17"/>
      <c r="SOF113" s="17"/>
      <c r="SOG113" s="17"/>
      <c r="SOH113" s="17"/>
      <c r="SOI113" s="17"/>
      <c r="SOJ113" s="17"/>
      <c r="SOK113" s="17"/>
      <c r="SOL113" s="17"/>
      <c r="SOM113" s="17"/>
      <c r="SON113" s="17"/>
      <c r="SOO113" s="17"/>
      <c r="SOP113" s="17"/>
      <c r="SOQ113" s="17"/>
      <c r="SOR113" s="17"/>
      <c r="SOS113" s="17"/>
      <c r="SOT113" s="17"/>
      <c r="SOU113" s="17"/>
      <c r="SOV113" s="17"/>
      <c r="SOW113" s="17"/>
      <c r="SOX113" s="17"/>
      <c r="SOY113" s="17"/>
      <c r="SOZ113" s="17"/>
      <c r="SPA113" s="17"/>
      <c r="SPB113" s="17"/>
      <c r="SPC113" s="17"/>
      <c r="SPD113" s="17"/>
      <c r="SPE113" s="17"/>
      <c r="SPF113" s="17"/>
      <c r="SPG113" s="17"/>
      <c r="SPH113" s="17"/>
      <c r="SPI113" s="17"/>
      <c r="SPJ113" s="17"/>
      <c r="SPK113" s="17"/>
      <c r="SPL113" s="17"/>
      <c r="SPM113" s="17"/>
      <c r="SPN113" s="17"/>
      <c r="SPO113" s="17"/>
      <c r="SPP113" s="17"/>
      <c r="SPQ113" s="17"/>
      <c r="SPR113" s="17"/>
      <c r="SPS113" s="17"/>
      <c r="SPT113" s="17"/>
      <c r="SPU113" s="17"/>
      <c r="SPV113" s="17"/>
      <c r="SPW113" s="17"/>
      <c r="SPX113" s="17"/>
      <c r="SPY113" s="17"/>
      <c r="SPZ113" s="17"/>
      <c r="SQA113" s="17"/>
      <c r="SQB113" s="17"/>
      <c r="SQC113" s="17"/>
      <c r="SQD113" s="17"/>
      <c r="SQE113" s="17"/>
      <c r="SQF113" s="17"/>
      <c r="SQG113" s="17"/>
      <c r="SQH113" s="17"/>
      <c r="SQI113" s="17"/>
      <c r="SQJ113" s="17"/>
      <c r="SQK113" s="17"/>
      <c r="SQL113" s="17"/>
      <c r="SQM113" s="17"/>
      <c r="SQN113" s="17"/>
      <c r="SQO113" s="17"/>
      <c r="SQP113" s="17"/>
      <c r="SQQ113" s="17"/>
      <c r="SQR113" s="17"/>
      <c r="SQS113" s="17"/>
      <c r="SQT113" s="17"/>
      <c r="SQU113" s="17"/>
      <c r="SQV113" s="17"/>
      <c r="SQW113" s="17"/>
      <c r="SQX113" s="17"/>
      <c r="SQY113" s="17"/>
      <c r="SQZ113" s="17"/>
      <c r="SRA113" s="17"/>
      <c r="SRB113" s="17"/>
      <c r="SRC113" s="17"/>
      <c r="SRD113" s="17"/>
      <c r="SRE113" s="17"/>
      <c r="SRF113" s="17"/>
      <c r="SRG113" s="17"/>
      <c r="SRH113" s="17"/>
      <c r="SRI113" s="17"/>
      <c r="SRJ113" s="17"/>
      <c r="SRK113" s="17"/>
      <c r="SRL113" s="17"/>
      <c r="SRM113" s="17"/>
      <c r="SRN113" s="17"/>
      <c r="SRO113" s="17"/>
      <c r="SRP113" s="17"/>
      <c r="SRQ113" s="17"/>
      <c r="SRR113" s="17"/>
      <c r="SRS113" s="17"/>
      <c r="SRT113" s="17"/>
      <c r="SRU113" s="17"/>
      <c r="SRV113" s="17"/>
      <c r="SRW113" s="17"/>
      <c r="SRX113" s="17"/>
      <c r="SRY113" s="17"/>
      <c r="SRZ113" s="17"/>
      <c r="SSA113" s="17"/>
      <c r="SSB113" s="17"/>
      <c r="SSC113" s="17"/>
      <c r="SSD113" s="17"/>
      <c r="SSE113" s="17"/>
      <c r="SSF113" s="17"/>
      <c r="SSG113" s="17"/>
      <c r="SSH113" s="17"/>
      <c r="SSI113" s="17"/>
      <c r="SSJ113" s="17"/>
      <c r="SSK113" s="17"/>
      <c r="SSL113" s="17"/>
      <c r="SSM113" s="17"/>
      <c r="SSN113" s="17"/>
      <c r="SSO113" s="17"/>
      <c r="SSP113" s="17"/>
      <c r="SSQ113" s="17"/>
      <c r="SSR113" s="17"/>
      <c r="SSS113" s="17"/>
      <c r="SST113" s="17"/>
      <c r="SSU113" s="17"/>
      <c r="SSV113" s="17"/>
      <c r="SSW113" s="17"/>
      <c r="SSX113" s="17"/>
      <c r="SSY113" s="17"/>
      <c r="SSZ113" s="17"/>
      <c r="STA113" s="17"/>
      <c r="STB113" s="17"/>
      <c r="STC113" s="17"/>
      <c r="STD113" s="17"/>
      <c r="STE113" s="17"/>
      <c r="STF113" s="17"/>
      <c r="STG113" s="17"/>
      <c r="STH113" s="17"/>
      <c r="STI113" s="17"/>
      <c r="STJ113" s="17"/>
      <c r="STK113" s="17"/>
      <c r="STL113" s="17"/>
      <c r="STM113" s="17"/>
      <c r="STN113" s="17"/>
      <c r="STO113" s="17"/>
      <c r="STP113" s="17"/>
      <c r="STQ113" s="17"/>
      <c r="STR113" s="17"/>
      <c r="STS113" s="17"/>
      <c r="STT113" s="17"/>
      <c r="STU113" s="17"/>
      <c r="STV113" s="17"/>
      <c r="STW113" s="17"/>
      <c r="STX113" s="17"/>
      <c r="STY113" s="17"/>
      <c r="STZ113" s="17"/>
      <c r="SUA113" s="17"/>
      <c r="SUB113" s="17"/>
      <c r="SUC113" s="17"/>
      <c r="SUD113" s="17"/>
      <c r="SUE113" s="17"/>
      <c r="SUF113" s="17"/>
      <c r="SUG113" s="17"/>
      <c r="SUH113" s="17"/>
      <c r="SUI113" s="17"/>
      <c r="SUJ113" s="17"/>
      <c r="SUK113" s="17"/>
      <c r="SUL113" s="17"/>
      <c r="SUM113" s="17"/>
      <c r="SUN113" s="17"/>
      <c r="SUO113" s="17"/>
      <c r="SUP113" s="17"/>
      <c r="SUQ113" s="17"/>
      <c r="SUR113" s="17"/>
      <c r="SUS113" s="17"/>
      <c r="SUT113" s="17"/>
      <c r="SUU113" s="17"/>
      <c r="SUV113" s="17"/>
      <c r="SUW113" s="17"/>
      <c r="SUX113" s="17"/>
      <c r="SUY113" s="17"/>
      <c r="SUZ113" s="17"/>
      <c r="SVA113" s="17"/>
      <c r="SVB113" s="17"/>
      <c r="SVC113" s="17"/>
      <c r="SVD113" s="17"/>
      <c r="SVE113" s="17"/>
      <c r="SVF113" s="17"/>
      <c r="SVG113" s="17"/>
      <c r="SVH113" s="17"/>
      <c r="SVI113" s="17"/>
      <c r="SVJ113" s="17"/>
      <c r="SVK113" s="17"/>
      <c r="SVL113" s="17"/>
      <c r="SVM113" s="17"/>
      <c r="SVN113" s="17"/>
      <c r="SVO113" s="17"/>
      <c r="SVP113" s="17"/>
      <c r="SVQ113" s="17"/>
      <c r="SVR113" s="17"/>
      <c r="SVS113" s="17"/>
      <c r="SVT113" s="17"/>
      <c r="SVU113" s="17"/>
      <c r="SVV113" s="17"/>
      <c r="SVW113" s="17"/>
      <c r="SVX113" s="17"/>
      <c r="SVY113" s="17"/>
      <c r="SVZ113" s="17"/>
      <c r="SWA113" s="17"/>
      <c r="SWB113" s="17"/>
      <c r="SWC113" s="17"/>
      <c r="SWD113" s="17"/>
      <c r="SWE113" s="17"/>
      <c r="SWF113" s="17"/>
      <c r="SWG113" s="17"/>
      <c r="SWH113" s="17"/>
      <c r="SWI113" s="17"/>
      <c r="SWJ113" s="17"/>
      <c r="SWK113" s="17"/>
      <c r="SWL113" s="17"/>
      <c r="SWM113" s="17"/>
      <c r="SWN113" s="17"/>
      <c r="SWO113" s="17"/>
      <c r="SWP113" s="17"/>
      <c r="SWQ113" s="17"/>
      <c r="SWR113" s="17"/>
      <c r="SWS113" s="17"/>
      <c r="SWT113" s="17"/>
      <c r="SWU113" s="17"/>
      <c r="SWV113" s="17"/>
      <c r="SWW113" s="17"/>
      <c r="SWX113" s="17"/>
      <c r="SWY113" s="17"/>
      <c r="SWZ113" s="17"/>
      <c r="SXA113" s="17"/>
      <c r="SXB113" s="17"/>
      <c r="SXC113" s="17"/>
      <c r="SXD113" s="17"/>
      <c r="SXE113" s="17"/>
      <c r="SXF113" s="17"/>
      <c r="SXG113" s="17"/>
      <c r="SXH113" s="17"/>
      <c r="SXI113" s="17"/>
      <c r="SXJ113" s="17"/>
      <c r="SXK113" s="17"/>
      <c r="SXL113" s="17"/>
      <c r="SXM113" s="17"/>
      <c r="SXN113" s="17"/>
      <c r="SXO113" s="17"/>
      <c r="SXP113" s="17"/>
      <c r="SXQ113" s="17"/>
      <c r="SXR113" s="17"/>
      <c r="SXS113" s="17"/>
      <c r="SXT113" s="17"/>
      <c r="SXU113" s="17"/>
      <c r="SXV113" s="17"/>
      <c r="SXW113" s="17"/>
      <c r="SXX113" s="17"/>
      <c r="SXY113" s="17"/>
      <c r="SXZ113" s="17"/>
      <c r="SYA113" s="17"/>
      <c r="SYB113" s="17"/>
      <c r="SYC113" s="17"/>
      <c r="SYD113" s="17"/>
      <c r="SYE113" s="17"/>
      <c r="SYF113" s="17"/>
      <c r="SYG113" s="17"/>
      <c r="SYH113" s="17"/>
      <c r="SYI113" s="17"/>
      <c r="SYJ113" s="17"/>
      <c r="SYK113" s="17"/>
      <c r="SYL113" s="17"/>
      <c r="SYM113" s="17"/>
      <c r="SYN113" s="17"/>
      <c r="SYO113" s="17"/>
      <c r="SYP113" s="17"/>
      <c r="SYQ113" s="17"/>
      <c r="SYR113" s="17"/>
      <c r="SYS113" s="17"/>
      <c r="SYT113" s="17"/>
      <c r="SYU113" s="17"/>
      <c r="SYV113" s="17"/>
      <c r="SYW113" s="17"/>
      <c r="SYX113" s="17"/>
      <c r="SYY113" s="17"/>
      <c r="SYZ113" s="17"/>
      <c r="SZA113" s="17"/>
      <c r="SZB113" s="17"/>
      <c r="SZC113" s="17"/>
      <c r="SZD113" s="17"/>
      <c r="SZE113" s="17"/>
      <c r="SZF113" s="17"/>
      <c r="SZG113" s="17"/>
      <c r="SZH113" s="17"/>
      <c r="SZI113" s="17"/>
      <c r="SZJ113" s="17"/>
      <c r="SZK113" s="17"/>
      <c r="SZL113" s="17"/>
      <c r="SZM113" s="17"/>
      <c r="SZN113" s="17"/>
      <c r="SZO113" s="17"/>
      <c r="SZP113" s="17"/>
      <c r="SZQ113" s="17"/>
      <c r="SZR113" s="17"/>
      <c r="SZS113" s="17"/>
      <c r="SZT113" s="17"/>
      <c r="SZU113" s="17"/>
      <c r="SZV113" s="17"/>
      <c r="SZW113" s="17"/>
      <c r="SZX113" s="17"/>
      <c r="SZY113" s="17"/>
      <c r="SZZ113" s="17"/>
      <c r="TAA113" s="17"/>
      <c r="TAB113" s="17"/>
      <c r="TAC113" s="17"/>
      <c r="TAD113" s="17"/>
      <c r="TAE113" s="17"/>
      <c r="TAF113" s="17"/>
      <c r="TAG113" s="17"/>
      <c r="TAH113" s="17"/>
      <c r="TAI113" s="17"/>
      <c r="TAJ113" s="17"/>
      <c r="TAK113" s="17"/>
      <c r="TAL113" s="17"/>
      <c r="TAM113" s="17"/>
      <c r="TAN113" s="17"/>
      <c r="TAO113" s="17"/>
      <c r="TAP113" s="17"/>
      <c r="TAQ113" s="17"/>
      <c r="TAR113" s="17"/>
      <c r="TAS113" s="17"/>
      <c r="TAT113" s="17"/>
      <c r="TAU113" s="17"/>
      <c r="TAV113" s="17"/>
      <c r="TAW113" s="17"/>
      <c r="TAX113" s="17"/>
      <c r="TAY113" s="17"/>
      <c r="TAZ113" s="17"/>
      <c r="TBA113" s="17"/>
      <c r="TBB113" s="17"/>
      <c r="TBC113" s="17"/>
      <c r="TBD113" s="17"/>
      <c r="TBE113" s="17"/>
      <c r="TBF113" s="17"/>
      <c r="TBG113" s="17"/>
      <c r="TBH113" s="17"/>
      <c r="TBI113" s="17"/>
      <c r="TBJ113" s="17"/>
      <c r="TBK113" s="17"/>
      <c r="TBL113" s="17"/>
      <c r="TBM113" s="17"/>
      <c r="TBN113" s="17"/>
      <c r="TBO113" s="17"/>
      <c r="TBP113" s="17"/>
      <c r="TBQ113" s="17"/>
      <c r="TBR113" s="17"/>
      <c r="TBS113" s="17"/>
      <c r="TBT113" s="17"/>
      <c r="TBU113" s="17"/>
      <c r="TBV113" s="17"/>
      <c r="TBW113" s="17"/>
      <c r="TBX113" s="17"/>
      <c r="TBY113" s="17"/>
      <c r="TBZ113" s="17"/>
      <c r="TCA113" s="17"/>
      <c r="TCB113" s="17"/>
      <c r="TCC113" s="17"/>
      <c r="TCD113" s="17"/>
      <c r="TCE113" s="17"/>
      <c r="TCF113" s="17"/>
      <c r="TCG113" s="17"/>
      <c r="TCH113" s="17"/>
      <c r="TCI113" s="17"/>
      <c r="TCJ113" s="17"/>
      <c r="TCK113" s="17"/>
      <c r="TCL113" s="17"/>
      <c r="TCM113" s="17"/>
      <c r="TCN113" s="17"/>
      <c r="TCO113" s="17"/>
      <c r="TCP113" s="17"/>
      <c r="TCQ113" s="17"/>
      <c r="TCR113" s="17"/>
      <c r="TCS113" s="17"/>
      <c r="TCT113" s="17"/>
      <c r="TCU113" s="17"/>
      <c r="TCV113" s="17"/>
      <c r="TCW113" s="17"/>
      <c r="TCX113" s="17"/>
      <c r="TCY113" s="17"/>
      <c r="TCZ113" s="17"/>
      <c r="TDA113" s="17"/>
      <c r="TDB113" s="17"/>
      <c r="TDC113" s="17"/>
      <c r="TDD113" s="17"/>
      <c r="TDE113" s="17"/>
      <c r="TDF113" s="17"/>
      <c r="TDG113" s="17"/>
      <c r="TDH113" s="17"/>
      <c r="TDI113" s="17"/>
      <c r="TDJ113" s="17"/>
      <c r="TDK113" s="17"/>
      <c r="TDL113" s="17"/>
      <c r="TDM113" s="17"/>
      <c r="TDN113" s="17"/>
      <c r="TDO113" s="17"/>
      <c r="TDP113" s="17"/>
      <c r="TDQ113" s="17"/>
      <c r="TDR113" s="17"/>
      <c r="TDS113" s="17"/>
      <c r="TDT113" s="17"/>
      <c r="TDU113" s="17"/>
      <c r="TDV113" s="17"/>
      <c r="TDW113" s="17"/>
      <c r="TDX113" s="17"/>
      <c r="TDY113" s="17"/>
      <c r="TDZ113" s="17"/>
      <c r="TEA113" s="17"/>
      <c r="TEB113" s="17"/>
      <c r="TEC113" s="17"/>
      <c r="TED113" s="17"/>
      <c r="TEE113" s="17"/>
      <c r="TEF113" s="17"/>
      <c r="TEG113" s="17"/>
      <c r="TEH113" s="17"/>
      <c r="TEI113" s="17"/>
      <c r="TEJ113" s="17"/>
      <c r="TEK113" s="17"/>
      <c r="TEL113" s="17"/>
      <c r="TEM113" s="17"/>
      <c r="TEN113" s="17"/>
      <c r="TEO113" s="17"/>
      <c r="TEP113" s="17"/>
      <c r="TEQ113" s="17"/>
      <c r="TER113" s="17"/>
      <c r="TES113" s="17"/>
      <c r="TET113" s="17"/>
      <c r="TEU113" s="17"/>
      <c r="TEV113" s="17"/>
      <c r="TEW113" s="17"/>
      <c r="TEX113" s="17"/>
      <c r="TEY113" s="17"/>
      <c r="TEZ113" s="17"/>
      <c r="TFA113" s="17"/>
      <c r="TFB113" s="17"/>
      <c r="TFC113" s="17"/>
      <c r="TFD113" s="17"/>
      <c r="TFE113" s="17"/>
      <c r="TFF113" s="17"/>
      <c r="TFG113" s="17"/>
      <c r="TFH113" s="17"/>
      <c r="TFI113" s="17"/>
      <c r="TFJ113" s="17"/>
      <c r="TFK113" s="17"/>
      <c r="TFL113" s="17"/>
      <c r="TFM113" s="17"/>
      <c r="TFN113" s="17"/>
      <c r="TFO113" s="17"/>
      <c r="TFP113" s="17"/>
      <c r="TFQ113" s="17"/>
      <c r="TFR113" s="17"/>
      <c r="TFS113" s="17"/>
      <c r="TFT113" s="17"/>
      <c r="TFU113" s="17"/>
      <c r="TFV113" s="17"/>
      <c r="TFW113" s="17"/>
      <c r="TFX113" s="17"/>
      <c r="TFY113" s="17"/>
      <c r="TFZ113" s="17"/>
      <c r="TGA113" s="17"/>
      <c r="TGB113" s="17"/>
      <c r="TGC113" s="17"/>
      <c r="TGD113" s="17"/>
      <c r="TGE113" s="17"/>
      <c r="TGF113" s="17"/>
      <c r="TGG113" s="17"/>
      <c r="TGH113" s="17"/>
      <c r="TGI113" s="17"/>
      <c r="TGJ113" s="17"/>
      <c r="TGK113" s="17"/>
      <c r="TGL113" s="17"/>
      <c r="TGM113" s="17"/>
      <c r="TGN113" s="17"/>
      <c r="TGO113" s="17"/>
      <c r="TGP113" s="17"/>
      <c r="TGQ113" s="17"/>
      <c r="TGR113" s="17"/>
      <c r="TGS113" s="17"/>
      <c r="TGT113" s="17"/>
      <c r="TGU113" s="17"/>
      <c r="TGV113" s="17"/>
      <c r="TGW113" s="17"/>
      <c r="TGX113" s="17"/>
      <c r="TGY113" s="17"/>
      <c r="TGZ113" s="17"/>
      <c r="THA113" s="17"/>
      <c r="THB113" s="17"/>
      <c r="THC113" s="17"/>
      <c r="THD113" s="17"/>
      <c r="THE113" s="17"/>
      <c r="THF113" s="17"/>
      <c r="THG113" s="17"/>
      <c r="THH113" s="17"/>
      <c r="THI113" s="17"/>
      <c r="THJ113" s="17"/>
      <c r="THK113" s="17"/>
      <c r="THL113" s="17"/>
      <c r="THM113" s="17"/>
      <c r="THN113" s="17"/>
      <c r="THO113" s="17"/>
      <c r="THP113" s="17"/>
      <c r="THQ113" s="17"/>
      <c r="THR113" s="17"/>
      <c r="THS113" s="17"/>
      <c r="THT113" s="17"/>
      <c r="THU113" s="17"/>
      <c r="THV113" s="17"/>
      <c r="THW113" s="17"/>
      <c r="THX113" s="17"/>
      <c r="THY113" s="17"/>
      <c r="THZ113" s="17"/>
      <c r="TIA113" s="17"/>
      <c r="TIB113" s="17"/>
      <c r="TIC113" s="17"/>
      <c r="TID113" s="17"/>
      <c r="TIE113" s="17"/>
      <c r="TIF113" s="17"/>
      <c r="TIG113" s="17"/>
      <c r="TIH113" s="17"/>
      <c r="TII113" s="17"/>
      <c r="TIJ113" s="17"/>
      <c r="TIK113" s="17"/>
      <c r="TIL113" s="17"/>
      <c r="TIM113" s="17"/>
      <c r="TIN113" s="17"/>
      <c r="TIO113" s="17"/>
      <c r="TIP113" s="17"/>
      <c r="TIQ113" s="17"/>
      <c r="TIR113" s="17"/>
      <c r="TIS113" s="17"/>
      <c r="TIT113" s="17"/>
      <c r="TIU113" s="17"/>
      <c r="TIV113" s="17"/>
      <c r="TIW113" s="17"/>
      <c r="TIX113" s="17"/>
      <c r="TIY113" s="17"/>
      <c r="TIZ113" s="17"/>
      <c r="TJA113" s="17"/>
      <c r="TJB113" s="17"/>
      <c r="TJC113" s="17"/>
      <c r="TJD113" s="17"/>
      <c r="TJE113" s="17"/>
      <c r="TJF113" s="17"/>
      <c r="TJG113" s="17"/>
      <c r="TJH113" s="17"/>
      <c r="TJI113" s="17"/>
      <c r="TJJ113" s="17"/>
      <c r="TJK113" s="17"/>
      <c r="TJL113" s="17"/>
      <c r="TJM113" s="17"/>
      <c r="TJN113" s="17"/>
      <c r="TJO113" s="17"/>
      <c r="TJP113" s="17"/>
      <c r="TJQ113" s="17"/>
      <c r="TJR113" s="17"/>
      <c r="TJS113" s="17"/>
      <c r="TJT113" s="17"/>
      <c r="TJU113" s="17"/>
      <c r="TJV113" s="17"/>
      <c r="TJW113" s="17"/>
      <c r="TJX113" s="17"/>
      <c r="TJY113" s="17"/>
      <c r="TJZ113" s="17"/>
      <c r="TKA113" s="17"/>
      <c r="TKB113" s="17"/>
      <c r="TKC113" s="17"/>
      <c r="TKD113" s="17"/>
      <c r="TKE113" s="17"/>
      <c r="TKF113" s="17"/>
      <c r="TKG113" s="17"/>
      <c r="TKH113" s="17"/>
      <c r="TKI113" s="17"/>
      <c r="TKJ113" s="17"/>
      <c r="TKK113" s="17"/>
      <c r="TKL113" s="17"/>
      <c r="TKM113" s="17"/>
      <c r="TKN113" s="17"/>
      <c r="TKO113" s="17"/>
      <c r="TKP113" s="17"/>
      <c r="TKQ113" s="17"/>
      <c r="TKR113" s="17"/>
      <c r="TKS113" s="17"/>
      <c r="TKT113" s="17"/>
      <c r="TKU113" s="17"/>
      <c r="TKV113" s="17"/>
      <c r="TKW113" s="17"/>
      <c r="TKX113" s="17"/>
      <c r="TKY113" s="17"/>
      <c r="TKZ113" s="17"/>
      <c r="TLA113" s="17"/>
      <c r="TLB113" s="17"/>
      <c r="TLC113" s="17"/>
      <c r="TLD113" s="17"/>
      <c r="TLE113" s="17"/>
      <c r="TLF113" s="17"/>
      <c r="TLG113" s="17"/>
      <c r="TLH113" s="17"/>
      <c r="TLI113" s="17"/>
      <c r="TLJ113" s="17"/>
      <c r="TLK113" s="17"/>
      <c r="TLL113" s="17"/>
      <c r="TLM113" s="17"/>
      <c r="TLN113" s="17"/>
      <c r="TLO113" s="17"/>
      <c r="TLP113" s="17"/>
      <c r="TLQ113" s="17"/>
      <c r="TLR113" s="17"/>
      <c r="TLS113" s="17"/>
      <c r="TLT113" s="17"/>
      <c r="TLU113" s="17"/>
      <c r="TLV113" s="17"/>
      <c r="TLW113" s="17"/>
      <c r="TLX113" s="17"/>
      <c r="TLY113" s="17"/>
      <c r="TLZ113" s="17"/>
      <c r="TMA113" s="17"/>
      <c r="TMB113" s="17"/>
      <c r="TMC113" s="17"/>
      <c r="TMD113" s="17"/>
      <c r="TME113" s="17"/>
      <c r="TMF113" s="17"/>
      <c r="TMG113" s="17"/>
      <c r="TMH113" s="17"/>
      <c r="TMI113" s="17"/>
      <c r="TMJ113" s="17"/>
      <c r="TMK113" s="17"/>
      <c r="TML113" s="17"/>
      <c r="TMM113" s="17"/>
      <c r="TMN113" s="17"/>
      <c r="TMO113" s="17"/>
      <c r="TMP113" s="17"/>
      <c r="TMQ113" s="17"/>
      <c r="TMR113" s="17"/>
      <c r="TMS113" s="17"/>
      <c r="TMT113" s="17"/>
      <c r="TMU113" s="17"/>
      <c r="TMV113" s="17"/>
      <c r="TMW113" s="17"/>
      <c r="TMX113" s="17"/>
      <c r="TMY113" s="17"/>
      <c r="TMZ113" s="17"/>
      <c r="TNA113" s="17"/>
      <c r="TNB113" s="17"/>
      <c r="TNC113" s="17"/>
      <c r="TND113" s="17"/>
      <c r="TNE113" s="17"/>
      <c r="TNF113" s="17"/>
      <c r="TNG113" s="17"/>
      <c r="TNH113" s="17"/>
      <c r="TNI113" s="17"/>
      <c r="TNJ113" s="17"/>
      <c r="TNK113" s="17"/>
      <c r="TNL113" s="17"/>
      <c r="TNM113" s="17"/>
      <c r="TNN113" s="17"/>
      <c r="TNO113" s="17"/>
      <c r="TNP113" s="17"/>
      <c r="TNQ113" s="17"/>
      <c r="TNR113" s="17"/>
      <c r="TNS113" s="17"/>
      <c r="TNT113" s="17"/>
      <c r="TNU113" s="17"/>
      <c r="TNV113" s="17"/>
      <c r="TNW113" s="17"/>
      <c r="TNX113" s="17"/>
      <c r="TNY113" s="17"/>
      <c r="TNZ113" s="17"/>
      <c r="TOA113" s="17"/>
      <c r="TOB113" s="17"/>
      <c r="TOC113" s="17"/>
      <c r="TOD113" s="17"/>
      <c r="TOE113" s="17"/>
      <c r="TOF113" s="17"/>
      <c r="TOG113" s="17"/>
      <c r="TOH113" s="17"/>
      <c r="TOI113" s="17"/>
      <c r="TOJ113" s="17"/>
      <c r="TOK113" s="17"/>
      <c r="TOL113" s="17"/>
      <c r="TOM113" s="17"/>
      <c r="TON113" s="17"/>
      <c r="TOO113" s="17"/>
      <c r="TOP113" s="17"/>
      <c r="TOQ113" s="17"/>
      <c r="TOR113" s="17"/>
      <c r="TOS113" s="17"/>
      <c r="TOT113" s="17"/>
      <c r="TOU113" s="17"/>
      <c r="TOV113" s="17"/>
      <c r="TOW113" s="17"/>
      <c r="TOX113" s="17"/>
      <c r="TOY113" s="17"/>
      <c r="TOZ113" s="17"/>
      <c r="TPA113" s="17"/>
      <c r="TPB113" s="17"/>
      <c r="TPC113" s="17"/>
      <c r="TPD113" s="17"/>
      <c r="TPE113" s="17"/>
      <c r="TPF113" s="17"/>
      <c r="TPG113" s="17"/>
      <c r="TPH113" s="17"/>
      <c r="TPI113" s="17"/>
      <c r="TPJ113" s="17"/>
      <c r="TPK113" s="17"/>
      <c r="TPL113" s="17"/>
      <c r="TPM113" s="17"/>
      <c r="TPN113" s="17"/>
      <c r="TPO113" s="17"/>
      <c r="TPP113" s="17"/>
      <c r="TPQ113" s="17"/>
      <c r="TPR113" s="17"/>
      <c r="TPS113" s="17"/>
      <c r="TPT113" s="17"/>
      <c r="TPU113" s="17"/>
      <c r="TPV113" s="17"/>
      <c r="TPW113" s="17"/>
      <c r="TPX113" s="17"/>
      <c r="TPY113" s="17"/>
      <c r="TPZ113" s="17"/>
      <c r="TQA113" s="17"/>
      <c r="TQB113" s="17"/>
      <c r="TQC113" s="17"/>
      <c r="TQD113" s="17"/>
      <c r="TQE113" s="17"/>
      <c r="TQF113" s="17"/>
      <c r="TQG113" s="17"/>
      <c r="TQH113" s="17"/>
      <c r="TQI113" s="17"/>
      <c r="TQJ113" s="17"/>
      <c r="TQK113" s="17"/>
      <c r="TQL113" s="17"/>
      <c r="TQM113" s="17"/>
      <c r="TQN113" s="17"/>
      <c r="TQO113" s="17"/>
      <c r="TQP113" s="17"/>
      <c r="TQQ113" s="17"/>
      <c r="TQR113" s="17"/>
      <c r="TQS113" s="17"/>
      <c r="TQT113" s="17"/>
      <c r="TQU113" s="17"/>
      <c r="TQV113" s="17"/>
      <c r="TQW113" s="17"/>
      <c r="TQX113" s="17"/>
      <c r="TQY113" s="17"/>
      <c r="TQZ113" s="17"/>
      <c r="TRA113" s="17"/>
      <c r="TRB113" s="17"/>
      <c r="TRC113" s="17"/>
      <c r="TRD113" s="17"/>
      <c r="TRE113" s="17"/>
      <c r="TRF113" s="17"/>
      <c r="TRG113" s="17"/>
      <c r="TRH113" s="17"/>
      <c r="TRI113" s="17"/>
      <c r="TRJ113" s="17"/>
      <c r="TRK113" s="17"/>
      <c r="TRL113" s="17"/>
      <c r="TRM113" s="17"/>
      <c r="TRN113" s="17"/>
      <c r="TRO113" s="17"/>
      <c r="TRP113" s="17"/>
      <c r="TRQ113" s="17"/>
      <c r="TRR113" s="17"/>
      <c r="TRS113" s="17"/>
      <c r="TRT113" s="17"/>
      <c r="TRU113" s="17"/>
      <c r="TRV113" s="17"/>
      <c r="TRW113" s="17"/>
      <c r="TRX113" s="17"/>
      <c r="TRY113" s="17"/>
      <c r="TRZ113" s="17"/>
      <c r="TSA113" s="17"/>
      <c r="TSB113" s="17"/>
      <c r="TSC113" s="17"/>
      <c r="TSD113" s="17"/>
      <c r="TSE113" s="17"/>
      <c r="TSF113" s="17"/>
      <c r="TSG113" s="17"/>
      <c r="TSH113" s="17"/>
      <c r="TSI113" s="17"/>
      <c r="TSJ113" s="17"/>
      <c r="TSK113" s="17"/>
      <c r="TSL113" s="17"/>
      <c r="TSM113" s="17"/>
      <c r="TSN113" s="17"/>
      <c r="TSO113" s="17"/>
      <c r="TSP113" s="17"/>
      <c r="TSQ113" s="17"/>
      <c r="TSR113" s="17"/>
      <c r="TSS113" s="17"/>
      <c r="TST113" s="17"/>
      <c r="TSU113" s="17"/>
      <c r="TSV113" s="17"/>
      <c r="TSW113" s="17"/>
      <c r="TSX113" s="17"/>
      <c r="TSY113" s="17"/>
      <c r="TSZ113" s="17"/>
      <c r="TTA113" s="17"/>
      <c r="TTB113" s="17"/>
      <c r="TTC113" s="17"/>
      <c r="TTD113" s="17"/>
      <c r="TTE113" s="17"/>
      <c r="TTF113" s="17"/>
      <c r="TTG113" s="17"/>
      <c r="TTH113" s="17"/>
      <c r="TTI113" s="17"/>
      <c r="TTJ113" s="17"/>
      <c r="TTK113" s="17"/>
      <c r="TTL113" s="17"/>
      <c r="TTM113" s="17"/>
      <c r="TTN113" s="17"/>
      <c r="TTO113" s="17"/>
      <c r="TTP113" s="17"/>
      <c r="TTQ113" s="17"/>
      <c r="TTR113" s="17"/>
      <c r="TTS113" s="17"/>
      <c r="TTT113" s="17"/>
      <c r="TTU113" s="17"/>
      <c r="TTV113" s="17"/>
      <c r="TTW113" s="17"/>
      <c r="TTX113" s="17"/>
      <c r="TTY113" s="17"/>
      <c r="TTZ113" s="17"/>
      <c r="TUA113" s="17"/>
      <c r="TUB113" s="17"/>
      <c r="TUC113" s="17"/>
      <c r="TUD113" s="17"/>
      <c r="TUE113" s="17"/>
      <c r="TUF113" s="17"/>
      <c r="TUG113" s="17"/>
      <c r="TUH113" s="17"/>
      <c r="TUI113" s="17"/>
      <c r="TUJ113" s="17"/>
      <c r="TUK113" s="17"/>
      <c r="TUL113" s="17"/>
      <c r="TUM113" s="17"/>
      <c r="TUN113" s="17"/>
      <c r="TUO113" s="17"/>
      <c r="TUP113" s="17"/>
      <c r="TUQ113" s="17"/>
      <c r="TUR113" s="17"/>
      <c r="TUS113" s="17"/>
      <c r="TUT113" s="17"/>
      <c r="TUU113" s="17"/>
      <c r="TUV113" s="17"/>
      <c r="TUW113" s="17"/>
      <c r="TUX113" s="17"/>
      <c r="TUY113" s="17"/>
      <c r="TUZ113" s="17"/>
      <c r="TVA113" s="17"/>
      <c r="TVB113" s="17"/>
      <c r="TVC113" s="17"/>
      <c r="TVD113" s="17"/>
      <c r="TVE113" s="17"/>
      <c r="TVF113" s="17"/>
      <c r="TVG113" s="17"/>
      <c r="TVH113" s="17"/>
      <c r="TVI113" s="17"/>
      <c r="TVJ113" s="17"/>
      <c r="TVK113" s="17"/>
      <c r="TVL113" s="17"/>
      <c r="TVM113" s="17"/>
      <c r="TVN113" s="17"/>
      <c r="TVO113" s="17"/>
      <c r="TVP113" s="17"/>
      <c r="TVQ113" s="17"/>
      <c r="TVR113" s="17"/>
      <c r="TVS113" s="17"/>
      <c r="TVT113" s="17"/>
      <c r="TVU113" s="17"/>
      <c r="TVV113" s="17"/>
      <c r="TVW113" s="17"/>
      <c r="TVX113" s="17"/>
      <c r="TVY113" s="17"/>
      <c r="TVZ113" s="17"/>
      <c r="TWA113" s="17"/>
      <c r="TWB113" s="17"/>
      <c r="TWC113" s="17"/>
      <c r="TWD113" s="17"/>
      <c r="TWE113" s="17"/>
      <c r="TWF113" s="17"/>
      <c r="TWG113" s="17"/>
      <c r="TWH113" s="17"/>
      <c r="TWI113" s="17"/>
      <c r="TWJ113" s="17"/>
      <c r="TWK113" s="17"/>
      <c r="TWL113" s="17"/>
      <c r="TWM113" s="17"/>
      <c r="TWN113" s="17"/>
      <c r="TWO113" s="17"/>
      <c r="TWP113" s="17"/>
      <c r="TWQ113" s="17"/>
      <c r="TWR113" s="17"/>
      <c r="TWS113" s="17"/>
      <c r="TWT113" s="17"/>
      <c r="TWU113" s="17"/>
      <c r="TWV113" s="17"/>
      <c r="TWW113" s="17"/>
      <c r="TWX113" s="17"/>
      <c r="TWY113" s="17"/>
      <c r="TWZ113" s="17"/>
      <c r="TXA113" s="17"/>
      <c r="TXB113" s="17"/>
      <c r="TXC113" s="17"/>
      <c r="TXD113" s="17"/>
      <c r="TXE113" s="17"/>
      <c r="TXF113" s="17"/>
      <c r="TXG113" s="17"/>
      <c r="TXH113" s="17"/>
      <c r="TXI113" s="17"/>
      <c r="TXJ113" s="17"/>
      <c r="TXK113" s="17"/>
      <c r="TXL113" s="17"/>
      <c r="TXM113" s="17"/>
      <c r="TXN113" s="17"/>
      <c r="TXO113" s="17"/>
      <c r="TXP113" s="17"/>
      <c r="TXQ113" s="17"/>
      <c r="TXR113" s="17"/>
      <c r="TXS113" s="17"/>
      <c r="TXT113" s="17"/>
      <c r="TXU113" s="17"/>
      <c r="TXV113" s="17"/>
      <c r="TXW113" s="17"/>
      <c r="TXX113" s="17"/>
      <c r="TXY113" s="17"/>
      <c r="TXZ113" s="17"/>
      <c r="TYA113" s="17"/>
      <c r="TYB113" s="17"/>
      <c r="TYC113" s="17"/>
      <c r="TYD113" s="17"/>
      <c r="TYE113" s="17"/>
      <c r="TYF113" s="17"/>
      <c r="TYG113" s="17"/>
      <c r="TYH113" s="17"/>
      <c r="TYI113" s="17"/>
      <c r="TYJ113" s="17"/>
      <c r="TYK113" s="17"/>
      <c r="TYL113" s="17"/>
      <c r="TYM113" s="17"/>
      <c r="TYN113" s="17"/>
      <c r="TYO113" s="17"/>
      <c r="TYP113" s="17"/>
      <c r="TYQ113" s="17"/>
      <c r="TYR113" s="17"/>
      <c r="TYS113" s="17"/>
      <c r="TYT113" s="17"/>
      <c r="TYU113" s="17"/>
      <c r="TYV113" s="17"/>
      <c r="TYW113" s="17"/>
      <c r="TYX113" s="17"/>
      <c r="TYY113" s="17"/>
      <c r="TYZ113" s="17"/>
      <c r="TZA113" s="17"/>
      <c r="TZB113" s="17"/>
      <c r="TZC113" s="17"/>
      <c r="TZD113" s="17"/>
      <c r="TZE113" s="17"/>
      <c r="TZF113" s="17"/>
      <c r="TZG113" s="17"/>
      <c r="TZH113" s="17"/>
      <c r="TZI113" s="17"/>
      <c r="TZJ113" s="17"/>
      <c r="TZK113" s="17"/>
      <c r="TZL113" s="17"/>
      <c r="TZM113" s="17"/>
      <c r="TZN113" s="17"/>
      <c r="TZO113" s="17"/>
      <c r="TZP113" s="17"/>
      <c r="TZQ113" s="17"/>
      <c r="TZR113" s="17"/>
      <c r="TZS113" s="17"/>
      <c r="TZT113" s="17"/>
      <c r="TZU113" s="17"/>
      <c r="TZV113" s="17"/>
      <c r="TZW113" s="17"/>
      <c r="TZX113" s="17"/>
      <c r="TZY113" s="17"/>
      <c r="TZZ113" s="17"/>
      <c r="UAA113" s="17"/>
      <c r="UAB113" s="17"/>
      <c r="UAC113" s="17"/>
      <c r="UAD113" s="17"/>
      <c r="UAE113" s="17"/>
      <c r="UAF113" s="17"/>
      <c r="UAG113" s="17"/>
      <c r="UAH113" s="17"/>
      <c r="UAI113" s="17"/>
      <c r="UAJ113" s="17"/>
      <c r="UAK113" s="17"/>
      <c r="UAL113" s="17"/>
      <c r="UAM113" s="17"/>
      <c r="UAN113" s="17"/>
      <c r="UAO113" s="17"/>
      <c r="UAP113" s="17"/>
      <c r="UAQ113" s="17"/>
      <c r="UAR113" s="17"/>
      <c r="UAS113" s="17"/>
      <c r="UAT113" s="17"/>
      <c r="UAU113" s="17"/>
      <c r="UAV113" s="17"/>
      <c r="UAW113" s="17"/>
      <c r="UAX113" s="17"/>
      <c r="UAY113" s="17"/>
      <c r="UAZ113" s="17"/>
      <c r="UBA113" s="17"/>
      <c r="UBB113" s="17"/>
      <c r="UBC113" s="17"/>
      <c r="UBD113" s="17"/>
      <c r="UBE113" s="17"/>
      <c r="UBF113" s="17"/>
      <c r="UBG113" s="17"/>
      <c r="UBH113" s="17"/>
      <c r="UBI113" s="17"/>
      <c r="UBJ113" s="17"/>
      <c r="UBK113" s="17"/>
      <c r="UBL113" s="17"/>
      <c r="UBM113" s="17"/>
      <c r="UBN113" s="17"/>
      <c r="UBO113" s="17"/>
      <c r="UBP113" s="17"/>
      <c r="UBQ113" s="17"/>
      <c r="UBR113" s="17"/>
      <c r="UBS113" s="17"/>
      <c r="UBT113" s="17"/>
      <c r="UBU113" s="17"/>
      <c r="UBV113" s="17"/>
      <c r="UBW113" s="17"/>
      <c r="UBX113" s="17"/>
      <c r="UBY113" s="17"/>
      <c r="UBZ113" s="17"/>
      <c r="UCA113" s="17"/>
      <c r="UCB113" s="17"/>
      <c r="UCC113" s="17"/>
      <c r="UCD113" s="17"/>
      <c r="UCE113" s="17"/>
      <c r="UCF113" s="17"/>
      <c r="UCG113" s="17"/>
      <c r="UCH113" s="17"/>
      <c r="UCI113" s="17"/>
      <c r="UCJ113" s="17"/>
      <c r="UCK113" s="17"/>
      <c r="UCL113" s="17"/>
      <c r="UCM113" s="17"/>
      <c r="UCN113" s="17"/>
      <c r="UCO113" s="17"/>
      <c r="UCP113" s="17"/>
      <c r="UCQ113" s="17"/>
      <c r="UCR113" s="17"/>
      <c r="UCS113" s="17"/>
      <c r="UCT113" s="17"/>
      <c r="UCU113" s="17"/>
      <c r="UCV113" s="17"/>
      <c r="UCW113" s="17"/>
      <c r="UCX113" s="17"/>
      <c r="UCY113" s="17"/>
      <c r="UCZ113" s="17"/>
      <c r="UDA113" s="17"/>
      <c r="UDB113" s="17"/>
      <c r="UDC113" s="17"/>
      <c r="UDD113" s="17"/>
      <c r="UDE113" s="17"/>
      <c r="UDF113" s="17"/>
      <c r="UDG113" s="17"/>
      <c r="UDH113" s="17"/>
      <c r="UDI113" s="17"/>
      <c r="UDJ113" s="17"/>
      <c r="UDK113" s="17"/>
      <c r="UDL113" s="17"/>
      <c r="UDM113" s="17"/>
      <c r="UDN113" s="17"/>
      <c r="UDO113" s="17"/>
      <c r="UDP113" s="17"/>
      <c r="UDQ113" s="17"/>
      <c r="UDR113" s="17"/>
      <c r="UDS113" s="17"/>
      <c r="UDT113" s="17"/>
      <c r="UDU113" s="17"/>
      <c r="UDV113" s="17"/>
      <c r="UDW113" s="17"/>
      <c r="UDX113" s="17"/>
      <c r="UDY113" s="17"/>
      <c r="UDZ113" s="17"/>
      <c r="UEA113" s="17"/>
      <c r="UEB113" s="17"/>
      <c r="UEC113" s="17"/>
      <c r="UED113" s="17"/>
      <c r="UEE113" s="17"/>
      <c r="UEF113" s="17"/>
      <c r="UEG113" s="17"/>
      <c r="UEH113" s="17"/>
      <c r="UEI113" s="17"/>
      <c r="UEJ113" s="17"/>
      <c r="UEK113" s="17"/>
      <c r="UEL113" s="17"/>
      <c r="UEM113" s="17"/>
      <c r="UEN113" s="17"/>
      <c r="UEO113" s="17"/>
      <c r="UEP113" s="17"/>
      <c r="UEQ113" s="17"/>
      <c r="UER113" s="17"/>
      <c r="UES113" s="17"/>
      <c r="UET113" s="17"/>
      <c r="UEU113" s="17"/>
      <c r="UEV113" s="17"/>
      <c r="UEW113" s="17"/>
      <c r="UEX113" s="17"/>
      <c r="UEY113" s="17"/>
      <c r="UEZ113" s="17"/>
      <c r="UFA113" s="17"/>
      <c r="UFB113" s="17"/>
      <c r="UFC113" s="17"/>
      <c r="UFD113" s="17"/>
      <c r="UFE113" s="17"/>
      <c r="UFF113" s="17"/>
      <c r="UFG113" s="17"/>
      <c r="UFH113" s="17"/>
      <c r="UFI113" s="17"/>
      <c r="UFJ113" s="17"/>
      <c r="UFK113" s="17"/>
      <c r="UFL113" s="17"/>
      <c r="UFM113" s="17"/>
      <c r="UFN113" s="17"/>
      <c r="UFO113" s="17"/>
      <c r="UFP113" s="17"/>
      <c r="UFQ113" s="17"/>
      <c r="UFR113" s="17"/>
      <c r="UFS113" s="17"/>
      <c r="UFT113" s="17"/>
      <c r="UFU113" s="17"/>
      <c r="UFV113" s="17"/>
      <c r="UFW113" s="17"/>
      <c r="UFX113" s="17"/>
      <c r="UFY113" s="17"/>
      <c r="UFZ113" s="17"/>
      <c r="UGA113" s="17"/>
      <c r="UGB113" s="17"/>
      <c r="UGC113" s="17"/>
      <c r="UGD113" s="17"/>
      <c r="UGE113" s="17"/>
      <c r="UGF113" s="17"/>
      <c r="UGG113" s="17"/>
      <c r="UGH113" s="17"/>
      <c r="UGI113" s="17"/>
      <c r="UGJ113" s="17"/>
      <c r="UGK113" s="17"/>
      <c r="UGL113" s="17"/>
      <c r="UGM113" s="17"/>
      <c r="UGN113" s="17"/>
      <c r="UGO113" s="17"/>
      <c r="UGP113" s="17"/>
      <c r="UGQ113" s="17"/>
      <c r="UGR113" s="17"/>
      <c r="UGS113" s="17"/>
      <c r="UGT113" s="17"/>
      <c r="UGU113" s="17"/>
      <c r="UGV113" s="17"/>
      <c r="UGW113" s="17"/>
      <c r="UGX113" s="17"/>
      <c r="UGY113" s="17"/>
      <c r="UGZ113" s="17"/>
      <c r="UHA113" s="17"/>
      <c r="UHB113" s="17"/>
      <c r="UHC113" s="17"/>
      <c r="UHD113" s="17"/>
      <c r="UHE113" s="17"/>
      <c r="UHF113" s="17"/>
      <c r="UHG113" s="17"/>
      <c r="UHH113" s="17"/>
      <c r="UHI113" s="17"/>
      <c r="UHJ113" s="17"/>
      <c r="UHK113" s="17"/>
      <c r="UHL113" s="17"/>
      <c r="UHM113" s="17"/>
      <c r="UHN113" s="17"/>
      <c r="UHO113" s="17"/>
      <c r="UHP113" s="17"/>
      <c r="UHQ113" s="17"/>
      <c r="UHR113" s="17"/>
      <c r="UHS113" s="17"/>
      <c r="UHT113" s="17"/>
      <c r="UHU113" s="17"/>
      <c r="UHV113" s="17"/>
      <c r="UHW113" s="17"/>
      <c r="UHX113" s="17"/>
      <c r="UHY113" s="17"/>
      <c r="UHZ113" s="17"/>
      <c r="UIA113" s="17"/>
      <c r="UIB113" s="17"/>
      <c r="UIC113" s="17"/>
      <c r="UID113" s="17"/>
      <c r="UIE113" s="17"/>
      <c r="UIF113" s="17"/>
      <c r="UIG113" s="17"/>
      <c r="UIH113" s="17"/>
      <c r="UII113" s="17"/>
      <c r="UIJ113" s="17"/>
      <c r="UIK113" s="17"/>
      <c r="UIL113" s="17"/>
      <c r="UIM113" s="17"/>
      <c r="UIN113" s="17"/>
      <c r="UIO113" s="17"/>
      <c r="UIP113" s="17"/>
      <c r="UIQ113" s="17"/>
      <c r="UIR113" s="17"/>
      <c r="UIS113" s="17"/>
      <c r="UIT113" s="17"/>
      <c r="UIU113" s="17"/>
      <c r="UIV113" s="17"/>
      <c r="UIW113" s="17"/>
      <c r="UIX113" s="17"/>
      <c r="UIY113" s="17"/>
      <c r="UIZ113" s="17"/>
      <c r="UJA113" s="17"/>
      <c r="UJB113" s="17"/>
      <c r="UJC113" s="17"/>
      <c r="UJD113" s="17"/>
      <c r="UJE113" s="17"/>
      <c r="UJF113" s="17"/>
      <c r="UJG113" s="17"/>
      <c r="UJH113" s="17"/>
      <c r="UJI113" s="17"/>
      <c r="UJJ113" s="17"/>
      <c r="UJK113" s="17"/>
      <c r="UJL113" s="17"/>
      <c r="UJM113" s="17"/>
      <c r="UJN113" s="17"/>
      <c r="UJO113" s="17"/>
      <c r="UJP113" s="17"/>
      <c r="UJQ113" s="17"/>
      <c r="UJR113" s="17"/>
      <c r="UJS113" s="17"/>
      <c r="UJT113" s="17"/>
      <c r="UJU113" s="17"/>
      <c r="UJV113" s="17"/>
      <c r="UJW113" s="17"/>
      <c r="UJX113" s="17"/>
      <c r="UJY113" s="17"/>
      <c r="UJZ113" s="17"/>
      <c r="UKA113" s="17"/>
      <c r="UKB113" s="17"/>
      <c r="UKC113" s="17"/>
      <c r="UKD113" s="17"/>
      <c r="UKE113" s="17"/>
      <c r="UKF113" s="17"/>
      <c r="UKG113" s="17"/>
      <c r="UKH113" s="17"/>
      <c r="UKI113" s="17"/>
      <c r="UKJ113" s="17"/>
      <c r="UKK113" s="17"/>
      <c r="UKL113" s="17"/>
      <c r="UKM113" s="17"/>
      <c r="UKN113" s="17"/>
      <c r="UKO113" s="17"/>
      <c r="UKP113" s="17"/>
      <c r="UKQ113" s="17"/>
      <c r="UKR113" s="17"/>
      <c r="UKS113" s="17"/>
      <c r="UKT113" s="17"/>
      <c r="UKU113" s="17"/>
      <c r="UKV113" s="17"/>
      <c r="UKW113" s="17"/>
      <c r="UKX113" s="17"/>
      <c r="UKY113" s="17"/>
      <c r="UKZ113" s="17"/>
      <c r="ULA113" s="17"/>
      <c r="ULB113" s="17"/>
      <c r="ULC113" s="17"/>
      <c r="ULD113" s="17"/>
      <c r="ULE113" s="17"/>
      <c r="ULF113" s="17"/>
      <c r="ULG113" s="17"/>
      <c r="ULH113" s="17"/>
      <c r="ULI113" s="17"/>
      <c r="ULJ113" s="17"/>
      <c r="ULK113" s="17"/>
      <c r="ULL113" s="17"/>
      <c r="ULM113" s="17"/>
      <c r="ULN113" s="17"/>
      <c r="ULO113" s="17"/>
      <c r="ULP113" s="17"/>
      <c r="ULQ113" s="17"/>
      <c r="ULR113" s="17"/>
      <c r="ULS113" s="17"/>
      <c r="ULT113" s="17"/>
      <c r="ULU113" s="17"/>
      <c r="ULV113" s="17"/>
      <c r="ULW113" s="17"/>
      <c r="ULX113" s="17"/>
      <c r="ULY113" s="17"/>
      <c r="ULZ113" s="17"/>
      <c r="UMA113" s="17"/>
      <c r="UMB113" s="17"/>
      <c r="UMC113" s="17"/>
      <c r="UMD113" s="17"/>
      <c r="UME113" s="17"/>
      <c r="UMF113" s="17"/>
      <c r="UMG113" s="17"/>
      <c r="UMH113" s="17"/>
      <c r="UMI113" s="17"/>
      <c r="UMJ113" s="17"/>
      <c r="UMK113" s="17"/>
      <c r="UML113" s="17"/>
      <c r="UMM113" s="17"/>
      <c r="UMN113" s="17"/>
      <c r="UMO113" s="17"/>
      <c r="UMP113" s="17"/>
      <c r="UMQ113" s="17"/>
      <c r="UMR113" s="17"/>
      <c r="UMS113" s="17"/>
      <c r="UMT113" s="17"/>
      <c r="UMU113" s="17"/>
      <c r="UMV113" s="17"/>
      <c r="UMW113" s="17"/>
      <c r="UMX113" s="17"/>
      <c r="UMY113" s="17"/>
      <c r="UMZ113" s="17"/>
      <c r="UNA113" s="17"/>
      <c r="UNB113" s="17"/>
      <c r="UNC113" s="17"/>
      <c r="UND113" s="17"/>
      <c r="UNE113" s="17"/>
      <c r="UNF113" s="17"/>
      <c r="UNG113" s="17"/>
      <c r="UNH113" s="17"/>
      <c r="UNI113" s="17"/>
      <c r="UNJ113" s="17"/>
      <c r="UNK113" s="17"/>
      <c r="UNL113" s="17"/>
      <c r="UNM113" s="17"/>
      <c r="UNN113" s="17"/>
      <c r="UNO113" s="17"/>
      <c r="UNP113" s="17"/>
      <c r="UNQ113" s="17"/>
      <c r="UNR113" s="17"/>
      <c r="UNS113" s="17"/>
      <c r="UNT113" s="17"/>
      <c r="UNU113" s="17"/>
      <c r="UNV113" s="17"/>
      <c r="UNW113" s="17"/>
      <c r="UNX113" s="17"/>
      <c r="UNY113" s="17"/>
      <c r="UNZ113" s="17"/>
      <c r="UOA113" s="17"/>
      <c r="UOB113" s="17"/>
      <c r="UOC113" s="17"/>
      <c r="UOD113" s="17"/>
      <c r="UOE113" s="17"/>
      <c r="UOF113" s="17"/>
      <c r="UOG113" s="17"/>
      <c r="UOH113" s="17"/>
      <c r="UOI113" s="17"/>
      <c r="UOJ113" s="17"/>
      <c r="UOK113" s="17"/>
      <c r="UOL113" s="17"/>
      <c r="UOM113" s="17"/>
      <c r="UON113" s="17"/>
      <c r="UOO113" s="17"/>
      <c r="UOP113" s="17"/>
      <c r="UOQ113" s="17"/>
      <c r="UOR113" s="17"/>
      <c r="UOS113" s="17"/>
      <c r="UOT113" s="17"/>
      <c r="UOU113" s="17"/>
      <c r="UOV113" s="17"/>
      <c r="UOW113" s="17"/>
      <c r="UOX113" s="17"/>
      <c r="UOY113" s="17"/>
      <c r="UOZ113" s="17"/>
      <c r="UPA113" s="17"/>
      <c r="UPB113" s="17"/>
      <c r="UPC113" s="17"/>
      <c r="UPD113" s="17"/>
      <c r="UPE113" s="17"/>
      <c r="UPF113" s="17"/>
      <c r="UPG113" s="17"/>
      <c r="UPH113" s="17"/>
      <c r="UPI113" s="17"/>
      <c r="UPJ113" s="17"/>
      <c r="UPK113" s="17"/>
      <c r="UPL113" s="17"/>
      <c r="UPM113" s="17"/>
      <c r="UPN113" s="17"/>
      <c r="UPO113" s="17"/>
      <c r="UPP113" s="17"/>
      <c r="UPQ113" s="17"/>
      <c r="UPR113" s="17"/>
      <c r="UPS113" s="17"/>
      <c r="UPT113" s="17"/>
      <c r="UPU113" s="17"/>
      <c r="UPV113" s="17"/>
      <c r="UPW113" s="17"/>
      <c r="UPX113" s="17"/>
      <c r="UPY113" s="17"/>
      <c r="UPZ113" s="17"/>
      <c r="UQA113" s="17"/>
      <c r="UQB113" s="17"/>
      <c r="UQC113" s="17"/>
      <c r="UQD113" s="17"/>
      <c r="UQE113" s="17"/>
      <c r="UQF113" s="17"/>
      <c r="UQG113" s="17"/>
      <c r="UQH113" s="17"/>
      <c r="UQI113" s="17"/>
      <c r="UQJ113" s="17"/>
      <c r="UQK113" s="17"/>
      <c r="UQL113" s="17"/>
      <c r="UQM113" s="17"/>
      <c r="UQN113" s="17"/>
      <c r="UQO113" s="17"/>
      <c r="UQP113" s="17"/>
      <c r="UQQ113" s="17"/>
      <c r="UQR113" s="17"/>
      <c r="UQS113" s="17"/>
      <c r="UQT113" s="17"/>
      <c r="UQU113" s="17"/>
      <c r="UQV113" s="17"/>
      <c r="UQW113" s="17"/>
      <c r="UQX113" s="17"/>
      <c r="UQY113" s="17"/>
      <c r="UQZ113" s="17"/>
      <c r="URA113" s="17"/>
      <c r="URB113" s="17"/>
      <c r="URC113" s="17"/>
      <c r="URD113" s="17"/>
      <c r="URE113" s="17"/>
      <c r="URF113" s="17"/>
      <c r="URG113" s="17"/>
      <c r="URH113" s="17"/>
      <c r="URI113" s="17"/>
      <c r="URJ113" s="17"/>
      <c r="URK113" s="17"/>
      <c r="URL113" s="17"/>
      <c r="URM113" s="17"/>
      <c r="URN113" s="17"/>
      <c r="URO113" s="17"/>
      <c r="URP113" s="17"/>
      <c r="URQ113" s="17"/>
      <c r="URR113" s="17"/>
      <c r="URS113" s="17"/>
      <c r="URT113" s="17"/>
      <c r="URU113" s="17"/>
      <c r="URV113" s="17"/>
      <c r="URW113" s="17"/>
      <c r="URX113" s="17"/>
      <c r="URY113" s="17"/>
      <c r="URZ113" s="17"/>
      <c r="USA113" s="17"/>
      <c r="USB113" s="17"/>
      <c r="USC113" s="17"/>
      <c r="USD113" s="17"/>
      <c r="USE113" s="17"/>
      <c r="USF113" s="17"/>
      <c r="USG113" s="17"/>
      <c r="USH113" s="17"/>
      <c r="USI113" s="17"/>
      <c r="USJ113" s="17"/>
      <c r="USK113" s="17"/>
      <c r="USL113" s="17"/>
      <c r="USM113" s="17"/>
      <c r="USN113" s="17"/>
      <c r="USO113" s="17"/>
      <c r="USP113" s="17"/>
      <c r="USQ113" s="17"/>
      <c r="USR113" s="17"/>
      <c r="USS113" s="17"/>
      <c r="UST113" s="17"/>
      <c r="USU113" s="17"/>
      <c r="USV113" s="17"/>
      <c r="USW113" s="17"/>
      <c r="USX113" s="17"/>
      <c r="USY113" s="17"/>
      <c r="USZ113" s="17"/>
      <c r="UTA113" s="17"/>
      <c r="UTB113" s="17"/>
      <c r="UTC113" s="17"/>
      <c r="UTD113" s="17"/>
      <c r="UTE113" s="17"/>
      <c r="UTF113" s="17"/>
      <c r="UTG113" s="17"/>
      <c r="UTH113" s="17"/>
      <c r="UTI113" s="17"/>
      <c r="UTJ113" s="17"/>
      <c r="UTK113" s="17"/>
      <c r="UTL113" s="17"/>
      <c r="UTM113" s="17"/>
      <c r="UTN113" s="17"/>
      <c r="UTO113" s="17"/>
      <c r="UTP113" s="17"/>
      <c r="UTQ113" s="17"/>
      <c r="UTR113" s="17"/>
      <c r="UTS113" s="17"/>
      <c r="UTT113" s="17"/>
      <c r="UTU113" s="17"/>
      <c r="UTV113" s="17"/>
      <c r="UTW113" s="17"/>
      <c r="UTX113" s="17"/>
      <c r="UTY113" s="17"/>
      <c r="UTZ113" s="17"/>
      <c r="UUA113" s="17"/>
      <c r="UUB113" s="17"/>
      <c r="UUC113" s="17"/>
      <c r="UUD113" s="17"/>
      <c r="UUE113" s="17"/>
      <c r="UUF113" s="17"/>
      <c r="UUG113" s="17"/>
      <c r="UUH113" s="17"/>
      <c r="UUI113" s="17"/>
      <c r="UUJ113" s="17"/>
      <c r="UUK113" s="17"/>
      <c r="UUL113" s="17"/>
      <c r="UUM113" s="17"/>
      <c r="UUN113" s="17"/>
      <c r="UUO113" s="17"/>
      <c r="UUP113" s="17"/>
      <c r="UUQ113" s="17"/>
      <c r="UUR113" s="17"/>
      <c r="UUS113" s="17"/>
      <c r="UUT113" s="17"/>
      <c r="UUU113" s="17"/>
      <c r="UUV113" s="17"/>
      <c r="UUW113" s="17"/>
      <c r="UUX113" s="17"/>
      <c r="UUY113" s="17"/>
      <c r="UUZ113" s="17"/>
      <c r="UVA113" s="17"/>
      <c r="UVB113" s="17"/>
      <c r="UVC113" s="17"/>
      <c r="UVD113" s="17"/>
      <c r="UVE113" s="17"/>
      <c r="UVF113" s="17"/>
      <c r="UVG113" s="17"/>
      <c r="UVH113" s="17"/>
      <c r="UVI113" s="17"/>
      <c r="UVJ113" s="17"/>
      <c r="UVK113" s="17"/>
      <c r="UVL113" s="17"/>
      <c r="UVM113" s="17"/>
      <c r="UVN113" s="17"/>
      <c r="UVO113" s="17"/>
      <c r="UVP113" s="17"/>
      <c r="UVQ113" s="17"/>
      <c r="UVR113" s="17"/>
      <c r="UVS113" s="17"/>
      <c r="UVT113" s="17"/>
      <c r="UVU113" s="17"/>
      <c r="UVV113" s="17"/>
      <c r="UVW113" s="17"/>
      <c r="UVX113" s="17"/>
      <c r="UVY113" s="17"/>
      <c r="UVZ113" s="17"/>
      <c r="UWA113" s="17"/>
      <c r="UWB113" s="17"/>
      <c r="UWC113" s="17"/>
      <c r="UWD113" s="17"/>
      <c r="UWE113" s="17"/>
      <c r="UWF113" s="17"/>
      <c r="UWG113" s="17"/>
      <c r="UWH113" s="17"/>
      <c r="UWI113" s="17"/>
      <c r="UWJ113" s="17"/>
      <c r="UWK113" s="17"/>
      <c r="UWL113" s="17"/>
      <c r="UWM113" s="17"/>
      <c r="UWN113" s="17"/>
      <c r="UWO113" s="17"/>
      <c r="UWP113" s="17"/>
      <c r="UWQ113" s="17"/>
      <c r="UWR113" s="17"/>
      <c r="UWS113" s="17"/>
      <c r="UWT113" s="17"/>
      <c r="UWU113" s="17"/>
      <c r="UWV113" s="17"/>
      <c r="UWW113" s="17"/>
      <c r="UWX113" s="17"/>
      <c r="UWY113" s="17"/>
      <c r="UWZ113" s="17"/>
      <c r="UXA113" s="17"/>
      <c r="UXB113" s="17"/>
      <c r="UXC113" s="17"/>
      <c r="UXD113" s="17"/>
      <c r="UXE113" s="17"/>
      <c r="UXF113" s="17"/>
      <c r="UXG113" s="17"/>
      <c r="UXH113" s="17"/>
      <c r="UXI113" s="17"/>
      <c r="UXJ113" s="17"/>
      <c r="UXK113" s="17"/>
      <c r="UXL113" s="17"/>
      <c r="UXM113" s="17"/>
      <c r="UXN113" s="17"/>
      <c r="UXO113" s="17"/>
      <c r="UXP113" s="17"/>
      <c r="UXQ113" s="17"/>
      <c r="UXR113" s="17"/>
      <c r="UXS113" s="17"/>
      <c r="UXT113" s="17"/>
      <c r="UXU113" s="17"/>
      <c r="UXV113" s="17"/>
      <c r="UXW113" s="17"/>
      <c r="UXX113" s="17"/>
      <c r="UXY113" s="17"/>
      <c r="UXZ113" s="17"/>
      <c r="UYA113" s="17"/>
      <c r="UYB113" s="17"/>
      <c r="UYC113" s="17"/>
      <c r="UYD113" s="17"/>
      <c r="UYE113" s="17"/>
      <c r="UYF113" s="17"/>
      <c r="UYG113" s="17"/>
      <c r="UYH113" s="17"/>
      <c r="UYI113" s="17"/>
      <c r="UYJ113" s="17"/>
      <c r="UYK113" s="17"/>
      <c r="UYL113" s="17"/>
      <c r="UYM113" s="17"/>
      <c r="UYN113" s="17"/>
      <c r="UYO113" s="17"/>
      <c r="UYP113" s="17"/>
      <c r="UYQ113" s="17"/>
      <c r="UYR113" s="17"/>
      <c r="UYS113" s="17"/>
      <c r="UYT113" s="17"/>
      <c r="UYU113" s="17"/>
      <c r="UYV113" s="17"/>
      <c r="UYW113" s="17"/>
      <c r="UYX113" s="17"/>
      <c r="UYY113" s="17"/>
      <c r="UYZ113" s="17"/>
      <c r="UZA113" s="17"/>
      <c r="UZB113" s="17"/>
      <c r="UZC113" s="17"/>
      <c r="UZD113" s="17"/>
      <c r="UZE113" s="17"/>
      <c r="UZF113" s="17"/>
      <c r="UZG113" s="17"/>
      <c r="UZH113" s="17"/>
      <c r="UZI113" s="17"/>
      <c r="UZJ113" s="17"/>
      <c r="UZK113" s="17"/>
      <c r="UZL113" s="17"/>
      <c r="UZM113" s="17"/>
      <c r="UZN113" s="17"/>
      <c r="UZO113" s="17"/>
      <c r="UZP113" s="17"/>
      <c r="UZQ113" s="17"/>
      <c r="UZR113" s="17"/>
      <c r="UZS113" s="17"/>
      <c r="UZT113" s="17"/>
      <c r="UZU113" s="17"/>
      <c r="UZV113" s="17"/>
      <c r="UZW113" s="17"/>
      <c r="UZX113" s="17"/>
      <c r="UZY113" s="17"/>
      <c r="UZZ113" s="17"/>
      <c r="VAA113" s="17"/>
      <c r="VAB113" s="17"/>
      <c r="VAC113" s="17"/>
      <c r="VAD113" s="17"/>
      <c r="VAE113" s="17"/>
      <c r="VAF113" s="17"/>
      <c r="VAG113" s="17"/>
      <c r="VAH113" s="17"/>
      <c r="VAI113" s="17"/>
      <c r="VAJ113" s="17"/>
      <c r="VAK113" s="17"/>
      <c r="VAL113" s="17"/>
      <c r="VAM113" s="17"/>
      <c r="VAN113" s="17"/>
      <c r="VAO113" s="17"/>
      <c r="VAP113" s="17"/>
      <c r="VAQ113" s="17"/>
      <c r="VAR113" s="17"/>
      <c r="VAS113" s="17"/>
      <c r="VAT113" s="17"/>
      <c r="VAU113" s="17"/>
      <c r="VAV113" s="17"/>
      <c r="VAW113" s="17"/>
      <c r="VAX113" s="17"/>
      <c r="VAY113" s="17"/>
      <c r="VAZ113" s="17"/>
      <c r="VBA113" s="17"/>
      <c r="VBB113" s="17"/>
      <c r="VBC113" s="17"/>
      <c r="VBD113" s="17"/>
      <c r="VBE113" s="17"/>
      <c r="VBF113" s="17"/>
      <c r="VBG113" s="17"/>
      <c r="VBH113" s="17"/>
      <c r="VBI113" s="17"/>
      <c r="VBJ113" s="17"/>
      <c r="VBK113" s="17"/>
      <c r="VBL113" s="17"/>
      <c r="VBM113" s="17"/>
      <c r="VBN113" s="17"/>
      <c r="VBO113" s="17"/>
      <c r="VBP113" s="17"/>
      <c r="VBQ113" s="17"/>
      <c r="VBR113" s="17"/>
      <c r="VBS113" s="17"/>
      <c r="VBT113" s="17"/>
      <c r="VBU113" s="17"/>
      <c r="VBV113" s="17"/>
      <c r="VBW113" s="17"/>
      <c r="VBX113" s="17"/>
      <c r="VBY113" s="17"/>
      <c r="VBZ113" s="17"/>
      <c r="VCA113" s="17"/>
      <c r="VCB113" s="17"/>
      <c r="VCC113" s="17"/>
      <c r="VCD113" s="17"/>
      <c r="VCE113" s="17"/>
      <c r="VCF113" s="17"/>
      <c r="VCG113" s="17"/>
      <c r="VCH113" s="17"/>
      <c r="VCI113" s="17"/>
      <c r="VCJ113" s="17"/>
      <c r="VCK113" s="17"/>
      <c r="VCL113" s="17"/>
      <c r="VCM113" s="17"/>
      <c r="VCN113" s="17"/>
      <c r="VCO113" s="17"/>
      <c r="VCP113" s="17"/>
      <c r="VCQ113" s="17"/>
      <c r="VCR113" s="17"/>
      <c r="VCS113" s="17"/>
      <c r="VCT113" s="17"/>
      <c r="VCU113" s="17"/>
      <c r="VCV113" s="17"/>
      <c r="VCW113" s="17"/>
      <c r="VCX113" s="17"/>
      <c r="VCY113" s="17"/>
      <c r="VCZ113" s="17"/>
      <c r="VDA113" s="17"/>
      <c r="VDB113" s="17"/>
      <c r="VDC113" s="17"/>
      <c r="VDD113" s="17"/>
      <c r="VDE113" s="17"/>
      <c r="VDF113" s="17"/>
      <c r="VDG113" s="17"/>
      <c r="VDH113" s="17"/>
      <c r="VDI113" s="17"/>
      <c r="VDJ113" s="17"/>
      <c r="VDK113" s="17"/>
      <c r="VDL113" s="17"/>
      <c r="VDM113" s="17"/>
      <c r="VDN113" s="17"/>
      <c r="VDO113" s="17"/>
      <c r="VDP113" s="17"/>
      <c r="VDQ113" s="17"/>
      <c r="VDR113" s="17"/>
      <c r="VDS113" s="17"/>
      <c r="VDT113" s="17"/>
      <c r="VDU113" s="17"/>
      <c r="VDV113" s="17"/>
      <c r="VDW113" s="17"/>
      <c r="VDX113" s="17"/>
      <c r="VDY113" s="17"/>
      <c r="VDZ113" s="17"/>
      <c r="VEA113" s="17"/>
      <c r="VEB113" s="17"/>
      <c r="VEC113" s="17"/>
      <c r="VED113" s="17"/>
      <c r="VEE113" s="17"/>
      <c r="VEF113" s="17"/>
      <c r="VEG113" s="17"/>
      <c r="VEH113" s="17"/>
      <c r="VEI113" s="17"/>
      <c r="VEJ113" s="17"/>
      <c r="VEK113" s="17"/>
      <c r="VEL113" s="17"/>
      <c r="VEM113" s="17"/>
      <c r="VEN113" s="17"/>
      <c r="VEO113" s="17"/>
      <c r="VEP113" s="17"/>
      <c r="VEQ113" s="17"/>
      <c r="VER113" s="17"/>
      <c r="VES113" s="17"/>
      <c r="VET113" s="17"/>
      <c r="VEU113" s="17"/>
      <c r="VEV113" s="17"/>
      <c r="VEW113" s="17"/>
      <c r="VEX113" s="17"/>
      <c r="VEY113" s="17"/>
      <c r="VEZ113" s="17"/>
      <c r="VFA113" s="17"/>
      <c r="VFB113" s="17"/>
      <c r="VFC113" s="17"/>
      <c r="VFD113" s="17"/>
      <c r="VFE113" s="17"/>
      <c r="VFF113" s="17"/>
      <c r="VFG113" s="17"/>
      <c r="VFH113" s="17"/>
      <c r="VFI113" s="17"/>
      <c r="VFJ113" s="17"/>
      <c r="VFK113" s="17"/>
      <c r="VFL113" s="17"/>
      <c r="VFM113" s="17"/>
      <c r="VFN113" s="17"/>
      <c r="VFO113" s="17"/>
      <c r="VFP113" s="17"/>
      <c r="VFQ113" s="17"/>
      <c r="VFR113" s="17"/>
      <c r="VFS113" s="17"/>
      <c r="VFT113" s="17"/>
      <c r="VFU113" s="17"/>
      <c r="VFV113" s="17"/>
      <c r="VFW113" s="17"/>
      <c r="VFX113" s="17"/>
      <c r="VFY113" s="17"/>
      <c r="VFZ113" s="17"/>
      <c r="VGA113" s="17"/>
      <c r="VGB113" s="17"/>
      <c r="VGC113" s="17"/>
      <c r="VGD113" s="17"/>
      <c r="VGE113" s="17"/>
      <c r="VGF113" s="17"/>
      <c r="VGG113" s="17"/>
      <c r="VGH113" s="17"/>
      <c r="VGI113" s="17"/>
      <c r="VGJ113" s="17"/>
      <c r="VGK113" s="17"/>
      <c r="VGL113" s="17"/>
      <c r="VGM113" s="17"/>
      <c r="VGN113" s="17"/>
      <c r="VGO113" s="17"/>
      <c r="VGP113" s="17"/>
      <c r="VGQ113" s="17"/>
      <c r="VGR113" s="17"/>
      <c r="VGS113" s="17"/>
      <c r="VGT113" s="17"/>
      <c r="VGU113" s="17"/>
      <c r="VGV113" s="17"/>
      <c r="VGW113" s="17"/>
      <c r="VGX113" s="17"/>
      <c r="VGY113" s="17"/>
      <c r="VGZ113" s="17"/>
      <c r="VHA113" s="17"/>
      <c r="VHB113" s="17"/>
      <c r="VHC113" s="17"/>
      <c r="VHD113" s="17"/>
      <c r="VHE113" s="17"/>
      <c r="VHF113" s="17"/>
      <c r="VHG113" s="17"/>
      <c r="VHH113" s="17"/>
      <c r="VHI113" s="17"/>
      <c r="VHJ113" s="17"/>
      <c r="VHK113" s="17"/>
      <c r="VHL113" s="17"/>
      <c r="VHM113" s="17"/>
      <c r="VHN113" s="17"/>
      <c r="VHO113" s="17"/>
      <c r="VHP113" s="17"/>
      <c r="VHQ113" s="17"/>
      <c r="VHR113" s="17"/>
      <c r="VHS113" s="17"/>
      <c r="VHT113" s="17"/>
      <c r="VHU113" s="17"/>
      <c r="VHV113" s="17"/>
      <c r="VHW113" s="17"/>
      <c r="VHX113" s="17"/>
      <c r="VHY113" s="17"/>
      <c r="VHZ113" s="17"/>
      <c r="VIA113" s="17"/>
      <c r="VIB113" s="17"/>
      <c r="VIC113" s="17"/>
      <c r="VID113" s="17"/>
      <c r="VIE113" s="17"/>
      <c r="VIF113" s="17"/>
      <c r="VIG113" s="17"/>
      <c r="VIH113" s="17"/>
      <c r="VII113" s="17"/>
      <c r="VIJ113" s="17"/>
      <c r="VIK113" s="17"/>
      <c r="VIL113" s="17"/>
      <c r="VIM113" s="17"/>
      <c r="VIN113" s="17"/>
      <c r="VIO113" s="17"/>
      <c r="VIP113" s="17"/>
      <c r="VIQ113" s="17"/>
      <c r="VIR113" s="17"/>
      <c r="VIS113" s="17"/>
      <c r="VIT113" s="17"/>
      <c r="VIU113" s="17"/>
      <c r="VIV113" s="17"/>
      <c r="VIW113" s="17"/>
      <c r="VIX113" s="17"/>
      <c r="VIY113" s="17"/>
      <c r="VIZ113" s="17"/>
      <c r="VJA113" s="17"/>
      <c r="VJB113" s="17"/>
      <c r="VJC113" s="17"/>
      <c r="VJD113" s="17"/>
      <c r="VJE113" s="17"/>
      <c r="VJF113" s="17"/>
      <c r="VJG113" s="17"/>
      <c r="VJH113" s="17"/>
      <c r="VJI113" s="17"/>
      <c r="VJJ113" s="17"/>
      <c r="VJK113" s="17"/>
      <c r="VJL113" s="17"/>
      <c r="VJM113" s="17"/>
      <c r="VJN113" s="17"/>
      <c r="VJO113" s="17"/>
      <c r="VJP113" s="17"/>
      <c r="VJQ113" s="17"/>
      <c r="VJR113" s="17"/>
      <c r="VJS113" s="17"/>
      <c r="VJT113" s="17"/>
      <c r="VJU113" s="17"/>
      <c r="VJV113" s="17"/>
      <c r="VJW113" s="17"/>
      <c r="VJX113" s="17"/>
      <c r="VJY113" s="17"/>
      <c r="VJZ113" s="17"/>
      <c r="VKA113" s="17"/>
      <c r="VKB113" s="17"/>
      <c r="VKC113" s="17"/>
      <c r="VKD113" s="17"/>
      <c r="VKE113" s="17"/>
      <c r="VKF113" s="17"/>
      <c r="VKG113" s="17"/>
      <c r="VKH113" s="17"/>
      <c r="VKI113" s="17"/>
      <c r="VKJ113" s="17"/>
      <c r="VKK113" s="17"/>
      <c r="VKL113" s="17"/>
      <c r="VKM113" s="17"/>
      <c r="VKN113" s="17"/>
      <c r="VKO113" s="17"/>
      <c r="VKP113" s="17"/>
      <c r="VKQ113" s="17"/>
      <c r="VKR113" s="17"/>
      <c r="VKS113" s="17"/>
      <c r="VKT113" s="17"/>
      <c r="VKU113" s="17"/>
      <c r="VKV113" s="17"/>
      <c r="VKW113" s="17"/>
      <c r="VKX113" s="17"/>
      <c r="VKY113" s="17"/>
      <c r="VKZ113" s="17"/>
      <c r="VLA113" s="17"/>
      <c r="VLB113" s="17"/>
      <c r="VLC113" s="17"/>
      <c r="VLD113" s="17"/>
      <c r="VLE113" s="17"/>
      <c r="VLF113" s="17"/>
      <c r="VLG113" s="17"/>
      <c r="VLH113" s="17"/>
      <c r="VLI113" s="17"/>
      <c r="VLJ113" s="17"/>
      <c r="VLK113" s="17"/>
      <c r="VLL113" s="17"/>
      <c r="VLM113" s="17"/>
      <c r="VLN113" s="17"/>
      <c r="VLO113" s="17"/>
      <c r="VLP113" s="17"/>
      <c r="VLQ113" s="17"/>
      <c r="VLR113" s="17"/>
      <c r="VLS113" s="17"/>
      <c r="VLT113" s="17"/>
      <c r="VLU113" s="17"/>
      <c r="VLV113" s="17"/>
      <c r="VLW113" s="17"/>
      <c r="VLX113" s="17"/>
      <c r="VLY113" s="17"/>
      <c r="VLZ113" s="17"/>
      <c r="VMA113" s="17"/>
      <c r="VMB113" s="17"/>
      <c r="VMC113" s="17"/>
      <c r="VMD113" s="17"/>
      <c r="VME113" s="17"/>
      <c r="VMF113" s="17"/>
      <c r="VMG113" s="17"/>
      <c r="VMH113" s="17"/>
      <c r="VMI113" s="17"/>
      <c r="VMJ113" s="17"/>
      <c r="VMK113" s="17"/>
      <c r="VML113" s="17"/>
      <c r="VMM113" s="17"/>
      <c r="VMN113" s="17"/>
      <c r="VMO113" s="17"/>
      <c r="VMP113" s="17"/>
      <c r="VMQ113" s="17"/>
      <c r="VMR113" s="17"/>
      <c r="VMS113" s="17"/>
      <c r="VMT113" s="17"/>
      <c r="VMU113" s="17"/>
      <c r="VMV113" s="17"/>
      <c r="VMW113" s="17"/>
      <c r="VMX113" s="17"/>
      <c r="VMY113" s="17"/>
      <c r="VMZ113" s="17"/>
      <c r="VNA113" s="17"/>
      <c r="VNB113" s="17"/>
      <c r="VNC113" s="17"/>
      <c r="VND113" s="17"/>
      <c r="VNE113" s="17"/>
      <c r="VNF113" s="17"/>
      <c r="VNG113" s="17"/>
      <c r="VNH113" s="17"/>
      <c r="VNI113" s="17"/>
      <c r="VNJ113" s="17"/>
      <c r="VNK113" s="17"/>
      <c r="VNL113" s="17"/>
      <c r="VNM113" s="17"/>
      <c r="VNN113" s="17"/>
      <c r="VNO113" s="17"/>
      <c r="VNP113" s="17"/>
      <c r="VNQ113" s="17"/>
      <c r="VNR113" s="17"/>
      <c r="VNS113" s="17"/>
      <c r="VNT113" s="17"/>
      <c r="VNU113" s="17"/>
      <c r="VNV113" s="17"/>
      <c r="VNW113" s="17"/>
      <c r="VNX113" s="17"/>
      <c r="VNY113" s="17"/>
      <c r="VNZ113" s="17"/>
      <c r="VOA113" s="17"/>
      <c r="VOB113" s="17"/>
      <c r="VOC113" s="17"/>
      <c r="VOD113" s="17"/>
      <c r="VOE113" s="17"/>
      <c r="VOF113" s="17"/>
      <c r="VOG113" s="17"/>
      <c r="VOH113" s="17"/>
      <c r="VOI113" s="17"/>
      <c r="VOJ113" s="17"/>
      <c r="VOK113" s="17"/>
      <c r="VOL113" s="17"/>
      <c r="VOM113" s="17"/>
      <c r="VON113" s="17"/>
      <c r="VOO113" s="17"/>
      <c r="VOP113" s="17"/>
      <c r="VOQ113" s="17"/>
      <c r="VOR113" s="17"/>
      <c r="VOS113" s="17"/>
      <c r="VOT113" s="17"/>
      <c r="VOU113" s="17"/>
      <c r="VOV113" s="17"/>
      <c r="VOW113" s="17"/>
      <c r="VOX113" s="17"/>
      <c r="VOY113" s="17"/>
      <c r="VOZ113" s="17"/>
      <c r="VPA113" s="17"/>
      <c r="VPB113" s="17"/>
      <c r="VPC113" s="17"/>
      <c r="VPD113" s="17"/>
      <c r="VPE113" s="17"/>
      <c r="VPF113" s="17"/>
      <c r="VPG113" s="17"/>
      <c r="VPH113" s="17"/>
      <c r="VPI113" s="17"/>
      <c r="VPJ113" s="17"/>
      <c r="VPK113" s="17"/>
      <c r="VPL113" s="17"/>
      <c r="VPM113" s="17"/>
      <c r="VPN113" s="17"/>
      <c r="VPO113" s="17"/>
      <c r="VPP113" s="17"/>
      <c r="VPQ113" s="17"/>
      <c r="VPR113" s="17"/>
      <c r="VPS113" s="17"/>
      <c r="VPT113" s="17"/>
      <c r="VPU113" s="17"/>
      <c r="VPV113" s="17"/>
      <c r="VPW113" s="17"/>
      <c r="VPX113" s="17"/>
      <c r="VPY113" s="17"/>
      <c r="VPZ113" s="17"/>
      <c r="VQA113" s="17"/>
      <c r="VQB113" s="17"/>
      <c r="VQC113" s="17"/>
      <c r="VQD113" s="17"/>
      <c r="VQE113" s="17"/>
      <c r="VQF113" s="17"/>
      <c r="VQG113" s="17"/>
      <c r="VQH113" s="17"/>
      <c r="VQI113" s="17"/>
      <c r="VQJ113" s="17"/>
      <c r="VQK113" s="17"/>
      <c r="VQL113" s="17"/>
      <c r="VQM113" s="17"/>
      <c r="VQN113" s="17"/>
      <c r="VQO113" s="17"/>
      <c r="VQP113" s="17"/>
      <c r="VQQ113" s="17"/>
      <c r="VQR113" s="17"/>
      <c r="VQS113" s="17"/>
      <c r="VQT113" s="17"/>
      <c r="VQU113" s="17"/>
      <c r="VQV113" s="17"/>
      <c r="VQW113" s="17"/>
      <c r="VQX113" s="17"/>
      <c r="VQY113" s="17"/>
      <c r="VQZ113" s="17"/>
      <c r="VRA113" s="17"/>
      <c r="VRB113" s="17"/>
      <c r="VRC113" s="17"/>
      <c r="VRD113" s="17"/>
      <c r="VRE113" s="17"/>
      <c r="VRF113" s="17"/>
      <c r="VRG113" s="17"/>
      <c r="VRH113" s="17"/>
      <c r="VRI113" s="17"/>
      <c r="VRJ113" s="17"/>
      <c r="VRK113" s="17"/>
      <c r="VRL113" s="17"/>
      <c r="VRM113" s="17"/>
      <c r="VRN113" s="17"/>
      <c r="VRO113" s="17"/>
      <c r="VRP113" s="17"/>
      <c r="VRQ113" s="17"/>
      <c r="VRR113" s="17"/>
      <c r="VRS113" s="17"/>
      <c r="VRT113" s="17"/>
      <c r="VRU113" s="17"/>
      <c r="VRV113" s="17"/>
      <c r="VRW113" s="17"/>
      <c r="VRX113" s="17"/>
      <c r="VRY113" s="17"/>
      <c r="VRZ113" s="17"/>
      <c r="VSA113" s="17"/>
      <c r="VSB113" s="17"/>
      <c r="VSC113" s="17"/>
      <c r="VSD113" s="17"/>
      <c r="VSE113" s="17"/>
      <c r="VSF113" s="17"/>
      <c r="VSG113" s="17"/>
      <c r="VSH113" s="17"/>
      <c r="VSI113" s="17"/>
      <c r="VSJ113" s="17"/>
      <c r="VSK113" s="17"/>
      <c r="VSL113" s="17"/>
      <c r="VSM113" s="17"/>
      <c r="VSN113" s="17"/>
      <c r="VSO113" s="17"/>
      <c r="VSP113" s="17"/>
      <c r="VSQ113" s="17"/>
      <c r="VSR113" s="17"/>
      <c r="VSS113" s="17"/>
      <c r="VST113" s="17"/>
      <c r="VSU113" s="17"/>
      <c r="VSV113" s="17"/>
      <c r="VSW113" s="17"/>
      <c r="VSX113" s="17"/>
      <c r="VSY113" s="17"/>
      <c r="VSZ113" s="17"/>
      <c r="VTA113" s="17"/>
      <c r="VTB113" s="17"/>
      <c r="VTC113" s="17"/>
      <c r="VTD113" s="17"/>
      <c r="VTE113" s="17"/>
      <c r="VTF113" s="17"/>
      <c r="VTG113" s="17"/>
      <c r="VTH113" s="17"/>
      <c r="VTI113" s="17"/>
      <c r="VTJ113" s="17"/>
      <c r="VTK113" s="17"/>
      <c r="VTL113" s="17"/>
      <c r="VTM113" s="17"/>
      <c r="VTN113" s="17"/>
      <c r="VTO113" s="17"/>
      <c r="VTP113" s="17"/>
      <c r="VTQ113" s="17"/>
      <c r="VTR113" s="17"/>
      <c r="VTS113" s="17"/>
      <c r="VTT113" s="17"/>
      <c r="VTU113" s="17"/>
      <c r="VTV113" s="17"/>
      <c r="VTW113" s="17"/>
      <c r="VTX113" s="17"/>
      <c r="VTY113" s="17"/>
      <c r="VTZ113" s="17"/>
      <c r="VUA113" s="17"/>
      <c r="VUB113" s="17"/>
      <c r="VUC113" s="17"/>
      <c r="VUD113" s="17"/>
      <c r="VUE113" s="17"/>
      <c r="VUF113" s="17"/>
      <c r="VUG113" s="17"/>
      <c r="VUH113" s="17"/>
      <c r="VUI113" s="17"/>
      <c r="VUJ113" s="17"/>
      <c r="VUK113" s="17"/>
      <c r="VUL113" s="17"/>
      <c r="VUM113" s="17"/>
      <c r="VUN113" s="17"/>
      <c r="VUO113" s="17"/>
      <c r="VUP113" s="17"/>
      <c r="VUQ113" s="17"/>
      <c r="VUR113" s="17"/>
      <c r="VUS113" s="17"/>
      <c r="VUT113" s="17"/>
      <c r="VUU113" s="17"/>
      <c r="VUV113" s="17"/>
      <c r="VUW113" s="17"/>
      <c r="VUX113" s="17"/>
      <c r="VUY113" s="17"/>
      <c r="VUZ113" s="17"/>
      <c r="VVA113" s="17"/>
      <c r="VVB113" s="17"/>
      <c r="VVC113" s="17"/>
      <c r="VVD113" s="17"/>
      <c r="VVE113" s="17"/>
      <c r="VVF113" s="17"/>
      <c r="VVG113" s="17"/>
      <c r="VVH113" s="17"/>
      <c r="VVI113" s="17"/>
      <c r="VVJ113" s="17"/>
      <c r="VVK113" s="17"/>
      <c r="VVL113" s="17"/>
      <c r="VVM113" s="17"/>
      <c r="VVN113" s="17"/>
      <c r="VVO113" s="17"/>
      <c r="VVP113" s="17"/>
      <c r="VVQ113" s="17"/>
      <c r="VVR113" s="17"/>
      <c r="VVS113" s="17"/>
      <c r="VVT113" s="17"/>
      <c r="VVU113" s="17"/>
      <c r="VVV113" s="17"/>
      <c r="VVW113" s="17"/>
      <c r="VVX113" s="17"/>
      <c r="VVY113" s="17"/>
      <c r="VVZ113" s="17"/>
      <c r="VWA113" s="17"/>
      <c r="VWB113" s="17"/>
      <c r="VWC113" s="17"/>
      <c r="VWD113" s="17"/>
      <c r="VWE113" s="17"/>
      <c r="VWF113" s="17"/>
      <c r="VWG113" s="17"/>
      <c r="VWH113" s="17"/>
      <c r="VWI113" s="17"/>
      <c r="VWJ113" s="17"/>
      <c r="VWK113" s="17"/>
      <c r="VWL113" s="17"/>
      <c r="VWM113" s="17"/>
      <c r="VWN113" s="17"/>
      <c r="VWO113" s="17"/>
      <c r="VWP113" s="17"/>
      <c r="VWQ113" s="17"/>
      <c r="VWR113" s="17"/>
      <c r="VWS113" s="17"/>
      <c r="VWT113" s="17"/>
      <c r="VWU113" s="17"/>
      <c r="VWV113" s="17"/>
      <c r="VWW113" s="17"/>
      <c r="VWX113" s="17"/>
      <c r="VWY113" s="17"/>
      <c r="VWZ113" s="17"/>
      <c r="VXA113" s="17"/>
      <c r="VXB113" s="17"/>
      <c r="VXC113" s="17"/>
      <c r="VXD113" s="17"/>
      <c r="VXE113" s="17"/>
      <c r="VXF113" s="17"/>
      <c r="VXG113" s="17"/>
      <c r="VXH113" s="17"/>
      <c r="VXI113" s="17"/>
      <c r="VXJ113" s="17"/>
      <c r="VXK113" s="17"/>
      <c r="VXL113" s="17"/>
      <c r="VXM113" s="17"/>
      <c r="VXN113" s="17"/>
      <c r="VXO113" s="17"/>
      <c r="VXP113" s="17"/>
      <c r="VXQ113" s="17"/>
      <c r="VXR113" s="17"/>
      <c r="VXS113" s="17"/>
      <c r="VXT113" s="17"/>
      <c r="VXU113" s="17"/>
      <c r="VXV113" s="17"/>
      <c r="VXW113" s="17"/>
      <c r="VXX113" s="17"/>
      <c r="VXY113" s="17"/>
      <c r="VXZ113" s="17"/>
      <c r="VYA113" s="17"/>
      <c r="VYB113" s="17"/>
      <c r="VYC113" s="17"/>
      <c r="VYD113" s="17"/>
      <c r="VYE113" s="17"/>
      <c r="VYF113" s="17"/>
      <c r="VYG113" s="17"/>
      <c r="VYH113" s="17"/>
      <c r="VYI113" s="17"/>
      <c r="VYJ113" s="17"/>
      <c r="VYK113" s="17"/>
      <c r="VYL113" s="17"/>
      <c r="VYM113" s="17"/>
      <c r="VYN113" s="17"/>
      <c r="VYO113" s="17"/>
      <c r="VYP113" s="17"/>
      <c r="VYQ113" s="17"/>
      <c r="VYR113" s="17"/>
      <c r="VYS113" s="17"/>
      <c r="VYT113" s="17"/>
      <c r="VYU113" s="17"/>
      <c r="VYV113" s="17"/>
      <c r="VYW113" s="17"/>
      <c r="VYX113" s="17"/>
      <c r="VYY113" s="17"/>
      <c r="VYZ113" s="17"/>
      <c r="VZA113" s="17"/>
      <c r="VZB113" s="17"/>
      <c r="VZC113" s="17"/>
      <c r="VZD113" s="17"/>
      <c r="VZE113" s="17"/>
      <c r="VZF113" s="17"/>
      <c r="VZG113" s="17"/>
      <c r="VZH113" s="17"/>
      <c r="VZI113" s="17"/>
      <c r="VZJ113" s="17"/>
      <c r="VZK113" s="17"/>
      <c r="VZL113" s="17"/>
      <c r="VZM113" s="17"/>
      <c r="VZN113" s="17"/>
      <c r="VZO113" s="17"/>
      <c r="VZP113" s="17"/>
      <c r="VZQ113" s="17"/>
      <c r="VZR113" s="17"/>
      <c r="VZS113" s="17"/>
      <c r="VZT113" s="17"/>
      <c r="VZU113" s="17"/>
      <c r="VZV113" s="17"/>
      <c r="VZW113" s="17"/>
      <c r="VZX113" s="17"/>
      <c r="VZY113" s="17"/>
      <c r="VZZ113" s="17"/>
      <c r="WAA113" s="17"/>
      <c r="WAB113" s="17"/>
      <c r="WAC113" s="17"/>
      <c r="WAD113" s="17"/>
      <c r="WAE113" s="17"/>
      <c r="WAF113" s="17"/>
      <c r="WAG113" s="17"/>
      <c r="WAH113" s="17"/>
      <c r="WAI113" s="17"/>
      <c r="WAJ113" s="17"/>
      <c r="WAK113" s="17"/>
      <c r="WAL113" s="17"/>
      <c r="WAM113" s="17"/>
      <c r="WAN113" s="17"/>
      <c r="WAO113" s="17"/>
      <c r="WAP113" s="17"/>
      <c r="WAQ113" s="17"/>
      <c r="WAR113" s="17"/>
      <c r="WAS113" s="17"/>
      <c r="WAT113" s="17"/>
      <c r="WAU113" s="17"/>
      <c r="WAV113" s="17"/>
      <c r="WAW113" s="17"/>
      <c r="WAX113" s="17"/>
      <c r="WAY113" s="17"/>
      <c r="WAZ113" s="17"/>
      <c r="WBA113" s="17"/>
      <c r="WBB113" s="17"/>
      <c r="WBC113" s="17"/>
      <c r="WBD113" s="17"/>
      <c r="WBE113" s="17"/>
      <c r="WBF113" s="17"/>
      <c r="WBG113" s="17"/>
      <c r="WBH113" s="17"/>
      <c r="WBI113" s="17"/>
      <c r="WBJ113" s="17"/>
      <c r="WBK113" s="17"/>
      <c r="WBL113" s="17"/>
      <c r="WBM113" s="17"/>
      <c r="WBN113" s="17"/>
      <c r="WBO113" s="17"/>
      <c r="WBP113" s="17"/>
      <c r="WBQ113" s="17"/>
      <c r="WBR113" s="17"/>
      <c r="WBS113" s="17"/>
      <c r="WBT113" s="17"/>
      <c r="WBU113" s="17"/>
      <c r="WBV113" s="17"/>
      <c r="WBW113" s="17"/>
      <c r="WBX113" s="17"/>
      <c r="WBY113" s="17"/>
      <c r="WBZ113" s="17"/>
      <c r="WCA113" s="17"/>
      <c r="WCB113" s="17"/>
      <c r="WCC113" s="17"/>
      <c r="WCD113" s="17"/>
      <c r="WCE113" s="17"/>
      <c r="WCF113" s="17"/>
      <c r="WCG113" s="17"/>
      <c r="WCH113" s="17"/>
      <c r="WCI113" s="17"/>
      <c r="WCJ113" s="17"/>
      <c r="WCK113" s="17"/>
      <c r="WCL113" s="17"/>
      <c r="WCM113" s="17"/>
      <c r="WCN113" s="17"/>
      <c r="WCO113" s="17"/>
      <c r="WCP113" s="17"/>
      <c r="WCQ113" s="17"/>
      <c r="WCR113" s="17"/>
      <c r="WCS113" s="17"/>
      <c r="WCT113" s="17"/>
      <c r="WCU113" s="17"/>
      <c r="WCV113" s="17"/>
      <c r="WCW113" s="17"/>
      <c r="WCX113" s="17"/>
      <c r="WCY113" s="17"/>
      <c r="WCZ113" s="17"/>
      <c r="WDA113" s="17"/>
      <c r="WDB113" s="17"/>
      <c r="WDC113" s="17"/>
      <c r="WDD113" s="17"/>
      <c r="WDE113" s="17"/>
      <c r="WDF113" s="17"/>
      <c r="WDG113" s="17"/>
      <c r="WDH113" s="17"/>
      <c r="WDI113" s="17"/>
      <c r="WDJ113" s="17"/>
      <c r="WDK113" s="17"/>
      <c r="WDL113" s="17"/>
      <c r="WDM113" s="17"/>
      <c r="WDN113" s="17"/>
      <c r="WDO113" s="17"/>
      <c r="WDP113" s="17"/>
      <c r="WDQ113" s="17"/>
      <c r="WDR113" s="17"/>
      <c r="WDS113" s="17"/>
      <c r="WDT113" s="17"/>
      <c r="WDU113" s="17"/>
      <c r="WDV113" s="17"/>
      <c r="WDW113" s="17"/>
      <c r="WDX113" s="17"/>
      <c r="WDY113" s="17"/>
      <c r="WDZ113" s="17"/>
      <c r="WEA113" s="17"/>
      <c r="WEB113" s="17"/>
      <c r="WEC113" s="17"/>
      <c r="WED113" s="17"/>
      <c r="WEE113" s="17"/>
      <c r="WEF113" s="17"/>
      <c r="WEG113" s="17"/>
      <c r="WEH113" s="17"/>
      <c r="WEI113" s="17"/>
      <c r="WEJ113" s="17"/>
      <c r="WEK113" s="17"/>
      <c r="WEL113" s="17"/>
      <c r="WEM113" s="17"/>
      <c r="WEN113" s="17"/>
      <c r="WEO113" s="17"/>
      <c r="WEP113" s="17"/>
      <c r="WEQ113" s="17"/>
      <c r="WER113" s="17"/>
      <c r="WES113" s="17"/>
      <c r="WET113" s="17"/>
      <c r="WEU113" s="17"/>
      <c r="WEV113" s="17"/>
      <c r="WEW113" s="17"/>
      <c r="WEX113" s="17"/>
      <c r="WEY113" s="17"/>
      <c r="WEZ113" s="17"/>
      <c r="WFA113" s="17"/>
      <c r="WFB113" s="17"/>
      <c r="WFC113" s="17"/>
      <c r="WFD113" s="17"/>
      <c r="WFE113" s="17"/>
      <c r="WFF113" s="17"/>
      <c r="WFG113" s="17"/>
      <c r="WFH113" s="17"/>
      <c r="WFI113" s="17"/>
      <c r="WFJ113" s="17"/>
      <c r="WFK113" s="17"/>
      <c r="WFL113" s="17"/>
      <c r="WFM113" s="17"/>
      <c r="WFN113" s="17"/>
      <c r="WFO113" s="17"/>
      <c r="WFP113" s="17"/>
      <c r="WFQ113" s="17"/>
      <c r="WFR113" s="17"/>
      <c r="WFS113" s="17"/>
      <c r="WFT113" s="17"/>
      <c r="WFU113" s="17"/>
      <c r="WFV113" s="17"/>
      <c r="WFW113" s="17"/>
      <c r="WFX113" s="17"/>
      <c r="WFY113" s="17"/>
      <c r="WFZ113" s="17"/>
      <c r="WGA113" s="17"/>
      <c r="WGB113" s="17"/>
      <c r="WGC113" s="17"/>
      <c r="WGD113" s="17"/>
      <c r="WGE113" s="17"/>
      <c r="WGF113" s="17"/>
      <c r="WGG113" s="17"/>
      <c r="WGH113" s="17"/>
      <c r="WGI113" s="17"/>
      <c r="WGJ113" s="17"/>
      <c r="WGK113" s="17"/>
      <c r="WGL113" s="17"/>
      <c r="WGM113" s="17"/>
      <c r="WGN113" s="17"/>
      <c r="WGO113" s="17"/>
      <c r="WGP113" s="17"/>
      <c r="WGQ113" s="17"/>
      <c r="WGR113" s="17"/>
      <c r="WGS113" s="17"/>
      <c r="WGT113" s="17"/>
      <c r="WGU113" s="17"/>
      <c r="WGV113" s="17"/>
      <c r="WGW113" s="17"/>
      <c r="WGX113" s="17"/>
      <c r="WGY113" s="17"/>
      <c r="WGZ113" s="17"/>
      <c r="WHA113" s="17"/>
      <c r="WHB113" s="17"/>
      <c r="WHC113" s="17"/>
      <c r="WHD113" s="17"/>
      <c r="WHE113" s="17"/>
      <c r="WHF113" s="17"/>
      <c r="WHG113" s="17"/>
      <c r="WHH113" s="17"/>
      <c r="WHI113" s="17"/>
      <c r="WHJ113" s="17"/>
      <c r="WHK113" s="17"/>
      <c r="WHL113" s="17"/>
      <c r="WHM113" s="17"/>
      <c r="WHN113" s="17"/>
      <c r="WHO113" s="17"/>
      <c r="WHP113" s="17"/>
      <c r="WHQ113" s="17"/>
      <c r="WHR113" s="17"/>
      <c r="WHS113" s="17"/>
      <c r="WHT113" s="17"/>
      <c r="WHU113" s="17"/>
      <c r="WHV113" s="17"/>
      <c r="WHW113" s="17"/>
      <c r="WHX113" s="17"/>
      <c r="WHY113" s="17"/>
      <c r="WHZ113" s="17"/>
      <c r="WIA113" s="17"/>
      <c r="WIB113" s="17"/>
      <c r="WIC113" s="17"/>
      <c r="WID113" s="17"/>
      <c r="WIE113" s="17"/>
      <c r="WIF113" s="17"/>
      <c r="WIG113" s="17"/>
      <c r="WIH113" s="17"/>
      <c r="WII113" s="17"/>
      <c r="WIJ113" s="17"/>
      <c r="WIK113" s="17"/>
      <c r="WIL113" s="17"/>
      <c r="WIM113" s="17"/>
      <c r="WIN113" s="17"/>
      <c r="WIO113" s="17"/>
      <c r="WIP113" s="17"/>
      <c r="WIQ113" s="17"/>
      <c r="WIR113" s="17"/>
      <c r="WIS113" s="17"/>
      <c r="WIT113" s="17"/>
      <c r="WIU113" s="17"/>
      <c r="WIV113" s="17"/>
      <c r="WIW113" s="17"/>
      <c r="WIX113" s="17"/>
      <c r="WIY113" s="17"/>
      <c r="WIZ113" s="17"/>
      <c r="WJA113" s="17"/>
      <c r="WJB113" s="17"/>
      <c r="WJC113" s="17"/>
      <c r="WJD113" s="17"/>
      <c r="WJE113" s="17"/>
      <c r="WJF113" s="17"/>
      <c r="WJG113" s="17"/>
      <c r="WJH113" s="17"/>
      <c r="WJI113" s="17"/>
      <c r="WJJ113" s="17"/>
      <c r="WJK113" s="17"/>
      <c r="WJL113" s="17"/>
      <c r="WJM113" s="17"/>
      <c r="WJN113" s="17"/>
      <c r="WJO113" s="17"/>
      <c r="WJP113" s="17"/>
      <c r="WJQ113" s="17"/>
      <c r="WJR113" s="17"/>
      <c r="WJS113" s="17"/>
      <c r="WJT113" s="17"/>
      <c r="WJU113" s="17"/>
      <c r="WJV113" s="17"/>
      <c r="WJW113" s="17"/>
      <c r="WJX113" s="17"/>
      <c r="WJY113" s="17"/>
      <c r="WJZ113" s="17"/>
      <c r="WKA113" s="17"/>
      <c r="WKB113" s="17"/>
      <c r="WKC113" s="17"/>
      <c r="WKD113" s="17"/>
      <c r="WKE113" s="17"/>
      <c r="WKF113" s="17"/>
      <c r="WKG113" s="17"/>
      <c r="WKH113" s="17"/>
      <c r="WKI113" s="17"/>
      <c r="WKJ113" s="17"/>
      <c r="WKK113" s="17"/>
      <c r="WKL113" s="17"/>
      <c r="WKM113" s="17"/>
      <c r="WKN113" s="17"/>
      <c r="WKO113" s="17"/>
      <c r="WKP113" s="17"/>
      <c r="WKQ113" s="17"/>
      <c r="WKR113" s="17"/>
      <c r="WKS113" s="17"/>
      <c r="WKT113" s="17"/>
      <c r="WKU113" s="17"/>
      <c r="WKV113" s="17"/>
      <c r="WKW113" s="17"/>
      <c r="WKX113" s="17"/>
      <c r="WKY113" s="17"/>
      <c r="WKZ113" s="17"/>
      <c r="WLA113" s="17"/>
      <c r="WLB113" s="17"/>
      <c r="WLC113" s="17"/>
      <c r="WLD113" s="17"/>
      <c r="WLE113" s="17"/>
      <c r="WLF113" s="17"/>
      <c r="WLG113" s="17"/>
      <c r="WLH113" s="17"/>
      <c r="WLI113" s="17"/>
      <c r="WLJ113" s="17"/>
      <c r="WLK113" s="17"/>
      <c r="WLL113" s="17"/>
      <c r="WLM113" s="17"/>
      <c r="WLN113" s="17"/>
      <c r="WLO113" s="17"/>
      <c r="WLP113" s="17"/>
      <c r="WLQ113" s="17"/>
      <c r="WLR113" s="17"/>
      <c r="WLS113" s="17"/>
      <c r="WLT113" s="17"/>
      <c r="WLU113" s="17"/>
      <c r="WLV113" s="17"/>
      <c r="WLW113" s="17"/>
      <c r="WLX113" s="17"/>
      <c r="WLY113" s="17"/>
      <c r="WLZ113" s="17"/>
      <c r="WMA113" s="17"/>
      <c r="WMB113" s="17"/>
      <c r="WMC113" s="17"/>
      <c r="WMD113" s="17"/>
      <c r="WME113" s="17"/>
      <c r="WMF113" s="17"/>
      <c r="WMG113" s="17"/>
      <c r="WMH113" s="17"/>
      <c r="WMI113" s="17"/>
      <c r="WMJ113" s="17"/>
      <c r="WMK113" s="17"/>
      <c r="WML113" s="17"/>
      <c r="WMM113" s="17"/>
      <c r="WMN113" s="17"/>
      <c r="WMO113" s="17"/>
      <c r="WMP113" s="17"/>
      <c r="WMQ113" s="17"/>
      <c r="WMR113" s="17"/>
      <c r="WMS113" s="17"/>
      <c r="WMT113" s="17"/>
      <c r="WMU113" s="17"/>
      <c r="WMV113" s="17"/>
      <c r="WMW113" s="17"/>
      <c r="WMX113" s="17"/>
      <c r="WMY113" s="17"/>
      <c r="WMZ113" s="17"/>
      <c r="WNA113" s="17"/>
      <c r="WNB113" s="17"/>
      <c r="WNC113" s="17"/>
      <c r="WND113" s="17"/>
      <c r="WNE113" s="17"/>
      <c r="WNF113" s="17"/>
      <c r="WNG113" s="17"/>
      <c r="WNH113" s="17"/>
      <c r="WNI113" s="17"/>
      <c r="WNJ113" s="17"/>
      <c r="WNK113" s="17"/>
      <c r="WNL113" s="17"/>
      <c r="WNM113" s="17"/>
      <c r="WNN113" s="17"/>
      <c r="WNO113" s="17"/>
      <c r="WNP113" s="17"/>
      <c r="WNQ113" s="17"/>
      <c r="WNR113" s="17"/>
      <c r="WNS113" s="17"/>
      <c r="WNT113" s="17"/>
      <c r="WNU113" s="17"/>
      <c r="WNV113" s="17"/>
      <c r="WNW113" s="17"/>
      <c r="WNX113" s="17"/>
      <c r="WNY113" s="17"/>
      <c r="WNZ113" s="17"/>
      <c r="WOA113" s="17"/>
      <c r="WOB113" s="17"/>
      <c r="WOC113" s="17"/>
      <c r="WOD113" s="17"/>
      <c r="WOE113" s="17"/>
      <c r="WOF113" s="17"/>
      <c r="WOG113" s="17"/>
      <c r="WOH113" s="17"/>
      <c r="WOI113" s="17"/>
      <c r="WOJ113" s="17"/>
      <c r="WOK113" s="17"/>
      <c r="WOL113" s="17"/>
      <c r="WOM113" s="17"/>
      <c r="WON113" s="17"/>
      <c r="WOO113" s="17"/>
      <c r="WOP113" s="17"/>
      <c r="WOQ113" s="17"/>
      <c r="WOR113" s="17"/>
      <c r="WOS113" s="17"/>
      <c r="WOT113" s="17"/>
      <c r="WOU113" s="17"/>
      <c r="WOV113" s="17"/>
      <c r="WOW113" s="17"/>
      <c r="WOX113" s="17"/>
      <c r="WOY113" s="17"/>
      <c r="WOZ113" s="17"/>
      <c r="WPA113" s="17"/>
      <c r="WPB113" s="17"/>
      <c r="WPC113" s="17"/>
      <c r="WPD113" s="17"/>
      <c r="WPE113" s="17"/>
      <c r="WPF113" s="17"/>
      <c r="WPG113" s="17"/>
      <c r="WPH113" s="17"/>
      <c r="WPI113" s="17"/>
      <c r="WPJ113" s="17"/>
      <c r="WPK113" s="17"/>
      <c r="WPL113" s="17"/>
      <c r="WPM113" s="17"/>
      <c r="WPN113" s="17"/>
      <c r="WPO113" s="17"/>
      <c r="WPP113" s="17"/>
      <c r="WPQ113" s="17"/>
      <c r="WPR113" s="17"/>
      <c r="WPS113" s="17"/>
      <c r="WPT113" s="17"/>
      <c r="WPU113" s="17"/>
      <c r="WPV113" s="17"/>
      <c r="WPW113" s="17"/>
      <c r="WPX113" s="17"/>
      <c r="WPY113" s="17"/>
      <c r="WPZ113" s="17"/>
      <c r="WQA113" s="17"/>
      <c r="WQB113" s="17"/>
      <c r="WQC113" s="17"/>
      <c r="WQD113" s="17"/>
      <c r="WQE113" s="17"/>
      <c r="WQF113" s="17"/>
      <c r="WQG113" s="17"/>
      <c r="WQH113" s="17"/>
      <c r="WQI113" s="17"/>
      <c r="WQJ113" s="17"/>
      <c r="WQK113" s="17"/>
      <c r="WQL113" s="17"/>
      <c r="WQM113" s="17"/>
      <c r="WQN113" s="17"/>
      <c r="WQO113" s="17"/>
      <c r="WQP113" s="17"/>
      <c r="WQQ113" s="17"/>
      <c r="WQR113" s="17"/>
      <c r="WQS113" s="17"/>
      <c r="WQT113" s="17"/>
      <c r="WQU113" s="17"/>
      <c r="WQV113" s="17"/>
      <c r="WQW113" s="17"/>
      <c r="WQX113" s="17"/>
      <c r="WQY113" s="17"/>
      <c r="WQZ113" s="17"/>
      <c r="WRA113" s="17"/>
      <c r="WRB113" s="17"/>
      <c r="WRC113" s="17"/>
      <c r="WRD113" s="17"/>
      <c r="WRE113" s="17"/>
      <c r="WRF113" s="17"/>
      <c r="WRG113" s="17"/>
      <c r="WRH113" s="17"/>
      <c r="WRI113" s="17"/>
      <c r="WRJ113" s="17"/>
      <c r="WRK113" s="17"/>
      <c r="WRL113" s="17"/>
      <c r="WRM113" s="17"/>
      <c r="WRN113" s="17"/>
      <c r="WRO113" s="17"/>
      <c r="WRP113" s="17"/>
      <c r="WRQ113" s="17"/>
      <c r="WRR113" s="17"/>
      <c r="WRS113" s="17"/>
      <c r="WRT113" s="17"/>
      <c r="WRU113" s="17"/>
      <c r="WRV113" s="17"/>
      <c r="WRW113" s="17"/>
      <c r="WRX113" s="17"/>
      <c r="WRY113" s="17"/>
      <c r="WRZ113" s="17"/>
      <c r="WSA113" s="17"/>
      <c r="WSB113" s="17"/>
      <c r="WSC113" s="17"/>
      <c r="WSD113" s="17"/>
      <c r="WSE113" s="17"/>
      <c r="WSF113" s="17"/>
      <c r="WSG113" s="17"/>
      <c r="WSH113" s="17"/>
      <c r="WSI113" s="17"/>
      <c r="WSJ113" s="17"/>
      <c r="WSK113" s="17"/>
      <c r="WSL113" s="17"/>
      <c r="WSM113" s="17"/>
      <c r="WSN113" s="17"/>
      <c r="WSO113" s="17"/>
      <c r="WSP113" s="17"/>
      <c r="WSQ113" s="17"/>
      <c r="WSR113" s="17"/>
      <c r="WSS113" s="17"/>
      <c r="WST113" s="17"/>
      <c r="WSU113" s="17"/>
      <c r="WSV113" s="17"/>
      <c r="WSW113" s="17"/>
      <c r="WSX113" s="17"/>
      <c r="WSY113" s="17"/>
      <c r="WSZ113" s="17"/>
      <c r="WTA113" s="17"/>
      <c r="WTB113" s="17"/>
      <c r="WTC113" s="17"/>
      <c r="WTD113" s="17"/>
      <c r="WTE113" s="17"/>
      <c r="WTF113" s="17"/>
      <c r="WTG113" s="17"/>
      <c r="WTH113" s="17"/>
      <c r="WTI113" s="17"/>
      <c r="WTJ113" s="17"/>
      <c r="WTK113" s="17"/>
      <c r="WTL113" s="17"/>
      <c r="WTM113" s="17"/>
      <c r="WTN113" s="17"/>
      <c r="WTO113" s="17"/>
      <c r="WTP113" s="17"/>
      <c r="WTQ113" s="17"/>
      <c r="WTR113" s="17"/>
      <c r="WTS113" s="17"/>
      <c r="WTT113" s="17"/>
      <c r="WTU113" s="17"/>
      <c r="WTV113" s="17"/>
      <c r="WTW113" s="17"/>
      <c r="WTX113" s="17"/>
      <c r="WTY113" s="17"/>
      <c r="WTZ113" s="17"/>
      <c r="WUA113" s="17"/>
      <c r="WUB113" s="17"/>
      <c r="WUC113" s="17"/>
      <c r="WUD113" s="17"/>
      <c r="WUE113" s="17"/>
      <c r="WUF113" s="17"/>
      <c r="WUG113" s="17"/>
      <c r="WUH113" s="17"/>
      <c r="WUI113" s="17"/>
      <c r="WUJ113" s="17"/>
      <c r="WUK113" s="17"/>
      <c r="WUL113" s="17"/>
      <c r="WUM113" s="17"/>
      <c r="WUN113" s="17"/>
      <c r="WUO113" s="17"/>
      <c r="WUP113" s="17"/>
      <c r="WUQ113" s="17"/>
      <c r="WUR113" s="17"/>
      <c r="WUS113" s="17"/>
      <c r="WUT113" s="17"/>
      <c r="WUU113" s="17"/>
      <c r="WUV113" s="17"/>
      <c r="WUW113" s="17"/>
      <c r="WUX113" s="17"/>
      <c r="WUY113" s="17"/>
      <c r="WUZ113" s="17"/>
      <c r="WVA113" s="17"/>
      <c r="WVB113" s="17"/>
      <c r="WVC113" s="17"/>
      <c r="WVD113" s="17"/>
      <c r="WVE113" s="17"/>
      <c r="WVF113" s="17"/>
      <c r="WVG113" s="17"/>
      <c r="WVH113" s="17"/>
      <c r="WVI113" s="17"/>
      <c r="WVJ113" s="17"/>
      <c r="WVK113" s="17"/>
      <c r="WVL113" s="17"/>
      <c r="WVM113" s="17"/>
      <c r="WVN113" s="17"/>
      <c r="WVO113" s="17"/>
      <c r="WVP113" s="17"/>
      <c r="WVQ113" s="17"/>
      <c r="WVR113" s="17"/>
      <c r="WVS113" s="17"/>
      <c r="WVT113" s="17"/>
      <c r="WVU113" s="17"/>
      <c r="WVV113" s="17"/>
      <c r="WVW113" s="17"/>
      <c r="WVX113" s="17"/>
      <c r="WVY113" s="17"/>
      <c r="WVZ113" s="17"/>
      <c r="WWA113" s="17"/>
      <c r="WWB113" s="17"/>
      <c r="WWC113" s="17"/>
      <c r="WWD113" s="17"/>
      <c r="WWE113" s="17"/>
      <c r="WWF113" s="17"/>
      <c r="WWG113" s="17"/>
      <c r="WWH113" s="17"/>
      <c r="WWI113" s="17"/>
      <c r="WWJ113" s="17"/>
      <c r="WWK113" s="17"/>
      <c r="WWL113" s="17"/>
      <c r="WWM113" s="17"/>
      <c r="WWN113" s="17"/>
      <c r="WWO113" s="17"/>
      <c r="WWP113" s="17"/>
      <c r="WWQ113" s="17"/>
      <c r="WWR113" s="17"/>
      <c r="WWS113" s="17"/>
      <c r="WWT113" s="17"/>
      <c r="WWU113" s="17"/>
      <c r="WWV113" s="17"/>
      <c r="WWW113" s="17"/>
      <c r="WWX113" s="17"/>
      <c r="WWY113" s="17"/>
      <c r="WWZ113" s="17"/>
      <c r="WXA113" s="17"/>
      <c r="WXB113" s="17"/>
      <c r="WXC113" s="17"/>
      <c r="WXD113" s="17"/>
      <c r="WXE113" s="17"/>
      <c r="WXF113" s="17"/>
      <c r="WXG113" s="17"/>
      <c r="WXH113" s="17"/>
      <c r="WXI113" s="17"/>
      <c r="WXJ113" s="17"/>
      <c r="WXK113" s="17"/>
      <c r="WXL113" s="17"/>
      <c r="WXM113" s="17"/>
      <c r="WXN113" s="17"/>
      <c r="WXO113" s="17"/>
      <c r="WXP113" s="17"/>
      <c r="WXQ113" s="17"/>
      <c r="WXR113" s="17"/>
      <c r="WXS113" s="17"/>
      <c r="WXT113" s="17"/>
      <c r="WXU113" s="17"/>
      <c r="WXV113" s="17"/>
      <c r="WXW113" s="17"/>
      <c r="WXX113" s="17"/>
      <c r="WXY113" s="17"/>
      <c r="WXZ113" s="17"/>
      <c r="WYA113" s="17"/>
      <c r="WYB113" s="17"/>
      <c r="WYC113" s="17"/>
      <c r="WYD113" s="17"/>
      <c r="WYE113" s="17"/>
      <c r="WYF113" s="17"/>
      <c r="WYG113" s="17"/>
      <c r="WYH113" s="17"/>
      <c r="WYI113" s="17"/>
      <c r="WYJ113" s="17"/>
      <c r="WYK113" s="17"/>
      <c r="WYL113" s="17"/>
      <c r="WYM113" s="17"/>
      <c r="WYN113" s="17"/>
      <c r="WYO113" s="17"/>
      <c r="WYP113" s="17"/>
      <c r="WYQ113" s="17"/>
      <c r="WYR113" s="17"/>
      <c r="WYS113" s="17"/>
      <c r="WYT113" s="17"/>
      <c r="WYU113" s="17"/>
      <c r="WYV113" s="17"/>
      <c r="WYW113" s="17"/>
      <c r="WYX113" s="17"/>
      <c r="WYY113" s="17"/>
      <c r="WYZ113" s="17"/>
      <c r="WZA113" s="17"/>
      <c r="WZB113" s="17"/>
      <c r="WZC113" s="17"/>
      <c r="WZD113" s="17"/>
      <c r="WZE113" s="17"/>
      <c r="WZF113" s="17"/>
      <c r="WZG113" s="17"/>
      <c r="WZH113" s="17"/>
      <c r="WZI113" s="17"/>
      <c r="WZJ113" s="17"/>
      <c r="WZK113" s="17"/>
      <c r="WZL113" s="17"/>
      <c r="WZM113" s="17"/>
      <c r="WZN113" s="17"/>
      <c r="WZO113" s="17"/>
      <c r="WZP113" s="17"/>
      <c r="WZQ113" s="17"/>
      <c r="WZR113" s="17"/>
      <c r="WZS113" s="17"/>
      <c r="WZT113" s="17"/>
      <c r="WZU113" s="17"/>
      <c r="WZV113" s="17"/>
      <c r="WZW113" s="17"/>
      <c r="WZX113" s="17"/>
      <c r="WZY113" s="17"/>
      <c r="WZZ113" s="17"/>
      <c r="XAA113" s="17"/>
      <c r="XAB113" s="17"/>
      <c r="XAC113" s="17"/>
      <c r="XAD113" s="17"/>
      <c r="XAE113" s="17"/>
      <c r="XAF113" s="17"/>
      <c r="XAG113" s="17"/>
      <c r="XAH113" s="17"/>
      <c r="XAI113" s="17"/>
      <c r="XAJ113" s="17"/>
      <c r="XAK113" s="17"/>
      <c r="XAL113" s="17"/>
      <c r="XAM113" s="17"/>
      <c r="XAN113" s="17"/>
      <c r="XAO113" s="17"/>
      <c r="XAP113" s="17"/>
      <c r="XAQ113" s="17"/>
      <c r="XAR113" s="17"/>
      <c r="XAS113" s="17"/>
      <c r="XAT113" s="17"/>
      <c r="XAU113" s="17"/>
      <c r="XAV113" s="17"/>
      <c r="XAW113" s="17"/>
      <c r="XAX113" s="17"/>
      <c r="XAY113" s="17"/>
      <c r="XAZ113" s="17"/>
      <c r="XBA113" s="17"/>
      <c r="XBB113" s="17"/>
      <c r="XBC113" s="17"/>
      <c r="XBD113" s="17"/>
      <c r="XBE113" s="17"/>
      <c r="XBF113" s="17"/>
      <c r="XBG113" s="17"/>
      <c r="XBH113" s="17"/>
      <c r="XBI113" s="17"/>
      <c r="XBJ113" s="17"/>
      <c r="XBK113" s="17"/>
      <c r="XBL113" s="17"/>
      <c r="XBM113" s="17"/>
      <c r="XBN113" s="17"/>
      <c r="XBO113" s="17"/>
      <c r="XBP113" s="17"/>
      <c r="XBQ113" s="17"/>
      <c r="XBR113" s="17"/>
      <c r="XBS113" s="17"/>
      <c r="XBT113" s="17"/>
      <c r="XBU113" s="17"/>
      <c r="XBV113" s="17"/>
      <c r="XBW113" s="17"/>
      <c r="XBX113" s="17"/>
      <c r="XBY113" s="17"/>
      <c r="XBZ113" s="17"/>
      <c r="XCA113" s="17"/>
      <c r="XCB113" s="17"/>
      <c r="XCC113" s="17"/>
      <c r="XCD113" s="17"/>
      <c r="XCE113" s="17"/>
      <c r="XCF113" s="17"/>
      <c r="XCG113" s="17"/>
      <c r="XCH113" s="17"/>
      <c r="XCI113" s="17"/>
      <c r="XCJ113" s="17"/>
      <c r="XCK113" s="17"/>
      <c r="XCL113" s="17"/>
      <c r="XCM113" s="17"/>
      <c r="XCN113" s="17"/>
      <c r="XCO113" s="17"/>
      <c r="XCP113" s="17"/>
      <c r="XCQ113" s="17"/>
      <c r="XCR113" s="17"/>
      <c r="XCS113" s="17"/>
      <c r="XCT113" s="17"/>
      <c r="XCU113" s="17"/>
      <c r="XCV113" s="17"/>
      <c r="XCW113" s="17"/>
      <c r="XCX113" s="17"/>
      <c r="XCY113" s="17"/>
      <c r="XCZ113" s="17"/>
      <c r="XDA113" s="17"/>
      <c r="XDB113" s="17"/>
      <c r="XDC113" s="17"/>
      <c r="XDD113" s="17"/>
      <c r="XDE113" s="17"/>
      <c r="XDF113" s="17"/>
      <c r="XDG113" s="17"/>
      <c r="XDH113" s="17"/>
      <c r="XDI113" s="17"/>
      <c r="XDJ113" s="17"/>
      <c r="XDK113" s="17"/>
      <c r="XDL113" s="17"/>
      <c r="XDM113" s="17"/>
      <c r="XDN113" s="17"/>
      <c r="XDO113" s="17"/>
      <c r="XDP113" s="17"/>
      <c r="XDQ113" s="17"/>
      <c r="XDR113" s="17"/>
      <c r="XDS113" s="17"/>
      <c r="XDT113" s="17"/>
      <c r="XDU113" s="17"/>
      <c r="XDV113" s="17"/>
      <c r="XDW113" s="17"/>
      <c r="XDX113" s="17"/>
      <c r="XDY113" s="17"/>
      <c r="XDZ113" s="17"/>
      <c r="XEA113" s="17"/>
      <c r="XEB113" s="17"/>
      <c r="XEC113" s="17"/>
      <c r="XED113" s="17"/>
      <c r="XEE113" s="17"/>
      <c r="XEF113" s="17"/>
      <c r="XEG113" s="17"/>
      <c r="XEH113" s="17"/>
      <c r="XEI113" s="17"/>
      <c r="XEJ113" s="17"/>
      <c r="XEK113" s="17"/>
      <c r="XEL113" s="17"/>
      <c r="XEM113" s="17"/>
      <c r="XEN113" s="17"/>
      <c r="XEO113" s="17"/>
      <c r="XEP113" s="17"/>
      <c r="XEQ113" s="17"/>
      <c r="XER113" s="17"/>
      <c r="XES113" s="17"/>
      <c r="XET113" s="17"/>
      <c r="XEU113" s="17"/>
      <c r="XEV113" s="17"/>
      <c r="XEW113" s="17"/>
      <c r="XEX113" s="17"/>
      <c r="XEY113" s="10"/>
      <c r="XEZ113" s="10"/>
      <c r="XFA113" s="10"/>
      <c r="XFB113" s="10"/>
      <c r="XFC113" s="94"/>
    </row>
    <row r="114" s="4" customFormat="1" ht="42" customHeight="1" spans="1:16383">
      <c r="A114" s="61"/>
      <c r="B114" s="62"/>
      <c r="C114" s="34" t="s">
        <v>118</v>
      </c>
      <c r="D114" s="35"/>
      <c r="E114" s="67" t="s">
        <v>27</v>
      </c>
      <c r="F114" s="68">
        <v>0</v>
      </c>
      <c r="G114" s="71">
        <v>100</v>
      </c>
      <c r="H114" s="71">
        <f t="shared" si="6"/>
        <v>0</v>
      </c>
      <c r="I114" s="80" t="s">
        <v>117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7"/>
      <c r="IP114" s="17"/>
      <c r="IQ114" s="17"/>
      <c r="IR114" s="17"/>
      <c r="IS114" s="17"/>
      <c r="IT114" s="17"/>
      <c r="IU114" s="17"/>
      <c r="IV114" s="17"/>
      <c r="IW114" s="17"/>
      <c r="IX114" s="17"/>
      <c r="IY114" s="17"/>
      <c r="IZ114" s="17"/>
      <c r="JA114" s="17"/>
      <c r="JB114" s="17"/>
      <c r="JC114" s="17"/>
      <c r="JD114" s="17"/>
      <c r="JE114" s="17"/>
      <c r="JF114" s="17"/>
      <c r="JG114" s="17"/>
      <c r="JH114" s="17"/>
      <c r="JI114" s="17"/>
      <c r="JJ114" s="17"/>
      <c r="JK114" s="17"/>
      <c r="JL114" s="17"/>
      <c r="JM114" s="17"/>
      <c r="JN114" s="17"/>
      <c r="JO114" s="17"/>
      <c r="JP114" s="17"/>
      <c r="JQ114" s="17"/>
      <c r="JR114" s="17"/>
      <c r="JS114" s="17"/>
      <c r="JT114" s="17"/>
      <c r="JU114" s="17"/>
      <c r="JV114" s="17"/>
      <c r="JW114" s="17"/>
      <c r="JX114" s="17"/>
      <c r="JY114" s="17"/>
      <c r="JZ114" s="17"/>
      <c r="KA114" s="17"/>
      <c r="KB114" s="17"/>
      <c r="KC114" s="17"/>
      <c r="KD114" s="17"/>
      <c r="KE114" s="17"/>
      <c r="KF114" s="17"/>
      <c r="KG114" s="17"/>
      <c r="KH114" s="17"/>
      <c r="KI114" s="17"/>
      <c r="KJ114" s="17"/>
      <c r="KK114" s="17"/>
      <c r="KL114" s="17"/>
      <c r="KM114" s="17"/>
      <c r="KN114" s="17"/>
      <c r="KO114" s="17"/>
      <c r="KP114" s="17"/>
      <c r="KQ114" s="17"/>
      <c r="KR114" s="17"/>
      <c r="KS114" s="17"/>
      <c r="KT114" s="17"/>
      <c r="KU114" s="17"/>
      <c r="KV114" s="17"/>
      <c r="KW114" s="17"/>
      <c r="KX114" s="17"/>
      <c r="KY114" s="17"/>
      <c r="KZ114" s="17"/>
      <c r="LA114" s="17"/>
      <c r="LB114" s="17"/>
      <c r="LC114" s="17"/>
      <c r="LD114" s="17"/>
      <c r="LE114" s="17"/>
      <c r="LF114" s="17"/>
      <c r="LG114" s="17"/>
      <c r="LH114" s="17"/>
      <c r="LI114" s="17"/>
      <c r="LJ114" s="17"/>
      <c r="LK114" s="17"/>
      <c r="LL114" s="17"/>
      <c r="LM114" s="17"/>
      <c r="LN114" s="17"/>
      <c r="LO114" s="17"/>
      <c r="LP114" s="17"/>
      <c r="LQ114" s="17"/>
      <c r="LR114" s="17"/>
      <c r="LS114" s="17"/>
      <c r="LT114" s="17"/>
      <c r="LU114" s="17"/>
      <c r="LV114" s="17"/>
      <c r="LW114" s="17"/>
      <c r="LX114" s="17"/>
      <c r="LY114" s="17"/>
      <c r="LZ114" s="17"/>
      <c r="MA114" s="17"/>
      <c r="MB114" s="17"/>
      <c r="MC114" s="17"/>
      <c r="MD114" s="17"/>
      <c r="ME114" s="17"/>
      <c r="MF114" s="17"/>
      <c r="MG114" s="17"/>
      <c r="MH114" s="17"/>
      <c r="MI114" s="17"/>
      <c r="MJ114" s="17"/>
      <c r="MK114" s="17"/>
      <c r="ML114" s="17"/>
      <c r="MM114" s="17"/>
      <c r="MN114" s="17"/>
      <c r="MO114" s="17"/>
      <c r="MP114" s="17"/>
      <c r="MQ114" s="17"/>
      <c r="MR114" s="17"/>
      <c r="MS114" s="17"/>
      <c r="MT114" s="17"/>
      <c r="MU114" s="17"/>
      <c r="MV114" s="17"/>
      <c r="MW114" s="17"/>
      <c r="MX114" s="17"/>
      <c r="MY114" s="17"/>
      <c r="MZ114" s="17"/>
      <c r="NA114" s="17"/>
      <c r="NB114" s="17"/>
      <c r="NC114" s="17"/>
      <c r="ND114" s="17"/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17"/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17"/>
      <c r="PD114" s="17"/>
      <c r="PE114" s="17"/>
      <c r="PF114" s="17"/>
      <c r="PG114" s="17"/>
      <c r="PH114" s="17"/>
      <c r="PI114" s="17"/>
      <c r="PJ114" s="17"/>
      <c r="PK114" s="17"/>
      <c r="PL114" s="17"/>
      <c r="PM114" s="17"/>
      <c r="PN114" s="17"/>
      <c r="PO114" s="17"/>
      <c r="PP114" s="17"/>
      <c r="PQ114" s="17"/>
      <c r="PR114" s="17"/>
      <c r="PS114" s="17"/>
      <c r="PT114" s="17"/>
      <c r="PU114" s="17"/>
      <c r="PV114" s="17"/>
      <c r="PW114" s="17"/>
      <c r="PX114" s="17"/>
      <c r="PY114" s="17"/>
      <c r="PZ114" s="17"/>
      <c r="QA114" s="17"/>
      <c r="QB114" s="17"/>
      <c r="QC114" s="17"/>
      <c r="QD114" s="17"/>
      <c r="QE114" s="17"/>
      <c r="QF114" s="17"/>
      <c r="QG114" s="17"/>
      <c r="QH114" s="17"/>
      <c r="QI114" s="17"/>
      <c r="QJ114" s="17"/>
      <c r="QK114" s="17"/>
      <c r="QL114" s="17"/>
      <c r="QM114" s="17"/>
      <c r="QN114" s="17"/>
      <c r="QO114" s="17"/>
      <c r="QP114" s="17"/>
      <c r="QQ114" s="17"/>
      <c r="QR114" s="17"/>
      <c r="QS114" s="17"/>
      <c r="QT114" s="17"/>
      <c r="QU114" s="17"/>
      <c r="QV114" s="17"/>
      <c r="QW114" s="17"/>
      <c r="QX114" s="17"/>
      <c r="QY114" s="17"/>
      <c r="QZ114" s="17"/>
      <c r="RA114" s="17"/>
      <c r="RB114" s="17"/>
      <c r="RC114" s="17"/>
      <c r="RD114" s="17"/>
      <c r="RE114" s="17"/>
      <c r="RF114" s="17"/>
      <c r="RG114" s="17"/>
      <c r="RH114" s="17"/>
      <c r="RI114" s="17"/>
      <c r="RJ114" s="17"/>
      <c r="RK114" s="17"/>
      <c r="RL114" s="17"/>
      <c r="RM114" s="17"/>
      <c r="RN114" s="17"/>
      <c r="RO114" s="17"/>
      <c r="RP114" s="17"/>
      <c r="RQ114" s="17"/>
      <c r="RR114" s="17"/>
      <c r="RS114" s="17"/>
      <c r="RT114" s="17"/>
      <c r="RU114" s="17"/>
      <c r="RV114" s="17"/>
      <c r="RW114" s="17"/>
      <c r="RX114" s="17"/>
      <c r="RY114" s="17"/>
      <c r="RZ114" s="17"/>
      <c r="SA114" s="17"/>
      <c r="SB114" s="17"/>
      <c r="SC114" s="17"/>
      <c r="SD114" s="17"/>
      <c r="SE114" s="17"/>
      <c r="SF114" s="17"/>
      <c r="SG114" s="17"/>
      <c r="SH114" s="17"/>
      <c r="SI114" s="17"/>
      <c r="SJ114" s="17"/>
      <c r="SK114" s="17"/>
      <c r="SL114" s="17"/>
      <c r="SM114" s="17"/>
      <c r="SN114" s="17"/>
      <c r="SO114" s="17"/>
      <c r="SP114" s="17"/>
      <c r="SQ114" s="17"/>
      <c r="SR114" s="17"/>
      <c r="SS114" s="17"/>
      <c r="ST114" s="17"/>
      <c r="SU114" s="17"/>
      <c r="SV114" s="17"/>
      <c r="SW114" s="17"/>
      <c r="SX114" s="17"/>
      <c r="SY114" s="17"/>
      <c r="SZ114" s="17"/>
      <c r="TA114" s="17"/>
      <c r="TB114" s="17"/>
      <c r="TC114" s="17"/>
      <c r="TD114" s="17"/>
      <c r="TE114" s="17"/>
      <c r="TF114" s="17"/>
      <c r="TG114" s="17"/>
      <c r="TH114" s="17"/>
      <c r="TI114" s="17"/>
      <c r="TJ114" s="17"/>
      <c r="TK114" s="17"/>
      <c r="TL114" s="17"/>
      <c r="TM114" s="17"/>
      <c r="TN114" s="17"/>
      <c r="TO114" s="17"/>
      <c r="TP114" s="17"/>
      <c r="TQ114" s="17"/>
      <c r="TR114" s="17"/>
      <c r="TS114" s="17"/>
      <c r="TT114" s="17"/>
      <c r="TU114" s="17"/>
      <c r="TV114" s="17"/>
      <c r="TW114" s="17"/>
      <c r="TX114" s="17"/>
      <c r="TY114" s="17"/>
      <c r="TZ114" s="17"/>
      <c r="UA114" s="17"/>
      <c r="UB114" s="17"/>
      <c r="UC114" s="17"/>
      <c r="UD114" s="17"/>
      <c r="UE114" s="17"/>
      <c r="UF114" s="17"/>
      <c r="UG114" s="17"/>
      <c r="UH114" s="17"/>
      <c r="UI114" s="17"/>
      <c r="UJ114" s="17"/>
      <c r="UK114" s="17"/>
      <c r="UL114" s="17"/>
      <c r="UM114" s="17"/>
      <c r="UN114" s="17"/>
      <c r="UO114" s="17"/>
      <c r="UP114" s="17"/>
      <c r="UQ114" s="17"/>
      <c r="UR114" s="17"/>
      <c r="US114" s="17"/>
      <c r="UT114" s="17"/>
      <c r="UU114" s="17"/>
      <c r="UV114" s="17"/>
      <c r="UW114" s="17"/>
      <c r="UX114" s="17"/>
      <c r="UY114" s="17"/>
      <c r="UZ114" s="17"/>
      <c r="VA114" s="17"/>
      <c r="VB114" s="17"/>
      <c r="VC114" s="17"/>
      <c r="VD114" s="17"/>
      <c r="VE114" s="17"/>
      <c r="VF114" s="17"/>
      <c r="VG114" s="17"/>
      <c r="VH114" s="17"/>
      <c r="VI114" s="17"/>
      <c r="VJ114" s="17"/>
      <c r="VK114" s="17"/>
      <c r="VL114" s="17"/>
      <c r="VM114" s="17"/>
      <c r="VN114" s="17"/>
      <c r="VO114" s="17"/>
      <c r="VP114" s="17"/>
      <c r="VQ114" s="17"/>
      <c r="VR114" s="17"/>
      <c r="VS114" s="17"/>
      <c r="VT114" s="17"/>
      <c r="VU114" s="17"/>
      <c r="VV114" s="17"/>
      <c r="VW114" s="17"/>
      <c r="VX114" s="17"/>
      <c r="VY114" s="17"/>
      <c r="VZ114" s="17"/>
      <c r="WA114" s="17"/>
      <c r="WB114" s="17"/>
      <c r="WC114" s="17"/>
      <c r="WD114" s="17"/>
      <c r="WE114" s="17"/>
      <c r="WF114" s="17"/>
      <c r="WG114" s="17"/>
      <c r="WH114" s="17"/>
      <c r="WI114" s="17"/>
      <c r="WJ114" s="17"/>
      <c r="WK114" s="17"/>
      <c r="WL114" s="17"/>
      <c r="WM114" s="17"/>
      <c r="WN114" s="17"/>
      <c r="WO114" s="17"/>
      <c r="WP114" s="17"/>
      <c r="WQ114" s="17"/>
      <c r="WR114" s="17"/>
      <c r="WS114" s="17"/>
      <c r="WT114" s="17"/>
      <c r="WU114" s="17"/>
      <c r="WV114" s="17"/>
      <c r="WW114" s="17"/>
      <c r="WX114" s="17"/>
      <c r="WY114" s="17"/>
      <c r="WZ114" s="17"/>
      <c r="XA114" s="17"/>
      <c r="XB114" s="17"/>
      <c r="XC114" s="17"/>
      <c r="XD114" s="17"/>
      <c r="XE114" s="17"/>
      <c r="XF114" s="17"/>
      <c r="XG114" s="17"/>
      <c r="XH114" s="17"/>
      <c r="XI114" s="17"/>
      <c r="XJ114" s="17"/>
      <c r="XK114" s="17"/>
      <c r="XL114" s="17"/>
      <c r="XM114" s="17"/>
      <c r="XN114" s="17"/>
      <c r="XO114" s="17"/>
      <c r="XP114" s="17"/>
      <c r="XQ114" s="17"/>
      <c r="XR114" s="17"/>
      <c r="XS114" s="17"/>
      <c r="XT114" s="17"/>
      <c r="XU114" s="17"/>
      <c r="XV114" s="17"/>
      <c r="XW114" s="17"/>
      <c r="XX114" s="17"/>
      <c r="XY114" s="17"/>
      <c r="XZ114" s="17"/>
      <c r="YA114" s="17"/>
      <c r="YB114" s="17"/>
      <c r="YC114" s="17"/>
      <c r="YD114" s="17"/>
      <c r="YE114" s="17"/>
      <c r="YF114" s="17"/>
      <c r="YG114" s="17"/>
      <c r="YH114" s="17"/>
      <c r="YI114" s="17"/>
      <c r="YJ114" s="17"/>
      <c r="YK114" s="17"/>
      <c r="YL114" s="17"/>
      <c r="YM114" s="17"/>
      <c r="YN114" s="17"/>
      <c r="YO114" s="17"/>
      <c r="YP114" s="17"/>
      <c r="YQ114" s="17"/>
      <c r="YR114" s="17"/>
      <c r="YS114" s="17"/>
      <c r="YT114" s="17"/>
      <c r="YU114" s="17"/>
      <c r="YV114" s="17"/>
      <c r="YW114" s="17"/>
      <c r="YX114" s="17"/>
      <c r="YY114" s="17"/>
      <c r="YZ114" s="17"/>
      <c r="ZA114" s="17"/>
      <c r="ZB114" s="17"/>
      <c r="ZC114" s="17"/>
      <c r="ZD114" s="17"/>
      <c r="ZE114" s="17"/>
      <c r="ZF114" s="17"/>
      <c r="ZG114" s="17"/>
      <c r="ZH114" s="17"/>
      <c r="ZI114" s="17"/>
      <c r="ZJ114" s="17"/>
      <c r="ZK114" s="17"/>
      <c r="ZL114" s="17"/>
      <c r="ZM114" s="17"/>
      <c r="ZN114" s="17"/>
      <c r="ZO114" s="17"/>
      <c r="ZP114" s="17"/>
      <c r="ZQ114" s="17"/>
      <c r="ZR114" s="17"/>
      <c r="ZS114" s="17"/>
      <c r="ZT114" s="17"/>
      <c r="ZU114" s="17"/>
      <c r="ZV114" s="17"/>
      <c r="ZW114" s="17"/>
      <c r="ZX114" s="17"/>
      <c r="ZY114" s="17"/>
      <c r="ZZ114" s="17"/>
      <c r="AAA114" s="17"/>
      <c r="AAB114" s="17"/>
      <c r="AAC114" s="17"/>
      <c r="AAD114" s="17"/>
      <c r="AAE114" s="17"/>
      <c r="AAF114" s="17"/>
      <c r="AAG114" s="17"/>
      <c r="AAH114" s="17"/>
      <c r="AAI114" s="17"/>
      <c r="AAJ114" s="17"/>
      <c r="AAK114" s="17"/>
      <c r="AAL114" s="17"/>
      <c r="AAM114" s="17"/>
      <c r="AAN114" s="17"/>
      <c r="AAO114" s="17"/>
      <c r="AAP114" s="17"/>
      <c r="AAQ114" s="17"/>
      <c r="AAR114" s="17"/>
      <c r="AAS114" s="17"/>
      <c r="AAT114" s="17"/>
      <c r="AAU114" s="17"/>
      <c r="AAV114" s="17"/>
      <c r="AAW114" s="17"/>
      <c r="AAX114" s="17"/>
      <c r="AAY114" s="17"/>
      <c r="AAZ114" s="17"/>
      <c r="ABA114" s="17"/>
      <c r="ABB114" s="17"/>
      <c r="ABC114" s="17"/>
      <c r="ABD114" s="17"/>
      <c r="ABE114" s="17"/>
      <c r="ABF114" s="17"/>
      <c r="ABG114" s="17"/>
      <c r="ABH114" s="17"/>
      <c r="ABI114" s="17"/>
      <c r="ABJ114" s="17"/>
      <c r="ABK114" s="17"/>
      <c r="ABL114" s="17"/>
      <c r="ABM114" s="17"/>
      <c r="ABN114" s="17"/>
      <c r="ABO114" s="17"/>
      <c r="ABP114" s="17"/>
      <c r="ABQ114" s="17"/>
      <c r="ABR114" s="17"/>
      <c r="ABS114" s="17"/>
      <c r="ABT114" s="17"/>
      <c r="ABU114" s="17"/>
      <c r="ABV114" s="17"/>
      <c r="ABW114" s="17"/>
      <c r="ABX114" s="17"/>
      <c r="ABY114" s="17"/>
      <c r="ABZ114" s="17"/>
      <c r="ACA114" s="17"/>
      <c r="ACB114" s="17"/>
      <c r="ACC114" s="17"/>
      <c r="ACD114" s="17"/>
      <c r="ACE114" s="17"/>
      <c r="ACF114" s="17"/>
      <c r="ACG114" s="17"/>
      <c r="ACH114" s="17"/>
      <c r="ACI114" s="17"/>
      <c r="ACJ114" s="17"/>
      <c r="ACK114" s="17"/>
      <c r="ACL114" s="17"/>
      <c r="ACM114" s="17"/>
      <c r="ACN114" s="17"/>
      <c r="ACO114" s="17"/>
      <c r="ACP114" s="17"/>
      <c r="ACQ114" s="17"/>
      <c r="ACR114" s="17"/>
      <c r="ACS114" s="17"/>
      <c r="ACT114" s="17"/>
      <c r="ACU114" s="17"/>
      <c r="ACV114" s="17"/>
      <c r="ACW114" s="17"/>
      <c r="ACX114" s="17"/>
      <c r="ACY114" s="17"/>
      <c r="ACZ114" s="17"/>
      <c r="ADA114" s="17"/>
      <c r="ADB114" s="17"/>
      <c r="ADC114" s="17"/>
      <c r="ADD114" s="17"/>
      <c r="ADE114" s="17"/>
      <c r="ADF114" s="17"/>
      <c r="ADG114" s="17"/>
      <c r="ADH114" s="17"/>
      <c r="ADI114" s="17"/>
      <c r="ADJ114" s="17"/>
      <c r="ADK114" s="17"/>
      <c r="ADL114" s="17"/>
      <c r="ADM114" s="17"/>
      <c r="ADN114" s="17"/>
      <c r="ADO114" s="17"/>
      <c r="ADP114" s="17"/>
      <c r="ADQ114" s="17"/>
      <c r="ADR114" s="17"/>
      <c r="ADS114" s="17"/>
      <c r="ADT114" s="17"/>
      <c r="ADU114" s="17"/>
      <c r="ADV114" s="17"/>
      <c r="ADW114" s="17"/>
      <c r="ADX114" s="17"/>
      <c r="ADY114" s="17"/>
      <c r="ADZ114" s="17"/>
      <c r="AEA114" s="17"/>
      <c r="AEB114" s="17"/>
      <c r="AEC114" s="17"/>
      <c r="AED114" s="17"/>
      <c r="AEE114" s="17"/>
      <c r="AEF114" s="17"/>
      <c r="AEG114" s="17"/>
      <c r="AEH114" s="17"/>
      <c r="AEI114" s="17"/>
      <c r="AEJ114" s="17"/>
      <c r="AEK114" s="17"/>
      <c r="AEL114" s="17"/>
      <c r="AEM114" s="17"/>
      <c r="AEN114" s="17"/>
      <c r="AEO114" s="17"/>
      <c r="AEP114" s="17"/>
      <c r="AEQ114" s="17"/>
      <c r="AER114" s="17"/>
      <c r="AES114" s="17"/>
      <c r="AET114" s="17"/>
      <c r="AEU114" s="17"/>
      <c r="AEV114" s="17"/>
      <c r="AEW114" s="17"/>
      <c r="AEX114" s="17"/>
      <c r="AEY114" s="17"/>
      <c r="AEZ114" s="17"/>
      <c r="AFA114" s="17"/>
      <c r="AFB114" s="17"/>
      <c r="AFC114" s="17"/>
      <c r="AFD114" s="17"/>
      <c r="AFE114" s="17"/>
      <c r="AFF114" s="17"/>
      <c r="AFG114" s="17"/>
      <c r="AFH114" s="17"/>
      <c r="AFI114" s="17"/>
      <c r="AFJ114" s="17"/>
      <c r="AFK114" s="17"/>
      <c r="AFL114" s="17"/>
      <c r="AFM114" s="17"/>
      <c r="AFN114" s="17"/>
      <c r="AFO114" s="17"/>
      <c r="AFP114" s="17"/>
      <c r="AFQ114" s="17"/>
      <c r="AFR114" s="17"/>
      <c r="AFS114" s="17"/>
      <c r="AFT114" s="17"/>
      <c r="AFU114" s="17"/>
      <c r="AFV114" s="17"/>
      <c r="AFW114" s="17"/>
      <c r="AFX114" s="17"/>
      <c r="AFY114" s="17"/>
      <c r="AFZ114" s="17"/>
      <c r="AGA114" s="17"/>
      <c r="AGB114" s="17"/>
      <c r="AGC114" s="17"/>
      <c r="AGD114" s="17"/>
      <c r="AGE114" s="17"/>
      <c r="AGF114" s="17"/>
      <c r="AGG114" s="17"/>
      <c r="AGH114" s="17"/>
      <c r="AGI114" s="17"/>
      <c r="AGJ114" s="17"/>
      <c r="AGK114" s="17"/>
      <c r="AGL114" s="17"/>
      <c r="AGM114" s="17"/>
      <c r="AGN114" s="17"/>
      <c r="AGO114" s="17"/>
      <c r="AGP114" s="17"/>
      <c r="AGQ114" s="17"/>
      <c r="AGR114" s="17"/>
      <c r="AGS114" s="17"/>
      <c r="AGT114" s="17"/>
      <c r="AGU114" s="17"/>
      <c r="AGV114" s="17"/>
      <c r="AGW114" s="17"/>
      <c r="AGX114" s="17"/>
      <c r="AGY114" s="17"/>
      <c r="AGZ114" s="17"/>
      <c r="AHA114" s="17"/>
      <c r="AHB114" s="17"/>
      <c r="AHC114" s="17"/>
      <c r="AHD114" s="17"/>
      <c r="AHE114" s="17"/>
      <c r="AHF114" s="17"/>
      <c r="AHG114" s="17"/>
      <c r="AHH114" s="17"/>
      <c r="AHI114" s="17"/>
      <c r="AHJ114" s="17"/>
      <c r="AHK114" s="17"/>
      <c r="AHL114" s="17"/>
      <c r="AHM114" s="17"/>
      <c r="AHN114" s="17"/>
      <c r="AHO114" s="17"/>
      <c r="AHP114" s="17"/>
      <c r="AHQ114" s="17"/>
      <c r="AHR114" s="17"/>
      <c r="AHS114" s="17"/>
      <c r="AHT114" s="17"/>
      <c r="AHU114" s="17"/>
      <c r="AHV114" s="17"/>
      <c r="AHW114" s="17"/>
      <c r="AHX114" s="17"/>
      <c r="AHY114" s="17"/>
      <c r="AHZ114" s="17"/>
      <c r="AIA114" s="17"/>
      <c r="AIB114" s="17"/>
      <c r="AIC114" s="17"/>
      <c r="AID114" s="17"/>
      <c r="AIE114" s="17"/>
      <c r="AIF114" s="17"/>
      <c r="AIG114" s="17"/>
      <c r="AIH114" s="17"/>
      <c r="AII114" s="17"/>
      <c r="AIJ114" s="17"/>
      <c r="AIK114" s="17"/>
      <c r="AIL114" s="17"/>
      <c r="AIM114" s="17"/>
      <c r="AIN114" s="17"/>
      <c r="AIO114" s="17"/>
      <c r="AIP114" s="17"/>
      <c r="AIQ114" s="17"/>
      <c r="AIR114" s="17"/>
      <c r="AIS114" s="17"/>
      <c r="AIT114" s="17"/>
      <c r="AIU114" s="17"/>
      <c r="AIV114" s="17"/>
      <c r="AIW114" s="17"/>
      <c r="AIX114" s="17"/>
      <c r="AIY114" s="17"/>
      <c r="AIZ114" s="17"/>
      <c r="AJA114" s="17"/>
      <c r="AJB114" s="17"/>
      <c r="AJC114" s="17"/>
      <c r="AJD114" s="17"/>
      <c r="AJE114" s="17"/>
      <c r="AJF114" s="17"/>
      <c r="AJG114" s="17"/>
      <c r="AJH114" s="17"/>
      <c r="AJI114" s="17"/>
      <c r="AJJ114" s="17"/>
      <c r="AJK114" s="17"/>
      <c r="AJL114" s="17"/>
      <c r="AJM114" s="17"/>
      <c r="AJN114" s="17"/>
      <c r="AJO114" s="17"/>
      <c r="AJP114" s="17"/>
      <c r="AJQ114" s="17"/>
      <c r="AJR114" s="17"/>
      <c r="AJS114" s="17"/>
      <c r="AJT114" s="17"/>
      <c r="AJU114" s="17"/>
      <c r="AJV114" s="17"/>
      <c r="AJW114" s="17"/>
      <c r="AJX114" s="17"/>
      <c r="AJY114" s="17"/>
      <c r="AJZ114" s="17"/>
      <c r="AKA114" s="17"/>
      <c r="AKB114" s="17"/>
      <c r="AKC114" s="17"/>
      <c r="AKD114" s="17"/>
      <c r="AKE114" s="17"/>
      <c r="AKF114" s="17"/>
      <c r="AKG114" s="17"/>
      <c r="AKH114" s="17"/>
      <c r="AKI114" s="17"/>
      <c r="AKJ114" s="17"/>
      <c r="AKK114" s="17"/>
      <c r="AKL114" s="17"/>
      <c r="AKM114" s="17"/>
      <c r="AKN114" s="17"/>
      <c r="AKO114" s="17"/>
      <c r="AKP114" s="17"/>
      <c r="AKQ114" s="17"/>
      <c r="AKR114" s="17"/>
      <c r="AKS114" s="17"/>
      <c r="AKT114" s="17"/>
      <c r="AKU114" s="17"/>
      <c r="AKV114" s="17"/>
      <c r="AKW114" s="17"/>
      <c r="AKX114" s="17"/>
      <c r="AKY114" s="17"/>
      <c r="AKZ114" s="17"/>
      <c r="ALA114" s="17"/>
      <c r="ALB114" s="17"/>
      <c r="ALC114" s="17"/>
      <c r="ALD114" s="17"/>
      <c r="ALE114" s="17"/>
      <c r="ALF114" s="17"/>
      <c r="ALG114" s="17"/>
      <c r="ALH114" s="17"/>
      <c r="ALI114" s="17"/>
      <c r="ALJ114" s="17"/>
      <c r="ALK114" s="17"/>
      <c r="ALL114" s="17"/>
      <c r="ALM114" s="17"/>
      <c r="ALN114" s="17"/>
      <c r="ALO114" s="17"/>
      <c r="ALP114" s="17"/>
      <c r="ALQ114" s="17"/>
      <c r="ALR114" s="17"/>
      <c r="ALS114" s="17"/>
      <c r="ALT114" s="17"/>
      <c r="ALU114" s="17"/>
      <c r="ALV114" s="17"/>
      <c r="ALW114" s="17"/>
      <c r="ALX114" s="17"/>
      <c r="ALY114" s="17"/>
      <c r="ALZ114" s="17"/>
      <c r="AMA114" s="17"/>
      <c r="AMB114" s="17"/>
      <c r="AMC114" s="17"/>
      <c r="AMD114" s="17"/>
      <c r="AME114" s="17"/>
      <c r="AMF114" s="17"/>
      <c r="AMG114" s="17"/>
      <c r="AMH114" s="17"/>
      <c r="AMI114" s="17"/>
      <c r="AMJ114" s="17"/>
      <c r="AMK114" s="17"/>
      <c r="AML114" s="17"/>
      <c r="AMM114" s="17"/>
      <c r="AMN114" s="17"/>
      <c r="AMO114" s="17"/>
      <c r="AMP114" s="17"/>
      <c r="AMQ114" s="17"/>
      <c r="AMR114" s="17"/>
      <c r="AMS114" s="17"/>
      <c r="AMT114" s="17"/>
      <c r="AMU114" s="17"/>
      <c r="AMV114" s="17"/>
      <c r="AMW114" s="17"/>
      <c r="AMX114" s="17"/>
      <c r="AMY114" s="17"/>
      <c r="AMZ114" s="17"/>
      <c r="ANA114" s="17"/>
      <c r="ANB114" s="17"/>
      <c r="ANC114" s="17"/>
      <c r="AND114" s="17"/>
      <c r="ANE114" s="17"/>
      <c r="ANF114" s="17"/>
      <c r="ANG114" s="17"/>
      <c r="ANH114" s="17"/>
      <c r="ANI114" s="17"/>
      <c r="ANJ114" s="17"/>
      <c r="ANK114" s="17"/>
      <c r="ANL114" s="17"/>
      <c r="ANM114" s="17"/>
      <c r="ANN114" s="17"/>
      <c r="ANO114" s="17"/>
      <c r="ANP114" s="17"/>
      <c r="ANQ114" s="17"/>
      <c r="ANR114" s="17"/>
      <c r="ANS114" s="17"/>
      <c r="ANT114" s="17"/>
      <c r="ANU114" s="17"/>
      <c r="ANV114" s="17"/>
      <c r="ANW114" s="17"/>
      <c r="ANX114" s="17"/>
      <c r="ANY114" s="17"/>
      <c r="ANZ114" s="17"/>
      <c r="AOA114" s="17"/>
      <c r="AOB114" s="17"/>
      <c r="AOC114" s="17"/>
      <c r="AOD114" s="17"/>
      <c r="AOE114" s="17"/>
      <c r="AOF114" s="17"/>
      <c r="AOG114" s="17"/>
      <c r="AOH114" s="17"/>
      <c r="AOI114" s="17"/>
      <c r="AOJ114" s="17"/>
      <c r="AOK114" s="17"/>
      <c r="AOL114" s="17"/>
      <c r="AOM114" s="17"/>
      <c r="AON114" s="17"/>
      <c r="AOO114" s="17"/>
      <c r="AOP114" s="17"/>
      <c r="AOQ114" s="17"/>
      <c r="AOR114" s="17"/>
      <c r="AOS114" s="17"/>
      <c r="AOT114" s="17"/>
      <c r="AOU114" s="17"/>
      <c r="AOV114" s="17"/>
      <c r="AOW114" s="17"/>
      <c r="AOX114" s="17"/>
      <c r="AOY114" s="17"/>
      <c r="AOZ114" s="17"/>
      <c r="APA114" s="17"/>
      <c r="APB114" s="17"/>
      <c r="APC114" s="17"/>
      <c r="APD114" s="17"/>
      <c r="APE114" s="17"/>
      <c r="APF114" s="17"/>
      <c r="APG114" s="17"/>
      <c r="APH114" s="17"/>
      <c r="API114" s="17"/>
      <c r="APJ114" s="17"/>
      <c r="APK114" s="17"/>
      <c r="APL114" s="17"/>
      <c r="APM114" s="17"/>
      <c r="APN114" s="17"/>
      <c r="APO114" s="17"/>
      <c r="APP114" s="17"/>
      <c r="APQ114" s="17"/>
      <c r="APR114" s="17"/>
      <c r="APS114" s="17"/>
      <c r="APT114" s="17"/>
      <c r="APU114" s="17"/>
      <c r="APV114" s="17"/>
      <c r="APW114" s="17"/>
      <c r="APX114" s="17"/>
      <c r="APY114" s="17"/>
      <c r="APZ114" s="17"/>
      <c r="AQA114" s="17"/>
      <c r="AQB114" s="17"/>
      <c r="AQC114" s="17"/>
      <c r="AQD114" s="17"/>
      <c r="AQE114" s="17"/>
      <c r="AQF114" s="17"/>
      <c r="AQG114" s="17"/>
      <c r="AQH114" s="17"/>
      <c r="AQI114" s="17"/>
      <c r="AQJ114" s="17"/>
      <c r="AQK114" s="17"/>
      <c r="AQL114" s="17"/>
      <c r="AQM114" s="17"/>
      <c r="AQN114" s="17"/>
      <c r="AQO114" s="17"/>
      <c r="AQP114" s="17"/>
      <c r="AQQ114" s="17"/>
      <c r="AQR114" s="17"/>
      <c r="AQS114" s="17"/>
      <c r="AQT114" s="17"/>
      <c r="AQU114" s="17"/>
      <c r="AQV114" s="17"/>
      <c r="AQW114" s="17"/>
      <c r="AQX114" s="17"/>
      <c r="AQY114" s="17"/>
      <c r="AQZ114" s="17"/>
      <c r="ARA114" s="17"/>
      <c r="ARB114" s="17"/>
      <c r="ARC114" s="17"/>
      <c r="ARD114" s="17"/>
      <c r="ARE114" s="17"/>
      <c r="ARF114" s="17"/>
      <c r="ARG114" s="17"/>
      <c r="ARH114" s="17"/>
      <c r="ARI114" s="17"/>
      <c r="ARJ114" s="17"/>
      <c r="ARK114" s="17"/>
      <c r="ARL114" s="17"/>
      <c r="ARM114" s="17"/>
      <c r="ARN114" s="17"/>
      <c r="ARO114" s="17"/>
      <c r="ARP114" s="17"/>
      <c r="ARQ114" s="17"/>
      <c r="ARR114" s="17"/>
      <c r="ARS114" s="17"/>
      <c r="ART114" s="17"/>
      <c r="ARU114" s="17"/>
      <c r="ARV114" s="17"/>
      <c r="ARW114" s="17"/>
      <c r="ARX114" s="17"/>
      <c r="ARY114" s="17"/>
      <c r="ARZ114" s="17"/>
      <c r="ASA114" s="17"/>
      <c r="ASB114" s="17"/>
      <c r="ASC114" s="17"/>
      <c r="ASD114" s="17"/>
      <c r="ASE114" s="17"/>
      <c r="ASF114" s="17"/>
      <c r="ASG114" s="17"/>
      <c r="ASH114" s="17"/>
      <c r="ASI114" s="17"/>
      <c r="ASJ114" s="17"/>
      <c r="ASK114" s="17"/>
      <c r="ASL114" s="17"/>
      <c r="ASM114" s="17"/>
      <c r="ASN114" s="17"/>
      <c r="ASO114" s="17"/>
      <c r="ASP114" s="17"/>
      <c r="ASQ114" s="17"/>
      <c r="ASR114" s="17"/>
      <c r="ASS114" s="17"/>
      <c r="AST114" s="17"/>
      <c r="ASU114" s="17"/>
      <c r="ASV114" s="17"/>
      <c r="ASW114" s="17"/>
      <c r="ASX114" s="17"/>
      <c r="ASY114" s="17"/>
      <c r="ASZ114" s="17"/>
      <c r="ATA114" s="17"/>
      <c r="ATB114" s="17"/>
      <c r="ATC114" s="17"/>
      <c r="ATD114" s="17"/>
      <c r="ATE114" s="17"/>
      <c r="ATF114" s="17"/>
      <c r="ATG114" s="17"/>
      <c r="ATH114" s="17"/>
      <c r="ATI114" s="17"/>
      <c r="ATJ114" s="17"/>
      <c r="ATK114" s="17"/>
      <c r="ATL114" s="17"/>
      <c r="ATM114" s="17"/>
      <c r="ATN114" s="17"/>
      <c r="ATO114" s="17"/>
      <c r="ATP114" s="17"/>
      <c r="ATQ114" s="17"/>
      <c r="ATR114" s="17"/>
      <c r="ATS114" s="17"/>
      <c r="ATT114" s="17"/>
      <c r="ATU114" s="17"/>
      <c r="ATV114" s="17"/>
      <c r="ATW114" s="17"/>
      <c r="ATX114" s="17"/>
      <c r="ATY114" s="17"/>
      <c r="ATZ114" s="17"/>
      <c r="AUA114" s="17"/>
      <c r="AUB114" s="17"/>
      <c r="AUC114" s="17"/>
      <c r="AUD114" s="17"/>
      <c r="AUE114" s="17"/>
      <c r="AUF114" s="17"/>
      <c r="AUG114" s="17"/>
      <c r="AUH114" s="17"/>
      <c r="AUI114" s="17"/>
      <c r="AUJ114" s="17"/>
      <c r="AUK114" s="17"/>
      <c r="AUL114" s="17"/>
      <c r="AUM114" s="17"/>
      <c r="AUN114" s="17"/>
      <c r="AUO114" s="17"/>
      <c r="AUP114" s="17"/>
      <c r="AUQ114" s="17"/>
      <c r="AUR114" s="17"/>
      <c r="AUS114" s="17"/>
      <c r="AUT114" s="17"/>
      <c r="AUU114" s="17"/>
      <c r="AUV114" s="17"/>
      <c r="AUW114" s="17"/>
      <c r="AUX114" s="17"/>
      <c r="AUY114" s="17"/>
      <c r="AUZ114" s="17"/>
      <c r="AVA114" s="17"/>
      <c r="AVB114" s="17"/>
      <c r="AVC114" s="17"/>
      <c r="AVD114" s="17"/>
      <c r="AVE114" s="17"/>
      <c r="AVF114" s="17"/>
      <c r="AVG114" s="17"/>
      <c r="AVH114" s="17"/>
      <c r="AVI114" s="17"/>
      <c r="AVJ114" s="17"/>
      <c r="AVK114" s="17"/>
      <c r="AVL114" s="17"/>
      <c r="AVM114" s="17"/>
      <c r="AVN114" s="17"/>
      <c r="AVO114" s="17"/>
      <c r="AVP114" s="17"/>
      <c r="AVQ114" s="17"/>
      <c r="AVR114" s="17"/>
      <c r="AVS114" s="17"/>
      <c r="AVT114" s="17"/>
      <c r="AVU114" s="17"/>
      <c r="AVV114" s="17"/>
      <c r="AVW114" s="17"/>
      <c r="AVX114" s="17"/>
      <c r="AVY114" s="17"/>
      <c r="AVZ114" s="17"/>
      <c r="AWA114" s="17"/>
      <c r="AWB114" s="17"/>
      <c r="AWC114" s="17"/>
      <c r="AWD114" s="17"/>
      <c r="AWE114" s="17"/>
      <c r="AWF114" s="17"/>
      <c r="AWG114" s="17"/>
      <c r="AWH114" s="17"/>
      <c r="AWI114" s="17"/>
      <c r="AWJ114" s="17"/>
      <c r="AWK114" s="17"/>
      <c r="AWL114" s="17"/>
      <c r="AWM114" s="17"/>
      <c r="AWN114" s="17"/>
      <c r="AWO114" s="17"/>
      <c r="AWP114" s="17"/>
      <c r="AWQ114" s="17"/>
      <c r="AWR114" s="17"/>
      <c r="AWS114" s="17"/>
      <c r="AWT114" s="17"/>
      <c r="AWU114" s="17"/>
      <c r="AWV114" s="17"/>
      <c r="AWW114" s="17"/>
      <c r="AWX114" s="17"/>
      <c r="AWY114" s="17"/>
      <c r="AWZ114" s="17"/>
      <c r="AXA114" s="17"/>
      <c r="AXB114" s="17"/>
      <c r="AXC114" s="17"/>
      <c r="AXD114" s="17"/>
      <c r="AXE114" s="17"/>
      <c r="AXF114" s="17"/>
      <c r="AXG114" s="17"/>
      <c r="AXH114" s="17"/>
      <c r="AXI114" s="17"/>
      <c r="AXJ114" s="17"/>
      <c r="AXK114" s="17"/>
      <c r="AXL114" s="17"/>
      <c r="AXM114" s="17"/>
      <c r="AXN114" s="17"/>
      <c r="AXO114" s="17"/>
      <c r="AXP114" s="17"/>
      <c r="AXQ114" s="17"/>
      <c r="AXR114" s="17"/>
      <c r="AXS114" s="17"/>
      <c r="AXT114" s="17"/>
      <c r="AXU114" s="17"/>
      <c r="AXV114" s="17"/>
      <c r="AXW114" s="17"/>
      <c r="AXX114" s="17"/>
      <c r="AXY114" s="17"/>
      <c r="AXZ114" s="17"/>
      <c r="AYA114" s="17"/>
      <c r="AYB114" s="17"/>
      <c r="AYC114" s="17"/>
      <c r="AYD114" s="17"/>
      <c r="AYE114" s="17"/>
      <c r="AYF114" s="17"/>
      <c r="AYG114" s="17"/>
      <c r="AYH114" s="17"/>
      <c r="AYI114" s="17"/>
      <c r="AYJ114" s="17"/>
      <c r="AYK114" s="17"/>
      <c r="AYL114" s="17"/>
      <c r="AYM114" s="17"/>
      <c r="AYN114" s="17"/>
      <c r="AYO114" s="17"/>
      <c r="AYP114" s="17"/>
      <c r="AYQ114" s="17"/>
      <c r="AYR114" s="17"/>
      <c r="AYS114" s="17"/>
      <c r="AYT114" s="17"/>
      <c r="AYU114" s="17"/>
      <c r="AYV114" s="17"/>
      <c r="AYW114" s="17"/>
      <c r="AYX114" s="17"/>
      <c r="AYY114" s="17"/>
      <c r="AYZ114" s="17"/>
      <c r="AZA114" s="17"/>
      <c r="AZB114" s="17"/>
      <c r="AZC114" s="17"/>
      <c r="AZD114" s="17"/>
      <c r="AZE114" s="17"/>
      <c r="AZF114" s="17"/>
      <c r="AZG114" s="17"/>
      <c r="AZH114" s="17"/>
      <c r="AZI114" s="17"/>
      <c r="AZJ114" s="17"/>
      <c r="AZK114" s="17"/>
      <c r="AZL114" s="17"/>
      <c r="AZM114" s="17"/>
      <c r="AZN114" s="17"/>
      <c r="AZO114" s="17"/>
      <c r="AZP114" s="17"/>
      <c r="AZQ114" s="17"/>
      <c r="AZR114" s="17"/>
      <c r="AZS114" s="17"/>
      <c r="AZT114" s="17"/>
      <c r="AZU114" s="17"/>
      <c r="AZV114" s="17"/>
      <c r="AZW114" s="17"/>
      <c r="AZX114" s="17"/>
      <c r="AZY114" s="17"/>
      <c r="AZZ114" s="17"/>
      <c r="BAA114" s="17"/>
      <c r="BAB114" s="17"/>
      <c r="BAC114" s="17"/>
      <c r="BAD114" s="17"/>
      <c r="BAE114" s="17"/>
      <c r="BAF114" s="17"/>
      <c r="BAG114" s="17"/>
      <c r="BAH114" s="17"/>
      <c r="BAI114" s="17"/>
      <c r="BAJ114" s="17"/>
      <c r="BAK114" s="17"/>
      <c r="BAL114" s="17"/>
      <c r="BAM114" s="17"/>
      <c r="BAN114" s="17"/>
      <c r="BAO114" s="17"/>
      <c r="BAP114" s="17"/>
      <c r="BAQ114" s="17"/>
      <c r="BAR114" s="17"/>
      <c r="BAS114" s="17"/>
      <c r="BAT114" s="17"/>
      <c r="BAU114" s="17"/>
      <c r="BAV114" s="17"/>
      <c r="BAW114" s="17"/>
      <c r="BAX114" s="17"/>
      <c r="BAY114" s="17"/>
      <c r="BAZ114" s="17"/>
      <c r="BBA114" s="17"/>
      <c r="BBB114" s="17"/>
      <c r="BBC114" s="17"/>
      <c r="BBD114" s="17"/>
      <c r="BBE114" s="17"/>
      <c r="BBF114" s="17"/>
      <c r="BBG114" s="17"/>
      <c r="BBH114" s="17"/>
      <c r="BBI114" s="17"/>
      <c r="BBJ114" s="17"/>
      <c r="BBK114" s="17"/>
      <c r="BBL114" s="17"/>
      <c r="BBM114" s="17"/>
      <c r="BBN114" s="17"/>
      <c r="BBO114" s="17"/>
      <c r="BBP114" s="17"/>
      <c r="BBQ114" s="17"/>
      <c r="BBR114" s="17"/>
      <c r="BBS114" s="17"/>
      <c r="BBT114" s="17"/>
      <c r="BBU114" s="17"/>
      <c r="BBV114" s="17"/>
      <c r="BBW114" s="17"/>
      <c r="BBX114" s="17"/>
      <c r="BBY114" s="17"/>
      <c r="BBZ114" s="17"/>
      <c r="BCA114" s="17"/>
      <c r="BCB114" s="17"/>
      <c r="BCC114" s="17"/>
      <c r="BCD114" s="17"/>
      <c r="BCE114" s="17"/>
      <c r="BCF114" s="17"/>
      <c r="BCG114" s="17"/>
      <c r="BCH114" s="17"/>
      <c r="BCI114" s="17"/>
      <c r="BCJ114" s="17"/>
      <c r="BCK114" s="17"/>
      <c r="BCL114" s="17"/>
      <c r="BCM114" s="17"/>
      <c r="BCN114" s="17"/>
      <c r="BCO114" s="17"/>
      <c r="BCP114" s="17"/>
      <c r="BCQ114" s="17"/>
      <c r="BCR114" s="17"/>
      <c r="BCS114" s="17"/>
      <c r="BCT114" s="17"/>
      <c r="BCU114" s="17"/>
      <c r="BCV114" s="17"/>
      <c r="BCW114" s="17"/>
      <c r="BCX114" s="17"/>
      <c r="BCY114" s="17"/>
      <c r="BCZ114" s="17"/>
      <c r="BDA114" s="17"/>
      <c r="BDB114" s="17"/>
      <c r="BDC114" s="17"/>
      <c r="BDD114" s="17"/>
      <c r="BDE114" s="17"/>
      <c r="BDF114" s="17"/>
      <c r="BDG114" s="17"/>
      <c r="BDH114" s="17"/>
      <c r="BDI114" s="17"/>
      <c r="BDJ114" s="17"/>
      <c r="BDK114" s="17"/>
      <c r="BDL114" s="17"/>
      <c r="BDM114" s="17"/>
      <c r="BDN114" s="17"/>
      <c r="BDO114" s="17"/>
      <c r="BDP114" s="17"/>
      <c r="BDQ114" s="17"/>
      <c r="BDR114" s="17"/>
      <c r="BDS114" s="17"/>
      <c r="BDT114" s="17"/>
      <c r="BDU114" s="17"/>
      <c r="BDV114" s="17"/>
      <c r="BDW114" s="17"/>
      <c r="BDX114" s="17"/>
      <c r="BDY114" s="17"/>
      <c r="BDZ114" s="17"/>
      <c r="BEA114" s="17"/>
      <c r="BEB114" s="17"/>
      <c r="BEC114" s="17"/>
      <c r="BED114" s="17"/>
      <c r="BEE114" s="17"/>
      <c r="BEF114" s="17"/>
      <c r="BEG114" s="17"/>
      <c r="BEH114" s="17"/>
      <c r="BEI114" s="17"/>
      <c r="BEJ114" s="17"/>
      <c r="BEK114" s="17"/>
      <c r="BEL114" s="17"/>
      <c r="BEM114" s="17"/>
      <c r="BEN114" s="17"/>
      <c r="BEO114" s="17"/>
      <c r="BEP114" s="17"/>
      <c r="BEQ114" s="17"/>
      <c r="BER114" s="17"/>
      <c r="BES114" s="17"/>
      <c r="BET114" s="17"/>
      <c r="BEU114" s="17"/>
      <c r="BEV114" s="17"/>
      <c r="BEW114" s="17"/>
      <c r="BEX114" s="17"/>
      <c r="BEY114" s="17"/>
      <c r="BEZ114" s="17"/>
      <c r="BFA114" s="17"/>
      <c r="BFB114" s="17"/>
      <c r="BFC114" s="17"/>
      <c r="BFD114" s="17"/>
      <c r="BFE114" s="17"/>
      <c r="BFF114" s="17"/>
      <c r="BFG114" s="17"/>
      <c r="BFH114" s="17"/>
      <c r="BFI114" s="17"/>
      <c r="BFJ114" s="17"/>
      <c r="BFK114" s="17"/>
      <c r="BFL114" s="17"/>
      <c r="BFM114" s="17"/>
      <c r="BFN114" s="17"/>
      <c r="BFO114" s="17"/>
      <c r="BFP114" s="17"/>
      <c r="BFQ114" s="17"/>
      <c r="BFR114" s="17"/>
      <c r="BFS114" s="17"/>
      <c r="BFT114" s="17"/>
      <c r="BFU114" s="17"/>
      <c r="BFV114" s="17"/>
      <c r="BFW114" s="17"/>
      <c r="BFX114" s="17"/>
      <c r="BFY114" s="17"/>
      <c r="BFZ114" s="17"/>
      <c r="BGA114" s="17"/>
      <c r="BGB114" s="17"/>
      <c r="BGC114" s="17"/>
      <c r="BGD114" s="17"/>
      <c r="BGE114" s="17"/>
      <c r="BGF114" s="17"/>
      <c r="BGG114" s="17"/>
      <c r="BGH114" s="17"/>
      <c r="BGI114" s="17"/>
      <c r="BGJ114" s="17"/>
      <c r="BGK114" s="17"/>
      <c r="BGL114" s="17"/>
      <c r="BGM114" s="17"/>
      <c r="BGN114" s="17"/>
      <c r="BGO114" s="17"/>
      <c r="BGP114" s="17"/>
      <c r="BGQ114" s="17"/>
      <c r="BGR114" s="17"/>
      <c r="BGS114" s="17"/>
      <c r="BGT114" s="17"/>
      <c r="BGU114" s="17"/>
      <c r="BGV114" s="17"/>
      <c r="BGW114" s="17"/>
      <c r="BGX114" s="17"/>
      <c r="BGY114" s="17"/>
      <c r="BGZ114" s="17"/>
      <c r="BHA114" s="17"/>
      <c r="BHB114" s="17"/>
      <c r="BHC114" s="17"/>
      <c r="BHD114" s="17"/>
      <c r="BHE114" s="17"/>
      <c r="BHF114" s="17"/>
      <c r="BHG114" s="17"/>
      <c r="BHH114" s="17"/>
      <c r="BHI114" s="17"/>
      <c r="BHJ114" s="17"/>
      <c r="BHK114" s="17"/>
      <c r="BHL114" s="17"/>
      <c r="BHM114" s="17"/>
      <c r="BHN114" s="17"/>
      <c r="BHO114" s="17"/>
      <c r="BHP114" s="17"/>
      <c r="BHQ114" s="17"/>
      <c r="BHR114" s="17"/>
      <c r="BHS114" s="17"/>
      <c r="BHT114" s="17"/>
      <c r="BHU114" s="17"/>
      <c r="BHV114" s="17"/>
      <c r="BHW114" s="17"/>
      <c r="BHX114" s="17"/>
      <c r="BHY114" s="17"/>
      <c r="BHZ114" s="17"/>
      <c r="BIA114" s="17"/>
      <c r="BIB114" s="17"/>
      <c r="BIC114" s="17"/>
      <c r="BID114" s="17"/>
      <c r="BIE114" s="17"/>
      <c r="BIF114" s="17"/>
      <c r="BIG114" s="17"/>
      <c r="BIH114" s="17"/>
      <c r="BII114" s="17"/>
      <c r="BIJ114" s="17"/>
      <c r="BIK114" s="17"/>
      <c r="BIL114" s="17"/>
      <c r="BIM114" s="17"/>
      <c r="BIN114" s="17"/>
      <c r="BIO114" s="17"/>
      <c r="BIP114" s="17"/>
      <c r="BIQ114" s="17"/>
      <c r="BIR114" s="17"/>
      <c r="BIS114" s="17"/>
      <c r="BIT114" s="17"/>
      <c r="BIU114" s="17"/>
      <c r="BIV114" s="17"/>
      <c r="BIW114" s="17"/>
      <c r="BIX114" s="17"/>
      <c r="BIY114" s="17"/>
      <c r="BIZ114" s="17"/>
      <c r="BJA114" s="17"/>
      <c r="BJB114" s="17"/>
      <c r="BJC114" s="17"/>
      <c r="BJD114" s="17"/>
      <c r="BJE114" s="17"/>
      <c r="BJF114" s="17"/>
      <c r="BJG114" s="17"/>
      <c r="BJH114" s="17"/>
      <c r="BJI114" s="17"/>
      <c r="BJJ114" s="17"/>
      <c r="BJK114" s="17"/>
      <c r="BJL114" s="17"/>
      <c r="BJM114" s="17"/>
      <c r="BJN114" s="17"/>
      <c r="BJO114" s="17"/>
      <c r="BJP114" s="17"/>
      <c r="BJQ114" s="17"/>
      <c r="BJR114" s="17"/>
      <c r="BJS114" s="17"/>
      <c r="BJT114" s="17"/>
      <c r="BJU114" s="17"/>
      <c r="BJV114" s="17"/>
      <c r="BJW114" s="17"/>
      <c r="BJX114" s="17"/>
      <c r="BJY114" s="17"/>
      <c r="BJZ114" s="17"/>
      <c r="BKA114" s="17"/>
      <c r="BKB114" s="17"/>
      <c r="BKC114" s="17"/>
      <c r="BKD114" s="17"/>
      <c r="BKE114" s="17"/>
      <c r="BKF114" s="17"/>
      <c r="BKG114" s="17"/>
      <c r="BKH114" s="17"/>
      <c r="BKI114" s="17"/>
      <c r="BKJ114" s="17"/>
      <c r="BKK114" s="17"/>
      <c r="BKL114" s="17"/>
      <c r="BKM114" s="17"/>
      <c r="BKN114" s="17"/>
      <c r="BKO114" s="17"/>
      <c r="BKP114" s="17"/>
      <c r="BKQ114" s="17"/>
      <c r="BKR114" s="17"/>
      <c r="BKS114" s="17"/>
      <c r="BKT114" s="17"/>
      <c r="BKU114" s="17"/>
      <c r="BKV114" s="17"/>
      <c r="BKW114" s="17"/>
      <c r="BKX114" s="17"/>
      <c r="BKY114" s="17"/>
      <c r="BKZ114" s="17"/>
      <c r="BLA114" s="17"/>
      <c r="BLB114" s="17"/>
      <c r="BLC114" s="17"/>
      <c r="BLD114" s="17"/>
      <c r="BLE114" s="17"/>
      <c r="BLF114" s="17"/>
      <c r="BLG114" s="17"/>
      <c r="BLH114" s="17"/>
      <c r="BLI114" s="17"/>
      <c r="BLJ114" s="17"/>
      <c r="BLK114" s="17"/>
      <c r="BLL114" s="17"/>
      <c r="BLM114" s="17"/>
      <c r="BLN114" s="17"/>
      <c r="BLO114" s="17"/>
      <c r="BLP114" s="17"/>
      <c r="BLQ114" s="17"/>
      <c r="BLR114" s="17"/>
      <c r="BLS114" s="17"/>
      <c r="BLT114" s="17"/>
      <c r="BLU114" s="17"/>
      <c r="BLV114" s="17"/>
      <c r="BLW114" s="17"/>
      <c r="BLX114" s="17"/>
      <c r="BLY114" s="17"/>
      <c r="BLZ114" s="17"/>
      <c r="BMA114" s="17"/>
      <c r="BMB114" s="17"/>
      <c r="BMC114" s="17"/>
      <c r="BMD114" s="17"/>
      <c r="BME114" s="17"/>
      <c r="BMF114" s="17"/>
      <c r="BMG114" s="17"/>
      <c r="BMH114" s="17"/>
      <c r="BMI114" s="17"/>
      <c r="BMJ114" s="17"/>
      <c r="BMK114" s="17"/>
      <c r="BML114" s="17"/>
      <c r="BMM114" s="17"/>
      <c r="BMN114" s="17"/>
      <c r="BMO114" s="17"/>
      <c r="BMP114" s="17"/>
      <c r="BMQ114" s="17"/>
      <c r="BMR114" s="17"/>
      <c r="BMS114" s="17"/>
      <c r="BMT114" s="17"/>
      <c r="BMU114" s="17"/>
      <c r="BMV114" s="17"/>
      <c r="BMW114" s="17"/>
      <c r="BMX114" s="17"/>
      <c r="BMY114" s="17"/>
      <c r="BMZ114" s="17"/>
      <c r="BNA114" s="17"/>
      <c r="BNB114" s="17"/>
      <c r="BNC114" s="17"/>
      <c r="BND114" s="17"/>
      <c r="BNE114" s="17"/>
      <c r="BNF114" s="17"/>
      <c r="BNG114" s="17"/>
      <c r="BNH114" s="17"/>
      <c r="BNI114" s="17"/>
      <c r="BNJ114" s="17"/>
      <c r="BNK114" s="17"/>
      <c r="BNL114" s="17"/>
      <c r="BNM114" s="17"/>
      <c r="BNN114" s="17"/>
      <c r="BNO114" s="17"/>
      <c r="BNP114" s="17"/>
      <c r="BNQ114" s="17"/>
      <c r="BNR114" s="17"/>
      <c r="BNS114" s="17"/>
      <c r="BNT114" s="17"/>
      <c r="BNU114" s="17"/>
      <c r="BNV114" s="17"/>
      <c r="BNW114" s="17"/>
      <c r="BNX114" s="17"/>
      <c r="BNY114" s="17"/>
      <c r="BNZ114" s="17"/>
      <c r="BOA114" s="17"/>
      <c r="BOB114" s="17"/>
      <c r="BOC114" s="17"/>
      <c r="BOD114" s="17"/>
      <c r="BOE114" s="17"/>
      <c r="BOF114" s="17"/>
      <c r="BOG114" s="17"/>
      <c r="BOH114" s="17"/>
      <c r="BOI114" s="17"/>
      <c r="BOJ114" s="17"/>
      <c r="BOK114" s="17"/>
      <c r="BOL114" s="17"/>
      <c r="BOM114" s="17"/>
      <c r="BON114" s="17"/>
      <c r="BOO114" s="17"/>
      <c r="BOP114" s="17"/>
      <c r="BOQ114" s="17"/>
      <c r="BOR114" s="17"/>
      <c r="BOS114" s="17"/>
      <c r="BOT114" s="17"/>
      <c r="BOU114" s="17"/>
      <c r="BOV114" s="17"/>
      <c r="BOW114" s="17"/>
      <c r="BOX114" s="17"/>
      <c r="BOY114" s="17"/>
      <c r="BOZ114" s="17"/>
      <c r="BPA114" s="17"/>
      <c r="BPB114" s="17"/>
      <c r="BPC114" s="17"/>
      <c r="BPD114" s="17"/>
      <c r="BPE114" s="17"/>
      <c r="BPF114" s="17"/>
      <c r="BPG114" s="17"/>
      <c r="BPH114" s="17"/>
      <c r="BPI114" s="17"/>
      <c r="BPJ114" s="17"/>
      <c r="BPK114" s="17"/>
      <c r="BPL114" s="17"/>
      <c r="BPM114" s="17"/>
      <c r="BPN114" s="17"/>
      <c r="BPO114" s="17"/>
      <c r="BPP114" s="17"/>
      <c r="BPQ114" s="17"/>
      <c r="BPR114" s="17"/>
      <c r="BPS114" s="17"/>
      <c r="BPT114" s="17"/>
      <c r="BPU114" s="17"/>
      <c r="BPV114" s="17"/>
      <c r="BPW114" s="17"/>
      <c r="BPX114" s="17"/>
      <c r="BPY114" s="17"/>
      <c r="BPZ114" s="17"/>
      <c r="BQA114" s="17"/>
      <c r="BQB114" s="17"/>
      <c r="BQC114" s="17"/>
      <c r="BQD114" s="17"/>
      <c r="BQE114" s="17"/>
      <c r="BQF114" s="17"/>
      <c r="BQG114" s="17"/>
      <c r="BQH114" s="17"/>
      <c r="BQI114" s="17"/>
      <c r="BQJ114" s="17"/>
      <c r="BQK114" s="17"/>
      <c r="BQL114" s="17"/>
      <c r="BQM114" s="17"/>
      <c r="BQN114" s="17"/>
      <c r="BQO114" s="17"/>
      <c r="BQP114" s="17"/>
      <c r="BQQ114" s="17"/>
      <c r="BQR114" s="17"/>
      <c r="BQS114" s="17"/>
      <c r="BQT114" s="17"/>
      <c r="BQU114" s="17"/>
      <c r="BQV114" s="17"/>
      <c r="BQW114" s="17"/>
      <c r="BQX114" s="17"/>
      <c r="BQY114" s="17"/>
      <c r="BQZ114" s="17"/>
      <c r="BRA114" s="17"/>
      <c r="BRB114" s="17"/>
      <c r="BRC114" s="17"/>
      <c r="BRD114" s="17"/>
      <c r="BRE114" s="17"/>
      <c r="BRF114" s="17"/>
      <c r="BRG114" s="17"/>
      <c r="BRH114" s="17"/>
      <c r="BRI114" s="17"/>
      <c r="BRJ114" s="17"/>
      <c r="BRK114" s="17"/>
      <c r="BRL114" s="17"/>
      <c r="BRM114" s="17"/>
      <c r="BRN114" s="17"/>
      <c r="BRO114" s="17"/>
      <c r="BRP114" s="17"/>
      <c r="BRQ114" s="17"/>
      <c r="BRR114" s="17"/>
      <c r="BRS114" s="17"/>
      <c r="BRT114" s="17"/>
      <c r="BRU114" s="17"/>
      <c r="BRV114" s="17"/>
      <c r="BRW114" s="17"/>
      <c r="BRX114" s="17"/>
      <c r="BRY114" s="17"/>
      <c r="BRZ114" s="17"/>
      <c r="BSA114" s="17"/>
      <c r="BSB114" s="17"/>
      <c r="BSC114" s="17"/>
      <c r="BSD114" s="17"/>
      <c r="BSE114" s="17"/>
      <c r="BSF114" s="17"/>
      <c r="BSG114" s="17"/>
      <c r="BSH114" s="17"/>
      <c r="BSI114" s="17"/>
      <c r="BSJ114" s="17"/>
      <c r="BSK114" s="17"/>
      <c r="BSL114" s="17"/>
      <c r="BSM114" s="17"/>
      <c r="BSN114" s="17"/>
      <c r="BSO114" s="17"/>
      <c r="BSP114" s="17"/>
      <c r="BSQ114" s="17"/>
      <c r="BSR114" s="17"/>
      <c r="BSS114" s="17"/>
      <c r="BST114" s="17"/>
      <c r="BSU114" s="17"/>
      <c r="BSV114" s="17"/>
      <c r="BSW114" s="17"/>
      <c r="BSX114" s="17"/>
      <c r="BSY114" s="17"/>
      <c r="BSZ114" s="17"/>
      <c r="BTA114" s="17"/>
      <c r="BTB114" s="17"/>
      <c r="BTC114" s="17"/>
      <c r="BTD114" s="17"/>
      <c r="BTE114" s="17"/>
      <c r="BTF114" s="17"/>
      <c r="BTG114" s="17"/>
      <c r="BTH114" s="17"/>
      <c r="BTI114" s="17"/>
      <c r="BTJ114" s="17"/>
      <c r="BTK114" s="17"/>
      <c r="BTL114" s="17"/>
      <c r="BTM114" s="17"/>
      <c r="BTN114" s="17"/>
      <c r="BTO114" s="17"/>
      <c r="BTP114" s="17"/>
      <c r="BTQ114" s="17"/>
      <c r="BTR114" s="17"/>
      <c r="BTS114" s="17"/>
      <c r="BTT114" s="17"/>
      <c r="BTU114" s="17"/>
      <c r="BTV114" s="17"/>
      <c r="BTW114" s="17"/>
      <c r="BTX114" s="17"/>
      <c r="BTY114" s="17"/>
      <c r="BTZ114" s="17"/>
      <c r="BUA114" s="17"/>
      <c r="BUB114" s="17"/>
      <c r="BUC114" s="17"/>
      <c r="BUD114" s="17"/>
      <c r="BUE114" s="17"/>
      <c r="BUF114" s="17"/>
      <c r="BUG114" s="17"/>
      <c r="BUH114" s="17"/>
      <c r="BUI114" s="17"/>
      <c r="BUJ114" s="17"/>
      <c r="BUK114" s="17"/>
      <c r="BUL114" s="17"/>
      <c r="BUM114" s="17"/>
      <c r="BUN114" s="17"/>
      <c r="BUO114" s="17"/>
      <c r="BUP114" s="17"/>
      <c r="BUQ114" s="17"/>
      <c r="BUR114" s="17"/>
      <c r="BUS114" s="17"/>
      <c r="BUT114" s="17"/>
      <c r="BUU114" s="17"/>
      <c r="BUV114" s="17"/>
      <c r="BUW114" s="17"/>
      <c r="BUX114" s="17"/>
      <c r="BUY114" s="17"/>
      <c r="BUZ114" s="17"/>
      <c r="BVA114" s="17"/>
      <c r="BVB114" s="17"/>
      <c r="BVC114" s="17"/>
      <c r="BVD114" s="17"/>
      <c r="BVE114" s="17"/>
      <c r="BVF114" s="17"/>
      <c r="BVG114" s="17"/>
      <c r="BVH114" s="17"/>
      <c r="BVI114" s="17"/>
      <c r="BVJ114" s="17"/>
      <c r="BVK114" s="17"/>
      <c r="BVL114" s="17"/>
      <c r="BVM114" s="17"/>
      <c r="BVN114" s="17"/>
      <c r="BVO114" s="17"/>
      <c r="BVP114" s="17"/>
      <c r="BVQ114" s="17"/>
      <c r="BVR114" s="17"/>
      <c r="BVS114" s="17"/>
      <c r="BVT114" s="17"/>
      <c r="BVU114" s="17"/>
      <c r="BVV114" s="17"/>
      <c r="BVW114" s="17"/>
      <c r="BVX114" s="17"/>
      <c r="BVY114" s="17"/>
      <c r="BVZ114" s="17"/>
      <c r="BWA114" s="17"/>
      <c r="BWB114" s="17"/>
      <c r="BWC114" s="17"/>
      <c r="BWD114" s="17"/>
      <c r="BWE114" s="17"/>
      <c r="BWF114" s="17"/>
      <c r="BWG114" s="17"/>
      <c r="BWH114" s="17"/>
      <c r="BWI114" s="17"/>
      <c r="BWJ114" s="17"/>
      <c r="BWK114" s="17"/>
      <c r="BWL114" s="17"/>
      <c r="BWM114" s="17"/>
      <c r="BWN114" s="17"/>
      <c r="BWO114" s="17"/>
      <c r="BWP114" s="17"/>
      <c r="BWQ114" s="17"/>
      <c r="BWR114" s="17"/>
      <c r="BWS114" s="17"/>
      <c r="BWT114" s="17"/>
      <c r="BWU114" s="17"/>
      <c r="BWV114" s="17"/>
      <c r="BWW114" s="17"/>
      <c r="BWX114" s="17"/>
      <c r="BWY114" s="17"/>
      <c r="BWZ114" s="17"/>
      <c r="BXA114" s="17"/>
      <c r="BXB114" s="17"/>
      <c r="BXC114" s="17"/>
      <c r="BXD114" s="17"/>
      <c r="BXE114" s="17"/>
      <c r="BXF114" s="17"/>
      <c r="BXG114" s="17"/>
      <c r="BXH114" s="17"/>
      <c r="BXI114" s="17"/>
      <c r="BXJ114" s="17"/>
      <c r="BXK114" s="17"/>
      <c r="BXL114" s="17"/>
      <c r="BXM114" s="17"/>
      <c r="BXN114" s="17"/>
      <c r="BXO114" s="17"/>
      <c r="BXP114" s="17"/>
      <c r="BXQ114" s="17"/>
      <c r="BXR114" s="17"/>
      <c r="BXS114" s="17"/>
      <c r="BXT114" s="17"/>
      <c r="BXU114" s="17"/>
      <c r="BXV114" s="17"/>
      <c r="BXW114" s="17"/>
      <c r="BXX114" s="17"/>
      <c r="BXY114" s="17"/>
      <c r="BXZ114" s="17"/>
      <c r="BYA114" s="17"/>
      <c r="BYB114" s="17"/>
      <c r="BYC114" s="17"/>
      <c r="BYD114" s="17"/>
      <c r="BYE114" s="17"/>
      <c r="BYF114" s="17"/>
      <c r="BYG114" s="17"/>
      <c r="BYH114" s="17"/>
      <c r="BYI114" s="17"/>
      <c r="BYJ114" s="17"/>
      <c r="BYK114" s="17"/>
      <c r="BYL114" s="17"/>
      <c r="BYM114" s="17"/>
      <c r="BYN114" s="17"/>
      <c r="BYO114" s="17"/>
      <c r="BYP114" s="17"/>
      <c r="BYQ114" s="17"/>
      <c r="BYR114" s="17"/>
      <c r="BYS114" s="17"/>
      <c r="BYT114" s="17"/>
      <c r="BYU114" s="17"/>
      <c r="BYV114" s="17"/>
      <c r="BYW114" s="17"/>
      <c r="BYX114" s="17"/>
      <c r="BYY114" s="17"/>
      <c r="BYZ114" s="17"/>
      <c r="BZA114" s="17"/>
      <c r="BZB114" s="17"/>
      <c r="BZC114" s="17"/>
      <c r="BZD114" s="17"/>
      <c r="BZE114" s="17"/>
      <c r="BZF114" s="17"/>
      <c r="BZG114" s="17"/>
      <c r="BZH114" s="17"/>
      <c r="BZI114" s="17"/>
      <c r="BZJ114" s="17"/>
      <c r="BZK114" s="17"/>
      <c r="BZL114" s="17"/>
      <c r="BZM114" s="17"/>
      <c r="BZN114" s="17"/>
      <c r="BZO114" s="17"/>
      <c r="BZP114" s="17"/>
      <c r="BZQ114" s="17"/>
      <c r="BZR114" s="17"/>
      <c r="BZS114" s="17"/>
      <c r="BZT114" s="17"/>
      <c r="BZU114" s="17"/>
      <c r="BZV114" s="17"/>
      <c r="BZW114" s="17"/>
      <c r="BZX114" s="17"/>
      <c r="BZY114" s="17"/>
      <c r="BZZ114" s="17"/>
      <c r="CAA114" s="17"/>
      <c r="CAB114" s="17"/>
      <c r="CAC114" s="17"/>
      <c r="CAD114" s="17"/>
      <c r="CAE114" s="17"/>
      <c r="CAF114" s="17"/>
      <c r="CAG114" s="17"/>
      <c r="CAH114" s="17"/>
      <c r="CAI114" s="17"/>
      <c r="CAJ114" s="17"/>
      <c r="CAK114" s="17"/>
      <c r="CAL114" s="17"/>
      <c r="CAM114" s="17"/>
      <c r="CAN114" s="17"/>
      <c r="CAO114" s="17"/>
      <c r="CAP114" s="17"/>
      <c r="CAQ114" s="17"/>
      <c r="CAR114" s="17"/>
      <c r="CAS114" s="17"/>
      <c r="CAT114" s="17"/>
      <c r="CAU114" s="17"/>
      <c r="CAV114" s="17"/>
      <c r="CAW114" s="17"/>
      <c r="CAX114" s="17"/>
      <c r="CAY114" s="17"/>
      <c r="CAZ114" s="17"/>
      <c r="CBA114" s="17"/>
      <c r="CBB114" s="17"/>
      <c r="CBC114" s="17"/>
      <c r="CBD114" s="17"/>
      <c r="CBE114" s="17"/>
      <c r="CBF114" s="17"/>
      <c r="CBG114" s="17"/>
      <c r="CBH114" s="17"/>
      <c r="CBI114" s="17"/>
      <c r="CBJ114" s="17"/>
      <c r="CBK114" s="17"/>
      <c r="CBL114" s="17"/>
      <c r="CBM114" s="17"/>
      <c r="CBN114" s="17"/>
      <c r="CBO114" s="17"/>
      <c r="CBP114" s="17"/>
      <c r="CBQ114" s="17"/>
      <c r="CBR114" s="17"/>
      <c r="CBS114" s="17"/>
      <c r="CBT114" s="17"/>
      <c r="CBU114" s="17"/>
      <c r="CBV114" s="17"/>
      <c r="CBW114" s="17"/>
      <c r="CBX114" s="17"/>
      <c r="CBY114" s="17"/>
      <c r="CBZ114" s="17"/>
      <c r="CCA114" s="17"/>
      <c r="CCB114" s="17"/>
      <c r="CCC114" s="17"/>
      <c r="CCD114" s="17"/>
      <c r="CCE114" s="17"/>
      <c r="CCF114" s="17"/>
      <c r="CCG114" s="17"/>
      <c r="CCH114" s="17"/>
      <c r="CCI114" s="17"/>
      <c r="CCJ114" s="17"/>
      <c r="CCK114" s="17"/>
      <c r="CCL114" s="17"/>
      <c r="CCM114" s="17"/>
      <c r="CCN114" s="17"/>
      <c r="CCO114" s="17"/>
      <c r="CCP114" s="17"/>
      <c r="CCQ114" s="17"/>
      <c r="CCR114" s="17"/>
      <c r="CCS114" s="17"/>
      <c r="CCT114" s="17"/>
      <c r="CCU114" s="17"/>
      <c r="CCV114" s="17"/>
      <c r="CCW114" s="17"/>
      <c r="CCX114" s="17"/>
      <c r="CCY114" s="17"/>
      <c r="CCZ114" s="17"/>
      <c r="CDA114" s="17"/>
      <c r="CDB114" s="17"/>
      <c r="CDC114" s="17"/>
      <c r="CDD114" s="17"/>
      <c r="CDE114" s="17"/>
      <c r="CDF114" s="17"/>
      <c r="CDG114" s="17"/>
      <c r="CDH114" s="17"/>
      <c r="CDI114" s="17"/>
      <c r="CDJ114" s="17"/>
      <c r="CDK114" s="17"/>
      <c r="CDL114" s="17"/>
      <c r="CDM114" s="17"/>
      <c r="CDN114" s="17"/>
      <c r="CDO114" s="17"/>
      <c r="CDP114" s="17"/>
      <c r="CDQ114" s="17"/>
      <c r="CDR114" s="17"/>
      <c r="CDS114" s="17"/>
      <c r="CDT114" s="17"/>
      <c r="CDU114" s="17"/>
      <c r="CDV114" s="17"/>
      <c r="CDW114" s="17"/>
      <c r="CDX114" s="17"/>
      <c r="CDY114" s="17"/>
      <c r="CDZ114" s="17"/>
      <c r="CEA114" s="17"/>
      <c r="CEB114" s="17"/>
      <c r="CEC114" s="17"/>
      <c r="CED114" s="17"/>
      <c r="CEE114" s="17"/>
      <c r="CEF114" s="17"/>
      <c r="CEG114" s="17"/>
      <c r="CEH114" s="17"/>
      <c r="CEI114" s="17"/>
      <c r="CEJ114" s="17"/>
      <c r="CEK114" s="17"/>
      <c r="CEL114" s="17"/>
      <c r="CEM114" s="17"/>
      <c r="CEN114" s="17"/>
      <c r="CEO114" s="17"/>
      <c r="CEP114" s="17"/>
      <c r="CEQ114" s="17"/>
      <c r="CER114" s="17"/>
      <c r="CES114" s="17"/>
      <c r="CET114" s="17"/>
      <c r="CEU114" s="17"/>
      <c r="CEV114" s="17"/>
      <c r="CEW114" s="17"/>
      <c r="CEX114" s="17"/>
      <c r="CEY114" s="17"/>
      <c r="CEZ114" s="17"/>
      <c r="CFA114" s="17"/>
      <c r="CFB114" s="17"/>
      <c r="CFC114" s="17"/>
      <c r="CFD114" s="17"/>
      <c r="CFE114" s="17"/>
      <c r="CFF114" s="17"/>
      <c r="CFG114" s="17"/>
      <c r="CFH114" s="17"/>
      <c r="CFI114" s="17"/>
      <c r="CFJ114" s="17"/>
      <c r="CFK114" s="17"/>
      <c r="CFL114" s="17"/>
      <c r="CFM114" s="17"/>
      <c r="CFN114" s="17"/>
      <c r="CFO114" s="17"/>
      <c r="CFP114" s="17"/>
      <c r="CFQ114" s="17"/>
      <c r="CFR114" s="17"/>
      <c r="CFS114" s="17"/>
      <c r="CFT114" s="17"/>
      <c r="CFU114" s="17"/>
      <c r="CFV114" s="17"/>
      <c r="CFW114" s="17"/>
      <c r="CFX114" s="17"/>
      <c r="CFY114" s="17"/>
      <c r="CFZ114" s="17"/>
      <c r="CGA114" s="17"/>
      <c r="CGB114" s="17"/>
      <c r="CGC114" s="17"/>
      <c r="CGD114" s="17"/>
      <c r="CGE114" s="17"/>
      <c r="CGF114" s="17"/>
      <c r="CGG114" s="17"/>
      <c r="CGH114" s="17"/>
      <c r="CGI114" s="17"/>
      <c r="CGJ114" s="17"/>
      <c r="CGK114" s="17"/>
      <c r="CGL114" s="17"/>
      <c r="CGM114" s="17"/>
      <c r="CGN114" s="17"/>
      <c r="CGO114" s="17"/>
      <c r="CGP114" s="17"/>
      <c r="CGQ114" s="17"/>
      <c r="CGR114" s="17"/>
      <c r="CGS114" s="17"/>
      <c r="CGT114" s="17"/>
      <c r="CGU114" s="17"/>
      <c r="CGV114" s="17"/>
      <c r="CGW114" s="17"/>
      <c r="CGX114" s="17"/>
      <c r="CGY114" s="17"/>
      <c r="CGZ114" s="17"/>
      <c r="CHA114" s="17"/>
      <c r="CHB114" s="17"/>
      <c r="CHC114" s="17"/>
      <c r="CHD114" s="17"/>
      <c r="CHE114" s="17"/>
      <c r="CHF114" s="17"/>
      <c r="CHG114" s="17"/>
      <c r="CHH114" s="17"/>
      <c r="CHI114" s="17"/>
      <c r="CHJ114" s="17"/>
      <c r="CHK114" s="17"/>
      <c r="CHL114" s="17"/>
      <c r="CHM114" s="17"/>
      <c r="CHN114" s="17"/>
      <c r="CHO114" s="17"/>
      <c r="CHP114" s="17"/>
      <c r="CHQ114" s="17"/>
      <c r="CHR114" s="17"/>
      <c r="CHS114" s="17"/>
      <c r="CHT114" s="17"/>
      <c r="CHU114" s="17"/>
      <c r="CHV114" s="17"/>
      <c r="CHW114" s="17"/>
      <c r="CHX114" s="17"/>
      <c r="CHY114" s="17"/>
      <c r="CHZ114" s="17"/>
      <c r="CIA114" s="17"/>
      <c r="CIB114" s="17"/>
      <c r="CIC114" s="17"/>
      <c r="CID114" s="17"/>
      <c r="CIE114" s="17"/>
      <c r="CIF114" s="17"/>
      <c r="CIG114" s="17"/>
      <c r="CIH114" s="17"/>
      <c r="CII114" s="17"/>
      <c r="CIJ114" s="17"/>
      <c r="CIK114" s="17"/>
      <c r="CIL114" s="17"/>
      <c r="CIM114" s="17"/>
      <c r="CIN114" s="17"/>
      <c r="CIO114" s="17"/>
      <c r="CIP114" s="17"/>
      <c r="CIQ114" s="17"/>
      <c r="CIR114" s="17"/>
      <c r="CIS114" s="17"/>
      <c r="CIT114" s="17"/>
      <c r="CIU114" s="17"/>
      <c r="CIV114" s="17"/>
      <c r="CIW114" s="17"/>
      <c r="CIX114" s="17"/>
      <c r="CIY114" s="17"/>
      <c r="CIZ114" s="17"/>
      <c r="CJA114" s="17"/>
      <c r="CJB114" s="17"/>
      <c r="CJC114" s="17"/>
      <c r="CJD114" s="17"/>
      <c r="CJE114" s="17"/>
      <c r="CJF114" s="17"/>
      <c r="CJG114" s="17"/>
      <c r="CJH114" s="17"/>
      <c r="CJI114" s="17"/>
      <c r="CJJ114" s="17"/>
      <c r="CJK114" s="17"/>
      <c r="CJL114" s="17"/>
      <c r="CJM114" s="17"/>
      <c r="CJN114" s="17"/>
      <c r="CJO114" s="17"/>
      <c r="CJP114" s="17"/>
      <c r="CJQ114" s="17"/>
      <c r="CJR114" s="17"/>
      <c r="CJS114" s="17"/>
      <c r="CJT114" s="17"/>
      <c r="CJU114" s="17"/>
      <c r="CJV114" s="17"/>
      <c r="CJW114" s="17"/>
      <c r="CJX114" s="17"/>
      <c r="CJY114" s="17"/>
      <c r="CJZ114" s="17"/>
      <c r="CKA114" s="17"/>
      <c r="CKB114" s="17"/>
      <c r="CKC114" s="17"/>
      <c r="CKD114" s="17"/>
      <c r="CKE114" s="17"/>
      <c r="CKF114" s="17"/>
      <c r="CKG114" s="17"/>
      <c r="CKH114" s="17"/>
      <c r="CKI114" s="17"/>
      <c r="CKJ114" s="17"/>
      <c r="CKK114" s="17"/>
      <c r="CKL114" s="17"/>
      <c r="CKM114" s="17"/>
      <c r="CKN114" s="17"/>
      <c r="CKO114" s="17"/>
      <c r="CKP114" s="17"/>
      <c r="CKQ114" s="17"/>
      <c r="CKR114" s="17"/>
      <c r="CKS114" s="17"/>
      <c r="CKT114" s="17"/>
      <c r="CKU114" s="17"/>
      <c r="CKV114" s="17"/>
      <c r="CKW114" s="17"/>
      <c r="CKX114" s="17"/>
      <c r="CKY114" s="17"/>
      <c r="CKZ114" s="17"/>
      <c r="CLA114" s="17"/>
      <c r="CLB114" s="17"/>
      <c r="CLC114" s="17"/>
      <c r="CLD114" s="17"/>
      <c r="CLE114" s="17"/>
      <c r="CLF114" s="17"/>
      <c r="CLG114" s="17"/>
      <c r="CLH114" s="17"/>
      <c r="CLI114" s="17"/>
      <c r="CLJ114" s="17"/>
      <c r="CLK114" s="17"/>
      <c r="CLL114" s="17"/>
      <c r="CLM114" s="17"/>
      <c r="CLN114" s="17"/>
      <c r="CLO114" s="17"/>
      <c r="CLP114" s="17"/>
      <c r="CLQ114" s="17"/>
      <c r="CLR114" s="17"/>
      <c r="CLS114" s="17"/>
      <c r="CLT114" s="17"/>
      <c r="CLU114" s="17"/>
      <c r="CLV114" s="17"/>
      <c r="CLW114" s="17"/>
      <c r="CLX114" s="17"/>
      <c r="CLY114" s="17"/>
      <c r="CLZ114" s="17"/>
      <c r="CMA114" s="17"/>
      <c r="CMB114" s="17"/>
      <c r="CMC114" s="17"/>
      <c r="CMD114" s="17"/>
      <c r="CME114" s="17"/>
      <c r="CMF114" s="17"/>
      <c r="CMG114" s="17"/>
      <c r="CMH114" s="17"/>
      <c r="CMI114" s="17"/>
      <c r="CMJ114" s="17"/>
      <c r="CMK114" s="17"/>
      <c r="CML114" s="17"/>
      <c r="CMM114" s="17"/>
      <c r="CMN114" s="17"/>
      <c r="CMO114" s="17"/>
      <c r="CMP114" s="17"/>
      <c r="CMQ114" s="17"/>
      <c r="CMR114" s="17"/>
      <c r="CMS114" s="17"/>
      <c r="CMT114" s="17"/>
      <c r="CMU114" s="17"/>
      <c r="CMV114" s="17"/>
      <c r="CMW114" s="17"/>
      <c r="CMX114" s="17"/>
      <c r="CMY114" s="17"/>
      <c r="CMZ114" s="17"/>
      <c r="CNA114" s="17"/>
      <c r="CNB114" s="17"/>
      <c r="CNC114" s="17"/>
      <c r="CND114" s="17"/>
      <c r="CNE114" s="17"/>
      <c r="CNF114" s="17"/>
      <c r="CNG114" s="17"/>
      <c r="CNH114" s="17"/>
      <c r="CNI114" s="17"/>
      <c r="CNJ114" s="17"/>
      <c r="CNK114" s="17"/>
      <c r="CNL114" s="17"/>
      <c r="CNM114" s="17"/>
      <c r="CNN114" s="17"/>
      <c r="CNO114" s="17"/>
      <c r="CNP114" s="17"/>
      <c r="CNQ114" s="17"/>
      <c r="CNR114" s="17"/>
      <c r="CNS114" s="17"/>
      <c r="CNT114" s="17"/>
      <c r="CNU114" s="17"/>
      <c r="CNV114" s="17"/>
      <c r="CNW114" s="17"/>
      <c r="CNX114" s="17"/>
      <c r="CNY114" s="17"/>
      <c r="CNZ114" s="17"/>
      <c r="COA114" s="17"/>
      <c r="COB114" s="17"/>
      <c r="COC114" s="17"/>
      <c r="COD114" s="17"/>
      <c r="COE114" s="17"/>
      <c r="COF114" s="17"/>
      <c r="COG114" s="17"/>
      <c r="COH114" s="17"/>
      <c r="COI114" s="17"/>
      <c r="COJ114" s="17"/>
      <c r="COK114" s="17"/>
      <c r="COL114" s="17"/>
      <c r="COM114" s="17"/>
      <c r="CON114" s="17"/>
      <c r="COO114" s="17"/>
      <c r="COP114" s="17"/>
      <c r="COQ114" s="17"/>
      <c r="COR114" s="17"/>
      <c r="COS114" s="17"/>
      <c r="COT114" s="17"/>
      <c r="COU114" s="17"/>
      <c r="COV114" s="17"/>
      <c r="COW114" s="17"/>
      <c r="COX114" s="17"/>
      <c r="COY114" s="17"/>
      <c r="COZ114" s="17"/>
      <c r="CPA114" s="17"/>
      <c r="CPB114" s="17"/>
      <c r="CPC114" s="17"/>
      <c r="CPD114" s="17"/>
      <c r="CPE114" s="17"/>
      <c r="CPF114" s="17"/>
      <c r="CPG114" s="17"/>
      <c r="CPH114" s="17"/>
      <c r="CPI114" s="17"/>
      <c r="CPJ114" s="17"/>
      <c r="CPK114" s="17"/>
      <c r="CPL114" s="17"/>
      <c r="CPM114" s="17"/>
      <c r="CPN114" s="17"/>
      <c r="CPO114" s="17"/>
      <c r="CPP114" s="17"/>
      <c r="CPQ114" s="17"/>
      <c r="CPR114" s="17"/>
      <c r="CPS114" s="17"/>
      <c r="CPT114" s="17"/>
      <c r="CPU114" s="17"/>
      <c r="CPV114" s="17"/>
      <c r="CPW114" s="17"/>
      <c r="CPX114" s="17"/>
      <c r="CPY114" s="17"/>
      <c r="CPZ114" s="17"/>
      <c r="CQA114" s="17"/>
      <c r="CQB114" s="17"/>
      <c r="CQC114" s="17"/>
      <c r="CQD114" s="17"/>
      <c r="CQE114" s="17"/>
      <c r="CQF114" s="17"/>
      <c r="CQG114" s="17"/>
      <c r="CQH114" s="17"/>
      <c r="CQI114" s="17"/>
      <c r="CQJ114" s="17"/>
      <c r="CQK114" s="17"/>
      <c r="CQL114" s="17"/>
      <c r="CQM114" s="17"/>
      <c r="CQN114" s="17"/>
      <c r="CQO114" s="17"/>
      <c r="CQP114" s="17"/>
      <c r="CQQ114" s="17"/>
      <c r="CQR114" s="17"/>
      <c r="CQS114" s="17"/>
      <c r="CQT114" s="17"/>
      <c r="CQU114" s="17"/>
      <c r="CQV114" s="17"/>
      <c r="CQW114" s="17"/>
      <c r="CQX114" s="17"/>
      <c r="CQY114" s="17"/>
      <c r="CQZ114" s="17"/>
      <c r="CRA114" s="17"/>
      <c r="CRB114" s="17"/>
      <c r="CRC114" s="17"/>
      <c r="CRD114" s="17"/>
      <c r="CRE114" s="17"/>
      <c r="CRF114" s="17"/>
      <c r="CRG114" s="17"/>
      <c r="CRH114" s="17"/>
      <c r="CRI114" s="17"/>
      <c r="CRJ114" s="17"/>
      <c r="CRK114" s="17"/>
      <c r="CRL114" s="17"/>
      <c r="CRM114" s="17"/>
      <c r="CRN114" s="17"/>
      <c r="CRO114" s="17"/>
      <c r="CRP114" s="17"/>
      <c r="CRQ114" s="17"/>
      <c r="CRR114" s="17"/>
      <c r="CRS114" s="17"/>
      <c r="CRT114" s="17"/>
      <c r="CRU114" s="17"/>
      <c r="CRV114" s="17"/>
      <c r="CRW114" s="17"/>
      <c r="CRX114" s="17"/>
      <c r="CRY114" s="17"/>
      <c r="CRZ114" s="17"/>
      <c r="CSA114" s="17"/>
      <c r="CSB114" s="17"/>
      <c r="CSC114" s="17"/>
      <c r="CSD114" s="17"/>
      <c r="CSE114" s="17"/>
      <c r="CSF114" s="17"/>
      <c r="CSG114" s="17"/>
      <c r="CSH114" s="17"/>
      <c r="CSI114" s="17"/>
      <c r="CSJ114" s="17"/>
      <c r="CSK114" s="17"/>
      <c r="CSL114" s="17"/>
      <c r="CSM114" s="17"/>
      <c r="CSN114" s="17"/>
      <c r="CSO114" s="17"/>
      <c r="CSP114" s="17"/>
      <c r="CSQ114" s="17"/>
      <c r="CSR114" s="17"/>
      <c r="CSS114" s="17"/>
      <c r="CST114" s="17"/>
      <c r="CSU114" s="17"/>
      <c r="CSV114" s="17"/>
      <c r="CSW114" s="17"/>
      <c r="CSX114" s="17"/>
      <c r="CSY114" s="17"/>
      <c r="CSZ114" s="17"/>
      <c r="CTA114" s="17"/>
      <c r="CTB114" s="17"/>
      <c r="CTC114" s="17"/>
      <c r="CTD114" s="17"/>
      <c r="CTE114" s="17"/>
      <c r="CTF114" s="17"/>
      <c r="CTG114" s="17"/>
      <c r="CTH114" s="17"/>
      <c r="CTI114" s="17"/>
      <c r="CTJ114" s="17"/>
      <c r="CTK114" s="17"/>
      <c r="CTL114" s="17"/>
      <c r="CTM114" s="17"/>
      <c r="CTN114" s="17"/>
      <c r="CTO114" s="17"/>
      <c r="CTP114" s="17"/>
      <c r="CTQ114" s="17"/>
      <c r="CTR114" s="17"/>
      <c r="CTS114" s="17"/>
      <c r="CTT114" s="17"/>
      <c r="CTU114" s="17"/>
      <c r="CTV114" s="17"/>
      <c r="CTW114" s="17"/>
      <c r="CTX114" s="17"/>
      <c r="CTY114" s="17"/>
      <c r="CTZ114" s="17"/>
      <c r="CUA114" s="17"/>
      <c r="CUB114" s="17"/>
      <c r="CUC114" s="17"/>
      <c r="CUD114" s="17"/>
      <c r="CUE114" s="17"/>
      <c r="CUF114" s="17"/>
      <c r="CUG114" s="17"/>
      <c r="CUH114" s="17"/>
      <c r="CUI114" s="17"/>
      <c r="CUJ114" s="17"/>
      <c r="CUK114" s="17"/>
      <c r="CUL114" s="17"/>
      <c r="CUM114" s="17"/>
      <c r="CUN114" s="17"/>
      <c r="CUO114" s="17"/>
      <c r="CUP114" s="17"/>
      <c r="CUQ114" s="17"/>
      <c r="CUR114" s="17"/>
      <c r="CUS114" s="17"/>
      <c r="CUT114" s="17"/>
      <c r="CUU114" s="17"/>
      <c r="CUV114" s="17"/>
      <c r="CUW114" s="17"/>
      <c r="CUX114" s="17"/>
      <c r="CUY114" s="17"/>
      <c r="CUZ114" s="17"/>
      <c r="CVA114" s="17"/>
      <c r="CVB114" s="17"/>
      <c r="CVC114" s="17"/>
      <c r="CVD114" s="17"/>
      <c r="CVE114" s="17"/>
      <c r="CVF114" s="17"/>
      <c r="CVG114" s="17"/>
      <c r="CVH114" s="17"/>
      <c r="CVI114" s="17"/>
      <c r="CVJ114" s="17"/>
      <c r="CVK114" s="17"/>
      <c r="CVL114" s="17"/>
      <c r="CVM114" s="17"/>
      <c r="CVN114" s="17"/>
      <c r="CVO114" s="17"/>
      <c r="CVP114" s="17"/>
      <c r="CVQ114" s="17"/>
      <c r="CVR114" s="17"/>
      <c r="CVS114" s="17"/>
      <c r="CVT114" s="17"/>
      <c r="CVU114" s="17"/>
      <c r="CVV114" s="17"/>
      <c r="CVW114" s="17"/>
      <c r="CVX114" s="17"/>
      <c r="CVY114" s="17"/>
      <c r="CVZ114" s="17"/>
      <c r="CWA114" s="17"/>
      <c r="CWB114" s="17"/>
      <c r="CWC114" s="17"/>
      <c r="CWD114" s="17"/>
      <c r="CWE114" s="17"/>
      <c r="CWF114" s="17"/>
      <c r="CWG114" s="17"/>
      <c r="CWH114" s="17"/>
      <c r="CWI114" s="17"/>
      <c r="CWJ114" s="17"/>
      <c r="CWK114" s="17"/>
      <c r="CWL114" s="17"/>
      <c r="CWM114" s="17"/>
      <c r="CWN114" s="17"/>
      <c r="CWO114" s="17"/>
      <c r="CWP114" s="17"/>
      <c r="CWQ114" s="17"/>
      <c r="CWR114" s="17"/>
      <c r="CWS114" s="17"/>
      <c r="CWT114" s="17"/>
      <c r="CWU114" s="17"/>
      <c r="CWV114" s="17"/>
      <c r="CWW114" s="17"/>
      <c r="CWX114" s="17"/>
      <c r="CWY114" s="17"/>
      <c r="CWZ114" s="17"/>
      <c r="CXA114" s="17"/>
      <c r="CXB114" s="17"/>
      <c r="CXC114" s="17"/>
      <c r="CXD114" s="17"/>
      <c r="CXE114" s="17"/>
      <c r="CXF114" s="17"/>
      <c r="CXG114" s="17"/>
      <c r="CXH114" s="17"/>
      <c r="CXI114" s="17"/>
      <c r="CXJ114" s="17"/>
      <c r="CXK114" s="17"/>
      <c r="CXL114" s="17"/>
      <c r="CXM114" s="17"/>
      <c r="CXN114" s="17"/>
      <c r="CXO114" s="17"/>
      <c r="CXP114" s="17"/>
      <c r="CXQ114" s="17"/>
      <c r="CXR114" s="17"/>
      <c r="CXS114" s="17"/>
      <c r="CXT114" s="17"/>
      <c r="CXU114" s="17"/>
      <c r="CXV114" s="17"/>
      <c r="CXW114" s="17"/>
      <c r="CXX114" s="17"/>
      <c r="CXY114" s="17"/>
      <c r="CXZ114" s="17"/>
      <c r="CYA114" s="17"/>
      <c r="CYB114" s="17"/>
      <c r="CYC114" s="17"/>
      <c r="CYD114" s="17"/>
      <c r="CYE114" s="17"/>
      <c r="CYF114" s="17"/>
      <c r="CYG114" s="17"/>
      <c r="CYH114" s="17"/>
      <c r="CYI114" s="17"/>
      <c r="CYJ114" s="17"/>
      <c r="CYK114" s="17"/>
      <c r="CYL114" s="17"/>
      <c r="CYM114" s="17"/>
      <c r="CYN114" s="17"/>
      <c r="CYO114" s="17"/>
      <c r="CYP114" s="17"/>
      <c r="CYQ114" s="17"/>
      <c r="CYR114" s="17"/>
      <c r="CYS114" s="17"/>
      <c r="CYT114" s="17"/>
      <c r="CYU114" s="17"/>
      <c r="CYV114" s="17"/>
      <c r="CYW114" s="17"/>
      <c r="CYX114" s="17"/>
      <c r="CYY114" s="17"/>
      <c r="CYZ114" s="17"/>
      <c r="CZA114" s="17"/>
      <c r="CZB114" s="17"/>
      <c r="CZC114" s="17"/>
      <c r="CZD114" s="17"/>
      <c r="CZE114" s="17"/>
      <c r="CZF114" s="17"/>
      <c r="CZG114" s="17"/>
      <c r="CZH114" s="17"/>
      <c r="CZI114" s="17"/>
      <c r="CZJ114" s="17"/>
      <c r="CZK114" s="17"/>
      <c r="CZL114" s="17"/>
      <c r="CZM114" s="17"/>
      <c r="CZN114" s="17"/>
      <c r="CZO114" s="17"/>
      <c r="CZP114" s="17"/>
      <c r="CZQ114" s="17"/>
      <c r="CZR114" s="17"/>
      <c r="CZS114" s="17"/>
      <c r="CZT114" s="17"/>
      <c r="CZU114" s="17"/>
      <c r="CZV114" s="17"/>
      <c r="CZW114" s="17"/>
      <c r="CZX114" s="17"/>
      <c r="CZY114" s="17"/>
      <c r="CZZ114" s="17"/>
      <c r="DAA114" s="17"/>
      <c r="DAB114" s="17"/>
      <c r="DAC114" s="17"/>
      <c r="DAD114" s="17"/>
      <c r="DAE114" s="17"/>
      <c r="DAF114" s="17"/>
      <c r="DAG114" s="17"/>
      <c r="DAH114" s="17"/>
      <c r="DAI114" s="17"/>
      <c r="DAJ114" s="17"/>
      <c r="DAK114" s="17"/>
      <c r="DAL114" s="17"/>
      <c r="DAM114" s="17"/>
      <c r="DAN114" s="17"/>
      <c r="DAO114" s="17"/>
      <c r="DAP114" s="17"/>
      <c r="DAQ114" s="17"/>
      <c r="DAR114" s="17"/>
      <c r="DAS114" s="17"/>
      <c r="DAT114" s="17"/>
      <c r="DAU114" s="17"/>
      <c r="DAV114" s="17"/>
      <c r="DAW114" s="17"/>
      <c r="DAX114" s="17"/>
      <c r="DAY114" s="17"/>
      <c r="DAZ114" s="17"/>
      <c r="DBA114" s="17"/>
      <c r="DBB114" s="17"/>
      <c r="DBC114" s="17"/>
      <c r="DBD114" s="17"/>
      <c r="DBE114" s="17"/>
      <c r="DBF114" s="17"/>
      <c r="DBG114" s="17"/>
      <c r="DBH114" s="17"/>
      <c r="DBI114" s="17"/>
      <c r="DBJ114" s="17"/>
      <c r="DBK114" s="17"/>
      <c r="DBL114" s="17"/>
      <c r="DBM114" s="17"/>
      <c r="DBN114" s="17"/>
      <c r="DBO114" s="17"/>
      <c r="DBP114" s="17"/>
      <c r="DBQ114" s="17"/>
      <c r="DBR114" s="17"/>
      <c r="DBS114" s="17"/>
      <c r="DBT114" s="17"/>
      <c r="DBU114" s="17"/>
      <c r="DBV114" s="17"/>
      <c r="DBW114" s="17"/>
      <c r="DBX114" s="17"/>
      <c r="DBY114" s="17"/>
      <c r="DBZ114" s="17"/>
      <c r="DCA114" s="17"/>
      <c r="DCB114" s="17"/>
      <c r="DCC114" s="17"/>
      <c r="DCD114" s="17"/>
      <c r="DCE114" s="17"/>
      <c r="DCF114" s="17"/>
      <c r="DCG114" s="17"/>
      <c r="DCH114" s="17"/>
      <c r="DCI114" s="17"/>
      <c r="DCJ114" s="17"/>
      <c r="DCK114" s="17"/>
      <c r="DCL114" s="17"/>
      <c r="DCM114" s="17"/>
      <c r="DCN114" s="17"/>
      <c r="DCO114" s="17"/>
      <c r="DCP114" s="17"/>
      <c r="DCQ114" s="17"/>
      <c r="DCR114" s="17"/>
      <c r="DCS114" s="17"/>
      <c r="DCT114" s="17"/>
      <c r="DCU114" s="17"/>
      <c r="DCV114" s="17"/>
      <c r="DCW114" s="17"/>
      <c r="DCX114" s="17"/>
      <c r="DCY114" s="17"/>
      <c r="DCZ114" s="17"/>
      <c r="DDA114" s="17"/>
      <c r="DDB114" s="17"/>
      <c r="DDC114" s="17"/>
      <c r="DDD114" s="17"/>
      <c r="DDE114" s="17"/>
      <c r="DDF114" s="17"/>
      <c r="DDG114" s="17"/>
      <c r="DDH114" s="17"/>
      <c r="DDI114" s="17"/>
      <c r="DDJ114" s="17"/>
      <c r="DDK114" s="17"/>
      <c r="DDL114" s="17"/>
      <c r="DDM114" s="17"/>
      <c r="DDN114" s="17"/>
      <c r="DDO114" s="17"/>
      <c r="DDP114" s="17"/>
      <c r="DDQ114" s="17"/>
      <c r="DDR114" s="17"/>
      <c r="DDS114" s="17"/>
      <c r="DDT114" s="17"/>
      <c r="DDU114" s="17"/>
      <c r="DDV114" s="17"/>
      <c r="DDW114" s="17"/>
      <c r="DDX114" s="17"/>
      <c r="DDY114" s="17"/>
      <c r="DDZ114" s="17"/>
      <c r="DEA114" s="17"/>
      <c r="DEB114" s="17"/>
      <c r="DEC114" s="17"/>
      <c r="DED114" s="17"/>
      <c r="DEE114" s="17"/>
      <c r="DEF114" s="17"/>
      <c r="DEG114" s="17"/>
      <c r="DEH114" s="17"/>
      <c r="DEI114" s="17"/>
      <c r="DEJ114" s="17"/>
      <c r="DEK114" s="17"/>
      <c r="DEL114" s="17"/>
      <c r="DEM114" s="17"/>
      <c r="DEN114" s="17"/>
      <c r="DEO114" s="17"/>
      <c r="DEP114" s="17"/>
      <c r="DEQ114" s="17"/>
      <c r="DER114" s="17"/>
      <c r="DES114" s="17"/>
      <c r="DET114" s="17"/>
      <c r="DEU114" s="17"/>
      <c r="DEV114" s="17"/>
      <c r="DEW114" s="17"/>
      <c r="DEX114" s="17"/>
      <c r="DEY114" s="17"/>
      <c r="DEZ114" s="17"/>
      <c r="DFA114" s="17"/>
      <c r="DFB114" s="17"/>
      <c r="DFC114" s="17"/>
      <c r="DFD114" s="17"/>
      <c r="DFE114" s="17"/>
      <c r="DFF114" s="17"/>
      <c r="DFG114" s="17"/>
      <c r="DFH114" s="17"/>
      <c r="DFI114" s="17"/>
      <c r="DFJ114" s="17"/>
      <c r="DFK114" s="17"/>
      <c r="DFL114" s="17"/>
      <c r="DFM114" s="17"/>
      <c r="DFN114" s="17"/>
      <c r="DFO114" s="17"/>
      <c r="DFP114" s="17"/>
      <c r="DFQ114" s="17"/>
      <c r="DFR114" s="17"/>
      <c r="DFS114" s="17"/>
      <c r="DFT114" s="17"/>
      <c r="DFU114" s="17"/>
      <c r="DFV114" s="17"/>
      <c r="DFW114" s="17"/>
      <c r="DFX114" s="17"/>
      <c r="DFY114" s="17"/>
      <c r="DFZ114" s="17"/>
      <c r="DGA114" s="17"/>
      <c r="DGB114" s="17"/>
      <c r="DGC114" s="17"/>
      <c r="DGD114" s="17"/>
      <c r="DGE114" s="17"/>
      <c r="DGF114" s="17"/>
      <c r="DGG114" s="17"/>
      <c r="DGH114" s="17"/>
      <c r="DGI114" s="17"/>
      <c r="DGJ114" s="17"/>
      <c r="DGK114" s="17"/>
      <c r="DGL114" s="17"/>
      <c r="DGM114" s="17"/>
      <c r="DGN114" s="17"/>
      <c r="DGO114" s="17"/>
      <c r="DGP114" s="17"/>
      <c r="DGQ114" s="17"/>
      <c r="DGR114" s="17"/>
      <c r="DGS114" s="17"/>
      <c r="DGT114" s="17"/>
      <c r="DGU114" s="17"/>
      <c r="DGV114" s="17"/>
      <c r="DGW114" s="17"/>
      <c r="DGX114" s="17"/>
      <c r="DGY114" s="17"/>
      <c r="DGZ114" s="17"/>
      <c r="DHA114" s="17"/>
      <c r="DHB114" s="17"/>
      <c r="DHC114" s="17"/>
      <c r="DHD114" s="17"/>
      <c r="DHE114" s="17"/>
      <c r="DHF114" s="17"/>
      <c r="DHG114" s="17"/>
      <c r="DHH114" s="17"/>
      <c r="DHI114" s="17"/>
      <c r="DHJ114" s="17"/>
      <c r="DHK114" s="17"/>
      <c r="DHL114" s="17"/>
      <c r="DHM114" s="17"/>
      <c r="DHN114" s="17"/>
      <c r="DHO114" s="17"/>
      <c r="DHP114" s="17"/>
      <c r="DHQ114" s="17"/>
      <c r="DHR114" s="17"/>
      <c r="DHS114" s="17"/>
      <c r="DHT114" s="17"/>
      <c r="DHU114" s="17"/>
      <c r="DHV114" s="17"/>
      <c r="DHW114" s="17"/>
      <c r="DHX114" s="17"/>
      <c r="DHY114" s="17"/>
      <c r="DHZ114" s="17"/>
      <c r="DIA114" s="17"/>
      <c r="DIB114" s="17"/>
      <c r="DIC114" s="17"/>
      <c r="DID114" s="17"/>
      <c r="DIE114" s="17"/>
      <c r="DIF114" s="17"/>
      <c r="DIG114" s="17"/>
      <c r="DIH114" s="17"/>
      <c r="DII114" s="17"/>
      <c r="DIJ114" s="17"/>
      <c r="DIK114" s="17"/>
      <c r="DIL114" s="17"/>
      <c r="DIM114" s="17"/>
      <c r="DIN114" s="17"/>
      <c r="DIO114" s="17"/>
      <c r="DIP114" s="17"/>
      <c r="DIQ114" s="17"/>
      <c r="DIR114" s="17"/>
      <c r="DIS114" s="17"/>
      <c r="DIT114" s="17"/>
      <c r="DIU114" s="17"/>
      <c r="DIV114" s="17"/>
      <c r="DIW114" s="17"/>
      <c r="DIX114" s="17"/>
      <c r="DIY114" s="17"/>
      <c r="DIZ114" s="17"/>
      <c r="DJA114" s="17"/>
      <c r="DJB114" s="17"/>
      <c r="DJC114" s="17"/>
      <c r="DJD114" s="17"/>
      <c r="DJE114" s="17"/>
      <c r="DJF114" s="17"/>
      <c r="DJG114" s="17"/>
      <c r="DJH114" s="17"/>
      <c r="DJI114" s="17"/>
      <c r="DJJ114" s="17"/>
      <c r="DJK114" s="17"/>
      <c r="DJL114" s="17"/>
      <c r="DJM114" s="17"/>
      <c r="DJN114" s="17"/>
      <c r="DJO114" s="17"/>
      <c r="DJP114" s="17"/>
      <c r="DJQ114" s="17"/>
      <c r="DJR114" s="17"/>
      <c r="DJS114" s="17"/>
      <c r="DJT114" s="17"/>
      <c r="DJU114" s="17"/>
      <c r="DJV114" s="17"/>
      <c r="DJW114" s="17"/>
      <c r="DJX114" s="17"/>
      <c r="DJY114" s="17"/>
      <c r="DJZ114" s="17"/>
      <c r="DKA114" s="17"/>
      <c r="DKB114" s="17"/>
      <c r="DKC114" s="17"/>
      <c r="DKD114" s="17"/>
      <c r="DKE114" s="17"/>
      <c r="DKF114" s="17"/>
      <c r="DKG114" s="17"/>
      <c r="DKH114" s="17"/>
      <c r="DKI114" s="17"/>
      <c r="DKJ114" s="17"/>
      <c r="DKK114" s="17"/>
      <c r="DKL114" s="17"/>
      <c r="DKM114" s="17"/>
      <c r="DKN114" s="17"/>
      <c r="DKO114" s="17"/>
      <c r="DKP114" s="17"/>
      <c r="DKQ114" s="17"/>
      <c r="DKR114" s="17"/>
      <c r="DKS114" s="17"/>
      <c r="DKT114" s="17"/>
      <c r="DKU114" s="17"/>
      <c r="DKV114" s="17"/>
      <c r="DKW114" s="17"/>
      <c r="DKX114" s="17"/>
      <c r="DKY114" s="17"/>
      <c r="DKZ114" s="17"/>
      <c r="DLA114" s="17"/>
      <c r="DLB114" s="17"/>
      <c r="DLC114" s="17"/>
      <c r="DLD114" s="17"/>
      <c r="DLE114" s="17"/>
      <c r="DLF114" s="17"/>
      <c r="DLG114" s="17"/>
      <c r="DLH114" s="17"/>
      <c r="DLI114" s="17"/>
      <c r="DLJ114" s="17"/>
      <c r="DLK114" s="17"/>
      <c r="DLL114" s="17"/>
      <c r="DLM114" s="17"/>
      <c r="DLN114" s="17"/>
      <c r="DLO114" s="17"/>
      <c r="DLP114" s="17"/>
      <c r="DLQ114" s="17"/>
      <c r="DLR114" s="17"/>
      <c r="DLS114" s="17"/>
      <c r="DLT114" s="17"/>
      <c r="DLU114" s="17"/>
      <c r="DLV114" s="17"/>
      <c r="DLW114" s="17"/>
      <c r="DLX114" s="17"/>
      <c r="DLY114" s="17"/>
      <c r="DLZ114" s="17"/>
      <c r="DMA114" s="17"/>
      <c r="DMB114" s="17"/>
      <c r="DMC114" s="17"/>
      <c r="DMD114" s="17"/>
      <c r="DME114" s="17"/>
      <c r="DMF114" s="17"/>
      <c r="DMG114" s="17"/>
      <c r="DMH114" s="17"/>
      <c r="DMI114" s="17"/>
      <c r="DMJ114" s="17"/>
      <c r="DMK114" s="17"/>
      <c r="DML114" s="17"/>
      <c r="DMM114" s="17"/>
      <c r="DMN114" s="17"/>
      <c r="DMO114" s="17"/>
      <c r="DMP114" s="17"/>
      <c r="DMQ114" s="17"/>
      <c r="DMR114" s="17"/>
      <c r="DMS114" s="17"/>
      <c r="DMT114" s="17"/>
      <c r="DMU114" s="17"/>
      <c r="DMV114" s="17"/>
      <c r="DMW114" s="17"/>
      <c r="DMX114" s="17"/>
      <c r="DMY114" s="17"/>
      <c r="DMZ114" s="17"/>
      <c r="DNA114" s="17"/>
      <c r="DNB114" s="17"/>
      <c r="DNC114" s="17"/>
      <c r="DND114" s="17"/>
      <c r="DNE114" s="17"/>
      <c r="DNF114" s="17"/>
      <c r="DNG114" s="17"/>
      <c r="DNH114" s="17"/>
      <c r="DNI114" s="17"/>
      <c r="DNJ114" s="17"/>
      <c r="DNK114" s="17"/>
      <c r="DNL114" s="17"/>
      <c r="DNM114" s="17"/>
      <c r="DNN114" s="17"/>
      <c r="DNO114" s="17"/>
      <c r="DNP114" s="17"/>
      <c r="DNQ114" s="17"/>
      <c r="DNR114" s="17"/>
      <c r="DNS114" s="17"/>
      <c r="DNT114" s="17"/>
      <c r="DNU114" s="17"/>
      <c r="DNV114" s="17"/>
      <c r="DNW114" s="17"/>
      <c r="DNX114" s="17"/>
      <c r="DNY114" s="17"/>
      <c r="DNZ114" s="17"/>
      <c r="DOA114" s="17"/>
      <c r="DOB114" s="17"/>
      <c r="DOC114" s="17"/>
      <c r="DOD114" s="17"/>
      <c r="DOE114" s="17"/>
      <c r="DOF114" s="17"/>
      <c r="DOG114" s="17"/>
      <c r="DOH114" s="17"/>
      <c r="DOI114" s="17"/>
      <c r="DOJ114" s="17"/>
      <c r="DOK114" s="17"/>
      <c r="DOL114" s="17"/>
      <c r="DOM114" s="17"/>
      <c r="DON114" s="17"/>
      <c r="DOO114" s="17"/>
      <c r="DOP114" s="17"/>
      <c r="DOQ114" s="17"/>
      <c r="DOR114" s="17"/>
      <c r="DOS114" s="17"/>
      <c r="DOT114" s="17"/>
      <c r="DOU114" s="17"/>
      <c r="DOV114" s="17"/>
      <c r="DOW114" s="17"/>
      <c r="DOX114" s="17"/>
      <c r="DOY114" s="17"/>
      <c r="DOZ114" s="17"/>
      <c r="DPA114" s="17"/>
      <c r="DPB114" s="17"/>
      <c r="DPC114" s="17"/>
      <c r="DPD114" s="17"/>
      <c r="DPE114" s="17"/>
      <c r="DPF114" s="17"/>
      <c r="DPG114" s="17"/>
      <c r="DPH114" s="17"/>
      <c r="DPI114" s="17"/>
      <c r="DPJ114" s="17"/>
      <c r="DPK114" s="17"/>
      <c r="DPL114" s="17"/>
      <c r="DPM114" s="17"/>
      <c r="DPN114" s="17"/>
      <c r="DPO114" s="17"/>
      <c r="DPP114" s="17"/>
      <c r="DPQ114" s="17"/>
      <c r="DPR114" s="17"/>
      <c r="DPS114" s="17"/>
      <c r="DPT114" s="17"/>
      <c r="DPU114" s="17"/>
      <c r="DPV114" s="17"/>
      <c r="DPW114" s="17"/>
      <c r="DPX114" s="17"/>
      <c r="DPY114" s="17"/>
      <c r="DPZ114" s="17"/>
      <c r="DQA114" s="17"/>
      <c r="DQB114" s="17"/>
      <c r="DQC114" s="17"/>
      <c r="DQD114" s="17"/>
      <c r="DQE114" s="17"/>
      <c r="DQF114" s="17"/>
      <c r="DQG114" s="17"/>
      <c r="DQH114" s="17"/>
      <c r="DQI114" s="17"/>
      <c r="DQJ114" s="17"/>
      <c r="DQK114" s="17"/>
      <c r="DQL114" s="17"/>
      <c r="DQM114" s="17"/>
      <c r="DQN114" s="17"/>
      <c r="DQO114" s="17"/>
      <c r="DQP114" s="17"/>
      <c r="DQQ114" s="17"/>
      <c r="DQR114" s="17"/>
      <c r="DQS114" s="17"/>
      <c r="DQT114" s="17"/>
      <c r="DQU114" s="17"/>
      <c r="DQV114" s="17"/>
      <c r="DQW114" s="17"/>
      <c r="DQX114" s="17"/>
      <c r="DQY114" s="17"/>
      <c r="DQZ114" s="17"/>
      <c r="DRA114" s="17"/>
      <c r="DRB114" s="17"/>
      <c r="DRC114" s="17"/>
      <c r="DRD114" s="17"/>
      <c r="DRE114" s="17"/>
      <c r="DRF114" s="17"/>
      <c r="DRG114" s="17"/>
      <c r="DRH114" s="17"/>
      <c r="DRI114" s="17"/>
      <c r="DRJ114" s="17"/>
      <c r="DRK114" s="17"/>
      <c r="DRL114" s="17"/>
      <c r="DRM114" s="17"/>
      <c r="DRN114" s="17"/>
      <c r="DRO114" s="17"/>
      <c r="DRP114" s="17"/>
      <c r="DRQ114" s="17"/>
      <c r="DRR114" s="17"/>
      <c r="DRS114" s="17"/>
      <c r="DRT114" s="17"/>
      <c r="DRU114" s="17"/>
      <c r="DRV114" s="17"/>
      <c r="DRW114" s="17"/>
      <c r="DRX114" s="17"/>
      <c r="DRY114" s="17"/>
      <c r="DRZ114" s="17"/>
      <c r="DSA114" s="17"/>
      <c r="DSB114" s="17"/>
      <c r="DSC114" s="17"/>
      <c r="DSD114" s="17"/>
      <c r="DSE114" s="17"/>
      <c r="DSF114" s="17"/>
      <c r="DSG114" s="17"/>
      <c r="DSH114" s="17"/>
      <c r="DSI114" s="17"/>
      <c r="DSJ114" s="17"/>
      <c r="DSK114" s="17"/>
      <c r="DSL114" s="17"/>
      <c r="DSM114" s="17"/>
      <c r="DSN114" s="17"/>
      <c r="DSO114" s="17"/>
      <c r="DSP114" s="17"/>
      <c r="DSQ114" s="17"/>
      <c r="DSR114" s="17"/>
      <c r="DSS114" s="17"/>
      <c r="DST114" s="17"/>
      <c r="DSU114" s="17"/>
      <c r="DSV114" s="17"/>
      <c r="DSW114" s="17"/>
      <c r="DSX114" s="17"/>
      <c r="DSY114" s="17"/>
      <c r="DSZ114" s="17"/>
      <c r="DTA114" s="17"/>
      <c r="DTB114" s="17"/>
      <c r="DTC114" s="17"/>
      <c r="DTD114" s="17"/>
      <c r="DTE114" s="17"/>
      <c r="DTF114" s="17"/>
      <c r="DTG114" s="17"/>
      <c r="DTH114" s="17"/>
      <c r="DTI114" s="17"/>
      <c r="DTJ114" s="17"/>
      <c r="DTK114" s="17"/>
      <c r="DTL114" s="17"/>
      <c r="DTM114" s="17"/>
      <c r="DTN114" s="17"/>
      <c r="DTO114" s="17"/>
      <c r="DTP114" s="17"/>
      <c r="DTQ114" s="17"/>
      <c r="DTR114" s="17"/>
      <c r="DTS114" s="17"/>
      <c r="DTT114" s="17"/>
      <c r="DTU114" s="17"/>
      <c r="DTV114" s="17"/>
      <c r="DTW114" s="17"/>
      <c r="DTX114" s="17"/>
      <c r="DTY114" s="17"/>
      <c r="DTZ114" s="17"/>
      <c r="DUA114" s="17"/>
      <c r="DUB114" s="17"/>
      <c r="DUC114" s="17"/>
      <c r="DUD114" s="17"/>
      <c r="DUE114" s="17"/>
      <c r="DUF114" s="17"/>
      <c r="DUG114" s="17"/>
      <c r="DUH114" s="17"/>
      <c r="DUI114" s="17"/>
      <c r="DUJ114" s="17"/>
      <c r="DUK114" s="17"/>
      <c r="DUL114" s="17"/>
      <c r="DUM114" s="17"/>
      <c r="DUN114" s="17"/>
      <c r="DUO114" s="17"/>
      <c r="DUP114" s="17"/>
      <c r="DUQ114" s="17"/>
      <c r="DUR114" s="17"/>
      <c r="DUS114" s="17"/>
      <c r="DUT114" s="17"/>
      <c r="DUU114" s="17"/>
      <c r="DUV114" s="17"/>
      <c r="DUW114" s="17"/>
      <c r="DUX114" s="17"/>
      <c r="DUY114" s="17"/>
      <c r="DUZ114" s="17"/>
      <c r="DVA114" s="17"/>
      <c r="DVB114" s="17"/>
      <c r="DVC114" s="17"/>
      <c r="DVD114" s="17"/>
      <c r="DVE114" s="17"/>
      <c r="DVF114" s="17"/>
      <c r="DVG114" s="17"/>
      <c r="DVH114" s="17"/>
      <c r="DVI114" s="17"/>
      <c r="DVJ114" s="17"/>
      <c r="DVK114" s="17"/>
      <c r="DVL114" s="17"/>
      <c r="DVM114" s="17"/>
      <c r="DVN114" s="17"/>
      <c r="DVO114" s="17"/>
      <c r="DVP114" s="17"/>
      <c r="DVQ114" s="17"/>
      <c r="DVR114" s="17"/>
      <c r="DVS114" s="17"/>
      <c r="DVT114" s="17"/>
      <c r="DVU114" s="17"/>
      <c r="DVV114" s="17"/>
      <c r="DVW114" s="17"/>
      <c r="DVX114" s="17"/>
      <c r="DVY114" s="17"/>
      <c r="DVZ114" s="17"/>
      <c r="DWA114" s="17"/>
      <c r="DWB114" s="17"/>
      <c r="DWC114" s="17"/>
      <c r="DWD114" s="17"/>
      <c r="DWE114" s="17"/>
      <c r="DWF114" s="17"/>
      <c r="DWG114" s="17"/>
      <c r="DWH114" s="17"/>
      <c r="DWI114" s="17"/>
      <c r="DWJ114" s="17"/>
      <c r="DWK114" s="17"/>
      <c r="DWL114" s="17"/>
      <c r="DWM114" s="17"/>
      <c r="DWN114" s="17"/>
      <c r="DWO114" s="17"/>
      <c r="DWP114" s="17"/>
      <c r="DWQ114" s="17"/>
      <c r="DWR114" s="17"/>
      <c r="DWS114" s="17"/>
      <c r="DWT114" s="17"/>
      <c r="DWU114" s="17"/>
      <c r="DWV114" s="17"/>
      <c r="DWW114" s="17"/>
      <c r="DWX114" s="17"/>
      <c r="DWY114" s="17"/>
      <c r="DWZ114" s="17"/>
      <c r="DXA114" s="17"/>
      <c r="DXB114" s="17"/>
      <c r="DXC114" s="17"/>
      <c r="DXD114" s="17"/>
      <c r="DXE114" s="17"/>
      <c r="DXF114" s="17"/>
      <c r="DXG114" s="17"/>
      <c r="DXH114" s="17"/>
      <c r="DXI114" s="17"/>
      <c r="DXJ114" s="17"/>
      <c r="DXK114" s="17"/>
      <c r="DXL114" s="17"/>
      <c r="DXM114" s="17"/>
      <c r="DXN114" s="17"/>
      <c r="DXO114" s="17"/>
      <c r="DXP114" s="17"/>
      <c r="DXQ114" s="17"/>
      <c r="DXR114" s="17"/>
      <c r="DXS114" s="17"/>
      <c r="DXT114" s="17"/>
      <c r="DXU114" s="17"/>
      <c r="DXV114" s="17"/>
      <c r="DXW114" s="17"/>
      <c r="DXX114" s="17"/>
      <c r="DXY114" s="17"/>
      <c r="DXZ114" s="17"/>
      <c r="DYA114" s="17"/>
      <c r="DYB114" s="17"/>
      <c r="DYC114" s="17"/>
      <c r="DYD114" s="17"/>
      <c r="DYE114" s="17"/>
      <c r="DYF114" s="17"/>
      <c r="DYG114" s="17"/>
      <c r="DYH114" s="17"/>
      <c r="DYI114" s="17"/>
      <c r="DYJ114" s="17"/>
      <c r="DYK114" s="17"/>
      <c r="DYL114" s="17"/>
      <c r="DYM114" s="17"/>
      <c r="DYN114" s="17"/>
      <c r="DYO114" s="17"/>
      <c r="DYP114" s="17"/>
      <c r="DYQ114" s="17"/>
      <c r="DYR114" s="17"/>
      <c r="DYS114" s="17"/>
      <c r="DYT114" s="17"/>
      <c r="DYU114" s="17"/>
      <c r="DYV114" s="17"/>
      <c r="DYW114" s="17"/>
      <c r="DYX114" s="17"/>
      <c r="DYY114" s="17"/>
      <c r="DYZ114" s="17"/>
      <c r="DZA114" s="17"/>
      <c r="DZB114" s="17"/>
      <c r="DZC114" s="17"/>
      <c r="DZD114" s="17"/>
      <c r="DZE114" s="17"/>
      <c r="DZF114" s="17"/>
      <c r="DZG114" s="17"/>
      <c r="DZH114" s="17"/>
      <c r="DZI114" s="17"/>
      <c r="DZJ114" s="17"/>
      <c r="DZK114" s="17"/>
      <c r="DZL114" s="17"/>
      <c r="DZM114" s="17"/>
      <c r="DZN114" s="17"/>
      <c r="DZO114" s="17"/>
      <c r="DZP114" s="17"/>
      <c r="DZQ114" s="17"/>
      <c r="DZR114" s="17"/>
      <c r="DZS114" s="17"/>
      <c r="DZT114" s="17"/>
      <c r="DZU114" s="17"/>
      <c r="DZV114" s="17"/>
      <c r="DZW114" s="17"/>
      <c r="DZX114" s="17"/>
      <c r="DZY114" s="17"/>
      <c r="DZZ114" s="17"/>
      <c r="EAA114" s="17"/>
      <c r="EAB114" s="17"/>
      <c r="EAC114" s="17"/>
      <c r="EAD114" s="17"/>
      <c r="EAE114" s="17"/>
      <c r="EAF114" s="17"/>
      <c r="EAG114" s="17"/>
      <c r="EAH114" s="17"/>
      <c r="EAI114" s="17"/>
      <c r="EAJ114" s="17"/>
      <c r="EAK114" s="17"/>
      <c r="EAL114" s="17"/>
      <c r="EAM114" s="17"/>
      <c r="EAN114" s="17"/>
      <c r="EAO114" s="17"/>
      <c r="EAP114" s="17"/>
      <c r="EAQ114" s="17"/>
      <c r="EAR114" s="17"/>
      <c r="EAS114" s="17"/>
      <c r="EAT114" s="17"/>
      <c r="EAU114" s="17"/>
      <c r="EAV114" s="17"/>
      <c r="EAW114" s="17"/>
      <c r="EAX114" s="17"/>
      <c r="EAY114" s="17"/>
      <c r="EAZ114" s="17"/>
      <c r="EBA114" s="17"/>
      <c r="EBB114" s="17"/>
      <c r="EBC114" s="17"/>
      <c r="EBD114" s="17"/>
      <c r="EBE114" s="17"/>
      <c r="EBF114" s="17"/>
      <c r="EBG114" s="17"/>
      <c r="EBH114" s="17"/>
      <c r="EBI114" s="17"/>
      <c r="EBJ114" s="17"/>
      <c r="EBK114" s="17"/>
      <c r="EBL114" s="17"/>
      <c r="EBM114" s="17"/>
      <c r="EBN114" s="17"/>
      <c r="EBO114" s="17"/>
      <c r="EBP114" s="17"/>
      <c r="EBQ114" s="17"/>
      <c r="EBR114" s="17"/>
      <c r="EBS114" s="17"/>
      <c r="EBT114" s="17"/>
      <c r="EBU114" s="17"/>
      <c r="EBV114" s="17"/>
      <c r="EBW114" s="17"/>
      <c r="EBX114" s="17"/>
      <c r="EBY114" s="17"/>
      <c r="EBZ114" s="17"/>
      <c r="ECA114" s="17"/>
      <c r="ECB114" s="17"/>
      <c r="ECC114" s="17"/>
      <c r="ECD114" s="17"/>
      <c r="ECE114" s="17"/>
      <c r="ECF114" s="17"/>
      <c r="ECG114" s="17"/>
      <c r="ECH114" s="17"/>
      <c r="ECI114" s="17"/>
      <c r="ECJ114" s="17"/>
      <c r="ECK114" s="17"/>
      <c r="ECL114" s="17"/>
      <c r="ECM114" s="17"/>
      <c r="ECN114" s="17"/>
      <c r="ECO114" s="17"/>
      <c r="ECP114" s="17"/>
      <c r="ECQ114" s="17"/>
      <c r="ECR114" s="17"/>
      <c r="ECS114" s="17"/>
      <c r="ECT114" s="17"/>
      <c r="ECU114" s="17"/>
      <c r="ECV114" s="17"/>
      <c r="ECW114" s="17"/>
      <c r="ECX114" s="17"/>
      <c r="ECY114" s="17"/>
      <c r="ECZ114" s="17"/>
      <c r="EDA114" s="17"/>
      <c r="EDB114" s="17"/>
      <c r="EDC114" s="17"/>
      <c r="EDD114" s="17"/>
      <c r="EDE114" s="17"/>
      <c r="EDF114" s="17"/>
      <c r="EDG114" s="17"/>
      <c r="EDH114" s="17"/>
      <c r="EDI114" s="17"/>
      <c r="EDJ114" s="17"/>
      <c r="EDK114" s="17"/>
      <c r="EDL114" s="17"/>
      <c r="EDM114" s="17"/>
      <c r="EDN114" s="17"/>
      <c r="EDO114" s="17"/>
      <c r="EDP114" s="17"/>
      <c r="EDQ114" s="17"/>
      <c r="EDR114" s="17"/>
      <c r="EDS114" s="17"/>
      <c r="EDT114" s="17"/>
      <c r="EDU114" s="17"/>
      <c r="EDV114" s="17"/>
      <c r="EDW114" s="17"/>
      <c r="EDX114" s="17"/>
      <c r="EDY114" s="17"/>
      <c r="EDZ114" s="17"/>
      <c r="EEA114" s="17"/>
      <c r="EEB114" s="17"/>
      <c r="EEC114" s="17"/>
      <c r="EED114" s="17"/>
      <c r="EEE114" s="17"/>
      <c r="EEF114" s="17"/>
      <c r="EEG114" s="17"/>
      <c r="EEH114" s="17"/>
      <c r="EEI114" s="17"/>
      <c r="EEJ114" s="17"/>
      <c r="EEK114" s="17"/>
      <c r="EEL114" s="17"/>
      <c r="EEM114" s="17"/>
      <c r="EEN114" s="17"/>
      <c r="EEO114" s="17"/>
      <c r="EEP114" s="17"/>
      <c r="EEQ114" s="17"/>
      <c r="EER114" s="17"/>
      <c r="EES114" s="17"/>
      <c r="EET114" s="17"/>
      <c r="EEU114" s="17"/>
      <c r="EEV114" s="17"/>
      <c r="EEW114" s="17"/>
      <c r="EEX114" s="17"/>
      <c r="EEY114" s="17"/>
      <c r="EEZ114" s="17"/>
      <c r="EFA114" s="17"/>
      <c r="EFB114" s="17"/>
      <c r="EFC114" s="17"/>
      <c r="EFD114" s="17"/>
      <c r="EFE114" s="17"/>
      <c r="EFF114" s="17"/>
      <c r="EFG114" s="17"/>
      <c r="EFH114" s="17"/>
      <c r="EFI114" s="17"/>
      <c r="EFJ114" s="17"/>
      <c r="EFK114" s="17"/>
      <c r="EFL114" s="17"/>
      <c r="EFM114" s="17"/>
      <c r="EFN114" s="17"/>
      <c r="EFO114" s="17"/>
      <c r="EFP114" s="17"/>
      <c r="EFQ114" s="17"/>
      <c r="EFR114" s="17"/>
      <c r="EFS114" s="17"/>
      <c r="EFT114" s="17"/>
      <c r="EFU114" s="17"/>
      <c r="EFV114" s="17"/>
      <c r="EFW114" s="17"/>
      <c r="EFX114" s="17"/>
      <c r="EFY114" s="17"/>
      <c r="EFZ114" s="17"/>
      <c r="EGA114" s="17"/>
      <c r="EGB114" s="17"/>
      <c r="EGC114" s="17"/>
      <c r="EGD114" s="17"/>
      <c r="EGE114" s="17"/>
      <c r="EGF114" s="17"/>
      <c r="EGG114" s="17"/>
      <c r="EGH114" s="17"/>
      <c r="EGI114" s="17"/>
      <c r="EGJ114" s="17"/>
      <c r="EGK114" s="17"/>
      <c r="EGL114" s="17"/>
      <c r="EGM114" s="17"/>
      <c r="EGN114" s="17"/>
      <c r="EGO114" s="17"/>
      <c r="EGP114" s="17"/>
      <c r="EGQ114" s="17"/>
      <c r="EGR114" s="17"/>
      <c r="EGS114" s="17"/>
      <c r="EGT114" s="17"/>
      <c r="EGU114" s="17"/>
      <c r="EGV114" s="17"/>
      <c r="EGW114" s="17"/>
      <c r="EGX114" s="17"/>
      <c r="EGY114" s="17"/>
      <c r="EGZ114" s="17"/>
      <c r="EHA114" s="17"/>
      <c r="EHB114" s="17"/>
      <c r="EHC114" s="17"/>
      <c r="EHD114" s="17"/>
      <c r="EHE114" s="17"/>
      <c r="EHF114" s="17"/>
      <c r="EHG114" s="17"/>
      <c r="EHH114" s="17"/>
      <c r="EHI114" s="17"/>
      <c r="EHJ114" s="17"/>
      <c r="EHK114" s="17"/>
      <c r="EHL114" s="17"/>
      <c r="EHM114" s="17"/>
      <c r="EHN114" s="17"/>
      <c r="EHO114" s="17"/>
      <c r="EHP114" s="17"/>
      <c r="EHQ114" s="17"/>
      <c r="EHR114" s="17"/>
      <c r="EHS114" s="17"/>
      <c r="EHT114" s="17"/>
      <c r="EHU114" s="17"/>
      <c r="EHV114" s="17"/>
      <c r="EHW114" s="17"/>
      <c r="EHX114" s="17"/>
      <c r="EHY114" s="17"/>
      <c r="EHZ114" s="17"/>
      <c r="EIA114" s="17"/>
      <c r="EIB114" s="17"/>
      <c r="EIC114" s="17"/>
      <c r="EID114" s="17"/>
      <c r="EIE114" s="17"/>
      <c r="EIF114" s="17"/>
      <c r="EIG114" s="17"/>
      <c r="EIH114" s="17"/>
      <c r="EII114" s="17"/>
      <c r="EIJ114" s="17"/>
      <c r="EIK114" s="17"/>
      <c r="EIL114" s="17"/>
      <c r="EIM114" s="17"/>
      <c r="EIN114" s="17"/>
      <c r="EIO114" s="17"/>
      <c r="EIP114" s="17"/>
      <c r="EIQ114" s="17"/>
      <c r="EIR114" s="17"/>
      <c r="EIS114" s="17"/>
      <c r="EIT114" s="17"/>
      <c r="EIU114" s="17"/>
      <c r="EIV114" s="17"/>
      <c r="EIW114" s="17"/>
      <c r="EIX114" s="17"/>
      <c r="EIY114" s="17"/>
      <c r="EIZ114" s="17"/>
      <c r="EJA114" s="17"/>
      <c r="EJB114" s="17"/>
      <c r="EJC114" s="17"/>
      <c r="EJD114" s="17"/>
      <c r="EJE114" s="17"/>
      <c r="EJF114" s="17"/>
      <c r="EJG114" s="17"/>
      <c r="EJH114" s="17"/>
      <c r="EJI114" s="17"/>
      <c r="EJJ114" s="17"/>
      <c r="EJK114" s="17"/>
      <c r="EJL114" s="17"/>
      <c r="EJM114" s="17"/>
      <c r="EJN114" s="17"/>
      <c r="EJO114" s="17"/>
      <c r="EJP114" s="17"/>
      <c r="EJQ114" s="17"/>
      <c r="EJR114" s="17"/>
      <c r="EJS114" s="17"/>
      <c r="EJT114" s="17"/>
      <c r="EJU114" s="17"/>
      <c r="EJV114" s="17"/>
      <c r="EJW114" s="17"/>
      <c r="EJX114" s="17"/>
      <c r="EJY114" s="17"/>
      <c r="EJZ114" s="17"/>
      <c r="EKA114" s="17"/>
      <c r="EKB114" s="17"/>
      <c r="EKC114" s="17"/>
      <c r="EKD114" s="17"/>
      <c r="EKE114" s="17"/>
      <c r="EKF114" s="17"/>
      <c r="EKG114" s="17"/>
      <c r="EKH114" s="17"/>
      <c r="EKI114" s="17"/>
      <c r="EKJ114" s="17"/>
      <c r="EKK114" s="17"/>
      <c r="EKL114" s="17"/>
      <c r="EKM114" s="17"/>
      <c r="EKN114" s="17"/>
      <c r="EKO114" s="17"/>
      <c r="EKP114" s="17"/>
      <c r="EKQ114" s="17"/>
      <c r="EKR114" s="17"/>
      <c r="EKS114" s="17"/>
      <c r="EKT114" s="17"/>
      <c r="EKU114" s="17"/>
      <c r="EKV114" s="17"/>
      <c r="EKW114" s="17"/>
      <c r="EKX114" s="17"/>
      <c r="EKY114" s="17"/>
      <c r="EKZ114" s="17"/>
      <c r="ELA114" s="17"/>
      <c r="ELB114" s="17"/>
      <c r="ELC114" s="17"/>
      <c r="ELD114" s="17"/>
      <c r="ELE114" s="17"/>
      <c r="ELF114" s="17"/>
      <c r="ELG114" s="17"/>
      <c r="ELH114" s="17"/>
      <c r="ELI114" s="17"/>
      <c r="ELJ114" s="17"/>
      <c r="ELK114" s="17"/>
      <c r="ELL114" s="17"/>
      <c r="ELM114" s="17"/>
      <c r="ELN114" s="17"/>
      <c r="ELO114" s="17"/>
      <c r="ELP114" s="17"/>
      <c r="ELQ114" s="17"/>
      <c r="ELR114" s="17"/>
      <c r="ELS114" s="17"/>
      <c r="ELT114" s="17"/>
      <c r="ELU114" s="17"/>
      <c r="ELV114" s="17"/>
      <c r="ELW114" s="17"/>
      <c r="ELX114" s="17"/>
      <c r="ELY114" s="17"/>
      <c r="ELZ114" s="17"/>
      <c r="EMA114" s="17"/>
      <c r="EMB114" s="17"/>
      <c r="EMC114" s="17"/>
      <c r="EMD114" s="17"/>
      <c r="EME114" s="17"/>
      <c r="EMF114" s="17"/>
      <c r="EMG114" s="17"/>
      <c r="EMH114" s="17"/>
      <c r="EMI114" s="17"/>
      <c r="EMJ114" s="17"/>
      <c r="EMK114" s="17"/>
      <c r="EML114" s="17"/>
      <c r="EMM114" s="17"/>
      <c r="EMN114" s="17"/>
      <c r="EMO114" s="17"/>
      <c r="EMP114" s="17"/>
      <c r="EMQ114" s="17"/>
      <c r="EMR114" s="17"/>
      <c r="EMS114" s="17"/>
      <c r="EMT114" s="17"/>
      <c r="EMU114" s="17"/>
      <c r="EMV114" s="17"/>
      <c r="EMW114" s="17"/>
      <c r="EMX114" s="17"/>
      <c r="EMY114" s="17"/>
      <c r="EMZ114" s="17"/>
      <c r="ENA114" s="17"/>
      <c r="ENB114" s="17"/>
      <c r="ENC114" s="17"/>
      <c r="END114" s="17"/>
      <c r="ENE114" s="17"/>
      <c r="ENF114" s="17"/>
      <c r="ENG114" s="17"/>
      <c r="ENH114" s="17"/>
      <c r="ENI114" s="17"/>
      <c r="ENJ114" s="17"/>
      <c r="ENK114" s="17"/>
      <c r="ENL114" s="17"/>
      <c r="ENM114" s="17"/>
      <c r="ENN114" s="17"/>
      <c r="ENO114" s="17"/>
      <c r="ENP114" s="17"/>
      <c r="ENQ114" s="17"/>
      <c r="ENR114" s="17"/>
      <c r="ENS114" s="17"/>
      <c r="ENT114" s="17"/>
      <c r="ENU114" s="17"/>
      <c r="ENV114" s="17"/>
      <c r="ENW114" s="17"/>
      <c r="ENX114" s="17"/>
      <c r="ENY114" s="17"/>
      <c r="ENZ114" s="17"/>
      <c r="EOA114" s="17"/>
      <c r="EOB114" s="17"/>
      <c r="EOC114" s="17"/>
      <c r="EOD114" s="17"/>
      <c r="EOE114" s="17"/>
      <c r="EOF114" s="17"/>
      <c r="EOG114" s="17"/>
      <c r="EOH114" s="17"/>
      <c r="EOI114" s="17"/>
      <c r="EOJ114" s="17"/>
      <c r="EOK114" s="17"/>
      <c r="EOL114" s="17"/>
      <c r="EOM114" s="17"/>
      <c r="EON114" s="17"/>
      <c r="EOO114" s="17"/>
      <c r="EOP114" s="17"/>
      <c r="EOQ114" s="17"/>
      <c r="EOR114" s="17"/>
      <c r="EOS114" s="17"/>
      <c r="EOT114" s="17"/>
      <c r="EOU114" s="17"/>
      <c r="EOV114" s="17"/>
      <c r="EOW114" s="17"/>
      <c r="EOX114" s="17"/>
      <c r="EOY114" s="17"/>
      <c r="EOZ114" s="17"/>
      <c r="EPA114" s="17"/>
      <c r="EPB114" s="17"/>
      <c r="EPC114" s="17"/>
      <c r="EPD114" s="17"/>
      <c r="EPE114" s="17"/>
      <c r="EPF114" s="17"/>
      <c r="EPG114" s="17"/>
      <c r="EPH114" s="17"/>
      <c r="EPI114" s="17"/>
      <c r="EPJ114" s="17"/>
      <c r="EPK114" s="17"/>
      <c r="EPL114" s="17"/>
      <c r="EPM114" s="17"/>
      <c r="EPN114" s="17"/>
      <c r="EPO114" s="17"/>
      <c r="EPP114" s="17"/>
      <c r="EPQ114" s="17"/>
      <c r="EPR114" s="17"/>
      <c r="EPS114" s="17"/>
      <c r="EPT114" s="17"/>
      <c r="EPU114" s="17"/>
      <c r="EPV114" s="17"/>
      <c r="EPW114" s="17"/>
      <c r="EPX114" s="17"/>
      <c r="EPY114" s="17"/>
      <c r="EPZ114" s="17"/>
      <c r="EQA114" s="17"/>
      <c r="EQB114" s="17"/>
      <c r="EQC114" s="17"/>
      <c r="EQD114" s="17"/>
      <c r="EQE114" s="17"/>
      <c r="EQF114" s="17"/>
      <c r="EQG114" s="17"/>
      <c r="EQH114" s="17"/>
      <c r="EQI114" s="17"/>
      <c r="EQJ114" s="17"/>
      <c r="EQK114" s="17"/>
      <c r="EQL114" s="17"/>
      <c r="EQM114" s="17"/>
      <c r="EQN114" s="17"/>
      <c r="EQO114" s="17"/>
      <c r="EQP114" s="17"/>
      <c r="EQQ114" s="17"/>
      <c r="EQR114" s="17"/>
      <c r="EQS114" s="17"/>
      <c r="EQT114" s="17"/>
      <c r="EQU114" s="17"/>
      <c r="EQV114" s="17"/>
      <c r="EQW114" s="17"/>
      <c r="EQX114" s="17"/>
      <c r="EQY114" s="17"/>
      <c r="EQZ114" s="17"/>
      <c r="ERA114" s="17"/>
      <c r="ERB114" s="17"/>
      <c r="ERC114" s="17"/>
      <c r="ERD114" s="17"/>
      <c r="ERE114" s="17"/>
      <c r="ERF114" s="17"/>
      <c r="ERG114" s="17"/>
      <c r="ERH114" s="17"/>
      <c r="ERI114" s="17"/>
      <c r="ERJ114" s="17"/>
      <c r="ERK114" s="17"/>
      <c r="ERL114" s="17"/>
      <c r="ERM114" s="17"/>
      <c r="ERN114" s="17"/>
      <c r="ERO114" s="17"/>
      <c r="ERP114" s="17"/>
      <c r="ERQ114" s="17"/>
      <c r="ERR114" s="17"/>
      <c r="ERS114" s="17"/>
      <c r="ERT114" s="17"/>
      <c r="ERU114" s="17"/>
      <c r="ERV114" s="17"/>
      <c r="ERW114" s="17"/>
      <c r="ERX114" s="17"/>
      <c r="ERY114" s="17"/>
      <c r="ERZ114" s="17"/>
      <c r="ESA114" s="17"/>
      <c r="ESB114" s="17"/>
      <c r="ESC114" s="17"/>
      <c r="ESD114" s="17"/>
      <c r="ESE114" s="17"/>
      <c r="ESF114" s="17"/>
      <c r="ESG114" s="17"/>
      <c r="ESH114" s="17"/>
      <c r="ESI114" s="17"/>
      <c r="ESJ114" s="17"/>
      <c r="ESK114" s="17"/>
      <c r="ESL114" s="17"/>
      <c r="ESM114" s="17"/>
      <c r="ESN114" s="17"/>
      <c r="ESO114" s="17"/>
      <c r="ESP114" s="17"/>
      <c r="ESQ114" s="17"/>
      <c r="ESR114" s="17"/>
      <c r="ESS114" s="17"/>
      <c r="EST114" s="17"/>
      <c r="ESU114" s="17"/>
      <c r="ESV114" s="17"/>
      <c r="ESW114" s="17"/>
      <c r="ESX114" s="17"/>
      <c r="ESY114" s="17"/>
      <c r="ESZ114" s="17"/>
      <c r="ETA114" s="17"/>
      <c r="ETB114" s="17"/>
      <c r="ETC114" s="17"/>
      <c r="ETD114" s="17"/>
      <c r="ETE114" s="17"/>
      <c r="ETF114" s="17"/>
      <c r="ETG114" s="17"/>
      <c r="ETH114" s="17"/>
      <c r="ETI114" s="17"/>
      <c r="ETJ114" s="17"/>
      <c r="ETK114" s="17"/>
      <c r="ETL114" s="17"/>
      <c r="ETM114" s="17"/>
      <c r="ETN114" s="17"/>
      <c r="ETO114" s="17"/>
      <c r="ETP114" s="17"/>
      <c r="ETQ114" s="17"/>
      <c r="ETR114" s="17"/>
      <c r="ETS114" s="17"/>
      <c r="ETT114" s="17"/>
      <c r="ETU114" s="17"/>
      <c r="ETV114" s="17"/>
      <c r="ETW114" s="17"/>
      <c r="ETX114" s="17"/>
      <c r="ETY114" s="17"/>
      <c r="ETZ114" s="17"/>
      <c r="EUA114" s="17"/>
      <c r="EUB114" s="17"/>
      <c r="EUC114" s="17"/>
      <c r="EUD114" s="17"/>
      <c r="EUE114" s="17"/>
      <c r="EUF114" s="17"/>
      <c r="EUG114" s="17"/>
      <c r="EUH114" s="17"/>
      <c r="EUI114" s="17"/>
      <c r="EUJ114" s="17"/>
      <c r="EUK114" s="17"/>
      <c r="EUL114" s="17"/>
      <c r="EUM114" s="17"/>
      <c r="EUN114" s="17"/>
      <c r="EUO114" s="17"/>
      <c r="EUP114" s="17"/>
      <c r="EUQ114" s="17"/>
      <c r="EUR114" s="17"/>
      <c r="EUS114" s="17"/>
      <c r="EUT114" s="17"/>
      <c r="EUU114" s="17"/>
      <c r="EUV114" s="17"/>
      <c r="EUW114" s="17"/>
      <c r="EUX114" s="17"/>
      <c r="EUY114" s="17"/>
      <c r="EUZ114" s="17"/>
      <c r="EVA114" s="17"/>
      <c r="EVB114" s="17"/>
      <c r="EVC114" s="17"/>
      <c r="EVD114" s="17"/>
      <c r="EVE114" s="17"/>
      <c r="EVF114" s="17"/>
      <c r="EVG114" s="17"/>
      <c r="EVH114" s="17"/>
      <c r="EVI114" s="17"/>
      <c r="EVJ114" s="17"/>
      <c r="EVK114" s="17"/>
      <c r="EVL114" s="17"/>
      <c r="EVM114" s="17"/>
      <c r="EVN114" s="17"/>
      <c r="EVO114" s="17"/>
      <c r="EVP114" s="17"/>
      <c r="EVQ114" s="17"/>
      <c r="EVR114" s="17"/>
      <c r="EVS114" s="17"/>
      <c r="EVT114" s="17"/>
      <c r="EVU114" s="17"/>
      <c r="EVV114" s="17"/>
      <c r="EVW114" s="17"/>
      <c r="EVX114" s="17"/>
      <c r="EVY114" s="17"/>
      <c r="EVZ114" s="17"/>
      <c r="EWA114" s="17"/>
      <c r="EWB114" s="17"/>
      <c r="EWC114" s="17"/>
      <c r="EWD114" s="17"/>
      <c r="EWE114" s="17"/>
      <c r="EWF114" s="17"/>
      <c r="EWG114" s="17"/>
      <c r="EWH114" s="17"/>
      <c r="EWI114" s="17"/>
      <c r="EWJ114" s="17"/>
      <c r="EWK114" s="17"/>
      <c r="EWL114" s="17"/>
      <c r="EWM114" s="17"/>
      <c r="EWN114" s="17"/>
      <c r="EWO114" s="17"/>
      <c r="EWP114" s="17"/>
      <c r="EWQ114" s="17"/>
      <c r="EWR114" s="17"/>
      <c r="EWS114" s="17"/>
      <c r="EWT114" s="17"/>
      <c r="EWU114" s="17"/>
      <c r="EWV114" s="17"/>
      <c r="EWW114" s="17"/>
      <c r="EWX114" s="17"/>
      <c r="EWY114" s="17"/>
      <c r="EWZ114" s="17"/>
      <c r="EXA114" s="17"/>
      <c r="EXB114" s="17"/>
      <c r="EXC114" s="17"/>
      <c r="EXD114" s="17"/>
      <c r="EXE114" s="17"/>
      <c r="EXF114" s="17"/>
      <c r="EXG114" s="17"/>
      <c r="EXH114" s="17"/>
      <c r="EXI114" s="17"/>
      <c r="EXJ114" s="17"/>
      <c r="EXK114" s="17"/>
      <c r="EXL114" s="17"/>
      <c r="EXM114" s="17"/>
      <c r="EXN114" s="17"/>
      <c r="EXO114" s="17"/>
      <c r="EXP114" s="17"/>
      <c r="EXQ114" s="17"/>
      <c r="EXR114" s="17"/>
      <c r="EXS114" s="17"/>
      <c r="EXT114" s="17"/>
      <c r="EXU114" s="17"/>
      <c r="EXV114" s="17"/>
      <c r="EXW114" s="17"/>
      <c r="EXX114" s="17"/>
      <c r="EXY114" s="17"/>
      <c r="EXZ114" s="17"/>
      <c r="EYA114" s="17"/>
      <c r="EYB114" s="17"/>
      <c r="EYC114" s="17"/>
      <c r="EYD114" s="17"/>
      <c r="EYE114" s="17"/>
      <c r="EYF114" s="17"/>
      <c r="EYG114" s="17"/>
      <c r="EYH114" s="17"/>
      <c r="EYI114" s="17"/>
      <c r="EYJ114" s="17"/>
      <c r="EYK114" s="17"/>
      <c r="EYL114" s="17"/>
      <c r="EYM114" s="17"/>
      <c r="EYN114" s="17"/>
      <c r="EYO114" s="17"/>
      <c r="EYP114" s="17"/>
      <c r="EYQ114" s="17"/>
      <c r="EYR114" s="17"/>
      <c r="EYS114" s="17"/>
      <c r="EYT114" s="17"/>
      <c r="EYU114" s="17"/>
      <c r="EYV114" s="17"/>
      <c r="EYW114" s="17"/>
      <c r="EYX114" s="17"/>
      <c r="EYY114" s="17"/>
      <c r="EYZ114" s="17"/>
      <c r="EZA114" s="17"/>
      <c r="EZB114" s="17"/>
      <c r="EZC114" s="17"/>
      <c r="EZD114" s="17"/>
      <c r="EZE114" s="17"/>
      <c r="EZF114" s="17"/>
      <c r="EZG114" s="17"/>
      <c r="EZH114" s="17"/>
      <c r="EZI114" s="17"/>
      <c r="EZJ114" s="17"/>
      <c r="EZK114" s="17"/>
      <c r="EZL114" s="17"/>
      <c r="EZM114" s="17"/>
      <c r="EZN114" s="17"/>
      <c r="EZO114" s="17"/>
      <c r="EZP114" s="17"/>
      <c r="EZQ114" s="17"/>
      <c r="EZR114" s="17"/>
      <c r="EZS114" s="17"/>
      <c r="EZT114" s="17"/>
      <c r="EZU114" s="17"/>
      <c r="EZV114" s="17"/>
      <c r="EZW114" s="17"/>
      <c r="EZX114" s="17"/>
      <c r="EZY114" s="17"/>
      <c r="EZZ114" s="17"/>
      <c r="FAA114" s="17"/>
      <c r="FAB114" s="17"/>
      <c r="FAC114" s="17"/>
      <c r="FAD114" s="17"/>
      <c r="FAE114" s="17"/>
      <c r="FAF114" s="17"/>
      <c r="FAG114" s="17"/>
      <c r="FAH114" s="17"/>
      <c r="FAI114" s="17"/>
      <c r="FAJ114" s="17"/>
      <c r="FAK114" s="17"/>
      <c r="FAL114" s="17"/>
      <c r="FAM114" s="17"/>
      <c r="FAN114" s="17"/>
      <c r="FAO114" s="17"/>
      <c r="FAP114" s="17"/>
      <c r="FAQ114" s="17"/>
      <c r="FAR114" s="17"/>
      <c r="FAS114" s="17"/>
      <c r="FAT114" s="17"/>
      <c r="FAU114" s="17"/>
      <c r="FAV114" s="17"/>
      <c r="FAW114" s="17"/>
      <c r="FAX114" s="17"/>
      <c r="FAY114" s="17"/>
      <c r="FAZ114" s="17"/>
      <c r="FBA114" s="17"/>
      <c r="FBB114" s="17"/>
      <c r="FBC114" s="17"/>
      <c r="FBD114" s="17"/>
      <c r="FBE114" s="17"/>
      <c r="FBF114" s="17"/>
      <c r="FBG114" s="17"/>
      <c r="FBH114" s="17"/>
      <c r="FBI114" s="17"/>
      <c r="FBJ114" s="17"/>
      <c r="FBK114" s="17"/>
      <c r="FBL114" s="17"/>
      <c r="FBM114" s="17"/>
      <c r="FBN114" s="17"/>
      <c r="FBO114" s="17"/>
      <c r="FBP114" s="17"/>
      <c r="FBQ114" s="17"/>
      <c r="FBR114" s="17"/>
      <c r="FBS114" s="17"/>
      <c r="FBT114" s="17"/>
      <c r="FBU114" s="17"/>
      <c r="FBV114" s="17"/>
      <c r="FBW114" s="17"/>
      <c r="FBX114" s="17"/>
      <c r="FBY114" s="17"/>
      <c r="FBZ114" s="17"/>
      <c r="FCA114" s="17"/>
      <c r="FCB114" s="17"/>
      <c r="FCC114" s="17"/>
      <c r="FCD114" s="17"/>
      <c r="FCE114" s="17"/>
      <c r="FCF114" s="17"/>
      <c r="FCG114" s="17"/>
      <c r="FCH114" s="17"/>
      <c r="FCI114" s="17"/>
      <c r="FCJ114" s="17"/>
      <c r="FCK114" s="17"/>
      <c r="FCL114" s="17"/>
      <c r="FCM114" s="17"/>
      <c r="FCN114" s="17"/>
      <c r="FCO114" s="17"/>
      <c r="FCP114" s="17"/>
      <c r="FCQ114" s="17"/>
      <c r="FCR114" s="17"/>
      <c r="FCS114" s="17"/>
      <c r="FCT114" s="17"/>
      <c r="FCU114" s="17"/>
      <c r="FCV114" s="17"/>
      <c r="FCW114" s="17"/>
      <c r="FCX114" s="17"/>
      <c r="FCY114" s="17"/>
      <c r="FCZ114" s="17"/>
      <c r="FDA114" s="17"/>
      <c r="FDB114" s="17"/>
      <c r="FDC114" s="17"/>
      <c r="FDD114" s="17"/>
      <c r="FDE114" s="17"/>
      <c r="FDF114" s="17"/>
      <c r="FDG114" s="17"/>
      <c r="FDH114" s="17"/>
      <c r="FDI114" s="17"/>
      <c r="FDJ114" s="17"/>
      <c r="FDK114" s="17"/>
      <c r="FDL114" s="17"/>
      <c r="FDM114" s="17"/>
      <c r="FDN114" s="17"/>
      <c r="FDO114" s="17"/>
      <c r="FDP114" s="17"/>
      <c r="FDQ114" s="17"/>
      <c r="FDR114" s="17"/>
      <c r="FDS114" s="17"/>
      <c r="FDT114" s="17"/>
      <c r="FDU114" s="17"/>
      <c r="FDV114" s="17"/>
      <c r="FDW114" s="17"/>
      <c r="FDX114" s="17"/>
      <c r="FDY114" s="17"/>
      <c r="FDZ114" s="17"/>
      <c r="FEA114" s="17"/>
      <c r="FEB114" s="17"/>
      <c r="FEC114" s="17"/>
      <c r="FED114" s="17"/>
      <c r="FEE114" s="17"/>
      <c r="FEF114" s="17"/>
      <c r="FEG114" s="17"/>
      <c r="FEH114" s="17"/>
      <c r="FEI114" s="17"/>
      <c r="FEJ114" s="17"/>
      <c r="FEK114" s="17"/>
      <c r="FEL114" s="17"/>
      <c r="FEM114" s="17"/>
      <c r="FEN114" s="17"/>
      <c r="FEO114" s="17"/>
      <c r="FEP114" s="17"/>
      <c r="FEQ114" s="17"/>
      <c r="FER114" s="17"/>
      <c r="FES114" s="17"/>
      <c r="FET114" s="17"/>
      <c r="FEU114" s="17"/>
      <c r="FEV114" s="17"/>
      <c r="FEW114" s="17"/>
      <c r="FEX114" s="17"/>
      <c r="FEY114" s="17"/>
      <c r="FEZ114" s="17"/>
      <c r="FFA114" s="17"/>
      <c r="FFB114" s="17"/>
      <c r="FFC114" s="17"/>
      <c r="FFD114" s="17"/>
      <c r="FFE114" s="17"/>
      <c r="FFF114" s="17"/>
      <c r="FFG114" s="17"/>
      <c r="FFH114" s="17"/>
      <c r="FFI114" s="17"/>
      <c r="FFJ114" s="17"/>
      <c r="FFK114" s="17"/>
      <c r="FFL114" s="17"/>
      <c r="FFM114" s="17"/>
      <c r="FFN114" s="17"/>
      <c r="FFO114" s="17"/>
      <c r="FFP114" s="17"/>
      <c r="FFQ114" s="17"/>
      <c r="FFR114" s="17"/>
      <c r="FFS114" s="17"/>
      <c r="FFT114" s="17"/>
      <c r="FFU114" s="17"/>
      <c r="FFV114" s="17"/>
      <c r="FFW114" s="17"/>
      <c r="FFX114" s="17"/>
      <c r="FFY114" s="17"/>
      <c r="FFZ114" s="17"/>
      <c r="FGA114" s="17"/>
      <c r="FGB114" s="17"/>
      <c r="FGC114" s="17"/>
      <c r="FGD114" s="17"/>
      <c r="FGE114" s="17"/>
      <c r="FGF114" s="17"/>
      <c r="FGG114" s="17"/>
      <c r="FGH114" s="17"/>
      <c r="FGI114" s="17"/>
      <c r="FGJ114" s="17"/>
      <c r="FGK114" s="17"/>
      <c r="FGL114" s="17"/>
      <c r="FGM114" s="17"/>
      <c r="FGN114" s="17"/>
      <c r="FGO114" s="17"/>
      <c r="FGP114" s="17"/>
      <c r="FGQ114" s="17"/>
      <c r="FGR114" s="17"/>
      <c r="FGS114" s="17"/>
      <c r="FGT114" s="17"/>
      <c r="FGU114" s="17"/>
      <c r="FGV114" s="17"/>
      <c r="FGW114" s="17"/>
      <c r="FGX114" s="17"/>
      <c r="FGY114" s="17"/>
      <c r="FGZ114" s="17"/>
      <c r="FHA114" s="17"/>
      <c r="FHB114" s="17"/>
      <c r="FHC114" s="17"/>
      <c r="FHD114" s="17"/>
      <c r="FHE114" s="17"/>
      <c r="FHF114" s="17"/>
      <c r="FHG114" s="17"/>
      <c r="FHH114" s="17"/>
      <c r="FHI114" s="17"/>
      <c r="FHJ114" s="17"/>
      <c r="FHK114" s="17"/>
      <c r="FHL114" s="17"/>
      <c r="FHM114" s="17"/>
      <c r="FHN114" s="17"/>
      <c r="FHO114" s="17"/>
      <c r="FHP114" s="17"/>
      <c r="FHQ114" s="17"/>
      <c r="FHR114" s="17"/>
      <c r="FHS114" s="17"/>
      <c r="FHT114" s="17"/>
      <c r="FHU114" s="17"/>
      <c r="FHV114" s="17"/>
      <c r="FHW114" s="17"/>
      <c r="FHX114" s="17"/>
      <c r="FHY114" s="17"/>
      <c r="FHZ114" s="17"/>
      <c r="FIA114" s="17"/>
      <c r="FIB114" s="17"/>
      <c r="FIC114" s="17"/>
      <c r="FID114" s="17"/>
      <c r="FIE114" s="17"/>
      <c r="FIF114" s="17"/>
      <c r="FIG114" s="17"/>
      <c r="FIH114" s="17"/>
      <c r="FII114" s="17"/>
      <c r="FIJ114" s="17"/>
      <c r="FIK114" s="17"/>
      <c r="FIL114" s="17"/>
      <c r="FIM114" s="17"/>
      <c r="FIN114" s="17"/>
      <c r="FIO114" s="17"/>
      <c r="FIP114" s="17"/>
      <c r="FIQ114" s="17"/>
      <c r="FIR114" s="17"/>
      <c r="FIS114" s="17"/>
      <c r="FIT114" s="17"/>
      <c r="FIU114" s="17"/>
      <c r="FIV114" s="17"/>
      <c r="FIW114" s="17"/>
      <c r="FIX114" s="17"/>
      <c r="FIY114" s="17"/>
      <c r="FIZ114" s="17"/>
      <c r="FJA114" s="17"/>
      <c r="FJB114" s="17"/>
      <c r="FJC114" s="17"/>
      <c r="FJD114" s="17"/>
      <c r="FJE114" s="17"/>
      <c r="FJF114" s="17"/>
      <c r="FJG114" s="17"/>
      <c r="FJH114" s="17"/>
      <c r="FJI114" s="17"/>
      <c r="FJJ114" s="17"/>
      <c r="FJK114" s="17"/>
      <c r="FJL114" s="17"/>
      <c r="FJM114" s="17"/>
      <c r="FJN114" s="17"/>
      <c r="FJO114" s="17"/>
      <c r="FJP114" s="17"/>
      <c r="FJQ114" s="17"/>
      <c r="FJR114" s="17"/>
      <c r="FJS114" s="17"/>
      <c r="FJT114" s="17"/>
      <c r="FJU114" s="17"/>
      <c r="FJV114" s="17"/>
      <c r="FJW114" s="17"/>
      <c r="FJX114" s="17"/>
      <c r="FJY114" s="17"/>
      <c r="FJZ114" s="17"/>
      <c r="FKA114" s="17"/>
      <c r="FKB114" s="17"/>
      <c r="FKC114" s="17"/>
      <c r="FKD114" s="17"/>
      <c r="FKE114" s="17"/>
      <c r="FKF114" s="17"/>
      <c r="FKG114" s="17"/>
      <c r="FKH114" s="17"/>
      <c r="FKI114" s="17"/>
      <c r="FKJ114" s="17"/>
      <c r="FKK114" s="17"/>
      <c r="FKL114" s="17"/>
      <c r="FKM114" s="17"/>
      <c r="FKN114" s="17"/>
      <c r="FKO114" s="17"/>
      <c r="FKP114" s="17"/>
      <c r="FKQ114" s="17"/>
      <c r="FKR114" s="17"/>
      <c r="FKS114" s="17"/>
      <c r="FKT114" s="17"/>
      <c r="FKU114" s="17"/>
      <c r="FKV114" s="17"/>
      <c r="FKW114" s="17"/>
      <c r="FKX114" s="17"/>
      <c r="FKY114" s="17"/>
      <c r="FKZ114" s="17"/>
      <c r="FLA114" s="17"/>
      <c r="FLB114" s="17"/>
      <c r="FLC114" s="17"/>
      <c r="FLD114" s="17"/>
      <c r="FLE114" s="17"/>
      <c r="FLF114" s="17"/>
      <c r="FLG114" s="17"/>
      <c r="FLH114" s="17"/>
      <c r="FLI114" s="17"/>
      <c r="FLJ114" s="17"/>
      <c r="FLK114" s="17"/>
      <c r="FLL114" s="17"/>
      <c r="FLM114" s="17"/>
      <c r="FLN114" s="17"/>
      <c r="FLO114" s="17"/>
      <c r="FLP114" s="17"/>
      <c r="FLQ114" s="17"/>
      <c r="FLR114" s="17"/>
      <c r="FLS114" s="17"/>
      <c r="FLT114" s="17"/>
      <c r="FLU114" s="17"/>
      <c r="FLV114" s="17"/>
      <c r="FLW114" s="17"/>
      <c r="FLX114" s="17"/>
      <c r="FLY114" s="17"/>
      <c r="FLZ114" s="17"/>
      <c r="FMA114" s="17"/>
      <c r="FMB114" s="17"/>
      <c r="FMC114" s="17"/>
      <c r="FMD114" s="17"/>
      <c r="FME114" s="17"/>
      <c r="FMF114" s="17"/>
      <c r="FMG114" s="17"/>
      <c r="FMH114" s="17"/>
      <c r="FMI114" s="17"/>
      <c r="FMJ114" s="17"/>
      <c r="FMK114" s="17"/>
      <c r="FML114" s="17"/>
      <c r="FMM114" s="17"/>
      <c r="FMN114" s="17"/>
      <c r="FMO114" s="17"/>
      <c r="FMP114" s="17"/>
      <c r="FMQ114" s="17"/>
      <c r="FMR114" s="17"/>
      <c r="FMS114" s="17"/>
      <c r="FMT114" s="17"/>
      <c r="FMU114" s="17"/>
      <c r="FMV114" s="17"/>
      <c r="FMW114" s="17"/>
      <c r="FMX114" s="17"/>
      <c r="FMY114" s="17"/>
      <c r="FMZ114" s="17"/>
      <c r="FNA114" s="17"/>
      <c r="FNB114" s="17"/>
      <c r="FNC114" s="17"/>
      <c r="FND114" s="17"/>
      <c r="FNE114" s="17"/>
      <c r="FNF114" s="17"/>
      <c r="FNG114" s="17"/>
      <c r="FNH114" s="17"/>
      <c r="FNI114" s="17"/>
      <c r="FNJ114" s="17"/>
      <c r="FNK114" s="17"/>
      <c r="FNL114" s="17"/>
      <c r="FNM114" s="17"/>
      <c r="FNN114" s="17"/>
      <c r="FNO114" s="17"/>
      <c r="FNP114" s="17"/>
      <c r="FNQ114" s="17"/>
      <c r="FNR114" s="17"/>
      <c r="FNS114" s="17"/>
      <c r="FNT114" s="17"/>
      <c r="FNU114" s="17"/>
      <c r="FNV114" s="17"/>
      <c r="FNW114" s="17"/>
      <c r="FNX114" s="17"/>
      <c r="FNY114" s="17"/>
      <c r="FNZ114" s="17"/>
      <c r="FOA114" s="17"/>
      <c r="FOB114" s="17"/>
      <c r="FOC114" s="17"/>
      <c r="FOD114" s="17"/>
      <c r="FOE114" s="17"/>
      <c r="FOF114" s="17"/>
      <c r="FOG114" s="17"/>
      <c r="FOH114" s="17"/>
      <c r="FOI114" s="17"/>
      <c r="FOJ114" s="17"/>
      <c r="FOK114" s="17"/>
      <c r="FOL114" s="17"/>
      <c r="FOM114" s="17"/>
      <c r="FON114" s="17"/>
      <c r="FOO114" s="17"/>
      <c r="FOP114" s="17"/>
      <c r="FOQ114" s="17"/>
      <c r="FOR114" s="17"/>
      <c r="FOS114" s="17"/>
      <c r="FOT114" s="17"/>
      <c r="FOU114" s="17"/>
      <c r="FOV114" s="17"/>
      <c r="FOW114" s="17"/>
      <c r="FOX114" s="17"/>
      <c r="FOY114" s="17"/>
      <c r="FOZ114" s="17"/>
      <c r="FPA114" s="17"/>
      <c r="FPB114" s="17"/>
      <c r="FPC114" s="17"/>
      <c r="FPD114" s="17"/>
      <c r="FPE114" s="17"/>
      <c r="FPF114" s="17"/>
      <c r="FPG114" s="17"/>
      <c r="FPH114" s="17"/>
      <c r="FPI114" s="17"/>
      <c r="FPJ114" s="17"/>
      <c r="FPK114" s="17"/>
      <c r="FPL114" s="17"/>
      <c r="FPM114" s="17"/>
      <c r="FPN114" s="17"/>
      <c r="FPO114" s="17"/>
      <c r="FPP114" s="17"/>
      <c r="FPQ114" s="17"/>
      <c r="FPR114" s="17"/>
      <c r="FPS114" s="17"/>
      <c r="FPT114" s="17"/>
      <c r="FPU114" s="17"/>
      <c r="FPV114" s="17"/>
      <c r="FPW114" s="17"/>
      <c r="FPX114" s="17"/>
      <c r="FPY114" s="17"/>
      <c r="FPZ114" s="17"/>
      <c r="FQA114" s="17"/>
      <c r="FQB114" s="17"/>
      <c r="FQC114" s="17"/>
      <c r="FQD114" s="17"/>
      <c r="FQE114" s="17"/>
      <c r="FQF114" s="17"/>
      <c r="FQG114" s="17"/>
      <c r="FQH114" s="17"/>
      <c r="FQI114" s="17"/>
      <c r="FQJ114" s="17"/>
      <c r="FQK114" s="17"/>
      <c r="FQL114" s="17"/>
      <c r="FQM114" s="17"/>
      <c r="FQN114" s="17"/>
      <c r="FQO114" s="17"/>
      <c r="FQP114" s="17"/>
      <c r="FQQ114" s="17"/>
      <c r="FQR114" s="17"/>
      <c r="FQS114" s="17"/>
      <c r="FQT114" s="17"/>
      <c r="FQU114" s="17"/>
      <c r="FQV114" s="17"/>
      <c r="FQW114" s="17"/>
      <c r="FQX114" s="17"/>
      <c r="FQY114" s="17"/>
      <c r="FQZ114" s="17"/>
      <c r="FRA114" s="17"/>
      <c r="FRB114" s="17"/>
      <c r="FRC114" s="17"/>
      <c r="FRD114" s="17"/>
      <c r="FRE114" s="17"/>
      <c r="FRF114" s="17"/>
      <c r="FRG114" s="17"/>
      <c r="FRH114" s="17"/>
      <c r="FRI114" s="17"/>
      <c r="FRJ114" s="17"/>
      <c r="FRK114" s="17"/>
      <c r="FRL114" s="17"/>
      <c r="FRM114" s="17"/>
      <c r="FRN114" s="17"/>
      <c r="FRO114" s="17"/>
      <c r="FRP114" s="17"/>
      <c r="FRQ114" s="17"/>
      <c r="FRR114" s="17"/>
      <c r="FRS114" s="17"/>
      <c r="FRT114" s="17"/>
      <c r="FRU114" s="17"/>
      <c r="FRV114" s="17"/>
      <c r="FRW114" s="17"/>
      <c r="FRX114" s="17"/>
      <c r="FRY114" s="17"/>
      <c r="FRZ114" s="17"/>
      <c r="FSA114" s="17"/>
      <c r="FSB114" s="17"/>
      <c r="FSC114" s="17"/>
      <c r="FSD114" s="17"/>
      <c r="FSE114" s="17"/>
      <c r="FSF114" s="17"/>
      <c r="FSG114" s="17"/>
      <c r="FSH114" s="17"/>
      <c r="FSI114" s="17"/>
      <c r="FSJ114" s="17"/>
      <c r="FSK114" s="17"/>
      <c r="FSL114" s="17"/>
      <c r="FSM114" s="17"/>
      <c r="FSN114" s="17"/>
      <c r="FSO114" s="17"/>
      <c r="FSP114" s="17"/>
      <c r="FSQ114" s="17"/>
      <c r="FSR114" s="17"/>
      <c r="FSS114" s="17"/>
      <c r="FST114" s="17"/>
      <c r="FSU114" s="17"/>
      <c r="FSV114" s="17"/>
      <c r="FSW114" s="17"/>
      <c r="FSX114" s="17"/>
      <c r="FSY114" s="17"/>
      <c r="FSZ114" s="17"/>
      <c r="FTA114" s="17"/>
      <c r="FTB114" s="17"/>
      <c r="FTC114" s="17"/>
      <c r="FTD114" s="17"/>
      <c r="FTE114" s="17"/>
      <c r="FTF114" s="17"/>
      <c r="FTG114" s="17"/>
      <c r="FTH114" s="17"/>
      <c r="FTI114" s="17"/>
      <c r="FTJ114" s="17"/>
      <c r="FTK114" s="17"/>
      <c r="FTL114" s="17"/>
      <c r="FTM114" s="17"/>
      <c r="FTN114" s="17"/>
      <c r="FTO114" s="17"/>
      <c r="FTP114" s="17"/>
      <c r="FTQ114" s="17"/>
      <c r="FTR114" s="17"/>
      <c r="FTS114" s="17"/>
      <c r="FTT114" s="17"/>
      <c r="FTU114" s="17"/>
      <c r="FTV114" s="17"/>
      <c r="FTW114" s="17"/>
      <c r="FTX114" s="17"/>
      <c r="FTY114" s="17"/>
      <c r="FTZ114" s="17"/>
      <c r="FUA114" s="17"/>
      <c r="FUB114" s="17"/>
      <c r="FUC114" s="17"/>
      <c r="FUD114" s="17"/>
      <c r="FUE114" s="17"/>
      <c r="FUF114" s="17"/>
      <c r="FUG114" s="17"/>
      <c r="FUH114" s="17"/>
      <c r="FUI114" s="17"/>
      <c r="FUJ114" s="17"/>
      <c r="FUK114" s="17"/>
      <c r="FUL114" s="17"/>
      <c r="FUM114" s="17"/>
      <c r="FUN114" s="17"/>
      <c r="FUO114" s="17"/>
      <c r="FUP114" s="17"/>
      <c r="FUQ114" s="17"/>
      <c r="FUR114" s="17"/>
      <c r="FUS114" s="17"/>
      <c r="FUT114" s="17"/>
      <c r="FUU114" s="17"/>
      <c r="FUV114" s="17"/>
      <c r="FUW114" s="17"/>
      <c r="FUX114" s="17"/>
      <c r="FUY114" s="17"/>
      <c r="FUZ114" s="17"/>
      <c r="FVA114" s="17"/>
      <c r="FVB114" s="17"/>
      <c r="FVC114" s="17"/>
      <c r="FVD114" s="17"/>
      <c r="FVE114" s="17"/>
      <c r="FVF114" s="17"/>
      <c r="FVG114" s="17"/>
      <c r="FVH114" s="17"/>
      <c r="FVI114" s="17"/>
      <c r="FVJ114" s="17"/>
      <c r="FVK114" s="17"/>
      <c r="FVL114" s="17"/>
      <c r="FVM114" s="17"/>
      <c r="FVN114" s="17"/>
      <c r="FVO114" s="17"/>
      <c r="FVP114" s="17"/>
      <c r="FVQ114" s="17"/>
      <c r="FVR114" s="17"/>
      <c r="FVS114" s="17"/>
      <c r="FVT114" s="17"/>
      <c r="FVU114" s="17"/>
      <c r="FVV114" s="17"/>
      <c r="FVW114" s="17"/>
      <c r="FVX114" s="17"/>
      <c r="FVY114" s="17"/>
      <c r="FVZ114" s="17"/>
      <c r="FWA114" s="17"/>
      <c r="FWB114" s="17"/>
      <c r="FWC114" s="17"/>
      <c r="FWD114" s="17"/>
      <c r="FWE114" s="17"/>
      <c r="FWF114" s="17"/>
      <c r="FWG114" s="17"/>
      <c r="FWH114" s="17"/>
      <c r="FWI114" s="17"/>
      <c r="FWJ114" s="17"/>
      <c r="FWK114" s="17"/>
      <c r="FWL114" s="17"/>
      <c r="FWM114" s="17"/>
      <c r="FWN114" s="17"/>
      <c r="FWO114" s="17"/>
      <c r="FWP114" s="17"/>
      <c r="FWQ114" s="17"/>
      <c r="FWR114" s="17"/>
      <c r="FWS114" s="17"/>
      <c r="FWT114" s="17"/>
      <c r="FWU114" s="17"/>
      <c r="FWV114" s="17"/>
      <c r="FWW114" s="17"/>
      <c r="FWX114" s="17"/>
      <c r="FWY114" s="17"/>
      <c r="FWZ114" s="17"/>
      <c r="FXA114" s="17"/>
      <c r="FXB114" s="17"/>
      <c r="FXC114" s="17"/>
      <c r="FXD114" s="17"/>
      <c r="FXE114" s="17"/>
      <c r="FXF114" s="17"/>
      <c r="FXG114" s="17"/>
      <c r="FXH114" s="17"/>
      <c r="FXI114" s="17"/>
      <c r="FXJ114" s="17"/>
      <c r="FXK114" s="17"/>
      <c r="FXL114" s="17"/>
      <c r="FXM114" s="17"/>
      <c r="FXN114" s="17"/>
      <c r="FXO114" s="17"/>
      <c r="FXP114" s="17"/>
      <c r="FXQ114" s="17"/>
      <c r="FXR114" s="17"/>
      <c r="FXS114" s="17"/>
      <c r="FXT114" s="17"/>
      <c r="FXU114" s="17"/>
      <c r="FXV114" s="17"/>
      <c r="FXW114" s="17"/>
      <c r="FXX114" s="17"/>
      <c r="FXY114" s="17"/>
      <c r="FXZ114" s="17"/>
      <c r="FYA114" s="17"/>
      <c r="FYB114" s="17"/>
      <c r="FYC114" s="17"/>
      <c r="FYD114" s="17"/>
      <c r="FYE114" s="17"/>
      <c r="FYF114" s="17"/>
      <c r="FYG114" s="17"/>
      <c r="FYH114" s="17"/>
      <c r="FYI114" s="17"/>
      <c r="FYJ114" s="17"/>
      <c r="FYK114" s="17"/>
      <c r="FYL114" s="17"/>
      <c r="FYM114" s="17"/>
      <c r="FYN114" s="17"/>
      <c r="FYO114" s="17"/>
      <c r="FYP114" s="17"/>
      <c r="FYQ114" s="17"/>
      <c r="FYR114" s="17"/>
      <c r="FYS114" s="17"/>
      <c r="FYT114" s="17"/>
      <c r="FYU114" s="17"/>
      <c r="FYV114" s="17"/>
      <c r="FYW114" s="17"/>
      <c r="FYX114" s="17"/>
      <c r="FYY114" s="17"/>
      <c r="FYZ114" s="17"/>
      <c r="FZA114" s="17"/>
      <c r="FZB114" s="17"/>
      <c r="FZC114" s="17"/>
      <c r="FZD114" s="17"/>
      <c r="FZE114" s="17"/>
      <c r="FZF114" s="17"/>
      <c r="FZG114" s="17"/>
      <c r="FZH114" s="17"/>
      <c r="FZI114" s="17"/>
      <c r="FZJ114" s="17"/>
      <c r="FZK114" s="17"/>
      <c r="FZL114" s="17"/>
      <c r="FZM114" s="17"/>
      <c r="FZN114" s="17"/>
      <c r="FZO114" s="17"/>
      <c r="FZP114" s="17"/>
      <c r="FZQ114" s="17"/>
      <c r="FZR114" s="17"/>
      <c r="FZS114" s="17"/>
      <c r="FZT114" s="17"/>
      <c r="FZU114" s="17"/>
      <c r="FZV114" s="17"/>
      <c r="FZW114" s="17"/>
      <c r="FZX114" s="17"/>
      <c r="FZY114" s="17"/>
      <c r="FZZ114" s="17"/>
      <c r="GAA114" s="17"/>
      <c r="GAB114" s="17"/>
      <c r="GAC114" s="17"/>
      <c r="GAD114" s="17"/>
      <c r="GAE114" s="17"/>
      <c r="GAF114" s="17"/>
      <c r="GAG114" s="17"/>
      <c r="GAH114" s="17"/>
      <c r="GAI114" s="17"/>
      <c r="GAJ114" s="17"/>
      <c r="GAK114" s="17"/>
      <c r="GAL114" s="17"/>
      <c r="GAM114" s="17"/>
      <c r="GAN114" s="17"/>
      <c r="GAO114" s="17"/>
      <c r="GAP114" s="17"/>
      <c r="GAQ114" s="17"/>
      <c r="GAR114" s="17"/>
      <c r="GAS114" s="17"/>
      <c r="GAT114" s="17"/>
      <c r="GAU114" s="17"/>
      <c r="GAV114" s="17"/>
      <c r="GAW114" s="17"/>
      <c r="GAX114" s="17"/>
      <c r="GAY114" s="17"/>
      <c r="GAZ114" s="17"/>
      <c r="GBA114" s="17"/>
      <c r="GBB114" s="17"/>
      <c r="GBC114" s="17"/>
      <c r="GBD114" s="17"/>
      <c r="GBE114" s="17"/>
      <c r="GBF114" s="17"/>
      <c r="GBG114" s="17"/>
      <c r="GBH114" s="17"/>
      <c r="GBI114" s="17"/>
      <c r="GBJ114" s="17"/>
      <c r="GBK114" s="17"/>
      <c r="GBL114" s="17"/>
      <c r="GBM114" s="17"/>
      <c r="GBN114" s="17"/>
      <c r="GBO114" s="17"/>
      <c r="GBP114" s="17"/>
      <c r="GBQ114" s="17"/>
      <c r="GBR114" s="17"/>
      <c r="GBS114" s="17"/>
      <c r="GBT114" s="17"/>
      <c r="GBU114" s="17"/>
      <c r="GBV114" s="17"/>
      <c r="GBW114" s="17"/>
      <c r="GBX114" s="17"/>
      <c r="GBY114" s="17"/>
      <c r="GBZ114" s="17"/>
      <c r="GCA114" s="17"/>
      <c r="GCB114" s="17"/>
      <c r="GCC114" s="17"/>
      <c r="GCD114" s="17"/>
      <c r="GCE114" s="17"/>
      <c r="GCF114" s="17"/>
      <c r="GCG114" s="17"/>
      <c r="GCH114" s="17"/>
      <c r="GCI114" s="17"/>
      <c r="GCJ114" s="17"/>
      <c r="GCK114" s="17"/>
      <c r="GCL114" s="17"/>
      <c r="GCM114" s="17"/>
      <c r="GCN114" s="17"/>
      <c r="GCO114" s="17"/>
      <c r="GCP114" s="17"/>
      <c r="GCQ114" s="17"/>
      <c r="GCR114" s="17"/>
      <c r="GCS114" s="17"/>
      <c r="GCT114" s="17"/>
      <c r="GCU114" s="17"/>
      <c r="GCV114" s="17"/>
      <c r="GCW114" s="17"/>
      <c r="GCX114" s="17"/>
      <c r="GCY114" s="17"/>
      <c r="GCZ114" s="17"/>
      <c r="GDA114" s="17"/>
      <c r="GDB114" s="17"/>
      <c r="GDC114" s="17"/>
      <c r="GDD114" s="17"/>
      <c r="GDE114" s="17"/>
      <c r="GDF114" s="17"/>
      <c r="GDG114" s="17"/>
      <c r="GDH114" s="17"/>
      <c r="GDI114" s="17"/>
      <c r="GDJ114" s="17"/>
      <c r="GDK114" s="17"/>
      <c r="GDL114" s="17"/>
      <c r="GDM114" s="17"/>
      <c r="GDN114" s="17"/>
      <c r="GDO114" s="17"/>
      <c r="GDP114" s="17"/>
      <c r="GDQ114" s="17"/>
      <c r="GDR114" s="17"/>
      <c r="GDS114" s="17"/>
      <c r="GDT114" s="17"/>
      <c r="GDU114" s="17"/>
      <c r="GDV114" s="17"/>
      <c r="GDW114" s="17"/>
      <c r="GDX114" s="17"/>
      <c r="GDY114" s="17"/>
      <c r="GDZ114" s="17"/>
      <c r="GEA114" s="17"/>
      <c r="GEB114" s="17"/>
      <c r="GEC114" s="17"/>
      <c r="GED114" s="17"/>
      <c r="GEE114" s="17"/>
      <c r="GEF114" s="17"/>
      <c r="GEG114" s="17"/>
      <c r="GEH114" s="17"/>
      <c r="GEI114" s="17"/>
      <c r="GEJ114" s="17"/>
      <c r="GEK114" s="17"/>
      <c r="GEL114" s="17"/>
      <c r="GEM114" s="17"/>
      <c r="GEN114" s="17"/>
      <c r="GEO114" s="17"/>
      <c r="GEP114" s="17"/>
      <c r="GEQ114" s="17"/>
      <c r="GER114" s="17"/>
      <c r="GES114" s="17"/>
      <c r="GET114" s="17"/>
      <c r="GEU114" s="17"/>
      <c r="GEV114" s="17"/>
      <c r="GEW114" s="17"/>
      <c r="GEX114" s="17"/>
      <c r="GEY114" s="17"/>
      <c r="GEZ114" s="17"/>
      <c r="GFA114" s="17"/>
      <c r="GFB114" s="17"/>
      <c r="GFC114" s="17"/>
      <c r="GFD114" s="17"/>
      <c r="GFE114" s="17"/>
      <c r="GFF114" s="17"/>
      <c r="GFG114" s="17"/>
      <c r="GFH114" s="17"/>
      <c r="GFI114" s="17"/>
      <c r="GFJ114" s="17"/>
      <c r="GFK114" s="17"/>
      <c r="GFL114" s="17"/>
      <c r="GFM114" s="17"/>
      <c r="GFN114" s="17"/>
      <c r="GFO114" s="17"/>
      <c r="GFP114" s="17"/>
      <c r="GFQ114" s="17"/>
      <c r="GFR114" s="17"/>
      <c r="GFS114" s="17"/>
      <c r="GFT114" s="17"/>
      <c r="GFU114" s="17"/>
      <c r="GFV114" s="17"/>
      <c r="GFW114" s="17"/>
      <c r="GFX114" s="17"/>
      <c r="GFY114" s="17"/>
      <c r="GFZ114" s="17"/>
      <c r="GGA114" s="17"/>
      <c r="GGB114" s="17"/>
      <c r="GGC114" s="17"/>
      <c r="GGD114" s="17"/>
      <c r="GGE114" s="17"/>
      <c r="GGF114" s="17"/>
      <c r="GGG114" s="17"/>
      <c r="GGH114" s="17"/>
      <c r="GGI114" s="17"/>
      <c r="GGJ114" s="17"/>
      <c r="GGK114" s="17"/>
      <c r="GGL114" s="17"/>
      <c r="GGM114" s="17"/>
      <c r="GGN114" s="17"/>
      <c r="GGO114" s="17"/>
      <c r="GGP114" s="17"/>
      <c r="GGQ114" s="17"/>
      <c r="GGR114" s="17"/>
      <c r="GGS114" s="17"/>
      <c r="GGT114" s="17"/>
      <c r="GGU114" s="17"/>
      <c r="GGV114" s="17"/>
      <c r="GGW114" s="17"/>
      <c r="GGX114" s="17"/>
      <c r="GGY114" s="17"/>
      <c r="GGZ114" s="17"/>
      <c r="GHA114" s="17"/>
      <c r="GHB114" s="17"/>
      <c r="GHC114" s="17"/>
      <c r="GHD114" s="17"/>
      <c r="GHE114" s="17"/>
      <c r="GHF114" s="17"/>
      <c r="GHG114" s="17"/>
      <c r="GHH114" s="17"/>
      <c r="GHI114" s="17"/>
      <c r="GHJ114" s="17"/>
      <c r="GHK114" s="17"/>
      <c r="GHL114" s="17"/>
      <c r="GHM114" s="17"/>
      <c r="GHN114" s="17"/>
      <c r="GHO114" s="17"/>
      <c r="GHP114" s="17"/>
      <c r="GHQ114" s="17"/>
      <c r="GHR114" s="17"/>
      <c r="GHS114" s="17"/>
      <c r="GHT114" s="17"/>
      <c r="GHU114" s="17"/>
      <c r="GHV114" s="17"/>
      <c r="GHW114" s="17"/>
      <c r="GHX114" s="17"/>
      <c r="GHY114" s="17"/>
      <c r="GHZ114" s="17"/>
      <c r="GIA114" s="17"/>
      <c r="GIB114" s="17"/>
      <c r="GIC114" s="17"/>
      <c r="GID114" s="17"/>
      <c r="GIE114" s="17"/>
      <c r="GIF114" s="17"/>
      <c r="GIG114" s="17"/>
      <c r="GIH114" s="17"/>
      <c r="GII114" s="17"/>
      <c r="GIJ114" s="17"/>
      <c r="GIK114" s="17"/>
      <c r="GIL114" s="17"/>
      <c r="GIM114" s="17"/>
      <c r="GIN114" s="17"/>
      <c r="GIO114" s="17"/>
      <c r="GIP114" s="17"/>
      <c r="GIQ114" s="17"/>
      <c r="GIR114" s="17"/>
      <c r="GIS114" s="17"/>
      <c r="GIT114" s="17"/>
      <c r="GIU114" s="17"/>
      <c r="GIV114" s="17"/>
      <c r="GIW114" s="17"/>
      <c r="GIX114" s="17"/>
      <c r="GIY114" s="17"/>
      <c r="GIZ114" s="17"/>
      <c r="GJA114" s="17"/>
      <c r="GJB114" s="17"/>
      <c r="GJC114" s="17"/>
      <c r="GJD114" s="17"/>
      <c r="GJE114" s="17"/>
      <c r="GJF114" s="17"/>
      <c r="GJG114" s="17"/>
      <c r="GJH114" s="17"/>
      <c r="GJI114" s="17"/>
      <c r="GJJ114" s="17"/>
      <c r="GJK114" s="17"/>
      <c r="GJL114" s="17"/>
      <c r="GJM114" s="17"/>
      <c r="GJN114" s="17"/>
      <c r="GJO114" s="17"/>
      <c r="GJP114" s="17"/>
      <c r="GJQ114" s="17"/>
      <c r="GJR114" s="17"/>
      <c r="GJS114" s="17"/>
      <c r="GJT114" s="17"/>
      <c r="GJU114" s="17"/>
      <c r="GJV114" s="17"/>
      <c r="GJW114" s="17"/>
      <c r="GJX114" s="17"/>
      <c r="GJY114" s="17"/>
      <c r="GJZ114" s="17"/>
      <c r="GKA114" s="17"/>
      <c r="GKB114" s="17"/>
      <c r="GKC114" s="17"/>
      <c r="GKD114" s="17"/>
      <c r="GKE114" s="17"/>
      <c r="GKF114" s="17"/>
      <c r="GKG114" s="17"/>
      <c r="GKH114" s="17"/>
      <c r="GKI114" s="17"/>
      <c r="GKJ114" s="17"/>
      <c r="GKK114" s="17"/>
      <c r="GKL114" s="17"/>
      <c r="GKM114" s="17"/>
      <c r="GKN114" s="17"/>
      <c r="GKO114" s="17"/>
      <c r="GKP114" s="17"/>
      <c r="GKQ114" s="17"/>
      <c r="GKR114" s="17"/>
      <c r="GKS114" s="17"/>
      <c r="GKT114" s="17"/>
      <c r="GKU114" s="17"/>
      <c r="GKV114" s="17"/>
      <c r="GKW114" s="17"/>
      <c r="GKX114" s="17"/>
      <c r="GKY114" s="17"/>
      <c r="GKZ114" s="17"/>
      <c r="GLA114" s="17"/>
      <c r="GLB114" s="17"/>
      <c r="GLC114" s="17"/>
      <c r="GLD114" s="17"/>
      <c r="GLE114" s="17"/>
      <c r="GLF114" s="17"/>
      <c r="GLG114" s="17"/>
      <c r="GLH114" s="17"/>
      <c r="GLI114" s="17"/>
      <c r="GLJ114" s="17"/>
      <c r="GLK114" s="17"/>
      <c r="GLL114" s="17"/>
      <c r="GLM114" s="17"/>
      <c r="GLN114" s="17"/>
      <c r="GLO114" s="17"/>
      <c r="GLP114" s="17"/>
      <c r="GLQ114" s="17"/>
      <c r="GLR114" s="17"/>
      <c r="GLS114" s="17"/>
      <c r="GLT114" s="17"/>
      <c r="GLU114" s="17"/>
      <c r="GLV114" s="17"/>
      <c r="GLW114" s="17"/>
      <c r="GLX114" s="17"/>
      <c r="GLY114" s="17"/>
      <c r="GLZ114" s="17"/>
      <c r="GMA114" s="17"/>
      <c r="GMB114" s="17"/>
      <c r="GMC114" s="17"/>
      <c r="GMD114" s="17"/>
      <c r="GME114" s="17"/>
      <c r="GMF114" s="17"/>
      <c r="GMG114" s="17"/>
      <c r="GMH114" s="17"/>
      <c r="GMI114" s="17"/>
      <c r="GMJ114" s="17"/>
      <c r="GMK114" s="17"/>
      <c r="GML114" s="17"/>
      <c r="GMM114" s="17"/>
      <c r="GMN114" s="17"/>
      <c r="GMO114" s="17"/>
      <c r="GMP114" s="17"/>
      <c r="GMQ114" s="17"/>
      <c r="GMR114" s="17"/>
      <c r="GMS114" s="17"/>
      <c r="GMT114" s="17"/>
      <c r="GMU114" s="17"/>
      <c r="GMV114" s="17"/>
      <c r="GMW114" s="17"/>
      <c r="GMX114" s="17"/>
      <c r="GMY114" s="17"/>
      <c r="GMZ114" s="17"/>
      <c r="GNA114" s="17"/>
      <c r="GNB114" s="17"/>
      <c r="GNC114" s="17"/>
      <c r="GND114" s="17"/>
      <c r="GNE114" s="17"/>
      <c r="GNF114" s="17"/>
      <c r="GNG114" s="17"/>
      <c r="GNH114" s="17"/>
      <c r="GNI114" s="17"/>
      <c r="GNJ114" s="17"/>
      <c r="GNK114" s="17"/>
      <c r="GNL114" s="17"/>
      <c r="GNM114" s="17"/>
      <c r="GNN114" s="17"/>
      <c r="GNO114" s="17"/>
      <c r="GNP114" s="17"/>
      <c r="GNQ114" s="17"/>
      <c r="GNR114" s="17"/>
      <c r="GNS114" s="17"/>
      <c r="GNT114" s="17"/>
      <c r="GNU114" s="17"/>
      <c r="GNV114" s="17"/>
      <c r="GNW114" s="17"/>
      <c r="GNX114" s="17"/>
      <c r="GNY114" s="17"/>
      <c r="GNZ114" s="17"/>
      <c r="GOA114" s="17"/>
      <c r="GOB114" s="17"/>
      <c r="GOC114" s="17"/>
      <c r="GOD114" s="17"/>
      <c r="GOE114" s="17"/>
      <c r="GOF114" s="17"/>
      <c r="GOG114" s="17"/>
      <c r="GOH114" s="17"/>
      <c r="GOI114" s="17"/>
      <c r="GOJ114" s="17"/>
      <c r="GOK114" s="17"/>
      <c r="GOL114" s="17"/>
      <c r="GOM114" s="17"/>
      <c r="GON114" s="17"/>
      <c r="GOO114" s="17"/>
      <c r="GOP114" s="17"/>
      <c r="GOQ114" s="17"/>
      <c r="GOR114" s="17"/>
      <c r="GOS114" s="17"/>
      <c r="GOT114" s="17"/>
      <c r="GOU114" s="17"/>
      <c r="GOV114" s="17"/>
      <c r="GOW114" s="17"/>
      <c r="GOX114" s="17"/>
      <c r="GOY114" s="17"/>
      <c r="GOZ114" s="17"/>
      <c r="GPA114" s="17"/>
      <c r="GPB114" s="17"/>
      <c r="GPC114" s="17"/>
      <c r="GPD114" s="17"/>
      <c r="GPE114" s="17"/>
      <c r="GPF114" s="17"/>
      <c r="GPG114" s="17"/>
      <c r="GPH114" s="17"/>
      <c r="GPI114" s="17"/>
      <c r="GPJ114" s="17"/>
      <c r="GPK114" s="17"/>
      <c r="GPL114" s="17"/>
      <c r="GPM114" s="17"/>
      <c r="GPN114" s="17"/>
      <c r="GPO114" s="17"/>
      <c r="GPP114" s="17"/>
      <c r="GPQ114" s="17"/>
      <c r="GPR114" s="17"/>
      <c r="GPS114" s="17"/>
      <c r="GPT114" s="17"/>
      <c r="GPU114" s="17"/>
      <c r="GPV114" s="17"/>
      <c r="GPW114" s="17"/>
      <c r="GPX114" s="17"/>
      <c r="GPY114" s="17"/>
      <c r="GPZ114" s="17"/>
      <c r="GQA114" s="17"/>
      <c r="GQB114" s="17"/>
      <c r="GQC114" s="17"/>
      <c r="GQD114" s="17"/>
      <c r="GQE114" s="17"/>
      <c r="GQF114" s="17"/>
      <c r="GQG114" s="17"/>
      <c r="GQH114" s="17"/>
      <c r="GQI114" s="17"/>
      <c r="GQJ114" s="17"/>
      <c r="GQK114" s="17"/>
      <c r="GQL114" s="17"/>
      <c r="GQM114" s="17"/>
      <c r="GQN114" s="17"/>
      <c r="GQO114" s="17"/>
      <c r="GQP114" s="17"/>
      <c r="GQQ114" s="17"/>
      <c r="GQR114" s="17"/>
      <c r="GQS114" s="17"/>
      <c r="GQT114" s="17"/>
      <c r="GQU114" s="17"/>
      <c r="GQV114" s="17"/>
      <c r="GQW114" s="17"/>
      <c r="GQX114" s="17"/>
      <c r="GQY114" s="17"/>
      <c r="GQZ114" s="17"/>
      <c r="GRA114" s="17"/>
      <c r="GRB114" s="17"/>
      <c r="GRC114" s="17"/>
      <c r="GRD114" s="17"/>
      <c r="GRE114" s="17"/>
      <c r="GRF114" s="17"/>
      <c r="GRG114" s="17"/>
      <c r="GRH114" s="17"/>
      <c r="GRI114" s="17"/>
      <c r="GRJ114" s="17"/>
      <c r="GRK114" s="17"/>
      <c r="GRL114" s="17"/>
      <c r="GRM114" s="17"/>
      <c r="GRN114" s="17"/>
      <c r="GRO114" s="17"/>
      <c r="GRP114" s="17"/>
      <c r="GRQ114" s="17"/>
      <c r="GRR114" s="17"/>
      <c r="GRS114" s="17"/>
      <c r="GRT114" s="17"/>
      <c r="GRU114" s="17"/>
      <c r="GRV114" s="17"/>
      <c r="GRW114" s="17"/>
      <c r="GRX114" s="17"/>
      <c r="GRY114" s="17"/>
      <c r="GRZ114" s="17"/>
      <c r="GSA114" s="17"/>
      <c r="GSB114" s="17"/>
      <c r="GSC114" s="17"/>
      <c r="GSD114" s="17"/>
      <c r="GSE114" s="17"/>
      <c r="GSF114" s="17"/>
      <c r="GSG114" s="17"/>
      <c r="GSH114" s="17"/>
      <c r="GSI114" s="17"/>
      <c r="GSJ114" s="17"/>
      <c r="GSK114" s="17"/>
      <c r="GSL114" s="17"/>
      <c r="GSM114" s="17"/>
      <c r="GSN114" s="17"/>
      <c r="GSO114" s="17"/>
      <c r="GSP114" s="17"/>
      <c r="GSQ114" s="17"/>
      <c r="GSR114" s="17"/>
      <c r="GSS114" s="17"/>
      <c r="GST114" s="17"/>
      <c r="GSU114" s="17"/>
      <c r="GSV114" s="17"/>
      <c r="GSW114" s="17"/>
      <c r="GSX114" s="17"/>
      <c r="GSY114" s="17"/>
      <c r="GSZ114" s="17"/>
      <c r="GTA114" s="17"/>
      <c r="GTB114" s="17"/>
      <c r="GTC114" s="17"/>
      <c r="GTD114" s="17"/>
      <c r="GTE114" s="17"/>
      <c r="GTF114" s="17"/>
      <c r="GTG114" s="17"/>
      <c r="GTH114" s="17"/>
      <c r="GTI114" s="17"/>
      <c r="GTJ114" s="17"/>
      <c r="GTK114" s="17"/>
      <c r="GTL114" s="17"/>
      <c r="GTM114" s="17"/>
      <c r="GTN114" s="17"/>
      <c r="GTO114" s="17"/>
      <c r="GTP114" s="17"/>
      <c r="GTQ114" s="17"/>
      <c r="GTR114" s="17"/>
      <c r="GTS114" s="17"/>
      <c r="GTT114" s="17"/>
      <c r="GTU114" s="17"/>
      <c r="GTV114" s="17"/>
      <c r="GTW114" s="17"/>
      <c r="GTX114" s="17"/>
      <c r="GTY114" s="17"/>
      <c r="GTZ114" s="17"/>
      <c r="GUA114" s="17"/>
      <c r="GUB114" s="17"/>
      <c r="GUC114" s="17"/>
      <c r="GUD114" s="17"/>
      <c r="GUE114" s="17"/>
      <c r="GUF114" s="17"/>
      <c r="GUG114" s="17"/>
      <c r="GUH114" s="17"/>
      <c r="GUI114" s="17"/>
      <c r="GUJ114" s="17"/>
      <c r="GUK114" s="17"/>
      <c r="GUL114" s="17"/>
      <c r="GUM114" s="17"/>
      <c r="GUN114" s="17"/>
      <c r="GUO114" s="17"/>
      <c r="GUP114" s="17"/>
      <c r="GUQ114" s="17"/>
      <c r="GUR114" s="17"/>
      <c r="GUS114" s="17"/>
      <c r="GUT114" s="17"/>
      <c r="GUU114" s="17"/>
      <c r="GUV114" s="17"/>
      <c r="GUW114" s="17"/>
      <c r="GUX114" s="17"/>
      <c r="GUY114" s="17"/>
      <c r="GUZ114" s="17"/>
      <c r="GVA114" s="17"/>
      <c r="GVB114" s="17"/>
      <c r="GVC114" s="17"/>
      <c r="GVD114" s="17"/>
      <c r="GVE114" s="17"/>
      <c r="GVF114" s="17"/>
      <c r="GVG114" s="17"/>
      <c r="GVH114" s="17"/>
      <c r="GVI114" s="17"/>
      <c r="GVJ114" s="17"/>
      <c r="GVK114" s="17"/>
      <c r="GVL114" s="17"/>
      <c r="GVM114" s="17"/>
      <c r="GVN114" s="17"/>
      <c r="GVO114" s="17"/>
      <c r="GVP114" s="17"/>
      <c r="GVQ114" s="17"/>
      <c r="GVR114" s="17"/>
      <c r="GVS114" s="17"/>
      <c r="GVT114" s="17"/>
      <c r="GVU114" s="17"/>
      <c r="GVV114" s="17"/>
      <c r="GVW114" s="17"/>
      <c r="GVX114" s="17"/>
      <c r="GVY114" s="17"/>
      <c r="GVZ114" s="17"/>
      <c r="GWA114" s="17"/>
      <c r="GWB114" s="17"/>
      <c r="GWC114" s="17"/>
      <c r="GWD114" s="17"/>
      <c r="GWE114" s="17"/>
      <c r="GWF114" s="17"/>
      <c r="GWG114" s="17"/>
      <c r="GWH114" s="17"/>
      <c r="GWI114" s="17"/>
      <c r="GWJ114" s="17"/>
      <c r="GWK114" s="17"/>
      <c r="GWL114" s="17"/>
      <c r="GWM114" s="17"/>
      <c r="GWN114" s="17"/>
      <c r="GWO114" s="17"/>
      <c r="GWP114" s="17"/>
      <c r="GWQ114" s="17"/>
      <c r="GWR114" s="17"/>
      <c r="GWS114" s="17"/>
      <c r="GWT114" s="17"/>
      <c r="GWU114" s="17"/>
      <c r="GWV114" s="17"/>
      <c r="GWW114" s="17"/>
      <c r="GWX114" s="17"/>
      <c r="GWY114" s="17"/>
      <c r="GWZ114" s="17"/>
      <c r="GXA114" s="17"/>
      <c r="GXB114" s="17"/>
      <c r="GXC114" s="17"/>
      <c r="GXD114" s="17"/>
      <c r="GXE114" s="17"/>
      <c r="GXF114" s="17"/>
      <c r="GXG114" s="17"/>
      <c r="GXH114" s="17"/>
      <c r="GXI114" s="17"/>
      <c r="GXJ114" s="17"/>
      <c r="GXK114" s="17"/>
      <c r="GXL114" s="17"/>
      <c r="GXM114" s="17"/>
      <c r="GXN114" s="17"/>
      <c r="GXO114" s="17"/>
      <c r="GXP114" s="17"/>
      <c r="GXQ114" s="17"/>
      <c r="GXR114" s="17"/>
      <c r="GXS114" s="17"/>
      <c r="GXT114" s="17"/>
      <c r="GXU114" s="17"/>
      <c r="GXV114" s="17"/>
      <c r="GXW114" s="17"/>
      <c r="GXX114" s="17"/>
      <c r="GXY114" s="17"/>
      <c r="GXZ114" s="17"/>
      <c r="GYA114" s="17"/>
      <c r="GYB114" s="17"/>
      <c r="GYC114" s="17"/>
      <c r="GYD114" s="17"/>
      <c r="GYE114" s="17"/>
      <c r="GYF114" s="17"/>
      <c r="GYG114" s="17"/>
      <c r="GYH114" s="17"/>
      <c r="GYI114" s="17"/>
      <c r="GYJ114" s="17"/>
      <c r="GYK114" s="17"/>
      <c r="GYL114" s="17"/>
      <c r="GYM114" s="17"/>
      <c r="GYN114" s="17"/>
      <c r="GYO114" s="17"/>
      <c r="GYP114" s="17"/>
      <c r="GYQ114" s="17"/>
      <c r="GYR114" s="17"/>
      <c r="GYS114" s="17"/>
      <c r="GYT114" s="17"/>
      <c r="GYU114" s="17"/>
      <c r="GYV114" s="17"/>
      <c r="GYW114" s="17"/>
      <c r="GYX114" s="17"/>
      <c r="GYY114" s="17"/>
      <c r="GYZ114" s="17"/>
      <c r="GZA114" s="17"/>
      <c r="GZB114" s="17"/>
      <c r="GZC114" s="17"/>
      <c r="GZD114" s="17"/>
      <c r="GZE114" s="17"/>
      <c r="GZF114" s="17"/>
      <c r="GZG114" s="17"/>
      <c r="GZH114" s="17"/>
      <c r="GZI114" s="17"/>
      <c r="GZJ114" s="17"/>
      <c r="GZK114" s="17"/>
      <c r="GZL114" s="17"/>
      <c r="GZM114" s="17"/>
      <c r="GZN114" s="17"/>
      <c r="GZO114" s="17"/>
      <c r="GZP114" s="17"/>
      <c r="GZQ114" s="17"/>
      <c r="GZR114" s="17"/>
      <c r="GZS114" s="17"/>
      <c r="GZT114" s="17"/>
      <c r="GZU114" s="17"/>
      <c r="GZV114" s="17"/>
      <c r="GZW114" s="17"/>
      <c r="GZX114" s="17"/>
      <c r="GZY114" s="17"/>
      <c r="GZZ114" s="17"/>
      <c r="HAA114" s="17"/>
      <c r="HAB114" s="17"/>
      <c r="HAC114" s="17"/>
      <c r="HAD114" s="17"/>
      <c r="HAE114" s="17"/>
      <c r="HAF114" s="17"/>
      <c r="HAG114" s="17"/>
      <c r="HAH114" s="17"/>
      <c r="HAI114" s="17"/>
      <c r="HAJ114" s="17"/>
      <c r="HAK114" s="17"/>
      <c r="HAL114" s="17"/>
      <c r="HAM114" s="17"/>
      <c r="HAN114" s="17"/>
      <c r="HAO114" s="17"/>
      <c r="HAP114" s="17"/>
      <c r="HAQ114" s="17"/>
      <c r="HAR114" s="17"/>
      <c r="HAS114" s="17"/>
      <c r="HAT114" s="17"/>
      <c r="HAU114" s="17"/>
      <c r="HAV114" s="17"/>
      <c r="HAW114" s="17"/>
      <c r="HAX114" s="17"/>
      <c r="HAY114" s="17"/>
      <c r="HAZ114" s="17"/>
      <c r="HBA114" s="17"/>
      <c r="HBB114" s="17"/>
      <c r="HBC114" s="17"/>
      <c r="HBD114" s="17"/>
      <c r="HBE114" s="17"/>
      <c r="HBF114" s="17"/>
      <c r="HBG114" s="17"/>
      <c r="HBH114" s="17"/>
      <c r="HBI114" s="17"/>
      <c r="HBJ114" s="17"/>
      <c r="HBK114" s="17"/>
      <c r="HBL114" s="17"/>
      <c r="HBM114" s="17"/>
      <c r="HBN114" s="17"/>
      <c r="HBO114" s="17"/>
      <c r="HBP114" s="17"/>
      <c r="HBQ114" s="17"/>
      <c r="HBR114" s="17"/>
      <c r="HBS114" s="17"/>
      <c r="HBT114" s="17"/>
      <c r="HBU114" s="17"/>
      <c r="HBV114" s="17"/>
      <c r="HBW114" s="17"/>
      <c r="HBX114" s="17"/>
      <c r="HBY114" s="17"/>
      <c r="HBZ114" s="17"/>
      <c r="HCA114" s="17"/>
      <c r="HCB114" s="17"/>
      <c r="HCC114" s="17"/>
      <c r="HCD114" s="17"/>
      <c r="HCE114" s="17"/>
      <c r="HCF114" s="17"/>
      <c r="HCG114" s="17"/>
      <c r="HCH114" s="17"/>
      <c r="HCI114" s="17"/>
      <c r="HCJ114" s="17"/>
      <c r="HCK114" s="17"/>
      <c r="HCL114" s="17"/>
      <c r="HCM114" s="17"/>
      <c r="HCN114" s="17"/>
      <c r="HCO114" s="17"/>
      <c r="HCP114" s="17"/>
      <c r="HCQ114" s="17"/>
      <c r="HCR114" s="17"/>
      <c r="HCS114" s="17"/>
      <c r="HCT114" s="17"/>
      <c r="HCU114" s="17"/>
      <c r="HCV114" s="17"/>
      <c r="HCW114" s="17"/>
      <c r="HCX114" s="17"/>
      <c r="HCY114" s="17"/>
      <c r="HCZ114" s="17"/>
      <c r="HDA114" s="17"/>
      <c r="HDB114" s="17"/>
      <c r="HDC114" s="17"/>
      <c r="HDD114" s="17"/>
      <c r="HDE114" s="17"/>
      <c r="HDF114" s="17"/>
      <c r="HDG114" s="17"/>
      <c r="HDH114" s="17"/>
      <c r="HDI114" s="17"/>
      <c r="HDJ114" s="17"/>
      <c r="HDK114" s="17"/>
      <c r="HDL114" s="17"/>
      <c r="HDM114" s="17"/>
      <c r="HDN114" s="17"/>
      <c r="HDO114" s="17"/>
      <c r="HDP114" s="17"/>
      <c r="HDQ114" s="17"/>
      <c r="HDR114" s="17"/>
      <c r="HDS114" s="17"/>
      <c r="HDT114" s="17"/>
      <c r="HDU114" s="17"/>
      <c r="HDV114" s="17"/>
      <c r="HDW114" s="17"/>
      <c r="HDX114" s="17"/>
      <c r="HDY114" s="17"/>
      <c r="HDZ114" s="17"/>
      <c r="HEA114" s="17"/>
      <c r="HEB114" s="17"/>
      <c r="HEC114" s="17"/>
      <c r="HED114" s="17"/>
      <c r="HEE114" s="17"/>
      <c r="HEF114" s="17"/>
      <c r="HEG114" s="17"/>
      <c r="HEH114" s="17"/>
      <c r="HEI114" s="17"/>
      <c r="HEJ114" s="17"/>
      <c r="HEK114" s="17"/>
      <c r="HEL114" s="17"/>
      <c r="HEM114" s="17"/>
      <c r="HEN114" s="17"/>
      <c r="HEO114" s="17"/>
      <c r="HEP114" s="17"/>
      <c r="HEQ114" s="17"/>
      <c r="HER114" s="17"/>
      <c r="HES114" s="17"/>
      <c r="HET114" s="17"/>
      <c r="HEU114" s="17"/>
      <c r="HEV114" s="17"/>
      <c r="HEW114" s="17"/>
      <c r="HEX114" s="17"/>
      <c r="HEY114" s="17"/>
      <c r="HEZ114" s="17"/>
      <c r="HFA114" s="17"/>
      <c r="HFB114" s="17"/>
      <c r="HFC114" s="17"/>
      <c r="HFD114" s="17"/>
      <c r="HFE114" s="17"/>
      <c r="HFF114" s="17"/>
      <c r="HFG114" s="17"/>
      <c r="HFH114" s="17"/>
      <c r="HFI114" s="17"/>
      <c r="HFJ114" s="17"/>
      <c r="HFK114" s="17"/>
      <c r="HFL114" s="17"/>
      <c r="HFM114" s="17"/>
      <c r="HFN114" s="17"/>
      <c r="HFO114" s="17"/>
      <c r="HFP114" s="17"/>
      <c r="HFQ114" s="17"/>
      <c r="HFR114" s="17"/>
      <c r="HFS114" s="17"/>
      <c r="HFT114" s="17"/>
      <c r="HFU114" s="17"/>
      <c r="HFV114" s="17"/>
      <c r="HFW114" s="17"/>
      <c r="HFX114" s="17"/>
      <c r="HFY114" s="17"/>
      <c r="HFZ114" s="17"/>
      <c r="HGA114" s="17"/>
      <c r="HGB114" s="17"/>
      <c r="HGC114" s="17"/>
      <c r="HGD114" s="17"/>
      <c r="HGE114" s="17"/>
      <c r="HGF114" s="17"/>
      <c r="HGG114" s="17"/>
      <c r="HGH114" s="17"/>
      <c r="HGI114" s="17"/>
      <c r="HGJ114" s="17"/>
      <c r="HGK114" s="17"/>
      <c r="HGL114" s="17"/>
      <c r="HGM114" s="17"/>
      <c r="HGN114" s="17"/>
      <c r="HGO114" s="17"/>
      <c r="HGP114" s="17"/>
      <c r="HGQ114" s="17"/>
      <c r="HGR114" s="17"/>
      <c r="HGS114" s="17"/>
      <c r="HGT114" s="17"/>
      <c r="HGU114" s="17"/>
      <c r="HGV114" s="17"/>
      <c r="HGW114" s="17"/>
      <c r="HGX114" s="17"/>
      <c r="HGY114" s="17"/>
      <c r="HGZ114" s="17"/>
      <c r="HHA114" s="17"/>
      <c r="HHB114" s="17"/>
      <c r="HHC114" s="17"/>
      <c r="HHD114" s="17"/>
      <c r="HHE114" s="17"/>
      <c r="HHF114" s="17"/>
      <c r="HHG114" s="17"/>
      <c r="HHH114" s="17"/>
      <c r="HHI114" s="17"/>
      <c r="HHJ114" s="17"/>
      <c r="HHK114" s="17"/>
      <c r="HHL114" s="17"/>
      <c r="HHM114" s="17"/>
      <c r="HHN114" s="17"/>
      <c r="HHO114" s="17"/>
      <c r="HHP114" s="17"/>
      <c r="HHQ114" s="17"/>
      <c r="HHR114" s="17"/>
      <c r="HHS114" s="17"/>
      <c r="HHT114" s="17"/>
      <c r="HHU114" s="17"/>
      <c r="HHV114" s="17"/>
      <c r="HHW114" s="17"/>
      <c r="HHX114" s="17"/>
      <c r="HHY114" s="17"/>
      <c r="HHZ114" s="17"/>
      <c r="HIA114" s="17"/>
      <c r="HIB114" s="17"/>
      <c r="HIC114" s="17"/>
      <c r="HID114" s="17"/>
      <c r="HIE114" s="17"/>
      <c r="HIF114" s="17"/>
      <c r="HIG114" s="17"/>
      <c r="HIH114" s="17"/>
      <c r="HII114" s="17"/>
      <c r="HIJ114" s="17"/>
      <c r="HIK114" s="17"/>
      <c r="HIL114" s="17"/>
      <c r="HIM114" s="17"/>
      <c r="HIN114" s="17"/>
      <c r="HIO114" s="17"/>
      <c r="HIP114" s="17"/>
      <c r="HIQ114" s="17"/>
      <c r="HIR114" s="17"/>
      <c r="HIS114" s="17"/>
      <c r="HIT114" s="17"/>
      <c r="HIU114" s="17"/>
      <c r="HIV114" s="17"/>
      <c r="HIW114" s="17"/>
      <c r="HIX114" s="17"/>
      <c r="HIY114" s="17"/>
      <c r="HIZ114" s="17"/>
      <c r="HJA114" s="17"/>
      <c r="HJB114" s="17"/>
      <c r="HJC114" s="17"/>
      <c r="HJD114" s="17"/>
      <c r="HJE114" s="17"/>
      <c r="HJF114" s="17"/>
      <c r="HJG114" s="17"/>
      <c r="HJH114" s="17"/>
      <c r="HJI114" s="17"/>
      <c r="HJJ114" s="17"/>
      <c r="HJK114" s="17"/>
      <c r="HJL114" s="17"/>
      <c r="HJM114" s="17"/>
      <c r="HJN114" s="17"/>
      <c r="HJO114" s="17"/>
      <c r="HJP114" s="17"/>
      <c r="HJQ114" s="17"/>
      <c r="HJR114" s="17"/>
      <c r="HJS114" s="17"/>
      <c r="HJT114" s="17"/>
      <c r="HJU114" s="17"/>
      <c r="HJV114" s="17"/>
      <c r="HJW114" s="17"/>
      <c r="HJX114" s="17"/>
      <c r="HJY114" s="17"/>
      <c r="HJZ114" s="17"/>
      <c r="HKA114" s="17"/>
      <c r="HKB114" s="17"/>
      <c r="HKC114" s="17"/>
      <c r="HKD114" s="17"/>
      <c r="HKE114" s="17"/>
      <c r="HKF114" s="17"/>
      <c r="HKG114" s="17"/>
      <c r="HKH114" s="17"/>
      <c r="HKI114" s="17"/>
      <c r="HKJ114" s="17"/>
      <c r="HKK114" s="17"/>
      <c r="HKL114" s="17"/>
      <c r="HKM114" s="17"/>
      <c r="HKN114" s="17"/>
      <c r="HKO114" s="17"/>
      <c r="HKP114" s="17"/>
      <c r="HKQ114" s="17"/>
      <c r="HKR114" s="17"/>
      <c r="HKS114" s="17"/>
      <c r="HKT114" s="17"/>
      <c r="HKU114" s="17"/>
      <c r="HKV114" s="17"/>
      <c r="HKW114" s="17"/>
      <c r="HKX114" s="17"/>
      <c r="HKY114" s="17"/>
      <c r="HKZ114" s="17"/>
      <c r="HLA114" s="17"/>
      <c r="HLB114" s="17"/>
      <c r="HLC114" s="17"/>
      <c r="HLD114" s="17"/>
      <c r="HLE114" s="17"/>
      <c r="HLF114" s="17"/>
      <c r="HLG114" s="17"/>
      <c r="HLH114" s="17"/>
      <c r="HLI114" s="17"/>
      <c r="HLJ114" s="17"/>
      <c r="HLK114" s="17"/>
      <c r="HLL114" s="17"/>
      <c r="HLM114" s="17"/>
      <c r="HLN114" s="17"/>
      <c r="HLO114" s="17"/>
      <c r="HLP114" s="17"/>
      <c r="HLQ114" s="17"/>
      <c r="HLR114" s="17"/>
      <c r="HLS114" s="17"/>
      <c r="HLT114" s="17"/>
      <c r="HLU114" s="17"/>
      <c r="HLV114" s="17"/>
      <c r="HLW114" s="17"/>
      <c r="HLX114" s="17"/>
      <c r="HLY114" s="17"/>
      <c r="HLZ114" s="17"/>
      <c r="HMA114" s="17"/>
      <c r="HMB114" s="17"/>
      <c r="HMC114" s="17"/>
      <c r="HMD114" s="17"/>
      <c r="HME114" s="17"/>
      <c r="HMF114" s="17"/>
      <c r="HMG114" s="17"/>
      <c r="HMH114" s="17"/>
      <c r="HMI114" s="17"/>
      <c r="HMJ114" s="17"/>
      <c r="HMK114" s="17"/>
      <c r="HML114" s="17"/>
      <c r="HMM114" s="17"/>
      <c r="HMN114" s="17"/>
      <c r="HMO114" s="17"/>
      <c r="HMP114" s="17"/>
      <c r="HMQ114" s="17"/>
      <c r="HMR114" s="17"/>
      <c r="HMS114" s="17"/>
      <c r="HMT114" s="17"/>
      <c r="HMU114" s="17"/>
      <c r="HMV114" s="17"/>
      <c r="HMW114" s="17"/>
      <c r="HMX114" s="17"/>
      <c r="HMY114" s="17"/>
      <c r="HMZ114" s="17"/>
      <c r="HNA114" s="17"/>
      <c r="HNB114" s="17"/>
      <c r="HNC114" s="17"/>
      <c r="HND114" s="17"/>
      <c r="HNE114" s="17"/>
      <c r="HNF114" s="17"/>
      <c r="HNG114" s="17"/>
      <c r="HNH114" s="17"/>
      <c r="HNI114" s="17"/>
      <c r="HNJ114" s="17"/>
      <c r="HNK114" s="17"/>
      <c r="HNL114" s="17"/>
      <c r="HNM114" s="17"/>
      <c r="HNN114" s="17"/>
      <c r="HNO114" s="17"/>
      <c r="HNP114" s="17"/>
      <c r="HNQ114" s="17"/>
      <c r="HNR114" s="17"/>
      <c r="HNS114" s="17"/>
      <c r="HNT114" s="17"/>
      <c r="HNU114" s="17"/>
      <c r="HNV114" s="17"/>
      <c r="HNW114" s="17"/>
      <c r="HNX114" s="17"/>
      <c r="HNY114" s="17"/>
      <c r="HNZ114" s="17"/>
      <c r="HOA114" s="17"/>
      <c r="HOB114" s="17"/>
      <c r="HOC114" s="17"/>
      <c r="HOD114" s="17"/>
      <c r="HOE114" s="17"/>
      <c r="HOF114" s="17"/>
      <c r="HOG114" s="17"/>
      <c r="HOH114" s="17"/>
      <c r="HOI114" s="17"/>
      <c r="HOJ114" s="17"/>
      <c r="HOK114" s="17"/>
      <c r="HOL114" s="17"/>
      <c r="HOM114" s="17"/>
      <c r="HON114" s="17"/>
      <c r="HOO114" s="17"/>
      <c r="HOP114" s="17"/>
      <c r="HOQ114" s="17"/>
      <c r="HOR114" s="17"/>
      <c r="HOS114" s="17"/>
      <c r="HOT114" s="17"/>
      <c r="HOU114" s="17"/>
      <c r="HOV114" s="17"/>
      <c r="HOW114" s="17"/>
      <c r="HOX114" s="17"/>
      <c r="HOY114" s="17"/>
      <c r="HOZ114" s="17"/>
      <c r="HPA114" s="17"/>
      <c r="HPB114" s="17"/>
      <c r="HPC114" s="17"/>
      <c r="HPD114" s="17"/>
      <c r="HPE114" s="17"/>
      <c r="HPF114" s="17"/>
      <c r="HPG114" s="17"/>
      <c r="HPH114" s="17"/>
      <c r="HPI114" s="17"/>
      <c r="HPJ114" s="17"/>
      <c r="HPK114" s="17"/>
      <c r="HPL114" s="17"/>
      <c r="HPM114" s="17"/>
      <c r="HPN114" s="17"/>
      <c r="HPO114" s="17"/>
      <c r="HPP114" s="17"/>
      <c r="HPQ114" s="17"/>
      <c r="HPR114" s="17"/>
      <c r="HPS114" s="17"/>
      <c r="HPT114" s="17"/>
      <c r="HPU114" s="17"/>
      <c r="HPV114" s="17"/>
      <c r="HPW114" s="17"/>
      <c r="HPX114" s="17"/>
      <c r="HPY114" s="17"/>
      <c r="HPZ114" s="17"/>
      <c r="HQA114" s="17"/>
      <c r="HQB114" s="17"/>
      <c r="HQC114" s="17"/>
      <c r="HQD114" s="17"/>
      <c r="HQE114" s="17"/>
      <c r="HQF114" s="17"/>
      <c r="HQG114" s="17"/>
      <c r="HQH114" s="17"/>
      <c r="HQI114" s="17"/>
      <c r="HQJ114" s="17"/>
      <c r="HQK114" s="17"/>
      <c r="HQL114" s="17"/>
      <c r="HQM114" s="17"/>
      <c r="HQN114" s="17"/>
      <c r="HQO114" s="17"/>
      <c r="HQP114" s="17"/>
      <c r="HQQ114" s="17"/>
      <c r="HQR114" s="17"/>
      <c r="HQS114" s="17"/>
      <c r="HQT114" s="17"/>
      <c r="HQU114" s="17"/>
      <c r="HQV114" s="17"/>
      <c r="HQW114" s="17"/>
      <c r="HQX114" s="17"/>
      <c r="HQY114" s="17"/>
      <c r="HQZ114" s="17"/>
      <c r="HRA114" s="17"/>
      <c r="HRB114" s="17"/>
      <c r="HRC114" s="17"/>
      <c r="HRD114" s="17"/>
      <c r="HRE114" s="17"/>
      <c r="HRF114" s="17"/>
      <c r="HRG114" s="17"/>
      <c r="HRH114" s="17"/>
      <c r="HRI114" s="17"/>
      <c r="HRJ114" s="17"/>
      <c r="HRK114" s="17"/>
      <c r="HRL114" s="17"/>
      <c r="HRM114" s="17"/>
      <c r="HRN114" s="17"/>
      <c r="HRO114" s="17"/>
      <c r="HRP114" s="17"/>
      <c r="HRQ114" s="17"/>
      <c r="HRR114" s="17"/>
      <c r="HRS114" s="17"/>
      <c r="HRT114" s="17"/>
      <c r="HRU114" s="17"/>
      <c r="HRV114" s="17"/>
      <c r="HRW114" s="17"/>
      <c r="HRX114" s="17"/>
      <c r="HRY114" s="17"/>
      <c r="HRZ114" s="17"/>
      <c r="HSA114" s="17"/>
      <c r="HSB114" s="17"/>
      <c r="HSC114" s="17"/>
      <c r="HSD114" s="17"/>
      <c r="HSE114" s="17"/>
      <c r="HSF114" s="17"/>
      <c r="HSG114" s="17"/>
      <c r="HSH114" s="17"/>
      <c r="HSI114" s="17"/>
      <c r="HSJ114" s="17"/>
      <c r="HSK114" s="17"/>
      <c r="HSL114" s="17"/>
      <c r="HSM114" s="17"/>
      <c r="HSN114" s="17"/>
      <c r="HSO114" s="17"/>
      <c r="HSP114" s="17"/>
      <c r="HSQ114" s="17"/>
      <c r="HSR114" s="17"/>
      <c r="HSS114" s="17"/>
      <c r="HST114" s="17"/>
      <c r="HSU114" s="17"/>
      <c r="HSV114" s="17"/>
      <c r="HSW114" s="17"/>
      <c r="HSX114" s="17"/>
      <c r="HSY114" s="17"/>
      <c r="HSZ114" s="17"/>
      <c r="HTA114" s="17"/>
      <c r="HTB114" s="17"/>
      <c r="HTC114" s="17"/>
      <c r="HTD114" s="17"/>
      <c r="HTE114" s="17"/>
      <c r="HTF114" s="17"/>
      <c r="HTG114" s="17"/>
      <c r="HTH114" s="17"/>
      <c r="HTI114" s="17"/>
      <c r="HTJ114" s="17"/>
      <c r="HTK114" s="17"/>
      <c r="HTL114" s="17"/>
      <c r="HTM114" s="17"/>
      <c r="HTN114" s="17"/>
      <c r="HTO114" s="17"/>
      <c r="HTP114" s="17"/>
      <c r="HTQ114" s="17"/>
      <c r="HTR114" s="17"/>
      <c r="HTS114" s="17"/>
      <c r="HTT114" s="17"/>
      <c r="HTU114" s="17"/>
      <c r="HTV114" s="17"/>
      <c r="HTW114" s="17"/>
      <c r="HTX114" s="17"/>
      <c r="HTY114" s="17"/>
      <c r="HTZ114" s="17"/>
      <c r="HUA114" s="17"/>
      <c r="HUB114" s="17"/>
      <c r="HUC114" s="17"/>
      <c r="HUD114" s="17"/>
      <c r="HUE114" s="17"/>
      <c r="HUF114" s="17"/>
      <c r="HUG114" s="17"/>
      <c r="HUH114" s="17"/>
      <c r="HUI114" s="17"/>
      <c r="HUJ114" s="17"/>
      <c r="HUK114" s="17"/>
      <c r="HUL114" s="17"/>
      <c r="HUM114" s="17"/>
      <c r="HUN114" s="17"/>
      <c r="HUO114" s="17"/>
      <c r="HUP114" s="17"/>
      <c r="HUQ114" s="17"/>
      <c r="HUR114" s="17"/>
      <c r="HUS114" s="17"/>
      <c r="HUT114" s="17"/>
      <c r="HUU114" s="17"/>
      <c r="HUV114" s="17"/>
      <c r="HUW114" s="17"/>
      <c r="HUX114" s="17"/>
      <c r="HUY114" s="17"/>
      <c r="HUZ114" s="17"/>
      <c r="HVA114" s="17"/>
      <c r="HVB114" s="17"/>
      <c r="HVC114" s="17"/>
      <c r="HVD114" s="17"/>
      <c r="HVE114" s="17"/>
      <c r="HVF114" s="17"/>
      <c r="HVG114" s="17"/>
      <c r="HVH114" s="17"/>
      <c r="HVI114" s="17"/>
      <c r="HVJ114" s="17"/>
      <c r="HVK114" s="17"/>
      <c r="HVL114" s="17"/>
      <c r="HVM114" s="17"/>
      <c r="HVN114" s="17"/>
      <c r="HVO114" s="17"/>
      <c r="HVP114" s="17"/>
      <c r="HVQ114" s="17"/>
      <c r="HVR114" s="17"/>
      <c r="HVS114" s="17"/>
      <c r="HVT114" s="17"/>
      <c r="HVU114" s="17"/>
      <c r="HVV114" s="17"/>
      <c r="HVW114" s="17"/>
      <c r="HVX114" s="17"/>
      <c r="HVY114" s="17"/>
      <c r="HVZ114" s="17"/>
      <c r="HWA114" s="17"/>
      <c r="HWB114" s="17"/>
      <c r="HWC114" s="17"/>
      <c r="HWD114" s="17"/>
      <c r="HWE114" s="17"/>
      <c r="HWF114" s="17"/>
      <c r="HWG114" s="17"/>
      <c r="HWH114" s="17"/>
      <c r="HWI114" s="17"/>
      <c r="HWJ114" s="17"/>
      <c r="HWK114" s="17"/>
      <c r="HWL114" s="17"/>
      <c r="HWM114" s="17"/>
      <c r="HWN114" s="17"/>
      <c r="HWO114" s="17"/>
      <c r="HWP114" s="17"/>
      <c r="HWQ114" s="17"/>
      <c r="HWR114" s="17"/>
      <c r="HWS114" s="17"/>
      <c r="HWT114" s="17"/>
      <c r="HWU114" s="17"/>
      <c r="HWV114" s="17"/>
      <c r="HWW114" s="17"/>
      <c r="HWX114" s="17"/>
      <c r="HWY114" s="17"/>
      <c r="HWZ114" s="17"/>
      <c r="HXA114" s="17"/>
      <c r="HXB114" s="17"/>
      <c r="HXC114" s="17"/>
      <c r="HXD114" s="17"/>
      <c r="HXE114" s="17"/>
      <c r="HXF114" s="17"/>
      <c r="HXG114" s="17"/>
      <c r="HXH114" s="17"/>
      <c r="HXI114" s="17"/>
      <c r="HXJ114" s="17"/>
      <c r="HXK114" s="17"/>
      <c r="HXL114" s="17"/>
      <c r="HXM114" s="17"/>
      <c r="HXN114" s="17"/>
      <c r="HXO114" s="17"/>
      <c r="HXP114" s="17"/>
      <c r="HXQ114" s="17"/>
      <c r="HXR114" s="17"/>
      <c r="HXS114" s="17"/>
      <c r="HXT114" s="17"/>
      <c r="HXU114" s="17"/>
      <c r="HXV114" s="17"/>
      <c r="HXW114" s="17"/>
      <c r="HXX114" s="17"/>
      <c r="HXY114" s="17"/>
      <c r="HXZ114" s="17"/>
      <c r="HYA114" s="17"/>
      <c r="HYB114" s="17"/>
      <c r="HYC114" s="17"/>
      <c r="HYD114" s="17"/>
      <c r="HYE114" s="17"/>
      <c r="HYF114" s="17"/>
      <c r="HYG114" s="17"/>
      <c r="HYH114" s="17"/>
      <c r="HYI114" s="17"/>
      <c r="HYJ114" s="17"/>
      <c r="HYK114" s="17"/>
      <c r="HYL114" s="17"/>
      <c r="HYM114" s="17"/>
      <c r="HYN114" s="17"/>
      <c r="HYO114" s="17"/>
      <c r="HYP114" s="17"/>
      <c r="HYQ114" s="17"/>
      <c r="HYR114" s="17"/>
      <c r="HYS114" s="17"/>
      <c r="HYT114" s="17"/>
      <c r="HYU114" s="17"/>
      <c r="HYV114" s="17"/>
      <c r="HYW114" s="17"/>
      <c r="HYX114" s="17"/>
      <c r="HYY114" s="17"/>
      <c r="HYZ114" s="17"/>
      <c r="HZA114" s="17"/>
      <c r="HZB114" s="17"/>
      <c r="HZC114" s="17"/>
      <c r="HZD114" s="17"/>
      <c r="HZE114" s="17"/>
      <c r="HZF114" s="17"/>
      <c r="HZG114" s="17"/>
      <c r="HZH114" s="17"/>
      <c r="HZI114" s="17"/>
      <c r="HZJ114" s="17"/>
      <c r="HZK114" s="17"/>
      <c r="HZL114" s="17"/>
      <c r="HZM114" s="17"/>
      <c r="HZN114" s="17"/>
      <c r="HZO114" s="17"/>
      <c r="HZP114" s="17"/>
      <c r="HZQ114" s="17"/>
      <c r="HZR114" s="17"/>
      <c r="HZS114" s="17"/>
      <c r="HZT114" s="17"/>
      <c r="HZU114" s="17"/>
      <c r="HZV114" s="17"/>
      <c r="HZW114" s="17"/>
      <c r="HZX114" s="17"/>
      <c r="HZY114" s="17"/>
      <c r="HZZ114" s="17"/>
      <c r="IAA114" s="17"/>
      <c r="IAB114" s="17"/>
      <c r="IAC114" s="17"/>
      <c r="IAD114" s="17"/>
      <c r="IAE114" s="17"/>
      <c r="IAF114" s="17"/>
      <c r="IAG114" s="17"/>
      <c r="IAH114" s="17"/>
      <c r="IAI114" s="17"/>
      <c r="IAJ114" s="17"/>
      <c r="IAK114" s="17"/>
      <c r="IAL114" s="17"/>
      <c r="IAM114" s="17"/>
      <c r="IAN114" s="17"/>
      <c r="IAO114" s="17"/>
      <c r="IAP114" s="17"/>
      <c r="IAQ114" s="17"/>
      <c r="IAR114" s="17"/>
      <c r="IAS114" s="17"/>
      <c r="IAT114" s="17"/>
      <c r="IAU114" s="17"/>
      <c r="IAV114" s="17"/>
      <c r="IAW114" s="17"/>
      <c r="IAX114" s="17"/>
      <c r="IAY114" s="17"/>
      <c r="IAZ114" s="17"/>
      <c r="IBA114" s="17"/>
      <c r="IBB114" s="17"/>
      <c r="IBC114" s="17"/>
      <c r="IBD114" s="17"/>
      <c r="IBE114" s="17"/>
      <c r="IBF114" s="17"/>
      <c r="IBG114" s="17"/>
      <c r="IBH114" s="17"/>
      <c r="IBI114" s="17"/>
      <c r="IBJ114" s="17"/>
      <c r="IBK114" s="17"/>
      <c r="IBL114" s="17"/>
      <c r="IBM114" s="17"/>
      <c r="IBN114" s="17"/>
      <c r="IBO114" s="17"/>
      <c r="IBP114" s="17"/>
      <c r="IBQ114" s="17"/>
      <c r="IBR114" s="17"/>
      <c r="IBS114" s="17"/>
      <c r="IBT114" s="17"/>
      <c r="IBU114" s="17"/>
      <c r="IBV114" s="17"/>
      <c r="IBW114" s="17"/>
      <c r="IBX114" s="17"/>
      <c r="IBY114" s="17"/>
      <c r="IBZ114" s="17"/>
      <c r="ICA114" s="17"/>
      <c r="ICB114" s="17"/>
      <c r="ICC114" s="17"/>
      <c r="ICD114" s="17"/>
      <c r="ICE114" s="17"/>
      <c r="ICF114" s="17"/>
      <c r="ICG114" s="17"/>
      <c r="ICH114" s="17"/>
      <c r="ICI114" s="17"/>
      <c r="ICJ114" s="17"/>
      <c r="ICK114" s="17"/>
      <c r="ICL114" s="17"/>
      <c r="ICM114" s="17"/>
      <c r="ICN114" s="17"/>
      <c r="ICO114" s="17"/>
      <c r="ICP114" s="17"/>
      <c r="ICQ114" s="17"/>
      <c r="ICR114" s="17"/>
      <c r="ICS114" s="17"/>
      <c r="ICT114" s="17"/>
      <c r="ICU114" s="17"/>
      <c r="ICV114" s="17"/>
      <c r="ICW114" s="17"/>
      <c r="ICX114" s="17"/>
      <c r="ICY114" s="17"/>
      <c r="ICZ114" s="17"/>
      <c r="IDA114" s="17"/>
      <c r="IDB114" s="17"/>
      <c r="IDC114" s="17"/>
      <c r="IDD114" s="17"/>
      <c r="IDE114" s="17"/>
      <c r="IDF114" s="17"/>
      <c r="IDG114" s="17"/>
      <c r="IDH114" s="17"/>
      <c r="IDI114" s="17"/>
      <c r="IDJ114" s="17"/>
      <c r="IDK114" s="17"/>
      <c r="IDL114" s="17"/>
      <c r="IDM114" s="17"/>
      <c r="IDN114" s="17"/>
      <c r="IDO114" s="17"/>
      <c r="IDP114" s="17"/>
      <c r="IDQ114" s="17"/>
      <c r="IDR114" s="17"/>
      <c r="IDS114" s="17"/>
      <c r="IDT114" s="17"/>
      <c r="IDU114" s="17"/>
      <c r="IDV114" s="17"/>
      <c r="IDW114" s="17"/>
      <c r="IDX114" s="17"/>
      <c r="IDY114" s="17"/>
      <c r="IDZ114" s="17"/>
      <c r="IEA114" s="17"/>
      <c r="IEB114" s="17"/>
      <c r="IEC114" s="17"/>
      <c r="IED114" s="17"/>
      <c r="IEE114" s="17"/>
      <c r="IEF114" s="17"/>
      <c r="IEG114" s="17"/>
      <c r="IEH114" s="17"/>
      <c r="IEI114" s="17"/>
      <c r="IEJ114" s="17"/>
      <c r="IEK114" s="17"/>
      <c r="IEL114" s="17"/>
      <c r="IEM114" s="17"/>
      <c r="IEN114" s="17"/>
      <c r="IEO114" s="17"/>
      <c r="IEP114" s="17"/>
      <c r="IEQ114" s="17"/>
      <c r="IER114" s="17"/>
      <c r="IES114" s="17"/>
      <c r="IET114" s="17"/>
      <c r="IEU114" s="17"/>
      <c r="IEV114" s="17"/>
      <c r="IEW114" s="17"/>
      <c r="IEX114" s="17"/>
      <c r="IEY114" s="17"/>
      <c r="IEZ114" s="17"/>
      <c r="IFA114" s="17"/>
      <c r="IFB114" s="17"/>
      <c r="IFC114" s="17"/>
      <c r="IFD114" s="17"/>
      <c r="IFE114" s="17"/>
      <c r="IFF114" s="17"/>
      <c r="IFG114" s="17"/>
      <c r="IFH114" s="17"/>
      <c r="IFI114" s="17"/>
      <c r="IFJ114" s="17"/>
      <c r="IFK114" s="17"/>
      <c r="IFL114" s="17"/>
      <c r="IFM114" s="17"/>
      <c r="IFN114" s="17"/>
      <c r="IFO114" s="17"/>
      <c r="IFP114" s="17"/>
      <c r="IFQ114" s="17"/>
      <c r="IFR114" s="17"/>
      <c r="IFS114" s="17"/>
      <c r="IFT114" s="17"/>
      <c r="IFU114" s="17"/>
      <c r="IFV114" s="17"/>
      <c r="IFW114" s="17"/>
      <c r="IFX114" s="17"/>
      <c r="IFY114" s="17"/>
      <c r="IFZ114" s="17"/>
      <c r="IGA114" s="17"/>
      <c r="IGB114" s="17"/>
      <c r="IGC114" s="17"/>
      <c r="IGD114" s="17"/>
      <c r="IGE114" s="17"/>
      <c r="IGF114" s="17"/>
      <c r="IGG114" s="17"/>
      <c r="IGH114" s="17"/>
      <c r="IGI114" s="17"/>
      <c r="IGJ114" s="17"/>
      <c r="IGK114" s="17"/>
      <c r="IGL114" s="17"/>
      <c r="IGM114" s="17"/>
      <c r="IGN114" s="17"/>
      <c r="IGO114" s="17"/>
      <c r="IGP114" s="17"/>
      <c r="IGQ114" s="17"/>
      <c r="IGR114" s="17"/>
      <c r="IGS114" s="17"/>
      <c r="IGT114" s="17"/>
      <c r="IGU114" s="17"/>
      <c r="IGV114" s="17"/>
      <c r="IGW114" s="17"/>
      <c r="IGX114" s="17"/>
      <c r="IGY114" s="17"/>
      <c r="IGZ114" s="17"/>
      <c r="IHA114" s="17"/>
      <c r="IHB114" s="17"/>
      <c r="IHC114" s="17"/>
      <c r="IHD114" s="17"/>
      <c r="IHE114" s="17"/>
      <c r="IHF114" s="17"/>
      <c r="IHG114" s="17"/>
      <c r="IHH114" s="17"/>
      <c r="IHI114" s="17"/>
      <c r="IHJ114" s="17"/>
      <c r="IHK114" s="17"/>
      <c r="IHL114" s="17"/>
      <c r="IHM114" s="17"/>
      <c r="IHN114" s="17"/>
      <c r="IHO114" s="17"/>
      <c r="IHP114" s="17"/>
      <c r="IHQ114" s="17"/>
      <c r="IHR114" s="17"/>
      <c r="IHS114" s="17"/>
      <c r="IHT114" s="17"/>
      <c r="IHU114" s="17"/>
      <c r="IHV114" s="17"/>
      <c r="IHW114" s="17"/>
      <c r="IHX114" s="17"/>
      <c r="IHY114" s="17"/>
      <c r="IHZ114" s="17"/>
      <c r="IIA114" s="17"/>
      <c r="IIB114" s="17"/>
      <c r="IIC114" s="17"/>
      <c r="IID114" s="17"/>
      <c r="IIE114" s="17"/>
      <c r="IIF114" s="17"/>
      <c r="IIG114" s="17"/>
      <c r="IIH114" s="17"/>
      <c r="III114" s="17"/>
      <c r="IIJ114" s="17"/>
      <c r="IIK114" s="17"/>
      <c r="IIL114" s="17"/>
      <c r="IIM114" s="17"/>
      <c r="IIN114" s="17"/>
      <c r="IIO114" s="17"/>
      <c r="IIP114" s="17"/>
      <c r="IIQ114" s="17"/>
      <c r="IIR114" s="17"/>
      <c r="IIS114" s="17"/>
      <c r="IIT114" s="17"/>
      <c r="IIU114" s="17"/>
      <c r="IIV114" s="17"/>
      <c r="IIW114" s="17"/>
      <c r="IIX114" s="17"/>
      <c r="IIY114" s="17"/>
      <c r="IIZ114" s="17"/>
      <c r="IJA114" s="17"/>
      <c r="IJB114" s="17"/>
      <c r="IJC114" s="17"/>
      <c r="IJD114" s="17"/>
      <c r="IJE114" s="17"/>
      <c r="IJF114" s="17"/>
      <c r="IJG114" s="17"/>
      <c r="IJH114" s="17"/>
      <c r="IJI114" s="17"/>
      <c r="IJJ114" s="17"/>
      <c r="IJK114" s="17"/>
      <c r="IJL114" s="17"/>
      <c r="IJM114" s="17"/>
      <c r="IJN114" s="17"/>
      <c r="IJO114" s="17"/>
      <c r="IJP114" s="17"/>
      <c r="IJQ114" s="17"/>
      <c r="IJR114" s="17"/>
      <c r="IJS114" s="17"/>
      <c r="IJT114" s="17"/>
      <c r="IJU114" s="17"/>
      <c r="IJV114" s="17"/>
      <c r="IJW114" s="17"/>
      <c r="IJX114" s="17"/>
      <c r="IJY114" s="17"/>
      <c r="IJZ114" s="17"/>
      <c r="IKA114" s="17"/>
      <c r="IKB114" s="17"/>
      <c r="IKC114" s="17"/>
      <c r="IKD114" s="17"/>
      <c r="IKE114" s="17"/>
      <c r="IKF114" s="17"/>
      <c r="IKG114" s="17"/>
      <c r="IKH114" s="17"/>
      <c r="IKI114" s="17"/>
      <c r="IKJ114" s="17"/>
      <c r="IKK114" s="17"/>
      <c r="IKL114" s="17"/>
      <c r="IKM114" s="17"/>
      <c r="IKN114" s="17"/>
      <c r="IKO114" s="17"/>
      <c r="IKP114" s="17"/>
      <c r="IKQ114" s="17"/>
      <c r="IKR114" s="17"/>
      <c r="IKS114" s="17"/>
      <c r="IKT114" s="17"/>
      <c r="IKU114" s="17"/>
      <c r="IKV114" s="17"/>
      <c r="IKW114" s="17"/>
      <c r="IKX114" s="17"/>
      <c r="IKY114" s="17"/>
      <c r="IKZ114" s="17"/>
      <c r="ILA114" s="17"/>
      <c r="ILB114" s="17"/>
      <c r="ILC114" s="17"/>
      <c r="ILD114" s="17"/>
      <c r="ILE114" s="17"/>
      <c r="ILF114" s="17"/>
      <c r="ILG114" s="17"/>
      <c r="ILH114" s="17"/>
      <c r="ILI114" s="17"/>
      <c r="ILJ114" s="17"/>
      <c r="ILK114" s="17"/>
      <c r="ILL114" s="17"/>
      <c r="ILM114" s="17"/>
      <c r="ILN114" s="17"/>
      <c r="ILO114" s="17"/>
      <c r="ILP114" s="17"/>
      <c r="ILQ114" s="17"/>
      <c r="ILR114" s="17"/>
      <c r="ILS114" s="17"/>
      <c r="ILT114" s="17"/>
      <c r="ILU114" s="17"/>
      <c r="ILV114" s="17"/>
      <c r="ILW114" s="17"/>
      <c r="ILX114" s="17"/>
      <c r="ILY114" s="17"/>
      <c r="ILZ114" s="17"/>
      <c r="IMA114" s="17"/>
      <c r="IMB114" s="17"/>
      <c r="IMC114" s="17"/>
      <c r="IMD114" s="17"/>
      <c r="IME114" s="17"/>
      <c r="IMF114" s="17"/>
      <c r="IMG114" s="17"/>
      <c r="IMH114" s="17"/>
      <c r="IMI114" s="17"/>
      <c r="IMJ114" s="17"/>
      <c r="IMK114" s="17"/>
      <c r="IML114" s="17"/>
      <c r="IMM114" s="17"/>
      <c r="IMN114" s="17"/>
      <c r="IMO114" s="17"/>
      <c r="IMP114" s="17"/>
      <c r="IMQ114" s="17"/>
      <c r="IMR114" s="17"/>
      <c r="IMS114" s="17"/>
      <c r="IMT114" s="17"/>
      <c r="IMU114" s="17"/>
      <c r="IMV114" s="17"/>
      <c r="IMW114" s="17"/>
      <c r="IMX114" s="17"/>
      <c r="IMY114" s="17"/>
      <c r="IMZ114" s="17"/>
      <c r="INA114" s="17"/>
      <c r="INB114" s="17"/>
      <c r="INC114" s="17"/>
      <c r="IND114" s="17"/>
      <c r="INE114" s="17"/>
      <c r="INF114" s="17"/>
      <c r="ING114" s="17"/>
      <c r="INH114" s="17"/>
      <c r="INI114" s="17"/>
      <c r="INJ114" s="17"/>
      <c r="INK114" s="17"/>
      <c r="INL114" s="17"/>
      <c r="INM114" s="17"/>
      <c r="INN114" s="17"/>
      <c r="INO114" s="17"/>
      <c r="INP114" s="17"/>
      <c r="INQ114" s="17"/>
      <c r="INR114" s="17"/>
      <c r="INS114" s="17"/>
      <c r="INT114" s="17"/>
      <c r="INU114" s="17"/>
      <c r="INV114" s="17"/>
      <c r="INW114" s="17"/>
      <c r="INX114" s="17"/>
      <c r="INY114" s="17"/>
      <c r="INZ114" s="17"/>
      <c r="IOA114" s="17"/>
      <c r="IOB114" s="17"/>
      <c r="IOC114" s="17"/>
      <c r="IOD114" s="17"/>
      <c r="IOE114" s="17"/>
      <c r="IOF114" s="17"/>
      <c r="IOG114" s="17"/>
      <c r="IOH114" s="17"/>
      <c r="IOI114" s="17"/>
      <c r="IOJ114" s="17"/>
      <c r="IOK114" s="17"/>
      <c r="IOL114" s="17"/>
      <c r="IOM114" s="17"/>
      <c r="ION114" s="17"/>
      <c r="IOO114" s="17"/>
      <c r="IOP114" s="17"/>
      <c r="IOQ114" s="17"/>
      <c r="IOR114" s="17"/>
      <c r="IOS114" s="17"/>
      <c r="IOT114" s="17"/>
      <c r="IOU114" s="17"/>
      <c r="IOV114" s="17"/>
      <c r="IOW114" s="17"/>
      <c r="IOX114" s="17"/>
      <c r="IOY114" s="17"/>
      <c r="IOZ114" s="17"/>
      <c r="IPA114" s="17"/>
      <c r="IPB114" s="17"/>
      <c r="IPC114" s="17"/>
      <c r="IPD114" s="17"/>
      <c r="IPE114" s="17"/>
      <c r="IPF114" s="17"/>
      <c r="IPG114" s="17"/>
      <c r="IPH114" s="17"/>
      <c r="IPI114" s="17"/>
      <c r="IPJ114" s="17"/>
      <c r="IPK114" s="17"/>
      <c r="IPL114" s="17"/>
      <c r="IPM114" s="17"/>
      <c r="IPN114" s="17"/>
      <c r="IPO114" s="17"/>
      <c r="IPP114" s="17"/>
      <c r="IPQ114" s="17"/>
      <c r="IPR114" s="17"/>
      <c r="IPS114" s="17"/>
      <c r="IPT114" s="17"/>
      <c r="IPU114" s="17"/>
      <c r="IPV114" s="17"/>
      <c r="IPW114" s="17"/>
      <c r="IPX114" s="17"/>
      <c r="IPY114" s="17"/>
      <c r="IPZ114" s="17"/>
      <c r="IQA114" s="17"/>
      <c r="IQB114" s="17"/>
      <c r="IQC114" s="17"/>
      <c r="IQD114" s="17"/>
      <c r="IQE114" s="17"/>
      <c r="IQF114" s="17"/>
      <c r="IQG114" s="17"/>
      <c r="IQH114" s="17"/>
      <c r="IQI114" s="17"/>
      <c r="IQJ114" s="17"/>
      <c r="IQK114" s="17"/>
      <c r="IQL114" s="17"/>
      <c r="IQM114" s="17"/>
      <c r="IQN114" s="17"/>
      <c r="IQO114" s="17"/>
      <c r="IQP114" s="17"/>
      <c r="IQQ114" s="17"/>
      <c r="IQR114" s="17"/>
      <c r="IQS114" s="17"/>
      <c r="IQT114" s="17"/>
      <c r="IQU114" s="17"/>
      <c r="IQV114" s="17"/>
      <c r="IQW114" s="17"/>
      <c r="IQX114" s="17"/>
      <c r="IQY114" s="17"/>
      <c r="IQZ114" s="17"/>
      <c r="IRA114" s="17"/>
      <c r="IRB114" s="17"/>
      <c r="IRC114" s="17"/>
      <c r="IRD114" s="17"/>
      <c r="IRE114" s="17"/>
      <c r="IRF114" s="17"/>
      <c r="IRG114" s="17"/>
      <c r="IRH114" s="17"/>
      <c r="IRI114" s="17"/>
      <c r="IRJ114" s="17"/>
      <c r="IRK114" s="17"/>
      <c r="IRL114" s="17"/>
      <c r="IRM114" s="17"/>
      <c r="IRN114" s="17"/>
      <c r="IRO114" s="17"/>
      <c r="IRP114" s="17"/>
      <c r="IRQ114" s="17"/>
      <c r="IRR114" s="17"/>
      <c r="IRS114" s="17"/>
      <c r="IRT114" s="17"/>
      <c r="IRU114" s="17"/>
      <c r="IRV114" s="17"/>
      <c r="IRW114" s="17"/>
      <c r="IRX114" s="17"/>
      <c r="IRY114" s="17"/>
      <c r="IRZ114" s="17"/>
      <c r="ISA114" s="17"/>
      <c r="ISB114" s="17"/>
      <c r="ISC114" s="17"/>
      <c r="ISD114" s="17"/>
      <c r="ISE114" s="17"/>
      <c r="ISF114" s="17"/>
      <c r="ISG114" s="17"/>
      <c r="ISH114" s="17"/>
      <c r="ISI114" s="17"/>
      <c r="ISJ114" s="17"/>
      <c r="ISK114" s="17"/>
      <c r="ISL114" s="17"/>
      <c r="ISM114" s="17"/>
      <c r="ISN114" s="17"/>
      <c r="ISO114" s="17"/>
      <c r="ISP114" s="17"/>
      <c r="ISQ114" s="17"/>
      <c r="ISR114" s="17"/>
      <c r="ISS114" s="17"/>
      <c r="IST114" s="17"/>
      <c r="ISU114" s="17"/>
      <c r="ISV114" s="17"/>
      <c r="ISW114" s="17"/>
      <c r="ISX114" s="17"/>
      <c r="ISY114" s="17"/>
      <c r="ISZ114" s="17"/>
      <c r="ITA114" s="17"/>
      <c r="ITB114" s="17"/>
      <c r="ITC114" s="17"/>
      <c r="ITD114" s="17"/>
      <c r="ITE114" s="17"/>
      <c r="ITF114" s="17"/>
      <c r="ITG114" s="17"/>
      <c r="ITH114" s="17"/>
      <c r="ITI114" s="17"/>
      <c r="ITJ114" s="17"/>
      <c r="ITK114" s="17"/>
      <c r="ITL114" s="17"/>
      <c r="ITM114" s="17"/>
      <c r="ITN114" s="17"/>
      <c r="ITO114" s="17"/>
      <c r="ITP114" s="17"/>
      <c r="ITQ114" s="17"/>
      <c r="ITR114" s="17"/>
      <c r="ITS114" s="17"/>
      <c r="ITT114" s="17"/>
      <c r="ITU114" s="17"/>
      <c r="ITV114" s="17"/>
      <c r="ITW114" s="17"/>
      <c r="ITX114" s="17"/>
      <c r="ITY114" s="17"/>
      <c r="ITZ114" s="17"/>
      <c r="IUA114" s="17"/>
      <c r="IUB114" s="17"/>
      <c r="IUC114" s="17"/>
      <c r="IUD114" s="17"/>
      <c r="IUE114" s="17"/>
      <c r="IUF114" s="17"/>
      <c r="IUG114" s="17"/>
      <c r="IUH114" s="17"/>
      <c r="IUI114" s="17"/>
      <c r="IUJ114" s="17"/>
      <c r="IUK114" s="17"/>
      <c r="IUL114" s="17"/>
      <c r="IUM114" s="17"/>
      <c r="IUN114" s="17"/>
      <c r="IUO114" s="17"/>
      <c r="IUP114" s="17"/>
      <c r="IUQ114" s="17"/>
      <c r="IUR114" s="17"/>
      <c r="IUS114" s="17"/>
      <c r="IUT114" s="17"/>
      <c r="IUU114" s="17"/>
      <c r="IUV114" s="17"/>
      <c r="IUW114" s="17"/>
      <c r="IUX114" s="17"/>
      <c r="IUY114" s="17"/>
      <c r="IUZ114" s="17"/>
      <c r="IVA114" s="17"/>
      <c r="IVB114" s="17"/>
      <c r="IVC114" s="17"/>
      <c r="IVD114" s="17"/>
      <c r="IVE114" s="17"/>
      <c r="IVF114" s="17"/>
      <c r="IVG114" s="17"/>
      <c r="IVH114" s="17"/>
      <c r="IVI114" s="17"/>
      <c r="IVJ114" s="17"/>
      <c r="IVK114" s="17"/>
      <c r="IVL114" s="17"/>
      <c r="IVM114" s="17"/>
      <c r="IVN114" s="17"/>
      <c r="IVO114" s="17"/>
      <c r="IVP114" s="17"/>
      <c r="IVQ114" s="17"/>
      <c r="IVR114" s="17"/>
      <c r="IVS114" s="17"/>
      <c r="IVT114" s="17"/>
      <c r="IVU114" s="17"/>
      <c r="IVV114" s="17"/>
      <c r="IVW114" s="17"/>
      <c r="IVX114" s="17"/>
      <c r="IVY114" s="17"/>
      <c r="IVZ114" s="17"/>
      <c r="IWA114" s="17"/>
      <c r="IWB114" s="17"/>
      <c r="IWC114" s="17"/>
      <c r="IWD114" s="17"/>
      <c r="IWE114" s="17"/>
      <c r="IWF114" s="17"/>
      <c r="IWG114" s="17"/>
      <c r="IWH114" s="17"/>
      <c r="IWI114" s="17"/>
      <c r="IWJ114" s="17"/>
      <c r="IWK114" s="17"/>
      <c r="IWL114" s="17"/>
      <c r="IWM114" s="17"/>
      <c r="IWN114" s="17"/>
      <c r="IWO114" s="17"/>
      <c r="IWP114" s="17"/>
      <c r="IWQ114" s="17"/>
      <c r="IWR114" s="17"/>
      <c r="IWS114" s="17"/>
      <c r="IWT114" s="17"/>
      <c r="IWU114" s="17"/>
      <c r="IWV114" s="17"/>
      <c r="IWW114" s="17"/>
      <c r="IWX114" s="17"/>
      <c r="IWY114" s="17"/>
      <c r="IWZ114" s="17"/>
      <c r="IXA114" s="17"/>
      <c r="IXB114" s="17"/>
      <c r="IXC114" s="17"/>
      <c r="IXD114" s="17"/>
      <c r="IXE114" s="17"/>
      <c r="IXF114" s="17"/>
      <c r="IXG114" s="17"/>
      <c r="IXH114" s="17"/>
      <c r="IXI114" s="17"/>
      <c r="IXJ114" s="17"/>
      <c r="IXK114" s="17"/>
      <c r="IXL114" s="17"/>
      <c r="IXM114" s="17"/>
      <c r="IXN114" s="17"/>
      <c r="IXO114" s="17"/>
      <c r="IXP114" s="17"/>
      <c r="IXQ114" s="17"/>
      <c r="IXR114" s="17"/>
      <c r="IXS114" s="17"/>
      <c r="IXT114" s="17"/>
      <c r="IXU114" s="17"/>
      <c r="IXV114" s="17"/>
      <c r="IXW114" s="17"/>
      <c r="IXX114" s="17"/>
      <c r="IXY114" s="17"/>
      <c r="IXZ114" s="17"/>
      <c r="IYA114" s="17"/>
      <c r="IYB114" s="17"/>
      <c r="IYC114" s="17"/>
      <c r="IYD114" s="17"/>
      <c r="IYE114" s="17"/>
      <c r="IYF114" s="17"/>
      <c r="IYG114" s="17"/>
      <c r="IYH114" s="17"/>
      <c r="IYI114" s="17"/>
      <c r="IYJ114" s="17"/>
      <c r="IYK114" s="17"/>
      <c r="IYL114" s="17"/>
      <c r="IYM114" s="17"/>
      <c r="IYN114" s="17"/>
      <c r="IYO114" s="17"/>
      <c r="IYP114" s="17"/>
      <c r="IYQ114" s="17"/>
      <c r="IYR114" s="17"/>
      <c r="IYS114" s="17"/>
      <c r="IYT114" s="17"/>
      <c r="IYU114" s="17"/>
      <c r="IYV114" s="17"/>
      <c r="IYW114" s="17"/>
      <c r="IYX114" s="17"/>
      <c r="IYY114" s="17"/>
      <c r="IYZ114" s="17"/>
      <c r="IZA114" s="17"/>
      <c r="IZB114" s="17"/>
      <c r="IZC114" s="17"/>
      <c r="IZD114" s="17"/>
      <c r="IZE114" s="17"/>
      <c r="IZF114" s="17"/>
      <c r="IZG114" s="17"/>
      <c r="IZH114" s="17"/>
      <c r="IZI114" s="17"/>
      <c r="IZJ114" s="17"/>
      <c r="IZK114" s="17"/>
      <c r="IZL114" s="17"/>
      <c r="IZM114" s="17"/>
      <c r="IZN114" s="17"/>
      <c r="IZO114" s="17"/>
      <c r="IZP114" s="17"/>
      <c r="IZQ114" s="17"/>
      <c r="IZR114" s="17"/>
      <c r="IZS114" s="17"/>
      <c r="IZT114" s="17"/>
      <c r="IZU114" s="17"/>
      <c r="IZV114" s="17"/>
      <c r="IZW114" s="17"/>
      <c r="IZX114" s="17"/>
      <c r="IZY114" s="17"/>
      <c r="IZZ114" s="17"/>
      <c r="JAA114" s="17"/>
      <c r="JAB114" s="17"/>
      <c r="JAC114" s="17"/>
      <c r="JAD114" s="17"/>
      <c r="JAE114" s="17"/>
      <c r="JAF114" s="17"/>
      <c r="JAG114" s="17"/>
      <c r="JAH114" s="17"/>
      <c r="JAI114" s="17"/>
      <c r="JAJ114" s="17"/>
      <c r="JAK114" s="17"/>
      <c r="JAL114" s="17"/>
      <c r="JAM114" s="17"/>
      <c r="JAN114" s="17"/>
      <c r="JAO114" s="17"/>
      <c r="JAP114" s="17"/>
      <c r="JAQ114" s="17"/>
      <c r="JAR114" s="17"/>
      <c r="JAS114" s="17"/>
      <c r="JAT114" s="17"/>
      <c r="JAU114" s="17"/>
      <c r="JAV114" s="17"/>
      <c r="JAW114" s="17"/>
      <c r="JAX114" s="17"/>
      <c r="JAY114" s="17"/>
      <c r="JAZ114" s="17"/>
      <c r="JBA114" s="17"/>
      <c r="JBB114" s="17"/>
      <c r="JBC114" s="17"/>
      <c r="JBD114" s="17"/>
      <c r="JBE114" s="17"/>
      <c r="JBF114" s="17"/>
      <c r="JBG114" s="17"/>
      <c r="JBH114" s="17"/>
      <c r="JBI114" s="17"/>
      <c r="JBJ114" s="17"/>
      <c r="JBK114" s="17"/>
      <c r="JBL114" s="17"/>
      <c r="JBM114" s="17"/>
      <c r="JBN114" s="17"/>
      <c r="JBO114" s="17"/>
      <c r="JBP114" s="17"/>
      <c r="JBQ114" s="17"/>
      <c r="JBR114" s="17"/>
      <c r="JBS114" s="17"/>
      <c r="JBT114" s="17"/>
      <c r="JBU114" s="17"/>
      <c r="JBV114" s="17"/>
      <c r="JBW114" s="17"/>
      <c r="JBX114" s="17"/>
      <c r="JBY114" s="17"/>
      <c r="JBZ114" s="17"/>
      <c r="JCA114" s="17"/>
      <c r="JCB114" s="17"/>
      <c r="JCC114" s="17"/>
      <c r="JCD114" s="17"/>
      <c r="JCE114" s="17"/>
      <c r="JCF114" s="17"/>
      <c r="JCG114" s="17"/>
      <c r="JCH114" s="17"/>
      <c r="JCI114" s="17"/>
      <c r="JCJ114" s="17"/>
      <c r="JCK114" s="17"/>
      <c r="JCL114" s="17"/>
      <c r="JCM114" s="17"/>
      <c r="JCN114" s="17"/>
      <c r="JCO114" s="17"/>
      <c r="JCP114" s="17"/>
      <c r="JCQ114" s="17"/>
      <c r="JCR114" s="17"/>
      <c r="JCS114" s="17"/>
      <c r="JCT114" s="17"/>
      <c r="JCU114" s="17"/>
      <c r="JCV114" s="17"/>
      <c r="JCW114" s="17"/>
      <c r="JCX114" s="17"/>
      <c r="JCY114" s="17"/>
      <c r="JCZ114" s="17"/>
      <c r="JDA114" s="17"/>
      <c r="JDB114" s="17"/>
      <c r="JDC114" s="17"/>
      <c r="JDD114" s="17"/>
      <c r="JDE114" s="17"/>
      <c r="JDF114" s="17"/>
      <c r="JDG114" s="17"/>
      <c r="JDH114" s="17"/>
      <c r="JDI114" s="17"/>
      <c r="JDJ114" s="17"/>
      <c r="JDK114" s="17"/>
      <c r="JDL114" s="17"/>
      <c r="JDM114" s="17"/>
      <c r="JDN114" s="17"/>
      <c r="JDO114" s="17"/>
      <c r="JDP114" s="17"/>
      <c r="JDQ114" s="17"/>
      <c r="JDR114" s="17"/>
      <c r="JDS114" s="17"/>
      <c r="JDT114" s="17"/>
      <c r="JDU114" s="17"/>
      <c r="JDV114" s="17"/>
      <c r="JDW114" s="17"/>
      <c r="JDX114" s="17"/>
      <c r="JDY114" s="17"/>
      <c r="JDZ114" s="17"/>
      <c r="JEA114" s="17"/>
      <c r="JEB114" s="17"/>
      <c r="JEC114" s="17"/>
      <c r="JED114" s="17"/>
      <c r="JEE114" s="17"/>
      <c r="JEF114" s="17"/>
      <c r="JEG114" s="17"/>
      <c r="JEH114" s="17"/>
      <c r="JEI114" s="17"/>
      <c r="JEJ114" s="17"/>
      <c r="JEK114" s="17"/>
      <c r="JEL114" s="17"/>
      <c r="JEM114" s="17"/>
      <c r="JEN114" s="17"/>
      <c r="JEO114" s="17"/>
      <c r="JEP114" s="17"/>
      <c r="JEQ114" s="17"/>
      <c r="JER114" s="17"/>
      <c r="JES114" s="17"/>
      <c r="JET114" s="17"/>
      <c r="JEU114" s="17"/>
      <c r="JEV114" s="17"/>
      <c r="JEW114" s="17"/>
      <c r="JEX114" s="17"/>
      <c r="JEY114" s="17"/>
      <c r="JEZ114" s="17"/>
      <c r="JFA114" s="17"/>
      <c r="JFB114" s="17"/>
      <c r="JFC114" s="17"/>
      <c r="JFD114" s="17"/>
      <c r="JFE114" s="17"/>
      <c r="JFF114" s="17"/>
      <c r="JFG114" s="17"/>
      <c r="JFH114" s="17"/>
      <c r="JFI114" s="17"/>
      <c r="JFJ114" s="17"/>
      <c r="JFK114" s="17"/>
      <c r="JFL114" s="17"/>
      <c r="JFM114" s="17"/>
      <c r="JFN114" s="17"/>
      <c r="JFO114" s="17"/>
      <c r="JFP114" s="17"/>
      <c r="JFQ114" s="17"/>
      <c r="JFR114" s="17"/>
      <c r="JFS114" s="17"/>
      <c r="JFT114" s="17"/>
      <c r="JFU114" s="17"/>
      <c r="JFV114" s="17"/>
      <c r="JFW114" s="17"/>
      <c r="JFX114" s="17"/>
      <c r="JFY114" s="17"/>
      <c r="JFZ114" s="17"/>
      <c r="JGA114" s="17"/>
      <c r="JGB114" s="17"/>
      <c r="JGC114" s="17"/>
      <c r="JGD114" s="17"/>
      <c r="JGE114" s="17"/>
      <c r="JGF114" s="17"/>
      <c r="JGG114" s="17"/>
      <c r="JGH114" s="17"/>
      <c r="JGI114" s="17"/>
      <c r="JGJ114" s="17"/>
      <c r="JGK114" s="17"/>
      <c r="JGL114" s="17"/>
      <c r="JGM114" s="17"/>
      <c r="JGN114" s="17"/>
      <c r="JGO114" s="17"/>
      <c r="JGP114" s="17"/>
      <c r="JGQ114" s="17"/>
      <c r="JGR114" s="17"/>
      <c r="JGS114" s="17"/>
      <c r="JGT114" s="17"/>
      <c r="JGU114" s="17"/>
      <c r="JGV114" s="17"/>
      <c r="JGW114" s="17"/>
      <c r="JGX114" s="17"/>
      <c r="JGY114" s="17"/>
      <c r="JGZ114" s="17"/>
      <c r="JHA114" s="17"/>
      <c r="JHB114" s="17"/>
      <c r="JHC114" s="17"/>
      <c r="JHD114" s="17"/>
      <c r="JHE114" s="17"/>
      <c r="JHF114" s="17"/>
      <c r="JHG114" s="17"/>
      <c r="JHH114" s="17"/>
      <c r="JHI114" s="17"/>
      <c r="JHJ114" s="17"/>
      <c r="JHK114" s="17"/>
      <c r="JHL114" s="17"/>
      <c r="JHM114" s="17"/>
      <c r="JHN114" s="17"/>
      <c r="JHO114" s="17"/>
      <c r="JHP114" s="17"/>
      <c r="JHQ114" s="17"/>
      <c r="JHR114" s="17"/>
      <c r="JHS114" s="17"/>
      <c r="JHT114" s="17"/>
      <c r="JHU114" s="17"/>
      <c r="JHV114" s="17"/>
      <c r="JHW114" s="17"/>
      <c r="JHX114" s="17"/>
      <c r="JHY114" s="17"/>
      <c r="JHZ114" s="17"/>
      <c r="JIA114" s="17"/>
      <c r="JIB114" s="17"/>
      <c r="JIC114" s="17"/>
      <c r="JID114" s="17"/>
      <c r="JIE114" s="17"/>
      <c r="JIF114" s="17"/>
      <c r="JIG114" s="17"/>
      <c r="JIH114" s="17"/>
      <c r="JII114" s="17"/>
      <c r="JIJ114" s="17"/>
      <c r="JIK114" s="17"/>
      <c r="JIL114" s="17"/>
      <c r="JIM114" s="17"/>
      <c r="JIN114" s="17"/>
      <c r="JIO114" s="17"/>
      <c r="JIP114" s="17"/>
      <c r="JIQ114" s="17"/>
      <c r="JIR114" s="17"/>
      <c r="JIS114" s="17"/>
      <c r="JIT114" s="17"/>
      <c r="JIU114" s="17"/>
      <c r="JIV114" s="17"/>
      <c r="JIW114" s="17"/>
      <c r="JIX114" s="17"/>
      <c r="JIY114" s="17"/>
      <c r="JIZ114" s="17"/>
      <c r="JJA114" s="17"/>
      <c r="JJB114" s="17"/>
      <c r="JJC114" s="17"/>
      <c r="JJD114" s="17"/>
      <c r="JJE114" s="17"/>
      <c r="JJF114" s="17"/>
      <c r="JJG114" s="17"/>
      <c r="JJH114" s="17"/>
      <c r="JJI114" s="17"/>
      <c r="JJJ114" s="17"/>
      <c r="JJK114" s="17"/>
      <c r="JJL114" s="17"/>
      <c r="JJM114" s="17"/>
      <c r="JJN114" s="17"/>
      <c r="JJO114" s="17"/>
      <c r="JJP114" s="17"/>
      <c r="JJQ114" s="17"/>
      <c r="JJR114" s="17"/>
      <c r="JJS114" s="17"/>
      <c r="JJT114" s="17"/>
      <c r="JJU114" s="17"/>
      <c r="JJV114" s="17"/>
      <c r="JJW114" s="17"/>
      <c r="JJX114" s="17"/>
      <c r="JJY114" s="17"/>
      <c r="JJZ114" s="17"/>
      <c r="JKA114" s="17"/>
      <c r="JKB114" s="17"/>
      <c r="JKC114" s="17"/>
      <c r="JKD114" s="17"/>
      <c r="JKE114" s="17"/>
      <c r="JKF114" s="17"/>
      <c r="JKG114" s="17"/>
      <c r="JKH114" s="17"/>
      <c r="JKI114" s="17"/>
      <c r="JKJ114" s="17"/>
      <c r="JKK114" s="17"/>
      <c r="JKL114" s="17"/>
      <c r="JKM114" s="17"/>
      <c r="JKN114" s="17"/>
      <c r="JKO114" s="17"/>
      <c r="JKP114" s="17"/>
      <c r="JKQ114" s="17"/>
      <c r="JKR114" s="17"/>
      <c r="JKS114" s="17"/>
      <c r="JKT114" s="17"/>
      <c r="JKU114" s="17"/>
      <c r="JKV114" s="17"/>
      <c r="JKW114" s="17"/>
      <c r="JKX114" s="17"/>
      <c r="JKY114" s="17"/>
      <c r="JKZ114" s="17"/>
      <c r="JLA114" s="17"/>
      <c r="JLB114" s="17"/>
      <c r="JLC114" s="17"/>
      <c r="JLD114" s="17"/>
      <c r="JLE114" s="17"/>
      <c r="JLF114" s="17"/>
      <c r="JLG114" s="17"/>
      <c r="JLH114" s="17"/>
      <c r="JLI114" s="17"/>
      <c r="JLJ114" s="17"/>
      <c r="JLK114" s="17"/>
      <c r="JLL114" s="17"/>
      <c r="JLM114" s="17"/>
      <c r="JLN114" s="17"/>
      <c r="JLO114" s="17"/>
      <c r="JLP114" s="17"/>
      <c r="JLQ114" s="17"/>
      <c r="JLR114" s="17"/>
      <c r="JLS114" s="17"/>
      <c r="JLT114" s="17"/>
      <c r="JLU114" s="17"/>
      <c r="JLV114" s="17"/>
      <c r="JLW114" s="17"/>
      <c r="JLX114" s="17"/>
      <c r="JLY114" s="17"/>
      <c r="JLZ114" s="17"/>
      <c r="JMA114" s="17"/>
      <c r="JMB114" s="17"/>
      <c r="JMC114" s="17"/>
      <c r="JMD114" s="17"/>
      <c r="JME114" s="17"/>
      <c r="JMF114" s="17"/>
      <c r="JMG114" s="17"/>
      <c r="JMH114" s="17"/>
      <c r="JMI114" s="17"/>
      <c r="JMJ114" s="17"/>
      <c r="JMK114" s="17"/>
      <c r="JML114" s="17"/>
      <c r="JMM114" s="17"/>
      <c r="JMN114" s="17"/>
      <c r="JMO114" s="17"/>
      <c r="JMP114" s="17"/>
      <c r="JMQ114" s="17"/>
      <c r="JMR114" s="17"/>
      <c r="JMS114" s="17"/>
      <c r="JMT114" s="17"/>
      <c r="JMU114" s="17"/>
      <c r="JMV114" s="17"/>
      <c r="JMW114" s="17"/>
      <c r="JMX114" s="17"/>
      <c r="JMY114" s="17"/>
      <c r="JMZ114" s="17"/>
      <c r="JNA114" s="17"/>
      <c r="JNB114" s="17"/>
      <c r="JNC114" s="17"/>
      <c r="JND114" s="17"/>
      <c r="JNE114" s="17"/>
      <c r="JNF114" s="17"/>
      <c r="JNG114" s="17"/>
      <c r="JNH114" s="17"/>
      <c r="JNI114" s="17"/>
      <c r="JNJ114" s="17"/>
      <c r="JNK114" s="17"/>
      <c r="JNL114" s="17"/>
      <c r="JNM114" s="17"/>
      <c r="JNN114" s="17"/>
      <c r="JNO114" s="17"/>
      <c r="JNP114" s="17"/>
      <c r="JNQ114" s="17"/>
      <c r="JNR114" s="17"/>
      <c r="JNS114" s="17"/>
      <c r="JNT114" s="17"/>
      <c r="JNU114" s="17"/>
      <c r="JNV114" s="17"/>
      <c r="JNW114" s="17"/>
      <c r="JNX114" s="17"/>
      <c r="JNY114" s="17"/>
      <c r="JNZ114" s="17"/>
      <c r="JOA114" s="17"/>
      <c r="JOB114" s="17"/>
      <c r="JOC114" s="17"/>
      <c r="JOD114" s="17"/>
      <c r="JOE114" s="17"/>
      <c r="JOF114" s="17"/>
      <c r="JOG114" s="17"/>
      <c r="JOH114" s="17"/>
      <c r="JOI114" s="17"/>
      <c r="JOJ114" s="17"/>
      <c r="JOK114" s="17"/>
      <c r="JOL114" s="17"/>
      <c r="JOM114" s="17"/>
      <c r="JON114" s="17"/>
      <c r="JOO114" s="17"/>
      <c r="JOP114" s="17"/>
      <c r="JOQ114" s="17"/>
      <c r="JOR114" s="17"/>
      <c r="JOS114" s="17"/>
      <c r="JOT114" s="17"/>
      <c r="JOU114" s="17"/>
      <c r="JOV114" s="17"/>
      <c r="JOW114" s="17"/>
      <c r="JOX114" s="17"/>
      <c r="JOY114" s="17"/>
      <c r="JOZ114" s="17"/>
      <c r="JPA114" s="17"/>
      <c r="JPB114" s="17"/>
      <c r="JPC114" s="17"/>
      <c r="JPD114" s="17"/>
      <c r="JPE114" s="17"/>
      <c r="JPF114" s="17"/>
      <c r="JPG114" s="17"/>
      <c r="JPH114" s="17"/>
      <c r="JPI114" s="17"/>
      <c r="JPJ114" s="17"/>
      <c r="JPK114" s="17"/>
      <c r="JPL114" s="17"/>
      <c r="JPM114" s="17"/>
      <c r="JPN114" s="17"/>
      <c r="JPO114" s="17"/>
      <c r="JPP114" s="17"/>
      <c r="JPQ114" s="17"/>
      <c r="JPR114" s="17"/>
      <c r="JPS114" s="17"/>
      <c r="JPT114" s="17"/>
      <c r="JPU114" s="17"/>
      <c r="JPV114" s="17"/>
      <c r="JPW114" s="17"/>
      <c r="JPX114" s="17"/>
      <c r="JPY114" s="17"/>
      <c r="JPZ114" s="17"/>
      <c r="JQA114" s="17"/>
      <c r="JQB114" s="17"/>
      <c r="JQC114" s="17"/>
      <c r="JQD114" s="17"/>
      <c r="JQE114" s="17"/>
      <c r="JQF114" s="17"/>
      <c r="JQG114" s="17"/>
      <c r="JQH114" s="17"/>
      <c r="JQI114" s="17"/>
      <c r="JQJ114" s="17"/>
      <c r="JQK114" s="17"/>
      <c r="JQL114" s="17"/>
      <c r="JQM114" s="17"/>
      <c r="JQN114" s="17"/>
      <c r="JQO114" s="17"/>
      <c r="JQP114" s="17"/>
      <c r="JQQ114" s="17"/>
      <c r="JQR114" s="17"/>
      <c r="JQS114" s="17"/>
      <c r="JQT114" s="17"/>
      <c r="JQU114" s="17"/>
      <c r="JQV114" s="17"/>
      <c r="JQW114" s="17"/>
      <c r="JQX114" s="17"/>
      <c r="JQY114" s="17"/>
      <c r="JQZ114" s="17"/>
      <c r="JRA114" s="17"/>
      <c r="JRB114" s="17"/>
      <c r="JRC114" s="17"/>
      <c r="JRD114" s="17"/>
      <c r="JRE114" s="17"/>
      <c r="JRF114" s="17"/>
      <c r="JRG114" s="17"/>
      <c r="JRH114" s="17"/>
      <c r="JRI114" s="17"/>
      <c r="JRJ114" s="17"/>
      <c r="JRK114" s="17"/>
      <c r="JRL114" s="17"/>
      <c r="JRM114" s="17"/>
      <c r="JRN114" s="17"/>
      <c r="JRO114" s="17"/>
      <c r="JRP114" s="17"/>
      <c r="JRQ114" s="17"/>
      <c r="JRR114" s="17"/>
      <c r="JRS114" s="17"/>
      <c r="JRT114" s="17"/>
      <c r="JRU114" s="17"/>
      <c r="JRV114" s="17"/>
      <c r="JRW114" s="17"/>
      <c r="JRX114" s="17"/>
      <c r="JRY114" s="17"/>
      <c r="JRZ114" s="17"/>
      <c r="JSA114" s="17"/>
      <c r="JSB114" s="17"/>
      <c r="JSC114" s="17"/>
      <c r="JSD114" s="17"/>
      <c r="JSE114" s="17"/>
      <c r="JSF114" s="17"/>
      <c r="JSG114" s="17"/>
      <c r="JSH114" s="17"/>
      <c r="JSI114" s="17"/>
      <c r="JSJ114" s="17"/>
      <c r="JSK114" s="17"/>
      <c r="JSL114" s="17"/>
      <c r="JSM114" s="17"/>
      <c r="JSN114" s="17"/>
      <c r="JSO114" s="17"/>
      <c r="JSP114" s="17"/>
      <c r="JSQ114" s="17"/>
      <c r="JSR114" s="17"/>
      <c r="JSS114" s="17"/>
      <c r="JST114" s="17"/>
      <c r="JSU114" s="17"/>
      <c r="JSV114" s="17"/>
      <c r="JSW114" s="17"/>
      <c r="JSX114" s="17"/>
      <c r="JSY114" s="17"/>
      <c r="JSZ114" s="17"/>
      <c r="JTA114" s="17"/>
      <c r="JTB114" s="17"/>
      <c r="JTC114" s="17"/>
      <c r="JTD114" s="17"/>
      <c r="JTE114" s="17"/>
      <c r="JTF114" s="17"/>
      <c r="JTG114" s="17"/>
      <c r="JTH114" s="17"/>
      <c r="JTI114" s="17"/>
      <c r="JTJ114" s="17"/>
      <c r="JTK114" s="17"/>
      <c r="JTL114" s="17"/>
      <c r="JTM114" s="17"/>
      <c r="JTN114" s="17"/>
      <c r="JTO114" s="17"/>
      <c r="JTP114" s="17"/>
      <c r="JTQ114" s="17"/>
      <c r="JTR114" s="17"/>
      <c r="JTS114" s="17"/>
      <c r="JTT114" s="17"/>
      <c r="JTU114" s="17"/>
      <c r="JTV114" s="17"/>
      <c r="JTW114" s="17"/>
      <c r="JTX114" s="17"/>
      <c r="JTY114" s="17"/>
      <c r="JTZ114" s="17"/>
      <c r="JUA114" s="17"/>
      <c r="JUB114" s="17"/>
      <c r="JUC114" s="17"/>
      <c r="JUD114" s="17"/>
      <c r="JUE114" s="17"/>
      <c r="JUF114" s="17"/>
      <c r="JUG114" s="17"/>
      <c r="JUH114" s="17"/>
      <c r="JUI114" s="17"/>
      <c r="JUJ114" s="17"/>
      <c r="JUK114" s="17"/>
      <c r="JUL114" s="17"/>
      <c r="JUM114" s="17"/>
      <c r="JUN114" s="17"/>
      <c r="JUO114" s="17"/>
      <c r="JUP114" s="17"/>
      <c r="JUQ114" s="17"/>
      <c r="JUR114" s="17"/>
      <c r="JUS114" s="17"/>
      <c r="JUT114" s="17"/>
      <c r="JUU114" s="17"/>
      <c r="JUV114" s="17"/>
      <c r="JUW114" s="17"/>
      <c r="JUX114" s="17"/>
      <c r="JUY114" s="17"/>
      <c r="JUZ114" s="17"/>
      <c r="JVA114" s="17"/>
      <c r="JVB114" s="17"/>
      <c r="JVC114" s="17"/>
      <c r="JVD114" s="17"/>
      <c r="JVE114" s="17"/>
      <c r="JVF114" s="17"/>
      <c r="JVG114" s="17"/>
      <c r="JVH114" s="17"/>
      <c r="JVI114" s="17"/>
      <c r="JVJ114" s="17"/>
      <c r="JVK114" s="17"/>
      <c r="JVL114" s="17"/>
      <c r="JVM114" s="17"/>
      <c r="JVN114" s="17"/>
      <c r="JVO114" s="17"/>
      <c r="JVP114" s="17"/>
      <c r="JVQ114" s="17"/>
      <c r="JVR114" s="17"/>
      <c r="JVS114" s="17"/>
      <c r="JVT114" s="17"/>
      <c r="JVU114" s="17"/>
      <c r="JVV114" s="17"/>
      <c r="JVW114" s="17"/>
      <c r="JVX114" s="17"/>
      <c r="JVY114" s="17"/>
      <c r="JVZ114" s="17"/>
      <c r="JWA114" s="17"/>
      <c r="JWB114" s="17"/>
      <c r="JWC114" s="17"/>
      <c r="JWD114" s="17"/>
      <c r="JWE114" s="17"/>
      <c r="JWF114" s="17"/>
      <c r="JWG114" s="17"/>
      <c r="JWH114" s="17"/>
      <c r="JWI114" s="17"/>
      <c r="JWJ114" s="17"/>
      <c r="JWK114" s="17"/>
      <c r="JWL114" s="17"/>
      <c r="JWM114" s="17"/>
      <c r="JWN114" s="17"/>
      <c r="JWO114" s="17"/>
      <c r="JWP114" s="17"/>
      <c r="JWQ114" s="17"/>
      <c r="JWR114" s="17"/>
      <c r="JWS114" s="17"/>
      <c r="JWT114" s="17"/>
      <c r="JWU114" s="17"/>
      <c r="JWV114" s="17"/>
      <c r="JWW114" s="17"/>
      <c r="JWX114" s="17"/>
      <c r="JWY114" s="17"/>
      <c r="JWZ114" s="17"/>
      <c r="JXA114" s="17"/>
      <c r="JXB114" s="17"/>
      <c r="JXC114" s="17"/>
      <c r="JXD114" s="17"/>
      <c r="JXE114" s="17"/>
      <c r="JXF114" s="17"/>
      <c r="JXG114" s="17"/>
      <c r="JXH114" s="17"/>
      <c r="JXI114" s="17"/>
      <c r="JXJ114" s="17"/>
      <c r="JXK114" s="17"/>
      <c r="JXL114" s="17"/>
      <c r="JXM114" s="17"/>
      <c r="JXN114" s="17"/>
      <c r="JXO114" s="17"/>
      <c r="JXP114" s="17"/>
      <c r="JXQ114" s="17"/>
      <c r="JXR114" s="17"/>
      <c r="JXS114" s="17"/>
      <c r="JXT114" s="17"/>
      <c r="JXU114" s="17"/>
      <c r="JXV114" s="17"/>
      <c r="JXW114" s="17"/>
      <c r="JXX114" s="17"/>
      <c r="JXY114" s="17"/>
      <c r="JXZ114" s="17"/>
      <c r="JYA114" s="17"/>
      <c r="JYB114" s="17"/>
      <c r="JYC114" s="17"/>
      <c r="JYD114" s="17"/>
      <c r="JYE114" s="17"/>
      <c r="JYF114" s="17"/>
      <c r="JYG114" s="17"/>
      <c r="JYH114" s="17"/>
      <c r="JYI114" s="17"/>
      <c r="JYJ114" s="17"/>
      <c r="JYK114" s="17"/>
      <c r="JYL114" s="17"/>
      <c r="JYM114" s="17"/>
      <c r="JYN114" s="17"/>
      <c r="JYO114" s="17"/>
      <c r="JYP114" s="17"/>
      <c r="JYQ114" s="17"/>
      <c r="JYR114" s="17"/>
      <c r="JYS114" s="17"/>
      <c r="JYT114" s="17"/>
      <c r="JYU114" s="17"/>
      <c r="JYV114" s="17"/>
      <c r="JYW114" s="17"/>
      <c r="JYX114" s="17"/>
      <c r="JYY114" s="17"/>
      <c r="JYZ114" s="17"/>
      <c r="JZA114" s="17"/>
      <c r="JZB114" s="17"/>
      <c r="JZC114" s="17"/>
      <c r="JZD114" s="17"/>
      <c r="JZE114" s="17"/>
      <c r="JZF114" s="17"/>
      <c r="JZG114" s="17"/>
      <c r="JZH114" s="17"/>
      <c r="JZI114" s="17"/>
      <c r="JZJ114" s="17"/>
      <c r="JZK114" s="17"/>
      <c r="JZL114" s="17"/>
      <c r="JZM114" s="17"/>
      <c r="JZN114" s="17"/>
      <c r="JZO114" s="17"/>
      <c r="JZP114" s="17"/>
      <c r="JZQ114" s="17"/>
      <c r="JZR114" s="17"/>
      <c r="JZS114" s="17"/>
      <c r="JZT114" s="17"/>
      <c r="JZU114" s="17"/>
      <c r="JZV114" s="17"/>
      <c r="JZW114" s="17"/>
      <c r="JZX114" s="17"/>
      <c r="JZY114" s="17"/>
      <c r="JZZ114" s="17"/>
      <c r="KAA114" s="17"/>
      <c r="KAB114" s="17"/>
      <c r="KAC114" s="17"/>
      <c r="KAD114" s="17"/>
      <c r="KAE114" s="17"/>
      <c r="KAF114" s="17"/>
      <c r="KAG114" s="17"/>
      <c r="KAH114" s="17"/>
      <c r="KAI114" s="17"/>
      <c r="KAJ114" s="17"/>
      <c r="KAK114" s="17"/>
      <c r="KAL114" s="17"/>
      <c r="KAM114" s="17"/>
      <c r="KAN114" s="17"/>
      <c r="KAO114" s="17"/>
      <c r="KAP114" s="17"/>
      <c r="KAQ114" s="17"/>
      <c r="KAR114" s="17"/>
      <c r="KAS114" s="17"/>
      <c r="KAT114" s="17"/>
      <c r="KAU114" s="17"/>
      <c r="KAV114" s="17"/>
      <c r="KAW114" s="17"/>
      <c r="KAX114" s="17"/>
      <c r="KAY114" s="17"/>
      <c r="KAZ114" s="17"/>
      <c r="KBA114" s="17"/>
      <c r="KBB114" s="17"/>
      <c r="KBC114" s="17"/>
      <c r="KBD114" s="17"/>
      <c r="KBE114" s="17"/>
      <c r="KBF114" s="17"/>
      <c r="KBG114" s="17"/>
      <c r="KBH114" s="17"/>
      <c r="KBI114" s="17"/>
      <c r="KBJ114" s="17"/>
      <c r="KBK114" s="17"/>
      <c r="KBL114" s="17"/>
      <c r="KBM114" s="17"/>
      <c r="KBN114" s="17"/>
      <c r="KBO114" s="17"/>
      <c r="KBP114" s="17"/>
      <c r="KBQ114" s="17"/>
      <c r="KBR114" s="17"/>
      <c r="KBS114" s="17"/>
      <c r="KBT114" s="17"/>
      <c r="KBU114" s="17"/>
      <c r="KBV114" s="17"/>
      <c r="KBW114" s="17"/>
      <c r="KBX114" s="17"/>
      <c r="KBY114" s="17"/>
      <c r="KBZ114" s="17"/>
      <c r="KCA114" s="17"/>
      <c r="KCB114" s="17"/>
      <c r="KCC114" s="17"/>
      <c r="KCD114" s="17"/>
      <c r="KCE114" s="17"/>
      <c r="KCF114" s="17"/>
      <c r="KCG114" s="17"/>
      <c r="KCH114" s="17"/>
      <c r="KCI114" s="17"/>
      <c r="KCJ114" s="17"/>
      <c r="KCK114" s="17"/>
      <c r="KCL114" s="17"/>
      <c r="KCM114" s="17"/>
      <c r="KCN114" s="17"/>
      <c r="KCO114" s="17"/>
      <c r="KCP114" s="17"/>
      <c r="KCQ114" s="17"/>
      <c r="KCR114" s="17"/>
      <c r="KCS114" s="17"/>
      <c r="KCT114" s="17"/>
      <c r="KCU114" s="17"/>
      <c r="KCV114" s="17"/>
      <c r="KCW114" s="17"/>
      <c r="KCX114" s="17"/>
      <c r="KCY114" s="17"/>
      <c r="KCZ114" s="17"/>
      <c r="KDA114" s="17"/>
      <c r="KDB114" s="17"/>
      <c r="KDC114" s="17"/>
      <c r="KDD114" s="17"/>
      <c r="KDE114" s="17"/>
      <c r="KDF114" s="17"/>
      <c r="KDG114" s="17"/>
      <c r="KDH114" s="17"/>
      <c r="KDI114" s="17"/>
      <c r="KDJ114" s="17"/>
      <c r="KDK114" s="17"/>
      <c r="KDL114" s="17"/>
      <c r="KDM114" s="17"/>
      <c r="KDN114" s="17"/>
      <c r="KDO114" s="17"/>
      <c r="KDP114" s="17"/>
      <c r="KDQ114" s="17"/>
      <c r="KDR114" s="17"/>
      <c r="KDS114" s="17"/>
      <c r="KDT114" s="17"/>
      <c r="KDU114" s="17"/>
      <c r="KDV114" s="17"/>
      <c r="KDW114" s="17"/>
      <c r="KDX114" s="17"/>
      <c r="KDY114" s="17"/>
      <c r="KDZ114" s="17"/>
      <c r="KEA114" s="17"/>
      <c r="KEB114" s="17"/>
      <c r="KEC114" s="17"/>
      <c r="KED114" s="17"/>
      <c r="KEE114" s="17"/>
      <c r="KEF114" s="17"/>
      <c r="KEG114" s="17"/>
      <c r="KEH114" s="17"/>
      <c r="KEI114" s="17"/>
      <c r="KEJ114" s="17"/>
      <c r="KEK114" s="17"/>
      <c r="KEL114" s="17"/>
      <c r="KEM114" s="17"/>
      <c r="KEN114" s="17"/>
      <c r="KEO114" s="17"/>
      <c r="KEP114" s="17"/>
      <c r="KEQ114" s="17"/>
      <c r="KER114" s="17"/>
      <c r="KES114" s="17"/>
      <c r="KET114" s="17"/>
      <c r="KEU114" s="17"/>
      <c r="KEV114" s="17"/>
      <c r="KEW114" s="17"/>
      <c r="KEX114" s="17"/>
      <c r="KEY114" s="17"/>
      <c r="KEZ114" s="17"/>
      <c r="KFA114" s="17"/>
      <c r="KFB114" s="17"/>
      <c r="KFC114" s="17"/>
      <c r="KFD114" s="17"/>
      <c r="KFE114" s="17"/>
      <c r="KFF114" s="17"/>
      <c r="KFG114" s="17"/>
      <c r="KFH114" s="17"/>
      <c r="KFI114" s="17"/>
      <c r="KFJ114" s="17"/>
      <c r="KFK114" s="17"/>
      <c r="KFL114" s="17"/>
      <c r="KFM114" s="17"/>
      <c r="KFN114" s="17"/>
      <c r="KFO114" s="17"/>
      <c r="KFP114" s="17"/>
      <c r="KFQ114" s="17"/>
      <c r="KFR114" s="17"/>
      <c r="KFS114" s="17"/>
      <c r="KFT114" s="17"/>
      <c r="KFU114" s="17"/>
      <c r="KFV114" s="17"/>
      <c r="KFW114" s="17"/>
      <c r="KFX114" s="17"/>
      <c r="KFY114" s="17"/>
      <c r="KFZ114" s="17"/>
      <c r="KGA114" s="17"/>
      <c r="KGB114" s="17"/>
      <c r="KGC114" s="17"/>
      <c r="KGD114" s="17"/>
      <c r="KGE114" s="17"/>
      <c r="KGF114" s="17"/>
      <c r="KGG114" s="17"/>
      <c r="KGH114" s="17"/>
      <c r="KGI114" s="17"/>
      <c r="KGJ114" s="17"/>
      <c r="KGK114" s="17"/>
      <c r="KGL114" s="17"/>
      <c r="KGM114" s="17"/>
      <c r="KGN114" s="17"/>
      <c r="KGO114" s="17"/>
      <c r="KGP114" s="17"/>
      <c r="KGQ114" s="17"/>
      <c r="KGR114" s="17"/>
      <c r="KGS114" s="17"/>
      <c r="KGT114" s="17"/>
      <c r="KGU114" s="17"/>
      <c r="KGV114" s="17"/>
      <c r="KGW114" s="17"/>
      <c r="KGX114" s="17"/>
      <c r="KGY114" s="17"/>
      <c r="KGZ114" s="17"/>
      <c r="KHA114" s="17"/>
      <c r="KHB114" s="17"/>
      <c r="KHC114" s="17"/>
      <c r="KHD114" s="17"/>
      <c r="KHE114" s="17"/>
      <c r="KHF114" s="17"/>
      <c r="KHG114" s="17"/>
      <c r="KHH114" s="17"/>
      <c r="KHI114" s="17"/>
      <c r="KHJ114" s="17"/>
      <c r="KHK114" s="17"/>
      <c r="KHL114" s="17"/>
      <c r="KHM114" s="17"/>
      <c r="KHN114" s="17"/>
      <c r="KHO114" s="17"/>
      <c r="KHP114" s="17"/>
      <c r="KHQ114" s="17"/>
      <c r="KHR114" s="17"/>
      <c r="KHS114" s="17"/>
      <c r="KHT114" s="17"/>
      <c r="KHU114" s="17"/>
      <c r="KHV114" s="17"/>
      <c r="KHW114" s="17"/>
      <c r="KHX114" s="17"/>
      <c r="KHY114" s="17"/>
      <c r="KHZ114" s="17"/>
      <c r="KIA114" s="17"/>
      <c r="KIB114" s="17"/>
      <c r="KIC114" s="17"/>
      <c r="KID114" s="17"/>
      <c r="KIE114" s="17"/>
      <c r="KIF114" s="17"/>
      <c r="KIG114" s="17"/>
      <c r="KIH114" s="17"/>
      <c r="KII114" s="17"/>
      <c r="KIJ114" s="17"/>
      <c r="KIK114" s="17"/>
      <c r="KIL114" s="17"/>
      <c r="KIM114" s="17"/>
      <c r="KIN114" s="17"/>
      <c r="KIO114" s="17"/>
      <c r="KIP114" s="17"/>
      <c r="KIQ114" s="17"/>
      <c r="KIR114" s="17"/>
      <c r="KIS114" s="17"/>
      <c r="KIT114" s="17"/>
      <c r="KIU114" s="17"/>
      <c r="KIV114" s="17"/>
      <c r="KIW114" s="17"/>
      <c r="KIX114" s="17"/>
      <c r="KIY114" s="17"/>
      <c r="KIZ114" s="17"/>
      <c r="KJA114" s="17"/>
      <c r="KJB114" s="17"/>
      <c r="KJC114" s="17"/>
      <c r="KJD114" s="17"/>
      <c r="KJE114" s="17"/>
      <c r="KJF114" s="17"/>
      <c r="KJG114" s="17"/>
      <c r="KJH114" s="17"/>
      <c r="KJI114" s="17"/>
      <c r="KJJ114" s="17"/>
      <c r="KJK114" s="17"/>
      <c r="KJL114" s="17"/>
      <c r="KJM114" s="17"/>
      <c r="KJN114" s="17"/>
      <c r="KJO114" s="17"/>
      <c r="KJP114" s="17"/>
      <c r="KJQ114" s="17"/>
      <c r="KJR114" s="17"/>
      <c r="KJS114" s="17"/>
      <c r="KJT114" s="17"/>
      <c r="KJU114" s="17"/>
      <c r="KJV114" s="17"/>
      <c r="KJW114" s="17"/>
      <c r="KJX114" s="17"/>
      <c r="KJY114" s="17"/>
      <c r="KJZ114" s="17"/>
      <c r="KKA114" s="17"/>
      <c r="KKB114" s="17"/>
      <c r="KKC114" s="17"/>
      <c r="KKD114" s="17"/>
      <c r="KKE114" s="17"/>
      <c r="KKF114" s="17"/>
      <c r="KKG114" s="17"/>
      <c r="KKH114" s="17"/>
      <c r="KKI114" s="17"/>
      <c r="KKJ114" s="17"/>
      <c r="KKK114" s="17"/>
      <c r="KKL114" s="17"/>
      <c r="KKM114" s="17"/>
      <c r="KKN114" s="17"/>
      <c r="KKO114" s="17"/>
      <c r="KKP114" s="17"/>
      <c r="KKQ114" s="17"/>
      <c r="KKR114" s="17"/>
      <c r="KKS114" s="17"/>
      <c r="KKT114" s="17"/>
      <c r="KKU114" s="17"/>
      <c r="KKV114" s="17"/>
      <c r="KKW114" s="17"/>
      <c r="KKX114" s="17"/>
      <c r="KKY114" s="17"/>
      <c r="KKZ114" s="17"/>
      <c r="KLA114" s="17"/>
      <c r="KLB114" s="17"/>
      <c r="KLC114" s="17"/>
      <c r="KLD114" s="17"/>
      <c r="KLE114" s="17"/>
      <c r="KLF114" s="17"/>
      <c r="KLG114" s="17"/>
      <c r="KLH114" s="17"/>
      <c r="KLI114" s="17"/>
      <c r="KLJ114" s="17"/>
      <c r="KLK114" s="17"/>
      <c r="KLL114" s="17"/>
      <c r="KLM114" s="17"/>
      <c r="KLN114" s="17"/>
      <c r="KLO114" s="17"/>
      <c r="KLP114" s="17"/>
      <c r="KLQ114" s="17"/>
      <c r="KLR114" s="17"/>
      <c r="KLS114" s="17"/>
      <c r="KLT114" s="17"/>
      <c r="KLU114" s="17"/>
      <c r="KLV114" s="17"/>
      <c r="KLW114" s="17"/>
      <c r="KLX114" s="17"/>
      <c r="KLY114" s="17"/>
      <c r="KLZ114" s="17"/>
      <c r="KMA114" s="17"/>
      <c r="KMB114" s="17"/>
      <c r="KMC114" s="17"/>
      <c r="KMD114" s="17"/>
      <c r="KME114" s="17"/>
      <c r="KMF114" s="17"/>
      <c r="KMG114" s="17"/>
      <c r="KMH114" s="17"/>
      <c r="KMI114" s="17"/>
      <c r="KMJ114" s="17"/>
      <c r="KMK114" s="17"/>
      <c r="KML114" s="17"/>
      <c r="KMM114" s="17"/>
      <c r="KMN114" s="17"/>
      <c r="KMO114" s="17"/>
      <c r="KMP114" s="17"/>
      <c r="KMQ114" s="17"/>
      <c r="KMR114" s="17"/>
      <c r="KMS114" s="17"/>
      <c r="KMT114" s="17"/>
      <c r="KMU114" s="17"/>
      <c r="KMV114" s="17"/>
      <c r="KMW114" s="17"/>
      <c r="KMX114" s="17"/>
      <c r="KMY114" s="17"/>
      <c r="KMZ114" s="17"/>
      <c r="KNA114" s="17"/>
      <c r="KNB114" s="17"/>
      <c r="KNC114" s="17"/>
      <c r="KND114" s="17"/>
      <c r="KNE114" s="17"/>
      <c r="KNF114" s="17"/>
      <c r="KNG114" s="17"/>
      <c r="KNH114" s="17"/>
      <c r="KNI114" s="17"/>
      <c r="KNJ114" s="17"/>
      <c r="KNK114" s="17"/>
      <c r="KNL114" s="17"/>
      <c r="KNM114" s="17"/>
      <c r="KNN114" s="17"/>
      <c r="KNO114" s="17"/>
      <c r="KNP114" s="17"/>
      <c r="KNQ114" s="17"/>
      <c r="KNR114" s="17"/>
      <c r="KNS114" s="17"/>
      <c r="KNT114" s="17"/>
      <c r="KNU114" s="17"/>
      <c r="KNV114" s="17"/>
      <c r="KNW114" s="17"/>
      <c r="KNX114" s="17"/>
      <c r="KNY114" s="17"/>
      <c r="KNZ114" s="17"/>
      <c r="KOA114" s="17"/>
      <c r="KOB114" s="17"/>
      <c r="KOC114" s="17"/>
      <c r="KOD114" s="17"/>
      <c r="KOE114" s="17"/>
      <c r="KOF114" s="17"/>
      <c r="KOG114" s="17"/>
      <c r="KOH114" s="17"/>
      <c r="KOI114" s="17"/>
      <c r="KOJ114" s="17"/>
      <c r="KOK114" s="17"/>
      <c r="KOL114" s="17"/>
      <c r="KOM114" s="17"/>
      <c r="KON114" s="17"/>
      <c r="KOO114" s="17"/>
      <c r="KOP114" s="17"/>
      <c r="KOQ114" s="17"/>
      <c r="KOR114" s="17"/>
      <c r="KOS114" s="17"/>
      <c r="KOT114" s="17"/>
      <c r="KOU114" s="17"/>
      <c r="KOV114" s="17"/>
      <c r="KOW114" s="17"/>
      <c r="KOX114" s="17"/>
      <c r="KOY114" s="17"/>
      <c r="KOZ114" s="17"/>
      <c r="KPA114" s="17"/>
      <c r="KPB114" s="17"/>
      <c r="KPC114" s="17"/>
      <c r="KPD114" s="17"/>
      <c r="KPE114" s="17"/>
      <c r="KPF114" s="17"/>
      <c r="KPG114" s="17"/>
      <c r="KPH114" s="17"/>
      <c r="KPI114" s="17"/>
      <c r="KPJ114" s="17"/>
      <c r="KPK114" s="17"/>
      <c r="KPL114" s="17"/>
      <c r="KPM114" s="17"/>
      <c r="KPN114" s="17"/>
      <c r="KPO114" s="17"/>
      <c r="KPP114" s="17"/>
      <c r="KPQ114" s="17"/>
      <c r="KPR114" s="17"/>
      <c r="KPS114" s="17"/>
      <c r="KPT114" s="17"/>
      <c r="KPU114" s="17"/>
      <c r="KPV114" s="17"/>
      <c r="KPW114" s="17"/>
      <c r="KPX114" s="17"/>
      <c r="KPY114" s="17"/>
      <c r="KPZ114" s="17"/>
      <c r="KQA114" s="17"/>
      <c r="KQB114" s="17"/>
      <c r="KQC114" s="17"/>
      <c r="KQD114" s="17"/>
      <c r="KQE114" s="17"/>
      <c r="KQF114" s="17"/>
      <c r="KQG114" s="17"/>
      <c r="KQH114" s="17"/>
      <c r="KQI114" s="17"/>
      <c r="KQJ114" s="17"/>
      <c r="KQK114" s="17"/>
      <c r="KQL114" s="17"/>
      <c r="KQM114" s="17"/>
      <c r="KQN114" s="17"/>
      <c r="KQO114" s="17"/>
      <c r="KQP114" s="17"/>
      <c r="KQQ114" s="17"/>
      <c r="KQR114" s="17"/>
      <c r="KQS114" s="17"/>
      <c r="KQT114" s="17"/>
      <c r="KQU114" s="17"/>
      <c r="KQV114" s="17"/>
      <c r="KQW114" s="17"/>
      <c r="KQX114" s="17"/>
      <c r="KQY114" s="17"/>
      <c r="KQZ114" s="17"/>
      <c r="KRA114" s="17"/>
      <c r="KRB114" s="17"/>
      <c r="KRC114" s="17"/>
      <c r="KRD114" s="17"/>
      <c r="KRE114" s="17"/>
      <c r="KRF114" s="17"/>
      <c r="KRG114" s="17"/>
      <c r="KRH114" s="17"/>
      <c r="KRI114" s="17"/>
      <c r="KRJ114" s="17"/>
      <c r="KRK114" s="17"/>
      <c r="KRL114" s="17"/>
      <c r="KRM114" s="17"/>
      <c r="KRN114" s="17"/>
      <c r="KRO114" s="17"/>
      <c r="KRP114" s="17"/>
      <c r="KRQ114" s="17"/>
      <c r="KRR114" s="17"/>
      <c r="KRS114" s="17"/>
      <c r="KRT114" s="17"/>
      <c r="KRU114" s="17"/>
      <c r="KRV114" s="17"/>
      <c r="KRW114" s="17"/>
      <c r="KRX114" s="17"/>
      <c r="KRY114" s="17"/>
      <c r="KRZ114" s="17"/>
      <c r="KSA114" s="17"/>
      <c r="KSB114" s="17"/>
      <c r="KSC114" s="17"/>
      <c r="KSD114" s="17"/>
      <c r="KSE114" s="17"/>
      <c r="KSF114" s="17"/>
      <c r="KSG114" s="17"/>
      <c r="KSH114" s="17"/>
      <c r="KSI114" s="17"/>
      <c r="KSJ114" s="17"/>
      <c r="KSK114" s="17"/>
      <c r="KSL114" s="17"/>
      <c r="KSM114" s="17"/>
      <c r="KSN114" s="17"/>
      <c r="KSO114" s="17"/>
      <c r="KSP114" s="17"/>
      <c r="KSQ114" s="17"/>
      <c r="KSR114" s="17"/>
      <c r="KSS114" s="17"/>
      <c r="KST114" s="17"/>
      <c r="KSU114" s="17"/>
      <c r="KSV114" s="17"/>
      <c r="KSW114" s="17"/>
      <c r="KSX114" s="17"/>
      <c r="KSY114" s="17"/>
      <c r="KSZ114" s="17"/>
      <c r="KTA114" s="17"/>
      <c r="KTB114" s="17"/>
      <c r="KTC114" s="17"/>
      <c r="KTD114" s="17"/>
      <c r="KTE114" s="17"/>
      <c r="KTF114" s="17"/>
      <c r="KTG114" s="17"/>
      <c r="KTH114" s="17"/>
      <c r="KTI114" s="17"/>
      <c r="KTJ114" s="17"/>
      <c r="KTK114" s="17"/>
      <c r="KTL114" s="17"/>
      <c r="KTM114" s="17"/>
      <c r="KTN114" s="17"/>
      <c r="KTO114" s="17"/>
      <c r="KTP114" s="17"/>
      <c r="KTQ114" s="17"/>
      <c r="KTR114" s="17"/>
      <c r="KTS114" s="17"/>
      <c r="KTT114" s="17"/>
      <c r="KTU114" s="17"/>
      <c r="KTV114" s="17"/>
      <c r="KTW114" s="17"/>
      <c r="KTX114" s="17"/>
      <c r="KTY114" s="17"/>
      <c r="KTZ114" s="17"/>
      <c r="KUA114" s="17"/>
      <c r="KUB114" s="17"/>
      <c r="KUC114" s="17"/>
      <c r="KUD114" s="17"/>
      <c r="KUE114" s="17"/>
      <c r="KUF114" s="17"/>
      <c r="KUG114" s="17"/>
      <c r="KUH114" s="17"/>
      <c r="KUI114" s="17"/>
      <c r="KUJ114" s="17"/>
      <c r="KUK114" s="17"/>
      <c r="KUL114" s="17"/>
      <c r="KUM114" s="17"/>
      <c r="KUN114" s="17"/>
      <c r="KUO114" s="17"/>
      <c r="KUP114" s="17"/>
      <c r="KUQ114" s="17"/>
      <c r="KUR114" s="17"/>
      <c r="KUS114" s="17"/>
      <c r="KUT114" s="17"/>
      <c r="KUU114" s="17"/>
      <c r="KUV114" s="17"/>
      <c r="KUW114" s="17"/>
      <c r="KUX114" s="17"/>
      <c r="KUY114" s="17"/>
      <c r="KUZ114" s="17"/>
      <c r="KVA114" s="17"/>
      <c r="KVB114" s="17"/>
      <c r="KVC114" s="17"/>
      <c r="KVD114" s="17"/>
      <c r="KVE114" s="17"/>
      <c r="KVF114" s="17"/>
      <c r="KVG114" s="17"/>
      <c r="KVH114" s="17"/>
      <c r="KVI114" s="17"/>
      <c r="KVJ114" s="17"/>
      <c r="KVK114" s="17"/>
      <c r="KVL114" s="17"/>
      <c r="KVM114" s="17"/>
      <c r="KVN114" s="17"/>
      <c r="KVO114" s="17"/>
      <c r="KVP114" s="17"/>
      <c r="KVQ114" s="17"/>
      <c r="KVR114" s="17"/>
      <c r="KVS114" s="17"/>
      <c r="KVT114" s="17"/>
      <c r="KVU114" s="17"/>
      <c r="KVV114" s="17"/>
      <c r="KVW114" s="17"/>
      <c r="KVX114" s="17"/>
      <c r="KVY114" s="17"/>
      <c r="KVZ114" s="17"/>
      <c r="KWA114" s="17"/>
      <c r="KWB114" s="17"/>
      <c r="KWC114" s="17"/>
      <c r="KWD114" s="17"/>
      <c r="KWE114" s="17"/>
      <c r="KWF114" s="17"/>
      <c r="KWG114" s="17"/>
      <c r="KWH114" s="17"/>
      <c r="KWI114" s="17"/>
      <c r="KWJ114" s="17"/>
      <c r="KWK114" s="17"/>
      <c r="KWL114" s="17"/>
      <c r="KWM114" s="17"/>
      <c r="KWN114" s="17"/>
      <c r="KWO114" s="17"/>
      <c r="KWP114" s="17"/>
      <c r="KWQ114" s="17"/>
      <c r="KWR114" s="17"/>
      <c r="KWS114" s="17"/>
      <c r="KWT114" s="17"/>
      <c r="KWU114" s="17"/>
      <c r="KWV114" s="17"/>
      <c r="KWW114" s="17"/>
      <c r="KWX114" s="17"/>
      <c r="KWY114" s="17"/>
      <c r="KWZ114" s="17"/>
      <c r="KXA114" s="17"/>
      <c r="KXB114" s="17"/>
      <c r="KXC114" s="17"/>
      <c r="KXD114" s="17"/>
      <c r="KXE114" s="17"/>
      <c r="KXF114" s="17"/>
      <c r="KXG114" s="17"/>
      <c r="KXH114" s="17"/>
      <c r="KXI114" s="17"/>
      <c r="KXJ114" s="17"/>
      <c r="KXK114" s="17"/>
      <c r="KXL114" s="17"/>
      <c r="KXM114" s="17"/>
      <c r="KXN114" s="17"/>
      <c r="KXO114" s="17"/>
      <c r="KXP114" s="17"/>
      <c r="KXQ114" s="17"/>
      <c r="KXR114" s="17"/>
      <c r="KXS114" s="17"/>
      <c r="KXT114" s="17"/>
      <c r="KXU114" s="17"/>
      <c r="KXV114" s="17"/>
      <c r="KXW114" s="17"/>
      <c r="KXX114" s="17"/>
      <c r="KXY114" s="17"/>
      <c r="KXZ114" s="17"/>
      <c r="KYA114" s="17"/>
      <c r="KYB114" s="17"/>
      <c r="KYC114" s="17"/>
      <c r="KYD114" s="17"/>
      <c r="KYE114" s="17"/>
      <c r="KYF114" s="17"/>
      <c r="KYG114" s="17"/>
      <c r="KYH114" s="17"/>
      <c r="KYI114" s="17"/>
      <c r="KYJ114" s="17"/>
      <c r="KYK114" s="17"/>
      <c r="KYL114" s="17"/>
      <c r="KYM114" s="17"/>
      <c r="KYN114" s="17"/>
      <c r="KYO114" s="17"/>
      <c r="KYP114" s="17"/>
      <c r="KYQ114" s="17"/>
      <c r="KYR114" s="17"/>
      <c r="KYS114" s="17"/>
      <c r="KYT114" s="17"/>
      <c r="KYU114" s="17"/>
      <c r="KYV114" s="17"/>
      <c r="KYW114" s="17"/>
      <c r="KYX114" s="17"/>
      <c r="KYY114" s="17"/>
      <c r="KYZ114" s="17"/>
      <c r="KZA114" s="17"/>
      <c r="KZB114" s="17"/>
      <c r="KZC114" s="17"/>
      <c r="KZD114" s="17"/>
      <c r="KZE114" s="17"/>
      <c r="KZF114" s="17"/>
      <c r="KZG114" s="17"/>
      <c r="KZH114" s="17"/>
      <c r="KZI114" s="17"/>
      <c r="KZJ114" s="17"/>
      <c r="KZK114" s="17"/>
      <c r="KZL114" s="17"/>
      <c r="KZM114" s="17"/>
      <c r="KZN114" s="17"/>
      <c r="KZO114" s="17"/>
      <c r="KZP114" s="17"/>
      <c r="KZQ114" s="17"/>
      <c r="KZR114" s="17"/>
      <c r="KZS114" s="17"/>
      <c r="KZT114" s="17"/>
      <c r="KZU114" s="17"/>
      <c r="KZV114" s="17"/>
      <c r="KZW114" s="17"/>
      <c r="KZX114" s="17"/>
      <c r="KZY114" s="17"/>
      <c r="KZZ114" s="17"/>
      <c r="LAA114" s="17"/>
      <c r="LAB114" s="17"/>
      <c r="LAC114" s="17"/>
      <c r="LAD114" s="17"/>
      <c r="LAE114" s="17"/>
      <c r="LAF114" s="17"/>
      <c r="LAG114" s="17"/>
      <c r="LAH114" s="17"/>
      <c r="LAI114" s="17"/>
      <c r="LAJ114" s="17"/>
      <c r="LAK114" s="17"/>
      <c r="LAL114" s="17"/>
      <c r="LAM114" s="17"/>
      <c r="LAN114" s="17"/>
      <c r="LAO114" s="17"/>
      <c r="LAP114" s="17"/>
      <c r="LAQ114" s="17"/>
      <c r="LAR114" s="17"/>
      <c r="LAS114" s="17"/>
      <c r="LAT114" s="17"/>
      <c r="LAU114" s="17"/>
      <c r="LAV114" s="17"/>
      <c r="LAW114" s="17"/>
      <c r="LAX114" s="17"/>
      <c r="LAY114" s="17"/>
      <c r="LAZ114" s="17"/>
      <c r="LBA114" s="17"/>
      <c r="LBB114" s="17"/>
      <c r="LBC114" s="17"/>
      <c r="LBD114" s="17"/>
      <c r="LBE114" s="17"/>
      <c r="LBF114" s="17"/>
      <c r="LBG114" s="17"/>
      <c r="LBH114" s="17"/>
      <c r="LBI114" s="17"/>
      <c r="LBJ114" s="17"/>
      <c r="LBK114" s="17"/>
      <c r="LBL114" s="17"/>
      <c r="LBM114" s="17"/>
      <c r="LBN114" s="17"/>
      <c r="LBO114" s="17"/>
      <c r="LBP114" s="17"/>
      <c r="LBQ114" s="17"/>
      <c r="LBR114" s="17"/>
      <c r="LBS114" s="17"/>
      <c r="LBT114" s="17"/>
      <c r="LBU114" s="17"/>
      <c r="LBV114" s="17"/>
      <c r="LBW114" s="17"/>
      <c r="LBX114" s="17"/>
      <c r="LBY114" s="17"/>
      <c r="LBZ114" s="17"/>
      <c r="LCA114" s="17"/>
      <c r="LCB114" s="17"/>
      <c r="LCC114" s="17"/>
      <c r="LCD114" s="17"/>
      <c r="LCE114" s="17"/>
      <c r="LCF114" s="17"/>
      <c r="LCG114" s="17"/>
      <c r="LCH114" s="17"/>
      <c r="LCI114" s="17"/>
      <c r="LCJ114" s="17"/>
      <c r="LCK114" s="17"/>
      <c r="LCL114" s="17"/>
      <c r="LCM114" s="17"/>
      <c r="LCN114" s="17"/>
      <c r="LCO114" s="17"/>
      <c r="LCP114" s="17"/>
      <c r="LCQ114" s="17"/>
      <c r="LCR114" s="17"/>
      <c r="LCS114" s="17"/>
      <c r="LCT114" s="17"/>
      <c r="LCU114" s="17"/>
      <c r="LCV114" s="17"/>
      <c r="LCW114" s="17"/>
      <c r="LCX114" s="17"/>
      <c r="LCY114" s="17"/>
      <c r="LCZ114" s="17"/>
      <c r="LDA114" s="17"/>
      <c r="LDB114" s="17"/>
      <c r="LDC114" s="17"/>
      <c r="LDD114" s="17"/>
      <c r="LDE114" s="17"/>
      <c r="LDF114" s="17"/>
      <c r="LDG114" s="17"/>
      <c r="LDH114" s="17"/>
      <c r="LDI114" s="17"/>
      <c r="LDJ114" s="17"/>
      <c r="LDK114" s="17"/>
      <c r="LDL114" s="17"/>
      <c r="LDM114" s="17"/>
      <c r="LDN114" s="17"/>
      <c r="LDO114" s="17"/>
      <c r="LDP114" s="17"/>
      <c r="LDQ114" s="17"/>
      <c r="LDR114" s="17"/>
      <c r="LDS114" s="17"/>
      <c r="LDT114" s="17"/>
      <c r="LDU114" s="17"/>
      <c r="LDV114" s="17"/>
      <c r="LDW114" s="17"/>
      <c r="LDX114" s="17"/>
      <c r="LDY114" s="17"/>
      <c r="LDZ114" s="17"/>
      <c r="LEA114" s="17"/>
      <c r="LEB114" s="17"/>
      <c r="LEC114" s="17"/>
      <c r="LED114" s="17"/>
      <c r="LEE114" s="17"/>
      <c r="LEF114" s="17"/>
      <c r="LEG114" s="17"/>
      <c r="LEH114" s="17"/>
      <c r="LEI114" s="17"/>
      <c r="LEJ114" s="17"/>
      <c r="LEK114" s="17"/>
      <c r="LEL114" s="17"/>
      <c r="LEM114" s="17"/>
      <c r="LEN114" s="17"/>
      <c r="LEO114" s="17"/>
      <c r="LEP114" s="17"/>
      <c r="LEQ114" s="17"/>
      <c r="LER114" s="17"/>
      <c r="LES114" s="17"/>
      <c r="LET114" s="17"/>
      <c r="LEU114" s="17"/>
      <c r="LEV114" s="17"/>
      <c r="LEW114" s="17"/>
      <c r="LEX114" s="17"/>
      <c r="LEY114" s="17"/>
      <c r="LEZ114" s="17"/>
      <c r="LFA114" s="17"/>
      <c r="LFB114" s="17"/>
      <c r="LFC114" s="17"/>
      <c r="LFD114" s="17"/>
      <c r="LFE114" s="17"/>
      <c r="LFF114" s="17"/>
      <c r="LFG114" s="17"/>
      <c r="LFH114" s="17"/>
      <c r="LFI114" s="17"/>
      <c r="LFJ114" s="17"/>
      <c r="LFK114" s="17"/>
      <c r="LFL114" s="17"/>
      <c r="LFM114" s="17"/>
      <c r="LFN114" s="17"/>
      <c r="LFO114" s="17"/>
      <c r="LFP114" s="17"/>
      <c r="LFQ114" s="17"/>
      <c r="LFR114" s="17"/>
      <c r="LFS114" s="17"/>
      <c r="LFT114" s="17"/>
      <c r="LFU114" s="17"/>
      <c r="LFV114" s="17"/>
      <c r="LFW114" s="17"/>
      <c r="LFX114" s="17"/>
      <c r="LFY114" s="17"/>
      <c r="LFZ114" s="17"/>
      <c r="LGA114" s="17"/>
      <c r="LGB114" s="17"/>
      <c r="LGC114" s="17"/>
      <c r="LGD114" s="17"/>
      <c r="LGE114" s="17"/>
      <c r="LGF114" s="17"/>
      <c r="LGG114" s="17"/>
      <c r="LGH114" s="17"/>
      <c r="LGI114" s="17"/>
      <c r="LGJ114" s="17"/>
      <c r="LGK114" s="17"/>
      <c r="LGL114" s="17"/>
      <c r="LGM114" s="17"/>
      <c r="LGN114" s="17"/>
      <c r="LGO114" s="17"/>
      <c r="LGP114" s="17"/>
      <c r="LGQ114" s="17"/>
      <c r="LGR114" s="17"/>
      <c r="LGS114" s="17"/>
      <c r="LGT114" s="17"/>
      <c r="LGU114" s="17"/>
      <c r="LGV114" s="17"/>
      <c r="LGW114" s="17"/>
      <c r="LGX114" s="17"/>
      <c r="LGY114" s="17"/>
      <c r="LGZ114" s="17"/>
      <c r="LHA114" s="17"/>
      <c r="LHB114" s="17"/>
      <c r="LHC114" s="17"/>
      <c r="LHD114" s="17"/>
      <c r="LHE114" s="17"/>
      <c r="LHF114" s="17"/>
      <c r="LHG114" s="17"/>
      <c r="LHH114" s="17"/>
      <c r="LHI114" s="17"/>
      <c r="LHJ114" s="17"/>
      <c r="LHK114" s="17"/>
      <c r="LHL114" s="17"/>
      <c r="LHM114" s="17"/>
      <c r="LHN114" s="17"/>
      <c r="LHO114" s="17"/>
      <c r="LHP114" s="17"/>
      <c r="LHQ114" s="17"/>
      <c r="LHR114" s="17"/>
      <c r="LHS114" s="17"/>
      <c r="LHT114" s="17"/>
      <c r="LHU114" s="17"/>
      <c r="LHV114" s="17"/>
      <c r="LHW114" s="17"/>
      <c r="LHX114" s="17"/>
      <c r="LHY114" s="17"/>
      <c r="LHZ114" s="17"/>
      <c r="LIA114" s="17"/>
      <c r="LIB114" s="17"/>
      <c r="LIC114" s="17"/>
      <c r="LID114" s="17"/>
      <c r="LIE114" s="17"/>
      <c r="LIF114" s="17"/>
      <c r="LIG114" s="17"/>
      <c r="LIH114" s="17"/>
      <c r="LII114" s="17"/>
      <c r="LIJ114" s="17"/>
      <c r="LIK114" s="17"/>
      <c r="LIL114" s="17"/>
      <c r="LIM114" s="17"/>
      <c r="LIN114" s="17"/>
      <c r="LIO114" s="17"/>
      <c r="LIP114" s="17"/>
      <c r="LIQ114" s="17"/>
      <c r="LIR114" s="17"/>
      <c r="LIS114" s="17"/>
      <c r="LIT114" s="17"/>
      <c r="LIU114" s="17"/>
      <c r="LIV114" s="17"/>
      <c r="LIW114" s="17"/>
      <c r="LIX114" s="17"/>
      <c r="LIY114" s="17"/>
      <c r="LIZ114" s="17"/>
      <c r="LJA114" s="17"/>
      <c r="LJB114" s="17"/>
      <c r="LJC114" s="17"/>
      <c r="LJD114" s="17"/>
      <c r="LJE114" s="17"/>
      <c r="LJF114" s="17"/>
      <c r="LJG114" s="17"/>
      <c r="LJH114" s="17"/>
      <c r="LJI114" s="17"/>
      <c r="LJJ114" s="17"/>
      <c r="LJK114" s="17"/>
      <c r="LJL114" s="17"/>
      <c r="LJM114" s="17"/>
      <c r="LJN114" s="17"/>
      <c r="LJO114" s="17"/>
      <c r="LJP114" s="17"/>
      <c r="LJQ114" s="17"/>
      <c r="LJR114" s="17"/>
      <c r="LJS114" s="17"/>
      <c r="LJT114" s="17"/>
      <c r="LJU114" s="17"/>
      <c r="LJV114" s="17"/>
      <c r="LJW114" s="17"/>
      <c r="LJX114" s="17"/>
      <c r="LJY114" s="17"/>
      <c r="LJZ114" s="17"/>
      <c r="LKA114" s="17"/>
      <c r="LKB114" s="17"/>
      <c r="LKC114" s="17"/>
      <c r="LKD114" s="17"/>
      <c r="LKE114" s="17"/>
      <c r="LKF114" s="17"/>
      <c r="LKG114" s="17"/>
      <c r="LKH114" s="17"/>
      <c r="LKI114" s="17"/>
      <c r="LKJ114" s="17"/>
      <c r="LKK114" s="17"/>
      <c r="LKL114" s="17"/>
      <c r="LKM114" s="17"/>
      <c r="LKN114" s="17"/>
      <c r="LKO114" s="17"/>
      <c r="LKP114" s="17"/>
      <c r="LKQ114" s="17"/>
      <c r="LKR114" s="17"/>
      <c r="LKS114" s="17"/>
      <c r="LKT114" s="17"/>
      <c r="LKU114" s="17"/>
      <c r="LKV114" s="17"/>
      <c r="LKW114" s="17"/>
      <c r="LKX114" s="17"/>
      <c r="LKY114" s="17"/>
      <c r="LKZ114" s="17"/>
      <c r="LLA114" s="17"/>
      <c r="LLB114" s="17"/>
      <c r="LLC114" s="17"/>
      <c r="LLD114" s="17"/>
      <c r="LLE114" s="17"/>
      <c r="LLF114" s="17"/>
      <c r="LLG114" s="17"/>
      <c r="LLH114" s="17"/>
      <c r="LLI114" s="17"/>
      <c r="LLJ114" s="17"/>
      <c r="LLK114" s="17"/>
      <c r="LLL114" s="17"/>
      <c r="LLM114" s="17"/>
      <c r="LLN114" s="17"/>
      <c r="LLO114" s="17"/>
      <c r="LLP114" s="17"/>
      <c r="LLQ114" s="17"/>
      <c r="LLR114" s="17"/>
      <c r="LLS114" s="17"/>
      <c r="LLT114" s="17"/>
      <c r="LLU114" s="17"/>
      <c r="LLV114" s="17"/>
      <c r="LLW114" s="17"/>
      <c r="LLX114" s="17"/>
      <c r="LLY114" s="17"/>
      <c r="LLZ114" s="17"/>
      <c r="LMA114" s="17"/>
      <c r="LMB114" s="17"/>
      <c r="LMC114" s="17"/>
      <c r="LMD114" s="17"/>
      <c r="LME114" s="17"/>
      <c r="LMF114" s="17"/>
      <c r="LMG114" s="17"/>
      <c r="LMH114" s="17"/>
      <c r="LMI114" s="17"/>
      <c r="LMJ114" s="17"/>
      <c r="LMK114" s="17"/>
      <c r="LML114" s="17"/>
      <c r="LMM114" s="17"/>
      <c r="LMN114" s="17"/>
      <c r="LMO114" s="17"/>
      <c r="LMP114" s="17"/>
      <c r="LMQ114" s="17"/>
      <c r="LMR114" s="17"/>
      <c r="LMS114" s="17"/>
      <c r="LMT114" s="17"/>
      <c r="LMU114" s="17"/>
      <c r="LMV114" s="17"/>
      <c r="LMW114" s="17"/>
      <c r="LMX114" s="17"/>
      <c r="LMY114" s="17"/>
      <c r="LMZ114" s="17"/>
      <c r="LNA114" s="17"/>
      <c r="LNB114" s="17"/>
      <c r="LNC114" s="17"/>
      <c r="LND114" s="17"/>
      <c r="LNE114" s="17"/>
      <c r="LNF114" s="17"/>
      <c r="LNG114" s="17"/>
      <c r="LNH114" s="17"/>
      <c r="LNI114" s="17"/>
      <c r="LNJ114" s="17"/>
      <c r="LNK114" s="17"/>
      <c r="LNL114" s="17"/>
      <c r="LNM114" s="17"/>
      <c r="LNN114" s="17"/>
      <c r="LNO114" s="17"/>
      <c r="LNP114" s="17"/>
      <c r="LNQ114" s="17"/>
      <c r="LNR114" s="17"/>
      <c r="LNS114" s="17"/>
      <c r="LNT114" s="17"/>
      <c r="LNU114" s="17"/>
      <c r="LNV114" s="17"/>
      <c r="LNW114" s="17"/>
      <c r="LNX114" s="17"/>
      <c r="LNY114" s="17"/>
      <c r="LNZ114" s="17"/>
      <c r="LOA114" s="17"/>
      <c r="LOB114" s="17"/>
      <c r="LOC114" s="17"/>
      <c r="LOD114" s="17"/>
      <c r="LOE114" s="17"/>
      <c r="LOF114" s="17"/>
      <c r="LOG114" s="17"/>
      <c r="LOH114" s="17"/>
      <c r="LOI114" s="17"/>
      <c r="LOJ114" s="17"/>
      <c r="LOK114" s="17"/>
      <c r="LOL114" s="17"/>
      <c r="LOM114" s="17"/>
      <c r="LON114" s="17"/>
      <c r="LOO114" s="17"/>
      <c r="LOP114" s="17"/>
      <c r="LOQ114" s="17"/>
      <c r="LOR114" s="17"/>
      <c r="LOS114" s="17"/>
      <c r="LOT114" s="17"/>
      <c r="LOU114" s="17"/>
      <c r="LOV114" s="17"/>
      <c r="LOW114" s="17"/>
      <c r="LOX114" s="17"/>
      <c r="LOY114" s="17"/>
      <c r="LOZ114" s="17"/>
      <c r="LPA114" s="17"/>
      <c r="LPB114" s="17"/>
      <c r="LPC114" s="17"/>
      <c r="LPD114" s="17"/>
      <c r="LPE114" s="17"/>
      <c r="LPF114" s="17"/>
      <c r="LPG114" s="17"/>
      <c r="LPH114" s="17"/>
      <c r="LPI114" s="17"/>
      <c r="LPJ114" s="17"/>
      <c r="LPK114" s="17"/>
      <c r="LPL114" s="17"/>
      <c r="LPM114" s="17"/>
      <c r="LPN114" s="17"/>
      <c r="LPO114" s="17"/>
      <c r="LPP114" s="17"/>
      <c r="LPQ114" s="17"/>
      <c r="LPR114" s="17"/>
      <c r="LPS114" s="17"/>
      <c r="LPT114" s="17"/>
      <c r="LPU114" s="17"/>
      <c r="LPV114" s="17"/>
      <c r="LPW114" s="17"/>
      <c r="LPX114" s="17"/>
      <c r="LPY114" s="17"/>
      <c r="LPZ114" s="17"/>
      <c r="LQA114" s="17"/>
      <c r="LQB114" s="17"/>
      <c r="LQC114" s="17"/>
      <c r="LQD114" s="17"/>
      <c r="LQE114" s="17"/>
      <c r="LQF114" s="17"/>
      <c r="LQG114" s="17"/>
      <c r="LQH114" s="17"/>
      <c r="LQI114" s="17"/>
      <c r="LQJ114" s="17"/>
      <c r="LQK114" s="17"/>
      <c r="LQL114" s="17"/>
      <c r="LQM114" s="17"/>
      <c r="LQN114" s="17"/>
      <c r="LQO114" s="17"/>
      <c r="LQP114" s="17"/>
      <c r="LQQ114" s="17"/>
      <c r="LQR114" s="17"/>
      <c r="LQS114" s="17"/>
      <c r="LQT114" s="17"/>
      <c r="LQU114" s="17"/>
      <c r="LQV114" s="17"/>
      <c r="LQW114" s="17"/>
      <c r="LQX114" s="17"/>
      <c r="LQY114" s="17"/>
      <c r="LQZ114" s="17"/>
      <c r="LRA114" s="17"/>
      <c r="LRB114" s="17"/>
      <c r="LRC114" s="17"/>
      <c r="LRD114" s="17"/>
      <c r="LRE114" s="17"/>
      <c r="LRF114" s="17"/>
      <c r="LRG114" s="17"/>
      <c r="LRH114" s="17"/>
      <c r="LRI114" s="17"/>
      <c r="LRJ114" s="17"/>
      <c r="LRK114" s="17"/>
      <c r="LRL114" s="17"/>
      <c r="LRM114" s="17"/>
      <c r="LRN114" s="17"/>
      <c r="LRO114" s="17"/>
      <c r="LRP114" s="17"/>
      <c r="LRQ114" s="17"/>
      <c r="LRR114" s="17"/>
      <c r="LRS114" s="17"/>
      <c r="LRT114" s="17"/>
      <c r="LRU114" s="17"/>
      <c r="LRV114" s="17"/>
      <c r="LRW114" s="17"/>
      <c r="LRX114" s="17"/>
      <c r="LRY114" s="17"/>
      <c r="LRZ114" s="17"/>
      <c r="LSA114" s="17"/>
      <c r="LSB114" s="17"/>
      <c r="LSC114" s="17"/>
      <c r="LSD114" s="17"/>
      <c r="LSE114" s="17"/>
      <c r="LSF114" s="17"/>
      <c r="LSG114" s="17"/>
      <c r="LSH114" s="17"/>
      <c r="LSI114" s="17"/>
      <c r="LSJ114" s="17"/>
      <c r="LSK114" s="17"/>
      <c r="LSL114" s="17"/>
      <c r="LSM114" s="17"/>
      <c r="LSN114" s="17"/>
      <c r="LSO114" s="17"/>
      <c r="LSP114" s="17"/>
      <c r="LSQ114" s="17"/>
      <c r="LSR114" s="17"/>
      <c r="LSS114" s="17"/>
      <c r="LST114" s="17"/>
      <c r="LSU114" s="17"/>
      <c r="LSV114" s="17"/>
      <c r="LSW114" s="17"/>
      <c r="LSX114" s="17"/>
      <c r="LSY114" s="17"/>
      <c r="LSZ114" s="17"/>
      <c r="LTA114" s="17"/>
      <c r="LTB114" s="17"/>
      <c r="LTC114" s="17"/>
      <c r="LTD114" s="17"/>
      <c r="LTE114" s="17"/>
      <c r="LTF114" s="17"/>
      <c r="LTG114" s="17"/>
      <c r="LTH114" s="17"/>
      <c r="LTI114" s="17"/>
      <c r="LTJ114" s="17"/>
      <c r="LTK114" s="17"/>
      <c r="LTL114" s="17"/>
      <c r="LTM114" s="17"/>
      <c r="LTN114" s="17"/>
      <c r="LTO114" s="17"/>
      <c r="LTP114" s="17"/>
      <c r="LTQ114" s="17"/>
      <c r="LTR114" s="17"/>
      <c r="LTS114" s="17"/>
      <c r="LTT114" s="17"/>
      <c r="LTU114" s="17"/>
      <c r="LTV114" s="17"/>
      <c r="LTW114" s="17"/>
      <c r="LTX114" s="17"/>
      <c r="LTY114" s="17"/>
      <c r="LTZ114" s="17"/>
      <c r="LUA114" s="17"/>
      <c r="LUB114" s="17"/>
      <c r="LUC114" s="17"/>
      <c r="LUD114" s="17"/>
      <c r="LUE114" s="17"/>
      <c r="LUF114" s="17"/>
      <c r="LUG114" s="17"/>
      <c r="LUH114" s="17"/>
      <c r="LUI114" s="17"/>
      <c r="LUJ114" s="17"/>
      <c r="LUK114" s="17"/>
      <c r="LUL114" s="17"/>
      <c r="LUM114" s="17"/>
      <c r="LUN114" s="17"/>
      <c r="LUO114" s="17"/>
      <c r="LUP114" s="17"/>
      <c r="LUQ114" s="17"/>
      <c r="LUR114" s="17"/>
      <c r="LUS114" s="17"/>
      <c r="LUT114" s="17"/>
      <c r="LUU114" s="17"/>
      <c r="LUV114" s="17"/>
      <c r="LUW114" s="17"/>
      <c r="LUX114" s="17"/>
      <c r="LUY114" s="17"/>
      <c r="LUZ114" s="17"/>
      <c r="LVA114" s="17"/>
      <c r="LVB114" s="17"/>
      <c r="LVC114" s="17"/>
      <c r="LVD114" s="17"/>
      <c r="LVE114" s="17"/>
      <c r="LVF114" s="17"/>
      <c r="LVG114" s="17"/>
      <c r="LVH114" s="17"/>
      <c r="LVI114" s="17"/>
      <c r="LVJ114" s="17"/>
      <c r="LVK114" s="17"/>
      <c r="LVL114" s="17"/>
      <c r="LVM114" s="17"/>
      <c r="LVN114" s="17"/>
      <c r="LVO114" s="17"/>
      <c r="LVP114" s="17"/>
      <c r="LVQ114" s="17"/>
      <c r="LVR114" s="17"/>
      <c r="LVS114" s="17"/>
      <c r="LVT114" s="17"/>
      <c r="LVU114" s="17"/>
      <c r="LVV114" s="17"/>
      <c r="LVW114" s="17"/>
      <c r="LVX114" s="17"/>
      <c r="LVY114" s="17"/>
      <c r="LVZ114" s="17"/>
      <c r="LWA114" s="17"/>
      <c r="LWB114" s="17"/>
      <c r="LWC114" s="17"/>
      <c r="LWD114" s="17"/>
      <c r="LWE114" s="17"/>
      <c r="LWF114" s="17"/>
      <c r="LWG114" s="17"/>
      <c r="LWH114" s="17"/>
      <c r="LWI114" s="17"/>
      <c r="LWJ114" s="17"/>
      <c r="LWK114" s="17"/>
      <c r="LWL114" s="17"/>
      <c r="LWM114" s="17"/>
      <c r="LWN114" s="17"/>
      <c r="LWO114" s="17"/>
      <c r="LWP114" s="17"/>
      <c r="LWQ114" s="17"/>
      <c r="LWR114" s="17"/>
      <c r="LWS114" s="17"/>
      <c r="LWT114" s="17"/>
      <c r="LWU114" s="17"/>
      <c r="LWV114" s="17"/>
      <c r="LWW114" s="17"/>
      <c r="LWX114" s="17"/>
      <c r="LWY114" s="17"/>
      <c r="LWZ114" s="17"/>
      <c r="LXA114" s="17"/>
      <c r="LXB114" s="17"/>
      <c r="LXC114" s="17"/>
      <c r="LXD114" s="17"/>
      <c r="LXE114" s="17"/>
      <c r="LXF114" s="17"/>
      <c r="LXG114" s="17"/>
      <c r="LXH114" s="17"/>
      <c r="LXI114" s="17"/>
      <c r="LXJ114" s="17"/>
      <c r="LXK114" s="17"/>
      <c r="LXL114" s="17"/>
      <c r="LXM114" s="17"/>
      <c r="LXN114" s="17"/>
      <c r="LXO114" s="17"/>
      <c r="LXP114" s="17"/>
      <c r="LXQ114" s="17"/>
      <c r="LXR114" s="17"/>
      <c r="LXS114" s="17"/>
      <c r="LXT114" s="17"/>
      <c r="LXU114" s="17"/>
      <c r="LXV114" s="17"/>
      <c r="LXW114" s="17"/>
      <c r="LXX114" s="17"/>
      <c r="LXY114" s="17"/>
      <c r="LXZ114" s="17"/>
      <c r="LYA114" s="17"/>
      <c r="LYB114" s="17"/>
      <c r="LYC114" s="17"/>
      <c r="LYD114" s="17"/>
      <c r="LYE114" s="17"/>
      <c r="LYF114" s="17"/>
      <c r="LYG114" s="17"/>
      <c r="LYH114" s="17"/>
      <c r="LYI114" s="17"/>
      <c r="LYJ114" s="17"/>
      <c r="LYK114" s="17"/>
      <c r="LYL114" s="17"/>
      <c r="LYM114" s="17"/>
      <c r="LYN114" s="17"/>
      <c r="LYO114" s="17"/>
      <c r="LYP114" s="17"/>
      <c r="LYQ114" s="17"/>
      <c r="LYR114" s="17"/>
      <c r="LYS114" s="17"/>
      <c r="LYT114" s="17"/>
      <c r="LYU114" s="17"/>
      <c r="LYV114" s="17"/>
      <c r="LYW114" s="17"/>
      <c r="LYX114" s="17"/>
      <c r="LYY114" s="17"/>
      <c r="LYZ114" s="17"/>
      <c r="LZA114" s="17"/>
      <c r="LZB114" s="17"/>
      <c r="LZC114" s="17"/>
      <c r="LZD114" s="17"/>
      <c r="LZE114" s="17"/>
      <c r="LZF114" s="17"/>
      <c r="LZG114" s="17"/>
      <c r="LZH114" s="17"/>
      <c r="LZI114" s="17"/>
      <c r="LZJ114" s="17"/>
      <c r="LZK114" s="17"/>
      <c r="LZL114" s="17"/>
      <c r="LZM114" s="17"/>
      <c r="LZN114" s="17"/>
      <c r="LZO114" s="17"/>
      <c r="LZP114" s="17"/>
      <c r="LZQ114" s="17"/>
      <c r="LZR114" s="17"/>
      <c r="LZS114" s="17"/>
      <c r="LZT114" s="17"/>
      <c r="LZU114" s="17"/>
      <c r="LZV114" s="17"/>
      <c r="LZW114" s="17"/>
      <c r="LZX114" s="17"/>
      <c r="LZY114" s="17"/>
      <c r="LZZ114" s="17"/>
      <c r="MAA114" s="17"/>
      <c r="MAB114" s="17"/>
      <c r="MAC114" s="17"/>
      <c r="MAD114" s="17"/>
      <c r="MAE114" s="17"/>
      <c r="MAF114" s="17"/>
      <c r="MAG114" s="17"/>
      <c r="MAH114" s="17"/>
      <c r="MAI114" s="17"/>
      <c r="MAJ114" s="17"/>
      <c r="MAK114" s="17"/>
      <c r="MAL114" s="17"/>
      <c r="MAM114" s="17"/>
      <c r="MAN114" s="17"/>
      <c r="MAO114" s="17"/>
      <c r="MAP114" s="17"/>
      <c r="MAQ114" s="17"/>
      <c r="MAR114" s="17"/>
      <c r="MAS114" s="17"/>
      <c r="MAT114" s="17"/>
      <c r="MAU114" s="17"/>
      <c r="MAV114" s="17"/>
      <c r="MAW114" s="17"/>
      <c r="MAX114" s="17"/>
      <c r="MAY114" s="17"/>
      <c r="MAZ114" s="17"/>
      <c r="MBA114" s="17"/>
      <c r="MBB114" s="17"/>
      <c r="MBC114" s="17"/>
      <c r="MBD114" s="17"/>
      <c r="MBE114" s="17"/>
      <c r="MBF114" s="17"/>
      <c r="MBG114" s="17"/>
      <c r="MBH114" s="17"/>
      <c r="MBI114" s="17"/>
      <c r="MBJ114" s="17"/>
      <c r="MBK114" s="17"/>
      <c r="MBL114" s="17"/>
      <c r="MBM114" s="17"/>
      <c r="MBN114" s="17"/>
      <c r="MBO114" s="17"/>
      <c r="MBP114" s="17"/>
      <c r="MBQ114" s="17"/>
      <c r="MBR114" s="17"/>
      <c r="MBS114" s="17"/>
      <c r="MBT114" s="17"/>
      <c r="MBU114" s="17"/>
      <c r="MBV114" s="17"/>
      <c r="MBW114" s="17"/>
      <c r="MBX114" s="17"/>
      <c r="MBY114" s="17"/>
      <c r="MBZ114" s="17"/>
      <c r="MCA114" s="17"/>
      <c r="MCB114" s="17"/>
      <c r="MCC114" s="17"/>
      <c r="MCD114" s="17"/>
      <c r="MCE114" s="17"/>
      <c r="MCF114" s="17"/>
      <c r="MCG114" s="17"/>
      <c r="MCH114" s="17"/>
      <c r="MCI114" s="17"/>
      <c r="MCJ114" s="17"/>
      <c r="MCK114" s="17"/>
      <c r="MCL114" s="17"/>
      <c r="MCM114" s="17"/>
      <c r="MCN114" s="17"/>
      <c r="MCO114" s="17"/>
      <c r="MCP114" s="17"/>
      <c r="MCQ114" s="17"/>
      <c r="MCR114" s="17"/>
      <c r="MCS114" s="17"/>
      <c r="MCT114" s="17"/>
      <c r="MCU114" s="17"/>
      <c r="MCV114" s="17"/>
      <c r="MCW114" s="17"/>
      <c r="MCX114" s="17"/>
      <c r="MCY114" s="17"/>
      <c r="MCZ114" s="17"/>
      <c r="MDA114" s="17"/>
      <c r="MDB114" s="17"/>
      <c r="MDC114" s="17"/>
      <c r="MDD114" s="17"/>
      <c r="MDE114" s="17"/>
      <c r="MDF114" s="17"/>
      <c r="MDG114" s="17"/>
      <c r="MDH114" s="17"/>
      <c r="MDI114" s="17"/>
      <c r="MDJ114" s="17"/>
      <c r="MDK114" s="17"/>
      <c r="MDL114" s="17"/>
      <c r="MDM114" s="17"/>
      <c r="MDN114" s="17"/>
      <c r="MDO114" s="17"/>
      <c r="MDP114" s="17"/>
      <c r="MDQ114" s="17"/>
      <c r="MDR114" s="17"/>
      <c r="MDS114" s="17"/>
      <c r="MDT114" s="17"/>
      <c r="MDU114" s="17"/>
      <c r="MDV114" s="17"/>
      <c r="MDW114" s="17"/>
      <c r="MDX114" s="17"/>
      <c r="MDY114" s="17"/>
      <c r="MDZ114" s="17"/>
      <c r="MEA114" s="17"/>
      <c r="MEB114" s="17"/>
      <c r="MEC114" s="17"/>
      <c r="MED114" s="17"/>
      <c r="MEE114" s="17"/>
      <c r="MEF114" s="17"/>
      <c r="MEG114" s="17"/>
      <c r="MEH114" s="17"/>
      <c r="MEI114" s="17"/>
      <c r="MEJ114" s="17"/>
      <c r="MEK114" s="17"/>
      <c r="MEL114" s="17"/>
      <c r="MEM114" s="17"/>
      <c r="MEN114" s="17"/>
      <c r="MEO114" s="17"/>
      <c r="MEP114" s="17"/>
      <c r="MEQ114" s="17"/>
      <c r="MER114" s="17"/>
      <c r="MES114" s="17"/>
      <c r="MET114" s="17"/>
      <c r="MEU114" s="17"/>
      <c r="MEV114" s="17"/>
      <c r="MEW114" s="17"/>
      <c r="MEX114" s="17"/>
      <c r="MEY114" s="17"/>
      <c r="MEZ114" s="17"/>
      <c r="MFA114" s="17"/>
      <c r="MFB114" s="17"/>
      <c r="MFC114" s="17"/>
      <c r="MFD114" s="17"/>
      <c r="MFE114" s="17"/>
      <c r="MFF114" s="17"/>
      <c r="MFG114" s="17"/>
      <c r="MFH114" s="17"/>
      <c r="MFI114" s="17"/>
      <c r="MFJ114" s="17"/>
      <c r="MFK114" s="17"/>
      <c r="MFL114" s="17"/>
      <c r="MFM114" s="17"/>
      <c r="MFN114" s="17"/>
      <c r="MFO114" s="17"/>
      <c r="MFP114" s="17"/>
      <c r="MFQ114" s="17"/>
      <c r="MFR114" s="17"/>
      <c r="MFS114" s="17"/>
      <c r="MFT114" s="17"/>
      <c r="MFU114" s="17"/>
      <c r="MFV114" s="17"/>
      <c r="MFW114" s="17"/>
      <c r="MFX114" s="17"/>
      <c r="MFY114" s="17"/>
      <c r="MFZ114" s="17"/>
      <c r="MGA114" s="17"/>
      <c r="MGB114" s="17"/>
      <c r="MGC114" s="17"/>
      <c r="MGD114" s="17"/>
      <c r="MGE114" s="17"/>
      <c r="MGF114" s="17"/>
      <c r="MGG114" s="17"/>
      <c r="MGH114" s="17"/>
      <c r="MGI114" s="17"/>
      <c r="MGJ114" s="17"/>
      <c r="MGK114" s="17"/>
      <c r="MGL114" s="17"/>
      <c r="MGM114" s="17"/>
      <c r="MGN114" s="17"/>
      <c r="MGO114" s="17"/>
      <c r="MGP114" s="17"/>
      <c r="MGQ114" s="17"/>
      <c r="MGR114" s="17"/>
      <c r="MGS114" s="17"/>
      <c r="MGT114" s="17"/>
      <c r="MGU114" s="17"/>
      <c r="MGV114" s="17"/>
      <c r="MGW114" s="17"/>
      <c r="MGX114" s="17"/>
      <c r="MGY114" s="17"/>
      <c r="MGZ114" s="17"/>
      <c r="MHA114" s="17"/>
      <c r="MHB114" s="17"/>
      <c r="MHC114" s="17"/>
      <c r="MHD114" s="17"/>
      <c r="MHE114" s="17"/>
      <c r="MHF114" s="17"/>
      <c r="MHG114" s="17"/>
      <c r="MHH114" s="17"/>
      <c r="MHI114" s="17"/>
      <c r="MHJ114" s="17"/>
      <c r="MHK114" s="17"/>
      <c r="MHL114" s="17"/>
      <c r="MHM114" s="17"/>
      <c r="MHN114" s="17"/>
      <c r="MHO114" s="17"/>
      <c r="MHP114" s="17"/>
      <c r="MHQ114" s="17"/>
      <c r="MHR114" s="17"/>
      <c r="MHS114" s="17"/>
      <c r="MHT114" s="17"/>
      <c r="MHU114" s="17"/>
      <c r="MHV114" s="17"/>
      <c r="MHW114" s="17"/>
      <c r="MHX114" s="17"/>
      <c r="MHY114" s="17"/>
      <c r="MHZ114" s="17"/>
      <c r="MIA114" s="17"/>
      <c r="MIB114" s="17"/>
      <c r="MIC114" s="17"/>
      <c r="MID114" s="17"/>
      <c r="MIE114" s="17"/>
      <c r="MIF114" s="17"/>
      <c r="MIG114" s="17"/>
      <c r="MIH114" s="17"/>
      <c r="MII114" s="17"/>
      <c r="MIJ114" s="17"/>
      <c r="MIK114" s="17"/>
      <c r="MIL114" s="17"/>
      <c r="MIM114" s="17"/>
      <c r="MIN114" s="17"/>
      <c r="MIO114" s="17"/>
      <c r="MIP114" s="17"/>
      <c r="MIQ114" s="17"/>
      <c r="MIR114" s="17"/>
      <c r="MIS114" s="17"/>
      <c r="MIT114" s="17"/>
      <c r="MIU114" s="17"/>
      <c r="MIV114" s="17"/>
      <c r="MIW114" s="17"/>
      <c r="MIX114" s="17"/>
      <c r="MIY114" s="17"/>
      <c r="MIZ114" s="17"/>
      <c r="MJA114" s="17"/>
      <c r="MJB114" s="17"/>
      <c r="MJC114" s="17"/>
      <c r="MJD114" s="17"/>
      <c r="MJE114" s="17"/>
      <c r="MJF114" s="17"/>
      <c r="MJG114" s="17"/>
      <c r="MJH114" s="17"/>
      <c r="MJI114" s="17"/>
      <c r="MJJ114" s="17"/>
      <c r="MJK114" s="17"/>
      <c r="MJL114" s="17"/>
      <c r="MJM114" s="17"/>
      <c r="MJN114" s="17"/>
      <c r="MJO114" s="17"/>
      <c r="MJP114" s="17"/>
      <c r="MJQ114" s="17"/>
      <c r="MJR114" s="17"/>
      <c r="MJS114" s="17"/>
      <c r="MJT114" s="17"/>
      <c r="MJU114" s="17"/>
      <c r="MJV114" s="17"/>
      <c r="MJW114" s="17"/>
      <c r="MJX114" s="17"/>
      <c r="MJY114" s="17"/>
      <c r="MJZ114" s="17"/>
      <c r="MKA114" s="17"/>
      <c r="MKB114" s="17"/>
      <c r="MKC114" s="17"/>
      <c r="MKD114" s="17"/>
      <c r="MKE114" s="17"/>
      <c r="MKF114" s="17"/>
      <c r="MKG114" s="17"/>
      <c r="MKH114" s="17"/>
      <c r="MKI114" s="17"/>
      <c r="MKJ114" s="17"/>
      <c r="MKK114" s="17"/>
      <c r="MKL114" s="17"/>
      <c r="MKM114" s="17"/>
      <c r="MKN114" s="17"/>
      <c r="MKO114" s="17"/>
      <c r="MKP114" s="17"/>
      <c r="MKQ114" s="17"/>
      <c r="MKR114" s="17"/>
      <c r="MKS114" s="17"/>
      <c r="MKT114" s="17"/>
      <c r="MKU114" s="17"/>
      <c r="MKV114" s="17"/>
      <c r="MKW114" s="17"/>
      <c r="MKX114" s="17"/>
      <c r="MKY114" s="17"/>
      <c r="MKZ114" s="17"/>
      <c r="MLA114" s="17"/>
      <c r="MLB114" s="17"/>
      <c r="MLC114" s="17"/>
      <c r="MLD114" s="17"/>
      <c r="MLE114" s="17"/>
      <c r="MLF114" s="17"/>
      <c r="MLG114" s="17"/>
      <c r="MLH114" s="17"/>
      <c r="MLI114" s="17"/>
      <c r="MLJ114" s="17"/>
      <c r="MLK114" s="17"/>
      <c r="MLL114" s="17"/>
      <c r="MLM114" s="17"/>
      <c r="MLN114" s="17"/>
      <c r="MLO114" s="17"/>
      <c r="MLP114" s="17"/>
      <c r="MLQ114" s="17"/>
      <c r="MLR114" s="17"/>
      <c r="MLS114" s="17"/>
      <c r="MLT114" s="17"/>
      <c r="MLU114" s="17"/>
      <c r="MLV114" s="17"/>
      <c r="MLW114" s="17"/>
      <c r="MLX114" s="17"/>
      <c r="MLY114" s="17"/>
      <c r="MLZ114" s="17"/>
      <c r="MMA114" s="17"/>
      <c r="MMB114" s="17"/>
      <c r="MMC114" s="17"/>
      <c r="MMD114" s="17"/>
      <c r="MME114" s="17"/>
      <c r="MMF114" s="17"/>
      <c r="MMG114" s="17"/>
      <c r="MMH114" s="17"/>
      <c r="MMI114" s="17"/>
      <c r="MMJ114" s="17"/>
      <c r="MMK114" s="17"/>
      <c r="MML114" s="17"/>
      <c r="MMM114" s="17"/>
      <c r="MMN114" s="17"/>
      <c r="MMO114" s="17"/>
      <c r="MMP114" s="17"/>
      <c r="MMQ114" s="17"/>
      <c r="MMR114" s="17"/>
      <c r="MMS114" s="17"/>
      <c r="MMT114" s="17"/>
      <c r="MMU114" s="17"/>
      <c r="MMV114" s="17"/>
      <c r="MMW114" s="17"/>
      <c r="MMX114" s="17"/>
      <c r="MMY114" s="17"/>
      <c r="MMZ114" s="17"/>
      <c r="MNA114" s="17"/>
      <c r="MNB114" s="17"/>
      <c r="MNC114" s="17"/>
      <c r="MND114" s="17"/>
      <c r="MNE114" s="17"/>
      <c r="MNF114" s="17"/>
      <c r="MNG114" s="17"/>
      <c r="MNH114" s="17"/>
      <c r="MNI114" s="17"/>
      <c r="MNJ114" s="17"/>
      <c r="MNK114" s="17"/>
      <c r="MNL114" s="17"/>
      <c r="MNM114" s="17"/>
      <c r="MNN114" s="17"/>
      <c r="MNO114" s="17"/>
      <c r="MNP114" s="17"/>
      <c r="MNQ114" s="17"/>
      <c r="MNR114" s="17"/>
      <c r="MNS114" s="17"/>
      <c r="MNT114" s="17"/>
      <c r="MNU114" s="17"/>
      <c r="MNV114" s="17"/>
      <c r="MNW114" s="17"/>
      <c r="MNX114" s="17"/>
      <c r="MNY114" s="17"/>
      <c r="MNZ114" s="17"/>
      <c r="MOA114" s="17"/>
      <c r="MOB114" s="17"/>
      <c r="MOC114" s="17"/>
      <c r="MOD114" s="17"/>
      <c r="MOE114" s="17"/>
      <c r="MOF114" s="17"/>
      <c r="MOG114" s="17"/>
      <c r="MOH114" s="17"/>
      <c r="MOI114" s="17"/>
      <c r="MOJ114" s="17"/>
      <c r="MOK114" s="17"/>
      <c r="MOL114" s="17"/>
      <c r="MOM114" s="17"/>
      <c r="MON114" s="17"/>
      <c r="MOO114" s="17"/>
      <c r="MOP114" s="17"/>
      <c r="MOQ114" s="17"/>
      <c r="MOR114" s="17"/>
      <c r="MOS114" s="17"/>
      <c r="MOT114" s="17"/>
      <c r="MOU114" s="17"/>
      <c r="MOV114" s="17"/>
      <c r="MOW114" s="17"/>
      <c r="MOX114" s="17"/>
      <c r="MOY114" s="17"/>
      <c r="MOZ114" s="17"/>
      <c r="MPA114" s="17"/>
      <c r="MPB114" s="17"/>
      <c r="MPC114" s="17"/>
      <c r="MPD114" s="17"/>
      <c r="MPE114" s="17"/>
      <c r="MPF114" s="17"/>
      <c r="MPG114" s="17"/>
      <c r="MPH114" s="17"/>
      <c r="MPI114" s="17"/>
      <c r="MPJ114" s="17"/>
      <c r="MPK114" s="17"/>
      <c r="MPL114" s="17"/>
      <c r="MPM114" s="17"/>
      <c r="MPN114" s="17"/>
      <c r="MPO114" s="17"/>
      <c r="MPP114" s="17"/>
      <c r="MPQ114" s="17"/>
      <c r="MPR114" s="17"/>
      <c r="MPS114" s="17"/>
      <c r="MPT114" s="17"/>
      <c r="MPU114" s="17"/>
      <c r="MPV114" s="17"/>
      <c r="MPW114" s="17"/>
      <c r="MPX114" s="17"/>
      <c r="MPY114" s="17"/>
      <c r="MPZ114" s="17"/>
      <c r="MQA114" s="17"/>
      <c r="MQB114" s="17"/>
      <c r="MQC114" s="17"/>
      <c r="MQD114" s="17"/>
      <c r="MQE114" s="17"/>
      <c r="MQF114" s="17"/>
      <c r="MQG114" s="17"/>
      <c r="MQH114" s="17"/>
      <c r="MQI114" s="17"/>
      <c r="MQJ114" s="17"/>
      <c r="MQK114" s="17"/>
      <c r="MQL114" s="17"/>
      <c r="MQM114" s="17"/>
      <c r="MQN114" s="17"/>
      <c r="MQO114" s="17"/>
      <c r="MQP114" s="17"/>
      <c r="MQQ114" s="17"/>
      <c r="MQR114" s="17"/>
      <c r="MQS114" s="17"/>
      <c r="MQT114" s="17"/>
      <c r="MQU114" s="17"/>
      <c r="MQV114" s="17"/>
      <c r="MQW114" s="17"/>
      <c r="MQX114" s="17"/>
      <c r="MQY114" s="17"/>
      <c r="MQZ114" s="17"/>
      <c r="MRA114" s="17"/>
      <c r="MRB114" s="17"/>
      <c r="MRC114" s="17"/>
      <c r="MRD114" s="17"/>
      <c r="MRE114" s="17"/>
      <c r="MRF114" s="17"/>
      <c r="MRG114" s="17"/>
      <c r="MRH114" s="17"/>
      <c r="MRI114" s="17"/>
      <c r="MRJ114" s="17"/>
      <c r="MRK114" s="17"/>
      <c r="MRL114" s="17"/>
      <c r="MRM114" s="17"/>
      <c r="MRN114" s="17"/>
      <c r="MRO114" s="17"/>
      <c r="MRP114" s="17"/>
      <c r="MRQ114" s="17"/>
      <c r="MRR114" s="17"/>
      <c r="MRS114" s="17"/>
      <c r="MRT114" s="17"/>
      <c r="MRU114" s="17"/>
      <c r="MRV114" s="17"/>
      <c r="MRW114" s="17"/>
      <c r="MRX114" s="17"/>
      <c r="MRY114" s="17"/>
      <c r="MRZ114" s="17"/>
      <c r="MSA114" s="17"/>
      <c r="MSB114" s="17"/>
      <c r="MSC114" s="17"/>
      <c r="MSD114" s="17"/>
      <c r="MSE114" s="17"/>
      <c r="MSF114" s="17"/>
      <c r="MSG114" s="17"/>
      <c r="MSH114" s="17"/>
      <c r="MSI114" s="17"/>
      <c r="MSJ114" s="17"/>
      <c r="MSK114" s="17"/>
      <c r="MSL114" s="17"/>
      <c r="MSM114" s="17"/>
      <c r="MSN114" s="17"/>
      <c r="MSO114" s="17"/>
      <c r="MSP114" s="17"/>
      <c r="MSQ114" s="17"/>
      <c r="MSR114" s="17"/>
      <c r="MSS114" s="17"/>
      <c r="MST114" s="17"/>
      <c r="MSU114" s="17"/>
      <c r="MSV114" s="17"/>
      <c r="MSW114" s="17"/>
      <c r="MSX114" s="17"/>
      <c r="MSY114" s="17"/>
      <c r="MSZ114" s="17"/>
      <c r="MTA114" s="17"/>
      <c r="MTB114" s="17"/>
      <c r="MTC114" s="17"/>
      <c r="MTD114" s="17"/>
      <c r="MTE114" s="17"/>
      <c r="MTF114" s="17"/>
      <c r="MTG114" s="17"/>
      <c r="MTH114" s="17"/>
      <c r="MTI114" s="17"/>
      <c r="MTJ114" s="17"/>
      <c r="MTK114" s="17"/>
      <c r="MTL114" s="17"/>
      <c r="MTM114" s="17"/>
      <c r="MTN114" s="17"/>
      <c r="MTO114" s="17"/>
      <c r="MTP114" s="17"/>
      <c r="MTQ114" s="17"/>
      <c r="MTR114" s="17"/>
      <c r="MTS114" s="17"/>
      <c r="MTT114" s="17"/>
      <c r="MTU114" s="17"/>
      <c r="MTV114" s="17"/>
      <c r="MTW114" s="17"/>
      <c r="MTX114" s="17"/>
      <c r="MTY114" s="17"/>
      <c r="MTZ114" s="17"/>
      <c r="MUA114" s="17"/>
      <c r="MUB114" s="17"/>
      <c r="MUC114" s="17"/>
      <c r="MUD114" s="17"/>
      <c r="MUE114" s="17"/>
      <c r="MUF114" s="17"/>
      <c r="MUG114" s="17"/>
      <c r="MUH114" s="17"/>
      <c r="MUI114" s="17"/>
      <c r="MUJ114" s="17"/>
      <c r="MUK114" s="17"/>
      <c r="MUL114" s="17"/>
      <c r="MUM114" s="17"/>
      <c r="MUN114" s="17"/>
      <c r="MUO114" s="17"/>
      <c r="MUP114" s="17"/>
      <c r="MUQ114" s="17"/>
      <c r="MUR114" s="17"/>
      <c r="MUS114" s="17"/>
      <c r="MUT114" s="17"/>
      <c r="MUU114" s="17"/>
      <c r="MUV114" s="17"/>
      <c r="MUW114" s="17"/>
      <c r="MUX114" s="17"/>
      <c r="MUY114" s="17"/>
      <c r="MUZ114" s="17"/>
      <c r="MVA114" s="17"/>
      <c r="MVB114" s="17"/>
      <c r="MVC114" s="17"/>
      <c r="MVD114" s="17"/>
      <c r="MVE114" s="17"/>
      <c r="MVF114" s="17"/>
      <c r="MVG114" s="17"/>
      <c r="MVH114" s="17"/>
      <c r="MVI114" s="17"/>
      <c r="MVJ114" s="17"/>
      <c r="MVK114" s="17"/>
      <c r="MVL114" s="17"/>
      <c r="MVM114" s="17"/>
      <c r="MVN114" s="17"/>
      <c r="MVO114" s="17"/>
      <c r="MVP114" s="17"/>
      <c r="MVQ114" s="17"/>
      <c r="MVR114" s="17"/>
      <c r="MVS114" s="17"/>
      <c r="MVT114" s="17"/>
      <c r="MVU114" s="17"/>
      <c r="MVV114" s="17"/>
      <c r="MVW114" s="17"/>
      <c r="MVX114" s="17"/>
      <c r="MVY114" s="17"/>
      <c r="MVZ114" s="17"/>
      <c r="MWA114" s="17"/>
      <c r="MWB114" s="17"/>
      <c r="MWC114" s="17"/>
      <c r="MWD114" s="17"/>
      <c r="MWE114" s="17"/>
      <c r="MWF114" s="17"/>
      <c r="MWG114" s="17"/>
      <c r="MWH114" s="17"/>
      <c r="MWI114" s="17"/>
      <c r="MWJ114" s="17"/>
      <c r="MWK114" s="17"/>
      <c r="MWL114" s="17"/>
      <c r="MWM114" s="17"/>
      <c r="MWN114" s="17"/>
      <c r="MWO114" s="17"/>
      <c r="MWP114" s="17"/>
      <c r="MWQ114" s="17"/>
      <c r="MWR114" s="17"/>
      <c r="MWS114" s="17"/>
      <c r="MWT114" s="17"/>
      <c r="MWU114" s="17"/>
      <c r="MWV114" s="17"/>
      <c r="MWW114" s="17"/>
      <c r="MWX114" s="17"/>
      <c r="MWY114" s="17"/>
      <c r="MWZ114" s="17"/>
      <c r="MXA114" s="17"/>
      <c r="MXB114" s="17"/>
      <c r="MXC114" s="17"/>
      <c r="MXD114" s="17"/>
      <c r="MXE114" s="17"/>
      <c r="MXF114" s="17"/>
      <c r="MXG114" s="17"/>
      <c r="MXH114" s="17"/>
      <c r="MXI114" s="17"/>
      <c r="MXJ114" s="17"/>
      <c r="MXK114" s="17"/>
      <c r="MXL114" s="17"/>
      <c r="MXM114" s="17"/>
      <c r="MXN114" s="17"/>
      <c r="MXO114" s="17"/>
      <c r="MXP114" s="17"/>
      <c r="MXQ114" s="17"/>
      <c r="MXR114" s="17"/>
      <c r="MXS114" s="17"/>
      <c r="MXT114" s="17"/>
      <c r="MXU114" s="17"/>
      <c r="MXV114" s="17"/>
      <c r="MXW114" s="17"/>
      <c r="MXX114" s="17"/>
      <c r="MXY114" s="17"/>
      <c r="MXZ114" s="17"/>
      <c r="MYA114" s="17"/>
      <c r="MYB114" s="17"/>
      <c r="MYC114" s="17"/>
      <c r="MYD114" s="17"/>
      <c r="MYE114" s="17"/>
      <c r="MYF114" s="17"/>
      <c r="MYG114" s="17"/>
      <c r="MYH114" s="17"/>
      <c r="MYI114" s="17"/>
      <c r="MYJ114" s="17"/>
      <c r="MYK114" s="17"/>
      <c r="MYL114" s="17"/>
      <c r="MYM114" s="17"/>
      <c r="MYN114" s="17"/>
      <c r="MYO114" s="17"/>
      <c r="MYP114" s="17"/>
      <c r="MYQ114" s="17"/>
      <c r="MYR114" s="17"/>
      <c r="MYS114" s="17"/>
      <c r="MYT114" s="17"/>
      <c r="MYU114" s="17"/>
      <c r="MYV114" s="17"/>
      <c r="MYW114" s="17"/>
      <c r="MYX114" s="17"/>
      <c r="MYY114" s="17"/>
      <c r="MYZ114" s="17"/>
      <c r="MZA114" s="17"/>
      <c r="MZB114" s="17"/>
      <c r="MZC114" s="17"/>
      <c r="MZD114" s="17"/>
      <c r="MZE114" s="17"/>
      <c r="MZF114" s="17"/>
      <c r="MZG114" s="17"/>
      <c r="MZH114" s="17"/>
      <c r="MZI114" s="17"/>
      <c r="MZJ114" s="17"/>
      <c r="MZK114" s="17"/>
      <c r="MZL114" s="17"/>
      <c r="MZM114" s="17"/>
      <c r="MZN114" s="17"/>
      <c r="MZO114" s="17"/>
      <c r="MZP114" s="17"/>
      <c r="MZQ114" s="17"/>
      <c r="MZR114" s="17"/>
      <c r="MZS114" s="17"/>
      <c r="MZT114" s="17"/>
      <c r="MZU114" s="17"/>
      <c r="MZV114" s="17"/>
      <c r="MZW114" s="17"/>
      <c r="MZX114" s="17"/>
      <c r="MZY114" s="17"/>
      <c r="MZZ114" s="17"/>
      <c r="NAA114" s="17"/>
      <c r="NAB114" s="17"/>
      <c r="NAC114" s="17"/>
      <c r="NAD114" s="17"/>
      <c r="NAE114" s="17"/>
      <c r="NAF114" s="17"/>
      <c r="NAG114" s="17"/>
      <c r="NAH114" s="17"/>
      <c r="NAI114" s="17"/>
      <c r="NAJ114" s="17"/>
      <c r="NAK114" s="17"/>
      <c r="NAL114" s="17"/>
      <c r="NAM114" s="17"/>
      <c r="NAN114" s="17"/>
      <c r="NAO114" s="17"/>
      <c r="NAP114" s="17"/>
      <c r="NAQ114" s="17"/>
      <c r="NAR114" s="17"/>
      <c r="NAS114" s="17"/>
      <c r="NAT114" s="17"/>
      <c r="NAU114" s="17"/>
      <c r="NAV114" s="17"/>
      <c r="NAW114" s="17"/>
      <c r="NAX114" s="17"/>
      <c r="NAY114" s="17"/>
      <c r="NAZ114" s="17"/>
      <c r="NBA114" s="17"/>
      <c r="NBB114" s="17"/>
      <c r="NBC114" s="17"/>
      <c r="NBD114" s="17"/>
      <c r="NBE114" s="17"/>
      <c r="NBF114" s="17"/>
      <c r="NBG114" s="17"/>
      <c r="NBH114" s="17"/>
      <c r="NBI114" s="17"/>
      <c r="NBJ114" s="17"/>
      <c r="NBK114" s="17"/>
      <c r="NBL114" s="17"/>
      <c r="NBM114" s="17"/>
      <c r="NBN114" s="17"/>
      <c r="NBO114" s="17"/>
      <c r="NBP114" s="17"/>
      <c r="NBQ114" s="17"/>
      <c r="NBR114" s="17"/>
      <c r="NBS114" s="17"/>
      <c r="NBT114" s="17"/>
      <c r="NBU114" s="17"/>
      <c r="NBV114" s="17"/>
      <c r="NBW114" s="17"/>
      <c r="NBX114" s="17"/>
      <c r="NBY114" s="17"/>
      <c r="NBZ114" s="17"/>
      <c r="NCA114" s="17"/>
      <c r="NCB114" s="17"/>
      <c r="NCC114" s="17"/>
      <c r="NCD114" s="17"/>
      <c r="NCE114" s="17"/>
      <c r="NCF114" s="17"/>
      <c r="NCG114" s="17"/>
      <c r="NCH114" s="17"/>
      <c r="NCI114" s="17"/>
      <c r="NCJ114" s="17"/>
      <c r="NCK114" s="17"/>
      <c r="NCL114" s="17"/>
      <c r="NCM114" s="17"/>
      <c r="NCN114" s="17"/>
      <c r="NCO114" s="17"/>
      <c r="NCP114" s="17"/>
      <c r="NCQ114" s="17"/>
      <c r="NCR114" s="17"/>
      <c r="NCS114" s="17"/>
      <c r="NCT114" s="17"/>
      <c r="NCU114" s="17"/>
      <c r="NCV114" s="17"/>
      <c r="NCW114" s="17"/>
      <c r="NCX114" s="17"/>
      <c r="NCY114" s="17"/>
      <c r="NCZ114" s="17"/>
      <c r="NDA114" s="17"/>
      <c r="NDB114" s="17"/>
      <c r="NDC114" s="17"/>
      <c r="NDD114" s="17"/>
      <c r="NDE114" s="17"/>
      <c r="NDF114" s="17"/>
      <c r="NDG114" s="17"/>
      <c r="NDH114" s="17"/>
      <c r="NDI114" s="17"/>
      <c r="NDJ114" s="17"/>
      <c r="NDK114" s="17"/>
      <c r="NDL114" s="17"/>
      <c r="NDM114" s="17"/>
      <c r="NDN114" s="17"/>
      <c r="NDO114" s="17"/>
      <c r="NDP114" s="17"/>
      <c r="NDQ114" s="17"/>
      <c r="NDR114" s="17"/>
      <c r="NDS114" s="17"/>
      <c r="NDT114" s="17"/>
      <c r="NDU114" s="17"/>
      <c r="NDV114" s="17"/>
      <c r="NDW114" s="17"/>
      <c r="NDX114" s="17"/>
      <c r="NDY114" s="17"/>
      <c r="NDZ114" s="17"/>
      <c r="NEA114" s="17"/>
      <c r="NEB114" s="17"/>
      <c r="NEC114" s="17"/>
      <c r="NED114" s="17"/>
      <c r="NEE114" s="17"/>
      <c r="NEF114" s="17"/>
      <c r="NEG114" s="17"/>
      <c r="NEH114" s="17"/>
      <c r="NEI114" s="17"/>
      <c r="NEJ114" s="17"/>
      <c r="NEK114" s="17"/>
      <c r="NEL114" s="17"/>
      <c r="NEM114" s="17"/>
      <c r="NEN114" s="17"/>
      <c r="NEO114" s="17"/>
      <c r="NEP114" s="17"/>
      <c r="NEQ114" s="17"/>
      <c r="NER114" s="17"/>
      <c r="NES114" s="17"/>
      <c r="NET114" s="17"/>
      <c r="NEU114" s="17"/>
      <c r="NEV114" s="17"/>
      <c r="NEW114" s="17"/>
      <c r="NEX114" s="17"/>
      <c r="NEY114" s="17"/>
      <c r="NEZ114" s="17"/>
      <c r="NFA114" s="17"/>
      <c r="NFB114" s="17"/>
      <c r="NFC114" s="17"/>
      <c r="NFD114" s="17"/>
      <c r="NFE114" s="17"/>
      <c r="NFF114" s="17"/>
      <c r="NFG114" s="17"/>
      <c r="NFH114" s="17"/>
      <c r="NFI114" s="17"/>
      <c r="NFJ114" s="17"/>
      <c r="NFK114" s="17"/>
      <c r="NFL114" s="17"/>
      <c r="NFM114" s="17"/>
      <c r="NFN114" s="17"/>
      <c r="NFO114" s="17"/>
      <c r="NFP114" s="17"/>
      <c r="NFQ114" s="17"/>
      <c r="NFR114" s="17"/>
      <c r="NFS114" s="17"/>
      <c r="NFT114" s="17"/>
      <c r="NFU114" s="17"/>
      <c r="NFV114" s="17"/>
      <c r="NFW114" s="17"/>
      <c r="NFX114" s="17"/>
      <c r="NFY114" s="17"/>
      <c r="NFZ114" s="17"/>
      <c r="NGA114" s="17"/>
      <c r="NGB114" s="17"/>
      <c r="NGC114" s="17"/>
      <c r="NGD114" s="17"/>
      <c r="NGE114" s="17"/>
      <c r="NGF114" s="17"/>
      <c r="NGG114" s="17"/>
      <c r="NGH114" s="17"/>
      <c r="NGI114" s="17"/>
      <c r="NGJ114" s="17"/>
      <c r="NGK114" s="17"/>
      <c r="NGL114" s="17"/>
      <c r="NGM114" s="17"/>
      <c r="NGN114" s="17"/>
      <c r="NGO114" s="17"/>
      <c r="NGP114" s="17"/>
      <c r="NGQ114" s="17"/>
      <c r="NGR114" s="17"/>
      <c r="NGS114" s="17"/>
      <c r="NGT114" s="17"/>
      <c r="NGU114" s="17"/>
      <c r="NGV114" s="17"/>
      <c r="NGW114" s="17"/>
      <c r="NGX114" s="17"/>
      <c r="NGY114" s="17"/>
      <c r="NGZ114" s="17"/>
      <c r="NHA114" s="17"/>
      <c r="NHB114" s="17"/>
      <c r="NHC114" s="17"/>
      <c r="NHD114" s="17"/>
      <c r="NHE114" s="17"/>
      <c r="NHF114" s="17"/>
      <c r="NHG114" s="17"/>
      <c r="NHH114" s="17"/>
      <c r="NHI114" s="17"/>
      <c r="NHJ114" s="17"/>
      <c r="NHK114" s="17"/>
      <c r="NHL114" s="17"/>
      <c r="NHM114" s="17"/>
      <c r="NHN114" s="17"/>
      <c r="NHO114" s="17"/>
      <c r="NHP114" s="17"/>
      <c r="NHQ114" s="17"/>
      <c r="NHR114" s="17"/>
      <c r="NHS114" s="17"/>
      <c r="NHT114" s="17"/>
      <c r="NHU114" s="17"/>
      <c r="NHV114" s="17"/>
      <c r="NHW114" s="17"/>
      <c r="NHX114" s="17"/>
      <c r="NHY114" s="17"/>
      <c r="NHZ114" s="17"/>
      <c r="NIA114" s="17"/>
      <c r="NIB114" s="17"/>
      <c r="NIC114" s="17"/>
      <c r="NID114" s="17"/>
      <c r="NIE114" s="17"/>
      <c r="NIF114" s="17"/>
      <c r="NIG114" s="17"/>
      <c r="NIH114" s="17"/>
      <c r="NII114" s="17"/>
      <c r="NIJ114" s="17"/>
      <c r="NIK114" s="17"/>
      <c r="NIL114" s="17"/>
      <c r="NIM114" s="17"/>
      <c r="NIN114" s="17"/>
      <c r="NIO114" s="17"/>
      <c r="NIP114" s="17"/>
      <c r="NIQ114" s="17"/>
      <c r="NIR114" s="17"/>
      <c r="NIS114" s="17"/>
      <c r="NIT114" s="17"/>
      <c r="NIU114" s="17"/>
      <c r="NIV114" s="17"/>
      <c r="NIW114" s="17"/>
      <c r="NIX114" s="17"/>
      <c r="NIY114" s="17"/>
      <c r="NIZ114" s="17"/>
      <c r="NJA114" s="17"/>
      <c r="NJB114" s="17"/>
      <c r="NJC114" s="17"/>
      <c r="NJD114" s="17"/>
      <c r="NJE114" s="17"/>
      <c r="NJF114" s="17"/>
      <c r="NJG114" s="17"/>
      <c r="NJH114" s="17"/>
      <c r="NJI114" s="17"/>
      <c r="NJJ114" s="17"/>
      <c r="NJK114" s="17"/>
      <c r="NJL114" s="17"/>
      <c r="NJM114" s="17"/>
      <c r="NJN114" s="17"/>
      <c r="NJO114" s="17"/>
      <c r="NJP114" s="17"/>
      <c r="NJQ114" s="17"/>
      <c r="NJR114" s="17"/>
      <c r="NJS114" s="17"/>
      <c r="NJT114" s="17"/>
      <c r="NJU114" s="17"/>
      <c r="NJV114" s="17"/>
      <c r="NJW114" s="17"/>
      <c r="NJX114" s="17"/>
      <c r="NJY114" s="17"/>
      <c r="NJZ114" s="17"/>
      <c r="NKA114" s="17"/>
      <c r="NKB114" s="17"/>
      <c r="NKC114" s="17"/>
      <c r="NKD114" s="17"/>
      <c r="NKE114" s="17"/>
      <c r="NKF114" s="17"/>
      <c r="NKG114" s="17"/>
      <c r="NKH114" s="17"/>
      <c r="NKI114" s="17"/>
      <c r="NKJ114" s="17"/>
      <c r="NKK114" s="17"/>
      <c r="NKL114" s="17"/>
      <c r="NKM114" s="17"/>
      <c r="NKN114" s="17"/>
      <c r="NKO114" s="17"/>
      <c r="NKP114" s="17"/>
      <c r="NKQ114" s="17"/>
      <c r="NKR114" s="17"/>
      <c r="NKS114" s="17"/>
      <c r="NKT114" s="17"/>
      <c r="NKU114" s="17"/>
      <c r="NKV114" s="17"/>
      <c r="NKW114" s="17"/>
      <c r="NKX114" s="17"/>
      <c r="NKY114" s="17"/>
      <c r="NKZ114" s="17"/>
      <c r="NLA114" s="17"/>
      <c r="NLB114" s="17"/>
      <c r="NLC114" s="17"/>
      <c r="NLD114" s="17"/>
      <c r="NLE114" s="17"/>
      <c r="NLF114" s="17"/>
      <c r="NLG114" s="17"/>
      <c r="NLH114" s="17"/>
      <c r="NLI114" s="17"/>
      <c r="NLJ114" s="17"/>
      <c r="NLK114" s="17"/>
      <c r="NLL114" s="17"/>
      <c r="NLM114" s="17"/>
      <c r="NLN114" s="17"/>
      <c r="NLO114" s="17"/>
      <c r="NLP114" s="17"/>
      <c r="NLQ114" s="17"/>
      <c r="NLR114" s="17"/>
      <c r="NLS114" s="17"/>
      <c r="NLT114" s="17"/>
      <c r="NLU114" s="17"/>
      <c r="NLV114" s="17"/>
      <c r="NLW114" s="17"/>
      <c r="NLX114" s="17"/>
      <c r="NLY114" s="17"/>
      <c r="NLZ114" s="17"/>
      <c r="NMA114" s="17"/>
      <c r="NMB114" s="17"/>
      <c r="NMC114" s="17"/>
      <c r="NMD114" s="17"/>
      <c r="NME114" s="17"/>
      <c r="NMF114" s="17"/>
      <c r="NMG114" s="17"/>
      <c r="NMH114" s="17"/>
      <c r="NMI114" s="17"/>
      <c r="NMJ114" s="17"/>
      <c r="NMK114" s="17"/>
      <c r="NML114" s="17"/>
      <c r="NMM114" s="17"/>
      <c r="NMN114" s="17"/>
      <c r="NMO114" s="17"/>
      <c r="NMP114" s="17"/>
      <c r="NMQ114" s="17"/>
      <c r="NMR114" s="17"/>
      <c r="NMS114" s="17"/>
      <c r="NMT114" s="17"/>
      <c r="NMU114" s="17"/>
      <c r="NMV114" s="17"/>
      <c r="NMW114" s="17"/>
      <c r="NMX114" s="17"/>
      <c r="NMY114" s="17"/>
      <c r="NMZ114" s="17"/>
      <c r="NNA114" s="17"/>
      <c r="NNB114" s="17"/>
      <c r="NNC114" s="17"/>
      <c r="NND114" s="17"/>
      <c r="NNE114" s="17"/>
      <c r="NNF114" s="17"/>
      <c r="NNG114" s="17"/>
      <c r="NNH114" s="17"/>
      <c r="NNI114" s="17"/>
      <c r="NNJ114" s="17"/>
      <c r="NNK114" s="17"/>
      <c r="NNL114" s="17"/>
      <c r="NNM114" s="17"/>
      <c r="NNN114" s="17"/>
      <c r="NNO114" s="17"/>
      <c r="NNP114" s="17"/>
      <c r="NNQ114" s="17"/>
      <c r="NNR114" s="17"/>
      <c r="NNS114" s="17"/>
      <c r="NNT114" s="17"/>
      <c r="NNU114" s="17"/>
      <c r="NNV114" s="17"/>
      <c r="NNW114" s="17"/>
      <c r="NNX114" s="17"/>
      <c r="NNY114" s="17"/>
      <c r="NNZ114" s="17"/>
      <c r="NOA114" s="17"/>
      <c r="NOB114" s="17"/>
      <c r="NOC114" s="17"/>
      <c r="NOD114" s="17"/>
      <c r="NOE114" s="17"/>
      <c r="NOF114" s="17"/>
      <c r="NOG114" s="17"/>
      <c r="NOH114" s="17"/>
      <c r="NOI114" s="17"/>
      <c r="NOJ114" s="17"/>
      <c r="NOK114" s="17"/>
      <c r="NOL114" s="17"/>
      <c r="NOM114" s="17"/>
      <c r="NON114" s="17"/>
      <c r="NOO114" s="17"/>
      <c r="NOP114" s="17"/>
      <c r="NOQ114" s="17"/>
      <c r="NOR114" s="17"/>
      <c r="NOS114" s="17"/>
      <c r="NOT114" s="17"/>
      <c r="NOU114" s="17"/>
      <c r="NOV114" s="17"/>
      <c r="NOW114" s="17"/>
      <c r="NOX114" s="17"/>
      <c r="NOY114" s="17"/>
      <c r="NOZ114" s="17"/>
      <c r="NPA114" s="17"/>
      <c r="NPB114" s="17"/>
      <c r="NPC114" s="17"/>
      <c r="NPD114" s="17"/>
      <c r="NPE114" s="17"/>
      <c r="NPF114" s="17"/>
      <c r="NPG114" s="17"/>
      <c r="NPH114" s="17"/>
      <c r="NPI114" s="17"/>
      <c r="NPJ114" s="17"/>
      <c r="NPK114" s="17"/>
      <c r="NPL114" s="17"/>
      <c r="NPM114" s="17"/>
      <c r="NPN114" s="17"/>
      <c r="NPO114" s="17"/>
      <c r="NPP114" s="17"/>
      <c r="NPQ114" s="17"/>
      <c r="NPR114" s="17"/>
      <c r="NPS114" s="17"/>
      <c r="NPT114" s="17"/>
      <c r="NPU114" s="17"/>
      <c r="NPV114" s="17"/>
      <c r="NPW114" s="17"/>
      <c r="NPX114" s="17"/>
      <c r="NPY114" s="17"/>
      <c r="NPZ114" s="17"/>
      <c r="NQA114" s="17"/>
      <c r="NQB114" s="17"/>
      <c r="NQC114" s="17"/>
      <c r="NQD114" s="17"/>
      <c r="NQE114" s="17"/>
      <c r="NQF114" s="17"/>
      <c r="NQG114" s="17"/>
      <c r="NQH114" s="17"/>
      <c r="NQI114" s="17"/>
      <c r="NQJ114" s="17"/>
      <c r="NQK114" s="17"/>
      <c r="NQL114" s="17"/>
      <c r="NQM114" s="17"/>
      <c r="NQN114" s="17"/>
      <c r="NQO114" s="17"/>
      <c r="NQP114" s="17"/>
      <c r="NQQ114" s="17"/>
      <c r="NQR114" s="17"/>
      <c r="NQS114" s="17"/>
      <c r="NQT114" s="17"/>
      <c r="NQU114" s="17"/>
      <c r="NQV114" s="17"/>
      <c r="NQW114" s="17"/>
      <c r="NQX114" s="17"/>
      <c r="NQY114" s="17"/>
      <c r="NQZ114" s="17"/>
      <c r="NRA114" s="17"/>
      <c r="NRB114" s="17"/>
      <c r="NRC114" s="17"/>
      <c r="NRD114" s="17"/>
      <c r="NRE114" s="17"/>
      <c r="NRF114" s="17"/>
      <c r="NRG114" s="17"/>
      <c r="NRH114" s="17"/>
      <c r="NRI114" s="17"/>
      <c r="NRJ114" s="17"/>
      <c r="NRK114" s="17"/>
      <c r="NRL114" s="17"/>
      <c r="NRM114" s="17"/>
      <c r="NRN114" s="17"/>
      <c r="NRO114" s="17"/>
      <c r="NRP114" s="17"/>
      <c r="NRQ114" s="17"/>
      <c r="NRR114" s="17"/>
      <c r="NRS114" s="17"/>
      <c r="NRT114" s="17"/>
      <c r="NRU114" s="17"/>
      <c r="NRV114" s="17"/>
      <c r="NRW114" s="17"/>
      <c r="NRX114" s="17"/>
      <c r="NRY114" s="17"/>
      <c r="NRZ114" s="17"/>
      <c r="NSA114" s="17"/>
      <c r="NSB114" s="17"/>
      <c r="NSC114" s="17"/>
      <c r="NSD114" s="17"/>
      <c r="NSE114" s="17"/>
      <c r="NSF114" s="17"/>
      <c r="NSG114" s="17"/>
      <c r="NSH114" s="17"/>
      <c r="NSI114" s="17"/>
      <c r="NSJ114" s="17"/>
      <c r="NSK114" s="17"/>
      <c r="NSL114" s="17"/>
      <c r="NSM114" s="17"/>
      <c r="NSN114" s="17"/>
      <c r="NSO114" s="17"/>
      <c r="NSP114" s="17"/>
      <c r="NSQ114" s="17"/>
      <c r="NSR114" s="17"/>
      <c r="NSS114" s="17"/>
      <c r="NST114" s="17"/>
      <c r="NSU114" s="17"/>
      <c r="NSV114" s="17"/>
      <c r="NSW114" s="17"/>
      <c r="NSX114" s="17"/>
      <c r="NSY114" s="17"/>
      <c r="NSZ114" s="17"/>
      <c r="NTA114" s="17"/>
      <c r="NTB114" s="17"/>
      <c r="NTC114" s="17"/>
      <c r="NTD114" s="17"/>
      <c r="NTE114" s="17"/>
      <c r="NTF114" s="17"/>
      <c r="NTG114" s="17"/>
      <c r="NTH114" s="17"/>
      <c r="NTI114" s="17"/>
      <c r="NTJ114" s="17"/>
      <c r="NTK114" s="17"/>
      <c r="NTL114" s="17"/>
      <c r="NTM114" s="17"/>
      <c r="NTN114" s="17"/>
      <c r="NTO114" s="17"/>
      <c r="NTP114" s="17"/>
      <c r="NTQ114" s="17"/>
      <c r="NTR114" s="17"/>
      <c r="NTS114" s="17"/>
      <c r="NTT114" s="17"/>
      <c r="NTU114" s="17"/>
      <c r="NTV114" s="17"/>
      <c r="NTW114" s="17"/>
      <c r="NTX114" s="17"/>
      <c r="NTY114" s="17"/>
      <c r="NTZ114" s="17"/>
      <c r="NUA114" s="17"/>
      <c r="NUB114" s="17"/>
      <c r="NUC114" s="17"/>
      <c r="NUD114" s="17"/>
      <c r="NUE114" s="17"/>
      <c r="NUF114" s="17"/>
      <c r="NUG114" s="17"/>
      <c r="NUH114" s="17"/>
      <c r="NUI114" s="17"/>
      <c r="NUJ114" s="17"/>
      <c r="NUK114" s="17"/>
      <c r="NUL114" s="17"/>
      <c r="NUM114" s="17"/>
      <c r="NUN114" s="17"/>
      <c r="NUO114" s="17"/>
      <c r="NUP114" s="17"/>
      <c r="NUQ114" s="17"/>
      <c r="NUR114" s="17"/>
      <c r="NUS114" s="17"/>
      <c r="NUT114" s="17"/>
      <c r="NUU114" s="17"/>
      <c r="NUV114" s="17"/>
      <c r="NUW114" s="17"/>
      <c r="NUX114" s="17"/>
      <c r="NUY114" s="17"/>
      <c r="NUZ114" s="17"/>
      <c r="NVA114" s="17"/>
      <c r="NVB114" s="17"/>
      <c r="NVC114" s="17"/>
      <c r="NVD114" s="17"/>
      <c r="NVE114" s="17"/>
      <c r="NVF114" s="17"/>
      <c r="NVG114" s="17"/>
      <c r="NVH114" s="17"/>
      <c r="NVI114" s="17"/>
      <c r="NVJ114" s="17"/>
      <c r="NVK114" s="17"/>
      <c r="NVL114" s="17"/>
      <c r="NVM114" s="17"/>
      <c r="NVN114" s="17"/>
      <c r="NVO114" s="17"/>
      <c r="NVP114" s="17"/>
      <c r="NVQ114" s="17"/>
      <c r="NVR114" s="17"/>
      <c r="NVS114" s="17"/>
      <c r="NVT114" s="17"/>
      <c r="NVU114" s="17"/>
      <c r="NVV114" s="17"/>
      <c r="NVW114" s="17"/>
      <c r="NVX114" s="17"/>
      <c r="NVY114" s="17"/>
      <c r="NVZ114" s="17"/>
      <c r="NWA114" s="17"/>
      <c r="NWB114" s="17"/>
      <c r="NWC114" s="17"/>
      <c r="NWD114" s="17"/>
      <c r="NWE114" s="17"/>
      <c r="NWF114" s="17"/>
      <c r="NWG114" s="17"/>
      <c r="NWH114" s="17"/>
      <c r="NWI114" s="17"/>
      <c r="NWJ114" s="17"/>
      <c r="NWK114" s="17"/>
      <c r="NWL114" s="17"/>
      <c r="NWM114" s="17"/>
      <c r="NWN114" s="17"/>
      <c r="NWO114" s="17"/>
      <c r="NWP114" s="17"/>
      <c r="NWQ114" s="17"/>
      <c r="NWR114" s="17"/>
      <c r="NWS114" s="17"/>
      <c r="NWT114" s="17"/>
      <c r="NWU114" s="17"/>
      <c r="NWV114" s="17"/>
      <c r="NWW114" s="17"/>
      <c r="NWX114" s="17"/>
      <c r="NWY114" s="17"/>
      <c r="NWZ114" s="17"/>
      <c r="NXA114" s="17"/>
      <c r="NXB114" s="17"/>
      <c r="NXC114" s="17"/>
      <c r="NXD114" s="17"/>
      <c r="NXE114" s="17"/>
      <c r="NXF114" s="17"/>
      <c r="NXG114" s="17"/>
      <c r="NXH114" s="17"/>
      <c r="NXI114" s="17"/>
      <c r="NXJ114" s="17"/>
      <c r="NXK114" s="17"/>
      <c r="NXL114" s="17"/>
      <c r="NXM114" s="17"/>
      <c r="NXN114" s="17"/>
      <c r="NXO114" s="17"/>
      <c r="NXP114" s="17"/>
      <c r="NXQ114" s="17"/>
      <c r="NXR114" s="17"/>
      <c r="NXS114" s="17"/>
      <c r="NXT114" s="17"/>
      <c r="NXU114" s="17"/>
      <c r="NXV114" s="17"/>
      <c r="NXW114" s="17"/>
      <c r="NXX114" s="17"/>
      <c r="NXY114" s="17"/>
      <c r="NXZ114" s="17"/>
      <c r="NYA114" s="17"/>
      <c r="NYB114" s="17"/>
      <c r="NYC114" s="17"/>
      <c r="NYD114" s="17"/>
      <c r="NYE114" s="17"/>
      <c r="NYF114" s="17"/>
      <c r="NYG114" s="17"/>
      <c r="NYH114" s="17"/>
      <c r="NYI114" s="17"/>
      <c r="NYJ114" s="17"/>
      <c r="NYK114" s="17"/>
      <c r="NYL114" s="17"/>
      <c r="NYM114" s="17"/>
      <c r="NYN114" s="17"/>
      <c r="NYO114" s="17"/>
      <c r="NYP114" s="17"/>
      <c r="NYQ114" s="17"/>
      <c r="NYR114" s="17"/>
      <c r="NYS114" s="17"/>
      <c r="NYT114" s="17"/>
      <c r="NYU114" s="17"/>
      <c r="NYV114" s="17"/>
      <c r="NYW114" s="17"/>
      <c r="NYX114" s="17"/>
      <c r="NYY114" s="17"/>
      <c r="NYZ114" s="17"/>
      <c r="NZA114" s="17"/>
      <c r="NZB114" s="17"/>
      <c r="NZC114" s="17"/>
      <c r="NZD114" s="17"/>
      <c r="NZE114" s="17"/>
      <c r="NZF114" s="17"/>
      <c r="NZG114" s="17"/>
      <c r="NZH114" s="17"/>
      <c r="NZI114" s="17"/>
      <c r="NZJ114" s="17"/>
      <c r="NZK114" s="17"/>
      <c r="NZL114" s="17"/>
      <c r="NZM114" s="17"/>
      <c r="NZN114" s="17"/>
      <c r="NZO114" s="17"/>
      <c r="NZP114" s="17"/>
      <c r="NZQ114" s="17"/>
      <c r="NZR114" s="17"/>
      <c r="NZS114" s="17"/>
      <c r="NZT114" s="17"/>
      <c r="NZU114" s="17"/>
      <c r="NZV114" s="17"/>
      <c r="NZW114" s="17"/>
      <c r="NZX114" s="17"/>
      <c r="NZY114" s="17"/>
      <c r="NZZ114" s="17"/>
      <c r="OAA114" s="17"/>
      <c r="OAB114" s="17"/>
      <c r="OAC114" s="17"/>
      <c r="OAD114" s="17"/>
      <c r="OAE114" s="17"/>
      <c r="OAF114" s="17"/>
      <c r="OAG114" s="17"/>
      <c r="OAH114" s="17"/>
      <c r="OAI114" s="17"/>
      <c r="OAJ114" s="17"/>
      <c r="OAK114" s="17"/>
      <c r="OAL114" s="17"/>
      <c r="OAM114" s="17"/>
      <c r="OAN114" s="17"/>
      <c r="OAO114" s="17"/>
      <c r="OAP114" s="17"/>
      <c r="OAQ114" s="17"/>
      <c r="OAR114" s="17"/>
      <c r="OAS114" s="17"/>
      <c r="OAT114" s="17"/>
      <c r="OAU114" s="17"/>
      <c r="OAV114" s="17"/>
      <c r="OAW114" s="17"/>
      <c r="OAX114" s="17"/>
      <c r="OAY114" s="17"/>
      <c r="OAZ114" s="17"/>
      <c r="OBA114" s="17"/>
      <c r="OBB114" s="17"/>
      <c r="OBC114" s="17"/>
      <c r="OBD114" s="17"/>
      <c r="OBE114" s="17"/>
      <c r="OBF114" s="17"/>
      <c r="OBG114" s="17"/>
      <c r="OBH114" s="17"/>
      <c r="OBI114" s="17"/>
      <c r="OBJ114" s="17"/>
      <c r="OBK114" s="17"/>
      <c r="OBL114" s="17"/>
      <c r="OBM114" s="17"/>
      <c r="OBN114" s="17"/>
      <c r="OBO114" s="17"/>
      <c r="OBP114" s="17"/>
      <c r="OBQ114" s="17"/>
      <c r="OBR114" s="17"/>
      <c r="OBS114" s="17"/>
      <c r="OBT114" s="17"/>
      <c r="OBU114" s="17"/>
      <c r="OBV114" s="17"/>
      <c r="OBW114" s="17"/>
      <c r="OBX114" s="17"/>
      <c r="OBY114" s="17"/>
      <c r="OBZ114" s="17"/>
      <c r="OCA114" s="17"/>
      <c r="OCB114" s="17"/>
      <c r="OCC114" s="17"/>
      <c r="OCD114" s="17"/>
      <c r="OCE114" s="17"/>
      <c r="OCF114" s="17"/>
      <c r="OCG114" s="17"/>
      <c r="OCH114" s="17"/>
      <c r="OCI114" s="17"/>
      <c r="OCJ114" s="17"/>
      <c r="OCK114" s="17"/>
      <c r="OCL114" s="17"/>
      <c r="OCM114" s="17"/>
      <c r="OCN114" s="17"/>
      <c r="OCO114" s="17"/>
      <c r="OCP114" s="17"/>
      <c r="OCQ114" s="17"/>
      <c r="OCR114" s="17"/>
      <c r="OCS114" s="17"/>
      <c r="OCT114" s="17"/>
      <c r="OCU114" s="17"/>
      <c r="OCV114" s="17"/>
      <c r="OCW114" s="17"/>
      <c r="OCX114" s="17"/>
      <c r="OCY114" s="17"/>
      <c r="OCZ114" s="17"/>
      <c r="ODA114" s="17"/>
      <c r="ODB114" s="17"/>
      <c r="ODC114" s="17"/>
      <c r="ODD114" s="17"/>
      <c r="ODE114" s="17"/>
      <c r="ODF114" s="17"/>
      <c r="ODG114" s="17"/>
      <c r="ODH114" s="17"/>
      <c r="ODI114" s="17"/>
      <c r="ODJ114" s="17"/>
      <c r="ODK114" s="17"/>
      <c r="ODL114" s="17"/>
      <c r="ODM114" s="17"/>
      <c r="ODN114" s="17"/>
      <c r="ODO114" s="17"/>
      <c r="ODP114" s="17"/>
      <c r="ODQ114" s="17"/>
      <c r="ODR114" s="17"/>
      <c r="ODS114" s="17"/>
      <c r="ODT114" s="17"/>
      <c r="ODU114" s="17"/>
      <c r="ODV114" s="17"/>
      <c r="ODW114" s="17"/>
      <c r="ODX114" s="17"/>
      <c r="ODY114" s="17"/>
      <c r="ODZ114" s="17"/>
      <c r="OEA114" s="17"/>
      <c r="OEB114" s="17"/>
      <c r="OEC114" s="17"/>
      <c r="OED114" s="17"/>
      <c r="OEE114" s="17"/>
      <c r="OEF114" s="17"/>
      <c r="OEG114" s="17"/>
      <c r="OEH114" s="17"/>
      <c r="OEI114" s="17"/>
      <c r="OEJ114" s="17"/>
      <c r="OEK114" s="17"/>
      <c r="OEL114" s="17"/>
      <c r="OEM114" s="17"/>
      <c r="OEN114" s="17"/>
      <c r="OEO114" s="17"/>
      <c r="OEP114" s="17"/>
      <c r="OEQ114" s="17"/>
      <c r="OER114" s="17"/>
      <c r="OES114" s="17"/>
      <c r="OET114" s="17"/>
      <c r="OEU114" s="17"/>
      <c r="OEV114" s="17"/>
      <c r="OEW114" s="17"/>
      <c r="OEX114" s="17"/>
      <c r="OEY114" s="17"/>
      <c r="OEZ114" s="17"/>
      <c r="OFA114" s="17"/>
      <c r="OFB114" s="17"/>
      <c r="OFC114" s="17"/>
      <c r="OFD114" s="17"/>
      <c r="OFE114" s="17"/>
      <c r="OFF114" s="17"/>
      <c r="OFG114" s="17"/>
      <c r="OFH114" s="17"/>
      <c r="OFI114" s="17"/>
      <c r="OFJ114" s="17"/>
      <c r="OFK114" s="17"/>
      <c r="OFL114" s="17"/>
      <c r="OFM114" s="17"/>
      <c r="OFN114" s="17"/>
      <c r="OFO114" s="17"/>
      <c r="OFP114" s="17"/>
      <c r="OFQ114" s="17"/>
      <c r="OFR114" s="17"/>
      <c r="OFS114" s="17"/>
      <c r="OFT114" s="17"/>
      <c r="OFU114" s="17"/>
      <c r="OFV114" s="17"/>
      <c r="OFW114" s="17"/>
      <c r="OFX114" s="17"/>
      <c r="OFY114" s="17"/>
      <c r="OFZ114" s="17"/>
      <c r="OGA114" s="17"/>
      <c r="OGB114" s="17"/>
      <c r="OGC114" s="17"/>
      <c r="OGD114" s="17"/>
      <c r="OGE114" s="17"/>
      <c r="OGF114" s="17"/>
      <c r="OGG114" s="17"/>
      <c r="OGH114" s="17"/>
      <c r="OGI114" s="17"/>
      <c r="OGJ114" s="17"/>
      <c r="OGK114" s="17"/>
      <c r="OGL114" s="17"/>
      <c r="OGM114" s="17"/>
      <c r="OGN114" s="17"/>
      <c r="OGO114" s="17"/>
      <c r="OGP114" s="17"/>
      <c r="OGQ114" s="17"/>
      <c r="OGR114" s="17"/>
      <c r="OGS114" s="17"/>
      <c r="OGT114" s="17"/>
      <c r="OGU114" s="17"/>
      <c r="OGV114" s="17"/>
      <c r="OGW114" s="17"/>
      <c r="OGX114" s="17"/>
      <c r="OGY114" s="17"/>
      <c r="OGZ114" s="17"/>
      <c r="OHA114" s="17"/>
      <c r="OHB114" s="17"/>
      <c r="OHC114" s="17"/>
      <c r="OHD114" s="17"/>
      <c r="OHE114" s="17"/>
      <c r="OHF114" s="17"/>
      <c r="OHG114" s="17"/>
      <c r="OHH114" s="17"/>
      <c r="OHI114" s="17"/>
      <c r="OHJ114" s="17"/>
      <c r="OHK114" s="17"/>
      <c r="OHL114" s="17"/>
      <c r="OHM114" s="17"/>
      <c r="OHN114" s="17"/>
      <c r="OHO114" s="17"/>
      <c r="OHP114" s="17"/>
      <c r="OHQ114" s="17"/>
      <c r="OHR114" s="17"/>
      <c r="OHS114" s="17"/>
      <c r="OHT114" s="17"/>
      <c r="OHU114" s="17"/>
      <c r="OHV114" s="17"/>
      <c r="OHW114" s="17"/>
      <c r="OHX114" s="17"/>
      <c r="OHY114" s="17"/>
      <c r="OHZ114" s="17"/>
      <c r="OIA114" s="17"/>
      <c r="OIB114" s="17"/>
      <c r="OIC114" s="17"/>
      <c r="OID114" s="17"/>
      <c r="OIE114" s="17"/>
      <c r="OIF114" s="17"/>
      <c r="OIG114" s="17"/>
      <c r="OIH114" s="17"/>
      <c r="OII114" s="17"/>
      <c r="OIJ114" s="17"/>
      <c r="OIK114" s="17"/>
      <c r="OIL114" s="17"/>
      <c r="OIM114" s="17"/>
      <c r="OIN114" s="17"/>
      <c r="OIO114" s="17"/>
      <c r="OIP114" s="17"/>
      <c r="OIQ114" s="17"/>
      <c r="OIR114" s="17"/>
      <c r="OIS114" s="17"/>
      <c r="OIT114" s="17"/>
      <c r="OIU114" s="17"/>
      <c r="OIV114" s="17"/>
      <c r="OIW114" s="17"/>
      <c r="OIX114" s="17"/>
      <c r="OIY114" s="17"/>
      <c r="OIZ114" s="17"/>
      <c r="OJA114" s="17"/>
      <c r="OJB114" s="17"/>
      <c r="OJC114" s="17"/>
      <c r="OJD114" s="17"/>
      <c r="OJE114" s="17"/>
      <c r="OJF114" s="17"/>
      <c r="OJG114" s="17"/>
      <c r="OJH114" s="17"/>
      <c r="OJI114" s="17"/>
      <c r="OJJ114" s="17"/>
      <c r="OJK114" s="17"/>
      <c r="OJL114" s="17"/>
      <c r="OJM114" s="17"/>
      <c r="OJN114" s="17"/>
      <c r="OJO114" s="17"/>
      <c r="OJP114" s="17"/>
      <c r="OJQ114" s="17"/>
      <c r="OJR114" s="17"/>
      <c r="OJS114" s="17"/>
      <c r="OJT114" s="17"/>
      <c r="OJU114" s="17"/>
      <c r="OJV114" s="17"/>
      <c r="OJW114" s="17"/>
      <c r="OJX114" s="17"/>
      <c r="OJY114" s="17"/>
      <c r="OJZ114" s="17"/>
      <c r="OKA114" s="17"/>
      <c r="OKB114" s="17"/>
      <c r="OKC114" s="17"/>
      <c r="OKD114" s="17"/>
      <c r="OKE114" s="17"/>
      <c r="OKF114" s="17"/>
      <c r="OKG114" s="17"/>
      <c r="OKH114" s="17"/>
      <c r="OKI114" s="17"/>
      <c r="OKJ114" s="17"/>
      <c r="OKK114" s="17"/>
      <c r="OKL114" s="17"/>
      <c r="OKM114" s="17"/>
      <c r="OKN114" s="17"/>
      <c r="OKO114" s="17"/>
      <c r="OKP114" s="17"/>
      <c r="OKQ114" s="17"/>
      <c r="OKR114" s="17"/>
      <c r="OKS114" s="17"/>
      <c r="OKT114" s="17"/>
      <c r="OKU114" s="17"/>
      <c r="OKV114" s="17"/>
      <c r="OKW114" s="17"/>
      <c r="OKX114" s="17"/>
      <c r="OKY114" s="17"/>
      <c r="OKZ114" s="17"/>
      <c r="OLA114" s="17"/>
      <c r="OLB114" s="17"/>
      <c r="OLC114" s="17"/>
      <c r="OLD114" s="17"/>
      <c r="OLE114" s="17"/>
      <c r="OLF114" s="17"/>
      <c r="OLG114" s="17"/>
      <c r="OLH114" s="17"/>
      <c r="OLI114" s="17"/>
      <c r="OLJ114" s="17"/>
      <c r="OLK114" s="17"/>
      <c r="OLL114" s="17"/>
      <c r="OLM114" s="17"/>
      <c r="OLN114" s="17"/>
      <c r="OLO114" s="17"/>
      <c r="OLP114" s="17"/>
      <c r="OLQ114" s="17"/>
      <c r="OLR114" s="17"/>
      <c r="OLS114" s="17"/>
      <c r="OLT114" s="17"/>
      <c r="OLU114" s="17"/>
      <c r="OLV114" s="17"/>
      <c r="OLW114" s="17"/>
      <c r="OLX114" s="17"/>
      <c r="OLY114" s="17"/>
      <c r="OLZ114" s="17"/>
      <c r="OMA114" s="17"/>
      <c r="OMB114" s="17"/>
      <c r="OMC114" s="17"/>
      <c r="OMD114" s="17"/>
      <c r="OME114" s="17"/>
      <c r="OMF114" s="17"/>
      <c r="OMG114" s="17"/>
      <c r="OMH114" s="17"/>
      <c r="OMI114" s="17"/>
      <c r="OMJ114" s="17"/>
      <c r="OMK114" s="17"/>
      <c r="OML114" s="17"/>
      <c r="OMM114" s="17"/>
      <c r="OMN114" s="17"/>
      <c r="OMO114" s="17"/>
      <c r="OMP114" s="17"/>
      <c r="OMQ114" s="17"/>
      <c r="OMR114" s="17"/>
      <c r="OMS114" s="17"/>
      <c r="OMT114" s="17"/>
      <c r="OMU114" s="17"/>
      <c r="OMV114" s="17"/>
      <c r="OMW114" s="17"/>
      <c r="OMX114" s="17"/>
      <c r="OMY114" s="17"/>
      <c r="OMZ114" s="17"/>
      <c r="ONA114" s="17"/>
      <c r="ONB114" s="17"/>
      <c r="ONC114" s="17"/>
      <c r="OND114" s="17"/>
      <c r="ONE114" s="17"/>
      <c r="ONF114" s="17"/>
      <c r="ONG114" s="17"/>
      <c r="ONH114" s="17"/>
      <c r="ONI114" s="17"/>
      <c r="ONJ114" s="17"/>
      <c r="ONK114" s="17"/>
      <c r="ONL114" s="17"/>
      <c r="ONM114" s="17"/>
      <c r="ONN114" s="17"/>
      <c r="ONO114" s="17"/>
      <c r="ONP114" s="17"/>
      <c r="ONQ114" s="17"/>
      <c r="ONR114" s="17"/>
      <c r="ONS114" s="17"/>
      <c r="ONT114" s="17"/>
      <c r="ONU114" s="17"/>
      <c r="ONV114" s="17"/>
      <c r="ONW114" s="17"/>
      <c r="ONX114" s="17"/>
      <c r="ONY114" s="17"/>
      <c r="ONZ114" s="17"/>
      <c r="OOA114" s="17"/>
      <c r="OOB114" s="17"/>
      <c r="OOC114" s="17"/>
      <c r="OOD114" s="17"/>
      <c r="OOE114" s="17"/>
      <c r="OOF114" s="17"/>
      <c r="OOG114" s="17"/>
      <c r="OOH114" s="17"/>
      <c r="OOI114" s="17"/>
      <c r="OOJ114" s="17"/>
      <c r="OOK114" s="17"/>
      <c r="OOL114" s="17"/>
      <c r="OOM114" s="17"/>
      <c r="OON114" s="17"/>
      <c r="OOO114" s="17"/>
      <c r="OOP114" s="17"/>
      <c r="OOQ114" s="17"/>
      <c r="OOR114" s="17"/>
      <c r="OOS114" s="17"/>
      <c r="OOT114" s="17"/>
      <c r="OOU114" s="17"/>
      <c r="OOV114" s="17"/>
      <c r="OOW114" s="17"/>
      <c r="OOX114" s="17"/>
      <c r="OOY114" s="17"/>
      <c r="OOZ114" s="17"/>
      <c r="OPA114" s="17"/>
      <c r="OPB114" s="17"/>
      <c r="OPC114" s="17"/>
      <c r="OPD114" s="17"/>
      <c r="OPE114" s="17"/>
      <c r="OPF114" s="17"/>
      <c r="OPG114" s="17"/>
      <c r="OPH114" s="17"/>
      <c r="OPI114" s="17"/>
      <c r="OPJ114" s="17"/>
      <c r="OPK114" s="17"/>
      <c r="OPL114" s="17"/>
      <c r="OPM114" s="17"/>
      <c r="OPN114" s="17"/>
      <c r="OPO114" s="17"/>
      <c r="OPP114" s="17"/>
      <c r="OPQ114" s="17"/>
      <c r="OPR114" s="17"/>
      <c r="OPS114" s="17"/>
      <c r="OPT114" s="17"/>
      <c r="OPU114" s="17"/>
      <c r="OPV114" s="17"/>
      <c r="OPW114" s="17"/>
      <c r="OPX114" s="17"/>
      <c r="OPY114" s="17"/>
      <c r="OPZ114" s="17"/>
      <c r="OQA114" s="17"/>
      <c r="OQB114" s="17"/>
      <c r="OQC114" s="17"/>
      <c r="OQD114" s="17"/>
      <c r="OQE114" s="17"/>
      <c r="OQF114" s="17"/>
      <c r="OQG114" s="17"/>
      <c r="OQH114" s="17"/>
      <c r="OQI114" s="17"/>
      <c r="OQJ114" s="17"/>
      <c r="OQK114" s="17"/>
      <c r="OQL114" s="17"/>
      <c r="OQM114" s="17"/>
      <c r="OQN114" s="17"/>
      <c r="OQO114" s="17"/>
      <c r="OQP114" s="17"/>
      <c r="OQQ114" s="17"/>
      <c r="OQR114" s="17"/>
      <c r="OQS114" s="17"/>
      <c r="OQT114" s="17"/>
      <c r="OQU114" s="17"/>
      <c r="OQV114" s="17"/>
      <c r="OQW114" s="17"/>
      <c r="OQX114" s="17"/>
      <c r="OQY114" s="17"/>
      <c r="OQZ114" s="17"/>
      <c r="ORA114" s="17"/>
      <c r="ORB114" s="17"/>
      <c r="ORC114" s="17"/>
      <c r="ORD114" s="17"/>
      <c r="ORE114" s="17"/>
      <c r="ORF114" s="17"/>
      <c r="ORG114" s="17"/>
      <c r="ORH114" s="17"/>
      <c r="ORI114" s="17"/>
      <c r="ORJ114" s="17"/>
      <c r="ORK114" s="17"/>
      <c r="ORL114" s="17"/>
      <c r="ORM114" s="17"/>
      <c r="ORN114" s="17"/>
      <c r="ORO114" s="17"/>
      <c r="ORP114" s="17"/>
      <c r="ORQ114" s="17"/>
      <c r="ORR114" s="17"/>
      <c r="ORS114" s="17"/>
      <c r="ORT114" s="17"/>
      <c r="ORU114" s="17"/>
      <c r="ORV114" s="17"/>
      <c r="ORW114" s="17"/>
      <c r="ORX114" s="17"/>
      <c r="ORY114" s="17"/>
      <c r="ORZ114" s="17"/>
      <c r="OSA114" s="17"/>
      <c r="OSB114" s="17"/>
      <c r="OSC114" s="17"/>
      <c r="OSD114" s="17"/>
      <c r="OSE114" s="17"/>
      <c r="OSF114" s="17"/>
      <c r="OSG114" s="17"/>
      <c r="OSH114" s="17"/>
      <c r="OSI114" s="17"/>
      <c r="OSJ114" s="17"/>
      <c r="OSK114" s="17"/>
      <c r="OSL114" s="17"/>
      <c r="OSM114" s="17"/>
      <c r="OSN114" s="17"/>
      <c r="OSO114" s="17"/>
      <c r="OSP114" s="17"/>
      <c r="OSQ114" s="17"/>
      <c r="OSR114" s="17"/>
      <c r="OSS114" s="17"/>
      <c r="OST114" s="17"/>
      <c r="OSU114" s="17"/>
      <c r="OSV114" s="17"/>
      <c r="OSW114" s="17"/>
      <c r="OSX114" s="17"/>
      <c r="OSY114" s="17"/>
      <c r="OSZ114" s="17"/>
      <c r="OTA114" s="17"/>
      <c r="OTB114" s="17"/>
      <c r="OTC114" s="17"/>
      <c r="OTD114" s="17"/>
      <c r="OTE114" s="17"/>
      <c r="OTF114" s="17"/>
      <c r="OTG114" s="17"/>
      <c r="OTH114" s="17"/>
      <c r="OTI114" s="17"/>
      <c r="OTJ114" s="17"/>
      <c r="OTK114" s="17"/>
      <c r="OTL114" s="17"/>
      <c r="OTM114" s="17"/>
      <c r="OTN114" s="17"/>
      <c r="OTO114" s="17"/>
      <c r="OTP114" s="17"/>
      <c r="OTQ114" s="17"/>
      <c r="OTR114" s="17"/>
      <c r="OTS114" s="17"/>
      <c r="OTT114" s="17"/>
      <c r="OTU114" s="17"/>
      <c r="OTV114" s="17"/>
      <c r="OTW114" s="17"/>
      <c r="OTX114" s="17"/>
      <c r="OTY114" s="17"/>
      <c r="OTZ114" s="17"/>
      <c r="OUA114" s="17"/>
      <c r="OUB114" s="17"/>
      <c r="OUC114" s="17"/>
      <c r="OUD114" s="17"/>
      <c r="OUE114" s="17"/>
      <c r="OUF114" s="17"/>
      <c r="OUG114" s="17"/>
      <c r="OUH114" s="17"/>
      <c r="OUI114" s="17"/>
      <c r="OUJ114" s="17"/>
      <c r="OUK114" s="17"/>
      <c r="OUL114" s="17"/>
      <c r="OUM114" s="17"/>
      <c r="OUN114" s="17"/>
      <c r="OUO114" s="17"/>
      <c r="OUP114" s="17"/>
      <c r="OUQ114" s="17"/>
      <c r="OUR114" s="17"/>
      <c r="OUS114" s="17"/>
      <c r="OUT114" s="17"/>
      <c r="OUU114" s="17"/>
      <c r="OUV114" s="17"/>
      <c r="OUW114" s="17"/>
      <c r="OUX114" s="17"/>
      <c r="OUY114" s="17"/>
      <c r="OUZ114" s="17"/>
      <c r="OVA114" s="17"/>
      <c r="OVB114" s="17"/>
      <c r="OVC114" s="17"/>
      <c r="OVD114" s="17"/>
      <c r="OVE114" s="17"/>
      <c r="OVF114" s="17"/>
      <c r="OVG114" s="17"/>
      <c r="OVH114" s="17"/>
      <c r="OVI114" s="17"/>
      <c r="OVJ114" s="17"/>
      <c r="OVK114" s="17"/>
      <c r="OVL114" s="17"/>
      <c r="OVM114" s="17"/>
      <c r="OVN114" s="17"/>
      <c r="OVO114" s="17"/>
      <c r="OVP114" s="17"/>
      <c r="OVQ114" s="17"/>
      <c r="OVR114" s="17"/>
      <c r="OVS114" s="17"/>
      <c r="OVT114" s="17"/>
      <c r="OVU114" s="17"/>
      <c r="OVV114" s="17"/>
      <c r="OVW114" s="17"/>
      <c r="OVX114" s="17"/>
      <c r="OVY114" s="17"/>
      <c r="OVZ114" s="17"/>
      <c r="OWA114" s="17"/>
      <c r="OWB114" s="17"/>
      <c r="OWC114" s="17"/>
      <c r="OWD114" s="17"/>
      <c r="OWE114" s="17"/>
      <c r="OWF114" s="17"/>
      <c r="OWG114" s="17"/>
      <c r="OWH114" s="17"/>
      <c r="OWI114" s="17"/>
      <c r="OWJ114" s="17"/>
      <c r="OWK114" s="17"/>
      <c r="OWL114" s="17"/>
      <c r="OWM114" s="17"/>
      <c r="OWN114" s="17"/>
      <c r="OWO114" s="17"/>
      <c r="OWP114" s="17"/>
      <c r="OWQ114" s="17"/>
      <c r="OWR114" s="17"/>
      <c r="OWS114" s="17"/>
      <c r="OWT114" s="17"/>
      <c r="OWU114" s="17"/>
      <c r="OWV114" s="17"/>
      <c r="OWW114" s="17"/>
      <c r="OWX114" s="17"/>
      <c r="OWY114" s="17"/>
      <c r="OWZ114" s="17"/>
      <c r="OXA114" s="17"/>
      <c r="OXB114" s="17"/>
      <c r="OXC114" s="17"/>
      <c r="OXD114" s="17"/>
      <c r="OXE114" s="17"/>
      <c r="OXF114" s="17"/>
      <c r="OXG114" s="17"/>
      <c r="OXH114" s="17"/>
      <c r="OXI114" s="17"/>
      <c r="OXJ114" s="17"/>
      <c r="OXK114" s="17"/>
      <c r="OXL114" s="17"/>
      <c r="OXM114" s="17"/>
      <c r="OXN114" s="17"/>
      <c r="OXO114" s="17"/>
      <c r="OXP114" s="17"/>
      <c r="OXQ114" s="17"/>
      <c r="OXR114" s="17"/>
      <c r="OXS114" s="17"/>
      <c r="OXT114" s="17"/>
      <c r="OXU114" s="17"/>
      <c r="OXV114" s="17"/>
      <c r="OXW114" s="17"/>
      <c r="OXX114" s="17"/>
      <c r="OXY114" s="17"/>
      <c r="OXZ114" s="17"/>
      <c r="OYA114" s="17"/>
      <c r="OYB114" s="17"/>
      <c r="OYC114" s="17"/>
      <c r="OYD114" s="17"/>
      <c r="OYE114" s="17"/>
      <c r="OYF114" s="17"/>
      <c r="OYG114" s="17"/>
      <c r="OYH114" s="17"/>
      <c r="OYI114" s="17"/>
      <c r="OYJ114" s="17"/>
      <c r="OYK114" s="17"/>
      <c r="OYL114" s="17"/>
      <c r="OYM114" s="17"/>
      <c r="OYN114" s="17"/>
      <c r="OYO114" s="17"/>
      <c r="OYP114" s="17"/>
      <c r="OYQ114" s="17"/>
      <c r="OYR114" s="17"/>
      <c r="OYS114" s="17"/>
      <c r="OYT114" s="17"/>
      <c r="OYU114" s="17"/>
      <c r="OYV114" s="17"/>
      <c r="OYW114" s="17"/>
      <c r="OYX114" s="17"/>
      <c r="OYY114" s="17"/>
      <c r="OYZ114" s="17"/>
      <c r="OZA114" s="17"/>
      <c r="OZB114" s="17"/>
      <c r="OZC114" s="17"/>
      <c r="OZD114" s="17"/>
      <c r="OZE114" s="17"/>
      <c r="OZF114" s="17"/>
      <c r="OZG114" s="17"/>
      <c r="OZH114" s="17"/>
      <c r="OZI114" s="17"/>
      <c r="OZJ114" s="17"/>
      <c r="OZK114" s="17"/>
      <c r="OZL114" s="17"/>
      <c r="OZM114" s="17"/>
      <c r="OZN114" s="17"/>
      <c r="OZO114" s="17"/>
      <c r="OZP114" s="17"/>
      <c r="OZQ114" s="17"/>
      <c r="OZR114" s="17"/>
      <c r="OZS114" s="17"/>
      <c r="OZT114" s="17"/>
      <c r="OZU114" s="17"/>
      <c r="OZV114" s="17"/>
      <c r="OZW114" s="17"/>
      <c r="OZX114" s="17"/>
      <c r="OZY114" s="17"/>
      <c r="OZZ114" s="17"/>
      <c r="PAA114" s="17"/>
      <c r="PAB114" s="17"/>
      <c r="PAC114" s="17"/>
      <c r="PAD114" s="17"/>
      <c r="PAE114" s="17"/>
      <c r="PAF114" s="17"/>
      <c r="PAG114" s="17"/>
      <c r="PAH114" s="17"/>
      <c r="PAI114" s="17"/>
      <c r="PAJ114" s="17"/>
      <c r="PAK114" s="17"/>
      <c r="PAL114" s="17"/>
      <c r="PAM114" s="17"/>
      <c r="PAN114" s="17"/>
      <c r="PAO114" s="17"/>
      <c r="PAP114" s="17"/>
      <c r="PAQ114" s="17"/>
      <c r="PAR114" s="17"/>
      <c r="PAS114" s="17"/>
      <c r="PAT114" s="17"/>
      <c r="PAU114" s="17"/>
      <c r="PAV114" s="17"/>
      <c r="PAW114" s="17"/>
      <c r="PAX114" s="17"/>
      <c r="PAY114" s="17"/>
      <c r="PAZ114" s="17"/>
      <c r="PBA114" s="17"/>
      <c r="PBB114" s="17"/>
      <c r="PBC114" s="17"/>
      <c r="PBD114" s="17"/>
      <c r="PBE114" s="17"/>
      <c r="PBF114" s="17"/>
      <c r="PBG114" s="17"/>
      <c r="PBH114" s="17"/>
      <c r="PBI114" s="17"/>
      <c r="PBJ114" s="17"/>
      <c r="PBK114" s="17"/>
      <c r="PBL114" s="17"/>
      <c r="PBM114" s="17"/>
      <c r="PBN114" s="17"/>
      <c r="PBO114" s="17"/>
      <c r="PBP114" s="17"/>
      <c r="PBQ114" s="17"/>
      <c r="PBR114" s="17"/>
      <c r="PBS114" s="17"/>
      <c r="PBT114" s="17"/>
      <c r="PBU114" s="17"/>
      <c r="PBV114" s="17"/>
      <c r="PBW114" s="17"/>
      <c r="PBX114" s="17"/>
      <c r="PBY114" s="17"/>
      <c r="PBZ114" s="17"/>
      <c r="PCA114" s="17"/>
      <c r="PCB114" s="17"/>
      <c r="PCC114" s="17"/>
      <c r="PCD114" s="17"/>
      <c r="PCE114" s="17"/>
      <c r="PCF114" s="17"/>
      <c r="PCG114" s="17"/>
      <c r="PCH114" s="17"/>
      <c r="PCI114" s="17"/>
      <c r="PCJ114" s="17"/>
      <c r="PCK114" s="17"/>
      <c r="PCL114" s="17"/>
      <c r="PCM114" s="17"/>
      <c r="PCN114" s="17"/>
      <c r="PCO114" s="17"/>
      <c r="PCP114" s="17"/>
      <c r="PCQ114" s="17"/>
      <c r="PCR114" s="17"/>
      <c r="PCS114" s="17"/>
      <c r="PCT114" s="17"/>
      <c r="PCU114" s="17"/>
      <c r="PCV114" s="17"/>
      <c r="PCW114" s="17"/>
      <c r="PCX114" s="17"/>
      <c r="PCY114" s="17"/>
      <c r="PCZ114" s="17"/>
      <c r="PDA114" s="17"/>
      <c r="PDB114" s="17"/>
      <c r="PDC114" s="17"/>
      <c r="PDD114" s="17"/>
      <c r="PDE114" s="17"/>
      <c r="PDF114" s="17"/>
      <c r="PDG114" s="17"/>
      <c r="PDH114" s="17"/>
      <c r="PDI114" s="17"/>
      <c r="PDJ114" s="17"/>
      <c r="PDK114" s="17"/>
      <c r="PDL114" s="17"/>
      <c r="PDM114" s="17"/>
      <c r="PDN114" s="17"/>
      <c r="PDO114" s="17"/>
      <c r="PDP114" s="17"/>
      <c r="PDQ114" s="17"/>
      <c r="PDR114" s="17"/>
      <c r="PDS114" s="17"/>
      <c r="PDT114" s="17"/>
      <c r="PDU114" s="17"/>
      <c r="PDV114" s="17"/>
      <c r="PDW114" s="17"/>
      <c r="PDX114" s="17"/>
      <c r="PDY114" s="17"/>
      <c r="PDZ114" s="17"/>
      <c r="PEA114" s="17"/>
      <c r="PEB114" s="17"/>
      <c r="PEC114" s="17"/>
      <c r="PED114" s="17"/>
      <c r="PEE114" s="17"/>
      <c r="PEF114" s="17"/>
      <c r="PEG114" s="17"/>
      <c r="PEH114" s="17"/>
      <c r="PEI114" s="17"/>
      <c r="PEJ114" s="17"/>
      <c r="PEK114" s="17"/>
      <c r="PEL114" s="17"/>
      <c r="PEM114" s="17"/>
      <c r="PEN114" s="17"/>
      <c r="PEO114" s="17"/>
      <c r="PEP114" s="17"/>
      <c r="PEQ114" s="17"/>
      <c r="PER114" s="17"/>
      <c r="PES114" s="17"/>
      <c r="PET114" s="17"/>
      <c r="PEU114" s="17"/>
      <c r="PEV114" s="17"/>
      <c r="PEW114" s="17"/>
      <c r="PEX114" s="17"/>
      <c r="PEY114" s="17"/>
      <c r="PEZ114" s="17"/>
      <c r="PFA114" s="17"/>
      <c r="PFB114" s="17"/>
      <c r="PFC114" s="17"/>
      <c r="PFD114" s="17"/>
      <c r="PFE114" s="17"/>
      <c r="PFF114" s="17"/>
      <c r="PFG114" s="17"/>
      <c r="PFH114" s="17"/>
      <c r="PFI114" s="17"/>
      <c r="PFJ114" s="17"/>
      <c r="PFK114" s="17"/>
      <c r="PFL114" s="17"/>
      <c r="PFM114" s="17"/>
      <c r="PFN114" s="17"/>
      <c r="PFO114" s="17"/>
      <c r="PFP114" s="17"/>
      <c r="PFQ114" s="17"/>
      <c r="PFR114" s="17"/>
      <c r="PFS114" s="17"/>
      <c r="PFT114" s="17"/>
      <c r="PFU114" s="17"/>
      <c r="PFV114" s="17"/>
      <c r="PFW114" s="17"/>
      <c r="PFX114" s="17"/>
      <c r="PFY114" s="17"/>
      <c r="PFZ114" s="17"/>
      <c r="PGA114" s="17"/>
      <c r="PGB114" s="17"/>
      <c r="PGC114" s="17"/>
      <c r="PGD114" s="17"/>
      <c r="PGE114" s="17"/>
      <c r="PGF114" s="17"/>
      <c r="PGG114" s="17"/>
      <c r="PGH114" s="17"/>
      <c r="PGI114" s="17"/>
      <c r="PGJ114" s="17"/>
      <c r="PGK114" s="17"/>
      <c r="PGL114" s="17"/>
      <c r="PGM114" s="17"/>
      <c r="PGN114" s="17"/>
      <c r="PGO114" s="17"/>
      <c r="PGP114" s="17"/>
      <c r="PGQ114" s="17"/>
      <c r="PGR114" s="17"/>
      <c r="PGS114" s="17"/>
      <c r="PGT114" s="17"/>
      <c r="PGU114" s="17"/>
      <c r="PGV114" s="17"/>
      <c r="PGW114" s="17"/>
      <c r="PGX114" s="17"/>
      <c r="PGY114" s="17"/>
      <c r="PGZ114" s="17"/>
      <c r="PHA114" s="17"/>
      <c r="PHB114" s="17"/>
      <c r="PHC114" s="17"/>
      <c r="PHD114" s="17"/>
      <c r="PHE114" s="17"/>
      <c r="PHF114" s="17"/>
      <c r="PHG114" s="17"/>
      <c r="PHH114" s="17"/>
      <c r="PHI114" s="17"/>
      <c r="PHJ114" s="17"/>
      <c r="PHK114" s="17"/>
      <c r="PHL114" s="17"/>
      <c r="PHM114" s="17"/>
      <c r="PHN114" s="17"/>
      <c r="PHO114" s="17"/>
      <c r="PHP114" s="17"/>
      <c r="PHQ114" s="17"/>
      <c r="PHR114" s="17"/>
      <c r="PHS114" s="17"/>
      <c r="PHT114" s="17"/>
      <c r="PHU114" s="17"/>
      <c r="PHV114" s="17"/>
      <c r="PHW114" s="17"/>
      <c r="PHX114" s="17"/>
      <c r="PHY114" s="17"/>
      <c r="PHZ114" s="17"/>
      <c r="PIA114" s="17"/>
      <c r="PIB114" s="17"/>
      <c r="PIC114" s="17"/>
      <c r="PID114" s="17"/>
      <c r="PIE114" s="17"/>
      <c r="PIF114" s="17"/>
      <c r="PIG114" s="17"/>
      <c r="PIH114" s="17"/>
      <c r="PII114" s="17"/>
      <c r="PIJ114" s="17"/>
      <c r="PIK114" s="17"/>
      <c r="PIL114" s="17"/>
      <c r="PIM114" s="17"/>
      <c r="PIN114" s="17"/>
      <c r="PIO114" s="17"/>
      <c r="PIP114" s="17"/>
      <c r="PIQ114" s="17"/>
      <c r="PIR114" s="17"/>
      <c r="PIS114" s="17"/>
      <c r="PIT114" s="17"/>
      <c r="PIU114" s="17"/>
      <c r="PIV114" s="17"/>
      <c r="PIW114" s="17"/>
      <c r="PIX114" s="17"/>
      <c r="PIY114" s="17"/>
      <c r="PIZ114" s="17"/>
      <c r="PJA114" s="17"/>
      <c r="PJB114" s="17"/>
      <c r="PJC114" s="17"/>
      <c r="PJD114" s="17"/>
      <c r="PJE114" s="17"/>
      <c r="PJF114" s="17"/>
      <c r="PJG114" s="17"/>
      <c r="PJH114" s="17"/>
      <c r="PJI114" s="17"/>
      <c r="PJJ114" s="17"/>
      <c r="PJK114" s="17"/>
      <c r="PJL114" s="17"/>
      <c r="PJM114" s="17"/>
      <c r="PJN114" s="17"/>
      <c r="PJO114" s="17"/>
      <c r="PJP114" s="17"/>
      <c r="PJQ114" s="17"/>
      <c r="PJR114" s="17"/>
      <c r="PJS114" s="17"/>
      <c r="PJT114" s="17"/>
      <c r="PJU114" s="17"/>
      <c r="PJV114" s="17"/>
      <c r="PJW114" s="17"/>
      <c r="PJX114" s="17"/>
      <c r="PJY114" s="17"/>
      <c r="PJZ114" s="17"/>
      <c r="PKA114" s="17"/>
      <c r="PKB114" s="17"/>
      <c r="PKC114" s="17"/>
      <c r="PKD114" s="17"/>
      <c r="PKE114" s="17"/>
      <c r="PKF114" s="17"/>
      <c r="PKG114" s="17"/>
      <c r="PKH114" s="17"/>
      <c r="PKI114" s="17"/>
      <c r="PKJ114" s="17"/>
      <c r="PKK114" s="17"/>
      <c r="PKL114" s="17"/>
      <c r="PKM114" s="17"/>
      <c r="PKN114" s="17"/>
      <c r="PKO114" s="17"/>
      <c r="PKP114" s="17"/>
      <c r="PKQ114" s="17"/>
      <c r="PKR114" s="17"/>
      <c r="PKS114" s="17"/>
      <c r="PKT114" s="17"/>
      <c r="PKU114" s="17"/>
      <c r="PKV114" s="17"/>
      <c r="PKW114" s="17"/>
      <c r="PKX114" s="17"/>
      <c r="PKY114" s="17"/>
      <c r="PKZ114" s="17"/>
      <c r="PLA114" s="17"/>
      <c r="PLB114" s="17"/>
      <c r="PLC114" s="17"/>
      <c r="PLD114" s="17"/>
      <c r="PLE114" s="17"/>
      <c r="PLF114" s="17"/>
      <c r="PLG114" s="17"/>
      <c r="PLH114" s="17"/>
      <c r="PLI114" s="17"/>
      <c r="PLJ114" s="17"/>
      <c r="PLK114" s="17"/>
      <c r="PLL114" s="17"/>
      <c r="PLM114" s="17"/>
      <c r="PLN114" s="17"/>
      <c r="PLO114" s="17"/>
      <c r="PLP114" s="17"/>
      <c r="PLQ114" s="17"/>
      <c r="PLR114" s="17"/>
      <c r="PLS114" s="17"/>
      <c r="PLT114" s="17"/>
      <c r="PLU114" s="17"/>
      <c r="PLV114" s="17"/>
      <c r="PLW114" s="17"/>
      <c r="PLX114" s="17"/>
      <c r="PLY114" s="17"/>
      <c r="PLZ114" s="17"/>
      <c r="PMA114" s="17"/>
      <c r="PMB114" s="17"/>
      <c r="PMC114" s="17"/>
      <c r="PMD114" s="17"/>
      <c r="PME114" s="17"/>
      <c r="PMF114" s="17"/>
      <c r="PMG114" s="17"/>
      <c r="PMH114" s="17"/>
      <c r="PMI114" s="17"/>
      <c r="PMJ114" s="17"/>
      <c r="PMK114" s="17"/>
      <c r="PML114" s="17"/>
      <c r="PMM114" s="17"/>
      <c r="PMN114" s="17"/>
      <c r="PMO114" s="17"/>
      <c r="PMP114" s="17"/>
      <c r="PMQ114" s="17"/>
      <c r="PMR114" s="17"/>
      <c r="PMS114" s="17"/>
      <c r="PMT114" s="17"/>
      <c r="PMU114" s="17"/>
      <c r="PMV114" s="17"/>
      <c r="PMW114" s="17"/>
      <c r="PMX114" s="17"/>
      <c r="PMY114" s="17"/>
      <c r="PMZ114" s="17"/>
      <c r="PNA114" s="17"/>
      <c r="PNB114" s="17"/>
      <c r="PNC114" s="17"/>
      <c r="PND114" s="17"/>
      <c r="PNE114" s="17"/>
      <c r="PNF114" s="17"/>
      <c r="PNG114" s="17"/>
      <c r="PNH114" s="17"/>
      <c r="PNI114" s="17"/>
      <c r="PNJ114" s="17"/>
      <c r="PNK114" s="17"/>
      <c r="PNL114" s="17"/>
      <c r="PNM114" s="17"/>
      <c r="PNN114" s="17"/>
      <c r="PNO114" s="17"/>
      <c r="PNP114" s="17"/>
      <c r="PNQ114" s="17"/>
      <c r="PNR114" s="17"/>
      <c r="PNS114" s="17"/>
      <c r="PNT114" s="17"/>
      <c r="PNU114" s="17"/>
      <c r="PNV114" s="17"/>
      <c r="PNW114" s="17"/>
      <c r="PNX114" s="17"/>
      <c r="PNY114" s="17"/>
      <c r="PNZ114" s="17"/>
      <c r="POA114" s="17"/>
      <c r="POB114" s="17"/>
      <c r="POC114" s="17"/>
      <c r="POD114" s="17"/>
      <c r="POE114" s="17"/>
      <c r="POF114" s="17"/>
      <c r="POG114" s="17"/>
      <c r="POH114" s="17"/>
      <c r="POI114" s="17"/>
      <c r="POJ114" s="17"/>
      <c r="POK114" s="17"/>
      <c r="POL114" s="17"/>
      <c r="POM114" s="17"/>
      <c r="PON114" s="17"/>
      <c r="POO114" s="17"/>
      <c r="POP114" s="17"/>
      <c r="POQ114" s="17"/>
      <c r="POR114" s="17"/>
      <c r="POS114" s="17"/>
      <c r="POT114" s="17"/>
      <c r="POU114" s="17"/>
      <c r="POV114" s="17"/>
      <c r="POW114" s="17"/>
      <c r="POX114" s="17"/>
      <c r="POY114" s="17"/>
      <c r="POZ114" s="17"/>
      <c r="PPA114" s="17"/>
      <c r="PPB114" s="17"/>
      <c r="PPC114" s="17"/>
      <c r="PPD114" s="17"/>
      <c r="PPE114" s="17"/>
      <c r="PPF114" s="17"/>
      <c r="PPG114" s="17"/>
      <c r="PPH114" s="17"/>
      <c r="PPI114" s="17"/>
      <c r="PPJ114" s="17"/>
      <c r="PPK114" s="17"/>
      <c r="PPL114" s="17"/>
      <c r="PPM114" s="17"/>
      <c r="PPN114" s="17"/>
      <c r="PPO114" s="17"/>
      <c r="PPP114" s="17"/>
      <c r="PPQ114" s="17"/>
      <c r="PPR114" s="17"/>
      <c r="PPS114" s="17"/>
      <c r="PPT114" s="17"/>
      <c r="PPU114" s="17"/>
      <c r="PPV114" s="17"/>
      <c r="PPW114" s="17"/>
      <c r="PPX114" s="17"/>
      <c r="PPY114" s="17"/>
      <c r="PPZ114" s="17"/>
      <c r="PQA114" s="17"/>
      <c r="PQB114" s="17"/>
      <c r="PQC114" s="17"/>
      <c r="PQD114" s="17"/>
      <c r="PQE114" s="17"/>
      <c r="PQF114" s="17"/>
      <c r="PQG114" s="17"/>
      <c r="PQH114" s="17"/>
      <c r="PQI114" s="17"/>
      <c r="PQJ114" s="17"/>
      <c r="PQK114" s="17"/>
      <c r="PQL114" s="17"/>
      <c r="PQM114" s="17"/>
      <c r="PQN114" s="17"/>
      <c r="PQO114" s="17"/>
      <c r="PQP114" s="17"/>
      <c r="PQQ114" s="17"/>
      <c r="PQR114" s="17"/>
      <c r="PQS114" s="17"/>
      <c r="PQT114" s="17"/>
      <c r="PQU114" s="17"/>
      <c r="PQV114" s="17"/>
      <c r="PQW114" s="17"/>
      <c r="PQX114" s="17"/>
      <c r="PQY114" s="17"/>
      <c r="PQZ114" s="17"/>
      <c r="PRA114" s="17"/>
      <c r="PRB114" s="17"/>
      <c r="PRC114" s="17"/>
      <c r="PRD114" s="17"/>
      <c r="PRE114" s="17"/>
      <c r="PRF114" s="17"/>
      <c r="PRG114" s="17"/>
      <c r="PRH114" s="17"/>
      <c r="PRI114" s="17"/>
      <c r="PRJ114" s="17"/>
      <c r="PRK114" s="17"/>
      <c r="PRL114" s="17"/>
      <c r="PRM114" s="17"/>
      <c r="PRN114" s="17"/>
      <c r="PRO114" s="17"/>
      <c r="PRP114" s="17"/>
      <c r="PRQ114" s="17"/>
      <c r="PRR114" s="17"/>
      <c r="PRS114" s="17"/>
      <c r="PRT114" s="17"/>
      <c r="PRU114" s="17"/>
      <c r="PRV114" s="17"/>
      <c r="PRW114" s="17"/>
      <c r="PRX114" s="17"/>
      <c r="PRY114" s="17"/>
      <c r="PRZ114" s="17"/>
      <c r="PSA114" s="17"/>
      <c r="PSB114" s="17"/>
      <c r="PSC114" s="17"/>
      <c r="PSD114" s="17"/>
      <c r="PSE114" s="17"/>
      <c r="PSF114" s="17"/>
      <c r="PSG114" s="17"/>
      <c r="PSH114" s="17"/>
      <c r="PSI114" s="17"/>
      <c r="PSJ114" s="17"/>
      <c r="PSK114" s="17"/>
      <c r="PSL114" s="17"/>
      <c r="PSM114" s="17"/>
      <c r="PSN114" s="17"/>
      <c r="PSO114" s="17"/>
      <c r="PSP114" s="17"/>
      <c r="PSQ114" s="17"/>
      <c r="PSR114" s="17"/>
      <c r="PSS114" s="17"/>
      <c r="PST114" s="17"/>
      <c r="PSU114" s="17"/>
      <c r="PSV114" s="17"/>
      <c r="PSW114" s="17"/>
      <c r="PSX114" s="17"/>
      <c r="PSY114" s="17"/>
      <c r="PSZ114" s="17"/>
      <c r="PTA114" s="17"/>
      <c r="PTB114" s="17"/>
      <c r="PTC114" s="17"/>
      <c r="PTD114" s="17"/>
      <c r="PTE114" s="17"/>
      <c r="PTF114" s="17"/>
      <c r="PTG114" s="17"/>
      <c r="PTH114" s="17"/>
      <c r="PTI114" s="17"/>
      <c r="PTJ114" s="17"/>
      <c r="PTK114" s="17"/>
      <c r="PTL114" s="17"/>
      <c r="PTM114" s="17"/>
      <c r="PTN114" s="17"/>
      <c r="PTO114" s="17"/>
      <c r="PTP114" s="17"/>
      <c r="PTQ114" s="17"/>
      <c r="PTR114" s="17"/>
      <c r="PTS114" s="17"/>
      <c r="PTT114" s="17"/>
      <c r="PTU114" s="17"/>
      <c r="PTV114" s="17"/>
      <c r="PTW114" s="17"/>
      <c r="PTX114" s="17"/>
      <c r="PTY114" s="17"/>
      <c r="PTZ114" s="17"/>
      <c r="PUA114" s="17"/>
      <c r="PUB114" s="17"/>
      <c r="PUC114" s="17"/>
      <c r="PUD114" s="17"/>
      <c r="PUE114" s="17"/>
      <c r="PUF114" s="17"/>
      <c r="PUG114" s="17"/>
      <c r="PUH114" s="17"/>
      <c r="PUI114" s="17"/>
      <c r="PUJ114" s="17"/>
      <c r="PUK114" s="17"/>
      <c r="PUL114" s="17"/>
      <c r="PUM114" s="17"/>
      <c r="PUN114" s="17"/>
      <c r="PUO114" s="17"/>
      <c r="PUP114" s="17"/>
      <c r="PUQ114" s="17"/>
      <c r="PUR114" s="17"/>
      <c r="PUS114" s="17"/>
      <c r="PUT114" s="17"/>
      <c r="PUU114" s="17"/>
      <c r="PUV114" s="17"/>
      <c r="PUW114" s="17"/>
      <c r="PUX114" s="17"/>
      <c r="PUY114" s="17"/>
      <c r="PUZ114" s="17"/>
      <c r="PVA114" s="17"/>
      <c r="PVB114" s="17"/>
      <c r="PVC114" s="17"/>
      <c r="PVD114" s="17"/>
      <c r="PVE114" s="17"/>
      <c r="PVF114" s="17"/>
      <c r="PVG114" s="17"/>
      <c r="PVH114" s="17"/>
      <c r="PVI114" s="17"/>
      <c r="PVJ114" s="17"/>
      <c r="PVK114" s="17"/>
      <c r="PVL114" s="17"/>
      <c r="PVM114" s="17"/>
      <c r="PVN114" s="17"/>
      <c r="PVO114" s="17"/>
      <c r="PVP114" s="17"/>
      <c r="PVQ114" s="17"/>
      <c r="PVR114" s="17"/>
      <c r="PVS114" s="17"/>
      <c r="PVT114" s="17"/>
      <c r="PVU114" s="17"/>
      <c r="PVV114" s="17"/>
      <c r="PVW114" s="17"/>
      <c r="PVX114" s="17"/>
      <c r="PVY114" s="17"/>
      <c r="PVZ114" s="17"/>
      <c r="PWA114" s="17"/>
      <c r="PWB114" s="17"/>
      <c r="PWC114" s="17"/>
      <c r="PWD114" s="17"/>
      <c r="PWE114" s="17"/>
      <c r="PWF114" s="17"/>
      <c r="PWG114" s="17"/>
      <c r="PWH114" s="17"/>
      <c r="PWI114" s="17"/>
      <c r="PWJ114" s="17"/>
      <c r="PWK114" s="17"/>
      <c r="PWL114" s="17"/>
      <c r="PWM114" s="17"/>
      <c r="PWN114" s="17"/>
      <c r="PWO114" s="17"/>
      <c r="PWP114" s="17"/>
      <c r="PWQ114" s="17"/>
      <c r="PWR114" s="17"/>
      <c r="PWS114" s="17"/>
      <c r="PWT114" s="17"/>
      <c r="PWU114" s="17"/>
      <c r="PWV114" s="17"/>
      <c r="PWW114" s="17"/>
      <c r="PWX114" s="17"/>
      <c r="PWY114" s="17"/>
      <c r="PWZ114" s="17"/>
      <c r="PXA114" s="17"/>
      <c r="PXB114" s="17"/>
      <c r="PXC114" s="17"/>
      <c r="PXD114" s="17"/>
      <c r="PXE114" s="17"/>
      <c r="PXF114" s="17"/>
      <c r="PXG114" s="17"/>
      <c r="PXH114" s="17"/>
      <c r="PXI114" s="17"/>
      <c r="PXJ114" s="17"/>
      <c r="PXK114" s="17"/>
      <c r="PXL114" s="17"/>
      <c r="PXM114" s="17"/>
      <c r="PXN114" s="17"/>
      <c r="PXO114" s="17"/>
      <c r="PXP114" s="17"/>
      <c r="PXQ114" s="17"/>
      <c r="PXR114" s="17"/>
      <c r="PXS114" s="17"/>
      <c r="PXT114" s="17"/>
      <c r="PXU114" s="17"/>
      <c r="PXV114" s="17"/>
      <c r="PXW114" s="17"/>
      <c r="PXX114" s="17"/>
      <c r="PXY114" s="17"/>
      <c r="PXZ114" s="17"/>
      <c r="PYA114" s="17"/>
      <c r="PYB114" s="17"/>
      <c r="PYC114" s="17"/>
      <c r="PYD114" s="17"/>
      <c r="PYE114" s="17"/>
      <c r="PYF114" s="17"/>
      <c r="PYG114" s="17"/>
      <c r="PYH114" s="17"/>
      <c r="PYI114" s="17"/>
      <c r="PYJ114" s="17"/>
      <c r="PYK114" s="17"/>
      <c r="PYL114" s="17"/>
      <c r="PYM114" s="17"/>
      <c r="PYN114" s="17"/>
      <c r="PYO114" s="17"/>
      <c r="PYP114" s="17"/>
      <c r="PYQ114" s="17"/>
      <c r="PYR114" s="17"/>
      <c r="PYS114" s="17"/>
      <c r="PYT114" s="17"/>
      <c r="PYU114" s="17"/>
      <c r="PYV114" s="17"/>
      <c r="PYW114" s="17"/>
      <c r="PYX114" s="17"/>
      <c r="PYY114" s="17"/>
      <c r="PYZ114" s="17"/>
      <c r="PZA114" s="17"/>
      <c r="PZB114" s="17"/>
      <c r="PZC114" s="17"/>
      <c r="PZD114" s="17"/>
      <c r="PZE114" s="17"/>
      <c r="PZF114" s="17"/>
      <c r="PZG114" s="17"/>
      <c r="PZH114" s="17"/>
      <c r="PZI114" s="17"/>
      <c r="PZJ114" s="17"/>
      <c r="PZK114" s="17"/>
      <c r="PZL114" s="17"/>
      <c r="PZM114" s="17"/>
      <c r="PZN114" s="17"/>
      <c r="PZO114" s="17"/>
      <c r="PZP114" s="17"/>
      <c r="PZQ114" s="17"/>
      <c r="PZR114" s="17"/>
      <c r="PZS114" s="17"/>
      <c r="PZT114" s="17"/>
      <c r="PZU114" s="17"/>
      <c r="PZV114" s="17"/>
      <c r="PZW114" s="17"/>
      <c r="PZX114" s="17"/>
      <c r="PZY114" s="17"/>
      <c r="PZZ114" s="17"/>
      <c r="QAA114" s="17"/>
      <c r="QAB114" s="17"/>
      <c r="QAC114" s="17"/>
      <c r="QAD114" s="17"/>
      <c r="QAE114" s="17"/>
      <c r="QAF114" s="17"/>
      <c r="QAG114" s="17"/>
      <c r="QAH114" s="17"/>
      <c r="QAI114" s="17"/>
      <c r="QAJ114" s="17"/>
      <c r="QAK114" s="17"/>
      <c r="QAL114" s="17"/>
      <c r="QAM114" s="17"/>
      <c r="QAN114" s="17"/>
      <c r="QAO114" s="17"/>
      <c r="QAP114" s="17"/>
      <c r="QAQ114" s="17"/>
      <c r="QAR114" s="17"/>
      <c r="QAS114" s="17"/>
      <c r="QAT114" s="17"/>
      <c r="QAU114" s="17"/>
      <c r="QAV114" s="17"/>
      <c r="QAW114" s="17"/>
      <c r="QAX114" s="17"/>
      <c r="QAY114" s="17"/>
      <c r="QAZ114" s="17"/>
      <c r="QBA114" s="17"/>
      <c r="QBB114" s="17"/>
      <c r="QBC114" s="17"/>
      <c r="QBD114" s="17"/>
      <c r="QBE114" s="17"/>
      <c r="QBF114" s="17"/>
      <c r="QBG114" s="17"/>
      <c r="QBH114" s="17"/>
      <c r="QBI114" s="17"/>
      <c r="QBJ114" s="17"/>
      <c r="QBK114" s="17"/>
      <c r="QBL114" s="17"/>
      <c r="QBM114" s="17"/>
      <c r="QBN114" s="17"/>
      <c r="QBO114" s="17"/>
      <c r="QBP114" s="17"/>
      <c r="QBQ114" s="17"/>
      <c r="QBR114" s="17"/>
      <c r="QBS114" s="17"/>
      <c r="QBT114" s="17"/>
      <c r="QBU114" s="17"/>
      <c r="QBV114" s="17"/>
      <c r="QBW114" s="17"/>
      <c r="QBX114" s="17"/>
      <c r="QBY114" s="17"/>
      <c r="QBZ114" s="17"/>
      <c r="QCA114" s="17"/>
      <c r="QCB114" s="17"/>
      <c r="QCC114" s="17"/>
      <c r="QCD114" s="17"/>
      <c r="QCE114" s="17"/>
      <c r="QCF114" s="17"/>
      <c r="QCG114" s="17"/>
      <c r="QCH114" s="17"/>
      <c r="QCI114" s="17"/>
      <c r="QCJ114" s="17"/>
      <c r="QCK114" s="17"/>
      <c r="QCL114" s="17"/>
      <c r="QCM114" s="17"/>
      <c r="QCN114" s="17"/>
      <c r="QCO114" s="17"/>
      <c r="QCP114" s="17"/>
      <c r="QCQ114" s="17"/>
      <c r="QCR114" s="17"/>
      <c r="QCS114" s="17"/>
      <c r="QCT114" s="17"/>
      <c r="QCU114" s="17"/>
      <c r="QCV114" s="17"/>
      <c r="QCW114" s="17"/>
      <c r="QCX114" s="17"/>
      <c r="QCY114" s="17"/>
      <c r="QCZ114" s="17"/>
      <c r="QDA114" s="17"/>
      <c r="QDB114" s="17"/>
      <c r="QDC114" s="17"/>
      <c r="QDD114" s="17"/>
      <c r="QDE114" s="17"/>
      <c r="QDF114" s="17"/>
      <c r="QDG114" s="17"/>
      <c r="QDH114" s="17"/>
      <c r="QDI114" s="17"/>
      <c r="QDJ114" s="17"/>
      <c r="QDK114" s="17"/>
      <c r="QDL114" s="17"/>
      <c r="QDM114" s="17"/>
      <c r="QDN114" s="17"/>
      <c r="QDO114" s="17"/>
      <c r="QDP114" s="17"/>
      <c r="QDQ114" s="17"/>
      <c r="QDR114" s="17"/>
      <c r="QDS114" s="17"/>
      <c r="QDT114" s="17"/>
      <c r="QDU114" s="17"/>
      <c r="QDV114" s="17"/>
      <c r="QDW114" s="17"/>
      <c r="QDX114" s="17"/>
      <c r="QDY114" s="17"/>
      <c r="QDZ114" s="17"/>
      <c r="QEA114" s="17"/>
      <c r="QEB114" s="17"/>
      <c r="QEC114" s="17"/>
      <c r="QED114" s="17"/>
      <c r="QEE114" s="17"/>
      <c r="QEF114" s="17"/>
      <c r="QEG114" s="17"/>
      <c r="QEH114" s="17"/>
      <c r="QEI114" s="17"/>
      <c r="QEJ114" s="17"/>
      <c r="QEK114" s="17"/>
      <c r="QEL114" s="17"/>
      <c r="QEM114" s="17"/>
      <c r="QEN114" s="17"/>
      <c r="QEO114" s="17"/>
      <c r="QEP114" s="17"/>
      <c r="QEQ114" s="17"/>
      <c r="QER114" s="17"/>
      <c r="QES114" s="17"/>
      <c r="QET114" s="17"/>
      <c r="QEU114" s="17"/>
      <c r="QEV114" s="17"/>
      <c r="QEW114" s="17"/>
      <c r="QEX114" s="17"/>
      <c r="QEY114" s="17"/>
      <c r="QEZ114" s="17"/>
      <c r="QFA114" s="17"/>
      <c r="QFB114" s="17"/>
      <c r="QFC114" s="17"/>
      <c r="QFD114" s="17"/>
      <c r="QFE114" s="17"/>
      <c r="QFF114" s="17"/>
      <c r="QFG114" s="17"/>
      <c r="QFH114" s="17"/>
      <c r="QFI114" s="17"/>
      <c r="QFJ114" s="17"/>
      <c r="QFK114" s="17"/>
      <c r="QFL114" s="17"/>
      <c r="QFM114" s="17"/>
      <c r="QFN114" s="17"/>
      <c r="QFO114" s="17"/>
      <c r="QFP114" s="17"/>
      <c r="QFQ114" s="17"/>
      <c r="QFR114" s="17"/>
      <c r="QFS114" s="17"/>
      <c r="QFT114" s="17"/>
      <c r="QFU114" s="17"/>
      <c r="QFV114" s="17"/>
      <c r="QFW114" s="17"/>
      <c r="QFX114" s="17"/>
      <c r="QFY114" s="17"/>
      <c r="QFZ114" s="17"/>
      <c r="QGA114" s="17"/>
      <c r="QGB114" s="17"/>
      <c r="QGC114" s="17"/>
      <c r="QGD114" s="17"/>
      <c r="QGE114" s="17"/>
      <c r="QGF114" s="17"/>
      <c r="QGG114" s="17"/>
      <c r="QGH114" s="17"/>
      <c r="QGI114" s="17"/>
      <c r="QGJ114" s="17"/>
      <c r="QGK114" s="17"/>
      <c r="QGL114" s="17"/>
      <c r="QGM114" s="17"/>
      <c r="QGN114" s="17"/>
      <c r="QGO114" s="17"/>
      <c r="QGP114" s="17"/>
      <c r="QGQ114" s="17"/>
      <c r="QGR114" s="17"/>
      <c r="QGS114" s="17"/>
      <c r="QGT114" s="17"/>
      <c r="QGU114" s="17"/>
      <c r="QGV114" s="17"/>
      <c r="QGW114" s="17"/>
      <c r="QGX114" s="17"/>
      <c r="QGY114" s="17"/>
      <c r="QGZ114" s="17"/>
      <c r="QHA114" s="17"/>
      <c r="QHB114" s="17"/>
      <c r="QHC114" s="17"/>
      <c r="QHD114" s="17"/>
      <c r="QHE114" s="17"/>
      <c r="QHF114" s="17"/>
      <c r="QHG114" s="17"/>
      <c r="QHH114" s="17"/>
      <c r="QHI114" s="17"/>
      <c r="QHJ114" s="17"/>
      <c r="QHK114" s="17"/>
      <c r="QHL114" s="17"/>
      <c r="QHM114" s="17"/>
      <c r="QHN114" s="17"/>
      <c r="QHO114" s="17"/>
      <c r="QHP114" s="17"/>
      <c r="QHQ114" s="17"/>
      <c r="QHR114" s="17"/>
      <c r="QHS114" s="17"/>
      <c r="QHT114" s="17"/>
      <c r="QHU114" s="17"/>
      <c r="QHV114" s="17"/>
      <c r="QHW114" s="17"/>
      <c r="QHX114" s="17"/>
      <c r="QHY114" s="17"/>
      <c r="QHZ114" s="17"/>
      <c r="QIA114" s="17"/>
      <c r="QIB114" s="17"/>
      <c r="QIC114" s="17"/>
      <c r="QID114" s="17"/>
      <c r="QIE114" s="17"/>
      <c r="QIF114" s="17"/>
      <c r="QIG114" s="17"/>
      <c r="QIH114" s="17"/>
      <c r="QII114" s="17"/>
      <c r="QIJ114" s="17"/>
      <c r="QIK114" s="17"/>
      <c r="QIL114" s="17"/>
      <c r="QIM114" s="17"/>
      <c r="QIN114" s="17"/>
      <c r="QIO114" s="17"/>
      <c r="QIP114" s="17"/>
      <c r="QIQ114" s="17"/>
      <c r="QIR114" s="17"/>
      <c r="QIS114" s="17"/>
      <c r="QIT114" s="17"/>
      <c r="QIU114" s="17"/>
      <c r="QIV114" s="17"/>
      <c r="QIW114" s="17"/>
      <c r="QIX114" s="17"/>
      <c r="QIY114" s="17"/>
      <c r="QIZ114" s="17"/>
      <c r="QJA114" s="17"/>
      <c r="QJB114" s="17"/>
      <c r="QJC114" s="17"/>
      <c r="QJD114" s="17"/>
      <c r="QJE114" s="17"/>
      <c r="QJF114" s="17"/>
      <c r="QJG114" s="17"/>
      <c r="QJH114" s="17"/>
      <c r="QJI114" s="17"/>
      <c r="QJJ114" s="17"/>
      <c r="QJK114" s="17"/>
      <c r="QJL114" s="17"/>
      <c r="QJM114" s="17"/>
      <c r="QJN114" s="17"/>
      <c r="QJO114" s="17"/>
      <c r="QJP114" s="17"/>
      <c r="QJQ114" s="17"/>
      <c r="QJR114" s="17"/>
      <c r="QJS114" s="17"/>
      <c r="QJT114" s="17"/>
      <c r="QJU114" s="17"/>
      <c r="QJV114" s="17"/>
      <c r="QJW114" s="17"/>
      <c r="QJX114" s="17"/>
      <c r="QJY114" s="17"/>
      <c r="QJZ114" s="17"/>
      <c r="QKA114" s="17"/>
      <c r="QKB114" s="17"/>
      <c r="QKC114" s="17"/>
      <c r="QKD114" s="17"/>
      <c r="QKE114" s="17"/>
      <c r="QKF114" s="17"/>
      <c r="QKG114" s="17"/>
      <c r="QKH114" s="17"/>
      <c r="QKI114" s="17"/>
      <c r="QKJ114" s="17"/>
      <c r="QKK114" s="17"/>
      <c r="QKL114" s="17"/>
      <c r="QKM114" s="17"/>
      <c r="QKN114" s="17"/>
      <c r="QKO114" s="17"/>
      <c r="QKP114" s="17"/>
      <c r="QKQ114" s="17"/>
      <c r="QKR114" s="17"/>
      <c r="QKS114" s="17"/>
      <c r="QKT114" s="17"/>
      <c r="QKU114" s="17"/>
      <c r="QKV114" s="17"/>
      <c r="QKW114" s="17"/>
      <c r="QKX114" s="17"/>
      <c r="QKY114" s="17"/>
      <c r="QKZ114" s="17"/>
      <c r="QLA114" s="17"/>
      <c r="QLB114" s="17"/>
      <c r="QLC114" s="17"/>
      <c r="QLD114" s="17"/>
      <c r="QLE114" s="17"/>
      <c r="QLF114" s="17"/>
      <c r="QLG114" s="17"/>
      <c r="QLH114" s="17"/>
      <c r="QLI114" s="17"/>
      <c r="QLJ114" s="17"/>
      <c r="QLK114" s="17"/>
      <c r="QLL114" s="17"/>
      <c r="QLM114" s="17"/>
      <c r="QLN114" s="17"/>
      <c r="QLO114" s="17"/>
      <c r="QLP114" s="17"/>
      <c r="QLQ114" s="17"/>
      <c r="QLR114" s="17"/>
      <c r="QLS114" s="17"/>
      <c r="QLT114" s="17"/>
      <c r="QLU114" s="17"/>
      <c r="QLV114" s="17"/>
      <c r="QLW114" s="17"/>
      <c r="QLX114" s="17"/>
      <c r="QLY114" s="17"/>
      <c r="QLZ114" s="17"/>
      <c r="QMA114" s="17"/>
      <c r="QMB114" s="17"/>
      <c r="QMC114" s="17"/>
      <c r="QMD114" s="17"/>
      <c r="QME114" s="17"/>
      <c r="QMF114" s="17"/>
      <c r="QMG114" s="17"/>
      <c r="QMH114" s="17"/>
      <c r="QMI114" s="17"/>
      <c r="QMJ114" s="17"/>
      <c r="QMK114" s="17"/>
      <c r="QML114" s="17"/>
      <c r="QMM114" s="17"/>
      <c r="QMN114" s="17"/>
      <c r="QMO114" s="17"/>
      <c r="QMP114" s="17"/>
      <c r="QMQ114" s="17"/>
      <c r="QMR114" s="17"/>
      <c r="QMS114" s="17"/>
      <c r="QMT114" s="17"/>
      <c r="QMU114" s="17"/>
      <c r="QMV114" s="17"/>
      <c r="QMW114" s="17"/>
      <c r="QMX114" s="17"/>
      <c r="QMY114" s="17"/>
      <c r="QMZ114" s="17"/>
      <c r="QNA114" s="17"/>
      <c r="QNB114" s="17"/>
      <c r="QNC114" s="17"/>
      <c r="QND114" s="17"/>
      <c r="QNE114" s="17"/>
      <c r="QNF114" s="17"/>
      <c r="QNG114" s="17"/>
      <c r="QNH114" s="17"/>
      <c r="QNI114" s="17"/>
      <c r="QNJ114" s="17"/>
      <c r="QNK114" s="17"/>
      <c r="QNL114" s="17"/>
      <c r="QNM114" s="17"/>
      <c r="QNN114" s="17"/>
      <c r="QNO114" s="17"/>
      <c r="QNP114" s="17"/>
      <c r="QNQ114" s="17"/>
      <c r="QNR114" s="17"/>
      <c r="QNS114" s="17"/>
      <c r="QNT114" s="17"/>
      <c r="QNU114" s="17"/>
      <c r="QNV114" s="17"/>
      <c r="QNW114" s="17"/>
      <c r="QNX114" s="17"/>
      <c r="QNY114" s="17"/>
      <c r="QNZ114" s="17"/>
      <c r="QOA114" s="17"/>
      <c r="QOB114" s="17"/>
      <c r="QOC114" s="17"/>
      <c r="QOD114" s="17"/>
      <c r="QOE114" s="17"/>
      <c r="QOF114" s="17"/>
      <c r="QOG114" s="17"/>
      <c r="QOH114" s="17"/>
      <c r="QOI114" s="17"/>
      <c r="QOJ114" s="17"/>
      <c r="QOK114" s="17"/>
      <c r="QOL114" s="17"/>
      <c r="QOM114" s="17"/>
      <c r="QON114" s="17"/>
      <c r="QOO114" s="17"/>
      <c r="QOP114" s="17"/>
      <c r="QOQ114" s="17"/>
      <c r="QOR114" s="17"/>
      <c r="QOS114" s="17"/>
      <c r="QOT114" s="17"/>
      <c r="QOU114" s="17"/>
      <c r="QOV114" s="17"/>
      <c r="QOW114" s="17"/>
      <c r="QOX114" s="17"/>
      <c r="QOY114" s="17"/>
      <c r="QOZ114" s="17"/>
      <c r="QPA114" s="17"/>
      <c r="QPB114" s="17"/>
      <c r="QPC114" s="17"/>
      <c r="QPD114" s="17"/>
      <c r="QPE114" s="17"/>
      <c r="QPF114" s="17"/>
      <c r="QPG114" s="17"/>
      <c r="QPH114" s="17"/>
      <c r="QPI114" s="17"/>
      <c r="QPJ114" s="17"/>
      <c r="QPK114" s="17"/>
      <c r="QPL114" s="17"/>
      <c r="QPM114" s="17"/>
      <c r="QPN114" s="17"/>
      <c r="QPO114" s="17"/>
      <c r="QPP114" s="17"/>
      <c r="QPQ114" s="17"/>
      <c r="QPR114" s="17"/>
      <c r="QPS114" s="17"/>
      <c r="QPT114" s="17"/>
      <c r="QPU114" s="17"/>
      <c r="QPV114" s="17"/>
      <c r="QPW114" s="17"/>
      <c r="QPX114" s="17"/>
      <c r="QPY114" s="17"/>
      <c r="QPZ114" s="17"/>
      <c r="QQA114" s="17"/>
      <c r="QQB114" s="17"/>
      <c r="QQC114" s="17"/>
      <c r="QQD114" s="17"/>
      <c r="QQE114" s="17"/>
      <c r="QQF114" s="17"/>
      <c r="QQG114" s="17"/>
      <c r="QQH114" s="17"/>
      <c r="QQI114" s="17"/>
      <c r="QQJ114" s="17"/>
      <c r="QQK114" s="17"/>
      <c r="QQL114" s="17"/>
      <c r="QQM114" s="17"/>
      <c r="QQN114" s="17"/>
      <c r="QQO114" s="17"/>
      <c r="QQP114" s="17"/>
      <c r="QQQ114" s="17"/>
      <c r="QQR114" s="17"/>
      <c r="QQS114" s="17"/>
      <c r="QQT114" s="17"/>
      <c r="QQU114" s="17"/>
      <c r="QQV114" s="17"/>
      <c r="QQW114" s="17"/>
      <c r="QQX114" s="17"/>
      <c r="QQY114" s="17"/>
      <c r="QQZ114" s="17"/>
      <c r="QRA114" s="17"/>
      <c r="QRB114" s="17"/>
      <c r="QRC114" s="17"/>
      <c r="QRD114" s="17"/>
      <c r="QRE114" s="17"/>
      <c r="QRF114" s="17"/>
      <c r="QRG114" s="17"/>
      <c r="QRH114" s="17"/>
      <c r="QRI114" s="17"/>
      <c r="QRJ114" s="17"/>
      <c r="QRK114" s="17"/>
      <c r="QRL114" s="17"/>
      <c r="QRM114" s="17"/>
      <c r="QRN114" s="17"/>
      <c r="QRO114" s="17"/>
      <c r="QRP114" s="17"/>
      <c r="QRQ114" s="17"/>
      <c r="QRR114" s="17"/>
      <c r="QRS114" s="17"/>
      <c r="QRT114" s="17"/>
      <c r="QRU114" s="17"/>
      <c r="QRV114" s="17"/>
      <c r="QRW114" s="17"/>
      <c r="QRX114" s="17"/>
      <c r="QRY114" s="17"/>
      <c r="QRZ114" s="17"/>
      <c r="QSA114" s="17"/>
      <c r="QSB114" s="17"/>
      <c r="QSC114" s="17"/>
      <c r="QSD114" s="17"/>
      <c r="QSE114" s="17"/>
      <c r="QSF114" s="17"/>
      <c r="QSG114" s="17"/>
      <c r="QSH114" s="17"/>
      <c r="QSI114" s="17"/>
      <c r="QSJ114" s="17"/>
      <c r="QSK114" s="17"/>
      <c r="QSL114" s="17"/>
      <c r="QSM114" s="17"/>
      <c r="QSN114" s="17"/>
      <c r="QSO114" s="17"/>
      <c r="QSP114" s="17"/>
      <c r="QSQ114" s="17"/>
      <c r="QSR114" s="17"/>
      <c r="QSS114" s="17"/>
      <c r="QST114" s="17"/>
      <c r="QSU114" s="17"/>
      <c r="QSV114" s="17"/>
      <c r="QSW114" s="17"/>
      <c r="QSX114" s="17"/>
      <c r="QSY114" s="17"/>
      <c r="QSZ114" s="17"/>
      <c r="QTA114" s="17"/>
      <c r="QTB114" s="17"/>
      <c r="QTC114" s="17"/>
      <c r="QTD114" s="17"/>
      <c r="QTE114" s="17"/>
      <c r="QTF114" s="17"/>
      <c r="QTG114" s="17"/>
      <c r="QTH114" s="17"/>
      <c r="QTI114" s="17"/>
      <c r="QTJ114" s="17"/>
      <c r="QTK114" s="17"/>
      <c r="QTL114" s="17"/>
      <c r="QTM114" s="17"/>
      <c r="QTN114" s="17"/>
      <c r="QTO114" s="17"/>
      <c r="QTP114" s="17"/>
      <c r="QTQ114" s="17"/>
      <c r="QTR114" s="17"/>
      <c r="QTS114" s="17"/>
      <c r="QTT114" s="17"/>
      <c r="QTU114" s="17"/>
      <c r="QTV114" s="17"/>
      <c r="QTW114" s="17"/>
      <c r="QTX114" s="17"/>
      <c r="QTY114" s="17"/>
      <c r="QTZ114" s="17"/>
      <c r="QUA114" s="17"/>
      <c r="QUB114" s="17"/>
      <c r="QUC114" s="17"/>
      <c r="QUD114" s="17"/>
      <c r="QUE114" s="17"/>
      <c r="QUF114" s="17"/>
      <c r="QUG114" s="17"/>
      <c r="QUH114" s="17"/>
      <c r="QUI114" s="17"/>
      <c r="QUJ114" s="17"/>
      <c r="QUK114" s="17"/>
      <c r="QUL114" s="17"/>
      <c r="QUM114" s="17"/>
      <c r="QUN114" s="17"/>
      <c r="QUO114" s="17"/>
      <c r="QUP114" s="17"/>
      <c r="QUQ114" s="17"/>
      <c r="QUR114" s="17"/>
      <c r="QUS114" s="17"/>
      <c r="QUT114" s="17"/>
      <c r="QUU114" s="17"/>
      <c r="QUV114" s="17"/>
      <c r="QUW114" s="17"/>
      <c r="QUX114" s="17"/>
      <c r="QUY114" s="17"/>
      <c r="QUZ114" s="17"/>
      <c r="QVA114" s="17"/>
      <c r="QVB114" s="17"/>
      <c r="QVC114" s="17"/>
      <c r="QVD114" s="17"/>
      <c r="QVE114" s="17"/>
      <c r="QVF114" s="17"/>
      <c r="QVG114" s="17"/>
      <c r="QVH114" s="17"/>
      <c r="QVI114" s="17"/>
      <c r="QVJ114" s="17"/>
      <c r="QVK114" s="17"/>
      <c r="QVL114" s="17"/>
      <c r="QVM114" s="17"/>
      <c r="QVN114" s="17"/>
      <c r="QVO114" s="17"/>
      <c r="QVP114" s="17"/>
      <c r="QVQ114" s="17"/>
      <c r="QVR114" s="17"/>
      <c r="QVS114" s="17"/>
      <c r="QVT114" s="17"/>
      <c r="QVU114" s="17"/>
      <c r="QVV114" s="17"/>
      <c r="QVW114" s="17"/>
      <c r="QVX114" s="17"/>
      <c r="QVY114" s="17"/>
      <c r="QVZ114" s="17"/>
      <c r="QWA114" s="17"/>
      <c r="QWB114" s="17"/>
      <c r="QWC114" s="17"/>
      <c r="QWD114" s="17"/>
      <c r="QWE114" s="17"/>
      <c r="QWF114" s="17"/>
      <c r="QWG114" s="17"/>
      <c r="QWH114" s="17"/>
      <c r="QWI114" s="17"/>
      <c r="QWJ114" s="17"/>
      <c r="QWK114" s="17"/>
      <c r="QWL114" s="17"/>
      <c r="QWM114" s="17"/>
      <c r="QWN114" s="17"/>
      <c r="QWO114" s="17"/>
      <c r="QWP114" s="17"/>
      <c r="QWQ114" s="17"/>
      <c r="QWR114" s="17"/>
      <c r="QWS114" s="17"/>
      <c r="QWT114" s="17"/>
      <c r="QWU114" s="17"/>
      <c r="QWV114" s="17"/>
      <c r="QWW114" s="17"/>
      <c r="QWX114" s="17"/>
      <c r="QWY114" s="17"/>
      <c r="QWZ114" s="17"/>
      <c r="QXA114" s="17"/>
      <c r="QXB114" s="17"/>
      <c r="QXC114" s="17"/>
      <c r="QXD114" s="17"/>
      <c r="QXE114" s="17"/>
      <c r="QXF114" s="17"/>
      <c r="QXG114" s="17"/>
      <c r="QXH114" s="17"/>
      <c r="QXI114" s="17"/>
      <c r="QXJ114" s="17"/>
      <c r="QXK114" s="17"/>
      <c r="QXL114" s="17"/>
      <c r="QXM114" s="17"/>
      <c r="QXN114" s="17"/>
      <c r="QXO114" s="17"/>
      <c r="QXP114" s="17"/>
      <c r="QXQ114" s="17"/>
      <c r="QXR114" s="17"/>
      <c r="QXS114" s="17"/>
      <c r="QXT114" s="17"/>
      <c r="QXU114" s="17"/>
      <c r="QXV114" s="17"/>
      <c r="QXW114" s="17"/>
      <c r="QXX114" s="17"/>
      <c r="QXY114" s="17"/>
      <c r="QXZ114" s="17"/>
      <c r="QYA114" s="17"/>
      <c r="QYB114" s="17"/>
      <c r="QYC114" s="17"/>
      <c r="QYD114" s="17"/>
      <c r="QYE114" s="17"/>
      <c r="QYF114" s="17"/>
      <c r="QYG114" s="17"/>
      <c r="QYH114" s="17"/>
      <c r="QYI114" s="17"/>
      <c r="QYJ114" s="17"/>
      <c r="QYK114" s="17"/>
      <c r="QYL114" s="17"/>
      <c r="QYM114" s="17"/>
      <c r="QYN114" s="17"/>
      <c r="QYO114" s="17"/>
      <c r="QYP114" s="17"/>
      <c r="QYQ114" s="17"/>
      <c r="QYR114" s="17"/>
      <c r="QYS114" s="17"/>
      <c r="QYT114" s="17"/>
      <c r="QYU114" s="17"/>
      <c r="QYV114" s="17"/>
      <c r="QYW114" s="17"/>
      <c r="QYX114" s="17"/>
      <c r="QYY114" s="17"/>
      <c r="QYZ114" s="17"/>
      <c r="QZA114" s="17"/>
      <c r="QZB114" s="17"/>
      <c r="QZC114" s="17"/>
      <c r="QZD114" s="17"/>
      <c r="QZE114" s="17"/>
      <c r="QZF114" s="17"/>
      <c r="QZG114" s="17"/>
      <c r="QZH114" s="17"/>
      <c r="QZI114" s="17"/>
      <c r="QZJ114" s="17"/>
      <c r="QZK114" s="17"/>
      <c r="QZL114" s="17"/>
      <c r="QZM114" s="17"/>
      <c r="QZN114" s="17"/>
      <c r="QZO114" s="17"/>
      <c r="QZP114" s="17"/>
      <c r="QZQ114" s="17"/>
      <c r="QZR114" s="17"/>
      <c r="QZS114" s="17"/>
      <c r="QZT114" s="17"/>
      <c r="QZU114" s="17"/>
      <c r="QZV114" s="17"/>
      <c r="QZW114" s="17"/>
      <c r="QZX114" s="17"/>
      <c r="QZY114" s="17"/>
      <c r="QZZ114" s="17"/>
      <c r="RAA114" s="17"/>
      <c r="RAB114" s="17"/>
      <c r="RAC114" s="17"/>
      <c r="RAD114" s="17"/>
      <c r="RAE114" s="17"/>
      <c r="RAF114" s="17"/>
      <c r="RAG114" s="17"/>
      <c r="RAH114" s="17"/>
      <c r="RAI114" s="17"/>
      <c r="RAJ114" s="17"/>
      <c r="RAK114" s="17"/>
      <c r="RAL114" s="17"/>
      <c r="RAM114" s="17"/>
      <c r="RAN114" s="17"/>
      <c r="RAO114" s="17"/>
      <c r="RAP114" s="17"/>
      <c r="RAQ114" s="17"/>
      <c r="RAR114" s="17"/>
      <c r="RAS114" s="17"/>
      <c r="RAT114" s="17"/>
      <c r="RAU114" s="17"/>
      <c r="RAV114" s="17"/>
      <c r="RAW114" s="17"/>
      <c r="RAX114" s="17"/>
      <c r="RAY114" s="17"/>
      <c r="RAZ114" s="17"/>
      <c r="RBA114" s="17"/>
      <c r="RBB114" s="17"/>
      <c r="RBC114" s="17"/>
      <c r="RBD114" s="17"/>
      <c r="RBE114" s="17"/>
      <c r="RBF114" s="17"/>
      <c r="RBG114" s="17"/>
      <c r="RBH114" s="17"/>
      <c r="RBI114" s="17"/>
      <c r="RBJ114" s="17"/>
      <c r="RBK114" s="17"/>
      <c r="RBL114" s="17"/>
      <c r="RBM114" s="17"/>
      <c r="RBN114" s="17"/>
      <c r="RBO114" s="17"/>
      <c r="RBP114" s="17"/>
      <c r="RBQ114" s="17"/>
      <c r="RBR114" s="17"/>
      <c r="RBS114" s="17"/>
      <c r="RBT114" s="17"/>
      <c r="RBU114" s="17"/>
      <c r="RBV114" s="17"/>
      <c r="RBW114" s="17"/>
      <c r="RBX114" s="17"/>
      <c r="RBY114" s="17"/>
      <c r="RBZ114" s="17"/>
      <c r="RCA114" s="17"/>
      <c r="RCB114" s="17"/>
      <c r="RCC114" s="17"/>
      <c r="RCD114" s="17"/>
      <c r="RCE114" s="17"/>
      <c r="RCF114" s="17"/>
      <c r="RCG114" s="17"/>
      <c r="RCH114" s="17"/>
      <c r="RCI114" s="17"/>
      <c r="RCJ114" s="17"/>
      <c r="RCK114" s="17"/>
      <c r="RCL114" s="17"/>
      <c r="RCM114" s="17"/>
      <c r="RCN114" s="17"/>
      <c r="RCO114" s="17"/>
      <c r="RCP114" s="17"/>
      <c r="RCQ114" s="17"/>
      <c r="RCR114" s="17"/>
      <c r="RCS114" s="17"/>
      <c r="RCT114" s="17"/>
      <c r="RCU114" s="17"/>
      <c r="RCV114" s="17"/>
      <c r="RCW114" s="17"/>
      <c r="RCX114" s="17"/>
      <c r="RCY114" s="17"/>
      <c r="RCZ114" s="17"/>
      <c r="RDA114" s="17"/>
      <c r="RDB114" s="17"/>
      <c r="RDC114" s="17"/>
      <c r="RDD114" s="17"/>
      <c r="RDE114" s="17"/>
      <c r="RDF114" s="17"/>
      <c r="RDG114" s="17"/>
      <c r="RDH114" s="17"/>
      <c r="RDI114" s="17"/>
      <c r="RDJ114" s="17"/>
      <c r="RDK114" s="17"/>
      <c r="RDL114" s="17"/>
      <c r="RDM114" s="17"/>
      <c r="RDN114" s="17"/>
      <c r="RDO114" s="17"/>
      <c r="RDP114" s="17"/>
      <c r="RDQ114" s="17"/>
      <c r="RDR114" s="17"/>
      <c r="RDS114" s="17"/>
      <c r="RDT114" s="17"/>
      <c r="RDU114" s="17"/>
      <c r="RDV114" s="17"/>
      <c r="RDW114" s="17"/>
      <c r="RDX114" s="17"/>
      <c r="RDY114" s="17"/>
      <c r="RDZ114" s="17"/>
      <c r="REA114" s="17"/>
      <c r="REB114" s="17"/>
      <c r="REC114" s="17"/>
      <c r="RED114" s="17"/>
      <c r="REE114" s="17"/>
      <c r="REF114" s="17"/>
      <c r="REG114" s="17"/>
      <c r="REH114" s="17"/>
      <c r="REI114" s="17"/>
      <c r="REJ114" s="17"/>
      <c r="REK114" s="17"/>
      <c r="REL114" s="17"/>
      <c r="REM114" s="17"/>
      <c r="REN114" s="17"/>
      <c r="REO114" s="17"/>
      <c r="REP114" s="17"/>
      <c r="REQ114" s="17"/>
      <c r="RER114" s="17"/>
      <c r="RES114" s="17"/>
      <c r="RET114" s="17"/>
      <c r="REU114" s="17"/>
      <c r="REV114" s="17"/>
      <c r="REW114" s="17"/>
      <c r="REX114" s="17"/>
      <c r="REY114" s="17"/>
      <c r="REZ114" s="17"/>
      <c r="RFA114" s="17"/>
      <c r="RFB114" s="17"/>
      <c r="RFC114" s="17"/>
      <c r="RFD114" s="17"/>
      <c r="RFE114" s="17"/>
      <c r="RFF114" s="17"/>
      <c r="RFG114" s="17"/>
      <c r="RFH114" s="17"/>
      <c r="RFI114" s="17"/>
      <c r="RFJ114" s="17"/>
      <c r="RFK114" s="17"/>
      <c r="RFL114" s="17"/>
      <c r="RFM114" s="17"/>
      <c r="RFN114" s="17"/>
      <c r="RFO114" s="17"/>
      <c r="RFP114" s="17"/>
      <c r="RFQ114" s="17"/>
      <c r="RFR114" s="17"/>
      <c r="RFS114" s="17"/>
      <c r="RFT114" s="17"/>
      <c r="RFU114" s="17"/>
      <c r="RFV114" s="17"/>
      <c r="RFW114" s="17"/>
      <c r="RFX114" s="17"/>
      <c r="RFY114" s="17"/>
      <c r="RFZ114" s="17"/>
      <c r="RGA114" s="17"/>
      <c r="RGB114" s="17"/>
      <c r="RGC114" s="17"/>
      <c r="RGD114" s="17"/>
      <c r="RGE114" s="17"/>
      <c r="RGF114" s="17"/>
      <c r="RGG114" s="17"/>
      <c r="RGH114" s="17"/>
      <c r="RGI114" s="17"/>
      <c r="RGJ114" s="17"/>
      <c r="RGK114" s="17"/>
      <c r="RGL114" s="17"/>
      <c r="RGM114" s="17"/>
      <c r="RGN114" s="17"/>
      <c r="RGO114" s="17"/>
      <c r="RGP114" s="17"/>
      <c r="RGQ114" s="17"/>
      <c r="RGR114" s="17"/>
      <c r="RGS114" s="17"/>
      <c r="RGT114" s="17"/>
      <c r="RGU114" s="17"/>
      <c r="RGV114" s="17"/>
      <c r="RGW114" s="17"/>
      <c r="RGX114" s="17"/>
      <c r="RGY114" s="17"/>
      <c r="RGZ114" s="17"/>
      <c r="RHA114" s="17"/>
      <c r="RHB114" s="17"/>
      <c r="RHC114" s="17"/>
      <c r="RHD114" s="17"/>
      <c r="RHE114" s="17"/>
      <c r="RHF114" s="17"/>
      <c r="RHG114" s="17"/>
      <c r="RHH114" s="17"/>
      <c r="RHI114" s="17"/>
      <c r="RHJ114" s="17"/>
      <c r="RHK114" s="17"/>
      <c r="RHL114" s="17"/>
      <c r="RHM114" s="17"/>
      <c r="RHN114" s="17"/>
      <c r="RHO114" s="17"/>
      <c r="RHP114" s="17"/>
      <c r="RHQ114" s="17"/>
      <c r="RHR114" s="17"/>
      <c r="RHS114" s="17"/>
      <c r="RHT114" s="17"/>
      <c r="RHU114" s="17"/>
      <c r="RHV114" s="17"/>
      <c r="RHW114" s="17"/>
      <c r="RHX114" s="17"/>
      <c r="RHY114" s="17"/>
      <c r="RHZ114" s="17"/>
      <c r="RIA114" s="17"/>
      <c r="RIB114" s="17"/>
      <c r="RIC114" s="17"/>
      <c r="RID114" s="17"/>
      <c r="RIE114" s="17"/>
      <c r="RIF114" s="17"/>
      <c r="RIG114" s="17"/>
      <c r="RIH114" s="17"/>
      <c r="RII114" s="17"/>
      <c r="RIJ114" s="17"/>
      <c r="RIK114" s="17"/>
      <c r="RIL114" s="17"/>
      <c r="RIM114" s="17"/>
      <c r="RIN114" s="17"/>
      <c r="RIO114" s="17"/>
      <c r="RIP114" s="17"/>
      <c r="RIQ114" s="17"/>
      <c r="RIR114" s="17"/>
      <c r="RIS114" s="17"/>
      <c r="RIT114" s="17"/>
      <c r="RIU114" s="17"/>
      <c r="RIV114" s="17"/>
      <c r="RIW114" s="17"/>
      <c r="RIX114" s="17"/>
      <c r="RIY114" s="17"/>
      <c r="RIZ114" s="17"/>
      <c r="RJA114" s="17"/>
      <c r="RJB114" s="17"/>
      <c r="RJC114" s="17"/>
      <c r="RJD114" s="17"/>
      <c r="RJE114" s="17"/>
      <c r="RJF114" s="17"/>
      <c r="RJG114" s="17"/>
      <c r="RJH114" s="17"/>
      <c r="RJI114" s="17"/>
      <c r="RJJ114" s="17"/>
      <c r="RJK114" s="17"/>
      <c r="RJL114" s="17"/>
      <c r="RJM114" s="17"/>
      <c r="RJN114" s="17"/>
      <c r="RJO114" s="17"/>
      <c r="RJP114" s="17"/>
      <c r="RJQ114" s="17"/>
      <c r="RJR114" s="17"/>
      <c r="RJS114" s="17"/>
      <c r="RJT114" s="17"/>
      <c r="RJU114" s="17"/>
      <c r="RJV114" s="17"/>
      <c r="RJW114" s="17"/>
      <c r="RJX114" s="17"/>
      <c r="RJY114" s="17"/>
      <c r="RJZ114" s="17"/>
      <c r="RKA114" s="17"/>
      <c r="RKB114" s="17"/>
      <c r="RKC114" s="17"/>
      <c r="RKD114" s="17"/>
      <c r="RKE114" s="17"/>
      <c r="RKF114" s="17"/>
      <c r="RKG114" s="17"/>
      <c r="RKH114" s="17"/>
      <c r="RKI114" s="17"/>
      <c r="RKJ114" s="17"/>
      <c r="RKK114" s="17"/>
      <c r="RKL114" s="17"/>
      <c r="RKM114" s="17"/>
      <c r="RKN114" s="17"/>
      <c r="RKO114" s="17"/>
      <c r="RKP114" s="17"/>
      <c r="RKQ114" s="17"/>
      <c r="RKR114" s="17"/>
      <c r="RKS114" s="17"/>
      <c r="RKT114" s="17"/>
      <c r="RKU114" s="17"/>
      <c r="RKV114" s="17"/>
      <c r="RKW114" s="17"/>
      <c r="RKX114" s="17"/>
      <c r="RKY114" s="17"/>
      <c r="RKZ114" s="17"/>
      <c r="RLA114" s="17"/>
      <c r="RLB114" s="17"/>
      <c r="RLC114" s="17"/>
      <c r="RLD114" s="17"/>
      <c r="RLE114" s="17"/>
      <c r="RLF114" s="17"/>
      <c r="RLG114" s="17"/>
      <c r="RLH114" s="17"/>
      <c r="RLI114" s="17"/>
      <c r="RLJ114" s="17"/>
      <c r="RLK114" s="17"/>
      <c r="RLL114" s="17"/>
      <c r="RLM114" s="17"/>
      <c r="RLN114" s="17"/>
      <c r="RLO114" s="17"/>
      <c r="RLP114" s="17"/>
      <c r="RLQ114" s="17"/>
      <c r="RLR114" s="17"/>
      <c r="RLS114" s="17"/>
      <c r="RLT114" s="17"/>
      <c r="RLU114" s="17"/>
      <c r="RLV114" s="17"/>
      <c r="RLW114" s="17"/>
      <c r="RLX114" s="17"/>
      <c r="RLY114" s="17"/>
      <c r="RLZ114" s="17"/>
      <c r="RMA114" s="17"/>
      <c r="RMB114" s="17"/>
      <c r="RMC114" s="17"/>
      <c r="RMD114" s="17"/>
      <c r="RME114" s="17"/>
      <c r="RMF114" s="17"/>
      <c r="RMG114" s="17"/>
      <c r="RMH114" s="17"/>
      <c r="RMI114" s="17"/>
      <c r="RMJ114" s="17"/>
      <c r="RMK114" s="17"/>
      <c r="RML114" s="17"/>
      <c r="RMM114" s="17"/>
      <c r="RMN114" s="17"/>
      <c r="RMO114" s="17"/>
      <c r="RMP114" s="17"/>
      <c r="RMQ114" s="17"/>
      <c r="RMR114" s="17"/>
      <c r="RMS114" s="17"/>
      <c r="RMT114" s="17"/>
      <c r="RMU114" s="17"/>
      <c r="RMV114" s="17"/>
      <c r="RMW114" s="17"/>
      <c r="RMX114" s="17"/>
      <c r="RMY114" s="17"/>
      <c r="RMZ114" s="17"/>
      <c r="RNA114" s="17"/>
      <c r="RNB114" s="17"/>
      <c r="RNC114" s="17"/>
      <c r="RND114" s="17"/>
      <c r="RNE114" s="17"/>
      <c r="RNF114" s="17"/>
      <c r="RNG114" s="17"/>
      <c r="RNH114" s="17"/>
      <c r="RNI114" s="17"/>
      <c r="RNJ114" s="17"/>
      <c r="RNK114" s="17"/>
      <c r="RNL114" s="17"/>
      <c r="RNM114" s="17"/>
      <c r="RNN114" s="17"/>
      <c r="RNO114" s="17"/>
      <c r="RNP114" s="17"/>
      <c r="RNQ114" s="17"/>
      <c r="RNR114" s="17"/>
      <c r="RNS114" s="17"/>
      <c r="RNT114" s="17"/>
      <c r="RNU114" s="17"/>
      <c r="RNV114" s="17"/>
      <c r="RNW114" s="17"/>
      <c r="RNX114" s="17"/>
      <c r="RNY114" s="17"/>
      <c r="RNZ114" s="17"/>
      <c r="ROA114" s="17"/>
      <c r="ROB114" s="17"/>
      <c r="ROC114" s="17"/>
      <c r="ROD114" s="17"/>
      <c r="ROE114" s="17"/>
      <c r="ROF114" s="17"/>
      <c r="ROG114" s="17"/>
      <c r="ROH114" s="17"/>
      <c r="ROI114" s="17"/>
      <c r="ROJ114" s="17"/>
      <c r="ROK114" s="17"/>
      <c r="ROL114" s="17"/>
      <c r="ROM114" s="17"/>
      <c r="RON114" s="17"/>
      <c r="ROO114" s="17"/>
      <c r="ROP114" s="17"/>
      <c r="ROQ114" s="17"/>
      <c r="ROR114" s="17"/>
      <c r="ROS114" s="17"/>
      <c r="ROT114" s="17"/>
      <c r="ROU114" s="17"/>
      <c r="ROV114" s="17"/>
      <c r="ROW114" s="17"/>
      <c r="ROX114" s="17"/>
      <c r="ROY114" s="17"/>
      <c r="ROZ114" s="17"/>
      <c r="RPA114" s="17"/>
      <c r="RPB114" s="17"/>
      <c r="RPC114" s="17"/>
      <c r="RPD114" s="17"/>
      <c r="RPE114" s="17"/>
      <c r="RPF114" s="17"/>
      <c r="RPG114" s="17"/>
      <c r="RPH114" s="17"/>
      <c r="RPI114" s="17"/>
      <c r="RPJ114" s="17"/>
      <c r="RPK114" s="17"/>
      <c r="RPL114" s="17"/>
      <c r="RPM114" s="17"/>
      <c r="RPN114" s="17"/>
      <c r="RPO114" s="17"/>
      <c r="RPP114" s="17"/>
      <c r="RPQ114" s="17"/>
      <c r="RPR114" s="17"/>
      <c r="RPS114" s="17"/>
      <c r="RPT114" s="17"/>
      <c r="RPU114" s="17"/>
      <c r="RPV114" s="17"/>
      <c r="RPW114" s="17"/>
      <c r="RPX114" s="17"/>
      <c r="RPY114" s="17"/>
      <c r="RPZ114" s="17"/>
      <c r="RQA114" s="17"/>
      <c r="RQB114" s="17"/>
      <c r="RQC114" s="17"/>
      <c r="RQD114" s="17"/>
      <c r="RQE114" s="17"/>
      <c r="RQF114" s="17"/>
      <c r="RQG114" s="17"/>
      <c r="RQH114" s="17"/>
      <c r="RQI114" s="17"/>
      <c r="RQJ114" s="17"/>
      <c r="RQK114" s="17"/>
      <c r="RQL114" s="17"/>
      <c r="RQM114" s="17"/>
      <c r="RQN114" s="17"/>
      <c r="RQO114" s="17"/>
      <c r="RQP114" s="17"/>
      <c r="RQQ114" s="17"/>
      <c r="RQR114" s="17"/>
      <c r="RQS114" s="17"/>
      <c r="RQT114" s="17"/>
      <c r="RQU114" s="17"/>
      <c r="RQV114" s="17"/>
      <c r="RQW114" s="17"/>
      <c r="RQX114" s="17"/>
      <c r="RQY114" s="17"/>
      <c r="RQZ114" s="17"/>
      <c r="RRA114" s="17"/>
      <c r="RRB114" s="17"/>
      <c r="RRC114" s="17"/>
      <c r="RRD114" s="17"/>
      <c r="RRE114" s="17"/>
      <c r="RRF114" s="17"/>
      <c r="RRG114" s="17"/>
      <c r="RRH114" s="17"/>
      <c r="RRI114" s="17"/>
      <c r="RRJ114" s="17"/>
      <c r="RRK114" s="17"/>
      <c r="RRL114" s="17"/>
      <c r="RRM114" s="17"/>
      <c r="RRN114" s="17"/>
      <c r="RRO114" s="17"/>
      <c r="RRP114" s="17"/>
      <c r="RRQ114" s="17"/>
      <c r="RRR114" s="17"/>
      <c r="RRS114" s="17"/>
      <c r="RRT114" s="17"/>
      <c r="RRU114" s="17"/>
      <c r="RRV114" s="17"/>
      <c r="RRW114" s="17"/>
      <c r="RRX114" s="17"/>
      <c r="RRY114" s="17"/>
      <c r="RRZ114" s="17"/>
      <c r="RSA114" s="17"/>
      <c r="RSB114" s="17"/>
      <c r="RSC114" s="17"/>
      <c r="RSD114" s="17"/>
      <c r="RSE114" s="17"/>
      <c r="RSF114" s="17"/>
      <c r="RSG114" s="17"/>
      <c r="RSH114" s="17"/>
      <c r="RSI114" s="17"/>
      <c r="RSJ114" s="17"/>
      <c r="RSK114" s="17"/>
      <c r="RSL114" s="17"/>
      <c r="RSM114" s="17"/>
      <c r="RSN114" s="17"/>
      <c r="RSO114" s="17"/>
      <c r="RSP114" s="17"/>
      <c r="RSQ114" s="17"/>
      <c r="RSR114" s="17"/>
      <c r="RSS114" s="17"/>
      <c r="RST114" s="17"/>
      <c r="RSU114" s="17"/>
      <c r="RSV114" s="17"/>
      <c r="RSW114" s="17"/>
      <c r="RSX114" s="17"/>
      <c r="RSY114" s="17"/>
      <c r="RSZ114" s="17"/>
      <c r="RTA114" s="17"/>
      <c r="RTB114" s="17"/>
      <c r="RTC114" s="17"/>
      <c r="RTD114" s="17"/>
      <c r="RTE114" s="17"/>
      <c r="RTF114" s="17"/>
      <c r="RTG114" s="17"/>
      <c r="RTH114" s="17"/>
      <c r="RTI114" s="17"/>
      <c r="RTJ114" s="17"/>
      <c r="RTK114" s="17"/>
      <c r="RTL114" s="17"/>
      <c r="RTM114" s="17"/>
      <c r="RTN114" s="17"/>
      <c r="RTO114" s="17"/>
      <c r="RTP114" s="17"/>
      <c r="RTQ114" s="17"/>
      <c r="RTR114" s="17"/>
      <c r="RTS114" s="17"/>
      <c r="RTT114" s="17"/>
      <c r="RTU114" s="17"/>
      <c r="RTV114" s="17"/>
      <c r="RTW114" s="17"/>
      <c r="RTX114" s="17"/>
      <c r="RTY114" s="17"/>
      <c r="RTZ114" s="17"/>
      <c r="RUA114" s="17"/>
      <c r="RUB114" s="17"/>
      <c r="RUC114" s="17"/>
      <c r="RUD114" s="17"/>
      <c r="RUE114" s="17"/>
      <c r="RUF114" s="17"/>
      <c r="RUG114" s="17"/>
      <c r="RUH114" s="17"/>
      <c r="RUI114" s="17"/>
      <c r="RUJ114" s="17"/>
      <c r="RUK114" s="17"/>
      <c r="RUL114" s="17"/>
      <c r="RUM114" s="17"/>
      <c r="RUN114" s="17"/>
      <c r="RUO114" s="17"/>
      <c r="RUP114" s="17"/>
      <c r="RUQ114" s="17"/>
      <c r="RUR114" s="17"/>
      <c r="RUS114" s="17"/>
      <c r="RUT114" s="17"/>
      <c r="RUU114" s="17"/>
      <c r="RUV114" s="17"/>
      <c r="RUW114" s="17"/>
      <c r="RUX114" s="17"/>
      <c r="RUY114" s="17"/>
      <c r="RUZ114" s="17"/>
      <c r="RVA114" s="17"/>
      <c r="RVB114" s="17"/>
      <c r="RVC114" s="17"/>
      <c r="RVD114" s="17"/>
      <c r="RVE114" s="17"/>
      <c r="RVF114" s="17"/>
      <c r="RVG114" s="17"/>
      <c r="RVH114" s="17"/>
      <c r="RVI114" s="17"/>
      <c r="RVJ114" s="17"/>
      <c r="RVK114" s="17"/>
      <c r="RVL114" s="17"/>
      <c r="RVM114" s="17"/>
      <c r="RVN114" s="17"/>
      <c r="RVO114" s="17"/>
      <c r="RVP114" s="17"/>
      <c r="RVQ114" s="17"/>
      <c r="RVR114" s="17"/>
      <c r="RVS114" s="17"/>
      <c r="RVT114" s="17"/>
      <c r="RVU114" s="17"/>
      <c r="RVV114" s="17"/>
      <c r="RVW114" s="17"/>
      <c r="RVX114" s="17"/>
      <c r="RVY114" s="17"/>
      <c r="RVZ114" s="17"/>
      <c r="RWA114" s="17"/>
      <c r="RWB114" s="17"/>
      <c r="RWC114" s="17"/>
      <c r="RWD114" s="17"/>
      <c r="RWE114" s="17"/>
      <c r="RWF114" s="17"/>
      <c r="RWG114" s="17"/>
      <c r="RWH114" s="17"/>
      <c r="RWI114" s="17"/>
      <c r="RWJ114" s="17"/>
      <c r="RWK114" s="17"/>
      <c r="RWL114" s="17"/>
      <c r="RWM114" s="17"/>
      <c r="RWN114" s="17"/>
      <c r="RWO114" s="17"/>
      <c r="RWP114" s="17"/>
      <c r="RWQ114" s="17"/>
      <c r="RWR114" s="17"/>
      <c r="RWS114" s="17"/>
      <c r="RWT114" s="17"/>
      <c r="RWU114" s="17"/>
      <c r="RWV114" s="17"/>
      <c r="RWW114" s="17"/>
      <c r="RWX114" s="17"/>
      <c r="RWY114" s="17"/>
      <c r="RWZ114" s="17"/>
      <c r="RXA114" s="17"/>
      <c r="RXB114" s="17"/>
      <c r="RXC114" s="17"/>
      <c r="RXD114" s="17"/>
      <c r="RXE114" s="17"/>
      <c r="RXF114" s="17"/>
      <c r="RXG114" s="17"/>
      <c r="RXH114" s="17"/>
      <c r="RXI114" s="17"/>
      <c r="RXJ114" s="17"/>
      <c r="RXK114" s="17"/>
      <c r="RXL114" s="17"/>
      <c r="RXM114" s="17"/>
      <c r="RXN114" s="17"/>
      <c r="RXO114" s="17"/>
      <c r="RXP114" s="17"/>
      <c r="RXQ114" s="17"/>
      <c r="RXR114" s="17"/>
      <c r="RXS114" s="17"/>
      <c r="RXT114" s="17"/>
      <c r="RXU114" s="17"/>
      <c r="RXV114" s="17"/>
      <c r="RXW114" s="17"/>
      <c r="RXX114" s="17"/>
      <c r="RXY114" s="17"/>
      <c r="RXZ114" s="17"/>
      <c r="RYA114" s="17"/>
      <c r="RYB114" s="17"/>
      <c r="RYC114" s="17"/>
      <c r="RYD114" s="17"/>
      <c r="RYE114" s="17"/>
      <c r="RYF114" s="17"/>
      <c r="RYG114" s="17"/>
      <c r="RYH114" s="17"/>
      <c r="RYI114" s="17"/>
      <c r="RYJ114" s="17"/>
      <c r="RYK114" s="17"/>
      <c r="RYL114" s="17"/>
      <c r="RYM114" s="17"/>
      <c r="RYN114" s="17"/>
      <c r="RYO114" s="17"/>
      <c r="RYP114" s="17"/>
      <c r="RYQ114" s="17"/>
      <c r="RYR114" s="17"/>
      <c r="RYS114" s="17"/>
      <c r="RYT114" s="17"/>
      <c r="RYU114" s="17"/>
      <c r="RYV114" s="17"/>
      <c r="RYW114" s="17"/>
      <c r="RYX114" s="17"/>
      <c r="RYY114" s="17"/>
      <c r="RYZ114" s="17"/>
      <c r="RZA114" s="17"/>
      <c r="RZB114" s="17"/>
      <c r="RZC114" s="17"/>
      <c r="RZD114" s="17"/>
      <c r="RZE114" s="17"/>
      <c r="RZF114" s="17"/>
      <c r="RZG114" s="17"/>
      <c r="RZH114" s="17"/>
      <c r="RZI114" s="17"/>
      <c r="RZJ114" s="17"/>
      <c r="RZK114" s="17"/>
      <c r="RZL114" s="17"/>
      <c r="RZM114" s="17"/>
      <c r="RZN114" s="17"/>
      <c r="RZO114" s="17"/>
      <c r="RZP114" s="17"/>
      <c r="RZQ114" s="17"/>
      <c r="RZR114" s="17"/>
      <c r="RZS114" s="17"/>
      <c r="RZT114" s="17"/>
      <c r="RZU114" s="17"/>
      <c r="RZV114" s="17"/>
      <c r="RZW114" s="17"/>
      <c r="RZX114" s="17"/>
      <c r="RZY114" s="17"/>
      <c r="RZZ114" s="17"/>
      <c r="SAA114" s="17"/>
      <c r="SAB114" s="17"/>
      <c r="SAC114" s="17"/>
      <c r="SAD114" s="17"/>
      <c r="SAE114" s="17"/>
      <c r="SAF114" s="17"/>
      <c r="SAG114" s="17"/>
      <c r="SAH114" s="17"/>
      <c r="SAI114" s="17"/>
      <c r="SAJ114" s="17"/>
      <c r="SAK114" s="17"/>
      <c r="SAL114" s="17"/>
      <c r="SAM114" s="17"/>
      <c r="SAN114" s="17"/>
      <c r="SAO114" s="17"/>
      <c r="SAP114" s="17"/>
      <c r="SAQ114" s="17"/>
      <c r="SAR114" s="17"/>
      <c r="SAS114" s="17"/>
      <c r="SAT114" s="17"/>
      <c r="SAU114" s="17"/>
      <c r="SAV114" s="17"/>
      <c r="SAW114" s="17"/>
      <c r="SAX114" s="17"/>
      <c r="SAY114" s="17"/>
      <c r="SAZ114" s="17"/>
      <c r="SBA114" s="17"/>
      <c r="SBB114" s="17"/>
      <c r="SBC114" s="17"/>
      <c r="SBD114" s="17"/>
      <c r="SBE114" s="17"/>
      <c r="SBF114" s="17"/>
      <c r="SBG114" s="17"/>
      <c r="SBH114" s="17"/>
      <c r="SBI114" s="17"/>
      <c r="SBJ114" s="17"/>
      <c r="SBK114" s="17"/>
      <c r="SBL114" s="17"/>
      <c r="SBM114" s="17"/>
      <c r="SBN114" s="17"/>
      <c r="SBO114" s="17"/>
      <c r="SBP114" s="17"/>
      <c r="SBQ114" s="17"/>
      <c r="SBR114" s="17"/>
      <c r="SBS114" s="17"/>
      <c r="SBT114" s="17"/>
      <c r="SBU114" s="17"/>
      <c r="SBV114" s="17"/>
      <c r="SBW114" s="17"/>
      <c r="SBX114" s="17"/>
      <c r="SBY114" s="17"/>
      <c r="SBZ114" s="17"/>
      <c r="SCA114" s="17"/>
      <c r="SCB114" s="17"/>
      <c r="SCC114" s="17"/>
      <c r="SCD114" s="17"/>
      <c r="SCE114" s="17"/>
      <c r="SCF114" s="17"/>
      <c r="SCG114" s="17"/>
      <c r="SCH114" s="17"/>
      <c r="SCI114" s="17"/>
      <c r="SCJ114" s="17"/>
      <c r="SCK114" s="17"/>
      <c r="SCL114" s="17"/>
      <c r="SCM114" s="17"/>
      <c r="SCN114" s="17"/>
      <c r="SCO114" s="17"/>
      <c r="SCP114" s="17"/>
      <c r="SCQ114" s="17"/>
      <c r="SCR114" s="17"/>
      <c r="SCS114" s="17"/>
      <c r="SCT114" s="17"/>
      <c r="SCU114" s="17"/>
      <c r="SCV114" s="17"/>
      <c r="SCW114" s="17"/>
      <c r="SCX114" s="17"/>
      <c r="SCY114" s="17"/>
      <c r="SCZ114" s="17"/>
      <c r="SDA114" s="17"/>
      <c r="SDB114" s="17"/>
      <c r="SDC114" s="17"/>
      <c r="SDD114" s="17"/>
      <c r="SDE114" s="17"/>
      <c r="SDF114" s="17"/>
      <c r="SDG114" s="17"/>
      <c r="SDH114" s="17"/>
      <c r="SDI114" s="17"/>
      <c r="SDJ114" s="17"/>
      <c r="SDK114" s="17"/>
      <c r="SDL114" s="17"/>
      <c r="SDM114" s="17"/>
      <c r="SDN114" s="17"/>
      <c r="SDO114" s="17"/>
      <c r="SDP114" s="17"/>
      <c r="SDQ114" s="17"/>
      <c r="SDR114" s="17"/>
      <c r="SDS114" s="17"/>
      <c r="SDT114" s="17"/>
      <c r="SDU114" s="17"/>
      <c r="SDV114" s="17"/>
      <c r="SDW114" s="17"/>
      <c r="SDX114" s="17"/>
      <c r="SDY114" s="17"/>
      <c r="SDZ114" s="17"/>
      <c r="SEA114" s="17"/>
      <c r="SEB114" s="17"/>
      <c r="SEC114" s="17"/>
      <c r="SED114" s="17"/>
      <c r="SEE114" s="17"/>
      <c r="SEF114" s="17"/>
      <c r="SEG114" s="17"/>
      <c r="SEH114" s="17"/>
      <c r="SEI114" s="17"/>
      <c r="SEJ114" s="17"/>
      <c r="SEK114" s="17"/>
      <c r="SEL114" s="17"/>
      <c r="SEM114" s="17"/>
      <c r="SEN114" s="17"/>
      <c r="SEO114" s="17"/>
      <c r="SEP114" s="17"/>
      <c r="SEQ114" s="17"/>
      <c r="SER114" s="17"/>
      <c r="SES114" s="17"/>
      <c r="SET114" s="17"/>
      <c r="SEU114" s="17"/>
      <c r="SEV114" s="17"/>
      <c r="SEW114" s="17"/>
      <c r="SEX114" s="17"/>
      <c r="SEY114" s="17"/>
      <c r="SEZ114" s="17"/>
      <c r="SFA114" s="17"/>
      <c r="SFB114" s="17"/>
      <c r="SFC114" s="17"/>
      <c r="SFD114" s="17"/>
      <c r="SFE114" s="17"/>
      <c r="SFF114" s="17"/>
      <c r="SFG114" s="17"/>
      <c r="SFH114" s="17"/>
      <c r="SFI114" s="17"/>
      <c r="SFJ114" s="17"/>
      <c r="SFK114" s="17"/>
      <c r="SFL114" s="17"/>
      <c r="SFM114" s="17"/>
      <c r="SFN114" s="17"/>
      <c r="SFO114" s="17"/>
      <c r="SFP114" s="17"/>
      <c r="SFQ114" s="17"/>
      <c r="SFR114" s="17"/>
      <c r="SFS114" s="17"/>
      <c r="SFT114" s="17"/>
      <c r="SFU114" s="17"/>
      <c r="SFV114" s="17"/>
      <c r="SFW114" s="17"/>
      <c r="SFX114" s="17"/>
      <c r="SFY114" s="17"/>
      <c r="SFZ114" s="17"/>
      <c r="SGA114" s="17"/>
      <c r="SGB114" s="17"/>
      <c r="SGC114" s="17"/>
      <c r="SGD114" s="17"/>
      <c r="SGE114" s="17"/>
      <c r="SGF114" s="17"/>
      <c r="SGG114" s="17"/>
      <c r="SGH114" s="17"/>
      <c r="SGI114" s="17"/>
      <c r="SGJ114" s="17"/>
      <c r="SGK114" s="17"/>
      <c r="SGL114" s="17"/>
      <c r="SGM114" s="17"/>
      <c r="SGN114" s="17"/>
      <c r="SGO114" s="17"/>
      <c r="SGP114" s="17"/>
      <c r="SGQ114" s="17"/>
      <c r="SGR114" s="17"/>
      <c r="SGS114" s="17"/>
      <c r="SGT114" s="17"/>
      <c r="SGU114" s="17"/>
      <c r="SGV114" s="17"/>
      <c r="SGW114" s="17"/>
      <c r="SGX114" s="17"/>
      <c r="SGY114" s="17"/>
      <c r="SGZ114" s="17"/>
      <c r="SHA114" s="17"/>
      <c r="SHB114" s="17"/>
      <c r="SHC114" s="17"/>
      <c r="SHD114" s="17"/>
      <c r="SHE114" s="17"/>
      <c r="SHF114" s="17"/>
      <c r="SHG114" s="17"/>
      <c r="SHH114" s="17"/>
      <c r="SHI114" s="17"/>
      <c r="SHJ114" s="17"/>
      <c r="SHK114" s="17"/>
      <c r="SHL114" s="17"/>
      <c r="SHM114" s="17"/>
      <c r="SHN114" s="17"/>
      <c r="SHO114" s="17"/>
      <c r="SHP114" s="17"/>
      <c r="SHQ114" s="17"/>
      <c r="SHR114" s="17"/>
      <c r="SHS114" s="17"/>
      <c r="SHT114" s="17"/>
      <c r="SHU114" s="17"/>
      <c r="SHV114" s="17"/>
      <c r="SHW114" s="17"/>
      <c r="SHX114" s="17"/>
      <c r="SHY114" s="17"/>
      <c r="SHZ114" s="17"/>
      <c r="SIA114" s="17"/>
      <c r="SIB114" s="17"/>
      <c r="SIC114" s="17"/>
      <c r="SID114" s="17"/>
      <c r="SIE114" s="17"/>
      <c r="SIF114" s="17"/>
      <c r="SIG114" s="17"/>
      <c r="SIH114" s="17"/>
      <c r="SII114" s="17"/>
      <c r="SIJ114" s="17"/>
      <c r="SIK114" s="17"/>
      <c r="SIL114" s="17"/>
      <c r="SIM114" s="17"/>
      <c r="SIN114" s="17"/>
      <c r="SIO114" s="17"/>
      <c r="SIP114" s="17"/>
      <c r="SIQ114" s="17"/>
      <c r="SIR114" s="17"/>
      <c r="SIS114" s="17"/>
      <c r="SIT114" s="17"/>
      <c r="SIU114" s="17"/>
      <c r="SIV114" s="17"/>
      <c r="SIW114" s="17"/>
      <c r="SIX114" s="17"/>
      <c r="SIY114" s="17"/>
      <c r="SIZ114" s="17"/>
      <c r="SJA114" s="17"/>
      <c r="SJB114" s="17"/>
      <c r="SJC114" s="17"/>
      <c r="SJD114" s="17"/>
      <c r="SJE114" s="17"/>
      <c r="SJF114" s="17"/>
      <c r="SJG114" s="17"/>
      <c r="SJH114" s="17"/>
      <c r="SJI114" s="17"/>
      <c r="SJJ114" s="17"/>
      <c r="SJK114" s="17"/>
      <c r="SJL114" s="17"/>
      <c r="SJM114" s="17"/>
      <c r="SJN114" s="17"/>
      <c r="SJO114" s="17"/>
      <c r="SJP114" s="17"/>
      <c r="SJQ114" s="17"/>
      <c r="SJR114" s="17"/>
      <c r="SJS114" s="17"/>
      <c r="SJT114" s="17"/>
      <c r="SJU114" s="17"/>
      <c r="SJV114" s="17"/>
      <c r="SJW114" s="17"/>
      <c r="SJX114" s="17"/>
      <c r="SJY114" s="17"/>
      <c r="SJZ114" s="17"/>
      <c r="SKA114" s="17"/>
      <c r="SKB114" s="17"/>
      <c r="SKC114" s="17"/>
      <c r="SKD114" s="17"/>
      <c r="SKE114" s="17"/>
      <c r="SKF114" s="17"/>
      <c r="SKG114" s="17"/>
      <c r="SKH114" s="17"/>
      <c r="SKI114" s="17"/>
      <c r="SKJ114" s="17"/>
      <c r="SKK114" s="17"/>
      <c r="SKL114" s="17"/>
      <c r="SKM114" s="17"/>
      <c r="SKN114" s="17"/>
      <c r="SKO114" s="17"/>
      <c r="SKP114" s="17"/>
      <c r="SKQ114" s="17"/>
      <c r="SKR114" s="17"/>
      <c r="SKS114" s="17"/>
      <c r="SKT114" s="17"/>
      <c r="SKU114" s="17"/>
      <c r="SKV114" s="17"/>
      <c r="SKW114" s="17"/>
      <c r="SKX114" s="17"/>
      <c r="SKY114" s="17"/>
      <c r="SKZ114" s="17"/>
      <c r="SLA114" s="17"/>
      <c r="SLB114" s="17"/>
      <c r="SLC114" s="17"/>
      <c r="SLD114" s="17"/>
      <c r="SLE114" s="17"/>
      <c r="SLF114" s="17"/>
      <c r="SLG114" s="17"/>
      <c r="SLH114" s="17"/>
      <c r="SLI114" s="17"/>
      <c r="SLJ114" s="17"/>
      <c r="SLK114" s="17"/>
      <c r="SLL114" s="17"/>
      <c r="SLM114" s="17"/>
      <c r="SLN114" s="17"/>
      <c r="SLO114" s="17"/>
      <c r="SLP114" s="17"/>
      <c r="SLQ114" s="17"/>
      <c r="SLR114" s="17"/>
      <c r="SLS114" s="17"/>
      <c r="SLT114" s="17"/>
      <c r="SLU114" s="17"/>
      <c r="SLV114" s="17"/>
      <c r="SLW114" s="17"/>
      <c r="SLX114" s="17"/>
      <c r="SLY114" s="17"/>
      <c r="SLZ114" s="17"/>
      <c r="SMA114" s="17"/>
      <c r="SMB114" s="17"/>
      <c r="SMC114" s="17"/>
      <c r="SMD114" s="17"/>
      <c r="SME114" s="17"/>
      <c r="SMF114" s="17"/>
      <c r="SMG114" s="17"/>
      <c r="SMH114" s="17"/>
      <c r="SMI114" s="17"/>
      <c r="SMJ114" s="17"/>
      <c r="SMK114" s="17"/>
      <c r="SML114" s="17"/>
      <c r="SMM114" s="17"/>
      <c r="SMN114" s="17"/>
      <c r="SMO114" s="17"/>
      <c r="SMP114" s="17"/>
      <c r="SMQ114" s="17"/>
      <c r="SMR114" s="17"/>
      <c r="SMS114" s="17"/>
      <c r="SMT114" s="17"/>
      <c r="SMU114" s="17"/>
      <c r="SMV114" s="17"/>
      <c r="SMW114" s="17"/>
      <c r="SMX114" s="17"/>
      <c r="SMY114" s="17"/>
      <c r="SMZ114" s="17"/>
      <c r="SNA114" s="17"/>
      <c r="SNB114" s="17"/>
      <c r="SNC114" s="17"/>
      <c r="SND114" s="17"/>
      <c r="SNE114" s="17"/>
      <c r="SNF114" s="17"/>
      <c r="SNG114" s="17"/>
      <c r="SNH114" s="17"/>
      <c r="SNI114" s="17"/>
      <c r="SNJ114" s="17"/>
      <c r="SNK114" s="17"/>
      <c r="SNL114" s="17"/>
      <c r="SNM114" s="17"/>
      <c r="SNN114" s="17"/>
      <c r="SNO114" s="17"/>
      <c r="SNP114" s="17"/>
      <c r="SNQ114" s="17"/>
      <c r="SNR114" s="17"/>
      <c r="SNS114" s="17"/>
      <c r="SNT114" s="17"/>
      <c r="SNU114" s="17"/>
      <c r="SNV114" s="17"/>
      <c r="SNW114" s="17"/>
      <c r="SNX114" s="17"/>
      <c r="SNY114" s="17"/>
      <c r="SNZ114" s="17"/>
      <c r="SOA114" s="17"/>
      <c r="SOB114" s="17"/>
      <c r="SOC114" s="17"/>
      <c r="SOD114" s="17"/>
      <c r="SOE114" s="17"/>
      <c r="SOF114" s="17"/>
      <c r="SOG114" s="17"/>
      <c r="SOH114" s="17"/>
      <c r="SOI114" s="17"/>
      <c r="SOJ114" s="17"/>
      <c r="SOK114" s="17"/>
      <c r="SOL114" s="17"/>
      <c r="SOM114" s="17"/>
      <c r="SON114" s="17"/>
      <c r="SOO114" s="17"/>
      <c r="SOP114" s="17"/>
      <c r="SOQ114" s="17"/>
      <c r="SOR114" s="17"/>
      <c r="SOS114" s="17"/>
      <c r="SOT114" s="17"/>
      <c r="SOU114" s="17"/>
      <c r="SOV114" s="17"/>
      <c r="SOW114" s="17"/>
      <c r="SOX114" s="17"/>
      <c r="SOY114" s="17"/>
      <c r="SOZ114" s="17"/>
      <c r="SPA114" s="17"/>
      <c r="SPB114" s="17"/>
      <c r="SPC114" s="17"/>
      <c r="SPD114" s="17"/>
      <c r="SPE114" s="17"/>
      <c r="SPF114" s="17"/>
      <c r="SPG114" s="17"/>
      <c r="SPH114" s="17"/>
      <c r="SPI114" s="17"/>
      <c r="SPJ114" s="17"/>
      <c r="SPK114" s="17"/>
      <c r="SPL114" s="17"/>
      <c r="SPM114" s="17"/>
      <c r="SPN114" s="17"/>
      <c r="SPO114" s="17"/>
      <c r="SPP114" s="17"/>
      <c r="SPQ114" s="17"/>
      <c r="SPR114" s="17"/>
      <c r="SPS114" s="17"/>
      <c r="SPT114" s="17"/>
      <c r="SPU114" s="17"/>
      <c r="SPV114" s="17"/>
      <c r="SPW114" s="17"/>
      <c r="SPX114" s="17"/>
      <c r="SPY114" s="17"/>
      <c r="SPZ114" s="17"/>
      <c r="SQA114" s="17"/>
      <c r="SQB114" s="17"/>
      <c r="SQC114" s="17"/>
      <c r="SQD114" s="17"/>
      <c r="SQE114" s="17"/>
      <c r="SQF114" s="17"/>
      <c r="SQG114" s="17"/>
      <c r="SQH114" s="17"/>
      <c r="SQI114" s="17"/>
      <c r="SQJ114" s="17"/>
      <c r="SQK114" s="17"/>
      <c r="SQL114" s="17"/>
      <c r="SQM114" s="17"/>
      <c r="SQN114" s="17"/>
      <c r="SQO114" s="17"/>
      <c r="SQP114" s="17"/>
      <c r="SQQ114" s="17"/>
      <c r="SQR114" s="17"/>
      <c r="SQS114" s="17"/>
      <c r="SQT114" s="17"/>
      <c r="SQU114" s="17"/>
      <c r="SQV114" s="17"/>
      <c r="SQW114" s="17"/>
      <c r="SQX114" s="17"/>
      <c r="SQY114" s="17"/>
      <c r="SQZ114" s="17"/>
      <c r="SRA114" s="17"/>
      <c r="SRB114" s="17"/>
      <c r="SRC114" s="17"/>
      <c r="SRD114" s="17"/>
      <c r="SRE114" s="17"/>
      <c r="SRF114" s="17"/>
      <c r="SRG114" s="17"/>
      <c r="SRH114" s="17"/>
      <c r="SRI114" s="17"/>
      <c r="SRJ114" s="17"/>
      <c r="SRK114" s="17"/>
      <c r="SRL114" s="17"/>
      <c r="SRM114" s="17"/>
      <c r="SRN114" s="17"/>
      <c r="SRO114" s="17"/>
      <c r="SRP114" s="17"/>
      <c r="SRQ114" s="17"/>
      <c r="SRR114" s="17"/>
      <c r="SRS114" s="17"/>
      <c r="SRT114" s="17"/>
      <c r="SRU114" s="17"/>
      <c r="SRV114" s="17"/>
      <c r="SRW114" s="17"/>
      <c r="SRX114" s="17"/>
      <c r="SRY114" s="17"/>
      <c r="SRZ114" s="17"/>
      <c r="SSA114" s="17"/>
      <c r="SSB114" s="17"/>
      <c r="SSC114" s="17"/>
      <c r="SSD114" s="17"/>
      <c r="SSE114" s="17"/>
      <c r="SSF114" s="17"/>
      <c r="SSG114" s="17"/>
      <c r="SSH114" s="17"/>
      <c r="SSI114" s="17"/>
      <c r="SSJ114" s="17"/>
      <c r="SSK114" s="17"/>
      <c r="SSL114" s="17"/>
      <c r="SSM114" s="17"/>
      <c r="SSN114" s="17"/>
      <c r="SSO114" s="17"/>
      <c r="SSP114" s="17"/>
      <c r="SSQ114" s="17"/>
      <c r="SSR114" s="17"/>
      <c r="SSS114" s="17"/>
      <c r="SST114" s="17"/>
      <c r="SSU114" s="17"/>
      <c r="SSV114" s="17"/>
      <c r="SSW114" s="17"/>
      <c r="SSX114" s="17"/>
      <c r="SSY114" s="17"/>
      <c r="SSZ114" s="17"/>
      <c r="STA114" s="17"/>
      <c r="STB114" s="17"/>
      <c r="STC114" s="17"/>
      <c r="STD114" s="17"/>
      <c r="STE114" s="17"/>
      <c r="STF114" s="17"/>
      <c r="STG114" s="17"/>
      <c r="STH114" s="17"/>
      <c r="STI114" s="17"/>
      <c r="STJ114" s="17"/>
      <c r="STK114" s="17"/>
      <c r="STL114" s="17"/>
      <c r="STM114" s="17"/>
      <c r="STN114" s="17"/>
      <c r="STO114" s="17"/>
      <c r="STP114" s="17"/>
      <c r="STQ114" s="17"/>
      <c r="STR114" s="17"/>
      <c r="STS114" s="17"/>
      <c r="STT114" s="17"/>
      <c r="STU114" s="17"/>
      <c r="STV114" s="17"/>
      <c r="STW114" s="17"/>
      <c r="STX114" s="17"/>
      <c r="STY114" s="17"/>
      <c r="STZ114" s="17"/>
      <c r="SUA114" s="17"/>
      <c r="SUB114" s="17"/>
      <c r="SUC114" s="17"/>
      <c r="SUD114" s="17"/>
      <c r="SUE114" s="17"/>
      <c r="SUF114" s="17"/>
      <c r="SUG114" s="17"/>
      <c r="SUH114" s="17"/>
      <c r="SUI114" s="17"/>
      <c r="SUJ114" s="17"/>
      <c r="SUK114" s="17"/>
      <c r="SUL114" s="17"/>
      <c r="SUM114" s="17"/>
      <c r="SUN114" s="17"/>
      <c r="SUO114" s="17"/>
      <c r="SUP114" s="17"/>
      <c r="SUQ114" s="17"/>
      <c r="SUR114" s="17"/>
      <c r="SUS114" s="17"/>
      <c r="SUT114" s="17"/>
      <c r="SUU114" s="17"/>
      <c r="SUV114" s="17"/>
      <c r="SUW114" s="17"/>
      <c r="SUX114" s="17"/>
      <c r="SUY114" s="17"/>
      <c r="SUZ114" s="17"/>
      <c r="SVA114" s="17"/>
      <c r="SVB114" s="17"/>
      <c r="SVC114" s="17"/>
      <c r="SVD114" s="17"/>
      <c r="SVE114" s="17"/>
      <c r="SVF114" s="17"/>
      <c r="SVG114" s="17"/>
      <c r="SVH114" s="17"/>
      <c r="SVI114" s="17"/>
      <c r="SVJ114" s="17"/>
      <c r="SVK114" s="17"/>
      <c r="SVL114" s="17"/>
      <c r="SVM114" s="17"/>
      <c r="SVN114" s="17"/>
      <c r="SVO114" s="17"/>
      <c r="SVP114" s="17"/>
      <c r="SVQ114" s="17"/>
      <c r="SVR114" s="17"/>
      <c r="SVS114" s="17"/>
      <c r="SVT114" s="17"/>
      <c r="SVU114" s="17"/>
      <c r="SVV114" s="17"/>
      <c r="SVW114" s="17"/>
      <c r="SVX114" s="17"/>
      <c r="SVY114" s="17"/>
      <c r="SVZ114" s="17"/>
      <c r="SWA114" s="17"/>
      <c r="SWB114" s="17"/>
      <c r="SWC114" s="17"/>
      <c r="SWD114" s="17"/>
      <c r="SWE114" s="17"/>
      <c r="SWF114" s="17"/>
      <c r="SWG114" s="17"/>
      <c r="SWH114" s="17"/>
      <c r="SWI114" s="17"/>
      <c r="SWJ114" s="17"/>
      <c r="SWK114" s="17"/>
      <c r="SWL114" s="17"/>
      <c r="SWM114" s="17"/>
      <c r="SWN114" s="17"/>
      <c r="SWO114" s="17"/>
      <c r="SWP114" s="17"/>
      <c r="SWQ114" s="17"/>
      <c r="SWR114" s="17"/>
      <c r="SWS114" s="17"/>
      <c r="SWT114" s="17"/>
      <c r="SWU114" s="17"/>
      <c r="SWV114" s="17"/>
      <c r="SWW114" s="17"/>
      <c r="SWX114" s="17"/>
      <c r="SWY114" s="17"/>
      <c r="SWZ114" s="17"/>
      <c r="SXA114" s="17"/>
      <c r="SXB114" s="17"/>
      <c r="SXC114" s="17"/>
      <c r="SXD114" s="17"/>
      <c r="SXE114" s="17"/>
      <c r="SXF114" s="17"/>
      <c r="SXG114" s="17"/>
      <c r="SXH114" s="17"/>
      <c r="SXI114" s="17"/>
      <c r="SXJ114" s="17"/>
      <c r="SXK114" s="17"/>
      <c r="SXL114" s="17"/>
      <c r="SXM114" s="17"/>
      <c r="SXN114" s="17"/>
      <c r="SXO114" s="17"/>
      <c r="SXP114" s="17"/>
      <c r="SXQ114" s="17"/>
      <c r="SXR114" s="17"/>
      <c r="SXS114" s="17"/>
      <c r="SXT114" s="17"/>
      <c r="SXU114" s="17"/>
      <c r="SXV114" s="17"/>
      <c r="SXW114" s="17"/>
      <c r="SXX114" s="17"/>
      <c r="SXY114" s="17"/>
      <c r="SXZ114" s="17"/>
      <c r="SYA114" s="17"/>
      <c r="SYB114" s="17"/>
      <c r="SYC114" s="17"/>
      <c r="SYD114" s="17"/>
      <c r="SYE114" s="17"/>
      <c r="SYF114" s="17"/>
      <c r="SYG114" s="17"/>
      <c r="SYH114" s="17"/>
      <c r="SYI114" s="17"/>
      <c r="SYJ114" s="17"/>
      <c r="SYK114" s="17"/>
      <c r="SYL114" s="17"/>
      <c r="SYM114" s="17"/>
      <c r="SYN114" s="17"/>
      <c r="SYO114" s="17"/>
      <c r="SYP114" s="17"/>
      <c r="SYQ114" s="17"/>
      <c r="SYR114" s="17"/>
      <c r="SYS114" s="17"/>
      <c r="SYT114" s="17"/>
      <c r="SYU114" s="17"/>
      <c r="SYV114" s="17"/>
      <c r="SYW114" s="17"/>
      <c r="SYX114" s="17"/>
      <c r="SYY114" s="17"/>
      <c r="SYZ114" s="17"/>
      <c r="SZA114" s="17"/>
      <c r="SZB114" s="17"/>
      <c r="SZC114" s="17"/>
      <c r="SZD114" s="17"/>
      <c r="SZE114" s="17"/>
      <c r="SZF114" s="17"/>
      <c r="SZG114" s="17"/>
      <c r="SZH114" s="17"/>
      <c r="SZI114" s="17"/>
      <c r="SZJ114" s="17"/>
      <c r="SZK114" s="17"/>
      <c r="SZL114" s="17"/>
      <c r="SZM114" s="17"/>
      <c r="SZN114" s="17"/>
      <c r="SZO114" s="17"/>
      <c r="SZP114" s="17"/>
      <c r="SZQ114" s="17"/>
      <c r="SZR114" s="17"/>
      <c r="SZS114" s="17"/>
      <c r="SZT114" s="17"/>
      <c r="SZU114" s="17"/>
      <c r="SZV114" s="17"/>
      <c r="SZW114" s="17"/>
      <c r="SZX114" s="17"/>
      <c r="SZY114" s="17"/>
      <c r="SZZ114" s="17"/>
      <c r="TAA114" s="17"/>
      <c r="TAB114" s="17"/>
      <c r="TAC114" s="17"/>
      <c r="TAD114" s="17"/>
      <c r="TAE114" s="17"/>
      <c r="TAF114" s="17"/>
      <c r="TAG114" s="17"/>
      <c r="TAH114" s="17"/>
      <c r="TAI114" s="17"/>
      <c r="TAJ114" s="17"/>
      <c r="TAK114" s="17"/>
      <c r="TAL114" s="17"/>
      <c r="TAM114" s="17"/>
      <c r="TAN114" s="17"/>
      <c r="TAO114" s="17"/>
      <c r="TAP114" s="17"/>
      <c r="TAQ114" s="17"/>
      <c r="TAR114" s="17"/>
      <c r="TAS114" s="17"/>
      <c r="TAT114" s="17"/>
      <c r="TAU114" s="17"/>
      <c r="TAV114" s="17"/>
      <c r="TAW114" s="17"/>
      <c r="TAX114" s="17"/>
      <c r="TAY114" s="17"/>
      <c r="TAZ114" s="17"/>
      <c r="TBA114" s="17"/>
      <c r="TBB114" s="17"/>
      <c r="TBC114" s="17"/>
      <c r="TBD114" s="17"/>
      <c r="TBE114" s="17"/>
      <c r="TBF114" s="17"/>
      <c r="TBG114" s="17"/>
      <c r="TBH114" s="17"/>
      <c r="TBI114" s="17"/>
      <c r="TBJ114" s="17"/>
      <c r="TBK114" s="17"/>
      <c r="TBL114" s="17"/>
      <c r="TBM114" s="17"/>
      <c r="TBN114" s="17"/>
      <c r="TBO114" s="17"/>
      <c r="TBP114" s="17"/>
      <c r="TBQ114" s="17"/>
      <c r="TBR114" s="17"/>
      <c r="TBS114" s="17"/>
      <c r="TBT114" s="17"/>
      <c r="TBU114" s="17"/>
      <c r="TBV114" s="17"/>
      <c r="TBW114" s="17"/>
      <c r="TBX114" s="17"/>
      <c r="TBY114" s="17"/>
      <c r="TBZ114" s="17"/>
      <c r="TCA114" s="17"/>
      <c r="TCB114" s="17"/>
      <c r="TCC114" s="17"/>
      <c r="TCD114" s="17"/>
      <c r="TCE114" s="17"/>
      <c r="TCF114" s="17"/>
      <c r="TCG114" s="17"/>
      <c r="TCH114" s="17"/>
      <c r="TCI114" s="17"/>
      <c r="TCJ114" s="17"/>
      <c r="TCK114" s="17"/>
      <c r="TCL114" s="17"/>
      <c r="TCM114" s="17"/>
      <c r="TCN114" s="17"/>
      <c r="TCO114" s="17"/>
      <c r="TCP114" s="17"/>
      <c r="TCQ114" s="17"/>
      <c r="TCR114" s="17"/>
      <c r="TCS114" s="17"/>
      <c r="TCT114" s="17"/>
      <c r="TCU114" s="17"/>
      <c r="TCV114" s="17"/>
      <c r="TCW114" s="17"/>
      <c r="TCX114" s="17"/>
      <c r="TCY114" s="17"/>
      <c r="TCZ114" s="17"/>
      <c r="TDA114" s="17"/>
      <c r="TDB114" s="17"/>
      <c r="TDC114" s="17"/>
      <c r="TDD114" s="17"/>
      <c r="TDE114" s="17"/>
      <c r="TDF114" s="17"/>
      <c r="TDG114" s="17"/>
      <c r="TDH114" s="17"/>
      <c r="TDI114" s="17"/>
      <c r="TDJ114" s="17"/>
      <c r="TDK114" s="17"/>
      <c r="TDL114" s="17"/>
      <c r="TDM114" s="17"/>
      <c r="TDN114" s="17"/>
      <c r="TDO114" s="17"/>
      <c r="TDP114" s="17"/>
      <c r="TDQ114" s="17"/>
      <c r="TDR114" s="17"/>
      <c r="TDS114" s="17"/>
      <c r="TDT114" s="17"/>
      <c r="TDU114" s="17"/>
      <c r="TDV114" s="17"/>
      <c r="TDW114" s="17"/>
      <c r="TDX114" s="17"/>
      <c r="TDY114" s="17"/>
      <c r="TDZ114" s="17"/>
      <c r="TEA114" s="17"/>
      <c r="TEB114" s="17"/>
      <c r="TEC114" s="17"/>
      <c r="TED114" s="17"/>
      <c r="TEE114" s="17"/>
      <c r="TEF114" s="17"/>
      <c r="TEG114" s="17"/>
      <c r="TEH114" s="17"/>
      <c r="TEI114" s="17"/>
      <c r="TEJ114" s="17"/>
      <c r="TEK114" s="17"/>
      <c r="TEL114" s="17"/>
      <c r="TEM114" s="17"/>
      <c r="TEN114" s="17"/>
      <c r="TEO114" s="17"/>
      <c r="TEP114" s="17"/>
      <c r="TEQ114" s="17"/>
      <c r="TER114" s="17"/>
      <c r="TES114" s="17"/>
      <c r="TET114" s="17"/>
      <c r="TEU114" s="17"/>
      <c r="TEV114" s="17"/>
      <c r="TEW114" s="17"/>
      <c r="TEX114" s="17"/>
      <c r="TEY114" s="17"/>
      <c r="TEZ114" s="17"/>
      <c r="TFA114" s="17"/>
      <c r="TFB114" s="17"/>
      <c r="TFC114" s="17"/>
      <c r="TFD114" s="17"/>
      <c r="TFE114" s="17"/>
      <c r="TFF114" s="17"/>
      <c r="TFG114" s="17"/>
      <c r="TFH114" s="17"/>
      <c r="TFI114" s="17"/>
      <c r="TFJ114" s="17"/>
      <c r="TFK114" s="17"/>
      <c r="TFL114" s="17"/>
      <c r="TFM114" s="17"/>
      <c r="TFN114" s="17"/>
      <c r="TFO114" s="17"/>
      <c r="TFP114" s="17"/>
      <c r="TFQ114" s="17"/>
      <c r="TFR114" s="17"/>
      <c r="TFS114" s="17"/>
      <c r="TFT114" s="17"/>
      <c r="TFU114" s="17"/>
      <c r="TFV114" s="17"/>
      <c r="TFW114" s="17"/>
      <c r="TFX114" s="17"/>
      <c r="TFY114" s="17"/>
      <c r="TFZ114" s="17"/>
      <c r="TGA114" s="17"/>
      <c r="TGB114" s="17"/>
      <c r="TGC114" s="17"/>
      <c r="TGD114" s="17"/>
      <c r="TGE114" s="17"/>
      <c r="TGF114" s="17"/>
      <c r="TGG114" s="17"/>
      <c r="TGH114" s="17"/>
      <c r="TGI114" s="17"/>
      <c r="TGJ114" s="17"/>
      <c r="TGK114" s="17"/>
      <c r="TGL114" s="17"/>
      <c r="TGM114" s="17"/>
      <c r="TGN114" s="17"/>
      <c r="TGO114" s="17"/>
      <c r="TGP114" s="17"/>
      <c r="TGQ114" s="17"/>
      <c r="TGR114" s="17"/>
      <c r="TGS114" s="17"/>
      <c r="TGT114" s="17"/>
      <c r="TGU114" s="17"/>
      <c r="TGV114" s="17"/>
      <c r="TGW114" s="17"/>
      <c r="TGX114" s="17"/>
      <c r="TGY114" s="17"/>
      <c r="TGZ114" s="17"/>
      <c r="THA114" s="17"/>
      <c r="THB114" s="17"/>
      <c r="THC114" s="17"/>
      <c r="THD114" s="17"/>
      <c r="THE114" s="17"/>
      <c r="THF114" s="17"/>
      <c r="THG114" s="17"/>
      <c r="THH114" s="17"/>
      <c r="THI114" s="17"/>
      <c r="THJ114" s="17"/>
      <c r="THK114" s="17"/>
      <c r="THL114" s="17"/>
      <c r="THM114" s="17"/>
      <c r="THN114" s="17"/>
      <c r="THO114" s="17"/>
      <c r="THP114" s="17"/>
      <c r="THQ114" s="17"/>
      <c r="THR114" s="17"/>
      <c r="THS114" s="17"/>
      <c r="THT114" s="17"/>
      <c r="THU114" s="17"/>
      <c r="THV114" s="17"/>
      <c r="THW114" s="17"/>
      <c r="THX114" s="17"/>
      <c r="THY114" s="17"/>
      <c r="THZ114" s="17"/>
      <c r="TIA114" s="17"/>
      <c r="TIB114" s="17"/>
      <c r="TIC114" s="17"/>
      <c r="TID114" s="17"/>
      <c r="TIE114" s="17"/>
      <c r="TIF114" s="17"/>
      <c r="TIG114" s="17"/>
      <c r="TIH114" s="17"/>
      <c r="TII114" s="17"/>
      <c r="TIJ114" s="17"/>
      <c r="TIK114" s="17"/>
      <c r="TIL114" s="17"/>
      <c r="TIM114" s="17"/>
      <c r="TIN114" s="17"/>
      <c r="TIO114" s="17"/>
      <c r="TIP114" s="17"/>
      <c r="TIQ114" s="17"/>
      <c r="TIR114" s="17"/>
      <c r="TIS114" s="17"/>
      <c r="TIT114" s="17"/>
      <c r="TIU114" s="17"/>
      <c r="TIV114" s="17"/>
      <c r="TIW114" s="17"/>
      <c r="TIX114" s="17"/>
      <c r="TIY114" s="17"/>
      <c r="TIZ114" s="17"/>
      <c r="TJA114" s="17"/>
      <c r="TJB114" s="17"/>
      <c r="TJC114" s="17"/>
      <c r="TJD114" s="17"/>
      <c r="TJE114" s="17"/>
      <c r="TJF114" s="17"/>
      <c r="TJG114" s="17"/>
      <c r="TJH114" s="17"/>
      <c r="TJI114" s="17"/>
      <c r="TJJ114" s="17"/>
      <c r="TJK114" s="17"/>
      <c r="TJL114" s="17"/>
      <c r="TJM114" s="17"/>
      <c r="TJN114" s="17"/>
      <c r="TJO114" s="17"/>
      <c r="TJP114" s="17"/>
      <c r="TJQ114" s="17"/>
      <c r="TJR114" s="17"/>
      <c r="TJS114" s="17"/>
      <c r="TJT114" s="17"/>
      <c r="TJU114" s="17"/>
      <c r="TJV114" s="17"/>
      <c r="TJW114" s="17"/>
      <c r="TJX114" s="17"/>
      <c r="TJY114" s="17"/>
      <c r="TJZ114" s="17"/>
      <c r="TKA114" s="17"/>
      <c r="TKB114" s="17"/>
      <c r="TKC114" s="17"/>
      <c r="TKD114" s="17"/>
      <c r="TKE114" s="17"/>
      <c r="TKF114" s="17"/>
      <c r="TKG114" s="17"/>
      <c r="TKH114" s="17"/>
      <c r="TKI114" s="17"/>
      <c r="TKJ114" s="17"/>
      <c r="TKK114" s="17"/>
      <c r="TKL114" s="17"/>
      <c r="TKM114" s="17"/>
      <c r="TKN114" s="17"/>
      <c r="TKO114" s="17"/>
      <c r="TKP114" s="17"/>
      <c r="TKQ114" s="17"/>
      <c r="TKR114" s="17"/>
      <c r="TKS114" s="17"/>
      <c r="TKT114" s="17"/>
      <c r="TKU114" s="17"/>
      <c r="TKV114" s="17"/>
      <c r="TKW114" s="17"/>
      <c r="TKX114" s="17"/>
      <c r="TKY114" s="17"/>
      <c r="TKZ114" s="17"/>
      <c r="TLA114" s="17"/>
      <c r="TLB114" s="17"/>
      <c r="TLC114" s="17"/>
      <c r="TLD114" s="17"/>
      <c r="TLE114" s="17"/>
      <c r="TLF114" s="17"/>
      <c r="TLG114" s="17"/>
      <c r="TLH114" s="17"/>
      <c r="TLI114" s="17"/>
      <c r="TLJ114" s="17"/>
      <c r="TLK114" s="17"/>
      <c r="TLL114" s="17"/>
      <c r="TLM114" s="17"/>
      <c r="TLN114" s="17"/>
      <c r="TLO114" s="17"/>
      <c r="TLP114" s="17"/>
      <c r="TLQ114" s="17"/>
      <c r="TLR114" s="17"/>
      <c r="TLS114" s="17"/>
      <c r="TLT114" s="17"/>
      <c r="TLU114" s="17"/>
      <c r="TLV114" s="17"/>
      <c r="TLW114" s="17"/>
      <c r="TLX114" s="17"/>
      <c r="TLY114" s="17"/>
      <c r="TLZ114" s="17"/>
      <c r="TMA114" s="17"/>
      <c r="TMB114" s="17"/>
      <c r="TMC114" s="17"/>
      <c r="TMD114" s="17"/>
      <c r="TME114" s="17"/>
      <c r="TMF114" s="17"/>
      <c r="TMG114" s="17"/>
      <c r="TMH114" s="17"/>
      <c r="TMI114" s="17"/>
      <c r="TMJ114" s="17"/>
      <c r="TMK114" s="17"/>
      <c r="TML114" s="17"/>
      <c r="TMM114" s="17"/>
      <c r="TMN114" s="17"/>
      <c r="TMO114" s="17"/>
      <c r="TMP114" s="17"/>
      <c r="TMQ114" s="17"/>
      <c r="TMR114" s="17"/>
      <c r="TMS114" s="17"/>
      <c r="TMT114" s="17"/>
      <c r="TMU114" s="17"/>
      <c r="TMV114" s="17"/>
      <c r="TMW114" s="17"/>
      <c r="TMX114" s="17"/>
      <c r="TMY114" s="17"/>
      <c r="TMZ114" s="17"/>
      <c r="TNA114" s="17"/>
      <c r="TNB114" s="17"/>
      <c r="TNC114" s="17"/>
      <c r="TND114" s="17"/>
      <c r="TNE114" s="17"/>
      <c r="TNF114" s="17"/>
      <c r="TNG114" s="17"/>
      <c r="TNH114" s="17"/>
      <c r="TNI114" s="17"/>
      <c r="TNJ114" s="17"/>
      <c r="TNK114" s="17"/>
      <c r="TNL114" s="17"/>
      <c r="TNM114" s="17"/>
      <c r="TNN114" s="17"/>
      <c r="TNO114" s="17"/>
      <c r="TNP114" s="17"/>
      <c r="TNQ114" s="17"/>
      <c r="TNR114" s="17"/>
      <c r="TNS114" s="17"/>
      <c r="TNT114" s="17"/>
      <c r="TNU114" s="17"/>
      <c r="TNV114" s="17"/>
      <c r="TNW114" s="17"/>
      <c r="TNX114" s="17"/>
      <c r="TNY114" s="17"/>
      <c r="TNZ114" s="17"/>
      <c r="TOA114" s="17"/>
      <c r="TOB114" s="17"/>
      <c r="TOC114" s="17"/>
      <c r="TOD114" s="17"/>
      <c r="TOE114" s="17"/>
      <c r="TOF114" s="17"/>
      <c r="TOG114" s="17"/>
      <c r="TOH114" s="17"/>
      <c r="TOI114" s="17"/>
      <c r="TOJ114" s="17"/>
      <c r="TOK114" s="17"/>
      <c r="TOL114" s="17"/>
      <c r="TOM114" s="17"/>
      <c r="TON114" s="17"/>
      <c r="TOO114" s="17"/>
      <c r="TOP114" s="17"/>
      <c r="TOQ114" s="17"/>
      <c r="TOR114" s="17"/>
      <c r="TOS114" s="17"/>
      <c r="TOT114" s="17"/>
      <c r="TOU114" s="17"/>
      <c r="TOV114" s="17"/>
      <c r="TOW114" s="17"/>
      <c r="TOX114" s="17"/>
      <c r="TOY114" s="17"/>
      <c r="TOZ114" s="17"/>
      <c r="TPA114" s="17"/>
      <c r="TPB114" s="17"/>
      <c r="TPC114" s="17"/>
      <c r="TPD114" s="17"/>
      <c r="TPE114" s="17"/>
      <c r="TPF114" s="17"/>
      <c r="TPG114" s="17"/>
      <c r="TPH114" s="17"/>
      <c r="TPI114" s="17"/>
      <c r="TPJ114" s="17"/>
      <c r="TPK114" s="17"/>
      <c r="TPL114" s="17"/>
      <c r="TPM114" s="17"/>
      <c r="TPN114" s="17"/>
      <c r="TPO114" s="17"/>
      <c r="TPP114" s="17"/>
      <c r="TPQ114" s="17"/>
      <c r="TPR114" s="17"/>
      <c r="TPS114" s="17"/>
      <c r="TPT114" s="17"/>
      <c r="TPU114" s="17"/>
      <c r="TPV114" s="17"/>
      <c r="TPW114" s="17"/>
      <c r="TPX114" s="17"/>
      <c r="TPY114" s="17"/>
      <c r="TPZ114" s="17"/>
      <c r="TQA114" s="17"/>
      <c r="TQB114" s="17"/>
      <c r="TQC114" s="17"/>
      <c r="TQD114" s="17"/>
      <c r="TQE114" s="17"/>
      <c r="TQF114" s="17"/>
      <c r="TQG114" s="17"/>
      <c r="TQH114" s="17"/>
      <c r="TQI114" s="17"/>
      <c r="TQJ114" s="17"/>
      <c r="TQK114" s="17"/>
      <c r="TQL114" s="17"/>
      <c r="TQM114" s="17"/>
      <c r="TQN114" s="17"/>
      <c r="TQO114" s="17"/>
      <c r="TQP114" s="17"/>
      <c r="TQQ114" s="17"/>
      <c r="TQR114" s="17"/>
      <c r="TQS114" s="17"/>
      <c r="TQT114" s="17"/>
      <c r="TQU114" s="17"/>
      <c r="TQV114" s="17"/>
      <c r="TQW114" s="17"/>
      <c r="TQX114" s="17"/>
      <c r="TQY114" s="17"/>
      <c r="TQZ114" s="17"/>
      <c r="TRA114" s="17"/>
      <c r="TRB114" s="17"/>
      <c r="TRC114" s="17"/>
      <c r="TRD114" s="17"/>
      <c r="TRE114" s="17"/>
      <c r="TRF114" s="17"/>
      <c r="TRG114" s="17"/>
      <c r="TRH114" s="17"/>
      <c r="TRI114" s="17"/>
      <c r="TRJ114" s="17"/>
      <c r="TRK114" s="17"/>
      <c r="TRL114" s="17"/>
      <c r="TRM114" s="17"/>
      <c r="TRN114" s="17"/>
      <c r="TRO114" s="17"/>
      <c r="TRP114" s="17"/>
      <c r="TRQ114" s="17"/>
      <c r="TRR114" s="17"/>
      <c r="TRS114" s="17"/>
      <c r="TRT114" s="17"/>
      <c r="TRU114" s="17"/>
      <c r="TRV114" s="17"/>
      <c r="TRW114" s="17"/>
      <c r="TRX114" s="17"/>
      <c r="TRY114" s="17"/>
      <c r="TRZ114" s="17"/>
      <c r="TSA114" s="17"/>
      <c r="TSB114" s="17"/>
      <c r="TSC114" s="17"/>
      <c r="TSD114" s="17"/>
      <c r="TSE114" s="17"/>
      <c r="TSF114" s="17"/>
      <c r="TSG114" s="17"/>
      <c r="TSH114" s="17"/>
      <c r="TSI114" s="17"/>
      <c r="TSJ114" s="17"/>
      <c r="TSK114" s="17"/>
      <c r="TSL114" s="17"/>
      <c r="TSM114" s="17"/>
      <c r="TSN114" s="17"/>
      <c r="TSO114" s="17"/>
      <c r="TSP114" s="17"/>
      <c r="TSQ114" s="17"/>
      <c r="TSR114" s="17"/>
      <c r="TSS114" s="17"/>
      <c r="TST114" s="17"/>
      <c r="TSU114" s="17"/>
      <c r="TSV114" s="17"/>
      <c r="TSW114" s="17"/>
      <c r="TSX114" s="17"/>
      <c r="TSY114" s="17"/>
      <c r="TSZ114" s="17"/>
      <c r="TTA114" s="17"/>
      <c r="TTB114" s="17"/>
      <c r="TTC114" s="17"/>
      <c r="TTD114" s="17"/>
      <c r="TTE114" s="17"/>
      <c r="TTF114" s="17"/>
      <c r="TTG114" s="17"/>
      <c r="TTH114" s="17"/>
      <c r="TTI114" s="17"/>
      <c r="TTJ114" s="17"/>
      <c r="TTK114" s="17"/>
      <c r="TTL114" s="17"/>
      <c r="TTM114" s="17"/>
      <c r="TTN114" s="17"/>
      <c r="TTO114" s="17"/>
      <c r="TTP114" s="17"/>
      <c r="TTQ114" s="17"/>
      <c r="TTR114" s="17"/>
      <c r="TTS114" s="17"/>
      <c r="TTT114" s="17"/>
      <c r="TTU114" s="17"/>
      <c r="TTV114" s="17"/>
      <c r="TTW114" s="17"/>
      <c r="TTX114" s="17"/>
      <c r="TTY114" s="17"/>
      <c r="TTZ114" s="17"/>
      <c r="TUA114" s="17"/>
      <c r="TUB114" s="17"/>
      <c r="TUC114" s="17"/>
      <c r="TUD114" s="17"/>
      <c r="TUE114" s="17"/>
      <c r="TUF114" s="17"/>
      <c r="TUG114" s="17"/>
      <c r="TUH114" s="17"/>
      <c r="TUI114" s="17"/>
      <c r="TUJ114" s="17"/>
      <c r="TUK114" s="17"/>
      <c r="TUL114" s="17"/>
      <c r="TUM114" s="17"/>
      <c r="TUN114" s="17"/>
      <c r="TUO114" s="17"/>
      <c r="TUP114" s="17"/>
      <c r="TUQ114" s="17"/>
      <c r="TUR114" s="17"/>
      <c r="TUS114" s="17"/>
      <c r="TUT114" s="17"/>
      <c r="TUU114" s="17"/>
      <c r="TUV114" s="17"/>
      <c r="TUW114" s="17"/>
      <c r="TUX114" s="17"/>
      <c r="TUY114" s="17"/>
      <c r="TUZ114" s="17"/>
      <c r="TVA114" s="17"/>
      <c r="TVB114" s="17"/>
      <c r="TVC114" s="17"/>
      <c r="TVD114" s="17"/>
      <c r="TVE114" s="17"/>
      <c r="TVF114" s="17"/>
      <c r="TVG114" s="17"/>
      <c r="TVH114" s="17"/>
      <c r="TVI114" s="17"/>
      <c r="TVJ114" s="17"/>
      <c r="TVK114" s="17"/>
      <c r="TVL114" s="17"/>
      <c r="TVM114" s="17"/>
      <c r="TVN114" s="17"/>
      <c r="TVO114" s="17"/>
      <c r="TVP114" s="17"/>
      <c r="TVQ114" s="17"/>
      <c r="TVR114" s="17"/>
      <c r="TVS114" s="17"/>
      <c r="TVT114" s="17"/>
      <c r="TVU114" s="17"/>
      <c r="TVV114" s="17"/>
      <c r="TVW114" s="17"/>
      <c r="TVX114" s="17"/>
      <c r="TVY114" s="17"/>
      <c r="TVZ114" s="17"/>
      <c r="TWA114" s="17"/>
      <c r="TWB114" s="17"/>
      <c r="TWC114" s="17"/>
      <c r="TWD114" s="17"/>
      <c r="TWE114" s="17"/>
      <c r="TWF114" s="17"/>
      <c r="TWG114" s="17"/>
      <c r="TWH114" s="17"/>
      <c r="TWI114" s="17"/>
      <c r="TWJ114" s="17"/>
      <c r="TWK114" s="17"/>
      <c r="TWL114" s="17"/>
      <c r="TWM114" s="17"/>
      <c r="TWN114" s="17"/>
      <c r="TWO114" s="17"/>
      <c r="TWP114" s="17"/>
      <c r="TWQ114" s="17"/>
      <c r="TWR114" s="17"/>
      <c r="TWS114" s="17"/>
      <c r="TWT114" s="17"/>
      <c r="TWU114" s="17"/>
      <c r="TWV114" s="17"/>
      <c r="TWW114" s="17"/>
      <c r="TWX114" s="17"/>
      <c r="TWY114" s="17"/>
      <c r="TWZ114" s="17"/>
      <c r="TXA114" s="17"/>
      <c r="TXB114" s="17"/>
      <c r="TXC114" s="17"/>
      <c r="TXD114" s="17"/>
      <c r="TXE114" s="17"/>
      <c r="TXF114" s="17"/>
      <c r="TXG114" s="17"/>
      <c r="TXH114" s="17"/>
      <c r="TXI114" s="17"/>
      <c r="TXJ114" s="17"/>
      <c r="TXK114" s="17"/>
      <c r="TXL114" s="17"/>
      <c r="TXM114" s="17"/>
      <c r="TXN114" s="17"/>
      <c r="TXO114" s="17"/>
      <c r="TXP114" s="17"/>
      <c r="TXQ114" s="17"/>
      <c r="TXR114" s="17"/>
      <c r="TXS114" s="17"/>
      <c r="TXT114" s="17"/>
      <c r="TXU114" s="17"/>
      <c r="TXV114" s="17"/>
      <c r="TXW114" s="17"/>
      <c r="TXX114" s="17"/>
      <c r="TXY114" s="17"/>
      <c r="TXZ114" s="17"/>
      <c r="TYA114" s="17"/>
      <c r="TYB114" s="17"/>
      <c r="TYC114" s="17"/>
      <c r="TYD114" s="17"/>
      <c r="TYE114" s="17"/>
      <c r="TYF114" s="17"/>
      <c r="TYG114" s="17"/>
      <c r="TYH114" s="17"/>
      <c r="TYI114" s="17"/>
      <c r="TYJ114" s="17"/>
      <c r="TYK114" s="17"/>
      <c r="TYL114" s="17"/>
      <c r="TYM114" s="17"/>
      <c r="TYN114" s="17"/>
      <c r="TYO114" s="17"/>
      <c r="TYP114" s="17"/>
      <c r="TYQ114" s="17"/>
      <c r="TYR114" s="17"/>
      <c r="TYS114" s="17"/>
      <c r="TYT114" s="17"/>
      <c r="TYU114" s="17"/>
      <c r="TYV114" s="17"/>
      <c r="TYW114" s="17"/>
      <c r="TYX114" s="17"/>
      <c r="TYY114" s="17"/>
      <c r="TYZ114" s="17"/>
      <c r="TZA114" s="17"/>
      <c r="TZB114" s="17"/>
      <c r="TZC114" s="17"/>
      <c r="TZD114" s="17"/>
      <c r="TZE114" s="17"/>
      <c r="TZF114" s="17"/>
      <c r="TZG114" s="17"/>
      <c r="TZH114" s="17"/>
      <c r="TZI114" s="17"/>
      <c r="TZJ114" s="17"/>
      <c r="TZK114" s="17"/>
      <c r="TZL114" s="17"/>
      <c r="TZM114" s="17"/>
      <c r="TZN114" s="17"/>
      <c r="TZO114" s="17"/>
      <c r="TZP114" s="17"/>
      <c r="TZQ114" s="17"/>
      <c r="TZR114" s="17"/>
      <c r="TZS114" s="17"/>
      <c r="TZT114" s="17"/>
      <c r="TZU114" s="17"/>
      <c r="TZV114" s="17"/>
      <c r="TZW114" s="17"/>
      <c r="TZX114" s="17"/>
      <c r="TZY114" s="17"/>
      <c r="TZZ114" s="17"/>
      <c r="UAA114" s="17"/>
      <c r="UAB114" s="17"/>
      <c r="UAC114" s="17"/>
      <c r="UAD114" s="17"/>
      <c r="UAE114" s="17"/>
      <c r="UAF114" s="17"/>
      <c r="UAG114" s="17"/>
      <c r="UAH114" s="17"/>
      <c r="UAI114" s="17"/>
      <c r="UAJ114" s="17"/>
      <c r="UAK114" s="17"/>
      <c r="UAL114" s="17"/>
      <c r="UAM114" s="17"/>
      <c r="UAN114" s="17"/>
      <c r="UAO114" s="17"/>
      <c r="UAP114" s="17"/>
      <c r="UAQ114" s="17"/>
      <c r="UAR114" s="17"/>
      <c r="UAS114" s="17"/>
      <c r="UAT114" s="17"/>
      <c r="UAU114" s="17"/>
      <c r="UAV114" s="17"/>
      <c r="UAW114" s="17"/>
      <c r="UAX114" s="17"/>
      <c r="UAY114" s="17"/>
      <c r="UAZ114" s="17"/>
      <c r="UBA114" s="17"/>
      <c r="UBB114" s="17"/>
      <c r="UBC114" s="17"/>
      <c r="UBD114" s="17"/>
      <c r="UBE114" s="17"/>
      <c r="UBF114" s="17"/>
      <c r="UBG114" s="17"/>
      <c r="UBH114" s="17"/>
      <c r="UBI114" s="17"/>
      <c r="UBJ114" s="17"/>
      <c r="UBK114" s="17"/>
      <c r="UBL114" s="17"/>
      <c r="UBM114" s="17"/>
      <c r="UBN114" s="17"/>
      <c r="UBO114" s="17"/>
      <c r="UBP114" s="17"/>
      <c r="UBQ114" s="17"/>
      <c r="UBR114" s="17"/>
      <c r="UBS114" s="17"/>
      <c r="UBT114" s="17"/>
      <c r="UBU114" s="17"/>
      <c r="UBV114" s="17"/>
      <c r="UBW114" s="17"/>
      <c r="UBX114" s="17"/>
      <c r="UBY114" s="17"/>
      <c r="UBZ114" s="17"/>
      <c r="UCA114" s="17"/>
      <c r="UCB114" s="17"/>
      <c r="UCC114" s="17"/>
      <c r="UCD114" s="17"/>
      <c r="UCE114" s="17"/>
      <c r="UCF114" s="17"/>
      <c r="UCG114" s="17"/>
      <c r="UCH114" s="17"/>
      <c r="UCI114" s="17"/>
      <c r="UCJ114" s="17"/>
      <c r="UCK114" s="17"/>
      <c r="UCL114" s="17"/>
      <c r="UCM114" s="17"/>
      <c r="UCN114" s="17"/>
      <c r="UCO114" s="17"/>
      <c r="UCP114" s="17"/>
      <c r="UCQ114" s="17"/>
      <c r="UCR114" s="17"/>
      <c r="UCS114" s="17"/>
      <c r="UCT114" s="17"/>
      <c r="UCU114" s="17"/>
      <c r="UCV114" s="17"/>
      <c r="UCW114" s="17"/>
      <c r="UCX114" s="17"/>
      <c r="UCY114" s="17"/>
      <c r="UCZ114" s="17"/>
      <c r="UDA114" s="17"/>
      <c r="UDB114" s="17"/>
      <c r="UDC114" s="17"/>
      <c r="UDD114" s="17"/>
      <c r="UDE114" s="17"/>
      <c r="UDF114" s="17"/>
      <c r="UDG114" s="17"/>
      <c r="UDH114" s="17"/>
      <c r="UDI114" s="17"/>
      <c r="UDJ114" s="17"/>
      <c r="UDK114" s="17"/>
      <c r="UDL114" s="17"/>
      <c r="UDM114" s="17"/>
      <c r="UDN114" s="17"/>
      <c r="UDO114" s="17"/>
      <c r="UDP114" s="17"/>
      <c r="UDQ114" s="17"/>
      <c r="UDR114" s="17"/>
      <c r="UDS114" s="17"/>
      <c r="UDT114" s="17"/>
      <c r="UDU114" s="17"/>
      <c r="UDV114" s="17"/>
      <c r="UDW114" s="17"/>
      <c r="UDX114" s="17"/>
      <c r="UDY114" s="17"/>
      <c r="UDZ114" s="17"/>
      <c r="UEA114" s="17"/>
      <c r="UEB114" s="17"/>
      <c r="UEC114" s="17"/>
      <c r="UED114" s="17"/>
      <c r="UEE114" s="17"/>
      <c r="UEF114" s="17"/>
      <c r="UEG114" s="17"/>
      <c r="UEH114" s="17"/>
      <c r="UEI114" s="17"/>
      <c r="UEJ114" s="17"/>
      <c r="UEK114" s="17"/>
      <c r="UEL114" s="17"/>
      <c r="UEM114" s="17"/>
      <c r="UEN114" s="17"/>
      <c r="UEO114" s="17"/>
      <c r="UEP114" s="17"/>
      <c r="UEQ114" s="17"/>
      <c r="UER114" s="17"/>
      <c r="UES114" s="17"/>
      <c r="UET114" s="17"/>
      <c r="UEU114" s="17"/>
      <c r="UEV114" s="17"/>
      <c r="UEW114" s="17"/>
      <c r="UEX114" s="17"/>
      <c r="UEY114" s="17"/>
      <c r="UEZ114" s="17"/>
      <c r="UFA114" s="17"/>
      <c r="UFB114" s="17"/>
      <c r="UFC114" s="17"/>
      <c r="UFD114" s="17"/>
      <c r="UFE114" s="17"/>
      <c r="UFF114" s="17"/>
      <c r="UFG114" s="17"/>
      <c r="UFH114" s="17"/>
      <c r="UFI114" s="17"/>
      <c r="UFJ114" s="17"/>
      <c r="UFK114" s="17"/>
      <c r="UFL114" s="17"/>
      <c r="UFM114" s="17"/>
      <c r="UFN114" s="17"/>
      <c r="UFO114" s="17"/>
      <c r="UFP114" s="17"/>
      <c r="UFQ114" s="17"/>
      <c r="UFR114" s="17"/>
      <c r="UFS114" s="17"/>
      <c r="UFT114" s="17"/>
      <c r="UFU114" s="17"/>
      <c r="UFV114" s="17"/>
      <c r="UFW114" s="17"/>
      <c r="UFX114" s="17"/>
      <c r="UFY114" s="17"/>
      <c r="UFZ114" s="17"/>
      <c r="UGA114" s="17"/>
      <c r="UGB114" s="17"/>
      <c r="UGC114" s="17"/>
      <c r="UGD114" s="17"/>
      <c r="UGE114" s="17"/>
      <c r="UGF114" s="17"/>
      <c r="UGG114" s="17"/>
      <c r="UGH114" s="17"/>
      <c r="UGI114" s="17"/>
      <c r="UGJ114" s="17"/>
      <c r="UGK114" s="17"/>
      <c r="UGL114" s="17"/>
      <c r="UGM114" s="17"/>
      <c r="UGN114" s="17"/>
      <c r="UGO114" s="17"/>
      <c r="UGP114" s="17"/>
      <c r="UGQ114" s="17"/>
      <c r="UGR114" s="17"/>
      <c r="UGS114" s="17"/>
      <c r="UGT114" s="17"/>
      <c r="UGU114" s="17"/>
      <c r="UGV114" s="17"/>
      <c r="UGW114" s="17"/>
      <c r="UGX114" s="17"/>
      <c r="UGY114" s="17"/>
      <c r="UGZ114" s="17"/>
      <c r="UHA114" s="17"/>
      <c r="UHB114" s="17"/>
      <c r="UHC114" s="17"/>
      <c r="UHD114" s="17"/>
      <c r="UHE114" s="17"/>
      <c r="UHF114" s="17"/>
      <c r="UHG114" s="17"/>
      <c r="UHH114" s="17"/>
      <c r="UHI114" s="17"/>
      <c r="UHJ114" s="17"/>
      <c r="UHK114" s="17"/>
      <c r="UHL114" s="17"/>
      <c r="UHM114" s="17"/>
      <c r="UHN114" s="17"/>
      <c r="UHO114" s="17"/>
      <c r="UHP114" s="17"/>
      <c r="UHQ114" s="17"/>
      <c r="UHR114" s="17"/>
      <c r="UHS114" s="17"/>
      <c r="UHT114" s="17"/>
      <c r="UHU114" s="17"/>
      <c r="UHV114" s="17"/>
      <c r="UHW114" s="17"/>
      <c r="UHX114" s="17"/>
      <c r="UHY114" s="17"/>
      <c r="UHZ114" s="17"/>
      <c r="UIA114" s="17"/>
      <c r="UIB114" s="17"/>
      <c r="UIC114" s="17"/>
      <c r="UID114" s="17"/>
      <c r="UIE114" s="17"/>
      <c r="UIF114" s="17"/>
      <c r="UIG114" s="17"/>
      <c r="UIH114" s="17"/>
      <c r="UII114" s="17"/>
      <c r="UIJ114" s="17"/>
      <c r="UIK114" s="17"/>
      <c r="UIL114" s="17"/>
      <c r="UIM114" s="17"/>
      <c r="UIN114" s="17"/>
      <c r="UIO114" s="17"/>
      <c r="UIP114" s="17"/>
      <c r="UIQ114" s="17"/>
      <c r="UIR114" s="17"/>
      <c r="UIS114" s="17"/>
      <c r="UIT114" s="17"/>
      <c r="UIU114" s="17"/>
      <c r="UIV114" s="17"/>
      <c r="UIW114" s="17"/>
      <c r="UIX114" s="17"/>
      <c r="UIY114" s="17"/>
      <c r="UIZ114" s="17"/>
      <c r="UJA114" s="17"/>
      <c r="UJB114" s="17"/>
      <c r="UJC114" s="17"/>
      <c r="UJD114" s="17"/>
      <c r="UJE114" s="17"/>
      <c r="UJF114" s="17"/>
      <c r="UJG114" s="17"/>
      <c r="UJH114" s="17"/>
      <c r="UJI114" s="17"/>
      <c r="UJJ114" s="17"/>
      <c r="UJK114" s="17"/>
      <c r="UJL114" s="17"/>
      <c r="UJM114" s="17"/>
      <c r="UJN114" s="17"/>
      <c r="UJO114" s="17"/>
      <c r="UJP114" s="17"/>
      <c r="UJQ114" s="17"/>
      <c r="UJR114" s="17"/>
      <c r="UJS114" s="17"/>
      <c r="UJT114" s="17"/>
      <c r="UJU114" s="17"/>
      <c r="UJV114" s="17"/>
      <c r="UJW114" s="17"/>
      <c r="UJX114" s="17"/>
      <c r="UJY114" s="17"/>
      <c r="UJZ114" s="17"/>
      <c r="UKA114" s="17"/>
      <c r="UKB114" s="17"/>
      <c r="UKC114" s="17"/>
      <c r="UKD114" s="17"/>
      <c r="UKE114" s="17"/>
      <c r="UKF114" s="17"/>
      <c r="UKG114" s="17"/>
      <c r="UKH114" s="17"/>
      <c r="UKI114" s="17"/>
      <c r="UKJ114" s="17"/>
      <c r="UKK114" s="17"/>
      <c r="UKL114" s="17"/>
      <c r="UKM114" s="17"/>
      <c r="UKN114" s="17"/>
      <c r="UKO114" s="17"/>
      <c r="UKP114" s="17"/>
      <c r="UKQ114" s="17"/>
      <c r="UKR114" s="17"/>
      <c r="UKS114" s="17"/>
      <c r="UKT114" s="17"/>
      <c r="UKU114" s="17"/>
      <c r="UKV114" s="17"/>
      <c r="UKW114" s="17"/>
      <c r="UKX114" s="17"/>
      <c r="UKY114" s="17"/>
      <c r="UKZ114" s="17"/>
      <c r="ULA114" s="17"/>
      <c r="ULB114" s="17"/>
      <c r="ULC114" s="17"/>
      <c r="ULD114" s="17"/>
      <c r="ULE114" s="17"/>
      <c r="ULF114" s="17"/>
      <c r="ULG114" s="17"/>
      <c r="ULH114" s="17"/>
      <c r="ULI114" s="17"/>
      <c r="ULJ114" s="17"/>
      <c r="ULK114" s="17"/>
      <c r="ULL114" s="17"/>
      <c r="ULM114" s="17"/>
      <c r="ULN114" s="17"/>
      <c r="ULO114" s="17"/>
      <c r="ULP114" s="17"/>
      <c r="ULQ114" s="17"/>
      <c r="ULR114" s="17"/>
      <c r="ULS114" s="17"/>
      <c r="ULT114" s="17"/>
      <c r="ULU114" s="17"/>
      <c r="ULV114" s="17"/>
      <c r="ULW114" s="17"/>
      <c r="ULX114" s="17"/>
      <c r="ULY114" s="17"/>
      <c r="ULZ114" s="17"/>
      <c r="UMA114" s="17"/>
      <c r="UMB114" s="17"/>
      <c r="UMC114" s="17"/>
      <c r="UMD114" s="17"/>
      <c r="UME114" s="17"/>
      <c r="UMF114" s="17"/>
      <c r="UMG114" s="17"/>
      <c r="UMH114" s="17"/>
      <c r="UMI114" s="17"/>
      <c r="UMJ114" s="17"/>
      <c r="UMK114" s="17"/>
      <c r="UML114" s="17"/>
      <c r="UMM114" s="17"/>
      <c r="UMN114" s="17"/>
      <c r="UMO114" s="17"/>
      <c r="UMP114" s="17"/>
      <c r="UMQ114" s="17"/>
      <c r="UMR114" s="17"/>
      <c r="UMS114" s="17"/>
      <c r="UMT114" s="17"/>
      <c r="UMU114" s="17"/>
      <c r="UMV114" s="17"/>
      <c r="UMW114" s="17"/>
      <c r="UMX114" s="17"/>
      <c r="UMY114" s="17"/>
      <c r="UMZ114" s="17"/>
      <c r="UNA114" s="17"/>
      <c r="UNB114" s="17"/>
      <c r="UNC114" s="17"/>
      <c r="UND114" s="17"/>
      <c r="UNE114" s="17"/>
      <c r="UNF114" s="17"/>
      <c r="UNG114" s="17"/>
      <c r="UNH114" s="17"/>
      <c r="UNI114" s="17"/>
      <c r="UNJ114" s="17"/>
      <c r="UNK114" s="17"/>
      <c r="UNL114" s="17"/>
      <c r="UNM114" s="17"/>
      <c r="UNN114" s="17"/>
      <c r="UNO114" s="17"/>
      <c r="UNP114" s="17"/>
      <c r="UNQ114" s="17"/>
      <c r="UNR114" s="17"/>
      <c r="UNS114" s="17"/>
      <c r="UNT114" s="17"/>
      <c r="UNU114" s="17"/>
      <c r="UNV114" s="17"/>
      <c r="UNW114" s="17"/>
      <c r="UNX114" s="17"/>
      <c r="UNY114" s="17"/>
      <c r="UNZ114" s="17"/>
      <c r="UOA114" s="17"/>
      <c r="UOB114" s="17"/>
      <c r="UOC114" s="17"/>
      <c r="UOD114" s="17"/>
      <c r="UOE114" s="17"/>
      <c r="UOF114" s="17"/>
      <c r="UOG114" s="17"/>
      <c r="UOH114" s="17"/>
      <c r="UOI114" s="17"/>
      <c r="UOJ114" s="17"/>
      <c r="UOK114" s="17"/>
      <c r="UOL114" s="17"/>
      <c r="UOM114" s="17"/>
      <c r="UON114" s="17"/>
      <c r="UOO114" s="17"/>
      <c r="UOP114" s="17"/>
      <c r="UOQ114" s="17"/>
      <c r="UOR114" s="17"/>
      <c r="UOS114" s="17"/>
      <c r="UOT114" s="17"/>
      <c r="UOU114" s="17"/>
      <c r="UOV114" s="17"/>
      <c r="UOW114" s="17"/>
      <c r="UOX114" s="17"/>
      <c r="UOY114" s="17"/>
      <c r="UOZ114" s="17"/>
      <c r="UPA114" s="17"/>
      <c r="UPB114" s="17"/>
      <c r="UPC114" s="17"/>
      <c r="UPD114" s="17"/>
      <c r="UPE114" s="17"/>
      <c r="UPF114" s="17"/>
      <c r="UPG114" s="17"/>
      <c r="UPH114" s="17"/>
      <c r="UPI114" s="17"/>
      <c r="UPJ114" s="17"/>
      <c r="UPK114" s="17"/>
      <c r="UPL114" s="17"/>
      <c r="UPM114" s="17"/>
      <c r="UPN114" s="17"/>
      <c r="UPO114" s="17"/>
      <c r="UPP114" s="17"/>
      <c r="UPQ114" s="17"/>
      <c r="UPR114" s="17"/>
      <c r="UPS114" s="17"/>
      <c r="UPT114" s="17"/>
      <c r="UPU114" s="17"/>
      <c r="UPV114" s="17"/>
      <c r="UPW114" s="17"/>
      <c r="UPX114" s="17"/>
      <c r="UPY114" s="17"/>
      <c r="UPZ114" s="17"/>
      <c r="UQA114" s="17"/>
      <c r="UQB114" s="17"/>
      <c r="UQC114" s="17"/>
      <c r="UQD114" s="17"/>
      <c r="UQE114" s="17"/>
      <c r="UQF114" s="17"/>
      <c r="UQG114" s="17"/>
      <c r="UQH114" s="17"/>
      <c r="UQI114" s="17"/>
      <c r="UQJ114" s="17"/>
      <c r="UQK114" s="17"/>
      <c r="UQL114" s="17"/>
      <c r="UQM114" s="17"/>
      <c r="UQN114" s="17"/>
      <c r="UQO114" s="17"/>
      <c r="UQP114" s="17"/>
      <c r="UQQ114" s="17"/>
      <c r="UQR114" s="17"/>
      <c r="UQS114" s="17"/>
      <c r="UQT114" s="17"/>
      <c r="UQU114" s="17"/>
      <c r="UQV114" s="17"/>
      <c r="UQW114" s="17"/>
      <c r="UQX114" s="17"/>
      <c r="UQY114" s="17"/>
      <c r="UQZ114" s="17"/>
      <c r="URA114" s="17"/>
      <c r="URB114" s="17"/>
      <c r="URC114" s="17"/>
      <c r="URD114" s="17"/>
      <c r="URE114" s="17"/>
      <c r="URF114" s="17"/>
      <c r="URG114" s="17"/>
      <c r="URH114" s="17"/>
      <c r="URI114" s="17"/>
      <c r="URJ114" s="17"/>
      <c r="URK114" s="17"/>
      <c r="URL114" s="17"/>
      <c r="URM114" s="17"/>
      <c r="URN114" s="17"/>
      <c r="URO114" s="17"/>
      <c r="URP114" s="17"/>
      <c r="URQ114" s="17"/>
      <c r="URR114" s="17"/>
      <c r="URS114" s="17"/>
      <c r="URT114" s="17"/>
      <c r="URU114" s="17"/>
      <c r="URV114" s="17"/>
      <c r="URW114" s="17"/>
      <c r="URX114" s="17"/>
      <c r="URY114" s="17"/>
      <c r="URZ114" s="17"/>
      <c r="USA114" s="17"/>
      <c r="USB114" s="17"/>
      <c r="USC114" s="17"/>
      <c r="USD114" s="17"/>
      <c r="USE114" s="17"/>
      <c r="USF114" s="17"/>
      <c r="USG114" s="17"/>
      <c r="USH114" s="17"/>
      <c r="USI114" s="17"/>
      <c r="USJ114" s="17"/>
      <c r="USK114" s="17"/>
      <c r="USL114" s="17"/>
      <c r="USM114" s="17"/>
      <c r="USN114" s="17"/>
      <c r="USO114" s="17"/>
      <c r="USP114" s="17"/>
      <c r="USQ114" s="17"/>
      <c r="USR114" s="17"/>
      <c r="USS114" s="17"/>
      <c r="UST114" s="17"/>
      <c r="USU114" s="17"/>
      <c r="USV114" s="17"/>
      <c r="USW114" s="17"/>
      <c r="USX114" s="17"/>
      <c r="USY114" s="17"/>
      <c r="USZ114" s="17"/>
      <c r="UTA114" s="17"/>
      <c r="UTB114" s="17"/>
      <c r="UTC114" s="17"/>
      <c r="UTD114" s="17"/>
      <c r="UTE114" s="17"/>
      <c r="UTF114" s="17"/>
      <c r="UTG114" s="17"/>
      <c r="UTH114" s="17"/>
      <c r="UTI114" s="17"/>
      <c r="UTJ114" s="17"/>
      <c r="UTK114" s="17"/>
      <c r="UTL114" s="17"/>
      <c r="UTM114" s="17"/>
      <c r="UTN114" s="17"/>
      <c r="UTO114" s="17"/>
      <c r="UTP114" s="17"/>
      <c r="UTQ114" s="17"/>
      <c r="UTR114" s="17"/>
      <c r="UTS114" s="17"/>
      <c r="UTT114" s="17"/>
      <c r="UTU114" s="17"/>
      <c r="UTV114" s="17"/>
      <c r="UTW114" s="17"/>
      <c r="UTX114" s="17"/>
      <c r="UTY114" s="17"/>
      <c r="UTZ114" s="17"/>
      <c r="UUA114" s="17"/>
      <c r="UUB114" s="17"/>
      <c r="UUC114" s="17"/>
      <c r="UUD114" s="17"/>
      <c r="UUE114" s="17"/>
      <c r="UUF114" s="17"/>
      <c r="UUG114" s="17"/>
      <c r="UUH114" s="17"/>
      <c r="UUI114" s="17"/>
      <c r="UUJ114" s="17"/>
      <c r="UUK114" s="17"/>
      <c r="UUL114" s="17"/>
      <c r="UUM114" s="17"/>
      <c r="UUN114" s="17"/>
      <c r="UUO114" s="17"/>
      <c r="UUP114" s="17"/>
      <c r="UUQ114" s="17"/>
      <c r="UUR114" s="17"/>
      <c r="UUS114" s="17"/>
      <c r="UUT114" s="17"/>
      <c r="UUU114" s="17"/>
      <c r="UUV114" s="17"/>
      <c r="UUW114" s="17"/>
      <c r="UUX114" s="17"/>
      <c r="UUY114" s="17"/>
      <c r="UUZ114" s="17"/>
      <c r="UVA114" s="17"/>
      <c r="UVB114" s="17"/>
      <c r="UVC114" s="17"/>
      <c r="UVD114" s="17"/>
      <c r="UVE114" s="17"/>
      <c r="UVF114" s="17"/>
      <c r="UVG114" s="17"/>
      <c r="UVH114" s="17"/>
      <c r="UVI114" s="17"/>
      <c r="UVJ114" s="17"/>
      <c r="UVK114" s="17"/>
      <c r="UVL114" s="17"/>
      <c r="UVM114" s="17"/>
      <c r="UVN114" s="17"/>
      <c r="UVO114" s="17"/>
      <c r="UVP114" s="17"/>
      <c r="UVQ114" s="17"/>
      <c r="UVR114" s="17"/>
      <c r="UVS114" s="17"/>
      <c r="UVT114" s="17"/>
      <c r="UVU114" s="17"/>
      <c r="UVV114" s="17"/>
      <c r="UVW114" s="17"/>
      <c r="UVX114" s="17"/>
      <c r="UVY114" s="17"/>
      <c r="UVZ114" s="17"/>
      <c r="UWA114" s="17"/>
      <c r="UWB114" s="17"/>
      <c r="UWC114" s="17"/>
      <c r="UWD114" s="17"/>
      <c r="UWE114" s="17"/>
      <c r="UWF114" s="17"/>
      <c r="UWG114" s="17"/>
      <c r="UWH114" s="17"/>
      <c r="UWI114" s="17"/>
      <c r="UWJ114" s="17"/>
      <c r="UWK114" s="17"/>
      <c r="UWL114" s="17"/>
      <c r="UWM114" s="17"/>
      <c r="UWN114" s="17"/>
      <c r="UWO114" s="17"/>
      <c r="UWP114" s="17"/>
      <c r="UWQ114" s="17"/>
      <c r="UWR114" s="17"/>
      <c r="UWS114" s="17"/>
      <c r="UWT114" s="17"/>
      <c r="UWU114" s="17"/>
      <c r="UWV114" s="17"/>
      <c r="UWW114" s="17"/>
      <c r="UWX114" s="17"/>
      <c r="UWY114" s="17"/>
      <c r="UWZ114" s="17"/>
      <c r="UXA114" s="17"/>
      <c r="UXB114" s="17"/>
      <c r="UXC114" s="17"/>
      <c r="UXD114" s="17"/>
      <c r="UXE114" s="17"/>
      <c r="UXF114" s="17"/>
      <c r="UXG114" s="17"/>
      <c r="UXH114" s="17"/>
      <c r="UXI114" s="17"/>
      <c r="UXJ114" s="17"/>
      <c r="UXK114" s="17"/>
      <c r="UXL114" s="17"/>
      <c r="UXM114" s="17"/>
      <c r="UXN114" s="17"/>
      <c r="UXO114" s="17"/>
      <c r="UXP114" s="17"/>
      <c r="UXQ114" s="17"/>
      <c r="UXR114" s="17"/>
      <c r="UXS114" s="17"/>
      <c r="UXT114" s="17"/>
      <c r="UXU114" s="17"/>
      <c r="UXV114" s="17"/>
      <c r="UXW114" s="17"/>
      <c r="UXX114" s="17"/>
      <c r="UXY114" s="17"/>
      <c r="UXZ114" s="17"/>
      <c r="UYA114" s="17"/>
      <c r="UYB114" s="17"/>
      <c r="UYC114" s="17"/>
      <c r="UYD114" s="17"/>
      <c r="UYE114" s="17"/>
      <c r="UYF114" s="17"/>
      <c r="UYG114" s="17"/>
      <c r="UYH114" s="17"/>
      <c r="UYI114" s="17"/>
      <c r="UYJ114" s="17"/>
      <c r="UYK114" s="17"/>
      <c r="UYL114" s="17"/>
      <c r="UYM114" s="17"/>
      <c r="UYN114" s="17"/>
      <c r="UYO114" s="17"/>
      <c r="UYP114" s="17"/>
      <c r="UYQ114" s="17"/>
      <c r="UYR114" s="17"/>
      <c r="UYS114" s="17"/>
      <c r="UYT114" s="17"/>
      <c r="UYU114" s="17"/>
      <c r="UYV114" s="17"/>
      <c r="UYW114" s="17"/>
      <c r="UYX114" s="17"/>
      <c r="UYY114" s="17"/>
      <c r="UYZ114" s="17"/>
      <c r="UZA114" s="17"/>
      <c r="UZB114" s="17"/>
      <c r="UZC114" s="17"/>
      <c r="UZD114" s="17"/>
      <c r="UZE114" s="17"/>
      <c r="UZF114" s="17"/>
      <c r="UZG114" s="17"/>
      <c r="UZH114" s="17"/>
      <c r="UZI114" s="17"/>
      <c r="UZJ114" s="17"/>
      <c r="UZK114" s="17"/>
      <c r="UZL114" s="17"/>
      <c r="UZM114" s="17"/>
      <c r="UZN114" s="17"/>
      <c r="UZO114" s="17"/>
      <c r="UZP114" s="17"/>
      <c r="UZQ114" s="17"/>
      <c r="UZR114" s="17"/>
      <c r="UZS114" s="17"/>
      <c r="UZT114" s="17"/>
      <c r="UZU114" s="17"/>
      <c r="UZV114" s="17"/>
      <c r="UZW114" s="17"/>
      <c r="UZX114" s="17"/>
      <c r="UZY114" s="17"/>
      <c r="UZZ114" s="17"/>
      <c r="VAA114" s="17"/>
      <c r="VAB114" s="17"/>
      <c r="VAC114" s="17"/>
      <c r="VAD114" s="17"/>
      <c r="VAE114" s="17"/>
      <c r="VAF114" s="17"/>
      <c r="VAG114" s="17"/>
      <c r="VAH114" s="17"/>
      <c r="VAI114" s="17"/>
      <c r="VAJ114" s="17"/>
      <c r="VAK114" s="17"/>
      <c r="VAL114" s="17"/>
      <c r="VAM114" s="17"/>
      <c r="VAN114" s="17"/>
      <c r="VAO114" s="17"/>
      <c r="VAP114" s="17"/>
      <c r="VAQ114" s="17"/>
      <c r="VAR114" s="17"/>
      <c r="VAS114" s="17"/>
      <c r="VAT114" s="17"/>
      <c r="VAU114" s="17"/>
      <c r="VAV114" s="17"/>
      <c r="VAW114" s="17"/>
      <c r="VAX114" s="17"/>
      <c r="VAY114" s="17"/>
      <c r="VAZ114" s="17"/>
      <c r="VBA114" s="17"/>
      <c r="VBB114" s="17"/>
      <c r="VBC114" s="17"/>
      <c r="VBD114" s="17"/>
      <c r="VBE114" s="17"/>
      <c r="VBF114" s="17"/>
      <c r="VBG114" s="17"/>
      <c r="VBH114" s="17"/>
      <c r="VBI114" s="17"/>
      <c r="VBJ114" s="17"/>
      <c r="VBK114" s="17"/>
      <c r="VBL114" s="17"/>
      <c r="VBM114" s="17"/>
      <c r="VBN114" s="17"/>
      <c r="VBO114" s="17"/>
      <c r="VBP114" s="17"/>
      <c r="VBQ114" s="17"/>
      <c r="VBR114" s="17"/>
      <c r="VBS114" s="17"/>
      <c r="VBT114" s="17"/>
      <c r="VBU114" s="17"/>
      <c r="VBV114" s="17"/>
      <c r="VBW114" s="17"/>
      <c r="VBX114" s="17"/>
      <c r="VBY114" s="17"/>
      <c r="VBZ114" s="17"/>
      <c r="VCA114" s="17"/>
      <c r="VCB114" s="17"/>
      <c r="VCC114" s="17"/>
      <c r="VCD114" s="17"/>
      <c r="VCE114" s="17"/>
      <c r="VCF114" s="17"/>
      <c r="VCG114" s="17"/>
      <c r="VCH114" s="17"/>
      <c r="VCI114" s="17"/>
      <c r="VCJ114" s="17"/>
      <c r="VCK114" s="17"/>
      <c r="VCL114" s="17"/>
      <c r="VCM114" s="17"/>
      <c r="VCN114" s="17"/>
      <c r="VCO114" s="17"/>
      <c r="VCP114" s="17"/>
      <c r="VCQ114" s="17"/>
      <c r="VCR114" s="17"/>
      <c r="VCS114" s="17"/>
      <c r="VCT114" s="17"/>
      <c r="VCU114" s="17"/>
      <c r="VCV114" s="17"/>
      <c r="VCW114" s="17"/>
      <c r="VCX114" s="17"/>
      <c r="VCY114" s="17"/>
      <c r="VCZ114" s="17"/>
      <c r="VDA114" s="17"/>
      <c r="VDB114" s="17"/>
      <c r="VDC114" s="17"/>
      <c r="VDD114" s="17"/>
      <c r="VDE114" s="17"/>
      <c r="VDF114" s="17"/>
      <c r="VDG114" s="17"/>
      <c r="VDH114" s="17"/>
      <c r="VDI114" s="17"/>
      <c r="VDJ114" s="17"/>
      <c r="VDK114" s="17"/>
      <c r="VDL114" s="17"/>
      <c r="VDM114" s="17"/>
      <c r="VDN114" s="17"/>
      <c r="VDO114" s="17"/>
      <c r="VDP114" s="17"/>
      <c r="VDQ114" s="17"/>
      <c r="VDR114" s="17"/>
      <c r="VDS114" s="17"/>
      <c r="VDT114" s="17"/>
      <c r="VDU114" s="17"/>
      <c r="VDV114" s="17"/>
      <c r="VDW114" s="17"/>
      <c r="VDX114" s="17"/>
      <c r="VDY114" s="17"/>
      <c r="VDZ114" s="17"/>
      <c r="VEA114" s="17"/>
      <c r="VEB114" s="17"/>
      <c r="VEC114" s="17"/>
      <c r="VED114" s="17"/>
      <c r="VEE114" s="17"/>
      <c r="VEF114" s="17"/>
      <c r="VEG114" s="17"/>
      <c r="VEH114" s="17"/>
      <c r="VEI114" s="17"/>
      <c r="VEJ114" s="17"/>
      <c r="VEK114" s="17"/>
      <c r="VEL114" s="17"/>
      <c r="VEM114" s="17"/>
      <c r="VEN114" s="17"/>
      <c r="VEO114" s="17"/>
      <c r="VEP114" s="17"/>
      <c r="VEQ114" s="17"/>
      <c r="VER114" s="17"/>
      <c r="VES114" s="17"/>
      <c r="VET114" s="17"/>
      <c r="VEU114" s="17"/>
      <c r="VEV114" s="17"/>
      <c r="VEW114" s="17"/>
      <c r="VEX114" s="17"/>
      <c r="VEY114" s="17"/>
      <c r="VEZ114" s="17"/>
      <c r="VFA114" s="17"/>
      <c r="VFB114" s="17"/>
      <c r="VFC114" s="17"/>
      <c r="VFD114" s="17"/>
      <c r="VFE114" s="17"/>
      <c r="VFF114" s="17"/>
      <c r="VFG114" s="17"/>
      <c r="VFH114" s="17"/>
      <c r="VFI114" s="17"/>
      <c r="VFJ114" s="17"/>
      <c r="VFK114" s="17"/>
      <c r="VFL114" s="17"/>
      <c r="VFM114" s="17"/>
      <c r="VFN114" s="17"/>
      <c r="VFO114" s="17"/>
      <c r="VFP114" s="17"/>
      <c r="VFQ114" s="17"/>
      <c r="VFR114" s="17"/>
      <c r="VFS114" s="17"/>
      <c r="VFT114" s="17"/>
      <c r="VFU114" s="17"/>
      <c r="VFV114" s="17"/>
      <c r="VFW114" s="17"/>
      <c r="VFX114" s="17"/>
      <c r="VFY114" s="17"/>
      <c r="VFZ114" s="17"/>
      <c r="VGA114" s="17"/>
      <c r="VGB114" s="17"/>
      <c r="VGC114" s="17"/>
      <c r="VGD114" s="17"/>
      <c r="VGE114" s="17"/>
      <c r="VGF114" s="17"/>
      <c r="VGG114" s="17"/>
      <c r="VGH114" s="17"/>
      <c r="VGI114" s="17"/>
      <c r="VGJ114" s="17"/>
      <c r="VGK114" s="17"/>
      <c r="VGL114" s="17"/>
      <c r="VGM114" s="17"/>
      <c r="VGN114" s="17"/>
      <c r="VGO114" s="17"/>
      <c r="VGP114" s="17"/>
      <c r="VGQ114" s="17"/>
      <c r="VGR114" s="17"/>
      <c r="VGS114" s="17"/>
      <c r="VGT114" s="17"/>
      <c r="VGU114" s="17"/>
      <c r="VGV114" s="17"/>
      <c r="VGW114" s="17"/>
      <c r="VGX114" s="17"/>
      <c r="VGY114" s="17"/>
      <c r="VGZ114" s="17"/>
      <c r="VHA114" s="17"/>
      <c r="VHB114" s="17"/>
      <c r="VHC114" s="17"/>
      <c r="VHD114" s="17"/>
      <c r="VHE114" s="17"/>
      <c r="VHF114" s="17"/>
      <c r="VHG114" s="17"/>
      <c r="VHH114" s="17"/>
      <c r="VHI114" s="17"/>
      <c r="VHJ114" s="17"/>
      <c r="VHK114" s="17"/>
      <c r="VHL114" s="17"/>
      <c r="VHM114" s="17"/>
      <c r="VHN114" s="17"/>
      <c r="VHO114" s="17"/>
      <c r="VHP114" s="17"/>
      <c r="VHQ114" s="17"/>
      <c r="VHR114" s="17"/>
      <c r="VHS114" s="17"/>
      <c r="VHT114" s="17"/>
      <c r="VHU114" s="17"/>
      <c r="VHV114" s="17"/>
      <c r="VHW114" s="17"/>
      <c r="VHX114" s="17"/>
      <c r="VHY114" s="17"/>
      <c r="VHZ114" s="17"/>
      <c r="VIA114" s="17"/>
      <c r="VIB114" s="17"/>
      <c r="VIC114" s="17"/>
      <c r="VID114" s="17"/>
      <c r="VIE114" s="17"/>
      <c r="VIF114" s="17"/>
      <c r="VIG114" s="17"/>
      <c r="VIH114" s="17"/>
      <c r="VII114" s="17"/>
      <c r="VIJ114" s="17"/>
      <c r="VIK114" s="17"/>
      <c r="VIL114" s="17"/>
      <c r="VIM114" s="17"/>
      <c r="VIN114" s="17"/>
      <c r="VIO114" s="17"/>
      <c r="VIP114" s="17"/>
      <c r="VIQ114" s="17"/>
      <c r="VIR114" s="17"/>
      <c r="VIS114" s="17"/>
      <c r="VIT114" s="17"/>
      <c r="VIU114" s="17"/>
      <c r="VIV114" s="17"/>
      <c r="VIW114" s="17"/>
      <c r="VIX114" s="17"/>
      <c r="VIY114" s="17"/>
      <c r="VIZ114" s="17"/>
      <c r="VJA114" s="17"/>
      <c r="VJB114" s="17"/>
      <c r="VJC114" s="17"/>
      <c r="VJD114" s="17"/>
      <c r="VJE114" s="17"/>
      <c r="VJF114" s="17"/>
      <c r="VJG114" s="17"/>
      <c r="VJH114" s="17"/>
      <c r="VJI114" s="17"/>
      <c r="VJJ114" s="17"/>
      <c r="VJK114" s="17"/>
      <c r="VJL114" s="17"/>
      <c r="VJM114" s="17"/>
      <c r="VJN114" s="17"/>
      <c r="VJO114" s="17"/>
      <c r="VJP114" s="17"/>
      <c r="VJQ114" s="17"/>
      <c r="VJR114" s="17"/>
      <c r="VJS114" s="17"/>
      <c r="VJT114" s="17"/>
      <c r="VJU114" s="17"/>
      <c r="VJV114" s="17"/>
      <c r="VJW114" s="17"/>
      <c r="VJX114" s="17"/>
      <c r="VJY114" s="17"/>
      <c r="VJZ114" s="17"/>
      <c r="VKA114" s="17"/>
      <c r="VKB114" s="17"/>
      <c r="VKC114" s="17"/>
      <c r="VKD114" s="17"/>
      <c r="VKE114" s="17"/>
      <c r="VKF114" s="17"/>
      <c r="VKG114" s="17"/>
      <c r="VKH114" s="17"/>
      <c r="VKI114" s="17"/>
      <c r="VKJ114" s="17"/>
      <c r="VKK114" s="17"/>
      <c r="VKL114" s="17"/>
      <c r="VKM114" s="17"/>
      <c r="VKN114" s="17"/>
      <c r="VKO114" s="17"/>
      <c r="VKP114" s="17"/>
      <c r="VKQ114" s="17"/>
      <c r="VKR114" s="17"/>
      <c r="VKS114" s="17"/>
      <c r="VKT114" s="17"/>
      <c r="VKU114" s="17"/>
      <c r="VKV114" s="17"/>
      <c r="VKW114" s="17"/>
      <c r="VKX114" s="17"/>
      <c r="VKY114" s="17"/>
      <c r="VKZ114" s="17"/>
      <c r="VLA114" s="17"/>
      <c r="VLB114" s="17"/>
      <c r="VLC114" s="17"/>
      <c r="VLD114" s="17"/>
      <c r="VLE114" s="17"/>
      <c r="VLF114" s="17"/>
      <c r="VLG114" s="17"/>
      <c r="VLH114" s="17"/>
      <c r="VLI114" s="17"/>
      <c r="VLJ114" s="17"/>
      <c r="VLK114" s="17"/>
      <c r="VLL114" s="17"/>
      <c r="VLM114" s="17"/>
      <c r="VLN114" s="17"/>
      <c r="VLO114" s="17"/>
      <c r="VLP114" s="17"/>
      <c r="VLQ114" s="17"/>
      <c r="VLR114" s="17"/>
      <c r="VLS114" s="17"/>
      <c r="VLT114" s="17"/>
      <c r="VLU114" s="17"/>
      <c r="VLV114" s="17"/>
      <c r="VLW114" s="17"/>
      <c r="VLX114" s="17"/>
      <c r="VLY114" s="17"/>
      <c r="VLZ114" s="17"/>
      <c r="VMA114" s="17"/>
      <c r="VMB114" s="17"/>
      <c r="VMC114" s="17"/>
      <c r="VMD114" s="17"/>
      <c r="VME114" s="17"/>
      <c r="VMF114" s="17"/>
      <c r="VMG114" s="17"/>
      <c r="VMH114" s="17"/>
      <c r="VMI114" s="17"/>
      <c r="VMJ114" s="17"/>
      <c r="VMK114" s="17"/>
      <c r="VML114" s="17"/>
      <c r="VMM114" s="17"/>
      <c r="VMN114" s="17"/>
      <c r="VMO114" s="17"/>
      <c r="VMP114" s="17"/>
      <c r="VMQ114" s="17"/>
      <c r="VMR114" s="17"/>
      <c r="VMS114" s="17"/>
      <c r="VMT114" s="17"/>
      <c r="VMU114" s="17"/>
      <c r="VMV114" s="17"/>
      <c r="VMW114" s="17"/>
      <c r="VMX114" s="17"/>
      <c r="VMY114" s="17"/>
      <c r="VMZ114" s="17"/>
      <c r="VNA114" s="17"/>
      <c r="VNB114" s="17"/>
      <c r="VNC114" s="17"/>
      <c r="VND114" s="17"/>
      <c r="VNE114" s="17"/>
      <c r="VNF114" s="17"/>
      <c r="VNG114" s="17"/>
      <c r="VNH114" s="17"/>
      <c r="VNI114" s="17"/>
      <c r="VNJ114" s="17"/>
      <c r="VNK114" s="17"/>
      <c r="VNL114" s="17"/>
      <c r="VNM114" s="17"/>
      <c r="VNN114" s="17"/>
      <c r="VNO114" s="17"/>
      <c r="VNP114" s="17"/>
      <c r="VNQ114" s="17"/>
      <c r="VNR114" s="17"/>
      <c r="VNS114" s="17"/>
      <c r="VNT114" s="17"/>
      <c r="VNU114" s="17"/>
      <c r="VNV114" s="17"/>
      <c r="VNW114" s="17"/>
      <c r="VNX114" s="17"/>
      <c r="VNY114" s="17"/>
      <c r="VNZ114" s="17"/>
      <c r="VOA114" s="17"/>
      <c r="VOB114" s="17"/>
      <c r="VOC114" s="17"/>
      <c r="VOD114" s="17"/>
      <c r="VOE114" s="17"/>
      <c r="VOF114" s="17"/>
      <c r="VOG114" s="17"/>
      <c r="VOH114" s="17"/>
      <c r="VOI114" s="17"/>
      <c r="VOJ114" s="17"/>
      <c r="VOK114" s="17"/>
      <c r="VOL114" s="17"/>
      <c r="VOM114" s="17"/>
      <c r="VON114" s="17"/>
      <c r="VOO114" s="17"/>
      <c r="VOP114" s="17"/>
      <c r="VOQ114" s="17"/>
      <c r="VOR114" s="17"/>
      <c r="VOS114" s="17"/>
      <c r="VOT114" s="17"/>
      <c r="VOU114" s="17"/>
      <c r="VOV114" s="17"/>
      <c r="VOW114" s="17"/>
      <c r="VOX114" s="17"/>
      <c r="VOY114" s="17"/>
      <c r="VOZ114" s="17"/>
      <c r="VPA114" s="17"/>
      <c r="VPB114" s="17"/>
      <c r="VPC114" s="17"/>
      <c r="VPD114" s="17"/>
      <c r="VPE114" s="17"/>
      <c r="VPF114" s="17"/>
      <c r="VPG114" s="17"/>
      <c r="VPH114" s="17"/>
      <c r="VPI114" s="17"/>
      <c r="VPJ114" s="17"/>
      <c r="VPK114" s="17"/>
      <c r="VPL114" s="17"/>
      <c r="VPM114" s="17"/>
      <c r="VPN114" s="17"/>
      <c r="VPO114" s="17"/>
      <c r="VPP114" s="17"/>
      <c r="VPQ114" s="17"/>
      <c r="VPR114" s="17"/>
      <c r="VPS114" s="17"/>
      <c r="VPT114" s="17"/>
      <c r="VPU114" s="17"/>
      <c r="VPV114" s="17"/>
      <c r="VPW114" s="17"/>
      <c r="VPX114" s="17"/>
      <c r="VPY114" s="17"/>
      <c r="VPZ114" s="17"/>
      <c r="VQA114" s="17"/>
      <c r="VQB114" s="17"/>
      <c r="VQC114" s="17"/>
      <c r="VQD114" s="17"/>
      <c r="VQE114" s="17"/>
      <c r="VQF114" s="17"/>
      <c r="VQG114" s="17"/>
      <c r="VQH114" s="17"/>
      <c r="VQI114" s="17"/>
      <c r="VQJ114" s="17"/>
      <c r="VQK114" s="17"/>
      <c r="VQL114" s="17"/>
      <c r="VQM114" s="17"/>
      <c r="VQN114" s="17"/>
      <c r="VQO114" s="17"/>
      <c r="VQP114" s="17"/>
      <c r="VQQ114" s="17"/>
      <c r="VQR114" s="17"/>
      <c r="VQS114" s="17"/>
      <c r="VQT114" s="17"/>
      <c r="VQU114" s="17"/>
      <c r="VQV114" s="17"/>
      <c r="VQW114" s="17"/>
      <c r="VQX114" s="17"/>
      <c r="VQY114" s="17"/>
      <c r="VQZ114" s="17"/>
      <c r="VRA114" s="17"/>
      <c r="VRB114" s="17"/>
      <c r="VRC114" s="17"/>
      <c r="VRD114" s="17"/>
      <c r="VRE114" s="17"/>
      <c r="VRF114" s="17"/>
      <c r="VRG114" s="17"/>
      <c r="VRH114" s="17"/>
      <c r="VRI114" s="17"/>
      <c r="VRJ114" s="17"/>
      <c r="VRK114" s="17"/>
      <c r="VRL114" s="17"/>
      <c r="VRM114" s="17"/>
      <c r="VRN114" s="17"/>
      <c r="VRO114" s="17"/>
      <c r="VRP114" s="17"/>
      <c r="VRQ114" s="17"/>
      <c r="VRR114" s="17"/>
      <c r="VRS114" s="17"/>
      <c r="VRT114" s="17"/>
      <c r="VRU114" s="17"/>
      <c r="VRV114" s="17"/>
      <c r="VRW114" s="17"/>
      <c r="VRX114" s="17"/>
      <c r="VRY114" s="17"/>
      <c r="VRZ114" s="17"/>
      <c r="VSA114" s="17"/>
      <c r="VSB114" s="17"/>
      <c r="VSC114" s="17"/>
      <c r="VSD114" s="17"/>
      <c r="VSE114" s="17"/>
      <c r="VSF114" s="17"/>
      <c r="VSG114" s="17"/>
      <c r="VSH114" s="17"/>
      <c r="VSI114" s="17"/>
      <c r="VSJ114" s="17"/>
      <c r="VSK114" s="17"/>
      <c r="VSL114" s="17"/>
      <c r="VSM114" s="17"/>
      <c r="VSN114" s="17"/>
      <c r="VSO114" s="17"/>
      <c r="VSP114" s="17"/>
      <c r="VSQ114" s="17"/>
      <c r="VSR114" s="17"/>
      <c r="VSS114" s="17"/>
      <c r="VST114" s="17"/>
      <c r="VSU114" s="17"/>
      <c r="VSV114" s="17"/>
      <c r="VSW114" s="17"/>
      <c r="VSX114" s="17"/>
      <c r="VSY114" s="17"/>
      <c r="VSZ114" s="17"/>
      <c r="VTA114" s="17"/>
      <c r="VTB114" s="17"/>
      <c r="VTC114" s="17"/>
      <c r="VTD114" s="17"/>
      <c r="VTE114" s="17"/>
      <c r="VTF114" s="17"/>
      <c r="VTG114" s="17"/>
      <c r="VTH114" s="17"/>
      <c r="VTI114" s="17"/>
      <c r="VTJ114" s="17"/>
      <c r="VTK114" s="17"/>
      <c r="VTL114" s="17"/>
      <c r="VTM114" s="17"/>
      <c r="VTN114" s="17"/>
      <c r="VTO114" s="17"/>
      <c r="VTP114" s="17"/>
      <c r="VTQ114" s="17"/>
      <c r="VTR114" s="17"/>
      <c r="VTS114" s="17"/>
      <c r="VTT114" s="17"/>
      <c r="VTU114" s="17"/>
      <c r="VTV114" s="17"/>
      <c r="VTW114" s="17"/>
      <c r="VTX114" s="17"/>
      <c r="VTY114" s="17"/>
      <c r="VTZ114" s="17"/>
      <c r="VUA114" s="17"/>
      <c r="VUB114" s="17"/>
      <c r="VUC114" s="17"/>
      <c r="VUD114" s="17"/>
      <c r="VUE114" s="17"/>
      <c r="VUF114" s="17"/>
      <c r="VUG114" s="17"/>
      <c r="VUH114" s="17"/>
      <c r="VUI114" s="17"/>
      <c r="VUJ114" s="17"/>
      <c r="VUK114" s="17"/>
      <c r="VUL114" s="17"/>
      <c r="VUM114" s="17"/>
      <c r="VUN114" s="17"/>
      <c r="VUO114" s="17"/>
      <c r="VUP114" s="17"/>
      <c r="VUQ114" s="17"/>
      <c r="VUR114" s="17"/>
      <c r="VUS114" s="17"/>
      <c r="VUT114" s="17"/>
      <c r="VUU114" s="17"/>
      <c r="VUV114" s="17"/>
      <c r="VUW114" s="17"/>
      <c r="VUX114" s="17"/>
      <c r="VUY114" s="17"/>
      <c r="VUZ114" s="17"/>
      <c r="VVA114" s="17"/>
      <c r="VVB114" s="17"/>
      <c r="VVC114" s="17"/>
      <c r="VVD114" s="17"/>
      <c r="VVE114" s="17"/>
      <c r="VVF114" s="17"/>
      <c r="VVG114" s="17"/>
      <c r="VVH114" s="17"/>
      <c r="VVI114" s="17"/>
      <c r="VVJ114" s="17"/>
      <c r="VVK114" s="17"/>
      <c r="VVL114" s="17"/>
      <c r="VVM114" s="17"/>
      <c r="VVN114" s="17"/>
      <c r="VVO114" s="17"/>
      <c r="VVP114" s="17"/>
      <c r="VVQ114" s="17"/>
      <c r="VVR114" s="17"/>
      <c r="VVS114" s="17"/>
      <c r="VVT114" s="17"/>
      <c r="VVU114" s="17"/>
      <c r="VVV114" s="17"/>
      <c r="VVW114" s="17"/>
      <c r="VVX114" s="17"/>
      <c r="VVY114" s="17"/>
      <c r="VVZ114" s="17"/>
      <c r="VWA114" s="17"/>
      <c r="VWB114" s="17"/>
      <c r="VWC114" s="17"/>
      <c r="VWD114" s="17"/>
      <c r="VWE114" s="17"/>
      <c r="VWF114" s="17"/>
      <c r="VWG114" s="17"/>
      <c r="VWH114" s="17"/>
      <c r="VWI114" s="17"/>
      <c r="VWJ114" s="17"/>
      <c r="VWK114" s="17"/>
      <c r="VWL114" s="17"/>
      <c r="VWM114" s="17"/>
      <c r="VWN114" s="17"/>
      <c r="VWO114" s="17"/>
      <c r="VWP114" s="17"/>
      <c r="VWQ114" s="17"/>
      <c r="VWR114" s="17"/>
      <c r="VWS114" s="17"/>
      <c r="VWT114" s="17"/>
      <c r="VWU114" s="17"/>
      <c r="VWV114" s="17"/>
      <c r="VWW114" s="17"/>
      <c r="VWX114" s="17"/>
      <c r="VWY114" s="17"/>
      <c r="VWZ114" s="17"/>
      <c r="VXA114" s="17"/>
      <c r="VXB114" s="17"/>
      <c r="VXC114" s="17"/>
      <c r="VXD114" s="17"/>
      <c r="VXE114" s="17"/>
      <c r="VXF114" s="17"/>
      <c r="VXG114" s="17"/>
      <c r="VXH114" s="17"/>
      <c r="VXI114" s="17"/>
      <c r="VXJ114" s="17"/>
      <c r="VXK114" s="17"/>
      <c r="VXL114" s="17"/>
      <c r="VXM114" s="17"/>
      <c r="VXN114" s="17"/>
      <c r="VXO114" s="17"/>
      <c r="VXP114" s="17"/>
      <c r="VXQ114" s="17"/>
      <c r="VXR114" s="17"/>
      <c r="VXS114" s="17"/>
      <c r="VXT114" s="17"/>
      <c r="VXU114" s="17"/>
      <c r="VXV114" s="17"/>
      <c r="VXW114" s="17"/>
      <c r="VXX114" s="17"/>
      <c r="VXY114" s="17"/>
      <c r="VXZ114" s="17"/>
      <c r="VYA114" s="17"/>
      <c r="VYB114" s="17"/>
      <c r="VYC114" s="17"/>
      <c r="VYD114" s="17"/>
      <c r="VYE114" s="17"/>
      <c r="VYF114" s="17"/>
      <c r="VYG114" s="17"/>
      <c r="VYH114" s="17"/>
      <c r="VYI114" s="17"/>
      <c r="VYJ114" s="17"/>
      <c r="VYK114" s="17"/>
      <c r="VYL114" s="17"/>
      <c r="VYM114" s="17"/>
      <c r="VYN114" s="17"/>
      <c r="VYO114" s="17"/>
      <c r="VYP114" s="17"/>
      <c r="VYQ114" s="17"/>
      <c r="VYR114" s="17"/>
      <c r="VYS114" s="17"/>
      <c r="VYT114" s="17"/>
      <c r="VYU114" s="17"/>
      <c r="VYV114" s="17"/>
      <c r="VYW114" s="17"/>
      <c r="VYX114" s="17"/>
      <c r="VYY114" s="17"/>
      <c r="VYZ114" s="17"/>
      <c r="VZA114" s="17"/>
      <c r="VZB114" s="17"/>
      <c r="VZC114" s="17"/>
      <c r="VZD114" s="17"/>
      <c r="VZE114" s="17"/>
      <c r="VZF114" s="17"/>
      <c r="VZG114" s="17"/>
      <c r="VZH114" s="17"/>
      <c r="VZI114" s="17"/>
      <c r="VZJ114" s="17"/>
      <c r="VZK114" s="17"/>
      <c r="VZL114" s="17"/>
      <c r="VZM114" s="17"/>
      <c r="VZN114" s="17"/>
      <c r="VZO114" s="17"/>
      <c r="VZP114" s="17"/>
      <c r="VZQ114" s="17"/>
      <c r="VZR114" s="17"/>
      <c r="VZS114" s="17"/>
      <c r="VZT114" s="17"/>
      <c r="VZU114" s="17"/>
      <c r="VZV114" s="17"/>
      <c r="VZW114" s="17"/>
      <c r="VZX114" s="17"/>
      <c r="VZY114" s="17"/>
      <c r="VZZ114" s="17"/>
      <c r="WAA114" s="17"/>
      <c r="WAB114" s="17"/>
      <c r="WAC114" s="17"/>
      <c r="WAD114" s="17"/>
      <c r="WAE114" s="17"/>
      <c r="WAF114" s="17"/>
      <c r="WAG114" s="17"/>
      <c r="WAH114" s="17"/>
      <c r="WAI114" s="17"/>
      <c r="WAJ114" s="17"/>
      <c r="WAK114" s="17"/>
      <c r="WAL114" s="17"/>
      <c r="WAM114" s="17"/>
      <c r="WAN114" s="17"/>
      <c r="WAO114" s="17"/>
      <c r="WAP114" s="17"/>
      <c r="WAQ114" s="17"/>
      <c r="WAR114" s="17"/>
      <c r="WAS114" s="17"/>
      <c r="WAT114" s="17"/>
      <c r="WAU114" s="17"/>
      <c r="WAV114" s="17"/>
      <c r="WAW114" s="17"/>
      <c r="WAX114" s="17"/>
      <c r="WAY114" s="17"/>
      <c r="WAZ114" s="17"/>
      <c r="WBA114" s="17"/>
      <c r="WBB114" s="17"/>
      <c r="WBC114" s="17"/>
      <c r="WBD114" s="17"/>
      <c r="WBE114" s="17"/>
      <c r="WBF114" s="17"/>
      <c r="WBG114" s="17"/>
      <c r="WBH114" s="17"/>
      <c r="WBI114" s="17"/>
      <c r="WBJ114" s="17"/>
      <c r="WBK114" s="17"/>
      <c r="WBL114" s="17"/>
      <c r="WBM114" s="17"/>
      <c r="WBN114" s="17"/>
      <c r="WBO114" s="17"/>
      <c r="WBP114" s="17"/>
      <c r="WBQ114" s="17"/>
      <c r="WBR114" s="17"/>
      <c r="WBS114" s="17"/>
      <c r="WBT114" s="17"/>
      <c r="WBU114" s="17"/>
      <c r="WBV114" s="17"/>
      <c r="WBW114" s="17"/>
      <c r="WBX114" s="17"/>
      <c r="WBY114" s="17"/>
      <c r="WBZ114" s="17"/>
      <c r="WCA114" s="17"/>
      <c r="WCB114" s="17"/>
      <c r="WCC114" s="17"/>
      <c r="WCD114" s="17"/>
      <c r="WCE114" s="17"/>
      <c r="WCF114" s="17"/>
      <c r="WCG114" s="17"/>
      <c r="WCH114" s="17"/>
      <c r="WCI114" s="17"/>
      <c r="WCJ114" s="17"/>
      <c r="WCK114" s="17"/>
      <c r="WCL114" s="17"/>
      <c r="WCM114" s="17"/>
      <c r="WCN114" s="17"/>
      <c r="WCO114" s="17"/>
      <c r="WCP114" s="17"/>
      <c r="WCQ114" s="17"/>
      <c r="WCR114" s="17"/>
      <c r="WCS114" s="17"/>
      <c r="WCT114" s="17"/>
      <c r="WCU114" s="17"/>
      <c r="WCV114" s="17"/>
      <c r="WCW114" s="17"/>
      <c r="WCX114" s="17"/>
      <c r="WCY114" s="17"/>
      <c r="WCZ114" s="17"/>
      <c r="WDA114" s="17"/>
      <c r="WDB114" s="17"/>
      <c r="WDC114" s="17"/>
      <c r="WDD114" s="17"/>
      <c r="WDE114" s="17"/>
      <c r="WDF114" s="17"/>
      <c r="WDG114" s="17"/>
      <c r="WDH114" s="17"/>
      <c r="WDI114" s="17"/>
      <c r="WDJ114" s="17"/>
      <c r="WDK114" s="17"/>
      <c r="WDL114" s="17"/>
      <c r="WDM114" s="17"/>
      <c r="WDN114" s="17"/>
      <c r="WDO114" s="17"/>
      <c r="WDP114" s="17"/>
      <c r="WDQ114" s="17"/>
      <c r="WDR114" s="17"/>
      <c r="WDS114" s="17"/>
      <c r="WDT114" s="17"/>
      <c r="WDU114" s="17"/>
      <c r="WDV114" s="17"/>
      <c r="WDW114" s="17"/>
      <c r="WDX114" s="17"/>
      <c r="WDY114" s="17"/>
      <c r="WDZ114" s="17"/>
      <c r="WEA114" s="17"/>
      <c r="WEB114" s="17"/>
      <c r="WEC114" s="17"/>
      <c r="WED114" s="17"/>
      <c r="WEE114" s="17"/>
      <c r="WEF114" s="17"/>
      <c r="WEG114" s="17"/>
      <c r="WEH114" s="17"/>
      <c r="WEI114" s="17"/>
      <c r="WEJ114" s="17"/>
      <c r="WEK114" s="17"/>
      <c r="WEL114" s="17"/>
      <c r="WEM114" s="17"/>
      <c r="WEN114" s="17"/>
      <c r="WEO114" s="17"/>
      <c r="WEP114" s="17"/>
      <c r="WEQ114" s="17"/>
      <c r="WER114" s="17"/>
      <c r="WES114" s="17"/>
      <c r="WET114" s="17"/>
      <c r="WEU114" s="17"/>
      <c r="WEV114" s="17"/>
      <c r="WEW114" s="17"/>
      <c r="WEX114" s="17"/>
      <c r="WEY114" s="17"/>
      <c r="WEZ114" s="17"/>
      <c r="WFA114" s="17"/>
      <c r="WFB114" s="17"/>
      <c r="WFC114" s="17"/>
      <c r="WFD114" s="17"/>
      <c r="WFE114" s="17"/>
      <c r="WFF114" s="17"/>
      <c r="WFG114" s="17"/>
      <c r="WFH114" s="17"/>
      <c r="WFI114" s="17"/>
      <c r="WFJ114" s="17"/>
      <c r="WFK114" s="17"/>
      <c r="WFL114" s="17"/>
      <c r="WFM114" s="17"/>
      <c r="WFN114" s="17"/>
      <c r="WFO114" s="17"/>
      <c r="WFP114" s="17"/>
      <c r="WFQ114" s="17"/>
      <c r="WFR114" s="17"/>
      <c r="WFS114" s="17"/>
      <c r="WFT114" s="17"/>
      <c r="WFU114" s="17"/>
      <c r="WFV114" s="17"/>
      <c r="WFW114" s="17"/>
      <c r="WFX114" s="17"/>
      <c r="WFY114" s="17"/>
      <c r="WFZ114" s="17"/>
      <c r="WGA114" s="17"/>
      <c r="WGB114" s="17"/>
      <c r="WGC114" s="17"/>
      <c r="WGD114" s="17"/>
      <c r="WGE114" s="17"/>
      <c r="WGF114" s="17"/>
      <c r="WGG114" s="17"/>
      <c r="WGH114" s="17"/>
      <c r="WGI114" s="17"/>
      <c r="WGJ114" s="17"/>
      <c r="WGK114" s="17"/>
      <c r="WGL114" s="17"/>
      <c r="WGM114" s="17"/>
      <c r="WGN114" s="17"/>
      <c r="WGO114" s="17"/>
      <c r="WGP114" s="17"/>
      <c r="WGQ114" s="17"/>
      <c r="WGR114" s="17"/>
      <c r="WGS114" s="17"/>
      <c r="WGT114" s="17"/>
      <c r="WGU114" s="17"/>
      <c r="WGV114" s="17"/>
      <c r="WGW114" s="17"/>
      <c r="WGX114" s="17"/>
      <c r="WGY114" s="17"/>
      <c r="WGZ114" s="17"/>
      <c r="WHA114" s="17"/>
      <c r="WHB114" s="17"/>
      <c r="WHC114" s="17"/>
      <c r="WHD114" s="17"/>
      <c r="WHE114" s="17"/>
      <c r="WHF114" s="17"/>
      <c r="WHG114" s="17"/>
      <c r="WHH114" s="17"/>
      <c r="WHI114" s="17"/>
      <c r="WHJ114" s="17"/>
      <c r="WHK114" s="17"/>
      <c r="WHL114" s="17"/>
      <c r="WHM114" s="17"/>
      <c r="WHN114" s="17"/>
      <c r="WHO114" s="17"/>
      <c r="WHP114" s="17"/>
      <c r="WHQ114" s="17"/>
      <c r="WHR114" s="17"/>
      <c r="WHS114" s="17"/>
      <c r="WHT114" s="17"/>
      <c r="WHU114" s="17"/>
      <c r="WHV114" s="17"/>
      <c r="WHW114" s="17"/>
      <c r="WHX114" s="17"/>
      <c r="WHY114" s="17"/>
      <c r="WHZ114" s="17"/>
      <c r="WIA114" s="17"/>
      <c r="WIB114" s="17"/>
      <c r="WIC114" s="17"/>
      <c r="WID114" s="17"/>
      <c r="WIE114" s="17"/>
      <c r="WIF114" s="17"/>
      <c r="WIG114" s="17"/>
      <c r="WIH114" s="17"/>
      <c r="WII114" s="17"/>
      <c r="WIJ114" s="17"/>
      <c r="WIK114" s="17"/>
      <c r="WIL114" s="17"/>
      <c r="WIM114" s="17"/>
      <c r="WIN114" s="17"/>
      <c r="WIO114" s="17"/>
      <c r="WIP114" s="17"/>
      <c r="WIQ114" s="17"/>
      <c r="WIR114" s="17"/>
      <c r="WIS114" s="17"/>
      <c r="WIT114" s="17"/>
      <c r="WIU114" s="17"/>
      <c r="WIV114" s="17"/>
      <c r="WIW114" s="17"/>
      <c r="WIX114" s="17"/>
      <c r="WIY114" s="17"/>
      <c r="WIZ114" s="17"/>
      <c r="WJA114" s="17"/>
      <c r="WJB114" s="17"/>
      <c r="WJC114" s="17"/>
      <c r="WJD114" s="17"/>
      <c r="WJE114" s="17"/>
      <c r="WJF114" s="17"/>
      <c r="WJG114" s="17"/>
      <c r="WJH114" s="17"/>
      <c r="WJI114" s="17"/>
      <c r="WJJ114" s="17"/>
      <c r="WJK114" s="17"/>
      <c r="WJL114" s="17"/>
      <c r="WJM114" s="17"/>
      <c r="WJN114" s="17"/>
      <c r="WJO114" s="17"/>
      <c r="WJP114" s="17"/>
      <c r="WJQ114" s="17"/>
      <c r="WJR114" s="17"/>
      <c r="WJS114" s="17"/>
      <c r="WJT114" s="17"/>
      <c r="WJU114" s="17"/>
      <c r="WJV114" s="17"/>
      <c r="WJW114" s="17"/>
      <c r="WJX114" s="17"/>
      <c r="WJY114" s="17"/>
      <c r="WJZ114" s="17"/>
      <c r="WKA114" s="17"/>
      <c r="WKB114" s="17"/>
      <c r="WKC114" s="17"/>
      <c r="WKD114" s="17"/>
      <c r="WKE114" s="17"/>
      <c r="WKF114" s="17"/>
      <c r="WKG114" s="17"/>
      <c r="WKH114" s="17"/>
      <c r="WKI114" s="17"/>
      <c r="WKJ114" s="17"/>
      <c r="WKK114" s="17"/>
      <c r="WKL114" s="17"/>
      <c r="WKM114" s="17"/>
      <c r="WKN114" s="17"/>
      <c r="WKO114" s="17"/>
      <c r="WKP114" s="17"/>
      <c r="WKQ114" s="17"/>
      <c r="WKR114" s="17"/>
      <c r="WKS114" s="17"/>
      <c r="WKT114" s="17"/>
      <c r="WKU114" s="17"/>
      <c r="WKV114" s="17"/>
      <c r="WKW114" s="17"/>
      <c r="WKX114" s="17"/>
      <c r="WKY114" s="17"/>
      <c r="WKZ114" s="17"/>
      <c r="WLA114" s="17"/>
      <c r="WLB114" s="17"/>
      <c r="WLC114" s="17"/>
      <c r="WLD114" s="17"/>
      <c r="WLE114" s="17"/>
      <c r="WLF114" s="17"/>
      <c r="WLG114" s="17"/>
      <c r="WLH114" s="17"/>
      <c r="WLI114" s="17"/>
      <c r="WLJ114" s="17"/>
      <c r="WLK114" s="17"/>
      <c r="WLL114" s="17"/>
      <c r="WLM114" s="17"/>
      <c r="WLN114" s="17"/>
      <c r="WLO114" s="17"/>
      <c r="WLP114" s="17"/>
      <c r="WLQ114" s="17"/>
      <c r="WLR114" s="17"/>
      <c r="WLS114" s="17"/>
      <c r="WLT114" s="17"/>
      <c r="WLU114" s="17"/>
      <c r="WLV114" s="17"/>
      <c r="WLW114" s="17"/>
      <c r="WLX114" s="17"/>
      <c r="WLY114" s="17"/>
      <c r="WLZ114" s="17"/>
      <c r="WMA114" s="17"/>
      <c r="WMB114" s="17"/>
      <c r="WMC114" s="17"/>
      <c r="WMD114" s="17"/>
      <c r="WME114" s="17"/>
      <c r="WMF114" s="17"/>
      <c r="WMG114" s="17"/>
      <c r="WMH114" s="17"/>
      <c r="WMI114" s="17"/>
      <c r="WMJ114" s="17"/>
      <c r="WMK114" s="17"/>
      <c r="WML114" s="17"/>
      <c r="WMM114" s="17"/>
      <c r="WMN114" s="17"/>
      <c r="WMO114" s="17"/>
      <c r="WMP114" s="17"/>
      <c r="WMQ114" s="17"/>
      <c r="WMR114" s="17"/>
      <c r="WMS114" s="17"/>
      <c r="WMT114" s="17"/>
      <c r="WMU114" s="17"/>
      <c r="WMV114" s="17"/>
      <c r="WMW114" s="17"/>
      <c r="WMX114" s="17"/>
      <c r="WMY114" s="17"/>
      <c r="WMZ114" s="17"/>
      <c r="WNA114" s="17"/>
      <c r="WNB114" s="17"/>
      <c r="WNC114" s="17"/>
      <c r="WND114" s="17"/>
      <c r="WNE114" s="17"/>
      <c r="WNF114" s="17"/>
      <c r="WNG114" s="17"/>
      <c r="WNH114" s="17"/>
      <c r="WNI114" s="17"/>
      <c r="WNJ114" s="17"/>
      <c r="WNK114" s="17"/>
      <c r="WNL114" s="17"/>
      <c r="WNM114" s="17"/>
      <c r="WNN114" s="17"/>
      <c r="WNO114" s="17"/>
      <c r="WNP114" s="17"/>
      <c r="WNQ114" s="17"/>
      <c r="WNR114" s="17"/>
      <c r="WNS114" s="17"/>
      <c r="WNT114" s="17"/>
      <c r="WNU114" s="17"/>
      <c r="WNV114" s="17"/>
      <c r="WNW114" s="17"/>
      <c r="WNX114" s="17"/>
      <c r="WNY114" s="17"/>
      <c r="WNZ114" s="17"/>
      <c r="WOA114" s="17"/>
      <c r="WOB114" s="17"/>
      <c r="WOC114" s="17"/>
      <c r="WOD114" s="17"/>
      <c r="WOE114" s="17"/>
      <c r="WOF114" s="17"/>
      <c r="WOG114" s="17"/>
      <c r="WOH114" s="17"/>
      <c r="WOI114" s="17"/>
      <c r="WOJ114" s="17"/>
      <c r="WOK114" s="17"/>
      <c r="WOL114" s="17"/>
      <c r="WOM114" s="17"/>
      <c r="WON114" s="17"/>
      <c r="WOO114" s="17"/>
      <c r="WOP114" s="17"/>
      <c r="WOQ114" s="17"/>
      <c r="WOR114" s="17"/>
      <c r="WOS114" s="17"/>
      <c r="WOT114" s="17"/>
      <c r="WOU114" s="17"/>
      <c r="WOV114" s="17"/>
      <c r="WOW114" s="17"/>
      <c r="WOX114" s="17"/>
      <c r="WOY114" s="17"/>
      <c r="WOZ114" s="17"/>
      <c r="WPA114" s="17"/>
      <c r="WPB114" s="17"/>
      <c r="WPC114" s="17"/>
      <c r="WPD114" s="17"/>
      <c r="WPE114" s="17"/>
      <c r="WPF114" s="17"/>
      <c r="WPG114" s="17"/>
      <c r="WPH114" s="17"/>
      <c r="WPI114" s="17"/>
      <c r="WPJ114" s="17"/>
      <c r="WPK114" s="17"/>
      <c r="WPL114" s="17"/>
      <c r="WPM114" s="17"/>
      <c r="WPN114" s="17"/>
      <c r="WPO114" s="17"/>
      <c r="WPP114" s="17"/>
      <c r="WPQ114" s="17"/>
      <c r="WPR114" s="17"/>
      <c r="WPS114" s="17"/>
      <c r="WPT114" s="17"/>
      <c r="WPU114" s="17"/>
      <c r="WPV114" s="17"/>
      <c r="WPW114" s="17"/>
      <c r="WPX114" s="17"/>
      <c r="WPY114" s="17"/>
      <c r="WPZ114" s="17"/>
      <c r="WQA114" s="17"/>
      <c r="WQB114" s="17"/>
      <c r="WQC114" s="17"/>
      <c r="WQD114" s="17"/>
      <c r="WQE114" s="17"/>
      <c r="WQF114" s="17"/>
      <c r="WQG114" s="17"/>
      <c r="WQH114" s="17"/>
      <c r="WQI114" s="17"/>
      <c r="WQJ114" s="17"/>
      <c r="WQK114" s="17"/>
      <c r="WQL114" s="17"/>
      <c r="WQM114" s="17"/>
      <c r="WQN114" s="17"/>
      <c r="WQO114" s="17"/>
      <c r="WQP114" s="17"/>
      <c r="WQQ114" s="17"/>
      <c r="WQR114" s="17"/>
      <c r="WQS114" s="17"/>
      <c r="WQT114" s="17"/>
      <c r="WQU114" s="17"/>
      <c r="WQV114" s="17"/>
      <c r="WQW114" s="17"/>
      <c r="WQX114" s="17"/>
      <c r="WQY114" s="17"/>
      <c r="WQZ114" s="17"/>
      <c r="WRA114" s="17"/>
      <c r="WRB114" s="17"/>
      <c r="WRC114" s="17"/>
      <c r="WRD114" s="17"/>
      <c r="WRE114" s="17"/>
      <c r="WRF114" s="17"/>
      <c r="WRG114" s="17"/>
      <c r="WRH114" s="17"/>
      <c r="WRI114" s="17"/>
      <c r="WRJ114" s="17"/>
      <c r="WRK114" s="17"/>
      <c r="WRL114" s="17"/>
      <c r="WRM114" s="17"/>
      <c r="WRN114" s="17"/>
      <c r="WRO114" s="17"/>
      <c r="WRP114" s="17"/>
      <c r="WRQ114" s="17"/>
      <c r="WRR114" s="17"/>
      <c r="WRS114" s="17"/>
      <c r="WRT114" s="17"/>
      <c r="WRU114" s="17"/>
      <c r="WRV114" s="17"/>
      <c r="WRW114" s="17"/>
      <c r="WRX114" s="17"/>
      <c r="WRY114" s="17"/>
      <c r="WRZ114" s="17"/>
      <c r="WSA114" s="17"/>
      <c r="WSB114" s="17"/>
      <c r="WSC114" s="17"/>
      <c r="WSD114" s="17"/>
      <c r="WSE114" s="17"/>
      <c r="WSF114" s="17"/>
      <c r="WSG114" s="17"/>
      <c r="WSH114" s="17"/>
      <c r="WSI114" s="17"/>
      <c r="WSJ114" s="17"/>
      <c r="WSK114" s="17"/>
      <c r="WSL114" s="17"/>
      <c r="WSM114" s="17"/>
      <c r="WSN114" s="17"/>
      <c r="WSO114" s="17"/>
      <c r="WSP114" s="17"/>
      <c r="WSQ114" s="17"/>
      <c r="WSR114" s="17"/>
      <c r="WSS114" s="17"/>
      <c r="WST114" s="17"/>
      <c r="WSU114" s="17"/>
      <c r="WSV114" s="17"/>
      <c r="WSW114" s="17"/>
      <c r="WSX114" s="17"/>
      <c r="WSY114" s="17"/>
      <c r="WSZ114" s="17"/>
      <c r="WTA114" s="17"/>
      <c r="WTB114" s="17"/>
      <c r="WTC114" s="17"/>
      <c r="WTD114" s="17"/>
      <c r="WTE114" s="17"/>
      <c r="WTF114" s="17"/>
      <c r="WTG114" s="17"/>
      <c r="WTH114" s="17"/>
      <c r="WTI114" s="17"/>
      <c r="WTJ114" s="17"/>
      <c r="WTK114" s="17"/>
      <c r="WTL114" s="17"/>
      <c r="WTM114" s="17"/>
      <c r="WTN114" s="17"/>
      <c r="WTO114" s="17"/>
      <c r="WTP114" s="17"/>
      <c r="WTQ114" s="17"/>
      <c r="WTR114" s="17"/>
      <c r="WTS114" s="17"/>
      <c r="WTT114" s="17"/>
      <c r="WTU114" s="17"/>
      <c r="WTV114" s="17"/>
      <c r="WTW114" s="17"/>
      <c r="WTX114" s="17"/>
      <c r="WTY114" s="17"/>
      <c r="WTZ114" s="17"/>
      <c r="WUA114" s="17"/>
      <c r="WUB114" s="17"/>
      <c r="WUC114" s="17"/>
      <c r="WUD114" s="17"/>
      <c r="WUE114" s="17"/>
      <c r="WUF114" s="17"/>
      <c r="WUG114" s="17"/>
      <c r="WUH114" s="17"/>
      <c r="WUI114" s="17"/>
      <c r="WUJ114" s="17"/>
      <c r="WUK114" s="17"/>
      <c r="WUL114" s="17"/>
      <c r="WUM114" s="17"/>
      <c r="WUN114" s="17"/>
      <c r="WUO114" s="17"/>
      <c r="WUP114" s="17"/>
      <c r="WUQ114" s="17"/>
      <c r="WUR114" s="17"/>
      <c r="WUS114" s="17"/>
      <c r="WUT114" s="17"/>
      <c r="WUU114" s="17"/>
      <c r="WUV114" s="17"/>
      <c r="WUW114" s="17"/>
      <c r="WUX114" s="17"/>
      <c r="WUY114" s="17"/>
      <c r="WUZ114" s="17"/>
      <c r="WVA114" s="17"/>
      <c r="WVB114" s="17"/>
      <c r="WVC114" s="17"/>
      <c r="WVD114" s="17"/>
      <c r="WVE114" s="17"/>
      <c r="WVF114" s="17"/>
      <c r="WVG114" s="17"/>
      <c r="WVH114" s="17"/>
      <c r="WVI114" s="17"/>
      <c r="WVJ114" s="17"/>
      <c r="WVK114" s="17"/>
      <c r="WVL114" s="17"/>
      <c r="WVM114" s="17"/>
      <c r="WVN114" s="17"/>
      <c r="WVO114" s="17"/>
      <c r="WVP114" s="17"/>
      <c r="WVQ114" s="17"/>
      <c r="WVR114" s="17"/>
      <c r="WVS114" s="17"/>
      <c r="WVT114" s="17"/>
      <c r="WVU114" s="17"/>
      <c r="WVV114" s="17"/>
      <c r="WVW114" s="17"/>
      <c r="WVX114" s="17"/>
      <c r="WVY114" s="17"/>
      <c r="WVZ114" s="17"/>
      <c r="WWA114" s="17"/>
      <c r="WWB114" s="17"/>
      <c r="WWC114" s="17"/>
      <c r="WWD114" s="17"/>
      <c r="WWE114" s="17"/>
      <c r="WWF114" s="17"/>
      <c r="WWG114" s="17"/>
      <c r="WWH114" s="17"/>
      <c r="WWI114" s="17"/>
      <c r="WWJ114" s="17"/>
      <c r="WWK114" s="17"/>
      <c r="WWL114" s="17"/>
      <c r="WWM114" s="17"/>
      <c r="WWN114" s="17"/>
      <c r="WWO114" s="17"/>
      <c r="WWP114" s="17"/>
      <c r="WWQ114" s="17"/>
      <c r="WWR114" s="17"/>
      <c r="WWS114" s="17"/>
      <c r="WWT114" s="17"/>
      <c r="WWU114" s="17"/>
      <c r="WWV114" s="17"/>
      <c r="WWW114" s="17"/>
      <c r="WWX114" s="17"/>
      <c r="WWY114" s="17"/>
      <c r="WWZ114" s="17"/>
      <c r="WXA114" s="17"/>
      <c r="WXB114" s="17"/>
      <c r="WXC114" s="17"/>
      <c r="WXD114" s="17"/>
      <c r="WXE114" s="17"/>
      <c r="WXF114" s="17"/>
      <c r="WXG114" s="17"/>
      <c r="WXH114" s="17"/>
      <c r="WXI114" s="17"/>
      <c r="WXJ114" s="17"/>
      <c r="WXK114" s="17"/>
      <c r="WXL114" s="17"/>
      <c r="WXM114" s="17"/>
      <c r="WXN114" s="17"/>
      <c r="WXO114" s="17"/>
      <c r="WXP114" s="17"/>
      <c r="WXQ114" s="17"/>
      <c r="WXR114" s="17"/>
      <c r="WXS114" s="17"/>
      <c r="WXT114" s="17"/>
      <c r="WXU114" s="17"/>
      <c r="WXV114" s="17"/>
      <c r="WXW114" s="17"/>
      <c r="WXX114" s="17"/>
      <c r="WXY114" s="17"/>
      <c r="WXZ114" s="17"/>
      <c r="WYA114" s="17"/>
      <c r="WYB114" s="17"/>
      <c r="WYC114" s="17"/>
      <c r="WYD114" s="17"/>
      <c r="WYE114" s="17"/>
      <c r="WYF114" s="17"/>
      <c r="WYG114" s="17"/>
      <c r="WYH114" s="17"/>
      <c r="WYI114" s="17"/>
      <c r="WYJ114" s="17"/>
      <c r="WYK114" s="17"/>
      <c r="WYL114" s="17"/>
      <c r="WYM114" s="17"/>
      <c r="WYN114" s="17"/>
      <c r="WYO114" s="17"/>
      <c r="WYP114" s="17"/>
      <c r="WYQ114" s="17"/>
      <c r="WYR114" s="17"/>
      <c r="WYS114" s="17"/>
      <c r="WYT114" s="17"/>
      <c r="WYU114" s="17"/>
      <c r="WYV114" s="17"/>
      <c r="WYW114" s="17"/>
      <c r="WYX114" s="17"/>
      <c r="WYY114" s="17"/>
      <c r="WYZ114" s="17"/>
      <c r="WZA114" s="17"/>
      <c r="WZB114" s="17"/>
      <c r="WZC114" s="17"/>
      <c r="WZD114" s="17"/>
      <c r="WZE114" s="17"/>
      <c r="WZF114" s="17"/>
      <c r="WZG114" s="17"/>
      <c r="WZH114" s="17"/>
      <c r="WZI114" s="17"/>
      <c r="WZJ114" s="17"/>
      <c r="WZK114" s="17"/>
      <c r="WZL114" s="17"/>
      <c r="WZM114" s="17"/>
      <c r="WZN114" s="17"/>
      <c r="WZO114" s="17"/>
      <c r="WZP114" s="17"/>
      <c r="WZQ114" s="17"/>
      <c r="WZR114" s="17"/>
      <c r="WZS114" s="17"/>
      <c r="WZT114" s="17"/>
      <c r="WZU114" s="17"/>
      <c r="WZV114" s="17"/>
      <c r="WZW114" s="17"/>
      <c r="WZX114" s="17"/>
      <c r="WZY114" s="17"/>
      <c r="WZZ114" s="17"/>
      <c r="XAA114" s="17"/>
      <c r="XAB114" s="17"/>
      <c r="XAC114" s="17"/>
      <c r="XAD114" s="17"/>
      <c r="XAE114" s="17"/>
      <c r="XAF114" s="17"/>
      <c r="XAG114" s="17"/>
      <c r="XAH114" s="17"/>
      <c r="XAI114" s="17"/>
      <c r="XAJ114" s="17"/>
      <c r="XAK114" s="17"/>
      <c r="XAL114" s="17"/>
      <c r="XAM114" s="17"/>
      <c r="XAN114" s="17"/>
      <c r="XAO114" s="17"/>
      <c r="XAP114" s="17"/>
      <c r="XAQ114" s="17"/>
      <c r="XAR114" s="17"/>
      <c r="XAS114" s="17"/>
      <c r="XAT114" s="17"/>
      <c r="XAU114" s="17"/>
      <c r="XAV114" s="17"/>
      <c r="XAW114" s="17"/>
      <c r="XAX114" s="17"/>
      <c r="XAY114" s="17"/>
      <c r="XAZ114" s="17"/>
      <c r="XBA114" s="17"/>
      <c r="XBB114" s="17"/>
      <c r="XBC114" s="17"/>
      <c r="XBD114" s="17"/>
      <c r="XBE114" s="17"/>
      <c r="XBF114" s="17"/>
      <c r="XBG114" s="17"/>
      <c r="XBH114" s="17"/>
      <c r="XBI114" s="17"/>
      <c r="XBJ114" s="17"/>
      <c r="XBK114" s="17"/>
      <c r="XBL114" s="17"/>
      <c r="XBM114" s="17"/>
      <c r="XBN114" s="17"/>
      <c r="XBO114" s="17"/>
      <c r="XBP114" s="17"/>
      <c r="XBQ114" s="17"/>
      <c r="XBR114" s="17"/>
      <c r="XBS114" s="17"/>
      <c r="XBT114" s="17"/>
      <c r="XBU114" s="17"/>
      <c r="XBV114" s="17"/>
      <c r="XBW114" s="17"/>
      <c r="XBX114" s="17"/>
      <c r="XBY114" s="17"/>
      <c r="XBZ114" s="17"/>
      <c r="XCA114" s="17"/>
      <c r="XCB114" s="17"/>
      <c r="XCC114" s="17"/>
      <c r="XCD114" s="17"/>
      <c r="XCE114" s="17"/>
      <c r="XCF114" s="17"/>
      <c r="XCG114" s="17"/>
      <c r="XCH114" s="17"/>
      <c r="XCI114" s="17"/>
      <c r="XCJ114" s="17"/>
      <c r="XCK114" s="17"/>
      <c r="XCL114" s="17"/>
      <c r="XCM114" s="17"/>
      <c r="XCN114" s="17"/>
      <c r="XCO114" s="17"/>
      <c r="XCP114" s="17"/>
      <c r="XCQ114" s="17"/>
      <c r="XCR114" s="17"/>
      <c r="XCS114" s="17"/>
      <c r="XCT114" s="17"/>
      <c r="XCU114" s="17"/>
      <c r="XCV114" s="17"/>
      <c r="XCW114" s="17"/>
      <c r="XCX114" s="17"/>
      <c r="XCY114" s="17"/>
      <c r="XCZ114" s="17"/>
      <c r="XDA114" s="17"/>
      <c r="XDB114" s="17"/>
      <c r="XDC114" s="17"/>
      <c r="XDD114" s="17"/>
      <c r="XDE114" s="17"/>
      <c r="XDF114" s="17"/>
      <c r="XDG114" s="17"/>
      <c r="XDH114" s="17"/>
      <c r="XDI114" s="17"/>
      <c r="XDJ114" s="17"/>
      <c r="XDK114" s="17"/>
      <c r="XDL114" s="17"/>
      <c r="XDM114" s="17"/>
      <c r="XDN114" s="17"/>
      <c r="XDO114" s="17"/>
      <c r="XDP114" s="17"/>
      <c r="XDQ114" s="17"/>
      <c r="XDR114" s="17"/>
      <c r="XDS114" s="17"/>
      <c r="XDT114" s="17"/>
      <c r="XDU114" s="17"/>
      <c r="XDV114" s="17"/>
      <c r="XDW114" s="17"/>
      <c r="XDX114" s="17"/>
      <c r="XDY114" s="17"/>
      <c r="XDZ114" s="17"/>
      <c r="XEA114" s="17"/>
      <c r="XEB114" s="17"/>
      <c r="XEC114" s="17"/>
      <c r="XED114" s="17"/>
      <c r="XEE114" s="17"/>
      <c r="XEF114" s="17"/>
      <c r="XEG114" s="17"/>
      <c r="XEH114" s="17"/>
      <c r="XEI114" s="17"/>
      <c r="XEJ114" s="17"/>
      <c r="XEK114" s="17"/>
      <c r="XEL114" s="17"/>
      <c r="XEM114" s="17"/>
      <c r="XEN114" s="17"/>
      <c r="XEO114" s="17"/>
      <c r="XEP114" s="17"/>
      <c r="XEQ114" s="17"/>
      <c r="XER114" s="17"/>
      <c r="XES114" s="17"/>
      <c r="XET114" s="17"/>
      <c r="XEU114" s="17"/>
      <c r="XEV114" s="17"/>
      <c r="XEW114" s="17"/>
      <c r="XEX114" s="17"/>
      <c r="XEY114" s="10"/>
      <c r="XEZ114" s="10"/>
      <c r="XFA114" s="10"/>
      <c r="XFB114" s="10"/>
      <c r="XFC114" s="94"/>
    </row>
    <row r="115" s="4" customFormat="1" ht="42" customHeight="1" spans="1:16383">
      <c r="A115" s="61"/>
      <c r="B115" s="62"/>
      <c r="C115" s="34" t="s">
        <v>119</v>
      </c>
      <c r="D115" s="35"/>
      <c r="E115" s="67" t="s">
        <v>27</v>
      </c>
      <c r="F115" s="68">
        <v>0</v>
      </c>
      <c r="G115" s="71">
        <v>40</v>
      </c>
      <c r="H115" s="71">
        <f t="shared" si="6"/>
        <v>0</v>
      </c>
      <c r="I115" s="8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7"/>
      <c r="IP115" s="17"/>
      <c r="IQ115" s="17"/>
      <c r="IR115" s="17"/>
      <c r="IS115" s="17"/>
      <c r="IT115" s="17"/>
      <c r="IU115" s="17"/>
      <c r="IV115" s="17"/>
      <c r="IW115" s="17"/>
      <c r="IX115" s="17"/>
      <c r="IY115" s="17"/>
      <c r="IZ115" s="17"/>
      <c r="JA115" s="17"/>
      <c r="JB115" s="17"/>
      <c r="JC115" s="17"/>
      <c r="JD115" s="17"/>
      <c r="JE115" s="17"/>
      <c r="JF115" s="17"/>
      <c r="JG115" s="17"/>
      <c r="JH115" s="17"/>
      <c r="JI115" s="17"/>
      <c r="JJ115" s="17"/>
      <c r="JK115" s="17"/>
      <c r="JL115" s="17"/>
      <c r="JM115" s="17"/>
      <c r="JN115" s="17"/>
      <c r="JO115" s="17"/>
      <c r="JP115" s="17"/>
      <c r="JQ115" s="17"/>
      <c r="JR115" s="17"/>
      <c r="JS115" s="17"/>
      <c r="JT115" s="17"/>
      <c r="JU115" s="17"/>
      <c r="JV115" s="17"/>
      <c r="JW115" s="17"/>
      <c r="JX115" s="17"/>
      <c r="JY115" s="17"/>
      <c r="JZ115" s="17"/>
      <c r="KA115" s="17"/>
      <c r="KB115" s="17"/>
      <c r="KC115" s="17"/>
      <c r="KD115" s="17"/>
      <c r="KE115" s="17"/>
      <c r="KF115" s="17"/>
      <c r="KG115" s="17"/>
      <c r="KH115" s="17"/>
      <c r="KI115" s="17"/>
      <c r="KJ115" s="17"/>
      <c r="KK115" s="17"/>
      <c r="KL115" s="17"/>
      <c r="KM115" s="17"/>
      <c r="KN115" s="17"/>
      <c r="KO115" s="17"/>
      <c r="KP115" s="17"/>
      <c r="KQ115" s="17"/>
      <c r="KR115" s="17"/>
      <c r="KS115" s="17"/>
      <c r="KT115" s="17"/>
      <c r="KU115" s="17"/>
      <c r="KV115" s="17"/>
      <c r="KW115" s="17"/>
      <c r="KX115" s="17"/>
      <c r="KY115" s="17"/>
      <c r="KZ115" s="17"/>
      <c r="LA115" s="17"/>
      <c r="LB115" s="17"/>
      <c r="LC115" s="17"/>
      <c r="LD115" s="17"/>
      <c r="LE115" s="17"/>
      <c r="LF115" s="17"/>
      <c r="LG115" s="17"/>
      <c r="LH115" s="17"/>
      <c r="LI115" s="17"/>
      <c r="LJ115" s="17"/>
      <c r="LK115" s="17"/>
      <c r="LL115" s="17"/>
      <c r="LM115" s="17"/>
      <c r="LN115" s="17"/>
      <c r="LO115" s="17"/>
      <c r="LP115" s="17"/>
      <c r="LQ115" s="17"/>
      <c r="LR115" s="17"/>
      <c r="LS115" s="17"/>
      <c r="LT115" s="17"/>
      <c r="LU115" s="17"/>
      <c r="LV115" s="17"/>
      <c r="LW115" s="17"/>
      <c r="LX115" s="17"/>
      <c r="LY115" s="17"/>
      <c r="LZ115" s="17"/>
      <c r="MA115" s="17"/>
      <c r="MB115" s="17"/>
      <c r="MC115" s="17"/>
      <c r="MD115" s="17"/>
      <c r="ME115" s="17"/>
      <c r="MF115" s="17"/>
      <c r="MG115" s="17"/>
      <c r="MH115" s="17"/>
      <c r="MI115" s="17"/>
      <c r="MJ115" s="17"/>
      <c r="MK115" s="17"/>
      <c r="ML115" s="17"/>
      <c r="MM115" s="17"/>
      <c r="MN115" s="17"/>
      <c r="MO115" s="17"/>
      <c r="MP115" s="17"/>
      <c r="MQ115" s="17"/>
      <c r="MR115" s="17"/>
      <c r="MS115" s="17"/>
      <c r="MT115" s="17"/>
      <c r="MU115" s="17"/>
      <c r="MV115" s="17"/>
      <c r="MW115" s="17"/>
      <c r="MX115" s="17"/>
      <c r="MY115" s="17"/>
      <c r="MZ115" s="17"/>
      <c r="NA115" s="17"/>
      <c r="NB115" s="17"/>
      <c r="NC115" s="17"/>
      <c r="ND115" s="17"/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  <c r="NX115" s="17"/>
      <c r="NY115" s="17"/>
      <c r="NZ115" s="17"/>
      <c r="OA115" s="17"/>
      <c r="OB115" s="17"/>
      <c r="OC115" s="17"/>
      <c r="OD115" s="17"/>
      <c r="OE115" s="17"/>
      <c r="OF115" s="17"/>
      <c r="OG115" s="17"/>
      <c r="OH115" s="17"/>
      <c r="OI115" s="17"/>
      <c r="OJ115" s="17"/>
      <c r="OK115" s="17"/>
      <c r="OL115" s="17"/>
      <c r="OM115" s="17"/>
      <c r="ON115" s="17"/>
      <c r="OO115" s="17"/>
      <c r="OP115" s="17"/>
      <c r="OQ115" s="17"/>
      <c r="OR115" s="17"/>
      <c r="OS115" s="17"/>
      <c r="OT115" s="17"/>
      <c r="OU115" s="17"/>
      <c r="OV115" s="17"/>
      <c r="OW115" s="17"/>
      <c r="OX115" s="17"/>
      <c r="OY115" s="17"/>
      <c r="OZ115" s="17"/>
      <c r="PA115" s="17"/>
      <c r="PB115" s="17"/>
      <c r="PC115" s="17"/>
      <c r="PD115" s="17"/>
      <c r="PE115" s="17"/>
      <c r="PF115" s="17"/>
      <c r="PG115" s="17"/>
      <c r="PH115" s="17"/>
      <c r="PI115" s="17"/>
      <c r="PJ115" s="17"/>
      <c r="PK115" s="17"/>
      <c r="PL115" s="17"/>
      <c r="PM115" s="17"/>
      <c r="PN115" s="17"/>
      <c r="PO115" s="17"/>
      <c r="PP115" s="17"/>
      <c r="PQ115" s="17"/>
      <c r="PR115" s="17"/>
      <c r="PS115" s="17"/>
      <c r="PT115" s="17"/>
      <c r="PU115" s="17"/>
      <c r="PV115" s="17"/>
      <c r="PW115" s="17"/>
      <c r="PX115" s="17"/>
      <c r="PY115" s="17"/>
      <c r="PZ115" s="17"/>
      <c r="QA115" s="17"/>
      <c r="QB115" s="17"/>
      <c r="QC115" s="17"/>
      <c r="QD115" s="17"/>
      <c r="QE115" s="17"/>
      <c r="QF115" s="17"/>
      <c r="QG115" s="17"/>
      <c r="QH115" s="17"/>
      <c r="QI115" s="17"/>
      <c r="QJ115" s="17"/>
      <c r="QK115" s="17"/>
      <c r="QL115" s="17"/>
      <c r="QM115" s="17"/>
      <c r="QN115" s="17"/>
      <c r="QO115" s="17"/>
      <c r="QP115" s="17"/>
      <c r="QQ115" s="17"/>
      <c r="QR115" s="17"/>
      <c r="QS115" s="17"/>
      <c r="QT115" s="17"/>
      <c r="QU115" s="17"/>
      <c r="QV115" s="17"/>
      <c r="QW115" s="17"/>
      <c r="QX115" s="17"/>
      <c r="QY115" s="17"/>
      <c r="QZ115" s="17"/>
      <c r="RA115" s="17"/>
      <c r="RB115" s="17"/>
      <c r="RC115" s="17"/>
      <c r="RD115" s="17"/>
      <c r="RE115" s="17"/>
      <c r="RF115" s="17"/>
      <c r="RG115" s="17"/>
      <c r="RH115" s="17"/>
      <c r="RI115" s="17"/>
      <c r="RJ115" s="17"/>
      <c r="RK115" s="17"/>
      <c r="RL115" s="17"/>
      <c r="RM115" s="17"/>
      <c r="RN115" s="17"/>
      <c r="RO115" s="17"/>
      <c r="RP115" s="17"/>
      <c r="RQ115" s="17"/>
      <c r="RR115" s="17"/>
      <c r="RS115" s="17"/>
      <c r="RT115" s="17"/>
      <c r="RU115" s="17"/>
      <c r="RV115" s="17"/>
      <c r="RW115" s="17"/>
      <c r="RX115" s="17"/>
      <c r="RY115" s="17"/>
      <c r="RZ115" s="17"/>
      <c r="SA115" s="17"/>
      <c r="SB115" s="17"/>
      <c r="SC115" s="17"/>
      <c r="SD115" s="17"/>
      <c r="SE115" s="17"/>
      <c r="SF115" s="17"/>
      <c r="SG115" s="17"/>
      <c r="SH115" s="17"/>
      <c r="SI115" s="17"/>
      <c r="SJ115" s="17"/>
      <c r="SK115" s="17"/>
      <c r="SL115" s="17"/>
      <c r="SM115" s="17"/>
      <c r="SN115" s="17"/>
      <c r="SO115" s="17"/>
      <c r="SP115" s="17"/>
      <c r="SQ115" s="17"/>
      <c r="SR115" s="17"/>
      <c r="SS115" s="17"/>
      <c r="ST115" s="17"/>
      <c r="SU115" s="17"/>
      <c r="SV115" s="17"/>
      <c r="SW115" s="17"/>
      <c r="SX115" s="17"/>
      <c r="SY115" s="17"/>
      <c r="SZ115" s="17"/>
      <c r="TA115" s="17"/>
      <c r="TB115" s="17"/>
      <c r="TC115" s="17"/>
      <c r="TD115" s="17"/>
      <c r="TE115" s="17"/>
      <c r="TF115" s="17"/>
      <c r="TG115" s="17"/>
      <c r="TH115" s="17"/>
      <c r="TI115" s="17"/>
      <c r="TJ115" s="17"/>
      <c r="TK115" s="17"/>
      <c r="TL115" s="17"/>
      <c r="TM115" s="17"/>
      <c r="TN115" s="17"/>
      <c r="TO115" s="17"/>
      <c r="TP115" s="17"/>
      <c r="TQ115" s="17"/>
      <c r="TR115" s="17"/>
      <c r="TS115" s="17"/>
      <c r="TT115" s="17"/>
      <c r="TU115" s="17"/>
      <c r="TV115" s="17"/>
      <c r="TW115" s="17"/>
      <c r="TX115" s="17"/>
      <c r="TY115" s="17"/>
      <c r="TZ115" s="17"/>
      <c r="UA115" s="17"/>
      <c r="UB115" s="17"/>
      <c r="UC115" s="17"/>
      <c r="UD115" s="17"/>
      <c r="UE115" s="17"/>
      <c r="UF115" s="17"/>
      <c r="UG115" s="17"/>
      <c r="UH115" s="17"/>
      <c r="UI115" s="17"/>
      <c r="UJ115" s="17"/>
      <c r="UK115" s="17"/>
      <c r="UL115" s="17"/>
      <c r="UM115" s="17"/>
      <c r="UN115" s="17"/>
      <c r="UO115" s="17"/>
      <c r="UP115" s="17"/>
      <c r="UQ115" s="17"/>
      <c r="UR115" s="17"/>
      <c r="US115" s="17"/>
      <c r="UT115" s="17"/>
      <c r="UU115" s="17"/>
      <c r="UV115" s="17"/>
      <c r="UW115" s="17"/>
      <c r="UX115" s="17"/>
      <c r="UY115" s="17"/>
      <c r="UZ115" s="17"/>
      <c r="VA115" s="17"/>
      <c r="VB115" s="17"/>
      <c r="VC115" s="17"/>
      <c r="VD115" s="17"/>
      <c r="VE115" s="17"/>
      <c r="VF115" s="17"/>
      <c r="VG115" s="17"/>
      <c r="VH115" s="17"/>
      <c r="VI115" s="17"/>
      <c r="VJ115" s="17"/>
      <c r="VK115" s="17"/>
      <c r="VL115" s="17"/>
      <c r="VM115" s="17"/>
      <c r="VN115" s="17"/>
      <c r="VO115" s="17"/>
      <c r="VP115" s="17"/>
      <c r="VQ115" s="17"/>
      <c r="VR115" s="17"/>
      <c r="VS115" s="17"/>
      <c r="VT115" s="17"/>
      <c r="VU115" s="17"/>
      <c r="VV115" s="17"/>
      <c r="VW115" s="17"/>
      <c r="VX115" s="17"/>
      <c r="VY115" s="17"/>
      <c r="VZ115" s="17"/>
      <c r="WA115" s="17"/>
      <c r="WB115" s="17"/>
      <c r="WC115" s="17"/>
      <c r="WD115" s="17"/>
      <c r="WE115" s="17"/>
      <c r="WF115" s="17"/>
      <c r="WG115" s="17"/>
      <c r="WH115" s="17"/>
      <c r="WI115" s="17"/>
      <c r="WJ115" s="17"/>
      <c r="WK115" s="17"/>
      <c r="WL115" s="17"/>
      <c r="WM115" s="17"/>
      <c r="WN115" s="17"/>
      <c r="WO115" s="17"/>
      <c r="WP115" s="17"/>
      <c r="WQ115" s="17"/>
      <c r="WR115" s="17"/>
      <c r="WS115" s="17"/>
      <c r="WT115" s="17"/>
      <c r="WU115" s="17"/>
      <c r="WV115" s="17"/>
      <c r="WW115" s="17"/>
      <c r="WX115" s="17"/>
      <c r="WY115" s="17"/>
      <c r="WZ115" s="17"/>
      <c r="XA115" s="17"/>
      <c r="XB115" s="17"/>
      <c r="XC115" s="17"/>
      <c r="XD115" s="17"/>
      <c r="XE115" s="17"/>
      <c r="XF115" s="17"/>
      <c r="XG115" s="17"/>
      <c r="XH115" s="17"/>
      <c r="XI115" s="17"/>
      <c r="XJ115" s="17"/>
      <c r="XK115" s="17"/>
      <c r="XL115" s="17"/>
      <c r="XM115" s="17"/>
      <c r="XN115" s="17"/>
      <c r="XO115" s="17"/>
      <c r="XP115" s="17"/>
      <c r="XQ115" s="17"/>
      <c r="XR115" s="17"/>
      <c r="XS115" s="17"/>
      <c r="XT115" s="17"/>
      <c r="XU115" s="17"/>
      <c r="XV115" s="17"/>
      <c r="XW115" s="17"/>
      <c r="XX115" s="17"/>
      <c r="XY115" s="17"/>
      <c r="XZ115" s="17"/>
      <c r="YA115" s="17"/>
      <c r="YB115" s="17"/>
      <c r="YC115" s="17"/>
      <c r="YD115" s="17"/>
      <c r="YE115" s="17"/>
      <c r="YF115" s="17"/>
      <c r="YG115" s="17"/>
      <c r="YH115" s="17"/>
      <c r="YI115" s="17"/>
      <c r="YJ115" s="17"/>
      <c r="YK115" s="17"/>
      <c r="YL115" s="17"/>
      <c r="YM115" s="17"/>
      <c r="YN115" s="17"/>
      <c r="YO115" s="17"/>
      <c r="YP115" s="17"/>
      <c r="YQ115" s="17"/>
      <c r="YR115" s="17"/>
      <c r="YS115" s="17"/>
      <c r="YT115" s="17"/>
      <c r="YU115" s="17"/>
      <c r="YV115" s="17"/>
      <c r="YW115" s="17"/>
      <c r="YX115" s="17"/>
      <c r="YY115" s="17"/>
      <c r="YZ115" s="17"/>
      <c r="ZA115" s="17"/>
      <c r="ZB115" s="17"/>
      <c r="ZC115" s="17"/>
      <c r="ZD115" s="17"/>
      <c r="ZE115" s="17"/>
      <c r="ZF115" s="17"/>
      <c r="ZG115" s="17"/>
      <c r="ZH115" s="17"/>
      <c r="ZI115" s="17"/>
      <c r="ZJ115" s="17"/>
      <c r="ZK115" s="17"/>
      <c r="ZL115" s="17"/>
      <c r="ZM115" s="17"/>
      <c r="ZN115" s="17"/>
      <c r="ZO115" s="17"/>
      <c r="ZP115" s="17"/>
      <c r="ZQ115" s="17"/>
      <c r="ZR115" s="17"/>
      <c r="ZS115" s="17"/>
      <c r="ZT115" s="17"/>
      <c r="ZU115" s="17"/>
      <c r="ZV115" s="17"/>
      <c r="ZW115" s="17"/>
      <c r="ZX115" s="17"/>
      <c r="ZY115" s="17"/>
      <c r="ZZ115" s="17"/>
      <c r="AAA115" s="17"/>
      <c r="AAB115" s="17"/>
      <c r="AAC115" s="17"/>
      <c r="AAD115" s="17"/>
      <c r="AAE115" s="17"/>
      <c r="AAF115" s="17"/>
      <c r="AAG115" s="17"/>
      <c r="AAH115" s="17"/>
      <c r="AAI115" s="17"/>
      <c r="AAJ115" s="17"/>
      <c r="AAK115" s="17"/>
      <c r="AAL115" s="17"/>
      <c r="AAM115" s="17"/>
      <c r="AAN115" s="17"/>
      <c r="AAO115" s="17"/>
      <c r="AAP115" s="17"/>
      <c r="AAQ115" s="17"/>
      <c r="AAR115" s="17"/>
      <c r="AAS115" s="17"/>
      <c r="AAT115" s="17"/>
      <c r="AAU115" s="17"/>
      <c r="AAV115" s="17"/>
      <c r="AAW115" s="17"/>
      <c r="AAX115" s="17"/>
      <c r="AAY115" s="17"/>
      <c r="AAZ115" s="17"/>
      <c r="ABA115" s="17"/>
      <c r="ABB115" s="17"/>
      <c r="ABC115" s="17"/>
      <c r="ABD115" s="17"/>
      <c r="ABE115" s="17"/>
      <c r="ABF115" s="17"/>
      <c r="ABG115" s="17"/>
      <c r="ABH115" s="17"/>
      <c r="ABI115" s="17"/>
      <c r="ABJ115" s="17"/>
      <c r="ABK115" s="17"/>
      <c r="ABL115" s="17"/>
      <c r="ABM115" s="17"/>
      <c r="ABN115" s="17"/>
      <c r="ABO115" s="17"/>
      <c r="ABP115" s="17"/>
      <c r="ABQ115" s="17"/>
      <c r="ABR115" s="17"/>
      <c r="ABS115" s="17"/>
      <c r="ABT115" s="17"/>
      <c r="ABU115" s="17"/>
      <c r="ABV115" s="17"/>
      <c r="ABW115" s="17"/>
      <c r="ABX115" s="17"/>
      <c r="ABY115" s="17"/>
      <c r="ABZ115" s="17"/>
      <c r="ACA115" s="17"/>
      <c r="ACB115" s="17"/>
      <c r="ACC115" s="17"/>
      <c r="ACD115" s="17"/>
      <c r="ACE115" s="17"/>
      <c r="ACF115" s="17"/>
      <c r="ACG115" s="17"/>
      <c r="ACH115" s="17"/>
      <c r="ACI115" s="17"/>
      <c r="ACJ115" s="17"/>
      <c r="ACK115" s="17"/>
      <c r="ACL115" s="17"/>
      <c r="ACM115" s="17"/>
      <c r="ACN115" s="17"/>
      <c r="ACO115" s="17"/>
      <c r="ACP115" s="17"/>
      <c r="ACQ115" s="17"/>
      <c r="ACR115" s="17"/>
      <c r="ACS115" s="17"/>
      <c r="ACT115" s="17"/>
      <c r="ACU115" s="17"/>
      <c r="ACV115" s="17"/>
      <c r="ACW115" s="17"/>
      <c r="ACX115" s="17"/>
      <c r="ACY115" s="17"/>
      <c r="ACZ115" s="17"/>
      <c r="ADA115" s="17"/>
      <c r="ADB115" s="17"/>
      <c r="ADC115" s="17"/>
      <c r="ADD115" s="17"/>
      <c r="ADE115" s="17"/>
      <c r="ADF115" s="17"/>
      <c r="ADG115" s="17"/>
      <c r="ADH115" s="17"/>
      <c r="ADI115" s="17"/>
      <c r="ADJ115" s="17"/>
      <c r="ADK115" s="17"/>
      <c r="ADL115" s="17"/>
      <c r="ADM115" s="17"/>
      <c r="ADN115" s="17"/>
      <c r="ADO115" s="17"/>
      <c r="ADP115" s="17"/>
      <c r="ADQ115" s="17"/>
      <c r="ADR115" s="17"/>
      <c r="ADS115" s="17"/>
      <c r="ADT115" s="17"/>
      <c r="ADU115" s="17"/>
      <c r="ADV115" s="17"/>
      <c r="ADW115" s="17"/>
      <c r="ADX115" s="17"/>
      <c r="ADY115" s="17"/>
      <c r="ADZ115" s="17"/>
      <c r="AEA115" s="17"/>
      <c r="AEB115" s="17"/>
      <c r="AEC115" s="17"/>
      <c r="AED115" s="17"/>
      <c r="AEE115" s="17"/>
      <c r="AEF115" s="17"/>
      <c r="AEG115" s="17"/>
      <c r="AEH115" s="17"/>
      <c r="AEI115" s="17"/>
      <c r="AEJ115" s="17"/>
      <c r="AEK115" s="17"/>
      <c r="AEL115" s="17"/>
      <c r="AEM115" s="17"/>
      <c r="AEN115" s="17"/>
      <c r="AEO115" s="17"/>
      <c r="AEP115" s="17"/>
      <c r="AEQ115" s="17"/>
      <c r="AER115" s="17"/>
      <c r="AES115" s="17"/>
      <c r="AET115" s="17"/>
      <c r="AEU115" s="17"/>
      <c r="AEV115" s="17"/>
      <c r="AEW115" s="17"/>
      <c r="AEX115" s="17"/>
      <c r="AEY115" s="17"/>
      <c r="AEZ115" s="17"/>
      <c r="AFA115" s="17"/>
      <c r="AFB115" s="17"/>
      <c r="AFC115" s="17"/>
      <c r="AFD115" s="17"/>
      <c r="AFE115" s="17"/>
      <c r="AFF115" s="17"/>
      <c r="AFG115" s="17"/>
      <c r="AFH115" s="17"/>
      <c r="AFI115" s="17"/>
      <c r="AFJ115" s="17"/>
      <c r="AFK115" s="17"/>
      <c r="AFL115" s="17"/>
      <c r="AFM115" s="17"/>
      <c r="AFN115" s="17"/>
      <c r="AFO115" s="17"/>
      <c r="AFP115" s="17"/>
      <c r="AFQ115" s="17"/>
      <c r="AFR115" s="17"/>
      <c r="AFS115" s="17"/>
      <c r="AFT115" s="17"/>
      <c r="AFU115" s="17"/>
      <c r="AFV115" s="17"/>
      <c r="AFW115" s="17"/>
      <c r="AFX115" s="17"/>
      <c r="AFY115" s="17"/>
      <c r="AFZ115" s="17"/>
      <c r="AGA115" s="17"/>
      <c r="AGB115" s="17"/>
      <c r="AGC115" s="17"/>
      <c r="AGD115" s="17"/>
      <c r="AGE115" s="17"/>
      <c r="AGF115" s="17"/>
      <c r="AGG115" s="17"/>
      <c r="AGH115" s="17"/>
      <c r="AGI115" s="17"/>
      <c r="AGJ115" s="17"/>
      <c r="AGK115" s="17"/>
      <c r="AGL115" s="17"/>
      <c r="AGM115" s="17"/>
      <c r="AGN115" s="17"/>
      <c r="AGO115" s="17"/>
      <c r="AGP115" s="17"/>
      <c r="AGQ115" s="17"/>
      <c r="AGR115" s="17"/>
      <c r="AGS115" s="17"/>
      <c r="AGT115" s="17"/>
      <c r="AGU115" s="17"/>
      <c r="AGV115" s="17"/>
      <c r="AGW115" s="17"/>
      <c r="AGX115" s="17"/>
      <c r="AGY115" s="17"/>
      <c r="AGZ115" s="17"/>
      <c r="AHA115" s="17"/>
      <c r="AHB115" s="17"/>
      <c r="AHC115" s="17"/>
      <c r="AHD115" s="17"/>
      <c r="AHE115" s="17"/>
      <c r="AHF115" s="17"/>
      <c r="AHG115" s="17"/>
      <c r="AHH115" s="17"/>
      <c r="AHI115" s="17"/>
      <c r="AHJ115" s="17"/>
      <c r="AHK115" s="17"/>
      <c r="AHL115" s="17"/>
      <c r="AHM115" s="17"/>
      <c r="AHN115" s="17"/>
      <c r="AHO115" s="17"/>
      <c r="AHP115" s="17"/>
      <c r="AHQ115" s="17"/>
      <c r="AHR115" s="17"/>
      <c r="AHS115" s="17"/>
      <c r="AHT115" s="17"/>
      <c r="AHU115" s="17"/>
      <c r="AHV115" s="17"/>
      <c r="AHW115" s="17"/>
      <c r="AHX115" s="17"/>
      <c r="AHY115" s="17"/>
      <c r="AHZ115" s="17"/>
      <c r="AIA115" s="17"/>
      <c r="AIB115" s="17"/>
      <c r="AIC115" s="17"/>
      <c r="AID115" s="17"/>
      <c r="AIE115" s="17"/>
      <c r="AIF115" s="17"/>
      <c r="AIG115" s="17"/>
      <c r="AIH115" s="17"/>
      <c r="AII115" s="17"/>
      <c r="AIJ115" s="17"/>
      <c r="AIK115" s="17"/>
      <c r="AIL115" s="17"/>
      <c r="AIM115" s="17"/>
      <c r="AIN115" s="17"/>
      <c r="AIO115" s="17"/>
      <c r="AIP115" s="17"/>
      <c r="AIQ115" s="17"/>
      <c r="AIR115" s="17"/>
      <c r="AIS115" s="17"/>
      <c r="AIT115" s="17"/>
      <c r="AIU115" s="17"/>
      <c r="AIV115" s="17"/>
      <c r="AIW115" s="17"/>
      <c r="AIX115" s="17"/>
      <c r="AIY115" s="17"/>
      <c r="AIZ115" s="17"/>
      <c r="AJA115" s="17"/>
      <c r="AJB115" s="17"/>
      <c r="AJC115" s="17"/>
      <c r="AJD115" s="17"/>
      <c r="AJE115" s="17"/>
      <c r="AJF115" s="17"/>
      <c r="AJG115" s="17"/>
      <c r="AJH115" s="17"/>
      <c r="AJI115" s="17"/>
      <c r="AJJ115" s="17"/>
      <c r="AJK115" s="17"/>
      <c r="AJL115" s="17"/>
      <c r="AJM115" s="17"/>
      <c r="AJN115" s="17"/>
      <c r="AJO115" s="17"/>
      <c r="AJP115" s="17"/>
      <c r="AJQ115" s="17"/>
      <c r="AJR115" s="17"/>
      <c r="AJS115" s="17"/>
      <c r="AJT115" s="17"/>
      <c r="AJU115" s="17"/>
      <c r="AJV115" s="17"/>
      <c r="AJW115" s="17"/>
      <c r="AJX115" s="17"/>
      <c r="AJY115" s="17"/>
      <c r="AJZ115" s="17"/>
      <c r="AKA115" s="17"/>
      <c r="AKB115" s="17"/>
      <c r="AKC115" s="17"/>
      <c r="AKD115" s="17"/>
      <c r="AKE115" s="17"/>
      <c r="AKF115" s="17"/>
      <c r="AKG115" s="17"/>
      <c r="AKH115" s="17"/>
      <c r="AKI115" s="17"/>
      <c r="AKJ115" s="17"/>
      <c r="AKK115" s="17"/>
      <c r="AKL115" s="17"/>
      <c r="AKM115" s="17"/>
      <c r="AKN115" s="17"/>
      <c r="AKO115" s="17"/>
      <c r="AKP115" s="17"/>
      <c r="AKQ115" s="17"/>
      <c r="AKR115" s="17"/>
      <c r="AKS115" s="17"/>
      <c r="AKT115" s="17"/>
      <c r="AKU115" s="17"/>
      <c r="AKV115" s="17"/>
      <c r="AKW115" s="17"/>
      <c r="AKX115" s="17"/>
      <c r="AKY115" s="17"/>
      <c r="AKZ115" s="17"/>
      <c r="ALA115" s="17"/>
      <c r="ALB115" s="17"/>
      <c r="ALC115" s="17"/>
      <c r="ALD115" s="17"/>
      <c r="ALE115" s="17"/>
      <c r="ALF115" s="17"/>
      <c r="ALG115" s="17"/>
      <c r="ALH115" s="17"/>
      <c r="ALI115" s="17"/>
      <c r="ALJ115" s="17"/>
      <c r="ALK115" s="17"/>
      <c r="ALL115" s="17"/>
      <c r="ALM115" s="17"/>
      <c r="ALN115" s="17"/>
      <c r="ALO115" s="17"/>
      <c r="ALP115" s="17"/>
      <c r="ALQ115" s="17"/>
      <c r="ALR115" s="17"/>
      <c r="ALS115" s="17"/>
      <c r="ALT115" s="17"/>
      <c r="ALU115" s="17"/>
      <c r="ALV115" s="17"/>
      <c r="ALW115" s="17"/>
      <c r="ALX115" s="17"/>
      <c r="ALY115" s="17"/>
      <c r="ALZ115" s="17"/>
      <c r="AMA115" s="17"/>
      <c r="AMB115" s="17"/>
      <c r="AMC115" s="17"/>
      <c r="AMD115" s="17"/>
      <c r="AME115" s="17"/>
      <c r="AMF115" s="17"/>
      <c r="AMG115" s="17"/>
      <c r="AMH115" s="17"/>
      <c r="AMI115" s="17"/>
      <c r="AMJ115" s="17"/>
      <c r="AMK115" s="17"/>
      <c r="AML115" s="17"/>
      <c r="AMM115" s="17"/>
      <c r="AMN115" s="17"/>
      <c r="AMO115" s="17"/>
      <c r="AMP115" s="17"/>
      <c r="AMQ115" s="17"/>
      <c r="AMR115" s="17"/>
      <c r="AMS115" s="17"/>
      <c r="AMT115" s="17"/>
      <c r="AMU115" s="17"/>
      <c r="AMV115" s="17"/>
      <c r="AMW115" s="17"/>
      <c r="AMX115" s="17"/>
      <c r="AMY115" s="17"/>
      <c r="AMZ115" s="17"/>
      <c r="ANA115" s="17"/>
      <c r="ANB115" s="17"/>
      <c r="ANC115" s="17"/>
      <c r="AND115" s="17"/>
      <c r="ANE115" s="17"/>
      <c r="ANF115" s="17"/>
      <c r="ANG115" s="17"/>
      <c r="ANH115" s="17"/>
      <c r="ANI115" s="17"/>
      <c r="ANJ115" s="17"/>
      <c r="ANK115" s="17"/>
      <c r="ANL115" s="17"/>
      <c r="ANM115" s="17"/>
      <c r="ANN115" s="17"/>
      <c r="ANO115" s="17"/>
      <c r="ANP115" s="17"/>
      <c r="ANQ115" s="17"/>
      <c r="ANR115" s="17"/>
      <c r="ANS115" s="17"/>
      <c r="ANT115" s="17"/>
      <c r="ANU115" s="17"/>
      <c r="ANV115" s="17"/>
      <c r="ANW115" s="17"/>
      <c r="ANX115" s="17"/>
      <c r="ANY115" s="17"/>
      <c r="ANZ115" s="17"/>
      <c r="AOA115" s="17"/>
      <c r="AOB115" s="17"/>
      <c r="AOC115" s="17"/>
      <c r="AOD115" s="17"/>
      <c r="AOE115" s="17"/>
      <c r="AOF115" s="17"/>
      <c r="AOG115" s="17"/>
      <c r="AOH115" s="17"/>
      <c r="AOI115" s="17"/>
      <c r="AOJ115" s="17"/>
      <c r="AOK115" s="17"/>
      <c r="AOL115" s="17"/>
      <c r="AOM115" s="17"/>
      <c r="AON115" s="17"/>
      <c r="AOO115" s="17"/>
      <c r="AOP115" s="17"/>
      <c r="AOQ115" s="17"/>
      <c r="AOR115" s="17"/>
      <c r="AOS115" s="17"/>
      <c r="AOT115" s="17"/>
      <c r="AOU115" s="17"/>
      <c r="AOV115" s="17"/>
      <c r="AOW115" s="17"/>
      <c r="AOX115" s="17"/>
      <c r="AOY115" s="17"/>
      <c r="AOZ115" s="17"/>
      <c r="APA115" s="17"/>
      <c r="APB115" s="17"/>
      <c r="APC115" s="17"/>
      <c r="APD115" s="17"/>
      <c r="APE115" s="17"/>
      <c r="APF115" s="17"/>
      <c r="APG115" s="17"/>
      <c r="APH115" s="17"/>
      <c r="API115" s="17"/>
      <c r="APJ115" s="17"/>
      <c r="APK115" s="17"/>
      <c r="APL115" s="17"/>
      <c r="APM115" s="17"/>
      <c r="APN115" s="17"/>
      <c r="APO115" s="17"/>
      <c r="APP115" s="17"/>
      <c r="APQ115" s="17"/>
      <c r="APR115" s="17"/>
      <c r="APS115" s="17"/>
      <c r="APT115" s="17"/>
      <c r="APU115" s="17"/>
      <c r="APV115" s="17"/>
      <c r="APW115" s="17"/>
      <c r="APX115" s="17"/>
      <c r="APY115" s="17"/>
      <c r="APZ115" s="17"/>
      <c r="AQA115" s="17"/>
      <c r="AQB115" s="17"/>
      <c r="AQC115" s="17"/>
      <c r="AQD115" s="17"/>
      <c r="AQE115" s="17"/>
      <c r="AQF115" s="17"/>
      <c r="AQG115" s="17"/>
      <c r="AQH115" s="17"/>
      <c r="AQI115" s="17"/>
      <c r="AQJ115" s="17"/>
      <c r="AQK115" s="17"/>
      <c r="AQL115" s="17"/>
      <c r="AQM115" s="17"/>
      <c r="AQN115" s="17"/>
      <c r="AQO115" s="17"/>
      <c r="AQP115" s="17"/>
      <c r="AQQ115" s="17"/>
      <c r="AQR115" s="17"/>
      <c r="AQS115" s="17"/>
      <c r="AQT115" s="17"/>
      <c r="AQU115" s="17"/>
      <c r="AQV115" s="17"/>
      <c r="AQW115" s="17"/>
      <c r="AQX115" s="17"/>
      <c r="AQY115" s="17"/>
      <c r="AQZ115" s="17"/>
      <c r="ARA115" s="17"/>
      <c r="ARB115" s="17"/>
      <c r="ARC115" s="17"/>
      <c r="ARD115" s="17"/>
      <c r="ARE115" s="17"/>
      <c r="ARF115" s="17"/>
      <c r="ARG115" s="17"/>
      <c r="ARH115" s="17"/>
      <c r="ARI115" s="17"/>
      <c r="ARJ115" s="17"/>
      <c r="ARK115" s="17"/>
      <c r="ARL115" s="17"/>
      <c r="ARM115" s="17"/>
      <c r="ARN115" s="17"/>
      <c r="ARO115" s="17"/>
      <c r="ARP115" s="17"/>
      <c r="ARQ115" s="17"/>
      <c r="ARR115" s="17"/>
      <c r="ARS115" s="17"/>
      <c r="ART115" s="17"/>
      <c r="ARU115" s="17"/>
      <c r="ARV115" s="17"/>
      <c r="ARW115" s="17"/>
      <c r="ARX115" s="17"/>
      <c r="ARY115" s="17"/>
      <c r="ARZ115" s="17"/>
      <c r="ASA115" s="17"/>
      <c r="ASB115" s="17"/>
      <c r="ASC115" s="17"/>
      <c r="ASD115" s="17"/>
      <c r="ASE115" s="17"/>
      <c r="ASF115" s="17"/>
      <c r="ASG115" s="17"/>
      <c r="ASH115" s="17"/>
      <c r="ASI115" s="17"/>
      <c r="ASJ115" s="17"/>
      <c r="ASK115" s="17"/>
      <c r="ASL115" s="17"/>
      <c r="ASM115" s="17"/>
      <c r="ASN115" s="17"/>
      <c r="ASO115" s="17"/>
      <c r="ASP115" s="17"/>
      <c r="ASQ115" s="17"/>
      <c r="ASR115" s="17"/>
      <c r="ASS115" s="17"/>
      <c r="AST115" s="17"/>
      <c r="ASU115" s="17"/>
      <c r="ASV115" s="17"/>
      <c r="ASW115" s="17"/>
      <c r="ASX115" s="17"/>
      <c r="ASY115" s="17"/>
      <c r="ASZ115" s="17"/>
      <c r="ATA115" s="17"/>
      <c r="ATB115" s="17"/>
      <c r="ATC115" s="17"/>
      <c r="ATD115" s="17"/>
      <c r="ATE115" s="17"/>
      <c r="ATF115" s="17"/>
      <c r="ATG115" s="17"/>
      <c r="ATH115" s="17"/>
      <c r="ATI115" s="17"/>
      <c r="ATJ115" s="17"/>
      <c r="ATK115" s="17"/>
      <c r="ATL115" s="17"/>
      <c r="ATM115" s="17"/>
      <c r="ATN115" s="17"/>
      <c r="ATO115" s="17"/>
      <c r="ATP115" s="17"/>
      <c r="ATQ115" s="17"/>
      <c r="ATR115" s="17"/>
      <c r="ATS115" s="17"/>
      <c r="ATT115" s="17"/>
      <c r="ATU115" s="17"/>
      <c r="ATV115" s="17"/>
      <c r="ATW115" s="17"/>
      <c r="ATX115" s="17"/>
      <c r="ATY115" s="17"/>
      <c r="ATZ115" s="17"/>
      <c r="AUA115" s="17"/>
      <c r="AUB115" s="17"/>
      <c r="AUC115" s="17"/>
      <c r="AUD115" s="17"/>
      <c r="AUE115" s="17"/>
      <c r="AUF115" s="17"/>
      <c r="AUG115" s="17"/>
      <c r="AUH115" s="17"/>
      <c r="AUI115" s="17"/>
      <c r="AUJ115" s="17"/>
      <c r="AUK115" s="17"/>
      <c r="AUL115" s="17"/>
      <c r="AUM115" s="17"/>
      <c r="AUN115" s="17"/>
      <c r="AUO115" s="17"/>
      <c r="AUP115" s="17"/>
      <c r="AUQ115" s="17"/>
      <c r="AUR115" s="17"/>
      <c r="AUS115" s="17"/>
      <c r="AUT115" s="17"/>
      <c r="AUU115" s="17"/>
      <c r="AUV115" s="17"/>
      <c r="AUW115" s="17"/>
      <c r="AUX115" s="17"/>
      <c r="AUY115" s="17"/>
      <c r="AUZ115" s="17"/>
      <c r="AVA115" s="17"/>
      <c r="AVB115" s="17"/>
      <c r="AVC115" s="17"/>
      <c r="AVD115" s="17"/>
      <c r="AVE115" s="17"/>
      <c r="AVF115" s="17"/>
      <c r="AVG115" s="17"/>
      <c r="AVH115" s="17"/>
      <c r="AVI115" s="17"/>
      <c r="AVJ115" s="17"/>
      <c r="AVK115" s="17"/>
      <c r="AVL115" s="17"/>
      <c r="AVM115" s="17"/>
      <c r="AVN115" s="17"/>
      <c r="AVO115" s="17"/>
      <c r="AVP115" s="17"/>
      <c r="AVQ115" s="17"/>
      <c r="AVR115" s="17"/>
      <c r="AVS115" s="17"/>
      <c r="AVT115" s="17"/>
      <c r="AVU115" s="17"/>
      <c r="AVV115" s="17"/>
      <c r="AVW115" s="17"/>
      <c r="AVX115" s="17"/>
      <c r="AVY115" s="17"/>
      <c r="AVZ115" s="17"/>
      <c r="AWA115" s="17"/>
      <c r="AWB115" s="17"/>
      <c r="AWC115" s="17"/>
      <c r="AWD115" s="17"/>
      <c r="AWE115" s="17"/>
      <c r="AWF115" s="17"/>
      <c r="AWG115" s="17"/>
      <c r="AWH115" s="17"/>
      <c r="AWI115" s="17"/>
      <c r="AWJ115" s="17"/>
      <c r="AWK115" s="17"/>
      <c r="AWL115" s="17"/>
      <c r="AWM115" s="17"/>
      <c r="AWN115" s="17"/>
      <c r="AWO115" s="17"/>
      <c r="AWP115" s="17"/>
      <c r="AWQ115" s="17"/>
      <c r="AWR115" s="17"/>
      <c r="AWS115" s="17"/>
      <c r="AWT115" s="17"/>
      <c r="AWU115" s="17"/>
      <c r="AWV115" s="17"/>
      <c r="AWW115" s="17"/>
      <c r="AWX115" s="17"/>
      <c r="AWY115" s="17"/>
      <c r="AWZ115" s="17"/>
      <c r="AXA115" s="17"/>
      <c r="AXB115" s="17"/>
      <c r="AXC115" s="17"/>
      <c r="AXD115" s="17"/>
      <c r="AXE115" s="17"/>
      <c r="AXF115" s="17"/>
      <c r="AXG115" s="17"/>
      <c r="AXH115" s="17"/>
      <c r="AXI115" s="17"/>
      <c r="AXJ115" s="17"/>
      <c r="AXK115" s="17"/>
      <c r="AXL115" s="17"/>
      <c r="AXM115" s="17"/>
      <c r="AXN115" s="17"/>
      <c r="AXO115" s="17"/>
      <c r="AXP115" s="17"/>
      <c r="AXQ115" s="17"/>
      <c r="AXR115" s="17"/>
      <c r="AXS115" s="17"/>
      <c r="AXT115" s="17"/>
      <c r="AXU115" s="17"/>
      <c r="AXV115" s="17"/>
      <c r="AXW115" s="17"/>
      <c r="AXX115" s="17"/>
      <c r="AXY115" s="17"/>
      <c r="AXZ115" s="17"/>
      <c r="AYA115" s="17"/>
      <c r="AYB115" s="17"/>
      <c r="AYC115" s="17"/>
      <c r="AYD115" s="17"/>
      <c r="AYE115" s="17"/>
      <c r="AYF115" s="17"/>
      <c r="AYG115" s="17"/>
      <c r="AYH115" s="17"/>
      <c r="AYI115" s="17"/>
      <c r="AYJ115" s="17"/>
      <c r="AYK115" s="17"/>
      <c r="AYL115" s="17"/>
      <c r="AYM115" s="17"/>
      <c r="AYN115" s="17"/>
      <c r="AYO115" s="17"/>
      <c r="AYP115" s="17"/>
      <c r="AYQ115" s="17"/>
      <c r="AYR115" s="17"/>
      <c r="AYS115" s="17"/>
      <c r="AYT115" s="17"/>
      <c r="AYU115" s="17"/>
      <c r="AYV115" s="17"/>
      <c r="AYW115" s="17"/>
      <c r="AYX115" s="17"/>
      <c r="AYY115" s="17"/>
      <c r="AYZ115" s="17"/>
      <c r="AZA115" s="17"/>
      <c r="AZB115" s="17"/>
      <c r="AZC115" s="17"/>
      <c r="AZD115" s="17"/>
      <c r="AZE115" s="17"/>
      <c r="AZF115" s="17"/>
      <c r="AZG115" s="17"/>
      <c r="AZH115" s="17"/>
      <c r="AZI115" s="17"/>
      <c r="AZJ115" s="17"/>
      <c r="AZK115" s="17"/>
      <c r="AZL115" s="17"/>
      <c r="AZM115" s="17"/>
      <c r="AZN115" s="17"/>
      <c r="AZO115" s="17"/>
      <c r="AZP115" s="17"/>
      <c r="AZQ115" s="17"/>
      <c r="AZR115" s="17"/>
      <c r="AZS115" s="17"/>
      <c r="AZT115" s="17"/>
      <c r="AZU115" s="17"/>
      <c r="AZV115" s="17"/>
      <c r="AZW115" s="17"/>
      <c r="AZX115" s="17"/>
      <c r="AZY115" s="17"/>
      <c r="AZZ115" s="17"/>
      <c r="BAA115" s="17"/>
      <c r="BAB115" s="17"/>
      <c r="BAC115" s="17"/>
      <c r="BAD115" s="17"/>
      <c r="BAE115" s="17"/>
      <c r="BAF115" s="17"/>
      <c r="BAG115" s="17"/>
      <c r="BAH115" s="17"/>
      <c r="BAI115" s="17"/>
      <c r="BAJ115" s="17"/>
      <c r="BAK115" s="17"/>
      <c r="BAL115" s="17"/>
      <c r="BAM115" s="17"/>
      <c r="BAN115" s="17"/>
      <c r="BAO115" s="17"/>
      <c r="BAP115" s="17"/>
      <c r="BAQ115" s="17"/>
      <c r="BAR115" s="17"/>
      <c r="BAS115" s="17"/>
      <c r="BAT115" s="17"/>
      <c r="BAU115" s="17"/>
      <c r="BAV115" s="17"/>
      <c r="BAW115" s="17"/>
      <c r="BAX115" s="17"/>
      <c r="BAY115" s="17"/>
      <c r="BAZ115" s="17"/>
      <c r="BBA115" s="17"/>
      <c r="BBB115" s="17"/>
      <c r="BBC115" s="17"/>
      <c r="BBD115" s="17"/>
      <c r="BBE115" s="17"/>
      <c r="BBF115" s="17"/>
      <c r="BBG115" s="17"/>
      <c r="BBH115" s="17"/>
      <c r="BBI115" s="17"/>
      <c r="BBJ115" s="17"/>
      <c r="BBK115" s="17"/>
      <c r="BBL115" s="17"/>
      <c r="BBM115" s="17"/>
      <c r="BBN115" s="17"/>
      <c r="BBO115" s="17"/>
      <c r="BBP115" s="17"/>
      <c r="BBQ115" s="17"/>
      <c r="BBR115" s="17"/>
      <c r="BBS115" s="17"/>
      <c r="BBT115" s="17"/>
      <c r="BBU115" s="17"/>
      <c r="BBV115" s="17"/>
      <c r="BBW115" s="17"/>
      <c r="BBX115" s="17"/>
      <c r="BBY115" s="17"/>
      <c r="BBZ115" s="17"/>
      <c r="BCA115" s="17"/>
      <c r="BCB115" s="17"/>
      <c r="BCC115" s="17"/>
      <c r="BCD115" s="17"/>
      <c r="BCE115" s="17"/>
      <c r="BCF115" s="17"/>
      <c r="BCG115" s="17"/>
      <c r="BCH115" s="17"/>
      <c r="BCI115" s="17"/>
      <c r="BCJ115" s="17"/>
      <c r="BCK115" s="17"/>
      <c r="BCL115" s="17"/>
      <c r="BCM115" s="17"/>
      <c r="BCN115" s="17"/>
      <c r="BCO115" s="17"/>
      <c r="BCP115" s="17"/>
      <c r="BCQ115" s="17"/>
      <c r="BCR115" s="17"/>
      <c r="BCS115" s="17"/>
      <c r="BCT115" s="17"/>
      <c r="BCU115" s="17"/>
      <c r="BCV115" s="17"/>
      <c r="BCW115" s="17"/>
      <c r="BCX115" s="17"/>
      <c r="BCY115" s="17"/>
      <c r="BCZ115" s="17"/>
      <c r="BDA115" s="17"/>
      <c r="BDB115" s="17"/>
      <c r="BDC115" s="17"/>
      <c r="BDD115" s="17"/>
      <c r="BDE115" s="17"/>
      <c r="BDF115" s="17"/>
      <c r="BDG115" s="17"/>
      <c r="BDH115" s="17"/>
      <c r="BDI115" s="17"/>
      <c r="BDJ115" s="17"/>
      <c r="BDK115" s="17"/>
      <c r="BDL115" s="17"/>
      <c r="BDM115" s="17"/>
      <c r="BDN115" s="17"/>
      <c r="BDO115" s="17"/>
      <c r="BDP115" s="17"/>
      <c r="BDQ115" s="17"/>
      <c r="BDR115" s="17"/>
      <c r="BDS115" s="17"/>
      <c r="BDT115" s="17"/>
      <c r="BDU115" s="17"/>
      <c r="BDV115" s="17"/>
      <c r="BDW115" s="17"/>
      <c r="BDX115" s="17"/>
      <c r="BDY115" s="17"/>
      <c r="BDZ115" s="17"/>
      <c r="BEA115" s="17"/>
      <c r="BEB115" s="17"/>
      <c r="BEC115" s="17"/>
      <c r="BED115" s="17"/>
      <c r="BEE115" s="17"/>
      <c r="BEF115" s="17"/>
      <c r="BEG115" s="17"/>
      <c r="BEH115" s="17"/>
      <c r="BEI115" s="17"/>
      <c r="BEJ115" s="17"/>
      <c r="BEK115" s="17"/>
      <c r="BEL115" s="17"/>
      <c r="BEM115" s="17"/>
      <c r="BEN115" s="17"/>
      <c r="BEO115" s="17"/>
      <c r="BEP115" s="17"/>
      <c r="BEQ115" s="17"/>
      <c r="BER115" s="17"/>
      <c r="BES115" s="17"/>
      <c r="BET115" s="17"/>
      <c r="BEU115" s="17"/>
      <c r="BEV115" s="17"/>
      <c r="BEW115" s="17"/>
      <c r="BEX115" s="17"/>
      <c r="BEY115" s="17"/>
      <c r="BEZ115" s="17"/>
      <c r="BFA115" s="17"/>
      <c r="BFB115" s="17"/>
      <c r="BFC115" s="17"/>
      <c r="BFD115" s="17"/>
      <c r="BFE115" s="17"/>
      <c r="BFF115" s="17"/>
      <c r="BFG115" s="17"/>
      <c r="BFH115" s="17"/>
      <c r="BFI115" s="17"/>
      <c r="BFJ115" s="17"/>
      <c r="BFK115" s="17"/>
      <c r="BFL115" s="17"/>
      <c r="BFM115" s="17"/>
      <c r="BFN115" s="17"/>
      <c r="BFO115" s="17"/>
      <c r="BFP115" s="17"/>
      <c r="BFQ115" s="17"/>
      <c r="BFR115" s="17"/>
      <c r="BFS115" s="17"/>
      <c r="BFT115" s="17"/>
      <c r="BFU115" s="17"/>
      <c r="BFV115" s="17"/>
      <c r="BFW115" s="17"/>
      <c r="BFX115" s="17"/>
      <c r="BFY115" s="17"/>
      <c r="BFZ115" s="17"/>
      <c r="BGA115" s="17"/>
      <c r="BGB115" s="17"/>
      <c r="BGC115" s="17"/>
      <c r="BGD115" s="17"/>
      <c r="BGE115" s="17"/>
      <c r="BGF115" s="17"/>
      <c r="BGG115" s="17"/>
      <c r="BGH115" s="17"/>
      <c r="BGI115" s="17"/>
      <c r="BGJ115" s="17"/>
      <c r="BGK115" s="17"/>
      <c r="BGL115" s="17"/>
      <c r="BGM115" s="17"/>
      <c r="BGN115" s="17"/>
      <c r="BGO115" s="17"/>
      <c r="BGP115" s="17"/>
      <c r="BGQ115" s="17"/>
      <c r="BGR115" s="17"/>
      <c r="BGS115" s="17"/>
      <c r="BGT115" s="17"/>
      <c r="BGU115" s="17"/>
      <c r="BGV115" s="17"/>
      <c r="BGW115" s="17"/>
      <c r="BGX115" s="17"/>
      <c r="BGY115" s="17"/>
      <c r="BGZ115" s="17"/>
      <c r="BHA115" s="17"/>
      <c r="BHB115" s="17"/>
      <c r="BHC115" s="17"/>
      <c r="BHD115" s="17"/>
      <c r="BHE115" s="17"/>
      <c r="BHF115" s="17"/>
      <c r="BHG115" s="17"/>
      <c r="BHH115" s="17"/>
      <c r="BHI115" s="17"/>
      <c r="BHJ115" s="17"/>
      <c r="BHK115" s="17"/>
      <c r="BHL115" s="17"/>
      <c r="BHM115" s="17"/>
      <c r="BHN115" s="17"/>
      <c r="BHO115" s="17"/>
      <c r="BHP115" s="17"/>
      <c r="BHQ115" s="17"/>
      <c r="BHR115" s="17"/>
      <c r="BHS115" s="17"/>
      <c r="BHT115" s="17"/>
      <c r="BHU115" s="17"/>
      <c r="BHV115" s="17"/>
      <c r="BHW115" s="17"/>
      <c r="BHX115" s="17"/>
      <c r="BHY115" s="17"/>
      <c r="BHZ115" s="17"/>
      <c r="BIA115" s="17"/>
      <c r="BIB115" s="17"/>
      <c r="BIC115" s="17"/>
      <c r="BID115" s="17"/>
      <c r="BIE115" s="17"/>
      <c r="BIF115" s="17"/>
      <c r="BIG115" s="17"/>
      <c r="BIH115" s="17"/>
      <c r="BII115" s="17"/>
      <c r="BIJ115" s="17"/>
      <c r="BIK115" s="17"/>
      <c r="BIL115" s="17"/>
      <c r="BIM115" s="17"/>
      <c r="BIN115" s="17"/>
      <c r="BIO115" s="17"/>
      <c r="BIP115" s="17"/>
      <c r="BIQ115" s="17"/>
      <c r="BIR115" s="17"/>
      <c r="BIS115" s="17"/>
      <c r="BIT115" s="17"/>
      <c r="BIU115" s="17"/>
      <c r="BIV115" s="17"/>
      <c r="BIW115" s="17"/>
      <c r="BIX115" s="17"/>
      <c r="BIY115" s="17"/>
      <c r="BIZ115" s="17"/>
      <c r="BJA115" s="17"/>
      <c r="BJB115" s="17"/>
      <c r="BJC115" s="17"/>
      <c r="BJD115" s="17"/>
      <c r="BJE115" s="17"/>
      <c r="BJF115" s="17"/>
      <c r="BJG115" s="17"/>
      <c r="BJH115" s="17"/>
      <c r="BJI115" s="17"/>
      <c r="BJJ115" s="17"/>
      <c r="BJK115" s="17"/>
      <c r="BJL115" s="17"/>
      <c r="BJM115" s="17"/>
      <c r="BJN115" s="17"/>
      <c r="BJO115" s="17"/>
      <c r="BJP115" s="17"/>
      <c r="BJQ115" s="17"/>
      <c r="BJR115" s="17"/>
      <c r="BJS115" s="17"/>
      <c r="BJT115" s="17"/>
      <c r="BJU115" s="17"/>
      <c r="BJV115" s="17"/>
      <c r="BJW115" s="17"/>
      <c r="BJX115" s="17"/>
      <c r="BJY115" s="17"/>
      <c r="BJZ115" s="17"/>
      <c r="BKA115" s="17"/>
      <c r="BKB115" s="17"/>
      <c r="BKC115" s="17"/>
      <c r="BKD115" s="17"/>
      <c r="BKE115" s="17"/>
      <c r="BKF115" s="17"/>
      <c r="BKG115" s="17"/>
      <c r="BKH115" s="17"/>
      <c r="BKI115" s="17"/>
      <c r="BKJ115" s="17"/>
      <c r="BKK115" s="17"/>
      <c r="BKL115" s="17"/>
      <c r="BKM115" s="17"/>
      <c r="BKN115" s="17"/>
      <c r="BKO115" s="17"/>
      <c r="BKP115" s="17"/>
      <c r="BKQ115" s="17"/>
      <c r="BKR115" s="17"/>
      <c r="BKS115" s="17"/>
      <c r="BKT115" s="17"/>
      <c r="BKU115" s="17"/>
      <c r="BKV115" s="17"/>
      <c r="BKW115" s="17"/>
      <c r="BKX115" s="17"/>
      <c r="BKY115" s="17"/>
      <c r="BKZ115" s="17"/>
      <c r="BLA115" s="17"/>
      <c r="BLB115" s="17"/>
      <c r="BLC115" s="17"/>
      <c r="BLD115" s="17"/>
      <c r="BLE115" s="17"/>
      <c r="BLF115" s="17"/>
      <c r="BLG115" s="17"/>
      <c r="BLH115" s="17"/>
      <c r="BLI115" s="17"/>
      <c r="BLJ115" s="17"/>
      <c r="BLK115" s="17"/>
      <c r="BLL115" s="17"/>
      <c r="BLM115" s="17"/>
      <c r="BLN115" s="17"/>
      <c r="BLO115" s="17"/>
      <c r="BLP115" s="17"/>
      <c r="BLQ115" s="17"/>
      <c r="BLR115" s="17"/>
      <c r="BLS115" s="17"/>
      <c r="BLT115" s="17"/>
      <c r="BLU115" s="17"/>
      <c r="BLV115" s="17"/>
      <c r="BLW115" s="17"/>
      <c r="BLX115" s="17"/>
      <c r="BLY115" s="17"/>
      <c r="BLZ115" s="17"/>
      <c r="BMA115" s="17"/>
      <c r="BMB115" s="17"/>
      <c r="BMC115" s="17"/>
      <c r="BMD115" s="17"/>
      <c r="BME115" s="17"/>
      <c r="BMF115" s="17"/>
      <c r="BMG115" s="17"/>
      <c r="BMH115" s="17"/>
      <c r="BMI115" s="17"/>
      <c r="BMJ115" s="17"/>
      <c r="BMK115" s="17"/>
      <c r="BML115" s="17"/>
      <c r="BMM115" s="17"/>
      <c r="BMN115" s="17"/>
      <c r="BMO115" s="17"/>
      <c r="BMP115" s="17"/>
      <c r="BMQ115" s="17"/>
      <c r="BMR115" s="17"/>
      <c r="BMS115" s="17"/>
      <c r="BMT115" s="17"/>
      <c r="BMU115" s="17"/>
      <c r="BMV115" s="17"/>
      <c r="BMW115" s="17"/>
      <c r="BMX115" s="17"/>
      <c r="BMY115" s="17"/>
      <c r="BMZ115" s="17"/>
      <c r="BNA115" s="17"/>
      <c r="BNB115" s="17"/>
      <c r="BNC115" s="17"/>
      <c r="BND115" s="17"/>
      <c r="BNE115" s="17"/>
      <c r="BNF115" s="17"/>
      <c r="BNG115" s="17"/>
      <c r="BNH115" s="17"/>
      <c r="BNI115" s="17"/>
      <c r="BNJ115" s="17"/>
      <c r="BNK115" s="17"/>
      <c r="BNL115" s="17"/>
      <c r="BNM115" s="17"/>
      <c r="BNN115" s="17"/>
      <c r="BNO115" s="17"/>
      <c r="BNP115" s="17"/>
      <c r="BNQ115" s="17"/>
      <c r="BNR115" s="17"/>
      <c r="BNS115" s="17"/>
      <c r="BNT115" s="17"/>
      <c r="BNU115" s="17"/>
      <c r="BNV115" s="17"/>
      <c r="BNW115" s="17"/>
      <c r="BNX115" s="17"/>
      <c r="BNY115" s="17"/>
      <c r="BNZ115" s="17"/>
      <c r="BOA115" s="17"/>
      <c r="BOB115" s="17"/>
      <c r="BOC115" s="17"/>
      <c r="BOD115" s="17"/>
      <c r="BOE115" s="17"/>
      <c r="BOF115" s="17"/>
      <c r="BOG115" s="17"/>
      <c r="BOH115" s="17"/>
      <c r="BOI115" s="17"/>
      <c r="BOJ115" s="17"/>
      <c r="BOK115" s="17"/>
      <c r="BOL115" s="17"/>
      <c r="BOM115" s="17"/>
      <c r="BON115" s="17"/>
      <c r="BOO115" s="17"/>
      <c r="BOP115" s="17"/>
      <c r="BOQ115" s="17"/>
      <c r="BOR115" s="17"/>
      <c r="BOS115" s="17"/>
      <c r="BOT115" s="17"/>
      <c r="BOU115" s="17"/>
      <c r="BOV115" s="17"/>
      <c r="BOW115" s="17"/>
      <c r="BOX115" s="17"/>
      <c r="BOY115" s="17"/>
      <c r="BOZ115" s="17"/>
      <c r="BPA115" s="17"/>
      <c r="BPB115" s="17"/>
      <c r="BPC115" s="17"/>
      <c r="BPD115" s="17"/>
      <c r="BPE115" s="17"/>
      <c r="BPF115" s="17"/>
      <c r="BPG115" s="17"/>
      <c r="BPH115" s="17"/>
      <c r="BPI115" s="17"/>
      <c r="BPJ115" s="17"/>
      <c r="BPK115" s="17"/>
      <c r="BPL115" s="17"/>
      <c r="BPM115" s="17"/>
      <c r="BPN115" s="17"/>
      <c r="BPO115" s="17"/>
      <c r="BPP115" s="17"/>
      <c r="BPQ115" s="17"/>
      <c r="BPR115" s="17"/>
      <c r="BPS115" s="17"/>
      <c r="BPT115" s="17"/>
      <c r="BPU115" s="17"/>
      <c r="BPV115" s="17"/>
      <c r="BPW115" s="17"/>
      <c r="BPX115" s="17"/>
      <c r="BPY115" s="17"/>
      <c r="BPZ115" s="17"/>
      <c r="BQA115" s="17"/>
      <c r="BQB115" s="17"/>
      <c r="BQC115" s="17"/>
      <c r="BQD115" s="17"/>
      <c r="BQE115" s="17"/>
      <c r="BQF115" s="17"/>
      <c r="BQG115" s="17"/>
      <c r="BQH115" s="17"/>
      <c r="BQI115" s="17"/>
      <c r="BQJ115" s="17"/>
      <c r="BQK115" s="17"/>
      <c r="BQL115" s="17"/>
      <c r="BQM115" s="17"/>
      <c r="BQN115" s="17"/>
      <c r="BQO115" s="17"/>
      <c r="BQP115" s="17"/>
      <c r="BQQ115" s="17"/>
      <c r="BQR115" s="17"/>
      <c r="BQS115" s="17"/>
      <c r="BQT115" s="17"/>
      <c r="BQU115" s="17"/>
      <c r="BQV115" s="17"/>
      <c r="BQW115" s="17"/>
      <c r="BQX115" s="17"/>
      <c r="BQY115" s="17"/>
      <c r="BQZ115" s="17"/>
      <c r="BRA115" s="17"/>
      <c r="BRB115" s="17"/>
      <c r="BRC115" s="17"/>
      <c r="BRD115" s="17"/>
      <c r="BRE115" s="17"/>
      <c r="BRF115" s="17"/>
      <c r="BRG115" s="17"/>
      <c r="BRH115" s="17"/>
      <c r="BRI115" s="17"/>
      <c r="BRJ115" s="17"/>
      <c r="BRK115" s="17"/>
      <c r="BRL115" s="17"/>
      <c r="BRM115" s="17"/>
      <c r="BRN115" s="17"/>
      <c r="BRO115" s="17"/>
      <c r="BRP115" s="17"/>
      <c r="BRQ115" s="17"/>
      <c r="BRR115" s="17"/>
      <c r="BRS115" s="17"/>
      <c r="BRT115" s="17"/>
      <c r="BRU115" s="17"/>
      <c r="BRV115" s="17"/>
      <c r="BRW115" s="17"/>
      <c r="BRX115" s="17"/>
      <c r="BRY115" s="17"/>
      <c r="BRZ115" s="17"/>
      <c r="BSA115" s="17"/>
      <c r="BSB115" s="17"/>
      <c r="BSC115" s="17"/>
      <c r="BSD115" s="17"/>
      <c r="BSE115" s="17"/>
      <c r="BSF115" s="17"/>
      <c r="BSG115" s="17"/>
      <c r="BSH115" s="17"/>
      <c r="BSI115" s="17"/>
      <c r="BSJ115" s="17"/>
      <c r="BSK115" s="17"/>
      <c r="BSL115" s="17"/>
      <c r="BSM115" s="17"/>
      <c r="BSN115" s="17"/>
      <c r="BSO115" s="17"/>
      <c r="BSP115" s="17"/>
      <c r="BSQ115" s="17"/>
      <c r="BSR115" s="17"/>
      <c r="BSS115" s="17"/>
      <c r="BST115" s="17"/>
      <c r="BSU115" s="17"/>
      <c r="BSV115" s="17"/>
      <c r="BSW115" s="17"/>
      <c r="BSX115" s="17"/>
      <c r="BSY115" s="17"/>
      <c r="BSZ115" s="17"/>
      <c r="BTA115" s="17"/>
      <c r="BTB115" s="17"/>
      <c r="BTC115" s="17"/>
      <c r="BTD115" s="17"/>
      <c r="BTE115" s="17"/>
      <c r="BTF115" s="17"/>
      <c r="BTG115" s="17"/>
      <c r="BTH115" s="17"/>
      <c r="BTI115" s="17"/>
      <c r="BTJ115" s="17"/>
      <c r="BTK115" s="17"/>
      <c r="BTL115" s="17"/>
      <c r="BTM115" s="17"/>
      <c r="BTN115" s="17"/>
      <c r="BTO115" s="17"/>
      <c r="BTP115" s="17"/>
      <c r="BTQ115" s="17"/>
      <c r="BTR115" s="17"/>
      <c r="BTS115" s="17"/>
      <c r="BTT115" s="17"/>
      <c r="BTU115" s="17"/>
      <c r="BTV115" s="17"/>
      <c r="BTW115" s="17"/>
      <c r="BTX115" s="17"/>
      <c r="BTY115" s="17"/>
      <c r="BTZ115" s="17"/>
      <c r="BUA115" s="17"/>
      <c r="BUB115" s="17"/>
      <c r="BUC115" s="17"/>
      <c r="BUD115" s="17"/>
      <c r="BUE115" s="17"/>
      <c r="BUF115" s="17"/>
      <c r="BUG115" s="17"/>
      <c r="BUH115" s="17"/>
      <c r="BUI115" s="17"/>
      <c r="BUJ115" s="17"/>
      <c r="BUK115" s="17"/>
      <c r="BUL115" s="17"/>
      <c r="BUM115" s="17"/>
      <c r="BUN115" s="17"/>
      <c r="BUO115" s="17"/>
      <c r="BUP115" s="17"/>
      <c r="BUQ115" s="17"/>
      <c r="BUR115" s="17"/>
      <c r="BUS115" s="17"/>
      <c r="BUT115" s="17"/>
      <c r="BUU115" s="17"/>
      <c r="BUV115" s="17"/>
      <c r="BUW115" s="17"/>
      <c r="BUX115" s="17"/>
      <c r="BUY115" s="17"/>
      <c r="BUZ115" s="17"/>
      <c r="BVA115" s="17"/>
      <c r="BVB115" s="17"/>
      <c r="BVC115" s="17"/>
      <c r="BVD115" s="17"/>
      <c r="BVE115" s="17"/>
      <c r="BVF115" s="17"/>
      <c r="BVG115" s="17"/>
      <c r="BVH115" s="17"/>
      <c r="BVI115" s="17"/>
      <c r="BVJ115" s="17"/>
      <c r="BVK115" s="17"/>
      <c r="BVL115" s="17"/>
      <c r="BVM115" s="17"/>
      <c r="BVN115" s="17"/>
      <c r="BVO115" s="17"/>
      <c r="BVP115" s="17"/>
      <c r="BVQ115" s="17"/>
      <c r="BVR115" s="17"/>
      <c r="BVS115" s="17"/>
      <c r="BVT115" s="17"/>
      <c r="BVU115" s="17"/>
      <c r="BVV115" s="17"/>
      <c r="BVW115" s="17"/>
      <c r="BVX115" s="17"/>
      <c r="BVY115" s="17"/>
      <c r="BVZ115" s="17"/>
      <c r="BWA115" s="17"/>
      <c r="BWB115" s="17"/>
      <c r="BWC115" s="17"/>
      <c r="BWD115" s="17"/>
      <c r="BWE115" s="17"/>
      <c r="BWF115" s="17"/>
      <c r="BWG115" s="17"/>
      <c r="BWH115" s="17"/>
      <c r="BWI115" s="17"/>
      <c r="BWJ115" s="17"/>
      <c r="BWK115" s="17"/>
      <c r="BWL115" s="17"/>
      <c r="BWM115" s="17"/>
      <c r="BWN115" s="17"/>
      <c r="BWO115" s="17"/>
      <c r="BWP115" s="17"/>
      <c r="BWQ115" s="17"/>
      <c r="BWR115" s="17"/>
      <c r="BWS115" s="17"/>
      <c r="BWT115" s="17"/>
      <c r="BWU115" s="17"/>
      <c r="BWV115" s="17"/>
      <c r="BWW115" s="17"/>
      <c r="BWX115" s="17"/>
      <c r="BWY115" s="17"/>
      <c r="BWZ115" s="17"/>
      <c r="BXA115" s="17"/>
      <c r="BXB115" s="17"/>
      <c r="BXC115" s="17"/>
      <c r="BXD115" s="17"/>
      <c r="BXE115" s="17"/>
      <c r="BXF115" s="17"/>
      <c r="BXG115" s="17"/>
      <c r="BXH115" s="17"/>
      <c r="BXI115" s="17"/>
      <c r="BXJ115" s="17"/>
      <c r="BXK115" s="17"/>
      <c r="BXL115" s="17"/>
      <c r="BXM115" s="17"/>
      <c r="BXN115" s="17"/>
      <c r="BXO115" s="17"/>
      <c r="BXP115" s="17"/>
      <c r="BXQ115" s="17"/>
      <c r="BXR115" s="17"/>
      <c r="BXS115" s="17"/>
      <c r="BXT115" s="17"/>
      <c r="BXU115" s="17"/>
      <c r="BXV115" s="17"/>
      <c r="BXW115" s="17"/>
      <c r="BXX115" s="17"/>
      <c r="BXY115" s="17"/>
      <c r="BXZ115" s="17"/>
      <c r="BYA115" s="17"/>
      <c r="BYB115" s="17"/>
      <c r="BYC115" s="17"/>
      <c r="BYD115" s="17"/>
      <c r="BYE115" s="17"/>
      <c r="BYF115" s="17"/>
      <c r="BYG115" s="17"/>
      <c r="BYH115" s="17"/>
      <c r="BYI115" s="17"/>
      <c r="BYJ115" s="17"/>
      <c r="BYK115" s="17"/>
      <c r="BYL115" s="17"/>
      <c r="BYM115" s="17"/>
      <c r="BYN115" s="17"/>
      <c r="BYO115" s="17"/>
      <c r="BYP115" s="17"/>
      <c r="BYQ115" s="17"/>
      <c r="BYR115" s="17"/>
      <c r="BYS115" s="17"/>
      <c r="BYT115" s="17"/>
      <c r="BYU115" s="17"/>
      <c r="BYV115" s="17"/>
      <c r="BYW115" s="17"/>
      <c r="BYX115" s="17"/>
      <c r="BYY115" s="17"/>
      <c r="BYZ115" s="17"/>
      <c r="BZA115" s="17"/>
      <c r="BZB115" s="17"/>
      <c r="BZC115" s="17"/>
      <c r="BZD115" s="17"/>
      <c r="BZE115" s="17"/>
      <c r="BZF115" s="17"/>
      <c r="BZG115" s="17"/>
      <c r="BZH115" s="17"/>
      <c r="BZI115" s="17"/>
      <c r="BZJ115" s="17"/>
      <c r="BZK115" s="17"/>
      <c r="BZL115" s="17"/>
      <c r="BZM115" s="17"/>
      <c r="BZN115" s="17"/>
      <c r="BZO115" s="17"/>
      <c r="BZP115" s="17"/>
      <c r="BZQ115" s="17"/>
      <c r="BZR115" s="17"/>
      <c r="BZS115" s="17"/>
      <c r="BZT115" s="17"/>
      <c r="BZU115" s="17"/>
      <c r="BZV115" s="17"/>
      <c r="BZW115" s="17"/>
      <c r="BZX115" s="17"/>
      <c r="BZY115" s="17"/>
      <c r="BZZ115" s="17"/>
      <c r="CAA115" s="17"/>
      <c r="CAB115" s="17"/>
      <c r="CAC115" s="17"/>
      <c r="CAD115" s="17"/>
      <c r="CAE115" s="17"/>
      <c r="CAF115" s="17"/>
      <c r="CAG115" s="17"/>
      <c r="CAH115" s="17"/>
      <c r="CAI115" s="17"/>
      <c r="CAJ115" s="17"/>
      <c r="CAK115" s="17"/>
      <c r="CAL115" s="17"/>
      <c r="CAM115" s="17"/>
      <c r="CAN115" s="17"/>
      <c r="CAO115" s="17"/>
      <c r="CAP115" s="17"/>
      <c r="CAQ115" s="17"/>
      <c r="CAR115" s="17"/>
      <c r="CAS115" s="17"/>
      <c r="CAT115" s="17"/>
      <c r="CAU115" s="17"/>
      <c r="CAV115" s="17"/>
      <c r="CAW115" s="17"/>
      <c r="CAX115" s="17"/>
      <c r="CAY115" s="17"/>
      <c r="CAZ115" s="17"/>
      <c r="CBA115" s="17"/>
      <c r="CBB115" s="17"/>
      <c r="CBC115" s="17"/>
      <c r="CBD115" s="17"/>
      <c r="CBE115" s="17"/>
      <c r="CBF115" s="17"/>
      <c r="CBG115" s="17"/>
      <c r="CBH115" s="17"/>
      <c r="CBI115" s="17"/>
      <c r="CBJ115" s="17"/>
      <c r="CBK115" s="17"/>
      <c r="CBL115" s="17"/>
      <c r="CBM115" s="17"/>
      <c r="CBN115" s="17"/>
      <c r="CBO115" s="17"/>
      <c r="CBP115" s="17"/>
      <c r="CBQ115" s="17"/>
      <c r="CBR115" s="17"/>
      <c r="CBS115" s="17"/>
      <c r="CBT115" s="17"/>
      <c r="CBU115" s="17"/>
      <c r="CBV115" s="17"/>
      <c r="CBW115" s="17"/>
      <c r="CBX115" s="17"/>
      <c r="CBY115" s="17"/>
      <c r="CBZ115" s="17"/>
      <c r="CCA115" s="17"/>
      <c r="CCB115" s="17"/>
      <c r="CCC115" s="17"/>
      <c r="CCD115" s="17"/>
      <c r="CCE115" s="17"/>
      <c r="CCF115" s="17"/>
      <c r="CCG115" s="17"/>
      <c r="CCH115" s="17"/>
      <c r="CCI115" s="17"/>
      <c r="CCJ115" s="17"/>
      <c r="CCK115" s="17"/>
      <c r="CCL115" s="17"/>
      <c r="CCM115" s="17"/>
      <c r="CCN115" s="17"/>
      <c r="CCO115" s="17"/>
      <c r="CCP115" s="17"/>
      <c r="CCQ115" s="17"/>
      <c r="CCR115" s="17"/>
      <c r="CCS115" s="17"/>
      <c r="CCT115" s="17"/>
      <c r="CCU115" s="17"/>
      <c r="CCV115" s="17"/>
      <c r="CCW115" s="17"/>
      <c r="CCX115" s="17"/>
      <c r="CCY115" s="17"/>
      <c r="CCZ115" s="17"/>
      <c r="CDA115" s="17"/>
      <c r="CDB115" s="17"/>
      <c r="CDC115" s="17"/>
      <c r="CDD115" s="17"/>
      <c r="CDE115" s="17"/>
      <c r="CDF115" s="17"/>
      <c r="CDG115" s="17"/>
      <c r="CDH115" s="17"/>
      <c r="CDI115" s="17"/>
      <c r="CDJ115" s="17"/>
      <c r="CDK115" s="17"/>
      <c r="CDL115" s="17"/>
      <c r="CDM115" s="17"/>
      <c r="CDN115" s="17"/>
      <c r="CDO115" s="17"/>
      <c r="CDP115" s="17"/>
      <c r="CDQ115" s="17"/>
      <c r="CDR115" s="17"/>
      <c r="CDS115" s="17"/>
      <c r="CDT115" s="17"/>
      <c r="CDU115" s="17"/>
      <c r="CDV115" s="17"/>
      <c r="CDW115" s="17"/>
      <c r="CDX115" s="17"/>
      <c r="CDY115" s="17"/>
      <c r="CDZ115" s="17"/>
      <c r="CEA115" s="17"/>
      <c r="CEB115" s="17"/>
      <c r="CEC115" s="17"/>
      <c r="CED115" s="17"/>
      <c r="CEE115" s="17"/>
      <c r="CEF115" s="17"/>
      <c r="CEG115" s="17"/>
      <c r="CEH115" s="17"/>
      <c r="CEI115" s="17"/>
      <c r="CEJ115" s="17"/>
      <c r="CEK115" s="17"/>
      <c r="CEL115" s="17"/>
      <c r="CEM115" s="17"/>
      <c r="CEN115" s="17"/>
      <c r="CEO115" s="17"/>
      <c r="CEP115" s="17"/>
      <c r="CEQ115" s="17"/>
      <c r="CER115" s="17"/>
      <c r="CES115" s="17"/>
      <c r="CET115" s="17"/>
      <c r="CEU115" s="17"/>
      <c r="CEV115" s="17"/>
      <c r="CEW115" s="17"/>
      <c r="CEX115" s="17"/>
      <c r="CEY115" s="17"/>
      <c r="CEZ115" s="17"/>
      <c r="CFA115" s="17"/>
      <c r="CFB115" s="17"/>
      <c r="CFC115" s="17"/>
      <c r="CFD115" s="17"/>
      <c r="CFE115" s="17"/>
      <c r="CFF115" s="17"/>
      <c r="CFG115" s="17"/>
      <c r="CFH115" s="17"/>
      <c r="CFI115" s="17"/>
      <c r="CFJ115" s="17"/>
      <c r="CFK115" s="17"/>
      <c r="CFL115" s="17"/>
      <c r="CFM115" s="17"/>
      <c r="CFN115" s="17"/>
      <c r="CFO115" s="17"/>
      <c r="CFP115" s="17"/>
      <c r="CFQ115" s="17"/>
      <c r="CFR115" s="17"/>
      <c r="CFS115" s="17"/>
      <c r="CFT115" s="17"/>
      <c r="CFU115" s="17"/>
      <c r="CFV115" s="17"/>
      <c r="CFW115" s="17"/>
      <c r="CFX115" s="17"/>
      <c r="CFY115" s="17"/>
      <c r="CFZ115" s="17"/>
      <c r="CGA115" s="17"/>
      <c r="CGB115" s="17"/>
      <c r="CGC115" s="17"/>
      <c r="CGD115" s="17"/>
      <c r="CGE115" s="17"/>
      <c r="CGF115" s="17"/>
      <c r="CGG115" s="17"/>
      <c r="CGH115" s="17"/>
      <c r="CGI115" s="17"/>
      <c r="CGJ115" s="17"/>
      <c r="CGK115" s="17"/>
      <c r="CGL115" s="17"/>
      <c r="CGM115" s="17"/>
      <c r="CGN115" s="17"/>
      <c r="CGO115" s="17"/>
      <c r="CGP115" s="17"/>
      <c r="CGQ115" s="17"/>
      <c r="CGR115" s="17"/>
      <c r="CGS115" s="17"/>
      <c r="CGT115" s="17"/>
      <c r="CGU115" s="17"/>
      <c r="CGV115" s="17"/>
      <c r="CGW115" s="17"/>
      <c r="CGX115" s="17"/>
      <c r="CGY115" s="17"/>
      <c r="CGZ115" s="17"/>
      <c r="CHA115" s="17"/>
      <c r="CHB115" s="17"/>
      <c r="CHC115" s="17"/>
      <c r="CHD115" s="17"/>
      <c r="CHE115" s="17"/>
      <c r="CHF115" s="17"/>
      <c r="CHG115" s="17"/>
      <c r="CHH115" s="17"/>
      <c r="CHI115" s="17"/>
      <c r="CHJ115" s="17"/>
      <c r="CHK115" s="17"/>
      <c r="CHL115" s="17"/>
      <c r="CHM115" s="17"/>
      <c r="CHN115" s="17"/>
      <c r="CHO115" s="17"/>
      <c r="CHP115" s="17"/>
      <c r="CHQ115" s="17"/>
      <c r="CHR115" s="17"/>
      <c r="CHS115" s="17"/>
      <c r="CHT115" s="17"/>
      <c r="CHU115" s="17"/>
      <c r="CHV115" s="17"/>
      <c r="CHW115" s="17"/>
      <c r="CHX115" s="17"/>
      <c r="CHY115" s="17"/>
      <c r="CHZ115" s="17"/>
      <c r="CIA115" s="17"/>
      <c r="CIB115" s="17"/>
      <c r="CIC115" s="17"/>
      <c r="CID115" s="17"/>
      <c r="CIE115" s="17"/>
      <c r="CIF115" s="17"/>
      <c r="CIG115" s="17"/>
      <c r="CIH115" s="17"/>
      <c r="CII115" s="17"/>
      <c r="CIJ115" s="17"/>
      <c r="CIK115" s="17"/>
      <c r="CIL115" s="17"/>
      <c r="CIM115" s="17"/>
      <c r="CIN115" s="17"/>
      <c r="CIO115" s="17"/>
      <c r="CIP115" s="17"/>
      <c r="CIQ115" s="17"/>
      <c r="CIR115" s="17"/>
      <c r="CIS115" s="17"/>
      <c r="CIT115" s="17"/>
      <c r="CIU115" s="17"/>
      <c r="CIV115" s="17"/>
      <c r="CIW115" s="17"/>
      <c r="CIX115" s="17"/>
      <c r="CIY115" s="17"/>
      <c r="CIZ115" s="17"/>
      <c r="CJA115" s="17"/>
      <c r="CJB115" s="17"/>
      <c r="CJC115" s="17"/>
      <c r="CJD115" s="17"/>
      <c r="CJE115" s="17"/>
      <c r="CJF115" s="17"/>
      <c r="CJG115" s="17"/>
      <c r="CJH115" s="17"/>
      <c r="CJI115" s="17"/>
      <c r="CJJ115" s="17"/>
      <c r="CJK115" s="17"/>
      <c r="CJL115" s="17"/>
      <c r="CJM115" s="17"/>
      <c r="CJN115" s="17"/>
      <c r="CJO115" s="17"/>
      <c r="CJP115" s="17"/>
      <c r="CJQ115" s="17"/>
      <c r="CJR115" s="17"/>
      <c r="CJS115" s="17"/>
      <c r="CJT115" s="17"/>
      <c r="CJU115" s="17"/>
      <c r="CJV115" s="17"/>
      <c r="CJW115" s="17"/>
      <c r="CJX115" s="17"/>
      <c r="CJY115" s="17"/>
      <c r="CJZ115" s="17"/>
      <c r="CKA115" s="17"/>
      <c r="CKB115" s="17"/>
      <c r="CKC115" s="17"/>
      <c r="CKD115" s="17"/>
      <c r="CKE115" s="17"/>
      <c r="CKF115" s="17"/>
      <c r="CKG115" s="17"/>
      <c r="CKH115" s="17"/>
      <c r="CKI115" s="17"/>
      <c r="CKJ115" s="17"/>
      <c r="CKK115" s="17"/>
      <c r="CKL115" s="17"/>
      <c r="CKM115" s="17"/>
      <c r="CKN115" s="17"/>
      <c r="CKO115" s="17"/>
      <c r="CKP115" s="17"/>
      <c r="CKQ115" s="17"/>
      <c r="CKR115" s="17"/>
      <c r="CKS115" s="17"/>
      <c r="CKT115" s="17"/>
      <c r="CKU115" s="17"/>
      <c r="CKV115" s="17"/>
      <c r="CKW115" s="17"/>
      <c r="CKX115" s="17"/>
      <c r="CKY115" s="17"/>
      <c r="CKZ115" s="17"/>
      <c r="CLA115" s="17"/>
      <c r="CLB115" s="17"/>
      <c r="CLC115" s="17"/>
      <c r="CLD115" s="17"/>
      <c r="CLE115" s="17"/>
      <c r="CLF115" s="17"/>
      <c r="CLG115" s="17"/>
      <c r="CLH115" s="17"/>
      <c r="CLI115" s="17"/>
      <c r="CLJ115" s="17"/>
      <c r="CLK115" s="17"/>
      <c r="CLL115" s="17"/>
      <c r="CLM115" s="17"/>
      <c r="CLN115" s="17"/>
      <c r="CLO115" s="17"/>
      <c r="CLP115" s="17"/>
      <c r="CLQ115" s="17"/>
      <c r="CLR115" s="17"/>
      <c r="CLS115" s="17"/>
      <c r="CLT115" s="17"/>
      <c r="CLU115" s="17"/>
      <c r="CLV115" s="17"/>
      <c r="CLW115" s="17"/>
      <c r="CLX115" s="17"/>
      <c r="CLY115" s="17"/>
      <c r="CLZ115" s="17"/>
      <c r="CMA115" s="17"/>
      <c r="CMB115" s="17"/>
      <c r="CMC115" s="17"/>
      <c r="CMD115" s="17"/>
      <c r="CME115" s="17"/>
      <c r="CMF115" s="17"/>
      <c r="CMG115" s="17"/>
      <c r="CMH115" s="17"/>
      <c r="CMI115" s="17"/>
      <c r="CMJ115" s="17"/>
      <c r="CMK115" s="17"/>
      <c r="CML115" s="17"/>
      <c r="CMM115" s="17"/>
      <c r="CMN115" s="17"/>
      <c r="CMO115" s="17"/>
      <c r="CMP115" s="17"/>
      <c r="CMQ115" s="17"/>
      <c r="CMR115" s="17"/>
      <c r="CMS115" s="17"/>
      <c r="CMT115" s="17"/>
      <c r="CMU115" s="17"/>
      <c r="CMV115" s="17"/>
      <c r="CMW115" s="17"/>
      <c r="CMX115" s="17"/>
      <c r="CMY115" s="17"/>
      <c r="CMZ115" s="17"/>
      <c r="CNA115" s="17"/>
      <c r="CNB115" s="17"/>
      <c r="CNC115" s="17"/>
      <c r="CND115" s="17"/>
      <c r="CNE115" s="17"/>
      <c r="CNF115" s="17"/>
      <c r="CNG115" s="17"/>
      <c r="CNH115" s="17"/>
      <c r="CNI115" s="17"/>
      <c r="CNJ115" s="17"/>
      <c r="CNK115" s="17"/>
      <c r="CNL115" s="17"/>
      <c r="CNM115" s="17"/>
      <c r="CNN115" s="17"/>
      <c r="CNO115" s="17"/>
      <c r="CNP115" s="17"/>
      <c r="CNQ115" s="17"/>
      <c r="CNR115" s="17"/>
      <c r="CNS115" s="17"/>
      <c r="CNT115" s="17"/>
      <c r="CNU115" s="17"/>
      <c r="CNV115" s="17"/>
      <c r="CNW115" s="17"/>
      <c r="CNX115" s="17"/>
      <c r="CNY115" s="17"/>
      <c r="CNZ115" s="17"/>
      <c r="COA115" s="17"/>
      <c r="COB115" s="17"/>
      <c r="COC115" s="17"/>
      <c r="COD115" s="17"/>
      <c r="COE115" s="17"/>
      <c r="COF115" s="17"/>
      <c r="COG115" s="17"/>
      <c r="COH115" s="17"/>
      <c r="COI115" s="17"/>
      <c r="COJ115" s="17"/>
      <c r="COK115" s="17"/>
      <c r="COL115" s="17"/>
      <c r="COM115" s="17"/>
      <c r="CON115" s="17"/>
      <c r="COO115" s="17"/>
      <c r="COP115" s="17"/>
      <c r="COQ115" s="17"/>
      <c r="COR115" s="17"/>
      <c r="COS115" s="17"/>
      <c r="COT115" s="17"/>
      <c r="COU115" s="17"/>
      <c r="COV115" s="17"/>
      <c r="COW115" s="17"/>
      <c r="COX115" s="17"/>
      <c r="COY115" s="17"/>
      <c r="COZ115" s="17"/>
      <c r="CPA115" s="17"/>
      <c r="CPB115" s="17"/>
      <c r="CPC115" s="17"/>
      <c r="CPD115" s="17"/>
      <c r="CPE115" s="17"/>
      <c r="CPF115" s="17"/>
      <c r="CPG115" s="17"/>
      <c r="CPH115" s="17"/>
      <c r="CPI115" s="17"/>
      <c r="CPJ115" s="17"/>
      <c r="CPK115" s="17"/>
      <c r="CPL115" s="17"/>
      <c r="CPM115" s="17"/>
      <c r="CPN115" s="17"/>
      <c r="CPO115" s="17"/>
      <c r="CPP115" s="17"/>
      <c r="CPQ115" s="17"/>
      <c r="CPR115" s="17"/>
      <c r="CPS115" s="17"/>
      <c r="CPT115" s="17"/>
      <c r="CPU115" s="17"/>
      <c r="CPV115" s="17"/>
      <c r="CPW115" s="17"/>
      <c r="CPX115" s="17"/>
      <c r="CPY115" s="17"/>
      <c r="CPZ115" s="17"/>
      <c r="CQA115" s="17"/>
      <c r="CQB115" s="17"/>
      <c r="CQC115" s="17"/>
      <c r="CQD115" s="17"/>
      <c r="CQE115" s="17"/>
      <c r="CQF115" s="17"/>
      <c r="CQG115" s="17"/>
      <c r="CQH115" s="17"/>
      <c r="CQI115" s="17"/>
      <c r="CQJ115" s="17"/>
      <c r="CQK115" s="17"/>
      <c r="CQL115" s="17"/>
      <c r="CQM115" s="17"/>
      <c r="CQN115" s="17"/>
      <c r="CQO115" s="17"/>
      <c r="CQP115" s="17"/>
      <c r="CQQ115" s="17"/>
      <c r="CQR115" s="17"/>
      <c r="CQS115" s="17"/>
      <c r="CQT115" s="17"/>
      <c r="CQU115" s="17"/>
      <c r="CQV115" s="17"/>
      <c r="CQW115" s="17"/>
      <c r="CQX115" s="17"/>
      <c r="CQY115" s="17"/>
      <c r="CQZ115" s="17"/>
      <c r="CRA115" s="17"/>
      <c r="CRB115" s="17"/>
      <c r="CRC115" s="17"/>
      <c r="CRD115" s="17"/>
      <c r="CRE115" s="17"/>
      <c r="CRF115" s="17"/>
      <c r="CRG115" s="17"/>
      <c r="CRH115" s="17"/>
      <c r="CRI115" s="17"/>
      <c r="CRJ115" s="17"/>
      <c r="CRK115" s="17"/>
      <c r="CRL115" s="17"/>
      <c r="CRM115" s="17"/>
      <c r="CRN115" s="17"/>
      <c r="CRO115" s="17"/>
      <c r="CRP115" s="17"/>
      <c r="CRQ115" s="17"/>
      <c r="CRR115" s="17"/>
      <c r="CRS115" s="17"/>
      <c r="CRT115" s="17"/>
      <c r="CRU115" s="17"/>
      <c r="CRV115" s="17"/>
      <c r="CRW115" s="17"/>
      <c r="CRX115" s="17"/>
      <c r="CRY115" s="17"/>
      <c r="CRZ115" s="17"/>
      <c r="CSA115" s="17"/>
      <c r="CSB115" s="17"/>
      <c r="CSC115" s="17"/>
      <c r="CSD115" s="17"/>
      <c r="CSE115" s="17"/>
      <c r="CSF115" s="17"/>
      <c r="CSG115" s="17"/>
      <c r="CSH115" s="17"/>
      <c r="CSI115" s="17"/>
      <c r="CSJ115" s="17"/>
      <c r="CSK115" s="17"/>
      <c r="CSL115" s="17"/>
      <c r="CSM115" s="17"/>
      <c r="CSN115" s="17"/>
      <c r="CSO115" s="17"/>
      <c r="CSP115" s="17"/>
      <c r="CSQ115" s="17"/>
      <c r="CSR115" s="17"/>
      <c r="CSS115" s="17"/>
      <c r="CST115" s="17"/>
      <c r="CSU115" s="17"/>
      <c r="CSV115" s="17"/>
      <c r="CSW115" s="17"/>
      <c r="CSX115" s="17"/>
      <c r="CSY115" s="17"/>
      <c r="CSZ115" s="17"/>
      <c r="CTA115" s="17"/>
      <c r="CTB115" s="17"/>
      <c r="CTC115" s="17"/>
      <c r="CTD115" s="17"/>
      <c r="CTE115" s="17"/>
      <c r="CTF115" s="17"/>
      <c r="CTG115" s="17"/>
      <c r="CTH115" s="17"/>
      <c r="CTI115" s="17"/>
      <c r="CTJ115" s="17"/>
      <c r="CTK115" s="17"/>
      <c r="CTL115" s="17"/>
      <c r="CTM115" s="17"/>
      <c r="CTN115" s="17"/>
      <c r="CTO115" s="17"/>
      <c r="CTP115" s="17"/>
      <c r="CTQ115" s="17"/>
      <c r="CTR115" s="17"/>
      <c r="CTS115" s="17"/>
      <c r="CTT115" s="17"/>
      <c r="CTU115" s="17"/>
      <c r="CTV115" s="17"/>
      <c r="CTW115" s="17"/>
      <c r="CTX115" s="17"/>
      <c r="CTY115" s="17"/>
      <c r="CTZ115" s="17"/>
      <c r="CUA115" s="17"/>
      <c r="CUB115" s="17"/>
      <c r="CUC115" s="17"/>
      <c r="CUD115" s="17"/>
      <c r="CUE115" s="17"/>
      <c r="CUF115" s="17"/>
      <c r="CUG115" s="17"/>
      <c r="CUH115" s="17"/>
      <c r="CUI115" s="17"/>
      <c r="CUJ115" s="17"/>
      <c r="CUK115" s="17"/>
      <c r="CUL115" s="17"/>
      <c r="CUM115" s="17"/>
      <c r="CUN115" s="17"/>
      <c r="CUO115" s="17"/>
      <c r="CUP115" s="17"/>
      <c r="CUQ115" s="17"/>
      <c r="CUR115" s="17"/>
      <c r="CUS115" s="17"/>
      <c r="CUT115" s="17"/>
      <c r="CUU115" s="17"/>
      <c r="CUV115" s="17"/>
      <c r="CUW115" s="17"/>
      <c r="CUX115" s="17"/>
      <c r="CUY115" s="17"/>
      <c r="CUZ115" s="17"/>
      <c r="CVA115" s="17"/>
      <c r="CVB115" s="17"/>
      <c r="CVC115" s="17"/>
      <c r="CVD115" s="17"/>
      <c r="CVE115" s="17"/>
      <c r="CVF115" s="17"/>
      <c r="CVG115" s="17"/>
      <c r="CVH115" s="17"/>
      <c r="CVI115" s="17"/>
      <c r="CVJ115" s="17"/>
      <c r="CVK115" s="17"/>
      <c r="CVL115" s="17"/>
      <c r="CVM115" s="17"/>
      <c r="CVN115" s="17"/>
      <c r="CVO115" s="17"/>
      <c r="CVP115" s="17"/>
      <c r="CVQ115" s="17"/>
      <c r="CVR115" s="17"/>
      <c r="CVS115" s="17"/>
      <c r="CVT115" s="17"/>
      <c r="CVU115" s="17"/>
      <c r="CVV115" s="17"/>
      <c r="CVW115" s="17"/>
      <c r="CVX115" s="17"/>
      <c r="CVY115" s="17"/>
      <c r="CVZ115" s="17"/>
      <c r="CWA115" s="17"/>
      <c r="CWB115" s="17"/>
      <c r="CWC115" s="17"/>
      <c r="CWD115" s="17"/>
      <c r="CWE115" s="17"/>
      <c r="CWF115" s="17"/>
      <c r="CWG115" s="17"/>
      <c r="CWH115" s="17"/>
      <c r="CWI115" s="17"/>
      <c r="CWJ115" s="17"/>
      <c r="CWK115" s="17"/>
      <c r="CWL115" s="17"/>
      <c r="CWM115" s="17"/>
      <c r="CWN115" s="17"/>
      <c r="CWO115" s="17"/>
      <c r="CWP115" s="17"/>
      <c r="CWQ115" s="17"/>
      <c r="CWR115" s="17"/>
      <c r="CWS115" s="17"/>
      <c r="CWT115" s="17"/>
      <c r="CWU115" s="17"/>
      <c r="CWV115" s="17"/>
      <c r="CWW115" s="17"/>
      <c r="CWX115" s="17"/>
      <c r="CWY115" s="17"/>
      <c r="CWZ115" s="17"/>
      <c r="CXA115" s="17"/>
      <c r="CXB115" s="17"/>
      <c r="CXC115" s="17"/>
      <c r="CXD115" s="17"/>
      <c r="CXE115" s="17"/>
      <c r="CXF115" s="17"/>
      <c r="CXG115" s="17"/>
      <c r="CXH115" s="17"/>
      <c r="CXI115" s="17"/>
      <c r="CXJ115" s="17"/>
      <c r="CXK115" s="17"/>
      <c r="CXL115" s="17"/>
      <c r="CXM115" s="17"/>
      <c r="CXN115" s="17"/>
      <c r="CXO115" s="17"/>
      <c r="CXP115" s="17"/>
      <c r="CXQ115" s="17"/>
      <c r="CXR115" s="17"/>
      <c r="CXS115" s="17"/>
      <c r="CXT115" s="17"/>
      <c r="CXU115" s="17"/>
      <c r="CXV115" s="17"/>
      <c r="CXW115" s="17"/>
      <c r="CXX115" s="17"/>
      <c r="CXY115" s="17"/>
      <c r="CXZ115" s="17"/>
      <c r="CYA115" s="17"/>
      <c r="CYB115" s="17"/>
      <c r="CYC115" s="17"/>
      <c r="CYD115" s="17"/>
      <c r="CYE115" s="17"/>
      <c r="CYF115" s="17"/>
      <c r="CYG115" s="17"/>
      <c r="CYH115" s="17"/>
      <c r="CYI115" s="17"/>
      <c r="CYJ115" s="17"/>
      <c r="CYK115" s="17"/>
      <c r="CYL115" s="17"/>
      <c r="CYM115" s="17"/>
      <c r="CYN115" s="17"/>
      <c r="CYO115" s="17"/>
      <c r="CYP115" s="17"/>
      <c r="CYQ115" s="17"/>
      <c r="CYR115" s="17"/>
      <c r="CYS115" s="17"/>
      <c r="CYT115" s="17"/>
      <c r="CYU115" s="17"/>
      <c r="CYV115" s="17"/>
      <c r="CYW115" s="17"/>
      <c r="CYX115" s="17"/>
      <c r="CYY115" s="17"/>
      <c r="CYZ115" s="17"/>
      <c r="CZA115" s="17"/>
      <c r="CZB115" s="17"/>
      <c r="CZC115" s="17"/>
      <c r="CZD115" s="17"/>
      <c r="CZE115" s="17"/>
      <c r="CZF115" s="17"/>
      <c r="CZG115" s="17"/>
      <c r="CZH115" s="17"/>
      <c r="CZI115" s="17"/>
      <c r="CZJ115" s="17"/>
      <c r="CZK115" s="17"/>
      <c r="CZL115" s="17"/>
      <c r="CZM115" s="17"/>
      <c r="CZN115" s="17"/>
      <c r="CZO115" s="17"/>
      <c r="CZP115" s="17"/>
      <c r="CZQ115" s="17"/>
      <c r="CZR115" s="17"/>
      <c r="CZS115" s="17"/>
      <c r="CZT115" s="17"/>
      <c r="CZU115" s="17"/>
      <c r="CZV115" s="17"/>
      <c r="CZW115" s="17"/>
      <c r="CZX115" s="17"/>
      <c r="CZY115" s="17"/>
      <c r="CZZ115" s="17"/>
      <c r="DAA115" s="17"/>
      <c r="DAB115" s="17"/>
      <c r="DAC115" s="17"/>
      <c r="DAD115" s="17"/>
      <c r="DAE115" s="17"/>
      <c r="DAF115" s="17"/>
      <c r="DAG115" s="17"/>
      <c r="DAH115" s="17"/>
      <c r="DAI115" s="17"/>
      <c r="DAJ115" s="17"/>
      <c r="DAK115" s="17"/>
      <c r="DAL115" s="17"/>
      <c r="DAM115" s="17"/>
      <c r="DAN115" s="17"/>
      <c r="DAO115" s="17"/>
      <c r="DAP115" s="17"/>
      <c r="DAQ115" s="17"/>
      <c r="DAR115" s="17"/>
      <c r="DAS115" s="17"/>
      <c r="DAT115" s="17"/>
      <c r="DAU115" s="17"/>
      <c r="DAV115" s="17"/>
      <c r="DAW115" s="17"/>
      <c r="DAX115" s="17"/>
      <c r="DAY115" s="17"/>
      <c r="DAZ115" s="17"/>
      <c r="DBA115" s="17"/>
      <c r="DBB115" s="17"/>
      <c r="DBC115" s="17"/>
      <c r="DBD115" s="17"/>
      <c r="DBE115" s="17"/>
      <c r="DBF115" s="17"/>
      <c r="DBG115" s="17"/>
      <c r="DBH115" s="17"/>
      <c r="DBI115" s="17"/>
      <c r="DBJ115" s="17"/>
      <c r="DBK115" s="17"/>
      <c r="DBL115" s="17"/>
      <c r="DBM115" s="17"/>
      <c r="DBN115" s="17"/>
      <c r="DBO115" s="17"/>
      <c r="DBP115" s="17"/>
      <c r="DBQ115" s="17"/>
      <c r="DBR115" s="17"/>
      <c r="DBS115" s="17"/>
      <c r="DBT115" s="17"/>
      <c r="DBU115" s="17"/>
      <c r="DBV115" s="17"/>
      <c r="DBW115" s="17"/>
      <c r="DBX115" s="17"/>
      <c r="DBY115" s="17"/>
      <c r="DBZ115" s="17"/>
      <c r="DCA115" s="17"/>
      <c r="DCB115" s="17"/>
      <c r="DCC115" s="17"/>
      <c r="DCD115" s="17"/>
      <c r="DCE115" s="17"/>
      <c r="DCF115" s="17"/>
      <c r="DCG115" s="17"/>
      <c r="DCH115" s="17"/>
      <c r="DCI115" s="17"/>
      <c r="DCJ115" s="17"/>
      <c r="DCK115" s="17"/>
      <c r="DCL115" s="17"/>
      <c r="DCM115" s="17"/>
      <c r="DCN115" s="17"/>
      <c r="DCO115" s="17"/>
      <c r="DCP115" s="17"/>
      <c r="DCQ115" s="17"/>
      <c r="DCR115" s="17"/>
      <c r="DCS115" s="17"/>
      <c r="DCT115" s="17"/>
      <c r="DCU115" s="17"/>
      <c r="DCV115" s="17"/>
      <c r="DCW115" s="17"/>
      <c r="DCX115" s="17"/>
      <c r="DCY115" s="17"/>
      <c r="DCZ115" s="17"/>
      <c r="DDA115" s="17"/>
      <c r="DDB115" s="17"/>
      <c r="DDC115" s="17"/>
      <c r="DDD115" s="17"/>
      <c r="DDE115" s="17"/>
      <c r="DDF115" s="17"/>
      <c r="DDG115" s="17"/>
      <c r="DDH115" s="17"/>
      <c r="DDI115" s="17"/>
      <c r="DDJ115" s="17"/>
      <c r="DDK115" s="17"/>
      <c r="DDL115" s="17"/>
      <c r="DDM115" s="17"/>
      <c r="DDN115" s="17"/>
      <c r="DDO115" s="17"/>
      <c r="DDP115" s="17"/>
      <c r="DDQ115" s="17"/>
      <c r="DDR115" s="17"/>
      <c r="DDS115" s="17"/>
      <c r="DDT115" s="17"/>
      <c r="DDU115" s="17"/>
      <c r="DDV115" s="17"/>
      <c r="DDW115" s="17"/>
      <c r="DDX115" s="17"/>
      <c r="DDY115" s="17"/>
      <c r="DDZ115" s="17"/>
      <c r="DEA115" s="17"/>
      <c r="DEB115" s="17"/>
      <c r="DEC115" s="17"/>
      <c r="DED115" s="17"/>
      <c r="DEE115" s="17"/>
      <c r="DEF115" s="17"/>
      <c r="DEG115" s="17"/>
      <c r="DEH115" s="17"/>
      <c r="DEI115" s="17"/>
      <c r="DEJ115" s="17"/>
      <c r="DEK115" s="17"/>
      <c r="DEL115" s="17"/>
      <c r="DEM115" s="17"/>
      <c r="DEN115" s="17"/>
      <c r="DEO115" s="17"/>
      <c r="DEP115" s="17"/>
      <c r="DEQ115" s="17"/>
      <c r="DER115" s="17"/>
      <c r="DES115" s="17"/>
      <c r="DET115" s="17"/>
      <c r="DEU115" s="17"/>
      <c r="DEV115" s="17"/>
      <c r="DEW115" s="17"/>
      <c r="DEX115" s="17"/>
      <c r="DEY115" s="17"/>
      <c r="DEZ115" s="17"/>
      <c r="DFA115" s="17"/>
      <c r="DFB115" s="17"/>
      <c r="DFC115" s="17"/>
      <c r="DFD115" s="17"/>
      <c r="DFE115" s="17"/>
      <c r="DFF115" s="17"/>
      <c r="DFG115" s="17"/>
      <c r="DFH115" s="17"/>
      <c r="DFI115" s="17"/>
      <c r="DFJ115" s="17"/>
      <c r="DFK115" s="17"/>
      <c r="DFL115" s="17"/>
      <c r="DFM115" s="17"/>
      <c r="DFN115" s="17"/>
      <c r="DFO115" s="17"/>
      <c r="DFP115" s="17"/>
      <c r="DFQ115" s="17"/>
      <c r="DFR115" s="17"/>
      <c r="DFS115" s="17"/>
      <c r="DFT115" s="17"/>
      <c r="DFU115" s="17"/>
      <c r="DFV115" s="17"/>
      <c r="DFW115" s="17"/>
      <c r="DFX115" s="17"/>
      <c r="DFY115" s="17"/>
      <c r="DFZ115" s="17"/>
      <c r="DGA115" s="17"/>
      <c r="DGB115" s="17"/>
      <c r="DGC115" s="17"/>
      <c r="DGD115" s="17"/>
      <c r="DGE115" s="17"/>
      <c r="DGF115" s="17"/>
      <c r="DGG115" s="17"/>
      <c r="DGH115" s="17"/>
      <c r="DGI115" s="17"/>
      <c r="DGJ115" s="17"/>
      <c r="DGK115" s="17"/>
      <c r="DGL115" s="17"/>
      <c r="DGM115" s="17"/>
      <c r="DGN115" s="17"/>
      <c r="DGO115" s="17"/>
      <c r="DGP115" s="17"/>
      <c r="DGQ115" s="17"/>
      <c r="DGR115" s="17"/>
      <c r="DGS115" s="17"/>
      <c r="DGT115" s="17"/>
      <c r="DGU115" s="17"/>
      <c r="DGV115" s="17"/>
      <c r="DGW115" s="17"/>
      <c r="DGX115" s="17"/>
      <c r="DGY115" s="17"/>
      <c r="DGZ115" s="17"/>
      <c r="DHA115" s="17"/>
      <c r="DHB115" s="17"/>
      <c r="DHC115" s="17"/>
      <c r="DHD115" s="17"/>
      <c r="DHE115" s="17"/>
      <c r="DHF115" s="17"/>
      <c r="DHG115" s="17"/>
      <c r="DHH115" s="17"/>
      <c r="DHI115" s="17"/>
      <c r="DHJ115" s="17"/>
      <c r="DHK115" s="17"/>
      <c r="DHL115" s="17"/>
      <c r="DHM115" s="17"/>
      <c r="DHN115" s="17"/>
      <c r="DHO115" s="17"/>
      <c r="DHP115" s="17"/>
      <c r="DHQ115" s="17"/>
      <c r="DHR115" s="17"/>
      <c r="DHS115" s="17"/>
      <c r="DHT115" s="17"/>
      <c r="DHU115" s="17"/>
      <c r="DHV115" s="17"/>
      <c r="DHW115" s="17"/>
      <c r="DHX115" s="17"/>
      <c r="DHY115" s="17"/>
      <c r="DHZ115" s="17"/>
      <c r="DIA115" s="17"/>
      <c r="DIB115" s="17"/>
      <c r="DIC115" s="17"/>
      <c r="DID115" s="17"/>
      <c r="DIE115" s="17"/>
      <c r="DIF115" s="17"/>
      <c r="DIG115" s="17"/>
      <c r="DIH115" s="17"/>
      <c r="DII115" s="17"/>
      <c r="DIJ115" s="17"/>
      <c r="DIK115" s="17"/>
      <c r="DIL115" s="17"/>
      <c r="DIM115" s="17"/>
      <c r="DIN115" s="17"/>
      <c r="DIO115" s="17"/>
      <c r="DIP115" s="17"/>
      <c r="DIQ115" s="17"/>
      <c r="DIR115" s="17"/>
      <c r="DIS115" s="17"/>
      <c r="DIT115" s="17"/>
      <c r="DIU115" s="17"/>
      <c r="DIV115" s="17"/>
      <c r="DIW115" s="17"/>
      <c r="DIX115" s="17"/>
      <c r="DIY115" s="17"/>
      <c r="DIZ115" s="17"/>
      <c r="DJA115" s="17"/>
      <c r="DJB115" s="17"/>
      <c r="DJC115" s="17"/>
      <c r="DJD115" s="17"/>
      <c r="DJE115" s="17"/>
      <c r="DJF115" s="17"/>
      <c r="DJG115" s="17"/>
      <c r="DJH115" s="17"/>
      <c r="DJI115" s="17"/>
      <c r="DJJ115" s="17"/>
      <c r="DJK115" s="17"/>
      <c r="DJL115" s="17"/>
      <c r="DJM115" s="17"/>
      <c r="DJN115" s="17"/>
      <c r="DJO115" s="17"/>
      <c r="DJP115" s="17"/>
      <c r="DJQ115" s="17"/>
      <c r="DJR115" s="17"/>
      <c r="DJS115" s="17"/>
      <c r="DJT115" s="17"/>
      <c r="DJU115" s="17"/>
      <c r="DJV115" s="17"/>
      <c r="DJW115" s="17"/>
      <c r="DJX115" s="17"/>
      <c r="DJY115" s="17"/>
      <c r="DJZ115" s="17"/>
      <c r="DKA115" s="17"/>
      <c r="DKB115" s="17"/>
      <c r="DKC115" s="17"/>
      <c r="DKD115" s="17"/>
      <c r="DKE115" s="17"/>
      <c r="DKF115" s="17"/>
      <c r="DKG115" s="17"/>
      <c r="DKH115" s="17"/>
      <c r="DKI115" s="17"/>
      <c r="DKJ115" s="17"/>
      <c r="DKK115" s="17"/>
      <c r="DKL115" s="17"/>
      <c r="DKM115" s="17"/>
      <c r="DKN115" s="17"/>
      <c r="DKO115" s="17"/>
      <c r="DKP115" s="17"/>
      <c r="DKQ115" s="17"/>
      <c r="DKR115" s="17"/>
      <c r="DKS115" s="17"/>
      <c r="DKT115" s="17"/>
      <c r="DKU115" s="17"/>
      <c r="DKV115" s="17"/>
      <c r="DKW115" s="17"/>
      <c r="DKX115" s="17"/>
      <c r="DKY115" s="17"/>
      <c r="DKZ115" s="17"/>
      <c r="DLA115" s="17"/>
      <c r="DLB115" s="17"/>
      <c r="DLC115" s="17"/>
      <c r="DLD115" s="17"/>
      <c r="DLE115" s="17"/>
      <c r="DLF115" s="17"/>
      <c r="DLG115" s="17"/>
      <c r="DLH115" s="17"/>
      <c r="DLI115" s="17"/>
      <c r="DLJ115" s="17"/>
      <c r="DLK115" s="17"/>
      <c r="DLL115" s="17"/>
      <c r="DLM115" s="17"/>
      <c r="DLN115" s="17"/>
      <c r="DLO115" s="17"/>
      <c r="DLP115" s="17"/>
      <c r="DLQ115" s="17"/>
      <c r="DLR115" s="17"/>
      <c r="DLS115" s="17"/>
      <c r="DLT115" s="17"/>
      <c r="DLU115" s="17"/>
      <c r="DLV115" s="17"/>
      <c r="DLW115" s="17"/>
      <c r="DLX115" s="17"/>
      <c r="DLY115" s="17"/>
      <c r="DLZ115" s="17"/>
      <c r="DMA115" s="17"/>
      <c r="DMB115" s="17"/>
      <c r="DMC115" s="17"/>
      <c r="DMD115" s="17"/>
      <c r="DME115" s="17"/>
      <c r="DMF115" s="17"/>
      <c r="DMG115" s="17"/>
      <c r="DMH115" s="17"/>
      <c r="DMI115" s="17"/>
      <c r="DMJ115" s="17"/>
      <c r="DMK115" s="17"/>
      <c r="DML115" s="17"/>
      <c r="DMM115" s="17"/>
      <c r="DMN115" s="17"/>
      <c r="DMO115" s="17"/>
      <c r="DMP115" s="17"/>
      <c r="DMQ115" s="17"/>
      <c r="DMR115" s="17"/>
      <c r="DMS115" s="17"/>
      <c r="DMT115" s="17"/>
      <c r="DMU115" s="17"/>
      <c r="DMV115" s="17"/>
      <c r="DMW115" s="17"/>
      <c r="DMX115" s="17"/>
      <c r="DMY115" s="17"/>
      <c r="DMZ115" s="17"/>
      <c r="DNA115" s="17"/>
      <c r="DNB115" s="17"/>
      <c r="DNC115" s="17"/>
      <c r="DND115" s="17"/>
      <c r="DNE115" s="17"/>
      <c r="DNF115" s="17"/>
      <c r="DNG115" s="17"/>
      <c r="DNH115" s="17"/>
      <c r="DNI115" s="17"/>
      <c r="DNJ115" s="17"/>
      <c r="DNK115" s="17"/>
      <c r="DNL115" s="17"/>
      <c r="DNM115" s="17"/>
      <c r="DNN115" s="17"/>
      <c r="DNO115" s="17"/>
      <c r="DNP115" s="17"/>
      <c r="DNQ115" s="17"/>
      <c r="DNR115" s="17"/>
      <c r="DNS115" s="17"/>
      <c r="DNT115" s="17"/>
      <c r="DNU115" s="17"/>
      <c r="DNV115" s="17"/>
      <c r="DNW115" s="17"/>
      <c r="DNX115" s="17"/>
      <c r="DNY115" s="17"/>
      <c r="DNZ115" s="17"/>
      <c r="DOA115" s="17"/>
      <c r="DOB115" s="17"/>
      <c r="DOC115" s="17"/>
      <c r="DOD115" s="17"/>
      <c r="DOE115" s="17"/>
      <c r="DOF115" s="17"/>
      <c r="DOG115" s="17"/>
      <c r="DOH115" s="17"/>
      <c r="DOI115" s="17"/>
      <c r="DOJ115" s="17"/>
      <c r="DOK115" s="17"/>
      <c r="DOL115" s="17"/>
      <c r="DOM115" s="17"/>
      <c r="DON115" s="17"/>
      <c r="DOO115" s="17"/>
      <c r="DOP115" s="17"/>
      <c r="DOQ115" s="17"/>
      <c r="DOR115" s="17"/>
      <c r="DOS115" s="17"/>
      <c r="DOT115" s="17"/>
      <c r="DOU115" s="17"/>
      <c r="DOV115" s="17"/>
      <c r="DOW115" s="17"/>
      <c r="DOX115" s="17"/>
      <c r="DOY115" s="17"/>
      <c r="DOZ115" s="17"/>
      <c r="DPA115" s="17"/>
      <c r="DPB115" s="17"/>
      <c r="DPC115" s="17"/>
      <c r="DPD115" s="17"/>
      <c r="DPE115" s="17"/>
      <c r="DPF115" s="17"/>
      <c r="DPG115" s="17"/>
      <c r="DPH115" s="17"/>
      <c r="DPI115" s="17"/>
      <c r="DPJ115" s="17"/>
      <c r="DPK115" s="17"/>
      <c r="DPL115" s="17"/>
      <c r="DPM115" s="17"/>
      <c r="DPN115" s="17"/>
      <c r="DPO115" s="17"/>
      <c r="DPP115" s="17"/>
      <c r="DPQ115" s="17"/>
      <c r="DPR115" s="17"/>
      <c r="DPS115" s="17"/>
      <c r="DPT115" s="17"/>
      <c r="DPU115" s="17"/>
      <c r="DPV115" s="17"/>
      <c r="DPW115" s="17"/>
      <c r="DPX115" s="17"/>
      <c r="DPY115" s="17"/>
      <c r="DPZ115" s="17"/>
      <c r="DQA115" s="17"/>
      <c r="DQB115" s="17"/>
      <c r="DQC115" s="17"/>
      <c r="DQD115" s="17"/>
      <c r="DQE115" s="17"/>
      <c r="DQF115" s="17"/>
      <c r="DQG115" s="17"/>
      <c r="DQH115" s="17"/>
      <c r="DQI115" s="17"/>
      <c r="DQJ115" s="17"/>
      <c r="DQK115" s="17"/>
      <c r="DQL115" s="17"/>
      <c r="DQM115" s="17"/>
      <c r="DQN115" s="17"/>
      <c r="DQO115" s="17"/>
      <c r="DQP115" s="17"/>
      <c r="DQQ115" s="17"/>
      <c r="DQR115" s="17"/>
      <c r="DQS115" s="17"/>
      <c r="DQT115" s="17"/>
      <c r="DQU115" s="17"/>
      <c r="DQV115" s="17"/>
      <c r="DQW115" s="17"/>
      <c r="DQX115" s="17"/>
      <c r="DQY115" s="17"/>
      <c r="DQZ115" s="17"/>
      <c r="DRA115" s="17"/>
      <c r="DRB115" s="17"/>
      <c r="DRC115" s="17"/>
      <c r="DRD115" s="17"/>
      <c r="DRE115" s="17"/>
      <c r="DRF115" s="17"/>
      <c r="DRG115" s="17"/>
      <c r="DRH115" s="17"/>
      <c r="DRI115" s="17"/>
      <c r="DRJ115" s="17"/>
      <c r="DRK115" s="17"/>
      <c r="DRL115" s="17"/>
      <c r="DRM115" s="17"/>
      <c r="DRN115" s="17"/>
      <c r="DRO115" s="17"/>
      <c r="DRP115" s="17"/>
      <c r="DRQ115" s="17"/>
      <c r="DRR115" s="17"/>
      <c r="DRS115" s="17"/>
      <c r="DRT115" s="17"/>
      <c r="DRU115" s="17"/>
      <c r="DRV115" s="17"/>
      <c r="DRW115" s="17"/>
      <c r="DRX115" s="17"/>
      <c r="DRY115" s="17"/>
      <c r="DRZ115" s="17"/>
      <c r="DSA115" s="17"/>
      <c r="DSB115" s="17"/>
      <c r="DSC115" s="17"/>
      <c r="DSD115" s="17"/>
      <c r="DSE115" s="17"/>
      <c r="DSF115" s="17"/>
      <c r="DSG115" s="17"/>
      <c r="DSH115" s="17"/>
      <c r="DSI115" s="17"/>
      <c r="DSJ115" s="17"/>
      <c r="DSK115" s="17"/>
      <c r="DSL115" s="17"/>
      <c r="DSM115" s="17"/>
      <c r="DSN115" s="17"/>
      <c r="DSO115" s="17"/>
      <c r="DSP115" s="17"/>
      <c r="DSQ115" s="17"/>
      <c r="DSR115" s="17"/>
      <c r="DSS115" s="17"/>
      <c r="DST115" s="17"/>
      <c r="DSU115" s="17"/>
      <c r="DSV115" s="17"/>
      <c r="DSW115" s="17"/>
      <c r="DSX115" s="17"/>
      <c r="DSY115" s="17"/>
      <c r="DSZ115" s="17"/>
      <c r="DTA115" s="17"/>
      <c r="DTB115" s="17"/>
      <c r="DTC115" s="17"/>
      <c r="DTD115" s="17"/>
      <c r="DTE115" s="17"/>
      <c r="DTF115" s="17"/>
      <c r="DTG115" s="17"/>
      <c r="DTH115" s="17"/>
      <c r="DTI115" s="17"/>
      <c r="DTJ115" s="17"/>
      <c r="DTK115" s="17"/>
      <c r="DTL115" s="17"/>
      <c r="DTM115" s="17"/>
      <c r="DTN115" s="17"/>
      <c r="DTO115" s="17"/>
      <c r="DTP115" s="17"/>
      <c r="DTQ115" s="17"/>
      <c r="DTR115" s="17"/>
      <c r="DTS115" s="17"/>
      <c r="DTT115" s="17"/>
      <c r="DTU115" s="17"/>
      <c r="DTV115" s="17"/>
      <c r="DTW115" s="17"/>
      <c r="DTX115" s="17"/>
      <c r="DTY115" s="17"/>
      <c r="DTZ115" s="17"/>
      <c r="DUA115" s="17"/>
      <c r="DUB115" s="17"/>
      <c r="DUC115" s="17"/>
      <c r="DUD115" s="17"/>
      <c r="DUE115" s="17"/>
      <c r="DUF115" s="17"/>
      <c r="DUG115" s="17"/>
      <c r="DUH115" s="17"/>
      <c r="DUI115" s="17"/>
      <c r="DUJ115" s="17"/>
      <c r="DUK115" s="17"/>
      <c r="DUL115" s="17"/>
      <c r="DUM115" s="17"/>
      <c r="DUN115" s="17"/>
      <c r="DUO115" s="17"/>
      <c r="DUP115" s="17"/>
      <c r="DUQ115" s="17"/>
      <c r="DUR115" s="17"/>
      <c r="DUS115" s="17"/>
      <c r="DUT115" s="17"/>
      <c r="DUU115" s="17"/>
      <c r="DUV115" s="17"/>
      <c r="DUW115" s="17"/>
      <c r="DUX115" s="17"/>
      <c r="DUY115" s="17"/>
      <c r="DUZ115" s="17"/>
      <c r="DVA115" s="17"/>
      <c r="DVB115" s="17"/>
      <c r="DVC115" s="17"/>
      <c r="DVD115" s="17"/>
      <c r="DVE115" s="17"/>
      <c r="DVF115" s="17"/>
      <c r="DVG115" s="17"/>
      <c r="DVH115" s="17"/>
      <c r="DVI115" s="17"/>
      <c r="DVJ115" s="17"/>
      <c r="DVK115" s="17"/>
      <c r="DVL115" s="17"/>
      <c r="DVM115" s="17"/>
      <c r="DVN115" s="17"/>
      <c r="DVO115" s="17"/>
      <c r="DVP115" s="17"/>
      <c r="DVQ115" s="17"/>
      <c r="DVR115" s="17"/>
      <c r="DVS115" s="17"/>
      <c r="DVT115" s="17"/>
      <c r="DVU115" s="17"/>
      <c r="DVV115" s="17"/>
      <c r="DVW115" s="17"/>
      <c r="DVX115" s="17"/>
      <c r="DVY115" s="17"/>
      <c r="DVZ115" s="17"/>
      <c r="DWA115" s="17"/>
      <c r="DWB115" s="17"/>
      <c r="DWC115" s="17"/>
      <c r="DWD115" s="17"/>
      <c r="DWE115" s="17"/>
      <c r="DWF115" s="17"/>
      <c r="DWG115" s="17"/>
      <c r="DWH115" s="17"/>
      <c r="DWI115" s="17"/>
      <c r="DWJ115" s="17"/>
      <c r="DWK115" s="17"/>
      <c r="DWL115" s="17"/>
      <c r="DWM115" s="17"/>
      <c r="DWN115" s="17"/>
      <c r="DWO115" s="17"/>
      <c r="DWP115" s="17"/>
      <c r="DWQ115" s="17"/>
      <c r="DWR115" s="17"/>
      <c r="DWS115" s="17"/>
      <c r="DWT115" s="17"/>
      <c r="DWU115" s="17"/>
      <c r="DWV115" s="17"/>
      <c r="DWW115" s="17"/>
      <c r="DWX115" s="17"/>
      <c r="DWY115" s="17"/>
      <c r="DWZ115" s="17"/>
      <c r="DXA115" s="17"/>
      <c r="DXB115" s="17"/>
      <c r="DXC115" s="17"/>
      <c r="DXD115" s="17"/>
      <c r="DXE115" s="17"/>
      <c r="DXF115" s="17"/>
      <c r="DXG115" s="17"/>
      <c r="DXH115" s="17"/>
      <c r="DXI115" s="17"/>
      <c r="DXJ115" s="17"/>
      <c r="DXK115" s="17"/>
      <c r="DXL115" s="17"/>
      <c r="DXM115" s="17"/>
      <c r="DXN115" s="17"/>
      <c r="DXO115" s="17"/>
      <c r="DXP115" s="17"/>
      <c r="DXQ115" s="17"/>
      <c r="DXR115" s="17"/>
      <c r="DXS115" s="17"/>
      <c r="DXT115" s="17"/>
      <c r="DXU115" s="17"/>
      <c r="DXV115" s="17"/>
      <c r="DXW115" s="17"/>
      <c r="DXX115" s="17"/>
      <c r="DXY115" s="17"/>
      <c r="DXZ115" s="17"/>
      <c r="DYA115" s="17"/>
      <c r="DYB115" s="17"/>
      <c r="DYC115" s="17"/>
      <c r="DYD115" s="17"/>
      <c r="DYE115" s="17"/>
      <c r="DYF115" s="17"/>
      <c r="DYG115" s="17"/>
      <c r="DYH115" s="17"/>
      <c r="DYI115" s="17"/>
      <c r="DYJ115" s="17"/>
      <c r="DYK115" s="17"/>
      <c r="DYL115" s="17"/>
      <c r="DYM115" s="17"/>
      <c r="DYN115" s="17"/>
      <c r="DYO115" s="17"/>
      <c r="DYP115" s="17"/>
      <c r="DYQ115" s="17"/>
      <c r="DYR115" s="17"/>
      <c r="DYS115" s="17"/>
      <c r="DYT115" s="17"/>
      <c r="DYU115" s="17"/>
      <c r="DYV115" s="17"/>
      <c r="DYW115" s="17"/>
      <c r="DYX115" s="17"/>
      <c r="DYY115" s="17"/>
      <c r="DYZ115" s="17"/>
      <c r="DZA115" s="17"/>
      <c r="DZB115" s="17"/>
      <c r="DZC115" s="17"/>
      <c r="DZD115" s="17"/>
      <c r="DZE115" s="17"/>
      <c r="DZF115" s="17"/>
      <c r="DZG115" s="17"/>
      <c r="DZH115" s="17"/>
      <c r="DZI115" s="17"/>
      <c r="DZJ115" s="17"/>
      <c r="DZK115" s="17"/>
      <c r="DZL115" s="17"/>
      <c r="DZM115" s="17"/>
      <c r="DZN115" s="17"/>
      <c r="DZO115" s="17"/>
      <c r="DZP115" s="17"/>
      <c r="DZQ115" s="17"/>
      <c r="DZR115" s="17"/>
      <c r="DZS115" s="17"/>
      <c r="DZT115" s="17"/>
      <c r="DZU115" s="17"/>
      <c r="DZV115" s="17"/>
      <c r="DZW115" s="17"/>
      <c r="DZX115" s="17"/>
      <c r="DZY115" s="17"/>
      <c r="DZZ115" s="17"/>
      <c r="EAA115" s="17"/>
      <c r="EAB115" s="17"/>
      <c r="EAC115" s="17"/>
      <c r="EAD115" s="17"/>
      <c r="EAE115" s="17"/>
      <c r="EAF115" s="17"/>
      <c r="EAG115" s="17"/>
      <c r="EAH115" s="17"/>
      <c r="EAI115" s="17"/>
      <c r="EAJ115" s="17"/>
      <c r="EAK115" s="17"/>
      <c r="EAL115" s="17"/>
      <c r="EAM115" s="17"/>
      <c r="EAN115" s="17"/>
      <c r="EAO115" s="17"/>
      <c r="EAP115" s="17"/>
      <c r="EAQ115" s="17"/>
      <c r="EAR115" s="17"/>
      <c r="EAS115" s="17"/>
      <c r="EAT115" s="17"/>
      <c r="EAU115" s="17"/>
      <c r="EAV115" s="17"/>
      <c r="EAW115" s="17"/>
      <c r="EAX115" s="17"/>
      <c r="EAY115" s="17"/>
      <c r="EAZ115" s="17"/>
      <c r="EBA115" s="17"/>
      <c r="EBB115" s="17"/>
      <c r="EBC115" s="17"/>
      <c r="EBD115" s="17"/>
      <c r="EBE115" s="17"/>
      <c r="EBF115" s="17"/>
      <c r="EBG115" s="17"/>
      <c r="EBH115" s="17"/>
      <c r="EBI115" s="17"/>
      <c r="EBJ115" s="17"/>
      <c r="EBK115" s="17"/>
      <c r="EBL115" s="17"/>
      <c r="EBM115" s="17"/>
      <c r="EBN115" s="17"/>
      <c r="EBO115" s="17"/>
      <c r="EBP115" s="17"/>
      <c r="EBQ115" s="17"/>
      <c r="EBR115" s="17"/>
      <c r="EBS115" s="17"/>
      <c r="EBT115" s="17"/>
      <c r="EBU115" s="17"/>
      <c r="EBV115" s="17"/>
      <c r="EBW115" s="17"/>
      <c r="EBX115" s="17"/>
      <c r="EBY115" s="17"/>
      <c r="EBZ115" s="17"/>
      <c r="ECA115" s="17"/>
      <c r="ECB115" s="17"/>
      <c r="ECC115" s="17"/>
      <c r="ECD115" s="17"/>
      <c r="ECE115" s="17"/>
      <c r="ECF115" s="17"/>
      <c r="ECG115" s="17"/>
      <c r="ECH115" s="17"/>
      <c r="ECI115" s="17"/>
      <c r="ECJ115" s="17"/>
      <c r="ECK115" s="17"/>
      <c r="ECL115" s="17"/>
      <c r="ECM115" s="17"/>
      <c r="ECN115" s="17"/>
      <c r="ECO115" s="17"/>
      <c r="ECP115" s="17"/>
      <c r="ECQ115" s="17"/>
      <c r="ECR115" s="17"/>
      <c r="ECS115" s="17"/>
      <c r="ECT115" s="17"/>
      <c r="ECU115" s="17"/>
      <c r="ECV115" s="17"/>
      <c r="ECW115" s="17"/>
      <c r="ECX115" s="17"/>
      <c r="ECY115" s="17"/>
      <c r="ECZ115" s="17"/>
      <c r="EDA115" s="17"/>
      <c r="EDB115" s="17"/>
      <c r="EDC115" s="17"/>
      <c r="EDD115" s="17"/>
      <c r="EDE115" s="17"/>
      <c r="EDF115" s="17"/>
      <c r="EDG115" s="17"/>
      <c r="EDH115" s="17"/>
      <c r="EDI115" s="17"/>
      <c r="EDJ115" s="17"/>
      <c r="EDK115" s="17"/>
      <c r="EDL115" s="17"/>
      <c r="EDM115" s="17"/>
      <c r="EDN115" s="17"/>
      <c r="EDO115" s="17"/>
      <c r="EDP115" s="17"/>
      <c r="EDQ115" s="17"/>
      <c r="EDR115" s="17"/>
      <c r="EDS115" s="17"/>
      <c r="EDT115" s="17"/>
      <c r="EDU115" s="17"/>
      <c r="EDV115" s="17"/>
      <c r="EDW115" s="17"/>
      <c r="EDX115" s="17"/>
      <c r="EDY115" s="17"/>
      <c r="EDZ115" s="17"/>
      <c r="EEA115" s="17"/>
      <c r="EEB115" s="17"/>
      <c r="EEC115" s="17"/>
      <c r="EED115" s="17"/>
      <c r="EEE115" s="17"/>
      <c r="EEF115" s="17"/>
      <c r="EEG115" s="17"/>
      <c r="EEH115" s="17"/>
      <c r="EEI115" s="17"/>
      <c r="EEJ115" s="17"/>
      <c r="EEK115" s="17"/>
      <c r="EEL115" s="17"/>
      <c r="EEM115" s="17"/>
      <c r="EEN115" s="17"/>
      <c r="EEO115" s="17"/>
      <c r="EEP115" s="17"/>
      <c r="EEQ115" s="17"/>
      <c r="EER115" s="17"/>
      <c r="EES115" s="17"/>
      <c r="EET115" s="17"/>
      <c r="EEU115" s="17"/>
      <c r="EEV115" s="17"/>
      <c r="EEW115" s="17"/>
      <c r="EEX115" s="17"/>
      <c r="EEY115" s="17"/>
      <c r="EEZ115" s="17"/>
      <c r="EFA115" s="17"/>
      <c r="EFB115" s="17"/>
      <c r="EFC115" s="17"/>
      <c r="EFD115" s="17"/>
      <c r="EFE115" s="17"/>
      <c r="EFF115" s="17"/>
      <c r="EFG115" s="17"/>
      <c r="EFH115" s="17"/>
      <c r="EFI115" s="17"/>
      <c r="EFJ115" s="17"/>
      <c r="EFK115" s="17"/>
      <c r="EFL115" s="17"/>
      <c r="EFM115" s="17"/>
      <c r="EFN115" s="17"/>
      <c r="EFO115" s="17"/>
      <c r="EFP115" s="17"/>
      <c r="EFQ115" s="17"/>
      <c r="EFR115" s="17"/>
      <c r="EFS115" s="17"/>
      <c r="EFT115" s="17"/>
      <c r="EFU115" s="17"/>
      <c r="EFV115" s="17"/>
      <c r="EFW115" s="17"/>
      <c r="EFX115" s="17"/>
      <c r="EFY115" s="17"/>
      <c r="EFZ115" s="17"/>
      <c r="EGA115" s="17"/>
      <c r="EGB115" s="17"/>
      <c r="EGC115" s="17"/>
      <c r="EGD115" s="17"/>
      <c r="EGE115" s="17"/>
      <c r="EGF115" s="17"/>
      <c r="EGG115" s="17"/>
      <c r="EGH115" s="17"/>
      <c r="EGI115" s="17"/>
      <c r="EGJ115" s="17"/>
      <c r="EGK115" s="17"/>
      <c r="EGL115" s="17"/>
      <c r="EGM115" s="17"/>
      <c r="EGN115" s="17"/>
      <c r="EGO115" s="17"/>
      <c r="EGP115" s="17"/>
      <c r="EGQ115" s="17"/>
      <c r="EGR115" s="17"/>
      <c r="EGS115" s="17"/>
      <c r="EGT115" s="17"/>
      <c r="EGU115" s="17"/>
      <c r="EGV115" s="17"/>
      <c r="EGW115" s="17"/>
      <c r="EGX115" s="17"/>
      <c r="EGY115" s="17"/>
      <c r="EGZ115" s="17"/>
      <c r="EHA115" s="17"/>
      <c r="EHB115" s="17"/>
      <c r="EHC115" s="17"/>
      <c r="EHD115" s="17"/>
      <c r="EHE115" s="17"/>
      <c r="EHF115" s="17"/>
      <c r="EHG115" s="17"/>
      <c r="EHH115" s="17"/>
      <c r="EHI115" s="17"/>
      <c r="EHJ115" s="17"/>
      <c r="EHK115" s="17"/>
      <c r="EHL115" s="17"/>
      <c r="EHM115" s="17"/>
      <c r="EHN115" s="17"/>
      <c r="EHO115" s="17"/>
      <c r="EHP115" s="17"/>
      <c r="EHQ115" s="17"/>
      <c r="EHR115" s="17"/>
      <c r="EHS115" s="17"/>
      <c r="EHT115" s="17"/>
      <c r="EHU115" s="17"/>
      <c r="EHV115" s="17"/>
      <c r="EHW115" s="17"/>
      <c r="EHX115" s="17"/>
      <c r="EHY115" s="17"/>
      <c r="EHZ115" s="17"/>
      <c r="EIA115" s="17"/>
      <c r="EIB115" s="17"/>
      <c r="EIC115" s="17"/>
      <c r="EID115" s="17"/>
      <c r="EIE115" s="17"/>
      <c r="EIF115" s="17"/>
      <c r="EIG115" s="17"/>
      <c r="EIH115" s="17"/>
      <c r="EII115" s="17"/>
      <c r="EIJ115" s="17"/>
      <c r="EIK115" s="17"/>
      <c r="EIL115" s="17"/>
      <c r="EIM115" s="17"/>
      <c r="EIN115" s="17"/>
      <c r="EIO115" s="17"/>
      <c r="EIP115" s="17"/>
      <c r="EIQ115" s="17"/>
      <c r="EIR115" s="17"/>
      <c r="EIS115" s="17"/>
      <c r="EIT115" s="17"/>
      <c r="EIU115" s="17"/>
      <c r="EIV115" s="17"/>
      <c r="EIW115" s="17"/>
      <c r="EIX115" s="17"/>
      <c r="EIY115" s="17"/>
      <c r="EIZ115" s="17"/>
      <c r="EJA115" s="17"/>
      <c r="EJB115" s="17"/>
      <c r="EJC115" s="17"/>
      <c r="EJD115" s="17"/>
      <c r="EJE115" s="17"/>
      <c r="EJF115" s="17"/>
      <c r="EJG115" s="17"/>
      <c r="EJH115" s="17"/>
      <c r="EJI115" s="17"/>
      <c r="EJJ115" s="17"/>
      <c r="EJK115" s="17"/>
      <c r="EJL115" s="17"/>
      <c r="EJM115" s="17"/>
      <c r="EJN115" s="17"/>
      <c r="EJO115" s="17"/>
      <c r="EJP115" s="17"/>
      <c r="EJQ115" s="17"/>
      <c r="EJR115" s="17"/>
      <c r="EJS115" s="17"/>
      <c r="EJT115" s="17"/>
      <c r="EJU115" s="17"/>
      <c r="EJV115" s="17"/>
      <c r="EJW115" s="17"/>
      <c r="EJX115" s="17"/>
      <c r="EJY115" s="17"/>
      <c r="EJZ115" s="17"/>
      <c r="EKA115" s="17"/>
      <c r="EKB115" s="17"/>
      <c r="EKC115" s="17"/>
      <c r="EKD115" s="17"/>
      <c r="EKE115" s="17"/>
      <c r="EKF115" s="17"/>
      <c r="EKG115" s="17"/>
      <c r="EKH115" s="17"/>
      <c r="EKI115" s="17"/>
      <c r="EKJ115" s="17"/>
      <c r="EKK115" s="17"/>
      <c r="EKL115" s="17"/>
      <c r="EKM115" s="17"/>
      <c r="EKN115" s="17"/>
      <c r="EKO115" s="17"/>
      <c r="EKP115" s="17"/>
      <c r="EKQ115" s="17"/>
      <c r="EKR115" s="17"/>
      <c r="EKS115" s="17"/>
      <c r="EKT115" s="17"/>
      <c r="EKU115" s="17"/>
      <c r="EKV115" s="17"/>
      <c r="EKW115" s="17"/>
      <c r="EKX115" s="17"/>
      <c r="EKY115" s="17"/>
      <c r="EKZ115" s="17"/>
      <c r="ELA115" s="17"/>
      <c r="ELB115" s="17"/>
      <c r="ELC115" s="17"/>
      <c r="ELD115" s="17"/>
      <c r="ELE115" s="17"/>
      <c r="ELF115" s="17"/>
      <c r="ELG115" s="17"/>
      <c r="ELH115" s="17"/>
      <c r="ELI115" s="17"/>
      <c r="ELJ115" s="17"/>
      <c r="ELK115" s="17"/>
      <c r="ELL115" s="17"/>
      <c r="ELM115" s="17"/>
      <c r="ELN115" s="17"/>
      <c r="ELO115" s="17"/>
      <c r="ELP115" s="17"/>
      <c r="ELQ115" s="17"/>
      <c r="ELR115" s="17"/>
      <c r="ELS115" s="17"/>
      <c r="ELT115" s="17"/>
      <c r="ELU115" s="17"/>
      <c r="ELV115" s="17"/>
      <c r="ELW115" s="17"/>
      <c r="ELX115" s="17"/>
      <c r="ELY115" s="17"/>
      <c r="ELZ115" s="17"/>
      <c r="EMA115" s="17"/>
      <c r="EMB115" s="17"/>
      <c r="EMC115" s="17"/>
      <c r="EMD115" s="17"/>
      <c r="EME115" s="17"/>
      <c r="EMF115" s="17"/>
      <c r="EMG115" s="17"/>
      <c r="EMH115" s="17"/>
      <c r="EMI115" s="17"/>
      <c r="EMJ115" s="17"/>
      <c r="EMK115" s="17"/>
      <c r="EML115" s="17"/>
      <c r="EMM115" s="17"/>
      <c r="EMN115" s="17"/>
      <c r="EMO115" s="17"/>
      <c r="EMP115" s="17"/>
      <c r="EMQ115" s="17"/>
      <c r="EMR115" s="17"/>
      <c r="EMS115" s="17"/>
      <c r="EMT115" s="17"/>
      <c r="EMU115" s="17"/>
      <c r="EMV115" s="17"/>
      <c r="EMW115" s="17"/>
      <c r="EMX115" s="17"/>
      <c r="EMY115" s="17"/>
      <c r="EMZ115" s="17"/>
      <c r="ENA115" s="17"/>
      <c r="ENB115" s="17"/>
      <c r="ENC115" s="17"/>
      <c r="END115" s="17"/>
      <c r="ENE115" s="17"/>
      <c r="ENF115" s="17"/>
      <c r="ENG115" s="17"/>
      <c r="ENH115" s="17"/>
      <c r="ENI115" s="17"/>
      <c r="ENJ115" s="17"/>
      <c r="ENK115" s="17"/>
      <c r="ENL115" s="17"/>
      <c r="ENM115" s="17"/>
      <c r="ENN115" s="17"/>
      <c r="ENO115" s="17"/>
      <c r="ENP115" s="17"/>
      <c r="ENQ115" s="17"/>
      <c r="ENR115" s="17"/>
      <c r="ENS115" s="17"/>
      <c r="ENT115" s="17"/>
      <c r="ENU115" s="17"/>
      <c r="ENV115" s="17"/>
      <c r="ENW115" s="17"/>
      <c r="ENX115" s="17"/>
      <c r="ENY115" s="17"/>
      <c r="ENZ115" s="17"/>
      <c r="EOA115" s="17"/>
      <c r="EOB115" s="17"/>
      <c r="EOC115" s="17"/>
      <c r="EOD115" s="17"/>
      <c r="EOE115" s="17"/>
      <c r="EOF115" s="17"/>
      <c r="EOG115" s="17"/>
      <c r="EOH115" s="17"/>
      <c r="EOI115" s="17"/>
      <c r="EOJ115" s="17"/>
      <c r="EOK115" s="17"/>
      <c r="EOL115" s="17"/>
      <c r="EOM115" s="17"/>
      <c r="EON115" s="17"/>
      <c r="EOO115" s="17"/>
      <c r="EOP115" s="17"/>
      <c r="EOQ115" s="17"/>
      <c r="EOR115" s="17"/>
      <c r="EOS115" s="17"/>
      <c r="EOT115" s="17"/>
      <c r="EOU115" s="17"/>
      <c r="EOV115" s="17"/>
      <c r="EOW115" s="17"/>
      <c r="EOX115" s="17"/>
      <c r="EOY115" s="17"/>
      <c r="EOZ115" s="17"/>
      <c r="EPA115" s="17"/>
      <c r="EPB115" s="17"/>
      <c r="EPC115" s="17"/>
      <c r="EPD115" s="17"/>
      <c r="EPE115" s="17"/>
      <c r="EPF115" s="17"/>
      <c r="EPG115" s="17"/>
      <c r="EPH115" s="17"/>
      <c r="EPI115" s="17"/>
      <c r="EPJ115" s="17"/>
      <c r="EPK115" s="17"/>
      <c r="EPL115" s="17"/>
      <c r="EPM115" s="17"/>
      <c r="EPN115" s="17"/>
      <c r="EPO115" s="17"/>
      <c r="EPP115" s="17"/>
      <c r="EPQ115" s="17"/>
      <c r="EPR115" s="17"/>
      <c r="EPS115" s="17"/>
      <c r="EPT115" s="17"/>
      <c r="EPU115" s="17"/>
      <c r="EPV115" s="17"/>
      <c r="EPW115" s="17"/>
      <c r="EPX115" s="17"/>
      <c r="EPY115" s="17"/>
      <c r="EPZ115" s="17"/>
      <c r="EQA115" s="17"/>
      <c r="EQB115" s="17"/>
      <c r="EQC115" s="17"/>
      <c r="EQD115" s="17"/>
      <c r="EQE115" s="17"/>
      <c r="EQF115" s="17"/>
      <c r="EQG115" s="17"/>
      <c r="EQH115" s="17"/>
      <c r="EQI115" s="17"/>
      <c r="EQJ115" s="17"/>
      <c r="EQK115" s="17"/>
      <c r="EQL115" s="17"/>
      <c r="EQM115" s="17"/>
      <c r="EQN115" s="17"/>
      <c r="EQO115" s="17"/>
      <c r="EQP115" s="17"/>
      <c r="EQQ115" s="17"/>
      <c r="EQR115" s="17"/>
      <c r="EQS115" s="17"/>
      <c r="EQT115" s="17"/>
      <c r="EQU115" s="17"/>
      <c r="EQV115" s="17"/>
      <c r="EQW115" s="17"/>
      <c r="EQX115" s="17"/>
      <c r="EQY115" s="17"/>
      <c r="EQZ115" s="17"/>
      <c r="ERA115" s="17"/>
      <c r="ERB115" s="17"/>
      <c r="ERC115" s="17"/>
      <c r="ERD115" s="17"/>
      <c r="ERE115" s="17"/>
      <c r="ERF115" s="17"/>
      <c r="ERG115" s="17"/>
      <c r="ERH115" s="17"/>
      <c r="ERI115" s="17"/>
      <c r="ERJ115" s="17"/>
      <c r="ERK115" s="17"/>
      <c r="ERL115" s="17"/>
      <c r="ERM115" s="17"/>
      <c r="ERN115" s="17"/>
      <c r="ERO115" s="17"/>
      <c r="ERP115" s="17"/>
      <c r="ERQ115" s="17"/>
      <c r="ERR115" s="17"/>
      <c r="ERS115" s="17"/>
      <c r="ERT115" s="17"/>
      <c r="ERU115" s="17"/>
      <c r="ERV115" s="17"/>
      <c r="ERW115" s="17"/>
      <c r="ERX115" s="17"/>
      <c r="ERY115" s="17"/>
      <c r="ERZ115" s="17"/>
      <c r="ESA115" s="17"/>
      <c r="ESB115" s="17"/>
      <c r="ESC115" s="17"/>
      <c r="ESD115" s="17"/>
      <c r="ESE115" s="17"/>
      <c r="ESF115" s="17"/>
      <c r="ESG115" s="17"/>
      <c r="ESH115" s="17"/>
      <c r="ESI115" s="17"/>
      <c r="ESJ115" s="17"/>
      <c r="ESK115" s="17"/>
      <c r="ESL115" s="17"/>
      <c r="ESM115" s="17"/>
      <c r="ESN115" s="17"/>
      <c r="ESO115" s="17"/>
      <c r="ESP115" s="17"/>
      <c r="ESQ115" s="17"/>
      <c r="ESR115" s="17"/>
      <c r="ESS115" s="17"/>
      <c r="EST115" s="17"/>
      <c r="ESU115" s="17"/>
      <c r="ESV115" s="17"/>
      <c r="ESW115" s="17"/>
      <c r="ESX115" s="17"/>
      <c r="ESY115" s="17"/>
      <c r="ESZ115" s="17"/>
      <c r="ETA115" s="17"/>
      <c r="ETB115" s="17"/>
      <c r="ETC115" s="17"/>
      <c r="ETD115" s="17"/>
      <c r="ETE115" s="17"/>
      <c r="ETF115" s="17"/>
      <c r="ETG115" s="17"/>
      <c r="ETH115" s="17"/>
      <c r="ETI115" s="17"/>
      <c r="ETJ115" s="17"/>
      <c r="ETK115" s="17"/>
      <c r="ETL115" s="17"/>
      <c r="ETM115" s="17"/>
      <c r="ETN115" s="17"/>
      <c r="ETO115" s="17"/>
      <c r="ETP115" s="17"/>
      <c r="ETQ115" s="17"/>
      <c r="ETR115" s="17"/>
      <c r="ETS115" s="17"/>
      <c r="ETT115" s="17"/>
      <c r="ETU115" s="17"/>
      <c r="ETV115" s="17"/>
      <c r="ETW115" s="17"/>
      <c r="ETX115" s="17"/>
      <c r="ETY115" s="17"/>
      <c r="ETZ115" s="17"/>
      <c r="EUA115" s="17"/>
      <c r="EUB115" s="17"/>
      <c r="EUC115" s="17"/>
      <c r="EUD115" s="17"/>
      <c r="EUE115" s="17"/>
      <c r="EUF115" s="17"/>
      <c r="EUG115" s="17"/>
      <c r="EUH115" s="17"/>
      <c r="EUI115" s="17"/>
      <c r="EUJ115" s="17"/>
      <c r="EUK115" s="17"/>
      <c r="EUL115" s="17"/>
      <c r="EUM115" s="17"/>
      <c r="EUN115" s="17"/>
      <c r="EUO115" s="17"/>
      <c r="EUP115" s="17"/>
      <c r="EUQ115" s="17"/>
      <c r="EUR115" s="17"/>
      <c r="EUS115" s="17"/>
      <c r="EUT115" s="17"/>
      <c r="EUU115" s="17"/>
      <c r="EUV115" s="17"/>
      <c r="EUW115" s="17"/>
      <c r="EUX115" s="17"/>
      <c r="EUY115" s="17"/>
      <c r="EUZ115" s="17"/>
      <c r="EVA115" s="17"/>
      <c r="EVB115" s="17"/>
      <c r="EVC115" s="17"/>
      <c r="EVD115" s="17"/>
      <c r="EVE115" s="17"/>
      <c r="EVF115" s="17"/>
      <c r="EVG115" s="17"/>
      <c r="EVH115" s="17"/>
      <c r="EVI115" s="17"/>
      <c r="EVJ115" s="17"/>
      <c r="EVK115" s="17"/>
      <c r="EVL115" s="17"/>
      <c r="EVM115" s="17"/>
      <c r="EVN115" s="17"/>
      <c r="EVO115" s="17"/>
      <c r="EVP115" s="17"/>
      <c r="EVQ115" s="17"/>
      <c r="EVR115" s="17"/>
      <c r="EVS115" s="17"/>
      <c r="EVT115" s="17"/>
      <c r="EVU115" s="17"/>
      <c r="EVV115" s="17"/>
      <c r="EVW115" s="17"/>
      <c r="EVX115" s="17"/>
      <c r="EVY115" s="17"/>
      <c r="EVZ115" s="17"/>
      <c r="EWA115" s="17"/>
      <c r="EWB115" s="17"/>
      <c r="EWC115" s="17"/>
      <c r="EWD115" s="17"/>
      <c r="EWE115" s="17"/>
      <c r="EWF115" s="17"/>
      <c r="EWG115" s="17"/>
      <c r="EWH115" s="17"/>
      <c r="EWI115" s="17"/>
      <c r="EWJ115" s="17"/>
      <c r="EWK115" s="17"/>
      <c r="EWL115" s="17"/>
      <c r="EWM115" s="17"/>
      <c r="EWN115" s="17"/>
      <c r="EWO115" s="17"/>
      <c r="EWP115" s="17"/>
      <c r="EWQ115" s="17"/>
      <c r="EWR115" s="17"/>
      <c r="EWS115" s="17"/>
      <c r="EWT115" s="17"/>
      <c r="EWU115" s="17"/>
      <c r="EWV115" s="17"/>
      <c r="EWW115" s="17"/>
      <c r="EWX115" s="17"/>
      <c r="EWY115" s="17"/>
      <c r="EWZ115" s="17"/>
      <c r="EXA115" s="17"/>
      <c r="EXB115" s="17"/>
      <c r="EXC115" s="17"/>
      <c r="EXD115" s="17"/>
      <c r="EXE115" s="17"/>
      <c r="EXF115" s="17"/>
      <c r="EXG115" s="17"/>
      <c r="EXH115" s="17"/>
      <c r="EXI115" s="17"/>
      <c r="EXJ115" s="17"/>
      <c r="EXK115" s="17"/>
      <c r="EXL115" s="17"/>
      <c r="EXM115" s="17"/>
      <c r="EXN115" s="17"/>
      <c r="EXO115" s="17"/>
      <c r="EXP115" s="17"/>
      <c r="EXQ115" s="17"/>
      <c r="EXR115" s="17"/>
      <c r="EXS115" s="17"/>
      <c r="EXT115" s="17"/>
      <c r="EXU115" s="17"/>
      <c r="EXV115" s="17"/>
      <c r="EXW115" s="17"/>
      <c r="EXX115" s="17"/>
      <c r="EXY115" s="17"/>
      <c r="EXZ115" s="17"/>
      <c r="EYA115" s="17"/>
      <c r="EYB115" s="17"/>
      <c r="EYC115" s="17"/>
      <c r="EYD115" s="17"/>
      <c r="EYE115" s="17"/>
      <c r="EYF115" s="17"/>
      <c r="EYG115" s="17"/>
      <c r="EYH115" s="17"/>
      <c r="EYI115" s="17"/>
      <c r="EYJ115" s="17"/>
      <c r="EYK115" s="17"/>
      <c r="EYL115" s="17"/>
      <c r="EYM115" s="17"/>
      <c r="EYN115" s="17"/>
      <c r="EYO115" s="17"/>
      <c r="EYP115" s="17"/>
      <c r="EYQ115" s="17"/>
      <c r="EYR115" s="17"/>
      <c r="EYS115" s="17"/>
      <c r="EYT115" s="17"/>
      <c r="EYU115" s="17"/>
      <c r="EYV115" s="17"/>
      <c r="EYW115" s="17"/>
      <c r="EYX115" s="17"/>
      <c r="EYY115" s="17"/>
      <c r="EYZ115" s="17"/>
      <c r="EZA115" s="17"/>
      <c r="EZB115" s="17"/>
      <c r="EZC115" s="17"/>
      <c r="EZD115" s="17"/>
      <c r="EZE115" s="17"/>
      <c r="EZF115" s="17"/>
      <c r="EZG115" s="17"/>
      <c r="EZH115" s="17"/>
      <c r="EZI115" s="17"/>
      <c r="EZJ115" s="17"/>
      <c r="EZK115" s="17"/>
      <c r="EZL115" s="17"/>
      <c r="EZM115" s="17"/>
      <c r="EZN115" s="17"/>
      <c r="EZO115" s="17"/>
      <c r="EZP115" s="17"/>
      <c r="EZQ115" s="17"/>
      <c r="EZR115" s="17"/>
      <c r="EZS115" s="17"/>
      <c r="EZT115" s="17"/>
      <c r="EZU115" s="17"/>
      <c r="EZV115" s="17"/>
      <c r="EZW115" s="17"/>
      <c r="EZX115" s="17"/>
      <c r="EZY115" s="17"/>
      <c r="EZZ115" s="17"/>
      <c r="FAA115" s="17"/>
      <c r="FAB115" s="17"/>
      <c r="FAC115" s="17"/>
      <c r="FAD115" s="17"/>
      <c r="FAE115" s="17"/>
      <c r="FAF115" s="17"/>
      <c r="FAG115" s="17"/>
      <c r="FAH115" s="17"/>
      <c r="FAI115" s="17"/>
      <c r="FAJ115" s="17"/>
      <c r="FAK115" s="17"/>
      <c r="FAL115" s="17"/>
      <c r="FAM115" s="17"/>
      <c r="FAN115" s="17"/>
      <c r="FAO115" s="17"/>
      <c r="FAP115" s="17"/>
      <c r="FAQ115" s="17"/>
      <c r="FAR115" s="17"/>
      <c r="FAS115" s="17"/>
      <c r="FAT115" s="17"/>
      <c r="FAU115" s="17"/>
      <c r="FAV115" s="17"/>
      <c r="FAW115" s="17"/>
      <c r="FAX115" s="17"/>
      <c r="FAY115" s="17"/>
      <c r="FAZ115" s="17"/>
      <c r="FBA115" s="17"/>
      <c r="FBB115" s="17"/>
      <c r="FBC115" s="17"/>
      <c r="FBD115" s="17"/>
      <c r="FBE115" s="17"/>
      <c r="FBF115" s="17"/>
      <c r="FBG115" s="17"/>
      <c r="FBH115" s="17"/>
      <c r="FBI115" s="17"/>
      <c r="FBJ115" s="17"/>
      <c r="FBK115" s="17"/>
      <c r="FBL115" s="17"/>
      <c r="FBM115" s="17"/>
      <c r="FBN115" s="17"/>
      <c r="FBO115" s="17"/>
      <c r="FBP115" s="17"/>
      <c r="FBQ115" s="17"/>
      <c r="FBR115" s="17"/>
      <c r="FBS115" s="17"/>
      <c r="FBT115" s="17"/>
      <c r="FBU115" s="17"/>
      <c r="FBV115" s="17"/>
      <c r="FBW115" s="17"/>
      <c r="FBX115" s="17"/>
      <c r="FBY115" s="17"/>
      <c r="FBZ115" s="17"/>
      <c r="FCA115" s="17"/>
      <c r="FCB115" s="17"/>
      <c r="FCC115" s="17"/>
      <c r="FCD115" s="17"/>
      <c r="FCE115" s="17"/>
      <c r="FCF115" s="17"/>
      <c r="FCG115" s="17"/>
      <c r="FCH115" s="17"/>
      <c r="FCI115" s="17"/>
      <c r="FCJ115" s="17"/>
      <c r="FCK115" s="17"/>
      <c r="FCL115" s="17"/>
      <c r="FCM115" s="17"/>
      <c r="FCN115" s="17"/>
      <c r="FCO115" s="17"/>
      <c r="FCP115" s="17"/>
      <c r="FCQ115" s="17"/>
      <c r="FCR115" s="17"/>
      <c r="FCS115" s="17"/>
      <c r="FCT115" s="17"/>
      <c r="FCU115" s="17"/>
      <c r="FCV115" s="17"/>
      <c r="FCW115" s="17"/>
      <c r="FCX115" s="17"/>
      <c r="FCY115" s="17"/>
      <c r="FCZ115" s="17"/>
      <c r="FDA115" s="17"/>
      <c r="FDB115" s="17"/>
      <c r="FDC115" s="17"/>
      <c r="FDD115" s="17"/>
      <c r="FDE115" s="17"/>
      <c r="FDF115" s="17"/>
      <c r="FDG115" s="17"/>
      <c r="FDH115" s="17"/>
      <c r="FDI115" s="17"/>
      <c r="FDJ115" s="17"/>
      <c r="FDK115" s="17"/>
      <c r="FDL115" s="17"/>
      <c r="FDM115" s="17"/>
      <c r="FDN115" s="17"/>
      <c r="FDO115" s="17"/>
      <c r="FDP115" s="17"/>
      <c r="FDQ115" s="17"/>
      <c r="FDR115" s="17"/>
      <c r="FDS115" s="17"/>
      <c r="FDT115" s="17"/>
      <c r="FDU115" s="17"/>
      <c r="FDV115" s="17"/>
      <c r="FDW115" s="17"/>
      <c r="FDX115" s="17"/>
      <c r="FDY115" s="17"/>
      <c r="FDZ115" s="17"/>
      <c r="FEA115" s="17"/>
      <c r="FEB115" s="17"/>
      <c r="FEC115" s="17"/>
      <c r="FED115" s="17"/>
      <c r="FEE115" s="17"/>
      <c r="FEF115" s="17"/>
      <c r="FEG115" s="17"/>
      <c r="FEH115" s="17"/>
      <c r="FEI115" s="17"/>
      <c r="FEJ115" s="17"/>
      <c r="FEK115" s="17"/>
      <c r="FEL115" s="17"/>
      <c r="FEM115" s="17"/>
      <c r="FEN115" s="17"/>
      <c r="FEO115" s="17"/>
      <c r="FEP115" s="17"/>
      <c r="FEQ115" s="17"/>
      <c r="FER115" s="17"/>
      <c r="FES115" s="17"/>
      <c r="FET115" s="17"/>
      <c r="FEU115" s="17"/>
      <c r="FEV115" s="17"/>
      <c r="FEW115" s="17"/>
      <c r="FEX115" s="17"/>
      <c r="FEY115" s="17"/>
      <c r="FEZ115" s="17"/>
      <c r="FFA115" s="17"/>
      <c r="FFB115" s="17"/>
      <c r="FFC115" s="17"/>
      <c r="FFD115" s="17"/>
      <c r="FFE115" s="17"/>
      <c r="FFF115" s="17"/>
      <c r="FFG115" s="17"/>
      <c r="FFH115" s="17"/>
      <c r="FFI115" s="17"/>
      <c r="FFJ115" s="17"/>
      <c r="FFK115" s="17"/>
      <c r="FFL115" s="17"/>
      <c r="FFM115" s="17"/>
      <c r="FFN115" s="17"/>
      <c r="FFO115" s="17"/>
      <c r="FFP115" s="17"/>
      <c r="FFQ115" s="17"/>
      <c r="FFR115" s="17"/>
      <c r="FFS115" s="17"/>
      <c r="FFT115" s="17"/>
      <c r="FFU115" s="17"/>
      <c r="FFV115" s="17"/>
      <c r="FFW115" s="17"/>
      <c r="FFX115" s="17"/>
      <c r="FFY115" s="17"/>
      <c r="FFZ115" s="17"/>
      <c r="FGA115" s="17"/>
      <c r="FGB115" s="17"/>
      <c r="FGC115" s="17"/>
      <c r="FGD115" s="17"/>
      <c r="FGE115" s="17"/>
      <c r="FGF115" s="17"/>
      <c r="FGG115" s="17"/>
      <c r="FGH115" s="17"/>
      <c r="FGI115" s="17"/>
      <c r="FGJ115" s="17"/>
      <c r="FGK115" s="17"/>
      <c r="FGL115" s="17"/>
      <c r="FGM115" s="17"/>
      <c r="FGN115" s="17"/>
      <c r="FGO115" s="17"/>
      <c r="FGP115" s="17"/>
      <c r="FGQ115" s="17"/>
      <c r="FGR115" s="17"/>
      <c r="FGS115" s="17"/>
      <c r="FGT115" s="17"/>
      <c r="FGU115" s="17"/>
      <c r="FGV115" s="17"/>
      <c r="FGW115" s="17"/>
      <c r="FGX115" s="17"/>
      <c r="FGY115" s="17"/>
      <c r="FGZ115" s="17"/>
      <c r="FHA115" s="17"/>
      <c r="FHB115" s="17"/>
      <c r="FHC115" s="17"/>
      <c r="FHD115" s="17"/>
      <c r="FHE115" s="17"/>
      <c r="FHF115" s="17"/>
      <c r="FHG115" s="17"/>
      <c r="FHH115" s="17"/>
      <c r="FHI115" s="17"/>
      <c r="FHJ115" s="17"/>
      <c r="FHK115" s="17"/>
      <c r="FHL115" s="17"/>
      <c r="FHM115" s="17"/>
      <c r="FHN115" s="17"/>
      <c r="FHO115" s="17"/>
      <c r="FHP115" s="17"/>
      <c r="FHQ115" s="17"/>
      <c r="FHR115" s="17"/>
      <c r="FHS115" s="17"/>
      <c r="FHT115" s="17"/>
      <c r="FHU115" s="17"/>
      <c r="FHV115" s="17"/>
      <c r="FHW115" s="17"/>
      <c r="FHX115" s="17"/>
      <c r="FHY115" s="17"/>
      <c r="FHZ115" s="17"/>
      <c r="FIA115" s="17"/>
      <c r="FIB115" s="17"/>
      <c r="FIC115" s="17"/>
      <c r="FID115" s="17"/>
      <c r="FIE115" s="17"/>
      <c r="FIF115" s="17"/>
      <c r="FIG115" s="17"/>
      <c r="FIH115" s="17"/>
      <c r="FII115" s="17"/>
      <c r="FIJ115" s="17"/>
      <c r="FIK115" s="17"/>
      <c r="FIL115" s="17"/>
      <c r="FIM115" s="17"/>
      <c r="FIN115" s="17"/>
      <c r="FIO115" s="17"/>
      <c r="FIP115" s="17"/>
      <c r="FIQ115" s="17"/>
      <c r="FIR115" s="17"/>
      <c r="FIS115" s="17"/>
      <c r="FIT115" s="17"/>
      <c r="FIU115" s="17"/>
      <c r="FIV115" s="17"/>
      <c r="FIW115" s="17"/>
      <c r="FIX115" s="17"/>
      <c r="FIY115" s="17"/>
      <c r="FIZ115" s="17"/>
      <c r="FJA115" s="17"/>
      <c r="FJB115" s="17"/>
      <c r="FJC115" s="17"/>
      <c r="FJD115" s="17"/>
      <c r="FJE115" s="17"/>
      <c r="FJF115" s="17"/>
      <c r="FJG115" s="17"/>
      <c r="FJH115" s="17"/>
      <c r="FJI115" s="17"/>
      <c r="FJJ115" s="17"/>
      <c r="FJK115" s="17"/>
      <c r="FJL115" s="17"/>
      <c r="FJM115" s="17"/>
      <c r="FJN115" s="17"/>
      <c r="FJO115" s="17"/>
      <c r="FJP115" s="17"/>
      <c r="FJQ115" s="17"/>
      <c r="FJR115" s="17"/>
      <c r="FJS115" s="17"/>
      <c r="FJT115" s="17"/>
      <c r="FJU115" s="17"/>
      <c r="FJV115" s="17"/>
      <c r="FJW115" s="17"/>
      <c r="FJX115" s="17"/>
      <c r="FJY115" s="17"/>
      <c r="FJZ115" s="17"/>
      <c r="FKA115" s="17"/>
      <c r="FKB115" s="17"/>
      <c r="FKC115" s="17"/>
      <c r="FKD115" s="17"/>
      <c r="FKE115" s="17"/>
      <c r="FKF115" s="17"/>
      <c r="FKG115" s="17"/>
      <c r="FKH115" s="17"/>
      <c r="FKI115" s="17"/>
      <c r="FKJ115" s="17"/>
      <c r="FKK115" s="17"/>
      <c r="FKL115" s="17"/>
      <c r="FKM115" s="17"/>
      <c r="FKN115" s="17"/>
      <c r="FKO115" s="17"/>
      <c r="FKP115" s="17"/>
      <c r="FKQ115" s="17"/>
      <c r="FKR115" s="17"/>
      <c r="FKS115" s="17"/>
      <c r="FKT115" s="17"/>
      <c r="FKU115" s="17"/>
      <c r="FKV115" s="17"/>
      <c r="FKW115" s="17"/>
      <c r="FKX115" s="17"/>
      <c r="FKY115" s="17"/>
      <c r="FKZ115" s="17"/>
      <c r="FLA115" s="17"/>
      <c r="FLB115" s="17"/>
      <c r="FLC115" s="17"/>
      <c r="FLD115" s="17"/>
      <c r="FLE115" s="17"/>
      <c r="FLF115" s="17"/>
      <c r="FLG115" s="17"/>
      <c r="FLH115" s="17"/>
      <c r="FLI115" s="17"/>
      <c r="FLJ115" s="17"/>
      <c r="FLK115" s="17"/>
      <c r="FLL115" s="17"/>
      <c r="FLM115" s="17"/>
      <c r="FLN115" s="17"/>
      <c r="FLO115" s="17"/>
      <c r="FLP115" s="17"/>
      <c r="FLQ115" s="17"/>
      <c r="FLR115" s="17"/>
      <c r="FLS115" s="17"/>
      <c r="FLT115" s="17"/>
      <c r="FLU115" s="17"/>
      <c r="FLV115" s="17"/>
      <c r="FLW115" s="17"/>
      <c r="FLX115" s="17"/>
      <c r="FLY115" s="17"/>
      <c r="FLZ115" s="17"/>
      <c r="FMA115" s="17"/>
      <c r="FMB115" s="17"/>
      <c r="FMC115" s="17"/>
      <c r="FMD115" s="17"/>
      <c r="FME115" s="17"/>
      <c r="FMF115" s="17"/>
      <c r="FMG115" s="17"/>
      <c r="FMH115" s="17"/>
      <c r="FMI115" s="17"/>
      <c r="FMJ115" s="17"/>
      <c r="FMK115" s="17"/>
      <c r="FML115" s="17"/>
      <c r="FMM115" s="17"/>
      <c r="FMN115" s="17"/>
      <c r="FMO115" s="17"/>
      <c r="FMP115" s="17"/>
      <c r="FMQ115" s="17"/>
      <c r="FMR115" s="17"/>
      <c r="FMS115" s="17"/>
      <c r="FMT115" s="17"/>
      <c r="FMU115" s="17"/>
      <c r="FMV115" s="17"/>
      <c r="FMW115" s="17"/>
      <c r="FMX115" s="17"/>
      <c r="FMY115" s="17"/>
      <c r="FMZ115" s="17"/>
      <c r="FNA115" s="17"/>
      <c r="FNB115" s="17"/>
      <c r="FNC115" s="17"/>
      <c r="FND115" s="17"/>
      <c r="FNE115" s="17"/>
      <c r="FNF115" s="17"/>
      <c r="FNG115" s="17"/>
      <c r="FNH115" s="17"/>
      <c r="FNI115" s="17"/>
      <c r="FNJ115" s="17"/>
      <c r="FNK115" s="17"/>
      <c r="FNL115" s="17"/>
      <c r="FNM115" s="17"/>
      <c r="FNN115" s="17"/>
      <c r="FNO115" s="17"/>
      <c r="FNP115" s="17"/>
      <c r="FNQ115" s="17"/>
      <c r="FNR115" s="17"/>
      <c r="FNS115" s="17"/>
      <c r="FNT115" s="17"/>
      <c r="FNU115" s="17"/>
      <c r="FNV115" s="17"/>
      <c r="FNW115" s="17"/>
      <c r="FNX115" s="17"/>
      <c r="FNY115" s="17"/>
      <c r="FNZ115" s="17"/>
      <c r="FOA115" s="17"/>
      <c r="FOB115" s="17"/>
      <c r="FOC115" s="17"/>
      <c r="FOD115" s="17"/>
      <c r="FOE115" s="17"/>
      <c r="FOF115" s="17"/>
      <c r="FOG115" s="17"/>
      <c r="FOH115" s="17"/>
      <c r="FOI115" s="17"/>
      <c r="FOJ115" s="17"/>
      <c r="FOK115" s="17"/>
      <c r="FOL115" s="17"/>
      <c r="FOM115" s="17"/>
      <c r="FON115" s="17"/>
      <c r="FOO115" s="17"/>
      <c r="FOP115" s="17"/>
      <c r="FOQ115" s="17"/>
      <c r="FOR115" s="17"/>
      <c r="FOS115" s="17"/>
      <c r="FOT115" s="17"/>
      <c r="FOU115" s="17"/>
      <c r="FOV115" s="17"/>
      <c r="FOW115" s="17"/>
      <c r="FOX115" s="17"/>
      <c r="FOY115" s="17"/>
      <c r="FOZ115" s="17"/>
      <c r="FPA115" s="17"/>
      <c r="FPB115" s="17"/>
      <c r="FPC115" s="17"/>
      <c r="FPD115" s="17"/>
      <c r="FPE115" s="17"/>
      <c r="FPF115" s="17"/>
      <c r="FPG115" s="17"/>
      <c r="FPH115" s="17"/>
      <c r="FPI115" s="17"/>
      <c r="FPJ115" s="17"/>
      <c r="FPK115" s="17"/>
      <c r="FPL115" s="17"/>
      <c r="FPM115" s="17"/>
      <c r="FPN115" s="17"/>
      <c r="FPO115" s="17"/>
      <c r="FPP115" s="17"/>
      <c r="FPQ115" s="17"/>
      <c r="FPR115" s="17"/>
      <c r="FPS115" s="17"/>
      <c r="FPT115" s="17"/>
      <c r="FPU115" s="17"/>
      <c r="FPV115" s="17"/>
      <c r="FPW115" s="17"/>
      <c r="FPX115" s="17"/>
      <c r="FPY115" s="17"/>
      <c r="FPZ115" s="17"/>
      <c r="FQA115" s="17"/>
      <c r="FQB115" s="17"/>
      <c r="FQC115" s="17"/>
      <c r="FQD115" s="17"/>
      <c r="FQE115" s="17"/>
      <c r="FQF115" s="17"/>
      <c r="FQG115" s="17"/>
      <c r="FQH115" s="17"/>
      <c r="FQI115" s="17"/>
      <c r="FQJ115" s="17"/>
      <c r="FQK115" s="17"/>
      <c r="FQL115" s="17"/>
      <c r="FQM115" s="17"/>
      <c r="FQN115" s="17"/>
      <c r="FQO115" s="17"/>
      <c r="FQP115" s="17"/>
      <c r="FQQ115" s="17"/>
      <c r="FQR115" s="17"/>
      <c r="FQS115" s="17"/>
      <c r="FQT115" s="17"/>
      <c r="FQU115" s="17"/>
      <c r="FQV115" s="17"/>
      <c r="FQW115" s="17"/>
      <c r="FQX115" s="17"/>
      <c r="FQY115" s="17"/>
      <c r="FQZ115" s="17"/>
      <c r="FRA115" s="17"/>
      <c r="FRB115" s="17"/>
      <c r="FRC115" s="17"/>
      <c r="FRD115" s="17"/>
      <c r="FRE115" s="17"/>
      <c r="FRF115" s="17"/>
      <c r="FRG115" s="17"/>
      <c r="FRH115" s="17"/>
      <c r="FRI115" s="17"/>
      <c r="FRJ115" s="17"/>
      <c r="FRK115" s="17"/>
      <c r="FRL115" s="17"/>
      <c r="FRM115" s="17"/>
      <c r="FRN115" s="17"/>
      <c r="FRO115" s="17"/>
      <c r="FRP115" s="17"/>
      <c r="FRQ115" s="17"/>
      <c r="FRR115" s="17"/>
      <c r="FRS115" s="17"/>
      <c r="FRT115" s="17"/>
      <c r="FRU115" s="17"/>
      <c r="FRV115" s="17"/>
      <c r="FRW115" s="17"/>
      <c r="FRX115" s="17"/>
      <c r="FRY115" s="17"/>
      <c r="FRZ115" s="17"/>
      <c r="FSA115" s="17"/>
      <c r="FSB115" s="17"/>
      <c r="FSC115" s="17"/>
      <c r="FSD115" s="17"/>
      <c r="FSE115" s="17"/>
      <c r="FSF115" s="17"/>
      <c r="FSG115" s="17"/>
      <c r="FSH115" s="17"/>
      <c r="FSI115" s="17"/>
      <c r="FSJ115" s="17"/>
      <c r="FSK115" s="17"/>
      <c r="FSL115" s="17"/>
      <c r="FSM115" s="17"/>
      <c r="FSN115" s="17"/>
      <c r="FSO115" s="17"/>
      <c r="FSP115" s="17"/>
      <c r="FSQ115" s="17"/>
      <c r="FSR115" s="17"/>
      <c r="FSS115" s="17"/>
      <c r="FST115" s="17"/>
      <c r="FSU115" s="17"/>
      <c r="FSV115" s="17"/>
      <c r="FSW115" s="17"/>
      <c r="FSX115" s="17"/>
      <c r="FSY115" s="17"/>
      <c r="FSZ115" s="17"/>
      <c r="FTA115" s="17"/>
      <c r="FTB115" s="17"/>
      <c r="FTC115" s="17"/>
      <c r="FTD115" s="17"/>
      <c r="FTE115" s="17"/>
      <c r="FTF115" s="17"/>
      <c r="FTG115" s="17"/>
      <c r="FTH115" s="17"/>
      <c r="FTI115" s="17"/>
      <c r="FTJ115" s="17"/>
      <c r="FTK115" s="17"/>
      <c r="FTL115" s="17"/>
      <c r="FTM115" s="17"/>
      <c r="FTN115" s="17"/>
      <c r="FTO115" s="17"/>
      <c r="FTP115" s="17"/>
      <c r="FTQ115" s="17"/>
      <c r="FTR115" s="17"/>
      <c r="FTS115" s="17"/>
      <c r="FTT115" s="17"/>
      <c r="FTU115" s="17"/>
      <c r="FTV115" s="17"/>
      <c r="FTW115" s="17"/>
      <c r="FTX115" s="17"/>
      <c r="FTY115" s="17"/>
      <c r="FTZ115" s="17"/>
      <c r="FUA115" s="17"/>
      <c r="FUB115" s="17"/>
      <c r="FUC115" s="17"/>
      <c r="FUD115" s="17"/>
      <c r="FUE115" s="17"/>
      <c r="FUF115" s="17"/>
      <c r="FUG115" s="17"/>
      <c r="FUH115" s="17"/>
      <c r="FUI115" s="17"/>
      <c r="FUJ115" s="17"/>
      <c r="FUK115" s="17"/>
      <c r="FUL115" s="17"/>
      <c r="FUM115" s="17"/>
      <c r="FUN115" s="17"/>
      <c r="FUO115" s="17"/>
      <c r="FUP115" s="17"/>
      <c r="FUQ115" s="17"/>
      <c r="FUR115" s="17"/>
      <c r="FUS115" s="17"/>
      <c r="FUT115" s="17"/>
      <c r="FUU115" s="17"/>
      <c r="FUV115" s="17"/>
      <c r="FUW115" s="17"/>
      <c r="FUX115" s="17"/>
      <c r="FUY115" s="17"/>
      <c r="FUZ115" s="17"/>
      <c r="FVA115" s="17"/>
      <c r="FVB115" s="17"/>
      <c r="FVC115" s="17"/>
      <c r="FVD115" s="17"/>
      <c r="FVE115" s="17"/>
      <c r="FVF115" s="17"/>
      <c r="FVG115" s="17"/>
      <c r="FVH115" s="17"/>
      <c r="FVI115" s="17"/>
      <c r="FVJ115" s="17"/>
      <c r="FVK115" s="17"/>
      <c r="FVL115" s="17"/>
      <c r="FVM115" s="17"/>
      <c r="FVN115" s="17"/>
      <c r="FVO115" s="17"/>
      <c r="FVP115" s="17"/>
      <c r="FVQ115" s="17"/>
      <c r="FVR115" s="17"/>
      <c r="FVS115" s="17"/>
      <c r="FVT115" s="17"/>
      <c r="FVU115" s="17"/>
      <c r="FVV115" s="17"/>
      <c r="FVW115" s="17"/>
      <c r="FVX115" s="17"/>
      <c r="FVY115" s="17"/>
      <c r="FVZ115" s="17"/>
      <c r="FWA115" s="17"/>
      <c r="FWB115" s="17"/>
      <c r="FWC115" s="17"/>
      <c r="FWD115" s="17"/>
      <c r="FWE115" s="17"/>
      <c r="FWF115" s="17"/>
      <c r="FWG115" s="17"/>
      <c r="FWH115" s="17"/>
      <c r="FWI115" s="17"/>
      <c r="FWJ115" s="17"/>
      <c r="FWK115" s="17"/>
      <c r="FWL115" s="17"/>
      <c r="FWM115" s="17"/>
      <c r="FWN115" s="17"/>
      <c r="FWO115" s="17"/>
      <c r="FWP115" s="17"/>
      <c r="FWQ115" s="17"/>
      <c r="FWR115" s="17"/>
      <c r="FWS115" s="17"/>
      <c r="FWT115" s="17"/>
      <c r="FWU115" s="17"/>
      <c r="FWV115" s="17"/>
      <c r="FWW115" s="17"/>
      <c r="FWX115" s="17"/>
      <c r="FWY115" s="17"/>
      <c r="FWZ115" s="17"/>
      <c r="FXA115" s="17"/>
      <c r="FXB115" s="17"/>
      <c r="FXC115" s="17"/>
      <c r="FXD115" s="17"/>
      <c r="FXE115" s="17"/>
      <c r="FXF115" s="17"/>
      <c r="FXG115" s="17"/>
      <c r="FXH115" s="17"/>
      <c r="FXI115" s="17"/>
      <c r="FXJ115" s="17"/>
      <c r="FXK115" s="17"/>
      <c r="FXL115" s="17"/>
      <c r="FXM115" s="17"/>
      <c r="FXN115" s="17"/>
      <c r="FXO115" s="17"/>
      <c r="FXP115" s="17"/>
      <c r="FXQ115" s="17"/>
      <c r="FXR115" s="17"/>
      <c r="FXS115" s="17"/>
      <c r="FXT115" s="17"/>
      <c r="FXU115" s="17"/>
      <c r="FXV115" s="17"/>
      <c r="FXW115" s="17"/>
      <c r="FXX115" s="17"/>
      <c r="FXY115" s="17"/>
      <c r="FXZ115" s="17"/>
      <c r="FYA115" s="17"/>
      <c r="FYB115" s="17"/>
      <c r="FYC115" s="17"/>
      <c r="FYD115" s="17"/>
      <c r="FYE115" s="17"/>
      <c r="FYF115" s="17"/>
      <c r="FYG115" s="17"/>
      <c r="FYH115" s="17"/>
      <c r="FYI115" s="17"/>
      <c r="FYJ115" s="17"/>
      <c r="FYK115" s="17"/>
      <c r="FYL115" s="17"/>
      <c r="FYM115" s="17"/>
      <c r="FYN115" s="17"/>
      <c r="FYO115" s="17"/>
      <c r="FYP115" s="17"/>
      <c r="FYQ115" s="17"/>
      <c r="FYR115" s="17"/>
      <c r="FYS115" s="17"/>
      <c r="FYT115" s="17"/>
      <c r="FYU115" s="17"/>
      <c r="FYV115" s="17"/>
      <c r="FYW115" s="17"/>
      <c r="FYX115" s="17"/>
      <c r="FYY115" s="17"/>
      <c r="FYZ115" s="17"/>
      <c r="FZA115" s="17"/>
      <c r="FZB115" s="17"/>
      <c r="FZC115" s="17"/>
      <c r="FZD115" s="17"/>
      <c r="FZE115" s="17"/>
      <c r="FZF115" s="17"/>
      <c r="FZG115" s="17"/>
      <c r="FZH115" s="17"/>
      <c r="FZI115" s="17"/>
      <c r="FZJ115" s="17"/>
      <c r="FZK115" s="17"/>
      <c r="FZL115" s="17"/>
      <c r="FZM115" s="17"/>
      <c r="FZN115" s="17"/>
      <c r="FZO115" s="17"/>
      <c r="FZP115" s="17"/>
      <c r="FZQ115" s="17"/>
      <c r="FZR115" s="17"/>
      <c r="FZS115" s="17"/>
      <c r="FZT115" s="17"/>
      <c r="FZU115" s="17"/>
      <c r="FZV115" s="17"/>
      <c r="FZW115" s="17"/>
      <c r="FZX115" s="17"/>
      <c r="FZY115" s="17"/>
      <c r="FZZ115" s="17"/>
      <c r="GAA115" s="17"/>
      <c r="GAB115" s="17"/>
      <c r="GAC115" s="17"/>
      <c r="GAD115" s="17"/>
      <c r="GAE115" s="17"/>
      <c r="GAF115" s="17"/>
      <c r="GAG115" s="17"/>
      <c r="GAH115" s="17"/>
      <c r="GAI115" s="17"/>
      <c r="GAJ115" s="17"/>
      <c r="GAK115" s="17"/>
      <c r="GAL115" s="17"/>
      <c r="GAM115" s="17"/>
      <c r="GAN115" s="17"/>
      <c r="GAO115" s="17"/>
      <c r="GAP115" s="17"/>
      <c r="GAQ115" s="17"/>
      <c r="GAR115" s="17"/>
      <c r="GAS115" s="17"/>
      <c r="GAT115" s="17"/>
      <c r="GAU115" s="17"/>
      <c r="GAV115" s="17"/>
      <c r="GAW115" s="17"/>
      <c r="GAX115" s="17"/>
      <c r="GAY115" s="17"/>
      <c r="GAZ115" s="17"/>
      <c r="GBA115" s="17"/>
      <c r="GBB115" s="17"/>
      <c r="GBC115" s="17"/>
      <c r="GBD115" s="17"/>
      <c r="GBE115" s="17"/>
      <c r="GBF115" s="17"/>
      <c r="GBG115" s="17"/>
      <c r="GBH115" s="17"/>
      <c r="GBI115" s="17"/>
      <c r="GBJ115" s="17"/>
      <c r="GBK115" s="17"/>
      <c r="GBL115" s="17"/>
      <c r="GBM115" s="17"/>
      <c r="GBN115" s="17"/>
      <c r="GBO115" s="17"/>
      <c r="GBP115" s="17"/>
      <c r="GBQ115" s="17"/>
      <c r="GBR115" s="17"/>
      <c r="GBS115" s="17"/>
      <c r="GBT115" s="17"/>
      <c r="GBU115" s="17"/>
      <c r="GBV115" s="17"/>
      <c r="GBW115" s="17"/>
      <c r="GBX115" s="17"/>
      <c r="GBY115" s="17"/>
      <c r="GBZ115" s="17"/>
      <c r="GCA115" s="17"/>
      <c r="GCB115" s="17"/>
      <c r="GCC115" s="17"/>
      <c r="GCD115" s="17"/>
      <c r="GCE115" s="17"/>
      <c r="GCF115" s="17"/>
      <c r="GCG115" s="17"/>
      <c r="GCH115" s="17"/>
      <c r="GCI115" s="17"/>
      <c r="GCJ115" s="17"/>
      <c r="GCK115" s="17"/>
      <c r="GCL115" s="17"/>
      <c r="GCM115" s="17"/>
      <c r="GCN115" s="17"/>
      <c r="GCO115" s="17"/>
      <c r="GCP115" s="17"/>
      <c r="GCQ115" s="17"/>
      <c r="GCR115" s="17"/>
      <c r="GCS115" s="17"/>
      <c r="GCT115" s="17"/>
      <c r="GCU115" s="17"/>
      <c r="GCV115" s="17"/>
      <c r="GCW115" s="17"/>
      <c r="GCX115" s="17"/>
      <c r="GCY115" s="17"/>
      <c r="GCZ115" s="17"/>
      <c r="GDA115" s="17"/>
      <c r="GDB115" s="17"/>
      <c r="GDC115" s="17"/>
      <c r="GDD115" s="17"/>
      <c r="GDE115" s="17"/>
      <c r="GDF115" s="17"/>
      <c r="GDG115" s="17"/>
      <c r="GDH115" s="17"/>
      <c r="GDI115" s="17"/>
      <c r="GDJ115" s="17"/>
      <c r="GDK115" s="17"/>
      <c r="GDL115" s="17"/>
      <c r="GDM115" s="17"/>
      <c r="GDN115" s="17"/>
      <c r="GDO115" s="17"/>
      <c r="GDP115" s="17"/>
      <c r="GDQ115" s="17"/>
      <c r="GDR115" s="17"/>
      <c r="GDS115" s="17"/>
      <c r="GDT115" s="17"/>
      <c r="GDU115" s="17"/>
      <c r="GDV115" s="17"/>
      <c r="GDW115" s="17"/>
      <c r="GDX115" s="17"/>
      <c r="GDY115" s="17"/>
      <c r="GDZ115" s="17"/>
      <c r="GEA115" s="17"/>
      <c r="GEB115" s="17"/>
      <c r="GEC115" s="17"/>
      <c r="GED115" s="17"/>
      <c r="GEE115" s="17"/>
      <c r="GEF115" s="17"/>
      <c r="GEG115" s="17"/>
      <c r="GEH115" s="17"/>
      <c r="GEI115" s="17"/>
      <c r="GEJ115" s="17"/>
      <c r="GEK115" s="17"/>
      <c r="GEL115" s="17"/>
      <c r="GEM115" s="17"/>
      <c r="GEN115" s="17"/>
      <c r="GEO115" s="17"/>
      <c r="GEP115" s="17"/>
      <c r="GEQ115" s="17"/>
      <c r="GER115" s="17"/>
      <c r="GES115" s="17"/>
      <c r="GET115" s="17"/>
      <c r="GEU115" s="17"/>
      <c r="GEV115" s="17"/>
      <c r="GEW115" s="17"/>
      <c r="GEX115" s="17"/>
      <c r="GEY115" s="17"/>
      <c r="GEZ115" s="17"/>
      <c r="GFA115" s="17"/>
      <c r="GFB115" s="17"/>
      <c r="GFC115" s="17"/>
      <c r="GFD115" s="17"/>
      <c r="GFE115" s="17"/>
      <c r="GFF115" s="17"/>
      <c r="GFG115" s="17"/>
      <c r="GFH115" s="17"/>
      <c r="GFI115" s="17"/>
      <c r="GFJ115" s="17"/>
      <c r="GFK115" s="17"/>
      <c r="GFL115" s="17"/>
      <c r="GFM115" s="17"/>
      <c r="GFN115" s="17"/>
      <c r="GFO115" s="17"/>
      <c r="GFP115" s="17"/>
      <c r="GFQ115" s="17"/>
      <c r="GFR115" s="17"/>
      <c r="GFS115" s="17"/>
      <c r="GFT115" s="17"/>
      <c r="GFU115" s="17"/>
      <c r="GFV115" s="17"/>
      <c r="GFW115" s="17"/>
      <c r="GFX115" s="17"/>
      <c r="GFY115" s="17"/>
      <c r="GFZ115" s="17"/>
      <c r="GGA115" s="17"/>
      <c r="GGB115" s="17"/>
      <c r="GGC115" s="17"/>
      <c r="GGD115" s="17"/>
      <c r="GGE115" s="17"/>
      <c r="GGF115" s="17"/>
      <c r="GGG115" s="17"/>
      <c r="GGH115" s="17"/>
      <c r="GGI115" s="17"/>
      <c r="GGJ115" s="17"/>
      <c r="GGK115" s="17"/>
      <c r="GGL115" s="17"/>
      <c r="GGM115" s="17"/>
      <c r="GGN115" s="17"/>
      <c r="GGO115" s="17"/>
      <c r="GGP115" s="17"/>
      <c r="GGQ115" s="17"/>
      <c r="GGR115" s="17"/>
      <c r="GGS115" s="17"/>
      <c r="GGT115" s="17"/>
      <c r="GGU115" s="17"/>
      <c r="GGV115" s="17"/>
      <c r="GGW115" s="17"/>
      <c r="GGX115" s="17"/>
      <c r="GGY115" s="17"/>
      <c r="GGZ115" s="17"/>
      <c r="GHA115" s="17"/>
      <c r="GHB115" s="17"/>
      <c r="GHC115" s="17"/>
      <c r="GHD115" s="17"/>
      <c r="GHE115" s="17"/>
      <c r="GHF115" s="17"/>
      <c r="GHG115" s="17"/>
      <c r="GHH115" s="17"/>
      <c r="GHI115" s="17"/>
      <c r="GHJ115" s="17"/>
      <c r="GHK115" s="17"/>
      <c r="GHL115" s="17"/>
      <c r="GHM115" s="17"/>
      <c r="GHN115" s="17"/>
      <c r="GHO115" s="17"/>
      <c r="GHP115" s="17"/>
      <c r="GHQ115" s="17"/>
      <c r="GHR115" s="17"/>
      <c r="GHS115" s="17"/>
      <c r="GHT115" s="17"/>
      <c r="GHU115" s="17"/>
      <c r="GHV115" s="17"/>
      <c r="GHW115" s="17"/>
      <c r="GHX115" s="17"/>
      <c r="GHY115" s="17"/>
      <c r="GHZ115" s="17"/>
      <c r="GIA115" s="17"/>
      <c r="GIB115" s="17"/>
      <c r="GIC115" s="17"/>
      <c r="GID115" s="17"/>
      <c r="GIE115" s="17"/>
      <c r="GIF115" s="17"/>
      <c r="GIG115" s="17"/>
      <c r="GIH115" s="17"/>
      <c r="GII115" s="17"/>
      <c r="GIJ115" s="17"/>
      <c r="GIK115" s="17"/>
      <c r="GIL115" s="17"/>
      <c r="GIM115" s="17"/>
      <c r="GIN115" s="17"/>
      <c r="GIO115" s="17"/>
      <c r="GIP115" s="17"/>
      <c r="GIQ115" s="17"/>
      <c r="GIR115" s="17"/>
      <c r="GIS115" s="17"/>
      <c r="GIT115" s="17"/>
      <c r="GIU115" s="17"/>
      <c r="GIV115" s="17"/>
      <c r="GIW115" s="17"/>
      <c r="GIX115" s="17"/>
      <c r="GIY115" s="17"/>
      <c r="GIZ115" s="17"/>
      <c r="GJA115" s="17"/>
      <c r="GJB115" s="17"/>
      <c r="GJC115" s="17"/>
      <c r="GJD115" s="17"/>
      <c r="GJE115" s="17"/>
      <c r="GJF115" s="17"/>
      <c r="GJG115" s="17"/>
      <c r="GJH115" s="17"/>
      <c r="GJI115" s="17"/>
      <c r="GJJ115" s="17"/>
      <c r="GJK115" s="17"/>
      <c r="GJL115" s="17"/>
      <c r="GJM115" s="17"/>
      <c r="GJN115" s="17"/>
      <c r="GJO115" s="17"/>
      <c r="GJP115" s="17"/>
      <c r="GJQ115" s="17"/>
      <c r="GJR115" s="17"/>
      <c r="GJS115" s="17"/>
      <c r="GJT115" s="17"/>
      <c r="GJU115" s="17"/>
      <c r="GJV115" s="17"/>
      <c r="GJW115" s="17"/>
      <c r="GJX115" s="17"/>
      <c r="GJY115" s="17"/>
      <c r="GJZ115" s="17"/>
      <c r="GKA115" s="17"/>
      <c r="GKB115" s="17"/>
      <c r="GKC115" s="17"/>
      <c r="GKD115" s="17"/>
      <c r="GKE115" s="17"/>
      <c r="GKF115" s="17"/>
      <c r="GKG115" s="17"/>
      <c r="GKH115" s="17"/>
      <c r="GKI115" s="17"/>
      <c r="GKJ115" s="17"/>
      <c r="GKK115" s="17"/>
      <c r="GKL115" s="17"/>
      <c r="GKM115" s="17"/>
      <c r="GKN115" s="17"/>
      <c r="GKO115" s="17"/>
      <c r="GKP115" s="17"/>
      <c r="GKQ115" s="17"/>
      <c r="GKR115" s="17"/>
      <c r="GKS115" s="17"/>
      <c r="GKT115" s="17"/>
      <c r="GKU115" s="17"/>
      <c r="GKV115" s="17"/>
      <c r="GKW115" s="17"/>
      <c r="GKX115" s="17"/>
      <c r="GKY115" s="17"/>
      <c r="GKZ115" s="17"/>
      <c r="GLA115" s="17"/>
      <c r="GLB115" s="17"/>
      <c r="GLC115" s="17"/>
      <c r="GLD115" s="17"/>
      <c r="GLE115" s="17"/>
      <c r="GLF115" s="17"/>
      <c r="GLG115" s="17"/>
      <c r="GLH115" s="17"/>
      <c r="GLI115" s="17"/>
      <c r="GLJ115" s="17"/>
      <c r="GLK115" s="17"/>
      <c r="GLL115" s="17"/>
      <c r="GLM115" s="17"/>
      <c r="GLN115" s="17"/>
      <c r="GLO115" s="17"/>
      <c r="GLP115" s="17"/>
      <c r="GLQ115" s="17"/>
      <c r="GLR115" s="17"/>
      <c r="GLS115" s="17"/>
      <c r="GLT115" s="17"/>
      <c r="GLU115" s="17"/>
      <c r="GLV115" s="17"/>
      <c r="GLW115" s="17"/>
      <c r="GLX115" s="17"/>
      <c r="GLY115" s="17"/>
      <c r="GLZ115" s="17"/>
      <c r="GMA115" s="17"/>
      <c r="GMB115" s="17"/>
      <c r="GMC115" s="17"/>
      <c r="GMD115" s="17"/>
      <c r="GME115" s="17"/>
      <c r="GMF115" s="17"/>
      <c r="GMG115" s="17"/>
      <c r="GMH115" s="17"/>
      <c r="GMI115" s="17"/>
      <c r="GMJ115" s="17"/>
      <c r="GMK115" s="17"/>
      <c r="GML115" s="17"/>
      <c r="GMM115" s="17"/>
      <c r="GMN115" s="17"/>
      <c r="GMO115" s="17"/>
      <c r="GMP115" s="17"/>
      <c r="GMQ115" s="17"/>
      <c r="GMR115" s="17"/>
      <c r="GMS115" s="17"/>
      <c r="GMT115" s="17"/>
      <c r="GMU115" s="17"/>
      <c r="GMV115" s="17"/>
      <c r="GMW115" s="17"/>
      <c r="GMX115" s="17"/>
      <c r="GMY115" s="17"/>
      <c r="GMZ115" s="17"/>
      <c r="GNA115" s="17"/>
      <c r="GNB115" s="17"/>
      <c r="GNC115" s="17"/>
      <c r="GND115" s="17"/>
      <c r="GNE115" s="17"/>
      <c r="GNF115" s="17"/>
      <c r="GNG115" s="17"/>
      <c r="GNH115" s="17"/>
      <c r="GNI115" s="17"/>
      <c r="GNJ115" s="17"/>
      <c r="GNK115" s="17"/>
      <c r="GNL115" s="17"/>
      <c r="GNM115" s="17"/>
      <c r="GNN115" s="17"/>
      <c r="GNO115" s="17"/>
      <c r="GNP115" s="17"/>
      <c r="GNQ115" s="17"/>
      <c r="GNR115" s="17"/>
      <c r="GNS115" s="17"/>
      <c r="GNT115" s="17"/>
      <c r="GNU115" s="17"/>
      <c r="GNV115" s="17"/>
      <c r="GNW115" s="17"/>
      <c r="GNX115" s="17"/>
      <c r="GNY115" s="17"/>
      <c r="GNZ115" s="17"/>
      <c r="GOA115" s="17"/>
      <c r="GOB115" s="17"/>
      <c r="GOC115" s="17"/>
      <c r="GOD115" s="17"/>
      <c r="GOE115" s="17"/>
      <c r="GOF115" s="17"/>
      <c r="GOG115" s="17"/>
      <c r="GOH115" s="17"/>
      <c r="GOI115" s="17"/>
      <c r="GOJ115" s="17"/>
      <c r="GOK115" s="17"/>
      <c r="GOL115" s="17"/>
      <c r="GOM115" s="17"/>
      <c r="GON115" s="17"/>
      <c r="GOO115" s="17"/>
      <c r="GOP115" s="17"/>
      <c r="GOQ115" s="17"/>
      <c r="GOR115" s="17"/>
      <c r="GOS115" s="17"/>
      <c r="GOT115" s="17"/>
      <c r="GOU115" s="17"/>
      <c r="GOV115" s="17"/>
      <c r="GOW115" s="17"/>
      <c r="GOX115" s="17"/>
      <c r="GOY115" s="17"/>
      <c r="GOZ115" s="17"/>
      <c r="GPA115" s="17"/>
      <c r="GPB115" s="17"/>
      <c r="GPC115" s="17"/>
      <c r="GPD115" s="17"/>
      <c r="GPE115" s="17"/>
      <c r="GPF115" s="17"/>
      <c r="GPG115" s="17"/>
      <c r="GPH115" s="17"/>
      <c r="GPI115" s="17"/>
      <c r="GPJ115" s="17"/>
      <c r="GPK115" s="17"/>
      <c r="GPL115" s="17"/>
      <c r="GPM115" s="17"/>
      <c r="GPN115" s="17"/>
      <c r="GPO115" s="17"/>
      <c r="GPP115" s="17"/>
      <c r="GPQ115" s="17"/>
      <c r="GPR115" s="17"/>
      <c r="GPS115" s="17"/>
      <c r="GPT115" s="17"/>
      <c r="GPU115" s="17"/>
      <c r="GPV115" s="17"/>
      <c r="GPW115" s="17"/>
      <c r="GPX115" s="17"/>
      <c r="GPY115" s="17"/>
      <c r="GPZ115" s="17"/>
      <c r="GQA115" s="17"/>
      <c r="GQB115" s="17"/>
      <c r="GQC115" s="17"/>
      <c r="GQD115" s="17"/>
      <c r="GQE115" s="17"/>
      <c r="GQF115" s="17"/>
      <c r="GQG115" s="17"/>
      <c r="GQH115" s="17"/>
      <c r="GQI115" s="17"/>
      <c r="GQJ115" s="17"/>
      <c r="GQK115" s="17"/>
      <c r="GQL115" s="17"/>
      <c r="GQM115" s="17"/>
      <c r="GQN115" s="17"/>
      <c r="GQO115" s="17"/>
      <c r="GQP115" s="17"/>
      <c r="GQQ115" s="17"/>
      <c r="GQR115" s="17"/>
      <c r="GQS115" s="17"/>
      <c r="GQT115" s="17"/>
      <c r="GQU115" s="17"/>
      <c r="GQV115" s="17"/>
      <c r="GQW115" s="17"/>
      <c r="GQX115" s="17"/>
      <c r="GQY115" s="17"/>
      <c r="GQZ115" s="17"/>
      <c r="GRA115" s="17"/>
      <c r="GRB115" s="17"/>
      <c r="GRC115" s="17"/>
      <c r="GRD115" s="17"/>
      <c r="GRE115" s="17"/>
      <c r="GRF115" s="17"/>
      <c r="GRG115" s="17"/>
      <c r="GRH115" s="17"/>
      <c r="GRI115" s="17"/>
      <c r="GRJ115" s="17"/>
      <c r="GRK115" s="17"/>
      <c r="GRL115" s="17"/>
      <c r="GRM115" s="17"/>
      <c r="GRN115" s="17"/>
      <c r="GRO115" s="17"/>
      <c r="GRP115" s="17"/>
      <c r="GRQ115" s="17"/>
      <c r="GRR115" s="17"/>
      <c r="GRS115" s="17"/>
      <c r="GRT115" s="17"/>
      <c r="GRU115" s="17"/>
      <c r="GRV115" s="17"/>
      <c r="GRW115" s="17"/>
      <c r="GRX115" s="17"/>
      <c r="GRY115" s="17"/>
      <c r="GRZ115" s="17"/>
      <c r="GSA115" s="17"/>
      <c r="GSB115" s="17"/>
      <c r="GSC115" s="17"/>
      <c r="GSD115" s="17"/>
      <c r="GSE115" s="17"/>
      <c r="GSF115" s="17"/>
      <c r="GSG115" s="17"/>
      <c r="GSH115" s="17"/>
      <c r="GSI115" s="17"/>
      <c r="GSJ115" s="17"/>
      <c r="GSK115" s="17"/>
      <c r="GSL115" s="17"/>
      <c r="GSM115" s="17"/>
      <c r="GSN115" s="17"/>
      <c r="GSO115" s="17"/>
      <c r="GSP115" s="17"/>
      <c r="GSQ115" s="17"/>
      <c r="GSR115" s="17"/>
      <c r="GSS115" s="17"/>
      <c r="GST115" s="17"/>
      <c r="GSU115" s="17"/>
      <c r="GSV115" s="17"/>
      <c r="GSW115" s="17"/>
      <c r="GSX115" s="17"/>
      <c r="GSY115" s="17"/>
      <c r="GSZ115" s="17"/>
      <c r="GTA115" s="17"/>
      <c r="GTB115" s="17"/>
      <c r="GTC115" s="17"/>
      <c r="GTD115" s="17"/>
      <c r="GTE115" s="17"/>
      <c r="GTF115" s="17"/>
      <c r="GTG115" s="17"/>
      <c r="GTH115" s="17"/>
      <c r="GTI115" s="17"/>
      <c r="GTJ115" s="17"/>
      <c r="GTK115" s="17"/>
      <c r="GTL115" s="17"/>
      <c r="GTM115" s="17"/>
      <c r="GTN115" s="17"/>
      <c r="GTO115" s="17"/>
      <c r="GTP115" s="17"/>
      <c r="GTQ115" s="17"/>
      <c r="GTR115" s="17"/>
      <c r="GTS115" s="17"/>
      <c r="GTT115" s="17"/>
      <c r="GTU115" s="17"/>
      <c r="GTV115" s="17"/>
      <c r="GTW115" s="17"/>
      <c r="GTX115" s="17"/>
      <c r="GTY115" s="17"/>
      <c r="GTZ115" s="17"/>
      <c r="GUA115" s="17"/>
      <c r="GUB115" s="17"/>
      <c r="GUC115" s="17"/>
      <c r="GUD115" s="17"/>
      <c r="GUE115" s="17"/>
      <c r="GUF115" s="17"/>
      <c r="GUG115" s="17"/>
      <c r="GUH115" s="17"/>
      <c r="GUI115" s="17"/>
      <c r="GUJ115" s="17"/>
      <c r="GUK115" s="17"/>
      <c r="GUL115" s="17"/>
      <c r="GUM115" s="17"/>
      <c r="GUN115" s="17"/>
      <c r="GUO115" s="17"/>
      <c r="GUP115" s="17"/>
      <c r="GUQ115" s="17"/>
      <c r="GUR115" s="17"/>
      <c r="GUS115" s="17"/>
      <c r="GUT115" s="17"/>
      <c r="GUU115" s="17"/>
      <c r="GUV115" s="17"/>
      <c r="GUW115" s="17"/>
      <c r="GUX115" s="17"/>
      <c r="GUY115" s="17"/>
      <c r="GUZ115" s="17"/>
      <c r="GVA115" s="17"/>
      <c r="GVB115" s="17"/>
      <c r="GVC115" s="17"/>
      <c r="GVD115" s="17"/>
      <c r="GVE115" s="17"/>
      <c r="GVF115" s="17"/>
      <c r="GVG115" s="17"/>
      <c r="GVH115" s="17"/>
      <c r="GVI115" s="17"/>
      <c r="GVJ115" s="17"/>
      <c r="GVK115" s="17"/>
      <c r="GVL115" s="17"/>
      <c r="GVM115" s="17"/>
      <c r="GVN115" s="17"/>
      <c r="GVO115" s="17"/>
      <c r="GVP115" s="17"/>
      <c r="GVQ115" s="17"/>
      <c r="GVR115" s="17"/>
      <c r="GVS115" s="17"/>
      <c r="GVT115" s="17"/>
      <c r="GVU115" s="17"/>
      <c r="GVV115" s="17"/>
      <c r="GVW115" s="17"/>
      <c r="GVX115" s="17"/>
      <c r="GVY115" s="17"/>
      <c r="GVZ115" s="17"/>
      <c r="GWA115" s="17"/>
      <c r="GWB115" s="17"/>
      <c r="GWC115" s="17"/>
      <c r="GWD115" s="17"/>
      <c r="GWE115" s="17"/>
      <c r="GWF115" s="17"/>
      <c r="GWG115" s="17"/>
      <c r="GWH115" s="17"/>
      <c r="GWI115" s="17"/>
      <c r="GWJ115" s="17"/>
      <c r="GWK115" s="17"/>
      <c r="GWL115" s="17"/>
      <c r="GWM115" s="17"/>
      <c r="GWN115" s="17"/>
      <c r="GWO115" s="17"/>
      <c r="GWP115" s="17"/>
      <c r="GWQ115" s="17"/>
      <c r="GWR115" s="17"/>
      <c r="GWS115" s="17"/>
      <c r="GWT115" s="17"/>
      <c r="GWU115" s="17"/>
      <c r="GWV115" s="17"/>
      <c r="GWW115" s="17"/>
      <c r="GWX115" s="17"/>
      <c r="GWY115" s="17"/>
      <c r="GWZ115" s="17"/>
      <c r="GXA115" s="17"/>
      <c r="GXB115" s="17"/>
      <c r="GXC115" s="17"/>
      <c r="GXD115" s="17"/>
      <c r="GXE115" s="17"/>
      <c r="GXF115" s="17"/>
      <c r="GXG115" s="17"/>
      <c r="GXH115" s="17"/>
      <c r="GXI115" s="17"/>
      <c r="GXJ115" s="17"/>
      <c r="GXK115" s="17"/>
      <c r="GXL115" s="17"/>
      <c r="GXM115" s="17"/>
      <c r="GXN115" s="17"/>
      <c r="GXO115" s="17"/>
      <c r="GXP115" s="17"/>
      <c r="GXQ115" s="17"/>
      <c r="GXR115" s="17"/>
      <c r="GXS115" s="17"/>
      <c r="GXT115" s="17"/>
      <c r="GXU115" s="17"/>
      <c r="GXV115" s="17"/>
      <c r="GXW115" s="17"/>
      <c r="GXX115" s="17"/>
      <c r="GXY115" s="17"/>
      <c r="GXZ115" s="17"/>
      <c r="GYA115" s="17"/>
      <c r="GYB115" s="17"/>
      <c r="GYC115" s="17"/>
      <c r="GYD115" s="17"/>
      <c r="GYE115" s="17"/>
      <c r="GYF115" s="17"/>
      <c r="GYG115" s="17"/>
      <c r="GYH115" s="17"/>
      <c r="GYI115" s="17"/>
      <c r="GYJ115" s="17"/>
      <c r="GYK115" s="17"/>
      <c r="GYL115" s="17"/>
      <c r="GYM115" s="17"/>
      <c r="GYN115" s="17"/>
      <c r="GYO115" s="17"/>
      <c r="GYP115" s="17"/>
      <c r="GYQ115" s="17"/>
      <c r="GYR115" s="17"/>
      <c r="GYS115" s="17"/>
      <c r="GYT115" s="17"/>
      <c r="GYU115" s="17"/>
      <c r="GYV115" s="17"/>
      <c r="GYW115" s="17"/>
      <c r="GYX115" s="17"/>
      <c r="GYY115" s="17"/>
      <c r="GYZ115" s="17"/>
      <c r="GZA115" s="17"/>
      <c r="GZB115" s="17"/>
      <c r="GZC115" s="17"/>
      <c r="GZD115" s="17"/>
      <c r="GZE115" s="17"/>
      <c r="GZF115" s="17"/>
      <c r="GZG115" s="17"/>
      <c r="GZH115" s="17"/>
      <c r="GZI115" s="17"/>
      <c r="GZJ115" s="17"/>
      <c r="GZK115" s="17"/>
      <c r="GZL115" s="17"/>
      <c r="GZM115" s="17"/>
      <c r="GZN115" s="17"/>
      <c r="GZO115" s="17"/>
      <c r="GZP115" s="17"/>
      <c r="GZQ115" s="17"/>
      <c r="GZR115" s="17"/>
      <c r="GZS115" s="17"/>
      <c r="GZT115" s="17"/>
      <c r="GZU115" s="17"/>
      <c r="GZV115" s="17"/>
      <c r="GZW115" s="17"/>
      <c r="GZX115" s="17"/>
      <c r="GZY115" s="17"/>
      <c r="GZZ115" s="17"/>
      <c r="HAA115" s="17"/>
      <c r="HAB115" s="17"/>
      <c r="HAC115" s="17"/>
      <c r="HAD115" s="17"/>
      <c r="HAE115" s="17"/>
      <c r="HAF115" s="17"/>
      <c r="HAG115" s="17"/>
      <c r="HAH115" s="17"/>
      <c r="HAI115" s="17"/>
      <c r="HAJ115" s="17"/>
      <c r="HAK115" s="17"/>
      <c r="HAL115" s="17"/>
      <c r="HAM115" s="17"/>
      <c r="HAN115" s="17"/>
      <c r="HAO115" s="17"/>
      <c r="HAP115" s="17"/>
      <c r="HAQ115" s="17"/>
      <c r="HAR115" s="17"/>
      <c r="HAS115" s="17"/>
      <c r="HAT115" s="17"/>
      <c r="HAU115" s="17"/>
      <c r="HAV115" s="17"/>
      <c r="HAW115" s="17"/>
      <c r="HAX115" s="17"/>
      <c r="HAY115" s="17"/>
      <c r="HAZ115" s="17"/>
      <c r="HBA115" s="17"/>
      <c r="HBB115" s="17"/>
      <c r="HBC115" s="17"/>
      <c r="HBD115" s="17"/>
      <c r="HBE115" s="17"/>
      <c r="HBF115" s="17"/>
      <c r="HBG115" s="17"/>
      <c r="HBH115" s="17"/>
      <c r="HBI115" s="17"/>
      <c r="HBJ115" s="17"/>
      <c r="HBK115" s="17"/>
      <c r="HBL115" s="17"/>
      <c r="HBM115" s="17"/>
      <c r="HBN115" s="17"/>
      <c r="HBO115" s="17"/>
      <c r="HBP115" s="17"/>
      <c r="HBQ115" s="17"/>
      <c r="HBR115" s="17"/>
      <c r="HBS115" s="17"/>
      <c r="HBT115" s="17"/>
      <c r="HBU115" s="17"/>
      <c r="HBV115" s="17"/>
      <c r="HBW115" s="17"/>
      <c r="HBX115" s="17"/>
      <c r="HBY115" s="17"/>
      <c r="HBZ115" s="17"/>
      <c r="HCA115" s="17"/>
      <c r="HCB115" s="17"/>
      <c r="HCC115" s="17"/>
      <c r="HCD115" s="17"/>
      <c r="HCE115" s="17"/>
      <c r="HCF115" s="17"/>
      <c r="HCG115" s="17"/>
      <c r="HCH115" s="17"/>
      <c r="HCI115" s="17"/>
      <c r="HCJ115" s="17"/>
      <c r="HCK115" s="17"/>
      <c r="HCL115" s="17"/>
      <c r="HCM115" s="17"/>
      <c r="HCN115" s="17"/>
      <c r="HCO115" s="17"/>
      <c r="HCP115" s="17"/>
      <c r="HCQ115" s="17"/>
      <c r="HCR115" s="17"/>
      <c r="HCS115" s="17"/>
      <c r="HCT115" s="17"/>
      <c r="HCU115" s="17"/>
      <c r="HCV115" s="17"/>
      <c r="HCW115" s="17"/>
      <c r="HCX115" s="17"/>
      <c r="HCY115" s="17"/>
      <c r="HCZ115" s="17"/>
      <c r="HDA115" s="17"/>
      <c r="HDB115" s="17"/>
      <c r="HDC115" s="17"/>
      <c r="HDD115" s="17"/>
      <c r="HDE115" s="17"/>
      <c r="HDF115" s="17"/>
      <c r="HDG115" s="17"/>
      <c r="HDH115" s="17"/>
      <c r="HDI115" s="17"/>
      <c r="HDJ115" s="17"/>
      <c r="HDK115" s="17"/>
      <c r="HDL115" s="17"/>
      <c r="HDM115" s="17"/>
      <c r="HDN115" s="17"/>
      <c r="HDO115" s="17"/>
      <c r="HDP115" s="17"/>
      <c r="HDQ115" s="17"/>
      <c r="HDR115" s="17"/>
      <c r="HDS115" s="17"/>
      <c r="HDT115" s="17"/>
      <c r="HDU115" s="17"/>
      <c r="HDV115" s="17"/>
      <c r="HDW115" s="17"/>
      <c r="HDX115" s="17"/>
      <c r="HDY115" s="17"/>
      <c r="HDZ115" s="17"/>
      <c r="HEA115" s="17"/>
      <c r="HEB115" s="17"/>
      <c r="HEC115" s="17"/>
      <c r="HED115" s="17"/>
      <c r="HEE115" s="17"/>
      <c r="HEF115" s="17"/>
      <c r="HEG115" s="17"/>
      <c r="HEH115" s="17"/>
      <c r="HEI115" s="17"/>
      <c r="HEJ115" s="17"/>
      <c r="HEK115" s="17"/>
      <c r="HEL115" s="17"/>
      <c r="HEM115" s="17"/>
      <c r="HEN115" s="17"/>
      <c r="HEO115" s="17"/>
      <c r="HEP115" s="17"/>
      <c r="HEQ115" s="17"/>
      <c r="HER115" s="17"/>
      <c r="HES115" s="17"/>
      <c r="HET115" s="17"/>
      <c r="HEU115" s="17"/>
      <c r="HEV115" s="17"/>
      <c r="HEW115" s="17"/>
      <c r="HEX115" s="17"/>
      <c r="HEY115" s="17"/>
      <c r="HEZ115" s="17"/>
      <c r="HFA115" s="17"/>
      <c r="HFB115" s="17"/>
      <c r="HFC115" s="17"/>
      <c r="HFD115" s="17"/>
      <c r="HFE115" s="17"/>
      <c r="HFF115" s="17"/>
      <c r="HFG115" s="17"/>
      <c r="HFH115" s="17"/>
      <c r="HFI115" s="17"/>
      <c r="HFJ115" s="17"/>
      <c r="HFK115" s="17"/>
      <c r="HFL115" s="17"/>
      <c r="HFM115" s="17"/>
      <c r="HFN115" s="17"/>
      <c r="HFO115" s="17"/>
      <c r="HFP115" s="17"/>
      <c r="HFQ115" s="17"/>
      <c r="HFR115" s="17"/>
      <c r="HFS115" s="17"/>
      <c r="HFT115" s="17"/>
      <c r="HFU115" s="17"/>
      <c r="HFV115" s="17"/>
      <c r="HFW115" s="17"/>
      <c r="HFX115" s="17"/>
      <c r="HFY115" s="17"/>
      <c r="HFZ115" s="17"/>
      <c r="HGA115" s="17"/>
      <c r="HGB115" s="17"/>
      <c r="HGC115" s="17"/>
      <c r="HGD115" s="17"/>
      <c r="HGE115" s="17"/>
      <c r="HGF115" s="17"/>
      <c r="HGG115" s="17"/>
      <c r="HGH115" s="17"/>
      <c r="HGI115" s="17"/>
      <c r="HGJ115" s="17"/>
      <c r="HGK115" s="17"/>
      <c r="HGL115" s="17"/>
      <c r="HGM115" s="17"/>
      <c r="HGN115" s="17"/>
      <c r="HGO115" s="17"/>
      <c r="HGP115" s="17"/>
      <c r="HGQ115" s="17"/>
      <c r="HGR115" s="17"/>
      <c r="HGS115" s="17"/>
      <c r="HGT115" s="17"/>
      <c r="HGU115" s="17"/>
      <c r="HGV115" s="17"/>
      <c r="HGW115" s="17"/>
      <c r="HGX115" s="17"/>
      <c r="HGY115" s="17"/>
      <c r="HGZ115" s="17"/>
      <c r="HHA115" s="17"/>
      <c r="HHB115" s="17"/>
      <c r="HHC115" s="17"/>
      <c r="HHD115" s="17"/>
      <c r="HHE115" s="17"/>
      <c r="HHF115" s="17"/>
      <c r="HHG115" s="17"/>
      <c r="HHH115" s="17"/>
      <c r="HHI115" s="17"/>
      <c r="HHJ115" s="17"/>
      <c r="HHK115" s="17"/>
      <c r="HHL115" s="17"/>
      <c r="HHM115" s="17"/>
      <c r="HHN115" s="17"/>
      <c r="HHO115" s="17"/>
      <c r="HHP115" s="17"/>
      <c r="HHQ115" s="17"/>
      <c r="HHR115" s="17"/>
      <c r="HHS115" s="17"/>
      <c r="HHT115" s="17"/>
      <c r="HHU115" s="17"/>
      <c r="HHV115" s="17"/>
      <c r="HHW115" s="17"/>
      <c r="HHX115" s="17"/>
      <c r="HHY115" s="17"/>
      <c r="HHZ115" s="17"/>
      <c r="HIA115" s="17"/>
      <c r="HIB115" s="17"/>
      <c r="HIC115" s="17"/>
      <c r="HID115" s="17"/>
      <c r="HIE115" s="17"/>
      <c r="HIF115" s="17"/>
      <c r="HIG115" s="17"/>
      <c r="HIH115" s="17"/>
      <c r="HII115" s="17"/>
      <c r="HIJ115" s="17"/>
      <c r="HIK115" s="17"/>
      <c r="HIL115" s="17"/>
      <c r="HIM115" s="17"/>
      <c r="HIN115" s="17"/>
      <c r="HIO115" s="17"/>
      <c r="HIP115" s="17"/>
      <c r="HIQ115" s="17"/>
      <c r="HIR115" s="17"/>
      <c r="HIS115" s="17"/>
      <c r="HIT115" s="17"/>
      <c r="HIU115" s="17"/>
      <c r="HIV115" s="17"/>
      <c r="HIW115" s="17"/>
      <c r="HIX115" s="17"/>
      <c r="HIY115" s="17"/>
      <c r="HIZ115" s="17"/>
      <c r="HJA115" s="17"/>
      <c r="HJB115" s="17"/>
      <c r="HJC115" s="17"/>
      <c r="HJD115" s="17"/>
      <c r="HJE115" s="17"/>
      <c r="HJF115" s="17"/>
      <c r="HJG115" s="17"/>
      <c r="HJH115" s="17"/>
      <c r="HJI115" s="17"/>
      <c r="HJJ115" s="17"/>
      <c r="HJK115" s="17"/>
      <c r="HJL115" s="17"/>
      <c r="HJM115" s="17"/>
      <c r="HJN115" s="17"/>
      <c r="HJO115" s="17"/>
      <c r="HJP115" s="17"/>
      <c r="HJQ115" s="17"/>
      <c r="HJR115" s="17"/>
      <c r="HJS115" s="17"/>
      <c r="HJT115" s="17"/>
      <c r="HJU115" s="17"/>
      <c r="HJV115" s="17"/>
      <c r="HJW115" s="17"/>
      <c r="HJX115" s="17"/>
      <c r="HJY115" s="17"/>
      <c r="HJZ115" s="17"/>
      <c r="HKA115" s="17"/>
      <c r="HKB115" s="17"/>
      <c r="HKC115" s="17"/>
      <c r="HKD115" s="17"/>
      <c r="HKE115" s="17"/>
      <c r="HKF115" s="17"/>
      <c r="HKG115" s="17"/>
      <c r="HKH115" s="17"/>
      <c r="HKI115" s="17"/>
      <c r="HKJ115" s="17"/>
      <c r="HKK115" s="17"/>
      <c r="HKL115" s="17"/>
      <c r="HKM115" s="17"/>
      <c r="HKN115" s="17"/>
      <c r="HKO115" s="17"/>
      <c r="HKP115" s="17"/>
      <c r="HKQ115" s="17"/>
      <c r="HKR115" s="17"/>
      <c r="HKS115" s="17"/>
      <c r="HKT115" s="17"/>
      <c r="HKU115" s="17"/>
      <c r="HKV115" s="17"/>
      <c r="HKW115" s="17"/>
      <c r="HKX115" s="17"/>
      <c r="HKY115" s="17"/>
      <c r="HKZ115" s="17"/>
      <c r="HLA115" s="17"/>
      <c r="HLB115" s="17"/>
      <c r="HLC115" s="17"/>
      <c r="HLD115" s="17"/>
      <c r="HLE115" s="17"/>
      <c r="HLF115" s="17"/>
      <c r="HLG115" s="17"/>
      <c r="HLH115" s="17"/>
      <c r="HLI115" s="17"/>
      <c r="HLJ115" s="17"/>
      <c r="HLK115" s="17"/>
      <c r="HLL115" s="17"/>
      <c r="HLM115" s="17"/>
      <c r="HLN115" s="17"/>
      <c r="HLO115" s="17"/>
      <c r="HLP115" s="17"/>
      <c r="HLQ115" s="17"/>
      <c r="HLR115" s="17"/>
      <c r="HLS115" s="17"/>
      <c r="HLT115" s="17"/>
      <c r="HLU115" s="17"/>
      <c r="HLV115" s="17"/>
      <c r="HLW115" s="17"/>
      <c r="HLX115" s="17"/>
      <c r="HLY115" s="17"/>
      <c r="HLZ115" s="17"/>
      <c r="HMA115" s="17"/>
      <c r="HMB115" s="17"/>
      <c r="HMC115" s="17"/>
      <c r="HMD115" s="17"/>
      <c r="HME115" s="17"/>
      <c r="HMF115" s="17"/>
      <c r="HMG115" s="17"/>
      <c r="HMH115" s="17"/>
      <c r="HMI115" s="17"/>
      <c r="HMJ115" s="17"/>
      <c r="HMK115" s="17"/>
      <c r="HML115" s="17"/>
      <c r="HMM115" s="17"/>
      <c r="HMN115" s="17"/>
      <c r="HMO115" s="17"/>
      <c r="HMP115" s="17"/>
      <c r="HMQ115" s="17"/>
      <c r="HMR115" s="17"/>
      <c r="HMS115" s="17"/>
      <c r="HMT115" s="17"/>
      <c r="HMU115" s="17"/>
      <c r="HMV115" s="17"/>
      <c r="HMW115" s="17"/>
      <c r="HMX115" s="17"/>
      <c r="HMY115" s="17"/>
      <c r="HMZ115" s="17"/>
      <c r="HNA115" s="17"/>
      <c r="HNB115" s="17"/>
      <c r="HNC115" s="17"/>
      <c r="HND115" s="17"/>
      <c r="HNE115" s="17"/>
      <c r="HNF115" s="17"/>
      <c r="HNG115" s="17"/>
      <c r="HNH115" s="17"/>
      <c r="HNI115" s="17"/>
      <c r="HNJ115" s="17"/>
      <c r="HNK115" s="17"/>
      <c r="HNL115" s="17"/>
      <c r="HNM115" s="17"/>
      <c r="HNN115" s="17"/>
      <c r="HNO115" s="17"/>
      <c r="HNP115" s="17"/>
      <c r="HNQ115" s="17"/>
      <c r="HNR115" s="17"/>
      <c r="HNS115" s="17"/>
      <c r="HNT115" s="17"/>
      <c r="HNU115" s="17"/>
      <c r="HNV115" s="17"/>
      <c r="HNW115" s="17"/>
      <c r="HNX115" s="17"/>
      <c r="HNY115" s="17"/>
      <c r="HNZ115" s="17"/>
      <c r="HOA115" s="17"/>
      <c r="HOB115" s="17"/>
      <c r="HOC115" s="17"/>
      <c r="HOD115" s="17"/>
      <c r="HOE115" s="17"/>
      <c r="HOF115" s="17"/>
      <c r="HOG115" s="17"/>
      <c r="HOH115" s="17"/>
      <c r="HOI115" s="17"/>
      <c r="HOJ115" s="17"/>
      <c r="HOK115" s="17"/>
      <c r="HOL115" s="17"/>
      <c r="HOM115" s="17"/>
      <c r="HON115" s="17"/>
      <c r="HOO115" s="17"/>
      <c r="HOP115" s="17"/>
      <c r="HOQ115" s="17"/>
      <c r="HOR115" s="17"/>
      <c r="HOS115" s="17"/>
      <c r="HOT115" s="17"/>
      <c r="HOU115" s="17"/>
      <c r="HOV115" s="17"/>
      <c r="HOW115" s="17"/>
      <c r="HOX115" s="17"/>
      <c r="HOY115" s="17"/>
      <c r="HOZ115" s="17"/>
      <c r="HPA115" s="17"/>
      <c r="HPB115" s="17"/>
      <c r="HPC115" s="17"/>
      <c r="HPD115" s="17"/>
      <c r="HPE115" s="17"/>
      <c r="HPF115" s="17"/>
      <c r="HPG115" s="17"/>
      <c r="HPH115" s="17"/>
      <c r="HPI115" s="17"/>
      <c r="HPJ115" s="17"/>
      <c r="HPK115" s="17"/>
      <c r="HPL115" s="17"/>
      <c r="HPM115" s="17"/>
      <c r="HPN115" s="17"/>
      <c r="HPO115" s="17"/>
      <c r="HPP115" s="17"/>
      <c r="HPQ115" s="17"/>
      <c r="HPR115" s="17"/>
      <c r="HPS115" s="17"/>
      <c r="HPT115" s="17"/>
      <c r="HPU115" s="17"/>
      <c r="HPV115" s="17"/>
      <c r="HPW115" s="17"/>
      <c r="HPX115" s="17"/>
      <c r="HPY115" s="17"/>
      <c r="HPZ115" s="17"/>
      <c r="HQA115" s="17"/>
      <c r="HQB115" s="17"/>
      <c r="HQC115" s="17"/>
      <c r="HQD115" s="17"/>
      <c r="HQE115" s="17"/>
      <c r="HQF115" s="17"/>
      <c r="HQG115" s="17"/>
      <c r="HQH115" s="17"/>
      <c r="HQI115" s="17"/>
      <c r="HQJ115" s="17"/>
      <c r="HQK115" s="17"/>
      <c r="HQL115" s="17"/>
      <c r="HQM115" s="17"/>
      <c r="HQN115" s="17"/>
      <c r="HQO115" s="17"/>
      <c r="HQP115" s="17"/>
      <c r="HQQ115" s="17"/>
      <c r="HQR115" s="17"/>
      <c r="HQS115" s="17"/>
      <c r="HQT115" s="17"/>
      <c r="HQU115" s="17"/>
      <c r="HQV115" s="17"/>
      <c r="HQW115" s="17"/>
      <c r="HQX115" s="17"/>
      <c r="HQY115" s="17"/>
      <c r="HQZ115" s="17"/>
      <c r="HRA115" s="17"/>
      <c r="HRB115" s="17"/>
      <c r="HRC115" s="17"/>
      <c r="HRD115" s="17"/>
      <c r="HRE115" s="17"/>
      <c r="HRF115" s="17"/>
      <c r="HRG115" s="17"/>
      <c r="HRH115" s="17"/>
      <c r="HRI115" s="17"/>
      <c r="HRJ115" s="17"/>
      <c r="HRK115" s="17"/>
      <c r="HRL115" s="17"/>
      <c r="HRM115" s="17"/>
      <c r="HRN115" s="17"/>
      <c r="HRO115" s="17"/>
      <c r="HRP115" s="17"/>
      <c r="HRQ115" s="17"/>
      <c r="HRR115" s="17"/>
      <c r="HRS115" s="17"/>
      <c r="HRT115" s="17"/>
      <c r="HRU115" s="17"/>
      <c r="HRV115" s="17"/>
      <c r="HRW115" s="17"/>
      <c r="HRX115" s="17"/>
      <c r="HRY115" s="17"/>
      <c r="HRZ115" s="17"/>
      <c r="HSA115" s="17"/>
      <c r="HSB115" s="17"/>
      <c r="HSC115" s="17"/>
      <c r="HSD115" s="17"/>
      <c r="HSE115" s="17"/>
      <c r="HSF115" s="17"/>
      <c r="HSG115" s="17"/>
      <c r="HSH115" s="17"/>
      <c r="HSI115" s="17"/>
      <c r="HSJ115" s="17"/>
      <c r="HSK115" s="17"/>
      <c r="HSL115" s="17"/>
      <c r="HSM115" s="17"/>
      <c r="HSN115" s="17"/>
      <c r="HSO115" s="17"/>
      <c r="HSP115" s="17"/>
      <c r="HSQ115" s="17"/>
      <c r="HSR115" s="17"/>
      <c r="HSS115" s="17"/>
      <c r="HST115" s="17"/>
      <c r="HSU115" s="17"/>
      <c r="HSV115" s="17"/>
      <c r="HSW115" s="17"/>
      <c r="HSX115" s="17"/>
      <c r="HSY115" s="17"/>
      <c r="HSZ115" s="17"/>
      <c r="HTA115" s="17"/>
      <c r="HTB115" s="17"/>
      <c r="HTC115" s="17"/>
      <c r="HTD115" s="17"/>
      <c r="HTE115" s="17"/>
      <c r="HTF115" s="17"/>
      <c r="HTG115" s="17"/>
      <c r="HTH115" s="17"/>
      <c r="HTI115" s="17"/>
      <c r="HTJ115" s="17"/>
      <c r="HTK115" s="17"/>
      <c r="HTL115" s="17"/>
      <c r="HTM115" s="17"/>
      <c r="HTN115" s="17"/>
      <c r="HTO115" s="17"/>
      <c r="HTP115" s="17"/>
      <c r="HTQ115" s="17"/>
      <c r="HTR115" s="17"/>
      <c r="HTS115" s="17"/>
      <c r="HTT115" s="17"/>
      <c r="HTU115" s="17"/>
      <c r="HTV115" s="17"/>
      <c r="HTW115" s="17"/>
      <c r="HTX115" s="17"/>
      <c r="HTY115" s="17"/>
      <c r="HTZ115" s="17"/>
      <c r="HUA115" s="17"/>
      <c r="HUB115" s="17"/>
      <c r="HUC115" s="17"/>
      <c r="HUD115" s="17"/>
      <c r="HUE115" s="17"/>
      <c r="HUF115" s="17"/>
      <c r="HUG115" s="17"/>
      <c r="HUH115" s="17"/>
      <c r="HUI115" s="17"/>
      <c r="HUJ115" s="17"/>
      <c r="HUK115" s="17"/>
      <c r="HUL115" s="17"/>
      <c r="HUM115" s="17"/>
      <c r="HUN115" s="17"/>
      <c r="HUO115" s="17"/>
      <c r="HUP115" s="17"/>
      <c r="HUQ115" s="17"/>
      <c r="HUR115" s="17"/>
      <c r="HUS115" s="17"/>
      <c r="HUT115" s="17"/>
      <c r="HUU115" s="17"/>
      <c r="HUV115" s="17"/>
      <c r="HUW115" s="17"/>
      <c r="HUX115" s="17"/>
      <c r="HUY115" s="17"/>
      <c r="HUZ115" s="17"/>
      <c r="HVA115" s="17"/>
      <c r="HVB115" s="17"/>
      <c r="HVC115" s="17"/>
      <c r="HVD115" s="17"/>
      <c r="HVE115" s="17"/>
      <c r="HVF115" s="17"/>
      <c r="HVG115" s="17"/>
      <c r="HVH115" s="17"/>
      <c r="HVI115" s="17"/>
      <c r="HVJ115" s="17"/>
      <c r="HVK115" s="17"/>
      <c r="HVL115" s="17"/>
      <c r="HVM115" s="17"/>
      <c r="HVN115" s="17"/>
      <c r="HVO115" s="17"/>
      <c r="HVP115" s="17"/>
      <c r="HVQ115" s="17"/>
      <c r="HVR115" s="17"/>
      <c r="HVS115" s="17"/>
      <c r="HVT115" s="17"/>
      <c r="HVU115" s="17"/>
      <c r="HVV115" s="17"/>
      <c r="HVW115" s="17"/>
      <c r="HVX115" s="17"/>
      <c r="HVY115" s="17"/>
      <c r="HVZ115" s="17"/>
      <c r="HWA115" s="17"/>
      <c r="HWB115" s="17"/>
      <c r="HWC115" s="17"/>
      <c r="HWD115" s="17"/>
      <c r="HWE115" s="17"/>
      <c r="HWF115" s="17"/>
      <c r="HWG115" s="17"/>
      <c r="HWH115" s="17"/>
      <c r="HWI115" s="17"/>
      <c r="HWJ115" s="17"/>
      <c r="HWK115" s="17"/>
      <c r="HWL115" s="17"/>
      <c r="HWM115" s="17"/>
      <c r="HWN115" s="17"/>
      <c r="HWO115" s="17"/>
      <c r="HWP115" s="17"/>
      <c r="HWQ115" s="17"/>
      <c r="HWR115" s="17"/>
      <c r="HWS115" s="17"/>
      <c r="HWT115" s="17"/>
      <c r="HWU115" s="17"/>
      <c r="HWV115" s="17"/>
      <c r="HWW115" s="17"/>
      <c r="HWX115" s="17"/>
      <c r="HWY115" s="17"/>
      <c r="HWZ115" s="17"/>
      <c r="HXA115" s="17"/>
      <c r="HXB115" s="17"/>
      <c r="HXC115" s="17"/>
      <c r="HXD115" s="17"/>
      <c r="HXE115" s="17"/>
      <c r="HXF115" s="17"/>
      <c r="HXG115" s="17"/>
      <c r="HXH115" s="17"/>
      <c r="HXI115" s="17"/>
      <c r="HXJ115" s="17"/>
      <c r="HXK115" s="17"/>
      <c r="HXL115" s="17"/>
      <c r="HXM115" s="17"/>
      <c r="HXN115" s="17"/>
      <c r="HXO115" s="17"/>
      <c r="HXP115" s="17"/>
      <c r="HXQ115" s="17"/>
      <c r="HXR115" s="17"/>
      <c r="HXS115" s="17"/>
      <c r="HXT115" s="17"/>
      <c r="HXU115" s="17"/>
      <c r="HXV115" s="17"/>
      <c r="HXW115" s="17"/>
      <c r="HXX115" s="17"/>
      <c r="HXY115" s="17"/>
      <c r="HXZ115" s="17"/>
      <c r="HYA115" s="17"/>
      <c r="HYB115" s="17"/>
      <c r="HYC115" s="17"/>
      <c r="HYD115" s="17"/>
      <c r="HYE115" s="17"/>
      <c r="HYF115" s="17"/>
      <c r="HYG115" s="17"/>
      <c r="HYH115" s="17"/>
      <c r="HYI115" s="17"/>
      <c r="HYJ115" s="17"/>
      <c r="HYK115" s="17"/>
      <c r="HYL115" s="17"/>
      <c r="HYM115" s="17"/>
      <c r="HYN115" s="17"/>
      <c r="HYO115" s="17"/>
      <c r="HYP115" s="17"/>
      <c r="HYQ115" s="17"/>
      <c r="HYR115" s="17"/>
      <c r="HYS115" s="17"/>
      <c r="HYT115" s="17"/>
      <c r="HYU115" s="17"/>
      <c r="HYV115" s="17"/>
      <c r="HYW115" s="17"/>
      <c r="HYX115" s="17"/>
      <c r="HYY115" s="17"/>
      <c r="HYZ115" s="17"/>
      <c r="HZA115" s="17"/>
      <c r="HZB115" s="17"/>
      <c r="HZC115" s="17"/>
      <c r="HZD115" s="17"/>
      <c r="HZE115" s="17"/>
      <c r="HZF115" s="17"/>
      <c r="HZG115" s="17"/>
      <c r="HZH115" s="17"/>
      <c r="HZI115" s="17"/>
      <c r="HZJ115" s="17"/>
      <c r="HZK115" s="17"/>
      <c r="HZL115" s="17"/>
      <c r="HZM115" s="17"/>
      <c r="HZN115" s="17"/>
      <c r="HZO115" s="17"/>
      <c r="HZP115" s="17"/>
      <c r="HZQ115" s="17"/>
      <c r="HZR115" s="17"/>
      <c r="HZS115" s="17"/>
      <c r="HZT115" s="17"/>
      <c r="HZU115" s="17"/>
      <c r="HZV115" s="17"/>
      <c r="HZW115" s="17"/>
      <c r="HZX115" s="17"/>
      <c r="HZY115" s="17"/>
      <c r="HZZ115" s="17"/>
      <c r="IAA115" s="17"/>
      <c r="IAB115" s="17"/>
      <c r="IAC115" s="17"/>
      <c r="IAD115" s="17"/>
      <c r="IAE115" s="17"/>
      <c r="IAF115" s="17"/>
      <c r="IAG115" s="17"/>
      <c r="IAH115" s="17"/>
      <c r="IAI115" s="17"/>
      <c r="IAJ115" s="17"/>
      <c r="IAK115" s="17"/>
      <c r="IAL115" s="17"/>
      <c r="IAM115" s="17"/>
      <c r="IAN115" s="17"/>
      <c r="IAO115" s="17"/>
      <c r="IAP115" s="17"/>
      <c r="IAQ115" s="17"/>
      <c r="IAR115" s="17"/>
      <c r="IAS115" s="17"/>
      <c r="IAT115" s="17"/>
      <c r="IAU115" s="17"/>
      <c r="IAV115" s="17"/>
      <c r="IAW115" s="17"/>
      <c r="IAX115" s="17"/>
      <c r="IAY115" s="17"/>
      <c r="IAZ115" s="17"/>
      <c r="IBA115" s="17"/>
      <c r="IBB115" s="17"/>
      <c r="IBC115" s="17"/>
      <c r="IBD115" s="17"/>
      <c r="IBE115" s="17"/>
      <c r="IBF115" s="17"/>
      <c r="IBG115" s="17"/>
      <c r="IBH115" s="17"/>
      <c r="IBI115" s="17"/>
      <c r="IBJ115" s="17"/>
      <c r="IBK115" s="17"/>
      <c r="IBL115" s="17"/>
      <c r="IBM115" s="17"/>
      <c r="IBN115" s="17"/>
      <c r="IBO115" s="17"/>
      <c r="IBP115" s="17"/>
      <c r="IBQ115" s="17"/>
      <c r="IBR115" s="17"/>
      <c r="IBS115" s="17"/>
      <c r="IBT115" s="17"/>
      <c r="IBU115" s="17"/>
      <c r="IBV115" s="17"/>
      <c r="IBW115" s="17"/>
      <c r="IBX115" s="17"/>
      <c r="IBY115" s="17"/>
      <c r="IBZ115" s="17"/>
      <c r="ICA115" s="17"/>
      <c r="ICB115" s="17"/>
      <c r="ICC115" s="17"/>
      <c r="ICD115" s="17"/>
      <c r="ICE115" s="17"/>
      <c r="ICF115" s="17"/>
      <c r="ICG115" s="17"/>
      <c r="ICH115" s="17"/>
      <c r="ICI115" s="17"/>
      <c r="ICJ115" s="17"/>
      <c r="ICK115" s="17"/>
      <c r="ICL115" s="17"/>
      <c r="ICM115" s="17"/>
      <c r="ICN115" s="17"/>
      <c r="ICO115" s="17"/>
      <c r="ICP115" s="17"/>
      <c r="ICQ115" s="17"/>
      <c r="ICR115" s="17"/>
      <c r="ICS115" s="17"/>
      <c r="ICT115" s="17"/>
      <c r="ICU115" s="17"/>
      <c r="ICV115" s="17"/>
      <c r="ICW115" s="17"/>
      <c r="ICX115" s="17"/>
      <c r="ICY115" s="17"/>
      <c r="ICZ115" s="17"/>
      <c r="IDA115" s="17"/>
      <c r="IDB115" s="17"/>
      <c r="IDC115" s="17"/>
      <c r="IDD115" s="17"/>
      <c r="IDE115" s="17"/>
      <c r="IDF115" s="17"/>
      <c r="IDG115" s="17"/>
      <c r="IDH115" s="17"/>
      <c r="IDI115" s="17"/>
      <c r="IDJ115" s="17"/>
      <c r="IDK115" s="17"/>
      <c r="IDL115" s="17"/>
      <c r="IDM115" s="17"/>
      <c r="IDN115" s="17"/>
      <c r="IDO115" s="17"/>
      <c r="IDP115" s="17"/>
      <c r="IDQ115" s="17"/>
      <c r="IDR115" s="17"/>
      <c r="IDS115" s="17"/>
      <c r="IDT115" s="17"/>
      <c r="IDU115" s="17"/>
      <c r="IDV115" s="17"/>
      <c r="IDW115" s="17"/>
      <c r="IDX115" s="17"/>
      <c r="IDY115" s="17"/>
      <c r="IDZ115" s="17"/>
      <c r="IEA115" s="17"/>
      <c r="IEB115" s="17"/>
      <c r="IEC115" s="17"/>
      <c r="IED115" s="17"/>
      <c r="IEE115" s="17"/>
      <c r="IEF115" s="17"/>
      <c r="IEG115" s="17"/>
      <c r="IEH115" s="17"/>
      <c r="IEI115" s="17"/>
      <c r="IEJ115" s="17"/>
      <c r="IEK115" s="17"/>
      <c r="IEL115" s="17"/>
      <c r="IEM115" s="17"/>
      <c r="IEN115" s="17"/>
      <c r="IEO115" s="17"/>
      <c r="IEP115" s="17"/>
      <c r="IEQ115" s="17"/>
      <c r="IER115" s="17"/>
      <c r="IES115" s="17"/>
      <c r="IET115" s="17"/>
      <c r="IEU115" s="17"/>
      <c r="IEV115" s="17"/>
      <c r="IEW115" s="17"/>
      <c r="IEX115" s="17"/>
      <c r="IEY115" s="17"/>
      <c r="IEZ115" s="17"/>
      <c r="IFA115" s="17"/>
      <c r="IFB115" s="17"/>
      <c r="IFC115" s="17"/>
      <c r="IFD115" s="17"/>
      <c r="IFE115" s="17"/>
      <c r="IFF115" s="17"/>
      <c r="IFG115" s="17"/>
      <c r="IFH115" s="17"/>
      <c r="IFI115" s="17"/>
      <c r="IFJ115" s="17"/>
      <c r="IFK115" s="17"/>
      <c r="IFL115" s="17"/>
      <c r="IFM115" s="17"/>
      <c r="IFN115" s="17"/>
      <c r="IFO115" s="17"/>
      <c r="IFP115" s="17"/>
      <c r="IFQ115" s="17"/>
      <c r="IFR115" s="17"/>
      <c r="IFS115" s="17"/>
      <c r="IFT115" s="17"/>
      <c r="IFU115" s="17"/>
      <c r="IFV115" s="17"/>
      <c r="IFW115" s="17"/>
      <c r="IFX115" s="17"/>
      <c r="IFY115" s="17"/>
      <c r="IFZ115" s="17"/>
      <c r="IGA115" s="17"/>
      <c r="IGB115" s="17"/>
      <c r="IGC115" s="17"/>
      <c r="IGD115" s="17"/>
      <c r="IGE115" s="17"/>
      <c r="IGF115" s="17"/>
      <c r="IGG115" s="17"/>
      <c r="IGH115" s="17"/>
      <c r="IGI115" s="17"/>
      <c r="IGJ115" s="17"/>
      <c r="IGK115" s="17"/>
      <c r="IGL115" s="17"/>
      <c r="IGM115" s="17"/>
      <c r="IGN115" s="17"/>
      <c r="IGO115" s="17"/>
      <c r="IGP115" s="17"/>
      <c r="IGQ115" s="17"/>
      <c r="IGR115" s="17"/>
      <c r="IGS115" s="17"/>
      <c r="IGT115" s="17"/>
      <c r="IGU115" s="17"/>
      <c r="IGV115" s="17"/>
      <c r="IGW115" s="17"/>
      <c r="IGX115" s="17"/>
      <c r="IGY115" s="17"/>
      <c r="IGZ115" s="17"/>
      <c r="IHA115" s="17"/>
      <c r="IHB115" s="17"/>
      <c r="IHC115" s="17"/>
      <c r="IHD115" s="17"/>
      <c r="IHE115" s="17"/>
      <c r="IHF115" s="17"/>
      <c r="IHG115" s="17"/>
      <c r="IHH115" s="17"/>
      <c r="IHI115" s="17"/>
      <c r="IHJ115" s="17"/>
      <c r="IHK115" s="17"/>
      <c r="IHL115" s="17"/>
      <c r="IHM115" s="17"/>
      <c r="IHN115" s="17"/>
      <c r="IHO115" s="17"/>
      <c r="IHP115" s="17"/>
      <c r="IHQ115" s="17"/>
      <c r="IHR115" s="17"/>
      <c r="IHS115" s="17"/>
      <c r="IHT115" s="17"/>
      <c r="IHU115" s="17"/>
      <c r="IHV115" s="17"/>
      <c r="IHW115" s="17"/>
      <c r="IHX115" s="17"/>
      <c r="IHY115" s="17"/>
      <c r="IHZ115" s="17"/>
      <c r="IIA115" s="17"/>
      <c r="IIB115" s="17"/>
      <c r="IIC115" s="17"/>
      <c r="IID115" s="17"/>
      <c r="IIE115" s="17"/>
      <c r="IIF115" s="17"/>
      <c r="IIG115" s="17"/>
      <c r="IIH115" s="17"/>
      <c r="III115" s="17"/>
      <c r="IIJ115" s="17"/>
      <c r="IIK115" s="17"/>
      <c r="IIL115" s="17"/>
      <c r="IIM115" s="17"/>
      <c r="IIN115" s="17"/>
      <c r="IIO115" s="17"/>
      <c r="IIP115" s="17"/>
      <c r="IIQ115" s="17"/>
      <c r="IIR115" s="17"/>
      <c r="IIS115" s="17"/>
      <c r="IIT115" s="17"/>
      <c r="IIU115" s="17"/>
      <c r="IIV115" s="17"/>
      <c r="IIW115" s="17"/>
      <c r="IIX115" s="17"/>
      <c r="IIY115" s="17"/>
      <c r="IIZ115" s="17"/>
      <c r="IJA115" s="17"/>
      <c r="IJB115" s="17"/>
      <c r="IJC115" s="17"/>
      <c r="IJD115" s="17"/>
      <c r="IJE115" s="17"/>
      <c r="IJF115" s="17"/>
      <c r="IJG115" s="17"/>
      <c r="IJH115" s="17"/>
      <c r="IJI115" s="17"/>
      <c r="IJJ115" s="17"/>
      <c r="IJK115" s="17"/>
      <c r="IJL115" s="17"/>
      <c r="IJM115" s="17"/>
      <c r="IJN115" s="17"/>
      <c r="IJO115" s="17"/>
      <c r="IJP115" s="17"/>
      <c r="IJQ115" s="17"/>
      <c r="IJR115" s="17"/>
      <c r="IJS115" s="17"/>
      <c r="IJT115" s="17"/>
      <c r="IJU115" s="17"/>
      <c r="IJV115" s="17"/>
      <c r="IJW115" s="17"/>
      <c r="IJX115" s="17"/>
      <c r="IJY115" s="17"/>
      <c r="IJZ115" s="17"/>
      <c r="IKA115" s="17"/>
      <c r="IKB115" s="17"/>
      <c r="IKC115" s="17"/>
      <c r="IKD115" s="17"/>
      <c r="IKE115" s="17"/>
      <c r="IKF115" s="17"/>
      <c r="IKG115" s="17"/>
      <c r="IKH115" s="17"/>
      <c r="IKI115" s="17"/>
      <c r="IKJ115" s="17"/>
      <c r="IKK115" s="17"/>
      <c r="IKL115" s="17"/>
      <c r="IKM115" s="17"/>
      <c r="IKN115" s="17"/>
      <c r="IKO115" s="17"/>
      <c r="IKP115" s="17"/>
      <c r="IKQ115" s="17"/>
      <c r="IKR115" s="17"/>
      <c r="IKS115" s="17"/>
      <c r="IKT115" s="17"/>
      <c r="IKU115" s="17"/>
      <c r="IKV115" s="17"/>
      <c r="IKW115" s="17"/>
      <c r="IKX115" s="17"/>
      <c r="IKY115" s="17"/>
      <c r="IKZ115" s="17"/>
      <c r="ILA115" s="17"/>
      <c r="ILB115" s="17"/>
      <c r="ILC115" s="17"/>
      <c r="ILD115" s="17"/>
      <c r="ILE115" s="17"/>
      <c r="ILF115" s="17"/>
      <c r="ILG115" s="17"/>
      <c r="ILH115" s="17"/>
      <c r="ILI115" s="17"/>
      <c r="ILJ115" s="17"/>
      <c r="ILK115" s="17"/>
      <c r="ILL115" s="17"/>
      <c r="ILM115" s="17"/>
      <c r="ILN115" s="17"/>
      <c r="ILO115" s="17"/>
      <c r="ILP115" s="17"/>
      <c r="ILQ115" s="17"/>
      <c r="ILR115" s="17"/>
      <c r="ILS115" s="17"/>
      <c r="ILT115" s="17"/>
      <c r="ILU115" s="17"/>
      <c r="ILV115" s="17"/>
      <c r="ILW115" s="17"/>
      <c r="ILX115" s="17"/>
      <c r="ILY115" s="17"/>
      <c r="ILZ115" s="17"/>
      <c r="IMA115" s="17"/>
      <c r="IMB115" s="17"/>
      <c r="IMC115" s="17"/>
      <c r="IMD115" s="17"/>
      <c r="IME115" s="17"/>
      <c r="IMF115" s="17"/>
      <c r="IMG115" s="17"/>
      <c r="IMH115" s="17"/>
      <c r="IMI115" s="17"/>
      <c r="IMJ115" s="17"/>
      <c r="IMK115" s="17"/>
      <c r="IML115" s="17"/>
      <c r="IMM115" s="17"/>
      <c r="IMN115" s="17"/>
      <c r="IMO115" s="17"/>
      <c r="IMP115" s="17"/>
      <c r="IMQ115" s="17"/>
      <c r="IMR115" s="17"/>
      <c r="IMS115" s="17"/>
      <c r="IMT115" s="17"/>
      <c r="IMU115" s="17"/>
      <c r="IMV115" s="17"/>
      <c r="IMW115" s="17"/>
      <c r="IMX115" s="17"/>
      <c r="IMY115" s="17"/>
      <c r="IMZ115" s="17"/>
      <c r="INA115" s="17"/>
      <c r="INB115" s="17"/>
      <c r="INC115" s="17"/>
      <c r="IND115" s="17"/>
      <c r="INE115" s="17"/>
      <c r="INF115" s="17"/>
      <c r="ING115" s="17"/>
      <c r="INH115" s="17"/>
      <c r="INI115" s="17"/>
      <c r="INJ115" s="17"/>
      <c r="INK115" s="17"/>
      <c r="INL115" s="17"/>
      <c r="INM115" s="17"/>
      <c r="INN115" s="17"/>
      <c r="INO115" s="17"/>
      <c r="INP115" s="17"/>
      <c r="INQ115" s="17"/>
      <c r="INR115" s="17"/>
      <c r="INS115" s="17"/>
      <c r="INT115" s="17"/>
      <c r="INU115" s="17"/>
      <c r="INV115" s="17"/>
      <c r="INW115" s="17"/>
      <c r="INX115" s="17"/>
      <c r="INY115" s="17"/>
      <c r="INZ115" s="17"/>
      <c r="IOA115" s="17"/>
      <c r="IOB115" s="17"/>
      <c r="IOC115" s="17"/>
      <c r="IOD115" s="17"/>
      <c r="IOE115" s="17"/>
      <c r="IOF115" s="17"/>
      <c r="IOG115" s="17"/>
      <c r="IOH115" s="17"/>
      <c r="IOI115" s="17"/>
      <c r="IOJ115" s="17"/>
      <c r="IOK115" s="17"/>
      <c r="IOL115" s="17"/>
      <c r="IOM115" s="17"/>
      <c r="ION115" s="17"/>
      <c r="IOO115" s="17"/>
      <c r="IOP115" s="17"/>
      <c r="IOQ115" s="17"/>
      <c r="IOR115" s="17"/>
      <c r="IOS115" s="17"/>
      <c r="IOT115" s="17"/>
      <c r="IOU115" s="17"/>
      <c r="IOV115" s="17"/>
      <c r="IOW115" s="17"/>
      <c r="IOX115" s="17"/>
      <c r="IOY115" s="17"/>
      <c r="IOZ115" s="17"/>
      <c r="IPA115" s="17"/>
      <c r="IPB115" s="17"/>
      <c r="IPC115" s="17"/>
      <c r="IPD115" s="17"/>
      <c r="IPE115" s="17"/>
      <c r="IPF115" s="17"/>
      <c r="IPG115" s="17"/>
      <c r="IPH115" s="17"/>
      <c r="IPI115" s="17"/>
      <c r="IPJ115" s="17"/>
      <c r="IPK115" s="17"/>
      <c r="IPL115" s="17"/>
      <c r="IPM115" s="17"/>
      <c r="IPN115" s="17"/>
      <c r="IPO115" s="17"/>
      <c r="IPP115" s="17"/>
      <c r="IPQ115" s="17"/>
      <c r="IPR115" s="17"/>
      <c r="IPS115" s="17"/>
      <c r="IPT115" s="17"/>
      <c r="IPU115" s="17"/>
      <c r="IPV115" s="17"/>
      <c r="IPW115" s="17"/>
      <c r="IPX115" s="17"/>
      <c r="IPY115" s="17"/>
      <c r="IPZ115" s="17"/>
      <c r="IQA115" s="17"/>
      <c r="IQB115" s="17"/>
      <c r="IQC115" s="17"/>
      <c r="IQD115" s="17"/>
      <c r="IQE115" s="17"/>
      <c r="IQF115" s="17"/>
      <c r="IQG115" s="17"/>
      <c r="IQH115" s="17"/>
      <c r="IQI115" s="17"/>
      <c r="IQJ115" s="17"/>
      <c r="IQK115" s="17"/>
      <c r="IQL115" s="17"/>
      <c r="IQM115" s="17"/>
      <c r="IQN115" s="17"/>
      <c r="IQO115" s="17"/>
      <c r="IQP115" s="17"/>
      <c r="IQQ115" s="17"/>
      <c r="IQR115" s="17"/>
      <c r="IQS115" s="17"/>
      <c r="IQT115" s="17"/>
      <c r="IQU115" s="17"/>
      <c r="IQV115" s="17"/>
      <c r="IQW115" s="17"/>
      <c r="IQX115" s="17"/>
      <c r="IQY115" s="17"/>
      <c r="IQZ115" s="17"/>
      <c r="IRA115" s="17"/>
      <c r="IRB115" s="17"/>
      <c r="IRC115" s="17"/>
      <c r="IRD115" s="17"/>
      <c r="IRE115" s="17"/>
      <c r="IRF115" s="17"/>
      <c r="IRG115" s="17"/>
      <c r="IRH115" s="17"/>
      <c r="IRI115" s="17"/>
      <c r="IRJ115" s="17"/>
      <c r="IRK115" s="17"/>
      <c r="IRL115" s="17"/>
      <c r="IRM115" s="17"/>
      <c r="IRN115" s="17"/>
      <c r="IRO115" s="17"/>
      <c r="IRP115" s="17"/>
      <c r="IRQ115" s="17"/>
      <c r="IRR115" s="17"/>
      <c r="IRS115" s="17"/>
      <c r="IRT115" s="17"/>
      <c r="IRU115" s="17"/>
      <c r="IRV115" s="17"/>
      <c r="IRW115" s="17"/>
      <c r="IRX115" s="17"/>
      <c r="IRY115" s="17"/>
      <c r="IRZ115" s="17"/>
      <c r="ISA115" s="17"/>
      <c r="ISB115" s="17"/>
      <c r="ISC115" s="17"/>
      <c r="ISD115" s="17"/>
      <c r="ISE115" s="17"/>
      <c r="ISF115" s="17"/>
      <c r="ISG115" s="17"/>
      <c r="ISH115" s="17"/>
      <c r="ISI115" s="17"/>
      <c r="ISJ115" s="17"/>
      <c r="ISK115" s="17"/>
      <c r="ISL115" s="17"/>
      <c r="ISM115" s="17"/>
      <c r="ISN115" s="17"/>
      <c r="ISO115" s="17"/>
      <c r="ISP115" s="17"/>
      <c r="ISQ115" s="17"/>
      <c r="ISR115" s="17"/>
      <c r="ISS115" s="17"/>
      <c r="IST115" s="17"/>
      <c r="ISU115" s="17"/>
      <c r="ISV115" s="17"/>
      <c r="ISW115" s="17"/>
      <c r="ISX115" s="17"/>
      <c r="ISY115" s="17"/>
      <c r="ISZ115" s="17"/>
      <c r="ITA115" s="17"/>
      <c r="ITB115" s="17"/>
      <c r="ITC115" s="17"/>
      <c r="ITD115" s="17"/>
      <c r="ITE115" s="17"/>
      <c r="ITF115" s="17"/>
      <c r="ITG115" s="17"/>
      <c r="ITH115" s="17"/>
      <c r="ITI115" s="17"/>
      <c r="ITJ115" s="17"/>
      <c r="ITK115" s="17"/>
      <c r="ITL115" s="17"/>
      <c r="ITM115" s="17"/>
      <c r="ITN115" s="17"/>
      <c r="ITO115" s="17"/>
      <c r="ITP115" s="17"/>
      <c r="ITQ115" s="17"/>
      <c r="ITR115" s="17"/>
      <c r="ITS115" s="17"/>
      <c r="ITT115" s="17"/>
      <c r="ITU115" s="17"/>
      <c r="ITV115" s="17"/>
      <c r="ITW115" s="17"/>
      <c r="ITX115" s="17"/>
      <c r="ITY115" s="17"/>
      <c r="ITZ115" s="17"/>
      <c r="IUA115" s="17"/>
      <c r="IUB115" s="17"/>
      <c r="IUC115" s="17"/>
      <c r="IUD115" s="17"/>
      <c r="IUE115" s="17"/>
      <c r="IUF115" s="17"/>
      <c r="IUG115" s="17"/>
      <c r="IUH115" s="17"/>
      <c r="IUI115" s="17"/>
      <c r="IUJ115" s="17"/>
      <c r="IUK115" s="17"/>
      <c r="IUL115" s="17"/>
      <c r="IUM115" s="17"/>
      <c r="IUN115" s="17"/>
      <c r="IUO115" s="17"/>
      <c r="IUP115" s="17"/>
      <c r="IUQ115" s="17"/>
      <c r="IUR115" s="17"/>
      <c r="IUS115" s="17"/>
      <c r="IUT115" s="17"/>
      <c r="IUU115" s="17"/>
      <c r="IUV115" s="17"/>
      <c r="IUW115" s="17"/>
      <c r="IUX115" s="17"/>
      <c r="IUY115" s="17"/>
      <c r="IUZ115" s="17"/>
      <c r="IVA115" s="17"/>
      <c r="IVB115" s="17"/>
      <c r="IVC115" s="17"/>
      <c r="IVD115" s="17"/>
      <c r="IVE115" s="17"/>
      <c r="IVF115" s="17"/>
      <c r="IVG115" s="17"/>
      <c r="IVH115" s="17"/>
      <c r="IVI115" s="17"/>
      <c r="IVJ115" s="17"/>
      <c r="IVK115" s="17"/>
      <c r="IVL115" s="17"/>
      <c r="IVM115" s="17"/>
      <c r="IVN115" s="17"/>
      <c r="IVO115" s="17"/>
      <c r="IVP115" s="17"/>
      <c r="IVQ115" s="17"/>
      <c r="IVR115" s="17"/>
      <c r="IVS115" s="17"/>
      <c r="IVT115" s="17"/>
      <c r="IVU115" s="17"/>
      <c r="IVV115" s="17"/>
      <c r="IVW115" s="17"/>
      <c r="IVX115" s="17"/>
      <c r="IVY115" s="17"/>
      <c r="IVZ115" s="17"/>
      <c r="IWA115" s="17"/>
      <c r="IWB115" s="17"/>
      <c r="IWC115" s="17"/>
      <c r="IWD115" s="17"/>
      <c r="IWE115" s="17"/>
      <c r="IWF115" s="17"/>
      <c r="IWG115" s="17"/>
      <c r="IWH115" s="17"/>
      <c r="IWI115" s="17"/>
      <c r="IWJ115" s="17"/>
      <c r="IWK115" s="17"/>
      <c r="IWL115" s="17"/>
      <c r="IWM115" s="17"/>
      <c r="IWN115" s="17"/>
      <c r="IWO115" s="17"/>
      <c r="IWP115" s="17"/>
      <c r="IWQ115" s="17"/>
      <c r="IWR115" s="17"/>
      <c r="IWS115" s="17"/>
      <c r="IWT115" s="17"/>
      <c r="IWU115" s="17"/>
      <c r="IWV115" s="17"/>
      <c r="IWW115" s="17"/>
      <c r="IWX115" s="17"/>
      <c r="IWY115" s="17"/>
      <c r="IWZ115" s="17"/>
      <c r="IXA115" s="17"/>
      <c r="IXB115" s="17"/>
      <c r="IXC115" s="17"/>
      <c r="IXD115" s="17"/>
      <c r="IXE115" s="17"/>
      <c r="IXF115" s="17"/>
      <c r="IXG115" s="17"/>
      <c r="IXH115" s="17"/>
      <c r="IXI115" s="17"/>
      <c r="IXJ115" s="17"/>
      <c r="IXK115" s="17"/>
      <c r="IXL115" s="17"/>
      <c r="IXM115" s="17"/>
      <c r="IXN115" s="17"/>
      <c r="IXO115" s="17"/>
      <c r="IXP115" s="17"/>
      <c r="IXQ115" s="17"/>
      <c r="IXR115" s="17"/>
      <c r="IXS115" s="17"/>
      <c r="IXT115" s="17"/>
      <c r="IXU115" s="17"/>
      <c r="IXV115" s="17"/>
      <c r="IXW115" s="17"/>
      <c r="IXX115" s="17"/>
      <c r="IXY115" s="17"/>
      <c r="IXZ115" s="17"/>
      <c r="IYA115" s="17"/>
      <c r="IYB115" s="17"/>
      <c r="IYC115" s="17"/>
      <c r="IYD115" s="17"/>
      <c r="IYE115" s="17"/>
      <c r="IYF115" s="17"/>
      <c r="IYG115" s="17"/>
      <c r="IYH115" s="17"/>
      <c r="IYI115" s="17"/>
      <c r="IYJ115" s="17"/>
      <c r="IYK115" s="17"/>
      <c r="IYL115" s="17"/>
      <c r="IYM115" s="17"/>
      <c r="IYN115" s="17"/>
      <c r="IYO115" s="17"/>
      <c r="IYP115" s="17"/>
      <c r="IYQ115" s="17"/>
      <c r="IYR115" s="17"/>
      <c r="IYS115" s="17"/>
      <c r="IYT115" s="17"/>
      <c r="IYU115" s="17"/>
      <c r="IYV115" s="17"/>
      <c r="IYW115" s="17"/>
      <c r="IYX115" s="17"/>
      <c r="IYY115" s="17"/>
      <c r="IYZ115" s="17"/>
      <c r="IZA115" s="17"/>
      <c r="IZB115" s="17"/>
      <c r="IZC115" s="17"/>
      <c r="IZD115" s="17"/>
      <c r="IZE115" s="17"/>
      <c r="IZF115" s="17"/>
      <c r="IZG115" s="17"/>
      <c r="IZH115" s="17"/>
      <c r="IZI115" s="17"/>
      <c r="IZJ115" s="17"/>
      <c r="IZK115" s="17"/>
      <c r="IZL115" s="17"/>
      <c r="IZM115" s="17"/>
      <c r="IZN115" s="17"/>
      <c r="IZO115" s="17"/>
      <c r="IZP115" s="17"/>
      <c r="IZQ115" s="17"/>
      <c r="IZR115" s="17"/>
      <c r="IZS115" s="17"/>
      <c r="IZT115" s="17"/>
      <c r="IZU115" s="17"/>
      <c r="IZV115" s="17"/>
      <c r="IZW115" s="17"/>
      <c r="IZX115" s="17"/>
      <c r="IZY115" s="17"/>
      <c r="IZZ115" s="17"/>
      <c r="JAA115" s="17"/>
      <c r="JAB115" s="17"/>
      <c r="JAC115" s="17"/>
      <c r="JAD115" s="17"/>
      <c r="JAE115" s="17"/>
      <c r="JAF115" s="17"/>
      <c r="JAG115" s="17"/>
      <c r="JAH115" s="17"/>
      <c r="JAI115" s="17"/>
      <c r="JAJ115" s="17"/>
      <c r="JAK115" s="17"/>
      <c r="JAL115" s="17"/>
      <c r="JAM115" s="17"/>
      <c r="JAN115" s="17"/>
      <c r="JAO115" s="17"/>
      <c r="JAP115" s="17"/>
      <c r="JAQ115" s="17"/>
      <c r="JAR115" s="17"/>
      <c r="JAS115" s="17"/>
      <c r="JAT115" s="17"/>
      <c r="JAU115" s="17"/>
      <c r="JAV115" s="17"/>
      <c r="JAW115" s="17"/>
      <c r="JAX115" s="17"/>
      <c r="JAY115" s="17"/>
      <c r="JAZ115" s="17"/>
      <c r="JBA115" s="17"/>
      <c r="JBB115" s="17"/>
      <c r="JBC115" s="17"/>
      <c r="JBD115" s="17"/>
      <c r="JBE115" s="17"/>
      <c r="JBF115" s="17"/>
      <c r="JBG115" s="17"/>
      <c r="JBH115" s="17"/>
      <c r="JBI115" s="17"/>
      <c r="JBJ115" s="17"/>
      <c r="JBK115" s="17"/>
      <c r="JBL115" s="17"/>
      <c r="JBM115" s="17"/>
      <c r="JBN115" s="17"/>
      <c r="JBO115" s="17"/>
      <c r="JBP115" s="17"/>
      <c r="JBQ115" s="17"/>
      <c r="JBR115" s="17"/>
      <c r="JBS115" s="17"/>
      <c r="JBT115" s="17"/>
      <c r="JBU115" s="17"/>
      <c r="JBV115" s="17"/>
      <c r="JBW115" s="17"/>
      <c r="JBX115" s="17"/>
      <c r="JBY115" s="17"/>
      <c r="JBZ115" s="17"/>
      <c r="JCA115" s="17"/>
      <c r="JCB115" s="17"/>
      <c r="JCC115" s="17"/>
      <c r="JCD115" s="17"/>
      <c r="JCE115" s="17"/>
      <c r="JCF115" s="17"/>
      <c r="JCG115" s="17"/>
      <c r="JCH115" s="17"/>
      <c r="JCI115" s="17"/>
      <c r="JCJ115" s="17"/>
      <c r="JCK115" s="17"/>
      <c r="JCL115" s="17"/>
      <c r="JCM115" s="17"/>
      <c r="JCN115" s="17"/>
      <c r="JCO115" s="17"/>
      <c r="JCP115" s="17"/>
      <c r="JCQ115" s="17"/>
      <c r="JCR115" s="17"/>
      <c r="JCS115" s="17"/>
      <c r="JCT115" s="17"/>
      <c r="JCU115" s="17"/>
      <c r="JCV115" s="17"/>
      <c r="JCW115" s="17"/>
      <c r="JCX115" s="17"/>
      <c r="JCY115" s="17"/>
      <c r="JCZ115" s="17"/>
      <c r="JDA115" s="17"/>
      <c r="JDB115" s="17"/>
      <c r="JDC115" s="17"/>
      <c r="JDD115" s="17"/>
      <c r="JDE115" s="17"/>
      <c r="JDF115" s="17"/>
      <c r="JDG115" s="17"/>
      <c r="JDH115" s="17"/>
      <c r="JDI115" s="17"/>
      <c r="JDJ115" s="17"/>
      <c r="JDK115" s="17"/>
      <c r="JDL115" s="17"/>
      <c r="JDM115" s="17"/>
      <c r="JDN115" s="17"/>
      <c r="JDO115" s="17"/>
      <c r="JDP115" s="17"/>
      <c r="JDQ115" s="17"/>
      <c r="JDR115" s="17"/>
      <c r="JDS115" s="17"/>
      <c r="JDT115" s="17"/>
      <c r="JDU115" s="17"/>
      <c r="JDV115" s="17"/>
      <c r="JDW115" s="17"/>
      <c r="JDX115" s="17"/>
      <c r="JDY115" s="17"/>
      <c r="JDZ115" s="17"/>
      <c r="JEA115" s="17"/>
      <c r="JEB115" s="17"/>
      <c r="JEC115" s="17"/>
      <c r="JED115" s="17"/>
      <c r="JEE115" s="17"/>
      <c r="JEF115" s="17"/>
      <c r="JEG115" s="17"/>
      <c r="JEH115" s="17"/>
      <c r="JEI115" s="17"/>
      <c r="JEJ115" s="17"/>
      <c r="JEK115" s="17"/>
      <c r="JEL115" s="17"/>
      <c r="JEM115" s="17"/>
      <c r="JEN115" s="17"/>
      <c r="JEO115" s="17"/>
      <c r="JEP115" s="17"/>
      <c r="JEQ115" s="17"/>
      <c r="JER115" s="17"/>
      <c r="JES115" s="17"/>
      <c r="JET115" s="17"/>
      <c r="JEU115" s="17"/>
      <c r="JEV115" s="17"/>
      <c r="JEW115" s="17"/>
      <c r="JEX115" s="17"/>
      <c r="JEY115" s="17"/>
      <c r="JEZ115" s="17"/>
      <c r="JFA115" s="17"/>
      <c r="JFB115" s="17"/>
      <c r="JFC115" s="17"/>
      <c r="JFD115" s="17"/>
      <c r="JFE115" s="17"/>
      <c r="JFF115" s="17"/>
      <c r="JFG115" s="17"/>
      <c r="JFH115" s="17"/>
      <c r="JFI115" s="17"/>
      <c r="JFJ115" s="17"/>
      <c r="JFK115" s="17"/>
      <c r="JFL115" s="17"/>
      <c r="JFM115" s="17"/>
      <c r="JFN115" s="17"/>
      <c r="JFO115" s="17"/>
      <c r="JFP115" s="17"/>
      <c r="JFQ115" s="17"/>
      <c r="JFR115" s="17"/>
      <c r="JFS115" s="17"/>
      <c r="JFT115" s="17"/>
      <c r="JFU115" s="17"/>
      <c r="JFV115" s="17"/>
      <c r="JFW115" s="17"/>
      <c r="JFX115" s="17"/>
      <c r="JFY115" s="17"/>
      <c r="JFZ115" s="17"/>
      <c r="JGA115" s="17"/>
      <c r="JGB115" s="17"/>
      <c r="JGC115" s="17"/>
      <c r="JGD115" s="17"/>
      <c r="JGE115" s="17"/>
      <c r="JGF115" s="17"/>
      <c r="JGG115" s="17"/>
      <c r="JGH115" s="17"/>
      <c r="JGI115" s="17"/>
      <c r="JGJ115" s="17"/>
      <c r="JGK115" s="17"/>
      <c r="JGL115" s="17"/>
      <c r="JGM115" s="17"/>
      <c r="JGN115" s="17"/>
      <c r="JGO115" s="17"/>
      <c r="JGP115" s="17"/>
      <c r="JGQ115" s="17"/>
      <c r="JGR115" s="17"/>
      <c r="JGS115" s="17"/>
      <c r="JGT115" s="17"/>
      <c r="JGU115" s="17"/>
      <c r="JGV115" s="17"/>
      <c r="JGW115" s="17"/>
      <c r="JGX115" s="17"/>
      <c r="JGY115" s="17"/>
      <c r="JGZ115" s="17"/>
      <c r="JHA115" s="17"/>
      <c r="JHB115" s="17"/>
      <c r="JHC115" s="17"/>
      <c r="JHD115" s="17"/>
      <c r="JHE115" s="17"/>
      <c r="JHF115" s="17"/>
      <c r="JHG115" s="17"/>
      <c r="JHH115" s="17"/>
      <c r="JHI115" s="17"/>
      <c r="JHJ115" s="17"/>
      <c r="JHK115" s="17"/>
      <c r="JHL115" s="17"/>
      <c r="JHM115" s="17"/>
      <c r="JHN115" s="17"/>
      <c r="JHO115" s="17"/>
      <c r="JHP115" s="17"/>
      <c r="JHQ115" s="17"/>
      <c r="JHR115" s="17"/>
      <c r="JHS115" s="17"/>
      <c r="JHT115" s="17"/>
      <c r="JHU115" s="17"/>
      <c r="JHV115" s="17"/>
      <c r="JHW115" s="17"/>
      <c r="JHX115" s="17"/>
      <c r="JHY115" s="17"/>
      <c r="JHZ115" s="17"/>
      <c r="JIA115" s="17"/>
      <c r="JIB115" s="17"/>
      <c r="JIC115" s="17"/>
      <c r="JID115" s="17"/>
      <c r="JIE115" s="17"/>
      <c r="JIF115" s="17"/>
      <c r="JIG115" s="17"/>
      <c r="JIH115" s="17"/>
      <c r="JII115" s="17"/>
      <c r="JIJ115" s="17"/>
      <c r="JIK115" s="17"/>
      <c r="JIL115" s="17"/>
      <c r="JIM115" s="17"/>
      <c r="JIN115" s="17"/>
      <c r="JIO115" s="17"/>
      <c r="JIP115" s="17"/>
      <c r="JIQ115" s="17"/>
      <c r="JIR115" s="17"/>
      <c r="JIS115" s="17"/>
      <c r="JIT115" s="17"/>
      <c r="JIU115" s="17"/>
      <c r="JIV115" s="17"/>
      <c r="JIW115" s="17"/>
      <c r="JIX115" s="17"/>
      <c r="JIY115" s="17"/>
      <c r="JIZ115" s="17"/>
      <c r="JJA115" s="17"/>
      <c r="JJB115" s="17"/>
      <c r="JJC115" s="17"/>
      <c r="JJD115" s="17"/>
      <c r="JJE115" s="17"/>
      <c r="JJF115" s="17"/>
      <c r="JJG115" s="17"/>
      <c r="JJH115" s="17"/>
      <c r="JJI115" s="17"/>
      <c r="JJJ115" s="17"/>
      <c r="JJK115" s="17"/>
      <c r="JJL115" s="17"/>
      <c r="JJM115" s="17"/>
      <c r="JJN115" s="17"/>
      <c r="JJO115" s="17"/>
      <c r="JJP115" s="17"/>
      <c r="JJQ115" s="17"/>
      <c r="JJR115" s="17"/>
      <c r="JJS115" s="17"/>
      <c r="JJT115" s="17"/>
      <c r="JJU115" s="17"/>
      <c r="JJV115" s="17"/>
      <c r="JJW115" s="17"/>
      <c r="JJX115" s="17"/>
      <c r="JJY115" s="17"/>
      <c r="JJZ115" s="17"/>
      <c r="JKA115" s="17"/>
      <c r="JKB115" s="17"/>
      <c r="JKC115" s="17"/>
      <c r="JKD115" s="17"/>
      <c r="JKE115" s="17"/>
      <c r="JKF115" s="17"/>
      <c r="JKG115" s="17"/>
      <c r="JKH115" s="17"/>
      <c r="JKI115" s="17"/>
      <c r="JKJ115" s="17"/>
      <c r="JKK115" s="17"/>
      <c r="JKL115" s="17"/>
      <c r="JKM115" s="17"/>
      <c r="JKN115" s="17"/>
      <c r="JKO115" s="17"/>
      <c r="JKP115" s="17"/>
      <c r="JKQ115" s="17"/>
      <c r="JKR115" s="17"/>
      <c r="JKS115" s="17"/>
      <c r="JKT115" s="17"/>
      <c r="JKU115" s="17"/>
      <c r="JKV115" s="17"/>
      <c r="JKW115" s="17"/>
      <c r="JKX115" s="17"/>
      <c r="JKY115" s="17"/>
      <c r="JKZ115" s="17"/>
      <c r="JLA115" s="17"/>
      <c r="JLB115" s="17"/>
      <c r="JLC115" s="17"/>
      <c r="JLD115" s="17"/>
      <c r="JLE115" s="17"/>
      <c r="JLF115" s="17"/>
      <c r="JLG115" s="17"/>
      <c r="JLH115" s="17"/>
      <c r="JLI115" s="17"/>
      <c r="JLJ115" s="17"/>
      <c r="JLK115" s="17"/>
      <c r="JLL115" s="17"/>
      <c r="JLM115" s="17"/>
      <c r="JLN115" s="17"/>
      <c r="JLO115" s="17"/>
      <c r="JLP115" s="17"/>
      <c r="JLQ115" s="17"/>
      <c r="JLR115" s="17"/>
      <c r="JLS115" s="17"/>
      <c r="JLT115" s="17"/>
      <c r="JLU115" s="17"/>
      <c r="JLV115" s="17"/>
      <c r="JLW115" s="17"/>
      <c r="JLX115" s="17"/>
      <c r="JLY115" s="17"/>
      <c r="JLZ115" s="17"/>
      <c r="JMA115" s="17"/>
      <c r="JMB115" s="17"/>
      <c r="JMC115" s="17"/>
      <c r="JMD115" s="17"/>
      <c r="JME115" s="17"/>
      <c r="JMF115" s="17"/>
      <c r="JMG115" s="17"/>
      <c r="JMH115" s="17"/>
      <c r="JMI115" s="17"/>
      <c r="JMJ115" s="17"/>
      <c r="JMK115" s="17"/>
      <c r="JML115" s="17"/>
      <c r="JMM115" s="17"/>
      <c r="JMN115" s="17"/>
      <c r="JMO115" s="17"/>
      <c r="JMP115" s="17"/>
      <c r="JMQ115" s="17"/>
      <c r="JMR115" s="17"/>
      <c r="JMS115" s="17"/>
      <c r="JMT115" s="17"/>
      <c r="JMU115" s="17"/>
      <c r="JMV115" s="17"/>
      <c r="JMW115" s="17"/>
      <c r="JMX115" s="17"/>
      <c r="JMY115" s="17"/>
      <c r="JMZ115" s="17"/>
      <c r="JNA115" s="17"/>
      <c r="JNB115" s="17"/>
      <c r="JNC115" s="17"/>
      <c r="JND115" s="17"/>
      <c r="JNE115" s="17"/>
      <c r="JNF115" s="17"/>
      <c r="JNG115" s="17"/>
      <c r="JNH115" s="17"/>
      <c r="JNI115" s="17"/>
      <c r="JNJ115" s="17"/>
      <c r="JNK115" s="17"/>
      <c r="JNL115" s="17"/>
      <c r="JNM115" s="17"/>
      <c r="JNN115" s="17"/>
      <c r="JNO115" s="17"/>
      <c r="JNP115" s="17"/>
      <c r="JNQ115" s="17"/>
      <c r="JNR115" s="17"/>
      <c r="JNS115" s="17"/>
      <c r="JNT115" s="17"/>
      <c r="JNU115" s="17"/>
      <c r="JNV115" s="17"/>
      <c r="JNW115" s="17"/>
      <c r="JNX115" s="17"/>
      <c r="JNY115" s="17"/>
      <c r="JNZ115" s="17"/>
      <c r="JOA115" s="17"/>
      <c r="JOB115" s="17"/>
      <c r="JOC115" s="17"/>
      <c r="JOD115" s="17"/>
      <c r="JOE115" s="17"/>
      <c r="JOF115" s="17"/>
      <c r="JOG115" s="17"/>
      <c r="JOH115" s="17"/>
      <c r="JOI115" s="17"/>
      <c r="JOJ115" s="17"/>
      <c r="JOK115" s="17"/>
      <c r="JOL115" s="17"/>
      <c r="JOM115" s="17"/>
      <c r="JON115" s="17"/>
      <c r="JOO115" s="17"/>
      <c r="JOP115" s="17"/>
      <c r="JOQ115" s="17"/>
      <c r="JOR115" s="17"/>
      <c r="JOS115" s="17"/>
      <c r="JOT115" s="17"/>
      <c r="JOU115" s="17"/>
      <c r="JOV115" s="17"/>
      <c r="JOW115" s="17"/>
      <c r="JOX115" s="17"/>
      <c r="JOY115" s="17"/>
      <c r="JOZ115" s="17"/>
      <c r="JPA115" s="17"/>
      <c r="JPB115" s="17"/>
      <c r="JPC115" s="17"/>
      <c r="JPD115" s="17"/>
      <c r="JPE115" s="17"/>
      <c r="JPF115" s="17"/>
      <c r="JPG115" s="17"/>
      <c r="JPH115" s="17"/>
      <c r="JPI115" s="17"/>
      <c r="JPJ115" s="17"/>
      <c r="JPK115" s="17"/>
      <c r="JPL115" s="17"/>
      <c r="JPM115" s="17"/>
      <c r="JPN115" s="17"/>
      <c r="JPO115" s="17"/>
      <c r="JPP115" s="17"/>
      <c r="JPQ115" s="17"/>
      <c r="JPR115" s="17"/>
      <c r="JPS115" s="17"/>
      <c r="JPT115" s="17"/>
      <c r="JPU115" s="17"/>
      <c r="JPV115" s="17"/>
      <c r="JPW115" s="17"/>
      <c r="JPX115" s="17"/>
      <c r="JPY115" s="17"/>
      <c r="JPZ115" s="17"/>
      <c r="JQA115" s="17"/>
      <c r="JQB115" s="17"/>
      <c r="JQC115" s="17"/>
      <c r="JQD115" s="17"/>
      <c r="JQE115" s="17"/>
      <c r="JQF115" s="17"/>
      <c r="JQG115" s="17"/>
      <c r="JQH115" s="17"/>
      <c r="JQI115" s="17"/>
      <c r="JQJ115" s="17"/>
      <c r="JQK115" s="17"/>
      <c r="JQL115" s="17"/>
      <c r="JQM115" s="17"/>
      <c r="JQN115" s="17"/>
      <c r="JQO115" s="17"/>
      <c r="JQP115" s="17"/>
      <c r="JQQ115" s="17"/>
      <c r="JQR115" s="17"/>
      <c r="JQS115" s="17"/>
      <c r="JQT115" s="17"/>
      <c r="JQU115" s="17"/>
      <c r="JQV115" s="17"/>
      <c r="JQW115" s="17"/>
      <c r="JQX115" s="17"/>
      <c r="JQY115" s="17"/>
      <c r="JQZ115" s="17"/>
      <c r="JRA115" s="17"/>
      <c r="JRB115" s="17"/>
      <c r="JRC115" s="17"/>
      <c r="JRD115" s="17"/>
      <c r="JRE115" s="17"/>
      <c r="JRF115" s="17"/>
      <c r="JRG115" s="17"/>
      <c r="JRH115" s="17"/>
      <c r="JRI115" s="17"/>
      <c r="JRJ115" s="17"/>
      <c r="JRK115" s="17"/>
      <c r="JRL115" s="17"/>
      <c r="JRM115" s="17"/>
      <c r="JRN115" s="17"/>
      <c r="JRO115" s="17"/>
      <c r="JRP115" s="17"/>
      <c r="JRQ115" s="17"/>
      <c r="JRR115" s="17"/>
      <c r="JRS115" s="17"/>
      <c r="JRT115" s="17"/>
      <c r="JRU115" s="17"/>
      <c r="JRV115" s="17"/>
      <c r="JRW115" s="17"/>
      <c r="JRX115" s="17"/>
      <c r="JRY115" s="17"/>
      <c r="JRZ115" s="17"/>
      <c r="JSA115" s="17"/>
      <c r="JSB115" s="17"/>
      <c r="JSC115" s="17"/>
      <c r="JSD115" s="17"/>
      <c r="JSE115" s="17"/>
      <c r="JSF115" s="17"/>
      <c r="JSG115" s="17"/>
      <c r="JSH115" s="17"/>
      <c r="JSI115" s="17"/>
      <c r="JSJ115" s="17"/>
      <c r="JSK115" s="17"/>
      <c r="JSL115" s="17"/>
      <c r="JSM115" s="17"/>
      <c r="JSN115" s="17"/>
      <c r="JSO115" s="17"/>
      <c r="JSP115" s="17"/>
      <c r="JSQ115" s="17"/>
      <c r="JSR115" s="17"/>
      <c r="JSS115" s="17"/>
      <c r="JST115" s="17"/>
      <c r="JSU115" s="17"/>
      <c r="JSV115" s="17"/>
      <c r="JSW115" s="17"/>
      <c r="JSX115" s="17"/>
      <c r="JSY115" s="17"/>
      <c r="JSZ115" s="17"/>
      <c r="JTA115" s="17"/>
      <c r="JTB115" s="17"/>
      <c r="JTC115" s="17"/>
      <c r="JTD115" s="17"/>
      <c r="JTE115" s="17"/>
      <c r="JTF115" s="17"/>
      <c r="JTG115" s="17"/>
      <c r="JTH115" s="17"/>
      <c r="JTI115" s="17"/>
      <c r="JTJ115" s="17"/>
      <c r="JTK115" s="17"/>
      <c r="JTL115" s="17"/>
      <c r="JTM115" s="17"/>
      <c r="JTN115" s="17"/>
      <c r="JTO115" s="17"/>
      <c r="JTP115" s="17"/>
      <c r="JTQ115" s="17"/>
      <c r="JTR115" s="17"/>
      <c r="JTS115" s="17"/>
      <c r="JTT115" s="17"/>
      <c r="JTU115" s="17"/>
      <c r="JTV115" s="17"/>
      <c r="JTW115" s="17"/>
      <c r="JTX115" s="17"/>
      <c r="JTY115" s="17"/>
      <c r="JTZ115" s="17"/>
      <c r="JUA115" s="17"/>
      <c r="JUB115" s="17"/>
      <c r="JUC115" s="17"/>
      <c r="JUD115" s="17"/>
      <c r="JUE115" s="17"/>
      <c r="JUF115" s="17"/>
      <c r="JUG115" s="17"/>
      <c r="JUH115" s="17"/>
      <c r="JUI115" s="17"/>
      <c r="JUJ115" s="17"/>
      <c r="JUK115" s="17"/>
      <c r="JUL115" s="17"/>
      <c r="JUM115" s="17"/>
      <c r="JUN115" s="17"/>
      <c r="JUO115" s="17"/>
      <c r="JUP115" s="17"/>
      <c r="JUQ115" s="17"/>
      <c r="JUR115" s="17"/>
      <c r="JUS115" s="17"/>
      <c r="JUT115" s="17"/>
      <c r="JUU115" s="17"/>
      <c r="JUV115" s="17"/>
      <c r="JUW115" s="17"/>
      <c r="JUX115" s="17"/>
      <c r="JUY115" s="17"/>
      <c r="JUZ115" s="17"/>
      <c r="JVA115" s="17"/>
      <c r="JVB115" s="17"/>
      <c r="JVC115" s="17"/>
      <c r="JVD115" s="17"/>
      <c r="JVE115" s="17"/>
      <c r="JVF115" s="17"/>
      <c r="JVG115" s="17"/>
      <c r="JVH115" s="17"/>
      <c r="JVI115" s="17"/>
      <c r="JVJ115" s="17"/>
      <c r="JVK115" s="17"/>
      <c r="JVL115" s="17"/>
      <c r="JVM115" s="17"/>
      <c r="JVN115" s="17"/>
      <c r="JVO115" s="17"/>
      <c r="JVP115" s="17"/>
      <c r="JVQ115" s="17"/>
      <c r="JVR115" s="17"/>
      <c r="JVS115" s="17"/>
      <c r="JVT115" s="17"/>
      <c r="JVU115" s="17"/>
      <c r="JVV115" s="17"/>
      <c r="JVW115" s="17"/>
      <c r="JVX115" s="17"/>
      <c r="JVY115" s="17"/>
      <c r="JVZ115" s="17"/>
      <c r="JWA115" s="17"/>
      <c r="JWB115" s="17"/>
      <c r="JWC115" s="17"/>
      <c r="JWD115" s="17"/>
      <c r="JWE115" s="17"/>
      <c r="JWF115" s="17"/>
      <c r="JWG115" s="17"/>
      <c r="JWH115" s="17"/>
      <c r="JWI115" s="17"/>
      <c r="JWJ115" s="17"/>
      <c r="JWK115" s="17"/>
      <c r="JWL115" s="17"/>
      <c r="JWM115" s="17"/>
      <c r="JWN115" s="17"/>
      <c r="JWO115" s="17"/>
      <c r="JWP115" s="17"/>
      <c r="JWQ115" s="17"/>
      <c r="JWR115" s="17"/>
      <c r="JWS115" s="17"/>
      <c r="JWT115" s="17"/>
      <c r="JWU115" s="17"/>
      <c r="JWV115" s="17"/>
      <c r="JWW115" s="17"/>
      <c r="JWX115" s="17"/>
      <c r="JWY115" s="17"/>
      <c r="JWZ115" s="17"/>
      <c r="JXA115" s="17"/>
      <c r="JXB115" s="17"/>
      <c r="JXC115" s="17"/>
      <c r="JXD115" s="17"/>
      <c r="JXE115" s="17"/>
      <c r="JXF115" s="17"/>
      <c r="JXG115" s="17"/>
      <c r="JXH115" s="17"/>
      <c r="JXI115" s="17"/>
      <c r="JXJ115" s="17"/>
      <c r="JXK115" s="17"/>
      <c r="JXL115" s="17"/>
      <c r="JXM115" s="17"/>
      <c r="JXN115" s="17"/>
      <c r="JXO115" s="17"/>
      <c r="JXP115" s="17"/>
      <c r="JXQ115" s="17"/>
      <c r="JXR115" s="17"/>
      <c r="JXS115" s="17"/>
      <c r="JXT115" s="17"/>
      <c r="JXU115" s="17"/>
      <c r="JXV115" s="17"/>
      <c r="JXW115" s="17"/>
      <c r="JXX115" s="17"/>
      <c r="JXY115" s="17"/>
      <c r="JXZ115" s="17"/>
      <c r="JYA115" s="17"/>
      <c r="JYB115" s="17"/>
      <c r="JYC115" s="17"/>
      <c r="JYD115" s="17"/>
      <c r="JYE115" s="17"/>
      <c r="JYF115" s="17"/>
      <c r="JYG115" s="17"/>
      <c r="JYH115" s="17"/>
      <c r="JYI115" s="17"/>
      <c r="JYJ115" s="17"/>
      <c r="JYK115" s="17"/>
      <c r="JYL115" s="17"/>
      <c r="JYM115" s="17"/>
      <c r="JYN115" s="17"/>
      <c r="JYO115" s="17"/>
      <c r="JYP115" s="17"/>
      <c r="JYQ115" s="17"/>
      <c r="JYR115" s="17"/>
      <c r="JYS115" s="17"/>
      <c r="JYT115" s="17"/>
      <c r="JYU115" s="17"/>
      <c r="JYV115" s="17"/>
      <c r="JYW115" s="17"/>
      <c r="JYX115" s="17"/>
      <c r="JYY115" s="17"/>
      <c r="JYZ115" s="17"/>
      <c r="JZA115" s="17"/>
      <c r="JZB115" s="17"/>
      <c r="JZC115" s="17"/>
      <c r="JZD115" s="17"/>
      <c r="JZE115" s="17"/>
      <c r="JZF115" s="17"/>
      <c r="JZG115" s="17"/>
      <c r="JZH115" s="17"/>
      <c r="JZI115" s="17"/>
      <c r="JZJ115" s="17"/>
      <c r="JZK115" s="17"/>
      <c r="JZL115" s="17"/>
      <c r="JZM115" s="17"/>
      <c r="JZN115" s="17"/>
      <c r="JZO115" s="17"/>
      <c r="JZP115" s="17"/>
      <c r="JZQ115" s="17"/>
      <c r="JZR115" s="17"/>
      <c r="JZS115" s="17"/>
      <c r="JZT115" s="17"/>
      <c r="JZU115" s="17"/>
      <c r="JZV115" s="17"/>
      <c r="JZW115" s="17"/>
      <c r="JZX115" s="17"/>
      <c r="JZY115" s="17"/>
      <c r="JZZ115" s="17"/>
      <c r="KAA115" s="17"/>
      <c r="KAB115" s="17"/>
      <c r="KAC115" s="17"/>
      <c r="KAD115" s="17"/>
      <c r="KAE115" s="17"/>
      <c r="KAF115" s="17"/>
      <c r="KAG115" s="17"/>
      <c r="KAH115" s="17"/>
      <c r="KAI115" s="17"/>
      <c r="KAJ115" s="17"/>
      <c r="KAK115" s="17"/>
      <c r="KAL115" s="17"/>
      <c r="KAM115" s="17"/>
      <c r="KAN115" s="17"/>
      <c r="KAO115" s="17"/>
      <c r="KAP115" s="17"/>
      <c r="KAQ115" s="17"/>
      <c r="KAR115" s="17"/>
      <c r="KAS115" s="17"/>
      <c r="KAT115" s="17"/>
      <c r="KAU115" s="17"/>
      <c r="KAV115" s="17"/>
      <c r="KAW115" s="17"/>
      <c r="KAX115" s="17"/>
      <c r="KAY115" s="17"/>
      <c r="KAZ115" s="17"/>
      <c r="KBA115" s="17"/>
      <c r="KBB115" s="17"/>
      <c r="KBC115" s="17"/>
      <c r="KBD115" s="17"/>
      <c r="KBE115" s="17"/>
      <c r="KBF115" s="17"/>
      <c r="KBG115" s="17"/>
      <c r="KBH115" s="17"/>
      <c r="KBI115" s="17"/>
      <c r="KBJ115" s="17"/>
      <c r="KBK115" s="17"/>
      <c r="KBL115" s="17"/>
      <c r="KBM115" s="17"/>
      <c r="KBN115" s="17"/>
      <c r="KBO115" s="17"/>
      <c r="KBP115" s="17"/>
      <c r="KBQ115" s="17"/>
      <c r="KBR115" s="17"/>
      <c r="KBS115" s="17"/>
      <c r="KBT115" s="17"/>
      <c r="KBU115" s="17"/>
      <c r="KBV115" s="17"/>
      <c r="KBW115" s="17"/>
      <c r="KBX115" s="17"/>
      <c r="KBY115" s="17"/>
      <c r="KBZ115" s="17"/>
      <c r="KCA115" s="17"/>
      <c r="KCB115" s="17"/>
      <c r="KCC115" s="17"/>
      <c r="KCD115" s="17"/>
      <c r="KCE115" s="17"/>
      <c r="KCF115" s="17"/>
      <c r="KCG115" s="17"/>
      <c r="KCH115" s="17"/>
      <c r="KCI115" s="17"/>
      <c r="KCJ115" s="17"/>
      <c r="KCK115" s="17"/>
      <c r="KCL115" s="17"/>
      <c r="KCM115" s="17"/>
      <c r="KCN115" s="17"/>
      <c r="KCO115" s="17"/>
      <c r="KCP115" s="17"/>
      <c r="KCQ115" s="17"/>
      <c r="KCR115" s="17"/>
      <c r="KCS115" s="17"/>
      <c r="KCT115" s="17"/>
      <c r="KCU115" s="17"/>
      <c r="KCV115" s="17"/>
      <c r="KCW115" s="17"/>
      <c r="KCX115" s="17"/>
      <c r="KCY115" s="17"/>
      <c r="KCZ115" s="17"/>
      <c r="KDA115" s="17"/>
      <c r="KDB115" s="17"/>
      <c r="KDC115" s="17"/>
      <c r="KDD115" s="17"/>
      <c r="KDE115" s="17"/>
      <c r="KDF115" s="17"/>
      <c r="KDG115" s="17"/>
      <c r="KDH115" s="17"/>
      <c r="KDI115" s="17"/>
      <c r="KDJ115" s="17"/>
      <c r="KDK115" s="17"/>
      <c r="KDL115" s="17"/>
      <c r="KDM115" s="17"/>
      <c r="KDN115" s="17"/>
      <c r="KDO115" s="17"/>
      <c r="KDP115" s="17"/>
      <c r="KDQ115" s="17"/>
      <c r="KDR115" s="17"/>
      <c r="KDS115" s="17"/>
      <c r="KDT115" s="17"/>
      <c r="KDU115" s="17"/>
      <c r="KDV115" s="17"/>
      <c r="KDW115" s="17"/>
      <c r="KDX115" s="17"/>
      <c r="KDY115" s="17"/>
      <c r="KDZ115" s="17"/>
      <c r="KEA115" s="17"/>
      <c r="KEB115" s="17"/>
      <c r="KEC115" s="17"/>
      <c r="KED115" s="17"/>
      <c r="KEE115" s="17"/>
      <c r="KEF115" s="17"/>
      <c r="KEG115" s="17"/>
      <c r="KEH115" s="17"/>
      <c r="KEI115" s="17"/>
      <c r="KEJ115" s="17"/>
      <c r="KEK115" s="17"/>
      <c r="KEL115" s="17"/>
      <c r="KEM115" s="17"/>
      <c r="KEN115" s="17"/>
      <c r="KEO115" s="17"/>
      <c r="KEP115" s="17"/>
      <c r="KEQ115" s="17"/>
      <c r="KER115" s="17"/>
      <c r="KES115" s="17"/>
      <c r="KET115" s="17"/>
      <c r="KEU115" s="17"/>
      <c r="KEV115" s="17"/>
      <c r="KEW115" s="17"/>
      <c r="KEX115" s="17"/>
      <c r="KEY115" s="17"/>
      <c r="KEZ115" s="17"/>
      <c r="KFA115" s="17"/>
      <c r="KFB115" s="17"/>
      <c r="KFC115" s="17"/>
      <c r="KFD115" s="17"/>
      <c r="KFE115" s="17"/>
      <c r="KFF115" s="17"/>
      <c r="KFG115" s="17"/>
      <c r="KFH115" s="17"/>
      <c r="KFI115" s="17"/>
      <c r="KFJ115" s="17"/>
      <c r="KFK115" s="17"/>
      <c r="KFL115" s="17"/>
      <c r="KFM115" s="17"/>
      <c r="KFN115" s="17"/>
      <c r="KFO115" s="17"/>
      <c r="KFP115" s="17"/>
      <c r="KFQ115" s="17"/>
      <c r="KFR115" s="17"/>
      <c r="KFS115" s="17"/>
      <c r="KFT115" s="17"/>
      <c r="KFU115" s="17"/>
      <c r="KFV115" s="17"/>
      <c r="KFW115" s="17"/>
      <c r="KFX115" s="17"/>
      <c r="KFY115" s="17"/>
      <c r="KFZ115" s="17"/>
      <c r="KGA115" s="17"/>
      <c r="KGB115" s="17"/>
      <c r="KGC115" s="17"/>
      <c r="KGD115" s="17"/>
      <c r="KGE115" s="17"/>
      <c r="KGF115" s="17"/>
      <c r="KGG115" s="17"/>
      <c r="KGH115" s="17"/>
      <c r="KGI115" s="17"/>
      <c r="KGJ115" s="17"/>
      <c r="KGK115" s="17"/>
      <c r="KGL115" s="17"/>
      <c r="KGM115" s="17"/>
      <c r="KGN115" s="17"/>
      <c r="KGO115" s="17"/>
      <c r="KGP115" s="17"/>
      <c r="KGQ115" s="17"/>
      <c r="KGR115" s="17"/>
      <c r="KGS115" s="17"/>
      <c r="KGT115" s="17"/>
      <c r="KGU115" s="17"/>
      <c r="KGV115" s="17"/>
      <c r="KGW115" s="17"/>
      <c r="KGX115" s="17"/>
      <c r="KGY115" s="17"/>
      <c r="KGZ115" s="17"/>
      <c r="KHA115" s="17"/>
      <c r="KHB115" s="17"/>
      <c r="KHC115" s="17"/>
      <c r="KHD115" s="17"/>
      <c r="KHE115" s="17"/>
      <c r="KHF115" s="17"/>
      <c r="KHG115" s="17"/>
      <c r="KHH115" s="17"/>
      <c r="KHI115" s="17"/>
      <c r="KHJ115" s="17"/>
      <c r="KHK115" s="17"/>
      <c r="KHL115" s="17"/>
      <c r="KHM115" s="17"/>
      <c r="KHN115" s="17"/>
      <c r="KHO115" s="17"/>
      <c r="KHP115" s="17"/>
      <c r="KHQ115" s="17"/>
      <c r="KHR115" s="17"/>
      <c r="KHS115" s="17"/>
      <c r="KHT115" s="17"/>
      <c r="KHU115" s="17"/>
      <c r="KHV115" s="17"/>
      <c r="KHW115" s="17"/>
      <c r="KHX115" s="17"/>
      <c r="KHY115" s="17"/>
      <c r="KHZ115" s="17"/>
      <c r="KIA115" s="17"/>
      <c r="KIB115" s="17"/>
      <c r="KIC115" s="17"/>
      <c r="KID115" s="17"/>
      <c r="KIE115" s="17"/>
      <c r="KIF115" s="17"/>
      <c r="KIG115" s="17"/>
      <c r="KIH115" s="17"/>
      <c r="KII115" s="17"/>
      <c r="KIJ115" s="17"/>
      <c r="KIK115" s="17"/>
      <c r="KIL115" s="17"/>
      <c r="KIM115" s="17"/>
      <c r="KIN115" s="17"/>
      <c r="KIO115" s="17"/>
      <c r="KIP115" s="17"/>
      <c r="KIQ115" s="17"/>
      <c r="KIR115" s="17"/>
      <c r="KIS115" s="17"/>
      <c r="KIT115" s="17"/>
      <c r="KIU115" s="17"/>
      <c r="KIV115" s="17"/>
      <c r="KIW115" s="17"/>
      <c r="KIX115" s="17"/>
      <c r="KIY115" s="17"/>
      <c r="KIZ115" s="17"/>
      <c r="KJA115" s="17"/>
      <c r="KJB115" s="17"/>
      <c r="KJC115" s="17"/>
      <c r="KJD115" s="17"/>
      <c r="KJE115" s="17"/>
      <c r="KJF115" s="17"/>
      <c r="KJG115" s="17"/>
      <c r="KJH115" s="17"/>
      <c r="KJI115" s="17"/>
      <c r="KJJ115" s="17"/>
      <c r="KJK115" s="17"/>
      <c r="KJL115" s="17"/>
      <c r="KJM115" s="17"/>
      <c r="KJN115" s="17"/>
      <c r="KJO115" s="17"/>
      <c r="KJP115" s="17"/>
      <c r="KJQ115" s="17"/>
      <c r="KJR115" s="17"/>
      <c r="KJS115" s="17"/>
      <c r="KJT115" s="17"/>
      <c r="KJU115" s="17"/>
      <c r="KJV115" s="17"/>
      <c r="KJW115" s="17"/>
      <c r="KJX115" s="17"/>
      <c r="KJY115" s="17"/>
      <c r="KJZ115" s="17"/>
      <c r="KKA115" s="17"/>
      <c r="KKB115" s="17"/>
      <c r="KKC115" s="17"/>
      <c r="KKD115" s="17"/>
      <c r="KKE115" s="17"/>
      <c r="KKF115" s="17"/>
      <c r="KKG115" s="17"/>
      <c r="KKH115" s="17"/>
      <c r="KKI115" s="17"/>
      <c r="KKJ115" s="17"/>
      <c r="KKK115" s="17"/>
      <c r="KKL115" s="17"/>
      <c r="KKM115" s="17"/>
      <c r="KKN115" s="17"/>
      <c r="KKO115" s="17"/>
      <c r="KKP115" s="17"/>
      <c r="KKQ115" s="17"/>
      <c r="KKR115" s="17"/>
      <c r="KKS115" s="17"/>
      <c r="KKT115" s="17"/>
      <c r="KKU115" s="17"/>
      <c r="KKV115" s="17"/>
      <c r="KKW115" s="17"/>
      <c r="KKX115" s="17"/>
      <c r="KKY115" s="17"/>
      <c r="KKZ115" s="17"/>
      <c r="KLA115" s="17"/>
      <c r="KLB115" s="17"/>
      <c r="KLC115" s="17"/>
      <c r="KLD115" s="17"/>
      <c r="KLE115" s="17"/>
      <c r="KLF115" s="17"/>
      <c r="KLG115" s="17"/>
      <c r="KLH115" s="17"/>
      <c r="KLI115" s="17"/>
      <c r="KLJ115" s="17"/>
      <c r="KLK115" s="17"/>
      <c r="KLL115" s="17"/>
      <c r="KLM115" s="17"/>
      <c r="KLN115" s="17"/>
      <c r="KLO115" s="17"/>
      <c r="KLP115" s="17"/>
      <c r="KLQ115" s="17"/>
      <c r="KLR115" s="17"/>
      <c r="KLS115" s="17"/>
      <c r="KLT115" s="17"/>
      <c r="KLU115" s="17"/>
      <c r="KLV115" s="17"/>
      <c r="KLW115" s="17"/>
      <c r="KLX115" s="17"/>
      <c r="KLY115" s="17"/>
      <c r="KLZ115" s="17"/>
      <c r="KMA115" s="17"/>
      <c r="KMB115" s="17"/>
      <c r="KMC115" s="17"/>
      <c r="KMD115" s="17"/>
      <c r="KME115" s="17"/>
      <c r="KMF115" s="17"/>
      <c r="KMG115" s="17"/>
      <c r="KMH115" s="17"/>
      <c r="KMI115" s="17"/>
      <c r="KMJ115" s="17"/>
      <c r="KMK115" s="17"/>
      <c r="KML115" s="17"/>
      <c r="KMM115" s="17"/>
      <c r="KMN115" s="17"/>
      <c r="KMO115" s="17"/>
      <c r="KMP115" s="17"/>
      <c r="KMQ115" s="17"/>
      <c r="KMR115" s="17"/>
      <c r="KMS115" s="17"/>
      <c r="KMT115" s="17"/>
      <c r="KMU115" s="17"/>
      <c r="KMV115" s="17"/>
      <c r="KMW115" s="17"/>
      <c r="KMX115" s="17"/>
      <c r="KMY115" s="17"/>
      <c r="KMZ115" s="17"/>
      <c r="KNA115" s="17"/>
      <c r="KNB115" s="17"/>
      <c r="KNC115" s="17"/>
      <c r="KND115" s="17"/>
      <c r="KNE115" s="17"/>
      <c r="KNF115" s="17"/>
      <c r="KNG115" s="17"/>
      <c r="KNH115" s="17"/>
      <c r="KNI115" s="17"/>
      <c r="KNJ115" s="17"/>
      <c r="KNK115" s="17"/>
      <c r="KNL115" s="17"/>
      <c r="KNM115" s="17"/>
      <c r="KNN115" s="17"/>
      <c r="KNO115" s="17"/>
      <c r="KNP115" s="17"/>
      <c r="KNQ115" s="17"/>
      <c r="KNR115" s="17"/>
      <c r="KNS115" s="17"/>
      <c r="KNT115" s="17"/>
      <c r="KNU115" s="17"/>
      <c r="KNV115" s="17"/>
      <c r="KNW115" s="17"/>
      <c r="KNX115" s="17"/>
      <c r="KNY115" s="17"/>
      <c r="KNZ115" s="17"/>
      <c r="KOA115" s="17"/>
      <c r="KOB115" s="17"/>
      <c r="KOC115" s="17"/>
      <c r="KOD115" s="17"/>
      <c r="KOE115" s="17"/>
      <c r="KOF115" s="17"/>
      <c r="KOG115" s="17"/>
      <c r="KOH115" s="17"/>
      <c r="KOI115" s="17"/>
      <c r="KOJ115" s="17"/>
      <c r="KOK115" s="17"/>
      <c r="KOL115" s="17"/>
      <c r="KOM115" s="17"/>
      <c r="KON115" s="17"/>
      <c r="KOO115" s="17"/>
      <c r="KOP115" s="17"/>
      <c r="KOQ115" s="17"/>
      <c r="KOR115" s="17"/>
      <c r="KOS115" s="17"/>
      <c r="KOT115" s="17"/>
      <c r="KOU115" s="17"/>
      <c r="KOV115" s="17"/>
      <c r="KOW115" s="17"/>
      <c r="KOX115" s="17"/>
      <c r="KOY115" s="17"/>
      <c r="KOZ115" s="17"/>
      <c r="KPA115" s="17"/>
      <c r="KPB115" s="17"/>
      <c r="KPC115" s="17"/>
      <c r="KPD115" s="17"/>
      <c r="KPE115" s="17"/>
      <c r="KPF115" s="17"/>
      <c r="KPG115" s="17"/>
      <c r="KPH115" s="17"/>
      <c r="KPI115" s="17"/>
      <c r="KPJ115" s="17"/>
      <c r="KPK115" s="17"/>
      <c r="KPL115" s="17"/>
      <c r="KPM115" s="17"/>
      <c r="KPN115" s="17"/>
      <c r="KPO115" s="17"/>
      <c r="KPP115" s="17"/>
      <c r="KPQ115" s="17"/>
      <c r="KPR115" s="17"/>
      <c r="KPS115" s="17"/>
      <c r="KPT115" s="17"/>
      <c r="KPU115" s="17"/>
      <c r="KPV115" s="17"/>
      <c r="KPW115" s="17"/>
      <c r="KPX115" s="17"/>
      <c r="KPY115" s="17"/>
      <c r="KPZ115" s="17"/>
      <c r="KQA115" s="17"/>
      <c r="KQB115" s="17"/>
      <c r="KQC115" s="17"/>
      <c r="KQD115" s="17"/>
      <c r="KQE115" s="17"/>
      <c r="KQF115" s="17"/>
      <c r="KQG115" s="17"/>
      <c r="KQH115" s="17"/>
      <c r="KQI115" s="17"/>
      <c r="KQJ115" s="17"/>
      <c r="KQK115" s="17"/>
      <c r="KQL115" s="17"/>
      <c r="KQM115" s="17"/>
      <c r="KQN115" s="17"/>
      <c r="KQO115" s="17"/>
      <c r="KQP115" s="17"/>
      <c r="KQQ115" s="17"/>
      <c r="KQR115" s="17"/>
      <c r="KQS115" s="17"/>
      <c r="KQT115" s="17"/>
      <c r="KQU115" s="17"/>
      <c r="KQV115" s="17"/>
      <c r="KQW115" s="17"/>
      <c r="KQX115" s="17"/>
      <c r="KQY115" s="17"/>
      <c r="KQZ115" s="17"/>
      <c r="KRA115" s="17"/>
      <c r="KRB115" s="17"/>
      <c r="KRC115" s="17"/>
      <c r="KRD115" s="17"/>
      <c r="KRE115" s="17"/>
      <c r="KRF115" s="17"/>
      <c r="KRG115" s="17"/>
      <c r="KRH115" s="17"/>
      <c r="KRI115" s="17"/>
      <c r="KRJ115" s="17"/>
      <c r="KRK115" s="17"/>
      <c r="KRL115" s="17"/>
      <c r="KRM115" s="17"/>
      <c r="KRN115" s="17"/>
      <c r="KRO115" s="17"/>
      <c r="KRP115" s="17"/>
      <c r="KRQ115" s="17"/>
      <c r="KRR115" s="17"/>
      <c r="KRS115" s="17"/>
      <c r="KRT115" s="17"/>
      <c r="KRU115" s="17"/>
      <c r="KRV115" s="17"/>
      <c r="KRW115" s="17"/>
      <c r="KRX115" s="17"/>
      <c r="KRY115" s="17"/>
      <c r="KRZ115" s="17"/>
      <c r="KSA115" s="17"/>
      <c r="KSB115" s="17"/>
      <c r="KSC115" s="17"/>
      <c r="KSD115" s="17"/>
      <c r="KSE115" s="17"/>
      <c r="KSF115" s="17"/>
      <c r="KSG115" s="17"/>
      <c r="KSH115" s="17"/>
      <c r="KSI115" s="17"/>
      <c r="KSJ115" s="17"/>
      <c r="KSK115" s="17"/>
      <c r="KSL115" s="17"/>
      <c r="KSM115" s="17"/>
      <c r="KSN115" s="17"/>
      <c r="KSO115" s="17"/>
      <c r="KSP115" s="17"/>
      <c r="KSQ115" s="17"/>
      <c r="KSR115" s="17"/>
      <c r="KSS115" s="17"/>
      <c r="KST115" s="17"/>
      <c r="KSU115" s="17"/>
      <c r="KSV115" s="17"/>
      <c r="KSW115" s="17"/>
      <c r="KSX115" s="17"/>
      <c r="KSY115" s="17"/>
      <c r="KSZ115" s="17"/>
      <c r="KTA115" s="17"/>
      <c r="KTB115" s="17"/>
      <c r="KTC115" s="17"/>
      <c r="KTD115" s="17"/>
      <c r="KTE115" s="17"/>
      <c r="KTF115" s="17"/>
      <c r="KTG115" s="17"/>
      <c r="KTH115" s="17"/>
      <c r="KTI115" s="17"/>
      <c r="KTJ115" s="17"/>
      <c r="KTK115" s="17"/>
      <c r="KTL115" s="17"/>
      <c r="KTM115" s="17"/>
      <c r="KTN115" s="17"/>
      <c r="KTO115" s="17"/>
      <c r="KTP115" s="17"/>
      <c r="KTQ115" s="17"/>
      <c r="KTR115" s="17"/>
      <c r="KTS115" s="17"/>
      <c r="KTT115" s="17"/>
      <c r="KTU115" s="17"/>
      <c r="KTV115" s="17"/>
      <c r="KTW115" s="17"/>
      <c r="KTX115" s="17"/>
      <c r="KTY115" s="17"/>
      <c r="KTZ115" s="17"/>
      <c r="KUA115" s="17"/>
      <c r="KUB115" s="17"/>
      <c r="KUC115" s="17"/>
      <c r="KUD115" s="17"/>
      <c r="KUE115" s="17"/>
      <c r="KUF115" s="17"/>
      <c r="KUG115" s="17"/>
      <c r="KUH115" s="17"/>
      <c r="KUI115" s="17"/>
      <c r="KUJ115" s="17"/>
      <c r="KUK115" s="17"/>
      <c r="KUL115" s="17"/>
      <c r="KUM115" s="17"/>
      <c r="KUN115" s="17"/>
      <c r="KUO115" s="17"/>
      <c r="KUP115" s="17"/>
      <c r="KUQ115" s="17"/>
      <c r="KUR115" s="17"/>
      <c r="KUS115" s="17"/>
      <c r="KUT115" s="17"/>
      <c r="KUU115" s="17"/>
      <c r="KUV115" s="17"/>
      <c r="KUW115" s="17"/>
      <c r="KUX115" s="17"/>
      <c r="KUY115" s="17"/>
      <c r="KUZ115" s="17"/>
      <c r="KVA115" s="17"/>
      <c r="KVB115" s="17"/>
      <c r="KVC115" s="17"/>
      <c r="KVD115" s="17"/>
      <c r="KVE115" s="17"/>
      <c r="KVF115" s="17"/>
      <c r="KVG115" s="17"/>
      <c r="KVH115" s="17"/>
      <c r="KVI115" s="17"/>
      <c r="KVJ115" s="17"/>
      <c r="KVK115" s="17"/>
      <c r="KVL115" s="17"/>
      <c r="KVM115" s="17"/>
      <c r="KVN115" s="17"/>
      <c r="KVO115" s="17"/>
      <c r="KVP115" s="17"/>
      <c r="KVQ115" s="17"/>
      <c r="KVR115" s="17"/>
      <c r="KVS115" s="17"/>
      <c r="KVT115" s="17"/>
      <c r="KVU115" s="17"/>
      <c r="KVV115" s="17"/>
      <c r="KVW115" s="17"/>
      <c r="KVX115" s="17"/>
      <c r="KVY115" s="17"/>
      <c r="KVZ115" s="17"/>
      <c r="KWA115" s="17"/>
      <c r="KWB115" s="17"/>
      <c r="KWC115" s="17"/>
      <c r="KWD115" s="17"/>
      <c r="KWE115" s="17"/>
      <c r="KWF115" s="17"/>
      <c r="KWG115" s="17"/>
      <c r="KWH115" s="17"/>
      <c r="KWI115" s="17"/>
      <c r="KWJ115" s="17"/>
      <c r="KWK115" s="17"/>
      <c r="KWL115" s="17"/>
      <c r="KWM115" s="17"/>
      <c r="KWN115" s="17"/>
      <c r="KWO115" s="17"/>
      <c r="KWP115" s="17"/>
      <c r="KWQ115" s="17"/>
      <c r="KWR115" s="17"/>
      <c r="KWS115" s="17"/>
      <c r="KWT115" s="17"/>
      <c r="KWU115" s="17"/>
      <c r="KWV115" s="17"/>
      <c r="KWW115" s="17"/>
      <c r="KWX115" s="17"/>
      <c r="KWY115" s="17"/>
      <c r="KWZ115" s="17"/>
      <c r="KXA115" s="17"/>
      <c r="KXB115" s="17"/>
      <c r="KXC115" s="17"/>
      <c r="KXD115" s="17"/>
      <c r="KXE115" s="17"/>
      <c r="KXF115" s="17"/>
      <c r="KXG115" s="17"/>
      <c r="KXH115" s="17"/>
      <c r="KXI115" s="17"/>
      <c r="KXJ115" s="17"/>
      <c r="KXK115" s="17"/>
      <c r="KXL115" s="17"/>
      <c r="KXM115" s="17"/>
      <c r="KXN115" s="17"/>
      <c r="KXO115" s="17"/>
      <c r="KXP115" s="17"/>
      <c r="KXQ115" s="17"/>
      <c r="KXR115" s="17"/>
      <c r="KXS115" s="17"/>
      <c r="KXT115" s="17"/>
      <c r="KXU115" s="17"/>
      <c r="KXV115" s="17"/>
      <c r="KXW115" s="17"/>
      <c r="KXX115" s="17"/>
      <c r="KXY115" s="17"/>
      <c r="KXZ115" s="17"/>
      <c r="KYA115" s="17"/>
      <c r="KYB115" s="17"/>
      <c r="KYC115" s="17"/>
      <c r="KYD115" s="17"/>
      <c r="KYE115" s="17"/>
      <c r="KYF115" s="17"/>
      <c r="KYG115" s="17"/>
      <c r="KYH115" s="17"/>
      <c r="KYI115" s="17"/>
      <c r="KYJ115" s="17"/>
      <c r="KYK115" s="17"/>
      <c r="KYL115" s="17"/>
      <c r="KYM115" s="17"/>
      <c r="KYN115" s="17"/>
      <c r="KYO115" s="17"/>
      <c r="KYP115" s="17"/>
      <c r="KYQ115" s="17"/>
      <c r="KYR115" s="17"/>
      <c r="KYS115" s="17"/>
      <c r="KYT115" s="17"/>
      <c r="KYU115" s="17"/>
      <c r="KYV115" s="17"/>
      <c r="KYW115" s="17"/>
      <c r="KYX115" s="17"/>
      <c r="KYY115" s="17"/>
      <c r="KYZ115" s="17"/>
      <c r="KZA115" s="17"/>
      <c r="KZB115" s="17"/>
      <c r="KZC115" s="17"/>
      <c r="KZD115" s="17"/>
      <c r="KZE115" s="17"/>
      <c r="KZF115" s="17"/>
      <c r="KZG115" s="17"/>
      <c r="KZH115" s="17"/>
      <c r="KZI115" s="17"/>
      <c r="KZJ115" s="17"/>
      <c r="KZK115" s="17"/>
      <c r="KZL115" s="17"/>
      <c r="KZM115" s="17"/>
      <c r="KZN115" s="17"/>
      <c r="KZO115" s="17"/>
      <c r="KZP115" s="17"/>
      <c r="KZQ115" s="17"/>
      <c r="KZR115" s="17"/>
      <c r="KZS115" s="17"/>
      <c r="KZT115" s="17"/>
      <c r="KZU115" s="17"/>
      <c r="KZV115" s="17"/>
      <c r="KZW115" s="17"/>
      <c r="KZX115" s="17"/>
      <c r="KZY115" s="17"/>
      <c r="KZZ115" s="17"/>
      <c r="LAA115" s="17"/>
      <c r="LAB115" s="17"/>
      <c r="LAC115" s="17"/>
      <c r="LAD115" s="17"/>
      <c r="LAE115" s="17"/>
      <c r="LAF115" s="17"/>
      <c r="LAG115" s="17"/>
      <c r="LAH115" s="17"/>
      <c r="LAI115" s="17"/>
      <c r="LAJ115" s="17"/>
      <c r="LAK115" s="17"/>
      <c r="LAL115" s="17"/>
      <c r="LAM115" s="17"/>
      <c r="LAN115" s="17"/>
      <c r="LAO115" s="17"/>
      <c r="LAP115" s="17"/>
      <c r="LAQ115" s="17"/>
      <c r="LAR115" s="17"/>
      <c r="LAS115" s="17"/>
      <c r="LAT115" s="17"/>
      <c r="LAU115" s="17"/>
      <c r="LAV115" s="17"/>
      <c r="LAW115" s="17"/>
      <c r="LAX115" s="17"/>
      <c r="LAY115" s="17"/>
      <c r="LAZ115" s="17"/>
      <c r="LBA115" s="17"/>
      <c r="LBB115" s="17"/>
      <c r="LBC115" s="17"/>
      <c r="LBD115" s="17"/>
      <c r="LBE115" s="17"/>
      <c r="LBF115" s="17"/>
      <c r="LBG115" s="17"/>
      <c r="LBH115" s="17"/>
      <c r="LBI115" s="17"/>
      <c r="LBJ115" s="17"/>
      <c r="LBK115" s="17"/>
      <c r="LBL115" s="17"/>
      <c r="LBM115" s="17"/>
      <c r="LBN115" s="17"/>
      <c r="LBO115" s="17"/>
      <c r="LBP115" s="17"/>
      <c r="LBQ115" s="17"/>
      <c r="LBR115" s="17"/>
      <c r="LBS115" s="17"/>
      <c r="LBT115" s="17"/>
      <c r="LBU115" s="17"/>
      <c r="LBV115" s="17"/>
      <c r="LBW115" s="17"/>
      <c r="LBX115" s="17"/>
      <c r="LBY115" s="17"/>
      <c r="LBZ115" s="17"/>
      <c r="LCA115" s="17"/>
      <c r="LCB115" s="17"/>
      <c r="LCC115" s="17"/>
      <c r="LCD115" s="17"/>
      <c r="LCE115" s="17"/>
      <c r="LCF115" s="17"/>
      <c r="LCG115" s="17"/>
      <c r="LCH115" s="17"/>
      <c r="LCI115" s="17"/>
      <c r="LCJ115" s="17"/>
      <c r="LCK115" s="17"/>
      <c r="LCL115" s="17"/>
      <c r="LCM115" s="17"/>
      <c r="LCN115" s="17"/>
      <c r="LCO115" s="17"/>
      <c r="LCP115" s="17"/>
      <c r="LCQ115" s="17"/>
      <c r="LCR115" s="17"/>
      <c r="LCS115" s="17"/>
      <c r="LCT115" s="17"/>
      <c r="LCU115" s="17"/>
      <c r="LCV115" s="17"/>
      <c r="LCW115" s="17"/>
      <c r="LCX115" s="17"/>
      <c r="LCY115" s="17"/>
      <c r="LCZ115" s="17"/>
      <c r="LDA115" s="17"/>
      <c r="LDB115" s="17"/>
      <c r="LDC115" s="17"/>
      <c r="LDD115" s="17"/>
      <c r="LDE115" s="17"/>
      <c r="LDF115" s="17"/>
      <c r="LDG115" s="17"/>
      <c r="LDH115" s="17"/>
      <c r="LDI115" s="17"/>
      <c r="LDJ115" s="17"/>
      <c r="LDK115" s="17"/>
      <c r="LDL115" s="17"/>
      <c r="LDM115" s="17"/>
      <c r="LDN115" s="17"/>
      <c r="LDO115" s="17"/>
      <c r="LDP115" s="17"/>
      <c r="LDQ115" s="17"/>
      <c r="LDR115" s="17"/>
      <c r="LDS115" s="17"/>
      <c r="LDT115" s="17"/>
      <c r="LDU115" s="17"/>
      <c r="LDV115" s="17"/>
      <c r="LDW115" s="17"/>
      <c r="LDX115" s="17"/>
      <c r="LDY115" s="17"/>
      <c r="LDZ115" s="17"/>
      <c r="LEA115" s="17"/>
      <c r="LEB115" s="17"/>
      <c r="LEC115" s="17"/>
      <c r="LED115" s="17"/>
      <c r="LEE115" s="17"/>
      <c r="LEF115" s="17"/>
      <c r="LEG115" s="17"/>
      <c r="LEH115" s="17"/>
      <c r="LEI115" s="17"/>
      <c r="LEJ115" s="17"/>
      <c r="LEK115" s="17"/>
      <c r="LEL115" s="17"/>
      <c r="LEM115" s="17"/>
      <c r="LEN115" s="17"/>
      <c r="LEO115" s="17"/>
      <c r="LEP115" s="17"/>
      <c r="LEQ115" s="17"/>
      <c r="LER115" s="17"/>
      <c r="LES115" s="17"/>
      <c r="LET115" s="17"/>
      <c r="LEU115" s="17"/>
      <c r="LEV115" s="17"/>
      <c r="LEW115" s="17"/>
      <c r="LEX115" s="17"/>
      <c r="LEY115" s="17"/>
      <c r="LEZ115" s="17"/>
      <c r="LFA115" s="17"/>
      <c r="LFB115" s="17"/>
      <c r="LFC115" s="17"/>
      <c r="LFD115" s="17"/>
      <c r="LFE115" s="17"/>
      <c r="LFF115" s="17"/>
      <c r="LFG115" s="17"/>
      <c r="LFH115" s="17"/>
      <c r="LFI115" s="17"/>
      <c r="LFJ115" s="17"/>
      <c r="LFK115" s="17"/>
      <c r="LFL115" s="17"/>
      <c r="LFM115" s="17"/>
      <c r="LFN115" s="17"/>
      <c r="LFO115" s="17"/>
      <c r="LFP115" s="17"/>
      <c r="LFQ115" s="17"/>
      <c r="LFR115" s="17"/>
      <c r="LFS115" s="17"/>
      <c r="LFT115" s="17"/>
      <c r="LFU115" s="17"/>
      <c r="LFV115" s="17"/>
      <c r="LFW115" s="17"/>
      <c r="LFX115" s="17"/>
      <c r="LFY115" s="17"/>
      <c r="LFZ115" s="17"/>
      <c r="LGA115" s="17"/>
      <c r="LGB115" s="17"/>
      <c r="LGC115" s="17"/>
      <c r="LGD115" s="17"/>
      <c r="LGE115" s="17"/>
      <c r="LGF115" s="17"/>
      <c r="LGG115" s="17"/>
      <c r="LGH115" s="17"/>
      <c r="LGI115" s="17"/>
      <c r="LGJ115" s="17"/>
      <c r="LGK115" s="17"/>
      <c r="LGL115" s="17"/>
      <c r="LGM115" s="17"/>
      <c r="LGN115" s="17"/>
      <c r="LGO115" s="17"/>
      <c r="LGP115" s="17"/>
      <c r="LGQ115" s="17"/>
      <c r="LGR115" s="17"/>
      <c r="LGS115" s="17"/>
      <c r="LGT115" s="17"/>
      <c r="LGU115" s="17"/>
      <c r="LGV115" s="17"/>
      <c r="LGW115" s="17"/>
      <c r="LGX115" s="17"/>
      <c r="LGY115" s="17"/>
      <c r="LGZ115" s="17"/>
      <c r="LHA115" s="17"/>
      <c r="LHB115" s="17"/>
      <c r="LHC115" s="17"/>
      <c r="LHD115" s="17"/>
      <c r="LHE115" s="17"/>
      <c r="LHF115" s="17"/>
      <c r="LHG115" s="17"/>
      <c r="LHH115" s="17"/>
      <c r="LHI115" s="17"/>
      <c r="LHJ115" s="17"/>
      <c r="LHK115" s="17"/>
      <c r="LHL115" s="17"/>
      <c r="LHM115" s="17"/>
      <c r="LHN115" s="17"/>
      <c r="LHO115" s="17"/>
      <c r="LHP115" s="17"/>
      <c r="LHQ115" s="17"/>
      <c r="LHR115" s="17"/>
      <c r="LHS115" s="17"/>
      <c r="LHT115" s="17"/>
      <c r="LHU115" s="17"/>
      <c r="LHV115" s="17"/>
      <c r="LHW115" s="17"/>
      <c r="LHX115" s="17"/>
      <c r="LHY115" s="17"/>
      <c r="LHZ115" s="17"/>
      <c r="LIA115" s="17"/>
      <c r="LIB115" s="17"/>
      <c r="LIC115" s="17"/>
      <c r="LID115" s="17"/>
      <c r="LIE115" s="17"/>
      <c r="LIF115" s="17"/>
      <c r="LIG115" s="17"/>
      <c r="LIH115" s="17"/>
      <c r="LII115" s="17"/>
      <c r="LIJ115" s="17"/>
      <c r="LIK115" s="17"/>
      <c r="LIL115" s="17"/>
      <c r="LIM115" s="17"/>
      <c r="LIN115" s="17"/>
      <c r="LIO115" s="17"/>
      <c r="LIP115" s="17"/>
      <c r="LIQ115" s="17"/>
      <c r="LIR115" s="17"/>
      <c r="LIS115" s="17"/>
      <c r="LIT115" s="17"/>
      <c r="LIU115" s="17"/>
      <c r="LIV115" s="17"/>
      <c r="LIW115" s="17"/>
      <c r="LIX115" s="17"/>
      <c r="LIY115" s="17"/>
      <c r="LIZ115" s="17"/>
      <c r="LJA115" s="17"/>
      <c r="LJB115" s="17"/>
      <c r="LJC115" s="17"/>
      <c r="LJD115" s="17"/>
      <c r="LJE115" s="17"/>
      <c r="LJF115" s="17"/>
      <c r="LJG115" s="17"/>
      <c r="LJH115" s="17"/>
      <c r="LJI115" s="17"/>
      <c r="LJJ115" s="17"/>
      <c r="LJK115" s="17"/>
      <c r="LJL115" s="17"/>
      <c r="LJM115" s="17"/>
      <c r="LJN115" s="17"/>
      <c r="LJO115" s="17"/>
      <c r="LJP115" s="17"/>
      <c r="LJQ115" s="17"/>
      <c r="LJR115" s="17"/>
      <c r="LJS115" s="17"/>
      <c r="LJT115" s="17"/>
      <c r="LJU115" s="17"/>
      <c r="LJV115" s="17"/>
      <c r="LJW115" s="17"/>
      <c r="LJX115" s="17"/>
      <c r="LJY115" s="17"/>
      <c r="LJZ115" s="17"/>
      <c r="LKA115" s="17"/>
      <c r="LKB115" s="17"/>
      <c r="LKC115" s="17"/>
      <c r="LKD115" s="17"/>
      <c r="LKE115" s="17"/>
      <c r="LKF115" s="17"/>
      <c r="LKG115" s="17"/>
      <c r="LKH115" s="17"/>
      <c r="LKI115" s="17"/>
      <c r="LKJ115" s="17"/>
      <c r="LKK115" s="17"/>
      <c r="LKL115" s="17"/>
      <c r="LKM115" s="17"/>
      <c r="LKN115" s="17"/>
      <c r="LKO115" s="17"/>
      <c r="LKP115" s="17"/>
      <c r="LKQ115" s="17"/>
      <c r="LKR115" s="17"/>
      <c r="LKS115" s="17"/>
      <c r="LKT115" s="17"/>
      <c r="LKU115" s="17"/>
      <c r="LKV115" s="17"/>
      <c r="LKW115" s="17"/>
      <c r="LKX115" s="17"/>
      <c r="LKY115" s="17"/>
      <c r="LKZ115" s="17"/>
      <c r="LLA115" s="17"/>
      <c r="LLB115" s="17"/>
      <c r="LLC115" s="17"/>
      <c r="LLD115" s="17"/>
      <c r="LLE115" s="17"/>
      <c r="LLF115" s="17"/>
      <c r="LLG115" s="17"/>
      <c r="LLH115" s="17"/>
      <c r="LLI115" s="17"/>
      <c r="LLJ115" s="17"/>
      <c r="LLK115" s="17"/>
      <c r="LLL115" s="17"/>
      <c r="LLM115" s="17"/>
      <c r="LLN115" s="17"/>
      <c r="LLO115" s="17"/>
      <c r="LLP115" s="17"/>
      <c r="LLQ115" s="17"/>
      <c r="LLR115" s="17"/>
      <c r="LLS115" s="17"/>
      <c r="LLT115" s="17"/>
      <c r="LLU115" s="17"/>
      <c r="LLV115" s="17"/>
      <c r="LLW115" s="17"/>
      <c r="LLX115" s="17"/>
      <c r="LLY115" s="17"/>
      <c r="LLZ115" s="17"/>
      <c r="LMA115" s="17"/>
      <c r="LMB115" s="17"/>
      <c r="LMC115" s="17"/>
      <c r="LMD115" s="17"/>
      <c r="LME115" s="17"/>
      <c r="LMF115" s="17"/>
      <c r="LMG115" s="17"/>
      <c r="LMH115" s="17"/>
      <c r="LMI115" s="17"/>
      <c r="LMJ115" s="17"/>
      <c r="LMK115" s="17"/>
      <c r="LML115" s="17"/>
      <c r="LMM115" s="17"/>
      <c r="LMN115" s="17"/>
      <c r="LMO115" s="17"/>
      <c r="LMP115" s="17"/>
      <c r="LMQ115" s="17"/>
      <c r="LMR115" s="17"/>
      <c r="LMS115" s="17"/>
      <c r="LMT115" s="17"/>
      <c r="LMU115" s="17"/>
      <c r="LMV115" s="17"/>
      <c r="LMW115" s="17"/>
      <c r="LMX115" s="17"/>
      <c r="LMY115" s="17"/>
      <c r="LMZ115" s="17"/>
      <c r="LNA115" s="17"/>
      <c r="LNB115" s="17"/>
      <c r="LNC115" s="17"/>
      <c r="LND115" s="17"/>
      <c r="LNE115" s="17"/>
      <c r="LNF115" s="17"/>
      <c r="LNG115" s="17"/>
      <c r="LNH115" s="17"/>
      <c r="LNI115" s="17"/>
      <c r="LNJ115" s="17"/>
      <c r="LNK115" s="17"/>
      <c r="LNL115" s="17"/>
      <c r="LNM115" s="17"/>
      <c r="LNN115" s="17"/>
      <c r="LNO115" s="17"/>
      <c r="LNP115" s="17"/>
      <c r="LNQ115" s="17"/>
      <c r="LNR115" s="17"/>
      <c r="LNS115" s="17"/>
      <c r="LNT115" s="17"/>
      <c r="LNU115" s="17"/>
      <c r="LNV115" s="17"/>
      <c r="LNW115" s="17"/>
      <c r="LNX115" s="17"/>
      <c r="LNY115" s="17"/>
      <c r="LNZ115" s="17"/>
      <c r="LOA115" s="17"/>
      <c r="LOB115" s="17"/>
      <c r="LOC115" s="17"/>
      <c r="LOD115" s="17"/>
      <c r="LOE115" s="17"/>
      <c r="LOF115" s="17"/>
      <c r="LOG115" s="17"/>
      <c r="LOH115" s="17"/>
      <c r="LOI115" s="17"/>
      <c r="LOJ115" s="17"/>
      <c r="LOK115" s="17"/>
      <c r="LOL115" s="17"/>
      <c r="LOM115" s="17"/>
      <c r="LON115" s="17"/>
      <c r="LOO115" s="17"/>
      <c r="LOP115" s="17"/>
      <c r="LOQ115" s="17"/>
      <c r="LOR115" s="17"/>
      <c r="LOS115" s="17"/>
      <c r="LOT115" s="17"/>
      <c r="LOU115" s="17"/>
      <c r="LOV115" s="17"/>
      <c r="LOW115" s="17"/>
      <c r="LOX115" s="17"/>
      <c r="LOY115" s="17"/>
      <c r="LOZ115" s="17"/>
      <c r="LPA115" s="17"/>
      <c r="LPB115" s="17"/>
      <c r="LPC115" s="17"/>
      <c r="LPD115" s="17"/>
      <c r="LPE115" s="17"/>
      <c r="LPF115" s="17"/>
      <c r="LPG115" s="17"/>
      <c r="LPH115" s="17"/>
      <c r="LPI115" s="17"/>
      <c r="LPJ115" s="17"/>
      <c r="LPK115" s="17"/>
      <c r="LPL115" s="17"/>
      <c r="LPM115" s="17"/>
      <c r="LPN115" s="17"/>
      <c r="LPO115" s="17"/>
      <c r="LPP115" s="17"/>
      <c r="LPQ115" s="17"/>
      <c r="LPR115" s="17"/>
      <c r="LPS115" s="17"/>
      <c r="LPT115" s="17"/>
      <c r="LPU115" s="17"/>
      <c r="LPV115" s="17"/>
      <c r="LPW115" s="17"/>
      <c r="LPX115" s="17"/>
      <c r="LPY115" s="17"/>
      <c r="LPZ115" s="17"/>
      <c r="LQA115" s="17"/>
      <c r="LQB115" s="17"/>
      <c r="LQC115" s="17"/>
      <c r="LQD115" s="17"/>
      <c r="LQE115" s="17"/>
      <c r="LQF115" s="17"/>
      <c r="LQG115" s="17"/>
      <c r="LQH115" s="17"/>
      <c r="LQI115" s="17"/>
      <c r="LQJ115" s="17"/>
      <c r="LQK115" s="17"/>
      <c r="LQL115" s="17"/>
      <c r="LQM115" s="17"/>
      <c r="LQN115" s="17"/>
      <c r="LQO115" s="17"/>
      <c r="LQP115" s="17"/>
      <c r="LQQ115" s="17"/>
      <c r="LQR115" s="17"/>
      <c r="LQS115" s="17"/>
      <c r="LQT115" s="17"/>
      <c r="LQU115" s="17"/>
      <c r="LQV115" s="17"/>
      <c r="LQW115" s="17"/>
      <c r="LQX115" s="17"/>
      <c r="LQY115" s="17"/>
      <c r="LQZ115" s="17"/>
      <c r="LRA115" s="17"/>
      <c r="LRB115" s="17"/>
      <c r="LRC115" s="17"/>
      <c r="LRD115" s="17"/>
      <c r="LRE115" s="17"/>
      <c r="LRF115" s="17"/>
      <c r="LRG115" s="17"/>
      <c r="LRH115" s="17"/>
      <c r="LRI115" s="17"/>
      <c r="LRJ115" s="17"/>
      <c r="LRK115" s="17"/>
      <c r="LRL115" s="17"/>
      <c r="LRM115" s="17"/>
      <c r="LRN115" s="17"/>
      <c r="LRO115" s="17"/>
      <c r="LRP115" s="17"/>
      <c r="LRQ115" s="17"/>
      <c r="LRR115" s="17"/>
      <c r="LRS115" s="17"/>
      <c r="LRT115" s="17"/>
      <c r="LRU115" s="17"/>
      <c r="LRV115" s="17"/>
      <c r="LRW115" s="17"/>
      <c r="LRX115" s="17"/>
      <c r="LRY115" s="17"/>
      <c r="LRZ115" s="17"/>
      <c r="LSA115" s="17"/>
      <c r="LSB115" s="17"/>
      <c r="LSC115" s="17"/>
      <c r="LSD115" s="17"/>
      <c r="LSE115" s="17"/>
      <c r="LSF115" s="17"/>
      <c r="LSG115" s="17"/>
      <c r="LSH115" s="17"/>
      <c r="LSI115" s="17"/>
      <c r="LSJ115" s="17"/>
      <c r="LSK115" s="17"/>
      <c r="LSL115" s="17"/>
      <c r="LSM115" s="17"/>
      <c r="LSN115" s="17"/>
      <c r="LSO115" s="17"/>
      <c r="LSP115" s="17"/>
      <c r="LSQ115" s="17"/>
      <c r="LSR115" s="17"/>
      <c r="LSS115" s="17"/>
      <c r="LST115" s="17"/>
      <c r="LSU115" s="17"/>
      <c r="LSV115" s="17"/>
      <c r="LSW115" s="17"/>
      <c r="LSX115" s="17"/>
      <c r="LSY115" s="17"/>
      <c r="LSZ115" s="17"/>
      <c r="LTA115" s="17"/>
      <c r="LTB115" s="17"/>
      <c r="LTC115" s="17"/>
      <c r="LTD115" s="17"/>
      <c r="LTE115" s="17"/>
      <c r="LTF115" s="17"/>
      <c r="LTG115" s="17"/>
      <c r="LTH115" s="17"/>
      <c r="LTI115" s="17"/>
      <c r="LTJ115" s="17"/>
      <c r="LTK115" s="17"/>
      <c r="LTL115" s="17"/>
      <c r="LTM115" s="17"/>
      <c r="LTN115" s="17"/>
      <c r="LTO115" s="17"/>
      <c r="LTP115" s="17"/>
      <c r="LTQ115" s="17"/>
      <c r="LTR115" s="17"/>
      <c r="LTS115" s="17"/>
      <c r="LTT115" s="17"/>
      <c r="LTU115" s="17"/>
      <c r="LTV115" s="17"/>
      <c r="LTW115" s="17"/>
      <c r="LTX115" s="17"/>
      <c r="LTY115" s="17"/>
      <c r="LTZ115" s="17"/>
      <c r="LUA115" s="17"/>
      <c r="LUB115" s="17"/>
      <c r="LUC115" s="17"/>
      <c r="LUD115" s="17"/>
      <c r="LUE115" s="17"/>
      <c r="LUF115" s="17"/>
      <c r="LUG115" s="17"/>
      <c r="LUH115" s="17"/>
      <c r="LUI115" s="17"/>
      <c r="LUJ115" s="17"/>
      <c r="LUK115" s="17"/>
      <c r="LUL115" s="17"/>
      <c r="LUM115" s="17"/>
      <c r="LUN115" s="17"/>
      <c r="LUO115" s="17"/>
      <c r="LUP115" s="17"/>
      <c r="LUQ115" s="17"/>
      <c r="LUR115" s="17"/>
      <c r="LUS115" s="17"/>
      <c r="LUT115" s="17"/>
      <c r="LUU115" s="17"/>
      <c r="LUV115" s="17"/>
      <c r="LUW115" s="17"/>
      <c r="LUX115" s="17"/>
      <c r="LUY115" s="17"/>
      <c r="LUZ115" s="17"/>
      <c r="LVA115" s="17"/>
      <c r="LVB115" s="17"/>
      <c r="LVC115" s="17"/>
      <c r="LVD115" s="17"/>
      <c r="LVE115" s="17"/>
      <c r="LVF115" s="17"/>
      <c r="LVG115" s="17"/>
      <c r="LVH115" s="17"/>
      <c r="LVI115" s="17"/>
      <c r="LVJ115" s="17"/>
      <c r="LVK115" s="17"/>
      <c r="LVL115" s="17"/>
      <c r="LVM115" s="17"/>
      <c r="LVN115" s="17"/>
      <c r="LVO115" s="17"/>
      <c r="LVP115" s="17"/>
      <c r="LVQ115" s="17"/>
      <c r="LVR115" s="17"/>
      <c r="LVS115" s="17"/>
      <c r="LVT115" s="17"/>
      <c r="LVU115" s="17"/>
      <c r="LVV115" s="17"/>
      <c r="LVW115" s="17"/>
      <c r="LVX115" s="17"/>
      <c r="LVY115" s="17"/>
      <c r="LVZ115" s="17"/>
      <c r="LWA115" s="17"/>
      <c r="LWB115" s="17"/>
      <c r="LWC115" s="17"/>
      <c r="LWD115" s="17"/>
      <c r="LWE115" s="17"/>
      <c r="LWF115" s="17"/>
      <c r="LWG115" s="17"/>
      <c r="LWH115" s="17"/>
      <c r="LWI115" s="17"/>
      <c r="LWJ115" s="17"/>
      <c r="LWK115" s="17"/>
      <c r="LWL115" s="17"/>
      <c r="LWM115" s="17"/>
      <c r="LWN115" s="17"/>
      <c r="LWO115" s="17"/>
      <c r="LWP115" s="17"/>
      <c r="LWQ115" s="17"/>
      <c r="LWR115" s="17"/>
      <c r="LWS115" s="17"/>
      <c r="LWT115" s="17"/>
      <c r="LWU115" s="17"/>
      <c r="LWV115" s="17"/>
      <c r="LWW115" s="17"/>
      <c r="LWX115" s="17"/>
      <c r="LWY115" s="17"/>
      <c r="LWZ115" s="17"/>
      <c r="LXA115" s="17"/>
      <c r="LXB115" s="17"/>
      <c r="LXC115" s="17"/>
      <c r="LXD115" s="17"/>
      <c r="LXE115" s="17"/>
      <c r="LXF115" s="17"/>
      <c r="LXG115" s="17"/>
      <c r="LXH115" s="17"/>
      <c r="LXI115" s="17"/>
      <c r="LXJ115" s="17"/>
      <c r="LXK115" s="17"/>
      <c r="LXL115" s="17"/>
      <c r="LXM115" s="17"/>
      <c r="LXN115" s="17"/>
      <c r="LXO115" s="17"/>
      <c r="LXP115" s="17"/>
      <c r="LXQ115" s="17"/>
      <c r="LXR115" s="17"/>
      <c r="LXS115" s="17"/>
      <c r="LXT115" s="17"/>
      <c r="LXU115" s="17"/>
      <c r="LXV115" s="17"/>
      <c r="LXW115" s="17"/>
      <c r="LXX115" s="17"/>
      <c r="LXY115" s="17"/>
      <c r="LXZ115" s="17"/>
      <c r="LYA115" s="17"/>
      <c r="LYB115" s="17"/>
      <c r="LYC115" s="17"/>
      <c r="LYD115" s="17"/>
      <c r="LYE115" s="17"/>
      <c r="LYF115" s="17"/>
      <c r="LYG115" s="17"/>
      <c r="LYH115" s="17"/>
      <c r="LYI115" s="17"/>
      <c r="LYJ115" s="17"/>
      <c r="LYK115" s="17"/>
      <c r="LYL115" s="17"/>
      <c r="LYM115" s="17"/>
      <c r="LYN115" s="17"/>
      <c r="LYO115" s="17"/>
      <c r="LYP115" s="17"/>
      <c r="LYQ115" s="17"/>
      <c r="LYR115" s="17"/>
      <c r="LYS115" s="17"/>
      <c r="LYT115" s="17"/>
      <c r="LYU115" s="17"/>
      <c r="LYV115" s="17"/>
      <c r="LYW115" s="17"/>
      <c r="LYX115" s="17"/>
      <c r="LYY115" s="17"/>
      <c r="LYZ115" s="17"/>
      <c r="LZA115" s="17"/>
      <c r="LZB115" s="17"/>
      <c r="LZC115" s="17"/>
      <c r="LZD115" s="17"/>
      <c r="LZE115" s="17"/>
      <c r="LZF115" s="17"/>
      <c r="LZG115" s="17"/>
      <c r="LZH115" s="17"/>
      <c r="LZI115" s="17"/>
      <c r="LZJ115" s="17"/>
      <c r="LZK115" s="17"/>
      <c r="LZL115" s="17"/>
      <c r="LZM115" s="17"/>
      <c r="LZN115" s="17"/>
      <c r="LZO115" s="17"/>
      <c r="LZP115" s="17"/>
      <c r="LZQ115" s="17"/>
      <c r="LZR115" s="17"/>
      <c r="LZS115" s="17"/>
      <c r="LZT115" s="17"/>
      <c r="LZU115" s="17"/>
      <c r="LZV115" s="17"/>
      <c r="LZW115" s="17"/>
      <c r="LZX115" s="17"/>
      <c r="LZY115" s="17"/>
      <c r="LZZ115" s="17"/>
      <c r="MAA115" s="17"/>
      <c r="MAB115" s="17"/>
      <c r="MAC115" s="17"/>
      <c r="MAD115" s="17"/>
      <c r="MAE115" s="17"/>
      <c r="MAF115" s="17"/>
      <c r="MAG115" s="17"/>
      <c r="MAH115" s="17"/>
      <c r="MAI115" s="17"/>
      <c r="MAJ115" s="17"/>
      <c r="MAK115" s="17"/>
      <c r="MAL115" s="17"/>
      <c r="MAM115" s="17"/>
      <c r="MAN115" s="17"/>
      <c r="MAO115" s="17"/>
      <c r="MAP115" s="17"/>
      <c r="MAQ115" s="17"/>
      <c r="MAR115" s="17"/>
      <c r="MAS115" s="17"/>
      <c r="MAT115" s="17"/>
      <c r="MAU115" s="17"/>
      <c r="MAV115" s="17"/>
      <c r="MAW115" s="17"/>
      <c r="MAX115" s="17"/>
      <c r="MAY115" s="17"/>
      <c r="MAZ115" s="17"/>
      <c r="MBA115" s="17"/>
      <c r="MBB115" s="17"/>
      <c r="MBC115" s="17"/>
      <c r="MBD115" s="17"/>
      <c r="MBE115" s="17"/>
      <c r="MBF115" s="17"/>
      <c r="MBG115" s="17"/>
      <c r="MBH115" s="17"/>
      <c r="MBI115" s="17"/>
      <c r="MBJ115" s="17"/>
      <c r="MBK115" s="17"/>
      <c r="MBL115" s="17"/>
      <c r="MBM115" s="17"/>
      <c r="MBN115" s="17"/>
      <c r="MBO115" s="17"/>
      <c r="MBP115" s="17"/>
      <c r="MBQ115" s="17"/>
      <c r="MBR115" s="17"/>
      <c r="MBS115" s="17"/>
      <c r="MBT115" s="17"/>
      <c r="MBU115" s="17"/>
      <c r="MBV115" s="17"/>
      <c r="MBW115" s="17"/>
      <c r="MBX115" s="17"/>
      <c r="MBY115" s="17"/>
      <c r="MBZ115" s="17"/>
      <c r="MCA115" s="17"/>
      <c r="MCB115" s="17"/>
      <c r="MCC115" s="17"/>
      <c r="MCD115" s="17"/>
      <c r="MCE115" s="17"/>
      <c r="MCF115" s="17"/>
      <c r="MCG115" s="17"/>
      <c r="MCH115" s="17"/>
      <c r="MCI115" s="17"/>
      <c r="MCJ115" s="17"/>
      <c r="MCK115" s="17"/>
      <c r="MCL115" s="17"/>
      <c r="MCM115" s="17"/>
      <c r="MCN115" s="17"/>
      <c r="MCO115" s="17"/>
      <c r="MCP115" s="17"/>
      <c r="MCQ115" s="17"/>
      <c r="MCR115" s="17"/>
      <c r="MCS115" s="17"/>
      <c r="MCT115" s="17"/>
      <c r="MCU115" s="17"/>
      <c r="MCV115" s="17"/>
      <c r="MCW115" s="17"/>
      <c r="MCX115" s="17"/>
      <c r="MCY115" s="17"/>
      <c r="MCZ115" s="17"/>
      <c r="MDA115" s="17"/>
      <c r="MDB115" s="17"/>
      <c r="MDC115" s="17"/>
      <c r="MDD115" s="17"/>
      <c r="MDE115" s="17"/>
      <c r="MDF115" s="17"/>
      <c r="MDG115" s="17"/>
      <c r="MDH115" s="17"/>
      <c r="MDI115" s="17"/>
      <c r="MDJ115" s="17"/>
      <c r="MDK115" s="17"/>
      <c r="MDL115" s="17"/>
      <c r="MDM115" s="17"/>
      <c r="MDN115" s="17"/>
      <c r="MDO115" s="17"/>
      <c r="MDP115" s="17"/>
      <c r="MDQ115" s="17"/>
      <c r="MDR115" s="17"/>
      <c r="MDS115" s="17"/>
      <c r="MDT115" s="17"/>
      <c r="MDU115" s="17"/>
      <c r="MDV115" s="17"/>
      <c r="MDW115" s="17"/>
      <c r="MDX115" s="17"/>
      <c r="MDY115" s="17"/>
      <c r="MDZ115" s="17"/>
      <c r="MEA115" s="17"/>
      <c r="MEB115" s="17"/>
      <c r="MEC115" s="17"/>
      <c r="MED115" s="17"/>
      <c r="MEE115" s="17"/>
      <c r="MEF115" s="17"/>
      <c r="MEG115" s="17"/>
      <c r="MEH115" s="17"/>
      <c r="MEI115" s="17"/>
      <c r="MEJ115" s="17"/>
      <c r="MEK115" s="17"/>
      <c r="MEL115" s="17"/>
      <c r="MEM115" s="17"/>
      <c r="MEN115" s="17"/>
      <c r="MEO115" s="17"/>
      <c r="MEP115" s="17"/>
      <c r="MEQ115" s="17"/>
      <c r="MER115" s="17"/>
      <c r="MES115" s="17"/>
      <c r="MET115" s="17"/>
      <c r="MEU115" s="17"/>
      <c r="MEV115" s="17"/>
      <c r="MEW115" s="17"/>
      <c r="MEX115" s="17"/>
      <c r="MEY115" s="17"/>
      <c r="MEZ115" s="17"/>
      <c r="MFA115" s="17"/>
      <c r="MFB115" s="17"/>
      <c r="MFC115" s="17"/>
      <c r="MFD115" s="17"/>
      <c r="MFE115" s="17"/>
      <c r="MFF115" s="17"/>
      <c r="MFG115" s="17"/>
      <c r="MFH115" s="17"/>
      <c r="MFI115" s="17"/>
      <c r="MFJ115" s="17"/>
      <c r="MFK115" s="17"/>
      <c r="MFL115" s="17"/>
      <c r="MFM115" s="17"/>
      <c r="MFN115" s="17"/>
      <c r="MFO115" s="17"/>
      <c r="MFP115" s="17"/>
      <c r="MFQ115" s="17"/>
      <c r="MFR115" s="17"/>
      <c r="MFS115" s="17"/>
      <c r="MFT115" s="17"/>
      <c r="MFU115" s="17"/>
      <c r="MFV115" s="17"/>
      <c r="MFW115" s="17"/>
      <c r="MFX115" s="17"/>
      <c r="MFY115" s="17"/>
      <c r="MFZ115" s="17"/>
      <c r="MGA115" s="17"/>
      <c r="MGB115" s="17"/>
      <c r="MGC115" s="17"/>
      <c r="MGD115" s="17"/>
      <c r="MGE115" s="17"/>
      <c r="MGF115" s="17"/>
      <c r="MGG115" s="17"/>
      <c r="MGH115" s="17"/>
      <c r="MGI115" s="17"/>
      <c r="MGJ115" s="17"/>
      <c r="MGK115" s="17"/>
      <c r="MGL115" s="17"/>
      <c r="MGM115" s="17"/>
      <c r="MGN115" s="17"/>
      <c r="MGO115" s="17"/>
      <c r="MGP115" s="17"/>
      <c r="MGQ115" s="17"/>
      <c r="MGR115" s="17"/>
      <c r="MGS115" s="17"/>
      <c r="MGT115" s="17"/>
      <c r="MGU115" s="17"/>
      <c r="MGV115" s="17"/>
      <c r="MGW115" s="17"/>
      <c r="MGX115" s="17"/>
      <c r="MGY115" s="17"/>
      <c r="MGZ115" s="17"/>
      <c r="MHA115" s="17"/>
      <c r="MHB115" s="17"/>
      <c r="MHC115" s="17"/>
      <c r="MHD115" s="17"/>
      <c r="MHE115" s="17"/>
      <c r="MHF115" s="17"/>
      <c r="MHG115" s="17"/>
      <c r="MHH115" s="17"/>
      <c r="MHI115" s="17"/>
      <c r="MHJ115" s="17"/>
      <c r="MHK115" s="17"/>
      <c r="MHL115" s="17"/>
      <c r="MHM115" s="17"/>
      <c r="MHN115" s="17"/>
      <c r="MHO115" s="17"/>
      <c r="MHP115" s="17"/>
      <c r="MHQ115" s="17"/>
      <c r="MHR115" s="17"/>
      <c r="MHS115" s="17"/>
      <c r="MHT115" s="17"/>
      <c r="MHU115" s="17"/>
      <c r="MHV115" s="17"/>
      <c r="MHW115" s="17"/>
      <c r="MHX115" s="17"/>
      <c r="MHY115" s="17"/>
      <c r="MHZ115" s="17"/>
      <c r="MIA115" s="17"/>
      <c r="MIB115" s="17"/>
      <c r="MIC115" s="17"/>
      <c r="MID115" s="17"/>
      <c r="MIE115" s="17"/>
      <c r="MIF115" s="17"/>
      <c r="MIG115" s="17"/>
      <c r="MIH115" s="17"/>
      <c r="MII115" s="17"/>
      <c r="MIJ115" s="17"/>
      <c r="MIK115" s="17"/>
      <c r="MIL115" s="17"/>
      <c r="MIM115" s="17"/>
      <c r="MIN115" s="17"/>
      <c r="MIO115" s="17"/>
      <c r="MIP115" s="17"/>
      <c r="MIQ115" s="17"/>
      <c r="MIR115" s="17"/>
      <c r="MIS115" s="17"/>
      <c r="MIT115" s="17"/>
      <c r="MIU115" s="17"/>
      <c r="MIV115" s="17"/>
      <c r="MIW115" s="17"/>
      <c r="MIX115" s="17"/>
      <c r="MIY115" s="17"/>
      <c r="MIZ115" s="17"/>
      <c r="MJA115" s="17"/>
      <c r="MJB115" s="17"/>
      <c r="MJC115" s="17"/>
      <c r="MJD115" s="17"/>
      <c r="MJE115" s="17"/>
      <c r="MJF115" s="17"/>
      <c r="MJG115" s="17"/>
      <c r="MJH115" s="17"/>
      <c r="MJI115" s="17"/>
      <c r="MJJ115" s="17"/>
      <c r="MJK115" s="17"/>
      <c r="MJL115" s="17"/>
      <c r="MJM115" s="17"/>
      <c r="MJN115" s="17"/>
      <c r="MJO115" s="17"/>
      <c r="MJP115" s="17"/>
      <c r="MJQ115" s="17"/>
      <c r="MJR115" s="17"/>
      <c r="MJS115" s="17"/>
      <c r="MJT115" s="17"/>
      <c r="MJU115" s="17"/>
      <c r="MJV115" s="17"/>
      <c r="MJW115" s="17"/>
      <c r="MJX115" s="17"/>
      <c r="MJY115" s="17"/>
      <c r="MJZ115" s="17"/>
      <c r="MKA115" s="17"/>
      <c r="MKB115" s="17"/>
      <c r="MKC115" s="17"/>
      <c r="MKD115" s="17"/>
      <c r="MKE115" s="17"/>
      <c r="MKF115" s="17"/>
      <c r="MKG115" s="17"/>
      <c r="MKH115" s="17"/>
      <c r="MKI115" s="17"/>
      <c r="MKJ115" s="17"/>
      <c r="MKK115" s="17"/>
      <c r="MKL115" s="17"/>
      <c r="MKM115" s="17"/>
      <c r="MKN115" s="17"/>
      <c r="MKO115" s="17"/>
      <c r="MKP115" s="17"/>
      <c r="MKQ115" s="17"/>
      <c r="MKR115" s="17"/>
      <c r="MKS115" s="17"/>
      <c r="MKT115" s="17"/>
      <c r="MKU115" s="17"/>
      <c r="MKV115" s="17"/>
      <c r="MKW115" s="17"/>
      <c r="MKX115" s="17"/>
      <c r="MKY115" s="17"/>
      <c r="MKZ115" s="17"/>
      <c r="MLA115" s="17"/>
      <c r="MLB115" s="17"/>
      <c r="MLC115" s="17"/>
      <c r="MLD115" s="17"/>
      <c r="MLE115" s="17"/>
      <c r="MLF115" s="17"/>
      <c r="MLG115" s="17"/>
      <c r="MLH115" s="17"/>
      <c r="MLI115" s="17"/>
      <c r="MLJ115" s="17"/>
      <c r="MLK115" s="17"/>
      <c r="MLL115" s="17"/>
      <c r="MLM115" s="17"/>
      <c r="MLN115" s="17"/>
      <c r="MLO115" s="17"/>
      <c r="MLP115" s="17"/>
      <c r="MLQ115" s="17"/>
      <c r="MLR115" s="17"/>
      <c r="MLS115" s="17"/>
      <c r="MLT115" s="17"/>
      <c r="MLU115" s="17"/>
      <c r="MLV115" s="17"/>
      <c r="MLW115" s="17"/>
      <c r="MLX115" s="17"/>
      <c r="MLY115" s="17"/>
      <c r="MLZ115" s="17"/>
      <c r="MMA115" s="17"/>
      <c r="MMB115" s="17"/>
      <c r="MMC115" s="17"/>
      <c r="MMD115" s="17"/>
      <c r="MME115" s="17"/>
      <c r="MMF115" s="17"/>
      <c r="MMG115" s="17"/>
      <c r="MMH115" s="17"/>
      <c r="MMI115" s="17"/>
      <c r="MMJ115" s="17"/>
      <c r="MMK115" s="17"/>
      <c r="MML115" s="17"/>
      <c r="MMM115" s="17"/>
      <c r="MMN115" s="17"/>
      <c r="MMO115" s="17"/>
      <c r="MMP115" s="17"/>
      <c r="MMQ115" s="17"/>
      <c r="MMR115" s="17"/>
      <c r="MMS115" s="17"/>
      <c r="MMT115" s="17"/>
      <c r="MMU115" s="17"/>
      <c r="MMV115" s="17"/>
      <c r="MMW115" s="17"/>
      <c r="MMX115" s="17"/>
      <c r="MMY115" s="17"/>
      <c r="MMZ115" s="17"/>
      <c r="MNA115" s="17"/>
      <c r="MNB115" s="17"/>
      <c r="MNC115" s="17"/>
      <c r="MND115" s="17"/>
      <c r="MNE115" s="17"/>
      <c r="MNF115" s="17"/>
      <c r="MNG115" s="17"/>
      <c r="MNH115" s="17"/>
      <c r="MNI115" s="17"/>
      <c r="MNJ115" s="17"/>
      <c r="MNK115" s="17"/>
      <c r="MNL115" s="17"/>
      <c r="MNM115" s="17"/>
      <c r="MNN115" s="17"/>
      <c r="MNO115" s="17"/>
      <c r="MNP115" s="17"/>
      <c r="MNQ115" s="17"/>
      <c r="MNR115" s="17"/>
      <c r="MNS115" s="17"/>
      <c r="MNT115" s="17"/>
      <c r="MNU115" s="17"/>
      <c r="MNV115" s="17"/>
      <c r="MNW115" s="17"/>
      <c r="MNX115" s="17"/>
      <c r="MNY115" s="17"/>
      <c r="MNZ115" s="17"/>
      <c r="MOA115" s="17"/>
      <c r="MOB115" s="17"/>
      <c r="MOC115" s="17"/>
      <c r="MOD115" s="17"/>
      <c r="MOE115" s="17"/>
      <c r="MOF115" s="17"/>
      <c r="MOG115" s="17"/>
      <c r="MOH115" s="17"/>
      <c r="MOI115" s="17"/>
      <c r="MOJ115" s="17"/>
      <c r="MOK115" s="17"/>
      <c r="MOL115" s="17"/>
      <c r="MOM115" s="17"/>
      <c r="MON115" s="17"/>
      <c r="MOO115" s="17"/>
      <c r="MOP115" s="17"/>
      <c r="MOQ115" s="17"/>
      <c r="MOR115" s="17"/>
      <c r="MOS115" s="17"/>
      <c r="MOT115" s="17"/>
      <c r="MOU115" s="17"/>
      <c r="MOV115" s="17"/>
      <c r="MOW115" s="17"/>
      <c r="MOX115" s="17"/>
      <c r="MOY115" s="17"/>
      <c r="MOZ115" s="17"/>
      <c r="MPA115" s="17"/>
      <c r="MPB115" s="17"/>
      <c r="MPC115" s="17"/>
      <c r="MPD115" s="17"/>
      <c r="MPE115" s="17"/>
      <c r="MPF115" s="17"/>
      <c r="MPG115" s="17"/>
      <c r="MPH115" s="17"/>
      <c r="MPI115" s="17"/>
      <c r="MPJ115" s="17"/>
      <c r="MPK115" s="17"/>
      <c r="MPL115" s="17"/>
      <c r="MPM115" s="17"/>
      <c r="MPN115" s="17"/>
      <c r="MPO115" s="17"/>
      <c r="MPP115" s="17"/>
      <c r="MPQ115" s="17"/>
      <c r="MPR115" s="17"/>
      <c r="MPS115" s="17"/>
      <c r="MPT115" s="17"/>
      <c r="MPU115" s="17"/>
      <c r="MPV115" s="17"/>
      <c r="MPW115" s="17"/>
      <c r="MPX115" s="17"/>
      <c r="MPY115" s="17"/>
      <c r="MPZ115" s="17"/>
      <c r="MQA115" s="17"/>
      <c r="MQB115" s="17"/>
      <c r="MQC115" s="17"/>
      <c r="MQD115" s="17"/>
      <c r="MQE115" s="17"/>
      <c r="MQF115" s="17"/>
      <c r="MQG115" s="17"/>
      <c r="MQH115" s="17"/>
      <c r="MQI115" s="17"/>
      <c r="MQJ115" s="17"/>
      <c r="MQK115" s="17"/>
      <c r="MQL115" s="17"/>
      <c r="MQM115" s="17"/>
      <c r="MQN115" s="17"/>
      <c r="MQO115" s="17"/>
      <c r="MQP115" s="17"/>
      <c r="MQQ115" s="17"/>
      <c r="MQR115" s="17"/>
      <c r="MQS115" s="17"/>
      <c r="MQT115" s="17"/>
      <c r="MQU115" s="17"/>
      <c r="MQV115" s="17"/>
      <c r="MQW115" s="17"/>
      <c r="MQX115" s="17"/>
      <c r="MQY115" s="17"/>
      <c r="MQZ115" s="17"/>
      <c r="MRA115" s="17"/>
      <c r="MRB115" s="17"/>
      <c r="MRC115" s="17"/>
      <c r="MRD115" s="17"/>
      <c r="MRE115" s="17"/>
      <c r="MRF115" s="17"/>
      <c r="MRG115" s="17"/>
      <c r="MRH115" s="17"/>
      <c r="MRI115" s="17"/>
      <c r="MRJ115" s="17"/>
      <c r="MRK115" s="17"/>
      <c r="MRL115" s="17"/>
      <c r="MRM115" s="17"/>
      <c r="MRN115" s="17"/>
      <c r="MRO115" s="17"/>
      <c r="MRP115" s="17"/>
      <c r="MRQ115" s="17"/>
      <c r="MRR115" s="17"/>
      <c r="MRS115" s="17"/>
      <c r="MRT115" s="17"/>
      <c r="MRU115" s="17"/>
      <c r="MRV115" s="17"/>
      <c r="MRW115" s="17"/>
      <c r="MRX115" s="17"/>
      <c r="MRY115" s="17"/>
      <c r="MRZ115" s="17"/>
      <c r="MSA115" s="17"/>
      <c r="MSB115" s="17"/>
      <c r="MSC115" s="17"/>
      <c r="MSD115" s="17"/>
      <c r="MSE115" s="17"/>
      <c r="MSF115" s="17"/>
      <c r="MSG115" s="17"/>
      <c r="MSH115" s="17"/>
      <c r="MSI115" s="17"/>
      <c r="MSJ115" s="17"/>
      <c r="MSK115" s="17"/>
      <c r="MSL115" s="17"/>
      <c r="MSM115" s="17"/>
      <c r="MSN115" s="17"/>
      <c r="MSO115" s="17"/>
      <c r="MSP115" s="17"/>
      <c r="MSQ115" s="17"/>
      <c r="MSR115" s="17"/>
      <c r="MSS115" s="17"/>
      <c r="MST115" s="17"/>
      <c r="MSU115" s="17"/>
      <c r="MSV115" s="17"/>
      <c r="MSW115" s="17"/>
      <c r="MSX115" s="17"/>
      <c r="MSY115" s="17"/>
      <c r="MSZ115" s="17"/>
      <c r="MTA115" s="17"/>
      <c r="MTB115" s="17"/>
      <c r="MTC115" s="17"/>
      <c r="MTD115" s="17"/>
      <c r="MTE115" s="17"/>
      <c r="MTF115" s="17"/>
      <c r="MTG115" s="17"/>
      <c r="MTH115" s="17"/>
      <c r="MTI115" s="17"/>
      <c r="MTJ115" s="17"/>
      <c r="MTK115" s="17"/>
      <c r="MTL115" s="17"/>
      <c r="MTM115" s="17"/>
      <c r="MTN115" s="17"/>
      <c r="MTO115" s="17"/>
      <c r="MTP115" s="17"/>
      <c r="MTQ115" s="17"/>
      <c r="MTR115" s="17"/>
      <c r="MTS115" s="17"/>
      <c r="MTT115" s="17"/>
      <c r="MTU115" s="17"/>
      <c r="MTV115" s="17"/>
      <c r="MTW115" s="17"/>
      <c r="MTX115" s="17"/>
      <c r="MTY115" s="17"/>
      <c r="MTZ115" s="17"/>
      <c r="MUA115" s="17"/>
      <c r="MUB115" s="17"/>
      <c r="MUC115" s="17"/>
      <c r="MUD115" s="17"/>
      <c r="MUE115" s="17"/>
      <c r="MUF115" s="17"/>
      <c r="MUG115" s="17"/>
      <c r="MUH115" s="17"/>
      <c r="MUI115" s="17"/>
      <c r="MUJ115" s="17"/>
      <c r="MUK115" s="17"/>
      <c r="MUL115" s="17"/>
      <c r="MUM115" s="17"/>
      <c r="MUN115" s="17"/>
      <c r="MUO115" s="17"/>
      <c r="MUP115" s="17"/>
      <c r="MUQ115" s="17"/>
      <c r="MUR115" s="17"/>
      <c r="MUS115" s="17"/>
      <c r="MUT115" s="17"/>
      <c r="MUU115" s="17"/>
      <c r="MUV115" s="17"/>
      <c r="MUW115" s="17"/>
      <c r="MUX115" s="17"/>
      <c r="MUY115" s="17"/>
      <c r="MUZ115" s="17"/>
      <c r="MVA115" s="17"/>
      <c r="MVB115" s="17"/>
      <c r="MVC115" s="17"/>
      <c r="MVD115" s="17"/>
      <c r="MVE115" s="17"/>
      <c r="MVF115" s="17"/>
      <c r="MVG115" s="17"/>
      <c r="MVH115" s="17"/>
      <c r="MVI115" s="17"/>
      <c r="MVJ115" s="17"/>
      <c r="MVK115" s="17"/>
      <c r="MVL115" s="17"/>
      <c r="MVM115" s="17"/>
      <c r="MVN115" s="17"/>
      <c r="MVO115" s="17"/>
      <c r="MVP115" s="17"/>
      <c r="MVQ115" s="17"/>
      <c r="MVR115" s="17"/>
      <c r="MVS115" s="17"/>
      <c r="MVT115" s="17"/>
      <c r="MVU115" s="17"/>
      <c r="MVV115" s="17"/>
      <c r="MVW115" s="17"/>
      <c r="MVX115" s="17"/>
      <c r="MVY115" s="17"/>
      <c r="MVZ115" s="17"/>
      <c r="MWA115" s="17"/>
      <c r="MWB115" s="17"/>
      <c r="MWC115" s="17"/>
      <c r="MWD115" s="17"/>
      <c r="MWE115" s="17"/>
      <c r="MWF115" s="17"/>
      <c r="MWG115" s="17"/>
      <c r="MWH115" s="17"/>
      <c r="MWI115" s="17"/>
      <c r="MWJ115" s="17"/>
      <c r="MWK115" s="17"/>
      <c r="MWL115" s="17"/>
      <c r="MWM115" s="17"/>
      <c r="MWN115" s="17"/>
      <c r="MWO115" s="17"/>
      <c r="MWP115" s="17"/>
      <c r="MWQ115" s="17"/>
      <c r="MWR115" s="17"/>
      <c r="MWS115" s="17"/>
      <c r="MWT115" s="17"/>
      <c r="MWU115" s="17"/>
      <c r="MWV115" s="17"/>
      <c r="MWW115" s="17"/>
      <c r="MWX115" s="17"/>
      <c r="MWY115" s="17"/>
      <c r="MWZ115" s="17"/>
      <c r="MXA115" s="17"/>
      <c r="MXB115" s="17"/>
      <c r="MXC115" s="17"/>
      <c r="MXD115" s="17"/>
      <c r="MXE115" s="17"/>
      <c r="MXF115" s="17"/>
      <c r="MXG115" s="17"/>
      <c r="MXH115" s="17"/>
      <c r="MXI115" s="17"/>
      <c r="MXJ115" s="17"/>
      <c r="MXK115" s="17"/>
      <c r="MXL115" s="17"/>
      <c r="MXM115" s="17"/>
      <c r="MXN115" s="17"/>
      <c r="MXO115" s="17"/>
      <c r="MXP115" s="17"/>
      <c r="MXQ115" s="17"/>
      <c r="MXR115" s="17"/>
      <c r="MXS115" s="17"/>
      <c r="MXT115" s="17"/>
      <c r="MXU115" s="17"/>
      <c r="MXV115" s="17"/>
      <c r="MXW115" s="17"/>
      <c r="MXX115" s="17"/>
      <c r="MXY115" s="17"/>
      <c r="MXZ115" s="17"/>
      <c r="MYA115" s="17"/>
      <c r="MYB115" s="17"/>
      <c r="MYC115" s="17"/>
      <c r="MYD115" s="17"/>
      <c r="MYE115" s="17"/>
      <c r="MYF115" s="17"/>
      <c r="MYG115" s="17"/>
      <c r="MYH115" s="17"/>
      <c r="MYI115" s="17"/>
      <c r="MYJ115" s="17"/>
      <c r="MYK115" s="17"/>
      <c r="MYL115" s="17"/>
      <c r="MYM115" s="17"/>
      <c r="MYN115" s="17"/>
      <c r="MYO115" s="17"/>
      <c r="MYP115" s="17"/>
      <c r="MYQ115" s="17"/>
      <c r="MYR115" s="17"/>
      <c r="MYS115" s="17"/>
      <c r="MYT115" s="17"/>
      <c r="MYU115" s="17"/>
      <c r="MYV115" s="17"/>
      <c r="MYW115" s="17"/>
      <c r="MYX115" s="17"/>
      <c r="MYY115" s="17"/>
      <c r="MYZ115" s="17"/>
      <c r="MZA115" s="17"/>
      <c r="MZB115" s="17"/>
      <c r="MZC115" s="17"/>
      <c r="MZD115" s="17"/>
      <c r="MZE115" s="17"/>
      <c r="MZF115" s="17"/>
      <c r="MZG115" s="17"/>
      <c r="MZH115" s="17"/>
      <c r="MZI115" s="17"/>
      <c r="MZJ115" s="17"/>
      <c r="MZK115" s="17"/>
      <c r="MZL115" s="17"/>
      <c r="MZM115" s="17"/>
      <c r="MZN115" s="17"/>
      <c r="MZO115" s="17"/>
      <c r="MZP115" s="17"/>
      <c r="MZQ115" s="17"/>
      <c r="MZR115" s="17"/>
      <c r="MZS115" s="17"/>
      <c r="MZT115" s="17"/>
      <c r="MZU115" s="17"/>
      <c r="MZV115" s="17"/>
      <c r="MZW115" s="17"/>
      <c r="MZX115" s="17"/>
      <c r="MZY115" s="17"/>
      <c r="MZZ115" s="17"/>
      <c r="NAA115" s="17"/>
      <c r="NAB115" s="17"/>
      <c r="NAC115" s="17"/>
      <c r="NAD115" s="17"/>
      <c r="NAE115" s="17"/>
      <c r="NAF115" s="17"/>
      <c r="NAG115" s="17"/>
      <c r="NAH115" s="17"/>
      <c r="NAI115" s="17"/>
      <c r="NAJ115" s="17"/>
      <c r="NAK115" s="17"/>
      <c r="NAL115" s="17"/>
      <c r="NAM115" s="17"/>
      <c r="NAN115" s="17"/>
      <c r="NAO115" s="17"/>
      <c r="NAP115" s="17"/>
      <c r="NAQ115" s="17"/>
      <c r="NAR115" s="17"/>
      <c r="NAS115" s="17"/>
      <c r="NAT115" s="17"/>
      <c r="NAU115" s="17"/>
      <c r="NAV115" s="17"/>
      <c r="NAW115" s="17"/>
      <c r="NAX115" s="17"/>
      <c r="NAY115" s="17"/>
      <c r="NAZ115" s="17"/>
      <c r="NBA115" s="17"/>
      <c r="NBB115" s="17"/>
      <c r="NBC115" s="17"/>
      <c r="NBD115" s="17"/>
      <c r="NBE115" s="17"/>
      <c r="NBF115" s="17"/>
      <c r="NBG115" s="17"/>
      <c r="NBH115" s="17"/>
      <c r="NBI115" s="17"/>
      <c r="NBJ115" s="17"/>
      <c r="NBK115" s="17"/>
      <c r="NBL115" s="17"/>
      <c r="NBM115" s="17"/>
      <c r="NBN115" s="17"/>
      <c r="NBO115" s="17"/>
      <c r="NBP115" s="17"/>
      <c r="NBQ115" s="17"/>
      <c r="NBR115" s="17"/>
      <c r="NBS115" s="17"/>
      <c r="NBT115" s="17"/>
      <c r="NBU115" s="17"/>
      <c r="NBV115" s="17"/>
      <c r="NBW115" s="17"/>
      <c r="NBX115" s="17"/>
      <c r="NBY115" s="17"/>
      <c r="NBZ115" s="17"/>
      <c r="NCA115" s="17"/>
      <c r="NCB115" s="17"/>
      <c r="NCC115" s="17"/>
      <c r="NCD115" s="17"/>
      <c r="NCE115" s="17"/>
      <c r="NCF115" s="17"/>
      <c r="NCG115" s="17"/>
      <c r="NCH115" s="17"/>
      <c r="NCI115" s="17"/>
      <c r="NCJ115" s="17"/>
      <c r="NCK115" s="17"/>
      <c r="NCL115" s="17"/>
      <c r="NCM115" s="17"/>
      <c r="NCN115" s="17"/>
      <c r="NCO115" s="17"/>
      <c r="NCP115" s="17"/>
      <c r="NCQ115" s="17"/>
      <c r="NCR115" s="17"/>
      <c r="NCS115" s="17"/>
      <c r="NCT115" s="17"/>
      <c r="NCU115" s="17"/>
      <c r="NCV115" s="17"/>
      <c r="NCW115" s="17"/>
      <c r="NCX115" s="17"/>
      <c r="NCY115" s="17"/>
      <c r="NCZ115" s="17"/>
      <c r="NDA115" s="17"/>
      <c r="NDB115" s="17"/>
      <c r="NDC115" s="17"/>
      <c r="NDD115" s="17"/>
      <c r="NDE115" s="17"/>
      <c r="NDF115" s="17"/>
      <c r="NDG115" s="17"/>
      <c r="NDH115" s="17"/>
      <c r="NDI115" s="17"/>
      <c r="NDJ115" s="17"/>
      <c r="NDK115" s="17"/>
      <c r="NDL115" s="17"/>
      <c r="NDM115" s="17"/>
      <c r="NDN115" s="17"/>
      <c r="NDO115" s="17"/>
      <c r="NDP115" s="17"/>
      <c r="NDQ115" s="17"/>
      <c r="NDR115" s="17"/>
      <c r="NDS115" s="17"/>
      <c r="NDT115" s="17"/>
      <c r="NDU115" s="17"/>
      <c r="NDV115" s="17"/>
      <c r="NDW115" s="17"/>
      <c r="NDX115" s="17"/>
      <c r="NDY115" s="17"/>
      <c r="NDZ115" s="17"/>
      <c r="NEA115" s="17"/>
      <c r="NEB115" s="17"/>
      <c r="NEC115" s="17"/>
      <c r="NED115" s="17"/>
      <c r="NEE115" s="17"/>
      <c r="NEF115" s="17"/>
      <c r="NEG115" s="17"/>
      <c r="NEH115" s="17"/>
      <c r="NEI115" s="17"/>
      <c r="NEJ115" s="17"/>
      <c r="NEK115" s="17"/>
      <c r="NEL115" s="17"/>
      <c r="NEM115" s="17"/>
      <c r="NEN115" s="17"/>
      <c r="NEO115" s="17"/>
      <c r="NEP115" s="17"/>
      <c r="NEQ115" s="17"/>
      <c r="NER115" s="17"/>
      <c r="NES115" s="17"/>
      <c r="NET115" s="17"/>
      <c r="NEU115" s="17"/>
      <c r="NEV115" s="17"/>
      <c r="NEW115" s="17"/>
      <c r="NEX115" s="17"/>
      <c r="NEY115" s="17"/>
      <c r="NEZ115" s="17"/>
      <c r="NFA115" s="17"/>
      <c r="NFB115" s="17"/>
      <c r="NFC115" s="17"/>
      <c r="NFD115" s="17"/>
      <c r="NFE115" s="17"/>
      <c r="NFF115" s="17"/>
      <c r="NFG115" s="17"/>
      <c r="NFH115" s="17"/>
      <c r="NFI115" s="17"/>
      <c r="NFJ115" s="17"/>
      <c r="NFK115" s="17"/>
      <c r="NFL115" s="17"/>
      <c r="NFM115" s="17"/>
      <c r="NFN115" s="17"/>
      <c r="NFO115" s="17"/>
      <c r="NFP115" s="17"/>
      <c r="NFQ115" s="17"/>
      <c r="NFR115" s="17"/>
      <c r="NFS115" s="17"/>
      <c r="NFT115" s="17"/>
      <c r="NFU115" s="17"/>
      <c r="NFV115" s="17"/>
      <c r="NFW115" s="17"/>
      <c r="NFX115" s="17"/>
      <c r="NFY115" s="17"/>
      <c r="NFZ115" s="17"/>
      <c r="NGA115" s="17"/>
      <c r="NGB115" s="17"/>
      <c r="NGC115" s="17"/>
      <c r="NGD115" s="17"/>
      <c r="NGE115" s="17"/>
      <c r="NGF115" s="17"/>
      <c r="NGG115" s="17"/>
      <c r="NGH115" s="17"/>
      <c r="NGI115" s="17"/>
      <c r="NGJ115" s="17"/>
      <c r="NGK115" s="17"/>
      <c r="NGL115" s="17"/>
      <c r="NGM115" s="17"/>
      <c r="NGN115" s="17"/>
      <c r="NGO115" s="17"/>
      <c r="NGP115" s="17"/>
      <c r="NGQ115" s="17"/>
      <c r="NGR115" s="17"/>
      <c r="NGS115" s="17"/>
      <c r="NGT115" s="17"/>
      <c r="NGU115" s="17"/>
      <c r="NGV115" s="17"/>
      <c r="NGW115" s="17"/>
      <c r="NGX115" s="17"/>
      <c r="NGY115" s="17"/>
      <c r="NGZ115" s="17"/>
      <c r="NHA115" s="17"/>
      <c r="NHB115" s="17"/>
      <c r="NHC115" s="17"/>
      <c r="NHD115" s="17"/>
      <c r="NHE115" s="17"/>
      <c r="NHF115" s="17"/>
      <c r="NHG115" s="17"/>
      <c r="NHH115" s="17"/>
      <c r="NHI115" s="17"/>
      <c r="NHJ115" s="17"/>
      <c r="NHK115" s="17"/>
      <c r="NHL115" s="17"/>
      <c r="NHM115" s="17"/>
      <c r="NHN115" s="17"/>
      <c r="NHO115" s="17"/>
      <c r="NHP115" s="17"/>
      <c r="NHQ115" s="17"/>
      <c r="NHR115" s="17"/>
      <c r="NHS115" s="17"/>
      <c r="NHT115" s="17"/>
      <c r="NHU115" s="17"/>
      <c r="NHV115" s="17"/>
      <c r="NHW115" s="17"/>
      <c r="NHX115" s="17"/>
      <c r="NHY115" s="17"/>
      <c r="NHZ115" s="17"/>
      <c r="NIA115" s="17"/>
      <c r="NIB115" s="17"/>
      <c r="NIC115" s="17"/>
      <c r="NID115" s="17"/>
      <c r="NIE115" s="17"/>
      <c r="NIF115" s="17"/>
      <c r="NIG115" s="17"/>
      <c r="NIH115" s="17"/>
      <c r="NII115" s="17"/>
      <c r="NIJ115" s="17"/>
      <c r="NIK115" s="17"/>
      <c r="NIL115" s="17"/>
      <c r="NIM115" s="17"/>
      <c r="NIN115" s="17"/>
      <c r="NIO115" s="17"/>
      <c r="NIP115" s="17"/>
      <c r="NIQ115" s="17"/>
      <c r="NIR115" s="17"/>
      <c r="NIS115" s="17"/>
      <c r="NIT115" s="17"/>
      <c r="NIU115" s="17"/>
      <c r="NIV115" s="17"/>
      <c r="NIW115" s="17"/>
      <c r="NIX115" s="17"/>
      <c r="NIY115" s="17"/>
      <c r="NIZ115" s="17"/>
      <c r="NJA115" s="17"/>
      <c r="NJB115" s="17"/>
      <c r="NJC115" s="17"/>
      <c r="NJD115" s="17"/>
      <c r="NJE115" s="17"/>
      <c r="NJF115" s="17"/>
      <c r="NJG115" s="17"/>
      <c r="NJH115" s="17"/>
      <c r="NJI115" s="17"/>
      <c r="NJJ115" s="17"/>
      <c r="NJK115" s="17"/>
      <c r="NJL115" s="17"/>
      <c r="NJM115" s="17"/>
      <c r="NJN115" s="17"/>
      <c r="NJO115" s="17"/>
      <c r="NJP115" s="17"/>
      <c r="NJQ115" s="17"/>
      <c r="NJR115" s="17"/>
      <c r="NJS115" s="17"/>
      <c r="NJT115" s="17"/>
      <c r="NJU115" s="17"/>
      <c r="NJV115" s="17"/>
      <c r="NJW115" s="17"/>
      <c r="NJX115" s="17"/>
      <c r="NJY115" s="17"/>
      <c r="NJZ115" s="17"/>
      <c r="NKA115" s="17"/>
      <c r="NKB115" s="17"/>
      <c r="NKC115" s="17"/>
      <c r="NKD115" s="17"/>
      <c r="NKE115" s="17"/>
      <c r="NKF115" s="17"/>
      <c r="NKG115" s="17"/>
      <c r="NKH115" s="17"/>
      <c r="NKI115" s="17"/>
      <c r="NKJ115" s="17"/>
      <c r="NKK115" s="17"/>
      <c r="NKL115" s="17"/>
      <c r="NKM115" s="17"/>
      <c r="NKN115" s="17"/>
      <c r="NKO115" s="17"/>
      <c r="NKP115" s="17"/>
      <c r="NKQ115" s="17"/>
      <c r="NKR115" s="17"/>
      <c r="NKS115" s="17"/>
      <c r="NKT115" s="17"/>
      <c r="NKU115" s="17"/>
      <c r="NKV115" s="17"/>
      <c r="NKW115" s="17"/>
      <c r="NKX115" s="17"/>
      <c r="NKY115" s="17"/>
      <c r="NKZ115" s="17"/>
      <c r="NLA115" s="17"/>
      <c r="NLB115" s="17"/>
      <c r="NLC115" s="17"/>
      <c r="NLD115" s="17"/>
      <c r="NLE115" s="17"/>
      <c r="NLF115" s="17"/>
      <c r="NLG115" s="17"/>
      <c r="NLH115" s="17"/>
      <c r="NLI115" s="17"/>
      <c r="NLJ115" s="17"/>
      <c r="NLK115" s="17"/>
      <c r="NLL115" s="17"/>
      <c r="NLM115" s="17"/>
      <c r="NLN115" s="17"/>
      <c r="NLO115" s="17"/>
      <c r="NLP115" s="17"/>
      <c r="NLQ115" s="17"/>
      <c r="NLR115" s="17"/>
      <c r="NLS115" s="17"/>
      <c r="NLT115" s="17"/>
      <c r="NLU115" s="17"/>
      <c r="NLV115" s="17"/>
      <c r="NLW115" s="17"/>
      <c r="NLX115" s="17"/>
      <c r="NLY115" s="17"/>
      <c r="NLZ115" s="17"/>
      <c r="NMA115" s="17"/>
      <c r="NMB115" s="17"/>
      <c r="NMC115" s="17"/>
      <c r="NMD115" s="17"/>
      <c r="NME115" s="17"/>
      <c r="NMF115" s="17"/>
      <c r="NMG115" s="17"/>
      <c r="NMH115" s="17"/>
      <c r="NMI115" s="17"/>
      <c r="NMJ115" s="17"/>
      <c r="NMK115" s="17"/>
      <c r="NML115" s="17"/>
      <c r="NMM115" s="17"/>
      <c r="NMN115" s="17"/>
      <c r="NMO115" s="17"/>
      <c r="NMP115" s="17"/>
      <c r="NMQ115" s="17"/>
      <c r="NMR115" s="17"/>
      <c r="NMS115" s="17"/>
      <c r="NMT115" s="17"/>
      <c r="NMU115" s="17"/>
      <c r="NMV115" s="17"/>
      <c r="NMW115" s="17"/>
      <c r="NMX115" s="17"/>
      <c r="NMY115" s="17"/>
      <c r="NMZ115" s="17"/>
      <c r="NNA115" s="17"/>
      <c r="NNB115" s="17"/>
      <c r="NNC115" s="17"/>
      <c r="NND115" s="17"/>
      <c r="NNE115" s="17"/>
      <c r="NNF115" s="17"/>
      <c r="NNG115" s="17"/>
      <c r="NNH115" s="17"/>
      <c r="NNI115" s="17"/>
      <c r="NNJ115" s="17"/>
      <c r="NNK115" s="17"/>
      <c r="NNL115" s="17"/>
      <c r="NNM115" s="17"/>
      <c r="NNN115" s="17"/>
      <c r="NNO115" s="17"/>
      <c r="NNP115" s="17"/>
      <c r="NNQ115" s="17"/>
      <c r="NNR115" s="17"/>
      <c r="NNS115" s="17"/>
      <c r="NNT115" s="17"/>
      <c r="NNU115" s="17"/>
      <c r="NNV115" s="17"/>
      <c r="NNW115" s="17"/>
      <c r="NNX115" s="17"/>
      <c r="NNY115" s="17"/>
      <c r="NNZ115" s="17"/>
      <c r="NOA115" s="17"/>
      <c r="NOB115" s="17"/>
      <c r="NOC115" s="17"/>
      <c r="NOD115" s="17"/>
      <c r="NOE115" s="17"/>
      <c r="NOF115" s="17"/>
      <c r="NOG115" s="17"/>
      <c r="NOH115" s="17"/>
      <c r="NOI115" s="17"/>
      <c r="NOJ115" s="17"/>
      <c r="NOK115" s="17"/>
      <c r="NOL115" s="17"/>
      <c r="NOM115" s="17"/>
      <c r="NON115" s="17"/>
      <c r="NOO115" s="17"/>
      <c r="NOP115" s="17"/>
      <c r="NOQ115" s="17"/>
      <c r="NOR115" s="17"/>
      <c r="NOS115" s="17"/>
      <c r="NOT115" s="17"/>
      <c r="NOU115" s="17"/>
      <c r="NOV115" s="17"/>
      <c r="NOW115" s="17"/>
      <c r="NOX115" s="17"/>
      <c r="NOY115" s="17"/>
      <c r="NOZ115" s="17"/>
      <c r="NPA115" s="17"/>
      <c r="NPB115" s="17"/>
      <c r="NPC115" s="17"/>
      <c r="NPD115" s="17"/>
      <c r="NPE115" s="17"/>
      <c r="NPF115" s="17"/>
      <c r="NPG115" s="17"/>
      <c r="NPH115" s="17"/>
      <c r="NPI115" s="17"/>
      <c r="NPJ115" s="17"/>
      <c r="NPK115" s="17"/>
      <c r="NPL115" s="17"/>
      <c r="NPM115" s="17"/>
      <c r="NPN115" s="17"/>
      <c r="NPO115" s="17"/>
      <c r="NPP115" s="17"/>
      <c r="NPQ115" s="17"/>
      <c r="NPR115" s="17"/>
      <c r="NPS115" s="17"/>
      <c r="NPT115" s="17"/>
      <c r="NPU115" s="17"/>
      <c r="NPV115" s="17"/>
      <c r="NPW115" s="17"/>
      <c r="NPX115" s="17"/>
      <c r="NPY115" s="17"/>
      <c r="NPZ115" s="17"/>
      <c r="NQA115" s="17"/>
      <c r="NQB115" s="17"/>
      <c r="NQC115" s="17"/>
      <c r="NQD115" s="17"/>
      <c r="NQE115" s="17"/>
      <c r="NQF115" s="17"/>
      <c r="NQG115" s="17"/>
      <c r="NQH115" s="17"/>
      <c r="NQI115" s="17"/>
      <c r="NQJ115" s="17"/>
      <c r="NQK115" s="17"/>
      <c r="NQL115" s="17"/>
      <c r="NQM115" s="17"/>
      <c r="NQN115" s="17"/>
      <c r="NQO115" s="17"/>
      <c r="NQP115" s="17"/>
      <c r="NQQ115" s="17"/>
      <c r="NQR115" s="17"/>
      <c r="NQS115" s="17"/>
      <c r="NQT115" s="17"/>
      <c r="NQU115" s="17"/>
      <c r="NQV115" s="17"/>
      <c r="NQW115" s="17"/>
      <c r="NQX115" s="17"/>
      <c r="NQY115" s="17"/>
      <c r="NQZ115" s="17"/>
      <c r="NRA115" s="17"/>
      <c r="NRB115" s="17"/>
      <c r="NRC115" s="17"/>
      <c r="NRD115" s="17"/>
      <c r="NRE115" s="17"/>
      <c r="NRF115" s="17"/>
      <c r="NRG115" s="17"/>
      <c r="NRH115" s="17"/>
      <c r="NRI115" s="17"/>
      <c r="NRJ115" s="17"/>
      <c r="NRK115" s="17"/>
      <c r="NRL115" s="17"/>
      <c r="NRM115" s="17"/>
      <c r="NRN115" s="17"/>
      <c r="NRO115" s="17"/>
      <c r="NRP115" s="17"/>
      <c r="NRQ115" s="17"/>
      <c r="NRR115" s="17"/>
      <c r="NRS115" s="17"/>
      <c r="NRT115" s="17"/>
      <c r="NRU115" s="17"/>
      <c r="NRV115" s="17"/>
      <c r="NRW115" s="17"/>
      <c r="NRX115" s="17"/>
      <c r="NRY115" s="17"/>
      <c r="NRZ115" s="17"/>
      <c r="NSA115" s="17"/>
      <c r="NSB115" s="17"/>
      <c r="NSC115" s="17"/>
      <c r="NSD115" s="17"/>
      <c r="NSE115" s="17"/>
      <c r="NSF115" s="17"/>
      <c r="NSG115" s="17"/>
      <c r="NSH115" s="17"/>
      <c r="NSI115" s="17"/>
      <c r="NSJ115" s="17"/>
      <c r="NSK115" s="17"/>
      <c r="NSL115" s="17"/>
      <c r="NSM115" s="17"/>
      <c r="NSN115" s="17"/>
      <c r="NSO115" s="17"/>
      <c r="NSP115" s="17"/>
      <c r="NSQ115" s="17"/>
      <c r="NSR115" s="17"/>
      <c r="NSS115" s="17"/>
      <c r="NST115" s="17"/>
      <c r="NSU115" s="17"/>
      <c r="NSV115" s="17"/>
      <c r="NSW115" s="17"/>
      <c r="NSX115" s="17"/>
      <c r="NSY115" s="17"/>
      <c r="NSZ115" s="17"/>
      <c r="NTA115" s="17"/>
      <c r="NTB115" s="17"/>
      <c r="NTC115" s="17"/>
      <c r="NTD115" s="17"/>
      <c r="NTE115" s="17"/>
      <c r="NTF115" s="17"/>
      <c r="NTG115" s="17"/>
      <c r="NTH115" s="17"/>
      <c r="NTI115" s="17"/>
      <c r="NTJ115" s="17"/>
      <c r="NTK115" s="17"/>
      <c r="NTL115" s="17"/>
      <c r="NTM115" s="17"/>
      <c r="NTN115" s="17"/>
      <c r="NTO115" s="17"/>
      <c r="NTP115" s="17"/>
      <c r="NTQ115" s="17"/>
      <c r="NTR115" s="17"/>
      <c r="NTS115" s="17"/>
      <c r="NTT115" s="17"/>
      <c r="NTU115" s="17"/>
      <c r="NTV115" s="17"/>
      <c r="NTW115" s="17"/>
      <c r="NTX115" s="17"/>
      <c r="NTY115" s="17"/>
      <c r="NTZ115" s="17"/>
      <c r="NUA115" s="17"/>
      <c r="NUB115" s="17"/>
      <c r="NUC115" s="17"/>
      <c r="NUD115" s="17"/>
      <c r="NUE115" s="17"/>
      <c r="NUF115" s="17"/>
      <c r="NUG115" s="17"/>
      <c r="NUH115" s="17"/>
      <c r="NUI115" s="17"/>
      <c r="NUJ115" s="17"/>
      <c r="NUK115" s="17"/>
      <c r="NUL115" s="17"/>
      <c r="NUM115" s="17"/>
      <c r="NUN115" s="17"/>
      <c r="NUO115" s="17"/>
      <c r="NUP115" s="17"/>
      <c r="NUQ115" s="17"/>
      <c r="NUR115" s="17"/>
      <c r="NUS115" s="17"/>
      <c r="NUT115" s="17"/>
      <c r="NUU115" s="17"/>
      <c r="NUV115" s="17"/>
      <c r="NUW115" s="17"/>
      <c r="NUX115" s="17"/>
      <c r="NUY115" s="17"/>
      <c r="NUZ115" s="17"/>
      <c r="NVA115" s="17"/>
      <c r="NVB115" s="17"/>
      <c r="NVC115" s="17"/>
      <c r="NVD115" s="17"/>
      <c r="NVE115" s="17"/>
      <c r="NVF115" s="17"/>
      <c r="NVG115" s="17"/>
      <c r="NVH115" s="17"/>
      <c r="NVI115" s="17"/>
      <c r="NVJ115" s="17"/>
      <c r="NVK115" s="17"/>
      <c r="NVL115" s="17"/>
      <c r="NVM115" s="17"/>
      <c r="NVN115" s="17"/>
      <c r="NVO115" s="17"/>
      <c r="NVP115" s="17"/>
      <c r="NVQ115" s="17"/>
      <c r="NVR115" s="17"/>
      <c r="NVS115" s="17"/>
      <c r="NVT115" s="17"/>
      <c r="NVU115" s="17"/>
      <c r="NVV115" s="17"/>
      <c r="NVW115" s="17"/>
      <c r="NVX115" s="17"/>
      <c r="NVY115" s="17"/>
      <c r="NVZ115" s="17"/>
      <c r="NWA115" s="17"/>
      <c r="NWB115" s="17"/>
      <c r="NWC115" s="17"/>
      <c r="NWD115" s="17"/>
      <c r="NWE115" s="17"/>
      <c r="NWF115" s="17"/>
      <c r="NWG115" s="17"/>
      <c r="NWH115" s="17"/>
      <c r="NWI115" s="17"/>
      <c r="NWJ115" s="17"/>
      <c r="NWK115" s="17"/>
      <c r="NWL115" s="17"/>
      <c r="NWM115" s="17"/>
      <c r="NWN115" s="17"/>
      <c r="NWO115" s="17"/>
      <c r="NWP115" s="17"/>
      <c r="NWQ115" s="17"/>
      <c r="NWR115" s="17"/>
      <c r="NWS115" s="17"/>
      <c r="NWT115" s="17"/>
      <c r="NWU115" s="17"/>
      <c r="NWV115" s="17"/>
      <c r="NWW115" s="17"/>
      <c r="NWX115" s="17"/>
      <c r="NWY115" s="17"/>
      <c r="NWZ115" s="17"/>
      <c r="NXA115" s="17"/>
      <c r="NXB115" s="17"/>
      <c r="NXC115" s="17"/>
      <c r="NXD115" s="17"/>
      <c r="NXE115" s="17"/>
      <c r="NXF115" s="17"/>
      <c r="NXG115" s="17"/>
      <c r="NXH115" s="17"/>
      <c r="NXI115" s="17"/>
      <c r="NXJ115" s="17"/>
      <c r="NXK115" s="17"/>
      <c r="NXL115" s="17"/>
      <c r="NXM115" s="17"/>
      <c r="NXN115" s="17"/>
      <c r="NXO115" s="17"/>
      <c r="NXP115" s="17"/>
      <c r="NXQ115" s="17"/>
      <c r="NXR115" s="17"/>
      <c r="NXS115" s="17"/>
      <c r="NXT115" s="17"/>
      <c r="NXU115" s="17"/>
      <c r="NXV115" s="17"/>
      <c r="NXW115" s="17"/>
      <c r="NXX115" s="17"/>
      <c r="NXY115" s="17"/>
      <c r="NXZ115" s="17"/>
      <c r="NYA115" s="17"/>
      <c r="NYB115" s="17"/>
      <c r="NYC115" s="17"/>
      <c r="NYD115" s="17"/>
      <c r="NYE115" s="17"/>
      <c r="NYF115" s="17"/>
      <c r="NYG115" s="17"/>
      <c r="NYH115" s="17"/>
      <c r="NYI115" s="17"/>
      <c r="NYJ115" s="17"/>
      <c r="NYK115" s="17"/>
      <c r="NYL115" s="17"/>
      <c r="NYM115" s="17"/>
      <c r="NYN115" s="17"/>
      <c r="NYO115" s="17"/>
      <c r="NYP115" s="17"/>
      <c r="NYQ115" s="17"/>
      <c r="NYR115" s="17"/>
      <c r="NYS115" s="17"/>
      <c r="NYT115" s="17"/>
      <c r="NYU115" s="17"/>
      <c r="NYV115" s="17"/>
      <c r="NYW115" s="17"/>
      <c r="NYX115" s="17"/>
      <c r="NYY115" s="17"/>
      <c r="NYZ115" s="17"/>
      <c r="NZA115" s="17"/>
      <c r="NZB115" s="17"/>
      <c r="NZC115" s="17"/>
      <c r="NZD115" s="17"/>
      <c r="NZE115" s="17"/>
      <c r="NZF115" s="17"/>
      <c r="NZG115" s="17"/>
      <c r="NZH115" s="17"/>
      <c r="NZI115" s="17"/>
      <c r="NZJ115" s="17"/>
      <c r="NZK115" s="17"/>
      <c r="NZL115" s="17"/>
      <c r="NZM115" s="17"/>
      <c r="NZN115" s="17"/>
      <c r="NZO115" s="17"/>
      <c r="NZP115" s="17"/>
      <c r="NZQ115" s="17"/>
      <c r="NZR115" s="17"/>
      <c r="NZS115" s="17"/>
      <c r="NZT115" s="17"/>
      <c r="NZU115" s="17"/>
      <c r="NZV115" s="17"/>
      <c r="NZW115" s="17"/>
      <c r="NZX115" s="17"/>
      <c r="NZY115" s="17"/>
      <c r="NZZ115" s="17"/>
      <c r="OAA115" s="17"/>
      <c r="OAB115" s="17"/>
      <c r="OAC115" s="17"/>
      <c r="OAD115" s="17"/>
      <c r="OAE115" s="17"/>
      <c r="OAF115" s="17"/>
      <c r="OAG115" s="17"/>
      <c r="OAH115" s="17"/>
      <c r="OAI115" s="17"/>
      <c r="OAJ115" s="17"/>
      <c r="OAK115" s="17"/>
      <c r="OAL115" s="17"/>
      <c r="OAM115" s="17"/>
      <c r="OAN115" s="17"/>
      <c r="OAO115" s="17"/>
      <c r="OAP115" s="17"/>
      <c r="OAQ115" s="17"/>
      <c r="OAR115" s="17"/>
      <c r="OAS115" s="17"/>
      <c r="OAT115" s="17"/>
      <c r="OAU115" s="17"/>
      <c r="OAV115" s="17"/>
      <c r="OAW115" s="17"/>
      <c r="OAX115" s="17"/>
      <c r="OAY115" s="17"/>
      <c r="OAZ115" s="17"/>
      <c r="OBA115" s="17"/>
      <c r="OBB115" s="17"/>
      <c r="OBC115" s="17"/>
      <c r="OBD115" s="17"/>
      <c r="OBE115" s="17"/>
      <c r="OBF115" s="17"/>
      <c r="OBG115" s="17"/>
      <c r="OBH115" s="17"/>
      <c r="OBI115" s="17"/>
      <c r="OBJ115" s="17"/>
      <c r="OBK115" s="17"/>
      <c r="OBL115" s="17"/>
      <c r="OBM115" s="17"/>
      <c r="OBN115" s="17"/>
      <c r="OBO115" s="17"/>
      <c r="OBP115" s="17"/>
      <c r="OBQ115" s="17"/>
      <c r="OBR115" s="17"/>
      <c r="OBS115" s="17"/>
      <c r="OBT115" s="17"/>
      <c r="OBU115" s="17"/>
      <c r="OBV115" s="17"/>
      <c r="OBW115" s="17"/>
      <c r="OBX115" s="17"/>
      <c r="OBY115" s="17"/>
      <c r="OBZ115" s="17"/>
      <c r="OCA115" s="17"/>
      <c r="OCB115" s="17"/>
      <c r="OCC115" s="17"/>
      <c r="OCD115" s="17"/>
      <c r="OCE115" s="17"/>
      <c r="OCF115" s="17"/>
      <c r="OCG115" s="17"/>
      <c r="OCH115" s="17"/>
      <c r="OCI115" s="17"/>
      <c r="OCJ115" s="17"/>
      <c r="OCK115" s="17"/>
      <c r="OCL115" s="17"/>
      <c r="OCM115" s="17"/>
      <c r="OCN115" s="17"/>
      <c r="OCO115" s="17"/>
      <c r="OCP115" s="17"/>
      <c r="OCQ115" s="17"/>
      <c r="OCR115" s="17"/>
      <c r="OCS115" s="17"/>
      <c r="OCT115" s="17"/>
      <c r="OCU115" s="17"/>
      <c r="OCV115" s="17"/>
      <c r="OCW115" s="17"/>
      <c r="OCX115" s="17"/>
      <c r="OCY115" s="17"/>
      <c r="OCZ115" s="17"/>
      <c r="ODA115" s="17"/>
      <c r="ODB115" s="17"/>
      <c r="ODC115" s="17"/>
      <c r="ODD115" s="17"/>
      <c r="ODE115" s="17"/>
      <c r="ODF115" s="17"/>
      <c r="ODG115" s="17"/>
      <c r="ODH115" s="17"/>
      <c r="ODI115" s="17"/>
      <c r="ODJ115" s="17"/>
      <c r="ODK115" s="17"/>
      <c r="ODL115" s="17"/>
      <c r="ODM115" s="17"/>
      <c r="ODN115" s="17"/>
      <c r="ODO115" s="17"/>
      <c r="ODP115" s="17"/>
      <c r="ODQ115" s="17"/>
      <c r="ODR115" s="17"/>
      <c r="ODS115" s="17"/>
      <c r="ODT115" s="17"/>
      <c r="ODU115" s="17"/>
      <c r="ODV115" s="17"/>
      <c r="ODW115" s="17"/>
      <c r="ODX115" s="17"/>
      <c r="ODY115" s="17"/>
      <c r="ODZ115" s="17"/>
      <c r="OEA115" s="17"/>
      <c r="OEB115" s="17"/>
      <c r="OEC115" s="17"/>
      <c r="OED115" s="17"/>
      <c r="OEE115" s="17"/>
      <c r="OEF115" s="17"/>
      <c r="OEG115" s="17"/>
      <c r="OEH115" s="17"/>
      <c r="OEI115" s="17"/>
      <c r="OEJ115" s="17"/>
      <c r="OEK115" s="17"/>
      <c r="OEL115" s="17"/>
      <c r="OEM115" s="17"/>
      <c r="OEN115" s="17"/>
      <c r="OEO115" s="17"/>
      <c r="OEP115" s="17"/>
      <c r="OEQ115" s="17"/>
      <c r="OER115" s="17"/>
      <c r="OES115" s="17"/>
      <c r="OET115" s="17"/>
      <c r="OEU115" s="17"/>
      <c r="OEV115" s="17"/>
      <c r="OEW115" s="17"/>
      <c r="OEX115" s="17"/>
      <c r="OEY115" s="17"/>
      <c r="OEZ115" s="17"/>
      <c r="OFA115" s="17"/>
      <c r="OFB115" s="17"/>
      <c r="OFC115" s="17"/>
      <c r="OFD115" s="17"/>
      <c r="OFE115" s="17"/>
      <c r="OFF115" s="17"/>
      <c r="OFG115" s="17"/>
      <c r="OFH115" s="17"/>
      <c r="OFI115" s="17"/>
      <c r="OFJ115" s="17"/>
      <c r="OFK115" s="17"/>
      <c r="OFL115" s="17"/>
      <c r="OFM115" s="17"/>
      <c r="OFN115" s="17"/>
      <c r="OFO115" s="17"/>
      <c r="OFP115" s="17"/>
      <c r="OFQ115" s="17"/>
      <c r="OFR115" s="17"/>
      <c r="OFS115" s="17"/>
      <c r="OFT115" s="17"/>
      <c r="OFU115" s="17"/>
      <c r="OFV115" s="17"/>
      <c r="OFW115" s="17"/>
      <c r="OFX115" s="17"/>
      <c r="OFY115" s="17"/>
      <c r="OFZ115" s="17"/>
      <c r="OGA115" s="17"/>
      <c r="OGB115" s="17"/>
      <c r="OGC115" s="17"/>
      <c r="OGD115" s="17"/>
      <c r="OGE115" s="17"/>
      <c r="OGF115" s="17"/>
      <c r="OGG115" s="17"/>
      <c r="OGH115" s="17"/>
      <c r="OGI115" s="17"/>
      <c r="OGJ115" s="17"/>
      <c r="OGK115" s="17"/>
      <c r="OGL115" s="17"/>
      <c r="OGM115" s="17"/>
      <c r="OGN115" s="17"/>
      <c r="OGO115" s="17"/>
      <c r="OGP115" s="17"/>
      <c r="OGQ115" s="17"/>
      <c r="OGR115" s="17"/>
      <c r="OGS115" s="17"/>
      <c r="OGT115" s="17"/>
      <c r="OGU115" s="17"/>
      <c r="OGV115" s="17"/>
      <c r="OGW115" s="17"/>
      <c r="OGX115" s="17"/>
      <c r="OGY115" s="17"/>
      <c r="OGZ115" s="17"/>
      <c r="OHA115" s="17"/>
      <c r="OHB115" s="17"/>
      <c r="OHC115" s="17"/>
      <c r="OHD115" s="17"/>
      <c r="OHE115" s="17"/>
      <c r="OHF115" s="17"/>
      <c r="OHG115" s="17"/>
      <c r="OHH115" s="17"/>
      <c r="OHI115" s="17"/>
      <c r="OHJ115" s="17"/>
      <c r="OHK115" s="17"/>
      <c r="OHL115" s="17"/>
      <c r="OHM115" s="17"/>
      <c r="OHN115" s="17"/>
      <c r="OHO115" s="17"/>
      <c r="OHP115" s="17"/>
      <c r="OHQ115" s="17"/>
      <c r="OHR115" s="17"/>
      <c r="OHS115" s="17"/>
      <c r="OHT115" s="17"/>
      <c r="OHU115" s="17"/>
      <c r="OHV115" s="17"/>
      <c r="OHW115" s="17"/>
      <c r="OHX115" s="17"/>
      <c r="OHY115" s="17"/>
      <c r="OHZ115" s="17"/>
      <c r="OIA115" s="17"/>
      <c r="OIB115" s="17"/>
      <c r="OIC115" s="17"/>
      <c r="OID115" s="17"/>
      <c r="OIE115" s="17"/>
      <c r="OIF115" s="17"/>
      <c r="OIG115" s="17"/>
      <c r="OIH115" s="17"/>
      <c r="OII115" s="17"/>
      <c r="OIJ115" s="17"/>
      <c r="OIK115" s="17"/>
      <c r="OIL115" s="17"/>
      <c r="OIM115" s="17"/>
      <c r="OIN115" s="17"/>
      <c r="OIO115" s="17"/>
      <c r="OIP115" s="17"/>
      <c r="OIQ115" s="17"/>
      <c r="OIR115" s="17"/>
      <c r="OIS115" s="17"/>
      <c r="OIT115" s="17"/>
      <c r="OIU115" s="17"/>
      <c r="OIV115" s="17"/>
      <c r="OIW115" s="17"/>
      <c r="OIX115" s="17"/>
      <c r="OIY115" s="17"/>
      <c r="OIZ115" s="17"/>
      <c r="OJA115" s="17"/>
      <c r="OJB115" s="17"/>
      <c r="OJC115" s="17"/>
      <c r="OJD115" s="17"/>
      <c r="OJE115" s="17"/>
      <c r="OJF115" s="17"/>
      <c r="OJG115" s="17"/>
      <c r="OJH115" s="17"/>
      <c r="OJI115" s="17"/>
      <c r="OJJ115" s="17"/>
      <c r="OJK115" s="17"/>
      <c r="OJL115" s="17"/>
      <c r="OJM115" s="17"/>
      <c r="OJN115" s="17"/>
      <c r="OJO115" s="17"/>
      <c r="OJP115" s="17"/>
      <c r="OJQ115" s="17"/>
      <c r="OJR115" s="17"/>
      <c r="OJS115" s="17"/>
      <c r="OJT115" s="17"/>
      <c r="OJU115" s="17"/>
      <c r="OJV115" s="17"/>
      <c r="OJW115" s="17"/>
      <c r="OJX115" s="17"/>
      <c r="OJY115" s="17"/>
      <c r="OJZ115" s="17"/>
      <c r="OKA115" s="17"/>
      <c r="OKB115" s="17"/>
      <c r="OKC115" s="17"/>
      <c r="OKD115" s="17"/>
      <c r="OKE115" s="17"/>
      <c r="OKF115" s="17"/>
      <c r="OKG115" s="17"/>
      <c r="OKH115" s="17"/>
      <c r="OKI115" s="17"/>
      <c r="OKJ115" s="17"/>
      <c r="OKK115" s="17"/>
      <c r="OKL115" s="17"/>
      <c r="OKM115" s="17"/>
      <c r="OKN115" s="17"/>
      <c r="OKO115" s="17"/>
      <c r="OKP115" s="17"/>
      <c r="OKQ115" s="17"/>
      <c r="OKR115" s="17"/>
      <c r="OKS115" s="17"/>
      <c r="OKT115" s="17"/>
      <c r="OKU115" s="17"/>
      <c r="OKV115" s="17"/>
      <c r="OKW115" s="17"/>
      <c r="OKX115" s="17"/>
      <c r="OKY115" s="17"/>
      <c r="OKZ115" s="17"/>
      <c r="OLA115" s="17"/>
      <c r="OLB115" s="17"/>
      <c r="OLC115" s="17"/>
      <c r="OLD115" s="17"/>
      <c r="OLE115" s="17"/>
      <c r="OLF115" s="17"/>
      <c r="OLG115" s="17"/>
      <c r="OLH115" s="17"/>
      <c r="OLI115" s="17"/>
      <c r="OLJ115" s="17"/>
      <c r="OLK115" s="17"/>
      <c r="OLL115" s="17"/>
      <c r="OLM115" s="17"/>
      <c r="OLN115" s="17"/>
      <c r="OLO115" s="17"/>
      <c r="OLP115" s="17"/>
      <c r="OLQ115" s="17"/>
      <c r="OLR115" s="17"/>
      <c r="OLS115" s="17"/>
      <c r="OLT115" s="17"/>
      <c r="OLU115" s="17"/>
      <c r="OLV115" s="17"/>
      <c r="OLW115" s="17"/>
      <c r="OLX115" s="17"/>
      <c r="OLY115" s="17"/>
      <c r="OLZ115" s="17"/>
      <c r="OMA115" s="17"/>
      <c r="OMB115" s="17"/>
      <c r="OMC115" s="17"/>
      <c r="OMD115" s="17"/>
      <c r="OME115" s="17"/>
      <c r="OMF115" s="17"/>
      <c r="OMG115" s="17"/>
      <c r="OMH115" s="17"/>
      <c r="OMI115" s="17"/>
      <c r="OMJ115" s="17"/>
      <c r="OMK115" s="17"/>
      <c r="OML115" s="17"/>
      <c r="OMM115" s="17"/>
      <c r="OMN115" s="17"/>
      <c r="OMO115" s="17"/>
      <c r="OMP115" s="17"/>
      <c r="OMQ115" s="17"/>
      <c r="OMR115" s="17"/>
      <c r="OMS115" s="17"/>
      <c r="OMT115" s="17"/>
      <c r="OMU115" s="17"/>
      <c r="OMV115" s="17"/>
      <c r="OMW115" s="17"/>
      <c r="OMX115" s="17"/>
      <c r="OMY115" s="17"/>
      <c r="OMZ115" s="17"/>
      <c r="ONA115" s="17"/>
      <c r="ONB115" s="17"/>
      <c r="ONC115" s="17"/>
      <c r="OND115" s="17"/>
      <c r="ONE115" s="17"/>
      <c r="ONF115" s="17"/>
      <c r="ONG115" s="17"/>
      <c r="ONH115" s="17"/>
      <c r="ONI115" s="17"/>
      <c r="ONJ115" s="17"/>
      <c r="ONK115" s="17"/>
      <c r="ONL115" s="17"/>
      <c r="ONM115" s="17"/>
      <c r="ONN115" s="17"/>
      <c r="ONO115" s="17"/>
      <c r="ONP115" s="17"/>
      <c r="ONQ115" s="17"/>
      <c r="ONR115" s="17"/>
      <c r="ONS115" s="17"/>
      <c r="ONT115" s="17"/>
      <c r="ONU115" s="17"/>
      <c r="ONV115" s="17"/>
      <c r="ONW115" s="17"/>
      <c r="ONX115" s="17"/>
      <c r="ONY115" s="17"/>
      <c r="ONZ115" s="17"/>
      <c r="OOA115" s="17"/>
      <c r="OOB115" s="17"/>
      <c r="OOC115" s="17"/>
      <c r="OOD115" s="17"/>
      <c r="OOE115" s="17"/>
      <c r="OOF115" s="17"/>
      <c r="OOG115" s="17"/>
      <c r="OOH115" s="17"/>
      <c r="OOI115" s="17"/>
      <c r="OOJ115" s="17"/>
      <c r="OOK115" s="17"/>
      <c r="OOL115" s="17"/>
      <c r="OOM115" s="17"/>
      <c r="OON115" s="17"/>
      <c r="OOO115" s="17"/>
      <c r="OOP115" s="17"/>
      <c r="OOQ115" s="17"/>
      <c r="OOR115" s="17"/>
      <c r="OOS115" s="17"/>
      <c r="OOT115" s="17"/>
      <c r="OOU115" s="17"/>
      <c r="OOV115" s="17"/>
      <c r="OOW115" s="17"/>
      <c r="OOX115" s="17"/>
      <c r="OOY115" s="17"/>
      <c r="OOZ115" s="17"/>
      <c r="OPA115" s="17"/>
      <c r="OPB115" s="17"/>
      <c r="OPC115" s="17"/>
      <c r="OPD115" s="17"/>
      <c r="OPE115" s="17"/>
      <c r="OPF115" s="17"/>
      <c r="OPG115" s="17"/>
      <c r="OPH115" s="17"/>
      <c r="OPI115" s="17"/>
      <c r="OPJ115" s="17"/>
      <c r="OPK115" s="17"/>
      <c r="OPL115" s="17"/>
      <c r="OPM115" s="17"/>
      <c r="OPN115" s="17"/>
      <c r="OPO115" s="17"/>
      <c r="OPP115" s="17"/>
      <c r="OPQ115" s="17"/>
      <c r="OPR115" s="17"/>
      <c r="OPS115" s="17"/>
      <c r="OPT115" s="17"/>
      <c r="OPU115" s="17"/>
      <c r="OPV115" s="17"/>
      <c r="OPW115" s="17"/>
      <c r="OPX115" s="17"/>
      <c r="OPY115" s="17"/>
      <c r="OPZ115" s="17"/>
      <c r="OQA115" s="17"/>
      <c r="OQB115" s="17"/>
      <c r="OQC115" s="17"/>
      <c r="OQD115" s="17"/>
      <c r="OQE115" s="17"/>
      <c r="OQF115" s="17"/>
      <c r="OQG115" s="17"/>
      <c r="OQH115" s="17"/>
      <c r="OQI115" s="17"/>
      <c r="OQJ115" s="17"/>
      <c r="OQK115" s="17"/>
      <c r="OQL115" s="17"/>
      <c r="OQM115" s="17"/>
      <c r="OQN115" s="17"/>
      <c r="OQO115" s="17"/>
      <c r="OQP115" s="17"/>
      <c r="OQQ115" s="17"/>
      <c r="OQR115" s="17"/>
      <c r="OQS115" s="17"/>
      <c r="OQT115" s="17"/>
      <c r="OQU115" s="17"/>
      <c r="OQV115" s="17"/>
      <c r="OQW115" s="17"/>
      <c r="OQX115" s="17"/>
      <c r="OQY115" s="17"/>
      <c r="OQZ115" s="17"/>
      <c r="ORA115" s="17"/>
      <c r="ORB115" s="17"/>
      <c r="ORC115" s="17"/>
      <c r="ORD115" s="17"/>
      <c r="ORE115" s="17"/>
      <c r="ORF115" s="17"/>
      <c r="ORG115" s="17"/>
      <c r="ORH115" s="17"/>
      <c r="ORI115" s="17"/>
      <c r="ORJ115" s="17"/>
      <c r="ORK115" s="17"/>
      <c r="ORL115" s="17"/>
      <c r="ORM115" s="17"/>
      <c r="ORN115" s="17"/>
      <c r="ORO115" s="17"/>
      <c r="ORP115" s="17"/>
      <c r="ORQ115" s="17"/>
      <c r="ORR115" s="17"/>
      <c r="ORS115" s="17"/>
      <c r="ORT115" s="17"/>
      <c r="ORU115" s="17"/>
      <c r="ORV115" s="17"/>
      <c r="ORW115" s="17"/>
      <c r="ORX115" s="17"/>
      <c r="ORY115" s="17"/>
      <c r="ORZ115" s="17"/>
      <c r="OSA115" s="17"/>
      <c r="OSB115" s="17"/>
      <c r="OSC115" s="17"/>
      <c r="OSD115" s="17"/>
      <c r="OSE115" s="17"/>
      <c r="OSF115" s="17"/>
      <c r="OSG115" s="17"/>
      <c r="OSH115" s="17"/>
      <c r="OSI115" s="17"/>
      <c r="OSJ115" s="17"/>
      <c r="OSK115" s="17"/>
      <c r="OSL115" s="17"/>
      <c r="OSM115" s="17"/>
      <c r="OSN115" s="17"/>
      <c r="OSO115" s="17"/>
      <c r="OSP115" s="17"/>
      <c r="OSQ115" s="17"/>
      <c r="OSR115" s="17"/>
      <c r="OSS115" s="17"/>
      <c r="OST115" s="17"/>
      <c r="OSU115" s="17"/>
      <c r="OSV115" s="17"/>
      <c r="OSW115" s="17"/>
      <c r="OSX115" s="17"/>
      <c r="OSY115" s="17"/>
      <c r="OSZ115" s="17"/>
      <c r="OTA115" s="17"/>
      <c r="OTB115" s="17"/>
      <c r="OTC115" s="17"/>
      <c r="OTD115" s="17"/>
      <c r="OTE115" s="17"/>
      <c r="OTF115" s="17"/>
      <c r="OTG115" s="17"/>
      <c r="OTH115" s="17"/>
      <c r="OTI115" s="17"/>
      <c r="OTJ115" s="17"/>
      <c r="OTK115" s="17"/>
      <c r="OTL115" s="17"/>
      <c r="OTM115" s="17"/>
      <c r="OTN115" s="17"/>
      <c r="OTO115" s="17"/>
      <c r="OTP115" s="17"/>
      <c r="OTQ115" s="17"/>
      <c r="OTR115" s="17"/>
      <c r="OTS115" s="17"/>
      <c r="OTT115" s="17"/>
      <c r="OTU115" s="17"/>
      <c r="OTV115" s="17"/>
      <c r="OTW115" s="17"/>
      <c r="OTX115" s="17"/>
      <c r="OTY115" s="17"/>
      <c r="OTZ115" s="17"/>
      <c r="OUA115" s="17"/>
      <c r="OUB115" s="17"/>
      <c r="OUC115" s="17"/>
      <c r="OUD115" s="17"/>
      <c r="OUE115" s="17"/>
      <c r="OUF115" s="17"/>
      <c r="OUG115" s="17"/>
      <c r="OUH115" s="17"/>
      <c r="OUI115" s="17"/>
      <c r="OUJ115" s="17"/>
      <c r="OUK115" s="17"/>
      <c r="OUL115" s="17"/>
      <c r="OUM115" s="17"/>
      <c r="OUN115" s="17"/>
      <c r="OUO115" s="17"/>
      <c r="OUP115" s="17"/>
      <c r="OUQ115" s="17"/>
      <c r="OUR115" s="17"/>
      <c r="OUS115" s="17"/>
      <c r="OUT115" s="17"/>
      <c r="OUU115" s="17"/>
      <c r="OUV115" s="17"/>
      <c r="OUW115" s="17"/>
      <c r="OUX115" s="17"/>
      <c r="OUY115" s="17"/>
      <c r="OUZ115" s="17"/>
      <c r="OVA115" s="17"/>
      <c r="OVB115" s="17"/>
      <c r="OVC115" s="17"/>
      <c r="OVD115" s="17"/>
      <c r="OVE115" s="17"/>
      <c r="OVF115" s="17"/>
      <c r="OVG115" s="17"/>
      <c r="OVH115" s="17"/>
      <c r="OVI115" s="17"/>
      <c r="OVJ115" s="17"/>
      <c r="OVK115" s="17"/>
      <c r="OVL115" s="17"/>
      <c r="OVM115" s="17"/>
      <c r="OVN115" s="17"/>
      <c r="OVO115" s="17"/>
      <c r="OVP115" s="17"/>
      <c r="OVQ115" s="17"/>
      <c r="OVR115" s="17"/>
      <c r="OVS115" s="17"/>
      <c r="OVT115" s="17"/>
      <c r="OVU115" s="17"/>
      <c r="OVV115" s="17"/>
      <c r="OVW115" s="17"/>
      <c r="OVX115" s="17"/>
      <c r="OVY115" s="17"/>
      <c r="OVZ115" s="17"/>
      <c r="OWA115" s="17"/>
      <c r="OWB115" s="17"/>
      <c r="OWC115" s="17"/>
      <c r="OWD115" s="17"/>
      <c r="OWE115" s="17"/>
      <c r="OWF115" s="17"/>
      <c r="OWG115" s="17"/>
      <c r="OWH115" s="17"/>
      <c r="OWI115" s="17"/>
      <c r="OWJ115" s="17"/>
      <c r="OWK115" s="17"/>
      <c r="OWL115" s="17"/>
      <c r="OWM115" s="17"/>
      <c r="OWN115" s="17"/>
      <c r="OWO115" s="17"/>
      <c r="OWP115" s="17"/>
      <c r="OWQ115" s="17"/>
      <c r="OWR115" s="17"/>
      <c r="OWS115" s="17"/>
      <c r="OWT115" s="17"/>
      <c r="OWU115" s="17"/>
      <c r="OWV115" s="17"/>
      <c r="OWW115" s="17"/>
      <c r="OWX115" s="17"/>
      <c r="OWY115" s="17"/>
      <c r="OWZ115" s="17"/>
      <c r="OXA115" s="17"/>
      <c r="OXB115" s="17"/>
      <c r="OXC115" s="17"/>
      <c r="OXD115" s="17"/>
      <c r="OXE115" s="17"/>
      <c r="OXF115" s="17"/>
      <c r="OXG115" s="17"/>
      <c r="OXH115" s="17"/>
      <c r="OXI115" s="17"/>
      <c r="OXJ115" s="17"/>
      <c r="OXK115" s="17"/>
      <c r="OXL115" s="17"/>
      <c r="OXM115" s="17"/>
      <c r="OXN115" s="17"/>
      <c r="OXO115" s="17"/>
      <c r="OXP115" s="17"/>
      <c r="OXQ115" s="17"/>
      <c r="OXR115" s="17"/>
      <c r="OXS115" s="17"/>
      <c r="OXT115" s="17"/>
      <c r="OXU115" s="17"/>
      <c r="OXV115" s="17"/>
      <c r="OXW115" s="17"/>
      <c r="OXX115" s="17"/>
      <c r="OXY115" s="17"/>
      <c r="OXZ115" s="17"/>
      <c r="OYA115" s="17"/>
      <c r="OYB115" s="17"/>
      <c r="OYC115" s="17"/>
      <c r="OYD115" s="17"/>
      <c r="OYE115" s="17"/>
      <c r="OYF115" s="17"/>
      <c r="OYG115" s="17"/>
      <c r="OYH115" s="17"/>
      <c r="OYI115" s="17"/>
      <c r="OYJ115" s="17"/>
      <c r="OYK115" s="17"/>
      <c r="OYL115" s="17"/>
      <c r="OYM115" s="17"/>
      <c r="OYN115" s="17"/>
      <c r="OYO115" s="17"/>
      <c r="OYP115" s="17"/>
      <c r="OYQ115" s="17"/>
      <c r="OYR115" s="17"/>
      <c r="OYS115" s="17"/>
      <c r="OYT115" s="17"/>
      <c r="OYU115" s="17"/>
      <c r="OYV115" s="17"/>
      <c r="OYW115" s="17"/>
      <c r="OYX115" s="17"/>
      <c r="OYY115" s="17"/>
      <c r="OYZ115" s="17"/>
      <c r="OZA115" s="17"/>
      <c r="OZB115" s="17"/>
      <c r="OZC115" s="17"/>
      <c r="OZD115" s="17"/>
      <c r="OZE115" s="17"/>
      <c r="OZF115" s="17"/>
      <c r="OZG115" s="17"/>
      <c r="OZH115" s="17"/>
      <c r="OZI115" s="17"/>
      <c r="OZJ115" s="17"/>
      <c r="OZK115" s="17"/>
      <c r="OZL115" s="17"/>
      <c r="OZM115" s="17"/>
      <c r="OZN115" s="17"/>
      <c r="OZO115" s="17"/>
      <c r="OZP115" s="17"/>
      <c r="OZQ115" s="17"/>
      <c r="OZR115" s="17"/>
      <c r="OZS115" s="17"/>
      <c r="OZT115" s="17"/>
      <c r="OZU115" s="17"/>
      <c r="OZV115" s="17"/>
      <c r="OZW115" s="17"/>
      <c r="OZX115" s="17"/>
      <c r="OZY115" s="17"/>
      <c r="OZZ115" s="17"/>
      <c r="PAA115" s="17"/>
      <c r="PAB115" s="17"/>
      <c r="PAC115" s="17"/>
      <c r="PAD115" s="17"/>
      <c r="PAE115" s="17"/>
      <c r="PAF115" s="17"/>
      <c r="PAG115" s="17"/>
      <c r="PAH115" s="17"/>
      <c r="PAI115" s="17"/>
      <c r="PAJ115" s="17"/>
      <c r="PAK115" s="17"/>
      <c r="PAL115" s="17"/>
      <c r="PAM115" s="17"/>
      <c r="PAN115" s="17"/>
      <c r="PAO115" s="17"/>
      <c r="PAP115" s="17"/>
      <c r="PAQ115" s="17"/>
      <c r="PAR115" s="17"/>
      <c r="PAS115" s="17"/>
      <c r="PAT115" s="17"/>
      <c r="PAU115" s="17"/>
      <c r="PAV115" s="17"/>
      <c r="PAW115" s="17"/>
      <c r="PAX115" s="17"/>
      <c r="PAY115" s="17"/>
      <c r="PAZ115" s="17"/>
      <c r="PBA115" s="17"/>
      <c r="PBB115" s="17"/>
      <c r="PBC115" s="17"/>
      <c r="PBD115" s="17"/>
      <c r="PBE115" s="17"/>
      <c r="PBF115" s="17"/>
      <c r="PBG115" s="17"/>
      <c r="PBH115" s="17"/>
      <c r="PBI115" s="17"/>
      <c r="PBJ115" s="17"/>
      <c r="PBK115" s="17"/>
      <c r="PBL115" s="17"/>
      <c r="PBM115" s="17"/>
      <c r="PBN115" s="17"/>
      <c r="PBO115" s="17"/>
      <c r="PBP115" s="17"/>
      <c r="PBQ115" s="17"/>
      <c r="PBR115" s="17"/>
      <c r="PBS115" s="17"/>
      <c r="PBT115" s="17"/>
      <c r="PBU115" s="17"/>
      <c r="PBV115" s="17"/>
      <c r="PBW115" s="17"/>
      <c r="PBX115" s="17"/>
      <c r="PBY115" s="17"/>
      <c r="PBZ115" s="17"/>
      <c r="PCA115" s="17"/>
      <c r="PCB115" s="17"/>
      <c r="PCC115" s="17"/>
      <c r="PCD115" s="17"/>
      <c r="PCE115" s="17"/>
      <c r="PCF115" s="17"/>
      <c r="PCG115" s="17"/>
      <c r="PCH115" s="17"/>
      <c r="PCI115" s="17"/>
      <c r="PCJ115" s="17"/>
      <c r="PCK115" s="17"/>
      <c r="PCL115" s="17"/>
      <c r="PCM115" s="17"/>
      <c r="PCN115" s="17"/>
      <c r="PCO115" s="17"/>
      <c r="PCP115" s="17"/>
      <c r="PCQ115" s="17"/>
      <c r="PCR115" s="17"/>
      <c r="PCS115" s="17"/>
      <c r="PCT115" s="17"/>
      <c r="PCU115" s="17"/>
      <c r="PCV115" s="17"/>
      <c r="PCW115" s="17"/>
      <c r="PCX115" s="17"/>
      <c r="PCY115" s="17"/>
      <c r="PCZ115" s="17"/>
      <c r="PDA115" s="17"/>
      <c r="PDB115" s="17"/>
      <c r="PDC115" s="17"/>
      <c r="PDD115" s="17"/>
      <c r="PDE115" s="17"/>
      <c r="PDF115" s="17"/>
      <c r="PDG115" s="17"/>
      <c r="PDH115" s="17"/>
      <c r="PDI115" s="17"/>
      <c r="PDJ115" s="17"/>
      <c r="PDK115" s="17"/>
      <c r="PDL115" s="17"/>
      <c r="PDM115" s="17"/>
      <c r="PDN115" s="17"/>
      <c r="PDO115" s="17"/>
      <c r="PDP115" s="17"/>
      <c r="PDQ115" s="17"/>
      <c r="PDR115" s="17"/>
      <c r="PDS115" s="17"/>
      <c r="PDT115" s="17"/>
      <c r="PDU115" s="17"/>
      <c r="PDV115" s="17"/>
      <c r="PDW115" s="17"/>
      <c r="PDX115" s="17"/>
      <c r="PDY115" s="17"/>
      <c r="PDZ115" s="17"/>
      <c r="PEA115" s="17"/>
      <c r="PEB115" s="17"/>
      <c r="PEC115" s="17"/>
      <c r="PED115" s="17"/>
      <c r="PEE115" s="17"/>
      <c r="PEF115" s="17"/>
      <c r="PEG115" s="17"/>
      <c r="PEH115" s="17"/>
      <c r="PEI115" s="17"/>
      <c r="PEJ115" s="17"/>
      <c r="PEK115" s="17"/>
      <c r="PEL115" s="17"/>
      <c r="PEM115" s="17"/>
      <c r="PEN115" s="17"/>
      <c r="PEO115" s="17"/>
      <c r="PEP115" s="17"/>
      <c r="PEQ115" s="17"/>
      <c r="PER115" s="17"/>
      <c r="PES115" s="17"/>
      <c r="PET115" s="17"/>
      <c r="PEU115" s="17"/>
      <c r="PEV115" s="17"/>
      <c r="PEW115" s="17"/>
      <c r="PEX115" s="17"/>
      <c r="PEY115" s="17"/>
      <c r="PEZ115" s="17"/>
      <c r="PFA115" s="17"/>
      <c r="PFB115" s="17"/>
      <c r="PFC115" s="17"/>
      <c r="PFD115" s="17"/>
      <c r="PFE115" s="17"/>
      <c r="PFF115" s="17"/>
      <c r="PFG115" s="17"/>
      <c r="PFH115" s="17"/>
      <c r="PFI115" s="17"/>
      <c r="PFJ115" s="17"/>
      <c r="PFK115" s="17"/>
      <c r="PFL115" s="17"/>
      <c r="PFM115" s="17"/>
      <c r="PFN115" s="17"/>
      <c r="PFO115" s="17"/>
      <c r="PFP115" s="17"/>
      <c r="PFQ115" s="17"/>
      <c r="PFR115" s="17"/>
      <c r="PFS115" s="17"/>
      <c r="PFT115" s="17"/>
      <c r="PFU115" s="17"/>
      <c r="PFV115" s="17"/>
      <c r="PFW115" s="17"/>
      <c r="PFX115" s="17"/>
      <c r="PFY115" s="17"/>
      <c r="PFZ115" s="17"/>
      <c r="PGA115" s="17"/>
      <c r="PGB115" s="17"/>
      <c r="PGC115" s="17"/>
      <c r="PGD115" s="17"/>
      <c r="PGE115" s="17"/>
      <c r="PGF115" s="17"/>
      <c r="PGG115" s="17"/>
      <c r="PGH115" s="17"/>
      <c r="PGI115" s="17"/>
      <c r="PGJ115" s="17"/>
      <c r="PGK115" s="17"/>
      <c r="PGL115" s="17"/>
      <c r="PGM115" s="17"/>
      <c r="PGN115" s="17"/>
      <c r="PGO115" s="17"/>
      <c r="PGP115" s="17"/>
      <c r="PGQ115" s="17"/>
      <c r="PGR115" s="17"/>
      <c r="PGS115" s="17"/>
      <c r="PGT115" s="17"/>
      <c r="PGU115" s="17"/>
      <c r="PGV115" s="17"/>
      <c r="PGW115" s="17"/>
      <c r="PGX115" s="17"/>
      <c r="PGY115" s="17"/>
      <c r="PGZ115" s="17"/>
      <c r="PHA115" s="17"/>
      <c r="PHB115" s="17"/>
      <c r="PHC115" s="17"/>
      <c r="PHD115" s="17"/>
      <c r="PHE115" s="17"/>
      <c r="PHF115" s="17"/>
      <c r="PHG115" s="17"/>
      <c r="PHH115" s="17"/>
      <c r="PHI115" s="17"/>
      <c r="PHJ115" s="17"/>
      <c r="PHK115" s="17"/>
      <c r="PHL115" s="17"/>
      <c r="PHM115" s="17"/>
      <c r="PHN115" s="17"/>
      <c r="PHO115" s="17"/>
      <c r="PHP115" s="17"/>
      <c r="PHQ115" s="17"/>
      <c r="PHR115" s="17"/>
      <c r="PHS115" s="17"/>
      <c r="PHT115" s="17"/>
      <c r="PHU115" s="17"/>
      <c r="PHV115" s="17"/>
      <c r="PHW115" s="17"/>
      <c r="PHX115" s="17"/>
      <c r="PHY115" s="17"/>
      <c r="PHZ115" s="17"/>
      <c r="PIA115" s="17"/>
      <c r="PIB115" s="17"/>
      <c r="PIC115" s="17"/>
      <c r="PID115" s="17"/>
      <c r="PIE115" s="17"/>
      <c r="PIF115" s="17"/>
      <c r="PIG115" s="17"/>
      <c r="PIH115" s="17"/>
      <c r="PII115" s="17"/>
      <c r="PIJ115" s="17"/>
      <c r="PIK115" s="17"/>
      <c r="PIL115" s="17"/>
      <c r="PIM115" s="17"/>
      <c r="PIN115" s="17"/>
      <c r="PIO115" s="17"/>
      <c r="PIP115" s="17"/>
      <c r="PIQ115" s="17"/>
      <c r="PIR115" s="17"/>
      <c r="PIS115" s="17"/>
      <c r="PIT115" s="17"/>
      <c r="PIU115" s="17"/>
      <c r="PIV115" s="17"/>
      <c r="PIW115" s="17"/>
      <c r="PIX115" s="17"/>
      <c r="PIY115" s="17"/>
      <c r="PIZ115" s="17"/>
      <c r="PJA115" s="17"/>
      <c r="PJB115" s="17"/>
      <c r="PJC115" s="17"/>
      <c r="PJD115" s="17"/>
      <c r="PJE115" s="17"/>
      <c r="PJF115" s="17"/>
      <c r="PJG115" s="17"/>
      <c r="PJH115" s="17"/>
      <c r="PJI115" s="17"/>
      <c r="PJJ115" s="17"/>
      <c r="PJK115" s="17"/>
      <c r="PJL115" s="17"/>
      <c r="PJM115" s="17"/>
      <c r="PJN115" s="17"/>
      <c r="PJO115" s="17"/>
      <c r="PJP115" s="17"/>
      <c r="PJQ115" s="17"/>
      <c r="PJR115" s="17"/>
      <c r="PJS115" s="17"/>
      <c r="PJT115" s="17"/>
      <c r="PJU115" s="17"/>
      <c r="PJV115" s="17"/>
      <c r="PJW115" s="17"/>
      <c r="PJX115" s="17"/>
      <c r="PJY115" s="17"/>
      <c r="PJZ115" s="17"/>
      <c r="PKA115" s="17"/>
      <c r="PKB115" s="17"/>
      <c r="PKC115" s="17"/>
      <c r="PKD115" s="17"/>
      <c r="PKE115" s="17"/>
      <c r="PKF115" s="17"/>
      <c r="PKG115" s="17"/>
      <c r="PKH115" s="17"/>
      <c r="PKI115" s="17"/>
      <c r="PKJ115" s="17"/>
      <c r="PKK115" s="17"/>
      <c r="PKL115" s="17"/>
      <c r="PKM115" s="17"/>
      <c r="PKN115" s="17"/>
      <c r="PKO115" s="17"/>
      <c r="PKP115" s="17"/>
      <c r="PKQ115" s="17"/>
      <c r="PKR115" s="17"/>
      <c r="PKS115" s="17"/>
      <c r="PKT115" s="17"/>
      <c r="PKU115" s="17"/>
      <c r="PKV115" s="17"/>
      <c r="PKW115" s="17"/>
      <c r="PKX115" s="17"/>
      <c r="PKY115" s="17"/>
      <c r="PKZ115" s="17"/>
      <c r="PLA115" s="17"/>
      <c r="PLB115" s="17"/>
      <c r="PLC115" s="17"/>
      <c r="PLD115" s="17"/>
      <c r="PLE115" s="17"/>
      <c r="PLF115" s="17"/>
      <c r="PLG115" s="17"/>
      <c r="PLH115" s="17"/>
      <c r="PLI115" s="17"/>
      <c r="PLJ115" s="17"/>
      <c r="PLK115" s="17"/>
      <c r="PLL115" s="17"/>
      <c r="PLM115" s="17"/>
      <c r="PLN115" s="17"/>
      <c r="PLO115" s="17"/>
      <c r="PLP115" s="17"/>
      <c r="PLQ115" s="17"/>
      <c r="PLR115" s="17"/>
      <c r="PLS115" s="17"/>
      <c r="PLT115" s="17"/>
      <c r="PLU115" s="17"/>
      <c r="PLV115" s="17"/>
      <c r="PLW115" s="17"/>
      <c r="PLX115" s="17"/>
      <c r="PLY115" s="17"/>
      <c r="PLZ115" s="17"/>
      <c r="PMA115" s="17"/>
      <c r="PMB115" s="17"/>
      <c r="PMC115" s="17"/>
      <c r="PMD115" s="17"/>
      <c r="PME115" s="17"/>
      <c r="PMF115" s="17"/>
      <c r="PMG115" s="17"/>
      <c r="PMH115" s="17"/>
      <c r="PMI115" s="17"/>
      <c r="PMJ115" s="17"/>
      <c r="PMK115" s="17"/>
      <c r="PML115" s="17"/>
      <c r="PMM115" s="17"/>
      <c r="PMN115" s="17"/>
      <c r="PMO115" s="17"/>
      <c r="PMP115" s="17"/>
      <c r="PMQ115" s="17"/>
      <c r="PMR115" s="17"/>
      <c r="PMS115" s="17"/>
      <c r="PMT115" s="17"/>
      <c r="PMU115" s="17"/>
      <c r="PMV115" s="17"/>
      <c r="PMW115" s="17"/>
      <c r="PMX115" s="17"/>
      <c r="PMY115" s="17"/>
      <c r="PMZ115" s="17"/>
      <c r="PNA115" s="17"/>
      <c r="PNB115" s="17"/>
      <c r="PNC115" s="17"/>
      <c r="PND115" s="17"/>
      <c r="PNE115" s="17"/>
      <c r="PNF115" s="17"/>
      <c r="PNG115" s="17"/>
      <c r="PNH115" s="17"/>
      <c r="PNI115" s="17"/>
      <c r="PNJ115" s="17"/>
      <c r="PNK115" s="17"/>
      <c r="PNL115" s="17"/>
      <c r="PNM115" s="17"/>
      <c r="PNN115" s="17"/>
      <c r="PNO115" s="17"/>
      <c r="PNP115" s="17"/>
      <c r="PNQ115" s="17"/>
      <c r="PNR115" s="17"/>
      <c r="PNS115" s="17"/>
      <c r="PNT115" s="17"/>
      <c r="PNU115" s="17"/>
      <c r="PNV115" s="17"/>
      <c r="PNW115" s="17"/>
      <c r="PNX115" s="17"/>
      <c r="PNY115" s="17"/>
      <c r="PNZ115" s="17"/>
      <c r="POA115" s="17"/>
      <c r="POB115" s="17"/>
      <c r="POC115" s="17"/>
      <c r="POD115" s="17"/>
      <c r="POE115" s="17"/>
      <c r="POF115" s="17"/>
      <c r="POG115" s="17"/>
      <c r="POH115" s="17"/>
      <c r="POI115" s="17"/>
      <c r="POJ115" s="17"/>
      <c r="POK115" s="17"/>
      <c r="POL115" s="17"/>
      <c r="POM115" s="17"/>
      <c r="PON115" s="17"/>
      <c r="POO115" s="17"/>
      <c r="POP115" s="17"/>
      <c r="POQ115" s="17"/>
      <c r="POR115" s="17"/>
      <c r="POS115" s="17"/>
      <c r="POT115" s="17"/>
      <c r="POU115" s="17"/>
      <c r="POV115" s="17"/>
      <c r="POW115" s="17"/>
      <c r="POX115" s="17"/>
      <c r="POY115" s="17"/>
      <c r="POZ115" s="17"/>
      <c r="PPA115" s="17"/>
      <c r="PPB115" s="17"/>
      <c r="PPC115" s="17"/>
      <c r="PPD115" s="17"/>
      <c r="PPE115" s="17"/>
      <c r="PPF115" s="17"/>
      <c r="PPG115" s="17"/>
      <c r="PPH115" s="17"/>
      <c r="PPI115" s="17"/>
      <c r="PPJ115" s="17"/>
      <c r="PPK115" s="17"/>
      <c r="PPL115" s="17"/>
      <c r="PPM115" s="17"/>
      <c r="PPN115" s="17"/>
      <c r="PPO115" s="17"/>
      <c r="PPP115" s="17"/>
      <c r="PPQ115" s="17"/>
      <c r="PPR115" s="17"/>
      <c r="PPS115" s="17"/>
      <c r="PPT115" s="17"/>
      <c r="PPU115" s="17"/>
      <c r="PPV115" s="17"/>
      <c r="PPW115" s="17"/>
      <c r="PPX115" s="17"/>
      <c r="PPY115" s="17"/>
      <c r="PPZ115" s="17"/>
      <c r="PQA115" s="17"/>
      <c r="PQB115" s="17"/>
      <c r="PQC115" s="17"/>
      <c r="PQD115" s="17"/>
      <c r="PQE115" s="17"/>
      <c r="PQF115" s="17"/>
      <c r="PQG115" s="17"/>
      <c r="PQH115" s="17"/>
      <c r="PQI115" s="17"/>
      <c r="PQJ115" s="17"/>
      <c r="PQK115" s="17"/>
      <c r="PQL115" s="17"/>
      <c r="PQM115" s="17"/>
      <c r="PQN115" s="17"/>
      <c r="PQO115" s="17"/>
      <c r="PQP115" s="17"/>
      <c r="PQQ115" s="17"/>
      <c r="PQR115" s="17"/>
      <c r="PQS115" s="17"/>
      <c r="PQT115" s="17"/>
      <c r="PQU115" s="17"/>
      <c r="PQV115" s="17"/>
      <c r="PQW115" s="17"/>
      <c r="PQX115" s="17"/>
      <c r="PQY115" s="17"/>
      <c r="PQZ115" s="17"/>
      <c r="PRA115" s="17"/>
      <c r="PRB115" s="17"/>
      <c r="PRC115" s="17"/>
      <c r="PRD115" s="17"/>
      <c r="PRE115" s="17"/>
      <c r="PRF115" s="17"/>
      <c r="PRG115" s="17"/>
      <c r="PRH115" s="17"/>
      <c r="PRI115" s="17"/>
      <c r="PRJ115" s="17"/>
      <c r="PRK115" s="17"/>
      <c r="PRL115" s="17"/>
      <c r="PRM115" s="17"/>
      <c r="PRN115" s="17"/>
      <c r="PRO115" s="17"/>
      <c r="PRP115" s="17"/>
      <c r="PRQ115" s="17"/>
      <c r="PRR115" s="17"/>
      <c r="PRS115" s="17"/>
      <c r="PRT115" s="17"/>
      <c r="PRU115" s="17"/>
      <c r="PRV115" s="17"/>
      <c r="PRW115" s="17"/>
      <c r="PRX115" s="17"/>
      <c r="PRY115" s="17"/>
      <c r="PRZ115" s="17"/>
      <c r="PSA115" s="17"/>
      <c r="PSB115" s="17"/>
      <c r="PSC115" s="17"/>
      <c r="PSD115" s="17"/>
      <c r="PSE115" s="17"/>
      <c r="PSF115" s="17"/>
      <c r="PSG115" s="17"/>
      <c r="PSH115" s="17"/>
      <c r="PSI115" s="17"/>
      <c r="PSJ115" s="17"/>
      <c r="PSK115" s="17"/>
      <c r="PSL115" s="17"/>
      <c r="PSM115" s="17"/>
      <c r="PSN115" s="17"/>
      <c r="PSO115" s="17"/>
      <c r="PSP115" s="17"/>
      <c r="PSQ115" s="17"/>
      <c r="PSR115" s="17"/>
      <c r="PSS115" s="17"/>
      <c r="PST115" s="17"/>
      <c r="PSU115" s="17"/>
      <c r="PSV115" s="17"/>
      <c r="PSW115" s="17"/>
      <c r="PSX115" s="17"/>
      <c r="PSY115" s="17"/>
      <c r="PSZ115" s="17"/>
      <c r="PTA115" s="17"/>
      <c r="PTB115" s="17"/>
      <c r="PTC115" s="17"/>
      <c r="PTD115" s="17"/>
      <c r="PTE115" s="17"/>
      <c r="PTF115" s="17"/>
      <c r="PTG115" s="17"/>
      <c r="PTH115" s="17"/>
      <c r="PTI115" s="17"/>
      <c r="PTJ115" s="17"/>
      <c r="PTK115" s="17"/>
      <c r="PTL115" s="17"/>
      <c r="PTM115" s="17"/>
      <c r="PTN115" s="17"/>
      <c r="PTO115" s="17"/>
      <c r="PTP115" s="17"/>
      <c r="PTQ115" s="17"/>
      <c r="PTR115" s="17"/>
      <c r="PTS115" s="17"/>
      <c r="PTT115" s="17"/>
      <c r="PTU115" s="17"/>
      <c r="PTV115" s="17"/>
      <c r="PTW115" s="17"/>
      <c r="PTX115" s="17"/>
      <c r="PTY115" s="17"/>
      <c r="PTZ115" s="17"/>
      <c r="PUA115" s="17"/>
      <c r="PUB115" s="17"/>
      <c r="PUC115" s="17"/>
      <c r="PUD115" s="17"/>
      <c r="PUE115" s="17"/>
      <c r="PUF115" s="17"/>
      <c r="PUG115" s="17"/>
      <c r="PUH115" s="17"/>
      <c r="PUI115" s="17"/>
      <c r="PUJ115" s="17"/>
      <c r="PUK115" s="17"/>
      <c r="PUL115" s="17"/>
      <c r="PUM115" s="17"/>
      <c r="PUN115" s="17"/>
      <c r="PUO115" s="17"/>
      <c r="PUP115" s="17"/>
      <c r="PUQ115" s="17"/>
      <c r="PUR115" s="17"/>
      <c r="PUS115" s="17"/>
      <c r="PUT115" s="17"/>
      <c r="PUU115" s="17"/>
      <c r="PUV115" s="17"/>
      <c r="PUW115" s="17"/>
      <c r="PUX115" s="17"/>
      <c r="PUY115" s="17"/>
      <c r="PUZ115" s="17"/>
      <c r="PVA115" s="17"/>
      <c r="PVB115" s="17"/>
      <c r="PVC115" s="17"/>
      <c r="PVD115" s="17"/>
      <c r="PVE115" s="17"/>
      <c r="PVF115" s="17"/>
      <c r="PVG115" s="17"/>
      <c r="PVH115" s="17"/>
      <c r="PVI115" s="17"/>
      <c r="PVJ115" s="17"/>
      <c r="PVK115" s="17"/>
      <c r="PVL115" s="17"/>
      <c r="PVM115" s="17"/>
      <c r="PVN115" s="17"/>
      <c r="PVO115" s="17"/>
      <c r="PVP115" s="17"/>
      <c r="PVQ115" s="17"/>
      <c r="PVR115" s="17"/>
      <c r="PVS115" s="17"/>
      <c r="PVT115" s="17"/>
      <c r="PVU115" s="17"/>
      <c r="PVV115" s="17"/>
      <c r="PVW115" s="17"/>
      <c r="PVX115" s="17"/>
      <c r="PVY115" s="17"/>
      <c r="PVZ115" s="17"/>
      <c r="PWA115" s="17"/>
      <c r="PWB115" s="17"/>
      <c r="PWC115" s="17"/>
      <c r="PWD115" s="17"/>
      <c r="PWE115" s="17"/>
      <c r="PWF115" s="17"/>
      <c r="PWG115" s="17"/>
      <c r="PWH115" s="17"/>
      <c r="PWI115" s="17"/>
      <c r="PWJ115" s="17"/>
      <c r="PWK115" s="17"/>
      <c r="PWL115" s="17"/>
      <c r="PWM115" s="17"/>
      <c r="PWN115" s="17"/>
      <c r="PWO115" s="17"/>
      <c r="PWP115" s="17"/>
      <c r="PWQ115" s="17"/>
      <c r="PWR115" s="17"/>
      <c r="PWS115" s="17"/>
      <c r="PWT115" s="17"/>
      <c r="PWU115" s="17"/>
      <c r="PWV115" s="17"/>
      <c r="PWW115" s="17"/>
      <c r="PWX115" s="17"/>
      <c r="PWY115" s="17"/>
      <c r="PWZ115" s="17"/>
      <c r="PXA115" s="17"/>
      <c r="PXB115" s="17"/>
      <c r="PXC115" s="17"/>
      <c r="PXD115" s="17"/>
      <c r="PXE115" s="17"/>
      <c r="PXF115" s="17"/>
      <c r="PXG115" s="17"/>
      <c r="PXH115" s="17"/>
      <c r="PXI115" s="17"/>
      <c r="PXJ115" s="17"/>
      <c r="PXK115" s="17"/>
      <c r="PXL115" s="17"/>
      <c r="PXM115" s="17"/>
      <c r="PXN115" s="17"/>
      <c r="PXO115" s="17"/>
      <c r="PXP115" s="17"/>
      <c r="PXQ115" s="17"/>
      <c r="PXR115" s="17"/>
      <c r="PXS115" s="17"/>
      <c r="PXT115" s="17"/>
      <c r="PXU115" s="17"/>
      <c r="PXV115" s="17"/>
      <c r="PXW115" s="17"/>
      <c r="PXX115" s="17"/>
      <c r="PXY115" s="17"/>
      <c r="PXZ115" s="17"/>
      <c r="PYA115" s="17"/>
      <c r="PYB115" s="17"/>
      <c r="PYC115" s="17"/>
      <c r="PYD115" s="17"/>
      <c r="PYE115" s="17"/>
      <c r="PYF115" s="17"/>
      <c r="PYG115" s="17"/>
      <c r="PYH115" s="17"/>
      <c r="PYI115" s="17"/>
      <c r="PYJ115" s="17"/>
      <c r="PYK115" s="17"/>
      <c r="PYL115" s="17"/>
      <c r="PYM115" s="17"/>
      <c r="PYN115" s="17"/>
      <c r="PYO115" s="17"/>
      <c r="PYP115" s="17"/>
      <c r="PYQ115" s="17"/>
      <c r="PYR115" s="17"/>
      <c r="PYS115" s="17"/>
      <c r="PYT115" s="17"/>
      <c r="PYU115" s="17"/>
      <c r="PYV115" s="17"/>
      <c r="PYW115" s="17"/>
      <c r="PYX115" s="17"/>
      <c r="PYY115" s="17"/>
      <c r="PYZ115" s="17"/>
      <c r="PZA115" s="17"/>
      <c r="PZB115" s="17"/>
      <c r="PZC115" s="17"/>
      <c r="PZD115" s="17"/>
      <c r="PZE115" s="17"/>
      <c r="PZF115" s="17"/>
      <c r="PZG115" s="17"/>
      <c r="PZH115" s="17"/>
      <c r="PZI115" s="17"/>
      <c r="PZJ115" s="17"/>
      <c r="PZK115" s="17"/>
      <c r="PZL115" s="17"/>
      <c r="PZM115" s="17"/>
      <c r="PZN115" s="17"/>
      <c r="PZO115" s="17"/>
      <c r="PZP115" s="17"/>
      <c r="PZQ115" s="17"/>
      <c r="PZR115" s="17"/>
      <c r="PZS115" s="17"/>
      <c r="PZT115" s="17"/>
      <c r="PZU115" s="17"/>
      <c r="PZV115" s="17"/>
      <c r="PZW115" s="17"/>
      <c r="PZX115" s="17"/>
      <c r="PZY115" s="17"/>
      <c r="PZZ115" s="17"/>
      <c r="QAA115" s="17"/>
      <c r="QAB115" s="17"/>
      <c r="QAC115" s="17"/>
      <c r="QAD115" s="17"/>
      <c r="QAE115" s="17"/>
      <c r="QAF115" s="17"/>
      <c r="QAG115" s="17"/>
      <c r="QAH115" s="17"/>
      <c r="QAI115" s="17"/>
      <c r="QAJ115" s="17"/>
      <c r="QAK115" s="17"/>
      <c r="QAL115" s="17"/>
      <c r="QAM115" s="17"/>
      <c r="QAN115" s="17"/>
      <c r="QAO115" s="17"/>
      <c r="QAP115" s="17"/>
      <c r="QAQ115" s="17"/>
      <c r="QAR115" s="17"/>
      <c r="QAS115" s="17"/>
      <c r="QAT115" s="17"/>
      <c r="QAU115" s="17"/>
      <c r="QAV115" s="17"/>
      <c r="QAW115" s="17"/>
      <c r="QAX115" s="17"/>
      <c r="QAY115" s="17"/>
      <c r="QAZ115" s="17"/>
      <c r="QBA115" s="17"/>
      <c r="QBB115" s="17"/>
      <c r="QBC115" s="17"/>
      <c r="QBD115" s="17"/>
      <c r="QBE115" s="17"/>
      <c r="QBF115" s="17"/>
      <c r="QBG115" s="17"/>
      <c r="QBH115" s="17"/>
      <c r="QBI115" s="17"/>
      <c r="QBJ115" s="17"/>
      <c r="QBK115" s="17"/>
      <c r="QBL115" s="17"/>
      <c r="QBM115" s="17"/>
      <c r="QBN115" s="17"/>
      <c r="QBO115" s="17"/>
      <c r="QBP115" s="17"/>
      <c r="QBQ115" s="17"/>
      <c r="QBR115" s="17"/>
      <c r="QBS115" s="17"/>
      <c r="QBT115" s="17"/>
      <c r="QBU115" s="17"/>
      <c r="QBV115" s="17"/>
      <c r="QBW115" s="17"/>
      <c r="QBX115" s="17"/>
      <c r="QBY115" s="17"/>
      <c r="QBZ115" s="17"/>
      <c r="QCA115" s="17"/>
      <c r="QCB115" s="17"/>
      <c r="QCC115" s="17"/>
      <c r="QCD115" s="17"/>
      <c r="QCE115" s="17"/>
      <c r="QCF115" s="17"/>
      <c r="QCG115" s="17"/>
      <c r="QCH115" s="17"/>
      <c r="QCI115" s="17"/>
      <c r="QCJ115" s="17"/>
      <c r="QCK115" s="17"/>
      <c r="QCL115" s="17"/>
      <c r="QCM115" s="17"/>
      <c r="QCN115" s="17"/>
      <c r="QCO115" s="17"/>
      <c r="QCP115" s="17"/>
      <c r="QCQ115" s="17"/>
      <c r="QCR115" s="17"/>
      <c r="QCS115" s="17"/>
      <c r="QCT115" s="17"/>
      <c r="QCU115" s="17"/>
      <c r="QCV115" s="17"/>
      <c r="QCW115" s="17"/>
      <c r="QCX115" s="17"/>
      <c r="QCY115" s="17"/>
      <c r="QCZ115" s="17"/>
      <c r="QDA115" s="17"/>
      <c r="QDB115" s="17"/>
      <c r="QDC115" s="17"/>
      <c r="QDD115" s="17"/>
      <c r="QDE115" s="17"/>
      <c r="QDF115" s="17"/>
      <c r="QDG115" s="17"/>
      <c r="QDH115" s="17"/>
      <c r="QDI115" s="17"/>
      <c r="QDJ115" s="17"/>
      <c r="QDK115" s="17"/>
      <c r="QDL115" s="17"/>
      <c r="QDM115" s="17"/>
      <c r="QDN115" s="17"/>
      <c r="QDO115" s="17"/>
      <c r="QDP115" s="17"/>
      <c r="QDQ115" s="17"/>
      <c r="QDR115" s="17"/>
      <c r="QDS115" s="17"/>
      <c r="QDT115" s="17"/>
      <c r="QDU115" s="17"/>
      <c r="QDV115" s="17"/>
      <c r="QDW115" s="17"/>
      <c r="QDX115" s="17"/>
      <c r="QDY115" s="17"/>
      <c r="QDZ115" s="17"/>
      <c r="QEA115" s="17"/>
      <c r="QEB115" s="17"/>
      <c r="QEC115" s="17"/>
      <c r="QED115" s="17"/>
      <c r="QEE115" s="17"/>
      <c r="QEF115" s="17"/>
      <c r="QEG115" s="17"/>
      <c r="QEH115" s="17"/>
      <c r="QEI115" s="17"/>
      <c r="QEJ115" s="17"/>
      <c r="QEK115" s="17"/>
      <c r="QEL115" s="17"/>
      <c r="QEM115" s="17"/>
      <c r="QEN115" s="17"/>
      <c r="QEO115" s="17"/>
      <c r="QEP115" s="17"/>
      <c r="QEQ115" s="17"/>
      <c r="QER115" s="17"/>
      <c r="QES115" s="17"/>
      <c r="QET115" s="17"/>
      <c r="QEU115" s="17"/>
      <c r="QEV115" s="17"/>
      <c r="QEW115" s="17"/>
      <c r="QEX115" s="17"/>
      <c r="QEY115" s="17"/>
      <c r="QEZ115" s="17"/>
      <c r="QFA115" s="17"/>
      <c r="QFB115" s="17"/>
      <c r="QFC115" s="17"/>
      <c r="QFD115" s="17"/>
      <c r="QFE115" s="17"/>
      <c r="QFF115" s="17"/>
      <c r="QFG115" s="17"/>
      <c r="QFH115" s="17"/>
      <c r="QFI115" s="17"/>
      <c r="QFJ115" s="17"/>
      <c r="QFK115" s="17"/>
      <c r="QFL115" s="17"/>
      <c r="QFM115" s="17"/>
      <c r="QFN115" s="17"/>
      <c r="QFO115" s="17"/>
      <c r="QFP115" s="17"/>
      <c r="QFQ115" s="17"/>
      <c r="QFR115" s="17"/>
      <c r="QFS115" s="17"/>
      <c r="QFT115" s="17"/>
      <c r="QFU115" s="17"/>
      <c r="QFV115" s="17"/>
      <c r="QFW115" s="17"/>
      <c r="QFX115" s="17"/>
      <c r="QFY115" s="17"/>
      <c r="QFZ115" s="17"/>
      <c r="QGA115" s="17"/>
      <c r="QGB115" s="17"/>
      <c r="QGC115" s="17"/>
      <c r="QGD115" s="17"/>
      <c r="QGE115" s="17"/>
      <c r="QGF115" s="17"/>
      <c r="QGG115" s="17"/>
      <c r="QGH115" s="17"/>
      <c r="QGI115" s="17"/>
      <c r="QGJ115" s="17"/>
      <c r="QGK115" s="17"/>
      <c r="QGL115" s="17"/>
      <c r="QGM115" s="17"/>
      <c r="QGN115" s="17"/>
      <c r="QGO115" s="17"/>
      <c r="QGP115" s="17"/>
      <c r="QGQ115" s="17"/>
      <c r="QGR115" s="17"/>
      <c r="QGS115" s="17"/>
      <c r="QGT115" s="17"/>
      <c r="QGU115" s="17"/>
      <c r="QGV115" s="17"/>
      <c r="QGW115" s="17"/>
      <c r="QGX115" s="17"/>
      <c r="QGY115" s="17"/>
      <c r="QGZ115" s="17"/>
      <c r="QHA115" s="17"/>
      <c r="QHB115" s="17"/>
      <c r="QHC115" s="17"/>
      <c r="QHD115" s="17"/>
      <c r="QHE115" s="17"/>
      <c r="QHF115" s="17"/>
      <c r="QHG115" s="17"/>
      <c r="QHH115" s="17"/>
      <c r="QHI115" s="17"/>
      <c r="QHJ115" s="17"/>
      <c r="QHK115" s="17"/>
      <c r="QHL115" s="17"/>
      <c r="QHM115" s="17"/>
      <c r="QHN115" s="17"/>
      <c r="QHO115" s="17"/>
      <c r="QHP115" s="17"/>
      <c r="QHQ115" s="17"/>
      <c r="QHR115" s="17"/>
      <c r="QHS115" s="17"/>
      <c r="QHT115" s="17"/>
      <c r="QHU115" s="17"/>
      <c r="QHV115" s="17"/>
      <c r="QHW115" s="17"/>
      <c r="QHX115" s="17"/>
      <c r="QHY115" s="17"/>
      <c r="QHZ115" s="17"/>
      <c r="QIA115" s="17"/>
      <c r="QIB115" s="17"/>
      <c r="QIC115" s="17"/>
      <c r="QID115" s="17"/>
      <c r="QIE115" s="17"/>
      <c r="QIF115" s="17"/>
      <c r="QIG115" s="17"/>
      <c r="QIH115" s="17"/>
      <c r="QII115" s="17"/>
      <c r="QIJ115" s="17"/>
      <c r="QIK115" s="17"/>
      <c r="QIL115" s="17"/>
      <c r="QIM115" s="17"/>
      <c r="QIN115" s="17"/>
      <c r="QIO115" s="17"/>
      <c r="QIP115" s="17"/>
      <c r="QIQ115" s="17"/>
      <c r="QIR115" s="17"/>
      <c r="QIS115" s="17"/>
      <c r="QIT115" s="17"/>
      <c r="QIU115" s="17"/>
      <c r="QIV115" s="17"/>
      <c r="QIW115" s="17"/>
      <c r="QIX115" s="17"/>
      <c r="QIY115" s="17"/>
      <c r="QIZ115" s="17"/>
      <c r="QJA115" s="17"/>
      <c r="QJB115" s="17"/>
      <c r="QJC115" s="17"/>
      <c r="QJD115" s="17"/>
      <c r="QJE115" s="17"/>
      <c r="QJF115" s="17"/>
      <c r="QJG115" s="17"/>
      <c r="QJH115" s="17"/>
      <c r="QJI115" s="17"/>
      <c r="QJJ115" s="17"/>
      <c r="QJK115" s="17"/>
      <c r="QJL115" s="17"/>
      <c r="QJM115" s="17"/>
      <c r="QJN115" s="17"/>
      <c r="QJO115" s="17"/>
      <c r="QJP115" s="17"/>
      <c r="QJQ115" s="17"/>
      <c r="QJR115" s="17"/>
      <c r="QJS115" s="17"/>
      <c r="QJT115" s="17"/>
      <c r="QJU115" s="17"/>
      <c r="QJV115" s="17"/>
      <c r="QJW115" s="17"/>
      <c r="QJX115" s="17"/>
      <c r="QJY115" s="17"/>
      <c r="QJZ115" s="17"/>
      <c r="QKA115" s="17"/>
      <c r="QKB115" s="17"/>
      <c r="QKC115" s="17"/>
      <c r="QKD115" s="17"/>
      <c r="QKE115" s="17"/>
      <c r="QKF115" s="17"/>
      <c r="QKG115" s="17"/>
      <c r="QKH115" s="17"/>
      <c r="QKI115" s="17"/>
      <c r="QKJ115" s="17"/>
      <c r="QKK115" s="17"/>
      <c r="QKL115" s="17"/>
      <c r="QKM115" s="17"/>
      <c r="QKN115" s="17"/>
      <c r="QKO115" s="17"/>
      <c r="QKP115" s="17"/>
      <c r="QKQ115" s="17"/>
      <c r="QKR115" s="17"/>
      <c r="QKS115" s="17"/>
      <c r="QKT115" s="17"/>
      <c r="QKU115" s="17"/>
      <c r="QKV115" s="17"/>
      <c r="QKW115" s="17"/>
      <c r="QKX115" s="17"/>
      <c r="QKY115" s="17"/>
      <c r="QKZ115" s="17"/>
      <c r="QLA115" s="17"/>
      <c r="QLB115" s="17"/>
      <c r="QLC115" s="17"/>
      <c r="QLD115" s="17"/>
      <c r="QLE115" s="17"/>
      <c r="QLF115" s="17"/>
      <c r="QLG115" s="17"/>
      <c r="QLH115" s="17"/>
      <c r="QLI115" s="17"/>
      <c r="QLJ115" s="17"/>
      <c r="QLK115" s="17"/>
      <c r="QLL115" s="17"/>
      <c r="QLM115" s="17"/>
      <c r="QLN115" s="17"/>
      <c r="QLO115" s="17"/>
      <c r="QLP115" s="17"/>
      <c r="QLQ115" s="17"/>
      <c r="QLR115" s="17"/>
      <c r="QLS115" s="17"/>
      <c r="QLT115" s="17"/>
      <c r="QLU115" s="17"/>
      <c r="QLV115" s="17"/>
      <c r="QLW115" s="17"/>
      <c r="QLX115" s="17"/>
      <c r="QLY115" s="17"/>
      <c r="QLZ115" s="17"/>
      <c r="QMA115" s="17"/>
      <c r="QMB115" s="17"/>
      <c r="QMC115" s="17"/>
      <c r="QMD115" s="17"/>
      <c r="QME115" s="17"/>
      <c r="QMF115" s="17"/>
      <c r="QMG115" s="17"/>
      <c r="QMH115" s="17"/>
      <c r="QMI115" s="17"/>
      <c r="QMJ115" s="17"/>
      <c r="QMK115" s="17"/>
      <c r="QML115" s="17"/>
      <c r="QMM115" s="17"/>
      <c r="QMN115" s="17"/>
      <c r="QMO115" s="17"/>
      <c r="QMP115" s="17"/>
      <c r="QMQ115" s="17"/>
      <c r="QMR115" s="17"/>
      <c r="QMS115" s="17"/>
      <c r="QMT115" s="17"/>
      <c r="QMU115" s="17"/>
      <c r="QMV115" s="17"/>
      <c r="QMW115" s="17"/>
      <c r="QMX115" s="17"/>
      <c r="QMY115" s="17"/>
      <c r="QMZ115" s="17"/>
      <c r="QNA115" s="17"/>
      <c r="QNB115" s="17"/>
      <c r="QNC115" s="17"/>
      <c r="QND115" s="17"/>
      <c r="QNE115" s="17"/>
      <c r="QNF115" s="17"/>
      <c r="QNG115" s="17"/>
      <c r="QNH115" s="17"/>
      <c r="QNI115" s="17"/>
      <c r="QNJ115" s="17"/>
      <c r="QNK115" s="17"/>
      <c r="QNL115" s="17"/>
      <c r="QNM115" s="17"/>
      <c r="QNN115" s="17"/>
      <c r="QNO115" s="17"/>
      <c r="QNP115" s="17"/>
      <c r="QNQ115" s="17"/>
      <c r="QNR115" s="17"/>
      <c r="QNS115" s="17"/>
      <c r="QNT115" s="17"/>
      <c r="QNU115" s="17"/>
      <c r="QNV115" s="17"/>
      <c r="QNW115" s="17"/>
      <c r="QNX115" s="17"/>
      <c r="QNY115" s="17"/>
      <c r="QNZ115" s="17"/>
      <c r="QOA115" s="17"/>
      <c r="QOB115" s="17"/>
      <c r="QOC115" s="17"/>
      <c r="QOD115" s="17"/>
      <c r="QOE115" s="17"/>
      <c r="QOF115" s="17"/>
      <c r="QOG115" s="17"/>
      <c r="QOH115" s="17"/>
      <c r="QOI115" s="17"/>
      <c r="QOJ115" s="17"/>
      <c r="QOK115" s="17"/>
      <c r="QOL115" s="17"/>
      <c r="QOM115" s="17"/>
      <c r="QON115" s="17"/>
      <c r="QOO115" s="17"/>
      <c r="QOP115" s="17"/>
      <c r="QOQ115" s="17"/>
      <c r="QOR115" s="17"/>
      <c r="QOS115" s="17"/>
      <c r="QOT115" s="17"/>
      <c r="QOU115" s="17"/>
      <c r="QOV115" s="17"/>
      <c r="QOW115" s="17"/>
      <c r="QOX115" s="17"/>
      <c r="QOY115" s="17"/>
      <c r="QOZ115" s="17"/>
      <c r="QPA115" s="17"/>
      <c r="QPB115" s="17"/>
      <c r="QPC115" s="17"/>
      <c r="QPD115" s="17"/>
      <c r="QPE115" s="17"/>
      <c r="QPF115" s="17"/>
      <c r="QPG115" s="17"/>
      <c r="QPH115" s="17"/>
      <c r="QPI115" s="17"/>
      <c r="QPJ115" s="17"/>
      <c r="QPK115" s="17"/>
      <c r="QPL115" s="17"/>
      <c r="QPM115" s="17"/>
      <c r="QPN115" s="17"/>
      <c r="QPO115" s="17"/>
      <c r="QPP115" s="17"/>
      <c r="QPQ115" s="17"/>
      <c r="QPR115" s="17"/>
      <c r="QPS115" s="17"/>
      <c r="QPT115" s="17"/>
      <c r="QPU115" s="17"/>
      <c r="QPV115" s="17"/>
      <c r="QPW115" s="17"/>
      <c r="QPX115" s="17"/>
      <c r="QPY115" s="17"/>
      <c r="QPZ115" s="17"/>
      <c r="QQA115" s="17"/>
      <c r="QQB115" s="17"/>
      <c r="QQC115" s="17"/>
      <c r="QQD115" s="17"/>
      <c r="QQE115" s="17"/>
      <c r="QQF115" s="17"/>
      <c r="QQG115" s="17"/>
      <c r="QQH115" s="17"/>
      <c r="QQI115" s="17"/>
      <c r="QQJ115" s="17"/>
      <c r="QQK115" s="17"/>
      <c r="QQL115" s="17"/>
      <c r="QQM115" s="17"/>
      <c r="QQN115" s="17"/>
      <c r="QQO115" s="17"/>
      <c r="QQP115" s="17"/>
      <c r="QQQ115" s="17"/>
      <c r="QQR115" s="17"/>
      <c r="QQS115" s="17"/>
      <c r="QQT115" s="17"/>
      <c r="QQU115" s="17"/>
      <c r="QQV115" s="17"/>
      <c r="QQW115" s="17"/>
      <c r="QQX115" s="17"/>
      <c r="QQY115" s="17"/>
      <c r="QQZ115" s="17"/>
      <c r="QRA115" s="17"/>
      <c r="QRB115" s="17"/>
      <c r="QRC115" s="17"/>
      <c r="QRD115" s="17"/>
      <c r="QRE115" s="17"/>
      <c r="QRF115" s="17"/>
      <c r="QRG115" s="17"/>
      <c r="QRH115" s="17"/>
      <c r="QRI115" s="17"/>
      <c r="QRJ115" s="17"/>
      <c r="QRK115" s="17"/>
      <c r="QRL115" s="17"/>
      <c r="QRM115" s="17"/>
      <c r="QRN115" s="17"/>
      <c r="QRO115" s="17"/>
      <c r="QRP115" s="17"/>
      <c r="QRQ115" s="17"/>
      <c r="QRR115" s="17"/>
      <c r="QRS115" s="17"/>
      <c r="QRT115" s="17"/>
      <c r="QRU115" s="17"/>
      <c r="QRV115" s="17"/>
      <c r="QRW115" s="17"/>
      <c r="QRX115" s="17"/>
      <c r="QRY115" s="17"/>
      <c r="QRZ115" s="17"/>
      <c r="QSA115" s="17"/>
      <c r="QSB115" s="17"/>
      <c r="QSC115" s="17"/>
      <c r="QSD115" s="17"/>
      <c r="QSE115" s="17"/>
      <c r="QSF115" s="17"/>
      <c r="QSG115" s="17"/>
      <c r="QSH115" s="17"/>
      <c r="QSI115" s="17"/>
      <c r="QSJ115" s="17"/>
      <c r="QSK115" s="17"/>
      <c r="QSL115" s="17"/>
      <c r="QSM115" s="17"/>
      <c r="QSN115" s="17"/>
      <c r="QSO115" s="17"/>
      <c r="QSP115" s="17"/>
      <c r="QSQ115" s="17"/>
      <c r="QSR115" s="17"/>
      <c r="QSS115" s="17"/>
      <c r="QST115" s="17"/>
      <c r="QSU115" s="17"/>
      <c r="QSV115" s="17"/>
      <c r="QSW115" s="17"/>
      <c r="QSX115" s="17"/>
      <c r="QSY115" s="17"/>
      <c r="QSZ115" s="17"/>
      <c r="QTA115" s="17"/>
      <c r="QTB115" s="17"/>
      <c r="QTC115" s="17"/>
      <c r="QTD115" s="17"/>
      <c r="QTE115" s="17"/>
      <c r="QTF115" s="17"/>
      <c r="QTG115" s="17"/>
      <c r="QTH115" s="17"/>
      <c r="QTI115" s="17"/>
      <c r="QTJ115" s="17"/>
      <c r="QTK115" s="17"/>
      <c r="QTL115" s="17"/>
      <c r="QTM115" s="17"/>
      <c r="QTN115" s="17"/>
      <c r="QTO115" s="17"/>
      <c r="QTP115" s="17"/>
      <c r="QTQ115" s="17"/>
      <c r="QTR115" s="17"/>
      <c r="QTS115" s="17"/>
      <c r="QTT115" s="17"/>
      <c r="QTU115" s="17"/>
      <c r="QTV115" s="17"/>
      <c r="QTW115" s="17"/>
      <c r="QTX115" s="17"/>
      <c r="QTY115" s="17"/>
      <c r="QTZ115" s="17"/>
      <c r="QUA115" s="17"/>
      <c r="QUB115" s="17"/>
      <c r="QUC115" s="17"/>
      <c r="QUD115" s="17"/>
      <c r="QUE115" s="17"/>
      <c r="QUF115" s="17"/>
      <c r="QUG115" s="17"/>
      <c r="QUH115" s="17"/>
      <c r="QUI115" s="17"/>
      <c r="QUJ115" s="17"/>
      <c r="QUK115" s="17"/>
      <c r="QUL115" s="17"/>
      <c r="QUM115" s="17"/>
      <c r="QUN115" s="17"/>
      <c r="QUO115" s="17"/>
      <c r="QUP115" s="17"/>
      <c r="QUQ115" s="17"/>
      <c r="QUR115" s="17"/>
      <c r="QUS115" s="17"/>
      <c r="QUT115" s="17"/>
      <c r="QUU115" s="17"/>
      <c r="QUV115" s="17"/>
      <c r="QUW115" s="17"/>
      <c r="QUX115" s="17"/>
      <c r="QUY115" s="17"/>
      <c r="QUZ115" s="17"/>
      <c r="QVA115" s="17"/>
      <c r="QVB115" s="17"/>
      <c r="QVC115" s="17"/>
      <c r="QVD115" s="17"/>
      <c r="QVE115" s="17"/>
      <c r="QVF115" s="17"/>
      <c r="QVG115" s="17"/>
      <c r="QVH115" s="17"/>
      <c r="QVI115" s="17"/>
      <c r="QVJ115" s="17"/>
      <c r="QVK115" s="17"/>
      <c r="QVL115" s="17"/>
      <c r="QVM115" s="17"/>
      <c r="QVN115" s="17"/>
      <c r="QVO115" s="17"/>
      <c r="QVP115" s="17"/>
      <c r="QVQ115" s="17"/>
      <c r="QVR115" s="17"/>
      <c r="QVS115" s="17"/>
      <c r="QVT115" s="17"/>
      <c r="QVU115" s="17"/>
      <c r="QVV115" s="17"/>
      <c r="QVW115" s="17"/>
      <c r="QVX115" s="17"/>
      <c r="QVY115" s="17"/>
      <c r="QVZ115" s="17"/>
      <c r="QWA115" s="17"/>
      <c r="QWB115" s="17"/>
      <c r="QWC115" s="17"/>
      <c r="QWD115" s="17"/>
      <c r="QWE115" s="17"/>
      <c r="QWF115" s="17"/>
      <c r="QWG115" s="17"/>
      <c r="QWH115" s="17"/>
      <c r="QWI115" s="17"/>
      <c r="QWJ115" s="17"/>
      <c r="QWK115" s="17"/>
      <c r="QWL115" s="17"/>
      <c r="QWM115" s="17"/>
      <c r="QWN115" s="17"/>
      <c r="QWO115" s="17"/>
      <c r="QWP115" s="17"/>
      <c r="QWQ115" s="17"/>
      <c r="QWR115" s="17"/>
      <c r="QWS115" s="17"/>
      <c r="QWT115" s="17"/>
      <c r="QWU115" s="17"/>
      <c r="QWV115" s="17"/>
      <c r="QWW115" s="17"/>
      <c r="QWX115" s="17"/>
      <c r="QWY115" s="17"/>
      <c r="QWZ115" s="17"/>
      <c r="QXA115" s="17"/>
      <c r="QXB115" s="17"/>
      <c r="QXC115" s="17"/>
      <c r="QXD115" s="17"/>
      <c r="QXE115" s="17"/>
      <c r="QXF115" s="17"/>
      <c r="QXG115" s="17"/>
      <c r="QXH115" s="17"/>
      <c r="QXI115" s="17"/>
      <c r="QXJ115" s="17"/>
      <c r="QXK115" s="17"/>
      <c r="QXL115" s="17"/>
      <c r="QXM115" s="17"/>
      <c r="QXN115" s="17"/>
      <c r="QXO115" s="17"/>
      <c r="QXP115" s="17"/>
      <c r="QXQ115" s="17"/>
      <c r="QXR115" s="17"/>
      <c r="QXS115" s="17"/>
      <c r="QXT115" s="17"/>
      <c r="QXU115" s="17"/>
      <c r="QXV115" s="17"/>
      <c r="QXW115" s="17"/>
      <c r="QXX115" s="17"/>
      <c r="QXY115" s="17"/>
      <c r="QXZ115" s="17"/>
      <c r="QYA115" s="17"/>
      <c r="QYB115" s="17"/>
      <c r="QYC115" s="17"/>
      <c r="QYD115" s="17"/>
      <c r="QYE115" s="17"/>
      <c r="QYF115" s="17"/>
      <c r="QYG115" s="17"/>
      <c r="QYH115" s="17"/>
      <c r="QYI115" s="17"/>
      <c r="QYJ115" s="17"/>
      <c r="QYK115" s="17"/>
      <c r="QYL115" s="17"/>
      <c r="QYM115" s="17"/>
      <c r="QYN115" s="17"/>
      <c r="QYO115" s="17"/>
      <c r="QYP115" s="17"/>
      <c r="QYQ115" s="17"/>
      <c r="QYR115" s="17"/>
      <c r="QYS115" s="17"/>
      <c r="QYT115" s="17"/>
      <c r="QYU115" s="17"/>
      <c r="QYV115" s="17"/>
      <c r="QYW115" s="17"/>
      <c r="QYX115" s="17"/>
      <c r="QYY115" s="17"/>
      <c r="QYZ115" s="17"/>
      <c r="QZA115" s="17"/>
      <c r="QZB115" s="17"/>
      <c r="QZC115" s="17"/>
      <c r="QZD115" s="17"/>
      <c r="QZE115" s="17"/>
      <c r="QZF115" s="17"/>
      <c r="QZG115" s="17"/>
      <c r="QZH115" s="17"/>
      <c r="QZI115" s="17"/>
      <c r="QZJ115" s="17"/>
      <c r="QZK115" s="17"/>
      <c r="QZL115" s="17"/>
      <c r="QZM115" s="17"/>
      <c r="QZN115" s="17"/>
      <c r="QZO115" s="17"/>
      <c r="QZP115" s="17"/>
      <c r="QZQ115" s="17"/>
      <c r="QZR115" s="17"/>
      <c r="QZS115" s="17"/>
      <c r="QZT115" s="17"/>
      <c r="QZU115" s="17"/>
      <c r="QZV115" s="17"/>
      <c r="QZW115" s="17"/>
      <c r="QZX115" s="17"/>
      <c r="QZY115" s="17"/>
      <c r="QZZ115" s="17"/>
      <c r="RAA115" s="17"/>
      <c r="RAB115" s="17"/>
      <c r="RAC115" s="17"/>
      <c r="RAD115" s="17"/>
      <c r="RAE115" s="17"/>
      <c r="RAF115" s="17"/>
      <c r="RAG115" s="17"/>
      <c r="RAH115" s="17"/>
      <c r="RAI115" s="17"/>
      <c r="RAJ115" s="17"/>
      <c r="RAK115" s="17"/>
      <c r="RAL115" s="17"/>
      <c r="RAM115" s="17"/>
      <c r="RAN115" s="17"/>
      <c r="RAO115" s="17"/>
      <c r="RAP115" s="17"/>
      <c r="RAQ115" s="17"/>
      <c r="RAR115" s="17"/>
      <c r="RAS115" s="17"/>
      <c r="RAT115" s="17"/>
      <c r="RAU115" s="17"/>
      <c r="RAV115" s="17"/>
      <c r="RAW115" s="17"/>
      <c r="RAX115" s="17"/>
      <c r="RAY115" s="17"/>
      <c r="RAZ115" s="17"/>
      <c r="RBA115" s="17"/>
      <c r="RBB115" s="17"/>
      <c r="RBC115" s="17"/>
      <c r="RBD115" s="17"/>
      <c r="RBE115" s="17"/>
      <c r="RBF115" s="17"/>
      <c r="RBG115" s="17"/>
      <c r="RBH115" s="17"/>
      <c r="RBI115" s="17"/>
      <c r="RBJ115" s="17"/>
      <c r="RBK115" s="17"/>
      <c r="RBL115" s="17"/>
      <c r="RBM115" s="17"/>
      <c r="RBN115" s="17"/>
      <c r="RBO115" s="17"/>
      <c r="RBP115" s="17"/>
      <c r="RBQ115" s="17"/>
      <c r="RBR115" s="17"/>
      <c r="RBS115" s="17"/>
      <c r="RBT115" s="17"/>
      <c r="RBU115" s="17"/>
      <c r="RBV115" s="17"/>
      <c r="RBW115" s="17"/>
      <c r="RBX115" s="17"/>
      <c r="RBY115" s="17"/>
      <c r="RBZ115" s="17"/>
      <c r="RCA115" s="17"/>
      <c r="RCB115" s="17"/>
      <c r="RCC115" s="17"/>
      <c r="RCD115" s="17"/>
      <c r="RCE115" s="17"/>
      <c r="RCF115" s="17"/>
      <c r="RCG115" s="17"/>
      <c r="RCH115" s="17"/>
      <c r="RCI115" s="17"/>
      <c r="RCJ115" s="17"/>
      <c r="RCK115" s="17"/>
      <c r="RCL115" s="17"/>
      <c r="RCM115" s="17"/>
      <c r="RCN115" s="17"/>
      <c r="RCO115" s="17"/>
      <c r="RCP115" s="17"/>
      <c r="RCQ115" s="17"/>
      <c r="RCR115" s="17"/>
      <c r="RCS115" s="17"/>
      <c r="RCT115" s="17"/>
      <c r="RCU115" s="17"/>
      <c r="RCV115" s="17"/>
      <c r="RCW115" s="17"/>
      <c r="RCX115" s="17"/>
      <c r="RCY115" s="17"/>
      <c r="RCZ115" s="17"/>
      <c r="RDA115" s="17"/>
      <c r="RDB115" s="17"/>
      <c r="RDC115" s="17"/>
      <c r="RDD115" s="17"/>
      <c r="RDE115" s="17"/>
      <c r="RDF115" s="17"/>
      <c r="RDG115" s="17"/>
      <c r="RDH115" s="17"/>
      <c r="RDI115" s="17"/>
      <c r="RDJ115" s="17"/>
      <c r="RDK115" s="17"/>
      <c r="RDL115" s="17"/>
      <c r="RDM115" s="17"/>
      <c r="RDN115" s="17"/>
      <c r="RDO115" s="17"/>
      <c r="RDP115" s="17"/>
      <c r="RDQ115" s="17"/>
      <c r="RDR115" s="17"/>
      <c r="RDS115" s="17"/>
      <c r="RDT115" s="17"/>
      <c r="RDU115" s="17"/>
      <c r="RDV115" s="17"/>
      <c r="RDW115" s="17"/>
      <c r="RDX115" s="17"/>
      <c r="RDY115" s="17"/>
      <c r="RDZ115" s="17"/>
      <c r="REA115" s="17"/>
      <c r="REB115" s="17"/>
      <c r="REC115" s="17"/>
      <c r="RED115" s="17"/>
      <c r="REE115" s="17"/>
      <c r="REF115" s="17"/>
      <c r="REG115" s="17"/>
      <c r="REH115" s="17"/>
      <c r="REI115" s="17"/>
      <c r="REJ115" s="17"/>
      <c r="REK115" s="17"/>
      <c r="REL115" s="17"/>
      <c r="REM115" s="17"/>
      <c r="REN115" s="17"/>
      <c r="REO115" s="17"/>
      <c r="REP115" s="17"/>
      <c r="REQ115" s="17"/>
      <c r="RER115" s="17"/>
      <c r="RES115" s="17"/>
      <c r="RET115" s="17"/>
      <c r="REU115" s="17"/>
      <c r="REV115" s="17"/>
      <c r="REW115" s="17"/>
      <c r="REX115" s="17"/>
      <c r="REY115" s="17"/>
      <c r="REZ115" s="17"/>
      <c r="RFA115" s="17"/>
      <c r="RFB115" s="17"/>
      <c r="RFC115" s="17"/>
      <c r="RFD115" s="17"/>
      <c r="RFE115" s="17"/>
      <c r="RFF115" s="17"/>
      <c r="RFG115" s="17"/>
      <c r="RFH115" s="17"/>
      <c r="RFI115" s="17"/>
      <c r="RFJ115" s="17"/>
      <c r="RFK115" s="17"/>
      <c r="RFL115" s="17"/>
      <c r="RFM115" s="17"/>
      <c r="RFN115" s="17"/>
      <c r="RFO115" s="17"/>
      <c r="RFP115" s="17"/>
      <c r="RFQ115" s="17"/>
      <c r="RFR115" s="17"/>
      <c r="RFS115" s="17"/>
      <c r="RFT115" s="17"/>
      <c r="RFU115" s="17"/>
      <c r="RFV115" s="17"/>
      <c r="RFW115" s="17"/>
      <c r="RFX115" s="17"/>
      <c r="RFY115" s="17"/>
      <c r="RFZ115" s="17"/>
      <c r="RGA115" s="17"/>
      <c r="RGB115" s="17"/>
      <c r="RGC115" s="17"/>
      <c r="RGD115" s="17"/>
      <c r="RGE115" s="17"/>
      <c r="RGF115" s="17"/>
      <c r="RGG115" s="17"/>
      <c r="RGH115" s="17"/>
      <c r="RGI115" s="17"/>
      <c r="RGJ115" s="17"/>
      <c r="RGK115" s="17"/>
      <c r="RGL115" s="17"/>
      <c r="RGM115" s="17"/>
      <c r="RGN115" s="17"/>
      <c r="RGO115" s="17"/>
      <c r="RGP115" s="17"/>
      <c r="RGQ115" s="17"/>
      <c r="RGR115" s="17"/>
      <c r="RGS115" s="17"/>
      <c r="RGT115" s="17"/>
      <c r="RGU115" s="17"/>
      <c r="RGV115" s="17"/>
      <c r="RGW115" s="17"/>
      <c r="RGX115" s="17"/>
      <c r="RGY115" s="17"/>
      <c r="RGZ115" s="17"/>
      <c r="RHA115" s="17"/>
      <c r="RHB115" s="17"/>
      <c r="RHC115" s="17"/>
      <c r="RHD115" s="17"/>
      <c r="RHE115" s="17"/>
      <c r="RHF115" s="17"/>
      <c r="RHG115" s="17"/>
      <c r="RHH115" s="17"/>
      <c r="RHI115" s="17"/>
      <c r="RHJ115" s="17"/>
      <c r="RHK115" s="17"/>
      <c r="RHL115" s="17"/>
      <c r="RHM115" s="17"/>
      <c r="RHN115" s="17"/>
      <c r="RHO115" s="17"/>
      <c r="RHP115" s="17"/>
      <c r="RHQ115" s="17"/>
      <c r="RHR115" s="17"/>
      <c r="RHS115" s="17"/>
      <c r="RHT115" s="17"/>
      <c r="RHU115" s="17"/>
      <c r="RHV115" s="17"/>
      <c r="RHW115" s="17"/>
      <c r="RHX115" s="17"/>
      <c r="RHY115" s="17"/>
      <c r="RHZ115" s="17"/>
      <c r="RIA115" s="17"/>
      <c r="RIB115" s="17"/>
      <c r="RIC115" s="17"/>
      <c r="RID115" s="17"/>
      <c r="RIE115" s="17"/>
      <c r="RIF115" s="17"/>
      <c r="RIG115" s="17"/>
      <c r="RIH115" s="17"/>
      <c r="RII115" s="17"/>
      <c r="RIJ115" s="17"/>
      <c r="RIK115" s="17"/>
      <c r="RIL115" s="17"/>
      <c r="RIM115" s="17"/>
      <c r="RIN115" s="17"/>
      <c r="RIO115" s="17"/>
      <c r="RIP115" s="17"/>
      <c r="RIQ115" s="17"/>
      <c r="RIR115" s="17"/>
      <c r="RIS115" s="17"/>
      <c r="RIT115" s="17"/>
      <c r="RIU115" s="17"/>
      <c r="RIV115" s="17"/>
      <c r="RIW115" s="17"/>
      <c r="RIX115" s="17"/>
      <c r="RIY115" s="17"/>
      <c r="RIZ115" s="17"/>
      <c r="RJA115" s="17"/>
      <c r="RJB115" s="17"/>
      <c r="RJC115" s="17"/>
      <c r="RJD115" s="17"/>
      <c r="RJE115" s="17"/>
      <c r="RJF115" s="17"/>
      <c r="RJG115" s="17"/>
      <c r="RJH115" s="17"/>
      <c r="RJI115" s="17"/>
      <c r="RJJ115" s="17"/>
      <c r="RJK115" s="17"/>
      <c r="RJL115" s="17"/>
      <c r="RJM115" s="17"/>
      <c r="RJN115" s="17"/>
      <c r="RJO115" s="17"/>
      <c r="RJP115" s="17"/>
      <c r="RJQ115" s="17"/>
      <c r="RJR115" s="17"/>
      <c r="RJS115" s="17"/>
      <c r="RJT115" s="17"/>
      <c r="RJU115" s="17"/>
      <c r="RJV115" s="17"/>
      <c r="RJW115" s="17"/>
      <c r="RJX115" s="17"/>
      <c r="RJY115" s="17"/>
      <c r="RJZ115" s="17"/>
      <c r="RKA115" s="17"/>
      <c r="RKB115" s="17"/>
      <c r="RKC115" s="17"/>
      <c r="RKD115" s="17"/>
      <c r="RKE115" s="17"/>
      <c r="RKF115" s="17"/>
      <c r="RKG115" s="17"/>
      <c r="RKH115" s="17"/>
      <c r="RKI115" s="17"/>
      <c r="RKJ115" s="17"/>
      <c r="RKK115" s="17"/>
      <c r="RKL115" s="17"/>
      <c r="RKM115" s="17"/>
      <c r="RKN115" s="17"/>
      <c r="RKO115" s="17"/>
      <c r="RKP115" s="17"/>
      <c r="RKQ115" s="17"/>
      <c r="RKR115" s="17"/>
      <c r="RKS115" s="17"/>
      <c r="RKT115" s="17"/>
      <c r="RKU115" s="17"/>
      <c r="RKV115" s="17"/>
      <c r="RKW115" s="17"/>
      <c r="RKX115" s="17"/>
      <c r="RKY115" s="17"/>
      <c r="RKZ115" s="17"/>
      <c r="RLA115" s="17"/>
      <c r="RLB115" s="17"/>
      <c r="RLC115" s="17"/>
      <c r="RLD115" s="17"/>
      <c r="RLE115" s="17"/>
      <c r="RLF115" s="17"/>
      <c r="RLG115" s="17"/>
      <c r="RLH115" s="17"/>
      <c r="RLI115" s="17"/>
      <c r="RLJ115" s="17"/>
      <c r="RLK115" s="17"/>
      <c r="RLL115" s="17"/>
      <c r="RLM115" s="17"/>
      <c r="RLN115" s="17"/>
      <c r="RLO115" s="17"/>
      <c r="RLP115" s="17"/>
      <c r="RLQ115" s="17"/>
      <c r="RLR115" s="17"/>
      <c r="RLS115" s="17"/>
      <c r="RLT115" s="17"/>
      <c r="RLU115" s="17"/>
      <c r="RLV115" s="17"/>
      <c r="RLW115" s="17"/>
      <c r="RLX115" s="17"/>
      <c r="RLY115" s="17"/>
      <c r="RLZ115" s="17"/>
      <c r="RMA115" s="17"/>
      <c r="RMB115" s="17"/>
      <c r="RMC115" s="17"/>
      <c r="RMD115" s="17"/>
      <c r="RME115" s="17"/>
      <c r="RMF115" s="17"/>
      <c r="RMG115" s="17"/>
      <c r="RMH115" s="17"/>
      <c r="RMI115" s="17"/>
      <c r="RMJ115" s="17"/>
      <c r="RMK115" s="17"/>
      <c r="RML115" s="17"/>
      <c r="RMM115" s="17"/>
      <c r="RMN115" s="17"/>
      <c r="RMO115" s="17"/>
      <c r="RMP115" s="17"/>
      <c r="RMQ115" s="17"/>
      <c r="RMR115" s="17"/>
      <c r="RMS115" s="17"/>
      <c r="RMT115" s="17"/>
      <c r="RMU115" s="17"/>
      <c r="RMV115" s="17"/>
      <c r="RMW115" s="17"/>
      <c r="RMX115" s="17"/>
      <c r="RMY115" s="17"/>
      <c r="RMZ115" s="17"/>
      <c r="RNA115" s="17"/>
      <c r="RNB115" s="17"/>
      <c r="RNC115" s="17"/>
      <c r="RND115" s="17"/>
      <c r="RNE115" s="17"/>
      <c r="RNF115" s="17"/>
      <c r="RNG115" s="17"/>
      <c r="RNH115" s="17"/>
      <c r="RNI115" s="17"/>
      <c r="RNJ115" s="17"/>
      <c r="RNK115" s="17"/>
      <c r="RNL115" s="17"/>
      <c r="RNM115" s="17"/>
      <c r="RNN115" s="17"/>
      <c r="RNO115" s="17"/>
      <c r="RNP115" s="17"/>
      <c r="RNQ115" s="17"/>
      <c r="RNR115" s="17"/>
      <c r="RNS115" s="17"/>
      <c r="RNT115" s="17"/>
      <c r="RNU115" s="17"/>
      <c r="RNV115" s="17"/>
      <c r="RNW115" s="17"/>
      <c r="RNX115" s="17"/>
      <c r="RNY115" s="17"/>
      <c r="RNZ115" s="17"/>
      <c r="ROA115" s="17"/>
      <c r="ROB115" s="17"/>
      <c r="ROC115" s="17"/>
      <c r="ROD115" s="17"/>
      <c r="ROE115" s="17"/>
      <c r="ROF115" s="17"/>
      <c r="ROG115" s="17"/>
      <c r="ROH115" s="17"/>
      <c r="ROI115" s="17"/>
      <c r="ROJ115" s="17"/>
      <c r="ROK115" s="17"/>
      <c r="ROL115" s="17"/>
      <c r="ROM115" s="17"/>
      <c r="RON115" s="17"/>
      <c r="ROO115" s="17"/>
      <c r="ROP115" s="17"/>
      <c r="ROQ115" s="17"/>
      <c r="ROR115" s="17"/>
      <c r="ROS115" s="17"/>
      <c r="ROT115" s="17"/>
      <c r="ROU115" s="17"/>
      <c r="ROV115" s="17"/>
      <c r="ROW115" s="17"/>
      <c r="ROX115" s="17"/>
      <c r="ROY115" s="17"/>
      <c r="ROZ115" s="17"/>
      <c r="RPA115" s="17"/>
      <c r="RPB115" s="17"/>
      <c r="RPC115" s="17"/>
      <c r="RPD115" s="17"/>
      <c r="RPE115" s="17"/>
      <c r="RPF115" s="17"/>
      <c r="RPG115" s="17"/>
      <c r="RPH115" s="17"/>
      <c r="RPI115" s="17"/>
      <c r="RPJ115" s="17"/>
      <c r="RPK115" s="17"/>
      <c r="RPL115" s="17"/>
      <c r="RPM115" s="17"/>
      <c r="RPN115" s="17"/>
      <c r="RPO115" s="17"/>
      <c r="RPP115" s="17"/>
      <c r="RPQ115" s="17"/>
      <c r="RPR115" s="17"/>
      <c r="RPS115" s="17"/>
      <c r="RPT115" s="17"/>
      <c r="RPU115" s="17"/>
      <c r="RPV115" s="17"/>
      <c r="RPW115" s="17"/>
      <c r="RPX115" s="17"/>
      <c r="RPY115" s="17"/>
      <c r="RPZ115" s="17"/>
      <c r="RQA115" s="17"/>
      <c r="RQB115" s="17"/>
      <c r="RQC115" s="17"/>
      <c r="RQD115" s="17"/>
      <c r="RQE115" s="17"/>
      <c r="RQF115" s="17"/>
      <c r="RQG115" s="17"/>
      <c r="RQH115" s="17"/>
      <c r="RQI115" s="17"/>
      <c r="RQJ115" s="17"/>
      <c r="RQK115" s="17"/>
      <c r="RQL115" s="17"/>
      <c r="RQM115" s="17"/>
      <c r="RQN115" s="17"/>
      <c r="RQO115" s="17"/>
      <c r="RQP115" s="17"/>
      <c r="RQQ115" s="17"/>
      <c r="RQR115" s="17"/>
      <c r="RQS115" s="17"/>
      <c r="RQT115" s="17"/>
      <c r="RQU115" s="17"/>
      <c r="RQV115" s="17"/>
      <c r="RQW115" s="17"/>
      <c r="RQX115" s="17"/>
      <c r="RQY115" s="17"/>
      <c r="RQZ115" s="17"/>
      <c r="RRA115" s="17"/>
      <c r="RRB115" s="17"/>
      <c r="RRC115" s="17"/>
      <c r="RRD115" s="17"/>
      <c r="RRE115" s="17"/>
      <c r="RRF115" s="17"/>
      <c r="RRG115" s="17"/>
      <c r="RRH115" s="17"/>
      <c r="RRI115" s="17"/>
      <c r="RRJ115" s="17"/>
      <c r="RRK115" s="17"/>
      <c r="RRL115" s="17"/>
      <c r="RRM115" s="17"/>
      <c r="RRN115" s="17"/>
      <c r="RRO115" s="17"/>
      <c r="RRP115" s="17"/>
      <c r="RRQ115" s="17"/>
      <c r="RRR115" s="17"/>
      <c r="RRS115" s="17"/>
      <c r="RRT115" s="17"/>
      <c r="RRU115" s="17"/>
      <c r="RRV115" s="17"/>
      <c r="RRW115" s="17"/>
      <c r="RRX115" s="17"/>
      <c r="RRY115" s="17"/>
      <c r="RRZ115" s="17"/>
      <c r="RSA115" s="17"/>
      <c r="RSB115" s="17"/>
      <c r="RSC115" s="17"/>
      <c r="RSD115" s="17"/>
      <c r="RSE115" s="17"/>
      <c r="RSF115" s="17"/>
      <c r="RSG115" s="17"/>
      <c r="RSH115" s="17"/>
      <c r="RSI115" s="17"/>
      <c r="RSJ115" s="17"/>
      <c r="RSK115" s="17"/>
      <c r="RSL115" s="17"/>
      <c r="RSM115" s="17"/>
      <c r="RSN115" s="17"/>
      <c r="RSO115" s="17"/>
      <c r="RSP115" s="17"/>
      <c r="RSQ115" s="17"/>
      <c r="RSR115" s="17"/>
      <c r="RSS115" s="17"/>
      <c r="RST115" s="17"/>
      <c r="RSU115" s="17"/>
      <c r="RSV115" s="17"/>
      <c r="RSW115" s="17"/>
      <c r="RSX115" s="17"/>
      <c r="RSY115" s="17"/>
      <c r="RSZ115" s="17"/>
      <c r="RTA115" s="17"/>
      <c r="RTB115" s="17"/>
      <c r="RTC115" s="17"/>
      <c r="RTD115" s="17"/>
      <c r="RTE115" s="17"/>
      <c r="RTF115" s="17"/>
      <c r="RTG115" s="17"/>
      <c r="RTH115" s="17"/>
      <c r="RTI115" s="17"/>
      <c r="RTJ115" s="17"/>
      <c r="RTK115" s="17"/>
      <c r="RTL115" s="17"/>
      <c r="RTM115" s="17"/>
      <c r="RTN115" s="17"/>
      <c r="RTO115" s="17"/>
      <c r="RTP115" s="17"/>
      <c r="RTQ115" s="17"/>
      <c r="RTR115" s="17"/>
      <c r="RTS115" s="17"/>
      <c r="RTT115" s="17"/>
      <c r="RTU115" s="17"/>
      <c r="RTV115" s="17"/>
      <c r="RTW115" s="17"/>
      <c r="RTX115" s="17"/>
      <c r="RTY115" s="17"/>
      <c r="RTZ115" s="17"/>
      <c r="RUA115" s="17"/>
      <c r="RUB115" s="17"/>
      <c r="RUC115" s="17"/>
      <c r="RUD115" s="17"/>
      <c r="RUE115" s="17"/>
      <c r="RUF115" s="17"/>
      <c r="RUG115" s="17"/>
      <c r="RUH115" s="17"/>
      <c r="RUI115" s="17"/>
      <c r="RUJ115" s="17"/>
      <c r="RUK115" s="17"/>
      <c r="RUL115" s="17"/>
      <c r="RUM115" s="17"/>
      <c r="RUN115" s="17"/>
      <c r="RUO115" s="17"/>
      <c r="RUP115" s="17"/>
      <c r="RUQ115" s="17"/>
      <c r="RUR115" s="17"/>
      <c r="RUS115" s="17"/>
      <c r="RUT115" s="17"/>
      <c r="RUU115" s="17"/>
      <c r="RUV115" s="17"/>
      <c r="RUW115" s="17"/>
      <c r="RUX115" s="17"/>
      <c r="RUY115" s="17"/>
      <c r="RUZ115" s="17"/>
      <c r="RVA115" s="17"/>
      <c r="RVB115" s="17"/>
      <c r="RVC115" s="17"/>
      <c r="RVD115" s="17"/>
      <c r="RVE115" s="17"/>
      <c r="RVF115" s="17"/>
      <c r="RVG115" s="17"/>
      <c r="RVH115" s="17"/>
      <c r="RVI115" s="17"/>
      <c r="RVJ115" s="17"/>
      <c r="RVK115" s="17"/>
      <c r="RVL115" s="17"/>
      <c r="RVM115" s="17"/>
      <c r="RVN115" s="17"/>
      <c r="RVO115" s="17"/>
      <c r="RVP115" s="17"/>
      <c r="RVQ115" s="17"/>
      <c r="RVR115" s="17"/>
      <c r="RVS115" s="17"/>
      <c r="RVT115" s="17"/>
      <c r="RVU115" s="17"/>
      <c r="RVV115" s="17"/>
      <c r="RVW115" s="17"/>
      <c r="RVX115" s="17"/>
      <c r="RVY115" s="17"/>
      <c r="RVZ115" s="17"/>
      <c r="RWA115" s="17"/>
      <c r="RWB115" s="17"/>
      <c r="RWC115" s="17"/>
      <c r="RWD115" s="17"/>
      <c r="RWE115" s="17"/>
      <c r="RWF115" s="17"/>
      <c r="RWG115" s="17"/>
      <c r="RWH115" s="17"/>
      <c r="RWI115" s="17"/>
      <c r="RWJ115" s="17"/>
      <c r="RWK115" s="17"/>
      <c r="RWL115" s="17"/>
      <c r="RWM115" s="17"/>
      <c r="RWN115" s="17"/>
      <c r="RWO115" s="17"/>
      <c r="RWP115" s="17"/>
      <c r="RWQ115" s="17"/>
      <c r="RWR115" s="17"/>
      <c r="RWS115" s="17"/>
      <c r="RWT115" s="17"/>
      <c r="RWU115" s="17"/>
      <c r="RWV115" s="17"/>
      <c r="RWW115" s="17"/>
      <c r="RWX115" s="17"/>
      <c r="RWY115" s="17"/>
      <c r="RWZ115" s="17"/>
      <c r="RXA115" s="17"/>
      <c r="RXB115" s="17"/>
      <c r="RXC115" s="17"/>
      <c r="RXD115" s="17"/>
      <c r="RXE115" s="17"/>
      <c r="RXF115" s="17"/>
      <c r="RXG115" s="17"/>
      <c r="RXH115" s="17"/>
      <c r="RXI115" s="17"/>
      <c r="RXJ115" s="17"/>
      <c r="RXK115" s="17"/>
      <c r="RXL115" s="17"/>
      <c r="RXM115" s="17"/>
      <c r="RXN115" s="17"/>
      <c r="RXO115" s="17"/>
      <c r="RXP115" s="17"/>
      <c r="RXQ115" s="17"/>
      <c r="RXR115" s="17"/>
      <c r="RXS115" s="17"/>
      <c r="RXT115" s="17"/>
      <c r="RXU115" s="17"/>
      <c r="RXV115" s="17"/>
      <c r="RXW115" s="17"/>
      <c r="RXX115" s="17"/>
      <c r="RXY115" s="17"/>
      <c r="RXZ115" s="17"/>
      <c r="RYA115" s="17"/>
      <c r="RYB115" s="17"/>
      <c r="RYC115" s="17"/>
      <c r="RYD115" s="17"/>
      <c r="RYE115" s="17"/>
      <c r="RYF115" s="17"/>
      <c r="RYG115" s="17"/>
      <c r="RYH115" s="17"/>
      <c r="RYI115" s="17"/>
      <c r="RYJ115" s="17"/>
      <c r="RYK115" s="17"/>
      <c r="RYL115" s="17"/>
      <c r="RYM115" s="17"/>
      <c r="RYN115" s="17"/>
      <c r="RYO115" s="17"/>
      <c r="RYP115" s="17"/>
      <c r="RYQ115" s="17"/>
      <c r="RYR115" s="17"/>
      <c r="RYS115" s="17"/>
      <c r="RYT115" s="17"/>
      <c r="RYU115" s="17"/>
      <c r="RYV115" s="17"/>
      <c r="RYW115" s="17"/>
      <c r="RYX115" s="17"/>
      <c r="RYY115" s="17"/>
      <c r="RYZ115" s="17"/>
      <c r="RZA115" s="17"/>
      <c r="RZB115" s="17"/>
      <c r="RZC115" s="17"/>
      <c r="RZD115" s="17"/>
      <c r="RZE115" s="17"/>
      <c r="RZF115" s="17"/>
      <c r="RZG115" s="17"/>
      <c r="RZH115" s="17"/>
      <c r="RZI115" s="17"/>
      <c r="RZJ115" s="17"/>
      <c r="RZK115" s="17"/>
      <c r="RZL115" s="17"/>
      <c r="RZM115" s="17"/>
      <c r="RZN115" s="17"/>
      <c r="RZO115" s="17"/>
      <c r="RZP115" s="17"/>
      <c r="RZQ115" s="17"/>
      <c r="RZR115" s="17"/>
      <c r="RZS115" s="17"/>
      <c r="RZT115" s="17"/>
      <c r="RZU115" s="17"/>
      <c r="RZV115" s="17"/>
      <c r="RZW115" s="17"/>
      <c r="RZX115" s="17"/>
      <c r="RZY115" s="17"/>
      <c r="RZZ115" s="17"/>
      <c r="SAA115" s="17"/>
      <c r="SAB115" s="17"/>
      <c r="SAC115" s="17"/>
      <c r="SAD115" s="17"/>
      <c r="SAE115" s="17"/>
      <c r="SAF115" s="17"/>
      <c r="SAG115" s="17"/>
      <c r="SAH115" s="17"/>
      <c r="SAI115" s="17"/>
      <c r="SAJ115" s="17"/>
      <c r="SAK115" s="17"/>
      <c r="SAL115" s="17"/>
      <c r="SAM115" s="17"/>
      <c r="SAN115" s="17"/>
      <c r="SAO115" s="17"/>
      <c r="SAP115" s="17"/>
      <c r="SAQ115" s="17"/>
      <c r="SAR115" s="17"/>
      <c r="SAS115" s="17"/>
      <c r="SAT115" s="17"/>
      <c r="SAU115" s="17"/>
      <c r="SAV115" s="17"/>
      <c r="SAW115" s="17"/>
      <c r="SAX115" s="17"/>
      <c r="SAY115" s="17"/>
      <c r="SAZ115" s="17"/>
      <c r="SBA115" s="17"/>
      <c r="SBB115" s="17"/>
      <c r="SBC115" s="17"/>
      <c r="SBD115" s="17"/>
      <c r="SBE115" s="17"/>
      <c r="SBF115" s="17"/>
      <c r="SBG115" s="17"/>
      <c r="SBH115" s="17"/>
      <c r="SBI115" s="17"/>
      <c r="SBJ115" s="17"/>
      <c r="SBK115" s="17"/>
      <c r="SBL115" s="17"/>
      <c r="SBM115" s="17"/>
      <c r="SBN115" s="17"/>
      <c r="SBO115" s="17"/>
      <c r="SBP115" s="17"/>
      <c r="SBQ115" s="17"/>
      <c r="SBR115" s="17"/>
      <c r="SBS115" s="17"/>
      <c r="SBT115" s="17"/>
      <c r="SBU115" s="17"/>
      <c r="SBV115" s="17"/>
      <c r="SBW115" s="17"/>
      <c r="SBX115" s="17"/>
      <c r="SBY115" s="17"/>
      <c r="SBZ115" s="17"/>
      <c r="SCA115" s="17"/>
      <c r="SCB115" s="17"/>
      <c r="SCC115" s="17"/>
      <c r="SCD115" s="17"/>
      <c r="SCE115" s="17"/>
      <c r="SCF115" s="17"/>
      <c r="SCG115" s="17"/>
      <c r="SCH115" s="17"/>
      <c r="SCI115" s="17"/>
      <c r="SCJ115" s="17"/>
      <c r="SCK115" s="17"/>
      <c r="SCL115" s="17"/>
      <c r="SCM115" s="17"/>
      <c r="SCN115" s="17"/>
      <c r="SCO115" s="17"/>
      <c r="SCP115" s="17"/>
      <c r="SCQ115" s="17"/>
      <c r="SCR115" s="17"/>
      <c r="SCS115" s="17"/>
      <c r="SCT115" s="17"/>
      <c r="SCU115" s="17"/>
      <c r="SCV115" s="17"/>
      <c r="SCW115" s="17"/>
      <c r="SCX115" s="17"/>
      <c r="SCY115" s="17"/>
      <c r="SCZ115" s="17"/>
      <c r="SDA115" s="17"/>
      <c r="SDB115" s="17"/>
      <c r="SDC115" s="17"/>
      <c r="SDD115" s="17"/>
      <c r="SDE115" s="17"/>
      <c r="SDF115" s="17"/>
      <c r="SDG115" s="17"/>
      <c r="SDH115" s="17"/>
      <c r="SDI115" s="17"/>
      <c r="SDJ115" s="17"/>
      <c r="SDK115" s="17"/>
      <c r="SDL115" s="17"/>
      <c r="SDM115" s="17"/>
      <c r="SDN115" s="17"/>
      <c r="SDO115" s="17"/>
      <c r="SDP115" s="17"/>
      <c r="SDQ115" s="17"/>
      <c r="SDR115" s="17"/>
      <c r="SDS115" s="17"/>
      <c r="SDT115" s="17"/>
      <c r="SDU115" s="17"/>
      <c r="SDV115" s="17"/>
      <c r="SDW115" s="17"/>
      <c r="SDX115" s="17"/>
      <c r="SDY115" s="17"/>
      <c r="SDZ115" s="17"/>
      <c r="SEA115" s="17"/>
      <c r="SEB115" s="17"/>
      <c r="SEC115" s="17"/>
      <c r="SED115" s="17"/>
      <c r="SEE115" s="17"/>
      <c r="SEF115" s="17"/>
      <c r="SEG115" s="17"/>
      <c r="SEH115" s="17"/>
      <c r="SEI115" s="17"/>
      <c r="SEJ115" s="17"/>
      <c r="SEK115" s="17"/>
      <c r="SEL115" s="17"/>
      <c r="SEM115" s="17"/>
      <c r="SEN115" s="17"/>
      <c r="SEO115" s="17"/>
      <c r="SEP115" s="17"/>
      <c r="SEQ115" s="17"/>
      <c r="SER115" s="17"/>
      <c r="SES115" s="17"/>
      <c r="SET115" s="17"/>
      <c r="SEU115" s="17"/>
      <c r="SEV115" s="17"/>
      <c r="SEW115" s="17"/>
      <c r="SEX115" s="17"/>
      <c r="SEY115" s="17"/>
      <c r="SEZ115" s="17"/>
      <c r="SFA115" s="17"/>
      <c r="SFB115" s="17"/>
      <c r="SFC115" s="17"/>
      <c r="SFD115" s="17"/>
      <c r="SFE115" s="17"/>
      <c r="SFF115" s="17"/>
      <c r="SFG115" s="17"/>
      <c r="SFH115" s="17"/>
      <c r="SFI115" s="17"/>
      <c r="SFJ115" s="17"/>
      <c r="SFK115" s="17"/>
      <c r="SFL115" s="17"/>
      <c r="SFM115" s="17"/>
      <c r="SFN115" s="17"/>
      <c r="SFO115" s="17"/>
      <c r="SFP115" s="17"/>
      <c r="SFQ115" s="17"/>
      <c r="SFR115" s="17"/>
      <c r="SFS115" s="17"/>
      <c r="SFT115" s="17"/>
      <c r="SFU115" s="17"/>
      <c r="SFV115" s="17"/>
      <c r="SFW115" s="17"/>
      <c r="SFX115" s="17"/>
      <c r="SFY115" s="17"/>
      <c r="SFZ115" s="17"/>
      <c r="SGA115" s="17"/>
      <c r="SGB115" s="17"/>
      <c r="SGC115" s="17"/>
      <c r="SGD115" s="17"/>
      <c r="SGE115" s="17"/>
      <c r="SGF115" s="17"/>
      <c r="SGG115" s="17"/>
      <c r="SGH115" s="17"/>
      <c r="SGI115" s="17"/>
      <c r="SGJ115" s="17"/>
      <c r="SGK115" s="17"/>
      <c r="SGL115" s="17"/>
      <c r="SGM115" s="17"/>
      <c r="SGN115" s="17"/>
      <c r="SGO115" s="17"/>
      <c r="SGP115" s="17"/>
      <c r="SGQ115" s="17"/>
      <c r="SGR115" s="17"/>
      <c r="SGS115" s="17"/>
      <c r="SGT115" s="17"/>
      <c r="SGU115" s="17"/>
      <c r="SGV115" s="17"/>
      <c r="SGW115" s="17"/>
      <c r="SGX115" s="17"/>
      <c r="SGY115" s="17"/>
      <c r="SGZ115" s="17"/>
      <c r="SHA115" s="17"/>
      <c r="SHB115" s="17"/>
      <c r="SHC115" s="17"/>
      <c r="SHD115" s="17"/>
      <c r="SHE115" s="17"/>
      <c r="SHF115" s="17"/>
      <c r="SHG115" s="17"/>
      <c r="SHH115" s="17"/>
      <c r="SHI115" s="17"/>
      <c r="SHJ115" s="17"/>
      <c r="SHK115" s="17"/>
      <c r="SHL115" s="17"/>
      <c r="SHM115" s="17"/>
      <c r="SHN115" s="17"/>
      <c r="SHO115" s="17"/>
      <c r="SHP115" s="17"/>
      <c r="SHQ115" s="17"/>
      <c r="SHR115" s="17"/>
      <c r="SHS115" s="17"/>
      <c r="SHT115" s="17"/>
      <c r="SHU115" s="17"/>
      <c r="SHV115" s="17"/>
      <c r="SHW115" s="17"/>
      <c r="SHX115" s="17"/>
      <c r="SHY115" s="17"/>
      <c r="SHZ115" s="17"/>
      <c r="SIA115" s="17"/>
      <c r="SIB115" s="17"/>
      <c r="SIC115" s="17"/>
      <c r="SID115" s="17"/>
      <c r="SIE115" s="17"/>
      <c r="SIF115" s="17"/>
      <c r="SIG115" s="17"/>
      <c r="SIH115" s="17"/>
      <c r="SII115" s="17"/>
      <c r="SIJ115" s="17"/>
      <c r="SIK115" s="17"/>
      <c r="SIL115" s="17"/>
      <c r="SIM115" s="17"/>
      <c r="SIN115" s="17"/>
      <c r="SIO115" s="17"/>
      <c r="SIP115" s="17"/>
      <c r="SIQ115" s="17"/>
      <c r="SIR115" s="17"/>
      <c r="SIS115" s="17"/>
      <c r="SIT115" s="17"/>
      <c r="SIU115" s="17"/>
      <c r="SIV115" s="17"/>
      <c r="SIW115" s="17"/>
      <c r="SIX115" s="17"/>
      <c r="SIY115" s="17"/>
      <c r="SIZ115" s="17"/>
      <c r="SJA115" s="17"/>
      <c r="SJB115" s="17"/>
      <c r="SJC115" s="17"/>
      <c r="SJD115" s="17"/>
      <c r="SJE115" s="17"/>
      <c r="SJF115" s="17"/>
      <c r="SJG115" s="17"/>
      <c r="SJH115" s="17"/>
      <c r="SJI115" s="17"/>
      <c r="SJJ115" s="17"/>
      <c r="SJK115" s="17"/>
      <c r="SJL115" s="17"/>
      <c r="SJM115" s="17"/>
      <c r="SJN115" s="17"/>
      <c r="SJO115" s="17"/>
      <c r="SJP115" s="17"/>
      <c r="SJQ115" s="17"/>
      <c r="SJR115" s="17"/>
      <c r="SJS115" s="17"/>
      <c r="SJT115" s="17"/>
      <c r="SJU115" s="17"/>
      <c r="SJV115" s="17"/>
      <c r="SJW115" s="17"/>
      <c r="SJX115" s="17"/>
      <c r="SJY115" s="17"/>
      <c r="SJZ115" s="17"/>
      <c r="SKA115" s="17"/>
      <c r="SKB115" s="17"/>
      <c r="SKC115" s="17"/>
      <c r="SKD115" s="17"/>
      <c r="SKE115" s="17"/>
      <c r="SKF115" s="17"/>
      <c r="SKG115" s="17"/>
      <c r="SKH115" s="17"/>
      <c r="SKI115" s="17"/>
      <c r="SKJ115" s="17"/>
      <c r="SKK115" s="17"/>
      <c r="SKL115" s="17"/>
      <c r="SKM115" s="17"/>
      <c r="SKN115" s="17"/>
      <c r="SKO115" s="17"/>
      <c r="SKP115" s="17"/>
      <c r="SKQ115" s="17"/>
      <c r="SKR115" s="17"/>
      <c r="SKS115" s="17"/>
      <c r="SKT115" s="17"/>
      <c r="SKU115" s="17"/>
      <c r="SKV115" s="17"/>
      <c r="SKW115" s="17"/>
      <c r="SKX115" s="17"/>
      <c r="SKY115" s="17"/>
      <c r="SKZ115" s="17"/>
      <c r="SLA115" s="17"/>
      <c r="SLB115" s="17"/>
      <c r="SLC115" s="17"/>
      <c r="SLD115" s="17"/>
      <c r="SLE115" s="17"/>
      <c r="SLF115" s="17"/>
      <c r="SLG115" s="17"/>
      <c r="SLH115" s="17"/>
      <c r="SLI115" s="17"/>
      <c r="SLJ115" s="17"/>
      <c r="SLK115" s="17"/>
      <c r="SLL115" s="17"/>
      <c r="SLM115" s="17"/>
      <c r="SLN115" s="17"/>
      <c r="SLO115" s="17"/>
      <c r="SLP115" s="17"/>
      <c r="SLQ115" s="17"/>
      <c r="SLR115" s="17"/>
      <c r="SLS115" s="17"/>
      <c r="SLT115" s="17"/>
      <c r="SLU115" s="17"/>
      <c r="SLV115" s="17"/>
      <c r="SLW115" s="17"/>
      <c r="SLX115" s="17"/>
      <c r="SLY115" s="17"/>
      <c r="SLZ115" s="17"/>
      <c r="SMA115" s="17"/>
      <c r="SMB115" s="17"/>
      <c r="SMC115" s="17"/>
      <c r="SMD115" s="17"/>
      <c r="SME115" s="17"/>
      <c r="SMF115" s="17"/>
      <c r="SMG115" s="17"/>
      <c r="SMH115" s="17"/>
      <c r="SMI115" s="17"/>
      <c r="SMJ115" s="17"/>
      <c r="SMK115" s="17"/>
      <c r="SML115" s="17"/>
      <c r="SMM115" s="17"/>
      <c r="SMN115" s="17"/>
      <c r="SMO115" s="17"/>
      <c r="SMP115" s="17"/>
      <c r="SMQ115" s="17"/>
      <c r="SMR115" s="17"/>
      <c r="SMS115" s="17"/>
      <c r="SMT115" s="17"/>
      <c r="SMU115" s="17"/>
      <c r="SMV115" s="17"/>
      <c r="SMW115" s="17"/>
      <c r="SMX115" s="17"/>
      <c r="SMY115" s="17"/>
      <c r="SMZ115" s="17"/>
      <c r="SNA115" s="17"/>
      <c r="SNB115" s="17"/>
      <c r="SNC115" s="17"/>
      <c r="SND115" s="17"/>
      <c r="SNE115" s="17"/>
      <c r="SNF115" s="17"/>
      <c r="SNG115" s="17"/>
      <c r="SNH115" s="17"/>
      <c r="SNI115" s="17"/>
      <c r="SNJ115" s="17"/>
      <c r="SNK115" s="17"/>
      <c r="SNL115" s="17"/>
      <c r="SNM115" s="17"/>
      <c r="SNN115" s="17"/>
      <c r="SNO115" s="17"/>
      <c r="SNP115" s="17"/>
      <c r="SNQ115" s="17"/>
      <c r="SNR115" s="17"/>
      <c r="SNS115" s="17"/>
      <c r="SNT115" s="17"/>
      <c r="SNU115" s="17"/>
      <c r="SNV115" s="17"/>
      <c r="SNW115" s="17"/>
      <c r="SNX115" s="17"/>
      <c r="SNY115" s="17"/>
      <c r="SNZ115" s="17"/>
      <c r="SOA115" s="17"/>
      <c r="SOB115" s="17"/>
      <c r="SOC115" s="17"/>
      <c r="SOD115" s="17"/>
      <c r="SOE115" s="17"/>
      <c r="SOF115" s="17"/>
      <c r="SOG115" s="17"/>
      <c r="SOH115" s="17"/>
      <c r="SOI115" s="17"/>
      <c r="SOJ115" s="17"/>
      <c r="SOK115" s="17"/>
      <c r="SOL115" s="17"/>
      <c r="SOM115" s="17"/>
      <c r="SON115" s="17"/>
      <c r="SOO115" s="17"/>
      <c r="SOP115" s="17"/>
      <c r="SOQ115" s="17"/>
      <c r="SOR115" s="17"/>
      <c r="SOS115" s="17"/>
      <c r="SOT115" s="17"/>
      <c r="SOU115" s="17"/>
      <c r="SOV115" s="17"/>
      <c r="SOW115" s="17"/>
      <c r="SOX115" s="17"/>
      <c r="SOY115" s="17"/>
      <c r="SOZ115" s="17"/>
      <c r="SPA115" s="17"/>
      <c r="SPB115" s="17"/>
      <c r="SPC115" s="17"/>
      <c r="SPD115" s="17"/>
      <c r="SPE115" s="17"/>
      <c r="SPF115" s="17"/>
      <c r="SPG115" s="17"/>
      <c r="SPH115" s="17"/>
      <c r="SPI115" s="17"/>
      <c r="SPJ115" s="17"/>
      <c r="SPK115" s="17"/>
      <c r="SPL115" s="17"/>
      <c r="SPM115" s="17"/>
      <c r="SPN115" s="17"/>
      <c r="SPO115" s="17"/>
      <c r="SPP115" s="17"/>
      <c r="SPQ115" s="17"/>
      <c r="SPR115" s="17"/>
      <c r="SPS115" s="17"/>
      <c r="SPT115" s="17"/>
      <c r="SPU115" s="17"/>
      <c r="SPV115" s="17"/>
      <c r="SPW115" s="17"/>
      <c r="SPX115" s="17"/>
      <c r="SPY115" s="17"/>
      <c r="SPZ115" s="17"/>
      <c r="SQA115" s="17"/>
      <c r="SQB115" s="17"/>
      <c r="SQC115" s="17"/>
      <c r="SQD115" s="17"/>
      <c r="SQE115" s="17"/>
      <c r="SQF115" s="17"/>
      <c r="SQG115" s="17"/>
      <c r="SQH115" s="17"/>
      <c r="SQI115" s="17"/>
      <c r="SQJ115" s="17"/>
      <c r="SQK115" s="17"/>
      <c r="SQL115" s="17"/>
      <c r="SQM115" s="17"/>
      <c r="SQN115" s="17"/>
      <c r="SQO115" s="17"/>
      <c r="SQP115" s="17"/>
      <c r="SQQ115" s="17"/>
      <c r="SQR115" s="17"/>
      <c r="SQS115" s="17"/>
      <c r="SQT115" s="17"/>
      <c r="SQU115" s="17"/>
      <c r="SQV115" s="17"/>
      <c r="SQW115" s="17"/>
      <c r="SQX115" s="17"/>
      <c r="SQY115" s="17"/>
      <c r="SQZ115" s="17"/>
      <c r="SRA115" s="17"/>
      <c r="SRB115" s="17"/>
      <c r="SRC115" s="17"/>
      <c r="SRD115" s="17"/>
      <c r="SRE115" s="17"/>
      <c r="SRF115" s="17"/>
      <c r="SRG115" s="17"/>
      <c r="SRH115" s="17"/>
      <c r="SRI115" s="17"/>
      <c r="SRJ115" s="17"/>
      <c r="SRK115" s="17"/>
      <c r="SRL115" s="17"/>
      <c r="SRM115" s="17"/>
      <c r="SRN115" s="17"/>
      <c r="SRO115" s="17"/>
      <c r="SRP115" s="17"/>
      <c r="SRQ115" s="17"/>
      <c r="SRR115" s="17"/>
      <c r="SRS115" s="17"/>
      <c r="SRT115" s="17"/>
      <c r="SRU115" s="17"/>
      <c r="SRV115" s="17"/>
      <c r="SRW115" s="17"/>
      <c r="SRX115" s="17"/>
      <c r="SRY115" s="17"/>
      <c r="SRZ115" s="17"/>
      <c r="SSA115" s="17"/>
      <c r="SSB115" s="17"/>
      <c r="SSC115" s="17"/>
      <c r="SSD115" s="17"/>
      <c r="SSE115" s="17"/>
      <c r="SSF115" s="17"/>
      <c r="SSG115" s="17"/>
      <c r="SSH115" s="17"/>
      <c r="SSI115" s="17"/>
      <c r="SSJ115" s="17"/>
      <c r="SSK115" s="17"/>
      <c r="SSL115" s="17"/>
      <c r="SSM115" s="17"/>
      <c r="SSN115" s="17"/>
      <c r="SSO115" s="17"/>
      <c r="SSP115" s="17"/>
      <c r="SSQ115" s="17"/>
      <c r="SSR115" s="17"/>
      <c r="SSS115" s="17"/>
      <c r="SST115" s="17"/>
      <c r="SSU115" s="17"/>
      <c r="SSV115" s="17"/>
      <c r="SSW115" s="17"/>
      <c r="SSX115" s="17"/>
      <c r="SSY115" s="17"/>
      <c r="SSZ115" s="17"/>
      <c r="STA115" s="17"/>
      <c r="STB115" s="17"/>
      <c r="STC115" s="17"/>
      <c r="STD115" s="17"/>
      <c r="STE115" s="17"/>
      <c r="STF115" s="17"/>
      <c r="STG115" s="17"/>
      <c r="STH115" s="17"/>
      <c r="STI115" s="17"/>
      <c r="STJ115" s="17"/>
      <c r="STK115" s="17"/>
      <c r="STL115" s="17"/>
      <c r="STM115" s="17"/>
      <c r="STN115" s="17"/>
      <c r="STO115" s="17"/>
      <c r="STP115" s="17"/>
      <c r="STQ115" s="17"/>
      <c r="STR115" s="17"/>
      <c r="STS115" s="17"/>
      <c r="STT115" s="17"/>
      <c r="STU115" s="17"/>
      <c r="STV115" s="17"/>
      <c r="STW115" s="17"/>
      <c r="STX115" s="17"/>
      <c r="STY115" s="17"/>
      <c r="STZ115" s="17"/>
      <c r="SUA115" s="17"/>
      <c r="SUB115" s="17"/>
      <c r="SUC115" s="17"/>
      <c r="SUD115" s="17"/>
      <c r="SUE115" s="17"/>
      <c r="SUF115" s="17"/>
      <c r="SUG115" s="17"/>
      <c r="SUH115" s="17"/>
      <c r="SUI115" s="17"/>
      <c r="SUJ115" s="17"/>
      <c r="SUK115" s="17"/>
      <c r="SUL115" s="17"/>
      <c r="SUM115" s="17"/>
      <c r="SUN115" s="17"/>
      <c r="SUO115" s="17"/>
      <c r="SUP115" s="17"/>
      <c r="SUQ115" s="17"/>
      <c r="SUR115" s="17"/>
      <c r="SUS115" s="17"/>
      <c r="SUT115" s="17"/>
      <c r="SUU115" s="17"/>
      <c r="SUV115" s="17"/>
      <c r="SUW115" s="17"/>
      <c r="SUX115" s="17"/>
      <c r="SUY115" s="17"/>
      <c r="SUZ115" s="17"/>
      <c r="SVA115" s="17"/>
      <c r="SVB115" s="17"/>
      <c r="SVC115" s="17"/>
      <c r="SVD115" s="17"/>
      <c r="SVE115" s="17"/>
      <c r="SVF115" s="17"/>
      <c r="SVG115" s="17"/>
      <c r="SVH115" s="17"/>
      <c r="SVI115" s="17"/>
      <c r="SVJ115" s="17"/>
      <c r="SVK115" s="17"/>
      <c r="SVL115" s="17"/>
      <c r="SVM115" s="17"/>
      <c r="SVN115" s="17"/>
      <c r="SVO115" s="17"/>
      <c r="SVP115" s="17"/>
      <c r="SVQ115" s="17"/>
      <c r="SVR115" s="17"/>
      <c r="SVS115" s="17"/>
      <c r="SVT115" s="17"/>
      <c r="SVU115" s="17"/>
      <c r="SVV115" s="17"/>
      <c r="SVW115" s="17"/>
      <c r="SVX115" s="17"/>
      <c r="SVY115" s="17"/>
      <c r="SVZ115" s="17"/>
      <c r="SWA115" s="17"/>
      <c r="SWB115" s="17"/>
      <c r="SWC115" s="17"/>
      <c r="SWD115" s="17"/>
      <c r="SWE115" s="17"/>
      <c r="SWF115" s="17"/>
      <c r="SWG115" s="17"/>
      <c r="SWH115" s="17"/>
      <c r="SWI115" s="17"/>
      <c r="SWJ115" s="17"/>
      <c r="SWK115" s="17"/>
      <c r="SWL115" s="17"/>
      <c r="SWM115" s="17"/>
      <c r="SWN115" s="17"/>
      <c r="SWO115" s="17"/>
      <c r="SWP115" s="17"/>
      <c r="SWQ115" s="17"/>
      <c r="SWR115" s="17"/>
      <c r="SWS115" s="17"/>
      <c r="SWT115" s="17"/>
      <c r="SWU115" s="17"/>
      <c r="SWV115" s="17"/>
      <c r="SWW115" s="17"/>
      <c r="SWX115" s="17"/>
      <c r="SWY115" s="17"/>
      <c r="SWZ115" s="17"/>
      <c r="SXA115" s="17"/>
      <c r="SXB115" s="17"/>
      <c r="SXC115" s="17"/>
      <c r="SXD115" s="17"/>
      <c r="SXE115" s="17"/>
      <c r="SXF115" s="17"/>
      <c r="SXG115" s="17"/>
      <c r="SXH115" s="17"/>
      <c r="SXI115" s="17"/>
      <c r="SXJ115" s="17"/>
      <c r="SXK115" s="17"/>
      <c r="SXL115" s="17"/>
      <c r="SXM115" s="17"/>
      <c r="SXN115" s="17"/>
      <c r="SXO115" s="17"/>
      <c r="SXP115" s="17"/>
      <c r="SXQ115" s="17"/>
      <c r="SXR115" s="17"/>
      <c r="SXS115" s="17"/>
      <c r="SXT115" s="17"/>
      <c r="SXU115" s="17"/>
      <c r="SXV115" s="17"/>
      <c r="SXW115" s="17"/>
      <c r="SXX115" s="17"/>
      <c r="SXY115" s="17"/>
      <c r="SXZ115" s="17"/>
      <c r="SYA115" s="17"/>
      <c r="SYB115" s="17"/>
      <c r="SYC115" s="17"/>
      <c r="SYD115" s="17"/>
      <c r="SYE115" s="17"/>
      <c r="SYF115" s="17"/>
      <c r="SYG115" s="17"/>
      <c r="SYH115" s="17"/>
      <c r="SYI115" s="17"/>
      <c r="SYJ115" s="17"/>
      <c r="SYK115" s="17"/>
      <c r="SYL115" s="17"/>
      <c r="SYM115" s="17"/>
      <c r="SYN115" s="17"/>
      <c r="SYO115" s="17"/>
      <c r="SYP115" s="17"/>
      <c r="SYQ115" s="17"/>
      <c r="SYR115" s="17"/>
      <c r="SYS115" s="17"/>
      <c r="SYT115" s="17"/>
      <c r="SYU115" s="17"/>
      <c r="SYV115" s="17"/>
      <c r="SYW115" s="17"/>
      <c r="SYX115" s="17"/>
      <c r="SYY115" s="17"/>
      <c r="SYZ115" s="17"/>
      <c r="SZA115" s="17"/>
      <c r="SZB115" s="17"/>
      <c r="SZC115" s="17"/>
      <c r="SZD115" s="17"/>
      <c r="SZE115" s="17"/>
      <c r="SZF115" s="17"/>
      <c r="SZG115" s="17"/>
      <c r="SZH115" s="17"/>
      <c r="SZI115" s="17"/>
      <c r="SZJ115" s="17"/>
      <c r="SZK115" s="17"/>
      <c r="SZL115" s="17"/>
      <c r="SZM115" s="17"/>
      <c r="SZN115" s="17"/>
      <c r="SZO115" s="17"/>
      <c r="SZP115" s="17"/>
      <c r="SZQ115" s="17"/>
      <c r="SZR115" s="17"/>
      <c r="SZS115" s="17"/>
      <c r="SZT115" s="17"/>
      <c r="SZU115" s="17"/>
      <c r="SZV115" s="17"/>
      <c r="SZW115" s="17"/>
      <c r="SZX115" s="17"/>
      <c r="SZY115" s="17"/>
      <c r="SZZ115" s="17"/>
      <c r="TAA115" s="17"/>
      <c r="TAB115" s="17"/>
      <c r="TAC115" s="17"/>
      <c r="TAD115" s="17"/>
      <c r="TAE115" s="17"/>
      <c r="TAF115" s="17"/>
      <c r="TAG115" s="17"/>
      <c r="TAH115" s="17"/>
      <c r="TAI115" s="17"/>
      <c r="TAJ115" s="17"/>
      <c r="TAK115" s="17"/>
      <c r="TAL115" s="17"/>
      <c r="TAM115" s="17"/>
      <c r="TAN115" s="17"/>
      <c r="TAO115" s="17"/>
      <c r="TAP115" s="17"/>
      <c r="TAQ115" s="17"/>
      <c r="TAR115" s="17"/>
      <c r="TAS115" s="17"/>
      <c r="TAT115" s="17"/>
      <c r="TAU115" s="17"/>
      <c r="TAV115" s="17"/>
      <c r="TAW115" s="17"/>
      <c r="TAX115" s="17"/>
      <c r="TAY115" s="17"/>
      <c r="TAZ115" s="17"/>
      <c r="TBA115" s="17"/>
      <c r="TBB115" s="17"/>
      <c r="TBC115" s="17"/>
      <c r="TBD115" s="17"/>
      <c r="TBE115" s="17"/>
      <c r="TBF115" s="17"/>
      <c r="TBG115" s="17"/>
      <c r="TBH115" s="17"/>
      <c r="TBI115" s="17"/>
      <c r="TBJ115" s="17"/>
      <c r="TBK115" s="17"/>
      <c r="TBL115" s="17"/>
      <c r="TBM115" s="17"/>
      <c r="TBN115" s="17"/>
      <c r="TBO115" s="17"/>
      <c r="TBP115" s="17"/>
      <c r="TBQ115" s="17"/>
      <c r="TBR115" s="17"/>
      <c r="TBS115" s="17"/>
      <c r="TBT115" s="17"/>
      <c r="TBU115" s="17"/>
      <c r="TBV115" s="17"/>
      <c r="TBW115" s="17"/>
      <c r="TBX115" s="17"/>
      <c r="TBY115" s="17"/>
      <c r="TBZ115" s="17"/>
      <c r="TCA115" s="17"/>
      <c r="TCB115" s="17"/>
      <c r="TCC115" s="17"/>
      <c r="TCD115" s="17"/>
      <c r="TCE115" s="17"/>
      <c r="TCF115" s="17"/>
      <c r="TCG115" s="17"/>
      <c r="TCH115" s="17"/>
      <c r="TCI115" s="17"/>
      <c r="TCJ115" s="17"/>
      <c r="TCK115" s="17"/>
      <c r="TCL115" s="17"/>
      <c r="TCM115" s="17"/>
      <c r="TCN115" s="17"/>
      <c r="TCO115" s="17"/>
      <c r="TCP115" s="17"/>
      <c r="TCQ115" s="17"/>
      <c r="TCR115" s="17"/>
      <c r="TCS115" s="17"/>
      <c r="TCT115" s="17"/>
      <c r="TCU115" s="17"/>
      <c r="TCV115" s="17"/>
      <c r="TCW115" s="17"/>
      <c r="TCX115" s="17"/>
      <c r="TCY115" s="17"/>
      <c r="TCZ115" s="17"/>
      <c r="TDA115" s="17"/>
      <c r="TDB115" s="17"/>
      <c r="TDC115" s="17"/>
      <c r="TDD115" s="17"/>
      <c r="TDE115" s="17"/>
      <c r="TDF115" s="17"/>
      <c r="TDG115" s="17"/>
      <c r="TDH115" s="17"/>
      <c r="TDI115" s="17"/>
      <c r="TDJ115" s="17"/>
      <c r="TDK115" s="17"/>
      <c r="TDL115" s="17"/>
      <c r="TDM115" s="17"/>
      <c r="TDN115" s="17"/>
      <c r="TDO115" s="17"/>
      <c r="TDP115" s="17"/>
      <c r="TDQ115" s="17"/>
      <c r="TDR115" s="17"/>
      <c r="TDS115" s="17"/>
      <c r="TDT115" s="17"/>
      <c r="TDU115" s="17"/>
      <c r="TDV115" s="17"/>
      <c r="TDW115" s="17"/>
      <c r="TDX115" s="17"/>
      <c r="TDY115" s="17"/>
      <c r="TDZ115" s="17"/>
      <c r="TEA115" s="17"/>
      <c r="TEB115" s="17"/>
      <c r="TEC115" s="17"/>
      <c r="TED115" s="17"/>
      <c r="TEE115" s="17"/>
      <c r="TEF115" s="17"/>
      <c r="TEG115" s="17"/>
      <c r="TEH115" s="17"/>
      <c r="TEI115" s="17"/>
      <c r="TEJ115" s="17"/>
      <c r="TEK115" s="17"/>
      <c r="TEL115" s="17"/>
      <c r="TEM115" s="17"/>
      <c r="TEN115" s="17"/>
      <c r="TEO115" s="17"/>
      <c r="TEP115" s="17"/>
      <c r="TEQ115" s="17"/>
      <c r="TER115" s="17"/>
      <c r="TES115" s="17"/>
      <c r="TET115" s="17"/>
      <c r="TEU115" s="17"/>
      <c r="TEV115" s="17"/>
      <c r="TEW115" s="17"/>
      <c r="TEX115" s="17"/>
      <c r="TEY115" s="17"/>
      <c r="TEZ115" s="17"/>
      <c r="TFA115" s="17"/>
      <c r="TFB115" s="17"/>
      <c r="TFC115" s="17"/>
      <c r="TFD115" s="17"/>
      <c r="TFE115" s="17"/>
      <c r="TFF115" s="17"/>
      <c r="TFG115" s="17"/>
      <c r="TFH115" s="17"/>
      <c r="TFI115" s="17"/>
      <c r="TFJ115" s="17"/>
      <c r="TFK115" s="17"/>
      <c r="TFL115" s="17"/>
      <c r="TFM115" s="17"/>
      <c r="TFN115" s="17"/>
      <c r="TFO115" s="17"/>
      <c r="TFP115" s="17"/>
      <c r="TFQ115" s="17"/>
      <c r="TFR115" s="17"/>
      <c r="TFS115" s="17"/>
      <c r="TFT115" s="17"/>
      <c r="TFU115" s="17"/>
      <c r="TFV115" s="17"/>
      <c r="TFW115" s="17"/>
      <c r="TFX115" s="17"/>
      <c r="TFY115" s="17"/>
      <c r="TFZ115" s="17"/>
      <c r="TGA115" s="17"/>
      <c r="TGB115" s="17"/>
      <c r="TGC115" s="17"/>
      <c r="TGD115" s="17"/>
      <c r="TGE115" s="17"/>
      <c r="TGF115" s="17"/>
      <c r="TGG115" s="17"/>
      <c r="TGH115" s="17"/>
      <c r="TGI115" s="17"/>
      <c r="TGJ115" s="17"/>
      <c r="TGK115" s="17"/>
      <c r="TGL115" s="17"/>
      <c r="TGM115" s="17"/>
      <c r="TGN115" s="17"/>
      <c r="TGO115" s="17"/>
      <c r="TGP115" s="17"/>
      <c r="TGQ115" s="17"/>
      <c r="TGR115" s="17"/>
      <c r="TGS115" s="17"/>
      <c r="TGT115" s="17"/>
      <c r="TGU115" s="17"/>
      <c r="TGV115" s="17"/>
      <c r="TGW115" s="17"/>
      <c r="TGX115" s="17"/>
      <c r="TGY115" s="17"/>
      <c r="TGZ115" s="17"/>
      <c r="THA115" s="17"/>
      <c r="THB115" s="17"/>
      <c r="THC115" s="17"/>
      <c r="THD115" s="17"/>
      <c r="THE115" s="17"/>
      <c r="THF115" s="17"/>
      <c r="THG115" s="17"/>
      <c r="THH115" s="17"/>
      <c r="THI115" s="17"/>
      <c r="THJ115" s="17"/>
      <c r="THK115" s="17"/>
      <c r="THL115" s="17"/>
      <c r="THM115" s="17"/>
      <c r="THN115" s="17"/>
      <c r="THO115" s="17"/>
      <c r="THP115" s="17"/>
      <c r="THQ115" s="17"/>
      <c r="THR115" s="17"/>
      <c r="THS115" s="17"/>
      <c r="THT115" s="17"/>
      <c r="THU115" s="17"/>
      <c r="THV115" s="17"/>
      <c r="THW115" s="17"/>
      <c r="THX115" s="17"/>
      <c r="THY115" s="17"/>
      <c r="THZ115" s="17"/>
      <c r="TIA115" s="17"/>
      <c r="TIB115" s="17"/>
      <c r="TIC115" s="17"/>
      <c r="TID115" s="17"/>
      <c r="TIE115" s="17"/>
      <c r="TIF115" s="17"/>
      <c r="TIG115" s="17"/>
      <c r="TIH115" s="17"/>
      <c r="TII115" s="17"/>
      <c r="TIJ115" s="17"/>
      <c r="TIK115" s="17"/>
      <c r="TIL115" s="17"/>
      <c r="TIM115" s="17"/>
      <c r="TIN115" s="17"/>
      <c r="TIO115" s="17"/>
      <c r="TIP115" s="17"/>
      <c r="TIQ115" s="17"/>
      <c r="TIR115" s="17"/>
      <c r="TIS115" s="17"/>
      <c r="TIT115" s="17"/>
      <c r="TIU115" s="17"/>
      <c r="TIV115" s="17"/>
      <c r="TIW115" s="17"/>
      <c r="TIX115" s="17"/>
      <c r="TIY115" s="17"/>
      <c r="TIZ115" s="17"/>
      <c r="TJA115" s="17"/>
      <c r="TJB115" s="17"/>
      <c r="TJC115" s="17"/>
      <c r="TJD115" s="17"/>
      <c r="TJE115" s="17"/>
      <c r="TJF115" s="17"/>
      <c r="TJG115" s="17"/>
      <c r="TJH115" s="17"/>
      <c r="TJI115" s="17"/>
      <c r="TJJ115" s="17"/>
      <c r="TJK115" s="17"/>
      <c r="TJL115" s="17"/>
      <c r="TJM115" s="17"/>
      <c r="TJN115" s="17"/>
      <c r="TJO115" s="17"/>
      <c r="TJP115" s="17"/>
      <c r="TJQ115" s="17"/>
      <c r="TJR115" s="17"/>
      <c r="TJS115" s="17"/>
      <c r="TJT115" s="17"/>
      <c r="TJU115" s="17"/>
      <c r="TJV115" s="17"/>
      <c r="TJW115" s="17"/>
      <c r="TJX115" s="17"/>
      <c r="TJY115" s="17"/>
      <c r="TJZ115" s="17"/>
      <c r="TKA115" s="17"/>
      <c r="TKB115" s="17"/>
      <c r="TKC115" s="17"/>
      <c r="TKD115" s="17"/>
      <c r="TKE115" s="17"/>
      <c r="TKF115" s="17"/>
      <c r="TKG115" s="17"/>
      <c r="TKH115" s="17"/>
      <c r="TKI115" s="17"/>
      <c r="TKJ115" s="17"/>
      <c r="TKK115" s="17"/>
      <c r="TKL115" s="17"/>
      <c r="TKM115" s="17"/>
      <c r="TKN115" s="17"/>
      <c r="TKO115" s="17"/>
      <c r="TKP115" s="17"/>
      <c r="TKQ115" s="17"/>
      <c r="TKR115" s="17"/>
      <c r="TKS115" s="17"/>
      <c r="TKT115" s="17"/>
      <c r="TKU115" s="17"/>
      <c r="TKV115" s="17"/>
      <c r="TKW115" s="17"/>
      <c r="TKX115" s="17"/>
      <c r="TKY115" s="17"/>
      <c r="TKZ115" s="17"/>
      <c r="TLA115" s="17"/>
      <c r="TLB115" s="17"/>
      <c r="TLC115" s="17"/>
      <c r="TLD115" s="17"/>
      <c r="TLE115" s="17"/>
      <c r="TLF115" s="17"/>
      <c r="TLG115" s="17"/>
      <c r="TLH115" s="17"/>
      <c r="TLI115" s="17"/>
      <c r="TLJ115" s="17"/>
      <c r="TLK115" s="17"/>
      <c r="TLL115" s="17"/>
      <c r="TLM115" s="17"/>
      <c r="TLN115" s="17"/>
      <c r="TLO115" s="17"/>
      <c r="TLP115" s="17"/>
      <c r="TLQ115" s="17"/>
      <c r="TLR115" s="17"/>
      <c r="TLS115" s="17"/>
      <c r="TLT115" s="17"/>
      <c r="TLU115" s="17"/>
      <c r="TLV115" s="17"/>
      <c r="TLW115" s="17"/>
      <c r="TLX115" s="17"/>
      <c r="TLY115" s="17"/>
      <c r="TLZ115" s="17"/>
      <c r="TMA115" s="17"/>
      <c r="TMB115" s="17"/>
      <c r="TMC115" s="17"/>
      <c r="TMD115" s="17"/>
      <c r="TME115" s="17"/>
      <c r="TMF115" s="17"/>
      <c r="TMG115" s="17"/>
      <c r="TMH115" s="17"/>
      <c r="TMI115" s="17"/>
      <c r="TMJ115" s="17"/>
      <c r="TMK115" s="17"/>
      <c r="TML115" s="17"/>
      <c r="TMM115" s="17"/>
      <c r="TMN115" s="17"/>
      <c r="TMO115" s="17"/>
      <c r="TMP115" s="17"/>
      <c r="TMQ115" s="17"/>
      <c r="TMR115" s="17"/>
      <c r="TMS115" s="17"/>
      <c r="TMT115" s="17"/>
      <c r="TMU115" s="17"/>
      <c r="TMV115" s="17"/>
      <c r="TMW115" s="17"/>
      <c r="TMX115" s="17"/>
      <c r="TMY115" s="17"/>
      <c r="TMZ115" s="17"/>
      <c r="TNA115" s="17"/>
      <c r="TNB115" s="17"/>
      <c r="TNC115" s="17"/>
      <c r="TND115" s="17"/>
      <c r="TNE115" s="17"/>
      <c r="TNF115" s="17"/>
      <c r="TNG115" s="17"/>
      <c r="TNH115" s="17"/>
      <c r="TNI115" s="17"/>
      <c r="TNJ115" s="17"/>
      <c r="TNK115" s="17"/>
      <c r="TNL115" s="17"/>
      <c r="TNM115" s="17"/>
      <c r="TNN115" s="17"/>
      <c r="TNO115" s="17"/>
      <c r="TNP115" s="17"/>
      <c r="TNQ115" s="17"/>
      <c r="TNR115" s="17"/>
      <c r="TNS115" s="17"/>
      <c r="TNT115" s="17"/>
      <c r="TNU115" s="17"/>
      <c r="TNV115" s="17"/>
      <c r="TNW115" s="17"/>
      <c r="TNX115" s="17"/>
      <c r="TNY115" s="17"/>
      <c r="TNZ115" s="17"/>
      <c r="TOA115" s="17"/>
      <c r="TOB115" s="17"/>
      <c r="TOC115" s="17"/>
      <c r="TOD115" s="17"/>
      <c r="TOE115" s="17"/>
      <c r="TOF115" s="17"/>
      <c r="TOG115" s="17"/>
      <c r="TOH115" s="17"/>
      <c r="TOI115" s="17"/>
      <c r="TOJ115" s="17"/>
      <c r="TOK115" s="17"/>
      <c r="TOL115" s="17"/>
      <c r="TOM115" s="17"/>
      <c r="TON115" s="17"/>
      <c r="TOO115" s="17"/>
      <c r="TOP115" s="17"/>
      <c r="TOQ115" s="17"/>
      <c r="TOR115" s="17"/>
      <c r="TOS115" s="17"/>
      <c r="TOT115" s="17"/>
      <c r="TOU115" s="17"/>
      <c r="TOV115" s="17"/>
      <c r="TOW115" s="17"/>
      <c r="TOX115" s="17"/>
      <c r="TOY115" s="17"/>
      <c r="TOZ115" s="17"/>
      <c r="TPA115" s="17"/>
      <c r="TPB115" s="17"/>
      <c r="TPC115" s="17"/>
      <c r="TPD115" s="17"/>
      <c r="TPE115" s="17"/>
      <c r="TPF115" s="17"/>
      <c r="TPG115" s="17"/>
      <c r="TPH115" s="17"/>
      <c r="TPI115" s="17"/>
      <c r="TPJ115" s="17"/>
      <c r="TPK115" s="17"/>
      <c r="TPL115" s="17"/>
      <c r="TPM115" s="17"/>
      <c r="TPN115" s="17"/>
      <c r="TPO115" s="17"/>
      <c r="TPP115" s="17"/>
      <c r="TPQ115" s="17"/>
      <c r="TPR115" s="17"/>
      <c r="TPS115" s="17"/>
      <c r="TPT115" s="17"/>
      <c r="TPU115" s="17"/>
      <c r="TPV115" s="17"/>
      <c r="TPW115" s="17"/>
      <c r="TPX115" s="17"/>
      <c r="TPY115" s="17"/>
      <c r="TPZ115" s="17"/>
      <c r="TQA115" s="17"/>
      <c r="TQB115" s="17"/>
      <c r="TQC115" s="17"/>
      <c r="TQD115" s="17"/>
      <c r="TQE115" s="17"/>
      <c r="TQF115" s="17"/>
      <c r="TQG115" s="17"/>
      <c r="TQH115" s="17"/>
      <c r="TQI115" s="17"/>
      <c r="TQJ115" s="17"/>
      <c r="TQK115" s="17"/>
      <c r="TQL115" s="17"/>
      <c r="TQM115" s="17"/>
      <c r="TQN115" s="17"/>
      <c r="TQO115" s="17"/>
      <c r="TQP115" s="17"/>
      <c r="TQQ115" s="17"/>
      <c r="TQR115" s="17"/>
      <c r="TQS115" s="17"/>
      <c r="TQT115" s="17"/>
      <c r="TQU115" s="17"/>
      <c r="TQV115" s="17"/>
      <c r="TQW115" s="17"/>
      <c r="TQX115" s="17"/>
      <c r="TQY115" s="17"/>
      <c r="TQZ115" s="17"/>
      <c r="TRA115" s="17"/>
      <c r="TRB115" s="17"/>
      <c r="TRC115" s="17"/>
      <c r="TRD115" s="17"/>
      <c r="TRE115" s="17"/>
      <c r="TRF115" s="17"/>
      <c r="TRG115" s="17"/>
      <c r="TRH115" s="17"/>
      <c r="TRI115" s="17"/>
      <c r="TRJ115" s="17"/>
      <c r="TRK115" s="17"/>
      <c r="TRL115" s="17"/>
      <c r="TRM115" s="17"/>
      <c r="TRN115" s="17"/>
      <c r="TRO115" s="17"/>
      <c r="TRP115" s="17"/>
      <c r="TRQ115" s="17"/>
      <c r="TRR115" s="17"/>
      <c r="TRS115" s="17"/>
      <c r="TRT115" s="17"/>
      <c r="TRU115" s="17"/>
      <c r="TRV115" s="17"/>
      <c r="TRW115" s="17"/>
      <c r="TRX115" s="17"/>
      <c r="TRY115" s="17"/>
      <c r="TRZ115" s="17"/>
      <c r="TSA115" s="17"/>
      <c r="TSB115" s="17"/>
      <c r="TSC115" s="17"/>
      <c r="TSD115" s="17"/>
      <c r="TSE115" s="17"/>
      <c r="TSF115" s="17"/>
      <c r="TSG115" s="17"/>
      <c r="TSH115" s="17"/>
      <c r="TSI115" s="17"/>
      <c r="TSJ115" s="17"/>
      <c r="TSK115" s="17"/>
      <c r="TSL115" s="17"/>
      <c r="TSM115" s="17"/>
      <c r="TSN115" s="17"/>
      <c r="TSO115" s="17"/>
      <c r="TSP115" s="17"/>
      <c r="TSQ115" s="17"/>
      <c r="TSR115" s="17"/>
      <c r="TSS115" s="17"/>
      <c r="TST115" s="17"/>
      <c r="TSU115" s="17"/>
      <c r="TSV115" s="17"/>
      <c r="TSW115" s="17"/>
      <c r="TSX115" s="17"/>
      <c r="TSY115" s="17"/>
      <c r="TSZ115" s="17"/>
      <c r="TTA115" s="17"/>
      <c r="TTB115" s="17"/>
      <c r="TTC115" s="17"/>
      <c r="TTD115" s="17"/>
      <c r="TTE115" s="17"/>
      <c r="TTF115" s="17"/>
      <c r="TTG115" s="17"/>
      <c r="TTH115" s="17"/>
      <c r="TTI115" s="17"/>
      <c r="TTJ115" s="17"/>
      <c r="TTK115" s="17"/>
      <c r="TTL115" s="17"/>
      <c r="TTM115" s="17"/>
      <c r="TTN115" s="17"/>
      <c r="TTO115" s="17"/>
      <c r="TTP115" s="17"/>
      <c r="TTQ115" s="17"/>
      <c r="TTR115" s="17"/>
      <c r="TTS115" s="17"/>
      <c r="TTT115" s="17"/>
      <c r="TTU115" s="17"/>
      <c r="TTV115" s="17"/>
      <c r="TTW115" s="17"/>
      <c r="TTX115" s="17"/>
      <c r="TTY115" s="17"/>
      <c r="TTZ115" s="17"/>
      <c r="TUA115" s="17"/>
      <c r="TUB115" s="17"/>
      <c r="TUC115" s="17"/>
      <c r="TUD115" s="17"/>
      <c r="TUE115" s="17"/>
      <c r="TUF115" s="17"/>
      <c r="TUG115" s="17"/>
      <c r="TUH115" s="17"/>
      <c r="TUI115" s="17"/>
      <c r="TUJ115" s="17"/>
      <c r="TUK115" s="17"/>
      <c r="TUL115" s="17"/>
      <c r="TUM115" s="17"/>
      <c r="TUN115" s="17"/>
      <c r="TUO115" s="17"/>
      <c r="TUP115" s="17"/>
      <c r="TUQ115" s="17"/>
      <c r="TUR115" s="17"/>
      <c r="TUS115" s="17"/>
      <c r="TUT115" s="17"/>
      <c r="TUU115" s="17"/>
      <c r="TUV115" s="17"/>
      <c r="TUW115" s="17"/>
      <c r="TUX115" s="17"/>
      <c r="TUY115" s="17"/>
      <c r="TUZ115" s="17"/>
      <c r="TVA115" s="17"/>
      <c r="TVB115" s="17"/>
      <c r="TVC115" s="17"/>
      <c r="TVD115" s="17"/>
      <c r="TVE115" s="17"/>
      <c r="TVF115" s="17"/>
      <c r="TVG115" s="17"/>
      <c r="TVH115" s="17"/>
      <c r="TVI115" s="17"/>
      <c r="TVJ115" s="17"/>
      <c r="TVK115" s="17"/>
      <c r="TVL115" s="17"/>
      <c r="TVM115" s="17"/>
      <c r="TVN115" s="17"/>
      <c r="TVO115" s="17"/>
      <c r="TVP115" s="17"/>
      <c r="TVQ115" s="17"/>
      <c r="TVR115" s="17"/>
      <c r="TVS115" s="17"/>
      <c r="TVT115" s="17"/>
      <c r="TVU115" s="17"/>
      <c r="TVV115" s="17"/>
      <c r="TVW115" s="17"/>
      <c r="TVX115" s="17"/>
      <c r="TVY115" s="17"/>
      <c r="TVZ115" s="17"/>
      <c r="TWA115" s="17"/>
      <c r="TWB115" s="17"/>
      <c r="TWC115" s="17"/>
      <c r="TWD115" s="17"/>
      <c r="TWE115" s="17"/>
      <c r="TWF115" s="17"/>
      <c r="TWG115" s="17"/>
      <c r="TWH115" s="17"/>
      <c r="TWI115" s="17"/>
      <c r="TWJ115" s="17"/>
      <c r="TWK115" s="17"/>
      <c r="TWL115" s="17"/>
      <c r="TWM115" s="17"/>
      <c r="TWN115" s="17"/>
      <c r="TWO115" s="17"/>
      <c r="TWP115" s="17"/>
      <c r="TWQ115" s="17"/>
      <c r="TWR115" s="17"/>
      <c r="TWS115" s="17"/>
      <c r="TWT115" s="17"/>
      <c r="TWU115" s="17"/>
      <c r="TWV115" s="17"/>
      <c r="TWW115" s="17"/>
      <c r="TWX115" s="17"/>
      <c r="TWY115" s="17"/>
      <c r="TWZ115" s="17"/>
      <c r="TXA115" s="17"/>
      <c r="TXB115" s="17"/>
      <c r="TXC115" s="17"/>
      <c r="TXD115" s="17"/>
      <c r="TXE115" s="17"/>
      <c r="TXF115" s="17"/>
      <c r="TXG115" s="17"/>
      <c r="TXH115" s="17"/>
      <c r="TXI115" s="17"/>
      <c r="TXJ115" s="17"/>
      <c r="TXK115" s="17"/>
      <c r="TXL115" s="17"/>
      <c r="TXM115" s="17"/>
      <c r="TXN115" s="17"/>
      <c r="TXO115" s="17"/>
      <c r="TXP115" s="17"/>
      <c r="TXQ115" s="17"/>
      <c r="TXR115" s="17"/>
      <c r="TXS115" s="17"/>
      <c r="TXT115" s="17"/>
      <c r="TXU115" s="17"/>
      <c r="TXV115" s="17"/>
      <c r="TXW115" s="17"/>
      <c r="TXX115" s="17"/>
      <c r="TXY115" s="17"/>
      <c r="TXZ115" s="17"/>
      <c r="TYA115" s="17"/>
      <c r="TYB115" s="17"/>
      <c r="TYC115" s="17"/>
      <c r="TYD115" s="17"/>
      <c r="TYE115" s="17"/>
      <c r="TYF115" s="17"/>
      <c r="TYG115" s="17"/>
      <c r="TYH115" s="17"/>
      <c r="TYI115" s="17"/>
      <c r="TYJ115" s="17"/>
      <c r="TYK115" s="17"/>
      <c r="TYL115" s="17"/>
      <c r="TYM115" s="17"/>
      <c r="TYN115" s="17"/>
      <c r="TYO115" s="17"/>
      <c r="TYP115" s="17"/>
      <c r="TYQ115" s="17"/>
      <c r="TYR115" s="17"/>
      <c r="TYS115" s="17"/>
      <c r="TYT115" s="17"/>
      <c r="TYU115" s="17"/>
      <c r="TYV115" s="17"/>
      <c r="TYW115" s="17"/>
      <c r="TYX115" s="17"/>
      <c r="TYY115" s="17"/>
      <c r="TYZ115" s="17"/>
      <c r="TZA115" s="17"/>
      <c r="TZB115" s="17"/>
      <c r="TZC115" s="17"/>
      <c r="TZD115" s="17"/>
      <c r="TZE115" s="17"/>
      <c r="TZF115" s="17"/>
      <c r="TZG115" s="17"/>
      <c r="TZH115" s="17"/>
      <c r="TZI115" s="17"/>
      <c r="TZJ115" s="17"/>
      <c r="TZK115" s="17"/>
      <c r="TZL115" s="17"/>
      <c r="TZM115" s="17"/>
      <c r="TZN115" s="17"/>
      <c r="TZO115" s="17"/>
      <c r="TZP115" s="17"/>
      <c r="TZQ115" s="17"/>
      <c r="TZR115" s="17"/>
      <c r="TZS115" s="17"/>
      <c r="TZT115" s="17"/>
      <c r="TZU115" s="17"/>
      <c r="TZV115" s="17"/>
      <c r="TZW115" s="17"/>
      <c r="TZX115" s="17"/>
      <c r="TZY115" s="17"/>
      <c r="TZZ115" s="17"/>
      <c r="UAA115" s="17"/>
      <c r="UAB115" s="17"/>
      <c r="UAC115" s="17"/>
      <c r="UAD115" s="17"/>
      <c r="UAE115" s="17"/>
      <c r="UAF115" s="17"/>
      <c r="UAG115" s="17"/>
      <c r="UAH115" s="17"/>
      <c r="UAI115" s="17"/>
      <c r="UAJ115" s="17"/>
      <c r="UAK115" s="17"/>
      <c r="UAL115" s="17"/>
      <c r="UAM115" s="17"/>
      <c r="UAN115" s="17"/>
      <c r="UAO115" s="17"/>
      <c r="UAP115" s="17"/>
      <c r="UAQ115" s="17"/>
      <c r="UAR115" s="17"/>
      <c r="UAS115" s="17"/>
      <c r="UAT115" s="17"/>
      <c r="UAU115" s="17"/>
      <c r="UAV115" s="17"/>
      <c r="UAW115" s="17"/>
      <c r="UAX115" s="17"/>
      <c r="UAY115" s="17"/>
      <c r="UAZ115" s="17"/>
      <c r="UBA115" s="17"/>
      <c r="UBB115" s="17"/>
      <c r="UBC115" s="17"/>
      <c r="UBD115" s="17"/>
      <c r="UBE115" s="17"/>
      <c r="UBF115" s="17"/>
      <c r="UBG115" s="17"/>
      <c r="UBH115" s="17"/>
      <c r="UBI115" s="17"/>
      <c r="UBJ115" s="17"/>
      <c r="UBK115" s="17"/>
      <c r="UBL115" s="17"/>
      <c r="UBM115" s="17"/>
      <c r="UBN115" s="17"/>
      <c r="UBO115" s="17"/>
      <c r="UBP115" s="17"/>
      <c r="UBQ115" s="17"/>
      <c r="UBR115" s="17"/>
      <c r="UBS115" s="17"/>
      <c r="UBT115" s="17"/>
      <c r="UBU115" s="17"/>
      <c r="UBV115" s="17"/>
      <c r="UBW115" s="17"/>
      <c r="UBX115" s="17"/>
      <c r="UBY115" s="17"/>
      <c r="UBZ115" s="17"/>
      <c r="UCA115" s="17"/>
      <c r="UCB115" s="17"/>
      <c r="UCC115" s="17"/>
      <c r="UCD115" s="17"/>
      <c r="UCE115" s="17"/>
      <c r="UCF115" s="17"/>
      <c r="UCG115" s="17"/>
      <c r="UCH115" s="17"/>
      <c r="UCI115" s="17"/>
      <c r="UCJ115" s="17"/>
      <c r="UCK115" s="17"/>
      <c r="UCL115" s="17"/>
      <c r="UCM115" s="17"/>
      <c r="UCN115" s="17"/>
      <c r="UCO115" s="17"/>
      <c r="UCP115" s="17"/>
      <c r="UCQ115" s="17"/>
      <c r="UCR115" s="17"/>
      <c r="UCS115" s="17"/>
      <c r="UCT115" s="17"/>
      <c r="UCU115" s="17"/>
      <c r="UCV115" s="17"/>
      <c r="UCW115" s="17"/>
      <c r="UCX115" s="17"/>
      <c r="UCY115" s="17"/>
      <c r="UCZ115" s="17"/>
      <c r="UDA115" s="17"/>
      <c r="UDB115" s="17"/>
      <c r="UDC115" s="17"/>
      <c r="UDD115" s="17"/>
      <c r="UDE115" s="17"/>
      <c r="UDF115" s="17"/>
      <c r="UDG115" s="17"/>
      <c r="UDH115" s="17"/>
      <c r="UDI115" s="17"/>
      <c r="UDJ115" s="17"/>
      <c r="UDK115" s="17"/>
      <c r="UDL115" s="17"/>
      <c r="UDM115" s="17"/>
      <c r="UDN115" s="17"/>
      <c r="UDO115" s="17"/>
      <c r="UDP115" s="17"/>
      <c r="UDQ115" s="17"/>
      <c r="UDR115" s="17"/>
      <c r="UDS115" s="17"/>
      <c r="UDT115" s="17"/>
      <c r="UDU115" s="17"/>
      <c r="UDV115" s="17"/>
      <c r="UDW115" s="17"/>
      <c r="UDX115" s="17"/>
      <c r="UDY115" s="17"/>
      <c r="UDZ115" s="17"/>
      <c r="UEA115" s="17"/>
      <c r="UEB115" s="17"/>
      <c r="UEC115" s="17"/>
      <c r="UED115" s="17"/>
      <c r="UEE115" s="17"/>
      <c r="UEF115" s="17"/>
      <c r="UEG115" s="17"/>
      <c r="UEH115" s="17"/>
      <c r="UEI115" s="17"/>
      <c r="UEJ115" s="17"/>
      <c r="UEK115" s="17"/>
      <c r="UEL115" s="17"/>
      <c r="UEM115" s="17"/>
      <c r="UEN115" s="17"/>
      <c r="UEO115" s="17"/>
      <c r="UEP115" s="17"/>
      <c r="UEQ115" s="17"/>
      <c r="UER115" s="17"/>
      <c r="UES115" s="17"/>
      <c r="UET115" s="17"/>
      <c r="UEU115" s="17"/>
      <c r="UEV115" s="17"/>
      <c r="UEW115" s="17"/>
      <c r="UEX115" s="17"/>
      <c r="UEY115" s="17"/>
      <c r="UEZ115" s="17"/>
      <c r="UFA115" s="17"/>
      <c r="UFB115" s="17"/>
      <c r="UFC115" s="17"/>
      <c r="UFD115" s="17"/>
      <c r="UFE115" s="17"/>
      <c r="UFF115" s="17"/>
      <c r="UFG115" s="17"/>
      <c r="UFH115" s="17"/>
      <c r="UFI115" s="17"/>
      <c r="UFJ115" s="17"/>
      <c r="UFK115" s="17"/>
      <c r="UFL115" s="17"/>
      <c r="UFM115" s="17"/>
      <c r="UFN115" s="17"/>
      <c r="UFO115" s="17"/>
      <c r="UFP115" s="17"/>
      <c r="UFQ115" s="17"/>
      <c r="UFR115" s="17"/>
      <c r="UFS115" s="17"/>
      <c r="UFT115" s="17"/>
      <c r="UFU115" s="17"/>
      <c r="UFV115" s="17"/>
      <c r="UFW115" s="17"/>
      <c r="UFX115" s="17"/>
      <c r="UFY115" s="17"/>
      <c r="UFZ115" s="17"/>
      <c r="UGA115" s="17"/>
      <c r="UGB115" s="17"/>
      <c r="UGC115" s="17"/>
      <c r="UGD115" s="17"/>
      <c r="UGE115" s="17"/>
      <c r="UGF115" s="17"/>
      <c r="UGG115" s="17"/>
      <c r="UGH115" s="17"/>
      <c r="UGI115" s="17"/>
      <c r="UGJ115" s="17"/>
      <c r="UGK115" s="17"/>
      <c r="UGL115" s="17"/>
      <c r="UGM115" s="17"/>
      <c r="UGN115" s="17"/>
      <c r="UGO115" s="17"/>
      <c r="UGP115" s="17"/>
      <c r="UGQ115" s="17"/>
      <c r="UGR115" s="17"/>
      <c r="UGS115" s="17"/>
      <c r="UGT115" s="17"/>
      <c r="UGU115" s="17"/>
      <c r="UGV115" s="17"/>
      <c r="UGW115" s="17"/>
      <c r="UGX115" s="17"/>
      <c r="UGY115" s="17"/>
      <c r="UGZ115" s="17"/>
      <c r="UHA115" s="17"/>
      <c r="UHB115" s="17"/>
      <c r="UHC115" s="17"/>
      <c r="UHD115" s="17"/>
      <c r="UHE115" s="17"/>
      <c r="UHF115" s="17"/>
      <c r="UHG115" s="17"/>
      <c r="UHH115" s="17"/>
      <c r="UHI115" s="17"/>
      <c r="UHJ115" s="17"/>
      <c r="UHK115" s="17"/>
      <c r="UHL115" s="17"/>
      <c r="UHM115" s="17"/>
      <c r="UHN115" s="17"/>
      <c r="UHO115" s="17"/>
      <c r="UHP115" s="17"/>
      <c r="UHQ115" s="17"/>
      <c r="UHR115" s="17"/>
      <c r="UHS115" s="17"/>
      <c r="UHT115" s="17"/>
      <c r="UHU115" s="17"/>
      <c r="UHV115" s="17"/>
      <c r="UHW115" s="17"/>
      <c r="UHX115" s="17"/>
      <c r="UHY115" s="17"/>
      <c r="UHZ115" s="17"/>
      <c r="UIA115" s="17"/>
      <c r="UIB115" s="17"/>
      <c r="UIC115" s="17"/>
      <c r="UID115" s="17"/>
      <c r="UIE115" s="17"/>
      <c r="UIF115" s="17"/>
      <c r="UIG115" s="17"/>
      <c r="UIH115" s="17"/>
      <c r="UII115" s="17"/>
      <c r="UIJ115" s="17"/>
      <c r="UIK115" s="17"/>
      <c r="UIL115" s="17"/>
      <c r="UIM115" s="17"/>
      <c r="UIN115" s="17"/>
      <c r="UIO115" s="17"/>
      <c r="UIP115" s="17"/>
      <c r="UIQ115" s="17"/>
      <c r="UIR115" s="17"/>
      <c r="UIS115" s="17"/>
      <c r="UIT115" s="17"/>
      <c r="UIU115" s="17"/>
      <c r="UIV115" s="17"/>
      <c r="UIW115" s="17"/>
      <c r="UIX115" s="17"/>
      <c r="UIY115" s="17"/>
      <c r="UIZ115" s="17"/>
      <c r="UJA115" s="17"/>
      <c r="UJB115" s="17"/>
      <c r="UJC115" s="17"/>
      <c r="UJD115" s="17"/>
      <c r="UJE115" s="17"/>
      <c r="UJF115" s="17"/>
      <c r="UJG115" s="17"/>
      <c r="UJH115" s="17"/>
      <c r="UJI115" s="17"/>
      <c r="UJJ115" s="17"/>
      <c r="UJK115" s="17"/>
      <c r="UJL115" s="17"/>
      <c r="UJM115" s="17"/>
      <c r="UJN115" s="17"/>
      <c r="UJO115" s="17"/>
      <c r="UJP115" s="17"/>
      <c r="UJQ115" s="17"/>
      <c r="UJR115" s="17"/>
      <c r="UJS115" s="17"/>
      <c r="UJT115" s="17"/>
      <c r="UJU115" s="17"/>
      <c r="UJV115" s="17"/>
      <c r="UJW115" s="17"/>
      <c r="UJX115" s="17"/>
      <c r="UJY115" s="17"/>
      <c r="UJZ115" s="17"/>
      <c r="UKA115" s="17"/>
      <c r="UKB115" s="17"/>
      <c r="UKC115" s="17"/>
      <c r="UKD115" s="17"/>
      <c r="UKE115" s="17"/>
      <c r="UKF115" s="17"/>
      <c r="UKG115" s="17"/>
      <c r="UKH115" s="17"/>
      <c r="UKI115" s="17"/>
      <c r="UKJ115" s="17"/>
      <c r="UKK115" s="17"/>
      <c r="UKL115" s="17"/>
      <c r="UKM115" s="17"/>
      <c r="UKN115" s="17"/>
      <c r="UKO115" s="17"/>
      <c r="UKP115" s="17"/>
      <c r="UKQ115" s="17"/>
      <c r="UKR115" s="17"/>
      <c r="UKS115" s="17"/>
      <c r="UKT115" s="17"/>
      <c r="UKU115" s="17"/>
      <c r="UKV115" s="17"/>
      <c r="UKW115" s="17"/>
      <c r="UKX115" s="17"/>
      <c r="UKY115" s="17"/>
      <c r="UKZ115" s="17"/>
      <c r="ULA115" s="17"/>
      <c r="ULB115" s="17"/>
      <c r="ULC115" s="17"/>
      <c r="ULD115" s="17"/>
      <c r="ULE115" s="17"/>
      <c r="ULF115" s="17"/>
      <c r="ULG115" s="17"/>
      <c r="ULH115" s="17"/>
      <c r="ULI115" s="17"/>
      <c r="ULJ115" s="17"/>
      <c r="ULK115" s="17"/>
      <c r="ULL115" s="17"/>
      <c r="ULM115" s="17"/>
      <c r="ULN115" s="17"/>
      <c r="ULO115" s="17"/>
      <c r="ULP115" s="17"/>
      <c r="ULQ115" s="17"/>
      <c r="ULR115" s="17"/>
      <c r="ULS115" s="17"/>
      <c r="ULT115" s="17"/>
      <c r="ULU115" s="17"/>
      <c r="ULV115" s="17"/>
      <c r="ULW115" s="17"/>
      <c r="ULX115" s="17"/>
      <c r="ULY115" s="17"/>
      <c r="ULZ115" s="17"/>
      <c r="UMA115" s="17"/>
      <c r="UMB115" s="17"/>
      <c r="UMC115" s="17"/>
      <c r="UMD115" s="17"/>
      <c r="UME115" s="17"/>
      <c r="UMF115" s="17"/>
      <c r="UMG115" s="17"/>
      <c r="UMH115" s="17"/>
      <c r="UMI115" s="17"/>
      <c r="UMJ115" s="17"/>
      <c r="UMK115" s="17"/>
      <c r="UML115" s="17"/>
      <c r="UMM115" s="17"/>
      <c r="UMN115" s="17"/>
      <c r="UMO115" s="17"/>
      <c r="UMP115" s="17"/>
      <c r="UMQ115" s="17"/>
      <c r="UMR115" s="17"/>
      <c r="UMS115" s="17"/>
      <c r="UMT115" s="17"/>
      <c r="UMU115" s="17"/>
      <c r="UMV115" s="17"/>
      <c r="UMW115" s="17"/>
      <c r="UMX115" s="17"/>
      <c r="UMY115" s="17"/>
      <c r="UMZ115" s="17"/>
      <c r="UNA115" s="17"/>
      <c r="UNB115" s="17"/>
      <c r="UNC115" s="17"/>
      <c r="UND115" s="17"/>
      <c r="UNE115" s="17"/>
      <c r="UNF115" s="17"/>
      <c r="UNG115" s="17"/>
      <c r="UNH115" s="17"/>
      <c r="UNI115" s="17"/>
      <c r="UNJ115" s="17"/>
      <c r="UNK115" s="17"/>
      <c r="UNL115" s="17"/>
      <c r="UNM115" s="17"/>
      <c r="UNN115" s="17"/>
      <c r="UNO115" s="17"/>
      <c r="UNP115" s="17"/>
      <c r="UNQ115" s="17"/>
      <c r="UNR115" s="17"/>
      <c r="UNS115" s="17"/>
      <c r="UNT115" s="17"/>
      <c r="UNU115" s="17"/>
      <c r="UNV115" s="17"/>
      <c r="UNW115" s="17"/>
      <c r="UNX115" s="17"/>
      <c r="UNY115" s="17"/>
      <c r="UNZ115" s="17"/>
      <c r="UOA115" s="17"/>
      <c r="UOB115" s="17"/>
      <c r="UOC115" s="17"/>
      <c r="UOD115" s="17"/>
      <c r="UOE115" s="17"/>
      <c r="UOF115" s="17"/>
      <c r="UOG115" s="17"/>
      <c r="UOH115" s="17"/>
      <c r="UOI115" s="17"/>
      <c r="UOJ115" s="17"/>
      <c r="UOK115" s="17"/>
      <c r="UOL115" s="17"/>
      <c r="UOM115" s="17"/>
      <c r="UON115" s="17"/>
      <c r="UOO115" s="17"/>
      <c r="UOP115" s="17"/>
      <c r="UOQ115" s="17"/>
      <c r="UOR115" s="17"/>
      <c r="UOS115" s="17"/>
      <c r="UOT115" s="17"/>
      <c r="UOU115" s="17"/>
      <c r="UOV115" s="17"/>
      <c r="UOW115" s="17"/>
      <c r="UOX115" s="17"/>
      <c r="UOY115" s="17"/>
      <c r="UOZ115" s="17"/>
      <c r="UPA115" s="17"/>
      <c r="UPB115" s="17"/>
      <c r="UPC115" s="17"/>
      <c r="UPD115" s="17"/>
      <c r="UPE115" s="17"/>
      <c r="UPF115" s="17"/>
      <c r="UPG115" s="17"/>
      <c r="UPH115" s="17"/>
      <c r="UPI115" s="17"/>
      <c r="UPJ115" s="17"/>
      <c r="UPK115" s="17"/>
      <c r="UPL115" s="17"/>
      <c r="UPM115" s="17"/>
      <c r="UPN115" s="17"/>
      <c r="UPO115" s="17"/>
      <c r="UPP115" s="17"/>
      <c r="UPQ115" s="17"/>
      <c r="UPR115" s="17"/>
      <c r="UPS115" s="17"/>
      <c r="UPT115" s="17"/>
      <c r="UPU115" s="17"/>
      <c r="UPV115" s="17"/>
      <c r="UPW115" s="17"/>
      <c r="UPX115" s="17"/>
      <c r="UPY115" s="17"/>
      <c r="UPZ115" s="17"/>
      <c r="UQA115" s="17"/>
      <c r="UQB115" s="17"/>
      <c r="UQC115" s="17"/>
      <c r="UQD115" s="17"/>
      <c r="UQE115" s="17"/>
      <c r="UQF115" s="17"/>
      <c r="UQG115" s="17"/>
      <c r="UQH115" s="17"/>
      <c r="UQI115" s="17"/>
      <c r="UQJ115" s="17"/>
      <c r="UQK115" s="17"/>
      <c r="UQL115" s="17"/>
      <c r="UQM115" s="17"/>
      <c r="UQN115" s="17"/>
      <c r="UQO115" s="17"/>
      <c r="UQP115" s="17"/>
      <c r="UQQ115" s="17"/>
      <c r="UQR115" s="17"/>
      <c r="UQS115" s="17"/>
      <c r="UQT115" s="17"/>
      <c r="UQU115" s="17"/>
      <c r="UQV115" s="17"/>
      <c r="UQW115" s="17"/>
      <c r="UQX115" s="17"/>
      <c r="UQY115" s="17"/>
      <c r="UQZ115" s="17"/>
      <c r="URA115" s="17"/>
      <c r="URB115" s="17"/>
      <c r="URC115" s="17"/>
      <c r="URD115" s="17"/>
      <c r="URE115" s="17"/>
      <c r="URF115" s="17"/>
      <c r="URG115" s="17"/>
      <c r="URH115" s="17"/>
      <c r="URI115" s="17"/>
      <c r="URJ115" s="17"/>
      <c r="URK115" s="17"/>
      <c r="URL115" s="17"/>
      <c r="URM115" s="17"/>
      <c r="URN115" s="17"/>
      <c r="URO115" s="17"/>
      <c r="URP115" s="17"/>
      <c r="URQ115" s="17"/>
      <c r="URR115" s="17"/>
      <c r="URS115" s="17"/>
      <c r="URT115" s="17"/>
      <c r="URU115" s="17"/>
      <c r="URV115" s="17"/>
      <c r="URW115" s="17"/>
      <c r="URX115" s="17"/>
      <c r="URY115" s="17"/>
      <c r="URZ115" s="17"/>
      <c r="USA115" s="17"/>
      <c r="USB115" s="17"/>
      <c r="USC115" s="17"/>
      <c r="USD115" s="17"/>
      <c r="USE115" s="17"/>
      <c r="USF115" s="17"/>
      <c r="USG115" s="17"/>
      <c r="USH115" s="17"/>
      <c r="USI115" s="17"/>
      <c r="USJ115" s="17"/>
      <c r="USK115" s="17"/>
      <c r="USL115" s="17"/>
      <c r="USM115" s="17"/>
      <c r="USN115" s="17"/>
      <c r="USO115" s="17"/>
      <c r="USP115" s="17"/>
      <c r="USQ115" s="17"/>
      <c r="USR115" s="17"/>
      <c r="USS115" s="17"/>
      <c r="UST115" s="17"/>
      <c r="USU115" s="17"/>
      <c r="USV115" s="17"/>
      <c r="USW115" s="17"/>
      <c r="USX115" s="17"/>
      <c r="USY115" s="17"/>
      <c r="USZ115" s="17"/>
      <c r="UTA115" s="17"/>
      <c r="UTB115" s="17"/>
      <c r="UTC115" s="17"/>
      <c r="UTD115" s="17"/>
      <c r="UTE115" s="17"/>
      <c r="UTF115" s="17"/>
      <c r="UTG115" s="17"/>
      <c r="UTH115" s="17"/>
      <c r="UTI115" s="17"/>
      <c r="UTJ115" s="17"/>
      <c r="UTK115" s="17"/>
      <c r="UTL115" s="17"/>
      <c r="UTM115" s="17"/>
      <c r="UTN115" s="17"/>
      <c r="UTO115" s="17"/>
      <c r="UTP115" s="17"/>
      <c r="UTQ115" s="17"/>
      <c r="UTR115" s="17"/>
      <c r="UTS115" s="17"/>
      <c r="UTT115" s="17"/>
      <c r="UTU115" s="17"/>
      <c r="UTV115" s="17"/>
      <c r="UTW115" s="17"/>
      <c r="UTX115" s="17"/>
      <c r="UTY115" s="17"/>
      <c r="UTZ115" s="17"/>
      <c r="UUA115" s="17"/>
      <c r="UUB115" s="17"/>
      <c r="UUC115" s="17"/>
      <c r="UUD115" s="17"/>
      <c r="UUE115" s="17"/>
      <c r="UUF115" s="17"/>
      <c r="UUG115" s="17"/>
      <c r="UUH115" s="17"/>
      <c r="UUI115" s="17"/>
      <c r="UUJ115" s="17"/>
      <c r="UUK115" s="17"/>
      <c r="UUL115" s="17"/>
      <c r="UUM115" s="17"/>
      <c r="UUN115" s="17"/>
      <c r="UUO115" s="17"/>
      <c r="UUP115" s="17"/>
      <c r="UUQ115" s="17"/>
      <c r="UUR115" s="17"/>
      <c r="UUS115" s="17"/>
      <c r="UUT115" s="17"/>
      <c r="UUU115" s="17"/>
      <c r="UUV115" s="17"/>
      <c r="UUW115" s="17"/>
      <c r="UUX115" s="17"/>
      <c r="UUY115" s="17"/>
      <c r="UUZ115" s="17"/>
      <c r="UVA115" s="17"/>
      <c r="UVB115" s="17"/>
      <c r="UVC115" s="17"/>
      <c r="UVD115" s="17"/>
      <c r="UVE115" s="17"/>
      <c r="UVF115" s="17"/>
      <c r="UVG115" s="17"/>
      <c r="UVH115" s="17"/>
      <c r="UVI115" s="17"/>
      <c r="UVJ115" s="17"/>
      <c r="UVK115" s="17"/>
      <c r="UVL115" s="17"/>
      <c r="UVM115" s="17"/>
      <c r="UVN115" s="17"/>
      <c r="UVO115" s="17"/>
      <c r="UVP115" s="17"/>
      <c r="UVQ115" s="17"/>
      <c r="UVR115" s="17"/>
      <c r="UVS115" s="17"/>
      <c r="UVT115" s="17"/>
      <c r="UVU115" s="17"/>
      <c r="UVV115" s="17"/>
      <c r="UVW115" s="17"/>
      <c r="UVX115" s="17"/>
      <c r="UVY115" s="17"/>
      <c r="UVZ115" s="17"/>
      <c r="UWA115" s="17"/>
      <c r="UWB115" s="17"/>
      <c r="UWC115" s="17"/>
      <c r="UWD115" s="17"/>
      <c r="UWE115" s="17"/>
      <c r="UWF115" s="17"/>
      <c r="UWG115" s="17"/>
      <c r="UWH115" s="17"/>
      <c r="UWI115" s="17"/>
      <c r="UWJ115" s="17"/>
      <c r="UWK115" s="17"/>
      <c r="UWL115" s="17"/>
      <c r="UWM115" s="17"/>
      <c r="UWN115" s="17"/>
      <c r="UWO115" s="17"/>
      <c r="UWP115" s="17"/>
      <c r="UWQ115" s="17"/>
      <c r="UWR115" s="17"/>
      <c r="UWS115" s="17"/>
      <c r="UWT115" s="17"/>
      <c r="UWU115" s="17"/>
      <c r="UWV115" s="17"/>
      <c r="UWW115" s="17"/>
      <c r="UWX115" s="17"/>
      <c r="UWY115" s="17"/>
      <c r="UWZ115" s="17"/>
      <c r="UXA115" s="17"/>
      <c r="UXB115" s="17"/>
      <c r="UXC115" s="17"/>
      <c r="UXD115" s="17"/>
      <c r="UXE115" s="17"/>
      <c r="UXF115" s="17"/>
      <c r="UXG115" s="17"/>
      <c r="UXH115" s="17"/>
      <c r="UXI115" s="17"/>
      <c r="UXJ115" s="17"/>
      <c r="UXK115" s="17"/>
      <c r="UXL115" s="17"/>
      <c r="UXM115" s="17"/>
      <c r="UXN115" s="17"/>
      <c r="UXO115" s="17"/>
      <c r="UXP115" s="17"/>
      <c r="UXQ115" s="17"/>
      <c r="UXR115" s="17"/>
      <c r="UXS115" s="17"/>
      <c r="UXT115" s="17"/>
      <c r="UXU115" s="17"/>
      <c r="UXV115" s="17"/>
      <c r="UXW115" s="17"/>
      <c r="UXX115" s="17"/>
      <c r="UXY115" s="17"/>
      <c r="UXZ115" s="17"/>
      <c r="UYA115" s="17"/>
      <c r="UYB115" s="17"/>
      <c r="UYC115" s="17"/>
      <c r="UYD115" s="17"/>
      <c r="UYE115" s="17"/>
      <c r="UYF115" s="17"/>
      <c r="UYG115" s="17"/>
      <c r="UYH115" s="17"/>
      <c r="UYI115" s="17"/>
      <c r="UYJ115" s="17"/>
      <c r="UYK115" s="17"/>
      <c r="UYL115" s="17"/>
      <c r="UYM115" s="17"/>
      <c r="UYN115" s="17"/>
      <c r="UYO115" s="17"/>
      <c r="UYP115" s="17"/>
      <c r="UYQ115" s="17"/>
      <c r="UYR115" s="17"/>
      <c r="UYS115" s="17"/>
      <c r="UYT115" s="17"/>
      <c r="UYU115" s="17"/>
      <c r="UYV115" s="17"/>
      <c r="UYW115" s="17"/>
      <c r="UYX115" s="17"/>
      <c r="UYY115" s="17"/>
      <c r="UYZ115" s="17"/>
      <c r="UZA115" s="17"/>
      <c r="UZB115" s="17"/>
      <c r="UZC115" s="17"/>
      <c r="UZD115" s="17"/>
      <c r="UZE115" s="17"/>
      <c r="UZF115" s="17"/>
      <c r="UZG115" s="17"/>
      <c r="UZH115" s="17"/>
      <c r="UZI115" s="17"/>
      <c r="UZJ115" s="17"/>
      <c r="UZK115" s="17"/>
      <c r="UZL115" s="17"/>
      <c r="UZM115" s="17"/>
      <c r="UZN115" s="17"/>
      <c r="UZO115" s="17"/>
      <c r="UZP115" s="17"/>
      <c r="UZQ115" s="17"/>
      <c r="UZR115" s="17"/>
      <c r="UZS115" s="17"/>
      <c r="UZT115" s="17"/>
      <c r="UZU115" s="17"/>
      <c r="UZV115" s="17"/>
      <c r="UZW115" s="17"/>
      <c r="UZX115" s="17"/>
      <c r="UZY115" s="17"/>
      <c r="UZZ115" s="17"/>
      <c r="VAA115" s="17"/>
      <c r="VAB115" s="17"/>
      <c r="VAC115" s="17"/>
      <c r="VAD115" s="17"/>
      <c r="VAE115" s="17"/>
      <c r="VAF115" s="17"/>
      <c r="VAG115" s="17"/>
      <c r="VAH115" s="17"/>
      <c r="VAI115" s="17"/>
      <c r="VAJ115" s="17"/>
      <c r="VAK115" s="17"/>
      <c r="VAL115" s="17"/>
      <c r="VAM115" s="17"/>
      <c r="VAN115" s="17"/>
      <c r="VAO115" s="17"/>
      <c r="VAP115" s="17"/>
      <c r="VAQ115" s="17"/>
      <c r="VAR115" s="17"/>
      <c r="VAS115" s="17"/>
      <c r="VAT115" s="17"/>
      <c r="VAU115" s="17"/>
      <c r="VAV115" s="17"/>
      <c r="VAW115" s="17"/>
      <c r="VAX115" s="17"/>
      <c r="VAY115" s="17"/>
      <c r="VAZ115" s="17"/>
      <c r="VBA115" s="17"/>
      <c r="VBB115" s="17"/>
      <c r="VBC115" s="17"/>
      <c r="VBD115" s="17"/>
      <c r="VBE115" s="17"/>
      <c r="VBF115" s="17"/>
      <c r="VBG115" s="17"/>
      <c r="VBH115" s="17"/>
      <c r="VBI115" s="17"/>
      <c r="VBJ115" s="17"/>
      <c r="VBK115" s="17"/>
      <c r="VBL115" s="17"/>
      <c r="VBM115" s="17"/>
      <c r="VBN115" s="17"/>
      <c r="VBO115" s="17"/>
      <c r="VBP115" s="17"/>
      <c r="VBQ115" s="17"/>
      <c r="VBR115" s="17"/>
      <c r="VBS115" s="17"/>
      <c r="VBT115" s="17"/>
      <c r="VBU115" s="17"/>
      <c r="VBV115" s="17"/>
      <c r="VBW115" s="17"/>
      <c r="VBX115" s="17"/>
      <c r="VBY115" s="17"/>
      <c r="VBZ115" s="17"/>
      <c r="VCA115" s="17"/>
      <c r="VCB115" s="17"/>
      <c r="VCC115" s="17"/>
      <c r="VCD115" s="17"/>
      <c r="VCE115" s="17"/>
      <c r="VCF115" s="17"/>
      <c r="VCG115" s="17"/>
      <c r="VCH115" s="17"/>
      <c r="VCI115" s="17"/>
      <c r="VCJ115" s="17"/>
      <c r="VCK115" s="17"/>
      <c r="VCL115" s="17"/>
      <c r="VCM115" s="17"/>
      <c r="VCN115" s="17"/>
      <c r="VCO115" s="17"/>
      <c r="VCP115" s="17"/>
      <c r="VCQ115" s="17"/>
      <c r="VCR115" s="17"/>
      <c r="VCS115" s="17"/>
      <c r="VCT115" s="17"/>
      <c r="VCU115" s="17"/>
      <c r="VCV115" s="17"/>
      <c r="VCW115" s="17"/>
      <c r="VCX115" s="17"/>
      <c r="VCY115" s="17"/>
      <c r="VCZ115" s="17"/>
      <c r="VDA115" s="17"/>
      <c r="VDB115" s="17"/>
      <c r="VDC115" s="17"/>
      <c r="VDD115" s="17"/>
      <c r="VDE115" s="17"/>
      <c r="VDF115" s="17"/>
      <c r="VDG115" s="17"/>
      <c r="VDH115" s="17"/>
      <c r="VDI115" s="17"/>
      <c r="VDJ115" s="17"/>
      <c r="VDK115" s="17"/>
      <c r="VDL115" s="17"/>
      <c r="VDM115" s="17"/>
      <c r="VDN115" s="17"/>
      <c r="VDO115" s="17"/>
      <c r="VDP115" s="17"/>
      <c r="VDQ115" s="17"/>
      <c r="VDR115" s="17"/>
      <c r="VDS115" s="17"/>
      <c r="VDT115" s="17"/>
      <c r="VDU115" s="17"/>
      <c r="VDV115" s="17"/>
      <c r="VDW115" s="17"/>
      <c r="VDX115" s="17"/>
      <c r="VDY115" s="17"/>
      <c r="VDZ115" s="17"/>
      <c r="VEA115" s="17"/>
      <c r="VEB115" s="17"/>
      <c r="VEC115" s="17"/>
      <c r="VED115" s="17"/>
      <c r="VEE115" s="17"/>
      <c r="VEF115" s="17"/>
      <c r="VEG115" s="17"/>
      <c r="VEH115" s="17"/>
      <c r="VEI115" s="17"/>
      <c r="VEJ115" s="17"/>
      <c r="VEK115" s="17"/>
      <c r="VEL115" s="17"/>
      <c r="VEM115" s="17"/>
      <c r="VEN115" s="17"/>
      <c r="VEO115" s="17"/>
      <c r="VEP115" s="17"/>
      <c r="VEQ115" s="17"/>
      <c r="VER115" s="17"/>
      <c r="VES115" s="17"/>
      <c r="VET115" s="17"/>
      <c r="VEU115" s="17"/>
      <c r="VEV115" s="17"/>
      <c r="VEW115" s="17"/>
      <c r="VEX115" s="17"/>
      <c r="VEY115" s="17"/>
      <c r="VEZ115" s="17"/>
      <c r="VFA115" s="17"/>
      <c r="VFB115" s="17"/>
      <c r="VFC115" s="17"/>
      <c r="VFD115" s="17"/>
      <c r="VFE115" s="17"/>
      <c r="VFF115" s="17"/>
      <c r="VFG115" s="17"/>
      <c r="VFH115" s="17"/>
      <c r="VFI115" s="17"/>
      <c r="VFJ115" s="17"/>
      <c r="VFK115" s="17"/>
      <c r="VFL115" s="17"/>
      <c r="VFM115" s="17"/>
      <c r="VFN115" s="17"/>
      <c r="VFO115" s="17"/>
      <c r="VFP115" s="17"/>
      <c r="VFQ115" s="17"/>
      <c r="VFR115" s="17"/>
      <c r="VFS115" s="17"/>
      <c r="VFT115" s="17"/>
      <c r="VFU115" s="17"/>
      <c r="VFV115" s="17"/>
      <c r="VFW115" s="17"/>
      <c r="VFX115" s="17"/>
      <c r="VFY115" s="17"/>
      <c r="VFZ115" s="17"/>
      <c r="VGA115" s="17"/>
      <c r="VGB115" s="17"/>
      <c r="VGC115" s="17"/>
      <c r="VGD115" s="17"/>
      <c r="VGE115" s="17"/>
      <c r="VGF115" s="17"/>
      <c r="VGG115" s="17"/>
      <c r="VGH115" s="17"/>
      <c r="VGI115" s="17"/>
      <c r="VGJ115" s="17"/>
      <c r="VGK115" s="17"/>
      <c r="VGL115" s="17"/>
      <c r="VGM115" s="17"/>
      <c r="VGN115" s="17"/>
      <c r="VGO115" s="17"/>
      <c r="VGP115" s="17"/>
      <c r="VGQ115" s="17"/>
      <c r="VGR115" s="17"/>
      <c r="VGS115" s="17"/>
      <c r="VGT115" s="17"/>
      <c r="VGU115" s="17"/>
      <c r="VGV115" s="17"/>
      <c r="VGW115" s="17"/>
      <c r="VGX115" s="17"/>
      <c r="VGY115" s="17"/>
      <c r="VGZ115" s="17"/>
      <c r="VHA115" s="17"/>
      <c r="VHB115" s="17"/>
      <c r="VHC115" s="17"/>
      <c r="VHD115" s="17"/>
      <c r="VHE115" s="17"/>
      <c r="VHF115" s="17"/>
      <c r="VHG115" s="17"/>
      <c r="VHH115" s="17"/>
      <c r="VHI115" s="17"/>
      <c r="VHJ115" s="17"/>
      <c r="VHK115" s="17"/>
      <c r="VHL115" s="17"/>
      <c r="VHM115" s="17"/>
      <c r="VHN115" s="17"/>
      <c r="VHO115" s="17"/>
      <c r="VHP115" s="17"/>
      <c r="VHQ115" s="17"/>
      <c r="VHR115" s="17"/>
      <c r="VHS115" s="17"/>
      <c r="VHT115" s="17"/>
      <c r="VHU115" s="17"/>
      <c r="VHV115" s="17"/>
      <c r="VHW115" s="17"/>
      <c r="VHX115" s="17"/>
      <c r="VHY115" s="17"/>
      <c r="VHZ115" s="17"/>
      <c r="VIA115" s="17"/>
      <c r="VIB115" s="17"/>
      <c r="VIC115" s="17"/>
      <c r="VID115" s="17"/>
      <c r="VIE115" s="17"/>
      <c r="VIF115" s="17"/>
      <c r="VIG115" s="17"/>
      <c r="VIH115" s="17"/>
      <c r="VII115" s="17"/>
      <c r="VIJ115" s="17"/>
      <c r="VIK115" s="17"/>
      <c r="VIL115" s="17"/>
      <c r="VIM115" s="17"/>
      <c r="VIN115" s="17"/>
      <c r="VIO115" s="17"/>
      <c r="VIP115" s="17"/>
      <c r="VIQ115" s="17"/>
      <c r="VIR115" s="17"/>
      <c r="VIS115" s="17"/>
      <c r="VIT115" s="17"/>
      <c r="VIU115" s="17"/>
      <c r="VIV115" s="17"/>
      <c r="VIW115" s="17"/>
      <c r="VIX115" s="17"/>
      <c r="VIY115" s="17"/>
      <c r="VIZ115" s="17"/>
      <c r="VJA115" s="17"/>
      <c r="VJB115" s="17"/>
      <c r="VJC115" s="17"/>
      <c r="VJD115" s="17"/>
      <c r="VJE115" s="17"/>
      <c r="VJF115" s="17"/>
      <c r="VJG115" s="17"/>
      <c r="VJH115" s="17"/>
      <c r="VJI115" s="17"/>
      <c r="VJJ115" s="17"/>
      <c r="VJK115" s="17"/>
      <c r="VJL115" s="17"/>
      <c r="VJM115" s="17"/>
      <c r="VJN115" s="17"/>
      <c r="VJO115" s="17"/>
      <c r="VJP115" s="17"/>
      <c r="VJQ115" s="17"/>
      <c r="VJR115" s="17"/>
      <c r="VJS115" s="17"/>
      <c r="VJT115" s="17"/>
      <c r="VJU115" s="17"/>
      <c r="VJV115" s="17"/>
      <c r="VJW115" s="17"/>
      <c r="VJX115" s="17"/>
      <c r="VJY115" s="17"/>
      <c r="VJZ115" s="17"/>
      <c r="VKA115" s="17"/>
      <c r="VKB115" s="17"/>
      <c r="VKC115" s="17"/>
      <c r="VKD115" s="17"/>
      <c r="VKE115" s="17"/>
      <c r="VKF115" s="17"/>
      <c r="VKG115" s="17"/>
      <c r="VKH115" s="17"/>
      <c r="VKI115" s="17"/>
      <c r="VKJ115" s="17"/>
      <c r="VKK115" s="17"/>
      <c r="VKL115" s="17"/>
      <c r="VKM115" s="17"/>
      <c r="VKN115" s="17"/>
      <c r="VKO115" s="17"/>
      <c r="VKP115" s="17"/>
      <c r="VKQ115" s="17"/>
      <c r="VKR115" s="17"/>
      <c r="VKS115" s="17"/>
      <c r="VKT115" s="17"/>
      <c r="VKU115" s="17"/>
      <c r="VKV115" s="17"/>
      <c r="VKW115" s="17"/>
      <c r="VKX115" s="17"/>
      <c r="VKY115" s="17"/>
      <c r="VKZ115" s="17"/>
      <c r="VLA115" s="17"/>
      <c r="VLB115" s="17"/>
      <c r="VLC115" s="17"/>
      <c r="VLD115" s="17"/>
      <c r="VLE115" s="17"/>
      <c r="VLF115" s="17"/>
      <c r="VLG115" s="17"/>
      <c r="VLH115" s="17"/>
      <c r="VLI115" s="17"/>
      <c r="VLJ115" s="17"/>
      <c r="VLK115" s="17"/>
      <c r="VLL115" s="17"/>
      <c r="VLM115" s="17"/>
      <c r="VLN115" s="17"/>
      <c r="VLO115" s="17"/>
      <c r="VLP115" s="17"/>
      <c r="VLQ115" s="17"/>
      <c r="VLR115" s="17"/>
      <c r="VLS115" s="17"/>
      <c r="VLT115" s="17"/>
      <c r="VLU115" s="17"/>
      <c r="VLV115" s="17"/>
      <c r="VLW115" s="17"/>
      <c r="VLX115" s="17"/>
      <c r="VLY115" s="17"/>
      <c r="VLZ115" s="17"/>
      <c r="VMA115" s="17"/>
      <c r="VMB115" s="17"/>
      <c r="VMC115" s="17"/>
      <c r="VMD115" s="17"/>
      <c r="VME115" s="17"/>
      <c r="VMF115" s="17"/>
      <c r="VMG115" s="17"/>
      <c r="VMH115" s="17"/>
      <c r="VMI115" s="17"/>
      <c r="VMJ115" s="17"/>
      <c r="VMK115" s="17"/>
      <c r="VML115" s="17"/>
      <c r="VMM115" s="17"/>
      <c r="VMN115" s="17"/>
      <c r="VMO115" s="17"/>
      <c r="VMP115" s="17"/>
      <c r="VMQ115" s="17"/>
      <c r="VMR115" s="17"/>
      <c r="VMS115" s="17"/>
      <c r="VMT115" s="17"/>
      <c r="VMU115" s="17"/>
      <c r="VMV115" s="17"/>
      <c r="VMW115" s="17"/>
      <c r="VMX115" s="17"/>
      <c r="VMY115" s="17"/>
      <c r="VMZ115" s="17"/>
      <c r="VNA115" s="17"/>
      <c r="VNB115" s="17"/>
      <c r="VNC115" s="17"/>
      <c r="VND115" s="17"/>
      <c r="VNE115" s="17"/>
      <c r="VNF115" s="17"/>
      <c r="VNG115" s="17"/>
      <c r="VNH115" s="17"/>
      <c r="VNI115" s="17"/>
      <c r="VNJ115" s="17"/>
      <c r="VNK115" s="17"/>
      <c r="VNL115" s="17"/>
      <c r="VNM115" s="17"/>
      <c r="VNN115" s="17"/>
      <c r="VNO115" s="17"/>
      <c r="VNP115" s="17"/>
      <c r="VNQ115" s="17"/>
      <c r="VNR115" s="17"/>
      <c r="VNS115" s="17"/>
      <c r="VNT115" s="17"/>
      <c r="VNU115" s="17"/>
      <c r="VNV115" s="17"/>
      <c r="VNW115" s="17"/>
      <c r="VNX115" s="17"/>
      <c r="VNY115" s="17"/>
      <c r="VNZ115" s="17"/>
      <c r="VOA115" s="17"/>
      <c r="VOB115" s="17"/>
      <c r="VOC115" s="17"/>
      <c r="VOD115" s="17"/>
      <c r="VOE115" s="17"/>
      <c r="VOF115" s="17"/>
      <c r="VOG115" s="17"/>
      <c r="VOH115" s="17"/>
      <c r="VOI115" s="17"/>
      <c r="VOJ115" s="17"/>
      <c r="VOK115" s="17"/>
      <c r="VOL115" s="17"/>
      <c r="VOM115" s="17"/>
      <c r="VON115" s="17"/>
      <c r="VOO115" s="17"/>
      <c r="VOP115" s="17"/>
      <c r="VOQ115" s="17"/>
      <c r="VOR115" s="17"/>
      <c r="VOS115" s="17"/>
      <c r="VOT115" s="17"/>
      <c r="VOU115" s="17"/>
      <c r="VOV115" s="17"/>
      <c r="VOW115" s="17"/>
      <c r="VOX115" s="17"/>
      <c r="VOY115" s="17"/>
      <c r="VOZ115" s="17"/>
      <c r="VPA115" s="17"/>
      <c r="VPB115" s="17"/>
      <c r="VPC115" s="17"/>
      <c r="VPD115" s="17"/>
      <c r="VPE115" s="17"/>
      <c r="VPF115" s="17"/>
      <c r="VPG115" s="17"/>
      <c r="VPH115" s="17"/>
      <c r="VPI115" s="17"/>
      <c r="VPJ115" s="17"/>
      <c r="VPK115" s="17"/>
      <c r="VPL115" s="17"/>
      <c r="VPM115" s="17"/>
      <c r="VPN115" s="17"/>
      <c r="VPO115" s="17"/>
      <c r="VPP115" s="17"/>
      <c r="VPQ115" s="17"/>
      <c r="VPR115" s="17"/>
      <c r="VPS115" s="17"/>
      <c r="VPT115" s="17"/>
      <c r="VPU115" s="17"/>
      <c r="VPV115" s="17"/>
      <c r="VPW115" s="17"/>
      <c r="VPX115" s="17"/>
      <c r="VPY115" s="17"/>
      <c r="VPZ115" s="17"/>
      <c r="VQA115" s="17"/>
      <c r="VQB115" s="17"/>
      <c r="VQC115" s="17"/>
      <c r="VQD115" s="17"/>
      <c r="VQE115" s="17"/>
      <c r="VQF115" s="17"/>
      <c r="VQG115" s="17"/>
      <c r="VQH115" s="17"/>
      <c r="VQI115" s="17"/>
      <c r="VQJ115" s="17"/>
      <c r="VQK115" s="17"/>
      <c r="VQL115" s="17"/>
      <c r="VQM115" s="17"/>
      <c r="VQN115" s="17"/>
      <c r="VQO115" s="17"/>
      <c r="VQP115" s="17"/>
      <c r="VQQ115" s="17"/>
      <c r="VQR115" s="17"/>
      <c r="VQS115" s="17"/>
      <c r="VQT115" s="17"/>
      <c r="VQU115" s="17"/>
      <c r="VQV115" s="17"/>
      <c r="VQW115" s="17"/>
      <c r="VQX115" s="17"/>
      <c r="VQY115" s="17"/>
      <c r="VQZ115" s="17"/>
      <c r="VRA115" s="17"/>
      <c r="VRB115" s="17"/>
      <c r="VRC115" s="17"/>
      <c r="VRD115" s="17"/>
      <c r="VRE115" s="17"/>
      <c r="VRF115" s="17"/>
      <c r="VRG115" s="17"/>
      <c r="VRH115" s="17"/>
      <c r="VRI115" s="17"/>
      <c r="VRJ115" s="17"/>
      <c r="VRK115" s="17"/>
      <c r="VRL115" s="17"/>
      <c r="VRM115" s="17"/>
      <c r="VRN115" s="17"/>
      <c r="VRO115" s="17"/>
      <c r="VRP115" s="17"/>
      <c r="VRQ115" s="17"/>
      <c r="VRR115" s="17"/>
      <c r="VRS115" s="17"/>
      <c r="VRT115" s="17"/>
      <c r="VRU115" s="17"/>
      <c r="VRV115" s="17"/>
      <c r="VRW115" s="17"/>
      <c r="VRX115" s="17"/>
      <c r="VRY115" s="17"/>
      <c r="VRZ115" s="17"/>
      <c r="VSA115" s="17"/>
      <c r="VSB115" s="17"/>
      <c r="VSC115" s="17"/>
      <c r="VSD115" s="17"/>
      <c r="VSE115" s="17"/>
      <c r="VSF115" s="17"/>
      <c r="VSG115" s="17"/>
      <c r="VSH115" s="17"/>
      <c r="VSI115" s="17"/>
      <c r="VSJ115" s="17"/>
      <c r="VSK115" s="17"/>
      <c r="VSL115" s="17"/>
      <c r="VSM115" s="17"/>
      <c r="VSN115" s="17"/>
      <c r="VSO115" s="17"/>
      <c r="VSP115" s="17"/>
      <c r="VSQ115" s="17"/>
      <c r="VSR115" s="17"/>
      <c r="VSS115" s="17"/>
      <c r="VST115" s="17"/>
      <c r="VSU115" s="17"/>
      <c r="VSV115" s="17"/>
      <c r="VSW115" s="17"/>
      <c r="VSX115" s="17"/>
      <c r="VSY115" s="17"/>
      <c r="VSZ115" s="17"/>
      <c r="VTA115" s="17"/>
      <c r="VTB115" s="17"/>
      <c r="VTC115" s="17"/>
      <c r="VTD115" s="17"/>
      <c r="VTE115" s="17"/>
      <c r="VTF115" s="17"/>
      <c r="VTG115" s="17"/>
      <c r="VTH115" s="17"/>
      <c r="VTI115" s="17"/>
      <c r="VTJ115" s="17"/>
      <c r="VTK115" s="17"/>
      <c r="VTL115" s="17"/>
      <c r="VTM115" s="17"/>
      <c r="VTN115" s="17"/>
      <c r="VTO115" s="17"/>
      <c r="VTP115" s="17"/>
      <c r="VTQ115" s="17"/>
      <c r="VTR115" s="17"/>
      <c r="VTS115" s="17"/>
      <c r="VTT115" s="17"/>
      <c r="VTU115" s="17"/>
      <c r="VTV115" s="17"/>
      <c r="VTW115" s="17"/>
      <c r="VTX115" s="17"/>
      <c r="VTY115" s="17"/>
      <c r="VTZ115" s="17"/>
      <c r="VUA115" s="17"/>
      <c r="VUB115" s="17"/>
      <c r="VUC115" s="17"/>
      <c r="VUD115" s="17"/>
      <c r="VUE115" s="17"/>
      <c r="VUF115" s="17"/>
      <c r="VUG115" s="17"/>
      <c r="VUH115" s="17"/>
      <c r="VUI115" s="17"/>
      <c r="VUJ115" s="17"/>
      <c r="VUK115" s="17"/>
      <c r="VUL115" s="17"/>
      <c r="VUM115" s="17"/>
      <c r="VUN115" s="17"/>
      <c r="VUO115" s="17"/>
      <c r="VUP115" s="17"/>
      <c r="VUQ115" s="17"/>
      <c r="VUR115" s="17"/>
      <c r="VUS115" s="17"/>
      <c r="VUT115" s="17"/>
      <c r="VUU115" s="17"/>
      <c r="VUV115" s="17"/>
      <c r="VUW115" s="17"/>
      <c r="VUX115" s="17"/>
      <c r="VUY115" s="17"/>
      <c r="VUZ115" s="17"/>
      <c r="VVA115" s="17"/>
      <c r="VVB115" s="17"/>
      <c r="VVC115" s="17"/>
      <c r="VVD115" s="17"/>
      <c r="VVE115" s="17"/>
      <c r="VVF115" s="17"/>
      <c r="VVG115" s="17"/>
      <c r="VVH115" s="17"/>
      <c r="VVI115" s="17"/>
      <c r="VVJ115" s="17"/>
      <c r="VVK115" s="17"/>
      <c r="VVL115" s="17"/>
      <c r="VVM115" s="17"/>
      <c r="VVN115" s="17"/>
      <c r="VVO115" s="17"/>
      <c r="VVP115" s="17"/>
      <c r="VVQ115" s="17"/>
      <c r="VVR115" s="17"/>
      <c r="VVS115" s="17"/>
      <c r="VVT115" s="17"/>
      <c r="VVU115" s="17"/>
      <c r="VVV115" s="17"/>
      <c r="VVW115" s="17"/>
      <c r="VVX115" s="17"/>
      <c r="VVY115" s="17"/>
      <c r="VVZ115" s="17"/>
      <c r="VWA115" s="17"/>
      <c r="VWB115" s="17"/>
      <c r="VWC115" s="17"/>
      <c r="VWD115" s="17"/>
      <c r="VWE115" s="17"/>
      <c r="VWF115" s="17"/>
      <c r="VWG115" s="17"/>
      <c r="VWH115" s="17"/>
      <c r="VWI115" s="17"/>
      <c r="VWJ115" s="17"/>
      <c r="VWK115" s="17"/>
      <c r="VWL115" s="17"/>
      <c r="VWM115" s="17"/>
      <c r="VWN115" s="17"/>
      <c r="VWO115" s="17"/>
      <c r="VWP115" s="17"/>
      <c r="VWQ115" s="17"/>
      <c r="VWR115" s="17"/>
      <c r="VWS115" s="17"/>
      <c r="VWT115" s="17"/>
      <c r="VWU115" s="17"/>
      <c r="VWV115" s="17"/>
      <c r="VWW115" s="17"/>
      <c r="VWX115" s="17"/>
      <c r="VWY115" s="17"/>
      <c r="VWZ115" s="17"/>
      <c r="VXA115" s="17"/>
      <c r="VXB115" s="17"/>
      <c r="VXC115" s="17"/>
      <c r="VXD115" s="17"/>
      <c r="VXE115" s="17"/>
      <c r="VXF115" s="17"/>
      <c r="VXG115" s="17"/>
      <c r="VXH115" s="17"/>
      <c r="VXI115" s="17"/>
      <c r="VXJ115" s="17"/>
      <c r="VXK115" s="17"/>
      <c r="VXL115" s="17"/>
      <c r="VXM115" s="17"/>
      <c r="VXN115" s="17"/>
      <c r="VXO115" s="17"/>
      <c r="VXP115" s="17"/>
      <c r="VXQ115" s="17"/>
      <c r="VXR115" s="17"/>
      <c r="VXS115" s="17"/>
      <c r="VXT115" s="17"/>
      <c r="VXU115" s="17"/>
      <c r="VXV115" s="17"/>
      <c r="VXW115" s="17"/>
      <c r="VXX115" s="17"/>
      <c r="VXY115" s="17"/>
      <c r="VXZ115" s="17"/>
      <c r="VYA115" s="17"/>
      <c r="VYB115" s="17"/>
      <c r="VYC115" s="17"/>
      <c r="VYD115" s="17"/>
      <c r="VYE115" s="17"/>
      <c r="VYF115" s="17"/>
      <c r="VYG115" s="17"/>
      <c r="VYH115" s="17"/>
      <c r="VYI115" s="17"/>
      <c r="VYJ115" s="17"/>
      <c r="VYK115" s="17"/>
      <c r="VYL115" s="17"/>
      <c r="VYM115" s="17"/>
      <c r="VYN115" s="17"/>
      <c r="VYO115" s="17"/>
      <c r="VYP115" s="17"/>
      <c r="VYQ115" s="17"/>
      <c r="VYR115" s="17"/>
      <c r="VYS115" s="17"/>
      <c r="VYT115" s="17"/>
      <c r="VYU115" s="17"/>
      <c r="VYV115" s="17"/>
      <c r="VYW115" s="17"/>
      <c r="VYX115" s="17"/>
      <c r="VYY115" s="17"/>
      <c r="VYZ115" s="17"/>
      <c r="VZA115" s="17"/>
      <c r="VZB115" s="17"/>
      <c r="VZC115" s="17"/>
      <c r="VZD115" s="17"/>
      <c r="VZE115" s="17"/>
      <c r="VZF115" s="17"/>
      <c r="VZG115" s="17"/>
      <c r="VZH115" s="17"/>
      <c r="VZI115" s="17"/>
      <c r="VZJ115" s="17"/>
      <c r="VZK115" s="17"/>
      <c r="VZL115" s="17"/>
      <c r="VZM115" s="17"/>
      <c r="VZN115" s="17"/>
      <c r="VZO115" s="17"/>
      <c r="VZP115" s="17"/>
      <c r="VZQ115" s="17"/>
      <c r="VZR115" s="17"/>
      <c r="VZS115" s="17"/>
      <c r="VZT115" s="17"/>
      <c r="VZU115" s="17"/>
      <c r="VZV115" s="17"/>
      <c r="VZW115" s="17"/>
      <c r="VZX115" s="17"/>
      <c r="VZY115" s="17"/>
      <c r="VZZ115" s="17"/>
      <c r="WAA115" s="17"/>
      <c r="WAB115" s="17"/>
      <c r="WAC115" s="17"/>
      <c r="WAD115" s="17"/>
      <c r="WAE115" s="17"/>
      <c r="WAF115" s="17"/>
      <c r="WAG115" s="17"/>
      <c r="WAH115" s="17"/>
      <c r="WAI115" s="17"/>
      <c r="WAJ115" s="17"/>
      <c r="WAK115" s="17"/>
      <c r="WAL115" s="17"/>
      <c r="WAM115" s="17"/>
      <c r="WAN115" s="17"/>
      <c r="WAO115" s="17"/>
      <c r="WAP115" s="17"/>
      <c r="WAQ115" s="17"/>
      <c r="WAR115" s="17"/>
      <c r="WAS115" s="17"/>
      <c r="WAT115" s="17"/>
      <c r="WAU115" s="17"/>
      <c r="WAV115" s="17"/>
      <c r="WAW115" s="17"/>
      <c r="WAX115" s="17"/>
      <c r="WAY115" s="17"/>
      <c r="WAZ115" s="17"/>
      <c r="WBA115" s="17"/>
      <c r="WBB115" s="17"/>
      <c r="WBC115" s="17"/>
      <c r="WBD115" s="17"/>
      <c r="WBE115" s="17"/>
      <c r="WBF115" s="17"/>
      <c r="WBG115" s="17"/>
      <c r="WBH115" s="17"/>
      <c r="WBI115" s="17"/>
      <c r="WBJ115" s="17"/>
      <c r="WBK115" s="17"/>
      <c r="WBL115" s="17"/>
      <c r="WBM115" s="17"/>
      <c r="WBN115" s="17"/>
      <c r="WBO115" s="17"/>
      <c r="WBP115" s="17"/>
      <c r="WBQ115" s="17"/>
      <c r="WBR115" s="17"/>
      <c r="WBS115" s="17"/>
      <c r="WBT115" s="17"/>
      <c r="WBU115" s="17"/>
      <c r="WBV115" s="17"/>
      <c r="WBW115" s="17"/>
      <c r="WBX115" s="17"/>
      <c r="WBY115" s="17"/>
      <c r="WBZ115" s="17"/>
      <c r="WCA115" s="17"/>
      <c r="WCB115" s="17"/>
      <c r="WCC115" s="17"/>
      <c r="WCD115" s="17"/>
      <c r="WCE115" s="17"/>
      <c r="WCF115" s="17"/>
      <c r="WCG115" s="17"/>
      <c r="WCH115" s="17"/>
      <c r="WCI115" s="17"/>
      <c r="WCJ115" s="17"/>
      <c r="WCK115" s="17"/>
      <c r="WCL115" s="17"/>
      <c r="WCM115" s="17"/>
      <c r="WCN115" s="17"/>
      <c r="WCO115" s="17"/>
      <c r="WCP115" s="17"/>
      <c r="WCQ115" s="17"/>
      <c r="WCR115" s="17"/>
      <c r="WCS115" s="17"/>
      <c r="WCT115" s="17"/>
      <c r="WCU115" s="17"/>
      <c r="WCV115" s="17"/>
      <c r="WCW115" s="17"/>
      <c r="WCX115" s="17"/>
      <c r="WCY115" s="17"/>
      <c r="WCZ115" s="17"/>
      <c r="WDA115" s="17"/>
      <c r="WDB115" s="17"/>
      <c r="WDC115" s="17"/>
      <c r="WDD115" s="17"/>
      <c r="WDE115" s="17"/>
      <c r="WDF115" s="17"/>
      <c r="WDG115" s="17"/>
      <c r="WDH115" s="17"/>
      <c r="WDI115" s="17"/>
      <c r="WDJ115" s="17"/>
      <c r="WDK115" s="17"/>
      <c r="WDL115" s="17"/>
      <c r="WDM115" s="17"/>
      <c r="WDN115" s="17"/>
      <c r="WDO115" s="17"/>
      <c r="WDP115" s="17"/>
      <c r="WDQ115" s="17"/>
      <c r="WDR115" s="17"/>
      <c r="WDS115" s="17"/>
      <c r="WDT115" s="17"/>
      <c r="WDU115" s="17"/>
      <c r="WDV115" s="17"/>
      <c r="WDW115" s="17"/>
      <c r="WDX115" s="17"/>
      <c r="WDY115" s="17"/>
      <c r="WDZ115" s="17"/>
      <c r="WEA115" s="17"/>
      <c r="WEB115" s="17"/>
      <c r="WEC115" s="17"/>
      <c r="WED115" s="17"/>
      <c r="WEE115" s="17"/>
      <c r="WEF115" s="17"/>
      <c r="WEG115" s="17"/>
      <c r="WEH115" s="17"/>
      <c r="WEI115" s="17"/>
      <c r="WEJ115" s="17"/>
      <c r="WEK115" s="17"/>
      <c r="WEL115" s="17"/>
      <c r="WEM115" s="17"/>
      <c r="WEN115" s="17"/>
      <c r="WEO115" s="17"/>
      <c r="WEP115" s="17"/>
      <c r="WEQ115" s="17"/>
      <c r="WER115" s="17"/>
      <c r="WES115" s="17"/>
      <c r="WET115" s="17"/>
      <c r="WEU115" s="17"/>
      <c r="WEV115" s="17"/>
      <c r="WEW115" s="17"/>
      <c r="WEX115" s="17"/>
      <c r="WEY115" s="17"/>
      <c r="WEZ115" s="17"/>
      <c r="WFA115" s="17"/>
      <c r="WFB115" s="17"/>
      <c r="WFC115" s="17"/>
      <c r="WFD115" s="17"/>
      <c r="WFE115" s="17"/>
      <c r="WFF115" s="17"/>
      <c r="WFG115" s="17"/>
      <c r="WFH115" s="17"/>
      <c r="WFI115" s="17"/>
      <c r="WFJ115" s="17"/>
      <c r="WFK115" s="17"/>
      <c r="WFL115" s="17"/>
      <c r="WFM115" s="17"/>
      <c r="WFN115" s="17"/>
      <c r="WFO115" s="17"/>
      <c r="WFP115" s="17"/>
      <c r="WFQ115" s="17"/>
      <c r="WFR115" s="17"/>
      <c r="WFS115" s="17"/>
      <c r="WFT115" s="17"/>
      <c r="WFU115" s="17"/>
      <c r="WFV115" s="17"/>
      <c r="WFW115" s="17"/>
      <c r="WFX115" s="17"/>
      <c r="WFY115" s="17"/>
      <c r="WFZ115" s="17"/>
      <c r="WGA115" s="17"/>
      <c r="WGB115" s="17"/>
      <c r="WGC115" s="17"/>
      <c r="WGD115" s="17"/>
      <c r="WGE115" s="17"/>
      <c r="WGF115" s="17"/>
      <c r="WGG115" s="17"/>
      <c r="WGH115" s="17"/>
      <c r="WGI115" s="17"/>
      <c r="WGJ115" s="17"/>
      <c r="WGK115" s="17"/>
      <c r="WGL115" s="17"/>
      <c r="WGM115" s="17"/>
      <c r="WGN115" s="17"/>
      <c r="WGO115" s="17"/>
      <c r="WGP115" s="17"/>
      <c r="WGQ115" s="17"/>
      <c r="WGR115" s="17"/>
      <c r="WGS115" s="17"/>
      <c r="WGT115" s="17"/>
      <c r="WGU115" s="17"/>
      <c r="WGV115" s="17"/>
      <c r="WGW115" s="17"/>
      <c r="WGX115" s="17"/>
      <c r="WGY115" s="17"/>
      <c r="WGZ115" s="17"/>
      <c r="WHA115" s="17"/>
      <c r="WHB115" s="17"/>
      <c r="WHC115" s="17"/>
      <c r="WHD115" s="17"/>
      <c r="WHE115" s="17"/>
      <c r="WHF115" s="17"/>
      <c r="WHG115" s="17"/>
      <c r="WHH115" s="17"/>
      <c r="WHI115" s="17"/>
      <c r="WHJ115" s="17"/>
      <c r="WHK115" s="17"/>
      <c r="WHL115" s="17"/>
      <c r="WHM115" s="17"/>
      <c r="WHN115" s="17"/>
      <c r="WHO115" s="17"/>
      <c r="WHP115" s="17"/>
      <c r="WHQ115" s="17"/>
      <c r="WHR115" s="17"/>
      <c r="WHS115" s="17"/>
      <c r="WHT115" s="17"/>
      <c r="WHU115" s="17"/>
      <c r="WHV115" s="17"/>
      <c r="WHW115" s="17"/>
      <c r="WHX115" s="17"/>
      <c r="WHY115" s="17"/>
      <c r="WHZ115" s="17"/>
      <c r="WIA115" s="17"/>
      <c r="WIB115" s="17"/>
      <c r="WIC115" s="17"/>
      <c r="WID115" s="17"/>
      <c r="WIE115" s="17"/>
      <c r="WIF115" s="17"/>
      <c r="WIG115" s="17"/>
      <c r="WIH115" s="17"/>
      <c r="WII115" s="17"/>
      <c r="WIJ115" s="17"/>
      <c r="WIK115" s="17"/>
      <c r="WIL115" s="17"/>
      <c r="WIM115" s="17"/>
      <c r="WIN115" s="17"/>
      <c r="WIO115" s="17"/>
      <c r="WIP115" s="17"/>
      <c r="WIQ115" s="17"/>
      <c r="WIR115" s="17"/>
      <c r="WIS115" s="17"/>
      <c r="WIT115" s="17"/>
      <c r="WIU115" s="17"/>
      <c r="WIV115" s="17"/>
      <c r="WIW115" s="17"/>
      <c r="WIX115" s="17"/>
      <c r="WIY115" s="17"/>
      <c r="WIZ115" s="17"/>
      <c r="WJA115" s="17"/>
      <c r="WJB115" s="17"/>
      <c r="WJC115" s="17"/>
      <c r="WJD115" s="17"/>
      <c r="WJE115" s="17"/>
      <c r="WJF115" s="17"/>
      <c r="WJG115" s="17"/>
      <c r="WJH115" s="17"/>
      <c r="WJI115" s="17"/>
      <c r="WJJ115" s="17"/>
      <c r="WJK115" s="17"/>
      <c r="WJL115" s="17"/>
      <c r="WJM115" s="17"/>
      <c r="WJN115" s="17"/>
      <c r="WJO115" s="17"/>
      <c r="WJP115" s="17"/>
      <c r="WJQ115" s="17"/>
      <c r="WJR115" s="17"/>
      <c r="WJS115" s="17"/>
      <c r="WJT115" s="17"/>
      <c r="WJU115" s="17"/>
      <c r="WJV115" s="17"/>
      <c r="WJW115" s="17"/>
      <c r="WJX115" s="17"/>
      <c r="WJY115" s="17"/>
      <c r="WJZ115" s="17"/>
      <c r="WKA115" s="17"/>
      <c r="WKB115" s="17"/>
      <c r="WKC115" s="17"/>
      <c r="WKD115" s="17"/>
      <c r="WKE115" s="17"/>
      <c r="WKF115" s="17"/>
      <c r="WKG115" s="17"/>
      <c r="WKH115" s="17"/>
      <c r="WKI115" s="17"/>
      <c r="WKJ115" s="17"/>
      <c r="WKK115" s="17"/>
      <c r="WKL115" s="17"/>
      <c r="WKM115" s="17"/>
      <c r="WKN115" s="17"/>
      <c r="WKO115" s="17"/>
      <c r="WKP115" s="17"/>
      <c r="WKQ115" s="17"/>
      <c r="WKR115" s="17"/>
      <c r="WKS115" s="17"/>
      <c r="WKT115" s="17"/>
      <c r="WKU115" s="17"/>
      <c r="WKV115" s="17"/>
      <c r="WKW115" s="17"/>
      <c r="WKX115" s="17"/>
      <c r="WKY115" s="17"/>
      <c r="WKZ115" s="17"/>
      <c r="WLA115" s="17"/>
      <c r="WLB115" s="17"/>
      <c r="WLC115" s="17"/>
      <c r="WLD115" s="17"/>
      <c r="WLE115" s="17"/>
      <c r="WLF115" s="17"/>
      <c r="WLG115" s="17"/>
      <c r="WLH115" s="17"/>
      <c r="WLI115" s="17"/>
      <c r="WLJ115" s="17"/>
      <c r="WLK115" s="17"/>
      <c r="WLL115" s="17"/>
      <c r="WLM115" s="17"/>
      <c r="WLN115" s="17"/>
      <c r="WLO115" s="17"/>
      <c r="WLP115" s="17"/>
      <c r="WLQ115" s="17"/>
      <c r="WLR115" s="17"/>
      <c r="WLS115" s="17"/>
      <c r="WLT115" s="17"/>
      <c r="WLU115" s="17"/>
      <c r="WLV115" s="17"/>
      <c r="WLW115" s="17"/>
      <c r="WLX115" s="17"/>
      <c r="WLY115" s="17"/>
      <c r="WLZ115" s="17"/>
      <c r="WMA115" s="17"/>
      <c r="WMB115" s="17"/>
      <c r="WMC115" s="17"/>
      <c r="WMD115" s="17"/>
      <c r="WME115" s="17"/>
      <c r="WMF115" s="17"/>
      <c r="WMG115" s="17"/>
      <c r="WMH115" s="17"/>
      <c r="WMI115" s="17"/>
      <c r="WMJ115" s="17"/>
      <c r="WMK115" s="17"/>
      <c r="WML115" s="17"/>
      <c r="WMM115" s="17"/>
      <c r="WMN115" s="17"/>
      <c r="WMO115" s="17"/>
      <c r="WMP115" s="17"/>
      <c r="WMQ115" s="17"/>
      <c r="WMR115" s="17"/>
      <c r="WMS115" s="17"/>
      <c r="WMT115" s="17"/>
      <c r="WMU115" s="17"/>
      <c r="WMV115" s="17"/>
      <c r="WMW115" s="17"/>
      <c r="WMX115" s="17"/>
      <c r="WMY115" s="17"/>
      <c r="WMZ115" s="17"/>
      <c r="WNA115" s="17"/>
      <c r="WNB115" s="17"/>
      <c r="WNC115" s="17"/>
      <c r="WND115" s="17"/>
      <c r="WNE115" s="17"/>
      <c r="WNF115" s="17"/>
      <c r="WNG115" s="17"/>
      <c r="WNH115" s="17"/>
      <c r="WNI115" s="17"/>
      <c r="WNJ115" s="17"/>
      <c r="WNK115" s="17"/>
      <c r="WNL115" s="17"/>
      <c r="WNM115" s="17"/>
      <c r="WNN115" s="17"/>
      <c r="WNO115" s="17"/>
      <c r="WNP115" s="17"/>
      <c r="WNQ115" s="17"/>
      <c r="WNR115" s="17"/>
      <c r="WNS115" s="17"/>
      <c r="WNT115" s="17"/>
      <c r="WNU115" s="17"/>
      <c r="WNV115" s="17"/>
      <c r="WNW115" s="17"/>
      <c r="WNX115" s="17"/>
      <c r="WNY115" s="17"/>
      <c r="WNZ115" s="17"/>
      <c r="WOA115" s="17"/>
      <c r="WOB115" s="17"/>
      <c r="WOC115" s="17"/>
      <c r="WOD115" s="17"/>
      <c r="WOE115" s="17"/>
      <c r="WOF115" s="17"/>
      <c r="WOG115" s="17"/>
      <c r="WOH115" s="17"/>
      <c r="WOI115" s="17"/>
      <c r="WOJ115" s="17"/>
      <c r="WOK115" s="17"/>
      <c r="WOL115" s="17"/>
      <c r="WOM115" s="17"/>
      <c r="WON115" s="17"/>
      <c r="WOO115" s="17"/>
      <c r="WOP115" s="17"/>
      <c r="WOQ115" s="17"/>
      <c r="WOR115" s="17"/>
      <c r="WOS115" s="17"/>
      <c r="WOT115" s="17"/>
      <c r="WOU115" s="17"/>
      <c r="WOV115" s="17"/>
      <c r="WOW115" s="17"/>
      <c r="WOX115" s="17"/>
      <c r="WOY115" s="17"/>
      <c r="WOZ115" s="17"/>
      <c r="WPA115" s="17"/>
      <c r="WPB115" s="17"/>
      <c r="WPC115" s="17"/>
      <c r="WPD115" s="17"/>
      <c r="WPE115" s="17"/>
      <c r="WPF115" s="17"/>
      <c r="WPG115" s="17"/>
      <c r="WPH115" s="17"/>
      <c r="WPI115" s="17"/>
      <c r="WPJ115" s="17"/>
      <c r="WPK115" s="17"/>
      <c r="WPL115" s="17"/>
      <c r="WPM115" s="17"/>
      <c r="WPN115" s="17"/>
      <c r="WPO115" s="17"/>
      <c r="WPP115" s="17"/>
      <c r="WPQ115" s="17"/>
      <c r="WPR115" s="17"/>
      <c r="WPS115" s="17"/>
      <c r="WPT115" s="17"/>
      <c r="WPU115" s="17"/>
      <c r="WPV115" s="17"/>
      <c r="WPW115" s="17"/>
      <c r="WPX115" s="17"/>
      <c r="WPY115" s="17"/>
      <c r="WPZ115" s="17"/>
      <c r="WQA115" s="17"/>
      <c r="WQB115" s="17"/>
      <c r="WQC115" s="17"/>
      <c r="WQD115" s="17"/>
      <c r="WQE115" s="17"/>
      <c r="WQF115" s="17"/>
      <c r="WQG115" s="17"/>
      <c r="WQH115" s="17"/>
      <c r="WQI115" s="17"/>
      <c r="WQJ115" s="17"/>
      <c r="WQK115" s="17"/>
      <c r="WQL115" s="17"/>
      <c r="WQM115" s="17"/>
      <c r="WQN115" s="17"/>
      <c r="WQO115" s="17"/>
      <c r="WQP115" s="17"/>
      <c r="WQQ115" s="17"/>
      <c r="WQR115" s="17"/>
      <c r="WQS115" s="17"/>
      <c r="WQT115" s="17"/>
      <c r="WQU115" s="17"/>
      <c r="WQV115" s="17"/>
      <c r="WQW115" s="17"/>
      <c r="WQX115" s="17"/>
      <c r="WQY115" s="17"/>
      <c r="WQZ115" s="17"/>
      <c r="WRA115" s="17"/>
      <c r="WRB115" s="17"/>
      <c r="WRC115" s="17"/>
      <c r="WRD115" s="17"/>
      <c r="WRE115" s="17"/>
      <c r="WRF115" s="17"/>
      <c r="WRG115" s="17"/>
      <c r="WRH115" s="17"/>
      <c r="WRI115" s="17"/>
      <c r="WRJ115" s="17"/>
      <c r="WRK115" s="17"/>
      <c r="WRL115" s="17"/>
      <c r="WRM115" s="17"/>
      <c r="WRN115" s="17"/>
      <c r="WRO115" s="17"/>
      <c r="WRP115" s="17"/>
      <c r="WRQ115" s="17"/>
      <c r="WRR115" s="17"/>
      <c r="WRS115" s="17"/>
      <c r="WRT115" s="17"/>
      <c r="WRU115" s="17"/>
      <c r="WRV115" s="17"/>
      <c r="WRW115" s="17"/>
      <c r="WRX115" s="17"/>
      <c r="WRY115" s="17"/>
      <c r="WRZ115" s="17"/>
      <c r="WSA115" s="17"/>
      <c r="WSB115" s="17"/>
      <c r="WSC115" s="17"/>
      <c r="WSD115" s="17"/>
      <c r="WSE115" s="17"/>
      <c r="WSF115" s="17"/>
      <c r="WSG115" s="17"/>
      <c r="WSH115" s="17"/>
      <c r="WSI115" s="17"/>
      <c r="WSJ115" s="17"/>
      <c r="WSK115" s="17"/>
      <c r="WSL115" s="17"/>
      <c r="WSM115" s="17"/>
      <c r="WSN115" s="17"/>
      <c r="WSO115" s="17"/>
      <c r="WSP115" s="17"/>
      <c r="WSQ115" s="17"/>
      <c r="WSR115" s="17"/>
      <c r="WSS115" s="17"/>
      <c r="WST115" s="17"/>
      <c r="WSU115" s="17"/>
      <c r="WSV115" s="17"/>
      <c r="WSW115" s="17"/>
      <c r="WSX115" s="17"/>
      <c r="WSY115" s="17"/>
      <c r="WSZ115" s="17"/>
      <c r="WTA115" s="17"/>
      <c r="WTB115" s="17"/>
      <c r="WTC115" s="17"/>
      <c r="WTD115" s="17"/>
      <c r="WTE115" s="17"/>
      <c r="WTF115" s="17"/>
      <c r="WTG115" s="17"/>
      <c r="WTH115" s="17"/>
      <c r="WTI115" s="17"/>
      <c r="WTJ115" s="17"/>
      <c r="WTK115" s="17"/>
      <c r="WTL115" s="17"/>
      <c r="WTM115" s="17"/>
      <c r="WTN115" s="17"/>
      <c r="WTO115" s="17"/>
      <c r="WTP115" s="17"/>
      <c r="WTQ115" s="17"/>
      <c r="WTR115" s="17"/>
      <c r="WTS115" s="17"/>
      <c r="WTT115" s="17"/>
      <c r="WTU115" s="17"/>
      <c r="WTV115" s="17"/>
      <c r="WTW115" s="17"/>
      <c r="WTX115" s="17"/>
      <c r="WTY115" s="17"/>
      <c r="WTZ115" s="17"/>
      <c r="WUA115" s="17"/>
      <c r="WUB115" s="17"/>
      <c r="WUC115" s="17"/>
      <c r="WUD115" s="17"/>
      <c r="WUE115" s="17"/>
      <c r="WUF115" s="17"/>
      <c r="WUG115" s="17"/>
      <c r="WUH115" s="17"/>
      <c r="WUI115" s="17"/>
      <c r="WUJ115" s="17"/>
      <c r="WUK115" s="17"/>
      <c r="WUL115" s="17"/>
      <c r="WUM115" s="17"/>
      <c r="WUN115" s="17"/>
      <c r="WUO115" s="17"/>
      <c r="WUP115" s="17"/>
      <c r="WUQ115" s="17"/>
      <c r="WUR115" s="17"/>
      <c r="WUS115" s="17"/>
      <c r="WUT115" s="17"/>
      <c r="WUU115" s="17"/>
      <c r="WUV115" s="17"/>
      <c r="WUW115" s="17"/>
      <c r="WUX115" s="17"/>
      <c r="WUY115" s="17"/>
      <c r="WUZ115" s="17"/>
      <c r="WVA115" s="17"/>
      <c r="WVB115" s="17"/>
      <c r="WVC115" s="17"/>
      <c r="WVD115" s="17"/>
      <c r="WVE115" s="17"/>
      <c r="WVF115" s="17"/>
      <c r="WVG115" s="17"/>
      <c r="WVH115" s="17"/>
      <c r="WVI115" s="17"/>
      <c r="WVJ115" s="17"/>
      <c r="WVK115" s="17"/>
      <c r="WVL115" s="17"/>
      <c r="WVM115" s="17"/>
      <c r="WVN115" s="17"/>
      <c r="WVO115" s="17"/>
      <c r="WVP115" s="17"/>
      <c r="WVQ115" s="17"/>
      <c r="WVR115" s="17"/>
      <c r="WVS115" s="17"/>
      <c r="WVT115" s="17"/>
      <c r="WVU115" s="17"/>
      <c r="WVV115" s="17"/>
      <c r="WVW115" s="17"/>
      <c r="WVX115" s="17"/>
      <c r="WVY115" s="17"/>
      <c r="WVZ115" s="17"/>
      <c r="WWA115" s="17"/>
      <c r="WWB115" s="17"/>
      <c r="WWC115" s="17"/>
      <c r="WWD115" s="17"/>
      <c r="WWE115" s="17"/>
      <c r="WWF115" s="17"/>
      <c r="WWG115" s="17"/>
      <c r="WWH115" s="17"/>
      <c r="WWI115" s="17"/>
      <c r="WWJ115" s="17"/>
      <c r="WWK115" s="17"/>
      <c r="WWL115" s="17"/>
      <c r="WWM115" s="17"/>
      <c r="WWN115" s="17"/>
      <c r="WWO115" s="17"/>
      <c r="WWP115" s="17"/>
      <c r="WWQ115" s="17"/>
      <c r="WWR115" s="17"/>
      <c r="WWS115" s="17"/>
      <c r="WWT115" s="17"/>
      <c r="WWU115" s="17"/>
      <c r="WWV115" s="17"/>
      <c r="WWW115" s="17"/>
      <c r="WWX115" s="17"/>
      <c r="WWY115" s="17"/>
      <c r="WWZ115" s="17"/>
      <c r="WXA115" s="17"/>
      <c r="WXB115" s="17"/>
      <c r="WXC115" s="17"/>
      <c r="WXD115" s="17"/>
      <c r="WXE115" s="17"/>
      <c r="WXF115" s="17"/>
      <c r="WXG115" s="17"/>
      <c r="WXH115" s="17"/>
      <c r="WXI115" s="17"/>
      <c r="WXJ115" s="17"/>
      <c r="WXK115" s="17"/>
      <c r="WXL115" s="17"/>
      <c r="WXM115" s="17"/>
      <c r="WXN115" s="17"/>
      <c r="WXO115" s="17"/>
      <c r="WXP115" s="17"/>
      <c r="WXQ115" s="17"/>
      <c r="WXR115" s="17"/>
      <c r="WXS115" s="17"/>
      <c r="WXT115" s="17"/>
      <c r="WXU115" s="17"/>
      <c r="WXV115" s="17"/>
      <c r="WXW115" s="17"/>
      <c r="WXX115" s="17"/>
      <c r="WXY115" s="17"/>
      <c r="WXZ115" s="17"/>
      <c r="WYA115" s="17"/>
      <c r="WYB115" s="17"/>
      <c r="WYC115" s="17"/>
      <c r="WYD115" s="17"/>
      <c r="WYE115" s="17"/>
      <c r="WYF115" s="17"/>
      <c r="WYG115" s="17"/>
      <c r="WYH115" s="17"/>
      <c r="WYI115" s="17"/>
      <c r="WYJ115" s="17"/>
      <c r="WYK115" s="17"/>
      <c r="WYL115" s="17"/>
      <c r="WYM115" s="17"/>
      <c r="WYN115" s="17"/>
      <c r="WYO115" s="17"/>
      <c r="WYP115" s="17"/>
      <c r="WYQ115" s="17"/>
      <c r="WYR115" s="17"/>
      <c r="WYS115" s="17"/>
      <c r="WYT115" s="17"/>
      <c r="WYU115" s="17"/>
      <c r="WYV115" s="17"/>
      <c r="WYW115" s="17"/>
      <c r="WYX115" s="17"/>
      <c r="WYY115" s="17"/>
      <c r="WYZ115" s="17"/>
      <c r="WZA115" s="17"/>
      <c r="WZB115" s="17"/>
      <c r="WZC115" s="17"/>
      <c r="WZD115" s="17"/>
      <c r="WZE115" s="17"/>
      <c r="WZF115" s="17"/>
      <c r="WZG115" s="17"/>
      <c r="WZH115" s="17"/>
      <c r="WZI115" s="17"/>
      <c r="WZJ115" s="17"/>
      <c r="WZK115" s="17"/>
      <c r="WZL115" s="17"/>
      <c r="WZM115" s="17"/>
      <c r="WZN115" s="17"/>
      <c r="WZO115" s="17"/>
      <c r="WZP115" s="17"/>
      <c r="WZQ115" s="17"/>
      <c r="WZR115" s="17"/>
      <c r="WZS115" s="17"/>
      <c r="WZT115" s="17"/>
      <c r="WZU115" s="17"/>
      <c r="WZV115" s="17"/>
      <c r="WZW115" s="17"/>
      <c r="WZX115" s="17"/>
      <c r="WZY115" s="17"/>
      <c r="WZZ115" s="17"/>
      <c r="XAA115" s="17"/>
      <c r="XAB115" s="17"/>
      <c r="XAC115" s="17"/>
      <c r="XAD115" s="17"/>
      <c r="XAE115" s="17"/>
      <c r="XAF115" s="17"/>
      <c r="XAG115" s="17"/>
      <c r="XAH115" s="17"/>
      <c r="XAI115" s="17"/>
      <c r="XAJ115" s="17"/>
      <c r="XAK115" s="17"/>
      <c r="XAL115" s="17"/>
      <c r="XAM115" s="17"/>
      <c r="XAN115" s="17"/>
      <c r="XAO115" s="17"/>
      <c r="XAP115" s="17"/>
      <c r="XAQ115" s="17"/>
      <c r="XAR115" s="17"/>
      <c r="XAS115" s="17"/>
      <c r="XAT115" s="17"/>
      <c r="XAU115" s="17"/>
      <c r="XAV115" s="17"/>
      <c r="XAW115" s="17"/>
      <c r="XAX115" s="17"/>
      <c r="XAY115" s="17"/>
      <c r="XAZ115" s="17"/>
      <c r="XBA115" s="17"/>
      <c r="XBB115" s="17"/>
      <c r="XBC115" s="17"/>
      <c r="XBD115" s="17"/>
      <c r="XBE115" s="17"/>
      <c r="XBF115" s="17"/>
      <c r="XBG115" s="17"/>
      <c r="XBH115" s="17"/>
      <c r="XBI115" s="17"/>
      <c r="XBJ115" s="17"/>
      <c r="XBK115" s="17"/>
      <c r="XBL115" s="17"/>
      <c r="XBM115" s="17"/>
      <c r="XBN115" s="17"/>
      <c r="XBO115" s="17"/>
      <c r="XBP115" s="17"/>
      <c r="XBQ115" s="17"/>
      <c r="XBR115" s="17"/>
      <c r="XBS115" s="17"/>
      <c r="XBT115" s="17"/>
      <c r="XBU115" s="17"/>
      <c r="XBV115" s="17"/>
      <c r="XBW115" s="17"/>
      <c r="XBX115" s="17"/>
      <c r="XBY115" s="17"/>
      <c r="XBZ115" s="17"/>
      <c r="XCA115" s="17"/>
      <c r="XCB115" s="17"/>
      <c r="XCC115" s="17"/>
      <c r="XCD115" s="17"/>
      <c r="XCE115" s="17"/>
      <c r="XCF115" s="17"/>
      <c r="XCG115" s="17"/>
      <c r="XCH115" s="17"/>
      <c r="XCI115" s="17"/>
      <c r="XCJ115" s="17"/>
      <c r="XCK115" s="17"/>
      <c r="XCL115" s="17"/>
      <c r="XCM115" s="17"/>
      <c r="XCN115" s="17"/>
      <c r="XCO115" s="17"/>
      <c r="XCP115" s="17"/>
      <c r="XCQ115" s="17"/>
      <c r="XCR115" s="17"/>
      <c r="XCS115" s="17"/>
      <c r="XCT115" s="17"/>
      <c r="XCU115" s="17"/>
      <c r="XCV115" s="17"/>
      <c r="XCW115" s="17"/>
      <c r="XCX115" s="17"/>
      <c r="XCY115" s="17"/>
      <c r="XCZ115" s="17"/>
      <c r="XDA115" s="17"/>
      <c r="XDB115" s="17"/>
      <c r="XDC115" s="17"/>
      <c r="XDD115" s="17"/>
      <c r="XDE115" s="17"/>
      <c r="XDF115" s="17"/>
      <c r="XDG115" s="17"/>
      <c r="XDH115" s="17"/>
      <c r="XDI115" s="17"/>
      <c r="XDJ115" s="17"/>
      <c r="XDK115" s="17"/>
      <c r="XDL115" s="17"/>
      <c r="XDM115" s="17"/>
      <c r="XDN115" s="17"/>
      <c r="XDO115" s="17"/>
      <c r="XDP115" s="17"/>
      <c r="XDQ115" s="17"/>
      <c r="XDR115" s="17"/>
      <c r="XDS115" s="17"/>
      <c r="XDT115" s="17"/>
      <c r="XDU115" s="17"/>
      <c r="XDV115" s="17"/>
      <c r="XDW115" s="17"/>
      <c r="XDX115" s="17"/>
      <c r="XDY115" s="17"/>
      <c r="XDZ115" s="17"/>
      <c r="XEA115" s="17"/>
      <c r="XEB115" s="17"/>
      <c r="XEC115" s="17"/>
      <c r="XED115" s="17"/>
      <c r="XEE115" s="17"/>
      <c r="XEF115" s="17"/>
      <c r="XEG115" s="17"/>
      <c r="XEH115" s="17"/>
      <c r="XEI115" s="17"/>
      <c r="XEJ115" s="17"/>
      <c r="XEK115" s="17"/>
      <c r="XEL115" s="17"/>
      <c r="XEM115" s="17"/>
      <c r="XEN115" s="17"/>
      <c r="XEO115" s="17"/>
      <c r="XEP115" s="17"/>
      <c r="XEQ115" s="17"/>
      <c r="XER115" s="17"/>
      <c r="XES115" s="17"/>
      <c r="XET115" s="17"/>
      <c r="XEU115" s="17"/>
      <c r="XEV115" s="17"/>
      <c r="XEW115" s="17"/>
      <c r="XEX115" s="17"/>
      <c r="XEY115" s="10"/>
      <c r="XEZ115" s="10"/>
      <c r="XFA115" s="10"/>
      <c r="XFB115" s="10"/>
      <c r="XFC115" s="94"/>
    </row>
    <row r="116" s="4" customFormat="1" ht="42" customHeight="1" spans="1:16383">
      <c r="A116" s="61"/>
      <c r="B116" s="62"/>
      <c r="C116" s="34" t="s">
        <v>120</v>
      </c>
      <c r="D116" s="35"/>
      <c r="E116" s="67" t="s">
        <v>27</v>
      </c>
      <c r="F116" s="71">
        <f>13+1.89+11</f>
        <v>25.89</v>
      </c>
      <c r="G116" s="71">
        <v>50</v>
      </c>
      <c r="H116" s="71">
        <f t="shared" si="6"/>
        <v>1294.5</v>
      </c>
      <c r="I116" s="80" t="s">
        <v>121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7"/>
      <c r="IP116" s="17"/>
      <c r="IQ116" s="17"/>
      <c r="IR116" s="17"/>
      <c r="IS116" s="17"/>
      <c r="IT116" s="17"/>
      <c r="IU116" s="17"/>
      <c r="IV116" s="17"/>
      <c r="IW116" s="17"/>
      <c r="IX116" s="17"/>
      <c r="IY116" s="17"/>
      <c r="IZ116" s="17"/>
      <c r="JA116" s="17"/>
      <c r="JB116" s="17"/>
      <c r="JC116" s="17"/>
      <c r="JD116" s="17"/>
      <c r="JE116" s="17"/>
      <c r="JF116" s="17"/>
      <c r="JG116" s="17"/>
      <c r="JH116" s="17"/>
      <c r="JI116" s="17"/>
      <c r="JJ116" s="17"/>
      <c r="JK116" s="17"/>
      <c r="JL116" s="17"/>
      <c r="JM116" s="17"/>
      <c r="JN116" s="17"/>
      <c r="JO116" s="17"/>
      <c r="JP116" s="17"/>
      <c r="JQ116" s="17"/>
      <c r="JR116" s="17"/>
      <c r="JS116" s="17"/>
      <c r="JT116" s="17"/>
      <c r="JU116" s="17"/>
      <c r="JV116" s="17"/>
      <c r="JW116" s="17"/>
      <c r="JX116" s="17"/>
      <c r="JY116" s="17"/>
      <c r="JZ116" s="17"/>
      <c r="KA116" s="17"/>
      <c r="KB116" s="17"/>
      <c r="KC116" s="17"/>
      <c r="KD116" s="17"/>
      <c r="KE116" s="17"/>
      <c r="KF116" s="17"/>
      <c r="KG116" s="17"/>
      <c r="KH116" s="17"/>
      <c r="KI116" s="17"/>
      <c r="KJ116" s="17"/>
      <c r="KK116" s="17"/>
      <c r="KL116" s="17"/>
      <c r="KM116" s="17"/>
      <c r="KN116" s="17"/>
      <c r="KO116" s="17"/>
      <c r="KP116" s="17"/>
      <c r="KQ116" s="17"/>
      <c r="KR116" s="17"/>
      <c r="KS116" s="17"/>
      <c r="KT116" s="17"/>
      <c r="KU116" s="17"/>
      <c r="KV116" s="17"/>
      <c r="KW116" s="17"/>
      <c r="KX116" s="17"/>
      <c r="KY116" s="17"/>
      <c r="KZ116" s="17"/>
      <c r="LA116" s="17"/>
      <c r="LB116" s="17"/>
      <c r="LC116" s="17"/>
      <c r="LD116" s="17"/>
      <c r="LE116" s="17"/>
      <c r="LF116" s="17"/>
      <c r="LG116" s="17"/>
      <c r="LH116" s="17"/>
      <c r="LI116" s="17"/>
      <c r="LJ116" s="17"/>
      <c r="LK116" s="17"/>
      <c r="LL116" s="17"/>
      <c r="LM116" s="17"/>
      <c r="LN116" s="17"/>
      <c r="LO116" s="17"/>
      <c r="LP116" s="17"/>
      <c r="LQ116" s="17"/>
      <c r="LR116" s="17"/>
      <c r="LS116" s="17"/>
      <c r="LT116" s="17"/>
      <c r="LU116" s="17"/>
      <c r="LV116" s="17"/>
      <c r="LW116" s="17"/>
      <c r="LX116" s="17"/>
      <c r="LY116" s="17"/>
      <c r="LZ116" s="17"/>
      <c r="MA116" s="17"/>
      <c r="MB116" s="17"/>
      <c r="MC116" s="17"/>
      <c r="MD116" s="17"/>
      <c r="ME116" s="17"/>
      <c r="MF116" s="17"/>
      <c r="MG116" s="17"/>
      <c r="MH116" s="17"/>
      <c r="MI116" s="17"/>
      <c r="MJ116" s="17"/>
      <c r="MK116" s="17"/>
      <c r="ML116" s="17"/>
      <c r="MM116" s="17"/>
      <c r="MN116" s="17"/>
      <c r="MO116" s="17"/>
      <c r="MP116" s="17"/>
      <c r="MQ116" s="17"/>
      <c r="MR116" s="17"/>
      <c r="MS116" s="17"/>
      <c r="MT116" s="17"/>
      <c r="MU116" s="17"/>
      <c r="MV116" s="17"/>
      <c r="MW116" s="17"/>
      <c r="MX116" s="17"/>
      <c r="MY116" s="17"/>
      <c r="MZ116" s="17"/>
      <c r="NA116" s="17"/>
      <c r="NB116" s="17"/>
      <c r="NC116" s="17"/>
      <c r="ND116" s="17"/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17"/>
      <c r="NY116" s="17"/>
      <c r="NZ116" s="17"/>
      <c r="OA116" s="17"/>
      <c r="OB116" s="17"/>
      <c r="OC116" s="17"/>
      <c r="OD116" s="17"/>
      <c r="OE116" s="17"/>
      <c r="OF116" s="17"/>
      <c r="OG116" s="17"/>
      <c r="OH116" s="17"/>
      <c r="OI116" s="17"/>
      <c r="OJ116" s="17"/>
      <c r="OK116" s="17"/>
      <c r="OL116" s="17"/>
      <c r="OM116" s="17"/>
      <c r="ON116" s="17"/>
      <c r="OO116" s="17"/>
      <c r="OP116" s="17"/>
      <c r="OQ116" s="17"/>
      <c r="OR116" s="17"/>
      <c r="OS116" s="17"/>
      <c r="OT116" s="17"/>
      <c r="OU116" s="17"/>
      <c r="OV116" s="17"/>
      <c r="OW116" s="17"/>
      <c r="OX116" s="17"/>
      <c r="OY116" s="17"/>
      <c r="OZ116" s="17"/>
      <c r="PA116" s="17"/>
      <c r="PB116" s="17"/>
      <c r="PC116" s="17"/>
      <c r="PD116" s="17"/>
      <c r="PE116" s="17"/>
      <c r="PF116" s="17"/>
      <c r="PG116" s="17"/>
      <c r="PH116" s="17"/>
      <c r="PI116" s="17"/>
      <c r="PJ116" s="17"/>
      <c r="PK116" s="17"/>
      <c r="PL116" s="17"/>
      <c r="PM116" s="17"/>
      <c r="PN116" s="17"/>
      <c r="PO116" s="17"/>
      <c r="PP116" s="17"/>
      <c r="PQ116" s="17"/>
      <c r="PR116" s="17"/>
      <c r="PS116" s="17"/>
      <c r="PT116" s="17"/>
      <c r="PU116" s="17"/>
      <c r="PV116" s="17"/>
      <c r="PW116" s="17"/>
      <c r="PX116" s="17"/>
      <c r="PY116" s="17"/>
      <c r="PZ116" s="17"/>
      <c r="QA116" s="17"/>
      <c r="QB116" s="17"/>
      <c r="QC116" s="17"/>
      <c r="QD116" s="17"/>
      <c r="QE116" s="17"/>
      <c r="QF116" s="17"/>
      <c r="QG116" s="17"/>
      <c r="QH116" s="17"/>
      <c r="QI116" s="17"/>
      <c r="QJ116" s="17"/>
      <c r="QK116" s="17"/>
      <c r="QL116" s="17"/>
      <c r="QM116" s="17"/>
      <c r="QN116" s="17"/>
      <c r="QO116" s="17"/>
      <c r="QP116" s="17"/>
      <c r="QQ116" s="17"/>
      <c r="QR116" s="17"/>
      <c r="QS116" s="17"/>
      <c r="QT116" s="17"/>
      <c r="QU116" s="17"/>
      <c r="QV116" s="17"/>
      <c r="QW116" s="17"/>
      <c r="QX116" s="17"/>
      <c r="QY116" s="17"/>
      <c r="QZ116" s="17"/>
      <c r="RA116" s="17"/>
      <c r="RB116" s="17"/>
      <c r="RC116" s="17"/>
      <c r="RD116" s="17"/>
      <c r="RE116" s="17"/>
      <c r="RF116" s="17"/>
      <c r="RG116" s="17"/>
      <c r="RH116" s="17"/>
      <c r="RI116" s="17"/>
      <c r="RJ116" s="17"/>
      <c r="RK116" s="17"/>
      <c r="RL116" s="17"/>
      <c r="RM116" s="17"/>
      <c r="RN116" s="17"/>
      <c r="RO116" s="17"/>
      <c r="RP116" s="17"/>
      <c r="RQ116" s="17"/>
      <c r="RR116" s="17"/>
      <c r="RS116" s="17"/>
      <c r="RT116" s="17"/>
      <c r="RU116" s="17"/>
      <c r="RV116" s="17"/>
      <c r="RW116" s="17"/>
      <c r="RX116" s="17"/>
      <c r="RY116" s="17"/>
      <c r="RZ116" s="17"/>
      <c r="SA116" s="17"/>
      <c r="SB116" s="17"/>
      <c r="SC116" s="17"/>
      <c r="SD116" s="17"/>
      <c r="SE116" s="17"/>
      <c r="SF116" s="17"/>
      <c r="SG116" s="17"/>
      <c r="SH116" s="17"/>
      <c r="SI116" s="17"/>
      <c r="SJ116" s="17"/>
      <c r="SK116" s="17"/>
      <c r="SL116" s="17"/>
      <c r="SM116" s="17"/>
      <c r="SN116" s="17"/>
      <c r="SO116" s="17"/>
      <c r="SP116" s="17"/>
      <c r="SQ116" s="17"/>
      <c r="SR116" s="17"/>
      <c r="SS116" s="17"/>
      <c r="ST116" s="17"/>
      <c r="SU116" s="17"/>
      <c r="SV116" s="17"/>
      <c r="SW116" s="17"/>
      <c r="SX116" s="17"/>
      <c r="SY116" s="17"/>
      <c r="SZ116" s="17"/>
      <c r="TA116" s="17"/>
      <c r="TB116" s="17"/>
      <c r="TC116" s="17"/>
      <c r="TD116" s="17"/>
      <c r="TE116" s="17"/>
      <c r="TF116" s="17"/>
      <c r="TG116" s="17"/>
      <c r="TH116" s="17"/>
      <c r="TI116" s="17"/>
      <c r="TJ116" s="17"/>
      <c r="TK116" s="17"/>
      <c r="TL116" s="17"/>
      <c r="TM116" s="17"/>
      <c r="TN116" s="17"/>
      <c r="TO116" s="17"/>
      <c r="TP116" s="17"/>
      <c r="TQ116" s="17"/>
      <c r="TR116" s="17"/>
      <c r="TS116" s="17"/>
      <c r="TT116" s="17"/>
      <c r="TU116" s="17"/>
      <c r="TV116" s="17"/>
      <c r="TW116" s="17"/>
      <c r="TX116" s="17"/>
      <c r="TY116" s="17"/>
      <c r="TZ116" s="17"/>
      <c r="UA116" s="17"/>
      <c r="UB116" s="17"/>
      <c r="UC116" s="17"/>
      <c r="UD116" s="17"/>
      <c r="UE116" s="17"/>
      <c r="UF116" s="17"/>
      <c r="UG116" s="17"/>
      <c r="UH116" s="17"/>
      <c r="UI116" s="17"/>
      <c r="UJ116" s="17"/>
      <c r="UK116" s="17"/>
      <c r="UL116" s="17"/>
      <c r="UM116" s="17"/>
      <c r="UN116" s="17"/>
      <c r="UO116" s="17"/>
      <c r="UP116" s="17"/>
      <c r="UQ116" s="17"/>
      <c r="UR116" s="17"/>
      <c r="US116" s="17"/>
      <c r="UT116" s="17"/>
      <c r="UU116" s="17"/>
      <c r="UV116" s="17"/>
      <c r="UW116" s="17"/>
      <c r="UX116" s="17"/>
      <c r="UY116" s="17"/>
      <c r="UZ116" s="17"/>
      <c r="VA116" s="17"/>
      <c r="VB116" s="17"/>
      <c r="VC116" s="17"/>
      <c r="VD116" s="17"/>
      <c r="VE116" s="17"/>
      <c r="VF116" s="17"/>
      <c r="VG116" s="17"/>
      <c r="VH116" s="17"/>
      <c r="VI116" s="17"/>
      <c r="VJ116" s="17"/>
      <c r="VK116" s="17"/>
      <c r="VL116" s="17"/>
      <c r="VM116" s="17"/>
      <c r="VN116" s="17"/>
      <c r="VO116" s="17"/>
      <c r="VP116" s="17"/>
      <c r="VQ116" s="17"/>
      <c r="VR116" s="17"/>
      <c r="VS116" s="17"/>
      <c r="VT116" s="17"/>
      <c r="VU116" s="17"/>
      <c r="VV116" s="17"/>
      <c r="VW116" s="17"/>
      <c r="VX116" s="17"/>
      <c r="VY116" s="17"/>
      <c r="VZ116" s="17"/>
      <c r="WA116" s="17"/>
      <c r="WB116" s="17"/>
      <c r="WC116" s="17"/>
      <c r="WD116" s="17"/>
      <c r="WE116" s="17"/>
      <c r="WF116" s="17"/>
      <c r="WG116" s="17"/>
      <c r="WH116" s="17"/>
      <c r="WI116" s="17"/>
      <c r="WJ116" s="17"/>
      <c r="WK116" s="17"/>
      <c r="WL116" s="17"/>
      <c r="WM116" s="17"/>
      <c r="WN116" s="17"/>
      <c r="WO116" s="17"/>
      <c r="WP116" s="17"/>
      <c r="WQ116" s="17"/>
      <c r="WR116" s="17"/>
      <c r="WS116" s="17"/>
      <c r="WT116" s="17"/>
      <c r="WU116" s="17"/>
      <c r="WV116" s="17"/>
      <c r="WW116" s="17"/>
      <c r="WX116" s="17"/>
      <c r="WY116" s="17"/>
      <c r="WZ116" s="17"/>
      <c r="XA116" s="17"/>
      <c r="XB116" s="17"/>
      <c r="XC116" s="17"/>
      <c r="XD116" s="17"/>
      <c r="XE116" s="17"/>
      <c r="XF116" s="17"/>
      <c r="XG116" s="17"/>
      <c r="XH116" s="17"/>
      <c r="XI116" s="17"/>
      <c r="XJ116" s="17"/>
      <c r="XK116" s="17"/>
      <c r="XL116" s="17"/>
      <c r="XM116" s="17"/>
      <c r="XN116" s="17"/>
      <c r="XO116" s="17"/>
      <c r="XP116" s="17"/>
      <c r="XQ116" s="17"/>
      <c r="XR116" s="17"/>
      <c r="XS116" s="17"/>
      <c r="XT116" s="17"/>
      <c r="XU116" s="17"/>
      <c r="XV116" s="17"/>
      <c r="XW116" s="17"/>
      <c r="XX116" s="17"/>
      <c r="XY116" s="17"/>
      <c r="XZ116" s="17"/>
      <c r="YA116" s="17"/>
      <c r="YB116" s="17"/>
      <c r="YC116" s="17"/>
      <c r="YD116" s="17"/>
      <c r="YE116" s="17"/>
      <c r="YF116" s="17"/>
      <c r="YG116" s="17"/>
      <c r="YH116" s="17"/>
      <c r="YI116" s="17"/>
      <c r="YJ116" s="17"/>
      <c r="YK116" s="17"/>
      <c r="YL116" s="17"/>
      <c r="YM116" s="17"/>
      <c r="YN116" s="17"/>
      <c r="YO116" s="17"/>
      <c r="YP116" s="17"/>
      <c r="YQ116" s="17"/>
      <c r="YR116" s="17"/>
      <c r="YS116" s="17"/>
      <c r="YT116" s="17"/>
      <c r="YU116" s="17"/>
      <c r="YV116" s="17"/>
      <c r="YW116" s="17"/>
      <c r="YX116" s="17"/>
      <c r="YY116" s="17"/>
      <c r="YZ116" s="17"/>
      <c r="ZA116" s="17"/>
      <c r="ZB116" s="17"/>
      <c r="ZC116" s="17"/>
      <c r="ZD116" s="17"/>
      <c r="ZE116" s="17"/>
      <c r="ZF116" s="17"/>
      <c r="ZG116" s="17"/>
      <c r="ZH116" s="17"/>
      <c r="ZI116" s="17"/>
      <c r="ZJ116" s="17"/>
      <c r="ZK116" s="17"/>
      <c r="ZL116" s="17"/>
      <c r="ZM116" s="17"/>
      <c r="ZN116" s="17"/>
      <c r="ZO116" s="17"/>
      <c r="ZP116" s="17"/>
      <c r="ZQ116" s="17"/>
      <c r="ZR116" s="17"/>
      <c r="ZS116" s="17"/>
      <c r="ZT116" s="17"/>
      <c r="ZU116" s="17"/>
      <c r="ZV116" s="17"/>
      <c r="ZW116" s="17"/>
      <c r="ZX116" s="17"/>
      <c r="ZY116" s="17"/>
      <c r="ZZ116" s="17"/>
      <c r="AAA116" s="17"/>
      <c r="AAB116" s="17"/>
      <c r="AAC116" s="17"/>
      <c r="AAD116" s="17"/>
      <c r="AAE116" s="17"/>
      <c r="AAF116" s="17"/>
      <c r="AAG116" s="17"/>
      <c r="AAH116" s="17"/>
      <c r="AAI116" s="17"/>
      <c r="AAJ116" s="17"/>
      <c r="AAK116" s="17"/>
      <c r="AAL116" s="17"/>
      <c r="AAM116" s="17"/>
      <c r="AAN116" s="17"/>
      <c r="AAO116" s="17"/>
      <c r="AAP116" s="17"/>
      <c r="AAQ116" s="17"/>
      <c r="AAR116" s="17"/>
      <c r="AAS116" s="17"/>
      <c r="AAT116" s="17"/>
      <c r="AAU116" s="17"/>
      <c r="AAV116" s="17"/>
      <c r="AAW116" s="17"/>
      <c r="AAX116" s="17"/>
      <c r="AAY116" s="17"/>
      <c r="AAZ116" s="17"/>
      <c r="ABA116" s="17"/>
      <c r="ABB116" s="17"/>
      <c r="ABC116" s="17"/>
      <c r="ABD116" s="17"/>
      <c r="ABE116" s="17"/>
      <c r="ABF116" s="17"/>
      <c r="ABG116" s="17"/>
      <c r="ABH116" s="17"/>
      <c r="ABI116" s="17"/>
      <c r="ABJ116" s="17"/>
      <c r="ABK116" s="17"/>
      <c r="ABL116" s="17"/>
      <c r="ABM116" s="17"/>
      <c r="ABN116" s="17"/>
      <c r="ABO116" s="17"/>
      <c r="ABP116" s="17"/>
      <c r="ABQ116" s="17"/>
      <c r="ABR116" s="17"/>
      <c r="ABS116" s="17"/>
      <c r="ABT116" s="17"/>
      <c r="ABU116" s="17"/>
      <c r="ABV116" s="17"/>
      <c r="ABW116" s="17"/>
      <c r="ABX116" s="17"/>
      <c r="ABY116" s="17"/>
      <c r="ABZ116" s="17"/>
      <c r="ACA116" s="17"/>
      <c r="ACB116" s="17"/>
      <c r="ACC116" s="17"/>
      <c r="ACD116" s="17"/>
      <c r="ACE116" s="17"/>
      <c r="ACF116" s="17"/>
      <c r="ACG116" s="17"/>
      <c r="ACH116" s="17"/>
      <c r="ACI116" s="17"/>
      <c r="ACJ116" s="17"/>
      <c r="ACK116" s="17"/>
      <c r="ACL116" s="17"/>
      <c r="ACM116" s="17"/>
      <c r="ACN116" s="17"/>
      <c r="ACO116" s="17"/>
      <c r="ACP116" s="17"/>
      <c r="ACQ116" s="17"/>
      <c r="ACR116" s="17"/>
      <c r="ACS116" s="17"/>
      <c r="ACT116" s="17"/>
      <c r="ACU116" s="17"/>
      <c r="ACV116" s="17"/>
      <c r="ACW116" s="17"/>
      <c r="ACX116" s="17"/>
      <c r="ACY116" s="17"/>
      <c r="ACZ116" s="17"/>
      <c r="ADA116" s="17"/>
      <c r="ADB116" s="17"/>
      <c r="ADC116" s="17"/>
      <c r="ADD116" s="17"/>
      <c r="ADE116" s="17"/>
      <c r="ADF116" s="17"/>
      <c r="ADG116" s="17"/>
      <c r="ADH116" s="17"/>
      <c r="ADI116" s="17"/>
      <c r="ADJ116" s="17"/>
      <c r="ADK116" s="17"/>
      <c r="ADL116" s="17"/>
      <c r="ADM116" s="17"/>
      <c r="ADN116" s="17"/>
      <c r="ADO116" s="17"/>
      <c r="ADP116" s="17"/>
      <c r="ADQ116" s="17"/>
      <c r="ADR116" s="17"/>
      <c r="ADS116" s="17"/>
      <c r="ADT116" s="17"/>
      <c r="ADU116" s="17"/>
      <c r="ADV116" s="17"/>
      <c r="ADW116" s="17"/>
      <c r="ADX116" s="17"/>
      <c r="ADY116" s="17"/>
      <c r="ADZ116" s="17"/>
      <c r="AEA116" s="17"/>
      <c r="AEB116" s="17"/>
      <c r="AEC116" s="17"/>
      <c r="AED116" s="17"/>
      <c r="AEE116" s="17"/>
      <c r="AEF116" s="17"/>
      <c r="AEG116" s="17"/>
      <c r="AEH116" s="17"/>
      <c r="AEI116" s="17"/>
      <c r="AEJ116" s="17"/>
      <c r="AEK116" s="17"/>
      <c r="AEL116" s="17"/>
      <c r="AEM116" s="17"/>
      <c r="AEN116" s="17"/>
      <c r="AEO116" s="17"/>
      <c r="AEP116" s="17"/>
      <c r="AEQ116" s="17"/>
      <c r="AER116" s="17"/>
      <c r="AES116" s="17"/>
      <c r="AET116" s="17"/>
      <c r="AEU116" s="17"/>
      <c r="AEV116" s="17"/>
      <c r="AEW116" s="17"/>
      <c r="AEX116" s="17"/>
      <c r="AEY116" s="17"/>
      <c r="AEZ116" s="17"/>
      <c r="AFA116" s="17"/>
      <c r="AFB116" s="17"/>
      <c r="AFC116" s="17"/>
      <c r="AFD116" s="17"/>
      <c r="AFE116" s="17"/>
      <c r="AFF116" s="17"/>
      <c r="AFG116" s="17"/>
      <c r="AFH116" s="17"/>
      <c r="AFI116" s="17"/>
      <c r="AFJ116" s="17"/>
      <c r="AFK116" s="17"/>
      <c r="AFL116" s="17"/>
      <c r="AFM116" s="17"/>
      <c r="AFN116" s="17"/>
      <c r="AFO116" s="17"/>
      <c r="AFP116" s="17"/>
      <c r="AFQ116" s="17"/>
      <c r="AFR116" s="17"/>
      <c r="AFS116" s="17"/>
      <c r="AFT116" s="17"/>
      <c r="AFU116" s="17"/>
      <c r="AFV116" s="17"/>
      <c r="AFW116" s="17"/>
      <c r="AFX116" s="17"/>
      <c r="AFY116" s="17"/>
      <c r="AFZ116" s="17"/>
      <c r="AGA116" s="17"/>
      <c r="AGB116" s="17"/>
      <c r="AGC116" s="17"/>
      <c r="AGD116" s="17"/>
      <c r="AGE116" s="17"/>
      <c r="AGF116" s="17"/>
      <c r="AGG116" s="17"/>
      <c r="AGH116" s="17"/>
      <c r="AGI116" s="17"/>
      <c r="AGJ116" s="17"/>
      <c r="AGK116" s="17"/>
      <c r="AGL116" s="17"/>
      <c r="AGM116" s="17"/>
      <c r="AGN116" s="17"/>
      <c r="AGO116" s="17"/>
      <c r="AGP116" s="17"/>
      <c r="AGQ116" s="17"/>
      <c r="AGR116" s="17"/>
      <c r="AGS116" s="17"/>
      <c r="AGT116" s="17"/>
      <c r="AGU116" s="17"/>
      <c r="AGV116" s="17"/>
      <c r="AGW116" s="17"/>
      <c r="AGX116" s="17"/>
      <c r="AGY116" s="17"/>
      <c r="AGZ116" s="17"/>
      <c r="AHA116" s="17"/>
      <c r="AHB116" s="17"/>
      <c r="AHC116" s="17"/>
      <c r="AHD116" s="17"/>
      <c r="AHE116" s="17"/>
      <c r="AHF116" s="17"/>
      <c r="AHG116" s="17"/>
      <c r="AHH116" s="17"/>
      <c r="AHI116" s="17"/>
      <c r="AHJ116" s="17"/>
      <c r="AHK116" s="17"/>
      <c r="AHL116" s="17"/>
      <c r="AHM116" s="17"/>
      <c r="AHN116" s="17"/>
      <c r="AHO116" s="17"/>
      <c r="AHP116" s="17"/>
      <c r="AHQ116" s="17"/>
      <c r="AHR116" s="17"/>
      <c r="AHS116" s="17"/>
      <c r="AHT116" s="17"/>
      <c r="AHU116" s="17"/>
      <c r="AHV116" s="17"/>
      <c r="AHW116" s="17"/>
      <c r="AHX116" s="17"/>
      <c r="AHY116" s="17"/>
      <c r="AHZ116" s="17"/>
      <c r="AIA116" s="17"/>
      <c r="AIB116" s="17"/>
      <c r="AIC116" s="17"/>
      <c r="AID116" s="17"/>
      <c r="AIE116" s="17"/>
      <c r="AIF116" s="17"/>
      <c r="AIG116" s="17"/>
      <c r="AIH116" s="17"/>
      <c r="AII116" s="17"/>
      <c r="AIJ116" s="17"/>
      <c r="AIK116" s="17"/>
      <c r="AIL116" s="17"/>
      <c r="AIM116" s="17"/>
      <c r="AIN116" s="17"/>
      <c r="AIO116" s="17"/>
      <c r="AIP116" s="17"/>
      <c r="AIQ116" s="17"/>
      <c r="AIR116" s="17"/>
      <c r="AIS116" s="17"/>
      <c r="AIT116" s="17"/>
      <c r="AIU116" s="17"/>
      <c r="AIV116" s="17"/>
      <c r="AIW116" s="17"/>
      <c r="AIX116" s="17"/>
      <c r="AIY116" s="17"/>
      <c r="AIZ116" s="17"/>
      <c r="AJA116" s="17"/>
      <c r="AJB116" s="17"/>
      <c r="AJC116" s="17"/>
      <c r="AJD116" s="17"/>
      <c r="AJE116" s="17"/>
      <c r="AJF116" s="17"/>
      <c r="AJG116" s="17"/>
      <c r="AJH116" s="17"/>
      <c r="AJI116" s="17"/>
      <c r="AJJ116" s="17"/>
      <c r="AJK116" s="17"/>
      <c r="AJL116" s="17"/>
      <c r="AJM116" s="17"/>
      <c r="AJN116" s="17"/>
      <c r="AJO116" s="17"/>
      <c r="AJP116" s="17"/>
      <c r="AJQ116" s="17"/>
      <c r="AJR116" s="17"/>
      <c r="AJS116" s="17"/>
      <c r="AJT116" s="17"/>
      <c r="AJU116" s="17"/>
      <c r="AJV116" s="17"/>
      <c r="AJW116" s="17"/>
      <c r="AJX116" s="17"/>
      <c r="AJY116" s="17"/>
      <c r="AJZ116" s="17"/>
      <c r="AKA116" s="17"/>
      <c r="AKB116" s="17"/>
      <c r="AKC116" s="17"/>
      <c r="AKD116" s="17"/>
      <c r="AKE116" s="17"/>
      <c r="AKF116" s="17"/>
      <c r="AKG116" s="17"/>
      <c r="AKH116" s="17"/>
      <c r="AKI116" s="17"/>
      <c r="AKJ116" s="17"/>
      <c r="AKK116" s="17"/>
      <c r="AKL116" s="17"/>
      <c r="AKM116" s="17"/>
      <c r="AKN116" s="17"/>
      <c r="AKO116" s="17"/>
      <c r="AKP116" s="17"/>
      <c r="AKQ116" s="17"/>
      <c r="AKR116" s="17"/>
      <c r="AKS116" s="17"/>
      <c r="AKT116" s="17"/>
      <c r="AKU116" s="17"/>
      <c r="AKV116" s="17"/>
      <c r="AKW116" s="17"/>
      <c r="AKX116" s="17"/>
      <c r="AKY116" s="17"/>
      <c r="AKZ116" s="17"/>
      <c r="ALA116" s="17"/>
      <c r="ALB116" s="17"/>
      <c r="ALC116" s="17"/>
      <c r="ALD116" s="17"/>
      <c r="ALE116" s="17"/>
      <c r="ALF116" s="17"/>
      <c r="ALG116" s="17"/>
      <c r="ALH116" s="17"/>
      <c r="ALI116" s="17"/>
      <c r="ALJ116" s="17"/>
      <c r="ALK116" s="17"/>
      <c r="ALL116" s="17"/>
      <c r="ALM116" s="17"/>
      <c r="ALN116" s="17"/>
      <c r="ALO116" s="17"/>
      <c r="ALP116" s="17"/>
      <c r="ALQ116" s="17"/>
      <c r="ALR116" s="17"/>
      <c r="ALS116" s="17"/>
      <c r="ALT116" s="17"/>
      <c r="ALU116" s="17"/>
      <c r="ALV116" s="17"/>
      <c r="ALW116" s="17"/>
      <c r="ALX116" s="17"/>
      <c r="ALY116" s="17"/>
      <c r="ALZ116" s="17"/>
      <c r="AMA116" s="17"/>
      <c r="AMB116" s="17"/>
      <c r="AMC116" s="17"/>
      <c r="AMD116" s="17"/>
      <c r="AME116" s="17"/>
      <c r="AMF116" s="17"/>
      <c r="AMG116" s="17"/>
      <c r="AMH116" s="17"/>
      <c r="AMI116" s="17"/>
      <c r="AMJ116" s="17"/>
      <c r="AMK116" s="17"/>
      <c r="AML116" s="17"/>
      <c r="AMM116" s="17"/>
      <c r="AMN116" s="17"/>
      <c r="AMO116" s="17"/>
      <c r="AMP116" s="17"/>
      <c r="AMQ116" s="17"/>
      <c r="AMR116" s="17"/>
      <c r="AMS116" s="17"/>
      <c r="AMT116" s="17"/>
      <c r="AMU116" s="17"/>
      <c r="AMV116" s="17"/>
      <c r="AMW116" s="17"/>
      <c r="AMX116" s="17"/>
      <c r="AMY116" s="17"/>
      <c r="AMZ116" s="17"/>
      <c r="ANA116" s="17"/>
      <c r="ANB116" s="17"/>
      <c r="ANC116" s="17"/>
      <c r="AND116" s="17"/>
      <c r="ANE116" s="17"/>
      <c r="ANF116" s="17"/>
      <c r="ANG116" s="17"/>
      <c r="ANH116" s="17"/>
      <c r="ANI116" s="17"/>
      <c r="ANJ116" s="17"/>
      <c r="ANK116" s="17"/>
      <c r="ANL116" s="17"/>
      <c r="ANM116" s="17"/>
      <c r="ANN116" s="17"/>
      <c r="ANO116" s="17"/>
      <c r="ANP116" s="17"/>
      <c r="ANQ116" s="17"/>
      <c r="ANR116" s="17"/>
      <c r="ANS116" s="17"/>
      <c r="ANT116" s="17"/>
      <c r="ANU116" s="17"/>
      <c r="ANV116" s="17"/>
      <c r="ANW116" s="17"/>
      <c r="ANX116" s="17"/>
      <c r="ANY116" s="17"/>
      <c r="ANZ116" s="17"/>
      <c r="AOA116" s="17"/>
      <c r="AOB116" s="17"/>
      <c r="AOC116" s="17"/>
      <c r="AOD116" s="17"/>
      <c r="AOE116" s="17"/>
      <c r="AOF116" s="17"/>
      <c r="AOG116" s="17"/>
      <c r="AOH116" s="17"/>
      <c r="AOI116" s="17"/>
      <c r="AOJ116" s="17"/>
      <c r="AOK116" s="17"/>
      <c r="AOL116" s="17"/>
      <c r="AOM116" s="17"/>
      <c r="AON116" s="17"/>
      <c r="AOO116" s="17"/>
      <c r="AOP116" s="17"/>
      <c r="AOQ116" s="17"/>
      <c r="AOR116" s="17"/>
      <c r="AOS116" s="17"/>
      <c r="AOT116" s="17"/>
      <c r="AOU116" s="17"/>
      <c r="AOV116" s="17"/>
      <c r="AOW116" s="17"/>
      <c r="AOX116" s="17"/>
      <c r="AOY116" s="17"/>
      <c r="AOZ116" s="17"/>
      <c r="APA116" s="17"/>
      <c r="APB116" s="17"/>
      <c r="APC116" s="17"/>
      <c r="APD116" s="17"/>
      <c r="APE116" s="17"/>
      <c r="APF116" s="17"/>
      <c r="APG116" s="17"/>
      <c r="APH116" s="17"/>
      <c r="API116" s="17"/>
      <c r="APJ116" s="17"/>
      <c r="APK116" s="17"/>
      <c r="APL116" s="17"/>
      <c r="APM116" s="17"/>
      <c r="APN116" s="17"/>
      <c r="APO116" s="17"/>
      <c r="APP116" s="17"/>
      <c r="APQ116" s="17"/>
      <c r="APR116" s="17"/>
      <c r="APS116" s="17"/>
      <c r="APT116" s="17"/>
      <c r="APU116" s="17"/>
      <c r="APV116" s="17"/>
      <c r="APW116" s="17"/>
      <c r="APX116" s="17"/>
      <c r="APY116" s="17"/>
      <c r="APZ116" s="17"/>
      <c r="AQA116" s="17"/>
      <c r="AQB116" s="17"/>
      <c r="AQC116" s="17"/>
      <c r="AQD116" s="17"/>
      <c r="AQE116" s="17"/>
      <c r="AQF116" s="17"/>
      <c r="AQG116" s="17"/>
      <c r="AQH116" s="17"/>
      <c r="AQI116" s="17"/>
      <c r="AQJ116" s="17"/>
      <c r="AQK116" s="17"/>
      <c r="AQL116" s="17"/>
      <c r="AQM116" s="17"/>
      <c r="AQN116" s="17"/>
      <c r="AQO116" s="17"/>
      <c r="AQP116" s="17"/>
      <c r="AQQ116" s="17"/>
      <c r="AQR116" s="17"/>
      <c r="AQS116" s="17"/>
      <c r="AQT116" s="17"/>
      <c r="AQU116" s="17"/>
      <c r="AQV116" s="17"/>
      <c r="AQW116" s="17"/>
      <c r="AQX116" s="17"/>
      <c r="AQY116" s="17"/>
      <c r="AQZ116" s="17"/>
      <c r="ARA116" s="17"/>
      <c r="ARB116" s="17"/>
      <c r="ARC116" s="17"/>
      <c r="ARD116" s="17"/>
      <c r="ARE116" s="17"/>
      <c r="ARF116" s="17"/>
      <c r="ARG116" s="17"/>
      <c r="ARH116" s="17"/>
      <c r="ARI116" s="17"/>
      <c r="ARJ116" s="17"/>
      <c r="ARK116" s="17"/>
      <c r="ARL116" s="17"/>
      <c r="ARM116" s="17"/>
      <c r="ARN116" s="17"/>
      <c r="ARO116" s="17"/>
      <c r="ARP116" s="17"/>
      <c r="ARQ116" s="17"/>
      <c r="ARR116" s="17"/>
      <c r="ARS116" s="17"/>
      <c r="ART116" s="17"/>
      <c r="ARU116" s="17"/>
      <c r="ARV116" s="17"/>
      <c r="ARW116" s="17"/>
      <c r="ARX116" s="17"/>
      <c r="ARY116" s="17"/>
      <c r="ARZ116" s="17"/>
      <c r="ASA116" s="17"/>
      <c r="ASB116" s="17"/>
      <c r="ASC116" s="17"/>
      <c r="ASD116" s="17"/>
      <c r="ASE116" s="17"/>
      <c r="ASF116" s="17"/>
      <c r="ASG116" s="17"/>
      <c r="ASH116" s="17"/>
      <c r="ASI116" s="17"/>
      <c r="ASJ116" s="17"/>
      <c r="ASK116" s="17"/>
      <c r="ASL116" s="17"/>
      <c r="ASM116" s="17"/>
      <c r="ASN116" s="17"/>
      <c r="ASO116" s="17"/>
      <c r="ASP116" s="17"/>
      <c r="ASQ116" s="17"/>
      <c r="ASR116" s="17"/>
      <c r="ASS116" s="17"/>
      <c r="AST116" s="17"/>
      <c r="ASU116" s="17"/>
      <c r="ASV116" s="17"/>
      <c r="ASW116" s="17"/>
      <c r="ASX116" s="17"/>
      <c r="ASY116" s="17"/>
      <c r="ASZ116" s="17"/>
      <c r="ATA116" s="17"/>
      <c r="ATB116" s="17"/>
      <c r="ATC116" s="17"/>
      <c r="ATD116" s="17"/>
      <c r="ATE116" s="17"/>
      <c r="ATF116" s="17"/>
      <c r="ATG116" s="17"/>
      <c r="ATH116" s="17"/>
      <c r="ATI116" s="17"/>
      <c r="ATJ116" s="17"/>
      <c r="ATK116" s="17"/>
      <c r="ATL116" s="17"/>
      <c r="ATM116" s="17"/>
      <c r="ATN116" s="17"/>
      <c r="ATO116" s="17"/>
      <c r="ATP116" s="17"/>
      <c r="ATQ116" s="17"/>
      <c r="ATR116" s="17"/>
      <c r="ATS116" s="17"/>
      <c r="ATT116" s="17"/>
      <c r="ATU116" s="17"/>
      <c r="ATV116" s="17"/>
      <c r="ATW116" s="17"/>
      <c r="ATX116" s="17"/>
      <c r="ATY116" s="17"/>
      <c r="ATZ116" s="17"/>
      <c r="AUA116" s="17"/>
      <c r="AUB116" s="17"/>
      <c r="AUC116" s="17"/>
      <c r="AUD116" s="17"/>
      <c r="AUE116" s="17"/>
      <c r="AUF116" s="17"/>
      <c r="AUG116" s="17"/>
      <c r="AUH116" s="17"/>
      <c r="AUI116" s="17"/>
      <c r="AUJ116" s="17"/>
      <c r="AUK116" s="17"/>
      <c r="AUL116" s="17"/>
      <c r="AUM116" s="17"/>
      <c r="AUN116" s="17"/>
      <c r="AUO116" s="17"/>
      <c r="AUP116" s="17"/>
      <c r="AUQ116" s="17"/>
      <c r="AUR116" s="17"/>
      <c r="AUS116" s="17"/>
      <c r="AUT116" s="17"/>
      <c r="AUU116" s="17"/>
      <c r="AUV116" s="17"/>
      <c r="AUW116" s="17"/>
      <c r="AUX116" s="17"/>
      <c r="AUY116" s="17"/>
      <c r="AUZ116" s="17"/>
      <c r="AVA116" s="17"/>
      <c r="AVB116" s="17"/>
      <c r="AVC116" s="17"/>
      <c r="AVD116" s="17"/>
      <c r="AVE116" s="17"/>
      <c r="AVF116" s="17"/>
      <c r="AVG116" s="17"/>
      <c r="AVH116" s="17"/>
      <c r="AVI116" s="17"/>
      <c r="AVJ116" s="17"/>
      <c r="AVK116" s="17"/>
      <c r="AVL116" s="17"/>
      <c r="AVM116" s="17"/>
      <c r="AVN116" s="17"/>
      <c r="AVO116" s="17"/>
      <c r="AVP116" s="17"/>
      <c r="AVQ116" s="17"/>
      <c r="AVR116" s="17"/>
      <c r="AVS116" s="17"/>
      <c r="AVT116" s="17"/>
      <c r="AVU116" s="17"/>
      <c r="AVV116" s="17"/>
      <c r="AVW116" s="17"/>
      <c r="AVX116" s="17"/>
      <c r="AVY116" s="17"/>
      <c r="AVZ116" s="17"/>
      <c r="AWA116" s="17"/>
      <c r="AWB116" s="17"/>
      <c r="AWC116" s="17"/>
      <c r="AWD116" s="17"/>
      <c r="AWE116" s="17"/>
      <c r="AWF116" s="17"/>
      <c r="AWG116" s="17"/>
      <c r="AWH116" s="17"/>
      <c r="AWI116" s="17"/>
      <c r="AWJ116" s="17"/>
      <c r="AWK116" s="17"/>
      <c r="AWL116" s="17"/>
      <c r="AWM116" s="17"/>
      <c r="AWN116" s="17"/>
      <c r="AWO116" s="17"/>
      <c r="AWP116" s="17"/>
      <c r="AWQ116" s="17"/>
      <c r="AWR116" s="17"/>
      <c r="AWS116" s="17"/>
      <c r="AWT116" s="17"/>
      <c r="AWU116" s="17"/>
      <c r="AWV116" s="17"/>
      <c r="AWW116" s="17"/>
      <c r="AWX116" s="17"/>
      <c r="AWY116" s="17"/>
      <c r="AWZ116" s="17"/>
      <c r="AXA116" s="17"/>
      <c r="AXB116" s="17"/>
      <c r="AXC116" s="17"/>
      <c r="AXD116" s="17"/>
      <c r="AXE116" s="17"/>
      <c r="AXF116" s="17"/>
      <c r="AXG116" s="17"/>
      <c r="AXH116" s="17"/>
      <c r="AXI116" s="17"/>
      <c r="AXJ116" s="17"/>
      <c r="AXK116" s="17"/>
      <c r="AXL116" s="17"/>
      <c r="AXM116" s="17"/>
      <c r="AXN116" s="17"/>
      <c r="AXO116" s="17"/>
      <c r="AXP116" s="17"/>
      <c r="AXQ116" s="17"/>
      <c r="AXR116" s="17"/>
      <c r="AXS116" s="17"/>
      <c r="AXT116" s="17"/>
      <c r="AXU116" s="17"/>
      <c r="AXV116" s="17"/>
      <c r="AXW116" s="17"/>
      <c r="AXX116" s="17"/>
      <c r="AXY116" s="17"/>
      <c r="AXZ116" s="17"/>
      <c r="AYA116" s="17"/>
      <c r="AYB116" s="17"/>
      <c r="AYC116" s="17"/>
      <c r="AYD116" s="17"/>
      <c r="AYE116" s="17"/>
      <c r="AYF116" s="17"/>
      <c r="AYG116" s="17"/>
      <c r="AYH116" s="17"/>
      <c r="AYI116" s="17"/>
      <c r="AYJ116" s="17"/>
      <c r="AYK116" s="17"/>
      <c r="AYL116" s="17"/>
      <c r="AYM116" s="17"/>
      <c r="AYN116" s="17"/>
      <c r="AYO116" s="17"/>
      <c r="AYP116" s="17"/>
      <c r="AYQ116" s="17"/>
      <c r="AYR116" s="17"/>
      <c r="AYS116" s="17"/>
      <c r="AYT116" s="17"/>
      <c r="AYU116" s="17"/>
      <c r="AYV116" s="17"/>
      <c r="AYW116" s="17"/>
      <c r="AYX116" s="17"/>
      <c r="AYY116" s="17"/>
      <c r="AYZ116" s="17"/>
      <c r="AZA116" s="17"/>
      <c r="AZB116" s="17"/>
      <c r="AZC116" s="17"/>
      <c r="AZD116" s="17"/>
      <c r="AZE116" s="17"/>
      <c r="AZF116" s="17"/>
      <c r="AZG116" s="17"/>
      <c r="AZH116" s="17"/>
      <c r="AZI116" s="17"/>
      <c r="AZJ116" s="17"/>
      <c r="AZK116" s="17"/>
      <c r="AZL116" s="17"/>
      <c r="AZM116" s="17"/>
      <c r="AZN116" s="17"/>
      <c r="AZO116" s="17"/>
      <c r="AZP116" s="17"/>
      <c r="AZQ116" s="17"/>
      <c r="AZR116" s="17"/>
      <c r="AZS116" s="17"/>
      <c r="AZT116" s="17"/>
      <c r="AZU116" s="17"/>
      <c r="AZV116" s="17"/>
      <c r="AZW116" s="17"/>
      <c r="AZX116" s="17"/>
      <c r="AZY116" s="17"/>
      <c r="AZZ116" s="17"/>
      <c r="BAA116" s="17"/>
      <c r="BAB116" s="17"/>
      <c r="BAC116" s="17"/>
      <c r="BAD116" s="17"/>
      <c r="BAE116" s="17"/>
      <c r="BAF116" s="17"/>
      <c r="BAG116" s="17"/>
      <c r="BAH116" s="17"/>
      <c r="BAI116" s="17"/>
      <c r="BAJ116" s="17"/>
      <c r="BAK116" s="17"/>
      <c r="BAL116" s="17"/>
      <c r="BAM116" s="17"/>
      <c r="BAN116" s="17"/>
      <c r="BAO116" s="17"/>
      <c r="BAP116" s="17"/>
      <c r="BAQ116" s="17"/>
      <c r="BAR116" s="17"/>
      <c r="BAS116" s="17"/>
      <c r="BAT116" s="17"/>
      <c r="BAU116" s="17"/>
      <c r="BAV116" s="17"/>
      <c r="BAW116" s="17"/>
      <c r="BAX116" s="17"/>
      <c r="BAY116" s="17"/>
      <c r="BAZ116" s="17"/>
      <c r="BBA116" s="17"/>
      <c r="BBB116" s="17"/>
      <c r="BBC116" s="17"/>
      <c r="BBD116" s="17"/>
      <c r="BBE116" s="17"/>
      <c r="BBF116" s="17"/>
      <c r="BBG116" s="17"/>
      <c r="BBH116" s="17"/>
      <c r="BBI116" s="17"/>
      <c r="BBJ116" s="17"/>
      <c r="BBK116" s="17"/>
      <c r="BBL116" s="17"/>
      <c r="BBM116" s="17"/>
      <c r="BBN116" s="17"/>
      <c r="BBO116" s="17"/>
      <c r="BBP116" s="17"/>
      <c r="BBQ116" s="17"/>
      <c r="BBR116" s="17"/>
      <c r="BBS116" s="17"/>
      <c r="BBT116" s="17"/>
      <c r="BBU116" s="17"/>
      <c r="BBV116" s="17"/>
      <c r="BBW116" s="17"/>
      <c r="BBX116" s="17"/>
      <c r="BBY116" s="17"/>
      <c r="BBZ116" s="17"/>
      <c r="BCA116" s="17"/>
      <c r="BCB116" s="17"/>
      <c r="BCC116" s="17"/>
      <c r="BCD116" s="17"/>
      <c r="BCE116" s="17"/>
      <c r="BCF116" s="17"/>
      <c r="BCG116" s="17"/>
      <c r="BCH116" s="17"/>
      <c r="BCI116" s="17"/>
      <c r="BCJ116" s="17"/>
      <c r="BCK116" s="17"/>
      <c r="BCL116" s="17"/>
      <c r="BCM116" s="17"/>
      <c r="BCN116" s="17"/>
      <c r="BCO116" s="17"/>
      <c r="BCP116" s="17"/>
      <c r="BCQ116" s="17"/>
      <c r="BCR116" s="17"/>
      <c r="BCS116" s="17"/>
      <c r="BCT116" s="17"/>
      <c r="BCU116" s="17"/>
      <c r="BCV116" s="17"/>
      <c r="BCW116" s="17"/>
      <c r="BCX116" s="17"/>
      <c r="BCY116" s="17"/>
      <c r="BCZ116" s="17"/>
      <c r="BDA116" s="17"/>
      <c r="BDB116" s="17"/>
      <c r="BDC116" s="17"/>
      <c r="BDD116" s="17"/>
      <c r="BDE116" s="17"/>
      <c r="BDF116" s="17"/>
      <c r="BDG116" s="17"/>
      <c r="BDH116" s="17"/>
      <c r="BDI116" s="17"/>
      <c r="BDJ116" s="17"/>
      <c r="BDK116" s="17"/>
      <c r="BDL116" s="17"/>
      <c r="BDM116" s="17"/>
      <c r="BDN116" s="17"/>
      <c r="BDO116" s="17"/>
      <c r="BDP116" s="17"/>
      <c r="BDQ116" s="17"/>
      <c r="BDR116" s="17"/>
      <c r="BDS116" s="17"/>
      <c r="BDT116" s="17"/>
      <c r="BDU116" s="17"/>
      <c r="BDV116" s="17"/>
      <c r="BDW116" s="17"/>
      <c r="BDX116" s="17"/>
      <c r="BDY116" s="17"/>
      <c r="BDZ116" s="17"/>
      <c r="BEA116" s="17"/>
      <c r="BEB116" s="17"/>
      <c r="BEC116" s="17"/>
      <c r="BED116" s="17"/>
      <c r="BEE116" s="17"/>
      <c r="BEF116" s="17"/>
      <c r="BEG116" s="17"/>
      <c r="BEH116" s="17"/>
      <c r="BEI116" s="17"/>
      <c r="BEJ116" s="17"/>
      <c r="BEK116" s="17"/>
      <c r="BEL116" s="17"/>
      <c r="BEM116" s="17"/>
      <c r="BEN116" s="17"/>
      <c r="BEO116" s="17"/>
      <c r="BEP116" s="17"/>
      <c r="BEQ116" s="17"/>
      <c r="BER116" s="17"/>
      <c r="BES116" s="17"/>
      <c r="BET116" s="17"/>
      <c r="BEU116" s="17"/>
      <c r="BEV116" s="17"/>
      <c r="BEW116" s="17"/>
      <c r="BEX116" s="17"/>
      <c r="BEY116" s="17"/>
      <c r="BEZ116" s="17"/>
      <c r="BFA116" s="17"/>
      <c r="BFB116" s="17"/>
      <c r="BFC116" s="17"/>
      <c r="BFD116" s="17"/>
      <c r="BFE116" s="17"/>
      <c r="BFF116" s="17"/>
      <c r="BFG116" s="17"/>
      <c r="BFH116" s="17"/>
      <c r="BFI116" s="17"/>
      <c r="BFJ116" s="17"/>
      <c r="BFK116" s="17"/>
      <c r="BFL116" s="17"/>
      <c r="BFM116" s="17"/>
      <c r="BFN116" s="17"/>
      <c r="BFO116" s="17"/>
      <c r="BFP116" s="17"/>
      <c r="BFQ116" s="17"/>
      <c r="BFR116" s="17"/>
      <c r="BFS116" s="17"/>
      <c r="BFT116" s="17"/>
      <c r="BFU116" s="17"/>
      <c r="BFV116" s="17"/>
      <c r="BFW116" s="17"/>
      <c r="BFX116" s="17"/>
      <c r="BFY116" s="17"/>
      <c r="BFZ116" s="17"/>
      <c r="BGA116" s="17"/>
      <c r="BGB116" s="17"/>
      <c r="BGC116" s="17"/>
      <c r="BGD116" s="17"/>
      <c r="BGE116" s="17"/>
      <c r="BGF116" s="17"/>
      <c r="BGG116" s="17"/>
      <c r="BGH116" s="17"/>
      <c r="BGI116" s="17"/>
      <c r="BGJ116" s="17"/>
      <c r="BGK116" s="17"/>
      <c r="BGL116" s="17"/>
      <c r="BGM116" s="17"/>
      <c r="BGN116" s="17"/>
      <c r="BGO116" s="17"/>
      <c r="BGP116" s="17"/>
      <c r="BGQ116" s="17"/>
      <c r="BGR116" s="17"/>
      <c r="BGS116" s="17"/>
      <c r="BGT116" s="17"/>
      <c r="BGU116" s="17"/>
      <c r="BGV116" s="17"/>
      <c r="BGW116" s="17"/>
      <c r="BGX116" s="17"/>
      <c r="BGY116" s="17"/>
      <c r="BGZ116" s="17"/>
      <c r="BHA116" s="17"/>
      <c r="BHB116" s="17"/>
      <c r="BHC116" s="17"/>
      <c r="BHD116" s="17"/>
      <c r="BHE116" s="17"/>
      <c r="BHF116" s="17"/>
      <c r="BHG116" s="17"/>
      <c r="BHH116" s="17"/>
      <c r="BHI116" s="17"/>
      <c r="BHJ116" s="17"/>
      <c r="BHK116" s="17"/>
      <c r="BHL116" s="17"/>
      <c r="BHM116" s="17"/>
      <c r="BHN116" s="17"/>
      <c r="BHO116" s="17"/>
      <c r="BHP116" s="17"/>
      <c r="BHQ116" s="17"/>
      <c r="BHR116" s="17"/>
      <c r="BHS116" s="17"/>
      <c r="BHT116" s="17"/>
      <c r="BHU116" s="17"/>
      <c r="BHV116" s="17"/>
      <c r="BHW116" s="17"/>
      <c r="BHX116" s="17"/>
      <c r="BHY116" s="17"/>
      <c r="BHZ116" s="17"/>
      <c r="BIA116" s="17"/>
      <c r="BIB116" s="17"/>
      <c r="BIC116" s="17"/>
      <c r="BID116" s="17"/>
      <c r="BIE116" s="17"/>
      <c r="BIF116" s="17"/>
      <c r="BIG116" s="17"/>
      <c r="BIH116" s="17"/>
      <c r="BII116" s="17"/>
      <c r="BIJ116" s="17"/>
      <c r="BIK116" s="17"/>
      <c r="BIL116" s="17"/>
      <c r="BIM116" s="17"/>
      <c r="BIN116" s="17"/>
      <c r="BIO116" s="17"/>
      <c r="BIP116" s="17"/>
      <c r="BIQ116" s="17"/>
      <c r="BIR116" s="17"/>
      <c r="BIS116" s="17"/>
      <c r="BIT116" s="17"/>
      <c r="BIU116" s="17"/>
      <c r="BIV116" s="17"/>
      <c r="BIW116" s="17"/>
      <c r="BIX116" s="17"/>
      <c r="BIY116" s="17"/>
      <c r="BIZ116" s="17"/>
      <c r="BJA116" s="17"/>
      <c r="BJB116" s="17"/>
      <c r="BJC116" s="17"/>
      <c r="BJD116" s="17"/>
      <c r="BJE116" s="17"/>
      <c r="BJF116" s="17"/>
      <c r="BJG116" s="17"/>
      <c r="BJH116" s="17"/>
      <c r="BJI116" s="17"/>
      <c r="BJJ116" s="17"/>
      <c r="BJK116" s="17"/>
      <c r="BJL116" s="17"/>
      <c r="BJM116" s="17"/>
      <c r="BJN116" s="17"/>
      <c r="BJO116" s="17"/>
      <c r="BJP116" s="17"/>
      <c r="BJQ116" s="17"/>
      <c r="BJR116" s="17"/>
      <c r="BJS116" s="17"/>
      <c r="BJT116" s="17"/>
      <c r="BJU116" s="17"/>
      <c r="BJV116" s="17"/>
      <c r="BJW116" s="17"/>
      <c r="BJX116" s="17"/>
      <c r="BJY116" s="17"/>
      <c r="BJZ116" s="17"/>
      <c r="BKA116" s="17"/>
      <c r="BKB116" s="17"/>
      <c r="BKC116" s="17"/>
      <c r="BKD116" s="17"/>
      <c r="BKE116" s="17"/>
      <c r="BKF116" s="17"/>
      <c r="BKG116" s="17"/>
      <c r="BKH116" s="17"/>
      <c r="BKI116" s="17"/>
      <c r="BKJ116" s="17"/>
      <c r="BKK116" s="17"/>
      <c r="BKL116" s="17"/>
      <c r="BKM116" s="17"/>
      <c r="BKN116" s="17"/>
      <c r="BKO116" s="17"/>
      <c r="BKP116" s="17"/>
      <c r="BKQ116" s="17"/>
      <c r="BKR116" s="17"/>
      <c r="BKS116" s="17"/>
      <c r="BKT116" s="17"/>
      <c r="BKU116" s="17"/>
      <c r="BKV116" s="17"/>
      <c r="BKW116" s="17"/>
      <c r="BKX116" s="17"/>
      <c r="BKY116" s="17"/>
      <c r="BKZ116" s="17"/>
      <c r="BLA116" s="17"/>
      <c r="BLB116" s="17"/>
      <c r="BLC116" s="17"/>
      <c r="BLD116" s="17"/>
      <c r="BLE116" s="17"/>
      <c r="BLF116" s="17"/>
      <c r="BLG116" s="17"/>
      <c r="BLH116" s="17"/>
      <c r="BLI116" s="17"/>
      <c r="BLJ116" s="17"/>
      <c r="BLK116" s="17"/>
      <c r="BLL116" s="17"/>
      <c r="BLM116" s="17"/>
      <c r="BLN116" s="17"/>
      <c r="BLO116" s="17"/>
      <c r="BLP116" s="17"/>
      <c r="BLQ116" s="17"/>
      <c r="BLR116" s="17"/>
      <c r="BLS116" s="17"/>
      <c r="BLT116" s="17"/>
      <c r="BLU116" s="17"/>
      <c r="BLV116" s="17"/>
      <c r="BLW116" s="17"/>
      <c r="BLX116" s="17"/>
      <c r="BLY116" s="17"/>
      <c r="BLZ116" s="17"/>
      <c r="BMA116" s="17"/>
      <c r="BMB116" s="17"/>
      <c r="BMC116" s="17"/>
      <c r="BMD116" s="17"/>
      <c r="BME116" s="17"/>
      <c r="BMF116" s="17"/>
      <c r="BMG116" s="17"/>
      <c r="BMH116" s="17"/>
      <c r="BMI116" s="17"/>
      <c r="BMJ116" s="17"/>
      <c r="BMK116" s="17"/>
      <c r="BML116" s="17"/>
      <c r="BMM116" s="17"/>
      <c r="BMN116" s="17"/>
      <c r="BMO116" s="17"/>
      <c r="BMP116" s="17"/>
      <c r="BMQ116" s="17"/>
      <c r="BMR116" s="17"/>
      <c r="BMS116" s="17"/>
      <c r="BMT116" s="17"/>
      <c r="BMU116" s="17"/>
      <c r="BMV116" s="17"/>
      <c r="BMW116" s="17"/>
      <c r="BMX116" s="17"/>
      <c r="BMY116" s="17"/>
      <c r="BMZ116" s="17"/>
      <c r="BNA116" s="17"/>
      <c r="BNB116" s="17"/>
      <c r="BNC116" s="17"/>
      <c r="BND116" s="17"/>
      <c r="BNE116" s="17"/>
      <c r="BNF116" s="17"/>
      <c r="BNG116" s="17"/>
      <c r="BNH116" s="17"/>
      <c r="BNI116" s="17"/>
      <c r="BNJ116" s="17"/>
      <c r="BNK116" s="17"/>
      <c r="BNL116" s="17"/>
      <c r="BNM116" s="17"/>
      <c r="BNN116" s="17"/>
      <c r="BNO116" s="17"/>
      <c r="BNP116" s="17"/>
      <c r="BNQ116" s="17"/>
      <c r="BNR116" s="17"/>
      <c r="BNS116" s="17"/>
      <c r="BNT116" s="17"/>
      <c r="BNU116" s="17"/>
      <c r="BNV116" s="17"/>
      <c r="BNW116" s="17"/>
      <c r="BNX116" s="17"/>
      <c r="BNY116" s="17"/>
      <c r="BNZ116" s="17"/>
      <c r="BOA116" s="17"/>
      <c r="BOB116" s="17"/>
      <c r="BOC116" s="17"/>
      <c r="BOD116" s="17"/>
      <c r="BOE116" s="17"/>
      <c r="BOF116" s="17"/>
      <c r="BOG116" s="17"/>
      <c r="BOH116" s="17"/>
      <c r="BOI116" s="17"/>
      <c r="BOJ116" s="17"/>
      <c r="BOK116" s="17"/>
      <c r="BOL116" s="17"/>
      <c r="BOM116" s="17"/>
      <c r="BON116" s="17"/>
      <c r="BOO116" s="17"/>
      <c r="BOP116" s="17"/>
      <c r="BOQ116" s="17"/>
      <c r="BOR116" s="17"/>
      <c r="BOS116" s="17"/>
      <c r="BOT116" s="17"/>
      <c r="BOU116" s="17"/>
      <c r="BOV116" s="17"/>
      <c r="BOW116" s="17"/>
      <c r="BOX116" s="17"/>
      <c r="BOY116" s="17"/>
      <c r="BOZ116" s="17"/>
      <c r="BPA116" s="17"/>
      <c r="BPB116" s="17"/>
      <c r="BPC116" s="17"/>
      <c r="BPD116" s="17"/>
      <c r="BPE116" s="17"/>
      <c r="BPF116" s="17"/>
      <c r="BPG116" s="17"/>
      <c r="BPH116" s="17"/>
      <c r="BPI116" s="17"/>
      <c r="BPJ116" s="17"/>
      <c r="BPK116" s="17"/>
      <c r="BPL116" s="17"/>
      <c r="BPM116" s="17"/>
      <c r="BPN116" s="17"/>
      <c r="BPO116" s="17"/>
      <c r="BPP116" s="17"/>
      <c r="BPQ116" s="17"/>
      <c r="BPR116" s="17"/>
      <c r="BPS116" s="17"/>
      <c r="BPT116" s="17"/>
      <c r="BPU116" s="17"/>
      <c r="BPV116" s="17"/>
      <c r="BPW116" s="17"/>
      <c r="BPX116" s="17"/>
      <c r="BPY116" s="17"/>
      <c r="BPZ116" s="17"/>
      <c r="BQA116" s="17"/>
      <c r="BQB116" s="17"/>
      <c r="BQC116" s="17"/>
      <c r="BQD116" s="17"/>
      <c r="BQE116" s="17"/>
      <c r="BQF116" s="17"/>
      <c r="BQG116" s="17"/>
      <c r="BQH116" s="17"/>
      <c r="BQI116" s="17"/>
      <c r="BQJ116" s="17"/>
      <c r="BQK116" s="17"/>
      <c r="BQL116" s="17"/>
      <c r="BQM116" s="17"/>
      <c r="BQN116" s="17"/>
      <c r="BQO116" s="17"/>
      <c r="BQP116" s="17"/>
      <c r="BQQ116" s="17"/>
      <c r="BQR116" s="17"/>
      <c r="BQS116" s="17"/>
      <c r="BQT116" s="17"/>
      <c r="BQU116" s="17"/>
      <c r="BQV116" s="17"/>
      <c r="BQW116" s="17"/>
      <c r="BQX116" s="17"/>
      <c r="BQY116" s="17"/>
      <c r="BQZ116" s="17"/>
      <c r="BRA116" s="17"/>
      <c r="BRB116" s="17"/>
      <c r="BRC116" s="17"/>
      <c r="BRD116" s="17"/>
      <c r="BRE116" s="17"/>
      <c r="BRF116" s="17"/>
      <c r="BRG116" s="17"/>
      <c r="BRH116" s="17"/>
      <c r="BRI116" s="17"/>
      <c r="BRJ116" s="17"/>
      <c r="BRK116" s="17"/>
      <c r="BRL116" s="17"/>
      <c r="BRM116" s="17"/>
      <c r="BRN116" s="17"/>
      <c r="BRO116" s="17"/>
      <c r="BRP116" s="17"/>
      <c r="BRQ116" s="17"/>
      <c r="BRR116" s="17"/>
      <c r="BRS116" s="17"/>
      <c r="BRT116" s="17"/>
      <c r="BRU116" s="17"/>
      <c r="BRV116" s="17"/>
      <c r="BRW116" s="17"/>
      <c r="BRX116" s="17"/>
      <c r="BRY116" s="17"/>
      <c r="BRZ116" s="17"/>
      <c r="BSA116" s="17"/>
      <c r="BSB116" s="17"/>
      <c r="BSC116" s="17"/>
      <c r="BSD116" s="17"/>
      <c r="BSE116" s="17"/>
      <c r="BSF116" s="17"/>
      <c r="BSG116" s="17"/>
      <c r="BSH116" s="17"/>
      <c r="BSI116" s="17"/>
      <c r="BSJ116" s="17"/>
      <c r="BSK116" s="17"/>
      <c r="BSL116" s="17"/>
      <c r="BSM116" s="17"/>
      <c r="BSN116" s="17"/>
      <c r="BSO116" s="17"/>
      <c r="BSP116" s="17"/>
      <c r="BSQ116" s="17"/>
      <c r="BSR116" s="17"/>
      <c r="BSS116" s="17"/>
      <c r="BST116" s="17"/>
      <c r="BSU116" s="17"/>
      <c r="BSV116" s="17"/>
      <c r="BSW116" s="17"/>
      <c r="BSX116" s="17"/>
      <c r="BSY116" s="17"/>
      <c r="BSZ116" s="17"/>
      <c r="BTA116" s="17"/>
      <c r="BTB116" s="17"/>
      <c r="BTC116" s="17"/>
      <c r="BTD116" s="17"/>
      <c r="BTE116" s="17"/>
      <c r="BTF116" s="17"/>
      <c r="BTG116" s="17"/>
      <c r="BTH116" s="17"/>
      <c r="BTI116" s="17"/>
      <c r="BTJ116" s="17"/>
      <c r="BTK116" s="17"/>
      <c r="BTL116" s="17"/>
      <c r="BTM116" s="17"/>
      <c r="BTN116" s="17"/>
      <c r="BTO116" s="17"/>
      <c r="BTP116" s="17"/>
      <c r="BTQ116" s="17"/>
      <c r="BTR116" s="17"/>
      <c r="BTS116" s="17"/>
      <c r="BTT116" s="17"/>
      <c r="BTU116" s="17"/>
      <c r="BTV116" s="17"/>
      <c r="BTW116" s="17"/>
      <c r="BTX116" s="17"/>
      <c r="BTY116" s="17"/>
      <c r="BTZ116" s="17"/>
      <c r="BUA116" s="17"/>
      <c r="BUB116" s="17"/>
      <c r="BUC116" s="17"/>
      <c r="BUD116" s="17"/>
      <c r="BUE116" s="17"/>
      <c r="BUF116" s="17"/>
      <c r="BUG116" s="17"/>
      <c r="BUH116" s="17"/>
      <c r="BUI116" s="17"/>
      <c r="BUJ116" s="17"/>
      <c r="BUK116" s="17"/>
      <c r="BUL116" s="17"/>
      <c r="BUM116" s="17"/>
      <c r="BUN116" s="17"/>
      <c r="BUO116" s="17"/>
      <c r="BUP116" s="17"/>
      <c r="BUQ116" s="17"/>
      <c r="BUR116" s="17"/>
      <c r="BUS116" s="17"/>
      <c r="BUT116" s="17"/>
      <c r="BUU116" s="17"/>
      <c r="BUV116" s="17"/>
      <c r="BUW116" s="17"/>
      <c r="BUX116" s="17"/>
      <c r="BUY116" s="17"/>
      <c r="BUZ116" s="17"/>
      <c r="BVA116" s="17"/>
      <c r="BVB116" s="17"/>
      <c r="BVC116" s="17"/>
      <c r="BVD116" s="17"/>
      <c r="BVE116" s="17"/>
      <c r="BVF116" s="17"/>
      <c r="BVG116" s="17"/>
      <c r="BVH116" s="17"/>
      <c r="BVI116" s="17"/>
      <c r="BVJ116" s="17"/>
      <c r="BVK116" s="17"/>
      <c r="BVL116" s="17"/>
      <c r="BVM116" s="17"/>
      <c r="BVN116" s="17"/>
      <c r="BVO116" s="17"/>
      <c r="BVP116" s="17"/>
      <c r="BVQ116" s="17"/>
      <c r="BVR116" s="17"/>
      <c r="BVS116" s="17"/>
      <c r="BVT116" s="17"/>
      <c r="BVU116" s="17"/>
      <c r="BVV116" s="17"/>
      <c r="BVW116" s="17"/>
      <c r="BVX116" s="17"/>
      <c r="BVY116" s="17"/>
      <c r="BVZ116" s="17"/>
      <c r="BWA116" s="17"/>
      <c r="BWB116" s="17"/>
      <c r="BWC116" s="17"/>
      <c r="BWD116" s="17"/>
      <c r="BWE116" s="17"/>
      <c r="BWF116" s="17"/>
      <c r="BWG116" s="17"/>
      <c r="BWH116" s="17"/>
      <c r="BWI116" s="17"/>
      <c r="BWJ116" s="17"/>
      <c r="BWK116" s="17"/>
      <c r="BWL116" s="17"/>
      <c r="BWM116" s="17"/>
      <c r="BWN116" s="17"/>
      <c r="BWO116" s="17"/>
      <c r="BWP116" s="17"/>
      <c r="BWQ116" s="17"/>
      <c r="BWR116" s="17"/>
      <c r="BWS116" s="17"/>
      <c r="BWT116" s="17"/>
      <c r="BWU116" s="17"/>
      <c r="BWV116" s="17"/>
      <c r="BWW116" s="17"/>
      <c r="BWX116" s="17"/>
      <c r="BWY116" s="17"/>
      <c r="BWZ116" s="17"/>
      <c r="BXA116" s="17"/>
      <c r="BXB116" s="17"/>
      <c r="BXC116" s="17"/>
      <c r="BXD116" s="17"/>
      <c r="BXE116" s="17"/>
      <c r="BXF116" s="17"/>
      <c r="BXG116" s="17"/>
      <c r="BXH116" s="17"/>
      <c r="BXI116" s="17"/>
      <c r="BXJ116" s="17"/>
      <c r="BXK116" s="17"/>
      <c r="BXL116" s="17"/>
      <c r="BXM116" s="17"/>
      <c r="BXN116" s="17"/>
      <c r="BXO116" s="17"/>
      <c r="BXP116" s="17"/>
      <c r="BXQ116" s="17"/>
      <c r="BXR116" s="17"/>
      <c r="BXS116" s="17"/>
      <c r="BXT116" s="17"/>
      <c r="BXU116" s="17"/>
      <c r="BXV116" s="17"/>
      <c r="BXW116" s="17"/>
      <c r="BXX116" s="17"/>
      <c r="BXY116" s="17"/>
      <c r="BXZ116" s="17"/>
      <c r="BYA116" s="17"/>
      <c r="BYB116" s="17"/>
      <c r="BYC116" s="17"/>
      <c r="BYD116" s="17"/>
      <c r="BYE116" s="17"/>
      <c r="BYF116" s="17"/>
      <c r="BYG116" s="17"/>
      <c r="BYH116" s="17"/>
      <c r="BYI116" s="17"/>
      <c r="BYJ116" s="17"/>
      <c r="BYK116" s="17"/>
      <c r="BYL116" s="17"/>
      <c r="BYM116" s="17"/>
      <c r="BYN116" s="17"/>
      <c r="BYO116" s="17"/>
      <c r="BYP116" s="17"/>
      <c r="BYQ116" s="17"/>
      <c r="BYR116" s="17"/>
      <c r="BYS116" s="17"/>
      <c r="BYT116" s="17"/>
      <c r="BYU116" s="17"/>
      <c r="BYV116" s="17"/>
      <c r="BYW116" s="17"/>
      <c r="BYX116" s="17"/>
      <c r="BYY116" s="17"/>
      <c r="BYZ116" s="17"/>
      <c r="BZA116" s="17"/>
      <c r="BZB116" s="17"/>
      <c r="BZC116" s="17"/>
      <c r="BZD116" s="17"/>
      <c r="BZE116" s="17"/>
      <c r="BZF116" s="17"/>
      <c r="BZG116" s="17"/>
      <c r="BZH116" s="17"/>
      <c r="BZI116" s="17"/>
      <c r="BZJ116" s="17"/>
      <c r="BZK116" s="17"/>
      <c r="BZL116" s="17"/>
      <c r="BZM116" s="17"/>
      <c r="BZN116" s="17"/>
      <c r="BZO116" s="17"/>
      <c r="BZP116" s="17"/>
      <c r="BZQ116" s="17"/>
      <c r="BZR116" s="17"/>
      <c r="BZS116" s="17"/>
      <c r="BZT116" s="17"/>
      <c r="BZU116" s="17"/>
      <c r="BZV116" s="17"/>
      <c r="BZW116" s="17"/>
      <c r="BZX116" s="17"/>
      <c r="BZY116" s="17"/>
      <c r="BZZ116" s="17"/>
      <c r="CAA116" s="17"/>
      <c r="CAB116" s="17"/>
      <c r="CAC116" s="17"/>
      <c r="CAD116" s="17"/>
      <c r="CAE116" s="17"/>
      <c r="CAF116" s="17"/>
      <c r="CAG116" s="17"/>
      <c r="CAH116" s="17"/>
      <c r="CAI116" s="17"/>
      <c r="CAJ116" s="17"/>
      <c r="CAK116" s="17"/>
      <c r="CAL116" s="17"/>
      <c r="CAM116" s="17"/>
      <c r="CAN116" s="17"/>
      <c r="CAO116" s="17"/>
      <c r="CAP116" s="17"/>
      <c r="CAQ116" s="17"/>
      <c r="CAR116" s="17"/>
      <c r="CAS116" s="17"/>
      <c r="CAT116" s="17"/>
      <c r="CAU116" s="17"/>
      <c r="CAV116" s="17"/>
      <c r="CAW116" s="17"/>
      <c r="CAX116" s="17"/>
      <c r="CAY116" s="17"/>
      <c r="CAZ116" s="17"/>
      <c r="CBA116" s="17"/>
      <c r="CBB116" s="17"/>
      <c r="CBC116" s="17"/>
      <c r="CBD116" s="17"/>
      <c r="CBE116" s="17"/>
      <c r="CBF116" s="17"/>
      <c r="CBG116" s="17"/>
      <c r="CBH116" s="17"/>
      <c r="CBI116" s="17"/>
      <c r="CBJ116" s="17"/>
      <c r="CBK116" s="17"/>
      <c r="CBL116" s="17"/>
      <c r="CBM116" s="17"/>
      <c r="CBN116" s="17"/>
      <c r="CBO116" s="17"/>
      <c r="CBP116" s="17"/>
      <c r="CBQ116" s="17"/>
      <c r="CBR116" s="17"/>
      <c r="CBS116" s="17"/>
      <c r="CBT116" s="17"/>
      <c r="CBU116" s="17"/>
      <c r="CBV116" s="17"/>
      <c r="CBW116" s="17"/>
      <c r="CBX116" s="17"/>
      <c r="CBY116" s="17"/>
      <c r="CBZ116" s="17"/>
      <c r="CCA116" s="17"/>
      <c r="CCB116" s="17"/>
      <c r="CCC116" s="17"/>
      <c r="CCD116" s="17"/>
      <c r="CCE116" s="17"/>
      <c r="CCF116" s="17"/>
      <c r="CCG116" s="17"/>
      <c r="CCH116" s="17"/>
      <c r="CCI116" s="17"/>
      <c r="CCJ116" s="17"/>
      <c r="CCK116" s="17"/>
      <c r="CCL116" s="17"/>
      <c r="CCM116" s="17"/>
      <c r="CCN116" s="17"/>
      <c r="CCO116" s="17"/>
      <c r="CCP116" s="17"/>
      <c r="CCQ116" s="17"/>
      <c r="CCR116" s="17"/>
      <c r="CCS116" s="17"/>
      <c r="CCT116" s="17"/>
      <c r="CCU116" s="17"/>
      <c r="CCV116" s="17"/>
      <c r="CCW116" s="17"/>
      <c r="CCX116" s="17"/>
      <c r="CCY116" s="17"/>
      <c r="CCZ116" s="17"/>
      <c r="CDA116" s="17"/>
      <c r="CDB116" s="17"/>
      <c r="CDC116" s="17"/>
      <c r="CDD116" s="17"/>
      <c r="CDE116" s="17"/>
      <c r="CDF116" s="17"/>
      <c r="CDG116" s="17"/>
      <c r="CDH116" s="17"/>
      <c r="CDI116" s="17"/>
      <c r="CDJ116" s="17"/>
      <c r="CDK116" s="17"/>
      <c r="CDL116" s="17"/>
      <c r="CDM116" s="17"/>
      <c r="CDN116" s="17"/>
      <c r="CDO116" s="17"/>
      <c r="CDP116" s="17"/>
      <c r="CDQ116" s="17"/>
      <c r="CDR116" s="17"/>
      <c r="CDS116" s="17"/>
      <c r="CDT116" s="17"/>
      <c r="CDU116" s="17"/>
      <c r="CDV116" s="17"/>
      <c r="CDW116" s="17"/>
      <c r="CDX116" s="17"/>
      <c r="CDY116" s="17"/>
      <c r="CDZ116" s="17"/>
      <c r="CEA116" s="17"/>
      <c r="CEB116" s="17"/>
      <c r="CEC116" s="17"/>
      <c r="CED116" s="17"/>
      <c r="CEE116" s="17"/>
      <c r="CEF116" s="17"/>
      <c r="CEG116" s="17"/>
      <c r="CEH116" s="17"/>
      <c r="CEI116" s="17"/>
      <c r="CEJ116" s="17"/>
      <c r="CEK116" s="17"/>
      <c r="CEL116" s="17"/>
      <c r="CEM116" s="17"/>
      <c r="CEN116" s="17"/>
      <c r="CEO116" s="17"/>
      <c r="CEP116" s="17"/>
      <c r="CEQ116" s="17"/>
      <c r="CER116" s="17"/>
      <c r="CES116" s="17"/>
      <c r="CET116" s="17"/>
      <c r="CEU116" s="17"/>
      <c r="CEV116" s="17"/>
      <c r="CEW116" s="17"/>
      <c r="CEX116" s="17"/>
      <c r="CEY116" s="17"/>
      <c r="CEZ116" s="17"/>
      <c r="CFA116" s="17"/>
      <c r="CFB116" s="17"/>
      <c r="CFC116" s="17"/>
      <c r="CFD116" s="17"/>
      <c r="CFE116" s="17"/>
      <c r="CFF116" s="17"/>
      <c r="CFG116" s="17"/>
      <c r="CFH116" s="17"/>
      <c r="CFI116" s="17"/>
      <c r="CFJ116" s="17"/>
      <c r="CFK116" s="17"/>
      <c r="CFL116" s="17"/>
      <c r="CFM116" s="17"/>
      <c r="CFN116" s="17"/>
      <c r="CFO116" s="17"/>
      <c r="CFP116" s="17"/>
      <c r="CFQ116" s="17"/>
      <c r="CFR116" s="17"/>
      <c r="CFS116" s="17"/>
      <c r="CFT116" s="17"/>
      <c r="CFU116" s="17"/>
      <c r="CFV116" s="17"/>
      <c r="CFW116" s="17"/>
      <c r="CFX116" s="17"/>
      <c r="CFY116" s="17"/>
      <c r="CFZ116" s="17"/>
      <c r="CGA116" s="17"/>
      <c r="CGB116" s="17"/>
      <c r="CGC116" s="17"/>
      <c r="CGD116" s="17"/>
      <c r="CGE116" s="17"/>
      <c r="CGF116" s="17"/>
      <c r="CGG116" s="17"/>
      <c r="CGH116" s="17"/>
      <c r="CGI116" s="17"/>
      <c r="CGJ116" s="17"/>
      <c r="CGK116" s="17"/>
      <c r="CGL116" s="17"/>
      <c r="CGM116" s="17"/>
      <c r="CGN116" s="17"/>
      <c r="CGO116" s="17"/>
      <c r="CGP116" s="17"/>
      <c r="CGQ116" s="17"/>
      <c r="CGR116" s="17"/>
      <c r="CGS116" s="17"/>
      <c r="CGT116" s="17"/>
      <c r="CGU116" s="17"/>
      <c r="CGV116" s="17"/>
      <c r="CGW116" s="17"/>
      <c r="CGX116" s="17"/>
      <c r="CGY116" s="17"/>
      <c r="CGZ116" s="17"/>
      <c r="CHA116" s="17"/>
      <c r="CHB116" s="17"/>
      <c r="CHC116" s="17"/>
      <c r="CHD116" s="17"/>
      <c r="CHE116" s="17"/>
      <c r="CHF116" s="17"/>
      <c r="CHG116" s="17"/>
      <c r="CHH116" s="17"/>
      <c r="CHI116" s="17"/>
      <c r="CHJ116" s="17"/>
      <c r="CHK116" s="17"/>
      <c r="CHL116" s="17"/>
      <c r="CHM116" s="17"/>
      <c r="CHN116" s="17"/>
      <c r="CHO116" s="17"/>
      <c r="CHP116" s="17"/>
      <c r="CHQ116" s="17"/>
      <c r="CHR116" s="17"/>
      <c r="CHS116" s="17"/>
      <c r="CHT116" s="17"/>
      <c r="CHU116" s="17"/>
      <c r="CHV116" s="17"/>
      <c r="CHW116" s="17"/>
      <c r="CHX116" s="17"/>
      <c r="CHY116" s="17"/>
      <c r="CHZ116" s="17"/>
      <c r="CIA116" s="17"/>
      <c r="CIB116" s="17"/>
      <c r="CIC116" s="17"/>
      <c r="CID116" s="17"/>
      <c r="CIE116" s="17"/>
      <c r="CIF116" s="17"/>
      <c r="CIG116" s="17"/>
      <c r="CIH116" s="17"/>
      <c r="CII116" s="17"/>
      <c r="CIJ116" s="17"/>
      <c r="CIK116" s="17"/>
      <c r="CIL116" s="17"/>
      <c r="CIM116" s="17"/>
      <c r="CIN116" s="17"/>
      <c r="CIO116" s="17"/>
      <c r="CIP116" s="17"/>
      <c r="CIQ116" s="17"/>
      <c r="CIR116" s="17"/>
      <c r="CIS116" s="17"/>
      <c r="CIT116" s="17"/>
      <c r="CIU116" s="17"/>
      <c r="CIV116" s="17"/>
      <c r="CIW116" s="17"/>
      <c r="CIX116" s="17"/>
      <c r="CIY116" s="17"/>
      <c r="CIZ116" s="17"/>
      <c r="CJA116" s="17"/>
      <c r="CJB116" s="17"/>
      <c r="CJC116" s="17"/>
      <c r="CJD116" s="17"/>
      <c r="CJE116" s="17"/>
      <c r="CJF116" s="17"/>
      <c r="CJG116" s="17"/>
      <c r="CJH116" s="17"/>
      <c r="CJI116" s="17"/>
      <c r="CJJ116" s="17"/>
      <c r="CJK116" s="17"/>
      <c r="CJL116" s="17"/>
      <c r="CJM116" s="17"/>
      <c r="CJN116" s="17"/>
      <c r="CJO116" s="17"/>
      <c r="CJP116" s="17"/>
      <c r="CJQ116" s="17"/>
      <c r="CJR116" s="17"/>
      <c r="CJS116" s="17"/>
      <c r="CJT116" s="17"/>
      <c r="CJU116" s="17"/>
      <c r="CJV116" s="17"/>
      <c r="CJW116" s="17"/>
      <c r="CJX116" s="17"/>
      <c r="CJY116" s="17"/>
      <c r="CJZ116" s="17"/>
      <c r="CKA116" s="17"/>
      <c r="CKB116" s="17"/>
      <c r="CKC116" s="17"/>
      <c r="CKD116" s="17"/>
      <c r="CKE116" s="17"/>
      <c r="CKF116" s="17"/>
      <c r="CKG116" s="17"/>
      <c r="CKH116" s="17"/>
      <c r="CKI116" s="17"/>
      <c r="CKJ116" s="17"/>
      <c r="CKK116" s="17"/>
      <c r="CKL116" s="17"/>
      <c r="CKM116" s="17"/>
      <c r="CKN116" s="17"/>
      <c r="CKO116" s="17"/>
      <c r="CKP116" s="17"/>
      <c r="CKQ116" s="17"/>
      <c r="CKR116" s="17"/>
      <c r="CKS116" s="17"/>
      <c r="CKT116" s="17"/>
      <c r="CKU116" s="17"/>
      <c r="CKV116" s="17"/>
      <c r="CKW116" s="17"/>
      <c r="CKX116" s="17"/>
      <c r="CKY116" s="17"/>
      <c r="CKZ116" s="17"/>
      <c r="CLA116" s="17"/>
      <c r="CLB116" s="17"/>
      <c r="CLC116" s="17"/>
      <c r="CLD116" s="17"/>
      <c r="CLE116" s="17"/>
      <c r="CLF116" s="17"/>
      <c r="CLG116" s="17"/>
      <c r="CLH116" s="17"/>
      <c r="CLI116" s="17"/>
      <c r="CLJ116" s="17"/>
      <c r="CLK116" s="17"/>
      <c r="CLL116" s="17"/>
      <c r="CLM116" s="17"/>
      <c r="CLN116" s="17"/>
      <c r="CLO116" s="17"/>
      <c r="CLP116" s="17"/>
      <c r="CLQ116" s="17"/>
      <c r="CLR116" s="17"/>
      <c r="CLS116" s="17"/>
      <c r="CLT116" s="17"/>
      <c r="CLU116" s="17"/>
      <c r="CLV116" s="17"/>
      <c r="CLW116" s="17"/>
      <c r="CLX116" s="17"/>
      <c r="CLY116" s="17"/>
      <c r="CLZ116" s="17"/>
      <c r="CMA116" s="17"/>
      <c r="CMB116" s="17"/>
      <c r="CMC116" s="17"/>
      <c r="CMD116" s="17"/>
      <c r="CME116" s="17"/>
      <c r="CMF116" s="17"/>
      <c r="CMG116" s="17"/>
      <c r="CMH116" s="17"/>
      <c r="CMI116" s="17"/>
      <c r="CMJ116" s="17"/>
      <c r="CMK116" s="17"/>
      <c r="CML116" s="17"/>
      <c r="CMM116" s="17"/>
      <c r="CMN116" s="17"/>
      <c r="CMO116" s="17"/>
      <c r="CMP116" s="17"/>
      <c r="CMQ116" s="17"/>
      <c r="CMR116" s="17"/>
      <c r="CMS116" s="17"/>
      <c r="CMT116" s="17"/>
      <c r="CMU116" s="17"/>
      <c r="CMV116" s="17"/>
      <c r="CMW116" s="17"/>
      <c r="CMX116" s="17"/>
      <c r="CMY116" s="17"/>
      <c r="CMZ116" s="17"/>
      <c r="CNA116" s="17"/>
      <c r="CNB116" s="17"/>
      <c r="CNC116" s="17"/>
      <c r="CND116" s="17"/>
      <c r="CNE116" s="17"/>
      <c r="CNF116" s="17"/>
      <c r="CNG116" s="17"/>
      <c r="CNH116" s="17"/>
      <c r="CNI116" s="17"/>
      <c r="CNJ116" s="17"/>
      <c r="CNK116" s="17"/>
      <c r="CNL116" s="17"/>
      <c r="CNM116" s="17"/>
      <c r="CNN116" s="17"/>
      <c r="CNO116" s="17"/>
      <c r="CNP116" s="17"/>
      <c r="CNQ116" s="17"/>
      <c r="CNR116" s="17"/>
      <c r="CNS116" s="17"/>
      <c r="CNT116" s="17"/>
      <c r="CNU116" s="17"/>
      <c r="CNV116" s="17"/>
      <c r="CNW116" s="17"/>
      <c r="CNX116" s="17"/>
      <c r="CNY116" s="17"/>
      <c r="CNZ116" s="17"/>
      <c r="COA116" s="17"/>
      <c r="COB116" s="17"/>
      <c r="COC116" s="17"/>
      <c r="COD116" s="17"/>
      <c r="COE116" s="17"/>
      <c r="COF116" s="17"/>
      <c r="COG116" s="17"/>
      <c r="COH116" s="17"/>
      <c r="COI116" s="17"/>
      <c r="COJ116" s="17"/>
      <c r="COK116" s="17"/>
      <c r="COL116" s="17"/>
      <c r="COM116" s="17"/>
      <c r="CON116" s="17"/>
      <c r="COO116" s="17"/>
      <c r="COP116" s="17"/>
      <c r="COQ116" s="17"/>
      <c r="COR116" s="17"/>
      <c r="COS116" s="17"/>
      <c r="COT116" s="17"/>
      <c r="COU116" s="17"/>
      <c r="COV116" s="17"/>
      <c r="COW116" s="17"/>
      <c r="COX116" s="17"/>
      <c r="COY116" s="17"/>
      <c r="COZ116" s="17"/>
      <c r="CPA116" s="17"/>
      <c r="CPB116" s="17"/>
      <c r="CPC116" s="17"/>
      <c r="CPD116" s="17"/>
      <c r="CPE116" s="17"/>
      <c r="CPF116" s="17"/>
      <c r="CPG116" s="17"/>
      <c r="CPH116" s="17"/>
      <c r="CPI116" s="17"/>
      <c r="CPJ116" s="17"/>
      <c r="CPK116" s="17"/>
      <c r="CPL116" s="17"/>
      <c r="CPM116" s="17"/>
      <c r="CPN116" s="17"/>
      <c r="CPO116" s="17"/>
      <c r="CPP116" s="17"/>
      <c r="CPQ116" s="17"/>
      <c r="CPR116" s="17"/>
      <c r="CPS116" s="17"/>
      <c r="CPT116" s="17"/>
      <c r="CPU116" s="17"/>
      <c r="CPV116" s="17"/>
      <c r="CPW116" s="17"/>
      <c r="CPX116" s="17"/>
      <c r="CPY116" s="17"/>
      <c r="CPZ116" s="17"/>
      <c r="CQA116" s="17"/>
      <c r="CQB116" s="17"/>
      <c r="CQC116" s="17"/>
      <c r="CQD116" s="17"/>
      <c r="CQE116" s="17"/>
      <c r="CQF116" s="17"/>
      <c r="CQG116" s="17"/>
      <c r="CQH116" s="17"/>
      <c r="CQI116" s="17"/>
      <c r="CQJ116" s="17"/>
      <c r="CQK116" s="17"/>
      <c r="CQL116" s="17"/>
      <c r="CQM116" s="17"/>
      <c r="CQN116" s="17"/>
      <c r="CQO116" s="17"/>
      <c r="CQP116" s="17"/>
      <c r="CQQ116" s="17"/>
      <c r="CQR116" s="17"/>
      <c r="CQS116" s="17"/>
      <c r="CQT116" s="17"/>
      <c r="CQU116" s="17"/>
      <c r="CQV116" s="17"/>
      <c r="CQW116" s="17"/>
      <c r="CQX116" s="17"/>
      <c r="CQY116" s="17"/>
      <c r="CQZ116" s="17"/>
      <c r="CRA116" s="17"/>
      <c r="CRB116" s="17"/>
      <c r="CRC116" s="17"/>
      <c r="CRD116" s="17"/>
      <c r="CRE116" s="17"/>
      <c r="CRF116" s="17"/>
      <c r="CRG116" s="17"/>
      <c r="CRH116" s="17"/>
      <c r="CRI116" s="17"/>
      <c r="CRJ116" s="17"/>
      <c r="CRK116" s="17"/>
      <c r="CRL116" s="17"/>
      <c r="CRM116" s="17"/>
      <c r="CRN116" s="17"/>
      <c r="CRO116" s="17"/>
      <c r="CRP116" s="17"/>
      <c r="CRQ116" s="17"/>
      <c r="CRR116" s="17"/>
      <c r="CRS116" s="17"/>
      <c r="CRT116" s="17"/>
      <c r="CRU116" s="17"/>
      <c r="CRV116" s="17"/>
      <c r="CRW116" s="17"/>
      <c r="CRX116" s="17"/>
      <c r="CRY116" s="17"/>
      <c r="CRZ116" s="17"/>
      <c r="CSA116" s="17"/>
      <c r="CSB116" s="17"/>
      <c r="CSC116" s="17"/>
      <c r="CSD116" s="17"/>
      <c r="CSE116" s="17"/>
      <c r="CSF116" s="17"/>
      <c r="CSG116" s="17"/>
      <c r="CSH116" s="17"/>
      <c r="CSI116" s="17"/>
      <c r="CSJ116" s="17"/>
      <c r="CSK116" s="17"/>
      <c r="CSL116" s="17"/>
      <c r="CSM116" s="17"/>
      <c r="CSN116" s="17"/>
      <c r="CSO116" s="17"/>
      <c r="CSP116" s="17"/>
      <c r="CSQ116" s="17"/>
      <c r="CSR116" s="17"/>
      <c r="CSS116" s="17"/>
      <c r="CST116" s="17"/>
      <c r="CSU116" s="17"/>
      <c r="CSV116" s="17"/>
      <c r="CSW116" s="17"/>
      <c r="CSX116" s="17"/>
      <c r="CSY116" s="17"/>
      <c r="CSZ116" s="17"/>
      <c r="CTA116" s="17"/>
      <c r="CTB116" s="17"/>
      <c r="CTC116" s="17"/>
      <c r="CTD116" s="17"/>
      <c r="CTE116" s="17"/>
      <c r="CTF116" s="17"/>
      <c r="CTG116" s="17"/>
      <c r="CTH116" s="17"/>
      <c r="CTI116" s="17"/>
      <c r="CTJ116" s="17"/>
      <c r="CTK116" s="17"/>
      <c r="CTL116" s="17"/>
      <c r="CTM116" s="17"/>
      <c r="CTN116" s="17"/>
      <c r="CTO116" s="17"/>
      <c r="CTP116" s="17"/>
      <c r="CTQ116" s="17"/>
      <c r="CTR116" s="17"/>
      <c r="CTS116" s="17"/>
      <c r="CTT116" s="17"/>
      <c r="CTU116" s="17"/>
      <c r="CTV116" s="17"/>
      <c r="CTW116" s="17"/>
      <c r="CTX116" s="17"/>
      <c r="CTY116" s="17"/>
      <c r="CTZ116" s="17"/>
      <c r="CUA116" s="17"/>
      <c r="CUB116" s="17"/>
      <c r="CUC116" s="17"/>
      <c r="CUD116" s="17"/>
      <c r="CUE116" s="17"/>
      <c r="CUF116" s="17"/>
      <c r="CUG116" s="17"/>
      <c r="CUH116" s="17"/>
      <c r="CUI116" s="17"/>
      <c r="CUJ116" s="17"/>
      <c r="CUK116" s="17"/>
      <c r="CUL116" s="17"/>
      <c r="CUM116" s="17"/>
      <c r="CUN116" s="17"/>
      <c r="CUO116" s="17"/>
      <c r="CUP116" s="17"/>
      <c r="CUQ116" s="17"/>
      <c r="CUR116" s="17"/>
      <c r="CUS116" s="17"/>
      <c r="CUT116" s="17"/>
      <c r="CUU116" s="17"/>
      <c r="CUV116" s="17"/>
      <c r="CUW116" s="17"/>
      <c r="CUX116" s="17"/>
      <c r="CUY116" s="17"/>
      <c r="CUZ116" s="17"/>
      <c r="CVA116" s="17"/>
      <c r="CVB116" s="17"/>
      <c r="CVC116" s="17"/>
      <c r="CVD116" s="17"/>
      <c r="CVE116" s="17"/>
      <c r="CVF116" s="17"/>
      <c r="CVG116" s="17"/>
      <c r="CVH116" s="17"/>
      <c r="CVI116" s="17"/>
      <c r="CVJ116" s="17"/>
      <c r="CVK116" s="17"/>
      <c r="CVL116" s="17"/>
      <c r="CVM116" s="17"/>
      <c r="CVN116" s="17"/>
      <c r="CVO116" s="17"/>
      <c r="CVP116" s="17"/>
      <c r="CVQ116" s="17"/>
      <c r="CVR116" s="17"/>
      <c r="CVS116" s="17"/>
      <c r="CVT116" s="17"/>
      <c r="CVU116" s="17"/>
      <c r="CVV116" s="17"/>
      <c r="CVW116" s="17"/>
      <c r="CVX116" s="17"/>
      <c r="CVY116" s="17"/>
      <c r="CVZ116" s="17"/>
      <c r="CWA116" s="17"/>
      <c r="CWB116" s="17"/>
      <c r="CWC116" s="17"/>
      <c r="CWD116" s="17"/>
      <c r="CWE116" s="17"/>
      <c r="CWF116" s="17"/>
      <c r="CWG116" s="17"/>
      <c r="CWH116" s="17"/>
      <c r="CWI116" s="17"/>
      <c r="CWJ116" s="17"/>
      <c r="CWK116" s="17"/>
      <c r="CWL116" s="17"/>
      <c r="CWM116" s="17"/>
      <c r="CWN116" s="17"/>
      <c r="CWO116" s="17"/>
      <c r="CWP116" s="17"/>
      <c r="CWQ116" s="17"/>
      <c r="CWR116" s="17"/>
      <c r="CWS116" s="17"/>
      <c r="CWT116" s="17"/>
      <c r="CWU116" s="17"/>
      <c r="CWV116" s="17"/>
      <c r="CWW116" s="17"/>
      <c r="CWX116" s="17"/>
      <c r="CWY116" s="17"/>
      <c r="CWZ116" s="17"/>
      <c r="CXA116" s="17"/>
      <c r="CXB116" s="17"/>
      <c r="CXC116" s="17"/>
      <c r="CXD116" s="17"/>
      <c r="CXE116" s="17"/>
      <c r="CXF116" s="17"/>
      <c r="CXG116" s="17"/>
      <c r="CXH116" s="17"/>
      <c r="CXI116" s="17"/>
      <c r="CXJ116" s="17"/>
      <c r="CXK116" s="17"/>
      <c r="CXL116" s="17"/>
      <c r="CXM116" s="17"/>
      <c r="CXN116" s="17"/>
      <c r="CXO116" s="17"/>
      <c r="CXP116" s="17"/>
      <c r="CXQ116" s="17"/>
      <c r="CXR116" s="17"/>
      <c r="CXS116" s="17"/>
      <c r="CXT116" s="17"/>
      <c r="CXU116" s="17"/>
      <c r="CXV116" s="17"/>
      <c r="CXW116" s="17"/>
      <c r="CXX116" s="17"/>
      <c r="CXY116" s="17"/>
      <c r="CXZ116" s="17"/>
      <c r="CYA116" s="17"/>
      <c r="CYB116" s="17"/>
      <c r="CYC116" s="17"/>
      <c r="CYD116" s="17"/>
      <c r="CYE116" s="17"/>
      <c r="CYF116" s="17"/>
      <c r="CYG116" s="17"/>
      <c r="CYH116" s="17"/>
      <c r="CYI116" s="17"/>
      <c r="CYJ116" s="17"/>
      <c r="CYK116" s="17"/>
      <c r="CYL116" s="17"/>
      <c r="CYM116" s="17"/>
      <c r="CYN116" s="17"/>
      <c r="CYO116" s="17"/>
      <c r="CYP116" s="17"/>
      <c r="CYQ116" s="17"/>
      <c r="CYR116" s="17"/>
      <c r="CYS116" s="17"/>
      <c r="CYT116" s="17"/>
      <c r="CYU116" s="17"/>
      <c r="CYV116" s="17"/>
      <c r="CYW116" s="17"/>
      <c r="CYX116" s="17"/>
      <c r="CYY116" s="17"/>
      <c r="CYZ116" s="17"/>
      <c r="CZA116" s="17"/>
      <c r="CZB116" s="17"/>
      <c r="CZC116" s="17"/>
      <c r="CZD116" s="17"/>
      <c r="CZE116" s="17"/>
      <c r="CZF116" s="17"/>
      <c r="CZG116" s="17"/>
      <c r="CZH116" s="17"/>
      <c r="CZI116" s="17"/>
      <c r="CZJ116" s="17"/>
      <c r="CZK116" s="17"/>
      <c r="CZL116" s="17"/>
      <c r="CZM116" s="17"/>
      <c r="CZN116" s="17"/>
      <c r="CZO116" s="17"/>
      <c r="CZP116" s="17"/>
      <c r="CZQ116" s="17"/>
      <c r="CZR116" s="17"/>
      <c r="CZS116" s="17"/>
      <c r="CZT116" s="17"/>
      <c r="CZU116" s="17"/>
      <c r="CZV116" s="17"/>
      <c r="CZW116" s="17"/>
      <c r="CZX116" s="17"/>
      <c r="CZY116" s="17"/>
      <c r="CZZ116" s="17"/>
      <c r="DAA116" s="17"/>
      <c r="DAB116" s="17"/>
      <c r="DAC116" s="17"/>
      <c r="DAD116" s="17"/>
      <c r="DAE116" s="17"/>
      <c r="DAF116" s="17"/>
      <c r="DAG116" s="17"/>
      <c r="DAH116" s="17"/>
      <c r="DAI116" s="17"/>
      <c r="DAJ116" s="17"/>
      <c r="DAK116" s="17"/>
      <c r="DAL116" s="17"/>
      <c r="DAM116" s="17"/>
      <c r="DAN116" s="17"/>
      <c r="DAO116" s="17"/>
      <c r="DAP116" s="17"/>
      <c r="DAQ116" s="17"/>
      <c r="DAR116" s="17"/>
      <c r="DAS116" s="17"/>
      <c r="DAT116" s="17"/>
      <c r="DAU116" s="17"/>
      <c r="DAV116" s="17"/>
      <c r="DAW116" s="17"/>
      <c r="DAX116" s="17"/>
      <c r="DAY116" s="17"/>
      <c r="DAZ116" s="17"/>
      <c r="DBA116" s="17"/>
      <c r="DBB116" s="17"/>
      <c r="DBC116" s="17"/>
      <c r="DBD116" s="17"/>
      <c r="DBE116" s="17"/>
      <c r="DBF116" s="17"/>
      <c r="DBG116" s="17"/>
      <c r="DBH116" s="17"/>
      <c r="DBI116" s="17"/>
      <c r="DBJ116" s="17"/>
      <c r="DBK116" s="17"/>
      <c r="DBL116" s="17"/>
      <c r="DBM116" s="17"/>
      <c r="DBN116" s="17"/>
      <c r="DBO116" s="17"/>
      <c r="DBP116" s="17"/>
      <c r="DBQ116" s="17"/>
      <c r="DBR116" s="17"/>
      <c r="DBS116" s="17"/>
      <c r="DBT116" s="17"/>
      <c r="DBU116" s="17"/>
      <c r="DBV116" s="17"/>
      <c r="DBW116" s="17"/>
      <c r="DBX116" s="17"/>
      <c r="DBY116" s="17"/>
      <c r="DBZ116" s="17"/>
      <c r="DCA116" s="17"/>
      <c r="DCB116" s="17"/>
      <c r="DCC116" s="17"/>
      <c r="DCD116" s="17"/>
      <c r="DCE116" s="17"/>
      <c r="DCF116" s="17"/>
      <c r="DCG116" s="17"/>
      <c r="DCH116" s="17"/>
      <c r="DCI116" s="17"/>
      <c r="DCJ116" s="17"/>
      <c r="DCK116" s="17"/>
      <c r="DCL116" s="17"/>
      <c r="DCM116" s="17"/>
      <c r="DCN116" s="17"/>
      <c r="DCO116" s="17"/>
      <c r="DCP116" s="17"/>
      <c r="DCQ116" s="17"/>
      <c r="DCR116" s="17"/>
      <c r="DCS116" s="17"/>
      <c r="DCT116" s="17"/>
      <c r="DCU116" s="17"/>
      <c r="DCV116" s="17"/>
      <c r="DCW116" s="17"/>
      <c r="DCX116" s="17"/>
      <c r="DCY116" s="17"/>
      <c r="DCZ116" s="17"/>
      <c r="DDA116" s="17"/>
      <c r="DDB116" s="17"/>
      <c r="DDC116" s="17"/>
      <c r="DDD116" s="17"/>
      <c r="DDE116" s="17"/>
      <c r="DDF116" s="17"/>
      <c r="DDG116" s="17"/>
      <c r="DDH116" s="17"/>
      <c r="DDI116" s="17"/>
      <c r="DDJ116" s="17"/>
      <c r="DDK116" s="17"/>
      <c r="DDL116" s="17"/>
      <c r="DDM116" s="17"/>
      <c r="DDN116" s="17"/>
      <c r="DDO116" s="17"/>
      <c r="DDP116" s="17"/>
      <c r="DDQ116" s="17"/>
      <c r="DDR116" s="17"/>
      <c r="DDS116" s="17"/>
      <c r="DDT116" s="17"/>
      <c r="DDU116" s="17"/>
      <c r="DDV116" s="17"/>
      <c r="DDW116" s="17"/>
      <c r="DDX116" s="17"/>
      <c r="DDY116" s="17"/>
      <c r="DDZ116" s="17"/>
      <c r="DEA116" s="17"/>
      <c r="DEB116" s="17"/>
      <c r="DEC116" s="17"/>
      <c r="DED116" s="17"/>
      <c r="DEE116" s="17"/>
      <c r="DEF116" s="17"/>
      <c r="DEG116" s="17"/>
      <c r="DEH116" s="17"/>
      <c r="DEI116" s="17"/>
      <c r="DEJ116" s="17"/>
      <c r="DEK116" s="17"/>
      <c r="DEL116" s="17"/>
      <c r="DEM116" s="17"/>
      <c r="DEN116" s="17"/>
      <c r="DEO116" s="17"/>
      <c r="DEP116" s="17"/>
      <c r="DEQ116" s="17"/>
      <c r="DER116" s="17"/>
      <c r="DES116" s="17"/>
      <c r="DET116" s="17"/>
      <c r="DEU116" s="17"/>
      <c r="DEV116" s="17"/>
      <c r="DEW116" s="17"/>
      <c r="DEX116" s="17"/>
      <c r="DEY116" s="17"/>
      <c r="DEZ116" s="17"/>
      <c r="DFA116" s="17"/>
      <c r="DFB116" s="17"/>
      <c r="DFC116" s="17"/>
      <c r="DFD116" s="17"/>
      <c r="DFE116" s="17"/>
      <c r="DFF116" s="17"/>
      <c r="DFG116" s="17"/>
      <c r="DFH116" s="17"/>
      <c r="DFI116" s="17"/>
      <c r="DFJ116" s="17"/>
      <c r="DFK116" s="17"/>
      <c r="DFL116" s="17"/>
      <c r="DFM116" s="17"/>
      <c r="DFN116" s="17"/>
      <c r="DFO116" s="17"/>
      <c r="DFP116" s="17"/>
      <c r="DFQ116" s="17"/>
      <c r="DFR116" s="17"/>
      <c r="DFS116" s="17"/>
      <c r="DFT116" s="17"/>
      <c r="DFU116" s="17"/>
      <c r="DFV116" s="17"/>
      <c r="DFW116" s="17"/>
      <c r="DFX116" s="17"/>
      <c r="DFY116" s="17"/>
      <c r="DFZ116" s="17"/>
      <c r="DGA116" s="17"/>
      <c r="DGB116" s="17"/>
      <c r="DGC116" s="17"/>
      <c r="DGD116" s="17"/>
      <c r="DGE116" s="17"/>
      <c r="DGF116" s="17"/>
      <c r="DGG116" s="17"/>
      <c r="DGH116" s="17"/>
      <c r="DGI116" s="17"/>
      <c r="DGJ116" s="17"/>
      <c r="DGK116" s="17"/>
      <c r="DGL116" s="17"/>
      <c r="DGM116" s="17"/>
      <c r="DGN116" s="17"/>
      <c r="DGO116" s="17"/>
      <c r="DGP116" s="17"/>
      <c r="DGQ116" s="17"/>
      <c r="DGR116" s="17"/>
      <c r="DGS116" s="17"/>
      <c r="DGT116" s="17"/>
      <c r="DGU116" s="17"/>
      <c r="DGV116" s="17"/>
      <c r="DGW116" s="17"/>
      <c r="DGX116" s="17"/>
      <c r="DGY116" s="17"/>
      <c r="DGZ116" s="17"/>
      <c r="DHA116" s="17"/>
      <c r="DHB116" s="17"/>
      <c r="DHC116" s="17"/>
      <c r="DHD116" s="17"/>
      <c r="DHE116" s="17"/>
      <c r="DHF116" s="17"/>
      <c r="DHG116" s="17"/>
      <c r="DHH116" s="17"/>
      <c r="DHI116" s="17"/>
      <c r="DHJ116" s="17"/>
      <c r="DHK116" s="17"/>
      <c r="DHL116" s="17"/>
      <c r="DHM116" s="17"/>
      <c r="DHN116" s="17"/>
      <c r="DHO116" s="17"/>
      <c r="DHP116" s="17"/>
      <c r="DHQ116" s="17"/>
      <c r="DHR116" s="17"/>
      <c r="DHS116" s="17"/>
      <c r="DHT116" s="17"/>
      <c r="DHU116" s="17"/>
      <c r="DHV116" s="17"/>
      <c r="DHW116" s="17"/>
      <c r="DHX116" s="17"/>
      <c r="DHY116" s="17"/>
      <c r="DHZ116" s="17"/>
      <c r="DIA116" s="17"/>
      <c r="DIB116" s="17"/>
      <c r="DIC116" s="17"/>
      <c r="DID116" s="17"/>
      <c r="DIE116" s="17"/>
      <c r="DIF116" s="17"/>
      <c r="DIG116" s="17"/>
      <c r="DIH116" s="17"/>
      <c r="DII116" s="17"/>
      <c r="DIJ116" s="17"/>
      <c r="DIK116" s="17"/>
      <c r="DIL116" s="17"/>
      <c r="DIM116" s="17"/>
      <c r="DIN116" s="17"/>
      <c r="DIO116" s="17"/>
      <c r="DIP116" s="17"/>
      <c r="DIQ116" s="17"/>
      <c r="DIR116" s="17"/>
      <c r="DIS116" s="17"/>
      <c r="DIT116" s="17"/>
      <c r="DIU116" s="17"/>
      <c r="DIV116" s="17"/>
      <c r="DIW116" s="17"/>
      <c r="DIX116" s="17"/>
      <c r="DIY116" s="17"/>
      <c r="DIZ116" s="17"/>
      <c r="DJA116" s="17"/>
      <c r="DJB116" s="17"/>
      <c r="DJC116" s="17"/>
      <c r="DJD116" s="17"/>
      <c r="DJE116" s="17"/>
      <c r="DJF116" s="17"/>
      <c r="DJG116" s="17"/>
      <c r="DJH116" s="17"/>
      <c r="DJI116" s="17"/>
      <c r="DJJ116" s="17"/>
      <c r="DJK116" s="17"/>
      <c r="DJL116" s="17"/>
      <c r="DJM116" s="17"/>
      <c r="DJN116" s="17"/>
      <c r="DJO116" s="17"/>
      <c r="DJP116" s="17"/>
      <c r="DJQ116" s="17"/>
      <c r="DJR116" s="17"/>
      <c r="DJS116" s="17"/>
      <c r="DJT116" s="17"/>
      <c r="DJU116" s="17"/>
      <c r="DJV116" s="17"/>
      <c r="DJW116" s="17"/>
      <c r="DJX116" s="17"/>
      <c r="DJY116" s="17"/>
      <c r="DJZ116" s="17"/>
      <c r="DKA116" s="17"/>
      <c r="DKB116" s="17"/>
      <c r="DKC116" s="17"/>
      <c r="DKD116" s="17"/>
      <c r="DKE116" s="17"/>
      <c r="DKF116" s="17"/>
      <c r="DKG116" s="17"/>
      <c r="DKH116" s="17"/>
      <c r="DKI116" s="17"/>
      <c r="DKJ116" s="17"/>
      <c r="DKK116" s="17"/>
      <c r="DKL116" s="17"/>
      <c r="DKM116" s="17"/>
      <c r="DKN116" s="17"/>
      <c r="DKO116" s="17"/>
      <c r="DKP116" s="17"/>
      <c r="DKQ116" s="17"/>
      <c r="DKR116" s="17"/>
      <c r="DKS116" s="17"/>
      <c r="DKT116" s="17"/>
      <c r="DKU116" s="17"/>
      <c r="DKV116" s="17"/>
      <c r="DKW116" s="17"/>
      <c r="DKX116" s="17"/>
      <c r="DKY116" s="17"/>
      <c r="DKZ116" s="17"/>
      <c r="DLA116" s="17"/>
      <c r="DLB116" s="17"/>
      <c r="DLC116" s="17"/>
      <c r="DLD116" s="17"/>
      <c r="DLE116" s="17"/>
      <c r="DLF116" s="17"/>
      <c r="DLG116" s="17"/>
      <c r="DLH116" s="17"/>
      <c r="DLI116" s="17"/>
      <c r="DLJ116" s="17"/>
      <c r="DLK116" s="17"/>
      <c r="DLL116" s="17"/>
      <c r="DLM116" s="17"/>
      <c r="DLN116" s="17"/>
      <c r="DLO116" s="17"/>
      <c r="DLP116" s="17"/>
      <c r="DLQ116" s="17"/>
      <c r="DLR116" s="17"/>
      <c r="DLS116" s="17"/>
      <c r="DLT116" s="17"/>
      <c r="DLU116" s="17"/>
      <c r="DLV116" s="17"/>
      <c r="DLW116" s="17"/>
      <c r="DLX116" s="17"/>
      <c r="DLY116" s="17"/>
      <c r="DLZ116" s="17"/>
      <c r="DMA116" s="17"/>
      <c r="DMB116" s="17"/>
      <c r="DMC116" s="17"/>
      <c r="DMD116" s="17"/>
      <c r="DME116" s="17"/>
      <c r="DMF116" s="17"/>
      <c r="DMG116" s="17"/>
      <c r="DMH116" s="17"/>
      <c r="DMI116" s="17"/>
      <c r="DMJ116" s="17"/>
      <c r="DMK116" s="17"/>
      <c r="DML116" s="17"/>
      <c r="DMM116" s="17"/>
      <c r="DMN116" s="17"/>
      <c r="DMO116" s="17"/>
      <c r="DMP116" s="17"/>
      <c r="DMQ116" s="17"/>
      <c r="DMR116" s="17"/>
      <c r="DMS116" s="17"/>
      <c r="DMT116" s="17"/>
      <c r="DMU116" s="17"/>
      <c r="DMV116" s="17"/>
      <c r="DMW116" s="17"/>
      <c r="DMX116" s="17"/>
      <c r="DMY116" s="17"/>
      <c r="DMZ116" s="17"/>
      <c r="DNA116" s="17"/>
      <c r="DNB116" s="17"/>
      <c r="DNC116" s="17"/>
      <c r="DND116" s="17"/>
      <c r="DNE116" s="17"/>
      <c r="DNF116" s="17"/>
      <c r="DNG116" s="17"/>
      <c r="DNH116" s="17"/>
      <c r="DNI116" s="17"/>
      <c r="DNJ116" s="17"/>
      <c r="DNK116" s="17"/>
      <c r="DNL116" s="17"/>
      <c r="DNM116" s="17"/>
      <c r="DNN116" s="17"/>
      <c r="DNO116" s="17"/>
      <c r="DNP116" s="17"/>
      <c r="DNQ116" s="17"/>
      <c r="DNR116" s="17"/>
      <c r="DNS116" s="17"/>
      <c r="DNT116" s="17"/>
      <c r="DNU116" s="17"/>
      <c r="DNV116" s="17"/>
      <c r="DNW116" s="17"/>
      <c r="DNX116" s="17"/>
      <c r="DNY116" s="17"/>
      <c r="DNZ116" s="17"/>
      <c r="DOA116" s="17"/>
      <c r="DOB116" s="17"/>
      <c r="DOC116" s="17"/>
      <c r="DOD116" s="17"/>
      <c r="DOE116" s="17"/>
      <c r="DOF116" s="17"/>
      <c r="DOG116" s="17"/>
      <c r="DOH116" s="17"/>
      <c r="DOI116" s="17"/>
      <c r="DOJ116" s="17"/>
      <c r="DOK116" s="17"/>
      <c r="DOL116" s="17"/>
      <c r="DOM116" s="17"/>
      <c r="DON116" s="17"/>
      <c r="DOO116" s="17"/>
      <c r="DOP116" s="17"/>
      <c r="DOQ116" s="17"/>
      <c r="DOR116" s="17"/>
      <c r="DOS116" s="17"/>
      <c r="DOT116" s="17"/>
      <c r="DOU116" s="17"/>
      <c r="DOV116" s="17"/>
      <c r="DOW116" s="17"/>
      <c r="DOX116" s="17"/>
      <c r="DOY116" s="17"/>
      <c r="DOZ116" s="17"/>
      <c r="DPA116" s="17"/>
      <c r="DPB116" s="17"/>
      <c r="DPC116" s="17"/>
      <c r="DPD116" s="17"/>
      <c r="DPE116" s="17"/>
      <c r="DPF116" s="17"/>
      <c r="DPG116" s="17"/>
      <c r="DPH116" s="17"/>
      <c r="DPI116" s="17"/>
      <c r="DPJ116" s="17"/>
      <c r="DPK116" s="17"/>
      <c r="DPL116" s="17"/>
      <c r="DPM116" s="17"/>
      <c r="DPN116" s="17"/>
      <c r="DPO116" s="17"/>
      <c r="DPP116" s="17"/>
      <c r="DPQ116" s="17"/>
      <c r="DPR116" s="17"/>
      <c r="DPS116" s="17"/>
      <c r="DPT116" s="17"/>
      <c r="DPU116" s="17"/>
      <c r="DPV116" s="17"/>
      <c r="DPW116" s="17"/>
      <c r="DPX116" s="17"/>
      <c r="DPY116" s="17"/>
      <c r="DPZ116" s="17"/>
      <c r="DQA116" s="17"/>
      <c r="DQB116" s="17"/>
      <c r="DQC116" s="17"/>
      <c r="DQD116" s="17"/>
      <c r="DQE116" s="17"/>
      <c r="DQF116" s="17"/>
      <c r="DQG116" s="17"/>
      <c r="DQH116" s="17"/>
      <c r="DQI116" s="17"/>
      <c r="DQJ116" s="17"/>
      <c r="DQK116" s="17"/>
      <c r="DQL116" s="17"/>
      <c r="DQM116" s="17"/>
      <c r="DQN116" s="17"/>
      <c r="DQO116" s="17"/>
      <c r="DQP116" s="17"/>
      <c r="DQQ116" s="17"/>
      <c r="DQR116" s="17"/>
      <c r="DQS116" s="17"/>
      <c r="DQT116" s="17"/>
      <c r="DQU116" s="17"/>
      <c r="DQV116" s="17"/>
      <c r="DQW116" s="17"/>
      <c r="DQX116" s="17"/>
      <c r="DQY116" s="17"/>
      <c r="DQZ116" s="17"/>
      <c r="DRA116" s="17"/>
      <c r="DRB116" s="17"/>
      <c r="DRC116" s="17"/>
      <c r="DRD116" s="17"/>
      <c r="DRE116" s="17"/>
      <c r="DRF116" s="17"/>
      <c r="DRG116" s="17"/>
      <c r="DRH116" s="17"/>
      <c r="DRI116" s="17"/>
      <c r="DRJ116" s="17"/>
      <c r="DRK116" s="17"/>
      <c r="DRL116" s="17"/>
      <c r="DRM116" s="17"/>
      <c r="DRN116" s="17"/>
      <c r="DRO116" s="17"/>
      <c r="DRP116" s="17"/>
      <c r="DRQ116" s="17"/>
      <c r="DRR116" s="17"/>
      <c r="DRS116" s="17"/>
      <c r="DRT116" s="17"/>
      <c r="DRU116" s="17"/>
      <c r="DRV116" s="17"/>
      <c r="DRW116" s="17"/>
      <c r="DRX116" s="17"/>
      <c r="DRY116" s="17"/>
      <c r="DRZ116" s="17"/>
      <c r="DSA116" s="17"/>
      <c r="DSB116" s="17"/>
      <c r="DSC116" s="17"/>
      <c r="DSD116" s="17"/>
      <c r="DSE116" s="17"/>
      <c r="DSF116" s="17"/>
      <c r="DSG116" s="17"/>
      <c r="DSH116" s="17"/>
      <c r="DSI116" s="17"/>
      <c r="DSJ116" s="17"/>
      <c r="DSK116" s="17"/>
      <c r="DSL116" s="17"/>
      <c r="DSM116" s="17"/>
      <c r="DSN116" s="17"/>
      <c r="DSO116" s="17"/>
      <c r="DSP116" s="17"/>
      <c r="DSQ116" s="17"/>
      <c r="DSR116" s="17"/>
      <c r="DSS116" s="17"/>
      <c r="DST116" s="17"/>
      <c r="DSU116" s="17"/>
      <c r="DSV116" s="17"/>
      <c r="DSW116" s="17"/>
      <c r="DSX116" s="17"/>
      <c r="DSY116" s="17"/>
      <c r="DSZ116" s="17"/>
      <c r="DTA116" s="17"/>
      <c r="DTB116" s="17"/>
      <c r="DTC116" s="17"/>
      <c r="DTD116" s="17"/>
      <c r="DTE116" s="17"/>
      <c r="DTF116" s="17"/>
      <c r="DTG116" s="17"/>
      <c r="DTH116" s="17"/>
      <c r="DTI116" s="17"/>
      <c r="DTJ116" s="17"/>
      <c r="DTK116" s="17"/>
      <c r="DTL116" s="17"/>
      <c r="DTM116" s="17"/>
      <c r="DTN116" s="17"/>
      <c r="DTO116" s="17"/>
      <c r="DTP116" s="17"/>
      <c r="DTQ116" s="17"/>
      <c r="DTR116" s="17"/>
      <c r="DTS116" s="17"/>
      <c r="DTT116" s="17"/>
      <c r="DTU116" s="17"/>
      <c r="DTV116" s="17"/>
      <c r="DTW116" s="17"/>
      <c r="DTX116" s="17"/>
      <c r="DTY116" s="17"/>
      <c r="DTZ116" s="17"/>
      <c r="DUA116" s="17"/>
      <c r="DUB116" s="17"/>
      <c r="DUC116" s="17"/>
      <c r="DUD116" s="17"/>
      <c r="DUE116" s="17"/>
      <c r="DUF116" s="17"/>
      <c r="DUG116" s="17"/>
      <c r="DUH116" s="17"/>
      <c r="DUI116" s="17"/>
      <c r="DUJ116" s="17"/>
      <c r="DUK116" s="17"/>
      <c r="DUL116" s="17"/>
      <c r="DUM116" s="17"/>
      <c r="DUN116" s="17"/>
      <c r="DUO116" s="17"/>
      <c r="DUP116" s="17"/>
      <c r="DUQ116" s="17"/>
      <c r="DUR116" s="17"/>
      <c r="DUS116" s="17"/>
      <c r="DUT116" s="17"/>
      <c r="DUU116" s="17"/>
      <c r="DUV116" s="17"/>
      <c r="DUW116" s="17"/>
      <c r="DUX116" s="17"/>
      <c r="DUY116" s="17"/>
      <c r="DUZ116" s="17"/>
      <c r="DVA116" s="17"/>
      <c r="DVB116" s="17"/>
      <c r="DVC116" s="17"/>
      <c r="DVD116" s="17"/>
      <c r="DVE116" s="17"/>
      <c r="DVF116" s="17"/>
      <c r="DVG116" s="17"/>
      <c r="DVH116" s="17"/>
      <c r="DVI116" s="17"/>
      <c r="DVJ116" s="17"/>
      <c r="DVK116" s="17"/>
      <c r="DVL116" s="17"/>
      <c r="DVM116" s="17"/>
      <c r="DVN116" s="17"/>
      <c r="DVO116" s="17"/>
      <c r="DVP116" s="17"/>
      <c r="DVQ116" s="17"/>
      <c r="DVR116" s="17"/>
      <c r="DVS116" s="17"/>
      <c r="DVT116" s="17"/>
      <c r="DVU116" s="17"/>
      <c r="DVV116" s="17"/>
      <c r="DVW116" s="17"/>
      <c r="DVX116" s="17"/>
      <c r="DVY116" s="17"/>
      <c r="DVZ116" s="17"/>
      <c r="DWA116" s="17"/>
      <c r="DWB116" s="17"/>
      <c r="DWC116" s="17"/>
      <c r="DWD116" s="17"/>
      <c r="DWE116" s="17"/>
      <c r="DWF116" s="17"/>
      <c r="DWG116" s="17"/>
      <c r="DWH116" s="17"/>
      <c r="DWI116" s="17"/>
      <c r="DWJ116" s="17"/>
      <c r="DWK116" s="17"/>
      <c r="DWL116" s="17"/>
      <c r="DWM116" s="17"/>
      <c r="DWN116" s="17"/>
      <c r="DWO116" s="17"/>
      <c r="DWP116" s="17"/>
      <c r="DWQ116" s="17"/>
      <c r="DWR116" s="17"/>
      <c r="DWS116" s="17"/>
      <c r="DWT116" s="17"/>
      <c r="DWU116" s="17"/>
      <c r="DWV116" s="17"/>
      <c r="DWW116" s="17"/>
      <c r="DWX116" s="17"/>
      <c r="DWY116" s="17"/>
      <c r="DWZ116" s="17"/>
      <c r="DXA116" s="17"/>
      <c r="DXB116" s="17"/>
      <c r="DXC116" s="17"/>
      <c r="DXD116" s="17"/>
      <c r="DXE116" s="17"/>
      <c r="DXF116" s="17"/>
      <c r="DXG116" s="17"/>
      <c r="DXH116" s="17"/>
      <c r="DXI116" s="17"/>
      <c r="DXJ116" s="17"/>
      <c r="DXK116" s="17"/>
      <c r="DXL116" s="17"/>
      <c r="DXM116" s="17"/>
      <c r="DXN116" s="17"/>
      <c r="DXO116" s="17"/>
      <c r="DXP116" s="17"/>
      <c r="DXQ116" s="17"/>
      <c r="DXR116" s="17"/>
      <c r="DXS116" s="17"/>
      <c r="DXT116" s="17"/>
      <c r="DXU116" s="17"/>
      <c r="DXV116" s="17"/>
      <c r="DXW116" s="17"/>
      <c r="DXX116" s="17"/>
      <c r="DXY116" s="17"/>
      <c r="DXZ116" s="17"/>
      <c r="DYA116" s="17"/>
      <c r="DYB116" s="17"/>
      <c r="DYC116" s="17"/>
      <c r="DYD116" s="17"/>
      <c r="DYE116" s="17"/>
      <c r="DYF116" s="17"/>
      <c r="DYG116" s="17"/>
      <c r="DYH116" s="17"/>
      <c r="DYI116" s="17"/>
      <c r="DYJ116" s="17"/>
      <c r="DYK116" s="17"/>
      <c r="DYL116" s="17"/>
      <c r="DYM116" s="17"/>
      <c r="DYN116" s="17"/>
      <c r="DYO116" s="17"/>
      <c r="DYP116" s="17"/>
      <c r="DYQ116" s="17"/>
      <c r="DYR116" s="17"/>
      <c r="DYS116" s="17"/>
      <c r="DYT116" s="17"/>
      <c r="DYU116" s="17"/>
      <c r="DYV116" s="17"/>
      <c r="DYW116" s="17"/>
      <c r="DYX116" s="17"/>
      <c r="DYY116" s="17"/>
      <c r="DYZ116" s="17"/>
      <c r="DZA116" s="17"/>
      <c r="DZB116" s="17"/>
      <c r="DZC116" s="17"/>
      <c r="DZD116" s="17"/>
      <c r="DZE116" s="17"/>
      <c r="DZF116" s="17"/>
      <c r="DZG116" s="17"/>
      <c r="DZH116" s="17"/>
      <c r="DZI116" s="17"/>
      <c r="DZJ116" s="17"/>
      <c r="DZK116" s="17"/>
      <c r="DZL116" s="17"/>
      <c r="DZM116" s="17"/>
      <c r="DZN116" s="17"/>
      <c r="DZO116" s="17"/>
      <c r="DZP116" s="17"/>
      <c r="DZQ116" s="17"/>
      <c r="DZR116" s="17"/>
      <c r="DZS116" s="17"/>
      <c r="DZT116" s="17"/>
      <c r="DZU116" s="17"/>
      <c r="DZV116" s="17"/>
      <c r="DZW116" s="17"/>
      <c r="DZX116" s="17"/>
      <c r="DZY116" s="17"/>
      <c r="DZZ116" s="17"/>
      <c r="EAA116" s="17"/>
      <c r="EAB116" s="17"/>
      <c r="EAC116" s="17"/>
      <c r="EAD116" s="17"/>
      <c r="EAE116" s="17"/>
      <c r="EAF116" s="17"/>
      <c r="EAG116" s="17"/>
      <c r="EAH116" s="17"/>
      <c r="EAI116" s="17"/>
      <c r="EAJ116" s="17"/>
      <c r="EAK116" s="17"/>
      <c r="EAL116" s="17"/>
      <c r="EAM116" s="17"/>
      <c r="EAN116" s="17"/>
      <c r="EAO116" s="17"/>
      <c r="EAP116" s="17"/>
      <c r="EAQ116" s="17"/>
      <c r="EAR116" s="17"/>
      <c r="EAS116" s="17"/>
      <c r="EAT116" s="17"/>
      <c r="EAU116" s="17"/>
      <c r="EAV116" s="17"/>
      <c r="EAW116" s="17"/>
      <c r="EAX116" s="17"/>
      <c r="EAY116" s="17"/>
      <c r="EAZ116" s="17"/>
      <c r="EBA116" s="17"/>
      <c r="EBB116" s="17"/>
      <c r="EBC116" s="17"/>
      <c r="EBD116" s="17"/>
      <c r="EBE116" s="17"/>
      <c r="EBF116" s="17"/>
      <c r="EBG116" s="17"/>
      <c r="EBH116" s="17"/>
      <c r="EBI116" s="17"/>
      <c r="EBJ116" s="17"/>
      <c r="EBK116" s="17"/>
      <c r="EBL116" s="17"/>
      <c r="EBM116" s="17"/>
      <c r="EBN116" s="17"/>
      <c r="EBO116" s="17"/>
      <c r="EBP116" s="17"/>
      <c r="EBQ116" s="17"/>
      <c r="EBR116" s="17"/>
      <c r="EBS116" s="17"/>
      <c r="EBT116" s="17"/>
      <c r="EBU116" s="17"/>
      <c r="EBV116" s="17"/>
      <c r="EBW116" s="17"/>
      <c r="EBX116" s="17"/>
      <c r="EBY116" s="17"/>
      <c r="EBZ116" s="17"/>
      <c r="ECA116" s="17"/>
      <c r="ECB116" s="17"/>
      <c r="ECC116" s="17"/>
      <c r="ECD116" s="17"/>
      <c r="ECE116" s="17"/>
      <c r="ECF116" s="17"/>
      <c r="ECG116" s="17"/>
      <c r="ECH116" s="17"/>
      <c r="ECI116" s="17"/>
      <c r="ECJ116" s="17"/>
      <c r="ECK116" s="17"/>
      <c r="ECL116" s="17"/>
      <c r="ECM116" s="17"/>
      <c r="ECN116" s="17"/>
      <c r="ECO116" s="17"/>
      <c r="ECP116" s="17"/>
      <c r="ECQ116" s="17"/>
      <c r="ECR116" s="17"/>
      <c r="ECS116" s="17"/>
      <c r="ECT116" s="17"/>
      <c r="ECU116" s="17"/>
      <c r="ECV116" s="17"/>
      <c r="ECW116" s="17"/>
      <c r="ECX116" s="17"/>
      <c r="ECY116" s="17"/>
      <c r="ECZ116" s="17"/>
      <c r="EDA116" s="17"/>
      <c r="EDB116" s="17"/>
      <c r="EDC116" s="17"/>
      <c r="EDD116" s="17"/>
      <c r="EDE116" s="17"/>
      <c r="EDF116" s="17"/>
      <c r="EDG116" s="17"/>
      <c r="EDH116" s="17"/>
      <c r="EDI116" s="17"/>
      <c r="EDJ116" s="17"/>
      <c r="EDK116" s="17"/>
      <c r="EDL116" s="17"/>
      <c r="EDM116" s="17"/>
      <c r="EDN116" s="17"/>
      <c r="EDO116" s="17"/>
      <c r="EDP116" s="17"/>
      <c r="EDQ116" s="17"/>
      <c r="EDR116" s="17"/>
      <c r="EDS116" s="17"/>
      <c r="EDT116" s="17"/>
      <c r="EDU116" s="17"/>
      <c r="EDV116" s="17"/>
      <c r="EDW116" s="17"/>
      <c r="EDX116" s="17"/>
      <c r="EDY116" s="17"/>
      <c r="EDZ116" s="17"/>
      <c r="EEA116" s="17"/>
      <c r="EEB116" s="17"/>
      <c r="EEC116" s="17"/>
      <c r="EED116" s="17"/>
      <c r="EEE116" s="17"/>
      <c r="EEF116" s="17"/>
      <c r="EEG116" s="17"/>
      <c r="EEH116" s="17"/>
      <c r="EEI116" s="17"/>
      <c r="EEJ116" s="17"/>
      <c r="EEK116" s="17"/>
      <c r="EEL116" s="17"/>
      <c r="EEM116" s="17"/>
      <c r="EEN116" s="17"/>
      <c r="EEO116" s="17"/>
      <c r="EEP116" s="17"/>
      <c r="EEQ116" s="17"/>
      <c r="EER116" s="17"/>
      <c r="EES116" s="17"/>
      <c r="EET116" s="17"/>
      <c r="EEU116" s="17"/>
      <c r="EEV116" s="17"/>
      <c r="EEW116" s="17"/>
      <c r="EEX116" s="17"/>
      <c r="EEY116" s="17"/>
      <c r="EEZ116" s="17"/>
      <c r="EFA116" s="17"/>
      <c r="EFB116" s="17"/>
      <c r="EFC116" s="17"/>
      <c r="EFD116" s="17"/>
      <c r="EFE116" s="17"/>
      <c r="EFF116" s="17"/>
      <c r="EFG116" s="17"/>
      <c r="EFH116" s="17"/>
      <c r="EFI116" s="17"/>
      <c r="EFJ116" s="17"/>
      <c r="EFK116" s="17"/>
      <c r="EFL116" s="17"/>
      <c r="EFM116" s="17"/>
      <c r="EFN116" s="17"/>
      <c r="EFO116" s="17"/>
      <c r="EFP116" s="17"/>
      <c r="EFQ116" s="17"/>
      <c r="EFR116" s="17"/>
      <c r="EFS116" s="17"/>
      <c r="EFT116" s="17"/>
      <c r="EFU116" s="17"/>
      <c r="EFV116" s="17"/>
      <c r="EFW116" s="17"/>
      <c r="EFX116" s="17"/>
      <c r="EFY116" s="17"/>
      <c r="EFZ116" s="17"/>
      <c r="EGA116" s="17"/>
      <c r="EGB116" s="17"/>
      <c r="EGC116" s="17"/>
      <c r="EGD116" s="17"/>
      <c r="EGE116" s="17"/>
      <c r="EGF116" s="17"/>
      <c r="EGG116" s="17"/>
      <c r="EGH116" s="17"/>
      <c r="EGI116" s="17"/>
      <c r="EGJ116" s="17"/>
      <c r="EGK116" s="17"/>
      <c r="EGL116" s="17"/>
      <c r="EGM116" s="17"/>
      <c r="EGN116" s="17"/>
      <c r="EGO116" s="17"/>
      <c r="EGP116" s="17"/>
      <c r="EGQ116" s="17"/>
      <c r="EGR116" s="17"/>
      <c r="EGS116" s="17"/>
      <c r="EGT116" s="17"/>
      <c r="EGU116" s="17"/>
      <c r="EGV116" s="17"/>
      <c r="EGW116" s="17"/>
      <c r="EGX116" s="17"/>
      <c r="EGY116" s="17"/>
      <c r="EGZ116" s="17"/>
      <c r="EHA116" s="17"/>
      <c r="EHB116" s="17"/>
      <c r="EHC116" s="17"/>
      <c r="EHD116" s="17"/>
      <c r="EHE116" s="17"/>
      <c r="EHF116" s="17"/>
      <c r="EHG116" s="17"/>
      <c r="EHH116" s="17"/>
      <c r="EHI116" s="17"/>
      <c r="EHJ116" s="17"/>
      <c r="EHK116" s="17"/>
      <c r="EHL116" s="17"/>
      <c r="EHM116" s="17"/>
      <c r="EHN116" s="17"/>
      <c r="EHO116" s="17"/>
      <c r="EHP116" s="17"/>
      <c r="EHQ116" s="17"/>
      <c r="EHR116" s="17"/>
      <c r="EHS116" s="17"/>
      <c r="EHT116" s="17"/>
      <c r="EHU116" s="17"/>
      <c r="EHV116" s="17"/>
      <c r="EHW116" s="17"/>
      <c r="EHX116" s="17"/>
      <c r="EHY116" s="17"/>
      <c r="EHZ116" s="17"/>
      <c r="EIA116" s="17"/>
      <c r="EIB116" s="17"/>
      <c r="EIC116" s="17"/>
      <c r="EID116" s="17"/>
      <c r="EIE116" s="17"/>
      <c r="EIF116" s="17"/>
      <c r="EIG116" s="17"/>
      <c r="EIH116" s="17"/>
      <c r="EII116" s="17"/>
      <c r="EIJ116" s="17"/>
      <c r="EIK116" s="17"/>
      <c r="EIL116" s="17"/>
      <c r="EIM116" s="17"/>
      <c r="EIN116" s="17"/>
      <c r="EIO116" s="17"/>
      <c r="EIP116" s="17"/>
      <c r="EIQ116" s="17"/>
      <c r="EIR116" s="17"/>
      <c r="EIS116" s="17"/>
      <c r="EIT116" s="17"/>
      <c r="EIU116" s="17"/>
      <c r="EIV116" s="17"/>
      <c r="EIW116" s="17"/>
      <c r="EIX116" s="17"/>
      <c r="EIY116" s="17"/>
      <c r="EIZ116" s="17"/>
      <c r="EJA116" s="17"/>
      <c r="EJB116" s="17"/>
      <c r="EJC116" s="17"/>
      <c r="EJD116" s="17"/>
      <c r="EJE116" s="17"/>
      <c r="EJF116" s="17"/>
      <c r="EJG116" s="17"/>
      <c r="EJH116" s="17"/>
      <c r="EJI116" s="17"/>
      <c r="EJJ116" s="17"/>
      <c r="EJK116" s="17"/>
      <c r="EJL116" s="17"/>
      <c r="EJM116" s="17"/>
      <c r="EJN116" s="17"/>
      <c r="EJO116" s="17"/>
      <c r="EJP116" s="17"/>
      <c r="EJQ116" s="17"/>
      <c r="EJR116" s="17"/>
      <c r="EJS116" s="17"/>
      <c r="EJT116" s="17"/>
      <c r="EJU116" s="17"/>
      <c r="EJV116" s="17"/>
      <c r="EJW116" s="17"/>
      <c r="EJX116" s="17"/>
      <c r="EJY116" s="17"/>
      <c r="EJZ116" s="17"/>
      <c r="EKA116" s="17"/>
      <c r="EKB116" s="17"/>
      <c r="EKC116" s="17"/>
      <c r="EKD116" s="17"/>
      <c r="EKE116" s="17"/>
      <c r="EKF116" s="17"/>
      <c r="EKG116" s="17"/>
      <c r="EKH116" s="17"/>
      <c r="EKI116" s="17"/>
      <c r="EKJ116" s="17"/>
      <c r="EKK116" s="17"/>
      <c r="EKL116" s="17"/>
      <c r="EKM116" s="17"/>
      <c r="EKN116" s="17"/>
      <c r="EKO116" s="17"/>
      <c r="EKP116" s="17"/>
      <c r="EKQ116" s="17"/>
      <c r="EKR116" s="17"/>
      <c r="EKS116" s="17"/>
      <c r="EKT116" s="17"/>
      <c r="EKU116" s="17"/>
      <c r="EKV116" s="17"/>
      <c r="EKW116" s="17"/>
      <c r="EKX116" s="17"/>
      <c r="EKY116" s="17"/>
      <c r="EKZ116" s="17"/>
      <c r="ELA116" s="17"/>
      <c r="ELB116" s="17"/>
      <c r="ELC116" s="17"/>
      <c r="ELD116" s="17"/>
      <c r="ELE116" s="17"/>
      <c r="ELF116" s="17"/>
      <c r="ELG116" s="17"/>
      <c r="ELH116" s="17"/>
      <c r="ELI116" s="17"/>
      <c r="ELJ116" s="17"/>
      <c r="ELK116" s="17"/>
      <c r="ELL116" s="17"/>
      <c r="ELM116" s="17"/>
      <c r="ELN116" s="17"/>
      <c r="ELO116" s="17"/>
      <c r="ELP116" s="17"/>
      <c r="ELQ116" s="17"/>
      <c r="ELR116" s="17"/>
      <c r="ELS116" s="17"/>
      <c r="ELT116" s="17"/>
      <c r="ELU116" s="17"/>
      <c r="ELV116" s="17"/>
      <c r="ELW116" s="17"/>
      <c r="ELX116" s="17"/>
      <c r="ELY116" s="17"/>
      <c r="ELZ116" s="17"/>
      <c r="EMA116" s="17"/>
      <c r="EMB116" s="17"/>
      <c r="EMC116" s="17"/>
      <c r="EMD116" s="17"/>
      <c r="EME116" s="17"/>
      <c r="EMF116" s="17"/>
      <c r="EMG116" s="17"/>
      <c r="EMH116" s="17"/>
      <c r="EMI116" s="17"/>
      <c r="EMJ116" s="17"/>
      <c r="EMK116" s="17"/>
      <c r="EML116" s="17"/>
      <c r="EMM116" s="17"/>
      <c r="EMN116" s="17"/>
      <c r="EMO116" s="17"/>
      <c r="EMP116" s="17"/>
      <c r="EMQ116" s="17"/>
      <c r="EMR116" s="17"/>
      <c r="EMS116" s="17"/>
      <c r="EMT116" s="17"/>
      <c r="EMU116" s="17"/>
      <c r="EMV116" s="17"/>
      <c r="EMW116" s="17"/>
      <c r="EMX116" s="17"/>
      <c r="EMY116" s="17"/>
      <c r="EMZ116" s="17"/>
      <c r="ENA116" s="17"/>
      <c r="ENB116" s="17"/>
      <c r="ENC116" s="17"/>
      <c r="END116" s="17"/>
      <c r="ENE116" s="17"/>
      <c r="ENF116" s="17"/>
      <c r="ENG116" s="17"/>
      <c r="ENH116" s="17"/>
      <c r="ENI116" s="17"/>
      <c r="ENJ116" s="17"/>
      <c r="ENK116" s="17"/>
      <c r="ENL116" s="17"/>
      <c r="ENM116" s="17"/>
      <c r="ENN116" s="17"/>
      <c r="ENO116" s="17"/>
      <c r="ENP116" s="17"/>
      <c r="ENQ116" s="17"/>
      <c r="ENR116" s="17"/>
      <c r="ENS116" s="17"/>
      <c r="ENT116" s="17"/>
      <c r="ENU116" s="17"/>
      <c r="ENV116" s="17"/>
      <c r="ENW116" s="17"/>
      <c r="ENX116" s="17"/>
      <c r="ENY116" s="17"/>
      <c r="ENZ116" s="17"/>
      <c r="EOA116" s="17"/>
      <c r="EOB116" s="17"/>
      <c r="EOC116" s="17"/>
      <c r="EOD116" s="17"/>
      <c r="EOE116" s="17"/>
      <c r="EOF116" s="17"/>
      <c r="EOG116" s="17"/>
      <c r="EOH116" s="17"/>
      <c r="EOI116" s="17"/>
      <c r="EOJ116" s="17"/>
      <c r="EOK116" s="17"/>
      <c r="EOL116" s="17"/>
      <c r="EOM116" s="17"/>
      <c r="EON116" s="17"/>
      <c r="EOO116" s="17"/>
      <c r="EOP116" s="17"/>
      <c r="EOQ116" s="17"/>
      <c r="EOR116" s="17"/>
      <c r="EOS116" s="17"/>
      <c r="EOT116" s="17"/>
      <c r="EOU116" s="17"/>
      <c r="EOV116" s="17"/>
      <c r="EOW116" s="17"/>
      <c r="EOX116" s="17"/>
      <c r="EOY116" s="17"/>
      <c r="EOZ116" s="17"/>
      <c r="EPA116" s="17"/>
      <c r="EPB116" s="17"/>
      <c r="EPC116" s="17"/>
      <c r="EPD116" s="17"/>
      <c r="EPE116" s="17"/>
      <c r="EPF116" s="17"/>
      <c r="EPG116" s="17"/>
      <c r="EPH116" s="17"/>
      <c r="EPI116" s="17"/>
      <c r="EPJ116" s="17"/>
      <c r="EPK116" s="17"/>
      <c r="EPL116" s="17"/>
      <c r="EPM116" s="17"/>
      <c r="EPN116" s="17"/>
      <c r="EPO116" s="17"/>
      <c r="EPP116" s="17"/>
      <c r="EPQ116" s="17"/>
      <c r="EPR116" s="17"/>
      <c r="EPS116" s="17"/>
      <c r="EPT116" s="17"/>
      <c r="EPU116" s="17"/>
      <c r="EPV116" s="17"/>
      <c r="EPW116" s="17"/>
      <c r="EPX116" s="17"/>
      <c r="EPY116" s="17"/>
      <c r="EPZ116" s="17"/>
      <c r="EQA116" s="17"/>
      <c r="EQB116" s="17"/>
      <c r="EQC116" s="17"/>
      <c r="EQD116" s="17"/>
      <c r="EQE116" s="17"/>
      <c r="EQF116" s="17"/>
      <c r="EQG116" s="17"/>
      <c r="EQH116" s="17"/>
      <c r="EQI116" s="17"/>
      <c r="EQJ116" s="17"/>
      <c r="EQK116" s="17"/>
      <c r="EQL116" s="17"/>
      <c r="EQM116" s="17"/>
      <c r="EQN116" s="17"/>
      <c r="EQO116" s="17"/>
      <c r="EQP116" s="17"/>
      <c r="EQQ116" s="17"/>
      <c r="EQR116" s="17"/>
      <c r="EQS116" s="17"/>
      <c r="EQT116" s="17"/>
      <c r="EQU116" s="17"/>
      <c r="EQV116" s="17"/>
      <c r="EQW116" s="17"/>
      <c r="EQX116" s="17"/>
      <c r="EQY116" s="17"/>
      <c r="EQZ116" s="17"/>
      <c r="ERA116" s="17"/>
      <c r="ERB116" s="17"/>
      <c r="ERC116" s="17"/>
      <c r="ERD116" s="17"/>
      <c r="ERE116" s="17"/>
      <c r="ERF116" s="17"/>
      <c r="ERG116" s="17"/>
      <c r="ERH116" s="17"/>
      <c r="ERI116" s="17"/>
      <c r="ERJ116" s="17"/>
      <c r="ERK116" s="17"/>
      <c r="ERL116" s="17"/>
      <c r="ERM116" s="17"/>
      <c r="ERN116" s="17"/>
      <c r="ERO116" s="17"/>
      <c r="ERP116" s="17"/>
      <c r="ERQ116" s="17"/>
      <c r="ERR116" s="17"/>
      <c r="ERS116" s="17"/>
      <c r="ERT116" s="17"/>
      <c r="ERU116" s="17"/>
      <c r="ERV116" s="17"/>
      <c r="ERW116" s="17"/>
      <c r="ERX116" s="17"/>
      <c r="ERY116" s="17"/>
      <c r="ERZ116" s="17"/>
      <c r="ESA116" s="17"/>
      <c r="ESB116" s="17"/>
      <c r="ESC116" s="17"/>
      <c r="ESD116" s="17"/>
      <c r="ESE116" s="17"/>
      <c r="ESF116" s="17"/>
      <c r="ESG116" s="17"/>
      <c r="ESH116" s="17"/>
      <c r="ESI116" s="17"/>
      <c r="ESJ116" s="17"/>
      <c r="ESK116" s="17"/>
      <c r="ESL116" s="17"/>
      <c r="ESM116" s="17"/>
      <c r="ESN116" s="17"/>
      <c r="ESO116" s="17"/>
      <c r="ESP116" s="17"/>
      <c r="ESQ116" s="17"/>
      <c r="ESR116" s="17"/>
      <c r="ESS116" s="17"/>
      <c r="EST116" s="17"/>
      <c r="ESU116" s="17"/>
      <c r="ESV116" s="17"/>
      <c r="ESW116" s="17"/>
      <c r="ESX116" s="17"/>
      <c r="ESY116" s="17"/>
      <c r="ESZ116" s="17"/>
      <c r="ETA116" s="17"/>
      <c r="ETB116" s="17"/>
      <c r="ETC116" s="17"/>
      <c r="ETD116" s="17"/>
      <c r="ETE116" s="17"/>
      <c r="ETF116" s="17"/>
      <c r="ETG116" s="17"/>
      <c r="ETH116" s="17"/>
      <c r="ETI116" s="17"/>
      <c r="ETJ116" s="17"/>
      <c r="ETK116" s="17"/>
      <c r="ETL116" s="17"/>
      <c r="ETM116" s="17"/>
      <c r="ETN116" s="17"/>
      <c r="ETO116" s="17"/>
      <c r="ETP116" s="17"/>
      <c r="ETQ116" s="17"/>
      <c r="ETR116" s="17"/>
      <c r="ETS116" s="17"/>
      <c r="ETT116" s="17"/>
      <c r="ETU116" s="17"/>
      <c r="ETV116" s="17"/>
      <c r="ETW116" s="17"/>
      <c r="ETX116" s="17"/>
      <c r="ETY116" s="17"/>
      <c r="ETZ116" s="17"/>
      <c r="EUA116" s="17"/>
      <c r="EUB116" s="17"/>
      <c r="EUC116" s="17"/>
      <c r="EUD116" s="17"/>
      <c r="EUE116" s="17"/>
      <c r="EUF116" s="17"/>
      <c r="EUG116" s="17"/>
      <c r="EUH116" s="17"/>
      <c r="EUI116" s="17"/>
      <c r="EUJ116" s="17"/>
      <c r="EUK116" s="17"/>
      <c r="EUL116" s="17"/>
      <c r="EUM116" s="17"/>
      <c r="EUN116" s="17"/>
      <c r="EUO116" s="17"/>
      <c r="EUP116" s="17"/>
      <c r="EUQ116" s="17"/>
      <c r="EUR116" s="17"/>
      <c r="EUS116" s="17"/>
      <c r="EUT116" s="17"/>
      <c r="EUU116" s="17"/>
      <c r="EUV116" s="17"/>
      <c r="EUW116" s="17"/>
      <c r="EUX116" s="17"/>
      <c r="EUY116" s="17"/>
      <c r="EUZ116" s="17"/>
      <c r="EVA116" s="17"/>
      <c r="EVB116" s="17"/>
      <c r="EVC116" s="17"/>
      <c r="EVD116" s="17"/>
      <c r="EVE116" s="17"/>
      <c r="EVF116" s="17"/>
      <c r="EVG116" s="17"/>
      <c r="EVH116" s="17"/>
      <c r="EVI116" s="17"/>
      <c r="EVJ116" s="17"/>
      <c r="EVK116" s="17"/>
      <c r="EVL116" s="17"/>
      <c r="EVM116" s="17"/>
      <c r="EVN116" s="17"/>
      <c r="EVO116" s="17"/>
      <c r="EVP116" s="17"/>
      <c r="EVQ116" s="17"/>
      <c r="EVR116" s="17"/>
      <c r="EVS116" s="17"/>
      <c r="EVT116" s="17"/>
      <c r="EVU116" s="17"/>
      <c r="EVV116" s="17"/>
      <c r="EVW116" s="17"/>
      <c r="EVX116" s="17"/>
      <c r="EVY116" s="17"/>
      <c r="EVZ116" s="17"/>
      <c r="EWA116" s="17"/>
      <c r="EWB116" s="17"/>
      <c r="EWC116" s="17"/>
      <c r="EWD116" s="17"/>
      <c r="EWE116" s="17"/>
      <c r="EWF116" s="17"/>
      <c r="EWG116" s="17"/>
      <c r="EWH116" s="17"/>
      <c r="EWI116" s="17"/>
      <c r="EWJ116" s="17"/>
      <c r="EWK116" s="17"/>
      <c r="EWL116" s="17"/>
      <c r="EWM116" s="17"/>
      <c r="EWN116" s="17"/>
      <c r="EWO116" s="17"/>
      <c r="EWP116" s="17"/>
      <c r="EWQ116" s="17"/>
      <c r="EWR116" s="17"/>
      <c r="EWS116" s="17"/>
      <c r="EWT116" s="17"/>
      <c r="EWU116" s="17"/>
      <c r="EWV116" s="17"/>
      <c r="EWW116" s="17"/>
      <c r="EWX116" s="17"/>
      <c r="EWY116" s="17"/>
      <c r="EWZ116" s="17"/>
      <c r="EXA116" s="17"/>
      <c r="EXB116" s="17"/>
      <c r="EXC116" s="17"/>
      <c r="EXD116" s="17"/>
      <c r="EXE116" s="17"/>
      <c r="EXF116" s="17"/>
      <c r="EXG116" s="17"/>
      <c r="EXH116" s="17"/>
      <c r="EXI116" s="17"/>
      <c r="EXJ116" s="17"/>
      <c r="EXK116" s="17"/>
      <c r="EXL116" s="17"/>
      <c r="EXM116" s="17"/>
      <c r="EXN116" s="17"/>
      <c r="EXO116" s="17"/>
      <c r="EXP116" s="17"/>
      <c r="EXQ116" s="17"/>
      <c r="EXR116" s="17"/>
      <c r="EXS116" s="17"/>
      <c r="EXT116" s="17"/>
      <c r="EXU116" s="17"/>
      <c r="EXV116" s="17"/>
      <c r="EXW116" s="17"/>
      <c r="EXX116" s="17"/>
      <c r="EXY116" s="17"/>
      <c r="EXZ116" s="17"/>
      <c r="EYA116" s="17"/>
      <c r="EYB116" s="17"/>
      <c r="EYC116" s="17"/>
      <c r="EYD116" s="17"/>
      <c r="EYE116" s="17"/>
      <c r="EYF116" s="17"/>
      <c r="EYG116" s="17"/>
      <c r="EYH116" s="17"/>
      <c r="EYI116" s="17"/>
      <c r="EYJ116" s="17"/>
      <c r="EYK116" s="17"/>
      <c r="EYL116" s="17"/>
      <c r="EYM116" s="17"/>
      <c r="EYN116" s="17"/>
      <c r="EYO116" s="17"/>
      <c r="EYP116" s="17"/>
      <c r="EYQ116" s="17"/>
      <c r="EYR116" s="17"/>
      <c r="EYS116" s="17"/>
      <c r="EYT116" s="17"/>
      <c r="EYU116" s="17"/>
      <c r="EYV116" s="17"/>
      <c r="EYW116" s="17"/>
      <c r="EYX116" s="17"/>
      <c r="EYY116" s="17"/>
      <c r="EYZ116" s="17"/>
      <c r="EZA116" s="17"/>
      <c r="EZB116" s="17"/>
      <c r="EZC116" s="17"/>
      <c r="EZD116" s="17"/>
      <c r="EZE116" s="17"/>
      <c r="EZF116" s="17"/>
      <c r="EZG116" s="17"/>
      <c r="EZH116" s="17"/>
      <c r="EZI116" s="17"/>
      <c r="EZJ116" s="17"/>
      <c r="EZK116" s="17"/>
      <c r="EZL116" s="17"/>
      <c r="EZM116" s="17"/>
      <c r="EZN116" s="17"/>
      <c r="EZO116" s="17"/>
      <c r="EZP116" s="17"/>
      <c r="EZQ116" s="17"/>
      <c r="EZR116" s="17"/>
      <c r="EZS116" s="17"/>
      <c r="EZT116" s="17"/>
      <c r="EZU116" s="17"/>
      <c r="EZV116" s="17"/>
      <c r="EZW116" s="17"/>
      <c r="EZX116" s="17"/>
      <c r="EZY116" s="17"/>
      <c r="EZZ116" s="17"/>
      <c r="FAA116" s="17"/>
      <c r="FAB116" s="17"/>
      <c r="FAC116" s="17"/>
      <c r="FAD116" s="17"/>
      <c r="FAE116" s="17"/>
      <c r="FAF116" s="17"/>
      <c r="FAG116" s="17"/>
      <c r="FAH116" s="17"/>
      <c r="FAI116" s="17"/>
      <c r="FAJ116" s="17"/>
      <c r="FAK116" s="17"/>
      <c r="FAL116" s="17"/>
      <c r="FAM116" s="17"/>
      <c r="FAN116" s="17"/>
      <c r="FAO116" s="17"/>
      <c r="FAP116" s="17"/>
      <c r="FAQ116" s="17"/>
      <c r="FAR116" s="17"/>
      <c r="FAS116" s="17"/>
      <c r="FAT116" s="17"/>
      <c r="FAU116" s="17"/>
      <c r="FAV116" s="17"/>
      <c r="FAW116" s="17"/>
      <c r="FAX116" s="17"/>
      <c r="FAY116" s="17"/>
      <c r="FAZ116" s="17"/>
      <c r="FBA116" s="17"/>
      <c r="FBB116" s="17"/>
      <c r="FBC116" s="17"/>
      <c r="FBD116" s="17"/>
      <c r="FBE116" s="17"/>
      <c r="FBF116" s="17"/>
      <c r="FBG116" s="17"/>
      <c r="FBH116" s="17"/>
      <c r="FBI116" s="17"/>
      <c r="FBJ116" s="17"/>
      <c r="FBK116" s="17"/>
      <c r="FBL116" s="17"/>
      <c r="FBM116" s="17"/>
      <c r="FBN116" s="17"/>
      <c r="FBO116" s="17"/>
      <c r="FBP116" s="17"/>
      <c r="FBQ116" s="17"/>
      <c r="FBR116" s="17"/>
      <c r="FBS116" s="17"/>
      <c r="FBT116" s="17"/>
      <c r="FBU116" s="17"/>
      <c r="FBV116" s="17"/>
      <c r="FBW116" s="17"/>
      <c r="FBX116" s="17"/>
      <c r="FBY116" s="17"/>
      <c r="FBZ116" s="17"/>
      <c r="FCA116" s="17"/>
      <c r="FCB116" s="17"/>
      <c r="FCC116" s="17"/>
      <c r="FCD116" s="17"/>
      <c r="FCE116" s="17"/>
      <c r="FCF116" s="17"/>
      <c r="FCG116" s="17"/>
      <c r="FCH116" s="17"/>
      <c r="FCI116" s="17"/>
      <c r="FCJ116" s="17"/>
      <c r="FCK116" s="17"/>
      <c r="FCL116" s="17"/>
      <c r="FCM116" s="17"/>
      <c r="FCN116" s="17"/>
      <c r="FCO116" s="17"/>
      <c r="FCP116" s="17"/>
      <c r="FCQ116" s="17"/>
      <c r="FCR116" s="17"/>
      <c r="FCS116" s="17"/>
      <c r="FCT116" s="17"/>
      <c r="FCU116" s="17"/>
      <c r="FCV116" s="17"/>
      <c r="FCW116" s="17"/>
      <c r="FCX116" s="17"/>
      <c r="FCY116" s="17"/>
      <c r="FCZ116" s="17"/>
      <c r="FDA116" s="17"/>
      <c r="FDB116" s="17"/>
      <c r="FDC116" s="17"/>
      <c r="FDD116" s="17"/>
      <c r="FDE116" s="17"/>
      <c r="FDF116" s="17"/>
      <c r="FDG116" s="17"/>
      <c r="FDH116" s="17"/>
      <c r="FDI116" s="17"/>
      <c r="FDJ116" s="17"/>
      <c r="FDK116" s="17"/>
      <c r="FDL116" s="17"/>
      <c r="FDM116" s="17"/>
      <c r="FDN116" s="17"/>
      <c r="FDO116" s="17"/>
      <c r="FDP116" s="17"/>
      <c r="FDQ116" s="17"/>
      <c r="FDR116" s="17"/>
      <c r="FDS116" s="17"/>
      <c r="FDT116" s="17"/>
      <c r="FDU116" s="17"/>
      <c r="FDV116" s="17"/>
      <c r="FDW116" s="17"/>
      <c r="FDX116" s="17"/>
      <c r="FDY116" s="17"/>
      <c r="FDZ116" s="17"/>
      <c r="FEA116" s="17"/>
      <c r="FEB116" s="17"/>
      <c r="FEC116" s="17"/>
      <c r="FED116" s="17"/>
      <c r="FEE116" s="17"/>
      <c r="FEF116" s="17"/>
      <c r="FEG116" s="17"/>
      <c r="FEH116" s="17"/>
      <c r="FEI116" s="17"/>
      <c r="FEJ116" s="17"/>
      <c r="FEK116" s="17"/>
      <c r="FEL116" s="17"/>
      <c r="FEM116" s="17"/>
      <c r="FEN116" s="17"/>
      <c r="FEO116" s="17"/>
      <c r="FEP116" s="17"/>
      <c r="FEQ116" s="17"/>
      <c r="FER116" s="17"/>
      <c r="FES116" s="17"/>
      <c r="FET116" s="17"/>
      <c r="FEU116" s="17"/>
      <c r="FEV116" s="17"/>
      <c r="FEW116" s="17"/>
      <c r="FEX116" s="17"/>
      <c r="FEY116" s="17"/>
      <c r="FEZ116" s="17"/>
      <c r="FFA116" s="17"/>
      <c r="FFB116" s="17"/>
      <c r="FFC116" s="17"/>
      <c r="FFD116" s="17"/>
      <c r="FFE116" s="17"/>
      <c r="FFF116" s="17"/>
      <c r="FFG116" s="17"/>
      <c r="FFH116" s="17"/>
      <c r="FFI116" s="17"/>
      <c r="FFJ116" s="17"/>
      <c r="FFK116" s="17"/>
      <c r="FFL116" s="17"/>
      <c r="FFM116" s="17"/>
      <c r="FFN116" s="17"/>
      <c r="FFO116" s="17"/>
      <c r="FFP116" s="17"/>
      <c r="FFQ116" s="17"/>
      <c r="FFR116" s="17"/>
      <c r="FFS116" s="17"/>
      <c r="FFT116" s="17"/>
      <c r="FFU116" s="17"/>
      <c r="FFV116" s="17"/>
      <c r="FFW116" s="17"/>
      <c r="FFX116" s="17"/>
      <c r="FFY116" s="17"/>
      <c r="FFZ116" s="17"/>
      <c r="FGA116" s="17"/>
      <c r="FGB116" s="17"/>
      <c r="FGC116" s="17"/>
      <c r="FGD116" s="17"/>
      <c r="FGE116" s="17"/>
      <c r="FGF116" s="17"/>
      <c r="FGG116" s="17"/>
      <c r="FGH116" s="17"/>
      <c r="FGI116" s="17"/>
      <c r="FGJ116" s="17"/>
      <c r="FGK116" s="17"/>
      <c r="FGL116" s="17"/>
      <c r="FGM116" s="17"/>
      <c r="FGN116" s="17"/>
      <c r="FGO116" s="17"/>
      <c r="FGP116" s="17"/>
      <c r="FGQ116" s="17"/>
      <c r="FGR116" s="17"/>
      <c r="FGS116" s="17"/>
      <c r="FGT116" s="17"/>
      <c r="FGU116" s="17"/>
      <c r="FGV116" s="17"/>
      <c r="FGW116" s="17"/>
      <c r="FGX116" s="17"/>
      <c r="FGY116" s="17"/>
      <c r="FGZ116" s="17"/>
      <c r="FHA116" s="17"/>
      <c r="FHB116" s="17"/>
      <c r="FHC116" s="17"/>
      <c r="FHD116" s="17"/>
      <c r="FHE116" s="17"/>
      <c r="FHF116" s="17"/>
      <c r="FHG116" s="17"/>
      <c r="FHH116" s="17"/>
      <c r="FHI116" s="17"/>
      <c r="FHJ116" s="17"/>
      <c r="FHK116" s="17"/>
      <c r="FHL116" s="17"/>
      <c r="FHM116" s="17"/>
      <c r="FHN116" s="17"/>
      <c r="FHO116" s="17"/>
      <c r="FHP116" s="17"/>
      <c r="FHQ116" s="17"/>
      <c r="FHR116" s="17"/>
      <c r="FHS116" s="17"/>
      <c r="FHT116" s="17"/>
      <c r="FHU116" s="17"/>
      <c r="FHV116" s="17"/>
      <c r="FHW116" s="17"/>
      <c r="FHX116" s="17"/>
      <c r="FHY116" s="17"/>
      <c r="FHZ116" s="17"/>
      <c r="FIA116" s="17"/>
      <c r="FIB116" s="17"/>
      <c r="FIC116" s="17"/>
      <c r="FID116" s="17"/>
      <c r="FIE116" s="17"/>
      <c r="FIF116" s="17"/>
      <c r="FIG116" s="17"/>
      <c r="FIH116" s="17"/>
      <c r="FII116" s="17"/>
      <c r="FIJ116" s="17"/>
      <c r="FIK116" s="17"/>
      <c r="FIL116" s="17"/>
      <c r="FIM116" s="17"/>
      <c r="FIN116" s="17"/>
      <c r="FIO116" s="17"/>
      <c r="FIP116" s="17"/>
      <c r="FIQ116" s="17"/>
      <c r="FIR116" s="17"/>
      <c r="FIS116" s="17"/>
      <c r="FIT116" s="17"/>
      <c r="FIU116" s="17"/>
      <c r="FIV116" s="17"/>
      <c r="FIW116" s="17"/>
      <c r="FIX116" s="17"/>
      <c r="FIY116" s="17"/>
      <c r="FIZ116" s="17"/>
      <c r="FJA116" s="17"/>
      <c r="FJB116" s="17"/>
      <c r="FJC116" s="17"/>
      <c r="FJD116" s="17"/>
      <c r="FJE116" s="17"/>
      <c r="FJF116" s="17"/>
      <c r="FJG116" s="17"/>
      <c r="FJH116" s="17"/>
      <c r="FJI116" s="17"/>
      <c r="FJJ116" s="17"/>
      <c r="FJK116" s="17"/>
      <c r="FJL116" s="17"/>
      <c r="FJM116" s="17"/>
      <c r="FJN116" s="17"/>
      <c r="FJO116" s="17"/>
      <c r="FJP116" s="17"/>
      <c r="FJQ116" s="17"/>
      <c r="FJR116" s="17"/>
      <c r="FJS116" s="17"/>
      <c r="FJT116" s="17"/>
      <c r="FJU116" s="17"/>
      <c r="FJV116" s="17"/>
      <c r="FJW116" s="17"/>
      <c r="FJX116" s="17"/>
      <c r="FJY116" s="17"/>
      <c r="FJZ116" s="17"/>
      <c r="FKA116" s="17"/>
      <c r="FKB116" s="17"/>
      <c r="FKC116" s="17"/>
      <c r="FKD116" s="17"/>
      <c r="FKE116" s="17"/>
      <c r="FKF116" s="17"/>
      <c r="FKG116" s="17"/>
      <c r="FKH116" s="17"/>
      <c r="FKI116" s="17"/>
      <c r="FKJ116" s="17"/>
      <c r="FKK116" s="17"/>
      <c r="FKL116" s="17"/>
      <c r="FKM116" s="17"/>
      <c r="FKN116" s="17"/>
      <c r="FKO116" s="17"/>
      <c r="FKP116" s="17"/>
      <c r="FKQ116" s="17"/>
      <c r="FKR116" s="17"/>
      <c r="FKS116" s="17"/>
      <c r="FKT116" s="17"/>
      <c r="FKU116" s="17"/>
      <c r="FKV116" s="17"/>
      <c r="FKW116" s="17"/>
      <c r="FKX116" s="17"/>
      <c r="FKY116" s="17"/>
      <c r="FKZ116" s="17"/>
      <c r="FLA116" s="17"/>
      <c r="FLB116" s="17"/>
      <c r="FLC116" s="17"/>
      <c r="FLD116" s="17"/>
      <c r="FLE116" s="17"/>
      <c r="FLF116" s="17"/>
      <c r="FLG116" s="17"/>
      <c r="FLH116" s="17"/>
      <c r="FLI116" s="17"/>
      <c r="FLJ116" s="17"/>
      <c r="FLK116" s="17"/>
      <c r="FLL116" s="17"/>
      <c r="FLM116" s="17"/>
      <c r="FLN116" s="17"/>
      <c r="FLO116" s="17"/>
      <c r="FLP116" s="17"/>
      <c r="FLQ116" s="17"/>
      <c r="FLR116" s="17"/>
      <c r="FLS116" s="17"/>
      <c r="FLT116" s="17"/>
      <c r="FLU116" s="17"/>
      <c r="FLV116" s="17"/>
      <c r="FLW116" s="17"/>
      <c r="FLX116" s="17"/>
      <c r="FLY116" s="17"/>
      <c r="FLZ116" s="17"/>
      <c r="FMA116" s="17"/>
      <c r="FMB116" s="17"/>
      <c r="FMC116" s="17"/>
      <c r="FMD116" s="17"/>
      <c r="FME116" s="17"/>
      <c r="FMF116" s="17"/>
      <c r="FMG116" s="17"/>
      <c r="FMH116" s="17"/>
      <c r="FMI116" s="17"/>
      <c r="FMJ116" s="17"/>
      <c r="FMK116" s="17"/>
      <c r="FML116" s="17"/>
      <c r="FMM116" s="17"/>
      <c r="FMN116" s="17"/>
      <c r="FMO116" s="17"/>
      <c r="FMP116" s="17"/>
      <c r="FMQ116" s="17"/>
      <c r="FMR116" s="17"/>
      <c r="FMS116" s="17"/>
      <c r="FMT116" s="17"/>
      <c r="FMU116" s="17"/>
      <c r="FMV116" s="17"/>
      <c r="FMW116" s="17"/>
      <c r="FMX116" s="17"/>
      <c r="FMY116" s="17"/>
      <c r="FMZ116" s="17"/>
      <c r="FNA116" s="17"/>
      <c r="FNB116" s="17"/>
      <c r="FNC116" s="17"/>
      <c r="FND116" s="17"/>
      <c r="FNE116" s="17"/>
      <c r="FNF116" s="17"/>
      <c r="FNG116" s="17"/>
      <c r="FNH116" s="17"/>
      <c r="FNI116" s="17"/>
      <c r="FNJ116" s="17"/>
      <c r="FNK116" s="17"/>
      <c r="FNL116" s="17"/>
      <c r="FNM116" s="17"/>
      <c r="FNN116" s="17"/>
      <c r="FNO116" s="17"/>
      <c r="FNP116" s="17"/>
      <c r="FNQ116" s="17"/>
      <c r="FNR116" s="17"/>
      <c r="FNS116" s="17"/>
      <c r="FNT116" s="17"/>
      <c r="FNU116" s="17"/>
      <c r="FNV116" s="17"/>
      <c r="FNW116" s="17"/>
      <c r="FNX116" s="17"/>
      <c r="FNY116" s="17"/>
      <c r="FNZ116" s="17"/>
      <c r="FOA116" s="17"/>
      <c r="FOB116" s="17"/>
      <c r="FOC116" s="17"/>
      <c r="FOD116" s="17"/>
      <c r="FOE116" s="17"/>
      <c r="FOF116" s="17"/>
      <c r="FOG116" s="17"/>
      <c r="FOH116" s="17"/>
      <c r="FOI116" s="17"/>
      <c r="FOJ116" s="17"/>
      <c r="FOK116" s="17"/>
      <c r="FOL116" s="17"/>
      <c r="FOM116" s="17"/>
      <c r="FON116" s="17"/>
      <c r="FOO116" s="17"/>
      <c r="FOP116" s="17"/>
      <c r="FOQ116" s="17"/>
      <c r="FOR116" s="17"/>
      <c r="FOS116" s="17"/>
      <c r="FOT116" s="17"/>
      <c r="FOU116" s="17"/>
      <c r="FOV116" s="17"/>
      <c r="FOW116" s="17"/>
      <c r="FOX116" s="17"/>
      <c r="FOY116" s="17"/>
      <c r="FOZ116" s="17"/>
      <c r="FPA116" s="17"/>
      <c r="FPB116" s="17"/>
      <c r="FPC116" s="17"/>
      <c r="FPD116" s="17"/>
      <c r="FPE116" s="17"/>
      <c r="FPF116" s="17"/>
      <c r="FPG116" s="17"/>
      <c r="FPH116" s="17"/>
      <c r="FPI116" s="17"/>
      <c r="FPJ116" s="17"/>
      <c r="FPK116" s="17"/>
      <c r="FPL116" s="17"/>
      <c r="FPM116" s="17"/>
      <c r="FPN116" s="17"/>
      <c r="FPO116" s="17"/>
      <c r="FPP116" s="17"/>
      <c r="FPQ116" s="17"/>
      <c r="FPR116" s="17"/>
      <c r="FPS116" s="17"/>
      <c r="FPT116" s="17"/>
      <c r="FPU116" s="17"/>
      <c r="FPV116" s="17"/>
      <c r="FPW116" s="17"/>
      <c r="FPX116" s="17"/>
      <c r="FPY116" s="17"/>
      <c r="FPZ116" s="17"/>
      <c r="FQA116" s="17"/>
      <c r="FQB116" s="17"/>
      <c r="FQC116" s="17"/>
      <c r="FQD116" s="17"/>
      <c r="FQE116" s="17"/>
      <c r="FQF116" s="17"/>
      <c r="FQG116" s="17"/>
      <c r="FQH116" s="17"/>
      <c r="FQI116" s="17"/>
      <c r="FQJ116" s="17"/>
      <c r="FQK116" s="17"/>
      <c r="FQL116" s="17"/>
      <c r="FQM116" s="17"/>
      <c r="FQN116" s="17"/>
      <c r="FQO116" s="17"/>
      <c r="FQP116" s="17"/>
      <c r="FQQ116" s="17"/>
      <c r="FQR116" s="17"/>
      <c r="FQS116" s="17"/>
      <c r="FQT116" s="17"/>
      <c r="FQU116" s="17"/>
      <c r="FQV116" s="17"/>
      <c r="FQW116" s="17"/>
      <c r="FQX116" s="17"/>
      <c r="FQY116" s="17"/>
      <c r="FQZ116" s="17"/>
      <c r="FRA116" s="17"/>
      <c r="FRB116" s="17"/>
      <c r="FRC116" s="17"/>
      <c r="FRD116" s="17"/>
      <c r="FRE116" s="17"/>
      <c r="FRF116" s="17"/>
      <c r="FRG116" s="17"/>
      <c r="FRH116" s="17"/>
      <c r="FRI116" s="17"/>
      <c r="FRJ116" s="17"/>
      <c r="FRK116" s="17"/>
      <c r="FRL116" s="17"/>
      <c r="FRM116" s="17"/>
      <c r="FRN116" s="17"/>
      <c r="FRO116" s="17"/>
      <c r="FRP116" s="17"/>
      <c r="FRQ116" s="17"/>
      <c r="FRR116" s="17"/>
      <c r="FRS116" s="17"/>
      <c r="FRT116" s="17"/>
      <c r="FRU116" s="17"/>
      <c r="FRV116" s="17"/>
      <c r="FRW116" s="17"/>
      <c r="FRX116" s="17"/>
      <c r="FRY116" s="17"/>
      <c r="FRZ116" s="17"/>
      <c r="FSA116" s="17"/>
      <c r="FSB116" s="17"/>
      <c r="FSC116" s="17"/>
      <c r="FSD116" s="17"/>
      <c r="FSE116" s="17"/>
      <c r="FSF116" s="17"/>
      <c r="FSG116" s="17"/>
      <c r="FSH116" s="17"/>
      <c r="FSI116" s="17"/>
      <c r="FSJ116" s="17"/>
      <c r="FSK116" s="17"/>
      <c r="FSL116" s="17"/>
      <c r="FSM116" s="17"/>
      <c r="FSN116" s="17"/>
      <c r="FSO116" s="17"/>
      <c r="FSP116" s="17"/>
      <c r="FSQ116" s="17"/>
      <c r="FSR116" s="17"/>
      <c r="FSS116" s="17"/>
      <c r="FST116" s="17"/>
      <c r="FSU116" s="17"/>
      <c r="FSV116" s="17"/>
      <c r="FSW116" s="17"/>
      <c r="FSX116" s="17"/>
      <c r="FSY116" s="17"/>
      <c r="FSZ116" s="17"/>
      <c r="FTA116" s="17"/>
      <c r="FTB116" s="17"/>
      <c r="FTC116" s="17"/>
      <c r="FTD116" s="17"/>
      <c r="FTE116" s="17"/>
      <c r="FTF116" s="17"/>
      <c r="FTG116" s="17"/>
      <c r="FTH116" s="17"/>
      <c r="FTI116" s="17"/>
      <c r="FTJ116" s="17"/>
      <c r="FTK116" s="17"/>
      <c r="FTL116" s="17"/>
      <c r="FTM116" s="17"/>
      <c r="FTN116" s="17"/>
      <c r="FTO116" s="17"/>
      <c r="FTP116" s="17"/>
      <c r="FTQ116" s="17"/>
      <c r="FTR116" s="17"/>
      <c r="FTS116" s="17"/>
      <c r="FTT116" s="17"/>
      <c r="FTU116" s="17"/>
      <c r="FTV116" s="17"/>
      <c r="FTW116" s="17"/>
      <c r="FTX116" s="17"/>
      <c r="FTY116" s="17"/>
      <c r="FTZ116" s="17"/>
      <c r="FUA116" s="17"/>
      <c r="FUB116" s="17"/>
      <c r="FUC116" s="17"/>
      <c r="FUD116" s="17"/>
      <c r="FUE116" s="17"/>
      <c r="FUF116" s="17"/>
      <c r="FUG116" s="17"/>
      <c r="FUH116" s="17"/>
      <c r="FUI116" s="17"/>
      <c r="FUJ116" s="17"/>
      <c r="FUK116" s="17"/>
      <c r="FUL116" s="17"/>
      <c r="FUM116" s="17"/>
      <c r="FUN116" s="17"/>
      <c r="FUO116" s="17"/>
      <c r="FUP116" s="17"/>
      <c r="FUQ116" s="17"/>
      <c r="FUR116" s="17"/>
      <c r="FUS116" s="17"/>
      <c r="FUT116" s="17"/>
      <c r="FUU116" s="17"/>
      <c r="FUV116" s="17"/>
      <c r="FUW116" s="17"/>
      <c r="FUX116" s="17"/>
      <c r="FUY116" s="17"/>
      <c r="FUZ116" s="17"/>
      <c r="FVA116" s="17"/>
      <c r="FVB116" s="17"/>
      <c r="FVC116" s="17"/>
      <c r="FVD116" s="17"/>
      <c r="FVE116" s="17"/>
      <c r="FVF116" s="17"/>
      <c r="FVG116" s="17"/>
      <c r="FVH116" s="17"/>
      <c r="FVI116" s="17"/>
      <c r="FVJ116" s="17"/>
      <c r="FVK116" s="17"/>
      <c r="FVL116" s="17"/>
      <c r="FVM116" s="17"/>
      <c r="FVN116" s="17"/>
      <c r="FVO116" s="17"/>
      <c r="FVP116" s="17"/>
      <c r="FVQ116" s="17"/>
      <c r="FVR116" s="17"/>
      <c r="FVS116" s="17"/>
      <c r="FVT116" s="17"/>
      <c r="FVU116" s="17"/>
      <c r="FVV116" s="17"/>
      <c r="FVW116" s="17"/>
      <c r="FVX116" s="17"/>
      <c r="FVY116" s="17"/>
      <c r="FVZ116" s="17"/>
      <c r="FWA116" s="17"/>
      <c r="FWB116" s="17"/>
      <c r="FWC116" s="17"/>
      <c r="FWD116" s="17"/>
      <c r="FWE116" s="17"/>
      <c r="FWF116" s="17"/>
      <c r="FWG116" s="17"/>
      <c r="FWH116" s="17"/>
      <c r="FWI116" s="17"/>
      <c r="FWJ116" s="17"/>
      <c r="FWK116" s="17"/>
      <c r="FWL116" s="17"/>
      <c r="FWM116" s="17"/>
      <c r="FWN116" s="17"/>
      <c r="FWO116" s="17"/>
      <c r="FWP116" s="17"/>
      <c r="FWQ116" s="17"/>
      <c r="FWR116" s="17"/>
      <c r="FWS116" s="17"/>
      <c r="FWT116" s="17"/>
      <c r="FWU116" s="17"/>
      <c r="FWV116" s="17"/>
      <c r="FWW116" s="17"/>
      <c r="FWX116" s="17"/>
      <c r="FWY116" s="17"/>
      <c r="FWZ116" s="17"/>
      <c r="FXA116" s="17"/>
      <c r="FXB116" s="17"/>
      <c r="FXC116" s="17"/>
      <c r="FXD116" s="17"/>
      <c r="FXE116" s="17"/>
      <c r="FXF116" s="17"/>
      <c r="FXG116" s="17"/>
      <c r="FXH116" s="17"/>
      <c r="FXI116" s="17"/>
      <c r="FXJ116" s="17"/>
      <c r="FXK116" s="17"/>
      <c r="FXL116" s="17"/>
      <c r="FXM116" s="17"/>
      <c r="FXN116" s="17"/>
      <c r="FXO116" s="17"/>
      <c r="FXP116" s="17"/>
      <c r="FXQ116" s="17"/>
      <c r="FXR116" s="17"/>
      <c r="FXS116" s="17"/>
      <c r="FXT116" s="17"/>
      <c r="FXU116" s="17"/>
      <c r="FXV116" s="17"/>
      <c r="FXW116" s="17"/>
      <c r="FXX116" s="17"/>
      <c r="FXY116" s="17"/>
      <c r="FXZ116" s="17"/>
      <c r="FYA116" s="17"/>
      <c r="FYB116" s="17"/>
      <c r="FYC116" s="17"/>
      <c r="FYD116" s="17"/>
      <c r="FYE116" s="17"/>
      <c r="FYF116" s="17"/>
      <c r="FYG116" s="17"/>
      <c r="FYH116" s="17"/>
      <c r="FYI116" s="17"/>
      <c r="FYJ116" s="17"/>
      <c r="FYK116" s="17"/>
      <c r="FYL116" s="17"/>
      <c r="FYM116" s="17"/>
      <c r="FYN116" s="17"/>
      <c r="FYO116" s="17"/>
      <c r="FYP116" s="17"/>
      <c r="FYQ116" s="17"/>
      <c r="FYR116" s="17"/>
      <c r="FYS116" s="17"/>
      <c r="FYT116" s="17"/>
      <c r="FYU116" s="17"/>
      <c r="FYV116" s="17"/>
      <c r="FYW116" s="17"/>
      <c r="FYX116" s="17"/>
      <c r="FYY116" s="17"/>
      <c r="FYZ116" s="17"/>
      <c r="FZA116" s="17"/>
      <c r="FZB116" s="17"/>
      <c r="FZC116" s="17"/>
      <c r="FZD116" s="17"/>
      <c r="FZE116" s="17"/>
      <c r="FZF116" s="17"/>
      <c r="FZG116" s="17"/>
      <c r="FZH116" s="17"/>
      <c r="FZI116" s="17"/>
      <c r="FZJ116" s="17"/>
      <c r="FZK116" s="17"/>
      <c r="FZL116" s="17"/>
      <c r="FZM116" s="17"/>
      <c r="FZN116" s="17"/>
      <c r="FZO116" s="17"/>
      <c r="FZP116" s="17"/>
      <c r="FZQ116" s="17"/>
      <c r="FZR116" s="17"/>
      <c r="FZS116" s="17"/>
      <c r="FZT116" s="17"/>
      <c r="FZU116" s="17"/>
      <c r="FZV116" s="17"/>
      <c r="FZW116" s="17"/>
      <c r="FZX116" s="17"/>
      <c r="FZY116" s="17"/>
      <c r="FZZ116" s="17"/>
      <c r="GAA116" s="17"/>
      <c r="GAB116" s="17"/>
      <c r="GAC116" s="17"/>
      <c r="GAD116" s="17"/>
      <c r="GAE116" s="17"/>
      <c r="GAF116" s="17"/>
      <c r="GAG116" s="17"/>
      <c r="GAH116" s="17"/>
      <c r="GAI116" s="17"/>
      <c r="GAJ116" s="17"/>
      <c r="GAK116" s="17"/>
      <c r="GAL116" s="17"/>
      <c r="GAM116" s="17"/>
      <c r="GAN116" s="17"/>
      <c r="GAO116" s="17"/>
      <c r="GAP116" s="17"/>
      <c r="GAQ116" s="17"/>
      <c r="GAR116" s="17"/>
      <c r="GAS116" s="17"/>
      <c r="GAT116" s="17"/>
      <c r="GAU116" s="17"/>
      <c r="GAV116" s="17"/>
      <c r="GAW116" s="17"/>
      <c r="GAX116" s="17"/>
      <c r="GAY116" s="17"/>
      <c r="GAZ116" s="17"/>
      <c r="GBA116" s="17"/>
      <c r="GBB116" s="17"/>
      <c r="GBC116" s="17"/>
      <c r="GBD116" s="17"/>
      <c r="GBE116" s="17"/>
      <c r="GBF116" s="17"/>
      <c r="GBG116" s="17"/>
      <c r="GBH116" s="17"/>
      <c r="GBI116" s="17"/>
      <c r="GBJ116" s="17"/>
      <c r="GBK116" s="17"/>
      <c r="GBL116" s="17"/>
      <c r="GBM116" s="17"/>
      <c r="GBN116" s="17"/>
      <c r="GBO116" s="17"/>
      <c r="GBP116" s="17"/>
      <c r="GBQ116" s="17"/>
      <c r="GBR116" s="17"/>
      <c r="GBS116" s="17"/>
      <c r="GBT116" s="17"/>
      <c r="GBU116" s="17"/>
      <c r="GBV116" s="17"/>
      <c r="GBW116" s="17"/>
      <c r="GBX116" s="17"/>
      <c r="GBY116" s="17"/>
      <c r="GBZ116" s="17"/>
      <c r="GCA116" s="17"/>
      <c r="GCB116" s="17"/>
      <c r="GCC116" s="17"/>
      <c r="GCD116" s="17"/>
      <c r="GCE116" s="17"/>
      <c r="GCF116" s="17"/>
      <c r="GCG116" s="17"/>
      <c r="GCH116" s="17"/>
      <c r="GCI116" s="17"/>
      <c r="GCJ116" s="17"/>
      <c r="GCK116" s="17"/>
      <c r="GCL116" s="17"/>
      <c r="GCM116" s="17"/>
      <c r="GCN116" s="17"/>
      <c r="GCO116" s="17"/>
      <c r="GCP116" s="17"/>
      <c r="GCQ116" s="17"/>
      <c r="GCR116" s="17"/>
      <c r="GCS116" s="17"/>
      <c r="GCT116" s="17"/>
      <c r="GCU116" s="17"/>
      <c r="GCV116" s="17"/>
      <c r="GCW116" s="17"/>
      <c r="GCX116" s="17"/>
      <c r="GCY116" s="17"/>
      <c r="GCZ116" s="17"/>
      <c r="GDA116" s="17"/>
      <c r="GDB116" s="17"/>
      <c r="GDC116" s="17"/>
      <c r="GDD116" s="17"/>
      <c r="GDE116" s="17"/>
      <c r="GDF116" s="17"/>
      <c r="GDG116" s="17"/>
      <c r="GDH116" s="17"/>
      <c r="GDI116" s="17"/>
      <c r="GDJ116" s="17"/>
      <c r="GDK116" s="17"/>
      <c r="GDL116" s="17"/>
      <c r="GDM116" s="17"/>
      <c r="GDN116" s="17"/>
      <c r="GDO116" s="17"/>
      <c r="GDP116" s="17"/>
      <c r="GDQ116" s="17"/>
      <c r="GDR116" s="17"/>
      <c r="GDS116" s="17"/>
      <c r="GDT116" s="17"/>
      <c r="GDU116" s="17"/>
      <c r="GDV116" s="17"/>
      <c r="GDW116" s="17"/>
      <c r="GDX116" s="17"/>
      <c r="GDY116" s="17"/>
      <c r="GDZ116" s="17"/>
      <c r="GEA116" s="17"/>
      <c r="GEB116" s="17"/>
      <c r="GEC116" s="17"/>
      <c r="GED116" s="17"/>
      <c r="GEE116" s="17"/>
      <c r="GEF116" s="17"/>
      <c r="GEG116" s="17"/>
      <c r="GEH116" s="17"/>
      <c r="GEI116" s="17"/>
      <c r="GEJ116" s="17"/>
      <c r="GEK116" s="17"/>
      <c r="GEL116" s="17"/>
      <c r="GEM116" s="17"/>
      <c r="GEN116" s="17"/>
      <c r="GEO116" s="17"/>
      <c r="GEP116" s="17"/>
      <c r="GEQ116" s="17"/>
      <c r="GER116" s="17"/>
      <c r="GES116" s="17"/>
      <c r="GET116" s="17"/>
      <c r="GEU116" s="17"/>
      <c r="GEV116" s="17"/>
      <c r="GEW116" s="17"/>
      <c r="GEX116" s="17"/>
      <c r="GEY116" s="17"/>
      <c r="GEZ116" s="17"/>
      <c r="GFA116" s="17"/>
      <c r="GFB116" s="17"/>
      <c r="GFC116" s="17"/>
      <c r="GFD116" s="17"/>
      <c r="GFE116" s="17"/>
      <c r="GFF116" s="17"/>
      <c r="GFG116" s="17"/>
      <c r="GFH116" s="17"/>
      <c r="GFI116" s="17"/>
      <c r="GFJ116" s="17"/>
      <c r="GFK116" s="17"/>
      <c r="GFL116" s="17"/>
      <c r="GFM116" s="17"/>
      <c r="GFN116" s="17"/>
      <c r="GFO116" s="17"/>
      <c r="GFP116" s="17"/>
      <c r="GFQ116" s="17"/>
      <c r="GFR116" s="17"/>
      <c r="GFS116" s="17"/>
      <c r="GFT116" s="17"/>
      <c r="GFU116" s="17"/>
      <c r="GFV116" s="17"/>
      <c r="GFW116" s="17"/>
      <c r="GFX116" s="17"/>
      <c r="GFY116" s="17"/>
      <c r="GFZ116" s="17"/>
      <c r="GGA116" s="17"/>
      <c r="GGB116" s="17"/>
      <c r="GGC116" s="17"/>
      <c r="GGD116" s="17"/>
      <c r="GGE116" s="17"/>
      <c r="GGF116" s="17"/>
      <c r="GGG116" s="17"/>
      <c r="GGH116" s="17"/>
      <c r="GGI116" s="17"/>
      <c r="GGJ116" s="17"/>
      <c r="GGK116" s="17"/>
      <c r="GGL116" s="17"/>
      <c r="GGM116" s="17"/>
      <c r="GGN116" s="17"/>
      <c r="GGO116" s="17"/>
      <c r="GGP116" s="17"/>
      <c r="GGQ116" s="17"/>
      <c r="GGR116" s="17"/>
      <c r="GGS116" s="17"/>
      <c r="GGT116" s="17"/>
      <c r="GGU116" s="17"/>
      <c r="GGV116" s="17"/>
      <c r="GGW116" s="17"/>
      <c r="GGX116" s="17"/>
      <c r="GGY116" s="17"/>
      <c r="GGZ116" s="17"/>
      <c r="GHA116" s="17"/>
      <c r="GHB116" s="17"/>
      <c r="GHC116" s="17"/>
      <c r="GHD116" s="17"/>
      <c r="GHE116" s="17"/>
      <c r="GHF116" s="17"/>
      <c r="GHG116" s="17"/>
      <c r="GHH116" s="17"/>
      <c r="GHI116" s="17"/>
      <c r="GHJ116" s="17"/>
      <c r="GHK116" s="17"/>
      <c r="GHL116" s="17"/>
      <c r="GHM116" s="17"/>
      <c r="GHN116" s="17"/>
      <c r="GHO116" s="17"/>
      <c r="GHP116" s="17"/>
      <c r="GHQ116" s="17"/>
      <c r="GHR116" s="17"/>
      <c r="GHS116" s="17"/>
      <c r="GHT116" s="17"/>
      <c r="GHU116" s="17"/>
      <c r="GHV116" s="17"/>
      <c r="GHW116" s="17"/>
      <c r="GHX116" s="17"/>
      <c r="GHY116" s="17"/>
      <c r="GHZ116" s="17"/>
      <c r="GIA116" s="17"/>
      <c r="GIB116" s="17"/>
      <c r="GIC116" s="17"/>
      <c r="GID116" s="17"/>
      <c r="GIE116" s="17"/>
      <c r="GIF116" s="17"/>
      <c r="GIG116" s="17"/>
      <c r="GIH116" s="17"/>
      <c r="GII116" s="17"/>
      <c r="GIJ116" s="17"/>
      <c r="GIK116" s="17"/>
      <c r="GIL116" s="17"/>
      <c r="GIM116" s="17"/>
      <c r="GIN116" s="17"/>
      <c r="GIO116" s="17"/>
      <c r="GIP116" s="17"/>
      <c r="GIQ116" s="17"/>
      <c r="GIR116" s="17"/>
      <c r="GIS116" s="17"/>
      <c r="GIT116" s="17"/>
      <c r="GIU116" s="17"/>
      <c r="GIV116" s="17"/>
      <c r="GIW116" s="17"/>
      <c r="GIX116" s="17"/>
      <c r="GIY116" s="17"/>
      <c r="GIZ116" s="17"/>
      <c r="GJA116" s="17"/>
      <c r="GJB116" s="17"/>
      <c r="GJC116" s="17"/>
      <c r="GJD116" s="17"/>
      <c r="GJE116" s="17"/>
      <c r="GJF116" s="17"/>
      <c r="GJG116" s="17"/>
      <c r="GJH116" s="17"/>
      <c r="GJI116" s="17"/>
      <c r="GJJ116" s="17"/>
      <c r="GJK116" s="17"/>
      <c r="GJL116" s="17"/>
      <c r="GJM116" s="17"/>
      <c r="GJN116" s="17"/>
      <c r="GJO116" s="17"/>
      <c r="GJP116" s="17"/>
      <c r="GJQ116" s="17"/>
      <c r="GJR116" s="17"/>
      <c r="GJS116" s="17"/>
      <c r="GJT116" s="17"/>
      <c r="GJU116" s="17"/>
      <c r="GJV116" s="17"/>
      <c r="GJW116" s="17"/>
      <c r="GJX116" s="17"/>
      <c r="GJY116" s="17"/>
      <c r="GJZ116" s="17"/>
      <c r="GKA116" s="17"/>
      <c r="GKB116" s="17"/>
      <c r="GKC116" s="17"/>
      <c r="GKD116" s="17"/>
      <c r="GKE116" s="17"/>
      <c r="GKF116" s="17"/>
      <c r="GKG116" s="17"/>
      <c r="GKH116" s="17"/>
      <c r="GKI116" s="17"/>
      <c r="GKJ116" s="17"/>
      <c r="GKK116" s="17"/>
      <c r="GKL116" s="17"/>
      <c r="GKM116" s="17"/>
      <c r="GKN116" s="17"/>
      <c r="GKO116" s="17"/>
      <c r="GKP116" s="17"/>
      <c r="GKQ116" s="17"/>
      <c r="GKR116" s="17"/>
      <c r="GKS116" s="17"/>
      <c r="GKT116" s="17"/>
      <c r="GKU116" s="17"/>
      <c r="GKV116" s="17"/>
      <c r="GKW116" s="17"/>
      <c r="GKX116" s="17"/>
      <c r="GKY116" s="17"/>
      <c r="GKZ116" s="17"/>
      <c r="GLA116" s="17"/>
      <c r="GLB116" s="17"/>
      <c r="GLC116" s="17"/>
      <c r="GLD116" s="17"/>
      <c r="GLE116" s="17"/>
      <c r="GLF116" s="17"/>
      <c r="GLG116" s="17"/>
      <c r="GLH116" s="17"/>
      <c r="GLI116" s="17"/>
      <c r="GLJ116" s="17"/>
      <c r="GLK116" s="17"/>
      <c r="GLL116" s="17"/>
      <c r="GLM116" s="17"/>
      <c r="GLN116" s="17"/>
      <c r="GLO116" s="17"/>
      <c r="GLP116" s="17"/>
      <c r="GLQ116" s="17"/>
      <c r="GLR116" s="17"/>
      <c r="GLS116" s="17"/>
      <c r="GLT116" s="17"/>
      <c r="GLU116" s="17"/>
      <c r="GLV116" s="17"/>
      <c r="GLW116" s="17"/>
      <c r="GLX116" s="17"/>
      <c r="GLY116" s="17"/>
      <c r="GLZ116" s="17"/>
      <c r="GMA116" s="17"/>
      <c r="GMB116" s="17"/>
      <c r="GMC116" s="17"/>
      <c r="GMD116" s="17"/>
      <c r="GME116" s="17"/>
      <c r="GMF116" s="17"/>
      <c r="GMG116" s="17"/>
      <c r="GMH116" s="17"/>
      <c r="GMI116" s="17"/>
      <c r="GMJ116" s="17"/>
      <c r="GMK116" s="17"/>
      <c r="GML116" s="17"/>
      <c r="GMM116" s="17"/>
      <c r="GMN116" s="17"/>
      <c r="GMO116" s="17"/>
      <c r="GMP116" s="17"/>
      <c r="GMQ116" s="17"/>
      <c r="GMR116" s="17"/>
      <c r="GMS116" s="17"/>
      <c r="GMT116" s="17"/>
      <c r="GMU116" s="17"/>
      <c r="GMV116" s="17"/>
      <c r="GMW116" s="17"/>
      <c r="GMX116" s="17"/>
      <c r="GMY116" s="17"/>
      <c r="GMZ116" s="17"/>
      <c r="GNA116" s="17"/>
      <c r="GNB116" s="17"/>
      <c r="GNC116" s="17"/>
      <c r="GND116" s="17"/>
      <c r="GNE116" s="17"/>
      <c r="GNF116" s="17"/>
      <c r="GNG116" s="17"/>
      <c r="GNH116" s="17"/>
      <c r="GNI116" s="17"/>
      <c r="GNJ116" s="17"/>
      <c r="GNK116" s="17"/>
      <c r="GNL116" s="17"/>
      <c r="GNM116" s="17"/>
      <c r="GNN116" s="17"/>
      <c r="GNO116" s="17"/>
      <c r="GNP116" s="17"/>
      <c r="GNQ116" s="17"/>
      <c r="GNR116" s="17"/>
      <c r="GNS116" s="17"/>
      <c r="GNT116" s="17"/>
      <c r="GNU116" s="17"/>
      <c r="GNV116" s="17"/>
      <c r="GNW116" s="17"/>
      <c r="GNX116" s="17"/>
      <c r="GNY116" s="17"/>
      <c r="GNZ116" s="17"/>
      <c r="GOA116" s="17"/>
      <c r="GOB116" s="17"/>
      <c r="GOC116" s="17"/>
      <c r="GOD116" s="17"/>
      <c r="GOE116" s="17"/>
      <c r="GOF116" s="17"/>
      <c r="GOG116" s="17"/>
      <c r="GOH116" s="17"/>
      <c r="GOI116" s="17"/>
      <c r="GOJ116" s="17"/>
      <c r="GOK116" s="17"/>
      <c r="GOL116" s="17"/>
      <c r="GOM116" s="17"/>
      <c r="GON116" s="17"/>
      <c r="GOO116" s="17"/>
      <c r="GOP116" s="17"/>
      <c r="GOQ116" s="17"/>
      <c r="GOR116" s="17"/>
      <c r="GOS116" s="17"/>
      <c r="GOT116" s="17"/>
      <c r="GOU116" s="17"/>
      <c r="GOV116" s="17"/>
      <c r="GOW116" s="17"/>
      <c r="GOX116" s="17"/>
      <c r="GOY116" s="17"/>
      <c r="GOZ116" s="17"/>
      <c r="GPA116" s="17"/>
      <c r="GPB116" s="17"/>
      <c r="GPC116" s="17"/>
      <c r="GPD116" s="17"/>
      <c r="GPE116" s="17"/>
      <c r="GPF116" s="17"/>
      <c r="GPG116" s="17"/>
      <c r="GPH116" s="17"/>
      <c r="GPI116" s="17"/>
      <c r="GPJ116" s="17"/>
      <c r="GPK116" s="17"/>
      <c r="GPL116" s="17"/>
      <c r="GPM116" s="17"/>
      <c r="GPN116" s="17"/>
      <c r="GPO116" s="17"/>
      <c r="GPP116" s="17"/>
      <c r="GPQ116" s="17"/>
      <c r="GPR116" s="17"/>
      <c r="GPS116" s="17"/>
      <c r="GPT116" s="17"/>
      <c r="GPU116" s="17"/>
      <c r="GPV116" s="17"/>
      <c r="GPW116" s="17"/>
      <c r="GPX116" s="17"/>
      <c r="GPY116" s="17"/>
      <c r="GPZ116" s="17"/>
      <c r="GQA116" s="17"/>
      <c r="GQB116" s="17"/>
      <c r="GQC116" s="17"/>
      <c r="GQD116" s="17"/>
      <c r="GQE116" s="17"/>
      <c r="GQF116" s="17"/>
      <c r="GQG116" s="17"/>
      <c r="GQH116" s="17"/>
      <c r="GQI116" s="17"/>
      <c r="GQJ116" s="17"/>
      <c r="GQK116" s="17"/>
      <c r="GQL116" s="17"/>
      <c r="GQM116" s="17"/>
      <c r="GQN116" s="17"/>
      <c r="GQO116" s="17"/>
      <c r="GQP116" s="17"/>
      <c r="GQQ116" s="17"/>
      <c r="GQR116" s="17"/>
      <c r="GQS116" s="17"/>
      <c r="GQT116" s="17"/>
      <c r="GQU116" s="17"/>
      <c r="GQV116" s="17"/>
      <c r="GQW116" s="17"/>
      <c r="GQX116" s="17"/>
      <c r="GQY116" s="17"/>
      <c r="GQZ116" s="17"/>
      <c r="GRA116" s="17"/>
      <c r="GRB116" s="17"/>
      <c r="GRC116" s="17"/>
      <c r="GRD116" s="17"/>
      <c r="GRE116" s="17"/>
      <c r="GRF116" s="17"/>
      <c r="GRG116" s="17"/>
      <c r="GRH116" s="17"/>
      <c r="GRI116" s="17"/>
      <c r="GRJ116" s="17"/>
      <c r="GRK116" s="17"/>
      <c r="GRL116" s="17"/>
      <c r="GRM116" s="17"/>
      <c r="GRN116" s="17"/>
      <c r="GRO116" s="17"/>
      <c r="GRP116" s="17"/>
      <c r="GRQ116" s="17"/>
      <c r="GRR116" s="17"/>
      <c r="GRS116" s="17"/>
      <c r="GRT116" s="17"/>
      <c r="GRU116" s="17"/>
      <c r="GRV116" s="17"/>
      <c r="GRW116" s="17"/>
      <c r="GRX116" s="17"/>
      <c r="GRY116" s="17"/>
      <c r="GRZ116" s="17"/>
      <c r="GSA116" s="17"/>
      <c r="GSB116" s="17"/>
      <c r="GSC116" s="17"/>
      <c r="GSD116" s="17"/>
      <c r="GSE116" s="17"/>
      <c r="GSF116" s="17"/>
      <c r="GSG116" s="17"/>
      <c r="GSH116" s="17"/>
      <c r="GSI116" s="17"/>
      <c r="GSJ116" s="17"/>
      <c r="GSK116" s="17"/>
      <c r="GSL116" s="17"/>
      <c r="GSM116" s="17"/>
      <c r="GSN116" s="17"/>
      <c r="GSO116" s="17"/>
      <c r="GSP116" s="17"/>
      <c r="GSQ116" s="17"/>
      <c r="GSR116" s="17"/>
      <c r="GSS116" s="17"/>
      <c r="GST116" s="17"/>
      <c r="GSU116" s="17"/>
      <c r="GSV116" s="17"/>
      <c r="GSW116" s="17"/>
      <c r="GSX116" s="17"/>
      <c r="GSY116" s="17"/>
      <c r="GSZ116" s="17"/>
      <c r="GTA116" s="17"/>
      <c r="GTB116" s="17"/>
      <c r="GTC116" s="17"/>
      <c r="GTD116" s="17"/>
      <c r="GTE116" s="17"/>
      <c r="GTF116" s="17"/>
      <c r="GTG116" s="17"/>
      <c r="GTH116" s="17"/>
      <c r="GTI116" s="17"/>
      <c r="GTJ116" s="17"/>
      <c r="GTK116" s="17"/>
      <c r="GTL116" s="17"/>
      <c r="GTM116" s="17"/>
      <c r="GTN116" s="17"/>
      <c r="GTO116" s="17"/>
      <c r="GTP116" s="17"/>
      <c r="GTQ116" s="17"/>
      <c r="GTR116" s="17"/>
      <c r="GTS116" s="17"/>
      <c r="GTT116" s="17"/>
      <c r="GTU116" s="17"/>
      <c r="GTV116" s="17"/>
      <c r="GTW116" s="17"/>
      <c r="GTX116" s="17"/>
      <c r="GTY116" s="17"/>
      <c r="GTZ116" s="17"/>
      <c r="GUA116" s="17"/>
      <c r="GUB116" s="17"/>
      <c r="GUC116" s="17"/>
      <c r="GUD116" s="17"/>
      <c r="GUE116" s="17"/>
      <c r="GUF116" s="17"/>
      <c r="GUG116" s="17"/>
      <c r="GUH116" s="17"/>
      <c r="GUI116" s="17"/>
      <c r="GUJ116" s="17"/>
      <c r="GUK116" s="17"/>
      <c r="GUL116" s="17"/>
      <c r="GUM116" s="17"/>
      <c r="GUN116" s="17"/>
      <c r="GUO116" s="17"/>
      <c r="GUP116" s="17"/>
      <c r="GUQ116" s="17"/>
      <c r="GUR116" s="17"/>
      <c r="GUS116" s="17"/>
      <c r="GUT116" s="17"/>
      <c r="GUU116" s="17"/>
      <c r="GUV116" s="17"/>
      <c r="GUW116" s="17"/>
      <c r="GUX116" s="17"/>
      <c r="GUY116" s="17"/>
      <c r="GUZ116" s="17"/>
      <c r="GVA116" s="17"/>
      <c r="GVB116" s="17"/>
      <c r="GVC116" s="17"/>
      <c r="GVD116" s="17"/>
      <c r="GVE116" s="17"/>
      <c r="GVF116" s="17"/>
      <c r="GVG116" s="17"/>
      <c r="GVH116" s="17"/>
      <c r="GVI116" s="17"/>
      <c r="GVJ116" s="17"/>
      <c r="GVK116" s="17"/>
      <c r="GVL116" s="17"/>
      <c r="GVM116" s="17"/>
      <c r="GVN116" s="17"/>
      <c r="GVO116" s="17"/>
      <c r="GVP116" s="17"/>
      <c r="GVQ116" s="17"/>
      <c r="GVR116" s="17"/>
      <c r="GVS116" s="17"/>
      <c r="GVT116" s="17"/>
      <c r="GVU116" s="17"/>
      <c r="GVV116" s="17"/>
      <c r="GVW116" s="17"/>
      <c r="GVX116" s="17"/>
      <c r="GVY116" s="17"/>
      <c r="GVZ116" s="17"/>
      <c r="GWA116" s="17"/>
      <c r="GWB116" s="17"/>
      <c r="GWC116" s="17"/>
      <c r="GWD116" s="17"/>
      <c r="GWE116" s="17"/>
      <c r="GWF116" s="17"/>
      <c r="GWG116" s="17"/>
      <c r="GWH116" s="17"/>
      <c r="GWI116" s="17"/>
      <c r="GWJ116" s="17"/>
      <c r="GWK116" s="17"/>
      <c r="GWL116" s="17"/>
      <c r="GWM116" s="17"/>
      <c r="GWN116" s="17"/>
      <c r="GWO116" s="17"/>
      <c r="GWP116" s="17"/>
      <c r="GWQ116" s="17"/>
      <c r="GWR116" s="17"/>
      <c r="GWS116" s="17"/>
      <c r="GWT116" s="17"/>
      <c r="GWU116" s="17"/>
      <c r="GWV116" s="17"/>
      <c r="GWW116" s="17"/>
      <c r="GWX116" s="17"/>
      <c r="GWY116" s="17"/>
      <c r="GWZ116" s="17"/>
      <c r="GXA116" s="17"/>
      <c r="GXB116" s="17"/>
      <c r="GXC116" s="17"/>
      <c r="GXD116" s="17"/>
      <c r="GXE116" s="17"/>
      <c r="GXF116" s="17"/>
      <c r="GXG116" s="17"/>
      <c r="GXH116" s="17"/>
      <c r="GXI116" s="17"/>
      <c r="GXJ116" s="17"/>
      <c r="GXK116" s="17"/>
      <c r="GXL116" s="17"/>
      <c r="GXM116" s="17"/>
      <c r="GXN116" s="17"/>
      <c r="GXO116" s="17"/>
      <c r="GXP116" s="17"/>
      <c r="GXQ116" s="17"/>
      <c r="GXR116" s="17"/>
      <c r="GXS116" s="17"/>
      <c r="GXT116" s="17"/>
      <c r="GXU116" s="17"/>
      <c r="GXV116" s="17"/>
      <c r="GXW116" s="17"/>
      <c r="GXX116" s="17"/>
      <c r="GXY116" s="17"/>
      <c r="GXZ116" s="17"/>
      <c r="GYA116" s="17"/>
      <c r="GYB116" s="17"/>
      <c r="GYC116" s="17"/>
      <c r="GYD116" s="17"/>
      <c r="GYE116" s="17"/>
      <c r="GYF116" s="17"/>
      <c r="GYG116" s="17"/>
      <c r="GYH116" s="17"/>
      <c r="GYI116" s="17"/>
      <c r="GYJ116" s="17"/>
      <c r="GYK116" s="17"/>
      <c r="GYL116" s="17"/>
      <c r="GYM116" s="17"/>
      <c r="GYN116" s="17"/>
      <c r="GYO116" s="17"/>
      <c r="GYP116" s="17"/>
      <c r="GYQ116" s="17"/>
      <c r="GYR116" s="17"/>
      <c r="GYS116" s="17"/>
      <c r="GYT116" s="17"/>
      <c r="GYU116" s="17"/>
      <c r="GYV116" s="17"/>
      <c r="GYW116" s="17"/>
      <c r="GYX116" s="17"/>
      <c r="GYY116" s="17"/>
      <c r="GYZ116" s="17"/>
      <c r="GZA116" s="17"/>
      <c r="GZB116" s="17"/>
      <c r="GZC116" s="17"/>
      <c r="GZD116" s="17"/>
      <c r="GZE116" s="17"/>
      <c r="GZF116" s="17"/>
      <c r="GZG116" s="17"/>
      <c r="GZH116" s="17"/>
      <c r="GZI116" s="17"/>
      <c r="GZJ116" s="17"/>
      <c r="GZK116" s="17"/>
      <c r="GZL116" s="17"/>
      <c r="GZM116" s="17"/>
      <c r="GZN116" s="17"/>
      <c r="GZO116" s="17"/>
      <c r="GZP116" s="17"/>
      <c r="GZQ116" s="17"/>
      <c r="GZR116" s="17"/>
      <c r="GZS116" s="17"/>
      <c r="GZT116" s="17"/>
      <c r="GZU116" s="17"/>
      <c r="GZV116" s="17"/>
      <c r="GZW116" s="17"/>
      <c r="GZX116" s="17"/>
      <c r="GZY116" s="17"/>
      <c r="GZZ116" s="17"/>
      <c r="HAA116" s="17"/>
      <c r="HAB116" s="17"/>
      <c r="HAC116" s="17"/>
      <c r="HAD116" s="17"/>
      <c r="HAE116" s="17"/>
      <c r="HAF116" s="17"/>
      <c r="HAG116" s="17"/>
      <c r="HAH116" s="17"/>
      <c r="HAI116" s="17"/>
      <c r="HAJ116" s="17"/>
      <c r="HAK116" s="17"/>
      <c r="HAL116" s="17"/>
      <c r="HAM116" s="17"/>
      <c r="HAN116" s="17"/>
      <c r="HAO116" s="17"/>
      <c r="HAP116" s="17"/>
      <c r="HAQ116" s="17"/>
      <c r="HAR116" s="17"/>
      <c r="HAS116" s="17"/>
      <c r="HAT116" s="17"/>
      <c r="HAU116" s="17"/>
      <c r="HAV116" s="17"/>
      <c r="HAW116" s="17"/>
      <c r="HAX116" s="17"/>
      <c r="HAY116" s="17"/>
      <c r="HAZ116" s="17"/>
      <c r="HBA116" s="17"/>
      <c r="HBB116" s="17"/>
      <c r="HBC116" s="17"/>
      <c r="HBD116" s="17"/>
      <c r="HBE116" s="17"/>
      <c r="HBF116" s="17"/>
      <c r="HBG116" s="17"/>
      <c r="HBH116" s="17"/>
      <c r="HBI116" s="17"/>
      <c r="HBJ116" s="17"/>
      <c r="HBK116" s="17"/>
      <c r="HBL116" s="17"/>
      <c r="HBM116" s="17"/>
      <c r="HBN116" s="17"/>
      <c r="HBO116" s="17"/>
      <c r="HBP116" s="17"/>
      <c r="HBQ116" s="17"/>
      <c r="HBR116" s="17"/>
      <c r="HBS116" s="17"/>
      <c r="HBT116" s="17"/>
      <c r="HBU116" s="17"/>
      <c r="HBV116" s="17"/>
      <c r="HBW116" s="17"/>
      <c r="HBX116" s="17"/>
      <c r="HBY116" s="17"/>
      <c r="HBZ116" s="17"/>
      <c r="HCA116" s="17"/>
      <c r="HCB116" s="17"/>
      <c r="HCC116" s="17"/>
      <c r="HCD116" s="17"/>
      <c r="HCE116" s="17"/>
      <c r="HCF116" s="17"/>
      <c r="HCG116" s="17"/>
      <c r="HCH116" s="17"/>
      <c r="HCI116" s="17"/>
      <c r="HCJ116" s="17"/>
      <c r="HCK116" s="17"/>
      <c r="HCL116" s="17"/>
      <c r="HCM116" s="17"/>
      <c r="HCN116" s="17"/>
      <c r="HCO116" s="17"/>
      <c r="HCP116" s="17"/>
      <c r="HCQ116" s="17"/>
      <c r="HCR116" s="17"/>
      <c r="HCS116" s="17"/>
      <c r="HCT116" s="17"/>
      <c r="HCU116" s="17"/>
      <c r="HCV116" s="17"/>
      <c r="HCW116" s="17"/>
      <c r="HCX116" s="17"/>
      <c r="HCY116" s="17"/>
      <c r="HCZ116" s="17"/>
      <c r="HDA116" s="17"/>
      <c r="HDB116" s="17"/>
      <c r="HDC116" s="17"/>
      <c r="HDD116" s="17"/>
      <c r="HDE116" s="17"/>
      <c r="HDF116" s="17"/>
      <c r="HDG116" s="17"/>
      <c r="HDH116" s="17"/>
      <c r="HDI116" s="17"/>
      <c r="HDJ116" s="17"/>
      <c r="HDK116" s="17"/>
      <c r="HDL116" s="17"/>
      <c r="HDM116" s="17"/>
      <c r="HDN116" s="17"/>
      <c r="HDO116" s="17"/>
      <c r="HDP116" s="17"/>
      <c r="HDQ116" s="17"/>
      <c r="HDR116" s="17"/>
      <c r="HDS116" s="17"/>
      <c r="HDT116" s="17"/>
      <c r="HDU116" s="17"/>
      <c r="HDV116" s="17"/>
      <c r="HDW116" s="17"/>
      <c r="HDX116" s="17"/>
      <c r="HDY116" s="17"/>
      <c r="HDZ116" s="17"/>
      <c r="HEA116" s="17"/>
      <c r="HEB116" s="17"/>
      <c r="HEC116" s="17"/>
      <c r="HED116" s="17"/>
      <c r="HEE116" s="17"/>
      <c r="HEF116" s="17"/>
      <c r="HEG116" s="17"/>
      <c r="HEH116" s="17"/>
      <c r="HEI116" s="17"/>
      <c r="HEJ116" s="17"/>
      <c r="HEK116" s="17"/>
      <c r="HEL116" s="17"/>
      <c r="HEM116" s="17"/>
      <c r="HEN116" s="17"/>
      <c r="HEO116" s="17"/>
      <c r="HEP116" s="17"/>
      <c r="HEQ116" s="17"/>
      <c r="HER116" s="17"/>
      <c r="HES116" s="17"/>
      <c r="HET116" s="17"/>
      <c r="HEU116" s="17"/>
      <c r="HEV116" s="17"/>
      <c r="HEW116" s="17"/>
      <c r="HEX116" s="17"/>
      <c r="HEY116" s="17"/>
      <c r="HEZ116" s="17"/>
      <c r="HFA116" s="17"/>
      <c r="HFB116" s="17"/>
      <c r="HFC116" s="17"/>
      <c r="HFD116" s="17"/>
      <c r="HFE116" s="17"/>
      <c r="HFF116" s="17"/>
      <c r="HFG116" s="17"/>
      <c r="HFH116" s="17"/>
      <c r="HFI116" s="17"/>
      <c r="HFJ116" s="17"/>
      <c r="HFK116" s="17"/>
      <c r="HFL116" s="17"/>
      <c r="HFM116" s="17"/>
      <c r="HFN116" s="17"/>
      <c r="HFO116" s="17"/>
      <c r="HFP116" s="17"/>
      <c r="HFQ116" s="17"/>
      <c r="HFR116" s="17"/>
      <c r="HFS116" s="17"/>
      <c r="HFT116" s="17"/>
      <c r="HFU116" s="17"/>
      <c r="HFV116" s="17"/>
      <c r="HFW116" s="17"/>
      <c r="HFX116" s="17"/>
      <c r="HFY116" s="17"/>
      <c r="HFZ116" s="17"/>
      <c r="HGA116" s="17"/>
      <c r="HGB116" s="17"/>
      <c r="HGC116" s="17"/>
      <c r="HGD116" s="17"/>
      <c r="HGE116" s="17"/>
      <c r="HGF116" s="17"/>
      <c r="HGG116" s="17"/>
      <c r="HGH116" s="17"/>
      <c r="HGI116" s="17"/>
      <c r="HGJ116" s="17"/>
      <c r="HGK116" s="17"/>
      <c r="HGL116" s="17"/>
      <c r="HGM116" s="17"/>
      <c r="HGN116" s="17"/>
      <c r="HGO116" s="17"/>
      <c r="HGP116" s="17"/>
      <c r="HGQ116" s="17"/>
      <c r="HGR116" s="17"/>
      <c r="HGS116" s="17"/>
      <c r="HGT116" s="17"/>
      <c r="HGU116" s="17"/>
      <c r="HGV116" s="17"/>
      <c r="HGW116" s="17"/>
      <c r="HGX116" s="17"/>
      <c r="HGY116" s="17"/>
      <c r="HGZ116" s="17"/>
      <c r="HHA116" s="17"/>
      <c r="HHB116" s="17"/>
      <c r="HHC116" s="17"/>
      <c r="HHD116" s="17"/>
      <c r="HHE116" s="17"/>
      <c r="HHF116" s="17"/>
      <c r="HHG116" s="17"/>
      <c r="HHH116" s="17"/>
      <c r="HHI116" s="17"/>
      <c r="HHJ116" s="17"/>
      <c r="HHK116" s="17"/>
      <c r="HHL116" s="17"/>
      <c r="HHM116" s="17"/>
      <c r="HHN116" s="17"/>
      <c r="HHO116" s="17"/>
      <c r="HHP116" s="17"/>
      <c r="HHQ116" s="17"/>
      <c r="HHR116" s="17"/>
      <c r="HHS116" s="17"/>
      <c r="HHT116" s="17"/>
      <c r="HHU116" s="17"/>
      <c r="HHV116" s="17"/>
      <c r="HHW116" s="17"/>
      <c r="HHX116" s="17"/>
      <c r="HHY116" s="17"/>
      <c r="HHZ116" s="17"/>
      <c r="HIA116" s="17"/>
      <c r="HIB116" s="17"/>
      <c r="HIC116" s="17"/>
      <c r="HID116" s="17"/>
      <c r="HIE116" s="17"/>
      <c r="HIF116" s="17"/>
      <c r="HIG116" s="17"/>
      <c r="HIH116" s="17"/>
      <c r="HII116" s="17"/>
      <c r="HIJ116" s="17"/>
      <c r="HIK116" s="17"/>
      <c r="HIL116" s="17"/>
      <c r="HIM116" s="17"/>
      <c r="HIN116" s="17"/>
      <c r="HIO116" s="17"/>
      <c r="HIP116" s="17"/>
      <c r="HIQ116" s="17"/>
      <c r="HIR116" s="17"/>
      <c r="HIS116" s="17"/>
      <c r="HIT116" s="17"/>
      <c r="HIU116" s="17"/>
      <c r="HIV116" s="17"/>
      <c r="HIW116" s="17"/>
      <c r="HIX116" s="17"/>
      <c r="HIY116" s="17"/>
      <c r="HIZ116" s="17"/>
      <c r="HJA116" s="17"/>
      <c r="HJB116" s="17"/>
      <c r="HJC116" s="17"/>
      <c r="HJD116" s="17"/>
      <c r="HJE116" s="17"/>
      <c r="HJF116" s="17"/>
      <c r="HJG116" s="17"/>
      <c r="HJH116" s="17"/>
      <c r="HJI116" s="17"/>
      <c r="HJJ116" s="17"/>
      <c r="HJK116" s="17"/>
      <c r="HJL116" s="17"/>
      <c r="HJM116" s="17"/>
      <c r="HJN116" s="17"/>
      <c r="HJO116" s="17"/>
      <c r="HJP116" s="17"/>
      <c r="HJQ116" s="17"/>
      <c r="HJR116" s="17"/>
      <c r="HJS116" s="17"/>
      <c r="HJT116" s="17"/>
      <c r="HJU116" s="17"/>
      <c r="HJV116" s="17"/>
      <c r="HJW116" s="17"/>
      <c r="HJX116" s="17"/>
      <c r="HJY116" s="17"/>
      <c r="HJZ116" s="17"/>
      <c r="HKA116" s="17"/>
      <c r="HKB116" s="17"/>
      <c r="HKC116" s="17"/>
      <c r="HKD116" s="17"/>
      <c r="HKE116" s="17"/>
      <c r="HKF116" s="17"/>
      <c r="HKG116" s="17"/>
      <c r="HKH116" s="17"/>
      <c r="HKI116" s="17"/>
      <c r="HKJ116" s="17"/>
      <c r="HKK116" s="17"/>
      <c r="HKL116" s="17"/>
      <c r="HKM116" s="17"/>
      <c r="HKN116" s="17"/>
      <c r="HKO116" s="17"/>
      <c r="HKP116" s="17"/>
      <c r="HKQ116" s="17"/>
      <c r="HKR116" s="17"/>
      <c r="HKS116" s="17"/>
      <c r="HKT116" s="17"/>
      <c r="HKU116" s="17"/>
      <c r="HKV116" s="17"/>
      <c r="HKW116" s="17"/>
      <c r="HKX116" s="17"/>
      <c r="HKY116" s="17"/>
      <c r="HKZ116" s="17"/>
      <c r="HLA116" s="17"/>
      <c r="HLB116" s="17"/>
      <c r="HLC116" s="17"/>
      <c r="HLD116" s="17"/>
      <c r="HLE116" s="17"/>
      <c r="HLF116" s="17"/>
      <c r="HLG116" s="17"/>
      <c r="HLH116" s="17"/>
      <c r="HLI116" s="17"/>
      <c r="HLJ116" s="17"/>
      <c r="HLK116" s="17"/>
      <c r="HLL116" s="17"/>
      <c r="HLM116" s="17"/>
      <c r="HLN116" s="17"/>
      <c r="HLO116" s="17"/>
      <c r="HLP116" s="17"/>
      <c r="HLQ116" s="17"/>
      <c r="HLR116" s="17"/>
      <c r="HLS116" s="17"/>
      <c r="HLT116" s="17"/>
      <c r="HLU116" s="17"/>
      <c r="HLV116" s="17"/>
      <c r="HLW116" s="17"/>
      <c r="HLX116" s="17"/>
      <c r="HLY116" s="17"/>
      <c r="HLZ116" s="17"/>
      <c r="HMA116" s="17"/>
      <c r="HMB116" s="17"/>
      <c r="HMC116" s="17"/>
      <c r="HMD116" s="17"/>
      <c r="HME116" s="17"/>
      <c r="HMF116" s="17"/>
      <c r="HMG116" s="17"/>
      <c r="HMH116" s="17"/>
      <c r="HMI116" s="17"/>
      <c r="HMJ116" s="17"/>
      <c r="HMK116" s="17"/>
      <c r="HML116" s="17"/>
      <c r="HMM116" s="17"/>
      <c r="HMN116" s="17"/>
      <c r="HMO116" s="17"/>
      <c r="HMP116" s="17"/>
      <c r="HMQ116" s="17"/>
      <c r="HMR116" s="17"/>
      <c r="HMS116" s="17"/>
      <c r="HMT116" s="17"/>
      <c r="HMU116" s="17"/>
      <c r="HMV116" s="17"/>
      <c r="HMW116" s="17"/>
      <c r="HMX116" s="17"/>
      <c r="HMY116" s="17"/>
      <c r="HMZ116" s="17"/>
      <c r="HNA116" s="17"/>
      <c r="HNB116" s="17"/>
      <c r="HNC116" s="17"/>
      <c r="HND116" s="17"/>
      <c r="HNE116" s="17"/>
      <c r="HNF116" s="17"/>
      <c r="HNG116" s="17"/>
      <c r="HNH116" s="17"/>
      <c r="HNI116" s="17"/>
      <c r="HNJ116" s="17"/>
      <c r="HNK116" s="17"/>
      <c r="HNL116" s="17"/>
      <c r="HNM116" s="17"/>
      <c r="HNN116" s="17"/>
      <c r="HNO116" s="17"/>
      <c r="HNP116" s="17"/>
      <c r="HNQ116" s="17"/>
      <c r="HNR116" s="17"/>
      <c r="HNS116" s="17"/>
      <c r="HNT116" s="17"/>
      <c r="HNU116" s="17"/>
      <c r="HNV116" s="17"/>
      <c r="HNW116" s="17"/>
      <c r="HNX116" s="17"/>
      <c r="HNY116" s="17"/>
      <c r="HNZ116" s="17"/>
      <c r="HOA116" s="17"/>
      <c r="HOB116" s="17"/>
      <c r="HOC116" s="17"/>
      <c r="HOD116" s="17"/>
      <c r="HOE116" s="17"/>
      <c r="HOF116" s="17"/>
      <c r="HOG116" s="17"/>
      <c r="HOH116" s="17"/>
      <c r="HOI116" s="17"/>
      <c r="HOJ116" s="17"/>
      <c r="HOK116" s="17"/>
      <c r="HOL116" s="17"/>
      <c r="HOM116" s="17"/>
      <c r="HON116" s="17"/>
      <c r="HOO116" s="17"/>
      <c r="HOP116" s="17"/>
      <c r="HOQ116" s="17"/>
      <c r="HOR116" s="17"/>
      <c r="HOS116" s="17"/>
      <c r="HOT116" s="17"/>
      <c r="HOU116" s="17"/>
      <c r="HOV116" s="17"/>
      <c r="HOW116" s="17"/>
      <c r="HOX116" s="17"/>
      <c r="HOY116" s="17"/>
      <c r="HOZ116" s="17"/>
      <c r="HPA116" s="17"/>
      <c r="HPB116" s="17"/>
      <c r="HPC116" s="17"/>
      <c r="HPD116" s="17"/>
      <c r="HPE116" s="17"/>
      <c r="HPF116" s="17"/>
      <c r="HPG116" s="17"/>
      <c r="HPH116" s="17"/>
      <c r="HPI116" s="17"/>
      <c r="HPJ116" s="17"/>
      <c r="HPK116" s="17"/>
      <c r="HPL116" s="17"/>
      <c r="HPM116" s="17"/>
      <c r="HPN116" s="17"/>
      <c r="HPO116" s="17"/>
      <c r="HPP116" s="17"/>
      <c r="HPQ116" s="17"/>
      <c r="HPR116" s="17"/>
      <c r="HPS116" s="17"/>
      <c r="HPT116" s="17"/>
      <c r="HPU116" s="17"/>
      <c r="HPV116" s="17"/>
      <c r="HPW116" s="17"/>
      <c r="HPX116" s="17"/>
      <c r="HPY116" s="17"/>
      <c r="HPZ116" s="17"/>
      <c r="HQA116" s="17"/>
      <c r="HQB116" s="17"/>
      <c r="HQC116" s="17"/>
      <c r="HQD116" s="17"/>
      <c r="HQE116" s="17"/>
      <c r="HQF116" s="17"/>
      <c r="HQG116" s="17"/>
      <c r="HQH116" s="17"/>
      <c r="HQI116" s="17"/>
      <c r="HQJ116" s="17"/>
      <c r="HQK116" s="17"/>
      <c r="HQL116" s="17"/>
      <c r="HQM116" s="17"/>
      <c r="HQN116" s="17"/>
      <c r="HQO116" s="17"/>
      <c r="HQP116" s="17"/>
      <c r="HQQ116" s="17"/>
      <c r="HQR116" s="17"/>
      <c r="HQS116" s="17"/>
      <c r="HQT116" s="17"/>
      <c r="HQU116" s="17"/>
      <c r="HQV116" s="17"/>
      <c r="HQW116" s="17"/>
      <c r="HQX116" s="17"/>
      <c r="HQY116" s="17"/>
      <c r="HQZ116" s="17"/>
      <c r="HRA116" s="17"/>
      <c r="HRB116" s="17"/>
      <c r="HRC116" s="17"/>
      <c r="HRD116" s="17"/>
      <c r="HRE116" s="17"/>
      <c r="HRF116" s="17"/>
      <c r="HRG116" s="17"/>
      <c r="HRH116" s="17"/>
      <c r="HRI116" s="17"/>
      <c r="HRJ116" s="17"/>
      <c r="HRK116" s="17"/>
      <c r="HRL116" s="17"/>
      <c r="HRM116" s="17"/>
      <c r="HRN116" s="17"/>
      <c r="HRO116" s="17"/>
      <c r="HRP116" s="17"/>
      <c r="HRQ116" s="17"/>
      <c r="HRR116" s="17"/>
      <c r="HRS116" s="17"/>
      <c r="HRT116" s="17"/>
      <c r="HRU116" s="17"/>
      <c r="HRV116" s="17"/>
      <c r="HRW116" s="17"/>
      <c r="HRX116" s="17"/>
      <c r="HRY116" s="17"/>
      <c r="HRZ116" s="17"/>
      <c r="HSA116" s="17"/>
      <c r="HSB116" s="17"/>
      <c r="HSC116" s="17"/>
      <c r="HSD116" s="17"/>
      <c r="HSE116" s="17"/>
      <c r="HSF116" s="17"/>
      <c r="HSG116" s="17"/>
      <c r="HSH116" s="17"/>
      <c r="HSI116" s="17"/>
      <c r="HSJ116" s="17"/>
      <c r="HSK116" s="17"/>
      <c r="HSL116" s="17"/>
      <c r="HSM116" s="17"/>
      <c r="HSN116" s="17"/>
      <c r="HSO116" s="17"/>
      <c r="HSP116" s="17"/>
      <c r="HSQ116" s="17"/>
      <c r="HSR116" s="17"/>
      <c r="HSS116" s="17"/>
      <c r="HST116" s="17"/>
      <c r="HSU116" s="17"/>
      <c r="HSV116" s="17"/>
      <c r="HSW116" s="17"/>
      <c r="HSX116" s="17"/>
      <c r="HSY116" s="17"/>
      <c r="HSZ116" s="17"/>
      <c r="HTA116" s="17"/>
      <c r="HTB116" s="17"/>
      <c r="HTC116" s="17"/>
      <c r="HTD116" s="17"/>
      <c r="HTE116" s="17"/>
      <c r="HTF116" s="17"/>
      <c r="HTG116" s="17"/>
      <c r="HTH116" s="17"/>
      <c r="HTI116" s="17"/>
      <c r="HTJ116" s="17"/>
      <c r="HTK116" s="17"/>
      <c r="HTL116" s="17"/>
      <c r="HTM116" s="17"/>
      <c r="HTN116" s="17"/>
      <c r="HTO116" s="17"/>
      <c r="HTP116" s="17"/>
      <c r="HTQ116" s="17"/>
      <c r="HTR116" s="17"/>
      <c r="HTS116" s="17"/>
      <c r="HTT116" s="17"/>
      <c r="HTU116" s="17"/>
      <c r="HTV116" s="17"/>
      <c r="HTW116" s="17"/>
      <c r="HTX116" s="17"/>
      <c r="HTY116" s="17"/>
      <c r="HTZ116" s="17"/>
      <c r="HUA116" s="17"/>
      <c r="HUB116" s="17"/>
      <c r="HUC116" s="17"/>
      <c r="HUD116" s="17"/>
      <c r="HUE116" s="17"/>
      <c r="HUF116" s="17"/>
      <c r="HUG116" s="17"/>
      <c r="HUH116" s="17"/>
      <c r="HUI116" s="17"/>
      <c r="HUJ116" s="17"/>
      <c r="HUK116" s="17"/>
      <c r="HUL116" s="17"/>
      <c r="HUM116" s="17"/>
      <c r="HUN116" s="17"/>
      <c r="HUO116" s="17"/>
      <c r="HUP116" s="17"/>
      <c r="HUQ116" s="17"/>
      <c r="HUR116" s="17"/>
      <c r="HUS116" s="17"/>
      <c r="HUT116" s="17"/>
      <c r="HUU116" s="17"/>
      <c r="HUV116" s="17"/>
      <c r="HUW116" s="17"/>
      <c r="HUX116" s="17"/>
      <c r="HUY116" s="17"/>
      <c r="HUZ116" s="17"/>
      <c r="HVA116" s="17"/>
      <c r="HVB116" s="17"/>
      <c r="HVC116" s="17"/>
      <c r="HVD116" s="17"/>
      <c r="HVE116" s="17"/>
      <c r="HVF116" s="17"/>
      <c r="HVG116" s="17"/>
      <c r="HVH116" s="17"/>
      <c r="HVI116" s="17"/>
      <c r="HVJ116" s="17"/>
      <c r="HVK116" s="17"/>
      <c r="HVL116" s="17"/>
      <c r="HVM116" s="17"/>
      <c r="HVN116" s="17"/>
      <c r="HVO116" s="17"/>
      <c r="HVP116" s="17"/>
      <c r="HVQ116" s="17"/>
      <c r="HVR116" s="17"/>
      <c r="HVS116" s="17"/>
      <c r="HVT116" s="17"/>
      <c r="HVU116" s="17"/>
      <c r="HVV116" s="17"/>
      <c r="HVW116" s="17"/>
      <c r="HVX116" s="17"/>
      <c r="HVY116" s="17"/>
      <c r="HVZ116" s="17"/>
      <c r="HWA116" s="17"/>
      <c r="HWB116" s="17"/>
      <c r="HWC116" s="17"/>
      <c r="HWD116" s="17"/>
      <c r="HWE116" s="17"/>
      <c r="HWF116" s="17"/>
      <c r="HWG116" s="17"/>
      <c r="HWH116" s="17"/>
      <c r="HWI116" s="17"/>
      <c r="HWJ116" s="17"/>
      <c r="HWK116" s="17"/>
      <c r="HWL116" s="17"/>
      <c r="HWM116" s="17"/>
      <c r="HWN116" s="17"/>
      <c r="HWO116" s="17"/>
      <c r="HWP116" s="17"/>
      <c r="HWQ116" s="17"/>
      <c r="HWR116" s="17"/>
      <c r="HWS116" s="17"/>
      <c r="HWT116" s="17"/>
      <c r="HWU116" s="17"/>
      <c r="HWV116" s="17"/>
      <c r="HWW116" s="17"/>
      <c r="HWX116" s="17"/>
      <c r="HWY116" s="17"/>
      <c r="HWZ116" s="17"/>
      <c r="HXA116" s="17"/>
      <c r="HXB116" s="17"/>
      <c r="HXC116" s="17"/>
      <c r="HXD116" s="17"/>
      <c r="HXE116" s="17"/>
      <c r="HXF116" s="17"/>
      <c r="HXG116" s="17"/>
      <c r="HXH116" s="17"/>
      <c r="HXI116" s="17"/>
      <c r="HXJ116" s="17"/>
      <c r="HXK116" s="17"/>
      <c r="HXL116" s="17"/>
      <c r="HXM116" s="17"/>
      <c r="HXN116" s="17"/>
      <c r="HXO116" s="17"/>
      <c r="HXP116" s="17"/>
      <c r="HXQ116" s="17"/>
      <c r="HXR116" s="17"/>
      <c r="HXS116" s="17"/>
      <c r="HXT116" s="17"/>
      <c r="HXU116" s="17"/>
      <c r="HXV116" s="17"/>
      <c r="HXW116" s="17"/>
      <c r="HXX116" s="17"/>
      <c r="HXY116" s="17"/>
      <c r="HXZ116" s="17"/>
      <c r="HYA116" s="17"/>
      <c r="HYB116" s="17"/>
      <c r="HYC116" s="17"/>
      <c r="HYD116" s="17"/>
      <c r="HYE116" s="17"/>
      <c r="HYF116" s="17"/>
      <c r="HYG116" s="17"/>
      <c r="HYH116" s="17"/>
      <c r="HYI116" s="17"/>
      <c r="HYJ116" s="17"/>
      <c r="HYK116" s="17"/>
      <c r="HYL116" s="17"/>
      <c r="HYM116" s="17"/>
      <c r="HYN116" s="17"/>
      <c r="HYO116" s="17"/>
      <c r="HYP116" s="17"/>
      <c r="HYQ116" s="17"/>
      <c r="HYR116" s="17"/>
      <c r="HYS116" s="17"/>
      <c r="HYT116" s="17"/>
      <c r="HYU116" s="17"/>
      <c r="HYV116" s="17"/>
      <c r="HYW116" s="17"/>
      <c r="HYX116" s="17"/>
      <c r="HYY116" s="17"/>
      <c r="HYZ116" s="17"/>
      <c r="HZA116" s="17"/>
      <c r="HZB116" s="17"/>
      <c r="HZC116" s="17"/>
      <c r="HZD116" s="17"/>
      <c r="HZE116" s="17"/>
      <c r="HZF116" s="17"/>
      <c r="HZG116" s="17"/>
      <c r="HZH116" s="17"/>
      <c r="HZI116" s="17"/>
      <c r="HZJ116" s="17"/>
      <c r="HZK116" s="17"/>
      <c r="HZL116" s="17"/>
      <c r="HZM116" s="17"/>
      <c r="HZN116" s="17"/>
      <c r="HZO116" s="17"/>
      <c r="HZP116" s="17"/>
      <c r="HZQ116" s="17"/>
      <c r="HZR116" s="17"/>
      <c r="HZS116" s="17"/>
      <c r="HZT116" s="17"/>
      <c r="HZU116" s="17"/>
      <c r="HZV116" s="17"/>
      <c r="HZW116" s="17"/>
      <c r="HZX116" s="17"/>
      <c r="HZY116" s="17"/>
      <c r="HZZ116" s="17"/>
      <c r="IAA116" s="17"/>
      <c r="IAB116" s="17"/>
      <c r="IAC116" s="17"/>
      <c r="IAD116" s="17"/>
      <c r="IAE116" s="17"/>
      <c r="IAF116" s="17"/>
      <c r="IAG116" s="17"/>
      <c r="IAH116" s="17"/>
      <c r="IAI116" s="17"/>
      <c r="IAJ116" s="17"/>
      <c r="IAK116" s="17"/>
      <c r="IAL116" s="17"/>
      <c r="IAM116" s="17"/>
      <c r="IAN116" s="17"/>
      <c r="IAO116" s="17"/>
      <c r="IAP116" s="17"/>
      <c r="IAQ116" s="17"/>
      <c r="IAR116" s="17"/>
      <c r="IAS116" s="17"/>
      <c r="IAT116" s="17"/>
      <c r="IAU116" s="17"/>
      <c r="IAV116" s="17"/>
      <c r="IAW116" s="17"/>
      <c r="IAX116" s="17"/>
      <c r="IAY116" s="17"/>
      <c r="IAZ116" s="17"/>
      <c r="IBA116" s="17"/>
      <c r="IBB116" s="17"/>
      <c r="IBC116" s="17"/>
      <c r="IBD116" s="17"/>
      <c r="IBE116" s="17"/>
      <c r="IBF116" s="17"/>
      <c r="IBG116" s="17"/>
      <c r="IBH116" s="17"/>
      <c r="IBI116" s="17"/>
      <c r="IBJ116" s="17"/>
      <c r="IBK116" s="17"/>
      <c r="IBL116" s="17"/>
      <c r="IBM116" s="17"/>
      <c r="IBN116" s="17"/>
      <c r="IBO116" s="17"/>
      <c r="IBP116" s="17"/>
      <c r="IBQ116" s="17"/>
      <c r="IBR116" s="17"/>
      <c r="IBS116" s="17"/>
      <c r="IBT116" s="17"/>
      <c r="IBU116" s="17"/>
      <c r="IBV116" s="17"/>
      <c r="IBW116" s="17"/>
      <c r="IBX116" s="17"/>
      <c r="IBY116" s="17"/>
      <c r="IBZ116" s="17"/>
      <c r="ICA116" s="17"/>
      <c r="ICB116" s="17"/>
      <c r="ICC116" s="17"/>
      <c r="ICD116" s="17"/>
      <c r="ICE116" s="17"/>
      <c r="ICF116" s="17"/>
      <c r="ICG116" s="17"/>
      <c r="ICH116" s="17"/>
      <c r="ICI116" s="17"/>
      <c r="ICJ116" s="17"/>
      <c r="ICK116" s="17"/>
      <c r="ICL116" s="17"/>
      <c r="ICM116" s="17"/>
      <c r="ICN116" s="17"/>
      <c r="ICO116" s="17"/>
      <c r="ICP116" s="17"/>
      <c r="ICQ116" s="17"/>
      <c r="ICR116" s="17"/>
      <c r="ICS116" s="17"/>
      <c r="ICT116" s="17"/>
      <c r="ICU116" s="17"/>
      <c r="ICV116" s="17"/>
      <c r="ICW116" s="17"/>
      <c r="ICX116" s="17"/>
      <c r="ICY116" s="17"/>
      <c r="ICZ116" s="17"/>
      <c r="IDA116" s="17"/>
      <c r="IDB116" s="17"/>
      <c r="IDC116" s="17"/>
      <c r="IDD116" s="17"/>
      <c r="IDE116" s="17"/>
      <c r="IDF116" s="17"/>
      <c r="IDG116" s="17"/>
      <c r="IDH116" s="17"/>
      <c r="IDI116" s="17"/>
      <c r="IDJ116" s="17"/>
      <c r="IDK116" s="17"/>
      <c r="IDL116" s="17"/>
      <c r="IDM116" s="17"/>
      <c r="IDN116" s="17"/>
      <c r="IDO116" s="17"/>
      <c r="IDP116" s="17"/>
      <c r="IDQ116" s="17"/>
      <c r="IDR116" s="17"/>
      <c r="IDS116" s="17"/>
      <c r="IDT116" s="17"/>
      <c r="IDU116" s="17"/>
      <c r="IDV116" s="17"/>
      <c r="IDW116" s="17"/>
      <c r="IDX116" s="17"/>
      <c r="IDY116" s="17"/>
      <c r="IDZ116" s="17"/>
      <c r="IEA116" s="17"/>
      <c r="IEB116" s="17"/>
      <c r="IEC116" s="17"/>
      <c r="IED116" s="17"/>
      <c r="IEE116" s="17"/>
      <c r="IEF116" s="17"/>
      <c r="IEG116" s="17"/>
      <c r="IEH116" s="17"/>
      <c r="IEI116" s="17"/>
      <c r="IEJ116" s="17"/>
      <c r="IEK116" s="17"/>
      <c r="IEL116" s="17"/>
      <c r="IEM116" s="17"/>
      <c r="IEN116" s="17"/>
      <c r="IEO116" s="17"/>
      <c r="IEP116" s="17"/>
      <c r="IEQ116" s="17"/>
      <c r="IER116" s="17"/>
      <c r="IES116" s="17"/>
      <c r="IET116" s="17"/>
      <c r="IEU116" s="17"/>
      <c r="IEV116" s="17"/>
      <c r="IEW116" s="17"/>
      <c r="IEX116" s="17"/>
      <c r="IEY116" s="17"/>
      <c r="IEZ116" s="17"/>
      <c r="IFA116" s="17"/>
      <c r="IFB116" s="17"/>
      <c r="IFC116" s="17"/>
      <c r="IFD116" s="17"/>
      <c r="IFE116" s="17"/>
      <c r="IFF116" s="17"/>
      <c r="IFG116" s="17"/>
      <c r="IFH116" s="17"/>
      <c r="IFI116" s="17"/>
      <c r="IFJ116" s="17"/>
      <c r="IFK116" s="17"/>
      <c r="IFL116" s="17"/>
      <c r="IFM116" s="17"/>
      <c r="IFN116" s="17"/>
      <c r="IFO116" s="17"/>
      <c r="IFP116" s="17"/>
      <c r="IFQ116" s="17"/>
      <c r="IFR116" s="17"/>
      <c r="IFS116" s="17"/>
      <c r="IFT116" s="17"/>
      <c r="IFU116" s="17"/>
      <c r="IFV116" s="17"/>
      <c r="IFW116" s="17"/>
      <c r="IFX116" s="17"/>
      <c r="IFY116" s="17"/>
      <c r="IFZ116" s="17"/>
      <c r="IGA116" s="17"/>
      <c r="IGB116" s="17"/>
      <c r="IGC116" s="17"/>
      <c r="IGD116" s="17"/>
      <c r="IGE116" s="17"/>
      <c r="IGF116" s="17"/>
      <c r="IGG116" s="17"/>
      <c r="IGH116" s="17"/>
      <c r="IGI116" s="17"/>
      <c r="IGJ116" s="17"/>
      <c r="IGK116" s="17"/>
      <c r="IGL116" s="17"/>
      <c r="IGM116" s="17"/>
      <c r="IGN116" s="17"/>
      <c r="IGO116" s="17"/>
      <c r="IGP116" s="17"/>
      <c r="IGQ116" s="17"/>
      <c r="IGR116" s="17"/>
      <c r="IGS116" s="17"/>
      <c r="IGT116" s="17"/>
      <c r="IGU116" s="17"/>
      <c r="IGV116" s="17"/>
      <c r="IGW116" s="17"/>
      <c r="IGX116" s="17"/>
      <c r="IGY116" s="17"/>
      <c r="IGZ116" s="17"/>
      <c r="IHA116" s="17"/>
      <c r="IHB116" s="17"/>
      <c r="IHC116" s="17"/>
      <c r="IHD116" s="17"/>
      <c r="IHE116" s="17"/>
      <c r="IHF116" s="17"/>
      <c r="IHG116" s="17"/>
      <c r="IHH116" s="17"/>
      <c r="IHI116" s="17"/>
      <c r="IHJ116" s="17"/>
      <c r="IHK116" s="17"/>
      <c r="IHL116" s="17"/>
      <c r="IHM116" s="17"/>
      <c r="IHN116" s="17"/>
      <c r="IHO116" s="17"/>
      <c r="IHP116" s="17"/>
      <c r="IHQ116" s="17"/>
      <c r="IHR116" s="17"/>
      <c r="IHS116" s="17"/>
      <c r="IHT116" s="17"/>
      <c r="IHU116" s="17"/>
      <c r="IHV116" s="17"/>
      <c r="IHW116" s="17"/>
      <c r="IHX116" s="17"/>
      <c r="IHY116" s="17"/>
      <c r="IHZ116" s="17"/>
      <c r="IIA116" s="17"/>
      <c r="IIB116" s="17"/>
      <c r="IIC116" s="17"/>
      <c r="IID116" s="17"/>
      <c r="IIE116" s="17"/>
      <c r="IIF116" s="17"/>
      <c r="IIG116" s="17"/>
      <c r="IIH116" s="17"/>
      <c r="III116" s="17"/>
      <c r="IIJ116" s="17"/>
      <c r="IIK116" s="17"/>
      <c r="IIL116" s="17"/>
      <c r="IIM116" s="17"/>
      <c r="IIN116" s="17"/>
      <c r="IIO116" s="17"/>
      <c r="IIP116" s="17"/>
      <c r="IIQ116" s="17"/>
      <c r="IIR116" s="17"/>
      <c r="IIS116" s="17"/>
      <c r="IIT116" s="17"/>
      <c r="IIU116" s="17"/>
      <c r="IIV116" s="17"/>
      <c r="IIW116" s="17"/>
      <c r="IIX116" s="17"/>
      <c r="IIY116" s="17"/>
      <c r="IIZ116" s="17"/>
      <c r="IJA116" s="17"/>
      <c r="IJB116" s="17"/>
      <c r="IJC116" s="17"/>
      <c r="IJD116" s="17"/>
      <c r="IJE116" s="17"/>
      <c r="IJF116" s="17"/>
      <c r="IJG116" s="17"/>
      <c r="IJH116" s="17"/>
      <c r="IJI116" s="17"/>
      <c r="IJJ116" s="17"/>
      <c r="IJK116" s="17"/>
      <c r="IJL116" s="17"/>
      <c r="IJM116" s="17"/>
      <c r="IJN116" s="17"/>
      <c r="IJO116" s="17"/>
      <c r="IJP116" s="17"/>
      <c r="IJQ116" s="17"/>
      <c r="IJR116" s="17"/>
      <c r="IJS116" s="17"/>
      <c r="IJT116" s="17"/>
      <c r="IJU116" s="17"/>
      <c r="IJV116" s="17"/>
      <c r="IJW116" s="17"/>
      <c r="IJX116" s="17"/>
      <c r="IJY116" s="17"/>
      <c r="IJZ116" s="17"/>
      <c r="IKA116" s="17"/>
      <c r="IKB116" s="17"/>
      <c r="IKC116" s="17"/>
      <c r="IKD116" s="17"/>
      <c r="IKE116" s="17"/>
      <c r="IKF116" s="17"/>
      <c r="IKG116" s="17"/>
      <c r="IKH116" s="17"/>
      <c r="IKI116" s="17"/>
      <c r="IKJ116" s="17"/>
      <c r="IKK116" s="17"/>
      <c r="IKL116" s="17"/>
      <c r="IKM116" s="17"/>
      <c r="IKN116" s="17"/>
      <c r="IKO116" s="17"/>
      <c r="IKP116" s="17"/>
      <c r="IKQ116" s="17"/>
      <c r="IKR116" s="17"/>
      <c r="IKS116" s="17"/>
      <c r="IKT116" s="17"/>
      <c r="IKU116" s="17"/>
      <c r="IKV116" s="17"/>
      <c r="IKW116" s="17"/>
      <c r="IKX116" s="17"/>
      <c r="IKY116" s="17"/>
      <c r="IKZ116" s="17"/>
      <c r="ILA116" s="17"/>
      <c r="ILB116" s="17"/>
      <c r="ILC116" s="17"/>
      <c r="ILD116" s="17"/>
      <c r="ILE116" s="17"/>
      <c r="ILF116" s="17"/>
      <c r="ILG116" s="17"/>
      <c r="ILH116" s="17"/>
      <c r="ILI116" s="17"/>
      <c r="ILJ116" s="17"/>
      <c r="ILK116" s="17"/>
      <c r="ILL116" s="17"/>
      <c r="ILM116" s="17"/>
      <c r="ILN116" s="17"/>
      <c r="ILO116" s="17"/>
      <c r="ILP116" s="17"/>
      <c r="ILQ116" s="17"/>
      <c r="ILR116" s="17"/>
      <c r="ILS116" s="17"/>
      <c r="ILT116" s="17"/>
      <c r="ILU116" s="17"/>
      <c r="ILV116" s="17"/>
      <c r="ILW116" s="17"/>
      <c r="ILX116" s="17"/>
      <c r="ILY116" s="17"/>
      <c r="ILZ116" s="17"/>
      <c r="IMA116" s="17"/>
      <c r="IMB116" s="17"/>
      <c r="IMC116" s="17"/>
      <c r="IMD116" s="17"/>
      <c r="IME116" s="17"/>
      <c r="IMF116" s="17"/>
      <c r="IMG116" s="17"/>
      <c r="IMH116" s="17"/>
      <c r="IMI116" s="17"/>
      <c r="IMJ116" s="17"/>
      <c r="IMK116" s="17"/>
      <c r="IML116" s="17"/>
      <c r="IMM116" s="17"/>
      <c r="IMN116" s="17"/>
      <c r="IMO116" s="17"/>
      <c r="IMP116" s="17"/>
      <c r="IMQ116" s="17"/>
      <c r="IMR116" s="17"/>
      <c r="IMS116" s="17"/>
      <c r="IMT116" s="17"/>
      <c r="IMU116" s="17"/>
      <c r="IMV116" s="17"/>
      <c r="IMW116" s="17"/>
      <c r="IMX116" s="17"/>
      <c r="IMY116" s="17"/>
      <c r="IMZ116" s="17"/>
      <c r="INA116" s="17"/>
      <c r="INB116" s="17"/>
      <c r="INC116" s="17"/>
      <c r="IND116" s="17"/>
      <c r="INE116" s="17"/>
      <c r="INF116" s="17"/>
      <c r="ING116" s="17"/>
      <c r="INH116" s="17"/>
      <c r="INI116" s="17"/>
      <c r="INJ116" s="17"/>
      <c r="INK116" s="17"/>
      <c r="INL116" s="17"/>
      <c r="INM116" s="17"/>
      <c r="INN116" s="17"/>
      <c r="INO116" s="17"/>
      <c r="INP116" s="17"/>
      <c r="INQ116" s="17"/>
      <c r="INR116" s="17"/>
      <c r="INS116" s="17"/>
      <c r="INT116" s="17"/>
      <c r="INU116" s="17"/>
      <c r="INV116" s="17"/>
      <c r="INW116" s="17"/>
      <c r="INX116" s="17"/>
      <c r="INY116" s="17"/>
      <c r="INZ116" s="17"/>
      <c r="IOA116" s="17"/>
      <c r="IOB116" s="17"/>
      <c r="IOC116" s="17"/>
      <c r="IOD116" s="17"/>
      <c r="IOE116" s="17"/>
      <c r="IOF116" s="17"/>
      <c r="IOG116" s="17"/>
      <c r="IOH116" s="17"/>
      <c r="IOI116" s="17"/>
      <c r="IOJ116" s="17"/>
      <c r="IOK116" s="17"/>
      <c r="IOL116" s="17"/>
      <c r="IOM116" s="17"/>
      <c r="ION116" s="17"/>
      <c r="IOO116" s="17"/>
      <c r="IOP116" s="17"/>
      <c r="IOQ116" s="17"/>
      <c r="IOR116" s="17"/>
      <c r="IOS116" s="17"/>
      <c r="IOT116" s="17"/>
      <c r="IOU116" s="17"/>
      <c r="IOV116" s="17"/>
      <c r="IOW116" s="17"/>
      <c r="IOX116" s="17"/>
      <c r="IOY116" s="17"/>
      <c r="IOZ116" s="17"/>
      <c r="IPA116" s="17"/>
      <c r="IPB116" s="17"/>
      <c r="IPC116" s="17"/>
      <c r="IPD116" s="17"/>
      <c r="IPE116" s="17"/>
      <c r="IPF116" s="17"/>
      <c r="IPG116" s="17"/>
      <c r="IPH116" s="17"/>
      <c r="IPI116" s="17"/>
      <c r="IPJ116" s="17"/>
      <c r="IPK116" s="17"/>
      <c r="IPL116" s="17"/>
      <c r="IPM116" s="17"/>
      <c r="IPN116" s="17"/>
      <c r="IPO116" s="17"/>
      <c r="IPP116" s="17"/>
      <c r="IPQ116" s="17"/>
      <c r="IPR116" s="17"/>
      <c r="IPS116" s="17"/>
      <c r="IPT116" s="17"/>
      <c r="IPU116" s="17"/>
      <c r="IPV116" s="17"/>
      <c r="IPW116" s="17"/>
      <c r="IPX116" s="17"/>
      <c r="IPY116" s="17"/>
      <c r="IPZ116" s="17"/>
      <c r="IQA116" s="17"/>
      <c r="IQB116" s="17"/>
      <c r="IQC116" s="17"/>
      <c r="IQD116" s="17"/>
      <c r="IQE116" s="17"/>
      <c r="IQF116" s="17"/>
      <c r="IQG116" s="17"/>
      <c r="IQH116" s="17"/>
      <c r="IQI116" s="17"/>
      <c r="IQJ116" s="17"/>
      <c r="IQK116" s="17"/>
      <c r="IQL116" s="17"/>
      <c r="IQM116" s="17"/>
      <c r="IQN116" s="17"/>
      <c r="IQO116" s="17"/>
      <c r="IQP116" s="17"/>
      <c r="IQQ116" s="17"/>
      <c r="IQR116" s="17"/>
      <c r="IQS116" s="17"/>
      <c r="IQT116" s="17"/>
      <c r="IQU116" s="17"/>
      <c r="IQV116" s="17"/>
      <c r="IQW116" s="17"/>
      <c r="IQX116" s="17"/>
      <c r="IQY116" s="17"/>
      <c r="IQZ116" s="17"/>
      <c r="IRA116" s="17"/>
      <c r="IRB116" s="17"/>
      <c r="IRC116" s="17"/>
      <c r="IRD116" s="17"/>
      <c r="IRE116" s="17"/>
      <c r="IRF116" s="17"/>
      <c r="IRG116" s="17"/>
      <c r="IRH116" s="17"/>
      <c r="IRI116" s="17"/>
      <c r="IRJ116" s="17"/>
      <c r="IRK116" s="17"/>
      <c r="IRL116" s="17"/>
      <c r="IRM116" s="17"/>
      <c r="IRN116" s="17"/>
      <c r="IRO116" s="17"/>
      <c r="IRP116" s="17"/>
      <c r="IRQ116" s="17"/>
      <c r="IRR116" s="17"/>
      <c r="IRS116" s="17"/>
      <c r="IRT116" s="17"/>
      <c r="IRU116" s="17"/>
      <c r="IRV116" s="17"/>
      <c r="IRW116" s="17"/>
      <c r="IRX116" s="17"/>
      <c r="IRY116" s="17"/>
      <c r="IRZ116" s="17"/>
      <c r="ISA116" s="17"/>
      <c r="ISB116" s="17"/>
      <c r="ISC116" s="17"/>
      <c r="ISD116" s="17"/>
      <c r="ISE116" s="17"/>
      <c r="ISF116" s="17"/>
      <c r="ISG116" s="17"/>
      <c r="ISH116" s="17"/>
      <c r="ISI116" s="17"/>
      <c r="ISJ116" s="17"/>
      <c r="ISK116" s="17"/>
      <c r="ISL116" s="17"/>
      <c r="ISM116" s="17"/>
      <c r="ISN116" s="17"/>
      <c r="ISO116" s="17"/>
      <c r="ISP116" s="17"/>
      <c r="ISQ116" s="17"/>
      <c r="ISR116" s="17"/>
      <c r="ISS116" s="17"/>
      <c r="IST116" s="17"/>
      <c r="ISU116" s="17"/>
      <c r="ISV116" s="17"/>
      <c r="ISW116" s="17"/>
      <c r="ISX116" s="17"/>
      <c r="ISY116" s="17"/>
      <c r="ISZ116" s="17"/>
      <c r="ITA116" s="17"/>
      <c r="ITB116" s="17"/>
      <c r="ITC116" s="17"/>
      <c r="ITD116" s="17"/>
      <c r="ITE116" s="17"/>
      <c r="ITF116" s="17"/>
      <c r="ITG116" s="17"/>
      <c r="ITH116" s="17"/>
      <c r="ITI116" s="17"/>
      <c r="ITJ116" s="17"/>
      <c r="ITK116" s="17"/>
      <c r="ITL116" s="17"/>
      <c r="ITM116" s="17"/>
      <c r="ITN116" s="17"/>
      <c r="ITO116" s="17"/>
      <c r="ITP116" s="17"/>
      <c r="ITQ116" s="17"/>
      <c r="ITR116" s="17"/>
      <c r="ITS116" s="17"/>
      <c r="ITT116" s="17"/>
      <c r="ITU116" s="17"/>
      <c r="ITV116" s="17"/>
      <c r="ITW116" s="17"/>
      <c r="ITX116" s="17"/>
      <c r="ITY116" s="17"/>
      <c r="ITZ116" s="17"/>
      <c r="IUA116" s="17"/>
      <c r="IUB116" s="17"/>
      <c r="IUC116" s="17"/>
      <c r="IUD116" s="17"/>
      <c r="IUE116" s="17"/>
      <c r="IUF116" s="17"/>
      <c r="IUG116" s="17"/>
      <c r="IUH116" s="17"/>
      <c r="IUI116" s="17"/>
      <c r="IUJ116" s="17"/>
      <c r="IUK116" s="17"/>
      <c r="IUL116" s="17"/>
      <c r="IUM116" s="17"/>
      <c r="IUN116" s="17"/>
      <c r="IUO116" s="17"/>
      <c r="IUP116" s="17"/>
      <c r="IUQ116" s="17"/>
      <c r="IUR116" s="17"/>
      <c r="IUS116" s="17"/>
      <c r="IUT116" s="17"/>
      <c r="IUU116" s="17"/>
      <c r="IUV116" s="17"/>
      <c r="IUW116" s="17"/>
      <c r="IUX116" s="17"/>
      <c r="IUY116" s="17"/>
      <c r="IUZ116" s="17"/>
      <c r="IVA116" s="17"/>
      <c r="IVB116" s="17"/>
      <c r="IVC116" s="17"/>
      <c r="IVD116" s="17"/>
      <c r="IVE116" s="17"/>
      <c r="IVF116" s="17"/>
      <c r="IVG116" s="17"/>
      <c r="IVH116" s="17"/>
      <c r="IVI116" s="17"/>
      <c r="IVJ116" s="17"/>
      <c r="IVK116" s="17"/>
      <c r="IVL116" s="17"/>
      <c r="IVM116" s="17"/>
      <c r="IVN116" s="17"/>
      <c r="IVO116" s="17"/>
      <c r="IVP116" s="17"/>
      <c r="IVQ116" s="17"/>
      <c r="IVR116" s="17"/>
      <c r="IVS116" s="17"/>
      <c r="IVT116" s="17"/>
      <c r="IVU116" s="17"/>
      <c r="IVV116" s="17"/>
      <c r="IVW116" s="17"/>
      <c r="IVX116" s="17"/>
      <c r="IVY116" s="17"/>
      <c r="IVZ116" s="17"/>
      <c r="IWA116" s="17"/>
      <c r="IWB116" s="17"/>
      <c r="IWC116" s="17"/>
      <c r="IWD116" s="17"/>
      <c r="IWE116" s="17"/>
      <c r="IWF116" s="17"/>
      <c r="IWG116" s="17"/>
      <c r="IWH116" s="17"/>
      <c r="IWI116" s="17"/>
      <c r="IWJ116" s="17"/>
      <c r="IWK116" s="17"/>
      <c r="IWL116" s="17"/>
      <c r="IWM116" s="17"/>
      <c r="IWN116" s="17"/>
      <c r="IWO116" s="17"/>
      <c r="IWP116" s="17"/>
      <c r="IWQ116" s="17"/>
      <c r="IWR116" s="17"/>
      <c r="IWS116" s="17"/>
      <c r="IWT116" s="17"/>
      <c r="IWU116" s="17"/>
      <c r="IWV116" s="17"/>
      <c r="IWW116" s="17"/>
      <c r="IWX116" s="17"/>
      <c r="IWY116" s="17"/>
      <c r="IWZ116" s="17"/>
      <c r="IXA116" s="17"/>
      <c r="IXB116" s="17"/>
      <c r="IXC116" s="17"/>
      <c r="IXD116" s="17"/>
      <c r="IXE116" s="17"/>
      <c r="IXF116" s="17"/>
      <c r="IXG116" s="17"/>
      <c r="IXH116" s="17"/>
      <c r="IXI116" s="17"/>
      <c r="IXJ116" s="17"/>
      <c r="IXK116" s="17"/>
      <c r="IXL116" s="17"/>
      <c r="IXM116" s="17"/>
      <c r="IXN116" s="17"/>
      <c r="IXO116" s="17"/>
      <c r="IXP116" s="17"/>
      <c r="IXQ116" s="17"/>
      <c r="IXR116" s="17"/>
      <c r="IXS116" s="17"/>
      <c r="IXT116" s="17"/>
      <c r="IXU116" s="17"/>
      <c r="IXV116" s="17"/>
      <c r="IXW116" s="17"/>
      <c r="IXX116" s="17"/>
      <c r="IXY116" s="17"/>
      <c r="IXZ116" s="17"/>
      <c r="IYA116" s="17"/>
      <c r="IYB116" s="17"/>
      <c r="IYC116" s="17"/>
      <c r="IYD116" s="17"/>
      <c r="IYE116" s="17"/>
      <c r="IYF116" s="17"/>
      <c r="IYG116" s="17"/>
      <c r="IYH116" s="17"/>
      <c r="IYI116" s="17"/>
      <c r="IYJ116" s="17"/>
      <c r="IYK116" s="17"/>
      <c r="IYL116" s="17"/>
      <c r="IYM116" s="17"/>
      <c r="IYN116" s="17"/>
      <c r="IYO116" s="17"/>
      <c r="IYP116" s="17"/>
      <c r="IYQ116" s="17"/>
      <c r="IYR116" s="17"/>
      <c r="IYS116" s="17"/>
      <c r="IYT116" s="17"/>
      <c r="IYU116" s="17"/>
      <c r="IYV116" s="17"/>
      <c r="IYW116" s="17"/>
      <c r="IYX116" s="17"/>
      <c r="IYY116" s="17"/>
      <c r="IYZ116" s="17"/>
      <c r="IZA116" s="17"/>
      <c r="IZB116" s="17"/>
      <c r="IZC116" s="17"/>
      <c r="IZD116" s="17"/>
      <c r="IZE116" s="17"/>
      <c r="IZF116" s="17"/>
      <c r="IZG116" s="17"/>
      <c r="IZH116" s="17"/>
      <c r="IZI116" s="17"/>
      <c r="IZJ116" s="17"/>
      <c r="IZK116" s="17"/>
      <c r="IZL116" s="17"/>
      <c r="IZM116" s="17"/>
      <c r="IZN116" s="17"/>
      <c r="IZO116" s="17"/>
      <c r="IZP116" s="17"/>
      <c r="IZQ116" s="17"/>
      <c r="IZR116" s="17"/>
      <c r="IZS116" s="17"/>
      <c r="IZT116" s="17"/>
      <c r="IZU116" s="17"/>
      <c r="IZV116" s="17"/>
      <c r="IZW116" s="17"/>
      <c r="IZX116" s="17"/>
      <c r="IZY116" s="17"/>
      <c r="IZZ116" s="17"/>
      <c r="JAA116" s="17"/>
      <c r="JAB116" s="17"/>
      <c r="JAC116" s="17"/>
      <c r="JAD116" s="17"/>
      <c r="JAE116" s="17"/>
      <c r="JAF116" s="17"/>
      <c r="JAG116" s="17"/>
      <c r="JAH116" s="17"/>
      <c r="JAI116" s="17"/>
      <c r="JAJ116" s="17"/>
      <c r="JAK116" s="17"/>
      <c r="JAL116" s="17"/>
      <c r="JAM116" s="17"/>
      <c r="JAN116" s="17"/>
      <c r="JAO116" s="17"/>
      <c r="JAP116" s="17"/>
      <c r="JAQ116" s="17"/>
      <c r="JAR116" s="17"/>
      <c r="JAS116" s="17"/>
      <c r="JAT116" s="17"/>
      <c r="JAU116" s="17"/>
      <c r="JAV116" s="17"/>
      <c r="JAW116" s="17"/>
      <c r="JAX116" s="17"/>
      <c r="JAY116" s="17"/>
      <c r="JAZ116" s="17"/>
      <c r="JBA116" s="17"/>
      <c r="JBB116" s="17"/>
      <c r="JBC116" s="17"/>
      <c r="JBD116" s="17"/>
      <c r="JBE116" s="17"/>
      <c r="JBF116" s="17"/>
      <c r="JBG116" s="17"/>
      <c r="JBH116" s="17"/>
      <c r="JBI116" s="17"/>
      <c r="JBJ116" s="17"/>
      <c r="JBK116" s="17"/>
      <c r="JBL116" s="17"/>
      <c r="JBM116" s="17"/>
      <c r="JBN116" s="17"/>
      <c r="JBO116" s="17"/>
      <c r="JBP116" s="17"/>
      <c r="JBQ116" s="17"/>
      <c r="JBR116" s="17"/>
      <c r="JBS116" s="17"/>
      <c r="JBT116" s="17"/>
      <c r="JBU116" s="17"/>
      <c r="JBV116" s="17"/>
      <c r="JBW116" s="17"/>
      <c r="JBX116" s="17"/>
      <c r="JBY116" s="17"/>
      <c r="JBZ116" s="17"/>
      <c r="JCA116" s="17"/>
      <c r="JCB116" s="17"/>
      <c r="JCC116" s="17"/>
      <c r="JCD116" s="17"/>
      <c r="JCE116" s="17"/>
      <c r="JCF116" s="17"/>
      <c r="JCG116" s="17"/>
      <c r="JCH116" s="17"/>
      <c r="JCI116" s="17"/>
      <c r="JCJ116" s="17"/>
      <c r="JCK116" s="17"/>
      <c r="JCL116" s="17"/>
      <c r="JCM116" s="17"/>
      <c r="JCN116" s="17"/>
      <c r="JCO116" s="17"/>
      <c r="JCP116" s="17"/>
      <c r="JCQ116" s="17"/>
      <c r="JCR116" s="17"/>
      <c r="JCS116" s="17"/>
      <c r="JCT116" s="17"/>
      <c r="JCU116" s="17"/>
      <c r="JCV116" s="17"/>
      <c r="JCW116" s="17"/>
      <c r="JCX116" s="17"/>
      <c r="JCY116" s="17"/>
      <c r="JCZ116" s="17"/>
      <c r="JDA116" s="17"/>
      <c r="JDB116" s="17"/>
      <c r="JDC116" s="17"/>
      <c r="JDD116" s="17"/>
      <c r="JDE116" s="17"/>
      <c r="JDF116" s="17"/>
      <c r="JDG116" s="17"/>
      <c r="JDH116" s="17"/>
      <c r="JDI116" s="17"/>
      <c r="JDJ116" s="17"/>
      <c r="JDK116" s="17"/>
      <c r="JDL116" s="17"/>
      <c r="JDM116" s="17"/>
      <c r="JDN116" s="17"/>
      <c r="JDO116" s="17"/>
      <c r="JDP116" s="17"/>
      <c r="JDQ116" s="17"/>
      <c r="JDR116" s="17"/>
      <c r="JDS116" s="17"/>
      <c r="JDT116" s="17"/>
      <c r="JDU116" s="17"/>
      <c r="JDV116" s="17"/>
      <c r="JDW116" s="17"/>
      <c r="JDX116" s="17"/>
      <c r="JDY116" s="17"/>
      <c r="JDZ116" s="17"/>
      <c r="JEA116" s="17"/>
      <c r="JEB116" s="17"/>
      <c r="JEC116" s="17"/>
      <c r="JED116" s="17"/>
      <c r="JEE116" s="17"/>
      <c r="JEF116" s="17"/>
      <c r="JEG116" s="17"/>
      <c r="JEH116" s="17"/>
      <c r="JEI116" s="17"/>
      <c r="JEJ116" s="17"/>
      <c r="JEK116" s="17"/>
      <c r="JEL116" s="17"/>
      <c r="JEM116" s="17"/>
      <c r="JEN116" s="17"/>
      <c r="JEO116" s="17"/>
      <c r="JEP116" s="17"/>
      <c r="JEQ116" s="17"/>
      <c r="JER116" s="17"/>
      <c r="JES116" s="17"/>
      <c r="JET116" s="17"/>
      <c r="JEU116" s="17"/>
      <c r="JEV116" s="17"/>
      <c r="JEW116" s="17"/>
      <c r="JEX116" s="17"/>
      <c r="JEY116" s="17"/>
      <c r="JEZ116" s="17"/>
      <c r="JFA116" s="17"/>
      <c r="JFB116" s="17"/>
      <c r="JFC116" s="17"/>
      <c r="JFD116" s="17"/>
      <c r="JFE116" s="17"/>
      <c r="JFF116" s="17"/>
      <c r="JFG116" s="17"/>
      <c r="JFH116" s="17"/>
      <c r="JFI116" s="17"/>
      <c r="JFJ116" s="17"/>
      <c r="JFK116" s="17"/>
      <c r="JFL116" s="17"/>
      <c r="JFM116" s="17"/>
      <c r="JFN116" s="17"/>
      <c r="JFO116" s="17"/>
      <c r="JFP116" s="17"/>
      <c r="JFQ116" s="17"/>
      <c r="JFR116" s="17"/>
      <c r="JFS116" s="17"/>
      <c r="JFT116" s="17"/>
      <c r="JFU116" s="17"/>
      <c r="JFV116" s="17"/>
      <c r="JFW116" s="17"/>
      <c r="JFX116" s="17"/>
      <c r="JFY116" s="17"/>
      <c r="JFZ116" s="17"/>
      <c r="JGA116" s="17"/>
      <c r="JGB116" s="17"/>
      <c r="JGC116" s="17"/>
      <c r="JGD116" s="17"/>
      <c r="JGE116" s="17"/>
      <c r="JGF116" s="17"/>
      <c r="JGG116" s="17"/>
      <c r="JGH116" s="17"/>
      <c r="JGI116" s="17"/>
      <c r="JGJ116" s="17"/>
      <c r="JGK116" s="17"/>
      <c r="JGL116" s="17"/>
      <c r="JGM116" s="17"/>
      <c r="JGN116" s="17"/>
      <c r="JGO116" s="17"/>
      <c r="JGP116" s="17"/>
      <c r="JGQ116" s="17"/>
      <c r="JGR116" s="17"/>
      <c r="JGS116" s="17"/>
      <c r="JGT116" s="17"/>
      <c r="JGU116" s="17"/>
      <c r="JGV116" s="17"/>
      <c r="JGW116" s="17"/>
      <c r="JGX116" s="17"/>
      <c r="JGY116" s="17"/>
      <c r="JGZ116" s="17"/>
      <c r="JHA116" s="17"/>
      <c r="JHB116" s="17"/>
      <c r="JHC116" s="17"/>
      <c r="JHD116" s="17"/>
      <c r="JHE116" s="17"/>
      <c r="JHF116" s="17"/>
      <c r="JHG116" s="17"/>
      <c r="JHH116" s="17"/>
      <c r="JHI116" s="17"/>
      <c r="JHJ116" s="17"/>
      <c r="JHK116" s="17"/>
      <c r="JHL116" s="17"/>
      <c r="JHM116" s="17"/>
      <c r="JHN116" s="17"/>
      <c r="JHO116" s="17"/>
      <c r="JHP116" s="17"/>
      <c r="JHQ116" s="17"/>
      <c r="JHR116" s="17"/>
      <c r="JHS116" s="17"/>
      <c r="JHT116" s="17"/>
      <c r="JHU116" s="17"/>
      <c r="JHV116" s="17"/>
      <c r="JHW116" s="17"/>
      <c r="JHX116" s="17"/>
      <c r="JHY116" s="17"/>
      <c r="JHZ116" s="17"/>
      <c r="JIA116" s="17"/>
      <c r="JIB116" s="17"/>
      <c r="JIC116" s="17"/>
      <c r="JID116" s="17"/>
      <c r="JIE116" s="17"/>
      <c r="JIF116" s="17"/>
      <c r="JIG116" s="17"/>
      <c r="JIH116" s="17"/>
      <c r="JII116" s="17"/>
      <c r="JIJ116" s="17"/>
      <c r="JIK116" s="17"/>
      <c r="JIL116" s="17"/>
      <c r="JIM116" s="17"/>
      <c r="JIN116" s="17"/>
      <c r="JIO116" s="17"/>
      <c r="JIP116" s="17"/>
      <c r="JIQ116" s="17"/>
      <c r="JIR116" s="17"/>
      <c r="JIS116" s="17"/>
      <c r="JIT116" s="17"/>
      <c r="JIU116" s="17"/>
      <c r="JIV116" s="17"/>
      <c r="JIW116" s="17"/>
      <c r="JIX116" s="17"/>
      <c r="JIY116" s="17"/>
      <c r="JIZ116" s="17"/>
      <c r="JJA116" s="17"/>
      <c r="JJB116" s="17"/>
      <c r="JJC116" s="17"/>
      <c r="JJD116" s="17"/>
      <c r="JJE116" s="17"/>
      <c r="JJF116" s="17"/>
      <c r="JJG116" s="17"/>
      <c r="JJH116" s="17"/>
      <c r="JJI116" s="17"/>
      <c r="JJJ116" s="17"/>
      <c r="JJK116" s="17"/>
      <c r="JJL116" s="17"/>
      <c r="JJM116" s="17"/>
      <c r="JJN116" s="17"/>
      <c r="JJO116" s="17"/>
      <c r="JJP116" s="17"/>
      <c r="JJQ116" s="17"/>
      <c r="JJR116" s="17"/>
      <c r="JJS116" s="17"/>
      <c r="JJT116" s="17"/>
      <c r="JJU116" s="17"/>
      <c r="JJV116" s="17"/>
      <c r="JJW116" s="17"/>
      <c r="JJX116" s="17"/>
      <c r="JJY116" s="17"/>
      <c r="JJZ116" s="17"/>
      <c r="JKA116" s="17"/>
      <c r="JKB116" s="17"/>
      <c r="JKC116" s="17"/>
      <c r="JKD116" s="17"/>
      <c r="JKE116" s="17"/>
      <c r="JKF116" s="17"/>
      <c r="JKG116" s="17"/>
      <c r="JKH116" s="17"/>
      <c r="JKI116" s="17"/>
      <c r="JKJ116" s="17"/>
      <c r="JKK116" s="17"/>
      <c r="JKL116" s="17"/>
      <c r="JKM116" s="17"/>
      <c r="JKN116" s="17"/>
      <c r="JKO116" s="17"/>
      <c r="JKP116" s="17"/>
      <c r="JKQ116" s="17"/>
      <c r="JKR116" s="17"/>
      <c r="JKS116" s="17"/>
      <c r="JKT116" s="17"/>
      <c r="JKU116" s="17"/>
      <c r="JKV116" s="17"/>
      <c r="JKW116" s="17"/>
      <c r="JKX116" s="17"/>
      <c r="JKY116" s="17"/>
      <c r="JKZ116" s="17"/>
      <c r="JLA116" s="17"/>
      <c r="JLB116" s="17"/>
      <c r="JLC116" s="17"/>
      <c r="JLD116" s="17"/>
      <c r="JLE116" s="17"/>
      <c r="JLF116" s="17"/>
      <c r="JLG116" s="17"/>
      <c r="JLH116" s="17"/>
      <c r="JLI116" s="17"/>
      <c r="JLJ116" s="17"/>
      <c r="JLK116" s="17"/>
      <c r="JLL116" s="17"/>
      <c r="JLM116" s="17"/>
      <c r="JLN116" s="17"/>
      <c r="JLO116" s="17"/>
      <c r="JLP116" s="17"/>
      <c r="JLQ116" s="17"/>
      <c r="JLR116" s="17"/>
      <c r="JLS116" s="17"/>
      <c r="JLT116" s="17"/>
      <c r="JLU116" s="17"/>
      <c r="JLV116" s="17"/>
      <c r="JLW116" s="17"/>
      <c r="JLX116" s="17"/>
      <c r="JLY116" s="17"/>
      <c r="JLZ116" s="17"/>
      <c r="JMA116" s="17"/>
      <c r="JMB116" s="17"/>
      <c r="JMC116" s="17"/>
      <c r="JMD116" s="17"/>
      <c r="JME116" s="17"/>
      <c r="JMF116" s="17"/>
      <c r="JMG116" s="17"/>
      <c r="JMH116" s="17"/>
      <c r="JMI116" s="17"/>
      <c r="JMJ116" s="17"/>
      <c r="JMK116" s="17"/>
      <c r="JML116" s="17"/>
      <c r="JMM116" s="17"/>
      <c r="JMN116" s="17"/>
      <c r="JMO116" s="17"/>
      <c r="JMP116" s="17"/>
      <c r="JMQ116" s="17"/>
      <c r="JMR116" s="17"/>
      <c r="JMS116" s="17"/>
      <c r="JMT116" s="17"/>
      <c r="JMU116" s="17"/>
      <c r="JMV116" s="17"/>
      <c r="JMW116" s="17"/>
      <c r="JMX116" s="17"/>
      <c r="JMY116" s="17"/>
      <c r="JMZ116" s="17"/>
      <c r="JNA116" s="17"/>
      <c r="JNB116" s="17"/>
      <c r="JNC116" s="17"/>
      <c r="JND116" s="17"/>
      <c r="JNE116" s="17"/>
      <c r="JNF116" s="17"/>
      <c r="JNG116" s="17"/>
      <c r="JNH116" s="17"/>
      <c r="JNI116" s="17"/>
      <c r="JNJ116" s="17"/>
      <c r="JNK116" s="17"/>
      <c r="JNL116" s="17"/>
      <c r="JNM116" s="17"/>
      <c r="JNN116" s="17"/>
      <c r="JNO116" s="17"/>
      <c r="JNP116" s="17"/>
      <c r="JNQ116" s="17"/>
      <c r="JNR116" s="17"/>
      <c r="JNS116" s="17"/>
      <c r="JNT116" s="17"/>
      <c r="JNU116" s="17"/>
      <c r="JNV116" s="17"/>
      <c r="JNW116" s="17"/>
      <c r="JNX116" s="17"/>
      <c r="JNY116" s="17"/>
      <c r="JNZ116" s="17"/>
      <c r="JOA116" s="17"/>
      <c r="JOB116" s="17"/>
      <c r="JOC116" s="17"/>
      <c r="JOD116" s="17"/>
      <c r="JOE116" s="17"/>
      <c r="JOF116" s="17"/>
      <c r="JOG116" s="17"/>
      <c r="JOH116" s="17"/>
      <c r="JOI116" s="17"/>
      <c r="JOJ116" s="17"/>
      <c r="JOK116" s="17"/>
      <c r="JOL116" s="17"/>
      <c r="JOM116" s="17"/>
      <c r="JON116" s="17"/>
      <c r="JOO116" s="17"/>
      <c r="JOP116" s="17"/>
      <c r="JOQ116" s="17"/>
      <c r="JOR116" s="17"/>
      <c r="JOS116" s="17"/>
      <c r="JOT116" s="17"/>
      <c r="JOU116" s="17"/>
      <c r="JOV116" s="17"/>
      <c r="JOW116" s="17"/>
      <c r="JOX116" s="17"/>
      <c r="JOY116" s="17"/>
      <c r="JOZ116" s="17"/>
      <c r="JPA116" s="17"/>
      <c r="JPB116" s="17"/>
      <c r="JPC116" s="17"/>
      <c r="JPD116" s="17"/>
      <c r="JPE116" s="17"/>
      <c r="JPF116" s="17"/>
      <c r="JPG116" s="17"/>
      <c r="JPH116" s="17"/>
      <c r="JPI116" s="17"/>
      <c r="JPJ116" s="17"/>
      <c r="JPK116" s="17"/>
      <c r="JPL116" s="17"/>
      <c r="JPM116" s="17"/>
      <c r="JPN116" s="17"/>
      <c r="JPO116" s="17"/>
      <c r="JPP116" s="17"/>
      <c r="JPQ116" s="17"/>
      <c r="JPR116" s="17"/>
      <c r="JPS116" s="17"/>
      <c r="JPT116" s="17"/>
      <c r="JPU116" s="17"/>
      <c r="JPV116" s="17"/>
      <c r="JPW116" s="17"/>
      <c r="JPX116" s="17"/>
      <c r="JPY116" s="17"/>
      <c r="JPZ116" s="17"/>
      <c r="JQA116" s="17"/>
      <c r="JQB116" s="17"/>
      <c r="JQC116" s="17"/>
      <c r="JQD116" s="17"/>
      <c r="JQE116" s="17"/>
      <c r="JQF116" s="17"/>
      <c r="JQG116" s="17"/>
      <c r="JQH116" s="17"/>
      <c r="JQI116" s="17"/>
      <c r="JQJ116" s="17"/>
      <c r="JQK116" s="17"/>
      <c r="JQL116" s="17"/>
      <c r="JQM116" s="17"/>
      <c r="JQN116" s="17"/>
      <c r="JQO116" s="17"/>
      <c r="JQP116" s="17"/>
      <c r="JQQ116" s="17"/>
      <c r="JQR116" s="17"/>
      <c r="JQS116" s="17"/>
      <c r="JQT116" s="17"/>
      <c r="JQU116" s="17"/>
      <c r="JQV116" s="17"/>
      <c r="JQW116" s="17"/>
      <c r="JQX116" s="17"/>
      <c r="JQY116" s="17"/>
      <c r="JQZ116" s="17"/>
      <c r="JRA116" s="17"/>
      <c r="JRB116" s="17"/>
      <c r="JRC116" s="17"/>
      <c r="JRD116" s="17"/>
      <c r="JRE116" s="17"/>
      <c r="JRF116" s="17"/>
      <c r="JRG116" s="17"/>
      <c r="JRH116" s="17"/>
      <c r="JRI116" s="17"/>
      <c r="JRJ116" s="17"/>
      <c r="JRK116" s="17"/>
      <c r="JRL116" s="17"/>
      <c r="JRM116" s="17"/>
      <c r="JRN116" s="17"/>
      <c r="JRO116" s="17"/>
      <c r="JRP116" s="17"/>
      <c r="JRQ116" s="17"/>
      <c r="JRR116" s="17"/>
      <c r="JRS116" s="17"/>
      <c r="JRT116" s="17"/>
      <c r="JRU116" s="17"/>
      <c r="JRV116" s="17"/>
      <c r="JRW116" s="17"/>
      <c r="JRX116" s="17"/>
      <c r="JRY116" s="17"/>
      <c r="JRZ116" s="17"/>
      <c r="JSA116" s="17"/>
      <c r="JSB116" s="17"/>
      <c r="JSC116" s="17"/>
      <c r="JSD116" s="17"/>
      <c r="JSE116" s="17"/>
      <c r="JSF116" s="17"/>
      <c r="JSG116" s="17"/>
      <c r="JSH116" s="17"/>
      <c r="JSI116" s="17"/>
      <c r="JSJ116" s="17"/>
      <c r="JSK116" s="17"/>
      <c r="JSL116" s="17"/>
      <c r="JSM116" s="17"/>
      <c r="JSN116" s="17"/>
      <c r="JSO116" s="17"/>
      <c r="JSP116" s="17"/>
      <c r="JSQ116" s="17"/>
      <c r="JSR116" s="17"/>
      <c r="JSS116" s="17"/>
      <c r="JST116" s="17"/>
      <c r="JSU116" s="17"/>
      <c r="JSV116" s="17"/>
      <c r="JSW116" s="17"/>
      <c r="JSX116" s="17"/>
      <c r="JSY116" s="17"/>
      <c r="JSZ116" s="17"/>
      <c r="JTA116" s="17"/>
      <c r="JTB116" s="17"/>
      <c r="JTC116" s="17"/>
      <c r="JTD116" s="17"/>
      <c r="JTE116" s="17"/>
      <c r="JTF116" s="17"/>
      <c r="JTG116" s="17"/>
      <c r="JTH116" s="17"/>
      <c r="JTI116" s="17"/>
      <c r="JTJ116" s="17"/>
      <c r="JTK116" s="17"/>
      <c r="JTL116" s="17"/>
      <c r="JTM116" s="17"/>
      <c r="JTN116" s="17"/>
      <c r="JTO116" s="17"/>
      <c r="JTP116" s="17"/>
      <c r="JTQ116" s="17"/>
      <c r="JTR116" s="17"/>
      <c r="JTS116" s="17"/>
      <c r="JTT116" s="17"/>
      <c r="JTU116" s="17"/>
      <c r="JTV116" s="17"/>
      <c r="JTW116" s="17"/>
      <c r="JTX116" s="17"/>
      <c r="JTY116" s="17"/>
      <c r="JTZ116" s="17"/>
      <c r="JUA116" s="17"/>
      <c r="JUB116" s="17"/>
      <c r="JUC116" s="17"/>
      <c r="JUD116" s="17"/>
      <c r="JUE116" s="17"/>
      <c r="JUF116" s="17"/>
      <c r="JUG116" s="17"/>
      <c r="JUH116" s="17"/>
      <c r="JUI116" s="17"/>
      <c r="JUJ116" s="17"/>
      <c r="JUK116" s="17"/>
      <c r="JUL116" s="17"/>
      <c r="JUM116" s="17"/>
      <c r="JUN116" s="17"/>
      <c r="JUO116" s="17"/>
      <c r="JUP116" s="17"/>
      <c r="JUQ116" s="17"/>
      <c r="JUR116" s="17"/>
      <c r="JUS116" s="17"/>
      <c r="JUT116" s="17"/>
      <c r="JUU116" s="17"/>
      <c r="JUV116" s="17"/>
      <c r="JUW116" s="17"/>
      <c r="JUX116" s="17"/>
      <c r="JUY116" s="17"/>
      <c r="JUZ116" s="17"/>
      <c r="JVA116" s="17"/>
      <c r="JVB116" s="17"/>
      <c r="JVC116" s="17"/>
      <c r="JVD116" s="17"/>
      <c r="JVE116" s="17"/>
      <c r="JVF116" s="17"/>
      <c r="JVG116" s="17"/>
      <c r="JVH116" s="17"/>
      <c r="JVI116" s="17"/>
      <c r="JVJ116" s="17"/>
      <c r="JVK116" s="17"/>
      <c r="JVL116" s="17"/>
      <c r="JVM116" s="17"/>
      <c r="JVN116" s="17"/>
      <c r="JVO116" s="17"/>
      <c r="JVP116" s="17"/>
      <c r="JVQ116" s="17"/>
      <c r="JVR116" s="17"/>
      <c r="JVS116" s="17"/>
      <c r="JVT116" s="17"/>
      <c r="JVU116" s="17"/>
      <c r="JVV116" s="17"/>
      <c r="JVW116" s="17"/>
      <c r="JVX116" s="17"/>
      <c r="JVY116" s="17"/>
      <c r="JVZ116" s="17"/>
      <c r="JWA116" s="17"/>
      <c r="JWB116" s="17"/>
      <c r="JWC116" s="17"/>
      <c r="JWD116" s="17"/>
      <c r="JWE116" s="17"/>
      <c r="JWF116" s="17"/>
      <c r="JWG116" s="17"/>
      <c r="JWH116" s="17"/>
      <c r="JWI116" s="17"/>
      <c r="JWJ116" s="17"/>
      <c r="JWK116" s="17"/>
      <c r="JWL116" s="17"/>
      <c r="JWM116" s="17"/>
      <c r="JWN116" s="17"/>
      <c r="JWO116" s="17"/>
      <c r="JWP116" s="17"/>
      <c r="JWQ116" s="17"/>
      <c r="JWR116" s="17"/>
      <c r="JWS116" s="17"/>
      <c r="JWT116" s="17"/>
      <c r="JWU116" s="17"/>
      <c r="JWV116" s="17"/>
      <c r="JWW116" s="17"/>
      <c r="JWX116" s="17"/>
      <c r="JWY116" s="17"/>
      <c r="JWZ116" s="17"/>
      <c r="JXA116" s="17"/>
      <c r="JXB116" s="17"/>
      <c r="JXC116" s="17"/>
      <c r="JXD116" s="17"/>
      <c r="JXE116" s="17"/>
      <c r="JXF116" s="17"/>
      <c r="JXG116" s="17"/>
      <c r="JXH116" s="17"/>
      <c r="JXI116" s="17"/>
      <c r="JXJ116" s="17"/>
      <c r="JXK116" s="17"/>
      <c r="JXL116" s="17"/>
      <c r="JXM116" s="17"/>
      <c r="JXN116" s="17"/>
      <c r="JXO116" s="17"/>
      <c r="JXP116" s="17"/>
      <c r="JXQ116" s="17"/>
      <c r="JXR116" s="17"/>
      <c r="JXS116" s="17"/>
      <c r="JXT116" s="17"/>
      <c r="JXU116" s="17"/>
      <c r="JXV116" s="17"/>
      <c r="JXW116" s="17"/>
      <c r="JXX116" s="17"/>
      <c r="JXY116" s="17"/>
      <c r="JXZ116" s="17"/>
      <c r="JYA116" s="17"/>
      <c r="JYB116" s="17"/>
      <c r="JYC116" s="17"/>
      <c r="JYD116" s="17"/>
      <c r="JYE116" s="17"/>
      <c r="JYF116" s="17"/>
      <c r="JYG116" s="17"/>
      <c r="JYH116" s="17"/>
      <c r="JYI116" s="17"/>
      <c r="JYJ116" s="17"/>
      <c r="JYK116" s="17"/>
      <c r="JYL116" s="17"/>
      <c r="JYM116" s="17"/>
      <c r="JYN116" s="17"/>
      <c r="JYO116" s="17"/>
      <c r="JYP116" s="17"/>
      <c r="JYQ116" s="17"/>
      <c r="JYR116" s="17"/>
      <c r="JYS116" s="17"/>
      <c r="JYT116" s="17"/>
      <c r="JYU116" s="17"/>
      <c r="JYV116" s="17"/>
      <c r="JYW116" s="17"/>
      <c r="JYX116" s="17"/>
      <c r="JYY116" s="17"/>
      <c r="JYZ116" s="17"/>
      <c r="JZA116" s="17"/>
      <c r="JZB116" s="17"/>
      <c r="JZC116" s="17"/>
      <c r="JZD116" s="17"/>
      <c r="JZE116" s="17"/>
      <c r="JZF116" s="17"/>
      <c r="JZG116" s="17"/>
      <c r="JZH116" s="17"/>
      <c r="JZI116" s="17"/>
      <c r="JZJ116" s="17"/>
      <c r="JZK116" s="17"/>
      <c r="JZL116" s="17"/>
      <c r="JZM116" s="17"/>
      <c r="JZN116" s="17"/>
      <c r="JZO116" s="17"/>
      <c r="JZP116" s="17"/>
      <c r="JZQ116" s="17"/>
      <c r="JZR116" s="17"/>
      <c r="JZS116" s="17"/>
      <c r="JZT116" s="17"/>
      <c r="JZU116" s="17"/>
      <c r="JZV116" s="17"/>
      <c r="JZW116" s="17"/>
      <c r="JZX116" s="17"/>
      <c r="JZY116" s="17"/>
      <c r="JZZ116" s="17"/>
      <c r="KAA116" s="17"/>
      <c r="KAB116" s="17"/>
      <c r="KAC116" s="17"/>
      <c r="KAD116" s="17"/>
      <c r="KAE116" s="17"/>
      <c r="KAF116" s="17"/>
      <c r="KAG116" s="17"/>
      <c r="KAH116" s="17"/>
      <c r="KAI116" s="17"/>
      <c r="KAJ116" s="17"/>
      <c r="KAK116" s="17"/>
      <c r="KAL116" s="17"/>
      <c r="KAM116" s="17"/>
      <c r="KAN116" s="17"/>
      <c r="KAO116" s="17"/>
      <c r="KAP116" s="17"/>
      <c r="KAQ116" s="17"/>
      <c r="KAR116" s="17"/>
      <c r="KAS116" s="17"/>
      <c r="KAT116" s="17"/>
      <c r="KAU116" s="17"/>
      <c r="KAV116" s="17"/>
      <c r="KAW116" s="17"/>
      <c r="KAX116" s="17"/>
      <c r="KAY116" s="17"/>
      <c r="KAZ116" s="17"/>
      <c r="KBA116" s="17"/>
      <c r="KBB116" s="17"/>
      <c r="KBC116" s="17"/>
      <c r="KBD116" s="17"/>
      <c r="KBE116" s="17"/>
      <c r="KBF116" s="17"/>
      <c r="KBG116" s="17"/>
      <c r="KBH116" s="17"/>
      <c r="KBI116" s="17"/>
      <c r="KBJ116" s="17"/>
      <c r="KBK116" s="17"/>
      <c r="KBL116" s="17"/>
      <c r="KBM116" s="17"/>
      <c r="KBN116" s="17"/>
      <c r="KBO116" s="17"/>
      <c r="KBP116" s="17"/>
      <c r="KBQ116" s="17"/>
      <c r="KBR116" s="17"/>
      <c r="KBS116" s="17"/>
      <c r="KBT116" s="17"/>
      <c r="KBU116" s="17"/>
      <c r="KBV116" s="17"/>
      <c r="KBW116" s="17"/>
      <c r="KBX116" s="17"/>
      <c r="KBY116" s="17"/>
      <c r="KBZ116" s="17"/>
      <c r="KCA116" s="17"/>
      <c r="KCB116" s="17"/>
      <c r="KCC116" s="17"/>
      <c r="KCD116" s="17"/>
      <c r="KCE116" s="17"/>
      <c r="KCF116" s="17"/>
      <c r="KCG116" s="17"/>
      <c r="KCH116" s="17"/>
      <c r="KCI116" s="17"/>
      <c r="KCJ116" s="17"/>
      <c r="KCK116" s="17"/>
      <c r="KCL116" s="17"/>
      <c r="KCM116" s="17"/>
      <c r="KCN116" s="17"/>
      <c r="KCO116" s="17"/>
      <c r="KCP116" s="17"/>
      <c r="KCQ116" s="17"/>
      <c r="KCR116" s="17"/>
      <c r="KCS116" s="17"/>
      <c r="KCT116" s="17"/>
      <c r="KCU116" s="17"/>
      <c r="KCV116" s="17"/>
      <c r="KCW116" s="17"/>
      <c r="KCX116" s="17"/>
      <c r="KCY116" s="17"/>
      <c r="KCZ116" s="17"/>
      <c r="KDA116" s="17"/>
      <c r="KDB116" s="17"/>
      <c r="KDC116" s="17"/>
      <c r="KDD116" s="17"/>
      <c r="KDE116" s="17"/>
      <c r="KDF116" s="17"/>
      <c r="KDG116" s="17"/>
      <c r="KDH116" s="17"/>
      <c r="KDI116" s="17"/>
      <c r="KDJ116" s="17"/>
      <c r="KDK116" s="17"/>
      <c r="KDL116" s="17"/>
      <c r="KDM116" s="17"/>
      <c r="KDN116" s="17"/>
      <c r="KDO116" s="17"/>
      <c r="KDP116" s="17"/>
      <c r="KDQ116" s="17"/>
      <c r="KDR116" s="17"/>
      <c r="KDS116" s="17"/>
      <c r="KDT116" s="17"/>
      <c r="KDU116" s="17"/>
      <c r="KDV116" s="17"/>
      <c r="KDW116" s="17"/>
      <c r="KDX116" s="17"/>
      <c r="KDY116" s="17"/>
      <c r="KDZ116" s="17"/>
      <c r="KEA116" s="17"/>
      <c r="KEB116" s="17"/>
      <c r="KEC116" s="17"/>
      <c r="KED116" s="17"/>
      <c r="KEE116" s="17"/>
      <c r="KEF116" s="17"/>
      <c r="KEG116" s="17"/>
      <c r="KEH116" s="17"/>
      <c r="KEI116" s="17"/>
      <c r="KEJ116" s="17"/>
      <c r="KEK116" s="17"/>
      <c r="KEL116" s="17"/>
      <c r="KEM116" s="17"/>
      <c r="KEN116" s="17"/>
      <c r="KEO116" s="17"/>
      <c r="KEP116" s="17"/>
      <c r="KEQ116" s="17"/>
      <c r="KER116" s="17"/>
      <c r="KES116" s="17"/>
      <c r="KET116" s="17"/>
      <c r="KEU116" s="17"/>
      <c r="KEV116" s="17"/>
      <c r="KEW116" s="17"/>
      <c r="KEX116" s="17"/>
      <c r="KEY116" s="17"/>
      <c r="KEZ116" s="17"/>
      <c r="KFA116" s="17"/>
      <c r="KFB116" s="17"/>
      <c r="KFC116" s="17"/>
      <c r="KFD116" s="17"/>
      <c r="KFE116" s="17"/>
      <c r="KFF116" s="17"/>
      <c r="KFG116" s="17"/>
      <c r="KFH116" s="17"/>
      <c r="KFI116" s="17"/>
      <c r="KFJ116" s="17"/>
      <c r="KFK116" s="17"/>
      <c r="KFL116" s="17"/>
      <c r="KFM116" s="17"/>
      <c r="KFN116" s="17"/>
      <c r="KFO116" s="17"/>
      <c r="KFP116" s="17"/>
      <c r="KFQ116" s="17"/>
      <c r="KFR116" s="17"/>
      <c r="KFS116" s="17"/>
      <c r="KFT116" s="17"/>
      <c r="KFU116" s="17"/>
      <c r="KFV116" s="17"/>
      <c r="KFW116" s="17"/>
      <c r="KFX116" s="17"/>
      <c r="KFY116" s="17"/>
      <c r="KFZ116" s="17"/>
      <c r="KGA116" s="17"/>
      <c r="KGB116" s="17"/>
      <c r="KGC116" s="17"/>
      <c r="KGD116" s="17"/>
      <c r="KGE116" s="17"/>
      <c r="KGF116" s="17"/>
      <c r="KGG116" s="17"/>
      <c r="KGH116" s="17"/>
      <c r="KGI116" s="17"/>
      <c r="KGJ116" s="17"/>
      <c r="KGK116" s="17"/>
      <c r="KGL116" s="17"/>
      <c r="KGM116" s="17"/>
      <c r="KGN116" s="17"/>
      <c r="KGO116" s="17"/>
      <c r="KGP116" s="17"/>
      <c r="KGQ116" s="17"/>
      <c r="KGR116" s="17"/>
      <c r="KGS116" s="17"/>
      <c r="KGT116" s="17"/>
      <c r="KGU116" s="17"/>
      <c r="KGV116" s="17"/>
      <c r="KGW116" s="17"/>
      <c r="KGX116" s="17"/>
      <c r="KGY116" s="17"/>
      <c r="KGZ116" s="17"/>
      <c r="KHA116" s="17"/>
      <c r="KHB116" s="17"/>
      <c r="KHC116" s="17"/>
      <c r="KHD116" s="17"/>
      <c r="KHE116" s="17"/>
      <c r="KHF116" s="17"/>
      <c r="KHG116" s="17"/>
      <c r="KHH116" s="17"/>
      <c r="KHI116" s="17"/>
      <c r="KHJ116" s="17"/>
      <c r="KHK116" s="17"/>
      <c r="KHL116" s="17"/>
      <c r="KHM116" s="17"/>
      <c r="KHN116" s="17"/>
      <c r="KHO116" s="17"/>
      <c r="KHP116" s="17"/>
      <c r="KHQ116" s="17"/>
      <c r="KHR116" s="17"/>
      <c r="KHS116" s="17"/>
      <c r="KHT116" s="17"/>
      <c r="KHU116" s="17"/>
      <c r="KHV116" s="17"/>
      <c r="KHW116" s="17"/>
      <c r="KHX116" s="17"/>
      <c r="KHY116" s="17"/>
      <c r="KHZ116" s="17"/>
      <c r="KIA116" s="17"/>
      <c r="KIB116" s="17"/>
      <c r="KIC116" s="17"/>
      <c r="KID116" s="17"/>
      <c r="KIE116" s="17"/>
      <c r="KIF116" s="17"/>
      <c r="KIG116" s="17"/>
      <c r="KIH116" s="17"/>
      <c r="KII116" s="17"/>
      <c r="KIJ116" s="17"/>
      <c r="KIK116" s="17"/>
      <c r="KIL116" s="17"/>
      <c r="KIM116" s="17"/>
      <c r="KIN116" s="17"/>
      <c r="KIO116" s="17"/>
      <c r="KIP116" s="17"/>
      <c r="KIQ116" s="17"/>
      <c r="KIR116" s="17"/>
      <c r="KIS116" s="17"/>
      <c r="KIT116" s="17"/>
      <c r="KIU116" s="17"/>
      <c r="KIV116" s="17"/>
      <c r="KIW116" s="17"/>
      <c r="KIX116" s="17"/>
      <c r="KIY116" s="17"/>
      <c r="KIZ116" s="17"/>
      <c r="KJA116" s="17"/>
      <c r="KJB116" s="17"/>
      <c r="KJC116" s="17"/>
      <c r="KJD116" s="17"/>
      <c r="KJE116" s="17"/>
      <c r="KJF116" s="17"/>
      <c r="KJG116" s="17"/>
      <c r="KJH116" s="17"/>
      <c r="KJI116" s="17"/>
      <c r="KJJ116" s="17"/>
      <c r="KJK116" s="17"/>
      <c r="KJL116" s="17"/>
      <c r="KJM116" s="17"/>
      <c r="KJN116" s="17"/>
      <c r="KJO116" s="17"/>
      <c r="KJP116" s="17"/>
      <c r="KJQ116" s="17"/>
      <c r="KJR116" s="17"/>
      <c r="KJS116" s="17"/>
      <c r="KJT116" s="17"/>
      <c r="KJU116" s="17"/>
      <c r="KJV116" s="17"/>
      <c r="KJW116" s="17"/>
      <c r="KJX116" s="17"/>
      <c r="KJY116" s="17"/>
      <c r="KJZ116" s="17"/>
      <c r="KKA116" s="17"/>
      <c r="KKB116" s="17"/>
      <c r="KKC116" s="17"/>
      <c r="KKD116" s="17"/>
      <c r="KKE116" s="17"/>
      <c r="KKF116" s="17"/>
      <c r="KKG116" s="17"/>
      <c r="KKH116" s="17"/>
      <c r="KKI116" s="17"/>
      <c r="KKJ116" s="17"/>
      <c r="KKK116" s="17"/>
      <c r="KKL116" s="17"/>
      <c r="KKM116" s="17"/>
      <c r="KKN116" s="17"/>
      <c r="KKO116" s="17"/>
      <c r="KKP116" s="17"/>
      <c r="KKQ116" s="17"/>
      <c r="KKR116" s="17"/>
      <c r="KKS116" s="17"/>
      <c r="KKT116" s="17"/>
      <c r="KKU116" s="17"/>
      <c r="KKV116" s="17"/>
      <c r="KKW116" s="17"/>
      <c r="KKX116" s="17"/>
      <c r="KKY116" s="17"/>
      <c r="KKZ116" s="17"/>
      <c r="KLA116" s="17"/>
      <c r="KLB116" s="17"/>
      <c r="KLC116" s="17"/>
      <c r="KLD116" s="17"/>
      <c r="KLE116" s="17"/>
      <c r="KLF116" s="17"/>
      <c r="KLG116" s="17"/>
      <c r="KLH116" s="17"/>
      <c r="KLI116" s="17"/>
      <c r="KLJ116" s="17"/>
      <c r="KLK116" s="17"/>
      <c r="KLL116" s="17"/>
      <c r="KLM116" s="17"/>
      <c r="KLN116" s="17"/>
      <c r="KLO116" s="17"/>
      <c r="KLP116" s="17"/>
      <c r="KLQ116" s="17"/>
      <c r="KLR116" s="17"/>
      <c r="KLS116" s="17"/>
      <c r="KLT116" s="17"/>
      <c r="KLU116" s="17"/>
      <c r="KLV116" s="17"/>
      <c r="KLW116" s="17"/>
      <c r="KLX116" s="17"/>
      <c r="KLY116" s="17"/>
      <c r="KLZ116" s="17"/>
      <c r="KMA116" s="17"/>
      <c r="KMB116" s="17"/>
      <c r="KMC116" s="17"/>
      <c r="KMD116" s="17"/>
      <c r="KME116" s="17"/>
      <c r="KMF116" s="17"/>
      <c r="KMG116" s="17"/>
      <c r="KMH116" s="17"/>
      <c r="KMI116" s="17"/>
      <c r="KMJ116" s="17"/>
      <c r="KMK116" s="17"/>
      <c r="KML116" s="17"/>
      <c r="KMM116" s="17"/>
      <c r="KMN116" s="17"/>
      <c r="KMO116" s="17"/>
      <c r="KMP116" s="17"/>
      <c r="KMQ116" s="17"/>
      <c r="KMR116" s="17"/>
      <c r="KMS116" s="17"/>
      <c r="KMT116" s="17"/>
      <c r="KMU116" s="17"/>
      <c r="KMV116" s="17"/>
      <c r="KMW116" s="17"/>
      <c r="KMX116" s="17"/>
      <c r="KMY116" s="17"/>
      <c r="KMZ116" s="17"/>
      <c r="KNA116" s="17"/>
      <c r="KNB116" s="17"/>
      <c r="KNC116" s="17"/>
      <c r="KND116" s="17"/>
      <c r="KNE116" s="17"/>
      <c r="KNF116" s="17"/>
      <c r="KNG116" s="17"/>
      <c r="KNH116" s="17"/>
      <c r="KNI116" s="17"/>
      <c r="KNJ116" s="17"/>
      <c r="KNK116" s="17"/>
      <c r="KNL116" s="17"/>
      <c r="KNM116" s="17"/>
      <c r="KNN116" s="17"/>
      <c r="KNO116" s="17"/>
      <c r="KNP116" s="17"/>
      <c r="KNQ116" s="17"/>
      <c r="KNR116" s="17"/>
      <c r="KNS116" s="17"/>
      <c r="KNT116" s="17"/>
      <c r="KNU116" s="17"/>
      <c r="KNV116" s="17"/>
      <c r="KNW116" s="17"/>
      <c r="KNX116" s="17"/>
      <c r="KNY116" s="17"/>
      <c r="KNZ116" s="17"/>
      <c r="KOA116" s="17"/>
      <c r="KOB116" s="17"/>
      <c r="KOC116" s="17"/>
      <c r="KOD116" s="17"/>
      <c r="KOE116" s="17"/>
      <c r="KOF116" s="17"/>
      <c r="KOG116" s="17"/>
      <c r="KOH116" s="17"/>
      <c r="KOI116" s="17"/>
      <c r="KOJ116" s="17"/>
      <c r="KOK116" s="17"/>
      <c r="KOL116" s="17"/>
      <c r="KOM116" s="17"/>
      <c r="KON116" s="17"/>
      <c r="KOO116" s="17"/>
      <c r="KOP116" s="17"/>
      <c r="KOQ116" s="17"/>
      <c r="KOR116" s="17"/>
      <c r="KOS116" s="17"/>
      <c r="KOT116" s="17"/>
      <c r="KOU116" s="17"/>
      <c r="KOV116" s="17"/>
      <c r="KOW116" s="17"/>
      <c r="KOX116" s="17"/>
      <c r="KOY116" s="17"/>
      <c r="KOZ116" s="17"/>
      <c r="KPA116" s="17"/>
      <c r="KPB116" s="17"/>
      <c r="KPC116" s="17"/>
      <c r="KPD116" s="17"/>
      <c r="KPE116" s="17"/>
      <c r="KPF116" s="17"/>
      <c r="KPG116" s="17"/>
      <c r="KPH116" s="17"/>
      <c r="KPI116" s="17"/>
      <c r="KPJ116" s="17"/>
      <c r="KPK116" s="17"/>
      <c r="KPL116" s="17"/>
      <c r="KPM116" s="17"/>
      <c r="KPN116" s="17"/>
      <c r="KPO116" s="17"/>
      <c r="KPP116" s="17"/>
      <c r="KPQ116" s="17"/>
      <c r="KPR116" s="17"/>
      <c r="KPS116" s="17"/>
      <c r="KPT116" s="17"/>
      <c r="KPU116" s="17"/>
      <c r="KPV116" s="17"/>
      <c r="KPW116" s="17"/>
      <c r="KPX116" s="17"/>
      <c r="KPY116" s="17"/>
      <c r="KPZ116" s="17"/>
      <c r="KQA116" s="17"/>
      <c r="KQB116" s="17"/>
      <c r="KQC116" s="17"/>
      <c r="KQD116" s="17"/>
      <c r="KQE116" s="17"/>
      <c r="KQF116" s="17"/>
      <c r="KQG116" s="17"/>
      <c r="KQH116" s="17"/>
      <c r="KQI116" s="17"/>
      <c r="KQJ116" s="17"/>
      <c r="KQK116" s="17"/>
      <c r="KQL116" s="17"/>
      <c r="KQM116" s="17"/>
      <c r="KQN116" s="17"/>
      <c r="KQO116" s="17"/>
      <c r="KQP116" s="17"/>
      <c r="KQQ116" s="17"/>
      <c r="KQR116" s="17"/>
      <c r="KQS116" s="17"/>
      <c r="KQT116" s="17"/>
      <c r="KQU116" s="17"/>
      <c r="KQV116" s="17"/>
      <c r="KQW116" s="17"/>
      <c r="KQX116" s="17"/>
      <c r="KQY116" s="17"/>
      <c r="KQZ116" s="17"/>
      <c r="KRA116" s="17"/>
      <c r="KRB116" s="17"/>
      <c r="KRC116" s="17"/>
      <c r="KRD116" s="17"/>
      <c r="KRE116" s="17"/>
      <c r="KRF116" s="17"/>
      <c r="KRG116" s="17"/>
      <c r="KRH116" s="17"/>
      <c r="KRI116" s="17"/>
      <c r="KRJ116" s="17"/>
      <c r="KRK116" s="17"/>
      <c r="KRL116" s="17"/>
      <c r="KRM116" s="17"/>
      <c r="KRN116" s="17"/>
      <c r="KRO116" s="17"/>
      <c r="KRP116" s="17"/>
      <c r="KRQ116" s="17"/>
      <c r="KRR116" s="17"/>
      <c r="KRS116" s="17"/>
      <c r="KRT116" s="17"/>
      <c r="KRU116" s="17"/>
      <c r="KRV116" s="17"/>
      <c r="KRW116" s="17"/>
      <c r="KRX116" s="17"/>
      <c r="KRY116" s="17"/>
      <c r="KRZ116" s="17"/>
      <c r="KSA116" s="17"/>
      <c r="KSB116" s="17"/>
      <c r="KSC116" s="17"/>
      <c r="KSD116" s="17"/>
      <c r="KSE116" s="17"/>
      <c r="KSF116" s="17"/>
      <c r="KSG116" s="17"/>
      <c r="KSH116" s="17"/>
      <c r="KSI116" s="17"/>
      <c r="KSJ116" s="17"/>
      <c r="KSK116" s="17"/>
      <c r="KSL116" s="17"/>
      <c r="KSM116" s="17"/>
      <c r="KSN116" s="17"/>
      <c r="KSO116" s="17"/>
      <c r="KSP116" s="17"/>
      <c r="KSQ116" s="17"/>
      <c r="KSR116" s="17"/>
      <c r="KSS116" s="17"/>
      <c r="KST116" s="17"/>
      <c r="KSU116" s="17"/>
      <c r="KSV116" s="17"/>
      <c r="KSW116" s="17"/>
      <c r="KSX116" s="17"/>
      <c r="KSY116" s="17"/>
      <c r="KSZ116" s="17"/>
      <c r="KTA116" s="17"/>
      <c r="KTB116" s="17"/>
      <c r="KTC116" s="17"/>
      <c r="KTD116" s="17"/>
      <c r="KTE116" s="17"/>
      <c r="KTF116" s="17"/>
      <c r="KTG116" s="17"/>
      <c r="KTH116" s="17"/>
      <c r="KTI116" s="17"/>
      <c r="KTJ116" s="17"/>
      <c r="KTK116" s="17"/>
      <c r="KTL116" s="17"/>
      <c r="KTM116" s="17"/>
      <c r="KTN116" s="17"/>
      <c r="KTO116" s="17"/>
      <c r="KTP116" s="17"/>
      <c r="KTQ116" s="17"/>
      <c r="KTR116" s="17"/>
      <c r="KTS116" s="17"/>
      <c r="KTT116" s="17"/>
      <c r="KTU116" s="17"/>
      <c r="KTV116" s="17"/>
      <c r="KTW116" s="17"/>
      <c r="KTX116" s="17"/>
      <c r="KTY116" s="17"/>
      <c r="KTZ116" s="17"/>
      <c r="KUA116" s="17"/>
      <c r="KUB116" s="17"/>
      <c r="KUC116" s="17"/>
      <c r="KUD116" s="17"/>
      <c r="KUE116" s="17"/>
      <c r="KUF116" s="17"/>
      <c r="KUG116" s="17"/>
      <c r="KUH116" s="17"/>
      <c r="KUI116" s="17"/>
      <c r="KUJ116" s="17"/>
      <c r="KUK116" s="17"/>
      <c r="KUL116" s="17"/>
      <c r="KUM116" s="17"/>
      <c r="KUN116" s="17"/>
      <c r="KUO116" s="17"/>
      <c r="KUP116" s="17"/>
      <c r="KUQ116" s="17"/>
      <c r="KUR116" s="17"/>
      <c r="KUS116" s="17"/>
      <c r="KUT116" s="17"/>
      <c r="KUU116" s="17"/>
      <c r="KUV116" s="17"/>
      <c r="KUW116" s="17"/>
      <c r="KUX116" s="17"/>
      <c r="KUY116" s="17"/>
      <c r="KUZ116" s="17"/>
      <c r="KVA116" s="17"/>
      <c r="KVB116" s="17"/>
      <c r="KVC116" s="17"/>
      <c r="KVD116" s="17"/>
      <c r="KVE116" s="17"/>
      <c r="KVF116" s="17"/>
      <c r="KVG116" s="17"/>
      <c r="KVH116" s="17"/>
      <c r="KVI116" s="17"/>
      <c r="KVJ116" s="17"/>
      <c r="KVK116" s="17"/>
      <c r="KVL116" s="17"/>
      <c r="KVM116" s="17"/>
      <c r="KVN116" s="17"/>
      <c r="KVO116" s="17"/>
      <c r="KVP116" s="17"/>
      <c r="KVQ116" s="17"/>
      <c r="KVR116" s="17"/>
      <c r="KVS116" s="17"/>
      <c r="KVT116" s="17"/>
      <c r="KVU116" s="17"/>
      <c r="KVV116" s="17"/>
      <c r="KVW116" s="17"/>
      <c r="KVX116" s="17"/>
      <c r="KVY116" s="17"/>
      <c r="KVZ116" s="17"/>
      <c r="KWA116" s="17"/>
      <c r="KWB116" s="17"/>
      <c r="KWC116" s="17"/>
      <c r="KWD116" s="17"/>
      <c r="KWE116" s="17"/>
      <c r="KWF116" s="17"/>
      <c r="KWG116" s="17"/>
      <c r="KWH116" s="17"/>
      <c r="KWI116" s="17"/>
      <c r="KWJ116" s="17"/>
      <c r="KWK116" s="17"/>
      <c r="KWL116" s="17"/>
      <c r="KWM116" s="17"/>
      <c r="KWN116" s="17"/>
      <c r="KWO116" s="17"/>
      <c r="KWP116" s="17"/>
      <c r="KWQ116" s="17"/>
      <c r="KWR116" s="17"/>
      <c r="KWS116" s="17"/>
      <c r="KWT116" s="17"/>
      <c r="KWU116" s="17"/>
      <c r="KWV116" s="17"/>
      <c r="KWW116" s="17"/>
      <c r="KWX116" s="17"/>
      <c r="KWY116" s="17"/>
      <c r="KWZ116" s="17"/>
      <c r="KXA116" s="17"/>
      <c r="KXB116" s="17"/>
      <c r="KXC116" s="17"/>
      <c r="KXD116" s="17"/>
      <c r="KXE116" s="17"/>
      <c r="KXF116" s="17"/>
      <c r="KXG116" s="17"/>
      <c r="KXH116" s="17"/>
      <c r="KXI116" s="17"/>
      <c r="KXJ116" s="17"/>
      <c r="KXK116" s="17"/>
      <c r="KXL116" s="17"/>
      <c r="KXM116" s="17"/>
      <c r="KXN116" s="17"/>
      <c r="KXO116" s="17"/>
      <c r="KXP116" s="17"/>
      <c r="KXQ116" s="17"/>
      <c r="KXR116" s="17"/>
      <c r="KXS116" s="17"/>
      <c r="KXT116" s="17"/>
      <c r="KXU116" s="17"/>
      <c r="KXV116" s="17"/>
      <c r="KXW116" s="17"/>
      <c r="KXX116" s="17"/>
      <c r="KXY116" s="17"/>
      <c r="KXZ116" s="17"/>
      <c r="KYA116" s="17"/>
      <c r="KYB116" s="17"/>
      <c r="KYC116" s="17"/>
      <c r="KYD116" s="17"/>
      <c r="KYE116" s="17"/>
      <c r="KYF116" s="17"/>
      <c r="KYG116" s="17"/>
      <c r="KYH116" s="17"/>
      <c r="KYI116" s="17"/>
      <c r="KYJ116" s="17"/>
      <c r="KYK116" s="17"/>
      <c r="KYL116" s="17"/>
      <c r="KYM116" s="17"/>
      <c r="KYN116" s="17"/>
      <c r="KYO116" s="17"/>
      <c r="KYP116" s="17"/>
      <c r="KYQ116" s="17"/>
      <c r="KYR116" s="17"/>
      <c r="KYS116" s="17"/>
      <c r="KYT116" s="17"/>
      <c r="KYU116" s="17"/>
      <c r="KYV116" s="17"/>
      <c r="KYW116" s="17"/>
      <c r="KYX116" s="17"/>
      <c r="KYY116" s="17"/>
      <c r="KYZ116" s="17"/>
      <c r="KZA116" s="17"/>
      <c r="KZB116" s="17"/>
      <c r="KZC116" s="17"/>
      <c r="KZD116" s="17"/>
      <c r="KZE116" s="17"/>
      <c r="KZF116" s="17"/>
      <c r="KZG116" s="17"/>
      <c r="KZH116" s="17"/>
      <c r="KZI116" s="17"/>
      <c r="KZJ116" s="17"/>
      <c r="KZK116" s="17"/>
      <c r="KZL116" s="17"/>
      <c r="KZM116" s="17"/>
      <c r="KZN116" s="17"/>
      <c r="KZO116" s="17"/>
      <c r="KZP116" s="17"/>
      <c r="KZQ116" s="17"/>
      <c r="KZR116" s="17"/>
      <c r="KZS116" s="17"/>
      <c r="KZT116" s="17"/>
      <c r="KZU116" s="17"/>
      <c r="KZV116" s="17"/>
      <c r="KZW116" s="17"/>
      <c r="KZX116" s="17"/>
      <c r="KZY116" s="17"/>
      <c r="KZZ116" s="17"/>
      <c r="LAA116" s="17"/>
      <c r="LAB116" s="17"/>
      <c r="LAC116" s="17"/>
      <c r="LAD116" s="17"/>
      <c r="LAE116" s="17"/>
      <c r="LAF116" s="17"/>
      <c r="LAG116" s="17"/>
      <c r="LAH116" s="17"/>
      <c r="LAI116" s="17"/>
      <c r="LAJ116" s="17"/>
      <c r="LAK116" s="17"/>
      <c r="LAL116" s="17"/>
      <c r="LAM116" s="17"/>
      <c r="LAN116" s="17"/>
      <c r="LAO116" s="17"/>
      <c r="LAP116" s="17"/>
      <c r="LAQ116" s="17"/>
      <c r="LAR116" s="17"/>
      <c r="LAS116" s="17"/>
      <c r="LAT116" s="17"/>
      <c r="LAU116" s="17"/>
      <c r="LAV116" s="17"/>
      <c r="LAW116" s="17"/>
      <c r="LAX116" s="17"/>
      <c r="LAY116" s="17"/>
      <c r="LAZ116" s="17"/>
      <c r="LBA116" s="17"/>
      <c r="LBB116" s="17"/>
      <c r="LBC116" s="17"/>
      <c r="LBD116" s="17"/>
      <c r="LBE116" s="17"/>
      <c r="LBF116" s="17"/>
      <c r="LBG116" s="17"/>
      <c r="LBH116" s="17"/>
      <c r="LBI116" s="17"/>
      <c r="LBJ116" s="17"/>
      <c r="LBK116" s="17"/>
      <c r="LBL116" s="17"/>
      <c r="LBM116" s="17"/>
      <c r="LBN116" s="17"/>
      <c r="LBO116" s="17"/>
      <c r="LBP116" s="17"/>
      <c r="LBQ116" s="17"/>
      <c r="LBR116" s="17"/>
      <c r="LBS116" s="17"/>
      <c r="LBT116" s="17"/>
      <c r="LBU116" s="17"/>
      <c r="LBV116" s="17"/>
      <c r="LBW116" s="17"/>
      <c r="LBX116" s="17"/>
      <c r="LBY116" s="17"/>
      <c r="LBZ116" s="17"/>
      <c r="LCA116" s="17"/>
      <c r="LCB116" s="17"/>
      <c r="LCC116" s="17"/>
      <c r="LCD116" s="17"/>
      <c r="LCE116" s="17"/>
      <c r="LCF116" s="17"/>
      <c r="LCG116" s="17"/>
      <c r="LCH116" s="17"/>
      <c r="LCI116" s="17"/>
      <c r="LCJ116" s="17"/>
      <c r="LCK116" s="17"/>
      <c r="LCL116" s="17"/>
      <c r="LCM116" s="17"/>
      <c r="LCN116" s="17"/>
      <c r="LCO116" s="17"/>
      <c r="LCP116" s="17"/>
      <c r="LCQ116" s="17"/>
      <c r="LCR116" s="17"/>
      <c r="LCS116" s="17"/>
      <c r="LCT116" s="17"/>
      <c r="LCU116" s="17"/>
      <c r="LCV116" s="17"/>
      <c r="LCW116" s="17"/>
      <c r="LCX116" s="17"/>
      <c r="LCY116" s="17"/>
      <c r="LCZ116" s="17"/>
      <c r="LDA116" s="17"/>
      <c r="LDB116" s="17"/>
      <c r="LDC116" s="17"/>
      <c r="LDD116" s="17"/>
      <c r="LDE116" s="17"/>
      <c r="LDF116" s="17"/>
      <c r="LDG116" s="17"/>
      <c r="LDH116" s="17"/>
      <c r="LDI116" s="17"/>
      <c r="LDJ116" s="17"/>
      <c r="LDK116" s="17"/>
      <c r="LDL116" s="17"/>
      <c r="LDM116" s="17"/>
      <c r="LDN116" s="17"/>
      <c r="LDO116" s="17"/>
      <c r="LDP116" s="17"/>
      <c r="LDQ116" s="17"/>
      <c r="LDR116" s="17"/>
      <c r="LDS116" s="17"/>
      <c r="LDT116" s="17"/>
      <c r="LDU116" s="17"/>
      <c r="LDV116" s="17"/>
      <c r="LDW116" s="17"/>
      <c r="LDX116" s="17"/>
      <c r="LDY116" s="17"/>
      <c r="LDZ116" s="17"/>
      <c r="LEA116" s="17"/>
      <c r="LEB116" s="17"/>
      <c r="LEC116" s="17"/>
      <c r="LED116" s="17"/>
      <c r="LEE116" s="17"/>
      <c r="LEF116" s="17"/>
      <c r="LEG116" s="17"/>
      <c r="LEH116" s="17"/>
      <c r="LEI116" s="17"/>
      <c r="LEJ116" s="17"/>
      <c r="LEK116" s="17"/>
      <c r="LEL116" s="17"/>
      <c r="LEM116" s="17"/>
      <c r="LEN116" s="17"/>
      <c r="LEO116" s="17"/>
      <c r="LEP116" s="17"/>
      <c r="LEQ116" s="17"/>
      <c r="LER116" s="17"/>
      <c r="LES116" s="17"/>
      <c r="LET116" s="17"/>
      <c r="LEU116" s="17"/>
      <c r="LEV116" s="17"/>
      <c r="LEW116" s="17"/>
      <c r="LEX116" s="17"/>
      <c r="LEY116" s="17"/>
      <c r="LEZ116" s="17"/>
      <c r="LFA116" s="17"/>
      <c r="LFB116" s="17"/>
      <c r="LFC116" s="17"/>
      <c r="LFD116" s="17"/>
      <c r="LFE116" s="17"/>
      <c r="LFF116" s="17"/>
      <c r="LFG116" s="17"/>
      <c r="LFH116" s="17"/>
      <c r="LFI116" s="17"/>
      <c r="LFJ116" s="17"/>
      <c r="LFK116" s="17"/>
      <c r="LFL116" s="17"/>
      <c r="LFM116" s="17"/>
      <c r="LFN116" s="17"/>
      <c r="LFO116" s="17"/>
      <c r="LFP116" s="17"/>
      <c r="LFQ116" s="17"/>
      <c r="LFR116" s="17"/>
      <c r="LFS116" s="17"/>
      <c r="LFT116" s="17"/>
      <c r="LFU116" s="17"/>
      <c r="LFV116" s="17"/>
      <c r="LFW116" s="17"/>
      <c r="LFX116" s="17"/>
      <c r="LFY116" s="17"/>
      <c r="LFZ116" s="17"/>
      <c r="LGA116" s="17"/>
      <c r="LGB116" s="17"/>
      <c r="LGC116" s="17"/>
      <c r="LGD116" s="17"/>
      <c r="LGE116" s="17"/>
      <c r="LGF116" s="17"/>
      <c r="LGG116" s="17"/>
      <c r="LGH116" s="17"/>
      <c r="LGI116" s="17"/>
      <c r="LGJ116" s="17"/>
      <c r="LGK116" s="17"/>
      <c r="LGL116" s="17"/>
      <c r="LGM116" s="17"/>
      <c r="LGN116" s="17"/>
      <c r="LGO116" s="17"/>
      <c r="LGP116" s="17"/>
      <c r="LGQ116" s="17"/>
      <c r="LGR116" s="17"/>
      <c r="LGS116" s="17"/>
      <c r="LGT116" s="17"/>
      <c r="LGU116" s="17"/>
      <c r="LGV116" s="17"/>
      <c r="LGW116" s="17"/>
      <c r="LGX116" s="17"/>
      <c r="LGY116" s="17"/>
      <c r="LGZ116" s="17"/>
      <c r="LHA116" s="17"/>
      <c r="LHB116" s="17"/>
      <c r="LHC116" s="17"/>
      <c r="LHD116" s="17"/>
      <c r="LHE116" s="17"/>
      <c r="LHF116" s="17"/>
      <c r="LHG116" s="17"/>
      <c r="LHH116" s="17"/>
      <c r="LHI116" s="17"/>
      <c r="LHJ116" s="17"/>
      <c r="LHK116" s="17"/>
      <c r="LHL116" s="17"/>
      <c r="LHM116" s="17"/>
      <c r="LHN116" s="17"/>
      <c r="LHO116" s="17"/>
      <c r="LHP116" s="17"/>
      <c r="LHQ116" s="17"/>
      <c r="LHR116" s="17"/>
      <c r="LHS116" s="17"/>
      <c r="LHT116" s="17"/>
      <c r="LHU116" s="17"/>
      <c r="LHV116" s="17"/>
      <c r="LHW116" s="17"/>
      <c r="LHX116" s="17"/>
      <c r="LHY116" s="17"/>
      <c r="LHZ116" s="17"/>
      <c r="LIA116" s="17"/>
      <c r="LIB116" s="17"/>
      <c r="LIC116" s="17"/>
      <c r="LID116" s="17"/>
      <c r="LIE116" s="17"/>
      <c r="LIF116" s="17"/>
      <c r="LIG116" s="17"/>
      <c r="LIH116" s="17"/>
      <c r="LII116" s="17"/>
      <c r="LIJ116" s="17"/>
      <c r="LIK116" s="17"/>
      <c r="LIL116" s="17"/>
      <c r="LIM116" s="17"/>
      <c r="LIN116" s="17"/>
      <c r="LIO116" s="17"/>
      <c r="LIP116" s="17"/>
      <c r="LIQ116" s="17"/>
      <c r="LIR116" s="17"/>
      <c r="LIS116" s="17"/>
      <c r="LIT116" s="17"/>
      <c r="LIU116" s="17"/>
      <c r="LIV116" s="17"/>
      <c r="LIW116" s="17"/>
      <c r="LIX116" s="17"/>
      <c r="LIY116" s="17"/>
      <c r="LIZ116" s="17"/>
      <c r="LJA116" s="17"/>
      <c r="LJB116" s="17"/>
      <c r="LJC116" s="17"/>
      <c r="LJD116" s="17"/>
      <c r="LJE116" s="17"/>
      <c r="LJF116" s="17"/>
      <c r="LJG116" s="17"/>
      <c r="LJH116" s="17"/>
      <c r="LJI116" s="17"/>
      <c r="LJJ116" s="17"/>
      <c r="LJK116" s="17"/>
      <c r="LJL116" s="17"/>
      <c r="LJM116" s="17"/>
      <c r="LJN116" s="17"/>
      <c r="LJO116" s="17"/>
      <c r="LJP116" s="17"/>
      <c r="LJQ116" s="17"/>
      <c r="LJR116" s="17"/>
      <c r="LJS116" s="17"/>
      <c r="LJT116" s="17"/>
      <c r="LJU116" s="17"/>
      <c r="LJV116" s="17"/>
      <c r="LJW116" s="17"/>
      <c r="LJX116" s="17"/>
      <c r="LJY116" s="17"/>
      <c r="LJZ116" s="17"/>
      <c r="LKA116" s="17"/>
      <c r="LKB116" s="17"/>
      <c r="LKC116" s="17"/>
      <c r="LKD116" s="17"/>
      <c r="LKE116" s="17"/>
      <c r="LKF116" s="17"/>
      <c r="LKG116" s="17"/>
      <c r="LKH116" s="17"/>
      <c r="LKI116" s="17"/>
      <c r="LKJ116" s="17"/>
      <c r="LKK116" s="17"/>
      <c r="LKL116" s="17"/>
      <c r="LKM116" s="17"/>
      <c r="LKN116" s="17"/>
      <c r="LKO116" s="17"/>
      <c r="LKP116" s="17"/>
      <c r="LKQ116" s="17"/>
      <c r="LKR116" s="17"/>
      <c r="LKS116" s="17"/>
      <c r="LKT116" s="17"/>
      <c r="LKU116" s="17"/>
      <c r="LKV116" s="17"/>
      <c r="LKW116" s="17"/>
      <c r="LKX116" s="17"/>
      <c r="LKY116" s="17"/>
      <c r="LKZ116" s="17"/>
      <c r="LLA116" s="17"/>
      <c r="LLB116" s="17"/>
      <c r="LLC116" s="17"/>
      <c r="LLD116" s="17"/>
      <c r="LLE116" s="17"/>
      <c r="LLF116" s="17"/>
      <c r="LLG116" s="17"/>
      <c r="LLH116" s="17"/>
      <c r="LLI116" s="17"/>
      <c r="LLJ116" s="17"/>
      <c r="LLK116" s="17"/>
      <c r="LLL116" s="17"/>
      <c r="LLM116" s="17"/>
      <c r="LLN116" s="17"/>
      <c r="LLO116" s="17"/>
      <c r="LLP116" s="17"/>
      <c r="LLQ116" s="17"/>
      <c r="LLR116" s="17"/>
      <c r="LLS116" s="17"/>
      <c r="LLT116" s="17"/>
      <c r="LLU116" s="17"/>
      <c r="LLV116" s="17"/>
      <c r="LLW116" s="17"/>
      <c r="LLX116" s="17"/>
      <c r="LLY116" s="17"/>
      <c r="LLZ116" s="17"/>
      <c r="LMA116" s="17"/>
      <c r="LMB116" s="17"/>
      <c r="LMC116" s="17"/>
      <c r="LMD116" s="17"/>
      <c r="LME116" s="17"/>
      <c r="LMF116" s="17"/>
      <c r="LMG116" s="17"/>
      <c r="LMH116" s="17"/>
      <c r="LMI116" s="17"/>
      <c r="LMJ116" s="17"/>
      <c r="LMK116" s="17"/>
      <c r="LML116" s="17"/>
      <c r="LMM116" s="17"/>
      <c r="LMN116" s="17"/>
      <c r="LMO116" s="17"/>
      <c r="LMP116" s="17"/>
      <c r="LMQ116" s="17"/>
      <c r="LMR116" s="17"/>
      <c r="LMS116" s="17"/>
      <c r="LMT116" s="17"/>
      <c r="LMU116" s="17"/>
      <c r="LMV116" s="17"/>
      <c r="LMW116" s="17"/>
      <c r="LMX116" s="17"/>
      <c r="LMY116" s="17"/>
      <c r="LMZ116" s="17"/>
      <c r="LNA116" s="17"/>
      <c r="LNB116" s="17"/>
      <c r="LNC116" s="17"/>
      <c r="LND116" s="17"/>
      <c r="LNE116" s="17"/>
      <c r="LNF116" s="17"/>
      <c r="LNG116" s="17"/>
      <c r="LNH116" s="17"/>
      <c r="LNI116" s="17"/>
      <c r="LNJ116" s="17"/>
      <c r="LNK116" s="17"/>
      <c r="LNL116" s="17"/>
      <c r="LNM116" s="17"/>
      <c r="LNN116" s="17"/>
      <c r="LNO116" s="17"/>
      <c r="LNP116" s="17"/>
      <c r="LNQ116" s="17"/>
      <c r="LNR116" s="17"/>
      <c r="LNS116" s="17"/>
      <c r="LNT116" s="17"/>
      <c r="LNU116" s="17"/>
      <c r="LNV116" s="17"/>
      <c r="LNW116" s="17"/>
      <c r="LNX116" s="17"/>
      <c r="LNY116" s="17"/>
      <c r="LNZ116" s="17"/>
      <c r="LOA116" s="17"/>
      <c r="LOB116" s="17"/>
      <c r="LOC116" s="17"/>
      <c r="LOD116" s="17"/>
      <c r="LOE116" s="17"/>
      <c r="LOF116" s="17"/>
      <c r="LOG116" s="17"/>
      <c r="LOH116" s="17"/>
      <c r="LOI116" s="17"/>
      <c r="LOJ116" s="17"/>
      <c r="LOK116" s="17"/>
      <c r="LOL116" s="17"/>
      <c r="LOM116" s="17"/>
      <c r="LON116" s="17"/>
      <c r="LOO116" s="17"/>
      <c r="LOP116" s="17"/>
      <c r="LOQ116" s="17"/>
      <c r="LOR116" s="17"/>
      <c r="LOS116" s="17"/>
      <c r="LOT116" s="17"/>
      <c r="LOU116" s="17"/>
      <c r="LOV116" s="17"/>
      <c r="LOW116" s="17"/>
      <c r="LOX116" s="17"/>
      <c r="LOY116" s="17"/>
      <c r="LOZ116" s="17"/>
      <c r="LPA116" s="17"/>
      <c r="LPB116" s="17"/>
      <c r="LPC116" s="17"/>
      <c r="LPD116" s="17"/>
      <c r="LPE116" s="17"/>
      <c r="LPF116" s="17"/>
      <c r="LPG116" s="17"/>
      <c r="LPH116" s="17"/>
      <c r="LPI116" s="17"/>
      <c r="LPJ116" s="17"/>
      <c r="LPK116" s="17"/>
      <c r="LPL116" s="17"/>
      <c r="LPM116" s="17"/>
      <c r="LPN116" s="17"/>
      <c r="LPO116" s="17"/>
      <c r="LPP116" s="17"/>
      <c r="LPQ116" s="17"/>
      <c r="LPR116" s="17"/>
      <c r="LPS116" s="17"/>
      <c r="LPT116" s="17"/>
      <c r="LPU116" s="17"/>
      <c r="LPV116" s="17"/>
      <c r="LPW116" s="17"/>
      <c r="LPX116" s="17"/>
      <c r="LPY116" s="17"/>
      <c r="LPZ116" s="17"/>
      <c r="LQA116" s="17"/>
      <c r="LQB116" s="17"/>
      <c r="LQC116" s="17"/>
      <c r="LQD116" s="17"/>
      <c r="LQE116" s="17"/>
      <c r="LQF116" s="17"/>
      <c r="LQG116" s="17"/>
      <c r="LQH116" s="17"/>
      <c r="LQI116" s="17"/>
      <c r="LQJ116" s="17"/>
      <c r="LQK116" s="17"/>
      <c r="LQL116" s="17"/>
      <c r="LQM116" s="17"/>
      <c r="LQN116" s="17"/>
      <c r="LQO116" s="17"/>
      <c r="LQP116" s="17"/>
      <c r="LQQ116" s="17"/>
      <c r="LQR116" s="17"/>
      <c r="LQS116" s="17"/>
      <c r="LQT116" s="17"/>
      <c r="LQU116" s="17"/>
      <c r="LQV116" s="17"/>
      <c r="LQW116" s="17"/>
      <c r="LQX116" s="17"/>
      <c r="LQY116" s="17"/>
      <c r="LQZ116" s="17"/>
      <c r="LRA116" s="17"/>
      <c r="LRB116" s="17"/>
      <c r="LRC116" s="17"/>
      <c r="LRD116" s="17"/>
      <c r="LRE116" s="17"/>
      <c r="LRF116" s="17"/>
      <c r="LRG116" s="17"/>
      <c r="LRH116" s="17"/>
      <c r="LRI116" s="17"/>
      <c r="LRJ116" s="17"/>
      <c r="LRK116" s="17"/>
      <c r="LRL116" s="17"/>
      <c r="LRM116" s="17"/>
      <c r="LRN116" s="17"/>
      <c r="LRO116" s="17"/>
      <c r="LRP116" s="17"/>
      <c r="LRQ116" s="17"/>
      <c r="LRR116" s="17"/>
      <c r="LRS116" s="17"/>
      <c r="LRT116" s="17"/>
      <c r="LRU116" s="17"/>
      <c r="LRV116" s="17"/>
      <c r="LRW116" s="17"/>
      <c r="LRX116" s="17"/>
      <c r="LRY116" s="17"/>
      <c r="LRZ116" s="17"/>
      <c r="LSA116" s="17"/>
      <c r="LSB116" s="17"/>
      <c r="LSC116" s="17"/>
      <c r="LSD116" s="17"/>
      <c r="LSE116" s="17"/>
      <c r="LSF116" s="17"/>
      <c r="LSG116" s="17"/>
      <c r="LSH116" s="17"/>
      <c r="LSI116" s="17"/>
      <c r="LSJ116" s="17"/>
      <c r="LSK116" s="17"/>
      <c r="LSL116" s="17"/>
      <c r="LSM116" s="17"/>
      <c r="LSN116" s="17"/>
      <c r="LSO116" s="17"/>
      <c r="LSP116" s="17"/>
      <c r="LSQ116" s="17"/>
      <c r="LSR116" s="17"/>
      <c r="LSS116" s="17"/>
      <c r="LST116" s="17"/>
      <c r="LSU116" s="17"/>
      <c r="LSV116" s="17"/>
      <c r="LSW116" s="17"/>
      <c r="LSX116" s="17"/>
      <c r="LSY116" s="17"/>
      <c r="LSZ116" s="17"/>
      <c r="LTA116" s="17"/>
      <c r="LTB116" s="17"/>
      <c r="LTC116" s="17"/>
      <c r="LTD116" s="17"/>
      <c r="LTE116" s="17"/>
      <c r="LTF116" s="17"/>
      <c r="LTG116" s="17"/>
      <c r="LTH116" s="17"/>
      <c r="LTI116" s="17"/>
      <c r="LTJ116" s="17"/>
      <c r="LTK116" s="17"/>
      <c r="LTL116" s="17"/>
      <c r="LTM116" s="17"/>
      <c r="LTN116" s="17"/>
      <c r="LTO116" s="17"/>
      <c r="LTP116" s="17"/>
      <c r="LTQ116" s="17"/>
      <c r="LTR116" s="17"/>
      <c r="LTS116" s="17"/>
      <c r="LTT116" s="17"/>
      <c r="LTU116" s="17"/>
      <c r="LTV116" s="17"/>
      <c r="LTW116" s="17"/>
      <c r="LTX116" s="17"/>
      <c r="LTY116" s="17"/>
      <c r="LTZ116" s="17"/>
      <c r="LUA116" s="17"/>
      <c r="LUB116" s="17"/>
      <c r="LUC116" s="17"/>
      <c r="LUD116" s="17"/>
      <c r="LUE116" s="17"/>
      <c r="LUF116" s="17"/>
      <c r="LUG116" s="17"/>
      <c r="LUH116" s="17"/>
      <c r="LUI116" s="17"/>
      <c r="LUJ116" s="17"/>
      <c r="LUK116" s="17"/>
      <c r="LUL116" s="17"/>
      <c r="LUM116" s="17"/>
      <c r="LUN116" s="17"/>
      <c r="LUO116" s="17"/>
      <c r="LUP116" s="17"/>
      <c r="LUQ116" s="17"/>
      <c r="LUR116" s="17"/>
      <c r="LUS116" s="17"/>
      <c r="LUT116" s="17"/>
      <c r="LUU116" s="17"/>
      <c r="LUV116" s="17"/>
      <c r="LUW116" s="17"/>
      <c r="LUX116" s="17"/>
      <c r="LUY116" s="17"/>
      <c r="LUZ116" s="17"/>
      <c r="LVA116" s="17"/>
      <c r="LVB116" s="17"/>
      <c r="LVC116" s="17"/>
      <c r="LVD116" s="17"/>
      <c r="LVE116" s="17"/>
      <c r="LVF116" s="17"/>
      <c r="LVG116" s="17"/>
      <c r="LVH116" s="17"/>
      <c r="LVI116" s="17"/>
      <c r="LVJ116" s="17"/>
      <c r="LVK116" s="17"/>
      <c r="LVL116" s="17"/>
      <c r="LVM116" s="17"/>
      <c r="LVN116" s="17"/>
      <c r="LVO116" s="17"/>
      <c r="LVP116" s="17"/>
      <c r="LVQ116" s="17"/>
      <c r="LVR116" s="17"/>
      <c r="LVS116" s="17"/>
      <c r="LVT116" s="17"/>
      <c r="LVU116" s="17"/>
      <c r="LVV116" s="17"/>
      <c r="LVW116" s="17"/>
      <c r="LVX116" s="17"/>
      <c r="LVY116" s="17"/>
      <c r="LVZ116" s="17"/>
      <c r="LWA116" s="17"/>
      <c r="LWB116" s="17"/>
      <c r="LWC116" s="17"/>
      <c r="LWD116" s="17"/>
      <c r="LWE116" s="17"/>
      <c r="LWF116" s="17"/>
      <c r="LWG116" s="17"/>
      <c r="LWH116" s="17"/>
      <c r="LWI116" s="17"/>
      <c r="LWJ116" s="17"/>
      <c r="LWK116" s="17"/>
      <c r="LWL116" s="17"/>
      <c r="LWM116" s="17"/>
      <c r="LWN116" s="17"/>
      <c r="LWO116" s="17"/>
      <c r="LWP116" s="17"/>
      <c r="LWQ116" s="17"/>
      <c r="LWR116" s="17"/>
      <c r="LWS116" s="17"/>
      <c r="LWT116" s="17"/>
      <c r="LWU116" s="17"/>
      <c r="LWV116" s="17"/>
      <c r="LWW116" s="17"/>
      <c r="LWX116" s="17"/>
      <c r="LWY116" s="17"/>
      <c r="LWZ116" s="17"/>
      <c r="LXA116" s="17"/>
      <c r="LXB116" s="17"/>
      <c r="LXC116" s="17"/>
      <c r="LXD116" s="17"/>
      <c r="LXE116" s="17"/>
      <c r="LXF116" s="17"/>
      <c r="LXG116" s="17"/>
      <c r="LXH116" s="17"/>
      <c r="LXI116" s="17"/>
      <c r="LXJ116" s="17"/>
      <c r="LXK116" s="17"/>
      <c r="LXL116" s="17"/>
      <c r="LXM116" s="17"/>
      <c r="LXN116" s="17"/>
      <c r="LXO116" s="17"/>
      <c r="LXP116" s="17"/>
      <c r="LXQ116" s="17"/>
      <c r="LXR116" s="17"/>
      <c r="LXS116" s="17"/>
      <c r="LXT116" s="17"/>
      <c r="LXU116" s="17"/>
      <c r="LXV116" s="17"/>
      <c r="LXW116" s="17"/>
      <c r="LXX116" s="17"/>
      <c r="LXY116" s="17"/>
      <c r="LXZ116" s="17"/>
      <c r="LYA116" s="17"/>
      <c r="LYB116" s="17"/>
      <c r="LYC116" s="17"/>
      <c r="LYD116" s="17"/>
      <c r="LYE116" s="17"/>
      <c r="LYF116" s="17"/>
      <c r="LYG116" s="17"/>
      <c r="LYH116" s="17"/>
      <c r="LYI116" s="17"/>
      <c r="LYJ116" s="17"/>
      <c r="LYK116" s="17"/>
      <c r="LYL116" s="17"/>
      <c r="LYM116" s="17"/>
      <c r="LYN116" s="17"/>
      <c r="LYO116" s="17"/>
      <c r="LYP116" s="17"/>
      <c r="LYQ116" s="17"/>
      <c r="LYR116" s="17"/>
      <c r="LYS116" s="17"/>
      <c r="LYT116" s="17"/>
      <c r="LYU116" s="17"/>
      <c r="LYV116" s="17"/>
      <c r="LYW116" s="17"/>
      <c r="LYX116" s="17"/>
      <c r="LYY116" s="17"/>
      <c r="LYZ116" s="17"/>
      <c r="LZA116" s="17"/>
      <c r="LZB116" s="17"/>
      <c r="LZC116" s="17"/>
      <c r="LZD116" s="17"/>
      <c r="LZE116" s="17"/>
      <c r="LZF116" s="17"/>
      <c r="LZG116" s="17"/>
      <c r="LZH116" s="17"/>
      <c r="LZI116" s="17"/>
      <c r="LZJ116" s="17"/>
      <c r="LZK116" s="17"/>
      <c r="LZL116" s="17"/>
      <c r="LZM116" s="17"/>
      <c r="LZN116" s="17"/>
      <c r="LZO116" s="17"/>
      <c r="LZP116" s="17"/>
      <c r="LZQ116" s="17"/>
      <c r="LZR116" s="17"/>
      <c r="LZS116" s="17"/>
      <c r="LZT116" s="17"/>
      <c r="LZU116" s="17"/>
      <c r="LZV116" s="17"/>
      <c r="LZW116" s="17"/>
      <c r="LZX116" s="17"/>
      <c r="LZY116" s="17"/>
      <c r="LZZ116" s="17"/>
      <c r="MAA116" s="17"/>
      <c r="MAB116" s="17"/>
      <c r="MAC116" s="17"/>
      <c r="MAD116" s="17"/>
      <c r="MAE116" s="17"/>
      <c r="MAF116" s="17"/>
      <c r="MAG116" s="17"/>
      <c r="MAH116" s="17"/>
      <c r="MAI116" s="17"/>
      <c r="MAJ116" s="17"/>
      <c r="MAK116" s="17"/>
      <c r="MAL116" s="17"/>
      <c r="MAM116" s="17"/>
      <c r="MAN116" s="17"/>
      <c r="MAO116" s="17"/>
      <c r="MAP116" s="17"/>
      <c r="MAQ116" s="17"/>
      <c r="MAR116" s="17"/>
      <c r="MAS116" s="17"/>
      <c r="MAT116" s="17"/>
      <c r="MAU116" s="17"/>
      <c r="MAV116" s="17"/>
      <c r="MAW116" s="17"/>
      <c r="MAX116" s="17"/>
      <c r="MAY116" s="17"/>
      <c r="MAZ116" s="17"/>
      <c r="MBA116" s="17"/>
      <c r="MBB116" s="17"/>
      <c r="MBC116" s="17"/>
      <c r="MBD116" s="17"/>
      <c r="MBE116" s="17"/>
      <c r="MBF116" s="17"/>
      <c r="MBG116" s="17"/>
      <c r="MBH116" s="17"/>
      <c r="MBI116" s="17"/>
      <c r="MBJ116" s="17"/>
      <c r="MBK116" s="17"/>
      <c r="MBL116" s="17"/>
      <c r="MBM116" s="17"/>
      <c r="MBN116" s="17"/>
      <c r="MBO116" s="17"/>
      <c r="MBP116" s="17"/>
      <c r="MBQ116" s="17"/>
      <c r="MBR116" s="17"/>
      <c r="MBS116" s="17"/>
      <c r="MBT116" s="17"/>
      <c r="MBU116" s="17"/>
      <c r="MBV116" s="17"/>
      <c r="MBW116" s="17"/>
      <c r="MBX116" s="17"/>
      <c r="MBY116" s="17"/>
      <c r="MBZ116" s="17"/>
      <c r="MCA116" s="17"/>
      <c r="MCB116" s="17"/>
      <c r="MCC116" s="17"/>
      <c r="MCD116" s="17"/>
      <c r="MCE116" s="17"/>
      <c r="MCF116" s="17"/>
      <c r="MCG116" s="17"/>
      <c r="MCH116" s="17"/>
      <c r="MCI116" s="17"/>
      <c r="MCJ116" s="17"/>
      <c r="MCK116" s="17"/>
      <c r="MCL116" s="17"/>
      <c r="MCM116" s="17"/>
      <c r="MCN116" s="17"/>
      <c r="MCO116" s="17"/>
      <c r="MCP116" s="17"/>
      <c r="MCQ116" s="17"/>
      <c r="MCR116" s="17"/>
      <c r="MCS116" s="17"/>
      <c r="MCT116" s="17"/>
      <c r="MCU116" s="17"/>
      <c r="MCV116" s="17"/>
      <c r="MCW116" s="17"/>
      <c r="MCX116" s="17"/>
      <c r="MCY116" s="17"/>
      <c r="MCZ116" s="17"/>
      <c r="MDA116" s="17"/>
      <c r="MDB116" s="17"/>
      <c r="MDC116" s="17"/>
      <c r="MDD116" s="17"/>
      <c r="MDE116" s="17"/>
      <c r="MDF116" s="17"/>
      <c r="MDG116" s="17"/>
      <c r="MDH116" s="17"/>
      <c r="MDI116" s="17"/>
      <c r="MDJ116" s="17"/>
      <c r="MDK116" s="17"/>
      <c r="MDL116" s="17"/>
      <c r="MDM116" s="17"/>
      <c r="MDN116" s="17"/>
      <c r="MDO116" s="17"/>
      <c r="MDP116" s="17"/>
      <c r="MDQ116" s="17"/>
      <c r="MDR116" s="17"/>
      <c r="MDS116" s="17"/>
      <c r="MDT116" s="17"/>
      <c r="MDU116" s="17"/>
      <c r="MDV116" s="17"/>
      <c r="MDW116" s="17"/>
      <c r="MDX116" s="17"/>
      <c r="MDY116" s="17"/>
      <c r="MDZ116" s="17"/>
      <c r="MEA116" s="17"/>
      <c r="MEB116" s="17"/>
      <c r="MEC116" s="17"/>
      <c r="MED116" s="17"/>
      <c r="MEE116" s="17"/>
      <c r="MEF116" s="17"/>
      <c r="MEG116" s="17"/>
      <c r="MEH116" s="17"/>
      <c r="MEI116" s="17"/>
      <c r="MEJ116" s="17"/>
      <c r="MEK116" s="17"/>
      <c r="MEL116" s="17"/>
      <c r="MEM116" s="17"/>
      <c r="MEN116" s="17"/>
      <c r="MEO116" s="17"/>
      <c r="MEP116" s="17"/>
      <c r="MEQ116" s="17"/>
      <c r="MER116" s="17"/>
      <c r="MES116" s="17"/>
      <c r="MET116" s="17"/>
      <c r="MEU116" s="17"/>
      <c r="MEV116" s="17"/>
      <c r="MEW116" s="17"/>
      <c r="MEX116" s="17"/>
      <c r="MEY116" s="17"/>
      <c r="MEZ116" s="17"/>
      <c r="MFA116" s="17"/>
      <c r="MFB116" s="17"/>
      <c r="MFC116" s="17"/>
      <c r="MFD116" s="17"/>
      <c r="MFE116" s="17"/>
      <c r="MFF116" s="17"/>
      <c r="MFG116" s="17"/>
      <c r="MFH116" s="17"/>
      <c r="MFI116" s="17"/>
      <c r="MFJ116" s="17"/>
      <c r="MFK116" s="17"/>
      <c r="MFL116" s="17"/>
      <c r="MFM116" s="17"/>
      <c r="MFN116" s="17"/>
      <c r="MFO116" s="17"/>
      <c r="MFP116" s="17"/>
      <c r="MFQ116" s="17"/>
      <c r="MFR116" s="17"/>
      <c r="MFS116" s="17"/>
      <c r="MFT116" s="17"/>
      <c r="MFU116" s="17"/>
      <c r="MFV116" s="17"/>
      <c r="MFW116" s="17"/>
      <c r="MFX116" s="17"/>
      <c r="MFY116" s="17"/>
      <c r="MFZ116" s="17"/>
      <c r="MGA116" s="17"/>
      <c r="MGB116" s="17"/>
      <c r="MGC116" s="17"/>
      <c r="MGD116" s="17"/>
      <c r="MGE116" s="17"/>
      <c r="MGF116" s="17"/>
      <c r="MGG116" s="17"/>
      <c r="MGH116" s="17"/>
      <c r="MGI116" s="17"/>
      <c r="MGJ116" s="17"/>
      <c r="MGK116" s="17"/>
      <c r="MGL116" s="17"/>
      <c r="MGM116" s="17"/>
      <c r="MGN116" s="17"/>
      <c r="MGO116" s="17"/>
      <c r="MGP116" s="17"/>
      <c r="MGQ116" s="17"/>
      <c r="MGR116" s="17"/>
      <c r="MGS116" s="17"/>
      <c r="MGT116" s="17"/>
      <c r="MGU116" s="17"/>
      <c r="MGV116" s="17"/>
      <c r="MGW116" s="17"/>
      <c r="MGX116" s="17"/>
      <c r="MGY116" s="17"/>
      <c r="MGZ116" s="17"/>
      <c r="MHA116" s="17"/>
      <c r="MHB116" s="17"/>
      <c r="MHC116" s="17"/>
      <c r="MHD116" s="17"/>
      <c r="MHE116" s="17"/>
      <c r="MHF116" s="17"/>
      <c r="MHG116" s="17"/>
      <c r="MHH116" s="17"/>
      <c r="MHI116" s="17"/>
      <c r="MHJ116" s="17"/>
      <c r="MHK116" s="17"/>
      <c r="MHL116" s="17"/>
      <c r="MHM116" s="17"/>
      <c r="MHN116" s="17"/>
      <c r="MHO116" s="17"/>
      <c r="MHP116" s="17"/>
      <c r="MHQ116" s="17"/>
      <c r="MHR116" s="17"/>
      <c r="MHS116" s="17"/>
      <c r="MHT116" s="17"/>
      <c r="MHU116" s="17"/>
      <c r="MHV116" s="17"/>
      <c r="MHW116" s="17"/>
      <c r="MHX116" s="17"/>
      <c r="MHY116" s="17"/>
      <c r="MHZ116" s="17"/>
      <c r="MIA116" s="17"/>
      <c r="MIB116" s="17"/>
      <c r="MIC116" s="17"/>
      <c r="MID116" s="17"/>
      <c r="MIE116" s="17"/>
      <c r="MIF116" s="17"/>
      <c r="MIG116" s="17"/>
      <c r="MIH116" s="17"/>
      <c r="MII116" s="17"/>
      <c r="MIJ116" s="17"/>
      <c r="MIK116" s="17"/>
      <c r="MIL116" s="17"/>
      <c r="MIM116" s="17"/>
      <c r="MIN116" s="17"/>
      <c r="MIO116" s="17"/>
      <c r="MIP116" s="17"/>
      <c r="MIQ116" s="17"/>
      <c r="MIR116" s="17"/>
      <c r="MIS116" s="17"/>
      <c r="MIT116" s="17"/>
      <c r="MIU116" s="17"/>
      <c r="MIV116" s="17"/>
      <c r="MIW116" s="17"/>
      <c r="MIX116" s="17"/>
      <c r="MIY116" s="17"/>
      <c r="MIZ116" s="17"/>
      <c r="MJA116" s="17"/>
      <c r="MJB116" s="17"/>
      <c r="MJC116" s="17"/>
      <c r="MJD116" s="17"/>
      <c r="MJE116" s="17"/>
      <c r="MJF116" s="17"/>
      <c r="MJG116" s="17"/>
      <c r="MJH116" s="17"/>
      <c r="MJI116" s="17"/>
      <c r="MJJ116" s="17"/>
      <c r="MJK116" s="17"/>
      <c r="MJL116" s="17"/>
      <c r="MJM116" s="17"/>
      <c r="MJN116" s="17"/>
      <c r="MJO116" s="17"/>
      <c r="MJP116" s="17"/>
      <c r="MJQ116" s="17"/>
      <c r="MJR116" s="17"/>
      <c r="MJS116" s="17"/>
      <c r="MJT116" s="17"/>
      <c r="MJU116" s="17"/>
      <c r="MJV116" s="17"/>
      <c r="MJW116" s="17"/>
      <c r="MJX116" s="17"/>
      <c r="MJY116" s="17"/>
      <c r="MJZ116" s="17"/>
      <c r="MKA116" s="17"/>
      <c r="MKB116" s="17"/>
      <c r="MKC116" s="17"/>
      <c r="MKD116" s="17"/>
      <c r="MKE116" s="17"/>
      <c r="MKF116" s="17"/>
      <c r="MKG116" s="17"/>
      <c r="MKH116" s="17"/>
      <c r="MKI116" s="17"/>
      <c r="MKJ116" s="17"/>
      <c r="MKK116" s="17"/>
      <c r="MKL116" s="17"/>
      <c r="MKM116" s="17"/>
      <c r="MKN116" s="17"/>
      <c r="MKO116" s="17"/>
      <c r="MKP116" s="17"/>
      <c r="MKQ116" s="17"/>
      <c r="MKR116" s="17"/>
      <c r="MKS116" s="17"/>
      <c r="MKT116" s="17"/>
      <c r="MKU116" s="17"/>
      <c r="MKV116" s="17"/>
      <c r="MKW116" s="17"/>
      <c r="MKX116" s="17"/>
      <c r="MKY116" s="17"/>
      <c r="MKZ116" s="17"/>
      <c r="MLA116" s="17"/>
      <c r="MLB116" s="17"/>
      <c r="MLC116" s="17"/>
      <c r="MLD116" s="17"/>
      <c r="MLE116" s="17"/>
      <c r="MLF116" s="17"/>
      <c r="MLG116" s="17"/>
      <c r="MLH116" s="17"/>
      <c r="MLI116" s="17"/>
      <c r="MLJ116" s="17"/>
      <c r="MLK116" s="17"/>
      <c r="MLL116" s="17"/>
      <c r="MLM116" s="17"/>
      <c r="MLN116" s="17"/>
      <c r="MLO116" s="17"/>
      <c r="MLP116" s="17"/>
      <c r="MLQ116" s="17"/>
      <c r="MLR116" s="17"/>
      <c r="MLS116" s="17"/>
      <c r="MLT116" s="17"/>
      <c r="MLU116" s="17"/>
      <c r="MLV116" s="17"/>
      <c r="MLW116" s="17"/>
      <c r="MLX116" s="17"/>
      <c r="MLY116" s="17"/>
      <c r="MLZ116" s="17"/>
      <c r="MMA116" s="17"/>
      <c r="MMB116" s="17"/>
      <c r="MMC116" s="17"/>
      <c r="MMD116" s="17"/>
      <c r="MME116" s="17"/>
      <c r="MMF116" s="17"/>
      <c r="MMG116" s="17"/>
      <c r="MMH116" s="17"/>
      <c r="MMI116" s="17"/>
      <c r="MMJ116" s="17"/>
      <c r="MMK116" s="17"/>
      <c r="MML116" s="17"/>
      <c r="MMM116" s="17"/>
      <c r="MMN116" s="17"/>
      <c r="MMO116" s="17"/>
      <c r="MMP116" s="17"/>
      <c r="MMQ116" s="17"/>
      <c r="MMR116" s="17"/>
      <c r="MMS116" s="17"/>
      <c r="MMT116" s="17"/>
      <c r="MMU116" s="17"/>
      <c r="MMV116" s="17"/>
      <c r="MMW116" s="17"/>
      <c r="MMX116" s="17"/>
      <c r="MMY116" s="17"/>
      <c r="MMZ116" s="17"/>
      <c r="MNA116" s="17"/>
      <c r="MNB116" s="17"/>
      <c r="MNC116" s="17"/>
      <c r="MND116" s="17"/>
      <c r="MNE116" s="17"/>
      <c r="MNF116" s="17"/>
      <c r="MNG116" s="17"/>
      <c r="MNH116" s="17"/>
      <c r="MNI116" s="17"/>
      <c r="MNJ116" s="17"/>
      <c r="MNK116" s="17"/>
      <c r="MNL116" s="17"/>
      <c r="MNM116" s="17"/>
      <c r="MNN116" s="17"/>
      <c r="MNO116" s="17"/>
      <c r="MNP116" s="17"/>
      <c r="MNQ116" s="17"/>
      <c r="MNR116" s="17"/>
      <c r="MNS116" s="17"/>
      <c r="MNT116" s="17"/>
      <c r="MNU116" s="17"/>
      <c r="MNV116" s="17"/>
      <c r="MNW116" s="17"/>
      <c r="MNX116" s="17"/>
      <c r="MNY116" s="17"/>
      <c r="MNZ116" s="17"/>
      <c r="MOA116" s="17"/>
      <c r="MOB116" s="17"/>
      <c r="MOC116" s="17"/>
      <c r="MOD116" s="17"/>
      <c r="MOE116" s="17"/>
      <c r="MOF116" s="17"/>
      <c r="MOG116" s="17"/>
      <c r="MOH116" s="17"/>
      <c r="MOI116" s="17"/>
      <c r="MOJ116" s="17"/>
      <c r="MOK116" s="17"/>
      <c r="MOL116" s="17"/>
      <c r="MOM116" s="17"/>
      <c r="MON116" s="17"/>
      <c r="MOO116" s="17"/>
      <c r="MOP116" s="17"/>
      <c r="MOQ116" s="17"/>
      <c r="MOR116" s="17"/>
      <c r="MOS116" s="17"/>
      <c r="MOT116" s="17"/>
      <c r="MOU116" s="17"/>
      <c r="MOV116" s="17"/>
      <c r="MOW116" s="17"/>
      <c r="MOX116" s="17"/>
      <c r="MOY116" s="17"/>
      <c r="MOZ116" s="17"/>
      <c r="MPA116" s="17"/>
      <c r="MPB116" s="17"/>
      <c r="MPC116" s="17"/>
      <c r="MPD116" s="17"/>
      <c r="MPE116" s="17"/>
      <c r="MPF116" s="17"/>
      <c r="MPG116" s="17"/>
      <c r="MPH116" s="17"/>
      <c r="MPI116" s="17"/>
      <c r="MPJ116" s="17"/>
      <c r="MPK116" s="17"/>
      <c r="MPL116" s="17"/>
      <c r="MPM116" s="17"/>
      <c r="MPN116" s="17"/>
      <c r="MPO116" s="17"/>
      <c r="MPP116" s="17"/>
      <c r="MPQ116" s="17"/>
      <c r="MPR116" s="17"/>
      <c r="MPS116" s="17"/>
      <c r="MPT116" s="17"/>
      <c r="MPU116" s="17"/>
      <c r="MPV116" s="17"/>
      <c r="MPW116" s="17"/>
      <c r="MPX116" s="17"/>
      <c r="MPY116" s="17"/>
      <c r="MPZ116" s="17"/>
      <c r="MQA116" s="17"/>
      <c r="MQB116" s="17"/>
      <c r="MQC116" s="17"/>
      <c r="MQD116" s="17"/>
      <c r="MQE116" s="17"/>
      <c r="MQF116" s="17"/>
      <c r="MQG116" s="17"/>
      <c r="MQH116" s="17"/>
      <c r="MQI116" s="17"/>
      <c r="MQJ116" s="17"/>
      <c r="MQK116" s="17"/>
      <c r="MQL116" s="17"/>
      <c r="MQM116" s="17"/>
      <c r="MQN116" s="17"/>
      <c r="MQO116" s="17"/>
      <c r="MQP116" s="17"/>
      <c r="MQQ116" s="17"/>
      <c r="MQR116" s="17"/>
      <c r="MQS116" s="17"/>
      <c r="MQT116" s="17"/>
      <c r="MQU116" s="17"/>
      <c r="MQV116" s="17"/>
      <c r="MQW116" s="17"/>
      <c r="MQX116" s="17"/>
      <c r="MQY116" s="17"/>
      <c r="MQZ116" s="17"/>
      <c r="MRA116" s="17"/>
      <c r="MRB116" s="17"/>
      <c r="MRC116" s="17"/>
      <c r="MRD116" s="17"/>
      <c r="MRE116" s="17"/>
      <c r="MRF116" s="17"/>
      <c r="MRG116" s="17"/>
      <c r="MRH116" s="17"/>
      <c r="MRI116" s="17"/>
      <c r="MRJ116" s="17"/>
      <c r="MRK116" s="17"/>
      <c r="MRL116" s="17"/>
      <c r="MRM116" s="17"/>
      <c r="MRN116" s="17"/>
      <c r="MRO116" s="17"/>
      <c r="MRP116" s="17"/>
      <c r="MRQ116" s="17"/>
      <c r="MRR116" s="17"/>
      <c r="MRS116" s="17"/>
      <c r="MRT116" s="17"/>
      <c r="MRU116" s="17"/>
      <c r="MRV116" s="17"/>
      <c r="MRW116" s="17"/>
      <c r="MRX116" s="17"/>
      <c r="MRY116" s="17"/>
      <c r="MRZ116" s="17"/>
      <c r="MSA116" s="17"/>
      <c r="MSB116" s="17"/>
      <c r="MSC116" s="17"/>
      <c r="MSD116" s="17"/>
      <c r="MSE116" s="17"/>
      <c r="MSF116" s="17"/>
      <c r="MSG116" s="17"/>
      <c r="MSH116" s="17"/>
      <c r="MSI116" s="17"/>
      <c r="MSJ116" s="17"/>
      <c r="MSK116" s="17"/>
      <c r="MSL116" s="17"/>
      <c r="MSM116" s="17"/>
      <c r="MSN116" s="17"/>
      <c r="MSO116" s="17"/>
      <c r="MSP116" s="17"/>
      <c r="MSQ116" s="17"/>
      <c r="MSR116" s="17"/>
      <c r="MSS116" s="17"/>
      <c r="MST116" s="17"/>
      <c r="MSU116" s="17"/>
      <c r="MSV116" s="17"/>
      <c r="MSW116" s="17"/>
      <c r="MSX116" s="17"/>
      <c r="MSY116" s="17"/>
      <c r="MSZ116" s="17"/>
      <c r="MTA116" s="17"/>
      <c r="MTB116" s="17"/>
      <c r="MTC116" s="17"/>
      <c r="MTD116" s="17"/>
      <c r="MTE116" s="17"/>
      <c r="MTF116" s="17"/>
      <c r="MTG116" s="17"/>
      <c r="MTH116" s="17"/>
      <c r="MTI116" s="17"/>
      <c r="MTJ116" s="17"/>
      <c r="MTK116" s="17"/>
      <c r="MTL116" s="17"/>
      <c r="MTM116" s="17"/>
      <c r="MTN116" s="17"/>
      <c r="MTO116" s="17"/>
      <c r="MTP116" s="17"/>
      <c r="MTQ116" s="17"/>
      <c r="MTR116" s="17"/>
      <c r="MTS116" s="17"/>
      <c r="MTT116" s="17"/>
      <c r="MTU116" s="17"/>
      <c r="MTV116" s="17"/>
      <c r="MTW116" s="17"/>
      <c r="MTX116" s="17"/>
      <c r="MTY116" s="17"/>
      <c r="MTZ116" s="17"/>
      <c r="MUA116" s="17"/>
      <c r="MUB116" s="17"/>
      <c r="MUC116" s="17"/>
      <c r="MUD116" s="17"/>
      <c r="MUE116" s="17"/>
      <c r="MUF116" s="17"/>
      <c r="MUG116" s="17"/>
      <c r="MUH116" s="17"/>
      <c r="MUI116" s="17"/>
      <c r="MUJ116" s="17"/>
      <c r="MUK116" s="17"/>
      <c r="MUL116" s="17"/>
      <c r="MUM116" s="17"/>
      <c r="MUN116" s="17"/>
      <c r="MUO116" s="17"/>
      <c r="MUP116" s="17"/>
      <c r="MUQ116" s="17"/>
      <c r="MUR116" s="17"/>
      <c r="MUS116" s="17"/>
      <c r="MUT116" s="17"/>
      <c r="MUU116" s="17"/>
      <c r="MUV116" s="17"/>
      <c r="MUW116" s="17"/>
      <c r="MUX116" s="17"/>
      <c r="MUY116" s="17"/>
      <c r="MUZ116" s="17"/>
      <c r="MVA116" s="17"/>
      <c r="MVB116" s="17"/>
      <c r="MVC116" s="17"/>
      <c r="MVD116" s="17"/>
      <c r="MVE116" s="17"/>
      <c r="MVF116" s="17"/>
      <c r="MVG116" s="17"/>
      <c r="MVH116" s="17"/>
      <c r="MVI116" s="17"/>
      <c r="MVJ116" s="17"/>
      <c r="MVK116" s="17"/>
      <c r="MVL116" s="17"/>
      <c r="MVM116" s="17"/>
      <c r="MVN116" s="17"/>
      <c r="MVO116" s="17"/>
      <c r="MVP116" s="17"/>
      <c r="MVQ116" s="17"/>
      <c r="MVR116" s="17"/>
      <c r="MVS116" s="17"/>
      <c r="MVT116" s="17"/>
      <c r="MVU116" s="17"/>
      <c r="MVV116" s="17"/>
      <c r="MVW116" s="17"/>
      <c r="MVX116" s="17"/>
      <c r="MVY116" s="17"/>
      <c r="MVZ116" s="17"/>
      <c r="MWA116" s="17"/>
      <c r="MWB116" s="17"/>
      <c r="MWC116" s="17"/>
      <c r="MWD116" s="17"/>
      <c r="MWE116" s="17"/>
      <c r="MWF116" s="17"/>
      <c r="MWG116" s="17"/>
      <c r="MWH116" s="17"/>
      <c r="MWI116" s="17"/>
      <c r="MWJ116" s="17"/>
      <c r="MWK116" s="17"/>
      <c r="MWL116" s="17"/>
      <c r="MWM116" s="17"/>
      <c r="MWN116" s="17"/>
      <c r="MWO116" s="17"/>
      <c r="MWP116" s="17"/>
      <c r="MWQ116" s="17"/>
      <c r="MWR116" s="17"/>
      <c r="MWS116" s="17"/>
      <c r="MWT116" s="17"/>
      <c r="MWU116" s="17"/>
      <c r="MWV116" s="17"/>
      <c r="MWW116" s="17"/>
      <c r="MWX116" s="17"/>
      <c r="MWY116" s="17"/>
      <c r="MWZ116" s="17"/>
      <c r="MXA116" s="17"/>
      <c r="MXB116" s="17"/>
      <c r="MXC116" s="17"/>
      <c r="MXD116" s="17"/>
      <c r="MXE116" s="17"/>
      <c r="MXF116" s="17"/>
      <c r="MXG116" s="17"/>
      <c r="MXH116" s="17"/>
      <c r="MXI116" s="17"/>
      <c r="MXJ116" s="17"/>
      <c r="MXK116" s="17"/>
      <c r="MXL116" s="17"/>
      <c r="MXM116" s="17"/>
      <c r="MXN116" s="17"/>
      <c r="MXO116" s="17"/>
      <c r="MXP116" s="17"/>
      <c r="MXQ116" s="17"/>
      <c r="MXR116" s="17"/>
      <c r="MXS116" s="17"/>
      <c r="MXT116" s="17"/>
      <c r="MXU116" s="17"/>
      <c r="MXV116" s="17"/>
      <c r="MXW116" s="17"/>
      <c r="MXX116" s="17"/>
      <c r="MXY116" s="17"/>
      <c r="MXZ116" s="17"/>
      <c r="MYA116" s="17"/>
      <c r="MYB116" s="17"/>
      <c r="MYC116" s="17"/>
      <c r="MYD116" s="17"/>
      <c r="MYE116" s="17"/>
      <c r="MYF116" s="17"/>
      <c r="MYG116" s="17"/>
      <c r="MYH116" s="17"/>
      <c r="MYI116" s="17"/>
      <c r="MYJ116" s="17"/>
      <c r="MYK116" s="17"/>
      <c r="MYL116" s="17"/>
      <c r="MYM116" s="17"/>
      <c r="MYN116" s="17"/>
      <c r="MYO116" s="17"/>
      <c r="MYP116" s="17"/>
      <c r="MYQ116" s="17"/>
      <c r="MYR116" s="17"/>
      <c r="MYS116" s="17"/>
      <c r="MYT116" s="17"/>
      <c r="MYU116" s="17"/>
      <c r="MYV116" s="17"/>
      <c r="MYW116" s="17"/>
      <c r="MYX116" s="17"/>
      <c r="MYY116" s="17"/>
      <c r="MYZ116" s="17"/>
      <c r="MZA116" s="17"/>
      <c r="MZB116" s="17"/>
      <c r="MZC116" s="17"/>
      <c r="MZD116" s="17"/>
      <c r="MZE116" s="17"/>
      <c r="MZF116" s="17"/>
      <c r="MZG116" s="17"/>
      <c r="MZH116" s="17"/>
      <c r="MZI116" s="17"/>
      <c r="MZJ116" s="17"/>
      <c r="MZK116" s="17"/>
      <c r="MZL116" s="17"/>
      <c r="MZM116" s="17"/>
      <c r="MZN116" s="17"/>
      <c r="MZO116" s="17"/>
      <c r="MZP116" s="17"/>
      <c r="MZQ116" s="17"/>
      <c r="MZR116" s="17"/>
      <c r="MZS116" s="17"/>
      <c r="MZT116" s="17"/>
      <c r="MZU116" s="17"/>
      <c r="MZV116" s="17"/>
      <c r="MZW116" s="17"/>
      <c r="MZX116" s="17"/>
      <c r="MZY116" s="17"/>
      <c r="MZZ116" s="17"/>
      <c r="NAA116" s="17"/>
      <c r="NAB116" s="17"/>
      <c r="NAC116" s="17"/>
      <c r="NAD116" s="17"/>
      <c r="NAE116" s="17"/>
      <c r="NAF116" s="17"/>
      <c r="NAG116" s="17"/>
      <c r="NAH116" s="17"/>
      <c r="NAI116" s="17"/>
      <c r="NAJ116" s="17"/>
      <c r="NAK116" s="17"/>
      <c r="NAL116" s="17"/>
      <c r="NAM116" s="17"/>
      <c r="NAN116" s="17"/>
      <c r="NAO116" s="17"/>
      <c r="NAP116" s="17"/>
      <c r="NAQ116" s="17"/>
      <c r="NAR116" s="17"/>
      <c r="NAS116" s="17"/>
      <c r="NAT116" s="17"/>
      <c r="NAU116" s="17"/>
      <c r="NAV116" s="17"/>
      <c r="NAW116" s="17"/>
      <c r="NAX116" s="17"/>
      <c r="NAY116" s="17"/>
      <c r="NAZ116" s="17"/>
      <c r="NBA116" s="17"/>
      <c r="NBB116" s="17"/>
      <c r="NBC116" s="17"/>
      <c r="NBD116" s="17"/>
      <c r="NBE116" s="17"/>
      <c r="NBF116" s="17"/>
      <c r="NBG116" s="17"/>
      <c r="NBH116" s="17"/>
      <c r="NBI116" s="17"/>
      <c r="NBJ116" s="17"/>
      <c r="NBK116" s="17"/>
      <c r="NBL116" s="17"/>
      <c r="NBM116" s="17"/>
      <c r="NBN116" s="17"/>
      <c r="NBO116" s="17"/>
      <c r="NBP116" s="17"/>
      <c r="NBQ116" s="17"/>
      <c r="NBR116" s="17"/>
      <c r="NBS116" s="17"/>
      <c r="NBT116" s="17"/>
      <c r="NBU116" s="17"/>
      <c r="NBV116" s="17"/>
      <c r="NBW116" s="17"/>
      <c r="NBX116" s="17"/>
      <c r="NBY116" s="17"/>
      <c r="NBZ116" s="17"/>
      <c r="NCA116" s="17"/>
      <c r="NCB116" s="17"/>
      <c r="NCC116" s="17"/>
      <c r="NCD116" s="17"/>
      <c r="NCE116" s="17"/>
      <c r="NCF116" s="17"/>
      <c r="NCG116" s="17"/>
      <c r="NCH116" s="17"/>
      <c r="NCI116" s="17"/>
      <c r="NCJ116" s="17"/>
      <c r="NCK116" s="17"/>
      <c r="NCL116" s="17"/>
      <c r="NCM116" s="17"/>
      <c r="NCN116" s="17"/>
      <c r="NCO116" s="17"/>
      <c r="NCP116" s="17"/>
      <c r="NCQ116" s="17"/>
      <c r="NCR116" s="17"/>
      <c r="NCS116" s="17"/>
      <c r="NCT116" s="17"/>
      <c r="NCU116" s="17"/>
      <c r="NCV116" s="17"/>
      <c r="NCW116" s="17"/>
      <c r="NCX116" s="17"/>
      <c r="NCY116" s="17"/>
      <c r="NCZ116" s="17"/>
      <c r="NDA116" s="17"/>
      <c r="NDB116" s="17"/>
      <c r="NDC116" s="17"/>
      <c r="NDD116" s="17"/>
      <c r="NDE116" s="17"/>
      <c r="NDF116" s="17"/>
      <c r="NDG116" s="17"/>
      <c r="NDH116" s="17"/>
      <c r="NDI116" s="17"/>
      <c r="NDJ116" s="17"/>
      <c r="NDK116" s="17"/>
      <c r="NDL116" s="17"/>
      <c r="NDM116" s="17"/>
      <c r="NDN116" s="17"/>
      <c r="NDO116" s="17"/>
      <c r="NDP116" s="17"/>
      <c r="NDQ116" s="17"/>
      <c r="NDR116" s="17"/>
      <c r="NDS116" s="17"/>
      <c r="NDT116" s="17"/>
      <c r="NDU116" s="17"/>
      <c r="NDV116" s="17"/>
      <c r="NDW116" s="17"/>
      <c r="NDX116" s="17"/>
      <c r="NDY116" s="17"/>
      <c r="NDZ116" s="17"/>
      <c r="NEA116" s="17"/>
      <c r="NEB116" s="17"/>
      <c r="NEC116" s="17"/>
      <c r="NED116" s="17"/>
      <c r="NEE116" s="17"/>
      <c r="NEF116" s="17"/>
      <c r="NEG116" s="17"/>
      <c r="NEH116" s="17"/>
      <c r="NEI116" s="17"/>
      <c r="NEJ116" s="17"/>
      <c r="NEK116" s="17"/>
      <c r="NEL116" s="17"/>
      <c r="NEM116" s="17"/>
      <c r="NEN116" s="17"/>
      <c r="NEO116" s="17"/>
      <c r="NEP116" s="17"/>
      <c r="NEQ116" s="17"/>
      <c r="NER116" s="17"/>
      <c r="NES116" s="17"/>
      <c r="NET116" s="17"/>
      <c r="NEU116" s="17"/>
      <c r="NEV116" s="17"/>
      <c r="NEW116" s="17"/>
      <c r="NEX116" s="17"/>
      <c r="NEY116" s="17"/>
      <c r="NEZ116" s="17"/>
      <c r="NFA116" s="17"/>
      <c r="NFB116" s="17"/>
      <c r="NFC116" s="17"/>
      <c r="NFD116" s="17"/>
      <c r="NFE116" s="17"/>
      <c r="NFF116" s="17"/>
      <c r="NFG116" s="17"/>
      <c r="NFH116" s="17"/>
      <c r="NFI116" s="17"/>
      <c r="NFJ116" s="17"/>
      <c r="NFK116" s="17"/>
      <c r="NFL116" s="17"/>
      <c r="NFM116" s="17"/>
      <c r="NFN116" s="17"/>
      <c r="NFO116" s="17"/>
      <c r="NFP116" s="17"/>
      <c r="NFQ116" s="17"/>
      <c r="NFR116" s="17"/>
      <c r="NFS116" s="17"/>
      <c r="NFT116" s="17"/>
      <c r="NFU116" s="17"/>
      <c r="NFV116" s="17"/>
      <c r="NFW116" s="17"/>
      <c r="NFX116" s="17"/>
      <c r="NFY116" s="17"/>
      <c r="NFZ116" s="17"/>
      <c r="NGA116" s="17"/>
      <c r="NGB116" s="17"/>
      <c r="NGC116" s="17"/>
      <c r="NGD116" s="17"/>
      <c r="NGE116" s="17"/>
      <c r="NGF116" s="17"/>
      <c r="NGG116" s="17"/>
      <c r="NGH116" s="17"/>
      <c r="NGI116" s="17"/>
      <c r="NGJ116" s="17"/>
      <c r="NGK116" s="17"/>
      <c r="NGL116" s="17"/>
      <c r="NGM116" s="17"/>
      <c r="NGN116" s="17"/>
      <c r="NGO116" s="17"/>
      <c r="NGP116" s="17"/>
      <c r="NGQ116" s="17"/>
      <c r="NGR116" s="17"/>
      <c r="NGS116" s="17"/>
      <c r="NGT116" s="17"/>
      <c r="NGU116" s="17"/>
      <c r="NGV116" s="17"/>
      <c r="NGW116" s="17"/>
      <c r="NGX116" s="17"/>
      <c r="NGY116" s="17"/>
      <c r="NGZ116" s="17"/>
      <c r="NHA116" s="17"/>
      <c r="NHB116" s="17"/>
      <c r="NHC116" s="17"/>
      <c r="NHD116" s="17"/>
      <c r="NHE116" s="17"/>
      <c r="NHF116" s="17"/>
      <c r="NHG116" s="17"/>
      <c r="NHH116" s="17"/>
      <c r="NHI116" s="17"/>
      <c r="NHJ116" s="17"/>
      <c r="NHK116" s="17"/>
      <c r="NHL116" s="17"/>
      <c r="NHM116" s="17"/>
      <c r="NHN116" s="17"/>
      <c r="NHO116" s="17"/>
      <c r="NHP116" s="17"/>
      <c r="NHQ116" s="17"/>
      <c r="NHR116" s="17"/>
      <c r="NHS116" s="17"/>
      <c r="NHT116" s="17"/>
      <c r="NHU116" s="17"/>
      <c r="NHV116" s="17"/>
      <c r="NHW116" s="17"/>
      <c r="NHX116" s="17"/>
      <c r="NHY116" s="17"/>
      <c r="NHZ116" s="17"/>
      <c r="NIA116" s="17"/>
      <c r="NIB116" s="17"/>
      <c r="NIC116" s="17"/>
      <c r="NID116" s="17"/>
      <c r="NIE116" s="17"/>
      <c r="NIF116" s="17"/>
      <c r="NIG116" s="17"/>
      <c r="NIH116" s="17"/>
      <c r="NII116" s="17"/>
      <c r="NIJ116" s="17"/>
      <c r="NIK116" s="17"/>
      <c r="NIL116" s="17"/>
      <c r="NIM116" s="17"/>
      <c r="NIN116" s="17"/>
      <c r="NIO116" s="17"/>
      <c r="NIP116" s="17"/>
      <c r="NIQ116" s="17"/>
      <c r="NIR116" s="17"/>
      <c r="NIS116" s="17"/>
      <c r="NIT116" s="17"/>
      <c r="NIU116" s="17"/>
      <c r="NIV116" s="17"/>
      <c r="NIW116" s="17"/>
      <c r="NIX116" s="17"/>
      <c r="NIY116" s="17"/>
      <c r="NIZ116" s="17"/>
      <c r="NJA116" s="17"/>
      <c r="NJB116" s="17"/>
      <c r="NJC116" s="17"/>
      <c r="NJD116" s="17"/>
      <c r="NJE116" s="17"/>
      <c r="NJF116" s="17"/>
      <c r="NJG116" s="17"/>
      <c r="NJH116" s="17"/>
      <c r="NJI116" s="17"/>
      <c r="NJJ116" s="17"/>
      <c r="NJK116" s="17"/>
      <c r="NJL116" s="17"/>
      <c r="NJM116" s="17"/>
      <c r="NJN116" s="17"/>
      <c r="NJO116" s="17"/>
      <c r="NJP116" s="17"/>
      <c r="NJQ116" s="17"/>
      <c r="NJR116" s="17"/>
      <c r="NJS116" s="17"/>
      <c r="NJT116" s="17"/>
      <c r="NJU116" s="17"/>
      <c r="NJV116" s="17"/>
      <c r="NJW116" s="17"/>
      <c r="NJX116" s="17"/>
      <c r="NJY116" s="17"/>
      <c r="NJZ116" s="17"/>
      <c r="NKA116" s="17"/>
      <c r="NKB116" s="17"/>
      <c r="NKC116" s="17"/>
      <c r="NKD116" s="17"/>
      <c r="NKE116" s="17"/>
      <c r="NKF116" s="17"/>
      <c r="NKG116" s="17"/>
      <c r="NKH116" s="17"/>
      <c r="NKI116" s="17"/>
      <c r="NKJ116" s="17"/>
      <c r="NKK116" s="17"/>
      <c r="NKL116" s="17"/>
      <c r="NKM116" s="17"/>
      <c r="NKN116" s="17"/>
      <c r="NKO116" s="17"/>
      <c r="NKP116" s="17"/>
      <c r="NKQ116" s="17"/>
      <c r="NKR116" s="17"/>
      <c r="NKS116" s="17"/>
      <c r="NKT116" s="17"/>
      <c r="NKU116" s="17"/>
      <c r="NKV116" s="17"/>
      <c r="NKW116" s="17"/>
      <c r="NKX116" s="17"/>
      <c r="NKY116" s="17"/>
      <c r="NKZ116" s="17"/>
      <c r="NLA116" s="17"/>
      <c r="NLB116" s="17"/>
      <c r="NLC116" s="17"/>
      <c r="NLD116" s="17"/>
      <c r="NLE116" s="17"/>
      <c r="NLF116" s="17"/>
      <c r="NLG116" s="17"/>
      <c r="NLH116" s="17"/>
      <c r="NLI116" s="17"/>
      <c r="NLJ116" s="17"/>
      <c r="NLK116" s="17"/>
      <c r="NLL116" s="17"/>
      <c r="NLM116" s="17"/>
      <c r="NLN116" s="17"/>
      <c r="NLO116" s="17"/>
      <c r="NLP116" s="17"/>
      <c r="NLQ116" s="17"/>
      <c r="NLR116" s="17"/>
      <c r="NLS116" s="17"/>
      <c r="NLT116" s="17"/>
      <c r="NLU116" s="17"/>
      <c r="NLV116" s="17"/>
      <c r="NLW116" s="17"/>
      <c r="NLX116" s="17"/>
      <c r="NLY116" s="17"/>
      <c r="NLZ116" s="17"/>
      <c r="NMA116" s="17"/>
      <c r="NMB116" s="17"/>
      <c r="NMC116" s="17"/>
      <c r="NMD116" s="17"/>
      <c r="NME116" s="17"/>
      <c r="NMF116" s="17"/>
      <c r="NMG116" s="17"/>
      <c r="NMH116" s="17"/>
      <c r="NMI116" s="17"/>
      <c r="NMJ116" s="17"/>
      <c r="NMK116" s="17"/>
      <c r="NML116" s="17"/>
      <c r="NMM116" s="17"/>
      <c r="NMN116" s="17"/>
      <c r="NMO116" s="17"/>
      <c r="NMP116" s="17"/>
      <c r="NMQ116" s="17"/>
      <c r="NMR116" s="17"/>
      <c r="NMS116" s="17"/>
      <c r="NMT116" s="17"/>
      <c r="NMU116" s="17"/>
      <c r="NMV116" s="17"/>
      <c r="NMW116" s="17"/>
      <c r="NMX116" s="17"/>
      <c r="NMY116" s="17"/>
      <c r="NMZ116" s="17"/>
      <c r="NNA116" s="17"/>
      <c r="NNB116" s="17"/>
      <c r="NNC116" s="17"/>
      <c r="NND116" s="17"/>
      <c r="NNE116" s="17"/>
      <c r="NNF116" s="17"/>
      <c r="NNG116" s="17"/>
      <c r="NNH116" s="17"/>
      <c r="NNI116" s="17"/>
      <c r="NNJ116" s="17"/>
      <c r="NNK116" s="17"/>
      <c r="NNL116" s="17"/>
      <c r="NNM116" s="17"/>
      <c r="NNN116" s="17"/>
      <c r="NNO116" s="17"/>
      <c r="NNP116" s="17"/>
      <c r="NNQ116" s="17"/>
      <c r="NNR116" s="17"/>
      <c r="NNS116" s="17"/>
      <c r="NNT116" s="17"/>
      <c r="NNU116" s="17"/>
      <c r="NNV116" s="17"/>
      <c r="NNW116" s="17"/>
      <c r="NNX116" s="17"/>
      <c r="NNY116" s="17"/>
      <c r="NNZ116" s="17"/>
      <c r="NOA116" s="17"/>
      <c r="NOB116" s="17"/>
      <c r="NOC116" s="17"/>
      <c r="NOD116" s="17"/>
      <c r="NOE116" s="17"/>
      <c r="NOF116" s="17"/>
      <c r="NOG116" s="17"/>
      <c r="NOH116" s="17"/>
      <c r="NOI116" s="17"/>
      <c r="NOJ116" s="17"/>
      <c r="NOK116" s="17"/>
      <c r="NOL116" s="17"/>
      <c r="NOM116" s="17"/>
      <c r="NON116" s="17"/>
      <c r="NOO116" s="17"/>
      <c r="NOP116" s="17"/>
      <c r="NOQ116" s="17"/>
      <c r="NOR116" s="17"/>
      <c r="NOS116" s="17"/>
      <c r="NOT116" s="17"/>
      <c r="NOU116" s="17"/>
      <c r="NOV116" s="17"/>
      <c r="NOW116" s="17"/>
      <c r="NOX116" s="17"/>
      <c r="NOY116" s="17"/>
      <c r="NOZ116" s="17"/>
      <c r="NPA116" s="17"/>
      <c r="NPB116" s="17"/>
      <c r="NPC116" s="17"/>
      <c r="NPD116" s="17"/>
      <c r="NPE116" s="17"/>
      <c r="NPF116" s="17"/>
      <c r="NPG116" s="17"/>
      <c r="NPH116" s="17"/>
      <c r="NPI116" s="17"/>
      <c r="NPJ116" s="17"/>
      <c r="NPK116" s="17"/>
      <c r="NPL116" s="17"/>
      <c r="NPM116" s="17"/>
      <c r="NPN116" s="17"/>
      <c r="NPO116" s="17"/>
      <c r="NPP116" s="17"/>
      <c r="NPQ116" s="17"/>
      <c r="NPR116" s="17"/>
      <c r="NPS116" s="17"/>
      <c r="NPT116" s="17"/>
      <c r="NPU116" s="17"/>
      <c r="NPV116" s="17"/>
      <c r="NPW116" s="17"/>
      <c r="NPX116" s="17"/>
      <c r="NPY116" s="17"/>
      <c r="NPZ116" s="17"/>
      <c r="NQA116" s="17"/>
      <c r="NQB116" s="17"/>
      <c r="NQC116" s="17"/>
      <c r="NQD116" s="17"/>
      <c r="NQE116" s="17"/>
      <c r="NQF116" s="17"/>
      <c r="NQG116" s="17"/>
      <c r="NQH116" s="17"/>
      <c r="NQI116" s="17"/>
      <c r="NQJ116" s="17"/>
      <c r="NQK116" s="17"/>
      <c r="NQL116" s="17"/>
      <c r="NQM116" s="17"/>
      <c r="NQN116" s="17"/>
      <c r="NQO116" s="17"/>
      <c r="NQP116" s="17"/>
      <c r="NQQ116" s="17"/>
      <c r="NQR116" s="17"/>
      <c r="NQS116" s="17"/>
      <c r="NQT116" s="17"/>
      <c r="NQU116" s="17"/>
      <c r="NQV116" s="17"/>
      <c r="NQW116" s="17"/>
      <c r="NQX116" s="17"/>
      <c r="NQY116" s="17"/>
      <c r="NQZ116" s="17"/>
      <c r="NRA116" s="17"/>
      <c r="NRB116" s="17"/>
      <c r="NRC116" s="17"/>
      <c r="NRD116" s="17"/>
      <c r="NRE116" s="17"/>
      <c r="NRF116" s="17"/>
      <c r="NRG116" s="17"/>
      <c r="NRH116" s="17"/>
      <c r="NRI116" s="17"/>
      <c r="NRJ116" s="17"/>
      <c r="NRK116" s="17"/>
      <c r="NRL116" s="17"/>
      <c r="NRM116" s="17"/>
      <c r="NRN116" s="17"/>
      <c r="NRO116" s="17"/>
      <c r="NRP116" s="17"/>
      <c r="NRQ116" s="17"/>
      <c r="NRR116" s="17"/>
      <c r="NRS116" s="17"/>
      <c r="NRT116" s="17"/>
      <c r="NRU116" s="17"/>
      <c r="NRV116" s="17"/>
      <c r="NRW116" s="17"/>
      <c r="NRX116" s="17"/>
      <c r="NRY116" s="17"/>
      <c r="NRZ116" s="17"/>
      <c r="NSA116" s="17"/>
      <c r="NSB116" s="17"/>
      <c r="NSC116" s="17"/>
      <c r="NSD116" s="17"/>
      <c r="NSE116" s="17"/>
      <c r="NSF116" s="17"/>
      <c r="NSG116" s="17"/>
      <c r="NSH116" s="17"/>
      <c r="NSI116" s="17"/>
      <c r="NSJ116" s="17"/>
      <c r="NSK116" s="17"/>
      <c r="NSL116" s="17"/>
      <c r="NSM116" s="17"/>
      <c r="NSN116" s="17"/>
      <c r="NSO116" s="17"/>
      <c r="NSP116" s="17"/>
      <c r="NSQ116" s="17"/>
      <c r="NSR116" s="17"/>
      <c r="NSS116" s="17"/>
      <c r="NST116" s="17"/>
      <c r="NSU116" s="17"/>
      <c r="NSV116" s="17"/>
      <c r="NSW116" s="17"/>
      <c r="NSX116" s="17"/>
      <c r="NSY116" s="17"/>
      <c r="NSZ116" s="17"/>
      <c r="NTA116" s="17"/>
      <c r="NTB116" s="17"/>
      <c r="NTC116" s="17"/>
      <c r="NTD116" s="17"/>
      <c r="NTE116" s="17"/>
      <c r="NTF116" s="17"/>
      <c r="NTG116" s="17"/>
      <c r="NTH116" s="17"/>
      <c r="NTI116" s="17"/>
      <c r="NTJ116" s="17"/>
      <c r="NTK116" s="17"/>
      <c r="NTL116" s="17"/>
      <c r="NTM116" s="17"/>
      <c r="NTN116" s="17"/>
      <c r="NTO116" s="17"/>
      <c r="NTP116" s="17"/>
      <c r="NTQ116" s="17"/>
      <c r="NTR116" s="17"/>
      <c r="NTS116" s="17"/>
      <c r="NTT116" s="17"/>
      <c r="NTU116" s="17"/>
      <c r="NTV116" s="17"/>
      <c r="NTW116" s="17"/>
      <c r="NTX116" s="17"/>
      <c r="NTY116" s="17"/>
      <c r="NTZ116" s="17"/>
      <c r="NUA116" s="17"/>
      <c r="NUB116" s="17"/>
      <c r="NUC116" s="17"/>
      <c r="NUD116" s="17"/>
      <c r="NUE116" s="17"/>
      <c r="NUF116" s="17"/>
      <c r="NUG116" s="17"/>
      <c r="NUH116" s="17"/>
      <c r="NUI116" s="17"/>
      <c r="NUJ116" s="17"/>
      <c r="NUK116" s="17"/>
      <c r="NUL116" s="17"/>
      <c r="NUM116" s="17"/>
      <c r="NUN116" s="17"/>
      <c r="NUO116" s="17"/>
      <c r="NUP116" s="17"/>
      <c r="NUQ116" s="17"/>
      <c r="NUR116" s="17"/>
      <c r="NUS116" s="17"/>
      <c r="NUT116" s="17"/>
      <c r="NUU116" s="17"/>
      <c r="NUV116" s="17"/>
      <c r="NUW116" s="17"/>
      <c r="NUX116" s="17"/>
      <c r="NUY116" s="17"/>
      <c r="NUZ116" s="17"/>
      <c r="NVA116" s="17"/>
      <c r="NVB116" s="17"/>
      <c r="NVC116" s="17"/>
      <c r="NVD116" s="17"/>
      <c r="NVE116" s="17"/>
      <c r="NVF116" s="17"/>
      <c r="NVG116" s="17"/>
      <c r="NVH116" s="17"/>
      <c r="NVI116" s="17"/>
      <c r="NVJ116" s="17"/>
      <c r="NVK116" s="17"/>
      <c r="NVL116" s="17"/>
      <c r="NVM116" s="17"/>
      <c r="NVN116" s="17"/>
      <c r="NVO116" s="17"/>
      <c r="NVP116" s="17"/>
      <c r="NVQ116" s="17"/>
      <c r="NVR116" s="17"/>
      <c r="NVS116" s="17"/>
      <c r="NVT116" s="17"/>
      <c r="NVU116" s="17"/>
      <c r="NVV116" s="17"/>
      <c r="NVW116" s="17"/>
      <c r="NVX116" s="17"/>
      <c r="NVY116" s="17"/>
      <c r="NVZ116" s="17"/>
      <c r="NWA116" s="17"/>
      <c r="NWB116" s="17"/>
      <c r="NWC116" s="17"/>
      <c r="NWD116" s="17"/>
      <c r="NWE116" s="17"/>
      <c r="NWF116" s="17"/>
      <c r="NWG116" s="17"/>
      <c r="NWH116" s="17"/>
      <c r="NWI116" s="17"/>
      <c r="NWJ116" s="17"/>
      <c r="NWK116" s="17"/>
      <c r="NWL116" s="17"/>
      <c r="NWM116" s="17"/>
      <c r="NWN116" s="17"/>
      <c r="NWO116" s="17"/>
      <c r="NWP116" s="17"/>
      <c r="NWQ116" s="17"/>
      <c r="NWR116" s="17"/>
      <c r="NWS116" s="17"/>
      <c r="NWT116" s="17"/>
      <c r="NWU116" s="17"/>
      <c r="NWV116" s="17"/>
      <c r="NWW116" s="17"/>
      <c r="NWX116" s="17"/>
      <c r="NWY116" s="17"/>
      <c r="NWZ116" s="17"/>
      <c r="NXA116" s="17"/>
      <c r="NXB116" s="17"/>
      <c r="NXC116" s="17"/>
      <c r="NXD116" s="17"/>
      <c r="NXE116" s="17"/>
      <c r="NXF116" s="17"/>
      <c r="NXG116" s="17"/>
      <c r="NXH116" s="17"/>
      <c r="NXI116" s="17"/>
      <c r="NXJ116" s="17"/>
      <c r="NXK116" s="17"/>
      <c r="NXL116" s="17"/>
      <c r="NXM116" s="17"/>
      <c r="NXN116" s="17"/>
      <c r="NXO116" s="17"/>
      <c r="NXP116" s="17"/>
      <c r="NXQ116" s="17"/>
      <c r="NXR116" s="17"/>
      <c r="NXS116" s="17"/>
      <c r="NXT116" s="17"/>
      <c r="NXU116" s="17"/>
      <c r="NXV116" s="17"/>
      <c r="NXW116" s="17"/>
      <c r="NXX116" s="17"/>
      <c r="NXY116" s="17"/>
      <c r="NXZ116" s="17"/>
      <c r="NYA116" s="17"/>
      <c r="NYB116" s="17"/>
      <c r="NYC116" s="17"/>
      <c r="NYD116" s="17"/>
      <c r="NYE116" s="17"/>
      <c r="NYF116" s="17"/>
      <c r="NYG116" s="17"/>
      <c r="NYH116" s="17"/>
      <c r="NYI116" s="17"/>
      <c r="NYJ116" s="17"/>
      <c r="NYK116" s="17"/>
      <c r="NYL116" s="17"/>
      <c r="NYM116" s="17"/>
      <c r="NYN116" s="17"/>
      <c r="NYO116" s="17"/>
      <c r="NYP116" s="17"/>
      <c r="NYQ116" s="17"/>
      <c r="NYR116" s="17"/>
      <c r="NYS116" s="17"/>
      <c r="NYT116" s="17"/>
      <c r="NYU116" s="17"/>
      <c r="NYV116" s="17"/>
      <c r="NYW116" s="17"/>
      <c r="NYX116" s="17"/>
      <c r="NYY116" s="17"/>
      <c r="NYZ116" s="17"/>
      <c r="NZA116" s="17"/>
      <c r="NZB116" s="17"/>
      <c r="NZC116" s="17"/>
      <c r="NZD116" s="17"/>
      <c r="NZE116" s="17"/>
      <c r="NZF116" s="17"/>
      <c r="NZG116" s="17"/>
      <c r="NZH116" s="17"/>
      <c r="NZI116" s="17"/>
      <c r="NZJ116" s="17"/>
      <c r="NZK116" s="17"/>
      <c r="NZL116" s="17"/>
      <c r="NZM116" s="17"/>
      <c r="NZN116" s="17"/>
      <c r="NZO116" s="17"/>
      <c r="NZP116" s="17"/>
      <c r="NZQ116" s="17"/>
      <c r="NZR116" s="17"/>
      <c r="NZS116" s="17"/>
      <c r="NZT116" s="17"/>
      <c r="NZU116" s="17"/>
      <c r="NZV116" s="17"/>
      <c r="NZW116" s="17"/>
      <c r="NZX116" s="17"/>
      <c r="NZY116" s="17"/>
      <c r="NZZ116" s="17"/>
      <c r="OAA116" s="17"/>
      <c r="OAB116" s="17"/>
      <c r="OAC116" s="17"/>
      <c r="OAD116" s="17"/>
      <c r="OAE116" s="17"/>
      <c r="OAF116" s="17"/>
      <c r="OAG116" s="17"/>
      <c r="OAH116" s="17"/>
      <c r="OAI116" s="17"/>
      <c r="OAJ116" s="17"/>
      <c r="OAK116" s="17"/>
      <c r="OAL116" s="17"/>
      <c r="OAM116" s="17"/>
      <c r="OAN116" s="17"/>
      <c r="OAO116" s="17"/>
      <c r="OAP116" s="17"/>
      <c r="OAQ116" s="17"/>
      <c r="OAR116" s="17"/>
      <c r="OAS116" s="17"/>
      <c r="OAT116" s="17"/>
      <c r="OAU116" s="17"/>
      <c r="OAV116" s="17"/>
      <c r="OAW116" s="17"/>
      <c r="OAX116" s="17"/>
      <c r="OAY116" s="17"/>
      <c r="OAZ116" s="17"/>
      <c r="OBA116" s="17"/>
      <c r="OBB116" s="17"/>
      <c r="OBC116" s="17"/>
      <c r="OBD116" s="17"/>
      <c r="OBE116" s="17"/>
      <c r="OBF116" s="17"/>
      <c r="OBG116" s="17"/>
      <c r="OBH116" s="17"/>
      <c r="OBI116" s="17"/>
      <c r="OBJ116" s="17"/>
      <c r="OBK116" s="17"/>
      <c r="OBL116" s="17"/>
      <c r="OBM116" s="17"/>
      <c r="OBN116" s="17"/>
      <c r="OBO116" s="17"/>
      <c r="OBP116" s="17"/>
      <c r="OBQ116" s="17"/>
      <c r="OBR116" s="17"/>
      <c r="OBS116" s="17"/>
      <c r="OBT116" s="17"/>
      <c r="OBU116" s="17"/>
      <c r="OBV116" s="17"/>
      <c r="OBW116" s="17"/>
      <c r="OBX116" s="17"/>
      <c r="OBY116" s="17"/>
      <c r="OBZ116" s="17"/>
      <c r="OCA116" s="17"/>
      <c r="OCB116" s="17"/>
      <c r="OCC116" s="17"/>
      <c r="OCD116" s="17"/>
      <c r="OCE116" s="17"/>
      <c r="OCF116" s="17"/>
      <c r="OCG116" s="17"/>
      <c r="OCH116" s="17"/>
      <c r="OCI116" s="17"/>
      <c r="OCJ116" s="17"/>
      <c r="OCK116" s="17"/>
      <c r="OCL116" s="17"/>
      <c r="OCM116" s="17"/>
      <c r="OCN116" s="17"/>
      <c r="OCO116" s="17"/>
      <c r="OCP116" s="17"/>
      <c r="OCQ116" s="17"/>
      <c r="OCR116" s="17"/>
      <c r="OCS116" s="17"/>
      <c r="OCT116" s="17"/>
      <c r="OCU116" s="17"/>
      <c r="OCV116" s="17"/>
      <c r="OCW116" s="17"/>
      <c r="OCX116" s="17"/>
      <c r="OCY116" s="17"/>
      <c r="OCZ116" s="17"/>
      <c r="ODA116" s="17"/>
      <c r="ODB116" s="17"/>
      <c r="ODC116" s="17"/>
      <c r="ODD116" s="17"/>
      <c r="ODE116" s="17"/>
      <c r="ODF116" s="17"/>
      <c r="ODG116" s="17"/>
      <c r="ODH116" s="17"/>
      <c r="ODI116" s="17"/>
      <c r="ODJ116" s="17"/>
      <c r="ODK116" s="17"/>
      <c r="ODL116" s="17"/>
      <c r="ODM116" s="17"/>
      <c r="ODN116" s="17"/>
      <c r="ODO116" s="17"/>
      <c r="ODP116" s="17"/>
      <c r="ODQ116" s="17"/>
      <c r="ODR116" s="17"/>
      <c r="ODS116" s="17"/>
      <c r="ODT116" s="17"/>
      <c r="ODU116" s="17"/>
      <c r="ODV116" s="17"/>
      <c r="ODW116" s="17"/>
      <c r="ODX116" s="17"/>
      <c r="ODY116" s="17"/>
      <c r="ODZ116" s="17"/>
      <c r="OEA116" s="17"/>
      <c r="OEB116" s="17"/>
      <c r="OEC116" s="17"/>
      <c r="OED116" s="17"/>
      <c r="OEE116" s="17"/>
      <c r="OEF116" s="17"/>
      <c r="OEG116" s="17"/>
      <c r="OEH116" s="17"/>
      <c r="OEI116" s="17"/>
      <c r="OEJ116" s="17"/>
      <c r="OEK116" s="17"/>
      <c r="OEL116" s="17"/>
      <c r="OEM116" s="17"/>
      <c r="OEN116" s="17"/>
      <c r="OEO116" s="17"/>
      <c r="OEP116" s="17"/>
      <c r="OEQ116" s="17"/>
      <c r="OER116" s="17"/>
      <c r="OES116" s="17"/>
      <c r="OET116" s="17"/>
      <c r="OEU116" s="17"/>
      <c r="OEV116" s="17"/>
      <c r="OEW116" s="17"/>
      <c r="OEX116" s="17"/>
      <c r="OEY116" s="17"/>
      <c r="OEZ116" s="17"/>
      <c r="OFA116" s="17"/>
      <c r="OFB116" s="17"/>
      <c r="OFC116" s="17"/>
      <c r="OFD116" s="17"/>
      <c r="OFE116" s="17"/>
      <c r="OFF116" s="17"/>
      <c r="OFG116" s="17"/>
      <c r="OFH116" s="17"/>
      <c r="OFI116" s="17"/>
      <c r="OFJ116" s="17"/>
      <c r="OFK116" s="17"/>
      <c r="OFL116" s="17"/>
      <c r="OFM116" s="17"/>
      <c r="OFN116" s="17"/>
      <c r="OFO116" s="17"/>
      <c r="OFP116" s="17"/>
      <c r="OFQ116" s="17"/>
      <c r="OFR116" s="17"/>
      <c r="OFS116" s="17"/>
      <c r="OFT116" s="17"/>
      <c r="OFU116" s="17"/>
      <c r="OFV116" s="17"/>
      <c r="OFW116" s="17"/>
      <c r="OFX116" s="17"/>
      <c r="OFY116" s="17"/>
      <c r="OFZ116" s="17"/>
      <c r="OGA116" s="17"/>
      <c r="OGB116" s="17"/>
      <c r="OGC116" s="17"/>
      <c r="OGD116" s="17"/>
      <c r="OGE116" s="17"/>
      <c r="OGF116" s="17"/>
      <c r="OGG116" s="17"/>
      <c r="OGH116" s="17"/>
      <c r="OGI116" s="17"/>
      <c r="OGJ116" s="17"/>
      <c r="OGK116" s="17"/>
      <c r="OGL116" s="17"/>
      <c r="OGM116" s="17"/>
      <c r="OGN116" s="17"/>
      <c r="OGO116" s="17"/>
      <c r="OGP116" s="17"/>
      <c r="OGQ116" s="17"/>
      <c r="OGR116" s="17"/>
      <c r="OGS116" s="17"/>
      <c r="OGT116" s="17"/>
      <c r="OGU116" s="17"/>
      <c r="OGV116" s="17"/>
      <c r="OGW116" s="17"/>
      <c r="OGX116" s="17"/>
      <c r="OGY116" s="17"/>
      <c r="OGZ116" s="17"/>
      <c r="OHA116" s="17"/>
      <c r="OHB116" s="17"/>
      <c r="OHC116" s="17"/>
      <c r="OHD116" s="17"/>
      <c r="OHE116" s="17"/>
      <c r="OHF116" s="17"/>
      <c r="OHG116" s="17"/>
      <c r="OHH116" s="17"/>
      <c r="OHI116" s="17"/>
      <c r="OHJ116" s="17"/>
      <c r="OHK116" s="17"/>
      <c r="OHL116" s="17"/>
      <c r="OHM116" s="17"/>
      <c r="OHN116" s="17"/>
      <c r="OHO116" s="17"/>
      <c r="OHP116" s="17"/>
      <c r="OHQ116" s="17"/>
      <c r="OHR116" s="17"/>
      <c r="OHS116" s="17"/>
      <c r="OHT116" s="17"/>
      <c r="OHU116" s="17"/>
      <c r="OHV116" s="17"/>
      <c r="OHW116" s="17"/>
      <c r="OHX116" s="17"/>
      <c r="OHY116" s="17"/>
      <c r="OHZ116" s="17"/>
      <c r="OIA116" s="17"/>
      <c r="OIB116" s="17"/>
      <c r="OIC116" s="17"/>
      <c r="OID116" s="17"/>
      <c r="OIE116" s="17"/>
      <c r="OIF116" s="17"/>
      <c r="OIG116" s="17"/>
      <c r="OIH116" s="17"/>
      <c r="OII116" s="17"/>
      <c r="OIJ116" s="17"/>
      <c r="OIK116" s="17"/>
      <c r="OIL116" s="17"/>
      <c r="OIM116" s="17"/>
      <c r="OIN116" s="17"/>
      <c r="OIO116" s="17"/>
      <c r="OIP116" s="17"/>
      <c r="OIQ116" s="17"/>
      <c r="OIR116" s="17"/>
      <c r="OIS116" s="17"/>
      <c r="OIT116" s="17"/>
      <c r="OIU116" s="17"/>
      <c r="OIV116" s="17"/>
      <c r="OIW116" s="17"/>
      <c r="OIX116" s="17"/>
      <c r="OIY116" s="17"/>
      <c r="OIZ116" s="17"/>
      <c r="OJA116" s="17"/>
      <c r="OJB116" s="17"/>
      <c r="OJC116" s="17"/>
      <c r="OJD116" s="17"/>
      <c r="OJE116" s="17"/>
      <c r="OJF116" s="17"/>
      <c r="OJG116" s="17"/>
      <c r="OJH116" s="17"/>
      <c r="OJI116" s="17"/>
      <c r="OJJ116" s="17"/>
      <c r="OJK116" s="17"/>
      <c r="OJL116" s="17"/>
      <c r="OJM116" s="17"/>
      <c r="OJN116" s="17"/>
      <c r="OJO116" s="17"/>
      <c r="OJP116" s="17"/>
      <c r="OJQ116" s="17"/>
      <c r="OJR116" s="17"/>
      <c r="OJS116" s="17"/>
      <c r="OJT116" s="17"/>
      <c r="OJU116" s="17"/>
      <c r="OJV116" s="17"/>
      <c r="OJW116" s="17"/>
      <c r="OJX116" s="17"/>
      <c r="OJY116" s="17"/>
      <c r="OJZ116" s="17"/>
      <c r="OKA116" s="17"/>
      <c r="OKB116" s="17"/>
      <c r="OKC116" s="17"/>
      <c r="OKD116" s="17"/>
      <c r="OKE116" s="17"/>
      <c r="OKF116" s="17"/>
      <c r="OKG116" s="17"/>
      <c r="OKH116" s="17"/>
      <c r="OKI116" s="17"/>
      <c r="OKJ116" s="17"/>
      <c r="OKK116" s="17"/>
      <c r="OKL116" s="17"/>
      <c r="OKM116" s="17"/>
      <c r="OKN116" s="17"/>
      <c r="OKO116" s="17"/>
      <c r="OKP116" s="17"/>
      <c r="OKQ116" s="17"/>
      <c r="OKR116" s="17"/>
      <c r="OKS116" s="17"/>
      <c r="OKT116" s="17"/>
      <c r="OKU116" s="17"/>
      <c r="OKV116" s="17"/>
      <c r="OKW116" s="17"/>
      <c r="OKX116" s="17"/>
      <c r="OKY116" s="17"/>
      <c r="OKZ116" s="17"/>
      <c r="OLA116" s="17"/>
      <c r="OLB116" s="17"/>
      <c r="OLC116" s="17"/>
      <c r="OLD116" s="17"/>
      <c r="OLE116" s="17"/>
      <c r="OLF116" s="17"/>
      <c r="OLG116" s="17"/>
      <c r="OLH116" s="17"/>
      <c r="OLI116" s="17"/>
      <c r="OLJ116" s="17"/>
      <c r="OLK116" s="17"/>
      <c r="OLL116" s="17"/>
      <c r="OLM116" s="17"/>
      <c r="OLN116" s="17"/>
      <c r="OLO116" s="17"/>
      <c r="OLP116" s="17"/>
      <c r="OLQ116" s="17"/>
      <c r="OLR116" s="17"/>
      <c r="OLS116" s="17"/>
      <c r="OLT116" s="17"/>
      <c r="OLU116" s="17"/>
      <c r="OLV116" s="17"/>
      <c r="OLW116" s="17"/>
      <c r="OLX116" s="17"/>
      <c r="OLY116" s="17"/>
      <c r="OLZ116" s="17"/>
      <c r="OMA116" s="17"/>
      <c r="OMB116" s="17"/>
      <c r="OMC116" s="17"/>
      <c r="OMD116" s="17"/>
      <c r="OME116" s="17"/>
      <c r="OMF116" s="17"/>
      <c r="OMG116" s="17"/>
      <c r="OMH116" s="17"/>
      <c r="OMI116" s="17"/>
      <c r="OMJ116" s="17"/>
      <c r="OMK116" s="17"/>
      <c r="OML116" s="17"/>
      <c r="OMM116" s="17"/>
      <c r="OMN116" s="17"/>
      <c r="OMO116" s="17"/>
      <c r="OMP116" s="17"/>
      <c r="OMQ116" s="17"/>
      <c r="OMR116" s="17"/>
      <c r="OMS116" s="17"/>
      <c r="OMT116" s="17"/>
      <c r="OMU116" s="17"/>
      <c r="OMV116" s="17"/>
      <c r="OMW116" s="17"/>
      <c r="OMX116" s="17"/>
      <c r="OMY116" s="17"/>
      <c r="OMZ116" s="17"/>
      <c r="ONA116" s="17"/>
      <c r="ONB116" s="17"/>
      <c r="ONC116" s="17"/>
      <c r="OND116" s="17"/>
      <c r="ONE116" s="17"/>
      <c r="ONF116" s="17"/>
      <c r="ONG116" s="17"/>
      <c r="ONH116" s="17"/>
      <c r="ONI116" s="17"/>
      <c r="ONJ116" s="17"/>
      <c r="ONK116" s="17"/>
      <c r="ONL116" s="17"/>
      <c r="ONM116" s="17"/>
      <c r="ONN116" s="17"/>
      <c r="ONO116" s="17"/>
      <c r="ONP116" s="17"/>
      <c r="ONQ116" s="17"/>
      <c r="ONR116" s="17"/>
      <c r="ONS116" s="17"/>
      <c r="ONT116" s="17"/>
      <c r="ONU116" s="17"/>
      <c r="ONV116" s="17"/>
      <c r="ONW116" s="17"/>
      <c r="ONX116" s="17"/>
      <c r="ONY116" s="17"/>
      <c r="ONZ116" s="17"/>
      <c r="OOA116" s="17"/>
      <c r="OOB116" s="17"/>
      <c r="OOC116" s="17"/>
      <c r="OOD116" s="17"/>
      <c r="OOE116" s="17"/>
      <c r="OOF116" s="17"/>
      <c r="OOG116" s="17"/>
      <c r="OOH116" s="17"/>
      <c r="OOI116" s="17"/>
      <c r="OOJ116" s="17"/>
      <c r="OOK116" s="17"/>
      <c r="OOL116" s="17"/>
      <c r="OOM116" s="17"/>
      <c r="OON116" s="17"/>
      <c r="OOO116" s="17"/>
      <c r="OOP116" s="17"/>
      <c r="OOQ116" s="17"/>
      <c r="OOR116" s="17"/>
      <c r="OOS116" s="17"/>
      <c r="OOT116" s="17"/>
      <c r="OOU116" s="17"/>
      <c r="OOV116" s="17"/>
      <c r="OOW116" s="17"/>
      <c r="OOX116" s="17"/>
      <c r="OOY116" s="17"/>
      <c r="OOZ116" s="17"/>
      <c r="OPA116" s="17"/>
      <c r="OPB116" s="17"/>
      <c r="OPC116" s="17"/>
      <c r="OPD116" s="17"/>
      <c r="OPE116" s="17"/>
      <c r="OPF116" s="17"/>
      <c r="OPG116" s="17"/>
      <c r="OPH116" s="17"/>
      <c r="OPI116" s="17"/>
      <c r="OPJ116" s="17"/>
      <c r="OPK116" s="17"/>
      <c r="OPL116" s="17"/>
      <c r="OPM116" s="17"/>
      <c r="OPN116" s="17"/>
      <c r="OPO116" s="17"/>
      <c r="OPP116" s="17"/>
      <c r="OPQ116" s="17"/>
      <c r="OPR116" s="17"/>
      <c r="OPS116" s="17"/>
      <c r="OPT116" s="17"/>
      <c r="OPU116" s="17"/>
      <c r="OPV116" s="17"/>
      <c r="OPW116" s="17"/>
      <c r="OPX116" s="17"/>
      <c r="OPY116" s="17"/>
      <c r="OPZ116" s="17"/>
      <c r="OQA116" s="17"/>
      <c r="OQB116" s="17"/>
      <c r="OQC116" s="17"/>
      <c r="OQD116" s="17"/>
      <c r="OQE116" s="17"/>
      <c r="OQF116" s="17"/>
      <c r="OQG116" s="17"/>
      <c r="OQH116" s="17"/>
      <c r="OQI116" s="17"/>
      <c r="OQJ116" s="17"/>
      <c r="OQK116" s="17"/>
      <c r="OQL116" s="17"/>
      <c r="OQM116" s="17"/>
      <c r="OQN116" s="17"/>
      <c r="OQO116" s="17"/>
      <c r="OQP116" s="17"/>
      <c r="OQQ116" s="17"/>
      <c r="OQR116" s="17"/>
      <c r="OQS116" s="17"/>
      <c r="OQT116" s="17"/>
      <c r="OQU116" s="17"/>
      <c r="OQV116" s="17"/>
      <c r="OQW116" s="17"/>
      <c r="OQX116" s="17"/>
      <c r="OQY116" s="17"/>
      <c r="OQZ116" s="17"/>
      <c r="ORA116" s="17"/>
      <c r="ORB116" s="17"/>
      <c r="ORC116" s="17"/>
      <c r="ORD116" s="17"/>
      <c r="ORE116" s="17"/>
      <c r="ORF116" s="17"/>
      <c r="ORG116" s="17"/>
      <c r="ORH116" s="17"/>
      <c r="ORI116" s="17"/>
      <c r="ORJ116" s="17"/>
      <c r="ORK116" s="17"/>
      <c r="ORL116" s="17"/>
      <c r="ORM116" s="17"/>
      <c r="ORN116" s="17"/>
      <c r="ORO116" s="17"/>
      <c r="ORP116" s="17"/>
      <c r="ORQ116" s="17"/>
      <c r="ORR116" s="17"/>
      <c r="ORS116" s="17"/>
      <c r="ORT116" s="17"/>
      <c r="ORU116" s="17"/>
      <c r="ORV116" s="17"/>
      <c r="ORW116" s="17"/>
      <c r="ORX116" s="17"/>
      <c r="ORY116" s="17"/>
      <c r="ORZ116" s="17"/>
      <c r="OSA116" s="17"/>
      <c r="OSB116" s="17"/>
      <c r="OSC116" s="17"/>
      <c r="OSD116" s="17"/>
      <c r="OSE116" s="17"/>
      <c r="OSF116" s="17"/>
      <c r="OSG116" s="17"/>
      <c r="OSH116" s="17"/>
      <c r="OSI116" s="17"/>
      <c r="OSJ116" s="17"/>
      <c r="OSK116" s="17"/>
      <c r="OSL116" s="17"/>
      <c r="OSM116" s="17"/>
      <c r="OSN116" s="17"/>
      <c r="OSO116" s="17"/>
      <c r="OSP116" s="17"/>
      <c r="OSQ116" s="17"/>
      <c r="OSR116" s="17"/>
      <c r="OSS116" s="17"/>
      <c r="OST116" s="17"/>
      <c r="OSU116" s="17"/>
      <c r="OSV116" s="17"/>
      <c r="OSW116" s="17"/>
      <c r="OSX116" s="17"/>
      <c r="OSY116" s="17"/>
      <c r="OSZ116" s="17"/>
      <c r="OTA116" s="17"/>
      <c r="OTB116" s="17"/>
      <c r="OTC116" s="17"/>
      <c r="OTD116" s="17"/>
      <c r="OTE116" s="17"/>
      <c r="OTF116" s="17"/>
      <c r="OTG116" s="17"/>
      <c r="OTH116" s="17"/>
      <c r="OTI116" s="17"/>
      <c r="OTJ116" s="17"/>
      <c r="OTK116" s="17"/>
      <c r="OTL116" s="17"/>
      <c r="OTM116" s="17"/>
      <c r="OTN116" s="17"/>
      <c r="OTO116" s="17"/>
      <c r="OTP116" s="17"/>
      <c r="OTQ116" s="17"/>
      <c r="OTR116" s="17"/>
      <c r="OTS116" s="17"/>
      <c r="OTT116" s="17"/>
      <c r="OTU116" s="17"/>
      <c r="OTV116" s="17"/>
      <c r="OTW116" s="17"/>
      <c r="OTX116" s="17"/>
      <c r="OTY116" s="17"/>
      <c r="OTZ116" s="17"/>
      <c r="OUA116" s="17"/>
      <c r="OUB116" s="17"/>
      <c r="OUC116" s="17"/>
      <c r="OUD116" s="17"/>
      <c r="OUE116" s="17"/>
      <c r="OUF116" s="17"/>
      <c r="OUG116" s="17"/>
      <c r="OUH116" s="17"/>
      <c r="OUI116" s="17"/>
      <c r="OUJ116" s="17"/>
      <c r="OUK116" s="17"/>
      <c r="OUL116" s="17"/>
      <c r="OUM116" s="17"/>
      <c r="OUN116" s="17"/>
      <c r="OUO116" s="17"/>
      <c r="OUP116" s="17"/>
      <c r="OUQ116" s="17"/>
      <c r="OUR116" s="17"/>
      <c r="OUS116" s="17"/>
      <c r="OUT116" s="17"/>
      <c r="OUU116" s="17"/>
      <c r="OUV116" s="17"/>
      <c r="OUW116" s="17"/>
      <c r="OUX116" s="17"/>
      <c r="OUY116" s="17"/>
      <c r="OUZ116" s="17"/>
      <c r="OVA116" s="17"/>
      <c r="OVB116" s="17"/>
      <c r="OVC116" s="17"/>
      <c r="OVD116" s="17"/>
      <c r="OVE116" s="17"/>
      <c r="OVF116" s="17"/>
      <c r="OVG116" s="17"/>
      <c r="OVH116" s="17"/>
      <c r="OVI116" s="17"/>
      <c r="OVJ116" s="17"/>
      <c r="OVK116" s="17"/>
      <c r="OVL116" s="17"/>
      <c r="OVM116" s="17"/>
      <c r="OVN116" s="17"/>
      <c r="OVO116" s="17"/>
      <c r="OVP116" s="17"/>
      <c r="OVQ116" s="17"/>
      <c r="OVR116" s="17"/>
      <c r="OVS116" s="17"/>
      <c r="OVT116" s="17"/>
      <c r="OVU116" s="17"/>
      <c r="OVV116" s="17"/>
      <c r="OVW116" s="17"/>
      <c r="OVX116" s="17"/>
      <c r="OVY116" s="17"/>
      <c r="OVZ116" s="17"/>
      <c r="OWA116" s="17"/>
      <c r="OWB116" s="17"/>
      <c r="OWC116" s="17"/>
      <c r="OWD116" s="17"/>
      <c r="OWE116" s="17"/>
      <c r="OWF116" s="17"/>
      <c r="OWG116" s="17"/>
      <c r="OWH116" s="17"/>
      <c r="OWI116" s="17"/>
      <c r="OWJ116" s="17"/>
      <c r="OWK116" s="17"/>
      <c r="OWL116" s="17"/>
      <c r="OWM116" s="17"/>
      <c r="OWN116" s="17"/>
      <c r="OWO116" s="17"/>
      <c r="OWP116" s="17"/>
      <c r="OWQ116" s="17"/>
      <c r="OWR116" s="17"/>
      <c r="OWS116" s="17"/>
      <c r="OWT116" s="17"/>
      <c r="OWU116" s="17"/>
      <c r="OWV116" s="17"/>
      <c r="OWW116" s="17"/>
      <c r="OWX116" s="17"/>
      <c r="OWY116" s="17"/>
      <c r="OWZ116" s="17"/>
      <c r="OXA116" s="17"/>
      <c r="OXB116" s="17"/>
      <c r="OXC116" s="17"/>
      <c r="OXD116" s="17"/>
      <c r="OXE116" s="17"/>
      <c r="OXF116" s="17"/>
      <c r="OXG116" s="17"/>
      <c r="OXH116" s="17"/>
      <c r="OXI116" s="17"/>
      <c r="OXJ116" s="17"/>
      <c r="OXK116" s="17"/>
      <c r="OXL116" s="17"/>
      <c r="OXM116" s="17"/>
      <c r="OXN116" s="17"/>
      <c r="OXO116" s="17"/>
      <c r="OXP116" s="17"/>
      <c r="OXQ116" s="17"/>
      <c r="OXR116" s="17"/>
      <c r="OXS116" s="17"/>
      <c r="OXT116" s="17"/>
      <c r="OXU116" s="17"/>
      <c r="OXV116" s="17"/>
      <c r="OXW116" s="17"/>
      <c r="OXX116" s="17"/>
      <c r="OXY116" s="17"/>
      <c r="OXZ116" s="17"/>
      <c r="OYA116" s="17"/>
      <c r="OYB116" s="17"/>
      <c r="OYC116" s="17"/>
      <c r="OYD116" s="17"/>
      <c r="OYE116" s="17"/>
      <c r="OYF116" s="17"/>
      <c r="OYG116" s="17"/>
      <c r="OYH116" s="17"/>
      <c r="OYI116" s="17"/>
      <c r="OYJ116" s="17"/>
      <c r="OYK116" s="17"/>
      <c r="OYL116" s="17"/>
      <c r="OYM116" s="17"/>
      <c r="OYN116" s="17"/>
      <c r="OYO116" s="17"/>
      <c r="OYP116" s="17"/>
      <c r="OYQ116" s="17"/>
      <c r="OYR116" s="17"/>
      <c r="OYS116" s="17"/>
      <c r="OYT116" s="17"/>
      <c r="OYU116" s="17"/>
      <c r="OYV116" s="17"/>
      <c r="OYW116" s="17"/>
      <c r="OYX116" s="17"/>
      <c r="OYY116" s="17"/>
      <c r="OYZ116" s="17"/>
      <c r="OZA116" s="17"/>
      <c r="OZB116" s="17"/>
      <c r="OZC116" s="17"/>
      <c r="OZD116" s="17"/>
      <c r="OZE116" s="17"/>
      <c r="OZF116" s="17"/>
      <c r="OZG116" s="17"/>
      <c r="OZH116" s="17"/>
      <c r="OZI116" s="17"/>
      <c r="OZJ116" s="17"/>
      <c r="OZK116" s="17"/>
      <c r="OZL116" s="17"/>
      <c r="OZM116" s="17"/>
      <c r="OZN116" s="17"/>
      <c r="OZO116" s="17"/>
      <c r="OZP116" s="17"/>
      <c r="OZQ116" s="17"/>
      <c r="OZR116" s="17"/>
      <c r="OZS116" s="17"/>
      <c r="OZT116" s="17"/>
      <c r="OZU116" s="17"/>
      <c r="OZV116" s="17"/>
      <c r="OZW116" s="17"/>
      <c r="OZX116" s="17"/>
      <c r="OZY116" s="17"/>
      <c r="OZZ116" s="17"/>
      <c r="PAA116" s="17"/>
      <c r="PAB116" s="17"/>
      <c r="PAC116" s="17"/>
      <c r="PAD116" s="17"/>
      <c r="PAE116" s="17"/>
      <c r="PAF116" s="17"/>
      <c r="PAG116" s="17"/>
      <c r="PAH116" s="17"/>
      <c r="PAI116" s="17"/>
      <c r="PAJ116" s="17"/>
      <c r="PAK116" s="17"/>
      <c r="PAL116" s="17"/>
      <c r="PAM116" s="17"/>
      <c r="PAN116" s="17"/>
      <c r="PAO116" s="17"/>
      <c r="PAP116" s="17"/>
      <c r="PAQ116" s="17"/>
      <c r="PAR116" s="17"/>
      <c r="PAS116" s="17"/>
      <c r="PAT116" s="17"/>
      <c r="PAU116" s="17"/>
      <c r="PAV116" s="17"/>
      <c r="PAW116" s="17"/>
      <c r="PAX116" s="17"/>
      <c r="PAY116" s="17"/>
      <c r="PAZ116" s="17"/>
      <c r="PBA116" s="17"/>
      <c r="PBB116" s="17"/>
      <c r="PBC116" s="17"/>
      <c r="PBD116" s="17"/>
      <c r="PBE116" s="17"/>
      <c r="PBF116" s="17"/>
      <c r="PBG116" s="17"/>
      <c r="PBH116" s="17"/>
      <c r="PBI116" s="17"/>
      <c r="PBJ116" s="17"/>
      <c r="PBK116" s="17"/>
      <c r="PBL116" s="17"/>
      <c r="PBM116" s="17"/>
      <c r="PBN116" s="17"/>
      <c r="PBO116" s="17"/>
      <c r="PBP116" s="17"/>
      <c r="PBQ116" s="17"/>
      <c r="PBR116" s="17"/>
      <c r="PBS116" s="17"/>
      <c r="PBT116" s="17"/>
      <c r="PBU116" s="17"/>
      <c r="PBV116" s="17"/>
      <c r="PBW116" s="17"/>
      <c r="PBX116" s="17"/>
      <c r="PBY116" s="17"/>
      <c r="PBZ116" s="17"/>
      <c r="PCA116" s="17"/>
      <c r="PCB116" s="17"/>
      <c r="PCC116" s="17"/>
      <c r="PCD116" s="17"/>
      <c r="PCE116" s="17"/>
      <c r="PCF116" s="17"/>
      <c r="PCG116" s="17"/>
      <c r="PCH116" s="17"/>
      <c r="PCI116" s="17"/>
      <c r="PCJ116" s="17"/>
      <c r="PCK116" s="17"/>
      <c r="PCL116" s="17"/>
      <c r="PCM116" s="17"/>
      <c r="PCN116" s="17"/>
      <c r="PCO116" s="17"/>
      <c r="PCP116" s="17"/>
      <c r="PCQ116" s="17"/>
      <c r="PCR116" s="17"/>
      <c r="PCS116" s="17"/>
      <c r="PCT116" s="17"/>
      <c r="PCU116" s="17"/>
      <c r="PCV116" s="17"/>
      <c r="PCW116" s="17"/>
      <c r="PCX116" s="17"/>
      <c r="PCY116" s="17"/>
      <c r="PCZ116" s="17"/>
      <c r="PDA116" s="17"/>
      <c r="PDB116" s="17"/>
      <c r="PDC116" s="17"/>
      <c r="PDD116" s="17"/>
      <c r="PDE116" s="17"/>
      <c r="PDF116" s="17"/>
      <c r="PDG116" s="17"/>
      <c r="PDH116" s="17"/>
      <c r="PDI116" s="17"/>
      <c r="PDJ116" s="17"/>
      <c r="PDK116" s="17"/>
      <c r="PDL116" s="17"/>
      <c r="PDM116" s="17"/>
      <c r="PDN116" s="17"/>
      <c r="PDO116" s="17"/>
      <c r="PDP116" s="17"/>
      <c r="PDQ116" s="17"/>
      <c r="PDR116" s="17"/>
      <c r="PDS116" s="17"/>
      <c r="PDT116" s="17"/>
      <c r="PDU116" s="17"/>
      <c r="PDV116" s="17"/>
      <c r="PDW116" s="17"/>
      <c r="PDX116" s="17"/>
      <c r="PDY116" s="17"/>
      <c r="PDZ116" s="17"/>
      <c r="PEA116" s="17"/>
      <c r="PEB116" s="17"/>
      <c r="PEC116" s="17"/>
      <c r="PED116" s="17"/>
      <c r="PEE116" s="17"/>
      <c r="PEF116" s="17"/>
      <c r="PEG116" s="17"/>
      <c r="PEH116" s="17"/>
      <c r="PEI116" s="17"/>
      <c r="PEJ116" s="17"/>
      <c r="PEK116" s="17"/>
      <c r="PEL116" s="17"/>
      <c r="PEM116" s="17"/>
      <c r="PEN116" s="17"/>
      <c r="PEO116" s="17"/>
      <c r="PEP116" s="17"/>
      <c r="PEQ116" s="17"/>
      <c r="PER116" s="17"/>
      <c r="PES116" s="17"/>
      <c r="PET116" s="17"/>
      <c r="PEU116" s="17"/>
      <c r="PEV116" s="17"/>
      <c r="PEW116" s="17"/>
      <c r="PEX116" s="17"/>
      <c r="PEY116" s="17"/>
      <c r="PEZ116" s="17"/>
      <c r="PFA116" s="17"/>
      <c r="PFB116" s="17"/>
      <c r="PFC116" s="17"/>
      <c r="PFD116" s="17"/>
      <c r="PFE116" s="17"/>
      <c r="PFF116" s="17"/>
      <c r="PFG116" s="17"/>
      <c r="PFH116" s="17"/>
      <c r="PFI116" s="17"/>
      <c r="PFJ116" s="17"/>
      <c r="PFK116" s="17"/>
      <c r="PFL116" s="17"/>
      <c r="PFM116" s="17"/>
      <c r="PFN116" s="17"/>
      <c r="PFO116" s="17"/>
      <c r="PFP116" s="17"/>
      <c r="PFQ116" s="17"/>
      <c r="PFR116" s="17"/>
      <c r="PFS116" s="17"/>
      <c r="PFT116" s="17"/>
      <c r="PFU116" s="17"/>
      <c r="PFV116" s="17"/>
      <c r="PFW116" s="17"/>
      <c r="PFX116" s="17"/>
      <c r="PFY116" s="17"/>
      <c r="PFZ116" s="17"/>
      <c r="PGA116" s="17"/>
      <c r="PGB116" s="17"/>
      <c r="PGC116" s="17"/>
      <c r="PGD116" s="17"/>
      <c r="PGE116" s="17"/>
      <c r="PGF116" s="17"/>
      <c r="PGG116" s="17"/>
      <c r="PGH116" s="17"/>
      <c r="PGI116" s="17"/>
      <c r="PGJ116" s="17"/>
      <c r="PGK116" s="17"/>
      <c r="PGL116" s="17"/>
      <c r="PGM116" s="17"/>
      <c r="PGN116" s="17"/>
      <c r="PGO116" s="17"/>
      <c r="PGP116" s="17"/>
      <c r="PGQ116" s="17"/>
      <c r="PGR116" s="17"/>
      <c r="PGS116" s="17"/>
      <c r="PGT116" s="17"/>
      <c r="PGU116" s="17"/>
      <c r="PGV116" s="17"/>
      <c r="PGW116" s="17"/>
      <c r="PGX116" s="17"/>
      <c r="PGY116" s="17"/>
      <c r="PGZ116" s="17"/>
      <c r="PHA116" s="17"/>
      <c r="PHB116" s="17"/>
      <c r="PHC116" s="17"/>
      <c r="PHD116" s="17"/>
      <c r="PHE116" s="17"/>
      <c r="PHF116" s="17"/>
      <c r="PHG116" s="17"/>
      <c r="PHH116" s="17"/>
      <c r="PHI116" s="17"/>
      <c r="PHJ116" s="17"/>
      <c r="PHK116" s="17"/>
      <c r="PHL116" s="17"/>
      <c r="PHM116" s="17"/>
      <c r="PHN116" s="17"/>
      <c r="PHO116" s="17"/>
      <c r="PHP116" s="17"/>
      <c r="PHQ116" s="17"/>
      <c r="PHR116" s="17"/>
      <c r="PHS116" s="17"/>
      <c r="PHT116" s="17"/>
      <c r="PHU116" s="17"/>
      <c r="PHV116" s="17"/>
      <c r="PHW116" s="17"/>
      <c r="PHX116" s="17"/>
      <c r="PHY116" s="17"/>
      <c r="PHZ116" s="17"/>
      <c r="PIA116" s="17"/>
      <c r="PIB116" s="17"/>
      <c r="PIC116" s="17"/>
      <c r="PID116" s="17"/>
      <c r="PIE116" s="17"/>
      <c r="PIF116" s="17"/>
      <c r="PIG116" s="17"/>
      <c r="PIH116" s="17"/>
      <c r="PII116" s="17"/>
      <c r="PIJ116" s="17"/>
      <c r="PIK116" s="17"/>
      <c r="PIL116" s="17"/>
      <c r="PIM116" s="17"/>
      <c r="PIN116" s="17"/>
      <c r="PIO116" s="17"/>
      <c r="PIP116" s="17"/>
      <c r="PIQ116" s="17"/>
      <c r="PIR116" s="17"/>
      <c r="PIS116" s="17"/>
      <c r="PIT116" s="17"/>
      <c r="PIU116" s="17"/>
      <c r="PIV116" s="17"/>
      <c r="PIW116" s="17"/>
      <c r="PIX116" s="17"/>
      <c r="PIY116" s="17"/>
      <c r="PIZ116" s="17"/>
      <c r="PJA116" s="17"/>
      <c r="PJB116" s="17"/>
      <c r="PJC116" s="17"/>
      <c r="PJD116" s="17"/>
      <c r="PJE116" s="17"/>
      <c r="PJF116" s="17"/>
      <c r="PJG116" s="17"/>
      <c r="PJH116" s="17"/>
      <c r="PJI116" s="17"/>
      <c r="PJJ116" s="17"/>
      <c r="PJK116" s="17"/>
      <c r="PJL116" s="17"/>
      <c r="PJM116" s="17"/>
      <c r="PJN116" s="17"/>
      <c r="PJO116" s="17"/>
      <c r="PJP116" s="17"/>
      <c r="PJQ116" s="17"/>
      <c r="PJR116" s="17"/>
      <c r="PJS116" s="17"/>
      <c r="PJT116" s="17"/>
      <c r="PJU116" s="17"/>
      <c r="PJV116" s="17"/>
      <c r="PJW116" s="17"/>
      <c r="PJX116" s="17"/>
      <c r="PJY116" s="17"/>
      <c r="PJZ116" s="17"/>
      <c r="PKA116" s="17"/>
      <c r="PKB116" s="17"/>
      <c r="PKC116" s="17"/>
      <c r="PKD116" s="17"/>
      <c r="PKE116" s="17"/>
      <c r="PKF116" s="17"/>
      <c r="PKG116" s="17"/>
      <c r="PKH116" s="17"/>
      <c r="PKI116" s="17"/>
      <c r="PKJ116" s="17"/>
      <c r="PKK116" s="17"/>
      <c r="PKL116" s="17"/>
      <c r="PKM116" s="17"/>
      <c r="PKN116" s="17"/>
      <c r="PKO116" s="17"/>
      <c r="PKP116" s="17"/>
      <c r="PKQ116" s="17"/>
      <c r="PKR116" s="17"/>
      <c r="PKS116" s="17"/>
      <c r="PKT116" s="17"/>
      <c r="PKU116" s="17"/>
      <c r="PKV116" s="17"/>
      <c r="PKW116" s="17"/>
      <c r="PKX116" s="17"/>
      <c r="PKY116" s="17"/>
      <c r="PKZ116" s="17"/>
      <c r="PLA116" s="17"/>
      <c r="PLB116" s="17"/>
      <c r="PLC116" s="17"/>
      <c r="PLD116" s="17"/>
      <c r="PLE116" s="17"/>
      <c r="PLF116" s="17"/>
      <c r="PLG116" s="17"/>
      <c r="PLH116" s="17"/>
      <c r="PLI116" s="17"/>
      <c r="PLJ116" s="17"/>
      <c r="PLK116" s="17"/>
      <c r="PLL116" s="17"/>
      <c r="PLM116" s="17"/>
      <c r="PLN116" s="17"/>
      <c r="PLO116" s="17"/>
      <c r="PLP116" s="17"/>
      <c r="PLQ116" s="17"/>
      <c r="PLR116" s="17"/>
      <c r="PLS116" s="17"/>
      <c r="PLT116" s="17"/>
      <c r="PLU116" s="17"/>
      <c r="PLV116" s="17"/>
      <c r="PLW116" s="17"/>
      <c r="PLX116" s="17"/>
      <c r="PLY116" s="17"/>
      <c r="PLZ116" s="17"/>
      <c r="PMA116" s="17"/>
      <c r="PMB116" s="17"/>
      <c r="PMC116" s="17"/>
      <c r="PMD116" s="17"/>
      <c r="PME116" s="17"/>
      <c r="PMF116" s="17"/>
      <c r="PMG116" s="17"/>
      <c r="PMH116" s="17"/>
      <c r="PMI116" s="17"/>
      <c r="PMJ116" s="17"/>
      <c r="PMK116" s="17"/>
      <c r="PML116" s="17"/>
      <c r="PMM116" s="17"/>
      <c r="PMN116" s="17"/>
      <c r="PMO116" s="17"/>
      <c r="PMP116" s="17"/>
      <c r="PMQ116" s="17"/>
      <c r="PMR116" s="17"/>
      <c r="PMS116" s="17"/>
      <c r="PMT116" s="17"/>
      <c r="PMU116" s="17"/>
      <c r="PMV116" s="17"/>
      <c r="PMW116" s="17"/>
      <c r="PMX116" s="17"/>
      <c r="PMY116" s="17"/>
      <c r="PMZ116" s="17"/>
      <c r="PNA116" s="17"/>
      <c r="PNB116" s="17"/>
      <c r="PNC116" s="17"/>
      <c r="PND116" s="17"/>
      <c r="PNE116" s="17"/>
      <c r="PNF116" s="17"/>
      <c r="PNG116" s="17"/>
      <c r="PNH116" s="17"/>
      <c r="PNI116" s="17"/>
      <c r="PNJ116" s="17"/>
      <c r="PNK116" s="17"/>
      <c r="PNL116" s="17"/>
      <c r="PNM116" s="17"/>
      <c r="PNN116" s="17"/>
      <c r="PNO116" s="17"/>
      <c r="PNP116" s="17"/>
      <c r="PNQ116" s="17"/>
      <c r="PNR116" s="17"/>
      <c r="PNS116" s="17"/>
      <c r="PNT116" s="17"/>
      <c r="PNU116" s="17"/>
      <c r="PNV116" s="17"/>
      <c r="PNW116" s="17"/>
      <c r="PNX116" s="17"/>
      <c r="PNY116" s="17"/>
      <c r="PNZ116" s="17"/>
      <c r="POA116" s="17"/>
      <c r="POB116" s="17"/>
      <c r="POC116" s="17"/>
      <c r="POD116" s="17"/>
      <c r="POE116" s="17"/>
      <c r="POF116" s="17"/>
      <c r="POG116" s="17"/>
      <c r="POH116" s="17"/>
      <c r="POI116" s="17"/>
      <c r="POJ116" s="17"/>
      <c r="POK116" s="17"/>
      <c r="POL116" s="17"/>
      <c r="POM116" s="17"/>
      <c r="PON116" s="17"/>
      <c r="POO116" s="17"/>
      <c r="POP116" s="17"/>
      <c r="POQ116" s="17"/>
      <c r="POR116" s="17"/>
      <c r="POS116" s="17"/>
      <c r="POT116" s="17"/>
      <c r="POU116" s="17"/>
      <c r="POV116" s="17"/>
      <c r="POW116" s="17"/>
      <c r="POX116" s="17"/>
      <c r="POY116" s="17"/>
      <c r="POZ116" s="17"/>
      <c r="PPA116" s="17"/>
      <c r="PPB116" s="17"/>
      <c r="PPC116" s="17"/>
      <c r="PPD116" s="17"/>
      <c r="PPE116" s="17"/>
      <c r="PPF116" s="17"/>
      <c r="PPG116" s="17"/>
      <c r="PPH116" s="17"/>
      <c r="PPI116" s="17"/>
      <c r="PPJ116" s="17"/>
      <c r="PPK116" s="17"/>
      <c r="PPL116" s="17"/>
      <c r="PPM116" s="17"/>
      <c r="PPN116" s="17"/>
      <c r="PPO116" s="17"/>
      <c r="PPP116" s="17"/>
      <c r="PPQ116" s="17"/>
      <c r="PPR116" s="17"/>
      <c r="PPS116" s="17"/>
      <c r="PPT116" s="17"/>
      <c r="PPU116" s="17"/>
      <c r="PPV116" s="17"/>
      <c r="PPW116" s="17"/>
      <c r="PPX116" s="17"/>
      <c r="PPY116" s="17"/>
      <c r="PPZ116" s="17"/>
      <c r="PQA116" s="17"/>
      <c r="PQB116" s="17"/>
      <c r="PQC116" s="17"/>
      <c r="PQD116" s="17"/>
      <c r="PQE116" s="17"/>
      <c r="PQF116" s="17"/>
      <c r="PQG116" s="17"/>
      <c r="PQH116" s="17"/>
      <c r="PQI116" s="17"/>
      <c r="PQJ116" s="17"/>
      <c r="PQK116" s="17"/>
      <c r="PQL116" s="17"/>
      <c r="PQM116" s="17"/>
      <c r="PQN116" s="17"/>
      <c r="PQO116" s="17"/>
      <c r="PQP116" s="17"/>
      <c r="PQQ116" s="17"/>
      <c r="PQR116" s="17"/>
      <c r="PQS116" s="17"/>
      <c r="PQT116" s="17"/>
      <c r="PQU116" s="17"/>
      <c r="PQV116" s="17"/>
      <c r="PQW116" s="17"/>
      <c r="PQX116" s="17"/>
      <c r="PQY116" s="17"/>
      <c r="PQZ116" s="17"/>
      <c r="PRA116" s="17"/>
      <c r="PRB116" s="17"/>
      <c r="PRC116" s="17"/>
      <c r="PRD116" s="17"/>
      <c r="PRE116" s="17"/>
      <c r="PRF116" s="17"/>
      <c r="PRG116" s="17"/>
      <c r="PRH116" s="17"/>
      <c r="PRI116" s="17"/>
      <c r="PRJ116" s="17"/>
      <c r="PRK116" s="17"/>
      <c r="PRL116" s="17"/>
      <c r="PRM116" s="17"/>
      <c r="PRN116" s="17"/>
      <c r="PRO116" s="17"/>
      <c r="PRP116" s="17"/>
      <c r="PRQ116" s="17"/>
      <c r="PRR116" s="17"/>
      <c r="PRS116" s="17"/>
      <c r="PRT116" s="17"/>
      <c r="PRU116" s="17"/>
      <c r="PRV116" s="17"/>
      <c r="PRW116" s="17"/>
      <c r="PRX116" s="17"/>
      <c r="PRY116" s="17"/>
      <c r="PRZ116" s="17"/>
      <c r="PSA116" s="17"/>
      <c r="PSB116" s="17"/>
      <c r="PSC116" s="17"/>
      <c r="PSD116" s="17"/>
      <c r="PSE116" s="17"/>
      <c r="PSF116" s="17"/>
      <c r="PSG116" s="17"/>
      <c r="PSH116" s="17"/>
      <c r="PSI116" s="17"/>
      <c r="PSJ116" s="17"/>
      <c r="PSK116" s="17"/>
      <c r="PSL116" s="17"/>
      <c r="PSM116" s="17"/>
      <c r="PSN116" s="17"/>
      <c r="PSO116" s="17"/>
      <c r="PSP116" s="17"/>
      <c r="PSQ116" s="17"/>
      <c r="PSR116" s="17"/>
      <c r="PSS116" s="17"/>
      <c r="PST116" s="17"/>
      <c r="PSU116" s="17"/>
      <c r="PSV116" s="17"/>
      <c r="PSW116" s="17"/>
      <c r="PSX116" s="17"/>
      <c r="PSY116" s="17"/>
      <c r="PSZ116" s="17"/>
      <c r="PTA116" s="17"/>
      <c r="PTB116" s="17"/>
      <c r="PTC116" s="17"/>
      <c r="PTD116" s="17"/>
      <c r="PTE116" s="17"/>
      <c r="PTF116" s="17"/>
      <c r="PTG116" s="17"/>
      <c r="PTH116" s="17"/>
      <c r="PTI116" s="17"/>
      <c r="PTJ116" s="17"/>
      <c r="PTK116" s="17"/>
      <c r="PTL116" s="17"/>
      <c r="PTM116" s="17"/>
      <c r="PTN116" s="17"/>
      <c r="PTO116" s="17"/>
      <c r="PTP116" s="17"/>
      <c r="PTQ116" s="17"/>
      <c r="PTR116" s="17"/>
      <c r="PTS116" s="17"/>
      <c r="PTT116" s="17"/>
      <c r="PTU116" s="17"/>
      <c r="PTV116" s="17"/>
      <c r="PTW116" s="17"/>
      <c r="PTX116" s="17"/>
      <c r="PTY116" s="17"/>
      <c r="PTZ116" s="17"/>
      <c r="PUA116" s="17"/>
      <c r="PUB116" s="17"/>
      <c r="PUC116" s="17"/>
      <c r="PUD116" s="17"/>
      <c r="PUE116" s="17"/>
      <c r="PUF116" s="17"/>
      <c r="PUG116" s="17"/>
      <c r="PUH116" s="17"/>
      <c r="PUI116" s="17"/>
      <c r="PUJ116" s="17"/>
      <c r="PUK116" s="17"/>
      <c r="PUL116" s="17"/>
      <c r="PUM116" s="17"/>
      <c r="PUN116" s="17"/>
      <c r="PUO116" s="17"/>
      <c r="PUP116" s="17"/>
      <c r="PUQ116" s="17"/>
      <c r="PUR116" s="17"/>
      <c r="PUS116" s="17"/>
      <c r="PUT116" s="17"/>
      <c r="PUU116" s="17"/>
      <c r="PUV116" s="17"/>
      <c r="PUW116" s="17"/>
      <c r="PUX116" s="17"/>
      <c r="PUY116" s="17"/>
      <c r="PUZ116" s="17"/>
      <c r="PVA116" s="17"/>
      <c r="PVB116" s="17"/>
      <c r="PVC116" s="17"/>
      <c r="PVD116" s="17"/>
      <c r="PVE116" s="17"/>
      <c r="PVF116" s="17"/>
      <c r="PVG116" s="17"/>
      <c r="PVH116" s="17"/>
      <c r="PVI116" s="17"/>
      <c r="PVJ116" s="17"/>
      <c r="PVK116" s="17"/>
      <c r="PVL116" s="17"/>
      <c r="PVM116" s="17"/>
      <c r="PVN116" s="17"/>
      <c r="PVO116" s="17"/>
      <c r="PVP116" s="17"/>
      <c r="PVQ116" s="17"/>
      <c r="PVR116" s="17"/>
      <c r="PVS116" s="17"/>
      <c r="PVT116" s="17"/>
      <c r="PVU116" s="17"/>
      <c r="PVV116" s="17"/>
      <c r="PVW116" s="17"/>
      <c r="PVX116" s="17"/>
      <c r="PVY116" s="17"/>
      <c r="PVZ116" s="17"/>
      <c r="PWA116" s="17"/>
      <c r="PWB116" s="17"/>
      <c r="PWC116" s="17"/>
      <c r="PWD116" s="17"/>
      <c r="PWE116" s="17"/>
      <c r="PWF116" s="17"/>
      <c r="PWG116" s="17"/>
      <c r="PWH116" s="17"/>
      <c r="PWI116" s="17"/>
      <c r="PWJ116" s="17"/>
      <c r="PWK116" s="17"/>
      <c r="PWL116" s="17"/>
      <c r="PWM116" s="17"/>
      <c r="PWN116" s="17"/>
      <c r="PWO116" s="17"/>
      <c r="PWP116" s="17"/>
      <c r="PWQ116" s="17"/>
      <c r="PWR116" s="17"/>
      <c r="PWS116" s="17"/>
      <c r="PWT116" s="17"/>
      <c r="PWU116" s="17"/>
      <c r="PWV116" s="17"/>
      <c r="PWW116" s="17"/>
      <c r="PWX116" s="17"/>
      <c r="PWY116" s="17"/>
      <c r="PWZ116" s="17"/>
      <c r="PXA116" s="17"/>
      <c r="PXB116" s="17"/>
      <c r="PXC116" s="17"/>
      <c r="PXD116" s="17"/>
      <c r="PXE116" s="17"/>
      <c r="PXF116" s="17"/>
      <c r="PXG116" s="17"/>
      <c r="PXH116" s="17"/>
      <c r="PXI116" s="17"/>
      <c r="PXJ116" s="17"/>
      <c r="PXK116" s="17"/>
      <c r="PXL116" s="17"/>
      <c r="PXM116" s="17"/>
      <c r="PXN116" s="17"/>
      <c r="PXO116" s="17"/>
      <c r="PXP116" s="17"/>
      <c r="PXQ116" s="17"/>
      <c r="PXR116" s="17"/>
      <c r="PXS116" s="17"/>
      <c r="PXT116" s="17"/>
      <c r="PXU116" s="17"/>
      <c r="PXV116" s="17"/>
      <c r="PXW116" s="17"/>
      <c r="PXX116" s="17"/>
      <c r="PXY116" s="17"/>
      <c r="PXZ116" s="17"/>
      <c r="PYA116" s="17"/>
      <c r="PYB116" s="17"/>
      <c r="PYC116" s="17"/>
      <c r="PYD116" s="17"/>
      <c r="PYE116" s="17"/>
      <c r="PYF116" s="17"/>
      <c r="PYG116" s="17"/>
      <c r="PYH116" s="17"/>
      <c r="PYI116" s="17"/>
      <c r="PYJ116" s="17"/>
      <c r="PYK116" s="17"/>
      <c r="PYL116" s="17"/>
      <c r="PYM116" s="17"/>
      <c r="PYN116" s="17"/>
      <c r="PYO116" s="17"/>
      <c r="PYP116" s="17"/>
      <c r="PYQ116" s="17"/>
      <c r="PYR116" s="17"/>
      <c r="PYS116" s="17"/>
      <c r="PYT116" s="17"/>
      <c r="PYU116" s="17"/>
      <c r="PYV116" s="17"/>
      <c r="PYW116" s="17"/>
      <c r="PYX116" s="17"/>
      <c r="PYY116" s="17"/>
      <c r="PYZ116" s="17"/>
      <c r="PZA116" s="17"/>
      <c r="PZB116" s="17"/>
      <c r="PZC116" s="17"/>
      <c r="PZD116" s="17"/>
      <c r="PZE116" s="17"/>
      <c r="PZF116" s="17"/>
      <c r="PZG116" s="17"/>
      <c r="PZH116" s="17"/>
      <c r="PZI116" s="17"/>
      <c r="PZJ116" s="17"/>
      <c r="PZK116" s="17"/>
      <c r="PZL116" s="17"/>
      <c r="PZM116" s="17"/>
      <c r="PZN116" s="17"/>
      <c r="PZO116" s="17"/>
      <c r="PZP116" s="17"/>
      <c r="PZQ116" s="17"/>
      <c r="PZR116" s="17"/>
      <c r="PZS116" s="17"/>
      <c r="PZT116" s="17"/>
      <c r="PZU116" s="17"/>
      <c r="PZV116" s="17"/>
      <c r="PZW116" s="17"/>
      <c r="PZX116" s="17"/>
      <c r="PZY116" s="17"/>
      <c r="PZZ116" s="17"/>
      <c r="QAA116" s="17"/>
      <c r="QAB116" s="17"/>
      <c r="QAC116" s="17"/>
      <c r="QAD116" s="17"/>
      <c r="QAE116" s="17"/>
      <c r="QAF116" s="17"/>
      <c r="QAG116" s="17"/>
      <c r="QAH116" s="17"/>
      <c r="QAI116" s="17"/>
      <c r="QAJ116" s="17"/>
      <c r="QAK116" s="17"/>
      <c r="QAL116" s="17"/>
      <c r="QAM116" s="17"/>
      <c r="QAN116" s="17"/>
      <c r="QAO116" s="17"/>
      <c r="QAP116" s="17"/>
      <c r="QAQ116" s="17"/>
      <c r="QAR116" s="17"/>
      <c r="QAS116" s="17"/>
      <c r="QAT116" s="17"/>
      <c r="QAU116" s="17"/>
      <c r="QAV116" s="17"/>
      <c r="QAW116" s="17"/>
      <c r="QAX116" s="17"/>
      <c r="QAY116" s="17"/>
      <c r="QAZ116" s="17"/>
      <c r="QBA116" s="17"/>
      <c r="QBB116" s="17"/>
      <c r="QBC116" s="17"/>
      <c r="QBD116" s="17"/>
      <c r="QBE116" s="17"/>
      <c r="QBF116" s="17"/>
      <c r="QBG116" s="17"/>
      <c r="QBH116" s="17"/>
      <c r="QBI116" s="17"/>
      <c r="QBJ116" s="17"/>
      <c r="QBK116" s="17"/>
      <c r="QBL116" s="17"/>
      <c r="QBM116" s="17"/>
      <c r="QBN116" s="17"/>
      <c r="QBO116" s="17"/>
      <c r="QBP116" s="17"/>
      <c r="QBQ116" s="17"/>
      <c r="QBR116" s="17"/>
      <c r="QBS116" s="17"/>
      <c r="QBT116" s="17"/>
      <c r="QBU116" s="17"/>
      <c r="QBV116" s="17"/>
      <c r="QBW116" s="17"/>
      <c r="QBX116" s="17"/>
      <c r="QBY116" s="17"/>
      <c r="QBZ116" s="17"/>
      <c r="QCA116" s="17"/>
      <c r="QCB116" s="17"/>
      <c r="QCC116" s="17"/>
      <c r="QCD116" s="17"/>
      <c r="QCE116" s="17"/>
      <c r="QCF116" s="17"/>
      <c r="QCG116" s="17"/>
      <c r="QCH116" s="17"/>
      <c r="QCI116" s="17"/>
      <c r="QCJ116" s="17"/>
      <c r="QCK116" s="17"/>
      <c r="QCL116" s="17"/>
      <c r="QCM116" s="17"/>
      <c r="QCN116" s="17"/>
      <c r="QCO116" s="17"/>
      <c r="QCP116" s="17"/>
      <c r="QCQ116" s="17"/>
      <c r="QCR116" s="17"/>
      <c r="QCS116" s="17"/>
      <c r="QCT116" s="17"/>
      <c r="QCU116" s="17"/>
      <c r="QCV116" s="17"/>
      <c r="QCW116" s="17"/>
      <c r="QCX116" s="17"/>
      <c r="QCY116" s="17"/>
      <c r="QCZ116" s="17"/>
      <c r="QDA116" s="17"/>
      <c r="QDB116" s="17"/>
      <c r="QDC116" s="17"/>
      <c r="QDD116" s="17"/>
      <c r="QDE116" s="17"/>
      <c r="QDF116" s="17"/>
      <c r="QDG116" s="17"/>
      <c r="QDH116" s="17"/>
      <c r="QDI116" s="17"/>
      <c r="QDJ116" s="17"/>
      <c r="QDK116" s="17"/>
      <c r="QDL116" s="17"/>
      <c r="QDM116" s="17"/>
      <c r="QDN116" s="17"/>
      <c r="QDO116" s="17"/>
      <c r="QDP116" s="17"/>
      <c r="QDQ116" s="17"/>
      <c r="QDR116" s="17"/>
      <c r="QDS116" s="17"/>
      <c r="QDT116" s="17"/>
      <c r="QDU116" s="17"/>
      <c r="QDV116" s="17"/>
      <c r="QDW116" s="17"/>
      <c r="QDX116" s="17"/>
      <c r="QDY116" s="17"/>
      <c r="QDZ116" s="17"/>
      <c r="QEA116" s="17"/>
      <c r="QEB116" s="17"/>
      <c r="QEC116" s="17"/>
      <c r="QED116" s="17"/>
      <c r="QEE116" s="17"/>
      <c r="QEF116" s="17"/>
      <c r="QEG116" s="17"/>
      <c r="QEH116" s="17"/>
      <c r="QEI116" s="17"/>
      <c r="QEJ116" s="17"/>
      <c r="QEK116" s="17"/>
      <c r="QEL116" s="17"/>
      <c r="QEM116" s="17"/>
      <c r="QEN116" s="17"/>
      <c r="QEO116" s="17"/>
      <c r="QEP116" s="17"/>
      <c r="QEQ116" s="17"/>
      <c r="QER116" s="17"/>
      <c r="QES116" s="17"/>
      <c r="QET116" s="17"/>
      <c r="QEU116" s="17"/>
      <c r="QEV116" s="17"/>
      <c r="QEW116" s="17"/>
      <c r="QEX116" s="17"/>
      <c r="QEY116" s="17"/>
      <c r="QEZ116" s="17"/>
      <c r="QFA116" s="17"/>
      <c r="QFB116" s="17"/>
      <c r="QFC116" s="17"/>
      <c r="QFD116" s="17"/>
      <c r="QFE116" s="17"/>
      <c r="QFF116" s="17"/>
      <c r="QFG116" s="17"/>
      <c r="QFH116" s="17"/>
      <c r="QFI116" s="17"/>
      <c r="QFJ116" s="17"/>
      <c r="QFK116" s="17"/>
      <c r="QFL116" s="17"/>
      <c r="QFM116" s="17"/>
      <c r="QFN116" s="17"/>
      <c r="QFO116" s="17"/>
      <c r="QFP116" s="17"/>
      <c r="QFQ116" s="17"/>
      <c r="QFR116" s="17"/>
      <c r="QFS116" s="17"/>
      <c r="QFT116" s="17"/>
      <c r="QFU116" s="17"/>
      <c r="QFV116" s="17"/>
      <c r="QFW116" s="17"/>
      <c r="QFX116" s="17"/>
      <c r="QFY116" s="17"/>
      <c r="QFZ116" s="17"/>
      <c r="QGA116" s="17"/>
      <c r="QGB116" s="17"/>
      <c r="QGC116" s="17"/>
      <c r="QGD116" s="17"/>
      <c r="QGE116" s="17"/>
      <c r="QGF116" s="17"/>
      <c r="QGG116" s="17"/>
      <c r="QGH116" s="17"/>
      <c r="QGI116" s="17"/>
      <c r="QGJ116" s="17"/>
      <c r="QGK116" s="17"/>
      <c r="QGL116" s="17"/>
      <c r="QGM116" s="17"/>
      <c r="QGN116" s="17"/>
      <c r="QGO116" s="17"/>
      <c r="QGP116" s="17"/>
      <c r="QGQ116" s="17"/>
      <c r="QGR116" s="17"/>
      <c r="QGS116" s="17"/>
      <c r="QGT116" s="17"/>
      <c r="QGU116" s="17"/>
      <c r="QGV116" s="17"/>
      <c r="QGW116" s="17"/>
      <c r="QGX116" s="17"/>
      <c r="QGY116" s="17"/>
      <c r="QGZ116" s="17"/>
      <c r="QHA116" s="17"/>
      <c r="QHB116" s="17"/>
      <c r="QHC116" s="17"/>
      <c r="QHD116" s="17"/>
      <c r="QHE116" s="17"/>
      <c r="QHF116" s="17"/>
      <c r="QHG116" s="17"/>
      <c r="QHH116" s="17"/>
      <c r="QHI116" s="17"/>
      <c r="QHJ116" s="17"/>
      <c r="QHK116" s="17"/>
      <c r="QHL116" s="17"/>
      <c r="QHM116" s="17"/>
      <c r="QHN116" s="17"/>
      <c r="QHO116" s="17"/>
      <c r="QHP116" s="17"/>
      <c r="QHQ116" s="17"/>
      <c r="QHR116" s="17"/>
      <c r="QHS116" s="17"/>
      <c r="QHT116" s="17"/>
      <c r="QHU116" s="17"/>
      <c r="QHV116" s="17"/>
      <c r="QHW116" s="17"/>
      <c r="QHX116" s="17"/>
      <c r="QHY116" s="17"/>
      <c r="QHZ116" s="17"/>
      <c r="QIA116" s="17"/>
      <c r="QIB116" s="17"/>
      <c r="QIC116" s="17"/>
      <c r="QID116" s="17"/>
      <c r="QIE116" s="17"/>
      <c r="QIF116" s="17"/>
      <c r="QIG116" s="17"/>
      <c r="QIH116" s="17"/>
      <c r="QII116" s="17"/>
      <c r="QIJ116" s="17"/>
      <c r="QIK116" s="17"/>
      <c r="QIL116" s="17"/>
      <c r="QIM116" s="17"/>
      <c r="QIN116" s="17"/>
      <c r="QIO116" s="17"/>
      <c r="QIP116" s="17"/>
      <c r="QIQ116" s="17"/>
      <c r="QIR116" s="17"/>
      <c r="QIS116" s="17"/>
      <c r="QIT116" s="17"/>
      <c r="QIU116" s="17"/>
      <c r="QIV116" s="17"/>
      <c r="QIW116" s="17"/>
      <c r="QIX116" s="17"/>
      <c r="QIY116" s="17"/>
      <c r="QIZ116" s="17"/>
      <c r="QJA116" s="17"/>
      <c r="QJB116" s="17"/>
      <c r="QJC116" s="17"/>
      <c r="QJD116" s="17"/>
      <c r="QJE116" s="17"/>
      <c r="QJF116" s="17"/>
      <c r="QJG116" s="17"/>
      <c r="QJH116" s="17"/>
      <c r="QJI116" s="17"/>
      <c r="QJJ116" s="17"/>
      <c r="QJK116" s="17"/>
      <c r="QJL116" s="17"/>
      <c r="QJM116" s="17"/>
      <c r="QJN116" s="17"/>
      <c r="QJO116" s="17"/>
      <c r="QJP116" s="17"/>
      <c r="QJQ116" s="17"/>
      <c r="QJR116" s="17"/>
      <c r="QJS116" s="17"/>
      <c r="QJT116" s="17"/>
      <c r="QJU116" s="17"/>
      <c r="QJV116" s="17"/>
      <c r="QJW116" s="17"/>
      <c r="QJX116" s="17"/>
      <c r="QJY116" s="17"/>
      <c r="QJZ116" s="17"/>
      <c r="QKA116" s="17"/>
      <c r="QKB116" s="17"/>
      <c r="QKC116" s="17"/>
      <c r="QKD116" s="17"/>
      <c r="QKE116" s="17"/>
      <c r="QKF116" s="17"/>
      <c r="QKG116" s="17"/>
      <c r="QKH116" s="17"/>
      <c r="QKI116" s="17"/>
      <c r="QKJ116" s="17"/>
      <c r="QKK116" s="17"/>
      <c r="QKL116" s="17"/>
      <c r="QKM116" s="17"/>
      <c r="QKN116" s="17"/>
      <c r="QKO116" s="17"/>
      <c r="QKP116" s="17"/>
      <c r="QKQ116" s="17"/>
      <c r="QKR116" s="17"/>
      <c r="QKS116" s="17"/>
      <c r="QKT116" s="17"/>
      <c r="QKU116" s="17"/>
      <c r="QKV116" s="17"/>
      <c r="QKW116" s="17"/>
      <c r="QKX116" s="17"/>
      <c r="QKY116" s="17"/>
      <c r="QKZ116" s="17"/>
      <c r="QLA116" s="17"/>
      <c r="QLB116" s="17"/>
      <c r="QLC116" s="17"/>
      <c r="QLD116" s="17"/>
      <c r="QLE116" s="17"/>
      <c r="QLF116" s="17"/>
      <c r="QLG116" s="17"/>
      <c r="QLH116" s="17"/>
      <c r="QLI116" s="17"/>
      <c r="QLJ116" s="17"/>
      <c r="QLK116" s="17"/>
      <c r="QLL116" s="17"/>
      <c r="QLM116" s="17"/>
      <c r="QLN116" s="17"/>
      <c r="QLO116" s="17"/>
      <c r="QLP116" s="17"/>
      <c r="QLQ116" s="17"/>
      <c r="QLR116" s="17"/>
      <c r="QLS116" s="17"/>
      <c r="QLT116" s="17"/>
      <c r="QLU116" s="17"/>
      <c r="QLV116" s="17"/>
      <c r="QLW116" s="17"/>
      <c r="QLX116" s="17"/>
      <c r="QLY116" s="17"/>
      <c r="QLZ116" s="17"/>
      <c r="QMA116" s="17"/>
      <c r="QMB116" s="17"/>
      <c r="QMC116" s="17"/>
      <c r="QMD116" s="17"/>
      <c r="QME116" s="17"/>
      <c r="QMF116" s="17"/>
      <c r="QMG116" s="17"/>
      <c r="QMH116" s="17"/>
      <c r="QMI116" s="17"/>
      <c r="QMJ116" s="17"/>
      <c r="QMK116" s="17"/>
      <c r="QML116" s="17"/>
      <c r="QMM116" s="17"/>
      <c r="QMN116" s="17"/>
      <c r="QMO116" s="17"/>
      <c r="QMP116" s="17"/>
      <c r="QMQ116" s="17"/>
      <c r="QMR116" s="17"/>
      <c r="QMS116" s="17"/>
      <c r="QMT116" s="17"/>
      <c r="QMU116" s="17"/>
      <c r="QMV116" s="17"/>
      <c r="QMW116" s="17"/>
      <c r="QMX116" s="17"/>
      <c r="QMY116" s="17"/>
      <c r="QMZ116" s="17"/>
      <c r="QNA116" s="17"/>
      <c r="QNB116" s="17"/>
      <c r="QNC116" s="17"/>
      <c r="QND116" s="17"/>
      <c r="QNE116" s="17"/>
      <c r="QNF116" s="17"/>
      <c r="QNG116" s="17"/>
      <c r="QNH116" s="17"/>
      <c r="QNI116" s="17"/>
      <c r="QNJ116" s="17"/>
      <c r="QNK116" s="17"/>
      <c r="QNL116" s="17"/>
      <c r="QNM116" s="17"/>
      <c r="QNN116" s="17"/>
      <c r="QNO116" s="17"/>
      <c r="QNP116" s="17"/>
      <c r="QNQ116" s="17"/>
      <c r="QNR116" s="17"/>
      <c r="QNS116" s="17"/>
      <c r="QNT116" s="17"/>
      <c r="QNU116" s="17"/>
      <c r="QNV116" s="17"/>
      <c r="QNW116" s="17"/>
      <c r="QNX116" s="17"/>
      <c r="QNY116" s="17"/>
      <c r="QNZ116" s="17"/>
      <c r="QOA116" s="17"/>
      <c r="QOB116" s="17"/>
      <c r="QOC116" s="17"/>
      <c r="QOD116" s="17"/>
      <c r="QOE116" s="17"/>
      <c r="QOF116" s="17"/>
      <c r="QOG116" s="17"/>
      <c r="QOH116" s="17"/>
      <c r="QOI116" s="17"/>
      <c r="QOJ116" s="17"/>
      <c r="QOK116" s="17"/>
      <c r="QOL116" s="17"/>
      <c r="QOM116" s="17"/>
      <c r="QON116" s="17"/>
      <c r="QOO116" s="17"/>
      <c r="QOP116" s="17"/>
      <c r="QOQ116" s="17"/>
      <c r="QOR116" s="17"/>
      <c r="QOS116" s="17"/>
      <c r="QOT116" s="17"/>
      <c r="QOU116" s="17"/>
      <c r="QOV116" s="17"/>
      <c r="QOW116" s="17"/>
      <c r="QOX116" s="17"/>
      <c r="QOY116" s="17"/>
      <c r="QOZ116" s="17"/>
      <c r="QPA116" s="17"/>
      <c r="QPB116" s="17"/>
      <c r="QPC116" s="17"/>
      <c r="QPD116" s="17"/>
      <c r="QPE116" s="17"/>
      <c r="QPF116" s="17"/>
      <c r="QPG116" s="17"/>
      <c r="QPH116" s="17"/>
      <c r="QPI116" s="17"/>
      <c r="QPJ116" s="17"/>
      <c r="QPK116" s="17"/>
      <c r="QPL116" s="17"/>
      <c r="QPM116" s="17"/>
      <c r="QPN116" s="17"/>
      <c r="QPO116" s="17"/>
      <c r="QPP116" s="17"/>
      <c r="QPQ116" s="17"/>
      <c r="QPR116" s="17"/>
      <c r="QPS116" s="17"/>
      <c r="QPT116" s="17"/>
      <c r="QPU116" s="17"/>
      <c r="QPV116" s="17"/>
      <c r="QPW116" s="17"/>
      <c r="QPX116" s="17"/>
      <c r="QPY116" s="17"/>
      <c r="QPZ116" s="17"/>
      <c r="QQA116" s="17"/>
      <c r="QQB116" s="17"/>
      <c r="QQC116" s="17"/>
      <c r="QQD116" s="17"/>
      <c r="QQE116" s="17"/>
      <c r="QQF116" s="17"/>
      <c r="QQG116" s="17"/>
      <c r="QQH116" s="17"/>
      <c r="QQI116" s="17"/>
      <c r="QQJ116" s="17"/>
      <c r="QQK116" s="17"/>
      <c r="QQL116" s="17"/>
      <c r="QQM116" s="17"/>
      <c r="QQN116" s="17"/>
      <c r="QQO116" s="17"/>
      <c r="QQP116" s="17"/>
      <c r="QQQ116" s="17"/>
      <c r="QQR116" s="17"/>
      <c r="QQS116" s="17"/>
      <c r="QQT116" s="17"/>
      <c r="QQU116" s="17"/>
      <c r="QQV116" s="17"/>
      <c r="QQW116" s="17"/>
      <c r="QQX116" s="17"/>
      <c r="QQY116" s="17"/>
      <c r="QQZ116" s="17"/>
      <c r="QRA116" s="17"/>
      <c r="QRB116" s="17"/>
      <c r="QRC116" s="17"/>
      <c r="QRD116" s="17"/>
      <c r="QRE116" s="17"/>
      <c r="QRF116" s="17"/>
      <c r="QRG116" s="17"/>
      <c r="QRH116" s="17"/>
      <c r="QRI116" s="17"/>
      <c r="QRJ116" s="17"/>
      <c r="QRK116" s="17"/>
      <c r="QRL116" s="17"/>
      <c r="QRM116" s="17"/>
      <c r="QRN116" s="17"/>
      <c r="QRO116" s="17"/>
      <c r="QRP116" s="17"/>
      <c r="QRQ116" s="17"/>
      <c r="QRR116" s="17"/>
      <c r="QRS116" s="17"/>
      <c r="QRT116" s="17"/>
      <c r="QRU116" s="17"/>
      <c r="QRV116" s="17"/>
      <c r="QRW116" s="17"/>
      <c r="QRX116" s="17"/>
      <c r="QRY116" s="17"/>
      <c r="QRZ116" s="17"/>
      <c r="QSA116" s="17"/>
      <c r="QSB116" s="17"/>
      <c r="QSC116" s="17"/>
      <c r="QSD116" s="17"/>
      <c r="QSE116" s="17"/>
      <c r="QSF116" s="17"/>
      <c r="QSG116" s="17"/>
      <c r="QSH116" s="17"/>
      <c r="QSI116" s="17"/>
      <c r="QSJ116" s="17"/>
      <c r="QSK116" s="17"/>
      <c r="QSL116" s="17"/>
      <c r="QSM116" s="17"/>
      <c r="QSN116" s="17"/>
      <c r="QSO116" s="17"/>
      <c r="QSP116" s="17"/>
      <c r="QSQ116" s="17"/>
      <c r="QSR116" s="17"/>
      <c r="QSS116" s="17"/>
      <c r="QST116" s="17"/>
      <c r="QSU116" s="17"/>
      <c r="QSV116" s="17"/>
      <c r="QSW116" s="17"/>
      <c r="QSX116" s="17"/>
      <c r="QSY116" s="17"/>
      <c r="QSZ116" s="17"/>
      <c r="QTA116" s="17"/>
      <c r="QTB116" s="17"/>
      <c r="QTC116" s="17"/>
      <c r="QTD116" s="17"/>
      <c r="QTE116" s="17"/>
      <c r="QTF116" s="17"/>
      <c r="QTG116" s="17"/>
      <c r="QTH116" s="17"/>
      <c r="QTI116" s="17"/>
      <c r="QTJ116" s="17"/>
      <c r="QTK116" s="17"/>
      <c r="QTL116" s="17"/>
      <c r="QTM116" s="17"/>
      <c r="QTN116" s="17"/>
      <c r="QTO116" s="17"/>
      <c r="QTP116" s="17"/>
      <c r="QTQ116" s="17"/>
      <c r="QTR116" s="17"/>
      <c r="QTS116" s="17"/>
      <c r="QTT116" s="17"/>
      <c r="QTU116" s="17"/>
      <c r="QTV116" s="17"/>
      <c r="QTW116" s="17"/>
      <c r="QTX116" s="17"/>
      <c r="QTY116" s="17"/>
      <c r="QTZ116" s="17"/>
      <c r="QUA116" s="17"/>
      <c r="QUB116" s="17"/>
      <c r="QUC116" s="17"/>
      <c r="QUD116" s="17"/>
      <c r="QUE116" s="17"/>
      <c r="QUF116" s="17"/>
      <c r="QUG116" s="17"/>
      <c r="QUH116" s="17"/>
      <c r="QUI116" s="17"/>
      <c r="QUJ116" s="17"/>
      <c r="QUK116" s="17"/>
      <c r="QUL116" s="17"/>
      <c r="QUM116" s="17"/>
      <c r="QUN116" s="17"/>
      <c r="QUO116" s="17"/>
      <c r="QUP116" s="17"/>
      <c r="QUQ116" s="17"/>
      <c r="QUR116" s="17"/>
      <c r="QUS116" s="17"/>
      <c r="QUT116" s="17"/>
      <c r="QUU116" s="17"/>
      <c r="QUV116" s="17"/>
      <c r="QUW116" s="17"/>
      <c r="QUX116" s="17"/>
      <c r="QUY116" s="17"/>
      <c r="QUZ116" s="17"/>
      <c r="QVA116" s="17"/>
      <c r="QVB116" s="17"/>
      <c r="QVC116" s="17"/>
      <c r="QVD116" s="17"/>
      <c r="QVE116" s="17"/>
      <c r="QVF116" s="17"/>
      <c r="QVG116" s="17"/>
      <c r="QVH116" s="17"/>
      <c r="QVI116" s="17"/>
      <c r="QVJ116" s="17"/>
      <c r="QVK116" s="17"/>
      <c r="QVL116" s="17"/>
      <c r="QVM116" s="17"/>
      <c r="QVN116" s="17"/>
      <c r="QVO116" s="17"/>
      <c r="QVP116" s="17"/>
      <c r="QVQ116" s="17"/>
      <c r="QVR116" s="17"/>
      <c r="QVS116" s="17"/>
      <c r="QVT116" s="17"/>
      <c r="QVU116" s="17"/>
      <c r="QVV116" s="17"/>
      <c r="QVW116" s="17"/>
      <c r="QVX116" s="17"/>
      <c r="QVY116" s="17"/>
      <c r="QVZ116" s="17"/>
      <c r="QWA116" s="17"/>
      <c r="QWB116" s="17"/>
      <c r="QWC116" s="17"/>
      <c r="QWD116" s="17"/>
      <c r="QWE116" s="17"/>
      <c r="QWF116" s="17"/>
      <c r="QWG116" s="17"/>
      <c r="QWH116" s="17"/>
      <c r="QWI116" s="17"/>
      <c r="QWJ116" s="17"/>
      <c r="QWK116" s="17"/>
      <c r="QWL116" s="17"/>
      <c r="QWM116" s="17"/>
      <c r="QWN116" s="17"/>
      <c r="QWO116" s="17"/>
      <c r="QWP116" s="17"/>
      <c r="QWQ116" s="17"/>
      <c r="QWR116" s="17"/>
      <c r="QWS116" s="17"/>
      <c r="QWT116" s="17"/>
      <c r="QWU116" s="17"/>
      <c r="QWV116" s="17"/>
      <c r="QWW116" s="17"/>
      <c r="QWX116" s="17"/>
      <c r="QWY116" s="17"/>
      <c r="QWZ116" s="17"/>
      <c r="QXA116" s="17"/>
      <c r="QXB116" s="17"/>
      <c r="QXC116" s="17"/>
      <c r="QXD116" s="17"/>
      <c r="QXE116" s="17"/>
      <c r="QXF116" s="17"/>
      <c r="QXG116" s="17"/>
      <c r="QXH116" s="17"/>
      <c r="QXI116" s="17"/>
      <c r="QXJ116" s="17"/>
      <c r="QXK116" s="17"/>
      <c r="QXL116" s="17"/>
      <c r="QXM116" s="17"/>
      <c r="QXN116" s="17"/>
      <c r="QXO116" s="17"/>
      <c r="QXP116" s="17"/>
      <c r="QXQ116" s="17"/>
      <c r="QXR116" s="17"/>
      <c r="QXS116" s="17"/>
      <c r="QXT116" s="17"/>
      <c r="QXU116" s="17"/>
      <c r="QXV116" s="17"/>
      <c r="QXW116" s="17"/>
      <c r="QXX116" s="17"/>
      <c r="QXY116" s="17"/>
      <c r="QXZ116" s="17"/>
      <c r="QYA116" s="17"/>
      <c r="QYB116" s="17"/>
      <c r="QYC116" s="17"/>
      <c r="QYD116" s="17"/>
      <c r="QYE116" s="17"/>
      <c r="QYF116" s="17"/>
      <c r="QYG116" s="17"/>
      <c r="QYH116" s="17"/>
      <c r="QYI116" s="17"/>
      <c r="QYJ116" s="17"/>
      <c r="QYK116" s="17"/>
      <c r="QYL116" s="17"/>
      <c r="QYM116" s="17"/>
      <c r="QYN116" s="17"/>
      <c r="QYO116" s="17"/>
      <c r="QYP116" s="17"/>
      <c r="QYQ116" s="17"/>
      <c r="QYR116" s="17"/>
      <c r="QYS116" s="17"/>
      <c r="QYT116" s="17"/>
      <c r="QYU116" s="17"/>
      <c r="QYV116" s="17"/>
      <c r="QYW116" s="17"/>
      <c r="QYX116" s="17"/>
      <c r="QYY116" s="17"/>
      <c r="QYZ116" s="17"/>
      <c r="QZA116" s="17"/>
      <c r="QZB116" s="17"/>
      <c r="QZC116" s="17"/>
      <c r="QZD116" s="17"/>
      <c r="QZE116" s="17"/>
      <c r="QZF116" s="17"/>
      <c r="QZG116" s="17"/>
      <c r="QZH116" s="17"/>
      <c r="QZI116" s="17"/>
      <c r="QZJ116" s="17"/>
      <c r="QZK116" s="17"/>
      <c r="QZL116" s="17"/>
      <c r="QZM116" s="17"/>
      <c r="QZN116" s="17"/>
      <c r="QZO116" s="17"/>
      <c r="QZP116" s="17"/>
      <c r="QZQ116" s="17"/>
      <c r="QZR116" s="17"/>
      <c r="QZS116" s="17"/>
      <c r="QZT116" s="17"/>
      <c r="QZU116" s="17"/>
      <c r="QZV116" s="17"/>
      <c r="QZW116" s="17"/>
      <c r="QZX116" s="17"/>
      <c r="QZY116" s="17"/>
      <c r="QZZ116" s="17"/>
      <c r="RAA116" s="17"/>
      <c r="RAB116" s="17"/>
      <c r="RAC116" s="17"/>
      <c r="RAD116" s="17"/>
      <c r="RAE116" s="17"/>
      <c r="RAF116" s="17"/>
      <c r="RAG116" s="17"/>
      <c r="RAH116" s="17"/>
      <c r="RAI116" s="17"/>
      <c r="RAJ116" s="17"/>
      <c r="RAK116" s="17"/>
      <c r="RAL116" s="17"/>
      <c r="RAM116" s="17"/>
      <c r="RAN116" s="17"/>
      <c r="RAO116" s="17"/>
      <c r="RAP116" s="17"/>
      <c r="RAQ116" s="17"/>
      <c r="RAR116" s="17"/>
      <c r="RAS116" s="17"/>
      <c r="RAT116" s="17"/>
      <c r="RAU116" s="17"/>
      <c r="RAV116" s="17"/>
      <c r="RAW116" s="17"/>
      <c r="RAX116" s="17"/>
      <c r="RAY116" s="17"/>
      <c r="RAZ116" s="17"/>
      <c r="RBA116" s="17"/>
      <c r="RBB116" s="17"/>
      <c r="RBC116" s="17"/>
      <c r="RBD116" s="17"/>
      <c r="RBE116" s="17"/>
      <c r="RBF116" s="17"/>
      <c r="RBG116" s="17"/>
      <c r="RBH116" s="17"/>
      <c r="RBI116" s="17"/>
      <c r="RBJ116" s="17"/>
      <c r="RBK116" s="17"/>
      <c r="RBL116" s="17"/>
      <c r="RBM116" s="17"/>
      <c r="RBN116" s="17"/>
      <c r="RBO116" s="17"/>
      <c r="RBP116" s="17"/>
      <c r="RBQ116" s="17"/>
      <c r="RBR116" s="17"/>
      <c r="RBS116" s="17"/>
      <c r="RBT116" s="17"/>
      <c r="RBU116" s="17"/>
      <c r="RBV116" s="17"/>
      <c r="RBW116" s="17"/>
      <c r="RBX116" s="17"/>
      <c r="RBY116" s="17"/>
      <c r="RBZ116" s="17"/>
      <c r="RCA116" s="17"/>
      <c r="RCB116" s="17"/>
      <c r="RCC116" s="17"/>
      <c r="RCD116" s="17"/>
      <c r="RCE116" s="17"/>
      <c r="RCF116" s="17"/>
      <c r="RCG116" s="17"/>
      <c r="RCH116" s="17"/>
      <c r="RCI116" s="17"/>
      <c r="RCJ116" s="17"/>
      <c r="RCK116" s="17"/>
      <c r="RCL116" s="17"/>
      <c r="RCM116" s="17"/>
      <c r="RCN116" s="17"/>
      <c r="RCO116" s="17"/>
      <c r="RCP116" s="17"/>
      <c r="RCQ116" s="17"/>
      <c r="RCR116" s="17"/>
      <c r="RCS116" s="17"/>
      <c r="RCT116" s="17"/>
      <c r="RCU116" s="17"/>
      <c r="RCV116" s="17"/>
      <c r="RCW116" s="17"/>
      <c r="RCX116" s="17"/>
      <c r="RCY116" s="17"/>
      <c r="RCZ116" s="17"/>
      <c r="RDA116" s="17"/>
      <c r="RDB116" s="17"/>
      <c r="RDC116" s="17"/>
      <c r="RDD116" s="17"/>
      <c r="RDE116" s="17"/>
      <c r="RDF116" s="17"/>
      <c r="RDG116" s="17"/>
      <c r="RDH116" s="17"/>
      <c r="RDI116" s="17"/>
      <c r="RDJ116" s="17"/>
      <c r="RDK116" s="17"/>
      <c r="RDL116" s="17"/>
      <c r="RDM116" s="17"/>
      <c r="RDN116" s="17"/>
      <c r="RDO116" s="17"/>
      <c r="RDP116" s="17"/>
      <c r="RDQ116" s="17"/>
      <c r="RDR116" s="17"/>
      <c r="RDS116" s="17"/>
      <c r="RDT116" s="17"/>
      <c r="RDU116" s="17"/>
      <c r="RDV116" s="17"/>
      <c r="RDW116" s="17"/>
      <c r="RDX116" s="17"/>
      <c r="RDY116" s="17"/>
      <c r="RDZ116" s="17"/>
      <c r="REA116" s="17"/>
      <c r="REB116" s="17"/>
      <c r="REC116" s="17"/>
      <c r="RED116" s="17"/>
      <c r="REE116" s="17"/>
      <c r="REF116" s="17"/>
      <c r="REG116" s="17"/>
      <c r="REH116" s="17"/>
      <c r="REI116" s="17"/>
      <c r="REJ116" s="17"/>
      <c r="REK116" s="17"/>
      <c r="REL116" s="17"/>
      <c r="REM116" s="17"/>
      <c r="REN116" s="17"/>
      <c r="REO116" s="17"/>
      <c r="REP116" s="17"/>
      <c r="REQ116" s="17"/>
      <c r="RER116" s="17"/>
      <c r="RES116" s="17"/>
      <c r="RET116" s="17"/>
      <c r="REU116" s="17"/>
      <c r="REV116" s="17"/>
      <c r="REW116" s="17"/>
      <c r="REX116" s="17"/>
      <c r="REY116" s="17"/>
      <c r="REZ116" s="17"/>
      <c r="RFA116" s="17"/>
      <c r="RFB116" s="17"/>
      <c r="RFC116" s="17"/>
      <c r="RFD116" s="17"/>
      <c r="RFE116" s="17"/>
      <c r="RFF116" s="17"/>
      <c r="RFG116" s="17"/>
      <c r="RFH116" s="17"/>
      <c r="RFI116" s="17"/>
      <c r="RFJ116" s="17"/>
      <c r="RFK116" s="17"/>
      <c r="RFL116" s="17"/>
      <c r="RFM116" s="17"/>
      <c r="RFN116" s="17"/>
      <c r="RFO116" s="17"/>
      <c r="RFP116" s="17"/>
      <c r="RFQ116" s="17"/>
      <c r="RFR116" s="17"/>
      <c r="RFS116" s="17"/>
      <c r="RFT116" s="17"/>
      <c r="RFU116" s="17"/>
      <c r="RFV116" s="17"/>
      <c r="RFW116" s="17"/>
      <c r="RFX116" s="17"/>
      <c r="RFY116" s="17"/>
      <c r="RFZ116" s="17"/>
      <c r="RGA116" s="17"/>
      <c r="RGB116" s="17"/>
      <c r="RGC116" s="17"/>
      <c r="RGD116" s="17"/>
      <c r="RGE116" s="17"/>
      <c r="RGF116" s="17"/>
      <c r="RGG116" s="17"/>
      <c r="RGH116" s="17"/>
      <c r="RGI116" s="17"/>
      <c r="RGJ116" s="17"/>
      <c r="RGK116" s="17"/>
      <c r="RGL116" s="17"/>
      <c r="RGM116" s="17"/>
      <c r="RGN116" s="17"/>
      <c r="RGO116" s="17"/>
      <c r="RGP116" s="17"/>
      <c r="RGQ116" s="17"/>
      <c r="RGR116" s="17"/>
      <c r="RGS116" s="17"/>
      <c r="RGT116" s="17"/>
      <c r="RGU116" s="17"/>
      <c r="RGV116" s="17"/>
      <c r="RGW116" s="17"/>
      <c r="RGX116" s="17"/>
      <c r="RGY116" s="17"/>
      <c r="RGZ116" s="17"/>
      <c r="RHA116" s="17"/>
      <c r="RHB116" s="17"/>
      <c r="RHC116" s="17"/>
      <c r="RHD116" s="17"/>
      <c r="RHE116" s="17"/>
      <c r="RHF116" s="17"/>
      <c r="RHG116" s="17"/>
      <c r="RHH116" s="17"/>
      <c r="RHI116" s="17"/>
      <c r="RHJ116" s="17"/>
      <c r="RHK116" s="17"/>
      <c r="RHL116" s="17"/>
      <c r="RHM116" s="17"/>
      <c r="RHN116" s="17"/>
      <c r="RHO116" s="17"/>
      <c r="RHP116" s="17"/>
      <c r="RHQ116" s="17"/>
      <c r="RHR116" s="17"/>
      <c r="RHS116" s="17"/>
      <c r="RHT116" s="17"/>
      <c r="RHU116" s="17"/>
      <c r="RHV116" s="17"/>
      <c r="RHW116" s="17"/>
      <c r="RHX116" s="17"/>
      <c r="RHY116" s="17"/>
      <c r="RHZ116" s="17"/>
      <c r="RIA116" s="17"/>
      <c r="RIB116" s="17"/>
      <c r="RIC116" s="17"/>
      <c r="RID116" s="17"/>
      <c r="RIE116" s="17"/>
      <c r="RIF116" s="17"/>
      <c r="RIG116" s="17"/>
      <c r="RIH116" s="17"/>
      <c r="RII116" s="17"/>
      <c r="RIJ116" s="17"/>
      <c r="RIK116" s="17"/>
      <c r="RIL116" s="17"/>
      <c r="RIM116" s="17"/>
      <c r="RIN116" s="17"/>
      <c r="RIO116" s="17"/>
      <c r="RIP116" s="17"/>
      <c r="RIQ116" s="17"/>
      <c r="RIR116" s="17"/>
      <c r="RIS116" s="17"/>
      <c r="RIT116" s="17"/>
      <c r="RIU116" s="17"/>
      <c r="RIV116" s="17"/>
      <c r="RIW116" s="17"/>
      <c r="RIX116" s="17"/>
      <c r="RIY116" s="17"/>
      <c r="RIZ116" s="17"/>
      <c r="RJA116" s="17"/>
      <c r="RJB116" s="17"/>
      <c r="RJC116" s="17"/>
      <c r="RJD116" s="17"/>
      <c r="RJE116" s="17"/>
      <c r="RJF116" s="17"/>
      <c r="RJG116" s="17"/>
      <c r="RJH116" s="17"/>
      <c r="RJI116" s="17"/>
      <c r="RJJ116" s="17"/>
      <c r="RJK116" s="17"/>
      <c r="RJL116" s="17"/>
      <c r="RJM116" s="17"/>
      <c r="RJN116" s="17"/>
      <c r="RJO116" s="17"/>
      <c r="RJP116" s="17"/>
      <c r="RJQ116" s="17"/>
      <c r="RJR116" s="17"/>
      <c r="RJS116" s="17"/>
      <c r="RJT116" s="17"/>
      <c r="RJU116" s="17"/>
      <c r="RJV116" s="17"/>
      <c r="RJW116" s="17"/>
      <c r="RJX116" s="17"/>
      <c r="RJY116" s="17"/>
      <c r="RJZ116" s="17"/>
      <c r="RKA116" s="17"/>
      <c r="RKB116" s="17"/>
      <c r="RKC116" s="17"/>
      <c r="RKD116" s="17"/>
      <c r="RKE116" s="17"/>
      <c r="RKF116" s="17"/>
      <c r="RKG116" s="17"/>
      <c r="RKH116" s="17"/>
      <c r="RKI116" s="17"/>
      <c r="RKJ116" s="17"/>
      <c r="RKK116" s="17"/>
      <c r="RKL116" s="17"/>
      <c r="RKM116" s="17"/>
      <c r="RKN116" s="17"/>
      <c r="RKO116" s="17"/>
      <c r="RKP116" s="17"/>
      <c r="RKQ116" s="17"/>
      <c r="RKR116" s="17"/>
      <c r="RKS116" s="17"/>
      <c r="RKT116" s="17"/>
      <c r="RKU116" s="17"/>
      <c r="RKV116" s="17"/>
      <c r="RKW116" s="17"/>
      <c r="RKX116" s="17"/>
      <c r="RKY116" s="17"/>
      <c r="RKZ116" s="17"/>
      <c r="RLA116" s="17"/>
      <c r="RLB116" s="17"/>
      <c r="RLC116" s="17"/>
      <c r="RLD116" s="17"/>
      <c r="RLE116" s="17"/>
      <c r="RLF116" s="17"/>
      <c r="RLG116" s="17"/>
      <c r="RLH116" s="17"/>
      <c r="RLI116" s="17"/>
      <c r="RLJ116" s="17"/>
      <c r="RLK116" s="17"/>
      <c r="RLL116" s="17"/>
      <c r="RLM116" s="17"/>
      <c r="RLN116" s="17"/>
      <c r="RLO116" s="17"/>
      <c r="RLP116" s="17"/>
      <c r="RLQ116" s="17"/>
      <c r="RLR116" s="17"/>
      <c r="RLS116" s="17"/>
      <c r="RLT116" s="17"/>
      <c r="RLU116" s="17"/>
      <c r="RLV116" s="17"/>
      <c r="RLW116" s="17"/>
      <c r="RLX116" s="17"/>
      <c r="RLY116" s="17"/>
      <c r="RLZ116" s="17"/>
      <c r="RMA116" s="17"/>
      <c r="RMB116" s="17"/>
      <c r="RMC116" s="17"/>
      <c r="RMD116" s="17"/>
      <c r="RME116" s="17"/>
      <c r="RMF116" s="17"/>
      <c r="RMG116" s="17"/>
      <c r="RMH116" s="17"/>
      <c r="RMI116" s="17"/>
      <c r="RMJ116" s="17"/>
      <c r="RMK116" s="17"/>
      <c r="RML116" s="17"/>
      <c r="RMM116" s="17"/>
      <c r="RMN116" s="17"/>
      <c r="RMO116" s="17"/>
      <c r="RMP116" s="17"/>
      <c r="RMQ116" s="17"/>
      <c r="RMR116" s="17"/>
      <c r="RMS116" s="17"/>
      <c r="RMT116" s="17"/>
      <c r="RMU116" s="17"/>
      <c r="RMV116" s="17"/>
      <c r="RMW116" s="17"/>
      <c r="RMX116" s="17"/>
      <c r="RMY116" s="17"/>
      <c r="RMZ116" s="17"/>
      <c r="RNA116" s="17"/>
      <c r="RNB116" s="17"/>
      <c r="RNC116" s="17"/>
      <c r="RND116" s="17"/>
      <c r="RNE116" s="17"/>
      <c r="RNF116" s="17"/>
      <c r="RNG116" s="17"/>
      <c r="RNH116" s="17"/>
      <c r="RNI116" s="17"/>
      <c r="RNJ116" s="17"/>
      <c r="RNK116" s="17"/>
      <c r="RNL116" s="17"/>
      <c r="RNM116" s="17"/>
      <c r="RNN116" s="17"/>
      <c r="RNO116" s="17"/>
      <c r="RNP116" s="17"/>
      <c r="RNQ116" s="17"/>
      <c r="RNR116" s="17"/>
      <c r="RNS116" s="17"/>
      <c r="RNT116" s="17"/>
      <c r="RNU116" s="17"/>
      <c r="RNV116" s="17"/>
      <c r="RNW116" s="17"/>
      <c r="RNX116" s="17"/>
      <c r="RNY116" s="17"/>
      <c r="RNZ116" s="17"/>
      <c r="ROA116" s="17"/>
      <c r="ROB116" s="17"/>
      <c r="ROC116" s="17"/>
      <c r="ROD116" s="17"/>
      <c r="ROE116" s="17"/>
      <c r="ROF116" s="17"/>
      <c r="ROG116" s="17"/>
      <c r="ROH116" s="17"/>
      <c r="ROI116" s="17"/>
      <c r="ROJ116" s="17"/>
      <c r="ROK116" s="17"/>
      <c r="ROL116" s="17"/>
      <c r="ROM116" s="17"/>
      <c r="RON116" s="17"/>
      <c r="ROO116" s="17"/>
      <c r="ROP116" s="17"/>
      <c r="ROQ116" s="17"/>
      <c r="ROR116" s="17"/>
      <c r="ROS116" s="17"/>
      <c r="ROT116" s="17"/>
      <c r="ROU116" s="17"/>
      <c r="ROV116" s="17"/>
      <c r="ROW116" s="17"/>
      <c r="ROX116" s="17"/>
      <c r="ROY116" s="17"/>
      <c r="ROZ116" s="17"/>
      <c r="RPA116" s="17"/>
      <c r="RPB116" s="17"/>
      <c r="RPC116" s="17"/>
      <c r="RPD116" s="17"/>
      <c r="RPE116" s="17"/>
      <c r="RPF116" s="17"/>
      <c r="RPG116" s="17"/>
      <c r="RPH116" s="17"/>
      <c r="RPI116" s="17"/>
      <c r="RPJ116" s="17"/>
      <c r="RPK116" s="17"/>
      <c r="RPL116" s="17"/>
      <c r="RPM116" s="17"/>
      <c r="RPN116" s="17"/>
      <c r="RPO116" s="17"/>
      <c r="RPP116" s="17"/>
      <c r="RPQ116" s="17"/>
      <c r="RPR116" s="17"/>
      <c r="RPS116" s="17"/>
      <c r="RPT116" s="17"/>
      <c r="RPU116" s="17"/>
      <c r="RPV116" s="17"/>
      <c r="RPW116" s="17"/>
      <c r="RPX116" s="17"/>
      <c r="RPY116" s="17"/>
      <c r="RPZ116" s="17"/>
      <c r="RQA116" s="17"/>
      <c r="RQB116" s="17"/>
      <c r="RQC116" s="17"/>
      <c r="RQD116" s="17"/>
      <c r="RQE116" s="17"/>
      <c r="RQF116" s="17"/>
      <c r="RQG116" s="17"/>
      <c r="RQH116" s="17"/>
      <c r="RQI116" s="17"/>
      <c r="RQJ116" s="17"/>
      <c r="RQK116" s="17"/>
      <c r="RQL116" s="17"/>
      <c r="RQM116" s="17"/>
      <c r="RQN116" s="17"/>
      <c r="RQO116" s="17"/>
      <c r="RQP116" s="17"/>
      <c r="RQQ116" s="17"/>
      <c r="RQR116" s="17"/>
      <c r="RQS116" s="17"/>
      <c r="RQT116" s="17"/>
      <c r="RQU116" s="17"/>
      <c r="RQV116" s="17"/>
      <c r="RQW116" s="17"/>
      <c r="RQX116" s="17"/>
      <c r="RQY116" s="17"/>
      <c r="RQZ116" s="17"/>
      <c r="RRA116" s="17"/>
      <c r="RRB116" s="17"/>
      <c r="RRC116" s="17"/>
      <c r="RRD116" s="17"/>
      <c r="RRE116" s="17"/>
      <c r="RRF116" s="17"/>
      <c r="RRG116" s="17"/>
      <c r="RRH116" s="17"/>
      <c r="RRI116" s="17"/>
      <c r="RRJ116" s="17"/>
      <c r="RRK116" s="17"/>
      <c r="RRL116" s="17"/>
      <c r="RRM116" s="17"/>
      <c r="RRN116" s="17"/>
      <c r="RRO116" s="17"/>
      <c r="RRP116" s="17"/>
      <c r="RRQ116" s="17"/>
      <c r="RRR116" s="17"/>
      <c r="RRS116" s="17"/>
      <c r="RRT116" s="17"/>
      <c r="RRU116" s="17"/>
      <c r="RRV116" s="17"/>
      <c r="RRW116" s="17"/>
      <c r="RRX116" s="17"/>
      <c r="RRY116" s="17"/>
      <c r="RRZ116" s="17"/>
      <c r="RSA116" s="17"/>
      <c r="RSB116" s="17"/>
      <c r="RSC116" s="17"/>
      <c r="RSD116" s="17"/>
      <c r="RSE116" s="17"/>
      <c r="RSF116" s="17"/>
      <c r="RSG116" s="17"/>
      <c r="RSH116" s="17"/>
      <c r="RSI116" s="17"/>
      <c r="RSJ116" s="17"/>
      <c r="RSK116" s="17"/>
      <c r="RSL116" s="17"/>
      <c r="RSM116" s="17"/>
      <c r="RSN116" s="17"/>
      <c r="RSO116" s="17"/>
      <c r="RSP116" s="17"/>
      <c r="RSQ116" s="17"/>
      <c r="RSR116" s="17"/>
      <c r="RSS116" s="17"/>
      <c r="RST116" s="17"/>
      <c r="RSU116" s="17"/>
      <c r="RSV116" s="17"/>
      <c r="RSW116" s="17"/>
      <c r="RSX116" s="17"/>
      <c r="RSY116" s="17"/>
      <c r="RSZ116" s="17"/>
      <c r="RTA116" s="17"/>
      <c r="RTB116" s="17"/>
      <c r="RTC116" s="17"/>
      <c r="RTD116" s="17"/>
      <c r="RTE116" s="17"/>
      <c r="RTF116" s="17"/>
      <c r="RTG116" s="17"/>
      <c r="RTH116" s="17"/>
      <c r="RTI116" s="17"/>
      <c r="RTJ116" s="17"/>
      <c r="RTK116" s="17"/>
      <c r="RTL116" s="17"/>
      <c r="RTM116" s="17"/>
      <c r="RTN116" s="17"/>
      <c r="RTO116" s="17"/>
      <c r="RTP116" s="17"/>
      <c r="RTQ116" s="17"/>
      <c r="RTR116" s="17"/>
      <c r="RTS116" s="17"/>
      <c r="RTT116" s="17"/>
      <c r="RTU116" s="17"/>
      <c r="RTV116" s="17"/>
      <c r="RTW116" s="17"/>
      <c r="RTX116" s="17"/>
      <c r="RTY116" s="17"/>
      <c r="RTZ116" s="17"/>
      <c r="RUA116" s="17"/>
      <c r="RUB116" s="17"/>
      <c r="RUC116" s="17"/>
      <c r="RUD116" s="17"/>
      <c r="RUE116" s="17"/>
      <c r="RUF116" s="17"/>
      <c r="RUG116" s="17"/>
      <c r="RUH116" s="17"/>
      <c r="RUI116" s="17"/>
      <c r="RUJ116" s="17"/>
      <c r="RUK116" s="17"/>
      <c r="RUL116" s="17"/>
      <c r="RUM116" s="17"/>
      <c r="RUN116" s="17"/>
      <c r="RUO116" s="17"/>
      <c r="RUP116" s="17"/>
      <c r="RUQ116" s="17"/>
      <c r="RUR116" s="17"/>
      <c r="RUS116" s="17"/>
      <c r="RUT116" s="17"/>
      <c r="RUU116" s="17"/>
      <c r="RUV116" s="17"/>
      <c r="RUW116" s="17"/>
      <c r="RUX116" s="17"/>
      <c r="RUY116" s="17"/>
      <c r="RUZ116" s="17"/>
      <c r="RVA116" s="17"/>
      <c r="RVB116" s="17"/>
      <c r="RVC116" s="17"/>
      <c r="RVD116" s="17"/>
      <c r="RVE116" s="17"/>
      <c r="RVF116" s="17"/>
      <c r="RVG116" s="17"/>
      <c r="RVH116" s="17"/>
      <c r="RVI116" s="17"/>
      <c r="RVJ116" s="17"/>
      <c r="RVK116" s="17"/>
      <c r="RVL116" s="17"/>
      <c r="RVM116" s="17"/>
      <c r="RVN116" s="17"/>
      <c r="RVO116" s="17"/>
      <c r="RVP116" s="17"/>
      <c r="RVQ116" s="17"/>
      <c r="RVR116" s="17"/>
      <c r="RVS116" s="17"/>
      <c r="RVT116" s="17"/>
      <c r="RVU116" s="17"/>
      <c r="RVV116" s="17"/>
      <c r="RVW116" s="17"/>
      <c r="RVX116" s="17"/>
      <c r="RVY116" s="17"/>
      <c r="RVZ116" s="17"/>
      <c r="RWA116" s="17"/>
      <c r="RWB116" s="17"/>
      <c r="RWC116" s="17"/>
      <c r="RWD116" s="17"/>
      <c r="RWE116" s="17"/>
      <c r="RWF116" s="17"/>
      <c r="RWG116" s="17"/>
      <c r="RWH116" s="17"/>
      <c r="RWI116" s="17"/>
      <c r="RWJ116" s="17"/>
      <c r="RWK116" s="17"/>
      <c r="RWL116" s="17"/>
      <c r="RWM116" s="17"/>
      <c r="RWN116" s="17"/>
      <c r="RWO116" s="17"/>
      <c r="RWP116" s="17"/>
      <c r="RWQ116" s="17"/>
      <c r="RWR116" s="17"/>
      <c r="RWS116" s="17"/>
      <c r="RWT116" s="17"/>
      <c r="RWU116" s="17"/>
      <c r="RWV116" s="17"/>
      <c r="RWW116" s="17"/>
      <c r="RWX116" s="17"/>
      <c r="RWY116" s="17"/>
      <c r="RWZ116" s="17"/>
      <c r="RXA116" s="17"/>
      <c r="RXB116" s="17"/>
      <c r="RXC116" s="17"/>
      <c r="RXD116" s="17"/>
      <c r="RXE116" s="17"/>
      <c r="RXF116" s="17"/>
      <c r="RXG116" s="17"/>
      <c r="RXH116" s="17"/>
      <c r="RXI116" s="17"/>
      <c r="RXJ116" s="17"/>
      <c r="RXK116" s="17"/>
      <c r="RXL116" s="17"/>
      <c r="RXM116" s="17"/>
      <c r="RXN116" s="17"/>
      <c r="RXO116" s="17"/>
      <c r="RXP116" s="17"/>
      <c r="RXQ116" s="17"/>
      <c r="RXR116" s="17"/>
      <c r="RXS116" s="17"/>
      <c r="RXT116" s="17"/>
      <c r="RXU116" s="17"/>
      <c r="RXV116" s="17"/>
      <c r="RXW116" s="17"/>
      <c r="RXX116" s="17"/>
      <c r="RXY116" s="17"/>
      <c r="RXZ116" s="17"/>
      <c r="RYA116" s="17"/>
      <c r="RYB116" s="17"/>
      <c r="RYC116" s="17"/>
      <c r="RYD116" s="17"/>
      <c r="RYE116" s="17"/>
      <c r="RYF116" s="17"/>
      <c r="RYG116" s="17"/>
      <c r="RYH116" s="17"/>
      <c r="RYI116" s="17"/>
      <c r="RYJ116" s="17"/>
      <c r="RYK116" s="17"/>
      <c r="RYL116" s="17"/>
      <c r="RYM116" s="17"/>
      <c r="RYN116" s="17"/>
      <c r="RYO116" s="17"/>
      <c r="RYP116" s="17"/>
      <c r="RYQ116" s="17"/>
      <c r="RYR116" s="17"/>
      <c r="RYS116" s="17"/>
      <c r="RYT116" s="17"/>
      <c r="RYU116" s="17"/>
      <c r="RYV116" s="17"/>
      <c r="RYW116" s="17"/>
      <c r="RYX116" s="17"/>
      <c r="RYY116" s="17"/>
      <c r="RYZ116" s="17"/>
      <c r="RZA116" s="17"/>
      <c r="RZB116" s="17"/>
      <c r="RZC116" s="17"/>
      <c r="RZD116" s="17"/>
      <c r="RZE116" s="17"/>
      <c r="RZF116" s="17"/>
      <c r="RZG116" s="17"/>
      <c r="RZH116" s="17"/>
      <c r="RZI116" s="17"/>
      <c r="RZJ116" s="17"/>
      <c r="RZK116" s="17"/>
      <c r="RZL116" s="17"/>
      <c r="RZM116" s="17"/>
      <c r="RZN116" s="17"/>
      <c r="RZO116" s="17"/>
      <c r="RZP116" s="17"/>
      <c r="RZQ116" s="17"/>
      <c r="RZR116" s="17"/>
      <c r="RZS116" s="17"/>
      <c r="RZT116" s="17"/>
      <c r="RZU116" s="17"/>
      <c r="RZV116" s="17"/>
      <c r="RZW116" s="17"/>
      <c r="RZX116" s="17"/>
      <c r="RZY116" s="17"/>
      <c r="RZZ116" s="17"/>
      <c r="SAA116" s="17"/>
      <c r="SAB116" s="17"/>
      <c r="SAC116" s="17"/>
      <c r="SAD116" s="17"/>
      <c r="SAE116" s="17"/>
      <c r="SAF116" s="17"/>
      <c r="SAG116" s="17"/>
      <c r="SAH116" s="17"/>
      <c r="SAI116" s="17"/>
      <c r="SAJ116" s="17"/>
      <c r="SAK116" s="17"/>
      <c r="SAL116" s="17"/>
      <c r="SAM116" s="17"/>
      <c r="SAN116" s="17"/>
      <c r="SAO116" s="17"/>
      <c r="SAP116" s="17"/>
      <c r="SAQ116" s="17"/>
      <c r="SAR116" s="17"/>
      <c r="SAS116" s="17"/>
      <c r="SAT116" s="17"/>
      <c r="SAU116" s="17"/>
      <c r="SAV116" s="17"/>
      <c r="SAW116" s="17"/>
      <c r="SAX116" s="17"/>
      <c r="SAY116" s="17"/>
      <c r="SAZ116" s="17"/>
      <c r="SBA116" s="17"/>
      <c r="SBB116" s="17"/>
      <c r="SBC116" s="17"/>
      <c r="SBD116" s="17"/>
      <c r="SBE116" s="17"/>
      <c r="SBF116" s="17"/>
      <c r="SBG116" s="17"/>
      <c r="SBH116" s="17"/>
      <c r="SBI116" s="17"/>
      <c r="SBJ116" s="17"/>
      <c r="SBK116" s="17"/>
      <c r="SBL116" s="17"/>
      <c r="SBM116" s="17"/>
      <c r="SBN116" s="17"/>
      <c r="SBO116" s="17"/>
      <c r="SBP116" s="17"/>
      <c r="SBQ116" s="17"/>
      <c r="SBR116" s="17"/>
      <c r="SBS116" s="17"/>
      <c r="SBT116" s="17"/>
      <c r="SBU116" s="17"/>
      <c r="SBV116" s="17"/>
      <c r="SBW116" s="17"/>
      <c r="SBX116" s="17"/>
      <c r="SBY116" s="17"/>
      <c r="SBZ116" s="17"/>
      <c r="SCA116" s="17"/>
      <c r="SCB116" s="17"/>
      <c r="SCC116" s="17"/>
      <c r="SCD116" s="17"/>
      <c r="SCE116" s="17"/>
      <c r="SCF116" s="17"/>
      <c r="SCG116" s="17"/>
      <c r="SCH116" s="17"/>
      <c r="SCI116" s="17"/>
      <c r="SCJ116" s="17"/>
      <c r="SCK116" s="17"/>
      <c r="SCL116" s="17"/>
      <c r="SCM116" s="17"/>
      <c r="SCN116" s="17"/>
      <c r="SCO116" s="17"/>
      <c r="SCP116" s="17"/>
      <c r="SCQ116" s="17"/>
      <c r="SCR116" s="17"/>
      <c r="SCS116" s="17"/>
      <c r="SCT116" s="17"/>
      <c r="SCU116" s="17"/>
      <c r="SCV116" s="17"/>
      <c r="SCW116" s="17"/>
      <c r="SCX116" s="17"/>
      <c r="SCY116" s="17"/>
      <c r="SCZ116" s="17"/>
      <c r="SDA116" s="17"/>
      <c r="SDB116" s="17"/>
      <c r="SDC116" s="17"/>
      <c r="SDD116" s="17"/>
      <c r="SDE116" s="17"/>
      <c r="SDF116" s="17"/>
      <c r="SDG116" s="17"/>
      <c r="SDH116" s="17"/>
      <c r="SDI116" s="17"/>
      <c r="SDJ116" s="17"/>
      <c r="SDK116" s="17"/>
      <c r="SDL116" s="17"/>
      <c r="SDM116" s="17"/>
      <c r="SDN116" s="17"/>
      <c r="SDO116" s="17"/>
      <c r="SDP116" s="17"/>
      <c r="SDQ116" s="17"/>
      <c r="SDR116" s="17"/>
      <c r="SDS116" s="17"/>
      <c r="SDT116" s="17"/>
      <c r="SDU116" s="17"/>
      <c r="SDV116" s="17"/>
      <c r="SDW116" s="17"/>
      <c r="SDX116" s="17"/>
      <c r="SDY116" s="17"/>
      <c r="SDZ116" s="17"/>
      <c r="SEA116" s="17"/>
      <c r="SEB116" s="17"/>
      <c r="SEC116" s="17"/>
      <c r="SED116" s="17"/>
      <c r="SEE116" s="17"/>
      <c r="SEF116" s="17"/>
      <c r="SEG116" s="17"/>
      <c r="SEH116" s="17"/>
      <c r="SEI116" s="17"/>
      <c r="SEJ116" s="17"/>
      <c r="SEK116" s="17"/>
      <c r="SEL116" s="17"/>
      <c r="SEM116" s="17"/>
      <c r="SEN116" s="17"/>
      <c r="SEO116" s="17"/>
      <c r="SEP116" s="17"/>
      <c r="SEQ116" s="17"/>
      <c r="SER116" s="17"/>
      <c r="SES116" s="17"/>
      <c r="SET116" s="17"/>
      <c r="SEU116" s="17"/>
      <c r="SEV116" s="17"/>
      <c r="SEW116" s="17"/>
      <c r="SEX116" s="17"/>
      <c r="SEY116" s="17"/>
      <c r="SEZ116" s="17"/>
      <c r="SFA116" s="17"/>
      <c r="SFB116" s="17"/>
      <c r="SFC116" s="17"/>
      <c r="SFD116" s="17"/>
      <c r="SFE116" s="17"/>
      <c r="SFF116" s="17"/>
      <c r="SFG116" s="17"/>
      <c r="SFH116" s="17"/>
      <c r="SFI116" s="17"/>
      <c r="SFJ116" s="17"/>
      <c r="SFK116" s="17"/>
      <c r="SFL116" s="17"/>
      <c r="SFM116" s="17"/>
      <c r="SFN116" s="17"/>
      <c r="SFO116" s="17"/>
      <c r="SFP116" s="17"/>
      <c r="SFQ116" s="17"/>
      <c r="SFR116" s="17"/>
      <c r="SFS116" s="17"/>
      <c r="SFT116" s="17"/>
      <c r="SFU116" s="17"/>
      <c r="SFV116" s="17"/>
      <c r="SFW116" s="17"/>
      <c r="SFX116" s="17"/>
      <c r="SFY116" s="17"/>
      <c r="SFZ116" s="17"/>
      <c r="SGA116" s="17"/>
      <c r="SGB116" s="17"/>
      <c r="SGC116" s="17"/>
      <c r="SGD116" s="17"/>
      <c r="SGE116" s="17"/>
      <c r="SGF116" s="17"/>
      <c r="SGG116" s="17"/>
      <c r="SGH116" s="17"/>
      <c r="SGI116" s="17"/>
      <c r="SGJ116" s="17"/>
      <c r="SGK116" s="17"/>
      <c r="SGL116" s="17"/>
      <c r="SGM116" s="17"/>
      <c r="SGN116" s="17"/>
      <c r="SGO116" s="17"/>
      <c r="SGP116" s="17"/>
      <c r="SGQ116" s="17"/>
      <c r="SGR116" s="17"/>
      <c r="SGS116" s="17"/>
      <c r="SGT116" s="17"/>
      <c r="SGU116" s="17"/>
      <c r="SGV116" s="17"/>
      <c r="SGW116" s="17"/>
      <c r="SGX116" s="17"/>
      <c r="SGY116" s="17"/>
      <c r="SGZ116" s="17"/>
      <c r="SHA116" s="17"/>
      <c r="SHB116" s="17"/>
      <c r="SHC116" s="17"/>
      <c r="SHD116" s="17"/>
      <c r="SHE116" s="17"/>
      <c r="SHF116" s="17"/>
      <c r="SHG116" s="17"/>
      <c r="SHH116" s="17"/>
      <c r="SHI116" s="17"/>
      <c r="SHJ116" s="17"/>
      <c r="SHK116" s="17"/>
      <c r="SHL116" s="17"/>
      <c r="SHM116" s="17"/>
      <c r="SHN116" s="17"/>
      <c r="SHO116" s="17"/>
      <c r="SHP116" s="17"/>
      <c r="SHQ116" s="17"/>
      <c r="SHR116" s="17"/>
      <c r="SHS116" s="17"/>
      <c r="SHT116" s="17"/>
      <c r="SHU116" s="17"/>
      <c r="SHV116" s="17"/>
      <c r="SHW116" s="17"/>
      <c r="SHX116" s="17"/>
      <c r="SHY116" s="17"/>
      <c r="SHZ116" s="17"/>
      <c r="SIA116" s="17"/>
      <c r="SIB116" s="17"/>
      <c r="SIC116" s="17"/>
      <c r="SID116" s="17"/>
      <c r="SIE116" s="17"/>
      <c r="SIF116" s="17"/>
      <c r="SIG116" s="17"/>
      <c r="SIH116" s="17"/>
      <c r="SII116" s="17"/>
      <c r="SIJ116" s="17"/>
      <c r="SIK116" s="17"/>
      <c r="SIL116" s="17"/>
      <c r="SIM116" s="17"/>
      <c r="SIN116" s="17"/>
      <c r="SIO116" s="17"/>
      <c r="SIP116" s="17"/>
      <c r="SIQ116" s="17"/>
      <c r="SIR116" s="17"/>
      <c r="SIS116" s="17"/>
      <c r="SIT116" s="17"/>
      <c r="SIU116" s="17"/>
      <c r="SIV116" s="17"/>
      <c r="SIW116" s="17"/>
      <c r="SIX116" s="17"/>
      <c r="SIY116" s="17"/>
      <c r="SIZ116" s="17"/>
      <c r="SJA116" s="17"/>
      <c r="SJB116" s="17"/>
      <c r="SJC116" s="17"/>
      <c r="SJD116" s="17"/>
      <c r="SJE116" s="17"/>
      <c r="SJF116" s="17"/>
      <c r="SJG116" s="17"/>
      <c r="SJH116" s="17"/>
      <c r="SJI116" s="17"/>
      <c r="SJJ116" s="17"/>
      <c r="SJK116" s="17"/>
      <c r="SJL116" s="17"/>
      <c r="SJM116" s="17"/>
      <c r="SJN116" s="17"/>
      <c r="SJO116" s="17"/>
      <c r="SJP116" s="17"/>
      <c r="SJQ116" s="17"/>
      <c r="SJR116" s="17"/>
      <c r="SJS116" s="17"/>
      <c r="SJT116" s="17"/>
      <c r="SJU116" s="17"/>
      <c r="SJV116" s="17"/>
      <c r="SJW116" s="17"/>
      <c r="SJX116" s="17"/>
      <c r="SJY116" s="17"/>
      <c r="SJZ116" s="17"/>
      <c r="SKA116" s="17"/>
      <c r="SKB116" s="17"/>
      <c r="SKC116" s="17"/>
      <c r="SKD116" s="17"/>
      <c r="SKE116" s="17"/>
      <c r="SKF116" s="17"/>
      <c r="SKG116" s="17"/>
      <c r="SKH116" s="17"/>
      <c r="SKI116" s="17"/>
      <c r="SKJ116" s="17"/>
      <c r="SKK116" s="17"/>
      <c r="SKL116" s="17"/>
      <c r="SKM116" s="17"/>
      <c r="SKN116" s="17"/>
      <c r="SKO116" s="17"/>
      <c r="SKP116" s="17"/>
      <c r="SKQ116" s="17"/>
      <c r="SKR116" s="17"/>
      <c r="SKS116" s="17"/>
      <c r="SKT116" s="17"/>
      <c r="SKU116" s="17"/>
      <c r="SKV116" s="17"/>
      <c r="SKW116" s="17"/>
      <c r="SKX116" s="17"/>
      <c r="SKY116" s="17"/>
      <c r="SKZ116" s="17"/>
      <c r="SLA116" s="17"/>
      <c r="SLB116" s="17"/>
      <c r="SLC116" s="17"/>
      <c r="SLD116" s="17"/>
      <c r="SLE116" s="17"/>
      <c r="SLF116" s="17"/>
      <c r="SLG116" s="17"/>
      <c r="SLH116" s="17"/>
      <c r="SLI116" s="17"/>
      <c r="SLJ116" s="17"/>
      <c r="SLK116" s="17"/>
      <c r="SLL116" s="17"/>
      <c r="SLM116" s="17"/>
      <c r="SLN116" s="17"/>
      <c r="SLO116" s="17"/>
      <c r="SLP116" s="17"/>
      <c r="SLQ116" s="17"/>
      <c r="SLR116" s="17"/>
      <c r="SLS116" s="17"/>
      <c r="SLT116" s="17"/>
      <c r="SLU116" s="17"/>
      <c r="SLV116" s="17"/>
      <c r="SLW116" s="17"/>
      <c r="SLX116" s="17"/>
      <c r="SLY116" s="17"/>
      <c r="SLZ116" s="17"/>
      <c r="SMA116" s="17"/>
      <c r="SMB116" s="17"/>
      <c r="SMC116" s="17"/>
      <c r="SMD116" s="17"/>
      <c r="SME116" s="17"/>
      <c r="SMF116" s="17"/>
      <c r="SMG116" s="17"/>
      <c r="SMH116" s="17"/>
      <c r="SMI116" s="17"/>
      <c r="SMJ116" s="17"/>
      <c r="SMK116" s="17"/>
      <c r="SML116" s="17"/>
      <c r="SMM116" s="17"/>
      <c r="SMN116" s="17"/>
      <c r="SMO116" s="17"/>
      <c r="SMP116" s="17"/>
      <c r="SMQ116" s="17"/>
      <c r="SMR116" s="17"/>
      <c r="SMS116" s="17"/>
      <c r="SMT116" s="17"/>
      <c r="SMU116" s="17"/>
      <c r="SMV116" s="17"/>
      <c r="SMW116" s="17"/>
      <c r="SMX116" s="17"/>
      <c r="SMY116" s="17"/>
      <c r="SMZ116" s="17"/>
      <c r="SNA116" s="17"/>
      <c r="SNB116" s="17"/>
      <c r="SNC116" s="17"/>
      <c r="SND116" s="17"/>
      <c r="SNE116" s="17"/>
      <c r="SNF116" s="17"/>
      <c r="SNG116" s="17"/>
      <c r="SNH116" s="17"/>
      <c r="SNI116" s="17"/>
      <c r="SNJ116" s="17"/>
      <c r="SNK116" s="17"/>
      <c r="SNL116" s="17"/>
      <c r="SNM116" s="17"/>
      <c r="SNN116" s="17"/>
      <c r="SNO116" s="17"/>
      <c r="SNP116" s="17"/>
      <c r="SNQ116" s="17"/>
      <c r="SNR116" s="17"/>
      <c r="SNS116" s="17"/>
      <c r="SNT116" s="17"/>
      <c r="SNU116" s="17"/>
      <c r="SNV116" s="17"/>
      <c r="SNW116" s="17"/>
      <c r="SNX116" s="17"/>
      <c r="SNY116" s="17"/>
      <c r="SNZ116" s="17"/>
      <c r="SOA116" s="17"/>
      <c r="SOB116" s="17"/>
      <c r="SOC116" s="17"/>
      <c r="SOD116" s="17"/>
      <c r="SOE116" s="17"/>
      <c r="SOF116" s="17"/>
      <c r="SOG116" s="17"/>
      <c r="SOH116" s="17"/>
      <c r="SOI116" s="17"/>
      <c r="SOJ116" s="17"/>
      <c r="SOK116" s="17"/>
      <c r="SOL116" s="17"/>
      <c r="SOM116" s="17"/>
      <c r="SON116" s="17"/>
      <c r="SOO116" s="17"/>
      <c r="SOP116" s="17"/>
      <c r="SOQ116" s="17"/>
      <c r="SOR116" s="17"/>
      <c r="SOS116" s="17"/>
      <c r="SOT116" s="17"/>
      <c r="SOU116" s="17"/>
      <c r="SOV116" s="17"/>
      <c r="SOW116" s="17"/>
      <c r="SOX116" s="17"/>
      <c r="SOY116" s="17"/>
      <c r="SOZ116" s="17"/>
      <c r="SPA116" s="17"/>
      <c r="SPB116" s="17"/>
      <c r="SPC116" s="17"/>
      <c r="SPD116" s="17"/>
      <c r="SPE116" s="17"/>
      <c r="SPF116" s="17"/>
      <c r="SPG116" s="17"/>
      <c r="SPH116" s="17"/>
      <c r="SPI116" s="17"/>
      <c r="SPJ116" s="17"/>
      <c r="SPK116" s="17"/>
      <c r="SPL116" s="17"/>
      <c r="SPM116" s="17"/>
      <c r="SPN116" s="17"/>
      <c r="SPO116" s="17"/>
      <c r="SPP116" s="17"/>
      <c r="SPQ116" s="17"/>
      <c r="SPR116" s="17"/>
      <c r="SPS116" s="17"/>
      <c r="SPT116" s="17"/>
      <c r="SPU116" s="17"/>
      <c r="SPV116" s="17"/>
      <c r="SPW116" s="17"/>
      <c r="SPX116" s="17"/>
      <c r="SPY116" s="17"/>
      <c r="SPZ116" s="17"/>
      <c r="SQA116" s="17"/>
      <c r="SQB116" s="17"/>
      <c r="SQC116" s="17"/>
      <c r="SQD116" s="17"/>
      <c r="SQE116" s="17"/>
      <c r="SQF116" s="17"/>
      <c r="SQG116" s="17"/>
      <c r="SQH116" s="17"/>
      <c r="SQI116" s="17"/>
      <c r="SQJ116" s="17"/>
      <c r="SQK116" s="17"/>
      <c r="SQL116" s="17"/>
      <c r="SQM116" s="17"/>
      <c r="SQN116" s="17"/>
      <c r="SQO116" s="17"/>
      <c r="SQP116" s="17"/>
      <c r="SQQ116" s="17"/>
      <c r="SQR116" s="17"/>
      <c r="SQS116" s="17"/>
      <c r="SQT116" s="17"/>
      <c r="SQU116" s="17"/>
      <c r="SQV116" s="17"/>
      <c r="SQW116" s="17"/>
      <c r="SQX116" s="17"/>
      <c r="SQY116" s="17"/>
      <c r="SQZ116" s="17"/>
      <c r="SRA116" s="17"/>
      <c r="SRB116" s="17"/>
      <c r="SRC116" s="17"/>
      <c r="SRD116" s="17"/>
      <c r="SRE116" s="17"/>
      <c r="SRF116" s="17"/>
      <c r="SRG116" s="17"/>
      <c r="SRH116" s="17"/>
      <c r="SRI116" s="17"/>
      <c r="SRJ116" s="17"/>
      <c r="SRK116" s="17"/>
      <c r="SRL116" s="17"/>
      <c r="SRM116" s="17"/>
      <c r="SRN116" s="17"/>
      <c r="SRO116" s="17"/>
      <c r="SRP116" s="17"/>
      <c r="SRQ116" s="17"/>
      <c r="SRR116" s="17"/>
      <c r="SRS116" s="17"/>
      <c r="SRT116" s="17"/>
      <c r="SRU116" s="17"/>
      <c r="SRV116" s="17"/>
      <c r="SRW116" s="17"/>
      <c r="SRX116" s="17"/>
      <c r="SRY116" s="17"/>
      <c r="SRZ116" s="17"/>
      <c r="SSA116" s="17"/>
      <c r="SSB116" s="17"/>
      <c r="SSC116" s="17"/>
      <c r="SSD116" s="17"/>
      <c r="SSE116" s="17"/>
      <c r="SSF116" s="17"/>
      <c r="SSG116" s="17"/>
      <c r="SSH116" s="17"/>
      <c r="SSI116" s="17"/>
      <c r="SSJ116" s="17"/>
      <c r="SSK116" s="17"/>
      <c r="SSL116" s="17"/>
      <c r="SSM116" s="17"/>
      <c r="SSN116" s="17"/>
      <c r="SSO116" s="17"/>
      <c r="SSP116" s="17"/>
      <c r="SSQ116" s="17"/>
      <c r="SSR116" s="17"/>
      <c r="SSS116" s="17"/>
      <c r="SST116" s="17"/>
      <c r="SSU116" s="17"/>
      <c r="SSV116" s="17"/>
      <c r="SSW116" s="17"/>
      <c r="SSX116" s="17"/>
      <c r="SSY116" s="17"/>
      <c r="SSZ116" s="17"/>
      <c r="STA116" s="17"/>
      <c r="STB116" s="17"/>
      <c r="STC116" s="17"/>
      <c r="STD116" s="17"/>
      <c r="STE116" s="17"/>
      <c r="STF116" s="17"/>
      <c r="STG116" s="17"/>
      <c r="STH116" s="17"/>
      <c r="STI116" s="17"/>
      <c r="STJ116" s="17"/>
      <c r="STK116" s="17"/>
      <c r="STL116" s="17"/>
      <c r="STM116" s="17"/>
      <c r="STN116" s="17"/>
      <c r="STO116" s="17"/>
      <c r="STP116" s="17"/>
      <c r="STQ116" s="17"/>
      <c r="STR116" s="17"/>
      <c r="STS116" s="17"/>
      <c r="STT116" s="17"/>
      <c r="STU116" s="17"/>
      <c r="STV116" s="17"/>
      <c r="STW116" s="17"/>
      <c r="STX116" s="17"/>
      <c r="STY116" s="17"/>
      <c r="STZ116" s="17"/>
      <c r="SUA116" s="17"/>
      <c r="SUB116" s="17"/>
      <c r="SUC116" s="17"/>
      <c r="SUD116" s="17"/>
      <c r="SUE116" s="17"/>
      <c r="SUF116" s="17"/>
      <c r="SUG116" s="17"/>
      <c r="SUH116" s="17"/>
      <c r="SUI116" s="17"/>
      <c r="SUJ116" s="17"/>
      <c r="SUK116" s="17"/>
      <c r="SUL116" s="17"/>
      <c r="SUM116" s="17"/>
      <c r="SUN116" s="17"/>
      <c r="SUO116" s="17"/>
      <c r="SUP116" s="17"/>
      <c r="SUQ116" s="17"/>
      <c r="SUR116" s="17"/>
      <c r="SUS116" s="17"/>
      <c r="SUT116" s="17"/>
      <c r="SUU116" s="17"/>
      <c r="SUV116" s="17"/>
      <c r="SUW116" s="17"/>
      <c r="SUX116" s="17"/>
      <c r="SUY116" s="17"/>
      <c r="SUZ116" s="17"/>
      <c r="SVA116" s="17"/>
      <c r="SVB116" s="17"/>
      <c r="SVC116" s="17"/>
      <c r="SVD116" s="17"/>
      <c r="SVE116" s="17"/>
      <c r="SVF116" s="17"/>
      <c r="SVG116" s="17"/>
      <c r="SVH116" s="17"/>
      <c r="SVI116" s="17"/>
      <c r="SVJ116" s="17"/>
      <c r="SVK116" s="17"/>
      <c r="SVL116" s="17"/>
      <c r="SVM116" s="17"/>
      <c r="SVN116" s="17"/>
      <c r="SVO116" s="17"/>
      <c r="SVP116" s="17"/>
      <c r="SVQ116" s="17"/>
      <c r="SVR116" s="17"/>
      <c r="SVS116" s="17"/>
      <c r="SVT116" s="17"/>
      <c r="SVU116" s="17"/>
      <c r="SVV116" s="17"/>
      <c r="SVW116" s="17"/>
      <c r="SVX116" s="17"/>
      <c r="SVY116" s="17"/>
      <c r="SVZ116" s="17"/>
      <c r="SWA116" s="17"/>
      <c r="SWB116" s="17"/>
      <c r="SWC116" s="17"/>
      <c r="SWD116" s="17"/>
      <c r="SWE116" s="17"/>
      <c r="SWF116" s="17"/>
      <c r="SWG116" s="17"/>
      <c r="SWH116" s="17"/>
      <c r="SWI116" s="17"/>
      <c r="SWJ116" s="17"/>
      <c r="SWK116" s="17"/>
      <c r="SWL116" s="17"/>
      <c r="SWM116" s="17"/>
      <c r="SWN116" s="17"/>
      <c r="SWO116" s="17"/>
      <c r="SWP116" s="17"/>
      <c r="SWQ116" s="17"/>
      <c r="SWR116" s="17"/>
      <c r="SWS116" s="17"/>
      <c r="SWT116" s="17"/>
      <c r="SWU116" s="17"/>
      <c r="SWV116" s="17"/>
      <c r="SWW116" s="17"/>
      <c r="SWX116" s="17"/>
      <c r="SWY116" s="17"/>
      <c r="SWZ116" s="17"/>
      <c r="SXA116" s="17"/>
      <c r="SXB116" s="17"/>
      <c r="SXC116" s="17"/>
      <c r="SXD116" s="17"/>
      <c r="SXE116" s="17"/>
      <c r="SXF116" s="17"/>
      <c r="SXG116" s="17"/>
      <c r="SXH116" s="17"/>
      <c r="SXI116" s="17"/>
      <c r="SXJ116" s="17"/>
      <c r="SXK116" s="17"/>
      <c r="SXL116" s="17"/>
      <c r="SXM116" s="17"/>
      <c r="SXN116" s="17"/>
      <c r="SXO116" s="17"/>
      <c r="SXP116" s="17"/>
      <c r="SXQ116" s="17"/>
      <c r="SXR116" s="17"/>
      <c r="SXS116" s="17"/>
      <c r="SXT116" s="17"/>
      <c r="SXU116" s="17"/>
      <c r="SXV116" s="17"/>
      <c r="SXW116" s="17"/>
      <c r="SXX116" s="17"/>
      <c r="SXY116" s="17"/>
      <c r="SXZ116" s="17"/>
      <c r="SYA116" s="17"/>
      <c r="SYB116" s="17"/>
      <c r="SYC116" s="17"/>
      <c r="SYD116" s="17"/>
      <c r="SYE116" s="17"/>
      <c r="SYF116" s="17"/>
      <c r="SYG116" s="17"/>
      <c r="SYH116" s="17"/>
      <c r="SYI116" s="17"/>
      <c r="SYJ116" s="17"/>
      <c r="SYK116" s="17"/>
      <c r="SYL116" s="17"/>
      <c r="SYM116" s="17"/>
      <c r="SYN116" s="17"/>
      <c r="SYO116" s="17"/>
      <c r="SYP116" s="17"/>
      <c r="SYQ116" s="17"/>
      <c r="SYR116" s="17"/>
      <c r="SYS116" s="17"/>
      <c r="SYT116" s="17"/>
      <c r="SYU116" s="17"/>
      <c r="SYV116" s="17"/>
      <c r="SYW116" s="17"/>
      <c r="SYX116" s="17"/>
      <c r="SYY116" s="17"/>
      <c r="SYZ116" s="17"/>
      <c r="SZA116" s="17"/>
      <c r="SZB116" s="17"/>
      <c r="SZC116" s="17"/>
      <c r="SZD116" s="17"/>
      <c r="SZE116" s="17"/>
      <c r="SZF116" s="17"/>
      <c r="SZG116" s="17"/>
      <c r="SZH116" s="17"/>
      <c r="SZI116" s="17"/>
      <c r="SZJ116" s="17"/>
      <c r="SZK116" s="17"/>
      <c r="SZL116" s="17"/>
      <c r="SZM116" s="17"/>
      <c r="SZN116" s="17"/>
      <c r="SZO116" s="17"/>
      <c r="SZP116" s="17"/>
      <c r="SZQ116" s="17"/>
      <c r="SZR116" s="17"/>
      <c r="SZS116" s="17"/>
      <c r="SZT116" s="17"/>
      <c r="SZU116" s="17"/>
      <c r="SZV116" s="17"/>
      <c r="SZW116" s="17"/>
      <c r="SZX116" s="17"/>
      <c r="SZY116" s="17"/>
      <c r="SZZ116" s="17"/>
      <c r="TAA116" s="17"/>
      <c r="TAB116" s="17"/>
      <c r="TAC116" s="17"/>
      <c r="TAD116" s="17"/>
      <c r="TAE116" s="17"/>
      <c r="TAF116" s="17"/>
      <c r="TAG116" s="17"/>
      <c r="TAH116" s="17"/>
      <c r="TAI116" s="17"/>
      <c r="TAJ116" s="17"/>
      <c r="TAK116" s="17"/>
      <c r="TAL116" s="17"/>
      <c r="TAM116" s="17"/>
      <c r="TAN116" s="17"/>
      <c r="TAO116" s="17"/>
      <c r="TAP116" s="17"/>
      <c r="TAQ116" s="17"/>
      <c r="TAR116" s="17"/>
      <c r="TAS116" s="17"/>
      <c r="TAT116" s="17"/>
      <c r="TAU116" s="17"/>
      <c r="TAV116" s="17"/>
      <c r="TAW116" s="17"/>
      <c r="TAX116" s="17"/>
      <c r="TAY116" s="17"/>
      <c r="TAZ116" s="17"/>
      <c r="TBA116" s="17"/>
      <c r="TBB116" s="17"/>
      <c r="TBC116" s="17"/>
      <c r="TBD116" s="17"/>
      <c r="TBE116" s="17"/>
      <c r="TBF116" s="17"/>
      <c r="TBG116" s="17"/>
      <c r="TBH116" s="17"/>
      <c r="TBI116" s="17"/>
      <c r="TBJ116" s="17"/>
      <c r="TBK116" s="17"/>
      <c r="TBL116" s="17"/>
      <c r="TBM116" s="17"/>
      <c r="TBN116" s="17"/>
      <c r="TBO116" s="17"/>
      <c r="TBP116" s="17"/>
      <c r="TBQ116" s="17"/>
      <c r="TBR116" s="17"/>
      <c r="TBS116" s="17"/>
      <c r="TBT116" s="17"/>
      <c r="TBU116" s="17"/>
      <c r="TBV116" s="17"/>
      <c r="TBW116" s="17"/>
      <c r="TBX116" s="17"/>
      <c r="TBY116" s="17"/>
      <c r="TBZ116" s="17"/>
      <c r="TCA116" s="17"/>
      <c r="TCB116" s="17"/>
      <c r="TCC116" s="17"/>
      <c r="TCD116" s="17"/>
      <c r="TCE116" s="17"/>
      <c r="TCF116" s="17"/>
      <c r="TCG116" s="17"/>
      <c r="TCH116" s="17"/>
      <c r="TCI116" s="17"/>
      <c r="TCJ116" s="17"/>
      <c r="TCK116" s="17"/>
      <c r="TCL116" s="17"/>
      <c r="TCM116" s="17"/>
      <c r="TCN116" s="17"/>
      <c r="TCO116" s="17"/>
      <c r="TCP116" s="17"/>
      <c r="TCQ116" s="17"/>
      <c r="TCR116" s="17"/>
      <c r="TCS116" s="17"/>
      <c r="TCT116" s="17"/>
      <c r="TCU116" s="17"/>
      <c r="TCV116" s="17"/>
      <c r="TCW116" s="17"/>
      <c r="TCX116" s="17"/>
      <c r="TCY116" s="17"/>
      <c r="TCZ116" s="17"/>
      <c r="TDA116" s="17"/>
      <c r="TDB116" s="17"/>
      <c r="TDC116" s="17"/>
      <c r="TDD116" s="17"/>
      <c r="TDE116" s="17"/>
      <c r="TDF116" s="17"/>
      <c r="TDG116" s="17"/>
      <c r="TDH116" s="17"/>
      <c r="TDI116" s="17"/>
      <c r="TDJ116" s="17"/>
      <c r="TDK116" s="17"/>
      <c r="TDL116" s="17"/>
      <c r="TDM116" s="17"/>
      <c r="TDN116" s="17"/>
      <c r="TDO116" s="17"/>
      <c r="TDP116" s="17"/>
      <c r="TDQ116" s="17"/>
      <c r="TDR116" s="17"/>
      <c r="TDS116" s="17"/>
      <c r="TDT116" s="17"/>
      <c r="TDU116" s="17"/>
      <c r="TDV116" s="17"/>
      <c r="TDW116" s="17"/>
      <c r="TDX116" s="17"/>
      <c r="TDY116" s="17"/>
      <c r="TDZ116" s="17"/>
      <c r="TEA116" s="17"/>
      <c r="TEB116" s="17"/>
      <c r="TEC116" s="17"/>
      <c r="TED116" s="17"/>
      <c r="TEE116" s="17"/>
      <c r="TEF116" s="17"/>
      <c r="TEG116" s="17"/>
      <c r="TEH116" s="17"/>
      <c r="TEI116" s="17"/>
      <c r="TEJ116" s="17"/>
      <c r="TEK116" s="17"/>
      <c r="TEL116" s="17"/>
      <c r="TEM116" s="17"/>
      <c r="TEN116" s="17"/>
      <c r="TEO116" s="17"/>
      <c r="TEP116" s="17"/>
      <c r="TEQ116" s="17"/>
      <c r="TER116" s="17"/>
      <c r="TES116" s="17"/>
      <c r="TET116" s="17"/>
      <c r="TEU116" s="17"/>
      <c r="TEV116" s="17"/>
      <c r="TEW116" s="17"/>
      <c r="TEX116" s="17"/>
      <c r="TEY116" s="17"/>
      <c r="TEZ116" s="17"/>
      <c r="TFA116" s="17"/>
      <c r="TFB116" s="17"/>
      <c r="TFC116" s="17"/>
      <c r="TFD116" s="17"/>
      <c r="TFE116" s="17"/>
      <c r="TFF116" s="17"/>
      <c r="TFG116" s="17"/>
      <c r="TFH116" s="17"/>
      <c r="TFI116" s="17"/>
      <c r="TFJ116" s="17"/>
      <c r="TFK116" s="17"/>
      <c r="TFL116" s="17"/>
      <c r="TFM116" s="17"/>
      <c r="TFN116" s="17"/>
      <c r="TFO116" s="17"/>
      <c r="TFP116" s="17"/>
      <c r="TFQ116" s="17"/>
      <c r="TFR116" s="17"/>
      <c r="TFS116" s="17"/>
      <c r="TFT116" s="17"/>
      <c r="TFU116" s="17"/>
      <c r="TFV116" s="17"/>
      <c r="TFW116" s="17"/>
      <c r="TFX116" s="17"/>
      <c r="TFY116" s="17"/>
      <c r="TFZ116" s="17"/>
      <c r="TGA116" s="17"/>
      <c r="TGB116" s="17"/>
      <c r="TGC116" s="17"/>
      <c r="TGD116" s="17"/>
      <c r="TGE116" s="17"/>
      <c r="TGF116" s="17"/>
      <c r="TGG116" s="17"/>
      <c r="TGH116" s="17"/>
      <c r="TGI116" s="17"/>
      <c r="TGJ116" s="17"/>
      <c r="TGK116" s="17"/>
      <c r="TGL116" s="17"/>
      <c r="TGM116" s="17"/>
      <c r="TGN116" s="17"/>
      <c r="TGO116" s="17"/>
      <c r="TGP116" s="17"/>
      <c r="TGQ116" s="17"/>
      <c r="TGR116" s="17"/>
      <c r="TGS116" s="17"/>
      <c r="TGT116" s="17"/>
      <c r="TGU116" s="17"/>
      <c r="TGV116" s="17"/>
      <c r="TGW116" s="17"/>
      <c r="TGX116" s="17"/>
      <c r="TGY116" s="17"/>
      <c r="TGZ116" s="17"/>
      <c r="THA116" s="17"/>
      <c r="THB116" s="17"/>
      <c r="THC116" s="17"/>
      <c r="THD116" s="17"/>
      <c r="THE116" s="17"/>
      <c r="THF116" s="17"/>
      <c r="THG116" s="17"/>
      <c r="THH116" s="17"/>
      <c r="THI116" s="17"/>
      <c r="THJ116" s="17"/>
      <c r="THK116" s="17"/>
      <c r="THL116" s="17"/>
      <c r="THM116" s="17"/>
      <c r="THN116" s="17"/>
      <c r="THO116" s="17"/>
      <c r="THP116" s="17"/>
      <c r="THQ116" s="17"/>
      <c r="THR116" s="17"/>
      <c r="THS116" s="17"/>
      <c r="THT116" s="17"/>
      <c r="THU116" s="17"/>
      <c r="THV116" s="17"/>
      <c r="THW116" s="17"/>
      <c r="THX116" s="17"/>
      <c r="THY116" s="17"/>
      <c r="THZ116" s="17"/>
      <c r="TIA116" s="17"/>
      <c r="TIB116" s="17"/>
      <c r="TIC116" s="17"/>
      <c r="TID116" s="17"/>
      <c r="TIE116" s="17"/>
      <c r="TIF116" s="17"/>
      <c r="TIG116" s="17"/>
      <c r="TIH116" s="17"/>
      <c r="TII116" s="17"/>
      <c r="TIJ116" s="17"/>
      <c r="TIK116" s="17"/>
      <c r="TIL116" s="17"/>
      <c r="TIM116" s="17"/>
      <c r="TIN116" s="17"/>
      <c r="TIO116" s="17"/>
      <c r="TIP116" s="17"/>
      <c r="TIQ116" s="17"/>
      <c r="TIR116" s="17"/>
      <c r="TIS116" s="17"/>
      <c r="TIT116" s="17"/>
      <c r="TIU116" s="17"/>
      <c r="TIV116" s="17"/>
      <c r="TIW116" s="17"/>
      <c r="TIX116" s="17"/>
      <c r="TIY116" s="17"/>
      <c r="TIZ116" s="17"/>
      <c r="TJA116" s="17"/>
      <c r="TJB116" s="17"/>
      <c r="TJC116" s="17"/>
      <c r="TJD116" s="17"/>
      <c r="TJE116" s="17"/>
      <c r="TJF116" s="17"/>
      <c r="TJG116" s="17"/>
      <c r="TJH116" s="17"/>
      <c r="TJI116" s="17"/>
      <c r="TJJ116" s="17"/>
      <c r="TJK116" s="17"/>
      <c r="TJL116" s="17"/>
      <c r="TJM116" s="17"/>
      <c r="TJN116" s="17"/>
      <c r="TJO116" s="17"/>
      <c r="TJP116" s="17"/>
      <c r="TJQ116" s="17"/>
      <c r="TJR116" s="17"/>
      <c r="TJS116" s="17"/>
      <c r="TJT116" s="17"/>
      <c r="TJU116" s="17"/>
      <c r="TJV116" s="17"/>
      <c r="TJW116" s="17"/>
      <c r="TJX116" s="17"/>
      <c r="TJY116" s="17"/>
      <c r="TJZ116" s="17"/>
      <c r="TKA116" s="17"/>
      <c r="TKB116" s="17"/>
      <c r="TKC116" s="17"/>
      <c r="TKD116" s="17"/>
      <c r="TKE116" s="17"/>
      <c r="TKF116" s="17"/>
      <c r="TKG116" s="17"/>
      <c r="TKH116" s="17"/>
      <c r="TKI116" s="17"/>
      <c r="TKJ116" s="17"/>
      <c r="TKK116" s="17"/>
      <c r="TKL116" s="17"/>
      <c r="TKM116" s="17"/>
      <c r="TKN116" s="17"/>
      <c r="TKO116" s="17"/>
      <c r="TKP116" s="17"/>
      <c r="TKQ116" s="17"/>
      <c r="TKR116" s="17"/>
      <c r="TKS116" s="17"/>
      <c r="TKT116" s="17"/>
      <c r="TKU116" s="17"/>
      <c r="TKV116" s="17"/>
      <c r="TKW116" s="17"/>
      <c r="TKX116" s="17"/>
      <c r="TKY116" s="17"/>
      <c r="TKZ116" s="17"/>
      <c r="TLA116" s="17"/>
      <c r="TLB116" s="17"/>
      <c r="TLC116" s="17"/>
      <c r="TLD116" s="17"/>
      <c r="TLE116" s="17"/>
      <c r="TLF116" s="17"/>
      <c r="TLG116" s="17"/>
      <c r="TLH116" s="17"/>
      <c r="TLI116" s="17"/>
      <c r="TLJ116" s="17"/>
      <c r="TLK116" s="17"/>
      <c r="TLL116" s="17"/>
      <c r="TLM116" s="17"/>
      <c r="TLN116" s="17"/>
      <c r="TLO116" s="17"/>
      <c r="TLP116" s="17"/>
      <c r="TLQ116" s="17"/>
      <c r="TLR116" s="17"/>
      <c r="TLS116" s="17"/>
      <c r="TLT116" s="17"/>
      <c r="TLU116" s="17"/>
      <c r="TLV116" s="17"/>
      <c r="TLW116" s="17"/>
      <c r="TLX116" s="17"/>
      <c r="TLY116" s="17"/>
      <c r="TLZ116" s="17"/>
      <c r="TMA116" s="17"/>
      <c r="TMB116" s="17"/>
      <c r="TMC116" s="17"/>
      <c r="TMD116" s="17"/>
      <c r="TME116" s="17"/>
      <c r="TMF116" s="17"/>
      <c r="TMG116" s="17"/>
      <c r="TMH116" s="17"/>
      <c r="TMI116" s="17"/>
      <c r="TMJ116" s="17"/>
      <c r="TMK116" s="17"/>
      <c r="TML116" s="17"/>
      <c r="TMM116" s="17"/>
      <c r="TMN116" s="17"/>
      <c r="TMO116" s="17"/>
      <c r="TMP116" s="17"/>
      <c r="TMQ116" s="17"/>
      <c r="TMR116" s="17"/>
      <c r="TMS116" s="17"/>
      <c r="TMT116" s="17"/>
      <c r="TMU116" s="17"/>
      <c r="TMV116" s="17"/>
      <c r="TMW116" s="17"/>
      <c r="TMX116" s="17"/>
      <c r="TMY116" s="17"/>
      <c r="TMZ116" s="17"/>
      <c r="TNA116" s="17"/>
      <c r="TNB116" s="17"/>
      <c r="TNC116" s="17"/>
      <c r="TND116" s="17"/>
      <c r="TNE116" s="17"/>
      <c r="TNF116" s="17"/>
      <c r="TNG116" s="17"/>
      <c r="TNH116" s="17"/>
      <c r="TNI116" s="17"/>
      <c r="TNJ116" s="17"/>
      <c r="TNK116" s="17"/>
      <c r="TNL116" s="17"/>
      <c r="TNM116" s="17"/>
      <c r="TNN116" s="17"/>
      <c r="TNO116" s="17"/>
      <c r="TNP116" s="17"/>
      <c r="TNQ116" s="17"/>
      <c r="TNR116" s="17"/>
      <c r="TNS116" s="17"/>
      <c r="TNT116" s="17"/>
      <c r="TNU116" s="17"/>
      <c r="TNV116" s="17"/>
      <c r="TNW116" s="17"/>
      <c r="TNX116" s="17"/>
      <c r="TNY116" s="17"/>
      <c r="TNZ116" s="17"/>
      <c r="TOA116" s="17"/>
      <c r="TOB116" s="17"/>
      <c r="TOC116" s="17"/>
      <c r="TOD116" s="17"/>
      <c r="TOE116" s="17"/>
      <c r="TOF116" s="17"/>
      <c r="TOG116" s="17"/>
      <c r="TOH116" s="17"/>
      <c r="TOI116" s="17"/>
      <c r="TOJ116" s="17"/>
      <c r="TOK116" s="17"/>
      <c r="TOL116" s="17"/>
      <c r="TOM116" s="17"/>
      <c r="TON116" s="17"/>
      <c r="TOO116" s="17"/>
      <c r="TOP116" s="17"/>
      <c r="TOQ116" s="17"/>
      <c r="TOR116" s="17"/>
      <c r="TOS116" s="17"/>
      <c r="TOT116" s="17"/>
      <c r="TOU116" s="17"/>
      <c r="TOV116" s="17"/>
      <c r="TOW116" s="17"/>
      <c r="TOX116" s="17"/>
      <c r="TOY116" s="17"/>
      <c r="TOZ116" s="17"/>
      <c r="TPA116" s="17"/>
      <c r="TPB116" s="17"/>
      <c r="TPC116" s="17"/>
      <c r="TPD116" s="17"/>
      <c r="TPE116" s="17"/>
      <c r="TPF116" s="17"/>
      <c r="TPG116" s="17"/>
      <c r="TPH116" s="17"/>
      <c r="TPI116" s="17"/>
      <c r="TPJ116" s="17"/>
      <c r="TPK116" s="17"/>
      <c r="TPL116" s="17"/>
      <c r="TPM116" s="17"/>
      <c r="TPN116" s="17"/>
      <c r="TPO116" s="17"/>
      <c r="TPP116" s="17"/>
      <c r="TPQ116" s="17"/>
      <c r="TPR116" s="17"/>
      <c r="TPS116" s="17"/>
      <c r="TPT116" s="17"/>
      <c r="TPU116" s="17"/>
      <c r="TPV116" s="17"/>
      <c r="TPW116" s="17"/>
      <c r="TPX116" s="17"/>
      <c r="TPY116" s="17"/>
      <c r="TPZ116" s="17"/>
      <c r="TQA116" s="17"/>
      <c r="TQB116" s="17"/>
      <c r="TQC116" s="17"/>
      <c r="TQD116" s="17"/>
      <c r="TQE116" s="17"/>
      <c r="TQF116" s="17"/>
      <c r="TQG116" s="17"/>
      <c r="TQH116" s="17"/>
      <c r="TQI116" s="17"/>
      <c r="TQJ116" s="17"/>
      <c r="TQK116" s="17"/>
      <c r="TQL116" s="17"/>
      <c r="TQM116" s="17"/>
      <c r="TQN116" s="17"/>
      <c r="TQO116" s="17"/>
      <c r="TQP116" s="17"/>
      <c r="TQQ116" s="17"/>
      <c r="TQR116" s="17"/>
      <c r="TQS116" s="17"/>
      <c r="TQT116" s="17"/>
      <c r="TQU116" s="17"/>
      <c r="TQV116" s="17"/>
      <c r="TQW116" s="17"/>
      <c r="TQX116" s="17"/>
      <c r="TQY116" s="17"/>
      <c r="TQZ116" s="17"/>
      <c r="TRA116" s="17"/>
      <c r="TRB116" s="17"/>
      <c r="TRC116" s="17"/>
      <c r="TRD116" s="17"/>
      <c r="TRE116" s="17"/>
      <c r="TRF116" s="17"/>
      <c r="TRG116" s="17"/>
      <c r="TRH116" s="17"/>
      <c r="TRI116" s="17"/>
      <c r="TRJ116" s="17"/>
      <c r="TRK116" s="17"/>
      <c r="TRL116" s="17"/>
      <c r="TRM116" s="17"/>
      <c r="TRN116" s="17"/>
      <c r="TRO116" s="17"/>
      <c r="TRP116" s="17"/>
      <c r="TRQ116" s="17"/>
      <c r="TRR116" s="17"/>
      <c r="TRS116" s="17"/>
      <c r="TRT116" s="17"/>
      <c r="TRU116" s="17"/>
      <c r="TRV116" s="17"/>
      <c r="TRW116" s="17"/>
      <c r="TRX116" s="17"/>
      <c r="TRY116" s="17"/>
      <c r="TRZ116" s="17"/>
      <c r="TSA116" s="17"/>
      <c r="TSB116" s="17"/>
      <c r="TSC116" s="17"/>
      <c r="TSD116" s="17"/>
      <c r="TSE116" s="17"/>
      <c r="TSF116" s="17"/>
      <c r="TSG116" s="17"/>
      <c r="TSH116" s="17"/>
      <c r="TSI116" s="17"/>
      <c r="TSJ116" s="17"/>
      <c r="TSK116" s="17"/>
      <c r="TSL116" s="17"/>
      <c r="TSM116" s="17"/>
      <c r="TSN116" s="17"/>
      <c r="TSO116" s="17"/>
      <c r="TSP116" s="17"/>
      <c r="TSQ116" s="17"/>
      <c r="TSR116" s="17"/>
      <c r="TSS116" s="17"/>
      <c r="TST116" s="17"/>
      <c r="TSU116" s="17"/>
      <c r="TSV116" s="17"/>
      <c r="TSW116" s="17"/>
      <c r="TSX116" s="17"/>
      <c r="TSY116" s="17"/>
      <c r="TSZ116" s="17"/>
      <c r="TTA116" s="17"/>
      <c r="TTB116" s="17"/>
      <c r="TTC116" s="17"/>
      <c r="TTD116" s="17"/>
      <c r="TTE116" s="17"/>
      <c r="TTF116" s="17"/>
      <c r="TTG116" s="17"/>
      <c r="TTH116" s="17"/>
      <c r="TTI116" s="17"/>
      <c r="TTJ116" s="17"/>
      <c r="TTK116" s="17"/>
      <c r="TTL116" s="17"/>
      <c r="TTM116" s="17"/>
      <c r="TTN116" s="17"/>
      <c r="TTO116" s="17"/>
      <c r="TTP116" s="17"/>
      <c r="TTQ116" s="17"/>
      <c r="TTR116" s="17"/>
      <c r="TTS116" s="17"/>
      <c r="TTT116" s="17"/>
      <c r="TTU116" s="17"/>
      <c r="TTV116" s="17"/>
      <c r="TTW116" s="17"/>
      <c r="TTX116" s="17"/>
      <c r="TTY116" s="17"/>
      <c r="TTZ116" s="17"/>
      <c r="TUA116" s="17"/>
      <c r="TUB116" s="17"/>
      <c r="TUC116" s="17"/>
      <c r="TUD116" s="17"/>
      <c r="TUE116" s="17"/>
      <c r="TUF116" s="17"/>
      <c r="TUG116" s="17"/>
      <c r="TUH116" s="17"/>
      <c r="TUI116" s="17"/>
      <c r="TUJ116" s="17"/>
      <c r="TUK116" s="17"/>
      <c r="TUL116" s="17"/>
      <c r="TUM116" s="17"/>
      <c r="TUN116" s="17"/>
      <c r="TUO116" s="17"/>
      <c r="TUP116" s="17"/>
      <c r="TUQ116" s="17"/>
      <c r="TUR116" s="17"/>
      <c r="TUS116" s="17"/>
      <c r="TUT116" s="17"/>
      <c r="TUU116" s="17"/>
      <c r="TUV116" s="17"/>
      <c r="TUW116" s="17"/>
      <c r="TUX116" s="17"/>
      <c r="TUY116" s="17"/>
      <c r="TUZ116" s="17"/>
      <c r="TVA116" s="17"/>
      <c r="TVB116" s="17"/>
      <c r="TVC116" s="17"/>
      <c r="TVD116" s="17"/>
      <c r="TVE116" s="17"/>
      <c r="TVF116" s="17"/>
      <c r="TVG116" s="17"/>
      <c r="TVH116" s="17"/>
      <c r="TVI116" s="17"/>
      <c r="TVJ116" s="17"/>
      <c r="TVK116" s="17"/>
      <c r="TVL116" s="17"/>
      <c r="TVM116" s="17"/>
      <c r="TVN116" s="17"/>
      <c r="TVO116" s="17"/>
      <c r="TVP116" s="17"/>
      <c r="TVQ116" s="17"/>
      <c r="TVR116" s="17"/>
      <c r="TVS116" s="17"/>
      <c r="TVT116" s="17"/>
      <c r="TVU116" s="17"/>
      <c r="TVV116" s="17"/>
      <c r="TVW116" s="17"/>
      <c r="TVX116" s="17"/>
      <c r="TVY116" s="17"/>
      <c r="TVZ116" s="17"/>
      <c r="TWA116" s="17"/>
      <c r="TWB116" s="17"/>
      <c r="TWC116" s="17"/>
      <c r="TWD116" s="17"/>
      <c r="TWE116" s="17"/>
      <c r="TWF116" s="17"/>
      <c r="TWG116" s="17"/>
      <c r="TWH116" s="17"/>
      <c r="TWI116" s="17"/>
      <c r="TWJ116" s="17"/>
      <c r="TWK116" s="17"/>
      <c r="TWL116" s="17"/>
      <c r="TWM116" s="17"/>
      <c r="TWN116" s="17"/>
      <c r="TWO116" s="17"/>
      <c r="TWP116" s="17"/>
      <c r="TWQ116" s="17"/>
      <c r="TWR116" s="17"/>
      <c r="TWS116" s="17"/>
      <c r="TWT116" s="17"/>
      <c r="TWU116" s="17"/>
      <c r="TWV116" s="17"/>
      <c r="TWW116" s="17"/>
      <c r="TWX116" s="17"/>
      <c r="TWY116" s="17"/>
      <c r="TWZ116" s="17"/>
      <c r="TXA116" s="17"/>
      <c r="TXB116" s="17"/>
      <c r="TXC116" s="17"/>
      <c r="TXD116" s="17"/>
      <c r="TXE116" s="17"/>
      <c r="TXF116" s="17"/>
      <c r="TXG116" s="17"/>
      <c r="TXH116" s="17"/>
      <c r="TXI116" s="17"/>
      <c r="TXJ116" s="17"/>
      <c r="TXK116" s="17"/>
      <c r="TXL116" s="17"/>
      <c r="TXM116" s="17"/>
      <c r="TXN116" s="17"/>
      <c r="TXO116" s="17"/>
      <c r="TXP116" s="17"/>
      <c r="TXQ116" s="17"/>
      <c r="TXR116" s="17"/>
      <c r="TXS116" s="17"/>
      <c r="TXT116" s="17"/>
      <c r="TXU116" s="17"/>
      <c r="TXV116" s="17"/>
      <c r="TXW116" s="17"/>
      <c r="TXX116" s="17"/>
      <c r="TXY116" s="17"/>
      <c r="TXZ116" s="17"/>
      <c r="TYA116" s="17"/>
      <c r="TYB116" s="17"/>
      <c r="TYC116" s="17"/>
      <c r="TYD116" s="17"/>
      <c r="TYE116" s="17"/>
      <c r="TYF116" s="17"/>
      <c r="TYG116" s="17"/>
      <c r="TYH116" s="17"/>
      <c r="TYI116" s="17"/>
      <c r="TYJ116" s="17"/>
      <c r="TYK116" s="17"/>
      <c r="TYL116" s="17"/>
      <c r="TYM116" s="17"/>
      <c r="TYN116" s="17"/>
      <c r="TYO116" s="17"/>
      <c r="TYP116" s="17"/>
      <c r="TYQ116" s="17"/>
      <c r="TYR116" s="17"/>
      <c r="TYS116" s="17"/>
      <c r="TYT116" s="17"/>
      <c r="TYU116" s="17"/>
      <c r="TYV116" s="17"/>
      <c r="TYW116" s="17"/>
      <c r="TYX116" s="17"/>
      <c r="TYY116" s="17"/>
      <c r="TYZ116" s="17"/>
      <c r="TZA116" s="17"/>
      <c r="TZB116" s="17"/>
      <c r="TZC116" s="17"/>
      <c r="TZD116" s="17"/>
      <c r="TZE116" s="17"/>
      <c r="TZF116" s="17"/>
      <c r="TZG116" s="17"/>
      <c r="TZH116" s="17"/>
      <c r="TZI116" s="17"/>
      <c r="TZJ116" s="17"/>
      <c r="TZK116" s="17"/>
      <c r="TZL116" s="17"/>
      <c r="TZM116" s="17"/>
      <c r="TZN116" s="17"/>
      <c r="TZO116" s="17"/>
      <c r="TZP116" s="17"/>
      <c r="TZQ116" s="17"/>
      <c r="TZR116" s="17"/>
      <c r="TZS116" s="17"/>
      <c r="TZT116" s="17"/>
      <c r="TZU116" s="17"/>
      <c r="TZV116" s="17"/>
      <c r="TZW116" s="17"/>
      <c r="TZX116" s="17"/>
      <c r="TZY116" s="17"/>
      <c r="TZZ116" s="17"/>
      <c r="UAA116" s="17"/>
      <c r="UAB116" s="17"/>
      <c r="UAC116" s="17"/>
      <c r="UAD116" s="17"/>
      <c r="UAE116" s="17"/>
      <c r="UAF116" s="17"/>
      <c r="UAG116" s="17"/>
      <c r="UAH116" s="17"/>
      <c r="UAI116" s="17"/>
      <c r="UAJ116" s="17"/>
      <c r="UAK116" s="17"/>
      <c r="UAL116" s="17"/>
      <c r="UAM116" s="17"/>
      <c r="UAN116" s="17"/>
      <c r="UAO116" s="17"/>
      <c r="UAP116" s="17"/>
      <c r="UAQ116" s="17"/>
      <c r="UAR116" s="17"/>
      <c r="UAS116" s="17"/>
      <c r="UAT116" s="17"/>
      <c r="UAU116" s="17"/>
      <c r="UAV116" s="17"/>
      <c r="UAW116" s="17"/>
      <c r="UAX116" s="17"/>
      <c r="UAY116" s="17"/>
      <c r="UAZ116" s="17"/>
      <c r="UBA116" s="17"/>
      <c r="UBB116" s="17"/>
      <c r="UBC116" s="17"/>
      <c r="UBD116" s="17"/>
      <c r="UBE116" s="17"/>
      <c r="UBF116" s="17"/>
      <c r="UBG116" s="17"/>
      <c r="UBH116" s="17"/>
      <c r="UBI116" s="17"/>
      <c r="UBJ116" s="17"/>
      <c r="UBK116" s="17"/>
      <c r="UBL116" s="17"/>
      <c r="UBM116" s="17"/>
      <c r="UBN116" s="17"/>
      <c r="UBO116" s="17"/>
      <c r="UBP116" s="17"/>
      <c r="UBQ116" s="17"/>
      <c r="UBR116" s="17"/>
      <c r="UBS116" s="17"/>
      <c r="UBT116" s="17"/>
      <c r="UBU116" s="17"/>
      <c r="UBV116" s="17"/>
      <c r="UBW116" s="17"/>
      <c r="UBX116" s="17"/>
      <c r="UBY116" s="17"/>
      <c r="UBZ116" s="17"/>
      <c r="UCA116" s="17"/>
      <c r="UCB116" s="17"/>
      <c r="UCC116" s="17"/>
      <c r="UCD116" s="17"/>
      <c r="UCE116" s="17"/>
      <c r="UCF116" s="17"/>
      <c r="UCG116" s="17"/>
      <c r="UCH116" s="17"/>
      <c r="UCI116" s="17"/>
      <c r="UCJ116" s="17"/>
      <c r="UCK116" s="17"/>
      <c r="UCL116" s="17"/>
      <c r="UCM116" s="17"/>
      <c r="UCN116" s="17"/>
      <c r="UCO116" s="17"/>
      <c r="UCP116" s="17"/>
      <c r="UCQ116" s="17"/>
      <c r="UCR116" s="17"/>
      <c r="UCS116" s="17"/>
      <c r="UCT116" s="17"/>
      <c r="UCU116" s="17"/>
      <c r="UCV116" s="17"/>
      <c r="UCW116" s="17"/>
      <c r="UCX116" s="17"/>
      <c r="UCY116" s="17"/>
      <c r="UCZ116" s="17"/>
      <c r="UDA116" s="17"/>
      <c r="UDB116" s="17"/>
      <c r="UDC116" s="17"/>
      <c r="UDD116" s="17"/>
      <c r="UDE116" s="17"/>
      <c r="UDF116" s="17"/>
      <c r="UDG116" s="17"/>
      <c r="UDH116" s="17"/>
      <c r="UDI116" s="17"/>
      <c r="UDJ116" s="17"/>
      <c r="UDK116" s="17"/>
      <c r="UDL116" s="17"/>
      <c r="UDM116" s="17"/>
      <c r="UDN116" s="17"/>
      <c r="UDO116" s="17"/>
      <c r="UDP116" s="17"/>
      <c r="UDQ116" s="17"/>
      <c r="UDR116" s="17"/>
      <c r="UDS116" s="17"/>
      <c r="UDT116" s="17"/>
      <c r="UDU116" s="17"/>
      <c r="UDV116" s="17"/>
      <c r="UDW116" s="17"/>
      <c r="UDX116" s="17"/>
      <c r="UDY116" s="17"/>
      <c r="UDZ116" s="17"/>
      <c r="UEA116" s="17"/>
      <c r="UEB116" s="17"/>
      <c r="UEC116" s="17"/>
      <c r="UED116" s="17"/>
      <c r="UEE116" s="17"/>
      <c r="UEF116" s="17"/>
      <c r="UEG116" s="17"/>
      <c r="UEH116" s="17"/>
      <c r="UEI116" s="17"/>
      <c r="UEJ116" s="17"/>
      <c r="UEK116" s="17"/>
      <c r="UEL116" s="17"/>
      <c r="UEM116" s="17"/>
      <c r="UEN116" s="17"/>
      <c r="UEO116" s="17"/>
      <c r="UEP116" s="17"/>
      <c r="UEQ116" s="17"/>
      <c r="UER116" s="17"/>
      <c r="UES116" s="17"/>
      <c r="UET116" s="17"/>
      <c r="UEU116" s="17"/>
      <c r="UEV116" s="17"/>
      <c r="UEW116" s="17"/>
      <c r="UEX116" s="17"/>
      <c r="UEY116" s="17"/>
      <c r="UEZ116" s="17"/>
      <c r="UFA116" s="17"/>
      <c r="UFB116" s="17"/>
      <c r="UFC116" s="17"/>
      <c r="UFD116" s="17"/>
      <c r="UFE116" s="17"/>
      <c r="UFF116" s="17"/>
      <c r="UFG116" s="17"/>
      <c r="UFH116" s="17"/>
      <c r="UFI116" s="17"/>
      <c r="UFJ116" s="17"/>
      <c r="UFK116" s="17"/>
      <c r="UFL116" s="17"/>
      <c r="UFM116" s="17"/>
      <c r="UFN116" s="17"/>
      <c r="UFO116" s="17"/>
      <c r="UFP116" s="17"/>
      <c r="UFQ116" s="17"/>
      <c r="UFR116" s="17"/>
      <c r="UFS116" s="17"/>
      <c r="UFT116" s="17"/>
      <c r="UFU116" s="17"/>
      <c r="UFV116" s="17"/>
      <c r="UFW116" s="17"/>
      <c r="UFX116" s="17"/>
      <c r="UFY116" s="17"/>
      <c r="UFZ116" s="17"/>
      <c r="UGA116" s="17"/>
      <c r="UGB116" s="17"/>
      <c r="UGC116" s="17"/>
      <c r="UGD116" s="17"/>
      <c r="UGE116" s="17"/>
      <c r="UGF116" s="17"/>
      <c r="UGG116" s="17"/>
      <c r="UGH116" s="17"/>
      <c r="UGI116" s="17"/>
      <c r="UGJ116" s="17"/>
      <c r="UGK116" s="17"/>
      <c r="UGL116" s="17"/>
      <c r="UGM116" s="17"/>
      <c r="UGN116" s="17"/>
      <c r="UGO116" s="17"/>
      <c r="UGP116" s="17"/>
      <c r="UGQ116" s="17"/>
      <c r="UGR116" s="17"/>
      <c r="UGS116" s="17"/>
      <c r="UGT116" s="17"/>
      <c r="UGU116" s="17"/>
      <c r="UGV116" s="17"/>
      <c r="UGW116" s="17"/>
      <c r="UGX116" s="17"/>
      <c r="UGY116" s="17"/>
      <c r="UGZ116" s="17"/>
      <c r="UHA116" s="17"/>
      <c r="UHB116" s="17"/>
      <c r="UHC116" s="17"/>
      <c r="UHD116" s="17"/>
      <c r="UHE116" s="17"/>
      <c r="UHF116" s="17"/>
      <c r="UHG116" s="17"/>
      <c r="UHH116" s="17"/>
      <c r="UHI116" s="17"/>
      <c r="UHJ116" s="17"/>
      <c r="UHK116" s="17"/>
      <c r="UHL116" s="17"/>
      <c r="UHM116" s="17"/>
      <c r="UHN116" s="17"/>
      <c r="UHO116" s="17"/>
      <c r="UHP116" s="17"/>
      <c r="UHQ116" s="17"/>
      <c r="UHR116" s="17"/>
      <c r="UHS116" s="17"/>
      <c r="UHT116" s="17"/>
      <c r="UHU116" s="17"/>
      <c r="UHV116" s="17"/>
      <c r="UHW116" s="17"/>
      <c r="UHX116" s="17"/>
      <c r="UHY116" s="17"/>
      <c r="UHZ116" s="17"/>
      <c r="UIA116" s="17"/>
      <c r="UIB116" s="17"/>
      <c r="UIC116" s="17"/>
      <c r="UID116" s="17"/>
      <c r="UIE116" s="17"/>
      <c r="UIF116" s="17"/>
      <c r="UIG116" s="17"/>
      <c r="UIH116" s="17"/>
      <c r="UII116" s="17"/>
      <c r="UIJ116" s="17"/>
      <c r="UIK116" s="17"/>
      <c r="UIL116" s="17"/>
      <c r="UIM116" s="17"/>
      <c r="UIN116" s="17"/>
      <c r="UIO116" s="17"/>
      <c r="UIP116" s="17"/>
      <c r="UIQ116" s="17"/>
      <c r="UIR116" s="17"/>
      <c r="UIS116" s="17"/>
      <c r="UIT116" s="17"/>
      <c r="UIU116" s="17"/>
      <c r="UIV116" s="17"/>
      <c r="UIW116" s="17"/>
      <c r="UIX116" s="17"/>
      <c r="UIY116" s="17"/>
      <c r="UIZ116" s="17"/>
      <c r="UJA116" s="17"/>
      <c r="UJB116" s="17"/>
      <c r="UJC116" s="17"/>
      <c r="UJD116" s="17"/>
      <c r="UJE116" s="17"/>
      <c r="UJF116" s="17"/>
      <c r="UJG116" s="17"/>
      <c r="UJH116" s="17"/>
      <c r="UJI116" s="17"/>
      <c r="UJJ116" s="17"/>
      <c r="UJK116" s="17"/>
      <c r="UJL116" s="17"/>
      <c r="UJM116" s="17"/>
      <c r="UJN116" s="17"/>
      <c r="UJO116" s="17"/>
      <c r="UJP116" s="17"/>
      <c r="UJQ116" s="17"/>
      <c r="UJR116" s="17"/>
      <c r="UJS116" s="17"/>
      <c r="UJT116" s="17"/>
      <c r="UJU116" s="17"/>
      <c r="UJV116" s="17"/>
      <c r="UJW116" s="17"/>
      <c r="UJX116" s="17"/>
      <c r="UJY116" s="17"/>
      <c r="UJZ116" s="17"/>
      <c r="UKA116" s="17"/>
      <c r="UKB116" s="17"/>
      <c r="UKC116" s="17"/>
      <c r="UKD116" s="17"/>
      <c r="UKE116" s="17"/>
      <c r="UKF116" s="17"/>
      <c r="UKG116" s="17"/>
      <c r="UKH116" s="17"/>
      <c r="UKI116" s="17"/>
      <c r="UKJ116" s="17"/>
      <c r="UKK116" s="17"/>
      <c r="UKL116" s="17"/>
      <c r="UKM116" s="17"/>
      <c r="UKN116" s="17"/>
      <c r="UKO116" s="17"/>
      <c r="UKP116" s="17"/>
      <c r="UKQ116" s="17"/>
      <c r="UKR116" s="17"/>
      <c r="UKS116" s="17"/>
      <c r="UKT116" s="17"/>
      <c r="UKU116" s="17"/>
      <c r="UKV116" s="17"/>
      <c r="UKW116" s="17"/>
      <c r="UKX116" s="17"/>
      <c r="UKY116" s="17"/>
      <c r="UKZ116" s="17"/>
      <c r="ULA116" s="17"/>
      <c r="ULB116" s="17"/>
      <c r="ULC116" s="17"/>
      <c r="ULD116" s="17"/>
      <c r="ULE116" s="17"/>
      <c r="ULF116" s="17"/>
      <c r="ULG116" s="17"/>
      <c r="ULH116" s="17"/>
      <c r="ULI116" s="17"/>
      <c r="ULJ116" s="17"/>
      <c r="ULK116" s="17"/>
      <c r="ULL116" s="17"/>
      <c r="ULM116" s="17"/>
      <c r="ULN116" s="17"/>
      <c r="ULO116" s="17"/>
      <c r="ULP116" s="17"/>
      <c r="ULQ116" s="17"/>
      <c r="ULR116" s="17"/>
      <c r="ULS116" s="17"/>
      <c r="ULT116" s="17"/>
      <c r="ULU116" s="17"/>
      <c r="ULV116" s="17"/>
      <c r="ULW116" s="17"/>
      <c r="ULX116" s="17"/>
      <c r="ULY116" s="17"/>
      <c r="ULZ116" s="17"/>
      <c r="UMA116" s="17"/>
      <c r="UMB116" s="17"/>
      <c r="UMC116" s="17"/>
      <c r="UMD116" s="17"/>
      <c r="UME116" s="17"/>
      <c r="UMF116" s="17"/>
      <c r="UMG116" s="17"/>
      <c r="UMH116" s="17"/>
      <c r="UMI116" s="17"/>
      <c r="UMJ116" s="17"/>
      <c r="UMK116" s="17"/>
      <c r="UML116" s="17"/>
      <c r="UMM116" s="17"/>
      <c r="UMN116" s="17"/>
      <c r="UMO116" s="17"/>
      <c r="UMP116" s="17"/>
      <c r="UMQ116" s="17"/>
      <c r="UMR116" s="17"/>
      <c r="UMS116" s="17"/>
      <c r="UMT116" s="17"/>
      <c r="UMU116" s="17"/>
      <c r="UMV116" s="17"/>
      <c r="UMW116" s="17"/>
      <c r="UMX116" s="17"/>
      <c r="UMY116" s="17"/>
      <c r="UMZ116" s="17"/>
      <c r="UNA116" s="17"/>
      <c r="UNB116" s="17"/>
      <c r="UNC116" s="17"/>
      <c r="UND116" s="17"/>
      <c r="UNE116" s="17"/>
      <c r="UNF116" s="17"/>
      <c r="UNG116" s="17"/>
      <c r="UNH116" s="17"/>
      <c r="UNI116" s="17"/>
      <c r="UNJ116" s="17"/>
      <c r="UNK116" s="17"/>
      <c r="UNL116" s="17"/>
      <c r="UNM116" s="17"/>
      <c r="UNN116" s="17"/>
      <c r="UNO116" s="17"/>
      <c r="UNP116" s="17"/>
      <c r="UNQ116" s="17"/>
      <c r="UNR116" s="17"/>
      <c r="UNS116" s="17"/>
      <c r="UNT116" s="17"/>
      <c r="UNU116" s="17"/>
      <c r="UNV116" s="17"/>
      <c r="UNW116" s="17"/>
      <c r="UNX116" s="17"/>
      <c r="UNY116" s="17"/>
      <c r="UNZ116" s="17"/>
      <c r="UOA116" s="17"/>
      <c r="UOB116" s="17"/>
      <c r="UOC116" s="17"/>
      <c r="UOD116" s="17"/>
      <c r="UOE116" s="17"/>
      <c r="UOF116" s="17"/>
      <c r="UOG116" s="17"/>
      <c r="UOH116" s="17"/>
      <c r="UOI116" s="17"/>
      <c r="UOJ116" s="17"/>
      <c r="UOK116" s="17"/>
      <c r="UOL116" s="17"/>
      <c r="UOM116" s="17"/>
      <c r="UON116" s="17"/>
      <c r="UOO116" s="17"/>
      <c r="UOP116" s="17"/>
      <c r="UOQ116" s="17"/>
      <c r="UOR116" s="17"/>
      <c r="UOS116" s="17"/>
      <c r="UOT116" s="17"/>
      <c r="UOU116" s="17"/>
      <c r="UOV116" s="17"/>
      <c r="UOW116" s="17"/>
      <c r="UOX116" s="17"/>
      <c r="UOY116" s="17"/>
      <c r="UOZ116" s="17"/>
      <c r="UPA116" s="17"/>
      <c r="UPB116" s="17"/>
      <c r="UPC116" s="17"/>
      <c r="UPD116" s="17"/>
      <c r="UPE116" s="17"/>
      <c r="UPF116" s="17"/>
      <c r="UPG116" s="17"/>
      <c r="UPH116" s="17"/>
      <c r="UPI116" s="17"/>
      <c r="UPJ116" s="17"/>
      <c r="UPK116" s="17"/>
      <c r="UPL116" s="17"/>
      <c r="UPM116" s="17"/>
      <c r="UPN116" s="17"/>
      <c r="UPO116" s="17"/>
      <c r="UPP116" s="17"/>
      <c r="UPQ116" s="17"/>
      <c r="UPR116" s="17"/>
      <c r="UPS116" s="17"/>
      <c r="UPT116" s="17"/>
      <c r="UPU116" s="17"/>
      <c r="UPV116" s="17"/>
      <c r="UPW116" s="17"/>
      <c r="UPX116" s="17"/>
      <c r="UPY116" s="17"/>
      <c r="UPZ116" s="17"/>
      <c r="UQA116" s="17"/>
      <c r="UQB116" s="17"/>
      <c r="UQC116" s="17"/>
      <c r="UQD116" s="17"/>
      <c r="UQE116" s="17"/>
      <c r="UQF116" s="17"/>
      <c r="UQG116" s="17"/>
      <c r="UQH116" s="17"/>
      <c r="UQI116" s="17"/>
      <c r="UQJ116" s="17"/>
      <c r="UQK116" s="17"/>
      <c r="UQL116" s="17"/>
      <c r="UQM116" s="17"/>
      <c r="UQN116" s="17"/>
      <c r="UQO116" s="17"/>
      <c r="UQP116" s="17"/>
      <c r="UQQ116" s="17"/>
      <c r="UQR116" s="17"/>
      <c r="UQS116" s="17"/>
      <c r="UQT116" s="17"/>
      <c r="UQU116" s="17"/>
      <c r="UQV116" s="17"/>
      <c r="UQW116" s="17"/>
      <c r="UQX116" s="17"/>
      <c r="UQY116" s="17"/>
      <c r="UQZ116" s="17"/>
      <c r="URA116" s="17"/>
      <c r="URB116" s="17"/>
      <c r="URC116" s="17"/>
      <c r="URD116" s="17"/>
      <c r="URE116" s="17"/>
      <c r="URF116" s="17"/>
      <c r="URG116" s="17"/>
      <c r="URH116" s="17"/>
      <c r="URI116" s="17"/>
      <c r="URJ116" s="17"/>
      <c r="URK116" s="17"/>
      <c r="URL116" s="17"/>
      <c r="URM116" s="17"/>
      <c r="URN116" s="17"/>
      <c r="URO116" s="17"/>
      <c r="URP116" s="17"/>
      <c r="URQ116" s="17"/>
      <c r="URR116" s="17"/>
      <c r="URS116" s="17"/>
      <c r="URT116" s="17"/>
      <c r="URU116" s="17"/>
      <c r="URV116" s="17"/>
      <c r="URW116" s="17"/>
      <c r="URX116" s="17"/>
      <c r="URY116" s="17"/>
      <c r="URZ116" s="17"/>
      <c r="USA116" s="17"/>
      <c r="USB116" s="17"/>
      <c r="USC116" s="17"/>
      <c r="USD116" s="17"/>
      <c r="USE116" s="17"/>
      <c r="USF116" s="17"/>
      <c r="USG116" s="17"/>
      <c r="USH116" s="17"/>
      <c r="USI116" s="17"/>
      <c r="USJ116" s="17"/>
      <c r="USK116" s="17"/>
      <c r="USL116" s="17"/>
      <c r="USM116" s="17"/>
      <c r="USN116" s="17"/>
      <c r="USO116" s="17"/>
      <c r="USP116" s="17"/>
      <c r="USQ116" s="17"/>
      <c r="USR116" s="17"/>
      <c r="USS116" s="17"/>
      <c r="UST116" s="17"/>
      <c r="USU116" s="17"/>
      <c r="USV116" s="17"/>
      <c r="USW116" s="17"/>
      <c r="USX116" s="17"/>
      <c r="USY116" s="17"/>
      <c r="USZ116" s="17"/>
      <c r="UTA116" s="17"/>
      <c r="UTB116" s="17"/>
      <c r="UTC116" s="17"/>
      <c r="UTD116" s="17"/>
      <c r="UTE116" s="17"/>
      <c r="UTF116" s="17"/>
      <c r="UTG116" s="17"/>
      <c r="UTH116" s="17"/>
      <c r="UTI116" s="17"/>
      <c r="UTJ116" s="17"/>
      <c r="UTK116" s="17"/>
      <c r="UTL116" s="17"/>
      <c r="UTM116" s="17"/>
      <c r="UTN116" s="17"/>
      <c r="UTO116" s="17"/>
      <c r="UTP116" s="17"/>
      <c r="UTQ116" s="17"/>
      <c r="UTR116" s="17"/>
      <c r="UTS116" s="17"/>
      <c r="UTT116" s="17"/>
      <c r="UTU116" s="17"/>
      <c r="UTV116" s="17"/>
      <c r="UTW116" s="17"/>
      <c r="UTX116" s="17"/>
      <c r="UTY116" s="17"/>
      <c r="UTZ116" s="17"/>
      <c r="UUA116" s="17"/>
      <c r="UUB116" s="17"/>
      <c r="UUC116" s="17"/>
      <c r="UUD116" s="17"/>
      <c r="UUE116" s="17"/>
      <c r="UUF116" s="17"/>
      <c r="UUG116" s="17"/>
      <c r="UUH116" s="17"/>
      <c r="UUI116" s="17"/>
      <c r="UUJ116" s="17"/>
      <c r="UUK116" s="17"/>
      <c r="UUL116" s="17"/>
      <c r="UUM116" s="17"/>
      <c r="UUN116" s="17"/>
      <c r="UUO116" s="17"/>
      <c r="UUP116" s="17"/>
      <c r="UUQ116" s="17"/>
      <c r="UUR116" s="17"/>
      <c r="UUS116" s="17"/>
      <c r="UUT116" s="17"/>
      <c r="UUU116" s="17"/>
      <c r="UUV116" s="17"/>
      <c r="UUW116" s="17"/>
      <c r="UUX116" s="17"/>
      <c r="UUY116" s="17"/>
      <c r="UUZ116" s="17"/>
      <c r="UVA116" s="17"/>
      <c r="UVB116" s="17"/>
      <c r="UVC116" s="17"/>
      <c r="UVD116" s="17"/>
      <c r="UVE116" s="17"/>
      <c r="UVF116" s="17"/>
      <c r="UVG116" s="17"/>
      <c r="UVH116" s="17"/>
      <c r="UVI116" s="17"/>
      <c r="UVJ116" s="17"/>
      <c r="UVK116" s="17"/>
      <c r="UVL116" s="17"/>
      <c r="UVM116" s="17"/>
      <c r="UVN116" s="17"/>
      <c r="UVO116" s="17"/>
      <c r="UVP116" s="17"/>
      <c r="UVQ116" s="17"/>
      <c r="UVR116" s="17"/>
      <c r="UVS116" s="17"/>
      <c r="UVT116" s="17"/>
      <c r="UVU116" s="17"/>
      <c r="UVV116" s="17"/>
      <c r="UVW116" s="17"/>
      <c r="UVX116" s="17"/>
      <c r="UVY116" s="17"/>
      <c r="UVZ116" s="17"/>
      <c r="UWA116" s="17"/>
      <c r="UWB116" s="17"/>
      <c r="UWC116" s="17"/>
      <c r="UWD116" s="17"/>
      <c r="UWE116" s="17"/>
      <c r="UWF116" s="17"/>
      <c r="UWG116" s="17"/>
      <c r="UWH116" s="17"/>
      <c r="UWI116" s="17"/>
      <c r="UWJ116" s="17"/>
      <c r="UWK116" s="17"/>
      <c r="UWL116" s="17"/>
      <c r="UWM116" s="17"/>
      <c r="UWN116" s="17"/>
      <c r="UWO116" s="17"/>
      <c r="UWP116" s="17"/>
      <c r="UWQ116" s="17"/>
      <c r="UWR116" s="17"/>
      <c r="UWS116" s="17"/>
      <c r="UWT116" s="17"/>
      <c r="UWU116" s="17"/>
      <c r="UWV116" s="17"/>
      <c r="UWW116" s="17"/>
      <c r="UWX116" s="17"/>
      <c r="UWY116" s="17"/>
      <c r="UWZ116" s="17"/>
      <c r="UXA116" s="17"/>
      <c r="UXB116" s="17"/>
      <c r="UXC116" s="17"/>
      <c r="UXD116" s="17"/>
      <c r="UXE116" s="17"/>
      <c r="UXF116" s="17"/>
      <c r="UXG116" s="17"/>
      <c r="UXH116" s="17"/>
      <c r="UXI116" s="17"/>
      <c r="UXJ116" s="17"/>
      <c r="UXK116" s="17"/>
      <c r="UXL116" s="17"/>
      <c r="UXM116" s="17"/>
      <c r="UXN116" s="17"/>
      <c r="UXO116" s="17"/>
      <c r="UXP116" s="17"/>
      <c r="UXQ116" s="17"/>
      <c r="UXR116" s="17"/>
      <c r="UXS116" s="17"/>
      <c r="UXT116" s="17"/>
      <c r="UXU116" s="17"/>
      <c r="UXV116" s="17"/>
      <c r="UXW116" s="17"/>
      <c r="UXX116" s="17"/>
      <c r="UXY116" s="17"/>
      <c r="UXZ116" s="17"/>
      <c r="UYA116" s="17"/>
      <c r="UYB116" s="17"/>
      <c r="UYC116" s="17"/>
      <c r="UYD116" s="17"/>
      <c r="UYE116" s="17"/>
      <c r="UYF116" s="17"/>
      <c r="UYG116" s="17"/>
      <c r="UYH116" s="17"/>
      <c r="UYI116" s="17"/>
      <c r="UYJ116" s="17"/>
      <c r="UYK116" s="17"/>
      <c r="UYL116" s="17"/>
      <c r="UYM116" s="17"/>
      <c r="UYN116" s="17"/>
      <c r="UYO116" s="17"/>
      <c r="UYP116" s="17"/>
      <c r="UYQ116" s="17"/>
      <c r="UYR116" s="17"/>
      <c r="UYS116" s="17"/>
      <c r="UYT116" s="17"/>
      <c r="UYU116" s="17"/>
      <c r="UYV116" s="17"/>
      <c r="UYW116" s="17"/>
      <c r="UYX116" s="17"/>
      <c r="UYY116" s="17"/>
      <c r="UYZ116" s="17"/>
      <c r="UZA116" s="17"/>
      <c r="UZB116" s="17"/>
      <c r="UZC116" s="17"/>
      <c r="UZD116" s="17"/>
      <c r="UZE116" s="17"/>
      <c r="UZF116" s="17"/>
      <c r="UZG116" s="17"/>
      <c r="UZH116" s="17"/>
      <c r="UZI116" s="17"/>
      <c r="UZJ116" s="17"/>
      <c r="UZK116" s="17"/>
      <c r="UZL116" s="17"/>
      <c r="UZM116" s="17"/>
      <c r="UZN116" s="17"/>
      <c r="UZO116" s="17"/>
      <c r="UZP116" s="17"/>
      <c r="UZQ116" s="17"/>
      <c r="UZR116" s="17"/>
      <c r="UZS116" s="17"/>
      <c r="UZT116" s="17"/>
      <c r="UZU116" s="17"/>
      <c r="UZV116" s="17"/>
      <c r="UZW116" s="17"/>
      <c r="UZX116" s="17"/>
      <c r="UZY116" s="17"/>
      <c r="UZZ116" s="17"/>
      <c r="VAA116" s="17"/>
      <c r="VAB116" s="17"/>
      <c r="VAC116" s="17"/>
      <c r="VAD116" s="17"/>
      <c r="VAE116" s="17"/>
      <c r="VAF116" s="17"/>
      <c r="VAG116" s="17"/>
      <c r="VAH116" s="17"/>
      <c r="VAI116" s="17"/>
      <c r="VAJ116" s="17"/>
      <c r="VAK116" s="17"/>
      <c r="VAL116" s="17"/>
      <c r="VAM116" s="17"/>
      <c r="VAN116" s="17"/>
      <c r="VAO116" s="17"/>
      <c r="VAP116" s="17"/>
      <c r="VAQ116" s="17"/>
      <c r="VAR116" s="17"/>
      <c r="VAS116" s="17"/>
      <c r="VAT116" s="17"/>
      <c r="VAU116" s="17"/>
      <c r="VAV116" s="17"/>
      <c r="VAW116" s="17"/>
      <c r="VAX116" s="17"/>
      <c r="VAY116" s="17"/>
      <c r="VAZ116" s="17"/>
      <c r="VBA116" s="17"/>
      <c r="VBB116" s="17"/>
      <c r="VBC116" s="17"/>
      <c r="VBD116" s="17"/>
      <c r="VBE116" s="17"/>
      <c r="VBF116" s="17"/>
      <c r="VBG116" s="17"/>
      <c r="VBH116" s="17"/>
      <c r="VBI116" s="17"/>
      <c r="VBJ116" s="17"/>
      <c r="VBK116" s="17"/>
      <c r="VBL116" s="17"/>
      <c r="VBM116" s="17"/>
      <c r="VBN116" s="17"/>
      <c r="VBO116" s="17"/>
      <c r="VBP116" s="17"/>
      <c r="VBQ116" s="17"/>
      <c r="VBR116" s="17"/>
      <c r="VBS116" s="17"/>
      <c r="VBT116" s="17"/>
      <c r="VBU116" s="17"/>
      <c r="VBV116" s="17"/>
      <c r="VBW116" s="17"/>
      <c r="VBX116" s="17"/>
      <c r="VBY116" s="17"/>
      <c r="VBZ116" s="17"/>
      <c r="VCA116" s="17"/>
      <c r="VCB116" s="17"/>
      <c r="VCC116" s="17"/>
      <c r="VCD116" s="17"/>
      <c r="VCE116" s="17"/>
      <c r="VCF116" s="17"/>
      <c r="VCG116" s="17"/>
      <c r="VCH116" s="17"/>
      <c r="VCI116" s="17"/>
      <c r="VCJ116" s="17"/>
      <c r="VCK116" s="17"/>
      <c r="VCL116" s="17"/>
      <c r="VCM116" s="17"/>
      <c r="VCN116" s="17"/>
      <c r="VCO116" s="17"/>
      <c r="VCP116" s="17"/>
      <c r="VCQ116" s="17"/>
      <c r="VCR116" s="17"/>
      <c r="VCS116" s="17"/>
      <c r="VCT116" s="17"/>
      <c r="VCU116" s="17"/>
      <c r="VCV116" s="17"/>
      <c r="VCW116" s="17"/>
      <c r="VCX116" s="17"/>
      <c r="VCY116" s="17"/>
      <c r="VCZ116" s="17"/>
      <c r="VDA116" s="17"/>
      <c r="VDB116" s="17"/>
      <c r="VDC116" s="17"/>
      <c r="VDD116" s="17"/>
      <c r="VDE116" s="17"/>
      <c r="VDF116" s="17"/>
      <c r="VDG116" s="17"/>
      <c r="VDH116" s="17"/>
      <c r="VDI116" s="17"/>
      <c r="VDJ116" s="17"/>
      <c r="VDK116" s="17"/>
      <c r="VDL116" s="17"/>
      <c r="VDM116" s="17"/>
      <c r="VDN116" s="17"/>
      <c r="VDO116" s="17"/>
      <c r="VDP116" s="17"/>
      <c r="VDQ116" s="17"/>
      <c r="VDR116" s="17"/>
      <c r="VDS116" s="17"/>
      <c r="VDT116" s="17"/>
      <c r="VDU116" s="17"/>
      <c r="VDV116" s="17"/>
      <c r="VDW116" s="17"/>
      <c r="VDX116" s="17"/>
      <c r="VDY116" s="17"/>
      <c r="VDZ116" s="17"/>
      <c r="VEA116" s="17"/>
      <c r="VEB116" s="17"/>
      <c r="VEC116" s="17"/>
      <c r="VED116" s="17"/>
      <c r="VEE116" s="17"/>
      <c r="VEF116" s="17"/>
      <c r="VEG116" s="17"/>
      <c r="VEH116" s="17"/>
      <c r="VEI116" s="17"/>
      <c r="VEJ116" s="17"/>
      <c r="VEK116" s="17"/>
      <c r="VEL116" s="17"/>
      <c r="VEM116" s="17"/>
      <c r="VEN116" s="17"/>
      <c r="VEO116" s="17"/>
      <c r="VEP116" s="17"/>
      <c r="VEQ116" s="17"/>
      <c r="VER116" s="17"/>
      <c r="VES116" s="17"/>
      <c r="VET116" s="17"/>
      <c r="VEU116" s="17"/>
      <c r="VEV116" s="17"/>
      <c r="VEW116" s="17"/>
      <c r="VEX116" s="17"/>
      <c r="VEY116" s="17"/>
      <c r="VEZ116" s="17"/>
      <c r="VFA116" s="17"/>
      <c r="VFB116" s="17"/>
      <c r="VFC116" s="17"/>
      <c r="VFD116" s="17"/>
      <c r="VFE116" s="17"/>
      <c r="VFF116" s="17"/>
      <c r="VFG116" s="17"/>
      <c r="VFH116" s="17"/>
      <c r="VFI116" s="17"/>
      <c r="VFJ116" s="17"/>
      <c r="VFK116" s="17"/>
      <c r="VFL116" s="17"/>
      <c r="VFM116" s="17"/>
      <c r="VFN116" s="17"/>
      <c r="VFO116" s="17"/>
      <c r="VFP116" s="17"/>
      <c r="VFQ116" s="17"/>
      <c r="VFR116" s="17"/>
      <c r="VFS116" s="17"/>
      <c r="VFT116" s="17"/>
      <c r="VFU116" s="17"/>
      <c r="VFV116" s="17"/>
      <c r="VFW116" s="17"/>
      <c r="VFX116" s="17"/>
      <c r="VFY116" s="17"/>
      <c r="VFZ116" s="17"/>
      <c r="VGA116" s="17"/>
      <c r="VGB116" s="17"/>
      <c r="VGC116" s="17"/>
      <c r="VGD116" s="17"/>
      <c r="VGE116" s="17"/>
      <c r="VGF116" s="17"/>
      <c r="VGG116" s="17"/>
      <c r="VGH116" s="17"/>
      <c r="VGI116" s="17"/>
      <c r="VGJ116" s="17"/>
      <c r="VGK116" s="17"/>
      <c r="VGL116" s="17"/>
      <c r="VGM116" s="17"/>
      <c r="VGN116" s="17"/>
      <c r="VGO116" s="17"/>
      <c r="VGP116" s="17"/>
      <c r="VGQ116" s="17"/>
      <c r="VGR116" s="17"/>
      <c r="VGS116" s="17"/>
      <c r="VGT116" s="17"/>
      <c r="VGU116" s="17"/>
      <c r="VGV116" s="17"/>
      <c r="VGW116" s="17"/>
      <c r="VGX116" s="17"/>
      <c r="VGY116" s="17"/>
      <c r="VGZ116" s="17"/>
      <c r="VHA116" s="17"/>
      <c r="VHB116" s="17"/>
      <c r="VHC116" s="17"/>
      <c r="VHD116" s="17"/>
      <c r="VHE116" s="17"/>
      <c r="VHF116" s="17"/>
      <c r="VHG116" s="17"/>
      <c r="VHH116" s="17"/>
      <c r="VHI116" s="17"/>
      <c r="VHJ116" s="17"/>
      <c r="VHK116" s="17"/>
      <c r="VHL116" s="17"/>
      <c r="VHM116" s="17"/>
      <c r="VHN116" s="17"/>
      <c r="VHO116" s="17"/>
      <c r="VHP116" s="17"/>
      <c r="VHQ116" s="17"/>
      <c r="VHR116" s="17"/>
      <c r="VHS116" s="17"/>
      <c r="VHT116" s="17"/>
      <c r="VHU116" s="17"/>
      <c r="VHV116" s="17"/>
      <c r="VHW116" s="17"/>
      <c r="VHX116" s="17"/>
      <c r="VHY116" s="17"/>
      <c r="VHZ116" s="17"/>
      <c r="VIA116" s="17"/>
      <c r="VIB116" s="17"/>
      <c r="VIC116" s="17"/>
      <c r="VID116" s="17"/>
      <c r="VIE116" s="17"/>
      <c r="VIF116" s="17"/>
      <c r="VIG116" s="17"/>
      <c r="VIH116" s="17"/>
      <c r="VII116" s="17"/>
      <c r="VIJ116" s="17"/>
      <c r="VIK116" s="17"/>
      <c r="VIL116" s="17"/>
      <c r="VIM116" s="17"/>
      <c r="VIN116" s="17"/>
      <c r="VIO116" s="17"/>
      <c r="VIP116" s="17"/>
      <c r="VIQ116" s="17"/>
      <c r="VIR116" s="17"/>
      <c r="VIS116" s="17"/>
      <c r="VIT116" s="17"/>
      <c r="VIU116" s="17"/>
      <c r="VIV116" s="17"/>
      <c r="VIW116" s="17"/>
      <c r="VIX116" s="17"/>
      <c r="VIY116" s="17"/>
      <c r="VIZ116" s="17"/>
      <c r="VJA116" s="17"/>
      <c r="VJB116" s="17"/>
      <c r="VJC116" s="17"/>
      <c r="VJD116" s="17"/>
      <c r="VJE116" s="17"/>
      <c r="VJF116" s="17"/>
      <c r="VJG116" s="17"/>
      <c r="VJH116" s="17"/>
      <c r="VJI116" s="17"/>
      <c r="VJJ116" s="17"/>
      <c r="VJK116" s="17"/>
      <c r="VJL116" s="17"/>
      <c r="VJM116" s="17"/>
      <c r="VJN116" s="17"/>
      <c r="VJO116" s="17"/>
      <c r="VJP116" s="17"/>
      <c r="VJQ116" s="17"/>
      <c r="VJR116" s="17"/>
      <c r="VJS116" s="17"/>
      <c r="VJT116" s="17"/>
      <c r="VJU116" s="17"/>
      <c r="VJV116" s="17"/>
      <c r="VJW116" s="17"/>
      <c r="VJX116" s="17"/>
      <c r="VJY116" s="17"/>
      <c r="VJZ116" s="17"/>
      <c r="VKA116" s="17"/>
      <c r="VKB116" s="17"/>
      <c r="VKC116" s="17"/>
      <c r="VKD116" s="17"/>
      <c r="VKE116" s="17"/>
      <c r="VKF116" s="17"/>
      <c r="VKG116" s="17"/>
      <c r="VKH116" s="17"/>
      <c r="VKI116" s="17"/>
      <c r="VKJ116" s="17"/>
      <c r="VKK116" s="17"/>
      <c r="VKL116" s="17"/>
      <c r="VKM116" s="17"/>
      <c r="VKN116" s="17"/>
      <c r="VKO116" s="17"/>
      <c r="VKP116" s="17"/>
      <c r="VKQ116" s="17"/>
      <c r="VKR116" s="17"/>
      <c r="VKS116" s="17"/>
      <c r="VKT116" s="17"/>
      <c r="VKU116" s="17"/>
      <c r="VKV116" s="17"/>
      <c r="VKW116" s="17"/>
      <c r="VKX116" s="17"/>
      <c r="VKY116" s="17"/>
      <c r="VKZ116" s="17"/>
      <c r="VLA116" s="17"/>
      <c r="VLB116" s="17"/>
      <c r="VLC116" s="17"/>
      <c r="VLD116" s="17"/>
      <c r="VLE116" s="17"/>
      <c r="VLF116" s="17"/>
      <c r="VLG116" s="17"/>
      <c r="VLH116" s="17"/>
      <c r="VLI116" s="17"/>
      <c r="VLJ116" s="17"/>
      <c r="VLK116" s="17"/>
      <c r="VLL116" s="17"/>
      <c r="VLM116" s="17"/>
      <c r="VLN116" s="17"/>
      <c r="VLO116" s="17"/>
      <c r="VLP116" s="17"/>
      <c r="VLQ116" s="17"/>
      <c r="VLR116" s="17"/>
      <c r="VLS116" s="17"/>
      <c r="VLT116" s="17"/>
      <c r="VLU116" s="17"/>
      <c r="VLV116" s="17"/>
      <c r="VLW116" s="17"/>
      <c r="VLX116" s="17"/>
      <c r="VLY116" s="17"/>
      <c r="VLZ116" s="17"/>
      <c r="VMA116" s="17"/>
      <c r="VMB116" s="17"/>
      <c r="VMC116" s="17"/>
      <c r="VMD116" s="17"/>
      <c r="VME116" s="17"/>
      <c r="VMF116" s="17"/>
      <c r="VMG116" s="17"/>
      <c r="VMH116" s="17"/>
      <c r="VMI116" s="17"/>
      <c r="VMJ116" s="17"/>
      <c r="VMK116" s="17"/>
      <c r="VML116" s="17"/>
      <c r="VMM116" s="17"/>
      <c r="VMN116" s="17"/>
      <c r="VMO116" s="17"/>
      <c r="VMP116" s="17"/>
      <c r="VMQ116" s="17"/>
      <c r="VMR116" s="17"/>
      <c r="VMS116" s="17"/>
      <c r="VMT116" s="17"/>
      <c r="VMU116" s="17"/>
      <c r="VMV116" s="17"/>
      <c r="VMW116" s="17"/>
      <c r="VMX116" s="17"/>
      <c r="VMY116" s="17"/>
      <c r="VMZ116" s="17"/>
      <c r="VNA116" s="17"/>
      <c r="VNB116" s="17"/>
      <c r="VNC116" s="17"/>
      <c r="VND116" s="17"/>
      <c r="VNE116" s="17"/>
      <c r="VNF116" s="17"/>
      <c r="VNG116" s="17"/>
      <c r="VNH116" s="17"/>
      <c r="VNI116" s="17"/>
      <c r="VNJ116" s="17"/>
      <c r="VNK116" s="17"/>
      <c r="VNL116" s="17"/>
      <c r="VNM116" s="17"/>
      <c r="VNN116" s="17"/>
      <c r="VNO116" s="17"/>
      <c r="VNP116" s="17"/>
      <c r="VNQ116" s="17"/>
      <c r="VNR116" s="17"/>
      <c r="VNS116" s="17"/>
      <c r="VNT116" s="17"/>
      <c r="VNU116" s="17"/>
      <c r="VNV116" s="17"/>
      <c r="VNW116" s="17"/>
      <c r="VNX116" s="17"/>
      <c r="VNY116" s="17"/>
      <c r="VNZ116" s="17"/>
      <c r="VOA116" s="17"/>
      <c r="VOB116" s="17"/>
      <c r="VOC116" s="17"/>
      <c r="VOD116" s="17"/>
      <c r="VOE116" s="17"/>
      <c r="VOF116" s="17"/>
      <c r="VOG116" s="17"/>
      <c r="VOH116" s="17"/>
      <c r="VOI116" s="17"/>
      <c r="VOJ116" s="17"/>
      <c r="VOK116" s="17"/>
      <c r="VOL116" s="17"/>
      <c r="VOM116" s="17"/>
      <c r="VON116" s="17"/>
      <c r="VOO116" s="17"/>
      <c r="VOP116" s="17"/>
      <c r="VOQ116" s="17"/>
      <c r="VOR116" s="17"/>
      <c r="VOS116" s="17"/>
      <c r="VOT116" s="17"/>
      <c r="VOU116" s="17"/>
      <c r="VOV116" s="17"/>
      <c r="VOW116" s="17"/>
      <c r="VOX116" s="17"/>
      <c r="VOY116" s="17"/>
      <c r="VOZ116" s="17"/>
      <c r="VPA116" s="17"/>
      <c r="VPB116" s="17"/>
      <c r="VPC116" s="17"/>
      <c r="VPD116" s="17"/>
      <c r="VPE116" s="17"/>
      <c r="VPF116" s="17"/>
      <c r="VPG116" s="17"/>
      <c r="VPH116" s="17"/>
      <c r="VPI116" s="17"/>
      <c r="VPJ116" s="17"/>
      <c r="VPK116" s="17"/>
      <c r="VPL116" s="17"/>
      <c r="VPM116" s="17"/>
      <c r="VPN116" s="17"/>
      <c r="VPO116" s="17"/>
      <c r="VPP116" s="17"/>
      <c r="VPQ116" s="17"/>
      <c r="VPR116" s="17"/>
      <c r="VPS116" s="17"/>
      <c r="VPT116" s="17"/>
      <c r="VPU116" s="17"/>
      <c r="VPV116" s="17"/>
      <c r="VPW116" s="17"/>
      <c r="VPX116" s="17"/>
      <c r="VPY116" s="17"/>
      <c r="VPZ116" s="17"/>
      <c r="VQA116" s="17"/>
      <c r="VQB116" s="17"/>
      <c r="VQC116" s="17"/>
      <c r="VQD116" s="17"/>
      <c r="VQE116" s="17"/>
      <c r="VQF116" s="17"/>
      <c r="VQG116" s="17"/>
      <c r="VQH116" s="17"/>
      <c r="VQI116" s="17"/>
      <c r="VQJ116" s="17"/>
      <c r="VQK116" s="17"/>
      <c r="VQL116" s="17"/>
      <c r="VQM116" s="17"/>
      <c r="VQN116" s="17"/>
      <c r="VQO116" s="17"/>
      <c r="VQP116" s="17"/>
      <c r="VQQ116" s="17"/>
      <c r="VQR116" s="17"/>
      <c r="VQS116" s="17"/>
      <c r="VQT116" s="17"/>
      <c r="VQU116" s="17"/>
      <c r="VQV116" s="17"/>
      <c r="VQW116" s="17"/>
      <c r="VQX116" s="17"/>
      <c r="VQY116" s="17"/>
      <c r="VQZ116" s="17"/>
      <c r="VRA116" s="17"/>
      <c r="VRB116" s="17"/>
      <c r="VRC116" s="17"/>
      <c r="VRD116" s="17"/>
      <c r="VRE116" s="17"/>
      <c r="VRF116" s="17"/>
      <c r="VRG116" s="17"/>
      <c r="VRH116" s="17"/>
      <c r="VRI116" s="17"/>
      <c r="VRJ116" s="17"/>
      <c r="VRK116" s="17"/>
      <c r="VRL116" s="17"/>
      <c r="VRM116" s="17"/>
      <c r="VRN116" s="17"/>
      <c r="VRO116" s="17"/>
      <c r="VRP116" s="17"/>
      <c r="VRQ116" s="17"/>
      <c r="VRR116" s="17"/>
      <c r="VRS116" s="17"/>
      <c r="VRT116" s="17"/>
      <c r="VRU116" s="17"/>
      <c r="VRV116" s="17"/>
      <c r="VRW116" s="17"/>
      <c r="VRX116" s="17"/>
      <c r="VRY116" s="17"/>
      <c r="VRZ116" s="17"/>
      <c r="VSA116" s="17"/>
      <c r="VSB116" s="17"/>
      <c r="VSC116" s="17"/>
      <c r="VSD116" s="17"/>
      <c r="VSE116" s="17"/>
      <c r="VSF116" s="17"/>
      <c r="VSG116" s="17"/>
      <c r="VSH116" s="17"/>
      <c r="VSI116" s="17"/>
      <c r="VSJ116" s="17"/>
      <c r="VSK116" s="17"/>
      <c r="VSL116" s="17"/>
      <c r="VSM116" s="17"/>
      <c r="VSN116" s="17"/>
      <c r="VSO116" s="17"/>
      <c r="VSP116" s="17"/>
      <c r="VSQ116" s="17"/>
      <c r="VSR116" s="17"/>
      <c r="VSS116" s="17"/>
      <c r="VST116" s="17"/>
      <c r="VSU116" s="17"/>
      <c r="VSV116" s="17"/>
      <c r="VSW116" s="17"/>
      <c r="VSX116" s="17"/>
      <c r="VSY116" s="17"/>
      <c r="VSZ116" s="17"/>
      <c r="VTA116" s="17"/>
      <c r="VTB116" s="17"/>
      <c r="VTC116" s="17"/>
      <c r="VTD116" s="17"/>
      <c r="VTE116" s="17"/>
      <c r="VTF116" s="17"/>
      <c r="VTG116" s="17"/>
      <c r="VTH116" s="17"/>
      <c r="VTI116" s="17"/>
      <c r="VTJ116" s="17"/>
      <c r="VTK116" s="17"/>
      <c r="VTL116" s="17"/>
      <c r="VTM116" s="17"/>
      <c r="VTN116" s="17"/>
      <c r="VTO116" s="17"/>
      <c r="VTP116" s="17"/>
      <c r="VTQ116" s="17"/>
      <c r="VTR116" s="17"/>
      <c r="VTS116" s="17"/>
      <c r="VTT116" s="17"/>
      <c r="VTU116" s="17"/>
      <c r="VTV116" s="17"/>
      <c r="VTW116" s="17"/>
      <c r="VTX116" s="17"/>
      <c r="VTY116" s="17"/>
      <c r="VTZ116" s="17"/>
      <c r="VUA116" s="17"/>
      <c r="VUB116" s="17"/>
      <c r="VUC116" s="17"/>
      <c r="VUD116" s="17"/>
      <c r="VUE116" s="17"/>
      <c r="VUF116" s="17"/>
      <c r="VUG116" s="17"/>
      <c r="VUH116" s="17"/>
      <c r="VUI116" s="17"/>
      <c r="VUJ116" s="17"/>
      <c r="VUK116" s="17"/>
      <c r="VUL116" s="17"/>
      <c r="VUM116" s="17"/>
      <c r="VUN116" s="17"/>
      <c r="VUO116" s="17"/>
      <c r="VUP116" s="17"/>
      <c r="VUQ116" s="17"/>
      <c r="VUR116" s="17"/>
      <c r="VUS116" s="17"/>
      <c r="VUT116" s="17"/>
      <c r="VUU116" s="17"/>
      <c r="VUV116" s="17"/>
      <c r="VUW116" s="17"/>
      <c r="VUX116" s="17"/>
      <c r="VUY116" s="17"/>
      <c r="VUZ116" s="17"/>
      <c r="VVA116" s="17"/>
      <c r="VVB116" s="17"/>
      <c r="VVC116" s="17"/>
      <c r="VVD116" s="17"/>
      <c r="VVE116" s="17"/>
      <c r="VVF116" s="17"/>
      <c r="VVG116" s="17"/>
      <c r="VVH116" s="17"/>
      <c r="VVI116" s="17"/>
      <c r="VVJ116" s="17"/>
      <c r="VVK116" s="17"/>
      <c r="VVL116" s="17"/>
      <c r="VVM116" s="17"/>
      <c r="VVN116" s="17"/>
      <c r="VVO116" s="17"/>
      <c r="VVP116" s="17"/>
      <c r="VVQ116" s="17"/>
      <c r="VVR116" s="17"/>
      <c r="VVS116" s="17"/>
      <c r="VVT116" s="17"/>
      <c r="VVU116" s="17"/>
      <c r="VVV116" s="17"/>
      <c r="VVW116" s="17"/>
      <c r="VVX116" s="17"/>
      <c r="VVY116" s="17"/>
      <c r="VVZ116" s="17"/>
      <c r="VWA116" s="17"/>
      <c r="VWB116" s="17"/>
      <c r="VWC116" s="17"/>
      <c r="VWD116" s="17"/>
      <c r="VWE116" s="17"/>
      <c r="VWF116" s="17"/>
      <c r="VWG116" s="17"/>
      <c r="VWH116" s="17"/>
      <c r="VWI116" s="17"/>
      <c r="VWJ116" s="17"/>
      <c r="VWK116" s="17"/>
      <c r="VWL116" s="17"/>
      <c r="VWM116" s="17"/>
      <c r="VWN116" s="17"/>
      <c r="VWO116" s="17"/>
      <c r="VWP116" s="17"/>
      <c r="VWQ116" s="17"/>
      <c r="VWR116" s="17"/>
      <c r="VWS116" s="17"/>
      <c r="VWT116" s="17"/>
      <c r="VWU116" s="17"/>
      <c r="VWV116" s="17"/>
      <c r="VWW116" s="17"/>
      <c r="VWX116" s="17"/>
      <c r="VWY116" s="17"/>
      <c r="VWZ116" s="17"/>
      <c r="VXA116" s="17"/>
      <c r="VXB116" s="17"/>
      <c r="VXC116" s="17"/>
      <c r="VXD116" s="17"/>
      <c r="VXE116" s="17"/>
      <c r="VXF116" s="17"/>
      <c r="VXG116" s="17"/>
      <c r="VXH116" s="17"/>
      <c r="VXI116" s="17"/>
      <c r="VXJ116" s="17"/>
      <c r="VXK116" s="17"/>
      <c r="VXL116" s="17"/>
      <c r="VXM116" s="17"/>
      <c r="VXN116" s="17"/>
      <c r="VXO116" s="17"/>
      <c r="VXP116" s="17"/>
      <c r="VXQ116" s="17"/>
      <c r="VXR116" s="17"/>
      <c r="VXS116" s="17"/>
      <c r="VXT116" s="17"/>
      <c r="VXU116" s="17"/>
      <c r="VXV116" s="17"/>
      <c r="VXW116" s="17"/>
      <c r="VXX116" s="17"/>
      <c r="VXY116" s="17"/>
      <c r="VXZ116" s="17"/>
      <c r="VYA116" s="17"/>
      <c r="VYB116" s="17"/>
      <c r="VYC116" s="17"/>
      <c r="VYD116" s="17"/>
      <c r="VYE116" s="17"/>
      <c r="VYF116" s="17"/>
      <c r="VYG116" s="17"/>
      <c r="VYH116" s="17"/>
      <c r="VYI116" s="17"/>
      <c r="VYJ116" s="17"/>
      <c r="VYK116" s="17"/>
      <c r="VYL116" s="17"/>
      <c r="VYM116" s="17"/>
      <c r="VYN116" s="17"/>
      <c r="VYO116" s="17"/>
      <c r="VYP116" s="17"/>
      <c r="VYQ116" s="17"/>
      <c r="VYR116" s="17"/>
      <c r="VYS116" s="17"/>
      <c r="VYT116" s="17"/>
      <c r="VYU116" s="17"/>
      <c r="VYV116" s="17"/>
      <c r="VYW116" s="17"/>
      <c r="VYX116" s="17"/>
      <c r="VYY116" s="17"/>
      <c r="VYZ116" s="17"/>
      <c r="VZA116" s="17"/>
      <c r="VZB116" s="17"/>
      <c r="VZC116" s="17"/>
      <c r="VZD116" s="17"/>
      <c r="VZE116" s="17"/>
      <c r="VZF116" s="17"/>
      <c r="VZG116" s="17"/>
      <c r="VZH116" s="17"/>
      <c r="VZI116" s="17"/>
      <c r="VZJ116" s="17"/>
      <c r="VZK116" s="17"/>
      <c r="VZL116" s="17"/>
      <c r="VZM116" s="17"/>
      <c r="VZN116" s="17"/>
      <c r="VZO116" s="17"/>
      <c r="VZP116" s="17"/>
      <c r="VZQ116" s="17"/>
      <c r="VZR116" s="17"/>
      <c r="VZS116" s="17"/>
      <c r="VZT116" s="17"/>
      <c r="VZU116" s="17"/>
      <c r="VZV116" s="17"/>
      <c r="VZW116" s="17"/>
      <c r="VZX116" s="17"/>
      <c r="VZY116" s="17"/>
      <c r="VZZ116" s="17"/>
      <c r="WAA116" s="17"/>
      <c r="WAB116" s="17"/>
      <c r="WAC116" s="17"/>
      <c r="WAD116" s="17"/>
      <c r="WAE116" s="17"/>
      <c r="WAF116" s="17"/>
      <c r="WAG116" s="17"/>
      <c r="WAH116" s="17"/>
      <c r="WAI116" s="17"/>
      <c r="WAJ116" s="17"/>
      <c r="WAK116" s="17"/>
      <c r="WAL116" s="17"/>
      <c r="WAM116" s="17"/>
      <c r="WAN116" s="17"/>
      <c r="WAO116" s="17"/>
      <c r="WAP116" s="17"/>
      <c r="WAQ116" s="17"/>
      <c r="WAR116" s="17"/>
      <c r="WAS116" s="17"/>
      <c r="WAT116" s="17"/>
      <c r="WAU116" s="17"/>
      <c r="WAV116" s="17"/>
      <c r="WAW116" s="17"/>
      <c r="WAX116" s="17"/>
      <c r="WAY116" s="17"/>
      <c r="WAZ116" s="17"/>
      <c r="WBA116" s="17"/>
      <c r="WBB116" s="17"/>
      <c r="WBC116" s="17"/>
      <c r="WBD116" s="17"/>
      <c r="WBE116" s="17"/>
      <c r="WBF116" s="17"/>
      <c r="WBG116" s="17"/>
      <c r="WBH116" s="17"/>
      <c r="WBI116" s="17"/>
      <c r="WBJ116" s="17"/>
      <c r="WBK116" s="17"/>
      <c r="WBL116" s="17"/>
      <c r="WBM116" s="17"/>
      <c r="WBN116" s="17"/>
      <c r="WBO116" s="17"/>
      <c r="WBP116" s="17"/>
      <c r="WBQ116" s="17"/>
      <c r="WBR116" s="17"/>
      <c r="WBS116" s="17"/>
      <c r="WBT116" s="17"/>
      <c r="WBU116" s="17"/>
      <c r="WBV116" s="17"/>
      <c r="WBW116" s="17"/>
      <c r="WBX116" s="17"/>
      <c r="WBY116" s="17"/>
      <c r="WBZ116" s="17"/>
      <c r="WCA116" s="17"/>
      <c r="WCB116" s="17"/>
      <c r="WCC116" s="17"/>
      <c r="WCD116" s="17"/>
      <c r="WCE116" s="17"/>
      <c r="WCF116" s="17"/>
      <c r="WCG116" s="17"/>
      <c r="WCH116" s="17"/>
      <c r="WCI116" s="17"/>
      <c r="WCJ116" s="17"/>
      <c r="WCK116" s="17"/>
      <c r="WCL116" s="17"/>
      <c r="WCM116" s="17"/>
      <c r="WCN116" s="17"/>
      <c r="WCO116" s="17"/>
      <c r="WCP116" s="17"/>
      <c r="WCQ116" s="17"/>
      <c r="WCR116" s="17"/>
      <c r="WCS116" s="17"/>
      <c r="WCT116" s="17"/>
      <c r="WCU116" s="17"/>
      <c r="WCV116" s="17"/>
      <c r="WCW116" s="17"/>
      <c r="WCX116" s="17"/>
      <c r="WCY116" s="17"/>
      <c r="WCZ116" s="17"/>
      <c r="WDA116" s="17"/>
      <c r="WDB116" s="17"/>
      <c r="WDC116" s="17"/>
      <c r="WDD116" s="17"/>
      <c r="WDE116" s="17"/>
      <c r="WDF116" s="17"/>
      <c r="WDG116" s="17"/>
      <c r="WDH116" s="17"/>
      <c r="WDI116" s="17"/>
      <c r="WDJ116" s="17"/>
      <c r="WDK116" s="17"/>
      <c r="WDL116" s="17"/>
      <c r="WDM116" s="17"/>
      <c r="WDN116" s="17"/>
      <c r="WDO116" s="17"/>
      <c r="WDP116" s="17"/>
      <c r="WDQ116" s="17"/>
      <c r="WDR116" s="17"/>
      <c r="WDS116" s="17"/>
      <c r="WDT116" s="17"/>
      <c r="WDU116" s="17"/>
      <c r="WDV116" s="17"/>
      <c r="WDW116" s="17"/>
      <c r="WDX116" s="17"/>
      <c r="WDY116" s="17"/>
      <c r="WDZ116" s="17"/>
      <c r="WEA116" s="17"/>
      <c r="WEB116" s="17"/>
      <c r="WEC116" s="17"/>
      <c r="WED116" s="17"/>
      <c r="WEE116" s="17"/>
      <c r="WEF116" s="17"/>
      <c r="WEG116" s="17"/>
      <c r="WEH116" s="17"/>
      <c r="WEI116" s="17"/>
      <c r="WEJ116" s="17"/>
      <c r="WEK116" s="17"/>
      <c r="WEL116" s="17"/>
      <c r="WEM116" s="17"/>
      <c r="WEN116" s="17"/>
      <c r="WEO116" s="17"/>
      <c r="WEP116" s="17"/>
      <c r="WEQ116" s="17"/>
      <c r="WER116" s="17"/>
      <c r="WES116" s="17"/>
      <c r="WET116" s="17"/>
      <c r="WEU116" s="17"/>
      <c r="WEV116" s="17"/>
      <c r="WEW116" s="17"/>
      <c r="WEX116" s="17"/>
      <c r="WEY116" s="17"/>
      <c r="WEZ116" s="17"/>
      <c r="WFA116" s="17"/>
      <c r="WFB116" s="17"/>
      <c r="WFC116" s="17"/>
      <c r="WFD116" s="17"/>
      <c r="WFE116" s="17"/>
      <c r="WFF116" s="17"/>
      <c r="WFG116" s="17"/>
      <c r="WFH116" s="17"/>
      <c r="WFI116" s="17"/>
      <c r="WFJ116" s="17"/>
      <c r="WFK116" s="17"/>
      <c r="WFL116" s="17"/>
      <c r="WFM116" s="17"/>
      <c r="WFN116" s="17"/>
      <c r="WFO116" s="17"/>
      <c r="WFP116" s="17"/>
      <c r="WFQ116" s="17"/>
      <c r="WFR116" s="17"/>
      <c r="WFS116" s="17"/>
      <c r="WFT116" s="17"/>
      <c r="WFU116" s="17"/>
      <c r="WFV116" s="17"/>
      <c r="WFW116" s="17"/>
      <c r="WFX116" s="17"/>
      <c r="WFY116" s="17"/>
      <c r="WFZ116" s="17"/>
      <c r="WGA116" s="17"/>
      <c r="WGB116" s="17"/>
      <c r="WGC116" s="17"/>
      <c r="WGD116" s="17"/>
      <c r="WGE116" s="17"/>
      <c r="WGF116" s="17"/>
      <c r="WGG116" s="17"/>
      <c r="WGH116" s="17"/>
      <c r="WGI116" s="17"/>
      <c r="WGJ116" s="17"/>
      <c r="WGK116" s="17"/>
      <c r="WGL116" s="17"/>
      <c r="WGM116" s="17"/>
      <c r="WGN116" s="17"/>
      <c r="WGO116" s="17"/>
      <c r="WGP116" s="17"/>
      <c r="WGQ116" s="17"/>
      <c r="WGR116" s="17"/>
      <c r="WGS116" s="17"/>
      <c r="WGT116" s="17"/>
      <c r="WGU116" s="17"/>
      <c r="WGV116" s="17"/>
      <c r="WGW116" s="17"/>
      <c r="WGX116" s="17"/>
      <c r="WGY116" s="17"/>
      <c r="WGZ116" s="17"/>
      <c r="WHA116" s="17"/>
      <c r="WHB116" s="17"/>
      <c r="WHC116" s="17"/>
      <c r="WHD116" s="17"/>
      <c r="WHE116" s="17"/>
      <c r="WHF116" s="17"/>
      <c r="WHG116" s="17"/>
      <c r="WHH116" s="17"/>
      <c r="WHI116" s="17"/>
      <c r="WHJ116" s="17"/>
      <c r="WHK116" s="17"/>
      <c r="WHL116" s="17"/>
      <c r="WHM116" s="17"/>
      <c r="WHN116" s="17"/>
      <c r="WHO116" s="17"/>
      <c r="WHP116" s="17"/>
      <c r="WHQ116" s="17"/>
      <c r="WHR116" s="17"/>
      <c r="WHS116" s="17"/>
      <c r="WHT116" s="17"/>
      <c r="WHU116" s="17"/>
      <c r="WHV116" s="17"/>
      <c r="WHW116" s="17"/>
      <c r="WHX116" s="17"/>
      <c r="WHY116" s="17"/>
      <c r="WHZ116" s="17"/>
      <c r="WIA116" s="17"/>
      <c r="WIB116" s="17"/>
      <c r="WIC116" s="17"/>
      <c r="WID116" s="17"/>
      <c r="WIE116" s="17"/>
      <c r="WIF116" s="17"/>
      <c r="WIG116" s="17"/>
      <c r="WIH116" s="17"/>
      <c r="WII116" s="17"/>
      <c r="WIJ116" s="17"/>
      <c r="WIK116" s="17"/>
      <c r="WIL116" s="17"/>
      <c r="WIM116" s="17"/>
      <c r="WIN116" s="17"/>
      <c r="WIO116" s="17"/>
      <c r="WIP116" s="17"/>
      <c r="WIQ116" s="17"/>
      <c r="WIR116" s="17"/>
      <c r="WIS116" s="17"/>
      <c r="WIT116" s="17"/>
      <c r="WIU116" s="17"/>
      <c r="WIV116" s="17"/>
      <c r="WIW116" s="17"/>
      <c r="WIX116" s="17"/>
      <c r="WIY116" s="17"/>
      <c r="WIZ116" s="17"/>
      <c r="WJA116" s="17"/>
      <c r="WJB116" s="17"/>
      <c r="WJC116" s="17"/>
      <c r="WJD116" s="17"/>
      <c r="WJE116" s="17"/>
      <c r="WJF116" s="17"/>
      <c r="WJG116" s="17"/>
      <c r="WJH116" s="17"/>
      <c r="WJI116" s="17"/>
      <c r="WJJ116" s="17"/>
      <c r="WJK116" s="17"/>
      <c r="WJL116" s="17"/>
      <c r="WJM116" s="17"/>
      <c r="WJN116" s="17"/>
      <c r="WJO116" s="17"/>
      <c r="WJP116" s="17"/>
      <c r="WJQ116" s="17"/>
      <c r="WJR116" s="17"/>
      <c r="WJS116" s="17"/>
      <c r="WJT116" s="17"/>
      <c r="WJU116" s="17"/>
      <c r="WJV116" s="17"/>
      <c r="WJW116" s="17"/>
      <c r="WJX116" s="17"/>
      <c r="WJY116" s="17"/>
      <c r="WJZ116" s="17"/>
      <c r="WKA116" s="17"/>
      <c r="WKB116" s="17"/>
      <c r="WKC116" s="17"/>
      <c r="WKD116" s="17"/>
      <c r="WKE116" s="17"/>
      <c r="WKF116" s="17"/>
      <c r="WKG116" s="17"/>
      <c r="WKH116" s="17"/>
      <c r="WKI116" s="17"/>
      <c r="WKJ116" s="17"/>
      <c r="WKK116" s="17"/>
      <c r="WKL116" s="17"/>
      <c r="WKM116" s="17"/>
      <c r="WKN116" s="17"/>
      <c r="WKO116" s="17"/>
      <c r="WKP116" s="17"/>
      <c r="WKQ116" s="17"/>
      <c r="WKR116" s="17"/>
      <c r="WKS116" s="17"/>
      <c r="WKT116" s="17"/>
      <c r="WKU116" s="17"/>
      <c r="WKV116" s="17"/>
      <c r="WKW116" s="17"/>
      <c r="WKX116" s="17"/>
      <c r="WKY116" s="17"/>
      <c r="WKZ116" s="17"/>
      <c r="WLA116" s="17"/>
      <c r="WLB116" s="17"/>
      <c r="WLC116" s="17"/>
      <c r="WLD116" s="17"/>
      <c r="WLE116" s="17"/>
      <c r="WLF116" s="17"/>
      <c r="WLG116" s="17"/>
      <c r="WLH116" s="17"/>
      <c r="WLI116" s="17"/>
      <c r="WLJ116" s="17"/>
      <c r="WLK116" s="17"/>
      <c r="WLL116" s="17"/>
      <c r="WLM116" s="17"/>
      <c r="WLN116" s="17"/>
      <c r="WLO116" s="17"/>
      <c r="WLP116" s="17"/>
      <c r="WLQ116" s="17"/>
      <c r="WLR116" s="17"/>
      <c r="WLS116" s="17"/>
      <c r="WLT116" s="17"/>
      <c r="WLU116" s="17"/>
      <c r="WLV116" s="17"/>
      <c r="WLW116" s="17"/>
      <c r="WLX116" s="17"/>
      <c r="WLY116" s="17"/>
      <c r="WLZ116" s="17"/>
      <c r="WMA116" s="17"/>
      <c r="WMB116" s="17"/>
      <c r="WMC116" s="17"/>
      <c r="WMD116" s="17"/>
      <c r="WME116" s="17"/>
      <c r="WMF116" s="17"/>
      <c r="WMG116" s="17"/>
      <c r="WMH116" s="17"/>
      <c r="WMI116" s="17"/>
      <c r="WMJ116" s="17"/>
      <c r="WMK116" s="17"/>
      <c r="WML116" s="17"/>
      <c r="WMM116" s="17"/>
      <c r="WMN116" s="17"/>
      <c r="WMO116" s="17"/>
      <c r="WMP116" s="17"/>
      <c r="WMQ116" s="17"/>
      <c r="WMR116" s="17"/>
      <c r="WMS116" s="17"/>
      <c r="WMT116" s="17"/>
      <c r="WMU116" s="17"/>
      <c r="WMV116" s="17"/>
      <c r="WMW116" s="17"/>
      <c r="WMX116" s="17"/>
      <c r="WMY116" s="17"/>
      <c r="WMZ116" s="17"/>
      <c r="WNA116" s="17"/>
      <c r="WNB116" s="17"/>
      <c r="WNC116" s="17"/>
      <c r="WND116" s="17"/>
      <c r="WNE116" s="17"/>
      <c r="WNF116" s="17"/>
      <c r="WNG116" s="17"/>
      <c r="WNH116" s="17"/>
      <c r="WNI116" s="17"/>
      <c r="WNJ116" s="17"/>
      <c r="WNK116" s="17"/>
      <c r="WNL116" s="17"/>
      <c r="WNM116" s="17"/>
      <c r="WNN116" s="17"/>
      <c r="WNO116" s="17"/>
      <c r="WNP116" s="17"/>
      <c r="WNQ116" s="17"/>
      <c r="WNR116" s="17"/>
      <c r="WNS116" s="17"/>
      <c r="WNT116" s="17"/>
      <c r="WNU116" s="17"/>
      <c r="WNV116" s="17"/>
      <c r="WNW116" s="17"/>
      <c r="WNX116" s="17"/>
      <c r="WNY116" s="17"/>
      <c r="WNZ116" s="17"/>
      <c r="WOA116" s="17"/>
      <c r="WOB116" s="17"/>
      <c r="WOC116" s="17"/>
      <c r="WOD116" s="17"/>
      <c r="WOE116" s="17"/>
      <c r="WOF116" s="17"/>
      <c r="WOG116" s="17"/>
      <c r="WOH116" s="17"/>
      <c r="WOI116" s="17"/>
      <c r="WOJ116" s="17"/>
      <c r="WOK116" s="17"/>
      <c r="WOL116" s="17"/>
      <c r="WOM116" s="17"/>
      <c r="WON116" s="17"/>
      <c r="WOO116" s="17"/>
      <c r="WOP116" s="17"/>
      <c r="WOQ116" s="17"/>
      <c r="WOR116" s="17"/>
      <c r="WOS116" s="17"/>
      <c r="WOT116" s="17"/>
      <c r="WOU116" s="17"/>
      <c r="WOV116" s="17"/>
      <c r="WOW116" s="17"/>
      <c r="WOX116" s="17"/>
      <c r="WOY116" s="17"/>
      <c r="WOZ116" s="17"/>
      <c r="WPA116" s="17"/>
      <c r="WPB116" s="17"/>
      <c r="WPC116" s="17"/>
      <c r="WPD116" s="17"/>
      <c r="WPE116" s="17"/>
      <c r="WPF116" s="17"/>
      <c r="WPG116" s="17"/>
      <c r="WPH116" s="17"/>
      <c r="WPI116" s="17"/>
      <c r="WPJ116" s="17"/>
      <c r="WPK116" s="17"/>
      <c r="WPL116" s="17"/>
      <c r="WPM116" s="17"/>
      <c r="WPN116" s="17"/>
      <c r="WPO116" s="17"/>
      <c r="WPP116" s="17"/>
      <c r="WPQ116" s="17"/>
      <c r="WPR116" s="17"/>
      <c r="WPS116" s="17"/>
      <c r="WPT116" s="17"/>
      <c r="WPU116" s="17"/>
      <c r="WPV116" s="17"/>
      <c r="WPW116" s="17"/>
      <c r="WPX116" s="17"/>
      <c r="WPY116" s="17"/>
      <c r="WPZ116" s="17"/>
      <c r="WQA116" s="17"/>
      <c r="WQB116" s="17"/>
      <c r="WQC116" s="17"/>
      <c r="WQD116" s="17"/>
      <c r="WQE116" s="17"/>
      <c r="WQF116" s="17"/>
      <c r="WQG116" s="17"/>
      <c r="WQH116" s="17"/>
      <c r="WQI116" s="17"/>
      <c r="WQJ116" s="17"/>
      <c r="WQK116" s="17"/>
      <c r="WQL116" s="17"/>
      <c r="WQM116" s="17"/>
      <c r="WQN116" s="17"/>
      <c r="WQO116" s="17"/>
      <c r="WQP116" s="17"/>
      <c r="WQQ116" s="17"/>
      <c r="WQR116" s="17"/>
      <c r="WQS116" s="17"/>
      <c r="WQT116" s="17"/>
      <c r="WQU116" s="17"/>
      <c r="WQV116" s="17"/>
      <c r="WQW116" s="17"/>
      <c r="WQX116" s="17"/>
      <c r="WQY116" s="17"/>
      <c r="WQZ116" s="17"/>
      <c r="WRA116" s="17"/>
      <c r="WRB116" s="17"/>
      <c r="WRC116" s="17"/>
      <c r="WRD116" s="17"/>
      <c r="WRE116" s="17"/>
      <c r="WRF116" s="17"/>
      <c r="WRG116" s="17"/>
      <c r="WRH116" s="17"/>
      <c r="WRI116" s="17"/>
      <c r="WRJ116" s="17"/>
      <c r="WRK116" s="17"/>
      <c r="WRL116" s="17"/>
      <c r="WRM116" s="17"/>
      <c r="WRN116" s="17"/>
      <c r="WRO116" s="17"/>
      <c r="WRP116" s="17"/>
      <c r="WRQ116" s="17"/>
      <c r="WRR116" s="17"/>
      <c r="WRS116" s="17"/>
      <c r="WRT116" s="17"/>
      <c r="WRU116" s="17"/>
      <c r="WRV116" s="17"/>
      <c r="WRW116" s="17"/>
      <c r="WRX116" s="17"/>
      <c r="WRY116" s="17"/>
      <c r="WRZ116" s="17"/>
      <c r="WSA116" s="17"/>
      <c r="WSB116" s="17"/>
      <c r="WSC116" s="17"/>
      <c r="WSD116" s="17"/>
      <c r="WSE116" s="17"/>
      <c r="WSF116" s="17"/>
      <c r="WSG116" s="17"/>
      <c r="WSH116" s="17"/>
      <c r="WSI116" s="17"/>
      <c r="WSJ116" s="17"/>
      <c r="WSK116" s="17"/>
      <c r="WSL116" s="17"/>
      <c r="WSM116" s="17"/>
      <c r="WSN116" s="17"/>
      <c r="WSO116" s="17"/>
      <c r="WSP116" s="17"/>
      <c r="WSQ116" s="17"/>
      <c r="WSR116" s="17"/>
      <c r="WSS116" s="17"/>
      <c r="WST116" s="17"/>
      <c r="WSU116" s="17"/>
      <c r="WSV116" s="17"/>
      <c r="WSW116" s="17"/>
      <c r="WSX116" s="17"/>
      <c r="WSY116" s="17"/>
      <c r="WSZ116" s="17"/>
      <c r="WTA116" s="17"/>
      <c r="WTB116" s="17"/>
      <c r="WTC116" s="17"/>
      <c r="WTD116" s="17"/>
      <c r="WTE116" s="17"/>
      <c r="WTF116" s="17"/>
      <c r="WTG116" s="17"/>
      <c r="WTH116" s="17"/>
      <c r="WTI116" s="17"/>
      <c r="WTJ116" s="17"/>
      <c r="WTK116" s="17"/>
      <c r="WTL116" s="17"/>
      <c r="WTM116" s="17"/>
      <c r="WTN116" s="17"/>
      <c r="WTO116" s="17"/>
      <c r="WTP116" s="17"/>
      <c r="WTQ116" s="17"/>
      <c r="WTR116" s="17"/>
      <c r="WTS116" s="17"/>
      <c r="WTT116" s="17"/>
      <c r="WTU116" s="17"/>
      <c r="WTV116" s="17"/>
      <c r="WTW116" s="17"/>
      <c r="WTX116" s="17"/>
      <c r="WTY116" s="17"/>
      <c r="WTZ116" s="17"/>
      <c r="WUA116" s="17"/>
      <c r="WUB116" s="17"/>
      <c r="WUC116" s="17"/>
      <c r="WUD116" s="17"/>
      <c r="WUE116" s="17"/>
      <c r="WUF116" s="17"/>
      <c r="WUG116" s="17"/>
      <c r="WUH116" s="17"/>
      <c r="WUI116" s="17"/>
      <c r="WUJ116" s="17"/>
      <c r="WUK116" s="17"/>
      <c r="WUL116" s="17"/>
      <c r="WUM116" s="17"/>
      <c r="WUN116" s="17"/>
      <c r="WUO116" s="17"/>
      <c r="WUP116" s="17"/>
      <c r="WUQ116" s="17"/>
      <c r="WUR116" s="17"/>
      <c r="WUS116" s="17"/>
      <c r="WUT116" s="17"/>
      <c r="WUU116" s="17"/>
      <c r="WUV116" s="17"/>
      <c r="WUW116" s="17"/>
      <c r="WUX116" s="17"/>
      <c r="WUY116" s="17"/>
      <c r="WUZ116" s="17"/>
      <c r="WVA116" s="17"/>
      <c r="WVB116" s="17"/>
      <c r="WVC116" s="17"/>
      <c r="WVD116" s="17"/>
      <c r="WVE116" s="17"/>
      <c r="WVF116" s="17"/>
      <c r="WVG116" s="17"/>
      <c r="WVH116" s="17"/>
      <c r="WVI116" s="17"/>
      <c r="WVJ116" s="17"/>
      <c r="WVK116" s="17"/>
      <c r="WVL116" s="17"/>
      <c r="WVM116" s="17"/>
      <c r="WVN116" s="17"/>
      <c r="WVO116" s="17"/>
      <c r="WVP116" s="17"/>
      <c r="WVQ116" s="17"/>
      <c r="WVR116" s="17"/>
      <c r="WVS116" s="17"/>
      <c r="WVT116" s="17"/>
      <c r="WVU116" s="17"/>
      <c r="WVV116" s="17"/>
      <c r="WVW116" s="17"/>
      <c r="WVX116" s="17"/>
      <c r="WVY116" s="17"/>
      <c r="WVZ116" s="17"/>
      <c r="WWA116" s="17"/>
      <c r="WWB116" s="17"/>
      <c r="WWC116" s="17"/>
      <c r="WWD116" s="17"/>
      <c r="WWE116" s="17"/>
      <c r="WWF116" s="17"/>
      <c r="WWG116" s="17"/>
      <c r="WWH116" s="17"/>
      <c r="WWI116" s="17"/>
      <c r="WWJ116" s="17"/>
      <c r="WWK116" s="17"/>
      <c r="WWL116" s="17"/>
      <c r="WWM116" s="17"/>
      <c r="WWN116" s="17"/>
      <c r="WWO116" s="17"/>
      <c r="WWP116" s="17"/>
      <c r="WWQ116" s="17"/>
      <c r="WWR116" s="17"/>
      <c r="WWS116" s="17"/>
      <c r="WWT116" s="17"/>
      <c r="WWU116" s="17"/>
      <c r="WWV116" s="17"/>
      <c r="WWW116" s="17"/>
      <c r="WWX116" s="17"/>
      <c r="WWY116" s="17"/>
      <c r="WWZ116" s="17"/>
      <c r="WXA116" s="17"/>
      <c r="WXB116" s="17"/>
      <c r="WXC116" s="17"/>
      <c r="WXD116" s="17"/>
      <c r="WXE116" s="17"/>
      <c r="WXF116" s="17"/>
      <c r="WXG116" s="17"/>
      <c r="WXH116" s="17"/>
      <c r="WXI116" s="17"/>
      <c r="WXJ116" s="17"/>
      <c r="WXK116" s="17"/>
      <c r="WXL116" s="17"/>
      <c r="WXM116" s="17"/>
      <c r="WXN116" s="17"/>
      <c r="WXO116" s="17"/>
      <c r="WXP116" s="17"/>
      <c r="WXQ116" s="17"/>
      <c r="WXR116" s="17"/>
      <c r="WXS116" s="17"/>
      <c r="WXT116" s="17"/>
      <c r="WXU116" s="17"/>
      <c r="WXV116" s="17"/>
      <c r="WXW116" s="17"/>
      <c r="WXX116" s="17"/>
      <c r="WXY116" s="17"/>
      <c r="WXZ116" s="17"/>
      <c r="WYA116" s="17"/>
      <c r="WYB116" s="17"/>
      <c r="WYC116" s="17"/>
      <c r="WYD116" s="17"/>
      <c r="WYE116" s="17"/>
      <c r="WYF116" s="17"/>
      <c r="WYG116" s="17"/>
      <c r="WYH116" s="17"/>
      <c r="WYI116" s="17"/>
      <c r="WYJ116" s="17"/>
      <c r="WYK116" s="17"/>
      <c r="WYL116" s="17"/>
      <c r="WYM116" s="17"/>
      <c r="WYN116" s="17"/>
      <c r="WYO116" s="17"/>
      <c r="WYP116" s="17"/>
      <c r="WYQ116" s="17"/>
      <c r="WYR116" s="17"/>
      <c r="WYS116" s="17"/>
      <c r="WYT116" s="17"/>
      <c r="WYU116" s="17"/>
      <c r="WYV116" s="17"/>
      <c r="WYW116" s="17"/>
      <c r="WYX116" s="17"/>
      <c r="WYY116" s="17"/>
      <c r="WYZ116" s="17"/>
      <c r="WZA116" s="17"/>
      <c r="WZB116" s="17"/>
      <c r="WZC116" s="17"/>
      <c r="WZD116" s="17"/>
      <c r="WZE116" s="17"/>
      <c r="WZF116" s="17"/>
      <c r="WZG116" s="17"/>
      <c r="WZH116" s="17"/>
      <c r="WZI116" s="17"/>
      <c r="WZJ116" s="17"/>
      <c r="WZK116" s="17"/>
      <c r="WZL116" s="17"/>
      <c r="WZM116" s="17"/>
      <c r="WZN116" s="17"/>
      <c r="WZO116" s="17"/>
      <c r="WZP116" s="17"/>
      <c r="WZQ116" s="17"/>
      <c r="WZR116" s="17"/>
      <c r="WZS116" s="17"/>
      <c r="WZT116" s="17"/>
      <c r="WZU116" s="17"/>
      <c r="WZV116" s="17"/>
      <c r="WZW116" s="17"/>
      <c r="WZX116" s="17"/>
      <c r="WZY116" s="17"/>
      <c r="WZZ116" s="17"/>
      <c r="XAA116" s="17"/>
      <c r="XAB116" s="17"/>
      <c r="XAC116" s="17"/>
      <c r="XAD116" s="17"/>
      <c r="XAE116" s="17"/>
      <c r="XAF116" s="17"/>
      <c r="XAG116" s="17"/>
      <c r="XAH116" s="17"/>
      <c r="XAI116" s="17"/>
      <c r="XAJ116" s="17"/>
      <c r="XAK116" s="17"/>
      <c r="XAL116" s="17"/>
      <c r="XAM116" s="17"/>
      <c r="XAN116" s="17"/>
      <c r="XAO116" s="17"/>
      <c r="XAP116" s="17"/>
      <c r="XAQ116" s="17"/>
      <c r="XAR116" s="17"/>
      <c r="XAS116" s="17"/>
      <c r="XAT116" s="17"/>
      <c r="XAU116" s="17"/>
      <c r="XAV116" s="17"/>
      <c r="XAW116" s="17"/>
      <c r="XAX116" s="17"/>
      <c r="XAY116" s="17"/>
      <c r="XAZ116" s="17"/>
      <c r="XBA116" s="17"/>
      <c r="XBB116" s="17"/>
      <c r="XBC116" s="17"/>
      <c r="XBD116" s="17"/>
      <c r="XBE116" s="17"/>
      <c r="XBF116" s="17"/>
      <c r="XBG116" s="17"/>
      <c r="XBH116" s="17"/>
      <c r="XBI116" s="17"/>
      <c r="XBJ116" s="17"/>
      <c r="XBK116" s="17"/>
      <c r="XBL116" s="17"/>
      <c r="XBM116" s="17"/>
      <c r="XBN116" s="17"/>
      <c r="XBO116" s="17"/>
      <c r="XBP116" s="17"/>
      <c r="XBQ116" s="17"/>
      <c r="XBR116" s="17"/>
      <c r="XBS116" s="17"/>
      <c r="XBT116" s="17"/>
      <c r="XBU116" s="17"/>
      <c r="XBV116" s="17"/>
      <c r="XBW116" s="17"/>
      <c r="XBX116" s="17"/>
      <c r="XBY116" s="17"/>
      <c r="XBZ116" s="17"/>
      <c r="XCA116" s="17"/>
      <c r="XCB116" s="17"/>
      <c r="XCC116" s="17"/>
      <c r="XCD116" s="17"/>
      <c r="XCE116" s="17"/>
      <c r="XCF116" s="17"/>
      <c r="XCG116" s="17"/>
      <c r="XCH116" s="17"/>
      <c r="XCI116" s="17"/>
      <c r="XCJ116" s="17"/>
      <c r="XCK116" s="17"/>
      <c r="XCL116" s="17"/>
      <c r="XCM116" s="17"/>
      <c r="XCN116" s="17"/>
      <c r="XCO116" s="17"/>
      <c r="XCP116" s="17"/>
      <c r="XCQ116" s="17"/>
      <c r="XCR116" s="17"/>
      <c r="XCS116" s="17"/>
      <c r="XCT116" s="17"/>
      <c r="XCU116" s="17"/>
      <c r="XCV116" s="17"/>
      <c r="XCW116" s="17"/>
      <c r="XCX116" s="17"/>
      <c r="XCY116" s="17"/>
      <c r="XCZ116" s="17"/>
      <c r="XDA116" s="17"/>
      <c r="XDB116" s="17"/>
      <c r="XDC116" s="17"/>
      <c r="XDD116" s="17"/>
      <c r="XDE116" s="17"/>
      <c r="XDF116" s="17"/>
      <c r="XDG116" s="17"/>
      <c r="XDH116" s="17"/>
      <c r="XDI116" s="17"/>
      <c r="XDJ116" s="17"/>
      <c r="XDK116" s="17"/>
      <c r="XDL116" s="17"/>
      <c r="XDM116" s="17"/>
      <c r="XDN116" s="17"/>
      <c r="XDO116" s="17"/>
      <c r="XDP116" s="17"/>
      <c r="XDQ116" s="17"/>
      <c r="XDR116" s="17"/>
      <c r="XDS116" s="17"/>
      <c r="XDT116" s="17"/>
      <c r="XDU116" s="17"/>
      <c r="XDV116" s="17"/>
      <c r="XDW116" s="17"/>
      <c r="XDX116" s="17"/>
      <c r="XDY116" s="17"/>
      <c r="XDZ116" s="17"/>
      <c r="XEA116" s="17"/>
      <c r="XEB116" s="17"/>
      <c r="XEC116" s="17"/>
      <c r="XED116" s="17"/>
      <c r="XEE116" s="17"/>
      <c r="XEF116" s="17"/>
      <c r="XEG116" s="17"/>
      <c r="XEH116" s="17"/>
      <c r="XEI116" s="17"/>
      <c r="XEJ116" s="17"/>
      <c r="XEK116" s="17"/>
      <c r="XEL116" s="17"/>
      <c r="XEM116" s="17"/>
      <c r="XEN116" s="17"/>
      <c r="XEO116" s="17"/>
      <c r="XEP116" s="17"/>
      <c r="XEQ116" s="17"/>
      <c r="XER116" s="17"/>
      <c r="XES116" s="17"/>
      <c r="XET116" s="17"/>
      <c r="XEU116" s="17"/>
      <c r="XEV116" s="17"/>
      <c r="XEW116" s="17"/>
      <c r="XEX116" s="17"/>
      <c r="XEY116" s="10"/>
      <c r="XEZ116" s="10"/>
      <c r="XFA116" s="10"/>
      <c r="XFB116" s="10"/>
      <c r="XFC116" s="94"/>
    </row>
    <row r="117" s="4" customFormat="1" ht="17.6" spans="1:248">
      <c r="A117" s="61"/>
      <c r="B117" s="62"/>
      <c r="C117" s="34" t="s">
        <v>122</v>
      </c>
      <c r="D117" s="35"/>
      <c r="E117" s="67" t="s">
        <v>27</v>
      </c>
      <c r="F117" s="71">
        <f>7.7</f>
        <v>7.7</v>
      </c>
      <c r="G117" s="71">
        <v>60</v>
      </c>
      <c r="H117" s="71">
        <f t="shared" si="6"/>
        <v>462</v>
      </c>
      <c r="I117" s="80" t="s">
        <v>123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</row>
    <row r="118" s="4" customFormat="1" ht="17.6" spans="1:248">
      <c r="A118" s="61"/>
      <c r="B118" s="62"/>
      <c r="C118" s="34" t="s">
        <v>124</v>
      </c>
      <c r="D118" s="35"/>
      <c r="E118" s="67" t="s">
        <v>27</v>
      </c>
      <c r="F118" s="71">
        <v>6</v>
      </c>
      <c r="G118" s="71">
        <v>200</v>
      </c>
      <c r="H118" s="71">
        <f t="shared" si="6"/>
        <v>1200</v>
      </c>
      <c r="I118" s="80" t="s">
        <v>125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</row>
    <row r="119" s="4" customFormat="1" ht="25" customHeight="1" spans="1:248">
      <c r="A119" s="61"/>
      <c r="B119" s="62"/>
      <c r="C119" s="63" t="s">
        <v>126</v>
      </c>
      <c r="D119" s="63"/>
      <c r="E119" s="67" t="s">
        <v>27</v>
      </c>
      <c r="F119" s="71">
        <v>6.1</v>
      </c>
      <c r="G119" s="71">
        <v>208</v>
      </c>
      <c r="H119" s="71">
        <f t="shared" si="6"/>
        <v>1268.8</v>
      </c>
      <c r="I119" s="80" t="s">
        <v>127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</row>
    <row r="120" s="4" customFormat="1" ht="25" customHeight="1" spans="1:248">
      <c r="A120" s="61"/>
      <c r="B120" s="62"/>
      <c r="C120" s="63" t="s">
        <v>128</v>
      </c>
      <c r="D120" s="63"/>
      <c r="E120" s="70" t="s">
        <v>48</v>
      </c>
      <c r="F120" s="71">
        <v>4</v>
      </c>
      <c r="G120" s="71">
        <v>600</v>
      </c>
      <c r="H120" s="71">
        <f t="shared" si="6"/>
        <v>2400</v>
      </c>
      <c r="I120" s="80" t="s">
        <v>129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</row>
    <row r="121" s="4" customFormat="1" ht="25" customHeight="1" spans="1:248">
      <c r="A121" s="61"/>
      <c r="B121" s="62"/>
      <c r="C121" s="34" t="s">
        <v>130</v>
      </c>
      <c r="D121" s="35"/>
      <c r="E121" s="67" t="s">
        <v>27</v>
      </c>
      <c r="F121" s="68">
        <v>0</v>
      </c>
      <c r="G121" s="71">
        <v>60</v>
      </c>
      <c r="H121" s="71">
        <f t="shared" si="6"/>
        <v>0</v>
      </c>
      <c r="I121" s="80" t="s">
        <v>123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</row>
    <row r="122" s="4" customFormat="1" ht="25" customHeight="1" spans="1:248">
      <c r="A122" s="61"/>
      <c r="B122" s="62"/>
      <c r="C122" s="63" t="s">
        <v>104</v>
      </c>
      <c r="D122" s="63"/>
      <c r="E122" s="67" t="s">
        <v>17</v>
      </c>
      <c r="F122" s="68">
        <v>0</v>
      </c>
      <c r="G122" s="71">
        <v>240</v>
      </c>
      <c r="H122" s="71">
        <f t="shared" si="6"/>
        <v>0</v>
      </c>
      <c r="I122" s="80" t="s">
        <v>131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</row>
    <row r="123" s="4" customFormat="1" ht="25" customHeight="1" spans="1:248">
      <c r="A123" s="90"/>
      <c r="B123" s="91"/>
      <c r="C123" s="34" t="s">
        <v>132</v>
      </c>
      <c r="D123" s="35"/>
      <c r="E123" s="67" t="s">
        <v>17</v>
      </c>
      <c r="F123" s="68">
        <v>0</v>
      </c>
      <c r="G123" s="71">
        <v>208</v>
      </c>
      <c r="H123" s="71">
        <f t="shared" si="6"/>
        <v>0</v>
      </c>
      <c r="I123" s="80" t="s">
        <v>133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</row>
    <row r="124" s="4" customFormat="1" ht="76" spans="1:248">
      <c r="A124" s="92" t="s">
        <v>134</v>
      </c>
      <c r="B124" s="60"/>
      <c r="C124" s="34" t="s">
        <v>135</v>
      </c>
      <c r="D124" s="35"/>
      <c r="E124" s="67" t="s">
        <v>17</v>
      </c>
      <c r="F124" s="71">
        <f>SUM(E80)</f>
        <v>20</v>
      </c>
      <c r="G124" s="71">
        <v>47</v>
      </c>
      <c r="H124" s="71">
        <f t="shared" si="6"/>
        <v>940</v>
      </c>
      <c r="I124" s="80" t="s">
        <v>136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</row>
    <row r="125" s="4" customFormat="1" ht="31" spans="1:248">
      <c r="A125" s="61"/>
      <c r="B125" s="62"/>
      <c r="C125" s="34" t="s">
        <v>137</v>
      </c>
      <c r="D125" s="35"/>
      <c r="E125" s="67" t="s">
        <v>17</v>
      </c>
      <c r="F125" s="71">
        <f>SUM(F124:F124)</f>
        <v>20</v>
      </c>
      <c r="G125" s="71">
        <v>18</v>
      </c>
      <c r="H125" s="71">
        <f t="shared" si="6"/>
        <v>360</v>
      </c>
      <c r="I125" s="93" t="s">
        <v>138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</row>
    <row r="126" s="4" customFormat="1" ht="76" spans="1:248">
      <c r="A126" s="61"/>
      <c r="B126" s="62"/>
      <c r="C126" s="52" t="s">
        <v>139</v>
      </c>
      <c r="D126" s="53"/>
      <c r="E126" s="67" t="s">
        <v>17</v>
      </c>
      <c r="F126" s="71">
        <f>SUM(G80*I80)</f>
        <v>58.2</v>
      </c>
      <c r="G126" s="71">
        <v>47</v>
      </c>
      <c r="H126" s="71">
        <f t="shared" si="6"/>
        <v>2735.4</v>
      </c>
      <c r="I126" s="80" t="s">
        <v>140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</row>
    <row r="127" s="4" customFormat="1" ht="25" customHeight="1" spans="1:248">
      <c r="A127" s="90"/>
      <c r="B127" s="91"/>
      <c r="C127" s="52" t="s">
        <v>141</v>
      </c>
      <c r="D127" s="53"/>
      <c r="E127" s="67" t="s">
        <v>17</v>
      </c>
      <c r="F127" s="71">
        <f>SUM(F126:F126)</f>
        <v>58.2</v>
      </c>
      <c r="G127" s="71">
        <v>18</v>
      </c>
      <c r="H127" s="71">
        <f t="shared" si="6"/>
        <v>1047.6</v>
      </c>
      <c r="I127" s="93" t="s">
        <v>138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</row>
    <row r="128" ht="25" customHeight="1" spans="1:9">
      <c r="A128" s="36" t="s">
        <v>56</v>
      </c>
      <c r="B128" s="37"/>
      <c r="C128" s="38"/>
      <c r="D128" s="38"/>
      <c r="E128" s="37"/>
      <c r="F128" s="37"/>
      <c r="G128" s="37"/>
      <c r="H128" s="73">
        <f>SUM(H81:H127)</f>
        <v>19883.0986</v>
      </c>
      <c r="I128" s="83"/>
    </row>
    <row r="129" s="6" customFormat="1" ht="25" customHeight="1" spans="1:16383">
      <c r="A129" s="39" t="s">
        <v>150</v>
      </c>
      <c r="B129" s="40"/>
      <c r="C129" s="40"/>
      <c r="D129" s="41" t="s">
        <v>13</v>
      </c>
      <c r="E129" s="41">
        <v>0</v>
      </c>
      <c r="F129" s="41" t="s">
        <v>14</v>
      </c>
      <c r="G129" s="41">
        <v>0</v>
      </c>
      <c r="H129" s="41" t="s">
        <v>15</v>
      </c>
      <c r="I129" s="84">
        <v>2.45</v>
      </c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06"/>
      <c r="BC129" s="106"/>
      <c r="BD129" s="106"/>
      <c r="BE129" s="106"/>
      <c r="BF129" s="106"/>
      <c r="BG129" s="106"/>
      <c r="BH129" s="106"/>
      <c r="BI129" s="106"/>
      <c r="BJ129" s="106"/>
      <c r="BK129" s="106"/>
      <c r="BL129" s="106"/>
      <c r="BM129" s="106"/>
      <c r="BN129" s="106"/>
      <c r="BO129" s="106"/>
      <c r="BP129" s="106"/>
      <c r="BQ129" s="106"/>
      <c r="BR129" s="106"/>
      <c r="BS129" s="106"/>
      <c r="BT129" s="106"/>
      <c r="BU129" s="106"/>
      <c r="BV129" s="106"/>
      <c r="BW129" s="106"/>
      <c r="BX129" s="106"/>
      <c r="BY129" s="106"/>
      <c r="BZ129" s="106"/>
      <c r="CA129" s="106"/>
      <c r="CB129" s="106"/>
      <c r="CC129" s="106"/>
      <c r="CD129" s="106"/>
      <c r="CE129" s="106"/>
      <c r="CF129" s="106"/>
      <c r="CG129" s="106"/>
      <c r="CH129" s="106"/>
      <c r="CI129" s="106"/>
      <c r="CJ129" s="106"/>
      <c r="CK129" s="106"/>
      <c r="CL129" s="106"/>
      <c r="CM129" s="106"/>
      <c r="CN129" s="106"/>
      <c r="CO129" s="106"/>
      <c r="CP129" s="106"/>
      <c r="CQ129" s="106"/>
      <c r="CR129" s="106"/>
      <c r="CS129" s="106"/>
      <c r="CT129" s="106"/>
      <c r="CU129" s="106"/>
      <c r="CV129" s="106"/>
      <c r="CW129" s="106"/>
      <c r="CX129" s="106"/>
      <c r="CY129" s="106"/>
      <c r="CZ129" s="106"/>
      <c r="DA129" s="106"/>
      <c r="DB129" s="106"/>
      <c r="DC129" s="106"/>
      <c r="DD129" s="106"/>
      <c r="DE129" s="106"/>
      <c r="DF129" s="106"/>
      <c r="DG129" s="106"/>
      <c r="DH129" s="106"/>
      <c r="DI129" s="106"/>
      <c r="DJ129" s="106"/>
      <c r="DK129" s="106"/>
      <c r="DL129" s="106"/>
      <c r="DM129" s="106"/>
      <c r="DN129" s="106"/>
      <c r="DO129" s="106"/>
      <c r="DP129" s="106"/>
      <c r="DQ129" s="106"/>
      <c r="DR129" s="106"/>
      <c r="DS129" s="106"/>
      <c r="DT129" s="106"/>
      <c r="DU129" s="106"/>
      <c r="DV129" s="106"/>
      <c r="DW129" s="106"/>
      <c r="DX129" s="106"/>
      <c r="DY129" s="106"/>
      <c r="DZ129" s="106"/>
      <c r="EA129" s="106"/>
      <c r="EB129" s="106"/>
      <c r="EC129" s="106"/>
      <c r="ED129" s="106"/>
      <c r="EE129" s="106"/>
      <c r="EF129" s="106"/>
      <c r="EG129" s="106"/>
      <c r="EH129" s="106"/>
      <c r="EI129" s="106"/>
      <c r="EJ129" s="106"/>
      <c r="EK129" s="106"/>
      <c r="EL129" s="106"/>
      <c r="EM129" s="106"/>
      <c r="EN129" s="106"/>
      <c r="EO129" s="106"/>
      <c r="EP129" s="106"/>
      <c r="EQ129" s="106"/>
      <c r="ER129" s="106"/>
      <c r="ES129" s="106"/>
      <c r="ET129" s="106"/>
      <c r="EU129" s="106"/>
      <c r="EV129" s="106"/>
      <c r="EW129" s="106"/>
      <c r="EX129" s="106"/>
      <c r="EY129" s="106"/>
      <c r="EZ129" s="106"/>
      <c r="FA129" s="106"/>
      <c r="FB129" s="106"/>
      <c r="FC129" s="106"/>
      <c r="FD129" s="106"/>
      <c r="FE129" s="106"/>
      <c r="FF129" s="106"/>
      <c r="FG129" s="106"/>
      <c r="FH129" s="106"/>
      <c r="FI129" s="106"/>
      <c r="FJ129" s="106"/>
      <c r="FK129" s="106"/>
      <c r="FL129" s="106"/>
      <c r="FM129" s="106"/>
      <c r="FN129" s="106"/>
      <c r="FO129" s="106"/>
      <c r="FP129" s="106"/>
      <c r="FQ129" s="106"/>
      <c r="FR129" s="106"/>
      <c r="FS129" s="106"/>
      <c r="FT129" s="106"/>
      <c r="FU129" s="106"/>
      <c r="FV129" s="106"/>
      <c r="FW129" s="106"/>
      <c r="FX129" s="106"/>
      <c r="FY129" s="106"/>
      <c r="FZ129" s="106"/>
      <c r="GA129" s="106"/>
      <c r="GB129" s="106"/>
      <c r="GC129" s="106"/>
      <c r="GD129" s="106"/>
      <c r="GE129" s="106"/>
      <c r="GF129" s="106"/>
      <c r="GG129" s="106"/>
      <c r="GH129" s="106"/>
      <c r="GI129" s="106"/>
      <c r="GJ129" s="106"/>
      <c r="GK129" s="106"/>
      <c r="GL129" s="106"/>
      <c r="GM129" s="106"/>
      <c r="GN129" s="106"/>
      <c r="GO129" s="106"/>
      <c r="GP129" s="106"/>
      <c r="GQ129" s="106"/>
      <c r="GR129" s="106"/>
      <c r="GS129" s="106"/>
      <c r="GT129" s="106"/>
      <c r="GU129" s="106"/>
      <c r="GV129" s="106"/>
      <c r="GW129" s="106"/>
      <c r="GX129" s="106"/>
      <c r="GY129" s="106"/>
      <c r="GZ129" s="106"/>
      <c r="HA129" s="106"/>
      <c r="HB129" s="106"/>
      <c r="HC129" s="106"/>
      <c r="HD129" s="106"/>
      <c r="HE129" s="106"/>
      <c r="HF129" s="106"/>
      <c r="HG129" s="106"/>
      <c r="HH129" s="106"/>
      <c r="HI129" s="106"/>
      <c r="HJ129" s="106"/>
      <c r="HK129" s="106"/>
      <c r="HL129" s="106"/>
      <c r="HM129" s="106"/>
      <c r="HN129" s="106"/>
      <c r="HO129" s="106"/>
      <c r="HP129" s="106"/>
      <c r="HQ129" s="106"/>
      <c r="HR129" s="106"/>
      <c r="HS129" s="106"/>
      <c r="HT129" s="106"/>
      <c r="HU129" s="106"/>
      <c r="HV129" s="106"/>
      <c r="HW129" s="106"/>
      <c r="HX129" s="106"/>
      <c r="HY129" s="106"/>
      <c r="HZ129" s="106"/>
      <c r="IA129" s="106"/>
      <c r="IB129" s="106"/>
      <c r="IC129" s="106"/>
      <c r="ID129" s="106"/>
      <c r="IE129" s="106"/>
      <c r="IF129" s="106"/>
      <c r="IG129" s="106"/>
      <c r="IH129" s="106"/>
      <c r="II129" s="106"/>
      <c r="IJ129" s="106"/>
      <c r="IK129" s="106"/>
      <c r="IL129" s="106"/>
      <c r="IM129" s="106"/>
      <c r="IN129" s="106"/>
      <c r="IO129" s="118"/>
      <c r="IP129" s="118"/>
      <c r="IQ129" s="118"/>
      <c r="IR129" s="118"/>
      <c r="IS129" s="118"/>
      <c r="IT129" s="118"/>
      <c r="IU129" s="118"/>
      <c r="IV129" s="118"/>
      <c r="IW129" s="118"/>
      <c r="IX129" s="118"/>
      <c r="IY129" s="118"/>
      <c r="IZ129" s="118"/>
      <c r="JA129" s="118"/>
      <c r="JB129" s="118"/>
      <c r="JC129" s="118"/>
      <c r="JD129" s="118"/>
      <c r="JE129" s="118"/>
      <c r="JF129" s="118"/>
      <c r="JG129" s="118"/>
      <c r="JH129" s="118"/>
      <c r="JI129" s="118"/>
      <c r="JJ129" s="118"/>
      <c r="JK129" s="118"/>
      <c r="JL129" s="118"/>
      <c r="JM129" s="118"/>
      <c r="JN129" s="118"/>
      <c r="JO129" s="118"/>
      <c r="JP129" s="118"/>
      <c r="JQ129" s="118"/>
      <c r="JR129" s="118"/>
      <c r="JS129" s="118"/>
      <c r="JT129" s="118"/>
      <c r="JU129" s="118"/>
      <c r="JV129" s="118"/>
      <c r="JW129" s="118"/>
      <c r="JX129" s="118"/>
      <c r="JY129" s="118"/>
      <c r="JZ129" s="118"/>
      <c r="KA129" s="118"/>
      <c r="KB129" s="118"/>
      <c r="KC129" s="118"/>
      <c r="KD129" s="118"/>
      <c r="KE129" s="118"/>
      <c r="KF129" s="118"/>
      <c r="KG129" s="118"/>
      <c r="KH129" s="118"/>
      <c r="KI129" s="118"/>
      <c r="KJ129" s="118"/>
      <c r="KK129" s="118"/>
      <c r="KL129" s="118"/>
      <c r="KM129" s="118"/>
      <c r="KN129" s="118"/>
      <c r="KO129" s="118"/>
      <c r="KP129" s="118"/>
      <c r="KQ129" s="118"/>
      <c r="KR129" s="118"/>
      <c r="KS129" s="118"/>
      <c r="KT129" s="118"/>
      <c r="KU129" s="118"/>
      <c r="KV129" s="118"/>
      <c r="KW129" s="118"/>
      <c r="KX129" s="118"/>
      <c r="KY129" s="118"/>
      <c r="KZ129" s="118"/>
      <c r="LA129" s="118"/>
      <c r="LB129" s="118"/>
      <c r="LC129" s="118"/>
      <c r="LD129" s="118"/>
      <c r="LE129" s="118"/>
      <c r="LF129" s="118"/>
      <c r="LG129" s="118"/>
      <c r="LH129" s="118"/>
      <c r="LI129" s="118"/>
      <c r="LJ129" s="118"/>
      <c r="LK129" s="118"/>
      <c r="LL129" s="118"/>
      <c r="LM129" s="118"/>
      <c r="LN129" s="118"/>
      <c r="LO129" s="118"/>
      <c r="LP129" s="118"/>
      <c r="LQ129" s="118"/>
      <c r="LR129" s="118"/>
      <c r="LS129" s="118"/>
      <c r="LT129" s="118"/>
      <c r="LU129" s="118"/>
      <c r="LV129" s="118"/>
      <c r="LW129" s="118"/>
      <c r="LX129" s="118"/>
      <c r="LY129" s="118"/>
      <c r="LZ129" s="118"/>
      <c r="MA129" s="118"/>
      <c r="MB129" s="118"/>
      <c r="MC129" s="118"/>
      <c r="MD129" s="118"/>
      <c r="ME129" s="118"/>
      <c r="MF129" s="118"/>
      <c r="MG129" s="118"/>
      <c r="MH129" s="118"/>
      <c r="MI129" s="118"/>
      <c r="MJ129" s="118"/>
      <c r="MK129" s="118"/>
      <c r="ML129" s="118"/>
      <c r="MM129" s="118"/>
      <c r="MN129" s="118"/>
      <c r="MO129" s="118"/>
      <c r="MP129" s="118"/>
      <c r="MQ129" s="118"/>
      <c r="MR129" s="118"/>
      <c r="MS129" s="118"/>
      <c r="MT129" s="118"/>
      <c r="MU129" s="118"/>
      <c r="MV129" s="118"/>
      <c r="MW129" s="118"/>
      <c r="MX129" s="118"/>
      <c r="MY129" s="118"/>
      <c r="MZ129" s="118"/>
      <c r="NA129" s="118"/>
      <c r="NB129" s="118"/>
      <c r="NC129" s="118"/>
      <c r="ND129" s="118"/>
      <c r="NE129" s="118"/>
      <c r="NF129" s="118"/>
      <c r="NG129" s="118"/>
      <c r="NH129" s="118"/>
      <c r="NI129" s="118"/>
      <c r="NJ129" s="118"/>
      <c r="NK129" s="118"/>
      <c r="NL129" s="118"/>
      <c r="NM129" s="118"/>
      <c r="NN129" s="118"/>
      <c r="NO129" s="118"/>
      <c r="NP129" s="118"/>
      <c r="NQ129" s="118"/>
      <c r="NR129" s="118"/>
      <c r="NS129" s="118"/>
      <c r="NT129" s="118"/>
      <c r="NU129" s="118"/>
      <c r="NV129" s="118"/>
      <c r="NW129" s="118"/>
      <c r="NX129" s="118"/>
      <c r="NY129" s="118"/>
      <c r="NZ129" s="118"/>
      <c r="OA129" s="118"/>
      <c r="OB129" s="118"/>
      <c r="OC129" s="118"/>
      <c r="OD129" s="118"/>
      <c r="OE129" s="118"/>
      <c r="OF129" s="118"/>
      <c r="OG129" s="118"/>
      <c r="OH129" s="118"/>
      <c r="OI129" s="118"/>
      <c r="OJ129" s="118"/>
      <c r="OK129" s="118"/>
      <c r="OL129" s="118"/>
      <c r="OM129" s="118"/>
      <c r="ON129" s="118"/>
      <c r="OO129" s="118"/>
      <c r="OP129" s="118"/>
      <c r="OQ129" s="118"/>
      <c r="OR129" s="118"/>
      <c r="OS129" s="118"/>
      <c r="OT129" s="118"/>
      <c r="OU129" s="118"/>
      <c r="OV129" s="118"/>
      <c r="OW129" s="118"/>
      <c r="OX129" s="118"/>
      <c r="OY129" s="118"/>
      <c r="OZ129" s="118"/>
      <c r="PA129" s="118"/>
      <c r="PB129" s="118"/>
      <c r="PC129" s="118"/>
      <c r="PD129" s="118"/>
      <c r="PE129" s="118"/>
      <c r="PF129" s="118"/>
      <c r="PG129" s="118"/>
      <c r="PH129" s="118"/>
      <c r="PI129" s="118"/>
      <c r="PJ129" s="118"/>
      <c r="PK129" s="118"/>
      <c r="PL129" s="118"/>
      <c r="PM129" s="118"/>
      <c r="PN129" s="118"/>
      <c r="PO129" s="118"/>
      <c r="PP129" s="118"/>
      <c r="PQ129" s="118"/>
      <c r="PR129" s="118"/>
      <c r="PS129" s="118"/>
      <c r="PT129" s="118"/>
      <c r="PU129" s="118"/>
      <c r="PV129" s="118"/>
      <c r="PW129" s="118"/>
      <c r="PX129" s="118"/>
      <c r="PY129" s="118"/>
      <c r="PZ129" s="118"/>
      <c r="QA129" s="118"/>
      <c r="QB129" s="118"/>
      <c r="QC129" s="118"/>
      <c r="QD129" s="118"/>
      <c r="QE129" s="118"/>
      <c r="QF129" s="118"/>
      <c r="QG129" s="118"/>
      <c r="QH129" s="118"/>
      <c r="QI129" s="118"/>
      <c r="QJ129" s="118"/>
      <c r="QK129" s="118"/>
      <c r="QL129" s="118"/>
      <c r="QM129" s="118"/>
      <c r="QN129" s="118"/>
      <c r="QO129" s="118"/>
      <c r="QP129" s="118"/>
      <c r="QQ129" s="118"/>
      <c r="QR129" s="118"/>
      <c r="QS129" s="118"/>
      <c r="QT129" s="118"/>
      <c r="QU129" s="118"/>
      <c r="QV129" s="118"/>
      <c r="QW129" s="118"/>
      <c r="QX129" s="118"/>
      <c r="QY129" s="118"/>
      <c r="QZ129" s="118"/>
      <c r="RA129" s="118"/>
      <c r="RB129" s="118"/>
      <c r="RC129" s="118"/>
      <c r="RD129" s="118"/>
      <c r="RE129" s="118"/>
      <c r="RF129" s="118"/>
      <c r="RG129" s="118"/>
      <c r="RH129" s="118"/>
      <c r="RI129" s="118"/>
      <c r="RJ129" s="118"/>
      <c r="RK129" s="118"/>
      <c r="RL129" s="118"/>
      <c r="RM129" s="118"/>
      <c r="RN129" s="118"/>
      <c r="RO129" s="118"/>
      <c r="RP129" s="118"/>
      <c r="RQ129" s="118"/>
      <c r="RR129" s="118"/>
      <c r="RS129" s="118"/>
      <c r="RT129" s="118"/>
      <c r="RU129" s="118"/>
      <c r="RV129" s="118"/>
      <c r="RW129" s="118"/>
      <c r="RX129" s="118"/>
      <c r="RY129" s="118"/>
      <c r="RZ129" s="118"/>
      <c r="SA129" s="118"/>
      <c r="SB129" s="118"/>
      <c r="SC129" s="118"/>
      <c r="SD129" s="118"/>
      <c r="SE129" s="118"/>
      <c r="SF129" s="118"/>
      <c r="SG129" s="118"/>
      <c r="SH129" s="118"/>
      <c r="SI129" s="118"/>
      <c r="SJ129" s="118"/>
      <c r="SK129" s="118"/>
      <c r="SL129" s="118"/>
      <c r="SM129" s="118"/>
      <c r="SN129" s="118"/>
      <c r="SO129" s="118"/>
      <c r="SP129" s="118"/>
      <c r="SQ129" s="118"/>
      <c r="SR129" s="118"/>
      <c r="SS129" s="118"/>
      <c r="ST129" s="118"/>
      <c r="SU129" s="118"/>
      <c r="SV129" s="118"/>
      <c r="SW129" s="118"/>
      <c r="SX129" s="118"/>
      <c r="SY129" s="118"/>
      <c r="SZ129" s="118"/>
      <c r="TA129" s="118"/>
      <c r="TB129" s="118"/>
      <c r="TC129" s="118"/>
      <c r="TD129" s="118"/>
      <c r="TE129" s="118"/>
      <c r="TF129" s="118"/>
      <c r="TG129" s="118"/>
      <c r="TH129" s="118"/>
      <c r="TI129" s="118"/>
      <c r="TJ129" s="118"/>
      <c r="TK129" s="118"/>
      <c r="TL129" s="118"/>
      <c r="TM129" s="118"/>
      <c r="TN129" s="118"/>
      <c r="TO129" s="118"/>
      <c r="TP129" s="118"/>
      <c r="TQ129" s="118"/>
      <c r="TR129" s="118"/>
      <c r="TS129" s="118"/>
      <c r="TT129" s="118"/>
      <c r="TU129" s="118"/>
      <c r="TV129" s="118"/>
      <c r="TW129" s="118"/>
      <c r="TX129" s="118"/>
      <c r="TY129" s="118"/>
      <c r="TZ129" s="118"/>
      <c r="UA129" s="118"/>
      <c r="UB129" s="118"/>
      <c r="UC129" s="118"/>
      <c r="UD129" s="118"/>
      <c r="UE129" s="118"/>
      <c r="UF129" s="118"/>
      <c r="UG129" s="118"/>
      <c r="UH129" s="118"/>
      <c r="UI129" s="118"/>
      <c r="UJ129" s="118"/>
      <c r="UK129" s="118"/>
      <c r="UL129" s="118"/>
      <c r="UM129" s="118"/>
      <c r="UN129" s="118"/>
      <c r="UO129" s="118"/>
      <c r="UP129" s="118"/>
      <c r="UQ129" s="118"/>
      <c r="UR129" s="118"/>
      <c r="US129" s="118"/>
      <c r="UT129" s="118"/>
      <c r="UU129" s="118"/>
      <c r="UV129" s="118"/>
      <c r="UW129" s="118"/>
      <c r="UX129" s="118"/>
      <c r="UY129" s="118"/>
      <c r="UZ129" s="118"/>
      <c r="VA129" s="118"/>
      <c r="VB129" s="118"/>
      <c r="VC129" s="118"/>
      <c r="VD129" s="118"/>
      <c r="VE129" s="118"/>
      <c r="VF129" s="118"/>
      <c r="VG129" s="118"/>
      <c r="VH129" s="118"/>
      <c r="VI129" s="118"/>
      <c r="VJ129" s="118"/>
      <c r="VK129" s="118"/>
      <c r="VL129" s="118"/>
      <c r="VM129" s="118"/>
      <c r="VN129" s="118"/>
      <c r="VO129" s="118"/>
      <c r="VP129" s="118"/>
      <c r="VQ129" s="118"/>
      <c r="VR129" s="118"/>
      <c r="VS129" s="118"/>
      <c r="VT129" s="118"/>
      <c r="VU129" s="118"/>
      <c r="VV129" s="118"/>
      <c r="VW129" s="118"/>
      <c r="VX129" s="118"/>
      <c r="VY129" s="118"/>
      <c r="VZ129" s="118"/>
      <c r="WA129" s="118"/>
      <c r="WB129" s="118"/>
      <c r="WC129" s="118"/>
      <c r="WD129" s="118"/>
      <c r="WE129" s="118"/>
      <c r="WF129" s="118"/>
      <c r="WG129" s="118"/>
      <c r="WH129" s="118"/>
      <c r="WI129" s="118"/>
      <c r="WJ129" s="118"/>
      <c r="WK129" s="118"/>
      <c r="WL129" s="118"/>
      <c r="WM129" s="118"/>
      <c r="WN129" s="118"/>
      <c r="WO129" s="118"/>
      <c r="WP129" s="118"/>
      <c r="WQ129" s="118"/>
      <c r="WR129" s="118"/>
      <c r="WS129" s="118"/>
      <c r="WT129" s="118"/>
      <c r="WU129" s="118"/>
      <c r="WV129" s="118"/>
      <c r="WW129" s="118"/>
      <c r="WX129" s="118"/>
      <c r="WY129" s="118"/>
      <c r="WZ129" s="118"/>
      <c r="XA129" s="118"/>
      <c r="XB129" s="118"/>
      <c r="XC129" s="118"/>
      <c r="XD129" s="118"/>
      <c r="XE129" s="118"/>
      <c r="XF129" s="118"/>
      <c r="XG129" s="118"/>
      <c r="XH129" s="118"/>
      <c r="XI129" s="118"/>
      <c r="XJ129" s="118"/>
      <c r="XK129" s="118"/>
      <c r="XL129" s="118"/>
      <c r="XM129" s="118"/>
      <c r="XN129" s="118"/>
      <c r="XO129" s="118"/>
      <c r="XP129" s="118"/>
      <c r="XQ129" s="118"/>
      <c r="XR129" s="118"/>
      <c r="XS129" s="118"/>
      <c r="XT129" s="118"/>
      <c r="XU129" s="118"/>
      <c r="XV129" s="118"/>
      <c r="XW129" s="118"/>
      <c r="XX129" s="118"/>
      <c r="XY129" s="118"/>
      <c r="XZ129" s="118"/>
      <c r="YA129" s="118"/>
      <c r="YB129" s="118"/>
      <c r="YC129" s="118"/>
      <c r="YD129" s="118"/>
      <c r="YE129" s="118"/>
      <c r="YF129" s="118"/>
      <c r="YG129" s="118"/>
      <c r="YH129" s="118"/>
      <c r="YI129" s="118"/>
      <c r="YJ129" s="118"/>
      <c r="YK129" s="118"/>
      <c r="YL129" s="118"/>
      <c r="YM129" s="118"/>
      <c r="YN129" s="118"/>
      <c r="YO129" s="118"/>
      <c r="YP129" s="118"/>
      <c r="YQ129" s="118"/>
      <c r="YR129" s="118"/>
      <c r="YS129" s="118"/>
      <c r="YT129" s="118"/>
      <c r="YU129" s="118"/>
      <c r="YV129" s="118"/>
      <c r="YW129" s="118"/>
      <c r="YX129" s="118"/>
      <c r="YY129" s="118"/>
      <c r="YZ129" s="118"/>
      <c r="ZA129" s="118"/>
      <c r="ZB129" s="118"/>
      <c r="ZC129" s="118"/>
      <c r="ZD129" s="118"/>
      <c r="ZE129" s="118"/>
      <c r="ZF129" s="118"/>
      <c r="ZG129" s="118"/>
      <c r="ZH129" s="118"/>
      <c r="ZI129" s="118"/>
      <c r="ZJ129" s="118"/>
      <c r="ZK129" s="118"/>
      <c r="ZL129" s="118"/>
      <c r="ZM129" s="118"/>
      <c r="ZN129" s="118"/>
      <c r="ZO129" s="118"/>
      <c r="ZP129" s="118"/>
      <c r="ZQ129" s="118"/>
      <c r="ZR129" s="118"/>
      <c r="ZS129" s="118"/>
      <c r="ZT129" s="118"/>
      <c r="ZU129" s="118"/>
      <c r="ZV129" s="118"/>
      <c r="ZW129" s="118"/>
      <c r="ZX129" s="118"/>
      <c r="ZY129" s="118"/>
      <c r="ZZ129" s="118"/>
      <c r="AAA129" s="118"/>
      <c r="AAB129" s="118"/>
      <c r="AAC129" s="118"/>
      <c r="AAD129" s="118"/>
      <c r="AAE129" s="118"/>
      <c r="AAF129" s="118"/>
      <c r="AAG129" s="118"/>
      <c r="AAH129" s="118"/>
      <c r="AAI129" s="118"/>
      <c r="AAJ129" s="118"/>
      <c r="AAK129" s="118"/>
      <c r="AAL129" s="118"/>
      <c r="AAM129" s="118"/>
      <c r="AAN129" s="118"/>
      <c r="AAO129" s="118"/>
      <c r="AAP129" s="118"/>
      <c r="AAQ129" s="118"/>
      <c r="AAR129" s="118"/>
      <c r="AAS129" s="118"/>
      <c r="AAT129" s="118"/>
      <c r="AAU129" s="118"/>
      <c r="AAV129" s="118"/>
      <c r="AAW129" s="118"/>
      <c r="AAX129" s="118"/>
      <c r="AAY129" s="118"/>
      <c r="AAZ129" s="118"/>
      <c r="ABA129" s="118"/>
      <c r="ABB129" s="118"/>
      <c r="ABC129" s="118"/>
      <c r="ABD129" s="118"/>
      <c r="ABE129" s="118"/>
      <c r="ABF129" s="118"/>
      <c r="ABG129" s="118"/>
      <c r="ABH129" s="118"/>
      <c r="ABI129" s="118"/>
      <c r="ABJ129" s="118"/>
      <c r="ABK129" s="118"/>
      <c r="ABL129" s="118"/>
      <c r="ABM129" s="118"/>
      <c r="ABN129" s="118"/>
      <c r="ABO129" s="118"/>
      <c r="ABP129" s="118"/>
      <c r="ABQ129" s="118"/>
      <c r="ABR129" s="118"/>
      <c r="ABS129" s="118"/>
      <c r="ABT129" s="118"/>
      <c r="ABU129" s="118"/>
      <c r="ABV129" s="118"/>
      <c r="ABW129" s="118"/>
      <c r="ABX129" s="118"/>
      <c r="ABY129" s="118"/>
      <c r="ABZ129" s="118"/>
      <c r="ACA129" s="118"/>
      <c r="ACB129" s="118"/>
      <c r="ACC129" s="118"/>
      <c r="ACD129" s="118"/>
      <c r="ACE129" s="118"/>
      <c r="ACF129" s="118"/>
      <c r="ACG129" s="118"/>
      <c r="ACH129" s="118"/>
      <c r="ACI129" s="118"/>
      <c r="ACJ129" s="118"/>
      <c r="ACK129" s="118"/>
      <c r="ACL129" s="118"/>
      <c r="ACM129" s="118"/>
      <c r="ACN129" s="118"/>
      <c r="ACO129" s="118"/>
      <c r="ACP129" s="118"/>
      <c r="ACQ129" s="118"/>
      <c r="ACR129" s="118"/>
      <c r="ACS129" s="118"/>
      <c r="ACT129" s="118"/>
      <c r="ACU129" s="118"/>
      <c r="ACV129" s="118"/>
      <c r="ACW129" s="118"/>
      <c r="ACX129" s="118"/>
      <c r="ACY129" s="118"/>
      <c r="ACZ129" s="118"/>
      <c r="ADA129" s="118"/>
      <c r="ADB129" s="118"/>
      <c r="ADC129" s="118"/>
      <c r="ADD129" s="118"/>
      <c r="ADE129" s="118"/>
      <c r="ADF129" s="118"/>
      <c r="ADG129" s="118"/>
      <c r="ADH129" s="118"/>
      <c r="ADI129" s="118"/>
      <c r="ADJ129" s="118"/>
      <c r="ADK129" s="118"/>
      <c r="ADL129" s="118"/>
      <c r="ADM129" s="118"/>
      <c r="ADN129" s="118"/>
      <c r="ADO129" s="118"/>
      <c r="ADP129" s="118"/>
      <c r="ADQ129" s="118"/>
      <c r="ADR129" s="118"/>
      <c r="ADS129" s="118"/>
      <c r="ADT129" s="118"/>
      <c r="ADU129" s="118"/>
      <c r="ADV129" s="118"/>
      <c r="ADW129" s="118"/>
      <c r="ADX129" s="118"/>
      <c r="ADY129" s="118"/>
      <c r="ADZ129" s="118"/>
      <c r="AEA129" s="118"/>
      <c r="AEB129" s="118"/>
      <c r="AEC129" s="118"/>
      <c r="AED129" s="118"/>
      <c r="AEE129" s="118"/>
      <c r="AEF129" s="118"/>
      <c r="AEG129" s="118"/>
      <c r="AEH129" s="118"/>
      <c r="AEI129" s="118"/>
      <c r="AEJ129" s="118"/>
      <c r="AEK129" s="118"/>
      <c r="AEL129" s="118"/>
      <c r="AEM129" s="118"/>
      <c r="AEN129" s="118"/>
      <c r="AEO129" s="118"/>
      <c r="AEP129" s="118"/>
      <c r="AEQ129" s="118"/>
      <c r="AER129" s="118"/>
      <c r="AES129" s="118"/>
      <c r="AET129" s="118"/>
      <c r="AEU129" s="118"/>
      <c r="AEV129" s="118"/>
      <c r="AEW129" s="118"/>
      <c r="AEX129" s="118"/>
      <c r="AEY129" s="118"/>
      <c r="AEZ129" s="118"/>
      <c r="AFA129" s="118"/>
      <c r="AFB129" s="118"/>
      <c r="AFC129" s="118"/>
      <c r="AFD129" s="118"/>
      <c r="AFE129" s="118"/>
      <c r="AFF129" s="118"/>
      <c r="AFG129" s="118"/>
      <c r="AFH129" s="118"/>
      <c r="AFI129" s="118"/>
      <c r="AFJ129" s="118"/>
      <c r="AFK129" s="118"/>
      <c r="AFL129" s="118"/>
      <c r="AFM129" s="118"/>
      <c r="AFN129" s="118"/>
      <c r="AFO129" s="118"/>
      <c r="AFP129" s="118"/>
      <c r="AFQ129" s="118"/>
      <c r="AFR129" s="118"/>
      <c r="AFS129" s="118"/>
      <c r="AFT129" s="118"/>
      <c r="AFU129" s="118"/>
      <c r="AFV129" s="118"/>
      <c r="AFW129" s="118"/>
      <c r="AFX129" s="118"/>
      <c r="AFY129" s="118"/>
      <c r="AFZ129" s="118"/>
      <c r="AGA129" s="118"/>
      <c r="AGB129" s="118"/>
      <c r="AGC129" s="118"/>
      <c r="AGD129" s="118"/>
      <c r="AGE129" s="118"/>
      <c r="AGF129" s="118"/>
      <c r="AGG129" s="118"/>
      <c r="AGH129" s="118"/>
      <c r="AGI129" s="118"/>
      <c r="AGJ129" s="118"/>
      <c r="AGK129" s="118"/>
      <c r="AGL129" s="118"/>
      <c r="AGM129" s="118"/>
      <c r="AGN129" s="118"/>
      <c r="AGO129" s="118"/>
      <c r="AGP129" s="118"/>
      <c r="AGQ129" s="118"/>
      <c r="AGR129" s="118"/>
      <c r="AGS129" s="118"/>
      <c r="AGT129" s="118"/>
      <c r="AGU129" s="118"/>
      <c r="AGV129" s="118"/>
      <c r="AGW129" s="118"/>
      <c r="AGX129" s="118"/>
      <c r="AGY129" s="118"/>
      <c r="AGZ129" s="118"/>
      <c r="AHA129" s="118"/>
      <c r="AHB129" s="118"/>
      <c r="AHC129" s="118"/>
      <c r="AHD129" s="118"/>
      <c r="AHE129" s="118"/>
      <c r="AHF129" s="118"/>
      <c r="AHG129" s="118"/>
      <c r="AHH129" s="118"/>
      <c r="AHI129" s="118"/>
      <c r="AHJ129" s="118"/>
      <c r="AHK129" s="118"/>
      <c r="AHL129" s="118"/>
      <c r="AHM129" s="118"/>
      <c r="AHN129" s="118"/>
      <c r="AHO129" s="118"/>
      <c r="AHP129" s="118"/>
      <c r="AHQ129" s="118"/>
      <c r="AHR129" s="118"/>
      <c r="AHS129" s="118"/>
      <c r="AHT129" s="118"/>
      <c r="AHU129" s="118"/>
      <c r="AHV129" s="118"/>
      <c r="AHW129" s="118"/>
      <c r="AHX129" s="118"/>
      <c r="AHY129" s="118"/>
      <c r="AHZ129" s="118"/>
      <c r="AIA129" s="118"/>
      <c r="AIB129" s="118"/>
      <c r="AIC129" s="118"/>
      <c r="AID129" s="118"/>
      <c r="AIE129" s="118"/>
      <c r="AIF129" s="118"/>
      <c r="AIG129" s="118"/>
      <c r="AIH129" s="118"/>
      <c r="AII129" s="118"/>
      <c r="AIJ129" s="118"/>
      <c r="AIK129" s="118"/>
      <c r="AIL129" s="118"/>
      <c r="AIM129" s="118"/>
      <c r="AIN129" s="118"/>
      <c r="AIO129" s="118"/>
      <c r="AIP129" s="118"/>
      <c r="AIQ129" s="118"/>
      <c r="AIR129" s="118"/>
      <c r="AIS129" s="118"/>
      <c r="AIT129" s="118"/>
      <c r="AIU129" s="118"/>
      <c r="AIV129" s="118"/>
      <c r="AIW129" s="118"/>
      <c r="AIX129" s="118"/>
      <c r="AIY129" s="118"/>
      <c r="AIZ129" s="118"/>
      <c r="AJA129" s="118"/>
      <c r="AJB129" s="118"/>
      <c r="AJC129" s="118"/>
      <c r="AJD129" s="118"/>
      <c r="AJE129" s="118"/>
      <c r="AJF129" s="118"/>
      <c r="AJG129" s="118"/>
      <c r="AJH129" s="118"/>
      <c r="AJI129" s="118"/>
      <c r="AJJ129" s="118"/>
      <c r="AJK129" s="118"/>
      <c r="AJL129" s="118"/>
      <c r="AJM129" s="118"/>
      <c r="AJN129" s="118"/>
      <c r="AJO129" s="118"/>
      <c r="AJP129" s="118"/>
      <c r="AJQ129" s="118"/>
      <c r="AJR129" s="118"/>
      <c r="AJS129" s="118"/>
      <c r="AJT129" s="118"/>
      <c r="AJU129" s="118"/>
      <c r="AJV129" s="118"/>
      <c r="AJW129" s="118"/>
      <c r="AJX129" s="118"/>
      <c r="AJY129" s="118"/>
      <c r="AJZ129" s="118"/>
      <c r="AKA129" s="118"/>
      <c r="AKB129" s="118"/>
      <c r="AKC129" s="118"/>
      <c r="AKD129" s="118"/>
      <c r="AKE129" s="118"/>
      <c r="AKF129" s="118"/>
      <c r="AKG129" s="118"/>
      <c r="AKH129" s="118"/>
      <c r="AKI129" s="118"/>
      <c r="AKJ129" s="118"/>
      <c r="AKK129" s="118"/>
      <c r="AKL129" s="118"/>
      <c r="AKM129" s="118"/>
      <c r="AKN129" s="118"/>
      <c r="AKO129" s="118"/>
      <c r="AKP129" s="118"/>
      <c r="AKQ129" s="118"/>
      <c r="AKR129" s="118"/>
      <c r="AKS129" s="118"/>
      <c r="AKT129" s="118"/>
      <c r="AKU129" s="118"/>
      <c r="AKV129" s="118"/>
      <c r="AKW129" s="118"/>
      <c r="AKX129" s="118"/>
      <c r="AKY129" s="118"/>
      <c r="AKZ129" s="118"/>
      <c r="ALA129" s="118"/>
      <c r="ALB129" s="118"/>
      <c r="ALC129" s="118"/>
      <c r="ALD129" s="118"/>
      <c r="ALE129" s="118"/>
      <c r="ALF129" s="118"/>
      <c r="ALG129" s="118"/>
      <c r="ALH129" s="118"/>
      <c r="ALI129" s="118"/>
      <c r="ALJ129" s="118"/>
      <c r="ALK129" s="118"/>
      <c r="ALL129" s="118"/>
      <c r="ALM129" s="118"/>
      <c r="ALN129" s="118"/>
      <c r="ALO129" s="118"/>
      <c r="ALP129" s="118"/>
      <c r="ALQ129" s="118"/>
      <c r="ALR129" s="118"/>
      <c r="ALS129" s="118"/>
      <c r="ALT129" s="118"/>
      <c r="ALU129" s="118"/>
      <c r="ALV129" s="118"/>
      <c r="ALW129" s="118"/>
      <c r="ALX129" s="118"/>
      <c r="ALY129" s="118"/>
      <c r="ALZ129" s="118"/>
      <c r="AMA129" s="118"/>
      <c r="AMB129" s="118"/>
      <c r="AMC129" s="118"/>
      <c r="AMD129" s="118"/>
      <c r="AME129" s="118"/>
      <c r="AMF129" s="118"/>
      <c r="AMG129" s="118"/>
      <c r="AMH129" s="118"/>
      <c r="AMI129" s="118"/>
      <c r="AMJ129" s="118"/>
      <c r="AMK129" s="118"/>
      <c r="AML129" s="118"/>
      <c r="AMM129" s="118"/>
      <c r="AMN129" s="118"/>
      <c r="AMO129" s="118"/>
      <c r="AMP129" s="118"/>
      <c r="AMQ129" s="118"/>
      <c r="AMR129" s="118"/>
      <c r="AMS129" s="118"/>
      <c r="AMT129" s="118"/>
      <c r="AMU129" s="118"/>
      <c r="AMV129" s="118"/>
      <c r="AMW129" s="118"/>
      <c r="AMX129" s="118"/>
      <c r="AMY129" s="118"/>
      <c r="AMZ129" s="118"/>
      <c r="ANA129" s="118"/>
      <c r="ANB129" s="118"/>
      <c r="ANC129" s="118"/>
      <c r="AND129" s="118"/>
      <c r="ANE129" s="118"/>
      <c r="ANF129" s="118"/>
      <c r="ANG129" s="118"/>
      <c r="ANH129" s="118"/>
      <c r="ANI129" s="118"/>
      <c r="ANJ129" s="118"/>
      <c r="ANK129" s="118"/>
      <c r="ANL129" s="118"/>
      <c r="ANM129" s="118"/>
      <c r="ANN129" s="118"/>
      <c r="ANO129" s="118"/>
      <c r="ANP129" s="118"/>
      <c r="ANQ129" s="118"/>
      <c r="ANR129" s="118"/>
      <c r="ANS129" s="118"/>
      <c r="ANT129" s="118"/>
      <c r="ANU129" s="118"/>
      <c r="ANV129" s="118"/>
      <c r="ANW129" s="118"/>
      <c r="ANX129" s="118"/>
      <c r="ANY129" s="118"/>
      <c r="ANZ129" s="118"/>
      <c r="AOA129" s="118"/>
      <c r="AOB129" s="118"/>
      <c r="AOC129" s="118"/>
      <c r="AOD129" s="118"/>
      <c r="AOE129" s="118"/>
      <c r="AOF129" s="118"/>
      <c r="AOG129" s="118"/>
      <c r="AOH129" s="118"/>
      <c r="AOI129" s="118"/>
      <c r="AOJ129" s="118"/>
      <c r="AOK129" s="118"/>
      <c r="AOL129" s="118"/>
      <c r="AOM129" s="118"/>
      <c r="AON129" s="118"/>
      <c r="AOO129" s="118"/>
      <c r="AOP129" s="118"/>
      <c r="AOQ129" s="118"/>
      <c r="AOR129" s="118"/>
      <c r="AOS129" s="118"/>
      <c r="AOT129" s="118"/>
      <c r="AOU129" s="118"/>
      <c r="AOV129" s="118"/>
      <c r="AOW129" s="118"/>
      <c r="AOX129" s="118"/>
      <c r="AOY129" s="118"/>
      <c r="AOZ129" s="118"/>
      <c r="APA129" s="118"/>
      <c r="APB129" s="118"/>
      <c r="APC129" s="118"/>
      <c r="APD129" s="118"/>
      <c r="APE129" s="118"/>
      <c r="APF129" s="118"/>
      <c r="APG129" s="118"/>
      <c r="APH129" s="118"/>
      <c r="API129" s="118"/>
      <c r="APJ129" s="118"/>
      <c r="APK129" s="118"/>
      <c r="APL129" s="118"/>
      <c r="APM129" s="118"/>
      <c r="APN129" s="118"/>
      <c r="APO129" s="118"/>
      <c r="APP129" s="118"/>
      <c r="APQ129" s="118"/>
      <c r="APR129" s="118"/>
      <c r="APS129" s="118"/>
      <c r="APT129" s="118"/>
      <c r="APU129" s="118"/>
      <c r="APV129" s="118"/>
      <c r="APW129" s="118"/>
      <c r="APX129" s="118"/>
      <c r="APY129" s="118"/>
      <c r="APZ129" s="118"/>
      <c r="AQA129" s="118"/>
      <c r="AQB129" s="118"/>
      <c r="AQC129" s="118"/>
      <c r="AQD129" s="118"/>
      <c r="AQE129" s="118"/>
      <c r="AQF129" s="118"/>
      <c r="AQG129" s="118"/>
      <c r="AQH129" s="118"/>
      <c r="AQI129" s="118"/>
      <c r="AQJ129" s="118"/>
      <c r="AQK129" s="118"/>
      <c r="AQL129" s="118"/>
      <c r="AQM129" s="118"/>
      <c r="AQN129" s="118"/>
      <c r="AQO129" s="118"/>
      <c r="AQP129" s="118"/>
      <c r="AQQ129" s="118"/>
      <c r="AQR129" s="118"/>
      <c r="AQS129" s="118"/>
      <c r="AQT129" s="118"/>
      <c r="AQU129" s="118"/>
      <c r="AQV129" s="118"/>
      <c r="AQW129" s="118"/>
      <c r="AQX129" s="118"/>
      <c r="AQY129" s="118"/>
      <c r="AQZ129" s="118"/>
      <c r="ARA129" s="118"/>
      <c r="ARB129" s="118"/>
      <c r="ARC129" s="118"/>
      <c r="ARD129" s="118"/>
      <c r="ARE129" s="118"/>
      <c r="ARF129" s="118"/>
      <c r="ARG129" s="118"/>
      <c r="ARH129" s="118"/>
      <c r="ARI129" s="118"/>
      <c r="ARJ129" s="118"/>
      <c r="ARK129" s="118"/>
      <c r="ARL129" s="118"/>
      <c r="ARM129" s="118"/>
      <c r="ARN129" s="118"/>
      <c r="ARO129" s="118"/>
      <c r="ARP129" s="118"/>
      <c r="ARQ129" s="118"/>
      <c r="ARR129" s="118"/>
      <c r="ARS129" s="118"/>
      <c r="ART129" s="118"/>
      <c r="ARU129" s="118"/>
      <c r="ARV129" s="118"/>
      <c r="ARW129" s="118"/>
      <c r="ARX129" s="118"/>
      <c r="ARY129" s="118"/>
      <c r="ARZ129" s="118"/>
      <c r="ASA129" s="118"/>
      <c r="ASB129" s="118"/>
      <c r="ASC129" s="118"/>
      <c r="ASD129" s="118"/>
      <c r="ASE129" s="118"/>
      <c r="ASF129" s="118"/>
      <c r="ASG129" s="118"/>
      <c r="ASH129" s="118"/>
      <c r="ASI129" s="118"/>
      <c r="ASJ129" s="118"/>
      <c r="ASK129" s="118"/>
      <c r="ASL129" s="118"/>
      <c r="ASM129" s="118"/>
      <c r="ASN129" s="118"/>
      <c r="ASO129" s="118"/>
      <c r="ASP129" s="118"/>
      <c r="ASQ129" s="118"/>
      <c r="ASR129" s="118"/>
      <c r="ASS129" s="118"/>
      <c r="AST129" s="118"/>
      <c r="ASU129" s="118"/>
      <c r="ASV129" s="118"/>
      <c r="ASW129" s="118"/>
      <c r="ASX129" s="118"/>
      <c r="ASY129" s="118"/>
      <c r="ASZ129" s="118"/>
      <c r="ATA129" s="118"/>
      <c r="ATB129" s="118"/>
      <c r="ATC129" s="118"/>
      <c r="ATD129" s="118"/>
      <c r="ATE129" s="118"/>
      <c r="ATF129" s="118"/>
      <c r="ATG129" s="118"/>
      <c r="ATH129" s="118"/>
      <c r="ATI129" s="118"/>
      <c r="ATJ129" s="118"/>
      <c r="ATK129" s="118"/>
      <c r="ATL129" s="118"/>
      <c r="ATM129" s="118"/>
      <c r="ATN129" s="118"/>
      <c r="ATO129" s="118"/>
      <c r="ATP129" s="118"/>
      <c r="ATQ129" s="118"/>
      <c r="ATR129" s="118"/>
      <c r="ATS129" s="118"/>
      <c r="ATT129" s="118"/>
      <c r="ATU129" s="118"/>
      <c r="ATV129" s="118"/>
      <c r="ATW129" s="118"/>
      <c r="ATX129" s="118"/>
      <c r="ATY129" s="118"/>
      <c r="ATZ129" s="118"/>
      <c r="AUA129" s="118"/>
      <c r="AUB129" s="118"/>
      <c r="AUC129" s="118"/>
      <c r="AUD129" s="118"/>
      <c r="AUE129" s="118"/>
      <c r="AUF129" s="118"/>
      <c r="AUG129" s="118"/>
      <c r="AUH129" s="118"/>
      <c r="AUI129" s="118"/>
      <c r="AUJ129" s="118"/>
      <c r="AUK129" s="118"/>
      <c r="AUL129" s="118"/>
      <c r="AUM129" s="118"/>
      <c r="AUN129" s="118"/>
      <c r="AUO129" s="118"/>
      <c r="AUP129" s="118"/>
      <c r="AUQ129" s="118"/>
      <c r="AUR129" s="118"/>
      <c r="AUS129" s="118"/>
      <c r="AUT129" s="118"/>
      <c r="AUU129" s="118"/>
      <c r="AUV129" s="118"/>
      <c r="AUW129" s="118"/>
      <c r="AUX129" s="118"/>
      <c r="AUY129" s="118"/>
      <c r="AUZ129" s="118"/>
      <c r="AVA129" s="118"/>
      <c r="AVB129" s="118"/>
      <c r="AVC129" s="118"/>
      <c r="AVD129" s="118"/>
      <c r="AVE129" s="118"/>
      <c r="AVF129" s="118"/>
      <c r="AVG129" s="118"/>
      <c r="AVH129" s="118"/>
      <c r="AVI129" s="118"/>
      <c r="AVJ129" s="118"/>
      <c r="AVK129" s="118"/>
      <c r="AVL129" s="118"/>
      <c r="AVM129" s="118"/>
      <c r="AVN129" s="118"/>
      <c r="AVO129" s="118"/>
      <c r="AVP129" s="118"/>
      <c r="AVQ129" s="118"/>
      <c r="AVR129" s="118"/>
      <c r="AVS129" s="118"/>
      <c r="AVT129" s="118"/>
      <c r="AVU129" s="118"/>
      <c r="AVV129" s="118"/>
      <c r="AVW129" s="118"/>
      <c r="AVX129" s="118"/>
      <c r="AVY129" s="118"/>
      <c r="AVZ129" s="118"/>
      <c r="AWA129" s="118"/>
      <c r="AWB129" s="118"/>
      <c r="AWC129" s="118"/>
      <c r="AWD129" s="118"/>
      <c r="AWE129" s="118"/>
      <c r="AWF129" s="118"/>
      <c r="AWG129" s="118"/>
      <c r="AWH129" s="118"/>
      <c r="AWI129" s="118"/>
      <c r="AWJ129" s="118"/>
      <c r="AWK129" s="118"/>
      <c r="AWL129" s="118"/>
      <c r="AWM129" s="118"/>
      <c r="AWN129" s="118"/>
      <c r="AWO129" s="118"/>
      <c r="AWP129" s="118"/>
      <c r="AWQ129" s="118"/>
      <c r="AWR129" s="118"/>
      <c r="AWS129" s="118"/>
      <c r="AWT129" s="118"/>
      <c r="AWU129" s="118"/>
      <c r="AWV129" s="118"/>
      <c r="AWW129" s="118"/>
      <c r="AWX129" s="118"/>
      <c r="AWY129" s="118"/>
      <c r="AWZ129" s="118"/>
      <c r="AXA129" s="118"/>
      <c r="AXB129" s="118"/>
      <c r="AXC129" s="118"/>
      <c r="AXD129" s="118"/>
      <c r="AXE129" s="118"/>
      <c r="AXF129" s="118"/>
      <c r="AXG129" s="118"/>
      <c r="AXH129" s="118"/>
      <c r="AXI129" s="118"/>
      <c r="AXJ129" s="118"/>
      <c r="AXK129" s="118"/>
      <c r="AXL129" s="118"/>
      <c r="AXM129" s="118"/>
      <c r="AXN129" s="118"/>
      <c r="AXO129" s="118"/>
      <c r="AXP129" s="118"/>
      <c r="AXQ129" s="118"/>
      <c r="AXR129" s="118"/>
      <c r="AXS129" s="118"/>
      <c r="AXT129" s="118"/>
      <c r="AXU129" s="118"/>
      <c r="AXV129" s="118"/>
      <c r="AXW129" s="118"/>
      <c r="AXX129" s="118"/>
      <c r="AXY129" s="118"/>
      <c r="AXZ129" s="118"/>
      <c r="AYA129" s="118"/>
      <c r="AYB129" s="118"/>
      <c r="AYC129" s="118"/>
      <c r="AYD129" s="118"/>
      <c r="AYE129" s="118"/>
      <c r="AYF129" s="118"/>
      <c r="AYG129" s="118"/>
      <c r="AYH129" s="118"/>
      <c r="AYI129" s="118"/>
      <c r="AYJ129" s="118"/>
      <c r="AYK129" s="118"/>
      <c r="AYL129" s="118"/>
      <c r="AYM129" s="118"/>
      <c r="AYN129" s="118"/>
      <c r="AYO129" s="118"/>
      <c r="AYP129" s="118"/>
      <c r="AYQ129" s="118"/>
      <c r="AYR129" s="118"/>
      <c r="AYS129" s="118"/>
      <c r="AYT129" s="118"/>
      <c r="AYU129" s="118"/>
      <c r="AYV129" s="118"/>
      <c r="AYW129" s="118"/>
      <c r="AYX129" s="118"/>
      <c r="AYY129" s="118"/>
      <c r="AYZ129" s="118"/>
      <c r="AZA129" s="118"/>
      <c r="AZB129" s="118"/>
      <c r="AZC129" s="118"/>
      <c r="AZD129" s="118"/>
      <c r="AZE129" s="118"/>
      <c r="AZF129" s="118"/>
      <c r="AZG129" s="118"/>
      <c r="AZH129" s="118"/>
      <c r="AZI129" s="118"/>
      <c r="AZJ129" s="118"/>
      <c r="AZK129" s="118"/>
      <c r="AZL129" s="118"/>
      <c r="AZM129" s="118"/>
      <c r="AZN129" s="118"/>
      <c r="AZO129" s="118"/>
      <c r="AZP129" s="118"/>
      <c r="AZQ129" s="118"/>
      <c r="AZR129" s="118"/>
      <c r="AZS129" s="118"/>
      <c r="AZT129" s="118"/>
      <c r="AZU129" s="118"/>
      <c r="AZV129" s="118"/>
      <c r="AZW129" s="118"/>
      <c r="AZX129" s="118"/>
      <c r="AZY129" s="118"/>
      <c r="AZZ129" s="118"/>
      <c r="BAA129" s="118"/>
      <c r="BAB129" s="118"/>
      <c r="BAC129" s="118"/>
      <c r="BAD129" s="118"/>
      <c r="BAE129" s="118"/>
      <c r="BAF129" s="118"/>
      <c r="BAG129" s="118"/>
      <c r="BAH129" s="118"/>
      <c r="BAI129" s="118"/>
      <c r="BAJ129" s="118"/>
      <c r="BAK129" s="118"/>
      <c r="BAL129" s="118"/>
      <c r="BAM129" s="118"/>
      <c r="BAN129" s="118"/>
      <c r="BAO129" s="118"/>
      <c r="BAP129" s="118"/>
      <c r="BAQ129" s="118"/>
      <c r="BAR129" s="118"/>
      <c r="BAS129" s="118"/>
      <c r="BAT129" s="118"/>
      <c r="BAU129" s="118"/>
      <c r="BAV129" s="118"/>
      <c r="BAW129" s="118"/>
      <c r="BAX129" s="118"/>
      <c r="BAY129" s="118"/>
      <c r="BAZ129" s="118"/>
      <c r="BBA129" s="118"/>
      <c r="BBB129" s="118"/>
      <c r="BBC129" s="118"/>
      <c r="BBD129" s="118"/>
      <c r="BBE129" s="118"/>
      <c r="BBF129" s="118"/>
      <c r="BBG129" s="118"/>
      <c r="BBH129" s="118"/>
      <c r="BBI129" s="118"/>
      <c r="BBJ129" s="118"/>
      <c r="BBK129" s="118"/>
      <c r="BBL129" s="118"/>
      <c r="BBM129" s="118"/>
      <c r="BBN129" s="118"/>
      <c r="BBO129" s="118"/>
      <c r="BBP129" s="118"/>
      <c r="BBQ129" s="118"/>
      <c r="BBR129" s="118"/>
      <c r="BBS129" s="118"/>
      <c r="BBT129" s="118"/>
      <c r="BBU129" s="118"/>
      <c r="BBV129" s="118"/>
      <c r="BBW129" s="118"/>
      <c r="BBX129" s="118"/>
      <c r="BBY129" s="118"/>
      <c r="BBZ129" s="118"/>
      <c r="BCA129" s="118"/>
      <c r="BCB129" s="118"/>
      <c r="BCC129" s="118"/>
      <c r="BCD129" s="118"/>
      <c r="BCE129" s="118"/>
      <c r="BCF129" s="118"/>
      <c r="BCG129" s="118"/>
      <c r="BCH129" s="118"/>
      <c r="BCI129" s="118"/>
      <c r="BCJ129" s="118"/>
      <c r="BCK129" s="118"/>
      <c r="BCL129" s="118"/>
      <c r="BCM129" s="118"/>
      <c r="BCN129" s="118"/>
      <c r="BCO129" s="118"/>
      <c r="BCP129" s="118"/>
      <c r="BCQ129" s="118"/>
      <c r="BCR129" s="118"/>
      <c r="BCS129" s="118"/>
      <c r="BCT129" s="118"/>
      <c r="BCU129" s="118"/>
      <c r="BCV129" s="118"/>
      <c r="BCW129" s="118"/>
      <c r="BCX129" s="118"/>
      <c r="BCY129" s="118"/>
      <c r="BCZ129" s="118"/>
      <c r="BDA129" s="118"/>
      <c r="BDB129" s="118"/>
      <c r="BDC129" s="118"/>
      <c r="BDD129" s="118"/>
      <c r="BDE129" s="118"/>
      <c r="BDF129" s="118"/>
      <c r="BDG129" s="118"/>
      <c r="BDH129" s="118"/>
      <c r="BDI129" s="118"/>
      <c r="BDJ129" s="118"/>
      <c r="BDK129" s="118"/>
      <c r="BDL129" s="118"/>
      <c r="BDM129" s="118"/>
      <c r="BDN129" s="118"/>
      <c r="BDO129" s="118"/>
      <c r="BDP129" s="118"/>
      <c r="BDQ129" s="118"/>
      <c r="BDR129" s="118"/>
      <c r="BDS129" s="118"/>
      <c r="BDT129" s="118"/>
      <c r="BDU129" s="118"/>
      <c r="BDV129" s="118"/>
      <c r="BDW129" s="118"/>
      <c r="BDX129" s="118"/>
      <c r="BDY129" s="118"/>
      <c r="BDZ129" s="118"/>
      <c r="BEA129" s="118"/>
      <c r="BEB129" s="118"/>
      <c r="BEC129" s="118"/>
      <c r="BED129" s="118"/>
      <c r="BEE129" s="118"/>
      <c r="BEF129" s="118"/>
      <c r="BEG129" s="118"/>
      <c r="BEH129" s="118"/>
      <c r="BEI129" s="118"/>
      <c r="BEJ129" s="118"/>
      <c r="BEK129" s="118"/>
      <c r="BEL129" s="118"/>
      <c r="BEM129" s="118"/>
      <c r="BEN129" s="118"/>
      <c r="BEO129" s="118"/>
      <c r="BEP129" s="118"/>
      <c r="BEQ129" s="118"/>
      <c r="BER129" s="118"/>
      <c r="BES129" s="118"/>
      <c r="BET129" s="118"/>
      <c r="BEU129" s="118"/>
      <c r="BEV129" s="118"/>
      <c r="BEW129" s="118"/>
      <c r="BEX129" s="118"/>
      <c r="BEY129" s="118"/>
      <c r="BEZ129" s="118"/>
      <c r="BFA129" s="118"/>
      <c r="BFB129" s="118"/>
      <c r="BFC129" s="118"/>
      <c r="BFD129" s="118"/>
      <c r="BFE129" s="118"/>
      <c r="BFF129" s="118"/>
      <c r="BFG129" s="118"/>
      <c r="BFH129" s="118"/>
      <c r="BFI129" s="118"/>
      <c r="BFJ129" s="118"/>
      <c r="BFK129" s="118"/>
      <c r="BFL129" s="118"/>
      <c r="BFM129" s="118"/>
      <c r="BFN129" s="118"/>
      <c r="BFO129" s="118"/>
      <c r="BFP129" s="118"/>
      <c r="BFQ129" s="118"/>
      <c r="BFR129" s="118"/>
      <c r="BFS129" s="118"/>
      <c r="BFT129" s="118"/>
      <c r="BFU129" s="118"/>
      <c r="BFV129" s="118"/>
      <c r="BFW129" s="118"/>
      <c r="BFX129" s="118"/>
      <c r="BFY129" s="118"/>
      <c r="BFZ129" s="118"/>
      <c r="BGA129" s="118"/>
      <c r="BGB129" s="118"/>
      <c r="BGC129" s="118"/>
      <c r="BGD129" s="118"/>
      <c r="BGE129" s="118"/>
      <c r="BGF129" s="118"/>
      <c r="BGG129" s="118"/>
      <c r="BGH129" s="118"/>
      <c r="BGI129" s="118"/>
      <c r="BGJ129" s="118"/>
      <c r="BGK129" s="118"/>
      <c r="BGL129" s="118"/>
      <c r="BGM129" s="118"/>
      <c r="BGN129" s="118"/>
      <c r="BGO129" s="118"/>
      <c r="BGP129" s="118"/>
      <c r="BGQ129" s="118"/>
      <c r="BGR129" s="118"/>
      <c r="BGS129" s="118"/>
      <c r="BGT129" s="118"/>
      <c r="BGU129" s="118"/>
      <c r="BGV129" s="118"/>
      <c r="BGW129" s="118"/>
      <c r="BGX129" s="118"/>
      <c r="BGY129" s="118"/>
      <c r="BGZ129" s="118"/>
      <c r="BHA129" s="118"/>
      <c r="BHB129" s="118"/>
      <c r="BHC129" s="118"/>
      <c r="BHD129" s="118"/>
      <c r="BHE129" s="118"/>
      <c r="BHF129" s="118"/>
      <c r="BHG129" s="118"/>
      <c r="BHH129" s="118"/>
      <c r="BHI129" s="118"/>
      <c r="BHJ129" s="118"/>
      <c r="BHK129" s="118"/>
      <c r="BHL129" s="118"/>
      <c r="BHM129" s="118"/>
      <c r="BHN129" s="118"/>
      <c r="BHO129" s="118"/>
      <c r="BHP129" s="118"/>
      <c r="BHQ129" s="118"/>
      <c r="BHR129" s="118"/>
      <c r="BHS129" s="118"/>
      <c r="BHT129" s="118"/>
      <c r="BHU129" s="118"/>
      <c r="BHV129" s="118"/>
      <c r="BHW129" s="118"/>
      <c r="BHX129" s="118"/>
      <c r="BHY129" s="118"/>
      <c r="BHZ129" s="118"/>
      <c r="BIA129" s="118"/>
      <c r="BIB129" s="118"/>
      <c r="BIC129" s="118"/>
      <c r="BID129" s="118"/>
      <c r="BIE129" s="118"/>
      <c r="BIF129" s="118"/>
      <c r="BIG129" s="118"/>
      <c r="BIH129" s="118"/>
      <c r="BII129" s="118"/>
      <c r="BIJ129" s="118"/>
      <c r="BIK129" s="118"/>
      <c r="BIL129" s="118"/>
      <c r="BIM129" s="118"/>
      <c r="BIN129" s="118"/>
      <c r="BIO129" s="118"/>
      <c r="BIP129" s="118"/>
      <c r="BIQ129" s="118"/>
      <c r="BIR129" s="118"/>
      <c r="BIS129" s="118"/>
      <c r="BIT129" s="118"/>
      <c r="BIU129" s="118"/>
      <c r="BIV129" s="118"/>
      <c r="BIW129" s="118"/>
      <c r="BIX129" s="118"/>
      <c r="BIY129" s="118"/>
      <c r="BIZ129" s="118"/>
      <c r="BJA129" s="118"/>
      <c r="BJB129" s="118"/>
      <c r="BJC129" s="118"/>
      <c r="BJD129" s="118"/>
      <c r="BJE129" s="118"/>
      <c r="BJF129" s="118"/>
      <c r="BJG129" s="118"/>
      <c r="BJH129" s="118"/>
      <c r="BJI129" s="118"/>
      <c r="BJJ129" s="118"/>
      <c r="BJK129" s="118"/>
      <c r="BJL129" s="118"/>
      <c r="BJM129" s="118"/>
      <c r="BJN129" s="118"/>
      <c r="BJO129" s="118"/>
      <c r="BJP129" s="118"/>
      <c r="BJQ129" s="118"/>
      <c r="BJR129" s="118"/>
      <c r="BJS129" s="118"/>
      <c r="BJT129" s="118"/>
      <c r="BJU129" s="118"/>
      <c r="BJV129" s="118"/>
      <c r="BJW129" s="118"/>
      <c r="BJX129" s="118"/>
      <c r="BJY129" s="118"/>
      <c r="BJZ129" s="118"/>
      <c r="BKA129" s="118"/>
      <c r="BKB129" s="118"/>
      <c r="BKC129" s="118"/>
      <c r="BKD129" s="118"/>
      <c r="BKE129" s="118"/>
      <c r="BKF129" s="118"/>
      <c r="BKG129" s="118"/>
      <c r="BKH129" s="118"/>
      <c r="BKI129" s="118"/>
      <c r="BKJ129" s="118"/>
      <c r="BKK129" s="118"/>
      <c r="BKL129" s="118"/>
      <c r="BKM129" s="118"/>
      <c r="BKN129" s="118"/>
      <c r="BKO129" s="118"/>
      <c r="BKP129" s="118"/>
      <c r="BKQ129" s="118"/>
      <c r="BKR129" s="118"/>
      <c r="BKS129" s="118"/>
      <c r="BKT129" s="118"/>
      <c r="BKU129" s="118"/>
      <c r="BKV129" s="118"/>
      <c r="BKW129" s="118"/>
      <c r="BKX129" s="118"/>
      <c r="BKY129" s="118"/>
      <c r="BKZ129" s="118"/>
      <c r="BLA129" s="118"/>
      <c r="BLB129" s="118"/>
      <c r="BLC129" s="118"/>
      <c r="BLD129" s="118"/>
      <c r="BLE129" s="118"/>
      <c r="BLF129" s="118"/>
      <c r="BLG129" s="118"/>
      <c r="BLH129" s="118"/>
      <c r="BLI129" s="118"/>
      <c r="BLJ129" s="118"/>
      <c r="BLK129" s="118"/>
      <c r="BLL129" s="118"/>
      <c r="BLM129" s="118"/>
      <c r="BLN129" s="118"/>
      <c r="BLO129" s="118"/>
      <c r="BLP129" s="118"/>
      <c r="BLQ129" s="118"/>
      <c r="BLR129" s="118"/>
      <c r="BLS129" s="118"/>
      <c r="BLT129" s="118"/>
      <c r="BLU129" s="118"/>
      <c r="BLV129" s="118"/>
      <c r="BLW129" s="118"/>
      <c r="BLX129" s="118"/>
      <c r="BLY129" s="118"/>
      <c r="BLZ129" s="118"/>
      <c r="BMA129" s="118"/>
      <c r="BMB129" s="118"/>
      <c r="BMC129" s="118"/>
      <c r="BMD129" s="118"/>
      <c r="BME129" s="118"/>
      <c r="BMF129" s="118"/>
      <c r="BMG129" s="118"/>
      <c r="BMH129" s="118"/>
      <c r="BMI129" s="118"/>
      <c r="BMJ129" s="118"/>
      <c r="BMK129" s="118"/>
      <c r="BML129" s="118"/>
      <c r="BMM129" s="118"/>
      <c r="BMN129" s="118"/>
      <c r="BMO129" s="118"/>
      <c r="BMP129" s="118"/>
      <c r="BMQ129" s="118"/>
      <c r="BMR129" s="118"/>
      <c r="BMS129" s="118"/>
      <c r="BMT129" s="118"/>
      <c r="BMU129" s="118"/>
      <c r="BMV129" s="118"/>
      <c r="BMW129" s="118"/>
      <c r="BMX129" s="118"/>
      <c r="BMY129" s="118"/>
      <c r="BMZ129" s="118"/>
      <c r="BNA129" s="118"/>
      <c r="BNB129" s="118"/>
      <c r="BNC129" s="118"/>
      <c r="BND129" s="118"/>
      <c r="BNE129" s="118"/>
      <c r="BNF129" s="118"/>
      <c r="BNG129" s="118"/>
      <c r="BNH129" s="118"/>
      <c r="BNI129" s="118"/>
      <c r="BNJ129" s="118"/>
      <c r="BNK129" s="118"/>
      <c r="BNL129" s="118"/>
      <c r="BNM129" s="118"/>
      <c r="BNN129" s="118"/>
      <c r="BNO129" s="118"/>
      <c r="BNP129" s="118"/>
      <c r="BNQ129" s="118"/>
      <c r="BNR129" s="118"/>
      <c r="BNS129" s="118"/>
      <c r="BNT129" s="118"/>
      <c r="BNU129" s="118"/>
      <c r="BNV129" s="118"/>
      <c r="BNW129" s="118"/>
      <c r="BNX129" s="118"/>
      <c r="BNY129" s="118"/>
      <c r="BNZ129" s="118"/>
      <c r="BOA129" s="118"/>
      <c r="BOB129" s="118"/>
      <c r="BOC129" s="118"/>
      <c r="BOD129" s="118"/>
      <c r="BOE129" s="118"/>
      <c r="BOF129" s="118"/>
      <c r="BOG129" s="118"/>
      <c r="BOH129" s="118"/>
      <c r="BOI129" s="118"/>
      <c r="BOJ129" s="118"/>
      <c r="BOK129" s="118"/>
      <c r="BOL129" s="118"/>
      <c r="BOM129" s="118"/>
      <c r="BON129" s="118"/>
      <c r="BOO129" s="118"/>
      <c r="BOP129" s="118"/>
      <c r="BOQ129" s="118"/>
      <c r="BOR129" s="118"/>
      <c r="BOS129" s="118"/>
      <c r="BOT129" s="118"/>
      <c r="BOU129" s="118"/>
      <c r="BOV129" s="118"/>
      <c r="BOW129" s="118"/>
      <c r="BOX129" s="118"/>
      <c r="BOY129" s="118"/>
      <c r="BOZ129" s="118"/>
      <c r="BPA129" s="118"/>
      <c r="BPB129" s="118"/>
      <c r="BPC129" s="118"/>
      <c r="BPD129" s="118"/>
      <c r="BPE129" s="118"/>
      <c r="BPF129" s="118"/>
      <c r="BPG129" s="118"/>
      <c r="BPH129" s="118"/>
      <c r="BPI129" s="118"/>
      <c r="BPJ129" s="118"/>
      <c r="BPK129" s="118"/>
      <c r="BPL129" s="118"/>
      <c r="BPM129" s="118"/>
      <c r="BPN129" s="118"/>
      <c r="BPO129" s="118"/>
      <c r="BPP129" s="118"/>
      <c r="BPQ129" s="118"/>
      <c r="BPR129" s="118"/>
      <c r="BPS129" s="118"/>
      <c r="BPT129" s="118"/>
      <c r="BPU129" s="118"/>
      <c r="BPV129" s="118"/>
      <c r="BPW129" s="118"/>
      <c r="BPX129" s="118"/>
      <c r="BPY129" s="118"/>
      <c r="BPZ129" s="118"/>
      <c r="BQA129" s="118"/>
      <c r="BQB129" s="118"/>
      <c r="BQC129" s="118"/>
      <c r="BQD129" s="118"/>
      <c r="BQE129" s="118"/>
      <c r="BQF129" s="118"/>
      <c r="BQG129" s="118"/>
      <c r="BQH129" s="118"/>
      <c r="BQI129" s="118"/>
      <c r="BQJ129" s="118"/>
      <c r="BQK129" s="118"/>
      <c r="BQL129" s="118"/>
      <c r="BQM129" s="118"/>
      <c r="BQN129" s="118"/>
      <c r="BQO129" s="118"/>
      <c r="BQP129" s="118"/>
      <c r="BQQ129" s="118"/>
      <c r="BQR129" s="118"/>
      <c r="BQS129" s="118"/>
      <c r="BQT129" s="118"/>
      <c r="BQU129" s="118"/>
      <c r="BQV129" s="118"/>
      <c r="BQW129" s="118"/>
      <c r="BQX129" s="118"/>
      <c r="BQY129" s="118"/>
      <c r="BQZ129" s="118"/>
      <c r="BRA129" s="118"/>
      <c r="BRB129" s="118"/>
      <c r="BRC129" s="118"/>
      <c r="BRD129" s="118"/>
      <c r="BRE129" s="118"/>
      <c r="BRF129" s="118"/>
      <c r="BRG129" s="118"/>
      <c r="BRH129" s="118"/>
      <c r="BRI129" s="118"/>
      <c r="BRJ129" s="118"/>
      <c r="BRK129" s="118"/>
      <c r="BRL129" s="118"/>
      <c r="BRM129" s="118"/>
      <c r="BRN129" s="118"/>
      <c r="BRO129" s="118"/>
      <c r="BRP129" s="118"/>
      <c r="BRQ129" s="118"/>
      <c r="BRR129" s="118"/>
      <c r="BRS129" s="118"/>
      <c r="BRT129" s="118"/>
      <c r="BRU129" s="118"/>
      <c r="BRV129" s="118"/>
      <c r="BRW129" s="118"/>
      <c r="BRX129" s="118"/>
      <c r="BRY129" s="118"/>
      <c r="BRZ129" s="118"/>
      <c r="BSA129" s="118"/>
      <c r="BSB129" s="118"/>
      <c r="BSC129" s="118"/>
      <c r="BSD129" s="118"/>
      <c r="BSE129" s="118"/>
      <c r="BSF129" s="118"/>
      <c r="BSG129" s="118"/>
      <c r="BSH129" s="118"/>
      <c r="BSI129" s="118"/>
      <c r="BSJ129" s="118"/>
      <c r="BSK129" s="118"/>
      <c r="BSL129" s="118"/>
      <c r="BSM129" s="118"/>
      <c r="BSN129" s="118"/>
      <c r="BSO129" s="118"/>
      <c r="BSP129" s="118"/>
      <c r="BSQ129" s="118"/>
      <c r="BSR129" s="118"/>
      <c r="BSS129" s="118"/>
      <c r="BST129" s="118"/>
      <c r="BSU129" s="118"/>
      <c r="BSV129" s="118"/>
      <c r="BSW129" s="118"/>
      <c r="BSX129" s="118"/>
      <c r="BSY129" s="118"/>
      <c r="BSZ129" s="118"/>
      <c r="BTA129" s="118"/>
      <c r="BTB129" s="118"/>
      <c r="BTC129" s="118"/>
      <c r="BTD129" s="118"/>
      <c r="BTE129" s="118"/>
      <c r="BTF129" s="118"/>
      <c r="BTG129" s="118"/>
      <c r="BTH129" s="118"/>
      <c r="BTI129" s="118"/>
      <c r="BTJ129" s="118"/>
      <c r="BTK129" s="118"/>
      <c r="BTL129" s="118"/>
      <c r="BTM129" s="118"/>
      <c r="BTN129" s="118"/>
      <c r="BTO129" s="118"/>
      <c r="BTP129" s="118"/>
      <c r="BTQ129" s="118"/>
      <c r="BTR129" s="118"/>
      <c r="BTS129" s="118"/>
      <c r="BTT129" s="118"/>
      <c r="BTU129" s="118"/>
      <c r="BTV129" s="118"/>
      <c r="BTW129" s="118"/>
      <c r="BTX129" s="118"/>
      <c r="BTY129" s="118"/>
      <c r="BTZ129" s="118"/>
      <c r="BUA129" s="118"/>
      <c r="BUB129" s="118"/>
      <c r="BUC129" s="118"/>
      <c r="BUD129" s="118"/>
      <c r="BUE129" s="118"/>
      <c r="BUF129" s="118"/>
      <c r="BUG129" s="118"/>
      <c r="BUH129" s="118"/>
      <c r="BUI129" s="118"/>
      <c r="BUJ129" s="118"/>
      <c r="BUK129" s="118"/>
      <c r="BUL129" s="118"/>
      <c r="BUM129" s="118"/>
      <c r="BUN129" s="118"/>
      <c r="BUO129" s="118"/>
      <c r="BUP129" s="118"/>
      <c r="BUQ129" s="118"/>
      <c r="BUR129" s="118"/>
      <c r="BUS129" s="118"/>
      <c r="BUT129" s="118"/>
      <c r="BUU129" s="118"/>
      <c r="BUV129" s="118"/>
      <c r="BUW129" s="118"/>
      <c r="BUX129" s="118"/>
      <c r="BUY129" s="118"/>
      <c r="BUZ129" s="118"/>
      <c r="BVA129" s="118"/>
      <c r="BVB129" s="118"/>
      <c r="BVC129" s="118"/>
      <c r="BVD129" s="118"/>
      <c r="BVE129" s="118"/>
      <c r="BVF129" s="118"/>
      <c r="BVG129" s="118"/>
      <c r="BVH129" s="118"/>
      <c r="BVI129" s="118"/>
      <c r="BVJ129" s="118"/>
      <c r="BVK129" s="118"/>
      <c r="BVL129" s="118"/>
      <c r="BVM129" s="118"/>
      <c r="BVN129" s="118"/>
      <c r="BVO129" s="118"/>
      <c r="BVP129" s="118"/>
      <c r="BVQ129" s="118"/>
      <c r="BVR129" s="118"/>
      <c r="BVS129" s="118"/>
      <c r="BVT129" s="118"/>
      <c r="BVU129" s="118"/>
      <c r="BVV129" s="118"/>
      <c r="BVW129" s="118"/>
      <c r="BVX129" s="118"/>
      <c r="BVY129" s="118"/>
      <c r="BVZ129" s="118"/>
      <c r="BWA129" s="118"/>
      <c r="BWB129" s="118"/>
      <c r="BWC129" s="118"/>
      <c r="BWD129" s="118"/>
      <c r="BWE129" s="118"/>
      <c r="BWF129" s="118"/>
      <c r="BWG129" s="118"/>
      <c r="BWH129" s="118"/>
      <c r="BWI129" s="118"/>
      <c r="BWJ129" s="118"/>
      <c r="BWK129" s="118"/>
      <c r="BWL129" s="118"/>
      <c r="BWM129" s="118"/>
      <c r="BWN129" s="118"/>
      <c r="BWO129" s="118"/>
      <c r="BWP129" s="118"/>
      <c r="BWQ129" s="118"/>
      <c r="BWR129" s="118"/>
      <c r="BWS129" s="118"/>
      <c r="BWT129" s="118"/>
      <c r="BWU129" s="118"/>
      <c r="BWV129" s="118"/>
      <c r="BWW129" s="118"/>
      <c r="BWX129" s="118"/>
      <c r="BWY129" s="118"/>
      <c r="BWZ129" s="118"/>
      <c r="BXA129" s="118"/>
      <c r="BXB129" s="118"/>
      <c r="BXC129" s="118"/>
      <c r="BXD129" s="118"/>
      <c r="BXE129" s="118"/>
      <c r="BXF129" s="118"/>
      <c r="BXG129" s="118"/>
      <c r="BXH129" s="118"/>
      <c r="BXI129" s="118"/>
      <c r="BXJ129" s="118"/>
      <c r="BXK129" s="118"/>
      <c r="BXL129" s="118"/>
      <c r="BXM129" s="118"/>
      <c r="BXN129" s="118"/>
      <c r="BXO129" s="118"/>
      <c r="BXP129" s="118"/>
      <c r="BXQ129" s="118"/>
      <c r="BXR129" s="118"/>
      <c r="BXS129" s="118"/>
      <c r="BXT129" s="118"/>
      <c r="BXU129" s="118"/>
      <c r="BXV129" s="118"/>
      <c r="BXW129" s="118"/>
      <c r="BXX129" s="118"/>
      <c r="BXY129" s="118"/>
      <c r="BXZ129" s="118"/>
      <c r="BYA129" s="118"/>
      <c r="BYB129" s="118"/>
      <c r="BYC129" s="118"/>
      <c r="BYD129" s="118"/>
      <c r="BYE129" s="118"/>
      <c r="BYF129" s="118"/>
      <c r="BYG129" s="118"/>
      <c r="BYH129" s="118"/>
      <c r="BYI129" s="118"/>
      <c r="BYJ129" s="118"/>
      <c r="BYK129" s="118"/>
      <c r="BYL129" s="118"/>
      <c r="BYM129" s="118"/>
      <c r="BYN129" s="118"/>
      <c r="BYO129" s="118"/>
      <c r="BYP129" s="118"/>
      <c r="BYQ129" s="118"/>
      <c r="BYR129" s="118"/>
      <c r="BYS129" s="118"/>
      <c r="BYT129" s="118"/>
      <c r="BYU129" s="118"/>
      <c r="BYV129" s="118"/>
      <c r="BYW129" s="118"/>
      <c r="BYX129" s="118"/>
      <c r="BYY129" s="118"/>
      <c r="BYZ129" s="118"/>
      <c r="BZA129" s="118"/>
      <c r="BZB129" s="118"/>
      <c r="BZC129" s="118"/>
      <c r="BZD129" s="118"/>
      <c r="BZE129" s="118"/>
      <c r="BZF129" s="118"/>
      <c r="BZG129" s="118"/>
      <c r="BZH129" s="118"/>
      <c r="BZI129" s="118"/>
      <c r="BZJ129" s="118"/>
      <c r="BZK129" s="118"/>
      <c r="BZL129" s="118"/>
      <c r="BZM129" s="118"/>
      <c r="BZN129" s="118"/>
      <c r="BZO129" s="118"/>
      <c r="BZP129" s="118"/>
      <c r="BZQ129" s="118"/>
      <c r="BZR129" s="118"/>
      <c r="BZS129" s="118"/>
      <c r="BZT129" s="118"/>
      <c r="BZU129" s="118"/>
      <c r="BZV129" s="118"/>
      <c r="BZW129" s="118"/>
      <c r="BZX129" s="118"/>
      <c r="BZY129" s="118"/>
      <c r="BZZ129" s="118"/>
      <c r="CAA129" s="118"/>
      <c r="CAB129" s="118"/>
      <c r="CAC129" s="118"/>
      <c r="CAD129" s="118"/>
      <c r="CAE129" s="118"/>
      <c r="CAF129" s="118"/>
      <c r="CAG129" s="118"/>
      <c r="CAH129" s="118"/>
      <c r="CAI129" s="118"/>
      <c r="CAJ129" s="118"/>
      <c r="CAK129" s="118"/>
      <c r="CAL129" s="118"/>
      <c r="CAM129" s="118"/>
      <c r="CAN129" s="118"/>
      <c r="CAO129" s="118"/>
      <c r="CAP129" s="118"/>
      <c r="CAQ129" s="118"/>
      <c r="CAR129" s="118"/>
      <c r="CAS129" s="118"/>
      <c r="CAT129" s="118"/>
      <c r="CAU129" s="118"/>
      <c r="CAV129" s="118"/>
      <c r="CAW129" s="118"/>
      <c r="CAX129" s="118"/>
      <c r="CAY129" s="118"/>
      <c r="CAZ129" s="118"/>
      <c r="CBA129" s="118"/>
      <c r="CBB129" s="118"/>
      <c r="CBC129" s="118"/>
      <c r="CBD129" s="118"/>
      <c r="CBE129" s="118"/>
      <c r="CBF129" s="118"/>
      <c r="CBG129" s="118"/>
      <c r="CBH129" s="118"/>
      <c r="CBI129" s="118"/>
      <c r="CBJ129" s="118"/>
      <c r="CBK129" s="118"/>
      <c r="CBL129" s="118"/>
      <c r="CBM129" s="118"/>
      <c r="CBN129" s="118"/>
      <c r="CBO129" s="118"/>
      <c r="CBP129" s="118"/>
      <c r="CBQ129" s="118"/>
      <c r="CBR129" s="118"/>
      <c r="CBS129" s="118"/>
      <c r="CBT129" s="118"/>
      <c r="CBU129" s="118"/>
      <c r="CBV129" s="118"/>
      <c r="CBW129" s="118"/>
      <c r="CBX129" s="118"/>
      <c r="CBY129" s="118"/>
      <c r="CBZ129" s="118"/>
      <c r="CCA129" s="118"/>
      <c r="CCB129" s="118"/>
      <c r="CCC129" s="118"/>
      <c r="CCD129" s="118"/>
      <c r="CCE129" s="118"/>
      <c r="CCF129" s="118"/>
      <c r="CCG129" s="118"/>
      <c r="CCH129" s="118"/>
      <c r="CCI129" s="118"/>
      <c r="CCJ129" s="118"/>
      <c r="CCK129" s="118"/>
      <c r="CCL129" s="118"/>
      <c r="CCM129" s="118"/>
      <c r="CCN129" s="118"/>
      <c r="CCO129" s="118"/>
      <c r="CCP129" s="118"/>
      <c r="CCQ129" s="118"/>
      <c r="CCR129" s="118"/>
      <c r="CCS129" s="118"/>
      <c r="CCT129" s="118"/>
      <c r="CCU129" s="118"/>
      <c r="CCV129" s="118"/>
      <c r="CCW129" s="118"/>
      <c r="CCX129" s="118"/>
      <c r="CCY129" s="118"/>
      <c r="CCZ129" s="118"/>
      <c r="CDA129" s="118"/>
      <c r="CDB129" s="118"/>
      <c r="CDC129" s="118"/>
      <c r="CDD129" s="118"/>
      <c r="CDE129" s="118"/>
      <c r="CDF129" s="118"/>
      <c r="CDG129" s="118"/>
      <c r="CDH129" s="118"/>
      <c r="CDI129" s="118"/>
      <c r="CDJ129" s="118"/>
      <c r="CDK129" s="118"/>
      <c r="CDL129" s="118"/>
      <c r="CDM129" s="118"/>
      <c r="CDN129" s="118"/>
      <c r="CDO129" s="118"/>
      <c r="CDP129" s="118"/>
      <c r="CDQ129" s="118"/>
      <c r="CDR129" s="118"/>
      <c r="CDS129" s="118"/>
      <c r="CDT129" s="118"/>
      <c r="CDU129" s="118"/>
      <c r="CDV129" s="118"/>
      <c r="CDW129" s="118"/>
      <c r="CDX129" s="118"/>
      <c r="CDY129" s="118"/>
      <c r="CDZ129" s="118"/>
      <c r="CEA129" s="118"/>
      <c r="CEB129" s="118"/>
      <c r="CEC129" s="118"/>
      <c r="CED129" s="118"/>
      <c r="CEE129" s="118"/>
      <c r="CEF129" s="118"/>
      <c r="CEG129" s="118"/>
      <c r="CEH129" s="118"/>
      <c r="CEI129" s="118"/>
      <c r="CEJ129" s="118"/>
      <c r="CEK129" s="118"/>
      <c r="CEL129" s="118"/>
      <c r="CEM129" s="118"/>
      <c r="CEN129" s="118"/>
      <c r="CEO129" s="118"/>
      <c r="CEP129" s="118"/>
      <c r="CEQ129" s="118"/>
      <c r="CER129" s="118"/>
      <c r="CES129" s="118"/>
      <c r="CET129" s="118"/>
      <c r="CEU129" s="118"/>
      <c r="CEV129" s="118"/>
      <c r="CEW129" s="118"/>
      <c r="CEX129" s="118"/>
      <c r="CEY129" s="118"/>
      <c r="CEZ129" s="118"/>
      <c r="CFA129" s="118"/>
      <c r="CFB129" s="118"/>
      <c r="CFC129" s="118"/>
      <c r="CFD129" s="118"/>
      <c r="CFE129" s="118"/>
      <c r="CFF129" s="118"/>
      <c r="CFG129" s="118"/>
      <c r="CFH129" s="118"/>
      <c r="CFI129" s="118"/>
      <c r="CFJ129" s="118"/>
      <c r="CFK129" s="118"/>
      <c r="CFL129" s="118"/>
      <c r="CFM129" s="118"/>
      <c r="CFN129" s="118"/>
      <c r="CFO129" s="118"/>
      <c r="CFP129" s="118"/>
      <c r="CFQ129" s="118"/>
      <c r="CFR129" s="118"/>
      <c r="CFS129" s="118"/>
      <c r="CFT129" s="118"/>
      <c r="CFU129" s="118"/>
      <c r="CFV129" s="118"/>
      <c r="CFW129" s="118"/>
      <c r="CFX129" s="118"/>
      <c r="CFY129" s="118"/>
      <c r="CFZ129" s="118"/>
      <c r="CGA129" s="118"/>
      <c r="CGB129" s="118"/>
      <c r="CGC129" s="118"/>
      <c r="CGD129" s="118"/>
      <c r="CGE129" s="118"/>
      <c r="CGF129" s="118"/>
      <c r="CGG129" s="118"/>
      <c r="CGH129" s="118"/>
      <c r="CGI129" s="118"/>
      <c r="CGJ129" s="118"/>
      <c r="CGK129" s="118"/>
      <c r="CGL129" s="118"/>
      <c r="CGM129" s="118"/>
      <c r="CGN129" s="118"/>
      <c r="CGO129" s="118"/>
      <c r="CGP129" s="118"/>
      <c r="CGQ129" s="118"/>
      <c r="CGR129" s="118"/>
      <c r="CGS129" s="118"/>
      <c r="CGT129" s="118"/>
      <c r="CGU129" s="118"/>
      <c r="CGV129" s="118"/>
      <c r="CGW129" s="118"/>
      <c r="CGX129" s="118"/>
      <c r="CGY129" s="118"/>
      <c r="CGZ129" s="118"/>
      <c r="CHA129" s="118"/>
      <c r="CHB129" s="118"/>
      <c r="CHC129" s="118"/>
      <c r="CHD129" s="118"/>
      <c r="CHE129" s="118"/>
      <c r="CHF129" s="118"/>
      <c r="CHG129" s="118"/>
      <c r="CHH129" s="118"/>
      <c r="CHI129" s="118"/>
      <c r="CHJ129" s="118"/>
      <c r="CHK129" s="118"/>
      <c r="CHL129" s="118"/>
      <c r="CHM129" s="118"/>
      <c r="CHN129" s="118"/>
      <c r="CHO129" s="118"/>
      <c r="CHP129" s="118"/>
      <c r="CHQ129" s="118"/>
      <c r="CHR129" s="118"/>
      <c r="CHS129" s="118"/>
      <c r="CHT129" s="118"/>
      <c r="CHU129" s="118"/>
      <c r="CHV129" s="118"/>
      <c r="CHW129" s="118"/>
      <c r="CHX129" s="118"/>
      <c r="CHY129" s="118"/>
      <c r="CHZ129" s="118"/>
      <c r="CIA129" s="118"/>
      <c r="CIB129" s="118"/>
      <c r="CIC129" s="118"/>
      <c r="CID129" s="118"/>
      <c r="CIE129" s="118"/>
      <c r="CIF129" s="118"/>
      <c r="CIG129" s="118"/>
      <c r="CIH129" s="118"/>
      <c r="CII129" s="118"/>
      <c r="CIJ129" s="118"/>
      <c r="CIK129" s="118"/>
      <c r="CIL129" s="118"/>
      <c r="CIM129" s="118"/>
      <c r="CIN129" s="118"/>
      <c r="CIO129" s="118"/>
      <c r="CIP129" s="118"/>
      <c r="CIQ129" s="118"/>
      <c r="CIR129" s="118"/>
      <c r="CIS129" s="118"/>
      <c r="CIT129" s="118"/>
      <c r="CIU129" s="118"/>
      <c r="CIV129" s="118"/>
      <c r="CIW129" s="118"/>
      <c r="CIX129" s="118"/>
      <c r="CIY129" s="118"/>
      <c r="CIZ129" s="118"/>
      <c r="CJA129" s="118"/>
      <c r="CJB129" s="118"/>
      <c r="CJC129" s="118"/>
      <c r="CJD129" s="118"/>
      <c r="CJE129" s="118"/>
      <c r="CJF129" s="118"/>
      <c r="CJG129" s="118"/>
      <c r="CJH129" s="118"/>
      <c r="CJI129" s="118"/>
      <c r="CJJ129" s="118"/>
      <c r="CJK129" s="118"/>
      <c r="CJL129" s="118"/>
      <c r="CJM129" s="118"/>
      <c r="CJN129" s="118"/>
      <c r="CJO129" s="118"/>
      <c r="CJP129" s="118"/>
      <c r="CJQ129" s="118"/>
      <c r="CJR129" s="118"/>
      <c r="CJS129" s="118"/>
      <c r="CJT129" s="118"/>
      <c r="CJU129" s="118"/>
      <c r="CJV129" s="118"/>
      <c r="CJW129" s="118"/>
      <c r="CJX129" s="118"/>
      <c r="CJY129" s="118"/>
      <c r="CJZ129" s="118"/>
      <c r="CKA129" s="118"/>
      <c r="CKB129" s="118"/>
      <c r="CKC129" s="118"/>
      <c r="CKD129" s="118"/>
      <c r="CKE129" s="118"/>
      <c r="CKF129" s="118"/>
      <c r="CKG129" s="118"/>
      <c r="CKH129" s="118"/>
      <c r="CKI129" s="118"/>
      <c r="CKJ129" s="118"/>
      <c r="CKK129" s="118"/>
      <c r="CKL129" s="118"/>
      <c r="CKM129" s="118"/>
      <c r="CKN129" s="118"/>
      <c r="CKO129" s="118"/>
      <c r="CKP129" s="118"/>
      <c r="CKQ129" s="118"/>
      <c r="CKR129" s="118"/>
      <c r="CKS129" s="118"/>
      <c r="CKT129" s="118"/>
      <c r="CKU129" s="118"/>
      <c r="CKV129" s="118"/>
      <c r="CKW129" s="118"/>
      <c r="CKX129" s="118"/>
      <c r="CKY129" s="118"/>
      <c r="CKZ129" s="118"/>
      <c r="CLA129" s="118"/>
      <c r="CLB129" s="118"/>
      <c r="CLC129" s="118"/>
      <c r="CLD129" s="118"/>
      <c r="CLE129" s="118"/>
      <c r="CLF129" s="118"/>
      <c r="CLG129" s="118"/>
      <c r="CLH129" s="118"/>
      <c r="CLI129" s="118"/>
      <c r="CLJ129" s="118"/>
      <c r="CLK129" s="118"/>
      <c r="CLL129" s="118"/>
      <c r="CLM129" s="118"/>
      <c r="CLN129" s="118"/>
      <c r="CLO129" s="118"/>
      <c r="CLP129" s="118"/>
      <c r="CLQ129" s="118"/>
      <c r="CLR129" s="118"/>
      <c r="CLS129" s="118"/>
      <c r="CLT129" s="118"/>
      <c r="CLU129" s="118"/>
      <c r="CLV129" s="118"/>
      <c r="CLW129" s="118"/>
      <c r="CLX129" s="118"/>
      <c r="CLY129" s="118"/>
      <c r="CLZ129" s="118"/>
      <c r="CMA129" s="118"/>
      <c r="CMB129" s="118"/>
      <c r="CMC129" s="118"/>
      <c r="CMD129" s="118"/>
      <c r="CME129" s="118"/>
      <c r="CMF129" s="118"/>
      <c r="CMG129" s="118"/>
      <c r="CMH129" s="118"/>
      <c r="CMI129" s="118"/>
      <c r="CMJ129" s="118"/>
      <c r="CMK129" s="118"/>
      <c r="CML129" s="118"/>
      <c r="CMM129" s="118"/>
      <c r="CMN129" s="118"/>
      <c r="CMO129" s="118"/>
      <c r="CMP129" s="118"/>
      <c r="CMQ129" s="118"/>
      <c r="CMR129" s="118"/>
      <c r="CMS129" s="118"/>
      <c r="CMT129" s="118"/>
      <c r="CMU129" s="118"/>
      <c r="CMV129" s="118"/>
      <c r="CMW129" s="118"/>
      <c r="CMX129" s="118"/>
      <c r="CMY129" s="118"/>
      <c r="CMZ129" s="118"/>
      <c r="CNA129" s="118"/>
      <c r="CNB129" s="118"/>
      <c r="CNC129" s="118"/>
      <c r="CND129" s="118"/>
      <c r="CNE129" s="118"/>
      <c r="CNF129" s="118"/>
      <c r="CNG129" s="118"/>
      <c r="CNH129" s="118"/>
      <c r="CNI129" s="118"/>
      <c r="CNJ129" s="118"/>
      <c r="CNK129" s="118"/>
      <c r="CNL129" s="118"/>
      <c r="CNM129" s="118"/>
      <c r="CNN129" s="118"/>
      <c r="CNO129" s="118"/>
      <c r="CNP129" s="118"/>
      <c r="CNQ129" s="118"/>
      <c r="CNR129" s="118"/>
      <c r="CNS129" s="118"/>
      <c r="CNT129" s="118"/>
      <c r="CNU129" s="118"/>
      <c r="CNV129" s="118"/>
      <c r="CNW129" s="118"/>
      <c r="CNX129" s="118"/>
      <c r="CNY129" s="118"/>
      <c r="CNZ129" s="118"/>
      <c r="COA129" s="118"/>
      <c r="COB129" s="118"/>
      <c r="COC129" s="118"/>
      <c r="COD129" s="118"/>
      <c r="COE129" s="118"/>
      <c r="COF129" s="118"/>
      <c r="COG129" s="118"/>
      <c r="COH129" s="118"/>
      <c r="COI129" s="118"/>
      <c r="COJ129" s="118"/>
      <c r="COK129" s="118"/>
      <c r="COL129" s="118"/>
      <c r="COM129" s="118"/>
      <c r="CON129" s="118"/>
      <c r="COO129" s="118"/>
      <c r="COP129" s="118"/>
      <c r="COQ129" s="118"/>
      <c r="COR129" s="118"/>
      <c r="COS129" s="118"/>
      <c r="COT129" s="118"/>
      <c r="COU129" s="118"/>
      <c r="COV129" s="118"/>
      <c r="COW129" s="118"/>
      <c r="COX129" s="118"/>
      <c r="COY129" s="118"/>
      <c r="COZ129" s="118"/>
      <c r="CPA129" s="118"/>
      <c r="CPB129" s="118"/>
      <c r="CPC129" s="118"/>
      <c r="CPD129" s="118"/>
      <c r="CPE129" s="118"/>
      <c r="CPF129" s="118"/>
      <c r="CPG129" s="118"/>
      <c r="CPH129" s="118"/>
      <c r="CPI129" s="118"/>
      <c r="CPJ129" s="118"/>
      <c r="CPK129" s="118"/>
      <c r="CPL129" s="118"/>
      <c r="CPM129" s="118"/>
      <c r="CPN129" s="118"/>
      <c r="CPO129" s="118"/>
      <c r="CPP129" s="118"/>
      <c r="CPQ129" s="118"/>
      <c r="CPR129" s="118"/>
      <c r="CPS129" s="118"/>
      <c r="CPT129" s="118"/>
      <c r="CPU129" s="118"/>
      <c r="CPV129" s="118"/>
      <c r="CPW129" s="118"/>
      <c r="CPX129" s="118"/>
      <c r="CPY129" s="118"/>
      <c r="CPZ129" s="118"/>
      <c r="CQA129" s="118"/>
      <c r="CQB129" s="118"/>
      <c r="CQC129" s="118"/>
      <c r="CQD129" s="118"/>
      <c r="CQE129" s="118"/>
      <c r="CQF129" s="118"/>
      <c r="CQG129" s="118"/>
      <c r="CQH129" s="118"/>
      <c r="CQI129" s="118"/>
      <c r="CQJ129" s="118"/>
      <c r="CQK129" s="118"/>
      <c r="CQL129" s="118"/>
      <c r="CQM129" s="118"/>
      <c r="CQN129" s="118"/>
      <c r="CQO129" s="118"/>
      <c r="CQP129" s="118"/>
      <c r="CQQ129" s="118"/>
      <c r="CQR129" s="118"/>
      <c r="CQS129" s="118"/>
      <c r="CQT129" s="118"/>
      <c r="CQU129" s="118"/>
      <c r="CQV129" s="118"/>
      <c r="CQW129" s="118"/>
      <c r="CQX129" s="118"/>
      <c r="CQY129" s="118"/>
      <c r="CQZ129" s="118"/>
      <c r="CRA129" s="118"/>
      <c r="CRB129" s="118"/>
      <c r="CRC129" s="118"/>
      <c r="CRD129" s="118"/>
      <c r="CRE129" s="118"/>
      <c r="CRF129" s="118"/>
      <c r="CRG129" s="118"/>
      <c r="CRH129" s="118"/>
      <c r="CRI129" s="118"/>
      <c r="CRJ129" s="118"/>
      <c r="CRK129" s="118"/>
      <c r="CRL129" s="118"/>
      <c r="CRM129" s="118"/>
      <c r="CRN129" s="118"/>
      <c r="CRO129" s="118"/>
      <c r="CRP129" s="118"/>
      <c r="CRQ129" s="118"/>
      <c r="CRR129" s="118"/>
      <c r="CRS129" s="118"/>
      <c r="CRT129" s="118"/>
      <c r="CRU129" s="118"/>
      <c r="CRV129" s="118"/>
      <c r="CRW129" s="118"/>
      <c r="CRX129" s="118"/>
      <c r="CRY129" s="118"/>
      <c r="CRZ129" s="118"/>
      <c r="CSA129" s="118"/>
      <c r="CSB129" s="118"/>
      <c r="CSC129" s="118"/>
      <c r="CSD129" s="118"/>
      <c r="CSE129" s="118"/>
      <c r="CSF129" s="118"/>
      <c r="CSG129" s="118"/>
      <c r="CSH129" s="118"/>
      <c r="CSI129" s="118"/>
      <c r="CSJ129" s="118"/>
      <c r="CSK129" s="118"/>
      <c r="CSL129" s="118"/>
      <c r="CSM129" s="118"/>
      <c r="CSN129" s="118"/>
      <c r="CSO129" s="118"/>
      <c r="CSP129" s="118"/>
      <c r="CSQ129" s="118"/>
      <c r="CSR129" s="118"/>
      <c r="CSS129" s="118"/>
      <c r="CST129" s="118"/>
      <c r="CSU129" s="118"/>
      <c r="CSV129" s="118"/>
      <c r="CSW129" s="118"/>
      <c r="CSX129" s="118"/>
      <c r="CSY129" s="118"/>
      <c r="CSZ129" s="118"/>
      <c r="CTA129" s="118"/>
      <c r="CTB129" s="118"/>
      <c r="CTC129" s="118"/>
      <c r="CTD129" s="118"/>
      <c r="CTE129" s="118"/>
      <c r="CTF129" s="118"/>
      <c r="CTG129" s="118"/>
      <c r="CTH129" s="118"/>
      <c r="CTI129" s="118"/>
      <c r="CTJ129" s="118"/>
      <c r="CTK129" s="118"/>
      <c r="CTL129" s="118"/>
      <c r="CTM129" s="118"/>
      <c r="CTN129" s="118"/>
      <c r="CTO129" s="118"/>
      <c r="CTP129" s="118"/>
      <c r="CTQ129" s="118"/>
      <c r="CTR129" s="118"/>
      <c r="CTS129" s="118"/>
      <c r="CTT129" s="118"/>
      <c r="CTU129" s="118"/>
      <c r="CTV129" s="118"/>
      <c r="CTW129" s="118"/>
      <c r="CTX129" s="118"/>
      <c r="CTY129" s="118"/>
      <c r="CTZ129" s="118"/>
      <c r="CUA129" s="118"/>
      <c r="CUB129" s="118"/>
      <c r="CUC129" s="118"/>
      <c r="CUD129" s="118"/>
      <c r="CUE129" s="118"/>
      <c r="CUF129" s="118"/>
      <c r="CUG129" s="118"/>
      <c r="CUH129" s="118"/>
      <c r="CUI129" s="118"/>
      <c r="CUJ129" s="118"/>
      <c r="CUK129" s="118"/>
      <c r="CUL129" s="118"/>
      <c r="CUM129" s="118"/>
      <c r="CUN129" s="118"/>
      <c r="CUO129" s="118"/>
      <c r="CUP129" s="118"/>
      <c r="CUQ129" s="118"/>
      <c r="CUR129" s="118"/>
      <c r="CUS129" s="118"/>
      <c r="CUT129" s="118"/>
      <c r="CUU129" s="118"/>
      <c r="CUV129" s="118"/>
      <c r="CUW129" s="118"/>
      <c r="CUX129" s="118"/>
      <c r="CUY129" s="118"/>
      <c r="CUZ129" s="118"/>
      <c r="CVA129" s="118"/>
      <c r="CVB129" s="118"/>
      <c r="CVC129" s="118"/>
      <c r="CVD129" s="118"/>
      <c r="CVE129" s="118"/>
      <c r="CVF129" s="118"/>
      <c r="CVG129" s="118"/>
      <c r="CVH129" s="118"/>
      <c r="CVI129" s="118"/>
      <c r="CVJ129" s="118"/>
      <c r="CVK129" s="118"/>
      <c r="CVL129" s="118"/>
      <c r="CVM129" s="118"/>
      <c r="CVN129" s="118"/>
      <c r="CVO129" s="118"/>
      <c r="CVP129" s="118"/>
      <c r="CVQ129" s="118"/>
      <c r="CVR129" s="118"/>
      <c r="CVS129" s="118"/>
      <c r="CVT129" s="118"/>
      <c r="CVU129" s="118"/>
      <c r="CVV129" s="118"/>
      <c r="CVW129" s="118"/>
      <c r="CVX129" s="118"/>
      <c r="CVY129" s="118"/>
      <c r="CVZ129" s="118"/>
      <c r="CWA129" s="118"/>
      <c r="CWB129" s="118"/>
      <c r="CWC129" s="118"/>
      <c r="CWD129" s="118"/>
      <c r="CWE129" s="118"/>
      <c r="CWF129" s="118"/>
      <c r="CWG129" s="118"/>
      <c r="CWH129" s="118"/>
      <c r="CWI129" s="118"/>
      <c r="CWJ129" s="118"/>
      <c r="CWK129" s="118"/>
      <c r="CWL129" s="118"/>
      <c r="CWM129" s="118"/>
      <c r="CWN129" s="118"/>
      <c r="CWO129" s="118"/>
      <c r="CWP129" s="118"/>
      <c r="CWQ129" s="118"/>
      <c r="CWR129" s="118"/>
      <c r="CWS129" s="118"/>
      <c r="CWT129" s="118"/>
      <c r="CWU129" s="118"/>
      <c r="CWV129" s="118"/>
      <c r="CWW129" s="118"/>
      <c r="CWX129" s="118"/>
      <c r="CWY129" s="118"/>
      <c r="CWZ129" s="118"/>
      <c r="CXA129" s="118"/>
      <c r="CXB129" s="118"/>
      <c r="CXC129" s="118"/>
      <c r="CXD129" s="118"/>
      <c r="CXE129" s="118"/>
      <c r="CXF129" s="118"/>
      <c r="CXG129" s="118"/>
      <c r="CXH129" s="118"/>
      <c r="CXI129" s="118"/>
      <c r="CXJ129" s="118"/>
      <c r="CXK129" s="118"/>
      <c r="CXL129" s="118"/>
      <c r="CXM129" s="118"/>
      <c r="CXN129" s="118"/>
      <c r="CXO129" s="118"/>
      <c r="CXP129" s="118"/>
      <c r="CXQ129" s="118"/>
      <c r="CXR129" s="118"/>
      <c r="CXS129" s="118"/>
      <c r="CXT129" s="118"/>
      <c r="CXU129" s="118"/>
      <c r="CXV129" s="118"/>
      <c r="CXW129" s="118"/>
      <c r="CXX129" s="118"/>
      <c r="CXY129" s="118"/>
      <c r="CXZ129" s="118"/>
      <c r="CYA129" s="118"/>
      <c r="CYB129" s="118"/>
      <c r="CYC129" s="118"/>
      <c r="CYD129" s="118"/>
      <c r="CYE129" s="118"/>
      <c r="CYF129" s="118"/>
      <c r="CYG129" s="118"/>
      <c r="CYH129" s="118"/>
      <c r="CYI129" s="118"/>
      <c r="CYJ129" s="118"/>
      <c r="CYK129" s="118"/>
      <c r="CYL129" s="118"/>
      <c r="CYM129" s="118"/>
      <c r="CYN129" s="118"/>
      <c r="CYO129" s="118"/>
      <c r="CYP129" s="118"/>
      <c r="CYQ129" s="118"/>
      <c r="CYR129" s="118"/>
      <c r="CYS129" s="118"/>
      <c r="CYT129" s="118"/>
      <c r="CYU129" s="118"/>
      <c r="CYV129" s="118"/>
      <c r="CYW129" s="118"/>
      <c r="CYX129" s="118"/>
      <c r="CYY129" s="118"/>
      <c r="CYZ129" s="118"/>
      <c r="CZA129" s="118"/>
      <c r="CZB129" s="118"/>
      <c r="CZC129" s="118"/>
      <c r="CZD129" s="118"/>
      <c r="CZE129" s="118"/>
      <c r="CZF129" s="118"/>
      <c r="CZG129" s="118"/>
      <c r="CZH129" s="118"/>
      <c r="CZI129" s="118"/>
      <c r="CZJ129" s="118"/>
      <c r="CZK129" s="118"/>
      <c r="CZL129" s="118"/>
      <c r="CZM129" s="118"/>
      <c r="CZN129" s="118"/>
      <c r="CZO129" s="118"/>
      <c r="CZP129" s="118"/>
      <c r="CZQ129" s="118"/>
      <c r="CZR129" s="118"/>
      <c r="CZS129" s="118"/>
      <c r="CZT129" s="118"/>
      <c r="CZU129" s="118"/>
      <c r="CZV129" s="118"/>
      <c r="CZW129" s="118"/>
      <c r="CZX129" s="118"/>
      <c r="CZY129" s="118"/>
      <c r="CZZ129" s="118"/>
      <c r="DAA129" s="118"/>
      <c r="DAB129" s="118"/>
      <c r="DAC129" s="118"/>
      <c r="DAD129" s="118"/>
      <c r="DAE129" s="118"/>
      <c r="DAF129" s="118"/>
      <c r="DAG129" s="118"/>
      <c r="DAH129" s="118"/>
      <c r="DAI129" s="118"/>
      <c r="DAJ129" s="118"/>
      <c r="DAK129" s="118"/>
      <c r="DAL129" s="118"/>
      <c r="DAM129" s="118"/>
      <c r="DAN129" s="118"/>
      <c r="DAO129" s="118"/>
      <c r="DAP129" s="118"/>
      <c r="DAQ129" s="118"/>
      <c r="DAR129" s="118"/>
      <c r="DAS129" s="118"/>
      <c r="DAT129" s="118"/>
      <c r="DAU129" s="118"/>
      <c r="DAV129" s="118"/>
      <c r="DAW129" s="118"/>
      <c r="DAX129" s="118"/>
      <c r="DAY129" s="118"/>
      <c r="DAZ129" s="118"/>
      <c r="DBA129" s="118"/>
      <c r="DBB129" s="118"/>
      <c r="DBC129" s="118"/>
      <c r="DBD129" s="118"/>
      <c r="DBE129" s="118"/>
      <c r="DBF129" s="118"/>
      <c r="DBG129" s="118"/>
      <c r="DBH129" s="118"/>
      <c r="DBI129" s="118"/>
      <c r="DBJ129" s="118"/>
      <c r="DBK129" s="118"/>
      <c r="DBL129" s="118"/>
      <c r="DBM129" s="118"/>
      <c r="DBN129" s="118"/>
      <c r="DBO129" s="118"/>
      <c r="DBP129" s="118"/>
      <c r="DBQ129" s="118"/>
      <c r="DBR129" s="118"/>
      <c r="DBS129" s="118"/>
      <c r="DBT129" s="118"/>
      <c r="DBU129" s="118"/>
      <c r="DBV129" s="118"/>
      <c r="DBW129" s="118"/>
      <c r="DBX129" s="118"/>
      <c r="DBY129" s="118"/>
      <c r="DBZ129" s="118"/>
      <c r="DCA129" s="118"/>
      <c r="DCB129" s="118"/>
      <c r="DCC129" s="118"/>
      <c r="DCD129" s="118"/>
      <c r="DCE129" s="118"/>
      <c r="DCF129" s="118"/>
      <c r="DCG129" s="118"/>
      <c r="DCH129" s="118"/>
      <c r="DCI129" s="118"/>
      <c r="DCJ129" s="118"/>
      <c r="DCK129" s="118"/>
      <c r="DCL129" s="118"/>
      <c r="DCM129" s="118"/>
      <c r="DCN129" s="118"/>
      <c r="DCO129" s="118"/>
      <c r="DCP129" s="118"/>
      <c r="DCQ129" s="118"/>
      <c r="DCR129" s="118"/>
      <c r="DCS129" s="118"/>
      <c r="DCT129" s="118"/>
      <c r="DCU129" s="118"/>
      <c r="DCV129" s="118"/>
      <c r="DCW129" s="118"/>
      <c r="DCX129" s="118"/>
      <c r="DCY129" s="118"/>
      <c r="DCZ129" s="118"/>
      <c r="DDA129" s="118"/>
      <c r="DDB129" s="118"/>
      <c r="DDC129" s="118"/>
      <c r="DDD129" s="118"/>
      <c r="DDE129" s="118"/>
      <c r="DDF129" s="118"/>
      <c r="DDG129" s="118"/>
      <c r="DDH129" s="118"/>
      <c r="DDI129" s="118"/>
      <c r="DDJ129" s="118"/>
      <c r="DDK129" s="118"/>
      <c r="DDL129" s="118"/>
      <c r="DDM129" s="118"/>
      <c r="DDN129" s="118"/>
      <c r="DDO129" s="118"/>
      <c r="DDP129" s="118"/>
      <c r="DDQ129" s="118"/>
      <c r="DDR129" s="118"/>
      <c r="DDS129" s="118"/>
      <c r="DDT129" s="118"/>
      <c r="DDU129" s="118"/>
      <c r="DDV129" s="118"/>
      <c r="DDW129" s="118"/>
      <c r="DDX129" s="118"/>
      <c r="DDY129" s="118"/>
      <c r="DDZ129" s="118"/>
      <c r="DEA129" s="118"/>
      <c r="DEB129" s="118"/>
      <c r="DEC129" s="118"/>
      <c r="DED129" s="118"/>
      <c r="DEE129" s="118"/>
      <c r="DEF129" s="118"/>
      <c r="DEG129" s="118"/>
      <c r="DEH129" s="118"/>
      <c r="DEI129" s="118"/>
      <c r="DEJ129" s="118"/>
      <c r="DEK129" s="118"/>
      <c r="DEL129" s="118"/>
      <c r="DEM129" s="118"/>
      <c r="DEN129" s="118"/>
      <c r="DEO129" s="118"/>
      <c r="DEP129" s="118"/>
      <c r="DEQ129" s="118"/>
      <c r="DER129" s="118"/>
      <c r="DES129" s="118"/>
      <c r="DET129" s="118"/>
      <c r="DEU129" s="118"/>
      <c r="DEV129" s="118"/>
      <c r="DEW129" s="118"/>
      <c r="DEX129" s="118"/>
      <c r="DEY129" s="118"/>
      <c r="DEZ129" s="118"/>
      <c r="DFA129" s="118"/>
      <c r="DFB129" s="118"/>
      <c r="DFC129" s="118"/>
      <c r="DFD129" s="118"/>
      <c r="DFE129" s="118"/>
      <c r="DFF129" s="118"/>
      <c r="DFG129" s="118"/>
      <c r="DFH129" s="118"/>
      <c r="DFI129" s="118"/>
      <c r="DFJ129" s="118"/>
      <c r="DFK129" s="118"/>
      <c r="DFL129" s="118"/>
      <c r="DFM129" s="118"/>
      <c r="DFN129" s="118"/>
      <c r="DFO129" s="118"/>
      <c r="DFP129" s="118"/>
      <c r="DFQ129" s="118"/>
      <c r="DFR129" s="118"/>
      <c r="DFS129" s="118"/>
      <c r="DFT129" s="118"/>
      <c r="DFU129" s="118"/>
      <c r="DFV129" s="118"/>
      <c r="DFW129" s="118"/>
      <c r="DFX129" s="118"/>
      <c r="DFY129" s="118"/>
      <c r="DFZ129" s="118"/>
      <c r="DGA129" s="118"/>
      <c r="DGB129" s="118"/>
      <c r="DGC129" s="118"/>
      <c r="DGD129" s="118"/>
      <c r="DGE129" s="118"/>
      <c r="DGF129" s="118"/>
      <c r="DGG129" s="118"/>
      <c r="DGH129" s="118"/>
      <c r="DGI129" s="118"/>
      <c r="DGJ129" s="118"/>
      <c r="DGK129" s="118"/>
      <c r="DGL129" s="118"/>
      <c r="DGM129" s="118"/>
      <c r="DGN129" s="118"/>
      <c r="DGO129" s="118"/>
      <c r="DGP129" s="118"/>
      <c r="DGQ129" s="118"/>
      <c r="DGR129" s="118"/>
      <c r="DGS129" s="118"/>
      <c r="DGT129" s="118"/>
      <c r="DGU129" s="118"/>
      <c r="DGV129" s="118"/>
      <c r="DGW129" s="118"/>
      <c r="DGX129" s="118"/>
      <c r="DGY129" s="118"/>
      <c r="DGZ129" s="118"/>
      <c r="DHA129" s="118"/>
      <c r="DHB129" s="118"/>
      <c r="DHC129" s="118"/>
      <c r="DHD129" s="118"/>
      <c r="DHE129" s="118"/>
      <c r="DHF129" s="118"/>
      <c r="DHG129" s="118"/>
      <c r="DHH129" s="118"/>
      <c r="DHI129" s="118"/>
      <c r="DHJ129" s="118"/>
      <c r="DHK129" s="118"/>
      <c r="DHL129" s="118"/>
      <c r="DHM129" s="118"/>
      <c r="DHN129" s="118"/>
      <c r="DHO129" s="118"/>
      <c r="DHP129" s="118"/>
      <c r="DHQ129" s="118"/>
      <c r="DHR129" s="118"/>
      <c r="DHS129" s="118"/>
      <c r="DHT129" s="118"/>
      <c r="DHU129" s="118"/>
      <c r="DHV129" s="118"/>
      <c r="DHW129" s="118"/>
      <c r="DHX129" s="118"/>
      <c r="DHY129" s="118"/>
      <c r="DHZ129" s="118"/>
      <c r="DIA129" s="118"/>
      <c r="DIB129" s="118"/>
      <c r="DIC129" s="118"/>
      <c r="DID129" s="118"/>
      <c r="DIE129" s="118"/>
      <c r="DIF129" s="118"/>
      <c r="DIG129" s="118"/>
      <c r="DIH129" s="118"/>
      <c r="DII129" s="118"/>
      <c r="DIJ129" s="118"/>
      <c r="DIK129" s="118"/>
      <c r="DIL129" s="118"/>
      <c r="DIM129" s="118"/>
      <c r="DIN129" s="118"/>
      <c r="DIO129" s="118"/>
      <c r="DIP129" s="118"/>
      <c r="DIQ129" s="118"/>
      <c r="DIR129" s="118"/>
      <c r="DIS129" s="118"/>
      <c r="DIT129" s="118"/>
      <c r="DIU129" s="118"/>
      <c r="DIV129" s="118"/>
      <c r="DIW129" s="118"/>
      <c r="DIX129" s="118"/>
      <c r="DIY129" s="118"/>
      <c r="DIZ129" s="118"/>
      <c r="DJA129" s="118"/>
      <c r="DJB129" s="118"/>
      <c r="DJC129" s="118"/>
      <c r="DJD129" s="118"/>
      <c r="DJE129" s="118"/>
      <c r="DJF129" s="118"/>
      <c r="DJG129" s="118"/>
      <c r="DJH129" s="118"/>
      <c r="DJI129" s="118"/>
      <c r="DJJ129" s="118"/>
      <c r="DJK129" s="118"/>
      <c r="DJL129" s="118"/>
      <c r="DJM129" s="118"/>
      <c r="DJN129" s="118"/>
      <c r="DJO129" s="118"/>
      <c r="DJP129" s="118"/>
      <c r="DJQ129" s="118"/>
      <c r="DJR129" s="118"/>
      <c r="DJS129" s="118"/>
      <c r="DJT129" s="118"/>
      <c r="DJU129" s="118"/>
      <c r="DJV129" s="118"/>
      <c r="DJW129" s="118"/>
      <c r="DJX129" s="118"/>
      <c r="DJY129" s="118"/>
      <c r="DJZ129" s="118"/>
      <c r="DKA129" s="118"/>
      <c r="DKB129" s="118"/>
      <c r="DKC129" s="118"/>
      <c r="DKD129" s="118"/>
      <c r="DKE129" s="118"/>
      <c r="DKF129" s="118"/>
      <c r="DKG129" s="118"/>
      <c r="DKH129" s="118"/>
      <c r="DKI129" s="118"/>
      <c r="DKJ129" s="118"/>
      <c r="DKK129" s="118"/>
      <c r="DKL129" s="118"/>
      <c r="DKM129" s="118"/>
      <c r="DKN129" s="118"/>
      <c r="DKO129" s="118"/>
      <c r="DKP129" s="118"/>
      <c r="DKQ129" s="118"/>
      <c r="DKR129" s="118"/>
      <c r="DKS129" s="118"/>
      <c r="DKT129" s="118"/>
      <c r="DKU129" s="118"/>
      <c r="DKV129" s="118"/>
      <c r="DKW129" s="118"/>
      <c r="DKX129" s="118"/>
      <c r="DKY129" s="118"/>
      <c r="DKZ129" s="118"/>
      <c r="DLA129" s="118"/>
      <c r="DLB129" s="118"/>
      <c r="DLC129" s="118"/>
      <c r="DLD129" s="118"/>
      <c r="DLE129" s="118"/>
      <c r="DLF129" s="118"/>
      <c r="DLG129" s="118"/>
      <c r="DLH129" s="118"/>
      <c r="DLI129" s="118"/>
      <c r="DLJ129" s="118"/>
      <c r="DLK129" s="118"/>
      <c r="DLL129" s="118"/>
      <c r="DLM129" s="118"/>
      <c r="DLN129" s="118"/>
      <c r="DLO129" s="118"/>
      <c r="DLP129" s="118"/>
      <c r="DLQ129" s="118"/>
      <c r="DLR129" s="118"/>
      <c r="DLS129" s="118"/>
      <c r="DLT129" s="118"/>
      <c r="DLU129" s="118"/>
      <c r="DLV129" s="118"/>
      <c r="DLW129" s="118"/>
      <c r="DLX129" s="118"/>
      <c r="DLY129" s="118"/>
      <c r="DLZ129" s="118"/>
      <c r="DMA129" s="118"/>
      <c r="DMB129" s="118"/>
      <c r="DMC129" s="118"/>
      <c r="DMD129" s="118"/>
      <c r="DME129" s="118"/>
      <c r="DMF129" s="118"/>
      <c r="DMG129" s="118"/>
      <c r="DMH129" s="118"/>
      <c r="DMI129" s="118"/>
      <c r="DMJ129" s="118"/>
      <c r="DMK129" s="118"/>
      <c r="DML129" s="118"/>
      <c r="DMM129" s="118"/>
      <c r="DMN129" s="118"/>
      <c r="DMO129" s="118"/>
      <c r="DMP129" s="118"/>
      <c r="DMQ129" s="118"/>
      <c r="DMR129" s="118"/>
      <c r="DMS129" s="118"/>
      <c r="DMT129" s="118"/>
      <c r="DMU129" s="118"/>
      <c r="DMV129" s="118"/>
      <c r="DMW129" s="118"/>
      <c r="DMX129" s="118"/>
      <c r="DMY129" s="118"/>
      <c r="DMZ129" s="118"/>
      <c r="DNA129" s="118"/>
      <c r="DNB129" s="118"/>
      <c r="DNC129" s="118"/>
      <c r="DND129" s="118"/>
      <c r="DNE129" s="118"/>
      <c r="DNF129" s="118"/>
      <c r="DNG129" s="118"/>
      <c r="DNH129" s="118"/>
      <c r="DNI129" s="118"/>
      <c r="DNJ129" s="118"/>
      <c r="DNK129" s="118"/>
      <c r="DNL129" s="118"/>
      <c r="DNM129" s="118"/>
      <c r="DNN129" s="118"/>
      <c r="DNO129" s="118"/>
      <c r="DNP129" s="118"/>
      <c r="DNQ129" s="118"/>
      <c r="DNR129" s="118"/>
      <c r="DNS129" s="118"/>
      <c r="DNT129" s="118"/>
      <c r="DNU129" s="118"/>
      <c r="DNV129" s="118"/>
      <c r="DNW129" s="118"/>
      <c r="DNX129" s="118"/>
      <c r="DNY129" s="118"/>
      <c r="DNZ129" s="118"/>
      <c r="DOA129" s="118"/>
      <c r="DOB129" s="118"/>
      <c r="DOC129" s="118"/>
      <c r="DOD129" s="118"/>
      <c r="DOE129" s="118"/>
      <c r="DOF129" s="118"/>
      <c r="DOG129" s="118"/>
      <c r="DOH129" s="118"/>
      <c r="DOI129" s="118"/>
      <c r="DOJ129" s="118"/>
      <c r="DOK129" s="118"/>
      <c r="DOL129" s="118"/>
      <c r="DOM129" s="118"/>
      <c r="DON129" s="118"/>
      <c r="DOO129" s="118"/>
      <c r="DOP129" s="118"/>
      <c r="DOQ129" s="118"/>
      <c r="DOR129" s="118"/>
      <c r="DOS129" s="118"/>
      <c r="DOT129" s="118"/>
      <c r="DOU129" s="118"/>
      <c r="DOV129" s="118"/>
      <c r="DOW129" s="118"/>
      <c r="DOX129" s="118"/>
      <c r="DOY129" s="118"/>
      <c r="DOZ129" s="118"/>
      <c r="DPA129" s="118"/>
      <c r="DPB129" s="118"/>
      <c r="DPC129" s="118"/>
      <c r="DPD129" s="118"/>
      <c r="DPE129" s="118"/>
      <c r="DPF129" s="118"/>
      <c r="DPG129" s="118"/>
      <c r="DPH129" s="118"/>
      <c r="DPI129" s="118"/>
      <c r="DPJ129" s="118"/>
      <c r="DPK129" s="118"/>
      <c r="DPL129" s="118"/>
      <c r="DPM129" s="118"/>
      <c r="DPN129" s="118"/>
      <c r="DPO129" s="118"/>
      <c r="DPP129" s="118"/>
      <c r="DPQ129" s="118"/>
      <c r="DPR129" s="118"/>
      <c r="DPS129" s="118"/>
      <c r="DPT129" s="118"/>
      <c r="DPU129" s="118"/>
      <c r="DPV129" s="118"/>
      <c r="DPW129" s="118"/>
      <c r="DPX129" s="118"/>
      <c r="DPY129" s="118"/>
      <c r="DPZ129" s="118"/>
      <c r="DQA129" s="118"/>
      <c r="DQB129" s="118"/>
      <c r="DQC129" s="118"/>
      <c r="DQD129" s="118"/>
      <c r="DQE129" s="118"/>
      <c r="DQF129" s="118"/>
      <c r="DQG129" s="118"/>
      <c r="DQH129" s="118"/>
      <c r="DQI129" s="118"/>
      <c r="DQJ129" s="118"/>
      <c r="DQK129" s="118"/>
      <c r="DQL129" s="118"/>
      <c r="DQM129" s="118"/>
      <c r="DQN129" s="118"/>
      <c r="DQO129" s="118"/>
      <c r="DQP129" s="118"/>
      <c r="DQQ129" s="118"/>
      <c r="DQR129" s="118"/>
      <c r="DQS129" s="118"/>
      <c r="DQT129" s="118"/>
      <c r="DQU129" s="118"/>
      <c r="DQV129" s="118"/>
      <c r="DQW129" s="118"/>
      <c r="DQX129" s="118"/>
      <c r="DQY129" s="118"/>
      <c r="DQZ129" s="118"/>
      <c r="DRA129" s="118"/>
      <c r="DRB129" s="118"/>
      <c r="DRC129" s="118"/>
      <c r="DRD129" s="118"/>
      <c r="DRE129" s="118"/>
      <c r="DRF129" s="118"/>
      <c r="DRG129" s="118"/>
      <c r="DRH129" s="118"/>
      <c r="DRI129" s="118"/>
      <c r="DRJ129" s="118"/>
      <c r="DRK129" s="118"/>
      <c r="DRL129" s="118"/>
      <c r="DRM129" s="118"/>
      <c r="DRN129" s="118"/>
      <c r="DRO129" s="118"/>
      <c r="DRP129" s="118"/>
      <c r="DRQ129" s="118"/>
      <c r="DRR129" s="118"/>
      <c r="DRS129" s="118"/>
      <c r="DRT129" s="118"/>
      <c r="DRU129" s="118"/>
      <c r="DRV129" s="118"/>
      <c r="DRW129" s="118"/>
      <c r="DRX129" s="118"/>
      <c r="DRY129" s="118"/>
      <c r="DRZ129" s="118"/>
      <c r="DSA129" s="118"/>
      <c r="DSB129" s="118"/>
      <c r="DSC129" s="118"/>
      <c r="DSD129" s="118"/>
      <c r="DSE129" s="118"/>
      <c r="DSF129" s="118"/>
      <c r="DSG129" s="118"/>
      <c r="DSH129" s="118"/>
      <c r="DSI129" s="118"/>
      <c r="DSJ129" s="118"/>
      <c r="DSK129" s="118"/>
      <c r="DSL129" s="118"/>
      <c r="DSM129" s="118"/>
      <c r="DSN129" s="118"/>
      <c r="DSO129" s="118"/>
      <c r="DSP129" s="118"/>
      <c r="DSQ129" s="118"/>
      <c r="DSR129" s="118"/>
      <c r="DSS129" s="118"/>
      <c r="DST129" s="118"/>
      <c r="DSU129" s="118"/>
      <c r="DSV129" s="118"/>
      <c r="DSW129" s="118"/>
      <c r="DSX129" s="118"/>
      <c r="DSY129" s="118"/>
      <c r="DSZ129" s="118"/>
      <c r="DTA129" s="118"/>
      <c r="DTB129" s="118"/>
      <c r="DTC129" s="118"/>
      <c r="DTD129" s="118"/>
      <c r="DTE129" s="118"/>
      <c r="DTF129" s="118"/>
      <c r="DTG129" s="118"/>
      <c r="DTH129" s="118"/>
      <c r="DTI129" s="118"/>
      <c r="DTJ129" s="118"/>
      <c r="DTK129" s="118"/>
      <c r="DTL129" s="118"/>
      <c r="DTM129" s="118"/>
      <c r="DTN129" s="118"/>
      <c r="DTO129" s="118"/>
      <c r="DTP129" s="118"/>
      <c r="DTQ129" s="118"/>
      <c r="DTR129" s="118"/>
      <c r="DTS129" s="118"/>
      <c r="DTT129" s="118"/>
      <c r="DTU129" s="118"/>
      <c r="DTV129" s="118"/>
      <c r="DTW129" s="118"/>
      <c r="DTX129" s="118"/>
      <c r="DTY129" s="118"/>
      <c r="DTZ129" s="118"/>
      <c r="DUA129" s="118"/>
      <c r="DUB129" s="118"/>
      <c r="DUC129" s="118"/>
      <c r="DUD129" s="118"/>
      <c r="DUE129" s="118"/>
      <c r="DUF129" s="118"/>
      <c r="DUG129" s="118"/>
      <c r="DUH129" s="118"/>
      <c r="DUI129" s="118"/>
      <c r="DUJ129" s="118"/>
      <c r="DUK129" s="118"/>
      <c r="DUL129" s="118"/>
      <c r="DUM129" s="118"/>
      <c r="DUN129" s="118"/>
      <c r="DUO129" s="118"/>
      <c r="DUP129" s="118"/>
      <c r="DUQ129" s="118"/>
      <c r="DUR129" s="118"/>
      <c r="DUS129" s="118"/>
      <c r="DUT129" s="118"/>
      <c r="DUU129" s="118"/>
      <c r="DUV129" s="118"/>
      <c r="DUW129" s="118"/>
      <c r="DUX129" s="118"/>
      <c r="DUY129" s="118"/>
      <c r="DUZ129" s="118"/>
      <c r="DVA129" s="118"/>
      <c r="DVB129" s="118"/>
      <c r="DVC129" s="118"/>
      <c r="DVD129" s="118"/>
      <c r="DVE129" s="118"/>
      <c r="DVF129" s="118"/>
      <c r="DVG129" s="118"/>
      <c r="DVH129" s="118"/>
      <c r="DVI129" s="118"/>
      <c r="DVJ129" s="118"/>
      <c r="DVK129" s="118"/>
      <c r="DVL129" s="118"/>
      <c r="DVM129" s="118"/>
      <c r="DVN129" s="118"/>
      <c r="DVO129" s="118"/>
      <c r="DVP129" s="118"/>
      <c r="DVQ129" s="118"/>
      <c r="DVR129" s="118"/>
      <c r="DVS129" s="118"/>
      <c r="DVT129" s="118"/>
      <c r="DVU129" s="118"/>
      <c r="DVV129" s="118"/>
      <c r="DVW129" s="118"/>
      <c r="DVX129" s="118"/>
      <c r="DVY129" s="118"/>
      <c r="DVZ129" s="118"/>
      <c r="DWA129" s="118"/>
      <c r="DWB129" s="118"/>
      <c r="DWC129" s="118"/>
      <c r="DWD129" s="118"/>
      <c r="DWE129" s="118"/>
      <c r="DWF129" s="118"/>
      <c r="DWG129" s="118"/>
      <c r="DWH129" s="118"/>
      <c r="DWI129" s="118"/>
      <c r="DWJ129" s="118"/>
      <c r="DWK129" s="118"/>
      <c r="DWL129" s="118"/>
      <c r="DWM129" s="118"/>
      <c r="DWN129" s="118"/>
      <c r="DWO129" s="118"/>
      <c r="DWP129" s="118"/>
      <c r="DWQ129" s="118"/>
      <c r="DWR129" s="118"/>
      <c r="DWS129" s="118"/>
      <c r="DWT129" s="118"/>
      <c r="DWU129" s="118"/>
      <c r="DWV129" s="118"/>
      <c r="DWW129" s="118"/>
      <c r="DWX129" s="118"/>
      <c r="DWY129" s="118"/>
      <c r="DWZ129" s="118"/>
      <c r="DXA129" s="118"/>
      <c r="DXB129" s="118"/>
      <c r="DXC129" s="118"/>
      <c r="DXD129" s="118"/>
      <c r="DXE129" s="118"/>
      <c r="DXF129" s="118"/>
      <c r="DXG129" s="118"/>
      <c r="DXH129" s="118"/>
      <c r="DXI129" s="118"/>
      <c r="DXJ129" s="118"/>
      <c r="DXK129" s="118"/>
      <c r="DXL129" s="118"/>
      <c r="DXM129" s="118"/>
      <c r="DXN129" s="118"/>
      <c r="DXO129" s="118"/>
      <c r="DXP129" s="118"/>
      <c r="DXQ129" s="118"/>
      <c r="DXR129" s="118"/>
      <c r="DXS129" s="118"/>
      <c r="DXT129" s="118"/>
      <c r="DXU129" s="118"/>
      <c r="DXV129" s="118"/>
      <c r="DXW129" s="118"/>
      <c r="DXX129" s="118"/>
      <c r="DXY129" s="118"/>
      <c r="DXZ129" s="118"/>
      <c r="DYA129" s="118"/>
      <c r="DYB129" s="118"/>
      <c r="DYC129" s="118"/>
      <c r="DYD129" s="118"/>
      <c r="DYE129" s="118"/>
      <c r="DYF129" s="118"/>
      <c r="DYG129" s="118"/>
      <c r="DYH129" s="118"/>
      <c r="DYI129" s="118"/>
      <c r="DYJ129" s="118"/>
      <c r="DYK129" s="118"/>
      <c r="DYL129" s="118"/>
      <c r="DYM129" s="118"/>
      <c r="DYN129" s="118"/>
      <c r="DYO129" s="118"/>
      <c r="DYP129" s="118"/>
      <c r="DYQ129" s="118"/>
      <c r="DYR129" s="118"/>
      <c r="DYS129" s="118"/>
      <c r="DYT129" s="118"/>
      <c r="DYU129" s="118"/>
      <c r="DYV129" s="118"/>
      <c r="DYW129" s="118"/>
      <c r="DYX129" s="118"/>
      <c r="DYY129" s="118"/>
      <c r="DYZ129" s="118"/>
      <c r="DZA129" s="118"/>
      <c r="DZB129" s="118"/>
      <c r="DZC129" s="118"/>
      <c r="DZD129" s="118"/>
      <c r="DZE129" s="118"/>
      <c r="DZF129" s="118"/>
      <c r="DZG129" s="118"/>
      <c r="DZH129" s="118"/>
      <c r="DZI129" s="118"/>
      <c r="DZJ129" s="118"/>
      <c r="DZK129" s="118"/>
      <c r="DZL129" s="118"/>
      <c r="DZM129" s="118"/>
      <c r="DZN129" s="118"/>
      <c r="DZO129" s="118"/>
      <c r="DZP129" s="118"/>
      <c r="DZQ129" s="118"/>
      <c r="DZR129" s="118"/>
      <c r="DZS129" s="118"/>
      <c r="DZT129" s="118"/>
      <c r="DZU129" s="118"/>
      <c r="DZV129" s="118"/>
      <c r="DZW129" s="118"/>
      <c r="DZX129" s="118"/>
      <c r="DZY129" s="118"/>
      <c r="DZZ129" s="118"/>
      <c r="EAA129" s="118"/>
      <c r="EAB129" s="118"/>
      <c r="EAC129" s="118"/>
      <c r="EAD129" s="118"/>
      <c r="EAE129" s="118"/>
      <c r="EAF129" s="118"/>
      <c r="EAG129" s="118"/>
      <c r="EAH129" s="118"/>
      <c r="EAI129" s="118"/>
      <c r="EAJ129" s="118"/>
      <c r="EAK129" s="118"/>
      <c r="EAL129" s="118"/>
      <c r="EAM129" s="118"/>
      <c r="EAN129" s="118"/>
      <c r="EAO129" s="118"/>
      <c r="EAP129" s="118"/>
      <c r="EAQ129" s="118"/>
      <c r="EAR129" s="118"/>
      <c r="EAS129" s="118"/>
      <c r="EAT129" s="118"/>
      <c r="EAU129" s="118"/>
      <c r="EAV129" s="118"/>
      <c r="EAW129" s="118"/>
      <c r="EAX129" s="118"/>
      <c r="EAY129" s="118"/>
      <c r="EAZ129" s="118"/>
      <c r="EBA129" s="118"/>
      <c r="EBB129" s="118"/>
      <c r="EBC129" s="118"/>
      <c r="EBD129" s="118"/>
      <c r="EBE129" s="118"/>
      <c r="EBF129" s="118"/>
      <c r="EBG129" s="118"/>
      <c r="EBH129" s="118"/>
      <c r="EBI129" s="118"/>
      <c r="EBJ129" s="118"/>
      <c r="EBK129" s="118"/>
      <c r="EBL129" s="118"/>
      <c r="EBM129" s="118"/>
      <c r="EBN129" s="118"/>
      <c r="EBO129" s="118"/>
      <c r="EBP129" s="118"/>
      <c r="EBQ129" s="118"/>
      <c r="EBR129" s="118"/>
      <c r="EBS129" s="118"/>
      <c r="EBT129" s="118"/>
      <c r="EBU129" s="118"/>
      <c r="EBV129" s="118"/>
      <c r="EBW129" s="118"/>
      <c r="EBX129" s="118"/>
      <c r="EBY129" s="118"/>
      <c r="EBZ129" s="118"/>
      <c r="ECA129" s="118"/>
      <c r="ECB129" s="118"/>
      <c r="ECC129" s="118"/>
      <c r="ECD129" s="118"/>
      <c r="ECE129" s="118"/>
      <c r="ECF129" s="118"/>
      <c r="ECG129" s="118"/>
      <c r="ECH129" s="118"/>
      <c r="ECI129" s="118"/>
      <c r="ECJ129" s="118"/>
      <c r="ECK129" s="118"/>
      <c r="ECL129" s="118"/>
      <c r="ECM129" s="118"/>
      <c r="ECN129" s="118"/>
      <c r="ECO129" s="118"/>
      <c r="ECP129" s="118"/>
      <c r="ECQ129" s="118"/>
      <c r="ECR129" s="118"/>
      <c r="ECS129" s="118"/>
      <c r="ECT129" s="118"/>
      <c r="ECU129" s="118"/>
      <c r="ECV129" s="118"/>
      <c r="ECW129" s="118"/>
      <c r="ECX129" s="118"/>
      <c r="ECY129" s="118"/>
      <c r="ECZ129" s="118"/>
      <c r="EDA129" s="118"/>
      <c r="EDB129" s="118"/>
      <c r="EDC129" s="118"/>
      <c r="EDD129" s="118"/>
      <c r="EDE129" s="118"/>
      <c r="EDF129" s="118"/>
      <c r="EDG129" s="118"/>
      <c r="EDH129" s="118"/>
      <c r="EDI129" s="118"/>
      <c r="EDJ129" s="118"/>
      <c r="EDK129" s="118"/>
      <c r="EDL129" s="118"/>
      <c r="EDM129" s="118"/>
      <c r="EDN129" s="118"/>
      <c r="EDO129" s="118"/>
      <c r="EDP129" s="118"/>
      <c r="EDQ129" s="118"/>
      <c r="EDR129" s="118"/>
      <c r="EDS129" s="118"/>
      <c r="EDT129" s="118"/>
      <c r="EDU129" s="118"/>
      <c r="EDV129" s="118"/>
      <c r="EDW129" s="118"/>
      <c r="EDX129" s="118"/>
      <c r="EDY129" s="118"/>
      <c r="EDZ129" s="118"/>
      <c r="EEA129" s="118"/>
      <c r="EEB129" s="118"/>
      <c r="EEC129" s="118"/>
      <c r="EED129" s="118"/>
      <c r="EEE129" s="118"/>
      <c r="EEF129" s="118"/>
      <c r="EEG129" s="118"/>
      <c r="EEH129" s="118"/>
      <c r="EEI129" s="118"/>
      <c r="EEJ129" s="118"/>
      <c r="EEK129" s="118"/>
      <c r="EEL129" s="118"/>
      <c r="EEM129" s="118"/>
      <c r="EEN129" s="118"/>
      <c r="EEO129" s="118"/>
      <c r="EEP129" s="118"/>
      <c r="EEQ129" s="118"/>
      <c r="EER129" s="118"/>
      <c r="EES129" s="118"/>
      <c r="EET129" s="118"/>
      <c r="EEU129" s="118"/>
      <c r="EEV129" s="118"/>
      <c r="EEW129" s="118"/>
      <c r="EEX129" s="118"/>
      <c r="EEY129" s="118"/>
      <c r="EEZ129" s="118"/>
      <c r="EFA129" s="118"/>
      <c r="EFB129" s="118"/>
      <c r="EFC129" s="118"/>
      <c r="EFD129" s="118"/>
      <c r="EFE129" s="118"/>
      <c r="EFF129" s="118"/>
      <c r="EFG129" s="118"/>
      <c r="EFH129" s="118"/>
      <c r="EFI129" s="118"/>
      <c r="EFJ129" s="118"/>
      <c r="EFK129" s="118"/>
      <c r="EFL129" s="118"/>
      <c r="EFM129" s="118"/>
      <c r="EFN129" s="118"/>
      <c r="EFO129" s="118"/>
      <c r="EFP129" s="118"/>
      <c r="EFQ129" s="118"/>
      <c r="EFR129" s="118"/>
      <c r="EFS129" s="118"/>
      <c r="EFT129" s="118"/>
      <c r="EFU129" s="118"/>
      <c r="EFV129" s="118"/>
      <c r="EFW129" s="118"/>
      <c r="EFX129" s="118"/>
      <c r="EFY129" s="118"/>
      <c r="EFZ129" s="118"/>
      <c r="EGA129" s="118"/>
      <c r="EGB129" s="118"/>
      <c r="EGC129" s="118"/>
      <c r="EGD129" s="118"/>
      <c r="EGE129" s="118"/>
      <c r="EGF129" s="118"/>
      <c r="EGG129" s="118"/>
      <c r="EGH129" s="118"/>
      <c r="EGI129" s="118"/>
      <c r="EGJ129" s="118"/>
      <c r="EGK129" s="118"/>
      <c r="EGL129" s="118"/>
      <c r="EGM129" s="118"/>
      <c r="EGN129" s="118"/>
      <c r="EGO129" s="118"/>
      <c r="EGP129" s="118"/>
      <c r="EGQ129" s="118"/>
      <c r="EGR129" s="118"/>
      <c r="EGS129" s="118"/>
      <c r="EGT129" s="118"/>
      <c r="EGU129" s="118"/>
      <c r="EGV129" s="118"/>
      <c r="EGW129" s="118"/>
      <c r="EGX129" s="118"/>
      <c r="EGY129" s="118"/>
      <c r="EGZ129" s="118"/>
      <c r="EHA129" s="118"/>
      <c r="EHB129" s="118"/>
      <c r="EHC129" s="118"/>
      <c r="EHD129" s="118"/>
      <c r="EHE129" s="118"/>
      <c r="EHF129" s="118"/>
      <c r="EHG129" s="118"/>
      <c r="EHH129" s="118"/>
      <c r="EHI129" s="118"/>
      <c r="EHJ129" s="118"/>
      <c r="EHK129" s="118"/>
      <c r="EHL129" s="118"/>
      <c r="EHM129" s="118"/>
      <c r="EHN129" s="118"/>
      <c r="EHO129" s="118"/>
      <c r="EHP129" s="118"/>
      <c r="EHQ129" s="118"/>
      <c r="EHR129" s="118"/>
      <c r="EHS129" s="118"/>
      <c r="EHT129" s="118"/>
      <c r="EHU129" s="118"/>
      <c r="EHV129" s="118"/>
      <c r="EHW129" s="118"/>
      <c r="EHX129" s="118"/>
      <c r="EHY129" s="118"/>
      <c r="EHZ129" s="118"/>
      <c r="EIA129" s="118"/>
      <c r="EIB129" s="118"/>
      <c r="EIC129" s="118"/>
      <c r="EID129" s="118"/>
      <c r="EIE129" s="118"/>
      <c r="EIF129" s="118"/>
      <c r="EIG129" s="118"/>
      <c r="EIH129" s="118"/>
      <c r="EII129" s="118"/>
      <c r="EIJ129" s="118"/>
      <c r="EIK129" s="118"/>
      <c r="EIL129" s="118"/>
      <c r="EIM129" s="118"/>
      <c r="EIN129" s="118"/>
      <c r="EIO129" s="118"/>
      <c r="EIP129" s="118"/>
      <c r="EIQ129" s="118"/>
      <c r="EIR129" s="118"/>
      <c r="EIS129" s="118"/>
      <c r="EIT129" s="118"/>
      <c r="EIU129" s="118"/>
      <c r="EIV129" s="118"/>
      <c r="EIW129" s="118"/>
      <c r="EIX129" s="118"/>
      <c r="EIY129" s="118"/>
      <c r="EIZ129" s="118"/>
      <c r="EJA129" s="118"/>
      <c r="EJB129" s="118"/>
      <c r="EJC129" s="118"/>
      <c r="EJD129" s="118"/>
      <c r="EJE129" s="118"/>
      <c r="EJF129" s="118"/>
      <c r="EJG129" s="118"/>
      <c r="EJH129" s="118"/>
      <c r="EJI129" s="118"/>
      <c r="EJJ129" s="118"/>
      <c r="EJK129" s="118"/>
      <c r="EJL129" s="118"/>
      <c r="EJM129" s="118"/>
      <c r="EJN129" s="118"/>
      <c r="EJO129" s="118"/>
      <c r="EJP129" s="118"/>
      <c r="EJQ129" s="118"/>
      <c r="EJR129" s="118"/>
      <c r="EJS129" s="118"/>
      <c r="EJT129" s="118"/>
      <c r="EJU129" s="118"/>
      <c r="EJV129" s="118"/>
      <c r="EJW129" s="118"/>
      <c r="EJX129" s="118"/>
      <c r="EJY129" s="118"/>
      <c r="EJZ129" s="118"/>
      <c r="EKA129" s="118"/>
      <c r="EKB129" s="118"/>
      <c r="EKC129" s="118"/>
      <c r="EKD129" s="118"/>
      <c r="EKE129" s="118"/>
      <c r="EKF129" s="118"/>
      <c r="EKG129" s="118"/>
      <c r="EKH129" s="118"/>
      <c r="EKI129" s="118"/>
      <c r="EKJ129" s="118"/>
      <c r="EKK129" s="118"/>
      <c r="EKL129" s="118"/>
      <c r="EKM129" s="118"/>
      <c r="EKN129" s="118"/>
      <c r="EKO129" s="118"/>
      <c r="EKP129" s="118"/>
      <c r="EKQ129" s="118"/>
      <c r="EKR129" s="118"/>
      <c r="EKS129" s="118"/>
      <c r="EKT129" s="118"/>
      <c r="EKU129" s="118"/>
      <c r="EKV129" s="118"/>
      <c r="EKW129" s="118"/>
      <c r="EKX129" s="118"/>
      <c r="EKY129" s="118"/>
      <c r="EKZ129" s="118"/>
      <c r="ELA129" s="118"/>
      <c r="ELB129" s="118"/>
      <c r="ELC129" s="118"/>
      <c r="ELD129" s="118"/>
      <c r="ELE129" s="118"/>
      <c r="ELF129" s="118"/>
      <c r="ELG129" s="118"/>
      <c r="ELH129" s="118"/>
      <c r="ELI129" s="118"/>
      <c r="ELJ129" s="118"/>
      <c r="ELK129" s="118"/>
      <c r="ELL129" s="118"/>
      <c r="ELM129" s="118"/>
      <c r="ELN129" s="118"/>
      <c r="ELO129" s="118"/>
      <c r="ELP129" s="118"/>
      <c r="ELQ129" s="118"/>
      <c r="ELR129" s="118"/>
      <c r="ELS129" s="118"/>
      <c r="ELT129" s="118"/>
      <c r="ELU129" s="118"/>
      <c r="ELV129" s="118"/>
      <c r="ELW129" s="118"/>
      <c r="ELX129" s="118"/>
      <c r="ELY129" s="118"/>
      <c r="ELZ129" s="118"/>
      <c r="EMA129" s="118"/>
      <c r="EMB129" s="118"/>
      <c r="EMC129" s="118"/>
      <c r="EMD129" s="118"/>
      <c r="EME129" s="118"/>
      <c r="EMF129" s="118"/>
      <c r="EMG129" s="118"/>
      <c r="EMH129" s="118"/>
      <c r="EMI129" s="118"/>
      <c r="EMJ129" s="118"/>
      <c r="EMK129" s="118"/>
      <c r="EML129" s="118"/>
      <c r="EMM129" s="118"/>
      <c r="EMN129" s="118"/>
      <c r="EMO129" s="118"/>
      <c r="EMP129" s="118"/>
      <c r="EMQ129" s="118"/>
      <c r="EMR129" s="118"/>
      <c r="EMS129" s="118"/>
      <c r="EMT129" s="118"/>
      <c r="EMU129" s="118"/>
      <c r="EMV129" s="118"/>
      <c r="EMW129" s="118"/>
      <c r="EMX129" s="118"/>
      <c r="EMY129" s="118"/>
      <c r="EMZ129" s="118"/>
      <c r="ENA129" s="118"/>
      <c r="ENB129" s="118"/>
      <c r="ENC129" s="118"/>
      <c r="END129" s="118"/>
      <c r="ENE129" s="118"/>
      <c r="ENF129" s="118"/>
      <c r="ENG129" s="118"/>
      <c r="ENH129" s="118"/>
      <c r="ENI129" s="118"/>
      <c r="ENJ129" s="118"/>
      <c r="ENK129" s="118"/>
      <c r="ENL129" s="118"/>
      <c r="ENM129" s="118"/>
      <c r="ENN129" s="118"/>
      <c r="ENO129" s="118"/>
      <c r="ENP129" s="118"/>
      <c r="ENQ129" s="118"/>
      <c r="ENR129" s="118"/>
      <c r="ENS129" s="118"/>
      <c r="ENT129" s="118"/>
      <c r="ENU129" s="118"/>
      <c r="ENV129" s="118"/>
      <c r="ENW129" s="118"/>
      <c r="ENX129" s="118"/>
      <c r="ENY129" s="118"/>
      <c r="ENZ129" s="118"/>
      <c r="EOA129" s="118"/>
      <c r="EOB129" s="118"/>
      <c r="EOC129" s="118"/>
      <c r="EOD129" s="118"/>
      <c r="EOE129" s="118"/>
      <c r="EOF129" s="118"/>
      <c r="EOG129" s="118"/>
      <c r="EOH129" s="118"/>
      <c r="EOI129" s="118"/>
      <c r="EOJ129" s="118"/>
      <c r="EOK129" s="118"/>
      <c r="EOL129" s="118"/>
      <c r="EOM129" s="118"/>
      <c r="EON129" s="118"/>
      <c r="EOO129" s="118"/>
      <c r="EOP129" s="118"/>
      <c r="EOQ129" s="118"/>
      <c r="EOR129" s="118"/>
      <c r="EOS129" s="118"/>
      <c r="EOT129" s="118"/>
      <c r="EOU129" s="118"/>
      <c r="EOV129" s="118"/>
      <c r="EOW129" s="118"/>
      <c r="EOX129" s="118"/>
      <c r="EOY129" s="118"/>
      <c r="EOZ129" s="118"/>
      <c r="EPA129" s="118"/>
      <c r="EPB129" s="118"/>
      <c r="EPC129" s="118"/>
      <c r="EPD129" s="118"/>
      <c r="EPE129" s="118"/>
      <c r="EPF129" s="118"/>
      <c r="EPG129" s="118"/>
      <c r="EPH129" s="118"/>
      <c r="EPI129" s="118"/>
      <c r="EPJ129" s="118"/>
      <c r="EPK129" s="118"/>
      <c r="EPL129" s="118"/>
      <c r="EPM129" s="118"/>
      <c r="EPN129" s="118"/>
      <c r="EPO129" s="118"/>
      <c r="EPP129" s="118"/>
      <c r="EPQ129" s="118"/>
      <c r="EPR129" s="118"/>
      <c r="EPS129" s="118"/>
      <c r="EPT129" s="118"/>
      <c r="EPU129" s="118"/>
      <c r="EPV129" s="118"/>
      <c r="EPW129" s="118"/>
      <c r="EPX129" s="118"/>
      <c r="EPY129" s="118"/>
      <c r="EPZ129" s="118"/>
      <c r="EQA129" s="118"/>
      <c r="EQB129" s="118"/>
      <c r="EQC129" s="118"/>
      <c r="EQD129" s="118"/>
      <c r="EQE129" s="118"/>
      <c r="EQF129" s="118"/>
      <c r="EQG129" s="118"/>
      <c r="EQH129" s="118"/>
      <c r="EQI129" s="118"/>
      <c r="EQJ129" s="118"/>
      <c r="EQK129" s="118"/>
      <c r="EQL129" s="118"/>
      <c r="EQM129" s="118"/>
      <c r="EQN129" s="118"/>
      <c r="EQO129" s="118"/>
      <c r="EQP129" s="118"/>
      <c r="EQQ129" s="118"/>
      <c r="EQR129" s="118"/>
      <c r="EQS129" s="118"/>
      <c r="EQT129" s="118"/>
      <c r="EQU129" s="118"/>
      <c r="EQV129" s="118"/>
      <c r="EQW129" s="118"/>
      <c r="EQX129" s="118"/>
      <c r="EQY129" s="118"/>
      <c r="EQZ129" s="118"/>
      <c r="ERA129" s="118"/>
      <c r="ERB129" s="118"/>
      <c r="ERC129" s="118"/>
      <c r="ERD129" s="118"/>
      <c r="ERE129" s="118"/>
      <c r="ERF129" s="118"/>
      <c r="ERG129" s="118"/>
      <c r="ERH129" s="118"/>
      <c r="ERI129" s="118"/>
      <c r="ERJ129" s="118"/>
      <c r="ERK129" s="118"/>
      <c r="ERL129" s="118"/>
      <c r="ERM129" s="118"/>
      <c r="ERN129" s="118"/>
      <c r="ERO129" s="118"/>
      <c r="ERP129" s="118"/>
      <c r="ERQ129" s="118"/>
      <c r="ERR129" s="118"/>
      <c r="ERS129" s="118"/>
      <c r="ERT129" s="118"/>
      <c r="ERU129" s="118"/>
      <c r="ERV129" s="118"/>
      <c r="ERW129" s="118"/>
      <c r="ERX129" s="118"/>
      <c r="ERY129" s="118"/>
      <c r="ERZ129" s="118"/>
      <c r="ESA129" s="118"/>
      <c r="ESB129" s="118"/>
      <c r="ESC129" s="118"/>
      <c r="ESD129" s="118"/>
      <c r="ESE129" s="118"/>
      <c r="ESF129" s="118"/>
      <c r="ESG129" s="118"/>
      <c r="ESH129" s="118"/>
      <c r="ESI129" s="118"/>
      <c r="ESJ129" s="118"/>
      <c r="ESK129" s="118"/>
      <c r="ESL129" s="118"/>
      <c r="ESM129" s="118"/>
      <c r="ESN129" s="118"/>
      <c r="ESO129" s="118"/>
      <c r="ESP129" s="118"/>
      <c r="ESQ129" s="118"/>
      <c r="ESR129" s="118"/>
      <c r="ESS129" s="118"/>
      <c r="EST129" s="118"/>
      <c r="ESU129" s="118"/>
      <c r="ESV129" s="118"/>
      <c r="ESW129" s="118"/>
      <c r="ESX129" s="118"/>
      <c r="ESY129" s="118"/>
      <c r="ESZ129" s="118"/>
      <c r="ETA129" s="118"/>
      <c r="ETB129" s="118"/>
      <c r="ETC129" s="118"/>
      <c r="ETD129" s="118"/>
      <c r="ETE129" s="118"/>
      <c r="ETF129" s="118"/>
      <c r="ETG129" s="118"/>
      <c r="ETH129" s="118"/>
      <c r="ETI129" s="118"/>
      <c r="ETJ129" s="118"/>
      <c r="ETK129" s="118"/>
      <c r="ETL129" s="118"/>
      <c r="ETM129" s="118"/>
      <c r="ETN129" s="118"/>
      <c r="ETO129" s="118"/>
      <c r="ETP129" s="118"/>
      <c r="ETQ129" s="118"/>
      <c r="ETR129" s="118"/>
      <c r="ETS129" s="118"/>
      <c r="ETT129" s="118"/>
      <c r="ETU129" s="118"/>
      <c r="ETV129" s="118"/>
      <c r="ETW129" s="118"/>
      <c r="ETX129" s="118"/>
      <c r="ETY129" s="118"/>
      <c r="ETZ129" s="118"/>
      <c r="EUA129" s="118"/>
      <c r="EUB129" s="118"/>
      <c r="EUC129" s="118"/>
      <c r="EUD129" s="118"/>
      <c r="EUE129" s="118"/>
      <c r="EUF129" s="118"/>
      <c r="EUG129" s="118"/>
      <c r="EUH129" s="118"/>
      <c r="EUI129" s="118"/>
      <c r="EUJ129" s="118"/>
      <c r="EUK129" s="118"/>
      <c r="EUL129" s="118"/>
      <c r="EUM129" s="118"/>
      <c r="EUN129" s="118"/>
      <c r="EUO129" s="118"/>
      <c r="EUP129" s="118"/>
      <c r="EUQ129" s="118"/>
      <c r="EUR129" s="118"/>
      <c r="EUS129" s="118"/>
      <c r="EUT129" s="118"/>
      <c r="EUU129" s="118"/>
      <c r="EUV129" s="118"/>
      <c r="EUW129" s="118"/>
      <c r="EUX129" s="118"/>
      <c r="EUY129" s="118"/>
      <c r="EUZ129" s="118"/>
      <c r="EVA129" s="118"/>
      <c r="EVB129" s="118"/>
      <c r="EVC129" s="118"/>
      <c r="EVD129" s="118"/>
      <c r="EVE129" s="118"/>
      <c r="EVF129" s="118"/>
      <c r="EVG129" s="118"/>
      <c r="EVH129" s="118"/>
      <c r="EVI129" s="118"/>
      <c r="EVJ129" s="118"/>
      <c r="EVK129" s="118"/>
      <c r="EVL129" s="118"/>
      <c r="EVM129" s="118"/>
      <c r="EVN129" s="118"/>
      <c r="EVO129" s="118"/>
      <c r="EVP129" s="118"/>
      <c r="EVQ129" s="118"/>
      <c r="EVR129" s="118"/>
      <c r="EVS129" s="118"/>
      <c r="EVT129" s="118"/>
      <c r="EVU129" s="118"/>
      <c r="EVV129" s="118"/>
      <c r="EVW129" s="118"/>
      <c r="EVX129" s="118"/>
      <c r="EVY129" s="118"/>
      <c r="EVZ129" s="118"/>
      <c r="EWA129" s="118"/>
      <c r="EWB129" s="118"/>
      <c r="EWC129" s="118"/>
      <c r="EWD129" s="118"/>
      <c r="EWE129" s="118"/>
      <c r="EWF129" s="118"/>
      <c r="EWG129" s="118"/>
      <c r="EWH129" s="118"/>
      <c r="EWI129" s="118"/>
      <c r="EWJ129" s="118"/>
      <c r="EWK129" s="118"/>
      <c r="EWL129" s="118"/>
      <c r="EWM129" s="118"/>
      <c r="EWN129" s="118"/>
      <c r="EWO129" s="118"/>
      <c r="EWP129" s="118"/>
      <c r="EWQ129" s="118"/>
      <c r="EWR129" s="118"/>
      <c r="EWS129" s="118"/>
      <c r="EWT129" s="118"/>
      <c r="EWU129" s="118"/>
      <c r="EWV129" s="118"/>
      <c r="EWW129" s="118"/>
      <c r="EWX129" s="118"/>
      <c r="EWY129" s="118"/>
      <c r="EWZ129" s="118"/>
      <c r="EXA129" s="118"/>
      <c r="EXB129" s="118"/>
      <c r="EXC129" s="118"/>
      <c r="EXD129" s="118"/>
      <c r="EXE129" s="118"/>
      <c r="EXF129" s="118"/>
      <c r="EXG129" s="118"/>
      <c r="EXH129" s="118"/>
      <c r="EXI129" s="118"/>
      <c r="EXJ129" s="118"/>
      <c r="EXK129" s="118"/>
      <c r="EXL129" s="118"/>
      <c r="EXM129" s="118"/>
      <c r="EXN129" s="118"/>
      <c r="EXO129" s="118"/>
      <c r="EXP129" s="118"/>
      <c r="EXQ129" s="118"/>
      <c r="EXR129" s="118"/>
      <c r="EXS129" s="118"/>
      <c r="EXT129" s="118"/>
      <c r="EXU129" s="118"/>
      <c r="EXV129" s="118"/>
      <c r="EXW129" s="118"/>
      <c r="EXX129" s="118"/>
      <c r="EXY129" s="118"/>
      <c r="EXZ129" s="118"/>
      <c r="EYA129" s="118"/>
      <c r="EYB129" s="118"/>
      <c r="EYC129" s="118"/>
      <c r="EYD129" s="118"/>
      <c r="EYE129" s="118"/>
      <c r="EYF129" s="118"/>
      <c r="EYG129" s="118"/>
      <c r="EYH129" s="118"/>
      <c r="EYI129" s="118"/>
      <c r="EYJ129" s="118"/>
      <c r="EYK129" s="118"/>
      <c r="EYL129" s="118"/>
      <c r="EYM129" s="118"/>
      <c r="EYN129" s="118"/>
      <c r="EYO129" s="118"/>
      <c r="EYP129" s="118"/>
      <c r="EYQ129" s="118"/>
      <c r="EYR129" s="118"/>
      <c r="EYS129" s="118"/>
      <c r="EYT129" s="118"/>
      <c r="EYU129" s="118"/>
      <c r="EYV129" s="118"/>
      <c r="EYW129" s="118"/>
      <c r="EYX129" s="118"/>
      <c r="EYY129" s="118"/>
      <c r="EYZ129" s="118"/>
      <c r="EZA129" s="118"/>
      <c r="EZB129" s="118"/>
      <c r="EZC129" s="118"/>
      <c r="EZD129" s="118"/>
      <c r="EZE129" s="118"/>
      <c r="EZF129" s="118"/>
      <c r="EZG129" s="118"/>
      <c r="EZH129" s="118"/>
      <c r="EZI129" s="118"/>
      <c r="EZJ129" s="118"/>
      <c r="EZK129" s="118"/>
      <c r="EZL129" s="118"/>
      <c r="EZM129" s="118"/>
      <c r="EZN129" s="118"/>
      <c r="EZO129" s="118"/>
      <c r="EZP129" s="118"/>
      <c r="EZQ129" s="118"/>
      <c r="EZR129" s="118"/>
      <c r="EZS129" s="118"/>
      <c r="EZT129" s="118"/>
      <c r="EZU129" s="118"/>
      <c r="EZV129" s="118"/>
      <c r="EZW129" s="118"/>
      <c r="EZX129" s="118"/>
      <c r="EZY129" s="118"/>
      <c r="EZZ129" s="118"/>
      <c r="FAA129" s="118"/>
      <c r="FAB129" s="118"/>
      <c r="FAC129" s="118"/>
      <c r="FAD129" s="118"/>
      <c r="FAE129" s="118"/>
      <c r="FAF129" s="118"/>
      <c r="FAG129" s="118"/>
      <c r="FAH129" s="118"/>
      <c r="FAI129" s="118"/>
      <c r="FAJ129" s="118"/>
      <c r="FAK129" s="118"/>
      <c r="FAL129" s="118"/>
      <c r="FAM129" s="118"/>
      <c r="FAN129" s="118"/>
      <c r="FAO129" s="118"/>
      <c r="FAP129" s="118"/>
      <c r="FAQ129" s="118"/>
      <c r="FAR129" s="118"/>
      <c r="FAS129" s="118"/>
      <c r="FAT129" s="118"/>
      <c r="FAU129" s="118"/>
      <c r="FAV129" s="118"/>
      <c r="FAW129" s="118"/>
      <c r="FAX129" s="118"/>
      <c r="FAY129" s="118"/>
      <c r="FAZ129" s="118"/>
      <c r="FBA129" s="118"/>
      <c r="FBB129" s="118"/>
      <c r="FBC129" s="118"/>
      <c r="FBD129" s="118"/>
      <c r="FBE129" s="118"/>
      <c r="FBF129" s="118"/>
      <c r="FBG129" s="118"/>
      <c r="FBH129" s="118"/>
      <c r="FBI129" s="118"/>
      <c r="FBJ129" s="118"/>
      <c r="FBK129" s="118"/>
      <c r="FBL129" s="118"/>
      <c r="FBM129" s="118"/>
      <c r="FBN129" s="118"/>
      <c r="FBO129" s="118"/>
      <c r="FBP129" s="118"/>
      <c r="FBQ129" s="118"/>
      <c r="FBR129" s="118"/>
      <c r="FBS129" s="118"/>
      <c r="FBT129" s="118"/>
      <c r="FBU129" s="118"/>
      <c r="FBV129" s="118"/>
      <c r="FBW129" s="118"/>
      <c r="FBX129" s="118"/>
      <c r="FBY129" s="118"/>
      <c r="FBZ129" s="118"/>
      <c r="FCA129" s="118"/>
      <c r="FCB129" s="118"/>
      <c r="FCC129" s="118"/>
      <c r="FCD129" s="118"/>
      <c r="FCE129" s="118"/>
      <c r="FCF129" s="118"/>
      <c r="FCG129" s="118"/>
      <c r="FCH129" s="118"/>
      <c r="FCI129" s="118"/>
      <c r="FCJ129" s="118"/>
      <c r="FCK129" s="118"/>
      <c r="FCL129" s="118"/>
      <c r="FCM129" s="118"/>
      <c r="FCN129" s="118"/>
      <c r="FCO129" s="118"/>
      <c r="FCP129" s="118"/>
      <c r="FCQ129" s="118"/>
      <c r="FCR129" s="118"/>
      <c r="FCS129" s="118"/>
      <c r="FCT129" s="118"/>
      <c r="FCU129" s="118"/>
      <c r="FCV129" s="118"/>
      <c r="FCW129" s="118"/>
      <c r="FCX129" s="118"/>
      <c r="FCY129" s="118"/>
      <c r="FCZ129" s="118"/>
      <c r="FDA129" s="118"/>
      <c r="FDB129" s="118"/>
      <c r="FDC129" s="118"/>
      <c r="FDD129" s="118"/>
      <c r="FDE129" s="118"/>
      <c r="FDF129" s="118"/>
      <c r="FDG129" s="118"/>
      <c r="FDH129" s="118"/>
      <c r="FDI129" s="118"/>
      <c r="FDJ129" s="118"/>
      <c r="FDK129" s="118"/>
      <c r="FDL129" s="118"/>
      <c r="FDM129" s="118"/>
      <c r="FDN129" s="118"/>
      <c r="FDO129" s="118"/>
      <c r="FDP129" s="118"/>
      <c r="FDQ129" s="118"/>
      <c r="FDR129" s="118"/>
      <c r="FDS129" s="118"/>
      <c r="FDT129" s="118"/>
      <c r="FDU129" s="118"/>
      <c r="FDV129" s="118"/>
      <c r="FDW129" s="118"/>
      <c r="FDX129" s="118"/>
      <c r="FDY129" s="118"/>
      <c r="FDZ129" s="118"/>
      <c r="FEA129" s="118"/>
      <c r="FEB129" s="118"/>
      <c r="FEC129" s="118"/>
      <c r="FED129" s="118"/>
      <c r="FEE129" s="118"/>
      <c r="FEF129" s="118"/>
      <c r="FEG129" s="118"/>
      <c r="FEH129" s="118"/>
      <c r="FEI129" s="118"/>
      <c r="FEJ129" s="118"/>
      <c r="FEK129" s="118"/>
      <c r="FEL129" s="118"/>
      <c r="FEM129" s="118"/>
      <c r="FEN129" s="118"/>
      <c r="FEO129" s="118"/>
      <c r="FEP129" s="118"/>
      <c r="FEQ129" s="118"/>
      <c r="FER129" s="118"/>
      <c r="FES129" s="118"/>
      <c r="FET129" s="118"/>
      <c r="FEU129" s="118"/>
      <c r="FEV129" s="118"/>
      <c r="FEW129" s="118"/>
      <c r="FEX129" s="118"/>
      <c r="FEY129" s="118"/>
      <c r="FEZ129" s="118"/>
      <c r="FFA129" s="118"/>
      <c r="FFB129" s="118"/>
      <c r="FFC129" s="118"/>
      <c r="FFD129" s="118"/>
      <c r="FFE129" s="118"/>
      <c r="FFF129" s="118"/>
      <c r="FFG129" s="118"/>
      <c r="FFH129" s="118"/>
      <c r="FFI129" s="118"/>
      <c r="FFJ129" s="118"/>
      <c r="FFK129" s="118"/>
      <c r="FFL129" s="118"/>
      <c r="FFM129" s="118"/>
      <c r="FFN129" s="118"/>
      <c r="FFO129" s="118"/>
      <c r="FFP129" s="118"/>
      <c r="FFQ129" s="118"/>
      <c r="FFR129" s="118"/>
      <c r="FFS129" s="118"/>
      <c r="FFT129" s="118"/>
      <c r="FFU129" s="118"/>
      <c r="FFV129" s="118"/>
      <c r="FFW129" s="118"/>
      <c r="FFX129" s="118"/>
      <c r="FFY129" s="118"/>
      <c r="FFZ129" s="118"/>
      <c r="FGA129" s="118"/>
      <c r="FGB129" s="118"/>
      <c r="FGC129" s="118"/>
      <c r="FGD129" s="118"/>
      <c r="FGE129" s="118"/>
      <c r="FGF129" s="118"/>
      <c r="FGG129" s="118"/>
      <c r="FGH129" s="118"/>
      <c r="FGI129" s="118"/>
      <c r="FGJ129" s="118"/>
      <c r="FGK129" s="118"/>
      <c r="FGL129" s="118"/>
      <c r="FGM129" s="118"/>
      <c r="FGN129" s="118"/>
      <c r="FGO129" s="118"/>
      <c r="FGP129" s="118"/>
      <c r="FGQ129" s="118"/>
      <c r="FGR129" s="118"/>
      <c r="FGS129" s="118"/>
      <c r="FGT129" s="118"/>
      <c r="FGU129" s="118"/>
      <c r="FGV129" s="118"/>
      <c r="FGW129" s="118"/>
      <c r="FGX129" s="118"/>
      <c r="FGY129" s="118"/>
      <c r="FGZ129" s="118"/>
      <c r="FHA129" s="118"/>
      <c r="FHB129" s="118"/>
      <c r="FHC129" s="118"/>
      <c r="FHD129" s="118"/>
      <c r="FHE129" s="118"/>
      <c r="FHF129" s="118"/>
      <c r="FHG129" s="118"/>
      <c r="FHH129" s="118"/>
      <c r="FHI129" s="118"/>
      <c r="FHJ129" s="118"/>
      <c r="FHK129" s="118"/>
      <c r="FHL129" s="118"/>
      <c r="FHM129" s="118"/>
      <c r="FHN129" s="118"/>
      <c r="FHO129" s="118"/>
      <c r="FHP129" s="118"/>
      <c r="FHQ129" s="118"/>
      <c r="FHR129" s="118"/>
      <c r="FHS129" s="118"/>
      <c r="FHT129" s="118"/>
      <c r="FHU129" s="118"/>
      <c r="FHV129" s="118"/>
      <c r="FHW129" s="118"/>
      <c r="FHX129" s="118"/>
      <c r="FHY129" s="118"/>
      <c r="FHZ129" s="118"/>
      <c r="FIA129" s="118"/>
      <c r="FIB129" s="118"/>
      <c r="FIC129" s="118"/>
      <c r="FID129" s="118"/>
      <c r="FIE129" s="118"/>
      <c r="FIF129" s="118"/>
      <c r="FIG129" s="118"/>
      <c r="FIH129" s="118"/>
      <c r="FII129" s="118"/>
      <c r="FIJ129" s="118"/>
      <c r="FIK129" s="118"/>
      <c r="FIL129" s="118"/>
      <c r="FIM129" s="118"/>
      <c r="FIN129" s="118"/>
      <c r="FIO129" s="118"/>
      <c r="FIP129" s="118"/>
      <c r="FIQ129" s="118"/>
      <c r="FIR129" s="118"/>
      <c r="FIS129" s="118"/>
      <c r="FIT129" s="118"/>
      <c r="FIU129" s="118"/>
      <c r="FIV129" s="118"/>
      <c r="FIW129" s="118"/>
      <c r="FIX129" s="118"/>
      <c r="FIY129" s="118"/>
      <c r="FIZ129" s="118"/>
      <c r="FJA129" s="118"/>
      <c r="FJB129" s="118"/>
      <c r="FJC129" s="118"/>
      <c r="FJD129" s="118"/>
      <c r="FJE129" s="118"/>
      <c r="FJF129" s="118"/>
      <c r="FJG129" s="118"/>
      <c r="FJH129" s="118"/>
      <c r="FJI129" s="118"/>
      <c r="FJJ129" s="118"/>
      <c r="FJK129" s="118"/>
      <c r="FJL129" s="118"/>
      <c r="FJM129" s="118"/>
      <c r="FJN129" s="118"/>
      <c r="FJO129" s="118"/>
      <c r="FJP129" s="118"/>
      <c r="FJQ129" s="118"/>
      <c r="FJR129" s="118"/>
      <c r="FJS129" s="118"/>
      <c r="FJT129" s="118"/>
      <c r="FJU129" s="118"/>
      <c r="FJV129" s="118"/>
      <c r="FJW129" s="118"/>
      <c r="FJX129" s="118"/>
      <c r="FJY129" s="118"/>
      <c r="FJZ129" s="118"/>
      <c r="FKA129" s="118"/>
      <c r="FKB129" s="118"/>
      <c r="FKC129" s="118"/>
      <c r="FKD129" s="118"/>
      <c r="FKE129" s="118"/>
      <c r="FKF129" s="118"/>
      <c r="FKG129" s="118"/>
      <c r="FKH129" s="118"/>
      <c r="FKI129" s="118"/>
      <c r="FKJ129" s="118"/>
      <c r="FKK129" s="118"/>
      <c r="FKL129" s="118"/>
      <c r="FKM129" s="118"/>
      <c r="FKN129" s="118"/>
      <c r="FKO129" s="118"/>
      <c r="FKP129" s="118"/>
      <c r="FKQ129" s="118"/>
      <c r="FKR129" s="118"/>
      <c r="FKS129" s="118"/>
      <c r="FKT129" s="118"/>
      <c r="FKU129" s="118"/>
      <c r="FKV129" s="118"/>
      <c r="FKW129" s="118"/>
      <c r="FKX129" s="118"/>
      <c r="FKY129" s="118"/>
      <c r="FKZ129" s="118"/>
      <c r="FLA129" s="118"/>
      <c r="FLB129" s="118"/>
      <c r="FLC129" s="118"/>
      <c r="FLD129" s="118"/>
      <c r="FLE129" s="118"/>
      <c r="FLF129" s="118"/>
      <c r="FLG129" s="118"/>
      <c r="FLH129" s="118"/>
      <c r="FLI129" s="118"/>
      <c r="FLJ129" s="118"/>
      <c r="FLK129" s="118"/>
      <c r="FLL129" s="118"/>
      <c r="FLM129" s="118"/>
      <c r="FLN129" s="118"/>
      <c r="FLO129" s="118"/>
      <c r="FLP129" s="118"/>
      <c r="FLQ129" s="118"/>
      <c r="FLR129" s="118"/>
      <c r="FLS129" s="118"/>
      <c r="FLT129" s="118"/>
      <c r="FLU129" s="118"/>
      <c r="FLV129" s="118"/>
      <c r="FLW129" s="118"/>
      <c r="FLX129" s="118"/>
      <c r="FLY129" s="118"/>
      <c r="FLZ129" s="118"/>
      <c r="FMA129" s="118"/>
      <c r="FMB129" s="118"/>
      <c r="FMC129" s="118"/>
      <c r="FMD129" s="118"/>
      <c r="FME129" s="118"/>
      <c r="FMF129" s="118"/>
      <c r="FMG129" s="118"/>
      <c r="FMH129" s="118"/>
      <c r="FMI129" s="118"/>
      <c r="FMJ129" s="118"/>
      <c r="FMK129" s="118"/>
      <c r="FML129" s="118"/>
      <c r="FMM129" s="118"/>
      <c r="FMN129" s="118"/>
      <c r="FMO129" s="118"/>
      <c r="FMP129" s="118"/>
      <c r="FMQ129" s="118"/>
      <c r="FMR129" s="118"/>
      <c r="FMS129" s="118"/>
      <c r="FMT129" s="118"/>
      <c r="FMU129" s="118"/>
      <c r="FMV129" s="118"/>
      <c r="FMW129" s="118"/>
      <c r="FMX129" s="118"/>
      <c r="FMY129" s="118"/>
      <c r="FMZ129" s="118"/>
      <c r="FNA129" s="118"/>
      <c r="FNB129" s="118"/>
      <c r="FNC129" s="118"/>
      <c r="FND129" s="118"/>
      <c r="FNE129" s="118"/>
      <c r="FNF129" s="118"/>
      <c r="FNG129" s="118"/>
      <c r="FNH129" s="118"/>
      <c r="FNI129" s="118"/>
      <c r="FNJ129" s="118"/>
      <c r="FNK129" s="118"/>
      <c r="FNL129" s="118"/>
      <c r="FNM129" s="118"/>
      <c r="FNN129" s="118"/>
      <c r="FNO129" s="118"/>
      <c r="FNP129" s="118"/>
      <c r="FNQ129" s="118"/>
      <c r="FNR129" s="118"/>
      <c r="FNS129" s="118"/>
      <c r="FNT129" s="118"/>
      <c r="FNU129" s="118"/>
      <c r="FNV129" s="118"/>
      <c r="FNW129" s="118"/>
      <c r="FNX129" s="118"/>
      <c r="FNY129" s="118"/>
      <c r="FNZ129" s="118"/>
      <c r="FOA129" s="118"/>
      <c r="FOB129" s="118"/>
      <c r="FOC129" s="118"/>
      <c r="FOD129" s="118"/>
      <c r="FOE129" s="118"/>
      <c r="FOF129" s="118"/>
      <c r="FOG129" s="118"/>
      <c r="FOH129" s="118"/>
      <c r="FOI129" s="118"/>
      <c r="FOJ129" s="118"/>
      <c r="FOK129" s="118"/>
      <c r="FOL129" s="118"/>
      <c r="FOM129" s="118"/>
      <c r="FON129" s="118"/>
      <c r="FOO129" s="118"/>
      <c r="FOP129" s="118"/>
      <c r="FOQ129" s="118"/>
      <c r="FOR129" s="118"/>
      <c r="FOS129" s="118"/>
      <c r="FOT129" s="118"/>
      <c r="FOU129" s="118"/>
      <c r="FOV129" s="118"/>
      <c r="FOW129" s="118"/>
      <c r="FOX129" s="118"/>
      <c r="FOY129" s="118"/>
      <c r="FOZ129" s="118"/>
      <c r="FPA129" s="118"/>
      <c r="FPB129" s="118"/>
      <c r="FPC129" s="118"/>
      <c r="FPD129" s="118"/>
      <c r="FPE129" s="118"/>
      <c r="FPF129" s="118"/>
      <c r="FPG129" s="118"/>
      <c r="FPH129" s="118"/>
      <c r="FPI129" s="118"/>
      <c r="FPJ129" s="118"/>
      <c r="FPK129" s="118"/>
      <c r="FPL129" s="118"/>
      <c r="FPM129" s="118"/>
      <c r="FPN129" s="118"/>
      <c r="FPO129" s="118"/>
      <c r="FPP129" s="118"/>
      <c r="FPQ129" s="118"/>
      <c r="FPR129" s="118"/>
      <c r="FPS129" s="118"/>
      <c r="FPT129" s="118"/>
      <c r="FPU129" s="118"/>
      <c r="FPV129" s="118"/>
      <c r="FPW129" s="118"/>
      <c r="FPX129" s="118"/>
      <c r="FPY129" s="118"/>
      <c r="FPZ129" s="118"/>
      <c r="FQA129" s="118"/>
      <c r="FQB129" s="118"/>
      <c r="FQC129" s="118"/>
      <c r="FQD129" s="118"/>
      <c r="FQE129" s="118"/>
      <c r="FQF129" s="118"/>
      <c r="FQG129" s="118"/>
      <c r="FQH129" s="118"/>
      <c r="FQI129" s="118"/>
      <c r="FQJ129" s="118"/>
      <c r="FQK129" s="118"/>
      <c r="FQL129" s="118"/>
      <c r="FQM129" s="118"/>
      <c r="FQN129" s="118"/>
      <c r="FQO129" s="118"/>
      <c r="FQP129" s="118"/>
      <c r="FQQ129" s="118"/>
      <c r="FQR129" s="118"/>
      <c r="FQS129" s="118"/>
      <c r="FQT129" s="118"/>
      <c r="FQU129" s="118"/>
      <c r="FQV129" s="118"/>
      <c r="FQW129" s="118"/>
      <c r="FQX129" s="118"/>
      <c r="FQY129" s="118"/>
      <c r="FQZ129" s="118"/>
      <c r="FRA129" s="118"/>
      <c r="FRB129" s="118"/>
      <c r="FRC129" s="118"/>
      <c r="FRD129" s="118"/>
      <c r="FRE129" s="118"/>
      <c r="FRF129" s="118"/>
      <c r="FRG129" s="118"/>
      <c r="FRH129" s="118"/>
      <c r="FRI129" s="118"/>
      <c r="FRJ129" s="118"/>
      <c r="FRK129" s="118"/>
      <c r="FRL129" s="118"/>
      <c r="FRM129" s="118"/>
      <c r="FRN129" s="118"/>
      <c r="FRO129" s="118"/>
      <c r="FRP129" s="118"/>
      <c r="FRQ129" s="118"/>
      <c r="FRR129" s="118"/>
      <c r="FRS129" s="118"/>
      <c r="FRT129" s="118"/>
      <c r="FRU129" s="118"/>
      <c r="FRV129" s="118"/>
      <c r="FRW129" s="118"/>
      <c r="FRX129" s="118"/>
      <c r="FRY129" s="118"/>
      <c r="FRZ129" s="118"/>
      <c r="FSA129" s="118"/>
      <c r="FSB129" s="118"/>
      <c r="FSC129" s="118"/>
      <c r="FSD129" s="118"/>
      <c r="FSE129" s="118"/>
      <c r="FSF129" s="118"/>
      <c r="FSG129" s="118"/>
      <c r="FSH129" s="118"/>
      <c r="FSI129" s="118"/>
      <c r="FSJ129" s="118"/>
      <c r="FSK129" s="118"/>
      <c r="FSL129" s="118"/>
      <c r="FSM129" s="118"/>
      <c r="FSN129" s="118"/>
      <c r="FSO129" s="118"/>
      <c r="FSP129" s="118"/>
      <c r="FSQ129" s="118"/>
      <c r="FSR129" s="118"/>
      <c r="FSS129" s="118"/>
      <c r="FST129" s="118"/>
      <c r="FSU129" s="118"/>
      <c r="FSV129" s="118"/>
      <c r="FSW129" s="118"/>
      <c r="FSX129" s="118"/>
      <c r="FSY129" s="118"/>
      <c r="FSZ129" s="118"/>
      <c r="FTA129" s="118"/>
      <c r="FTB129" s="118"/>
      <c r="FTC129" s="118"/>
      <c r="FTD129" s="118"/>
      <c r="FTE129" s="118"/>
      <c r="FTF129" s="118"/>
      <c r="FTG129" s="118"/>
      <c r="FTH129" s="118"/>
      <c r="FTI129" s="118"/>
      <c r="FTJ129" s="118"/>
      <c r="FTK129" s="118"/>
      <c r="FTL129" s="118"/>
      <c r="FTM129" s="118"/>
      <c r="FTN129" s="118"/>
      <c r="FTO129" s="118"/>
      <c r="FTP129" s="118"/>
      <c r="FTQ129" s="118"/>
      <c r="FTR129" s="118"/>
      <c r="FTS129" s="118"/>
      <c r="FTT129" s="118"/>
      <c r="FTU129" s="118"/>
      <c r="FTV129" s="118"/>
      <c r="FTW129" s="118"/>
      <c r="FTX129" s="118"/>
      <c r="FTY129" s="118"/>
      <c r="FTZ129" s="118"/>
      <c r="FUA129" s="118"/>
      <c r="FUB129" s="118"/>
      <c r="FUC129" s="118"/>
      <c r="FUD129" s="118"/>
      <c r="FUE129" s="118"/>
      <c r="FUF129" s="118"/>
      <c r="FUG129" s="118"/>
      <c r="FUH129" s="118"/>
      <c r="FUI129" s="118"/>
      <c r="FUJ129" s="118"/>
      <c r="FUK129" s="118"/>
      <c r="FUL129" s="118"/>
      <c r="FUM129" s="118"/>
      <c r="FUN129" s="118"/>
      <c r="FUO129" s="118"/>
      <c r="FUP129" s="118"/>
      <c r="FUQ129" s="118"/>
      <c r="FUR129" s="118"/>
      <c r="FUS129" s="118"/>
      <c r="FUT129" s="118"/>
      <c r="FUU129" s="118"/>
      <c r="FUV129" s="118"/>
      <c r="FUW129" s="118"/>
      <c r="FUX129" s="118"/>
      <c r="FUY129" s="118"/>
      <c r="FUZ129" s="118"/>
      <c r="FVA129" s="118"/>
      <c r="FVB129" s="118"/>
      <c r="FVC129" s="118"/>
      <c r="FVD129" s="118"/>
      <c r="FVE129" s="118"/>
      <c r="FVF129" s="118"/>
      <c r="FVG129" s="118"/>
      <c r="FVH129" s="118"/>
      <c r="FVI129" s="118"/>
      <c r="FVJ129" s="118"/>
      <c r="FVK129" s="118"/>
      <c r="FVL129" s="118"/>
      <c r="FVM129" s="118"/>
      <c r="FVN129" s="118"/>
      <c r="FVO129" s="118"/>
      <c r="FVP129" s="118"/>
      <c r="FVQ129" s="118"/>
      <c r="FVR129" s="118"/>
      <c r="FVS129" s="118"/>
      <c r="FVT129" s="118"/>
      <c r="FVU129" s="118"/>
      <c r="FVV129" s="118"/>
      <c r="FVW129" s="118"/>
      <c r="FVX129" s="118"/>
      <c r="FVY129" s="118"/>
      <c r="FVZ129" s="118"/>
      <c r="FWA129" s="118"/>
      <c r="FWB129" s="118"/>
      <c r="FWC129" s="118"/>
      <c r="FWD129" s="118"/>
      <c r="FWE129" s="118"/>
      <c r="FWF129" s="118"/>
      <c r="FWG129" s="118"/>
      <c r="FWH129" s="118"/>
      <c r="FWI129" s="118"/>
      <c r="FWJ129" s="118"/>
      <c r="FWK129" s="118"/>
      <c r="FWL129" s="118"/>
      <c r="FWM129" s="118"/>
      <c r="FWN129" s="118"/>
      <c r="FWO129" s="118"/>
      <c r="FWP129" s="118"/>
      <c r="FWQ129" s="118"/>
      <c r="FWR129" s="118"/>
      <c r="FWS129" s="118"/>
      <c r="FWT129" s="118"/>
      <c r="FWU129" s="118"/>
      <c r="FWV129" s="118"/>
      <c r="FWW129" s="118"/>
      <c r="FWX129" s="118"/>
      <c r="FWY129" s="118"/>
      <c r="FWZ129" s="118"/>
      <c r="FXA129" s="118"/>
      <c r="FXB129" s="118"/>
      <c r="FXC129" s="118"/>
      <c r="FXD129" s="118"/>
      <c r="FXE129" s="118"/>
      <c r="FXF129" s="118"/>
      <c r="FXG129" s="118"/>
      <c r="FXH129" s="118"/>
      <c r="FXI129" s="118"/>
      <c r="FXJ129" s="118"/>
      <c r="FXK129" s="118"/>
      <c r="FXL129" s="118"/>
      <c r="FXM129" s="118"/>
      <c r="FXN129" s="118"/>
      <c r="FXO129" s="118"/>
      <c r="FXP129" s="118"/>
      <c r="FXQ129" s="118"/>
      <c r="FXR129" s="118"/>
      <c r="FXS129" s="118"/>
      <c r="FXT129" s="118"/>
      <c r="FXU129" s="118"/>
      <c r="FXV129" s="118"/>
      <c r="FXW129" s="118"/>
      <c r="FXX129" s="118"/>
      <c r="FXY129" s="118"/>
      <c r="FXZ129" s="118"/>
      <c r="FYA129" s="118"/>
      <c r="FYB129" s="118"/>
      <c r="FYC129" s="118"/>
      <c r="FYD129" s="118"/>
      <c r="FYE129" s="118"/>
      <c r="FYF129" s="118"/>
      <c r="FYG129" s="118"/>
      <c r="FYH129" s="118"/>
      <c r="FYI129" s="118"/>
      <c r="FYJ129" s="118"/>
      <c r="FYK129" s="118"/>
      <c r="FYL129" s="118"/>
      <c r="FYM129" s="118"/>
      <c r="FYN129" s="118"/>
      <c r="FYO129" s="118"/>
      <c r="FYP129" s="118"/>
      <c r="FYQ129" s="118"/>
      <c r="FYR129" s="118"/>
      <c r="FYS129" s="118"/>
      <c r="FYT129" s="118"/>
      <c r="FYU129" s="118"/>
      <c r="FYV129" s="118"/>
      <c r="FYW129" s="118"/>
      <c r="FYX129" s="118"/>
      <c r="FYY129" s="118"/>
      <c r="FYZ129" s="118"/>
      <c r="FZA129" s="118"/>
      <c r="FZB129" s="118"/>
      <c r="FZC129" s="118"/>
      <c r="FZD129" s="118"/>
      <c r="FZE129" s="118"/>
      <c r="FZF129" s="118"/>
      <c r="FZG129" s="118"/>
      <c r="FZH129" s="118"/>
      <c r="FZI129" s="118"/>
      <c r="FZJ129" s="118"/>
      <c r="FZK129" s="118"/>
      <c r="FZL129" s="118"/>
      <c r="FZM129" s="118"/>
      <c r="FZN129" s="118"/>
      <c r="FZO129" s="118"/>
      <c r="FZP129" s="118"/>
      <c r="FZQ129" s="118"/>
      <c r="FZR129" s="118"/>
      <c r="FZS129" s="118"/>
      <c r="FZT129" s="118"/>
      <c r="FZU129" s="118"/>
      <c r="FZV129" s="118"/>
      <c r="FZW129" s="118"/>
      <c r="FZX129" s="118"/>
      <c r="FZY129" s="118"/>
      <c r="FZZ129" s="118"/>
      <c r="GAA129" s="118"/>
      <c r="GAB129" s="118"/>
      <c r="GAC129" s="118"/>
      <c r="GAD129" s="118"/>
      <c r="GAE129" s="118"/>
      <c r="GAF129" s="118"/>
      <c r="GAG129" s="118"/>
      <c r="GAH129" s="118"/>
      <c r="GAI129" s="118"/>
      <c r="GAJ129" s="118"/>
      <c r="GAK129" s="118"/>
      <c r="GAL129" s="118"/>
      <c r="GAM129" s="118"/>
      <c r="GAN129" s="118"/>
      <c r="GAO129" s="118"/>
      <c r="GAP129" s="118"/>
      <c r="GAQ129" s="118"/>
      <c r="GAR129" s="118"/>
      <c r="GAS129" s="118"/>
      <c r="GAT129" s="118"/>
      <c r="GAU129" s="118"/>
      <c r="GAV129" s="118"/>
      <c r="GAW129" s="118"/>
      <c r="GAX129" s="118"/>
      <c r="GAY129" s="118"/>
      <c r="GAZ129" s="118"/>
      <c r="GBA129" s="118"/>
      <c r="GBB129" s="118"/>
      <c r="GBC129" s="118"/>
      <c r="GBD129" s="118"/>
      <c r="GBE129" s="118"/>
      <c r="GBF129" s="118"/>
      <c r="GBG129" s="118"/>
      <c r="GBH129" s="118"/>
      <c r="GBI129" s="118"/>
      <c r="GBJ129" s="118"/>
      <c r="GBK129" s="118"/>
      <c r="GBL129" s="118"/>
      <c r="GBM129" s="118"/>
      <c r="GBN129" s="118"/>
      <c r="GBO129" s="118"/>
      <c r="GBP129" s="118"/>
      <c r="GBQ129" s="118"/>
      <c r="GBR129" s="118"/>
      <c r="GBS129" s="118"/>
      <c r="GBT129" s="118"/>
      <c r="GBU129" s="118"/>
      <c r="GBV129" s="118"/>
      <c r="GBW129" s="118"/>
      <c r="GBX129" s="118"/>
      <c r="GBY129" s="118"/>
      <c r="GBZ129" s="118"/>
      <c r="GCA129" s="118"/>
      <c r="GCB129" s="118"/>
      <c r="GCC129" s="118"/>
      <c r="GCD129" s="118"/>
      <c r="GCE129" s="118"/>
      <c r="GCF129" s="118"/>
      <c r="GCG129" s="118"/>
      <c r="GCH129" s="118"/>
      <c r="GCI129" s="118"/>
      <c r="GCJ129" s="118"/>
      <c r="GCK129" s="118"/>
      <c r="GCL129" s="118"/>
      <c r="GCM129" s="118"/>
      <c r="GCN129" s="118"/>
      <c r="GCO129" s="118"/>
      <c r="GCP129" s="118"/>
      <c r="GCQ129" s="118"/>
      <c r="GCR129" s="118"/>
      <c r="GCS129" s="118"/>
      <c r="GCT129" s="118"/>
      <c r="GCU129" s="118"/>
      <c r="GCV129" s="118"/>
      <c r="GCW129" s="118"/>
      <c r="GCX129" s="118"/>
      <c r="GCY129" s="118"/>
      <c r="GCZ129" s="118"/>
      <c r="GDA129" s="118"/>
      <c r="GDB129" s="118"/>
      <c r="GDC129" s="118"/>
      <c r="GDD129" s="118"/>
      <c r="GDE129" s="118"/>
      <c r="GDF129" s="118"/>
      <c r="GDG129" s="118"/>
      <c r="GDH129" s="118"/>
      <c r="GDI129" s="118"/>
      <c r="GDJ129" s="118"/>
      <c r="GDK129" s="118"/>
      <c r="GDL129" s="118"/>
      <c r="GDM129" s="118"/>
      <c r="GDN129" s="118"/>
      <c r="GDO129" s="118"/>
      <c r="GDP129" s="118"/>
      <c r="GDQ129" s="118"/>
      <c r="GDR129" s="118"/>
      <c r="GDS129" s="118"/>
      <c r="GDT129" s="118"/>
      <c r="GDU129" s="118"/>
      <c r="GDV129" s="118"/>
      <c r="GDW129" s="118"/>
      <c r="GDX129" s="118"/>
      <c r="GDY129" s="118"/>
      <c r="GDZ129" s="118"/>
      <c r="GEA129" s="118"/>
      <c r="GEB129" s="118"/>
      <c r="GEC129" s="118"/>
      <c r="GED129" s="118"/>
      <c r="GEE129" s="118"/>
      <c r="GEF129" s="118"/>
      <c r="GEG129" s="118"/>
      <c r="GEH129" s="118"/>
      <c r="GEI129" s="118"/>
      <c r="GEJ129" s="118"/>
      <c r="GEK129" s="118"/>
      <c r="GEL129" s="118"/>
      <c r="GEM129" s="118"/>
      <c r="GEN129" s="118"/>
      <c r="GEO129" s="118"/>
      <c r="GEP129" s="118"/>
      <c r="GEQ129" s="118"/>
      <c r="GER129" s="118"/>
      <c r="GES129" s="118"/>
      <c r="GET129" s="118"/>
      <c r="GEU129" s="118"/>
      <c r="GEV129" s="118"/>
      <c r="GEW129" s="118"/>
      <c r="GEX129" s="118"/>
      <c r="GEY129" s="118"/>
      <c r="GEZ129" s="118"/>
      <c r="GFA129" s="118"/>
      <c r="GFB129" s="118"/>
      <c r="GFC129" s="118"/>
      <c r="GFD129" s="118"/>
      <c r="GFE129" s="118"/>
      <c r="GFF129" s="118"/>
      <c r="GFG129" s="118"/>
      <c r="GFH129" s="118"/>
      <c r="GFI129" s="118"/>
      <c r="GFJ129" s="118"/>
      <c r="GFK129" s="118"/>
      <c r="GFL129" s="118"/>
      <c r="GFM129" s="118"/>
      <c r="GFN129" s="118"/>
      <c r="GFO129" s="118"/>
      <c r="GFP129" s="118"/>
      <c r="GFQ129" s="118"/>
      <c r="GFR129" s="118"/>
      <c r="GFS129" s="118"/>
      <c r="GFT129" s="118"/>
      <c r="GFU129" s="118"/>
      <c r="GFV129" s="118"/>
      <c r="GFW129" s="118"/>
      <c r="GFX129" s="118"/>
      <c r="GFY129" s="118"/>
      <c r="GFZ129" s="118"/>
      <c r="GGA129" s="118"/>
      <c r="GGB129" s="118"/>
      <c r="GGC129" s="118"/>
      <c r="GGD129" s="118"/>
      <c r="GGE129" s="118"/>
      <c r="GGF129" s="118"/>
      <c r="GGG129" s="118"/>
      <c r="GGH129" s="118"/>
      <c r="GGI129" s="118"/>
      <c r="GGJ129" s="118"/>
      <c r="GGK129" s="118"/>
      <c r="GGL129" s="118"/>
      <c r="GGM129" s="118"/>
      <c r="GGN129" s="118"/>
      <c r="GGO129" s="118"/>
      <c r="GGP129" s="118"/>
      <c r="GGQ129" s="118"/>
      <c r="GGR129" s="118"/>
      <c r="GGS129" s="118"/>
      <c r="GGT129" s="118"/>
      <c r="GGU129" s="118"/>
      <c r="GGV129" s="118"/>
      <c r="GGW129" s="118"/>
      <c r="GGX129" s="118"/>
      <c r="GGY129" s="118"/>
      <c r="GGZ129" s="118"/>
      <c r="GHA129" s="118"/>
      <c r="GHB129" s="118"/>
      <c r="GHC129" s="118"/>
      <c r="GHD129" s="118"/>
      <c r="GHE129" s="118"/>
      <c r="GHF129" s="118"/>
      <c r="GHG129" s="118"/>
      <c r="GHH129" s="118"/>
      <c r="GHI129" s="118"/>
      <c r="GHJ129" s="118"/>
      <c r="GHK129" s="118"/>
      <c r="GHL129" s="118"/>
      <c r="GHM129" s="118"/>
      <c r="GHN129" s="118"/>
      <c r="GHO129" s="118"/>
      <c r="GHP129" s="118"/>
      <c r="GHQ129" s="118"/>
      <c r="GHR129" s="118"/>
      <c r="GHS129" s="118"/>
      <c r="GHT129" s="118"/>
      <c r="GHU129" s="118"/>
      <c r="GHV129" s="118"/>
      <c r="GHW129" s="118"/>
      <c r="GHX129" s="118"/>
      <c r="GHY129" s="118"/>
      <c r="GHZ129" s="118"/>
      <c r="GIA129" s="118"/>
      <c r="GIB129" s="118"/>
      <c r="GIC129" s="118"/>
      <c r="GID129" s="118"/>
      <c r="GIE129" s="118"/>
      <c r="GIF129" s="118"/>
      <c r="GIG129" s="118"/>
      <c r="GIH129" s="118"/>
      <c r="GII129" s="118"/>
      <c r="GIJ129" s="118"/>
      <c r="GIK129" s="118"/>
      <c r="GIL129" s="118"/>
      <c r="GIM129" s="118"/>
      <c r="GIN129" s="118"/>
      <c r="GIO129" s="118"/>
      <c r="GIP129" s="118"/>
      <c r="GIQ129" s="118"/>
      <c r="GIR129" s="118"/>
      <c r="GIS129" s="118"/>
      <c r="GIT129" s="118"/>
      <c r="GIU129" s="118"/>
      <c r="GIV129" s="118"/>
      <c r="GIW129" s="118"/>
      <c r="GIX129" s="118"/>
      <c r="GIY129" s="118"/>
      <c r="GIZ129" s="118"/>
      <c r="GJA129" s="118"/>
      <c r="GJB129" s="118"/>
      <c r="GJC129" s="118"/>
      <c r="GJD129" s="118"/>
      <c r="GJE129" s="118"/>
      <c r="GJF129" s="118"/>
      <c r="GJG129" s="118"/>
      <c r="GJH129" s="118"/>
      <c r="GJI129" s="118"/>
      <c r="GJJ129" s="118"/>
      <c r="GJK129" s="118"/>
      <c r="GJL129" s="118"/>
      <c r="GJM129" s="118"/>
      <c r="GJN129" s="118"/>
      <c r="GJO129" s="118"/>
      <c r="GJP129" s="118"/>
      <c r="GJQ129" s="118"/>
      <c r="GJR129" s="118"/>
      <c r="GJS129" s="118"/>
      <c r="GJT129" s="118"/>
      <c r="GJU129" s="118"/>
      <c r="GJV129" s="118"/>
      <c r="GJW129" s="118"/>
      <c r="GJX129" s="118"/>
      <c r="GJY129" s="118"/>
      <c r="GJZ129" s="118"/>
      <c r="GKA129" s="118"/>
      <c r="GKB129" s="118"/>
      <c r="GKC129" s="118"/>
      <c r="GKD129" s="118"/>
      <c r="GKE129" s="118"/>
      <c r="GKF129" s="118"/>
      <c r="GKG129" s="118"/>
      <c r="GKH129" s="118"/>
      <c r="GKI129" s="118"/>
      <c r="GKJ129" s="118"/>
      <c r="GKK129" s="118"/>
      <c r="GKL129" s="118"/>
      <c r="GKM129" s="118"/>
      <c r="GKN129" s="118"/>
      <c r="GKO129" s="118"/>
      <c r="GKP129" s="118"/>
      <c r="GKQ129" s="118"/>
      <c r="GKR129" s="118"/>
      <c r="GKS129" s="118"/>
      <c r="GKT129" s="118"/>
      <c r="GKU129" s="118"/>
      <c r="GKV129" s="118"/>
      <c r="GKW129" s="118"/>
      <c r="GKX129" s="118"/>
      <c r="GKY129" s="118"/>
      <c r="GKZ129" s="118"/>
      <c r="GLA129" s="118"/>
      <c r="GLB129" s="118"/>
      <c r="GLC129" s="118"/>
      <c r="GLD129" s="118"/>
      <c r="GLE129" s="118"/>
      <c r="GLF129" s="118"/>
      <c r="GLG129" s="118"/>
      <c r="GLH129" s="118"/>
      <c r="GLI129" s="118"/>
      <c r="GLJ129" s="118"/>
      <c r="GLK129" s="118"/>
      <c r="GLL129" s="118"/>
      <c r="GLM129" s="118"/>
      <c r="GLN129" s="118"/>
      <c r="GLO129" s="118"/>
      <c r="GLP129" s="118"/>
      <c r="GLQ129" s="118"/>
      <c r="GLR129" s="118"/>
      <c r="GLS129" s="118"/>
      <c r="GLT129" s="118"/>
      <c r="GLU129" s="118"/>
      <c r="GLV129" s="118"/>
      <c r="GLW129" s="118"/>
      <c r="GLX129" s="118"/>
      <c r="GLY129" s="118"/>
      <c r="GLZ129" s="118"/>
      <c r="GMA129" s="118"/>
      <c r="GMB129" s="118"/>
      <c r="GMC129" s="118"/>
      <c r="GMD129" s="118"/>
      <c r="GME129" s="118"/>
      <c r="GMF129" s="118"/>
      <c r="GMG129" s="118"/>
      <c r="GMH129" s="118"/>
      <c r="GMI129" s="118"/>
      <c r="GMJ129" s="118"/>
      <c r="GMK129" s="118"/>
      <c r="GML129" s="118"/>
      <c r="GMM129" s="118"/>
      <c r="GMN129" s="118"/>
      <c r="GMO129" s="118"/>
      <c r="GMP129" s="118"/>
      <c r="GMQ129" s="118"/>
      <c r="GMR129" s="118"/>
      <c r="GMS129" s="118"/>
      <c r="GMT129" s="118"/>
      <c r="GMU129" s="118"/>
      <c r="GMV129" s="118"/>
      <c r="GMW129" s="118"/>
      <c r="GMX129" s="118"/>
      <c r="GMY129" s="118"/>
      <c r="GMZ129" s="118"/>
      <c r="GNA129" s="118"/>
      <c r="GNB129" s="118"/>
      <c r="GNC129" s="118"/>
      <c r="GND129" s="118"/>
      <c r="GNE129" s="118"/>
      <c r="GNF129" s="118"/>
      <c r="GNG129" s="118"/>
      <c r="GNH129" s="118"/>
      <c r="GNI129" s="118"/>
      <c r="GNJ129" s="118"/>
      <c r="GNK129" s="118"/>
      <c r="GNL129" s="118"/>
      <c r="GNM129" s="118"/>
      <c r="GNN129" s="118"/>
      <c r="GNO129" s="118"/>
      <c r="GNP129" s="118"/>
      <c r="GNQ129" s="118"/>
      <c r="GNR129" s="118"/>
      <c r="GNS129" s="118"/>
      <c r="GNT129" s="118"/>
      <c r="GNU129" s="118"/>
      <c r="GNV129" s="118"/>
      <c r="GNW129" s="118"/>
      <c r="GNX129" s="118"/>
      <c r="GNY129" s="118"/>
      <c r="GNZ129" s="118"/>
      <c r="GOA129" s="118"/>
      <c r="GOB129" s="118"/>
      <c r="GOC129" s="118"/>
      <c r="GOD129" s="118"/>
      <c r="GOE129" s="118"/>
      <c r="GOF129" s="118"/>
      <c r="GOG129" s="118"/>
      <c r="GOH129" s="118"/>
      <c r="GOI129" s="118"/>
      <c r="GOJ129" s="118"/>
      <c r="GOK129" s="118"/>
      <c r="GOL129" s="118"/>
      <c r="GOM129" s="118"/>
      <c r="GON129" s="118"/>
      <c r="GOO129" s="118"/>
      <c r="GOP129" s="118"/>
      <c r="GOQ129" s="118"/>
      <c r="GOR129" s="118"/>
      <c r="GOS129" s="118"/>
      <c r="GOT129" s="118"/>
      <c r="GOU129" s="118"/>
      <c r="GOV129" s="118"/>
      <c r="GOW129" s="118"/>
      <c r="GOX129" s="118"/>
      <c r="GOY129" s="118"/>
      <c r="GOZ129" s="118"/>
      <c r="GPA129" s="118"/>
      <c r="GPB129" s="118"/>
      <c r="GPC129" s="118"/>
      <c r="GPD129" s="118"/>
      <c r="GPE129" s="118"/>
      <c r="GPF129" s="118"/>
      <c r="GPG129" s="118"/>
      <c r="GPH129" s="118"/>
      <c r="GPI129" s="118"/>
      <c r="GPJ129" s="118"/>
      <c r="GPK129" s="118"/>
      <c r="GPL129" s="118"/>
      <c r="GPM129" s="118"/>
      <c r="GPN129" s="118"/>
      <c r="GPO129" s="118"/>
      <c r="GPP129" s="118"/>
      <c r="GPQ129" s="118"/>
      <c r="GPR129" s="118"/>
      <c r="GPS129" s="118"/>
      <c r="GPT129" s="118"/>
      <c r="GPU129" s="118"/>
      <c r="GPV129" s="118"/>
      <c r="GPW129" s="118"/>
      <c r="GPX129" s="118"/>
      <c r="GPY129" s="118"/>
      <c r="GPZ129" s="118"/>
      <c r="GQA129" s="118"/>
      <c r="GQB129" s="118"/>
      <c r="GQC129" s="118"/>
      <c r="GQD129" s="118"/>
      <c r="GQE129" s="118"/>
      <c r="GQF129" s="118"/>
      <c r="GQG129" s="118"/>
      <c r="GQH129" s="118"/>
      <c r="GQI129" s="118"/>
      <c r="GQJ129" s="118"/>
      <c r="GQK129" s="118"/>
      <c r="GQL129" s="118"/>
      <c r="GQM129" s="118"/>
      <c r="GQN129" s="118"/>
      <c r="GQO129" s="118"/>
      <c r="GQP129" s="118"/>
      <c r="GQQ129" s="118"/>
      <c r="GQR129" s="118"/>
      <c r="GQS129" s="118"/>
      <c r="GQT129" s="118"/>
      <c r="GQU129" s="118"/>
      <c r="GQV129" s="118"/>
      <c r="GQW129" s="118"/>
      <c r="GQX129" s="118"/>
      <c r="GQY129" s="118"/>
      <c r="GQZ129" s="118"/>
      <c r="GRA129" s="118"/>
      <c r="GRB129" s="118"/>
      <c r="GRC129" s="118"/>
      <c r="GRD129" s="118"/>
      <c r="GRE129" s="118"/>
      <c r="GRF129" s="118"/>
      <c r="GRG129" s="118"/>
      <c r="GRH129" s="118"/>
      <c r="GRI129" s="118"/>
      <c r="GRJ129" s="118"/>
      <c r="GRK129" s="118"/>
      <c r="GRL129" s="118"/>
      <c r="GRM129" s="118"/>
      <c r="GRN129" s="118"/>
      <c r="GRO129" s="118"/>
      <c r="GRP129" s="118"/>
      <c r="GRQ129" s="118"/>
      <c r="GRR129" s="118"/>
      <c r="GRS129" s="118"/>
      <c r="GRT129" s="118"/>
      <c r="GRU129" s="118"/>
      <c r="GRV129" s="118"/>
      <c r="GRW129" s="118"/>
      <c r="GRX129" s="118"/>
      <c r="GRY129" s="118"/>
      <c r="GRZ129" s="118"/>
      <c r="GSA129" s="118"/>
      <c r="GSB129" s="118"/>
      <c r="GSC129" s="118"/>
      <c r="GSD129" s="118"/>
      <c r="GSE129" s="118"/>
      <c r="GSF129" s="118"/>
      <c r="GSG129" s="118"/>
      <c r="GSH129" s="118"/>
      <c r="GSI129" s="118"/>
      <c r="GSJ129" s="118"/>
      <c r="GSK129" s="118"/>
      <c r="GSL129" s="118"/>
      <c r="GSM129" s="118"/>
      <c r="GSN129" s="118"/>
      <c r="GSO129" s="118"/>
      <c r="GSP129" s="118"/>
      <c r="GSQ129" s="118"/>
      <c r="GSR129" s="118"/>
      <c r="GSS129" s="118"/>
      <c r="GST129" s="118"/>
      <c r="GSU129" s="118"/>
      <c r="GSV129" s="118"/>
      <c r="GSW129" s="118"/>
      <c r="GSX129" s="118"/>
      <c r="GSY129" s="118"/>
      <c r="GSZ129" s="118"/>
      <c r="GTA129" s="118"/>
      <c r="GTB129" s="118"/>
      <c r="GTC129" s="118"/>
      <c r="GTD129" s="118"/>
      <c r="GTE129" s="118"/>
      <c r="GTF129" s="118"/>
      <c r="GTG129" s="118"/>
      <c r="GTH129" s="118"/>
      <c r="GTI129" s="118"/>
      <c r="GTJ129" s="118"/>
      <c r="GTK129" s="118"/>
      <c r="GTL129" s="118"/>
      <c r="GTM129" s="118"/>
      <c r="GTN129" s="118"/>
      <c r="GTO129" s="118"/>
      <c r="GTP129" s="118"/>
      <c r="GTQ129" s="118"/>
      <c r="GTR129" s="118"/>
      <c r="GTS129" s="118"/>
      <c r="GTT129" s="118"/>
      <c r="GTU129" s="118"/>
      <c r="GTV129" s="118"/>
      <c r="GTW129" s="118"/>
      <c r="GTX129" s="118"/>
      <c r="GTY129" s="118"/>
      <c r="GTZ129" s="118"/>
      <c r="GUA129" s="118"/>
      <c r="GUB129" s="118"/>
      <c r="GUC129" s="118"/>
      <c r="GUD129" s="118"/>
      <c r="GUE129" s="118"/>
      <c r="GUF129" s="118"/>
      <c r="GUG129" s="118"/>
      <c r="GUH129" s="118"/>
      <c r="GUI129" s="118"/>
      <c r="GUJ129" s="118"/>
      <c r="GUK129" s="118"/>
      <c r="GUL129" s="118"/>
      <c r="GUM129" s="118"/>
      <c r="GUN129" s="118"/>
      <c r="GUO129" s="118"/>
      <c r="GUP129" s="118"/>
      <c r="GUQ129" s="118"/>
      <c r="GUR129" s="118"/>
      <c r="GUS129" s="118"/>
      <c r="GUT129" s="118"/>
      <c r="GUU129" s="118"/>
      <c r="GUV129" s="118"/>
      <c r="GUW129" s="118"/>
      <c r="GUX129" s="118"/>
      <c r="GUY129" s="118"/>
      <c r="GUZ129" s="118"/>
      <c r="GVA129" s="118"/>
      <c r="GVB129" s="118"/>
      <c r="GVC129" s="118"/>
      <c r="GVD129" s="118"/>
      <c r="GVE129" s="118"/>
      <c r="GVF129" s="118"/>
      <c r="GVG129" s="118"/>
      <c r="GVH129" s="118"/>
      <c r="GVI129" s="118"/>
      <c r="GVJ129" s="118"/>
      <c r="GVK129" s="118"/>
      <c r="GVL129" s="118"/>
      <c r="GVM129" s="118"/>
      <c r="GVN129" s="118"/>
      <c r="GVO129" s="118"/>
      <c r="GVP129" s="118"/>
      <c r="GVQ129" s="118"/>
      <c r="GVR129" s="118"/>
      <c r="GVS129" s="118"/>
      <c r="GVT129" s="118"/>
      <c r="GVU129" s="118"/>
      <c r="GVV129" s="118"/>
      <c r="GVW129" s="118"/>
      <c r="GVX129" s="118"/>
      <c r="GVY129" s="118"/>
      <c r="GVZ129" s="118"/>
      <c r="GWA129" s="118"/>
      <c r="GWB129" s="118"/>
      <c r="GWC129" s="118"/>
      <c r="GWD129" s="118"/>
      <c r="GWE129" s="118"/>
      <c r="GWF129" s="118"/>
      <c r="GWG129" s="118"/>
      <c r="GWH129" s="118"/>
      <c r="GWI129" s="118"/>
      <c r="GWJ129" s="118"/>
      <c r="GWK129" s="118"/>
      <c r="GWL129" s="118"/>
      <c r="GWM129" s="118"/>
      <c r="GWN129" s="118"/>
      <c r="GWO129" s="118"/>
      <c r="GWP129" s="118"/>
      <c r="GWQ129" s="118"/>
      <c r="GWR129" s="118"/>
      <c r="GWS129" s="118"/>
      <c r="GWT129" s="118"/>
      <c r="GWU129" s="118"/>
      <c r="GWV129" s="118"/>
      <c r="GWW129" s="118"/>
      <c r="GWX129" s="118"/>
      <c r="GWY129" s="118"/>
      <c r="GWZ129" s="118"/>
      <c r="GXA129" s="118"/>
      <c r="GXB129" s="118"/>
      <c r="GXC129" s="118"/>
      <c r="GXD129" s="118"/>
      <c r="GXE129" s="118"/>
      <c r="GXF129" s="118"/>
      <c r="GXG129" s="118"/>
      <c r="GXH129" s="118"/>
      <c r="GXI129" s="118"/>
      <c r="GXJ129" s="118"/>
      <c r="GXK129" s="118"/>
      <c r="GXL129" s="118"/>
      <c r="GXM129" s="118"/>
      <c r="GXN129" s="118"/>
      <c r="GXO129" s="118"/>
      <c r="GXP129" s="118"/>
      <c r="GXQ129" s="118"/>
      <c r="GXR129" s="118"/>
      <c r="GXS129" s="118"/>
      <c r="GXT129" s="118"/>
      <c r="GXU129" s="118"/>
      <c r="GXV129" s="118"/>
      <c r="GXW129" s="118"/>
      <c r="GXX129" s="118"/>
      <c r="GXY129" s="118"/>
      <c r="GXZ129" s="118"/>
      <c r="GYA129" s="118"/>
      <c r="GYB129" s="118"/>
      <c r="GYC129" s="118"/>
      <c r="GYD129" s="118"/>
      <c r="GYE129" s="118"/>
      <c r="GYF129" s="118"/>
      <c r="GYG129" s="118"/>
      <c r="GYH129" s="118"/>
      <c r="GYI129" s="118"/>
      <c r="GYJ129" s="118"/>
      <c r="GYK129" s="118"/>
      <c r="GYL129" s="118"/>
      <c r="GYM129" s="118"/>
      <c r="GYN129" s="118"/>
      <c r="GYO129" s="118"/>
      <c r="GYP129" s="118"/>
      <c r="GYQ129" s="118"/>
      <c r="GYR129" s="118"/>
      <c r="GYS129" s="118"/>
      <c r="GYT129" s="118"/>
      <c r="GYU129" s="118"/>
      <c r="GYV129" s="118"/>
      <c r="GYW129" s="118"/>
      <c r="GYX129" s="118"/>
      <c r="GYY129" s="118"/>
      <c r="GYZ129" s="118"/>
      <c r="GZA129" s="118"/>
      <c r="GZB129" s="118"/>
      <c r="GZC129" s="118"/>
      <c r="GZD129" s="118"/>
      <c r="GZE129" s="118"/>
      <c r="GZF129" s="118"/>
      <c r="GZG129" s="118"/>
      <c r="GZH129" s="118"/>
      <c r="GZI129" s="118"/>
      <c r="GZJ129" s="118"/>
      <c r="GZK129" s="118"/>
      <c r="GZL129" s="118"/>
      <c r="GZM129" s="118"/>
      <c r="GZN129" s="118"/>
      <c r="GZO129" s="118"/>
      <c r="GZP129" s="118"/>
      <c r="GZQ129" s="118"/>
      <c r="GZR129" s="118"/>
      <c r="GZS129" s="118"/>
      <c r="GZT129" s="118"/>
      <c r="GZU129" s="118"/>
      <c r="GZV129" s="118"/>
      <c r="GZW129" s="118"/>
      <c r="GZX129" s="118"/>
      <c r="GZY129" s="118"/>
      <c r="GZZ129" s="118"/>
      <c r="HAA129" s="118"/>
      <c r="HAB129" s="118"/>
      <c r="HAC129" s="118"/>
      <c r="HAD129" s="118"/>
      <c r="HAE129" s="118"/>
      <c r="HAF129" s="118"/>
      <c r="HAG129" s="118"/>
      <c r="HAH129" s="118"/>
      <c r="HAI129" s="118"/>
      <c r="HAJ129" s="118"/>
      <c r="HAK129" s="118"/>
      <c r="HAL129" s="118"/>
      <c r="HAM129" s="118"/>
      <c r="HAN129" s="118"/>
      <c r="HAO129" s="118"/>
      <c r="HAP129" s="118"/>
      <c r="HAQ129" s="118"/>
      <c r="HAR129" s="118"/>
      <c r="HAS129" s="118"/>
      <c r="HAT129" s="118"/>
      <c r="HAU129" s="118"/>
      <c r="HAV129" s="118"/>
      <c r="HAW129" s="118"/>
      <c r="HAX129" s="118"/>
      <c r="HAY129" s="118"/>
      <c r="HAZ129" s="118"/>
      <c r="HBA129" s="118"/>
      <c r="HBB129" s="118"/>
      <c r="HBC129" s="118"/>
      <c r="HBD129" s="118"/>
      <c r="HBE129" s="118"/>
      <c r="HBF129" s="118"/>
      <c r="HBG129" s="118"/>
      <c r="HBH129" s="118"/>
      <c r="HBI129" s="118"/>
      <c r="HBJ129" s="118"/>
      <c r="HBK129" s="118"/>
      <c r="HBL129" s="118"/>
      <c r="HBM129" s="118"/>
      <c r="HBN129" s="118"/>
      <c r="HBO129" s="118"/>
      <c r="HBP129" s="118"/>
      <c r="HBQ129" s="118"/>
      <c r="HBR129" s="118"/>
      <c r="HBS129" s="118"/>
      <c r="HBT129" s="118"/>
      <c r="HBU129" s="118"/>
      <c r="HBV129" s="118"/>
      <c r="HBW129" s="118"/>
      <c r="HBX129" s="118"/>
      <c r="HBY129" s="118"/>
      <c r="HBZ129" s="118"/>
      <c r="HCA129" s="118"/>
      <c r="HCB129" s="118"/>
      <c r="HCC129" s="118"/>
      <c r="HCD129" s="118"/>
      <c r="HCE129" s="118"/>
      <c r="HCF129" s="118"/>
      <c r="HCG129" s="118"/>
      <c r="HCH129" s="118"/>
      <c r="HCI129" s="118"/>
      <c r="HCJ129" s="118"/>
      <c r="HCK129" s="118"/>
      <c r="HCL129" s="118"/>
      <c r="HCM129" s="118"/>
      <c r="HCN129" s="118"/>
      <c r="HCO129" s="118"/>
      <c r="HCP129" s="118"/>
      <c r="HCQ129" s="118"/>
      <c r="HCR129" s="118"/>
      <c r="HCS129" s="118"/>
      <c r="HCT129" s="118"/>
      <c r="HCU129" s="118"/>
      <c r="HCV129" s="118"/>
      <c r="HCW129" s="118"/>
      <c r="HCX129" s="118"/>
      <c r="HCY129" s="118"/>
      <c r="HCZ129" s="118"/>
      <c r="HDA129" s="118"/>
      <c r="HDB129" s="118"/>
      <c r="HDC129" s="118"/>
      <c r="HDD129" s="118"/>
      <c r="HDE129" s="118"/>
      <c r="HDF129" s="118"/>
      <c r="HDG129" s="118"/>
      <c r="HDH129" s="118"/>
      <c r="HDI129" s="118"/>
      <c r="HDJ129" s="118"/>
      <c r="HDK129" s="118"/>
      <c r="HDL129" s="118"/>
      <c r="HDM129" s="118"/>
      <c r="HDN129" s="118"/>
      <c r="HDO129" s="118"/>
      <c r="HDP129" s="118"/>
      <c r="HDQ129" s="118"/>
      <c r="HDR129" s="118"/>
      <c r="HDS129" s="118"/>
      <c r="HDT129" s="118"/>
      <c r="HDU129" s="118"/>
      <c r="HDV129" s="118"/>
      <c r="HDW129" s="118"/>
      <c r="HDX129" s="118"/>
      <c r="HDY129" s="118"/>
      <c r="HDZ129" s="118"/>
      <c r="HEA129" s="118"/>
      <c r="HEB129" s="118"/>
      <c r="HEC129" s="118"/>
      <c r="HED129" s="118"/>
      <c r="HEE129" s="118"/>
      <c r="HEF129" s="118"/>
      <c r="HEG129" s="118"/>
      <c r="HEH129" s="118"/>
      <c r="HEI129" s="118"/>
      <c r="HEJ129" s="118"/>
      <c r="HEK129" s="118"/>
      <c r="HEL129" s="118"/>
      <c r="HEM129" s="118"/>
      <c r="HEN129" s="118"/>
      <c r="HEO129" s="118"/>
      <c r="HEP129" s="118"/>
      <c r="HEQ129" s="118"/>
      <c r="HER129" s="118"/>
      <c r="HES129" s="118"/>
      <c r="HET129" s="118"/>
      <c r="HEU129" s="118"/>
      <c r="HEV129" s="118"/>
      <c r="HEW129" s="118"/>
      <c r="HEX129" s="118"/>
      <c r="HEY129" s="118"/>
      <c r="HEZ129" s="118"/>
      <c r="HFA129" s="118"/>
      <c r="HFB129" s="118"/>
      <c r="HFC129" s="118"/>
      <c r="HFD129" s="118"/>
      <c r="HFE129" s="118"/>
      <c r="HFF129" s="118"/>
      <c r="HFG129" s="118"/>
      <c r="HFH129" s="118"/>
      <c r="HFI129" s="118"/>
      <c r="HFJ129" s="118"/>
      <c r="HFK129" s="118"/>
      <c r="HFL129" s="118"/>
      <c r="HFM129" s="118"/>
      <c r="HFN129" s="118"/>
      <c r="HFO129" s="118"/>
      <c r="HFP129" s="118"/>
      <c r="HFQ129" s="118"/>
      <c r="HFR129" s="118"/>
      <c r="HFS129" s="118"/>
      <c r="HFT129" s="118"/>
      <c r="HFU129" s="118"/>
      <c r="HFV129" s="118"/>
      <c r="HFW129" s="118"/>
      <c r="HFX129" s="118"/>
      <c r="HFY129" s="118"/>
      <c r="HFZ129" s="118"/>
      <c r="HGA129" s="118"/>
      <c r="HGB129" s="118"/>
      <c r="HGC129" s="118"/>
      <c r="HGD129" s="118"/>
      <c r="HGE129" s="118"/>
      <c r="HGF129" s="118"/>
      <c r="HGG129" s="118"/>
      <c r="HGH129" s="118"/>
      <c r="HGI129" s="118"/>
      <c r="HGJ129" s="118"/>
      <c r="HGK129" s="118"/>
      <c r="HGL129" s="118"/>
      <c r="HGM129" s="118"/>
      <c r="HGN129" s="118"/>
      <c r="HGO129" s="118"/>
      <c r="HGP129" s="118"/>
      <c r="HGQ129" s="118"/>
      <c r="HGR129" s="118"/>
      <c r="HGS129" s="118"/>
      <c r="HGT129" s="118"/>
      <c r="HGU129" s="118"/>
      <c r="HGV129" s="118"/>
      <c r="HGW129" s="118"/>
      <c r="HGX129" s="118"/>
      <c r="HGY129" s="118"/>
      <c r="HGZ129" s="118"/>
      <c r="HHA129" s="118"/>
      <c r="HHB129" s="118"/>
      <c r="HHC129" s="118"/>
      <c r="HHD129" s="118"/>
      <c r="HHE129" s="118"/>
      <c r="HHF129" s="118"/>
      <c r="HHG129" s="118"/>
      <c r="HHH129" s="118"/>
      <c r="HHI129" s="118"/>
      <c r="HHJ129" s="118"/>
      <c r="HHK129" s="118"/>
      <c r="HHL129" s="118"/>
      <c r="HHM129" s="118"/>
      <c r="HHN129" s="118"/>
      <c r="HHO129" s="118"/>
      <c r="HHP129" s="118"/>
      <c r="HHQ129" s="118"/>
      <c r="HHR129" s="118"/>
      <c r="HHS129" s="118"/>
      <c r="HHT129" s="118"/>
      <c r="HHU129" s="118"/>
      <c r="HHV129" s="118"/>
      <c r="HHW129" s="118"/>
      <c r="HHX129" s="118"/>
      <c r="HHY129" s="118"/>
      <c r="HHZ129" s="118"/>
      <c r="HIA129" s="118"/>
      <c r="HIB129" s="118"/>
      <c r="HIC129" s="118"/>
      <c r="HID129" s="118"/>
      <c r="HIE129" s="118"/>
      <c r="HIF129" s="118"/>
      <c r="HIG129" s="118"/>
      <c r="HIH129" s="118"/>
      <c r="HII129" s="118"/>
      <c r="HIJ129" s="118"/>
      <c r="HIK129" s="118"/>
      <c r="HIL129" s="118"/>
      <c r="HIM129" s="118"/>
      <c r="HIN129" s="118"/>
      <c r="HIO129" s="118"/>
      <c r="HIP129" s="118"/>
      <c r="HIQ129" s="118"/>
      <c r="HIR129" s="118"/>
      <c r="HIS129" s="118"/>
      <c r="HIT129" s="118"/>
      <c r="HIU129" s="118"/>
      <c r="HIV129" s="118"/>
      <c r="HIW129" s="118"/>
      <c r="HIX129" s="118"/>
      <c r="HIY129" s="118"/>
      <c r="HIZ129" s="118"/>
      <c r="HJA129" s="118"/>
      <c r="HJB129" s="118"/>
      <c r="HJC129" s="118"/>
      <c r="HJD129" s="118"/>
      <c r="HJE129" s="118"/>
      <c r="HJF129" s="118"/>
      <c r="HJG129" s="118"/>
      <c r="HJH129" s="118"/>
      <c r="HJI129" s="118"/>
      <c r="HJJ129" s="118"/>
      <c r="HJK129" s="118"/>
      <c r="HJL129" s="118"/>
      <c r="HJM129" s="118"/>
      <c r="HJN129" s="118"/>
      <c r="HJO129" s="118"/>
      <c r="HJP129" s="118"/>
      <c r="HJQ129" s="118"/>
      <c r="HJR129" s="118"/>
      <c r="HJS129" s="118"/>
      <c r="HJT129" s="118"/>
      <c r="HJU129" s="118"/>
      <c r="HJV129" s="118"/>
      <c r="HJW129" s="118"/>
      <c r="HJX129" s="118"/>
      <c r="HJY129" s="118"/>
      <c r="HJZ129" s="118"/>
      <c r="HKA129" s="118"/>
      <c r="HKB129" s="118"/>
      <c r="HKC129" s="118"/>
      <c r="HKD129" s="118"/>
      <c r="HKE129" s="118"/>
      <c r="HKF129" s="118"/>
      <c r="HKG129" s="118"/>
      <c r="HKH129" s="118"/>
      <c r="HKI129" s="118"/>
      <c r="HKJ129" s="118"/>
      <c r="HKK129" s="118"/>
      <c r="HKL129" s="118"/>
      <c r="HKM129" s="118"/>
      <c r="HKN129" s="118"/>
      <c r="HKO129" s="118"/>
      <c r="HKP129" s="118"/>
      <c r="HKQ129" s="118"/>
      <c r="HKR129" s="118"/>
      <c r="HKS129" s="118"/>
      <c r="HKT129" s="118"/>
      <c r="HKU129" s="118"/>
      <c r="HKV129" s="118"/>
      <c r="HKW129" s="118"/>
      <c r="HKX129" s="118"/>
      <c r="HKY129" s="118"/>
      <c r="HKZ129" s="118"/>
      <c r="HLA129" s="118"/>
      <c r="HLB129" s="118"/>
      <c r="HLC129" s="118"/>
      <c r="HLD129" s="118"/>
      <c r="HLE129" s="118"/>
      <c r="HLF129" s="118"/>
      <c r="HLG129" s="118"/>
      <c r="HLH129" s="118"/>
      <c r="HLI129" s="118"/>
      <c r="HLJ129" s="118"/>
      <c r="HLK129" s="118"/>
      <c r="HLL129" s="118"/>
      <c r="HLM129" s="118"/>
      <c r="HLN129" s="118"/>
      <c r="HLO129" s="118"/>
      <c r="HLP129" s="118"/>
      <c r="HLQ129" s="118"/>
      <c r="HLR129" s="118"/>
      <c r="HLS129" s="118"/>
      <c r="HLT129" s="118"/>
      <c r="HLU129" s="118"/>
      <c r="HLV129" s="118"/>
      <c r="HLW129" s="118"/>
      <c r="HLX129" s="118"/>
      <c r="HLY129" s="118"/>
      <c r="HLZ129" s="118"/>
      <c r="HMA129" s="118"/>
      <c r="HMB129" s="118"/>
      <c r="HMC129" s="118"/>
      <c r="HMD129" s="118"/>
      <c r="HME129" s="118"/>
      <c r="HMF129" s="118"/>
      <c r="HMG129" s="118"/>
      <c r="HMH129" s="118"/>
      <c r="HMI129" s="118"/>
      <c r="HMJ129" s="118"/>
      <c r="HMK129" s="118"/>
      <c r="HML129" s="118"/>
      <c r="HMM129" s="118"/>
      <c r="HMN129" s="118"/>
      <c r="HMO129" s="118"/>
      <c r="HMP129" s="118"/>
      <c r="HMQ129" s="118"/>
      <c r="HMR129" s="118"/>
      <c r="HMS129" s="118"/>
      <c r="HMT129" s="118"/>
      <c r="HMU129" s="118"/>
      <c r="HMV129" s="118"/>
      <c r="HMW129" s="118"/>
      <c r="HMX129" s="118"/>
      <c r="HMY129" s="118"/>
      <c r="HMZ129" s="118"/>
      <c r="HNA129" s="118"/>
      <c r="HNB129" s="118"/>
      <c r="HNC129" s="118"/>
      <c r="HND129" s="118"/>
      <c r="HNE129" s="118"/>
      <c r="HNF129" s="118"/>
      <c r="HNG129" s="118"/>
      <c r="HNH129" s="118"/>
      <c r="HNI129" s="118"/>
      <c r="HNJ129" s="118"/>
      <c r="HNK129" s="118"/>
      <c r="HNL129" s="118"/>
      <c r="HNM129" s="118"/>
      <c r="HNN129" s="118"/>
      <c r="HNO129" s="118"/>
      <c r="HNP129" s="118"/>
      <c r="HNQ129" s="118"/>
      <c r="HNR129" s="118"/>
      <c r="HNS129" s="118"/>
      <c r="HNT129" s="118"/>
      <c r="HNU129" s="118"/>
      <c r="HNV129" s="118"/>
      <c r="HNW129" s="118"/>
      <c r="HNX129" s="118"/>
      <c r="HNY129" s="118"/>
      <c r="HNZ129" s="118"/>
      <c r="HOA129" s="118"/>
      <c r="HOB129" s="118"/>
      <c r="HOC129" s="118"/>
      <c r="HOD129" s="118"/>
      <c r="HOE129" s="118"/>
      <c r="HOF129" s="118"/>
      <c r="HOG129" s="118"/>
      <c r="HOH129" s="118"/>
      <c r="HOI129" s="118"/>
      <c r="HOJ129" s="118"/>
      <c r="HOK129" s="118"/>
      <c r="HOL129" s="118"/>
      <c r="HOM129" s="118"/>
      <c r="HON129" s="118"/>
      <c r="HOO129" s="118"/>
      <c r="HOP129" s="118"/>
      <c r="HOQ129" s="118"/>
      <c r="HOR129" s="118"/>
      <c r="HOS129" s="118"/>
      <c r="HOT129" s="118"/>
      <c r="HOU129" s="118"/>
      <c r="HOV129" s="118"/>
      <c r="HOW129" s="118"/>
      <c r="HOX129" s="118"/>
      <c r="HOY129" s="118"/>
      <c r="HOZ129" s="118"/>
      <c r="HPA129" s="118"/>
      <c r="HPB129" s="118"/>
      <c r="HPC129" s="118"/>
      <c r="HPD129" s="118"/>
      <c r="HPE129" s="118"/>
      <c r="HPF129" s="118"/>
      <c r="HPG129" s="118"/>
      <c r="HPH129" s="118"/>
      <c r="HPI129" s="118"/>
      <c r="HPJ129" s="118"/>
      <c r="HPK129" s="118"/>
      <c r="HPL129" s="118"/>
      <c r="HPM129" s="118"/>
      <c r="HPN129" s="118"/>
      <c r="HPO129" s="118"/>
      <c r="HPP129" s="118"/>
      <c r="HPQ129" s="118"/>
      <c r="HPR129" s="118"/>
      <c r="HPS129" s="118"/>
      <c r="HPT129" s="118"/>
      <c r="HPU129" s="118"/>
      <c r="HPV129" s="118"/>
      <c r="HPW129" s="118"/>
      <c r="HPX129" s="118"/>
      <c r="HPY129" s="118"/>
      <c r="HPZ129" s="118"/>
      <c r="HQA129" s="118"/>
      <c r="HQB129" s="118"/>
      <c r="HQC129" s="118"/>
      <c r="HQD129" s="118"/>
      <c r="HQE129" s="118"/>
      <c r="HQF129" s="118"/>
      <c r="HQG129" s="118"/>
      <c r="HQH129" s="118"/>
      <c r="HQI129" s="118"/>
      <c r="HQJ129" s="118"/>
      <c r="HQK129" s="118"/>
      <c r="HQL129" s="118"/>
      <c r="HQM129" s="118"/>
      <c r="HQN129" s="118"/>
      <c r="HQO129" s="118"/>
      <c r="HQP129" s="118"/>
      <c r="HQQ129" s="118"/>
      <c r="HQR129" s="118"/>
      <c r="HQS129" s="118"/>
      <c r="HQT129" s="118"/>
      <c r="HQU129" s="118"/>
      <c r="HQV129" s="118"/>
      <c r="HQW129" s="118"/>
      <c r="HQX129" s="118"/>
      <c r="HQY129" s="118"/>
      <c r="HQZ129" s="118"/>
      <c r="HRA129" s="118"/>
      <c r="HRB129" s="118"/>
      <c r="HRC129" s="118"/>
      <c r="HRD129" s="118"/>
      <c r="HRE129" s="118"/>
      <c r="HRF129" s="118"/>
      <c r="HRG129" s="118"/>
      <c r="HRH129" s="118"/>
      <c r="HRI129" s="118"/>
      <c r="HRJ129" s="118"/>
      <c r="HRK129" s="118"/>
      <c r="HRL129" s="118"/>
      <c r="HRM129" s="118"/>
      <c r="HRN129" s="118"/>
      <c r="HRO129" s="118"/>
      <c r="HRP129" s="118"/>
      <c r="HRQ129" s="118"/>
      <c r="HRR129" s="118"/>
      <c r="HRS129" s="118"/>
      <c r="HRT129" s="118"/>
      <c r="HRU129" s="118"/>
      <c r="HRV129" s="118"/>
      <c r="HRW129" s="118"/>
      <c r="HRX129" s="118"/>
      <c r="HRY129" s="118"/>
      <c r="HRZ129" s="118"/>
      <c r="HSA129" s="118"/>
      <c r="HSB129" s="118"/>
      <c r="HSC129" s="118"/>
      <c r="HSD129" s="118"/>
      <c r="HSE129" s="118"/>
      <c r="HSF129" s="118"/>
      <c r="HSG129" s="118"/>
      <c r="HSH129" s="118"/>
      <c r="HSI129" s="118"/>
      <c r="HSJ129" s="118"/>
      <c r="HSK129" s="118"/>
      <c r="HSL129" s="118"/>
      <c r="HSM129" s="118"/>
      <c r="HSN129" s="118"/>
      <c r="HSO129" s="118"/>
      <c r="HSP129" s="118"/>
      <c r="HSQ129" s="118"/>
      <c r="HSR129" s="118"/>
      <c r="HSS129" s="118"/>
      <c r="HST129" s="118"/>
      <c r="HSU129" s="118"/>
      <c r="HSV129" s="118"/>
      <c r="HSW129" s="118"/>
      <c r="HSX129" s="118"/>
      <c r="HSY129" s="118"/>
      <c r="HSZ129" s="118"/>
      <c r="HTA129" s="118"/>
      <c r="HTB129" s="118"/>
      <c r="HTC129" s="118"/>
      <c r="HTD129" s="118"/>
      <c r="HTE129" s="118"/>
      <c r="HTF129" s="118"/>
      <c r="HTG129" s="118"/>
      <c r="HTH129" s="118"/>
      <c r="HTI129" s="118"/>
      <c r="HTJ129" s="118"/>
      <c r="HTK129" s="118"/>
      <c r="HTL129" s="118"/>
      <c r="HTM129" s="118"/>
      <c r="HTN129" s="118"/>
      <c r="HTO129" s="118"/>
      <c r="HTP129" s="118"/>
      <c r="HTQ129" s="118"/>
      <c r="HTR129" s="118"/>
      <c r="HTS129" s="118"/>
      <c r="HTT129" s="118"/>
      <c r="HTU129" s="118"/>
      <c r="HTV129" s="118"/>
      <c r="HTW129" s="118"/>
      <c r="HTX129" s="118"/>
      <c r="HTY129" s="118"/>
      <c r="HTZ129" s="118"/>
      <c r="HUA129" s="118"/>
      <c r="HUB129" s="118"/>
      <c r="HUC129" s="118"/>
      <c r="HUD129" s="118"/>
      <c r="HUE129" s="118"/>
      <c r="HUF129" s="118"/>
      <c r="HUG129" s="118"/>
      <c r="HUH129" s="118"/>
      <c r="HUI129" s="118"/>
      <c r="HUJ129" s="118"/>
      <c r="HUK129" s="118"/>
      <c r="HUL129" s="118"/>
      <c r="HUM129" s="118"/>
      <c r="HUN129" s="118"/>
      <c r="HUO129" s="118"/>
      <c r="HUP129" s="118"/>
      <c r="HUQ129" s="118"/>
      <c r="HUR129" s="118"/>
      <c r="HUS129" s="118"/>
      <c r="HUT129" s="118"/>
      <c r="HUU129" s="118"/>
      <c r="HUV129" s="118"/>
      <c r="HUW129" s="118"/>
      <c r="HUX129" s="118"/>
      <c r="HUY129" s="118"/>
      <c r="HUZ129" s="118"/>
      <c r="HVA129" s="118"/>
      <c r="HVB129" s="118"/>
      <c r="HVC129" s="118"/>
      <c r="HVD129" s="118"/>
      <c r="HVE129" s="118"/>
      <c r="HVF129" s="118"/>
      <c r="HVG129" s="118"/>
      <c r="HVH129" s="118"/>
      <c r="HVI129" s="118"/>
      <c r="HVJ129" s="118"/>
      <c r="HVK129" s="118"/>
      <c r="HVL129" s="118"/>
      <c r="HVM129" s="118"/>
      <c r="HVN129" s="118"/>
      <c r="HVO129" s="118"/>
      <c r="HVP129" s="118"/>
      <c r="HVQ129" s="118"/>
      <c r="HVR129" s="118"/>
      <c r="HVS129" s="118"/>
      <c r="HVT129" s="118"/>
      <c r="HVU129" s="118"/>
      <c r="HVV129" s="118"/>
      <c r="HVW129" s="118"/>
      <c r="HVX129" s="118"/>
      <c r="HVY129" s="118"/>
      <c r="HVZ129" s="118"/>
      <c r="HWA129" s="118"/>
      <c r="HWB129" s="118"/>
      <c r="HWC129" s="118"/>
      <c r="HWD129" s="118"/>
      <c r="HWE129" s="118"/>
      <c r="HWF129" s="118"/>
      <c r="HWG129" s="118"/>
      <c r="HWH129" s="118"/>
      <c r="HWI129" s="118"/>
      <c r="HWJ129" s="118"/>
      <c r="HWK129" s="118"/>
      <c r="HWL129" s="118"/>
      <c r="HWM129" s="118"/>
      <c r="HWN129" s="118"/>
      <c r="HWO129" s="118"/>
      <c r="HWP129" s="118"/>
      <c r="HWQ129" s="118"/>
      <c r="HWR129" s="118"/>
      <c r="HWS129" s="118"/>
      <c r="HWT129" s="118"/>
      <c r="HWU129" s="118"/>
      <c r="HWV129" s="118"/>
      <c r="HWW129" s="118"/>
      <c r="HWX129" s="118"/>
      <c r="HWY129" s="118"/>
      <c r="HWZ129" s="118"/>
      <c r="HXA129" s="118"/>
      <c r="HXB129" s="118"/>
      <c r="HXC129" s="118"/>
      <c r="HXD129" s="118"/>
      <c r="HXE129" s="118"/>
      <c r="HXF129" s="118"/>
      <c r="HXG129" s="118"/>
      <c r="HXH129" s="118"/>
      <c r="HXI129" s="118"/>
      <c r="HXJ129" s="118"/>
      <c r="HXK129" s="118"/>
      <c r="HXL129" s="118"/>
      <c r="HXM129" s="118"/>
      <c r="HXN129" s="118"/>
      <c r="HXO129" s="118"/>
      <c r="HXP129" s="118"/>
      <c r="HXQ129" s="118"/>
      <c r="HXR129" s="118"/>
      <c r="HXS129" s="118"/>
      <c r="HXT129" s="118"/>
      <c r="HXU129" s="118"/>
      <c r="HXV129" s="118"/>
      <c r="HXW129" s="118"/>
      <c r="HXX129" s="118"/>
      <c r="HXY129" s="118"/>
      <c r="HXZ129" s="118"/>
      <c r="HYA129" s="118"/>
      <c r="HYB129" s="118"/>
      <c r="HYC129" s="118"/>
      <c r="HYD129" s="118"/>
      <c r="HYE129" s="118"/>
      <c r="HYF129" s="118"/>
      <c r="HYG129" s="118"/>
      <c r="HYH129" s="118"/>
      <c r="HYI129" s="118"/>
      <c r="HYJ129" s="118"/>
      <c r="HYK129" s="118"/>
      <c r="HYL129" s="118"/>
      <c r="HYM129" s="118"/>
      <c r="HYN129" s="118"/>
      <c r="HYO129" s="118"/>
      <c r="HYP129" s="118"/>
      <c r="HYQ129" s="118"/>
      <c r="HYR129" s="118"/>
      <c r="HYS129" s="118"/>
      <c r="HYT129" s="118"/>
      <c r="HYU129" s="118"/>
      <c r="HYV129" s="118"/>
      <c r="HYW129" s="118"/>
      <c r="HYX129" s="118"/>
      <c r="HYY129" s="118"/>
      <c r="HYZ129" s="118"/>
      <c r="HZA129" s="118"/>
      <c r="HZB129" s="118"/>
      <c r="HZC129" s="118"/>
      <c r="HZD129" s="118"/>
      <c r="HZE129" s="118"/>
      <c r="HZF129" s="118"/>
      <c r="HZG129" s="118"/>
      <c r="HZH129" s="118"/>
      <c r="HZI129" s="118"/>
      <c r="HZJ129" s="118"/>
      <c r="HZK129" s="118"/>
      <c r="HZL129" s="118"/>
      <c r="HZM129" s="118"/>
      <c r="HZN129" s="118"/>
      <c r="HZO129" s="118"/>
      <c r="HZP129" s="118"/>
      <c r="HZQ129" s="118"/>
      <c r="HZR129" s="118"/>
      <c r="HZS129" s="118"/>
      <c r="HZT129" s="118"/>
      <c r="HZU129" s="118"/>
      <c r="HZV129" s="118"/>
      <c r="HZW129" s="118"/>
      <c r="HZX129" s="118"/>
      <c r="HZY129" s="118"/>
      <c r="HZZ129" s="118"/>
      <c r="IAA129" s="118"/>
      <c r="IAB129" s="118"/>
      <c r="IAC129" s="118"/>
      <c r="IAD129" s="118"/>
      <c r="IAE129" s="118"/>
      <c r="IAF129" s="118"/>
      <c r="IAG129" s="118"/>
      <c r="IAH129" s="118"/>
      <c r="IAI129" s="118"/>
      <c r="IAJ129" s="118"/>
      <c r="IAK129" s="118"/>
      <c r="IAL129" s="118"/>
      <c r="IAM129" s="118"/>
      <c r="IAN129" s="118"/>
      <c r="IAO129" s="118"/>
      <c r="IAP129" s="118"/>
      <c r="IAQ129" s="118"/>
      <c r="IAR129" s="118"/>
      <c r="IAS129" s="118"/>
      <c r="IAT129" s="118"/>
      <c r="IAU129" s="118"/>
      <c r="IAV129" s="118"/>
      <c r="IAW129" s="118"/>
      <c r="IAX129" s="118"/>
      <c r="IAY129" s="118"/>
      <c r="IAZ129" s="118"/>
      <c r="IBA129" s="118"/>
      <c r="IBB129" s="118"/>
      <c r="IBC129" s="118"/>
      <c r="IBD129" s="118"/>
      <c r="IBE129" s="118"/>
      <c r="IBF129" s="118"/>
      <c r="IBG129" s="118"/>
      <c r="IBH129" s="118"/>
      <c r="IBI129" s="118"/>
      <c r="IBJ129" s="118"/>
      <c r="IBK129" s="118"/>
      <c r="IBL129" s="118"/>
      <c r="IBM129" s="118"/>
      <c r="IBN129" s="118"/>
      <c r="IBO129" s="118"/>
      <c r="IBP129" s="118"/>
      <c r="IBQ129" s="118"/>
      <c r="IBR129" s="118"/>
      <c r="IBS129" s="118"/>
      <c r="IBT129" s="118"/>
      <c r="IBU129" s="118"/>
      <c r="IBV129" s="118"/>
      <c r="IBW129" s="118"/>
      <c r="IBX129" s="118"/>
      <c r="IBY129" s="118"/>
      <c r="IBZ129" s="118"/>
      <c r="ICA129" s="118"/>
      <c r="ICB129" s="118"/>
      <c r="ICC129" s="118"/>
      <c r="ICD129" s="118"/>
      <c r="ICE129" s="118"/>
      <c r="ICF129" s="118"/>
      <c r="ICG129" s="118"/>
      <c r="ICH129" s="118"/>
      <c r="ICI129" s="118"/>
      <c r="ICJ129" s="118"/>
      <c r="ICK129" s="118"/>
      <c r="ICL129" s="118"/>
      <c r="ICM129" s="118"/>
      <c r="ICN129" s="118"/>
      <c r="ICO129" s="118"/>
      <c r="ICP129" s="118"/>
      <c r="ICQ129" s="118"/>
      <c r="ICR129" s="118"/>
      <c r="ICS129" s="118"/>
      <c r="ICT129" s="118"/>
      <c r="ICU129" s="118"/>
      <c r="ICV129" s="118"/>
      <c r="ICW129" s="118"/>
      <c r="ICX129" s="118"/>
      <c r="ICY129" s="118"/>
      <c r="ICZ129" s="118"/>
      <c r="IDA129" s="118"/>
      <c r="IDB129" s="118"/>
      <c r="IDC129" s="118"/>
      <c r="IDD129" s="118"/>
      <c r="IDE129" s="118"/>
      <c r="IDF129" s="118"/>
      <c r="IDG129" s="118"/>
      <c r="IDH129" s="118"/>
      <c r="IDI129" s="118"/>
      <c r="IDJ129" s="118"/>
      <c r="IDK129" s="118"/>
      <c r="IDL129" s="118"/>
      <c r="IDM129" s="118"/>
      <c r="IDN129" s="118"/>
      <c r="IDO129" s="118"/>
      <c r="IDP129" s="118"/>
      <c r="IDQ129" s="118"/>
      <c r="IDR129" s="118"/>
      <c r="IDS129" s="118"/>
      <c r="IDT129" s="118"/>
      <c r="IDU129" s="118"/>
      <c r="IDV129" s="118"/>
      <c r="IDW129" s="118"/>
      <c r="IDX129" s="118"/>
      <c r="IDY129" s="118"/>
      <c r="IDZ129" s="118"/>
      <c r="IEA129" s="118"/>
      <c r="IEB129" s="118"/>
      <c r="IEC129" s="118"/>
      <c r="IED129" s="118"/>
      <c r="IEE129" s="118"/>
      <c r="IEF129" s="118"/>
      <c r="IEG129" s="118"/>
      <c r="IEH129" s="118"/>
      <c r="IEI129" s="118"/>
      <c r="IEJ129" s="118"/>
      <c r="IEK129" s="118"/>
      <c r="IEL129" s="118"/>
      <c r="IEM129" s="118"/>
      <c r="IEN129" s="118"/>
      <c r="IEO129" s="118"/>
      <c r="IEP129" s="118"/>
      <c r="IEQ129" s="118"/>
      <c r="IER129" s="118"/>
      <c r="IES129" s="118"/>
      <c r="IET129" s="118"/>
      <c r="IEU129" s="118"/>
      <c r="IEV129" s="118"/>
      <c r="IEW129" s="118"/>
      <c r="IEX129" s="118"/>
      <c r="IEY129" s="118"/>
      <c r="IEZ129" s="118"/>
      <c r="IFA129" s="118"/>
      <c r="IFB129" s="118"/>
      <c r="IFC129" s="118"/>
      <c r="IFD129" s="118"/>
      <c r="IFE129" s="118"/>
      <c r="IFF129" s="118"/>
      <c r="IFG129" s="118"/>
      <c r="IFH129" s="118"/>
      <c r="IFI129" s="118"/>
      <c r="IFJ129" s="118"/>
      <c r="IFK129" s="118"/>
      <c r="IFL129" s="118"/>
      <c r="IFM129" s="118"/>
      <c r="IFN129" s="118"/>
      <c r="IFO129" s="118"/>
      <c r="IFP129" s="118"/>
      <c r="IFQ129" s="118"/>
      <c r="IFR129" s="118"/>
      <c r="IFS129" s="118"/>
      <c r="IFT129" s="118"/>
      <c r="IFU129" s="118"/>
      <c r="IFV129" s="118"/>
      <c r="IFW129" s="118"/>
      <c r="IFX129" s="118"/>
      <c r="IFY129" s="118"/>
      <c r="IFZ129" s="118"/>
      <c r="IGA129" s="118"/>
      <c r="IGB129" s="118"/>
      <c r="IGC129" s="118"/>
      <c r="IGD129" s="118"/>
      <c r="IGE129" s="118"/>
      <c r="IGF129" s="118"/>
      <c r="IGG129" s="118"/>
      <c r="IGH129" s="118"/>
      <c r="IGI129" s="118"/>
      <c r="IGJ129" s="118"/>
      <c r="IGK129" s="118"/>
      <c r="IGL129" s="118"/>
      <c r="IGM129" s="118"/>
      <c r="IGN129" s="118"/>
      <c r="IGO129" s="118"/>
      <c r="IGP129" s="118"/>
      <c r="IGQ129" s="118"/>
      <c r="IGR129" s="118"/>
      <c r="IGS129" s="118"/>
      <c r="IGT129" s="118"/>
      <c r="IGU129" s="118"/>
      <c r="IGV129" s="118"/>
      <c r="IGW129" s="118"/>
      <c r="IGX129" s="118"/>
      <c r="IGY129" s="118"/>
      <c r="IGZ129" s="118"/>
      <c r="IHA129" s="118"/>
      <c r="IHB129" s="118"/>
      <c r="IHC129" s="118"/>
      <c r="IHD129" s="118"/>
      <c r="IHE129" s="118"/>
      <c r="IHF129" s="118"/>
      <c r="IHG129" s="118"/>
      <c r="IHH129" s="118"/>
      <c r="IHI129" s="118"/>
      <c r="IHJ129" s="118"/>
      <c r="IHK129" s="118"/>
      <c r="IHL129" s="118"/>
      <c r="IHM129" s="118"/>
      <c r="IHN129" s="118"/>
      <c r="IHO129" s="118"/>
      <c r="IHP129" s="118"/>
      <c r="IHQ129" s="118"/>
      <c r="IHR129" s="118"/>
      <c r="IHS129" s="118"/>
      <c r="IHT129" s="118"/>
      <c r="IHU129" s="118"/>
      <c r="IHV129" s="118"/>
      <c r="IHW129" s="118"/>
      <c r="IHX129" s="118"/>
      <c r="IHY129" s="118"/>
      <c r="IHZ129" s="118"/>
      <c r="IIA129" s="118"/>
      <c r="IIB129" s="118"/>
      <c r="IIC129" s="118"/>
      <c r="IID129" s="118"/>
      <c r="IIE129" s="118"/>
      <c r="IIF129" s="118"/>
      <c r="IIG129" s="118"/>
      <c r="IIH129" s="118"/>
      <c r="III129" s="118"/>
      <c r="IIJ129" s="118"/>
      <c r="IIK129" s="118"/>
      <c r="IIL129" s="118"/>
      <c r="IIM129" s="118"/>
      <c r="IIN129" s="118"/>
      <c r="IIO129" s="118"/>
      <c r="IIP129" s="118"/>
      <c r="IIQ129" s="118"/>
      <c r="IIR129" s="118"/>
      <c r="IIS129" s="118"/>
      <c r="IIT129" s="118"/>
      <c r="IIU129" s="118"/>
      <c r="IIV129" s="118"/>
      <c r="IIW129" s="118"/>
      <c r="IIX129" s="118"/>
      <c r="IIY129" s="118"/>
      <c r="IIZ129" s="118"/>
      <c r="IJA129" s="118"/>
      <c r="IJB129" s="118"/>
      <c r="IJC129" s="118"/>
      <c r="IJD129" s="118"/>
      <c r="IJE129" s="118"/>
      <c r="IJF129" s="118"/>
      <c r="IJG129" s="118"/>
      <c r="IJH129" s="118"/>
      <c r="IJI129" s="118"/>
      <c r="IJJ129" s="118"/>
      <c r="IJK129" s="118"/>
      <c r="IJL129" s="118"/>
      <c r="IJM129" s="118"/>
      <c r="IJN129" s="118"/>
      <c r="IJO129" s="118"/>
      <c r="IJP129" s="118"/>
      <c r="IJQ129" s="118"/>
      <c r="IJR129" s="118"/>
      <c r="IJS129" s="118"/>
      <c r="IJT129" s="118"/>
      <c r="IJU129" s="118"/>
      <c r="IJV129" s="118"/>
      <c r="IJW129" s="118"/>
      <c r="IJX129" s="118"/>
      <c r="IJY129" s="118"/>
      <c r="IJZ129" s="118"/>
      <c r="IKA129" s="118"/>
      <c r="IKB129" s="118"/>
      <c r="IKC129" s="118"/>
      <c r="IKD129" s="118"/>
      <c r="IKE129" s="118"/>
      <c r="IKF129" s="118"/>
      <c r="IKG129" s="118"/>
      <c r="IKH129" s="118"/>
      <c r="IKI129" s="118"/>
      <c r="IKJ129" s="118"/>
      <c r="IKK129" s="118"/>
      <c r="IKL129" s="118"/>
      <c r="IKM129" s="118"/>
      <c r="IKN129" s="118"/>
      <c r="IKO129" s="118"/>
      <c r="IKP129" s="118"/>
      <c r="IKQ129" s="118"/>
      <c r="IKR129" s="118"/>
      <c r="IKS129" s="118"/>
      <c r="IKT129" s="118"/>
      <c r="IKU129" s="118"/>
      <c r="IKV129" s="118"/>
      <c r="IKW129" s="118"/>
      <c r="IKX129" s="118"/>
      <c r="IKY129" s="118"/>
      <c r="IKZ129" s="118"/>
      <c r="ILA129" s="118"/>
      <c r="ILB129" s="118"/>
      <c r="ILC129" s="118"/>
      <c r="ILD129" s="118"/>
      <c r="ILE129" s="118"/>
      <c r="ILF129" s="118"/>
      <c r="ILG129" s="118"/>
      <c r="ILH129" s="118"/>
      <c r="ILI129" s="118"/>
      <c r="ILJ129" s="118"/>
      <c r="ILK129" s="118"/>
      <c r="ILL129" s="118"/>
      <c r="ILM129" s="118"/>
      <c r="ILN129" s="118"/>
      <c r="ILO129" s="118"/>
      <c r="ILP129" s="118"/>
      <c r="ILQ129" s="118"/>
      <c r="ILR129" s="118"/>
      <c r="ILS129" s="118"/>
      <c r="ILT129" s="118"/>
      <c r="ILU129" s="118"/>
      <c r="ILV129" s="118"/>
      <c r="ILW129" s="118"/>
      <c r="ILX129" s="118"/>
      <c r="ILY129" s="118"/>
      <c r="ILZ129" s="118"/>
      <c r="IMA129" s="118"/>
      <c r="IMB129" s="118"/>
      <c r="IMC129" s="118"/>
      <c r="IMD129" s="118"/>
      <c r="IME129" s="118"/>
      <c r="IMF129" s="118"/>
      <c r="IMG129" s="118"/>
      <c r="IMH129" s="118"/>
      <c r="IMI129" s="118"/>
      <c r="IMJ129" s="118"/>
      <c r="IMK129" s="118"/>
      <c r="IML129" s="118"/>
      <c r="IMM129" s="118"/>
      <c r="IMN129" s="118"/>
      <c r="IMO129" s="118"/>
      <c r="IMP129" s="118"/>
      <c r="IMQ129" s="118"/>
      <c r="IMR129" s="118"/>
      <c r="IMS129" s="118"/>
      <c r="IMT129" s="118"/>
      <c r="IMU129" s="118"/>
      <c r="IMV129" s="118"/>
      <c r="IMW129" s="118"/>
      <c r="IMX129" s="118"/>
      <c r="IMY129" s="118"/>
      <c r="IMZ129" s="118"/>
      <c r="INA129" s="118"/>
      <c r="INB129" s="118"/>
      <c r="INC129" s="118"/>
      <c r="IND129" s="118"/>
      <c r="INE129" s="118"/>
      <c r="INF129" s="118"/>
      <c r="ING129" s="118"/>
      <c r="INH129" s="118"/>
      <c r="INI129" s="118"/>
      <c r="INJ129" s="118"/>
      <c r="INK129" s="118"/>
      <c r="INL129" s="118"/>
      <c r="INM129" s="118"/>
      <c r="INN129" s="118"/>
      <c r="INO129" s="118"/>
      <c r="INP129" s="118"/>
      <c r="INQ129" s="118"/>
      <c r="INR129" s="118"/>
      <c r="INS129" s="118"/>
      <c r="INT129" s="118"/>
      <c r="INU129" s="118"/>
      <c r="INV129" s="118"/>
      <c r="INW129" s="118"/>
      <c r="INX129" s="118"/>
      <c r="INY129" s="118"/>
      <c r="INZ129" s="118"/>
      <c r="IOA129" s="118"/>
      <c r="IOB129" s="118"/>
      <c r="IOC129" s="118"/>
      <c r="IOD129" s="118"/>
      <c r="IOE129" s="118"/>
      <c r="IOF129" s="118"/>
      <c r="IOG129" s="118"/>
      <c r="IOH129" s="118"/>
      <c r="IOI129" s="118"/>
      <c r="IOJ129" s="118"/>
      <c r="IOK129" s="118"/>
      <c r="IOL129" s="118"/>
      <c r="IOM129" s="118"/>
      <c r="ION129" s="118"/>
      <c r="IOO129" s="118"/>
      <c r="IOP129" s="118"/>
      <c r="IOQ129" s="118"/>
      <c r="IOR129" s="118"/>
      <c r="IOS129" s="118"/>
      <c r="IOT129" s="118"/>
      <c r="IOU129" s="118"/>
      <c r="IOV129" s="118"/>
      <c r="IOW129" s="118"/>
      <c r="IOX129" s="118"/>
      <c r="IOY129" s="118"/>
      <c r="IOZ129" s="118"/>
      <c r="IPA129" s="118"/>
      <c r="IPB129" s="118"/>
      <c r="IPC129" s="118"/>
      <c r="IPD129" s="118"/>
      <c r="IPE129" s="118"/>
      <c r="IPF129" s="118"/>
      <c r="IPG129" s="118"/>
      <c r="IPH129" s="118"/>
      <c r="IPI129" s="118"/>
      <c r="IPJ129" s="118"/>
      <c r="IPK129" s="118"/>
      <c r="IPL129" s="118"/>
      <c r="IPM129" s="118"/>
      <c r="IPN129" s="118"/>
      <c r="IPO129" s="118"/>
      <c r="IPP129" s="118"/>
      <c r="IPQ129" s="118"/>
      <c r="IPR129" s="118"/>
      <c r="IPS129" s="118"/>
      <c r="IPT129" s="118"/>
      <c r="IPU129" s="118"/>
      <c r="IPV129" s="118"/>
      <c r="IPW129" s="118"/>
      <c r="IPX129" s="118"/>
      <c r="IPY129" s="118"/>
      <c r="IPZ129" s="118"/>
      <c r="IQA129" s="118"/>
      <c r="IQB129" s="118"/>
      <c r="IQC129" s="118"/>
      <c r="IQD129" s="118"/>
      <c r="IQE129" s="118"/>
      <c r="IQF129" s="118"/>
      <c r="IQG129" s="118"/>
      <c r="IQH129" s="118"/>
      <c r="IQI129" s="118"/>
      <c r="IQJ129" s="118"/>
      <c r="IQK129" s="118"/>
      <c r="IQL129" s="118"/>
      <c r="IQM129" s="118"/>
      <c r="IQN129" s="118"/>
      <c r="IQO129" s="118"/>
      <c r="IQP129" s="118"/>
      <c r="IQQ129" s="118"/>
      <c r="IQR129" s="118"/>
      <c r="IQS129" s="118"/>
      <c r="IQT129" s="118"/>
      <c r="IQU129" s="118"/>
      <c r="IQV129" s="118"/>
      <c r="IQW129" s="118"/>
      <c r="IQX129" s="118"/>
      <c r="IQY129" s="118"/>
      <c r="IQZ129" s="118"/>
      <c r="IRA129" s="118"/>
      <c r="IRB129" s="118"/>
      <c r="IRC129" s="118"/>
      <c r="IRD129" s="118"/>
      <c r="IRE129" s="118"/>
      <c r="IRF129" s="118"/>
      <c r="IRG129" s="118"/>
      <c r="IRH129" s="118"/>
      <c r="IRI129" s="118"/>
      <c r="IRJ129" s="118"/>
      <c r="IRK129" s="118"/>
      <c r="IRL129" s="118"/>
      <c r="IRM129" s="118"/>
      <c r="IRN129" s="118"/>
      <c r="IRO129" s="118"/>
      <c r="IRP129" s="118"/>
      <c r="IRQ129" s="118"/>
      <c r="IRR129" s="118"/>
      <c r="IRS129" s="118"/>
      <c r="IRT129" s="118"/>
      <c r="IRU129" s="118"/>
      <c r="IRV129" s="118"/>
      <c r="IRW129" s="118"/>
      <c r="IRX129" s="118"/>
      <c r="IRY129" s="118"/>
      <c r="IRZ129" s="118"/>
      <c r="ISA129" s="118"/>
      <c r="ISB129" s="118"/>
      <c r="ISC129" s="118"/>
      <c r="ISD129" s="118"/>
      <c r="ISE129" s="118"/>
      <c r="ISF129" s="118"/>
      <c r="ISG129" s="118"/>
      <c r="ISH129" s="118"/>
      <c r="ISI129" s="118"/>
      <c r="ISJ129" s="118"/>
      <c r="ISK129" s="118"/>
      <c r="ISL129" s="118"/>
      <c r="ISM129" s="118"/>
      <c r="ISN129" s="118"/>
      <c r="ISO129" s="118"/>
      <c r="ISP129" s="118"/>
      <c r="ISQ129" s="118"/>
      <c r="ISR129" s="118"/>
      <c r="ISS129" s="118"/>
      <c r="IST129" s="118"/>
      <c r="ISU129" s="118"/>
      <c r="ISV129" s="118"/>
      <c r="ISW129" s="118"/>
      <c r="ISX129" s="118"/>
      <c r="ISY129" s="118"/>
      <c r="ISZ129" s="118"/>
      <c r="ITA129" s="118"/>
      <c r="ITB129" s="118"/>
      <c r="ITC129" s="118"/>
      <c r="ITD129" s="118"/>
      <c r="ITE129" s="118"/>
      <c r="ITF129" s="118"/>
      <c r="ITG129" s="118"/>
      <c r="ITH129" s="118"/>
      <c r="ITI129" s="118"/>
      <c r="ITJ129" s="118"/>
      <c r="ITK129" s="118"/>
      <c r="ITL129" s="118"/>
      <c r="ITM129" s="118"/>
      <c r="ITN129" s="118"/>
      <c r="ITO129" s="118"/>
      <c r="ITP129" s="118"/>
      <c r="ITQ129" s="118"/>
      <c r="ITR129" s="118"/>
      <c r="ITS129" s="118"/>
      <c r="ITT129" s="118"/>
      <c r="ITU129" s="118"/>
      <c r="ITV129" s="118"/>
      <c r="ITW129" s="118"/>
      <c r="ITX129" s="118"/>
      <c r="ITY129" s="118"/>
      <c r="ITZ129" s="118"/>
      <c r="IUA129" s="118"/>
      <c r="IUB129" s="118"/>
      <c r="IUC129" s="118"/>
      <c r="IUD129" s="118"/>
      <c r="IUE129" s="118"/>
      <c r="IUF129" s="118"/>
      <c r="IUG129" s="118"/>
      <c r="IUH129" s="118"/>
      <c r="IUI129" s="118"/>
      <c r="IUJ129" s="118"/>
      <c r="IUK129" s="118"/>
      <c r="IUL129" s="118"/>
      <c r="IUM129" s="118"/>
      <c r="IUN129" s="118"/>
      <c r="IUO129" s="118"/>
      <c r="IUP129" s="118"/>
      <c r="IUQ129" s="118"/>
      <c r="IUR129" s="118"/>
      <c r="IUS129" s="118"/>
      <c r="IUT129" s="118"/>
      <c r="IUU129" s="118"/>
      <c r="IUV129" s="118"/>
      <c r="IUW129" s="118"/>
      <c r="IUX129" s="118"/>
      <c r="IUY129" s="118"/>
      <c r="IUZ129" s="118"/>
      <c r="IVA129" s="118"/>
      <c r="IVB129" s="118"/>
      <c r="IVC129" s="118"/>
      <c r="IVD129" s="118"/>
      <c r="IVE129" s="118"/>
      <c r="IVF129" s="118"/>
      <c r="IVG129" s="118"/>
      <c r="IVH129" s="118"/>
      <c r="IVI129" s="118"/>
      <c r="IVJ129" s="118"/>
      <c r="IVK129" s="118"/>
      <c r="IVL129" s="118"/>
      <c r="IVM129" s="118"/>
      <c r="IVN129" s="118"/>
      <c r="IVO129" s="118"/>
      <c r="IVP129" s="118"/>
      <c r="IVQ129" s="118"/>
      <c r="IVR129" s="118"/>
      <c r="IVS129" s="118"/>
      <c r="IVT129" s="118"/>
      <c r="IVU129" s="118"/>
      <c r="IVV129" s="118"/>
      <c r="IVW129" s="118"/>
      <c r="IVX129" s="118"/>
      <c r="IVY129" s="118"/>
      <c r="IVZ129" s="118"/>
      <c r="IWA129" s="118"/>
      <c r="IWB129" s="118"/>
      <c r="IWC129" s="118"/>
      <c r="IWD129" s="118"/>
      <c r="IWE129" s="118"/>
      <c r="IWF129" s="118"/>
      <c r="IWG129" s="118"/>
      <c r="IWH129" s="118"/>
      <c r="IWI129" s="118"/>
      <c r="IWJ129" s="118"/>
      <c r="IWK129" s="118"/>
      <c r="IWL129" s="118"/>
      <c r="IWM129" s="118"/>
      <c r="IWN129" s="118"/>
      <c r="IWO129" s="118"/>
      <c r="IWP129" s="118"/>
      <c r="IWQ129" s="118"/>
      <c r="IWR129" s="118"/>
      <c r="IWS129" s="118"/>
      <c r="IWT129" s="118"/>
      <c r="IWU129" s="118"/>
      <c r="IWV129" s="118"/>
      <c r="IWW129" s="118"/>
      <c r="IWX129" s="118"/>
      <c r="IWY129" s="118"/>
      <c r="IWZ129" s="118"/>
      <c r="IXA129" s="118"/>
      <c r="IXB129" s="118"/>
      <c r="IXC129" s="118"/>
      <c r="IXD129" s="118"/>
      <c r="IXE129" s="118"/>
      <c r="IXF129" s="118"/>
      <c r="IXG129" s="118"/>
      <c r="IXH129" s="118"/>
      <c r="IXI129" s="118"/>
      <c r="IXJ129" s="118"/>
      <c r="IXK129" s="118"/>
      <c r="IXL129" s="118"/>
      <c r="IXM129" s="118"/>
      <c r="IXN129" s="118"/>
      <c r="IXO129" s="118"/>
      <c r="IXP129" s="118"/>
      <c r="IXQ129" s="118"/>
      <c r="IXR129" s="118"/>
      <c r="IXS129" s="118"/>
      <c r="IXT129" s="118"/>
      <c r="IXU129" s="118"/>
      <c r="IXV129" s="118"/>
      <c r="IXW129" s="118"/>
      <c r="IXX129" s="118"/>
      <c r="IXY129" s="118"/>
      <c r="IXZ129" s="118"/>
      <c r="IYA129" s="118"/>
      <c r="IYB129" s="118"/>
      <c r="IYC129" s="118"/>
      <c r="IYD129" s="118"/>
      <c r="IYE129" s="118"/>
      <c r="IYF129" s="118"/>
      <c r="IYG129" s="118"/>
      <c r="IYH129" s="118"/>
      <c r="IYI129" s="118"/>
      <c r="IYJ129" s="118"/>
      <c r="IYK129" s="118"/>
      <c r="IYL129" s="118"/>
      <c r="IYM129" s="118"/>
      <c r="IYN129" s="118"/>
      <c r="IYO129" s="118"/>
      <c r="IYP129" s="118"/>
      <c r="IYQ129" s="118"/>
      <c r="IYR129" s="118"/>
      <c r="IYS129" s="118"/>
      <c r="IYT129" s="118"/>
      <c r="IYU129" s="118"/>
      <c r="IYV129" s="118"/>
      <c r="IYW129" s="118"/>
      <c r="IYX129" s="118"/>
      <c r="IYY129" s="118"/>
      <c r="IYZ129" s="118"/>
      <c r="IZA129" s="118"/>
      <c r="IZB129" s="118"/>
      <c r="IZC129" s="118"/>
      <c r="IZD129" s="118"/>
      <c r="IZE129" s="118"/>
      <c r="IZF129" s="118"/>
      <c r="IZG129" s="118"/>
      <c r="IZH129" s="118"/>
      <c r="IZI129" s="118"/>
      <c r="IZJ129" s="118"/>
      <c r="IZK129" s="118"/>
      <c r="IZL129" s="118"/>
      <c r="IZM129" s="118"/>
      <c r="IZN129" s="118"/>
      <c r="IZO129" s="118"/>
      <c r="IZP129" s="118"/>
      <c r="IZQ129" s="118"/>
      <c r="IZR129" s="118"/>
      <c r="IZS129" s="118"/>
      <c r="IZT129" s="118"/>
      <c r="IZU129" s="118"/>
      <c r="IZV129" s="118"/>
      <c r="IZW129" s="118"/>
      <c r="IZX129" s="118"/>
      <c r="IZY129" s="118"/>
      <c r="IZZ129" s="118"/>
      <c r="JAA129" s="118"/>
      <c r="JAB129" s="118"/>
      <c r="JAC129" s="118"/>
      <c r="JAD129" s="118"/>
      <c r="JAE129" s="118"/>
      <c r="JAF129" s="118"/>
      <c r="JAG129" s="118"/>
      <c r="JAH129" s="118"/>
      <c r="JAI129" s="118"/>
      <c r="JAJ129" s="118"/>
      <c r="JAK129" s="118"/>
      <c r="JAL129" s="118"/>
      <c r="JAM129" s="118"/>
      <c r="JAN129" s="118"/>
      <c r="JAO129" s="118"/>
      <c r="JAP129" s="118"/>
      <c r="JAQ129" s="118"/>
      <c r="JAR129" s="118"/>
      <c r="JAS129" s="118"/>
      <c r="JAT129" s="118"/>
      <c r="JAU129" s="118"/>
      <c r="JAV129" s="118"/>
      <c r="JAW129" s="118"/>
      <c r="JAX129" s="118"/>
      <c r="JAY129" s="118"/>
      <c r="JAZ129" s="118"/>
      <c r="JBA129" s="118"/>
      <c r="JBB129" s="118"/>
      <c r="JBC129" s="118"/>
      <c r="JBD129" s="118"/>
      <c r="JBE129" s="118"/>
      <c r="JBF129" s="118"/>
      <c r="JBG129" s="118"/>
      <c r="JBH129" s="118"/>
      <c r="JBI129" s="118"/>
      <c r="JBJ129" s="118"/>
      <c r="JBK129" s="118"/>
      <c r="JBL129" s="118"/>
      <c r="JBM129" s="118"/>
      <c r="JBN129" s="118"/>
      <c r="JBO129" s="118"/>
      <c r="JBP129" s="118"/>
      <c r="JBQ129" s="118"/>
      <c r="JBR129" s="118"/>
      <c r="JBS129" s="118"/>
      <c r="JBT129" s="118"/>
      <c r="JBU129" s="118"/>
      <c r="JBV129" s="118"/>
      <c r="JBW129" s="118"/>
      <c r="JBX129" s="118"/>
      <c r="JBY129" s="118"/>
      <c r="JBZ129" s="118"/>
      <c r="JCA129" s="118"/>
      <c r="JCB129" s="118"/>
      <c r="JCC129" s="118"/>
      <c r="JCD129" s="118"/>
      <c r="JCE129" s="118"/>
      <c r="JCF129" s="118"/>
      <c r="JCG129" s="118"/>
      <c r="JCH129" s="118"/>
      <c r="JCI129" s="118"/>
      <c r="JCJ129" s="118"/>
      <c r="JCK129" s="118"/>
      <c r="JCL129" s="118"/>
      <c r="JCM129" s="118"/>
      <c r="JCN129" s="118"/>
      <c r="JCO129" s="118"/>
      <c r="JCP129" s="118"/>
      <c r="JCQ129" s="118"/>
      <c r="JCR129" s="118"/>
      <c r="JCS129" s="118"/>
      <c r="JCT129" s="118"/>
      <c r="JCU129" s="118"/>
      <c r="JCV129" s="118"/>
      <c r="JCW129" s="118"/>
      <c r="JCX129" s="118"/>
      <c r="JCY129" s="118"/>
      <c r="JCZ129" s="118"/>
      <c r="JDA129" s="118"/>
      <c r="JDB129" s="118"/>
      <c r="JDC129" s="118"/>
      <c r="JDD129" s="118"/>
      <c r="JDE129" s="118"/>
      <c r="JDF129" s="118"/>
      <c r="JDG129" s="118"/>
      <c r="JDH129" s="118"/>
      <c r="JDI129" s="118"/>
      <c r="JDJ129" s="118"/>
      <c r="JDK129" s="118"/>
      <c r="JDL129" s="118"/>
      <c r="JDM129" s="118"/>
      <c r="JDN129" s="118"/>
      <c r="JDO129" s="118"/>
      <c r="JDP129" s="118"/>
      <c r="JDQ129" s="118"/>
      <c r="JDR129" s="118"/>
      <c r="JDS129" s="118"/>
      <c r="JDT129" s="118"/>
      <c r="JDU129" s="118"/>
      <c r="JDV129" s="118"/>
      <c r="JDW129" s="118"/>
      <c r="JDX129" s="118"/>
      <c r="JDY129" s="118"/>
      <c r="JDZ129" s="118"/>
      <c r="JEA129" s="118"/>
      <c r="JEB129" s="118"/>
      <c r="JEC129" s="118"/>
      <c r="JED129" s="118"/>
      <c r="JEE129" s="118"/>
      <c r="JEF129" s="118"/>
      <c r="JEG129" s="118"/>
      <c r="JEH129" s="118"/>
      <c r="JEI129" s="118"/>
      <c r="JEJ129" s="118"/>
      <c r="JEK129" s="118"/>
      <c r="JEL129" s="118"/>
      <c r="JEM129" s="118"/>
      <c r="JEN129" s="118"/>
      <c r="JEO129" s="118"/>
      <c r="JEP129" s="118"/>
      <c r="JEQ129" s="118"/>
      <c r="JER129" s="118"/>
      <c r="JES129" s="118"/>
      <c r="JET129" s="118"/>
      <c r="JEU129" s="118"/>
      <c r="JEV129" s="118"/>
      <c r="JEW129" s="118"/>
      <c r="JEX129" s="118"/>
      <c r="JEY129" s="118"/>
      <c r="JEZ129" s="118"/>
      <c r="JFA129" s="118"/>
      <c r="JFB129" s="118"/>
      <c r="JFC129" s="118"/>
      <c r="JFD129" s="118"/>
      <c r="JFE129" s="118"/>
      <c r="JFF129" s="118"/>
      <c r="JFG129" s="118"/>
      <c r="JFH129" s="118"/>
      <c r="JFI129" s="118"/>
      <c r="JFJ129" s="118"/>
      <c r="JFK129" s="118"/>
      <c r="JFL129" s="118"/>
      <c r="JFM129" s="118"/>
      <c r="JFN129" s="118"/>
      <c r="JFO129" s="118"/>
      <c r="JFP129" s="118"/>
      <c r="JFQ129" s="118"/>
      <c r="JFR129" s="118"/>
      <c r="JFS129" s="118"/>
      <c r="JFT129" s="118"/>
      <c r="JFU129" s="118"/>
      <c r="JFV129" s="118"/>
      <c r="JFW129" s="118"/>
      <c r="JFX129" s="118"/>
      <c r="JFY129" s="118"/>
      <c r="JFZ129" s="118"/>
      <c r="JGA129" s="118"/>
      <c r="JGB129" s="118"/>
      <c r="JGC129" s="118"/>
      <c r="JGD129" s="118"/>
      <c r="JGE129" s="118"/>
      <c r="JGF129" s="118"/>
      <c r="JGG129" s="118"/>
      <c r="JGH129" s="118"/>
      <c r="JGI129" s="118"/>
      <c r="JGJ129" s="118"/>
      <c r="JGK129" s="118"/>
      <c r="JGL129" s="118"/>
      <c r="JGM129" s="118"/>
      <c r="JGN129" s="118"/>
      <c r="JGO129" s="118"/>
      <c r="JGP129" s="118"/>
      <c r="JGQ129" s="118"/>
      <c r="JGR129" s="118"/>
      <c r="JGS129" s="118"/>
      <c r="JGT129" s="118"/>
      <c r="JGU129" s="118"/>
      <c r="JGV129" s="118"/>
      <c r="JGW129" s="118"/>
      <c r="JGX129" s="118"/>
      <c r="JGY129" s="118"/>
      <c r="JGZ129" s="118"/>
      <c r="JHA129" s="118"/>
      <c r="JHB129" s="118"/>
      <c r="JHC129" s="118"/>
      <c r="JHD129" s="118"/>
      <c r="JHE129" s="118"/>
      <c r="JHF129" s="118"/>
      <c r="JHG129" s="118"/>
      <c r="JHH129" s="118"/>
      <c r="JHI129" s="118"/>
      <c r="JHJ129" s="118"/>
      <c r="JHK129" s="118"/>
      <c r="JHL129" s="118"/>
      <c r="JHM129" s="118"/>
      <c r="JHN129" s="118"/>
      <c r="JHO129" s="118"/>
      <c r="JHP129" s="118"/>
      <c r="JHQ129" s="118"/>
      <c r="JHR129" s="118"/>
      <c r="JHS129" s="118"/>
      <c r="JHT129" s="118"/>
      <c r="JHU129" s="118"/>
      <c r="JHV129" s="118"/>
      <c r="JHW129" s="118"/>
      <c r="JHX129" s="118"/>
      <c r="JHY129" s="118"/>
      <c r="JHZ129" s="118"/>
      <c r="JIA129" s="118"/>
      <c r="JIB129" s="118"/>
      <c r="JIC129" s="118"/>
      <c r="JID129" s="118"/>
      <c r="JIE129" s="118"/>
      <c r="JIF129" s="118"/>
      <c r="JIG129" s="118"/>
      <c r="JIH129" s="118"/>
      <c r="JII129" s="118"/>
      <c r="JIJ129" s="118"/>
      <c r="JIK129" s="118"/>
      <c r="JIL129" s="118"/>
      <c r="JIM129" s="118"/>
      <c r="JIN129" s="118"/>
      <c r="JIO129" s="118"/>
      <c r="JIP129" s="118"/>
      <c r="JIQ129" s="118"/>
      <c r="JIR129" s="118"/>
      <c r="JIS129" s="118"/>
      <c r="JIT129" s="118"/>
      <c r="JIU129" s="118"/>
      <c r="JIV129" s="118"/>
      <c r="JIW129" s="118"/>
      <c r="JIX129" s="118"/>
      <c r="JIY129" s="118"/>
      <c r="JIZ129" s="118"/>
      <c r="JJA129" s="118"/>
      <c r="JJB129" s="118"/>
      <c r="JJC129" s="118"/>
      <c r="JJD129" s="118"/>
      <c r="JJE129" s="118"/>
      <c r="JJF129" s="118"/>
      <c r="JJG129" s="118"/>
      <c r="JJH129" s="118"/>
      <c r="JJI129" s="118"/>
      <c r="JJJ129" s="118"/>
      <c r="JJK129" s="118"/>
      <c r="JJL129" s="118"/>
      <c r="JJM129" s="118"/>
      <c r="JJN129" s="118"/>
      <c r="JJO129" s="118"/>
      <c r="JJP129" s="118"/>
      <c r="JJQ129" s="118"/>
      <c r="JJR129" s="118"/>
      <c r="JJS129" s="118"/>
      <c r="JJT129" s="118"/>
      <c r="JJU129" s="118"/>
      <c r="JJV129" s="118"/>
      <c r="JJW129" s="118"/>
      <c r="JJX129" s="118"/>
      <c r="JJY129" s="118"/>
      <c r="JJZ129" s="118"/>
      <c r="JKA129" s="118"/>
      <c r="JKB129" s="118"/>
      <c r="JKC129" s="118"/>
      <c r="JKD129" s="118"/>
      <c r="JKE129" s="118"/>
      <c r="JKF129" s="118"/>
      <c r="JKG129" s="118"/>
      <c r="JKH129" s="118"/>
      <c r="JKI129" s="118"/>
      <c r="JKJ129" s="118"/>
      <c r="JKK129" s="118"/>
      <c r="JKL129" s="118"/>
      <c r="JKM129" s="118"/>
      <c r="JKN129" s="118"/>
      <c r="JKO129" s="118"/>
      <c r="JKP129" s="118"/>
      <c r="JKQ129" s="118"/>
      <c r="JKR129" s="118"/>
      <c r="JKS129" s="118"/>
      <c r="JKT129" s="118"/>
      <c r="JKU129" s="118"/>
      <c r="JKV129" s="118"/>
      <c r="JKW129" s="118"/>
      <c r="JKX129" s="118"/>
      <c r="JKY129" s="118"/>
      <c r="JKZ129" s="118"/>
      <c r="JLA129" s="118"/>
      <c r="JLB129" s="118"/>
      <c r="JLC129" s="118"/>
      <c r="JLD129" s="118"/>
      <c r="JLE129" s="118"/>
      <c r="JLF129" s="118"/>
      <c r="JLG129" s="118"/>
      <c r="JLH129" s="118"/>
      <c r="JLI129" s="118"/>
      <c r="JLJ129" s="118"/>
      <c r="JLK129" s="118"/>
      <c r="JLL129" s="118"/>
      <c r="JLM129" s="118"/>
      <c r="JLN129" s="118"/>
      <c r="JLO129" s="118"/>
      <c r="JLP129" s="118"/>
      <c r="JLQ129" s="118"/>
      <c r="JLR129" s="118"/>
      <c r="JLS129" s="118"/>
      <c r="JLT129" s="118"/>
      <c r="JLU129" s="118"/>
      <c r="JLV129" s="118"/>
      <c r="JLW129" s="118"/>
      <c r="JLX129" s="118"/>
      <c r="JLY129" s="118"/>
      <c r="JLZ129" s="118"/>
      <c r="JMA129" s="118"/>
      <c r="JMB129" s="118"/>
      <c r="JMC129" s="118"/>
      <c r="JMD129" s="118"/>
      <c r="JME129" s="118"/>
      <c r="JMF129" s="118"/>
      <c r="JMG129" s="118"/>
      <c r="JMH129" s="118"/>
      <c r="JMI129" s="118"/>
      <c r="JMJ129" s="118"/>
      <c r="JMK129" s="118"/>
      <c r="JML129" s="118"/>
      <c r="JMM129" s="118"/>
      <c r="JMN129" s="118"/>
      <c r="JMO129" s="118"/>
      <c r="JMP129" s="118"/>
      <c r="JMQ129" s="118"/>
      <c r="JMR129" s="118"/>
      <c r="JMS129" s="118"/>
      <c r="JMT129" s="118"/>
      <c r="JMU129" s="118"/>
      <c r="JMV129" s="118"/>
      <c r="JMW129" s="118"/>
      <c r="JMX129" s="118"/>
      <c r="JMY129" s="118"/>
      <c r="JMZ129" s="118"/>
      <c r="JNA129" s="118"/>
      <c r="JNB129" s="118"/>
      <c r="JNC129" s="118"/>
      <c r="JND129" s="118"/>
      <c r="JNE129" s="118"/>
      <c r="JNF129" s="118"/>
      <c r="JNG129" s="118"/>
      <c r="JNH129" s="118"/>
      <c r="JNI129" s="118"/>
      <c r="JNJ129" s="118"/>
      <c r="JNK129" s="118"/>
      <c r="JNL129" s="118"/>
      <c r="JNM129" s="118"/>
      <c r="JNN129" s="118"/>
      <c r="JNO129" s="118"/>
      <c r="JNP129" s="118"/>
      <c r="JNQ129" s="118"/>
      <c r="JNR129" s="118"/>
      <c r="JNS129" s="118"/>
      <c r="JNT129" s="118"/>
      <c r="JNU129" s="118"/>
      <c r="JNV129" s="118"/>
      <c r="JNW129" s="118"/>
      <c r="JNX129" s="118"/>
      <c r="JNY129" s="118"/>
      <c r="JNZ129" s="118"/>
      <c r="JOA129" s="118"/>
      <c r="JOB129" s="118"/>
      <c r="JOC129" s="118"/>
      <c r="JOD129" s="118"/>
      <c r="JOE129" s="118"/>
      <c r="JOF129" s="118"/>
      <c r="JOG129" s="118"/>
      <c r="JOH129" s="118"/>
      <c r="JOI129" s="118"/>
      <c r="JOJ129" s="118"/>
      <c r="JOK129" s="118"/>
      <c r="JOL129" s="118"/>
      <c r="JOM129" s="118"/>
      <c r="JON129" s="118"/>
      <c r="JOO129" s="118"/>
      <c r="JOP129" s="118"/>
      <c r="JOQ129" s="118"/>
      <c r="JOR129" s="118"/>
      <c r="JOS129" s="118"/>
      <c r="JOT129" s="118"/>
      <c r="JOU129" s="118"/>
      <c r="JOV129" s="118"/>
      <c r="JOW129" s="118"/>
      <c r="JOX129" s="118"/>
      <c r="JOY129" s="118"/>
      <c r="JOZ129" s="118"/>
      <c r="JPA129" s="118"/>
      <c r="JPB129" s="118"/>
      <c r="JPC129" s="118"/>
      <c r="JPD129" s="118"/>
      <c r="JPE129" s="118"/>
      <c r="JPF129" s="118"/>
      <c r="JPG129" s="118"/>
      <c r="JPH129" s="118"/>
      <c r="JPI129" s="118"/>
      <c r="JPJ129" s="118"/>
      <c r="JPK129" s="118"/>
      <c r="JPL129" s="118"/>
      <c r="JPM129" s="118"/>
      <c r="JPN129" s="118"/>
      <c r="JPO129" s="118"/>
      <c r="JPP129" s="118"/>
      <c r="JPQ129" s="118"/>
      <c r="JPR129" s="118"/>
      <c r="JPS129" s="118"/>
      <c r="JPT129" s="118"/>
      <c r="JPU129" s="118"/>
      <c r="JPV129" s="118"/>
      <c r="JPW129" s="118"/>
      <c r="JPX129" s="118"/>
      <c r="JPY129" s="118"/>
      <c r="JPZ129" s="118"/>
      <c r="JQA129" s="118"/>
      <c r="JQB129" s="118"/>
      <c r="JQC129" s="118"/>
      <c r="JQD129" s="118"/>
      <c r="JQE129" s="118"/>
      <c r="JQF129" s="118"/>
      <c r="JQG129" s="118"/>
      <c r="JQH129" s="118"/>
      <c r="JQI129" s="118"/>
      <c r="JQJ129" s="118"/>
      <c r="JQK129" s="118"/>
      <c r="JQL129" s="118"/>
      <c r="JQM129" s="118"/>
      <c r="JQN129" s="118"/>
      <c r="JQO129" s="118"/>
      <c r="JQP129" s="118"/>
      <c r="JQQ129" s="118"/>
      <c r="JQR129" s="118"/>
      <c r="JQS129" s="118"/>
      <c r="JQT129" s="118"/>
      <c r="JQU129" s="118"/>
      <c r="JQV129" s="118"/>
      <c r="JQW129" s="118"/>
      <c r="JQX129" s="118"/>
      <c r="JQY129" s="118"/>
      <c r="JQZ129" s="118"/>
      <c r="JRA129" s="118"/>
      <c r="JRB129" s="118"/>
      <c r="JRC129" s="118"/>
      <c r="JRD129" s="118"/>
      <c r="JRE129" s="118"/>
      <c r="JRF129" s="118"/>
      <c r="JRG129" s="118"/>
      <c r="JRH129" s="118"/>
      <c r="JRI129" s="118"/>
      <c r="JRJ129" s="118"/>
      <c r="JRK129" s="118"/>
      <c r="JRL129" s="118"/>
      <c r="JRM129" s="118"/>
      <c r="JRN129" s="118"/>
      <c r="JRO129" s="118"/>
      <c r="JRP129" s="118"/>
      <c r="JRQ129" s="118"/>
      <c r="JRR129" s="118"/>
      <c r="JRS129" s="118"/>
      <c r="JRT129" s="118"/>
      <c r="JRU129" s="118"/>
      <c r="JRV129" s="118"/>
      <c r="JRW129" s="118"/>
      <c r="JRX129" s="118"/>
      <c r="JRY129" s="118"/>
      <c r="JRZ129" s="118"/>
      <c r="JSA129" s="118"/>
      <c r="JSB129" s="118"/>
      <c r="JSC129" s="118"/>
      <c r="JSD129" s="118"/>
      <c r="JSE129" s="118"/>
      <c r="JSF129" s="118"/>
      <c r="JSG129" s="118"/>
      <c r="JSH129" s="118"/>
      <c r="JSI129" s="118"/>
      <c r="JSJ129" s="118"/>
      <c r="JSK129" s="118"/>
      <c r="JSL129" s="118"/>
      <c r="JSM129" s="118"/>
      <c r="JSN129" s="118"/>
      <c r="JSO129" s="118"/>
      <c r="JSP129" s="118"/>
      <c r="JSQ129" s="118"/>
      <c r="JSR129" s="118"/>
      <c r="JSS129" s="118"/>
      <c r="JST129" s="118"/>
      <c r="JSU129" s="118"/>
      <c r="JSV129" s="118"/>
      <c r="JSW129" s="118"/>
      <c r="JSX129" s="118"/>
      <c r="JSY129" s="118"/>
      <c r="JSZ129" s="118"/>
      <c r="JTA129" s="118"/>
      <c r="JTB129" s="118"/>
      <c r="JTC129" s="118"/>
      <c r="JTD129" s="118"/>
      <c r="JTE129" s="118"/>
      <c r="JTF129" s="118"/>
      <c r="JTG129" s="118"/>
      <c r="JTH129" s="118"/>
      <c r="JTI129" s="118"/>
      <c r="JTJ129" s="118"/>
      <c r="JTK129" s="118"/>
      <c r="JTL129" s="118"/>
      <c r="JTM129" s="118"/>
      <c r="JTN129" s="118"/>
      <c r="JTO129" s="118"/>
      <c r="JTP129" s="118"/>
      <c r="JTQ129" s="118"/>
      <c r="JTR129" s="118"/>
      <c r="JTS129" s="118"/>
      <c r="JTT129" s="118"/>
      <c r="JTU129" s="118"/>
      <c r="JTV129" s="118"/>
      <c r="JTW129" s="118"/>
      <c r="JTX129" s="118"/>
      <c r="JTY129" s="118"/>
      <c r="JTZ129" s="118"/>
      <c r="JUA129" s="118"/>
      <c r="JUB129" s="118"/>
      <c r="JUC129" s="118"/>
      <c r="JUD129" s="118"/>
      <c r="JUE129" s="118"/>
      <c r="JUF129" s="118"/>
      <c r="JUG129" s="118"/>
      <c r="JUH129" s="118"/>
      <c r="JUI129" s="118"/>
      <c r="JUJ129" s="118"/>
      <c r="JUK129" s="118"/>
      <c r="JUL129" s="118"/>
      <c r="JUM129" s="118"/>
      <c r="JUN129" s="118"/>
      <c r="JUO129" s="118"/>
      <c r="JUP129" s="118"/>
      <c r="JUQ129" s="118"/>
      <c r="JUR129" s="118"/>
      <c r="JUS129" s="118"/>
      <c r="JUT129" s="118"/>
      <c r="JUU129" s="118"/>
      <c r="JUV129" s="118"/>
      <c r="JUW129" s="118"/>
      <c r="JUX129" s="118"/>
      <c r="JUY129" s="118"/>
      <c r="JUZ129" s="118"/>
      <c r="JVA129" s="118"/>
      <c r="JVB129" s="118"/>
      <c r="JVC129" s="118"/>
      <c r="JVD129" s="118"/>
      <c r="JVE129" s="118"/>
      <c r="JVF129" s="118"/>
      <c r="JVG129" s="118"/>
      <c r="JVH129" s="118"/>
      <c r="JVI129" s="118"/>
      <c r="JVJ129" s="118"/>
      <c r="JVK129" s="118"/>
      <c r="JVL129" s="118"/>
      <c r="JVM129" s="118"/>
      <c r="JVN129" s="118"/>
      <c r="JVO129" s="118"/>
      <c r="JVP129" s="118"/>
      <c r="JVQ129" s="118"/>
      <c r="JVR129" s="118"/>
      <c r="JVS129" s="118"/>
      <c r="JVT129" s="118"/>
      <c r="JVU129" s="118"/>
      <c r="JVV129" s="118"/>
      <c r="JVW129" s="118"/>
      <c r="JVX129" s="118"/>
      <c r="JVY129" s="118"/>
      <c r="JVZ129" s="118"/>
      <c r="JWA129" s="118"/>
      <c r="JWB129" s="118"/>
      <c r="JWC129" s="118"/>
      <c r="JWD129" s="118"/>
      <c r="JWE129" s="118"/>
      <c r="JWF129" s="118"/>
      <c r="JWG129" s="118"/>
      <c r="JWH129" s="118"/>
      <c r="JWI129" s="118"/>
      <c r="JWJ129" s="118"/>
      <c r="JWK129" s="118"/>
      <c r="JWL129" s="118"/>
      <c r="JWM129" s="118"/>
      <c r="JWN129" s="118"/>
      <c r="JWO129" s="118"/>
      <c r="JWP129" s="118"/>
      <c r="JWQ129" s="118"/>
      <c r="JWR129" s="118"/>
      <c r="JWS129" s="118"/>
      <c r="JWT129" s="118"/>
      <c r="JWU129" s="118"/>
      <c r="JWV129" s="118"/>
      <c r="JWW129" s="118"/>
      <c r="JWX129" s="118"/>
      <c r="JWY129" s="118"/>
      <c r="JWZ129" s="118"/>
      <c r="JXA129" s="118"/>
      <c r="JXB129" s="118"/>
      <c r="JXC129" s="118"/>
      <c r="JXD129" s="118"/>
      <c r="JXE129" s="118"/>
      <c r="JXF129" s="118"/>
      <c r="JXG129" s="118"/>
      <c r="JXH129" s="118"/>
      <c r="JXI129" s="118"/>
      <c r="JXJ129" s="118"/>
      <c r="JXK129" s="118"/>
      <c r="JXL129" s="118"/>
      <c r="JXM129" s="118"/>
      <c r="JXN129" s="118"/>
      <c r="JXO129" s="118"/>
      <c r="JXP129" s="118"/>
      <c r="JXQ129" s="118"/>
      <c r="JXR129" s="118"/>
      <c r="JXS129" s="118"/>
      <c r="JXT129" s="118"/>
      <c r="JXU129" s="118"/>
      <c r="JXV129" s="118"/>
      <c r="JXW129" s="118"/>
      <c r="JXX129" s="118"/>
      <c r="JXY129" s="118"/>
      <c r="JXZ129" s="118"/>
      <c r="JYA129" s="118"/>
      <c r="JYB129" s="118"/>
      <c r="JYC129" s="118"/>
      <c r="JYD129" s="118"/>
      <c r="JYE129" s="118"/>
      <c r="JYF129" s="118"/>
      <c r="JYG129" s="118"/>
      <c r="JYH129" s="118"/>
      <c r="JYI129" s="118"/>
      <c r="JYJ129" s="118"/>
      <c r="JYK129" s="118"/>
      <c r="JYL129" s="118"/>
      <c r="JYM129" s="118"/>
      <c r="JYN129" s="118"/>
      <c r="JYO129" s="118"/>
      <c r="JYP129" s="118"/>
      <c r="JYQ129" s="118"/>
      <c r="JYR129" s="118"/>
      <c r="JYS129" s="118"/>
      <c r="JYT129" s="118"/>
      <c r="JYU129" s="118"/>
      <c r="JYV129" s="118"/>
      <c r="JYW129" s="118"/>
      <c r="JYX129" s="118"/>
      <c r="JYY129" s="118"/>
      <c r="JYZ129" s="118"/>
      <c r="JZA129" s="118"/>
      <c r="JZB129" s="118"/>
      <c r="JZC129" s="118"/>
      <c r="JZD129" s="118"/>
      <c r="JZE129" s="118"/>
      <c r="JZF129" s="118"/>
      <c r="JZG129" s="118"/>
      <c r="JZH129" s="118"/>
      <c r="JZI129" s="118"/>
      <c r="JZJ129" s="118"/>
      <c r="JZK129" s="118"/>
      <c r="JZL129" s="118"/>
      <c r="JZM129" s="118"/>
      <c r="JZN129" s="118"/>
      <c r="JZO129" s="118"/>
      <c r="JZP129" s="118"/>
      <c r="JZQ129" s="118"/>
      <c r="JZR129" s="118"/>
      <c r="JZS129" s="118"/>
      <c r="JZT129" s="118"/>
      <c r="JZU129" s="118"/>
      <c r="JZV129" s="118"/>
      <c r="JZW129" s="118"/>
      <c r="JZX129" s="118"/>
      <c r="JZY129" s="118"/>
      <c r="JZZ129" s="118"/>
      <c r="KAA129" s="118"/>
      <c r="KAB129" s="118"/>
      <c r="KAC129" s="118"/>
      <c r="KAD129" s="118"/>
      <c r="KAE129" s="118"/>
      <c r="KAF129" s="118"/>
      <c r="KAG129" s="118"/>
      <c r="KAH129" s="118"/>
      <c r="KAI129" s="118"/>
      <c r="KAJ129" s="118"/>
      <c r="KAK129" s="118"/>
      <c r="KAL129" s="118"/>
      <c r="KAM129" s="118"/>
      <c r="KAN129" s="118"/>
      <c r="KAO129" s="118"/>
      <c r="KAP129" s="118"/>
      <c r="KAQ129" s="118"/>
      <c r="KAR129" s="118"/>
      <c r="KAS129" s="118"/>
      <c r="KAT129" s="118"/>
      <c r="KAU129" s="118"/>
      <c r="KAV129" s="118"/>
      <c r="KAW129" s="118"/>
      <c r="KAX129" s="118"/>
      <c r="KAY129" s="118"/>
      <c r="KAZ129" s="118"/>
      <c r="KBA129" s="118"/>
      <c r="KBB129" s="118"/>
      <c r="KBC129" s="118"/>
      <c r="KBD129" s="118"/>
      <c r="KBE129" s="118"/>
      <c r="KBF129" s="118"/>
      <c r="KBG129" s="118"/>
      <c r="KBH129" s="118"/>
      <c r="KBI129" s="118"/>
      <c r="KBJ129" s="118"/>
      <c r="KBK129" s="118"/>
      <c r="KBL129" s="118"/>
      <c r="KBM129" s="118"/>
      <c r="KBN129" s="118"/>
      <c r="KBO129" s="118"/>
      <c r="KBP129" s="118"/>
      <c r="KBQ129" s="118"/>
      <c r="KBR129" s="118"/>
      <c r="KBS129" s="118"/>
      <c r="KBT129" s="118"/>
      <c r="KBU129" s="118"/>
      <c r="KBV129" s="118"/>
      <c r="KBW129" s="118"/>
      <c r="KBX129" s="118"/>
      <c r="KBY129" s="118"/>
      <c r="KBZ129" s="118"/>
      <c r="KCA129" s="118"/>
      <c r="KCB129" s="118"/>
      <c r="KCC129" s="118"/>
      <c r="KCD129" s="118"/>
      <c r="KCE129" s="118"/>
      <c r="KCF129" s="118"/>
      <c r="KCG129" s="118"/>
      <c r="KCH129" s="118"/>
      <c r="KCI129" s="118"/>
      <c r="KCJ129" s="118"/>
      <c r="KCK129" s="118"/>
      <c r="KCL129" s="118"/>
      <c r="KCM129" s="118"/>
      <c r="KCN129" s="118"/>
      <c r="KCO129" s="118"/>
      <c r="KCP129" s="118"/>
      <c r="KCQ129" s="118"/>
      <c r="KCR129" s="118"/>
      <c r="KCS129" s="118"/>
      <c r="KCT129" s="118"/>
      <c r="KCU129" s="118"/>
      <c r="KCV129" s="118"/>
      <c r="KCW129" s="118"/>
      <c r="KCX129" s="118"/>
      <c r="KCY129" s="118"/>
      <c r="KCZ129" s="118"/>
      <c r="KDA129" s="118"/>
      <c r="KDB129" s="118"/>
      <c r="KDC129" s="118"/>
      <c r="KDD129" s="118"/>
      <c r="KDE129" s="118"/>
      <c r="KDF129" s="118"/>
      <c r="KDG129" s="118"/>
      <c r="KDH129" s="118"/>
      <c r="KDI129" s="118"/>
      <c r="KDJ129" s="118"/>
      <c r="KDK129" s="118"/>
      <c r="KDL129" s="118"/>
      <c r="KDM129" s="118"/>
      <c r="KDN129" s="118"/>
      <c r="KDO129" s="118"/>
      <c r="KDP129" s="118"/>
      <c r="KDQ129" s="118"/>
      <c r="KDR129" s="118"/>
      <c r="KDS129" s="118"/>
      <c r="KDT129" s="118"/>
      <c r="KDU129" s="118"/>
      <c r="KDV129" s="118"/>
      <c r="KDW129" s="118"/>
      <c r="KDX129" s="118"/>
      <c r="KDY129" s="118"/>
      <c r="KDZ129" s="118"/>
      <c r="KEA129" s="118"/>
      <c r="KEB129" s="118"/>
      <c r="KEC129" s="118"/>
      <c r="KED129" s="118"/>
      <c r="KEE129" s="118"/>
      <c r="KEF129" s="118"/>
      <c r="KEG129" s="118"/>
      <c r="KEH129" s="118"/>
      <c r="KEI129" s="118"/>
      <c r="KEJ129" s="118"/>
      <c r="KEK129" s="118"/>
      <c r="KEL129" s="118"/>
      <c r="KEM129" s="118"/>
      <c r="KEN129" s="118"/>
      <c r="KEO129" s="118"/>
      <c r="KEP129" s="118"/>
      <c r="KEQ129" s="118"/>
      <c r="KER129" s="118"/>
      <c r="KES129" s="118"/>
      <c r="KET129" s="118"/>
      <c r="KEU129" s="118"/>
      <c r="KEV129" s="118"/>
      <c r="KEW129" s="118"/>
      <c r="KEX129" s="118"/>
      <c r="KEY129" s="118"/>
      <c r="KEZ129" s="118"/>
      <c r="KFA129" s="118"/>
      <c r="KFB129" s="118"/>
      <c r="KFC129" s="118"/>
      <c r="KFD129" s="118"/>
      <c r="KFE129" s="118"/>
      <c r="KFF129" s="118"/>
      <c r="KFG129" s="118"/>
      <c r="KFH129" s="118"/>
      <c r="KFI129" s="118"/>
      <c r="KFJ129" s="118"/>
      <c r="KFK129" s="118"/>
      <c r="KFL129" s="118"/>
      <c r="KFM129" s="118"/>
      <c r="KFN129" s="118"/>
      <c r="KFO129" s="118"/>
      <c r="KFP129" s="118"/>
      <c r="KFQ129" s="118"/>
      <c r="KFR129" s="118"/>
      <c r="KFS129" s="118"/>
      <c r="KFT129" s="118"/>
      <c r="KFU129" s="118"/>
      <c r="KFV129" s="118"/>
      <c r="KFW129" s="118"/>
      <c r="KFX129" s="118"/>
      <c r="KFY129" s="118"/>
      <c r="KFZ129" s="118"/>
      <c r="KGA129" s="118"/>
      <c r="KGB129" s="118"/>
      <c r="KGC129" s="118"/>
      <c r="KGD129" s="118"/>
      <c r="KGE129" s="118"/>
      <c r="KGF129" s="118"/>
      <c r="KGG129" s="118"/>
      <c r="KGH129" s="118"/>
      <c r="KGI129" s="118"/>
      <c r="KGJ129" s="118"/>
      <c r="KGK129" s="118"/>
      <c r="KGL129" s="118"/>
      <c r="KGM129" s="118"/>
      <c r="KGN129" s="118"/>
      <c r="KGO129" s="118"/>
      <c r="KGP129" s="118"/>
      <c r="KGQ129" s="118"/>
      <c r="KGR129" s="118"/>
      <c r="KGS129" s="118"/>
      <c r="KGT129" s="118"/>
      <c r="KGU129" s="118"/>
      <c r="KGV129" s="118"/>
      <c r="KGW129" s="118"/>
      <c r="KGX129" s="118"/>
      <c r="KGY129" s="118"/>
      <c r="KGZ129" s="118"/>
      <c r="KHA129" s="118"/>
      <c r="KHB129" s="118"/>
      <c r="KHC129" s="118"/>
      <c r="KHD129" s="118"/>
      <c r="KHE129" s="118"/>
      <c r="KHF129" s="118"/>
      <c r="KHG129" s="118"/>
      <c r="KHH129" s="118"/>
      <c r="KHI129" s="118"/>
      <c r="KHJ129" s="118"/>
      <c r="KHK129" s="118"/>
      <c r="KHL129" s="118"/>
      <c r="KHM129" s="118"/>
      <c r="KHN129" s="118"/>
      <c r="KHO129" s="118"/>
      <c r="KHP129" s="118"/>
      <c r="KHQ129" s="118"/>
      <c r="KHR129" s="118"/>
      <c r="KHS129" s="118"/>
      <c r="KHT129" s="118"/>
      <c r="KHU129" s="118"/>
      <c r="KHV129" s="118"/>
      <c r="KHW129" s="118"/>
      <c r="KHX129" s="118"/>
      <c r="KHY129" s="118"/>
      <c r="KHZ129" s="118"/>
      <c r="KIA129" s="118"/>
      <c r="KIB129" s="118"/>
      <c r="KIC129" s="118"/>
      <c r="KID129" s="118"/>
      <c r="KIE129" s="118"/>
      <c r="KIF129" s="118"/>
      <c r="KIG129" s="118"/>
      <c r="KIH129" s="118"/>
      <c r="KII129" s="118"/>
      <c r="KIJ129" s="118"/>
      <c r="KIK129" s="118"/>
      <c r="KIL129" s="118"/>
      <c r="KIM129" s="118"/>
      <c r="KIN129" s="118"/>
      <c r="KIO129" s="118"/>
      <c r="KIP129" s="118"/>
      <c r="KIQ129" s="118"/>
      <c r="KIR129" s="118"/>
      <c r="KIS129" s="118"/>
      <c r="KIT129" s="118"/>
      <c r="KIU129" s="118"/>
      <c r="KIV129" s="118"/>
      <c r="KIW129" s="118"/>
      <c r="KIX129" s="118"/>
      <c r="KIY129" s="118"/>
      <c r="KIZ129" s="118"/>
      <c r="KJA129" s="118"/>
      <c r="KJB129" s="118"/>
      <c r="KJC129" s="118"/>
      <c r="KJD129" s="118"/>
      <c r="KJE129" s="118"/>
      <c r="KJF129" s="118"/>
      <c r="KJG129" s="118"/>
      <c r="KJH129" s="118"/>
      <c r="KJI129" s="118"/>
      <c r="KJJ129" s="118"/>
      <c r="KJK129" s="118"/>
      <c r="KJL129" s="118"/>
      <c r="KJM129" s="118"/>
      <c r="KJN129" s="118"/>
      <c r="KJO129" s="118"/>
      <c r="KJP129" s="118"/>
      <c r="KJQ129" s="118"/>
      <c r="KJR129" s="118"/>
      <c r="KJS129" s="118"/>
      <c r="KJT129" s="118"/>
      <c r="KJU129" s="118"/>
      <c r="KJV129" s="118"/>
      <c r="KJW129" s="118"/>
      <c r="KJX129" s="118"/>
      <c r="KJY129" s="118"/>
      <c r="KJZ129" s="118"/>
      <c r="KKA129" s="118"/>
      <c r="KKB129" s="118"/>
      <c r="KKC129" s="118"/>
      <c r="KKD129" s="118"/>
      <c r="KKE129" s="118"/>
      <c r="KKF129" s="118"/>
      <c r="KKG129" s="118"/>
      <c r="KKH129" s="118"/>
      <c r="KKI129" s="118"/>
      <c r="KKJ129" s="118"/>
      <c r="KKK129" s="118"/>
      <c r="KKL129" s="118"/>
      <c r="KKM129" s="118"/>
      <c r="KKN129" s="118"/>
      <c r="KKO129" s="118"/>
      <c r="KKP129" s="118"/>
      <c r="KKQ129" s="118"/>
      <c r="KKR129" s="118"/>
      <c r="KKS129" s="118"/>
      <c r="KKT129" s="118"/>
      <c r="KKU129" s="118"/>
      <c r="KKV129" s="118"/>
      <c r="KKW129" s="118"/>
      <c r="KKX129" s="118"/>
      <c r="KKY129" s="118"/>
      <c r="KKZ129" s="118"/>
      <c r="KLA129" s="118"/>
      <c r="KLB129" s="118"/>
      <c r="KLC129" s="118"/>
      <c r="KLD129" s="118"/>
      <c r="KLE129" s="118"/>
      <c r="KLF129" s="118"/>
      <c r="KLG129" s="118"/>
      <c r="KLH129" s="118"/>
      <c r="KLI129" s="118"/>
      <c r="KLJ129" s="118"/>
      <c r="KLK129" s="118"/>
      <c r="KLL129" s="118"/>
      <c r="KLM129" s="118"/>
      <c r="KLN129" s="118"/>
      <c r="KLO129" s="118"/>
      <c r="KLP129" s="118"/>
      <c r="KLQ129" s="118"/>
      <c r="KLR129" s="118"/>
      <c r="KLS129" s="118"/>
      <c r="KLT129" s="118"/>
      <c r="KLU129" s="118"/>
      <c r="KLV129" s="118"/>
      <c r="KLW129" s="118"/>
      <c r="KLX129" s="118"/>
      <c r="KLY129" s="118"/>
      <c r="KLZ129" s="118"/>
      <c r="KMA129" s="118"/>
      <c r="KMB129" s="118"/>
      <c r="KMC129" s="118"/>
      <c r="KMD129" s="118"/>
      <c r="KME129" s="118"/>
      <c r="KMF129" s="118"/>
      <c r="KMG129" s="118"/>
      <c r="KMH129" s="118"/>
      <c r="KMI129" s="118"/>
      <c r="KMJ129" s="118"/>
      <c r="KMK129" s="118"/>
      <c r="KML129" s="118"/>
      <c r="KMM129" s="118"/>
      <c r="KMN129" s="118"/>
      <c r="KMO129" s="118"/>
      <c r="KMP129" s="118"/>
      <c r="KMQ129" s="118"/>
      <c r="KMR129" s="118"/>
      <c r="KMS129" s="118"/>
      <c r="KMT129" s="118"/>
      <c r="KMU129" s="118"/>
      <c r="KMV129" s="118"/>
      <c r="KMW129" s="118"/>
      <c r="KMX129" s="118"/>
      <c r="KMY129" s="118"/>
      <c r="KMZ129" s="118"/>
      <c r="KNA129" s="118"/>
      <c r="KNB129" s="118"/>
      <c r="KNC129" s="118"/>
      <c r="KND129" s="118"/>
      <c r="KNE129" s="118"/>
      <c r="KNF129" s="118"/>
      <c r="KNG129" s="118"/>
      <c r="KNH129" s="118"/>
      <c r="KNI129" s="118"/>
      <c r="KNJ129" s="118"/>
      <c r="KNK129" s="118"/>
      <c r="KNL129" s="118"/>
      <c r="KNM129" s="118"/>
      <c r="KNN129" s="118"/>
      <c r="KNO129" s="118"/>
      <c r="KNP129" s="118"/>
      <c r="KNQ129" s="118"/>
      <c r="KNR129" s="118"/>
      <c r="KNS129" s="118"/>
      <c r="KNT129" s="118"/>
      <c r="KNU129" s="118"/>
      <c r="KNV129" s="118"/>
      <c r="KNW129" s="118"/>
      <c r="KNX129" s="118"/>
      <c r="KNY129" s="118"/>
      <c r="KNZ129" s="118"/>
      <c r="KOA129" s="118"/>
      <c r="KOB129" s="118"/>
      <c r="KOC129" s="118"/>
      <c r="KOD129" s="118"/>
      <c r="KOE129" s="118"/>
      <c r="KOF129" s="118"/>
      <c r="KOG129" s="118"/>
      <c r="KOH129" s="118"/>
      <c r="KOI129" s="118"/>
      <c r="KOJ129" s="118"/>
      <c r="KOK129" s="118"/>
      <c r="KOL129" s="118"/>
      <c r="KOM129" s="118"/>
      <c r="KON129" s="118"/>
      <c r="KOO129" s="118"/>
      <c r="KOP129" s="118"/>
      <c r="KOQ129" s="118"/>
      <c r="KOR129" s="118"/>
      <c r="KOS129" s="118"/>
      <c r="KOT129" s="118"/>
      <c r="KOU129" s="118"/>
      <c r="KOV129" s="118"/>
      <c r="KOW129" s="118"/>
      <c r="KOX129" s="118"/>
      <c r="KOY129" s="118"/>
      <c r="KOZ129" s="118"/>
      <c r="KPA129" s="118"/>
      <c r="KPB129" s="118"/>
      <c r="KPC129" s="118"/>
      <c r="KPD129" s="118"/>
      <c r="KPE129" s="118"/>
      <c r="KPF129" s="118"/>
      <c r="KPG129" s="118"/>
      <c r="KPH129" s="118"/>
      <c r="KPI129" s="118"/>
      <c r="KPJ129" s="118"/>
      <c r="KPK129" s="118"/>
      <c r="KPL129" s="118"/>
      <c r="KPM129" s="118"/>
      <c r="KPN129" s="118"/>
      <c r="KPO129" s="118"/>
      <c r="KPP129" s="118"/>
      <c r="KPQ129" s="118"/>
      <c r="KPR129" s="118"/>
      <c r="KPS129" s="118"/>
      <c r="KPT129" s="118"/>
      <c r="KPU129" s="118"/>
      <c r="KPV129" s="118"/>
      <c r="KPW129" s="118"/>
      <c r="KPX129" s="118"/>
      <c r="KPY129" s="118"/>
      <c r="KPZ129" s="118"/>
      <c r="KQA129" s="118"/>
      <c r="KQB129" s="118"/>
      <c r="KQC129" s="118"/>
      <c r="KQD129" s="118"/>
      <c r="KQE129" s="118"/>
      <c r="KQF129" s="118"/>
      <c r="KQG129" s="118"/>
      <c r="KQH129" s="118"/>
      <c r="KQI129" s="118"/>
      <c r="KQJ129" s="118"/>
      <c r="KQK129" s="118"/>
      <c r="KQL129" s="118"/>
      <c r="KQM129" s="118"/>
      <c r="KQN129" s="118"/>
      <c r="KQO129" s="118"/>
      <c r="KQP129" s="118"/>
      <c r="KQQ129" s="118"/>
      <c r="KQR129" s="118"/>
      <c r="KQS129" s="118"/>
      <c r="KQT129" s="118"/>
      <c r="KQU129" s="118"/>
      <c r="KQV129" s="118"/>
      <c r="KQW129" s="118"/>
      <c r="KQX129" s="118"/>
      <c r="KQY129" s="118"/>
      <c r="KQZ129" s="118"/>
      <c r="KRA129" s="118"/>
      <c r="KRB129" s="118"/>
      <c r="KRC129" s="118"/>
      <c r="KRD129" s="118"/>
      <c r="KRE129" s="118"/>
      <c r="KRF129" s="118"/>
      <c r="KRG129" s="118"/>
      <c r="KRH129" s="118"/>
      <c r="KRI129" s="118"/>
      <c r="KRJ129" s="118"/>
      <c r="KRK129" s="118"/>
      <c r="KRL129" s="118"/>
      <c r="KRM129" s="118"/>
      <c r="KRN129" s="118"/>
      <c r="KRO129" s="118"/>
      <c r="KRP129" s="118"/>
      <c r="KRQ129" s="118"/>
      <c r="KRR129" s="118"/>
      <c r="KRS129" s="118"/>
      <c r="KRT129" s="118"/>
      <c r="KRU129" s="118"/>
      <c r="KRV129" s="118"/>
      <c r="KRW129" s="118"/>
      <c r="KRX129" s="118"/>
      <c r="KRY129" s="118"/>
      <c r="KRZ129" s="118"/>
      <c r="KSA129" s="118"/>
      <c r="KSB129" s="118"/>
      <c r="KSC129" s="118"/>
      <c r="KSD129" s="118"/>
      <c r="KSE129" s="118"/>
      <c r="KSF129" s="118"/>
      <c r="KSG129" s="118"/>
      <c r="KSH129" s="118"/>
      <c r="KSI129" s="118"/>
      <c r="KSJ129" s="118"/>
      <c r="KSK129" s="118"/>
      <c r="KSL129" s="118"/>
      <c r="KSM129" s="118"/>
      <c r="KSN129" s="118"/>
      <c r="KSO129" s="118"/>
      <c r="KSP129" s="118"/>
      <c r="KSQ129" s="118"/>
      <c r="KSR129" s="118"/>
      <c r="KSS129" s="118"/>
      <c r="KST129" s="118"/>
      <c r="KSU129" s="118"/>
      <c r="KSV129" s="118"/>
      <c r="KSW129" s="118"/>
      <c r="KSX129" s="118"/>
      <c r="KSY129" s="118"/>
      <c r="KSZ129" s="118"/>
      <c r="KTA129" s="118"/>
      <c r="KTB129" s="118"/>
      <c r="KTC129" s="118"/>
      <c r="KTD129" s="118"/>
      <c r="KTE129" s="118"/>
      <c r="KTF129" s="118"/>
      <c r="KTG129" s="118"/>
      <c r="KTH129" s="118"/>
      <c r="KTI129" s="118"/>
      <c r="KTJ129" s="118"/>
      <c r="KTK129" s="118"/>
      <c r="KTL129" s="118"/>
      <c r="KTM129" s="118"/>
      <c r="KTN129" s="118"/>
      <c r="KTO129" s="118"/>
      <c r="KTP129" s="118"/>
      <c r="KTQ129" s="118"/>
      <c r="KTR129" s="118"/>
      <c r="KTS129" s="118"/>
      <c r="KTT129" s="118"/>
      <c r="KTU129" s="118"/>
      <c r="KTV129" s="118"/>
      <c r="KTW129" s="118"/>
      <c r="KTX129" s="118"/>
      <c r="KTY129" s="118"/>
      <c r="KTZ129" s="118"/>
      <c r="KUA129" s="118"/>
      <c r="KUB129" s="118"/>
      <c r="KUC129" s="118"/>
      <c r="KUD129" s="118"/>
      <c r="KUE129" s="118"/>
      <c r="KUF129" s="118"/>
      <c r="KUG129" s="118"/>
      <c r="KUH129" s="118"/>
      <c r="KUI129" s="118"/>
      <c r="KUJ129" s="118"/>
      <c r="KUK129" s="118"/>
      <c r="KUL129" s="118"/>
      <c r="KUM129" s="118"/>
      <c r="KUN129" s="118"/>
      <c r="KUO129" s="118"/>
      <c r="KUP129" s="118"/>
      <c r="KUQ129" s="118"/>
      <c r="KUR129" s="118"/>
      <c r="KUS129" s="118"/>
      <c r="KUT129" s="118"/>
      <c r="KUU129" s="118"/>
      <c r="KUV129" s="118"/>
      <c r="KUW129" s="118"/>
      <c r="KUX129" s="118"/>
      <c r="KUY129" s="118"/>
      <c r="KUZ129" s="118"/>
      <c r="KVA129" s="118"/>
      <c r="KVB129" s="118"/>
      <c r="KVC129" s="118"/>
      <c r="KVD129" s="118"/>
      <c r="KVE129" s="118"/>
      <c r="KVF129" s="118"/>
      <c r="KVG129" s="118"/>
      <c r="KVH129" s="118"/>
      <c r="KVI129" s="118"/>
      <c r="KVJ129" s="118"/>
      <c r="KVK129" s="118"/>
      <c r="KVL129" s="118"/>
      <c r="KVM129" s="118"/>
      <c r="KVN129" s="118"/>
      <c r="KVO129" s="118"/>
      <c r="KVP129" s="118"/>
      <c r="KVQ129" s="118"/>
      <c r="KVR129" s="118"/>
      <c r="KVS129" s="118"/>
      <c r="KVT129" s="118"/>
      <c r="KVU129" s="118"/>
      <c r="KVV129" s="118"/>
      <c r="KVW129" s="118"/>
      <c r="KVX129" s="118"/>
      <c r="KVY129" s="118"/>
      <c r="KVZ129" s="118"/>
      <c r="KWA129" s="118"/>
      <c r="KWB129" s="118"/>
      <c r="KWC129" s="118"/>
      <c r="KWD129" s="118"/>
      <c r="KWE129" s="118"/>
      <c r="KWF129" s="118"/>
      <c r="KWG129" s="118"/>
      <c r="KWH129" s="118"/>
      <c r="KWI129" s="118"/>
      <c r="KWJ129" s="118"/>
      <c r="KWK129" s="118"/>
      <c r="KWL129" s="118"/>
      <c r="KWM129" s="118"/>
      <c r="KWN129" s="118"/>
      <c r="KWO129" s="118"/>
      <c r="KWP129" s="118"/>
      <c r="KWQ129" s="118"/>
      <c r="KWR129" s="118"/>
      <c r="KWS129" s="118"/>
      <c r="KWT129" s="118"/>
      <c r="KWU129" s="118"/>
      <c r="KWV129" s="118"/>
      <c r="KWW129" s="118"/>
      <c r="KWX129" s="118"/>
      <c r="KWY129" s="118"/>
      <c r="KWZ129" s="118"/>
      <c r="KXA129" s="118"/>
      <c r="KXB129" s="118"/>
      <c r="KXC129" s="118"/>
      <c r="KXD129" s="118"/>
      <c r="KXE129" s="118"/>
      <c r="KXF129" s="118"/>
      <c r="KXG129" s="118"/>
      <c r="KXH129" s="118"/>
      <c r="KXI129" s="118"/>
      <c r="KXJ129" s="118"/>
      <c r="KXK129" s="118"/>
      <c r="KXL129" s="118"/>
      <c r="KXM129" s="118"/>
      <c r="KXN129" s="118"/>
      <c r="KXO129" s="118"/>
      <c r="KXP129" s="118"/>
      <c r="KXQ129" s="118"/>
      <c r="KXR129" s="118"/>
      <c r="KXS129" s="118"/>
      <c r="KXT129" s="118"/>
      <c r="KXU129" s="118"/>
      <c r="KXV129" s="118"/>
      <c r="KXW129" s="118"/>
      <c r="KXX129" s="118"/>
      <c r="KXY129" s="118"/>
      <c r="KXZ129" s="118"/>
      <c r="KYA129" s="118"/>
      <c r="KYB129" s="118"/>
      <c r="KYC129" s="118"/>
      <c r="KYD129" s="118"/>
      <c r="KYE129" s="118"/>
      <c r="KYF129" s="118"/>
      <c r="KYG129" s="118"/>
      <c r="KYH129" s="118"/>
      <c r="KYI129" s="118"/>
      <c r="KYJ129" s="118"/>
      <c r="KYK129" s="118"/>
      <c r="KYL129" s="118"/>
      <c r="KYM129" s="118"/>
      <c r="KYN129" s="118"/>
      <c r="KYO129" s="118"/>
      <c r="KYP129" s="118"/>
      <c r="KYQ129" s="118"/>
      <c r="KYR129" s="118"/>
      <c r="KYS129" s="118"/>
      <c r="KYT129" s="118"/>
      <c r="KYU129" s="118"/>
      <c r="KYV129" s="118"/>
      <c r="KYW129" s="118"/>
      <c r="KYX129" s="118"/>
      <c r="KYY129" s="118"/>
      <c r="KYZ129" s="118"/>
      <c r="KZA129" s="118"/>
      <c r="KZB129" s="118"/>
      <c r="KZC129" s="118"/>
      <c r="KZD129" s="118"/>
      <c r="KZE129" s="118"/>
      <c r="KZF129" s="118"/>
      <c r="KZG129" s="118"/>
      <c r="KZH129" s="118"/>
      <c r="KZI129" s="118"/>
      <c r="KZJ129" s="118"/>
      <c r="KZK129" s="118"/>
      <c r="KZL129" s="118"/>
      <c r="KZM129" s="118"/>
      <c r="KZN129" s="118"/>
      <c r="KZO129" s="118"/>
      <c r="KZP129" s="118"/>
      <c r="KZQ129" s="118"/>
      <c r="KZR129" s="118"/>
      <c r="KZS129" s="118"/>
      <c r="KZT129" s="118"/>
      <c r="KZU129" s="118"/>
      <c r="KZV129" s="118"/>
      <c r="KZW129" s="118"/>
      <c r="KZX129" s="118"/>
      <c r="KZY129" s="118"/>
      <c r="KZZ129" s="118"/>
      <c r="LAA129" s="118"/>
      <c r="LAB129" s="118"/>
      <c r="LAC129" s="118"/>
      <c r="LAD129" s="118"/>
      <c r="LAE129" s="118"/>
      <c r="LAF129" s="118"/>
      <c r="LAG129" s="118"/>
      <c r="LAH129" s="118"/>
      <c r="LAI129" s="118"/>
      <c r="LAJ129" s="118"/>
      <c r="LAK129" s="118"/>
      <c r="LAL129" s="118"/>
      <c r="LAM129" s="118"/>
      <c r="LAN129" s="118"/>
      <c r="LAO129" s="118"/>
      <c r="LAP129" s="118"/>
      <c r="LAQ129" s="118"/>
      <c r="LAR129" s="118"/>
      <c r="LAS129" s="118"/>
      <c r="LAT129" s="118"/>
      <c r="LAU129" s="118"/>
      <c r="LAV129" s="118"/>
      <c r="LAW129" s="118"/>
      <c r="LAX129" s="118"/>
      <c r="LAY129" s="118"/>
      <c r="LAZ129" s="118"/>
      <c r="LBA129" s="118"/>
      <c r="LBB129" s="118"/>
      <c r="LBC129" s="118"/>
      <c r="LBD129" s="118"/>
      <c r="LBE129" s="118"/>
      <c r="LBF129" s="118"/>
      <c r="LBG129" s="118"/>
      <c r="LBH129" s="118"/>
      <c r="LBI129" s="118"/>
      <c r="LBJ129" s="118"/>
      <c r="LBK129" s="118"/>
      <c r="LBL129" s="118"/>
      <c r="LBM129" s="118"/>
      <c r="LBN129" s="118"/>
      <c r="LBO129" s="118"/>
      <c r="LBP129" s="118"/>
      <c r="LBQ129" s="118"/>
      <c r="LBR129" s="118"/>
      <c r="LBS129" s="118"/>
      <c r="LBT129" s="118"/>
      <c r="LBU129" s="118"/>
      <c r="LBV129" s="118"/>
      <c r="LBW129" s="118"/>
      <c r="LBX129" s="118"/>
      <c r="LBY129" s="118"/>
      <c r="LBZ129" s="118"/>
      <c r="LCA129" s="118"/>
      <c r="LCB129" s="118"/>
      <c r="LCC129" s="118"/>
      <c r="LCD129" s="118"/>
      <c r="LCE129" s="118"/>
      <c r="LCF129" s="118"/>
      <c r="LCG129" s="118"/>
      <c r="LCH129" s="118"/>
      <c r="LCI129" s="118"/>
      <c r="LCJ129" s="118"/>
      <c r="LCK129" s="118"/>
      <c r="LCL129" s="118"/>
      <c r="LCM129" s="118"/>
      <c r="LCN129" s="118"/>
      <c r="LCO129" s="118"/>
      <c r="LCP129" s="118"/>
      <c r="LCQ129" s="118"/>
      <c r="LCR129" s="118"/>
      <c r="LCS129" s="118"/>
      <c r="LCT129" s="118"/>
      <c r="LCU129" s="118"/>
      <c r="LCV129" s="118"/>
      <c r="LCW129" s="118"/>
      <c r="LCX129" s="118"/>
      <c r="LCY129" s="118"/>
      <c r="LCZ129" s="118"/>
      <c r="LDA129" s="118"/>
      <c r="LDB129" s="118"/>
      <c r="LDC129" s="118"/>
      <c r="LDD129" s="118"/>
      <c r="LDE129" s="118"/>
      <c r="LDF129" s="118"/>
      <c r="LDG129" s="118"/>
      <c r="LDH129" s="118"/>
      <c r="LDI129" s="118"/>
      <c r="LDJ129" s="118"/>
      <c r="LDK129" s="118"/>
      <c r="LDL129" s="118"/>
      <c r="LDM129" s="118"/>
      <c r="LDN129" s="118"/>
      <c r="LDO129" s="118"/>
      <c r="LDP129" s="118"/>
      <c r="LDQ129" s="118"/>
      <c r="LDR129" s="118"/>
      <c r="LDS129" s="118"/>
      <c r="LDT129" s="118"/>
      <c r="LDU129" s="118"/>
      <c r="LDV129" s="118"/>
      <c r="LDW129" s="118"/>
      <c r="LDX129" s="118"/>
      <c r="LDY129" s="118"/>
      <c r="LDZ129" s="118"/>
      <c r="LEA129" s="118"/>
      <c r="LEB129" s="118"/>
      <c r="LEC129" s="118"/>
      <c r="LED129" s="118"/>
      <c r="LEE129" s="118"/>
      <c r="LEF129" s="118"/>
      <c r="LEG129" s="118"/>
      <c r="LEH129" s="118"/>
      <c r="LEI129" s="118"/>
      <c r="LEJ129" s="118"/>
      <c r="LEK129" s="118"/>
      <c r="LEL129" s="118"/>
      <c r="LEM129" s="118"/>
      <c r="LEN129" s="118"/>
      <c r="LEO129" s="118"/>
      <c r="LEP129" s="118"/>
      <c r="LEQ129" s="118"/>
      <c r="LER129" s="118"/>
      <c r="LES129" s="118"/>
      <c r="LET129" s="118"/>
      <c r="LEU129" s="118"/>
      <c r="LEV129" s="118"/>
      <c r="LEW129" s="118"/>
      <c r="LEX129" s="118"/>
      <c r="LEY129" s="118"/>
      <c r="LEZ129" s="118"/>
      <c r="LFA129" s="118"/>
      <c r="LFB129" s="118"/>
      <c r="LFC129" s="118"/>
      <c r="LFD129" s="118"/>
      <c r="LFE129" s="118"/>
      <c r="LFF129" s="118"/>
      <c r="LFG129" s="118"/>
      <c r="LFH129" s="118"/>
      <c r="LFI129" s="118"/>
      <c r="LFJ129" s="118"/>
      <c r="LFK129" s="118"/>
      <c r="LFL129" s="118"/>
      <c r="LFM129" s="118"/>
      <c r="LFN129" s="118"/>
      <c r="LFO129" s="118"/>
      <c r="LFP129" s="118"/>
      <c r="LFQ129" s="118"/>
      <c r="LFR129" s="118"/>
      <c r="LFS129" s="118"/>
      <c r="LFT129" s="118"/>
      <c r="LFU129" s="118"/>
      <c r="LFV129" s="118"/>
      <c r="LFW129" s="118"/>
      <c r="LFX129" s="118"/>
      <c r="LFY129" s="118"/>
      <c r="LFZ129" s="118"/>
      <c r="LGA129" s="118"/>
      <c r="LGB129" s="118"/>
      <c r="LGC129" s="118"/>
      <c r="LGD129" s="118"/>
      <c r="LGE129" s="118"/>
      <c r="LGF129" s="118"/>
      <c r="LGG129" s="118"/>
      <c r="LGH129" s="118"/>
      <c r="LGI129" s="118"/>
      <c r="LGJ129" s="118"/>
      <c r="LGK129" s="118"/>
      <c r="LGL129" s="118"/>
      <c r="LGM129" s="118"/>
      <c r="LGN129" s="118"/>
      <c r="LGO129" s="118"/>
      <c r="LGP129" s="118"/>
      <c r="LGQ129" s="118"/>
      <c r="LGR129" s="118"/>
      <c r="LGS129" s="118"/>
      <c r="LGT129" s="118"/>
      <c r="LGU129" s="118"/>
      <c r="LGV129" s="118"/>
      <c r="LGW129" s="118"/>
      <c r="LGX129" s="118"/>
      <c r="LGY129" s="118"/>
      <c r="LGZ129" s="118"/>
      <c r="LHA129" s="118"/>
      <c r="LHB129" s="118"/>
      <c r="LHC129" s="118"/>
      <c r="LHD129" s="118"/>
      <c r="LHE129" s="118"/>
      <c r="LHF129" s="118"/>
      <c r="LHG129" s="118"/>
      <c r="LHH129" s="118"/>
      <c r="LHI129" s="118"/>
      <c r="LHJ129" s="118"/>
      <c r="LHK129" s="118"/>
      <c r="LHL129" s="118"/>
      <c r="LHM129" s="118"/>
      <c r="LHN129" s="118"/>
      <c r="LHO129" s="118"/>
      <c r="LHP129" s="118"/>
      <c r="LHQ129" s="118"/>
      <c r="LHR129" s="118"/>
      <c r="LHS129" s="118"/>
      <c r="LHT129" s="118"/>
      <c r="LHU129" s="118"/>
      <c r="LHV129" s="118"/>
      <c r="LHW129" s="118"/>
      <c r="LHX129" s="118"/>
      <c r="LHY129" s="118"/>
      <c r="LHZ129" s="118"/>
      <c r="LIA129" s="118"/>
      <c r="LIB129" s="118"/>
      <c r="LIC129" s="118"/>
      <c r="LID129" s="118"/>
      <c r="LIE129" s="118"/>
      <c r="LIF129" s="118"/>
      <c r="LIG129" s="118"/>
      <c r="LIH129" s="118"/>
      <c r="LII129" s="118"/>
      <c r="LIJ129" s="118"/>
      <c r="LIK129" s="118"/>
      <c r="LIL129" s="118"/>
      <c r="LIM129" s="118"/>
      <c r="LIN129" s="118"/>
      <c r="LIO129" s="118"/>
      <c r="LIP129" s="118"/>
      <c r="LIQ129" s="118"/>
      <c r="LIR129" s="118"/>
      <c r="LIS129" s="118"/>
      <c r="LIT129" s="118"/>
      <c r="LIU129" s="118"/>
      <c r="LIV129" s="118"/>
      <c r="LIW129" s="118"/>
      <c r="LIX129" s="118"/>
      <c r="LIY129" s="118"/>
      <c r="LIZ129" s="118"/>
      <c r="LJA129" s="118"/>
      <c r="LJB129" s="118"/>
      <c r="LJC129" s="118"/>
      <c r="LJD129" s="118"/>
      <c r="LJE129" s="118"/>
      <c r="LJF129" s="118"/>
      <c r="LJG129" s="118"/>
      <c r="LJH129" s="118"/>
      <c r="LJI129" s="118"/>
      <c r="LJJ129" s="118"/>
      <c r="LJK129" s="118"/>
      <c r="LJL129" s="118"/>
      <c r="LJM129" s="118"/>
      <c r="LJN129" s="118"/>
      <c r="LJO129" s="118"/>
      <c r="LJP129" s="118"/>
      <c r="LJQ129" s="118"/>
      <c r="LJR129" s="118"/>
      <c r="LJS129" s="118"/>
      <c r="LJT129" s="118"/>
      <c r="LJU129" s="118"/>
      <c r="LJV129" s="118"/>
      <c r="LJW129" s="118"/>
      <c r="LJX129" s="118"/>
      <c r="LJY129" s="118"/>
      <c r="LJZ129" s="118"/>
      <c r="LKA129" s="118"/>
      <c r="LKB129" s="118"/>
      <c r="LKC129" s="118"/>
      <c r="LKD129" s="118"/>
      <c r="LKE129" s="118"/>
      <c r="LKF129" s="118"/>
      <c r="LKG129" s="118"/>
      <c r="LKH129" s="118"/>
      <c r="LKI129" s="118"/>
      <c r="LKJ129" s="118"/>
      <c r="LKK129" s="118"/>
      <c r="LKL129" s="118"/>
      <c r="LKM129" s="118"/>
      <c r="LKN129" s="118"/>
      <c r="LKO129" s="118"/>
      <c r="LKP129" s="118"/>
      <c r="LKQ129" s="118"/>
      <c r="LKR129" s="118"/>
      <c r="LKS129" s="118"/>
      <c r="LKT129" s="118"/>
      <c r="LKU129" s="118"/>
      <c r="LKV129" s="118"/>
      <c r="LKW129" s="118"/>
      <c r="LKX129" s="118"/>
      <c r="LKY129" s="118"/>
      <c r="LKZ129" s="118"/>
      <c r="LLA129" s="118"/>
      <c r="LLB129" s="118"/>
      <c r="LLC129" s="118"/>
      <c r="LLD129" s="118"/>
      <c r="LLE129" s="118"/>
      <c r="LLF129" s="118"/>
      <c r="LLG129" s="118"/>
      <c r="LLH129" s="118"/>
      <c r="LLI129" s="118"/>
      <c r="LLJ129" s="118"/>
      <c r="LLK129" s="118"/>
      <c r="LLL129" s="118"/>
      <c r="LLM129" s="118"/>
      <c r="LLN129" s="118"/>
      <c r="LLO129" s="118"/>
      <c r="LLP129" s="118"/>
      <c r="LLQ129" s="118"/>
      <c r="LLR129" s="118"/>
      <c r="LLS129" s="118"/>
      <c r="LLT129" s="118"/>
      <c r="LLU129" s="118"/>
      <c r="LLV129" s="118"/>
      <c r="LLW129" s="118"/>
      <c r="LLX129" s="118"/>
      <c r="LLY129" s="118"/>
      <c r="LLZ129" s="118"/>
      <c r="LMA129" s="118"/>
      <c r="LMB129" s="118"/>
      <c r="LMC129" s="118"/>
      <c r="LMD129" s="118"/>
      <c r="LME129" s="118"/>
      <c r="LMF129" s="118"/>
      <c r="LMG129" s="118"/>
      <c r="LMH129" s="118"/>
      <c r="LMI129" s="118"/>
      <c r="LMJ129" s="118"/>
      <c r="LMK129" s="118"/>
      <c r="LML129" s="118"/>
      <c r="LMM129" s="118"/>
      <c r="LMN129" s="118"/>
      <c r="LMO129" s="118"/>
      <c r="LMP129" s="118"/>
      <c r="LMQ129" s="118"/>
      <c r="LMR129" s="118"/>
      <c r="LMS129" s="118"/>
      <c r="LMT129" s="118"/>
      <c r="LMU129" s="118"/>
      <c r="LMV129" s="118"/>
      <c r="LMW129" s="118"/>
      <c r="LMX129" s="118"/>
      <c r="LMY129" s="118"/>
      <c r="LMZ129" s="118"/>
      <c r="LNA129" s="118"/>
      <c r="LNB129" s="118"/>
      <c r="LNC129" s="118"/>
      <c r="LND129" s="118"/>
      <c r="LNE129" s="118"/>
      <c r="LNF129" s="118"/>
      <c r="LNG129" s="118"/>
      <c r="LNH129" s="118"/>
      <c r="LNI129" s="118"/>
      <c r="LNJ129" s="118"/>
      <c r="LNK129" s="118"/>
      <c r="LNL129" s="118"/>
      <c r="LNM129" s="118"/>
      <c r="LNN129" s="118"/>
      <c r="LNO129" s="118"/>
      <c r="LNP129" s="118"/>
      <c r="LNQ129" s="118"/>
      <c r="LNR129" s="118"/>
      <c r="LNS129" s="118"/>
      <c r="LNT129" s="118"/>
      <c r="LNU129" s="118"/>
      <c r="LNV129" s="118"/>
      <c r="LNW129" s="118"/>
      <c r="LNX129" s="118"/>
      <c r="LNY129" s="118"/>
      <c r="LNZ129" s="118"/>
      <c r="LOA129" s="118"/>
      <c r="LOB129" s="118"/>
      <c r="LOC129" s="118"/>
      <c r="LOD129" s="118"/>
      <c r="LOE129" s="118"/>
      <c r="LOF129" s="118"/>
      <c r="LOG129" s="118"/>
      <c r="LOH129" s="118"/>
      <c r="LOI129" s="118"/>
      <c r="LOJ129" s="118"/>
      <c r="LOK129" s="118"/>
      <c r="LOL129" s="118"/>
      <c r="LOM129" s="118"/>
      <c r="LON129" s="118"/>
      <c r="LOO129" s="118"/>
      <c r="LOP129" s="118"/>
      <c r="LOQ129" s="118"/>
      <c r="LOR129" s="118"/>
      <c r="LOS129" s="118"/>
      <c r="LOT129" s="118"/>
      <c r="LOU129" s="118"/>
      <c r="LOV129" s="118"/>
      <c r="LOW129" s="118"/>
      <c r="LOX129" s="118"/>
      <c r="LOY129" s="118"/>
      <c r="LOZ129" s="118"/>
      <c r="LPA129" s="118"/>
      <c r="LPB129" s="118"/>
      <c r="LPC129" s="118"/>
      <c r="LPD129" s="118"/>
      <c r="LPE129" s="118"/>
      <c r="LPF129" s="118"/>
      <c r="LPG129" s="118"/>
      <c r="LPH129" s="118"/>
      <c r="LPI129" s="118"/>
      <c r="LPJ129" s="118"/>
      <c r="LPK129" s="118"/>
      <c r="LPL129" s="118"/>
      <c r="LPM129" s="118"/>
      <c r="LPN129" s="118"/>
      <c r="LPO129" s="118"/>
      <c r="LPP129" s="118"/>
      <c r="LPQ129" s="118"/>
      <c r="LPR129" s="118"/>
      <c r="LPS129" s="118"/>
      <c r="LPT129" s="118"/>
      <c r="LPU129" s="118"/>
      <c r="LPV129" s="118"/>
      <c r="LPW129" s="118"/>
      <c r="LPX129" s="118"/>
      <c r="LPY129" s="118"/>
      <c r="LPZ129" s="118"/>
      <c r="LQA129" s="118"/>
      <c r="LQB129" s="118"/>
      <c r="LQC129" s="118"/>
      <c r="LQD129" s="118"/>
      <c r="LQE129" s="118"/>
      <c r="LQF129" s="118"/>
      <c r="LQG129" s="118"/>
      <c r="LQH129" s="118"/>
      <c r="LQI129" s="118"/>
      <c r="LQJ129" s="118"/>
      <c r="LQK129" s="118"/>
      <c r="LQL129" s="118"/>
      <c r="LQM129" s="118"/>
      <c r="LQN129" s="118"/>
      <c r="LQO129" s="118"/>
      <c r="LQP129" s="118"/>
      <c r="LQQ129" s="118"/>
      <c r="LQR129" s="118"/>
      <c r="LQS129" s="118"/>
      <c r="LQT129" s="118"/>
      <c r="LQU129" s="118"/>
      <c r="LQV129" s="118"/>
      <c r="LQW129" s="118"/>
      <c r="LQX129" s="118"/>
      <c r="LQY129" s="118"/>
      <c r="LQZ129" s="118"/>
      <c r="LRA129" s="118"/>
      <c r="LRB129" s="118"/>
      <c r="LRC129" s="118"/>
      <c r="LRD129" s="118"/>
      <c r="LRE129" s="118"/>
      <c r="LRF129" s="118"/>
      <c r="LRG129" s="118"/>
      <c r="LRH129" s="118"/>
      <c r="LRI129" s="118"/>
      <c r="LRJ129" s="118"/>
      <c r="LRK129" s="118"/>
      <c r="LRL129" s="118"/>
      <c r="LRM129" s="118"/>
      <c r="LRN129" s="118"/>
      <c r="LRO129" s="118"/>
      <c r="LRP129" s="118"/>
      <c r="LRQ129" s="118"/>
      <c r="LRR129" s="118"/>
      <c r="LRS129" s="118"/>
      <c r="LRT129" s="118"/>
      <c r="LRU129" s="118"/>
      <c r="LRV129" s="118"/>
      <c r="LRW129" s="118"/>
      <c r="LRX129" s="118"/>
      <c r="LRY129" s="118"/>
      <c r="LRZ129" s="118"/>
      <c r="LSA129" s="118"/>
      <c r="LSB129" s="118"/>
      <c r="LSC129" s="118"/>
      <c r="LSD129" s="118"/>
      <c r="LSE129" s="118"/>
      <c r="LSF129" s="118"/>
      <c r="LSG129" s="118"/>
      <c r="LSH129" s="118"/>
      <c r="LSI129" s="118"/>
      <c r="LSJ129" s="118"/>
      <c r="LSK129" s="118"/>
      <c r="LSL129" s="118"/>
      <c r="LSM129" s="118"/>
      <c r="LSN129" s="118"/>
      <c r="LSO129" s="118"/>
      <c r="LSP129" s="118"/>
      <c r="LSQ129" s="118"/>
      <c r="LSR129" s="118"/>
      <c r="LSS129" s="118"/>
      <c r="LST129" s="118"/>
      <c r="LSU129" s="118"/>
      <c r="LSV129" s="118"/>
      <c r="LSW129" s="118"/>
      <c r="LSX129" s="118"/>
      <c r="LSY129" s="118"/>
      <c r="LSZ129" s="118"/>
      <c r="LTA129" s="118"/>
      <c r="LTB129" s="118"/>
      <c r="LTC129" s="118"/>
      <c r="LTD129" s="118"/>
      <c r="LTE129" s="118"/>
      <c r="LTF129" s="118"/>
      <c r="LTG129" s="118"/>
      <c r="LTH129" s="118"/>
      <c r="LTI129" s="118"/>
      <c r="LTJ129" s="118"/>
      <c r="LTK129" s="118"/>
      <c r="LTL129" s="118"/>
      <c r="LTM129" s="118"/>
      <c r="LTN129" s="118"/>
      <c r="LTO129" s="118"/>
      <c r="LTP129" s="118"/>
      <c r="LTQ129" s="118"/>
      <c r="LTR129" s="118"/>
      <c r="LTS129" s="118"/>
      <c r="LTT129" s="118"/>
      <c r="LTU129" s="118"/>
      <c r="LTV129" s="118"/>
      <c r="LTW129" s="118"/>
      <c r="LTX129" s="118"/>
      <c r="LTY129" s="118"/>
      <c r="LTZ129" s="118"/>
      <c r="LUA129" s="118"/>
      <c r="LUB129" s="118"/>
      <c r="LUC129" s="118"/>
      <c r="LUD129" s="118"/>
      <c r="LUE129" s="118"/>
      <c r="LUF129" s="118"/>
      <c r="LUG129" s="118"/>
      <c r="LUH129" s="118"/>
      <c r="LUI129" s="118"/>
      <c r="LUJ129" s="118"/>
      <c r="LUK129" s="118"/>
      <c r="LUL129" s="118"/>
      <c r="LUM129" s="118"/>
      <c r="LUN129" s="118"/>
      <c r="LUO129" s="118"/>
      <c r="LUP129" s="118"/>
      <c r="LUQ129" s="118"/>
      <c r="LUR129" s="118"/>
      <c r="LUS129" s="118"/>
      <c r="LUT129" s="118"/>
      <c r="LUU129" s="118"/>
      <c r="LUV129" s="118"/>
      <c r="LUW129" s="118"/>
      <c r="LUX129" s="118"/>
      <c r="LUY129" s="118"/>
      <c r="LUZ129" s="118"/>
      <c r="LVA129" s="118"/>
      <c r="LVB129" s="118"/>
      <c r="LVC129" s="118"/>
      <c r="LVD129" s="118"/>
      <c r="LVE129" s="118"/>
      <c r="LVF129" s="118"/>
      <c r="LVG129" s="118"/>
      <c r="LVH129" s="118"/>
      <c r="LVI129" s="118"/>
      <c r="LVJ129" s="118"/>
      <c r="LVK129" s="118"/>
      <c r="LVL129" s="118"/>
      <c r="LVM129" s="118"/>
      <c r="LVN129" s="118"/>
      <c r="LVO129" s="118"/>
      <c r="LVP129" s="118"/>
      <c r="LVQ129" s="118"/>
      <c r="LVR129" s="118"/>
      <c r="LVS129" s="118"/>
      <c r="LVT129" s="118"/>
      <c r="LVU129" s="118"/>
      <c r="LVV129" s="118"/>
      <c r="LVW129" s="118"/>
      <c r="LVX129" s="118"/>
      <c r="LVY129" s="118"/>
      <c r="LVZ129" s="118"/>
      <c r="LWA129" s="118"/>
      <c r="LWB129" s="118"/>
      <c r="LWC129" s="118"/>
      <c r="LWD129" s="118"/>
      <c r="LWE129" s="118"/>
      <c r="LWF129" s="118"/>
      <c r="LWG129" s="118"/>
      <c r="LWH129" s="118"/>
      <c r="LWI129" s="118"/>
      <c r="LWJ129" s="118"/>
      <c r="LWK129" s="118"/>
      <c r="LWL129" s="118"/>
      <c r="LWM129" s="118"/>
      <c r="LWN129" s="118"/>
      <c r="LWO129" s="118"/>
      <c r="LWP129" s="118"/>
      <c r="LWQ129" s="118"/>
      <c r="LWR129" s="118"/>
      <c r="LWS129" s="118"/>
      <c r="LWT129" s="118"/>
      <c r="LWU129" s="118"/>
      <c r="LWV129" s="118"/>
      <c r="LWW129" s="118"/>
      <c r="LWX129" s="118"/>
      <c r="LWY129" s="118"/>
      <c r="LWZ129" s="118"/>
      <c r="LXA129" s="118"/>
      <c r="LXB129" s="118"/>
      <c r="LXC129" s="118"/>
      <c r="LXD129" s="118"/>
      <c r="LXE129" s="118"/>
      <c r="LXF129" s="118"/>
      <c r="LXG129" s="118"/>
      <c r="LXH129" s="118"/>
      <c r="LXI129" s="118"/>
      <c r="LXJ129" s="118"/>
      <c r="LXK129" s="118"/>
      <c r="LXL129" s="118"/>
      <c r="LXM129" s="118"/>
      <c r="LXN129" s="118"/>
      <c r="LXO129" s="118"/>
      <c r="LXP129" s="118"/>
      <c r="LXQ129" s="118"/>
      <c r="LXR129" s="118"/>
      <c r="LXS129" s="118"/>
      <c r="LXT129" s="118"/>
      <c r="LXU129" s="118"/>
      <c r="LXV129" s="118"/>
      <c r="LXW129" s="118"/>
      <c r="LXX129" s="118"/>
      <c r="LXY129" s="118"/>
      <c r="LXZ129" s="118"/>
      <c r="LYA129" s="118"/>
      <c r="LYB129" s="118"/>
      <c r="LYC129" s="118"/>
      <c r="LYD129" s="118"/>
      <c r="LYE129" s="118"/>
      <c r="LYF129" s="118"/>
      <c r="LYG129" s="118"/>
      <c r="LYH129" s="118"/>
      <c r="LYI129" s="118"/>
      <c r="LYJ129" s="118"/>
      <c r="LYK129" s="118"/>
      <c r="LYL129" s="118"/>
      <c r="LYM129" s="118"/>
      <c r="LYN129" s="118"/>
      <c r="LYO129" s="118"/>
      <c r="LYP129" s="118"/>
      <c r="LYQ129" s="118"/>
      <c r="LYR129" s="118"/>
      <c r="LYS129" s="118"/>
      <c r="LYT129" s="118"/>
      <c r="LYU129" s="118"/>
      <c r="LYV129" s="118"/>
      <c r="LYW129" s="118"/>
      <c r="LYX129" s="118"/>
      <c r="LYY129" s="118"/>
      <c r="LYZ129" s="118"/>
      <c r="LZA129" s="118"/>
      <c r="LZB129" s="118"/>
      <c r="LZC129" s="118"/>
      <c r="LZD129" s="118"/>
      <c r="LZE129" s="118"/>
      <c r="LZF129" s="118"/>
      <c r="LZG129" s="118"/>
      <c r="LZH129" s="118"/>
      <c r="LZI129" s="118"/>
      <c r="LZJ129" s="118"/>
      <c r="LZK129" s="118"/>
      <c r="LZL129" s="118"/>
      <c r="LZM129" s="118"/>
      <c r="LZN129" s="118"/>
      <c r="LZO129" s="118"/>
      <c r="LZP129" s="118"/>
      <c r="LZQ129" s="118"/>
      <c r="LZR129" s="118"/>
      <c r="LZS129" s="118"/>
      <c r="LZT129" s="118"/>
      <c r="LZU129" s="118"/>
      <c r="LZV129" s="118"/>
      <c r="LZW129" s="118"/>
      <c r="LZX129" s="118"/>
      <c r="LZY129" s="118"/>
      <c r="LZZ129" s="118"/>
      <c r="MAA129" s="118"/>
      <c r="MAB129" s="118"/>
      <c r="MAC129" s="118"/>
      <c r="MAD129" s="118"/>
      <c r="MAE129" s="118"/>
      <c r="MAF129" s="118"/>
      <c r="MAG129" s="118"/>
      <c r="MAH129" s="118"/>
      <c r="MAI129" s="118"/>
      <c r="MAJ129" s="118"/>
      <c r="MAK129" s="118"/>
      <c r="MAL129" s="118"/>
      <c r="MAM129" s="118"/>
      <c r="MAN129" s="118"/>
      <c r="MAO129" s="118"/>
      <c r="MAP129" s="118"/>
      <c r="MAQ129" s="118"/>
      <c r="MAR129" s="118"/>
      <c r="MAS129" s="118"/>
      <c r="MAT129" s="118"/>
      <c r="MAU129" s="118"/>
      <c r="MAV129" s="118"/>
      <c r="MAW129" s="118"/>
      <c r="MAX129" s="118"/>
      <c r="MAY129" s="118"/>
      <c r="MAZ129" s="118"/>
      <c r="MBA129" s="118"/>
      <c r="MBB129" s="118"/>
      <c r="MBC129" s="118"/>
      <c r="MBD129" s="118"/>
      <c r="MBE129" s="118"/>
      <c r="MBF129" s="118"/>
      <c r="MBG129" s="118"/>
      <c r="MBH129" s="118"/>
      <c r="MBI129" s="118"/>
      <c r="MBJ129" s="118"/>
      <c r="MBK129" s="118"/>
      <c r="MBL129" s="118"/>
      <c r="MBM129" s="118"/>
      <c r="MBN129" s="118"/>
      <c r="MBO129" s="118"/>
      <c r="MBP129" s="118"/>
      <c r="MBQ129" s="118"/>
      <c r="MBR129" s="118"/>
      <c r="MBS129" s="118"/>
      <c r="MBT129" s="118"/>
      <c r="MBU129" s="118"/>
      <c r="MBV129" s="118"/>
      <c r="MBW129" s="118"/>
      <c r="MBX129" s="118"/>
      <c r="MBY129" s="118"/>
      <c r="MBZ129" s="118"/>
      <c r="MCA129" s="118"/>
      <c r="MCB129" s="118"/>
      <c r="MCC129" s="118"/>
      <c r="MCD129" s="118"/>
      <c r="MCE129" s="118"/>
      <c r="MCF129" s="118"/>
      <c r="MCG129" s="118"/>
      <c r="MCH129" s="118"/>
      <c r="MCI129" s="118"/>
      <c r="MCJ129" s="118"/>
      <c r="MCK129" s="118"/>
      <c r="MCL129" s="118"/>
      <c r="MCM129" s="118"/>
      <c r="MCN129" s="118"/>
      <c r="MCO129" s="118"/>
      <c r="MCP129" s="118"/>
      <c r="MCQ129" s="118"/>
      <c r="MCR129" s="118"/>
      <c r="MCS129" s="118"/>
      <c r="MCT129" s="118"/>
      <c r="MCU129" s="118"/>
      <c r="MCV129" s="118"/>
      <c r="MCW129" s="118"/>
      <c r="MCX129" s="118"/>
      <c r="MCY129" s="118"/>
      <c r="MCZ129" s="118"/>
      <c r="MDA129" s="118"/>
      <c r="MDB129" s="118"/>
      <c r="MDC129" s="118"/>
      <c r="MDD129" s="118"/>
      <c r="MDE129" s="118"/>
      <c r="MDF129" s="118"/>
      <c r="MDG129" s="118"/>
      <c r="MDH129" s="118"/>
      <c r="MDI129" s="118"/>
      <c r="MDJ129" s="118"/>
      <c r="MDK129" s="118"/>
      <c r="MDL129" s="118"/>
      <c r="MDM129" s="118"/>
      <c r="MDN129" s="118"/>
      <c r="MDO129" s="118"/>
      <c r="MDP129" s="118"/>
      <c r="MDQ129" s="118"/>
      <c r="MDR129" s="118"/>
      <c r="MDS129" s="118"/>
      <c r="MDT129" s="118"/>
      <c r="MDU129" s="118"/>
      <c r="MDV129" s="118"/>
      <c r="MDW129" s="118"/>
      <c r="MDX129" s="118"/>
      <c r="MDY129" s="118"/>
      <c r="MDZ129" s="118"/>
      <c r="MEA129" s="118"/>
      <c r="MEB129" s="118"/>
      <c r="MEC129" s="118"/>
      <c r="MED129" s="118"/>
      <c r="MEE129" s="118"/>
      <c r="MEF129" s="118"/>
      <c r="MEG129" s="118"/>
      <c r="MEH129" s="118"/>
      <c r="MEI129" s="118"/>
      <c r="MEJ129" s="118"/>
      <c r="MEK129" s="118"/>
      <c r="MEL129" s="118"/>
      <c r="MEM129" s="118"/>
      <c r="MEN129" s="118"/>
      <c r="MEO129" s="118"/>
      <c r="MEP129" s="118"/>
      <c r="MEQ129" s="118"/>
      <c r="MER129" s="118"/>
      <c r="MES129" s="118"/>
      <c r="MET129" s="118"/>
      <c r="MEU129" s="118"/>
      <c r="MEV129" s="118"/>
      <c r="MEW129" s="118"/>
      <c r="MEX129" s="118"/>
      <c r="MEY129" s="118"/>
      <c r="MEZ129" s="118"/>
      <c r="MFA129" s="118"/>
      <c r="MFB129" s="118"/>
      <c r="MFC129" s="118"/>
      <c r="MFD129" s="118"/>
      <c r="MFE129" s="118"/>
      <c r="MFF129" s="118"/>
      <c r="MFG129" s="118"/>
      <c r="MFH129" s="118"/>
      <c r="MFI129" s="118"/>
      <c r="MFJ129" s="118"/>
      <c r="MFK129" s="118"/>
      <c r="MFL129" s="118"/>
      <c r="MFM129" s="118"/>
      <c r="MFN129" s="118"/>
      <c r="MFO129" s="118"/>
      <c r="MFP129" s="118"/>
      <c r="MFQ129" s="118"/>
      <c r="MFR129" s="118"/>
      <c r="MFS129" s="118"/>
      <c r="MFT129" s="118"/>
      <c r="MFU129" s="118"/>
      <c r="MFV129" s="118"/>
      <c r="MFW129" s="118"/>
      <c r="MFX129" s="118"/>
      <c r="MFY129" s="118"/>
      <c r="MFZ129" s="118"/>
      <c r="MGA129" s="118"/>
      <c r="MGB129" s="118"/>
      <c r="MGC129" s="118"/>
      <c r="MGD129" s="118"/>
      <c r="MGE129" s="118"/>
      <c r="MGF129" s="118"/>
      <c r="MGG129" s="118"/>
      <c r="MGH129" s="118"/>
      <c r="MGI129" s="118"/>
      <c r="MGJ129" s="118"/>
      <c r="MGK129" s="118"/>
      <c r="MGL129" s="118"/>
      <c r="MGM129" s="118"/>
      <c r="MGN129" s="118"/>
      <c r="MGO129" s="118"/>
      <c r="MGP129" s="118"/>
      <c r="MGQ129" s="118"/>
      <c r="MGR129" s="118"/>
      <c r="MGS129" s="118"/>
      <c r="MGT129" s="118"/>
      <c r="MGU129" s="118"/>
      <c r="MGV129" s="118"/>
      <c r="MGW129" s="118"/>
      <c r="MGX129" s="118"/>
      <c r="MGY129" s="118"/>
      <c r="MGZ129" s="118"/>
      <c r="MHA129" s="118"/>
      <c r="MHB129" s="118"/>
      <c r="MHC129" s="118"/>
      <c r="MHD129" s="118"/>
      <c r="MHE129" s="118"/>
      <c r="MHF129" s="118"/>
      <c r="MHG129" s="118"/>
      <c r="MHH129" s="118"/>
      <c r="MHI129" s="118"/>
      <c r="MHJ129" s="118"/>
      <c r="MHK129" s="118"/>
      <c r="MHL129" s="118"/>
      <c r="MHM129" s="118"/>
      <c r="MHN129" s="118"/>
      <c r="MHO129" s="118"/>
      <c r="MHP129" s="118"/>
      <c r="MHQ129" s="118"/>
      <c r="MHR129" s="118"/>
      <c r="MHS129" s="118"/>
      <c r="MHT129" s="118"/>
      <c r="MHU129" s="118"/>
      <c r="MHV129" s="118"/>
      <c r="MHW129" s="118"/>
      <c r="MHX129" s="118"/>
      <c r="MHY129" s="118"/>
      <c r="MHZ129" s="118"/>
      <c r="MIA129" s="118"/>
      <c r="MIB129" s="118"/>
      <c r="MIC129" s="118"/>
      <c r="MID129" s="118"/>
      <c r="MIE129" s="118"/>
      <c r="MIF129" s="118"/>
      <c r="MIG129" s="118"/>
      <c r="MIH129" s="118"/>
      <c r="MII129" s="118"/>
      <c r="MIJ129" s="118"/>
      <c r="MIK129" s="118"/>
      <c r="MIL129" s="118"/>
      <c r="MIM129" s="118"/>
      <c r="MIN129" s="118"/>
      <c r="MIO129" s="118"/>
      <c r="MIP129" s="118"/>
      <c r="MIQ129" s="118"/>
      <c r="MIR129" s="118"/>
      <c r="MIS129" s="118"/>
      <c r="MIT129" s="118"/>
      <c r="MIU129" s="118"/>
      <c r="MIV129" s="118"/>
      <c r="MIW129" s="118"/>
      <c r="MIX129" s="118"/>
      <c r="MIY129" s="118"/>
      <c r="MIZ129" s="118"/>
      <c r="MJA129" s="118"/>
      <c r="MJB129" s="118"/>
      <c r="MJC129" s="118"/>
      <c r="MJD129" s="118"/>
      <c r="MJE129" s="118"/>
      <c r="MJF129" s="118"/>
      <c r="MJG129" s="118"/>
      <c r="MJH129" s="118"/>
      <c r="MJI129" s="118"/>
      <c r="MJJ129" s="118"/>
      <c r="MJK129" s="118"/>
      <c r="MJL129" s="118"/>
      <c r="MJM129" s="118"/>
      <c r="MJN129" s="118"/>
      <c r="MJO129" s="118"/>
      <c r="MJP129" s="118"/>
      <c r="MJQ129" s="118"/>
      <c r="MJR129" s="118"/>
      <c r="MJS129" s="118"/>
      <c r="MJT129" s="118"/>
      <c r="MJU129" s="118"/>
      <c r="MJV129" s="118"/>
      <c r="MJW129" s="118"/>
      <c r="MJX129" s="118"/>
      <c r="MJY129" s="118"/>
      <c r="MJZ129" s="118"/>
      <c r="MKA129" s="118"/>
      <c r="MKB129" s="118"/>
      <c r="MKC129" s="118"/>
      <c r="MKD129" s="118"/>
      <c r="MKE129" s="118"/>
      <c r="MKF129" s="118"/>
      <c r="MKG129" s="118"/>
      <c r="MKH129" s="118"/>
      <c r="MKI129" s="118"/>
      <c r="MKJ129" s="118"/>
      <c r="MKK129" s="118"/>
      <c r="MKL129" s="118"/>
      <c r="MKM129" s="118"/>
      <c r="MKN129" s="118"/>
      <c r="MKO129" s="118"/>
      <c r="MKP129" s="118"/>
      <c r="MKQ129" s="118"/>
      <c r="MKR129" s="118"/>
      <c r="MKS129" s="118"/>
      <c r="MKT129" s="118"/>
      <c r="MKU129" s="118"/>
      <c r="MKV129" s="118"/>
      <c r="MKW129" s="118"/>
      <c r="MKX129" s="118"/>
      <c r="MKY129" s="118"/>
      <c r="MKZ129" s="118"/>
      <c r="MLA129" s="118"/>
      <c r="MLB129" s="118"/>
      <c r="MLC129" s="118"/>
      <c r="MLD129" s="118"/>
      <c r="MLE129" s="118"/>
      <c r="MLF129" s="118"/>
      <c r="MLG129" s="118"/>
      <c r="MLH129" s="118"/>
      <c r="MLI129" s="118"/>
      <c r="MLJ129" s="118"/>
      <c r="MLK129" s="118"/>
      <c r="MLL129" s="118"/>
      <c r="MLM129" s="118"/>
      <c r="MLN129" s="118"/>
      <c r="MLO129" s="118"/>
      <c r="MLP129" s="118"/>
      <c r="MLQ129" s="118"/>
      <c r="MLR129" s="118"/>
      <c r="MLS129" s="118"/>
      <c r="MLT129" s="118"/>
      <c r="MLU129" s="118"/>
      <c r="MLV129" s="118"/>
      <c r="MLW129" s="118"/>
      <c r="MLX129" s="118"/>
      <c r="MLY129" s="118"/>
      <c r="MLZ129" s="118"/>
      <c r="MMA129" s="118"/>
      <c r="MMB129" s="118"/>
      <c r="MMC129" s="118"/>
      <c r="MMD129" s="118"/>
      <c r="MME129" s="118"/>
      <c r="MMF129" s="118"/>
      <c r="MMG129" s="118"/>
      <c r="MMH129" s="118"/>
      <c r="MMI129" s="118"/>
      <c r="MMJ129" s="118"/>
      <c r="MMK129" s="118"/>
      <c r="MML129" s="118"/>
      <c r="MMM129" s="118"/>
      <c r="MMN129" s="118"/>
      <c r="MMO129" s="118"/>
      <c r="MMP129" s="118"/>
      <c r="MMQ129" s="118"/>
      <c r="MMR129" s="118"/>
      <c r="MMS129" s="118"/>
      <c r="MMT129" s="118"/>
      <c r="MMU129" s="118"/>
      <c r="MMV129" s="118"/>
      <c r="MMW129" s="118"/>
      <c r="MMX129" s="118"/>
      <c r="MMY129" s="118"/>
      <c r="MMZ129" s="118"/>
      <c r="MNA129" s="118"/>
      <c r="MNB129" s="118"/>
      <c r="MNC129" s="118"/>
      <c r="MND129" s="118"/>
      <c r="MNE129" s="118"/>
      <c r="MNF129" s="118"/>
      <c r="MNG129" s="118"/>
      <c r="MNH129" s="118"/>
      <c r="MNI129" s="118"/>
      <c r="MNJ129" s="118"/>
      <c r="MNK129" s="118"/>
      <c r="MNL129" s="118"/>
      <c r="MNM129" s="118"/>
      <c r="MNN129" s="118"/>
      <c r="MNO129" s="118"/>
      <c r="MNP129" s="118"/>
      <c r="MNQ129" s="118"/>
      <c r="MNR129" s="118"/>
      <c r="MNS129" s="118"/>
      <c r="MNT129" s="118"/>
      <c r="MNU129" s="118"/>
      <c r="MNV129" s="118"/>
      <c r="MNW129" s="118"/>
      <c r="MNX129" s="118"/>
      <c r="MNY129" s="118"/>
      <c r="MNZ129" s="118"/>
      <c r="MOA129" s="118"/>
      <c r="MOB129" s="118"/>
      <c r="MOC129" s="118"/>
      <c r="MOD129" s="118"/>
      <c r="MOE129" s="118"/>
      <c r="MOF129" s="118"/>
      <c r="MOG129" s="118"/>
      <c r="MOH129" s="118"/>
      <c r="MOI129" s="118"/>
      <c r="MOJ129" s="118"/>
      <c r="MOK129" s="118"/>
      <c r="MOL129" s="118"/>
      <c r="MOM129" s="118"/>
      <c r="MON129" s="118"/>
      <c r="MOO129" s="118"/>
      <c r="MOP129" s="118"/>
      <c r="MOQ129" s="118"/>
      <c r="MOR129" s="118"/>
      <c r="MOS129" s="118"/>
      <c r="MOT129" s="118"/>
      <c r="MOU129" s="118"/>
      <c r="MOV129" s="118"/>
      <c r="MOW129" s="118"/>
      <c r="MOX129" s="118"/>
      <c r="MOY129" s="118"/>
      <c r="MOZ129" s="118"/>
      <c r="MPA129" s="118"/>
      <c r="MPB129" s="118"/>
      <c r="MPC129" s="118"/>
      <c r="MPD129" s="118"/>
      <c r="MPE129" s="118"/>
      <c r="MPF129" s="118"/>
      <c r="MPG129" s="118"/>
      <c r="MPH129" s="118"/>
      <c r="MPI129" s="118"/>
      <c r="MPJ129" s="118"/>
      <c r="MPK129" s="118"/>
      <c r="MPL129" s="118"/>
      <c r="MPM129" s="118"/>
      <c r="MPN129" s="118"/>
      <c r="MPO129" s="118"/>
      <c r="MPP129" s="118"/>
      <c r="MPQ129" s="118"/>
      <c r="MPR129" s="118"/>
      <c r="MPS129" s="118"/>
      <c r="MPT129" s="118"/>
      <c r="MPU129" s="118"/>
      <c r="MPV129" s="118"/>
      <c r="MPW129" s="118"/>
      <c r="MPX129" s="118"/>
      <c r="MPY129" s="118"/>
      <c r="MPZ129" s="118"/>
      <c r="MQA129" s="118"/>
      <c r="MQB129" s="118"/>
      <c r="MQC129" s="118"/>
      <c r="MQD129" s="118"/>
      <c r="MQE129" s="118"/>
      <c r="MQF129" s="118"/>
      <c r="MQG129" s="118"/>
      <c r="MQH129" s="118"/>
      <c r="MQI129" s="118"/>
      <c r="MQJ129" s="118"/>
      <c r="MQK129" s="118"/>
      <c r="MQL129" s="118"/>
      <c r="MQM129" s="118"/>
      <c r="MQN129" s="118"/>
      <c r="MQO129" s="118"/>
      <c r="MQP129" s="118"/>
      <c r="MQQ129" s="118"/>
      <c r="MQR129" s="118"/>
      <c r="MQS129" s="118"/>
      <c r="MQT129" s="118"/>
      <c r="MQU129" s="118"/>
      <c r="MQV129" s="118"/>
      <c r="MQW129" s="118"/>
      <c r="MQX129" s="118"/>
      <c r="MQY129" s="118"/>
      <c r="MQZ129" s="118"/>
      <c r="MRA129" s="118"/>
      <c r="MRB129" s="118"/>
      <c r="MRC129" s="118"/>
      <c r="MRD129" s="118"/>
      <c r="MRE129" s="118"/>
      <c r="MRF129" s="118"/>
      <c r="MRG129" s="118"/>
      <c r="MRH129" s="118"/>
      <c r="MRI129" s="118"/>
      <c r="MRJ129" s="118"/>
      <c r="MRK129" s="118"/>
      <c r="MRL129" s="118"/>
      <c r="MRM129" s="118"/>
      <c r="MRN129" s="118"/>
      <c r="MRO129" s="118"/>
      <c r="MRP129" s="118"/>
      <c r="MRQ129" s="118"/>
      <c r="MRR129" s="118"/>
      <c r="MRS129" s="118"/>
      <c r="MRT129" s="118"/>
      <c r="MRU129" s="118"/>
      <c r="MRV129" s="118"/>
      <c r="MRW129" s="118"/>
      <c r="MRX129" s="118"/>
      <c r="MRY129" s="118"/>
      <c r="MRZ129" s="118"/>
      <c r="MSA129" s="118"/>
      <c r="MSB129" s="118"/>
      <c r="MSC129" s="118"/>
      <c r="MSD129" s="118"/>
      <c r="MSE129" s="118"/>
      <c r="MSF129" s="118"/>
      <c r="MSG129" s="118"/>
      <c r="MSH129" s="118"/>
      <c r="MSI129" s="118"/>
      <c r="MSJ129" s="118"/>
      <c r="MSK129" s="118"/>
      <c r="MSL129" s="118"/>
      <c r="MSM129" s="118"/>
      <c r="MSN129" s="118"/>
      <c r="MSO129" s="118"/>
      <c r="MSP129" s="118"/>
      <c r="MSQ129" s="118"/>
      <c r="MSR129" s="118"/>
      <c r="MSS129" s="118"/>
      <c r="MST129" s="118"/>
      <c r="MSU129" s="118"/>
      <c r="MSV129" s="118"/>
      <c r="MSW129" s="118"/>
      <c r="MSX129" s="118"/>
      <c r="MSY129" s="118"/>
      <c r="MSZ129" s="118"/>
      <c r="MTA129" s="118"/>
      <c r="MTB129" s="118"/>
      <c r="MTC129" s="118"/>
      <c r="MTD129" s="118"/>
      <c r="MTE129" s="118"/>
      <c r="MTF129" s="118"/>
      <c r="MTG129" s="118"/>
      <c r="MTH129" s="118"/>
      <c r="MTI129" s="118"/>
      <c r="MTJ129" s="118"/>
      <c r="MTK129" s="118"/>
      <c r="MTL129" s="118"/>
      <c r="MTM129" s="118"/>
      <c r="MTN129" s="118"/>
      <c r="MTO129" s="118"/>
      <c r="MTP129" s="118"/>
      <c r="MTQ129" s="118"/>
      <c r="MTR129" s="118"/>
      <c r="MTS129" s="118"/>
      <c r="MTT129" s="118"/>
      <c r="MTU129" s="118"/>
      <c r="MTV129" s="118"/>
      <c r="MTW129" s="118"/>
      <c r="MTX129" s="118"/>
      <c r="MTY129" s="118"/>
      <c r="MTZ129" s="118"/>
      <c r="MUA129" s="118"/>
      <c r="MUB129" s="118"/>
      <c r="MUC129" s="118"/>
      <c r="MUD129" s="118"/>
      <c r="MUE129" s="118"/>
      <c r="MUF129" s="118"/>
      <c r="MUG129" s="118"/>
      <c r="MUH129" s="118"/>
      <c r="MUI129" s="118"/>
      <c r="MUJ129" s="118"/>
      <c r="MUK129" s="118"/>
      <c r="MUL129" s="118"/>
      <c r="MUM129" s="118"/>
      <c r="MUN129" s="118"/>
      <c r="MUO129" s="118"/>
      <c r="MUP129" s="118"/>
      <c r="MUQ129" s="118"/>
      <c r="MUR129" s="118"/>
      <c r="MUS129" s="118"/>
      <c r="MUT129" s="118"/>
      <c r="MUU129" s="118"/>
      <c r="MUV129" s="118"/>
      <c r="MUW129" s="118"/>
      <c r="MUX129" s="118"/>
      <c r="MUY129" s="118"/>
      <c r="MUZ129" s="118"/>
      <c r="MVA129" s="118"/>
      <c r="MVB129" s="118"/>
      <c r="MVC129" s="118"/>
      <c r="MVD129" s="118"/>
      <c r="MVE129" s="118"/>
      <c r="MVF129" s="118"/>
      <c r="MVG129" s="118"/>
      <c r="MVH129" s="118"/>
      <c r="MVI129" s="118"/>
      <c r="MVJ129" s="118"/>
      <c r="MVK129" s="118"/>
      <c r="MVL129" s="118"/>
      <c r="MVM129" s="118"/>
      <c r="MVN129" s="118"/>
      <c r="MVO129" s="118"/>
      <c r="MVP129" s="118"/>
      <c r="MVQ129" s="118"/>
      <c r="MVR129" s="118"/>
      <c r="MVS129" s="118"/>
      <c r="MVT129" s="118"/>
      <c r="MVU129" s="118"/>
      <c r="MVV129" s="118"/>
      <c r="MVW129" s="118"/>
      <c r="MVX129" s="118"/>
      <c r="MVY129" s="118"/>
      <c r="MVZ129" s="118"/>
      <c r="MWA129" s="118"/>
      <c r="MWB129" s="118"/>
      <c r="MWC129" s="118"/>
      <c r="MWD129" s="118"/>
      <c r="MWE129" s="118"/>
      <c r="MWF129" s="118"/>
      <c r="MWG129" s="118"/>
      <c r="MWH129" s="118"/>
      <c r="MWI129" s="118"/>
      <c r="MWJ129" s="118"/>
      <c r="MWK129" s="118"/>
      <c r="MWL129" s="118"/>
      <c r="MWM129" s="118"/>
      <c r="MWN129" s="118"/>
      <c r="MWO129" s="118"/>
      <c r="MWP129" s="118"/>
      <c r="MWQ129" s="118"/>
      <c r="MWR129" s="118"/>
      <c r="MWS129" s="118"/>
      <c r="MWT129" s="118"/>
      <c r="MWU129" s="118"/>
      <c r="MWV129" s="118"/>
      <c r="MWW129" s="118"/>
      <c r="MWX129" s="118"/>
      <c r="MWY129" s="118"/>
      <c r="MWZ129" s="118"/>
      <c r="MXA129" s="118"/>
      <c r="MXB129" s="118"/>
      <c r="MXC129" s="118"/>
      <c r="MXD129" s="118"/>
      <c r="MXE129" s="118"/>
      <c r="MXF129" s="118"/>
      <c r="MXG129" s="118"/>
      <c r="MXH129" s="118"/>
      <c r="MXI129" s="118"/>
      <c r="MXJ129" s="118"/>
      <c r="MXK129" s="118"/>
      <c r="MXL129" s="118"/>
      <c r="MXM129" s="118"/>
      <c r="MXN129" s="118"/>
      <c r="MXO129" s="118"/>
      <c r="MXP129" s="118"/>
      <c r="MXQ129" s="118"/>
      <c r="MXR129" s="118"/>
      <c r="MXS129" s="118"/>
      <c r="MXT129" s="118"/>
      <c r="MXU129" s="118"/>
      <c r="MXV129" s="118"/>
      <c r="MXW129" s="118"/>
      <c r="MXX129" s="118"/>
      <c r="MXY129" s="118"/>
      <c r="MXZ129" s="118"/>
      <c r="MYA129" s="118"/>
      <c r="MYB129" s="118"/>
      <c r="MYC129" s="118"/>
      <c r="MYD129" s="118"/>
      <c r="MYE129" s="118"/>
      <c r="MYF129" s="118"/>
      <c r="MYG129" s="118"/>
      <c r="MYH129" s="118"/>
      <c r="MYI129" s="118"/>
      <c r="MYJ129" s="118"/>
      <c r="MYK129" s="118"/>
      <c r="MYL129" s="118"/>
      <c r="MYM129" s="118"/>
      <c r="MYN129" s="118"/>
      <c r="MYO129" s="118"/>
      <c r="MYP129" s="118"/>
      <c r="MYQ129" s="118"/>
      <c r="MYR129" s="118"/>
      <c r="MYS129" s="118"/>
      <c r="MYT129" s="118"/>
      <c r="MYU129" s="118"/>
      <c r="MYV129" s="118"/>
      <c r="MYW129" s="118"/>
      <c r="MYX129" s="118"/>
      <c r="MYY129" s="118"/>
      <c r="MYZ129" s="118"/>
      <c r="MZA129" s="118"/>
      <c r="MZB129" s="118"/>
      <c r="MZC129" s="118"/>
      <c r="MZD129" s="118"/>
      <c r="MZE129" s="118"/>
      <c r="MZF129" s="118"/>
      <c r="MZG129" s="118"/>
      <c r="MZH129" s="118"/>
      <c r="MZI129" s="118"/>
      <c r="MZJ129" s="118"/>
      <c r="MZK129" s="118"/>
      <c r="MZL129" s="118"/>
      <c r="MZM129" s="118"/>
      <c r="MZN129" s="118"/>
      <c r="MZO129" s="118"/>
      <c r="MZP129" s="118"/>
      <c r="MZQ129" s="118"/>
      <c r="MZR129" s="118"/>
      <c r="MZS129" s="118"/>
      <c r="MZT129" s="118"/>
      <c r="MZU129" s="118"/>
      <c r="MZV129" s="118"/>
      <c r="MZW129" s="118"/>
      <c r="MZX129" s="118"/>
      <c r="MZY129" s="118"/>
      <c r="MZZ129" s="118"/>
      <c r="NAA129" s="118"/>
      <c r="NAB129" s="118"/>
      <c r="NAC129" s="118"/>
      <c r="NAD129" s="118"/>
      <c r="NAE129" s="118"/>
      <c r="NAF129" s="118"/>
      <c r="NAG129" s="118"/>
      <c r="NAH129" s="118"/>
      <c r="NAI129" s="118"/>
      <c r="NAJ129" s="118"/>
      <c r="NAK129" s="118"/>
      <c r="NAL129" s="118"/>
      <c r="NAM129" s="118"/>
      <c r="NAN129" s="118"/>
      <c r="NAO129" s="118"/>
      <c r="NAP129" s="118"/>
      <c r="NAQ129" s="118"/>
      <c r="NAR129" s="118"/>
      <c r="NAS129" s="118"/>
      <c r="NAT129" s="118"/>
      <c r="NAU129" s="118"/>
      <c r="NAV129" s="118"/>
      <c r="NAW129" s="118"/>
      <c r="NAX129" s="118"/>
      <c r="NAY129" s="118"/>
      <c r="NAZ129" s="118"/>
      <c r="NBA129" s="118"/>
      <c r="NBB129" s="118"/>
      <c r="NBC129" s="118"/>
      <c r="NBD129" s="118"/>
      <c r="NBE129" s="118"/>
      <c r="NBF129" s="118"/>
      <c r="NBG129" s="118"/>
      <c r="NBH129" s="118"/>
      <c r="NBI129" s="118"/>
      <c r="NBJ129" s="118"/>
      <c r="NBK129" s="118"/>
      <c r="NBL129" s="118"/>
      <c r="NBM129" s="118"/>
      <c r="NBN129" s="118"/>
      <c r="NBO129" s="118"/>
      <c r="NBP129" s="118"/>
      <c r="NBQ129" s="118"/>
      <c r="NBR129" s="118"/>
      <c r="NBS129" s="118"/>
      <c r="NBT129" s="118"/>
      <c r="NBU129" s="118"/>
      <c r="NBV129" s="118"/>
      <c r="NBW129" s="118"/>
      <c r="NBX129" s="118"/>
      <c r="NBY129" s="118"/>
      <c r="NBZ129" s="118"/>
      <c r="NCA129" s="118"/>
      <c r="NCB129" s="118"/>
      <c r="NCC129" s="118"/>
      <c r="NCD129" s="118"/>
      <c r="NCE129" s="118"/>
      <c r="NCF129" s="118"/>
      <c r="NCG129" s="118"/>
      <c r="NCH129" s="118"/>
      <c r="NCI129" s="118"/>
      <c r="NCJ129" s="118"/>
      <c r="NCK129" s="118"/>
      <c r="NCL129" s="118"/>
      <c r="NCM129" s="118"/>
      <c r="NCN129" s="118"/>
      <c r="NCO129" s="118"/>
      <c r="NCP129" s="118"/>
      <c r="NCQ129" s="118"/>
      <c r="NCR129" s="118"/>
      <c r="NCS129" s="118"/>
      <c r="NCT129" s="118"/>
      <c r="NCU129" s="118"/>
      <c r="NCV129" s="118"/>
      <c r="NCW129" s="118"/>
      <c r="NCX129" s="118"/>
      <c r="NCY129" s="118"/>
      <c r="NCZ129" s="118"/>
      <c r="NDA129" s="118"/>
      <c r="NDB129" s="118"/>
      <c r="NDC129" s="118"/>
      <c r="NDD129" s="118"/>
      <c r="NDE129" s="118"/>
      <c r="NDF129" s="118"/>
      <c r="NDG129" s="118"/>
      <c r="NDH129" s="118"/>
      <c r="NDI129" s="118"/>
      <c r="NDJ129" s="118"/>
      <c r="NDK129" s="118"/>
      <c r="NDL129" s="118"/>
      <c r="NDM129" s="118"/>
      <c r="NDN129" s="118"/>
      <c r="NDO129" s="118"/>
      <c r="NDP129" s="118"/>
      <c r="NDQ129" s="118"/>
      <c r="NDR129" s="118"/>
      <c r="NDS129" s="118"/>
      <c r="NDT129" s="118"/>
      <c r="NDU129" s="118"/>
      <c r="NDV129" s="118"/>
      <c r="NDW129" s="118"/>
      <c r="NDX129" s="118"/>
      <c r="NDY129" s="118"/>
      <c r="NDZ129" s="118"/>
      <c r="NEA129" s="118"/>
      <c r="NEB129" s="118"/>
      <c r="NEC129" s="118"/>
      <c r="NED129" s="118"/>
      <c r="NEE129" s="118"/>
      <c r="NEF129" s="118"/>
      <c r="NEG129" s="118"/>
      <c r="NEH129" s="118"/>
      <c r="NEI129" s="118"/>
      <c r="NEJ129" s="118"/>
      <c r="NEK129" s="118"/>
      <c r="NEL129" s="118"/>
      <c r="NEM129" s="118"/>
      <c r="NEN129" s="118"/>
      <c r="NEO129" s="118"/>
      <c r="NEP129" s="118"/>
      <c r="NEQ129" s="118"/>
      <c r="NER129" s="118"/>
      <c r="NES129" s="118"/>
      <c r="NET129" s="118"/>
      <c r="NEU129" s="118"/>
      <c r="NEV129" s="118"/>
      <c r="NEW129" s="118"/>
      <c r="NEX129" s="118"/>
      <c r="NEY129" s="118"/>
      <c r="NEZ129" s="118"/>
      <c r="NFA129" s="118"/>
      <c r="NFB129" s="118"/>
      <c r="NFC129" s="118"/>
      <c r="NFD129" s="118"/>
      <c r="NFE129" s="118"/>
      <c r="NFF129" s="118"/>
      <c r="NFG129" s="118"/>
      <c r="NFH129" s="118"/>
      <c r="NFI129" s="118"/>
      <c r="NFJ129" s="118"/>
      <c r="NFK129" s="118"/>
      <c r="NFL129" s="118"/>
      <c r="NFM129" s="118"/>
      <c r="NFN129" s="118"/>
      <c r="NFO129" s="118"/>
      <c r="NFP129" s="118"/>
      <c r="NFQ129" s="118"/>
      <c r="NFR129" s="118"/>
      <c r="NFS129" s="118"/>
      <c r="NFT129" s="118"/>
      <c r="NFU129" s="118"/>
      <c r="NFV129" s="118"/>
      <c r="NFW129" s="118"/>
      <c r="NFX129" s="118"/>
      <c r="NFY129" s="118"/>
      <c r="NFZ129" s="118"/>
      <c r="NGA129" s="118"/>
      <c r="NGB129" s="118"/>
      <c r="NGC129" s="118"/>
      <c r="NGD129" s="118"/>
      <c r="NGE129" s="118"/>
      <c r="NGF129" s="118"/>
      <c r="NGG129" s="118"/>
      <c r="NGH129" s="118"/>
      <c r="NGI129" s="118"/>
      <c r="NGJ129" s="118"/>
      <c r="NGK129" s="118"/>
      <c r="NGL129" s="118"/>
      <c r="NGM129" s="118"/>
      <c r="NGN129" s="118"/>
      <c r="NGO129" s="118"/>
      <c r="NGP129" s="118"/>
      <c r="NGQ129" s="118"/>
      <c r="NGR129" s="118"/>
      <c r="NGS129" s="118"/>
      <c r="NGT129" s="118"/>
      <c r="NGU129" s="118"/>
      <c r="NGV129" s="118"/>
      <c r="NGW129" s="118"/>
      <c r="NGX129" s="118"/>
      <c r="NGY129" s="118"/>
      <c r="NGZ129" s="118"/>
      <c r="NHA129" s="118"/>
      <c r="NHB129" s="118"/>
      <c r="NHC129" s="118"/>
      <c r="NHD129" s="118"/>
      <c r="NHE129" s="118"/>
      <c r="NHF129" s="118"/>
      <c r="NHG129" s="118"/>
      <c r="NHH129" s="118"/>
      <c r="NHI129" s="118"/>
      <c r="NHJ129" s="118"/>
      <c r="NHK129" s="118"/>
      <c r="NHL129" s="118"/>
      <c r="NHM129" s="118"/>
      <c r="NHN129" s="118"/>
      <c r="NHO129" s="118"/>
      <c r="NHP129" s="118"/>
      <c r="NHQ129" s="118"/>
      <c r="NHR129" s="118"/>
      <c r="NHS129" s="118"/>
      <c r="NHT129" s="118"/>
      <c r="NHU129" s="118"/>
      <c r="NHV129" s="118"/>
      <c r="NHW129" s="118"/>
      <c r="NHX129" s="118"/>
      <c r="NHY129" s="118"/>
      <c r="NHZ129" s="118"/>
      <c r="NIA129" s="118"/>
      <c r="NIB129" s="118"/>
      <c r="NIC129" s="118"/>
      <c r="NID129" s="118"/>
      <c r="NIE129" s="118"/>
      <c r="NIF129" s="118"/>
      <c r="NIG129" s="118"/>
      <c r="NIH129" s="118"/>
      <c r="NII129" s="118"/>
      <c r="NIJ129" s="118"/>
      <c r="NIK129" s="118"/>
      <c r="NIL129" s="118"/>
      <c r="NIM129" s="118"/>
      <c r="NIN129" s="118"/>
      <c r="NIO129" s="118"/>
      <c r="NIP129" s="118"/>
      <c r="NIQ129" s="118"/>
      <c r="NIR129" s="118"/>
      <c r="NIS129" s="118"/>
      <c r="NIT129" s="118"/>
      <c r="NIU129" s="118"/>
      <c r="NIV129" s="118"/>
      <c r="NIW129" s="118"/>
      <c r="NIX129" s="118"/>
      <c r="NIY129" s="118"/>
      <c r="NIZ129" s="118"/>
      <c r="NJA129" s="118"/>
      <c r="NJB129" s="118"/>
      <c r="NJC129" s="118"/>
      <c r="NJD129" s="118"/>
      <c r="NJE129" s="118"/>
      <c r="NJF129" s="118"/>
      <c r="NJG129" s="118"/>
      <c r="NJH129" s="118"/>
      <c r="NJI129" s="118"/>
      <c r="NJJ129" s="118"/>
      <c r="NJK129" s="118"/>
      <c r="NJL129" s="118"/>
      <c r="NJM129" s="118"/>
      <c r="NJN129" s="118"/>
      <c r="NJO129" s="118"/>
      <c r="NJP129" s="118"/>
      <c r="NJQ129" s="118"/>
      <c r="NJR129" s="118"/>
      <c r="NJS129" s="118"/>
      <c r="NJT129" s="118"/>
      <c r="NJU129" s="118"/>
      <c r="NJV129" s="118"/>
      <c r="NJW129" s="118"/>
      <c r="NJX129" s="118"/>
      <c r="NJY129" s="118"/>
      <c r="NJZ129" s="118"/>
      <c r="NKA129" s="118"/>
      <c r="NKB129" s="118"/>
      <c r="NKC129" s="118"/>
      <c r="NKD129" s="118"/>
      <c r="NKE129" s="118"/>
      <c r="NKF129" s="118"/>
      <c r="NKG129" s="118"/>
      <c r="NKH129" s="118"/>
      <c r="NKI129" s="118"/>
      <c r="NKJ129" s="118"/>
      <c r="NKK129" s="118"/>
      <c r="NKL129" s="118"/>
      <c r="NKM129" s="118"/>
      <c r="NKN129" s="118"/>
      <c r="NKO129" s="118"/>
      <c r="NKP129" s="118"/>
      <c r="NKQ129" s="118"/>
      <c r="NKR129" s="118"/>
      <c r="NKS129" s="118"/>
      <c r="NKT129" s="118"/>
      <c r="NKU129" s="118"/>
      <c r="NKV129" s="118"/>
      <c r="NKW129" s="118"/>
      <c r="NKX129" s="118"/>
      <c r="NKY129" s="118"/>
      <c r="NKZ129" s="118"/>
      <c r="NLA129" s="118"/>
      <c r="NLB129" s="118"/>
      <c r="NLC129" s="118"/>
      <c r="NLD129" s="118"/>
      <c r="NLE129" s="118"/>
      <c r="NLF129" s="118"/>
      <c r="NLG129" s="118"/>
      <c r="NLH129" s="118"/>
      <c r="NLI129" s="118"/>
      <c r="NLJ129" s="118"/>
      <c r="NLK129" s="118"/>
      <c r="NLL129" s="118"/>
      <c r="NLM129" s="118"/>
      <c r="NLN129" s="118"/>
      <c r="NLO129" s="118"/>
      <c r="NLP129" s="118"/>
      <c r="NLQ129" s="118"/>
      <c r="NLR129" s="118"/>
      <c r="NLS129" s="118"/>
      <c r="NLT129" s="118"/>
      <c r="NLU129" s="118"/>
      <c r="NLV129" s="118"/>
      <c r="NLW129" s="118"/>
      <c r="NLX129" s="118"/>
      <c r="NLY129" s="118"/>
      <c r="NLZ129" s="118"/>
      <c r="NMA129" s="118"/>
      <c r="NMB129" s="118"/>
      <c r="NMC129" s="118"/>
      <c r="NMD129" s="118"/>
      <c r="NME129" s="118"/>
      <c r="NMF129" s="118"/>
      <c r="NMG129" s="118"/>
      <c r="NMH129" s="118"/>
      <c r="NMI129" s="118"/>
      <c r="NMJ129" s="118"/>
      <c r="NMK129" s="118"/>
      <c r="NML129" s="118"/>
      <c r="NMM129" s="118"/>
      <c r="NMN129" s="118"/>
      <c r="NMO129" s="118"/>
      <c r="NMP129" s="118"/>
      <c r="NMQ129" s="118"/>
      <c r="NMR129" s="118"/>
      <c r="NMS129" s="118"/>
      <c r="NMT129" s="118"/>
      <c r="NMU129" s="118"/>
      <c r="NMV129" s="118"/>
      <c r="NMW129" s="118"/>
      <c r="NMX129" s="118"/>
      <c r="NMY129" s="118"/>
      <c r="NMZ129" s="118"/>
      <c r="NNA129" s="118"/>
      <c r="NNB129" s="118"/>
      <c r="NNC129" s="118"/>
      <c r="NND129" s="118"/>
      <c r="NNE129" s="118"/>
      <c r="NNF129" s="118"/>
      <c r="NNG129" s="118"/>
      <c r="NNH129" s="118"/>
      <c r="NNI129" s="118"/>
      <c r="NNJ129" s="118"/>
      <c r="NNK129" s="118"/>
      <c r="NNL129" s="118"/>
      <c r="NNM129" s="118"/>
      <c r="NNN129" s="118"/>
      <c r="NNO129" s="118"/>
      <c r="NNP129" s="118"/>
      <c r="NNQ129" s="118"/>
      <c r="NNR129" s="118"/>
      <c r="NNS129" s="118"/>
      <c r="NNT129" s="118"/>
      <c r="NNU129" s="118"/>
      <c r="NNV129" s="118"/>
      <c r="NNW129" s="118"/>
      <c r="NNX129" s="118"/>
      <c r="NNY129" s="118"/>
      <c r="NNZ129" s="118"/>
      <c r="NOA129" s="118"/>
      <c r="NOB129" s="118"/>
      <c r="NOC129" s="118"/>
      <c r="NOD129" s="118"/>
      <c r="NOE129" s="118"/>
      <c r="NOF129" s="118"/>
      <c r="NOG129" s="118"/>
      <c r="NOH129" s="118"/>
      <c r="NOI129" s="118"/>
      <c r="NOJ129" s="118"/>
      <c r="NOK129" s="118"/>
      <c r="NOL129" s="118"/>
      <c r="NOM129" s="118"/>
      <c r="NON129" s="118"/>
      <c r="NOO129" s="118"/>
      <c r="NOP129" s="118"/>
      <c r="NOQ129" s="118"/>
      <c r="NOR129" s="118"/>
      <c r="NOS129" s="118"/>
      <c r="NOT129" s="118"/>
      <c r="NOU129" s="118"/>
      <c r="NOV129" s="118"/>
      <c r="NOW129" s="118"/>
      <c r="NOX129" s="118"/>
      <c r="NOY129" s="118"/>
      <c r="NOZ129" s="118"/>
      <c r="NPA129" s="118"/>
      <c r="NPB129" s="118"/>
      <c r="NPC129" s="118"/>
      <c r="NPD129" s="118"/>
      <c r="NPE129" s="118"/>
      <c r="NPF129" s="118"/>
      <c r="NPG129" s="118"/>
      <c r="NPH129" s="118"/>
      <c r="NPI129" s="118"/>
      <c r="NPJ129" s="118"/>
      <c r="NPK129" s="118"/>
      <c r="NPL129" s="118"/>
      <c r="NPM129" s="118"/>
      <c r="NPN129" s="118"/>
      <c r="NPO129" s="118"/>
      <c r="NPP129" s="118"/>
      <c r="NPQ129" s="118"/>
      <c r="NPR129" s="118"/>
      <c r="NPS129" s="118"/>
      <c r="NPT129" s="118"/>
      <c r="NPU129" s="118"/>
      <c r="NPV129" s="118"/>
      <c r="NPW129" s="118"/>
      <c r="NPX129" s="118"/>
      <c r="NPY129" s="118"/>
      <c r="NPZ129" s="118"/>
      <c r="NQA129" s="118"/>
      <c r="NQB129" s="118"/>
      <c r="NQC129" s="118"/>
      <c r="NQD129" s="118"/>
      <c r="NQE129" s="118"/>
      <c r="NQF129" s="118"/>
      <c r="NQG129" s="118"/>
      <c r="NQH129" s="118"/>
      <c r="NQI129" s="118"/>
      <c r="NQJ129" s="118"/>
      <c r="NQK129" s="118"/>
      <c r="NQL129" s="118"/>
      <c r="NQM129" s="118"/>
      <c r="NQN129" s="118"/>
      <c r="NQO129" s="118"/>
      <c r="NQP129" s="118"/>
      <c r="NQQ129" s="118"/>
      <c r="NQR129" s="118"/>
      <c r="NQS129" s="118"/>
      <c r="NQT129" s="118"/>
      <c r="NQU129" s="118"/>
      <c r="NQV129" s="118"/>
      <c r="NQW129" s="118"/>
      <c r="NQX129" s="118"/>
      <c r="NQY129" s="118"/>
      <c r="NQZ129" s="118"/>
      <c r="NRA129" s="118"/>
      <c r="NRB129" s="118"/>
      <c r="NRC129" s="118"/>
      <c r="NRD129" s="118"/>
      <c r="NRE129" s="118"/>
      <c r="NRF129" s="118"/>
      <c r="NRG129" s="118"/>
      <c r="NRH129" s="118"/>
      <c r="NRI129" s="118"/>
      <c r="NRJ129" s="118"/>
      <c r="NRK129" s="118"/>
      <c r="NRL129" s="118"/>
      <c r="NRM129" s="118"/>
      <c r="NRN129" s="118"/>
      <c r="NRO129" s="118"/>
      <c r="NRP129" s="118"/>
      <c r="NRQ129" s="118"/>
      <c r="NRR129" s="118"/>
      <c r="NRS129" s="118"/>
      <c r="NRT129" s="118"/>
      <c r="NRU129" s="118"/>
      <c r="NRV129" s="118"/>
      <c r="NRW129" s="118"/>
      <c r="NRX129" s="118"/>
      <c r="NRY129" s="118"/>
      <c r="NRZ129" s="118"/>
      <c r="NSA129" s="118"/>
      <c r="NSB129" s="118"/>
      <c r="NSC129" s="118"/>
      <c r="NSD129" s="118"/>
      <c r="NSE129" s="118"/>
      <c r="NSF129" s="118"/>
      <c r="NSG129" s="118"/>
      <c r="NSH129" s="118"/>
      <c r="NSI129" s="118"/>
      <c r="NSJ129" s="118"/>
      <c r="NSK129" s="118"/>
      <c r="NSL129" s="118"/>
      <c r="NSM129" s="118"/>
      <c r="NSN129" s="118"/>
      <c r="NSO129" s="118"/>
      <c r="NSP129" s="118"/>
      <c r="NSQ129" s="118"/>
      <c r="NSR129" s="118"/>
      <c r="NSS129" s="118"/>
      <c r="NST129" s="118"/>
      <c r="NSU129" s="118"/>
      <c r="NSV129" s="118"/>
      <c r="NSW129" s="118"/>
      <c r="NSX129" s="118"/>
      <c r="NSY129" s="118"/>
      <c r="NSZ129" s="118"/>
      <c r="NTA129" s="118"/>
      <c r="NTB129" s="118"/>
      <c r="NTC129" s="118"/>
      <c r="NTD129" s="118"/>
      <c r="NTE129" s="118"/>
      <c r="NTF129" s="118"/>
      <c r="NTG129" s="118"/>
      <c r="NTH129" s="118"/>
      <c r="NTI129" s="118"/>
      <c r="NTJ129" s="118"/>
      <c r="NTK129" s="118"/>
      <c r="NTL129" s="118"/>
      <c r="NTM129" s="118"/>
      <c r="NTN129" s="118"/>
      <c r="NTO129" s="118"/>
      <c r="NTP129" s="118"/>
      <c r="NTQ129" s="118"/>
      <c r="NTR129" s="118"/>
      <c r="NTS129" s="118"/>
      <c r="NTT129" s="118"/>
      <c r="NTU129" s="118"/>
      <c r="NTV129" s="118"/>
      <c r="NTW129" s="118"/>
      <c r="NTX129" s="118"/>
      <c r="NTY129" s="118"/>
      <c r="NTZ129" s="118"/>
      <c r="NUA129" s="118"/>
      <c r="NUB129" s="118"/>
      <c r="NUC129" s="118"/>
      <c r="NUD129" s="118"/>
      <c r="NUE129" s="118"/>
      <c r="NUF129" s="118"/>
      <c r="NUG129" s="118"/>
      <c r="NUH129" s="118"/>
      <c r="NUI129" s="118"/>
      <c r="NUJ129" s="118"/>
      <c r="NUK129" s="118"/>
      <c r="NUL129" s="118"/>
      <c r="NUM129" s="118"/>
      <c r="NUN129" s="118"/>
      <c r="NUO129" s="118"/>
      <c r="NUP129" s="118"/>
      <c r="NUQ129" s="118"/>
      <c r="NUR129" s="118"/>
      <c r="NUS129" s="118"/>
      <c r="NUT129" s="118"/>
      <c r="NUU129" s="118"/>
      <c r="NUV129" s="118"/>
      <c r="NUW129" s="118"/>
      <c r="NUX129" s="118"/>
      <c r="NUY129" s="118"/>
      <c r="NUZ129" s="118"/>
      <c r="NVA129" s="118"/>
      <c r="NVB129" s="118"/>
      <c r="NVC129" s="118"/>
      <c r="NVD129" s="118"/>
      <c r="NVE129" s="118"/>
      <c r="NVF129" s="118"/>
      <c r="NVG129" s="118"/>
      <c r="NVH129" s="118"/>
      <c r="NVI129" s="118"/>
      <c r="NVJ129" s="118"/>
      <c r="NVK129" s="118"/>
      <c r="NVL129" s="118"/>
      <c r="NVM129" s="118"/>
      <c r="NVN129" s="118"/>
      <c r="NVO129" s="118"/>
      <c r="NVP129" s="118"/>
      <c r="NVQ129" s="118"/>
      <c r="NVR129" s="118"/>
      <c r="NVS129" s="118"/>
      <c r="NVT129" s="118"/>
      <c r="NVU129" s="118"/>
      <c r="NVV129" s="118"/>
      <c r="NVW129" s="118"/>
      <c r="NVX129" s="118"/>
      <c r="NVY129" s="118"/>
      <c r="NVZ129" s="118"/>
      <c r="NWA129" s="118"/>
      <c r="NWB129" s="118"/>
      <c r="NWC129" s="118"/>
      <c r="NWD129" s="118"/>
      <c r="NWE129" s="118"/>
      <c r="NWF129" s="118"/>
      <c r="NWG129" s="118"/>
      <c r="NWH129" s="118"/>
      <c r="NWI129" s="118"/>
      <c r="NWJ129" s="118"/>
      <c r="NWK129" s="118"/>
      <c r="NWL129" s="118"/>
      <c r="NWM129" s="118"/>
      <c r="NWN129" s="118"/>
      <c r="NWO129" s="118"/>
      <c r="NWP129" s="118"/>
      <c r="NWQ129" s="118"/>
      <c r="NWR129" s="118"/>
      <c r="NWS129" s="118"/>
      <c r="NWT129" s="118"/>
      <c r="NWU129" s="118"/>
      <c r="NWV129" s="118"/>
      <c r="NWW129" s="118"/>
      <c r="NWX129" s="118"/>
      <c r="NWY129" s="118"/>
      <c r="NWZ129" s="118"/>
      <c r="NXA129" s="118"/>
      <c r="NXB129" s="118"/>
      <c r="NXC129" s="118"/>
      <c r="NXD129" s="118"/>
      <c r="NXE129" s="118"/>
      <c r="NXF129" s="118"/>
      <c r="NXG129" s="118"/>
      <c r="NXH129" s="118"/>
      <c r="NXI129" s="118"/>
      <c r="NXJ129" s="118"/>
      <c r="NXK129" s="118"/>
      <c r="NXL129" s="118"/>
      <c r="NXM129" s="118"/>
      <c r="NXN129" s="118"/>
      <c r="NXO129" s="118"/>
      <c r="NXP129" s="118"/>
      <c r="NXQ129" s="118"/>
      <c r="NXR129" s="118"/>
      <c r="NXS129" s="118"/>
      <c r="NXT129" s="118"/>
      <c r="NXU129" s="118"/>
      <c r="NXV129" s="118"/>
      <c r="NXW129" s="118"/>
      <c r="NXX129" s="118"/>
      <c r="NXY129" s="118"/>
      <c r="NXZ129" s="118"/>
      <c r="NYA129" s="118"/>
      <c r="NYB129" s="118"/>
      <c r="NYC129" s="118"/>
      <c r="NYD129" s="118"/>
      <c r="NYE129" s="118"/>
      <c r="NYF129" s="118"/>
      <c r="NYG129" s="118"/>
      <c r="NYH129" s="118"/>
      <c r="NYI129" s="118"/>
      <c r="NYJ129" s="118"/>
      <c r="NYK129" s="118"/>
      <c r="NYL129" s="118"/>
      <c r="NYM129" s="118"/>
      <c r="NYN129" s="118"/>
      <c r="NYO129" s="118"/>
      <c r="NYP129" s="118"/>
      <c r="NYQ129" s="118"/>
      <c r="NYR129" s="118"/>
      <c r="NYS129" s="118"/>
      <c r="NYT129" s="118"/>
      <c r="NYU129" s="118"/>
      <c r="NYV129" s="118"/>
      <c r="NYW129" s="118"/>
      <c r="NYX129" s="118"/>
      <c r="NYY129" s="118"/>
      <c r="NYZ129" s="118"/>
      <c r="NZA129" s="118"/>
      <c r="NZB129" s="118"/>
      <c r="NZC129" s="118"/>
      <c r="NZD129" s="118"/>
      <c r="NZE129" s="118"/>
      <c r="NZF129" s="118"/>
      <c r="NZG129" s="118"/>
      <c r="NZH129" s="118"/>
      <c r="NZI129" s="118"/>
      <c r="NZJ129" s="118"/>
      <c r="NZK129" s="118"/>
      <c r="NZL129" s="118"/>
      <c r="NZM129" s="118"/>
      <c r="NZN129" s="118"/>
      <c r="NZO129" s="118"/>
      <c r="NZP129" s="118"/>
      <c r="NZQ129" s="118"/>
      <c r="NZR129" s="118"/>
      <c r="NZS129" s="118"/>
      <c r="NZT129" s="118"/>
      <c r="NZU129" s="118"/>
      <c r="NZV129" s="118"/>
      <c r="NZW129" s="118"/>
      <c r="NZX129" s="118"/>
      <c r="NZY129" s="118"/>
      <c r="NZZ129" s="118"/>
      <c r="OAA129" s="118"/>
      <c r="OAB129" s="118"/>
      <c r="OAC129" s="118"/>
      <c r="OAD129" s="118"/>
      <c r="OAE129" s="118"/>
      <c r="OAF129" s="118"/>
      <c r="OAG129" s="118"/>
      <c r="OAH129" s="118"/>
      <c r="OAI129" s="118"/>
      <c r="OAJ129" s="118"/>
      <c r="OAK129" s="118"/>
      <c r="OAL129" s="118"/>
      <c r="OAM129" s="118"/>
      <c r="OAN129" s="118"/>
      <c r="OAO129" s="118"/>
      <c r="OAP129" s="118"/>
      <c r="OAQ129" s="118"/>
      <c r="OAR129" s="118"/>
      <c r="OAS129" s="118"/>
      <c r="OAT129" s="118"/>
      <c r="OAU129" s="118"/>
      <c r="OAV129" s="118"/>
      <c r="OAW129" s="118"/>
      <c r="OAX129" s="118"/>
      <c r="OAY129" s="118"/>
      <c r="OAZ129" s="118"/>
      <c r="OBA129" s="118"/>
      <c r="OBB129" s="118"/>
      <c r="OBC129" s="118"/>
      <c r="OBD129" s="118"/>
      <c r="OBE129" s="118"/>
      <c r="OBF129" s="118"/>
      <c r="OBG129" s="118"/>
      <c r="OBH129" s="118"/>
      <c r="OBI129" s="118"/>
      <c r="OBJ129" s="118"/>
      <c r="OBK129" s="118"/>
      <c r="OBL129" s="118"/>
      <c r="OBM129" s="118"/>
      <c r="OBN129" s="118"/>
      <c r="OBO129" s="118"/>
      <c r="OBP129" s="118"/>
      <c r="OBQ129" s="118"/>
      <c r="OBR129" s="118"/>
      <c r="OBS129" s="118"/>
      <c r="OBT129" s="118"/>
      <c r="OBU129" s="118"/>
      <c r="OBV129" s="118"/>
      <c r="OBW129" s="118"/>
      <c r="OBX129" s="118"/>
      <c r="OBY129" s="118"/>
      <c r="OBZ129" s="118"/>
      <c r="OCA129" s="118"/>
      <c r="OCB129" s="118"/>
      <c r="OCC129" s="118"/>
      <c r="OCD129" s="118"/>
      <c r="OCE129" s="118"/>
      <c r="OCF129" s="118"/>
      <c r="OCG129" s="118"/>
      <c r="OCH129" s="118"/>
      <c r="OCI129" s="118"/>
      <c r="OCJ129" s="118"/>
      <c r="OCK129" s="118"/>
      <c r="OCL129" s="118"/>
      <c r="OCM129" s="118"/>
      <c r="OCN129" s="118"/>
      <c r="OCO129" s="118"/>
      <c r="OCP129" s="118"/>
      <c r="OCQ129" s="118"/>
      <c r="OCR129" s="118"/>
      <c r="OCS129" s="118"/>
      <c r="OCT129" s="118"/>
      <c r="OCU129" s="118"/>
      <c r="OCV129" s="118"/>
      <c r="OCW129" s="118"/>
      <c r="OCX129" s="118"/>
      <c r="OCY129" s="118"/>
      <c r="OCZ129" s="118"/>
      <c r="ODA129" s="118"/>
      <c r="ODB129" s="118"/>
      <c r="ODC129" s="118"/>
      <c r="ODD129" s="118"/>
      <c r="ODE129" s="118"/>
      <c r="ODF129" s="118"/>
      <c r="ODG129" s="118"/>
      <c r="ODH129" s="118"/>
      <c r="ODI129" s="118"/>
      <c r="ODJ129" s="118"/>
      <c r="ODK129" s="118"/>
      <c r="ODL129" s="118"/>
      <c r="ODM129" s="118"/>
      <c r="ODN129" s="118"/>
      <c r="ODO129" s="118"/>
      <c r="ODP129" s="118"/>
      <c r="ODQ129" s="118"/>
      <c r="ODR129" s="118"/>
      <c r="ODS129" s="118"/>
      <c r="ODT129" s="118"/>
      <c r="ODU129" s="118"/>
      <c r="ODV129" s="118"/>
      <c r="ODW129" s="118"/>
      <c r="ODX129" s="118"/>
      <c r="ODY129" s="118"/>
      <c r="ODZ129" s="118"/>
      <c r="OEA129" s="118"/>
      <c r="OEB129" s="118"/>
      <c r="OEC129" s="118"/>
      <c r="OED129" s="118"/>
      <c r="OEE129" s="118"/>
      <c r="OEF129" s="118"/>
      <c r="OEG129" s="118"/>
      <c r="OEH129" s="118"/>
      <c r="OEI129" s="118"/>
      <c r="OEJ129" s="118"/>
      <c r="OEK129" s="118"/>
      <c r="OEL129" s="118"/>
      <c r="OEM129" s="118"/>
      <c r="OEN129" s="118"/>
      <c r="OEO129" s="118"/>
      <c r="OEP129" s="118"/>
      <c r="OEQ129" s="118"/>
      <c r="OER129" s="118"/>
      <c r="OES129" s="118"/>
      <c r="OET129" s="118"/>
      <c r="OEU129" s="118"/>
      <c r="OEV129" s="118"/>
      <c r="OEW129" s="118"/>
      <c r="OEX129" s="118"/>
      <c r="OEY129" s="118"/>
      <c r="OEZ129" s="118"/>
      <c r="OFA129" s="118"/>
      <c r="OFB129" s="118"/>
      <c r="OFC129" s="118"/>
      <c r="OFD129" s="118"/>
      <c r="OFE129" s="118"/>
      <c r="OFF129" s="118"/>
      <c r="OFG129" s="118"/>
      <c r="OFH129" s="118"/>
      <c r="OFI129" s="118"/>
      <c r="OFJ129" s="118"/>
      <c r="OFK129" s="118"/>
      <c r="OFL129" s="118"/>
      <c r="OFM129" s="118"/>
      <c r="OFN129" s="118"/>
      <c r="OFO129" s="118"/>
      <c r="OFP129" s="118"/>
      <c r="OFQ129" s="118"/>
      <c r="OFR129" s="118"/>
      <c r="OFS129" s="118"/>
      <c r="OFT129" s="118"/>
      <c r="OFU129" s="118"/>
      <c r="OFV129" s="118"/>
      <c r="OFW129" s="118"/>
      <c r="OFX129" s="118"/>
      <c r="OFY129" s="118"/>
      <c r="OFZ129" s="118"/>
      <c r="OGA129" s="118"/>
      <c r="OGB129" s="118"/>
      <c r="OGC129" s="118"/>
      <c r="OGD129" s="118"/>
      <c r="OGE129" s="118"/>
      <c r="OGF129" s="118"/>
      <c r="OGG129" s="118"/>
      <c r="OGH129" s="118"/>
      <c r="OGI129" s="118"/>
      <c r="OGJ129" s="118"/>
      <c r="OGK129" s="118"/>
      <c r="OGL129" s="118"/>
      <c r="OGM129" s="118"/>
      <c r="OGN129" s="118"/>
      <c r="OGO129" s="118"/>
      <c r="OGP129" s="118"/>
      <c r="OGQ129" s="118"/>
      <c r="OGR129" s="118"/>
      <c r="OGS129" s="118"/>
      <c r="OGT129" s="118"/>
      <c r="OGU129" s="118"/>
      <c r="OGV129" s="118"/>
      <c r="OGW129" s="118"/>
      <c r="OGX129" s="118"/>
      <c r="OGY129" s="118"/>
      <c r="OGZ129" s="118"/>
      <c r="OHA129" s="118"/>
      <c r="OHB129" s="118"/>
      <c r="OHC129" s="118"/>
      <c r="OHD129" s="118"/>
      <c r="OHE129" s="118"/>
      <c r="OHF129" s="118"/>
      <c r="OHG129" s="118"/>
      <c r="OHH129" s="118"/>
      <c r="OHI129" s="118"/>
      <c r="OHJ129" s="118"/>
      <c r="OHK129" s="118"/>
      <c r="OHL129" s="118"/>
      <c r="OHM129" s="118"/>
      <c r="OHN129" s="118"/>
      <c r="OHO129" s="118"/>
      <c r="OHP129" s="118"/>
      <c r="OHQ129" s="118"/>
      <c r="OHR129" s="118"/>
      <c r="OHS129" s="118"/>
      <c r="OHT129" s="118"/>
      <c r="OHU129" s="118"/>
      <c r="OHV129" s="118"/>
      <c r="OHW129" s="118"/>
      <c r="OHX129" s="118"/>
      <c r="OHY129" s="118"/>
      <c r="OHZ129" s="118"/>
      <c r="OIA129" s="118"/>
      <c r="OIB129" s="118"/>
      <c r="OIC129" s="118"/>
      <c r="OID129" s="118"/>
      <c r="OIE129" s="118"/>
      <c r="OIF129" s="118"/>
      <c r="OIG129" s="118"/>
      <c r="OIH129" s="118"/>
      <c r="OII129" s="118"/>
      <c r="OIJ129" s="118"/>
      <c r="OIK129" s="118"/>
      <c r="OIL129" s="118"/>
      <c r="OIM129" s="118"/>
      <c r="OIN129" s="118"/>
      <c r="OIO129" s="118"/>
      <c r="OIP129" s="118"/>
      <c r="OIQ129" s="118"/>
      <c r="OIR129" s="118"/>
      <c r="OIS129" s="118"/>
      <c r="OIT129" s="118"/>
      <c r="OIU129" s="118"/>
      <c r="OIV129" s="118"/>
      <c r="OIW129" s="118"/>
      <c r="OIX129" s="118"/>
      <c r="OIY129" s="118"/>
      <c r="OIZ129" s="118"/>
      <c r="OJA129" s="118"/>
      <c r="OJB129" s="118"/>
      <c r="OJC129" s="118"/>
      <c r="OJD129" s="118"/>
      <c r="OJE129" s="118"/>
      <c r="OJF129" s="118"/>
      <c r="OJG129" s="118"/>
      <c r="OJH129" s="118"/>
      <c r="OJI129" s="118"/>
      <c r="OJJ129" s="118"/>
      <c r="OJK129" s="118"/>
      <c r="OJL129" s="118"/>
      <c r="OJM129" s="118"/>
      <c r="OJN129" s="118"/>
      <c r="OJO129" s="118"/>
      <c r="OJP129" s="118"/>
      <c r="OJQ129" s="118"/>
      <c r="OJR129" s="118"/>
      <c r="OJS129" s="118"/>
      <c r="OJT129" s="118"/>
      <c r="OJU129" s="118"/>
      <c r="OJV129" s="118"/>
      <c r="OJW129" s="118"/>
      <c r="OJX129" s="118"/>
      <c r="OJY129" s="118"/>
      <c r="OJZ129" s="118"/>
      <c r="OKA129" s="118"/>
      <c r="OKB129" s="118"/>
      <c r="OKC129" s="118"/>
      <c r="OKD129" s="118"/>
      <c r="OKE129" s="118"/>
      <c r="OKF129" s="118"/>
      <c r="OKG129" s="118"/>
      <c r="OKH129" s="118"/>
      <c r="OKI129" s="118"/>
      <c r="OKJ129" s="118"/>
      <c r="OKK129" s="118"/>
      <c r="OKL129" s="118"/>
      <c r="OKM129" s="118"/>
      <c r="OKN129" s="118"/>
      <c r="OKO129" s="118"/>
      <c r="OKP129" s="118"/>
      <c r="OKQ129" s="118"/>
      <c r="OKR129" s="118"/>
      <c r="OKS129" s="118"/>
      <c r="OKT129" s="118"/>
      <c r="OKU129" s="118"/>
      <c r="OKV129" s="118"/>
      <c r="OKW129" s="118"/>
      <c r="OKX129" s="118"/>
      <c r="OKY129" s="118"/>
      <c r="OKZ129" s="118"/>
      <c r="OLA129" s="118"/>
      <c r="OLB129" s="118"/>
      <c r="OLC129" s="118"/>
      <c r="OLD129" s="118"/>
      <c r="OLE129" s="118"/>
      <c r="OLF129" s="118"/>
      <c r="OLG129" s="118"/>
      <c r="OLH129" s="118"/>
      <c r="OLI129" s="118"/>
      <c r="OLJ129" s="118"/>
      <c r="OLK129" s="118"/>
      <c r="OLL129" s="118"/>
      <c r="OLM129" s="118"/>
      <c r="OLN129" s="118"/>
      <c r="OLO129" s="118"/>
      <c r="OLP129" s="118"/>
      <c r="OLQ129" s="118"/>
      <c r="OLR129" s="118"/>
      <c r="OLS129" s="118"/>
      <c r="OLT129" s="118"/>
      <c r="OLU129" s="118"/>
      <c r="OLV129" s="118"/>
      <c r="OLW129" s="118"/>
      <c r="OLX129" s="118"/>
      <c r="OLY129" s="118"/>
      <c r="OLZ129" s="118"/>
      <c r="OMA129" s="118"/>
      <c r="OMB129" s="118"/>
      <c r="OMC129" s="118"/>
      <c r="OMD129" s="118"/>
      <c r="OME129" s="118"/>
      <c r="OMF129" s="118"/>
      <c r="OMG129" s="118"/>
      <c r="OMH129" s="118"/>
      <c r="OMI129" s="118"/>
      <c r="OMJ129" s="118"/>
      <c r="OMK129" s="118"/>
      <c r="OML129" s="118"/>
      <c r="OMM129" s="118"/>
      <c r="OMN129" s="118"/>
      <c r="OMO129" s="118"/>
      <c r="OMP129" s="118"/>
      <c r="OMQ129" s="118"/>
      <c r="OMR129" s="118"/>
      <c r="OMS129" s="118"/>
      <c r="OMT129" s="118"/>
      <c r="OMU129" s="118"/>
      <c r="OMV129" s="118"/>
      <c r="OMW129" s="118"/>
      <c r="OMX129" s="118"/>
      <c r="OMY129" s="118"/>
      <c r="OMZ129" s="118"/>
      <c r="ONA129" s="118"/>
      <c r="ONB129" s="118"/>
      <c r="ONC129" s="118"/>
      <c r="OND129" s="118"/>
      <c r="ONE129" s="118"/>
      <c r="ONF129" s="118"/>
      <c r="ONG129" s="118"/>
      <c r="ONH129" s="118"/>
      <c r="ONI129" s="118"/>
      <c r="ONJ129" s="118"/>
      <c r="ONK129" s="118"/>
      <c r="ONL129" s="118"/>
      <c r="ONM129" s="118"/>
      <c r="ONN129" s="118"/>
      <c r="ONO129" s="118"/>
      <c r="ONP129" s="118"/>
      <c r="ONQ129" s="118"/>
      <c r="ONR129" s="118"/>
      <c r="ONS129" s="118"/>
      <c r="ONT129" s="118"/>
      <c r="ONU129" s="118"/>
      <c r="ONV129" s="118"/>
      <c r="ONW129" s="118"/>
      <c r="ONX129" s="118"/>
      <c r="ONY129" s="118"/>
      <c r="ONZ129" s="118"/>
      <c r="OOA129" s="118"/>
      <c r="OOB129" s="118"/>
      <c r="OOC129" s="118"/>
      <c r="OOD129" s="118"/>
      <c r="OOE129" s="118"/>
      <c r="OOF129" s="118"/>
      <c r="OOG129" s="118"/>
      <c r="OOH129" s="118"/>
      <c r="OOI129" s="118"/>
      <c r="OOJ129" s="118"/>
      <c r="OOK129" s="118"/>
      <c r="OOL129" s="118"/>
      <c r="OOM129" s="118"/>
      <c r="OON129" s="118"/>
      <c r="OOO129" s="118"/>
      <c r="OOP129" s="118"/>
      <c r="OOQ129" s="118"/>
      <c r="OOR129" s="118"/>
      <c r="OOS129" s="118"/>
      <c r="OOT129" s="118"/>
      <c r="OOU129" s="118"/>
      <c r="OOV129" s="118"/>
      <c r="OOW129" s="118"/>
      <c r="OOX129" s="118"/>
      <c r="OOY129" s="118"/>
      <c r="OOZ129" s="118"/>
      <c r="OPA129" s="118"/>
      <c r="OPB129" s="118"/>
      <c r="OPC129" s="118"/>
      <c r="OPD129" s="118"/>
      <c r="OPE129" s="118"/>
      <c r="OPF129" s="118"/>
      <c r="OPG129" s="118"/>
      <c r="OPH129" s="118"/>
      <c r="OPI129" s="118"/>
      <c r="OPJ129" s="118"/>
      <c r="OPK129" s="118"/>
      <c r="OPL129" s="118"/>
      <c r="OPM129" s="118"/>
      <c r="OPN129" s="118"/>
      <c r="OPO129" s="118"/>
      <c r="OPP129" s="118"/>
      <c r="OPQ129" s="118"/>
      <c r="OPR129" s="118"/>
      <c r="OPS129" s="118"/>
      <c r="OPT129" s="118"/>
      <c r="OPU129" s="118"/>
      <c r="OPV129" s="118"/>
      <c r="OPW129" s="118"/>
      <c r="OPX129" s="118"/>
      <c r="OPY129" s="118"/>
      <c r="OPZ129" s="118"/>
      <c r="OQA129" s="118"/>
      <c r="OQB129" s="118"/>
      <c r="OQC129" s="118"/>
      <c r="OQD129" s="118"/>
      <c r="OQE129" s="118"/>
      <c r="OQF129" s="118"/>
      <c r="OQG129" s="118"/>
      <c r="OQH129" s="118"/>
      <c r="OQI129" s="118"/>
      <c r="OQJ129" s="118"/>
      <c r="OQK129" s="118"/>
      <c r="OQL129" s="118"/>
      <c r="OQM129" s="118"/>
      <c r="OQN129" s="118"/>
      <c r="OQO129" s="118"/>
      <c r="OQP129" s="118"/>
      <c r="OQQ129" s="118"/>
      <c r="OQR129" s="118"/>
      <c r="OQS129" s="118"/>
      <c r="OQT129" s="118"/>
      <c r="OQU129" s="118"/>
      <c r="OQV129" s="118"/>
      <c r="OQW129" s="118"/>
      <c r="OQX129" s="118"/>
      <c r="OQY129" s="118"/>
      <c r="OQZ129" s="118"/>
      <c r="ORA129" s="118"/>
      <c r="ORB129" s="118"/>
      <c r="ORC129" s="118"/>
      <c r="ORD129" s="118"/>
      <c r="ORE129" s="118"/>
      <c r="ORF129" s="118"/>
      <c r="ORG129" s="118"/>
      <c r="ORH129" s="118"/>
      <c r="ORI129" s="118"/>
      <c r="ORJ129" s="118"/>
      <c r="ORK129" s="118"/>
      <c r="ORL129" s="118"/>
      <c r="ORM129" s="118"/>
      <c r="ORN129" s="118"/>
      <c r="ORO129" s="118"/>
      <c r="ORP129" s="118"/>
      <c r="ORQ129" s="118"/>
      <c r="ORR129" s="118"/>
      <c r="ORS129" s="118"/>
      <c r="ORT129" s="118"/>
      <c r="ORU129" s="118"/>
      <c r="ORV129" s="118"/>
      <c r="ORW129" s="118"/>
      <c r="ORX129" s="118"/>
      <c r="ORY129" s="118"/>
      <c r="ORZ129" s="118"/>
      <c r="OSA129" s="118"/>
      <c r="OSB129" s="118"/>
      <c r="OSC129" s="118"/>
      <c r="OSD129" s="118"/>
      <c r="OSE129" s="118"/>
      <c r="OSF129" s="118"/>
      <c r="OSG129" s="118"/>
      <c r="OSH129" s="118"/>
      <c r="OSI129" s="118"/>
      <c r="OSJ129" s="118"/>
      <c r="OSK129" s="118"/>
      <c r="OSL129" s="118"/>
      <c r="OSM129" s="118"/>
      <c r="OSN129" s="118"/>
      <c r="OSO129" s="118"/>
      <c r="OSP129" s="118"/>
      <c r="OSQ129" s="118"/>
      <c r="OSR129" s="118"/>
      <c r="OSS129" s="118"/>
      <c r="OST129" s="118"/>
      <c r="OSU129" s="118"/>
      <c r="OSV129" s="118"/>
      <c r="OSW129" s="118"/>
      <c r="OSX129" s="118"/>
      <c r="OSY129" s="118"/>
      <c r="OSZ129" s="118"/>
      <c r="OTA129" s="118"/>
      <c r="OTB129" s="118"/>
      <c r="OTC129" s="118"/>
      <c r="OTD129" s="118"/>
      <c r="OTE129" s="118"/>
      <c r="OTF129" s="118"/>
      <c r="OTG129" s="118"/>
      <c r="OTH129" s="118"/>
      <c r="OTI129" s="118"/>
      <c r="OTJ129" s="118"/>
      <c r="OTK129" s="118"/>
      <c r="OTL129" s="118"/>
      <c r="OTM129" s="118"/>
      <c r="OTN129" s="118"/>
      <c r="OTO129" s="118"/>
      <c r="OTP129" s="118"/>
      <c r="OTQ129" s="118"/>
      <c r="OTR129" s="118"/>
      <c r="OTS129" s="118"/>
      <c r="OTT129" s="118"/>
      <c r="OTU129" s="118"/>
      <c r="OTV129" s="118"/>
      <c r="OTW129" s="118"/>
      <c r="OTX129" s="118"/>
      <c r="OTY129" s="118"/>
      <c r="OTZ129" s="118"/>
      <c r="OUA129" s="118"/>
      <c r="OUB129" s="118"/>
      <c r="OUC129" s="118"/>
      <c r="OUD129" s="118"/>
      <c r="OUE129" s="118"/>
      <c r="OUF129" s="118"/>
      <c r="OUG129" s="118"/>
      <c r="OUH129" s="118"/>
      <c r="OUI129" s="118"/>
      <c r="OUJ129" s="118"/>
      <c r="OUK129" s="118"/>
      <c r="OUL129" s="118"/>
      <c r="OUM129" s="118"/>
      <c r="OUN129" s="118"/>
      <c r="OUO129" s="118"/>
      <c r="OUP129" s="118"/>
      <c r="OUQ129" s="118"/>
      <c r="OUR129" s="118"/>
      <c r="OUS129" s="118"/>
      <c r="OUT129" s="118"/>
      <c r="OUU129" s="118"/>
      <c r="OUV129" s="118"/>
      <c r="OUW129" s="118"/>
      <c r="OUX129" s="118"/>
      <c r="OUY129" s="118"/>
      <c r="OUZ129" s="118"/>
      <c r="OVA129" s="118"/>
      <c r="OVB129" s="118"/>
      <c r="OVC129" s="118"/>
      <c r="OVD129" s="118"/>
      <c r="OVE129" s="118"/>
      <c r="OVF129" s="118"/>
      <c r="OVG129" s="118"/>
      <c r="OVH129" s="118"/>
      <c r="OVI129" s="118"/>
      <c r="OVJ129" s="118"/>
      <c r="OVK129" s="118"/>
      <c r="OVL129" s="118"/>
      <c r="OVM129" s="118"/>
      <c r="OVN129" s="118"/>
      <c r="OVO129" s="118"/>
      <c r="OVP129" s="118"/>
      <c r="OVQ129" s="118"/>
      <c r="OVR129" s="118"/>
      <c r="OVS129" s="118"/>
      <c r="OVT129" s="118"/>
      <c r="OVU129" s="118"/>
      <c r="OVV129" s="118"/>
      <c r="OVW129" s="118"/>
      <c r="OVX129" s="118"/>
      <c r="OVY129" s="118"/>
      <c r="OVZ129" s="118"/>
      <c r="OWA129" s="118"/>
      <c r="OWB129" s="118"/>
      <c r="OWC129" s="118"/>
      <c r="OWD129" s="118"/>
      <c r="OWE129" s="118"/>
      <c r="OWF129" s="118"/>
      <c r="OWG129" s="118"/>
      <c r="OWH129" s="118"/>
      <c r="OWI129" s="118"/>
      <c r="OWJ129" s="118"/>
      <c r="OWK129" s="118"/>
      <c r="OWL129" s="118"/>
      <c r="OWM129" s="118"/>
      <c r="OWN129" s="118"/>
      <c r="OWO129" s="118"/>
      <c r="OWP129" s="118"/>
      <c r="OWQ129" s="118"/>
      <c r="OWR129" s="118"/>
      <c r="OWS129" s="118"/>
      <c r="OWT129" s="118"/>
      <c r="OWU129" s="118"/>
      <c r="OWV129" s="118"/>
      <c r="OWW129" s="118"/>
      <c r="OWX129" s="118"/>
      <c r="OWY129" s="118"/>
      <c r="OWZ129" s="118"/>
      <c r="OXA129" s="118"/>
      <c r="OXB129" s="118"/>
      <c r="OXC129" s="118"/>
      <c r="OXD129" s="118"/>
      <c r="OXE129" s="118"/>
      <c r="OXF129" s="118"/>
      <c r="OXG129" s="118"/>
      <c r="OXH129" s="118"/>
      <c r="OXI129" s="118"/>
      <c r="OXJ129" s="118"/>
      <c r="OXK129" s="118"/>
      <c r="OXL129" s="118"/>
      <c r="OXM129" s="118"/>
      <c r="OXN129" s="118"/>
      <c r="OXO129" s="118"/>
      <c r="OXP129" s="118"/>
      <c r="OXQ129" s="118"/>
      <c r="OXR129" s="118"/>
      <c r="OXS129" s="118"/>
      <c r="OXT129" s="118"/>
      <c r="OXU129" s="118"/>
      <c r="OXV129" s="118"/>
      <c r="OXW129" s="118"/>
      <c r="OXX129" s="118"/>
      <c r="OXY129" s="118"/>
      <c r="OXZ129" s="118"/>
      <c r="OYA129" s="118"/>
      <c r="OYB129" s="118"/>
      <c r="OYC129" s="118"/>
      <c r="OYD129" s="118"/>
      <c r="OYE129" s="118"/>
      <c r="OYF129" s="118"/>
      <c r="OYG129" s="118"/>
      <c r="OYH129" s="118"/>
      <c r="OYI129" s="118"/>
      <c r="OYJ129" s="118"/>
      <c r="OYK129" s="118"/>
      <c r="OYL129" s="118"/>
      <c r="OYM129" s="118"/>
      <c r="OYN129" s="118"/>
      <c r="OYO129" s="118"/>
      <c r="OYP129" s="118"/>
      <c r="OYQ129" s="118"/>
      <c r="OYR129" s="118"/>
      <c r="OYS129" s="118"/>
      <c r="OYT129" s="118"/>
      <c r="OYU129" s="118"/>
      <c r="OYV129" s="118"/>
      <c r="OYW129" s="118"/>
      <c r="OYX129" s="118"/>
      <c r="OYY129" s="118"/>
      <c r="OYZ129" s="118"/>
      <c r="OZA129" s="118"/>
      <c r="OZB129" s="118"/>
      <c r="OZC129" s="118"/>
      <c r="OZD129" s="118"/>
      <c r="OZE129" s="118"/>
      <c r="OZF129" s="118"/>
      <c r="OZG129" s="118"/>
      <c r="OZH129" s="118"/>
      <c r="OZI129" s="118"/>
      <c r="OZJ129" s="118"/>
      <c r="OZK129" s="118"/>
      <c r="OZL129" s="118"/>
      <c r="OZM129" s="118"/>
      <c r="OZN129" s="118"/>
      <c r="OZO129" s="118"/>
      <c r="OZP129" s="118"/>
      <c r="OZQ129" s="118"/>
      <c r="OZR129" s="118"/>
      <c r="OZS129" s="118"/>
      <c r="OZT129" s="118"/>
      <c r="OZU129" s="118"/>
      <c r="OZV129" s="118"/>
      <c r="OZW129" s="118"/>
      <c r="OZX129" s="118"/>
      <c r="OZY129" s="118"/>
      <c r="OZZ129" s="118"/>
      <c r="PAA129" s="118"/>
      <c r="PAB129" s="118"/>
      <c r="PAC129" s="118"/>
      <c r="PAD129" s="118"/>
      <c r="PAE129" s="118"/>
      <c r="PAF129" s="118"/>
      <c r="PAG129" s="118"/>
      <c r="PAH129" s="118"/>
      <c r="PAI129" s="118"/>
      <c r="PAJ129" s="118"/>
      <c r="PAK129" s="118"/>
      <c r="PAL129" s="118"/>
      <c r="PAM129" s="118"/>
      <c r="PAN129" s="118"/>
      <c r="PAO129" s="118"/>
      <c r="PAP129" s="118"/>
      <c r="PAQ129" s="118"/>
      <c r="PAR129" s="118"/>
      <c r="PAS129" s="118"/>
      <c r="PAT129" s="118"/>
      <c r="PAU129" s="118"/>
      <c r="PAV129" s="118"/>
      <c r="PAW129" s="118"/>
      <c r="PAX129" s="118"/>
      <c r="PAY129" s="118"/>
      <c r="PAZ129" s="118"/>
      <c r="PBA129" s="118"/>
      <c r="PBB129" s="118"/>
      <c r="PBC129" s="118"/>
      <c r="PBD129" s="118"/>
      <c r="PBE129" s="118"/>
      <c r="PBF129" s="118"/>
      <c r="PBG129" s="118"/>
      <c r="PBH129" s="118"/>
      <c r="PBI129" s="118"/>
      <c r="PBJ129" s="118"/>
      <c r="PBK129" s="118"/>
      <c r="PBL129" s="118"/>
      <c r="PBM129" s="118"/>
      <c r="PBN129" s="118"/>
      <c r="PBO129" s="118"/>
      <c r="PBP129" s="118"/>
      <c r="PBQ129" s="118"/>
      <c r="PBR129" s="118"/>
      <c r="PBS129" s="118"/>
      <c r="PBT129" s="118"/>
      <c r="PBU129" s="118"/>
      <c r="PBV129" s="118"/>
      <c r="PBW129" s="118"/>
      <c r="PBX129" s="118"/>
      <c r="PBY129" s="118"/>
      <c r="PBZ129" s="118"/>
      <c r="PCA129" s="118"/>
      <c r="PCB129" s="118"/>
      <c r="PCC129" s="118"/>
      <c r="PCD129" s="118"/>
      <c r="PCE129" s="118"/>
      <c r="PCF129" s="118"/>
      <c r="PCG129" s="118"/>
      <c r="PCH129" s="118"/>
      <c r="PCI129" s="118"/>
      <c r="PCJ129" s="118"/>
      <c r="PCK129" s="118"/>
      <c r="PCL129" s="118"/>
      <c r="PCM129" s="118"/>
      <c r="PCN129" s="118"/>
      <c r="PCO129" s="118"/>
      <c r="PCP129" s="118"/>
      <c r="PCQ129" s="118"/>
      <c r="PCR129" s="118"/>
      <c r="PCS129" s="118"/>
      <c r="PCT129" s="118"/>
      <c r="PCU129" s="118"/>
      <c r="PCV129" s="118"/>
      <c r="PCW129" s="118"/>
      <c r="PCX129" s="118"/>
      <c r="PCY129" s="118"/>
      <c r="PCZ129" s="118"/>
      <c r="PDA129" s="118"/>
      <c r="PDB129" s="118"/>
      <c r="PDC129" s="118"/>
      <c r="PDD129" s="118"/>
      <c r="PDE129" s="118"/>
      <c r="PDF129" s="118"/>
      <c r="PDG129" s="118"/>
      <c r="PDH129" s="118"/>
      <c r="PDI129" s="118"/>
      <c r="PDJ129" s="118"/>
      <c r="PDK129" s="118"/>
      <c r="PDL129" s="118"/>
      <c r="PDM129" s="118"/>
      <c r="PDN129" s="118"/>
      <c r="PDO129" s="118"/>
      <c r="PDP129" s="118"/>
      <c r="PDQ129" s="118"/>
      <c r="PDR129" s="118"/>
      <c r="PDS129" s="118"/>
      <c r="PDT129" s="118"/>
      <c r="PDU129" s="118"/>
      <c r="PDV129" s="118"/>
      <c r="PDW129" s="118"/>
      <c r="PDX129" s="118"/>
      <c r="PDY129" s="118"/>
      <c r="PDZ129" s="118"/>
      <c r="PEA129" s="118"/>
      <c r="PEB129" s="118"/>
      <c r="PEC129" s="118"/>
      <c r="PED129" s="118"/>
      <c r="PEE129" s="118"/>
      <c r="PEF129" s="118"/>
      <c r="PEG129" s="118"/>
      <c r="PEH129" s="118"/>
      <c r="PEI129" s="118"/>
      <c r="PEJ129" s="118"/>
      <c r="PEK129" s="118"/>
      <c r="PEL129" s="118"/>
      <c r="PEM129" s="118"/>
      <c r="PEN129" s="118"/>
      <c r="PEO129" s="118"/>
      <c r="PEP129" s="118"/>
      <c r="PEQ129" s="118"/>
      <c r="PER129" s="118"/>
      <c r="PES129" s="118"/>
      <c r="PET129" s="118"/>
      <c r="PEU129" s="118"/>
      <c r="PEV129" s="118"/>
      <c r="PEW129" s="118"/>
      <c r="PEX129" s="118"/>
      <c r="PEY129" s="118"/>
      <c r="PEZ129" s="118"/>
      <c r="PFA129" s="118"/>
      <c r="PFB129" s="118"/>
      <c r="PFC129" s="118"/>
      <c r="PFD129" s="118"/>
      <c r="PFE129" s="118"/>
      <c r="PFF129" s="118"/>
      <c r="PFG129" s="118"/>
      <c r="PFH129" s="118"/>
      <c r="PFI129" s="118"/>
      <c r="PFJ129" s="118"/>
      <c r="PFK129" s="118"/>
      <c r="PFL129" s="118"/>
      <c r="PFM129" s="118"/>
      <c r="PFN129" s="118"/>
      <c r="PFO129" s="118"/>
      <c r="PFP129" s="118"/>
      <c r="PFQ129" s="118"/>
      <c r="PFR129" s="118"/>
      <c r="PFS129" s="118"/>
      <c r="PFT129" s="118"/>
      <c r="PFU129" s="118"/>
      <c r="PFV129" s="118"/>
      <c r="PFW129" s="118"/>
      <c r="PFX129" s="118"/>
      <c r="PFY129" s="118"/>
      <c r="PFZ129" s="118"/>
      <c r="PGA129" s="118"/>
      <c r="PGB129" s="118"/>
      <c r="PGC129" s="118"/>
      <c r="PGD129" s="118"/>
      <c r="PGE129" s="118"/>
      <c r="PGF129" s="118"/>
      <c r="PGG129" s="118"/>
      <c r="PGH129" s="118"/>
      <c r="PGI129" s="118"/>
      <c r="PGJ129" s="118"/>
      <c r="PGK129" s="118"/>
      <c r="PGL129" s="118"/>
      <c r="PGM129" s="118"/>
      <c r="PGN129" s="118"/>
      <c r="PGO129" s="118"/>
      <c r="PGP129" s="118"/>
      <c r="PGQ129" s="118"/>
      <c r="PGR129" s="118"/>
      <c r="PGS129" s="118"/>
      <c r="PGT129" s="118"/>
      <c r="PGU129" s="118"/>
      <c r="PGV129" s="118"/>
      <c r="PGW129" s="118"/>
      <c r="PGX129" s="118"/>
      <c r="PGY129" s="118"/>
      <c r="PGZ129" s="118"/>
      <c r="PHA129" s="118"/>
      <c r="PHB129" s="118"/>
      <c r="PHC129" s="118"/>
      <c r="PHD129" s="118"/>
      <c r="PHE129" s="118"/>
      <c r="PHF129" s="118"/>
      <c r="PHG129" s="118"/>
      <c r="PHH129" s="118"/>
      <c r="PHI129" s="118"/>
      <c r="PHJ129" s="118"/>
      <c r="PHK129" s="118"/>
      <c r="PHL129" s="118"/>
      <c r="PHM129" s="118"/>
      <c r="PHN129" s="118"/>
      <c r="PHO129" s="118"/>
      <c r="PHP129" s="118"/>
      <c r="PHQ129" s="118"/>
      <c r="PHR129" s="118"/>
      <c r="PHS129" s="118"/>
      <c r="PHT129" s="118"/>
      <c r="PHU129" s="118"/>
      <c r="PHV129" s="118"/>
      <c r="PHW129" s="118"/>
      <c r="PHX129" s="118"/>
      <c r="PHY129" s="118"/>
      <c r="PHZ129" s="118"/>
      <c r="PIA129" s="118"/>
      <c r="PIB129" s="118"/>
      <c r="PIC129" s="118"/>
      <c r="PID129" s="118"/>
      <c r="PIE129" s="118"/>
      <c r="PIF129" s="118"/>
      <c r="PIG129" s="118"/>
      <c r="PIH129" s="118"/>
      <c r="PII129" s="118"/>
      <c r="PIJ129" s="118"/>
      <c r="PIK129" s="118"/>
      <c r="PIL129" s="118"/>
      <c r="PIM129" s="118"/>
      <c r="PIN129" s="118"/>
      <c r="PIO129" s="118"/>
      <c r="PIP129" s="118"/>
      <c r="PIQ129" s="118"/>
      <c r="PIR129" s="118"/>
      <c r="PIS129" s="118"/>
      <c r="PIT129" s="118"/>
      <c r="PIU129" s="118"/>
      <c r="PIV129" s="118"/>
      <c r="PIW129" s="118"/>
      <c r="PIX129" s="118"/>
      <c r="PIY129" s="118"/>
      <c r="PIZ129" s="118"/>
      <c r="PJA129" s="118"/>
      <c r="PJB129" s="118"/>
      <c r="PJC129" s="118"/>
      <c r="PJD129" s="118"/>
      <c r="PJE129" s="118"/>
      <c r="PJF129" s="118"/>
      <c r="PJG129" s="118"/>
      <c r="PJH129" s="118"/>
      <c r="PJI129" s="118"/>
      <c r="PJJ129" s="118"/>
      <c r="PJK129" s="118"/>
      <c r="PJL129" s="118"/>
      <c r="PJM129" s="118"/>
      <c r="PJN129" s="118"/>
      <c r="PJO129" s="118"/>
      <c r="PJP129" s="118"/>
      <c r="PJQ129" s="118"/>
      <c r="PJR129" s="118"/>
      <c r="PJS129" s="118"/>
      <c r="PJT129" s="118"/>
      <c r="PJU129" s="118"/>
      <c r="PJV129" s="118"/>
      <c r="PJW129" s="118"/>
      <c r="PJX129" s="118"/>
      <c r="PJY129" s="118"/>
      <c r="PJZ129" s="118"/>
      <c r="PKA129" s="118"/>
      <c r="PKB129" s="118"/>
      <c r="PKC129" s="118"/>
      <c r="PKD129" s="118"/>
      <c r="PKE129" s="118"/>
      <c r="PKF129" s="118"/>
      <c r="PKG129" s="118"/>
      <c r="PKH129" s="118"/>
      <c r="PKI129" s="118"/>
      <c r="PKJ129" s="118"/>
      <c r="PKK129" s="118"/>
      <c r="PKL129" s="118"/>
      <c r="PKM129" s="118"/>
      <c r="PKN129" s="118"/>
      <c r="PKO129" s="118"/>
      <c r="PKP129" s="118"/>
      <c r="PKQ129" s="118"/>
      <c r="PKR129" s="118"/>
      <c r="PKS129" s="118"/>
      <c r="PKT129" s="118"/>
      <c r="PKU129" s="118"/>
      <c r="PKV129" s="118"/>
      <c r="PKW129" s="118"/>
      <c r="PKX129" s="118"/>
      <c r="PKY129" s="118"/>
      <c r="PKZ129" s="118"/>
      <c r="PLA129" s="118"/>
      <c r="PLB129" s="118"/>
      <c r="PLC129" s="118"/>
      <c r="PLD129" s="118"/>
      <c r="PLE129" s="118"/>
      <c r="PLF129" s="118"/>
      <c r="PLG129" s="118"/>
      <c r="PLH129" s="118"/>
      <c r="PLI129" s="118"/>
      <c r="PLJ129" s="118"/>
      <c r="PLK129" s="118"/>
      <c r="PLL129" s="118"/>
      <c r="PLM129" s="118"/>
      <c r="PLN129" s="118"/>
      <c r="PLO129" s="118"/>
      <c r="PLP129" s="118"/>
      <c r="PLQ129" s="118"/>
      <c r="PLR129" s="118"/>
      <c r="PLS129" s="118"/>
      <c r="PLT129" s="118"/>
      <c r="PLU129" s="118"/>
      <c r="PLV129" s="118"/>
      <c r="PLW129" s="118"/>
      <c r="PLX129" s="118"/>
      <c r="PLY129" s="118"/>
      <c r="PLZ129" s="118"/>
      <c r="PMA129" s="118"/>
      <c r="PMB129" s="118"/>
      <c r="PMC129" s="118"/>
      <c r="PMD129" s="118"/>
      <c r="PME129" s="118"/>
      <c r="PMF129" s="118"/>
      <c r="PMG129" s="118"/>
      <c r="PMH129" s="118"/>
      <c r="PMI129" s="118"/>
      <c r="PMJ129" s="118"/>
      <c r="PMK129" s="118"/>
      <c r="PML129" s="118"/>
      <c r="PMM129" s="118"/>
      <c r="PMN129" s="118"/>
      <c r="PMO129" s="118"/>
      <c r="PMP129" s="118"/>
      <c r="PMQ129" s="118"/>
      <c r="PMR129" s="118"/>
      <c r="PMS129" s="118"/>
      <c r="PMT129" s="118"/>
      <c r="PMU129" s="118"/>
      <c r="PMV129" s="118"/>
      <c r="PMW129" s="118"/>
      <c r="PMX129" s="118"/>
      <c r="PMY129" s="118"/>
      <c r="PMZ129" s="118"/>
      <c r="PNA129" s="118"/>
      <c r="PNB129" s="118"/>
      <c r="PNC129" s="118"/>
      <c r="PND129" s="118"/>
      <c r="PNE129" s="118"/>
      <c r="PNF129" s="118"/>
      <c r="PNG129" s="118"/>
      <c r="PNH129" s="118"/>
      <c r="PNI129" s="118"/>
      <c r="PNJ129" s="118"/>
      <c r="PNK129" s="118"/>
      <c r="PNL129" s="118"/>
      <c r="PNM129" s="118"/>
      <c r="PNN129" s="118"/>
      <c r="PNO129" s="118"/>
      <c r="PNP129" s="118"/>
      <c r="PNQ129" s="118"/>
      <c r="PNR129" s="118"/>
      <c r="PNS129" s="118"/>
      <c r="PNT129" s="118"/>
      <c r="PNU129" s="118"/>
      <c r="PNV129" s="118"/>
      <c r="PNW129" s="118"/>
      <c r="PNX129" s="118"/>
      <c r="PNY129" s="118"/>
      <c r="PNZ129" s="118"/>
      <c r="POA129" s="118"/>
      <c r="POB129" s="118"/>
      <c r="POC129" s="118"/>
      <c r="POD129" s="118"/>
      <c r="POE129" s="118"/>
      <c r="POF129" s="118"/>
      <c r="POG129" s="118"/>
      <c r="POH129" s="118"/>
      <c r="POI129" s="118"/>
      <c r="POJ129" s="118"/>
      <c r="POK129" s="118"/>
      <c r="POL129" s="118"/>
      <c r="POM129" s="118"/>
      <c r="PON129" s="118"/>
      <c r="POO129" s="118"/>
      <c r="POP129" s="118"/>
      <c r="POQ129" s="118"/>
      <c r="POR129" s="118"/>
      <c r="POS129" s="118"/>
      <c r="POT129" s="118"/>
      <c r="POU129" s="118"/>
      <c r="POV129" s="118"/>
      <c r="POW129" s="118"/>
      <c r="POX129" s="118"/>
      <c r="POY129" s="118"/>
      <c r="POZ129" s="118"/>
      <c r="PPA129" s="118"/>
      <c r="PPB129" s="118"/>
      <c r="PPC129" s="118"/>
      <c r="PPD129" s="118"/>
      <c r="PPE129" s="118"/>
      <c r="PPF129" s="118"/>
      <c r="PPG129" s="118"/>
      <c r="PPH129" s="118"/>
      <c r="PPI129" s="118"/>
      <c r="PPJ129" s="118"/>
      <c r="PPK129" s="118"/>
      <c r="PPL129" s="118"/>
      <c r="PPM129" s="118"/>
      <c r="PPN129" s="118"/>
      <c r="PPO129" s="118"/>
      <c r="PPP129" s="118"/>
      <c r="PPQ129" s="118"/>
      <c r="PPR129" s="118"/>
      <c r="PPS129" s="118"/>
      <c r="PPT129" s="118"/>
      <c r="PPU129" s="118"/>
      <c r="PPV129" s="118"/>
      <c r="PPW129" s="118"/>
      <c r="PPX129" s="118"/>
      <c r="PPY129" s="118"/>
      <c r="PPZ129" s="118"/>
      <c r="PQA129" s="118"/>
      <c r="PQB129" s="118"/>
      <c r="PQC129" s="118"/>
      <c r="PQD129" s="118"/>
      <c r="PQE129" s="118"/>
      <c r="PQF129" s="118"/>
      <c r="PQG129" s="118"/>
      <c r="PQH129" s="118"/>
      <c r="PQI129" s="118"/>
      <c r="PQJ129" s="118"/>
      <c r="PQK129" s="118"/>
      <c r="PQL129" s="118"/>
      <c r="PQM129" s="118"/>
      <c r="PQN129" s="118"/>
      <c r="PQO129" s="118"/>
      <c r="PQP129" s="118"/>
      <c r="PQQ129" s="118"/>
      <c r="PQR129" s="118"/>
      <c r="PQS129" s="118"/>
      <c r="PQT129" s="118"/>
      <c r="PQU129" s="118"/>
      <c r="PQV129" s="118"/>
      <c r="PQW129" s="118"/>
      <c r="PQX129" s="118"/>
      <c r="PQY129" s="118"/>
      <c r="PQZ129" s="118"/>
      <c r="PRA129" s="118"/>
      <c r="PRB129" s="118"/>
      <c r="PRC129" s="118"/>
      <c r="PRD129" s="118"/>
      <c r="PRE129" s="118"/>
      <c r="PRF129" s="118"/>
      <c r="PRG129" s="118"/>
      <c r="PRH129" s="118"/>
      <c r="PRI129" s="118"/>
      <c r="PRJ129" s="118"/>
      <c r="PRK129" s="118"/>
      <c r="PRL129" s="118"/>
      <c r="PRM129" s="118"/>
      <c r="PRN129" s="118"/>
      <c r="PRO129" s="118"/>
      <c r="PRP129" s="118"/>
      <c r="PRQ129" s="118"/>
      <c r="PRR129" s="118"/>
      <c r="PRS129" s="118"/>
      <c r="PRT129" s="118"/>
      <c r="PRU129" s="118"/>
      <c r="PRV129" s="118"/>
      <c r="PRW129" s="118"/>
      <c r="PRX129" s="118"/>
      <c r="PRY129" s="118"/>
      <c r="PRZ129" s="118"/>
      <c r="PSA129" s="118"/>
      <c r="PSB129" s="118"/>
      <c r="PSC129" s="118"/>
      <c r="PSD129" s="118"/>
      <c r="PSE129" s="118"/>
      <c r="PSF129" s="118"/>
      <c r="PSG129" s="118"/>
      <c r="PSH129" s="118"/>
      <c r="PSI129" s="118"/>
      <c r="PSJ129" s="118"/>
      <c r="PSK129" s="118"/>
      <c r="PSL129" s="118"/>
      <c r="PSM129" s="118"/>
      <c r="PSN129" s="118"/>
      <c r="PSO129" s="118"/>
      <c r="PSP129" s="118"/>
      <c r="PSQ129" s="118"/>
      <c r="PSR129" s="118"/>
      <c r="PSS129" s="118"/>
      <c r="PST129" s="118"/>
      <c r="PSU129" s="118"/>
      <c r="PSV129" s="118"/>
      <c r="PSW129" s="118"/>
      <c r="PSX129" s="118"/>
      <c r="PSY129" s="118"/>
      <c r="PSZ129" s="118"/>
      <c r="PTA129" s="118"/>
      <c r="PTB129" s="118"/>
      <c r="PTC129" s="118"/>
      <c r="PTD129" s="118"/>
      <c r="PTE129" s="118"/>
      <c r="PTF129" s="118"/>
      <c r="PTG129" s="118"/>
      <c r="PTH129" s="118"/>
      <c r="PTI129" s="118"/>
      <c r="PTJ129" s="118"/>
      <c r="PTK129" s="118"/>
      <c r="PTL129" s="118"/>
      <c r="PTM129" s="118"/>
      <c r="PTN129" s="118"/>
      <c r="PTO129" s="118"/>
      <c r="PTP129" s="118"/>
      <c r="PTQ129" s="118"/>
      <c r="PTR129" s="118"/>
      <c r="PTS129" s="118"/>
      <c r="PTT129" s="118"/>
      <c r="PTU129" s="118"/>
      <c r="PTV129" s="118"/>
      <c r="PTW129" s="118"/>
      <c r="PTX129" s="118"/>
      <c r="PTY129" s="118"/>
      <c r="PTZ129" s="118"/>
      <c r="PUA129" s="118"/>
      <c r="PUB129" s="118"/>
      <c r="PUC129" s="118"/>
      <c r="PUD129" s="118"/>
      <c r="PUE129" s="118"/>
      <c r="PUF129" s="118"/>
      <c r="PUG129" s="118"/>
      <c r="PUH129" s="118"/>
      <c r="PUI129" s="118"/>
      <c r="PUJ129" s="118"/>
      <c r="PUK129" s="118"/>
      <c r="PUL129" s="118"/>
      <c r="PUM129" s="118"/>
      <c r="PUN129" s="118"/>
      <c r="PUO129" s="118"/>
      <c r="PUP129" s="118"/>
      <c r="PUQ129" s="118"/>
      <c r="PUR129" s="118"/>
      <c r="PUS129" s="118"/>
      <c r="PUT129" s="118"/>
      <c r="PUU129" s="118"/>
      <c r="PUV129" s="118"/>
      <c r="PUW129" s="118"/>
      <c r="PUX129" s="118"/>
      <c r="PUY129" s="118"/>
      <c r="PUZ129" s="118"/>
      <c r="PVA129" s="118"/>
      <c r="PVB129" s="118"/>
      <c r="PVC129" s="118"/>
      <c r="PVD129" s="118"/>
      <c r="PVE129" s="118"/>
      <c r="PVF129" s="118"/>
      <c r="PVG129" s="118"/>
      <c r="PVH129" s="118"/>
      <c r="PVI129" s="118"/>
      <c r="PVJ129" s="118"/>
      <c r="PVK129" s="118"/>
      <c r="PVL129" s="118"/>
      <c r="PVM129" s="118"/>
      <c r="PVN129" s="118"/>
      <c r="PVO129" s="118"/>
      <c r="PVP129" s="118"/>
      <c r="PVQ129" s="118"/>
      <c r="PVR129" s="118"/>
      <c r="PVS129" s="118"/>
      <c r="PVT129" s="118"/>
      <c r="PVU129" s="118"/>
      <c r="PVV129" s="118"/>
      <c r="PVW129" s="118"/>
      <c r="PVX129" s="118"/>
      <c r="PVY129" s="118"/>
      <c r="PVZ129" s="118"/>
      <c r="PWA129" s="118"/>
      <c r="PWB129" s="118"/>
      <c r="PWC129" s="118"/>
      <c r="PWD129" s="118"/>
      <c r="PWE129" s="118"/>
      <c r="PWF129" s="118"/>
      <c r="PWG129" s="118"/>
      <c r="PWH129" s="118"/>
      <c r="PWI129" s="118"/>
      <c r="PWJ129" s="118"/>
      <c r="PWK129" s="118"/>
      <c r="PWL129" s="118"/>
      <c r="PWM129" s="118"/>
      <c r="PWN129" s="118"/>
      <c r="PWO129" s="118"/>
      <c r="PWP129" s="118"/>
      <c r="PWQ129" s="118"/>
      <c r="PWR129" s="118"/>
      <c r="PWS129" s="118"/>
      <c r="PWT129" s="118"/>
      <c r="PWU129" s="118"/>
      <c r="PWV129" s="118"/>
      <c r="PWW129" s="118"/>
      <c r="PWX129" s="118"/>
      <c r="PWY129" s="118"/>
      <c r="PWZ129" s="118"/>
      <c r="PXA129" s="118"/>
      <c r="PXB129" s="118"/>
      <c r="PXC129" s="118"/>
      <c r="PXD129" s="118"/>
      <c r="PXE129" s="118"/>
      <c r="PXF129" s="118"/>
      <c r="PXG129" s="118"/>
      <c r="PXH129" s="118"/>
      <c r="PXI129" s="118"/>
      <c r="PXJ129" s="118"/>
      <c r="PXK129" s="118"/>
      <c r="PXL129" s="118"/>
      <c r="PXM129" s="118"/>
      <c r="PXN129" s="118"/>
      <c r="PXO129" s="118"/>
      <c r="PXP129" s="118"/>
      <c r="PXQ129" s="118"/>
      <c r="PXR129" s="118"/>
      <c r="PXS129" s="118"/>
      <c r="PXT129" s="118"/>
      <c r="PXU129" s="118"/>
      <c r="PXV129" s="118"/>
      <c r="PXW129" s="118"/>
      <c r="PXX129" s="118"/>
      <c r="PXY129" s="118"/>
      <c r="PXZ129" s="118"/>
      <c r="PYA129" s="118"/>
      <c r="PYB129" s="118"/>
      <c r="PYC129" s="118"/>
      <c r="PYD129" s="118"/>
      <c r="PYE129" s="118"/>
      <c r="PYF129" s="118"/>
      <c r="PYG129" s="118"/>
      <c r="PYH129" s="118"/>
      <c r="PYI129" s="118"/>
      <c r="PYJ129" s="118"/>
      <c r="PYK129" s="118"/>
      <c r="PYL129" s="118"/>
      <c r="PYM129" s="118"/>
      <c r="PYN129" s="118"/>
      <c r="PYO129" s="118"/>
      <c r="PYP129" s="118"/>
      <c r="PYQ129" s="118"/>
      <c r="PYR129" s="118"/>
      <c r="PYS129" s="118"/>
      <c r="PYT129" s="118"/>
      <c r="PYU129" s="118"/>
      <c r="PYV129" s="118"/>
      <c r="PYW129" s="118"/>
      <c r="PYX129" s="118"/>
      <c r="PYY129" s="118"/>
      <c r="PYZ129" s="118"/>
      <c r="PZA129" s="118"/>
      <c r="PZB129" s="118"/>
      <c r="PZC129" s="118"/>
      <c r="PZD129" s="118"/>
      <c r="PZE129" s="118"/>
      <c r="PZF129" s="118"/>
      <c r="PZG129" s="118"/>
      <c r="PZH129" s="118"/>
      <c r="PZI129" s="118"/>
      <c r="PZJ129" s="118"/>
      <c r="PZK129" s="118"/>
      <c r="PZL129" s="118"/>
      <c r="PZM129" s="118"/>
      <c r="PZN129" s="118"/>
      <c r="PZO129" s="118"/>
      <c r="PZP129" s="118"/>
      <c r="PZQ129" s="118"/>
      <c r="PZR129" s="118"/>
      <c r="PZS129" s="118"/>
      <c r="PZT129" s="118"/>
      <c r="PZU129" s="118"/>
      <c r="PZV129" s="118"/>
      <c r="PZW129" s="118"/>
      <c r="PZX129" s="118"/>
      <c r="PZY129" s="118"/>
      <c r="PZZ129" s="118"/>
      <c r="QAA129" s="118"/>
      <c r="QAB129" s="118"/>
      <c r="QAC129" s="118"/>
      <c r="QAD129" s="118"/>
      <c r="QAE129" s="118"/>
      <c r="QAF129" s="118"/>
      <c r="QAG129" s="118"/>
      <c r="QAH129" s="118"/>
      <c r="QAI129" s="118"/>
      <c r="QAJ129" s="118"/>
      <c r="QAK129" s="118"/>
      <c r="QAL129" s="118"/>
      <c r="QAM129" s="118"/>
      <c r="QAN129" s="118"/>
      <c r="QAO129" s="118"/>
      <c r="QAP129" s="118"/>
      <c r="QAQ129" s="118"/>
      <c r="QAR129" s="118"/>
      <c r="QAS129" s="118"/>
      <c r="QAT129" s="118"/>
      <c r="QAU129" s="118"/>
      <c r="QAV129" s="118"/>
      <c r="QAW129" s="118"/>
      <c r="QAX129" s="118"/>
      <c r="QAY129" s="118"/>
      <c r="QAZ129" s="118"/>
      <c r="QBA129" s="118"/>
      <c r="QBB129" s="118"/>
      <c r="QBC129" s="118"/>
      <c r="QBD129" s="118"/>
      <c r="QBE129" s="118"/>
      <c r="QBF129" s="118"/>
      <c r="QBG129" s="118"/>
      <c r="QBH129" s="118"/>
      <c r="QBI129" s="118"/>
      <c r="QBJ129" s="118"/>
      <c r="QBK129" s="118"/>
      <c r="QBL129" s="118"/>
      <c r="QBM129" s="118"/>
      <c r="QBN129" s="118"/>
      <c r="QBO129" s="118"/>
      <c r="QBP129" s="118"/>
      <c r="QBQ129" s="118"/>
      <c r="QBR129" s="118"/>
      <c r="QBS129" s="118"/>
      <c r="QBT129" s="118"/>
      <c r="QBU129" s="118"/>
      <c r="QBV129" s="118"/>
      <c r="QBW129" s="118"/>
      <c r="QBX129" s="118"/>
      <c r="QBY129" s="118"/>
      <c r="QBZ129" s="118"/>
      <c r="QCA129" s="118"/>
      <c r="QCB129" s="118"/>
      <c r="QCC129" s="118"/>
      <c r="QCD129" s="118"/>
      <c r="QCE129" s="118"/>
      <c r="QCF129" s="118"/>
      <c r="QCG129" s="118"/>
      <c r="QCH129" s="118"/>
      <c r="QCI129" s="118"/>
      <c r="QCJ129" s="118"/>
      <c r="QCK129" s="118"/>
      <c r="QCL129" s="118"/>
      <c r="QCM129" s="118"/>
      <c r="QCN129" s="118"/>
      <c r="QCO129" s="118"/>
      <c r="QCP129" s="118"/>
      <c r="QCQ129" s="118"/>
      <c r="QCR129" s="118"/>
      <c r="QCS129" s="118"/>
      <c r="QCT129" s="118"/>
      <c r="QCU129" s="118"/>
      <c r="QCV129" s="118"/>
      <c r="QCW129" s="118"/>
      <c r="QCX129" s="118"/>
      <c r="QCY129" s="118"/>
      <c r="QCZ129" s="118"/>
      <c r="QDA129" s="118"/>
      <c r="QDB129" s="118"/>
      <c r="QDC129" s="118"/>
      <c r="QDD129" s="118"/>
      <c r="QDE129" s="118"/>
      <c r="QDF129" s="118"/>
      <c r="QDG129" s="118"/>
      <c r="QDH129" s="118"/>
      <c r="QDI129" s="118"/>
      <c r="QDJ129" s="118"/>
      <c r="QDK129" s="118"/>
      <c r="QDL129" s="118"/>
      <c r="QDM129" s="118"/>
      <c r="QDN129" s="118"/>
      <c r="QDO129" s="118"/>
      <c r="QDP129" s="118"/>
      <c r="QDQ129" s="118"/>
      <c r="QDR129" s="118"/>
      <c r="QDS129" s="118"/>
      <c r="QDT129" s="118"/>
      <c r="QDU129" s="118"/>
      <c r="QDV129" s="118"/>
      <c r="QDW129" s="118"/>
      <c r="QDX129" s="118"/>
      <c r="QDY129" s="118"/>
      <c r="QDZ129" s="118"/>
      <c r="QEA129" s="118"/>
      <c r="QEB129" s="118"/>
      <c r="QEC129" s="118"/>
      <c r="QED129" s="118"/>
      <c r="QEE129" s="118"/>
      <c r="QEF129" s="118"/>
      <c r="QEG129" s="118"/>
      <c r="QEH129" s="118"/>
      <c r="QEI129" s="118"/>
      <c r="QEJ129" s="118"/>
      <c r="QEK129" s="118"/>
      <c r="QEL129" s="118"/>
      <c r="QEM129" s="118"/>
      <c r="QEN129" s="118"/>
      <c r="QEO129" s="118"/>
      <c r="QEP129" s="118"/>
      <c r="QEQ129" s="118"/>
      <c r="QER129" s="118"/>
      <c r="QES129" s="118"/>
      <c r="QET129" s="118"/>
      <c r="QEU129" s="118"/>
      <c r="QEV129" s="118"/>
      <c r="QEW129" s="118"/>
      <c r="QEX129" s="118"/>
      <c r="QEY129" s="118"/>
      <c r="QEZ129" s="118"/>
      <c r="QFA129" s="118"/>
      <c r="QFB129" s="118"/>
      <c r="QFC129" s="118"/>
      <c r="QFD129" s="118"/>
      <c r="QFE129" s="118"/>
      <c r="QFF129" s="118"/>
      <c r="QFG129" s="118"/>
      <c r="QFH129" s="118"/>
      <c r="QFI129" s="118"/>
      <c r="QFJ129" s="118"/>
      <c r="QFK129" s="118"/>
      <c r="QFL129" s="118"/>
      <c r="QFM129" s="118"/>
      <c r="QFN129" s="118"/>
      <c r="QFO129" s="118"/>
      <c r="QFP129" s="118"/>
      <c r="QFQ129" s="118"/>
      <c r="QFR129" s="118"/>
      <c r="QFS129" s="118"/>
      <c r="QFT129" s="118"/>
      <c r="QFU129" s="118"/>
      <c r="QFV129" s="118"/>
      <c r="QFW129" s="118"/>
      <c r="QFX129" s="118"/>
      <c r="QFY129" s="118"/>
      <c r="QFZ129" s="118"/>
      <c r="QGA129" s="118"/>
      <c r="QGB129" s="118"/>
      <c r="QGC129" s="118"/>
      <c r="QGD129" s="118"/>
      <c r="QGE129" s="118"/>
      <c r="QGF129" s="118"/>
      <c r="QGG129" s="118"/>
      <c r="QGH129" s="118"/>
      <c r="QGI129" s="118"/>
      <c r="QGJ129" s="118"/>
      <c r="QGK129" s="118"/>
      <c r="QGL129" s="118"/>
      <c r="QGM129" s="118"/>
      <c r="QGN129" s="118"/>
      <c r="QGO129" s="118"/>
      <c r="QGP129" s="118"/>
      <c r="QGQ129" s="118"/>
      <c r="QGR129" s="118"/>
      <c r="QGS129" s="118"/>
      <c r="QGT129" s="118"/>
      <c r="QGU129" s="118"/>
      <c r="QGV129" s="118"/>
      <c r="QGW129" s="118"/>
      <c r="QGX129" s="118"/>
      <c r="QGY129" s="118"/>
      <c r="QGZ129" s="118"/>
      <c r="QHA129" s="118"/>
      <c r="QHB129" s="118"/>
      <c r="QHC129" s="118"/>
      <c r="QHD129" s="118"/>
      <c r="QHE129" s="118"/>
      <c r="QHF129" s="118"/>
      <c r="QHG129" s="118"/>
      <c r="QHH129" s="118"/>
      <c r="QHI129" s="118"/>
      <c r="QHJ129" s="118"/>
      <c r="QHK129" s="118"/>
      <c r="QHL129" s="118"/>
      <c r="QHM129" s="118"/>
      <c r="QHN129" s="118"/>
      <c r="QHO129" s="118"/>
      <c r="QHP129" s="118"/>
      <c r="QHQ129" s="118"/>
      <c r="QHR129" s="118"/>
      <c r="QHS129" s="118"/>
      <c r="QHT129" s="118"/>
      <c r="QHU129" s="118"/>
      <c r="QHV129" s="118"/>
      <c r="QHW129" s="118"/>
      <c r="QHX129" s="118"/>
      <c r="QHY129" s="118"/>
      <c r="QHZ129" s="118"/>
      <c r="QIA129" s="118"/>
      <c r="QIB129" s="118"/>
      <c r="QIC129" s="118"/>
      <c r="QID129" s="118"/>
      <c r="QIE129" s="118"/>
      <c r="QIF129" s="118"/>
      <c r="QIG129" s="118"/>
      <c r="QIH129" s="118"/>
      <c r="QII129" s="118"/>
      <c r="QIJ129" s="118"/>
      <c r="QIK129" s="118"/>
      <c r="QIL129" s="118"/>
      <c r="QIM129" s="118"/>
      <c r="QIN129" s="118"/>
      <c r="QIO129" s="118"/>
      <c r="QIP129" s="118"/>
      <c r="QIQ129" s="118"/>
      <c r="QIR129" s="118"/>
      <c r="QIS129" s="118"/>
      <c r="QIT129" s="118"/>
      <c r="QIU129" s="118"/>
      <c r="QIV129" s="118"/>
      <c r="QIW129" s="118"/>
      <c r="QIX129" s="118"/>
      <c r="QIY129" s="118"/>
      <c r="QIZ129" s="118"/>
      <c r="QJA129" s="118"/>
      <c r="QJB129" s="118"/>
      <c r="QJC129" s="118"/>
      <c r="QJD129" s="118"/>
      <c r="QJE129" s="118"/>
      <c r="QJF129" s="118"/>
      <c r="QJG129" s="118"/>
      <c r="QJH129" s="118"/>
      <c r="QJI129" s="118"/>
      <c r="QJJ129" s="118"/>
      <c r="QJK129" s="118"/>
      <c r="QJL129" s="118"/>
      <c r="QJM129" s="118"/>
      <c r="QJN129" s="118"/>
      <c r="QJO129" s="118"/>
      <c r="QJP129" s="118"/>
      <c r="QJQ129" s="118"/>
      <c r="QJR129" s="118"/>
      <c r="QJS129" s="118"/>
      <c r="QJT129" s="118"/>
      <c r="QJU129" s="118"/>
      <c r="QJV129" s="118"/>
      <c r="QJW129" s="118"/>
      <c r="QJX129" s="118"/>
      <c r="QJY129" s="118"/>
      <c r="QJZ129" s="118"/>
      <c r="QKA129" s="118"/>
      <c r="QKB129" s="118"/>
      <c r="QKC129" s="118"/>
      <c r="QKD129" s="118"/>
      <c r="QKE129" s="118"/>
      <c r="QKF129" s="118"/>
      <c r="QKG129" s="118"/>
      <c r="QKH129" s="118"/>
      <c r="QKI129" s="118"/>
      <c r="QKJ129" s="118"/>
      <c r="QKK129" s="118"/>
      <c r="QKL129" s="118"/>
      <c r="QKM129" s="118"/>
      <c r="QKN129" s="118"/>
      <c r="QKO129" s="118"/>
      <c r="QKP129" s="118"/>
      <c r="QKQ129" s="118"/>
      <c r="QKR129" s="118"/>
      <c r="QKS129" s="118"/>
      <c r="QKT129" s="118"/>
      <c r="QKU129" s="118"/>
      <c r="QKV129" s="118"/>
      <c r="QKW129" s="118"/>
      <c r="QKX129" s="118"/>
      <c r="QKY129" s="118"/>
      <c r="QKZ129" s="118"/>
      <c r="QLA129" s="118"/>
      <c r="QLB129" s="118"/>
      <c r="QLC129" s="118"/>
      <c r="QLD129" s="118"/>
      <c r="QLE129" s="118"/>
      <c r="QLF129" s="118"/>
      <c r="QLG129" s="118"/>
      <c r="QLH129" s="118"/>
      <c r="QLI129" s="118"/>
      <c r="QLJ129" s="118"/>
      <c r="QLK129" s="118"/>
      <c r="QLL129" s="118"/>
      <c r="QLM129" s="118"/>
      <c r="QLN129" s="118"/>
      <c r="QLO129" s="118"/>
      <c r="QLP129" s="118"/>
      <c r="QLQ129" s="118"/>
      <c r="QLR129" s="118"/>
      <c r="QLS129" s="118"/>
      <c r="QLT129" s="118"/>
      <c r="QLU129" s="118"/>
      <c r="QLV129" s="118"/>
      <c r="QLW129" s="118"/>
      <c r="QLX129" s="118"/>
      <c r="QLY129" s="118"/>
      <c r="QLZ129" s="118"/>
      <c r="QMA129" s="118"/>
      <c r="QMB129" s="118"/>
      <c r="QMC129" s="118"/>
      <c r="QMD129" s="118"/>
      <c r="QME129" s="118"/>
      <c r="QMF129" s="118"/>
      <c r="QMG129" s="118"/>
      <c r="QMH129" s="118"/>
      <c r="QMI129" s="118"/>
      <c r="QMJ129" s="118"/>
      <c r="QMK129" s="118"/>
      <c r="QML129" s="118"/>
      <c r="QMM129" s="118"/>
      <c r="QMN129" s="118"/>
      <c r="QMO129" s="118"/>
      <c r="QMP129" s="118"/>
      <c r="QMQ129" s="118"/>
      <c r="QMR129" s="118"/>
      <c r="QMS129" s="118"/>
      <c r="QMT129" s="118"/>
      <c r="QMU129" s="118"/>
      <c r="QMV129" s="118"/>
      <c r="QMW129" s="118"/>
      <c r="QMX129" s="118"/>
      <c r="QMY129" s="118"/>
      <c r="QMZ129" s="118"/>
      <c r="QNA129" s="118"/>
      <c r="QNB129" s="118"/>
      <c r="QNC129" s="118"/>
      <c r="QND129" s="118"/>
      <c r="QNE129" s="118"/>
      <c r="QNF129" s="118"/>
      <c r="QNG129" s="118"/>
      <c r="QNH129" s="118"/>
      <c r="QNI129" s="118"/>
      <c r="QNJ129" s="118"/>
      <c r="QNK129" s="118"/>
      <c r="QNL129" s="118"/>
      <c r="QNM129" s="118"/>
      <c r="QNN129" s="118"/>
      <c r="QNO129" s="118"/>
      <c r="QNP129" s="118"/>
      <c r="QNQ129" s="118"/>
      <c r="QNR129" s="118"/>
      <c r="QNS129" s="118"/>
      <c r="QNT129" s="118"/>
      <c r="QNU129" s="118"/>
      <c r="QNV129" s="118"/>
      <c r="QNW129" s="118"/>
      <c r="QNX129" s="118"/>
      <c r="QNY129" s="118"/>
      <c r="QNZ129" s="118"/>
      <c r="QOA129" s="118"/>
      <c r="QOB129" s="118"/>
      <c r="QOC129" s="118"/>
      <c r="QOD129" s="118"/>
      <c r="QOE129" s="118"/>
      <c r="QOF129" s="118"/>
      <c r="QOG129" s="118"/>
      <c r="QOH129" s="118"/>
      <c r="QOI129" s="118"/>
      <c r="QOJ129" s="118"/>
      <c r="QOK129" s="118"/>
      <c r="QOL129" s="118"/>
      <c r="QOM129" s="118"/>
      <c r="QON129" s="118"/>
      <c r="QOO129" s="118"/>
      <c r="QOP129" s="118"/>
      <c r="QOQ129" s="118"/>
      <c r="QOR129" s="118"/>
      <c r="QOS129" s="118"/>
      <c r="QOT129" s="118"/>
      <c r="QOU129" s="118"/>
      <c r="QOV129" s="118"/>
      <c r="QOW129" s="118"/>
      <c r="QOX129" s="118"/>
      <c r="QOY129" s="118"/>
      <c r="QOZ129" s="118"/>
      <c r="QPA129" s="118"/>
      <c r="QPB129" s="118"/>
      <c r="QPC129" s="118"/>
      <c r="QPD129" s="118"/>
      <c r="QPE129" s="118"/>
      <c r="QPF129" s="118"/>
      <c r="QPG129" s="118"/>
      <c r="QPH129" s="118"/>
      <c r="QPI129" s="118"/>
      <c r="QPJ129" s="118"/>
      <c r="QPK129" s="118"/>
      <c r="QPL129" s="118"/>
      <c r="QPM129" s="118"/>
      <c r="QPN129" s="118"/>
      <c r="QPO129" s="118"/>
      <c r="QPP129" s="118"/>
      <c r="QPQ129" s="118"/>
      <c r="QPR129" s="118"/>
      <c r="QPS129" s="118"/>
      <c r="QPT129" s="118"/>
      <c r="QPU129" s="118"/>
      <c r="QPV129" s="118"/>
      <c r="QPW129" s="118"/>
      <c r="QPX129" s="118"/>
      <c r="QPY129" s="118"/>
      <c r="QPZ129" s="118"/>
      <c r="QQA129" s="118"/>
      <c r="QQB129" s="118"/>
      <c r="QQC129" s="118"/>
      <c r="QQD129" s="118"/>
      <c r="QQE129" s="118"/>
      <c r="QQF129" s="118"/>
      <c r="QQG129" s="118"/>
      <c r="QQH129" s="118"/>
      <c r="QQI129" s="118"/>
      <c r="QQJ129" s="118"/>
      <c r="QQK129" s="118"/>
      <c r="QQL129" s="118"/>
      <c r="QQM129" s="118"/>
      <c r="QQN129" s="118"/>
      <c r="QQO129" s="118"/>
      <c r="QQP129" s="118"/>
      <c r="QQQ129" s="118"/>
      <c r="QQR129" s="118"/>
      <c r="QQS129" s="118"/>
      <c r="QQT129" s="118"/>
      <c r="QQU129" s="118"/>
      <c r="QQV129" s="118"/>
      <c r="QQW129" s="118"/>
      <c r="QQX129" s="118"/>
      <c r="QQY129" s="118"/>
      <c r="QQZ129" s="118"/>
      <c r="QRA129" s="118"/>
      <c r="QRB129" s="118"/>
      <c r="QRC129" s="118"/>
      <c r="QRD129" s="118"/>
      <c r="QRE129" s="118"/>
      <c r="QRF129" s="118"/>
      <c r="QRG129" s="118"/>
      <c r="QRH129" s="118"/>
      <c r="QRI129" s="118"/>
      <c r="QRJ129" s="118"/>
      <c r="QRK129" s="118"/>
      <c r="QRL129" s="118"/>
      <c r="QRM129" s="118"/>
      <c r="QRN129" s="118"/>
      <c r="QRO129" s="118"/>
      <c r="QRP129" s="118"/>
      <c r="QRQ129" s="118"/>
      <c r="QRR129" s="118"/>
      <c r="QRS129" s="118"/>
      <c r="QRT129" s="118"/>
      <c r="QRU129" s="118"/>
      <c r="QRV129" s="118"/>
      <c r="QRW129" s="118"/>
      <c r="QRX129" s="118"/>
      <c r="QRY129" s="118"/>
      <c r="QRZ129" s="118"/>
      <c r="QSA129" s="118"/>
      <c r="QSB129" s="118"/>
      <c r="QSC129" s="118"/>
      <c r="QSD129" s="118"/>
      <c r="QSE129" s="118"/>
      <c r="QSF129" s="118"/>
      <c r="QSG129" s="118"/>
      <c r="QSH129" s="118"/>
      <c r="QSI129" s="118"/>
      <c r="QSJ129" s="118"/>
      <c r="QSK129" s="118"/>
      <c r="QSL129" s="118"/>
      <c r="QSM129" s="118"/>
      <c r="QSN129" s="118"/>
      <c r="QSO129" s="118"/>
      <c r="QSP129" s="118"/>
      <c r="QSQ129" s="118"/>
      <c r="QSR129" s="118"/>
      <c r="QSS129" s="118"/>
      <c r="QST129" s="118"/>
      <c r="QSU129" s="118"/>
      <c r="QSV129" s="118"/>
      <c r="QSW129" s="118"/>
      <c r="QSX129" s="118"/>
      <c r="QSY129" s="118"/>
      <c r="QSZ129" s="118"/>
      <c r="QTA129" s="118"/>
      <c r="QTB129" s="118"/>
      <c r="QTC129" s="118"/>
      <c r="QTD129" s="118"/>
      <c r="QTE129" s="118"/>
      <c r="QTF129" s="118"/>
      <c r="QTG129" s="118"/>
      <c r="QTH129" s="118"/>
      <c r="QTI129" s="118"/>
      <c r="QTJ129" s="118"/>
      <c r="QTK129" s="118"/>
      <c r="QTL129" s="118"/>
      <c r="QTM129" s="118"/>
      <c r="QTN129" s="118"/>
      <c r="QTO129" s="118"/>
      <c r="QTP129" s="118"/>
      <c r="QTQ129" s="118"/>
      <c r="QTR129" s="118"/>
      <c r="QTS129" s="118"/>
      <c r="QTT129" s="118"/>
      <c r="QTU129" s="118"/>
      <c r="QTV129" s="118"/>
      <c r="QTW129" s="118"/>
      <c r="QTX129" s="118"/>
      <c r="QTY129" s="118"/>
      <c r="QTZ129" s="118"/>
      <c r="QUA129" s="118"/>
      <c r="QUB129" s="118"/>
      <c r="QUC129" s="118"/>
      <c r="QUD129" s="118"/>
      <c r="QUE129" s="118"/>
      <c r="QUF129" s="118"/>
      <c r="QUG129" s="118"/>
      <c r="QUH129" s="118"/>
      <c r="QUI129" s="118"/>
      <c r="QUJ129" s="118"/>
      <c r="QUK129" s="118"/>
      <c r="QUL129" s="118"/>
      <c r="QUM129" s="118"/>
      <c r="QUN129" s="118"/>
      <c r="QUO129" s="118"/>
      <c r="QUP129" s="118"/>
      <c r="QUQ129" s="118"/>
      <c r="QUR129" s="118"/>
      <c r="QUS129" s="118"/>
      <c r="QUT129" s="118"/>
      <c r="QUU129" s="118"/>
      <c r="QUV129" s="118"/>
      <c r="QUW129" s="118"/>
      <c r="QUX129" s="118"/>
      <c r="QUY129" s="118"/>
      <c r="QUZ129" s="118"/>
      <c r="QVA129" s="118"/>
      <c r="QVB129" s="118"/>
      <c r="QVC129" s="118"/>
      <c r="QVD129" s="118"/>
      <c r="QVE129" s="118"/>
      <c r="QVF129" s="118"/>
      <c r="QVG129" s="118"/>
      <c r="QVH129" s="118"/>
      <c r="QVI129" s="118"/>
      <c r="QVJ129" s="118"/>
      <c r="QVK129" s="118"/>
      <c r="QVL129" s="118"/>
      <c r="QVM129" s="118"/>
      <c r="QVN129" s="118"/>
      <c r="QVO129" s="118"/>
      <c r="QVP129" s="118"/>
      <c r="QVQ129" s="118"/>
      <c r="QVR129" s="118"/>
      <c r="QVS129" s="118"/>
      <c r="QVT129" s="118"/>
      <c r="QVU129" s="118"/>
      <c r="QVV129" s="118"/>
      <c r="QVW129" s="118"/>
      <c r="QVX129" s="118"/>
      <c r="QVY129" s="118"/>
      <c r="QVZ129" s="118"/>
      <c r="QWA129" s="118"/>
      <c r="QWB129" s="118"/>
      <c r="QWC129" s="118"/>
      <c r="QWD129" s="118"/>
      <c r="QWE129" s="118"/>
      <c r="QWF129" s="118"/>
      <c r="QWG129" s="118"/>
      <c r="QWH129" s="118"/>
      <c r="QWI129" s="118"/>
      <c r="QWJ129" s="118"/>
      <c r="QWK129" s="118"/>
      <c r="QWL129" s="118"/>
      <c r="QWM129" s="118"/>
      <c r="QWN129" s="118"/>
      <c r="QWO129" s="118"/>
      <c r="QWP129" s="118"/>
      <c r="QWQ129" s="118"/>
      <c r="QWR129" s="118"/>
      <c r="QWS129" s="118"/>
      <c r="QWT129" s="118"/>
      <c r="QWU129" s="118"/>
      <c r="QWV129" s="118"/>
      <c r="QWW129" s="118"/>
      <c r="QWX129" s="118"/>
      <c r="QWY129" s="118"/>
      <c r="QWZ129" s="118"/>
      <c r="QXA129" s="118"/>
      <c r="QXB129" s="118"/>
      <c r="QXC129" s="118"/>
      <c r="QXD129" s="118"/>
      <c r="QXE129" s="118"/>
      <c r="QXF129" s="118"/>
      <c r="QXG129" s="118"/>
      <c r="QXH129" s="118"/>
      <c r="QXI129" s="118"/>
      <c r="QXJ129" s="118"/>
      <c r="QXK129" s="118"/>
      <c r="QXL129" s="118"/>
      <c r="QXM129" s="118"/>
      <c r="QXN129" s="118"/>
      <c r="QXO129" s="118"/>
      <c r="QXP129" s="118"/>
      <c r="QXQ129" s="118"/>
      <c r="QXR129" s="118"/>
      <c r="QXS129" s="118"/>
      <c r="QXT129" s="118"/>
      <c r="QXU129" s="118"/>
      <c r="QXV129" s="118"/>
      <c r="QXW129" s="118"/>
      <c r="QXX129" s="118"/>
      <c r="QXY129" s="118"/>
      <c r="QXZ129" s="118"/>
      <c r="QYA129" s="118"/>
      <c r="QYB129" s="118"/>
      <c r="QYC129" s="118"/>
      <c r="QYD129" s="118"/>
      <c r="QYE129" s="118"/>
      <c r="QYF129" s="118"/>
      <c r="QYG129" s="118"/>
      <c r="QYH129" s="118"/>
      <c r="QYI129" s="118"/>
      <c r="QYJ129" s="118"/>
      <c r="QYK129" s="118"/>
      <c r="QYL129" s="118"/>
      <c r="QYM129" s="118"/>
      <c r="QYN129" s="118"/>
      <c r="QYO129" s="118"/>
      <c r="QYP129" s="118"/>
      <c r="QYQ129" s="118"/>
      <c r="QYR129" s="118"/>
      <c r="QYS129" s="118"/>
      <c r="QYT129" s="118"/>
      <c r="QYU129" s="118"/>
      <c r="QYV129" s="118"/>
      <c r="QYW129" s="118"/>
      <c r="QYX129" s="118"/>
      <c r="QYY129" s="118"/>
      <c r="QYZ129" s="118"/>
      <c r="QZA129" s="118"/>
      <c r="QZB129" s="118"/>
      <c r="QZC129" s="118"/>
      <c r="QZD129" s="118"/>
      <c r="QZE129" s="118"/>
      <c r="QZF129" s="118"/>
      <c r="QZG129" s="118"/>
      <c r="QZH129" s="118"/>
      <c r="QZI129" s="118"/>
      <c r="QZJ129" s="118"/>
      <c r="QZK129" s="118"/>
      <c r="QZL129" s="118"/>
      <c r="QZM129" s="118"/>
      <c r="QZN129" s="118"/>
      <c r="QZO129" s="118"/>
      <c r="QZP129" s="118"/>
      <c r="QZQ129" s="118"/>
      <c r="QZR129" s="118"/>
      <c r="QZS129" s="118"/>
      <c r="QZT129" s="118"/>
      <c r="QZU129" s="118"/>
      <c r="QZV129" s="118"/>
      <c r="QZW129" s="118"/>
      <c r="QZX129" s="118"/>
      <c r="QZY129" s="118"/>
      <c r="QZZ129" s="118"/>
      <c r="RAA129" s="118"/>
      <c r="RAB129" s="118"/>
      <c r="RAC129" s="118"/>
      <c r="RAD129" s="118"/>
      <c r="RAE129" s="118"/>
      <c r="RAF129" s="118"/>
      <c r="RAG129" s="118"/>
      <c r="RAH129" s="118"/>
      <c r="RAI129" s="118"/>
      <c r="RAJ129" s="118"/>
      <c r="RAK129" s="118"/>
      <c r="RAL129" s="118"/>
      <c r="RAM129" s="118"/>
      <c r="RAN129" s="118"/>
      <c r="RAO129" s="118"/>
      <c r="RAP129" s="118"/>
      <c r="RAQ129" s="118"/>
      <c r="RAR129" s="118"/>
      <c r="RAS129" s="118"/>
      <c r="RAT129" s="118"/>
      <c r="RAU129" s="118"/>
      <c r="RAV129" s="118"/>
      <c r="RAW129" s="118"/>
      <c r="RAX129" s="118"/>
      <c r="RAY129" s="118"/>
      <c r="RAZ129" s="118"/>
      <c r="RBA129" s="118"/>
      <c r="RBB129" s="118"/>
      <c r="RBC129" s="118"/>
      <c r="RBD129" s="118"/>
      <c r="RBE129" s="118"/>
      <c r="RBF129" s="118"/>
      <c r="RBG129" s="118"/>
      <c r="RBH129" s="118"/>
      <c r="RBI129" s="118"/>
      <c r="RBJ129" s="118"/>
      <c r="RBK129" s="118"/>
      <c r="RBL129" s="118"/>
      <c r="RBM129" s="118"/>
      <c r="RBN129" s="118"/>
      <c r="RBO129" s="118"/>
      <c r="RBP129" s="118"/>
      <c r="RBQ129" s="118"/>
      <c r="RBR129" s="118"/>
      <c r="RBS129" s="118"/>
      <c r="RBT129" s="118"/>
      <c r="RBU129" s="118"/>
      <c r="RBV129" s="118"/>
      <c r="RBW129" s="118"/>
      <c r="RBX129" s="118"/>
      <c r="RBY129" s="118"/>
      <c r="RBZ129" s="118"/>
      <c r="RCA129" s="118"/>
      <c r="RCB129" s="118"/>
      <c r="RCC129" s="118"/>
      <c r="RCD129" s="118"/>
      <c r="RCE129" s="118"/>
      <c r="RCF129" s="118"/>
      <c r="RCG129" s="118"/>
      <c r="RCH129" s="118"/>
      <c r="RCI129" s="118"/>
      <c r="RCJ129" s="118"/>
      <c r="RCK129" s="118"/>
      <c r="RCL129" s="118"/>
      <c r="RCM129" s="118"/>
      <c r="RCN129" s="118"/>
      <c r="RCO129" s="118"/>
      <c r="RCP129" s="118"/>
      <c r="RCQ129" s="118"/>
      <c r="RCR129" s="118"/>
      <c r="RCS129" s="118"/>
      <c r="RCT129" s="118"/>
      <c r="RCU129" s="118"/>
      <c r="RCV129" s="118"/>
      <c r="RCW129" s="118"/>
      <c r="RCX129" s="118"/>
      <c r="RCY129" s="118"/>
      <c r="RCZ129" s="118"/>
      <c r="RDA129" s="118"/>
      <c r="RDB129" s="118"/>
      <c r="RDC129" s="118"/>
      <c r="RDD129" s="118"/>
      <c r="RDE129" s="118"/>
      <c r="RDF129" s="118"/>
      <c r="RDG129" s="118"/>
      <c r="RDH129" s="118"/>
      <c r="RDI129" s="118"/>
      <c r="RDJ129" s="118"/>
      <c r="RDK129" s="118"/>
      <c r="RDL129" s="118"/>
      <c r="RDM129" s="118"/>
      <c r="RDN129" s="118"/>
      <c r="RDO129" s="118"/>
      <c r="RDP129" s="118"/>
      <c r="RDQ129" s="118"/>
      <c r="RDR129" s="118"/>
      <c r="RDS129" s="118"/>
      <c r="RDT129" s="118"/>
      <c r="RDU129" s="118"/>
      <c r="RDV129" s="118"/>
      <c r="RDW129" s="118"/>
      <c r="RDX129" s="118"/>
      <c r="RDY129" s="118"/>
      <c r="RDZ129" s="118"/>
      <c r="REA129" s="118"/>
      <c r="REB129" s="118"/>
      <c r="REC129" s="118"/>
      <c r="RED129" s="118"/>
      <c r="REE129" s="118"/>
      <c r="REF129" s="118"/>
      <c r="REG129" s="118"/>
      <c r="REH129" s="118"/>
      <c r="REI129" s="118"/>
      <c r="REJ129" s="118"/>
      <c r="REK129" s="118"/>
      <c r="REL129" s="118"/>
      <c r="REM129" s="118"/>
      <c r="REN129" s="118"/>
      <c r="REO129" s="118"/>
      <c r="REP129" s="118"/>
      <c r="REQ129" s="118"/>
      <c r="RER129" s="118"/>
      <c r="RES129" s="118"/>
      <c r="RET129" s="118"/>
      <c r="REU129" s="118"/>
      <c r="REV129" s="118"/>
      <c r="REW129" s="118"/>
      <c r="REX129" s="118"/>
      <c r="REY129" s="118"/>
      <c r="REZ129" s="118"/>
      <c r="RFA129" s="118"/>
      <c r="RFB129" s="118"/>
      <c r="RFC129" s="118"/>
      <c r="RFD129" s="118"/>
      <c r="RFE129" s="118"/>
      <c r="RFF129" s="118"/>
      <c r="RFG129" s="118"/>
      <c r="RFH129" s="118"/>
      <c r="RFI129" s="118"/>
      <c r="RFJ129" s="118"/>
      <c r="RFK129" s="118"/>
      <c r="RFL129" s="118"/>
      <c r="RFM129" s="118"/>
      <c r="RFN129" s="118"/>
      <c r="RFO129" s="118"/>
      <c r="RFP129" s="118"/>
      <c r="RFQ129" s="118"/>
      <c r="RFR129" s="118"/>
      <c r="RFS129" s="118"/>
      <c r="RFT129" s="118"/>
      <c r="RFU129" s="118"/>
      <c r="RFV129" s="118"/>
      <c r="RFW129" s="118"/>
      <c r="RFX129" s="118"/>
      <c r="RFY129" s="118"/>
      <c r="RFZ129" s="118"/>
      <c r="RGA129" s="118"/>
      <c r="RGB129" s="118"/>
      <c r="RGC129" s="118"/>
      <c r="RGD129" s="118"/>
      <c r="RGE129" s="118"/>
      <c r="RGF129" s="118"/>
      <c r="RGG129" s="118"/>
      <c r="RGH129" s="118"/>
      <c r="RGI129" s="118"/>
      <c r="RGJ129" s="118"/>
      <c r="RGK129" s="118"/>
      <c r="RGL129" s="118"/>
      <c r="RGM129" s="118"/>
      <c r="RGN129" s="118"/>
      <c r="RGO129" s="118"/>
      <c r="RGP129" s="118"/>
      <c r="RGQ129" s="118"/>
      <c r="RGR129" s="118"/>
      <c r="RGS129" s="118"/>
      <c r="RGT129" s="118"/>
      <c r="RGU129" s="118"/>
      <c r="RGV129" s="118"/>
      <c r="RGW129" s="118"/>
      <c r="RGX129" s="118"/>
      <c r="RGY129" s="118"/>
      <c r="RGZ129" s="118"/>
      <c r="RHA129" s="118"/>
      <c r="RHB129" s="118"/>
      <c r="RHC129" s="118"/>
      <c r="RHD129" s="118"/>
      <c r="RHE129" s="118"/>
      <c r="RHF129" s="118"/>
      <c r="RHG129" s="118"/>
      <c r="RHH129" s="118"/>
      <c r="RHI129" s="118"/>
      <c r="RHJ129" s="118"/>
      <c r="RHK129" s="118"/>
      <c r="RHL129" s="118"/>
      <c r="RHM129" s="118"/>
      <c r="RHN129" s="118"/>
      <c r="RHO129" s="118"/>
      <c r="RHP129" s="118"/>
      <c r="RHQ129" s="118"/>
      <c r="RHR129" s="118"/>
      <c r="RHS129" s="118"/>
      <c r="RHT129" s="118"/>
      <c r="RHU129" s="118"/>
      <c r="RHV129" s="118"/>
      <c r="RHW129" s="118"/>
      <c r="RHX129" s="118"/>
      <c r="RHY129" s="118"/>
      <c r="RHZ129" s="118"/>
      <c r="RIA129" s="118"/>
      <c r="RIB129" s="118"/>
      <c r="RIC129" s="118"/>
      <c r="RID129" s="118"/>
      <c r="RIE129" s="118"/>
      <c r="RIF129" s="118"/>
      <c r="RIG129" s="118"/>
      <c r="RIH129" s="118"/>
      <c r="RII129" s="118"/>
      <c r="RIJ129" s="118"/>
      <c r="RIK129" s="118"/>
      <c r="RIL129" s="118"/>
      <c r="RIM129" s="118"/>
      <c r="RIN129" s="118"/>
      <c r="RIO129" s="118"/>
      <c r="RIP129" s="118"/>
      <c r="RIQ129" s="118"/>
      <c r="RIR129" s="118"/>
      <c r="RIS129" s="118"/>
      <c r="RIT129" s="118"/>
      <c r="RIU129" s="118"/>
      <c r="RIV129" s="118"/>
      <c r="RIW129" s="118"/>
      <c r="RIX129" s="118"/>
      <c r="RIY129" s="118"/>
      <c r="RIZ129" s="118"/>
      <c r="RJA129" s="118"/>
      <c r="RJB129" s="118"/>
      <c r="RJC129" s="118"/>
      <c r="RJD129" s="118"/>
      <c r="RJE129" s="118"/>
      <c r="RJF129" s="118"/>
      <c r="RJG129" s="118"/>
      <c r="RJH129" s="118"/>
      <c r="RJI129" s="118"/>
      <c r="RJJ129" s="118"/>
      <c r="RJK129" s="118"/>
      <c r="RJL129" s="118"/>
      <c r="RJM129" s="118"/>
      <c r="RJN129" s="118"/>
      <c r="RJO129" s="118"/>
      <c r="RJP129" s="118"/>
      <c r="RJQ129" s="118"/>
      <c r="RJR129" s="118"/>
      <c r="RJS129" s="118"/>
      <c r="RJT129" s="118"/>
      <c r="RJU129" s="118"/>
      <c r="RJV129" s="118"/>
      <c r="RJW129" s="118"/>
      <c r="RJX129" s="118"/>
      <c r="RJY129" s="118"/>
      <c r="RJZ129" s="118"/>
      <c r="RKA129" s="118"/>
      <c r="RKB129" s="118"/>
      <c r="RKC129" s="118"/>
      <c r="RKD129" s="118"/>
      <c r="RKE129" s="118"/>
      <c r="RKF129" s="118"/>
      <c r="RKG129" s="118"/>
      <c r="RKH129" s="118"/>
      <c r="RKI129" s="118"/>
      <c r="RKJ129" s="118"/>
      <c r="RKK129" s="118"/>
      <c r="RKL129" s="118"/>
      <c r="RKM129" s="118"/>
      <c r="RKN129" s="118"/>
      <c r="RKO129" s="118"/>
      <c r="RKP129" s="118"/>
      <c r="RKQ129" s="118"/>
      <c r="RKR129" s="118"/>
      <c r="RKS129" s="118"/>
      <c r="RKT129" s="118"/>
      <c r="RKU129" s="118"/>
      <c r="RKV129" s="118"/>
      <c r="RKW129" s="118"/>
      <c r="RKX129" s="118"/>
      <c r="RKY129" s="118"/>
      <c r="RKZ129" s="118"/>
      <c r="RLA129" s="118"/>
      <c r="RLB129" s="118"/>
      <c r="RLC129" s="118"/>
      <c r="RLD129" s="118"/>
      <c r="RLE129" s="118"/>
      <c r="RLF129" s="118"/>
      <c r="RLG129" s="118"/>
      <c r="RLH129" s="118"/>
      <c r="RLI129" s="118"/>
      <c r="RLJ129" s="118"/>
      <c r="RLK129" s="118"/>
      <c r="RLL129" s="118"/>
      <c r="RLM129" s="118"/>
      <c r="RLN129" s="118"/>
      <c r="RLO129" s="118"/>
      <c r="RLP129" s="118"/>
      <c r="RLQ129" s="118"/>
      <c r="RLR129" s="118"/>
      <c r="RLS129" s="118"/>
      <c r="RLT129" s="118"/>
      <c r="RLU129" s="118"/>
      <c r="RLV129" s="118"/>
      <c r="RLW129" s="118"/>
      <c r="RLX129" s="118"/>
      <c r="RLY129" s="118"/>
      <c r="RLZ129" s="118"/>
      <c r="RMA129" s="118"/>
      <c r="RMB129" s="118"/>
      <c r="RMC129" s="118"/>
      <c r="RMD129" s="118"/>
      <c r="RME129" s="118"/>
      <c r="RMF129" s="118"/>
      <c r="RMG129" s="118"/>
      <c r="RMH129" s="118"/>
      <c r="RMI129" s="118"/>
      <c r="RMJ129" s="118"/>
      <c r="RMK129" s="118"/>
      <c r="RML129" s="118"/>
      <c r="RMM129" s="118"/>
      <c r="RMN129" s="118"/>
      <c r="RMO129" s="118"/>
      <c r="RMP129" s="118"/>
      <c r="RMQ129" s="118"/>
      <c r="RMR129" s="118"/>
      <c r="RMS129" s="118"/>
      <c r="RMT129" s="118"/>
      <c r="RMU129" s="118"/>
      <c r="RMV129" s="118"/>
      <c r="RMW129" s="118"/>
      <c r="RMX129" s="118"/>
      <c r="RMY129" s="118"/>
      <c r="RMZ129" s="118"/>
      <c r="RNA129" s="118"/>
      <c r="RNB129" s="118"/>
      <c r="RNC129" s="118"/>
      <c r="RND129" s="118"/>
      <c r="RNE129" s="118"/>
      <c r="RNF129" s="118"/>
      <c r="RNG129" s="118"/>
      <c r="RNH129" s="118"/>
      <c r="RNI129" s="118"/>
      <c r="RNJ129" s="118"/>
      <c r="RNK129" s="118"/>
      <c r="RNL129" s="118"/>
      <c r="RNM129" s="118"/>
      <c r="RNN129" s="118"/>
      <c r="RNO129" s="118"/>
      <c r="RNP129" s="118"/>
      <c r="RNQ129" s="118"/>
      <c r="RNR129" s="118"/>
      <c r="RNS129" s="118"/>
      <c r="RNT129" s="118"/>
      <c r="RNU129" s="118"/>
      <c r="RNV129" s="118"/>
      <c r="RNW129" s="118"/>
      <c r="RNX129" s="118"/>
      <c r="RNY129" s="118"/>
      <c r="RNZ129" s="118"/>
      <c r="ROA129" s="118"/>
      <c r="ROB129" s="118"/>
      <c r="ROC129" s="118"/>
      <c r="ROD129" s="118"/>
      <c r="ROE129" s="118"/>
      <c r="ROF129" s="118"/>
      <c r="ROG129" s="118"/>
      <c r="ROH129" s="118"/>
      <c r="ROI129" s="118"/>
      <c r="ROJ129" s="118"/>
      <c r="ROK129" s="118"/>
      <c r="ROL129" s="118"/>
      <c r="ROM129" s="118"/>
      <c r="RON129" s="118"/>
      <c r="ROO129" s="118"/>
      <c r="ROP129" s="118"/>
      <c r="ROQ129" s="118"/>
      <c r="ROR129" s="118"/>
      <c r="ROS129" s="118"/>
      <c r="ROT129" s="118"/>
      <c r="ROU129" s="118"/>
      <c r="ROV129" s="118"/>
      <c r="ROW129" s="118"/>
      <c r="ROX129" s="118"/>
      <c r="ROY129" s="118"/>
      <c r="ROZ129" s="118"/>
      <c r="RPA129" s="118"/>
      <c r="RPB129" s="118"/>
      <c r="RPC129" s="118"/>
      <c r="RPD129" s="118"/>
      <c r="RPE129" s="118"/>
      <c r="RPF129" s="118"/>
      <c r="RPG129" s="118"/>
      <c r="RPH129" s="118"/>
      <c r="RPI129" s="118"/>
      <c r="RPJ129" s="118"/>
      <c r="RPK129" s="118"/>
      <c r="RPL129" s="118"/>
      <c r="RPM129" s="118"/>
      <c r="RPN129" s="118"/>
      <c r="RPO129" s="118"/>
      <c r="RPP129" s="118"/>
      <c r="RPQ129" s="118"/>
      <c r="RPR129" s="118"/>
      <c r="RPS129" s="118"/>
      <c r="RPT129" s="118"/>
      <c r="RPU129" s="118"/>
      <c r="RPV129" s="118"/>
      <c r="RPW129" s="118"/>
      <c r="RPX129" s="118"/>
      <c r="RPY129" s="118"/>
      <c r="RPZ129" s="118"/>
      <c r="RQA129" s="118"/>
      <c r="RQB129" s="118"/>
      <c r="RQC129" s="118"/>
      <c r="RQD129" s="118"/>
      <c r="RQE129" s="118"/>
      <c r="RQF129" s="118"/>
      <c r="RQG129" s="118"/>
      <c r="RQH129" s="118"/>
      <c r="RQI129" s="118"/>
      <c r="RQJ129" s="118"/>
      <c r="RQK129" s="118"/>
      <c r="RQL129" s="118"/>
      <c r="RQM129" s="118"/>
      <c r="RQN129" s="118"/>
      <c r="RQO129" s="118"/>
      <c r="RQP129" s="118"/>
      <c r="RQQ129" s="118"/>
      <c r="RQR129" s="118"/>
      <c r="RQS129" s="118"/>
      <c r="RQT129" s="118"/>
      <c r="RQU129" s="118"/>
      <c r="RQV129" s="118"/>
      <c r="RQW129" s="118"/>
      <c r="RQX129" s="118"/>
      <c r="RQY129" s="118"/>
      <c r="RQZ129" s="118"/>
      <c r="RRA129" s="118"/>
      <c r="RRB129" s="118"/>
      <c r="RRC129" s="118"/>
      <c r="RRD129" s="118"/>
      <c r="RRE129" s="118"/>
      <c r="RRF129" s="118"/>
      <c r="RRG129" s="118"/>
      <c r="RRH129" s="118"/>
      <c r="RRI129" s="118"/>
      <c r="RRJ129" s="118"/>
      <c r="RRK129" s="118"/>
      <c r="RRL129" s="118"/>
      <c r="RRM129" s="118"/>
      <c r="RRN129" s="118"/>
      <c r="RRO129" s="118"/>
      <c r="RRP129" s="118"/>
      <c r="RRQ129" s="118"/>
      <c r="RRR129" s="118"/>
      <c r="RRS129" s="118"/>
      <c r="RRT129" s="118"/>
      <c r="RRU129" s="118"/>
      <c r="RRV129" s="118"/>
      <c r="RRW129" s="118"/>
      <c r="RRX129" s="118"/>
      <c r="RRY129" s="118"/>
      <c r="RRZ129" s="118"/>
      <c r="RSA129" s="118"/>
      <c r="RSB129" s="118"/>
      <c r="RSC129" s="118"/>
      <c r="RSD129" s="118"/>
      <c r="RSE129" s="118"/>
      <c r="RSF129" s="118"/>
      <c r="RSG129" s="118"/>
      <c r="RSH129" s="118"/>
      <c r="RSI129" s="118"/>
      <c r="RSJ129" s="118"/>
      <c r="RSK129" s="118"/>
      <c r="RSL129" s="118"/>
      <c r="RSM129" s="118"/>
      <c r="RSN129" s="118"/>
      <c r="RSO129" s="118"/>
      <c r="RSP129" s="118"/>
      <c r="RSQ129" s="118"/>
      <c r="RSR129" s="118"/>
      <c r="RSS129" s="118"/>
      <c r="RST129" s="118"/>
      <c r="RSU129" s="118"/>
      <c r="RSV129" s="118"/>
      <c r="RSW129" s="118"/>
      <c r="RSX129" s="118"/>
      <c r="RSY129" s="118"/>
      <c r="RSZ129" s="118"/>
      <c r="RTA129" s="118"/>
      <c r="RTB129" s="118"/>
      <c r="RTC129" s="118"/>
      <c r="RTD129" s="118"/>
      <c r="RTE129" s="118"/>
      <c r="RTF129" s="118"/>
      <c r="RTG129" s="118"/>
      <c r="RTH129" s="118"/>
      <c r="RTI129" s="118"/>
      <c r="RTJ129" s="118"/>
      <c r="RTK129" s="118"/>
      <c r="RTL129" s="118"/>
      <c r="RTM129" s="118"/>
      <c r="RTN129" s="118"/>
      <c r="RTO129" s="118"/>
      <c r="RTP129" s="118"/>
      <c r="RTQ129" s="118"/>
      <c r="RTR129" s="118"/>
      <c r="RTS129" s="118"/>
      <c r="RTT129" s="118"/>
      <c r="RTU129" s="118"/>
      <c r="RTV129" s="118"/>
      <c r="RTW129" s="118"/>
      <c r="RTX129" s="118"/>
      <c r="RTY129" s="118"/>
      <c r="RTZ129" s="118"/>
      <c r="RUA129" s="118"/>
      <c r="RUB129" s="118"/>
      <c r="RUC129" s="118"/>
      <c r="RUD129" s="118"/>
      <c r="RUE129" s="118"/>
      <c r="RUF129" s="118"/>
      <c r="RUG129" s="118"/>
      <c r="RUH129" s="118"/>
      <c r="RUI129" s="118"/>
      <c r="RUJ129" s="118"/>
      <c r="RUK129" s="118"/>
      <c r="RUL129" s="118"/>
      <c r="RUM129" s="118"/>
      <c r="RUN129" s="118"/>
      <c r="RUO129" s="118"/>
      <c r="RUP129" s="118"/>
      <c r="RUQ129" s="118"/>
      <c r="RUR129" s="118"/>
      <c r="RUS129" s="118"/>
      <c r="RUT129" s="118"/>
      <c r="RUU129" s="118"/>
      <c r="RUV129" s="118"/>
      <c r="RUW129" s="118"/>
      <c r="RUX129" s="118"/>
      <c r="RUY129" s="118"/>
      <c r="RUZ129" s="118"/>
      <c r="RVA129" s="118"/>
      <c r="RVB129" s="118"/>
      <c r="RVC129" s="118"/>
      <c r="RVD129" s="118"/>
      <c r="RVE129" s="118"/>
      <c r="RVF129" s="118"/>
      <c r="RVG129" s="118"/>
      <c r="RVH129" s="118"/>
      <c r="RVI129" s="118"/>
      <c r="RVJ129" s="118"/>
      <c r="RVK129" s="118"/>
      <c r="RVL129" s="118"/>
      <c r="RVM129" s="118"/>
      <c r="RVN129" s="118"/>
      <c r="RVO129" s="118"/>
      <c r="RVP129" s="118"/>
      <c r="RVQ129" s="118"/>
      <c r="RVR129" s="118"/>
      <c r="RVS129" s="118"/>
      <c r="RVT129" s="118"/>
      <c r="RVU129" s="118"/>
      <c r="RVV129" s="118"/>
      <c r="RVW129" s="118"/>
      <c r="RVX129" s="118"/>
      <c r="RVY129" s="118"/>
      <c r="RVZ129" s="118"/>
      <c r="RWA129" s="118"/>
      <c r="RWB129" s="118"/>
      <c r="RWC129" s="118"/>
      <c r="RWD129" s="118"/>
      <c r="RWE129" s="118"/>
      <c r="RWF129" s="118"/>
      <c r="RWG129" s="118"/>
      <c r="RWH129" s="118"/>
      <c r="RWI129" s="118"/>
      <c r="RWJ129" s="118"/>
      <c r="RWK129" s="118"/>
      <c r="RWL129" s="118"/>
      <c r="RWM129" s="118"/>
      <c r="RWN129" s="118"/>
      <c r="RWO129" s="118"/>
      <c r="RWP129" s="118"/>
      <c r="RWQ129" s="118"/>
      <c r="RWR129" s="118"/>
      <c r="RWS129" s="118"/>
      <c r="RWT129" s="118"/>
      <c r="RWU129" s="118"/>
      <c r="RWV129" s="118"/>
      <c r="RWW129" s="118"/>
      <c r="RWX129" s="118"/>
      <c r="RWY129" s="118"/>
      <c r="RWZ129" s="118"/>
      <c r="RXA129" s="118"/>
      <c r="RXB129" s="118"/>
      <c r="RXC129" s="118"/>
      <c r="RXD129" s="118"/>
      <c r="RXE129" s="118"/>
      <c r="RXF129" s="118"/>
      <c r="RXG129" s="118"/>
      <c r="RXH129" s="118"/>
      <c r="RXI129" s="118"/>
      <c r="RXJ129" s="118"/>
      <c r="RXK129" s="118"/>
      <c r="RXL129" s="118"/>
      <c r="RXM129" s="118"/>
      <c r="RXN129" s="118"/>
      <c r="RXO129" s="118"/>
      <c r="RXP129" s="118"/>
      <c r="RXQ129" s="118"/>
      <c r="RXR129" s="118"/>
      <c r="RXS129" s="118"/>
      <c r="RXT129" s="118"/>
      <c r="RXU129" s="118"/>
      <c r="RXV129" s="118"/>
      <c r="RXW129" s="118"/>
      <c r="RXX129" s="118"/>
      <c r="RXY129" s="118"/>
      <c r="RXZ129" s="118"/>
      <c r="RYA129" s="118"/>
      <c r="RYB129" s="118"/>
      <c r="RYC129" s="118"/>
      <c r="RYD129" s="118"/>
      <c r="RYE129" s="118"/>
      <c r="RYF129" s="118"/>
      <c r="RYG129" s="118"/>
      <c r="RYH129" s="118"/>
      <c r="RYI129" s="118"/>
      <c r="RYJ129" s="118"/>
      <c r="RYK129" s="118"/>
      <c r="RYL129" s="118"/>
      <c r="RYM129" s="118"/>
      <c r="RYN129" s="118"/>
      <c r="RYO129" s="118"/>
      <c r="RYP129" s="118"/>
      <c r="RYQ129" s="118"/>
      <c r="RYR129" s="118"/>
      <c r="RYS129" s="118"/>
      <c r="RYT129" s="118"/>
      <c r="RYU129" s="118"/>
      <c r="RYV129" s="118"/>
      <c r="RYW129" s="118"/>
      <c r="RYX129" s="118"/>
      <c r="RYY129" s="118"/>
      <c r="RYZ129" s="118"/>
      <c r="RZA129" s="118"/>
      <c r="RZB129" s="118"/>
      <c r="RZC129" s="118"/>
      <c r="RZD129" s="118"/>
      <c r="RZE129" s="118"/>
      <c r="RZF129" s="118"/>
      <c r="RZG129" s="118"/>
      <c r="RZH129" s="118"/>
      <c r="RZI129" s="118"/>
      <c r="RZJ129" s="118"/>
      <c r="RZK129" s="118"/>
      <c r="RZL129" s="118"/>
      <c r="RZM129" s="118"/>
      <c r="RZN129" s="118"/>
      <c r="RZO129" s="118"/>
      <c r="RZP129" s="118"/>
      <c r="RZQ129" s="118"/>
      <c r="RZR129" s="118"/>
      <c r="RZS129" s="118"/>
      <c r="RZT129" s="118"/>
      <c r="RZU129" s="118"/>
      <c r="RZV129" s="118"/>
      <c r="RZW129" s="118"/>
      <c r="RZX129" s="118"/>
      <c r="RZY129" s="118"/>
      <c r="RZZ129" s="118"/>
      <c r="SAA129" s="118"/>
      <c r="SAB129" s="118"/>
      <c r="SAC129" s="118"/>
      <c r="SAD129" s="118"/>
      <c r="SAE129" s="118"/>
      <c r="SAF129" s="118"/>
      <c r="SAG129" s="118"/>
      <c r="SAH129" s="118"/>
      <c r="SAI129" s="118"/>
      <c r="SAJ129" s="118"/>
      <c r="SAK129" s="118"/>
      <c r="SAL129" s="118"/>
      <c r="SAM129" s="118"/>
      <c r="SAN129" s="118"/>
      <c r="SAO129" s="118"/>
      <c r="SAP129" s="118"/>
      <c r="SAQ129" s="118"/>
      <c r="SAR129" s="118"/>
      <c r="SAS129" s="118"/>
      <c r="SAT129" s="118"/>
      <c r="SAU129" s="118"/>
      <c r="SAV129" s="118"/>
      <c r="SAW129" s="118"/>
      <c r="SAX129" s="118"/>
      <c r="SAY129" s="118"/>
      <c r="SAZ129" s="118"/>
      <c r="SBA129" s="118"/>
      <c r="SBB129" s="118"/>
      <c r="SBC129" s="118"/>
      <c r="SBD129" s="118"/>
      <c r="SBE129" s="118"/>
      <c r="SBF129" s="118"/>
      <c r="SBG129" s="118"/>
      <c r="SBH129" s="118"/>
      <c r="SBI129" s="118"/>
      <c r="SBJ129" s="118"/>
      <c r="SBK129" s="118"/>
      <c r="SBL129" s="118"/>
      <c r="SBM129" s="118"/>
      <c r="SBN129" s="118"/>
      <c r="SBO129" s="118"/>
      <c r="SBP129" s="118"/>
      <c r="SBQ129" s="118"/>
      <c r="SBR129" s="118"/>
      <c r="SBS129" s="118"/>
      <c r="SBT129" s="118"/>
      <c r="SBU129" s="118"/>
      <c r="SBV129" s="118"/>
      <c r="SBW129" s="118"/>
      <c r="SBX129" s="118"/>
      <c r="SBY129" s="118"/>
      <c r="SBZ129" s="118"/>
      <c r="SCA129" s="118"/>
      <c r="SCB129" s="118"/>
      <c r="SCC129" s="118"/>
      <c r="SCD129" s="118"/>
      <c r="SCE129" s="118"/>
      <c r="SCF129" s="118"/>
      <c r="SCG129" s="118"/>
      <c r="SCH129" s="118"/>
      <c r="SCI129" s="118"/>
      <c r="SCJ129" s="118"/>
      <c r="SCK129" s="118"/>
      <c r="SCL129" s="118"/>
      <c r="SCM129" s="118"/>
      <c r="SCN129" s="118"/>
      <c r="SCO129" s="118"/>
      <c r="SCP129" s="118"/>
      <c r="SCQ129" s="118"/>
      <c r="SCR129" s="118"/>
      <c r="SCS129" s="118"/>
      <c r="SCT129" s="118"/>
      <c r="SCU129" s="118"/>
      <c r="SCV129" s="118"/>
      <c r="SCW129" s="118"/>
      <c r="SCX129" s="118"/>
      <c r="SCY129" s="118"/>
      <c r="SCZ129" s="118"/>
      <c r="SDA129" s="118"/>
      <c r="SDB129" s="118"/>
      <c r="SDC129" s="118"/>
      <c r="SDD129" s="118"/>
      <c r="SDE129" s="118"/>
      <c r="SDF129" s="118"/>
      <c r="SDG129" s="118"/>
      <c r="SDH129" s="118"/>
      <c r="SDI129" s="118"/>
      <c r="SDJ129" s="118"/>
      <c r="SDK129" s="118"/>
      <c r="SDL129" s="118"/>
      <c r="SDM129" s="118"/>
      <c r="SDN129" s="118"/>
      <c r="SDO129" s="118"/>
      <c r="SDP129" s="118"/>
      <c r="SDQ129" s="118"/>
      <c r="SDR129" s="118"/>
      <c r="SDS129" s="118"/>
      <c r="SDT129" s="118"/>
      <c r="SDU129" s="118"/>
      <c r="SDV129" s="118"/>
      <c r="SDW129" s="118"/>
      <c r="SDX129" s="118"/>
      <c r="SDY129" s="118"/>
      <c r="SDZ129" s="118"/>
      <c r="SEA129" s="118"/>
      <c r="SEB129" s="118"/>
      <c r="SEC129" s="118"/>
      <c r="SED129" s="118"/>
      <c r="SEE129" s="118"/>
      <c r="SEF129" s="118"/>
      <c r="SEG129" s="118"/>
      <c r="SEH129" s="118"/>
      <c r="SEI129" s="118"/>
      <c r="SEJ129" s="118"/>
      <c r="SEK129" s="118"/>
      <c r="SEL129" s="118"/>
      <c r="SEM129" s="118"/>
      <c r="SEN129" s="118"/>
      <c r="SEO129" s="118"/>
      <c r="SEP129" s="118"/>
      <c r="SEQ129" s="118"/>
      <c r="SER129" s="118"/>
      <c r="SES129" s="118"/>
      <c r="SET129" s="118"/>
      <c r="SEU129" s="118"/>
      <c r="SEV129" s="118"/>
      <c r="SEW129" s="118"/>
      <c r="SEX129" s="118"/>
      <c r="SEY129" s="118"/>
      <c r="SEZ129" s="118"/>
      <c r="SFA129" s="118"/>
      <c r="SFB129" s="118"/>
      <c r="SFC129" s="118"/>
      <c r="SFD129" s="118"/>
      <c r="SFE129" s="118"/>
      <c r="SFF129" s="118"/>
      <c r="SFG129" s="118"/>
      <c r="SFH129" s="118"/>
      <c r="SFI129" s="118"/>
      <c r="SFJ129" s="118"/>
      <c r="SFK129" s="118"/>
      <c r="SFL129" s="118"/>
      <c r="SFM129" s="118"/>
      <c r="SFN129" s="118"/>
      <c r="SFO129" s="118"/>
      <c r="SFP129" s="118"/>
      <c r="SFQ129" s="118"/>
      <c r="SFR129" s="118"/>
      <c r="SFS129" s="118"/>
      <c r="SFT129" s="118"/>
      <c r="SFU129" s="118"/>
      <c r="SFV129" s="118"/>
      <c r="SFW129" s="118"/>
      <c r="SFX129" s="118"/>
      <c r="SFY129" s="118"/>
      <c r="SFZ129" s="118"/>
      <c r="SGA129" s="118"/>
      <c r="SGB129" s="118"/>
      <c r="SGC129" s="118"/>
      <c r="SGD129" s="118"/>
      <c r="SGE129" s="118"/>
      <c r="SGF129" s="118"/>
      <c r="SGG129" s="118"/>
      <c r="SGH129" s="118"/>
      <c r="SGI129" s="118"/>
      <c r="SGJ129" s="118"/>
      <c r="SGK129" s="118"/>
      <c r="SGL129" s="118"/>
      <c r="SGM129" s="118"/>
      <c r="SGN129" s="118"/>
      <c r="SGO129" s="118"/>
      <c r="SGP129" s="118"/>
      <c r="SGQ129" s="118"/>
      <c r="SGR129" s="118"/>
      <c r="SGS129" s="118"/>
      <c r="SGT129" s="118"/>
      <c r="SGU129" s="118"/>
      <c r="SGV129" s="118"/>
      <c r="SGW129" s="118"/>
      <c r="SGX129" s="118"/>
      <c r="SGY129" s="118"/>
      <c r="SGZ129" s="118"/>
      <c r="SHA129" s="118"/>
      <c r="SHB129" s="118"/>
      <c r="SHC129" s="118"/>
      <c r="SHD129" s="118"/>
      <c r="SHE129" s="118"/>
      <c r="SHF129" s="118"/>
      <c r="SHG129" s="118"/>
      <c r="SHH129" s="118"/>
      <c r="SHI129" s="118"/>
      <c r="SHJ129" s="118"/>
      <c r="SHK129" s="118"/>
      <c r="SHL129" s="118"/>
      <c r="SHM129" s="118"/>
      <c r="SHN129" s="118"/>
      <c r="SHO129" s="118"/>
      <c r="SHP129" s="118"/>
      <c r="SHQ129" s="118"/>
      <c r="SHR129" s="118"/>
      <c r="SHS129" s="118"/>
      <c r="SHT129" s="118"/>
      <c r="SHU129" s="118"/>
      <c r="SHV129" s="118"/>
      <c r="SHW129" s="118"/>
      <c r="SHX129" s="118"/>
      <c r="SHY129" s="118"/>
      <c r="SHZ129" s="118"/>
      <c r="SIA129" s="118"/>
      <c r="SIB129" s="118"/>
      <c r="SIC129" s="118"/>
      <c r="SID129" s="118"/>
      <c r="SIE129" s="118"/>
      <c r="SIF129" s="118"/>
      <c r="SIG129" s="118"/>
      <c r="SIH129" s="118"/>
      <c r="SII129" s="118"/>
      <c r="SIJ129" s="118"/>
      <c r="SIK129" s="118"/>
      <c r="SIL129" s="118"/>
      <c r="SIM129" s="118"/>
      <c r="SIN129" s="118"/>
      <c r="SIO129" s="118"/>
      <c r="SIP129" s="118"/>
      <c r="SIQ129" s="118"/>
      <c r="SIR129" s="118"/>
      <c r="SIS129" s="118"/>
      <c r="SIT129" s="118"/>
      <c r="SIU129" s="118"/>
      <c r="SIV129" s="118"/>
      <c r="SIW129" s="118"/>
      <c r="SIX129" s="118"/>
      <c r="SIY129" s="118"/>
      <c r="SIZ129" s="118"/>
      <c r="SJA129" s="118"/>
      <c r="SJB129" s="118"/>
      <c r="SJC129" s="118"/>
      <c r="SJD129" s="118"/>
      <c r="SJE129" s="118"/>
      <c r="SJF129" s="118"/>
      <c r="SJG129" s="118"/>
      <c r="SJH129" s="118"/>
      <c r="SJI129" s="118"/>
      <c r="SJJ129" s="118"/>
      <c r="SJK129" s="118"/>
      <c r="SJL129" s="118"/>
      <c r="SJM129" s="118"/>
      <c r="SJN129" s="118"/>
      <c r="SJO129" s="118"/>
      <c r="SJP129" s="118"/>
      <c r="SJQ129" s="118"/>
      <c r="SJR129" s="118"/>
      <c r="SJS129" s="118"/>
      <c r="SJT129" s="118"/>
      <c r="SJU129" s="118"/>
      <c r="SJV129" s="118"/>
      <c r="SJW129" s="118"/>
      <c r="SJX129" s="118"/>
      <c r="SJY129" s="118"/>
      <c r="SJZ129" s="118"/>
      <c r="SKA129" s="118"/>
      <c r="SKB129" s="118"/>
      <c r="SKC129" s="118"/>
      <c r="SKD129" s="118"/>
      <c r="SKE129" s="118"/>
      <c r="SKF129" s="118"/>
      <c r="SKG129" s="118"/>
      <c r="SKH129" s="118"/>
      <c r="SKI129" s="118"/>
      <c r="SKJ129" s="118"/>
      <c r="SKK129" s="118"/>
      <c r="SKL129" s="118"/>
      <c r="SKM129" s="118"/>
      <c r="SKN129" s="118"/>
      <c r="SKO129" s="118"/>
      <c r="SKP129" s="118"/>
      <c r="SKQ129" s="118"/>
      <c r="SKR129" s="118"/>
      <c r="SKS129" s="118"/>
      <c r="SKT129" s="118"/>
      <c r="SKU129" s="118"/>
      <c r="SKV129" s="118"/>
      <c r="SKW129" s="118"/>
      <c r="SKX129" s="118"/>
      <c r="SKY129" s="118"/>
      <c r="SKZ129" s="118"/>
      <c r="SLA129" s="118"/>
      <c r="SLB129" s="118"/>
      <c r="SLC129" s="118"/>
      <c r="SLD129" s="118"/>
      <c r="SLE129" s="118"/>
      <c r="SLF129" s="118"/>
      <c r="SLG129" s="118"/>
      <c r="SLH129" s="118"/>
      <c r="SLI129" s="118"/>
      <c r="SLJ129" s="118"/>
      <c r="SLK129" s="118"/>
      <c r="SLL129" s="118"/>
      <c r="SLM129" s="118"/>
      <c r="SLN129" s="118"/>
      <c r="SLO129" s="118"/>
      <c r="SLP129" s="118"/>
      <c r="SLQ129" s="118"/>
      <c r="SLR129" s="118"/>
      <c r="SLS129" s="118"/>
      <c r="SLT129" s="118"/>
      <c r="SLU129" s="118"/>
      <c r="SLV129" s="118"/>
      <c r="SLW129" s="118"/>
      <c r="SLX129" s="118"/>
      <c r="SLY129" s="118"/>
      <c r="SLZ129" s="118"/>
      <c r="SMA129" s="118"/>
      <c r="SMB129" s="118"/>
      <c r="SMC129" s="118"/>
      <c r="SMD129" s="118"/>
      <c r="SME129" s="118"/>
      <c r="SMF129" s="118"/>
      <c r="SMG129" s="118"/>
      <c r="SMH129" s="118"/>
      <c r="SMI129" s="118"/>
      <c r="SMJ129" s="118"/>
      <c r="SMK129" s="118"/>
      <c r="SML129" s="118"/>
      <c r="SMM129" s="118"/>
      <c r="SMN129" s="118"/>
      <c r="SMO129" s="118"/>
      <c r="SMP129" s="118"/>
      <c r="SMQ129" s="118"/>
      <c r="SMR129" s="118"/>
      <c r="SMS129" s="118"/>
      <c r="SMT129" s="118"/>
      <c r="SMU129" s="118"/>
      <c r="SMV129" s="118"/>
      <c r="SMW129" s="118"/>
      <c r="SMX129" s="118"/>
      <c r="SMY129" s="118"/>
      <c r="SMZ129" s="118"/>
      <c r="SNA129" s="118"/>
      <c r="SNB129" s="118"/>
      <c r="SNC129" s="118"/>
      <c r="SND129" s="118"/>
      <c r="SNE129" s="118"/>
      <c r="SNF129" s="118"/>
      <c r="SNG129" s="118"/>
      <c r="SNH129" s="118"/>
      <c r="SNI129" s="118"/>
      <c r="SNJ129" s="118"/>
      <c r="SNK129" s="118"/>
      <c r="SNL129" s="118"/>
      <c r="SNM129" s="118"/>
      <c r="SNN129" s="118"/>
      <c r="SNO129" s="118"/>
      <c r="SNP129" s="118"/>
      <c r="SNQ129" s="118"/>
      <c r="SNR129" s="118"/>
      <c r="SNS129" s="118"/>
      <c r="SNT129" s="118"/>
      <c r="SNU129" s="118"/>
      <c r="SNV129" s="118"/>
      <c r="SNW129" s="118"/>
      <c r="SNX129" s="118"/>
      <c r="SNY129" s="118"/>
      <c r="SNZ129" s="118"/>
      <c r="SOA129" s="118"/>
      <c r="SOB129" s="118"/>
      <c r="SOC129" s="118"/>
      <c r="SOD129" s="118"/>
      <c r="SOE129" s="118"/>
      <c r="SOF129" s="118"/>
      <c r="SOG129" s="118"/>
      <c r="SOH129" s="118"/>
      <c r="SOI129" s="118"/>
      <c r="SOJ129" s="118"/>
      <c r="SOK129" s="118"/>
      <c r="SOL129" s="118"/>
      <c r="SOM129" s="118"/>
      <c r="SON129" s="118"/>
      <c r="SOO129" s="118"/>
      <c r="SOP129" s="118"/>
      <c r="SOQ129" s="118"/>
      <c r="SOR129" s="118"/>
      <c r="SOS129" s="118"/>
      <c r="SOT129" s="118"/>
      <c r="SOU129" s="118"/>
      <c r="SOV129" s="118"/>
      <c r="SOW129" s="118"/>
      <c r="SOX129" s="118"/>
      <c r="SOY129" s="118"/>
      <c r="SOZ129" s="118"/>
      <c r="SPA129" s="118"/>
      <c r="SPB129" s="118"/>
      <c r="SPC129" s="118"/>
      <c r="SPD129" s="118"/>
      <c r="SPE129" s="118"/>
      <c r="SPF129" s="118"/>
      <c r="SPG129" s="118"/>
      <c r="SPH129" s="118"/>
      <c r="SPI129" s="118"/>
      <c r="SPJ129" s="118"/>
      <c r="SPK129" s="118"/>
      <c r="SPL129" s="118"/>
      <c r="SPM129" s="118"/>
      <c r="SPN129" s="118"/>
      <c r="SPO129" s="118"/>
      <c r="SPP129" s="118"/>
      <c r="SPQ129" s="118"/>
      <c r="SPR129" s="118"/>
      <c r="SPS129" s="118"/>
      <c r="SPT129" s="118"/>
      <c r="SPU129" s="118"/>
      <c r="SPV129" s="118"/>
      <c r="SPW129" s="118"/>
      <c r="SPX129" s="118"/>
      <c r="SPY129" s="118"/>
      <c r="SPZ129" s="118"/>
      <c r="SQA129" s="118"/>
      <c r="SQB129" s="118"/>
      <c r="SQC129" s="118"/>
      <c r="SQD129" s="118"/>
      <c r="SQE129" s="118"/>
      <c r="SQF129" s="118"/>
      <c r="SQG129" s="118"/>
      <c r="SQH129" s="118"/>
      <c r="SQI129" s="118"/>
      <c r="SQJ129" s="118"/>
      <c r="SQK129" s="118"/>
      <c r="SQL129" s="118"/>
      <c r="SQM129" s="118"/>
      <c r="SQN129" s="118"/>
      <c r="SQO129" s="118"/>
      <c r="SQP129" s="118"/>
      <c r="SQQ129" s="118"/>
      <c r="SQR129" s="118"/>
      <c r="SQS129" s="118"/>
      <c r="SQT129" s="118"/>
      <c r="SQU129" s="118"/>
      <c r="SQV129" s="118"/>
      <c r="SQW129" s="118"/>
      <c r="SQX129" s="118"/>
      <c r="SQY129" s="118"/>
      <c r="SQZ129" s="118"/>
      <c r="SRA129" s="118"/>
      <c r="SRB129" s="118"/>
      <c r="SRC129" s="118"/>
      <c r="SRD129" s="118"/>
      <c r="SRE129" s="118"/>
      <c r="SRF129" s="118"/>
      <c r="SRG129" s="118"/>
      <c r="SRH129" s="118"/>
      <c r="SRI129" s="118"/>
      <c r="SRJ129" s="118"/>
      <c r="SRK129" s="118"/>
      <c r="SRL129" s="118"/>
      <c r="SRM129" s="118"/>
      <c r="SRN129" s="118"/>
      <c r="SRO129" s="118"/>
      <c r="SRP129" s="118"/>
      <c r="SRQ129" s="118"/>
      <c r="SRR129" s="118"/>
      <c r="SRS129" s="118"/>
      <c r="SRT129" s="118"/>
      <c r="SRU129" s="118"/>
      <c r="SRV129" s="118"/>
      <c r="SRW129" s="118"/>
      <c r="SRX129" s="118"/>
      <c r="SRY129" s="118"/>
      <c r="SRZ129" s="118"/>
      <c r="SSA129" s="118"/>
      <c r="SSB129" s="118"/>
      <c r="SSC129" s="118"/>
      <c r="SSD129" s="118"/>
      <c r="SSE129" s="118"/>
      <c r="SSF129" s="118"/>
      <c r="SSG129" s="118"/>
      <c r="SSH129" s="118"/>
      <c r="SSI129" s="118"/>
      <c r="SSJ129" s="118"/>
      <c r="SSK129" s="118"/>
      <c r="SSL129" s="118"/>
      <c r="SSM129" s="118"/>
      <c r="SSN129" s="118"/>
      <c r="SSO129" s="118"/>
      <c r="SSP129" s="118"/>
      <c r="SSQ129" s="118"/>
      <c r="SSR129" s="118"/>
      <c r="SSS129" s="118"/>
      <c r="SST129" s="118"/>
      <c r="SSU129" s="118"/>
      <c r="SSV129" s="118"/>
      <c r="SSW129" s="118"/>
      <c r="SSX129" s="118"/>
      <c r="SSY129" s="118"/>
      <c r="SSZ129" s="118"/>
      <c r="STA129" s="118"/>
      <c r="STB129" s="118"/>
      <c r="STC129" s="118"/>
      <c r="STD129" s="118"/>
      <c r="STE129" s="118"/>
      <c r="STF129" s="118"/>
      <c r="STG129" s="118"/>
      <c r="STH129" s="118"/>
      <c r="STI129" s="118"/>
      <c r="STJ129" s="118"/>
      <c r="STK129" s="118"/>
      <c r="STL129" s="118"/>
      <c r="STM129" s="118"/>
      <c r="STN129" s="118"/>
      <c r="STO129" s="118"/>
      <c r="STP129" s="118"/>
      <c r="STQ129" s="118"/>
      <c r="STR129" s="118"/>
      <c r="STS129" s="118"/>
      <c r="STT129" s="118"/>
      <c r="STU129" s="118"/>
      <c r="STV129" s="118"/>
      <c r="STW129" s="118"/>
      <c r="STX129" s="118"/>
      <c r="STY129" s="118"/>
      <c r="STZ129" s="118"/>
      <c r="SUA129" s="118"/>
      <c r="SUB129" s="118"/>
      <c r="SUC129" s="118"/>
      <c r="SUD129" s="118"/>
      <c r="SUE129" s="118"/>
      <c r="SUF129" s="118"/>
      <c r="SUG129" s="118"/>
      <c r="SUH129" s="118"/>
      <c r="SUI129" s="118"/>
      <c r="SUJ129" s="118"/>
      <c r="SUK129" s="118"/>
      <c r="SUL129" s="118"/>
      <c r="SUM129" s="118"/>
      <c r="SUN129" s="118"/>
      <c r="SUO129" s="118"/>
      <c r="SUP129" s="118"/>
      <c r="SUQ129" s="118"/>
      <c r="SUR129" s="118"/>
      <c r="SUS129" s="118"/>
      <c r="SUT129" s="118"/>
      <c r="SUU129" s="118"/>
      <c r="SUV129" s="118"/>
      <c r="SUW129" s="118"/>
      <c r="SUX129" s="118"/>
      <c r="SUY129" s="118"/>
      <c r="SUZ129" s="118"/>
      <c r="SVA129" s="118"/>
      <c r="SVB129" s="118"/>
      <c r="SVC129" s="118"/>
      <c r="SVD129" s="118"/>
      <c r="SVE129" s="118"/>
      <c r="SVF129" s="118"/>
      <c r="SVG129" s="118"/>
      <c r="SVH129" s="118"/>
      <c r="SVI129" s="118"/>
      <c r="SVJ129" s="118"/>
      <c r="SVK129" s="118"/>
      <c r="SVL129" s="118"/>
      <c r="SVM129" s="118"/>
      <c r="SVN129" s="118"/>
      <c r="SVO129" s="118"/>
      <c r="SVP129" s="118"/>
      <c r="SVQ129" s="118"/>
      <c r="SVR129" s="118"/>
      <c r="SVS129" s="118"/>
      <c r="SVT129" s="118"/>
      <c r="SVU129" s="118"/>
      <c r="SVV129" s="118"/>
      <c r="SVW129" s="118"/>
      <c r="SVX129" s="118"/>
      <c r="SVY129" s="118"/>
      <c r="SVZ129" s="118"/>
      <c r="SWA129" s="118"/>
      <c r="SWB129" s="118"/>
      <c r="SWC129" s="118"/>
      <c r="SWD129" s="118"/>
      <c r="SWE129" s="118"/>
      <c r="SWF129" s="118"/>
      <c r="SWG129" s="118"/>
      <c r="SWH129" s="118"/>
      <c r="SWI129" s="118"/>
      <c r="SWJ129" s="118"/>
      <c r="SWK129" s="118"/>
      <c r="SWL129" s="118"/>
      <c r="SWM129" s="118"/>
      <c r="SWN129" s="118"/>
      <c r="SWO129" s="118"/>
      <c r="SWP129" s="118"/>
      <c r="SWQ129" s="118"/>
      <c r="SWR129" s="118"/>
      <c r="SWS129" s="118"/>
      <c r="SWT129" s="118"/>
      <c r="SWU129" s="118"/>
      <c r="SWV129" s="118"/>
      <c r="SWW129" s="118"/>
      <c r="SWX129" s="118"/>
      <c r="SWY129" s="118"/>
      <c r="SWZ129" s="118"/>
      <c r="SXA129" s="118"/>
      <c r="SXB129" s="118"/>
      <c r="SXC129" s="118"/>
      <c r="SXD129" s="118"/>
      <c r="SXE129" s="118"/>
      <c r="SXF129" s="118"/>
      <c r="SXG129" s="118"/>
      <c r="SXH129" s="118"/>
      <c r="SXI129" s="118"/>
      <c r="SXJ129" s="118"/>
      <c r="SXK129" s="118"/>
      <c r="SXL129" s="118"/>
      <c r="SXM129" s="118"/>
      <c r="SXN129" s="118"/>
      <c r="SXO129" s="118"/>
      <c r="SXP129" s="118"/>
      <c r="SXQ129" s="118"/>
      <c r="SXR129" s="118"/>
      <c r="SXS129" s="118"/>
      <c r="SXT129" s="118"/>
      <c r="SXU129" s="118"/>
      <c r="SXV129" s="118"/>
      <c r="SXW129" s="118"/>
      <c r="SXX129" s="118"/>
      <c r="SXY129" s="118"/>
      <c r="SXZ129" s="118"/>
      <c r="SYA129" s="118"/>
      <c r="SYB129" s="118"/>
      <c r="SYC129" s="118"/>
      <c r="SYD129" s="118"/>
      <c r="SYE129" s="118"/>
      <c r="SYF129" s="118"/>
      <c r="SYG129" s="118"/>
      <c r="SYH129" s="118"/>
      <c r="SYI129" s="118"/>
      <c r="SYJ129" s="118"/>
      <c r="SYK129" s="118"/>
      <c r="SYL129" s="118"/>
      <c r="SYM129" s="118"/>
      <c r="SYN129" s="118"/>
      <c r="SYO129" s="118"/>
      <c r="SYP129" s="118"/>
      <c r="SYQ129" s="118"/>
      <c r="SYR129" s="118"/>
      <c r="SYS129" s="118"/>
      <c r="SYT129" s="118"/>
      <c r="SYU129" s="118"/>
      <c r="SYV129" s="118"/>
      <c r="SYW129" s="118"/>
      <c r="SYX129" s="118"/>
      <c r="SYY129" s="118"/>
      <c r="SYZ129" s="118"/>
      <c r="SZA129" s="118"/>
      <c r="SZB129" s="118"/>
      <c r="SZC129" s="118"/>
      <c r="SZD129" s="118"/>
      <c r="SZE129" s="118"/>
      <c r="SZF129" s="118"/>
      <c r="SZG129" s="118"/>
      <c r="SZH129" s="118"/>
      <c r="SZI129" s="118"/>
      <c r="SZJ129" s="118"/>
      <c r="SZK129" s="118"/>
      <c r="SZL129" s="118"/>
      <c r="SZM129" s="118"/>
      <c r="SZN129" s="118"/>
      <c r="SZO129" s="118"/>
      <c r="SZP129" s="118"/>
      <c r="SZQ129" s="118"/>
      <c r="SZR129" s="118"/>
      <c r="SZS129" s="118"/>
      <c r="SZT129" s="118"/>
      <c r="SZU129" s="118"/>
      <c r="SZV129" s="118"/>
      <c r="SZW129" s="118"/>
      <c r="SZX129" s="118"/>
      <c r="SZY129" s="118"/>
      <c r="SZZ129" s="118"/>
      <c r="TAA129" s="118"/>
      <c r="TAB129" s="118"/>
      <c r="TAC129" s="118"/>
      <c r="TAD129" s="118"/>
      <c r="TAE129" s="118"/>
      <c r="TAF129" s="118"/>
      <c r="TAG129" s="118"/>
      <c r="TAH129" s="118"/>
      <c r="TAI129" s="118"/>
      <c r="TAJ129" s="118"/>
      <c r="TAK129" s="118"/>
      <c r="TAL129" s="118"/>
      <c r="TAM129" s="118"/>
      <c r="TAN129" s="118"/>
      <c r="TAO129" s="118"/>
      <c r="TAP129" s="118"/>
      <c r="TAQ129" s="118"/>
      <c r="TAR129" s="118"/>
      <c r="TAS129" s="118"/>
      <c r="TAT129" s="118"/>
      <c r="TAU129" s="118"/>
      <c r="TAV129" s="118"/>
      <c r="TAW129" s="118"/>
      <c r="TAX129" s="118"/>
      <c r="TAY129" s="118"/>
      <c r="TAZ129" s="118"/>
      <c r="TBA129" s="118"/>
      <c r="TBB129" s="118"/>
      <c r="TBC129" s="118"/>
      <c r="TBD129" s="118"/>
      <c r="TBE129" s="118"/>
      <c r="TBF129" s="118"/>
      <c r="TBG129" s="118"/>
      <c r="TBH129" s="118"/>
      <c r="TBI129" s="118"/>
      <c r="TBJ129" s="118"/>
      <c r="TBK129" s="118"/>
      <c r="TBL129" s="118"/>
      <c r="TBM129" s="118"/>
      <c r="TBN129" s="118"/>
      <c r="TBO129" s="118"/>
      <c r="TBP129" s="118"/>
      <c r="TBQ129" s="118"/>
      <c r="TBR129" s="118"/>
      <c r="TBS129" s="118"/>
      <c r="TBT129" s="118"/>
      <c r="TBU129" s="118"/>
      <c r="TBV129" s="118"/>
      <c r="TBW129" s="118"/>
      <c r="TBX129" s="118"/>
      <c r="TBY129" s="118"/>
      <c r="TBZ129" s="118"/>
      <c r="TCA129" s="118"/>
      <c r="TCB129" s="118"/>
      <c r="TCC129" s="118"/>
      <c r="TCD129" s="118"/>
      <c r="TCE129" s="118"/>
      <c r="TCF129" s="118"/>
      <c r="TCG129" s="118"/>
      <c r="TCH129" s="118"/>
      <c r="TCI129" s="118"/>
      <c r="TCJ129" s="118"/>
      <c r="TCK129" s="118"/>
      <c r="TCL129" s="118"/>
      <c r="TCM129" s="118"/>
      <c r="TCN129" s="118"/>
      <c r="TCO129" s="118"/>
      <c r="TCP129" s="118"/>
      <c r="TCQ129" s="118"/>
      <c r="TCR129" s="118"/>
      <c r="TCS129" s="118"/>
      <c r="TCT129" s="118"/>
      <c r="TCU129" s="118"/>
      <c r="TCV129" s="118"/>
      <c r="TCW129" s="118"/>
      <c r="TCX129" s="118"/>
      <c r="TCY129" s="118"/>
      <c r="TCZ129" s="118"/>
      <c r="TDA129" s="118"/>
      <c r="TDB129" s="118"/>
      <c r="TDC129" s="118"/>
      <c r="TDD129" s="118"/>
      <c r="TDE129" s="118"/>
      <c r="TDF129" s="118"/>
      <c r="TDG129" s="118"/>
      <c r="TDH129" s="118"/>
      <c r="TDI129" s="118"/>
      <c r="TDJ129" s="118"/>
      <c r="TDK129" s="118"/>
      <c r="TDL129" s="118"/>
      <c r="TDM129" s="118"/>
      <c r="TDN129" s="118"/>
      <c r="TDO129" s="118"/>
      <c r="TDP129" s="118"/>
      <c r="TDQ129" s="118"/>
      <c r="TDR129" s="118"/>
      <c r="TDS129" s="118"/>
      <c r="TDT129" s="118"/>
      <c r="TDU129" s="118"/>
      <c r="TDV129" s="118"/>
      <c r="TDW129" s="118"/>
      <c r="TDX129" s="118"/>
      <c r="TDY129" s="118"/>
      <c r="TDZ129" s="118"/>
      <c r="TEA129" s="118"/>
      <c r="TEB129" s="118"/>
      <c r="TEC129" s="118"/>
      <c r="TED129" s="118"/>
      <c r="TEE129" s="118"/>
      <c r="TEF129" s="118"/>
      <c r="TEG129" s="118"/>
      <c r="TEH129" s="118"/>
      <c r="TEI129" s="118"/>
      <c r="TEJ129" s="118"/>
      <c r="TEK129" s="118"/>
      <c r="TEL129" s="118"/>
      <c r="TEM129" s="118"/>
      <c r="TEN129" s="118"/>
      <c r="TEO129" s="118"/>
      <c r="TEP129" s="118"/>
      <c r="TEQ129" s="118"/>
      <c r="TER129" s="118"/>
      <c r="TES129" s="118"/>
      <c r="TET129" s="118"/>
      <c r="TEU129" s="118"/>
      <c r="TEV129" s="118"/>
      <c r="TEW129" s="118"/>
      <c r="TEX129" s="118"/>
      <c r="TEY129" s="118"/>
      <c r="TEZ129" s="118"/>
      <c r="TFA129" s="118"/>
      <c r="TFB129" s="118"/>
      <c r="TFC129" s="118"/>
      <c r="TFD129" s="118"/>
      <c r="TFE129" s="118"/>
      <c r="TFF129" s="118"/>
      <c r="TFG129" s="118"/>
      <c r="TFH129" s="118"/>
      <c r="TFI129" s="118"/>
      <c r="TFJ129" s="118"/>
      <c r="TFK129" s="118"/>
      <c r="TFL129" s="118"/>
      <c r="TFM129" s="118"/>
      <c r="TFN129" s="118"/>
      <c r="TFO129" s="118"/>
      <c r="TFP129" s="118"/>
      <c r="TFQ129" s="118"/>
      <c r="TFR129" s="118"/>
      <c r="TFS129" s="118"/>
      <c r="TFT129" s="118"/>
      <c r="TFU129" s="118"/>
      <c r="TFV129" s="118"/>
      <c r="TFW129" s="118"/>
      <c r="TFX129" s="118"/>
      <c r="TFY129" s="118"/>
      <c r="TFZ129" s="118"/>
      <c r="TGA129" s="118"/>
      <c r="TGB129" s="118"/>
      <c r="TGC129" s="118"/>
      <c r="TGD129" s="118"/>
      <c r="TGE129" s="118"/>
      <c r="TGF129" s="118"/>
      <c r="TGG129" s="118"/>
      <c r="TGH129" s="118"/>
      <c r="TGI129" s="118"/>
      <c r="TGJ129" s="118"/>
      <c r="TGK129" s="118"/>
      <c r="TGL129" s="118"/>
      <c r="TGM129" s="118"/>
      <c r="TGN129" s="118"/>
      <c r="TGO129" s="118"/>
      <c r="TGP129" s="118"/>
      <c r="TGQ129" s="118"/>
      <c r="TGR129" s="118"/>
      <c r="TGS129" s="118"/>
      <c r="TGT129" s="118"/>
      <c r="TGU129" s="118"/>
      <c r="TGV129" s="118"/>
      <c r="TGW129" s="118"/>
      <c r="TGX129" s="118"/>
      <c r="TGY129" s="118"/>
      <c r="TGZ129" s="118"/>
      <c r="THA129" s="118"/>
      <c r="THB129" s="118"/>
      <c r="THC129" s="118"/>
      <c r="THD129" s="118"/>
      <c r="THE129" s="118"/>
      <c r="THF129" s="118"/>
      <c r="THG129" s="118"/>
      <c r="THH129" s="118"/>
      <c r="THI129" s="118"/>
      <c r="THJ129" s="118"/>
      <c r="THK129" s="118"/>
      <c r="THL129" s="118"/>
      <c r="THM129" s="118"/>
      <c r="THN129" s="118"/>
      <c r="THO129" s="118"/>
      <c r="THP129" s="118"/>
      <c r="THQ129" s="118"/>
      <c r="THR129" s="118"/>
      <c r="THS129" s="118"/>
      <c r="THT129" s="118"/>
      <c r="THU129" s="118"/>
      <c r="THV129" s="118"/>
      <c r="THW129" s="118"/>
      <c r="THX129" s="118"/>
      <c r="THY129" s="118"/>
      <c r="THZ129" s="118"/>
      <c r="TIA129" s="118"/>
      <c r="TIB129" s="118"/>
      <c r="TIC129" s="118"/>
      <c r="TID129" s="118"/>
      <c r="TIE129" s="118"/>
      <c r="TIF129" s="118"/>
      <c r="TIG129" s="118"/>
      <c r="TIH129" s="118"/>
      <c r="TII129" s="118"/>
      <c r="TIJ129" s="118"/>
      <c r="TIK129" s="118"/>
      <c r="TIL129" s="118"/>
      <c r="TIM129" s="118"/>
      <c r="TIN129" s="118"/>
      <c r="TIO129" s="118"/>
      <c r="TIP129" s="118"/>
      <c r="TIQ129" s="118"/>
      <c r="TIR129" s="118"/>
      <c r="TIS129" s="118"/>
      <c r="TIT129" s="118"/>
      <c r="TIU129" s="118"/>
      <c r="TIV129" s="118"/>
      <c r="TIW129" s="118"/>
      <c r="TIX129" s="118"/>
      <c r="TIY129" s="118"/>
      <c r="TIZ129" s="118"/>
      <c r="TJA129" s="118"/>
      <c r="TJB129" s="118"/>
      <c r="TJC129" s="118"/>
      <c r="TJD129" s="118"/>
      <c r="TJE129" s="118"/>
      <c r="TJF129" s="118"/>
      <c r="TJG129" s="118"/>
      <c r="TJH129" s="118"/>
      <c r="TJI129" s="118"/>
      <c r="TJJ129" s="118"/>
      <c r="TJK129" s="118"/>
      <c r="TJL129" s="118"/>
      <c r="TJM129" s="118"/>
      <c r="TJN129" s="118"/>
      <c r="TJO129" s="118"/>
      <c r="TJP129" s="118"/>
      <c r="TJQ129" s="118"/>
      <c r="TJR129" s="118"/>
      <c r="TJS129" s="118"/>
      <c r="TJT129" s="118"/>
      <c r="TJU129" s="118"/>
      <c r="TJV129" s="118"/>
      <c r="TJW129" s="118"/>
      <c r="TJX129" s="118"/>
      <c r="TJY129" s="118"/>
      <c r="TJZ129" s="118"/>
      <c r="TKA129" s="118"/>
      <c r="TKB129" s="118"/>
      <c r="TKC129" s="118"/>
      <c r="TKD129" s="118"/>
      <c r="TKE129" s="118"/>
      <c r="TKF129" s="118"/>
      <c r="TKG129" s="118"/>
      <c r="TKH129" s="118"/>
      <c r="TKI129" s="118"/>
      <c r="TKJ129" s="118"/>
      <c r="TKK129" s="118"/>
      <c r="TKL129" s="118"/>
      <c r="TKM129" s="118"/>
      <c r="TKN129" s="118"/>
      <c r="TKO129" s="118"/>
      <c r="TKP129" s="118"/>
      <c r="TKQ129" s="118"/>
      <c r="TKR129" s="118"/>
      <c r="TKS129" s="118"/>
      <c r="TKT129" s="118"/>
      <c r="TKU129" s="118"/>
      <c r="TKV129" s="118"/>
      <c r="TKW129" s="118"/>
      <c r="TKX129" s="118"/>
      <c r="TKY129" s="118"/>
      <c r="TKZ129" s="118"/>
      <c r="TLA129" s="118"/>
      <c r="TLB129" s="118"/>
      <c r="TLC129" s="118"/>
      <c r="TLD129" s="118"/>
      <c r="TLE129" s="118"/>
      <c r="TLF129" s="118"/>
      <c r="TLG129" s="118"/>
      <c r="TLH129" s="118"/>
      <c r="TLI129" s="118"/>
      <c r="TLJ129" s="118"/>
      <c r="TLK129" s="118"/>
      <c r="TLL129" s="118"/>
      <c r="TLM129" s="118"/>
      <c r="TLN129" s="118"/>
      <c r="TLO129" s="118"/>
      <c r="TLP129" s="118"/>
      <c r="TLQ129" s="118"/>
      <c r="TLR129" s="118"/>
      <c r="TLS129" s="118"/>
      <c r="TLT129" s="118"/>
      <c r="TLU129" s="118"/>
      <c r="TLV129" s="118"/>
      <c r="TLW129" s="118"/>
      <c r="TLX129" s="118"/>
      <c r="TLY129" s="118"/>
      <c r="TLZ129" s="118"/>
      <c r="TMA129" s="118"/>
      <c r="TMB129" s="118"/>
      <c r="TMC129" s="118"/>
      <c r="TMD129" s="118"/>
      <c r="TME129" s="118"/>
      <c r="TMF129" s="118"/>
      <c r="TMG129" s="118"/>
      <c r="TMH129" s="118"/>
      <c r="TMI129" s="118"/>
      <c r="TMJ129" s="118"/>
      <c r="TMK129" s="118"/>
      <c r="TML129" s="118"/>
      <c r="TMM129" s="118"/>
      <c r="TMN129" s="118"/>
      <c r="TMO129" s="118"/>
      <c r="TMP129" s="118"/>
      <c r="TMQ129" s="118"/>
      <c r="TMR129" s="118"/>
      <c r="TMS129" s="118"/>
      <c r="TMT129" s="118"/>
      <c r="TMU129" s="118"/>
      <c r="TMV129" s="118"/>
      <c r="TMW129" s="118"/>
      <c r="TMX129" s="118"/>
      <c r="TMY129" s="118"/>
      <c r="TMZ129" s="118"/>
      <c r="TNA129" s="118"/>
      <c r="TNB129" s="118"/>
      <c r="TNC129" s="118"/>
      <c r="TND129" s="118"/>
      <c r="TNE129" s="118"/>
      <c r="TNF129" s="118"/>
      <c r="TNG129" s="118"/>
      <c r="TNH129" s="118"/>
      <c r="TNI129" s="118"/>
      <c r="TNJ129" s="118"/>
      <c r="TNK129" s="118"/>
      <c r="TNL129" s="118"/>
      <c r="TNM129" s="118"/>
      <c r="TNN129" s="118"/>
      <c r="TNO129" s="118"/>
      <c r="TNP129" s="118"/>
      <c r="TNQ129" s="118"/>
      <c r="TNR129" s="118"/>
      <c r="TNS129" s="118"/>
      <c r="TNT129" s="118"/>
      <c r="TNU129" s="118"/>
      <c r="TNV129" s="118"/>
      <c r="TNW129" s="118"/>
      <c r="TNX129" s="118"/>
      <c r="TNY129" s="118"/>
      <c r="TNZ129" s="118"/>
      <c r="TOA129" s="118"/>
      <c r="TOB129" s="118"/>
      <c r="TOC129" s="118"/>
      <c r="TOD129" s="118"/>
      <c r="TOE129" s="118"/>
      <c r="TOF129" s="118"/>
      <c r="TOG129" s="118"/>
      <c r="TOH129" s="118"/>
      <c r="TOI129" s="118"/>
      <c r="TOJ129" s="118"/>
      <c r="TOK129" s="118"/>
      <c r="TOL129" s="118"/>
      <c r="TOM129" s="118"/>
      <c r="TON129" s="118"/>
      <c r="TOO129" s="118"/>
      <c r="TOP129" s="118"/>
      <c r="TOQ129" s="118"/>
      <c r="TOR129" s="118"/>
      <c r="TOS129" s="118"/>
      <c r="TOT129" s="118"/>
      <c r="TOU129" s="118"/>
      <c r="TOV129" s="118"/>
      <c r="TOW129" s="118"/>
      <c r="TOX129" s="118"/>
      <c r="TOY129" s="118"/>
      <c r="TOZ129" s="118"/>
      <c r="TPA129" s="118"/>
      <c r="TPB129" s="118"/>
      <c r="TPC129" s="118"/>
      <c r="TPD129" s="118"/>
      <c r="TPE129" s="118"/>
      <c r="TPF129" s="118"/>
      <c r="TPG129" s="118"/>
      <c r="TPH129" s="118"/>
      <c r="TPI129" s="118"/>
      <c r="TPJ129" s="118"/>
      <c r="TPK129" s="118"/>
      <c r="TPL129" s="118"/>
      <c r="TPM129" s="118"/>
      <c r="TPN129" s="118"/>
      <c r="TPO129" s="118"/>
      <c r="TPP129" s="118"/>
      <c r="TPQ129" s="118"/>
      <c r="TPR129" s="118"/>
      <c r="TPS129" s="118"/>
      <c r="TPT129" s="118"/>
      <c r="TPU129" s="118"/>
      <c r="TPV129" s="118"/>
      <c r="TPW129" s="118"/>
      <c r="TPX129" s="118"/>
      <c r="TPY129" s="118"/>
      <c r="TPZ129" s="118"/>
      <c r="TQA129" s="118"/>
      <c r="TQB129" s="118"/>
      <c r="TQC129" s="118"/>
      <c r="TQD129" s="118"/>
      <c r="TQE129" s="118"/>
      <c r="TQF129" s="118"/>
      <c r="TQG129" s="118"/>
      <c r="TQH129" s="118"/>
      <c r="TQI129" s="118"/>
      <c r="TQJ129" s="118"/>
      <c r="TQK129" s="118"/>
      <c r="TQL129" s="118"/>
      <c r="TQM129" s="118"/>
      <c r="TQN129" s="118"/>
      <c r="TQO129" s="118"/>
      <c r="TQP129" s="118"/>
      <c r="TQQ129" s="118"/>
      <c r="TQR129" s="118"/>
      <c r="TQS129" s="118"/>
      <c r="TQT129" s="118"/>
      <c r="TQU129" s="118"/>
      <c r="TQV129" s="118"/>
      <c r="TQW129" s="118"/>
      <c r="TQX129" s="118"/>
      <c r="TQY129" s="118"/>
      <c r="TQZ129" s="118"/>
      <c r="TRA129" s="118"/>
      <c r="TRB129" s="118"/>
      <c r="TRC129" s="118"/>
      <c r="TRD129" s="118"/>
      <c r="TRE129" s="118"/>
      <c r="TRF129" s="118"/>
      <c r="TRG129" s="118"/>
      <c r="TRH129" s="118"/>
      <c r="TRI129" s="118"/>
      <c r="TRJ129" s="118"/>
      <c r="TRK129" s="118"/>
      <c r="TRL129" s="118"/>
      <c r="TRM129" s="118"/>
      <c r="TRN129" s="118"/>
      <c r="TRO129" s="118"/>
      <c r="TRP129" s="118"/>
      <c r="TRQ129" s="118"/>
      <c r="TRR129" s="118"/>
      <c r="TRS129" s="118"/>
      <c r="TRT129" s="118"/>
      <c r="TRU129" s="118"/>
      <c r="TRV129" s="118"/>
      <c r="TRW129" s="118"/>
      <c r="TRX129" s="118"/>
      <c r="TRY129" s="118"/>
      <c r="TRZ129" s="118"/>
      <c r="TSA129" s="118"/>
      <c r="TSB129" s="118"/>
      <c r="TSC129" s="118"/>
      <c r="TSD129" s="118"/>
      <c r="TSE129" s="118"/>
      <c r="TSF129" s="118"/>
      <c r="TSG129" s="118"/>
      <c r="TSH129" s="118"/>
      <c r="TSI129" s="118"/>
      <c r="TSJ129" s="118"/>
      <c r="TSK129" s="118"/>
      <c r="TSL129" s="118"/>
      <c r="TSM129" s="118"/>
      <c r="TSN129" s="118"/>
      <c r="TSO129" s="118"/>
      <c r="TSP129" s="118"/>
      <c r="TSQ129" s="118"/>
      <c r="TSR129" s="118"/>
      <c r="TSS129" s="118"/>
      <c r="TST129" s="118"/>
      <c r="TSU129" s="118"/>
      <c r="TSV129" s="118"/>
      <c r="TSW129" s="118"/>
      <c r="TSX129" s="118"/>
      <c r="TSY129" s="118"/>
      <c r="TSZ129" s="118"/>
      <c r="TTA129" s="118"/>
      <c r="TTB129" s="118"/>
      <c r="TTC129" s="118"/>
      <c r="TTD129" s="118"/>
      <c r="TTE129" s="118"/>
      <c r="TTF129" s="118"/>
      <c r="TTG129" s="118"/>
      <c r="TTH129" s="118"/>
      <c r="TTI129" s="118"/>
      <c r="TTJ129" s="118"/>
      <c r="TTK129" s="118"/>
      <c r="TTL129" s="118"/>
      <c r="TTM129" s="118"/>
      <c r="TTN129" s="118"/>
      <c r="TTO129" s="118"/>
      <c r="TTP129" s="118"/>
      <c r="TTQ129" s="118"/>
      <c r="TTR129" s="118"/>
      <c r="TTS129" s="118"/>
      <c r="TTT129" s="118"/>
      <c r="TTU129" s="118"/>
      <c r="TTV129" s="118"/>
      <c r="TTW129" s="118"/>
      <c r="TTX129" s="118"/>
      <c r="TTY129" s="118"/>
      <c r="TTZ129" s="118"/>
      <c r="TUA129" s="118"/>
      <c r="TUB129" s="118"/>
      <c r="TUC129" s="118"/>
      <c r="TUD129" s="118"/>
      <c r="TUE129" s="118"/>
      <c r="TUF129" s="118"/>
      <c r="TUG129" s="118"/>
      <c r="TUH129" s="118"/>
      <c r="TUI129" s="118"/>
      <c r="TUJ129" s="118"/>
      <c r="TUK129" s="118"/>
      <c r="TUL129" s="118"/>
      <c r="TUM129" s="118"/>
      <c r="TUN129" s="118"/>
      <c r="TUO129" s="118"/>
      <c r="TUP129" s="118"/>
      <c r="TUQ129" s="118"/>
      <c r="TUR129" s="118"/>
      <c r="TUS129" s="118"/>
      <c r="TUT129" s="118"/>
      <c r="TUU129" s="118"/>
      <c r="TUV129" s="118"/>
      <c r="TUW129" s="118"/>
      <c r="TUX129" s="118"/>
      <c r="TUY129" s="118"/>
      <c r="TUZ129" s="118"/>
      <c r="TVA129" s="118"/>
      <c r="TVB129" s="118"/>
      <c r="TVC129" s="118"/>
      <c r="TVD129" s="118"/>
      <c r="TVE129" s="118"/>
      <c r="TVF129" s="118"/>
      <c r="TVG129" s="118"/>
      <c r="TVH129" s="118"/>
      <c r="TVI129" s="118"/>
      <c r="TVJ129" s="118"/>
      <c r="TVK129" s="118"/>
      <c r="TVL129" s="118"/>
      <c r="TVM129" s="118"/>
      <c r="TVN129" s="118"/>
      <c r="TVO129" s="118"/>
      <c r="TVP129" s="118"/>
      <c r="TVQ129" s="118"/>
      <c r="TVR129" s="118"/>
      <c r="TVS129" s="118"/>
      <c r="TVT129" s="118"/>
      <c r="TVU129" s="118"/>
      <c r="TVV129" s="118"/>
      <c r="TVW129" s="118"/>
      <c r="TVX129" s="118"/>
      <c r="TVY129" s="118"/>
      <c r="TVZ129" s="118"/>
      <c r="TWA129" s="118"/>
      <c r="TWB129" s="118"/>
      <c r="TWC129" s="118"/>
      <c r="TWD129" s="118"/>
      <c r="TWE129" s="118"/>
      <c r="TWF129" s="118"/>
      <c r="TWG129" s="118"/>
      <c r="TWH129" s="118"/>
      <c r="TWI129" s="118"/>
      <c r="TWJ129" s="118"/>
      <c r="TWK129" s="118"/>
      <c r="TWL129" s="118"/>
      <c r="TWM129" s="118"/>
      <c r="TWN129" s="118"/>
      <c r="TWO129" s="118"/>
      <c r="TWP129" s="118"/>
      <c r="TWQ129" s="118"/>
      <c r="TWR129" s="118"/>
      <c r="TWS129" s="118"/>
      <c r="TWT129" s="118"/>
      <c r="TWU129" s="118"/>
      <c r="TWV129" s="118"/>
      <c r="TWW129" s="118"/>
      <c r="TWX129" s="118"/>
      <c r="TWY129" s="118"/>
      <c r="TWZ129" s="118"/>
      <c r="TXA129" s="118"/>
      <c r="TXB129" s="118"/>
      <c r="TXC129" s="118"/>
      <c r="TXD129" s="118"/>
      <c r="TXE129" s="118"/>
      <c r="TXF129" s="118"/>
      <c r="TXG129" s="118"/>
      <c r="TXH129" s="118"/>
      <c r="TXI129" s="118"/>
      <c r="TXJ129" s="118"/>
      <c r="TXK129" s="118"/>
      <c r="TXL129" s="118"/>
      <c r="TXM129" s="118"/>
      <c r="TXN129" s="118"/>
      <c r="TXO129" s="118"/>
      <c r="TXP129" s="118"/>
      <c r="TXQ129" s="118"/>
      <c r="TXR129" s="118"/>
      <c r="TXS129" s="118"/>
      <c r="TXT129" s="118"/>
      <c r="TXU129" s="118"/>
      <c r="TXV129" s="118"/>
      <c r="TXW129" s="118"/>
      <c r="TXX129" s="118"/>
      <c r="TXY129" s="118"/>
      <c r="TXZ129" s="118"/>
      <c r="TYA129" s="118"/>
      <c r="TYB129" s="118"/>
      <c r="TYC129" s="118"/>
      <c r="TYD129" s="118"/>
      <c r="TYE129" s="118"/>
      <c r="TYF129" s="118"/>
      <c r="TYG129" s="118"/>
      <c r="TYH129" s="118"/>
      <c r="TYI129" s="118"/>
      <c r="TYJ129" s="118"/>
      <c r="TYK129" s="118"/>
      <c r="TYL129" s="118"/>
      <c r="TYM129" s="118"/>
      <c r="TYN129" s="118"/>
      <c r="TYO129" s="118"/>
      <c r="TYP129" s="118"/>
      <c r="TYQ129" s="118"/>
      <c r="TYR129" s="118"/>
      <c r="TYS129" s="118"/>
      <c r="TYT129" s="118"/>
      <c r="TYU129" s="118"/>
      <c r="TYV129" s="118"/>
      <c r="TYW129" s="118"/>
      <c r="TYX129" s="118"/>
      <c r="TYY129" s="118"/>
      <c r="TYZ129" s="118"/>
      <c r="TZA129" s="118"/>
      <c r="TZB129" s="118"/>
      <c r="TZC129" s="118"/>
      <c r="TZD129" s="118"/>
      <c r="TZE129" s="118"/>
      <c r="TZF129" s="118"/>
      <c r="TZG129" s="118"/>
      <c r="TZH129" s="118"/>
      <c r="TZI129" s="118"/>
      <c r="TZJ129" s="118"/>
      <c r="TZK129" s="118"/>
      <c r="TZL129" s="118"/>
      <c r="TZM129" s="118"/>
      <c r="TZN129" s="118"/>
      <c r="TZO129" s="118"/>
      <c r="TZP129" s="118"/>
      <c r="TZQ129" s="118"/>
      <c r="TZR129" s="118"/>
      <c r="TZS129" s="118"/>
      <c r="TZT129" s="118"/>
      <c r="TZU129" s="118"/>
      <c r="TZV129" s="118"/>
      <c r="TZW129" s="118"/>
      <c r="TZX129" s="118"/>
      <c r="TZY129" s="118"/>
      <c r="TZZ129" s="118"/>
      <c r="UAA129" s="118"/>
      <c r="UAB129" s="118"/>
      <c r="UAC129" s="118"/>
      <c r="UAD129" s="118"/>
      <c r="UAE129" s="118"/>
      <c r="UAF129" s="118"/>
      <c r="UAG129" s="118"/>
      <c r="UAH129" s="118"/>
      <c r="UAI129" s="118"/>
      <c r="UAJ129" s="118"/>
      <c r="UAK129" s="118"/>
      <c r="UAL129" s="118"/>
      <c r="UAM129" s="118"/>
      <c r="UAN129" s="118"/>
      <c r="UAO129" s="118"/>
      <c r="UAP129" s="118"/>
      <c r="UAQ129" s="118"/>
      <c r="UAR129" s="118"/>
      <c r="UAS129" s="118"/>
      <c r="UAT129" s="118"/>
      <c r="UAU129" s="118"/>
      <c r="UAV129" s="118"/>
      <c r="UAW129" s="118"/>
      <c r="UAX129" s="118"/>
      <c r="UAY129" s="118"/>
      <c r="UAZ129" s="118"/>
      <c r="UBA129" s="118"/>
      <c r="UBB129" s="118"/>
      <c r="UBC129" s="118"/>
      <c r="UBD129" s="118"/>
      <c r="UBE129" s="118"/>
      <c r="UBF129" s="118"/>
      <c r="UBG129" s="118"/>
      <c r="UBH129" s="118"/>
      <c r="UBI129" s="118"/>
      <c r="UBJ129" s="118"/>
      <c r="UBK129" s="118"/>
      <c r="UBL129" s="118"/>
      <c r="UBM129" s="118"/>
      <c r="UBN129" s="118"/>
      <c r="UBO129" s="118"/>
      <c r="UBP129" s="118"/>
      <c r="UBQ129" s="118"/>
      <c r="UBR129" s="118"/>
      <c r="UBS129" s="118"/>
      <c r="UBT129" s="118"/>
      <c r="UBU129" s="118"/>
      <c r="UBV129" s="118"/>
      <c r="UBW129" s="118"/>
      <c r="UBX129" s="118"/>
      <c r="UBY129" s="118"/>
      <c r="UBZ129" s="118"/>
      <c r="UCA129" s="118"/>
      <c r="UCB129" s="118"/>
      <c r="UCC129" s="118"/>
      <c r="UCD129" s="118"/>
      <c r="UCE129" s="118"/>
      <c r="UCF129" s="118"/>
      <c r="UCG129" s="118"/>
      <c r="UCH129" s="118"/>
      <c r="UCI129" s="118"/>
      <c r="UCJ129" s="118"/>
      <c r="UCK129" s="118"/>
      <c r="UCL129" s="118"/>
      <c r="UCM129" s="118"/>
      <c r="UCN129" s="118"/>
      <c r="UCO129" s="118"/>
      <c r="UCP129" s="118"/>
      <c r="UCQ129" s="118"/>
      <c r="UCR129" s="118"/>
      <c r="UCS129" s="118"/>
      <c r="UCT129" s="118"/>
      <c r="UCU129" s="118"/>
      <c r="UCV129" s="118"/>
      <c r="UCW129" s="118"/>
      <c r="UCX129" s="118"/>
      <c r="UCY129" s="118"/>
      <c r="UCZ129" s="118"/>
      <c r="UDA129" s="118"/>
      <c r="UDB129" s="118"/>
      <c r="UDC129" s="118"/>
      <c r="UDD129" s="118"/>
      <c r="UDE129" s="118"/>
      <c r="UDF129" s="118"/>
      <c r="UDG129" s="118"/>
      <c r="UDH129" s="118"/>
      <c r="UDI129" s="118"/>
      <c r="UDJ129" s="118"/>
      <c r="UDK129" s="118"/>
      <c r="UDL129" s="118"/>
      <c r="UDM129" s="118"/>
      <c r="UDN129" s="118"/>
      <c r="UDO129" s="118"/>
      <c r="UDP129" s="118"/>
      <c r="UDQ129" s="118"/>
      <c r="UDR129" s="118"/>
      <c r="UDS129" s="118"/>
      <c r="UDT129" s="118"/>
      <c r="UDU129" s="118"/>
      <c r="UDV129" s="118"/>
      <c r="UDW129" s="118"/>
      <c r="UDX129" s="118"/>
      <c r="UDY129" s="118"/>
      <c r="UDZ129" s="118"/>
      <c r="UEA129" s="118"/>
      <c r="UEB129" s="118"/>
      <c r="UEC129" s="118"/>
      <c r="UED129" s="118"/>
      <c r="UEE129" s="118"/>
      <c r="UEF129" s="118"/>
      <c r="UEG129" s="118"/>
      <c r="UEH129" s="118"/>
      <c r="UEI129" s="118"/>
      <c r="UEJ129" s="118"/>
      <c r="UEK129" s="118"/>
      <c r="UEL129" s="118"/>
      <c r="UEM129" s="118"/>
      <c r="UEN129" s="118"/>
      <c r="UEO129" s="118"/>
      <c r="UEP129" s="118"/>
      <c r="UEQ129" s="118"/>
      <c r="UER129" s="118"/>
      <c r="UES129" s="118"/>
      <c r="UET129" s="118"/>
      <c r="UEU129" s="118"/>
      <c r="UEV129" s="118"/>
      <c r="UEW129" s="118"/>
      <c r="UEX129" s="118"/>
      <c r="UEY129" s="118"/>
      <c r="UEZ129" s="118"/>
      <c r="UFA129" s="118"/>
      <c r="UFB129" s="118"/>
      <c r="UFC129" s="118"/>
      <c r="UFD129" s="118"/>
      <c r="UFE129" s="118"/>
      <c r="UFF129" s="118"/>
      <c r="UFG129" s="118"/>
      <c r="UFH129" s="118"/>
      <c r="UFI129" s="118"/>
      <c r="UFJ129" s="118"/>
      <c r="UFK129" s="118"/>
      <c r="UFL129" s="118"/>
      <c r="UFM129" s="118"/>
      <c r="UFN129" s="118"/>
      <c r="UFO129" s="118"/>
      <c r="UFP129" s="118"/>
      <c r="UFQ129" s="118"/>
      <c r="UFR129" s="118"/>
      <c r="UFS129" s="118"/>
      <c r="UFT129" s="118"/>
      <c r="UFU129" s="118"/>
      <c r="UFV129" s="118"/>
      <c r="UFW129" s="118"/>
      <c r="UFX129" s="118"/>
      <c r="UFY129" s="118"/>
      <c r="UFZ129" s="118"/>
      <c r="UGA129" s="118"/>
      <c r="UGB129" s="118"/>
      <c r="UGC129" s="118"/>
      <c r="UGD129" s="118"/>
      <c r="UGE129" s="118"/>
      <c r="UGF129" s="118"/>
      <c r="UGG129" s="118"/>
      <c r="UGH129" s="118"/>
      <c r="UGI129" s="118"/>
      <c r="UGJ129" s="118"/>
      <c r="UGK129" s="118"/>
      <c r="UGL129" s="118"/>
      <c r="UGM129" s="118"/>
      <c r="UGN129" s="118"/>
      <c r="UGO129" s="118"/>
      <c r="UGP129" s="118"/>
      <c r="UGQ129" s="118"/>
      <c r="UGR129" s="118"/>
      <c r="UGS129" s="118"/>
      <c r="UGT129" s="118"/>
      <c r="UGU129" s="118"/>
      <c r="UGV129" s="118"/>
      <c r="UGW129" s="118"/>
      <c r="UGX129" s="118"/>
      <c r="UGY129" s="118"/>
      <c r="UGZ129" s="118"/>
      <c r="UHA129" s="118"/>
      <c r="UHB129" s="118"/>
      <c r="UHC129" s="118"/>
      <c r="UHD129" s="118"/>
      <c r="UHE129" s="118"/>
      <c r="UHF129" s="118"/>
      <c r="UHG129" s="118"/>
      <c r="UHH129" s="118"/>
      <c r="UHI129" s="118"/>
      <c r="UHJ129" s="118"/>
      <c r="UHK129" s="118"/>
      <c r="UHL129" s="118"/>
      <c r="UHM129" s="118"/>
      <c r="UHN129" s="118"/>
      <c r="UHO129" s="118"/>
      <c r="UHP129" s="118"/>
      <c r="UHQ129" s="118"/>
      <c r="UHR129" s="118"/>
      <c r="UHS129" s="118"/>
      <c r="UHT129" s="118"/>
      <c r="UHU129" s="118"/>
      <c r="UHV129" s="118"/>
      <c r="UHW129" s="118"/>
      <c r="UHX129" s="118"/>
      <c r="UHY129" s="118"/>
      <c r="UHZ129" s="118"/>
      <c r="UIA129" s="118"/>
      <c r="UIB129" s="118"/>
      <c r="UIC129" s="118"/>
      <c r="UID129" s="118"/>
      <c r="UIE129" s="118"/>
      <c r="UIF129" s="118"/>
      <c r="UIG129" s="118"/>
      <c r="UIH129" s="118"/>
      <c r="UII129" s="118"/>
      <c r="UIJ129" s="118"/>
      <c r="UIK129" s="118"/>
      <c r="UIL129" s="118"/>
      <c r="UIM129" s="118"/>
      <c r="UIN129" s="118"/>
      <c r="UIO129" s="118"/>
      <c r="UIP129" s="118"/>
      <c r="UIQ129" s="118"/>
      <c r="UIR129" s="118"/>
      <c r="UIS129" s="118"/>
      <c r="UIT129" s="118"/>
      <c r="UIU129" s="118"/>
      <c r="UIV129" s="118"/>
      <c r="UIW129" s="118"/>
      <c r="UIX129" s="118"/>
      <c r="UIY129" s="118"/>
      <c r="UIZ129" s="118"/>
      <c r="UJA129" s="118"/>
      <c r="UJB129" s="118"/>
      <c r="UJC129" s="118"/>
      <c r="UJD129" s="118"/>
      <c r="UJE129" s="118"/>
      <c r="UJF129" s="118"/>
      <c r="UJG129" s="118"/>
      <c r="UJH129" s="118"/>
      <c r="UJI129" s="118"/>
      <c r="UJJ129" s="118"/>
      <c r="UJK129" s="118"/>
      <c r="UJL129" s="118"/>
      <c r="UJM129" s="118"/>
      <c r="UJN129" s="118"/>
      <c r="UJO129" s="118"/>
      <c r="UJP129" s="118"/>
      <c r="UJQ129" s="118"/>
      <c r="UJR129" s="118"/>
      <c r="UJS129" s="118"/>
      <c r="UJT129" s="118"/>
      <c r="UJU129" s="118"/>
      <c r="UJV129" s="118"/>
      <c r="UJW129" s="118"/>
      <c r="UJX129" s="118"/>
      <c r="UJY129" s="118"/>
      <c r="UJZ129" s="118"/>
      <c r="UKA129" s="118"/>
      <c r="UKB129" s="118"/>
      <c r="UKC129" s="118"/>
      <c r="UKD129" s="118"/>
      <c r="UKE129" s="118"/>
      <c r="UKF129" s="118"/>
      <c r="UKG129" s="118"/>
      <c r="UKH129" s="118"/>
      <c r="UKI129" s="118"/>
      <c r="UKJ129" s="118"/>
      <c r="UKK129" s="118"/>
      <c r="UKL129" s="118"/>
      <c r="UKM129" s="118"/>
      <c r="UKN129" s="118"/>
      <c r="UKO129" s="118"/>
      <c r="UKP129" s="118"/>
      <c r="UKQ129" s="118"/>
      <c r="UKR129" s="118"/>
      <c r="UKS129" s="118"/>
      <c r="UKT129" s="118"/>
      <c r="UKU129" s="118"/>
      <c r="UKV129" s="118"/>
      <c r="UKW129" s="118"/>
      <c r="UKX129" s="118"/>
      <c r="UKY129" s="118"/>
      <c r="UKZ129" s="118"/>
      <c r="ULA129" s="118"/>
      <c r="ULB129" s="118"/>
      <c r="ULC129" s="118"/>
      <c r="ULD129" s="118"/>
      <c r="ULE129" s="118"/>
      <c r="ULF129" s="118"/>
      <c r="ULG129" s="118"/>
      <c r="ULH129" s="118"/>
      <c r="ULI129" s="118"/>
      <c r="ULJ129" s="118"/>
      <c r="ULK129" s="118"/>
      <c r="ULL129" s="118"/>
      <c r="ULM129" s="118"/>
      <c r="ULN129" s="118"/>
      <c r="ULO129" s="118"/>
      <c r="ULP129" s="118"/>
      <c r="ULQ129" s="118"/>
      <c r="ULR129" s="118"/>
      <c r="ULS129" s="118"/>
      <c r="ULT129" s="118"/>
      <c r="ULU129" s="118"/>
      <c r="ULV129" s="118"/>
      <c r="ULW129" s="118"/>
      <c r="ULX129" s="118"/>
      <c r="ULY129" s="118"/>
      <c r="ULZ129" s="118"/>
      <c r="UMA129" s="118"/>
      <c r="UMB129" s="118"/>
      <c r="UMC129" s="118"/>
      <c r="UMD129" s="118"/>
      <c r="UME129" s="118"/>
      <c r="UMF129" s="118"/>
      <c r="UMG129" s="118"/>
      <c r="UMH129" s="118"/>
      <c r="UMI129" s="118"/>
      <c r="UMJ129" s="118"/>
      <c r="UMK129" s="118"/>
      <c r="UML129" s="118"/>
      <c r="UMM129" s="118"/>
      <c r="UMN129" s="118"/>
      <c r="UMO129" s="118"/>
      <c r="UMP129" s="118"/>
      <c r="UMQ129" s="118"/>
      <c r="UMR129" s="118"/>
      <c r="UMS129" s="118"/>
      <c r="UMT129" s="118"/>
      <c r="UMU129" s="118"/>
      <c r="UMV129" s="118"/>
      <c r="UMW129" s="118"/>
      <c r="UMX129" s="118"/>
      <c r="UMY129" s="118"/>
      <c r="UMZ129" s="118"/>
      <c r="UNA129" s="118"/>
      <c r="UNB129" s="118"/>
      <c r="UNC129" s="118"/>
      <c r="UND129" s="118"/>
      <c r="UNE129" s="118"/>
      <c r="UNF129" s="118"/>
      <c r="UNG129" s="118"/>
      <c r="UNH129" s="118"/>
      <c r="UNI129" s="118"/>
      <c r="UNJ129" s="118"/>
      <c r="UNK129" s="118"/>
      <c r="UNL129" s="118"/>
      <c r="UNM129" s="118"/>
      <c r="UNN129" s="118"/>
      <c r="UNO129" s="118"/>
      <c r="UNP129" s="118"/>
      <c r="UNQ129" s="118"/>
      <c r="UNR129" s="118"/>
      <c r="UNS129" s="118"/>
      <c r="UNT129" s="118"/>
      <c r="UNU129" s="118"/>
      <c r="UNV129" s="118"/>
      <c r="UNW129" s="118"/>
      <c r="UNX129" s="118"/>
      <c r="UNY129" s="118"/>
      <c r="UNZ129" s="118"/>
      <c r="UOA129" s="118"/>
      <c r="UOB129" s="118"/>
      <c r="UOC129" s="118"/>
      <c r="UOD129" s="118"/>
      <c r="UOE129" s="118"/>
      <c r="UOF129" s="118"/>
      <c r="UOG129" s="118"/>
      <c r="UOH129" s="118"/>
      <c r="UOI129" s="118"/>
      <c r="UOJ129" s="118"/>
      <c r="UOK129" s="118"/>
      <c r="UOL129" s="118"/>
      <c r="UOM129" s="118"/>
      <c r="UON129" s="118"/>
      <c r="UOO129" s="118"/>
      <c r="UOP129" s="118"/>
      <c r="UOQ129" s="118"/>
      <c r="UOR129" s="118"/>
      <c r="UOS129" s="118"/>
      <c r="UOT129" s="118"/>
      <c r="UOU129" s="118"/>
      <c r="UOV129" s="118"/>
      <c r="UOW129" s="118"/>
      <c r="UOX129" s="118"/>
      <c r="UOY129" s="118"/>
      <c r="UOZ129" s="118"/>
      <c r="UPA129" s="118"/>
      <c r="UPB129" s="118"/>
      <c r="UPC129" s="118"/>
      <c r="UPD129" s="118"/>
      <c r="UPE129" s="118"/>
      <c r="UPF129" s="118"/>
      <c r="UPG129" s="118"/>
      <c r="UPH129" s="118"/>
      <c r="UPI129" s="118"/>
      <c r="UPJ129" s="118"/>
      <c r="UPK129" s="118"/>
      <c r="UPL129" s="118"/>
      <c r="UPM129" s="118"/>
      <c r="UPN129" s="118"/>
      <c r="UPO129" s="118"/>
      <c r="UPP129" s="118"/>
      <c r="UPQ129" s="118"/>
      <c r="UPR129" s="118"/>
      <c r="UPS129" s="118"/>
      <c r="UPT129" s="118"/>
      <c r="UPU129" s="118"/>
      <c r="UPV129" s="118"/>
      <c r="UPW129" s="118"/>
      <c r="UPX129" s="118"/>
      <c r="UPY129" s="118"/>
      <c r="UPZ129" s="118"/>
      <c r="UQA129" s="118"/>
      <c r="UQB129" s="118"/>
      <c r="UQC129" s="118"/>
      <c r="UQD129" s="118"/>
      <c r="UQE129" s="118"/>
      <c r="UQF129" s="118"/>
      <c r="UQG129" s="118"/>
      <c r="UQH129" s="118"/>
      <c r="UQI129" s="118"/>
      <c r="UQJ129" s="118"/>
      <c r="UQK129" s="118"/>
      <c r="UQL129" s="118"/>
      <c r="UQM129" s="118"/>
      <c r="UQN129" s="118"/>
      <c r="UQO129" s="118"/>
      <c r="UQP129" s="118"/>
      <c r="UQQ129" s="118"/>
      <c r="UQR129" s="118"/>
      <c r="UQS129" s="118"/>
      <c r="UQT129" s="118"/>
      <c r="UQU129" s="118"/>
      <c r="UQV129" s="118"/>
      <c r="UQW129" s="118"/>
      <c r="UQX129" s="118"/>
      <c r="UQY129" s="118"/>
      <c r="UQZ129" s="118"/>
      <c r="URA129" s="118"/>
      <c r="URB129" s="118"/>
      <c r="URC129" s="118"/>
      <c r="URD129" s="118"/>
      <c r="URE129" s="118"/>
      <c r="URF129" s="118"/>
      <c r="URG129" s="118"/>
      <c r="URH129" s="118"/>
      <c r="URI129" s="118"/>
      <c r="URJ129" s="118"/>
      <c r="URK129" s="118"/>
      <c r="URL129" s="118"/>
      <c r="URM129" s="118"/>
      <c r="URN129" s="118"/>
      <c r="URO129" s="118"/>
      <c r="URP129" s="118"/>
      <c r="URQ129" s="118"/>
      <c r="URR129" s="118"/>
      <c r="URS129" s="118"/>
      <c r="URT129" s="118"/>
      <c r="URU129" s="118"/>
      <c r="URV129" s="118"/>
      <c r="URW129" s="118"/>
      <c r="URX129" s="118"/>
      <c r="URY129" s="118"/>
      <c r="URZ129" s="118"/>
      <c r="USA129" s="118"/>
      <c r="USB129" s="118"/>
      <c r="USC129" s="118"/>
      <c r="USD129" s="118"/>
      <c r="USE129" s="118"/>
      <c r="USF129" s="118"/>
      <c r="USG129" s="118"/>
      <c r="USH129" s="118"/>
      <c r="USI129" s="118"/>
      <c r="USJ129" s="118"/>
      <c r="USK129" s="118"/>
      <c r="USL129" s="118"/>
      <c r="USM129" s="118"/>
      <c r="USN129" s="118"/>
      <c r="USO129" s="118"/>
      <c r="USP129" s="118"/>
      <c r="USQ129" s="118"/>
      <c r="USR129" s="118"/>
      <c r="USS129" s="118"/>
      <c r="UST129" s="118"/>
      <c r="USU129" s="118"/>
      <c r="USV129" s="118"/>
      <c r="USW129" s="118"/>
      <c r="USX129" s="118"/>
      <c r="USY129" s="118"/>
      <c r="USZ129" s="118"/>
      <c r="UTA129" s="118"/>
      <c r="UTB129" s="118"/>
      <c r="UTC129" s="118"/>
      <c r="UTD129" s="118"/>
      <c r="UTE129" s="118"/>
      <c r="UTF129" s="118"/>
      <c r="UTG129" s="118"/>
      <c r="UTH129" s="118"/>
      <c r="UTI129" s="118"/>
      <c r="UTJ129" s="118"/>
      <c r="UTK129" s="118"/>
      <c r="UTL129" s="118"/>
      <c r="UTM129" s="118"/>
      <c r="UTN129" s="118"/>
      <c r="UTO129" s="118"/>
      <c r="UTP129" s="118"/>
      <c r="UTQ129" s="118"/>
      <c r="UTR129" s="118"/>
      <c r="UTS129" s="118"/>
      <c r="UTT129" s="118"/>
      <c r="UTU129" s="118"/>
      <c r="UTV129" s="118"/>
      <c r="UTW129" s="118"/>
      <c r="UTX129" s="118"/>
      <c r="UTY129" s="118"/>
      <c r="UTZ129" s="118"/>
      <c r="UUA129" s="118"/>
      <c r="UUB129" s="118"/>
      <c r="UUC129" s="118"/>
      <c r="UUD129" s="118"/>
      <c r="UUE129" s="118"/>
      <c r="UUF129" s="118"/>
      <c r="UUG129" s="118"/>
      <c r="UUH129" s="118"/>
      <c r="UUI129" s="118"/>
      <c r="UUJ129" s="118"/>
      <c r="UUK129" s="118"/>
      <c r="UUL129" s="118"/>
      <c r="UUM129" s="118"/>
      <c r="UUN129" s="118"/>
      <c r="UUO129" s="118"/>
      <c r="UUP129" s="118"/>
      <c r="UUQ129" s="118"/>
      <c r="UUR129" s="118"/>
      <c r="UUS129" s="118"/>
      <c r="UUT129" s="118"/>
      <c r="UUU129" s="118"/>
      <c r="UUV129" s="118"/>
      <c r="UUW129" s="118"/>
      <c r="UUX129" s="118"/>
      <c r="UUY129" s="118"/>
      <c r="UUZ129" s="118"/>
      <c r="UVA129" s="118"/>
      <c r="UVB129" s="118"/>
      <c r="UVC129" s="118"/>
      <c r="UVD129" s="118"/>
      <c r="UVE129" s="118"/>
      <c r="UVF129" s="118"/>
      <c r="UVG129" s="118"/>
      <c r="UVH129" s="118"/>
      <c r="UVI129" s="118"/>
      <c r="UVJ129" s="118"/>
      <c r="UVK129" s="118"/>
      <c r="UVL129" s="118"/>
      <c r="UVM129" s="118"/>
      <c r="UVN129" s="118"/>
      <c r="UVO129" s="118"/>
      <c r="UVP129" s="118"/>
      <c r="UVQ129" s="118"/>
      <c r="UVR129" s="118"/>
      <c r="UVS129" s="118"/>
      <c r="UVT129" s="118"/>
      <c r="UVU129" s="118"/>
      <c r="UVV129" s="118"/>
      <c r="UVW129" s="118"/>
      <c r="UVX129" s="118"/>
      <c r="UVY129" s="118"/>
      <c r="UVZ129" s="118"/>
      <c r="UWA129" s="118"/>
      <c r="UWB129" s="118"/>
      <c r="UWC129" s="118"/>
      <c r="UWD129" s="118"/>
      <c r="UWE129" s="118"/>
      <c r="UWF129" s="118"/>
      <c r="UWG129" s="118"/>
      <c r="UWH129" s="118"/>
      <c r="UWI129" s="118"/>
      <c r="UWJ129" s="118"/>
      <c r="UWK129" s="118"/>
      <c r="UWL129" s="118"/>
      <c r="UWM129" s="118"/>
      <c r="UWN129" s="118"/>
      <c r="UWO129" s="118"/>
      <c r="UWP129" s="118"/>
      <c r="UWQ129" s="118"/>
      <c r="UWR129" s="118"/>
      <c r="UWS129" s="118"/>
      <c r="UWT129" s="118"/>
      <c r="UWU129" s="118"/>
      <c r="UWV129" s="118"/>
      <c r="UWW129" s="118"/>
      <c r="UWX129" s="118"/>
      <c r="UWY129" s="118"/>
      <c r="UWZ129" s="118"/>
      <c r="UXA129" s="118"/>
      <c r="UXB129" s="118"/>
      <c r="UXC129" s="118"/>
      <c r="UXD129" s="118"/>
      <c r="UXE129" s="118"/>
      <c r="UXF129" s="118"/>
      <c r="UXG129" s="118"/>
      <c r="UXH129" s="118"/>
      <c r="UXI129" s="118"/>
      <c r="UXJ129" s="118"/>
      <c r="UXK129" s="118"/>
      <c r="UXL129" s="118"/>
      <c r="UXM129" s="118"/>
      <c r="UXN129" s="118"/>
      <c r="UXO129" s="118"/>
      <c r="UXP129" s="118"/>
      <c r="UXQ129" s="118"/>
      <c r="UXR129" s="118"/>
      <c r="UXS129" s="118"/>
      <c r="UXT129" s="118"/>
      <c r="UXU129" s="118"/>
      <c r="UXV129" s="118"/>
      <c r="UXW129" s="118"/>
      <c r="UXX129" s="118"/>
      <c r="UXY129" s="118"/>
      <c r="UXZ129" s="118"/>
      <c r="UYA129" s="118"/>
      <c r="UYB129" s="118"/>
      <c r="UYC129" s="118"/>
      <c r="UYD129" s="118"/>
      <c r="UYE129" s="118"/>
      <c r="UYF129" s="118"/>
      <c r="UYG129" s="118"/>
      <c r="UYH129" s="118"/>
      <c r="UYI129" s="118"/>
      <c r="UYJ129" s="118"/>
      <c r="UYK129" s="118"/>
      <c r="UYL129" s="118"/>
      <c r="UYM129" s="118"/>
      <c r="UYN129" s="118"/>
      <c r="UYO129" s="118"/>
      <c r="UYP129" s="118"/>
      <c r="UYQ129" s="118"/>
      <c r="UYR129" s="118"/>
      <c r="UYS129" s="118"/>
      <c r="UYT129" s="118"/>
      <c r="UYU129" s="118"/>
      <c r="UYV129" s="118"/>
      <c r="UYW129" s="118"/>
      <c r="UYX129" s="118"/>
      <c r="UYY129" s="118"/>
      <c r="UYZ129" s="118"/>
      <c r="UZA129" s="118"/>
      <c r="UZB129" s="118"/>
      <c r="UZC129" s="118"/>
      <c r="UZD129" s="118"/>
      <c r="UZE129" s="118"/>
      <c r="UZF129" s="118"/>
      <c r="UZG129" s="118"/>
      <c r="UZH129" s="118"/>
      <c r="UZI129" s="118"/>
      <c r="UZJ129" s="118"/>
      <c r="UZK129" s="118"/>
      <c r="UZL129" s="118"/>
      <c r="UZM129" s="118"/>
      <c r="UZN129" s="118"/>
      <c r="UZO129" s="118"/>
      <c r="UZP129" s="118"/>
      <c r="UZQ129" s="118"/>
      <c r="UZR129" s="118"/>
      <c r="UZS129" s="118"/>
      <c r="UZT129" s="118"/>
      <c r="UZU129" s="118"/>
      <c r="UZV129" s="118"/>
      <c r="UZW129" s="118"/>
      <c r="UZX129" s="118"/>
      <c r="UZY129" s="118"/>
      <c r="UZZ129" s="118"/>
      <c r="VAA129" s="118"/>
      <c r="VAB129" s="118"/>
      <c r="VAC129" s="118"/>
      <c r="VAD129" s="118"/>
      <c r="VAE129" s="118"/>
      <c r="VAF129" s="118"/>
      <c r="VAG129" s="118"/>
      <c r="VAH129" s="118"/>
      <c r="VAI129" s="118"/>
      <c r="VAJ129" s="118"/>
      <c r="VAK129" s="118"/>
      <c r="VAL129" s="118"/>
      <c r="VAM129" s="118"/>
      <c r="VAN129" s="118"/>
      <c r="VAO129" s="118"/>
      <c r="VAP129" s="118"/>
      <c r="VAQ129" s="118"/>
      <c r="VAR129" s="118"/>
      <c r="VAS129" s="118"/>
      <c r="VAT129" s="118"/>
      <c r="VAU129" s="118"/>
      <c r="VAV129" s="118"/>
      <c r="VAW129" s="118"/>
      <c r="VAX129" s="118"/>
      <c r="VAY129" s="118"/>
      <c r="VAZ129" s="118"/>
      <c r="VBA129" s="118"/>
      <c r="VBB129" s="118"/>
      <c r="VBC129" s="118"/>
      <c r="VBD129" s="118"/>
      <c r="VBE129" s="118"/>
      <c r="VBF129" s="118"/>
      <c r="VBG129" s="118"/>
      <c r="VBH129" s="118"/>
      <c r="VBI129" s="118"/>
      <c r="VBJ129" s="118"/>
      <c r="VBK129" s="118"/>
      <c r="VBL129" s="118"/>
      <c r="VBM129" s="118"/>
      <c r="VBN129" s="118"/>
      <c r="VBO129" s="118"/>
      <c r="VBP129" s="118"/>
      <c r="VBQ129" s="118"/>
      <c r="VBR129" s="118"/>
      <c r="VBS129" s="118"/>
      <c r="VBT129" s="118"/>
      <c r="VBU129" s="118"/>
      <c r="VBV129" s="118"/>
      <c r="VBW129" s="118"/>
      <c r="VBX129" s="118"/>
      <c r="VBY129" s="118"/>
      <c r="VBZ129" s="118"/>
      <c r="VCA129" s="118"/>
      <c r="VCB129" s="118"/>
      <c r="VCC129" s="118"/>
      <c r="VCD129" s="118"/>
      <c r="VCE129" s="118"/>
      <c r="VCF129" s="118"/>
      <c r="VCG129" s="118"/>
      <c r="VCH129" s="118"/>
      <c r="VCI129" s="118"/>
      <c r="VCJ129" s="118"/>
      <c r="VCK129" s="118"/>
      <c r="VCL129" s="118"/>
      <c r="VCM129" s="118"/>
      <c r="VCN129" s="118"/>
      <c r="VCO129" s="118"/>
      <c r="VCP129" s="118"/>
      <c r="VCQ129" s="118"/>
      <c r="VCR129" s="118"/>
      <c r="VCS129" s="118"/>
      <c r="VCT129" s="118"/>
      <c r="VCU129" s="118"/>
      <c r="VCV129" s="118"/>
      <c r="VCW129" s="118"/>
      <c r="VCX129" s="118"/>
      <c r="VCY129" s="118"/>
      <c r="VCZ129" s="118"/>
      <c r="VDA129" s="118"/>
      <c r="VDB129" s="118"/>
      <c r="VDC129" s="118"/>
      <c r="VDD129" s="118"/>
      <c r="VDE129" s="118"/>
      <c r="VDF129" s="118"/>
      <c r="VDG129" s="118"/>
      <c r="VDH129" s="118"/>
      <c r="VDI129" s="118"/>
      <c r="VDJ129" s="118"/>
      <c r="VDK129" s="118"/>
      <c r="VDL129" s="118"/>
      <c r="VDM129" s="118"/>
      <c r="VDN129" s="118"/>
      <c r="VDO129" s="118"/>
      <c r="VDP129" s="118"/>
      <c r="VDQ129" s="118"/>
      <c r="VDR129" s="118"/>
      <c r="VDS129" s="118"/>
      <c r="VDT129" s="118"/>
      <c r="VDU129" s="118"/>
      <c r="VDV129" s="118"/>
      <c r="VDW129" s="118"/>
      <c r="VDX129" s="118"/>
      <c r="VDY129" s="118"/>
      <c r="VDZ129" s="118"/>
      <c r="VEA129" s="118"/>
      <c r="VEB129" s="118"/>
      <c r="VEC129" s="118"/>
      <c r="VED129" s="118"/>
      <c r="VEE129" s="118"/>
      <c r="VEF129" s="118"/>
      <c r="VEG129" s="118"/>
      <c r="VEH129" s="118"/>
      <c r="VEI129" s="118"/>
      <c r="VEJ129" s="118"/>
      <c r="VEK129" s="118"/>
      <c r="VEL129" s="118"/>
      <c r="VEM129" s="118"/>
      <c r="VEN129" s="118"/>
      <c r="VEO129" s="118"/>
      <c r="VEP129" s="118"/>
      <c r="VEQ129" s="118"/>
      <c r="VER129" s="118"/>
      <c r="VES129" s="118"/>
      <c r="VET129" s="118"/>
      <c r="VEU129" s="118"/>
      <c r="VEV129" s="118"/>
      <c r="VEW129" s="118"/>
      <c r="VEX129" s="118"/>
      <c r="VEY129" s="118"/>
      <c r="VEZ129" s="118"/>
      <c r="VFA129" s="118"/>
      <c r="VFB129" s="118"/>
      <c r="VFC129" s="118"/>
      <c r="VFD129" s="118"/>
      <c r="VFE129" s="118"/>
      <c r="VFF129" s="118"/>
      <c r="VFG129" s="118"/>
      <c r="VFH129" s="118"/>
      <c r="VFI129" s="118"/>
      <c r="VFJ129" s="118"/>
      <c r="VFK129" s="118"/>
      <c r="VFL129" s="118"/>
      <c r="VFM129" s="118"/>
      <c r="VFN129" s="118"/>
      <c r="VFO129" s="118"/>
      <c r="VFP129" s="118"/>
      <c r="VFQ129" s="118"/>
      <c r="VFR129" s="118"/>
      <c r="VFS129" s="118"/>
      <c r="VFT129" s="118"/>
      <c r="VFU129" s="118"/>
      <c r="VFV129" s="118"/>
      <c r="VFW129" s="118"/>
      <c r="VFX129" s="118"/>
      <c r="VFY129" s="118"/>
      <c r="VFZ129" s="118"/>
      <c r="VGA129" s="118"/>
      <c r="VGB129" s="118"/>
      <c r="VGC129" s="118"/>
      <c r="VGD129" s="118"/>
      <c r="VGE129" s="118"/>
      <c r="VGF129" s="118"/>
      <c r="VGG129" s="118"/>
      <c r="VGH129" s="118"/>
      <c r="VGI129" s="118"/>
      <c r="VGJ129" s="118"/>
      <c r="VGK129" s="118"/>
      <c r="VGL129" s="118"/>
      <c r="VGM129" s="118"/>
      <c r="VGN129" s="118"/>
      <c r="VGO129" s="118"/>
      <c r="VGP129" s="118"/>
      <c r="VGQ129" s="118"/>
      <c r="VGR129" s="118"/>
      <c r="VGS129" s="118"/>
      <c r="VGT129" s="118"/>
      <c r="VGU129" s="118"/>
      <c r="VGV129" s="118"/>
      <c r="VGW129" s="118"/>
      <c r="VGX129" s="118"/>
      <c r="VGY129" s="118"/>
      <c r="VGZ129" s="118"/>
      <c r="VHA129" s="118"/>
      <c r="VHB129" s="118"/>
      <c r="VHC129" s="118"/>
      <c r="VHD129" s="118"/>
      <c r="VHE129" s="118"/>
      <c r="VHF129" s="118"/>
      <c r="VHG129" s="118"/>
      <c r="VHH129" s="118"/>
      <c r="VHI129" s="118"/>
      <c r="VHJ129" s="118"/>
      <c r="VHK129" s="118"/>
      <c r="VHL129" s="118"/>
      <c r="VHM129" s="118"/>
      <c r="VHN129" s="118"/>
      <c r="VHO129" s="118"/>
      <c r="VHP129" s="118"/>
      <c r="VHQ129" s="118"/>
      <c r="VHR129" s="118"/>
      <c r="VHS129" s="118"/>
      <c r="VHT129" s="118"/>
      <c r="VHU129" s="118"/>
      <c r="VHV129" s="118"/>
      <c r="VHW129" s="118"/>
      <c r="VHX129" s="118"/>
      <c r="VHY129" s="118"/>
      <c r="VHZ129" s="118"/>
      <c r="VIA129" s="118"/>
      <c r="VIB129" s="118"/>
      <c r="VIC129" s="118"/>
      <c r="VID129" s="118"/>
      <c r="VIE129" s="118"/>
      <c r="VIF129" s="118"/>
      <c r="VIG129" s="118"/>
      <c r="VIH129" s="118"/>
      <c r="VII129" s="118"/>
      <c r="VIJ129" s="118"/>
      <c r="VIK129" s="118"/>
      <c r="VIL129" s="118"/>
      <c r="VIM129" s="118"/>
      <c r="VIN129" s="118"/>
      <c r="VIO129" s="118"/>
      <c r="VIP129" s="118"/>
      <c r="VIQ129" s="118"/>
      <c r="VIR129" s="118"/>
      <c r="VIS129" s="118"/>
      <c r="VIT129" s="118"/>
      <c r="VIU129" s="118"/>
      <c r="VIV129" s="118"/>
      <c r="VIW129" s="118"/>
      <c r="VIX129" s="118"/>
      <c r="VIY129" s="118"/>
      <c r="VIZ129" s="118"/>
      <c r="VJA129" s="118"/>
      <c r="VJB129" s="118"/>
      <c r="VJC129" s="118"/>
      <c r="VJD129" s="118"/>
      <c r="VJE129" s="118"/>
      <c r="VJF129" s="118"/>
      <c r="VJG129" s="118"/>
      <c r="VJH129" s="118"/>
      <c r="VJI129" s="118"/>
      <c r="VJJ129" s="118"/>
      <c r="VJK129" s="118"/>
      <c r="VJL129" s="118"/>
      <c r="VJM129" s="118"/>
      <c r="VJN129" s="118"/>
      <c r="VJO129" s="118"/>
      <c r="VJP129" s="118"/>
      <c r="VJQ129" s="118"/>
      <c r="VJR129" s="118"/>
      <c r="VJS129" s="118"/>
      <c r="VJT129" s="118"/>
      <c r="VJU129" s="118"/>
      <c r="VJV129" s="118"/>
      <c r="VJW129" s="118"/>
      <c r="VJX129" s="118"/>
      <c r="VJY129" s="118"/>
      <c r="VJZ129" s="118"/>
      <c r="VKA129" s="118"/>
      <c r="VKB129" s="118"/>
      <c r="VKC129" s="118"/>
      <c r="VKD129" s="118"/>
      <c r="VKE129" s="118"/>
      <c r="VKF129" s="118"/>
      <c r="VKG129" s="118"/>
      <c r="VKH129" s="118"/>
      <c r="VKI129" s="118"/>
      <c r="VKJ129" s="118"/>
      <c r="VKK129" s="118"/>
      <c r="VKL129" s="118"/>
      <c r="VKM129" s="118"/>
      <c r="VKN129" s="118"/>
      <c r="VKO129" s="118"/>
      <c r="VKP129" s="118"/>
      <c r="VKQ129" s="118"/>
      <c r="VKR129" s="118"/>
      <c r="VKS129" s="118"/>
      <c r="VKT129" s="118"/>
      <c r="VKU129" s="118"/>
      <c r="VKV129" s="118"/>
      <c r="VKW129" s="118"/>
      <c r="VKX129" s="118"/>
      <c r="VKY129" s="118"/>
      <c r="VKZ129" s="118"/>
      <c r="VLA129" s="118"/>
      <c r="VLB129" s="118"/>
      <c r="VLC129" s="118"/>
      <c r="VLD129" s="118"/>
      <c r="VLE129" s="118"/>
      <c r="VLF129" s="118"/>
      <c r="VLG129" s="118"/>
      <c r="VLH129" s="118"/>
      <c r="VLI129" s="118"/>
      <c r="VLJ129" s="118"/>
      <c r="VLK129" s="118"/>
      <c r="VLL129" s="118"/>
      <c r="VLM129" s="118"/>
      <c r="VLN129" s="118"/>
      <c r="VLO129" s="118"/>
      <c r="VLP129" s="118"/>
      <c r="VLQ129" s="118"/>
      <c r="VLR129" s="118"/>
      <c r="VLS129" s="118"/>
      <c r="VLT129" s="118"/>
      <c r="VLU129" s="118"/>
      <c r="VLV129" s="118"/>
      <c r="VLW129" s="118"/>
      <c r="VLX129" s="118"/>
      <c r="VLY129" s="118"/>
      <c r="VLZ129" s="118"/>
      <c r="VMA129" s="118"/>
      <c r="VMB129" s="118"/>
      <c r="VMC129" s="118"/>
      <c r="VMD129" s="118"/>
      <c r="VME129" s="118"/>
      <c r="VMF129" s="118"/>
      <c r="VMG129" s="118"/>
      <c r="VMH129" s="118"/>
      <c r="VMI129" s="118"/>
      <c r="VMJ129" s="118"/>
      <c r="VMK129" s="118"/>
      <c r="VML129" s="118"/>
      <c r="VMM129" s="118"/>
      <c r="VMN129" s="118"/>
      <c r="VMO129" s="118"/>
      <c r="VMP129" s="118"/>
      <c r="VMQ129" s="118"/>
      <c r="VMR129" s="118"/>
      <c r="VMS129" s="118"/>
      <c r="VMT129" s="118"/>
      <c r="VMU129" s="118"/>
      <c r="VMV129" s="118"/>
      <c r="VMW129" s="118"/>
      <c r="VMX129" s="118"/>
      <c r="VMY129" s="118"/>
      <c r="VMZ129" s="118"/>
      <c r="VNA129" s="118"/>
      <c r="VNB129" s="118"/>
      <c r="VNC129" s="118"/>
      <c r="VND129" s="118"/>
      <c r="VNE129" s="118"/>
      <c r="VNF129" s="118"/>
      <c r="VNG129" s="118"/>
      <c r="VNH129" s="118"/>
      <c r="VNI129" s="118"/>
      <c r="VNJ129" s="118"/>
      <c r="VNK129" s="118"/>
      <c r="VNL129" s="118"/>
      <c r="VNM129" s="118"/>
      <c r="VNN129" s="118"/>
      <c r="VNO129" s="118"/>
      <c r="VNP129" s="118"/>
      <c r="VNQ129" s="118"/>
      <c r="VNR129" s="118"/>
      <c r="VNS129" s="118"/>
      <c r="VNT129" s="118"/>
      <c r="VNU129" s="118"/>
      <c r="VNV129" s="118"/>
      <c r="VNW129" s="118"/>
      <c r="VNX129" s="118"/>
      <c r="VNY129" s="118"/>
      <c r="VNZ129" s="118"/>
      <c r="VOA129" s="118"/>
      <c r="VOB129" s="118"/>
      <c r="VOC129" s="118"/>
      <c r="VOD129" s="118"/>
      <c r="VOE129" s="118"/>
      <c r="VOF129" s="118"/>
      <c r="VOG129" s="118"/>
      <c r="VOH129" s="118"/>
      <c r="VOI129" s="118"/>
      <c r="VOJ129" s="118"/>
      <c r="VOK129" s="118"/>
      <c r="VOL129" s="118"/>
      <c r="VOM129" s="118"/>
      <c r="VON129" s="118"/>
      <c r="VOO129" s="118"/>
      <c r="VOP129" s="118"/>
      <c r="VOQ129" s="118"/>
      <c r="VOR129" s="118"/>
      <c r="VOS129" s="118"/>
      <c r="VOT129" s="118"/>
      <c r="VOU129" s="118"/>
      <c r="VOV129" s="118"/>
      <c r="VOW129" s="118"/>
      <c r="VOX129" s="118"/>
      <c r="VOY129" s="118"/>
      <c r="VOZ129" s="118"/>
      <c r="VPA129" s="118"/>
      <c r="VPB129" s="118"/>
      <c r="VPC129" s="118"/>
      <c r="VPD129" s="118"/>
      <c r="VPE129" s="118"/>
      <c r="VPF129" s="118"/>
      <c r="VPG129" s="118"/>
      <c r="VPH129" s="118"/>
      <c r="VPI129" s="118"/>
      <c r="VPJ129" s="118"/>
      <c r="VPK129" s="118"/>
      <c r="VPL129" s="118"/>
      <c r="VPM129" s="118"/>
      <c r="VPN129" s="118"/>
      <c r="VPO129" s="118"/>
      <c r="VPP129" s="118"/>
      <c r="VPQ129" s="118"/>
      <c r="VPR129" s="118"/>
      <c r="VPS129" s="118"/>
      <c r="VPT129" s="118"/>
      <c r="VPU129" s="118"/>
      <c r="VPV129" s="118"/>
      <c r="VPW129" s="118"/>
      <c r="VPX129" s="118"/>
      <c r="VPY129" s="118"/>
      <c r="VPZ129" s="118"/>
      <c r="VQA129" s="118"/>
      <c r="VQB129" s="118"/>
      <c r="VQC129" s="118"/>
      <c r="VQD129" s="118"/>
      <c r="VQE129" s="118"/>
      <c r="VQF129" s="118"/>
      <c r="VQG129" s="118"/>
      <c r="VQH129" s="118"/>
      <c r="VQI129" s="118"/>
      <c r="VQJ129" s="118"/>
      <c r="VQK129" s="118"/>
      <c r="VQL129" s="118"/>
      <c r="VQM129" s="118"/>
      <c r="VQN129" s="118"/>
      <c r="VQO129" s="118"/>
      <c r="VQP129" s="118"/>
      <c r="VQQ129" s="118"/>
      <c r="VQR129" s="118"/>
      <c r="VQS129" s="118"/>
      <c r="VQT129" s="118"/>
      <c r="VQU129" s="118"/>
      <c r="VQV129" s="118"/>
      <c r="VQW129" s="118"/>
      <c r="VQX129" s="118"/>
      <c r="VQY129" s="118"/>
      <c r="VQZ129" s="118"/>
      <c r="VRA129" s="118"/>
      <c r="VRB129" s="118"/>
      <c r="VRC129" s="118"/>
      <c r="VRD129" s="118"/>
      <c r="VRE129" s="118"/>
      <c r="VRF129" s="118"/>
      <c r="VRG129" s="118"/>
      <c r="VRH129" s="118"/>
      <c r="VRI129" s="118"/>
      <c r="VRJ129" s="118"/>
      <c r="VRK129" s="118"/>
      <c r="VRL129" s="118"/>
      <c r="VRM129" s="118"/>
      <c r="VRN129" s="118"/>
      <c r="VRO129" s="118"/>
      <c r="VRP129" s="118"/>
      <c r="VRQ129" s="118"/>
      <c r="VRR129" s="118"/>
      <c r="VRS129" s="118"/>
      <c r="VRT129" s="118"/>
      <c r="VRU129" s="118"/>
      <c r="VRV129" s="118"/>
      <c r="VRW129" s="118"/>
      <c r="VRX129" s="118"/>
      <c r="VRY129" s="118"/>
      <c r="VRZ129" s="118"/>
      <c r="VSA129" s="118"/>
      <c r="VSB129" s="118"/>
      <c r="VSC129" s="118"/>
      <c r="VSD129" s="118"/>
      <c r="VSE129" s="118"/>
      <c r="VSF129" s="118"/>
      <c r="VSG129" s="118"/>
      <c r="VSH129" s="118"/>
      <c r="VSI129" s="118"/>
      <c r="VSJ129" s="118"/>
      <c r="VSK129" s="118"/>
      <c r="VSL129" s="118"/>
      <c r="VSM129" s="118"/>
      <c r="VSN129" s="118"/>
      <c r="VSO129" s="118"/>
      <c r="VSP129" s="118"/>
      <c r="VSQ129" s="118"/>
      <c r="VSR129" s="118"/>
      <c r="VSS129" s="118"/>
      <c r="VST129" s="118"/>
      <c r="VSU129" s="118"/>
      <c r="VSV129" s="118"/>
      <c r="VSW129" s="118"/>
      <c r="VSX129" s="118"/>
      <c r="VSY129" s="118"/>
      <c r="VSZ129" s="118"/>
      <c r="VTA129" s="118"/>
      <c r="VTB129" s="118"/>
      <c r="VTC129" s="118"/>
      <c r="VTD129" s="118"/>
      <c r="VTE129" s="118"/>
      <c r="VTF129" s="118"/>
      <c r="VTG129" s="118"/>
      <c r="VTH129" s="118"/>
      <c r="VTI129" s="118"/>
      <c r="VTJ129" s="118"/>
      <c r="VTK129" s="118"/>
      <c r="VTL129" s="118"/>
      <c r="VTM129" s="118"/>
      <c r="VTN129" s="118"/>
      <c r="VTO129" s="118"/>
      <c r="VTP129" s="118"/>
      <c r="VTQ129" s="118"/>
      <c r="VTR129" s="118"/>
      <c r="VTS129" s="118"/>
      <c r="VTT129" s="118"/>
      <c r="VTU129" s="118"/>
      <c r="VTV129" s="118"/>
      <c r="VTW129" s="118"/>
      <c r="VTX129" s="118"/>
      <c r="VTY129" s="118"/>
      <c r="VTZ129" s="118"/>
      <c r="VUA129" s="118"/>
      <c r="VUB129" s="118"/>
      <c r="VUC129" s="118"/>
      <c r="VUD129" s="118"/>
      <c r="VUE129" s="118"/>
      <c r="VUF129" s="118"/>
      <c r="VUG129" s="118"/>
      <c r="VUH129" s="118"/>
      <c r="VUI129" s="118"/>
      <c r="VUJ129" s="118"/>
      <c r="VUK129" s="118"/>
      <c r="VUL129" s="118"/>
      <c r="VUM129" s="118"/>
      <c r="VUN129" s="118"/>
      <c r="VUO129" s="118"/>
      <c r="VUP129" s="118"/>
      <c r="VUQ129" s="118"/>
      <c r="VUR129" s="118"/>
      <c r="VUS129" s="118"/>
      <c r="VUT129" s="118"/>
      <c r="VUU129" s="118"/>
      <c r="VUV129" s="118"/>
      <c r="VUW129" s="118"/>
      <c r="VUX129" s="118"/>
      <c r="VUY129" s="118"/>
      <c r="VUZ129" s="118"/>
      <c r="VVA129" s="118"/>
      <c r="VVB129" s="118"/>
      <c r="VVC129" s="118"/>
      <c r="VVD129" s="118"/>
      <c r="VVE129" s="118"/>
      <c r="VVF129" s="118"/>
      <c r="VVG129" s="118"/>
      <c r="VVH129" s="118"/>
      <c r="VVI129" s="118"/>
      <c r="VVJ129" s="118"/>
      <c r="VVK129" s="118"/>
      <c r="VVL129" s="118"/>
      <c r="VVM129" s="118"/>
      <c r="VVN129" s="118"/>
      <c r="VVO129" s="118"/>
      <c r="VVP129" s="118"/>
      <c r="VVQ129" s="118"/>
      <c r="VVR129" s="118"/>
      <c r="VVS129" s="118"/>
      <c r="VVT129" s="118"/>
      <c r="VVU129" s="118"/>
      <c r="VVV129" s="118"/>
      <c r="VVW129" s="118"/>
      <c r="VVX129" s="118"/>
      <c r="VVY129" s="118"/>
      <c r="VVZ129" s="118"/>
      <c r="VWA129" s="118"/>
      <c r="VWB129" s="118"/>
      <c r="VWC129" s="118"/>
      <c r="VWD129" s="118"/>
      <c r="VWE129" s="118"/>
      <c r="VWF129" s="118"/>
      <c r="VWG129" s="118"/>
      <c r="VWH129" s="118"/>
      <c r="VWI129" s="118"/>
      <c r="VWJ129" s="118"/>
      <c r="VWK129" s="118"/>
      <c r="VWL129" s="118"/>
      <c r="VWM129" s="118"/>
      <c r="VWN129" s="118"/>
      <c r="VWO129" s="118"/>
      <c r="VWP129" s="118"/>
      <c r="VWQ129" s="118"/>
      <c r="VWR129" s="118"/>
      <c r="VWS129" s="118"/>
      <c r="VWT129" s="118"/>
      <c r="VWU129" s="118"/>
      <c r="VWV129" s="118"/>
      <c r="VWW129" s="118"/>
      <c r="VWX129" s="118"/>
      <c r="VWY129" s="118"/>
      <c r="VWZ129" s="118"/>
      <c r="VXA129" s="118"/>
      <c r="VXB129" s="118"/>
      <c r="VXC129" s="118"/>
      <c r="VXD129" s="118"/>
      <c r="VXE129" s="118"/>
      <c r="VXF129" s="118"/>
      <c r="VXG129" s="118"/>
      <c r="VXH129" s="118"/>
      <c r="VXI129" s="118"/>
      <c r="VXJ129" s="118"/>
      <c r="VXK129" s="118"/>
      <c r="VXL129" s="118"/>
      <c r="VXM129" s="118"/>
      <c r="VXN129" s="118"/>
      <c r="VXO129" s="118"/>
      <c r="VXP129" s="118"/>
      <c r="VXQ129" s="118"/>
      <c r="VXR129" s="118"/>
      <c r="VXS129" s="118"/>
      <c r="VXT129" s="118"/>
      <c r="VXU129" s="118"/>
      <c r="VXV129" s="118"/>
      <c r="VXW129" s="118"/>
      <c r="VXX129" s="118"/>
      <c r="VXY129" s="118"/>
      <c r="VXZ129" s="118"/>
      <c r="VYA129" s="118"/>
      <c r="VYB129" s="118"/>
      <c r="VYC129" s="118"/>
      <c r="VYD129" s="118"/>
      <c r="VYE129" s="118"/>
      <c r="VYF129" s="118"/>
      <c r="VYG129" s="118"/>
      <c r="VYH129" s="118"/>
      <c r="VYI129" s="118"/>
      <c r="VYJ129" s="118"/>
      <c r="VYK129" s="118"/>
      <c r="VYL129" s="118"/>
      <c r="VYM129" s="118"/>
      <c r="VYN129" s="118"/>
      <c r="VYO129" s="118"/>
      <c r="VYP129" s="118"/>
      <c r="VYQ129" s="118"/>
      <c r="VYR129" s="118"/>
      <c r="VYS129" s="118"/>
      <c r="VYT129" s="118"/>
      <c r="VYU129" s="118"/>
      <c r="VYV129" s="118"/>
      <c r="VYW129" s="118"/>
      <c r="VYX129" s="118"/>
      <c r="VYY129" s="118"/>
      <c r="VYZ129" s="118"/>
      <c r="VZA129" s="118"/>
      <c r="VZB129" s="118"/>
      <c r="VZC129" s="118"/>
      <c r="VZD129" s="118"/>
      <c r="VZE129" s="118"/>
      <c r="VZF129" s="118"/>
      <c r="VZG129" s="118"/>
      <c r="VZH129" s="118"/>
      <c r="VZI129" s="118"/>
      <c r="VZJ129" s="118"/>
      <c r="VZK129" s="118"/>
      <c r="VZL129" s="118"/>
      <c r="VZM129" s="118"/>
      <c r="VZN129" s="118"/>
      <c r="VZO129" s="118"/>
      <c r="VZP129" s="118"/>
      <c r="VZQ129" s="118"/>
      <c r="VZR129" s="118"/>
      <c r="VZS129" s="118"/>
      <c r="VZT129" s="118"/>
      <c r="VZU129" s="118"/>
      <c r="VZV129" s="118"/>
      <c r="VZW129" s="118"/>
      <c r="VZX129" s="118"/>
      <c r="VZY129" s="118"/>
      <c r="VZZ129" s="118"/>
      <c r="WAA129" s="118"/>
      <c r="WAB129" s="118"/>
      <c r="WAC129" s="118"/>
      <c r="WAD129" s="118"/>
      <c r="WAE129" s="118"/>
      <c r="WAF129" s="118"/>
      <c r="WAG129" s="118"/>
      <c r="WAH129" s="118"/>
      <c r="WAI129" s="118"/>
      <c r="WAJ129" s="118"/>
      <c r="WAK129" s="118"/>
      <c r="WAL129" s="118"/>
      <c r="WAM129" s="118"/>
      <c r="WAN129" s="118"/>
      <c r="WAO129" s="118"/>
      <c r="WAP129" s="118"/>
      <c r="WAQ129" s="118"/>
      <c r="WAR129" s="118"/>
      <c r="WAS129" s="118"/>
      <c r="WAT129" s="118"/>
      <c r="WAU129" s="118"/>
      <c r="WAV129" s="118"/>
      <c r="WAW129" s="118"/>
      <c r="WAX129" s="118"/>
      <c r="WAY129" s="118"/>
      <c r="WAZ129" s="118"/>
      <c r="WBA129" s="118"/>
      <c r="WBB129" s="118"/>
      <c r="WBC129" s="118"/>
      <c r="WBD129" s="118"/>
      <c r="WBE129" s="118"/>
      <c r="WBF129" s="118"/>
      <c r="WBG129" s="118"/>
      <c r="WBH129" s="118"/>
      <c r="WBI129" s="118"/>
      <c r="WBJ129" s="118"/>
      <c r="WBK129" s="118"/>
      <c r="WBL129" s="118"/>
      <c r="WBM129" s="118"/>
      <c r="WBN129" s="118"/>
      <c r="WBO129" s="118"/>
      <c r="WBP129" s="118"/>
      <c r="WBQ129" s="118"/>
      <c r="WBR129" s="118"/>
      <c r="WBS129" s="118"/>
      <c r="WBT129" s="118"/>
      <c r="WBU129" s="118"/>
      <c r="WBV129" s="118"/>
      <c r="WBW129" s="118"/>
      <c r="WBX129" s="118"/>
      <c r="WBY129" s="118"/>
      <c r="WBZ129" s="118"/>
      <c r="WCA129" s="118"/>
      <c r="WCB129" s="118"/>
      <c r="WCC129" s="118"/>
      <c r="WCD129" s="118"/>
      <c r="WCE129" s="118"/>
      <c r="WCF129" s="118"/>
      <c r="WCG129" s="118"/>
      <c r="WCH129" s="118"/>
      <c r="WCI129" s="118"/>
      <c r="WCJ129" s="118"/>
      <c r="WCK129" s="118"/>
      <c r="WCL129" s="118"/>
      <c r="WCM129" s="118"/>
      <c r="WCN129" s="118"/>
      <c r="WCO129" s="118"/>
      <c r="WCP129" s="118"/>
      <c r="WCQ129" s="118"/>
      <c r="WCR129" s="118"/>
      <c r="WCS129" s="118"/>
      <c r="WCT129" s="118"/>
      <c r="WCU129" s="118"/>
      <c r="WCV129" s="118"/>
      <c r="WCW129" s="118"/>
      <c r="WCX129" s="118"/>
      <c r="WCY129" s="118"/>
      <c r="WCZ129" s="118"/>
      <c r="WDA129" s="118"/>
      <c r="WDB129" s="118"/>
      <c r="WDC129" s="118"/>
      <c r="WDD129" s="118"/>
      <c r="WDE129" s="118"/>
      <c r="WDF129" s="118"/>
      <c r="WDG129" s="118"/>
      <c r="WDH129" s="118"/>
      <c r="WDI129" s="118"/>
      <c r="WDJ129" s="118"/>
      <c r="WDK129" s="118"/>
      <c r="WDL129" s="118"/>
      <c r="WDM129" s="118"/>
      <c r="WDN129" s="118"/>
      <c r="WDO129" s="118"/>
      <c r="WDP129" s="118"/>
      <c r="WDQ129" s="118"/>
      <c r="WDR129" s="118"/>
      <c r="WDS129" s="118"/>
      <c r="WDT129" s="118"/>
      <c r="WDU129" s="118"/>
      <c r="WDV129" s="118"/>
      <c r="WDW129" s="118"/>
      <c r="WDX129" s="118"/>
      <c r="WDY129" s="118"/>
      <c r="WDZ129" s="118"/>
      <c r="WEA129" s="118"/>
      <c r="WEB129" s="118"/>
      <c r="WEC129" s="118"/>
      <c r="WED129" s="118"/>
      <c r="WEE129" s="118"/>
      <c r="WEF129" s="118"/>
      <c r="WEG129" s="118"/>
      <c r="WEH129" s="118"/>
      <c r="WEI129" s="118"/>
      <c r="WEJ129" s="118"/>
      <c r="WEK129" s="118"/>
      <c r="WEL129" s="118"/>
      <c r="WEM129" s="118"/>
      <c r="WEN129" s="118"/>
      <c r="WEO129" s="118"/>
      <c r="WEP129" s="118"/>
      <c r="WEQ129" s="118"/>
      <c r="WER129" s="118"/>
      <c r="WES129" s="118"/>
      <c r="WET129" s="118"/>
      <c r="WEU129" s="118"/>
      <c r="WEV129" s="118"/>
      <c r="WEW129" s="118"/>
      <c r="WEX129" s="118"/>
      <c r="WEY129" s="118"/>
      <c r="WEZ129" s="118"/>
      <c r="WFA129" s="118"/>
      <c r="WFB129" s="118"/>
      <c r="WFC129" s="118"/>
      <c r="WFD129" s="118"/>
      <c r="WFE129" s="118"/>
      <c r="WFF129" s="118"/>
      <c r="WFG129" s="118"/>
      <c r="WFH129" s="118"/>
      <c r="WFI129" s="118"/>
      <c r="WFJ129" s="118"/>
      <c r="WFK129" s="118"/>
      <c r="WFL129" s="118"/>
      <c r="WFM129" s="118"/>
      <c r="WFN129" s="118"/>
      <c r="WFO129" s="118"/>
      <c r="WFP129" s="118"/>
      <c r="WFQ129" s="118"/>
      <c r="WFR129" s="118"/>
      <c r="WFS129" s="118"/>
      <c r="WFT129" s="118"/>
      <c r="WFU129" s="118"/>
      <c r="WFV129" s="118"/>
      <c r="WFW129" s="118"/>
      <c r="WFX129" s="118"/>
      <c r="WFY129" s="118"/>
      <c r="WFZ129" s="118"/>
      <c r="WGA129" s="118"/>
      <c r="WGB129" s="118"/>
      <c r="WGC129" s="118"/>
      <c r="WGD129" s="118"/>
      <c r="WGE129" s="118"/>
      <c r="WGF129" s="118"/>
      <c r="WGG129" s="118"/>
      <c r="WGH129" s="118"/>
      <c r="WGI129" s="118"/>
      <c r="WGJ129" s="118"/>
      <c r="WGK129" s="118"/>
      <c r="WGL129" s="118"/>
      <c r="WGM129" s="118"/>
      <c r="WGN129" s="118"/>
      <c r="WGO129" s="118"/>
      <c r="WGP129" s="118"/>
      <c r="WGQ129" s="118"/>
      <c r="WGR129" s="118"/>
      <c r="WGS129" s="118"/>
      <c r="WGT129" s="118"/>
      <c r="WGU129" s="118"/>
      <c r="WGV129" s="118"/>
      <c r="WGW129" s="118"/>
      <c r="WGX129" s="118"/>
      <c r="WGY129" s="118"/>
      <c r="WGZ129" s="118"/>
      <c r="WHA129" s="118"/>
      <c r="WHB129" s="118"/>
      <c r="WHC129" s="118"/>
      <c r="WHD129" s="118"/>
      <c r="WHE129" s="118"/>
      <c r="WHF129" s="118"/>
      <c r="WHG129" s="118"/>
      <c r="WHH129" s="118"/>
      <c r="WHI129" s="118"/>
      <c r="WHJ129" s="118"/>
      <c r="WHK129" s="118"/>
      <c r="WHL129" s="118"/>
      <c r="WHM129" s="118"/>
      <c r="WHN129" s="118"/>
      <c r="WHO129" s="118"/>
      <c r="WHP129" s="118"/>
      <c r="WHQ129" s="118"/>
      <c r="WHR129" s="118"/>
      <c r="WHS129" s="118"/>
      <c r="WHT129" s="118"/>
      <c r="WHU129" s="118"/>
      <c r="WHV129" s="118"/>
      <c r="WHW129" s="118"/>
      <c r="WHX129" s="118"/>
      <c r="WHY129" s="118"/>
      <c r="WHZ129" s="118"/>
      <c r="WIA129" s="118"/>
      <c r="WIB129" s="118"/>
      <c r="WIC129" s="118"/>
      <c r="WID129" s="118"/>
      <c r="WIE129" s="118"/>
      <c r="WIF129" s="118"/>
      <c r="WIG129" s="118"/>
      <c r="WIH129" s="118"/>
      <c r="WII129" s="118"/>
      <c r="WIJ129" s="118"/>
      <c r="WIK129" s="118"/>
      <c r="WIL129" s="118"/>
      <c r="WIM129" s="118"/>
      <c r="WIN129" s="118"/>
      <c r="WIO129" s="118"/>
      <c r="WIP129" s="118"/>
      <c r="WIQ129" s="118"/>
      <c r="WIR129" s="118"/>
      <c r="WIS129" s="118"/>
      <c r="WIT129" s="118"/>
      <c r="WIU129" s="118"/>
      <c r="WIV129" s="118"/>
      <c r="WIW129" s="118"/>
      <c r="WIX129" s="118"/>
      <c r="WIY129" s="118"/>
      <c r="WIZ129" s="118"/>
      <c r="WJA129" s="118"/>
      <c r="WJB129" s="118"/>
      <c r="WJC129" s="118"/>
      <c r="WJD129" s="118"/>
      <c r="WJE129" s="118"/>
      <c r="WJF129" s="118"/>
      <c r="WJG129" s="118"/>
      <c r="WJH129" s="118"/>
      <c r="WJI129" s="118"/>
      <c r="WJJ129" s="118"/>
      <c r="WJK129" s="118"/>
      <c r="WJL129" s="118"/>
      <c r="WJM129" s="118"/>
      <c r="WJN129" s="118"/>
      <c r="WJO129" s="118"/>
      <c r="WJP129" s="118"/>
      <c r="WJQ129" s="118"/>
      <c r="WJR129" s="118"/>
      <c r="WJS129" s="118"/>
      <c r="WJT129" s="118"/>
      <c r="WJU129" s="118"/>
      <c r="WJV129" s="118"/>
      <c r="WJW129" s="118"/>
      <c r="WJX129" s="118"/>
      <c r="WJY129" s="118"/>
      <c r="WJZ129" s="118"/>
      <c r="WKA129" s="118"/>
      <c r="WKB129" s="118"/>
      <c r="WKC129" s="118"/>
      <c r="WKD129" s="118"/>
      <c r="WKE129" s="118"/>
      <c r="WKF129" s="118"/>
      <c r="WKG129" s="118"/>
      <c r="WKH129" s="118"/>
      <c r="WKI129" s="118"/>
      <c r="WKJ129" s="118"/>
      <c r="WKK129" s="118"/>
      <c r="WKL129" s="118"/>
      <c r="WKM129" s="118"/>
      <c r="WKN129" s="118"/>
      <c r="WKO129" s="118"/>
      <c r="WKP129" s="118"/>
      <c r="WKQ129" s="118"/>
      <c r="WKR129" s="118"/>
      <c r="WKS129" s="118"/>
      <c r="WKT129" s="118"/>
      <c r="WKU129" s="118"/>
      <c r="WKV129" s="118"/>
      <c r="WKW129" s="118"/>
      <c r="WKX129" s="118"/>
      <c r="WKY129" s="118"/>
      <c r="WKZ129" s="118"/>
      <c r="WLA129" s="118"/>
      <c r="WLB129" s="118"/>
      <c r="WLC129" s="118"/>
      <c r="WLD129" s="118"/>
      <c r="WLE129" s="118"/>
      <c r="WLF129" s="118"/>
      <c r="WLG129" s="118"/>
      <c r="WLH129" s="118"/>
      <c r="WLI129" s="118"/>
      <c r="WLJ129" s="118"/>
      <c r="WLK129" s="118"/>
      <c r="WLL129" s="118"/>
      <c r="WLM129" s="118"/>
      <c r="WLN129" s="118"/>
      <c r="WLO129" s="118"/>
      <c r="WLP129" s="118"/>
      <c r="WLQ129" s="118"/>
      <c r="WLR129" s="118"/>
      <c r="WLS129" s="118"/>
      <c r="WLT129" s="118"/>
      <c r="WLU129" s="118"/>
      <c r="WLV129" s="118"/>
      <c r="WLW129" s="118"/>
      <c r="WLX129" s="118"/>
      <c r="WLY129" s="118"/>
      <c r="WLZ129" s="118"/>
      <c r="WMA129" s="118"/>
      <c r="WMB129" s="118"/>
      <c r="WMC129" s="118"/>
      <c r="WMD129" s="118"/>
      <c r="WME129" s="118"/>
      <c r="WMF129" s="118"/>
      <c r="WMG129" s="118"/>
      <c r="WMH129" s="118"/>
      <c r="WMI129" s="118"/>
      <c r="WMJ129" s="118"/>
      <c r="WMK129" s="118"/>
      <c r="WML129" s="118"/>
      <c r="WMM129" s="118"/>
      <c r="WMN129" s="118"/>
      <c r="WMO129" s="118"/>
      <c r="WMP129" s="118"/>
      <c r="WMQ129" s="118"/>
      <c r="WMR129" s="118"/>
      <c r="WMS129" s="118"/>
      <c r="WMT129" s="118"/>
      <c r="WMU129" s="118"/>
      <c r="WMV129" s="118"/>
      <c r="WMW129" s="118"/>
      <c r="WMX129" s="118"/>
      <c r="WMY129" s="118"/>
      <c r="WMZ129" s="118"/>
      <c r="WNA129" s="118"/>
      <c r="WNB129" s="118"/>
      <c r="WNC129" s="118"/>
      <c r="WND129" s="118"/>
      <c r="WNE129" s="118"/>
      <c r="WNF129" s="118"/>
      <c r="WNG129" s="118"/>
      <c r="WNH129" s="118"/>
      <c r="WNI129" s="118"/>
      <c r="WNJ129" s="118"/>
      <c r="WNK129" s="118"/>
      <c r="WNL129" s="118"/>
      <c r="WNM129" s="118"/>
      <c r="WNN129" s="118"/>
      <c r="WNO129" s="118"/>
      <c r="WNP129" s="118"/>
      <c r="WNQ129" s="118"/>
      <c r="WNR129" s="118"/>
      <c r="WNS129" s="118"/>
      <c r="WNT129" s="118"/>
      <c r="WNU129" s="118"/>
      <c r="WNV129" s="118"/>
      <c r="WNW129" s="118"/>
      <c r="WNX129" s="118"/>
      <c r="WNY129" s="118"/>
      <c r="WNZ129" s="118"/>
      <c r="WOA129" s="118"/>
      <c r="WOB129" s="118"/>
      <c r="WOC129" s="118"/>
      <c r="WOD129" s="118"/>
      <c r="WOE129" s="118"/>
      <c r="WOF129" s="118"/>
      <c r="WOG129" s="118"/>
      <c r="WOH129" s="118"/>
      <c r="WOI129" s="118"/>
      <c r="WOJ129" s="118"/>
      <c r="WOK129" s="118"/>
      <c r="WOL129" s="118"/>
      <c r="WOM129" s="118"/>
      <c r="WON129" s="118"/>
      <c r="WOO129" s="118"/>
      <c r="WOP129" s="118"/>
      <c r="WOQ129" s="118"/>
      <c r="WOR129" s="118"/>
      <c r="WOS129" s="118"/>
      <c r="WOT129" s="118"/>
      <c r="WOU129" s="118"/>
      <c r="WOV129" s="118"/>
      <c r="WOW129" s="118"/>
      <c r="WOX129" s="118"/>
      <c r="WOY129" s="118"/>
      <c r="WOZ129" s="118"/>
      <c r="WPA129" s="118"/>
      <c r="WPB129" s="118"/>
      <c r="WPC129" s="118"/>
      <c r="WPD129" s="118"/>
      <c r="WPE129" s="118"/>
      <c r="WPF129" s="118"/>
      <c r="WPG129" s="118"/>
      <c r="WPH129" s="118"/>
      <c r="WPI129" s="118"/>
      <c r="WPJ129" s="118"/>
      <c r="WPK129" s="118"/>
      <c r="WPL129" s="118"/>
      <c r="WPM129" s="118"/>
      <c r="WPN129" s="118"/>
      <c r="WPO129" s="118"/>
      <c r="WPP129" s="118"/>
      <c r="WPQ129" s="118"/>
      <c r="WPR129" s="118"/>
      <c r="WPS129" s="118"/>
      <c r="WPT129" s="118"/>
      <c r="WPU129" s="118"/>
      <c r="WPV129" s="118"/>
      <c r="WPW129" s="118"/>
      <c r="WPX129" s="118"/>
      <c r="WPY129" s="118"/>
      <c r="WPZ129" s="118"/>
      <c r="WQA129" s="118"/>
      <c r="WQB129" s="118"/>
      <c r="WQC129" s="118"/>
      <c r="WQD129" s="118"/>
      <c r="WQE129" s="118"/>
      <c r="WQF129" s="118"/>
      <c r="WQG129" s="118"/>
      <c r="WQH129" s="118"/>
      <c r="WQI129" s="118"/>
      <c r="WQJ129" s="118"/>
      <c r="WQK129" s="118"/>
      <c r="WQL129" s="118"/>
      <c r="WQM129" s="118"/>
      <c r="WQN129" s="118"/>
      <c r="WQO129" s="118"/>
      <c r="WQP129" s="118"/>
      <c r="WQQ129" s="118"/>
      <c r="WQR129" s="118"/>
      <c r="WQS129" s="118"/>
      <c r="WQT129" s="118"/>
      <c r="WQU129" s="118"/>
      <c r="WQV129" s="118"/>
      <c r="WQW129" s="118"/>
      <c r="WQX129" s="118"/>
      <c r="WQY129" s="118"/>
      <c r="WQZ129" s="118"/>
      <c r="WRA129" s="118"/>
      <c r="WRB129" s="118"/>
      <c r="WRC129" s="118"/>
      <c r="WRD129" s="118"/>
      <c r="WRE129" s="118"/>
      <c r="WRF129" s="118"/>
      <c r="WRG129" s="118"/>
      <c r="WRH129" s="118"/>
      <c r="WRI129" s="118"/>
      <c r="WRJ129" s="118"/>
      <c r="WRK129" s="118"/>
      <c r="WRL129" s="118"/>
      <c r="WRM129" s="118"/>
      <c r="WRN129" s="118"/>
      <c r="WRO129" s="118"/>
      <c r="WRP129" s="118"/>
      <c r="WRQ129" s="118"/>
      <c r="WRR129" s="118"/>
      <c r="WRS129" s="118"/>
      <c r="WRT129" s="118"/>
      <c r="WRU129" s="118"/>
      <c r="WRV129" s="118"/>
      <c r="WRW129" s="118"/>
      <c r="WRX129" s="118"/>
      <c r="WRY129" s="118"/>
      <c r="WRZ129" s="118"/>
      <c r="WSA129" s="118"/>
      <c r="WSB129" s="118"/>
      <c r="WSC129" s="118"/>
      <c r="WSD129" s="118"/>
      <c r="WSE129" s="118"/>
      <c r="WSF129" s="118"/>
      <c r="WSG129" s="118"/>
      <c r="WSH129" s="118"/>
      <c r="WSI129" s="118"/>
      <c r="WSJ129" s="118"/>
      <c r="WSK129" s="118"/>
      <c r="WSL129" s="118"/>
      <c r="WSM129" s="118"/>
      <c r="WSN129" s="118"/>
      <c r="WSO129" s="118"/>
      <c r="WSP129" s="118"/>
      <c r="WSQ129" s="118"/>
      <c r="WSR129" s="118"/>
      <c r="WSS129" s="118"/>
      <c r="WST129" s="118"/>
      <c r="WSU129" s="118"/>
      <c r="WSV129" s="118"/>
      <c r="WSW129" s="118"/>
      <c r="WSX129" s="118"/>
      <c r="WSY129" s="118"/>
      <c r="WSZ129" s="118"/>
      <c r="WTA129" s="118"/>
      <c r="WTB129" s="118"/>
      <c r="WTC129" s="118"/>
      <c r="WTD129" s="118"/>
      <c r="WTE129" s="118"/>
      <c r="WTF129" s="118"/>
      <c r="WTG129" s="118"/>
      <c r="WTH129" s="118"/>
      <c r="WTI129" s="118"/>
      <c r="WTJ129" s="118"/>
      <c r="WTK129" s="118"/>
      <c r="WTL129" s="118"/>
      <c r="WTM129" s="118"/>
      <c r="WTN129" s="118"/>
      <c r="WTO129" s="118"/>
      <c r="WTP129" s="118"/>
      <c r="WTQ129" s="118"/>
      <c r="WTR129" s="118"/>
      <c r="WTS129" s="118"/>
      <c r="WTT129" s="118"/>
      <c r="WTU129" s="118"/>
      <c r="WTV129" s="118"/>
      <c r="WTW129" s="118"/>
      <c r="WTX129" s="118"/>
      <c r="WTY129" s="118"/>
      <c r="WTZ129" s="118"/>
      <c r="WUA129" s="118"/>
      <c r="WUB129" s="118"/>
      <c r="WUC129" s="118"/>
      <c r="WUD129" s="118"/>
      <c r="WUE129" s="118"/>
      <c r="WUF129" s="118"/>
      <c r="WUG129" s="118"/>
      <c r="WUH129" s="118"/>
      <c r="WUI129" s="118"/>
      <c r="WUJ129" s="118"/>
      <c r="WUK129" s="118"/>
      <c r="WUL129" s="118"/>
      <c r="WUM129" s="118"/>
      <c r="WUN129" s="118"/>
      <c r="WUO129" s="118"/>
      <c r="WUP129" s="118"/>
      <c r="WUQ129" s="118"/>
      <c r="WUR129" s="118"/>
      <c r="WUS129" s="118"/>
      <c r="WUT129" s="118"/>
      <c r="WUU129" s="118"/>
      <c r="WUV129" s="118"/>
      <c r="WUW129" s="118"/>
      <c r="WUX129" s="118"/>
      <c r="WUY129" s="118"/>
      <c r="WUZ129" s="118"/>
      <c r="WVA129" s="118"/>
      <c r="WVB129" s="118"/>
      <c r="WVC129" s="118"/>
      <c r="WVD129" s="118"/>
      <c r="WVE129" s="118"/>
      <c r="WVF129" s="118"/>
      <c r="WVG129" s="118"/>
      <c r="WVH129" s="118"/>
      <c r="WVI129" s="118"/>
      <c r="WVJ129" s="118"/>
      <c r="WVK129" s="118"/>
      <c r="WVL129" s="118"/>
      <c r="WVM129" s="118"/>
      <c r="WVN129" s="118"/>
      <c r="WVO129" s="118"/>
      <c r="WVP129" s="118"/>
      <c r="WVQ129" s="118"/>
      <c r="WVR129" s="118"/>
      <c r="WVS129" s="118"/>
      <c r="WVT129" s="118"/>
      <c r="WVU129" s="118"/>
      <c r="WVV129" s="118"/>
      <c r="WVW129" s="118"/>
      <c r="WVX129" s="118"/>
      <c r="WVY129" s="118"/>
      <c r="WVZ129" s="118"/>
      <c r="WWA129" s="118"/>
      <c r="WWB129" s="118"/>
      <c r="WWC129" s="118"/>
      <c r="WWD129" s="118"/>
      <c r="WWE129" s="118"/>
      <c r="WWF129" s="118"/>
      <c r="WWG129" s="118"/>
      <c r="WWH129" s="118"/>
      <c r="WWI129" s="118"/>
      <c r="WWJ129" s="118"/>
      <c r="WWK129" s="118"/>
      <c r="WWL129" s="118"/>
      <c r="WWM129" s="118"/>
      <c r="WWN129" s="118"/>
      <c r="WWO129" s="118"/>
      <c r="WWP129" s="118"/>
      <c r="WWQ129" s="118"/>
      <c r="WWR129" s="118"/>
      <c r="WWS129" s="118"/>
      <c r="WWT129" s="118"/>
      <c r="WWU129" s="118"/>
      <c r="WWV129" s="118"/>
      <c r="WWW129" s="118"/>
      <c r="WWX129" s="118"/>
      <c r="WWY129" s="118"/>
      <c r="WWZ129" s="118"/>
      <c r="WXA129" s="118"/>
      <c r="WXB129" s="118"/>
      <c r="WXC129" s="118"/>
      <c r="WXD129" s="118"/>
      <c r="WXE129" s="118"/>
      <c r="WXF129" s="118"/>
      <c r="WXG129" s="118"/>
      <c r="WXH129" s="118"/>
      <c r="WXI129" s="118"/>
      <c r="WXJ129" s="118"/>
      <c r="WXK129" s="118"/>
      <c r="WXL129" s="118"/>
      <c r="WXM129" s="118"/>
      <c r="WXN129" s="118"/>
      <c r="WXO129" s="118"/>
      <c r="WXP129" s="118"/>
      <c r="WXQ129" s="118"/>
      <c r="WXR129" s="118"/>
      <c r="WXS129" s="118"/>
      <c r="WXT129" s="118"/>
      <c r="WXU129" s="118"/>
      <c r="WXV129" s="118"/>
      <c r="WXW129" s="118"/>
      <c r="WXX129" s="118"/>
      <c r="WXY129" s="118"/>
      <c r="WXZ129" s="118"/>
      <c r="WYA129" s="118"/>
      <c r="WYB129" s="118"/>
      <c r="WYC129" s="118"/>
      <c r="WYD129" s="118"/>
      <c r="WYE129" s="118"/>
      <c r="WYF129" s="118"/>
      <c r="WYG129" s="118"/>
      <c r="WYH129" s="118"/>
      <c r="WYI129" s="118"/>
      <c r="WYJ129" s="118"/>
      <c r="WYK129" s="118"/>
      <c r="WYL129" s="118"/>
      <c r="WYM129" s="118"/>
      <c r="WYN129" s="118"/>
      <c r="WYO129" s="118"/>
      <c r="WYP129" s="118"/>
      <c r="WYQ129" s="118"/>
      <c r="WYR129" s="118"/>
      <c r="WYS129" s="118"/>
      <c r="WYT129" s="118"/>
      <c r="WYU129" s="118"/>
      <c r="WYV129" s="118"/>
      <c r="WYW129" s="118"/>
      <c r="WYX129" s="118"/>
      <c r="WYY129" s="118"/>
      <c r="WYZ129" s="118"/>
      <c r="WZA129" s="118"/>
      <c r="WZB129" s="118"/>
      <c r="WZC129" s="118"/>
      <c r="WZD129" s="118"/>
      <c r="WZE129" s="118"/>
      <c r="WZF129" s="118"/>
      <c r="WZG129" s="118"/>
      <c r="WZH129" s="118"/>
      <c r="WZI129" s="118"/>
      <c r="WZJ129" s="118"/>
      <c r="WZK129" s="118"/>
      <c r="WZL129" s="118"/>
      <c r="WZM129" s="118"/>
      <c r="WZN129" s="118"/>
      <c r="WZO129" s="118"/>
      <c r="WZP129" s="118"/>
      <c r="WZQ129" s="118"/>
      <c r="WZR129" s="118"/>
      <c r="WZS129" s="118"/>
      <c r="WZT129" s="118"/>
      <c r="WZU129" s="118"/>
      <c r="WZV129" s="118"/>
      <c r="WZW129" s="118"/>
      <c r="WZX129" s="118"/>
      <c r="WZY129" s="118"/>
      <c r="WZZ129" s="118"/>
      <c r="XAA129" s="118"/>
      <c r="XAB129" s="118"/>
      <c r="XAC129" s="118"/>
      <c r="XAD129" s="118"/>
      <c r="XAE129" s="118"/>
      <c r="XAF129" s="118"/>
      <c r="XAG129" s="118"/>
      <c r="XAH129" s="118"/>
      <c r="XAI129" s="118"/>
      <c r="XAJ129" s="118"/>
      <c r="XAK129" s="118"/>
      <c r="XAL129" s="118"/>
      <c r="XAM129" s="118"/>
      <c r="XAN129" s="118"/>
      <c r="XAO129" s="118"/>
      <c r="XAP129" s="118"/>
      <c r="XAQ129" s="118"/>
      <c r="XAR129" s="118"/>
      <c r="XAS129" s="118"/>
      <c r="XAT129" s="118"/>
      <c r="XAU129" s="118"/>
      <c r="XAV129" s="118"/>
      <c r="XAW129" s="118"/>
      <c r="XAX129" s="118"/>
      <c r="XAY129" s="118"/>
      <c r="XAZ129" s="118"/>
      <c r="XBA129" s="118"/>
      <c r="XBB129" s="118"/>
      <c r="XBC129" s="118"/>
      <c r="XBD129" s="118"/>
      <c r="XBE129" s="118"/>
      <c r="XBF129" s="118"/>
      <c r="XBG129" s="118"/>
      <c r="XBH129" s="118"/>
      <c r="XBI129" s="118"/>
      <c r="XBJ129" s="118"/>
      <c r="XBK129" s="118"/>
      <c r="XBL129" s="118"/>
      <c r="XBM129" s="118"/>
      <c r="XBN129" s="118"/>
      <c r="XBO129" s="118"/>
      <c r="XBP129" s="118"/>
      <c r="XBQ129" s="118"/>
      <c r="XBR129" s="118"/>
      <c r="XBS129" s="118"/>
      <c r="XBT129" s="118"/>
      <c r="XBU129" s="118"/>
      <c r="XBV129" s="118"/>
      <c r="XBW129" s="118"/>
      <c r="XBX129" s="118"/>
      <c r="XBY129" s="118"/>
      <c r="XBZ129" s="118"/>
      <c r="XCA129" s="118"/>
      <c r="XCB129" s="118"/>
      <c r="XCC129" s="118"/>
      <c r="XCD129" s="118"/>
      <c r="XCE129" s="118"/>
      <c r="XCF129" s="118"/>
      <c r="XCG129" s="118"/>
      <c r="XCH129" s="118"/>
      <c r="XCI129" s="118"/>
      <c r="XCJ129" s="118"/>
      <c r="XCK129" s="118"/>
      <c r="XCL129" s="118"/>
      <c r="XCM129" s="118"/>
      <c r="XCN129" s="118"/>
      <c r="XCO129" s="118"/>
      <c r="XCP129" s="118"/>
      <c r="XCQ129" s="118"/>
      <c r="XCR129" s="118"/>
      <c r="XCS129" s="118"/>
      <c r="XCT129" s="118"/>
      <c r="XCU129" s="118"/>
      <c r="XCV129" s="118"/>
      <c r="XCW129" s="118"/>
      <c r="XCX129" s="118"/>
      <c r="XCY129" s="118"/>
      <c r="XCZ129" s="118"/>
      <c r="XDA129" s="118"/>
      <c r="XDB129" s="118"/>
      <c r="XDC129" s="118"/>
      <c r="XDD129" s="118"/>
      <c r="XDE129" s="118"/>
      <c r="XDF129" s="118"/>
      <c r="XDG129" s="118"/>
      <c r="XDH129" s="118"/>
      <c r="XDI129" s="118"/>
      <c r="XDJ129" s="118"/>
      <c r="XDK129" s="118"/>
      <c r="XDL129" s="118"/>
      <c r="XDM129" s="118"/>
      <c r="XDN129" s="118"/>
      <c r="XDO129" s="118"/>
      <c r="XDP129" s="118"/>
      <c r="XDQ129" s="118"/>
      <c r="XDR129" s="118"/>
      <c r="XDS129" s="118"/>
      <c r="XDT129" s="118"/>
      <c r="XDU129" s="118"/>
      <c r="XDV129" s="118"/>
      <c r="XDW129" s="118"/>
      <c r="XDX129" s="118"/>
      <c r="XDY129" s="118"/>
      <c r="XDZ129" s="118"/>
      <c r="XEA129" s="118"/>
      <c r="XEB129" s="118"/>
      <c r="XEC129" s="118"/>
      <c r="XED129" s="118"/>
      <c r="XEE129" s="118"/>
      <c r="XEF129" s="118"/>
      <c r="XEG129" s="118"/>
      <c r="XEH129" s="118"/>
      <c r="XEI129" s="118"/>
      <c r="XEJ129" s="118"/>
      <c r="XEK129" s="118"/>
      <c r="XEL129" s="118"/>
      <c r="XEM129" s="118"/>
      <c r="XEN129" s="118"/>
      <c r="XEO129" s="118"/>
      <c r="XEP129" s="118"/>
      <c r="XEQ129" s="118"/>
      <c r="XER129" s="118"/>
      <c r="XES129" s="118"/>
      <c r="XET129" s="118"/>
      <c r="XEU129" s="118"/>
      <c r="XEV129" s="118"/>
      <c r="XEW129" s="118"/>
      <c r="XEX129" s="118"/>
      <c r="XEY129" s="119"/>
      <c r="XEZ129" s="119"/>
      <c r="XFA129" s="119"/>
      <c r="XFB129" s="119"/>
      <c r="XFC129" s="120"/>
    </row>
    <row r="130" s="7" customFormat="1" ht="31" spans="1:16383">
      <c r="A130" s="42">
        <v>1</v>
      </c>
      <c r="B130" s="43"/>
      <c r="C130" s="34" t="s">
        <v>143</v>
      </c>
      <c r="D130" s="35"/>
      <c r="E130" s="72" t="s">
        <v>25</v>
      </c>
      <c r="F130" s="68">
        <v>0</v>
      </c>
      <c r="G130" s="71">
        <v>280</v>
      </c>
      <c r="H130" s="68">
        <f t="shared" ref="H130:H132" si="7">F130*G130</f>
        <v>0</v>
      </c>
      <c r="I130" s="79" t="s">
        <v>144</v>
      </c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7"/>
      <c r="AP130" s="107"/>
      <c r="AQ130" s="107"/>
      <c r="AR130" s="107"/>
      <c r="AS130" s="107"/>
      <c r="AT130" s="107"/>
      <c r="AU130" s="107"/>
      <c r="AV130" s="107"/>
      <c r="AW130" s="107"/>
      <c r="AX130" s="107"/>
      <c r="AY130" s="107"/>
      <c r="AZ130" s="107"/>
      <c r="BA130" s="107"/>
      <c r="BB130" s="107"/>
      <c r="BC130" s="107"/>
      <c r="BD130" s="107"/>
      <c r="BE130" s="107"/>
      <c r="BF130" s="107"/>
      <c r="BG130" s="107"/>
      <c r="BH130" s="107"/>
      <c r="BI130" s="107"/>
      <c r="BJ130" s="107"/>
      <c r="BK130" s="107"/>
      <c r="BL130" s="107"/>
      <c r="BM130" s="107"/>
      <c r="BN130" s="107"/>
      <c r="BO130" s="107"/>
      <c r="BP130" s="107"/>
      <c r="BQ130" s="107"/>
      <c r="BR130" s="107"/>
      <c r="BS130" s="107"/>
      <c r="BT130" s="107"/>
      <c r="BU130" s="107"/>
      <c r="BV130" s="107"/>
      <c r="BW130" s="107"/>
      <c r="BX130" s="107"/>
      <c r="BY130" s="107"/>
      <c r="BZ130" s="107"/>
      <c r="CA130" s="107"/>
      <c r="CB130" s="107"/>
      <c r="CC130" s="107"/>
      <c r="CD130" s="107"/>
      <c r="CE130" s="107"/>
      <c r="CF130" s="107"/>
      <c r="CG130" s="107"/>
      <c r="CH130" s="107"/>
      <c r="CI130" s="107"/>
      <c r="CJ130" s="107"/>
      <c r="CK130" s="107"/>
      <c r="CL130" s="107"/>
      <c r="CM130" s="107"/>
      <c r="CN130" s="107"/>
      <c r="CO130" s="107"/>
      <c r="CP130" s="107"/>
      <c r="CQ130" s="107"/>
      <c r="CR130" s="107"/>
      <c r="CS130" s="107"/>
      <c r="CT130" s="107"/>
      <c r="CU130" s="107"/>
      <c r="CV130" s="107"/>
      <c r="CW130" s="107"/>
      <c r="CX130" s="107"/>
      <c r="CY130" s="107"/>
      <c r="CZ130" s="107"/>
      <c r="DA130" s="107"/>
      <c r="DB130" s="107"/>
      <c r="DC130" s="107"/>
      <c r="DD130" s="107"/>
      <c r="DE130" s="107"/>
      <c r="DF130" s="107"/>
      <c r="DG130" s="107"/>
      <c r="DH130" s="107"/>
      <c r="DI130" s="107"/>
      <c r="DJ130" s="107"/>
      <c r="DK130" s="107"/>
      <c r="DL130" s="107"/>
      <c r="DM130" s="107"/>
      <c r="DN130" s="107"/>
      <c r="DO130" s="107"/>
      <c r="DP130" s="107"/>
      <c r="DQ130" s="107"/>
      <c r="DR130" s="107"/>
      <c r="DS130" s="107"/>
      <c r="DT130" s="107"/>
      <c r="DU130" s="107"/>
      <c r="DV130" s="107"/>
      <c r="DW130" s="107"/>
      <c r="DX130" s="107"/>
      <c r="DY130" s="107"/>
      <c r="DZ130" s="107"/>
      <c r="EA130" s="107"/>
      <c r="EB130" s="107"/>
      <c r="EC130" s="107"/>
      <c r="ED130" s="107"/>
      <c r="EE130" s="107"/>
      <c r="EF130" s="107"/>
      <c r="EG130" s="107"/>
      <c r="EH130" s="107"/>
      <c r="EI130" s="107"/>
      <c r="EJ130" s="107"/>
      <c r="EK130" s="107"/>
      <c r="EL130" s="107"/>
      <c r="EM130" s="107"/>
      <c r="EN130" s="107"/>
      <c r="EO130" s="107"/>
      <c r="EP130" s="107"/>
      <c r="EQ130" s="107"/>
      <c r="ER130" s="107"/>
      <c r="ES130" s="107"/>
      <c r="ET130" s="107"/>
      <c r="EU130" s="107"/>
      <c r="EV130" s="107"/>
      <c r="EW130" s="107"/>
      <c r="EX130" s="107"/>
      <c r="EY130" s="107"/>
      <c r="EZ130" s="107"/>
      <c r="FA130" s="107"/>
      <c r="FB130" s="107"/>
      <c r="FC130" s="107"/>
      <c r="FD130" s="107"/>
      <c r="FE130" s="107"/>
      <c r="FF130" s="107"/>
      <c r="FG130" s="107"/>
      <c r="FH130" s="107"/>
      <c r="FI130" s="107"/>
      <c r="FJ130" s="107"/>
      <c r="FK130" s="107"/>
      <c r="FL130" s="107"/>
      <c r="FM130" s="107"/>
      <c r="FN130" s="107"/>
      <c r="FO130" s="107"/>
      <c r="FP130" s="107"/>
      <c r="FQ130" s="107"/>
      <c r="FR130" s="107"/>
      <c r="FS130" s="107"/>
      <c r="FT130" s="107"/>
      <c r="FU130" s="107"/>
      <c r="FV130" s="107"/>
      <c r="FW130" s="107"/>
      <c r="FX130" s="107"/>
      <c r="FY130" s="107"/>
      <c r="FZ130" s="107"/>
      <c r="GA130" s="107"/>
      <c r="GB130" s="107"/>
      <c r="GC130" s="107"/>
      <c r="GD130" s="107"/>
      <c r="GE130" s="107"/>
      <c r="GF130" s="107"/>
      <c r="GG130" s="107"/>
      <c r="GH130" s="107"/>
      <c r="GI130" s="107"/>
      <c r="GJ130" s="107"/>
      <c r="GK130" s="107"/>
      <c r="GL130" s="107"/>
      <c r="GM130" s="107"/>
      <c r="GN130" s="107"/>
      <c r="GO130" s="107"/>
      <c r="GP130" s="107"/>
      <c r="GQ130" s="107"/>
      <c r="GR130" s="107"/>
      <c r="GS130" s="107"/>
      <c r="GT130" s="107"/>
      <c r="GU130" s="107"/>
      <c r="GV130" s="107"/>
      <c r="GW130" s="107"/>
      <c r="GX130" s="107"/>
      <c r="GY130" s="107"/>
      <c r="GZ130" s="107"/>
      <c r="HA130" s="107"/>
      <c r="HB130" s="107"/>
      <c r="HC130" s="107"/>
      <c r="HD130" s="107"/>
      <c r="HE130" s="107"/>
      <c r="HF130" s="107"/>
      <c r="HG130" s="107"/>
      <c r="HH130" s="107"/>
      <c r="HI130" s="107"/>
      <c r="HJ130" s="107"/>
      <c r="HK130" s="107"/>
      <c r="HL130" s="107"/>
      <c r="HM130" s="107"/>
      <c r="HN130" s="107"/>
      <c r="HO130" s="107"/>
      <c r="HP130" s="107"/>
      <c r="HQ130" s="107"/>
      <c r="HR130" s="107"/>
      <c r="HS130" s="107"/>
      <c r="HT130" s="107"/>
      <c r="HU130" s="107"/>
      <c r="HV130" s="107"/>
      <c r="HW130" s="107"/>
      <c r="HX130" s="107"/>
      <c r="HY130" s="107"/>
      <c r="HZ130" s="107"/>
      <c r="IA130" s="107"/>
      <c r="IB130" s="107"/>
      <c r="IC130" s="107"/>
      <c r="ID130" s="107"/>
      <c r="IE130" s="107"/>
      <c r="IF130" s="107"/>
      <c r="IG130" s="107"/>
      <c r="IH130" s="107"/>
      <c r="II130" s="107"/>
      <c r="IJ130" s="107"/>
      <c r="IK130" s="107"/>
      <c r="IL130" s="107"/>
      <c r="IM130" s="107"/>
      <c r="IN130" s="107"/>
      <c r="IO130" s="118"/>
      <c r="IP130" s="118"/>
      <c r="IQ130" s="118"/>
      <c r="IR130" s="118"/>
      <c r="IS130" s="118"/>
      <c r="IT130" s="118"/>
      <c r="IU130" s="118"/>
      <c r="IV130" s="118"/>
      <c r="IW130" s="118"/>
      <c r="IX130" s="118"/>
      <c r="IY130" s="118"/>
      <c r="IZ130" s="118"/>
      <c r="JA130" s="118"/>
      <c r="JB130" s="118"/>
      <c r="JC130" s="118"/>
      <c r="JD130" s="118"/>
      <c r="JE130" s="118"/>
      <c r="JF130" s="118"/>
      <c r="JG130" s="118"/>
      <c r="JH130" s="118"/>
      <c r="JI130" s="118"/>
      <c r="JJ130" s="118"/>
      <c r="JK130" s="118"/>
      <c r="JL130" s="118"/>
      <c r="JM130" s="118"/>
      <c r="JN130" s="118"/>
      <c r="JO130" s="118"/>
      <c r="JP130" s="118"/>
      <c r="JQ130" s="118"/>
      <c r="JR130" s="118"/>
      <c r="JS130" s="118"/>
      <c r="JT130" s="118"/>
      <c r="JU130" s="118"/>
      <c r="JV130" s="118"/>
      <c r="JW130" s="118"/>
      <c r="JX130" s="118"/>
      <c r="JY130" s="118"/>
      <c r="JZ130" s="118"/>
      <c r="KA130" s="118"/>
      <c r="KB130" s="118"/>
      <c r="KC130" s="118"/>
      <c r="KD130" s="118"/>
      <c r="KE130" s="118"/>
      <c r="KF130" s="118"/>
      <c r="KG130" s="118"/>
      <c r="KH130" s="118"/>
      <c r="KI130" s="118"/>
      <c r="KJ130" s="118"/>
      <c r="KK130" s="118"/>
      <c r="KL130" s="118"/>
      <c r="KM130" s="118"/>
      <c r="KN130" s="118"/>
      <c r="KO130" s="118"/>
      <c r="KP130" s="118"/>
      <c r="KQ130" s="118"/>
      <c r="KR130" s="118"/>
      <c r="KS130" s="118"/>
      <c r="KT130" s="118"/>
      <c r="KU130" s="118"/>
      <c r="KV130" s="118"/>
      <c r="KW130" s="118"/>
      <c r="KX130" s="118"/>
      <c r="KY130" s="118"/>
      <c r="KZ130" s="118"/>
      <c r="LA130" s="118"/>
      <c r="LB130" s="118"/>
      <c r="LC130" s="118"/>
      <c r="LD130" s="118"/>
      <c r="LE130" s="118"/>
      <c r="LF130" s="118"/>
      <c r="LG130" s="118"/>
      <c r="LH130" s="118"/>
      <c r="LI130" s="118"/>
      <c r="LJ130" s="118"/>
      <c r="LK130" s="118"/>
      <c r="LL130" s="118"/>
      <c r="LM130" s="118"/>
      <c r="LN130" s="118"/>
      <c r="LO130" s="118"/>
      <c r="LP130" s="118"/>
      <c r="LQ130" s="118"/>
      <c r="LR130" s="118"/>
      <c r="LS130" s="118"/>
      <c r="LT130" s="118"/>
      <c r="LU130" s="118"/>
      <c r="LV130" s="118"/>
      <c r="LW130" s="118"/>
      <c r="LX130" s="118"/>
      <c r="LY130" s="118"/>
      <c r="LZ130" s="118"/>
      <c r="MA130" s="118"/>
      <c r="MB130" s="118"/>
      <c r="MC130" s="118"/>
      <c r="MD130" s="118"/>
      <c r="ME130" s="118"/>
      <c r="MF130" s="118"/>
      <c r="MG130" s="118"/>
      <c r="MH130" s="118"/>
      <c r="MI130" s="118"/>
      <c r="MJ130" s="118"/>
      <c r="MK130" s="118"/>
      <c r="ML130" s="118"/>
      <c r="MM130" s="118"/>
      <c r="MN130" s="118"/>
      <c r="MO130" s="118"/>
      <c r="MP130" s="118"/>
      <c r="MQ130" s="118"/>
      <c r="MR130" s="118"/>
      <c r="MS130" s="118"/>
      <c r="MT130" s="118"/>
      <c r="MU130" s="118"/>
      <c r="MV130" s="118"/>
      <c r="MW130" s="118"/>
      <c r="MX130" s="118"/>
      <c r="MY130" s="118"/>
      <c r="MZ130" s="118"/>
      <c r="NA130" s="118"/>
      <c r="NB130" s="118"/>
      <c r="NC130" s="118"/>
      <c r="ND130" s="118"/>
      <c r="NE130" s="118"/>
      <c r="NF130" s="118"/>
      <c r="NG130" s="118"/>
      <c r="NH130" s="118"/>
      <c r="NI130" s="118"/>
      <c r="NJ130" s="118"/>
      <c r="NK130" s="118"/>
      <c r="NL130" s="118"/>
      <c r="NM130" s="118"/>
      <c r="NN130" s="118"/>
      <c r="NO130" s="118"/>
      <c r="NP130" s="118"/>
      <c r="NQ130" s="118"/>
      <c r="NR130" s="118"/>
      <c r="NS130" s="118"/>
      <c r="NT130" s="118"/>
      <c r="NU130" s="118"/>
      <c r="NV130" s="118"/>
      <c r="NW130" s="118"/>
      <c r="NX130" s="118"/>
      <c r="NY130" s="118"/>
      <c r="NZ130" s="118"/>
      <c r="OA130" s="118"/>
      <c r="OB130" s="118"/>
      <c r="OC130" s="118"/>
      <c r="OD130" s="118"/>
      <c r="OE130" s="118"/>
      <c r="OF130" s="118"/>
      <c r="OG130" s="118"/>
      <c r="OH130" s="118"/>
      <c r="OI130" s="118"/>
      <c r="OJ130" s="118"/>
      <c r="OK130" s="118"/>
      <c r="OL130" s="118"/>
      <c r="OM130" s="118"/>
      <c r="ON130" s="118"/>
      <c r="OO130" s="118"/>
      <c r="OP130" s="118"/>
      <c r="OQ130" s="118"/>
      <c r="OR130" s="118"/>
      <c r="OS130" s="118"/>
      <c r="OT130" s="118"/>
      <c r="OU130" s="118"/>
      <c r="OV130" s="118"/>
      <c r="OW130" s="118"/>
      <c r="OX130" s="118"/>
      <c r="OY130" s="118"/>
      <c r="OZ130" s="118"/>
      <c r="PA130" s="118"/>
      <c r="PB130" s="118"/>
      <c r="PC130" s="118"/>
      <c r="PD130" s="118"/>
      <c r="PE130" s="118"/>
      <c r="PF130" s="118"/>
      <c r="PG130" s="118"/>
      <c r="PH130" s="118"/>
      <c r="PI130" s="118"/>
      <c r="PJ130" s="118"/>
      <c r="PK130" s="118"/>
      <c r="PL130" s="118"/>
      <c r="PM130" s="118"/>
      <c r="PN130" s="118"/>
      <c r="PO130" s="118"/>
      <c r="PP130" s="118"/>
      <c r="PQ130" s="118"/>
      <c r="PR130" s="118"/>
      <c r="PS130" s="118"/>
      <c r="PT130" s="118"/>
      <c r="PU130" s="118"/>
      <c r="PV130" s="118"/>
      <c r="PW130" s="118"/>
      <c r="PX130" s="118"/>
      <c r="PY130" s="118"/>
      <c r="PZ130" s="118"/>
      <c r="QA130" s="118"/>
      <c r="QB130" s="118"/>
      <c r="QC130" s="118"/>
      <c r="QD130" s="118"/>
      <c r="QE130" s="118"/>
      <c r="QF130" s="118"/>
      <c r="QG130" s="118"/>
      <c r="QH130" s="118"/>
      <c r="QI130" s="118"/>
      <c r="QJ130" s="118"/>
      <c r="QK130" s="118"/>
      <c r="QL130" s="118"/>
      <c r="QM130" s="118"/>
      <c r="QN130" s="118"/>
      <c r="QO130" s="118"/>
      <c r="QP130" s="118"/>
      <c r="QQ130" s="118"/>
      <c r="QR130" s="118"/>
      <c r="QS130" s="118"/>
      <c r="QT130" s="118"/>
      <c r="QU130" s="118"/>
      <c r="QV130" s="118"/>
      <c r="QW130" s="118"/>
      <c r="QX130" s="118"/>
      <c r="QY130" s="118"/>
      <c r="QZ130" s="118"/>
      <c r="RA130" s="118"/>
      <c r="RB130" s="118"/>
      <c r="RC130" s="118"/>
      <c r="RD130" s="118"/>
      <c r="RE130" s="118"/>
      <c r="RF130" s="118"/>
      <c r="RG130" s="118"/>
      <c r="RH130" s="118"/>
      <c r="RI130" s="118"/>
      <c r="RJ130" s="118"/>
      <c r="RK130" s="118"/>
      <c r="RL130" s="118"/>
      <c r="RM130" s="118"/>
      <c r="RN130" s="118"/>
      <c r="RO130" s="118"/>
      <c r="RP130" s="118"/>
      <c r="RQ130" s="118"/>
      <c r="RR130" s="118"/>
      <c r="RS130" s="118"/>
      <c r="RT130" s="118"/>
      <c r="RU130" s="118"/>
      <c r="RV130" s="118"/>
      <c r="RW130" s="118"/>
      <c r="RX130" s="118"/>
      <c r="RY130" s="118"/>
      <c r="RZ130" s="118"/>
      <c r="SA130" s="118"/>
      <c r="SB130" s="118"/>
      <c r="SC130" s="118"/>
      <c r="SD130" s="118"/>
      <c r="SE130" s="118"/>
      <c r="SF130" s="118"/>
      <c r="SG130" s="118"/>
      <c r="SH130" s="118"/>
      <c r="SI130" s="118"/>
      <c r="SJ130" s="118"/>
      <c r="SK130" s="118"/>
      <c r="SL130" s="118"/>
      <c r="SM130" s="118"/>
      <c r="SN130" s="118"/>
      <c r="SO130" s="118"/>
      <c r="SP130" s="118"/>
      <c r="SQ130" s="118"/>
      <c r="SR130" s="118"/>
      <c r="SS130" s="118"/>
      <c r="ST130" s="118"/>
      <c r="SU130" s="118"/>
      <c r="SV130" s="118"/>
      <c r="SW130" s="118"/>
      <c r="SX130" s="118"/>
      <c r="SY130" s="118"/>
      <c r="SZ130" s="118"/>
      <c r="TA130" s="118"/>
      <c r="TB130" s="118"/>
      <c r="TC130" s="118"/>
      <c r="TD130" s="118"/>
      <c r="TE130" s="118"/>
      <c r="TF130" s="118"/>
      <c r="TG130" s="118"/>
      <c r="TH130" s="118"/>
      <c r="TI130" s="118"/>
      <c r="TJ130" s="118"/>
      <c r="TK130" s="118"/>
      <c r="TL130" s="118"/>
      <c r="TM130" s="118"/>
      <c r="TN130" s="118"/>
      <c r="TO130" s="118"/>
      <c r="TP130" s="118"/>
      <c r="TQ130" s="118"/>
      <c r="TR130" s="118"/>
      <c r="TS130" s="118"/>
      <c r="TT130" s="118"/>
      <c r="TU130" s="118"/>
      <c r="TV130" s="118"/>
      <c r="TW130" s="118"/>
      <c r="TX130" s="118"/>
      <c r="TY130" s="118"/>
      <c r="TZ130" s="118"/>
      <c r="UA130" s="118"/>
      <c r="UB130" s="118"/>
      <c r="UC130" s="118"/>
      <c r="UD130" s="118"/>
      <c r="UE130" s="118"/>
      <c r="UF130" s="118"/>
      <c r="UG130" s="118"/>
      <c r="UH130" s="118"/>
      <c r="UI130" s="118"/>
      <c r="UJ130" s="118"/>
      <c r="UK130" s="118"/>
      <c r="UL130" s="118"/>
      <c r="UM130" s="118"/>
      <c r="UN130" s="118"/>
      <c r="UO130" s="118"/>
      <c r="UP130" s="118"/>
      <c r="UQ130" s="118"/>
      <c r="UR130" s="118"/>
      <c r="US130" s="118"/>
      <c r="UT130" s="118"/>
      <c r="UU130" s="118"/>
      <c r="UV130" s="118"/>
      <c r="UW130" s="118"/>
      <c r="UX130" s="118"/>
      <c r="UY130" s="118"/>
      <c r="UZ130" s="118"/>
      <c r="VA130" s="118"/>
      <c r="VB130" s="118"/>
      <c r="VC130" s="118"/>
      <c r="VD130" s="118"/>
      <c r="VE130" s="118"/>
      <c r="VF130" s="118"/>
      <c r="VG130" s="118"/>
      <c r="VH130" s="118"/>
      <c r="VI130" s="118"/>
      <c r="VJ130" s="118"/>
      <c r="VK130" s="118"/>
      <c r="VL130" s="118"/>
      <c r="VM130" s="118"/>
      <c r="VN130" s="118"/>
      <c r="VO130" s="118"/>
      <c r="VP130" s="118"/>
      <c r="VQ130" s="118"/>
      <c r="VR130" s="118"/>
      <c r="VS130" s="118"/>
      <c r="VT130" s="118"/>
      <c r="VU130" s="118"/>
      <c r="VV130" s="118"/>
      <c r="VW130" s="118"/>
      <c r="VX130" s="118"/>
      <c r="VY130" s="118"/>
      <c r="VZ130" s="118"/>
      <c r="WA130" s="118"/>
      <c r="WB130" s="118"/>
      <c r="WC130" s="118"/>
      <c r="WD130" s="118"/>
      <c r="WE130" s="118"/>
      <c r="WF130" s="118"/>
      <c r="WG130" s="118"/>
      <c r="WH130" s="118"/>
      <c r="WI130" s="118"/>
      <c r="WJ130" s="118"/>
      <c r="WK130" s="118"/>
      <c r="WL130" s="118"/>
      <c r="WM130" s="118"/>
      <c r="WN130" s="118"/>
      <c r="WO130" s="118"/>
      <c r="WP130" s="118"/>
      <c r="WQ130" s="118"/>
      <c r="WR130" s="118"/>
      <c r="WS130" s="118"/>
      <c r="WT130" s="118"/>
      <c r="WU130" s="118"/>
      <c r="WV130" s="118"/>
      <c r="WW130" s="118"/>
      <c r="WX130" s="118"/>
      <c r="WY130" s="118"/>
      <c r="WZ130" s="118"/>
      <c r="XA130" s="118"/>
      <c r="XB130" s="118"/>
      <c r="XC130" s="118"/>
      <c r="XD130" s="118"/>
      <c r="XE130" s="118"/>
      <c r="XF130" s="118"/>
      <c r="XG130" s="118"/>
      <c r="XH130" s="118"/>
      <c r="XI130" s="118"/>
      <c r="XJ130" s="118"/>
      <c r="XK130" s="118"/>
      <c r="XL130" s="118"/>
      <c r="XM130" s="118"/>
      <c r="XN130" s="118"/>
      <c r="XO130" s="118"/>
      <c r="XP130" s="118"/>
      <c r="XQ130" s="118"/>
      <c r="XR130" s="118"/>
      <c r="XS130" s="118"/>
      <c r="XT130" s="118"/>
      <c r="XU130" s="118"/>
      <c r="XV130" s="118"/>
      <c r="XW130" s="118"/>
      <c r="XX130" s="118"/>
      <c r="XY130" s="118"/>
      <c r="XZ130" s="118"/>
      <c r="YA130" s="118"/>
      <c r="YB130" s="118"/>
      <c r="YC130" s="118"/>
      <c r="YD130" s="118"/>
      <c r="YE130" s="118"/>
      <c r="YF130" s="118"/>
      <c r="YG130" s="118"/>
      <c r="YH130" s="118"/>
      <c r="YI130" s="118"/>
      <c r="YJ130" s="118"/>
      <c r="YK130" s="118"/>
      <c r="YL130" s="118"/>
      <c r="YM130" s="118"/>
      <c r="YN130" s="118"/>
      <c r="YO130" s="118"/>
      <c r="YP130" s="118"/>
      <c r="YQ130" s="118"/>
      <c r="YR130" s="118"/>
      <c r="YS130" s="118"/>
      <c r="YT130" s="118"/>
      <c r="YU130" s="118"/>
      <c r="YV130" s="118"/>
      <c r="YW130" s="118"/>
      <c r="YX130" s="118"/>
      <c r="YY130" s="118"/>
      <c r="YZ130" s="118"/>
      <c r="ZA130" s="118"/>
      <c r="ZB130" s="118"/>
      <c r="ZC130" s="118"/>
      <c r="ZD130" s="118"/>
      <c r="ZE130" s="118"/>
      <c r="ZF130" s="118"/>
      <c r="ZG130" s="118"/>
      <c r="ZH130" s="118"/>
      <c r="ZI130" s="118"/>
      <c r="ZJ130" s="118"/>
      <c r="ZK130" s="118"/>
      <c r="ZL130" s="118"/>
      <c r="ZM130" s="118"/>
      <c r="ZN130" s="118"/>
      <c r="ZO130" s="118"/>
      <c r="ZP130" s="118"/>
      <c r="ZQ130" s="118"/>
      <c r="ZR130" s="118"/>
      <c r="ZS130" s="118"/>
      <c r="ZT130" s="118"/>
      <c r="ZU130" s="118"/>
      <c r="ZV130" s="118"/>
      <c r="ZW130" s="118"/>
      <c r="ZX130" s="118"/>
      <c r="ZY130" s="118"/>
      <c r="ZZ130" s="118"/>
      <c r="AAA130" s="118"/>
      <c r="AAB130" s="118"/>
      <c r="AAC130" s="118"/>
      <c r="AAD130" s="118"/>
      <c r="AAE130" s="118"/>
      <c r="AAF130" s="118"/>
      <c r="AAG130" s="118"/>
      <c r="AAH130" s="118"/>
      <c r="AAI130" s="118"/>
      <c r="AAJ130" s="118"/>
      <c r="AAK130" s="118"/>
      <c r="AAL130" s="118"/>
      <c r="AAM130" s="118"/>
      <c r="AAN130" s="118"/>
      <c r="AAO130" s="118"/>
      <c r="AAP130" s="118"/>
      <c r="AAQ130" s="118"/>
      <c r="AAR130" s="118"/>
      <c r="AAS130" s="118"/>
      <c r="AAT130" s="118"/>
      <c r="AAU130" s="118"/>
      <c r="AAV130" s="118"/>
      <c r="AAW130" s="118"/>
      <c r="AAX130" s="118"/>
      <c r="AAY130" s="118"/>
      <c r="AAZ130" s="118"/>
      <c r="ABA130" s="118"/>
      <c r="ABB130" s="118"/>
      <c r="ABC130" s="118"/>
      <c r="ABD130" s="118"/>
      <c r="ABE130" s="118"/>
      <c r="ABF130" s="118"/>
      <c r="ABG130" s="118"/>
      <c r="ABH130" s="118"/>
      <c r="ABI130" s="118"/>
      <c r="ABJ130" s="118"/>
      <c r="ABK130" s="118"/>
      <c r="ABL130" s="118"/>
      <c r="ABM130" s="118"/>
      <c r="ABN130" s="118"/>
      <c r="ABO130" s="118"/>
      <c r="ABP130" s="118"/>
      <c r="ABQ130" s="118"/>
      <c r="ABR130" s="118"/>
      <c r="ABS130" s="118"/>
      <c r="ABT130" s="118"/>
      <c r="ABU130" s="118"/>
      <c r="ABV130" s="118"/>
      <c r="ABW130" s="118"/>
      <c r="ABX130" s="118"/>
      <c r="ABY130" s="118"/>
      <c r="ABZ130" s="118"/>
      <c r="ACA130" s="118"/>
      <c r="ACB130" s="118"/>
      <c r="ACC130" s="118"/>
      <c r="ACD130" s="118"/>
      <c r="ACE130" s="118"/>
      <c r="ACF130" s="118"/>
      <c r="ACG130" s="118"/>
      <c r="ACH130" s="118"/>
      <c r="ACI130" s="118"/>
      <c r="ACJ130" s="118"/>
      <c r="ACK130" s="118"/>
      <c r="ACL130" s="118"/>
      <c r="ACM130" s="118"/>
      <c r="ACN130" s="118"/>
      <c r="ACO130" s="118"/>
      <c r="ACP130" s="118"/>
      <c r="ACQ130" s="118"/>
      <c r="ACR130" s="118"/>
      <c r="ACS130" s="118"/>
      <c r="ACT130" s="118"/>
      <c r="ACU130" s="118"/>
      <c r="ACV130" s="118"/>
      <c r="ACW130" s="118"/>
      <c r="ACX130" s="118"/>
      <c r="ACY130" s="118"/>
      <c r="ACZ130" s="118"/>
      <c r="ADA130" s="118"/>
      <c r="ADB130" s="118"/>
      <c r="ADC130" s="118"/>
      <c r="ADD130" s="118"/>
      <c r="ADE130" s="118"/>
      <c r="ADF130" s="118"/>
      <c r="ADG130" s="118"/>
      <c r="ADH130" s="118"/>
      <c r="ADI130" s="118"/>
      <c r="ADJ130" s="118"/>
      <c r="ADK130" s="118"/>
      <c r="ADL130" s="118"/>
      <c r="ADM130" s="118"/>
      <c r="ADN130" s="118"/>
      <c r="ADO130" s="118"/>
      <c r="ADP130" s="118"/>
      <c r="ADQ130" s="118"/>
      <c r="ADR130" s="118"/>
      <c r="ADS130" s="118"/>
      <c r="ADT130" s="118"/>
      <c r="ADU130" s="118"/>
      <c r="ADV130" s="118"/>
      <c r="ADW130" s="118"/>
      <c r="ADX130" s="118"/>
      <c r="ADY130" s="118"/>
      <c r="ADZ130" s="118"/>
      <c r="AEA130" s="118"/>
      <c r="AEB130" s="118"/>
      <c r="AEC130" s="118"/>
      <c r="AED130" s="118"/>
      <c r="AEE130" s="118"/>
      <c r="AEF130" s="118"/>
      <c r="AEG130" s="118"/>
      <c r="AEH130" s="118"/>
      <c r="AEI130" s="118"/>
      <c r="AEJ130" s="118"/>
      <c r="AEK130" s="118"/>
      <c r="AEL130" s="118"/>
      <c r="AEM130" s="118"/>
      <c r="AEN130" s="118"/>
      <c r="AEO130" s="118"/>
      <c r="AEP130" s="118"/>
      <c r="AEQ130" s="118"/>
      <c r="AER130" s="118"/>
      <c r="AES130" s="118"/>
      <c r="AET130" s="118"/>
      <c r="AEU130" s="118"/>
      <c r="AEV130" s="118"/>
      <c r="AEW130" s="118"/>
      <c r="AEX130" s="118"/>
      <c r="AEY130" s="118"/>
      <c r="AEZ130" s="118"/>
      <c r="AFA130" s="118"/>
      <c r="AFB130" s="118"/>
      <c r="AFC130" s="118"/>
      <c r="AFD130" s="118"/>
      <c r="AFE130" s="118"/>
      <c r="AFF130" s="118"/>
      <c r="AFG130" s="118"/>
      <c r="AFH130" s="118"/>
      <c r="AFI130" s="118"/>
      <c r="AFJ130" s="118"/>
      <c r="AFK130" s="118"/>
      <c r="AFL130" s="118"/>
      <c r="AFM130" s="118"/>
      <c r="AFN130" s="118"/>
      <c r="AFO130" s="118"/>
      <c r="AFP130" s="118"/>
      <c r="AFQ130" s="118"/>
      <c r="AFR130" s="118"/>
      <c r="AFS130" s="118"/>
      <c r="AFT130" s="118"/>
      <c r="AFU130" s="118"/>
      <c r="AFV130" s="118"/>
      <c r="AFW130" s="118"/>
      <c r="AFX130" s="118"/>
      <c r="AFY130" s="118"/>
      <c r="AFZ130" s="118"/>
      <c r="AGA130" s="118"/>
      <c r="AGB130" s="118"/>
      <c r="AGC130" s="118"/>
      <c r="AGD130" s="118"/>
      <c r="AGE130" s="118"/>
      <c r="AGF130" s="118"/>
      <c r="AGG130" s="118"/>
      <c r="AGH130" s="118"/>
      <c r="AGI130" s="118"/>
      <c r="AGJ130" s="118"/>
      <c r="AGK130" s="118"/>
      <c r="AGL130" s="118"/>
      <c r="AGM130" s="118"/>
      <c r="AGN130" s="118"/>
      <c r="AGO130" s="118"/>
      <c r="AGP130" s="118"/>
      <c r="AGQ130" s="118"/>
      <c r="AGR130" s="118"/>
      <c r="AGS130" s="118"/>
      <c r="AGT130" s="118"/>
      <c r="AGU130" s="118"/>
      <c r="AGV130" s="118"/>
      <c r="AGW130" s="118"/>
      <c r="AGX130" s="118"/>
      <c r="AGY130" s="118"/>
      <c r="AGZ130" s="118"/>
      <c r="AHA130" s="118"/>
      <c r="AHB130" s="118"/>
      <c r="AHC130" s="118"/>
      <c r="AHD130" s="118"/>
      <c r="AHE130" s="118"/>
      <c r="AHF130" s="118"/>
      <c r="AHG130" s="118"/>
      <c r="AHH130" s="118"/>
      <c r="AHI130" s="118"/>
      <c r="AHJ130" s="118"/>
      <c r="AHK130" s="118"/>
      <c r="AHL130" s="118"/>
      <c r="AHM130" s="118"/>
      <c r="AHN130" s="118"/>
      <c r="AHO130" s="118"/>
      <c r="AHP130" s="118"/>
      <c r="AHQ130" s="118"/>
      <c r="AHR130" s="118"/>
      <c r="AHS130" s="118"/>
      <c r="AHT130" s="118"/>
      <c r="AHU130" s="118"/>
      <c r="AHV130" s="118"/>
      <c r="AHW130" s="118"/>
      <c r="AHX130" s="118"/>
      <c r="AHY130" s="118"/>
      <c r="AHZ130" s="118"/>
      <c r="AIA130" s="118"/>
      <c r="AIB130" s="118"/>
      <c r="AIC130" s="118"/>
      <c r="AID130" s="118"/>
      <c r="AIE130" s="118"/>
      <c r="AIF130" s="118"/>
      <c r="AIG130" s="118"/>
      <c r="AIH130" s="118"/>
      <c r="AII130" s="118"/>
      <c r="AIJ130" s="118"/>
      <c r="AIK130" s="118"/>
      <c r="AIL130" s="118"/>
      <c r="AIM130" s="118"/>
      <c r="AIN130" s="118"/>
      <c r="AIO130" s="118"/>
      <c r="AIP130" s="118"/>
      <c r="AIQ130" s="118"/>
      <c r="AIR130" s="118"/>
      <c r="AIS130" s="118"/>
      <c r="AIT130" s="118"/>
      <c r="AIU130" s="118"/>
      <c r="AIV130" s="118"/>
      <c r="AIW130" s="118"/>
      <c r="AIX130" s="118"/>
      <c r="AIY130" s="118"/>
      <c r="AIZ130" s="118"/>
      <c r="AJA130" s="118"/>
      <c r="AJB130" s="118"/>
      <c r="AJC130" s="118"/>
      <c r="AJD130" s="118"/>
      <c r="AJE130" s="118"/>
      <c r="AJF130" s="118"/>
      <c r="AJG130" s="118"/>
      <c r="AJH130" s="118"/>
      <c r="AJI130" s="118"/>
      <c r="AJJ130" s="118"/>
      <c r="AJK130" s="118"/>
      <c r="AJL130" s="118"/>
      <c r="AJM130" s="118"/>
      <c r="AJN130" s="118"/>
      <c r="AJO130" s="118"/>
      <c r="AJP130" s="118"/>
      <c r="AJQ130" s="118"/>
      <c r="AJR130" s="118"/>
      <c r="AJS130" s="118"/>
      <c r="AJT130" s="118"/>
      <c r="AJU130" s="118"/>
      <c r="AJV130" s="118"/>
      <c r="AJW130" s="118"/>
      <c r="AJX130" s="118"/>
      <c r="AJY130" s="118"/>
      <c r="AJZ130" s="118"/>
      <c r="AKA130" s="118"/>
      <c r="AKB130" s="118"/>
      <c r="AKC130" s="118"/>
      <c r="AKD130" s="118"/>
      <c r="AKE130" s="118"/>
      <c r="AKF130" s="118"/>
      <c r="AKG130" s="118"/>
      <c r="AKH130" s="118"/>
      <c r="AKI130" s="118"/>
      <c r="AKJ130" s="118"/>
      <c r="AKK130" s="118"/>
      <c r="AKL130" s="118"/>
      <c r="AKM130" s="118"/>
      <c r="AKN130" s="118"/>
      <c r="AKO130" s="118"/>
      <c r="AKP130" s="118"/>
      <c r="AKQ130" s="118"/>
      <c r="AKR130" s="118"/>
      <c r="AKS130" s="118"/>
      <c r="AKT130" s="118"/>
      <c r="AKU130" s="118"/>
      <c r="AKV130" s="118"/>
      <c r="AKW130" s="118"/>
      <c r="AKX130" s="118"/>
      <c r="AKY130" s="118"/>
      <c r="AKZ130" s="118"/>
      <c r="ALA130" s="118"/>
      <c r="ALB130" s="118"/>
      <c r="ALC130" s="118"/>
      <c r="ALD130" s="118"/>
      <c r="ALE130" s="118"/>
      <c r="ALF130" s="118"/>
      <c r="ALG130" s="118"/>
      <c r="ALH130" s="118"/>
      <c r="ALI130" s="118"/>
      <c r="ALJ130" s="118"/>
      <c r="ALK130" s="118"/>
      <c r="ALL130" s="118"/>
      <c r="ALM130" s="118"/>
      <c r="ALN130" s="118"/>
      <c r="ALO130" s="118"/>
      <c r="ALP130" s="118"/>
      <c r="ALQ130" s="118"/>
      <c r="ALR130" s="118"/>
      <c r="ALS130" s="118"/>
      <c r="ALT130" s="118"/>
      <c r="ALU130" s="118"/>
      <c r="ALV130" s="118"/>
      <c r="ALW130" s="118"/>
      <c r="ALX130" s="118"/>
      <c r="ALY130" s="118"/>
      <c r="ALZ130" s="118"/>
      <c r="AMA130" s="118"/>
      <c r="AMB130" s="118"/>
      <c r="AMC130" s="118"/>
      <c r="AMD130" s="118"/>
      <c r="AME130" s="118"/>
      <c r="AMF130" s="118"/>
      <c r="AMG130" s="118"/>
      <c r="AMH130" s="118"/>
      <c r="AMI130" s="118"/>
      <c r="AMJ130" s="118"/>
      <c r="AMK130" s="118"/>
      <c r="AML130" s="118"/>
      <c r="AMM130" s="118"/>
      <c r="AMN130" s="118"/>
      <c r="AMO130" s="118"/>
      <c r="AMP130" s="118"/>
      <c r="AMQ130" s="118"/>
      <c r="AMR130" s="118"/>
      <c r="AMS130" s="118"/>
      <c r="AMT130" s="118"/>
      <c r="AMU130" s="118"/>
      <c r="AMV130" s="118"/>
      <c r="AMW130" s="118"/>
      <c r="AMX130" s="118"/>
      <c r="AMY130" s="118"/>
      <c r="AMZ130" s="118"/>
      <c r="ANA130" s="118"/>
      <c r="ANB130" s="118"/>
      <c r="ANC130" s="118"/>
      <c r="AND130" s="118"/>
      <c r="ANE130" s="118"/>
      <c r="ANF130" s="118"/>
      <c r="ANG130" s="118"/>
      <c r="ANH130" s="118"/>
      <c r="ANI130" s="118"/>
      <c r="ANJ130" s="118"/>
      <c r="ANK130" s="118"/>
      <c r="ANL130" s="118"/>
      <c r="ANM130" s="118"/>
      <c r="ANN130" s="118"/>
      <c r="ANO130" s="118"/>
      <c r="ANP130" s="118"/>
      <c r="ANQ130" s="118"/>
      <c r="ANR130" s="118"/>
      <c r="ANS130" s="118"/>
      <c r="ANT130" s="118"/>
      <c r="ANU130" s="118"/>
      <c r="ANV130" s="118"/>
      <c r="ANW130" s="118"/>
      <c r="ANX130" s="118"/>
      <c r="ANY130" s="118"/>
      <c r="ANZ130" s="118"/>
      <c r="AOA130" s="118"/>
      <c r="AOB130" s="118"/>
      <c r="AOC130" s="118"/>
      <c r="AOD130" s="118"/>
      <c r="AOE130" s="118"/>
      <c r="AOF130" s="118"/>
      <c r="AOG130" s="118"/>
      <c r="AOH130" s="118"/>
      <c r="AOI130" s="118"/>
      <c r="AOJ130" s="118"/>
      <c r="AOK130" s="118"/>
      <c r="AOL130" s="118"/>
      <c r="AOM130" s="118"/>
      <c r="AON130" s="118"/>
      <c r="AOO130" s="118"/>
      <c r="AOP130" s="118"/>
      <c r="AOQ130" s="118"/>
      <c r="AOR130" s="118"/>
      <c r="AOS130" s="118"/>
      <c r="AOT130" s="118"/>
      <c r="AOU130" s="118"/>
      <c r="AOV130" s="118"/>
      <c r="AOW130" s="118"/>
      <c r="AOX130" s="118"/>
      <c r="AOY130" s="118"/>
      <c r="AOZ130" s="118"/>
      <c r="APA130" s="118"/>
      <c r="APB130" s="118"/>
      <c r="APC130" s="118"/>
      <c r="APD130" s="118"/>
      <c r="APE130" s="118"/>
      <c r="APF130" s="118"/>
      <c r="APG130" s="118"/>
      <c r="APH130" s="118"/>
      <c r="API130" s="118"/>
      <c r="APJ130" s="118"/>
      <c r="APK130" s="118"/>
      <c r="APL130" s="118"/>
      <c r="APM130" s="118"/>
      <c r="APN130" s="118"/>
      <c r="APO130" s="118"/>
      <c r="APP130" s="118"/>
      <c r="APQ130" s="118"/>
      <c r="APR130" s="118"/>
      <c r="APS130" s="118"/>
      <c r="APT130" s="118"/>
      <c r="APU130" s="118"/>
      <c r="APV130" s="118"/>
      <c r="APW130" s="118"/>
      <c r="APX130" s="118"/>
      <c r="APY130" s="118"/>
      <c r="APZ130" s="118"/>
      <c r="AQA130" s="118"/>
      <c r="AQB130" s="118"/>
      <c r="AQC130" s="118"/>
      <c r="AQD130" s="118"/>
      <c r="AQE130" s="118"/>
      <c r="AQF130" s="118"/>
      <c r="AQG130" s="118"/>
      <c r="AQH130" s="118"/>
      <c r="AQI130" s="118"/>
      <c r="AQJ130" s="118"/>
      <c r="AQK130" s="118"/>
      <c r="AQL130" s="118"/>
      <c r="AQM130" s="118"/>
      <c r="AQN130" s="118"/>
      <c r="AQO130" s="118"/>
      <c r="AQP130" s="118"/>
      <c r="AQQ130" s="118"/>
      <c r="AQR130" s="118"/>
      <c r="AQS130" s="118"/>
      <c r="AQT130" s="118"/>
      <c r="AQU130" s="118"/>
      <c r="AQV130" s="118"/>
      <c r="AQW130" s="118"/>
      <c r="AQX130" s="118"/>
      <c r="AQY130" s="118"/>
      <c r="AQZ130" s="118"/>
      <c r="ARA130" s="118"/>
      <c r="ARB130" s="118"/>
      <c r="ARC130" s="118"/>
      <c r="ARD130" s="118"/>
      <c r="ARE130" s="118"/>
      <c r="ARF130" s="118"/>
      <c r="ARG130" s="118"/>
      <c r="ARH130" s="118"/>
      <c r="ARI130" s="118"/>
      <c r="ARJ130" s="118"/>
      <c r="ARK130" s="118"/>
      <c r="ARL130" s="118"/>
      <c r="ARM130" s="118"/>
      <c r="ARN130" s="118"/>
      <c r="ARO130" s="118"/>
      <c r="ARP130" s="118"/>
      <c r="ARQ130" s="118"/>
      <c r="ARR130" s="118"/>
      <c r="ARS130" s="118"/>
      <c r="ART130" s="118"/>
      <c r="ARU130" s="118"/>
      <c r="ARV130" s="118"/>
      <c r="ARW130" s="118"/>
      <c r="ARX130" s="118"/>
      <c r="ARY130" s="118"/>
      <c r="ARZ130" s="118"/>
      <c r="ASA130" s="118"/>
      <c r="ASB130" s="118"/>
      <c r="ASC130" s="118"/>
      <c r="ASD130" s="118"/>
      <c r="ASE130" s="118"/>
      <c r="ASF130" s="118"/>
      <c r="ASG130" s="118"/>
      <c r="ASH130" s="118"/>
      <c r="ASI130" s="118"/>
      <c r="ASJ130" s="118"/>
      <c r="ASK130" s="118"/>
      <c r="ASL130" s="118"/>
      <c r="ASM130" s="118"/>
      <c r="ASN130" s="118"/>
      <c r="ASO130" s="118"/>
      <c r="ASP130" s="118"/>
      <c r="ASQ130" s="118"/>
      <c r="ASR130" s="118"/>
      <c r="ASS130" s="118"/>
      <c r="AST130" s="118"/>
      <c r="ASU130" s="118"/>
      <c r="ASV130" s="118"/>
      <c r="ASW130" s="118"/>
      <c r="ASX130" s="118"/>
      <c r="ASY130" s="118"/>
      <c r="ASZ130" s="118"/>
      <c r="ATA130" s="118"/>
      <c r="ATB130" s="118"/>
      <c r="ATC130" s="118"/>
      <c r="ATD130" s="118"/>
      <c r="ATE130" s="118"/>
      <c r="ATF130" s="118"/>
      <c r="ATG130" s="118"/>
      <c r="ATH130" s="118"/>
      <c r="ATI130" s="118"/>
      <c r="ATJ130" s="118"/>
      <c r="ATK130" s="118"/>
      <c r="ATL130" s="118"/>
      <c r="ATM130" s="118"/>
      <c r="ATN130" s="118"/>
      <c r="ATO130" s="118"/>
      <c r="ATP130" s="118"/>
      <c r="ATQ130" s="118"/>
      <c r="ATR130" s="118"/>
      <c r="ATS130" s="118"/>
      <c r="ATT130" s="118"/>
      <c r="ATU130" s="118"/>
      <c r="ATV130" s="118"/>
      <c r="ATW130" s="118"/>
      <c r="ATX130" s="118"/>
      <c r="ATY130" s="118"/>
      <c r="ATZ130" s="118"/>
      <c r="AUA130" s="118"/>
      <c r="AUB130" s="118"/>
      <c r="AUC130" s="118"/>
      <c r="AUD130" s="118"/>
      <c r="AUE130" s="118"/>
      <c r="AUF130" s="118"/>
      <c r="AUG130" s="118"/>
      <c r="AUH130" s="118"/>
      <c r="AUI130" s="118"/>
      <c r="AUJ130" s="118"/>
      <c r="AUK130" s="118"/>
      <c r="AUL130" s="118"/>
      <c r="AUM130" s="118"/>
      <c r="AUN130" s="118"/>
      <c r="AUO130" s="118"/>
      <c r="AUP130" s="118"/>
      <c r="AUQ130" s="118"/>
      <c r="AUR130" s="118"/>
      <c r="AUS130" s="118"/>
      <c r="AUT130" s="118"/>
      <c r="AUU130" s="118"/>
      <c r="AUV130" s="118"/>
      <c r="AUW130" s="118"/>
      <c r="AUX130" s="118"/>
      <c r="AUY130" s="118"/>
      <c r="AUZ130" s="118"/>
      <c r="AVA130" s="118"/>
      <c r="AVB130" s="118"/>
      <c r="AVC130" s="118"/>
      <c r="AVD130" s="118"/>
      <c r="AVE130" s="118"/>
      <c r="AVF130" s="118"/>
      <c r="AVG130" s="118"/>
      <c r="AVH130" s="118"/>
      <c r="AVI130" s="118"/>
      <c r="AVJ130" s="118"/>
      <c r="AVK130" s="118"/>
      <c r="AVL130" s="118"/>
      <c r="AVM130" s="118"/>
      <c r="AVN130" s="118"/>
      <c r="AVO130" s="118"/>
      <c r="AVP130" s="118"/>
      <c r="AVQ130" s="118"/>
      <c r="AVR130" s="118"/>
      <c r="AVS130" s="118"/>
      <c r="AVT130" s="118"/>
      <c r="AVU130" s="118"/>
      <c r="AVV130" s="118"/>
      <c r="AVW130" s="118"/>
      <c r="AVX130" s="118"/>
      <c r="AVY130" s="118"/>
      <c r="AVZ130" s="118"/>
      <c r="AWA130" s="118"/>
      <c r="AWB130" s="118"/>
      <c r="AWC130" s="118"/>
      <c r="AWD130" s="118"/>
      <c r="AWE130" s="118"/>
      <c r="AWF130" s="118"/>
      <c r="AWG130" s="118"/>
      <c r="AWH130" s="118"/>
      <c r="AWI130" s="118"/>
      <c r="AWJ130" s="118"/>
      <c r="AWK130" s="118"/>
      <c r="AWL130" s="118"/>
      <c r="AWM130" s="118"/>
      <c r="AWN130" s="118"/>
      <c r="AWO130" s="118"/>
      <c r="AWP130" s="118"/>
      <c r="AWQ130" s="118"/>
      <c r="AWR130" s="118"/>
      <c r="AWS130" s="118"/>
      <c r="AWT130" s="118"/>
      <c r="AWU130" s="118"/>
      <c r="AWV130" s="118"/>
      <c r="AWW130" s="118"/>
      <c r="AWX130" s="118"/>
      <c r="AWY130" s="118"/>
      <c r="AWZ130" s="118"/>
      <c r="AXA130" s="118"/>
      <c r="AXB130" s="118"/>
      <c r="AXC130" s="118"/>
      <c r="AXD130" s="118"/>
      <c r="AXE130" s="118"/>
      <c r="AXF130" s="118"/>
      <c r="AXG130" s="118"/>
      <c r="AXH130" s="118"/>
      <c r="AXI130" s="118"/>
      <c r="AXJ130" s="118"/>
      <c r="AXK130" s="118"/>
      <c r="AXL130" s="118"/>
      <c r="AXM130" s="118"/>
      <c r="AXN130" s="118"/>
      <c r="AXO130" s="118"/>
      <c r="AXP130" s="118"/>
      <c r="AXQ130" s="118"/>
      <c r="AXR130" s="118"/>
      <c r="AXS130" s="118"/>
      <c r="AXT130" s="118"/>
      <c r="AXU130" s="118"/>
      <c r="AXV130" s="118"/>
      <c r="AXW130" s="118"/>
      <c r="AXX130" s="118"/>
      <c r="AXY130" s="118"/>
      <c r="AXZ130" s="118"/>
      <c r="AYA130" s="118"/>
      <c r="AYB130" s="118"/>
      <c r="AYC130" s="118"/>
      <c r="AYD130" s="118"/>
      <c r="AYE130" s="118"/>
      <c r="AYF130" s="118"/>
      <c r="AYG130" s="118"/>
      <c r="AYH130" s="118"/>
      <c r="AYI130" s="118"/>
      <c r="AYJ130" s="118"/>
      <c r="AYK130" s="118"/>
      <c r="AYL130" s="118"/>
      <c r="AYM130" s="118"/>
      <c r="AYN130" s="118"/>
      <c r="AYO130" s="118"/>
      <c r="AYP130" s="118"/>
      <c r="AYQ130" s="118"/>
      <c r="AYR130" s="118"/>
      <c r="AYS130" s="118"/>
      <c r="AYT130" s="118"/>
      <c r="AYU130" s="118"/>
      <c r="AYV130" s="118"/>
      <c r="AYW130" s="118"/>
      <c r="AYX130" s="118"/>
      <c r="AYY130" s="118"/>
      <c r="AYZ130" s="118"/>
      <c r="AZA130" s="118"/>
      <c r="AZB130" s="118"/>
      <c r="AZC130" s="118"/>
      <c r="AZD130" s="118"/>
      <c r="AZE130" s="118"/>
      <c r="AZF130" s="118"/>
      <c r="AZG130" s="118"/>
      <c r="AZH130" s="118"/>
      <c r="AZI130" s="118"/>
      <c r="AZJ130" s="118"/>
      <c r="AZK130" s="118"/>
      <c r="AZL130" s="118"/>
      <c r="AZM130" s="118"/>
      <c r="AZN130" s="118"/>
      <c r="AZO130" s="118"/>
      <c r="AZP130" s="118"/>
      <c r="AZQ130" s="118"/>
      <c r="AZR130" s="118"/>
      <c r="AZS130" s="118"/>
      <c r="AZT130" s="118"/>
      <c r="AZU130" s="118"/>
      <c r="AZV130" s="118"/>
      <c r="AZW130" s="118"/>
      <c r="AZX130" s="118"/>
      <c r="AZY130" s="118"/>
      <c r="AZZ130" s="118"/>
      <c r="BAA130" s="118"/>
      <c r="BAB130" s="118"/>
      <c r="BAC130" s="118"/>
      <c r="BAD130" s="118"/>
      <c r="BAE130" s="118"/>
      <c r="BAF130" s="118"/>
      <c r="BAG130" s="118"/>
      <c r="BAH130" s="118"/>
      <c r="BAI130" s="118"/>
      <c r="BAJ130" s="118"/>
      <c r="BAK130" s="118"/>
      <c r="BAL130" s="118"/>
      <c r="BAM130" s="118"/>
      <c r="BAN130" s="118"/>
      <c r="BAO130" s="118"/>
      <c r="BAP130" s="118"/>
      <c r="BAQ130" s="118"/>
      <c r="BAR130" s="118"/>
      <c r="BAS130" s="118"/>
      <c r="BAT130" s="118"/>
      <c r="BAU130" s="118"/>
      <c r="BAV130" s="118"/>
      <c r="BAW130" s="118"/>
      <c r="BAX130" s="118"/>
      <c r="BAY130" s="118"/>
      <c r="BAZ130" s="118"/>
      <c r="BBA130" s="118"/>
      <c r="BBB130" s="118"/>
      <c r="BBC130" s="118"/>
      <c r="BBD130" s="118"/>
      <c r="BBE130" s="118"/>
      <c r="BBF130" s="118"/>
      <c r="BBG130" s="118"/>
      <c r="BBH130" s="118"/>
      <c r="BBI130" s="118"/>
      <c r="BBJ130" s="118"/>
      <c r="BBK130" s="118"/>
      <c r="BBL130" s="118"/>
      <c r="BBM130" s="118"/>
      <c r="BBN130" s="118"/>
      <c r="BBO130" s="118"/>
      <c r="BBP130" s="118"/>
      <c r="BBQ130" s="118"/>
      <c r="BBR130" s="118"/>
      <c r="BBS130" s="118"/>
      <c r="BBT130" s="118"/>
      <c r="BBU130" s="118"/>
      <c r="BBV130" s="118"/>
      <c r="BBW130" s="118"/>
      <c r="BBX130" s="118"/>
      <c r="BBY130" s="118"/>
      <c r="BBZ130" s="118"/>
      <c r="BCA130" s="118"/>
      <c r="BCB130" s="118"/>
      <c r="BCC130" s="118"/>
      <c r="BCD130" s="118"/>
      <c r="BCE130" s="118"/>
      <c r="BCF130" s="118"/>
      <c r="BCG130" s="118"/>
      <c r="BCH130" s="118"/>
      <c r="BCI130" s="118"/>
      <c r="BCJ130" s="118"/>
      <c r="BCK130" s="118"/>
      <c r="BCL130" s="118"/>
      <c r="BCM130" s="118"/>
      <c r="BCN130" s="118"/>
      <c r="BCO130" s="118"/>
      <c r="BCP130" s="118"/>
      <c r="BCQ130" s="118"/>
      <c r="BCR130" s="118"/>
      <c r="BCS130" s="118"/>
      <c r="BCT130" s="118"/>
      <c r="BCU130" s="118"/>
      <c r="BCV130" s="118"/>
      <c r="BCW130" s="118"/>
      <c r="BCX130" s="118"/>
      <c r="BCY130" s="118"/>
      <c r="BCZ130" s="118"/>
      <c r="BDA130" s="118"/>
      <c r="BDB130" s="118"/>
      <c r="BDC130" s="118"/>
      <c r="BDD130" s="118"/>
      <c r="BDE130" s="118"/>
      <c r="BDF130" s="118"/>
      <c r="BDG130" s="118"/>
      <c r="BDH130" s="118"/>
      <c r="BDI130" s="118"/>
      <c r="BDJ130" s="118"/>
      <c r="BDK130" s="118"/>
      <c r="BDL130" s="118"/>
      <c r="BDM130" s="118"/>
      <c r="BDN130" s="118"/>
      <c r="BDO130" s="118"/>
      <c r="BDP130" s="118"/>
      <c r="BDQ130" s="118"/>
      <c r="BDR130" s="118"/>
      <c r="BDS130" s="118"/>
      <c r="BDT130" s="118"/>
      <c r="BDU130" s="118"/>
      <c r="BDV130" s="118"/>
      <c r="BDW130" s="118"/>
      <c r="BDX130" s="118"/>
      <c r="BDY130" s="118"/>
      <c r="BDZ130" s="118"/>
      <c r="BEA130" s="118"/>
      <c r="BEB130" s="118"/>
      <c r="BEC130" s="118"/>
      <c r="BED130" s="118"/>
      <c r="BEE130" s="118"/>
      <c r="BEF130" s="118"/>
      <c r="BEG130" s="118"/>
      <c r="BEH130" s="118"/>
      <c r="BEI130" s="118"/>
      <c r="BEJ130" s="118"/>
      <c r="BEK130" s="118"/>
      <c r="BEL130" s="118"/>
      <c r="BEM130" s="118"/>
      <c r="BEN130" s="118"/>
      <c r="BEO130" s="118"/>
      <c r="BEP130" s="118"/>
      <c r="BEQ130" s="118"/>
      <c r="BER130" s="118"/>
      <c r="BES130" s="118"/>
      <c r="BET130" s="118"/>
      <c r="BEU130" s="118"/>
      <c r="BEV130" s="118"/>
      <c r="BEW130" s="118"/>
      <c r="BEX130" s="118"/>
      <c r="BEY130" s="118"/>
      <c r="BEZ130" s="118"/>
      <c r="BFA130" s="118"/>
      <c r="BFB130" s="118"/>
      <c r="BFC130" s="118"/>
      <c r="BFD130" s="118"/>
      <c r="BFE130" s="118"/>
      <c r="BFF130" s="118"/>
      <c r="BFG130" s="118"/>
      <c r="BFH130" s="118"/>
      <c r="BFI130" s="118"/>
      <c r="BFJ130" s="118"/>
      <c r="BFK130" s="118"/>
      <c r="BFL130" s="118"/>
      <c r="BFM130" s="118"/>
      <c r="BFN130" s="118"/>
      <c r="BFO130" s="118"/>
      <c r="BFP130" s="118"/>
      <c r="BFQ130" s="118"/>
      <c r="BFR130" s="118"/>
      <c r="BFS130" s="118"/>
      <c r="BFT130" s="118"/>
      <c r="BFU130" s="118"/>
      <c r="BFV130" s="118"/>
      <c r="BFW130" s="118"/>
      <c r="BFX130" s="118"/>
      <c r="BFY130" s="118"/>
      <c r="BFZ130" s="118"/>
      <c r="BGA130" s="118"/>
      <c r="BGB130" s="118"/>
      <c r="BGC130" s="118"/>
      <c r="BGD130" s="118"/>
      <c r="BGE130" s="118"/>
      <c r="BGF130" s="118"/>
      <c r="BGG130" s="118"/>
      <c r="BGH130" s="118"/>
      <c r="BGI130" s="118"/>
      <c r="BGJ130" s="118"/>
      <c r="BGK130" s="118"/>
      <c r="BGL130" s="118"/>
      <c r="BGM130" s="118"/>
      <c r="BGN130" s="118"/>
      <c r="BGO130" s="118"/>
      <c r="BGP130" s="118"/>
      <c r="BGQ130" s="118"/>
      <c r="BGR130" s="118"/>
      <c r="BGS130" s="118"/>
      <c r="BGT130" s="118"/>
      <c r="BGU130" s="118"/>
      <c r="BGV130" s="118"/>
      <c r="BGW130" s="118"/>
      <c r="BGX130" s="118"/>
      <c r="BGY130" s="118"/>
      <c r="BGZ130" s="118"/>
      <c r="BHA130" s="118"/>
      <c r="BHB130" s="118"/>
      <c r="BHC130" s="118"/>
      <c r="BHD130" s="118"/>
      <c r="BHE130" s="118"/>
      <c r="BHF130" s="118"/>
      <c r="BHG130" s="118"/>
      <c r="BHH130" s="118"/>
      <c r="BHI130" s="118"/>
      <c r="BHJ130" s="118"/>
      <c r="BHK130" s="118"/>
      <c r="BHL130" s="118"/>
      <c r="BHM130" s="118"/>
      <c r="BHN130" s="118"/>
      <c r="BHO130" s="118"/>
      <c r="BHP130" s="118"/>
      <c r="BHQ130" s="118"/>
      <c r="BHR130" s="118"/>
      <c r="BHS130" s="118"/>
      <c r="BHT130" s="118"/>
      <c r="BHU130" s="118"/>
      <c r="BHV130" s="118"/>
      <c r="BHW130" s="118"/>
      <c r="BHX130" s="118"/>
      <c r="BHY130" s="118"/>
      <c r="BHZ130" s="118"/>
      <c r="BIA130" s="118"/>
      <c r="BIB130" s="118"/>
      <c r="BIC130" s="118"/>
      <c r="BID130" s="118"/>
      <c r="BIE130" s="118"/>
      <c r="BIF130" s="118"/>
      <c r="BIG130" s="118"/>
      <c r="BIH130" s="118"/>
      <c r="BII130" s="118"/>
      <c r="BIJ130" s="118"/>
      <c r="BIK130" s="118"/>
      <c r="BIL130" s="118"/>
      <c r="BIM130" s="118"/>
      <c r="BIN130" s="118"/>
      <c r="BIO130" s="118"/>
      <c r="BIP130" s="118"/>
      <c r="BIQ130" s="118"/>
      <c r="BIR130" s="118"/>
      <c r="BIS130" s="118"/>
      <c r="BIT130" s="118"/>
      <c r="BIU130" s="118"/>
      <c r="BIV130" s="118"/>
      <c r="BIW130" s="118"/>
      <c r="BIX130" s="118"/>
      <c r="BIY130" s="118"/>
      <c r="BIZ130" s="118"/>
      <c r="BJA130" s="118"/>
      <c r="BJB130" s="118"/>
      <c r="BJC130" s="118"/>
      <c r="BJD130" s="118"/>
      <c r="BJE130" s="118"/>
      <c r="BJF130" s="118"/>
      <c r="BJG130" s="118"/>
      <c r="BJH130" s="118"/>
      <c r="BJI130" s="118"/>
      <c r="BJJ130" s="118"/>
      <c r="BJK130" s="118"/>
      <c r="BJL130" s="118"/>
      <c r="BJM130" s="118"/>
      <c r="BJN130" s="118"/>
      <c r="BJO130" s="118"/>
      <c r="BJP130" s="118"/>
      <c r="BJQ130" s="118"/>
      <c r="BJR130" s="118"/>
      <c r="BJS130" s="118"/>
      <c r="BJT130" s="118"/>
      <c r="BJU130" s="118"/>
      <c r="BJV130" s="118"/>
      <c r="BJW130" s="118"/>
      <c r="BJX130" s="118"/>
      <c r="BJY130" s="118"/>
      <c r="BJZ130" s="118"/>
      <c r="BKA130" s="118"/>
      <c r="BKB130" s="118"/>
      <c r="BKC130" s="118"/>
      <c r="BKD130" s="118"/>
      <c r="BKE130" s="118"/>
      <c r="BKF130" s="118"/>
      <c r="BKG130" s="118"/>
      <c r="BKH130" s="118"/>
      <c r="BKI130" s="118"/>
      <c r="BKJ130" s="118"/>
      <c r="BKK130" s="118"/>
      <c r="BKL130" s="118"/>
      <c r="BKM130" s="118"/>
      <c r="BKN130" s="118"/>
      <c r="BKO130" s="118"/>
      <c r="BKP130" s="118"/>
      <c r="BKQ130" s="118"/>
      <c r="BKR130" s="118"/>
      <c r="BKS130" s="118"/>
      <c r="BKT130" s="118"/>
      <c r="BKU130" s="118"/>
      <c r="BKV130" s="118"/>
      <c r="BKW130" s="118"/>
      <c r="BKX130" s="118"/>
      <c r="BKY130" s="118"/>
      <c r="BKZ130" s="118"/>
      <c r="BLA130" s="118"/>
      <c r="BLB130" s="118"/>
      <c r="BLC130" s="118"/>
      <c r="BLD130" s="118"/>
      <c r="BLE130" s="118"/>
      <c r="BLF130" s="118"/>
      <c r="BLG130" s="118"/>
      <c r="BLH130" s="118"/>
      <c r="BLI130" s="118"/>
      <c r="BLJ130" s="118"/>
      <c r="BLK130" s="118"/>
      <c r="BLL130" s="118"/>
      <c r="BLM130" s="118"/>
      <c r="BLN130" s="118"/>
      <c r="BLO130" s="118"/>
      <c r="BLP130" s="118"/>
      <c r="BLQ130" s="118"/>
      <c r="BLR130" s="118"/>
      <c r="BLS130" s="118"/>
      <c r="BLT130" s="118"/>
      <c r="BLU130" s="118"/>
      <c r="BLV130" s="118"/>
      <c r="BLW130" s="118"/>
      <c r="BLX130" s="118"/>
      <c r="BLY130" s="118"/>
      <c r="BLZ130" s="118"/>
      <c r="BMA130" s="118"/>
      <c r="BMB130" s="118"/>
      <c r="BMC130" s="118"/>
      <c r="BMD130" s="118"/>
      <c r="BME130" s="118"/>
      <c r="BMF130" s="118"/>
      <c r="BMG130" s="118"/>
      <c r="BMH130" s="118"/>
      <c r="BMI130" s="118"/>
      <c r="BMJ130" s="118"/>
      <c r="BMK130" s="118"/>
      <c r="BML130" s="118"/>
      <c r="BMM130" s="118"/>
      <c r="BMN130" s="118"/>
      <c r="BMO130" s="118"/>
      <c r="BMP130" s="118"/>
      <c r="BMQ130" s="118"/>
      <c r="BMR130" s="118"/>
      <c r="BMS130" s="118"/>
      <c r="BMT130" s="118"/>
      <c r="BMU130" s="118"/>
      <c r="BMV130" s="118"/>
      <c r="BMW130" s="118"/>
      <c r="BMX130" s="118"/>
      <c r="BMY130" s="118"/>
      <c r="BMZ130" s="118"/>
      <c r="BNA130" s="118"/>
      <c r="BNB130" s="118"/>
      <c r="BNC130" s="118"/>
      <c r="BND130" s="118"/>
      <c r="BNE130" s="118"/>
      <c r="BNF130" s="118"/>
      <c r="BNG130" s="118"/>
      <c r="BNH130" s="118"/>
      <c r="BNI130" s="118"/>
      <c r="BNJ130" s="118"/>
      <c r="BNK130" s="118"/>
      <c r="BNL130" s="118"/>
      <c r="BNM130" s="118"/>
      <c r="BNN130" s="118"/>
      <c r="BNO130" s="118"/>
      <c r="BNP130" s="118"/>
      <c r="BNQ130" s="118"/>
      <c r="BNR130" s="118"/>
      <c r="BNS130" s="118"/>
      <c r="BNT130" s="118"/>
      <c r="BNU130" s="118"/>
      <c r="BNV130" s="118"/>
      <c r="BNW130" s="118"/>
      <c r="BNX130" s="118"/>
      <c r="BNY130" s="118"/>
      <c r="BNZ130" s="118"/>
      <c r="BOA130" s="118"/>
      <c r="BOB130" s="118"/>
      <c r="BOC130" s="118"/>
      <c r="BOD130" s="118"/>
      <c r="BOE130" s="118"/>
      <c r="BOF130" s="118"/>
      <c r="BOG130" s="118"/>
      <c r="BOH130" s="118"/>
      <c r="BOI130" s="118"/>
      <c r="BOJ130" s="118"/>
      <c r="BOK130" s="118"/>
      <c r="BOL130" s="118"/>
      <c r="BOM130" s="118"/>
      <c r="BON130" s="118"/>
      <c r="BOO130" s="118"/>
      <c r="BOP130" s="118"/>
      <c r="BOQ130" s="118"/>
      <c r="BOR130" s="118"/>
      <c r="BOS130" s="118"/>
      <c r="BOT130" s="118"/>
      <c r="BOU130" s="118"/>
      <c r="BOV130" s="118"/>
      <c r="BOW130" s="118"/>
      <c r="BOX130" s="118"/>
      <c r="BOY130" s="118"/>
      <c r="BOZ130" s="118"/>
      <c r="BPA130" s="118"/>
      <c r="BPB130" s="118"/>
      <c r="BPC130" s="118"/>
      <c r="BPD130" s="118"/>
      <c r="BPE130" s="118"/>
      <c r="BPF130" s="118"/>
      <c r="BPG130" s="118"/>
      <c r="BPH130" s="118"/>
      <c r="BPI130" s="118"/>
      <c r="BPJ130" s="118"/>
      <c r="BPK130" s="118"/>
      <c r="BPL130" s="118"/>
      <c r="BPM130" s="118"/>
      <c r="BPN130" s="118"/>
      <c r="BPO130" s="118"/>
      <c r="BPP130" s="118"/>
      <c r="BPQ130" s="118"/>
      <c r="BPR130" s="118"/>
      <c r="BPS130" s="118"/>
      <c r="BPT130" s="118"/>
      <c r="BPU130" s="118"/>
      <c r="BPV130" s="118"/>
      <c r="BPW130" s="118"/>
      <c r="BPX130" s="118"/>
      <c r="BPY130" s="118"/>
      <c r="BPZ130" s="118"/>
      <c r="BQA130" s="118"/>
      <c r="BQB130" s="118"/>
      <c r="BQC130" s="118"/>
      <c r="BQD130" s="118"/>
      <c r="BQE130" s="118"/>
      <c r="BQF130" s="118"/>
      <c r="BQG130" s="118"/>
      <c r="BQH130" s="118"/>
      <c r="BQI130" s="118"/>
      <c r="BQJ130" s="118"/>
      <c r="BQK130" s="118"/>
      <c r="BQL130" s="118"/>
      <c r="BQM130" s="118"/>
      <c r="BQN130" s="118"/>
      <c r="BQO130" s="118"/>
      <c r="BQP130" s="118"/>
      <c r="BQQ130" s="118"/>
      <c r="BQR130" s="118"/>
      <c r="BQS130" s="118"/>
      <c r="BQT130" s="118"/>
      <c r="BQU130" s="118"/>
      <c r="BQV130" s="118"/>
      <c r="BQW130" s="118"/>
      <c r="BQX130" s="118"/>
      <c r="BQY130" s="118"/>
      <c r="BQZ130" s="118"/>
      <c r="BRA130" s="118"/>
      <c r="BRB130" s="118"/>
      <c r="BRC130" s="118"/>
      <c r="BRD130" s="118"/>
      <c r="BRE130" s="118"/>
      <c r="BRF130" s="118"/>
      <c r="BRG130" s="118"/>
      <c r="BRH130" s="118"/>
      <c r="BRI130" s="118"/>
      <c r="BRJ130" s="118"/>
      <c r="BRK130" s="118"/>
      <c r="BRL130" s="118"/>
      <c r="BRM130" s="118"/>
      <c r="BRN130" s="118"/>
      <c r="BRO130" s="118"/>
      <c r="BRP130" s="118"/>
      <c r="BRQ130" s="118"/>
      <c r="BRR130" s="118"/>
      <c r="BRS130" s="118"/>
      <c r="BRT130" s="118"/>
      <c r="BRU130" s="118"/>
      <c r="BRV130" s="118"/>
      <c r="BRW130" s="118"/>
      <c r="BRX130" s="118"/>
      <c r="BRY130" s="118"/>
      <c r="BRZ130" s="118"/>
      <c r="BSA130" s="118"/>
      <c r="BSB130" s="118"/>
      <c r="BSC130" s="118"/>
      <c r="BSD130" s="118"/>
      <c r="BSE130" s="118"/>
      <c r="BSF130" s="118"/>
      <c r="BSG130" s="118"/>
      <c r="BSH130" s="118"/>
      <c r="BSI130" s="118"/>
      <c r="BSJ130" s="118"/>
      <c r="BSK130" s="118"/>
      <c r="BSL130" s="118"/>
      <c r="BSM130" s="118"/>
      <c r="BSN130" s="118"/>
      <c r="BSO130" s="118"/>
      <c r="BSP130" s="118"/>
      <c r="BSQ130" s="118"/>
      <c r="BSR130" s="118"/>
      <c r="BSS130" s="118"/>
      <c r="BST130" s="118"/>
      <c r="BSU130" s="118"/>
      <c r="BSV130" s="118"/>
      <c r="BSW130" s="118"/>
      <c r="BSX130" s="118"/>
      <c r="BSY130" s="118"/>
      <c r="BSZ130" s="118"/>
      <c r="BTA130" s="118"/>
      <c r="BTB130" s="118"/>
      <c r="BTC130" s="118"/>
      <c r="BTD130" s="118"/>
      <c r="BTE130" s="118"/>
      <c r="BTF130" s="118"/>
      <c r="BTG130" s="118"/>
      <c r="BTH130" s="118"/>
      <c r="BTI130" s="118"/>
      <c r="BTJ130" s="118"/>
      <c r="BTK130" s="118"/>
      <c r="BTL130" s="118"/>
      <c r="BTM130" s="118"/>
      <c r="BTN130" s="118"/>
      <c r="BTO130" s="118"/>
      <c r="BTP130" s="118"/>
      <c r="BTQ130" s="118"/>
      <c r="BTR130" s="118"/>
      <c r="BTS130" s="118"/>
      <c r="BTT130" s="118"/>
      <c r="BTU130" s="118"/>
      <c r="BTV130" s="118"/>
      <c r="BTW130" s="118"/>
      <c r="BTX130" s="118"/>
      <c r="BTY130" s="118"/>
      <c r="BTZ130" s="118"/>
      <c r="BUA130" s="118"/>
      <c r="BUB130" s="118"/>
      <c r="BUC130" s="118"/>
      <c r="BUD130" s="118"/>
      <c r="BUE130" s="118"/>
      <c r="BUF130" s="118"/>
      <c r="BUG130" s="118"/>
      <c r="BUH130" s="118"/>
      <c r="BUI130" s="118"/>
      <c r="BUJ130" s="118"/>
      <c r="BUK130" s="118"/>
      <c r="BUL130" s="118"/>
      <c r="BUM130" s="118"/>
      <c r="BUN130" s="118"/>
      <c r="BUO130" s="118"/>
      <c r="BUP130" s="118"/>
      <c r="BUQ130" s="118"/>
      <c r="BUR130" s="118"/>
      <c r="BUS130" s="118"/>
      <c r="BUT130" s="118"/>
      <c r="BUU130" s="118"/>
      <c r="BUV130" s="118"/>
      <c r="BUW130" s="118"/>
      <c r="BUX130" s="118"/>
      <c r="BUY130" s="118"/>
      <c r="BUZ130" s="118"/>
      <c r="BVA130" s="118"/>
      <c r="BVB130" s="118"/>
      <c r="BVC130" s="118"/>
      <c r="BVD130" s="118"/>
      <c r="BVE130" s="118"/>
      <c r="BVF130" s="118"/>
      <c r="BVG130" s="118"/>
      <c r="BVH130" s="118"/>
      <c r="BVI130" s="118"/>
      <c r="BVJ130" s="118"/>
      <c r="BVK130" s="118"/>
      <c r="BVL130" s="118"/>
      <c r="BVM130" s="118"/>
      <c r="BVN130" s="118"/>
      <c r="BVO130" s="118"/>
      <c r="BVP130" s="118"/>
      <c r="BVQ130" s="118"/>
      <c r="BVR130" s="118"/>
      <c r="BVS130" s="118"/>
      <c r="BVT130" s="118"/>
      <c r="BVU130" s="118"/>
      <c r="BVV130" s="118"/>
      <c r="BVW130" s="118"/>
      <c r="BVX130" s="118"/>
      <c r="BVY130" s="118"/>
      <c r="BVZ130" s="118"/>
      <c r="BWA130" s="118"/>
      <c r="BWB130" s="118"/>
      <c r="BWC130" s="118"/>
      <c r="BWD130" s="118"/>
      <c r="BWE130" s="118"/>
      <c r="BWF130" s="118"/>
      <c r="BWG130" s="118"/>
      <c r="BWH130" s="118"/>
      <c r="BWI130" s="118"/>
      <c r="BWJ130" s="118"/>
      <c r="BWK130" s="118"/>
      <c r="BWL130" s="118"/>
      <c r="BWM130" s="118"/>
      <c r="BWN130" s="118"/>
      <c r="BWO130" s="118"/>
      <c r="BWP130" s="118"/>
      <c r="BWQ130" s="118"/>
      <c r="BWR130" s="118"/>
      <c r="BWS130" s="118"/>
      <c r="BWT130" s="118"/>
      <c r="BWU130" s="118"/>
      <c r="BWV130" s="118"/>
      <c r="BWW130" s="118"/>
      <c r="BWX130" s="118"/>
      <c r="BWY130" s="118"/>
      <c r="BWZ130" s="118"/>
      <c r="BXA130" s="118"/>
      <c r="BXB130" s="118"/>
      <c r="BXC130" s="118"/>
      <c r="BXD130" s="118"/>
      <c r="BXE130" s="118"/>
      <c r="BXF130" s="118"/>
      <c r="BXG130" s="118"/>
      <c r="BXH130" s="118"/>
      <c r="BXI130" s="118"/>
      <c r="BXJ130" s="118"/>
      <c r="BXK130" s="118"/>
      <c r="BXL130" s="118"/>
      <c r="BXM130" s="118"/>
      <c r="BXN130" s="118"/>
      <c r="BXO130" s="118"/>
      <c r="BXP130" s="118"/>
      <c r="BXQ130" s="118"/>
      <c r="BXR130" s="118"/>
      <c r="BXS130" s="118"/>
      <c r="BXT130" s="118"/>
      <c r="BXU130" s="118"/>
      <c r="BXV130" s="118"/>
      <c r="BXW130" s="118"/>
      <c r="BXX130" s="118"/>
      <c r="BXY130" s="118"/>
      <c r="BXZ130" s="118"/>
      <c r="BYA130" s="118"/>
      <c r="BYB130" s="118"/>
      <c r="BYC130" s="118"/>
      <c r="BYD130" s="118"/>
      <c r="BYE130" s="118"/>
      <c r="BYF130" s="118"/>
      <c r="BYG130" s="118"/>
      <c r="BYH130" s="118"/>
      <c r="BYI130" s="118"/>
      <c r="BYJ130" s="118"/>
      <c r="BYK130" s="118"/>
      <c r="BYL130" s="118"/>
      <c r="BYM130" s="118"/>
      <c r="BYN130" s="118"/>
      <c r="BYO130" s="118"/>
      <c r="BYP130" s="118"/>
      <c r="BYQ130" s="118"/>
      <c r="BYR130" s="118"/>
      <c r="BYS130" s="118"/>
      <c r="BYT130" s="118"/>
      <c r="BYU130" s="118"/>
      <c r="BYV130" s="118"/>
      <c r="BYW130" s="118"/>
      <c r="BYX130" s="118"/>
      <c r="BYY130" s="118"/>
      <c r="BYZ130" s="118"/>
      <c r="BZA130" s="118"/>
      <c r="BZB130" s="118"/>
      <c r="BZC130" s="118"/>
      <c r="BZD130" s="118"/>
      <c r="BZE130" s="118"/>
      <c r="BZF130" s="118"/>
      <c r="BZG130" s="118"/>
      <c r="BZH130" s="118"/>
      <c r="BZI130" s="118"/>
      <c r="BZJ130" s="118"/>
      <c r="BZK130" s="118"/>
      <c r="BZL130" s="118"/>
      <c r="BZM130" s="118"/>
      <c r="BZN130" s="118"/>
      <c r="BZO130" s="118"/>
      <c r="BZP130" s="118"/>
      <c r="BZQ130" s="118"/>
      <c r="BZR130" s="118"/>
      <c r="BZS130" s="118"/>
      <c r="BZT130" s="118"/>
      <c r="BZU130" s="118"/>
      <c r="BZV130" s="118"/>
      <c r="BZW130" s="118"/>
      <c r="BZX130" s="118"/>
      <c r="BZY130" s="118"/>
      <c r="BZZ130" s="118"/>
      <c r="CAA130" s="118"/>
      <c r="CAB130" s="118"/>
      <c r="CAC130" s="118"/>
      <c r="CAD130" s="118"/>
      <c r="CAE130" s="118"/>
      <c r="CAF130" s="118"/>
      <c r="CAG130" s="118"/>
      <c r="CAH130" s="118"/>
      <c r="CAI130" s="118"/>
      <c r="CAJ130" s="118"/>
      <c r="CAK130" s="118"/>
      <c r="CAL130" s="118"/>
      <c r="CAM130" s="118"/>
      <c r="CAN130" s="118"/>
      <c r="CAO130" s="118"/>
      <c r="CAP130" s="118"/>
      <c r="CAQ130" s="118"/>
      <c r="CAR130" s="118"/>
      <c r="CAS130" s="118"/>
      <c r="CAT130" s="118"/>
      <c r="CAU130" s="118"/>
      <c r="CAV130" s="118"/>
      <c r="CAW130" s="118"/>
      <c r="CAX130" s="118"/>
      <c r="CAY130" s="118"/>
      <c r="CAZ130" s="118"/>
      <c r="CBA130" s="118"/>
      <c r="CBB130" s="118"/>
      <c r="CBC130" s="118"/>
      <c r="CBD130" s="118"/>
      <c r="CBE130" s="118"/>
      <c r="CBF130" s="118"/>
      <c r="CBG130" s="118"/>
      <c r="CBH130" s="118"/>
      <c r="CBI130" s="118"/>
      <c r="CBJ130" s="118"/>
      <c r="CBK130" s="118"/>
      <c r="CBL130" s="118"/>
      <c r="CBM130" s="118"/>
      <c r="CBN130" s="118"/>
      <c r="CBO130" s="118"/>
      <c r="CBP130" s="118"/>
      <c r="CBQ130" s="118"/>
      <c r="CBR130" s="118"/>
      <c r="CBS130" s="118"/>
      <c r="CBT130" s="118"/>
      <c r="CBU130" s="118"/>
      <c r="CBV130" s="118"/>
      <c r="CBW130" s="118"/>
      <c r="CBX130" s="118"/>
      <c r="CBY130" s="118"/>
      <c r="CBZ130" s="118"/>
      <c r="CCA130" s="118"/>
      <c r="CCB130" s="118"/>
      <c r="CCC130" s="118"/>
      <c r="CCD130" s="118"/>
      <c r="CCE130" s="118"/>
      <c r="CCF130" s="118"/>
      <c r="CCG130" s="118"/>
      <c r="CCH130" s="118"/>
      <c r="CCI130" s="118"/>
      <c r="CCJ130" s="118"/>
      <c r="CCK130" s="118"/>
      <c r="CCL130" s="118"/>
      <c r="CCM130" s="118"/>
      <c r="CCN130" s="118"/>
      <c r="CCO130" s="118"/>
      <c r="CCP130" s="118"/>
      <c r="CCQ130" s="118"/>
      <c r="CCR130" s="118"/>
      <c r="CCS130" s="118"/>
      <c r="CCT130" s="118"/>
      <c r="CCU130" s="118"/>
      <c r="CCV130" s="118"/>
      <c r="CCW130" s="118"/>
      <c r="CCX130" s="118"/>
      <c r="CCY130" s="118"/>
      <c r="CCZ130" s="118"/>
      <c r="CDA130" s="118"/>
      <c r="CDB130" s="118"/>
      <c r="CDC130" s="118"/>
      <c r="CDD130" s="118"/>
      <c r="CDE130" s="118"/>
      <c r="CDF130" s="118"/>
      <c r="CDG130" s="118"/>
      <c r="CDH130" s="118"/>
      <c r="CDI130" s="118"/>
      <c r="CDJ130" s="118"/>
      <c r="CDK130" s="118"/>
      <c r="CDL130" s="118"/>
      <c r="CDM130" s="118"/>
      <c r="CDN130" s="118"/>
      <c r="CDO130" s="118"/>
      <c r="CDP130" s="118"/>
      <c r="CDQ130" s="118"/>
      <c r="CDR130" s="118"/>
      <c r="CDS130" s="118"/>
      <c r="CDT130" s="118"/>
      <c r="CDU130" s="118"/>
      <c r="CDV130" s="118"/>
      <c r="CDW130" s="118"/>
      <c r="CDX130" s="118"/>
      <c r="CDY130" s="118"/>
      <c r="CDZ130" s="118"/>
      <c r="CEA130" s="118"/>
      <c r="CEB130" s="118"/>
      <c r="CEC130" s="118"/>
      <c r="CED130" s="118"/>
      <c r="CEE130" s="118"/>
      <c r="CEF130" s="118"/>
      <c r="CEG130" s="118"/>
      <c r="CEH130" s="118"/>
      <c r="CEI130" s="118"/>
      <c r="CEJ130" s="118"/>
      <c r="CEK130" s="118"/>
      <c r="CEL130" s="118"/>
      <c r="CEM130" s="118"/>
      <c r="CEN130" s="118"/>
      <c r="CEO130" s="118"/>
      <c r="CEP130" s="118"/>
      <c r="CEQ130" s="118"/>
      <c r="CER130" s="118"/>
      <c r="CES130" s="118"/>
      <c r="CET130" s="118"/>
      <c r="CEU130" s="118"/>
      <c r="CEV130" s="118"/>
      <c r="CEW130" s="118"/>
      <c r="CEX130" s="118"/>
      <c r="CEY130" s="118"/>
      <c r="CEZ130" s="118"/>
      <c r="CFA130" s="118"/>
      <c r="CFB130" s="118"/>
      <c r="CFC130" s="118"/>
      <c r="CFD130" s="118"/>
      <c r="CFE130" s="118"/>
      <c r="CFF130" s="118"/>
      <c r="CFG130" s="118"/>
      <c r="CFH130" s="118"/>
      <c r="CFI130" s="118"/>
      <c r="CFJ130" s="118"/>
      <c r="CFK130" s="118"/>
      <c r="CFL130" s="118"/>
      <c r="CFM130" s="118"/>
      <c r="CFN130" s="118"/>
      <c r="CFO130" s="118"/>
      <c r="CFP130" s="118"/>
      <c r="CFQ130" s="118"/>
      <c r="CFR130" s="118"/>
      <c r="CFS130" s="118"/>
      <c r="CFT130" s="118"/>
      <c r="CFU130" s="118"/>
      <c r="CFV130" s="118"/>
      <c r="CFW130" s="118"/>
      <c r="CFX130" s="118"/>
      <c r="CFY130" s="118"/>
      <c r="CFZ130" s="118"/>
      <c r="CGA130" s="118"/>
      <c r="CGB130" s="118"/>
      <c r="CGC130" s="118"/>
      <c r="CGD130" s="118"/>
      <c r="CGE130" s="118"/>
      <c r="CGF130" s="118"/>
      <c r="CGG130" s="118"/>
      <c r="CGH130" s="118"/>
      <c r="CGI130" s="118"/>
      <c r="CGJ130" s="118"/>
      <c r="CGK130" s="118"/>
      <c r="CGL130" s="118"/>
      <c r="CGM130" s="118"/>
      <c r="CGN130" s="118"/>
      <c r="CGO130" s="118"/>
      <c r="CGP130" s="118"/>
      <c r="CGQ130" s="118"/>
      <c r="CGR130" s="118"/>
      <c r="CGS130" s="118"/>
      <c r="CGT130" s="118"/>
      <c r="CGU130" s="118"/>
      <c r="CGV130" s="118"/>
      <c r="CGW130" s="118"/>
      <c r="CGX130" s="118"/>
      <c r="CGY130" s="118"/>
      <c r="CGZ130" s="118"/>
      <c r="CHA130" s="118"/>
      <c r="CHB130" s="118"/>
      <c r="CHC130" s="118"/>
      <c r="CHD130" s="118"/>
      <c r="CHE130" s="118"/>
      <c r="CHF130" s="118"/>
      <c r="CHG130" s="118"/>
      <c r="CHH130" s="118"/>
      <c r="CHI130" s="118"/>
      <c r="CHJ130" s="118"/>
      <c r="CHK130" s="118"/>
      <c r="CHL130" s="118"/>
      <c r="CHM130" s="118"/>
      <c r="CHN130" s="118"/>
      <c r="CHO130" s="118"/>
      <c r="CHP130" s="118"/>
      <c r="CHQ130" s="118"/>
      <c r="CHR130" s="118"/>
      <c r="CHS130" s="118"/>
      <c r="CHT130" s="118"/>
      <c r="CHU130" s="118"/>
      <c r="CHV130" s="118"/>
      <c r="CHW130" s="118"/>
      <c r="CHX130" s="118"/>
      <c r="CHY130" s="118"/>
      <c r="CHZ130" s="118"/>
      <c r="CIA130" s="118"/>
      <c r="CIB130" s="118"/>
      <c r="CIC130" s="118"/>
      <c r="CID130" s="118"/>
      <c r="CIE130" s="118"/>
      <c r="CIF130" s="118"/>
      <c r="CIG130" s="118"/>
      <c r="CIH130" s="118"/>
      <c r="CII130" s="118"/>
      <c r="CIJ130" s="118"/>
      <c r="CIK130" s="118"/>
      <c r="CIL130" s="118"/>
      <c r="CIM130" s="118"/>
      <c r="CIN130" s="118"/>
      <c r="CIO130" s="118"/>
      <c r="CIP130" s="118"/>
      <c r="CIQ130" s="118"/>
      <c r="CIR130" s="118"/>
      <c r="CIS130" s="118"/>
      <c r="CIT130" s="118"/>
      <c r="CIU130" s="118"/>
      <c r="CIV130" s="118"/>
      <c r="CIW130" s="118"/>
      <c r="CIX130" s="118"/>
      <c r="CIY130" s="118"/>
      <c r="CIZ130" s="118"/>
      <c r="CJA130" s="118"/>
      <c r="CJB130" s="118"/>
      <c r="CJC130" s="118"/>
      <c r="CJD130" s="118"/>
      <c r="CJE130" s="118"/>
      <c r="CJF130" s="118"/>
      <c r="CJG130" s="118"/>
      <c r="CJH130" s="118"/>
      <c r="CJI130" s="118"/>
      <c r="CJJ130" s="118"/>
      <c r="CJK130" s="118"/>
      <c r="CJL130" s="118"/>
      <c r="CJM130" s="118"/>
      <c r="CJN130" s="118"/>
      <c r="CJO130" s="118"/>
      <c r="CJP130" s="118"/>
      <c r="CJQ130" s="118"/>
      <c r="CJR130" s="118"/>
      <c r="CJS130" s="118"/>
      <c r="CJT130" s="118"/>
      <c r="CJU130" s="118"/>
      <c r="CJV130" s="118"/>
      <c r="CJW130" s="118"/>
      <c r="CJX130" s="118"/>
      <c r="CJY130" s="118"/>
      <c r="CJZ130" s="118"/>
      <c r="CKA130" s="118"/>
      <c r="CKB130" s="118"/>
      <c r="CKC130" s="118"/>
      <c r="CKD130" s="118"/>
      <c r="CKE130" s="118"/>
      <c r="CKF130" s="118"/>
      <c r="CKG130" s="118"/>
      <c r="CKH130" s="118"/>
      <c r="CKI130" s="118"/>
      <c r="CKJ130" s="118"/>
      <c r="CKK130" s="118"/>
      <c r="CKL130" s="118"/>
      <c r="CKM130" s="118"/>
      <c r="CKN130" s="118"/>
      <c r="CKO130" s="118"/>
      <c r="CKP130" s="118"/>
      <c r="CKQ130" s="118"/>
      <c r="CKR130" s="118"/>
      <c r="CKS130" s="118"/>
      <c r="CKT130" s="118"/>
      <c r="CKU130" s="118"/>
      <c r="CKV130" s="118"/>
      <c r="CKW130" s="118"/>
      <c r="CKX130" s="118"/>
      <c r="CKY130" s="118"/>
      <c r="CKZ130" s="118"/>
      <c r="CLA130" s="118"/>
      <c r="CLB130" s="118"/>
      <c r="CLC130" s="118"/>
      <c r="CLD130" s="118"/>
      <c r="CLE130" s="118"/>
      <c r="CLF130" s="118"/>
      <c r="CLG130" s="118"/>
      <c r="CLH130" s="118"/>
      <c r="CLI130" s="118"/>
      <c r="CLJ130" s="118"/>
      <c r="CLK130" s="118"/>
      <c r="CLL130" s="118"/>
      <c r="CLM130" s="118"/>
      <c r="CLN130" s="118"/>
      <c r="CLO130" s="118"/>
      <c r="CLP130" s="118"/>
      <c r="CLQ130" s="118"/>
      <c r="CLR130" s="118"/>
      <c r="CLS130" s="118"/>
      <c r="CLT130" s="118"/>
      <c r="CLU130" s="118"/>
      <c r="CLV130" s="118"/>
      <c r="CLW130" s="118"/>
      <c r="CLX130" s="118"/>
      <c r="CLY130" s="118"/>
      <c r="CLZ130" s="118"/>
      <c r="CMA130" s="118"/>
      <c r="CMB130" s="118"/>
      <c r="CMC130" s="118"/>
      <c r="CMD130" s="118"/>
      <c r="CME130" s="118"/>
      <c r="CMF130" s="118"/>
      <c r="CMG130" s="118"/>
      <c r="CMH130" s="118"/>
      <c r="CMI130" s="118"/>
      <c r="CMJ130" s="118"/>
      <c r="CMK130" s="118"/>
      <c r="CML130" s="118"/>
      <c r="CMM130" s="118"/>
      <c r="CMN130" s="118"/>
      <c r="CMO130" s="118"/>
      <c r="CMP130" s="118"/>
      <c r="CMQ130" s="118"/>
      <c r="CMR130" s="118"/>
      <c r="CMS130" s="118"/>
      <c r="CMT130" s="118"/>
      <c r="CMU130" s="118"/>
      <c r="CMV130" s="118"/>
      <c r="CMW130" s="118"/>
      <c r="CMX130" s="118"/>
      <c r="CMY130" s="118"/>
      <c r="CMZ130" s="118"/>
      <c r="CNA130" s="118"/>
      <c r="CNB130" s="118"/>
      <c r="CNC130" s="118"/>
      <c r="CND130" s="118"/>
      <c r="CNE130" s="118"/>
      <c r="CNF130" s="118"/>
      <c r="CNG130" s="118"/>
      <c r="CNH130" s="118"/>
      <c r="CNI130" s="118"/>
      <c r="CNJ130" s="118"/>
      <c r="CNK130" s="118"/>
      <c r="CNL130" s="118"/>
      <c r="CNM130" s="118"/>
      <c r="CNN130" s="118"/>
      <c r="CNO130" s="118"/>
      <c r="CNP130" s="118"/>
      <c r="CNQ130" s="118"/>
      <c r="CNR130" s="118"/>
      <c r="CNS130" s="118"/>
      <c r="CNT130" s="118"/>
      <c r="CNU130" s="118"/>
      <c r="CNV130" s="118"/>
      <c r="CNW130" s="118"/>
      <c r="CNX130" s="118"/>
      <c r="CNY130" s="118"/>
      <c r="CNZ130" s="118"/>
      <c r="COA130" s="118"/>
      <c r="COB130" s="118"/>
      <c r="COC130" s="118"/>
      <c r="COD130" s="118"/>
      <c r="COE130" s="118"/>
      <c r="COF130" s="118"/>
      <c r="COG130" s="118"/>
      <c r="COH130" s="118"/>
      <c r="COI130" s="118"/>
      <c r="COJ130" s="118"/>
      <c r="COK130" s="118"/>
      <c r="COL130" s="118"/>
      <c r="COM130" s="118"/>
      <c r="CON130" s="118"/>
      <c r="COO130" s="118"/>
      <c r="COP130" s="118"/>
      <c r="COQ130" s="118"/>
      <c r="COR130" s="118"/>
      <c r="COS130" s="118"/>
      <c r="COT130" s="118"/>
      <c r="COU130" s="118"/>
      <c r="COV130" s="118"/>
      <c r="COW130" s="118"/>
      <c r="COX130" s="118"/>
      <c r="COY130" s="118"/>
      <c r="COZ130" s="118"/>
      <c r="CPA130" s="118"/>
      <c r="CPB130" s="118"/>
      <c r="CPC130" s="118"/>
      <c r="CPD130" s="118"/>
      <c r="CPE130" s="118"/>
      <c r="CPF130" s="118"/>
      <c r="CPG130" s="118"/>
      <c r="CPH130" s="118"/>
      <c r="CPI130" s="118"/>
      <c r="CPJ130" s="118"/>
      <c r="CPK130" s="118"/>
      <c r="CPL130" s="118"/>
      <c r="CPM130" s="118"/>
      <c r="CPN130" s="118"/>
      <c r="CPO130" s="118"/>
      <c r="CPP130" s="118"/>
      <c r="CPQ130" s="118"/>
      <c r="CPR130" s="118"/>
      <c r="CPS130" s="118"/>
      <c r="CPT130" s="118"/>
      <c r="CPU130" s="118"/>
      <c r="CPV130" s="118"/>
      <c r="CPW130" s="118"/>
      <c r="CPX130" s="118"/>
      <c r="CPY130" s="118"/>
      <c r="CPZ130" s="118"/>
      <c r="CQA130" s="118"/>
      <c r="CQB130" s="118"/>
      <c r="CQC130" s="118"/>
      <c r="CQD130" s="118"/>
      <c r="CQE130" s="118"/>
      <c r="CQF130" s="118"/>
      <c r="CQG130" s="118"/>
      <c r="CQH130" s="118"/>
      <c r="CQI130" s="118"/>
      <c r="CQJ130" s="118"/>
      <c r="CQK130" s="118"/>
      <c r="CQL130" s="118"/>
      <c r="CQM130" s="118"/>
      <c r="CQN130" s="118"/>
      <c r="CQO130" s="118"/>
      <c r="CQP130" s="118"/>
      <c r="CQQ130" s="118"/>
      <c r="CQR130" s="118"/>
      <c r="CQS130" s="118"/>
      <c r="CQT130" s="118"/>
      <c r="CQU130" s="118"/>
      <c r="CQV130" s="118"/>
      <c r="CQW130" s="118"/>
      <c r="CQX130" s="118"/>
      <c r="CQY130" s="118"/>
      <c r="CQZ130" s="118"/>
      <c r="CRA130" s="118"/>
      <c r="CRB130" s="118"/>
      <c r="CRC130" s="118"/>
      <c r="CRD130" s="118"/>
      <c r="CRE130" s="118"/>
      <c r="CRF130" s="118"/>
      <c r="CRG130" s="118"/>
      <c r="CRH130" s="118"/>
      <c r="CRI130" s="118"/>
      <c r="CRJ130" s="118"/>
      <c r="CRK130" s="118"/>
      <c r="CRL130" s="118"/>
      <c r="CRM130" s="118"/>
      <c r="CRN130" s="118"/>
      <c r="CRO130" s="118"/>
      <c r="CRP130" s="118"/>
      <c r="CRQ130" s="118"/>
      <c r="CRR130" s="118"/>
      <c r="CRS130" s="118"/>
      <c r="CRT130" s="118"/>
      <c r="CRU130" s="118"/>
      <c r="CRV130" s="118"/>
      <c r="CRW130" s="118"/>
      <c r="CRX130" s="118"/>
      <c r="CRY130" s="118"/>
      <c r="CRZ130" s="118"/>
      <c r="CSA130" s="118"/>
      <c r="CSB130" s="118"/>
      <c r="CSC130" s="118"/>
      <c r="CSD130" s="118"/>
      <c r="CSE130" s="118"/>
      <c r="CSF130" s="118"/>
      <c r="CSG130" s="118"/>
      <c r="CSH130" s="118"/>
      <c r="CSI130" s="118"/>
      <c r="CSJ130" s="118"/>
      <c r="CSK130" s="118"/>
      <c r="CSL130" s="118"/>
      <c r="CSM130" s="118"/>
      <c r="CSN130" s="118"/>
      <c r="CSO130" s="118"/>
      <c r="CSP130" s="118"/>
      <c r="CSQ130" s="118"/>
      <c r="CSR130" s="118"/>
      <c r="CSS130" s="118"/>
      <c r="CST130" s="118"/>
      <c r="CSU130" s="118"/>
      <c r="CSV130" s="118"/>
      <c r="CSW130" s="118"/>
      <c r="CSX130" s="118"/>
      <c r="CSY130" s="118"/>
      <c r="CSZ130" s="118"/>
      <c r="CTA130" s="118"/>
      <c r="CTB130" s="118"/>
      <c r="CTC130" s="118"/>
      <c r="CTD130" s="118"/>
      <c r="CTE130" s="118"/>
      <c r="CTF130" s="118"/>
      <c r="CTG130" s="118"/>
      <c r="CTH130" s="118"/>
      <c r="CTI130" s="118"/>
      <c r="CTJ130" s="118"/>
      <c r="CTK130" s="118"/>
      <c r="CTL130" s="118"/>
      <c r="CTM130" s="118"/>
      <c r="CTN130" s="118"/>
      <c r="CTO130" s="118"/>
      <c r="CTP130" s="118"/>
      <c r="CTQ130" s="118"/>
      <c r="CTR130" s="118"/>
      <c r="CTS130" s="118"/>
      <c r="CTT130" s="118"/>
      <c r="CTU130" s="118"/>
      <c r="CTV130" s="118"/>
      <c r="CTW130" s="118"/>
      <c r="CTX130" s="118"/>
      <c r="CTY130" s="118"/>
      <c r="CTZ130" s="118"/>
      <c r="CUA130" s="118"/>
      <c r="CUB130" s="118"/>
      <c r="CUC130" s="118"/>
      <c r="CUD130" s="118"/>
      <c r="CUE130" s="118"/>
      <c r="CUF130" s="118"/>
      <c r="CUG130" s="118"/>
      <c r="CUH130" s="118"/>
      <c r="CUI130" s="118"/>
      <c r="CUJ130" s="118"/>
      <c r="CUK130" s="118"/>
      <c r="CUL130" s="118"/>
      <c r="CUM130" s="118"/>
      <c r="CUN130" s="118"/>
      <c r="CUO130" s="118"/>
      <c r="CUP130" s="118"/>
      <c r="CUQ130" s="118"/>
      <c r="CUR130" s="118"/>
      <c r="CUS130" s="118"/>
      <c r="CUT130" s="118"/>
      <c r="CUU130" s="118"/>
      <c r="CUV130" s="118"/>
      <c r="CUW130" s="118"/>
      <c r="CUX130" s="118"/>
      <c r="CUY130" s="118"/>
      <c r="CUZ130" s="118"/>
      <c r="CVA130" s="118"/>
      <c r="CVB130" s="118"/>
      <c r="CVC130" s="118"/>
      <c r="CVD130" s="118"/>
      <c r="CVE130" s="118"/>
      <c r="CVF130" s="118"/>
      <c r="CVG130" s="118"/>
      <c r="CVH130" s="118"/>
      <c r="CVI130" s="118"/>
      <c r="CVJ130" s="118"/>
      <c r="CVK130" s="118"/>
      <c r="CVL130" s="118"/>
      <c r="CVM130" s="118"/>
      <c r="CVN130" s="118"/>
      <c r="CVO130" s="118"/>
      <c r="CVP130" s="118"/>
      <c r="CVQ130" s="118"/>
      <c r="CVR130" s="118"/>
      <c r="CVS130" s="118"/>
      <c r="CVT130" s="118"/>
      <c r="CVU130" s="118"/>
      <c r="CVV130" s="118"/>
      <c r="CVW130" s="118"/>
      <c r="CVX130" s="118"/>
      <c r="CVY130" s="118"/>
      <c r="CVZ130" s="118"/>
      <c r="CWA130" s="118"/>
      <c r="CWB130" s="118"/>
      <c r="CWC130" s="118"/>
      <c r="CWD130" s="118"/>
      <c r="CWE130" s="118"/>
      <c r="CWF130" s="118"/>
      <c r="CWG130" s="118"/>
      <c r="CWH130" s="118"/>
      <c r="CWI130" s="118"/>
      <c r="CWJ130" s="118"/>
      <c r="CWK130" s="118"/>
      <c r="CWL130" s="118"/>
      <c r="CWM130" s="118"/>
      <c r="CWN130" s="118"/>
      <c r="CWO130" s="118"/>
      <c r="CWP130" s="118"/>
      <c r="CWQ130" s="118"/>
      <c r="CWR130" s="118"/>
      <c r="CWS130" s="118"/>
      <c r="CWT130" s="118"/>
      <c r="CWU130" s="118"/>
      <c r="CWV130" s="118"/>
      <c r="CWW130" s="118"/>
      <c r="CWX130" s="118"/>
      <c r="CWY130" s="118"/>
      <c r="CWZ130" s="118"/>
      <c r="CXA130" s="118"/>
      <c r="CXB130" s="118"/>
      <c r="CXC130" s="118"/>
      <c r="CXD130" s="118"/>
      <c r="CXE130" s="118"/>
      <c r="CXF130" s="118"/>
      <c r="CXG130" s="118"/>
      <c r="CXH130" s="118"/>
      <c r="CXI130" s="118"/>
      <c r="CXJ130" s="118"/>
      <c r="CXK130" s="118"/>
      <c r="CXL130" s="118"/>
      <c r="CXM130" s="118"/>
      <c r="CXN130" s="118"/>
      <c r="CXO130" s="118"/>
      <c r="CXP130" s="118"/>
      <c r="CXQ130" s="118"/>
      <c r="CXR130" s="118"/>
      <c r="CXS130" s="118"/>
      <c r="CXT130" s="118"/>
      <c r="CXU130" s="118"/>
      <c r="CXV130" s="118"/>
      <c r="CXW130" s="118"/>
      <c r="CXX130" s="118"/>
      <c r="CXY130" s="118"/>
      <c r="CXZ130" s="118"/>
      <c r="CYA130" s="118"/>
      <c r="CYB130" s="118"/>
      <c r="CYC130" s="118"/>
      <c r="CYD130" s="118"/>
      <c r="CYE130" s="118"/>
      <c r="CYF130" s="118"/>
      <c r="CYG130" s="118"/>
      <c r="CYH130" s="118"/>
      <c r="CYI130" s="118"/>
      <c r="CYJ130" s="118"/>
      <c r="CYK130" s="118"/>
      <c r="CYL130" s="118"/>
      <c r="CYM130" s="118"/>
      <c r="CYN130" s="118"/>
      <c r="CYO130" s="118"/>
      <c r="CYP130" s="118"/>
      <c r="CYQ130" s="118"/>
      <c r="CYR130" s="118"/>
      <c r="CYS130" s="118"/>
      <c r="CYT130" s="118"/>
      <c r="CYU130" s="118"/>
      <c r="CYV130" s="118"/>
      <c r="CYW130" s="118"/>
      <c r="CYX130" s="118"/>
      <c r="CYY130" s="118"/>
      <c r="CYZ130" s="118"/>
      <c r="CZA130" s="118"/>
      <c r="CZB130" s="118"/>
      <c r="CZC130" s="118"/>
      <c r="CZD130" s="118"/>
      <c r="CZE130" s="118"/>
      <c r="CZF130" s="118"/>
      <c r="CZG130" s="118"/>
      <c r="CZH130" s="118"/>
      <c r="CZI130" s="118"/>
      <c r="CZJ130" s="118"/>
      <c r="CZK130" s="118"/>
      <c r="CZL130" s="118"/>
      <c r="CZM130" s="118"/>
      <c r="CZN130" s="118"/>
      <c r="CZO130" s="118"/>
      <c r="CZP130" s="118"/>
      <c r="CZQ130" s="118"/>
      <c r="CZR130" s="118"/>
      <c r="CZS130" s="118"/>
      <c r="CZT130" s="118"/>
      <c r="CZU130" s="118"/>
      <c r="CZV130" s="118"/>
      <c r="CZW130" s="118"/>
      <c r="CZX130" s="118"/>
      <c r="CZY130" s="118"/>
      <c r="CZZ130" s="118"/>
      <c r="DAA130" s="118"/>
      <c r="DAB130" s="118"/>
      <c r="DAC130" s="118"/>
      <c r="DAD130" s="118"/>
      <c r="DAE130" s="118"/>
      <c r="DAF130" s="118"/>
      <c r="DAG130" s="118"/>
      <c r="DAH130" s="118"/>
      <c r="DAI130" s="118"/>
      <c r="DAJ130" s="118"/>
      <c r="DAK130" s="118"/>
      <c r="DAL130" s="118"/>
      <c r="DAM130" s="118"/>
      <c r="DAN130" s="118"/>
      <c r="DAO130" s="118"/>
      <c r="DAP130" s="118"/>
      <c r="DAQ130" s="118"/>
      <c r="DAR130" s="118"/>
      <c r="DAS130" s="118"/>
      <c r="DAT130" s="118"/>
      <c r="DAU130" s="118"/>
      <c r="DAV130" s="118"/>
      <c r="DAW130" s="118"/>
      <c r="DAX130" s="118"/>
      <c r="DAY130" s="118"/>
      <c r="DAZ130" s="118"/>
      <c r="DBA130" s="118"/>
      <c r="DBB130" s="118"/>
      <c r="DBC130" s="118"/>
      <c r="DBD130" s="118"/>
      <c r="DBE130" s="118"/>
      <c r="DBF130" s="118"/>
      <c r="DBG130" s="118"/>
      <c r="DBH130" s="118"/>
      <c r="DBI130" s="118"/>
      <c r="DBJ130" s="118"/>
      <c r="DBK130" s="118"/>
      <c r="DBL130" s="118"/>
      <c r="DBM130" s="118"/>
      <c r="DBN130" s="118"/>
      <c r="DBO130" s="118"/>
      <c r="DBP130" s="118"/>
      <c r="DBQ130" s="118"/>
      <c r="DBR130" s="118"/>
      <c r="DBS130" s="118"/>
      <c r="DBT130" s="118"/>
      <c r="DBU130" s="118"/>
      <c r="DBV130" s="118"/>
      <c r="DBW130" s="118"/>
      <c r="DBX130" s="118"/>
      <c r="DBY130" s="118"/>
      <c r="DBZ130" s="118"/>
      <c r="DCA130" s="118"/>
      <c r="DCB130" s="118"/>
      <c r="DCC130" s="118"/>
      <c r="DCD130" s="118"/>
      <c r="DCE130" s="118"/>
      <c r="DCF130" s="118"/>
      <c r="DCG130" s="118"/>
      <c r="DCH130" s="118"/>
      <c r="DCI130" s="118"/>
      <c r="DCJ130" s="118"/>
      <c r="DCK130" s="118"/>
      <c r="DCL130" s="118"/>
      <c r="DCM130" s="118"/>
      <c r="DCN130" s="118"/>
      <c r="DCO130" s="118"/>
      <c r="DCP130" s="118"/>
      <c r="DCQ130" s="118"/>
      <c r="DCR130" s="118"/>
      <c r="DCS130" s="118"/>
      <c r="DCT130" s="118"/>
      <c r="DCU130" s="118"/>
      <c r="DCV130" s="118"/>
      <c r="DCW130" s="118"/>
      <c r="DCX130" s="118"/>
      <c r="DCY130" s="118"/>
      <c r="DCZ130" s="118"/>
      <c r="DDA130" s="118"/>
      <c r="DDB130" s="118"/>
      <c r="DDC130" s="118"/>
      <c r="DDD130" s="118"/>
      <c r="DDE130" s="118"/>
      <c r="DDF130" s="118"/>
      <c r="DDG130" s="118"/>
      <c r="DDH130" s="118"/>
      <c r="DDI130" s="118"/>
      <c r="DDJ130" s="118"/>
      <c r="DDK130" s="118"/>
      <c r="DDL130" s="118"/>
      <c r="DDM130" s="118"/>
      <c r="DDN130" s="118"/>
      <c r="DDO130" s="118"/>
      <c r="DDP130" s="118"/>
      <c r="DDQ130" s="118"/>
      <c r="DDR130" s="118"/>
      <c r="DDS130" s="118"/>
      <c r="DDT130" s="118"/>
      <c r="DDU130" s="118"/>
      <c r="DDV130" s="118"/>
      <c r="DDW130" s="118"/>
      <c r="DDX130" s="118"/>
      <c r="DDY130" s="118"/>
      <c r="DDZ130" s="118"/>
      <c r="DEA130" s="118"/>
      <c r="DEB130" s="118"/>
      <c r="DEC130" s="118"/>
      <c r="DED130" s="118"/>
      <c r="DEE130" s="118"/>
      <c r="DEF130" s="118"/>
      <c r="DEG130" s="118"/>
      <c r="DEH130" s="118"/>
      <c r="DEI130" s="118"/>
      <c r="DEJ130" s="118"/>
      <c r="DEK130" s="118"/>
      <c r="DEL130" s="118"/>
      <c r="DEM130" s="118"/>
      <c r="DEN130" s="118"/>
      <c r="DEO130" s="118"/>
      <c r="DEP130" s="118"/>
      <c r="DEQ130" s="118"/>
      <c r="DER130" s="118"/>
      <c r="DES130" s="118"/>
      <c r="DET130" s="118"/>
      <c r="DEU130" s="118"/>
      <c r="DEV130" s="118"/>
      <c r="DEW130" s="118"/>
      <c r="DEX130" s="118"/>
      <c r="DEY130" s="118"/>
      <c r="DEZ130" s="118"/>
      <c r="DFA130" s="118"/>
      <c r="DFB130" s="118"/>
      <c r="DFC130" s="118"/>
      <c r="DFD130" s="118"/>
      <c r="DFE130" s="118"/>
      <c r="DFF130" s="118"/>
      <c r="DFG130" s="118"/>
      <c r="DFH130" s="118"/>
      <c r="DFI130" s="118"/>
      <c r="DFJ130" s="118"/>
      <c r="DFK130" s="118"/>
      <c r="DFL130" s="118"/>
      <c r="DFM130" s="118"/>
      <c r="DFN130" s="118"/>
      <c r="DFO130" s="118"/>
      <c r="DFP130" s="118"/>
      <c r="DFQ130" s="118"/>
      <c r="DFR130" s="118"/>
      <c r="DFS130" s="118"/>
      <c r="DFT130" s="118"/>
      <c r="DFU130" s="118"/>
      <c r="DFV130" s="118"/>
      <c r="DFW130" s="118"/>
      <c r="DFX130" s="118"/>
      <c r="DFY130" s="118"/>
      <c r="DFZ130" s="118"/>
      <c r="DGA130" s="118"/>
      <c r="DGB130" s="118"/>
      <c r="DGC130" s="118"/>
      <c r="DGD130" s="118"/>
      <c r="DGE130" s="118"/>
      <c r="DGF130" s="118"/>
      <c r="DGG130" s="118"/>
      <c r="DGH130" s="118"/>
      <c r="DGI130" s="118"/>
      <c r="DGJ130" s="118"/>
      <c r="DGK130" s="118"/>
      <c r="DGL130" s="118"/>
      <c r="DGM130" s="118"/>
      <c r="DGN130" s="118"/>
      <c r="DGO130" s="118"/>
      <c r="DGP130" s="118"/>
      <c r="DGQ130" s="118"/>
      <c r="DGR130" s="118"/>
      <c r="DGS130" s="118"/>
      <c r="DGT130" s="118"/>
      <c r="DGU130" s="118"/>
      <c r="DGV130" s="118"/>
      <c r="DGW130" s="118"/>
      <c r="DGX130" s="118"/>
      <c r="DGY130" s="118"/>
      <c r="DGZ130" s="118"/>
      <c r="DHA130" s="118"/>
      <c r="DHB130" s="118"/>
      <c r="DHC130" s="118"/>
      <c r="DHD130" s="118"/>
      <c r="DHE130" s="118"/>
      <c r="DHF130" s="118"/>
      <c r="DHG130" s="118"/>
      <c r="DHH130" s="118"/>
      <c r="DHI130" s="118"/>
      <c r="DHJ130" s="118"/>
      <c r="DHK130" s="118"/>
      <c r="DHL130" s="118"/>
      <c r="DHM130" s="118"/>
      <c r="DHN130" s="118"/>
      <c r="DHO130" s="118"/>
      <c r="DHP130" s="118"/>
      <c r="DHQ130" s="118"/>
      <c r="DHR130" s="118"/>
      <c r="DHS130" s="118"/>
      <c r="DHT130" s="118"/>
      <c r="DHU130" s="118"/>
      <c r="DHV130" s="118"/>
      <c r="DHW130" s="118"/>
      <c r="DHX130" s="118"/>
      <c r="DHY130" s="118"/>
      <c r="DHZ130" s="118"/>
      <c r="DIA130" s="118"/>
      <c r="DIB130" s="118"/>
      <c r="DIC130" s="118"/>
      <c r="DID130" s="118"/>
      <c r="DIE130" s="118"/>
      <c r="DIF130" s="118"/>
      <c r="DIG130" s="118"/>
      <c r="DIH130" s="118"/>
      <c r="DII130" s="118"/>
      <c r="DIJ130" s="118"/>
      <c r="DIK130" s="118"/>
      <c r="DIL130" s="118"/>
      <c r="DIM130" s="118"/>
      <c r="DIN130" s="118"/>
      <c r="DIO130" s="118"/>
      <c r="DIP130" s="118"/>
      <c r="DIQ130" s="118"/>
      <c r="DIR130" s="118"/>
      <c r="DIS130" s="118"/>
      <c r="DIT130" s="118"/>
      <c r="DIU130" s="118"/>
      <c r="DIV130" s="118"/>
      <c r="DIW130" s="118"/>
      <c r="DIX130" s="118"/>
      <c r="DIY130" s="118"/>
      <c r="DIZ130" s="118"/>
      <c r="DJA130" s="118"/>
      <c r="DJB130" s="118"/>
      <c r="DJC130" s="118"/>
      <c r="DJD130" s="118"/>
      <c r="DJE130" s="118"/>
      <c r="DJF130" s="118"/>
      <c r="DJG130" s="118"/>
      <c r="DJH130" s="118"/>
      <c r="DJI130" s="118"/>
      <c r="DJJ130" s="118"/>
      <c r="DJK130" s="118"/>
      <c r="DJL130" s="118"/>
      <c r="DJM130" s="118"/>
      <c r="DJN130" s="118"/>
      <c r="DJO130" s="118"/>
      <c r="DJP130" s="118"/>
      <c r="DJQ130" s="118"/>
      <c r="DJR130" s="118"/>
      <c r="DJS130" s="118"/>
      <c r="DJT130" s="118"/>
      <c r="DJU130" s="118"/>
      <c r="DJV130" s="118"/>
      <c r="DJW130" s="118"/>
      <c r="DJX130" s="118"/>
      <c r="DJY130" s="118"/>
      <c r="DJZ130" s="118"/>
      <c r="DKA130" s="118"/>
      <c r="DKB130" s="118"/>
      <c r="DKC130" s="118"/>
      <c r="DKD130" s="118"/>
      <c r="DKE130" s="118"/>
      <c r="DKF130" s="118"/>
      <c r="DKG130" s="118"/>
      <c r="DKH130" s="118"/>
      <c r="DKI130" s="118"/>
      <c r="DKJ130" s="118"/>
      <c r="DKK130" s="118"/>
      <c r="DKL130" s="118"/>
      <c r="DKM130" s="118"/>
      <c r="DKN130" s="118"/>
      <c r="DKO130" s="118"/>
      <c r="DKP130" s="118"/>
      <c r="DKQ130" s="118"/>
      <c r="DKR130" s="118"/>
      <c r="DKS130" s="118"/>
      <c r="DKT130" s="118"/>
      <c r="DKU130" s="118"/>
      <c r="DKV130" s="118"/>
      <c r="DKW130" s="118"/>
      <c r="DKX130" s="118"/>
      <c r="DKY130" s="118"/>
      <c r="DKZ130" s="118"/>
      <c r="DLA130" s="118"/>
      <c r="DLB130" s="118"/>
      <c r="DLC130" s="118"/>
      <c r="DLD130" s="118"/>
      <c r="DLE130" s="118"/>
      <c r="DLF130" s="118"/>
      <c r="DLG130" s="118"/>
      <c r="DLH130" s="118"/>
      <c r="DLI130" s="118"/>
      <c r="DLJ130" s="118"/>
      <c r="DLK130" s="118"/>
      <c r="DLL130" s="118"/>
      <c r="DLM130" s="118"/>
      <c r="DLN130" s="118"/>
      <c r="DLO130" s="118"/>
      <c r="DLP130" s="118"/>
      <c r="DLQ130" s="118"/>
      <c r="DLR130" s="118"/>
      <c r="DLS130" s="118"/>
      <c r="DLT130" s="118"/>
      <c r="DLU130" s="118"/>
      <c r="DLV130" s="118"/>
      <c r="DLW130" s="118"/>
      <c r="DLX130" s="118"/>
      <c r="DLY130" s="118"/>
      <c r="DLZ130" s="118"/>
      <c r="DMA130" s="118"/>
      <c r="DMB130" s="118"/>
      <c r="DMC130" s="118"/>
      <c r="DMD130" s="118"/>
      <c r="DME130" s="118"/>
      <c r="DMF130" s="118"/>
      <c r="DMG130" s="118"/>
      <c r="DMH130" s="118"/>
      <c r="DMI130" s="118"/>
      <c r="DMJ130" s="118"/>
      <c r="DMK130" s="118"/>
      <c r="DML130" s="118"/>
      <c r="DMM130" s="118"/>
      <c r="DMN130" s="118"/>
      <c r="DMO130" s="118"/>
      <c r="DMP130" s="118"/>
      <c r="DMQ130" s="118"/>
      <c r="DMR130" s="118"/>
      <c r="DMS130" s="118"/>
      <c r="DMT130" s="118"/>
      <c r="DMU130" s="118"/>
      <c r="DMV130" s="118"/>
      <c r="DMW130" s="118"/>
      <c r="DMX130" s="118"/>
      <c r="DMY130" s="118"/>
      <c r="DMZ130" s="118"/>
      <c r="DNA130" s="118"/>
      <c r="DNB130" s="118"/>
      <c r="DNC130" s="118"/>
      <c r="DND130" s="118"/>
      <c r="DNE130" s="118"/>
      <c r="DNF130" s="118"/>
      <c r="DNG130" s="118"/>
      <c r="DNH130" s="118"/>
      <c r="DNI130" s="118"/>
      <c r="DNJ130" s="118"/>
      <c r="DNK130" s="118"/>
      <c r="DNL130" s="118"/>
      <c r="DNM130" s="118"/>
      <c r="DNN130" s="118"/>
      <c r="DNO130" s="118"/>
      <c r="DNP130" s="118"/>
      <c r="DNQ130" s="118"/>
      <c r="DNR130" s="118"/>
      <c r="DNS130" s="118"/>
      <c r="DNT130" s="118"/>
      <c r="DNU130" s="118"/>
      <c r="DNV130" s="118"/>
      <c r="DNW130" s="118"/>
      <c r="DNX130" s="118"/>
      <c r="DNY130" s="118"/>
      <c r="DNZ130" s="118"/>
      <c r="DOA130" s="118"/>
      <c r="DOB130" s="118"/>
      <c r="DOC130" s="118"/>
      <c r="DOD130" s="118"/>
      <c r="DOE130" s="118"/>
      <c r="DOF130" s="118"/>
      <c r="DOG130" s="118"/>
      <c r="DOH130" s="118"/>
      <c r="DOI130" s="118"/>
      <c r="DOJ130" s="118"/>
      <c r="DOK130" s="118"/>
      <c r="DOL130" s="118"/>
      <c r="DOM130" s="118"/>
      <c r="DON130" s="118"/>
      <c r="DOO130" s="118"/>
      <c r="DOP130" s="118"/>
      <c r="DOQ130" s="118"/>
      <c r="DOR130" s="118"/>
      <c r="DOS130" s="118"/>
      <c r="DOT130" s="118"/>
      <c r="DOU130" s="118"/>
      <c r="DOV130" s="118"/>
      <c r="DOW130" s="118"/>
      <c r="DOX130" s="118"/>
      <c r="DOY130" s="118"/>
      <c r="DOZ130" s="118"/>
      <c r="DPA130" s="118"/>
      <c r="DPB130" s="118"/>
      <c r="DPC130" s="118"/>
      <c r="DPD130" s="118"/>
      <c r="DPE130" s="118"/>
      <c r="DPF130" s="118"/>
      <c r="DPG130" s="118"/>
      <c r="DPH130" s="118"/>
      <c r="DPI130" s="118"/>
      <c r="DPJ130" s="118"/>
      <c r="DPK130" s="118"/>
      <c r="DPL130" s="118"/>
      <c r="DPM130" s="118"/>
      <c r="DPN130" s="118"/>
      <c r="DPO130" s="118"/>
      <c r="DPP130" s="118"/>
      <c r="DPQ130" s="118"/>
      <c r="DPR130" s="118"/>
      <c r="DPS130" s="118"/>
      <c r="DPT130" s="118"/>
      <c r="DPU130" s="118"/>
      <c r="DPV130" s="118"/>
      <c r="DPW130" s="118"/>
      <c r="DPX130" s="118"/>
      <c r="DPY130" s="118"/>
      <c r="DPZ130" s="118"/>
      <c r="DQA130" s="118"/>
      <c r="DQB130" s="118"/>
      <c r="DQC130" s="118"/>
      <c r="DQD130" s="118"/>
      <c r="DQE130" s="118"/>
      <c r="DQF130" s="118"/>
      <c r="DQG130" s="118"/>
      <c r="DQH130" s="118"/>
      <c r="DQI130" s="118"/>
      <c r="DQJ130" s="118"/>
      <c r="DQK130" s="118"/>
      <c r="DQL130" s="118"/>
      <c r="DQM130" s="118"/>
      <c r="DQN130" s="118"/>
      <c r="DQO130" s="118"/>
      <c r="DQP130" s="118"/>
      <c r="DQQ130" s="118"/>
      <c r="DQR130" s="118"/>
      <c r="DQS130" s="118"/>
      <c r="DQT130" s="118"/>
      <c r="DQU130" s="118"/>
      <c r="DQV130" s="118"/>
      <c r="DQW130" s="118"/>
      <c r="DQX130" s="118"/>
      <c r="DQY130" s="118"/>
      <c r="DQZ130" s="118"/>
      <c r="DRA130" s="118"/>
      <c r="DRB130" s="118"/>
      <c r="DRC130" s="118"/>
      <c r="DRD130" s="118"/>
      <c r="DRE130" s="118"/>
      <c r="DRF130" s="118"/>
      <c r="DRG130" s="118"/>
      <c r="DRH130" s="118"/>
      <c r="DRI130" s="118"/>
      <c r="DRJ130" s="118"/>
      <c r="DRK130" s="118"/>
      <c r="DRL130" s="118"/>
      <c r="DRM130" s="118"/>
      <c r="DRN130" s="118"/>
      <c r="DRO130" s="118"/>
      <c r="DRP130" s="118"/>
      <c r="DRQ130" s="118"/>
      <c r="DRR130" s="118"/>
      <c r="DRS130" s="118"/>
      <c r="DRT130" s="118"/>
      <c r="DRU130" s="118"/>
      <c r="DRV130" s="118"/>
      <c r="DRW130" s="118"/>
      <c r="DRX130" s="118"/>
      <c r="DRY130" s="118"/>
      <c r="DRZ130" s="118"/>
      <c r="DSA130" s="118"/>
      <c r="DSB130" s="118"/>
      <c r="DSC130" s="118"/>
      <c r="DSD130" s="118"/>
      <c r="DSE130" s="118"/>
      <c r="DSF130" s="118"/>
      <c r="DSG130" s="118"/>
      <c r="DSH130" s="118"/>
      <c r="DSI130" s="118"/>
      <c r="DSJ130" s="118"/>
      <c r="DSK130" s="118"/>
      <c r="DSL130" s="118"/>
      <c r="DSM130" s="118"/>
      <c r="DSN130" s="118"/>
      <c r="DSO130" s="118"/>
      <c r="DSP130" s="118"/>
      <c r="DSQ130" s="118"/>
      <c r="DSR130" s="118"/>
      <c r="DSS130" s="118"/>
      <c r="DST130" s="118"/>
      <c r="DSU130" s="118"/>
      <c r="DSV130" s="118"/>
      <c r="DSW130" s="118"/>
      <c r="DSX130" s="118"/>
      <c r="DSY130" s="118"/>
      <c r="DSZ130" s="118"/>
      <c r="DTA130" s="118"/>
      <c r="DTB130" s="118"/>
      <c r="DTC130" s="118"/>
      <c r="DTD130" s="118"/>
      <c r="DTE130" s="118"/>
      <c r="DTF130" s="118"/>
      <c r="DTG130" s="118"/>
      <c r="DTH130" s="118"/>
      <c r="DTI130" s="118"/>
      <c r="DTJ130" s="118"/>
      <c r="DTK130" s="118"/>
      <c r="DTL130" s="118"/>
      <c r="DTM130" s="118"/>
      <c r="DTN130" s="118"/>
      <c r="DTO130" s="118"/>
      <c r="DTP130" s="118"/>
      <c r="DTQ130" s="118"/>
      <c r="DTR130" s="118"/>
      <c r="DTS130" s="118"/>
      <c r="DTT130" s="118"/>
      <c r="DTU130" s="118"/>
      <c r="DTV130" s="118"/>
      <c r="DTW130" s="118"/>
      <c r="DTX130" s="118"/>
      <c r="DTY130" s="118"/>
      <c r="DTZ130" s="118"/>
      <c r="DUA130" s="118"/>
      <c r="DUB130" s="118"/>
      <c r="DUC130" s="118"/>
      <c r="DUD130" s="118"/>
      <c r="DUE130" s="118"/>
      <c r="DUF130" s="118"/>
      <c r="DUG130" s="118"/>
      <c r="DUH130" s="118"/>
      <c r="DUI130" s="118"/>
      <c r="DUJ130" s="118"/>
      <c r="DUK130" s="118"/>
      <c r="DUL130" s="118"/>
      <c r="DUM130" s="118"/>
      <c r="DUN130" s="118"/>
      <c r="DUO130" s="118"/>
      <c r="DUP130" s="118"/>
      <c r="DUQ130" s="118"/>
      <c r="DUR130" s="118"/>
      <c r="DUS130" s="118"/>
      <c r="DUT130" s="118"/>
      <c r="DUU130" s="118"/>
      <c r="DUV130" s="118"/>
      <c r="DUW130" s="118"/>
      <c r="DUX130" s="118"/>
      <c r="DUY130" s="118"/>
      <c r="DUZ130" s="118"/>
      <c r="DVA130" s="118"/>
      <c r="DVB130" s="118"/>
      <c r="DVC130" s="118"/>
      <c r="DVD130" s="118"/>
      <c r="DVE130" s="118"/>
      <c r="DVF130" s="118"/>
      <c r="DVG130" s="118"/>
      <c r="DVH130" s="118"/>
      <c r="DVI130" s="118"/>
      <c r="DVJ130" s="118"/>
      <c r="DVK130" s="118"/>
      <c r="DVL130" s="118"/>
      <c r="DVM130" s="118"/>
      <c r="DVN130" s="118"/>
      <c r="DVO130" s="118"/>
      <c r="DVP130" s="118"/>
      <c r="DVQ130" s="118"/>
      <c r="DVR130" s="118"/>
      <c r="DVS130" s="118"/>
      <c r="DVT130" s="118"/>
      <c r="DVU130" s="118"/>
      <c r="DVV130" s="118"/>
      <c r="DVW130" s="118"/>
      <c r="DVX130" s="118"/>
      <c r="DVY130" s="118"/>
      <c r="DVZ130" s="118"/>
      <c r="DWA130" s="118"/>
      <c r="DWB130" s="118"/>
      <c r="DWC130" s="118"/>
      <c r="DWD130" s="118"/>
      <c r="DWE130" s="118"/>
      <c r="DWF130" s="118"/>
      <c r="DWG130" s="118"/>
      <c r="DWH130" s="118"/>
      <c r="DWI130" s="118"/>
      <c r="DWJ130" s="118"/>
      <c r="DWK130" s="118"/>
      <c r="DWL130" s="118"/>
      <c r="DWM130" s="118"/>
      <c r="DWN130" s="118"/>
      <c r="DWO130" s="118"/>
      <c r="DWP130" s="118"/>
      <c r="DWQ130" s="118"/>
      <c r="DWR130" s="118"/>
      <c r="DWS130" s="118"/>
      <c r="DWT130" s="118"/>
      <c r="DWU130" s="118"/>
      <c r="DWV130" s="118"/>
      <c r="DWW130" s="118"/>
      <c r="DWX130" s="118"/>
      <c r="DWY130" s="118"/>
      <c r="DWZ130" s="118"/>
      <c r="DXA130" s="118"/>
      <c r="DXB130" s="118"/>
      <c r="DXC130" s="118"/>
      <c r="DXD130" s="118"/>
      <c r="DXE130" s="118"/>
      <c r="DXF130" s="118"/>
      <c r="DXG130" s="118"/>
      <c r="DXH130" s="118"/>
      <c r="DXI130" s="118"/>
      <c r="DXJ130" s="118"/>
      <c r="DXK130" s="118"/>
      <c r="DXL130" s="118"/>
      <c r="DXM130" s="118"/>
      <c r="DXN130" s="118"/>
      <c r="DXO130" s="118"/>
      <c r="DXP130" s="118"/>
      <c r="DXQ130" s="118"/>
      <c r="DXR130" s="118"/>
      <c r="DXS130" s="118"/>
      <c r="DXT130" s="118"/>
      <c r="DXU130" s="118"/>
      <c r="DXV130" s="118"/>
      <c r="DXW130" s="118"/>
      <c r="DXX130" s="118"/>
      <c r="DXY130" s="118"/>
      <c r="DXZ130" s="118"/>
      <c r="DYA130" s="118"/>
      <c r="DYB130" s="118"/>
      <c r="DYC130" s="118"/>
      <c r="DYD130" s="118"/>
      <c r="DYE130" s="118"/>
      <c r="DYF130" s="118"/>
      <c r="DYG130" s="118"/>
      <c r="DYH130" s="118"/>
      <c r="DYI130" s="118"/>
      <c r="DYJ130" s="118"/>
      <c r="DYK130" s="118"/>
      <c r="DYL130" s="118"/>
      <c r="DYM130" s="118"/>
      <c r="DYN130" s="118"/>
      <c r="DYO130" s="118"/>
      <c r="DYP130" s="118"/>
      <c r="DYQ130" s="118"/>
      <c r="DYR130" s="118"/>
      <c r="DYS130" s="118"/>
      <c r="DYT130" s="118"/>
      <c r="DYU130" s="118"/>
      <c r="DYV130" s="118"/>
      <c r="DYW130" s="118"/>
      <c r="DYX130" s="118"/>
      <c r="DYY130" s="118"/>
      <c r="DYZ130" s="118"/>
      <c r="DZA130" s="118"/>
      <c r="DZB130" s="118"/>
      <c r="DZC130" s="118"/>
      <c r="DZD130" s="118"/>
      <c r="DZE130" s="118"/>
      <c r="DZF130" s="118"/>
      <c r="DZG130" s="118"/>
      <c r="DZH130" s="118"/>
      <c r="DZI130" s="118"/>
      <c r="DZJ130" s="118"/>
      <c r="DZK130" s="118"/>
      <c r="DZL130" s="118"/>
      <c r="DZM130" s="118"/>
      <c r="DZN130" s="118"/>
      <c r="DZO130" s="118"/>
      <c r="DZP130" s="118"/>
      <c r="DZQ130" s="118"/>
      <c r="DZR130" s="118"/>
      <c r="DZS130" s="118"/>
      <c r="DZT130" s="118"/>
      <c r="DZU130" s="118"/>
      <c r="DZV130" s="118"/>
      <c r="DZW130" s="118"/>
      <c r="DZX130" s="118"/>
      <c r="DZY130" s="118"/>
      <c r="DZZ130" s="118"/>
      <c r="EAA130" s="118"/>
      <c r="EAB130" s="118"/>
      <c r="EAC130" s="118"/>
      <c r="EAD130" s="118"/>
      <c r="EAE130" s="118"/>
      <c r="EAF130" s="118"/>
      <c r="EAG130" s="118"/>
      <c r="EAH130" s="118"/>
      <c r="EAI130" s="118"/>
      <c r="EAJ130" s="118"/>
      <c r="EAK130" s="118"/>
      <c r="EAL130" s="118"/>
      <c r="EAM130" s="118"/>
      <c r="EAN130" s="118"/>
      <c r="EAO130" s="118"/>
      <c r="EAP130" s="118"/>
      <c r="EAQ130" s="118"/>
      <c r="EAR130" s="118"/>
      <c r="EAS130" s="118"/>
      <c r="EAT130" s="118"/>
      <c r="EAU130" s="118"/>
      <c r="EAV130" s="118"/>
      <c r="EAW130" s="118"/>
      <c r="EAX130" s="118"/>
      <c r="EAY130" s="118"/>
      <c r="EAZ130" s="118"/>
      <c r="EBA130" s="118"/>
      <c r="EBB130" s="118"/>
      <c r="EBC130" s="118"/>
      <c r="EBD130" s="118"/>
      <c r="EBE130" s="118"/>
      <c r="EBF130" s="118"/>
      <c r="EBG130" s="118"/>
      <c r="EBH130" s="118"/>
      <c r="EBI130" s="118"/>
      <c r="EBJ130" s="118"/>
      <c r="EBK130" s="118"/>
      <c r="EBL130" s="118"/>
      <c r="EBM130" s="118"/>
      <c r="EBN130" s="118"/>
      <c r="EBO130" s="118"/>
      <c r="EBP130" s="118"/>
      <c r="EBQ130" s="118"/>
      <c r="EBR130" s="118"/>
      <c r="EBS130" s="118"/>
      <c r="EBT130" s="118"/>
      <c r="EBU130" s="118"/>
      <c r="EBV130" s="118"/>
      <c r="EBW130" s="118"/>
      <c r="EBX130" s="118"/>
      <c r="EBY130" s="118"/>
      <c r="EBZ130" s="118"/>
      <c r="ECA130" s="118"/>
      <c r="ECB130" s="118"/>
      <c r="ECC130" s="118"/>
      <c r="ECD130" s="118"/>
      <c r="ECE130" s="118"/>
      <c r="ECF130" s="118"/>
      <c r="ECG130" s="118"/>
      <c r="ECH130" s="118"/>
      <c r="ECI130" s="118"/>
      <c r="ECJ130" s="118"/>
      <c r="ECK130" s="118"/>
      <c r="ECL130" s="118"/>
      <c r="ECM130" s="118"/>
      <c r="ECN130" s="118"/>
      <c r="ECO130" s="118"/>
      <c r="ECP130" s="118"/>
      <c r="ECQ130" s="118"/>
      <c r="ECR130" s="118"/>
      <c r="ECS130" s="118"/>
      <c r="ECT130" s="118"/>
      <c r="ECU130" s="118"/>
      <c r="ECV130" s="118"/>
      <c r="ECW130" s="118"/>
      <c r="ECX130" s="118"/>
      <c r="ECY130" s="118"/>
      <c r="ECZ130" s="118"/>
      <c r="EDA130" s="118"/>
      <c r="EDB130" s="118"/>
      <c r="EDC130" s="118"/>
      <c r="EDD130" s="118"/>
      <c r="EDE130" s="118"/>
      <c r="EDF130" s="118"/>
      <c r="EDG130" s="118"/>
      <c r="EDH130" s="118"/>
      <c r="EDI130" s="118"/>
      <c r="EDJ130" s="118"/>
      <c r="EDK130" s="118"/>
      <c r="EDL130" s="118"/>
      <c r="EDM130" s="118"/>
      <c r="EDN130" s="118"/>
      <c r="EDO130" s="118"/>
      <c r="EDP130" s="118"/>
      <c r="EDQ130" s="118"/>
      <c r="EDR130" s="118"/>
      <c r="EDS130" s="118"/>
      <c r="EDT130" s="118"/>
      <c r="EDU130" s="118"/>
      <c r="EDV130" s="118"/>
      <c r="EDW130" s="118"/>
      <c r="EDX130" s="118"/>
      <c r="EDY130" s="118"/>
      <c r="EDZ130" s="118"/>
      <c r="EEA130" s="118"/>
      <c r="EEB130" s="118"/>
      <c r="EEC130" s="118"/>
      <c r="EED130" s="118"/>
      <c r="EEE130" s="118"/>
      <c r="EEF130" s="118"/>
      <c r="EEG130" s="118"/>
      <c r="EEH130" s="118"/>
      <c r="EEI130" s="118"/>
      <c r="EEJ130" s="118"/>
      <c r="EEK130" s="118"/>
      <c r="EEL130" s="118"/>
      <c r="EEM130" s="118"/>
      <c r="EEN130" s="118"/>
      <c r="EEO130" s="118"/>
      <c r="EEP130" s="118"/>
      <c r="EEQ130" s="118"/>
      <c r="EER130" s="118"/>
      <c r="EES130" s="118"/>
      <c r="EET130" s="118"/>
      <c r="EEU130" s="118"/>
      <c r="EEV130" s="118"/>
      <c r="EEW130" s="118"/>
      <c r="EEX130" s="118"/>
      <c r="EEY130" s="118"/>
      <c r="EEZ130" s="118"/>
      <c r="EFA130" s="118"/>
      <c r="EFB130" s="118"/>
      <c r="EFC130" s="118"/>
      <c r="EFD130" s="118"/>
      <c r="EFE130" s="118"/>
      <c r="EFF130" s="118"/>
      <c r="EFG130" s="118"/>
      <c r="EFH130" s="118"/>
      <c r="EFI130" s="118"/>
      <c r="EFJ130" s="118"/>
      <c r="EFK130" s="118"/>
      <c r="EFL130" s="118"/>
      <c r="EFM130" s="118"/>
      <c r="EFN130" s="118"/>
      <c r="EFO130" s="118"/>
      <c r="EFP130" s="118"/>
      <c r="EFQ130" s="118"/>
      <c r="EFR130" s="118"/>
      <c r="EFS130" s="118"/>
      <c r="EFT130" s="118"/>
      <c r="EFU130" s="118"/>
      <c r="EFV130" s="118"/>
      <c r="EFW130" s="118"/>
      <c r="EFX130" s="118"/>
      <c r="EFY130" s="118"/>
      <c r="EFZ130" s="118"/>
      <c r="EGA130" s="118"/>
      <c r="EGB130" s="118"/>
      <c r="EGC130" s="118"/>
      <c r="EGD130" s="118"/>
      <c r="EGE130" s="118"/>
      <c r="EGF130" s="118"/>
      <c r="EGG130" s="118"/>
      <c r="EGH130" s="118"/>
      <c r="EGI130" s="118"/>
      <c r="EGJ130" s="118"/>
      <c r="EGK130" s="118"/>
      <c r="EGL130" s="118"/>
      <c r="EGM130" s="118"/>
      <c r="EGN130" s="118"/>
      <c r="EGO130" s="118"/>
      <c r="EGP130" s="118"/>
      <c r="EGQ130" s="118"/>
      <c r="EGR130" s="118"/>
      <c r="EGS130" s="118"/>
      <c r="EGT130" s="118"/>
      <c r="EGU130" s="118"/>
      <c r="EGV130" s="118"/>
      <c r="EGW130" s="118"/>
      <c r="EGX130" s="118"/>
      <c r="EGY130" s="118"/>
      <c r="EGZ130" s="118"/>
      <c r="EHA130" s="118"/>
      <c r="EHB130" s="118"/>
      <c r="EHC130" s="118"/>
      <c r="EHD130" s="118"/>
      <c r="EHE130" s="118"/>
      <c r="EHF130" s="118"/>
      <c r="EHG130" s="118"/>
      <c r="EHH130" s="118"/>
      <c r="EHI130" s="118"/>
      <c r="EHJ130" s="118"/>
      <c r="EHK130" s="118"/>
      <c r="EHL130" s="118"/>
      <c r="EHM130" s="118"/>
      <c r="EHN130" s="118"/>
      <c r="EHO130" s="118"/>
      <c r="EHP130" s="118"/>
      <c r="EHQ130" s="118"/>
      <c r="EHR130" s="118"/>
      <c r="EHS130" s="118"/>
      <c r="EHT130" s="118"/>
      <c r="EHU130" s="118"/>
      <c r="EHV130" s="118"/>
      <c r="EHW130" s="118"/>
      <c r="EHX130" s="118"/>
      <c r="EHY130" s="118"/>
      <c r="EHZ130" s="118"/>
      <c r="EIA130" s="118"/>
      <c r="EIB130" s="118"/>
      <c r="EIC130" s="118"/>
      <c r="EID130" s="118"/>
      <c r="EIE130" s="118"/>
      <c r="EIF130" s="118"/>
      <c r="EIG130" s="118"/>
      <c r="EIH130" s="118"/>
      <c r="EII130" s="118"/>
      <c r="EIJ130" s="118"/>
      <c r="EIK130" s="118"/>
      <c r="EIL130" s="118"/>
      <c r="EIM130" s="118"/>
      <c r="EIN130" s="118"/>
      <c r="EIO130" s="118"/>
      <c r="EIP130" s="118"/>
      <c r="EIQ130" s="118"/>
      <c r="EIR130" s="118"/>
      <c r="EIS130" s="118"/>
      <c r="EIT130" s="118"/>
      <c r="EIU130" s="118"/>
      <c r="EIV130" s="118"/>
      <c r="EIW130" s="118"/>
      <c r="EIX130" s="118"/>
      <c r="EIY130" s="118"/>
      <c r="EIZ130" s="118"/>
      <c r="EJA130" s="118"/>
      <c r="EJB130" s="118"/>
      <c r="EJC130" s="118"/>
      <c r="EJD130" s="118"/>
      <c r="EJE130" s="118"/>
      <c r="EJF130" s="118"/>
      <c r="EJG130" s="118"/>
      <c r="EJH130" s="118"/>
      <c r="EJI130" s="118"/>
      <c r="EJJ130" s="118"/>
      <c r="EJK130" s="118"/>
      <c r="EJL130" s="118"/>
      <c r="EJM130" s="118"/>
      <c r="EJN130" s="118"/>
      <c r="EJO130" s="118"/>
      <c r="EJP130" s="118"/>
      <c r="EJQ130" s="118"/>
      <c r="EJR130" s="118"/>
      <c r="EJS130" s="118"/>
      <c r="EJT130" s="118"/>
      <c r="EJU130" s="118"/>
      <c r="EJV130" s="118"/>
      <c r="EJW130" s="118"/>
      <c r="EJX130" s="118"/>
      <c r="EJY130" s="118"/>
      <c r="EJZ130" s="118"/>
      <c r="EKA130" s="118"/>
      <c r="EKB130" s="118"/>
      <c r="EKC130" s="118"/>
      <c r="EKD130" s="118"/>
      <c r="EKE130" s="118"/>
      <c r="EKF130" s="118"/>
      <c r="EKG130" s="118"/>
      <c r="EKH130" s="118"/>
      <c r="EKI130" s="118"/>
      <c r="EKJ130" s="118"/>
      <c r="EKK130" s="118"/>
      <c r="EKL130" s="118"/>
      <c r="EKM130" s="118"/>
      <c r="EKN130" s="118"/>
      <c r="EKO130" s="118"/>
      <c r="EKP130" s="118"/>
      <c r="EKQ130" s="118"/>
      <c r="EKR130" s="118"/>
      <c r="EKS130" s="118"/>
      <c r="EKT130" s="118"/>
      <c r="EKU130" s="118"/>
      <c r="EKV130" s="118"/>
      <c r="EKW130" s="118"/>
      <c r="EKX130" s="118"/>
      <c r="EKY130" s="118"/>
      <c r="EKZ130" s="118"/>
      <c r="ELA130" s="118"/>
      <c r="ELB130" s="118"/>
      <c r="ELC130" s="118"/>
      <c r="ELD130" s="118"/>
      <c r="ELE130" s="118"/>
      <c r="ELF130" s="118"/>
      <c r="ELG130" s="118"/>
      <c r="ELH130" s="118"/>
      <c r="ELI130" s="118"/>
      <c r="ELJ130" s="118"/>
      <c r="ELK130" s="118"/>
      <c r="ELL130" s="118"/>
      <c r="ELM130" s="118"/>
      <c r="ELN130" s="118"/>
      <c r="ELO130" s="118"/>
      <c r="ELP130" s="118"/>
      <c r="ELQ130" s="118"/>
      <c r="ELR130" s="118"/>
      <c r="ELS130" s="118"/>
      <c r="ELT130" s="118"/>
      <c r="ELU130" s="118"/>
      <c r="ELV130" s="118"/>
      <c r="ELW130" s="118"/>
      <c r="ELX130" s="118"/>
      <c r="ELY130" s="118"/>
      <c r="ELZ130" s="118"/>
      <c r="EMA130" s="118"/>
      <c r="EMB130" s="118"/>
      <c r="EMC130" s="118"/>
      <c r="EMD130" s="118"/>
      <c r="EME130" s="118"/>
      <c r="EMF130" s="118"/>
      <c r="EMG130" s="118"/>
      <c r="EMH130" s="118"/>
      <c r="EMI130" s="118"/>
      <c r="EMJ130" s="118"/>
      <c r="EMK130" s="118"/>
      <c r="EML130" s="118"/>
      <c r="EMM130" s="118"/>
      <c r="EMN130" s="118"/>
      <c r="EMO130" s="118"/>
      <c r="EMP130" s="118"/>
      <c r="EMQ130" s="118"/>
      <c r="EMR130" s="118"/>
      <c r="EMS130" s="118"/>
      <c r="EMT130" s="118"/>
      <c r="EMU130" s="118"/>
      <c r="EMV130" s="118"/>
      <c r="EMW130" s="118"/>
      <c r="EMX130" s="118"/>
      <c r="EMY130" s="118"/>
      <c r="EMZ130" s="118"/>
      <c r="ENA130" s="118"/>
      <c r="ENB130" s="118"/>
      <c r="ENC130" s="118"/>
      <c r="END130" s="118"/>
      <c r="ENE130" s="118"/>
      <c r="ENF130" s="118"/>
      <c r="ENG130" s="118"/>
      <c r="ENH130" s="118"/>
      <c r="ENI130" s="118"/>
      <c r="ENJ130" s="118"/>
      <c r="ENK130" s="118"/>
      <c r="ENL130" s="118"/>
      <c r="ENM130" s="118"/>
      <c r="ENN130" s="118"/>
      <c r="ENO130" s="118"/>
      <c r="ENP130" s="118"/>
      <c r="ENQ130" s="118"/>
      <c r="ENR130" s="118"/>
      <c r="ENS130" s="118"/>
      <c r="ENT130" s="118"/>
      <c r="ENU130" s="118"/>
      <c r="ENV130" s="118"/>
      <c r="ENW130" s="118"/>
      <c r="ENX130" s="118"/>
      <c r="ENY130" s="118"/>
      <c r="ENZ130" s="118"/>
      <c r="EOA130" s="118"/>
      <c r="EOB130" s="118"/>
      <c r="EOC130" s="118"/>
      <c r="EOD130" s="118"/>
      <c r="EOE130" s="118"/>
      <c r="EOF130" s="118"/>
      <c r="EOG130" s="118"/>
      <c r="EOH130" s="118"/>
      <c r="EOI130" s="118"/>
      <c r="EOJ130" s="118"/>
      <c r="EOK130" s="118"/>
      <c r="EOL130" s="118"/>
      <c r="EOM130" s="118"/>
      <c r="EON130" s="118"/>
      <c r="EOO130" s="118"/>
      <c r="EOP130" s="118"/>
      <c r="EOQ130" s="118"/>
      <c r="EOR130" s="118"/>
      <c r="EOS130" s="118"/>
      <c r="EOT130" s="118"/>
      <c r="EOU130" s="118"/>
      <c r="EOV130" s="118"/>
      <c r="EOW130" s="118"/>
      <c r="EOX130" s="118"/>
      <c r="EOY130" s="118"/>
      <c r="EOZ130" s="118"/>
      <c r="EPA130" s="118"/>
      <c r="EPB130" s="118"/>
      <c r="EPC130" s="118"/>
      <c r="EPD130" s="118"/>
      <c r="EPE130" s="118"/>
      <c r="EPF130" s="118"/>
      <c r="EPG130" s="118"/>
      <c r="EPH130" s="118"/>
      <c r="EPI130" s="118"/>
      <c r="EPJ130" s="118"/>
      <c r="EPK130" s="118"/>
      <c r="EPL130" s="118"/>
      <c r="EPM130" s="118"/>
      <c r="EPN130" s="118"/>
      <c r="EPO130" s="118"/>
      <c r="EPP130" s="118"/>
      <c r="EPQ130" s="118"/>
      <c r="EPR130" s="118"/>
      <c r="EPS130" s="118"/>
      <c r="EPT130" s="118"/>
      <c r="EPU130" s="118"/>
      <c r="EPV130" s="118"/>
      <c r="EPW130" s="118"/>
      <c r="EPX130" s="118"/>
      <c r="EPY130" s="118"/>
      <c r="EPZ130" s="118"/>
      <c r="EQA130" s="118"/>
      <c r="EQB130" s="118"/>
      <c r="EQC130" s="118"/>
      <c r="EQD130" s="118"/>
      <c r="EQE130" s="118"/>
      <c r="EQF130" s="118"/>
      <c r="EQG130" s="118"/>
      <c r="EQH130" s="118"/>
      <c r="EQI130" s="118"/>
      <c r="EQJ130" s="118"/>
      <c r="EQK130" s="118"/>
      <c r="EQL130" s="118"/>
      <c r="EQM130" s="118"/>
      <c r="EQN130" s="118"/>
      <c r="EQO130" s="118"/>
      <c r="EQP130" s="118"/>
      <c r="EQQ130" s="118"/>
      <c r="EQR130" s="118"/>
      <c r="EQS130" s="118"/>
      <c r="EQT130" s="118"/>
      <c r="EQU130" s="118"/>
      <c r="EQV130" s="118"/>
      <c r="EQW130" s="118"/>
      <c r="EQX130" s="118"/>
      <c r="EQY130" s="118"/>
      <c r="EQZ130" s="118"/>
      <c r="ERA130" s="118"/>
      <c r="ERB130" s="118"/>
      <c r="ERC130" s="118"/>
      <c r="ERD130" s="118"/>
      <c r="ERE130" s="118"/>
      <c r="ERF130" s="118"/>
      <c r="ERG130" s="118"/>
      <c r="ERH130" s="118"/>
      <c r="ERI130" s="118"/>
      <c r="ERJ130" s="118"/>
      <c r="ERK130" s="118"/>
      <c r="ERL130" s="118"/>
      <c r="ERM130" s="118"/>
      <c r="ERN130" s="118"/>
      <c r="ERO130" s="118"/>
      <c r="ERP130" s="118"/>
      <c r="ERQ130" s="118"/>
      <c r="ERR130" s="118"/>
      <c r="ERS130" s="118"/>
      <c r="ERT130" s="118"/>
      <c r="ERU130" s="118"/>
      <c r="ERV130" s="118"/>
      <c r="ERW130" s="118"/>
      <c r="ERX130" s="118"/>
      <c r="ERY130" s="118"/>
      <c r="ERZ130" s="118"/>
      <c r="ESA130" s="118"/>
      <c r="ESB130" s="118"/>
      <c r="ESC130" s="118"/>
      <c r="ESD130" s="118"/>
      <c r="ESE130" s="118"/>
      <c r="ESF130" s="118"/>
      <c r="ESG130" s="118"/>
      <c r="ESH130" s="118"/>
      <c r="ESI130" s="118"/>
      <c r="ESJ130" s="118"/>
      <c r="ESK130" s="118"/>
      <c r="ESL130" s="118"/>
      <c r="ESM130" s="118"/>
      <c r="ESN130" s="118"/>
      <c r="ESO130" s="118"/>
      <c r="ESP130" s="118"/>
      <c r="ESQ130" s="118"/>
      <c r="ESR130" s="118"/>
      <c r="ESS130" s="118"/>
      <c r="EST130" s="118"/>
      <c r="ESU130" s="118"/>
      <c r="ESV130" s="118"/>
      <c r="ESW130" s="118"/>
      <c r="ESX130" s="118"/>
      <c r="ESY130" s="118"/>
      <c r="ESZ130" s="118"/>
      <c r="ETA130" s="118"/>
      <c r="ETB130" s="118"/>
      <c r="ETC130" s="118"/>
      <c r="ETD130" s="118"/>
      <c r="ETE130" s="118"/>
      <c r="ETF130" s="118"/>
      <c r="ETG130" s="118"/>
      <c r="ETH130" s="118"/>
      <c r="ETI130" s="118"/>
      <c r="ETJ130" s="118"/>
      <c r="ETK130" s="118"/>
      <c r="ETL130" s="118"/>
      <c r="ETM130" s="118"/>
      <c r="ETN130" s="118"/>
      <c r="ETO130" s="118"/>
      <c r="ETP130" s="118"/>
      <c r="ETQ130" s="118"/>
      <c r="ETR130" s="118"/>
      <c r="ETS130" s="118"/>
      <c r="ETT130" s="118"/>
      <c r="ETU130" s="118"/>
      <c r="ETV130" s="118"/>
      <c r="ETW130" s="118"/>
      <c r="ETX130" s="118"/>
      <c r="ETY130" s="118"/>
      <c r="ETZ130" s="118"/>
      <c r="EUA130" s="118"/>
      <c r="EUB130" s="118"/>
      <c r="EUC130" s="118"/>
      <c r="EUD130" s="118"/>
      <c r="EUE130" s="118"/>
      <c r="EUF130" s="118"/>
      <c r="EUG130" s="118"/>
      <c r="EUH130" s="118"/>
      <c r="EUI130" s="118"/>
      <c r="EUJ130" s="118"/>
      <c r="EUK130" s="118"/>
      <c r="EUL130" s="118"/>
      <c r="EUM130" s="118"/>
      <c r="EUN130" s="118"/>
      <c r="EUO130" s="118"/>
      <c r="EUP130" s="118"/>
      <c r="EUQ130" s="118"/>
      <c r="EUR130" s="118"/>
      <c r="EUS130" s="118"/>
      <c r="EUT130" s="118"/>
      <c r="EUU130" s="118"/>
      <c r="EUV130" s="118"/>
      <c r="EUW130" s="118"/>
      <c r="EUX130" s="118"/>
      <c r="EUY130" s="118"/>
      <c r="EUZ130" s="118"/>
      <c r="EVA130" s="118"/>
      <c r="EVB130" s="118"/>
      <c r="EVC130" s="118"/>
      <c r="EVD130" s="118"/>
      <c r="EVE130" s="118"/>
      <c r="EVF130" s="118"/>
      <c r="EVG130" s="118"/>
      <c r="EVH130" s="118"/>
      <c r="EVI130" s="118"/>
      <c r="EVJ130" s="118"/>
      <c r="EVK130" s="118"/>
      <c r="EVL130" s="118"/>
      <c r="EVM130" s="118"/>
      <c r="EVN130" s="118"/>
      <c r="EVO130" s="118"/>
      <c r="EVP130" s="118"/>
      <c r="EVQ130" s="118"/>
      <c r="EVR130" s="118"/>
      <c r="EVS130" s="118"/>
      <c r="EVT130" s="118"/>
      <c r="EVU130" s="118"/>
      <c r="EVV130" s="118"/>
      <c r="EVW130" s="118"/>
      <c r="EVX130" s="118"/>
      <c r="EVY130" s="118"/>
      <c r="EVZ130" s="118"/>
      <c r="EWA130" s="118"/>
      <c r="EWB130" s="118"/>
      <c r="EWC130" s="118"/>
      <c r="EWD130" s="118"/>
      <c r="EWE130" s="118"/>
      <c r="EWF130" s="118"/>
      <c r="EWG130" s="118"/>
      <c r="EWH130" s="118"/>
      <c r="EWI130" s="118"/>
      <c r="EWJ130" s="118"/>
      <c r="EWK130" s="118"/>
      <c r="EWL130" s="118"/>
      <c r="EWM130" s="118"/>
      <c r="EWN130" s="118"/>
      <c r="EWO130" s="118"/>
      <c r="EWP130" s="118"/>
      <c r="EWQ130" s="118"/>
      <c r="EWR130" s="118"/>
      <c r="EWS130" s="118"/>
      <c r="EWT130" s="118"/>
      <c r="EWU130" s="118"/>
      <c r="EWV130" s="118"/>
      <c r="EWW130" s="118"/>
      <c r="EWX130" s="118"/>
      <c r="EWY130" s="118"/>
      <c r="EWZ130" s="118"/>
      <c r="EXA130" s="118"/>
      <c r="EXB130" s="118"/>
      <c r="EXC130" s="118"/>
      <c r="EXD130" s="118"/>
      <c r="EXE130" s="118"/>
      <c r="EXF130" s="118"/>
      <c r="EXG130" s="118"/>
      <c r="EXH130" s="118"/>
      <c r="EXI130" s="118"/>
      <c r="EXJ130" s="118"/>
      <c r="EXK130" s="118"/>
      <c r="EXL130" s="118"/>
      <c r="EXM130" s="118"/>
      <c r="EXN130" s="118"/>
      <c r="EXO130" s="118"/>
      <c r="EXP130" s="118"/>
      <c r="EXQ130" s="118"/>
      <c r="EXR130" s="118"/>
      <c r="EXS130" s="118"/>
      <c r="EXT130" s="118"/>
      <c r="EXU130" s="118"/>
      <c r="EXV130" s="118"/>
      <c r="EXW130" s="118"/>
      <c r="EXX130" s="118"/>
      <c r="EXY130" s="118"/>
      <c r="EXZ130" s="118"/>
      <c r="EYA130" s="118"/>
      <c r="EYB130" s="118"/>
      <c r="EYC130" s="118"/>
      <c r="EYD130" s="118"/>
      <c r="EYE130" s="118"/>
      <c r="EYF130" s="118"/>
      <c r="EYG130" s="118"/>
      <c r="EYH130" s="118"/>
      <c r="EYI130" s="118"/>
      <c r="EYJ130" s="118"/>
      <c r="EYK130" s="118"/>
      <c r="EYL130" s="118"/>
      <c r="EYM130" s="118"/>
      <c r="EYN130" s="118"/>
      <c r="EYO130" s="118"/>
      <c r="EYP130" s="118"/>
      <c r="EYQ130" s="118"/>
      <c r="EYR130" s="118"/>
      <c r="EYS130" s="118"/>
      <c r="EYT130" s="118"/>
      <c r="EYU130" s="118"/>
      <c r="EYV130" s="118"/>
      <c r="EYW130" s="118"/>
      <c r="EYX130" s="118"/>
      <c r="EYY130" s="118"/>
      <c r="EYZ130" s="118"/>
      <c r="EZA130" s="118"/>
      <c r="EZB130" s="118"/>
      <c r="EZC130" s="118"/>
      <c r="EZD130" s="118"/>
      <c r="EZE130" s="118"/>
      <c r="EZF130" s="118"/>
      <c r="EZG130" s="118"/>
      <c r="EZH130" s="118"/>
      <c r="EZI130" s="118"/>
      <c r="EZJ130" s="118"/>
      <c r="EZK130" s="118"/>
      <c r="EZL130" s="118"/>
      <c r="EZM130" s="118"/>
      <c r="EZN130" s="118"/>
      <c r="EZO130" s="118"/>
      <c r="EZP130" s="118"/>
      <c r="EZQ130" s="118"/>
      <c r="EZR130" s="118"/>
      <c r="EZS130" s="118"/>
      <c r="EZT130" s="118"/>
      <c r="EZU130" s="118"/>
      <c r="EZV130" s="118"/>
      <c r="EZW130" s="118"/>
      <c r="EZX130" s="118"/>
      <c r="EZY130" s="118"/>
      <c r="EZZ130" s="118"/>
      <c r="FAA130" s="118"/>
      <c r="FAB130" s="118"/>
      <c r="FAC130" s="118"/>
      <c r="FAD130" s="118"/>
      <c r="FAE130" s="118"/>
      <c r="FAF130" s="118"/>
      <c r="FAG130" s="118"/>
      <c r="FAH130" s="118"/>
      <c r="FAI130" s="118"/>
      <c r="FAJ130" s="118"/>
      <c r="FAK130" s="118"/>
      <c r="FAL130" s="118"/>
      <c r="FAM130" s="118"/>
      <c r="FAN130" s="118"/>
      <c r="FAO130" s="118"/>
      <c r="FAP130" s="118"/>
      <c r="FAQ130" s="118"/>
      <c r="FAR130" s="118"/>
      <c r="FAS130" s="118"/>
      <c r="FAT130" s="118"/>
      <c r="FAU130" s="118"/>
      <c r="FAV130" s="118"/>
      <c r="FAW130" s="118"/>
      <c r="FAX130" s="118"/>
      <c r="FAY130" s="118"/>
      <c r="FAZ130" s="118"/>
      <c r="FBA130" s="118"/>
      <c r="FBB130" s="118"/>
      <c r="FBC130" s="118"/>
      <c r="FBD130" s="118"/>
      <c r="FBE130" s="118"/>
      <c r="FBF130" s="118"/>
      <c r="FBG130" s="118"/>
      <c r="FBH130" s="118"/>
      <c r="FBI130" s="118"/>
      <c r="FBJ130" s="118"/>
      <c r="FBK130" s="118"/>
      <c r="FBL130" s="118"/>
      <c r="FBM130" s="118"/>
      <c r="FBN130" s="118"/>
      <c r="FBO130" s="118"/>
      <c r="FBP130" s="118"/>
      <c r="FBQ130" s="118"/>
      <c r="FBR130" s="118"/>
      <c r="FBS130" s="118"/>
      <c r="FBT130" s="118"/>
      <c r="FBU130" s="118"/>
      <c r="FBV130" s="118"/>
      <c r="FBW130" s="118"/>
      <c r="FBX130" s="118"/>
      <c r="FBY130" s="118"/>
      <c r="FBZ130" s="118"/>
      <c r="FCA130" s="118"/>
      <c r="FCB130" s="118"/>
      <c r="FCC130" s="118"/>
      <c r="FCD130" s="118"/>
      <c r="FCE130" s="118"/>
      <c r="FCF130" s="118"/>
      <c r="FCG130" s="118"/>
      <c r="FCH130" s="118"/>
      <c r="FCI130" s="118"/>
      <c r="FCJ130" s="118"/>
      <c r="FCK130" s="118"/>
      <c r="FCL130" s="118"/>
      <c r="FCM130" s="118"/>
      <c r="FCN130" s="118"/>
      <c r="FCO130" s="118"/>
      <c r="FCP130" s="118"/>
      <c r="FCQ130" s="118"/>
      <c r="FCR130" s="118"/>
      <c r="FCS130" s="118"/>
      <c r="FCT130" s="118"/>
      <c r="FCU130" s="118"/>
      <c r="FCV130" s="118"/>
      <c r="FCW130" s="118"/>
      <c r="FCX130" s="118"/>
      <c r="FCY130" s="118"/>
      <c r="FCZ130" s="118"/>
      <c r="FDA130" s="118"/>
      <c r="FDB130" s="118"/>
      <c r="FDC130" s="118"/>
      <c r="FDD130" s="118"/>
      <c r="FDE130" s="118"/>
      <c r="FDF130" s="118"/>
      <c r="FDG130" s="118"/>
      <c r="FDH130" s="118"/>
      <c r="FDI130" s="118"/>
      <c r="FDJ130" s="118"/>
      <c r="FDK130" s="118"/>
      <c r="FDL130" s="118"/>
      <c r="FDM130" s="118"/>
      <c r="FDN130" s="118"/>
      <c r="FDO130" s="118"/>
      <c r="FDP130" s="118"/>
      <c r="FDQ130" s="118"/>
      <c r="FDR130" s="118"/>
      <c r="FDS130" s="118"/>
      <c r="FDT130" s="118"/>
      <c r="FDU130" s="118"/>
      <c r="FDV130" s="118"/>
      <c r="FDW130" s="118"/>
      <c r="FDX130" s="118"/>
      <c r="FDY130" s="118"/>
      <c r="FDZ130" s="118"/>
      <c r="FEA130" s="118"/>
      <c r="FEB130" s="118"/>
      <c r="FEC130" s="118"/>
      <c r="FED130" s="118"/>
      <c r="FEE130" s="118"/>
      <c r="FEF130" s="118"/>
      <c r="FEG130" s="118"/>
      <c r="FEH130" s="118"/>
      <c r="FEI130" s="118"/>
      <c r="FEJ130" s="118"/>
      <c r="FEK130" s="118"/>
      <c r="FEL130" s="118"/>
      <c r="FEM130" s="118"/>
      <c r="FEN130" s="118"/>
      <c r="FEO130" s="118"/>
      <c r="FEP130" s="118"/>
      <c r="FEQ130" s="118"/>
      <c r="FER130" s="118"/>
      <c r="FES130" s="118"/>
      <c r="FET130" s="118"/>
      <c r="FEU130" s="118"/>
      <c r="FEV130" s="118"/>
      <c r="FEW130" s="118"/>
      <c r="FEX130" s="118"/>
      <c r="FEY130" s="118"/>
      <c r="FEZ130" s="118"/>
      <c r="FFA130" s="118"/>
      <c r="FFB130" s="118"/>
      <c r="FFC130" s="118"/>
      <c r="FFD130" s="118"/>
      <c r="FFE130" s="118"/>
      <c r="FFF130" s="118"/>
      <c r="FFG130" s="118"/>
      <c r="FFH130" s="118"/>
      <c r="FFI130" s="118"/>
      <c r="FFJ130" s="118"/>
      <c r="FFK130" s="118"/>
      <c r="FFL130" s="118"/>
      <c r="FFM130" s="118"/>
      <c r="FFN130" s="118"/>
      <c r="FFO130" s="118"/>
      <c r="FFP130" s="118"/>
      <c r="FFQ130" s="118"/>
      <c r="FFR130" s="118"/>
      <c r="FFS130" s="118"/>
      <c r="FFT130" s="118"/>
      <c r="FFU130" s="118"/>
      <c r="FFV130" s="118"/>
      <c r="FFW130" s="118"/>
      <c r="FFX130" s="118"/>
      <c r="FFY130" s="118"/>
      <c r="FFZ130" s="118"/>
      <c r="FGA130" s="118"/>
      <c r="FGB130" s="118"/>
      <c r="FGC130" s="118"/>
      <c r="FGD130" s="118"/>
      <c r="FGE130" s="118"/>
      <c r="FGF130" s="118"/>
      <c r="FGG130" s="118"/>
      <c r="FGH130" s="118"/>
      <c r="FGI130" s="118"/>
      <c r="FGJ130" s="118"/>
      <c r="FGK130" s="118"/>
      <c r="FGL130" s="118"/>
      <c r="FGM130" s="118"/>
      <c r="FGN130" s="118"/>
      <c r="FGO130" s="118"/>
      <c r="FGP130" s="118"/>
      <c r="FGQ130" s="118"/>
      <c r="FGR130" s="118"/>
      <c r="FGS130" s="118"/>
      <c r="FGT130" s="118"/>
      <c r="FGU130" s="118"/>
      <c r="FGV130" s="118"/>
      <c r="FGW130" s="118"/>
      <c r="FGX130" s="118"/>
      <c r="FGY130" s="118"/>
      <c r="FGZ130" s="118"/>
      <c r="FHA130" s="118"/>
      <c r="FHB130" s="118"/>
      <c r="FHC130" s="118"/>
      <c r="FHD130" s="118"/>
      <c r="FHE130" s="118"/>
      <c r="FHF130" s="118"/>
      <c r="FHG130" s="118"/>
      <c r="FHH130" s="118"/>
      <c r="FHI130" s="118"/>
      <c r="FHJ130" s="118"/>
      <c r="FHK130" s="118"/>
      <c r="FHL130" s="118"/>
      <c r="FHM130" s="118"/>
      <c r="FHN130" s="118"/>
      <c r="FHO130" s="118"/>
      <c r="FHP130" s="118"/>
      <c r="FHQ130" s="118"/>
      <c r="FHR130" s="118"/>
      <c r="FHS130" s="118"/>
      <c r="FHT130" s="118"/>
      <c r="FHU130" s="118"/>
      <c r="FHV130" s="118"/>
      <c r="FHW130" s="118"/>
      <c r="FHX130" s="118"/>
      <c r="FHY130" s="118"/>
      <c r="FHZ130" s="118"/>
      <c r="FIA130" s="118"/>
      <c r="FIB130" s="118"/>
      <c r="FIC130" s="118"/>
      <c r="FID130" s="118"/>
      <c r="FIE130" s="118"/>
      <c r="FIF130" s="118"/>
      <c r="FIG130" s="118"/>
      <c r="FIH130" s="118"/>
      <c r="FII130" s="118"/>
      <c r="FIJ130" s="118"/>
      <c r="FIK130" s="118"/>
      <c r="FIL130" s="118"/>
      <c r="FIM130" s="118"/>
      <c r="FIN130" s="118"/>
      <c r="FIO130" s="118"/>
      <c r="FIP130" s="118"/>
      <c r="FIQ130" s="118"/>
      <c r="FIR130" s="118"/>
      <c r="FIS130" s="118"/>
      <c r="FIT130" s="118"/>
      <c r="FIU130" s="118"/>
      <c r="FIV130" s="118"/>
      <c r="FIW130" s="118"/>
      <c r="FIX130" s="118"/>
      <c r="FIY130" s="118"/>
      <c r="FIZ130" s="118"/>
      <c r="FJA130" s="118"/>
      <c r="FJB130" s="118"/>
      <c r="FJC130" s="118"/>
      <c r="FJD130" s="118"/>
      <c r="FJE130" s="118"/>
      <c r="FJF130" s="118"/>
      <c r="FJG130" s="118"/>
      <c r="FJH130" s="118"/>
      <c r="FJI130" s="118"/>
      <c r="FJJ130" s="118"/>
      <c r="FJK130" s="118"/>
      <c r="FJL130" s="118"/>
      <c r="FJM130" s="118"/>
      <c r="FJN130" s="118"/>
      <c r="FJO130" s="118"/>
      <c r="FJP130" s="118"/>
      <c r="FJQ130" s="118"/>
      <c r="FJR130" s="118"/>
      <c r="FJS130" s="118"/>
      <c r="FJT130" s="118"/>
      <c r="FJU130" s="118"/>
      <c r="FJV130" s="118"/>
      <c r="FJW130" s="118"/>
      <c r="FJX130" s="118"/>
      <c r="FJY130" s="118"/>
      <c r="FJZ130" s="118"/>
      <c r="FKA130" s="118"/>
      <c r="FKB130" s="118"/>
      <c r="FKC130" s="118"/>
      <c r="FKD130" s="118"/>
      <c r="FKE130" s="118"/>
      <c r="FKF130" s="118"/>
      <c r="FKG130" s="118"/>
      <c r="FKH130" s="118"/>
      <c r="FKI130" s="118"/>
      <c r="FKJ130" s="118"/>
      <c r="FKK130" s="118"/>
      <c r="FKL130" s="118"/>
      <c r="FKM130" s="118"/>
      <c r="FKN130" s="118"/>
      <c r="FKO130" s="118"/>
      <c r="FKP130" s="118"/>
      <c r="FKQ130" s="118"/>
      <c r="FKR130" s="118"/>
      <c r="FKS130" s="118"/>
      <c r="FKT130" s="118"/>
      <c r="FKU130" s="118"/>
      <c r="FKV130" s="118"/>
      <c r="FKW130" s="118"/>
      <c r="FKX130" s="118"/>
      <c r="FKY130" s="118"/>
      <c r="FKZ130" s="118"/>
      <c r="FLA130" s="118"/>
      <c r="FLB130" s="118"/>
      <c r="FLC130" s="118"/>
      <c r="FLD130" s="118"/>
      <c r="FLE130" s="118"/>
      <c r="FLF130" s="118"/>
      <c r="FLG130" s="118"/>
      <c r="FLH130" s="118"/>
      <c r="FLI130" s="118"/>
      <c r="FLJ130" s="118"/>
      <c r="FLK130" s="118"/>
      <c r="FLL130" s="118"/>
      <c r="FLM130" s="118"/>
      <c r="FLN130" s="118"/>
      <c r="FLO130" s="118"/>
      <c r="FLP130" s="118"/>
      <c r="FLQ130" s="118"/>
      <c r="FLR130" s="118"/>
      <c r="FLS130" s="118"/>
      <c r="FLT130" s="118"/>
      <c r="FLU130" s="118"/>
      <c r="FLV130" s="118"/>
      <c r="FLW130" s="118"/>
      <c r="FLX130" s="118"/>
      <c r="FLY130" s="118"/>
      <c r="FLZ130" s="118"/>
      <c r="FMA130" s="118"/>
      <c r="FMB130" s="118"/>
      <c r="FMC130" s="118"/>
      <c r="FMD130" s="118"/>
      <c r="FME130" s="118"/>
      <c r="FMF130" s="118"/>
      <c r="FMG130" s="118"/>
      <c r="FMH130" s="118"/>
      <c r="FMI130" s="118"/>
      <c r="FMJ130" s="118"/>
      <c r="FMK130" s="118"/>
      <c r="FML130" s="118"/>
      <c r="FMM130" s="118"/>
      <c r="FMN130" s="118"/>
      <c r="FMO130" s="118"/>
      <c r="FMP130" s="118"/>
      <c r="FMQ130" s="118"/>
      <c r="FMR130" s="118"/>
      <c r="FMS130" s="118"/>
      <c r="FMT130" s="118"/>
      <c r="FMU130" s="118"/>
      <c r="FMV130" s="118"/>
      <c r="FMW130" s="118"/>
      <c r="FMX130" s="118"/>
      <c r="FMY130" s="118"/>
      <c r="FMZ130" s="118"/>
      <c r="FNA130" s="118"/>
      <c r="FNB130" s="118"/>
      <c r="FNC130" s="118"/>
      <c r="FND130" s="118"/>
      <c r="FNE130" s="118"/>
      <c r="FNF130" s="118"/>
      <c r="FNG130" s="118"/>
      <c r="FNH130" s="118"/>
      <c r="FNI130" s="118"/>
      <c r="FNJ130" s="118"/>
      <c r="FNK130" s="118"/>
      <c r="FNL130" s="118"/>
      <c r="FNM130" s="118"/>
      <c r="FNN130" s="118"/>
      <c r="FNO130" s="118"/>
      <c r="FNP130" s="118"/>
      <c r="FNQ130" s="118"/>
      <c r="FNR130" s="118"/>
      <c r="FNS130" s="118"/>
      <c r="FNT130" s="118"/>
      <c r="FNU130" s="118"/>
      <c r="FNV130" s="118"/>
      <c r="FNW130" s="118"/>
      <c r="FNX130" s="118"/>
      <c r="FNY130" s="118"/>
      <c r="FNZ130" s="118"/>
      <c r="FOA130" s="118"/>
      <c r="FOB130" s="118"/>
      <c r="FOC130" s="118"/>
      <c r="FOD130" s="118"/>
      <c r="FOE130" s="118"/>
      <c r="FOF130" s="118"/>
      <c r="FOG130" s="118"/>
      <c r="FOH130" s="118"/>
      <c r="FOI130" s="118"/>
      <c r="FOJ130" s="118"/>
      <c r="FOK130" s="118"/>
      <c r="FOL130" s="118"/>
      <c r="FOM130" s="118"/>
      <c r="FON130" s="118"/>
      <c r="FOO130" s="118"/>
      <c r="FOP130" s="118"/>
      <c r="FOQ130" s="118"/>
      <c r="FOR130" s="118"/>
      <c r="FOS130" s="118"/>
      <c r="FOT130" s="118"/>
      <c r="FOU130" s="118"/>
      <c r="FOV130" s="118"/>
      <c r="FOW130" s="118"/>
      <c r="FOX130" s="118"/>
      <c r="FOY130" s="118"/>
      <c r="FOZ130" s="118"/>
      <c r="FPA130" s="118"/>
      <c r="FPB130" s="118"/>
      <c r="FPC130" s="118"/>
      <c r="FPD130" s="118"/>
      <c r="FPE130" s="118"/>
      <c r="FPF130" s="118"/>
      <c r="FPG130" s="118"/>
      <c r="FPH130" s="118"/>
      <c r="FPI130" s="118"/>
      <c r="FPJ130" s="118"/>
      <c r="FPK130" s="118"/>
      <c r="FPL130" s="118"/>
      <c r="FPM130" s="118"/>
      <c r="FPN130" s="118"/>
      <c r="FPO130" s="118"/>
      <c r="FPP130" s="118"/>
      <c r="FPQ130" s="118"/>
      <c r="FPR130" s="118"/>
      <c r="FPS130" s="118"/>
      <c r="FPT130" s="118"/>
      <c r="FPU130" s="118"/>
      <c r="FPV130" s="118"/>
      <c r="FPW130" s="118"/>
      <c r="FPX130" s="118"/>
      <c r="FPY130" s="118"/>
      <c r="FPZ130" s="118"/>
      <c r="FQA130" s="118"/>
      <c r="FQB130" s="118"/>
      <c r="FQC130" s="118"/>
      <c r="FQD130" s="118"/>
      <c r="FQE130" s="118"/>
      <c r="FQF130" s="118"/>
      <c r="FQG130" s="118"/>
      <c r="FQH130" s="118"/>
      <c r="FQI130" s="118"/>
      <c r="FQJ130" s="118"/>
      <c r="FQK130" s="118"/>
      <c r="FQL130" s="118"/>
      <c r="FQM130" s="118"/>
      <c r="FQN130" s="118"/>
      <c r="FQO130" s="118"/>
      <c r="FQP130" s="118"/>
      <c r="FQQ130" s="118"/>
      <c r="FQR130" s="118"/>
      <c r="FQS130" s="118"/>
      <c r="FQT130" s="118"/>
      <c r="FQU130" s="118"/>
      <c r="FQV130" s="118"/>
      <c r="FQW130" s="118"/>
      <c r="FQX130" s="118"/>
      <c r="FQY130" s="118"/>
      <c r="FQZ130" s="118"/>
      <c r="FRA130" s="118"/>
      <c r="FRB130" s="118"/>
      <c r="FRC130" s="118"/>
      <c r="FRD130" s="118"/>
      <c r="FRE130" s="118"/>
      <c r="FRF130" s="118"/>
      <c r="FRG130" s="118"/>
      <c r="FRH130" s="118"/>
      <c r="FRI130" s="118"/>
      <c r="FRJ130" s="118"/>
      <c r="FRK130" s="118"/>
      <c r="FRL130" s="118"/>
      <c r="FRM130" s="118"/>
      <c r="FRN130" s="118"/>
      <c r="FRO130" s="118"/>
      <c r="FRP130" s="118"/>
      <c r="FRQ130" s="118"/>
      <c r="FRR130" s="118"/>
      <c r="FRS130" s="118"/>
      <c r="FRT130" s="118"/>
      <c r="FRU130" s="118"/>
      <c r="FRV130" s="118"/>
      <c r="FRW130" s="118"/>
      <c r="FRX130" s="118"/>
      <c r="FRY130" s="118"/>
      <c r="FRZ130" s="118"/>
      <c r="FSA130" s="118"/>
      <c r="FSB130" s="118"/>
      <c r="FSC130" s="118"/>
      <c r="FSD130" s="118"/>
      <c r="FSE130" s="118"/>
      <c r="FSF130" s="118"/>
      <c r="FSG130" s="118"/>
      <c r="FSH130" s="118"/>
      <c r="FSI130" s="118"/>
      <c r="FSJ130" s="118"/>
      <c r="FSK130" s="118"/>
      <c r="FSL130" s="118"/>
      <c r="FSM130" s="118"/>
      <c r="FSN130" s="118"/>
      <c r="FSO130" s="118"/>
      <c r="FSP130" s="118"/>
      <c r="FSQ130" s="118"/>
      <c r="FSR130" s="118"/>
      <c r="FSS130" s="118"/>
      <c r="FST130" s="118"/>
      <c r="FSU130" s="118"/>
      <c r="FSV130" s="118"/>
      <c r="FSW130" s="118"/>
      <c r="FSX130" s="118"/>
      <c r="FSY130" s="118"/>
      <c r="FSZ130" s="118"/>
      <c r="FTA130" s="118"/>
      <c r="FTB130" s="118"/>
      <c r="FTC130" s="118"/>
      <c r="FTD130" s="118"/>
      <c r="FTE130" s="118"/>
      <c r="FTF130" s="118"/>
      <c r="FTG130" s="118"/>
      <c r="FTH130" s="118"/>
      <c r="FTI130" s="118"/>
      <c r="FTJ130" s="118"/>
      <c r="FTK130" s="118"/>
      <c r="FTL130" s="118"/>
      <c r="FTM130" s="118"/>
      <c r="FTN130" s="118"/>
      <c r="FTO130" s="118"/>
      <c r="FTP130" s="118"/>
      <c r="FTQ130" s="118"/>
      <c r="FTR130" s="118"/>
      <c r="FTS130" s="118"/>
      <c r="FTT130" s="118"/>
      <c r="FTU130" s="118"/>
      <c r="FTV130" s="118"/>
      <c r="FTW130" s="118"/>
      <c r="FTX130" s="118"/>
      <c r="FTY130" s="118"/>
      <c r="FTZ130" s="118"/>
      <c r="FUA130" s="118"/>
      <c r="FUB130" s="118"/>
      <c r="FUC130" s="118"/>
      <c r="FUD130" s="118"/>
      <c r="FUE130" s="118"/>
      <c r="FUF130" s="118"/>
      <c r="FUG130" s="118"/>
      <c r="FUH130" s="118"/>
      <c r="FUI130" s="118"/>
      <c r="FUJ130" s="118"/>
      <c r="FUK130" s="118"/>
      <c r="FUL130" s="118"/>
      <c r="FUM130" s="118"/>
      <c r="FUN130" s="118"/>
      <c r="FUO130" s="118"/>
      <c r="FUP130" s="118"/>
      <c r="FUQ130" s="118"/>
      <c r="FUR130" s="118"/>
      <c r="FUS130" s="118"/>
      <c r="FUT130" s="118"/>
      <c r="FUU130" s="118"/>
      <c r="FUV130" s="118"/>
      <c r="FUW130" s="118"/>
      <c r="FUX130" s="118"/>
      <c r="FUY130" s="118"/>
      <c r="FUZ130" s="118"/>
      <c r="FVA130" s="118"/>
      <c r="FVB130" s="118"/>
      <c r="FVC130" s="118"/>
      <c r="FVD130" s="118"/>
      <c r="FVE130" s="118"/>
      <c r="FVF130" s="118"/>
      <c r="FVG130" s="118"/>
      <c r="FVH130" s="118"/>
      <c r="FVI130" s="118"/>
      <c r="FVJ130" s="118"/>
      <c r="FVK130" s="118"/>
      <c r="FVL130" s="118"/>
      <c r="FVM130" s="118"/>
      <c r="FVN130" s="118"/>
      <c r="FVO130" s="118"/>
      <c r="FVP130" s="118"/>
      <c r="FVQ130" s="118"/>
      <c r="FVR130" s="118"/>
      <c r="FVS130" s="118"/>
      <c r="FVT130" s="118"/>
      <c r="FVU130" s="118"/>
      <c r="FVV130" s="118"/>
      <c r="FVW130" s="118"/>
      <c r="FVX130" s="118"/>
      <c r="FVY130" s="118"/>
      <c r="FVZ130" s="118"/>
      <c r="FWA130" s="118"/>
      <c r="FWB130" s="118"/>
      <c r="FWC130" s="118"/>
      <c r="FWD130" s="118"/>
      <c r="FWE130" s="118"/>
      <c r="FWF130" s="118"/>
      <c r="FWG130" s="118"/>
      <c r="FWH130" s="118"/>
      <c r="FWI130" s="118"/>
      <c r="FWJ130" s="118"/>
      <c r="FWK130" s="118"/>
      <c r="FWL130" s="118"/>
      <c r="FWM130" s="118"/>
      <c r="FWN130" s="118"/>
      <c r="FWO130" s="118"/>
      <c r="FWP130" s="118"/>
      <c r="FWQ130" s="118"/>
      <c r="FWR130" s="118"/>
      <c r="FWS130" s="118"/>
      <c r="FWT130" s="118"/>
      <c r="FWU130" s="118"/>
      <c r="FWV130" s="118"/>
      <c r="FWW130" s="118"/>
      <c r="FWX130" s="118"/>
      <c r="FWY130" s="118"/>
      <c r="FWZ130" s="118"/>
      <c r="FXA130" s="118"/>
      <c r="FXB130" s="118"/>
      <c r="FXC130" s="118"/>
      <c r="FXD130" s="118"/>
      <c r="FXE130" s="118"/>
      <c r="FXF130" s="118"/>
      <c r="FXG130" s="118"/>
      <c r="FXH130" s="118"/>
      <c r="FXI130" s="118"/>
      <c r="FXJ130" s="118"/>
      <c r="FXK130" s="118"/>
      <c r="FXL130" s="118"/>
      <c r="FXM130" s="118"/>
      <c r="FXN130" s="118"/>
      <c r="FXO130" s="118"/>
      <c r="FXP130" s="118"/>
      <c r="FXQ130" s="118"/>
      <c r="FXR130" s="118"/>
      <c r="FXS130" s="118"/>
      <c r="FXT130" s="118"/>
      <c r="FXU130" s="118"/>
      <c r="FXV130" s="118"/>
      <c r="FXW130" s="118"/>
      <c r="FXX130" s="118"/>
      <c r="FXY130" s="118"/>
      <c r="FXZ130" s="118"/>
      <c r="FYA130" s="118"/>
      <c r="FYB130" s="118"/>
      <c r="FYC130" s="118"/>
      <c r="FYD130" s="118"/>
      <c r="FYE130" s="118"/>
      <c r="FYF130" s="118"/>
      <c r="FYG130" s="118"/>
      <c r="FYH130" s="118"/>
      <c r="FYI130" s="118"/>
      <c r="FYJ130" s="118"/>
      <c r="FYK130" s="118"/>
      <c r="FYL130" s="118"/>
      <c r="FYM130" s="118"/>
      <c r="FYN130" s="118"/>
      <c r="FYO130" s="118"/>
      <c r="FYP130" s="118"/>
      <c r="FYQ130" s="118"/>
      <c r="FYR130" s="118"/>
      <c r="FYS130" s="118"/>
      <c r="FYT130" s="118"/>
      <c r="FYU130" s="118"/>
      <c r="FYV130" s="118"/>
      <c r="FYW130" s="118"/>
      <c r="FYX130" s="118"/>
      <c r="FYY130" s="118"/>
      <c r="FYZ130" s="118"/>
      <c r="FZA130" s="118"/>
      <c r="FZB130" s="118"/>
      <c r="FZC130" s="118"/>
      <c r="FZD130" s="118"/>
      <c r="FZE130" s="118"/>
      <c r="FZF130" s="118"/>
      <c r="FZG130" s="118"/>
      <c r="FZH130" s="118"/>
      <c r="FZI130" s="118"/>
      <c r="FZJ130" s="118"/>
      <c r="FZK130" s="118"/>
      <c r="FZL130" s="118"/>
      <c r="FZM130" s="118"/>
      <c r="FZN130" s="118"/>
      <c r="FZO130" s="118"/>
      <c r="FZP130" s="118"/>
      <c r="FZQ130" s="118"/>
      <c r="FZR130" s="118"/>
      <c r="FZS130" s="118"/>
      <c r="FZT130" s="118"/>
      <c r="FZU130" s="118"/>
      <c r="FZV130" s="118"/>
      <c r="FZW130" s="118"/>
      <c r="FZX130" s="118"/>
      <c r="FZY130" s="118"/>
      <c r="FZZ130" s="118"/>
      <c r="GAA130" s="118"/>
      <c r="GAB130" s="118"/>
      <c r="GAC130" s="118"/>
      <c r="GAD130" s="118"/>
      <c r="GAE130" s="118"/>
      <c r="GAF130" s="118"/>
      <c r="GAG130" s="118"/>
      <c r="GAH130" s="118"/>
      <c r="GAI130" s="118"/>
      <c r="GAJ130" s="118"/>
      <c r="GAK130" s="118"/>
      <c r="GAL130" s="118"/>
      <c r="GAM130" s="118"/>
      <c r="GAN130" s="118"/>
      <c r="GAO130" s="118"/>
      <c r="GAP130" s="118"/>
      <c r="GAQ130" s="118"/>
      <c r="GAR130" s="118"/>
      <c r="GAS130" s="118"/>
      <c r="GAT130" s="118"/>
      <c r="GAU130" s="118"/>
      <c r="GAV130" s="118"/>
      <c r="GAW130" s="118"/>
      <c r="GAX130" s="118"/>
      <c r="GAY130" s="118"/>
      <c r="GAZ130" s="118"/>
      <c r="GBA130" s="118"/>
      <c r="GBB130" s="118"/>
      <c r="GBC130" s="118"/>
      <c r="GBD130" s="118"/>
      <c r="GBE130" s="118"/>
      <c r="GBF130" s="118"/>
      <c r="GBG130" s="118"/>
      <c r="GBH130" s="118"/>
      <c r="GBI130" s="118"/>
      <c r="GBJ130" s="118"/>
      <c r="GBK130" s="118"/>
      <c r="GBL130" s="118"/>
      <c r="GBM130" s="118"/>
      <c r="GBN130" s="118"/>
      <c r="GBO130" s="118"/>
      <c r="GBP130" s="118"/>
      <c r="GBQ130" s="118"/>
      <c r="GBR130" s="118"/>
      <c r="GBS130" s="118"/>
      <c r="GBT130" s="118"/>
      <c r="GBU130" s="118"/>
      <c r="GBV130" s="118"/>
      <c r="GBW130" s="118"/>
      <c r="GBX130" s="118"/>
      <c r="GBY130" s="118"/>
      <c r="GBZ130" s="118"/>
      <c r="GCA130" s="118"/>
      <c r="GCB130" s="118"/>
      <c r="GCC130" s="118"/>
      <c r="GCD130" s="118"/>
      <c r="GCE130" s="118"/>
      <c r="GCF130" s="118"/>
      <c r="GCG130" s="118"/>
      <c r="GCH130" s="118"/>
      <c r="GCI130" s="118"/>
      <c r="GCJ130" s="118"/>
      <c r="GCK130" s="118"/>
      <c r="GCL130" s="118"/>
      <c r="GCM130" s="118"/>
      <c r="GCN130" s="118"/>
      <c r="GCO130" s="118"/>
      <c r="GCP130" s="118"/>
      <c r="GCQ130" s="118"/>
      <c r="GCR130" s="118"/>
      <c r="GCS130" s="118"/>
      <c r="GCT130" s="118"/>
      <c r="GCU130" s="118"/>
      <c r="GCV130" s="118"/>
      <c r="GCW130" s="118"/>
      <c r="GCX130" s="118"/>
      <c r="GCY130" s="118"/>
      <c r="GCZ130" s="118"/>
      <c r="GDA130" s="118"/>
      <c r="GDB130" s="118"/>
      <c r="GDC130" s="118"/>
      <c r="GDD130" s="118"/>
      <c r="GDE130" s="118"/>
      <c r="GDF130" s="118"/>
      <c r="GDG130" s="118"/>
      <c r="GDH130" s="118"/>
      <c r="GDI130" s="118"/>
      <c r="GDJ130" s="118"/>
      <c r="GDK130" s="118"/>
      <c r="GDL130" s="118"/>
      <c r="GDM130" s="118"/>
      <c r="GDN130" s="118"/>
      <c r="GDO130" s="118"/>
      <c r="GDP130" s="118"/>
      <c r="GDQ130" s="118"/>
      <c r="GDR130" s="118"/>
      <c r="GDS130" s="118"/>
      <c r="GDT130" s="118"/>
      <c r="GDU130" s="118"/>
      <c r="GDV130" s="118"/>
      <c r="GDW130" s="118"/>
      <c r="GDX130" s="118"/>
      <c r="GDY130" s="118"/>
      <c r="GDZ130" s="118"/>
      <c r="GEA130" s="118"/>
      <c r="GEB130" s="118"/>
      <c r="GEC130" s="118"/>
      <c r="GED130" s="118"/>
      <c r="GEE130" s="118"/>
      <c r="GEF130" s="118"/>
      <c r="GEG130" s="118"/>
      <c r="GEH130" s="118"/>
      <c r="GEI130" s="118"/>
      <c r="GEJ130" s="118"/>
      <c r="GEK130" s="118"/>
      <c r="GEL130" s="118"/>
      <c r="GEM130" s="118"/>
      <c r="GEN130" s="118"/>
      <c r="GEO130" s="118"/>
      <c r="GEP130" s="118"/>
      <c r="GEQ130" s="118"/>
      <c r="GER130" s="118"/>
      <c r="GES130" s="118"/>
      <c r="GET130" s="118"/>
      <c r="GEU130" s="118"/>
      <c r="GEV130" s="118"/>
      <c r="GEW130" s="118"/>
      <c r="GEX130" s="118"/>
      <c r="GEY130" s="118"/>
      <c r="GEZ130" s="118"/>
      <c r="GFA130" s="118"/>
      <c r="GFB130" s="118"/>
      <c r="GFC130" s="118"/>
      <c r="GFD130" s="118"/>
      <c r="GFE130" s="118"/>
      <c r="GFF130" s="118"/>
      <c r="GFG130" s="118"/>
      <c r="GFH130" s="118"/>
      <c r="GFI130" s="118"/>
      <c r="GFJ130" s="118"/>
      <c r="GFK130" s="118"/>
      <c r="GFL130" s="118"/>
      <c r="GFM130" s="118"/>
      <c r="GFN130" s="118"/>
      <c r="GFO130" s="118"/>
      <c r="GFP130" s="118"/>
      <c r="GFQ130" s="118"/>
      <c r="GFR130" s="118"/>
      <c r="GFS130" s="118"/>
      <c r="GFT130" s="118"/>
      <c r="GFU130" s="118"/>
      <c r="GFV130" s="118"/>
      <c r="GFW130" s="118"/>
      <c r="GFX130" s="118"/>
      <c r="GFY130" s="118"/>
      <c r="GFZ130" s="118"/>
      <c r="GGA130" s="118"/>
      <c r="GGB130" s="118"/>
      <c r="GGC130" s="118"/>
      <c r="GGD130" s="118"/>
      <c r="GGE130" s="118"/>
      <c r="GGF130" s="118"/>
      <c r="GGG130" s="118"/>
      <c r="GGH130" s="118"/>
      <c r="GGI130" s="118"/>
      <c r="GGJ130" s="118"/>
      <c r="GGK130" s="118"/>
      <c r="GGL130" s="118"/>
      <c r="GGM130" s="118"/>
      <c r="GGN130" s="118"/>
      <c r="GGO130" s="118"/>
      <c r="GGP130" s="118"/>
      <c r="GGQ130" s="118"/>
      <c r="GGR130" s="118"/>
      <c r="GGS130" s="118"/>
      <c r="GGT130" s="118"/>
      <c r="GGU130" s="118"/>
      <c r="GGV130" s="118"/>
      <c r="GGW130" s="118"/>
      <c r="GGX130" s="118"/>
      <c r="GGY130" s="118"/>
      <c r="GGZ130" s="118"/>
      <c r="GHA130" s="118"/>
      <c r="GHB130" s="118"/>
      <c r="GHC130" s="118"/>
      <c r="GHD130" s="118"/>
      <c r="GHE130" s="118"/>
      <c r="GHF130" s="118"/>
      <c r="GHG130" s="118"/>
      <c r="GHH130" s="118"/>
      <c r="GHI130" s="118"/>
      <c r="GHJ130" s="118"/>
      <c r="GHK130" s="118"/>
      <c r="GHL130" s="118"/>
      <c r="GHM130" s="118"/>
      <c r="GHN130" s="118"/>
      <c r="GHO130" s="118"/>
      <c r="GHP130" s="118"/>
      <c r="GHQ130" s="118"/>
      <c r="GHR130" s="118"/>
      <c r="GHS130" s="118"/>
      <c r="GHT130" s="118"/>
      <c r="GHU130" s="118"/>
      <c r="GHV130" s="118"/>
      <c r="GHW130" s="118"/>
      <c r="GHX130" s="118"/>
      <c r="GHY130" s="118"/>
      <c r="GHZ130" s="118"/>
      <c r="GIA130" s="118"/>
      <c r="GIB130" s="118"/>
      <c r="GIC130" s="118"/>
      <c r="GID130" s="118"/>
      <c r="GIE130" s="118"/>
      <c r="GIF130" s="118"/>
      <c r="GIG130" s="118"/>
      <c r="GIH130" s="118"/>
      <c r="GII130" s="118"/>
      <c r="GIJ130" s="118"/>
      <c r="GIK130" s="118"/>
      <c r="GIL130" s="118"/>
      <c r="GIM130" s="118"/>
      <c r="GIN130" s="118"/>
      <c r="GIO130" s="118"/>
      <c r="GIP130" s="118"/>
      <c r="GIQ130" s="118"/>
      <c r="GIR130" s="118"/>
      <c r="GIS130" s="118"/>
      <c r="GIT130" s="118"/>
      <c r="GIU130" s="118"/>
      <c r="GIV130" s="118"/>
      <c r="GIW130" s="118"/>
      <c r="GIX130" s="118"/>
      <c r="GIY130" s="118"/>
      <c r="GIZ130" s="118"/>
      <c r="GJA130" s="118"/>
      <c r="GJB130" s="118"/>
      <c r="GJC130" s="118"/>
      <c r="GJD130" s="118"/>
      <c r="GJE130" s="118"/>
      <c r="GJF130" s="118"/>
      <c r="GJG130" s="118"/>
      <c r="GJH130" s="118"/>
      <c r="GJI130" s="118"/>
      <c r="GJJ130" s="118"/>
      <c r="GJK130" s="118"/>
      <c r="GJL130" s="118"/>
      <c r="GJM130" s="118"/>
      <c r="GJN130" s="118"/>
      <c r="GJO130" s="118"/>
      <c r="GJP130" s="118"/>
      <c r="GJQ130" s="118"/>
      <c r="GJR130" s="118"/>
      <c r="GJS130" s="118"/>
      <c r="GJT130" s="118"/>
      <c r="GJU130" s="118"/>
      <c r="GJV130" s="118"/>
      <c r="GJW130" s="118"/>
      <c r="GJX130" s="118"/>
      <c r="GJY130" s="118"/>
      <c r="GJZ130" s="118"/>
      <c r="GKA130" s="118"/>
      <c r="GKB130" s="118"/>
      <c r="GKC130" s="118"/>
      <c r="GKD130" s="118"/>
      <c r="GKE130" s="118"/>
      <c r="GKF130" s="118"/>
      <c r="GKG130" s="118"/>
      <c r="GKH130" s="118"/>
      <c r="GKI130" s="118"/>
      <c r="GKJ130" s="118"/>
      <c r="GKK130" s="118"/>
      <c r="GKL130" s="118"/>
      <c r="GKM130" s="118"/>
      <c r="GKN130" s="118"/>
      <c r="GKO130" s="118"/>
      <c r="GKP130" s="118"/>
      <c r="GKQ130" s="118"/>
      <c r="GKR130" s="118"/>
      <c r="GKS130" s="118"/>
      <c r="GKT130" s="118"/>
      <c r="GKU130" s="118"/>
      <c r="GKV130" s="118"/>
      <c r="GKW130" s="118"/>
      <c r="GKX130" s="118"/>
      <c r="GKY130" s="118"/>
      <c r="GKZ130" s="118"/>
      <c r="GLA130" s="118"/>
      <c r="GLB130" s="118"/>
      <c r="GLC130" s="118"/>
      <c r="GLD130" s="118"/>
      <c r="GLE130" s="118"/>
      <c r="GLF130" s="118"/>
      <c r="GLG130" s="118"/>
      <c r="GLH130" s="118"/>
      <c r="GLI130" s="118"/>
      <c r="GLJ130" s="118"/>
      <c r="GLK130" s="118"/>
      <c r="GLL130" s="118"/>
      <c r="GLM130" s="118"/>
      <c r="GLN130" s="118"/>
      <c r="GLO130" s="118"/>
      <c r="GLP130" s="118"/>
      <c r="GLQ130" s="118"/>
      <c r="GLR130" s="118"/>
      <c r="GLS130" s="118"/>
      <c r="GLT130" s="118"/>
      <c r="GLU130" s="118"/>
      <c r="GLV130" s="118"/>
      <c r="GLW130" s="118"/>
      <c r="GLX130" s="118"/>
      <c r="GLY130" s="118"/>
      <c r="GLZ130" s="118"/>
      <c r="GMA130" s="118"/>
      <c r="GMB130" s="118"/>
      <c r="GMC130" s="118"/>
      <c r="GMD130" s="118"/>
      <c r="GME130" s="118"/>
      <c r="GMF130" s="118"/>
      <c r="GMG130" s="118"/>
      <c r="GMH130" s="118"/>
      <c r="GMI130" s="118"/>
      <c r="GMJ130" s="118"/>
      <c r="GMK130" s="118"/>
      <c r="GML130" s="118"/>
      <c r="GMM130" s="118"/>
      <c r="GMN130" s="118"/>
      <c r="GMO130" s="118"/>
      <c r="GMP130" s="118"/>
      <c r="GMQ130" s="118"/>
      <c r="GMR130" s="118"/>
      <c r="GMS130" s="118"/>
      <c r="GMT130" s="118"/>
      <c r="GMU130" s="118"/>
      <c r="GMV130" s="118"/>
      <c r="GMW130" s="118"/>
      <c r="GMX130" s="118"/>
      <c r="GMY130" s="118"/>
      <c r="GMZ130" s="118"/>
      <c r="GNA130" s="118"/>
      <c r="GNB130" s="118"/>
      <c r="GNC130" s="118"/>
      <c r="GND130" s="118"/>
      <c r="GNE130" s="118"/>
      <c r="GNF130" s="118"/>
      <c r="GNG130" s="118"/>
      <c r="GNH130" s="118"/>
      <c r="GNI130" s="118"/>
      <c r="GNJ130" s="118"/>
      <c r="GNK130" s="118"/>
      <c r="GNL130" s="118"/>
      <c r="GNM130" s="118"/>
      <c r="GNN130" s="118"/>
      <c r="GNO130" s="118"/>
      <c r="GNP130" s="118"/>
      <c r="GNQ130" s="118"/>
      <c r="GNR130" s="118"/>
      <c r="GNS130" s="118"/>
      <c r="GNT130" s="118"/>
      <c r="GNU130" s="118"/>
      <c r="GNV130" s="118"/>
      <c r="GNW130" s="118"/>
      <c r="GNX130" s="118"/>
      <c r="GNY130" s="118"/>
      <c r="GNZ130" s="118"/>
      <c r="GOA130" s="118"/>
      <c r="GOB130" s="118"/>
      <c r="GOC130" s="118"/>
      <c r="GOD130" s="118"/>
      <c r="GOE130" s="118"/>
      <c r="GOF130" s="118"/>
      <c r="GOG130" s="118"/>
      <c r="GOH130" s="118"/>
      <c r="GOI130" s="118"/>
      <c r="GOJ130" s="118"/>
      <c r="GOK130" s="118"/>
      <c r="GOL130" s="118"/>
      <c r="GOM130" s="118"/>
      <c r="GON130" s="118"/>
      <c r="GOO130" s="118"/>
      <c r="GOP130" s="118"/>
      <c r="GOQ130" s="118"/>
      <c r="GOR130" s="118"/>
      <c r="GOS130" s="118"/>
      <c r="GOT130" s="118"/>
      <c r="GOU130" s="118"/>
      <c r="GOV130" s="118"/>
      <c r="GOW130" s="118"/>
      <c r="GOX130" s="118"/>
      <c r="GOY130" s="118"/>
      <c r="GOZ130" s="118"/>
      <c r="GPA130" s="118"/>
      <c r="GPB130" s="118"/>
      <c r="GPC130" s="118"/>
      <c r="GPD130" s="118"/>
      <c r="GPE130" s="118"/>
      <c r="GPF130" s="118"/>
      <c r="GPG130" s="118"/>
      <c r="GPH130" s="118"/>
      <c r="GPI130" s="118"/>
      <c r="GPJ130" s="118"/>
      <c r="GPK130" s="118"/>
      <c r="GPL130" s="118"/>
      <c r="GPM130" s="118"/>
      <c r="GPN130" s="118"/>
      <c r="GPO130" s="118"/>
      <c r="GPP130" s="118"/>
      <c r="GPQ130" s="118"/>
      <c r="GPR130" s="118"/>
      <c r="GPS130" s="118"/>
      <c r="GPT130" s="118"/>
      <c r="GPU130" s="118"/>
      <c r="GPV130" s="118"/>
      <c r="GPW130" s="118"/>
      <c r="GPX130" s="118"/>
      <c r="GPY130" s="118"/>
      <c r="GPZ130" s="118"/>
      <c r="GQA130" s="118"/>
      <c r="GQB130" s="118"/>
      <c r="GQC130" s="118"/>
      <c r="GQD130" s="118"/>
      <c r="GQE130" s="118"/>
      <c r="GQF130" s="118"/>
      <c r="GQG130" s="118"/>
      <c r="GQH130" s="118"/>
      <c r="GQI130" s="118"/>
      <c r="GQJ130" s="118"/>
      <c r="GQK130" s="118"/>
      <c r="GQL130" s="118"/>
      <c r="GQM130" s="118"/>
      <c r="GQN130" s="118"/>
      <c r="GQO130" s="118"/>
      <c r="GQP130" s="118"/>
      <c r="GQQ130" s="118"/>
      <c r="GQR130" s="118"/>
      <c r="GQS130" s="118"/>
      <c r="GQT130" s="118"/>
      <c r="GQU130" s="118"/>
      <c r="GQV130" s="118"/>
      <c r="GQW130" s="118"/>
      <c r="GQX130" s="118"/>
      <c r="GQY130" s="118"/>
      <c r="GQZ130" s="118"/>
      <c r="GRA130" s="118"/>
      <c r="GRB130" s="118"/>
      <c r="GRC130" s="118"/>
      <c r="GRD130" s="118"/>
      <c r="GRE130" s="118"/>
      <c r="GRF130" s="118"/>
      <c r="GRG130" s="118"/>
      <c r="GRH130" s="118"/>
      <c r="GRI130" s="118"/>
      <c r="GRJ130" s="118"/>
      <c r="GRK130" s="118"/>
      <c r="GRL130" s="118"/>
      <c r="GRM130" s="118"/>
      <c r="GRN130" s="118"/>
      <c r="GRO130" s="118"/>
      <c r="GRP130" s="118"/>
      <c r="GRQ130" s="118"/>
      <c r="GRR130" s="118"/>
      <c r="GRS130" s="118"/>
      <c r="GRT130" s="118"/>
      <c r="GRU130" s="118"/>
      <c r="GRV130" s="118"/>
      <c r="GRW130" s="118"/>
      <c r="GRX130" s="118"/>
      <c r="GRY130" s="118"/>
      <c r="GRZ130" s="118"/>
      <c r="GSA130" s="118"/>
      <c r="GSB130" s="118"/>
      <c r="GSC130" s="118"/>
      <c r="GSD130" s="118"/>
      <c r="GSE130" s="118"/>
      <c r="GSF130" s="118"/>
      <c r="GSG130" s="118"/>
      <c r="GSH130" s="118"/>
      <c r="GSI130" s="118"/>
      <c r="GSJ130" s="118"/>
      <c r="GSK130" s="118"/>
      <c r="GSL130" s="118"/>
      <c r="GSM130" s="118"/>
      <c r="GSN130" s="118"/>
      <c r="GSO130" s="118"/>
      <c r="GSP130" s="118"/>
      <c r="GSQ130" s="118"/>
      <c r="GSR130" s="118"/>
      <c r="GSS130" s="118"/>
      <c r="GST130" s="118"/>
      <c r="GSU130" s="118"/>
      <c r="GSV130" s="118"/>
      <c r="GSW130" s="118"/>
      <c r="GSX130" s="118"/>
      <c r="GSY130" s="118"/>
      <c r="GSZ130" s="118"/>
      <c r="GTA130" s="118"/>
      <c r="GTB130" s="118"/>
      <c r="GTC130" s="118"/>
      <c r="GTD130" s="118"/>
      <c r="GTE130" s="118"/>
      <c r="GTF130" s="118"/>
      <c r="GTG130" s="118"/>
      <c r="GTH130" s="118"/>
      <c r="GTI130" s="118"/>
      <c r="GTJ130" s="118"/>
      <c r="GTK130" s="118"/>
      <c r="GTL130" s="118"/>
      <c r="GTM130" s="118"/>
      <c r="GTN130" s="118"/>
      <c r="GTO130" s="118"/>
      <c r="GTP130" s="118"/>
      <c r="GTQ130" s="118"/>
      <c r="GTR130" s="118"/>
      <c r="GTS130" s="118"/>
      <c r="GTT130" s="118"/>
      <c r="GTU130" s="118"/>
      <c r="GTV130" s="118"/>
      <c r="GTW130" s="118"/>
      <c r="GTX130" s="118"/>
      <c r="GTY130" s="118"/>
      <c r="GTZ130" s="118"/>
      <c r="GUA130" s="118"/>
      <c r="GUB130" s="118"/>
      <c r="GUC130" s="118"/>
      <c r="GUD130" s="118"/>
      <c r="GUE130" s="118"/>
      <c r="GUF130" s="118"/>
      <c r="GUG130" s="118"/>
      <c r="GUH130" s="118"/>
      <c r="GUI130" s="118"/>
      <c r="GUJ130" s="118"/>
      <c r="GUK130" s="118"/>
      <c r="GUL130" s="118"/>
      <c r="GUM130" s="118"/>
      <c r="GUN130" s="118"/>
      <c r="GUO130" s="118"/>
      <c r="GUP130" s="118"/>
      <c r="GUQ130" s="118"/>
      <c r="GUR130" s="118"/>
      <c r="GUS130" s="118"/>
      <c r="GUT130" s="118"/>
      <c r="GUU130" s="118"/>
      <c r="GUV130" s="118"/>
      <c r="GUW130" s="118"/>
      <c r="GUX130" s="118"/>
      <c r="GUY130" s="118"/>
      <c r="GUZ130" s="118"/>
      <c r="GVA130" s="118"/>
      <c r="GVB130" s="118"/>
      <c r="GVC130" s="118"/>
      <c r="GVD130" s="118"/>
      <c r="GVE130" s="118"/>
      <c r="GVF130" s="118"/>
      <c r="GVG130" s="118"/>
      <c r="GVH130" s="118"/>
      <c r="GVI130" s="118"/>
      <c r="GVJ130" s="118"/>
      <c r="GVK130" s="118"/>
      <c r="GVL130" s="118"/>
      <c r="GVM130" s="118"/>
      <c r="GVN130" s="118"/>
      <c r="GVO130" s="118"/>
      <c r="GVP130" s="118"/>
      <c r="GVQ130" s="118"/>
      <c r="GVR130" s="118"/>
      <c r="GVS130" s="118"/>
      <c r="GVT130" s="118"/>
      <c r="GVU130" s="118"/>
      <c r="GVV130" s="118"/>
      <c r="GVW130" s="118"/>
      <c r="GVX130" s="118"/>
      <c r="GVY130" s="118"/>
      <c r="GVZ130" s="118"/>
      <c r="GWA130" s="118"/>
      <c r="GWB130" s="118"/>
      <c r="GWC130" s="118"/>
      <c r="GWD130" s="118"/>
      <c r="GWE130" s="118"/>
      <c r="GWF130" s="118"/>
      <c r="GWG130" s="118"/>
      <c r="GWH130" s="118"/>
      <c r="GWI130" s="118"/>
      <c r="GWJ130" s="118"/>
      <c r="GWK130" s="118"/>
      <c r="GWL130" s="118"/>
      <c r="GWM130" s="118"/>
      <c r="GWN130" s="118"/>
      <c r="GWO130" s="118"/>
      <c r="GWP130" s="118"/>
      <c r="GWQ130" s="118"/>
      <c r="GWR130" s="118"/>
      <c r="GWS130" s="118"/>
      <c r="GWT130" s="118"/>
      <c r="GWU130" s="118"/>
      <c r="GWV130" s="118"/>
      <c r="GWW130" s="118"/>
      <c r="GWX130" s="118"/>
      <c r="GWY130" s="118"/>
      <c r="GWZ130" s="118"/>
      <c r="GXA130" s="118"/>
      <c r="GXB130" s="118"/>
      <c r="GXC130" s="118"/>
      <c r="GXD130" s="118"/>
      <c r="GXE130" s="118"/>
      <c r="GXF130" s="118"/>
      <c r="GXG130" s="118"/>
      <c r="GXH130" s="118"/>
      <c r="GXI130" s="118"/>
      <c r="GXJ130" s="118"/>
      <c r="GXK130" s="118"/>
      <c r="GXL130" s="118"/>
      <c r="GXM130" s="118"/>
      <c r="GXN130" s="118"/>
      <c r="GXO130" s="118"/>
      <c r="GXP130" s="118"/>
      <c r="GXQ130" s="118"/>
      <c r="GXR130" s="118"/>
      <c r="GXS130" s="118"/>
      <c r="GXT130" s="118"/>
      <c r="GXU130" s="118"/>
      <c r="GXV130" s="118"/>
      <c r="GXW130" s="118"/>
      <c r="GXX130" s="118"/>
      <c r="GXY130" s="118"/>
      <c r="GXZ130" s="118"/>
      <c r="GYA130" s="118"/>
      <c r="GYB130" s="118"/>
      <c r="GYC130" s="118"/>
      <c r="GYD130" s="118"/>
      <c r="GYE130" s="118"/>
      <c r="GYF130" s="118"/>
      <c r="GYG130" s="118"/>
      <c r="GYH130" s="118"/>
      <c r="GYI130" s="118"/>
      <c r="GYJ130" s="118"/>
      <c r="GYK130" s="118"/>
      <c r="GYL130" s="118"/>
      <c r="GYM130" s="118"/>
      <c r="GYN130" s="118"/>
      <c r="GYO130" s="118"/>
      <c r="GYP130" s="118"/>
      <c r="GYQ130" s="118"/>
      <c r="GYR130" s="118"/>
      <c r="GYS130" s="118"/>
      <c r="GYT130" s="118"/>
      <c r="GYU130" s="118"/>
      <c r="GYV130" s="118"/>
      <c r="GYW130" s="118"/>
      <c r="GYX130" s="118"/>
      <c r="GYY130" s="118"/>
      <c r="GYZ130" s="118"/>
      <c r="GZA130" s="118"/>
      <c r="GZB130" s="118"/>
      <c r="GZC130" s="118"/>
      <c r="GZD130" s="118"/>
      <c r="GZE130" s="118"/>
      <c r="GZF130" s="118"/>
      <c r="GZG130" s="118"/>
      <c r="GZH130" s="118"/>
      <c r="GZI130" s="118"/>
      <c r="GZJ130" s="118"/>
      <c r="GZK130" s="118"/>
      <c r="GZL130" s="118"/>
      <c r="GZM130" s="118"/>
      <c r="GZN130" s="118"/>
      <c r="GZO130" s="118"/>
      <c r="GZP130" s="118"/>
      <c r="GZQ130" s="118"/>
      <c r="GZR130" s="118"/>
      <c r="GZS130" s="118"/>
      <c r="GZT130" s="118"/>
      <c r="GZU130" s="118"/>
      <c r="GZV130" s="118"/>
      <c r="GZW130" s="118"/>
      <c r="GZX130" s="118"/>
      <c r="GZY130" s="118"/>
      <c r="GZZ130" s="118"/>
      <c r="HAA130" s="118"/>
      <c r="HAB130" s="118"/>
      <c r="HAC130" s="118"/>
      <c r="HAD130" s="118"/>
      <c r="HAE130" s="118"/>
      <c r="HAF130" s="118"/>
      <c r="HAG130" s="118"/>
      <c r="HAH130" s="118"/>
      <c r="HAI130" s="118"/>
      <c r="HAJ130" s="118"/>
      <c r="HAK130" s="118"/>
      <c r="HAL130" s="118"/>
      <c r="HAM130" s="118"/>
      <c r="HAN130" s="118"/>
      <c r="HAO130" s="118"/>
      <c r="HAP130" s="118"/>
      <c r="HAQ130" s="118"/>
      <c r="HAR130" s="118"/>
      <c r="HAS130" s="118"/>
      <c r="HAT130" s="118"/>
      <c r="HAU130" s="118"/>
      <c r="HAV130" s="118"/>
      <c r="HAW130" s="118"/>
      <c r="HAX130" s="118"/>
      <c r="HAY130" s="118"/>
      <c r="HAZ130" s="118"/>
      <c r="HBA130" s="118"/>
      <c r="HBB130" s="118"/>
      <c r="HBC130" s="118"/>
      <c r="HBD130" s="118"/>
      <c r="HBE130" s="118"/>
      <c r="HBF130" s="118"/>
      <c r="HBG130" s="118"/>
      <c r="HBH130" s="118"/>
      <c r="HBI130" s="118"/>
      <c r="HBJ130" s="118"/>
      <c r="HBK130" s="118"/>
      <c r="HBL130" s="118"/>
      <c r="HBM130" s="118"/>
      <c r="HBN130" s="118"/>
      <c r="HBO130" s="118"/>
      <c r="HBP130" s="118"/>
      <c r="HBQ130" s="118"/>
      <c r="HBR130" s="118"/>
      <c r="HBS130" s="118"/>
      <c r="HBT130" s="118"/>
      <c r="HBU130" s="118"/>
      <c r="HBV130" s="118"/>
      <c r="HBW130" s="118"/>
      <c r="HBX130" s="118"/>
      <c r="HBY130" s="118"/>
      <c r="HBZ130" s="118"/>
      <c r="HCA130" s="118"/>
      <c r="HCB130" s="118"/>
      <c r="HCC130" s="118"/>
      <c r="HCD130" s="118"/>
      <c r="HCE130" s="118"/>
      <c r="HCF130" s="118"/>
      <c r="HCG130" s="118"/>
      <c r="HCH130" s="118"/>
      <c r="HCI130" s="118"/>
      <c r="HCJ130" s="118"/>
      <c r="HCK130" s="118"/>
      <c r="HCL130" s="118"/>
      <c r="HCM130" s="118"/>
      <c r="HCN130" s="118"/>
      <c r="HCO130" s="118"/>
      <c r="HCP130" s="118"/>
      <c r="HCQ130" s="118"/>
      <c r="HCR130" s="118"/>
      <c r="HCS130" s="118"/>
      <c r="HCT130" s="118"/>
      <c r="HCU130" s="118"/>
      <c r="HCV130" s="118"/>
      <c r="HCW130" s="118"/>
      <c r="HCX130" s="118"/>
      <c r="HCY130" s="118"/>
      <c r="HCZ130" s="118"/>
      <c r="HDA130" s="118"/>
      <c r="HDB130" s="118"/>
      <c r="HDC130" s="118"/>
      <c r="HDD130" s="118"/>
      <c r="HDE130" s="118"/>
      <c r="HDF130" s="118"/>
      <c r="HDG130" s="118"/>
      <c r="HDH130" s="118"/>
      <c r="HDI130" s="118"/>
      <c r="HDJ130" s="118"/>
      <c r="HDK130" s="118"/>
      <c r="HDL130" s="118"/>
      <c r="HDM130" s="118"/>
      <c r="HDN130" s="118"/>
      <c r="HDO130" s="118"/>
      <c r="HDP130" s="118"/>
      <c r="HDQ130" s="118"/>
      <c r="HDR130" s="118"/>
      <c r="HDS130" s="118"/>
      <c r="HDT130" s="118"/>
      <c r="HDU130" s="118"/>
      <c r="HDV130" s="118"/>
      <c r="HDW130" s="118"/>
      <c r="HDX130" s="118"/>
      <c r="HDY130" s="118"/>
      <c r="HDZ130" s="118"/>
      <c r="HEA130" s="118"/>
      <c r="HEB130" s="118"/>
      <c r="HEC130" s="118"/>
      <c r="HED130" s="118"/>
      <c r="HEE130" s="118"/>
      <c r="HEF130" s="118"/>
      <c r="HEG130" s="118"/>
      <c r="HEH130" s="118"/>
      <c r="HEI130" s="118"/>
      <c r="HEJ130" s="118"/>
      <c r="HEK130" s="118"/>
      <c r="HEL130" s="118"/>
      <c r="HEM130" s="118"/>
      <c r="HEN130" s="118"/>
      <c r="HEO130" s="118"/>
      <c r="HEP130" s="118"/>
      <c r="HEQ130" s="118"/>
      <c r="HER130" s="118"/>
      <c r="HES130" s="118"/>
      <c r="HET130" s="118"/>
      <c r="HEU130" s="118"/>
      <c r="HEV130" s="118"/>
      <c r="HEW130" s="118"/>
      <c r="HEX130" s="118"/>
      <c r="HEY130" s="118"/>
      <c r="HEZ130" s="118"/>
      <c r="HFA130" s="118"/>
      <c r="HFB130" s="118"/>
      <c r="HFC130" s="118"/>
      <c r="HFD130" s="118"/>
      <c r="HFE130" s="118"/>
      <c r="HFF130" s="118"/>
      <c r="HFG130" s="118"/>
      <c r="HFH130" s="118"/>
      <c r="HFI130" s="118"/>
      <c r="HFJ130" s="118"/>
      <c r="HFK130" s="118"/>
      <c r="HFL130" s="118"/>
      <c r="HFM130" s="118"/>
      <c r="HFN130" s="118"/>
      <c r="HFO130" s="118"/>
      <c r="HFP130" s="118"/>
      <c r="HFQ130" s="118"/>
      <c r="HFR130" s="118"/>
      <c r="HFS130" s="118"/>
      <c r="HFT130" s="118"/>
      <c r="HFU130" s="118"/>
      <c r="HFV130" s="118"/>
      <c r="HFW130" s="118"/>
      <c r="HFX130" s="118"/>
      <c r="HFY130" s="118"/>
      <c r="HFZ130" s="118"/>
      <c r="HGA130" s="118"/>
      <c r="HGB130" s="118"/>
      <c r="HGC130" s="118"/>
      <c r="HGD130" s="118"/>
      <c r="HGE130" s="118"/>
      <c r="HGF130" s="118"/>
      <c r="HGG130" s="118"/>
      <c r="HGH130" s="118"/>
      <c r="HGI130" s="118"/>
      <c r="HGJ130" s="118"/>
      <c r="HGK130" s="118"/>
      <c r="HGL130" s="118"/>
      <c r="HGM130" s="118"/>
      <c r="HGN130" s="118"/>
      <c r="HGO130" s="118"/>
      <c r="HGP130" s="118"/>
      <c r="HGQ130" s="118"/>
      <c r="HGR130" s="118"/>
      <c r="HGS130" s="118"/>
      <c r="HGT130" s="118"/>
      <c r="HGU130" s="118"/>
      <c r="HGV130" s="118"/>
      <c r="HGW130" s="118"/>
      <c r="HGX130" s="118"/>
      <c r="HGY130" s="118"/>
      <c r="HGZ130" s="118"/>
      <c r="HHA130" s="118"/>
      <c r="HHB130" s="118"/>
      <c r="HHC130" s="118"/>
      <c r="HHD130" s="118"/>
      <c r="HHE130" s="118"/>
      <c r="HHF130" s="118"/>
      <c r="HHG130" s="118"/>
      <c r="HHH130" s="118"/>
      <c r="HHI130" s="118"/>
      <c r="HHJ130" s="118"/>
      <c r="HHK130" s="118"/>
      <c r="HHL130" s="118"/>
      <c r="HHM130" s="118"/>
      <c r="HHN130" s="118"/>
      <c r="HHO130" s="118"/>
      <c r="HHP130" s="118"/>
      <c r="HHQ130" s="118"/>
      <c r="HHR130" s="118"/>
      <c r="HHS130" s="118"/>
      <c r="HHT130" s="118"/>
      <c r="HHU130" s="118"/>
      <c r="HHV130" s="118"/>
      <c r="HHW130" s="118"/>
      <c r="HHX130" s="118"/>
      <c r="HHY130" s="118"/>
      <c r="HHZ130" s="118"/>
      <c r="HIA130" s="118"/>
      <c r="HIB130" s="118"/>
      <c r="HIC130" s="118"/>
      <c r="HID130" s="118"/>
      <c r="HIE130" s="118"/>
      <c r="HIF130" s="118"/>
      <c r="HIG130" s="118"/>
      <c r="HIH130" s="118"/>
      <c r="HII130" s="118"/>
      <c r="HIJ130" s="118"/>
      <c r="HIK130" s="118"/>
      <c r="HIL130" s="118"/>
      <c r="HIM130" s="118"/>
      <c r="HIN130" s="118"/>
      <c r="HIO130" s="118"/>
      <c r="HIP130" s="118"/>
      <c r="HIQ130" s="118"/>
      <c r="HIR130" s="118"/>
      <c r="HIS130" s="118"/>
      <c r="HIT130" s="118"/>
      <c r="HIU130" s="118"/>
      <c r="HIV130" s="118"/>
      <c r="HIW130" s="118"/>
      <c r="HIX130" s="118"/>
      <c r="HIY130" s="118"/>
      <c r="HIZ130" s="118"/>
      <c r="HJA130" s="118"/>
      <c r="HJB130" s="118"/>
      <c r="HJC130" s="118"/>
      <c r="HJD130" s="118"/>
      <c r="HJE130" s="118"/>
      <c r="HJF130" s="118"/>
      <c r="HJG130" s="118"/>
      <c r="HJH130" s="118"/>
      <c r="HJI130" s="118"/>
      <c r="HJJ130" s="118"/>
      <c r="HJK130" s="118"/>
      <c r="HJL130" s="118"/>
      <c r="HJM130" s="118"/>
      <c r="HJN130" s="118"/>
      <c r="HJO130" s="118"/>
      <c r="HJP130" s="118"/>
      <c r="HJQ130" s="118"/>
      <c r="HJR130" s="118"/>
      <c r="HJS130" s="118"/>
      <c r="HJT130" s="118"/>
      <c r="HJU130" s="118"/>
      <c r="HJV130" s="118"/>
      <c r="HJW130" s="118"/>
      <c r="HJX130" s="118"/>
      <c r="HJY130" s="118"/>
      <c r="HJZ130" s="118"/>
      <c r="HKA130" s="118"/>
      <c r="HKB130" s="118"/>
      <c r="HKC130" s="118"/>
      <c r="HKD130" s="118"/>
      <c r="HKE130" s="118"/>
      <c r="HKF130" s="118"/>
      <c r="HKG130" s="118"/>
      <c r="HKH130" s="118"/>
      <c r="HKI130" s="118"/>
      <c r="HKJ130" s="118"/>
      <c r="HKK130" s="118"/>
      <c r="HKL130" s="118"/>
      <c r="HKM130" s="118"/>
      <c r="HKN130" s="118"/>
      <c r="HKO130" s="118"/>
      <c r="HKP130" s="118"/>
      <c r="HKQ130" s="118"/>
      <c r="HKR130" s="118"/>
      <c r="HKS130" s="118"/>
      <c r="HKT130" s="118"/>
      <c r="HKU130" s="118"/>
      <c r="HKV130" s="118"/>
      <c r="HKW130" s="118"/>
      <c r="HKX130" s="118"/>
      <c r="HKY130" s="118"/>
      <c r="HKZ130" s="118"/>
      <c r="HLA130" s="118"/>
      <c r="HLB130" s="118"/>
      <c r="HLC130" s="118"/>
      <c r="HLD130" s="118"/>
      <c r="HLE130" s="118"/>
      <c r="HLF130" s="118"/>
      <c r="HLG130" s="118"/>
      <c r="HLH130" s="118"/>
      <c r="HLI130" s="118"/>
      <c r="HLJ130" s="118"/>
      <c r="HLK130" s="118"/>
      <c r="HLL130" s="118"/>
      <c r="HLM130" s="118"/>
      <c r="HLN130" s="118"/>
      <c r="HLO130" s="118"/>
      <c r="HLP130" s="118"/>
      <c r="HLQ130" s="118"/>
      <c r="HLR130" s="118"/>
      <c r="HLS130" s="118"/>
      <c r="HLT130" s="118"/>
      <c r="HLU130" s="118"/>
      <c r="HLV130" s="118"/>
      <c r="HLW130" s="118"/>
      <c r="HLX130" s="118"/>
      <c r="HLY130" s="118"/>
      <c r="HLZ130" s="118"/>
      <c r="HMA130" s="118"/>
      <c r="HMB130" s="118"/>
      <c r="HMC130" s="118"/>
      <c r="HMD130" s="118"/>
      <c r="HME130" s="118"/>
      <c r="HMF130" s="118"/>
      <c r="HMG130" s="118"/>
      <c r="HMH130" s="118"/>
      <c r="HMI130" s="118"/>
      <c r="HMJ130" s="118"/>
      <c r="HMK130" s="118"/>
      <c r="HML130" s="118"/>
      <c r="HMM130" s="118"/>
      <c r="HMN130" s="118"/>
      <c r="HMO130" s="118"/>
      <c r="HMP130" s="118"/>
      <c r="HMQ130" s="118"/>
      <c r="HMR130" s="118"/>
      <c r="HMS130" s="118"/>
      <c r="HMT130" s="118"/>
      <c r="HMU130" s="118"/>
      <c r="HMV130" s="118"/>
      <c r="HMW130" s="118"/>
      <c r="HMX130" s="118"/>
      <c r="HMY130" s="118"/>
      <c r="HMZ130" s="118"/>
      <c r="HNA130" s="118"/>
      <c r="HNB130" s="118"/>
      <c r="HNC130" s="118"/>
      <c r="HND130" s="118"/>
      <c r="HNE130" s="118"/>
      <c r="HNF130" s="118"/>
      <c r="HNG130" s="118"/>
      <c r="HNH130" s="118"/>
      <c r="HNI130" s="118"/>
      <c r="HNJ130" s="118"/>
      <c r="HNK130" s="118"/>
      <c r="HNL130" s="118"/>
      <c r="HNM130" s="118"/>
      <c r="HNN130" s="118"/>
      <c r="HNO130" s="118"/>
      <c r="HNP130" s="118"/>
      <c r="HNQ130" s="118"/>
      <c r="HNR130" s="118"/>
      <c r="HNS130" s="118"/>
      <c r="HNT130" s="118"/>
      <c r="HNU130" s="118"/>
      <c r="HNV130" s="118"/>
      <c r="HNW130" s="118"/>
      <c r="HNX130" s="118"/>
      <c r="HNY130" s="118"/>
      <c r="HNZ130" s="118"/>
      <c r="HOA130" s="118"/>
      <c r="HOB130" s="118"/>
      <c r="HOC130" s="118"/>
      <c r="HOD130" s="118"/>
      <c r="HOE130" s="118"/>
      <c r="HOF130" s="118"/>
      <c r="HOG130" s="118"/>
      <c r="HOH130" s="118"/>
      <c r="HOI130" s="118"/>
      <c r="HOJ130" s="118"/>
      <c r="HOK130" s="118"/>
      <c r="HOL130" s="118"/>
      <c r="HOM130" s="118"/>
      <c r="HON130" s="118"/>
      <c r="HOO130" s="118"/>
      <c r="HOP130" s="118"/>
      <c r="HOQ130" s="118"/>
      <c r="HOR130" s="118"/>
      <c r="HOS130" s="118"/>
      <c r="HOT130" s="118"/>
      <c r="HOU130" s="118"/>
      <c r="HOV130" s="118"/>
      <c r="HOW130" s="118"/>
      <c r="HOX130" s="118"/>
      <c r="HOY130" s="118"/>
      <c r="HOZ130" s="118"/>
      <c r="HPA130" s="118"/>
      <c r="HPB130" s="118"/>
      <c r="HPC130" s="118"/>
      <c r="HPD130" s="118"/>
      <c r="HPE130" s="118"/>
      <c r="HPF130" s="118"/>
      <c r="HPG130" s="118"/>
      <c r="HPH130" s="118"/>
      <c r="HPI130" s="118"/>
      <c r="HPJ130" s="118"/>
      <c r="HPK130" s="118"/>
      <c r="HPL130" s="118"/>
      <c r="HPM130" s="118"/>
      <c r="HPN130" s="118"/>
      <c r="HPO130" s="118"/>
      <c r="HPP130" s="118"/>
      <c r="HPQ130" s="118"/>
      <c r="HPR130" s="118"/>
      <c r="HPS130" s="118"/>
      <c r="HPT130" s="118"/>
      <c r="HPU130" s="118"/>
      <c r="HPV130" s="118"/>
      <c r="HPW130" s="118"/>
      <c r="HPX130" s="118"/>
      <c r="HPY130" s="118"/>
      <c r="HPZ130" s="118"/>
      <c r="HQA130" s="118"/>
      <c r="HQB130" s="118"/>
      <c r="HQC130" s="118"/>
      <c r="HQD130" s="118"/>
      <c r="HQE130" s="118"/>
      <c r="HQF130" s="118"/>
      <c r="HQG130" s="118"/>
      <c r="HQH130" s="118"/>
      <c r="HQI130" s="118"/>
      <c r="HQJ130" s="118"/>
      <c r="HQK130" s="118"/>
      <c r="HQL130" s="118"/>
      <c r="HQM130" s="118"/>
      <c r="HQN130" s="118"/>
      <c r="HQO130" s="118"/>
      <c r="HQP130" s="118"/>
      <c r="HQQ130" s="118"/>
      <c r="HQR130" s="118"/>
      <c r="HQS130" s="118"/>
      <c r="HQT130" s="118"/>
      <c r="HQU130" s="118"/>
      <c r="HQV130" s="118"/>
      <c r="HQW130" s="118"/>
      <c r="HQX130" s="118"/>
      <c r="HQY130" s="118"/>
      <c r="HQZ130" s="118"/>
      <c r="HRA130" s="118"/>
      <c r="HRB130" s="118"/>
      <c r="HRC130" s="118"/>
      <c r="HRD130" s="118"/>
      <c r="HRE130" s="118"/>
      <c r="HRF130" s="118"/>
      <c r="HRG130" s="118"/>
      <c r="HRH130" s="118"/>
      <c r="HRI130" s="118"/>
      <c r="HRJ130" s="118"/>
      <c r="HRK130" s="118"/>
      <c r="HRL130" s="118"/>
      <c r="HRM130" s="118"/>
      <c r="HRN130" s="118"/>
      <c r="HRO130" s="118"/>
      <c r="HRP130" s="118"/>
      <c r="HRQ130" s="118"/>
      <c r="HRR130" s="118"/>
      <c r="HRS130" s="118"/>
      <c r="HRT130" s="118"/>
      <c r="HRU130" s="118"/>
      <c r="HRV130" s="118"/>
      <c r="HRW130" s="118"/>
      <c r="HRX130" s="118"/>
      <c r="HRY130" s="118"/>
      <c r="HRZ130" s="118"/>
      <c r="HSA130" s="118"/>
      <c r="HSB130" s="118"/>
      <c r="HSC130" s="118"/>
      <c r="HSD130" s="118"/>
      <c r="HSE130" s="118"/>
      <c r="HSF130" s="118"/>
      <c r="HSG130" s="118"/>
      <c r="HSH130" s="118"/>
      <c r="HSI130" s="118"/>
      <c r="HSJ130" s="118"/>
      <c r="HSK130" s="118"/>
      <c r="HSL130" s="118"/>
      <c r="HSM130" s="118"/>
      <c r="HSN130" s="118"/>
      <c r="HSO130" s="118"/>
      <c r="HSP130" s="118"/>
      <c r="HSQ130" s="118"/>
      <c r="HSR130" s="118"/>
      <c r="HSS130" s="118"/>
      <c r="HST130" s="118"/>
      <c r="HSU130" s="118"/>
      <c r="HSV130" s="118"/>
      <c r="HSW130" s="118"/>
      <c r="HSX130" s="118"/>
      <c r="HSY130" s="118"/>
      <c r="HSZ130" s="118"/>
      <c r="HTA130" s="118"/>
      <c r="HTB130" s="118"/>
      <c r="HTC130" s="118"/>
      <c r="HTD130" s="118"/>
      <c r="HTE130" s="118"/>
      <c r="HTF130" s="118"/>
      <c r="HTG130" s="118"/>
      <c r="HTH130" s="118"/>
      <c r="HTI130" s="118"/>
      <c r="HTJ130" s="118"/>
      <c r="HTK130" s="118"/>
      <c r="HTL130" s="118"/>
      <c r="HTM130" s="118"/>
      <c r="HTN130" s="118"/>
      <c r="HTO130" s="118"/>
      <c r="HTP130" s="118"/>
      <c r="HTQ130" s="118"/>
      <c r="HTR130" s="118"/>
      <c r="HTS130" s="118"/>
      <c r="HTT130" s="118"/>
      <c r="HTU130" s="118"/>
      <c r="HTV130" s="118"/>
      <c r="HTW130" s="118"/>
      <c r="HTX130" s="118"/>
      <c r="HTY130" s="118"/>
      <c r="HTZ130" s="118"/>
      <c r="HUA130" s="118"/>
      <c r="HUB130" s="118"/>
      <c r="HUC130" s="118"/>
      <c r="HUD130" s="118"/>
      <c r="HUE130" s="118"/>
      <c r="HUF130" s="118"/>
      <c r="HUG130" s="118"/>
      <c r="HUH130" s="118"/>
      <c r="HUI130" s="118"/>
      <c r="HUJ130" s="118"/>
      <c r="HUK130" s="118"/>
      <c r="HUL130" s="118"/>
      <c r="HUM130" s="118"/>
      <c r="HUN130" s="118"/>
      <c r="HUO130" s="118"/>
      <c r="HUP130" s="118"/>
      <c r="HUQ130" s="118"/>
      <c r="HUR130" s="118"/>
      <c r="HUS130" s="118"/>
      <c r="HUT130" s="118"/>
      <c r="HUU130" s="118"/>
      <c r="HUV130" s="118"/>
      <c r="HUW130" s="118"/>
      <c r="HUX130" s="118"/>
      <c r="HUY130" s="118"/>
      <c r="HUZ130" s="118"/>
      <c r="HVA130" s="118"/>
      <c r="HVB130" s="118"/>
      <c r="HVC130" s="118"/>
      <c r="HVD130" s="118"/>
      <c r="HVE130" s="118"/>
      <c r="HVF130" s="118"/>
      <c r="HVG130" s="118"/>
      <c r="HVH130" s="118"/>
      <c r="HVI130" s="118"/>
      <c r="HVJ130" s="118"/>
      <c r="HVK130" s="118"/>
      <c r="HVL130" s="118"/>
      <c r="HVM130" s="118"/>
      <c r="HVN130" s="118"/>
      <c r="HVO130" s="118"/>
      <c r="HVP130" s="118"/>
      <c r="HVQ130" s="118"/>
      <c r="HVR130" s="118"/>
      <c r="HVS130" s="118"/>
      <c r="HVT130" s="118"/>
      <c r="HVU130" s="118"/>
      <c r="HVV130" s="118"/>
      <c r="HVW130" s="118"/>
      <c r="HVX130" s="118"/>
      <c r="HVY130" s="118"/>
      <c r="HVZ130" s="118"/>
      <c r="HWA130" s="118"/>
      <c r="HWB130" s="118"/>
      <c r="HWC130" s="118"/>
      <c r="HWD130" s="118"/>
      <c r="HWE130" s="118"/>
      <c r="HWF130" s="118"/>
      <c r="HWG130" s="118"/>
      <c r="HWH130" s="118"/>
      <c r="HWI130" s="118"/>
      <c r="HWJ130" s="118"/>
      <c r="HWK130" s="118"/>
      <c r="HWL130" s="118"/>
      <c r="HWM130" s="118"/>
      <c r="HWN130" s="118"/>
      <c r="HWO130" s="118"/>
      <c r="HWP130" s="118"/>
      <c r="HWQ130" s="118"/>
      <c r="HWR130" s="118"/>
      <c r="HWS130" s="118"/>
      <c r="HWT130" s="118"/>
      <c r="HWU130" s="118"/>
      <c r="HWV130" s="118"/>
      <c r="HWW130" s="118"/>
      <c r="HWX130" s="118"/>
      <c r="HWY130" s="118"/>
      <c r="HWZ130" s="118"/>
      <c r="HXA130" s="118"/>
      <c r="HXB130" s="118"/>
      <c r="HXC130" s="118"/>
      <c r="HXD130" s="118"/>
      <c r="HXE130" s="118"/>
      <c r="HXF130" s="118"/>
      <c r="HXG130" s="118"/>
      <c r="HXH130" s="118"/>
      <c r="HXI130" s="118"/>
      <c r="HXJ130" s="118"/>
      <c r="HXK130" s="118"/>
      <c r="HXL130" s="118"/>
      <c r="HXM130" s="118"/>
      <c r="HXN130" s="118"/>
      <c r="HXO130" s="118"/>
      <c r="HXP130" s="118"/>
      <c r="HXQ130" s="118"/>
      <c r="HXR130" s="118"/>
      <c r="HXS130" s="118"/>
      <c r="HXT130" s="118"/>
      <c r="HXU130" s="118"/>
      <c r="HXV130" s="118"/>
      <c r="HXW130" s="118"/>
      <c r="HXX130" s="118"/>
      <c r="HXY130" s="118"/>
      <c r="HXZ130" s="118"/>
      <c r="HYA130" s="118"/>
      <c r="HYB130" s="118"/>
      <c r="HYC130" s="118"/>
      <c r="HYD130" s="118"/>
      <c r="HYE130" s="118"/>
      <c r="HYF130" s="118"/>
      <c r="HYG130" s="118"/>
      <c r="HYH130" s="118"/>
      <c r="HYI130" s="118"/>
      <c r="HYJ130" s="118"/>
      <c r="HYK130" s="118"/>
      <c r="HYL130" s="118"/>
      <c r="HYM130" s="118"/>
      <c r="HYN130" s="118"/>
      <c r="HYO130" s="118"/>
      <c r="HYP130" s="118"/>
      <c r="HYQ130" s="118"/>
      <c r="HYR130" s="118"/>
      <c r="HYS130" s="118"/>
      <c r="HYT130" s="118"/>
      <c r="HYU130" s="118"/>
      <c r="HYV130" s="118"/>
      <c r="HYW130" s="118"/>
      <c r="HYX130" s="118"/>
      <c r="HYY130" s="118"/>
      <c r="HYZ130" s="118"/>
      <c r="HZA130" s="118"/>
      <c r="HZB130" s="118"/>
      <c r="HZC130" s="118"/>
      <c r="HZD130" s="118"/>
      <c r="HZE130" s="118"/>
      <c r="HZF130" s="118"/>
      <c r="HZG130" s="118"/>
      <c r="HZH130" s="118"/>
      <c r="HZI130" s="118"/>
      <c r="HZJ130" s="118"/>
      <c r="HZK130" s="118"/>
      <c r="HZL130" s="118"/>
      <c r="HZM130" s="118"/>
      <c r="HZN130" s="118"/>
      <c r="HZO130" s="118"/>
      <c r="HZP130" s="118"/>
      <c r="HZQ130" s="118"/>
      <c r="HZR130" s="118"/>
      <c r="HZS130" s="118"/>
      <c r="HZT130" s="118"/>
      <c r="HZU130" s="118"/>
      <c r="HZV130" s="118"/>
      <c r="HZW130" s="118"/>
      <c r="HZX130" s="118"/>
      <c r="HZY130" s="118"/>
      <c r="HZZ130" s="118"/>
      <c r="IAA130" s="118"/>
      <c r="IAB130" s="118"/>
      <c r="IAC130" s="118"/>
      <c r="IAD130" s="118"/>
      <c r="IAE130" s="118"/>
      <c r="IAF130" s="118"/>
      <c r="IAG130" s="118"/>
      <c r="IAH130" s="118"/>
      <c r="IAI130" s="118"/>
      <c r="IAJ130" s="118"/>
      <c r="IAK130" s="118"/>
      <c r="IAL130" s="118"/>
      <c r="IAM130" s="118"/>
      <c r="IAN130" s="118"/>
      <c r="IAO130" s="118"/>
      <c r="IAP130" s="118"/>
      <c r="IAQ130" s="118"/>
      <c r="IAR130" s="118"/>
      <c r="IAS130" s="118"/>
      <c r="IAT130" s="118"/>
      <c r="IAU130" s="118"/>
      <c r="IAV130" s="118"/>
      <c r="IAW130" s="118"/>
      <c r="IAX130" s="118"/>
      <c r="IAY130" s="118"/>
      <c r="IAZ130" s="118"/>
      <c r="IBA130" s="118"/>
      <c r="IBB130" s="118"/>
      <c r="IBC130" s="118"/>
      <c r="IBD130" s="118"/>
      <c r="IBE130" s="118"/>
      <c r="IBF130" s="118"/>
      <c r="IBG130" s="118"/>
      <c r="IBH130" s="118"/>
      <c r="IBI130" s="118"/>
      <c r="IBJ130" s="118"/>
      <c r="IBK130" s="118"/>
      <c r="IBL130" s="118"/>
      <c r="IBM130" s="118"/>
      <c r="IBN130" s="118"/>
      <c r="IBO130" s="118"/>
      <c r="IBP130" s="118"/>
      <c r="IBQ130" s="118"/>
      <c r="IBR130" s="118"/>
      <c r="IBS130" s="118"/>
      <c r="IBT130" s="118"/>
      <c r="IBU130" s="118"/>
      <c r="IBV130" s="118"/>
      <c r="IBW130" s="118"/>
      <c r="IBX130" s="118"/>
      <c r="IBY130" s="118"/>
      <c r="IBZ130" s="118"/>
      <c r="ICA130" s="118"/>
      <c r="ICB130" s="118"/>
      <c r="ICC130" s="118"/>
      <c r="ICD130" s="118"/>
      <c r="ICE130" s="118"/>
      <c r="ICF130" s="118"/>
      <c r="ICG130" s="118"/>
      <c r="ICH130" s="118"/>
      <c r="ICI130" s="118"/>
      <c r="ICJ130" s="118"/>
      <c r="ICK130" s="118"/>
      <c r="ICL130" s="118"/>
      <c r="ICM130" s="118"/>
      <c r="ICN130" s="118"/>
      <c r="ICO130" s="118"/>
      <c r="ICP130" s="118"/>
      <c r="ICQ130" s="118"/>
      <c r="ICR130" s="118"/>
      <c r="ICS130" s="118"/>
      <c r="ICT130" s="118"/>
      <c r="ICU130" s="118"/>
      <c r="ICV130" s="118"/>
      <c r="ICW130" s="118"/>
      <c r="ICX130" s="118"/>
      <c r="ICY130" s="118"/>
      <c r="ICZ130" s="118"/>
      <c r="IDA130" s="118"/>
      <c r="IDB130" s="118"/>
      <c r="IDC130" s="118"/>
      <c r="IDD130" s="118"/>
      <c r="IDE130" s="118"/>
      <c r="IDF130" s="118"/>
      <c r="IDG130" s="118"/>
      <c r="IDH130" s="118"/>
      <c r="IDI130" s="118"/>
      <c r="IDJ130" s="118"/>
      <c r="IDK130" s="118"/>
      <c r="IDL130" s="118"/>
      <c r="IDM130" s="118"/>
      <c r="IDN130" s="118"/>
      <c r="IDO130" s="118"/>
      <c r="IDP130" s="118"/>
      <c r="IDQ130" s="118"/>
      <c r="IDR130" s="118"/>
      <c r="IDS130" s="118"/>
      <c r="IDT130" s="118"/>
      <c r="IDU130" s="118"/>
      <c r="IDV130" s="118"/>
      <c r="IDW130" s="118"/>
      <c r="IDX130" s="118"/>
      <c r="IDY130" s="118"/>
      <c r="IDZ130" s="118"/>
      <c r="IEA130" s="118"/>
      <c r="IEB130" s="118"/>
      <c r="IEC130" s="118"/>
      <c r="IED130" s="118"/>
      <c r="IEE130" s="118"/>
      <c r="IEF130" s="118"/>
      <c r="IEG130" s="118"/>
      <c r="IEH130" s="118"/>
      <c r="IEI130" s="118"/>
      <c r="IEJ130" s="118"/>
      <c r="IEK130" s="118"/>
      <c r="IEL130" s="118"/>
      <c r="IEM130" s="118"/>
      <c r="IEN130" s="118"/>
      <c r="IEO130" s="118"/>
      <c r="IEP130" s="118"/>
      <c r="IEQ130" s="118"/>
      <c r="IER130" s="118"/>
      <c r="IES130" s="118"/>
      <c r="IET130" s="118"/>
      <c r="IEU130" s="118"/>
      <c r="IEV130" s="118"/>
      <c r="IEW130" s="118"/>
      <c r="IEX130" s="118"/>
      <c r="IEY130" s="118"/>
      <c r="IEZ130" s="118"/>
      <c r="IFA130" s="118"/>
      <c r="IFB130" s="118"/>
      <c r="IFC130" s="118"/>
      <c r="IFD130" s="118"/>
      <c r="IFE130" s="118"/>
      <c r="IFF130" s="118"/>
      <c r="IFG130" s="118"/>
      <c r="IFH130" s="118"/>
      <c r="IFI130" s="118"/>
      <c r="IFJ130" s="118"/>
      <c r="IFK130" s="118"/>
      <c r="IFL130" s="118"/>
      <c r="IFM130" s="118"/>
      <c r="IFN130" s="118"/>
      <c r="IFO130" s="118"/>
      <c r="IFP130" s="118"/>
      <c r="IFQ130" s="118"/>
      <c r="IFR130" s="118"/>
      <c r="IFS130" s="118"/>
      <c r="IFT130" s="118"/>
      <c r="IFU130" s="118"/>
      <c r="IFV130" s="118"/>
      <c r="IFW130" s="118"/>
      <c r="IFX130" s="118"/>
      <c r="IFY130" s="118"/>
      <c r="IFZ130" s="118"/>
      <c r="IGA130" s="118"/>
      <c r="IGB130" s="118"/>
      <c r="IGC130" s="118"/>
      <c r="IGD130" s="118"/>
      <c r="IGE130" s="118"/>
      <c r="IGF130" s="118"/>
      <c r="IGG130" s="118"/>
      <c r="IGH130" s="118"/>
      <c r="IGI130" s="118"/>
      <c r="IGJ130" s="118"/>
      <c r="IGK130" s="118"/>
      <c r="IGL130" s="118"/>
      <c r="IGM130" s="118"/>
      <c r="IGN130" s="118"/>
      <c r="IGO130" s="118"/>
      <c r="IGP130" s="118"/>
      <c r="IGQ130" s="118"/>
      <c r="IGR130" s="118"/>
      <c r="IGS130" s="118"/>
      <c r="IGT130" s="118"/>
      <c r="IGU130" s="118"/>
      <c r="IGV130" s="118"/>
      <c r="IGW130" s="118"/>
      <c r="IGX130" s="118"/>
      <c r="IGY130" s="118"/>
      <c r="IGZ130" s="118"/>
      <c r="IHA130" s="118"/>
      <c r="IHB130" s="118"/>
      <c r="IHC130" s="118"/>
      <c r="IHD130" s="118"/>
      <c r="IHE130" s="118"/>
      <c r="IHF130" s="118"/>
      <c r="IHG130" s="118"/>
      <c r="IHH130" s="118"/>
      <c r="IHI130" s="118"/>
      <c r="IHJ130" s="118"/>
      <c r="IHK130" s="118"/>
      <c r="IHL130" s="118"/>
      <c r="IHM130" s="118"/>
      <c r="IHN130" s="118"/>
      <c r="IHO130" s="118"/>
      <c r="IHP130" s="118"/>
      <c r="IHQ130" s="118"/>
      <c r="IHR130" s="118"/>
      <c r="IHS130" s="118"/>
      <c r="IHT130" s="118"/>
      <c r="IHU130" s="118"/>
      <c r="IHV130" s="118"/>
      <c r="IHW130" s="118"/>
      <c r="IHX130" s="118"/>
      <c r="IHY130" s="118"/>
      <c r="IHZ130" s="118"/>
      <c r="IIA130" s="118"/>
      <c r="IIB130" s="118"/>
      <c r="IIC130" s="118"/>
      <c r="IID130" s="118"/>
      <c r="IIE130" s="118"/>
      <c r="IIF130" s="118"/>
      <c r="IIG130" s="118"/>
      <c r="IIH130" s="118"/>
      <c r="III130" s="118"/>
      <c r="IIJ130" s="118"/>
      <c r="IIK130" s="118"/>
      <c r="IIL130" s="118"/>
      <c r="IIM130" s="118"/>
      <c r="IIN130" s="118"/>
      <c r="IIO130" s="118"/>
      <c r="IIP130" s="118"/>
      <c r="IIQ130" s="118"/>
      <c r="IIR130" s="118"/>
      <c r="IIS130" s="118"/>
      <c r="IIT130" s="118"/>
      <c r="IIU130" s="118"/>
      <c r="IIV130" s="118"/>
      <c r="IIW130" s="118"/>
      <c r="IIX130" s="118"/>
      <c r="IIY130" s="118"/>
      <c r="IIZ130" s="118"/>
      <c r="IJA130" s="118"/>
      <c r="IJB130" s="118"/>
      <c r="IJC130" s="118"/>
      <c r="IJD130" s="118"/>
      <c r="IJE130" s="118"/>
      <c r="IJF130" s="118"/>
      <c r="IJG130" s="118"/>
      <c r="IJH130" s="118"/>
      <c r="IJI130" s="118"/>
      <c r="IJJ130" s="118"/>
      <c r="IJK130" s="118"/>
      <c r="IJL130" s="118"/>
      <c r="IJM130" s="118"/>
      <c r="IJN130" s="118"/>
      <c r="IJO130" s="118"/>
      <c r="IJP130" s="118"/>
      <c r="IJQ130" s="118"/>
      <c r="IJR130" s="118"/>
      <c r="IJS130" s="118"/>
      <c r="IJT130" s="118"/>
      <c r="IJU130" s="118"/>
      <c r="IJV130" s="118"/>
      <c r="IJW130" s="118"/>
      <c r="IJX130" s="118"/>
      <c r="IJY130" s="118"/>
      <c r="IJZ130" s="118"/>
      <c r="IKA130" s="118"/>
      <c r="IKB130" s="118"/>
      <c r="IKC130" s="118"/>
      <c r="IKD130" s="118"/>
      <c r="IKE130" s="118"/>
      <c r="IKF130" s="118"/>
      <c r="IKG130" s="118"/>
      <c r="IKH130" s="118"/>
      <c r="IKI130" s="118"/>
      <c r="IKJ130" s="118"/>
      <c r="IKK130" s="118"/>
      <c r="IKL130" s="118"/>
      <c r="IKM130" s="118"/>
      <c r="IKN130" s="118"/>
      <c r="IKO130" s="118"/>
      <c r="IKP130" s="118"/>
      <c r="IKQ130" s="118"/>
      <c r="IKR130" s="118"/>
      <c r="IKS130" s="118"/>
      <c r="IKT130" s="118"/>
      <c r="IKU130" s="118"/>
      <c r="IKV130" s="118"/>
      <c r="IKW130" s="118"/>
      <c r="IKX130" s="118"/>
      <c r="IKY130" s="118"/>
      <c r="IKZ130" s="118"/>
      <c r="ILA130" s="118"/>
      <c r="ILB130" s="118"/>
      <c r="ILC130" s="118"/>
      <c r="ILD130" s="118"/>
      <c r="ILE130" s="118"/>
      <c r="ILF130" s="118"/>
      <c r="ILG130" s="118"/>
      <c r="ILH130" s="118"/>
      <c r="ILI130" s="118"/>
      <c r="ILJ130" s="118"/>
      <c r="ILK130" s="118"/>
      <c r="ILL130" s="118"/>
      <c r="ILM130" s="118"/>
      <c r="ILN130" s="118"/>
      <c r="ILO130" s="118"/>
      <c r="ILP130" s="118"/>
      <c r="ILQ130" s="118"/>
      <c r="ILR130" s="118"/>
      <c r="ILS130" s="118"/>
      <c r="ILT130" s="118"/>
      <c r="ILU130" s="118"/>
      <c r="ILV130" s="118"/>
      <c r="ILW130" s="118"/>
      <c r="ILX130" s="118"/>
      <c r="ILY130" s="118"/>
      <c r="ILZ130" s="118"/>
      <c r="IMA130" s="118"/>
      <c r="IMB130" s="118"/>
      <c r="IMC130" s="118"/>
      <c r="IMD130" s="118"/>
      <c r="IME130" s="118"/>
      <c r="IMF130" s="118"/>
      <c r="IMG130" s="118"/>
      <c r="IMH130" s="118"/>
      <c r="IMI130" s="118"/>
      <c r="IMJ130" s="118"/>
      <c r="IMK130" s="118"/>
      <c r="IML130" s="118"/>
      <c r="IMM130" s="118"/>
      <c r="IMN130" s="118"/>
      <c r="IMO130" s="118"/>
      <c r="IMP130" s="118"/>
      <c r="IMQ130" s="118"/>
      <c r="IMR130" s="118"/>
      <c r="IMS130" s="118"/>
      <c r="IMT130" s="118"/>
      <c r="IMU130" s="118"/>
      <c r="IMV130" s="118"/>
      <c r="IMW130" s="118"/>
      <c r="IMX130" s="118"/>
      <c r="IMY130" s="118"/>
      <c r="IMZ130" s="118"/>
      <c r="INA130" s="118"/>
      <c r="INB130" s="118"/>
      <c r="INC130" s="118"/>
      <c r="IND130" s="118"/>
      <c r="INE130" s="118"/>
      <c r="INF130" s="118"/>
      <c r="ING130" s="118"/>
      <c r="INH130" s="118"/>
      <c r="INI130" s="118"/>
      <c r="INJ130" s="118"/>
      <c r="INK130" s="118"/>
      <c r="INL130" s="118"/>
      <c r="INM130" s="118"/>
      <c r="INN130" s="118"/>
      <c r="INO130" s="118"/>
      <c r="INP130" s="118"/>
      <c r="INQ130" s="118"/>
      <c r="INR130" s="118"/>
      <c r="INS130" s="118"/>
      <c r="INT130" s="118"/>
      <c r="INU130" s="118"/>
      <c r="INV130" s="118"/>
      <c r="INW130" s="118"/>
      <c r="INX130" s="118"/>
      <c r="INY130" s="118"/>
      <c r="INZ130" s="118"/>
      <c r="IOA130" s="118"/>
      <c r="IOB130" s="118"/>
      <c r="IOC130" s="118"/>
      <c r="IOD130" s="118"/>
      <c r="IOE130" s="118"/>
      <c r="IOF130" s="118"/>
      <c r="IOG130" s="118"/>
      <c r="IOH130" s="118"/>
      <c r="IOI130" s="118"/>
      <c r="IOJ130" s="118"/>
      <c r="IOK130" s="118"/>
      <c r="IOL130" s="118"/>
      <c r="IOM130" s="118"/>
      <c r="ION130" s="118"/>
      <c r="IOO130" s="118"/>
      <c r="IOP130" s="118"/>
      <c r="IOQ130" s="118"/>
      <c r="IOR130" s="118"/>
      <c r="IOS130" s="118"/>
      <c r="IOT130" s="118"/>
      <c r="IOU130" s="118"/>
      <c r="IOV130" s="118"/>
      <c r="IOW130" s="118"/>
      <c r="IOX130" s="118"/>
      <c r="IOY130" s="118"/>
      <c r="IOZ130" s="118"/>
      <c r="IPA130" s="118"/>
      <c r="IPB130" s="118"/>
      <c r="IPC130" s="118"/>
      <c r="IPD130" s="118"/>
      <c r="IPE130" s="118"/>
      <c r="IPF130" s="118"/>
      <c r="IPG130" s="118"/>
      <c r="IPH130" s="118"/>
      <c r="IPI130" s="118"/>
      <c r="IPJ130" s="118"/>
      <c r="IPK130" s="118"/>
      <c r="IPL130" s="118"/>
      <c r="IPM130" s="118"/>
      <c r="IPN130" s="118"/>
      <c r="IPO130" s="118"/>
      <c r="IPP130" s="118"/>
      <c r="IPQ130" s="118"/>
      <c r="IPR130" s="118"/>
      <c r="IPS130" s="118"/>
      <c r="IPT130" s="118"/>
      <c r="IPU130" s="118"/>
      <c r="IPV130" s="118"/>
      <c r="IPW130" s="118"/>
      <c r="IPX130" s="118"/>
      <c r="IPY130" s="118"/>
      <c r="IPZ130" s="118"/>
      <c r="IQA130" s="118"/>
      <c r="IQB130" s="118"/>
      <c r="IQC130" s="118"/>
      <c r="IQD130" s="118"/>
      <c r="IQE130" s="118"/>
      <c r="IQF130" s="118"/>
      <c r="IQG130" s="118"/>
      <c r="IQH130" s="118"/>
      <c r="IQI130" s="118"/>
      <c r="IQJ130" s="118"/>
      <c r="IQK130" s="118"/>
      <c r="IQL130" s="118"/>
      <c r="IQM130" s="118"/>
      <c r="IQN130" s="118"/>
      <c r="IQO130" s="118"/>
      <c r="IQP130" s="118"/>
      <c r="IQQ130" s="118"/>
      <c r="IQR130" s="118"/>
      <c r="IQS130" s="118"/>
      <c r="IQT130" s="118"/>
      <c r="IQU130" s="118"/>
      <c r="IQV130" s="118"/>
      <c r="IQW130" s="118"/>
      <c r="IQX130" s="118"/>
      <c r="IQY130" s="118"/>
      <c r="IQZ130" s="118"/>
      <c r="IRA130" s="118"/>
      <c r="IRB130" s="118"/>
      <c r="IRC130" s="118"/>
      <c r="IRD130" s="118"/>
      <c r="IRE130" s="118"/>
      <c r="IRF130" s="118"/>
      <c r="IRG130" s="118"/>
      <c r="IRH130" s="118"/>
      <c r="IRI130" s="118"/>
      <c r="IRJ130" s="118"/>
      <c r="IRK130" s="118"/>
      <c r="IRL130" s="118"/>
      <c r="IRM130" s="118"/>
      <c r="IRN130" s="118"/>
      <c r="IRO130" s="118"/>
      <c r="IRP130" s="118"/>
      <c r="IRQ130" s="118"/>
      <c r="IRR130" s="118"/>
      <c r="IRS130" s="118"/>
      <c r="IRT130" s="118"/>
      <c r="IRU130" s="118"/>
      <c r="IRV130" s="118"/>
      <c r="IRW130" s="118"/>
      <c r="IRX130" s="118"/>
      <c r="IRY130" s="118"/>
      <c r="IRZ130" s="118"/>
      <c r="ISA130" s="118"/>
      <c r="ISB130" s="118"/>
      <c r="ISC130" s="118"/>
      <c r="ISD130" s="118"/>
      <c r="ISE130" s="118"/>
      <c r="ISF130" s="118"/>
      <c r="ISG130" s="118"/>
      <c r="ISH130" s="118"/>
      <c r="ISI130" s="118"/>
      <c r="ISJ130" s="118"/>
      <c r="ISK130" s="118"/>
      <c r="ISL130" s="118"/>
      <c r="ISM130" s="118"/>
      <c r="ISN130" s="118"/>
      <c r="ISO130" s="118"/>
      <c r="ISP130" s="118"/>
      <c r="ISQ130" s="118"/>
      <c r="ISR130" s="118"/>
      <c r="ISS130" s="118"/>
      <c r="IST130" s="118"/>
      <c r="ISU130" s="118"/>
      <c r="ISV130" s="118"/>
      <c r="ISW130" s="118"/>
      <c r="ISX130" s="118"/>
      <c r="ISY130" s="118"/>
      <c r="ISZ130" s="118"/>
      <c r="ITA130" s="118"/>
      <c r="ITB130" s="118"/>
      <c r="ITC130" s="118"/>
      <c r="ITD130" s="118"/>
      <c r="ITE130" s="118"/>
      <c r="ITF130" s="118"/>
      <c r="ITG130" s="118"/>
      <c r="ITH130" s="118"/>
      <c r="ITI130" s="118"/>
      <c r="ITJ130" s="118"/>
      <c r="ITK130" s="118"/>
      <c r="ITL130" s="118"/>
      <c r="ITM130" s="118"/>
      <c r="ITN130" s="118"/>
      <c r="ITO130" s="118"/>
      <c r="ITP130" s="118"/>
      <c r="ITQ130" s="118"/>
      <c r="ITR130" s="118"/>
      <c r="ITS130" s="118"/>
      <c r="ITT130" s="118"/>
      <c r="ITU130" s="118"/>
      <c r="ITV130" s="118"/>
      <c r="ITW130" s="118"/>
      <c r="ITX130" s="118"/>
      <c r="ITY130" s="118"/>
      <c r="ITZ130" s="118"/>
      <c r="IUA130" s="118"/>
      <c r="IUB130" s="118"/>
      <c r="IUC130" s="118"/>
      <c r="IUD130" s="118"/>
      <c r="IUE130" s="118"/>
      <c r="IUF130" s="118"/>
      <c r="IUG130" s="118"/>
      <c r="IUH130" s="118"/>
      <c r="IUI130" s="118"/>
      <c r="IUJ130" s="118"/>
      <c r="IUK130" s="118"/>
      <c r="IUL130" s="118"/>
      <c r="IUM130" s="118"/>
      <c r="IUN130" s="118"/>
      <c r="IUO130" s="118"/>
      <c r="IUP130" s="118"/>
      <c r="IUQ130" s="118"/>
      <c r="IUR130" s="118"/>
      <c r="IUS130" s="118"/>
      <c r="IUT130" s="118"/>
      <c r="IUU130" s="118"/>
      <c r="IUV130" s="118"/>
      <c r="IUW130" s="118"/>
      <c r="IUX130" s="118"/>
      <c r="IUY130" s="118"/>
      <c r="IUZ130" s="118"/>
      <c r="IVA130" s="118"/>
      <c r="IVB130" s="118"/>
      <c r="IVC130" s="118"/>
      <c r="IVD130" s="118"/>
      <c r="IVE130" s="118"/>
      <c r="IVF130" s="118"/>
      <c r="IVG130" s="118"/>
      <c r="IVH130" s="118"/>
      <c r="IVI130" s="118"/>
      <c r="IVJ130" s="118"/>
      <c r="IVK130" s="118"/>
      <c r="IVL130" s="118"/>
      <c r="IVM130" s="118"/>
      <c r="IVN130" s="118"/>
      <c r="IVO130" s="118"/>
      <c r="IVP130" s="118"/>
      <c r="IVQ130" s="118"/>
      <c r="IVR130" s="118"/>
      <c r="IVS130" s="118"/>
      <c r="IVT130" s="118"/>
      <c r="IVU130" s="118"/>
      <c r="IVV130" s="118"/>
      <c r="IVW130" s="118"/>
      <c r="IVX130" s="118"/>
      <c r="IVY130" s="118"/>
      <c r="IVZ130" s="118"/>
      <c r="IWA130" s="118"/>
      <c r="IWB130" s="118"/>
      <c r="IWC130" s="118"/>
      <c r="IWD130" s="118"/>
      <c r="IWE130" s="118"/>
      <c r="IWF130" s="118"/>
      <c r="IWG130" s="118"/>
      <c r="IWH130" s="118"/>
      <c r="IWI130" s="118"/>
      <c r="IWJ130" s="118"/>
      <c r="IWK130" s="118"/>
      <c r="IWL130" s="118"/>
      <c r="IWM130" s="118"/>
      <c r="IWN130" s="118"/>
      <c r="IWO130" s="118"/>
      <c r="IWP130" s="118"/>
      <c r="IWQ130" s="118"/>
      <c r="IWR130" s="118"/>
      <c r="IWS130" s="118"/>
      <c r="IWT130" s="118"/>
      <c r="IWU130" s="118"/>
      <c r="IWV130" s="118"/>
      <c r="IWW130" s="118"/>
      <c r="IWX130" s="118"/>
      <c r="IWY130" s="118"/>
      <c r="IWZ130" s="118"/>
      <c r="IXA130" s="118"/>
      <c r="IXB130" s="118"/>
      <c r="IXC130" s="118"/>
      <c r="IXD130" s="118"/>
      <c r="IXE130" s="118"/>
      <c r="IXF130" s="118"/>
      <c r="IXG130" s="118"/>
      <c r="IXH130" s="118"/>
      <c r="IXI130" s="118"/>
      <c r="IXJ130" s="118"/>
      <c r="IXK130" s="118"/>
      <c r="IXL130" s="118"/>
      <c r="IXM130" s="118"/>
      <c r="IXN130" s="118"/>
      <c r="IXO130" s="118"/>
      <c r="IXP130" s="118"/>
      <c r="IXQ130" s="118"/>
      <c r="IXR130" s="118"/>
      <c r="IXS130" s="118"/>
      <c r="IXT130" s="118"/>
      <c r="IXU130" s="118"/>
      <c r="IXV130" s="118"/>
      <c r="IXW130" s="118"/>
      <c r="IXX130" s="118"/>
      <c r="IXY130" s="118"/>
      <c r="IXZ130" s="118"/>
      <c r="IYA130" s="118"/>
      <c r="IYB130" s="118"/>
      <c r="IYC130" s="118"/>
      <c r="IYD130" s="118"/>
      <c r="IYE130" s="118"/>
      <c r="IYF130" s="118"/>
      <c r="IYG130" s="118"/>
      <c r="IYH130" s="118"/>
      <c r="IYI130" s="118"/>
      <c r="IYJ130" s="118"/>
      <c r="IYK130" s="118"/>
      <c r="IYL130" s="118"/>
      <c r="IYM130" s="118"/>
      <c r="IYN130" s="118"/>
      <c r="IYO130" s="118"/>
      <c r="IYP130" s="118"/>
      <c r="IYQ130" s="118"/>
      <c r="IYR130" s="118"/>
      <c r="IYS130" s="118"/>
      <c r="IYT130" s="118"/>
      <c r="IYU130" s="118"/>
      <c r="IYV130" s="118"/>
      <c r="IYW130" s="118"/>
      <c r="IYX130" s="118"/>
      <c r="IYY130" s="118"/>
      <c r="IYZ130" s="118"/>
      <c r="IZA130" s="118"/>
      <c r="IZB130" s="118"/>
      <c r="IZC130" s="118"/>
      <c r="IZD130" s="118"/>
      <c r="IZE130" s="118"/>
      <c r="IZF130" s="118"/>
      <c r="IZG130" s="118"/>
      <c r="IZH130" s="118"/>
      <c r="IZI130" s="118"/>
      <c r="IZJ130" s="118"/>
      <c r="IZK130" s="118"/>
      <c r="IZL130" s="118"/>
      <c r="IZM130" s="118"/>
      <c r="IZN130" s="118"/>
      <c r="IZO130" s="118"/>
      <c r="IZP130" s="118"/>
      <c r="IZQ130" s="118"/>
      <c r="IZR130" s="118"/>
      <c r="IZS130" s="118"/>
      <c r="IZT130" s="118"/>
      <c r="IZU130" s="118"/>
      <c r="IZV130" s="118"/>
      <c r="IZW130" s="118"/>
      <c r="IZX130" s="118"/>
      <c r="IZY130" s="118"/>
      <c r="IZZ130" s="118"/>
      <c r="JAA130" s="118"/>
      <c r="JAB130" s="118"/>
      <c r="JAC130" s="118"/>
      <c r="JAD130" s="118"/>
      <c r="JAE130" s="118"/>
      <c r="JAF130" s="118"/>
      <c r="JAG130" s="118"/>
      <c r="JAH130" s="118"/>
      <c r="JAI130" s="118"/>
      <c r="JAJ130" s="118"/>
      <c r="JAK130" s="118"/>
      <c r="JAL130" s="118"/>
      <c r="JAM130" s="118"/>
      <c r="JAN130" s="118"/>
      <c r="JAO130" s="118"/>
      <c r="JAP130" s="118"/>
      <c r="JAQ130" s="118"/>
      <c r="JAR130" s="118"/>
      <c r="JAS130" s="118"/>
      <c r="JAT130" s="118"/>
      <c r="JAU130" s="118"/>
      <c r="JAV130" s="118"/>
      <c r="JAW130" s="118"/>
      <c r="JAX130" s="118"/>
      <c r="JAY130" s="118"/>
      <c r="JAZ130" s="118"/>
      <c r="JBA130" s="118"/>
      <c r="JBB130" s="118"/>
      <c r="JBC130" s="118"/>
      <c r="JBD130" s="118"/>
      <c r="JBE130" s="118"/>
      <c r="JBF130" s="118"/>
      <c r="JBG130" s="118"/>
      <c r="JBH130" s="118"/>
      <c r="JBI130" s="118"/>
      <c r="JBJ130" s="118"/>
      <c r="JBK130" s="118"/>
      <c r="JBL130" s="118"/>
      <c r="JBM130" s="118"/>
      <c r="JBN130" s="118"/>
      <c r="JBO130" s="118"/>
      <c r="JBP130" s="118"/>
      <c r="JBQ130" s="118"/>
      <c r="JBR130" s="118"/>
      <c r="JBS130" s="118"/>
      <c r="JBT130" s="118"/>
      <c r="JBU130" s="118"/>
      <c r="JBV130" s="118"/>
      <c r="JBW130" s="118"/>
      <c r="JBX130" s="118"/>
      <c r="JBY130" s="118"/>
      <c r="JBZ130" s="118"/>
      <c r="JCA130" s="118"/>
      <c r="JCB130" s="118"/>
      <c r="JCC130" s="118"/>
      <c r="JCD130" s="118"/>
      <c r="JCE130" s="118"/>
      <c r="JCF130" s="118"/>
      <c r="JCG130" s="118"/>
      <c r="JCH130" s="118"/>
      <c r="JCI130" s="118"/>
      <c r="JCJ130" s="118"/>
      <c r="JCK130" s="118"/>
      <c r="JCL130" s="118"/>
      <c r="JCM130" s="118"/>
      <c r="JCN130" s="118"/>
      <c r="JCO130" s="118"/>
      <c r="JCP130" s="118"/>
      <c r="JCQ130" s="118"/>
      <c r="JCR130" s="118"/>
      <c r="JCS130" s="118"/>
      <c r="JCT130" s="118"/>
      <c r="JCU130" s="118"/>
      <c r="JCV130" s="118"/>
      <c r="JCW130" s="118"/>
      <c r="JCX130" s="118"/>
      <c r="JCY130" s="118"/>
      <c r="JCZ130" s="118"/>
      <c r="JDA130" s="118"/>
      <c r="JDB130" s="118"/>
      <c r="JDC130" s="118"/>
      <c r="JDD130" s="118"/>
      <c r="JDE130" s="118"/>
      <c r="JDF130" s="118"/>
      <c r="JDG130" s="118"/>
      <c r="JDH130" s="118"/>
      <c r="JDI130" s="118"/>
      <c r="JDJ130" s="118"/>
      <c r="JDK130" s="118"/>
      <c r="JDL130" s="118"/>
      <c r="JDM130" s="118"/>
      <c r="JDN130" s="118"/>
      <c r="JDO130" s="118"/>
      <c r="JDP130" s="118"/>
      <c r="JDQ130" s="118"/>
      <c r="JDR130" s="118"/>
      <c r="JDS130" s="118"/>
      <c r="JDT130" s="118"/>
      <c r="JDU130" s="118"/>
      <c r="JDV130" s="118"/>
      <c r="JDW130" s="118"/>
      <c r="JDX130" s="118"/>
      <c r="JDY130" s="118"/>
      <c r="JDZ130" s="118"/>
      <c r="JEA130" s="118"/>
      <c r="JEB130" s="118"/>
      <c r="JEC130" s="118"/>
      <c r="JED130" s="118"/>
      <c r="JEE130" s="118"/>
      <c r="JEF130" s="118"/>
      <c r="JEG130" s="118"/>
      <c r="JEH130" s="118"/>
      <c r="JEI130" s="118"/>
      <c r="JEJ130" s="118"/>
      <c r="JEK130" s="118"/>
      <c r="JEL130" s="118"/>
      <c r="JEM130" s="118"/>
      <c r="JEN130" s="118"/>
      <c r="JEO130" s="118"/>
      <c r="JEP130" s="118"/>
      <c r="JEQ130" s="118"/>
      <c r="JER130" s="118"/>
      <c r="JES130" s="118"/>
      <c r="JET130" s="118"/>
      <c r="JEU130" s="118"/>
      <c r="JEV130" s="118"/>
      <c r="JEW130" s="118"/>
      <c r="JEX130" s="118"/>
      <c r="JEY130" s="118"/>
      <c r="JEZ130" s="118"/>
      <c r="JFA130" s="118"/>
      <c r="JFB130" s="118"/>
      <c r="JFC130" s="118"/>
      <c r="JFD130" s="118"/>
      <c r="JFE130" s="118"/>
      <c r="JFF130" s="118"/>
      <c r="JFG130" s="118"/>
      <c r="JFH130" s="118"/>
      <c r="JFI130" s="118"/>
      <c r="JFJ130" s="118"/>
      <c r="JFK130" s="118"/>
      <c r="JFL130" s="118"/>
      <c r="JFM130" s="118"/>
      <c r="JFN130" s="118"/>
      <c r="JFO130" s="118"/>
      <c r="JFP130" s="118"/>
      <c r="JFQ130" s="118"/>
      <c r="JFR130" s="118"/>
      <c r="JFS130" s="118"/>
      <c r="JFT130" s="118"/>
      <c r="JFU130" s="118"/>
      <c r="JFV130" s="118"/>
      <c r="JFW130" s="118"/>
      <c r="JFX130" s="118"/>
      <c r="JFY130" s="118"/>
      <c r="JFZ130" s="118"/>
      <c r="JGA130" s="118"/>
      <c r="JGB130" s="118"/>
      <c r="JGC130" s="118"/>
      <c r="JGD130" s="118"/>
      <c r="JGE130" s="118"/>
      <c r="JGF130" s="118"/>
      <c r="JGG130" s="118"/>
      <c r="JGH130" s="118"/>
      <c r="JGI130" s="118"/>
      <c r="JGJ130" s="118"/>
      <c r="JGK130" s="118"/>
      <c r="JGL130" s="118"/>
      <c r="JGM130" s="118"/>
      <c r="JGN130" s="118"/>
      <c r="JGO130" s="118"/>
      <c r="JGP130" s="118"/>
      <c r="JGQ130" s="118"/>
      <c r="JGR130" s="118"/>
      <c r="JGS130" s="118"/>
      <c r="JGT130" s="118"/>
      <c r="JGU130" s="118"/>
      <c r="JGV130" s="118"/>
      <c r="JGW130" s="118"/>
      <c r="JGX130" s="118"/>
      <c r="JGY130" s="118"/>
      <c r="JGZ130" s="118"/>
      <c r="JHA130" s="118"/>
      <c r="JHB130" s="118"/>
      <c r="JHC130" s="118"/>
      <c r="JHD130" s="118"/>
      <c r="JHE130" s="118"/>
      <c r="JHF130" s="118"/>
      <c r="JHG130" s="118"/>
      <c r="JHH130" s="118"/>
      <c r="JHI130" s="118"/>
      <c r="JHJ130" s="118"/>
      <c r="JHK130" s="118"/>
      <c r="JHL130" s="118"/>
      <c r="JHM130" s="118"/>
      <c r="JHN130" s="118"/>
      <c r="JHO130" s="118"/>
      <c r="JHP130" s="118"/>
      <c r="JHQ130" s="118"/>
      <c r="JHR130" s="118"/>
      <c r="JHS130" s="118"/>
      <c r="JHT130" s="118"/>
      <c r="JHU130" s="118"/>
      <c r="JHV130" s="118"/>
      <c r="JHW130" s="118"/>
      <c r="JHX130" s="118"/>
      <c r="JHY130" s="118"/>
      <c r="JHZ130" s="118"/>
      <c r="JIA130" s="118"/>
      <c r="JIB130" s="118"/>
      <c r="JIC130" s="118"/>
      <c r="JID130" s="118"/>
      <c r="JIE130" s="118"/>
      <c r="JIF130" s="118"/>
      <c r="JIG130" s="118"/>
      <c r="JIH130" s="118"/>
      <c r="JII130" s="118"/>
      <c r="JIJ130" s="118"/>
      <c r="JIK130" s="118"/>
      <c r="JIL130" s="118"/>
      <c r="JIM130" s="118"/>
      <c r="JIN130" s="118"/>
      <c r="JIO130" s="118"/>
      <c r="JIP130" s="118"/>
      <c r="JIQ130" s="118"/>
      <c r="JIR130" s="118"/>
      <c r="JIS130" s="118"/>
      <c r="JIT130" s="118"/>
      <c r="JIU130" s="118"/>
      <c r="JIV130" s="118"/>
      <c r="JIW130" s="118"/>
      <c r="JIX130" s="118"/>
      <c r="JIY130" s="118"/>
      <c r="JIZ130" s="118"/>
      <c r="JJA130" s="118"/>
      <c r="JJB130" s="118"/>
      <c r="JJC130" s="118"/>
      <c r="JJD130" s="118"/>
      <c r="JJE130" s="118"/>
      <c r="JJF130" s="118"/>
      <c r="JJG130" s="118"/>
      <c r="JJH130" s="118"/>
      <c r="JJI130" s="118"/>
      <c r="JJJ130" s="118"/>
      <c r="JJK130" s="118"/>
      <c r="JJL130" s="118"/>
      <c r="JJM130" s="118"/>
      <c r="JJN130" s="118"/>
      <c r="JJO130" s="118"/>
      <c r="JJP130" s="118"/>
      <c r="JJQ130" s="118"/>
      <c r="JJR130" s="118"/>
      <c r="JJS130" s="118"/>
      <c r="JJT130" s="118"/>
      <c r="JJU130" s="118"/>
      <c r="JJV130" s="118"/>
      <c r="JJW130" s="118"/>
      <c r="JJX130" s="118"/>
      <c r="JJY130" s="118"/>
      <c r="JJZ130" s="118"/>
      <c r="JKA130" s="118"/>
      <c r="JKB130" s="118"/>
      <c r="JKC130" s="118"/>
      <c r="JKD130" s="118"/>
      <c r="JKE130" s="118"/>
      <c r="JKF130" s="118"/>
      <c r="JKG130" s="118"/>
      <c r="JKH130" s="118"/>
      <c r="JKI130" s="118"/>
      <c r="JKJ130" s="118"/>
      <c r="JKK130" s="118"/>
      <c r="JKL130" s="118"/>
      <c r="JKM130" s="118"/>
      <c r="JKN130" s="118"/>
      <c r="JKO130" s="118"/>
      <c r="JKP130" s="118"/>
      <c r="JKQ130" s="118"/>
      <c r="JKR130" s="118"/>
      <c r="JKS130" s="118"/>
      <c r="JKT130" s="118"/>
      <c r="JKU130" s="118"/>
      <c r="JKV130" s="118"/>
      <c r="JKW130" s="118"/>
      <c r="JKX130" s="118"/>
      <c r="JKY130" s="118"/>
      <c r="JKZ130" s="118"/>
      <c r="JLA130" s="118"/>
      <c r="JLB130" s="118"/>
      <c r="JLC130" s="118"/>
      <c r="JLD130" s="118"/>
      <c r="JLE130" s="118"/>
      <c r="JLF130" s="118"/>
      <c r="JLG130" s="118"/>
      <c r="JLH130" s="118"/>
      <c r="JLI130" s="118"/>
      <c r="JLJ130" s="118"/>
      <c r="JLK130" s="118"/>
      <c r="JLL130" s="118"/>
      <c r="JLM130" s="118"/>
      <c r="JLN130" s="118"/>
      <c r="JLO130" s="118"/>
      <c r="JLP130" s="118"/>
      <c r="JLQ130" s="118"/>
      <c r="JLR130" s="118"/>
      <c r="JLS130" s="118"/>
      <c r="JLT130" s="118"/>
      <c r="JLU130" s="118"/>
      <c r="JLV130" s="118"/>
      <c r="JLW130" s="118"/>
      <c r="JLX130" s="118"/>
      <c r="JLY130" s="118"/>
      <c r="JLZ130" s="118"/>
      <c r="JMA130" s="118"/>
      <c r="JMB130" s="118"/>
      <c r="JMC130" s="118"/>
      <c r="JMD130" s="118"/>
      <c r="JME130" s="118"/>
      <c r="JMF130" s="118"/>
      <c r="JMG130" s="118"/>
      <c r="JMH130" s="118"/>
      <c r="JMI130" s="118"/>
      <c r="JMJ130" s="118"/>
      <c r="JMK130" s="118"/>
      <c r="JML130" s="118"/>
      <c r="JMM130" s="118"/>
      <c r="JMN130" s="118"/>
      <c r="JMO130" s="118"/>
      <c r="JMP130" s="118"/>
      <c r="JMQ130" s="118"/>
      <c r="JMR130" s="118"/>
      <c r="JMS130" s="118"/>
      <c r="JMT130" s="118"/>
      <c r="JMU130" s="118"/>
      <c r="JMV130" s="118"/>
      <c r="JMW130" s="118"/>
      <c r="JMX130" s="118"/>
      <c r="JMY130" s="118"/>
      <c r="JMZ130" s="118"/>
      <c r="JNA130" s="118"/>
      <c r="JNB130" s="118"/>
      <c r="JNC130" s="118"/>
      <c r="JND130" s="118"/>
      <c r="JNE130" s="118"/>
      <c r="JNF130" s="118"/>
      <c r="JNG130" s="118"/>
      <c r="JNH130" s="118"/>
      <c r="JNI130" s="118"/>
      <c r="JNJ130" s="118"/>
      <c r="JNK130" s="118"/>
      <c r="JNL130" s="118"/>
      <c r="JNM130" s="118"/>
      <c r="JNN130" s="118"/>
      <c r="JNO130" s="118"/>
      <c r="JNP130" s="118"/>
      <c r="JNQ130" s="118"/>
      <c r="JNR130" s="118"/>
      <c r="JNS130" s="118"/>
      <c r="JNT130" s="118"/>
      <c r="JNU130" s="118"/>
      <c r="JNV130" s="118"/>
      <c r="JNW130" s="118"/>
      <c r="JNX130" s="118"/>
      <c r="JNY130" s="118"/>
      <c r="JNZ130" s="118"/>
      <c r="JOA130" s="118"/>
      <c r="JOB130" s="118"/>
      <c r="JOC130" s="118"/>
      <c r="JOD130" s="118"/>
      <c r="JOE130" s="118"/>
      <c r="JOF130" s="118"/>
      <c r="JOG130" s="118"/>
      <c r="JOH130" s="118"/>
      <c r="JOI130" s="118"/>
      <c r="JOJ130" s="118"/>
      <c r="JOK130" s="118"/>
      <c r="JOL130" s="118"/>
      <c r="JOM130" s="118"/>
      <c r="JON130" s="118"/>
      <c r="JOO130" s="118"/>
      <c r="JOP130" s="118"/>
      <c r="JOQ130" s="118"/>
      <c r="JOR130" s="118"/>
      <c r="JOS130" s="118"/>
      <c r="JOT130" s="118"/>
      <c r="JOU130" s="118"/>
      <c r="JOV130" s="118"/>
      <c r="JOW130" s="118"/>
      <c r="JOX130" s="118"/>
      <c r="JOY130" s="118"/>
      <c r="JOZ130" s="118"/>
      <c r="JPA130" s="118"/>
      <c r="JPB130" s="118"/>
      <c r="JPC130" s="118"/>
      <c r="JPD130" s="118"/>
      <c r="JPE130" s="118"/>
      <c r="JPF130" s="118"/>
      <c r="JPG130" s="118"/>
      <c r="JPH130" s="118"/>
      <c r="JPI130" s="118"/>
      <c r="JPJ130" s="118"/>
      <c r="JPK130" s="118"/>
      <c r="JPL130" s="118"/>
      <c r="JPM130" s="118"/>
      <c r="JPN130" s="118"/>
      <c r="JPO130" s="118"/>
      <c r="JPP130" s="118"/>
      <c r="JPQ130" s="118"/>
      <c r="JPR130" s="118"/>
      <c r="JPS130" s="118"/>
      <c r="JPT130" s="118"/>
      <c r="JPU130" s="118"/>
      <c r="JPV130" s="118"/>
      <c r="JPW130" s="118"/>
      <c r="JPX130" s="118"/>
      <c r="JPY130" s="118"/>
      <c r="JPZ130" s="118"/>
      <c r="JQA130" s="118"/>
      <c r="JQB130" s="118"/>
      <c r="JQC130" s="118"/>
      <c r="JQD130" s="118"/>
      <c r="JQE130" s="118"/>
      <c r="JQF130" s="118"/>
      <c r="JQG130" s="118"/>
      <c r="JQH130" s="118"/>
      <c r="JQI130" s="118"/>
      <c r="JQJ130" s="118"/>
      <c r="JQK130" s="118"/>
      <c r="JQL130" s="118"/>
      <c r="JQM130" s="118"/>
      <c r="JQN130" s="118"/>
      <c r="JQO130" s="118"/>
      <c r="JQP130" s="118"/>
      <c r="JQQ130" s="118"/>
      <c r="JQR130" s="118"/>
      <c r="JQS130" s="118"/>
      <c r="JQT130" s="118"/>
      <c r="JQU130" s="118"/>
      <c r="JQV130" s="118"/>
      <c r="JQW130" s="118"/>
      <c r="JQX130" s="118"/>
      <c r="JQY130" s="118"/>
      <c r="JQZ130" s="118"/>
      <c r="JRA130" s="118"/>
      <c r="JRB130" s="118"/>
      <c r="JRC130" s="118"/>
      <c r="JRD130" s="118"/>
      <c r="JRE130" s="118"/>
      <c r="JRF130" s="118"/>
      <c r="JRG130" s="118"/>
      <c r="JRH130" s="118"/>
      <c r="JRI130" s="118"/>
      <c r="JRJ130" s="118"/>
      <c r="JRK130" s="118"/>
      <c r="JRL130" s="118"/>
      <c r="JRM130" s="118"/>
      <c r="JRN130" s="118"/>
      <c r="JRO130" s="118"/>
      <c r="JRP130" s="118"/>
      <c r="JRQ130" s="118"/>
      <c r="JRR130" s="118"/>
      <c r="JRS130" s="118"/>
      <c r="JRT130" s="118"/>
      <c r="JRU130" s="118"/>
      <c r="JRV130" s="118"/>
      <c r="JRW130" s="118"/>
      <c r="JRX130" s="118"/>
      <c r="JRY130" s="118"/>
      <c r="JRZ130" s="118"/>
      <c r="JSA130" s="118"/>
      <c r="JSB130" s="118"/>
      <c r="JSC130" s="118"/>
      <c r="JSD130" s="118"/>
      <c r="JSE130" s="118"/>
      <c r="JSF130" s="118"/>
      <c r="JSG130" s="118"/>
      <c r="JSH130" s="118"/>
      <c r="JSI130" s="118"/>
      <c r="JSJ130" s="118"/>
      <c r="JSK130" s="118"/>
      <c r="JSL130" s="118"/>
      <c r="JSM130" s="118"/>
      <c r="JSN130" s="118"/>
      <c r="JSO130" s="118"/>
      <c r="JSP130" s="118"/>
      <c r="JSQ130" s="118"/>
      <c r="JSR130" s="118"/>
      <c r="JSS130" s="118"/>
      <c r="JST130" s="118"/>
      <c r="JSU130" s="118"/>
      <c r="JSV130" s="118"/>
      <c r="JSW130" s="118"/>
      <c r="JSX130" s="118"/>
      <c r="JSY130" s="118"/>
      <c r="JSZ130" s="118"/>
      <c r="JTA130" s="118"/>
      <c r="JTB130" s="118"/>
      <c r="JTC130" s="118"/>
      <c r="JTD130" s="118"/>
      <c r="JTE130" s="118"/>
      <c r="JTF130" s="118"/>
      <c r="JTG130" s="118"/>
      <c r="JTH130" s="118"/>
      <c r="JTI130" s="118"/>
      <c r="JTJ130" s="118"/>
      <c r="JTK130" s="118"/>
      <c r="JTL130" s="118"/>
      <c r="JTM130" s="118"/>
      <c r="JTN130" s="118"/>
      <c r="JTO130" s="118"/>
      <c r="JTP130" s="118"/>
      <c r="JTQ130" s="118"/>
      <c r="JTR130" s="118"/>
      <c r="JTS130" s="118"/>
      <c r="JTT130" s="118"/>
      <c r="JTU130" s="118"/>
      <c r="JTV130" s="118"/>
      <c r="JTW130" s="118"/>
      <c r="JTX130" s="118"/>
      <c r="JTY130" s="118"/>
      <c r="JTZ130" s="118"/>
      <c r="JUA130" s="118"/>
      <c r="JUB130" s="118"/>
      <c r="JUC130" s="118"/>
      <c r="JUD130" s="118"/>
      <c r="JUE130" s="118"/>
      <c r="JUF130" s="118"/>
      <c r="JUG130" s="118"/>
      <c r="JUH130" s="118"/>
      <c r="JUI130" s="118"/>
      <c r="JUJ130" s="118"/>
      <c r="JUK130" s="118"/>
      <c r="JUL130" s="118"/>
      <c r="JUM130" s="118"/>
      <c r="JUN130" s="118"/>
      <c r="JUO130" s="118"/>
      <c r="JUP130" s="118"/>
      <c r="JUQ130" s="118"/>
      <c r="JUR130" s="118"/>
      <c r="JUS130" s="118"/>
      <c r="JUT130" s="118"/>
      <c r="JUU130" s="118"/>
      <c r="JUV130" s="118"/>
      <c r="JUW130" s="118"/>
      <c r="JUX130" s="118"/>
      <c r="JUY130" s="118"/>
      <c r="JUZ130" s="118"/>
      <c r="JVA130" s="118"/>
      <c r="JVB130" s="118"/>
      <c r="JVC130" s="118"/>
      <c r="JVD130" s="118"/>
      <c r="JVE130" s="118"/>
      <c r="JVF130" s="118"/>
      <c r="JVG130" s="118"/>
      <c r="JVH130" s="118"/>
      <c r="JVI130" s="118"/>
      <c r="JVJ130" s="118"/>
      <c r="JVK130" s="118"/>
      <c r="JVL130" s="118"/>
      <c r="JVM130" s="118"/>
      <c r="JVN130" s="118"/>
      <c r="JVO130" s="118"/>
      <c r="JVP130" s="118"/>
      <c r="JVQ130" s="118"/>
      <c r="JVR130" s="118"/>
      <c r="JVS130" s="118"/>
      <c r="JVT130" s="118"/>
      <c r="JVU130" s="118"/>
      <c r="JVV130" s="118"/>
      <c r="JVW130" s="118"/>
      <c r="JVX130" s="118"/>
      <c r="JVY130" s="118"/>
      <c r="JVZ130" s="118"/>
      <c r="JWA130" s="118"/>
      <c r="JWB130" s="118"/>
      <c r="JWC130" s="118"/>
      <c r="JWD130" s="118"/>
      <c r="JWE130" s="118"/>
      <c r="JWF130" s="118"/>
      <c r="JWG130" s="118"/>
      <c r="JWH130" s="118"/>
      <c r="JWI130" s="118"/>
      <c r="JWJ130" s="118"/>
      <c r="JWK130" s="118"/>
      <c r="JWL130" s="118"/>
      <c r="JWM130" s="118"/>
      <c r="JWN130" s="118"/>
      <c r="JWO130" s="118"/>
      <c r="JWP130" s="118"/>
      <c r="JWQ130" s="118"/>
      <c r="JWR130" s="118"/>
      <c r="JWS130" s="118"/>
      <c r="JWT130" s="118"/>
      <c r="JWU130" s="118"/>
      <c r="JWV130" s="118"/>
      <c r="JWW130" s="118"/>
      <c r="JWX130" s="118"/>
      <c r="JWY130" s="118"/>
      <c r="JWZ130" s="118"/>
      <c r="JXA130" s="118"/>
      <c r="JXB130" s="118"/>
      <c r="JXC130" s="118"/>
      <c r="JXD130" s="118"/>
      <c r="JXE130" s="118"/>
      <c r="JXF130" s="118"/>
      <c r="JXG130" s="118"/>
      <c r="JXH130" s="118"/>
      <c r="JXI130" s="118"/>
      <c r="JXJ130" s="118"/>
      <c r="JXK130" s="118"/>
      <c r="JXL130" s="118"/>
      <c r="JXM130" s="118"/>
      <c r="JXN130" s="118"/>
      <c r="JXO130" s="118"/>
      <c r="JXP130" s="118"/>
      <c r="JXQ130" s="118"/>
      <c r="JXR130" s="118"/>
      <c r="JXS130" s="118"/>
      <c r="JXT130" s="118"/>
      <c r="JXU130" s="118"/>
      <c r="JXV130" s="118"/>
      <c r="JXW130" s="118"/>
      <c r="JXX130" s="118"/>
      <c r="JXY130" s="118"/>
      <c r="JXZ130" s="118"/>
      <c r="JYA130" s="118"/>
      <c r="JYB130" s="118"/>
      <c r="JYC130" s="118"/>
      <c r="JYD130" s="118"/>
      <c r="JYE130" s="118"/>
      <c r="JYF130" s="118"/>
      <c r="JYG130" s="118"/>
      <c r="JYH130" s="118"/>
      <c r="JYI130" s="118"/>
      <c r="JYJ130" s="118"/>
      <c r="JYK130" s="118"/>
      <c r="JYL130" s="118"/>
      <c r="JYM130" s="118"/>
      <c r="JYN130" s="118"/>
      <c r="JYO130" s="118"/>
      <c r="JYP130" s="118"/>
      <c r="JYQ130" s="118"/>
      <c r="JYR130" s="118"/>
      <c r="JYS130" s="118"/>
      <c r="JYT130" s="118"/>
      <c r="JYU130" s="118"/>
      <c r="JYV130" s="118"/>
      <c r="JYW130" s="118"/>
      <c r="JYX130" s="118"/>
      <c r="JYY130" s="118"/>
      <c r="JYZ130" s="118"/>
      <c r="JZA130" s="118"/>
      <c r="JZB130" s="118"/>
      <c r="JZC130" s="118"/>
      <c r="JZD130" s="118"/>
      <c r="JZE130" s="118"/>
      <c r="JZF130" s="118"/>
      <c r="JZG130" s="118"/>
      <c r="JZH130" s="118"/>
      <c r="JZI130" s="118"/>
      <c r="JZJ130" s="118"/>
      <c r="JZK130" s="118"/>
      <c r="JZL130" s="118"/>
      <c r="JZM130" s="118"/>
      <c r="JZN130" s="118"/>
      <c r="JZO130" s="118"/>
      <c r="JZP130" s="118"/>
      <c r="JZQ130" s="118"/>
      <c r="JZR130" s="118"/>
      <c r="JZS130" s="118"/>
      <c r="JZT130" s="118"/>
      <c r="JZU130" s="118"/>
      <c r="JZV130" s="118"/>
      <c r="JZW130" s="118"/>
      <c r="JZX130" s="118"/>
      <c r="JZY130" s="118"/>
      <c r="JZZ130" s="118"/>
      <c r="KAA130" s="118"/>
      <c r="KAB130" s="118"/>
      <c r="KAC130" s="118"/>
      <c r="KAD130" s="118"/>
      <c r="KAE130" s="118"/>
      <c r="KAF130" s="118"/>
      <c r="KAG130" s="118"/>
      <c r="KAH130" s="118"/>
      <c r="KAI130" s="118"/>
      <c r="KAJ130" s="118"/>
      <c r="KAK130" s="118"/>
      <c r="KAL130" s="118"/>
      <c r="KAM130" s="118"/>
      <c r="KAN130" s="118"/>
      <c r="KAO130" s="118"/>
      <c r="KAP130" s="118"/>
      <c r="KAQ130" s="118"/>
      <c r="KAR130" s="118"/>
      <c r="KAS130" s="118"/>
      <c r="KAT130" s="118"/>
      <c r="KAU130" s="118"/>
      <c r="KAV130" s="118"/>
      <c r="KAW130" s="118"/>
      <c r="KAX130" s="118"/>
      <c r="KAY130" s="118"/>
      <c r="KAZ130" s="118"/>
      <c r="KBA130" s="118"/>
      <c r="KBB130" s="118"/>
      <c r="KBC130" s="118"/>
      <c r="KBD130" s="118"/>
      <c r="KBE130" s="118"/>
      <c r="KBF130" s="118"/>
      <c r="KBG130" s="118"/>
      <c r="KBH130" s="118"/>
      <c r="KBI130" s="118"/>
      <c r="KBJ130" s="118"/>
      <c r="KBK130" s="118"/>
      <c r="KBL130" s="118"/>
      <c r="KBM130" s="118"/>
      <c r="KBN130" s="118"/>
      <c r="KBO130" s="118"/>
      <c r="KBP130" s="118"/>
      <c r="KBQ130" s="118"/>
      <c r="KBR130" s="118"/>
      <c r="KBS130" s="118"/>
      <c r="KBT130" s="118"/>
      <c r="KBU130" s="118"/>
      <c r="KBV130" s="118"/>
      <c r="KBW130" s="118"/>
      <c r="KBX130" s="118"/>
      <c r="KBY130" s="118"/>
      <c r="KBZ130" s="118"/>
      <c r="KCA130" s="118"/>
      <c r="KCB130" s="118"/>
      <c r="KCC130" s="118"/>
      <c r="KCD130" s="118"/>
      <c r="KCE130" s="118"/>
      <c r="KCF130" s="118"/>
      <c r="KCG130" s="118"/>
      <c r="KCH130" s="118"/>
      <c r="KCI130" s="118"/>
      <c r="KCJ130" s="118"/>
      <c r="KCK130" s="118"/>
      <c r="KCL130" s="118"/>
      <c r="KCM130" s="118"/>
      <c r="KCN130" s="118"/>
      <c r="KCO130" s="118"/>
      <c r="KCP130" s="118"/>
      <c r="KCQ130" s="118"/>
      <c r="KCR130" s="118"/>
      <c r="KCS130" s="118"/>
      <c r="KCT130" s="118"/>
      <c r="KCU130" s="118"/>
      <c r="KCV130" s="118"/>
      <c r="KCW130" s="118"/>
      <c r="KCX130" s="118"/>
      <c r="KCY130" s="118"/>
      <c r="KCZ130" s="118"/>
      <c r="KDA130" s="118"/>
      <c r="KDB130" s="118"/>
      <c r="KDC130" s="118"/>
      <c r="KDD130" s="118"/>
      <c r="KDE130" s="118"/>
      <c r="KDF130" s="118"/>
      <c r="KDG130" s="118"/>
      <c r="KDH130" s="118"/>
      <c r="KDI130" s="118"/>
      <c r="KDJ130" s="118"/>
      <c r="KDK130" s="118"/>
      <c r="KDL130" s="118"/>
      <c r="KDM130" s="118"/>
      <c r="KDN130" s="118"/>
      <c r="KDO130" s="118"/>
      <c r="KDP130" s="118"/>
      <c r="KDQ130" s="118"/>
      <c r="KDR130" s="118"/>
      <c r="KDS130" s="118"/>
      <c r="KDT130" s="118"/>
      <c r="KDU130" s="118"/>
      <c r="KDV130" s="118"/>
      <c r="KDW130" s="118"/>
      <c r="KDX130" s="118"/>
      <c r="KDY130" s="118"/>
      <c r="KDZ130" s="118"/>
      <c r="KEA130" s="118"/>
      <c r="KEB130" s="118"/>
      <c r="KEC130" s="118"/>
      <c r="KED130" s="118"/>
      <c r="KEE130" s="118"/>
      <c r="KEF130" s="118"/>
      <c r="KEG130" s="118"/>
      <c r="KEH130" s="118"/>
      <c r="KEI130" s="118"/>
      <c r="KEJ130" s="118"/>
      <c r="KEK130" s="118"/>
      <c r="KEL130" s="118"/>
      <c r="KEM130" s="118"/>
      <c r="KEN130" s="118"/>
      <c r="KEO130" s="118"/>
      <c r="KEP130" s="118"/>
      <c r="KEQ130" s="118"/>
      <c r="KER130" s="118"/>
      <c r="KES130" s="118"/>
      <c r="KET130" s="118"/>
      <c r="KEU130" s="118"/>
      <c r="KEV130" s="118"/>
      <c r="KEW130" s="118"/>
      <c r="KEX130" s="118"/>
      <c r="KEY130" s="118"/>
      <c r="KEZ130" s="118"/>
      <c r="KFA130" s="118"/>
      <c r="KFB130" s="118"/>
      <c r="KFC130" s="118"/>
      <c r="KFD130" s="118"/>
      <c r="KFE130" s="118"/>
      <c r="KFF130" s="118"/>
      <c r="KFG130" s="118"/>
      <c r="KFH130" s="118"/>
      <c r="KFI130" s="118"/>
      <c r="KFJ130" s="118"/>
      <c r="KFK130" s="118"/>
      <c r="KFL130" s="118"/>
      <c r="KFM130" s="118"/>
      <c r="KFN130" s="118"/>
      <c r="KFO130" s="118"/>
      <c r="KFP130" s="118"/>
      <c r="KFQ130" s="118"/>
      <c r="KFR130" s="118"/>
      <c r="KFS130" s="118"/>
      <c r="KFT130" s="118"/>
      <c r="KFU130" s="118"/>
      <c r="KFV130" s="118"/>
      <c r="KFW130" s="118"/>
      <c r="KFX130" s="118"/>
      <c r="KFY130" s="118"/>
      <c r="KFZ130" s="118"/>
      <c r="KGA130" s="118"/>
      <c r="KGB130" s="118"/>
      <c r="KGC130" s="118"/>
      <c r="KGD130" s="118"/>
      <c r="KGE130" s="118"/>
      <c r="KGF130" s="118"/>
      <c r="KGG130" s="118"/>
      <c r="KGH130" s="118"/>
      <c r="KGI130" s="118"/>
      <c r="KGJ130" s="118"/>
      <c r="KGK130" s="118"/>
      <c r="KGL130" s="118"/>
      <c r="KGM130" s="118"/>
      <c r="KGN130" s="118"/>
      <c r="KGO130" s="118"/>
      <c r="KGP130" s="118"/>
      <c r="KGQ130" s="118"/>
      <c r="KGR130" s="118"/>
      <c r="KGS130" s="118"/>
      <c r="KGT130" s="118"/>
      <c r="KGU130" s="118"/>
      <c r="KGV130" s="118"/>
      <c r="KGW130" s="118"/>
      <c r="KGX130" s="118"/>
      <c r="KGY130" s="118"/>
      <c r="KGZ130" s="118"/>
      <c r="KHA130" s="118"/>
      <c r="KHB130" s="118"/>
      <c r="KHC130" s="118"/>
      <c r="KHD130" s="118"/>
      <c r="KHE130" s="118"/>
      <c r="KHF130" s="118"/>
      <c r="KHG130" s="118"/>
      <c r="KHH130" s="118"/>
      <c r="KHI130" s="118"/>
      <c r="KHJ130" s="118"/>
      <c r="KHK130" s="118"/>
      <c r="KHL130" s="118"/>
      <c r="KHM130" s="118"/>
      <c r="KHN130" s="118"/>
      <c r="KHO130" s="118"/>
      <c r="KHP130" s="118"/>
      <c r="KHQ130" s="118"/>
      <c r="KHR130" s="118"/>
      <c r="KHS130" s="118"/>
      <c r="KHT130" s="118"/>
      <c r="KHU130" s="118"/>
      <c r="KHV130" s="118"/>
      <c r="KHW130" s="118"/>
      <c r="KHX130" s="118"/>
      <c r="KHY130" s="118"/>
      <c r="KHZ130" s="118"/>
      <c r="KIA130" s="118"/>
      <c r="KIB130" s="118"/>
      <c r="KIC130" s="118"/>
      <c r="KID130" s="118"/>
      <c r="KIE130" s="118"/>
      <c r="KIF130" s="118"/>
      <c r="KIG130" s="118"/>
      <c r="KIH130" s="118"/>
      <c r="KII130" s="118"/>
      <c r="KIJ130" s="118"/>
      <c r="KIK130" s="118"/>
      <c r="KIL130" s="118"/>
      <c r="KIM130" s="118"/>
      <c r="KIN130" s="118"/>
      <c r="KIO130" s="118"/>
      <c r="KIP130" s="118"/>
      <c r="KIQ130" s="118"/>
      <c r="KIR130" s="118"/>
      <c r="KIS130" s="118"/>
      <c r="KIT130" s="118"/>
      <c r="KIU130" s="118"/>
      <c r="KIV130" s="118"/>
      <c r="KIW130" s="118"/>
      <c r="KIX130" s="118"/>
      <c r="KIY130" s="118"/>
      <c r="KIZ130" s="118"/>
      <c r="KJA130" s="118"/>
      <c r="KJB130" s="118"/>
      <c r="KJC130" s="118"/>
      <c r="KJD130" s="118"/>
      <c r="KJE130" s="118"/>
      <c r="KJF130" s="118"/>
      <c r="KJG130" s="118"/>
      <c r="KJH130" s="118"/>
      <c r="KJI130" s="118"/>
      <c r="KJJ130" s="118"/>
      <c r="KJK130" s="118"/>
      <c r="KJL130" s="118"/>
      <c r="KJM130" s="118"/>
      <c r="KJN130" s="118"/>
      <c r="KJO130" s="118"/>
      <c r="KJP130" s="118"/>
      <c r="KJQ130" s="118"/>
      <c r="KJR130" s="118"/>
      <c r="KJS130" s="118"/>
      <c r="KJT130" s="118"/>
      <c r="KJU130" s="118"/>
      <c r="KJV130" s="118"/>
      <c r="KJW130" s="118"/>
      <c r="KJX130" s="118"/>
      <c r="KJY130" s="118"/>
      <c r="KJZ130" s="118"/>
      <c r="KKA130" s="118"/>
      <c r="KKB130" s="118"/>
      <c r="KKC130" s="118"/>
      <c r="KKD130" s="118"/>
      <c r="KKE130" s="118"/>
      <c r="KKF130" s="118"/>
      <c r="KKG130" s="118"/>
      <c r="KKH130" s="118"/>
      <c r="KKI130" s="118"/>
      <c r="KKJ130" s="118"/>
      <c r="KKK130" s="118"/>
      <c r="KKL130" s="118"/>
      <c r="KKM130" s="118"/>
      <c r="KKN130" s="118"/>
      <c r="KKO130" s="118"/>
      <c r="KKP130" s="118"/>
      <c r="KKQ130" s="118"/>
      <c r="KKR130" s="118"/>
      <c r="KKS130" s="118"/>
      <c r="KKT130" s="118"/>
      <c r="KKU130" s="118"/>
      <c r="KKV130" s="118"/>
      <c r="KKW130" s="118"/>
      <c r="KKX130" s="118"/>
      <c r="KKY130" s="118"/>
      <c r="KKZ130" s="118"/>
      <c r="KLA130" s="118"/>
      <c r="KLB130" s="118"/>
      <c r="KLC130" s="118"/>
      <c r="KLD130" s="118"/>
      <c r="KLE130" s="118"/>
      <c r="KLF130" s="118"/>
      <c r="KLG130" s="118"/>
      <c r="KLH130" s="118"/>
      <c r="KLI130" s="118"/>
      <c r="KLJ130" s="118"/>
      <c r="KLK130" s="118"/>
      <c r="KLL130" s="118"/>
      <c r="KLM130" s="118"/>
      <c r="KLN130" s="118"/>
      <c r="KLO130" s="118"/>
      <c r="KLP130" s="118"/>
      <c r="KLQ130" s="118"/>
      <c r="KLR130" s="118"/>
      <c r="KLS130" s="118"/>
      <c r="KLT130" s="118"/>
      <c r="KLU130" s="118"/>
      <c r="KLV130" s="118"/>
      <c r="KLW130" s="118"/>
      <c r="KLX130" s="118"/>
      <c r="KLY130" s="118"/>
      <c r="KLZ130" s="118"/>
      <c r="KMA130" s="118"/>
      <c r="KMB130" s="118"/>
      <c r="KMC130" s="118"/>
      <c r="KMD130" s="118"/>
      <c r="KME130" s="118"/>
      <c r="KMF130" s="118"/>
      <c r="KMG130" s="118"/>
      <c r="KMH130" s="118"/>
      <c r="KMI130" s="118"/>
      <c r="KMJ130" s="118"/>
      <c r="KMK130" s="118"/>
      <c r="KML130" s="118"/>
      <c r="KMM130" s="118"/>
      <c r="KMN130" s="118"/>
      <c r="KMO130" s="118"/>
      <c r="KMP130" s="118"/>
      <c r="KMQ130" s="118"/>
      <c r="KMR130" s="118"/>
      <c r="KMS130" s="118"/>
      <c r="KMT130" s="118"/>
      <c r="KMU130" s="118"/>
      <c r="KMV130" s="118"/>
      <c r="KMW130" s="118"/>
      <c r="KMX130" s="118"/>
      <c r="KMY130" s="118"/>
      <c r="KMZ130" s="118"/>
      <c r="KNA130" s="118"/>
      <c r="KNB130" s="118"/>
      <c r="KNC130" s="118"/>
      <c r="KND130" s="118"/>
      <c r="KNE130" s="118"/>
      <c r="KNF130" s="118"/>
      <c r="KNG130" s="118"/>
      <c r="KNH130" s="118"/>
      <c r="KNI130" s="118"/>
      <c r="KNJ130" s="118"/>
      <c r="KNK130" s="118"/>
      <c r="KNL130" s="118"/>
      <c r="KNM130" s="118"/>
      <c r="KNN130" s="118"/>
      <c r="KNO130" s="118"/>
      <c r="KNP130" s="118"/>
      <c r="KNQ130" s="118"/>
      <c r="KNR130" s="118"/>
      <c r="KNS130" s="118"/>
      <c r="KNT130" s="118"/>
      <c r="KNU130" s="118"/>
      <c r="KNV130" s="118"/>
      <c r="KNW130" s="118"/>
      <c r="KNX130" s="118"/>
      <c r="KNY130" s="118"/>
      <c r="KNZ130" s="118"/>
      <c r="KOA130" s="118"/>
      <c r="KOB130" s="118"/>
      <c r="KOC130" s="118"/>
      <c r="KOD130" s="118"/>
      <c r="KOE130" s="118"/>
      <c r="KOF130" s="118"/>
      <c r="KOG130" s="118"/>
      <c r="KOH130" s="118"/>
      <c r="KOI130" s="118"/>
      <c r="KOJ130" s="118"/>
      <c r="KOK130" s="118"/>
      <c r="KOL130" s="118"/>
      <c r="KOM130" s="118"/>
      <c r="KON130" s="118"/>
      <c r="KOO130" s="118"/>
      <c r="KOP130" s="118"/>
      <c r="KOQ130" s="118"/>
      <c r="KOR130" s="118"/>
      <c r="KOS130" s="118"/>
      <c r="KOT130" s="118"/>
      <c r="KOU130" s="118"/>
      <c r="KOV130" s="118"/>
      <c r="KOW130" s="118"/>
      <c r="KOX130" s="118"/>
      <c r="KOY130" s="118"/>
      <c r="KOZ130" s="118"/>
      <c r="KPA130" s="118"/>
      <c r="KPB130" s="118"/>
      <c r="KPC130" s="118"/>
      <c r="KPD130" s="118"/>
      <c r="KPE130" s="118"/>
      <c r="KPF130" s="118"/>
      <c r="KPG130" s="118"/>
      <c r="KPH130" s="118"/>
      <c r="KPI130" s="118"/>
      <c r="KPJ130" s="118"/>
      <c r="KPK130" s="118"/>
      <c r="KPL130" s="118"/>
      <c r="KPM130" s="118"/>
      <c r="KPN130" s="118"/>
      <c r="KPO130" s="118"/>
      <c r="KPP130" s="118"/>
      <c r="KPQ130" s="118"/>
      <c r="KPR130" s="118"/>
      <c r="KPS130" s="118"/>
      <c r="KPT130" s="118"/>
      <c r="KPU130" s="118"/>
      <c r="KPV130" s="118"/>
      <c r="KPW130" s="118"/>
      <c r="KPX130" s="118"/>
      <c r="KPY130" s="118"/>
      <c r="KPZ130" s="118"/>
      <c r="KQA130" s="118"/>
      <c r="KQB130" s="118"/>
      <c r="KQC130" s="118"/>
      <c r="KQD130" s="118"/>
      <c r="KQE130" s="118"/>
      <c r="KQF130" s="118"/>
      <c r="KQG130" s="118"/>
      <c r="KQH130" s="118"/>
      <c r="KQI130" s="118"/>
      <c r="KQJ130" s="118"/>
      <c r="KQK130" s="118"/>
      <c r="KQL130" s="118"/>
      <c r="KQM130" s="118"/>
      <c r="KQN130" s="118"/>
      <c r="KQO130" s="118"/>
      <c r="KQP130" s="118"/>
      <c r="KQQ130" s="118"/>
      <c r="KQR130" s="118"/>
      <c r="KQS130" s="118"/>
      <c r="KQT130" s="118"/>
      <c r="KQU130" s="118"/>
      <c r="KQV130" s="118"/>
      <c r="KQW130" s="118"/>
      <c r="KQX130" s="118"/>
      <c r="KQY130" s="118"/>
      <c r="KQZ130" s="118"/>
      <c r="KRA130" s="118"/>
      <c r="KRB130" s="118"/>
      <c r="KRC130" s="118"/>
      <c r="KRD130" s="118"/>
      <c r="KRE130" s="118"/>
      <c r="KRF130" s="118"/>
      <c r="KRG130" s="118"/>
      <c r="KRH130" s="118"/>
      <c r="KRI130" s="118"/>
      <c r="KRJ130" s="118"/>
      <c r="KRK130" s="118"/>
      <c r="KRL130" s="118"/>
      <c r="KRM130" s="118"/>
      <c r="KRN130" s="118"/>
      <c r="KRO130" s="118"/>
      <c r="KRP130" s="118"/>
      <c r="KRQ130" s="118"/>
      <c r="KRR130" s="118"/>
      <c r="KRS130" s="118"/>
      <c r="KRT130" s="118"/>
      <c r="KRU130" s="118"/>
      <c r="KRV130" s="118"/>
      <c r="KRW130" s="118"/>
      <c r="KRX130" s="118"/>
      <c r="KRY130" s="118"/>
      <c r="KRZ130" s="118"/>
      <c r="KSA130" s="118"/>
      <c r="KSB130" s="118"/>
      <c r="KSC130" s="118"/>
      <c r="KSD130" s="118"/>
      <c r="KSE130" s="118"/>
      <c r="KSF130" s="118"/>
      <c r="KSG130" s="118"/>
      <c r="KSH130" s="118"/>
      <c r="KSI130" s="118"/>
      <c r="KSJ130" s="118"/>
      <c r="KSK130" s="118"/>
      <c r="KSL130" s="118"/>
      <c r="KSM130" s="118"/>
      <c r="KSN130" s="118"/>
      <c r="KSO130" s="118"/>
      <c r="KSP130" s="118"/>
      <c r="KSQ130" s="118"/>
      <c r="KSR130" s="118"/>
      <c r="KSS130" s="118"/>
      <c r="KST130" s="118"/>
      <c r="KSU130" s="118"/>
      <c r="KSV130" s="118"/>
      <c r="KSW130" s="118"/>
      <c r="KSX130" s="118"/>
      <c r="KSY130" s="118"/>
      <c r="KSZ130" s="118"/>
      <c r="KTA130" s="118"/>
      <c r="KTB130" s="118"/>
      <c r="KTC130" s="118"/>
      <c r="KTD130" s="118"/>
      <c r="KTE130" s="118"/>
      <c r="KTF130" s="118"/>
      <c r="KTG130" s="118"/>
      <c r="KTH130" s="118"/>
      <c r="KTI130" s="118"/>
      <c r="KTJ130" s="118"/>
      <c r="KTK130" s="118"/>
      <c r="KTL130" s="118"/>
      <c r="KTM130" s="118"/>
      <c r="KTN130" s="118"/>
      <c r="KTO130" s="118"/>
      <c r="KTP130" s="118"/>
      <c r="KTQ130" s="118"/>
      <c r="KTR130" s="118"/>
      <c r="KTS130" s="118"/>
      <c r="KTT130" s="118"/>
      <c r="KTU130" s="118"/>
      <c r="KTV130" s="118"/>
      <c r="KTW130" s="118"/>
      <c r="KTX130" s="118"/>
      <c r="KTY130" s="118"/>
      <c r="KTZ130" s="118"/>
      <c r="KUA130" s="118"/>
      <c r="KUB130" s="118"/>
      <c r="KUC130" s="118"/>
      <c r="KUD130" s="118"/>
      <c r="KUE130" s="118"/>
      <c r="KUF130" s="118"/>
      <c r="KUG130" s="118"/>
      <c r="KUH130" s="118"/>
      <c r="KUI130" s="118"/>
      <c r="KUJ130" s="118"/>
      <c r="KUK130" s="118"/>
      <c r="KUL130" s="118"/>
      <c r="KUM130" s="118"/>
      <c r="KUN130" s="118"/>
      <c r="KUO130" s="118"/>
      <c r="KUP130" s="118"/>
      <c r="KUQ130" s="118"/>
      <c r="KUR130" s="118"/>
      <c r="KUS130" s="118"/>
      <c r="KUT130" s="118"/>
      <c r="KUU130" s="118"/>
      <c r="KUV130" s="118"/>
      <c r="KUW130" s="118"/>
      <c r="KUX130" s="118"/>
      <c r="KUY130" s="118"/>
      <c r="KUZ130" s="118"/>
      <c r="KVA130" s="118"/>
      <c r="KVB130" s="118"/>
      <c r="KVC130" s="118"/>
      <c r="KVD130" s="118"/>
      <c r="KVE130" s="118"/>
      <c r="KVF130" s="118"/>
      <c r="KVG130" s="118"/>
      <c r="KVH130" s="118"/>
      <c r="KVI130" s="118"/>
      <c r="KVJ130" s="118"/>
      <c r="KVK130" s="118"/>
      <c r="KVL130" s="118"/>
      <c r="KVM130" s="118"/>
      <c r="KVN130" s="118"/>
      <c r="KVO130" s="118"/>
      <c r="KVP130" s="118"/>
      <c r="KVQ130" s="118"/>
      <c r="KVR130" s="118"/>
      <c r="KVS130" s="118"/>
      <c r="KVT130" s="118"/>
      <c r="KVU130" s="118"/>
      <c r="KVV130" s="118"/>
      <c r="KVW130" s="118"/>
      <c r="KVX130" s="118"/>
      <c r="KVY130" s="118"/>
      <c r="KVZ130" s="118"/>
      <c r="KWA130" s="118"/>
      <c r="KWB130" s="118"/>
      <c r="KWC130" s="118"/>
      <c r="KWD130" s="118"/>
      <c r="KWE130" s="118"/>
      <c r="KWF130" s="118"/>
      <c r="KWG130" s="118"/>
      <c r="KWH130" s="118"/>
      <c r="KWI130" s="118"/>
      <c r="KWJ130" s="118"/>
      <c r="KWK130" s="118"/>
      <c r="KWL130" s="118"/>
      <c r="KWM130" s="118"/>
      <c r="KWN130" s="118"/>
      <c r="KWO130" s="118"/>
      <c r="KWP130" s="118"/>
      <c r="KWQ130" s="118"/>
      <c r="KWR130" s="118"/>
      <c r="KWS130" s="118"/>
      <c r="KWT130" s="118"/>
      <c r="KWU130" s="118"/>
      <c r="KWV130" s="118"/>
      <c r="KWW130" s="118"/>
      <c r="KWX130" s="118"/>
      <c r="KWY130" s="118"/>
      <c r="KWZ130" s="118"/>
      <c r="KXA130" s="118"/>
      <c r="KXB130" s="118"/>
      <c r="KXC130" s="118"/>
      <c r="KXD130" s="118"/>
      <c r="KXE130" s="118"/>
      <c r="KXF130" s="118"/>
      <c r="KXG130" s="118"/>
      <c r="KXH130" s="118"/>
      <c r="KXI130" s="118"/>
      <c r="KXJ130" s="118"/>
      <c r="KXK130" s="118"/>
      <c r="KXL130" s="118"/>
      <c r="KXM130" s="118"/>
      <c r="KXN130" s="118"/>
      <c r="KXO130" s="118"/>
      <c r="KXP130" s="118"/>
      <c r="KXQ130" s="118"/>
      <c r="KXR130" s="118"/>
      <c r="KXS130" s="118"/>
      <c r="KXT130" s="118"/>
      <c r="KXU130" s="118"/>
      <c r="KXV130" s="118"/>
      <c r="KXW130" s="118"/>
      <c r="KXX130" s="118"/>
      <c r="KXY130" s="118"/>
      <c r="KXZ130" s="118"/>
      <c r="KYA130" s="118"/>
      <c r="KYB130" s="118"/>
      <c r="KYC130" s="118"/>
      <c r="KYD130" s="118"/>
      <c r="KYE130" s="118"/>
      <c r="KYF130" s="118"/>
      <c r="KYG130" s="118"/>
      <c r="KYH130" s="118"/>
      <c r="KYI130" s="118"/>
      <c r="KYJ130" s="118"/>
      <c r="KYK130" s="118"/>
      <c r="KYL130" s="118"/>
      <c r="KYM130" s="118"/>
      <c r="KYN130" s="118"/>
      <c r="KYO130" s="118"/>
      <c r="KYP130" s="118"/>
      <c r="KYQ130" s="118"/>
      <c r="KYR130" s="118"/>
      <c r="KYS130" s="118"/>
      <c r="KYT130" s="118"/>
      <c r="KYU130" s="118"/>
      <c r="KYV130" s="118"/>
      <c r="KYW130" s="118"/>
      <c r="KYX130" s="118"/>
      <c r="KYY130" s="118"/>
      <c r="KYZ130" s="118"/>
      <c r="KZA130" s="118"/>
      <c r="KZB130" s="118"/>
      <c r="KZC130" s="118"/>
      <c r="KZD130" s="118"/>
      <c r="KZE130" s="118"/>
      <c r="KZF130" s="118"/>
      <c r="KZG130" s="118"/>
      <c r="KZH130" s="118"/>
      <c r="KZI130" s="118"/>
      <c r="KZJ130" s="118"/>
      <c r="KZK130" s="118"/>
      <c r="KZL130" s="118"/>
      <c r="KZM130" s="118"/>
      <c r="KZN130" s="118"/>
      <c r="KZO130" s="118"/>
      <c r="KZP130" s="118"/>
      <c r="KZQ130" s="118"/>
      <c r="KZR130" s="118"/>
      <c r="KZS130" s="118"/>
      <c r="KZT130" s="118"/>
      <c r="KZU130" s="118"/>
      <c r="KZV130" s="118"/>
      <c r="KZW130" s="118"/>
      <c r="KZX130" s="118"/>
      <c r="KZY130" s="118"/>
      <c r="KZZ130" s="118"/>
      <c r="LAA130" s="118"/>
      <c r="LAB130" s="118"/>
      <c r="LAC130" s="118"/>
      <c r="LAD130" s="118"/>
      <c r="LAE130" s="118"/>
      <c r="LAF130" s="118"/>
      <c r="LAG130" s="118"/>
      <c r="LAH130" s="118"/>
      <c r="LAI130" s="118"/>
      <c r="LAJ130" s="118"/>
      <c r="LAK130" s="118"/>
      <c r="LAL130" s="118"/>
      <c r="LAM130" s="118"/>
      <c r="LAN130" s="118"/>
      <c r="LAO130" s="118"/>
      <c r="LAP130" s="118"/>
      <c r="LAQ130" s="118"/>
      <c r="LAR130" s="118"/>
      <c r="LAS130" s="118"/>
      <c r="LAT130" s="118"/>
      <c r="LAU130" s="118"/>
      <c r="LAV130" s="118"/>
      <c r="LAW130" s="118"/>
      <c r="LAX130" s="118"/>
      <c r="LAY130" s="118"/>
      <c r="LAZ130" s="118"/>
      <c r="LBA130" s="118"/>
      <c r="LBB130" s="118"/>
      <c r="LBC130" s="118"/>
      <c r="LBD130" s="118"/>
      <c r="LBE130" s="118"/>
      <c r="LBF130" s="118"/>
      <c r="LBG130" s="118"/>
      <c r="LBH130" s="118"/>
      <c r="LBI130" s="118"/>
      <c r="LBJ130" s="118"/>
      <c r="LBK130" s="118"/>
      <c r="LBL130" s="118"/>
      <c r="LBM130" s="118"/>
      <c r="LBN130" s="118"/>
      <c r="LBO130" s="118"/>
      <c r="LBP130" s="118"/>
      <c r="LBQ130" s="118"/>
      <c r="LBR130" s="118"/>
      <c r="LBS130" s="118"/>
      <c r="LBT130" s="118"/>
      <c r="LBU130" s="118"/>
      <c r="LBV130" s="118"/>
      <c r="LBW130" s="118"/>
      <c r="LBX130" s="118"/>
      <c r="LBY130" s="118"/>
      <c r="LBZ130" s="118"/>
      <c r="LCA130" s="118"/>
      <c r="LCB130" s="118"/>
      <c r="LCC130" s="118"/>
      <c r="LCD130" s="118"/>
      <c r="LCE130" s="118"/>
      <c r="LCF130" s="118"/>
      <c r="LCG130" s="118"/>
      <c r="LCH130" s="118"/>
      <c r="LCI130" s="118"/>
      <c r="LCJ130" s="118"/>
      <c r="LCK130" s="118"/>
      <c r="LCL130" s="118"/>
      <c r="LCM130" s="118"/>
      <c r="LCN130" s="118"/>
      <c r="LCO130" s="118"/>
      <c r="LCP130" s="118"/>
      <c r="LCQ130" s="118"/>
      <c r="LCR130" s="118"/>
      <c r="LCS130" s="118"/>
      <c r="LCT130" s="118"/>
      <c r="LCU130" s="118"/>
      <c r="LCV130" s="118"/>
      <c r="LCW130" s="118"/>
      <c r="LCX130" s="118"/>
      <c r="LCY130" s="118"/>
      <c r="LCZ130" s="118"/>
      <c r="LDA130" s="118"/>
      <c r="LDB130" s="118"/>
      <c r="LDC130" s="118"/>
      <c r="LDD130" s="118"/>
      <c r="LDE130" s="118"/>
      <c r="LDF130" s="118"/>
      <c r="LDG130" s="118"/>
      <c r="LDH130" s="118"/>
      <c r="LDI130" s="118"/>
      <c r="LDJ130" s="118"/>
      <c r="LDK130" s="118"/>
      <c r="LDL130" s="118"/>
      <c r="LDM130" s="118"/>
      <c r="LDN130" s="118"/>
      <c r="LDO130" s="118"/>
      <c r="LDP130" s="118"/>
      <c r="LDQ130" s="118"/>
      <c r="LDR130" s="118"/>
      <c r="LDS130" s="118"/>
      <c r="LDT130" s="118"/>
      <c r="LDU130" s="118"/>
      <c r="LDV130" s="118"/>
      <c r="LDW130" s="118"/>
      <c r="LDX130" s="118"/>
      <c r="LDY130" s="118"/>
      <c r="LDZ130" s="118"/>
      <c r="LEA130" s="118"/>
      <c r="LEB130" s="118"/>
      <c r="LEC130" s="118"/>
      <c r="LED130" s="118"/>
      <c r="LEE130" s="118"/>
      <c r="LEF130" s="118"/>
      <c r="LEG130" s="118"/>
      <c r="LEH130" s="118"/>
      <c r="LEI130" s="118"/>
      <c r="LEJ130" s="118"/>
      <c r="LEK130" s="118"/>
      <c r="LEL130" s="118"/>
      <c r="LEM130" s="118"/>
      <c r="LEN130" s="118"/>
      <c r="LEO130" s="118"/>
      <c r="LEP130" s="118"/>
      <c r="LEQ130" s="118"/>
      <c r="LER130" s="118"/>
      <c r="LES130" s="118"/>
      <c r="LET130" s="118"/>
      <c r="LEU130" s="118"/>
      <c r="LEV130" s="118"/>
      <c r="LEW130" s="118"/>
      <c r="LEX130" s="118"/>
      <c r="LEY130" s="118"/>
      <c r="LEZ130" s="118"/>
      <c r="LFA130" s="118"/>
      <c r="LFB130" s="118"/>
      <c r="LFC130" s="118"/>
      <c r="LFD130" s="118"/>
      <c r="LFE130" s="118"/>
      <c r="LFF130" s="118"/>
      <c r="LFG130" s="118"/>
      <c r="LFH130" s="118"/>
      <c r="LFI130" s="118"/>
      <c r="LFJ130" s="118"/>
      <c r="LFK130" s="118"/>
      <c r="LFL130" s="118"/>
      <c r="LFM130" s="118"/>
      <c r="LFN130" s="118"/>
      <c r="LFO130" s="118"/>
      <c r="LFP130" s="118"/>
      <c r="LFQ130" s="118"/>
      <c r="LFR130" s="118"/>
      <c r="LFS130" s="118"/>
      <c r="LFT130" s="118"/>
      <c r="LFU130" s="118"/>
      <c r="LFV130" s="118"/>
      <c r="LFW130" s="118"/>
      <c r="LFX130" s="118"/>
      <c r="LFY130" s="118"/>
      <c r="LFZ130" s="118"/>
      <c r="LGA130" s="118"/>
      <c r="LGB130" s="118"/>
      <c r="LGC130" s="118"/>
      <c r="LGD130" s="118"/>
      <c r="LGE130" s="118"/>
      <c r="LGF130" s="118"/>
      <c r="LGG130" s="118"/>
      <c r="LGH130" s="118"/>
      <c r="LGI130" s="118"/>
      <c r="LGJ130" s="118"/>
      <c r="LGK130" s="118"/>
      <c r="LGL130" s="118"/>
      <c r="LGM130" s="118"/>
      <c r="LGN130" s="118"/>
      <c r="LGO130" s="118"/>
      <c r="LGP130" s="118"/>
      <c r="LGQ130" s="118"/>
      <c r="LGR130" s="118"/>
      <c r="LGS130" s="118"/>
      <c r="LGT130" s="118"/>
      <c r="LGU130" s="118"/>
      <c r="LGV130" s="118"/>
      <c r="LGW130" s="118"/>
      <c r="LGX130" s="118"/>
      <c r="LGY130" s="118"/>
      <c r="LGZ130" s="118"/>
      <c r="LHA130" s="118"/>
      <c r="LHB130" s="118"/>
      <c r="LHC130" s="118"/>
      <c r="LHD130" s="118"/>
      <c r="LHE130" s="118"/>
      <c r="LHF130" s="118"/>
      <c r="LHG130" s="118"/>
      <c r="LHH130" s="118"/>
      <c r="LHI130" s="118"/>
      <c r="LHJ130" s="118"/>
      <c r="LHK130" s="118"/>
      <c r="LHL130" s="118"/>
      <c r="LHM130" s="118"/>
      <c r="LHN130" s="118"/>
      <c r="LHO130" s="118"/>
      <c r="LHP130" s="118"/>
      <c r="LHQ130" s="118"/>
      <c r="LHR130" s="118"/>
      <c r="LHS130" s="118"/>
      <c r="LHT130" s="118"/>
      <c r="LHU130" s="118"/>
      <c r="LHV130" s="118"/>
      <c r="LHW130" s="118"/>
      <c r="LHX130" s="118"/>
      <c r="LHY130" s="118"/>
      <c r="LHZ130" s="118"/>
      <c r="LIA130" s="118"/>
      <c r="LIB130" s="118"/>
      <c r="LIC130" s="118"/>
      <c r="LID130" s="118"/>
      <c r="LIE130" s="118"/>
      <c r="LIF130" s="118"/>
      <c r="LIG130" s="118"/>
      <c r="LIH130" s="118"/>
      <c r="LII130" s="118"/>
      <c r="LIJ130" s="118"/>
      <c r="LIK130" s="118"/>
      <c r="LIL130" s="118"/>
      <c r="LIM130" s="118"/>
      <c r="LIN130" s="118"/>
      <c r="LIO130" s="118"/>
      <c r="LIP130" s="118"/>
      <c r="LIQ130" s="118"/>
      <c r="LIR130" s="118"/>
      <c r="LIS130" s="118"/>
      <c r="LIT130" s="118"/>
      <c r="LIU130" s="118"/>
      <c r="LIV130" s="118"/>
      <c r="LIW130" s="118"/>
      <c r="LIX130" s="118"/>
      <c r="LIY130" s="118"/>
      <c r="LIZ130" s="118"/>
      <c r="LJA130" s="118"/>
      <c r="LJB130" s="118"/>
      <c r="LJC130" s="118"/>
      <c r="LJD130" s="118"/>
      <c r="LJE130" s="118"/>
      <c r="LJF130" s="118"/>
      <c r="LJG130" s="118"/>
      <c r="LJH130" s="118"/>
      <c r="LJI130" s="118"/>
      <c r="LJJ130" s="118"/>
      <c r="LJK130" s="118"/>
      <c r="LJL130" s="118"/>
      <c r="LJM130" s="118"/>
      <c r="LJN130" s="118"/>
      <c r="LJO130" s="118"/>
      <c r="LJP130" s="118"/>
      <c r="LJQ130" s="118"/>
      <c r="LJR130" s="118"/>
      <c r="LJS130" s="118"/>
      <c r="LJT130" s="118"/>
      <c r="LJU130" s="118"/>
      <c r="LJV130" s="118"/>
      <c r="LJW130" s="118"/>
      <c r="LJX130" s="118"/>
      <c r="LJY130" s="118"/>
      <c r="LJZ130" s="118"/>
      <c r="LKA130" s="118"/>
      <c r="LKB130" s="118"/>
      <c r="LKC130" s="118"/>
      <c r="LKD130" s="118"/>
      <c r="LKE130" s="118"/>
      <c r="LKF130" s="118"/>
      <c r="LKG130" s="118"/>
      <c r="LKH130" s="118"/>
      <c r="LKI130" s="118"/>
      <c r="LKJ130" s="118"/>
      <c r="LKK130" s="118"/>
      <c r="LKL130" s="118"/>
      <c r="LKM130" s="118"/>
      <c r="LKN130" s="118"/>
      <c r="LKO130" s="118"/>
      <c r="LKP130" s="118"/>
      <c r="LKQ130" s="118"/>
      <c r="LKR130" s="118"/>
      <c r="LKS130" s="118"/>
      <c r="LKT130" s="118"/>
      <c r="LKU130" s="118"/>
      <c r="LKV130" s="118"/>
      <c r="LKW130" s="118"/>
      <c r="LKX130" s="118"/>
      <c r="LKY130" s="118"/>
      <c r="LKZ130" s="118"/>
      <c r="LLA130" s="118"/>
      <c r="LLB130" s="118"/>
      <c r="LLC130" s="118"/>
      <c r="LLD130" s="118"/>
      <c r="LLE130" s="118"/>
      <c r="LLF130" s="118"/>
      <c r="LLG130" s="118"/>
      <c r="LLH130" s="118"/>
      <c r="LLI130" s="118"/>
      <c r="LLJ130" s="118"/>
      <c r="LLK130" s="118"/>
      <c r="LLL130" s="118"/>
      <c r="LLM130" s="118"/>
      <c r="LLN130" s="118"/>
      <c r="LLO130" s="118"/>
      <c r="LLP130" s="118"/>
      <c r="LLQ130" s="118"/>
      <c r="LLR130" s="118"/>
      <c r="LLS130" s="118"/>
      <c r="LLT130" s="118"/>
      <c r="LLU130" s="118"/>
      <c r="LLV130" s="118"/>
      <c r="LLW130" s="118"/>
      <c r="LLX130" s="118"/>
      <c r="LLY130" s="118"/>
      <c r="LLZ130" s="118"/>
      <c r="LMA130" s="118"/>
      <c r="LMB130" s="118"/>
      <c r="LMC130" s="118"/>
      <c r="LMD130" s="118"/>
      <c r="LME130" s="118"/>
      <c r="LMF130" s="118"/>
      <c r="LMG130" s="118"/>
      <c r="LMH130" s="118"/>
      <c r="LMI130" s="118"/>
      <c r="LMJ130" s="118"/>
      <c r="LMK130" s="118"/>
      <c r="LML130" s="118"/>
      <c r="LMM130" s="118"/>
      <c r="LMN130" s="118"/>
      <c r="LMO130" s="118"/>
      <c r="LMP130" s="118"/>
      <c r="LMQ130" s="118"/>
      <c r="LMR130" s="118"/>
      <c r="LMS130" s="118"/>
      <c r="LMT130" s="118"/>
      <c r="LMU130" s="118"/>
      <c r="LMV130" s="118"/>
      <c r="LMW130" s="118"/>
      <c r="LMX130" s="118"/>
      <c r="LMY130" s="118"/>
      <c r="LMZ130" s="118"/>
      <c r="LNA130" s="118"/>
      <c r="LNB130" s="118"/>
      <c r="LNC130" s="118"/>
      <c r="LND130" s="118"/>
      <c r="LNE130" s="118"/>
      <c r="LNF130" s="118"/>
      <c r="LNG130" s="118"/>
      <c r="LNH130" s="118"/>
      <c r="LNI130" s="118"/>
      <c r="LNJ130" s="118"/>
      <c r="LNK130" s="118"/>
      <c r="LNL130" s="118"/>
      <c r="LNM130" s="118"/>
      <c r="LNN130" s="118"/>
      <c r="LNO130" s="118"/>
      <c r="LNP130" s="118"/>
      <c r="LNQ130" s="118"/>
      <c r="LNR130" s="118"/>
      <c r="LNS130" s="118"/>
      <c r="LNT130" s="118"/>
      <c r="LNU130" s="118"/>
      <c r="LNV130" s="118"/>
      <c r="LNW130" s="118"/>
      <c r="LNX130" s="118"/>
      <c r="LNY130" s="118"/>
      <c r="LNZ130" s="118"/>
      <c r="LOA130" s="118"/>
      <c r="LOB130" s="118"/>
      <c r="LOC130" s="118"/>
      <c r="LOD130" s="118"/>
      <c r="LOE130" s="118"/>
      <c r="LOF130" s="118"/>
      <c r="LOG130" s="118"/>
      <c r="LOH130" s="118"/>
      <c r="LOI130" s="118"/>
      <c r="LOJ130" s="118"/>
      <c r="LOK130" s="118"/>
      <c r="LOL130" s="118"/>
      <c r="LOM130" s="118"/>
      <c r="LON130" s="118"/>
      <c r="LOO130" s="118"/>
      <c r="LOP130" s="118"/>
      <c r="LOQ130" s="118"/>
      <c r="LOR130" s="118"/>
      <c r="LOS130" s="118"/>
      <c r="LOT130" s="118"/>
      <c r="LOU130" s="118"/>
      <c r="LOV130" s="118"/>
      <c r="LOW130" s="118"/>
      <c r="LOX130" s="118"/>
      <c r="LOY130" s="118"/>
      <c r="LOZ130" s="118"/>
      <c r="LPA130" s="118"/>
      <c r="LPB130" s="118"/>
      <c r="LPC130" s="118"/>
      <c r="LPD130" s="118"/>
      <c r="LPE130" s="118"/>
      <c r="LPF130" s="118"/>
      <c r="LPG130" s="118"/>
      <c r="LPH130" s="118"/>
      <c r="LPI130" s="118"/>
      <c r="LPJ130" s="118"/>
      <c r="LPK130" s="118"/>
      <c r="LPL130" s="118"/>
      <c r="LPM130" s="118"/>
      <c r="LPN130" s="118"/>
      <c r="LPO130" s="118"/>
      <c r="LPP130" s="118"/>
      <c r="LPQ130" s="118"/>
      <c r="LPR130" s="118"/>
      <c r="LPS130" s="118"/>
      <c r="LPT130" s="118"/>
      <c r="LPU130" s="118"/>
      <c r="LPV130" s="118"/>
      <c r="LPW130" s="118"/>
      <c r="LPX130" s="118"/>
      <c r="LPY130" s="118"/>
      <c r="LPZ130" s="118"/>
      <c r="LQA130" s="118"/>
      <c r="LQB130" s="118"/>
      <c r="LQC130" s="118"/>
      <c r="LQD130" s="118"/>
      <c r="LQE130" s="118"/>
      <c r="LQF130" s="118"/>
      <c r="LQG130" s="118"/>
      <c r="LQH130" s="118"/>
      <c r="LQI130" s="118"/>
      <c r="LQJ130" s="118"/>
      <c r="LQK130" s="118"/>
      <c r="LQL130" s="118"/>
      <c r="LQM130" s="118"/>
      <c r="LQN130" s="118"/>
      <c r="LQO130" s="118"/>
      <c r="LQP130" s="118"/>
      <c r="LQQ130" s="118"/>
      <c r="LQR130" s="118"/>
      <c r="LQS130" s="118"/>
      <c r="LQT130" s="118"/>
      <c r="LQU130" s="118"/>
      <c r="LQV130" s="118"/>
      <c r="LQW130" s="118"/>
      <c r="LQX130" s="118"/>
      <c r="LQY130" s="118"/>
      <c r="LQZ130" s="118"/>
      <c r="LRA130" s="118"/>
      <c r="LRB130" s="118"/>
      <c r="LRC130" s="118"/>
      <c r="LRD130" s="118"/>
      <c r="LRE130" s="118"/>
      <c r="LRF130" s="118"/>
      <c r="LRG130" s="118"/>
      <c r="LRH130" s="118"/>
      <c r="LRI130" s="118"/>
      <c r="LRJ130" s="118"/>
      <c r="LRK130" s="118"/>
      <c r="LRL130" s="118"/>
      <c r="LRM130" s="118"/>
      <c r="LRN130" s="118"/>
      <c r="LRO130" s="118"/>
      <c r="LRP130" s="118"/>
      <c r="LRQ130" s="118"/>
      <c r="LRR130" s="118"/>
      <c r="LRS130" s="118"/>
      <c r="LRT130" s="118"/>
      <c r="LRU130" s="118"/>
      <c r="LRV130" s="118"/>
      <c r="LRW130" s="118"/>
      <c r="LRX130" s="118"/>
      <c r="LRY130" s="118"/>
      <c r="LRZ130" s="118"/>
      <c r="LSA130" s="118"/>
      <c r="LSB130" s="118"/>
      <c r="LSC130" s="118"/>
      <c r="LSD130" s="118"/>
      <c r="LSE130" s="118"/>
      <c r="LSF130" s="118"/>
      <c r="LSG130" s="118"/>
      <c r="LSH130" s="118"/>
      <c r="LSI130" s="118"/>
      <c r="LSJ130" s="118"/>
      <c r="LSK130" s="118"/>
      <c r="LSL130" s="118"/>
      <c r="LSM130" s="118"/>
      <c r="LSN130" s="118"/>
      <c r="LSO130" s="118"/>
      <c r="LSP130" s="118"/>
      <c r="LSQ130" s="118"/>
      <c r="LSR130" s="118"/>
      <c r="LSS130" s="118"/>
      <c r="LST130" s="118"/>
      <c r="LSU130" s="118"/>
      <c r="LSV130" s="118"/>
      <c r="LSW130" s="118"/>
      <c r="LSX130" s="118"/>
      <c r="LSY130" s="118"/>
      <c r="LSZ130" s="118"/>
      <c r="LTA130" s="118"/>
      <c r="LTB130" s="118"/>
      <c r="LTC130" s="118"/>
      <c r="LTD130" s="118"/>
      <c r="LTE130" s="118"/>
      <c r="LTF130" s="118"/>
      <c r="LTG130" s="118"/>
      <c r="LTH130" s="118"/>
      <c r="LTI130" s="118"/>
      <c r="LTJ130" s="118"/>
      <c r="LTK130" s="118"/>
      <c r="LTL130" s="118"/>
      <c r="LTM130" s="118"/>
      <c r="LTN130" s="118"/>
      <c r="LTO130" s="118"/>
      <c r="LTP130" s="118"/>
      <c r="LTQ130" s="118"/>
      <c r="LTR130" s="118"/>
      <c r="LTS130" s="118"/>
      <c r="LTT130" s="118"/>
      <c r="LTU130" s="118"/>
      <c r="LTV130" s="118"/>
      <c r="LTW130" s="118"/>
      <c r="LTX130" s="118"/>
      <c r="LTY130" s="118"/>
      <c r="LTZ130" s="118"/>
      <c r="LUA130" s="118"/>
      <c r="LUB130" s="118"/>
      <c r="LUC130" s="118"/>
      <c r="LUD130" s="118"/>
      <c r="LUE130" s="118"/>
      <c r="LUF130" s="118"/>
      <c r="LUG130" s="118"/>
      <c r="LUH130" s="118"/>
      <c r="LUI130" s="118"/>
      <c r="LUJ130" s="118"/>
      <c r="LUK130" s="118"/>
      <c r="LUL130" s="118"/>
      <c r="LUM130" s="118"/>
      <c r="LUN130" s="118"/>
      <c r="LUO130" s="118"/>
      <c r="LUP130" s="118"/>
      <c r="LUQ130" s="118"/>
      <c r="LUR130" s="118"/>
      <c r="LUS130" s="118"/>
      <c r="LUT130" s="118"/>
      <c r="LUU130" s="118"/>
      <c r="LUV130" s="118"/>
      <c r="LUW130" s="118"/>
      <c r="LUX130" s="118"/>
      <c r="LUY130" s="118"/>
      <c r="LUZ130" s="118"/>
      <c r="LVA130" s="118"/>
      <c r="LVB130" s="118"/>
      <c r="LVC130" s="118"/>
      <c r="LVD130" s="118"/>
      <c r="LVE130" s="118"/>
      <c r="LVF130" s="118"/>
      <c r="LVG130" s="118"/>
      <c r="LVH130" s="118"/>
      <c r="LVI130" s="118"/>
      <c r="LVJ130" s="118"/>
      <c r="LVK130" s="118"/>
      <c r="LVL130" s="118"/>
      <c r="LVM130" s="118"/>
      <c r="LVN130" s="118"/>
      <c r="LVO130" s="118"/>
      <c r="LVP130" s="118"/>
      <c r="LVQ130" s="118"/>
      <c r="LVR130" s="118"/>
      <c r="LVS130" s="118"/>
      <c r="LVT130" s="118"/>
      <c r="LVU130" s="118"/>
      <c r="LVV130" s="118"/>
      <c r="LVW130" s="118"/>
      <c r="LVX130" s="118"/>
      <c r="LVY130" s="118"/>
      <c r="LVZ130" s="118"/>
      <c r="LWA130" s="118"/>
      <c r="LWB130" s="118"/>
      <c r="LWC130" s="118"/>
      <c r="LWD130" s="118"/>
      <c r="LWE130" s="118"/>
      <c r="LWF130" s="118"/>
      <c r="LWG130" s="118"/>
      <c r="LWH130" s="118"/>
      <c r="LWI130" s="118"/>
      <c r="LWJ130" s="118"/>
      <c r="LWK130" s="118"/>
      <c r="LWL130" s="118"/>
      <c r="LWM130" s="118"/>
      <c r="LWN130" s="118"/>
      <c r="LWO130" s="118"/>
      <c r="LWP130" s="118"/>
      <c r="LWQ130" s="118"/>
      <c r="LWR130" s="118"/>
      <c r="LWS130" s="118"/>
      <c r="LWT130" s="118"/>
      <c r="LWU130" s="118"/>
      <c r="LWV130" s="118"/>
      <c r="LWW130" s="118"/>
      <c r="LWX130" s="118"/>
      <c r="LWY130" s="118"/>
      <c r="LWZ130" s="118"/>
      <c r="LXA130" s="118"/>
      <c r="LXB130" s="118"/>
      <c r="LXC130" s="118"/>
      <c r="LXD130" s="118"/>
      <c r="LXE130" s="118"/>
      <c r="LXF130" s="118"/>
      <c r="LXG130" s="118"/>
      <c r="LXH130" s="118"/>
      <c r="LXI130" s="118"/>
      <c r="LXJ130" s="118"/>
      <c r="LXK130" s="118"/>
      <c r="LXL130" s="118"/>
      <c r="LXM130" s="118"/>
      <c r="LXN130" s="118"/>
      <c r="LXO130" s="118"/>
      <c r="LXP130" s="118"/>
      <c r="LXQ130" s="118"/>
      <c r="LXR130" s="118"/>
      <c r="LXS130" s="118"/>
      <c r="LXT130" s="118"/>
      <c r="LXU130" s="118"/>
      <c r="LXV130" s="118"/>
      <c r="LXW130" s="118"/>
      <c r="LXX130" s="118"/>
      <c r="LXY130" s="118"/>
      <c r="LXZ130" s="118"/>
      <c r="LYA130" s="118"/>
      <c r="LYB130" s="118"/>
      <c r="LYC130" s="118"/>
      <c r="LYD130" s="118"/>
      <c r="LYE130" s="118"/>
      <c r="LYF130" s="118"/>
      <c r="LYG130" s="118"/>
      <c r="LYH130" s="118"/>
      <c r="LYI130" s="118"/>
      <c r="LYJ130" s="118"/>
      <c r="LYK130" s="118"/>
      <c r="LYL130" s="118"/>
      <c r="LYM130" s="118"/>
      <c r="LYN130" s="118"/>
      <c r="LYO130" s="118"/>
      <c r="LYP130" s="118"/>
      <c r="LYQ130" s="118"/>
      <c r="LYR130" s="118"/>
      <c r="LYS130" s="118"/>
      <c r="LYT130" s="118"/>
      <c r="LYU130" s="118"/>
      <c r="LYV130" s="118"/>
      <c r="LYW130" s="118"/>
      <c r="LYX130" s="118"/>
      <c r="LYY130" s="118"/>
      <c r="LYZ130" s="118"/>
      <c r="LZA130" s="118"/>
      <c r="LZB130" s="118"/>
      <c r="LZC130" s="118"/>
      <c r="LZD130" s="118"/>
      <c r="LZE130" s="118"/>
      <c r="LZF130" s="118"/>
      <c r="LZG130" s="118"/>
      <c r="LZH130" s="118"/>
      <c r="LZI130" s="118"/>
      <c r="LZJ130" s="118"/>
      <c r="LZK130" s="118"/>
      <c r="LZL130" s="118"/>
      <c r="LZM130" s="118"/>
      <c r="LZN130" s="118"/>
      <c r="LZO130" s="118"/>
      <c r="LZP130" s="118"/>
      <c r="LZQ130" s="118"/>
      <c r="LZR130" s="118"/>
      <c r="LZS130" s="118"/>
      <c r="LZT130" s="118"/>
      <c r="LZU130" s="118"/>
      <c r="LZV130" s="118"/>
      <c r="LZW130" s="118"/>
      <c r="LZX130" s="118"/>
      <c r="LZY130" s="118"/>
      <c r="LZZ130" s="118"/>
      <c r="MAA130" s="118"/>
      <c r="MAB130" s="118"/>
      <c r="MAC130" s="118"/>
      <c r="MAD130" s="118"/>
      <c r="MAE130" s="118"/>
      <c r="MAF130" s="118"/>
      <c r="MAG130" s="118"/>
      <c r="MAH130" s="118"/>
      <c r="MAI130" s="118"/>
      <c r="MAJ130" s="118"/>
      <c r="MAK130" s="118"/>
      <c r="MAL130" s="118"/>
      <c r="MAM130" s="118"/>
      <c r="MAN130" s="118"/>
      <c r="MAO130" s="118"/>
      <c r="MAP130" s="118"/>
      <c r="MAQ130" s="118"/>
      <c r="MAR130" s="118"/>
      <c r="MAS130" s="118"/>
      <c r="MAT130" s="118"/>
      <c r="MAU130" s="118"/>
      <c r="MAV130" s="118"/>
      <c r="MAW130" s="118"/>
      <c r="MAX130" s="118"/>
      <c r="MAY130" s="118"/>
      <c r="MAZ130" s="118"/>
      <c r="MBA130" s="118"/>
      <c r="MBB130" s="118"/>
      <c r="MBC130" s="118"/>
      <c r="MBD130" s="118"/>
      <c r="MBE130" s="118"/>
      <c r="MBF130" s="118"/>
      <c r="MBG130" s="118"/>
      <c r="MBH130" s="118"/>
      <c r="MBI130" s="118"/>
      <c r="MBJ130" s="118"/>
      <c r="MBK130" s="118"/>
      <c r="MBL130" s="118"/>
      <c r="MBM130" s="118"/>
      <c r="MBN130" s="118"/>
      <c r="MBO130" s="118"/>
      <c r="MBP130" s="118"/>
      <c r="MBQ130" s="118"/>
      <c r="MBR130" s="118"/>
      <c r="MBS130" s="118"/>
      <c r="MBT130" s="118"/>
      <c r="MBU130" s="118"/>
      <c r="MBV130" s="118"/>
      <c r="MBW130" s="118"/>
      <c r="MBX130" s="118"/>
      <c r="MBY130" s="118"/>
      <c r="MBZ130" s="118"/>
      <c r="MCA130" s="118"/>
      <c r="MCB130" s="118"/>
      <c r="MCC130" s="118"/>
      <c r="MCD130" s="118"/>
      <c r="MCE130" s="118"/>
      <c r="MCF130" s="118"/>
      <c r="MCG130" s="118"/>
      <c r="MCH130" s="118"/>
      <c r="MCI130" s="118"/>
      <c r="MCJ130" s="118"/>
      <c r="MCK130" s="118"/>
      <c r="MCL130" s="118"/>
      <c r="MCM130" s="118"/>
      <c r="MCN130" s="118"/>
      <c r="MCO130" s="118"/>
      <c r="MCP130" s="118"/>
      <c r="MCQ130" s="118"/>
      <c r="MCR130" s="118"/>
      <c r="MCS130" s="118"/>
      <c r="MCT130" s="118"/>
      <c r="MCU130" s="118"/>
      <c r="MCV130" s="118"/>
      <c r="MCW130" s="118"/>
      <c r="MCX130" s="118"/>
      <c r="MCY130" s="118"/>
      <c r="MCZ130" s="118"/>
      <c r="MDA130" s="118"/>
      <c r="MDB130" s="118"/>
      <c r="MDC130" s="118"/>
      <c r="MDD130" s="118"/>
      <c r="MDE130" s="118"/>
      <c r="MDF130" s="118"/>
      <c r="MDG130" s="118"/>
      <c r="MDH130" s="118"/>
      <c r="MDI130" s="118"/>
      <c r="MDJ130" s="118"/>
      <c r="MDK130" s="118"/>
      <c r="MDL130" s="118"/>
      <c r="MDM130" s="118"/>
      <c r="MDN130" s="118"/>
      <c r="MDO130" s="118"/>
      <c r="MDP130" s="118"/>
      <c r="MDQ130" s="118"/>
      <c r="MDR130" s="118"/>
      <c r="MDS130" s="118"/>
      <c r="MDT130" s="118"/>
      <c r="MDU130" s="118"/>
      <c r="MDV130" s="118"/>
      <c r="MDW130" s="118"/>
      <c r="MDX130" s="118"/>
      <c r="MDY130" s="118"/>
      <c r="MDZ130" s="118"/>
      <c r="MEA130" s="118"/>
      <c r="MEB130" s="118"/>
      <c r="MEC130" s="118"/>
      <c r="MED130" s="118"/>
      <c r="MEE130" s="118"/>
      <c r="MEF130" s="118"/>
      <c r="MEG130" s="118"/>
      <c r="MEH130" s="118"/>
      <c r="MEI130" s="118"/>
      <c r="MEJ130" s="118"/>
      <c r="MEK130" s="118"/>
      <c r="MEL130" s="118"/>
      <c r="MEM130" s="118"/>
      <c r="MEN130" s="118"/>
      <c r="MEO130" s="118"/>
      <c r="MEP130" s="118"/>
      <c r="MEQ130" s="118"/>
      <c r="MER130" s="118"/>
      <c r="MES130" s="118"/>
      <c r="MET130" s="118"/>
      <c r="MEU130" s="118"/>
      <c r="MEV130" s="118"/>
      <c r="MEW130" s="118"/>
      <c r="MEX130" s="118"/>
      <c r="MEY130" s="118"/>
      <c r="MEZ130" s="118"/>
      <c r="MFA130" s="118"/>
      <c r="MFB130" s="118"/>
      <c r="MFC130" s="118"/>
      <c r="MFD130" s="118"/>
      <c r="MFE130" s="118"/>
      <c r="MFF130" s="118"/>
      <c r="MFG130" s="118"/>
      <c r="MFH130" s="118"/>
      <c r="MFI130" s="118"/>
      <c r="MFJ130" s="118"/>
      <c r="MFK130" s="118"/>
      <c r="MFL130" s="118"/>
      <c r="MFM130" s="118"/>
      <c r="MFN130" s="118"/>
      <c r="MFO130" s="118"/>
      <c r="MFP130" s="118"/>
      <c r="MFQ130" s="118"/>
      <c r="MFR130" s="118"/>
      <c r="MFS130" s="118"/>
      <c r="MFT130" s="118"/>
      <c r="MFU130" s="118"/>
      <c r="MFV130" s="118"/>
      <c r="MFW130" s="118"/>
      <c r="MFX130" s="118"/>
      <c r="MFY130" s="118"/>
      <c r="MFZ130" s="118"/>
      <c r="MGA130" s="118"/>
      <c r="MGB130" s="118"/>
      <c r="MGC130" s="118"/>
      <c r="MGD130" s="118"/>
      <c r="MGE130" s="118"/>
      <c r="MGF130" s="118"/>
      <c r="MGG130" s="118"/>
      <c r="MGH130" s="118"/>
      <c r="MGI130" s="118"/>
      <c r="MGJ130" s="118"/>
      <c r="MGK130" s="118"/>
      <c r="MGL130" s="118"/>
      <c r="MGM130" s="118"/>
      <c r="MGN130" s="118"/>
      <c r="MGO130" s="118"/>
      <c r="MGP130" s="118"/>
      <c r="MGQ130" s="118"/>
      <c r="MGR130" s="118"/>
      <c r="MGS130" s="118"/>
      <c r="MGT130" s="118"/>
      <c r="MGU130" s="118"/>
      <c r="MGV130" s="118"/>
      <c r="MGW130" s="118"/>
      <c r="MGX130" s="118"/>
      <c r="MGY130" s="118"/>
      <c r="MGZ130" s="118"/>
      <c r="MHA130" s="118"/>
      <c r="MHB130" s="118"/>
      <c r="MHC130" s="118"/>
      <c r="MHD130" s="118"/>
      <c r="MHE130" s="118"/>
      <c r="MHF130" s="118"/>
      <c r="MHG130" s="118"/>
      <c r="MHH130" s="118"/>
      <c r="MHI130" s="118"/>
      <c r="MHJ130" s="118"/>
      <c r="MHK130" s="118"/>
      <c r="MHL130" s="118"/>
      <c r="MHM130" s="118"/>
      <c r="MHN130" s="118"/>
      <c r="MHO130" s="118"/>
      <c r="MHP130" s="118"/>
      <c r="MHQ130" s="118"/>
      <c r="MHR130" s="118"/>
      <c r="MHS130" s="118"/>
      <c r="MHT130" s="118"/>
      <c r="MHU130" s="118"/>
      <c r="MHV130" s="118"/>
      <c r="MHW130" s="118"/>
      <c r="MHX130" s="118"/>
      <c r="MHY130" s="118"/>
      <c r="MHZ130" s="118"/>
      <c r="MIA130" s="118"/>
      <c r="MIB130" s="118"/>
      <c r="MIC130" s="118"/>
      <c r="MID130" s="118"/>
      <c r="MIE130" s="118"/>
      <c r="MIF130" s="118"/>
      <c r="MIG130" s="118"/>
      <c r="MIH130" s="118"/>
      <c r="MII130" s="118"/>
      <c r="MIJ130" s="118"/>
      <c r="MIK130" s="118"/>
      <c r="MIL130" s="118"/>
      <c r="MIM130" s="118"/>
      <c r="MIN130" s="118"/>
      <c r="MIO130" s="118"/>
      <c r="MIP130" s="118"/>
      <c r="MIQ130" s="118"/>
      <c r="MIR130" s="118"/>
      <c r="MIS130" s="118"/>
      <c r="MIT130" s="118"/>
      <c r="MIU130" s="118"/>
      <c r="MIV130" s="118"/>
      <c r="MIW130" s="118"/>
      <c r="MIX130" s="118"/>
      <c r="MIY130" s="118"/>
      <c r="MIZ130" s="118"/>
      <c r="MJA130" s="118"/>
      <c r="MJB130" s="118"/>
      <c r="MJC130" s="118"/>
      <c r="MJD130" s="118"/>
      <c r="MJE130" s="118"/>
      <c r="MJF130" s="118"/>
      <c r="MJG130" s="118"/>
      <c r="MJH130" s="118"/>
      <c r="MJI130" s="118"/>
      <c r="MJJ130" s="118"/>
      <c r="MJK130" s="118"/>
      <c r="MJL130" s="118"/>
      <c r="MJM130" s="118"/>
      <c r="MJN130" s="118"/>
      <c r="MJO130" s="118"/>
      <c r="MJP130" s="118"/>
      <c r="MJQ130" s="118"/>
      <c r="MJR130" s="118"/>
      <c r="MJS130" s="118"/>
      <c r="MJT130" s="118"/>
      <c r="MJU130" s="118"/>
      <c r="MJV130" s="118"/>
      <c r="MJW130" s="118"/>
      <c r="MJX130" s="118"/>
      <c r="MJY130" s="118"/>
      <c r="MJZ130" s="118"/>
      <c r="MKA130" s="118"/>
      <c r="MKB130" s="118"/>
      <c r="MKC130" s="118"/>
      <c r="MKD130" s="118"/>
      <c r="MKE130" s="118"/>
      <c r="MKF130" s="118"/>
      <c r="MKG130" s="118"/>
      <c r="MKH130" s="118"/>
      <c r="MKI130" s="118"/>
      <c r="MKJ130" s="118"/>
      <c r="MKK130" s="118"/>
      <c r="MKL130" s="118"/>
      <c r="MKM130" s="118"/>
      <c r="MKN130" s="118"/>
      <c r="MKO130" s="118"/>
      <c r="MKP130" s="118"/>
      <c r="MKQ130" s="118"/>
      <c r="MKR130" s="118"/>
      <c r="MKS130" s="118"/>
      <c r="MKT130" s="118"/>
      <c r="MKU130" s="118"/>
      <c r="MKV130" s="118"/>
      <c r="MKW130" s="118"/>
      <c r="MKX130" s="118"/>
      <c r="MKY130" s="118"/>
      <c r="MKZ130" s="118"/>
      <c r="MLA130" s="118"/>
      <c r="MLB130" s="118"/>
      <c r="MLC130" s="118"/>
      <c r="MLD130" s="118"/>
      <c r="MLE130" s="118"/>
      <c r="MLF130" s="118"/>
      <c r="MLG130" s="118"/>
      <c r="MLH130" s="118"/>
      <c r="MLI130" s="118"/>
      <c r="MLJ130" s="118"/>
      <c r="MLK130" s="118"/>
      <c r="MLL130" s="118"/>
      <c r="MLM130" s="118"/>
      <c r="MLN130" s="118"/>
      <c r="MLO130" s="118"/>
      <c r="MLP130" s="118"/>
      <c r="MLQ130" s="118"/>
      <c r="MLR130" s="118"/>
      <c r="MLS130" s="118"/>
      <c r="MLT130" s="118"/>
      <c r="MLU130" s="118"/>
      <c r="MLV130" s="118"/>
      <c r="MLW130" s="118"/>
      <c r="MLX130" s="118"/>
      <c r="MLY130" s="118"/>
      <c r="MLZ130" s="118"/>
      <c r="MMA130" s="118"/>
      <c r="MMB130" s="118"/>
      <c r="MMC130" s="118"/>
      <c r="MMD130" s="118"/>
      <c r="MME130" s="118"/>
      <c r="MMF130" s="118"/>
      <c r="MMG130" s="118"/>
      <c r="MMH130" s="118"/>
      <c r="MMI130" s="118"/>
      <c r="MMJ130" s="118"/>
      <c r="MMK130" s="118"/>
      <c r="MML130" s="118"/>
      <c r="MMM130" s="118"/>
      <c r="MMN130" s="118"/>
      <c r="MMO130" s="118"/>
      <c r="MMP130" s="118"/>
      <c r="MMQ130" s="118"/>
      <c r="MMR130" s="118"/>
      <c r="MMS130" s="118"/>
      <c r="MMT130" s="118"/>
      <c r="MMU130" s="118"/>
      <c r="MMV130" s="118"/>
      <c r="MMW130" s="118"/>
      <c r="MMX130" s="118"/>
      <c r="MMY130" s="118"/>
      <c r="MMZ130" s="118"/>
      <c r="MNA130" s="118"/>
      <c r="MNB130" s="118"/>
      <c r="MNC130" s="118"/>
      <c r="MND130" s="118"/>
      <c r="MNE130" s="118"/>
      <c r="MNF130" s="118"/>
      <c r="MNG130" s="118"/>
      <c r="MNH130" s="118"/>
      <c r="MNI130" s="118"/>
      <c r="MNJ130" s="118"/>
      <c r="MNK130" s="118"/>
      <c r="MNL130" s="118"/>
      <c r="MNM130" s="118"/>
      <c r="MNN130" s="118"/>
      <c r="MNO130" s="118"/>
      <c r="MNP130" s="118"/>
      <c r="MNQ130" s="118"/>
      <c r="MNR130" s="118"/>
      <c r="MNS130" s="118"/>
      <c r="MNT130" s="118"/>
      <c r="MNU130" s="118"/>
      <c r="MNV130" s="118"/>
      <c r="MNW130" s="118"/>
      <c r="MNX130" s="118"/>
      <c r="MNY130" s="118"/>
      <c r="MNZ130" s="118"/>
      <c r="MOA130" s="118"/>
      <c r="MOB130" s="118"/>
      <c r="MOC130" s="118"/>
      <c r="MOD130" s="118"/>
      <c r="MOE130" s="118"/>
      <c r="MOF130" s="118"/>
      <c r="MOG130" s="118"/>
      <c r="MOH130" s="118"/>
      <c r="MOI130" s="118"/>
      <c r="MOJ130" s="118"/>
      <c r="MOK130" s="118"/>
      <c r="MOL130" s="118"/>
      <c r="MOM130" s="118"/>
      <c r="MON130" s="118"/>
      <c r="MOO130" s="118"/>
      <c r="MOP130" s="118"/>
      <c r="MOQ130" s="118"/>
      <c r="MOR130" s="118"/>
      <c r="MOS130" s="118"/>
      <c r="MOT130" s="118"/>
      <c r="MOU130" s="118"/>
      <c r="MOV130" s="118"/>
      <c r="MOW130" s="118"/>
      <c r="MOX130" s="118"/>
      <c r="MOY130" s="118"/>
      <c r="MOZ130" s="118"/>
      <c r="MPA130" s="118"/>
      <c r="MPB130" s="118"/>
      <c r="MPC130" s="118"/>
      <c r="MPD130" s="118"/>
      <c r="MPE130" s="118"/>
      <c r="MPF130" s="118"/>
      <c r="MPG130" s="118"/>
      <c r="MPH130" s="118"/>
      <c r="MPI130" s="118"/>
      <c r="MPJ130" s="118"/>
      <c r="MPK130" s="118"/>
      <c r="MPL130" s="118"/>
      <c r="MPM130" s="118"/>
      <c r="MPN130" s="118"/>
      <c r="MPO130" s="118"/>
      <c r="MPP130" s="118"/>
      <c r="MPQ130" s="118"/>
      <c r="MPR130" s="118"/>
      <c r="MPS130" s="118"/>
      <c r="MPT130" s="118"/>
      <c r="MPU130" s="118"/>
      <c r="MPV130" s="118"/>
      <c r="MPW130" s="118"/>
      <c r="MPX130" s="118"/>
      <c r="MPY130" s="118"/>
      <c r="MPZ130" s="118"/>
      <c r="MQA130" s="118"/>
      <c r="MQB130" s="118"/>
      <c r="MQC130" s="118"/>
      <c r="MQD130" s="118"/>
      <c r="MQE130" s="118"/>
      <c r="MQF130" s="118"/>
      <c r="MQG130" s="118"/>
      <c r="MQH130" s="118"/>
      <c r="MQI130" s="118"/>
      <c r="MQJ130" s="118"/>
      <c r="MQK130" s="118"/>
      <c r="MQL130" s="118"/>
      <c r="MQM130" s="118"/>
      <c r="MQN130" s="118"/>
      <c r="MQO130" s="118"/>
      <c r="MQP130" s="118"/>
      <c r="MQQ130" s="118"/>
      <c r="MQR130" s="118"/>
      <c r="MQS130" s="118"/>
      <c r="MQT130" s="118"/>
      <c r="MQU130" s="118"/>
      <c r="MQV130" s="118"/>
      <c r="MQW130" s="118"/>
      <c r="MQX130" s="118"/>
      <c r="MQY130" s="118"/>
      <c r="MQZ130" s="118"/>
      <c r="MRA130" s="118"/>
      <c r="MRB130" s="118"/>
      <c r="MRC130" s="118"/>
      <c r="MRD130" s="118"/>
      <c r="MRE130" s="118"/>
      <c r="MRF130" s="118"/>
      <c r="MRG130" s="118"/>
      <c r="MRH130" s="118"/>
      <c r="MRI130" s="118"/>
      <c r="MRJ130" s="118"/>
      <c r="MRK130" s="118"/>
      <c r="MRL130" s="118"/>
      <c r="MRM130" s="118"/>
      <c r="MRN130" s="118"/>
      <c r="MRO130" s="118"/>
      <c r="MRP130" s="118"/>
      <c r="MRQ130" s="118"/>
      <c r="MRR130" s="118"/>
      <c r="MRS130" s="118"/>
      <c r="MRT130" s="118"/>
      <c r="MRU130" s="118"/>
      <c r="MRV130" s="118"/>
      <c r="MRW130" s="118"/>
      <c r="MRX130" s="118"/>
      <c r="MRY130" s="118"/>
      <c r="MRZ130" s="118"/>
      <c r="MSA130" s="118"/>
      <c r="MSB130" s="118"/>
      <c r="MSC130" s="118"/>
      <c r="MSD130" s="118"/>
      <c r="MSE130" s="118"/>
      <c r="MSF130" s="118"/>
      <c r="MSG130" s="118"/>
      <c r="MSH130" s="118"/>
      <c r="MSI130" s="118"/>
      <c r="MSJ130" s="118"/>
      <c r="MSK130" s="118"/>
      <c r="MSL130" s="118"/>
      <c r="MSM130" s="118"/>
      <c r="MSN130" s="118"/>
      <c r="MSO130" s="118"/>
      <c r="MSP130" s="118"/>
      <c r="MSQ130" s="118"/>
      <c r="MSR130" s="118"/>
      <c r="MSS130" s="118"/>
      <c r="MST130" s="118"/>
      <c r="MSU130" s="118"/>
      <c r="MSV130" s="118"/>
      <c r="MSW130" s="118"/>
      <c r="MSX130" s="118"/>
      <c r="MSY130" s="118"/>
      <c r="MSZ130" s="118"/>
      <c r="MTA130" s="118"/>
      <c r="MTB130" s="118"/>
      <c r="MTC130" s="118"/>
      <c r="MTD130" s="118"/>
      <c r="MTE130" s="118"/>
      <c r="MTF130" s="118"/>
      <c r="MTG130" s="118"/>
      <c r="MTH130" s="118"/>
      <c r="MTI130" s="118"/>
      <c r="MTJ130" s="118"/>
      <c r="MTK130" s="118"/>
      <c r="MTL130" s="118"/>
      <c r="MTM130" s="118"/>
      <c r="MTN130" s="118"/>
      <c r="MTO130" s="118"/>
      <c r="MTP130" s="118"/>
      <c r="MTQ130" s="118"/>
      <c r="MTR130" s="118"/>
      <c r="MTS130" s="118"/>
      <c r="MTT130" s="118"/>
      <c r="MTU130" s="118"/>
      <c r="MTV130" s="118"/>
      <c r="MTW130" s="118"/>
      <c r="MTX130" s="118"/>
      <c r="MTY130" s="118"/>
      <c r="MTZ130" s="118"/>
      <c r="MUA130" s="118"/>
      <c r="MUB130" s="118"/>
      <c r="MUC130" s="118"/>
      <c r="MUD130" s="118"/>
      <c r="MUE130" s="118"/>
      <c r="MUF130" s="118"/>
      <c r="MUG130" s="118"/>
      <c r="MUH130" s="118"/>
      <c r="MUI130" s="118"/>
      <c r="MUJ130" s="118"/>
      <c r="MUK130" s="118"/>
      <c r="MUL130" s="118"/>
      <c r="MUM130" s="118"/>
      <c r="MUN130" s="118"/>
      <c r="MUO130" s="118"/>
      <c r="MUP130" s="118"/>
      <c r="MUQ130" s="118"/>
      <c r="MUR130" s="118"/>
      <c r="MUS130" s="118"/>
      <c r="MUT130" s="118"/>
      <c r="MUU130" s="118"/>
      <c r="MUV130" s="118"/>
      <c r="MUW130" s="118"/>
      <c r="MUX130" s="118"/>
      <c r="MUY130" s="118"/>
      <c r="MUZ130" s="118"/>
      <c r="MVA130" s="118"/>
      <c r="MVB130" s="118"/>
      <c r="MVC130" s="118"/>
      <c r="MVD130" s="118"/>
      <c r="MVE130" s="118"/>
      <c r="MVF130" s="118"/>
      <c r="MVG130" s="118"/>
      <c r="MVH130" s="118"/>
      <c r="MVI130" s="118"/>
      <c r="MVJ130" s="118"/>
      <c r="MVK130" s="118"/>
      <c r="MVL130" s="118"/>
      <c r="MVM130" s="118"/>
      <c r="MVN130" s="118"/>
      <c r="MVO130" s="118"/>
      <c r="MVP130" s="118"/>
      <c r="MVQ130" s="118"/>
      <c r="MVR130" s="118"/>
      <c r="MVS130" s="118"/>
      <c r="MVT130" s="118"/>
      <c r="MVU130" s="118"/>
      <c r="MVV130" s="118"/>
      <c r="MVW130" s="118"/>
      <c r="MVX130" s="118"/>
      <c r="MVY130" s="118"/>
      <c r="MVZ130" s="118"/>
      <c r="MWA130" s="118"/>
      <c r="MWB130" s="118"/>
      <c r="MWC130" s="118"/>
      <c r="MWD130" s="118"/>
      <c r="MWE130" s="118"/>
      <c r="MWF130" s="118"/>
      <c r="MWG130" s="118"/>
      <c r="MWH130" s="118"/>
      <c r="MWI130" s="118"/>
      <c r="MWJ130" s="118"/>
      <c r="MWK130" s="118"/>
      <c r="MWL130" s="118"/>
      <c r="MWM130" s="118"/>
      <c r="MWN130" s="118"/>
      <c r="MWO130" s="118"/>
      <c r="MWP130" s="118"/>
      <c r="MWQ130" s="118"/>
      <c r="MWR130" s="118"/>
      <c r="MWS130" s="118"/>
      <c r="MWT130" s="118"/>
      <c r="MWU130" s="118"/>
      <c r="MWV130" s="118"/>
      <c r="MWW130" s="118"/>
      <c r="MWX130" s="118"/>
      <c r="MWY130" s="118"/>
      <c r="MWZ130" s="118"/>
      <c r="MXA130" s="118"/>
      <c r="MXB130" s="118"/>
      <c r="MXC130" s="118"/>
      <c r="MXD130" s="118"/>
      <c r="MXE130" s="118"/>
      <c r="MXF130" s="118"/>
      <c r="MXG130" s="118"/>
      <c r="MXH130" s="118"/>
      <c r="MXI130" s="118"/>
      <c r="MXJ130" s="118"/>
      <c r="MXK130" s="118"/>
      <c r="MXL130" s="118"/>
      <c r="MXM130" s="118"/>
      <c r="MXN130" s="118"/>
      <c r="MXO130" s="118"/>
      <c r="MXP130" s="118"/>
      <c r="MXQ130" s="118"/>
      <c r="MXR130" s="118"/>
      <c r="MXS130" s="118"/>
      <c r="MXT130" s="118"/>
      <c r="MXU130" s="118"/>
      <c r="MXV130" s="118"/>
      <c r="MXW130" s="118"/>
      <c r="MXX130" s="118"/>
      <c r="MXY130" s="118"/>
      <c r="MXZ130" s="118"/>
      <c r="MYA130" s="118"/>
      <c r="MYB130" s="118"/>
      <c r="MYC130" s="118"/>
      <c r="MYD130" s="118"/>
      <c r="MYE130" s="118"/>
      <c r="MYF130" s="118"/>
      <c r="MYG130" s="118"/>
      <c r="MYH130" s="118"/>
      <c r="MYI130" s="118"/>
      <c r="MYJ130" s="118"/>
      <c r="MYK130" s="118"/>
      <c r="MYL130" s="118"/>
      <c r="MYM130" s="118"/>
      <c r="MYN130" s="118"/>
      <c r="MYO130" s="118"/>
      <c r="MYP130" s="118"/>
      <c r="MYQ130" s="118"/>
      <c r="MYR130" s="118"/>
      <c r="MYS130" s="118"/>
      <c r="MYT130" s="118"/>
      <c r="MYU130" s="118"/>
      <c r="MYV130" s="118"/>
      <c r="MYW130" s="118"/>
      <c r="MYX130" s="118"/>
      <c r="MYY130" s="118"/>
      <c r="MYZ130" s="118"/>
      <c r="MZA130" s="118"/>
      <c r="MZB130" s="118"/>
      <c r="MZC130" s="118"/>
      <c r="MZD130" s="118"/>
      <c r="MZE130" s="118"/>
      <c r="MZF130" s="118"/>
      <c r="MZG130" s="118"/>
      <c r="MZH130" s="118"/>
      <c r="MZI130" s="118"/>
      <c r="MZJ130" s="118"/>
      <c r="MZK130" s="118"/>
      <c r="MZL130" s="118"/>
      <c r="MZM130" s="118"/>
      <c r="MZN130" s="118"/>
      <c r="MZO130" s="118"/>
      <c r="MZP130" s="118"/>
      <c r="MZQ130" s="118"/>
      <c r="MZR130" s="118"/>
      <c r="MZS130" s="118"/>
      <c r="MZT130" s="118"/>
      <c r="MZU130" s="118"/>
      <c r="MZV130" s="118"/>
      <c r="MZW130" s="118"/>
      <c r="MZX130" s="118"/>
      <c r="MZY130" s="118"/>
      <c r="MZZ130" s="118"/>
      <c r="NAA130" s="118"/>
      <c r="NAB130" s="118"/>
      <c r="NAC130" s="118"/>
      <c r="NAD130" s="118"/>
      <c r="NAE130" s="118"/>
      <c r="NAF130" s="118"/>
      <c r="NAG130" s="118"/>
      <c r="NAH130" s="118"/>
      <c r="NAI130" s="118"/>
      <c r="NAJ130" s="118"/>
      <c r="NAK130" s="118"/>
      <c r="NAL130" s="118"/>
      <c r="NAM130" s="118"/>
      <c r="NAN130" s="118"/>
      <c r="NAO130" s="118"/>
      <c r="NAP130" s="118"/>
      <c r="NAQ130" s="118"/>
      <c r="NAR130" s="118"/>
      <c r="NAS130" s="118"/>
      <c r="NAT130" s="118"/>
      <c r="NAU130" s="118"/>
      <c r="NAV130" s="118"/>
      <c r="NAW130" s="118"/>
      <c r="NAX130" s="118"/>
      <c r="NAY130" s="118"/>
      <c r="NAZ130" s="118"/>
      <c r="NBA130" s="118"/>
      <c r="NBB130" s="118"/>
      <c r="NBC130" s="118"/>
      <c r="NBD130" s="118"/>
      <c r="NBE130" s="118"/>
      <c r="NBF130" s="118"/>
      <c r="NBG130" s="118"/>
      <c r="NBH130" s="118"/>
      <c r="NBI130" s="118"/>
      <c r="NBJ130" s="118"/>
      <c r="NBK130" s="118"/>
      <c r="NBL130" s="118"/>
      <c r="NBM130" s="118"/>
      <c r="NBN130" s="118"/>
      <c r="NBO130" s="118"/>
      <c r="NBP130" s="118"/>
      <c r="NBQ130" s="118"/>
      <c r="NBR130" s="118"/>
      <c r="NBS130" s="118"/>
      <c r="NBT130" s="118"/>
      <c r="NBU130" s="118"/>
      <c r="NBV130" s="118"/>
      <c r="NBW130" s="118"/>
      <c r="NBX130" s="118"/>
      <c r="NBY130" s="118"/>
      <c r="NBZ130" s="118"/>
      <c r="NCA130" s="118"/>
      <c r="NCB130" s="118"/>
      <c r="NCC130" s="118"/>
      <c r="NCD130" s="118"/>
      <c r="NCE130" s="118"/>
      <c r="NCF130" s="118"/>
      <c r="NCG130" s="118"/>
      <c r="NCH130" s="118"/>
      <c r="NCI130" s="118"/>
      <c r="NCJ130" s="118"/>
      <c r="NCK130" s="118"/>
      <c r="NCL130" s="118"/>
      <c r="NCM130" s="118"/>
      <c r="NCN130" s="118"/>
      <c r="NCO130" s="118"/>
      <c r="NCP130" s="118"/>
      <c r="NCQ130" s="118"/>
      <c r="NCR130" s="118"/>
      <c r="NCS130" s="118"/>
      <c r="NCT130" s="118"/>
      <c r="NCU130" s="118"/>
      <c r="NCV130" s="118"/>
      <c r="NCW130" s="118"/>
      <c r="NCX130" s="118"/>
      <c r="NCY130" s="118"/>
      <c r="NCZ130" s="118"/>
      <c r="NDA130" s="118"/>
      <c r="NDB130" s="118"/>
      <c r="NDC130" s="118"/>
      <c r="NDD130" s="118"/>
      <c r="NDE130" s="118"/>
      <c r="NDF130" s="118"/>
      <c r="NDG130" s="118"/>
      <c r="NDH130" s="118"/>
      <c r="NDI130" s="118"/>
      <c r="NDJ130" s="118"/>
      <c r="NDK130" s="118"/>
      <c r="NDL130" s="118"/>
      <c r="NDM130" s="118"/>
      <c r="NDN130" s="118"/>
      <c r="NDO130" s="118"/>
      <c r="NDP130" s="118"/>
      <c r="NDQ130" s="118"/>
      <c r="NDR130" s="118"/>
      <c r="NDS130" s="118"/>
      <c r="NDT130" s="118"/>
      <c r="NDU130" s="118"/>
      <c r="NDV130" s="118"/>
      <c r="NDW130" s="118"/>
      <c r="NDX130" s="118"/>
      <c r="NDY130" s="118"/>
      <c r="NDZ130" s="118"/>
      <c r="NEA130" s="118"/>
      <c r="NEB130" s="118"/>
      <c r="NEC130" s="118"/>
      <c r="NED130" s="118"/>
      <c r="NEE130" s="118"/>
      <c r="NEF130" s="118"/>
      <c r="NEG130" s="118"/>
      <c r="NEH130" s="118"/>
      <c r="NEI130" s="118"/>
      <c r="NEJ130" s="118"/>
      <c r="NEK130" s="118"/>
      <c r="NEL130" s="118"/>
      <c r="NEM130" s="118"/>
      <c r="NEN130" s="118"/>
      <c r="NEO130" s="118"/>
      <c r="NEP130" s="118"/>
      <c r="NEQ130" s="118"/>
      <c r="NER130" s="118"/>
      <c r="NES130" s="118"/>
      <c r="NET130" s="118"/>
      <c r="NEU130" s="118"/>
      <c r="NEV130" s="118"/>
      <c r="NEW130" s="118"/>
      <c r="NEX130" s="118"/>
      <c r="NEY130" s="118"/>
      <c r="NEZ130" s="118"/>
      <c r="NFA130" s="118"/>
      <c r="NFB130" s="118"/>
      <c r="NFC130" s="118"/>
      <c r="NFD130" s="118"/>
      <c r="NFE130" s="118"/>
      <c r="NFF130" s="118"/>
      <c r="NFG130" s="118"/>
      <c r="NFH130" s="118"/>
      <c r="NFI130" s="118"/>
      <c r="NFJ130" s="118"/>
      <c r="NFK130" s="118"/>
      <c r="NFL130" s="118"/>
      <c r="NFM130" s="118"/>
      <c r="NFN130" s="118"/>
      <c r="NFO130" s="118"/>
      <c r="NFP130" s="118"/>
      <c r="NFQ130" s="118"/>
      <c r="NFR130" s="118"/>
      <c r="NFS130" s="118"/>
      <c r="NFT130" s="118"/>
      <c r="NFU130" s="118"/>
      <c r="NFV130" s="118"/>
      <c r="NFW130" s="118"/>
      <c r="NFX130" s="118"/>
      <c r="NFY130" s="118"/>
      <c r="NFZ130" s="118"/>
      <c r="NGA130" s="118"/>
      <c r="NGB130" s="118"/>
      <c r="NGC130" s="118"/>
      <c r="NGD130" s="118"/>
      <c r="NGE130" s="118"/>
      <c r="NGF130" s="118"/>
      <c r="NGG130" s="118"/>
      <c r="NGH130" s="118"/>
      <c r="NGI130" s="118"/>
      <c r="NGJ130" s="118"/>
      <c r="NGK130" s="118"/>
      <c r="NGL130" s="118"/>
      <c r="NGM130" s="118"/>
      <c r="NGN130" s="118"/>
      <c r="NGO130" s="118"/>
      <c r="NGP130" s="118"/>
      <c r="NGQ130" s="118"/>
      <c r="NGR130" s="118"/>
      <c r="NGS130" s="118"/>
      <c r="NGT130" s="118"/>
      <c r="NGU130" s="118"/>
      <c r="NGV130" s="118"/>
      <c r="NGW130" s="118"/>
      <c r="NGX130" s="118"/>
      <c r="NGY130" s="118"/>
      <c r="NGZ130" s="118"/>
      <c r="NHA130" s="118"/>
      <c r="NHB130" s="118"/>
      <c r="NHC130" s="118"/>
      <c r="NHD130" s="118"/>
      <c r="NHE130" s="118"/>
      <c r="NHF130" s="118"/>
      <c r="NHG130" s="118"/>
      <c r="NHH130" s="118"/>
      <c r="NHI130" s="118"/>
      <c r="NHJ130" s="118"/>
      <c r="NHK130" s="118"/>
      <c r="NHL130" s="118"/>
      <c r="NHM130" s="118"/>
      <c r="NHN130" s="118"/>
      <c r="NHO130" s="118"/>
      <c r="NHP130" s="118"/>
      <c r="NHQ130" s="118"/>
      <c r="NHR130" s="118"/>
      <c r="NHS130" s="118"/>
      <c r="NHT130" s="118"/>
      <c r="NHU130" s="118"/>
      <c r="NHV130" s="118"/>
      <c r="NHW130" s="118"/>
      <c r="NHX130" s="118"/>
      <c r="NHY130" s="118"/>
      <c r="NHZ130" s="118"/>
      <c r="NIA130" s="118"/>
      <c r="NIB130" s="118"/>
      <c r="NIC130" s="118"/>
      <c r="NID130" s="118"/>
      <c r="NIE130" s="118"/>
      <c r="NIF130" s="118"/>
      <c r="NIG130" s="118"/>
      <c r="NIH130" s="118"/>
      <c r="NII130" s="118"/>
      <c r="NIJ130" s="118"/>
      <c r="NIK130" s="118"/>
      <c r="NIL130" s="118"/>
      <c r="NIM130" s="118"/>
      <c r="NIN130" s="118"/>
      <c r="NIO130" s="118"/>
      <c r="NIP130" s="118"/>
      <c r="NIQ130" s="118"/>
      <c r="NIR130" s="118"/>
      <c r="NIS130" s="118"/>
      <c r="NIT130" s="118"/>
      <c r="NIU130" s="118"/>
      <c r="NIV130" s="118"/>
      <c r="NIW130" s="118"/>
      <c r="NIX130" s="118"/>
      <c r="NIY130" s="118"/>
      <c r="NIZ130" s="118"/>
      <c r="NJA130" s="118"/>
      <c r="NJB130" s="118"/>
      <c r="NJC130" s="118"/>
      <c r="NJD130" s="118"/>
      <c r="NJE130" s="118"/>
      <c r="NJF130" s="118"/>
      <c r="NJG130" s="118"/>
      <c r="NJH130" s="118"/>
      <c r="NJI130" s="118"/>
      <c r="NJJ130" s="118"/>
      <c r="NJK130" s="118"/>
      <c r="NJL130" s="118"/>
      <c r="NJM130" s="118"/>
      <c r="NJN130" s="118"/>
      <c r="NJO130" s="118"/>
      <c r="NJP130" s="118"/>
      <c r="NJQ130" s="118"/>
      <c r="NJR130" s="118"/>
      <c r="NJS130" s="118"/>
      <c r="NJT130" s="118"/>
      <c r="NJU130" s="118"/>
      <c r="NJV130" s="118"/>
      <c r="NJW130" s="118"/>
      <c r="NJX130" s="118"/>
      <c r="NJY130" s="118"/>
      <c r="NJZ130" s="118"/>
      <c r="NKA130" s="118"/>
      <c r="NKB130" s="118"/>
      <c r="NKC130" s="118"/>
      <c r="NKD130" s="118"/>
      <c r="NKE130" s="118"/>
      <c r="NKF130" s="118"/>
      <c r="NKG130" s="118"/>
      <c r="NKH130" s="118"/>
      <c r="NKI130" s="118"/>
      <c r="NKJ130" s="118"/>
      <c r="NKK130" s="118"/>
      <c r="NKL130" s="118"/>
      <c r="NKM130" s="118"/>
      <c r="NKN130" s="118"/>
      <c r="NKO130" s="118"/>
      <c r="NKP130" s="118"/>
      <c r="NKQ130" s="118"/>
      <c r="NKR130" s="118"/>
      <c r="NKS130" s="118"/>
      <c r="NKT130" s="118"/>
      <c r="NKU130" s="118"/>
      <c r="NKV130" s="118"/>
      <c r="NKW130" s="118"/>
      <c r="NKX130" s="118"/>
      <c r="NKY130" s="118"/>
      <c r="NKZ130" s="118"/>
      <c r="NLA130" s="118"/>
      <c r="NLB130" s="118"/>
      <c r="NLC130" s="118"/>
      <c r="NLD130" s="118"/>
      <c r="NLE130" s="118"/>
      <c r="NLF130" s="118"/>
      <c r="NLG130" s="118"/>
      <c r="NLH130" s="118"/>
      <c r="NLI130" s="118"/>
      <c r="NLJ130" s="118"/>
      <c r="NLK130" s="118"/>
      <c r="NLL130" s="118"/>
      <c r="NLM130" s="118"/>
      <c r="NLN130" s="118"/>
      <c r="NLO130" s="118"/>
      <c r="NLP130" s="118"/>
      <c r="NLQ130" s="118"/>
      <c r="NLR130" s="118"/>
      <c r="NLS130" s="118"/>
      <c r="NLT130" s="118"/>
      <c r="NLU130" s="118"/>
      <c r="NLV130" s="118"/>
      <c r="NLW130" s="118"/>
      <c r="NLX130" s="118"/>
      <c r="NLY130" s="118"/>
      <c r="NLZ130" s="118"/>
      <c r="NMA130" s="118"/>
      <c r="NMB130" s="118"/>
      <c r="NMC130" s="118"/>
      <c r="NMD130" s="118"/>
      <c r="NME130" s="118"/>
      <c r="NMF130" s="118"/>
      <c r="NMG130" s="118"/>
      <c r="NMH130" s="118"/>
      <c r="NMI130" s="118"/>
      <c r="NMJ130" s="118"/>
      <c r="NMK130" s="118"/>
      <c r="NML130" s="118"/>
      <c r="NMM130" s="118"/>
      <c r="NMN130" s="118"/>
      <c r="NMO130" s="118"/>
      <c r="NMP130" s="118"/>
      <c r="NMQ130" s="118"/>
      <c r="NMR130" s="118"/>
      <c r="NMS130" s="118"/>
      <c r="NMT130" s="118"/>
      <c r="NMU130" s="118"/>
      <c r="NMV130" s="118"/>
      <c r="NMW130" s="118"/>
      <c r="NMX130" s="118"/>
      <c r="NMY130" s="118"/>
      <c r="NMZ130" s="118"/>
      <c r="NNA130" s="118"/>
      <c r="NNB130" s="118"/>
      <c r="NNC130" s="118"/>
      <c r="NND130" s="118"/>
      <c r="NNE130" s="118"/>
      <c r="NNF130" s="118"/>
      <c r="NNG130" s="118"/>
      <c r="NNH130" s="118"/>
      <c r="NNI130" s="118"/>
      <c r="NNJ130" s="118"/>
      <c r="NNK130" s="118"/>
      <c r="NNL130" s="118"/>
      <c r="NNM130" s="118"/>
      <c r="NNN130" s="118"/>
      <c r="NNO130" s="118"/>
      <c r="NNP130" s="118"/>
      <c r="NNQ130" s="118"/>
      <c r="NNR130" s="118"/>
      <c r="NNS130" s="118"/>
      <c r="NNT130" s="118"/>
      <c r="NNU130" s="118"/>
      <c r="NNV130" s="118"/>
      <c r="NNW130" s="118"/>
      <c r="NNX130" s="118"/>
      <c r="NNY130" s="118"/>
      <c r="NNZ130" s="118"/>
      <c r="NOA130" s="118"/>
      <c r="NOB130" s="118"/>
      <c r="NOC130" s="118"/>
      <c r="NOD130" s="118"/>
      <c r="NOE130" s="118"/>
      <c r="NOF130" s="118"/>
      <c r="NOG130" s="118"/>
      <c r="NOH130" s="118"/>
      <c r="NOI130" s="118"/>
      <c r="NOJ130" s="118"/>
      <c r="NOK130" s="118"/>
      <c r="NOL130" s="118"/>
      <c r="NOM130" s="118"/>
      <c r="NON130" s="118"/>
      <c r="NOO130" s="118"/>
      <c r="NOP130" s="118"/>
      <c r="NOQ130" s="118"/>
      <c r="NOR130" s="118"/>
      <c r="NOS130" s="118"/>
      <c r="NOT130" s="118"/>
      <c r="NOU130" s="118"/>
      <c r="NOV130" s="118"/>
      <c r="NOW130" s="118"/>
      <c r="NOX130" s="118"/>
      <c r="NOY130" s="118"/>
      <c r="NOZ130" s="118"/>
      <c r="NPA130" s="118"/>
      <c r="NPB130" s="118"/>
      <c r="NPC130" s="118"/>
      <c r="NPD130" s="118"/>
      <c r="NPE130" s="118"/>
      <c r="NPF130" s="118"/>
      <c r="NPG130" s="118"/>
      <c r="NPH130" s="118"/>
      <c r="NPI130" s="118"/>
      <c r="NPJ130" s="118"/>
      <c r="NPK130" s="118"/>
      <c r="NPL130" s="118"/>
      <c r="NPM130" s="118"/>
      <c r="NPN130" s="118"/>
      <c r="NPO130" s="118"/>
      <c r="NPP130" s="118"/>
      <c r="NPQ130" s="118"/>
      <c r="NPR130" s="118"/>
      <c r="NPS130" s="118"/>
      <c r="NPT130" s="118"/>
      <c r="NPU130" s="118"/>
      <c r="NPV130" s="118"/>
      <c r="NPW130" s="118"/>
      <c r="NPX130" s="118"/>
      <c r="NPY130" s="118"/>
      <c r="NPZ130" s="118"/>
      <c r="NQA130" s="118"/>
      <c r="NQB130" s="118"/>
      <c r="NQC130" s="118"/>
      <c r="NQD130" s="118"/>
      <c r="NQE130" s="118"/>
      <c r="NQF130" s="118"/>
      <c r="NQG130" s="118"/>
      <c r="NQH130" s="118"/>
      <c r="NQI130" s="118"/>
      <c r="NQJ130" s="118"/>
      <c r="NQK130" s="118"/>
      <c r="NQL130" s="118"/>
      <c r="NQM130" s="118"/>
      <c r="NQN130" s="118"/>
      <c r="NQO130" s="118"/>
      <c r="NQP130" s="118"/>
      <c r="NQQ130" s="118"/>
      <c r="NQR130" s="118"/>
      <c r="NQS130" s="118"/>
      <c r="NQT130" s="118"/>
      <c r="NQU130" s="118"/>
      <c r="NQV130" s="118"/>
      <c r="NQW130" s="118"/>
      <c r="NQX130" s="118"/>
      <c r="NQY130" s="118"/>
      <c r="NQZ130" s="118"/>
      <c r="NRA130" s="118"/>
      <c r="NRB130" s="118"/>
      <c r="NRC130" s="118"/>
      <c r="NRD130" s="118"/>
      <c r="NRE130" s="118"/>
      <c r="NRF130" s="118"/>
      <c r="NRG130" s="118"/>
      <c r="NRH130" s="118"/>
      <c r="NRI130" s="118"/>
      <c r="NRJ130" s="118"/>
      <c r="NRK130" s="118"/>
      <c r="NRL130" s="118"/>
      <c r="NRM130" s="118"/>
      <c r="NRN130" s="118"/>
      <c r="NRO130" s="118"/>
      <c r="NRP130" s="118"/>
      <c r="NRQ130" s="118"/>
      <c r="NRR130" s="118"/>
      <c r="NRS130" s="118"/>
      <c r="NRT130" s="118"/>
      <c r="NRU130" s="118"/>
      <c r="NRV130" s="118"/>
      <c r="NRW130" s="118"/>
      <c r="NRX130" s="118"/>
      <c r="NRY130" s="118"/>
      <c r="NRZ130" s="118"/>
      <c r="NSA130" s="118"/>
      <c r="NSB130" s="118"/>
      <c r="NSC130" s="118"/>
      <c r="NSD130" s="118"/>
      <c r="NSE130" s="118"/>
      <c r="NSF130" s="118"/>
      <c r="NSG130" s="118"/>
      <c r="NSH130" s="118"/>
      <c r="NSI130" s="118"/>
      <c r="NSJ130" s="118"/>
      <c r="NSK130" s="118"/>
      <c r="NSL130" s="118"/>
      <c r="NSM130" s="118"/>
      <c r="NSN130" s="118"/>
      <c r="NSO130" s="118"/>
      <c r="NSP130" s="118"/>
      <c r="NSQ130" s="118"/>
      <c r="NSR130" s="118"/>
      <c r="NSS130" s="118"/>
      <c r="NST130" s="118"/>
      <c r="NSU130" s="118"/>
      <c r="NSV130" s="118"/>
      <c r="NSW130" s="118"/>
      <c r="NSX130" s="118"/>
      <c r="NSY130" s="118"/>
      <c r="NSZ130" s="118"/>
      <c r="NTA130" s="118"/>
      <c r="NTB130" s="118"/>
      <c r="NTC130" s="118"/>
      <c r="NTD130" s="118"/>
      <c r="NTE130" s="118"/>
      <c r="NTF130" s="118"/>
      <c r="NTG130" s="118"/>
      <c r="NTH130" s="118"/>
      <c r="NTI130" s="118"/>
      <c r="NTJ130" s="118"/>
      <c r="NTK130" s="118"/>
      <c r="NTL130" s="118"/>
      <c r="NTM130" s="118"/>
      <c r="NTN130" s="118"/>
      <c r="NTO130" s="118"/>
      <c r="NTP130" s="118"/>
      <c r="NTQ130" s="118"/>
      <c r="NTR130" s="118"/>
      <c r="NTS130" s="118"/>
      <c r="NTT130" s="118"/>
      <c r="NTU130" s="118"/>
      <c r="NTV130" s="118"/>
      <c r="NTW130" s="118"/>
      <c r="NTX130" s="118"/>
      <c r="NTY130" s="118"/>
      <c r="NTZ130" s="118"/>
      <c r="NUA130" s="118"/>
      <c r="NUB130" s="118"/>
      <c r="NUC130" s="118"/>
      <c r="NUD130" s="118"/>
      <c r="NUE130" s="118"/>
      <c r="NUF130" s="118"/>
      <c r="NUG130" s="118"/>
      <c r="NUH130" s="118"/>
      <c r="NUI130" s="118"/>
      <c r="NUJ130" s="118"/>
      <c r="NUK130" s="118"/>
      <c r="NUL130" s="118"/>
      <c r="NUM130" s="118"/>
      <c r="NUN130" s="118"/>
      <c r="NUO130" s="118"/>
      <c r="NUP130" s="118"/>
      <c r="NUQ130" s="118"/>
      <c r="NUR130" s="118"/>
      <c r="NUS130" s="118"/>
      <c r="NUT130" s="118"/>
      <c r="NUU130" s="118"/>
      <c r="NUV130" s="118"/>
      <c r="NUW130" s="118"/>
      <c r="NUX130" s="118"/>
      <c r="NUY130" s="118"/>
      <c r="NUZ130" s="118"/>
      <c r="NVA130" s="118"/>
      <c r="NVB130" s="118"/>
      <c r="NVC130" s="118"/>
      <c r="NVD130" s="118"/>
      <c r="NVE130" s="118"/>
      <c r="NVF130" s="118"/>
      <c r="NVG130" s="118"/>
      <c r="NVH130" s="118"/>
      <c r="NVI130" s="118"/>
      <c r="NVJ130" s="118"/>
      <c r="NVK130" s="118"/>
      <c r="NVL130" s="118"/>
      <c r="NVM130" s="118"/>
      <c r="NVN130" s="118"/>
      <c r="NVO130" s="118"/>
      <c r="NVP130" s="118"/>
      <c r="NVQ130" s="118"/>
      <c r="NVR130" s="118"/>
      <c r="NVS130" s="118"/>
      <c r="NVT130" s="118"/>
      <c r="NVU130" s="118"/>
      <c r="NVV130" s="118"/>
      <c r="NVW130" s="118"/>
      <c r="NVX130" s="118"/>
      <c r="NVY130" s="118"/>
      <c r="NVZ130" s="118"/>
      <c r="NWA130" s="118"/>
      <c r="NWB130" s="118"/>
      <c r="NWC130" s="118"/>
      <c r="NWD130" s="118"/>
      <c r="NWE130" s="118"/>
      <c r="NWF130" s="118"/>
      <c r="NWG130" s="118"/>
      <c r="NWH130" s="118"/>
      <c r="NWI130" s="118"/>
      <c r="NWJ130" s="118"/>
      <c r="NWK130" s="118"/>
      <c r="NWL130" s="118"/>
      <c r="NWM130" s="118"/>
      <c r="NWN130" s="118"/>
      <c r="NWO130" s="118"/>
      <c r="NWP130" s="118"/>
      <c r="NWQ130" s="118"/>
      <c r="NWR130" s="118"/>
      <c r="NWS130" s="118"/>
      <c r="NWT130" s="118"/>
      <c r="NWU130" s="118"/>
      <c r="NWV130" s="118"/>
      <c r="NWW130" s="118"/>
      <c r="NWX130" s="118"/>
      <c r="NWY130" s="118"/>
      <c r="NWZ130" s="118"/>
      <c r="NXA130" s="118"/>
      <c r="NXB130" s="118"/>
      <c r="NXC130" s="118"/>
      <c r="NXD130" s="118"/>
      <c r="NXE130" s="118"/>
      <c r="NXF130" s="118"/>
      <c r="NXG130" s="118"/>
      <c r="NXH130" s="118"/>
      <c r="NXI130" s="118"/>
      <c r="NXJ130" s="118"/>
      <c r="NXK130" s="118"/>
      <c r="NXL130" s="118"/>
      <c r="NXM130" s="118"/>
      <c r="NXN130" s="118"/>
      <c r="NXO130" s="118"/>
      <c r="NXP130" s="118"/>
      <c r="NXQ130" s="118"/>
      <c r="NXR130" s="118"/>
      <c r="NXS130" s="118"/>
      <c r="NXT130" s="118"/>
      <c r="NXU130" s="118"/>
      <c r="NXV130" s="118"/>
      <c r="NXW130" s="118"/>
      <c r="NXX130" s="118"/>
      <c r="NXY130" s="118"/>
      <c r="NXZ130" s="118"/>
      <c r="NYA130" s="118"/>
      <c r="NYB130" s="118"/>
      <c r="NYC130" s="118"/>
      <c r="NYD130" s="118"/>
      <c r="NYE130" s="118"/>
      <c r="NYF130" s="118"/>
      <c r="NYG130" s="118"/>
      <c r="NYH130" s="118"/>
      <c r="NYI130" s="118"/>
      <c r="NYJ130" s="118"/>
      <c r="NYK130" s="118"/>
      <c r="NYL130" s="118"/>
      <c r="NYM130" s="118"/>
      <c r="NYN130" s="118"/>
      <c r="NYO130" s="118"/>
      <c r="NYP130" s="118"/>
      <c r="NYQ130" s="118"/>
      <c r="NYR130" s="118"/>
      <c r="NYS130" s="118"/>
      <c r="NYT130" s="118"/>
      <c r="NYU130" s="118"/>
      <c r="NYV130" s="118"/>
      <c r="NYW130" s="118"/>
      <c r="NYX130" s="118"/>
      <c r="NYY130" s="118"/>
      <c r="NYZ130" s="118"/>
      <c r="NZA130" s="118"/>
      <c r="NZB130" s="118"/>
      <c r="NZC130" s="118"/>
      <c r="NZD130" s="118"/>
      <c r="NZE130" s="118"/>
      <c r="NZF130" s="118"/>
      <c r="NZG130" s="118"/>
      <c r="NZH130" s="118"/>
      <c r="NZI130" s="118"/>
      <c r="NZJ130" s="118"/>
      <c r="NZK130" s="118"/>
      <c r="NZL130" s="118"/>
      <c r="NZM130" s="118"/>
      <c r="NZN130" s="118"/>
      <c r="NZO130" s="118"/>
      <c r="NZP130" s="118"/>
      <c r="NZQ130" s="118"/>
      <c r="NZR130" s="118"/>
      <c r="NZS130" s="118"/>
      <c r="NZT130" s="118"/>
      <c r="NZU130" s="118"/>
      <c r="NZV130" s="118"/>
      <c r="NZW130" s="118"/>
      <c r="NZX130" s="118"/>
      <c r="NZY130" s="118"/>
      <c r="NZZ130" s="118"/>
      <c r="OAA130" s="118"/>
      <c r="OAB130" s="118"/>
      <c r="OAC130" s="118"/>
      <c r="OAD130" s="118"/>
      <c r="OAE130" s="118"/>
      <c r="OAF130" s="118"/>
      <c r="OAG130" s="118"/>
      <c r="OAH130" s="118"/>
      <c r="OAI130" s="118"/>
      <c r="OAJ130" s="118"/>
      <c r="OAK130" s="118"/>
      <c r="OAL130" s="118"/>
      <c r="OAM130" s="118"/>
      <c r="OAN130" s="118"/>
      <c r="OAO130" s="118"/>
      <c r="OAP130" s="118"/>
      <c r="OAQ130" s="118"/>
      <c r="OAR130" s="118"/>
      <c r="OAS130" s="118"/>
      <c r="OAT130" s="118"/>
      <c r="OAU130" s="118"/>
      <c r="OAV130" s="118"/>
      <c r="OAW130" s="118"/>
      <c r="OAX130" s="118"/>
      <c r="OAY130" s="118"/>
      <c r="OAZ130" s="118"/>
      <c r="OBA130" s="118"/>
      <c r="OBB130" s="118"/>
      <c r="OBC130" s="118"/>
      <c r="OBD130" s="118"/>
      <c r="OBE130" s="118"/>
      <c r="OBF130" s="118"/>
      <c r="OBG130" s="118"/>
      <c r="OBH130" s="118"/>
      <c r="OBI130" s="118"/>
      <c r="OBJ130" s="118"/>
      <c r="OBK130" s="118"/>
      <c r="OBL130" s="118"/>
      <c r="OBM130" s="118"/>
      <c r="OBN130" s="118"/>
      <c r="OBO130" s="118"/>
      <c r="OBP130" s="118"/>
      <c r="OBQ130" s="118"/>
      <c r="OBR130" s="118"/>
      <c r="OBS130" s="118"/>
      <c r="OBT130" s="118"/>
      <c r="OBU130" s="118"/>
      <c r="OBV130" s="118"/>
      <c r="OBW130" s="118"/>
      <c r="OBX130" s="118"/>
      <c r="OBY130" s="118"/>
      <c r="OBZ130" s="118"/>
      <c r="OCA130" s="118"/>
      <c r="OCB130" s="118"/>
      <c r="OCC130" s="118"/>
      <c r="OCD130" s="118"/>
      <c r="OCE130" s="118"/>
      <c r="OCF130" s="118"/>
      <c r="OCG130" s="118"/>
      <c r="OCH130" s="118"/>
      <c r="OCI130" s="118"/>
      <c r="OCJ130" s="118"/>
      <c r="OCK130" s="118"/>
      <c r="OCL130" s="118"/>
      <c r="OCM130" s="118"/>
      <c r="OCN130" s="118"/>
      <c r="OCO130" s="118"/>
      <c r="OCP130" s="118"/>
      <c r="OCQ130" s="118"/>
      <c r="OCR130" s="118"/>
      <c r="OCS130" s="118"/>
      <c r="OCT130" s="118"/>
      <c r="OCU130" s="118"/>
      <c r="OCV130" s="118"/>
      <c r="OCW130" s="118"/>
      <c r="OCX130" s="118"/>
      <c r="OCY130" s="118"/>
      <c r="OCZ130" s="118"/>
      <c r="ODA130" s="118"/>
      <c r="ODB130" s="118"/>
      <c r="ODC130" s="118"/>
      <c r="ODD130" s="118"/>
      <c r="ODE130" s="118"/>
      <c r="ODF130" s="118"/>
      <c r="ODG130" s="118"/>
      <c r="ODH130" s="118"/>
      <c r="ODI130" s="118"/>
      <c r="ODJ130" s="118"/>
      <c r="ODK130" s="118"/>
      <c r="ODL130" s="118"/>
      <c r="ODM130" s="118"/>
      <c r="ODN130" s="118"/>
      <c r="ODO130" s="118"/>
      <c r="ODP130" s="118"/>
      <c r="ODQ130" s="118"/>
      <c r="ODR130" s="118"/>
      <c r="ODS130" s="118"/>
      <c r="ODT130" s="118"/>
      <c r="ODU130" s="118"/>
      <c r="ODV130" s="118"/>
      <c r="ODW130" s="118"/>
      <c r="ODX130" s="118"/>
      <c r="ODY130" s="118"/>
      <c r="ODZ130" s="118"/>
      <c r="OEA130" s="118"/>
      <c r="OEB130" s="118"/>
      <c r="OEC130" s="118"/>
      <c r="OED130" s="118"/>
      <c r="OEE130" s="118"/>
      <c r="OEF130" s="118"/>
      <c r="OEG130" s="118"/>
      <c r="OEH130" s="118"/>
      <c r="OEI130" s="118"/>
      <c r="OEJ130" s="118"/>
      <c r="OEK130" s="118"/>
      <c r="OEL130" s="118"/>
      <c r="OEM130" s="118"/>
      <c r="OEN130" s="118"/>
      <c r="OEO130" s="118"/>
      <c r="OEP130" s="118"/>
      <c r="OEQ130" s="118"/>
      <c r="OER130" s="118"/>
      <c r="OES130" s="118"/>
      <c r="OET130" s="118"/>
      <c r="OEU130" s="118"/>
      <c r="OEV130" s="118"/>
      <c r="OEW130" s="118"/>
      <c r="OEX130" s="118"/>
      <c r="OEY130" s="118"/>
      <c r="OEZ130" s="118"/>
      <c r="OFA130" s="118"/>
      <c r="OFB130" s="118"/>
      <c r="OFC130" s="118"/>
      <c r="OFD130" s="118"/>
      <c r="OFE130" s="118"/>
      <c r="OFF130" s="118"/>
      <c r="OFG130" s="118"/>
      <c r="OFH130" s="118"/>
      <c r="OFI130" s="118"/>
      <c r="OFJ130" s="118"/>
      <c r="OFK130" s="118"/>
      <c r="OFL130" s="118"/>
      <c r="OFM130" s="118"/>
      <c r="OFN130" s="118"/>
      <c r="OFO130" s="118"/>
      <c r="OFP130" s="118"/>
      <c r="OFQ130" s="118"/>
      <c r="OFR130" s="118"/>
      <c r="OFS130" s="118"/>
      <c r="OFT130" s="118"/>
      <c r="OFU130" s="118"/>
      <c r="OFV130" s="118"/>
      <c r="OFW130" s="118"/>
      <c r="OFX130" s="118"/>
      <c r="OFY130" s="118"/>
      <c r="OFZ130" s="118"/>
      <c r="OGA130" s="118"/>
      <c r="OGB130" s="118"/>
      <c r="OGC130" s="118"/>
      <c r="OGD130" s="118"/>
      <c r="OGE130" s="118"/>
      <c r="OGF130" s="118"/>
      <c r="OGG130" s="118"/>
      <c r="OGH130" s="118"/>
      <c r="OGI130" s="118"/>
      <c r="OGJ130" s="118"/>
      <c r="OGK130" s="118"/>
      <c r="OGL130" s="118"/>
      <c r="OGM130" s="118"/>
      <c r="OGN130" s="118"/>
      <c r="OGO130" s="118"/>
      <c r="OGP130" s="118"/>
      <c r="OGQ130" s="118"/>
      <c r="OGR130" s="118"/>
      <c r="OGS130" s="118"/>
      <c r="OGT130" s="118"/>
      <c r="OGU130" s="118"/>
      <c r="OGV130" s="118"/>
      <c r="OGW130" s="118"/>
      <c r="OGX130" s="118"/>
      <c r="OGY130" s="118"/>
      <c r="OGZ130" s="118"/>
      <c r="OHA130" s="118"/>
      <c r="OHB130" s="118"/>
      <c r="OHC130" s="118"/>
      <c r="OHD130" s="118"/>
      <c r="OHE130" s="118"/>
      <c r="OHF130" s="118"/>
      <c r="OHG130" s="118"/>
      <c r="OHH130" s="118"/>
      <c r="OHI130" s="118"/>
      <c r="OHJ130" s="118"/>
      <c r="OHK130" s="118"/>
      <c r="OHL130" s="118"/>
      <c r="OHM130" s="118"/>
      <c r="OHN130" s="118"/>
      <c r="OHO130" s="118"/>
      <c r="OHP130" s="118"/>
      <c r="OHQ130" s="118"/>
      <c r="OHR130" s="118"/>
      <c r="OHS130" s="118"/>
      <c r="OHT130" s="118"/>
      <c r="OHU130" s="118"/>
      <c r="OHV130" s="118"/>
      <c r="OHW130" s="118"/>
      <c r="OHX130" s="118"/>
      <c r="OHY130" s="118"/>
      <c r="OHZ130" s="118"/>
      <c r="OIA130" s="118"/>
      <c r="OIB130" s="118"/>
      <c r="OIC130" s="118"/>
      <c r="OID130" s="118"/>
      <c r="OIE130" s="118"/>
      <c r="OIF130" s="118"/>
      <c r="OIG130" s="118"/>
      <c r="OIH130" s="118"/>
      <c r="OII130" s="118"/>
      <c r="OIJ130" s="118"/>
      <c r="OIK130" s="118"/>
      <c r="OIL130" s="118"/>
      <c r="OIM130" s="118"/>
      <c r="OIN130" s="118"/>
      <c r="OIO130" s="118"/>
      <c r="OIP130" s="118"/>
      <c r="OIQ130" s="118"/>
      <c r="OIR130" s="118"/>
      <c r="OIS130" s="118"/>
      <c r="OIT130" s="118"/>
      <c r="OIU130" s="118"/>
      <c r="OIV130" s="118"/>
      <c r="OIW130" s="118"/>
      <c r="OIX130" s="118"/>
      <c r="OIY130" s="118"/>
      <c r="OIZ130" s="118"/>
      <c r="OJA130" s="118"/>
      <c r="OJB130" s="118"/>
      <c r="OJC130" s="118"/>
      <c r="OJD130" s="118"/>
      <c r="OJE130" s="118"/>
      <c r="OJF130" s="118"/>
      <c r="OJG130" s="118"/>
      <c r="OJH130" s="118"/>
      <c r="OJI130" s="118"/>
      <c r="OJJ130" s="118"/>
      <c r="OJK130" s="118"/>
      <c r="OJL130" s="118"/>
      <c r="OJM130" s="118"/>
      <c r="OJN130" s="118"/>
      <c r="OJO130" s="118"/>
      <c r="OJP130" s="118"/>
      <c r="OJQ130" s="118"/>
      <c r="OJR130" s="118"/>
      <c r="OJS130" s="118"/>
      <c r="OJT130" s="118"/>
      <c r="OJU130" s="118"/>
      <c r="OJV130" s="118"/>
      <c r="OJW130" s="118"/>
      <c r="OJX130" s="118"/>
      <c r="OJY130" s="118"/>
      <c r="OJZ130" s="118"/>
      <c r="OKA130" s="118"/>
      <c r="OKB130" s="118"/>
      <c r="OKC130" s="118"/>
      <c r="OKD130" s="118"/>
      <c r="OKE130" s="118"/>
      <c r="OKF130" s="118"/>
      <c r="OKG130" s="118"/>
      <c r="OKH130" s="118"/>
      <c r="OKI130" s="118"/>
      <c r="OKJ130" s="118"/>
      <c r="OKK130" s="118"/>
      <c r="OKL130" s="118"/>
      <c r="OKM130" s="118"/>
      <c r="OKN130" s="118"/>
      <c r="OKO130" s="118"/>
      <c r="OKP130" s="118"/>
      <c r="OKQ130" s="118"/>
      <c r="OKR130" s="118"/>
      <c r="OKS130" s="118"/>
      <c r="OKT130" s="118"/>
      <c r="OKU130" s="118"/>
      <c r="OKV130" s="118"/>
      <c r="OKW130" s="118"/>
      <c r="OKX130" s="118"/>
      <c r="OKY130" s="118"/>
      <c r="OKZ130" s="118"/>
      <c r="OLA130" s="118"/>
      <c r="OLB130" s="118"/>
      <c r="OLC130" s="118"/>
      <c r="OLD130" s="118"/>
      <c r="OLE130" s="118"/>
      <c r="OLF130" s="118"/>
      <c r="OLG130" s="118"/>
      <c r="OLH130" s="118"/>
      <c r="OLI130" s="118"/>
      <c r="OLJ130" s="118"/>
      <c r="OLK130" s="118"/>
      <c r="OLL130" s="118"/>
      <c r="OLM130" s="118"/>
      <c r="OLN130" s="118"/>
      <c r="OLO130" s="118"/>
      <c r="OLP130" s="118"/>
      <c r="OLQ130" s="118"/>
      <c r="OLR130" s="118"/>
      <c r="OLS130" s="118"/>
      <c r="OLT130" s="118"/>
      <c r="OLU130" s="118"/>
      <c r="OLV130" s="118"/>
      <c r="OLW130" s="118"/>
      <c r="OLX130" s="118"/>
      <c r="OLY130" s="118"/>
      <c r="OLZ130" s="118"/>
      <c r="OMA130" s="118"/>
      <c r="OMB130" s="118"/>
      <c r="OMC130" s="118"/>
      <c r="OMD130" s="118"/>
      <c r="OME130" s="118"/>
      <c r="OMF130" s="118"/>
      <c r="OMG130" s="118"/>
      <c r="OMH130" s="118"/>
      <c r="OMI130" s="118"/>
      <c r="OMJ130" s="118"/>
      <c r="OMK130" s="118"/>
      <c r="OML130" s="118"/>
      <c r="OMM130" s="118"/>
      <c r="OMN130" s="118"/>
      <c r="OMO130" s="118"/>
      <c r="OMP130" s="118"/>
      <c r="OMQ130" s="118"/>
      <c r="OMR130" s="118"/>
      <c r="OMS130" s="118"/>
      <c r="OMT130" s="118"/>
      <c r="OMU130" s="118"/>
      <c r="OMV130" s="118"/>
      <c r="OMW130" s="118"/>
      <c r="OMX130" s="118"/>
      <c r="OMY130" s="118"/>
      <c r="OMZ130" s="118"/>
      <c r="ONA130" s="118"/>
      <c r="ONB130" s="118"/>
      <c r="ONC130" s="118"/>
      <c r="OND130" s="118"/>
      <c r="ONE130" s="118"/>
      <c r="ONF130" s="118"/>
      <c r="ONG130" s="118"/>
      <c r="ONH130" s="118"/>
      <c r="ONI130" s="118"/>
      <c r="ONJ130" s="118"/>
      <c r="ONK130" s="118"/>
      <c r="ONL130" s="118"/>
      <c r="ONM130" s="118"/>
      <c r="ONN130" s="118"/>
      <c r="ONO130" s="118"/>
      <c r="ONP130" s="118"/>
      <c r="ONQ130" s="118"/>
      <c r="ONR130" s="118"/>
      <c r="ONS130" s="118"/>
      <c r="ONT130" s="118"/>
      <c r="ONU130" s="118"/>
      <c r="ONV130" s="118"/>
      <c r="ONW130" s="118"/>
      <c r="ONX130" s="118"/>
      <c r="ONY130" s="118"/>
      <c r="ONZ130" s="118"/>
      <c r="OOA130" s="118"/>
      <c r="OOB130" s="118"/>
      <c r="OOC130" s="118"/>
      <c r="OOD130" s="118"/>
      <c r="OOE130" s="118"/>
      <c r="OOF130" s="118"/>
      <c r="OOG130" s="118"/>
      <c r="OOH130" s="118"/>
      <c r="OOI130" s="118"/>
      <c r="OOJ130" s="118"/>
      <c r="OOK130" s="118"/>
      <c r="OOL130" s="118"/>
      <c r="OOM130" s="118"/>
      <c r="OON130" s="118"/>
      <c r="OOO130" s="118"/>
      <c r="OOP130" s="118"/>
      <c r="OOQ130" s="118"/>
      <c r="OOR130" s="118"/>
      <c r="OOS130" s="118"/>
      <c r="OOT130" s="118"/>
      <c r="OOU130" s="118"/>
      <c r="OOV130" s="118"/>
      <c r="OOW130" s="118"/>
      <c r="OOX130" s="118"/>
      <c r="OOY130" s="118"/>
      <c r="OOZ130" s="118"/>
      <c r="OPA130" s="118"/>
      <c r="OPB130" s="118"/>
      <c r="OPC130" s="118"/>
      <c r="OPD130" s="118"/>
      <c r="OPE130" s="118"/>
      <c r="OPF130" s="118"/>
      <c r="OPG130" s="118"/>
      <c r="OPH130" s="118"/>
      <c r="OPI130" s="118"/>
      <c r="OPJ130" s="118"/>
      <c r="OPK130" s="118"/>
      <c r="OPL130" s="118"/>
      <c r="OPM130" s="118"/>
      <c r="OPN130" s="118"/>
      <c r="OPO130" s="118"/>
      <c r="OPP130" s="118"/>
      <c r="OPQ130" s="118"/>
      <c r="OPR130" s="118"/>
      <c r="OPS130" s="118"/>
      <c r="OPT130" s="118"/>
      <c r="OPU130" s="118"/>
      <c r="OPV130" s="118"/>
      <c r="OPW130" s="118"/>
      <c r="OPX130" s="118"/>
      <c r="OPY130" s="118"/>
      <c r="OPZ130" s="118"/>
      <c r="OQA130" s="118"/>
      <c r="OQB130" s="118"/>
      <c r="OQC130" s="118"/>
      <c r="OQD130" s="118"/>
      <c r="OQE130" s="118"/>
      <c r="OQF130" s="118"/>
      <c r="OQG130" s="118"/>
      <c r="OQH130" s="118"/>
      <c r="OQI130" s="118"/>
      <c r="OQJ130" s="118"/>
      <c r="OQK130" s="118"/>
      <c r="OQL130" s="118"/>
      <c r="OQM130" s="118"/>
      <c r="OQN130" s="118"/>
      <c r="OQO130" s="118"/>
      <c r="OQP130" s="118"/>
      <c r="OQQ130" s="118"/>
      <c r="OQR130" s="118"/>
      <c r="OQS130" s="118"/>
      <c r="OQT130" s="118"/>
      <c r="OQU130" s="118"/>
      <c r="OQV130" s="118"/>
      <c r="OQW130" s="118"/>
      <c r="OQX130" s="118"/>
      <c r="OQY130" s="118"/>
      <c r="OQZ130" s="118"/>
      <c r="ORA130" s="118"/>
      <c r="ORB130" s="118"/>
      <c r="ORC130" s="118"/>
      <c r="ORD130" s="118"/>
      <c r="ORE130" s="118"/>
      <c r="ORF130" s="118"/>
      <c r="ORG130" s="118"/>
      <c r="ORH130" s="118"/>
      <c r="ORI130" s="118"/>
      <c r="ORJ130" s="118"/>
      <c r="ORK130" s="118"/>
      <c r="ORL130" s="118"/>
      <c r="ORM130" s="118"/>
      <c r="ORN130" s="118"/>
      <c r="ORO130" s="118"/>
      <c r="ORP130" s="118"/>
      <c r="ORQ130" s="118"/>
      <c r="ORR130" s="118"/>
      <c r="ORS130" s="118"/>
      <c r="ORT130" s="118"/>
      <c r="ORU130" s="118"/>
      <c r="ORV130" s="118"/>
      <c r="ORW130" s="118"/>
      <c r="ORX130" s="118"/>
      <c r="ORY130" s="118"/>
      <c r="ORZ130" s="118"/>
      <c r="OSA130" s="118"/>
      <c r="OSB130" s="118"/>
      <c r="OSC130" s="118"/>
      <c r="OSD130" s="118"/>
      <c r="OSE130" s="118"/>
      <c r="OSF130" s="118"/>
      <c r="OSG130" s="118"/>
      <c r="OSH130" s="118"/>
      <c r="OSI130" s="118"/>
      <c r="OSJ130" s="118"/>
      <c r="OSK130" s="118"/>
      <c r="OSL130" s="118"/>
      <c r="OSM130" s="118"/>
      <c r="OSN130" s="118"/>
      <c r="OSO130" s="118"/>
      <c r="OSP130" s="118"/>
      <c r="OSQ130" s="118"/>
      <c r="OSR130" s="118"/>
      <c r="OSS130" s="118"/>
      <c r="OST130" s="118"/>
      <c r="OSU130" s="118"/>
      <c r="OSV130" s="118"/>
      <c r="OSW130" s="118"/>
      <c r="OSX130" s="118"/>
      <c r="OSY130" s="118"/>
      <c r="OSZ130" s="118"/>
      <c r="OTA130" s="118"/>
      <c r="OTB130" s="118"/>
      <c r="OTC130" s="118"/>
      <c r="OTD130" s="118"/>
      <c r="OTE130" s="118"/>
      <c r="OTF130" s="118"/>
      <c r="OTG130" s="118"/>
      <c r="OTH130" s="118"/>
      <c r="OTI130" s="118"/>
      <c r="OTJ130" s="118"/>
      <c r="OTK130" s="118"/>
      <c r="OTL130" s="118"/>
      <c r="OTM130" s="118"/>
      <c r="OTN130" s="118"/>
      <c r="OTO130" s="118"/>
      <c r="OTP130" s="118"/>
      <c r="OTQ130" s="118"/>
      <c r="OTR130" s="118"/>
      <c r="OTS130" s="118"/>
      <c r="OTT130" s="118"/>
      <c r="OTU130" s="118"/>
      <c r="OTV130" s="118"/>
      <c r="OTW130" s="118"/>
      <c r="OTX130" s="118"/>
      <c r="OTY130" s="118"/>
      <c r="OTZ130" s="118"/>
      <c r="OUA130" s="118"/>
      <c r="OUB130" s="118"/>
      <c r="OUC130" s="118"/>
      <c r="OUD130" s="118"/>
      <c r="OUE130" s="118"/>
      <c r="OUF130" s="118"/>
      <c r="OUG130" s="118"/>
      <c r="OUH130" s="118"/>
      <c r="OUI130" s="118"/>
      <c r="OUJ130" s="118"/>
      <c r="OUK130" s="118"/>
      <c r="OUL130" s="118"/>
      <c r="OUM130" s="118"/>
      <c r="OUN130" s="118"/>
      <c r="OUO130" s="118"/>
      <c r="OUP130" s="118"/>
      <c r="OUQ130" s="118"/>
      <c r="OUR130" s="118"/>
      <c r="OUS130" s="118"/>
      <c r="OUT130" s="118"/>
      <c r="OUU130" s="118"/>
      <c r="OUV130" s="118"/>
      <c r="OUW130" s="118"/>
      <c r="OUX130" s="118"/>
      <c r="OUY130" s="118"/>
      <c r="OUZ130" s="118"/>
      <c r="OVA130" s="118"/>
      <c r="OVB130" s="118"/>
      <c r="OVC130" s="118"/>
      <c r="OVD130" s="118"/>
      <c r="OVE130" s="118"/>
      <c r="OVF130" s="118"/>
      <c r="OVG130" s="118"/>
      <c r="OVH130" s="118"/>
      <c r="OVI130" s="118"/>
      <c r="OVJ130" s="118"/>
      <c r="OVK130" s="118"/>
      <c r="OVL130" s="118"/>
      <c r="OVM130" s="118"/>
      <c r="OVN130" s="118"/>
      <c r="OVO130" s="118"/>
      <c r="OVP130" s="118"/>
      <c r="OVQ130" s="118"/>
      <c r="OVR130" s="118"/>
      <c r="OVS130" s="118"/>
      <c r="OVT130" s="118"/>
      <c r="OVU130" s="118"/>
      <c r="OVV130" s="118"/>
      <c r="OVW130" s="118"/>
      <c r="OVX130" s="118"/>
      <c r="OVY130" s="118"/>
      <c r="OVZ130" s="118"/>
      <c r="OWA130" s="118"/>
      <c r="OWB130" s="118"/>
      <c r="OWC130" s="118"/>
      <c r="OWD130" s="118"/>
      <c r="OWE130" s="118"/>
      <c r="OWF130" s="118"/>
      <c r="OWG130" s="118"/>
      <c r="OWH130" s="118"/>
      <c r="OWI130" s="118"/>
      <c r="OWJ130" s="118"/>
      <c r="OWK130" s="118"/>
      <c r="OWL130" s="118"/>
      <c r="OWM130" s="118"/>
      <c r="OWN130" s="118"/>
      <c r="OWO130" s="118"/>
      <c r="OWP130" s="118"/>
      <c r="OWQ130" s="118"/>
      <c r="OWR130" s="118"/>
      <c r="OWS130" s="118"/>
      <c r="OWT130" s="118"/>
      <c r="OWU130" s="118"/>
      <c r="OWV130" s="118"/>
      <c r="OWW130" s="118"/>
      <c r="OWX130" s="118"/>
      <c r="OWY130" s="118"/>
      <c r="OWZ130" s="118"/>
      <c r="OXA130" s="118"/>
      <c r="OXB130" s="118"/>
      <c r="OXC130" s="118"/>
      <c r="OXD130" s="118"/>
      <c r="OXE130" s="118"/>
      <c r="OXF130" s="118"/>
      <c r="OXG130" s="118"/>
      <c r="OXH130" s="118"/>
      <c r="OXI130" s="118"/>
      <c r="OXJ130" s="118"/>
      <c r="OXK130" s="118"/>
      <c r="OXL130" s="118"/>
      <c r="OXM130" s="118"/>
      <c r="OXN130" s="118"/>
      <c r="OXO130" s="118"/>
      <c r="OXP130" s="118"/>
      <c r="OXQ130" s="118"/>
      <c r="OXR130" s="118"/>
      <c r="OXS130" s="118"/>
      <c r="OXT130" s="118"/>
      <c r="OXU130" s="118"/>
      <c r="OXV130" s="118"/>
      <c r="OXW130" s="118"/>
      <c r="OXX130" s="118"/>
      <c r="OXY130" s="118"/>
      <c r="OXZ130" s="118"/>
      <c r="OYA130" s="118"/>
      <c r="OYB130" s="118"/>
      <c r="OYC130" s="118"/>
      <c r="OYD130" s="118"/>
      <c r="OYE130" s="118"/>
      <c r="OYF130" s="118"/>
      <c r="OYG130" s="118"/>
      <c r="OYH130" s="118"/>
      <c r="OYI130" s="118"/>
      <c r="OYJ130" s="118"/>
      <c r="OYK130" s="118"/>
      <c r="OYL130" s="118"/>
      <c r="OYM130" s="118"/>
      <c r="OYN130" s="118"/>
      <c r="OYO130" s="118"/>
      <c r="OYP130" s="118"/>
      <c r="OYQ130" s="118"/>
      <c r="OYR130" s="118"/>
      <c r="OYS130" s="118"/>
      <c r="OYT130" s="118"/>
      <c r="OYU130" s="118"/>
      <c r="OYV130" s="118"/>
      <c r="OYW130" s="118"/>
      <c r="OYX130" s="118"/>
      <c r="OYY130" s="118"/>
      <c r="OYZ130" s="118"/>
      <c r="OZA130" s="118"/>
      <c r="OZB130" s="118"/>
      <c r="OZC130" s="118"/>
      <c r="OZD130" s="118"/>
      <c r="OZE130" s="118"/>
      <c r="OZF130" s="118"/>
      <c r="OZG130" s="118"/>
      <c r="OZH130" s="118"/>
      <c r="OZI130" s="118"/>
      <c r="OZJ130" s="118"/>
      <c r="OZK130" s="118"/>
      <c r="OZL130" s="118"/>
      <c r="OZM130" s="118"/>
      <c r="OZN130" s="118"/>
      <c r="OZO130" s="118"/>
      <c r="OZP130" s="118"/>
      <c r="OZQ130" s="118"/>
      <c r="OZR130" s="118"/>
      <c r="OZS130" s="118"/>
      <c r="OZT130" s="118"/>
      <c r="OZU130" s="118"/>
      <c r="OZV130" s="118"/>
      <c r="OZW130" s="118"/>
      <c r="OZX130" s="118"/>
      <c r="OZY130" s="118"/>
      <c r="OZZ130" s="118"/>
      <c r="PAA130" s="118"/>
      <c r="PAB130" s="118"/>
      <c r="PAC130" s="118"/>
      <c r="PAD130" s="118"/>
      <c r="PAE130" s="118"/>
      <c r="PAF130" s="118"/>
      <c r="PAG130" s="118"/>
      <c r="PAH130" s="118"/>
      <c r="PAI130" s="118"/>
      <c r="PAJ130" s="118"/>
      <c r="PAK130" s="118"/>
      <c r="PAL130" s="118"/>
      <c r="PAM130" s="118"/>
      <c r="PAN130" s="118"/>
      <c r="PAO130" s="118"/>
      <c r="PAP130" s="118"/>
      <c r="PAQ130" s="118"/>
      <c r="PAR130" s="118"/>
      <c r="PAS130" s="118"/>
      <c r="PAT130" s="118"/>
      <c r="PAU130" s="118"/>
      <c r="PAV130" s="118"/>
      <c r="PAW130" s="118"/>
      <c r="PAX130" s="118"/>
      <c r="PAY130" s="118"/>
      <c r="PAZ130" s="118"/>
      <c r="PBA130" s="118"/>
      <c r="PBB130" s="118"/>
      <c r="PBC130" s="118"/>
      <c r="PBD130" s="118"/>
      <c r="PBE130" s="118"/>
      <c r="PBF130" s="118"/>
      <c r="PBG130" s="118"/>
      <c r="PBH130" s="118"/>
      <c r="PBI130" s="118"/>
      <c r="PBJ130" s="118"/>
      <c r="PBK130" s="118"/>
      <c r="PBL130" s="118"/>
      <c r="PBM130" s="118"/>
      <c r="PBN130" s="118"/>
      <c r="PBO130" s="118"/>
      <c r="PBP130" s="118"/>
      <c r="PBQ130" s="118"/>
      <c r="PBR130" s="118"/>
      <c r="PBS130" s="118"/>
      <c r="PBT130" s="118"/>
      <c r="PBU130" s="118"/>
      <c r="PBV130" s="118"/>
      <c r="PBW130" s="118"/>
      <c r="PBX130" s="118"/>
      <c r="PBY130" s="118"/>
      <c r="PBZ130" s="118"/>
      <c r="PCA130" s="118"/>
      <c r="PCB130" s="118"/>
      <c r="PCC130" s="118"/>
      <c r="PCD130" s="118"/>
      <c r="PCE130" s="118"/>
      <c r="PCF130" s="118"/>
      <c r="PCG130" s="118"/>
      <c r="PCH130" s="118"/>
      <c r="PCI130" s="118"/>
      <c r="PCJ130" s="118"/>
      <c r="PCK130" s="118"/>
      <c r="PCL130" s="118"/>
      <c r="PCM130" s="118"/>
      <c r="PCN130" s="118"/>
      <c r="PCO130" s="118"/>
      <c r="PCP130" s="118"/>
      <c r="PCQ130" s="118"/>
      <c r="PCR130" s="118"/>
      <c r="PCS130" s="118"/>
      <c r="PCT130" s="118"/>
      <c r="PCU130" s="118"/>
      <c r="PCV130" s="118"/>
      <c r="PCW130" s="118"/>
      <c r="PCX130" s="118"/>
      <c r="PCY130" s="118"/>
      <c r="PCZ130" s="118"/>
      <c r="PDA130" s="118"/>
      <c r="PDB130" s="118"/>
      <c r="PDC130" s="118"/>
      <c r="PDD130" s="118"/>
      <c r="PDE130" s="118"/>
      <c r="PDF130" s="118"/>
      <c r="PDG130" s="118"/>
      <c r="PDH130" s="118"/>
      <c r="PDI130" s="118"/>
      <c r="PDJ130" s="118"/>
      <c r="PDK130" s="118"/>
      <c r="PDL130" s="118"/>
      <c r="PDM130" s="118"/>
      <c r="PDN130" s="118"/>
      <c r="PDO130" s="118"/>
      <c r="PDP130" s="118"/>
      <c r="PDQ130" s="118"/>
      <c r="PDR130" s="118"/>
      <c r="PDS130" s="118"/>
      <c r="PDT130" s="118"/>
      <c r="PDU130" s="118"/>
      <c r="PDV130" s="118"/>
      <c r="PDW130" s="118"/>
      <c r="PDX130" s="118"/>
      <c r="PDY130" s="118"/>
      <c r="PDZ130" s="118"/>
      <c r="PEA130" s="118"/>
      <c r="PEB130" s="118"/>
      <c r="PEC130" s="118"/>
      <c r="PED130" s="118"/>
      <c r="PEE130" s="118"/>
      <c r="PEF130" s="118"/>
      <c r="PEG130" s="118"/>
      <c r="PEH130" s="118"/>
      <c r="PEI130" s="118"/>
      <c r="PEJ130" s="118"/>
      <c r="PEK130" s="118"/>
      <c r="PEL130" s="118"/>
      <c r="PEM130" s="118"/>
      <c r="PEN130" s="118"/>
      <c r="PEO130" s="118"/>
      <c r="PEP130" s="118"/>
      <c r="PEQ130" s="118"/>
      <c r="PER130" s="118"/>
      <c r="PES130" s="118"/>
      <c r="PET130" s="118"/>
      <c r="PEU130" s="118"/>
      <c r="PEV130" s="118"/>
      <c r="PEW130" s="118"/>
      <c r="PEX130" s="118"/>
      <c r="PEY130" s="118"/>
      <c r="PEZ130" s="118"/>
      <c r="PFA130" s="118"/>
      <c r="PFB130" s="118"/>
      <c r="PFC130" s="118"/>
      <c r="PFD130" s="118"/>
      <c r="PFE130" s="118"/>
      <c r="PFF130" s="118"/>
      <c r="PFG130" s="118"/>
      <c r="PFH130" s="118"/>
      <c r="PFI130" s="118"/>
      <c r="PFJ130" s="118"/>
      <c r="PFK130" s="118"/>
      <c r="PFL130" s="118"/>
      <c r="PFM130" s="118"/>
      <c r="PFN130" s="118"/>
      <c r="PFO130" s="118"/>
      <c r="PFP130" s="118"/>
      <c r="PFQ130" s="118"/>
      <c r="PFR130" s="118"/>
      <c r="PFS130" s="118"/>
      <c r="PFT130" s="118"/>
      <c r="PFU130" s="118"/>
      <c r="PFV130" s="118"/>
      <c r="PFW130" s="118"/>
      <c r="PFX130" s="118"/>
      <c r="PFY130" s="118"/>
      <c r="PFZ130" s="118"/>
      <c r="PGA130" s="118"/>
      <c r="PGB130" s="118"/>
      <c r="PGC130" s="118"/>
      <c r="PGD130" s="118"/>
      <c r="PGE130" s="118"/>
      <c r="PGF130" s="118"/>
      <c r="PGG130" s="118"/>
      <c r="PGH130" s="118"/>
      <c r="PGI130" s="118"/>
      <c r="PGJ130" s="118"/>
      <c r="PGK130" s="118"/>
      <c r="PGL130" s="118"/>
      <c r="PGM130" s="118"/>
      <c r="PGN130" s="118"/>
      <c r="PGO130" s="118"/>
      <c r="PGP130" s="118"/>
      <c r="PGQ130" s="118"/>
      <c r="PGR130" s="118"/>
      <c r="PGS130" s="118"/>
      <c r="PGT130" s="118"/>
      <c r="PGU130" s="118"/>
      <c r="PGV130" s="118"/>
      <c r="PGW130" s="118"/>
      <c r="PGX130" s="118"/>
      <c r="PGY130" s="118"/>
      <c r="PGZ130" s="118"/>
      <c r="PHA130" s="118"/>
      <c r="PHB130" s="118"/>
      <c r="PHC130" s="118"/>
      <c r="PHD130" s="118"/>
      <c r="PHE130" s="118"/>
      <c r="PHF130" s="118"/>
      <c r="PHG130" s="118"/>
      <c r="PHH130" s="118"/>
      <c r="PHI130" s="118"/>
      <c r="PHJ130" s="118"/>
      <c r="PHK130" s="118"/>
      <c r="PHL130" s="118"/>
      <c r="PHM130" s="118"/>
      <c r="PHN130" s="118"/>
      <c r="PHO130" s="118"/>
      <c r="PHP130" s="118"/>
      <c r="PHQ130" s="118"/>
      <c r="PHR130" s="118"/>
      <c r="PHS130" s="118"/>
      <c r="PHT130" s="118"/>
      <c r="PHU130" s="118"/>
      <c r="PHV130" s="118"/>
      <c r="PHW130" s="118"/>
      <c r="PHX130" s="118"/>
      <c r="PHY130" s="118"/>
      <c r="PHZ130" s="118"/>
      <c r="PIA130" s="118"/>
      <c r="PIB130" s="118"/>
      <c r="PIC130" s="118"/>
      <c r="PID130" s="118"/>
      <c r="PIE130" s="118"/>
      <c r="PIF130" s="118"/>
      <c r="PIG130" s="118"/>
      <c r="PIH130" s="118"/>
      <c r="PII130" s="118"/>
      <c r="PIJ130" s="118"/>
      <c r="PIK130" s="118"/>
      <c r="PIL130" s="118"/>
      <c r="PIM130" s="118"/>
      <c r="PIN130" s="118"/>
      <c r="PIO130" s="118"/>
      <c r="PIP130" s="118"/>
      <c r="PIQ130" s="118"/>
      <c r="PIR130" s="118"/>
      <c r="PIS130" s="118"/>
      <c r="PIT130" s="118"/>
      <c r="PIU130" s="118"/>
      <c r="PIV130" s="118"/>
      <c r="PIW130" s="118"/>
      <c r="PIX130" s="118"/>
      <c r="PIY130" s="118"/>
      <c r="PIZ130" s="118"/>
      <c r="PJA130" s="118"/>
      <c r="PJB130" s="118"/>
      <c r="PJC130" s="118"/>
      <c r="PJD130" s="118"/>
      <c r="PJE130" s="118"/>
      <c r="PJF130" s="118"/>
      <c r="PJG130" s="118"/>
      <c r="PJH130" s="118"/>
      <c r="PJI130" s="118"/>
      <c r="PJJ130" s="118"/>
      <c r="PJK130" s="118"/>
      <c r="PJL130" s="118"/>
      <c r="PJM130" s="118"/>
      <c r="PJN130" s="118"/>
      <c r="PJO130" s="118"/>
      <c r="PJP130" s="118"/>
      <c r="PJQ130" s="118"/>
      <c r="PJR130" s="118"/>
      <c r="PJS130" s="118"/>
      <c r="PJT130" s="118"/>
      <c r="PJU130" s="118"/>
      <c r="PJV130" s="118"/>
      <c r="PJW130" s="118"/>
      <c r="PJX130" s="118"/>
      <c r="PJY130" s="118"/>
      <c r="PJZ130" s="118"/>
      <c r="PKA130" s="118"/>
      <c r="PKB130" s="118"/>
      <c r="PKC130" s="118"/>
      <c r="PKD130" s="118"/>
      <c r="PKE130" s="118"/>
      <c r="PKF130" s="118"/>
      <c r="PKG130" s="118"/>
      <c r="PKH130" s="118"/>
      <c r="PKI130" s="118"/>
      <c r="PKJ130" s="118"/>
      <c r="PKK130" s="118"/>
      <c r="PKL130" s="118"/>
      <c r="PKM130" s="118"/>
      <c r="PKN130" s="118"/>
      <c r="PKO130" s="118"/>
      <c r="PKP130" s="118"/>
      <c r="PKQ130" s="118"/>
      <c r="PKR130" s="118"/>
      <c r="PKS130" s="118"/>
      <c r="PKT130" s="118"/>
      <c r="PKU130" s="118"/>
      <c r="PKV130" s="118"/>
      <c r="PKW130" s="118"/>
      <c r="PKX130" s="118"/>
      <c r="PKY130" s="118"/>
      <c r="PKZ130" s="118"/>
      <c r="PLA130" s="118"/>
      <c r="PLB130" s="118"/>
      <c r="PLC130" s="118"/>
      <c r="PLD130" s="118"/>
      <c r="PLE130" s="118"/>
      <c r="PLF130" s="118"/>
      <c r="PLG130" s="118"/>
      <c r="PLH130" s="118"/>
      <c r="PLI130" s="118"/>
      <c r="PLJ130" s="118"/>
      <c r="PLK130" s="118"/>
      <c r="PLL130" s="118"/>
      <c r="PLM130" s="118"/>
      <c r="PLN130" s="118"/>
      <c r="PLO130" s="118"/>
      <c r="PLP130" s="118"/>
      <c r="PLQ130" s="118"/>
      <c r="PLR130" s="118"/>
      <c r="PLS130" s="118"/>
      <c r="PLT130" s="118"/>
      <c r="PLU130" s="118"/>
      <c r="PLV130" s="118"/>
      <c r="PLW130" s="118"/>
      <c r="PLX130" s="118"/>
      <c r="PLY130" s="118"/>
      <c r="PLZ130" s="118"/>
      <c r="PMA130" s="118"/>
      <c r="PMB130" s="118"/>
      <c r="PMC130" s="118"/>
      <c r="PMD130" s="118"/>
      <c r="PME130" s="118"/>
      <c r="PMF130" s="118"/>
      <c r="PMG130" s="118"/>
      <c r="PMH130" s="118"/>
      <c r="PMI130" s="118"/>
      <c r="PMJ130" s="118"/>
      <c r="PMK130" s="118"/>
      <c r="PML130" s="118"/>
      <c r="PMM130" s="118"/>
      <c r="PMN130" s="118"/>
      <c r="PMO130" s="118"/>
      <c r="PMP130" s="118"/>
      <c r="PMQ130" s="118"/>
      <c r="PMR130" s="118"/>
      <c r="PMS130" s="118"/>
      <c r="PMT130" s="118"/>
      <c r="PMU130" s="118"/>
      <c r="PMV130" s="118"/>
      <c r="PMW130" s="118"/>
      <c r="PMX130" s="118"/>
      <c r="PMY130" s="118"/>
      <c r="PMZ130" s="118"/>
      <c r="PNA130" s="118"/>
      <c r="PNB130" s="118"/>
      <c r="PNC130" s="118"/>
      <c r="PND130" s="118"/>
      <c r="PNE130" s="118"/>
      <c r="PNF130" s="118"/>
      <c r="PNG130" s="118"/>
      <c r="PNH130" s="118"/>
      <c r="PNI130" s="118"/>
      <c r="PNJ130" s="118"/>
      <c r="PNK130" s="118"/>
      <c r="PNL130" s="118"/>
      <c r="PNM130" s="118"/>
      <c r="PNN130" s="118"/>
      <c r="PNO130" s="118"/>
      <c r="PNP130" s="118"/>
      <c r="PNQ130" s="118"/>
      <c r="PNR130" s="118"/>
      <c r="PNS130" s="118"/>
      <c r="PNT130" s="118"/>
      <c r="PNU130" s="118"/>
      <c r="PNV130" s="118"/>
      <c r="PNW130" s="118"/>
      <c r="PNX130" s="118"/>
      <c r="PNY130" s="118"/>
      <c r="PNZ130" s="118"/>
      <c r="POA130" s="118"/>
      <c r="POB130" s="118"/>
      <c r="POC130" s="118"/>
      <c r="POD130" s="118"/>
      <c r="POE130" s="118"/>
      <c r="POF130" s="118"/>
      <c r="POG130" s="118"/>
      <c r="POH130" s="118"/>
      <c r="POI130" s="118"/>
      <c r="POJ130" s="118"/>
      <c r="POK130" s="118"/>
      <c r="POL130" s="118"/>
      <c r="POM130" s="118"/>
      <c r="PON130" s="118"/>
      <c r="POO130" s="118"/>
      <c r="POP130" s="118"/>
      <c r="POQ130" s="118"/>
      <c r="POR130" s="118"/>
      <c r="POS130" s="118"/>
      <c r="POT130" s="118"/>
      <c r="POU130" s="118"/>
      <c r="POV130" s="118"/>
      <c r="POW130" s="118"/>
      <c r="POX130" s="118"/>
      <c r="POY130" s="118"/>
      <c r="POZ130" s="118"/>
      <c r="PPA130" s="118"/>
      <c r="PPB130" s="118"/>
      <c r="PPC130" s="118"/>
      <c r="PPD130" s="118"/>
      <c r="PPE130" s="118"/>
      <c r="PPF130" s="118"/>
      <c r="PPG130" s="118"/>
      <c r="PPH130" s="118"/>
      <c r="PPI130" s="118"/>
      <c r="PPJ130" s="118"/>
      <c r="PPK130" s="118"/>
      <c r="PPL130" s="118"/>
      <c r="PPM130" s="118"/>
      <c r="PPN130" s="118"/>
      <c r="PPO130" s="118"/>
      <c r="PPP130" s="118"/>
      <c r="PPQ130" s="118"/>
      <c r="PPR130" s="118"/>
      <c r="PPS130" s="118"/>
      <c r="PPT130" s="118"/>
      <c r="PPU130" s="118"/>
      <c r="PPV130" s="118"/>
      <c r="PPW130" s="118"/>
      <c r="PPX130" s="118"/>
      <c r="PPY130" s="118"/>
      <c r="PPZ130" s="118"/>
      <c r="PQA130" s="118"/>
      <c r="PQB130" s="118"/>
      <c r="PQC130" s="118"/>
      <c r="PQD130" s="118"/>
      <c r="PQE130" s="118"/>
      <c r="PQF130" s="118"/>
      <c r="PQG130" s="118"/>
      <c r="PQH130" s="118"/>
      <c r="PQI130" s="118"/>
      <c r="PQJ130" s="118"/>
      <c r="PQK130" s="118"/>
      <c r="PQL130" s="118"/>
      <c r="PQM130" s="118"/>
      <c r="PQN130" s="118"/>
      <c r="PQO130" s="118"/>
      <c r="PQP130" s="118"/>
      <c r="PQQ130" s="118"/>
      <c r="PQR130" s="118"/>
      <c r="PQS130" s="118"/>
      <c r="PQT130" s="118"/>
      <c r="PQU130" s="118"/>
      <c r="PQV130" s="118"/>
      <c r="PQW130" s="118"/>
      <c r="PQX130" s="118"/>
      <c r="PQY130" s="118"/>
      <c r="PQZ130" s="118"/>
      <c r="PRA130" s="118"/>
      <c r="PRB130" s="118"/>
      <c r="PRC130" s="118"/>
      <c r="PRD130" s="118"/>
      <c r="PRE130" s="118"/>
      <c r="PRF130" s="118"/>
      <c r="PRG130" s="118"/>
      <c r="PRH130" s="118"/>
      <c r="PRI130" s="118"/>
      <c r="PRJ130" s="118"/>
      <c r="PRK130" s="118"/>
      <c r="PRL130" s="118"/>
      <c r="PRM130" s="118"/>
      <c r="PRN130" s="118"/>
      <c r="PRO130" s="118"/>
      <c r="PRP130" s="118"/>
      <c r="PRQ130" s="118"/>
      <c r="PRR130" s="118"/>
      <c r="PRS130" s="118"/>
      <c r="PRT130" s="118"/>
      <c r="PRU130" s="118"/>
      <c r="PRV130" s="118"/>
      <c r="PRW130" s="118"/>
      <c r="PRX130" s="118"/>
      <c r="PRY130" s="118"/>
      <c r="PRZ130" s="118"/>
      <c r="PSA130" s="118"/>
      <c r="PSB130" s="118"/>
      <c r="PSC130" s="118"/>
      <c r="PSD130" s="118"/>
      <c r="PSE130" s="118"/>
      <c r="PSF130" s="118"/>
      <c r="PSG130" s="118"/>
      <c r="PSH130" s="118"/>
      <c r="PSI130" s="118"/>
      <c r="PSJ130" s="118"/>
      <c r="PSK130" s="118"/>
      <c r="PSL130" s="118"/>
      <c r="PSM130" s="118"/>
      <c r="PSN130" s="118"/>
      <c r="PSO130" s="118"/>
      <c r="PSP130" s="118"/>
      <c r="PSQ130" s="118"/>
      <c r="PSR130" s="118"/>
      <c r="PSS130" s="118"/>
      <c r="PST130" s="118"/>
      <c r="PSU130" s="118"/>
      <c r="PSV130" s="118"/>
      <c r="PSW130" s="118"/>
      <c r="PSX130" s="118"/>
      <c r="PSY130" s="118"/>
      <c r="PSZ130" s="118"/>
      <c r="PTA130" s="118"/>
      <c r="PTB130" s="118"/>
      <c r="PTC130" s="118"/>
      <c r="PTD130" s="118"/>
      <c r="PTE130" s="118"/>
      <c r="PTF130" s="118"/>
      <c r="PTG130" s="118"/>
      <c r="PTH130" s="118"/>
      <c r="PTI130" s="118"/>
      <c r="PTJ130" s="118"/>
      <c r="PTK130" s="118"/>
      <c r="PTL130" s="118"/>
      <c r="PTM130" s="118"/>
      <c r="PTN130" s="118"/>
      <c r="PTO130" s="118"/>
      <c r="PTP130" s="118"/>
      <c r="PTQ130" s="118"/>
      <c r="PTR130" s="118"/>
      <c r="PTS130" s="118"/>
      <c r="PTT130" s="118"/>
      <c r="PTU130" s="118"/>
      <c r="PTV130" s="118"/>
      <c r="PTW130" s="118"/>
      <c r="PTX130" s="118"/>
      <c r="PTY130" s="118"/>
      <c r="PTZ130" s="118"/>
      <c r="PUA130" s="118"/>
      <c r="PUB130" s="118"/>
      <c r="PUC130" s="118"/>
      <c r="PUD130" s="118"/>
      <c r="PUE130" s="118"/>
      <c r="PUF130" s="118"/>
      <c r="PUG130" s="118"/>
      <c r="PUH130" s="118"/>
      <c r="PUI130" s="118"/>
      <c r="PUJ130" s="118"/>
      <c r="PUK130" s="118"/>
      <c r="PUL130" s="118"/>
      <c r="PUM130" s="118"/>
      <c r="PUN130" s="118"/>
      <c r="PUO130" s="118"/>
      <c r="PUP130" s="118"/>
      <c r="PUQ130" s="118"/>
      <c r="PUR130" s="118"/>
      <c r="PUS130" s="118"/>
      <c r="PUT130" s="118"/>
      <c r="PUU130" s="118"/>
      <c r="PUV130" s="118"/>
      <c r="PUW130" s="118"/>
      <c r="PUX130" s="118"/>
      <c r="PUY130" s="118"/>
      <c r="PUZ130" s="118"/>
      <c r="PVA130" s="118"/>
      <c r="PVB130" s="118"/>
      <c r="PVC130" s="118"/>
      <c r="PVD130" s="118"/>
      <c r="PVE130" s="118"/>
      <c r="PVF130" s="118"/>
      <c r="PVG130" s="118"/>
      <c r="PVH130" s="118"/>
      <c r="PVI130" s="118"/>
      <c r="PVJ130" s="118"/>
      <c r="PVK130" s="118"/>
      <c r="PVL130" s="118"/>
      <c r="PVM130" s="118"/>
      <c r="PVN130" s="118"/>
      <c r="PVO130" s="118"/>
      <c r="PVP130" s="118"/>
      <c r="PVQ130" s="118"/>
      <c r="PVR130" s="118"/>
      <c r="PVS130" s="118"/>
      <c r="PVT130" s="118"/>
      <c r="PVU130" s="118"/>
      <c r="PVV130" s="118"/>
      <c r="PVW130" s="118"/>
      <c r="PVX130" s="118"/>
      <c r="PVY130" s="118"/>
      <c r="PVZ130" s="118"/>
      <c r="PWA130" s="118"/>
      <c r="PWB130" s="118"/>
      <c r="PWC130" s="118"/>
      <c r="PWD130" s="118"/>
      <c r="PWE130" s="118"/>
      <c r="PWF130" s="118"/>
      <c r="PWG130" s="118"/>
      <c r="PWH130" s="118"/>
      <c r="PWI130" s="118"/>
      <c r="PWJ130" s="118"/>
      <c r="PWK130" s="118"/>
      <c r="PWL130" s="118"/>
      <c r="PWM130" s="118"/>
      <c r="PWN130" s="118"/>
      <c r="PWO130" s="118"/>
      <c r="PWP130" s="118"/>
      <c r="PWQ130" s="118"/>
      <c r="PWR130" s="118"/>
      <c r="PWS130" s="118"/>
      <c r="PWT130" s="118"/>
      <c r="PWU130" s="118"/>
      <c r="PWV130" s="118"/>
      <c r="PWW130" s="118"/>
      <c r="PWX130" s="118"/>
      <c r="PWY130" s="118"/>
      <c r="PWZ130" s="118"/>
      <c r="PXA130" s="118"/>
      <c r="PXB130" s="118"/>
      <c r="PXC130" s="118"/>
      <c r="PXD130" s="118"/>
      <c r="PXE130" s="118"/>
      <c r="PXF130" s="118"/>
      <c r="PXG130" s="118"/>
      <c r="PXH130" s="118"/>
      <c r="PXI130" s="118"/>
      <c r="PXJ130" s="118"/>
      <c r="PXK130" s="118"/>
      <c r="PXL130" s="118"/>
      <c r="PXM130" s="118"/>
      <c r="PXN130" s="118"/>
      <c r="PXO130" s="118"/>
      <c r="PXP130" s="118"/>
      <c r="PXQ130" s="118"/>
      <c r="PXR130" s="118"/>
      <c r="PXS130" s="118"/>
      <c r="PXT130" s="118"/>
      <c r="PXU130" s="118"/>
      <c r="PXV130" s="118"/>
      <c r="PXW130" s="118"/>
      <c r="PXX130" s="118"/>
      <c r="PXY130" s="118"/>
      <c r="PXZ130" s="118"/>
      <c r="PYA130" s="118"/>
      <c r="PYB130" s="118"/>
      <c r="PYC130" s="118"/>
      <c r="PYD130" s="118"/>
      <c r="PYE130" s="118"/>
      <c r="PYF130" s="118"/>
      <c r="PYG130" s="118"/>
      <c r="PYH130" s="118"/>
      <c r="PYI130" s="118"/>
      <c r="PYJ130" s="118"/>
      <c r="PYK130" s="118"/>
      <c r="PYL130" s="118"/>
      <c r="PYM130" s="118"/>
      <c r="PYN130" s="118"/>
      <c r="PYO130" s="118"/>
      <c r="PYP130" s="118"/>
      <c r="PYQ130" s="118"/>
      <c r="PYR130" s="118"/>
      <c r="PYS130" s="118"/>
      <c r="PYT130" s="118"/>
      <c r="PYU130" s="118"/>
      <c r="PYV130" s="118"/>
      <c r="PYW130" s="118"/>
      <c r="PYX130" s="118"/>
      <c r="PYY130" s="118"/>
      <c r="PYZ130" s="118"/>
      <c r="PZA130" s="118"/>
      <c r="PZB130" s="118"/>
      <c r="PZC130" s="118"/>
      <c r="PZD130" s="118"/>
      <c r="PZE130" s="118"/>
      <c r="PZF130" s="118"/>
      <c r="PZG130" s="118"/>
      <c r="PZH130" s="118"/>
      <c r="PZI130" s="118"/>
      <c r="PZJ130" s="118"/>
      <c r="PZK130" s="118"/>
      <c r="PZL130" s="118"/>
      <c r="PZM130" s="118"/>
      <c r="PZN130" s="118"/>
      <c r="PZO130" s="118"/>
      <c r="PZP130" s="118"/>
      <c r="PZQ130" s="118"/>
      <c r="PZR130" s="118"/>
      <c r="PZS130" s="118"/>
      <c r="PZT130" s="118"/>
      <c r="PZU130" s="118"/>
      <c r="PZV130" s="118"/>
      <c r="PZW130" s="118"/>
      <c r="PZX130" s="118"/>
      <c r="PZY130" s="118"/>
      <c r="PZZ130" s="118"/>
      <c r="QAA130" s="118"/>
      <c r="QAB130" s="118"/>
      <c r="QAC130" s="118"/>
      <c r="QAD130" s="118"/>
      <c r="QAE130" s="118"/>
      <c r="QAF130" s="118"/>
      <c r="QAG130" s="118"/>
      <c r="QAH130" s="118"/>
      <c r="QAI130" s="118"/>
      <c r="QAJ130" s="118"/>
      <c r="QAK130" s="118"/>
      <c r="QAL130" s="118"/>
      <c r="QAM130" s="118"/>
      <c r="QAN130" s="118"/>
      <c r="QAO130" s="118"/>
      <c r="QAP130" s="118"/>
      <c r="QAQ130" s="118"/>
      <c r="QAR130" s="118"/>
      <c r="QAS130" s="118"/>
      <c r="QAT130" s="118"/>
      <c r="QAU130" s="118"/>
      <c r="QAV130" s="118"/>
      <c r="QAW130" s="118"/>
      <c r="QAX130" s="118"/>
      <c r="QAY130" s="118"/>
      <c r="QAZ130" s="118"/>
      <c r="QBA130" s="118"/>
      <c r="QBB130" s="118"/>
      <c r="QBC130" s="118"/>
      <c r="QBD130" s="118"/>
      <c r="QBE130" s="118"/>
      <c r="QBF130" s="118"/>
      <c r="QBG130" s="118"/>
      <c r="QBH130" s="118"/>
      <c r="QBI130" s="118"/>
      <c r="QBJ130" s="118"/>
      <c r="QBK130" s="118"/>
      <c r="QBL130" s="118"/>
      <c r="QBM130" s="118"/>
      <c r="QBN130" s="118"/>
      <c r="QBO130" s="118"/>
      <c r="QBP130" s="118"/>
      <c r="QBQ130" s="118"/>
      <c r="QBR130" s="118"/>
      <c r="QBS130" s="118"/>
      <c r="QBT130" s="118"/>
      <c r="QBU130" s="118"/>
      <c r="QBV130" s="118"/>
      <c r="QBW130" s="118"/>
      <c r="QBX130" s="118"/>
      <c r="QBY130" s="118"/>
      <c r="QBZ130" s="118"/>
      <c r="QCA130" s="118"/>
      <c r="QCB130" s="118"/>
      <c r="QCC130" s="118"/>
      <c r="QCD130" s="118"/>
      <c r="QCE130" s="118"/>
      <c r="QCF130" s="118"/>
      <c r="QCG130" s="118"/>
      <c r="QCH130" s="118"/>
      <c r="QCI130" s="118"/>
      <c r="QCJ130" s="118"/>
      <c r="QCK130" s="118"/>
      <c r="QCL130" s="118"/>
      <c r="QCM130" s="118"/>
      <c r="QCN130" s="118"/>
      <c r="QCO130" s="118"/>
      <c r="QCP130" s="118"/>
      <c r="QCQ130" s="118"/>
      <c r="QCR130" s="118"/>
      <c r="QCS130" s="118"/>
      <c r="QCT130" s="118"/>
      <c r="QCU130" s="118"/>
      <c r="QCV130" s="118"/>
      <c r="QCW130" s="118"/>
      <c r="QCX130" s="118"/>
      <c r="QCY130" s="118"/>
      <c r="QCZ130" s="118"/>
      <c r="QDA130" s="118"/>
      <c r="QDB130" s="118"/>
      <c r="QDC130" s="118"/>
      <c r="QDD130" s="118"/>
      <c r="QDE130" s="118"/>
      <c r="QDF130" s="118"/>
      <c r="QDG130" s="118"/>
      <c r="QDH130" s="118"/>
      <c r="QDI130" s="118"/>
      <c r="QDJ130" s="118"/>
      <c r="QDK130" s="118"/>
      <c r="QDL130" s="118"/>
      <c r="QDM130" s="118"/>
      <c r="QDN130" s="118"/>
      <c r="QDO130" s="118"/>
      <c r="QDP130" s="118"/>
      <c r="QDQ130" s="118"/>
      <c r="QDR130" s="118"/>
      <c r="QDS130" s="118"/>
      <c r="QDT130" s="118"/>
      <c r="QDU130" s="118"/>
      <c r="QDV130" s="118"/>
      <c r="QDW130" s="118"/>
      <c r="QDX130" s="118"/>
      <c r="QDY130" s="118"/>
      <c r="QDZ130" s="118"/>
      <c r="QEA130" s="118"/>
      <c r="QEB130" s="118"/>
      <c r="QEC130" s="118"/>
      <c r="QED130" s="118"/>
      <c r="QEE130" s="118"/>
      <c r="QEF130" s="118"/>
      <c r="QEG130" s="118"/>
      <c r="QEH130" s="118"/>
      <c r="QEI130" s="118"/>
      <c r="QEJ130" s="118"/>
      <c r="QEK130" s="118"/>
      <c r="QEL130" s="118"/>
      <c r="QEM130" s="118"/>
      <c r="QEN130" s="118"/>
      <c r="QEO130" s="118"/>
      <c r="QEP130" s="118"/>
      <c r="QEQ130" s="118"/>
      <c r="QER130" s="118"/>
      <c r="QES130" s="118"/>
      <c r="QET130" s="118"/>
      <c r="QEU130" s="118"/>
      <c r="QEV130" s="118"/>
      <c r="QEW130" s="118"/>
      <c r="QEX130" s="118"/>
      <c r="QEY130" s="118"/>
      <c r="QEZ130" s="118"/>
      <c r="QFA130" s="118"/>
      <c r="QFB130" s="118"/>
      <c r="QFC130" s="118"/>
      <c r="QFD130" s="118"/>
      <c r="QFE130" s="118"/>
      <c r="QFF130" s="118"/>
      <c r="QFG130" s="118"/>
      <c r="QFH130" s="118"/>
      <c r="QFI130" s="118"/>
      <c r="QFJ130" s="118"/>
      <c r="QFK130" s="118"/>
      <c r="QFL130" s="118"/>
      <c r="QFM130" s="118"/>
      <c r="QFN130" s="118"/>
      <c r="QFO130" s="118"/>
      <c r="QFP130" s="118"/>
      <c r="QFQ130" s="118"/>
      <c r="QFR130" s="118"/>
      <c r="QFS130" s="118"/>
      <c r="QFT130" s="118"/>
      <c r="QFU130" s="118"/>
      <c r="QFV130" s="118"/>
      <c r="QFW130" s="118"/>
      <c r="QFX130" s="118"/>
      <c r="QFY130" s="118"/>
      <c r="QFZ130" s="118"/>
      <c r="QGA130" s="118"/>
      <c r="QGB130" s="118"/>
      <c r="QGC130" s="118"/>
      <c r="QGD130" s="118"/>
      <c r="QGE130" s="118"/>
      <c r="QGF130" s="118"/>
      <c r="QGG130" s="118"/>
      <c r="QGH130" s="118"/>
      <c r="QGI130" s="118"/>
      <c r="QGJ130" s="118"/>
      <c r="QGK130" s="118"/>
      <c r="QGL130" s="118"/>
      <c r="QGM130" s="118"/>
      <c r="QGN130" s="118"/>
      <c r="QGO130" s="118"/>
      <c r="QGP130" s="118"/>
      <c r="QGQ130" s="118"/>
      <c r="QGR130" s="118"/>
      <c r="QGS130" s="118"/>
      <c r="QGT130" s="118"/>
      <c r="QGU130" s="118"/>
      <c r="QGV130" s="118"/>
      <c r="QGW130" s="118"/>
      <c r="QGX130" s="118"/>
      <c r="QGY130" s="118"/>
      <c r="QGZ130" s="118"/>
      <c r="QHA130" s="118"/>
      <c r="QHB130" s="118"/>
      <c r="QHC130" s="118"/>
      <c r="QHD130" s="118"/>
      <c r="QHE130" s="118"/>
      <c r="QHF130" s="118"/>
      <c r="QHG130" s="118"/>
      <c r="QHH130" s="118"/>
      <c r="QHI130" s="118"/>
      <c r="QHJ130" s="118"/>
      <c r="QHK130" s="118"/>
      <c r="QHL130" s="118"/>
      <c r="QHM130" s="118"/>
      <c r="QHN130" s="118"/>
      <c r="QHO130" s="118"/>
      <c r="QHP130" s="118"/>
      <c r="QHQ130" s="118"/>
      <c r="QHR130" s="118"/>
      <c r="QHS130" s="118"/>
      <c r="QHT130" s="118"/>
      <c r="QHU130" s="118"/>
      <c r="QHV130" s="118"/>
      <c r="QHW130" s="118"/>
      <c r="QHX130" s="118"/>
      <c r="QHY130" s="118"/>
      <c r="QHZ130" s="118"/>
      <c r="QIA130" s="118"/>
      <c r="QIB130" s="118"/>
      <c r="QIC130" s="118"/>
      <c r="QID130" s="118"/>
      <c r="QIE130" s="118"/>
      <c r="QIF130" s="118"/>
      <c r="QIG130" s="118"/>
      <c r="QIH130" s="118"/>
      <c r="QII130" s="118"/>
      <c r="QIJ130" s="118"/>
      <c r="QIK130" s="118"/>
      <c r="QIL130" s="118"/>
      <c r="QIM130" s="118"/>
      <c r="QIN130" s="118"/>
      <c r="QIO130" s="118"/>
      <c r="QIP130" s="118"/>
      <c r="QIQ130" s="118"/>
      <c r="QIR130" s="118"/>
      <c r="QIS130" s="118"/>
      <c r="QIT130" s="118"/>
      <c r="QIU130" s="118"/>
      <c r="QIV130" s="118"/>
      <c r="QIW130" s="118"/>
      <c r="QIX130" s="118"/>
      <c r="QIY130" s="118"/>
      <c r="QIZ130" s="118"/>
      <c r="QJA130" s="118"/>
      <c r="QJB130" s="118"/>
      <c r="QJC130" s="118"/>
      <c r="QJD130" s="118"/>
      <c r="QJE130" s="118"/>
      <c r="QJF130" s="118"/>
      <c r="QJG130" s="118"/>
      <c r="QJH130" s="118"/>
      <c r="QJI130" s="118"/>
      <c r="QJJ130" s="118"/>
      <c r="QJK130" s="118"/>
      <c r="QJL130" s="118"/>
      <c r="QJM130" s="118"/>
      <c r="QJN130" s="118"/>
      <c r="QJO130" s="118"/>
      <c r="QJP130" s="118"/>
      <c r="QJQ130" s="118"/>
      <c r="QJR130" s="118"/>
      <c r="QJS130" s="118"/>
      <c r="QJT130" s="118"/>
      <c r="QJU130" s="118"/>
      <c r="QJV130" s="118"/>
      <c r="QJW130" s="118"/>
      <c r="QJX130" s="118"/>
      <c r="QJY130" s="118"/>
      <c r="QJZ130" s="118"/>
      <c r="QKA130" s="118"/>
      <c r="QKB130" s="118"/>
      <c r="QKC130" s="118"/>
      <c r="QKD130" s="118"/>
      <c r="QKE130" s="118"/>
      <c r="QKF130" s="118"/>
      <c r="QKG130" s="118"/>
      <c r="QKH130" s="118"/>
      <c r="QKI130" s="118"/>
      <c r="QKJ130" s="118"/>
      <c r="QKK130" s="118"/>
      <c r="QKL130" s="118"/>
      <c r="QKM130" s="118"/>
      <c r="QKN130" s="118"/>
      <c r="QKO130" s="118"/>
      <c r="QKP130" s="118"/>
      <c r="QKQ130" s="118"/>
      <c r="QKR130" s="118"/>
      <c r="QKS130" s="118"/>
      <c r="QKT130" s="118"/>
      <c r="QKU130" s="118"/>
      <c r="QKV130" s="118"/>
      <c r="QKW130" s="118"/>
      <c r="QKX130" s="118"/>
      <c r="QKY130" s="118"/>
      <c r="QKZ130" s="118"/>
      <c r="QLA130" s="118"/>
      <c r="QLB130" s="118"/>
      <c r="QLC130" s="118"/>
      <c r="QLD130" s="118"/>
      <c r="QLE130" s="118"/>
      <c r="QLF130" s="118"/>
      <c r="QLG130" s="118"/>
      <c r="QLH130" s="118"/>
      <c r="QLI130" s="118"/>
      <c r="QLJ130" s="118"/>
      <c r="QLK130" s="118"/>
      <c r="QLL130" s="118"/>
      <c r="QLM130" s="118"/>
      <c r="QLN130" s="118"/>
      <c r="QLO130" s="118"/>
      <c r="QLP130" s="118"/>
      <c r="QLQ130" s="118"/>
      <c r="QLR130" s="118"/>
      <c r="QLS130" s="118"/>
      <c r="QLT130" s="118"/>
      <c r="QLU130" s="118"/>
      <c r="QLV130" s="118"/>
      <c r="QLW130" s="118"/>
      <c r="QLX130" s="118"/>
      <c r="QLY130" s="118"/>
      <c r="QLZ130" s="118"/>
      <c r="QMA130" s="118"/>
      <c r="QMB130" s="118"/>
      <c r="QMC130" s="118"/>
      <c r="QMD130" s="118"/>
      <c r="QME130" s="118"/>
      <c r="QMF130" s="118"/>
      <c r="QMG130" s="118"/>
      <c r="QMH130" s="118"/>
      <c r="QMI130" s="118"/>
      <c r="QMJ130" s="118"/>
      <c r="QMK130" s="118"/>
      <c r="QML130" s="118"/>
      <c r="QMM130" s="118"/>
      <c r="QMN130" s="118"/>
      <c r="QMO130" s="118"/>
      <c r="QMP130" s="118"/>
      <c r="QMQ130" s="118"/>
      <c r="QMR130" s="118"/>
      <c r="QMS130" s="118"/>
      <c r="QMT130" s="118"/>
      <c r="QMU130" s="118"/>
      <c r="QMV130" s="118"/>
      <c r="QMW130" s="118"/>
      <c r="QMX130" s="118"/>
      <c r="QMY130" s="118"/>
      <c r="QMZ130" s="118"/>
      <c r="QNA130" s="118"/>
      <c r="QNB130" s="118"/>
      <c r="QNC130" s="118"/>
      <c r="QND130" s="118"/>
      <c r="QNE130" s="118"/>
      <c r="QNF130" s="118"/>
      <c r="QNG130" s="118"/>
      <c r="QNH130" s="118"/>
      <c r="QNI130" s="118"/>
      <c r="QNJ130" s="118"/>
      <c r="QNK130" s="118"/>
      <c r="QNL130" s="118"/>
      <c r="QNM130" s="118"/>
      <c r="QNN130" s="118"/>
      <c r="QNO130" s="118"/>
      <c r="QNP130" s="118"/>
      <c r="QNQ130" s="118"/>
      <c r="QNR130" s="118"/>
      <c r="QNS130" s="118"/>
      <c r="QNT130" s="118"/>
      <c r="QNU130" s="118"/>
      <c r="QNV130" s="118"/>
      <c r="QNW130" s="118"/>
      <c r="QNX130" s="118"/>
      <c r="QNY130" s="118"/>
      <c r="QNZ130" s="118"/>
      <c r="QOA130" s="118"/>
      <c r="QOB130" s="118"/>
      <c r="QOC130" s="118"/>
      <c r="QOD130" s="118"/>
      <c r="QOE130" s="118"/>
      <c r="QOF130" s="118"/>
      <c r="QOG130" s="118"/>
      <c r="QOH130" s="118"/>
      <c r="QOI130" s="118"/>
      <c r="QOJ130" s="118"/>
      <c r="QOK130" s="118"/>
      <c r="QOL130" s="118"/>
      <c r="QOM130" s="118"/>
      <c r="QON130" s="118"/>
      <c r="QOO130" s="118"/>
      <c r="QOP130" s="118"/>
      <c r="QOQ130" s="118"/>
      <c r="QOR130" s="118"/>
      <c r="QOS130" s="118"/>
      <c r="QOT130" s="118"/>
      <c r="QOU130" s="118"/>
      <c r="QOV130" s="118"/>
      <c r="QOW130" s="118"/>
      <c r="QOX130" s="118"/>
      <c r="QOY130" s="118"/>
      <c r="QOZ130" s="118"/>
      <c r="QPA130" s="118"/>
      <c r="QPB130" s="118"/>
      <c r="QPC130" s="118"/>
      <c r="QPD130" s="118"/>
      <c r="QPE130" s="118"/>
      <c r="QPF130" s="118"/>
      <c r="QPG130" s="118"/>
      <c r="QPH130" s="118"/>
      <c r="QPI130" s="118"/>
      <c r="QPJ130" s="118"/>
      <c r="QPK130" s="118"/>
      <c r="QPL130" s="118"/>
      <c r="QPM130" s="118"/>
      <c r="QPN130" s="118"/>
      <c r="QPO130" s="118"/>
      <c r="QPP130" s="118"/>
      <c r="QPQ130" s="118"/>
      <c r="QPR130" s="118"/>
      <c r="QPS130" s="118"/>
      <c r="QPT130" s="118"/>
      <c r="QPU130" s="118"/>
      <c r="QPV130" s="118"/>
      <c r="QPW130" s="118"/>
      <c r="QPX130" s="118"/>
      <c r="QPY130" s="118"/>
      <c r="QPZ130" s="118"/>
      <c r="QQA130" s="118"/>
      <c r="QQB130" s="118"/>
      <c r="QQC130" s="118"/>
      <c r="QQD130" s="118"/>
      <c r="QQE130" s="118"/>
      <c r="QQF130" s="118"/>
      <c r="QQG130" s="118"/>
      <c r="QQH130" s="118"/>
      <c r="QQI130" s="118"/>
      <c r="QQJ130" s="118"/>
      <c r="QQK130" s="118"/>
      <c r="QQL130" s="118"/>
      <c r="QQM130" s="118"/>
      <c r="QQN130" s="118"/>
      <c r="QQO130" s="118"/>
      <c r="QQP130" s="118"/>
      <c r="QQQ130" s="118"/>
      <c r="QQR130" s="118"/>
      <c r="QQS130" s="118"/>
      <c r="QQT130" s="118"/>
      <c r="QQU130" s="118"/>
      <c r="QQV130" s="118"/>
      <c r="QQW130" s="118"/>
      <c r="QQX130" s="118"/>
      <c r="QQY130" s="118"/>
      <c r="QQZ130" s="118"/>
      <c r="QRA130" s="118"/>
      <c r="QRB130" s="118"/>
      <c r="QRC130" s="118"/>
      <c r="QRD130" s="118"/>
      <c r="QRE130" s="118"/>
      <c r="QRF130" s="118"/>
      <c r="QRG130" s="118"/>
      <c r="QRH130" s="118"/>
      <c r="QRI130" s="118"/>
      <c r="QRJ130" s="118"/>
      <c r="QRK130" s="118"/>
      <c r="QRL130" s="118"/>
      <c r="QRM130" s="118"/>
      <c r="QRN130" s="118"/>
      <c r="QRO130" s="118"/>
      <c r="QRP130" s="118"/>
      <c r="QRQ130" s="118"/>
      <c r="QRR130" s="118"/>
      <c r="QRS130" s="118"/>
      <c r="QRT130" s="118"/>
      <c r="QRU130" s="118"/>
      <c r="QRV130" s="118"/>
      <c r="QRW130" s="118"/>
      <c r="QRX130" s="118"/>
      <c r="QRY130" s="118"/>
      <c r="QRZ130" s="118"/>
      <c r="QSA130" s="118"/>
      <c r="QSB130" s="118"/>
      <c r="QSC130" s="118"/>
      <c r="QSD130" s="118"/>
      <c r="QSE130" s="118"/>
      <c r="QSF130" s="118"/>
      <c r="QSG130" s="118"/>
      <c r="QSH130" s="118"/>
      <c r="QSI130" s="118"/>
      <c r="QSJ130" s="118"/>
      <c r="QSK130" s="118"/>
      <c r="QSL130" s="118"/>
      <c r="QSM130" s="118"/>
      <c r="QSN130" s="118"/>
      <c r="QSO130" s="118"/>
      <c r="QSP130" s="118"/>
      <c r="QSQ130" s="118"/>
      <c r="QSR130" s="118"/>
      <c r="QSS130" s="118"/>
      <c r="QST130" s="118"/>
      <c r="QSU130" s="118"/>
      <c r="QSV130" s="118"/>
      <c r="QSW130" s="118"/>
      <c r="QSX130" s="118"/>
      <c r="QSY130" s="118"/>
      <c r="QSZ130" s="118"/>
      <c r="QTA130" s="118"/>
      <c r="QTB130" s="118"/>
      <c r="QTC130" s="118"/>
      <c r="QTD130" s="118"/>
      <c r="QTE130" s="118"/>
      <c r="QTF130" s="118"/>
      <c r="QTG130" s="118"/>
      <c r="QTH130" s="118"/>
      <c r="QTI130" s="118"/>
      <c r="QTJ130" s="118"/>
      <c r="QTK130" s="118"/>
      <c r="QTL130" s="118"/>
      <c r="QTM130" s="118"/>
      <c r="QTN130" s="118"/>
      <c r="QTO130" s="118"/>
      <c r="QTP130" s="118"/>
      <c r="QTQ130" s="118"/>
      <c r="QTR130" s="118"/>
      <c r="QTS130" s="118"/>
      <c r="QTT130" s="118"/>
      <c r="QTU130" s="118"/>
      <c r="QTV130" s="118"/>
      <c r="QTW130" s="118"/>
      <c r="QTX130" s="118"/>
      <c r="QTY130" s="118"/>
      <c r="QTZ130" s="118"/>
      <c r="QUA130" s="118"/>
      <c r="QUB130" s="118"/>
      <c r="QUC130" s="118"/>
      <c r="QUD130" s="118"/>
      <c r="QUE130" s="118"/>
      <c r="QUF130" s="118"/>
      <c r="QUG130" s="118"/>
      <c r="QUH130" s="118"/>
      <c r="QUI130" s="118"/>
      <c r="QUJ130" s="118"/>
      <c r="QUK130" s="118"/>
      <c r="QUL130" s="118"/>
      <c r="QUM130" s="118"/>
      <c r="QUN130" s="118"/>
      <c r="QUO130" s="118"/>
      <c r="QUP130" s="118"/>
      <c r="QUQ130" s="118"/>
      <c r="QUR130" s="118"/>
      <c r="QUS130" s="118"/>
      <c r="QUT130" s="118"/>
      <c r="QUU130" s="118"/>
      <c r="QUV130" s="118"/>
      <c r="QUW130" s="118"/>
      <c r="QUX130" s="118"/>
      <c r="QUY130" s="118"/>
      <c r="QUZ130" s="118"/>
      <c r="QVA130" s="118"/>
      <c r="QVB130" s="118"/>
      <c r="QVC130" s="118"/>
      <c r="QVD130" s="118"/>
      <c r="QVE130" s="118"/>
      <c r="QVF130" s="118"/>
      <c r="QVG130" s="118"/>
      <c r="QVH130" s="118"/>
      <c r="QVI130" s="118"/>
      <c r="QVJ130" s="118"/>
      <c r="QVK130" s="118"/>
      <c r="QVL130" s="118"/>
      <c r="QVM130" s="118"/>
      <c r="QVN130" s="118"/>
      <c r="QVO130" s="118"/>
      <c r="QVP130" s="118"/>
      <c r="QVQ130" s="118"/>
      <c r="QVR130" s="118"/>
      <c r="QVS130" s="118"/>
      <c r="QVT130" s="118"/>
      <c r="QVU130" s="118"/>
      <c r="QVV130" s="118"/>
      <c r="QVW130" s="118"/>
      <c r="QVX130" s="118"/>
      <c r="QVY130" s="118"/>
      <c r="QVZ130" s="118"/>
      <c r="QWA130" s="118"/>
      <c r="QWB130" s="118"/>
      <c r="QWC130" s="118"/>
      <c r="QWD130" s="118"/>
      <c r="QWE130" s="118"/>
      <c r="QWF130" s="118"/>
      <c r="QWG130" s="118"/>
      <c r="QWH130" s="118"/>
      <c r="QWI130" s="118"/>
      <c r="QWJ130" s="118"/>
      <c r="QWK130" s="118"/>
      <c r="QWL130" s="118"/>
      <c r="QWM130" s="118"/>
      <c r="QWN130" s="118"/>
      <c r="QWO130" s="118"/>
      <c r="QWP130" s="118"/>
      <c r="QWQ130" s="118"/>
      <c r="QWR130" s="118"/>
      <c r="QWS130" s="118"/>
      <c r="QWT130" s="118"/>
      <c r="QWU130" s="118"/>
      <c r="QWV130" s="118"/>
      <c r="QWW130" s="118"/>
      <c r="QWX130" s="118"/>
      <c r="QWY130" s="118"/>
      <c r="QWZ130" s="118"/>
      <c r="QXA130" s="118"/>
      <c r="QXB130" s="118"/>
      <c r="QXC130" s="118"/>
      <c r="QXD130" s="118"/>
      <c r="QXE130" s="118"/>
      <c r="QXF130" s="118"/>
      <c r="QXG130" s="118"/>
      <c r="QXH130" s="118"/>
      <c r="QXI130" s="118"/>
      <c r="QXJ130" s="118"/>
      <c r="QXK130" s="118"/>
      <c r="QXL130" s="118"/>
      <c r="QXM130" s="118"/>
      <c r="QXN130" s="118"/>
      <c r="QXO130" s="118"/>
      <c r="QXP130" s="118"/>
      <c r="QXQ130" s="118"/>
      <c r="QXR130" s="118"/>
      <c r="QXS130" s="118"/>
      <c r="QXT130" s="118"/>
      <c r="QXU130" s="118"/>
      <c r="QXV130" s="118"/>
      <c r="QXW130" s="118"/>
      <c r="QXX130" s="118"/>
      <c r="QXY130" s="118"/>
      <c r="QXZ130" s="118"/>
      <c r="QYA130" s="118"/>
      <c r="QYB130" s="118"/>
      <c r="QYC130" s="118"/>
      <c r="QYD130" s="118"/>
      <c r="QYE130" s="118"/>
      <c r="QYF130" s="118"/>
      <c r="QYG130" s="118"/>
      <c r="QYH130" s="118"/>
      <c r="QYI130" s="118"/>
      <c r="QYJ130" s="118"/>
      <c r="QYK130" s="118"/>
      <c r="QYL130" s="118"/>
      <c r="QYM130" s="118"/>
      <c r="QYN130" s="118"/>
      <c r="QYO130" s="118"/>
      <c r="QYP130" s="118"/>
      <c r="QYQ130" s="118"/>
      <c r="QYR130" s="118"/>
      <c r="QYS130" s="118"/>
      <c r="QYT130" s="118"/>
      <c r="QYU130" s="118"/>
      <c r="QYV130" s="118"/>
      <c r="QYW130" s="118"/>
      <c r="QYX130" s="118"/>
      <c r="QYY130" s="118"/>
      <c r="QYZ130" s="118"/>
      <c r="QZA130" s="118"/>
      <c r="QZB130" s="118"/>
      <c r="QZC130" s="118"/>
      <c r="QZD130" s="118"/>
      <c r="QZE130" s="118"/>
      <c r="QZF130" s="118"/>
      <c r="QZG130" s="118"/>
      <c r="QZH130" s="118"/>
      <c r="QZI130" s="118"/>
      <c r="QZJ130" s="118"/>
      <c r="QZK130" s="118"/>
      <c r="QZL130" s="118"/>
      <c r="QZM130" s="118"/>
      <c r="QZN130" s="118"/>
      <c r="QZO130" s="118"/>
      <c r="QZP130" s="118"/>
      <c r="QZQ130" s="118"/>
      <c r="QZR130" s="118"/>
      <c r="QZS130" s="118"/>
      <c r="QZT130" s="118"/>
      <c r="QZU130" s="118"/>
      <c r="QZV130" s="118"/>
      <c r="QZW130" s="118"/>
      <c r="QZX130" s="118"/>
      <c r="QZY130" s="118"/>
      <c r="QZZ130" s="118"/>
      <c r="RAA130" s="118"/>
      <c r="RAB130" s="118"/>
      <c r="RAC130" s="118"/>
      <c r="RAD130" s="118"/>
      <c r="RAE130" s="118"/>
      <c r="RAF130" s="118"/>
      <c r="RAG130" s="118"/>
      <c r="RAH130" s="118"/>
      <c r="RAI130" s="118"/>
      <c r="RAJ130" s="118"/>
      <c r="RAK130" s="118"/>
      <c r="RAL130" s="118"/>
      <c r="RAM130" s="118"/>
      <c r="RAN130" s="118"/>
      <c r="RAO130" s="118"/>
      <c r="RAP130" s="118"/>
      <c r="RAQ130" s="118"/>
      <c r="RAR130" s="118"/>
      <c r="RAS130" s="118"/>
      <c r="RAT130" s="118"/>
      <c r="RAU130" s="118"/>
      <c r="RAV130" s="118"/>
      <c r="RAW130" s="118"/>
      <c r="RAX130" s="118"/>
      <c r="RAY130" s="118"/>
      <c r="RAZ130" s="118"/>
      <c r="RBA130" s="118"/>
      <c r="RBB130" s="118"/>
      <c r="RBC130" s="118"/>
      <c r="RBD130" s="118"/>
      <c r="RBE130" s="118"/>
      <c r="RBF130" s="118"/>
      <c r="RBG130" s="118"/>
      <c r="RBH130" s="118"/>
      <c r="RBI130" s="118"/>
      <c r="RBJ130" s="118"/>
      <c r="RBK130" s="118"/>
      <c r="RBL130" s="118"/>
      <c r="RBM130" s="118"/>
      <c r="RBN130" s="118"/>
      <c r="RBO130" s="118"/>
      <c r="RBP130" s="118"/>
      <c r="RBQ130" s="118"/>
      <c r="RBR130" s="118"/>
      <c r="RBS130" s="118"/>
      <c r="RBT130" s="118"/>
      <c r="RBU130" s="118"/>
      <c r="RBV130" s="118"/>
      <c r="RBW130" s="118"/>
      <c r="RBX130" s="118"/>
      <c r="RBY130" s="118"/>
      <c r="RBZ130" s="118"/>
      <c r="RCA130" s="118"/>
      <c r="RCB130" s="118"/>
      <c r="RCC130" s="118"/>
      <c r="RCD130" s="118"/>
      <c r="RCE130" s="118"/>
      <c r="RCF130" s="118"/>
      <c r="RCG130" s="118"/>
      <c r="RCH130" s="118"/>
      <c r="RCI130" s="118"/>
      <c r="RCJ130" s="118"/>
      <c r="RCK130" s="118"/>
      <c r="RCL130" s="118"/>
      <c r="RCM130" s="118"/>
      <c r="RCN130" s="118"/>
      <c r="RCO130" s="118"/>
      <c r="RCP130" s="118"/>
      <c r="RCQ130" s="118"/>
      <c r="RCR130" s="118"/>
      <c r="RCS130" s="118"/>
      <c r="RCT130" s="118"/>
      <c r="RCU130" s="118"/>
      <c r="RCV130" s="118"/>
      <c r="RCW130" s="118"/>
      <c r="RCX130" s="118"/>
      <c r="RCY130" s="118"/>
      <c r="RCZ130" s="118"/>
      <c r="RDA130" s="118"/>
      <c r="RDB130" s="118"/>
      <c r="RDC130" s="118"/>
      <c r="RDD130" s="118"/>
      <c r="RDE130" s="118"/>
      <c r="RDF130" s="118"/>
      <c r="RDG130" s="118"/>
      <c r="RDH130" s="118"/>
      <c r="RDI130" s="118"/>
      <c r="RDJ130" s="118"/>
      <c r="RDK130" s="118"/>
      <c r="RDL130" s="118"/>
      <c r="RDM130" s="118"/>
      <c r="RDN130" s="118"/>
      <c r="RDO130" s="118"/>
      <c r="RDP130" s="118"/>
      <c r="RDQ130" s="118"/>
      <c r="RDR130" s="118"/>
      <c r="RDS130" s="118"/>
      <c r="RDT130" s="118"/>
      <c r="RDU130" s="118"/>
      <c r="RDV130" s="118"/>
      <c r="RDW130" s="118"/>
      <c r="RDX130" s="118"/>
      <c r="RDY130" s="118"/>
      <c r="RDZ130" s="118"/>
      <c r="REA130" s="118"/>
      <c r="REB130" s="118"/>
      <c r="REC130" s="118"/>
      <c r="RED130" s="118"/>
      <c r="REE130" s="118"/>
      <c r="REF130" s="118"/>
      <c r="REG130" s="118"/>
      <c r="REH130" s="118"/>
      <c r="REI130" s="118"/>
      <c r="REJ130" s="118"/>
      <c r="REK130" s="118"/>
      <c r="REL130" s="118"/>
      <c r="REM130" s="118"/>
      <c r="REN130" s="118"/>
      <c r="REO130" s="118"/>
      <c r="REP130" s="118"/>
      <c r="REQ130" s="118"/>
      <c r="RER130" s="118"/>
      <c r="RES130" s="118"/>
      <c r="RET130" s="118"/>
      <c r="REU130" s="118"/>
      <c r="REV130" s="118"/>
      <c r="REW130" s="118"/>
      <c r="REX130" s="118"/>
      <c r="REY130" s="118"/>
      <c r="REZ130" s="118"/>
      <c r="RFA130" s="118"/>
      <c r="RFB130" s="118"/>
      <c r="RFC130" s="118"/>
      <c r="RFD130" s="118"/>
      <c r="RFE130" s="118"/>
      <c r="RFF130" s="118"/>
      <c r="RFG130" s="118"/>
      <c r="RFH130" s="118"/>
      <c r="RFI130" s="118"/>
      <c r="RFJ130" s="118"/>
      <c r="RFK130" s="118"/>
      <c r="RFL130" s="118"/>
      <c r="RFM130" s="118"/>
      <c r="RFN130" s="118"/>
      <c r="RFO130" s="118"/>
      <c r="RFP130" s="118"/>
      <c r="RFQ130" s="118"/>
      <c r="RFR130" s="118"/>
      <c r="RFS130" s="118"/>
      <c r="RFT130" s="118"/>
      <c r="RFU130" s="118"/>
      <c r="RFV130" s="118"/>
      <c r="RFW130" s="118"/>
      <c r="RFX130" s="118"/>
      <c r="RFY130" s="118"/>
      <c r="RFZ130" s="118"/>
      <c r="RGA130" s="118"/>
      <c r="RGB130" s="118"/>
      <c r="RGC130" s="118"/>
      <c r="RGD130" s="118"/>
      <c r="RGE130" s="118"/>
      <c r="RGF130" s="118"/>
      <c r="RGG130" s="118"/>
      <c r="RGH130" s="118"/>
      <c r="RGI130" s="118"/>
      <c r="RGJ130" s="118"/>
      <c r="RGK130" s="118"/>
      <c r="RGL130" s="118"/>
      <c r="RGM130" s="118"/>
      <c r="RGN130" s="118"/>
      <c r="RGO130" s="118"/>
      <c r="RGP130" s="118"/>
      <c r="RGQ130" s="118"/>
      <c r="RGR130" s="118"/>
      <c r="RGS130" s="118"/>
      <c r="RGT130" s="118"/>
      <c r="RGU130" s="118"/>
      <c r="RGV130" s="118"/>
      <c r="RGW130" s="118"/>
      <c r="RGX130" s="118"/>
      <c r="RGY130" s="118"/>
      <c r="RGZ130" s="118"/>
      <c r="RHA130" s="118"/>
      <c r="RHB130" s="118"/>
      <c r="RHC130" s="118"/>
      <c r="RHD130" s="118"/>
      <c r="RHE130" s="118"/>
      <c r="RHF130" s="118"/>
      <c r="RHG130" s="118"/>
      <c r="RHH130" s="118"/>
      <c r="RHI130" s="118"/>
      <c r="RHJ130" s="118"/>
      <c r="RHK130" s="118"/>
      <c r="RHL130" s="118"/>
      <c r="RHM130" s="118"/>
      <c r="RHN130" s="118"/>
      <c r="RHO130" s="118"/>
      <c r="RHP130" s="118"/>
      <c r="RHQ130" s="118"/>
      <c r="RHR130" s="118"/>
      <c r="RHS130" s="118"/>
      <c r="RHT130" s="118"/>
      <c r="RHU130" s="118"/>
      <c r="RHV130" s="118"/>
      <c r="RHW130" s="118"/>
      <c r="RHX130" s="118"/>
      <c r="RHY130" s="118"/>
      <c r="RHZ130" s="118"/>
      <c r="RIA130" s="118"/>
      <c r="RIB130" s="118"/>
      <c r="RIC130" s="118"/>
      <c r="RID130" s="118"/>
      <c r="RIE130" s="118"/>
      <c r="RIF130" s="118"/>
      <c r="RIG130" s="118"/>
      <c r="RIH130" s="118"/>
      <c r="RII130" s="118"/>
      <c r="RIJ130" s="118"/>
      <c r="RIK130" s="118"/>
      <c r="RIL130" s="118"/>
      <c r="RIM130" s="118"/>
      <c r="RIN130" s="118"/>
      <c r="RIO130" s="118"/>
      <c r="RIP130" s="118"/>
      <c r="RIQ130" s="118"/>
      <c r="RIR130" s="118"/>
      <c r="RIS130" s="118"/>
      <c r="RIT130" s="118"/>
      <c r="RIU130" s="118"/>
      <c r="RIV130" s="118"/>
      <c r="RIW130" s="118"/>
      <c r="RIX130" s="118"/>
      <c r="RIY130" s="118"/>
      <c r="RIZ130" s="118"/>
      <c r="RJA130" s="118"/>
      <c r="RJB130" s="118"/>
      <c r="RJC130" s="118"/>
      <c r="RJD130" s="118"/>
      <c r="RJE130" s="118"/>
      <c r="RJF130" s="118"/>
      <c r="RJG130" s="118"/>
      <c r="RJH130" s="118"/>
      <c r="RJI130" s="118"/>
      <c r="RJJ130" s="118"/>
      <c r="RJK130" s="118"/>
      <c r="RJL130" s="118"/>
      <c r="RJM130" s="118"/>
      <c r="RJN130" s="118"/>
      <c r="RJO130" s="118"/>
      <c r="RJP130" s="118"/>
      <c r="RJQ130" s="118"/>
      <c r="RJR130" s="118"/>
      <c r="RJS130" s="118"/>
      <c r="RJT130" s="118"/>
      <c r="RJU130" s="118"/>
      <c r="RJV130" s="118"/>
      <c r="RJW130" s="118"/>
      <c r="RJX130" s="118"/>
      <c r="RJY130" s="118"/>
      <c r="RJZ130" s="118"/>
      <c r="RKA130" s="118"/>
      <c r="RKB130" s="118"/>
      <c r="RKC130" s="118"/>
      <c r="RKD130" s="118"/>
      <c r="RKE130" s="118"/>
      <c r="RKF130" s="118"/>
      <c r="RKG130" s="118"/>
      <c r="RKH130" s="118"/>
      <c r="RKI130" s="118"/>
      <c r="RKJ130" s="118"/>
      <c r="RKK130" s="118"/>
      <c r="RKL130" s="118"/>
      <c r="RKM130" s="118"/>
      <c r="RKN130" s="118"/>
      <c r="RKO130" s="118"/>
      <c r="RKP130" s="118"/>
      <c r="RKQ130" s="118"/>
      <c r="RKR130" s="118"/>
      <c r="RKS130" s="118"/>
      <c r="RKT130" s="118"/>
      <c r="RKU130" s="118"/>
      <c r="RKV130" s="118"/>
      <c r="RKW130" s="118"/>
      <c r="RKX130" s="118"/>
      <c r="RKY130" s="118"/>
      <c r="RKZ130" s="118"/>
      <c r="RLA130" s="118"/>
      <c r="RLB130" s="118"/>
      <c r="RLC130" s="118"/>
      <c r="RLD130" s="118"/>
      <c r="RLE130" s="118"/>
      <c r="RLF130" s="118"/>
      <c r="RLG130" s="118"/>
      <c r="RLH130" s="118"/>
      <c r="RLI130" s="118"/>
      <c r="RLJ130" s="118"/>
      <c r="RLK130" s="118"/>
      <c r="RLL130" s="118"/>
      <c r="RLM130" s="118"/>
      <c r="RLN130" s="118"/>
      <c r="RLO130" s="118"/>
      <c r="RLP130" s="118"/>
      <c r="RLQ130" s="118"/>
      <c r="RLR130" s="118"/>
      <c r="RLS130" s="118"/>
      <c r="RLT130" s="118"/>
      <c r="RLU130" s="118"/>
      <c r="RLV130" s="118"/>
      <c r="RLW130" s="118"/>
      <c r="RLX130" s="118"/>
      <c r="RLY130" s="118"/>
      <c r="RLZ130" s="118"/>
      <c r="RMA130" s="118"/>
      <c r="RMB130" s="118"/>
      <c r="RMC130" s="118"/>
      <c r="RMD130" s="118"/>
      <c r="RME130" s="118"/>
      <c r="RMF130" s="118"/>
      <c r="RMG130" s="118"/>
      <c r="RMH130" s="118"/>
      <c r="RMI130" s="118"/>
      <c r="RMJ130" s="118"/>
      <c r="RMK130" s="118"/>
      <c r="RML130" s="118"/>
      <c r="RMM130" s="118"/>
      <c r="RMN130" s="118"/>
      <c r="RMO130" s="118"/>
      <c r="RMP130" s="118"/>
      <c r="RMQ130" s="118"/>
      <c r="RMR130" s="118"/>
      <c r="RMS130" s="118"/>
      <c r="RMT130" s="118"/>
      <c r="RMU130" s="118"/>
      <c r="RMV130" s="118"/>
      <c r="RMW130" s="118"/>
      <c r="RMX130" s="118"/>
      <c r="RMY130" s="118"/>
      <c r="RMZ130" s="118"/>
      <c r="RNA130" s="118"/>
      <c r="RNB130" s="118"/>
      <c r="RNC130" s="118"/>
      <c r="RND130" s="118"/>
      <c r="RNE130" s="118"/>
      <c r="RNF130" s="118"/>
      <c r="RNG130" s="118"/>
      <c r="RNH130" s="118"/>
      <c r="RNI130" s="118"/>
      <c r="RNJ130" s="118"/>
      <c r="RNK130" s="118"/>
      <c r="RNL130" s="118"/>
      <c r="RNM130" s="118"/>
      <c r="RNN130" s="118"/>
      <c r="RNO130" s="118"/>
      <c r="RNP130" s="118"/>
      <c r="RNQ130" s="118"/>
      <c r="RNR130" s="118"/>
      <c r="RNS130" s="118"/>
      <c r="RNT130" s="118"/>
      <c r="RNU130" s="118"/>
      <c r="RNV130" s="118"/>
      <c r="RNW130" s="118"/>
      <c r="RNX130" s="118"/>
      <c r="RNY130" s="118"/>
      <c r="RNZ130" s="118"/>
      <c r="ROA130" s="118"/>
      <c r="ROB130" s="118"/>
      <c r="ROC130" s="118"/>
      <c r="ROD130" s="118"/>
      <c r="ROE130" s="118"/>
      <c r="ROF130" s="118"/>
      <c r="ROG130" s="118"/>
      <c r="ROH130" s="118"/>
      <c r="ROI130" s="118"/>
      <c r="ROJ130" s="118"/>
      <c r="ROK130" s="118"/>
      <c r="ROL130" s="118"/>
      <c r="ROM130" s="118"/>
      <c r="RON130" s="118"/>
      <c r="ROO130" s="118"/>
      <c r="ROP130" s="118"/>
      <c r="ROQ130" s="118"/>
      <c r="ROR130" s="118"/>
      <c r="ROS130" s="118"/>
      <c r="ROT130" s="118"/>
      <c r="ROU130" s="118"/>
      <c r="ROV130" s="118"/>
      <c r="ROW130" s="118"/>
      <c r="ROX130" s="118"/>
      <c r="ROY130" s="118"/>
      <c r="ROZ130" s="118"/>
      <c r="RPA130" s="118"/>
      <c r="RPB130" s="118"/>
      <c r="RPC130" s="118"/>
      <c r="RPD130" s="118"/>
      <c r="RPE130" s="118"/>
      <c r="RPF130" s="118"/>
      <c r="RPG130" s="118"/>
      <c r="RPH130" s="118"/>
      <c r="RPI130" s="118"/>
      <c r="RPJ130" s="118"/>
      <c r="RPK130" s="118"/>
      <c r="RPL130" s="118"/>
      <c r="RPM130" s="118"/>
      <c r="RPN130" s="118"/>
      <c r="RPO130" s="118"/>
      <c r="RPP130" s="118"/>
      <c r="RPQ130" s="118"/>
      <c r="RPR130" s="118"/>
      <c r="RPS130" s="118"/>
      <c r="RPT130" s="118"/>
      <c r="RPU130" s="118"/>
      <c r="RPV130" s="118"/>
      <c r="RPW130" s="118"/>
      <c r="RPX130" s="118"/>
      <c r="RPY130" s="118"/>
      <c r="RPZ130" s="118"/>
      <c r="RQA130" s="118"/>
      <c r="RQB130" s="118"/>
      <c r="RQC130" s="118"/>
      <c r="RQD130" s="118"/>
      <c r="RQE130" s="118"/>
      <c r="RQF130" s="118"/>
      <c r="RQG130" s="118"/>
      <c r="RQH130" s="118"/>
      <c r="RQI130" s="118"/>
      <c r="RQJ130" s="118"/>
      <c r="RQK130" s="118"/>
      <c r="RQL130" s="118"/>
      <c r="RQM130" s="118"/>
      <c r="RQN130" s="118"/>
      <c r="RQO130" s="118"/>
      <c r="RQP130" s="118"/>
      <c r="RQQ130" s="118"/>
      <c r="RQR130" s="118"/>
      <c r="RQS130" s="118"/>
      <c r="RQT130" s="118"/>
      <c r="RQU130" s="118"/>
      <c r="RQV130" s="118"/>
      <c r="RQW130" s="118"/>
      <c r="RQX130" s="118"/>
      <c r="RQY130" s="118"/>
      <c r="RQZ130" s="118"/>
      <c r="RRA130" s="118"/>
      <c r="RRB130" s="118"/>
      <c r="RRC130" s="118"/>
      <c r="RRD130" s="118"/>
      <c r="RRE130" s="118"/>
      <c r="RRF130" s="118"/>
      <c r="RRG130" s="118"/>
      <c r="RRH130" s="118"/>
      <c r="RRI130" s="118"/>
      <c r="RRJ130" s="118"/>
      <c r="RRK130" s="118"/>
      <c r="RRL130" s="118"/>
      <c r="RRM130" s="118"/>
      <c r="RRN130" s="118"/>
      <c r="RRO130" s="118"/>
      <c r="RRP130" s="118"/>
      <c r="RRQ130" s="118"/>
      <c r="RRR130" s="118"/>
      <c r="RRS130" s="118"/>
      <c r="RRT130" s="118"/>
      <c r="RRU130" s="118"/>
      <c r="RRV130" s="118"/>
      <c r="RRW130" s="118"/>
      <c r="RRX130" s="118"/>
      <c r="RRY130" s="118"/>
      <c r="RRZ130" s="118"/>
      <c r="RSA130" s="118"/>
      <c r="RSB130" s="118"/>
      <c r="RSC130" s="118"/>
      <c r="RSD130" s="118"/>
      <c r="RSE130" s="118"/>
      <c r="RSF130" s="118"/>
      <c r="RSG130" s="118"/>
      <c r="RSH130" s="118"/>
      <c r="RSI130" s="118"/>
      <c r="RSJ130" s="118"/>
      <c r="RSK130" s="118"/>
      <c r="RSL130" s="118"/>
      <c r="RSM130" s="118"/>
      <c r="RSN130" s="118"/>
      <c r="RSO130" s="118"/>
      <c r="RSP130" s="118"/>
      <c r="RSQ130" s="118"/>
      <c r="RSR130" s="118"/>
      <c r="RSS130" s="118"/>
      <c r="RST130" s="118"/>
      <c r="RSU130" s="118"/>
      <c r="RSV130" s="118"/>
      <c r="RSW130" s="118"/>
      <c r="RSX130" s="118"/>
      <c r="RSY130" s="118"/>
      <c r="RSZ130" s="118"/>
      <c r="RTA130" s="118"/>
      <c r="RTB130" s="118"/>
      <c r="RTC130" s="118"/>
      <c r="RTD130" s="118"/>
      <c r="RTE130" s="118"/>
      <c r="RTF130" s="118"/>
      <c r="RTG130" s="118"/>
      <c r="RTH130" s="118"/>
      <c r="RTI130" s="118"/>
      <c r="RTJ130" s="118"/>
      <c r="RTK130" s="118"/>
      <c r="RTL130" s="118"/>
      <c r="RTM130" s="118"/>
      <c r="RTN130" s="118"/>
      <c r="RTO130" s="118"/>
      <c r="RTP130" s="118"/>
      <c r="RTQ130" s="118"/>
      <c r="RTR130" s="118"/>
      <c r="RTS130" s="118"/>
      <c r="RTT130" s="118"/>
      <c r="RTU130" s="118"/>
      <c r="RTV130" s="118"/>
      <c r="RTW130" s="118"/>
      <c r="RTX130" s="118"/>
      <c r="RTY130" s="118"/>
      <c r="RTZ130" s="118"/>
      <c r="RUA130" s="118"/>
      <c r="RUB130" s="118"/>
      <c r="RUC130" s="118"/>
      <c r="RUD130" s="118"/>
      <c r="RUE130" s="118"/>
      <c r="RUF130" s="118"/>
      <c r="RUG130" s="118"/>
      <c r="RUH130" s="118"/>
      <c r="RUI130" s="118"/>
      <c r="RUJ130" s="118"/>
      <c r="RUK130" s="118"/>
      <c r="RUL130" s="118"/>
      <c r="RUM130" s="118"/>
      <c r="RUN130" s="118"/>
      <c r="RUO130" s="118"/>
      <c r="RUP130" s="118"/>
      <c r="RUQ130" s="118"/>
      <c r="RUR130" s="118"/>
      <c r="RUS130" s="118"/>
      <c r="RUT130" s="118"/>
      <c r="RUU130" s="118"/>
      <c r="RUV130" s="118"/>
      <c r="RUW130" s="118"/>
      <c r="RUX130" s="118"/>
      <c r="RUY130" s="118"/>
      <c r="RUZ130" s="118"/>
      <c r="RVA130" s="118"/>
      <c r="RVB130" s="118"/>
      <c r="RVC130" s="118"/>
      <c r="RVD130" s="118"/>
      <c r="RVE130" s="118"/>
      <c r="RVF130" s="118"/>
      <c r="RVG130" s="118"/>
      <c r="RVH130" s="118"/>
      <c r="RVI130" s="118"/>
      <c r="RVJ130" s="118"/>
      <c r="RVK130" s="118"/>
      <c r="RVL130" s="118"/>
      <c r="RVM130" s="118"/>
      <c r="RVN130" s="118"/>
      <c r="RVO130" s="118"/>
      <c r="RVP130" s="118"/>
      <c r="RVQ130" s="118"/>
      <c r="RVR130" s="118"/>
      <c r="RVS130" s="118"/>
      <c r="RVT130" s="118"/>
      <c r="RVU130" s="118"/>
      <c r="RVV130" s="118"/>
      <c r="RVW130" s="118"/>
      <c r="RVX130" s="118"/>
      <c r="RVY130" s="118"/>
      <c r="RVZ130" s="118"/>
      <c r="RWA130" s="118"/>
      <c r="RWB130" s="118"/>
      <c r="RWC130" s="118"/>
      <c r="RWD130" s="118"/>
      <c r="RWE130" s="118"/>
      <c r="RWF130" s="118"/>
      <c r="RWG130" s="118"/>
      <c r="RWH130" s="118"/>
      <c r="RWI130" s="118"/>
      <c r="RWJ130" s="118"/>
      <c r="RWK130" s="118"/>
      <c r="RWL130" s="118"/>
      <c r="RWM130" s="118"/>
      <c r="RWN130" s="118"/>
      <c r="RWO130" s="118"/>
      <c r="RWP130" s="118"/>
      <c r="RWQ130" s="118"/>
      <c r="RWR130" s="118"/>
      <c r="RWS130" s="118"/>
      <c r="RWT130" s="118"/>
      <c r="RWU130" s="118"/>
      <c r="RWV130" s="118"/>
      <c r="RWW130" s="118"/>
      <c r="RWX130" s="118"/>
      <c r="RWY130" s="118"/>
      <c r="RWZ130" s="118"/>
      <c r="RXA130" s="118"/>
      <c r="RXB130" s="118"/>
      <c r="RXC130" s="118"/>
      <c r="RXD130" s="118"/>
      <c r="RXE130" s="118"/>
      <c r="RXF130" s="118"/>
      <c r="RXG130" s="118"/>
      <c r="RXH130" s="118"/>
      <c r="RXI130" s="118"/>
      <c r="RXJ130" s="118"/>
      <c r="RXK130" s="118"/>
      <c r="RXL130" s="118"/>
      <c r="RXM130" s="118"/>
      <c r="RXN130" s="118"/>
      <c r="RXO130" s="118"/>
      <c r="RXP130" s="118"/>
      <c r="RXQ130" s="118"/>
      <c r="RXR130" s="118"/>
      <c r="RXS130" s="118"/>
      <c r="RXT130" s="118"/>
      <c r="RXU130" s="118"/>
      <c r="RXV130" s="118"/>
      <c r="RXW130" s="118"/>
      <c r="RXX130" s="118"/>
      <c r="RXY130" s="118"/>
      <c r="RXZ130" s="118"/>
      <c r="RYA130" s="118"/>
      <c r="RYB130" s="118"/>
      <c r="RYC130" s="118"/>
      <c r="RYD130" s="118"/>
      <c r="RYE130" s="118"/>
      <c r="RYF130" s="118"/>
      <c r="RYG130" s="118"/>
      <c r="RYH130" s="118"/>
      <c r="RYI130" s="118"/>
      <c r="RYJ130" s="118"/>
      <c r="RYK130" s="118"/>
      <c r="RYL130" s="118"/>
      <c r="RYM130" s="118"/>
      <c r="RYN130" s="118"/>
      <c r="RYO130" s="118"/>
      <c r="RYP130" s="118"/>
      <c r="RYQ130" s="118"/>
      <c r="RYR130" s="118"/>
      <c r="RYS130" s="118"/>
      <c r="RYT130" s="118"/>
      <c r="RYU130" s="118"/>
      <c r="RYV130" s="118"/>
      <c r="RYW130" s="118"/>
      <c r="RYX130" s="118"/>
      <c r="RYY130" s="118"/>
      <c r="RYZ130" s="118"/>
      <c r="RZA130" s="118"/>
      <c r="RZB130" s="118"/>
      <c r="RZC130" s="118"/>
      <c r="RZD130" s="118"/>
      <c r="RZE130" s="118"/>
      <c r="RZF130" s="118"/>
      <c r="RZG130" s="118"/>
      <c r="RZH130" s="118"/>
      <c r="RZI130" s="118"/>
      <c r="RZJ130" s="118"/>
      <c r="RZK130" s="118"/>
      <c r="RZL130" s="118"/>
      <c r="RZM130" s="118"/>
      <c r="RZN130" s="118"/>
      <c r="RZO130" s="118"/>
      <c r="RZP130" s="118"/>
      <c r="RZQ130" s="118"/>
      <c r="RZR130" s="118"/>
      <c r="RZS130" s="118"/>
      <c r="RZT130" s="118"/>
      <c r="RZU130" s="118"/>
      <c r="RZV130" s="118"/>
      <c r="RZW130" s="118"/>
      <c r="RZX130" s="118"/>
      <c r="RZY130" s="118"/>
      <c r="RZZ130" s="118"/>
      <c r="SAA130" s="118"/>
      <c r="SAB130" s="118"/>
      <c r="SAC130" s="118"/>
      <c r="SAD130" s="118"/>
      <c r="SAE130" s="118"/>
      <c r="SAF130" s="118"/>
      <c r="SAG130" s="118"/>
      <c r="SAH130" s="118"/>
      <c r="SAI130" s="118"/>
      <c r="SAJ130" s="118"/>
      <c r="SAK130" s="118"/>
      <c r="SAL130" s="118"/>
      <c r="SAM130" s="118"/>
      <c r="SAN130" s="118"/>
      <c r="SAO130" s="118"/>
      <c r="SAP130" s="118"/>
      <c r="SAQ130" s="118"/>
      <c r="SAR130" s="118"/>
      <c r="SAS130" s="118"/>
      <c r="SAT130" s="118"/>
      <c r="SAU130" s="118"/>
      <c r="SAV130" s="118"/>
      <c r="SAW130" s="118"/>
      <c r="SAX130" s="118"/>
      <c r="SAY130" s="118"/>
      <c r="SAZ130" s="118"/>
      <c r="SBA130" s="118"/>
      <c r="SBB130" s="118"/>
      <c r="SBC130" s="118"/>
      <c r="SBD130" s="118"/>
      <c r="SBE130" s="118"/>
      <c r="SBF130" s="118"/>
      <c r="SBG130" s="118"/>
      <c r="SBH130" s="118"/>
      <c r="SBI130" s="118"/>
      <c r="SBJ130" s="118"/>
      <c r="SBK130" s="118"/>
      <c r="SBL130" s="118"/>
      <c r="SBM130" s="118"/>
      <c r="SBN130" s="118"/>
      <c r="SBO130" s="118"/>
      <c r="SBP130" s="118"/>
      <c r="SBQ130" s="118"/>
      <c r="SBR130" s="118"/>
      <c r="SBS130" s="118"/>
      <c r="SBT130" s="118"/>
      <c r="SBU130" s="118"/>
      <c r="SBV130" s="118"/>
      <c r="SBW130" s="118"/>
      <c r="SBX130" s="118"/>
      <c r="SBY130" s="118"/>
      <c r="SBZ130" s="118"/>
      <c r="SCA130" s="118"/>
      <c r="SCB130" s="118"/>
      <c r="SCC130" s="118"/>
      <c r="SCD130" s="118"/>
      <c r="SCE130" s="118"/>
      <c r="SCF130" s="118"/>
      <c r="SCG130" s="118"/>
      <c r="SCH130" s="118"/>
      <c r="SCI130" s="118"/>
      <c r="SCJ130" s="118"/>
      <c r="SCK130" s="118"/>
      <c r="SCL130" s="118"/>
      <c r="SCM130" s="118"/>
      <c r="SCN130" s="118"/>
      <c r="SCO130" s="118"/>
      <c r="SCP130" s="118"/>
      <c r="SCQ130" s="118"/>
      <c r="SCR130" s="118"/>
      <c r="SCS130" s="118"/>
      <c r="SCT130" s="118"/>
      <c r="SCU130" s="118"/>
      <c r="SCV130" s="118"/>
      <c r="SCW130" s="118"/>
      <c r="SCX130" s="118"/>
      <c r="SCY130" s="118"/>
      <c r="SCZ130" s="118"/>
      <c r="SDA130" s="118"/>
      <c r="SDB130" s="118"/>
      <c r="SDC130" s="118"/>
      <c r="SDD130" s="118"/>
      <c r="SDE130" s="118"/>
      <c r="SDF130" s="118"/>
      <c r="SDG130" s="118"/>
      <c r="SDH130" s="118"/>
      <c r="SDI130" s="118"/>
      <c r="SDJ130" s="118"/>
      <c r="SDK130" s="118"/>
      <c r="SDL130" s="118"/>
      <c r="SDM130" s="118"/>
      <c r="SDN130" s="118"/>
      <c r="SDO130" s="118"/>
      <c r="SDP130" s="118"/>
      <c r="SDQ130" s="118"/>
      <c r="SDR130" s="118"/>
      <c r="SDS130" s="118"/>
      <c r="SDT130" s="118"/>
      <c r="SDU130" s="118"/>
      <c r="SDV130" s="118"/>
      <c r="SDW130" s="118"/>
      <c r="SDX130" s="118"/>
      <c r="SDY130" s="118"/>
      <c r="SDZ130" s="118"/>
      <c r="SEA130" s="118"/>
      <c r="SEB130" s="118"/>
      <c r="SEC130" s="118"/>
      <c r="SED130" s="118"/>
      <c r="SEE130" s="118"/>
      <c r="SEF130" s="118"/>
      <c r="SEG130" s="118"/>
      <c r="SEH130" s="118"/>
      <c r="SEI130" s="118"/>
      <c r="SEJ130" s="118"/>
      <c r="SEK130" s="118"/>
      <c r="SEL130" s="118"/>
      <c r="SEM130" s="118"/>
      <c r="SEN130" s="118"/>
      <c r="SEO130" s="118"/>
      <c r="SEP130" s="118"/>
      <c r="SEQ130" s="118"/>
      <c r="SER130" s="118"/>
      <c r="SES130" s="118"/>
      <c r="SET130" s="118"/>
      <c r="SEU130" s="118"/>
      <c r="SEV130" s="118"/>
      <c r="SEW130" s="118"/>
      <c r="SEX130" s="118"/>
      <c r="SEY130" s="118"/>
      <c r="SEZ130" s="118"/>
      <c r="SFA130" s="118"/>
      <c r="SFB130" s="118"/>
      <c r="SFC130" s="118"/>
      <c r="SFD130" s="118"/>
      <c r="SFE130" s="118"/>
      <c r="SFF130" s="118"/>
      <c r="SFG130" s="118"/>
      <c r="SFH130" s="118"/>
      <c r="SFI130" s="118"/>
      <c r="SFJ130" s="118"/>
      <c r="SFK130" s="118"/>
      <c r="SFL130" s="118"/>
      <c r="SFM130" s="118"/>
      <c r="SFN130" s="118"/>
      <c r="SFO130" s="118"/>
      <c r="SFP130" s="118"/>
      <c r="SFQ130" s="118"/>
      <c r="SFR130" s="118"/>
      <c r="SFS130" s="118"/>
      <c r="SFT130" s="118"/>
      <c r="SFU130" s="118"/>
      <c r="SFV130" s="118"/>
      <c r="SFW130" s="118"/>
      <c r="SFX130" s="118"/>
      <c r="SFY130" s="118"/>
      <c r="SFZ130" s="118"/>
      <c r="SGA130" s="118"/>
      <c r="SGB130" s="118"/>
      <c r="SGC130" s="118"/>
      <c r="SGD130" s="118"/>
      <c r="SGE130" s="118"/>
      <c r="SGF130" s="118"/>
      <c r="SGG130" s="118"/>
      <c r="SGH130" s="118"/>
      <c r="SGI130" s="118"/>
      <c r="SGJ130" s="118"/>
      <c r="SGK130" s="118"/>
      <c r="SGL130" s="118"/>
      <c r="SGM130" s="118"/>
      <c r="SGN130" s="118"/>
      <c r="SGO130" s="118"/>
      <c r="SGP130" s="118"/>
      <c r="SGQ130" s="118"/>
      <c r="SGR130" s="118"/>
      <c r="SGS130" s="118"/>
      <c r="SGT130" s="118"/>
      <c r="SGU130" s="118"/>
      <c r="SGV130" s="118"/>
      <c r="SGW130" s="118"/>
      <c r="SGX130" s="118"/>
      <c r="SGY130" s="118"/>
      <c r="SGZ130" s="118"/>
      <c r="SHA130" s="118"/>
      <c r="SHB130" s="118"/>
      <c r="SHC130" s="118"/>
      <c r="SHD130" s="118"/>
      <c r="SHE130" s="118"/>
      <c r="SHF130" s="118"/>
      <c r="SHG130" s="118"/>
      <c r="SHH130" s="118"/>
      <c r="SHI130" s="118"/>
      <c r="SHJ130" s="118"/>
      <c r="SHK130" s="118"/>
      <c r="SHL130" s="118"/>
      <c r="SHM130" s="118"/>
      <c r="SHN130" s="118"/>
      <c r="SHO130" s="118"/>
      <c r="SHP130" s="118"/>
      <c r="SHQ130" s="118"/>
      <c r="SHR130" s="118"/>
      <c r="SHS130" s="118"/>
      <c r="SHT130" s="118"/>
      <c r="SHU130" s="118"/>
      <c r="SHV130" s="118"/>
      <c r="SHW130" s="118"/>
      <c r="SHX130" s="118"/>
      <c r="SHY130" s="118"/>
      <c r="SHZ130" s="118"/>
      <c r="SIA130" s="118"/>
      <c r="SIB130" s="118"/>
      <c r="SIC130" s="118"/>
      <c r="SID130" s="118"/>
      <c r="SIE130" s="118"/>
      <c r="SIF130" s="118"/>
      <c r="SIG130" s="118"/>
      <c r="SIH130" s="118"/>
      <c r="SII130" s="118"/>
      <c r="SIJ130" s="118"/>
      <c r="SIK130" s="118"/>
      <c r="SIL130" s="118"/>
      <c r="SIM130" s="118"/>
      <c r="SIN130" s="118"/>
      <c r="SIO130" s="118"/>
      <c r="SIP130" s="118"/>
      <c r="SIQ130" s="118"/>
      <c r="SIR130" s="118"/>
      <c r="SIS130" s="118"/>
      <c r="SIT130" s="118"/>
      <c r="SIU130" s="118"/>
      <c r="SIV130" s="118"/>
      <c r="SIW130" s="118"/>
      <c r="SIX130" s="118"/>
      <c r="SIY130" s="118"/>
      <c r="SIZ130" s="118"/>
      <c r="SJA130" s="118"/>
      <c r="SJB130" s="118"/>
      <c r="SJC130" s="118"/>
      <c r="SJD130" s="118"/>
      <c r="SJE130" s="118"/>
      <c r="SJF130" s="118"/>
      <c r="SJG130" s="118"/>
      <c r="SJH130" s="118"/>
      <c r="SJI130" s="118"/>
      <c r="SJJ130" s="118"/>
      <c r="SJK130" s="118"/>
      <c r="SJL130" s="118"/>
      <c r="SJM130" s="118"/>
      <c r="SJN130" s="118"/>
      <c r="SJO130" s="118"/>
      <c r="SJP130" s="118"/>
      <c r="SJQ130" s="118"/>
      <c r="SJR130" s="118"/>
      <c r="SJS130" s="118"/>
      <c r="SJT130" s="118"/>
      <c r="SJU130" s="118"/>
      <c r="SJV130" s="118"/>
      <c r="SJW130" s="118"/>
      <c r="SJX130" s="118"/>
      <c r="SJY130" s="118"/>
      <c r="SJZ130" s="118"/>
      <c r="SKA130" s="118"/>
      <c r="SKB130" s="118"/>
      <c r="SKC130" s="118"/>
      <c r="SKD130" s="118"/>
      <c r="SKE130" s="118"/>
      <c r="SKF130" s="118"/>
      <c r="SKG130" s="118"/>
      <c r="SKH130" s="118"/>
      <c r="SKI130" s="118"/>
      <c r="SKJ130" s="118"/>
      <c r="SKK130" s="118"/>
      <c r="SKL130" s="118"/>
      <c r="SKM130" s="118"/>
      <c r="SKN130" s="118"/>
      <c r="SKO130" s="118"/>
      <c r="SKP130" s="118"/>
      <c r="SKQ130" s="118"/>
      <c r="SKR130" s="118"/>
      <c r="SKS130" s="118"/>
      <c r="SKT130" s="118"/>
      <c r="SKU130" s="118"/>
      <c r="SKV130" s="118"/>
      <c r="SKW130" s="118"/>
      <c r="SKX130" s="118"/>
      <c r="SKY130" s="118"/>
      <c r="SKZ130" s="118"/>
      <c r="SLA130" s="118"/>
      <c r="SLB130" s="118"/>
      <c r="SLC130" s="118"/>
      <c r="SLD130" s="118"/>
      <c r="SLE130" s="118"/>
      <c r="SLF130" s="118"/>
      <c r="SLG130" s="118"/>
      <c r="SLH130" s="118"/>
      <c r="SLI130" s="118"/>
      <c r="SLJ130" s="118"/>
      <c r="SLK130" s="118"/>
      <c r="SLL130" s="118"/>
      <c r="SLM130" s="118"/>
      <c r="SLN130" s="118"/>
      <c r="SLO130" s="118"/>
      <c r="SLP130" s="118"/>
      <c r="SLQ130" s="118"/>
      <c r="SLR130" s="118"/>
      <c r="SLS130" s="118"/>
      <c r="SLT130" s="118"/>
      <c r="SLU130" s="118"/>
      <c r="SLV130" s="118"/>
      <c r="SLW130" s="118"/>
      <c r="SLX130" s="118"/>
      <c r="SLY130" s="118"/>
      <c r="SLZ130" s="118"/>
      <c r="SMA130" s="118"/>
      <c r="SMB130" s="118"/>
      <c r="SMC130" s="118"/>
      <c r="SMD130" s="118"/>
      <c r="SME130" s="118"/>
      <c r="SMF130" s="118"/>
      <c r="SMG130" s="118"/>
      <c r="SMH130" s="118"/>
      <c r="SMI130" s="118"/>
      <c r="SMJ130" s="118"/>
      <c r="SMK130" s="118"/>
      <c r="SML130" s="118"/>
      <c r="SMM130" s="118"/>
      <c r="SMN130" s="118"/>
      <c r="SMO130" s="118"/>
      <c r="SMP130" s="118"/>
      <c r="SMQ130" s="118"/>
      <c r="SMR130" s="118"/>
      <c r="SMS130" s="118"/>
      <c r="SMT130" s="118"/>
      <c r="SMU130" s="118"/>
      <c r="SMV130" s="118"/>
      <c r="SMW130" s="118"/>
      <c r="SMX130" s="118"/>
      <c r="SMY130" s="118"/>
      <c r="SMZ130" s="118"/>
      <c r="SNA130" s="118"/>
      <c r="SNB130" s="118"/>
      <c r="SNC130" s="118"/>
      <c r="SND130" s="118"/>
      <c r="SNE130" s="118"/>
      <c r="SNF130" s="118"/>
      <c r="SNG130" s="118"/>
      <c r="SNH130" s="118"/>
      <c r="SNI130" s="118"/>
      <c r="SNJ130" s="118"/>
      <c r="SNK130" s="118"/>
      <c r="SNL130" s="118"/>
      <c r="SNM130" s="118"/>
      <c r="SNN130" s="118"/>
      <c r="SNO130" s="118"/>
      <c r="SNP130" s="118"/>
      <c r="SNQ130" s="118"/>
      <c r="SNR130" s="118"/>
      <c r="SNS130" s="118"/>
      <c r="SNT130" s="118"/>
      <c r="SNU130" s="118"/>
      <c r="SNV130" s="118"/>
      <c r="SNW130" s="118"/>
      <c r="SNX130" s="118"/>
      <c r="SNY130" s="118"/>
      <c r="SNZ130" s="118"/>
      <c r="SOA130" s="118"/>
      <c r="SOB130" s="118"/>
      <c r="SOC130" s="118"/>
      <c r="SOD130" s="118"/>
      <c r="SOE130" s="118"/>
      <c r="SOF130" s="118"/>
      <c r="SOG130" s="118"/>
      <c r="SOH130" s="118"/>
      <c r="SOI130" s="118"/>
      <c r="SOJ130" s="118"/>
      <c r="SOK130" s="118"/>
      <c r="SOL130" s="118"/>
      <c r="SOM130" s="118"/>
      <c r="SON130" s="118"/>
      <c r="SOO130" s="118"/>
      <c r="SOP130" s="118"/>
      <c r="SOQ130" s="118"/>
      <c r="SOR130" s="118"/>
      <c r="SOS130" s="118"/>
      <c r="SOT130" s="118"/>
      <c r="SOU130" s="118"/>
      <c r="SOV130" s="118"/>
      <c r="SOW130" s="118"/>
      <c r="SOX130" s="118"/>
      <c r="SOY130" s="118"/>
      <c r="SOZ130" s="118"/>
      <c r="SPA130" s="118"/>
      <c r="SPB130" s="118"/>
      <c r="SPC130" s="118"/>
      <c r="SPD130" s="118"/>
      <c r="SPE130" s="118"/>
      <c r="SPF130" s="118"/>
      <c r="SPG130" s="118"/>
      <c r="SPH130" s="118"/>
      <c r="SPI130" s="118"/>
      <c r="SPJ130" s="118"/>
      <c r="SPK130" s="118"/>
      <c r="SPL130" s="118"/>
      <c r="SPM130" s="118"/>
      <c r="SPN130" s="118"/>
      <c r="SPO130" s="118"/>
      <c r="SPP130" s="118"/>
      <c r="SPQ130" s="118"/>
      <c r="SPR130" s="118"/>
      <c r="SPS130" s="118"/>
      <c r="SPT130" s="118"/>
      <c r="SPU130" s="118"/>
      <c r="SPV130" s="118"/>
      <c r="SPW130" s="118"/>
      <c r="SPX130" s="118"/>
      <c r="SPY130" s="118"/>
      <c r="SPZ130" s="118"/>
      <c r="SQA130" s="118"/>
      <c r="SQB130" s="118"/>
      <c r="SQC130" s="118"/>
      <c r="SQD130" s="118"/>
      <c r="SQE130" s="118"/>
      <c r="SQF130" s="118"/>
      <c r="SQG130" s="118"/>
      <c r="SQH130" s="118"/>
      <c r="SQI130" s="118"/>
      <c r="SQJ130" s="118"/>
      <c r="SQK130" s="118"/>
      <c r="SQL130" s="118"/>
      <c r="SQM130" s="118"/>
      <c r="SQN130" s="118"/>
      <c r="SQO130" s="118"/>
      <c r="SQP130" s="118"/>
      <c r="SQQ130" s="118"/>
      <c r="SQR130" s="118"/>
      <c r="SQS130" s="118"/>
      <c r="SQT130" s="118"/>
      <c r="SQU130" s="118"/>
      <c r="SQV130" s="118"/>
      <c r="SQW130" s="118"/>
      <c r="SQX130" s="118"/>
      <c r="SQY130" s="118"/>
      <c r="SQZ130" s="118"/>
      <c r="SRA130" s="118"/>
      <c r="SRB130" s="118"/>
      <c r="SRC130" s="118"/>
      <c r="SRD130" s="118"/>
      <c r="SRE130" s="118"/>
      <c r="SRF130" s="118"/>
      <c r="SRG130" s="118"/>
      <c r="SRH130" s="118"/>
      <c r="SRI130" s="118"/>
      <c r="SRJ130" s="118"/>
      <c r="SRK130" s="118"/>
      <c r="SRL130" s="118"/>
      <c r="SRM130" s="118"/>
      <c r="SRN130" s="118"/>
      <c r="SRO130" s="118"/>
      <c r="SRP130" s="118"/>
      <c r="SRQ130" s="118"/>
      <c r="SRR130" s="118"/>
      <c r="SRS130" s="118"/>
      <c r="SRT130" s="118"/>
      <c r="SRU130" s="118"/>
      <c r="SRV130" s="118"/>
      <c r="SRW130" s="118"/>
      <c r="SRX130" s="118"/>
      <c r="SRY130" s="118"/>
      <c r="SRZ130" s="118"/>
      <c r="SSA130" s="118"/>
      <c r="SSB130" s="118"/>
      <c r="SSC130" s="118"/>
      <c r="SSD130" s="118"/>
      <c r="SSE130" s="118"/>
      <c r="SSF130" s="118"/>
      <c r="SSG130" s="118"/>
      <c r="SSH130" s="118"/>
      <c r="SSI130" s="118"/>
      <c r="SSJ130" s="118"/>
      <c r="SSK130" s="118"/>
      <c r="SSL130" s="118"/>
      <c r="SSM130" s="118"/>
      <c r="SSN130" s="118"/>
      <c r="SSO130" s="118"/>
      <c r="SSP130" s="118"/>
      <c r="SSQ130" s="118"/>
      <c r="SSR130" s="118"/>
      <c r="SSS130" s="118"/>
      <c r="SST130" s="118"/>
      <c r="SSU130" s="118"/>
      <c r="SSV130" s="118"/>
      <c r="SSW130" s="118"/>
      <c r="SSX130" s="118"/>
      <c r="SSY130" s="118"/>
      <c r="SSZ130" s="118"/>
      <c r="STA130" s="118"/>
      <c r="STB130" s="118"/>
      <c r="STC130" s="118"/>
      <c r="STD130" s="118"/>
      <c r="STE130" s="118"/>
      <c r="STF130" s="118"/>
      <c r="STG130" s="118"/>
      <c r="STH130" s="118"/>
      <c r="STI130" s="118"/>
      <c r="STJ130" s="118"/>
      <c r="STK130" s="118"/>
      <c r="STL130" s="118"/>
      <c r="STM130" s="118"/>
      <c r="STN130" s="118"/>
      <c r="STO130" s="118"/>
      <c r="STP130" s="118"/>
      <c r="STQ130" s="118"/>
      <c r="STR130" s="118"/>
      <c r="STS130" s="118"/>
      <c r="STT130" s="118"/>
      <c r="STU130" s="118"/>
      <c r="STV130" s="118"/>
      <c r="STW130" s="118"/>
      <c r="STX130" s="118"/>
      <c r="STY130" s="118"/>
      <c r="STZ130" s="118"/>
      <c r="SUA130" s="118"/>
      <c r="SUB130" s="118"/>
      <c r="SUC130" s="118"/>
      <c r="SUD130" s="118"/>
      <c r="SUE130" s="118"/>
      <c r="SUF130" s="118"/>
      <c r="SUG130" s="118"/>
      <c r="SUH130" s="118"/>
      <c r="SUI130" s="118"/>
      <c r="SUJ130" s="118"/>
      <c r="SUK130" s="118"/>
      <c r="SUL130" s="118"/>
      <c r="SUM130" s="118"/>
      <c r="SUN130" s="118"/>
      <c r="SUO130" s="118"/>
      <c r="SUP130" s="118"/>
      <c r="SUQ130" s="118"/>
      <c r="SUR130" s="118"/>
      <c r="SUS130" s="118"/>
      <c r="SUT130" s="118"/>
      <c r="SUU130" s="118"/>
      <c r="SUV130" s="118"/>
      <c r="SUW130" s="118"/>
      <c r="SUX130" s="118"/>
      <c r="SUY130" s="118"/>
      <c r="SUZ130" s="118"/>
      <c r="SVA130" s="118"/>
      <c r="SVB130" s="118"/>
      <c r="SVC130" s="118"/>
      <c r="SVD130" s="118"/>
      <c r="SVE130" s="118"/>
      <c r="SVF130" s="118"/>
      <c r="SVG130" s="118"/>
      <c r="SVH130" s="118"/>
      <c r="SVI130" s="118"/>
      <c r="SVJ130" s="118"/>
      <c r="SVK130" s="118"/>
      <c r="SVL130" s="118"/>
      <c r="SVM130" s="118"/>
      <c r="SVN130" s="118"/>
      <c r="SVO130" s="118"/>
      <c r="SVP130" s="118"/>
      <c r="SVQ130" s="118"/>
      <c r="SVR130" s="118"/>
      <c r="SVS130" s="118"/>
      <c r="SVT130" s="118"/>
      <c r="SVU130" s="118"/>
      <c r="SVV130" s="118"/>
      <c r="SVW130" s="118"/>
      <c r="SVX130" s="118"/>
      <c r="SVY130" s="118"/>
      <c r="SVZ130" s="118"/>
      <c r="SWA130" s="118"/>
      <c r="SWB130" s="118"/>
      <c r="SWC130" s="118"/>
      <c r="SWD130" s="118"/>
      <c r="SWE130" s="118"/>
      <c r="SWF130" s="118"/>
      <c r="SWG130" s="118"/>
      <c r="SWH130" s="118"/>
      <c r="SWI130" s="118"/>
      <c r="SWJ130" s="118"/>
      <c r="SWK130" s="118"/>
      <c r="SWL130" s="118"/>
      <c r="SWM130" s="118"/>
      <c r="SWN130" s="118"/>
      <c r="SWO130" s="118"/>
      <c r="SWP130" s="118"/>
      <c r="SWQ130" s="118"/>
      <c r="SWR130" s="118"/>
      <c r="SWS130" s="118"/>
      <c r="SWT130" s="118"/>
      <c r="SWU130" s="118"/>
      <c r="SWV130" s="118"/>
      <c r="SWW130" s="118"/>
      <c r="SWX130" s="118"/>
      <c r="SWY130" s="118"/>
      <c r="SWZ130" s="118"/>
      <c r="SXA130" s="118"/>
      <c r="SXB130" s="118"/>
      <c r="SXC130" s="118"/>
      <c r="SXD130" s="118"/>
      <c r="SXE130" s="118"/>
      <c r="SXF130" s="118"/>
      <c r="SXG130" s="118"/>
      <c r="SXH130" s="118"/>
      <c r="SXI130" s="118"/>
      <c r="SXJ130" s="118"/>
      <c r="SXK130" s="118"/>
      <c r="SXL130" s="118"/>
      <c r="SXM130" s="118"/>
      <c r="SXN130" s="118"/>
      <c r="SXO130" s="118"/>
      <c r="SXP130" s="118"/>
      <c r="SXQ130" s="118"/>
      <c r="SXR130" s="118"/>
      <c r="SXS130" s="118"/>
      <c r="SXT130" s="118"/>
      <c r="SXU130" s="118"/>
      <c r="SXV130" s="118"/>
      <c r="SXW130" s="118"/>
      <c r="SXX130" s="118"/>
      <c r="SXY130" s="118"/>
      <c r="SXZ130" s="118"/>
      <c r="SYA130" s="118"/>
      <c r="SYB130" s="118"/>
      <c r="SYC130" s="118"/>
      <c r="SYD130" s="118"/>
      <c r="SYE130" s="118"/>
      <c r="SYF130" s="118"/>
      <c r="SYG130" s="118"/>
      <c r="SYH130" s="118"/>
      <c r="SYI130" s="118"/>
      <c r="SYJ130" s="118"/>
      <c r="SYK130" s="118"/>
      <c r="SYL130" s="118"/>
      <c r="SYM130" s="118"/>
      <c r="SYN130" s="118"/>
      <c r="SYO130" s="118"/>
      <c r="SYP130" s="118"/>
      <c r="SYQ130" s="118"/>
      <c r="SYR130" s="118"/>
      <c r="SYS130" s="118"/>
      <c r="SYT130" s="118"/>
      <c r="SYU130" s="118"/>
      <c r="SYV130" s="118"/>
      <c r="SYW130" s="118"/>
      <c r="SYX130" s="118"/>
      <c r="SYY130" s="118"/>
      <c r="SYZ130" s="118"/>
      <c r="SZA130" s="118"/>
      <c r="SZB130" s="118"/>
      <c r="SZC130" s="118"/>
      <c r="SZD130" s="118"/>
      <c r="SZE130" s="118"/>
      <c r="SZF130" s="118"/>
      <c r="SZG130" s="118"/>
      <c r="SZH130" s="118"/>
      <c r="SZI130" s="118"/>
      <c r="SZJ130" s="118"/>
      <c r="SZK130" s="118"/>
      <c r="SZL130" s="118"/>
      <c r="SZM130" s="118"/>
      <c r="SZN130" s="118"/>
      <c r="SZO130" s="118"/>
      <c r="SZP130" s="118"/>
      <c r="SZQ130" s="118"/>
      <c r="SZR130" s="118"/>
      <c r="SZS130" s="118"/>
      <c r="SZT130" s="118"/>
      <c r="SZU130" s="118"/>
      <c r="SZV130" s="118"/>
      <c r="SZW130" s="118"/>
      <c r="SZX130" s="118"/>
      <c r="SZY130" s="118"/>
      <c r="SZZ130" s="118"/>
      <c r="TAA130" s="118"/>
      <c r="TAB130" s="118"/>
      <c r="TAC130" s="118"/>
      <c r="TAD130" s="118"/>
      <c r="TAE130" s="118"/>
      <c r="TAF130" s="118"/>
      <c r="TAG130" s="118"/>
      <c r="TAH130" s="118"/>
      <c r="TAI130" s="118"/>
      <c r="TAJ130" s="118"/>
      <c r="TAK130" s="118"/>
      <c r="TAL130" s="118"/>
      <c r="TAM130" s="118"/>
      <c r="TAN130" s="118"/>
      <c r="TAO130" s="118"/>
      <c r="TAP130" s="118"/>
      <c r="TAQ130" s="118"/>
      <c r="TAR130" s="118"/>
      <c r="TAS130" s="118"/>
      <c r="TAT130" s="118"/>
      <c r="TAU130" s="118"/>
      <c r="TAV130" s="118"/>
      <c r="TAW130" s="118"/>
      <c r="TAX130" s="118"/>
      <c r="TAY130" s="118"/>
      <c r="TAZ130" s="118"/>
      <c r="TBA130" s="118"/>
      <c r="TBB130" s="118"/>
      <c r="TBC130" s="118"/>
      <c r="TBD130" s="118"/>
      <c r="TBE130" s="118"/>
      <c r="TBF130" s="118"/>
      <c r="TBG130" s="118"/>
      <c r="TBH130" s="118"/>
      <c r="TBI130" s="118"/>
      <c r="TBJ130" s="118"/>
      <c r="TBK130" s="118"/>
      <c r="TBL130" s="118"/>
      <c r="TBM130" s="118"/>
      <c r="TBN130" s="118"/>
      <c r="TBO130" s="118"/>
      <c r="TBP130" s="118"/>
      <c r="TBQ130" s="118"/>
      <c r="TBR130" s="118"/>
      <c r="TBS130" s="118"/>
      <c r="TBT130" s="118"/>
      <c r="TBU130" s="118"/>
      <c r="TBV130" s="118"/>
      <c r="TBW130" s="118"/>
      <c r="TBX130" s="118"/>
      <c r="TBY130" s="118"/>
      <c r="TBZ130" s="118"/>
      <c r="TCA130" s="118"/>
      <c r="TCB130" s="118"/>
      <c r="TCC130" s="118"/>
      <c r="TCD130" s="118"/>
      <c r="TCE130" s="118"/>
      <c r="TCF130" s="118"/>
      <c r="TCG130" s="118"/>
      <c r="TCH130" s="118"/>
      <c r="TCI130" s="118"/>
      <c r="TCJ130" s="118"/>
      <c r="TCK130" s="118"/>
      <c r="TCL130" s="118"/>
      <c r="TCM130" s="118"/>
      <c r="TCN130" s="118"/>
      <c r="TCO130" s="118"/>
      <c r="TCP130" s="118"/>
      <c r="TCQ130" s="118"/>
      <c r="TCR130" s="118"/>
      <c r="TCS130" s="118"/>
      <c r="TCT130" s="118"/>
      <c r="TCU130" s="118"/>
      <c r="TCV130" s="118"/>
      <c r="TCW130" s="118"/>
      <c r="TCX130" s="118"/>
      <c r="TCY130" s="118"/>
      <c r="TCZ130" s="118"/>
      <c r="TDA130" s="118"/>
      <c r="TDB130" s="118"/>
      <c r="TDC130" s="118"/>
      <c r="TDD130" s="118"/>
      <c r="TDE130" s="118"/>
      <c r="TDF130" s="118"/>
      <c r="TDG130" s="118"/>
      <c r="TDH130" s="118"/>
      <c r="TDI130" s="118"/>
      <c r="TDJ130" s="118"/>
      <c r="TDK130" s="118"/>
      <c r="TDL130" s="118"/>
      <c r="TDM130" s="118"/>
      <c r="TDN130" s="118"/>
      <c r="TDO130" s="118"/>
      <c r="TDP130" s="118"/>
      <c r="TDQ130" s="118"/>
      <c r="TDR130" s="118"/>
      <c r="TDS130" s="118"/>
      <c r="TDT130" s="118"/>
      <c r="TDU130" s="118"/>
      <c r="TDV130" s="118"/>
      <c r="TDW130" s="118"/>
      <c r="TDX130" s="118"/>
      <c r="TDY130" s="118"/>
      <c r="TDZ130" s="118"/>
      <c r="TEA130" s="118"/>
      <c r="TEB130" s="118"/>
      <c r="TEC130" s="118"/>
      <c r="TED130" s="118"/>
      <c r="TEE130" s="118"/>
      <c r="TEF130" s="118"/>
      <c r="TEG130" s="118"/>
      <c r="TEH130" s="118"/>
      <c r="TEI130" s="118"/>
      <c r="TEJ130" s="118"/>
      <c r="TEK130" s="118"/>
      <c r="TEL130" s="118"/>
      <c r="TEM130" s="118"/>
      <c r="TEN130" s="118"/>
      <c r="TEO130" s="118"/>
      <c r="TEP130" s="118"/>
      <c r="TEQ130" s="118"/>
      <c r="TER130" s="118"/>
      <c r="TES130" s="118"/>
      <c r="TET130" s="118"/>
      <c r="TEU130" s="118"/>
      <c r="TEV130" s="118"/>
      <c r="TEW130" s="118"/>
      <c r="TEX130" s="118"/>
      <c r="TEY130" s="118"/>
      <c r="TEZ130" s="118"/>
      <c r="TFA130" s="118"/>
      <c r="TFB130" s="118"/>
      <c r="TFC130" s="118"/>
      <c r="TFD130" s="118"/>
      <c r="TFE130" s="118"/>
      <c r="TFF130" s="118"/>
      <c r="TFG130" s="118"/>
      <c r="TFH130" s="118"/>
      <c r="TFI130" s="118"/>
      <c r="TFJ130" s="118"/>
      <c r="TFK130" s="118"/>
      <c r="TFL130" s="118"/>
      <c r="TFM130" s="118"/>
      <c r="TFN130" s="118"/>
      <c r="TFO130" s="118"/>
      <c r="TFP130" s="118"/>
      <c r="TFQ130" s="118"/>
      <c r="TFR130" s="118"/>
      <c r="TFS130" s="118"/>
      <c r="TFT130" s="118"/>
      <c r="TFU130" s="118"/>
      <c r="TFV130" s="118"/>
      <c r="TFW130" s="118"/>
      <c r="TFX130" s="118"/>
      <c r="TFY130" s="118"/>
      <c r="TFZ130" s="118"/>
      <c r="TGA130" s="118"/>
      <c r="TGB130" s="118"/>
      <c r="TGC130" s="118"/>
      <c r="TGD130" s="118"/>
      <c r="TGE130" s="118"/>
      <c r="TGF130" s="118"/>
      <c r="TGG130" s="118"/>
      <c r="TGH130" s="118"/>
      <c r="TGI130" s="118"/>
      <c r="TGJ130" s="118"/>
      <c r="TGK130" s="118"/>
      <c r="TGL130" s="118"/>
      <c r="TGM130" s="118"/>
      <c r="TGN130" s="118"/>
      <c r="TGO130" s="118"/>
      <c r="TGP130" s="118"/>
      <c r="TGQ130" s="118"/>
      <c r="TGR130" s="118"/>
      <c r="TGS130" s="118"/>
      <c r="TGT130" s="118"/>
      <c r="TGU130" s="118"/>
      <c r="TGV130" s="118"/>
      <c r="TGW130" s="118"/>
      <c r="TGX130" s="118"/>
      <c r="TGY130" s="118"/>
      <c r="TGZ130" s="118"/>
      <c r="THA130" s="118"/>
      <c r="THB130" s="118"/>
      <c r="THC130" s="118"/>
      <c r="THD130" s="118"/>
      <c r="THE130" s="118"/>
      <c r="THF130" s="118"/>
      <c r="THG130" s="118"/>
      <c r="THH130" s="118"/>
      <c r="THI130" s="118"/>
      <c r="THJ130" s="118"/>
      <c r="THK130" s="118"/>
      <c r="THL130" s="118"/>
      <c r="THM130" s="118"/>
      <c r="THN130" s="118"/>
      <c r="THO130" s="118"/>
      <c r="THP130" s="118"/>
      <c r="THQ130" s="118"/>
      <c r="THR130" s="118"/>
      <c r="THS130" s="118"/>
      <c r="THT130" s="118"/>
      <c r="THU130" s="118"/>
      <c r="THV130" s="118"/>
      <c r="THW130" s="118"/>
      <c r="THX130" s="118"/>
      <c r="THY130" s="118"/>
      <c r="THZ130" s="118"/>
      <c r="TIA130" s="118"/>
      <c r="TIB130" s="118"/>
      <c r="TIC130" s="118"/>
      <c r="TID130" s="118"/>
      <c r="TIE130" s="118"/>
      <c r="TIF130" s="118"/>
      <c r="TIG130" s="118"/>
      <c r="TIH130" s="118"/>
      <c r="TII130" s="118"/>
      <c r="TIJ130" s="118"/>
      <c r="TIK130" s="118"/>
      <c r="TIL130" s="118"/>
      <c r="TIM130" s="118"/>
      <c r="TIN130" s="118"/>
      <c r="TIO130" s="118"/>
      <c r="TIP130" s="118"/>
      <c r="TIQ130" s="118"/>
      <c r="TIR130" s="118"/>
      <c r="TIS130" s="118"/>
      <c r="TIT130" s="118"/>
      <c r="TIU130" s="118"/>
      <c r="TIV130" s="118"/>
      <c r="TIW130" s="118"/>
      <c r="TIX130" s="118"/>
      <c r="TIY130" s="118"/>
      <c r="TIZ130" s="118"/>
      <c r="TJA130" s="118"/>
      <c r="TJB130" s="118"/>
      <c r="TJC130" s="118"/>
      <c r="TJD130" s="118"/>
      <c r="TJE130" s="118"/>
      <c r="TJF130" s="118"/>
      <c r="TJG130" s="118"/>
      <c r="TJH130" s="118"/>
      <c r="TJI130" s="118"/>
      <c r="TJJ130" s="118"/>
      <c r="TJK130" s="118"/>
      <c r="TJL130" s="118"/>
      <c r="TJM130" s="118"/>
      <c r="TJN130" s="118"/>
      <c r="TJO130" s="118"/>
      <c r="TJP130" s="118"/>
      <c r="TJQ130" s="118"/>
      <c r="TJR130" s="118"/>
      <c r="TJS130" s="118"/>
      <c r="TJT130" s="118"/>
      <c r="TJU130" s="118"/>
      <c r="TJV130" s="118"/>
      <c r="TJW130" s="118"/>
      <c r="TJX130" s="118"/>
      <c r="TJY130" s="118"/>
      <c r="TJZ130" s="118"/>
      <c r="TKA130" s="118"/>
      <c r="TKB130" s="118"/>
      <c r="TKC130" s="118"/>
      <c r="TKD130" s="118"/>
      <c r="TKE130" s="118"/>
      <c r="TKF130" s="118"/>
      <c r="TKG130" s="118"/>
      <c r="TKH130" s="118"/>
      <c r="TKI130" s="118"/>
      <c r="TKJ130" s="118"/>
      <c r="TKK130" s="118"/>
      <c r="TKL130" s="118"/>
      <c r="TKM130" s="118"/>
      <c r="TKN130" s="118"/>
      <c r="TKO130" s="118"/>
      <c r="TKP130" s="118"/>
      <c r="TKQ130" s="118"/>
      <c r="TKR130" s="118"/>
      <c r="TKS130" s="118"/>
      <c r="TKT130" s="118"/>
      <c r="TKU130" s="118"/>
      <c r="TKV130" s="118"/>
      <c r="TKW130" s="118"/>
      <c r="TKX130" s="118"/>
      <c r="TKY130" s="118"/>
      <c r="TKZ130" s="118"/>
      <c r="TLA130" s="118"/>
      <c r="TLB130" s="118"/>
      <c r="TLC130" s="118"/>
      <c r="TLD130" s="118"/>
      <c r="TLE130" s="118"/>
      <c r="TLF130" s="118"/>
      <c r="TLG130" s="118"/>
      <c r="TLH130" s="118"/>
      <c r="TLI130" s="118"/>
      <c r="TLJ130" s="118"/>
      <c r="TLK130" s="118"/>
      <c r="TLL130" s="118"/>
      <c r="TLM130" s="118"/>
      <c r="TLN130" s="118"/>
      <c r="TLO130" s="118"/>
      <c r="TLP130" s="118"/>
      <c r="TLQ130" s="118"/>
      <c r="TLR130" s="118"/>
      <c r="TLS130" s="118"/>
      <c r="TLT130" s="118"/>
      <c r="TLU130" s="118"/>
      <c r="TLV130" s="118"/>
      <c r="TLW130" s="118"/>
      <c r="TLX130" s="118"/>
      <c r="TLY130" s="118"/>
      <c r="TLZ130" s="118"/>
      <c r="TMA130" s="118"/>
      <c r="TMB130" s="118"/>
      <c r="TMC130" s="118"/>
      <c r="TMD130" s="118"/>
      <c r="TME130" s="118"/>
      <c r="TMF130" s="118"/>
      <c r="TMG130" s="118"/>
      <c r="TMH130" s="118"/>
      <c r="TMI130" s="118"/>
      <c r="TMJ130" s="118"/>
      <c r="TMK130" s="118"/>
      <c r="TML130" s="118"/>
      <c r="TMM130" s="118"/>
      <c r="TMN130" s="118"/>
      <c r="TMO130" s="118"/>
      <c r="TMP130" s="118"/>
      <c r="TMQ130" s="118"/>
      <c r="TMR130" s="118"/>
      <c r="TMS130" s="118"/>
      <c r="TMT130" s="118"/>
      <c r="TMU130" s="118"/>
      <c r="TMV130" s="118"/>
      <c r="TMW130" s="118"/>
      <c r="TMX130" s="118"/>
      <c r="TMY130" s="118"/>
      <c r="TMZ130" s="118"/>
      <c r="TNA130" s="118"/>
      <c r="TNB130" s="118"/>
      <c r="TNC130" s="118"/>
      <c r="TND130" s="118"/>
      <c r="TNE130" s="118"/>
      <c r="TNF130" s="118"/>
      <c r="TNG130" s="118"/>
      <c r="TNH130" s="118"/>
      <c r="TNI130" s="118"/>
      <c r="TNJ130" s="118"/>
      <c r="TNK130" s="118"/>
      <c r="TNL130" s="118"/>
      <c r="TNM130" s="118"/>
      <c r="TNN130" s="118"/>
      <c r="TNO130" s="118"/>
      <c r="TNP130" s="118"/>
      <c r="TNQ130" s="118"/>
      <c r="TNR130" s="118"/>
      <c r="TNS130" s="118"/>
      <c r="TNT130" s="118"/>
      <c r="TNU130" s="118"/>
      <c r="TNV130" s="118"/>
      <c r="TNW130" s="118"/>
      <c r="TNX130" s="118"/>
      <c r="TNY130" s="118"/>
      <c r="TNZ130" s="118"/>
      <c r="TOA130" s="118"/>
      <c r="TOB130" s="118"/>
      <c r="TOC130" s="118"/>
      <c r="TOD130" s="118"/>
      <c r="TOE130" s="118"/>
      <c r="TOF130" s="118"/>
      <c r="TOG130" s="118"/>
      <c r="TOH130" s="118"/>
      <c r="TOI130" s="118"/>
      <c r="TOJ130" s="118"/>
      <c r="TOK130" s="118"/>
      <c r="TOL130" s="118"/>
      <c r="TOM130" s="118"/>
      <c r="TON130" s="118"/>
      <c r="TOO130" s="118"/>
      <c r="TOP130" s="118"/>
      <c r="TOQ130" s="118"/>
      <c r="TOR130" s="118"/>
      <c r="TOS130" s="118"/>
      <c r="TOT130" s="118"/>
      <c r="TOU130" s="118"/>
      <c r="TOV130" s="118"/>
      <c r="TOW130" s="118"/>
      <c r="TOX130" s="118"/>
      <c r="TOY130" s="118"/>
      <c r="TOZ130" s="118"/>
      <c r="TPA130" s="118"/>
      <c r="TPB130" s="118"/>
      <c r="TPC130" s="118"/>
      <c r="TPD130" s="118"/>
      <c r="TPE130" s="118"/>
      <c r="TPF130" s="118"/>
      <c r="TPG130" s="118"/>
      <c r="TPH130" s="118"/>
      <c r="TPI130" s="118"/>
      <c r="TPJ130" s="118"/>
      <c r="TPK130" s="118"/>
      <c r="TPL130" s="118"/>
      <c r="TPM130" s="118"/>
      <c r="TPN130" s="118"/>
      <c r="TPO130" s="118"/>
      <c r="TPP130" s="118"/>
      <c r="TPQ130" s="118"/>
      <c r="TPR130" s="118"/>
      <c r="TPS130" s="118"/>
      <c r="TPT130" s="118"/>
      <c r="TPU130" s="118"/>
      <c r="TPV130" s="118"/>
      <c r="TPW130" s="118"/>
      <c r="TPX130" s="118"/>
      <c r="TPY130" s="118"/>
      <c r="TPZ130" s="118"/>
      <c r="TQA130" s="118"/>
      <c r="TQB130" s="118"/>
      <c r="TQC130" s="118"/>
      <c r="TQD130" s="118"/>
      <c r="TQE130" s="118"/>
      <c r="TQF130" s="118"/>
      <c r="TQG130" s="118"/>
      <c r="TQH130" s="118"/>
      <c r="TQI130" s="118"/>
      <c r="TQJ130" s="118"/>
      <c r="TQK130" s="118"/>
      <c r="TQL130" s="118"/>
      <c r="TQM130" s="118"/>
      <c r="TQN130" s="118"/>
      <c r="TQO130" s="118"/>
      <c r="TQP130" s="118"/>
      <c r="TQQ130" s="118"/>
      <c r="TQR130" s="118"/>
      <c r="TQS130" s="118"/>
      <c r="TQT130" s="118"/>
      <c r="TQU130" s="118"/>
      <c r="TQV130" s="118"/>
      <c r="TQW130" s="118"/>
      <c r="TQX130" s="118"/>
      <c r="TQY130" s="118"/>
      <c r="TQZ130" s="118"/>
      <c r="TRA130" s="118"/>
      <c r="TRB130" s="118"/>
      <c r="TRC130" s="118"/>
      <c r="TRD130" s="118"/>
      <c r="TRE130" s="118"/>
      <c r="TRF130" s="118"/>
      <c r="TRG130" s="118"/>
      <c r="TRH130" s="118"/>
      <c r="TRI130" s="118"/>
      <c r="TRJ130" s="118"/>
      <c r="TRK130" s="118"/>
      <c r="TRL130" s="118"/>
      <c r="TRM130" s="118"/>
      <c r="TRN130" s="118"/>
      <c r="TRO130" s="118"/>
      <c r="TRP130" s="118"/>
      <c r="TRQ130" s="118"/>
      <c r="TRR130" s="118"/>
      <c r="TRS130" s="118"/>
      <c r="TRT130" s="118"/>
      <c r="TRU130" s="118"/>
      <c r="TRV130" s="118"/>
      <c r="TRW130" s="118"/>
      <c r="TRX130" s="118"/>
      <c r="TRY130" s="118"/>
      <c r="TRZ130" s="118"/>
      <c r="TSA130" s="118"/>
      <c r="TSB130" s="118"/>
      <c r="TSC130" s="118"/>
      <c r="TSD130" s="118"/>
      <c r="TSE130" s="118"/>
      <c r="TSF130" s="118"/>
      <c r="TSG130" s="118"/>
      <c r="TSH130" s="118"/>
      <c r="TSI130" s="118"/>
      <c r="TSJ130" s="118"/>
      <c r="TSK130" s="118"/>
      <c r="TSL130" s="118"/>
      <c r="TSM130" s="118"/>
      <c r="TSN130" s="118"/>
      <c r="TSO130" s="118"/>
      <c r="TSP130" s="118"/>
      <c r="TSQ130" s="118"/>
      <c r="TSR130" s="118"/>
      <c r="TSS130" s="118"/>
      <c r="TST130" s="118"/>
      <c r="TSU130" s="118"/>
      <c r="TSV130" s="118"/>
      <c r="TSW130" s="118"/>
      <c r="TSX130" s="118"/>
      <c r="TSY130" s="118"/>
      <c r="TSZ130" s="118"/>
      <c r="TTA130" s="118"/>
      <c r="TTB130" s="118"/>
      <c r="TTC130" s="118"/>
      <c r="TTD130" s="118"/>
      <c r="TTE130" s="118"/>
      <c r="TTF130" s="118"/>
      <c r="TTG130" s="118"/>
      <c r="TTH130" s="118"/>
      <c r="TTI130" s="118"/>
      <c r="TTJ130" s="118"/>
      <c r="TTK130" s="118"/>
      <c r="TTL130" s="118"/>
      <c r="TTM130" s="118"/>
      <c r="TTN130" s="118"/>
      <c r="TTO130" s="118"/>
      <c r="TTP130" s="118"/>
      <c r="TTQ130" s="118"/>
      <c r="TTR130" s="118"/>
      <c r="TTS130" s="118"/>
      <c r="TTT130" s="118"/>
      <c r="TTU130" s="118"/>
      <c r="TTV130" s="118"/>
      <c r="TTW130" s="118"/>
      <c r="TTX130" s="118"/>
      <c r="TTY130" s="118"/>
      <c r="TTZ130" s="118"/>
      <c r="TUA130" s="118"/>
      <c r="TUB130" s="118"/>
      <c r="TUC130" s="118"/>
      <c r="TUD130" s="118"/>
      <c r="TUE130" s="118"/>
      <c r="TUF130" s="118"/>
      <c r="TUG130" s="118"/>
      <c r="TUH130" s="118"/>
      <c r="TUI130" s="118"/>
      <c r="TUJ130" s="118"/>
      <c r="TUK130" s="118"/>
      <c r="TUL130" s="118"/>
      <c r="TUM130" s="118"/>
      <c r="TUN130" s="118"/>
      <c r="TUO130" s="118"/>
      <c r="TUP130" s="118"/>
      <c r="TUQ130" s="118"/>
      <c r="TUR130" s="118"/>
      <c r="TUS130" s="118"/>
      <c r="TUT130" s="118"/>
      <c r="TUU130" s="118"/>
      <c r="TUV130" s="118"/>
      <c r="TUW130" s="118"/>
      <c r="TUX130" s="118"/>
      <c r="TUY130" s="118"/>
      <c r="TUZ130" s="118"/>
      <c r="TVA130" s="118"/>
      <c r="TVB130" s="118"/>
      <c r="TVC130" s="118"/>
      <c r="TVD130" s="118"/>
      <c r="TVE130" s="118"/>
      <c r="TVF130" s="118"/>
      <c r="TVG130" s="118"/>
      <c r="TVH130" s="118"/>
      <c r="TVI130" s="118"/>
      <c r="TVJ130" s="118"/>
      <c r="TVK130" s="118"/>
      <c r="TVL130" s="118"/>
      <c r="TVM130" s="118"/>
      <c r="TVN130" s="118"/>
      <c r="TVO130" s="118"/>
      <c r="TVP130" s="118"/>
      <c r="TVQ130" s="118"/>
      <c r="TVR130" s="118"/>
      <c r="TVS130" s="118"/>
      <c r="TVT130" s="118"/>
      <c r="TVU130" s="118"/>
      <c r="TVV130" s="118"/>
      <c r="TVW130" s="118"/>
      <c r="TVX130" s="118"/>
      <c r="TVY130" s="118"/>
      <c r="TVZ130" s="118"/>
      <c r="TWA130" s="118"/>
      <c r="TWB130" s="118"/>
      <c r="TWC130" s="118"/>
      <c r="TWD130" s="118"/>
      <c r="TWE130" s="118"/>
      <c r="TWF130" s="118"/>
      <c r="TWG130" s="118"/>
      <c r="TWH130" s="118"/>
      <c r="TWI130" s="118"/>
      <c r="TWJ130" s="118"/>
      <c r="TWK130" s="118"/>
      <c r="TWL130" s="118"/>
      <c r="TWM130" s="118"/>
      <c r="TWN130" s="118"/>
      <c r="TWO130" s="118"/>
      <c r="TWP130" s="118"/>
      <c r="TWQ130" s="118"/>
      <c r="TWR130" s="118"/>
      <c r="TWS130" s="118"/>
      <c r="TWT130" s="118"/>
      <c r="TWU130" s="118"/>
      <c r="TWV130" s="118"/>
      <c r="TWW130" s="118"/>
      <c r="TWX130" s="118"/>
      <c r="TWY130" s="118"/>
      <c r="TWZ130" s="118"/>
      <c r="TXA130" s="118"/>
      <c r="TXB130" s="118"/>
      <c r="TXC130" s="118"/>
      <c r="TXD130" s="118"/>
      <c r="TXE130" s="118"/>
      <c r="TXF130" s="118"/>
      <c r="TXG130" s="118"/>
      <c r="TXH130" s="118"/>
      <c r="TXI130" s="118"/>
      <c r="TXJ130" s="118"/>
      <c r="TXK130" s="118"/>
      <c r="TXL130" s="118"/>
      <c r="TXM130" s="118"/>
      <c r="TXN130" s="118"/>
      <c r="TXO130" s="118"/>
      <c r="TXP130" s="118"/>
      <c r="TXQ130" s="118"/>
      <c r="TXR130" s="118"/>
      <c r="TXS130" s="118"/>
      <c r="TXT130" s="118"/>
      <c r="TXU130" s="118"/>
      <c r="TXV130" s="118"/>
      <c r="TXW130" s="118"/>
      <c r="TXX130" s="118"/>
      <c r="TXY130" s="118"/>
      <c r="TXZ130" s="118"/>
      <c r="TYA130" s="118"/>
      <c r="TYB130" s="118"/>
      <c r="TYC130" s="118"/>
      <c r="TYD130" s="118"/>
      <c r="TYE130" s="118"/>
      <c r="TYF130" s="118"/>
      <c r="TYG130" s="118"/>
      <c r="TYH130" s="118"/>
      <c r="TYI130" s="118"/>
      <c r="TYJ130" s="118"/>
      <c r="TYK130" s="118"/>
      <c r="TYL130" s="118"/>
      <c r="TYM130" s="118"/>
      <c r="TYN130" s="118"/>
      <c r="TYO130" s="118"/>
      <c r="TYP130" s="118"/>
      <c r="TYQ130" s="118"/>
      <c r="TYR130" s="118"/>
      <c r="TYS130" s="118"/>
      <c r="TYT130" s="118"/>
      <c r="TYU130" s="118"/>
      <c r="TYV130" s="118"/>
      <c r="TYW130" s="118"/>
      <c r="TYX130" s="118"/>
      <c r="TYY130" s="118"/>
      <c r="TYZ130" s="118"/>
      <c r="TZA130" s="118"/>
      <c r="TZB130" s="118"/>
      <c r="TZC130" s="118"/>
      <c r="TZD130" s="118"/>
      <c r="TZE130" s="118"/>
      <c r="TZF130" s="118"/>
      <c r="TZG130" s="118"/>
      <c r="TZH130" s="118"/>
      <c r="TZI130" s="118"/>
      <c r="TZJ130" s="118"/>
      <c r="TZK130" s="118"/>
      <c r="TZL130" s="118"/>
      <c r="TZM130" s="118"/>
      <c r="TZN130" s="118"/>
      <c r="TZO130" s="118"/>
      <c r="TZP130" s="118"/>
      <c r="TZQ130" s="118"/>
      <c r="TZR130" s="118"/>
      <c r="TZS130" s="118"/>
      <c r="TZT130" s="118"/>
      <c r="TZU130" s="118"/>
      <c r="TZV130" s="118"/>
      <c r="TZW130" s="118"/>
      <c r="TZX130" s="118"/>
      <c r="TZY130" s="118"/>
      <c r="TZZ130" s="118"/>
      <c r="UAA130" s="118"/>
      <c r="UAB130" s="118"/>
      <c r="UAC130" s="118"/>
      <c r="UAD130" s="118"/>
      <c r="UAE130" s="118"/>
      <c r="UAF130" s="118"/>
      <c r="UAG130" s="118"/>
      <c r="UAH130" s="118"/>
      <c r="UAI130" s="118"/>
      <c r="UAJ130" s="118"/>
      <c r="UAK130" s="118"/>
      <c r="UAL130" s="118"/>
      <c r="UAM130" s="118"/>
      <c r="UAN130" s="118"/>
      <c r="UAO130" s="118"/>
      <c r="UAP130" s="118"/>
      <c r="UAQ130" s="118"/>
      <c r="UAR130" s="118"/>
      <c r="UAS130" s="118"/>
      <c r="UAT130" s="118"/>
      <c r="UAU130" s="118"/>
      <c r="UAV130" s="118"/>
      <c r="UAW130" s="118"/>
      <c r="UAX130" s="118"/>
      <c r="UAY130" s="118"/>
      <c r="UAZ130" s="118"/>
      <c r="UBA130" s="118"/>
      <c r="UBB130" s="118"/>
      <c r="UBC130" s="118"/>
      <c r="UBD130" s="118"/>
      <c r="UBE130" s="118"/>
      <c r="UBF130" s="118"/>
      <c r="UBG130" s="118"/>
      <c r="UBH130" s="118"/>
      <c r="UBI130" s="118"/>
      <c r="UBJ130" s="118"/>
      <c r="UBK130" s="118"/>
      <c r="UBL130" s="118"/>
      <c r="UBM130" s="118"/>
      <c r="UBN130" s="118"/>
      <c r="UBO130" s="118"/>
      <c r="UBP130" s="118"/>
      <c r="UBQ130" s="118"/>
      <c r="UBR130" s="118"/>
      <c r="UBS130" s="118"/>
      <c r="UBT130" s="118"/>
      <c r="UBU130" s="118"/>
      <c r="UBV130" s="118"/>
      <c r="UBW130" s="118"/>
      <c r="UBX130" s="118"/>
      <c r="UBY130" s="118"/>
      <c r="UBZ130" s="118"/>
      <c r="UCA130" s="118"/>
      <c r="UCB130" s="118"/>
      <c r="UCC130" s="118"/>
      <c r="UCD130" s="118"/>
      <c r="UCE130" s="118"/>
      <c r="UCF130" s="118"/>
      <c r="UCG130" s="118"/>
      <c r="UCH130" s="118"/>
      <c r="UCI130" s="118"/>
      <c r="UCJ130" s="118"/>
      <c r="UCK130" s="118"/>
      <c r="UCL130" s="118"/>
      <c r="UCM130" s="118"/>
      <c r="UCN130" s="118"/>
      <c r="UCO130" s="118"/>
      <c r="UCP130" s="118"/>
      <c r="UCQ130" s="118"/>
      <c r="UCR130" s="118"/>
      <c r="UCS130" s="118"/>
      <c r="UCT130" s="118"/>
      <c r="UCU130" s="118"/>
      <c r="UCV130" s="118"/>
      <c r="UCW130" s="118"/>
      <c r="UCX130" s="118"/>
      <c r="UCY130" s="118"/>
      <c r="UCZ130" s="118"/>
      <c r="UDA130" s="118"/>
      <c r="UDB130" s="118"/>
      <c r="UDC130" s="118"/>
      <c r="UDD130" s="118"/>
      <c r="UDE130" s="118"/>
      <c r="UDF130" s="118"/>
      <c r="UDG130" s="118"/>
      <c r="UDH130" s="118"/>
      <c r="UDI130" s="118"/>
      <c r="UDJ130" s="118"/>
      <c r="UDK130" s="118"/>
      <c r="UDL130" s="118"/>
      <c r="UDM130" s="118"/>
      <c r="UDN130" s="118"/>
      <c r="UDO130" s="118"/>
      <c r="UDP130" s="118"/>
      <c r="UDQ130" s="118"/>
      <c r="UDR130" s="118"/>
      <c r="UDS130" s="118"/>
      <c r="UDT130" s="118"/>
      <c r="UDU130" s="118"/>
      <c r="UDV130" s="118"/>
      <c r="UDW130" s="118"/>
      <c r="UDX130" s="118"/>
      <c r="UDY130" s="118"/>
      <c r="UDZ130" s="118"/>
      <c r="UEA130" s="118"/>
      <c r="UEB130" s="118"/>
      <c r="UEC130" s="118"/>
      <c r="UED130" s="118"/>
      <c r="UEE130" s="118"/>
      <c r="UEF130" s="118"/>
      <c r="UEG130" s="118"/>
      <c r="UEH130" s="118"/>
      <c r="UEI130" s="118"/>
      <c r="UEJ130" s="118"/>
      <c r="UEK130" s="118"/>
      <c r="UEL130" s="118"/>
      <c r="UEM130" s="118"/>
      <c r="UEN130" s="118"/>
      <c r="UEO130" s="118"/>
      <c r="UEP130" s="118"/>
      <c r="UEQ130" s="118"/>
      <c r="UER130" s="118"/>
      <c r="UES130" s="118"/>
      <c r="UET130" s="118"/>
      <c r="UEU130" s="118"/>
      <c r="UEV130" s="118"/>
      <c r="UEW130" s="118"/>
      <c r="UEX130" s="118"/>
      <c r="UEY130" s="118"/>
      <c r="UEZ130" s="118"/>
      <c r="UFA130" s="118"/>
      <c r="UFB130" s="118"/>
      <c r="UFC130" s="118"/>
      <c r="UFD130" s="118"/>
      <c r="UFE130" s="118"/>
      <c r="UFF130" s="118"/>
      <c r="UFG130" s="118"/>
      <c r="UFH130" s="118"/>
      <c r="UFI130" s="118"/>
      <c r="UFJ130" s="118"/>
      <c r="UFK130" s="118"/>
      <c r="UFL130" s="118"/>
      <c r="UFM130" s="118"/>
      <c r="UFN130" s="118"/>
      <c r="UFO130" s="118"/>
      <c r="UFP130" s="118"/>
      <c r="UFQ130" s="118"/>
      <c r="UFR130" s="118"/>
      <c r="UFS130" s="118"/>
      <c r="UFT130" s="118"/>
      <c r="UFU130" s="118"/>
      <c r="UFV130" s="118"/>
      <c r="UFW130" s="118"/>
      <c r="UFX130" s="118"/>
      <c r="UFY130" s="118"/>
      <c r="UFZ130" s="118"/>
      <c r="UGA130" s="118"/>
      <c r="UGB130" s="118"/>
      <c r="UGC130" s="118"/>
      <c r="UGD130" s="118"/>
      <c r="UGE130" s="118"/>
      <c r="UGF130" s="118"/>
      <c r="UGG130" s="118"/>
      <c r="UGH130" s="118"/>
      <c r="UGI130" s="118"/>
      <c r="UGJ130" s="118"/>
      <c r="UGK130" s="118"/>
      <c r="UGL130" s="118"/>
      <c r="UGM130" s="118"/>
      <c r="UGN130" s="118"/>
      <c r="UGO130" s="118"/>
      <c r="UGP130" s="118"/>
      <c r="UGQ130" s="118"/>
      <c r="UGR130" s="118"/>
      <c r="UGS130" s="118"/>
      <c r="UGT130" s="118"/>
      <c r="UGU130" s="118"/>
      <c r="UGV130" s="118"/>
      <c r="UGW130" s="118"/>
      <c r="UGX130" s="118"/>
      <c r="UGY130" s="118"/>
      <c r="UGZ130" s="118"/>
      <c r="UHA130" s="118"/>
      <c r="UHB130" s="118"/>
      <c r="UHC130" s="118"/>
      <c r="UHD130" s="118"/>
      <c r="UHE130" s="118"/>
      <c r="UHF130" s="118"/>
      <c r="UHG130" s="118"/>
      <c r="UHH130" s="118"/>
      <c r="UHI130" s="118"/>
      <c r="UHJ130" s="118"/>
      <c r="UHK130" s="118"/>
      <c r="UHL130" s="118"/>
      <c r="UHM130" s="118"/>
      <c r="UHN130" s="118"/>
      <c r="UHO130" s="118"/>
      <c r="UHP130" s="118"/>
      <c r="UHQ130" s="118"/>
      <c r="UHR130" s="118"/>
      <c r="UHS130" s="118"/>
      <c r="UHT130" s="118"/>
      <c r="UHU130" s="118"/>
      <c r="UHV130" s="118"/>
      <c r="UHW130" s="118"/>
      <c r="UHX130" s="118"/>
      <c r="UHY130" s="118"/>
      <c r="UHZ130" s="118"/>
      <c r="UIA130" s="118"/>
      <c r="UIB130" s="118"/>
      <c r="UIC130" s="118"/>
      <c r="UID130" s="118"/>
      <c r="UIE130" s="118"/>
      <c r="UIF130" s="118"/>
      <c r="UIG130" s="118"/>
      <c r="UIH130" s="118"/>
      <c r="UII130" s="118"/>
      <c r="UIJ130" s="118"/>
      <c r="UIK130" s="118"/>
      <c r="UIL130" s="118"/>
      <c r="UIM130" s="118"/>
      <c r="UIN130" s="118"/>
      <c r="UIO130" s="118"/>
      <c r="UIP130" s="118"/>
      <c r="UIQ130" s="118"/>
      <c r="UIR130" s="118"/>
      <c r="UIS130" s="118"/>
      <c r="UIT130" s="118"/>
      <c r="UIU130" s="118"/>
      <c r="UIV130" s="118"/>
      <c r="UIW130" s="118"/>
      <c r="UIX130" s="118"/>
      <c r="UIY130" s="118"/>
      <c r="UIZ130" s="118"/>
      <c r="UJA130" s="118"/>
      <c r="UJB130" s="118"/>
      <c r="UJC130" s="118"/>
      <c r="UJD130" s="118"/>
      <c r="UJE130" s="118"/>
      <c r="UJF130" s="118"/>
      <c r="UJG130" s="118"/>
      <c r="UJH130" s="118"/>
      <c r="UJI130" s="118"/>
      <c r="UJJ130" s="118"/>
      <c r="UJK130" s="118"/>
      <c r="UJL130" s="118"/>
      <c r="UJM130" s="118"/>
      <c r="UJN130" s="118"/>
      <c r="UJO130" s="118"/>
      <c r="UJP130" s="118"/>
      <c r="UJQ130" s="118"/>
      <c r="UJR130" s="118"/>
      <c r="UJS130" s="118"/>
      <c r="UJT130" s="118"/>
      <c r="UJU130" s="118"/>
      <c r="UJV130" s="118"/>
      <c r="UJW130" s="118"/>
      <c r="UJX130" s="118"/>
      <c r="UJY130" s="118"/>
      <c r="UJZ130" s="118"/>
      <c r="UKA130" s="118"/>
      <c r="UKB130" s="118"/>
      <c r="UKC130" s="118"/>
      <c r="UKD130" s="118"/>
      <c r="UKE130" s="118"/>
      <c r="UKF130" s="118"/>
      <c r="UKG130" s="118"/>
      <c r="UKH130" s="118"/>
      <c r="UKI130" s="118"/>
      <c r="UKJ130" s="118"/>
      <c r="UKK130" s="118"/>
      <c r="UKL130" s="118"/>
      <c r="UKM130" s="118"/>
      <c r="UKN130" s="118"/>
      <c r="UKO130" s="118"/>
      <c r="UKP130" s="118"/>
      <c r="UKQ130" s="118"/>
      <c r="UKR130" s="118"/>
      <c r="UKS130" s="118"/>
      <c r="UKT130" s="118"/>
      <c r="UKU130" s="118"/>
      <c r="UKV130" s="118"/>
      <c r="UKW130" s="118"/>
      <c r="UKX130" s="118"/>
      <c r="UKY130" s="118"/>
      <c r="UKZ130" s="118"/>
      <c r="ULA130" s="118"/>
      <c r="ULB130" s="118"/>
      <c r="ULC130" s="118"/>
      <c r="ULD130" s="118"/>
      <c r="ULE130" s="118"/>
      <c r="ULF130" s="118"/>
      <c r="ULG130" s="118"/>
      <c r="ULH130" s="118"/>
      <c r="ULI130" s="118"/>
      <c r="ULJ130" s="118"/>
      <c r="ULK130" s="118"/>
      <c r="ULL130" s="118"/>
      <c r="ULM130" s="118"/>
      <c r="ULN130" s="118"/>
      <c r="ULO130" s="118"/>
      <c r="ULP130" s="118"/>
      <c r="ULQ130" s="118"/>
      <c r="ULR130" s="118"/>
      <c r="ULS130" s="118"/>
      <c r="ULT130" s="118"/>
      <c r="ULU130" s="118"/>
      <c r="ULV130" s="118"/>
      <c r="ULW130" s="118"/>
      <c r="ULX130" s="118"/>
      <c r="ULY130" s="118"/>
      <c r="ULZ130" s="118"/>
      <c r="UMA130" s="118"/>
      <c r="UMB130" s="118"/>
      <c r="UMC130" s="118"/>
      <c r="UMD130" s="118"/>
      <c r="UME130" s="118"/>
      <c r="UMF130" s="118"/>
      <c r="UMG130" s="118"/>
      <c r="UMH130" s="118"/>
      <c r="UMI130" s="118"/>
      <c r="UMJ130" s="118"/>
      <c r="UMK130" s="118"/>
      <c r="UML130" s="118"/>
      <c r="UMM130" s="118"/>
      <c r="UMN130" s="118"/>
      <c r="UMO130" s="118"/>
      <c r="UMP130" s="118"/>
      <c r="UMQ130" s="118"/>
      <c r="UMR130" s="118"/>
      <c r="UMS130" s="118"/>
      <c r="UMT130" s="118"/>
      <c r="UMU130" s="118"/>
      <c r="UMV130" s="118"/>
      <c r="UMW130" s="118"/>
      <c r="UMX130" s="118"/>
      <c r="UMY130" s="118"/>
      <c r="UMZ130" s="118"/>
      <c r="UNA130" s="118"/>
      <c r="UNB130" s="118"/>
      <c r="UNC130" s="118"/>
      <c r="UND130" s="118"/>
      <c r="UNE130" s="118"/>
      <c r="UNF130" s="118"/>
      <c r="UNG130" s="118"/>
      <c r="UNH130" s="118"/>
      <c r="UNI130" s="118"/>
      <c r="UNJ130" s="118"/>
      <c r="UNK130" s="118"/>
      <c r="UNL130" s="118"/>
      <c r="UNM130" s="118"/>
      <c r="UNN130" s="118"/>
      <c r="UNO130" s="118"/>
      <c r="UNP130" s="118"/>
      <c r="UNQ130" s="118"/>
      <c r="UNR130" s="118"/>
      <c r="UNS130" s="118"/>
      <c r="UNT130" s="118"/>
      <c r="UNU130" s="118"/>
      <c r="UNV130" s="118"/>
      <c r="UNW130" s="118"/>
      <c r="UNX130" s="118"/>
      <c r="UNY130" s="118"/>
      <c r="UNZ130" s="118"/>
      <c r="UOA130" s="118"/>
      <c r="UOB130" s="118"/>
      <c r="UOC130" s="118"/>
      <c r="UOD130" s="118"/>
      <c r="UOE130" s="118"/>
      <c r="UOF130" s="118"/>
      <c r="UOG130" s="118"/>
      <c r="UOH130" s="118"/>
      <c r="UOI130" s="118"/>
      <c r="UOJ130" s="118"/>
      <c r="UOK130" s="118"/>
      <c r="UOL130" s="118"/>
      <c r="UOM130" s="118"/>
      <c r="UON130" s="118"/>
      <c r="UOO130" s="118"/>
      <c r="UOP130" s="118"/>
      <c r="UOQ130" s="118"/>
      <c r="UOR130" s="118"/>
      <c r="UOS130" s="118"/>
      <c r="UOT130" s="118"/>
      <c r="UOU130" s="118"/>
      <c r="UOV130" s="118"/>
      <c r="UOW130" s="118"/>
      <c r="UOX130" s="118"/>
      <c r="UOY130" s="118"/>
      <c r="UOZ130" s="118"/>
      <c r="UPA130" s="118"/>
      <c r="UPB130" s="118"/>
      <c r="UPC130" s="118"/>
      <c r="UPD130" s="118"/>
      <c r="UPE130" s="118"/>
      <c r="UPF130" s="118"/>
      <c r="UPG130" s="118"/>
      <c r="UPH130" s="118"/>
      <c r="UPI130" s="118"/>
      <c r="UPJ130" s="118"/>
      <c r="UPK130" s="118"/>
      <c r="UPL130" s="118"/>
      <c r="UPM130" s="118"/>
      <c r="UPN130" s="118"/>
      <c r="UPO130" s="118"/>
      <c r="UPP130" s="118"/>
      <c r="UPQ130" s="118"/>
      <c r="UPR130" s="118"/>
      <c r="UPS130" s="118"/>
      <c r="UPT130" s="118"/>
      <c r="UPU130" s="118"/>
      <c r="UPV130" s="118"/>
      <c r="UPW130" s="118"/>
      <c r="UPX130" s="118"/>
      <c r="UPY130" s="118"/>
      <c r="UPZ130" s="118"/>
      <c r="UQA130" s="118"/>
      <c r="UQB130" s="118"/>
      <c r="UQC130" s="118"/>
      <c r="UQD130" s="118"/>
      <c r="UQE130" s="118"/>
      <c r="UQF130" s="118"/>
      <c r="UQG130" s="118"/>
      <c r="UQH130" s="118"/>
      <c r="UQI130" s="118"/>
      <c r="UQJ130" s="118"/>
      <c r="UQK130" s="118"/>
      <c r="UQL130" s="118"/>
      <c r="UQM130" s="118"/>
      <c r="UQN130" s="118"/>
      <c r="UQO130" s="118"/>
      <c r="UQP130" s="118"/>
      <c r="UQQ130" s="118"/>
      <c r="UQR130" s="118"/>
      <c r="UQS130" s="118"/>
      <c r="UQT130" s="118"/>
      <c r="UQU130" s="118"/>
      <c r="UQV130" s="118"/>
      <c r="UQW130" s="118"/>
      <c r="UQX130" s="118"/>
      <c r="UQY130" s="118"/>
      <c r="UQZ130" s="118"/>
      <c r="URA130" s="118"/>
      <c r="URB130" s="118"/>
      <c r="URC130" s="118"/>
      <c r="URD130" s="118"/>
      <c r="URE130" s="118"/>
      <c r="URF130" s="118"/>
      <c r="URG130" s="118"/>
      <c r="URH130" s="118"/>
      <c r="URI130" s="118"/>
      <c r="URJ130" s="118"/>
      <c r="URK130" s="118"/>
      <c r="URL130" s="118"/>
      <c r="URM130" s="118"/>
      <c r="URN130" s="118"/>
      <c r="URO130" s="118"/>
      <c r="URP130" s="118"/>
      <c r="URQ130" s="118"/>
      <c r="URR130" s="118"/>
      <c r="URS130" s="118"/>
      <c r="URT130" s="118"/>
      <c r="URU130" s="118"/>
      <c r="URV130" s="118"/>
      <c r="URW130" s="118"/>
      <c r="URX130" s="118"/>
      <c r="URY130" s="118"/>
      <c r="URZ130" s="118"/>
      <c r="USA130" s="118"/>
      <c r="USB130" s="118"/>
      <c r="USC130" s="118"/>
      <c r="USD130" s="118"/>
      <c r="USE130" s="118"/>
      <c r="USF130" s="118"/>
      <c r="USG130" s="118"/>
      <c r="USH130" s="118"/>
      <c r="USI130" s="118"/>
      <c r="USJ130" s="118"/>
      <c r="USK130" s="118"/>
      <c r="USL130" s="118"/>
      <c r="USM130" s="118"/>
      <c r="USN130" s="118"/>
      <c r="USO130" s="118"/>
      <c r="USP130" s="118"/>
      <c r="USQ130" s="118"/>
      <c r="USR130" s="118"/>
      <c r="USS130" s="118"/>
      <c r="UST130" s="118"/>
      <c r="USU130" s="118"/>
      <c r="USV130" s="118"/>
      <c r="USW130" s="118"/>
      <c r="USX130" s="118"/>
      <c r="USY130" s="118"/>
      <c r="USZ130" s="118"/>
      <c r="UTA130" s="118"/>
      <c r="UTB130" s="118"/>
      <c r="UTC130" s="118"/>
      <c r="UTD130" s="118"/>
      <c r="UTE130" s="118"/>
      <c r="UTF130" s="118"/>
      <c r="UTG130" s="118"/>
      <c r="UTH130" s="118"/>
      <c r="UTI130" s="118"/>
      <c r="UTJ130" s="118"/>
      <c r="UTK130" s="118"/>
      <c r="UTL130" s="118"/>
      <c r="UTM130" s="118"/>
      <c r="UTN130" s="118"/>
      <c r="UTO130" s="118"/>
      <c r="UTP130" s="118"/>
      <c r="UTQ130" s="118"/>
      <c r="UTR130" s="118"/>
      <c r="UTS130" s="118"/>
      <c r="UTT130" s="118"/>
      <c r="UTU130" s="118"/>
      <c r="UTV130" s="118"/>
      <c r="UTW130" s="118"/>
      <c r="UTX130" s="118"/>
      <c r="UTY130" s="118"/>
      <c r="UTZ130" s="118"/>
      <c r="UUA130" s="118"/>
      <c r="UUB130" s="118"/>
      <c r="UUC130" s="118"/>
      <c r="UUD130" s="118"/>
      <c r="UUE130" s="118"/>
      <c r="UUF130" s="118"/>
      <c r="UUG130" s="118"/>
      <c r="UUH130" s="118"/>
      <c r="UUI130" s="118"/>
      <c r="UUJ130" s="118"/>
      <c r="UUK130" s="118"/>
      <c r="UUL130" s="118"/>
      <c r="UUM130" s="118"/>
      <c r="UUN130" s="118"/>
      <c r="UUO130" s="118"/>
      <c r="UUP130" s="118"/>
      <c r="UUQ130" s="118"/>
      <c r="UUR130" s="118"/>
      <c r="UUS130" s="118"/>
      <c r="UUT130" s="118"/>
      <c r="UUU130" s="118"/>
      <c r="UUV130" s="118"/>
      <c r="UUW130" s="118"/>
      <c r="UUX130" s="118"/>
      <c r="UUY130" s="118"/>
      <c r="UUZ130" s="118"/>
      <c r="UVA130" s="118"/>
      <c r="UVB130" s="118"/>
      <c r="UVC130" s="118"/>
      <c r="UVD130" s="118"/>
      <c r="UVE130" s="118"/>
      <c r="UVF130" s="118"/>
      <c r="UVG130" s="118"/>
      <c r="UVH130" s="118"/>
      <c r="UVI130" s="118"/>
      <c r="UVJ130" s="118"/>
      <c r="UVK130" s="118"/>
      <c r="UVL130" s="118"/>
      <c r="UVM130" s="118"/>
      <c r="UVN130" s="118"/>
      <c r="UVO130" s="118"/>
      <c r="UVP130" s="118"/>
      <c r="UVQ130" s="118"/>
      <c r="UVR130" s="118"/>
      <c r="UVS130" s="118"/>
      <c r="UVT130" s="118"/>
      <c r="UVU130" s="118"/>
      <c r="UVV130" s="118"/>
      <c r="UVW130" s="118"/>
      <c r="UVX130" s="118"/>
      <c r="UVY130" s="118"/>
      <c r="UVZ130" s="118"/>
      <c r="UWA130" s="118"/>
      <c r="UWB130" s="118"/>
      <c r="UWC130" s="118"/>
      <c r="UWD130" s="118"/>
      <c r="UWE130" s="118"/>
      <c r="UWF130" s="118"/>
      <c r="UWG130" s="118"/>
      <c r="UWH130" s="118"/>
      <c r="UWI130" s="118"/>
      <c r="UWJ130" s="118"/>
      <c r="UWK130" s="118"/>
      <c r="UWL130" s="118"/>
      <c r="UWM130" s="118"/>
      <c r="UWN130" s="118"/>
      <c r="UWO130" s="118"/>
      <c r="UWP130" s="118"/>
      <c r="UWQ130" s="118"/>
      <c r="UWR130" s="118"/>
      <c r="UWS130" s="118"/>
      <c r="UWT130" s="118"/>
      <c r="UWU130" s="118"/>
      <c r="UWV130" s="118"/>
      <c r="UWW130" s="118"/>
      <c r="UWX130" s="118"/>
      <c r="UWY130" s="118"/>
      <c r="UWZ130" s="118"/>
      <c r="UXA130" s="118"/>
      <c r="UXB130" s="118"/>
      <c r="UXC130" s="118"/>
      <c r="UXD130" s="118"/>
      <c r="UXE130" s="118"/>
      <c r="UXF130" s="118"/>
      <c r="UXG130" s="118"/>
      <c r="UXH130" s="118"/>
      <c r="UXI130" s="118"/>
      <c r="UXJ130" s="118"/>
      <c r="UXK130" s="118"/>
      <c r="UXL130" s="118"/>
      <c r="UXM130" s="118"/>
      <c r="UXN130" s="118"/>
      <c r="UXO130" s="118"/>
      <c r="UXP130" s="118"/>
      <c r="UXQ130" s="118"/>
      <c r="UXR130" s="118"/>
      <c r="UXS130" s="118"/>
      <c r="UXT130" s="118"/>
      <c r="UXU130" s="118"/>
      <c r="UXV130" s="118"/>
      <c r="UXW130" s="118"/>
      <c r="UXX130" s="118"/>
      <c r="UXY130" s="118"/>
      <c r="UXZ130" s="118"/>
      <c r="UYA130" s="118"/>
      <c r="UYB130" s="118"/>
      <c r="UYC130" s="118"/>
      <c r="UYD130" s="118"/>
      <c r="UYE130" s="118"/>
      <c r="UYF130" s="118"/>
      <c r="UYG130" s="118"/>
      <c r="UYH130" s="118"/>
      <c r="UYI130" s="118"/>
      <c r="UYJ130" s="118"/>
      <c r="UYK130" s="118"/>
      <c r="UYL130" s="118"/>
      <c r="UYM130" s="118"/>
      <c r="UYN130" s="118"/>
      <c r="UYO130" s="118"/>
      <c r="UYP130" s="118"/>
      <c r="UYQ130" s="118"/>
      <c r="UYR130" s="118"/>
      <c r="UYS130" s="118"/>
      <c r="UYT130" s="118"/>
      <c r="UYU130" s="118"/>
      <c r="UYV130" s="118"/>
      <c r="UYW130" s="118"/>
      <c r="UYX130" s="118"/>
      <c r="UYY130" s="118"/>
      <c r="UYZ130" s="118"/>
      <c r="UZA130" s="118"/>
      <c r="UZB130" s="118"/>
      <c r="UZC130" s="118"/>
      <c r="UZD130" s="118"/>
      <c r="UZE130" s="118"/>
      <c r="UZF130" s="118"/>
      <c r="UZG130" s="118"/>
      <c r="UZH130" s="118"/>
      <c r="UZI130" s="118"/>
      <c r="UZJ130" s="118"/>
      <c r="UZK130" s="118"/>
      <c r="UZL130" s="118"/>
      <c r="UZM130" s="118"/>
      <c r="UZN130" s="118"/>
      <c r="UZO130" s="118"/>
      <c r="UZP130" s="118"/>
      <c r="UZQ130" s="118"/>
      <c r="UZR130" s="118"/>
      <c r="UZS130" s="118"/>
      <c r="UZT130" s="118"/>
      <c r="UZU130" s="118"/>
      <c r="UZV130" s="118"/>
      <c r="UZW130" s="118"/>
      <c r="UZX130" s="118"/>
      <c r="UZY130" s="118"/>
      <c r="UZZ130" s="118"/>
      <c r="VAA130" s="118"/>
      <c r="VAB130" s="118"/>
      <c r="VAC130" s="118"/>
      <c r="VAD130" s="118"/>
      <c r="VAE130" s="118"/>
      <c r="VAF130" s="118"/>
      <c r="VAG130" s="118"/>
      <c r="VAH130" s="118"/>
      <c r="VAI130" s="118"/>
      <c r="VAJ130" s="118"/>
      <c r="VAK130" s="118"/>
      <c r="VAL130" s="118"/>
      <c r="VAM130" s="118"/>
      <c r="VAN130" s="118"/>
      <c r="VAO130" s="118"/>
      <c r="VAP130" s="118"/>
      <c r="VAQ130" s="118"/>
      <c r="VAR130" s="118"/>
      <c r="VAS130" s="118"/>
      <c r="VAT130" s="118"/>
      <c r="VAU130" s="118"/>
      <c r="VAV130" s="118"/>
      <c r="VAW130" s="118"/>
      <c r="VAX130" s="118"/>
      <c r="VAY130" s="118"/>
      <c r="VAZ130" s="118"/>
      <c r="VBA130" s="118"/>
      <c r="VBB130" s="118"/>
      <c r="VBC130" s="118"/>
      <c r="VBD130" s="118"/>
      <c r="VBE130" s="118"/>
      <c r="VBF130" s="118"/>
      <c r="VBG130" s="118"/>
      <c r="VBH130" s="118"/>
      <c r="VBI130" s="118"/>
      <c r="VBJ130" s="118"/>
      <c r="VBK130" s="118"/>
      <c r="VBL130" s="118"/>
      <c r="VBM130" s="118"/>
      <c r="VBN130" s="118"/>
      <c r="VBO130" s="118"/>
      <c r="VBP130" s="118"/>
      <c r="VBQ130" s="118"/>
      <c r="VBR130" s="118"/>
      <c r="VBS130" s="118"/>
      <c r="VBT130" s="118"/>
      <c r="VBU130" s="118"/>
      <c r="VBV130" s="118"/>
      <c r="VBW130" s="118"/>
      <c r="VBX130" s="118"/>
      <c r="VBY130" s="118"/>
      <c r="VBZ130" s="118"/>
      <c r="VCA130" s="118"/>
      <c r="VCB130" s="118"/>
      <c r="VCC130" s="118"/>
      <c r="VCD130" s="118"/>
      <c r="VCE130" s="118"/>
      <c r="VCF130" s="118"/>
      <c r="VCG130" s="118"/>
      <c r="VCH130" s="118"/>
      <c r="VCI130" s="118"/>
      <c r="VCJ130" s="118"/>
      <c r="VCK130" s="118"/>
      <c r="VCL130" s="118"/>
      <c r="VCM130" s="118"/>
      <c r="VCN130" s="118"/>
      <c r="VCO130" s="118"/>
      <c r="VCP130" s="118"/>
      <c r="VCQ130" s="118"/>
      <c r="VCR130" s="118"/>
      <c r="VCS130" s="118"/>
      <c r="VCT130" s="118"/>
      <c r="VCU130" s="118"/>
      <c r="VCV130" s="118"/>
      <c r="VCW130" s="118"/>
      <c r="VCX130" s="118"/>
      <c r="VCY130" s="118"/>
      <c r="VCZ130" s="118"/>
      <c r="VDA130" s="118"/>
      <c r="VDB130" s="118"/>
      <c r="VDC130" s="118"/>
      <c r="VDD130" s="118"/>
      <c r="VDE130" s="118"/>
      <c r="VDF130" s="118"/>
      <c r="VDG130" s="118"/>
      <c r="VDH130" s="118"/>
      <c r="VDI130" s="118"/>
      <c r="VDJ130" s="118"/>
      <c r="VDK130" s="118"/>
      <c r="VDL130" s="118"/>
      <c r="VDM130" s="118"/>
      <c r="VDN130" s="118"/>
      <c r="VDO130" s="118"/>
      <c r="VDP130" s="118"/>
      <c r="VDQ130" s="118"/>
      <c r="VDR130" s="118"/>
      <c r="VDS130" s="118"/>
      <c r="VDT130" s="118"/>
      <c r="VDU130" s="118"/>
      <c r="VDV130" s="118"/>
      <c r="VDW130" s="118"/>
      <c r="VDX130" s="118"/>
      <c r="VDY130" s="118"/>
      <c r="VDZ130" s="118"/>
      <c r="VEA130" s="118"/>
      <c r="VEB130" s="118"/>
      <c r="VEC130" s="118"/>
      <c r="VED130" s="118"/>
      <c r="VEE130" s="118"/>
      <c r="VEF130" s="118"/>
      <c r="VEG130" s="118"/>
      <c r="VEH130" s="118"/>
      <c r="VEI130" s="118"/>
      <c r="VEJ130" s="118"/>
      <c r="VEK130" s="118"/>
      <c r="VEL130" s="118"/>
      <c r="VEM130" s="118"/>
      <c r="VEN130" s="118"/>
      <c r="VEO130" s="118"/>
      <c r="VEP130" s="118"/>
      <c r="VEQ130" s="118"/>
      <c r="VER130" s="118"/>
      <c r="VES130" s="118"/>
      <c r="VET130" s="118"/>
      <c r="VEU130" s="118"/>
      <c r="VEV130" s="118"/>
      <c r="VEW130" s="118"/>
      <c r="VEX130" s="118"/>
      <c r="VEY130" s="118"/>
      <c r="VEZ130" s="118"/>
      <c r="VFA130" s="118"/>
      <c r="VFB130" s="118"/>
      <c r="VFC130" s="118"/>
      <c r="VFD130" s="118"/>
      <c r="VFE130" s="118"/>
      <c r="VFF130" s="118"/>
      <c r="VFG130" s="118"/>
      <c r="VFH130" s="118"/>
      <c r="VFI130" s="118"/>
      <c r="VFJ130" s="118"/>
      <c r="VFK130" s="118"/>
      <c r="VFL130" s="118"/>
      <c r="VFM130" s="118"/>
      <c r="VFN130" s="118"/>
      <c r="VFO130" s="118"/>
      <c r="VFP130" s="118"/>
      <c r="VFQ130" s="118"/>
      <c r="VFR130" s="118"/>
      <c r="VFS130" s="118"/>
      <c r="VFT130" s="118"/>
      <c r="VFU130" s="118"/>
      <c r="VFV130" s="118"/>
      <c r="VFW130" s="118"/>
      <c r="VFX130" s="118"/>
      <c r="VFY130" s="118"/>
      <c r="VFZ130" s="118"/>
      <c r="VGA130" s="118"/>
      <c r="VGB130" s="118"/>
      <c r="VGC130" s="118"/>
      <c r="VGD130" s="118"/>
      <c r="VGE130" s="118"/>
      <c r="VGF130" s="118"/>
      <c r="VGG130" s="118"/>
      <c r="VGH130" s="118"/>
      <c r="VGI130" s="118"/>
      <c r="VGJ130" s="118"/>
      <c r="VGK130" s="118"/>
      <c r="VGL130" s="118"/>
      <c r="VGM130" s="118"/>
      <c r="VGN130" s="118"/>
      <c r="VGO130" s="118"/>
      <c r="VGP130" s="118"/>
      <c r="VGQ130" s="118"/>
      <c r="VGR130" s="118"/>
      <c r="VGS130" s="118"/>
      <c r="VGT130" s="118"/>
      <c r="VGU130" s="118"/>
      <c r="VGV130" s="118"/>
      <c r="VGW130" s="118"/>
      <c r="VGX130" s="118"/>
      <c r="VGY130" s="118"/>
      <c r="VGZ130" s="118"/>
      <c r="VHA130" s="118"/>
      <c r="VHB130" s="118"/>
      <c r="VHC130" s="118"/>
      <c r="VHD130" s="118"/>
      <c r="VHE130" s="118"/>
      <c r="VHF130" s="118"/>
      <c r="VHG130" s="118"/>
      <c r="VHH130" s="118"/>
      <c r="VHI130" s="118"/>
      <c r="VHJ130" s="118"/>
      <c r="VHK130" s="118"/>
      <c r="VHL130" s="118"/>
      <c r="VHM130" s="118"/>
      <c r="VHN130" s="118"/>
      <c r="VHO130" s="118"/>
      <c r="VHP130" s="118"/>
      <c r="VHQ130" s="118"/>
      <c r="VHR130" s="118"/>
      <c r="VHS130" s="118"/>
      <c r="VHT130" s="118"/>
      <c r="VHU130" s="118"/>
      <c r="VHV130" s="118"/>
      <c r="VHW130" s="118"/>
      <c r="VHX130" s="118"/>
      <c r="VHY130" s="118"/>
      <c r="VHZ130" s="118"/>
      <c r="VIA130" s="118"/>
      <c r="VIB130" s="118"/>
      <c r="VIC130" s="118"/>
      <c r="VID130" s="118"/>
      <c r="VIE130" s="118"/>
      <c r="VIF130" s="118"/>
      <c r="VIG130" s="118"/>
      <c r="VIH130" s="118"/>
      <c r="VII130" s="118"/>
      <c r="VIJ130" s="118"/>
      <c r="VIK130" s="118"/>
      <c r="VIL130" s="118"/>
      <c r="VIM130" s="118"/>
      <c r="VIN130" s="118"/>
      <c r="VIO130" s="118"/>
      <c r="VIP130" s="118"/>
      <c r="VIQ130" s="118"/>
      <c r="VIR130" s="118"/>
      <c r="VIS130" s="118"/>
      <c r="VIT130" s="118"/>
      <c r="VIU130" s="118"/>
      <c r="VIV130" s="118"/>
      <c r="VIW130" s="118"/>
      <c r="VIX130" s="118"/>
      <c r="VIY130" s="118"/>
      <c r="VIZ130" s="118"/>
      <c r="VJA130" s="118"/>
      <c r="VJB130" s="118"/>
      <c r="VJC130" s="118"/>
      <c r="VJD130" s="118"/>
      <c r="VJE130" s="118"/>
      <c r="VJF130" s="118"/>
      <c r="VJG130" s="118"/>
      <c r="VJH130" s="118"/>
      <c r="VJI130" s="118"/>
      <c r="VJJ130" s="118"/>
      <c r="VJK130" s="118"/>
      <c r="VJL130" s="118"/>
      <c r="VJM130" s="118"/>
      <c r="VJN130" s="118"/>
      <c r="VJO130" s="118"/>
      <c r="VJP130" s="118"/>
      <c r="VJQ130" s="118"/>
      <c r="VJR130" s="118"/>
      <c r="VJS130" s="118"/>
      <c r="VJT130" s="118"/>
      <c r="VJU130" s="118"/>
      <c r="VJV130" s="118"/>
      <c r="VJW130" s="118"/>
      <c r="VJX130" s="118"/>
      <c r="VJY130" s="118"/>
      <c r="VJZ130" s="118"/>
      <c r="VKA130" s="118"/>
      <c r="VKB130" s="118"/>
      <c r="VKC130" s="118"/>
      <c r="VKD130" s="118"/>
      <c r="VKE130" s="118"/>
      <c r="VKF130" s="118"/>
      <c r="VKG130" s="118"/>
      <c r="VKH130" s="118"/>
      <c r="VKI130" s="118"/>
      <c r="VKJ130" s="118"/>
      <c r="VKK130" s="118"/>
      <c r="VKL130" s="118"/>
      <c r="VKM130" s="118"/>
      <c r="VKN130" s="118"/>
      <c r="VKO130" s="118"/>
      <c r="VKP130" s="118"/>
      <c r="VKQ130" s="118"/>
      <c r="VKR130" s="118"/>
      <c r="VKS130" s="118"/>
      <c r="VKT130" s="118"/>
      <c r="VKU130" s="118"/>
      <c r="VKV130" s="118"/>
      <c r="VKW130" s="118"/>
      <c r="VKX130" s="118"/>
      <c r="VKY130" s="118"/>
      <c r="VKZ130" s="118"/>
      <c r="VLA130" s="118"/>
      <c r="VLB130" s="118"/>
      <c r="VLC130" s="118"/>
      <c r="VLD130" s="118"/>
      <c r="VLE130" s="118"/>
      <c r="VLF130" s="118"/>
      <c r="VLG130" s="118"/>
      <c r="VLH130" s="118"/>
      <c r="VLI130" s="118"/>
      <c r="VLJ130" s="118"/>
      <c r="VLK130" s="118"/>
      <c r="VLL130" s="118"/>
      <c r="VLM130" s="118"/>
      <c r="VLN130" s="118"/>
      <c r="VLO130" s="118"/>
      <c r="VLP130" s="118"/>
      <c r="VLQ130" s="118"/>
      <c r="VLR130" s="118"/>
      <c r="VLS130" s="118"/>
      <c r="VLT130" s="118"/>
      <c r="VLU130" s="118"/>
      <c r="VLV130" s="118"/>
      <c r="VLW130" s="118"/>
      <c r="VLX130" s="118"/>
      <c r="VLY130" s="118"/>
      <c r="VLZ130" s="118"/>
      <c r="VMA130" s="118"/>
      <c r="VMB130" s="118"/>
      <c r="VMC130" s="118"/>
      <c r="VMD130" s="118"/>
      <c r="VME130" s="118"/>
      <c r="VMF130" s="118"/>
      <c r="VMG130" s="118"/>
      <c r="VMH130" s="118"/>
      <c r="VMI130" s="118"/>
      <c r="VMJ130" s="118"/>
      <c r="VMK130" s="118"/>
      <c r="VML130" s="118"/>
      <c r="VMM130" s="118"/>
      <c r="VMN130" s="118"/>
      <c r="VMO130" s="118"/>
      <c r="VMP130" s="118"/>
      <c r="VMQ130" s="118"/>
      <c r="VMR130" s="118"/>
      <c r="VMS130" s="118"/>
      <c r="VMT130" s="118"/>
      <c r="VMU130" s="118"/>
      <c r="VMV130" s="118"/>
      <c r="VMW130" s="118"/>
      <c r="VMX130" s="118"/>
      <c r="VMY130" s="118"/>
      <c r="VMZ130" s="118"/>
      <c r="VNA130" s="118"/>
      <c r="VNB130" s="118"/>
      <c r="VNC130" s="118"/>
      <c r="VND130" s="118"/>
      <c r="VNE130" s="118"/>
      <c r="VNF130" s="118"/>
      <c r="VNG130" s="118"/>
      <c r="VNH130" s="118"/>
      <c r="VNI130" s="118"/>
      <c r="VNJ130" s="118"/>
      <c r="VNK130" s="118"/>
      <c r="VNL130" s="118"/>
      <c r="VNM130" s="118"/>
      <c r="VNN130" s="118"/>
      <c r="VNO130" s="118"/>
      <c r="VNP130" s="118"/>
      <c r="VNQ130" s="118"/>
      <c r="VNR130" s="118"/>
      <c r="VNS130" s="118"/>
      <c r="VNT130" s="118"/>
      <c r="VNU130" s="118"/>
      <c r="VNV130" s="118"/>
      <c r="VNW130" s="118"/>
      <c r="VNX130" s="118"/>
      <c r="VNY130" s="118"/>
      <c r="VNZ130" s="118"/>
      <c r="VOA130" s="118"/>
      <c r="VOB130" s="118"/>
      <c r="VOC130" s="118"/>
      <c r="VOD130" s="118"/>
      <c r="VOE130" s="118"/>
      <c r="VOF130" s="118"/>
      <c r="VOG130" s="118"/>
      <c r="VOH130" s="118"/>
      <c r="VOI130" s="118"/>
      <c r="VOJ130" s="118"/>
      <c r="VOK130" s="118"/>
      <c r="VOL130" s="118"/>
      <c r="VOM130" s="118"/>
      <c r="VON130" s="118"/>
      <c r="VOO130" s="118"/>
      <c r="VOP130" s="118"/>
      <c r="VOQ130" s="118"/>
      <c r="VOR130" s="118"/>
      <c r="VOS130" s="118"/>
      <c r="VOT130" s="118"/>
      <c r="VOU130" s="118"/>
      <c r="VOV130" s="118"/>
      <c r="VOW130" s="118"/>
      <c r="VOX130" s="118"/>
      <c r="VOY130" s="118"/>
      <c r="VOZ130" s="118"/>
      <c r="VPA130" s="118"/>
      <c r="VPB130" s="118"/>
      <c r="VPC130" s="118"/>
      <c r="VPD130" s="118"/>
      <c r="VPE130" s="118"/>
      <c r="VPF130" s="118"/>
      <c r="VPG130" s="118"/>
      <c r="VPH130" s="118"/>
      <c r="VPI130" s="118"/>
      <c r="VPJ130" s="118"/>
      <c r="VPK130" s="118"/>
      <c r="VPL130" s="118"/>
      <c r="VPM130" s="118"/>
      <c r="VPN130" s="118"/>
      <c r="VPO130" s="118"/>
      <c r="VPP130" s="118"/>
      <c r="VPQ130" s="118"/>
      <c r="VPR130" s="118"/>
      <c r="VPS130" s="118"/>
      <c r="VPT130" s="118"/>
      <c r="VPU130" s="118"/>
      <c r="VPV130" s="118"/>
      <c r="VPW130" s="118"/>
      <c r="VPX130" s="118"/>
      <c r="VPY130" s="118"/>
      <c r="VPZ130" s="118"/>
      <c r="VQA130" s="118"/>
      <c r="VQB130" s="118"/>
      <c r="VQC130" s="118"/>
      <c r="VQD130" s="118"/>
      <c r="VQE130" s="118"/>
      <c r="VQF130" s="118"/>
      <c r="VQG130" s="118"/>
      <c r="VQH130" s="118"/>
      <c r="VQI130" s="118"/>
      <c r="VQJ130" s="118"/>
      <c r="VQK130" s="118"/>
      <c r="VQL130" s="118"/>
      <c r="VQM130" s="118"/>
      <c r="VQN130" s="118"/>
      <c r="VQO130" s="118"/>
      <c r="VQP130" s="118"/>
      <c r="VQQ130" s="118"/>
      <c r="VQR130" s="118"/>
      <c r="VQS130" s="118"/>
      <c r="VQT130" s="118"/>
      <c r="VQU130" s="118"/>
      <c r="VQV130" s="118"/>
      <c r="VQW130" s="118"/>
      <c r="VQX130" s="118"/>
      <c r="VQY130" s="118"/>
      <c r="VQZ130" s="118"/>
      <c r="VRA130" s="118"/>
      <c r="VRB130" s="118"/>
      <c r="VRC130" s="118"/>
      <c r="VRD130" s="118"/>
      <c r="VRE130" s="118"/>
      <c r="VRF130" s="118"/>
      <c r="VRG130" s="118"/>
      <c r="VRH130" s="118"/>
      <c r="VRI130" s="118"/>
      <c r="VRJ130" s="118"/>
      <c r="VRK130" s="118"/>
      <c r="VRL130" s="118"/>
      <c r="VRM130" s="118"/>
      <c r="VRN130" s="118"/>
      <c r="VRO130" s="118"/>
      <c r="VRP130" s="118"/>
      <c r="VRQ130" s="118"/>
      <c r="VRR130" s="118"/>
      <c r="VRS130" s="118"/>
      <c r="VRT130" s="118"/>
      <c r="VRU130" s="118"/>
      <c r="VRV130" s="118"/>
      <c r="VRW130" s="118"/>
      <c r="VRX130" s="118"/>
      <c r="VRY130" s="118"/>
      <c r="VRZ130" s="118"/>
      <c r="VSA130" s="118"/>
      <c r="VSB130" s="118"/>
      <c r="VSC130" s="118"/>
      <c r="VSD130" s="118"/>
      <c r="VSE130" s="118"/>
      <c r="VSF130" s="118"/>
      <c r="VSG130" s="118"/>
      <c r="VSH130" s="118"/>
      <c r="VSI130" s="118"/>
      <c r="VSJ130" s="118"/>
      <c r="VSK130" s="118"/>
      <c r="VSL130" s="118"/>
      <c r="VSM130" s="118"/>
      <c r="VSN130" s="118"/>
      <c r="VSO130" s="118"/>
      <c r="VSP130" s="118"/>
      <c r="VSQ130" s="118"/>
      <c r="VSR130" s="118"/>
      <c r="VSS130" s="118"/>
      <c r="VST130" s="118"/>
      <c r="VSU130" s="118"/>
      <c r="VSV130" s="118"/>
      <c r="VSW130" s="118"/>
      <c r="VSX130" s="118"/>
      <c r="VSY130" s="118"/>
      <c r="VSZ130" s="118"/>
      <c r="VTA130" s="118"/>
      <c r="VTB130" s="118"/>
      <c r="VTC130" s="118"/>
      <c r="VTD130" s="118"/>
      <c r="VTE130" s="118"/>
      <c r="VTF130" s="118"/>
      <c r="VTG130" s="118"/>
      <c r="VTH130" s="118"/>
      <c r="VTI130" s="118"/>
      <c r="VTJ130" s="118"/>
      <c r="VTK130" s="118"/>
      <c r="VTL130" s="118"/>
      <c r="VTM130" s="118"/>
      <c r="VTN130" s="118"/>
      <c r="VTO130" s="118"/>
      <c r="VTP130" s="118"/>
      <c r="VTQ130" s="118"/>
      <c r="VTR130" s="118"/>
      <c r="VTS130" s="118"/>
      <c r="VTT130" s="118"/>
      <c r="VTU130" s="118"/>
      <c r="VTV130" s="118"/>
      <c r="VTW130" s="118"/>
      <c r="VTX130" s="118"/>
      <c r="VTY130" s="118"/>
      <c r="VTZ130" s="118"/>
      <c r="VUA130" s="118"/>
      <c r="VUB130" s="118"/>
      <c r="VUC130" s="118"/>
      <c r="VUD130" s="118"/>
      <c r="VUE130" s="118"/>
      <c r="VUF130" s="118"/>
      <c r="VUG130" s="118"/>
      <c r="VUH130" s="118"/>
      <c r="VUI130" s="118"/>
      <c r="VUJ130" s="118"/>
      <c r="VUK130" s="118"/>
      <c r="VUL130" s="118"/>
      <c r="VUM130" s="118"/>
      <c r="VUN130" s="118"/>
      <c r="VUO130" s="118"/>
      <c r="VUP130" s="118"/>
      <c r="VUQ130" s="118"/>
      <c r="VUR130" s="118"/>
      <c r="VUS130" s="118"/>
      <c r="VUT130" s="118"/>
      <c r="VUU130" s="118"/>
      <c r="VUV130" s="118"/>
      <c r="VUW130" s="118"/>
      <c r="VUX130" s="118"/>
      <c r="VUY130" s="118"/>
      <c r="VUZ130" s="118"/>
      <c r="VVA130" s="118"/>
      <c r="VVB130" s="118"/>
      <c r="VVC130" s="118"/>
      <c r="VVD130" s="118"/>
      <c r="VVE130" s="118"/>
      <c r="VVF130" s="118"/>
      <c r="VVG130" s="118"/>
      <c r="VVH130" s="118"/>
      <c r="VVI130" s="118"/>
      <c r="VVJ130" s="118"/>
      <c r="VVK130" s="118"/>
      <c r="VVL130" s="118"/>
      <c r="VVM130" s="118"/>
      <c r="VVN130" s="118"/>
      <c r="VVO130" s="118"/>
      <c r="VVP130" s="118"/>
      <c r="VVQ130" s="118"/>
      <c r="VVR130" s="118"/>
      <c r="VVS130" s="118"/>
      <c r="VVT130" s="118"/>
      <c r="VVU130" s="118"/>
      <c r="VVV130" s="118"/>
      <c r="VVW130" s="118"/>
      <c r="VVX130" s="118"/>
      <c r="VVY130" s="118"/>
      <c r="VVZ130" s="118"/>
      <c r="VWA130" s="118"/>
      <c r="VWB130" s="118"/>
      <c r="VWC130" s="118"/>
      <c r="VWD130" s="118"/>
      <c r="VWE130" s="118"/>
      <c r="VWF130" s="118"/>
      <c r="VWG130" s="118"/>
      <c r="VWH130" s="118"/>
      <c r="VWI130" s="118"/>
      <c r="VWJ130" s="118"/>
      <c r="VWK130" s="118"/>
      <c r="VWL130" s="118"/>
      <c r="VWM130" s="118"/>
      <c r="VWN130" s="118"/>
      <c r="VWO130" s="118"/>
      <c r="VWP130" s="118"/>
      <c r="VWQ130" s="118"/>
      <c r="VWR130" s="118"/>
      <c r="VWS130" s="118"/>
      <c r="VWT130" s="118"/>
      <c r="VWU130" s="118"/>
      <c r="VWV130" s="118"/>
      <c r="VWW130" s="118"/>
      <c r="VWX130" s="118"/>
      <c r="VWY130" s="118"/>
      <c r="VWZ130" s="118"/>
      <c r="VXA130" s="118"/>
      <c r="VXB130" s="118"/>
      <c r="VXC130" s="118"/>
      <c r="VXD130" s="118"/>
      <c r="VXE130" s="118"/>
      <c r="VXF130" s="118"/>
      <c r="VXG130" s="118"/>
      <c r="VXH130" s="118"/>
      <c r="VXI130" s="118"/>
      <c r="VXJ130" s="118"/>
      <c r="VXK130" s="118"/>
      <c r="VXL130" s="118"/>
      <c r="VXM130" s="118"/>
      <c r="VXN130" s="118"/>
      <c r="VXO130" s="118"/>
      <c r="VXP130" s="118"/>
      <c r="VXQ130" s="118"/>
      <c r="VXR130" s="118"/>
      <c r="VXS130" s="118"/>
      <c r="VXT130" s="118"/>
      <c r="VXU130" s="118"/>
      <c r="VXV130" s="118"/>
      <c r="VXW130" s="118"/>
      <c r="VXX130" s="118"/>
      <c r="VXY130" s="118"/>
      <c r="VXZ130" s="118"/>
      <c r="VYA130" s="118"/>
      <c r="VYB130" s="118"/>
      <c r="VYC130" s="118"/>
      <c r="VYD130" s="118"/>
      <c r="VYE130" s="118"/>
      <c r="VYF130" s="118"/>
      <c r="VYG130" s="118"/>
      <c r="VYH130" s="118"/>
      <c r="VYI130" s="118"/>
      <c r="VYJ130" s="118"/>
      <c r="VYK130" s="118"/>
      <c r="VYL130" s="118"/>
      <c r="VYM130" s="118"/>
      <c r="VYN130" s="118"/>
      <c r="VYO130" s="118"/>
      <c r="VYP130" s="118"/>
      <c r="VYQ130" s="118"/>
      <c r="VYR130" s="118"/>
      <c r="VYS130" s="118"/>
      <c r="VYT130" s="118"/>
      <c r="VYU130" s="118"/>
      <c r="VYV130" s="118"/>
      <c r="VYW130" s="118"/>
      <c r="VYX130" s="118"/>
      <c r="VYY130" s="118"/>
      <c r="VYZ130" s="118"/>
      <c r="VZA130" s="118"/>
      <c r="VZB130" s="118"/>
      <c r="VZC130" s="118"/>
      <c r="VZD130" s="118"/>
      <c r="VZE130" s="118"/>
      <c r="VZF130" s="118"/>
      <c r="VZG130" s="118"/>
      <c r="VZH130" s="118"/>
      <c r="VZI130" s="118"/>
      <c r="VZJ130" s="118"/>
      <c r="VZK130" s="118"/>
      <c r="VZL130" s="118"/>
      <c r="VZM130" s="118"/>
      <c r="VZN130" s="118"/>
      <c r="VZO130" s="118"/>
      <c r="VZP130" s="118"/>
      <c r="VZQ130" s="118"/>
      <c r="VZR130" s="118"/>
      <c r="VZS130" s="118"/>
      <c r="VZT130" s="118"/>
      <c r="VZU130" s="118"/>
      <c r="VZV130" s="118"/>
      <c r="VZW130" s="118"/>
      <c r="VZX130" s="118"/>
      <c r="VZY130" s="118"/>
      <c r="VZZ130" s="118"/>
      <c r="WAA130" s="118"/>
      <c r="WAB130" s="118"/>
      <c r="WAC130" s="118"/>
      <c r="WAD130" s="118"/>
      <c r="WAE130" s="118"/>
      <c r="WAF130" s="118"/>
      <c r="WAG130" s="118"/>
      <c r="WAH130" s="118"/>
      <c r="WAI130" s="118"/>
      <c r="WAJ130" s="118"/>
      <c r="WAK130" s="118"/>
      <c r="WAL130" s="118"/>
      <c r="WAM130" s="118"/>
      <c r="WAN130" s="118"/>
      <c r="WAO130" s="118"/>
      <c r="WAP130" s="118"/>
      <c r="WAQ130" s="118"/>
      <c r="WAR130" s="118"/>
      <c r="WAS130" s="118"/>
      <c r="WAT130" s="118"/>
      <c r="WAU130" s="118"/>
      <c r="WAV130" s="118"/>
      <c r="WAW130" s="118"/>
      <c r="WAX130" s="118"/>
      <c r="WAY130" s="118"/>
      <c r="WAZ130" s="118"/>
      <c r="WBA130" s="118"/>
      <c r="WBB130" s="118"/>
      <c r="WBC130" s="118"/>
      <c r="WBD130" s="118"/>
      <c r="WBE130" s="118"/>
      <c r="WBF130" s="118"/>
      <c r="WBG130" s="118"/>
      <c r="WBH130" s="118"/>
      <c r="WBI130" s="118"/>
      <c r="WBJ130" s="118"/>
      <c r="WBK130" s="118"/>
      <c r="WBL130" s="118"/>
      <c r="WBM130" s="118"/>
      <c r="WBN130" s="118"/>
      <c r="WBO130" s="118"/>
      <c r="WBP130" s="118"/>
      <c r="WBQ130" s="118"/>
      <c r="WBR130" s="118"/>
      <c r="WBS130" s="118"/>
      <c r="WBT130" s="118"/>
      <c r="WBU130" s="118"/>
      <c r="WBV130" s="118"/>
      <c r="WBW130" s="118"/>
      <c r="WBX130" s="118"/>
      <c r="WBY130" s="118"/>
      <c r="WBZ130" s="118"/>
      <c r="WCA130" s="118"/>
      <c r="WCB130" s="118"/>
      <c r="WCC130" s="118"/>
      <c r="WCD130" s="118"/>
      <c r="WCE130" s="118"/>
      <c r="WCF130" s="118"/>
      <c r="WCG130" s="118"/>
      <c r="WCH130" s="118"/>
      <c r="WCI130" s="118"/>
      <c r="WCJ130" s="118"/>
      <c r="WCK130" s="118"/>
      <c r="WCL130" s="118"/>
      <c r="WCM130" s="118"/>
      <c r="WCN130" s="118"/>
      <c r="WCO130" s="118"/>
      <c r="WCP130" s="118"/>
      <c r="WCQ130" s="118"/>
      <c r="WCR130" s="118"/>
      <c r="WCS130" s="118"/>
      <c r="WCT130" s="118"/>
      <c r="WCU130" s="118"/>
      <c r="WCV130" s="118"/>
      <c r="WCW130" s="118"/>
      <c r="WCX130" s="118"/>
      <c r="WCY130" s="118"/>
      <c r="WCZ130" s="118"/>
      <c r="WDA130" s="118"/>
      <c r="WDB130" s="118"/>
      <c r="WDC130" s="118"/>
      <c r="WDD130" s="118"/>
      <c r="WDE130" s="118"/>
      <c r="WDF130" s="118"/>
      <c r="WDG130" s="118"/>
      <c r="WDH130" s="118"/>
      <c r="WDI130" s="118"/>
      <c r="WDJ130" s="118"/>
      <c r="WDK130" s="118"/>
      <c r="WDL130" s="118"/>
      <c r="WDM130" s="118"/>
      <c r="WDN130" s="118"/>
      <c r="WDO130" s="118"/>
      <c r="WDP130" s="118"/>
      <c r="WDQ130" s="118"/>
      <c r="WDR130" s="118"/>
      <c r="WDS130" s="118"/>
      <c r="WDT130" s="118"/>
      <c r="WDU130" s="118"/>
      <c r="WDV130" s="118"/>
      <c r="WDW130" s="118"/>
      <c r="WDX130" s="118"/>
      <c r="WDY130" s="118"/>
      <c r="WDZ130" s="118"/>
      <c r="WEA130" s="118"/>
      <c r="WEB130" s="118"/>
      <c r="WEC130" s="118"/>
      <c r="WED130" s="118"/>
      <c r="WEE130" s="118"/>
      <c r="WEF130" s="118"/>
      <c r="WEG130" s="118"/>
      <c r="WEH130" s="118"/>
      <c r="WEI130" s="118"/>
      <c r="WEJ130" s="118"/>
      <c r="WEK130" s="118"/>
      <c r="WEL130" s="118"/>
      <c r="WEM130" s="118"/>
      <c r="WEN130" s="118"/>
      <c r="WEO130" s="118"/>
      <c r="WEP130" s="118"/>
      <c r="WEQ130" s="118"/>
      <c r="WER130" s="118"/>
      <c r="WES130" s="118"/>
      <c r="WET130" s="118"/>
      <c r="WEU130" s="118"/>
      <c r="WEV130" s="118"/>
      <c r="WEW130" s="118"/>
      <c r="WEX130" s="118"/>
      <c r="WEY130" s="118"/>
      <c r="WEZ130" s="118"/>
      <c r="WFA130" s="118"/>
      <c r="WFB130" s="118"/>
      <c r="WFC130" s="118"/>
      <c r="WFD130" s="118"/>
      <c r="WFE130" s="118"/>
      <c r="WFF130" s="118"/>
      <c r="WFG130" s="118"/>
      <c r="WFH130" s="118"/>
      <c r="WFI130" s="118"/>
      <c r="WFJ130" s="118"/>
      <c r="WFK130" s="118"/>
      <c r="WFL130" s="118"/>
      <c r="WFM130" s="118"/>
      <c r="WFN130" s="118"/>
      <c r="WFO130" s="118"/>
      <c r="WFP130" s="118"/>
      <c r="WFQ130" s="118"/>
      <c r="WFR130" s="118"/>
      <c r="WFS130" s="118"/>
      <c r="WFT130" s="118"/>
      <c r="WFU130" s="118"/>
      <c r="WFV130" s="118"/>
      <c r="WFW130" s="118"/>
      <c r="WFX130" s="118"/>
      <c r="WFY130" s="118"/>
      <c r="WFZ130" s="118"/>
      <c r="WGA130" s="118"/>
      <c r="WGB130" s="118"/>
      <c r="WGC130" s="118"/>
      <c r="WGD130" s="118"/>
      <c r="WGE130" s="118"/>
      <c r="WGF130" s="118"/>
      <c r="WGG130" s="118"/>
      <c r="WGH130" s="118"/>
      <c r="WGI130" s="118"/>
      <c r="WGJ130" s="118"/>
      <c r="WGK130" s="118"/>
      <c r="WGL130" s="118"/>
      <c r="WGM130" s="118"/>
      <c r="WGN130" s="118"/>
      <c r="WGO130" s="118"/>
      <c r="WGP130" s="118"/>
      <c r="WGQ130" s="118"/>
      <c r="WGR130" s="118"/>
      <c r="WGS130" s="118"/>
      <c r="WGT130" s="118"/>
      <c r="WGU130" s="118"/>
      <c r="WGV130" s="118"/>
      <c r="WGW130" s="118"/>
      <c r="WGX130" s="118"/>
      <c r="WGY130" s="118"/>
      <c r="WGZ130" s="118"/>
      <c r="WHA130" s="118"/>
      <c r="WHB130" s="118"/>
      <c r="WHC130" s="118"/>
      <c r="WHD130" s="118"/>
      <c r="WHE130" s="118"/>
      <c r="WHF130" s="118"/>
      <c r="WHG130" s="118"/>
      <c r="WHH130" s="118"/>
      <c r="WHI130" s="118"/>
      <c r="WHJ130" s="118"/>
      <c r="WHK130" s="118"/>
      <c r="WHL130" s="118"/>
      <c r="WHM130" s="118"/>
      <c r="WHN130" s="118"/>
      <c r="WHO130" s="118"/>
      <c r="WHP130" s="118"/>
      <c r="WHQ130" s="118"/>
      <c r="WHR130" s="118"/>
      <c r="WHS130" s="118"/>
      <c r="WHT130" s="118"/>
      <c r="WHU130" s="118"/>
      <c r="WHV130" s="118"/>
      <c r="WHW130" s="118"/>
      <c r="WHX130" s="118"/>
      <c r="WHY130" s="118"/>
      <c r="WHZ130" s="118"/>
      <c r="WIA130" s="118"/>
      <c r="WIB130" s="118"/>
      <c r="WIC130" s="118"/>
      <c r="WID130" s="118"/>
      <c r="WIE130" s="118"/>
      <c r="WIF130" s="118"/>
      <c r="WIG130" s="118"/>
      <c r="WIH130" s="118"/>
      <c r="WII130" s="118"/>
      <c r="WIJ130" s="118"/>
      <c r="WIK130" s="118"/>
      <c r="WIL130" s="118"/>
      <c r="WIM130" s="118"/>
      <c r="WIN130" s="118"/>
      <c r="WIO130" s="118"/>
      <c r="WIP130" s="118"/>
      <c r="WIQ130" s="118"/>
      <c r="WIR130" s="118"/>
      <c r="WIS130" s="118"/>
      <c r="WIT130" s="118"/>
      <c r="WIU130" s="118"/>
      <c r="WIV130" s="118"/>
      <c r="WIW130" s="118"/>
      <c r="WIX130" s="118"/>
      <c r="WIY130" s="118"/>
      <c r="WIZ130" s="118"/>
      <c r="WJA130" s="118"/>
      <c r="WJB130" s="118"/>
      <c r="WJC130" s="118"/>
      <c r="WJD130" s="118"/>
      <c r="WJE130" s="118"/>
      <c r="WJF130" s="118"/>
      <c r="WJG130" s="118"/>
      <c r="WJH130" s="118"/>
      <c r="WJI130" s="118"/>
      <c r="WJJ130" s="118"/>
      <c r="WJK130" s="118"/>
      <c r="WJL130" s="118"/>
      <c r="WJM130" s="118"/>
      <c r="WJN130" s="118"/>
      <c r="WJO130" s="118"/>
      <c r="WJP130" s="118"/>
      <c r="WJQ130" s="118"/>
      <c r="WJR130" s="118"/>
      <c r="WJS130" s="118"/>
      <c r="WJT130" s="118"/>
      <c r="WJU130" s="118"/>
      <c r="WJV130" s="118"/>
      <c r="WJW130" s="118"/>
      <c r="WJX130" s="118"/>
      <c r="WJY130" s="118"/>
      <c r="WJZ130" s="118"/>
      <c r="WKA130" s="118"/>
      <c r="WKB130" s="118"/>
      <c r="WKC130" s="118"/>
      <c r="WKD130" s="118"/>
      <c r="WKE130" s="118"/>
      <c r="WKF130" s="118"/>
      <c r="WKG130" s="118"/>
      <c r="WKH130" s="118"/>
      <c r="WKI130" s="118"/>
      <c r="WKJ130" s="118"/>
      <c r="WKK130" s="118"/>
      <c r="WKL130" s="118"/>
      <c r="WKM130" s="118"/>
      <c r="WKN130" s="118"/>
      <c r="WKO130" s="118"/>
      <c r="WKP130" s="118"/>
      <c r="WKQ130" s="118"/>
      <c r="WKR130" s="118"/>
      <c r="WKS130" s="118"/>
      <c r="WKT130" s="118"/>
      <c r="WKU130" s="118"/>
      <c r="WKV130" s="118"/>
      <c r="WKW130" s="118"/>
      <c r="WKX130" s="118"/>
      <c r="WKY130" s="118"/>
      <c r="WKZ130" s="118"/>
      <c r="WLA130" s="118"/>
      <c r="WLB130" s="118"/>
      <c r="WLC130" s="118"/>
      <c r="WLD130" s="118"/>
      <c r="WLE130" s="118"/>
      <c r="WLF130" s="118"/>
      <c r="WLG130" s="118"/>
      <c r="WLH130" s="118"/>
      <c r="WLI130" s="118"/>
      <c r="WLJ130" s="118"/>
      <c r="WLK130" s="118"/>
      <c r="WLL130" s="118"/>
      <c r="WLM130" s="118"/>
      <c r="WLN130" s="118"/>
      <c r="WLO130" s="118"/>
      <c r="WLP130" s="118"/>
      <c r="WLQ130" s="118"/>
      <c r="WLR130" s="118"/>
      <c r="WLS130" s="118"/>
      <c r="WLT130" s="118"/>
      <c r="WLU130" s="118"/>
      <c r="WLV130" s="118"/>
      <c r="WLW130" s="118"/>
      <c r="WLX130" s="118"/>
      <c r="WLY130" s="118"/>
      <c r="WLZ130" s="118"/>
      <c r="WMA130" s="118"/>
      <c r="WMB130" s="118"/>
      <c r="WMC130" s="118"/>
      <c r="WMD130" s="118"/>
      <c r="WME130" s="118"/>
      <c r="WMF130" s="118"/>
      <c r="WMG130" s="118"/>
      <c r="WMH130" s="118"/>
      <c r="WMI130" s="118"/>
      <c r="WMJ130" s="118"/>
      <c r="WMK130" s="118"/>
      <c r="WML130" s="118"/>
      <c r="WMM130" s="118"/>
      <c r="WMN130" s="118"/>
      <c r="WMO130" s="118"/>
      <c r="WMP130" s="118"/>
      <c r="WMQ130" s="118"/>
      <c r="WMR130" s="118"/>
      <c r="WMS130" s="118"/>
      <c r="WMT130" s="118"/>
      <c r="WMU130" s="118"/>
      <c r="WMV130" s="118"/>
      <c r="WMW130" s="118"/>
      <c r="WMX130" s="118"/>
      <c r="WMY130" s="118"/>
      <c r="WMZ130" s="118"/>
      <c r="WNA130" s="118"/>
      <c r="WNB130" s="118"/>
      <c r="WNC130" s="118"/>
      <c r="WND130" s="118"/>
      <c r="WNE130" s="118"/>
      <c r="WNF130" s="118"/>
      <c r="WNG130" s="118"/>
      <c r="WNH130" s="118"/>
      <c r="WNI130" s="118"/>
      <c r="WNJ130" s="118"/>
      <c r="WNK130" s="118"/>
      <c r="WNL130" s="118"/>
      <c r="WNM130" s="118"/>
      <c r="WNN130" s="118"/>
      <c r="WNO130" s="118"/>
      <c r="WNP130" s="118"/>
      <c r="WNQ130" s="118"/>
      <c r="WNR130" s="118"/>
      <c r="WNS130" s="118"/>
      <c r="WNT130" s="118"/>
      <c r="WNU130" s="118"/>
      <c r="WNV130" s="118"/>
      <c r="WNW130" s="118"/>
      <c r="WNX130" s="118"/>
      <c r="WNY130" s="118"/>
      <c r="WNZ130" s="118"/>
      <c r="WOA130" s="118"/>
      <c r="WOB130" s="118"/>
      <c r="WOC130" s="118"/>
      <c r="WOD130" s="118"/>
      <c r="WOE130" s="118"/>
      <c r="WOF130" s="118"/>
      <c r="WOG130" s="118"/>
      <c r="WOH130" s="118"/>
      <c r="WOI130" s="118"/>
      <c r="WOJ130" s="118"/>
      <c r="WOK130" s="118"/>
      <c r="WOL130" s="118"/>
      <c r="WOM130" s="118"/>
      <c r="WON130" s="118"/>
      <c r="WOO130" s="118"/>
      <c r="WOP130" s="118"/>
      <c r="WOQ130" s="118"/>
      <c r="WOR130" s="118"/>
      <c r="WOS130" s="118"/>
      <c r="WOT130" s="118"/>
      <c r="WOU130" s="118"/>
      <c r="WOV130" s="118"/>
      <c r="WOW130" s="118"/>
      <c r="WOX130" s="118"/>
      <c r="WOY130" s="118"/>
      <c r="WOZ130" s="118"/>
      <c r="WPA130" s="118"/>
      <c r="WPB130" s="118"/>
      <c r="WPC130" s="118"/>
      <c r="WPD130" s="118"/>
      <c r="WPE130" s="118"/>
      <c r="WPF130" s="118"/>
      <c r="WPG130" s="118"/>
      <c r="WPH130" s="118"/>
      <c r="WPI130" s="118"/>
      <c r="WPJ130" s="118"/>
      <c r="WPK130" s="118"/>
      <c r="WPL130" s="118"/>
      <c r="WPM130" s="118"/>
      <c r="WPN130" s="118"/>
      <c r="WPO130" s="118"/>
      <c r="WPP130" s="118"/>
      <c r="WPQ130" s="118"/>
      <c r="WPR130" s="118"/>
      <c r="WPS130" s="118"/>
      <c r="WPT130" s="118"/>
      <c r="WPU130" s="118"/>
      <c r="WPV130" s="118"/>
      <c r="WPW130" s="118"/>
      <c r="WPX130" s="118"/>
      <c r="WPY130" s="118"/>
      <c r="WPZ130" s="118"/>
      <c r="WQA130" s="118"/>
      <c r="WQB130" s="118"/>
      <c r="WQC130" s="118"/>
      <c r="WQD130" s="118"/>
      <c r="WQE130" s="118"/>
      <c r="WQF130" s="118"/>
      <c r="WQG130" s="118"/>
      <c r="WQH130" s="118"/>
      <c r="WQI130" s="118"/>
      <c r="WQJ130" s="118"/>
      <c r="WQK130" s="118"/>
      <c r="WQL130" s="118"/>
      <c r="WQM130" s="118"/>
      <c r="WQN130" s="118"/>
      <c r="WQO130" s="118"/>
      <c r="WQP130" s="118"/>
      <c r="WQQ130" s="118"/>
      <c r="WQR130" s="118"/>
      <c r="WQS130" s="118"/>
      <c r="WQT130" s="118"/>
      <c r="WQU130" s="118"/>
      <c r="WQV130" s="118"/>
      <c r="WQW130" s="118"/>
      <c r="WQX130" s="118"/>
      <c r="WQY130" s="118"/>
      <c r="WQZ130" s="118"/>
      <c r="WRA130" s="118"/>
      <c r="WRB130" s="118"/>
      <c r="WRC130" s="118"/>
      <c r="WRD130" s="118"/>
      <c r="WRE130" s="118"/>
      <c r="WRF130" s="118"/>
      <c r="WRG130" s="118"/>
      <c r="WRH130" s="118"/>
      <c r="WRI130" s="118"/>
      <c r="WRJ130" s="118"/>
      <c r="WRK130" s="118"/>
      <c r="WRL130" s="118"/>
      <c r="WRM130" s="118"/>
      <c r="WRN130" s="118"/>
      <c r="WRO130" s="118"/>
      <c r="WRP130" s="118"/>
      <c r="WRQ130" s="118"/>
      <c r="WRR130" s="118"/>
      <c r="WRS130" s="118"/>
      <c r="WRT130" s="118"/>
      <c r="WRU130" s="118"/>
      <c r="WRV130" s="118"/>
      <c r="WRW130" s="118"/>
      <c r="WRX130" s="118"/>
      <c r="WRY130" s="118"/>
      <c r="WRZ130" s="118"/>
      <c r="WSA130" s="118"/>
      <c r="WSB130" s="118"/>
      <c r="WSC130" s="118"/>
      <c r="WSD130" s="118"/>
      <c r="WSE130" s="118"/>
      <c r="WSF130" s="118"/>
      <c r="WSG130" s="118"/>
      <c r="WSH130" s="118"/>
      <c r="WSI130" s="118"/>
      <c r="WSJ130" s="118"/>
      <c r="WSK130" s="118"/>
      <c r="WSL130" s="118"/>
      <c r="WSM130" s="118"/>
      <c r="WSN130" s="118"/>
      <c r="WSO130" s="118"/>
      <c r="WSP130" s="118"/>
      <c r="WSQ130" s="118"/>
      <c r="WSR130" s="118"/>
      <c r="WSS130" s="118"/>
      <c r="WST130" s="118"/>
      <c r="WSU130" s="118"/>
      <c r="WSV130" s="118"/>
      <c r="WSW130" s="118"/>
      <c r="WSX130" s="118"/>
      <c r="WSY130" s="118"/>
      <c r="WSZ130" s="118"/>
      <c r="WTA130" s="118"/>
      <c r="WTB130" s="118"/>
      <c r="WTC130" s="118"/>
      <c r="WTD130" s="118"/>
      <c r="WTE130" s="118"/>
      <c r="WTF130" s="118"/>
      <c r="WTG130" s="118"/>
      <c r="WTH130" s="118"/>
      <c r="WTI130" s="118"/>
      <c r="WTJ130" s="118"/>
      <c r="WTK130" s="118"/>
      <c r="WTL130" s="118"/>
      <c r="WTM130" s="118"/>
      <c r="WTN130" s="118"/>
      <c r="WTO130" s="118"/>
      <c r="WTP130" s="118"/>
      <c r="WTQ130" s="118"/>
      <c r="WTR130" s="118"/>
      <c r="WTS130" s="118"/>
      <c r="WTT130" s="118"/>
      <c r="WTU130" s="118"/>
      <c r="WTV130" s="118"/>
      <c r="WTW130" s="118"/>
      <c r="WTX130" s="118"/>
      <c r="WTY130" s="118"/>
      <c r="WTZ130" s="118"/>
      <c r="WUA130" s="118"/>
      <c r="WUB130" s="118"/>
      <c r="WUC130" s="118"/>
      <c r="WUD130" s="118"/>
      <c r="WUE130" s="118"/>
      <c r="WUF130" s="118"/>
      <c r="WUG130" s="118"/>
      <c r="WUH130" s="118"/>
      <c r="WUI130" s="118"/>
      <c r="WUJ130" s="118"/>
      <c r="WUK130" s="118"/>
      <c r="WUL130" s="118"/>
      <c r="WUM130" s="118"/>
      <c r="WUN130" s="118"/>
      <c r="WUO130" s="118"/>
      <c r="WUP130" s="118"/>
      <c r="WUQ130" s="118"/>
      <c r="WUR130" s="118"/>
      <c r="WUS130" s="118"/>
      <c r="WUT130" s="118"/>
      <c r="WUU130" s="118"/>
      <c r="WUV130" s="118"/>
      <c r="WUW130" s="118"/>
      <c r="WUX130" s="118"/>
      <c r="WUY130" s="118"/>
      <c r="WUZ130" s="118"/>
      <c r="WVA130" s="118"/>
      <c r="WVB130" s="118"/>
      <c r="WVC130" s="118"/>
      <c r="WVD130" s="118"/>
      <c r="WVE130" s="118"/>
      <c r="WVF130" s="118"/>
      <c r="WVG130" s="118"/>
      <c r="WVH130" s="118"/>
      <c r="WVI130" s="118"/>
      <c r="WVJ130" s="118"/>
      <c r="WVK130" s="118"/>
      <c r="WVL130" s="118"/>
      <c r="WVM130" s="118"/>
      <c r="WVN130" s="118"/>
      <c r="WVO130" s="118"/>
      <c r="WVP130" s="118"/>
      <c r="WVQ130" s="118"/>
      <c r="WVR130" s="118"/>
      <c r="WVS130" s="118"/>
      <c r="WVT130" s="118"/>
      <c r="WVU130" s="118"/>
      <c r="WVV130" s="118"/>
      <c r="WVW130" s="118"/>
      <c r="WVX130" s="118"/>
      <c r="WVY130" s="118"/>
      <c r="WVZ130" s="118"/>
      <c r="WWA130" s="118"/>
      <c r="WWB130" s="118"/>
      <c r="WWC130" s="118"/>
      <c r="WWD130" s="118"/>
      <c r="WWE130" s="118"/>
      <c r="WWF130" s="118"/>
      <c r="WWG130" s="118"/>
      <c r="WWH130" s="118"/>
      <c r="WWI130" s="118"/>
      <c r="WWJ130" s="118"/>
      <c r="WWK130" s="118"/>
      <c r="WWL130" s="118"/>
      <c r="WWM130" s="118"/>
      <c r="WWN130" s="118"/>
      <c r="WWO130" s="118"/>
      <c r="WWP130" s="118"/>
      <c r="WWQ130" s="118"/>
      <c r="WWR130" s="118"/>
      <c r="WWS130" s="118"/>
      <c r="WWT130" s="118"/>
      <c r="WWU130" s="118"/>
      <c r="WWV130" s="118"/>
      <c r="WWW130" s="118"/>
      <c r="WWX130" s="118"/>
      <c r="WWY130" s="118"/>
      <c r="WWZ130" s="118"/>
      <c r="WXA130" s="118"/>
      <c r="WXB130" s="118"/>
      <c r="WXC130" s="118"/>
      <c r="WXD130" s="118"/>
      <c r="WXE130" s="118"/>
      <c r="WXF130" s="118"/>
      <c r="WXG130" s="118"/>
      <c r="WXH130" s="118"/>
      <c r="WXI130" s="118"/>
      <c r="WXJ130" s="118"/>
      <c r="WXK130" s="118"/>
      <c r="WXL130" s="118"/>
      <c r="WXM130" s="118"/>
      <c r="WXN130" s="118"/>
      <c r="WXO130" s="118"/>
      <c r="WXP130" s="118"/>
      <c r="WXQ130" s="118"/>
      <c r="WXR130" s="118"/>
      <c r="WXS130" s="118"/>
      <c r="WXT130" s="118"/>
      <c r="WXU130" s="118"/>
      <c r="WXV130" s="118"/>
      <c r="WXW130" s="118"/>
      <c r="WXX130" s="118"/>
      <c r="WXY130" s="118"/>
      <c r="WXZ130" s="118"/>
      <c r="WYA130" s="118"/>
      <c r="WYB130" s="118"/>
      <c r="WYC130" s="118"/>
      <c r="WYD130" s="118"/>
      <c r="WYE130" s="118"/>
      <c r="WYF130" s="118"/>
      <c r="WYG130" s="118"/>
      <c r="WYH130" s="118"/>
      <c r="WYI130" s="118"/>
      <c r="WYJ130" s="118"/>
      <c r="WYK130" s="118"/>
      <c r="WYL130" s="118"/>
      <c r="WYM130" s="118"/>
      <c r="WYN130" s="118"/>
      <c r="WYO130" s="118"/>
      <c r="WYP130" s="118"/>
      <c r="WYQ130" s="118"/>
      <c r="WYR130" s="118"/>
      <c r="WYS130" s="118"/>
      <c r="WYT130" s="118"/>
      <c r="WYU130" s="118"/>
      <c r="WYV130" s="118"/>
      <c r="WYW130" s="118"/>
      <c r="WYX130" s="118"/>
      <c r="WYY130" s="118"/>
      <c r="WYZ130" s="118"/>
      <c r="WZA130" s="118"/>
      <c r="WZB130" s="118"/>
      <c r="WZC130" s="118"/>
      <c r="WZD130" s="118"/>
      <c r="WZE130" s="118"/>
      <c r="WZF130" s="118"/>
      <c r="WZG130" s="118"/>
      <c r="WZH130" s="118"/>
      <c r="WZI130" s="118"/>
      <c r="WZJ130" s="118"/>
      <c r="WZK130" s="118"/>
      <c r="WZL130" s="118"/>
      <c r="WZM130" s="118"/>
      <c r="WZN130" s="118"/>
      <c r="WZO130" s="118"/>
      <c r="WZP130" s="118"/>
      <c r="WZQ130" s="118"/>
      <c r="WZR130" s="118"/>
      <c r="WZS130" s="118"/>
      <c r="WZT130" s="118"/>
      <c r="WZU130" s="118"/>
      <c r="WZV130" s="118"/>
      <c r="WZW130" s="118"/>
      <c r="WZX130" s="118"/>
      <c r="WZY130" s="118"/>
      <c r="WZZ130" s="118"/>
      <c r="XAA130" s="118"/>
      <c r="XAB130" s="118"/>
      <c r="XAC130" s="118"/>
      <c r="XAD130" s="118"/>
      <c r="XAE130" s="118"/>
      <c r="XAF130" s="118"/>
      <c r="XAG130" s="118"/>
      <c r="XAH130" s="118"/>
      <c r="XAI130" s="118"/>
      <c r="XAJ130" s="118"/>
      <c r="XAK130" s="118"/>
      <c r="XAL130" s="118"/>
      <c r="XAM130" s="118"/>
      <c r="XAN130" s="118"/>
      <c r="XAO130" s="118"/>
      <c r="XAP130" s="118"/>
      <c r="XAQ130" s="118"/>
      <c r="XAR130" s="118"/>
      <c r="XAS130" s="118"/>
      <c r="XAT130" s="118"/>
      <c r="XAU130" s="118"/>
      <c r="XAV130" s="118"/>
      <c r="XAW130" s="118"/>
      <c r="XAX130" s="118"/>
      <c r="XAY130" s="118"/>
      <c r="XAZ130" s="118"/>
      <c r="XBA130" s="118"/>
      <c r="XBB130" s="118"/>
      <c r="XBC130" s="118"/>
      <c r="XBD130" s="118"/>
      <c r="XBE130" s="118"/>
      <c r="XBF130" s="118"/>
      <c r="XBG130" s="118"/>
      <c r="XBH130" s="118"/>
      <c r="XBI130" s="118"/>
      <c r="XBJ130" s="118"/>
      <c r="XBK130" s="118"/>
      <c r="XBL130" s="118"/>
      <c r="XBM130" s="118"/>
      <c r="XBN130" s="118"/>
      <c r="XBO130" s="118"/>
      <c r="XBP130" s="118"/>
      <c r="XBQ130" s="118"/>
      <c r="XBR130" s="118"/>
      <c r="XBS130" s="118"/>
      <c r="XBT130" s="118"/>
      <c r="XBU130" s="118"/>
      <c r="XBV130" s="118"/>
      <c r="XBW130" s="118"/>
      <c r="XBX130" s="118"/>
      <c r="XBY130" s="118"/>
      <c r="XBZ130" s="118"/>
      <c r="XCA130" s="118"/>
      <c r="XCB130" s="118"/>
      <c r="XCC130" s="118"/>
      <c r="XCD130" s="118"/>
      <c r="XCE130" s="118"/>
      <c r="XCF130" s="118"/>
      <c r="XCG130" s="118"/>
      <c r="XCH130" s="118"/>
      <c r="XCI130" s="118"/>
      <c r="XCJ130" s="118"/>
      <c r="XCK130" s="118"/>
      <c r="XCL130" s="118"/>
      <c r="XCM130" s="118"/>
      <c r="XCN130" s="118"/>
      <c r="XCO130" s="118"/>
      <c r="XCP130" s="118"/>
      <c r="XCQ130" s="118"/>
      <c r="XCR130" s="118"/>
      <c r="XCS130" s="118"/>
      <c r="XCT130" s="118"/>
      <c r="XCU130" s="118"/>
      <c r="XCV130" s="118"/>
      <c r="XCW130" s="118"/>
      <c r="XCX130" s="118"/>
      <c r="XCY130" s="118"/>
      <c r="XCZ130" s="118"/>
      <c r="XDA130" s="118"/>
      <c r="XDB130" s="118"/>
      <c r="XDC130" s="118"/>
      <c r="XDD130" s="118"/>
      <c r="XDE130" s="118"/>
      <c r="XDF130" s="118"/>
      <c r="XDG130" s="118"/>
      <c r="XDH130" s="118"/>
      <c r="XDI130" s="118"/>
      <c r="XDJ130" s="118"/>
      <c r="XDK130" s="118"/>
      <c r="XDL130" s="118"/>
      <c r="XDM130" s="118"/>
      <c r="XDN130" s="118"/>
      <c r="XDO130" s="118"/>
      <c r="XDP130" s="118"/>
      <c r="XDQ130" s="118"/>
      <c r="XDR130" s="118"/>
      <c r="XDS130" s="118"/>
      <c r="XDT130" s="118"/>
      <c r="XDU130" s="118"/>
      <c r="XDV130" s="118"/>
      <c r="XDW130" s="118"/>
      <c r="XDX130" s="118"/>
      <c r="XDY130" s="118"/>
      <c r="XDZ130" s="118"/>
      <c r="XEA130" s="118"/>
      <c r="XEB130" s="118"/>
      <c r="XEC130" s="118"/>
      <c r="XED130" s="118"/>
      <c r="XEE130" s="118"/>
      <c r="XEF130" s="118"/>
      <c r="XEG130" s="118"/>
      <c r="XEH130" s="118"/>
      <c r="XEI130" s="118"/>
      <c r="XEJ130" s="118"/>
      <c r="XEK130" s="118"/>
      <c r="XEL130" s="118"/>
      <c r="XEM130" s="118"/>
      <c r="XEN130" s="118"/>
      <c r="XEO130" s="118"/>
      <c r="XEP130" s="118"/>
      <c r="XEQ130" s="118"/>
      <c r="XER130" s="118"/>
      <c r="XES130" s="118"/>
      <c r="XET130" s="118"/>
      <c r="XEU130" s="118"/>
      <c r="XEV130" s="118"/>
      <c r="XEW130" s="118"/>
      <c r="XEX130" s="118"/>
      <c r="XEY130" s="119"/>
      <c r="XEZ130" s="119"/>
      <c r="XFA130" s="119"/>
      <c r="XFB130" s="119"/>
      <c r="XFC130" s="120"/>
    </row>
    <row r="131" s="7" customFormat="1" ht="31" spans="1:16383">
      <c r="A131" s="42">
        <v>2</v>
      </c>
      <c r="B131" s="43"/>
      <c r="C131" s="34" t="s">
        <v>145</v>
      </c>
      <c r="D131" s="35"/>
      <c r="E131" s="72" t="s">
        <v>25</v>
      </c>
      <c r="F131" s="68">
        <v>0</v>
      </c>
      <c r="G131" s="71">
        <v>380</v>
      </c>
      <c r="H131" s="68">
        <f t="shared" si="7"/>
        <v>0</v>
      </c>
      <c r="I131" s="79" t="s">
        <v>144</v>
      </c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  <c r="AQ131" s="107"/>
      <c r="AR131" s="107"/>
      <c r="AS131" s="107"/>
      <c r="AT131" s="107"/>
      <c r="AU131" s="107"/>
      <c r="AV131" s="107"/>
      <c r="AW131" s="107"/>
      <c r="AX131" s="107"/>
      <c r="AY131" s="107"/>
      <c r="AZ131" s="107"/>
      <c r="BA131" s="107"/>
      <c r="BB131" s="107"/>
      <c r="BC131" s="107"/>
      <c r="BD131" s="107"/>
      <c r="BE131" s="107"/>
      <c r="BF131" s="107"/>
      <c r="BG131" s="107"/>
      <c r="BH131" s="107"/>
      <c r="BI131" s="107"/>
      <c r="BJ131" s="107"/>
      <c r="BK131" s="107"/>
      <c r="BL131" s="107"/>
      <c r="BM131" s="107"/>
      <c r="BN131" s="107"/>
      <c r="BO131" s="107"/>
      <c r="BP131" s="107"/>
      <c r="BQ131" s="107"/>
      <c r="BR131" s="107"/>
      <c r="BS131" s="107"/>
      <c r="BT131" s="107"/>
      <c r="BU131" s="107"/>
      <c r="BV131" s="107"/>
      <c r="BW131" s="107"/>
      <c r="BX131" s="107"/>
      <c r="BY131" s="107"/>
      <c r="BZ131" s="107"/>
      <c r="CA131" s="107"/>
      <c r="CB131" s="107"/>
      <c r="CC131" s="107"/>
      <c r="CD131" s="107"/>
      <c r="CE131" s="107"/>
      <c r="CF131" s="107"/>
      <c r="CG131" s="107"/>
      <c r="CH131" s="107"/>
      <c r="CI131" s="107"/>
      <c r="CJ131" s="107"/>
      <c r="CK131" s="107"/>
      <c r="CL131" s="107"/>
      <c r="CM131" s="107"/>
      <c r="CN131" s="107"/>
      <c r="CO131" s="107"/>
      <c r="CP131" s="107"/>
      <c r="CQ131" s="107"/>
      <c r="CR131" s="107"/>
      <c r="CS131" s="107"/>
      <c r="CT131" s="107"/>
      <c r="CU131" s="107"/>
      <c r="CV131" s="107"/>
      <c r="CW131" s="107"/>
      <c r="CX131" s="107"/>
      <c r="CY131" s="107"/>
      <c r="CZ131" s="107"/>
      <c r="DA131" s="107"/>
      <c r="DB131" s="107"/>
      <c r="DC131" s="107"/>
      <c r="DD131" s="107"/>
      <c r="DE131" s="107"/>
      <c r="DF131" s="107"/>
      <c r="DG131" s="107"/>
      <c r="DH131" s="107"/>
      <c r="DI131" s="107"/>
      <c r="DJ131" s="107"/>
      <c r="DK131" s="107"/>
      <c r="DL131" s="107"/>
      <c r="DM131" s="107"/>
      <c r="DN131" s="107"/>
      <c r="DO131" s="107"/>
      <c r="DP131" s="107"/>
      <c r="DQ131" s="107"/>
      <c r="DR131" s="107"/>
      <c r="DS131" s="107"/>
      <c r="DT131" s="107"/>
      <c r="DU131" s="107"/>
      <c r="DV131" s="107"/>
      <c r="DW131" s="107"/>
      <c r="DX131" s="107"/>
      <c r="DY131" s="107"/>
      <c r="DZ131" s="107"/>
      <c r="EA131" s="107"/>
      <c r="EB131" s="107"/>
      <c r="EC131" s="107"/>
      <c r="ED131" s="107"/>
      <c r="EE131" s="107"/>
      <c r="EF131" s="107"/>
      <c r="EG131" s="107"/>
      <c r="EH131" s="107"/>
      <c r="EI131" s="107"/>
      <c r="EJ131" s="107"/>
      <c r="EK131" s="107"/>
      <c r="EL131" s="107"/>
      <c r="EM131" s="107"/>
      <c r="EN131" s="107"/>
      <c r="EO131" s="107"/>
      <c r="EP131" s="107"/>
      <c r="EQ131" s="107"/>
      <c r="ER131" s="107"/>
      <c r="ES131" s="107"/>
      <c r="ET131" s="107"/>
      <c r="EU131" s="107"/>
      <c r="EV131" s="107"/>
      <c r="EW131" s="107"/>
      <c r="EX131" s="107"/>
      <c r="EY131" s="107"/>
      <c r="EZ131" s="107"/>
      <c r="FA131" s="107"/>
      <c r="FB131" s="107"/>
      <c r="FC131" s="107"/>
      <c r="FD131" s="107"/>
      <c r="FE131" s="107"/>
      <c r="FF131" s="107"/>
      <c r="FG131" s="107"/>
      <c r="FH131" s="107"/>
      <c r="FI131" s="107"/>
      <c r="FJ131" s="107"/>
      <c r="FK131" s="107"/>
      <c r="FL131" s="107"/>
      <c r="FM131" s="107"/>
      <c r="FN131" s="107"/>
      <c r="FO131" s="107"/>
      <c r="FP131" s="107"/>
      <c r="FQ131" s="107"/>
      <c r="FR131" s="107"/>
      <c r="FS131" s="107"/>
      <c r="FT131" s="107"/>
      <c r="FU131" s="107"/>
      <c r="FV131" s="107"/>
      <c r="FW131" s="107"/>
      <c r="FX131" s="107"/>
      <c r="FY131" s="107"/>
      <c r="FZ131" s="107"/>
      <c r="GA131" s="107"/>
      <c r="GB131" s="107"/>
      <c r="GC131" s="107"/>
      <c r="GD131" s="107"/>
      <c r="GE131" s="107"/>
      <c r="GF131" s="107"/>
      <c r="GG131" s="107"/>
      <c r="GH131" s="107"/>
      <c r="GI131" s="107"/>
      <c r="GJ131" s="107"/>
      <c r="GK131" s="107"/>
      <c r="GL131" s="107"/>
      <c r="GM131" s="107"/>
      <c r="GN131" s="107"/>
      <c r="GO131" s="107"/>
      <c r="GP131" s="107"/>
      <c r="GQ131" s="107"/>
      <c r="GR131" s="107"/>
      <c r="GS131" s="107"/>
      <c r="GT131" s="107"/>
      <c r="GU131" s="107"/>
      <c r="GV131" s="107"/>
      <c r="GW131" s="107"/>
      <c r="GX131" s="107"/>
      <c r="GY131" s="107"/>
      <c r="GZ131" s="107"/>
      <c r="HA131" s="107"/>
      <c r="HB131" s="107"/>
      <c r="HC131" s="107"/>
      <c r="HD131" s="107"/>
      <c r="HE131" s="107"/>
      <c r="HF131" s="107"/>
      <c r="HG131" s="107"/>
      <c r="HH131" s="107"/>
      <c r="HI131" s="107"/>
      <c r="HJ131" s="107"/>
      <c r="HK131" s="107"/>
      <c r="HL131" s="107"/>
      <c r="HM131" s="107"/>
      <c r="HN131" s="107"/>
      <c r="HO131" s="107"/>
      <c r="HP131" s="107"/>
      <c r="HQ131" s="107"/>
      <c r="HR131" s="107"/>
      <c r="HS131" s="107"/>
      <c r="HT131" s="107"/>
      <c r="HU131" s="107"/>
      <c r="HV131" s="107"/>
      <c r="HW131" s="107"/>
      <c r="HX131" s="107"/>
      <c r="HY131" s="107"/>
      <c r="HZ131" s="107"/>
      <c r="IA131" s="107"/>
      <c r="IB131" s="107"/>
      <c r="IC131" s="107"/>
      <c r="ID131" s="107"/>
      <c r="IE131" s="107"/>
      <c r="IF131" s="107"/>
      <c r="IG131" s="107"/>
      <c r="IH131" s="107"/>
      <c r="II131" s="107"/>
      <c r="IJ131" s="107"/>
      <c r="IK131" s="107"/>
      <c r="IL131" s="107"/>
      <c r="IM131" s="107"/>
      <c r="IN131" s="107"/>
      <c r="IO131" s="118"/>
      <c r="IP131" s="118"/>
      <c r="IQ131" s="118"/>
      <c r="IR131" s="118"/>
      <c r="IS131" s="118"/>
      <c r="IT131" s="118"/>
      <c r="IU131" s="118"/>
      <c r="IV131" s="118"/>
      <c r="IW131" s="118"/>
      <c r="IX131" s="118"/>
      <c r="IY131" s="118"/>
      <c r="IZ131" s="118"/>
      <c r="JA131" s="118"/>
      <c r="JB131" s="118"/>
      <c r="JC131" s="118"/>
      <c r="JD131" s="118"/>
      <c r="JE131" s="118"/>
      <c r="JF131" s="118"/>
      <c r="JG131" s="118"/>
      <c r="JH131" s="118"/>
      <c r="JI131" s="118"/>
      <c r="JJ131" s="118"/>
      <c r="JK131" s="118"/>
      <c r="JL131" s="118"/>
      <c r="JM131" s="118"/>
      <c r="JN131" s="118"/>
      <c r="JO131" s="118"/>
      <c r="JP131" s="118"/>
      <c r="JQ131" s="118"/>
      <c r="JR131" s="118"/>
      <c r="JS131" s="118"/>
      <c r="JT131" s="118"/>
      <c r="JU131" s="118"/>
      <c r="JV131" s="118"/>
      <c r="JW131" s="118"/>
      <c r="JX131" s="118"/>
      <c r="JY131" s="118"/>
      <c r="JZ131" s="118"/>
      <c r="KA131" s="118"/>
      <c r="KB131" s="118"/>
      <c r="KC131" s="118"/>
      <c r="KD131" s="118"/>
      <c r="KE131" s="118"/>
      <c r="KF131" s="118"/>
      <c r="KG131" s="118"/>
      <c r="KH131" s="118"/>
      <c r="KI131" s="118"/>
      <c r="KJ131" s="118"/>
      <c r="KK131" s="118"/>
      <c r="KL131" s="118"/>
      <c r="KM131" s="118"/>
      <c r="KN131" s="118"/>
      <c r="KO131" s="118"/>
      <c r="KP131" s="118"/>
      <c r="KQ131" s="118"/>
      <c r="KR131" s="118"/>
      <c r="KS131" s="118"/>
      <c r="KT131" s="118"/>
      <c r="KU131" s="118"/>
      <c r="KV131" s="118"/>
      <c r="KW131" s="118"/>
      <c r="KX131" s="118"/>
      <c r="KY131" s="118"/>
      <c r="KZ131" s="118"/>
      <c r="LA131" s="118"/>
      <c r="LB131" s="118"/>
      <c r="LC131" s="118"/>
      <c r="LD131" s="118"/>
      <c r="LE131" s="118"/>
      <c r="LF131" s="118"/>
      <c r="LG131" s="118"/>
      <c r="LH131" s="118"/>
      <c r="LI131" s="118"/>
      <c r="LJ131" s="118"/>
      <c r="LK131" s="118"/>
      <c r="LL131" s="118"/>
      <c r="LM131" s="118"/>
      <c r="LN131" s="118"/>
      <c r="LO131" s="118"/>
      <c r="LP131" s="118"/>
      <c r="LQ131" s="118"/>
      <c r="LR131" s="118"/>
      <c r="LS131" s="118"/>
      <c r="LT131" s="118"/>
      <c r="LU131" s="118"/>
      <c r="LV131" s="118"/>
      <c r="LW131" s="118"/>
      <c r="LX131" s="118"/>
      <c r="LY131" s="118"/>
      <c r="LZ131" s="118"/>
      <c r="MA131" s="118"/>
      <c r="MB131" s="118"/>
      <c r="MC131" s="118"/>
      <c r="MD131" s="118"/>
      <c r="ME131" s="118"/>
      <c r="MF131" s="118"/>
      <c r="MG131" s="118"/>
      <c r="MH131" s="118"/>
      <c r="MI131" s="118"/>
      <c r="MJ131" s="118"/>
      <c r="MK131" s="118"/>
      <c r="ML131" s="118"/>
      <c r="MM131" s="118"/>
      <c r="MN131" s="118"/>
      <c r="MO131" s="118"/>
      <c r="MP131" s="118"/>
      <c r="MQ131" s="118"/>
      <c r="MR131" s="118"/>
      <c r="MS131" s="118"/>
      <c r="MT131" s="118"/>
      <c r="MU131" s="118"/>
      <c r="MV131" s="118"/>
      <c r="MW131" s="118"/>
      <c r="MX131" s="118"/>
      <c r="MY131" s="118"/>
      <c r="MZ131" s="118"/>
      <c r="NA131" s="118"/>
      <c r="NB131" s="118"/>
      <c r="NC131" s="118"/>
      <c r="ND131" s="118"/>
      <c r="NE131" s="118"/>
      <c r="NF131" s="118"/>
      <c r="NG131" s="118"/>
      <c r="NH131" s="118"/>
      <c r="NI131" s="118"/>
      <c r="NJ131" s="118"/>
      <c r="NK131" s="118"/>
      <c r="NL131" s="118"/>
      <c r="NM131" s="118"/>
      <c r="NN131" s="118"/>
      <c r="NO131" s="118"/>
      <c r="NP131" s="118"/>
      <c r="NQ131" s="118"/>
      <c r="NR131" s="118"/>
      <c r="NS131" s="118"/>
      <c r="NT131" s="118"/>
      <c r="NU131" s="118"/>
      <c r="NV131" s="118"/>
      <c r="NW131" s="118"/>
      <c r="NX131" s="118"/>
      <c r="NY131" s="118"/>
      <c r="NZ131" s="118"/>
      <c r="OA131" s="118"/>
      <c r="OB131" s="118"/>
      <c r="OC131" s="118"/>
      <c r="OD131" s="118"/>
      <c r="OE131" s="118"/>
      <c r="OF131" s="118"/>
      <c r="OG131" s="118"/>
      <c r="OH131" s="118"/>
      <c r="OI131" s="118"/>
      <c r="OJ131" s="118"/>
      <c r="OK131" s="118"/>
      <c r="OL131" s="118"/>
      <c r="OM131" s="118"/>
      <c r="ON131" s="118"/>
      <c r="OO131" s="118"/>
      <c r="OP131" s="118"/>
      <c r="OQ131" s="118"/>
      <c r="OR131" s="118"/>
      <c r="OS131" s="118"/>
      <c r="OT131" s="118"/>
      <c r="OU131" s="118"/>
      <c r="OV131" s="118"/>
      <c r="OW131" s="118"/>
      <c r="OX131" s="118"/>
      <c r="OY131" s="118"/>
      <c r="OZ131" s="118"/>
      <c r="PA131" s="118"/>
      <c r="PB131" s="118"/>
      <c r="PC131" s="118"/>
      <c r="PD131" s="118"/>
      <c r="PE131" s="118"/>
      <c r="PF131" s="118"/>
      <c r="PG131" s="118"/>
      <c r="PH131" s="118"/>
      <c r="PI131" s="118"/>
      <c r="PJ131" s="118"/>
      <c r="PK131" s="118"/>
      <c r="PL131" s="118"/>
      <c r="PM131" s="118"/>
      <c r="PN131" s="118"/>
      <c r="PO131" s="118"/>
      <c r="PP131" s="118"/>
      <c r="PQ131" s="118"/>
      <c r="PR131" s="118"/>
      <c r="PS131" s="118"/>
      <c r="PT131" s="118"/>
      <c r="PU131" s="118"/>
      <c r="PV131" s="118"/>
      <c r="PW131" s="118"/>
      <c r="PX131" s="118"/>
      <c r="PY131" s="118"/>
      <c r="PZ131" s="118"/>
      <c r="QA131" s="118"/>
      <c r="QB131" s="118"/>
      <c r="QC131" s="118"/>
      <c r="QD131" s="118"/>
      <c r="QE131" s="118"/>
      <c r="QF131" s="118"/>
      <c r="QG131" s="118"/>
      <c r="QH131" s="118"/>
      <c r="QI131" s="118"/>
      <c r="QJ131" s="118"/>
      <c r="QK131" s="118"/>
      <c r="QL131" s="118"/>
      <c r="QM131" s="118"/>
      <c r="QN131" s="118"/>
      <c r="QO131" s="118"/>
      <c r="QP131" s="118"/>
      <c r="QQ131" s="118"/>
      <c r="QR131" s="118"/>
      <c r="QS131" s="118"/>
      <c r="QT131" s="118"/>
      <c r="QU131" s="118"/>
      <c r="QV131" s="118"/>
      <c r="QW131" s="118"/>
      <c r="QX131" s="118"/>
      <c r="QY131" s="118"/>
      <c r="QZ131" s="118"/>
      <c r="RA131" s="118"/>
      <c r="RB131" s="118"/>
      <c r="RC131" s="118"/>
      <c r="RD131" s="118"/>
      <c r="RE131" s="118"/>
      <c r="RF131" s="118"/>
      <c r="RG131" s="118"/>
      <c r="RH131" s="118"/>
      <c r="RI131" s="118"/>
      <c r="RJ131" s="118"/>
      <c r="RK131" s="118"/>
      <c r="RL131" s="118"/>
      <c r="RM131" s="118"/>
      <c r="RN131" s="118"/>
      <c r="RO131" s="118"/>
      <c r="RP131" s="118"/>
      <c r="RQ131" s="118"/>
      <c r="RR131" s="118"/>
      <c r="RS131" s="118"/>
      <c r="RT131" s="118"/>
      <c r="RU131" s="118"/>
      <c r="RV131" s="118"/>
      <c r="RW131" s="118"/>
      <c r="RX131" s="118"/>
      <c r="RY131" s="118"/>
      <c r="RZ131" s="118"/>
      <c r="SA131" s="118"/>
      <c r="SB131" s="118"/>
      <c r="SC131" s="118"/>
      <c r="SD131" s="118"/>
      <c r="SE131" s="118"/>
      <c r="SF131" s="118"/>
      <c r="SG131" s="118"/>
      <c r="SH131" s="118"/>
      <c r="SI131" s="118"/>
      <c r="SJ131" s="118"/>
      <c r="SK131" s="118"/>
      <c r="SL131" s="118"/>
      <c r="SM131" s="118"/>
      <c r="SN131" s="118"/>
      <c r="SO131" s="118"/>
      <c r="SP131" s="118"/>
      <c r="SQ131" s="118"/>
      <c r="SR131" s="118"/>
      <c r="SS131" s="118"/>
      <c r="ST131" s="118"/>
      <c r="SU131" s="118"/>
      <c r="SV131" s="118"/>
      <c r="SW131" s="118"/>
      <c r="SX131" s="118"/>
      <c r="SY131" s="118"/>
      <c r="SZ131" s="118"/>
      <c r="TA131" s="118"/>
      <c r="TB131" s="118"/>
      <c r="TC131" s="118"/>
      <c r="TD131" s="118"/>
      <c r="TE131" s="118"/>
      <c r="TF131" s="118"/>
      <c r="TG131" s="118"/>
      <c r="TH131" s="118"/>
      <c r="TI131" s="118"/>
      <c r="TJ131" s="118"/>
      <c r="TK131" s="118"/>
      <c r="TL131" s="118"/>
      <c r="TM131" s="118"/>
      <c r="TN131" s="118"/>
      <c r="TO131" s="118"/>
      <c r="TP131" s="118"/>
      <c r="TQ131" s="118"/>
      <c r="TR131" s="118"/>
      <c r="TS131" s="118"/>
      <c r="TT131" s="118"/>
      <c r="TU131" s="118"/>
      <c r="TV131" s="118"/>
      <c r="TW131" s="118"/>
      <c r="TX131" s="118"/>
      <c r="TY131" s="118"/>
      <c r="TZ131" s="118"/>
      <c r="UA131" s="118"/>
      <c r="UB131" s="118"/>
      <c r="UC131" s="118"/>
      <c r="UD131" s="118"/>
      <c r="UE131" s="118"/>
      <c r="UF131" s="118"/>
      <c r="UG131" s="118"/>
      <c r="UH131" s="118"/>
      <c r="UI131" s="118"/>
      <c r="UJ131" s="118"/>
      <c r="UK131" s="118"/>
      <c r="UL131" s="118"/>
      <c r="UM131" s="118"/>
      <c r="UN131" s="118"/>
      <c r="UO131" s="118"/>
      <c r="UP131" s="118"/>
      <c r="UQ131" s="118"/>
      <c r="UR131" s="118"/>
      <c r="US131" s="118"/>
      <c r="UT131" s="118"/>
      <c r="UU131" s="118"/>
      <c r="UV131" s="118"/>
      <c r="UW131" s="118"/>
      <c r="UX131" s="118"/>
      <c r="UY131" s="118"/>
      <c r="UZ131" s="118"/>
      <c r="VA131" s="118"/>
      <c r="VB131" s="118"/>
      <c r="VC131" s="118"/>
      <c r="VD131" s="118"/>
      <c r="VE131" s="118"/>
      <c r="VF131" s="118"/>
      <c r="VG131" s="118"/>
      <c r="VH131" s="118"/>
      <c r="VI131" s="118"/>
      <c r="VJ131" s="118"/>
      <c r="VK131" s="118"/>
      <c r="VL131" s="118"/>
      <c r="VM131" s="118"/>
      <c r="VN131" s="118"/>
      <c r="VO131" s="118"/>
      <c r="VP131" s="118"/>
      <c r="VQ131" s="118"/>
      <c r="VR131" s="118"/>
      <c r="VS131" s="118"/>
      <c r="VT131" s="118"/>
      <c r="VU131" s="118"/>
      <c r="VV131" s="118"/>
      <c r="VW131" s="118"/>
      <c r="VX131" s="118"/>
      <c r="VY131" s="118"/>
      <c r="VZ131" s="118"/>
      <c r="WA131" s="118"/>
      <c r="WB131" s="118"/>
      <c r="WC131" s="118"/>
      <c r="WD131" s="118"/>
      <c r="WE131" s="118"/>
      <c r="WF131" s="118"/>
      <c r="WG131" s="118"/>
      <c r="WH131" s="118"/>
      <c r="WI131" s="118"/>
      <c r="WJ131" s="118"/>
      <c r="WK131" s="118"/>
      <c r="WL131" s="118"/>
      <c r="WM131" s="118"/>
      <c r="WN131" s="118"/>
      <c r="WO131" s="118"/>
      <c r="WP131" s="118"/>
      <c r="WQ131" s="118"/>
      <c r="WR131" s="118"/>
      <c r="WS131" s="118"/>
      <c r="WT131" s="118"/>
      <c r="WU131" s="118"/>
      <c r="WV131" s="118"/>
      <c r="WW131" s="118"/>
      <c r="WX131" s="118"/>
      <c r="WY131" s="118"/>
      <c r="WZ131" s="118"/>
      <c r="XA131" s="118"/>
      <c r="XB131" s="118"/>
      <c r="XC131" s="118"/>
      <c r="XD131" s="118"/>
      <c r="XE131" s="118"/>
      <c r="XF131" s="118"/>
      <c r="XG131" s="118"/>
      <c r="XH131" s="118"/>
      <c r="XI131" s="118"/>
      <c r="XJ131" s="118"/>
      <c r="XK131" s="118"/>
      <c r="XL131" s="118"/>
      <c r="XM131" s="118"/>
      <c r="XN131" s="118"/>
      <c r="XO131" s="118"/>
      <c r="XP131" s="118"/>
      <c r="XQ131" s="118"/>
      <c r="XR131" s="118"/>
      <c r="XS131" s="118"/>
      <c r="XT131" s="118"/>
      <c r="XU131" s="118"/>
      <c r="XV131" s="118"/>
      <c r="XW131" s="118"/>
      <c r="XX131" s="118"/>
      <c r="XY131" s="118"/>
      <c r="XZ131" s="118"/>
      <c r="YA131" s="118"/>
      <c r="YB131" s="118"/>
      <c r="YC131" s="118"/>
      <c r="YD131" s="118"/>
      <c r="YE131" s="118"/>
      <c r="YF131" s="118"/>
      <c r="YG131" s="118"/>
      <c r="YH131" s="118"/>
      <c r="YI131" s="118"/>
      <c r="YJ131" s="118"/>
      <c r="YK131" s="118"/>
      <c r="YL131" s="118"/>
      <c r="YM131" s="118"/>
      <c r="YN131" s="118"/>
      <c r="YO131" s="118"/>
      <c r="YP131" s="118"/>
      <c r="YQ131" s="118"/>
      <c r="YR131" s="118"/>
      <c r="YS131" s="118"/>
      <c r="YT131" s="118"/>
      <c r="YU131" s="118"/>
      <c r="YV131" s="118"/>
      <c r="YW131" s="118"/>
      <c r="YX131" s="118"/>
      <c r="YY131" s="118"/>
      <c r="YZ131" s="118"/>
      <c r="ZA131" s="118"/>
      <c r="ZB131" s="118"/>
      <c r="ZC131" s="118"/>
      <c r="ZD131" s="118"/>
      <c r="ZE131" s="118"/>
      <c r="ZF131" s="118"/>
      <c r="ZG131" s="118"/>
      <c r="ZH131" s="118"/>
      <c r="ZI131" s="118"/>
      <c r="ZJ131" s="118"/>
      <c r="ZK131" s="118"/>
      <c r="ZL131" s="118"/>
      <c r="ZM131" s="118"/>
      <c r="ZN131" s="118"/>
      <c r="ZO131" s="118"/>
      <c r="ZP131" s="118"/>
      <c r="ZQ131" s="118"/>
      <c r="ZR131" s="118"/>
      <c r="ZS131" s="118"/>
      <c r="ZT131" s="118"/>
      <c r="ZU131" s="118"/>
      <c r="ZV131" s="118"/>
      <c r="ZW131" s="118"/>
      <c r="ZX131" s="118"/>
      <c r="ZY131" s="118"/>
      <c r="ZZ131" s="118"/>
      <c r="AAA131" s="118"/>
      <c r="AAB131" s="118"/>
      <c r="AAC131" s="118"/>
      <c r="AAD131" s="118"/>
      <c r="AAE131" s="118"/>
      <c r="AAF131" s="118"/>
      <c r="AAG131" s="118"/>
      <c r="AAH131" s="118"/>
      <c r="AAI131" s="118"/>
      <c r="AAJ131" s="118"/>
      <c r="AAK131" s="118"/>
      <c r="AAL131" s="118"/>
      <c r="AAM131" s="118"/>
      <c r="AAN131" s="118"/>
      <c r="AAO131" s="118"/>
      <c r="AAP131" s="118"/>
      <c r="AAQ131" s="118"/>
      <c r="AAR131" s="118"/>
      <c r="AAS131" s="118"/>
      <c r="AAT131" s="118"/>
      <c r="AAU131" s="118"/>
      <c r="AAV131" s="118"/>
      <c r="AAW131" s="118"/>
      <c r="AAX131" s="118"/>
      <c r="AAY131" s="118"/>
      <c r="AAZ131" s="118"/>
      <c r="ABA131" s="118"/>
      <c r="ABB131" s="118"/>
      <c r="ABC131" s="118"/>
      <c r="ABD131" s="118"/>
      <c r="ABE131" s="118"/>
      <c r="ABF131" s="118"/>
      <c r="ABG131" s="118"/>
      <c r="ABH131" s="118"/>
      <c r="ABI131" s="118"/>
      <c r="ABJ131" s="118"/>
      <c r="ABK131" s="118"/>
      <c r="ABL131" s="118"/>
      <c r="ABM131" s="118"/>
      <c r="ABN131" s="118"/>
      <c r="ABO131" s="118"/>
      <c r="ABP131" s="118"/>
      <c r="ABQ131" s="118"/>
      <c r="ABR131" s="118"/>
      <c r="ABS131" s="118"/>
      <c r="ABT131" s="118"/>
      <c r="ABU131" s="118"/>
      <c r="ABV131" s="118"/>
      <c r="ABW131" s="118"/>
      <c r="ABX131" s="118"/>
      <c r="ABY131" s="118"/>
      <c r="ABZ131" s="118"/>
      <c r="ACA131" s="118"/>
      <c r="ACB131" s="118"/>
      <c r="ACC131" s="118"/>
      <c r="ACD131" s="118"/>
      <c r="ACE131" s="118"/>
      <c r="ACF131" s="118"/>
      <c r="ACG131" s="118"/>
      <c r="ACH131" s="118"/>
      <c r="ACI131" s="118"/>
      <c r="ACJ131" s="118"/>
      <c r="ACK131" s="118"/>
      <c r="ACL131" s="118"/>
      <c r="ACM131" s="118"/>
      <c r="ACN131" s="118"/>
      <c r="ACO131" s="118"/>
      <c r="ACP131" s="118"/>
      <c r="ACQ131" s="118"/>
      <c r="ACR131" s="118"/>
      <c r="ACS131" s="118"/>
      <c r="ACT131" s="118"/>
      <c r="ACU131" s="118"/>
      <c r="ACV131" s="118"/>
      <c r="ACW131" s="118"/>
      <c r="ACX131" s="118"/>
      <c r="ACY131" s="118"/>
      <c r="ACZ131" s="118"/>
      <c r="ADA131" s="118"/>
      <c r="ADB131" s="118"/>
      <c r="ADC131" s="118"/>
      <c r="ADD131" s="118"/>
      <c r="ADE131" s="118"/>
      <c r="ADF131" s="118"/>
      <c r="ADG131" s="118"/>
      <c r="ADH131" s="118"/>
      <c r="ADI131" s="118"/>
      <c r="ADJ131" s="118"/>
      <c r="ADK131" s="118"/>
      <c r="ADL131" s="118"/>
      <c r="ADM131" s="118"/>
      <c r="ADN131" s="118"/>
      <c r="ADO131" s="118"/>
      <c r="ADP131" s="118"/>
      <c r="ADQ131" s="118"/>
      <c r="ADR131" s="118"/>
      <c r="ADS131" s="118"/>
      <c r="ADT131" s="118"/>
      <c r="ADU131" s="118"/>
      <c r="ADV131" s="118"/>
      <c r="ADW131" s="118"/>
      <c r="ADX131" s="118"/>
      <c r="ADY131" s="118"/>
      <c r="ADZ131" s="118"/>
      <c r="AEA131" s="118"/>
      <c r="AEB131" s="118"/>
      <c r="AEC131" s="118"/>
      <c r="AED131" s="118"/>
      <c r="AEE131" s="118"/>
      <c r="AEF131" s="118"/>
      <c r="AEG131" s="118"/>
      <c r="AEH131" s="118"/>
      <c r="AEI131" s="118"/>
      <c r="AEJ131" s="118"/>
      <c r="AEK131" s="118"/>
      <c r="AEL131" s="118"/>
      <c r="AEM131" s="118"/>
      <c r="AEN131" s="118"/>
      <c r="AEO131" s="118"/>
      <c r="AEP131" s="118"/>
      <c r="AEQ131" s="118"/>
      <c r="AER131" s="118"/>
      <c r="AES131" s="118"/>
      <c r="AET131" s="118"/>
      <c r="AEU131" s="118"/>
      <c r="AEV131" s="118"/>
      <c r="AEW131" s="118"/>
      <c r="AEX131" s="118"/>
      <c r="AEY131" s="118"/>
      <c r="AEZ131" s="118"/>
      <c r="AFA131" s="118"/>
      <c r="AFB131" s="118"/>
      <c r="AFC131" s="118"/>
      <c r="AFD131" s="118"/>
      <c r="AFE131" s="118"/>
      <c r="AFF131" s="118"/>
      <c r="AFG131" s="118"/>
      <c r="AFH131" s="118"/>
      <c r="AFI131" s="118"/>
      <c r="AFJ131" s="118"/>
      <c r="AFK131" s="118"/>
      <c r="AFL131" s="118"/>
      <c r="AFM131" s="118"/>
      <c r="AFN131" s="118"/>
      <c r="AFO131" s="118"/>
      <c r="AFP131" s="118"/>
      <c r="AFQ131" s="118"/>
      <c r="AFR131" s="118"/>
      <c r="AFS131" s="118"/>
      <c r="AFT131" s="118"/>
      <c r="AFU131" s="118"/>
      <c r="AFV131" s="118"/>
      <c r="AFW131" s="118"/>
      <c r="AFX131" s="118"/>
      <c r="AFY131" s="118"/>
      <c r="AFZ131" s="118"/>
      <c r="AGA131" s="118"/>
      <c r="AGB131" s="118"/>
      <c r="AGC131" s="118"/>
      <c r="AGD131" s="118"/>
      <c r="AGE131" s="118"/>
      <c r="AGF131" s="118"/>
      <c r="AGG131" s="118"/>
      <c r="AGH131" s="118"/>
      <c r="AGI131" s="118"/>
      <c r="AGJ131" s="118"/>
      <c r="AGK131" s="118"/>
      <c r="AGL131" s="118"/>
      <c r="AGM131" s="118"/>
      <c r="AGN131" s="118"/>
      <c r="AGO131" s="118"/>
      <c r="AGP131" s="118"/>
      <c r="AGQ131" s="118"/>
      <c r="AGR131" s="118"/>
      <c r="AGS131" s="118"/>
      <c r="AGT131" s="118"/>
      <c r="AGU131" s="118"/>
      <c r="AGV131" s="118"/>
      <c r="AGW131" s="118"/>
      <c r="AGX131" s="118"/>
      <c r="AGY131" s="118"/>
      <c r="AGZ131" s="118"/>
      <c r="AHA131" s="118"/>
      <c r="AHB131" s="118"/>
      <c r="AHC131" s="118"/>
      <c r="AHD131" s="118"/>
      <c r="AHE131" s="118"/>
      <c r="AHF131" s="118"/>
      <c r="AHG131" s="118"/>
      <c r="AHH131" s="118"/>
      <c r="AHI131" s="118"/>
      <c r="AHJ131" s="118"/>
      <c r="AHK131" s="118"/>
      <c r="AHL131" s="118"/>
      <c r="AHM131" s="118"/>
      <c r="AHN131" s="118"/>
      <c r="AHO131" s="118"/>
      <c r="AHP131" s="118"/>
      <c r="AHQ131" s="118"/>
      <c r="AHR131" s="118"/>
      <c r="AHS131" s="118"/>
      <c r="AHT131" s="118"/>
      <c r="AHU131" s="118"/>
      <c r="AHV131" s="118"/>
      <c r="AHW131" s="118"/>
      <c r="AHX131" s="118"/>
      <c r="AHY131" s="118"/>
      <c r="AHZ131" s="118"/>
      <c r="AIA131" s="118"/>
      <c r="AIB131" s="118"/>
      <c r="AIC131" s="118"/>
      <c r="AID131" s="118"/>
      <c r="AIE131" s="118"/>
      <c r="AIF131" s="118"/>
      <c r="AIG131" s="118"/>
      <c r="AIH131" s="118"/>
      <c r="AII131" s="118"/>
      <c r="AIJ131" s="118"/>
      <c r="AIK131" s="118"/>
      <c r="AIL131" s="118"/>
      <c r="AIM131" s="118"/>
      <c r="AIN131" s="118"/>
      <c r="AIO131" s="118"/>
      <c r="AIP131" s="118"/>
      <c r="AIQ131" s="118"/>
      <c r="AIR131" s="118"/>
      <c r="AIS131" s="118"/>
      <c r="AIT131" s="118"/>
      <c r="AIU131" s="118"/>
      <c r="AIV131" s="118"/>
      <c r="AIW131" s="118"/>
      <c r="AIX131" s="118"/>
      <c r="AIY131" s="118"/>
      <c r="AIZ131" s="118"/>
      <c r="AJA131" s="118"/>
      <c r="AJB131" s="118"/>
      <c r="AJC131" s="118"/>
      <c r="AJD131" s="118"/>
      <c r="AJE131" s="118"/>
      <c r="AJF131" s="118"/>
      <c r="AJG131" s="118"/>
      <c r="AJH131" s="118"/>
      <c r="AJI131" s="118"/>
      <c r="AJJ131" s="118"/>
      <c r="AJK131" s="118"/>
      <c r="AJL131" s="118"/>
      <c r="AJM131" s="118"/>
      <c r="AJN131" s="118"/>
      <c r="AJO131" s="118"/>
      <c r="AJP131" s="118"/>
      <c r="AJQ131" s="118"/>
      <c r="AJR131" s="118"/>
      <c r="AJS131" s="118"/>
      <c r="AJT131" s="118"/>
      <c r="AJU131" s="118"/>
      <c r="AJV131" s="118"/>
      <c r="AJW131" s="118"/>
      <c r="AJX131" s="118"/>
      <c r="AJY131" s="118"/>
      <c r="AJZ131" s="118"/>
      <c r="AKA131" s="118"/>
      <c r="AKB131" s="118"/>
      <c r="AKC131" s="118"/>
      <c r="AKD131" s="118"/>
      <c r="AKE131" s="118"/>
      <c r="AKF131" s="118"/>
      <c r="AKG131" s="118"/>
      <c r="AKH131" s="118"/>
      <c r="AKI131" s="118"/>
      <c r="AKJ131" s="118"/>
      <c r="AKK131" s="118"/>
      <c r="AKL131" s="118"/>
      <c r="AKM131" s="118"/>
      <c r="AKN131" s="118"/>
      <c r="AKO131" s="118"/>
      <c r="AKP131" s="118"/>
      <c r="AKQ131" s="118"/>
      <c r="AKR131" s="118"/>
      <c r="AKS131" s="118"/>
      <c r="AKT131" s="118"/>
      <c r="AKU131" s="118"/>
      <c r="AKV131" s="118"/>
      <c r="AKW131" s="118"/>
      <c r="AKX131" s="118"/>
      <c r="AKY131" s="118"/>
      <c r="AKZ131" s="118"/>
      <c r="ALA131" s="118"/>
      <c r="ALB131" s="118"/>
      <c r="ALC131" s="118"/>
      <c r="ALD131" s="118"/>
      <c r="ALE131" s="118"/>
      <c r="ALF131" s="118"/>
      <c r="ALG131" s="118"/>
      <c r="ALH131" s="118"/>
      <c r="ALI131" s="118"/>
      <c r="ALJ131" s="118"/>
      <c r="ALK131" s="118"/>
      <c r="ALL131" s="118"/>
      <c r="ALM131" s="118"/>
      <c r="ALN131" s="118"/>
      <c r="ALO131" s="118"/>
      <c r="ALP131" s="118"/>
      <c r="ALQ131" s="118"/>
      <c r="ALR131" s="118"/>
      <c r="ALS131" s="118"/>
      <c r="ALT131" s="118"/>
      <c r="ALU131" s="118"/>
      <c r="ALV131" s="118"/>
      <c r="ALW131" s="118"/>
      <c r="ALX131" s="118"/>
      <c r="ALY131" s="118"/>
      <c r="ALZ131" s="118"/>
      <c r="AMA131" s="118"/>
      <c r="AMB131" s="118"/>
      <c r="AMC131" s="118"/>
      <c r="AMD131" s="118"/>
      <c r="AME131" s="118"/>
      <c r="AMF131" s="118"/>
      <c r="AMG131" s="118"/>
      <c r="AMH131" s="118"/>
      <c r="AMI131" s="118"/>
      <c r="AMJ131" s="118"/>
      <c r="AMK131" s="118"/>
      <c r="AML131" s="118"/>
      <c r="AMM131" s="118"/>
      <c r="AMN131" s="118"/>
      <c r="AMO131" s="118"/>
      <c r="AMP131" s="118"/>
      <c r="AMQ131" s="118"/>
      <c r="AMR131" s="118"/>
      <c r="AMS131" s="118"/>
      <c r="AMT131" s="118"/>
      <c r="AMU131" s="118"/>
      <c r="AMV131" s="118"/>
      <c r="AMW131" s="118"/>
      <c r="AMX131" s="118"/>
      <c r="AMY131" s="118"/>
      <c r="AMZ131" s="118"/>
      <c r="ANA131" s="118"/>
      <c r="ANB131" s="118"/>
      <c r="ANC131" s="118"/>
      <c r="AND131" s="118"/>
      <c r="ANE131" s="118"/>
      <c r="ANF131" s="118"/>
      <c r="ANG131" s="118"/>
      <c r="ANH131" s="118"/>
      <c r="ANI131" s="118"/>
      <c r="ANJ131" s="118"/>
      <c r="ANK131" s="118"/>
      <c r="ANL131" s="118"/>
      <c r="ANM131" s="118"/>
      <c r="ANN131" s="118"/>
      <c r="ANO131" s="118"/>
      <c r="ANP131" s="118"/>
      <c r="ANQ131" s="118"/>
      <c r="ANR131" s="118"/>
      <c r="ANS131" s="118"/>
      <c r="ANT131" s="118"/>
      <c r="ANU131" s="118"/>
      <c r="ANV131" s="118"/>
      <c r="ANW131" s="118"/>
      <c r="ANX131" s="118"/>
      <c r="ANY131" s="118"/>
      <c r="ANZ131" s="118"/>
      <c r="AOA131" s="118"/>
      <c r="AOB131" s="118"/>
      <c r="AOC131" s="118"/>
      <c r="AOD131" s="118"/>
      <c r="AOE131" s="118"/>
      <c r="AOF131" s="118"/>
      <c r="AOG131" s="118"/>
      <c r="AOH131" s="118"/>
      <c r="AOI131" s="118"/>
      <c r="AOJ131" s="118"/>
      <c r="AOK131" s="118"/>
      <c r="AOL131" s="118"/>
      <c r="AOM131" s="118"/>
      <c r="AON131" s="118"/>
      <c r="AOO131" s="118"/>
      <c r="AOP131" s="118"/>
      <c r="AOQ131" s="118"/>
      <c r="AOR131" s="118"/>
      <c r="AOS131" s="118"/>
      <c r="AOT131" s="118"/>
      <c r="AOU131" s="118"/>
      <c r="AOV131" s="118"/>
      <c r="AOW131" s="118"/>
      <c r="AOX131" s="118"/>
      <c r="AOY131" s="118"/>
      <c r="AOZ131" s="118"/>
      <c r="APA131" s="118"/>
      <c r="APB131" s="118"/>
      <c r="APC131" s="118"/>
      <c r="APD131" s="118"/>
      <c r="APE131" s="118"/>
      <c r="APF131" s="118"/>
      <c r="APG131" s="118"/>
      <c r="APH131" s="118"/>
      <c r="API131" s="118"/>
      <c r="APJ131" s="118"/>
      <c r="APK131" s="118"/>
      <c r="APL131" s="118"/>
      <c r="APM131" s="118"/>
      <c r="APN131" s="118"/>
      <c r="APO131" s="118"/>
      <c r="APP131" s="118"/>
      <c r="APQ131" s="118"/>
      <c r="APR131" s="118"/>
      <c r="APS131" s="118"/>
      <c r="APT131" s="118"/>
      <c r="APU131" s="118"/>
      <c r="APV131" s="118"/>
      <c r="APW131" s="118"/>
      <c r="APX131" s="118"/>
      <c r="APY131" s="118"/>
      <c r="APZ131" s="118"/>
      <c r="AQA131" s="118"/>
      <c r="AQB131" s="118"/>
      <c r="AQC131" s="118"/>
      <c r="AQD131" s="118"/>
      <c r="AQE131" s="118"/>
      <c r="AQF131" s="118"/>
      <c r="AQG131" s="118"/>
      <c r="AQH131" s="118"/>
      <c r="AQI131" s="118"/>
      <c r="AQJ131" s="118"/>
      <c r="AQK131" s="118"/>
      <c r="AQL131" s="118"/>
      <c r="AQM131" s="118"/>
      <c r="AQN131" s="118"/>
      <c r="AQO131" s="118"/>
      <c r="AQP131" s="118"/>
      <c r="AQQ131" s="118"/>
      <c r="AQR131" s="118"/>
      <c r="AQS131" s="118"/>
      <c r="AQT131" s="118"/>
      <c r="AQU131" s="118"/>
      <c r="AQV131" s="118"/>
      <c r="AQW131" s="118"/>
      <c r="AQX131" s="118"/>
      <c r="AQY131" s="118"/>
      <c r="AQZ131" s="118"/>
      <c r="ARA131" s="118"/>
      <c r="ARB131" s="118"/>
      <c r="ARC131" s="118"/>
      <c r="ARD131" s="118"/>
      <c r="ARE131" s="118"/>
      <c r="ARF131" s="118"/>
      <c r="ARG131" s="118"/>
      <c r="ARH131" s="118"/>
      <c r="ARI131" s="118"/>
      <c r="ARJ131" s="118"/>
      <c r="ARK131" s="118"/>
      <c r="ARL131" s="118"/>
      <c r="ARM131" s="118"/>
      <c r="ARN131" s="118"/>
      <c r="ARO131" s="118"/>
      <c r="ARP131" s="118"/>
      <c r="ARQ131" s="118"/>
      <c r="ARR131" s="118"/>
      <c r="ARS131" s="118"/>
      <c r="ART131" s="118"/>
      <c r="ARU131" s="118"/>
      <c r="ARV131" s="118"/>
      <c r="ARW131" s="118"/>
      <c r="ARX131" s="118"/>
      <c r="ARY131" s="118"/>
      <c r="ARZ131" s="118"/>
      <c r="ASA131" s="118"/>
      <c r="ASB131" s="118"/>
      <c r="ASC131" s="118"/>
      <c r="ASD131" s="118"/>
      <c r="ASE131" s="118"/>
      <c r="ASF131" s="118"/>
      <c r="ASG131" s="118"/>
      <c r="ASH131" s="118"/>
      <c r="ASI131" s="118"/>
      <c r="ASJ131" s="118"/>
      <c r="ASK131" s="118"/>
      <c r="ASL131" s="118"/>
      <c r="ASM131" s="118"/>
      <c r="ASN131" s="118"/>
      <c r="ASO131" s="118"/>
      <c r="ASP131" s="118"/>
      <c r="ASQ131" s="118"/>
      <c r="ASR131" s="118"/>
      <c r="ASS131" s="118"/>
      <c r="AST131" s="118"/>
      <c r="ASU131" s="118"/>
      <c r="ASV131" s="118"/>
      <c r="ASW131" s="118"/>
      <c r="ASX131" s="118"/>
      <c r="ASY131" s="118"/>
      <c r="ASZ131" s="118"/>
      <c r="ATA131" s="118"/>
      <c r="ATB131" s="118"/>
      <c r="ATC131" s="118"/>
      <c r="ATD131" s="118"/>
      <c r="ATE131" s="118"/>
      <c r="ATF131" s="118"/>
      <c r="ATG131" s="118"/>
      <c r="ATH131" s="118"/>
      <c r="ATI131" s="118"/>
      <c r="ATJ131" s="118"/>
      <c r="ATK131" s="118"/>
      <c r="ATL131" s="118"/>
      <c r="ATM131" s="118"/>
      <c r="ATN131" s="118"/>
      <c r="ATO131" s="118"/>
      <c r="ATP131" s="118"/>
      <c r="ATQ131" s="118"/>
      <c r="ATR131" s="118"/>
      <c r="ATS131" s="118"/>
      <c r="ATT131" s="118"/>
      <c r="ATU131" s="118"/>
      <c r="ATV131" s="118"/>
      <c r="ATW131" s="118"/>
      <c r="ATX131" s="118"/>
      <c r="ATY131" s="118"/>
      <c r="ATZ131" s="118"/>
      <c r="AUA131" s="118"/>
      <c r="AUB131" s="118"/>
      <c r="AUC131" s="118"/>
      <c r="AUD131" s="118"/>
      <c r="AUE131" s="118"/>
      <c r="AUF131" s="118"/>
      <c r="AUG131" s="118"/>
      <c r="AUH131" s="118"/>
      <c r="AUI131" s="118"/>
      <c r="AUJ131" s="118"/>
      <c r="AUK131" s="118"/>
      <c r="AUL131" s="118"/>
      <c r="AUM131" s="118"/>
      <c r="AUN131" s="118"/>
      <c r="AUO131" s="118"/>
      <c r="AUP131" s="118"/>
      <c r="AUQ131" s="118"/>
      <c r="AUR131" s="118"/>
      <c r="AUS131" s="118"/>
      <c r="AUT131" s="118"/>
      <c r="AUU131" s="118"/>
      <c r="AUV131" s="118"/>
      <c r="AUW131" s="118"/>
      <c r="AUX131" s="118"/>
      <c r="AUY131" s="118"/>
      <c r="AUZ131" s="118"/>
      <c r="AVA131" s="118"/>
      <c r="AVB131" s="118"/>
      <c r="AVC131" s="118"/>
      <c r="AVD131" s="118"/>
      <c r="AVE131" s="118"/>
      <c r="AVF131" s="118"/>
      <c r="AVG131" s="118"/>
      <c r="AVH131" s="118"/>
      <c r="AVI131" s="118"/>
      <c r="AVJ131" s="118"/>
      <c r="AVK131" s="118"/>
      <c r="AVL131" s="118"/>
      <c r="AVM131" s="118"/>
      <c r="AVN131" s="118"/>
      <c r="AVO131" s="118"/>
      <c r="AVP131" s="118"/>
      <c r="AVQ131" s="118"/>
      <c r="AVR131" s="118"/>
      <c r="AVS131" s="118"/>
      <c r="AVT131" s="118"/>
      <c r="AVU131" s="118"/>
      <c r="AVV131" s="118"/>
      <c r="AVW131" s="118"/>
      <c r="AVX131" s="118"/>
      <c r="AVY131" s="118"/>
      <c r="AVZ131" s="118"/>
      <c r="AWA131" s="118"/>
      <c r="AWB131" s="118"/>
      <c r="AWC131" s="118"/>
      <c r="AWD131" s="118"/>
      <c r="AWE131" s="118"/>
      <c r="AWF131" s="118"/>
      <c r="AWG131" s="118"/>
      <c r="AWH131" s="118"/>
      <c r="AWI131" s="118"/>
      <c r="AWJ131" s="118"/>
      <c r="AWK131" s="118"/>
      <c r="AWL131" s="118"/>
      <c r="AWM131" s="118"/>
      <c r="AWN131" s="118"/>
      <c r="AWO131" s="118"/>
      <c r="AWP131" s="118"/>
      <c r="AWQ131" s="118"/>
      <c r="AWR131" s="118"/>
      <c r="AWS131" s="118"/>
      <c r="AWT131" s="118"/>
      <c r="AWU131" s="118"/>
      <c r="AWV131" s="118"/>
      <c r="AWW131" s="118"/>
      <c r="AWX131" s="118"/>
      <c r="AWY131" s="118"/>
      <c r="AWZ131" s="118"/>
      <c r="AXA131" s="118"/>
      <c r="AXB131" s="118"/>
      <c r="AXC131" s="118"/>
      <c r="AXD131" s="118"/>
      <c r="AXE131" s="118"/>
      <c r="AXF131" s="118"/>
      <c r="AXG131" s="118"/>
      <c r="AXH131" s="118"/>
      <c r="AXI131" s="118"/>
      <c r="AXJ131" s="118"/>
      <c r="AXK131" s="118"/>
      <c r="AXL131" s="118"/>
      <c r="AXM131" s="118"/>
      <c r="AXN131" s="118"/>
      <c r="AXO131" s="118"/>
      <c r="AXP131" s="118"/>
      <c r="AXQ131" s="118"/>
      <c r="AXR131" s="118"/>
      <c r="AXS131" s="118"/>
      <c r="AXT131" s="118"/>
      <c r="AXU131" s="118"/>
      <c r="AXV131" s="118"/>
      <c r="AXW131" s="118"/>
      <c r="AXX131" s="118"/>
      <c r="AXY131" s="118"/>
      <c r="AXZ131" s="118"/>
      <c r="AYA131" s="118"/>
      <c r="AYB131" s="118"/>
      <c r="AYC131" s="118"/>
      <c r="AYD131" s="118"/>
      <c r="AYE131" s="118"/>
      <c r="AYF131" s="118"/>
      <c r="AYG131" s="118"/>
      <c r="AYH131" s="118"/>
      <c r="AYI131" s="118"/>
      <c r="AYJ131" s="118"/>
      <c r="AYK131" s="118"/>
      <c r="AYL131" s="118"/>
      <c r="AYM131" s="118"/>
      <c r="AYN131" s="118"/>
      <c r="AYO131" s="118"/>
      <c r="AYP131" s="118"/>
      <c r="AYQ131" s="118"/>
      <c r="AYR131" s="118"/>
      <c r="AYS131" s="118"/>
      <c r="AYT131" s="118"/>
      <c r="AYU131" s="118"/>
      <c r="AYV131" s="118"/>
      <c r="AYW131" s="118"/>
      <c r="AYX131" s="118"/>
      <c r="AYY131" s="118"/>
      <c r="AYZ131" s="118"/>
      <c r="AZA131" s="118"/>
      <c r="AZB131" s="118"/>
      <c r="AZC131" s="118"/>
      <c r="AZD131" s="118"/>
      <c r="AZE131" s="118"/>
      <c r="AZF131" s="118"/>
      <c r="AZG131" s="118"/>
      <c r="AZH131" s="118"/>
      <c r="AZI131" s="118"/>
      <c r="AZJ131" s="118"/>
      <c r="AZK131" s="118"/>
      <c r="AZL131" s="118"/>
      <c r="AZM131" s="118"/>
      <c r="AZN131" s="118"/>
      <c r="AZO131" s="118"/>
      <c r="AZP131" s="118"/>
      <c r="AZQ131" s="118"/>
      <c r="AZR131" s="118"/>
      <c r="AZS131" s="118"/>
      <c r="AZT131" s="118"/>
      <c r="AZU131" s="118"/>
      <c r="AZV131" s="118"/>
      <c r="AZW131" s="118"/>
      <c r="AZX131" s="118"/>
      <c r="AZY131" s="118"/>
      <c r="AZZ131" s="118"/>
      <c r="BAA131" s="118"/>
      <c r="BAB131" s="118"/>
      <c r="BAC131" s="118"/>
      <c r="BAD131" s="118"/>
      <c r="BAE131" s="118"/>
      <c r="BAF131" s="118"/>
      <c r="BAG131" s="118"/>
      <c r="BAH131" s="118"/>
      <c r="BAI131" s="118"/>
      <c r="BAJ131" s="118"/>
      <c r="BAK131" s="118"/>
      <c r="BAL131" s="118"/>
      <c r="BAM131" s="118"/>
      <c r="BAN131" s="118"/>
      <c r="BAO131" s="118"/>
      <c r="BAP131" s="118"/>
      <c r="BAQ131" s="118"/>
      <c r="BAR131" s="118"/>
      <c r="BAS131" s="118"/>
      <c r="BAT131" s="118"/>
      <c r="BAU131" s="118"/>
      <c r="BAV131" s="118"/>
      <c r="BAW131" s="118"/>
      <c r="BAX131" s="118"/>
      <c r="BAY131" s="118"/>
      <c r="BAZ131" s="118"/>
      <c r="BBA131" s="118"/>
      <c r="BBB131" s="118"/>
      <c r="BBC131" s="118"/>
      <c r="BBD131" s="118"/>
      <c r="BBE131" s="118"/>
      <c r="BBF131" s="118"/>
      <c r="BBG131" s="118"/>
      <c r="BBH131" s="118"/>
      <c r="BBI131" s="118"/>
      <c r="BBJ131" s="118"/>
      <c r="BBK131" s="118"/>
      <c r="BBL131" s="118"/>
      <c r="BBM131" s="118"/>
      <c r="BBN131" s="118"/>
      <c r="BBO131" s="118"/>
      <c r="BBP131" s="118"/>
      <c r="BBQ131" s="118"/>
      <c r="BBR131" s="118"/>
      <c r="BBS131" s="118"/>
      <c r="BBT131" s="118"/>
      <c r="BBU131" s="118"/>
      <c r="BBV131" s="118"/>
      <c r="BBW131" s="118"/>
      <c r="BBX131" s="118"/>
      <c r="BBY131" s="118"/>
      <c r="BBZ131" s="118"/>
      <c r="BCA131" s="118"/>
      <c r="BCB131" s="118"/>
      <c r="BCC131" s="118"/>
      <c r="BCD131" s="118"/>
      <c r="BCE131" s="118"/>
      <c r="BCF131" s="118"/>
      <c r="BCG131" s="118"/>
      <c r="BCH131" s="118"/>
      <c r="BCI131" s="118"/>
      <c r="BCJ131" s="118"/>
      <c r="BCK131" s="118"/>
      <c r="BCL131" s="118"/>
      <c r="BCM131" s="118"/>
      <c r="BCN131" s="118"/>
      <c r="BCO131" s="118"/>
      <c r="BCP131" s="118"/>
      <c r="BCQ131" s="118"/>
      <c r="BCR131" s="118"/>
      <c r="BCS131" s="118"/>
      <c r="BCT131" s="118"/>
      <c r="BCU131" s="118"/>
      <c r="BCV131" s="118"/>
      <c r="BCW131" s="118"/>
      <c r="BCX131" s="118"/>
      <c r="BCY131" s="118"/>
      <c r="BCZ131" s="118"/>
      <c r="BDA131" s="118"/>
      <c r="BDB131" s="118"/>
      <c r="BDC131" s="118"/>
      <c r="BDD131" s="118"/>
      <c r="BDE131" s="118"/>
      <c r="BDF131" s="118"/>
      <c r="BDG131" s="118"/>
      <c r="BDH131" s="118"/>
      <c r="BDI131" s="118"/>
      <c r="BDJ131" s="118"/>
      <c r="BDK131" s="118"/>
      <c r="BDL131" s="118"/>
      <c r="BDM131" s="118"/>
      <c r="BDN131" s="118"/>
      <c r="BDO131" s="118"/>
      <c r="BDP131" s="118"/>
      <c r="BDQ131" s="118"/>
      <c r="BDR131" s="118"/>
      <c r="BDS131" s="118"/>
      <c r="BDT131" s="118"/>
      <c r="BDU131" s="118"/>
      <c r="BDV131" s="118"/>
      <c r="BDW131" s="118"/>
      <c r="BDX131" s="118"/>
      <c r="BDY131" s="118"/>
      <c r="BDZ131" s="118"/>
      <c r="BEA131" s="118"/>
      <c r="BEB131" s="118"/>
      <c r="BEC131" s="118"/>
      <c r="BED131" s="118"/>
      <c r="BEE131" s="118"/>
      <c r="BEF131" s="118"/>
      <c r="BEG131" s="118"/>
      <c r="BEH131" s="118"/>
      <c r="BEI131" s="118"/>
      <c r="BEJ131" s="118"/>
      <c r="BEK131" s="118"/>
      <c r="BEL131" s="118"/>
      <c r="BEM131" s="118"/>
      <c r="BEN131" s="118"/>
      <c r="BEO131" s="118"/>
      <c r="BEP131" s="118"/>
      <c r="BEQ131" s="118"/>
      <c r="BER131" s="118"/>
      <c r="BES131" s="118"/>
      <c r="BET131" s="118"/>
      <c r="BEU131" s="118"/>
      <c r="BEV131" s="118"/>
      <c r="BEW131" s="118"/>
      <c r="BEX131" s="118"/>
      <c r="BEY131" s="118"/>
      <c r="BEZ131" s="118"/>
      <c r="BFA131" s="118"/>
      <c r="BFB131" s="118"/>
      <c r="BFC131" s="118"/>
      <c r="BFD131" s="118"/>
      <c r="BFE131" s="118"/>
      <c r="BFF131" s="118"/>
      <c r="BFG131" s="118"/>
      <c r="BFH131" s="118"/>
      <c r="BFI131" s="118"/>
      <c r="BFJ131" s="118"/>
      <c r="BFK131" s="118"/>
      <c r="BFL131" s="118"/>
      <c r="BFM131" s="118"/>
      <c r="BFN131" s="118"/>
      <c r="BFO131" s="118"/>
      <c r="BFP131" s="118"/>
      <c r="BFQ131" s="118"/>
      <c r="BFR131" s="118"/>
      <c r="BFS131" s="118"/>
      <c r="BFT131" s="118"/>
      <c r="BFU131" s="118"/>
      <c r="BFV131" s="118"/>
      <c r="BFW131" s="118"/>
      <c r="BFX131" s="118"/>
      <c r="BFY131" s="118"/>
      <c r="BFZ131" s="118"/>
      <c r="BGA131" s="118"/>
      <c r="BGB131" s="118"/>
      <c r="BGC131" s="118"/>
      <c r="BGD131" s="118"/>
      <c r="BGE131" s="118"/>
      <c r="BGF131" s="118"/>
      <c r="BGG131" s="118"/>
      <c r="BGH131" s="118"/>
      <c r="BGI131" s="118"/>
      <c r="BGJ131" s="118"/>
      <c r="BGK131" s="118"/>
      <c r="BGL131" s="118"/>
      <c r="BGM131" s="118"/>
      <c r="BGN131" s="118"/>
      <c r="BGO131" s="118"/>
      <c r="BGP131" s="118"/>
      <c r="BGQ131" s="118"/>
      <c r="BGR131" s="118"/>
      <c r="BGS131" s="118"/>
      <c r="BGT131" s="118"/>
      <c r="BGU131" s="118"/>
      <c r="BGV131" s="118"/>
      <c r="BGW131" s="118"/>
      <c r="BGX131" s="118"/>
      <c r="BGY131" s="118"/>
      <c r="BGZ131" s="118"/>
      <c r="BHA131" s="118"/>
      <c r="BHB131" s="118"/>
      <c r="BHC131" s="118"/>
      <c r="BHD131" s="118"/>
      <c r="BHE131" s="118"/>
      <c r="BHF131" s="118"/>
      <c r="BHG131" s="118"/>
      <c r="BHH131" s="118"/>
      <c r="BHI131" s="118"/>
      <c r="BHJ131" s="118"/>
      <c r="BHK131" s="118"/>
      <c r="BHL131" s="118"/>
      <c r="BHM131" s="118"/>
      <c r="BHN131" s="118"/>
      <c r="BHO131" s="118"/>
      <c r="BHP131" s="118"/>
      <c r="BHQ131" s="118"/>
      <c r="BHR131" s="118"/>
      <c r="BHS131" s="118"/>
      <c r="BHT131" s="118"/>
      <c r="BHU131" s="118"/>
      <c r="BHV131" s="118"/>
      <c r="BHW131" s="118"/>
      <c r="BHX131" s="118"/>
      <c r="BHY131" s="118"/>
      <c r="BHZ131" s="118"/>
      <c r="BIA131" s="118"/>
      <c r="BIB131" s="118"/>
      <c r="BIC131" s="118"/>
      <c r="BID131" s="118"/>
      <c r="BIE131" s="118"/>
      <c r="BIF131" s="118"/>
      <c r="BIG131" s="118"/>
      <c r="BIH131" s="118"/>
      <c r="BII131" s="118"/>
      <c r="BIJ131" s="118"/>
      <c r="BIK131" s="118"/>
      <c r="BIL131" s="118"/>
      <c r="BIM131" s="118"/>
      <c r="BIN131" s="118"/>
      <c r="BIO131" s="118"/>
      <c r="BIP131" s="118"/>
      <c r="BIQ131" s="118"/>
      <c r="BIR131" s="118"/>
      <c r="BIS131" s="118"/>
      <c r="BIT131" s="118"/>
      <c r="BIU131" s="118"/>
      <c r="BIV131" s="118"/>
      <c r="BIW131" s="118"/>
      <c r="BIX131" s="118"/>
      <c r="BIY131" s="118"/>
      <c r="BIZ131" s="118"/>
      <c r="BJA131" s="118"/>
      <c r="BJB131" s="118"/>
      <c r="BJC131" s="118"/>
      <c r="BJD131" s="118"/>
      <c r="BJE131" s="118"/>
      <c r="BJF131" s="118"/>
      <c r="BJG131" s="118"/>
      <c r="BJH131" s="118"/>
      <c r="BJI131" s="118"/>
      <c r="BJJ131" s="118"/>
      <c r="BJK131" s="118"/>
      <c r="BJL131" s="118"/>
      <c r="BJM131" s="118"/>
      <c r="BJN131" s="118"/>
      <c r="BJO131" s="118"/>
      <c r="BJP131" s="118"/>
      <c r="BJQ131" s="118"/>
      <c r="BJR131" s="118"/>
      <c r="BJS131" s="118"/>
      <c r="BJT131" s="118"/>
      <c r="BJU131" s="118"/>
      <c r="BJV131" s="118"/>
      <c r="BJW131" s="118"/>
      <c r="BJX131" s="118"/>
      <c r="BJY131" s="118"/>
      <c r="BJZ131" s="118"/>
      <c r="BKA131" s="118"/>
      <c r="BKB131" s="118"/>
      <c r="BKC131" s="118"/>
      <c r="BKD131" s="118"/>
      <c r="BKE131" s="118"/>
      <c r="BKF131" s="118"/>
      <c r="BKG131" s="118"/>
      <c r="BKH131" s="118"/>
      <c r="BKI131" s="118"/>
      <c r="BKJ131" s="118"/>
      <c r="BKK131" s="118"/>
      <c r="BKL131" s="118"/>
      <c r="BKM131" s="118"/>
      <c r="BKN131" s="118"/>
      <c r="BKO131" s="118"/>
      <c r="BKP131" s="118"/>
      <c r="BKQ131" s="118"/>
      <c r="BKR131" s="118"/>
      <c r="BKS131" s="118"/>
      <c r="BKT131" s="118"/>
      <c r="BKU131" s="118"/>
      <c r="BKV131" s="118"/>
      <c r="BKW131" s="118"/>
      <c r="BKX131" s="118"/>
      <c r="BKY131" s="118"/>
      <c r="BKZ131" s="118"/>
      <c r="BLA131" s="118"/>
      <c r="BLB131" s="118"/>
      <c r="BLC131" s="118"/>
      <c r="BLD131" s="118"/>
      <c r="BLE131" s="118"/>
      <c r="BLF131" s="118"/>
      <c r="BLG131" s="118"/>
      <c r="BLH131" s="118"/>
      <c r="BLI131" s="118"/>
      <c r="BLJ131" s="118"/>
      <c r="BLK131" s="118"/>
      <c r="BLL131" s="118"/>
      <c r="BLM131" s="118"/>
      <c r="BLN131" s="118"/>
      <c r="BLO131" s="118"/>
      <c r="BLP131" s="118"/>
      <c r="BLQ131" s="118"/>
      <c r="BLR131" s="118"/>
      <c r="BLS131" s="118"/>
      <c r="BLT131" s="118"/>
      <c r="BLU131" s="118"/>
      <c r="BLV131" s="118"/>
      <c r="BLW131" s="118"/>
      <c r="BLX131" s="118"/>
      <c r="BLY131" s="118"/>
      <c r="BLZ131" s="118"/>
      <c r="BMA131" s="118"/>
      <c r="BMB131" s="118"/>
      <c r="BMC131" s="118"/>
      <c r="BMD131" s="118"/>
      <c r="BME131" s="118"/>
      <c r="BMF131" s="118"/>
      <c r="BMG131" s="118"/>
      <c r="BMH131" s="118"/>
      <c r="BMI131" s="118"/>
      <c r="BMJ131" s="118"/>
      <c r="BMK131" s="118"/>
      <c r="BML131" s="118"/>
      <c r="BMM131" s="118"/>
      <c r="BMN131" s="118"/>
      <c r="BMO131" s="118"/>
      <c r="BMP131" s="118"/>
      <c r="BMQ131" s="118"/>
      <c r="BMR131" s="118"/>
      <c r="BMS131" s="118"/>
      <c r="BMT131" s="118"/>
      <c r="BMU131" s="118"/>
      <c r="BMV131" s="118"/>
      <c r="BMW131" s="118"/>
      <c r="BMX131" s="118"/>
      <c r="BMY131" s="118"/>
      <c r="BMZ131" s="118"/>
      <c r="BNA131" s="118"/>
      <c r="BNB131" s="118"/>
      <c r="BNC131" s="118"/>
      <c r="BND131" s="118"/>
      <c r="BNE131" s="118"/>
      <c r="BNF131" s="118"/>
      <c r="BNG131" s="118"/>
      <c r="BNH131" s="118"/>
      <c r="BNI131" s="118"/>
      <c r="BNJ131" s="118"/>
      <c r="BNK131" s="118"/>
      <c r="BNL131" s="118"/>
      <c r="BNM131" s="118"/>
      <c r="BNN131" s="118"/>
      <c r="BNO131" s="118"/>
      <c r="BNP131" s="118"/>
      <c r="BNQ131" s="118"/>
      <c r="BNR131" s="118"/>
      <c r="BNS131" s="118"/>
      <c r="BNT131" s="118"/>
      <c r="BNU131" s="118"/>
      <c r="BNV131" s="118"/>
      <c r="BNW131" s="118"/>
      <c r="BNX131" s="118"/>
      <c r="BNY131" s="118"/>
      <c r="BNZ131" s="118"/>
      <c r="BOA131" s="118"/>
      <c r="BOB131" s="118"/>
      <c r="BOC131" s="118"/>
      <c r="BOD131" s="118"/>
      <c r="BOE131" s="118"/>
      <c r="BOF131" s="118"/>
      <c r="BOG131" s="118"/>
      <c r="BOH131" s="118"/>
      <c r="BOI131" s="118"/>
      <c r="BOJ131" s="118"/>
      <c r="BOK131" s="118"/>
      <c r="BOL131" s="118"/>
      <c r="BOM131" s="118"/>
      <c r="BON131" s="118"/>
      <c r="BOO131" s="118"/>
      <c r="BOP131" s="118"/>
      <c r="BOQ131" s="118"/>
      <c r="BOR131" s="118"/>
      <c r="BOS131" s="118"/>
      <c r="BOT131" s="118"/>
      <c r="BOU131" s="118"/>
      <c r="BOV131" s="118"/>
      <c r="BOW131" s="118"/>
      <c r="BOX131" s="118"/>
      <c r="BOY131" s="118"/>
      <c r="BOZ131" s="118"/>
      <c r="BPA131" s="118"/>
      <c r="BPB131" s="118"/>
      <c r="BPC131" s="118"/>
      <c r="BPD131" s="118"/>
      <c r="BPE131" s="118"/>
      <c r="BPF131" s="118"/>
      <c r="BPG131" s="118"/>
      <c r="BPH131" s="118"/>
      <c r="BPI131" s="118"/>
      <c r="BPJ131" s="118"/>
      <c r="BPK131" s="118"/>
      <c r="BPL131" s="118"/>
      <c r="BPM131" s="118"/>
      <c r="BPN131" s="118"/>
      <c r="BPO131" s="118"/>
      <c r="BPP131" s="118"/>
      <c r="BPQ131" s="118"/>
      <c r="BPR131" s="118"/>
      <c r="BPS131" s="118"/>
      <c r="BPT131" s="118"/>
      <c r="BPU131" s="118"/>
      <c r="BPV131" s="118"/>
      <c r="BPW131" s="118"/>
      <c r="BPX131" s="118"/>
      <c r="BPY131" s="118"/>
      <c r="BPZ131" s="118"/>
      <c r="BQA131" s="118"/>
      <c r="BQB131" s="118"/>
      <c r="BQC131" s="118"/>
      <c r="BQD131" s="118"/>
      <c r="BQE131" s="118"/>
      <c r="BQF131" s="118"/>
      <c r="BQG131" s="118"/>
      <c r="BQH131" s="118"/>
      <c r="BQI131" s="118"/>
      <c r="BQJ131" s="118"/>
      <c r="BQK131" s="118"/>
      <c r="BQL131" s="118"/>
      <c r="BQM131" s="118"/>
      <c r="BQN131" s="118"/>
      <c r="BQO131" s="118"/>
      <c r="BQP131" s="118"/>
      <c r="BQQ131" s="118"/>
      <c r="BQR131" s="118"/>
      <c r="BQS131" s="118"/>
      <c r="BQT131" s="118"/>
      <c r="BQU131" s="118"/>
      <c r="BQV131" s="118"/>
      <c r="BQW131" s="118"/>
      <c r="BQX131" s="118"/>
      <c r="BQY131" s="118"/>
      <c r="BQZ131" s="118"/>
      <c r="BRA131" s="118"/>
      <c r="BRB131" s="118"/>
      <c r="BRC131" s="118"/>
      <c r="BRD131" s="118"/>
      <c r="BRE131" s="118"/>
      <c r="BRF131" s="118"/>
      <c r="BRG131" s="118"/>
      <c r="BRH131" s="118"/>
      <c r="BRI131" s="118"/>
      <c r="BRJ131" s="118"/>
      <c r="BRK131" s="118"/>
      <c r="BRL131" s="118"/>
      <c r="BRM131" s="118"/>
      <c r="BRN131" s="118"/>
      <c r="BRO131" s="118"/>
      <c r="BRP131" s="118"/>
      <c r="BRQ131" s="118"/>
      <c r="BRR131" s="118"/>
      <c r="BRS131" s="118"/>
      <c r="BRT131" s="118"/>
      <c r="BRU131" s="118"/>
      <c r="BRV131" s="118"/>
      <c r="BRW131" s="118"/>
      <c r="BRX131" s="118"/>
      <c r="BRY131" s="118"/>
      <c r="BRZ131" s="118"/>
      <c r="BSA131" s="118"/>
      <c r="BSB131" s="118"/>
      <c r="BSC131" s="118"/>
      <c r="BSD131" s="118"/>
      <c r="BSE131" s="118"/>
      <c r="BSF131" s="118"/>
      <c r="BSG131" s="118"/>
      <c r="BSH131" s="118"/>
      <c r="BSI131" s="118"/>
      <c r="BSJ131" s="118"/>
      <c r="BSK131" s="118"/>
      <c r="BSL131" s="118"/>
      <c r="BSM131" s="118"/>
      <c r="BSN131" s="118"/>
      <c r="BSO131" s="118"/>
      <c r="BSP131" s="118"/>
      <c r="BSQ131" s="118"/>
      <c r="BSR131" s="118"/>
      <c r="BSS131" s="118"/>
      <c r="BST131" s="118"/>
      <c r="BSU131" s="118"/>
      <c r="BSV131" s="118"/>
      <c r="BSW131" s="118"/>
      <c r="BSX131" s="118"/>
      <c r="BSY131" s="118"/>
      <c r="BSZ131" s="118"/>
      <c r="BTA131" s="118"/>
      <c r="BTB131" s="118"/>
      <c r="BTC131" s="118"/>
      <c r="BTD131" s="118"/>
      <c r="BTE131" s="118"/>
      <c r="BTF131" s="118"/>
      <c r="BTG131" s="118"/>
      <c r="BTH131" s="118"/>
      <c r="BTI131" s="118"/>
      <c r="BTJ131" s="118"/>
      <c r="BTK131" s="118"/>
      <c r="BTL131" s="118"/>
      <c r="BTM131" s="118"/>
      <c r="BTN131" s="118"/>
      <c r="BTO131" s="118"/>
      <c r="BTP131" s="118"/>
      <c r="BTQ131" s="118"/>
      <c r="BTR131" s="118"/>
      <c r="BTS131" s="118"/>
      <c r="BTT131" s="118"/>
      <c r="BTU131" s="118"/>
      <c r="BTV131" s="118"/>
      <c r="BTW131" s="118"/>
      <c r="BTX131" s="118"/>
      <c r="BTY131" s="118"/>
      <c r="BTZ131" s="118"/>
      <c r="BUA131" s="118"/>
      <c r="BUB131" s="118"/>
      <c r="BUC131" s="118"/>
      <c r="BUD131" s="118"/>
      <c r="BUE131" s="118"/>
      <c r="BUF131" s="118"/>
      <c r="BUG131" s="118"/>
      <c r="BUH131" s="118"/>
      <c r="BUI131" s="118"/>
      <c r="BUJ131" s="118"/>
      <c r="BUK131" s="118"/>
      <c r="BUL131" s="118"/>
      <c r="BUM131" s="118"/>
      <c r="BUN131" s="118"/>
      <c r="BUO131" s="118"/>
      <c r="BUP131" s="118"/>
      <c r="BUQ131" s="118"/>
      <c r="BUR131" s="118"/>
      <c r="BUS131" s="118"/>
      <c r="BUT131" s="118"/>
      <c r="BUU131" s="118"/>
      <c r="BUV131" s="118"/>
      <c r="BUW131" s="118"/>
      <c r="BUX131" s="118"/>
      <c r="BUY131" s="118"/>
      <c r="BUZ131" s="118"/>
      <c r="BVA131" s="118"/>
      <c r="BVB131" s="118"/>
      <c r="BVC131" s="118"/>
      <c r="BVD131" s="118"/>
      <c r="BVE131" s="118"/>
      <c r="BVF131" s="118"/>
      <c r="BVG131" s="118"/>
      <c r="BVH131" s="118"/>
      <c r="BVI131" s="118"/>
      <c r="BVJ131" s="118"/>
      <c r="BVK131" s="118"/>
      <c r="BVL131" s="118"/>
      <c r="BVM131" s="118"/>
      <c r="BVN131" s="118"/>
      <c r="BVO131" s="118"/>
      <c r="BVP131" s="118"/>
      <c r="BVQ131" s="118"/>
      <c r="BVR131" s="118"/>
      <c r="BVS131" s="118"/>
      <c r="BVT131" s="118"/>
      <c r="BVU131" s="118"/>
      <c r="BVV131" s="118"/>
      <c r="BVW131" s="118"/>
      <c r="BVX131" s="118"/>
      <c r="BVY131" s="118"/>
      <c r="BVZ131" s="118"/>
      <c r="BWA131" s="118"/>
      <c r="BWB131" s="118"/>
      <c r="BWC131" s="118"/>
      <c r="BWD131" s="118"/>
      <c r="BWE131" s="118"/>
      <c r="BWF131" s="118"/>
      <c r="BWG131" s="118"/>
      <c r="BWH131" s="118"/>
      <c r="BWI131" s="118"/>
      <c r="BWJ131" s="118"/>
      <c r="BWK131" s="118"/>
      <c r="BWL131" s="118"/>
      <c r="BWM131" s="118"/>
      <c r="BWN131" s="118"/>
      <c r="BWO131" s="118"/>
      <c r="BWP131" s="118"/>
      <c r="BWQ131" s="118"/>
      <c r="BWR131" s="118"/>
      <c r="BWS131" s="118"/>
      <c r="BWT131" s="118"/>
      <c r="BWU131" s="118"/>
      <c r="BWV131" s="118"/>
      <c r="BWW131" s="118"/>
      <c r="BWX131" s="118"/>
      <c r="BWY131" s="118"/>
      <c r="BWZ131" s="118"/>
      <c r="BXA131" s="118"/>
      <c r="BXB131" s="118"/>
      <c r="BXC131" s="118"/>
      <c r="BXD131" s="118"/>
      <c r="BXE131" s="118"/>
      <c r="BXF131" s="118"/>
      <c r="BXG131" s="118"/>
      <c r="BXH131" s="118"/>
      <c r="BXI131" s="118"/>
      <c r="BXJ131" s="118"/>
      <c r="BXK131" s="118"/>
      <c r="BXL131" s="118"/>
      <c r="BXM131" s="118"/>
      <c r="BXN131" s="118"/>
      <c r="BXO131" s="118"/>
      <c r="BXP131" s="118"/>
      <c r="BXQ131" s="118"/>
      <c r="BXR131" s="118"/>
      <c r="BXS131" s="118"/>
      <c r="BXT131" s="118"/>
      <c r="BXU131" s="118"/>
      <c r="BXV131" s="118"/>
      <c r="BXW131" s="118"/>
      <c r="BXX131" s="118"/>
      <c r="BXY131" s="118"/>
      <c r="BXZ131" s="118"/>
      <c r="BYA131" s="118"/>
      <c r="BYB131" s="118"/>
      <c r="BYC131" s="118"/>
      <c r="BYD131" s="118"/>
      <c r="BYE131" s="118"/>
      <c r="BYF131" s="118"/>
      <c r="BYG131" s="118"/>
      <c r="BYH131" s="118"/>
      <c r="BYI131" s="118"/>
      <c r="BYJ131" s="118"/>
      <c r="BYK131" s="118"/>
      <c r="BYL131" s="118"/>
      <c r="BYM131" s="118"/>
      <c r="BYN131" s="118"/>
      <c r="BYO131" s="118"/>
      <c r="BYP131" s="118"/>
      <c r="BYQ131" s="118"/>
      <c r="BYR131" s="118"/>
      <c r="BYS131" s="118"/>
      <c r="BYT131" s="118"/>
      <c r="BYU131" s="118"/>
      <c r="BYV131" s="118"/>
      <c r="BYW131" s="118"/>
      <c r="BYX131" s="118"/>
      <c r="BYY131" s="118"/>
      <c r="BYZ131" s="118"/>
      <c r="BZA131" s="118"/>
      <c r="BZB131" s="118"/>
      <c r="BZC131" s="118"/>
      <c r="BZD131" s="118"/>
      <c r="BZE131" s="118"/>
      <c r="BZF131" s="118"/>
      <c r="BZG131" s="118"/>
      <c r="BZH131" s="118"/>
      <c r="BZI131" s="118"/>
      <c r="BZJ131" s="118"/>
      <c r="BZK131" s="118"/>
      <c r="BZL131" s="118"/>
      <c r="BZM131" s="118"/>
      <c r="BZN131" s="118"/>
      <c r="BZO131" s="118"/>
      <c r="BZP131" s="118"/>
      <c r="BZQ131" s="118"/>
      <c r="BZR131" s="118"/>
      <c r="BZS131" s="118"/>
      <c r="BZT131" s="118"/>
      <c r="BZU131" s="118"/>
      <c r="BZV131" s="118"/>
      <c r="BZW131" s="118"/>
      <c r="BZX131" s="118"/>
      <c r="BZY131" s="118"/>
      <c r="BZZ131" s="118"/>
      <c r="CAA131" s="118"/>
      <c r="CAB131" s="118"/>
      <c r="CAC131" s="118"/>
      <c r="CAD131" s="118"/>
      <c r="CAE131" s="118"/>
      <c r="CAF131" s="118"/>
      <c r="CAG131" s="118"/>
      <c r="CAH131" s="118"/>
      <c r="CAI131" s="118"/>
      <c r="CAJ131" s="118"/>
      <c r="CAK131" s="118"/>
      <c r="CAL131" s="118"/>
      <c r="CAM131" s="118"/>
      <c r="CAN131" s="118"/>
      <c r="CAO131" s="118"/>
      <c r="CAP131" s="118"/>
      <c r="CAQ131" s="118"/>
      <c r="CAR131" s="118"/>
      <c r="CAS131" s="118"/>
      <c r="CAT131" s="118"/>
      <c r="CAU131" s="118"/>
      <c r="CAV131" s="118"/>
      <c r="CAW131" s="118"/>
      <c r="CAX131" s="118"/>
      <c r="CAY131" s="118"/>
      <c r="CAZ131" s="118"/>
      <c r="CBA131" s="118"/>
      <c r="CBB131" s="118"/>
      <c r="CBC131" s="118"/>
      <c r="CBD131" s="118"/>
      <c r="CBE131" s="118"/>
      <c r="CBF131" s="118"/>
      <c r="CBG131" s="118"/>
      <c r="CBH131" s="118"/>
      <c r="CBI131" s="118"/>
      <c r="CBJ131" s="118"/>
      <c r="CBK131" s="118"/>
      <c r="CBL131" s="118"/>
      <c r="CBM131" s="118"/>
      <c r="CBN131" s="118"/>
      <c r="CBO131" s="118"/>
      <c r="CBP131" s="118"/>
      <c r="CBQ131" s="118"/>
      <c r="CBR131" s="118"/>
      <c r="CBS131" s="118"/>
      <c r="CBT131" s="118"/>
      <c r="CBU131" s="118"/>
      <c r="CBV131" s="118"/>
      <c r="CBW131" s="118"/>
      <c r="CBX131" s="118"/>
      <c r="CBY131" s="118"/>
      <c r="CBZ131" s="118"/>
      <c r="CCA131" s="118"/>
      <c r="CCB131" s="118"/>
      <c r="CCC131" s="118"/>
      <c r="CCD131" s="118"/>
      <c r="CCE131" s="118"/>
      <c r="CCF131" s="118"/>
      <c r="CCG131" s="118"/>
      <c r="CCH131" s="118"/>
      <c r="CCI131" s="118"/>
      <c r="CCJ131" s="118"/>
      <c r="CCK131" s="118"/>
      <c r="CCL131" s="118"/>
      <c r="CCM131" s="118"/>
      <c r="CCN131" s="118"/>
      <c r="CCO131" s="118"/>
      <c r="CCP131" s="118"/>
      <c r="CCQ131" s="118"/>
      <c r="CCR131" s="118"/>
      <c r="CCS131" s="118"/>
      <c r="CCT131" s="118"/>
      <c r="CCU131" s="118"/>
      <c r="CCV131" s="118"/>
      <c r="CCW131" s="118"/>
      <c r="CCX131" s="118"/>
      <c r="CCY131" s="118"/>
      <c r="CCZ131" s="118"/>
      <c r="CDA131" s="118"/>
      <c r="CDB131" s="118"/>
      <c r="CDC131" s="118"/>
      <c r="CDD131" s="118"/>
      <c r="CDE131" s="118"/>
      <c r="CDF131" s="118"/>
      <c r="CDG131" s="118"/>
      <c r="CDH131" s="118"/>
      <c r="CDI131" s="118"/>
      <c r="CDJ131" s="118"/>
      <c r="CDK131" s="118"/>
      <c r="CDL131" s="118"/>
      <c r="CDM131" s="118"/>
      <c r="CDN131" s="118"/>
      <c r="CDO131" s="118"/>
      <c r="CDP131" s="118"/>
      <c r="CDQ131" s="118"/>
      <c r="CDR131" s="118"/>
      <c r="CDS131" s="118"/>
      <c r="CDT131" s="118"/>
      <c r="CDU131" s="118"/>
      <c r="CDV131" s="118"/>
      <c r="CDW131" s="118"/>
      <c r="CDX131" s="118"/>
      <c r="CDY131" s="118"/>
      <c r="CDZ131" s="118"/>
      <c r="CEA131" s="118"/>
      <c r="CEB131" s="118"/>
      <c r="CEC131" s="118"/>
      <c r="CED131" s="118"/>
      <c r="CEE131" s="118"/>
      <c r="CEF131" s="118"/>
      <c r="CEG131" s="118"/>
      <c r="CEH131" s="118"/>
      <c r="CEI131" s="118"/>
      <c r="CEJ131" s="118"/>
      <c r="CEK131" s="118"/>
      <c r="CEL131" s="118"/>
      <c r="CEM131" s="118"/>
      <c r="CEN131" s="118"/>
      <c r="CEO131" s="118"/>
      <c r="CEP131" s="118"/>
      <c r="CEQ131" s="118"/>
      <c r="CER131" s="118"/>
      <c r="CES131" s="118"/>
      <c r="CET131" s="118"/>
      <c r="CEU131" s="118"/>
      <c r="CEV131" s="118"/>
      <c r="CEW131" s="118"/>
      <c r="CEX131" s="118"/>
      <c r="CEY131" s="118"/>
      <c r="CEZ131" s="118"/>
      <c r="CFA131" s="118"/>
      <c r="CFB131" s="118"/>
      <c r="CFC131" s="118"/>
      <c r="CFD131" s="118"/>
      <c r="CFE131" s="118"/>
      <c r="CFF131" s="118"/>
      <c r="CFG131" s="118"/>
      <c r="CFH131" s="118"/>
      <c r="CFI131" s="118"/>
      <c r="CFJ131" s="118"/>
      <c r="CFK131" s="118"/>
      <c r="CFL131" s="118"/>
      <c r="CFM131" s="118"/>
      <c r="CFN131" s="118"/>
      <c r="CFO131" s="118"/>
      <c r="CFP131" s="118"/>
      <c r="CFQ131" s="118"/>
      <c r="CFR131" s="118"/>
      <c r="CFS131" s="118"/>
      <c r="CFT131" s="118"/>
      <c r="CFU131" s="118"/>
      <c r="CFV131" s="118"/>
      <c r="CFW131" s="118"/>
      <c r="CFX131" s="118"/>
      <c r="CFY131" s="118"/>
      <c r="CFZ131" s="118"/>
      <c r="CGA131" s="118"/>
      <c r="CGB131" s="118"/>
      <c r="CGC131" s="118"/>
      <c r="CGD131" s="118"/>
      <c r="CGE131" s="118"/>
      <c r="CGF131" s="118"/>
      <c r="CGG131" s="118"/>
      <c r="CGH131" s="118"/>
      <c r="CGI131" s="118"/>
      <c r="CGJ131" s="118"/>
      <c r="CGK131" s="118"/>
      <c r="CGL131" s="118"/>
      <c r="CGM131" s="118"/>
      <c r="CGN131" s="118"/>
      <c r="CGO131" s="118"/>
      <c r="CGP131" s="118"/>
      <c r="CGQ131" s="118"/>
      <c r="CGR131" s="118"/>
      <c r="CGS131" s="118"/>
      <c r="CGT131" s="118"/>
      <c r="CGU131" s="118"/>
      <c r="CGV131" s="118"/>
      <c r="CGW131" s="118"/>
      <c r="CGX131" s="118"/>
      <c r="CGY131" s="118"/>
      <c r="CGZ131" s="118"/>
      <c r="CHA131" s="118"/>
      <c r="CHB131" s="118"/>
      <c r="CHC131" s="118"/>
      <c r="CHD131" s="118"/>
      <c r="CHE131" s="118"/>
      <c r="CHF131" s="118"/>
      <c r="CHG131" s="118"/>
      <c r="CHH131" s="118"/>
      <c r="CHI131" s="118"/>
      <c r="CHJ131" s="118"/>
      <c r="CHK131" s="118"/>
      <c r="CHL131" s="118"/>
      <c r="CHM131" s="118"/>
      <c r="CHN131" s="118"/>
      <c r="CHO131" s="118"/>
      <c r="CHP131" s="118"/>
      <c r="CHQ131" s="118"/>
      <c r="CHR131" s="118"/>
      <c r="CHS131" s="118"/>
      <c r="CHT131" s="118"/>
      <c r="CHU131" s="118"/>
      <c r="CHV131" s="118"/>
      <c r="CHW131" s="118"/>
      <c r="CHX131" s="118"/>
      <c r="CHY131" s="118"/>
      <c r="CHZ131" s="118"/>
      <c r="CIA131" s="118"/>
      <c r="CIB131" s="118"/>
      <c r="CIC131" s="118"/>
      <c r="CID131" s="118"/>
      <c r="CIE131" s="118"/>
      <c r="CIF131" s="118"/>
      <c r="CIG131" s="118"/>
      <c r="CIH131" s="118"/>
      <c r="CII131" s="118"/>
      <c r="CIJ131" s="118"/>
      <c r="CIK131" s="118"/>
      <c r="CIL131" s="118"/>
      <c r="CIM131" s="118"/>
      <c r="CIN131" s="118"/>
      <c r="CIO131" s="118"/>
      <c r="CIP131" s="118"/>
      <c r="CIQ131" s="118"/>
      <c r="CIR131" s="118"/>
      <c r="CIS131" s="118"/>
      <c r="CIT131" s="118"/>
      <c r="CIU131" s="118"/>
      <c r="CIV131" s="118"/>
      <c r="CIW131" s="118"/>
      <c r="CIX131" s="118"/>
      <c r="CIY131" s="118"/>
      <c r="CIZ131" s="118"/>
      <c r="CJA131" s="118"/>
      <c r="CJB131" s="118"/>
      <c r="CJC131" s="118"/>
      <c r="CJD131" s="118"/>
      <c r="CJE131" s="118"/>
      <c r="CJF131" s="118"/>
      <c r="CJG131" s="118"/>
      <c r="CJH131" s="118"/>
      <c r="CJI131" s="118"/>
      <c r="CJJ131" s="118"/>
      <c r="CJK131" s="118"/>
      <c r="CJL131" s="118"/>
      <c r="CJM131" s="118"/>
      <c r="CJN131" s="118"/>
      <c r="CJO131" s="118"/>
      <c r="CJP131" s="118"/>
      <c r="CJQ131" s="118"/>
      <c r="CJR131" s="118"/>
      <c r="CJS131" s="118"/>
      <c r="CJT131" s="118"/>
      <c r="CJU131" s="118"/>
      <c r="CJV131" s="118"/>
      <c r="CJW131" s="118"/>
      <c r="CJX131" s="118"/>
      <c r="CJY131" s="118"/>
      <c r="CJZ131" s="118"/>
      <c r="CKA131" s="118"/>
      <c r="CKB131" s="118"/>
      <c r="CKC131" s="118"/>
      <c r="CKD131" s="118"/>
      <c r="CKE131" s="118"/>
      <c r="CKF131" s="118"/>
      <c r="CKG131" s="118"/>
      <c r="CKH131" s="118"/>
      <c r="CKI131" s="118"/>
      <c r="CKJ131" s="118"/>
      <c r="CKK131" s="118"/>
      <c r="CKL131" s="118"/>
      <c r="CKM131" s="118"/>
      <c r="CKN131" s="118"/>
      <c r="CKO131" s="118"/>
      <c r="CKP131" s="118"/>
      <c r="CKQ131" s="118"/>
      <c r="CKR131" s="118"/>
      <c r="CKS131" s="118"/>
      <c r="CKT131" s="118"/>
      <c r="CKU131" s="118"/>
      <c r="CKV131" s="118"/>
      <c r="CKW131" s="118"/>
      <c r="CKX131" s="118"/>
      <c r="CKY131" s="118"/>
      <c r="CKZ131" s="118"/>
      <c r="CLA131" s="118"/>
      <c r="CLB131" s="118"/>
      <c r="CLC131" s="118"/>
      <c r="CLD131" s="118"/>
      <c r="CLE131" s="118"/>
      <c r="CLF131" s="118"/>
      <c r="CLG131" s="118"/>
      <c r="CLH131" s="118"/>
      <c r="CLI131" s="118"/>
      <c r="CLJ131" s="118"/>
      <c r="CLK131" s="118"/>
      <c r="CLL131" s="118"/>
      <c r="CLM131" s="118"/>
      <c r="CLN131" s="118"/>
      <c r="CLO131" s="118"/>
      <c r="CLP131" s="118"/>
      <c r="CLQ131" s="118"/>
      <c r="CLR131" s="118"/>
      <c r="CLS131" s="118"/>
      <c r="CLT131" s="118"/>
      <c r="CLU131" s="118"/>
      <c r="CLV131" s="118"/>
      <c r="CLW131" s="118"/>
      <c r="CLX131" s="118"/>
      <c r="CLY131" s="118"/>
      <c r="CLZ131" s="118"/>
      <c r="CMA131" s="118"/>
      <c r="CMB131" s="118"/>
      <c r="CMC131" s="118"/>
      <c r="CMD131" s="118"/>
      <c r="CME131" s="118"/>
      <c r="CMF131" s="118"/>
      <c r="CMG131" s="118"/>
      <c r="CMH131" s="118"/>
      <c r="CMI131" s="118"/>
      <c r="CMJ131" s="118"/>
      <c r="CMK131" s="118"/>
      <c r="CML131" s="118"/>
      <c r="CMM131" s="118"/>
      <c r="CMN131" s="118"/>
      <c r="CMO131" s="118"/>
      <c r="CMP131" s="118"/>
      <c r="CMQ131" s="118"/>
      <c r="CMR131" s="118"/>
      <c r="CMS131" s="118"/>
      <c r="CMT131" s="118"/>
      <c r="CMU131" s="118"/>
      <c r="CMV131" s="118"/>
      <c r="CMW131" s="118"/>
      <c r="CMX131" s="118"/>
      <c r="CMY131" s="118"/>
      <c r="CMZ131" s="118"/>
      <c r="CNA131" s="118"/>
      <c r="CNB131" s="118"/>
      <c r="CNC131" s="118"/>
      <c r="CND131" s="118"/>
      <c r="CNE131" s="118"/>
      <c r="CNF131" s="118"/>
      <c r="CNG131" s="118"/>
      <c r="CNH131" s="118"/>
      <c r="CNI131" s="118"/>
      <c r="CNJ131" s="118"/>
      <c r="CNK131" s="118"/>
      <c r="CNL131" s="118"/>
      <c r="CNM131" s="118"/>
      <c r="CNN131" s="118"/>
      <c r="CNO131" s="118"/>
      <c r="CNP131" s="118"/>
      <c r="CNQ131" s="118"/>
      <c r="CNR131" s="118"/>
      <c r="CNS131" s="118"/>
      <c r="CNT131" s="118"/>
      <c r="CNU131" s="118"/>
      <c r="CNV131" s="118"/>
      <c r="CNW131" s="118"/>
      <c r="CNX131" s="118"/>
      <c r="CNY131" s="118"/>
      <c r="CNZ131" s="118"/>
      <c r="COA131" s="118"/>
      <c r="COB131" s="118"/>
      <c r="COC131" s="118"/>
      <c r="COD131" s="118"/>
      <c r="COE131" s="118"/>
      <c r="COF131" s="118"/>
      <c r="COG131" s="118"/>
      <c r="COH131" s="118"/>
      <c r="COI131" s="118"/>
      <c r="COJ131" s="118"/>
      <c r="COK131" s="118"/>
      <c r="COL131" s="118"/>
      <c r="COM131" s="118"/>
      <c r="CON131" s="118"/>
      <c r="COO131" s="118"/>
      <c r="COP131" s="118"/>
      <c r="COQ131" s="118"/>
      <c r="COR131" s="118"/>
      <c r="COS131" s="118"/>
      <c r="COT131" s="118"/>
      <c r="COU131" s="118"/>
      <c r="COV131" s="118"/>
      <c r="COW131" s="118"/>
      <c r="COX131" s="118"/>
      <c r="COY131" s="118"/>
      <c r="COZ131" s="118"/>
      <c r="CPA131" s="118"/>
      <c r="CPB131" s="118"/>
      <c r="CPC131" s="118"/>
      <c r="CPD131" s="118"/>
      <c r="CPE131" s="118"/>
      <c r="CPF131" s="118"/>
      <c r="CPG131" s="118"/>
      <c r="CPH131" s="118"/>
      <c r="CPI131" s="118"/>
      <c r="CPJ131" s="118"/>
      <c r="CPK131" s="118"/>
      <c r="CPL131" s="118"/>
      <c r="CPM131" s="118"/>
      <c r="CPN131" s="118"/>
      <c r="CPO131" s="118"/>
      <c r="CPP131" s="118"/>
      <c r="CPQ131" s="118"/>
      <c r="CPR131" s="118"/>
      <c r="CPS131" s="118"/>
      <c r="CPT131" s="118"/>
      <c r="CPU131" s="118"/>
      <c r="CPV131" s="118"/>
      <c r="CPW131" s="118"/>
      <c r="CPX131" s="118"/>
      <c r="CPY131" s="118"/>
      <c r="CPZ131" s="118"/>
      <c r="CQA131" s="118"/>
      <c r="CQB131" s="118"/>
      <c r="CQC131" s="118"/>
      <c r="CQD131" s="118"/>
      <c r="CQE131" s="118"/>
      <c r="CQF131" s="118"/>
      <c r="CQG131" s="118"/>
      <c r="CQH131" s="118"/>
      <c r="CQI131" s="118"/>
      <c r="CQJ131" s="118"/>
      <c r="CQK131" s="118"/>
      <c r="CQL131" s="118"/>
      <c r="CQM131" s="118"/>
      <c r="CQN131" s="118"/>
      <c r="CQO131" s="118"/>
      <c r="CQP131" s="118"/>
      <c r="CQQ131" s="118"/>
      <c r="CQR131" s="118"/>
      <c r="CQS131" s="118"/>
      <c r="CQT131" s="118"/>
      <c r="CQU131" s="118"/>
      <c r="CQV131" s="118"/>
      <c r="CQW131" s="118"/>
      <c r="CQX131" s="118"/>
      <c r="CQY131" s="118"/>
      <c r="CQZ131" s="118"/>
      <c r="CRA131" s="118"/>
      <c r="CRB131" s="118"/>
      <c r="CRC131" s="118"/>
      <c r="CRD131" s="118"/>
      <c r="CRE131" s="118"/>
      <c r="CRF131" s="118"/>
      <c r="CRG131" s="118"/>
      <c r="CRH131" s="118"/>
      <c r="CRI131" s="118"/>
      <c r="CRJ131" s="118"/>
      <c r="CRK131" s="118"/>
      <c r="CRL131" s="118"/>
      <c r="CRM131" s="118"/>
      <c r="CRN131" s="118"/>
      <c r="CRO131" s="118"/>
      <c r="CRP131" s="118"/>
      <c r="CRQ131" s="118"/>
      <c r="CRR131" s="118"/>
      <c r="CRS131" s="118"/>
      <c r="CRT131" s="118"/>
      <c r="CRU131" s="118"/>
      <c r="CRV131" s="118"/>
      <c r="CRW131" s="118"/>
      <c r="CRX131" s="118"/>
      <c r="CRY131" s="118"/>
      <c r="CRZ131" s="118"/>
      <c r="CSA131" s="118"/>
      <c r="CSB131" s="118"/>
      <c r="CSC131" s="118"/>
      <c r="CSD131" s="118"/>
      <c r="CSE131" s="118"/>
      <c r="CSF131" s="118"/>
      <c r="CSG131" s="118"/>
      <c r="CSH131" s="118"/>
      <c r="CSI131" s="118"/>
      <c r="CSJ131" s="118"/>
      <c r="CSK131" s="118"/>
      <c r="CSL131" s="118"/>
      <c r="CSM131" s="118"/>
      <c r="CSN131" s="118"/>
      <c r="CSO131" s="118"/>
      <c r="CSP131" s="118"/>
      <c r="CSQ131" s="118"/>
      <c r="CSR131" s="118"/>
      <c r="CSS131" s="118"/>
      <c r="CST131" s="118"/>
      <c r="CSU131" s="118"/>
      <c r="CSV131" s="118"/>
      <c r="CSW131" s="118"/>
      <c r="CSX131" s="118"/>
      <c r="CSY131" s="118"/>
      <c r="CSZ131" s="118"/>
      <c r="CTA131" s="118"/>
      <c r="CTB131" s="118"/>
      <c r="CTC131" s="118"/>
      <c r="CTD131" s="118"/>
      <c r="CTE131" s="118"/>
      <c r="CTF131" s="118"/>
      <c r="CTG131" s="118"/>
      <c r="CTH131" s="118"/>
      <c r="CTI131" s="118"/>
      <c r="CTJ131" s="118"/>
      <c r="CTK131" s="118"/>
      <c r="CTL131" s="118"/>
      <c r="CTM131" s="118"/>
      <c r="CTN131" s="118"/>
      <c r="CTO131" s="118"/>
      <c r="CTP131" s="118"/>
      <c r="CTQ131" s="118"/>
      <c r="CTR131" s="118"/>
      <c r="CTS131" s="118"/>
      <c r="CTT131" s="118"/>
      <c r="CTU131" s="118"/>
      <c r="CTV131" s="118"/>
      <c r="CTW131" s="118"/>
      <c r="CTX131" s="118"/>
      <c r="CTY131" s="118"/>
      <c r="CTZ131" s="118"/>
      <c r="CUA131" s="118"/>
      <c r="CUB131" s="118"/>
      <c r="CUC131" s="118"/>
      <c r="CUD131" s="118"/>
      <c r="CUE131" s="118"/>
      <c r="CUF131" s="118"/>
      <c r="CUG131" s="118"/>
      <c r="CUH131" s="118"/>
      <c r="CUI131" s="118"/>
      <c r="CUJ131" s="118"/>
      <c r="CUK131" s="118"/>
      <c r="CUL131" s="118"/>
      <c r="CUM131" s="118"/>
      <c r="CUN131" s="118"/>
      <c r="CUO131" s="118"/>
      <c r="CUP131" s="118"/>
      <c r="CUQ131" s="118"/>
      <c r="CUR131" s="118"/>
      <c r="CUS131" s="118"/>
      <c r="CUT131" s="118"/>
      <c r="CUU131" s="118"/>
      <c r="CUV131" s="118"/>
      <c r="CUW131" s="118"/>
      <c r="CUX131" s="118"/>
      <c r="CUY131" s="118"/>
      <c r="CUZ131" s="118"/>
      <c r="CVA131" s="118"/>
      <c r="CVB131" s="118"/>
      <c r="CVC131" s="118"/>
      <c r="CVD131" s="118"/>
      <c r="CVE131" s="118"/>
      <c r="CVF131" s="118"/>
      <c r="CVG131" s="118"/>
      <c r="CVH131" s="118"/>
      <c r="CVI131" s="118"/>
      <c r="CVJ131" s="118"/>
      <c r="CVK131" s="118"/>
      <c r="CVL131" s="118"/>
      <c r="CVM131" s="118"/>
      <c r="CVN131" s="118"/>
      <c r="CVO131" s="118"/>
      <c r="CVP131" s="118"/>
      <c r="CVQ131" s="118"/>
      <c r="CVR131" s="118"/>
      <c r="CVS131" s="118"/>
      <c r="CVT131" s="118"/>
      <c r="CVU131" s="118"/>
      <c r="CVV131" s="118"/>
      <c r="CVW131" s="118"/>
      <c r="CVX131" s="118"/>
      <c r="CVY131" s="118"/>
      <c r="CVZ131" s="118"/>
      <c r="CWA131" s="118"/>
      <c r="CWB131" s="118"/>
      <c r="CWC131" s="118"/>
      <c r="CWD131" s="118"/>
      <c r="CWE131" s="118"/>
      <c r="CWF131" s="118"/>
      <c r="CWG131" s="118"/>
      <c r="CWH131" s="118"/>
      <c r="CWI131" s="118"/>
      <c r="CWJ131" s="118"/>
      <c r="CWK131" s="118"/>
      <c r="CWL131" s="118"/>
      <c r="CWM131" s="118"/>
      <c r="CWN131" s="118"/>
      <c r="CWO131" s="118"/>
      <c r="CWP131" s="118"/>
      <c r="CWQ131" s="118"/>
      <c r="CWR131" s="118"/>
      <c r="CWS131" s="118"/>
      <c r="CWT131" s="118"/>
      <c r="CWU131" s="118"/>
      <c r="CWV131" s="118"/>
      <c r="CWW131" s="118"/>
      <c r="CWX131" s="118"/>
      <c r="CWY131" s="118"/>
      <c r="CWZ131" s="118"/>
      <c r="CXA131" s="118"/>
      <c r="CXB131" s="118"/>
      <c r="CXC131" s="118"/>
      <c r="CXD131" s="118"/>
      <c r="CXE131" s="118"/>
      <c r="CXF131" s="118"/>
      <c r="CXG131" s="118"/>
      <c r="CXH131" s="118"/>
      <c r="CXI131" s="118"/>
      <c r="CXJ131" s="118"/>
      <c r="CXK131" s="118"/>
      <c r="CXL131" s="118"/>
      <c r="CXM131" s="118"/>
      <c r="CXN131" s="118"/>
      <c r="CXO131" s="118"/>
      <c r="CXP131" s="118"/>
      <c r="CXQ131" s="118"/>
      <c r="CXR131" s="118"/>
      <c r="CXS131" s="118"/>
      <c r="CXT131" s="118"/>
      <c r="CXU131" s="118"/>
      <c r="CXV131" s="118"/>
      <c r="CXW131" s="118"/>
      <c r="CXX131" s="118"/>
      <c r="CXY131" s="118"/>
      <c r="CXZ131" s="118"/>
      <c r="CYA131" s="118"/>
      <c r="CYB131" s="118"/>
      <c r="CYC131" s="118"/>
      <c r="CYD131" s="118"/>
      <c r="CYE131" s="118"/>
      <c r="CYF131" s="118"/>
      <c r="CYG131" s="118"/>
      <c r="CYH131" s="118"/>
      <c r="CYI131" s="118"/>
      <c r="CYJ131" s="118"/>
      <c r="CYK131" s="118"/>
      <c r="CYL131" s="118"/>
      <c r="CYM131" s="118"/>
      <c r="CYN131" s="118"/>
      <c r="CYO131" s="118"/>
      <c r="CYP131" s="118"/>
      <c r="CYQ131" s="118"/>
      <c r="CYR131" s="118"/>
      <c r="CYS131" s="118"/>
      <c r="CYT131" s="118"/>
      <c r="CYU131" s="118"/>
      <c r="CYV131" s="118"/>
      <c r="CYW131" s="118"/>
      <c r="CYX131" s="118"/>
      <c r="CYY131" s="118"/>
      <c r="CYZ131" s="118"/>
      <c r="CZA131" s="118"/>
      <c r="CZB131" s="118"/>
      <c r="CZC131" s="118"/>
      <c r="CZD131" s="118"/>
      <c r="CZE131" s="118"/>
      <c r="CZF131" s="118"/>
      <c r="CZG131" s="118"/>
      <c r="CZH131" s="118"/>
      <c r="CZI131" s="118"/>
      <c r="CZJ131" s="118"/>
      <c r="CZK131" s="118"/>
      <c r="CZL131" s="118"/>
      <c r="CZM131" s="118"/>
      <c r="CZN131" s="118"/>
      <c r="CZO131" s="118"/>
      <c r="CZP131" s="118"/>
      <c r="CZQ131" s="118"/>
      <c r="CZR131" s="118"/>
      <c r="CZS131" s="118"/>
      <c r="CZT131" s="118"/>
      <c r="CZU131" s="118"/>
      <c r="CZV131" s="118"/>
      <c r="CZW131" s="118"/>
      <c r="CZX131" s="118"/>
      <c r="CZY131" s="118"/>
      <c r="CZZ131" s="118"/>
      <c r="DAA131" s="118"/>
      <c r="DAB131" s="118"/>
      <c r="DAC131" s="118"/>
      <c r="DAD131" s="118"/>
      <c r="DAE131" s="118"/>
      <c r="DAF131" s="118"/>
      <c r="DAG131" s="118"/>
      <c r="DAH131" s="118"/>
      <c r="DAI131" s="118"/>
      <c r="DAJ131" s="118"/>
      <c r="DAK131" s="118"/>
      <c r="DAL131" s="118"/>
      <c r="DAM131" s="118"/>
      <c r="DAN131" s="118"/>
      <c r="DAO131" s="118"/>
      <c r="DAP131" s="118"/>
      <c r="DAQ131" s="118"/>
      <c r="DAR131" s="118"/>
      <c r="DAS131" s="118"/>
      <c r="DAT131" s="118"/>
      <c r="DAU131" s="118"/>
      <c r="DAV131" s="118"/>
      <c r="DAW131" s="118"/>
      <c r="DAX131" s="118"/>
      <c r="DAY131" s="118"/>
      <c r="DAZ131" s="118"/>
      <c r="DBA131" s="118"/>
      <c r="DBB131" s="118"/>
      <c r="DBC131" s="118"/>
      <c r="DBD131" s="118"/>
      <c r="DBE131" s="118"/>
      <c r="DBF131" s="118"/>
      <c r="DBG131" s="118"/>
      <c r="DBH131" s="118"/>
      <c r="DBI131" s="118"/>
      <c r="DBJ131" s="118"/>
      <c r="DBK131" s="118"/>
      <c r="DBL131" s="118"/>
      <c r="DBM131" s="118"/>
      <c r="DBN131" s="118"/>
      <c r="DBO131" s="118"/>
      <c r="DBP131" s="118"/>
      <c r="DBQ131" s="118"/>
      <c r="DBR131" s="118"/>
      <c r="DBS131" s="118"/>
      <c r="DBT131" s="118"/>
      <c r="DBU131" s="118"/>
      <c r="DBV131" s="118"/>
      <c r="DBW131" s="118"/>
      <c r="DBX131" s="118"/>
      <c r="DBY131" s="118"/>
      <c r="DBZ131" s="118"/>
      <c r="DCA131" s="118"/>
      <c r="DCB131" s="118"/>
      <c r="DCC131" s="118"/>
      <c r="DCD131" s="118"/>
      <c r="DCE131" s="118"/>
      <c r="DCF131" s="118"/>
      <c r="DCG131" s="118"/>
      <c r="DCH131" s="118"/>
      <c r="DCI131" s="118"/>
      <c r="DCJ131" s="118"/>
      <c r="DCK131" s="118"/>
      <c r="DCL131" s="118"/>
      <c r="DCM131" s="118"/>
      <c r="DCN131" s="118"/>
      <c r="DCO131" s="118"/>
      <c r="DCP131" s="118"/>
      <c r="DCQ131" s="118"/>
      <c r="DCR131" s="118"/>
      <c r="DCS131" s="118"/>
      <c r="DCT131" s="118"/>
      <c r="DCU131" s="118"/>
      <c r="DCV131" s="118"/>
      <c r="DCW131" s="118"/>
      <c r="DCX131" s="118"/>
      <c r="DCY131" s="118"/>
      <c r="DCZ131" s="118"/>
      <c r="DDA131" s="118"/>
      <c r="DDB131" s="118"/>
      <c r="DDC131" s="118"/>
      <c r="DDD131" s="118"/>
      <c r="DDE131" s="118"/>
      <c r="DDF131" s="118"/>
      <c r="DDG131" s="118"/>
      <c r="DDH131" s="118"/>
      <c r="DDI131" s="118"/>
      <c r="DDJ131" s="118"/>
      <c r="DDK131" s="118"/>
      <c r="DDL131" s="118"/>
      <c r="DDM131" s="118"/>
      <c r="DDN131" s="118"/>
      <c r="DDO131" s="118"/>
      <c r="DDP131" s="118"/>
      <c r="DDQ131" s="118"/>
      <c r="DDR131" s="118"/>
      <c r="DDS131" s="118"/>
      <c r="DDT131" s="118"/>
      <c r="DDU131" s="118"/>
      <c r="DDV131" s="118"/>
      <c r="DDW131" s="118"/>
      <c r="DDX131" s="118"/>
      <c r="DDY131" s="118"/>
      <c r="DDZ131" s="118"/>
      <c r="DEA131" s="118"/>
      <c r="DEB131" s="118"/>
      <c r="DEC131" s="118"/>
      <c r="DED131" s="118"/>
      <c r="DEE131" s="118"/>
      <c r="DEF131" s="118"/>
      <c r="DEG131" s="118"/>
      <c r="DEH131" s="118"/>
      <c r="DEI131" s="118"/>
      <c r="DEJ131" s="118"/>
      <c r="DEK131" s="118"/>
      <c r="DEL131" s="118"/>
      <c r="DEM131" s="118"/>
      <c r="DEN131" s="118"/>
      <c r="DEO131" s="118"/>
      <c r="DEP131" s="118"/>
      <c r="DEQ131" s="118"/>
      <c r="DER131" s="118"/>
      <c r="DES131" s="118"/>
      <c r="DET131" s="118"/>
      <c r="DEU131" s="118"/>
      <c r="DEV131" s="118"/>
      <c r="DEW131" s="118"/>
      <c r="DEX131" s="118"/>
      <c r="DEY131" s="118"/>
      <c r="DEZ131" s="118"/>
      <c r="DFA131" s="118"/>
      <c r="DFB131" s="118"/>
      <c r="DFC131" s="118"/>
      <c r="DFD131" s="118"/>
      <c r="DFE131" s="118"/>
      <c r="DFF131" s="118"/>
      <c r="DFG131" s="118"/>
      <c r="DFH131" s="118"/>
      <c r="DFI131" s="118"/>
      <c r="DFJ131" s="118"/>
      <c r="DFK131" s="118"/>
      <c r="DFL131" s="118"/>
      <c r="DFM131" s="118"/>
      <c r="DFN131" s="118"/>
      <c r="DFO131" s="118"/>
      <c r="DFP131" s="118"/>
      <c r="DFQ131" s="118"/>
      <c r="DFR131" s="118"/>
      <c r="DFS131" s="118"/>
      <c r="DFT131" s="118"/>
      <c r="DFU131" s="118"/>
      <c r="DFV131" s="118"/>
      <c r="DFW131" s="118"/>
      <c r="DFX131" s="118"/>
      <c r="DFY131" s="118"/>
      <c r="DFZ131" s="118"/>
      <c r="DGA131" s="118"/>
      <c r="DGB131" s="118"/>
      <c r="DGC131" s="118"/>
      <c r="DGD131" s="118"/>
      <c r="DGE131" s="118"/>
      <c r="DGF131" s="118"/>
      <c r="DGG131" s="118"/>
      <c r="DGH131" s="118"/>
      <c r="DGI131" s="118"/>
      <c r="DGJ131" s="118"/>
      <c r="DGK131" s="118"/>
      <c r="DGL131" s="118"/>
      <c r="DGM131" s="118"/>
      <c r="DGN131" s="118"/>
      <c r="DGO131" s="118"/>
      <c r="DGP131" s="118"/>
      <c r="DGQ131" s="118"/>
      <c r="DGR131" s="118"/>
      <c r="DGS131" s="118"/>
      <c r="DGT131" s="118"/>
      <c r="DGU131" s="118"/>
      <c r="DGV131" s="118"/>
      <c r="DGW131" s="118"/>
      <c r="DGX131" s="118"/>
      <c r="DGY131" s="118"/>
      <c r="DGZ131" s="118"/>
      <c r="DHA131" s="118"/>
      <c r="DHB131" s="118"/>
      <c r="DHC131" s="118"/>
      <c r="DHD131" s="118"/>
      <c r="DHE131" s="118"/>
      <c r="DHF131" s="118"/>
      <c r="DHG131" s="118"/>
      <c r="DHH131" s="118"/>
      <c r="DHI131" s="118"/>
      <c r="DHJ131" s="118"/>
      <c r="DHK131" s="118"/>
      <c r="DHL131" s="118"/>
      <c r="DHM131" s="118"/>
      <c r="DHN131" s="118"/>
      <c r="DHO131" s="118"/>
      <c r="DHP131" s="118"/>
      <c r="DHQ131" s="118"/>
      <c r="DHR131" s="118"/>
      <c r="DHS131" s="118"/>
      <c r="DHT131" s="118"/>
      <c r="DHU131" s="118"/>
      <c r="DHV131" s="118"/>
      <c r="DHW131" s="118"/>
      <c r="DHX131" s="118"/>
      <c r="DHY131" s="118"/>
      <c r="DHZ131" s="118"/>
      <c r="DIA131" s="118"/>
      <c r="DIB131" s="118"/>
      <c r="DIC131" s="118"/>
      <c r="DID131" s="118"/>
      <c r="DIE131" s="118"/>
      <c r="DIF131" s="118"/>
      <c r="DIG131" s="118"/>
      <c r="DIH131" s="118"/>
      <c r="DII131" s="118"/>
      <c r="DIJ131" s="118"/>
      <c r="DIK131" s="118"/>
      <c r="DIL131" s="118"/>
      <c r="DIM131" s="118"/>
      <c r="DIN131" s="118"/>
      <c r="DIO131" s="118"/>
      <c r="DIP131" s="118"/>
      <c r="DIQ131" s="118"/>
      <c r="DIR131" s="118"/>
      <c r="DIS131" s="118"/>
      <c r="DIT131" s="118"/>
      <c r="DIU131" s="118"/>
      <c r="DIV131" s="118"/>
      <c r="DIW131" s="118"/>
      <c r="DIX131" s="118"/>
      <c r="DIY131" s="118"/>
      <c r="DIZ131" s="118"/>
      <c r="DJA131" s="118"/>
      <c r="DJB131" s="118"/>
      <c r="DJC131" s="118"/>
      <c r="DJD131" s="118"/>
      <c r="DJE131" s="118"/>
      <c r="DJF131" s="118"/>
      <c r="DJG131" s="118"/>
      <c r="DJH131" s="118"/>
      <c r="DJI131" s="118"/>
      <c r="DJJ131" s="118"/>
      <c r="DJK131" s="118"/>
      <c r="DJL131" s="118"/>
      <c r="DJM131" s="118"/>
      <c r="DJN131" s="118"/>
      <c r="DJO131" s="118"/>
      <c r="DJP131" s="118"/>
      <c r="DJQ131" s="118"/>
      <c r="DJR131" s="118"/>
      <c r="DJS131" s="118"/>
      <c r="DJT131" s="118"/>
      <c r="DJU131" s="118"/>
      <c r="DJV131" s="118"/>
      <c r="DJW131" s="118"/>
      <c r="DJX131" s="118"/>
      <c r="DJY131" s="118"/>
      <c r="DJZ131" s="118"/>
      <c r="DKA131" s="118"/>
      <c r="DKB131" s="118"/>
      <c r="DKC131" s="118"/>
      <c r="DKD131" s="118"/>
      <c r="DKE131" s="118"/>
      <c r="DKF131" s="118"/>
      <c r="DKG131" s="118"/>
      <c r="DKH131" s="118"/>
      <c r="DKI131" s="118"/>
      <c r="DKJ131" s="118"/>
      <c r="DKK131" s="118"/>
      <c r="DKL131" s="118"/>
      <c r="DKM131" s="118"/>
      <c r="DKN131" s="118"/>
      <c r="DKO131" s="118"/>
      <c r="DKP131" s="118"/>
      <c r="DKQ131" s="118"/>
      <c r="DKR131" s="118"/>
      <c r="DKS131" s="118"/>
      <c r="DKT131" s="118"/>
      <c r="DKU131" s="118"/>
      <c r="DKV131" s="118"/>
      <c r="DKW131" s="118"/>
      <c r="DKX131" s="118"/>
      <c r="DKY131" s="118"/>
      <c r="DKZ131" s="118"/>
      <c r="DLA131" s="118"/>
      <c r="DLB131" s="118"/>
      <c r="DLC131" s="118"/>
      <c r="DLD131" s="118"/>
      <c r="DLE131" s="118"/>
      <c r="DLF131" s="118"/>
      <c r="DLG131" s="118"/>
      <c r="DLH131" s="118"/>
      <c r="DLI131" s="118"/>
      <c r="DLJ131" s="118"/>
      <c r="DLK131" s="118"/>
      <c r="DLL131" s="118"/>
      <c r="DLM131" s="118"/>
      <c r="DLN131" s="118"/>
      <c r="DLO131" s="118"/>
      <c r="DLP131" s="118"/>
      <c r="DLQ131" s="118"/>
      <c r="DLR131" s="118"/>
      <c r="DLS131" s="118"/>
      <c r="DLT131" s="118"/>
      <c r="DLU131" s="118"/>
      <c r="DLV131" s="118"/>
      <c r="DLW131" s="118"/>
      <c r="DLX131" s="118"/>
      <c r="DLY131" s="118"/>
      <c r="DLZ131" s="118"/>
      <c r="DMA131" s="118"/>
      <c r="DMB131" s="118"/>
      <c r="DMC131" s="118"/>
      <c r="DMD131" s="118"/>
      <c r="DME131" s="118"/>
      <c r="DMF131" s="118"/>
      <c r="DMG131" s="118"/>
      <c r="DMH131" s="118"/>
      <c r="DMI131" s="118"/>
      <c r="DMJ131" s="118"/>
      <c r="DMK131" s="118"/>
      <c r="DML131" s="118"/>
      <c r="DMM131" s="118"/>
      <c r="DMN131" s="118"/>
      <c r="DMO131" s="118"/>
      <c r="DMP131" s="118"/>
      <c r="DMQ131" s="118"/>
      <c r="DMR131" s="118"/>
      <c r="DMS131" s="118"/>
      <c r="DMT131" s="118"/>
      <c r="DMU131" s="118"/>
      <c r="DMV131" s="118"/>
      <c r="DMW131" s="118"/>
      <c r="DMX131" s="118"/>
      <c r="DMY131" s="118"/>
      <c r="DMZ131" s="118"/>
      <c r="DNA131" s="118"/>
      <c r="DNB131" s="118"/>
      <c r="DNC131" s="118"/>
      <c r="DND131" s="118"/>
      <c r="DNE131" s="118"/>
      <c r="DNF131" s="118"/>
      <c r="DNG131" s="118"/>
      <c r="DNH131" s="118"/>
      <c r="DNI131" s="118"/>
      <c r="DNJ131" s="118"/>
      <c r="DNK131" s="118"/>
      <c r="DNL131" s="118"/>
      <c r="DNM131" s="118"/>
      <c r="DNN131" s="118"/>
      <c r="DNO131" s="118"/>
      <c r="DNP131" s="118"/>
      <c r="DNQ131" s="118"/>
      <c r="DNR131" s="118"/>
      <c r="DNS131" s="118"/>
      <c r="DNT131" s="118"/>
      <c r="DNU131" s="118"/>
      <c r="DNV131" s="118"/>
      <c r="DNW131" s="118"/>
      <c r="DNX131" s="118"/>
      <c r="DNY131" s="118"/>
      <c r="DNZ131" s="118"/>
      <c r="DOA131" s="118"/>
      <c r="DOB131" s="118"/>
      <c r="DOC131" s="118"/>
      <c r="DOD131" s="118"/>
      <c r="DOE131" s="118"/>
      <c r="DOF131" s="118"/>
      <c r="DOG131" s="118"/>
      <c r="DOH131" s="118"/>
      <c r="DOI131" s="118"/>
      <c r="DOJ131" s="118"/>
      <c r="DOK131" s="118"/>
      <c r="DOL131" s="118"/>
      <c r="DOM131" s="118"/>
      <c r="DON131" s="118"/>
      <c r="DOO131" s="118"/>
      <c r="DOP131" s="118"/>
      <c r="DOQ131" s="118"/>
      <c r="DOR131" s="118"/>
      <c r="DOS131" s="118"/>
      <c r="DOT131" s="118"/>
      <c r="DOU131" s="118"/>
      <c r="DOV131" s="118"/>
      <c r="DOW131" s="118"/>
      <c r="DOX131" s="118"/>
      <c r="DOY131" s="118"/>
      <c r="DOZ131" s="118"/>
      <c r="DPA131" s="118"/>
      <c r="DPB131" s="118"/>
      <c r="DPC131" s="118"/>
      <c r="DPD131" s="118"/>
      <c r="DPE131" s="118"/>
      <c r="DPF131" s="118"/>
      <c r="DPG131" s="118"/>
      <c r="DPH131" s="118"/>
      <c r="DPI131" s="118"/>
      <c r="DPJ131" s="118"/>
      <c r="DPK131" s="118"/>
      <c r="DPL131" s="118"/>
      <c r="DPM131" s="118"/>
      <c r="DPN131" s="118"/>
      <c r="DPO131" s="118"/>
      <c r="DPP131" s="118"/>
      <c r="DPQ131" s="118"/>
      <c r="DPR131" s="118"/>
      <c r="DPS131" s="118"/>
      <c r="DPT131" s="118"/>
      <c r="DPU131" s="118"/>
      <c r="DPV131" s="118"/>
      <c r="DPW131" s="118"/>
      <c r="DPX131" s="118"/>
      <c r="DPY131" s="118"/>
      <c r="DPZ131" s="118"/>
      <c r="DQA131" s="118"/>
      <c r="DQB131" s="118"/>
      <c r="DQC131" s="118"/>
      <c r="DQD131" s="118"/>
      <c r="DQE131" s="118"/>
      <c r="DQF131" s="118"/>
      <c r="DQG131" s="118"/>
      <c r="DQH131" s="118"/>
      <c r="DQI131" s="118"/>
      <c r="DQJ131" s="118"/>
      <c r="DQK131" s="118"/>
      <c r="DQL131" s="118"/>
      <c r="DQM131" s="118"/>
      <c r="DQN131" s="118"/>
      <c r="DQO131" s="118"/>
      <c r="DQP131" s="118"/>
      <c r="DQQ131" s="118"/>
      <c r="DQR131" s="118"/>
      <c r="DQS131" s="118"/>
      <c r="DQT131" s="118"/>
      <c r="DQU131" s="118"/>
      <c r="DQV131" s="118"/>
      <c r="DQW131" s="118"/>
      <c r="DQX131" s="118"/>
      <c r="DQY131" s="118"/>
      <c r="DQZ131" s="118"/>
      <c r="DRA131" s="118"/>
      <c r="DRB131" s="118"/>
      <c r="DRC131" s="118"/>
      <c r="DRD131" s="118"/>
      <c r="DRE131" s="118"/>
      <c r="DRF131" s="118"/>
      <c r="DRG131" s="118"/>
      <c r="DRH131" s="118"/>
      <c r="DRI131" s="118"/>
      <c r="DRJ131" s="118"/>
      <c r="DRK131" s="118"/>
      <c r="DRL131" s="118"/>
      <c r="DRM131" s="118"/>
      <c r="DRN131" s="118"/>
      <c r="DRO131" s="118"/>
      <c r="DRP131" s="118"/>
      <c r="DRQ131" s="118"/>
      <c r="DRR131" s="118"/>
      <c r="DRS131" s="118"/>
      <c r="DRT131" s="118"/>
      <c r="DRU131" s="118"/>
      <c r="DRV131" s="118"/>
      <c r="DRW131" s="118"/>
      <c r="DRX131" s="118"/>
      <c r="DRY131" s="118"/>
      <c r="DRZ131" s="118"/>
      <c r="DSA131" s="118"/>
      <c r="DSB131" s="118"/>
      <c r="DSC131" s="118"/>
      <c r="DSD131" s="118"/>
      <c r="DSE131" s="118"/>
      <c r="DSF131" s="118"/>
      <c r="DSG131" s="118"/>
      <c r="DSH131" s="118"/>
      <c r="DSI131" s="118"/>
      <c r="DSJ131" s="118"/>
      <c r="DSK131" s="118"/>
      <c r="DSL131" s="118"/>
      <c r="DSM131" s="118"/>
      <c r="DSN131" s="118"/>
      <c r="DSO131" s="118"/>
      <c r="DSP131" s="118"/>
      <c r="DSQ131" s="118"/>
      <c r="DSR131" s="118"/>
      <c r="DSS131" s="118"/>
      <c r="DST131" s="118"/>
      <c r="DSU131" s="118"/>
      <c r="DSV131" s="118"/>
      <c r="DSW131" s="118"/>
      <c r="DSX131" s="118"/>
      <c r="DSY131" s="118"/>
      <c r="DSZ131" s="118"/>
      <c r="DTA131" s="118"/>
      <c r="DTB131" s="118"/>
      <c r="DTC131" s="118"/>
      <c r="DTD131" s="118"/>
      <c r="DTE131" s="118"/>
      <c r="DTF131" s="118"/>
      <c r="DTG131" s="118"/>
      <c r="DTH131" s="118"/>
      <c r="DTI131" s="118"/>
      <c r="DTJ131" s="118"/>
      <c r="DTK131" s="118"/>
      <c r="DTL131" s="118"/>
      <c r="DTM131" s="118"/>
      <c r="DTN131" s="118"/>
      <c r="DTO131" s="118"/>
      <c r="DTP131" s="118"/>
      <c r="DTQ131" s="118"/>
      <c r="DTR131" s="118"/>
      <c r="DTS131" s="118"/>
      <c r="DTT131" s="118"/>
      <c r="DTU131" s="118"/>
      <c r="DTV131" s="118"/>
      <c r="DTW131" s="118"/>
      <c r="DTX131" s="118"/>
      <c r="DTY131" s="118"/>
      <c r="DTZ131" s="118"/>
      <c r="DUA131" s="118"/>
      <c r="DUB131" s="118"/>
      <c r="DUC131" s="118"/>
      <c r="DUD131" s="118"/>
      <c r="DUE131" s="118"/>
      <c r="DUF131" s="118"/>
      <c r="DUG131" s="118"/>
      <c r="DUH131" s="118"/>
      <c r="DUI131" s="118"/>
      <c r="DUJ131" s="118"/>
      <c r="DUK131" s="118"/>
      <c r="DUL131" s="118"/>
      <c r="DUM131" s="118"/>
      <c r="DUN131" s="118"/>
      <c r="DUO131" s="118"/>
      <c r="DUP131" s="118"/>
      <c r="DUQ131" s="118"/>
      <c r="DUR131" s="118"/>
      <c r="DUS131" s="118"/>
      <c r="DUT131" s="118"/>
      <c r="DUU131" s="118"/>
      <c r="DUV131" s="118"/>
      <c r="DUW131" s="118"/>
      <c r="DUX131" s="118"/>
      <c r="DUY131" s="118"/>
      <c r="DUZ131" s="118"/>
      <c r="DVA131" s="118"/>
      <c r="DVB131" s="118"/>
      <c r="DVC131" s="118"/>
      <c r="DVD131" s="118"/>
      <c r="DVE131" s="118"/>
      <c r="DVF131" s="118"/>
      <c r="DVG131" s="118"/>
      <c r="DVH131" s="118"/>
      <c r="DVI131" s="118"/>
      <c r="DVJ131" s="118"/>
      <c r="DVK131" s="118"/>
      <c r="DVL131" s="118"/>
      <c r="DVM131" s="118"/>
      <c r="DVN131" s="118"/>
      <c r="DVO131" s="118"/>
      <c r="DVP131" s="118"/>
      <c r="DVQ131" s="118"/>
      <c r="DVR131" s="118"/>
      <c r="DVS131" s="118"/>
      <c r="DVT131" s="118"/>
      <c r="DVU131" s="118"/>
      <c r="DVV131" s="118"/>
      <c r="DVW131" s="118"/>
      <c r="DVX131" s="118"/>
      <c r="DVY131" s="118"/>
      <c r="DVZ131" s="118"/>
      <c r="DWA131" s="118"/>
      <c r="DWB131" s="118"/>
      <c r="DWC131" s="118"/>
      <c r="DWD131" s="118"/>
      <c r="DWE131" s="118"/>
      <c r="DWF131" s="118"/>
      <c r="DWG131" s="118"/>
      <c r="DWH131" s="118"/>
      <c r="DWI131" s="118"/>
      <c r="DWJ131" s="118"/>
      <c r="DWK131" s="118"/>
      <c r="DWL131" s="118"/>
      <c r="DWM131" s="118"/>
      <c r="DWN131" s="118"/>
      <c r="DWO131" s="118"/>
      <c r="DWP131" s="118"/>
      <c r="DWQ131" s="118"/>
      <c r="DWR131" s="118"/>
      <c r="DWS131" s="118"/>
      <c r="DWT131" s="118"/>
      <c r="DWU131" s="118"/>
      <c r="DWV131" s="118"/>
      <c r="DWW131" s="118"/>
      <c r="DWX131" s="118"/>
      <c r="DWY131" s="118"/>
      <c r="DWZ131" s="118"/>
      <c r="DXA131" s="118"/>
      <c r="DXB131" s="118"/>
      <c r="DXC131" s="118"/>
      <c r="DXD131" s="118"/>
      <c r="DXE131" s="118"/>
      <c r="DXF131" s="118"/>
      <c r="DXG131" s="118"/>
      <c r="DXH131" s="118"/>
      <c r="DXI131" s="118"/>
      <c r="DXJ131" s="118"/>
      <c r="DXK131" s="118"/>
      <c r="DXL131" s="118"/>
      <c r="DXM131" s="118"/>
      <c r="DXN131" s="118"/>
      <c r="DXO131" s="118"/>
      <c r="DXP131" s="118"/>
      <c r="DXQ131" s="118"/>
      <c r="DXR131" s="118"/>
      <c r="DXS131" s="118"/>
      <c r="DXT131" s="118"/>
      <c r="DXU131" s="118"/>
      <c r="DXV131" s="118"/>
      <c r="DXW131" s="118"/>
      <c r="DXX131" s="118"/>
      <c r="DXY131" s="118"/>
      <c r="DXZ131" s="118"/>
      <c r="DYA131" s="118"/>
      <c r="DYB131" s="118"/>
      <c r="DYC131" s="118"/>
      <c r="DYD131" s="118"/>
      <c r="DYE131" s="118"/>
      <c r="DYF131" s="118"/>
      <c r="DYG131" s="118"/>
      <c r="DYH131" s="118"/>
      <c r="DYI131" s="118"/>
      <c r="DYJ131" s="118"/>
      <c r="DYK131" s="118"/>
      <c r="DYL131" s="118"/>
      <c r="DYM131" s="118"/>
      <c r="DYN131" s="118"/>
      <c r="DYO131" s="118"/>
      <c r="DYP131" s="118"/>
      <c r="DYQ131" s="118"/>
      <c r="DYR131" s="118"/>
      <c r="DYS131" s="118"/>
      <c r="DYT131" s="118"/>
      <c r="DYU131" s="118"/>
      <c r="DYV131" s="118"/>
      <c r="DYW131" s="118"/>
      <c r="DYX131" s="118"/>
      <c r="DYY131" s="118"/>
      <c r="DYZ131" s="118"/>
      <c r="DZA131" s="118"/>
      <c r="DZB131" s="118"/>
      <c r="DZC131" s="118"/>
      <c r="DZD131" s="118"/>
      <c r="DZE131" s="118"/>
      <c r="DZF131" s="118"/>
      <c r="DZG131" s="118"/>
      <c r="DZH131" s="118"/>
      <c r="DZI131" s="118"/>
      <c r="DZJ131" s="118"/>
      <c r="DZK131" s="118"/>
      <c r="DZL131" s="118"/>
      <c r="DZM131" s="118"/>
      <c r="DZN131" s="118"/>
      <c r="DZO131" s="118"/>
      <c r="DZP131" s="118"/>
      <c r="DZQ131" s="118"/>
      <c r="DZR131" s="118"/>
      <c r="DZS131" s="118"/>
      <c r="DZT131" s="118"/>
      <c r="DZU131" s="118"/>
      <c r="DZV131" s="118"/>
      <c r="DZW131" s="118"/>
      <c r="DZX131" s="118"/>
      <c r="DZY131" s="118"/>
      <c r="DZZ131" s="118"/>
      <c r="EAA131" s="118"/>
      <c r="EAB131" s="118"/>
      <c r="EAC131" s="118"/>
      <c r="EAD131" s="118"/>
      <c r="EAE131" s="118"/>
      <c r="EAF131" s="118"/>
      <c r="EAG131" s="118"/>
      <c r="EAH131" s="118"/>
      <c r="EAI131" s="118"/>
      <c r="EAJ131" s="118"/>
      <c r="EAK131" s="118"/>
      <c r="EAL131" s="118"/>
      <c r="EAM131" s="118"/>
      <c r="EAN131" s="118"/>
      <c r="EAO131" s="118"/>
      <c r="EAP131" s="118"/>
      <c r="EAQ131" s="118"/>
      <c r="EAR131" s="118"/>
      <c r="EAS131" s="118"/>
      <c r="EAT131" s="118"/>
      <c r="EAU131" s="118"/>
      <c r="EAV131" s="118"/>
      <c r="EAW131" s="118"/>
      <c r="EAX131" s="118"/>
      <c r="EAY131" s="118"/>
      <c r="EAZ131" s="118"/>
      <c r="EBA131" s="118"/>
      <c r="EBB131" s="118"/>
      <c r="EBC131" s="118"/>
      <c r="EBD131" s="118"/>
      <c r="EBE131" s="118"/>
      <c r="EBF131" s="118"/>
      <c r="EBG131" s="118"/>
      <c r="EBH131" s="118"/>
      <c r="EBI131" s="118"/>
      <c r="EBJ131" s="118"/>
      <c r="EBK131" s="118"/>
      <c r="EBL131" s="118"/>
      <c r="EBM131" s="118"/>
      <c r="EBN131" s="118"/>
      <c r="EBO131" s="118"/>
      <c r="EBP131" s="118"/>
      <c r="EBQ131" s="118"/>
      <c r="EBR131" s="118"/>
      <c r="EBS131" s="118"/>
      <c r="EBT131" s="118"/>
      <c r="EBU131" s="118"/>
      <c r="EBV131" s="118"/>
      <c r="EBW131" s="118"/>
      <c r="EBX131" s="118"/>
      <c r="EBY131" s="118"/>
      <c r="EBZ131" s="118"/>
      <c r="ECA131" s="118"/>
      <c r="ECB131" s="118"/>
      <c r="ECC131" s="118"/>
      <c r="ECD131" s="118"/>
      <c r="ECE131" s="118"/>
      <c r="ECF131" s="118"/>
      <c r="ECG131" s="118"/>
      <c r="ECH131" s="118"/>
      <c r="ECI131" s="118"/>
      <c r="ECJ131" s="118"/>
      <c r="ECK131" s="118"/>
      <c r="ECL131" s="118"/>
      <c r="ECM131" s="118"/>
      <c r="ECN131" s="118"/>
      <c r="ECO131" s="118"/>
      <c r="ECP131" s="118"/>
      <c r="ECQ131" s="118"/>
      <c r="ECR131" s="118"/>
      <c r="ECS131" s="118"/>
      <c r="ECT131" s="118"/>
      <c r="ECU131" s="118"/>
      <c r="ECV131" s="118"/>
      <c r="ECW131" s="118"/>
      <c r="ECX131" s="118"/>
      <c r="ECY131" s="118"/>
      <c r="ECZ131" s="118"/>
      <c r="EDA131" s="118"/>
      <c r="EDB131" s="118"/>
      <c r="EDC131" s="118"/>
      <c r="EDD131" s="118"/>
      <c r="EDE131" s="118"/>
      <c r="EDF131" s="118"/>
      <c r="EDG131" s="118"/>
      <c r="EDH131" s="118"/>
      <c r="EDI131" s="118"/>
      <c r="EDJ131" s="118"/>
      <c r="EDK131" s="118"/>
      <c r="EDL131" s="118"/>
      <c r="EDM131" s="118"/>
      <c r="EDN131" s="118"/>
      <c r="EDO131" s="118"/>
      <c r="EDP131" s="118"/>
      <c r="EDQ131" s="118"/>
      <c r="EDR131" s="118"/>
      <c r="EDS131" s="118"/>
      <c r="EDT131" s="118"/>
      <c r="EDU131" s="118"/>
      <c r="EDV131" s="118"/>
      <c r="EDW131" s="118"/>
      <c r="EDX131" s="118"/>
      <c r="EDY131" s="118"/>
      <c r="EDZ131" s="118"/>
      <c r="EEA131" s="118"/>
      <c r="EEB131" s="118"/>
      <c r="EEC131" s="118"/>
      <c r="EED131" s="118"/>
      <c r="EEE131" s="118"/>
      <c r="EEF131" s="118"/>
      <c r="EEG131" s="118"/>
      <c r="EEH131" s="118"/>
      <c r="EEI131" s="118"/>
      <c r="EEJ131" s="118"/>
      <c r="EEK131" s="118"/>
      <c r="EEL131" s="118"/>
      <c r="EEM131" s="118"/>
      <c r="EEN131" s="118"/>
      <c r="EEO131" s="118"/>
      <c r="EEP131" s="118"/>
      <c r="EEQ131" s="118"/>
      <c r="EER131" s="118"/>
      <c r="EES131" s="118"/>
      <c r="EET131" s="118"/>
      <c r="EEU131" s="118"/>
      <c r="EEV131" s="118"/>
      <c r="EEW131" s="118"/>
      <c r="EEX131" s="118"/>
      <c r="EEY131" s="118"/>
      <c r="EEZ131" s="118"/>
      <c r="EFA131" s="118"/>
      <c r="EFB131" s="118"/>
      <c r="EFC131" s="118"/>
      <c r="EFD131" s="118"/>
      <c r="EFE131" s="118"/>
      <c r="EFF131" s="118"/>
      <c r="EFG131" s="118"/>
      <c r="EFH131" s="118"/>
      <c r="EFI131" s="118"/>
      <c r="EFJ131" s="118"/>
      <c r="EFK131" s="118"/>
      <c r="EFL131" s="118"/>
      <c r="EFM131" s="118"/>
      <c r="EFN131" s="118"/>
      <c r="EFO131" s="118"/>
      <c r="EFP131" s="118"/>
      <c r="EFQ131" s="118"/>
      <c r="EFR131" s="118"/>
      <c r="EFS131" s="118"/>
      <c r="EFT131" s="118"/>
      <c r="EFU131" s="118"/>
      <c r="EFV131" s="118"/>
      <c r="EFW131" s="118"/>
      <c r="EFX131" s="118"/>
      <c r="EFY131" s="118"/>
      <c r="EFZ131" s="118"/>
      <c r="EGA131" s="118"/>
      <c r="EGB131" s="118"/>
      <c r="EGC131" s="118"/>
      <c r="EGD131" s="118"/>
      <c r="EGE131" s="118"/>
      <c r="EGF131" s="118"/>
      <c r="EGG131" s="118"/>
      <c r="EGH131" s="118"/>
      <c r="EGI131" s="118"/>
      <c r="EGJ131" s="118"/>
      <c r="EGK131" s="118"/>
      <c r="EGL131" s="118"/>
      <c r="EGM131" s="118"/>
      <c r="EGN131" s="118"/>
      <c r="EGO131" s="118"/>
      <c r="EGP131" s="118"/>
      <c r="EGQ131" s="118"/>
      <c r="EGR131" s="118"/>
      <c r="EGS131" s="118"/>
      <c r="EGT131" s="118"/>
      <c r="EGU131" s="118"/>
      <c r="EGV131" s="118"/>
      <c r="EGW131" s="118"/>
      <c r="EGX131" s="118"/>
      <c r="EGY131" s="118"/>
      <c r="EGZ131" s="118"/>
      <c r="EHA131" s="118"/>
      <c r="EHB131" s="118"/>
      <c r="EHC131" s="118"/>
      <c r="EHD131" s="118"/>
      <c r="EHE131" s="118"/>
      <c r="EHF131" s="118"/>
      <c r="EHG131" s="118"/>
      <c r="EHH131" s="118"/>
      <c r="EHI131" s="118"/>
      <c r="EHJ131" s="118"/>
      <c r="EHK131" s="118"/>
      <c r="EHL131" s="118"/>
      <c r="EHM131" s="118"/>
      <c r="EHN131" s="118"/>
      <c r="EHO131" s="118"/>
      <c r="EHP131" s="118"/>
      <c r="EHQ131" s="118"/>
      <c r="EHR131" s="118"/>
      <c r="EHS131" s="118"/>
      <c r="EHT131" s="118"/>
      <c r="EHU131" s="118"/>
      <c r="EHV131" s="118"/>
      <c r="EHW131" s="118"/>
      <c r="EHX131" s="118"/>
      <c r="EHY131" s="118"/>
      <c r="EHZ131" s="118"/>
      <c r="EIA131" s="118"/>
      <c r="EIB131" s="118"/>
      <c r="EIC131" s="118"/>
      <c r="EID131" s="118"/>
      <c r="EIE131" s="118"/>
      <c r="EIF131" s="118"/>
      <c r="EIG131" s="118"/>
      <c r="EIH131" s="118"/>
      <c r="EII131" s="118"/>
      <c r="EIJ131" s="118"/>
      <c r="EIK131" s="118"/>
      <c r="EIL131" s="118"/>
      <c r="EIM131" s="118"/>
      <c r="EIN131" s="118"/>
      <c r="EIO131" s="118"/>
      <c r="EIP131" s="118"/>
      <c r="EIQ131" s="118"/>
      <c r="EIR131" s="118"/>
      <c r="EIS131" s="118"/>
      <c r="EIT131" s="118"/>
      <c r="EIU131" s="118"/>
      <c r="EIV131" s="118"/>
      <c r="EIW131" s="118"/>
      <c r="EIX131" s="118"/>
      <c r="EIY131" s="118"/>
      <c r="EIZ131" s="118"/>
      <c r="EJA131" s="118"/>
      <c r="EJB131" s="118"/>
      <c r="EJC131" s="118"/>
      <c r="EJD131" s="118"/>
      <c r="EJE131" s="118"/>
      <c r="EJF131" s="118"/>
      <c r="EJG131" s="118"/>
      <c r="EJH131" s="118"/>
      <c r="EJI131" s="118"/>
      <c r="EJJ131" s="118"/>
      <c r="EJK131" s="118"/>
      <c r="EJL131" s="118"/>
      <c r="EJM131" s="118"/>
      <c r="EJN131" s="118"/>
      <c r="EJO131" s="118"/>
      <c r="EJP131" s="118"/>
      <c r="EJQ131" s="118"/>
      <c r="EJR131" s="118"/>
      <c r="EJS131" s="118"/>
      <c r="EJT131" s="118"/>
      <c r="EJU131" s="118"/>
      <c r="EJV131" s="118"/>
      <c r="EJW131" s="118"/>
      <c r="EJX131" s="118"/>
      <c r="EJY131" s="118"/>
      <c r="EJZ131" s="118"/>
      <c r="EKA131" s="118"/>
      <c r="EKB131" s="118"/>
      <c r="EKC131" s="118"/>
      <c r="EKD131" s="118"/>
      <c r="EKE131" s="118"/>
      <c r="EKF131" s="118"/>
      <c r="EKG131" s="118"/>
      <c r="EKH131" s="118"/>
      <c r="EKI131" s="118"/>
      <c r="EKJ131" s="118"/>
      <c r="EKK131" s="118"/>
      <c r="EKL131" s="118"/>
      <c r="EKM131" s="118"/>
      <c r="EKN131" s="118"/>
      <c r="EKO131" s="118"/>
      <c r="EKP131" s="118"/>
      <c r="EKQ131" s="118"/>
      <c r="EKR131" s="118"/>
      <c r="EKS131" s="118"/>
      <c r="EKT131" s="118"/>
      <c r="EKU131" s="118"/>
      <c r="EKV131" s="118"/>
      <c r="EKW131" s="118"/>
      <c r="EKX131" s="118"/>
      <c r="EKY131" s="118"/>
      <c r="EKZ131" s="118"/>
      <c r="ELA131" s="118"/>
      <c r="ELB131" s="118"/>
      <c r="ELC131" s="118"/>
      <c r="ELD131" s="118"/>
      <c r="ELE131" s="118"/>
      <c r="ELF131" s="118"/>
      <c r="ELG131" s="118"/>
      <c r="ELH131" s="118"/>
      <c r="ELI131" s="118"/>
      <c r="ELJ131" s="118"/>
      <c r="ELK131" s="118"/>
      <c r="ELL131" s="118"/>
      <c r="ELM131" s="118"/>
      <c r="ELN131" s="118"/>
      <c r="ELO131" s="118"/>
      <c r="ELP131" s="118"/>
      <c r="ELQ131" s="118"/>
      <c r="ELR131" s="118"/>
      <c r="ELS131" s="118"/>
      <c r="ELT131" s="118"/>
      <c r="ELU131" s="118"/>
      <c r="ELV131" s="118"/>
      <c r="ELW131" s="118"/>
      <c r="ELX131" s="118"/>
      <c r="ELY131" s="118"/>
      <c r="ELZ131" s="118"/>
      <c r="EMA131" s="118"/>
      <c r="EMB131" s="118"/>
      <c r="EMC131" s="118"/>
      <c r="EMD131" s="118"/>
      <c r="EME131" s="118"/>
      <c r="EMF131" s="118"/>
      <c r="EMG131" s="118"/>
      <c r="EMH131" s="118"/>
      <c r="EMI131" s="118"/>
      <c r="EMJ131" s="118"/>
      <c r="EMK131" s="118"/>
      <c r="EML131" s="118"/>
      <c r="EMM131" s="118"/>
      <c r="EMN131" s="118"/>
      <c r="EMO131" s="118"/>
      <c r="EMP131" s="118"/>
      <c r="EMQ131" s="118"/>
      <c r="EMR131" s="118"/>
      <c r="EMS131" s="118"/>
      <c r="EMT131" s="118"/>
      <c r="EMU131" s="118"/>
      <c r="EMV131" s="118"/>
      <c r="EMW131" s="118"/>
      <c r="EMX131" s="118"/>
      <c r="EMY131" s="118"/>
      <c r="EMZ131" s="118"/>
      <c r="ENA131" s="118"/>
      <c r="ENB131" s="118"/>
      <c r="ENC131" s="118"/>
      <c r="END131" s="118"/>
      <c r="ENE131" s="118"/>
      <c r="ENF131" s="118"/>
      <c r="ENG131" s="118"/>
      <c r="ENH131" s="118"/>
      <c r="ENI131" s="118"/>
      <c r="ENJ131" s="118"/>
      <c r="ENK131" s="118"/>
      <c r="ENL131" s="118"/>
      <c r="ENM131" s="118"/>
      <c r="ENN131" s="118"/>
      <c r="ENO131" s="118"/>
      <c r="ENP131" s="118"/>
      <c r="ENQ131" s="118"/>
      <c r="ENR131" s="118"/>
      <c r="ENS131" s="118"/>
      <c r="ENT131" s="118"/>
      <c r="ENU131" s="118"/>
      <c r="ENV131" s="118"/>
      <c r="ENW131" s="118"/>
      <c r="ENX131" s="118"/>
      <c r="ENY131" s="118"/>
      <c r="ENZ131" s="118"/>
      <c r="EOA131" s="118"/>
      <c r="EOB131" s="118"/>
      <c r="EOC131" s="118"/>
      <c r="EOD131" s="118"/>
      <c r="EOE131" s="118"/>
      <c r="EOF131" s="118"/>
      <c r="EOG131" s="118"/>
      <c r="EOH131" s="118"/>
      <c r="EOI131" s="118"/>
      <c r="EOJ131" s="118"/>
      <c r="EOK131" s="118"/>
      <c r="EOL131" s="118"/>
      <c r="EOM131" s="118"/>
      <c r="EON131" s="118"/>
      <c r="EOO131" s="118"/>
      <c r="EOP131" s="118"/>
      <c r="EOQ131" s="118"/>
      <c r="EOR131" s="118"/>
      <c r="EOS131" s="118"/>
      <c r="EOT131" s="118"/>
      <c r="EOU131" s="118"/>
      <c r="EOV131" s="118"/>
      <c r="EOW131" s="118"/>
      <c r="EOX131" s="118"/>
      <c r="EOY131" s="118"/>
      <c r="EOZ131" s="118"/>
      <c r="EPA131" s="118"/>
      <c r="EPB131" s="118"/>
      <c r="EPC131" s="118"/>
      <c r="EPD131" s="118"/>
      <c r="EPE131" s="118"/>
      <c r="EPF131" s="118"/>
      <c r="EPG131" s="118"/>
      <c r="EPH131" s="118"/>
      <c r="EPI131" s="118"/>
      <c r="EPJ131" s="118"/>
      <c r="EPK131" s="118"/>
      <c r="EPL131" s="118"/>
      <c r="EPM131" s="118"/>
      <c r="EPN131" s="118"/>
      <c r="EPO131" s="118"/>
      <c r="EPP131" s="118"/>
      <c r="EPQ131" s="118"/>
      <c r="EPR131" s="118"/>
      <c r="EPS131" s="118"/>
      <c r="EPT131" s="118"/>
      <c r="EPU131" s="118"/>
      <c r="EPV131" s="118"/>
      <c r="EPW131" s="118"/>
      <c r="EPX131" s="118"/>
      <c r="EPY131" s="118"/>
      <c r="EPZ131" s="118"/>
      <c r="EQA131" s="118"/>
      <c r="EQB131" s="118"/>
      <c r="EQC131" s="118"/>
      <c r="EQD131" s="118"/>
      <c r="EQE131" s="118"/>
      <c r="EQF131" s="118"/>
      <c r="EQG131" s="118"/>
      <c r="EQH131" s="118"/>
      <c r="EQI131" s="118"/>
      <c r="EQJ131" s="118"/>
      <c r="EQK131" s="118"/>
      <c r="EQL131" s="118"/>
      <c r="EQM131" s="118"/>
      <c r="EQN131" s="118"/>
      <c r="EQO131" s="118"/>
      <c r="EQP131" s="118"/>
      <c r="EQQ131" s="118"/>
      <c r="EQR131" s="118"/>
      <c r="EQS131" s="118"/>
      <c r="EQT131" s="118"/>
      <c r="EQU131" s="118"/>
      <c r="EQV131" s="118"/>
      <c r="EQW131" s="118"/>
      <c r="EQX131" s="118"/>
      <c r="EQY131" s="118"/>
      <c r="EQZ131" s="118"/>
      <c r="ERA131" s="118"/>
      <c r="ERB131" s="118"/>
      <c r="ERC131" s="118"/>
      <c r="ERD131" s="118"/>
      <c r="ERE131" s="118"/>
      <c r="ERF131" s="118"/>
      <c r="ERG131" s="118"/>
      <c r="ERH131" s="118"/>
      <c r="ERI131" s="118"/>
      <c r="ERJ131" s="118"/>
      <c r="ERK131" s="118"/>
      <c r="ERL131" s="118"/>
      <c r="ERM131" s="118"/>
      <c r="ERN131" s="118"/>
      <c r="ERO131" s="118"/>
      <c r="ERP131" s="118"/>
      <c r="ERQ131" s="118"/>
      <c r="ERR131" s="118"/>
      <c r="ERS131" s="118"/>
      <c r="ERT131" s="118"/>
      <c r="ERU131" s="118"/>
      <c r="ERV131" s="118"/>
      <c r="ERW131" s="118"/>
      <c r="ERX131" s="118"/>
      <c r="ERY131" s="118"/>
      <c r="ERZ131" s="118"/>
      <c r="ESA131" s="118"/>
      <c r="ESB131" s="118"/>
      <c r="ESC131" s="118"/>
      <c r="ESD131" s="118"/>
      <c r="ESE131" s="118"/>
      <c r="ESF131" s="118"/>
      <c r="ESG131" s="118"/>
      <c r="ESH131" s="118"/>
      <c r="ESI131" s="118"/>
      <c r="ESJ131" s="118"/>
      <c r="ESK131" s="118"/>
      <c r="ESL131" s="118"/>
      <c r="ESM131" s="118"/>
      <c r="ESN131" s="118"/>
      <c r="ESO131" s="118"/>
      <c r="ESP131" s="118"/>
      <c r="ESQ131" s="118"/>
      <c r="ESR131" s="118"/>
      <c r="ESS131" s="118"/>
      <c r="EST131" s="118"/>
      <c r="ESU131" s="118"/>
      <c r="ESV131" s="118"/>
      <c r="ESW131" s="118"/>
      <c r="ESX131" s="118"/>
      <c r="ESY131" s="118"/>
      <c r="ESZ131" s="118"/>
      <c r="ETA131" s="118"/>
      <c r="ETB131" s="118"/>
      <c r="ETC131" s="118"/>
      <c r="ETD131" s="118"/>
      <c r="ETE131" s="118"/>
      <c r="ETF131" s="118"/>
      <c r="ETG131" s="118"/>
      <c r="ETH131" s="118"/>
      <c r="ETI131" s="118"/>
      <c r="ETJ131" s="118"/>
      <c r="ETK131" s="118"/>
      <c r="ETL131" s="118"/>
      <c r="ETM131" s="118"/>
      <c r="ETN131" s="118"/>
      <c r="ETO131" s="118"/>
      <c r="ETP131" s="118"/>
      <c r="ETQ131" s="118"/>
      <c r="ETR131" s="118"/>
      <c r="ETS131" s="118"/>
      <c r="ETT131" s="118"/>
      <c r="ETU131" s="118"/>
      <c r="ETV131" s="118"/>
      <c r="ETW131" s="118"/>
      <c r="ETX131" s="118"/>
      <c r="ETY131" s="118"/>
      <c r="ETZ131" s="118"/>
      <c r="EUA131" s="118"/>
      <c r="EUB131" s="118"/>
      <c r="EUC131" s="118"/>
      <c r="EUD131" s="118"/>
      <c r="EUE131" s="118"/>
      <c r="EUF131" s="118"/>
      <c r="EUG131" s="118"/>
      <c r="EUH131" s="118"/>
      <c r="EUI131" s="118"/>
      <c r="EUJ131" s="118"/>
      <c r="EUK131" s="118"/>
      <c r="EUL131" s="118"/>
      <c r="EUM131" s="118"/>
      <c r="EUN131" s="118"/>
      <c r="EUO131" s="118"/>
      <c r="EUP131" s="118"/>
      <c r="EUQ131" s="118"/>
      <c r="EUR131" s="118"/>
      <c r="EUS131" s="118"/>
      <c r="EUT131" s="118"/>
      <c r="EUU131" s="118"/>
      <c r="EUV131" s="118"/>
      <c r="EUW131" s="118"/>
      <c r="EUX131" s="118"/>
      <c r="EUY131" s="118"/>
      <c r="EUZ131" s="118"/>
      <c r="EVA131" s="118"/>
      <c r="EVB131" s="118"/>
      <c r="EVC131" s="118"/>
      <c r="EVD131" s="118"/>
      <c r="EVE131" s="118"/>
      <c r="EVF131" s="118"/>
      <c r="EVG131" s="118"/>
      <c r="EVH131" s="118"/>
      <c r="EVI131" s="118"/>
      <c r="EVJ131" s="118"/>
      <c r="EVK131" s="118"/>
      <c r="EVL131" s="118"/>
      <c r="EVM131" s="118"/>
      <c r="EVN131" s="118"/>
      <c r="EVO131" s="118"/>
      <c r="EVP131" s="118"/>
      <c r="EVQ131" s="118"/>
      <c r="EVR131" s="118"/>
      <c r="EVS131" s="118"/>
      <c r="EVT131" s="118"/>
      <c r="EVU131" s="118"/>
      <c r="EVV131" s="118"/>
      <c r="EVW131" s="118"/>
      <c r="EVX131" s="118"/>
      <c r="EVY131" s="118"/>
      <c r="EVZ131" s="118"/>
      <c r="EWA131" s="118"/>
      <c r="EWB131" s="118"/>
      <c r="EWC131" s="118"/>
      <c r="EWD131" s="118"/>
      <c r="EWE131" s="118"/>
      <c r="EWF131" s="118"/>
      <c r="EWG131" s="118"/>
      <c r="EWH131" s="118"/>
      <c r="EWI131" s="118"/>
      <c r="EWJ131" s="118"/>
      <c r="EWK131" s="118"/>
      <c r="EWL131" s="118"/>
      <c r="EWM131" s="118"/>
      <c r="EWN131" s="118"/>
      <c r="EWO131" s="118"/>
      <c r="EWP131" s="118"/>
      <c r="EWQ131" s="118"/>
      <c r="EWR131" s="118"/>
      <c r="EWS131" s="118"/>
      <c r="EWT131" s="118"/>
      <c r="EWU131" s="118"/>
      <c r="EWV131" s="118"/>
      <c r="EWW131" s="118"/>
      <c r="EWX131" s="118"/>
      <c r="EWY131" s="118"/>
      <c r="EWZ131" s="118"/>
      <c r="EXA131" s="118"/>
      <c r="EXB131" s="118"/>
      <c r="EXC131" s="118"/>
      <c r="EXD131" s="118"/>
      <c r="EXE131" s="118"/>
      <c r="EXF131" s="118"/>
      <c r="EXG131" s="118"/>
      <c r="EXH131" s="118"/>
      <c r="EXI131" s="118"/>
      <c r="EXJ131" s="118"/>
      <c r="EXK131" s="118"/>
      <c r="EXL131" s="118"/>
      <c r="EXM131" s="118"/>
      <c r="EXN131" s="118"/>
      <c r="EXO131" s="118"/>
      <c r="EXP131" s="118"/>
      <c r="EXQ131" s="118"/>
      <c r="EXR131" s="118"/>
      <c r="EXS131" s="118"/>
      <c r="EXT131" s="118"/>
      <c r="EXU131" s="118"/>
      <c r="EXV131" s="118"/>
      <c r="EXW131" s="118"/>
      <c r="EXX131" s="118"/>
      <c r="EXY131" s="118"/>
      <c r="EXZ131" s="118"/>
      <c r="EYA131" s="118"/>
      <c r="EYB131" s="118"/>
      <c r="EYC131" s="118"/>
      <c r="EYD131" s="118"/>
      <c r="EYE131" s="118"/>
      <c r="EYF131" s="118"/>
      <c r="EYG131" s="118"/>
      <c r="EYH131" s="118"/>
      <c r="EYI131" s="118"/>
      <c r="EYJ131" s="118"/>
      <c r="EYK131" s="118"/>
      <c r="EYL131" s="118"/>
      <c r="EYM131" s="118"/>
      <c r="EYN131" s="118"/>
      <c r="EYO131" s="118"/>
      <c r="EYP131" s="118"/>
      <c r="EYQ131" s="118"/>
      <c r="EYR131" s="118"/>
      <c r="EYS131" s="118"/>
      <c r="EYT131" s="118"/>
      <c r="EYU131" s="118"/>
      <c r="EYV131" s="118"/>
      <c r="EYW131" s="118"/>
      <c r="EYX131" s="118"/>
      <c r="EYY131" s="118"/>
      <c r="EYZ131" s="118"/>
      <c r="EZA131" s="118"/>
      <c r="EZB131" s="118"/>
      <c r="EZC131" s="118"/>
      <c r="EZD131" s="118"/>
      <c r="EZE131" s="118"/>
      <c r="EZF131" s="118"/>
      <c r="EZG131" s="118"/>
      <c r="EZH131" s="118"/>
      <c r="EZI131" s="118"/>
      <c r="EZJ131" s="118"/>
      <c r="EZK131" s="118"/>
      <c r="EZL131" s="118"/>
      <c r="EZM131" s="118"/>
      <c r="EZN131" s="118"/>
      <c r="EZO131" s="118"/>
      <c r="EZP131" s="118"/>
      <c r="EZQ131" s="118"/>
      <c r="EZR131" s="118"/>
      <c r="EZS131" s="118"/>
      <c r="EZT131" s="118"/>
      <c r="EZU131" s="118"/>
      <c r="EZV131" s="118"/>
      <c r="EZW131" s="118"/>
      <c r="EZX131" s="118"/>
      <c r="EZY131" s="118"/>
      <c r="EZZ131" s="118"/>
      <c r="FAA131" s="118"/>
      <c r="FAB131" s="118"/>
      <c r="FAC131" s="118"/>
      <c r="FAD131" s="118"/>
      <c r="FAE131" s="118"/>
      <c r="FAF131" s="118"/>
      <c r="FAG131" s="118"/>
      <c r="FAH131" s="118"/>
      <c r="FAI131" s="118"/>
      <c r="FAJ131" s="118"/>
      <c r="FAK131" s="118"/>
      <c r="FAL131" s="118"/>
      <c r="FAM131" s="118"/>
      <c r="FAN131" s="118"/>
      <c r="FAO131" s="118"/>
      <c r="FAP131" s="118"/>
      <c r="FAQ131" s="118"/>
      <c r="FAR131" s="118"/>
      <c r="FAS131" s="118"/>
      <c r="FAT131" s="118"/>
      <c r="FAU131" s="118"/>
      <c r="FAV131" s="118"/>
      <c r="FAW131" s="118"/>
      <c r="FAX131" s="118"/>
      <c r="FAY131" s="118"/>
      <c r="FAZ131" s="118"/>
      <c r="FBA131" s="118"/>
      <c r="FBB131" s="118"/>
      <c r="FBC131" s="118"/>
      <c r="FBD131" s="118"/>
      <c r="FBE131" s="118"/>
      <c r="FBF131" s="118"/>
      <c r="FBG131" s="118"/>
      <c r="FBH131" s="118"/>
      <c r="FBI131" s="118"/>
      <c r="FBJ131" s="118"/>
      <c r="FBK131" s="118"/>
      <c r="FBL131" s="118"/>
      <c r="FBM131" s="118"/>
      <c r="FBN131" s="118"/>
      <c r="FBO131" s="118"/>
      <c r="FBP131" s="118"/>
      <c r="FBQ131" s="118"/>
      <c r="FBR131" s="118"/>
      <c r="FBS131" s="118"/>
      <c r="FBT131" s="118"/>
      <c r="FBU131" s="118"/>
      <c r="FBV131" s="118"/>
      <c r="FBW131" s="118"/>
      <c r="FBX131" s="118"/>
      <c r="FBY131" s="118"/>
      <c r="FBZ131" s="118"/>
      <c r="FCA131" s="118"/>
      <c r="FCB131" s="118"/>
      <c r="FCC131" s="118"/>
      <c r="FCD131" s="118"/>
      <c r="FCE131" s="118"/>
      <c r="FCF131" s="118"/>
      <c r="FCG131" s="118"/>
      <c r="FCH131" s="118"/>
      <c r="FCI131" s="118"/>
      <c r="FCJ131" s="118"/>
      <c r="FCK131" s="118"/>
      <c r="FCL131" s="118"/>
      <c r="FCM131" s="118"/>
      <c r="FCN131" s="118"/>
      <c r="FCO131" s="118"/>
      <c r="FCP131" s="118"/>
      <c r="FCQ131" s="118"/>
      <c r="FCR131" s="118"/>
      <c r="FCS131" s="118"/>
      <c r="FCT131" s="118"/>
      <c r="FCU131" s="118"/>
      <c r="FCV131" s="118"/>
      <c r="FCW131" s="118"/>
      <c r="FCX131" s="118"/>
      <c r="FCY131" s="118"/>
      <c r="FCZ131" s="118"/>
      <c r="FDA131" s="118"/>
      <c r="FDB131" s="118"/>
      <c r="FDC131" s="118"/>
      <c r="FDD131" s="118"/>
      <c r="FDE131" s="118"/>
      <c r="FDF131" s="118"/>
      <c r="FDG131" s="118"/>
      <c r="FDH131" s="118"/>
      <c r="FDI131" s="118"/>
      <c r="FDJ131" s="118"/>
      <c r="FDK131" s="118"/>
      <c r="FDL131" s="118"/>
      <c r="FDM131" s="118"/>
      <c r="FDN131" s="118"/>
      <c r="FDO131" s="118"/>
      <c r="FDP131" s="118"/>
      <c r="FDQ131" s="118"/>
      <c r="FDR131" s="118"/>
      <c r="FDS131" s="118"/>
      <c r="FDT131" s="118"/>
      <c r="FDU131" s="118"/>
      <c r="FDV131" s="118"/>
      <c r="FDW131" s="118"/>
      <c r="FDX131" s="118"/>
      <c r="FDY131" s="118"/>
      <c r="FDZ131" s="118"/>
      <c r="FEA131" s="118"/>
      <c r="FEB131" s="118"/>
      <c r="FEC131" s="118"/>
      <c r="FED131" s="118"/>
      <c r="FEE131" s="118"/>
      <c r="FEF131" s="118"/>
      <c r="FEG131" s="118"/>
      <c r="FEH131" s="118"/>
      <c r="FEI131" s="118"/>
      <c r="FEJ131" s="118"/>
      <c r="FEK131" s="118"/>
      <c r="FEL131" s="118"/>
      <c r="FEM131" s="118"/>
      <c r="FEN131" s="118"/>
      <c r="FEO131" s="118"/>
      <c r="FEP131" s="118"/>
      <c r="FEQ131" s="118"/>
      <c r="FER131" s="118"/>
      <c r="FES131" s="118"/>
      <c r="FET131" s="118"/>
      <c r="FEU131" s="118"/>
      <c r="FEV131" s="118"/>
      <c r="FEW131" s="118"/>
      <c r="FEX131" s="118"/>
      <c r="FEY131" s="118"/>
      <c r="FEZ131" s="118"/>
      <c r="FFA131" s="118"/>
      <c r="FFB131" s="118"/>
      <c r="FFC131" s="118"/>
      <c r="FFD131" s="118"/>
      <c r="FFE131" s="118"/>
      <c r="FFF131" s="118"/>
      <c r="FFG131" s="118"/>
      <c r="FFH131" s="118"/>
      <c r="FFI131" s="118"/>
      <c r="FFJ131" s="118"/>
      <c r="FFK131" s="118"/>
      <c r="FFL131" s="118"/>
      <c r="FFM131" s="118"/>
      <c r="FFN131" s="118"/>
      <c r="FFO131" s="118"/>
      <c r="FFP131" s="118"/>
      <c r="FFQ131" s="118"/>
      <c r="FFR131" s="118"/>
      <c r="FFS131" s="118"/>
      <c r="FFT131" s="118"/>
      <c r="FFU131" s="118"/>
      <c r="FFV131" s="118"/>
      <c r="FFW131" s="118"/>
      <c r="FFX131" s="118"/>
      <c r="FFY131" s="118"/>
      <c r="FFZ131" s="118"/>
      <c r="FGA131" s="118"/>
      <c r="FGB131" s="118"/>
      <c r="FGC131" s="118"/>
      <c r="FGD131" s="118"/>
      <c r="FGE131" s="118"/>
      <c r="FGF131" s="118"/>
      <c r="FGG131" s="118"/>
      <c r="FGH131" s="118"/>
      <c r="FGI131" s="118"/>
      <c r="FGJ131" s="118"/>
      <c r="FGK131" s="118"/>
      <c r="FGL131" s="118"/>
      <c r="FGM131" s="118"/>
      <c r="FGN131" s="118"/>
      <c r="FGO131" s="118"/>
      <c r="FGP131" s="118"/>
      <c r="FGQ131" s="118"/>
      <c r="FGR131" s="118"/>
      <c r="FGS131" s="118"/>
      <c r="FGT131" s="118"/>
      <c r="FGU131" s="118"/>
      <c r="FGV131" s="118"/>
      <c r="FGW131" s="118"/>
      <c r="FGX131" s="118"/>
      <c r="FGY131" s="118"/>
      <c r="FGZ131" s="118"/>
      <c r="FHA131" s="118"/>
      <c r="FHB131" s="118"/>
      <c r="FHC131" s="118"/>
      <c r="FHD131" s="118"/>
      <c r="FHE131" s="118"/>
      <c r="FHF131" s="118"/>
      <c r="FHG131" s="118"/>
      <c r="FHH131" s="118"/>
      <c r="FHI131" s="118"/>
      <c r="FHJ131" s="118"/>
      <c r="FHK131" s="118"/>
      <c r="FHL131" s="118"/>
      <c r="FHM131" s="118"/>
      <c r="FHN131" s="118"/>
      <c r="FHO131" s="118"/>
      <c r="FHP131" s="118"/>
      <c r="FHQ131" s="118"/>
      <c r="FHR131" s="118"/>
      <c r="FHS131" s="118"/>
      <c r="FHT131" s="118"/>
      <c r="FHU131" s="118"/>
      <c r="FHV131" s="118"/>
      <c r="FHW131" s="118"/>
      <c r="FHX131" s="118"/>
      <c r="FHY131" s="118"/>
      <c r="FHZ131" s="118"/>
      <c r="FIA131" s="118"/>
      <c r="FIB131" s="118"/>
      <c r="FIC131" s="118"/>
      <c r="FID131" s="118"/>
      <c r="FIE131" s="118"/>
      <c r="FIF131" s="118"/>
      <c r="FIG131" s="118"/>
      <c r="FIH131" s="118"/>
      <c r="FII131" s="118"/>
      <c r="FIJ131" s="118"/>
      <c r="FIK131" s="118"/>
      <c r="FIL131" s="118"/>
      <c r="FIM131" s="118"/>
      <c r="FIN131" s="118"/>
      <c r="FIO131" s="118"/>
      <c r="FIP131" s="118"/>
      <c r="FIQ131" s="118"/>
      <c r="FIR131" s="118"/>
      <c r="FIS131" s="118"/>
      <c r="FIT131" s="118"/>
      <c r="FIU131" s="118"/>
      <c r="FIV131" s="118"/>
      <c r="FIW131" s="118"/>
      <c r="FIX131" s="118"/>
      <c r="FIY131" s="118"/>
      <c r="FIZ131" s="118"/>
      <c r="FJA131" s="118"/>
      <c r="FJB131" s="118"/>
      <c r="FJC131" s="118"/>
      <c r="FJD131" s="118"/>
      <c r="FJE131" s="118"/>
      <c r="FJF131" s="118"/>
      <c r="FJG131" s="118"/>
      <c r="FJH131" s="118"/>
      <c r="FJI131" s="118"/>
      <c r="FJJ131" s="118"/>
      <c r="FJK131" s="118"/>
      <c r="FJL131" s="118"/>
      <c r="FJM131" s="118"/>
      <c r="FJN131" s="118"/>
      <c r="FJO131" s="118"/>
      <c r="FJP131" s="118"/>
      <c r="FJQ131" s="118"/>
      <c r="FJR131" s="118"/>
      <c r="FJS131" s="118"/>
      <c r="FJT131" s="118"/>
      <c r="FJU131" s="118"/>
      <c r="FJV131" s="118"/>
      <c r="FJW131" s="118"/>
      <c r="FJX131" s="118"/>
      <c r="FJY131" s="118"/>
      <c r="FJZ131" s="118"/>
      <c r="FKA131" s="118"/>
      <c r="FKB131" s="118"/>
      <c r="FKC131" s="118"/>
      <c r="FKD131" s="118"/>
      <c r="FKE131" s="118"/>
      <c r="FKF131" s="118"/>
      <c r="FKG131" s="118"/>
      <c r="FKH131" s="118"/>
      <c r="FKI131" s="118"/>
      <c r="FKJ131" s="118"/>
      <c r="FKK131" s="118"/>
      <c r="FKL131" s="118"/>
      <c r="FKM131" s="118"/>
      <c r="FKN131" s="118"/>
      <c r="FKO131" s="118"/>
      <c r="FKP131" s="118"/>
      <c r="FKQ131" s="118"/>
      <c r="FKR131" s="118"/>
      <c r="FKS131" s="118"/>
      <c r="FKT131" s="118"/>
      <c r="FKU131" s="118"/>
      <c r="FKV131" s="118"/>
      <c r="FKW131" s="118"/>
      <c r="FKX131" s="118"/>
      <c r="FKY131" s="118"/>
      <c r="FKZ131" s="118"/>
      <c r="FLA131" s="118"/>
      <c r="FLB131" s="118"/>
      <c r="FLC131" s="118"/>
      <c r="FLD131" s="118"/>
      <c r="FLE131" s="118"/>
      <c r="FLF131" s="118"/>
      <c r="FLG131" s="118"/>
      <c r="FLH131" s="118"/>
      <c r="FLI131" s="118"/>
      <c r="FLJ131" s="118"/>
      <c r="FLK131" s="118"/>
      <c r="FLL131" s="118"/>
      <c r="FLM131" s="118"/>
      <c r="FLN131" s="118"/>
      <c r="FLO131" s="118"/>
      <c r="FLP131" s="118"/>
      <c r="FLQ131" s="118"/>
      <c r="FLR131" s="118"/>
      <c r="FLS131" s="118"/>
      <c r="FLT131" s="118"/>
      <c r="FLU131" s="118"/>
      <c r="FLV131" s="118"/>
      <c r="FLW131" s="118"/>
      <c r="FLX131" s="118"/>
      <c r="FLY131" s="118"/>
      <c r="FLZ131" s="118"/>
      <c r="FMA131" s="118"/>
      <c r="FMB131" s="118"/>
      <c r="FMC131" s="118"/>
      <c r="FMD131" s="118"/>
      <c r="FME131" s="118"/>
      <c r="FMF131" s="118"/>
      <c r="FMG131" s="118"/>
      <c r="FMH131" s="118"/>
      <c r="FMI131" s="118"/>
      <c r="FMJ131" s="118"/>
      <c r="FMK131" s="118"/>
      <c r="FML131" s="118"/>
      <c r="FMM131" s="118"/>
      <c r="FMN131" s="118"/>
      <c r="FMO131" s="118"/>
      <c r="FMP131" s="118"/>
      <c r="FMQ131" s="118"/>
      <c r="FMR131" s="118"/>
      <c r="FMS131" s="118"/>
      <c r="FMT131" s="118"/>
      <c r="FMU131" s="118"/>
      <c r="FMV131" s="118"/>
      <c r="FMW131" s="118"/>
      <c r="FMX131" s="118"/>
      <c r="FMY131" s="118"/>
      <c r="FMZ131" s="118"/>
      <c r="FNA131" s="118"/>
      <c r="FNB131" s="118"/>
      <c r="FNC131" s="118"/>
      <c r="FND131" s="118"/>
      <c r="FNE131" s="118"/>
      <c r="FNF131" s="118"/>
      <c r="FNG131" s="118"/>
      <c r="FNH131" s="118"/>
      <c r="FNI131" s="118"/>
      <c r="FNJ131" s="118"/>
      <c r="FNK131" s="118"/>
      <c r="FNL131" s="118"/>
      <c r="FNM131" s="118"/>
      <c r="FNN131" s="118"/>
      <c r="FNO131" s="118"/>
      <c r="FNP131" s="118"/>
      <c r="FNQ131" s="118"/>
      <c r="FNR131" s="118"/>
      <c r="FNS131" s="118"/>
      <c r="FNT131" s="118"/>
      <c r="FNU131" s="118"/>
      <c r="FNV131" s="118"/>
      <c r="FNW131" s="118"/>
      <c r="FNX131" s="118"/>
      <c r="FNY131" s="118"/>
      <c r="FNZ131" s="118"/>
      <c r="FOA131" s="118"/>
      <c r="FOB131" s="118"/>
      <c r="FOC131" s="118"/>
      <c r="FOD131" s="118"/>
      <c r="FOE131" s="118"/>
      <c r="FOF131" s="118"/>
      <c r="FOG131" s="118"/>
      <c r="FOH131" s="118"/>
      <c r="FOI131" s="118"/>
      <c r="FOJ131" s="118"/>
      <c r="FOK131" s="118"/>
      <c r="FOL131" s="118"/>
      <c r="FOM131" s="118"/>
      <c r="FON131" s="118"/>
      <c r="FOO131" s="118"/>
      <c r="FOP131" s="118"/>
      <c r="FOQ131" s="118"/>
      <c r="FOR131" s="118"/>
      <c r="FOS131" s="118"/>
      <c r="FOT131" s="118"/>
      <c r="FOU131" s="118"/>
      <c r="FOV131" s="118"/>
      <c r="FOW131" s="118"/>
      <c r="FOX131" s="118"/>
      <c r="FOY131" s="118"/>
      <c r="FOZ131" s="118"/>
      <c r="FPA131" s="118"/>
      <c r="FPB131" s="118"/>
      <c r="FPC131" s="118"/>
      <c r="FPD131" s="118"/>
      <c r="FPE131" s="118"/>
      <c r="FPF131" s="118"/>
      <c r="FPG131" s="118"/>
      <c r="FPH131" s="118"/>
      <c r="FPI131" s="118"/>
      <c r="FPJ131" s="118"/>
      <c r="FPK131" s="118"/>
      <c r="FPL131" s="118"/>
      <c r="FPM131" s="118"/>
      <c r="FPN131" s="118"/>
      <c r="FPO131" s="118"/>
      <c r="FPP131" s="118"/>
      <c r="FPQ131" s="118"/>
      <c r="FPR131" s="118"/>
      <c r="FPS131" s="118"/>
      <c r="FPT131" s="118"/>
      <c r="FPU131" s="118"/>
      <c r="FPV131" s="118"/>
      <c r="FPW131" s="118"/>
      <c r="FPX131" s="118"/>
      <c r="FPY131" s="118"/>
      <c r="FPZ131" s="118"/>
      <c r="FQA131" s="118"/>
      <c r="FQB131" s="118"/>
      <c r="FQC131" s="118"/>
      <c r="FQD131" s="118"/>
      <c r="FQE131" s="118"/>
      <c r="FQF131" s="118"/>
      <c r="FQG131" s="118"/>
      <c r="FQH131" s="118"/>
      <c r="FQI131" s="118"/>
      <c r="FQJ131" s="118"/>
      <c r="FQK131" s="118"/>
      <c r="FQL131" s="118"/>
      <c r="FQM131" s="118"/>
      <c r="FQN131" s="118"/>
      <c r="FQO131" s="118"/>
      <c r="FQP131" s="118"/>
      <c r="FQQ131" s="118"/>
      <c r="FQR131" s="118"/>
      <c r="FQS131" s="118"/>
      <c r="FQT131" s="118"/>
      <c r="FQU131" s="118"/>
      <c r="FQV131" s="118"/>
      <c r="FQW131" s="118"/>
      <c r="FQX131" s="118"/>
      <c r="FQY131" s="118"/>
      <c r="FQZ131" s="118"/>
      <c r="FRA131" s="118"/>
      <c r="FRB131" s="118"/>
      <c r="FRC131" s="118"/>
      <c r="FRD131" s="118"/>
      <c r="FRE131" s="118"/>
      <c r="FRF131" s="118"/>
      <c r="FRG131" s="118"/>
      <c r="FRH131" s="118"/>
      <c r="FRI131" s="118"/>
      <c r="FRJ131" s="118"/>
      <c r="FRK131" s="118"/>
      <c r="FRL131" s="118"/>
      <c r="FRM131" s="118"/>
      <c r="FRN131" s="118"/>
      <c r="FRO131" s="118"/>
      <c r="FRP131" s="118"/>
      <c r="FRQ131" s="118"/>
      <c r="FRR131" s="118"/>
      <c r="FRS131" s="118"/>
      <c r="FRT131" s="118"/>
      <c r="FRU131" s="118"/>
      <c r="FRV131" s="118"/>
      <c r="FRW131" s="118"/>
      <c r="FRX131" s="118"/>
      <c r="FRY131" s="118"/>
      <c r="FRZ131" s="118"/>
      <c r="FSA131" s="118"/>
      <c r="FSB131" s="118"/>
      <c r="FSC131" s="118"/>
      <c r="FSD131" s="118"/>
      <c r="FSE131" s="118"/>
      <c r="FSF131" s="118"/>
      <c r="FSG131" s="118"/>
      <c r="FSH131" s="118"/>
      <c r="FSI131" s="118"/>
      <c r="FSJ131" s="118"/>
      <c r="FSK131" s="118"/>
      <c r="FSL131" s="118"/>
      <c r="FSM131" s="118"/>
      <c r="FSN131" s="118"/>
      <c r="FSO131" s="118"/>
      <c r="FSP131" s="118"/>
      <c r="FSQ131" s="118"/>
      <c r="FSR131" s="118"/>
      <c r="FSS131" s="118"/>
      <c r="FST131" s="118"/>
      <c r="FSU131" s="118"/>
      <c r="FSV131" s="118"/>
      <c r="FSW131" s="118"/>
      <c r="FSX131" s="118"/>
      <c r="FSY131" s="118"/>
      <c r="FSZ131" s="118"/>
      <c r="FTA131" s="118"/>
      <c r="FTB131" s="118"/>
      <c r="FTC131" s="118"/>
      <c r="FTD131" s="118"/>
      <c r="FTE131" s="118"/>
      <c r="FTF131" s="118"/>
      <c r="FTG131" s="118"/>
      <c r="FTH131" s="118"/>
      <c r="FTI131" s="118"/>
      <c r="FTJ131" s="118"/>
      <c r="FTK131" s="118"/>
      <c r="FTL131" s="118"/>
      <c r="FTM131" s="118"/>
      <c r="FTN131" s="118"/>
      <c r="FTO131" s="118"/>
      <c r="FTP131" s="118"/>
      <c r="FTQ131" s="118"/>
      <c r="FTR131" s="118"/>
      <c r="FTS131" s="118"/>
      <c r="FTT131" s="118"/>
      <c r="FTU131" s="118"/>
      <c r="FTV131" s="118"/>
      <c r="FTW131" s="118"/>
      <c r="FTX131" s="118"/>
      <c r="FTY131" s="118"/>
      <c r="FTZ131" s="118"/>
      <c r="FUA131" s="118"/>
      <c r="FUB131" s="118"/>
      <c r="FUC131" s="118"/>
      <c r="FUD131" s="118"/>
      <c r="FUE131" s="118"/>
      <c r="FUF131" s="118"/>
      <c r="FUG131" s="118"/>
      <c r="FUH131" s="118"/>
      <c r="FUI131" s="118"/>
      <c r="FUJ131" s="118"/>
      <c r="FUK131" s="118"/>
      <c r="FUL131" s="118"/>
      <c r="FUM131" s="118"/>
      <c r="FUN131" s="118"/>
      <c r="FUO131" s="118"/>
      <c r="FUP131" s="118"/>
      <c r="FUQ131" s="118"/>
      <c r="FUR131" s="118"/>
      <c r="FUS131" s="118"/>
      <c r="FUT131" s="118"/>
      <c r="FUU131" s="118"/>
      <c r="FUV131" s="118"/>
      <c r="FUW131" s="118"/>
      <c r="FUX131" s="118"/>
      <c r="FUY131" s="118"/>
      <c r="FUZ131" s="118"/>
      <c r="FVA131" s="118"/>
      <c r="FVB131" s="118"/>
      <c r="FVC131" s="118"/>
      <c r="FVD131" s="118"/>
      <c r="FVE131" s="118"/>
      <c r="FVF131" s="118"/>
      <c r="FVG131" s="118"/>
      <c r="FVH131" s="118"/>
      <c r="FVI131" s="118"/>
      <c r="FVJ131" s="118"/>
      <c r="FVK131" s="118"/>
      <c r="FVL131" s="118"/>
      <c r="FVM131" s="118"/>
      <c r="FVN131" s="118"/>
      <c r="FVO131" s="118"/>
      <c r="FVP131" s="118"/>
      <c r="FVQ131" s="118"/>
      <c r="FVR131" s="118"/>
      <c r="FVS131" s="118"/>
      <c r="FVT131" s="118"/>
      <c r="FVU131" s="118"/>
      <c r="FVV131" s="118"/>
      <c r="FVW131" s="118"/>
      <c r="FVX131" s="118"/>
      <c r="FVY131" s="118"/>
      <c r="FVZ131" s="118"/>
      <c r="FWA131" s="118"/>
      <c r="FWB131" s="118"/>
      <c r="FWC131" s="118"/>
      <c r="FWD131" s="118"/>
      <c r="FWE131" s="118"/>
      <c r="FWF131" s="118"/>
      <c r="FWG131" s="118"/>
      <c r="FWH131" s="118"/>
      <c r="FWI131" s="118"/>
      <c r="FWJ131" s="118"/>
      <c r="FWK131" s="118"/>
      <c r="FWL131" s="118"/>
      <c r="FWM131" s="118"/>
      <c r="FWN131" s="118"/>
      <c r="FWO131" s="118"/>
      <c r="FWP131" s="118"/>
      <c r="FWQ131" s="118"/>
      <c r="FWR131" s="118"/>
      <c r="FWS131" s="118"/>
      <c r="FWT131" s="118"/>
      <c r="FWU131" s="118"/>
      <c r="FWV131" s="118"/>
      <c r="FWW131" s="118"/>
      <c r="FWX131" s="118"/>
      <c r="FWY131" s="118"/>
      <c r="FWZ131" s="118"/>
      <c r="FXA131" s="118"/>
      <c r="FXB131" s="118"/>
      <c r="FXC131" s="118"/>
      <c r="FXD131" s="118"/>
      <c r="FXE131" s="118"/>
      <c r="FXF131" s="118"/>
      <c r="FXG131" s="118"/>
      <c r="FXH131" s="118"/>
      <c r="FXI131" s="118"/>
      <c r="FXJ131" s="118"/>
      <c r="FXK131" s="118"/>
      <c r="FXL131" s="118"/>
      <c r="FXM131" s="118"/>
      <c r="FXN131" s="118"/>
      <c r="FXO131" s="118"/>
      <c r="FXP131" s="118"/>
      <c r="FXQ131" s="118"/>
      <c r="FXR131" s="118"/>
      <c r="FXS131" s="118"/>
      <c r="FXT131" s="118"/>
      <c r="FXU131" s="118"/>
      <c r="FXV131" s="118"/>
      <c r="FXW131" s="118"/>
      <c r="FXX131" s="118"/>
      <c r="FXY131" s="118"/>
      <c r="FXZ131" s="118"/>
      <c r="FYA131" s="118"/>
      <c r="FYB131" s="118"/>
      <c r="FYC131" s="118"/>
      <c r="FYD131" s="118"/>
      <c r="FYE131" s="118"/>
      <c r="FYF131" s="118"/>
      <c r="FYG131" s="118"/>
      <c r="FYH131" s="118"/>
      <c r="FYI131" s="118"/>
      <c r="FYJ131" s="118"/>
      <c r="FYK131" s="118"/>
      <c r="FYL131" s="118"/>
      <c r="FYM131" s="118"/>
      <c r="FYN131" s="118"/>
      <c r="FYO131" s="118"/>
      <c r="FYP131" s="118"/>
      <c r="FYQ131" s="118"/>
      <c r="FYR131" s="118"/>
      <c r="FYS131" s="118"/>
      <c r="FYT131" s="118"/>
      <c r="FYU131" s="118"/>
      <c r="FYV131" s="118"/>
      <c r="FYW131" s="118"/>
      <c r="FYX131" s="118"/>
      <c r="FYY131" s="118"/>
      <c r="FYZ131" s="118"/>
      <c r="FZA131" s="118"/>
      <c r="FZB131" s="118"/>
      <c r="FZC131" s="118"/>
      <c r="FZD131" s="118"/>
      <c r="FZE131" s="118"/>
      <c r="FZF131" s="118"/>
      <c r="FZG131" s="118"/>
      <c r="FZH131" s="118"/>
      <c r="FZI131" s="118"/>
      <c r="FZJ131" s="118"/>
      <c r="FZK131" s="118"/>
      <c r="FZL131" s="118"/>
      <c r="FZM131" s="118"/>
      <c r="FZN131" s="118"/>
      <c r="FZO131" s="118"/>
      <c r="FZP131" s="118"/>
      <c r="FZQ131" s="118"/>
      <c r="FZR131" s="118"/>
      <c r="FZS131" s="118"/>
      <c r="FZT131" s="118"/>
      <c r="FZU131" s="118"/>
      <c r="FZV131" s="118"/>
      <c r="FZW131" s="118"/>
      <c r="FZX131" s="118"/>
      <c r="FZY131" s="118"/>
      <c r="FZZ131" s="118"/>
      <c r="GAA131" s="118"/>
      <c r="GAB131" s="118"/>
      <c r="GAC131" s="118"/>
      <c r="GAD131" s="118"/>
      <c r="GAE131" s="118"/>
      <c r="GAF131" s="118"/>
      <c r="GAG131" s="118"/>
      <c r="GAH131" s="118"/>
      <c r="GAI131" s="118"/>
      <c r="GAJ131" s="118"/>
      <c r="GAK131" s="118"/>
      <c r="GAL131" s="118"/>
      <c r="GAM131" s="118"/>
      <c r="GAN131" s="118"/>
      <c r="GAO131" s="118"/>
      <c r="GAP131" s="118"/>
      <c r="GAQ131" s="118"/>
      <c r="GAR131" s="118"/>
      <c r="GAS131" s="118"/>
      <c r="GAT131" s="118"/>
      <c r="GAU131" s="118"/>
      <c r="GAV131" s="118"/>
      <c r="GAW131" s="118"/>
      <c r="GAX131" s="118"/>
      <c r="GAY131" s="118"/>
      <c r="GAZ131" s="118"/>
      <c r="GBA131" s="118"/>
      <c r="GBB131" s="118"/>
      <c r="GBC131" s="118"/>
      <c r="GBD131" s="118"/>
      <c r="GBE131" s="118"/>
      <c r="GBF131" s="118"/>
      <c r="GBG131" s="118"/>
      <c r="GBH131" s="118"/>
      <c r="GBI131" s="118"/>
      <c r="GBJ131" s="118"/>
      <c r="GBK131" s="118"/>
      <c r="GBL131" s="118"/>
      <c r="GBM131" s="118"/>
      <c r="GBN131" s="118"/>
      <c r="GBO131" s="118"/>
      <c r="GBP131" s="118"/>
      <c r="GBQ131" s="118"/>
      <c r="GBR131" s="118"/>
      <c r="GBS131" s="118"/>
      <c r="GBT131" s="118"/>
      <c r="GBU131" s="118"/>
      <c r="GBV131" s="118"/>
      <c r="GBW131" s="118"/>
      <c r="GBX131" s="118"/>
      <c r="GBY131" s="118"/>
      <c r="GBZ131" s="118"/>
      <c r="GCA131" s="118"/>
      <c r="GCB131" s="118"/>
      <c r="GCC131" s="118"/>
      <c r="GCD131" s="118"/>
      <c r="GCE131" s="118"/>
      <c r="GCF131" s="118"/>
      <c r="GCG131" s="118"/>
      <c r="GCH131" s="118"/>
      <c r="GCI131" s="118"/>
      <c r="GCJ131" s="118"/>
      <c r="GCK131" s="118"/>
      <c r="GCL131" s="118"/>
      <c r="GCM131" s="118"/>
      <c r="GCN131" s="118"/>
      <c r="GCO131" s="118"/>
      <c r="GCP131" s="118"/>
      <c r="GCQ131" s="118"/>
      <c r="GCR131" s="118"/>
      <c r="GCS131" s="118"/>
      <c r="GCT131" s="118"/>
      <c r="GCU131" s="118"/>
      <c r="GCV131" s="118"/>
      <c r="GCW131" s="118"/>
      <c r="GCX131" s="118"/>
      <c r="GCY131" s="118"/>
      <c r="GCZ131" s="118"/>
      <c r="GDA131" s="118"/>
      <c r="GDB131" s="118"/>
      <c r="GDC131" s="118"/>
      <c r="GDD131" s="118"/>
      <c r="GDE131" s="118"/>
      <c r="GDF131" s="118"/>
      <c r="GDG131" s="118"/>
      <c r="GDH131" s="118"/>
      <c r="GDI131" s="118"/>
      <c r="GDJ131" s="118"/>
      <c r="GDK131" s="118"/>
      <c r="GDL131" s="118"/>
      <c r="GDM131" s="118"/>
      <c r="GDN131" s="118"/>
      <c r="GDO131" s="118"/>
      <c r="GDP131" s="118"/>
      <c r="GDQ131" s="118"/>
      <c r="GDR131" s="118"/>
      <c r="GDS131" s="118"/>
      <c r="GDT131" s="118"/>
      <c r="GDU131" s="118"/>
      <c r="GDV131" s="118"/>
      <c r="GDW131" s="118"/>
      <c r="GDX131" s="118"/>
      <c r="GDY131" s="118"/>
      <c r="GDZ131" s="118"/>
      <c r="GEA131" s="118"/>
      <c r="GEB131" s="118"/>
      <c r="GEC131" s="118"/>
      <c r="GED131" s="118"/>
      <c r="GEE131" s="118"/>
      <c r="GEF131" s="118"/>
      <c r="GEG131" s="118"/>
      <c r="GEH131" s="118"/>
      <c r="GEI131" s="118"/>
      <c r="GEJ131" s="118"/>
      <c r="GEK131" s="118"/>
      <c r="GEL131" s="118"/>
      <c r="GEM131" s="118"/>
      <c r="GEN131" s="118"/>
      <c r="GEO131" s="118"/>
      <c r="GEP131" s="118"/>
      <c r="GEQ131" s="118"/>
      <c r="GER131" s="118"/>
      <c r="GES131" s="118"/>
      <c r="GET131" s="118"/>
      <c r="GEU131" s="118"/>
      <c r="GEV131" s="118"/>
      <c r="GEW131" s="118"/>
      <c r="GEX131" s="118"/>
      <c r="GEY131" s="118"/>
      <c r="GEZ131" s="118"/>
      <c r="GFA131" s="118"/>
      <c r="GFB131" s="118"/>
      <c r="GFC131" s="118"/>
      <c r="GFD131" s="118"/>
      <c r="GFE131" s="118"/>
      <c r="GFF131" s="118"/>
      <c r="GFG131" s="118"/>
      <c r="GFH131" s="118"/>
      <c r="GFI131" s="118"/>
      <c r="GFJ131" s="118"/>
      <c r="GFK131" s="118"/>
      <c r="GFL131" s="118"/>
      <c r="GFM131" s="118"/>
      <c r="GFN131" s="118"/>
      <c r="GFO131" s="118"/>
      <c r="GFP131" s="118"/>
      <c r="GFQ131" s="118"/>
      <c r="GFR131" s="118"/>
      <c r="GFS131" s="118"/>
      <c r="GFT131" s="118"/>
      <c r="GFU131" s="118"/>
      <c r="GFV131" s="118"/>
      <c r="GFW131" s="118"/>
      <c r="GFX131" s="118"/>
      <c r="GFY131" s="118"/>
      <c r="GFZ131" s="118"/>
      <c r="GGA131" s="118"/>
      <c r="GGB131" s="118"/>
      <c r="GGC131" s="118"/>
      <c r="GGD131" s="118"/>
      <c r="GGE131" s="118"/>
      <c r="GGF131" s="118"/>
      <c r="GGG131" s="118"/>
      <c r="GGH131" s="118"/>
      <c r="GGI131" s="118"/>
      <c r="GGJ131" s="118"/>
      <c r="GGK131" s="118"/>
      <c r="GGL131" s="118"/>
      <c r="GGM131" s="118"/>
      <c r="GGN131" s="118"/>
      <c r="GGO131" s="118"/>
      <c r="GGP131" s="118"/>
      <c r="GGQ131" s="118"/>
      <c r="GGR131" s="118"/>
      <c r="GGS131" s="118"/>
      <c r="GGT131" s="118"/>
      <c r="GGU131" s="118"/>
      <c r="GGV131" s="118"/>
      <c r="GGW131" s="118"/>
      <c r="GGX131" s="118"/>
      <c r="GGY131" s="118"/>
      <c r="GGZ131" s="118"/>
      <c r="GHA131" s="118"/>
      <c r="GHB131" s="118"/>
      <c r="GHC131" s="118"/>
      <c r="GHD131" s="118"/>
      <c r="GHE131" s="118"/>
      <c r="GHF131" s="118"/>
      <c r="GHG131" s="118"/>
      <c r="GHH131" s="118"/>
      <c r="GHI131" s="118"/>
      <c r="GHJ131" s="118"/>
      <c r="GHK131" s="118"/>
      <c r="GHL131" s="118"/>
      <c r="GHM131" s="118"/>
      <c r="GHN131" s="118"/>
      <c r="GHO131" s="118"/>
      <c r="GHP131" s="118"/>
      <c r="GHQ131" s="118"/>
      <c r="GHR131" s="118"/>
      <c r="GHS131" s="118"/>
      <c r="GHT131" s="118"/>
      <c r="GHU131" s="118"/>
      <c r="GHV131" s="118"/>
      <c r="GHW131" s="118"/>
      <c r="GHX131" s="118"/>
      <c r="GHY131" s="118"/>
      <c r="GHZ131" s="118"/>
      <c r="GIA131" s="118"/>
      <c r="GIB131" s="118"/>
      <c r="GIC131" s="118"/>
      <c r="GID131" s="118"/>
      <c r="GIE131" s="118"/>
      <c r="GIF131" s="118"/>
      <c r="GIG131" s="118"/>
      <c r="GIH131" s="118"/>
      <c r="GII131" s="118"/>
      <c r="GIJ131" s="118"/>
      <c r="GIK131" s="118"/>
      <c r="GIL131" s="118"/>
      <c r="GIM131" s="118"/>
      <c r="GIN131" s="118"/>
      <c r="GIO131" s="118"/>
      <c r="GIP131" s="118"/>
      <c r="GIQ131" s="118"/>
      <c r="GIR131" s="118"/>
      <c r="GIS131" s="118"/>
      <c r="GIT131" s="118"/>
      <c r="GIU131" s="118"/>
      <c r="GIV131" s="118"/>
      <c r="GIW131" s="118"/>
      <c r="GIX131" s="118"/>
      <c r="GIY131" s="118"/>
      <c r="GIZ131" s="118"/>
      <c r="GJA131" s="118"/>
      <c r="GJB131" s="118"/>
      <c r="GJC131" s="118"/>
      <c r="GJD131" s="118"/>
      <c r="GJE131" s="118"/>
      <c r="GJF131" s="118"/>
      <c r="GJG131" s="118"/>
      <c r="GJH131" s="118"/>
      <c r="GJI131" s="118"/>
      <c r="GJJ131" s="118"/>
      <c r="GJK131" s="118"/>
      <c r="GJL131" s="118"/>
      <c r="GJM131" s="118"/>
      <c r="GJN131" s="118"/>
      <c r="GJO131" s="118"/>
      <c r="GJP131" s="118"/>
      <c r="GJQ131" s="118"/>
      <c r="GJR131" s="118"/>
      <c r="GJS131" s="118"/>
      <c r="GJT131" s="118"/>
      <c r="GJU131" s="118"/>
      <c r="GJV131" s="118"/>
      <c r="GJW131" s="118"/>
      <c r="GJX131" s="118"/>
      <c r="GJY131" s="118"/>
      <c r="GJZ131" s="118"/>
      <c r="GKA131" s="118"/>
      <c r="GKB131" s="118"/>
      <c r="GKC131" s="118"/>
      <c r="GKD131" s="118"/>
      <c r="GKE131" s="118"/>
      <c r="GKF131" s="118"/>
      <c r="GKG131" s="118"/>
      <c r="GKH131" s="118"/>
      <c r="GKI131" s="118"/>
      <c r="GKJ131" s="118"/>
      <c r="GKK131" s="118"/>
      <c r="GKL131" s="118"/>
      <c r="GKM131" s="118"/>
      <c r="GKN131" s="118"/>
      <c r="GKO131" s="118"/>
      <c r="GKP131" s="118"/>
      <c r="GKQ131" s="118"/>
      <c r="GKR131" s="118"/>
      <c r="GKS131" s="118"/>
      <c r="GKT131" s="118"/>
      <c r="GKU131" s="118"/>
      <c r="GKV131" s="118"/>
      <c r="GKW131" s="118"/>
      <c r="GKX131" s="118"/>
      <c r="GKY131" s="118"/>
      <c r="GKZ131" s="118"/>
      <c r="GLA131" s="118"/>
      <c r="GLB131" s="118"/>
      <c r="GLC131" s="118"/>
      <c r="GLD131" s="118"/>
      <c r="GLE131" s="118"/>
      <c r="GLF131" s="118"/>
      <c r="GLG131" s="118"/>
      <c r="GLH131" s="118"/>
      <c r="GLI131" s="118"/>
      <c r="GLJ131" s="118"/>
      <c r="GLK131" s="118"/>
      <c r="GLL131" s="118"/>
      <c r="GLM131" s="118"/>
      <c r="GLN131" s="118"/>
      <c r="GLO131" s="118"/>
      <c r="GLP131" s="118"/>
      <c r="GLQ131" s="118"/>
      <c r="GLR131" s="118"/>
      <c r="GLS131" s="118"/>
      <c r="GLT131" s="118"/>
      <c r="GLU131" s="118"/>
      <c r="GLV131" s="118"/>
      <c r="GLW131" s="118"/>
      <c r="GLX131" s="118"/>
      <c r="GLY131" s="118"/>
      <c r="GLZ131" s="118"/>
      <c r="GMA131" s="118"/>
      <c r="GMB131" s="118"/>
      <c r="GMC131" s="118"/>
      <c r="GMD131" s="118"/>
      <c r="GME131" s="118"/>
      <c r="GMF131" s="118"/>
      <c r="GMG131" s="118"/>
      <c r="GMH131" s="118"/>
      <c r="GMI131" s="118"/>
      <c r="GMJ131" s="118"/>
      <c r="GMK131" s="118"/>
      <c r="GML131" s="118"/>
      <c r="GMM131" s="118"/>
      <c r="GMN131" s="118"/>
      <c r="GMO131" s="118"/>
      <c r="GMP131" s="118"/>
      <c r="GMQ131" s="118"/>
      <c r="GMR131" s="118"/>
      <c r="GMS131" s="118"/>
      <c r="GMT131" s="118"/>
      <c r="GMU131" s="118"/>
      <c r="GMV131" s="118"/>
      <c r="GMW131" s="118"/>
      <c r="GMX131" s="118"/>
      <c r="GMY131" s="118"/>
      <c r="GMZ131" s="118"/>
      <c r="GNA131" s="118"/>
      <c r="GNB131" s="118"/>
      <c r="GNC131" s="118"/>
      <c r="GND131" s="118"/>
      <c r="GNE131" s="118"/>
      <c r="GNF131" s="118"/>
      <c r="GNG131" s="118"/>
      <c r="GNH131" s="118"/>
      <c r="GNI131" s="118"/>
      <c r="GNJ131" s="118"/>
      <c r="GNK131" s="118"/>
      <c r="GNL131" s="118"/>
      <c r="GNM131" s="118"/>
      <c r="GNN131" s="118"/>
      <c r="GNO131" s="118"/>
      <c r="GNP131" s="118"/>
      <c r="GNQ131" s="118"/>
      <c r="GNR131" s="118"/>
      <c r="GNS131" s="118"/>
      <c r="GNT131" s="118"/>
      <c r="GNU131" s="118"/>
      <c r="GNV131" s="118"/>
      <c r="GNW131" s="118"/>
      <c r="GNX131" s="118"/>
      <c r="GNY131" s="118"/>
      <c r="GNZ131" s="118"/>
      <c r="GOA131" s="118"/>
      <c r="GOB131" s="118"/>
      <c r="GOC131" s="118"/>
      <c r="GOD131" s="118"/>
      <c r="GOE131" s="118"/>
      <c r="GOF131" s="118"/>
      <c r="GOG131" s="118"/>
      <c r="GOH131" s="118"/>
      <c r="GOI131" s="118"/>
      <c r="GOJ131" s="118"/>
      <c r="GOK131" s="118"/>
      <c r="GOL131" s="118"/>
      <c r="GOM131" s="118"/>
      <c r="GON131" s="118"/>
      <c r="GOO131" s="118"/>
      <c r="GOP131" s="118"/>
      <c r="GOQ131" s="118"/>
      <c r="GOR131" s="118"/>
      <c r="GOS131" s="118"/>
      <c r="GOT131" s="118"/>
      <c r="GOU131" s="118"/>
      <c r="GOV131" s="118"/>
      <c r="GOW131" s="118"/>
      <c r="GOX131" s="118"/>
      <c r="GOY131" s="118"/>
      <c r="GOZ131" s="118"/>
      <c r="GPA131" s="118"/>
      <c r="GPB131" s="118"/>
      <c r="GPC131" s="118"/>
      <c r="GPD131" s="118"/>
      <c r="GPE131" s="118"/>
      <c r="GPF131" s="118"/>
      <c r="GPG131" s="118"/>
      <c r="GPH131" s="118"/>
      <c r="GPI131" s="118"/>
      <c r="GPJ131" s="118"/>
      <c r="GPK131" s="118"/>
      <c r="GPL131" s="118"/>
      <c r="GPM131" s="118"/>
      <c r="GPN131" s="118"/>
      <c r="GPO131" s="118"/>
      <c r="GPP131" s="118"/>
      <c r="GPQ131" s="118"/>
      <c r="GPR131" s="118"/>
      <c r="GPS131" s="118"/>
      <c r="GPT131" s="118"/>
      <c r="GPU131" s="118"/>
      <c r="GPV131" s="118"/>
      <c r="GPW131" s="118"/>
      <c r="GPX131" s="118"/>
      <c r="GPY131" s="118"/>
      <c r="GPZ131" s="118"/>
      <c r="GQA131" s="118"/>
      <c r="GQB131" s="118"/>
      <c r="GQC131" s="118"/>
      <c r="GQD131" s="118"/>
      <c r="GQE131" s="118"/>
      <c r="GQF131" s="118"/>
      <c r="GQG131" s="118"/>
      <c r="GQH131" s="118"/>
      <c r="GQI131" s="118"/>
      <c r="GQJ131" s="118"/>
      <c r="GQK131" s="118"/>
      <c r="GQL131" s="118"/>
      <c r="GQM131" s="118"/>
      <c r="GQN131" s="118"/>
      <c r="GQO131" s="118"/>
      <c r="GQP131" s="118"/>
      <c r="GQQ131" s="118"/>
      <c r="GQR131" s="118"/>
      <c r="GQS131" s="118"/>
      <c r="GQT131" s="118"/>
      <c r="GQU131" s="118"/>
      <c r="GQV131" s="118"/>
      <c r="GQW131" s="118"/>
      <c r="GQX131" s="118"/>
      <c r="GQY131" s="118"/>
      <c r="GQZ131" s="118"/>
      <c r="GRA131" s="118"/>
      <c r="GRB131" s="118"/>
      <c r="GRC131" s="118"/>
      <c r="GRD131" s="118"/>
      <c r="GRE131" s="118"/>
      <c r="GRF131" s="118"/>
      <c r="GRG131" s="118"/>
      <c r="GRH131" s="118"/>
      <c r="GRI131" s="118"/>
      <c r="GRJ131" s="118"/>
      <c r="GRK131" s="118"/>
      <c r="GRL131" s="118"/>
      <c r="GRM131" s="118"/>
      <c r="GRN131" s="118"/>
      <c r="GRO131" s="118"/>
      <c r="GRP131" s="118"/>
      <c r="GRQ131" s="118"/>
      <c r="GRR131" s="118"/>
      <c r="GRS131" s="118"/>
      <c r="GRT131" s="118"/>
      <c r="GRU131" s="118"/>
      <c r="GRV131" s="118"/>
      <c r="GRW131" s="118"/>
      <c r="GRX131" s="118"/>
      <c r="GRY131" s="118"/>
      <c r="GRZ131" s="118"/>
      <c r="GSA131" s="118"/>
      <c r="GSB131" s="118"/>
      <c r="GSC131" s="118"/>
      <c r="GSD131" s="118"/>
      <c r="GSE131" s="118"/>
      <c r="GSF131" s="118"/>
      <c r="GSG131" s="118"/>
      <c r="GSH131" s="118"/>
      <c r="GSI131" s="118"/>
      <c r="GSJ131" s="118"/>
      <c r="GSK131" s="118"/>
      <c r="GSL131" s="118"/>
      <c r="GSM131" s="118"/>
      <c r="GSN131" s="118"/>
      <c r="GSO131" s="118"/>
      <c r="GSP131" s="118"/>
      <c r="GSQ131" s="118"/>
      <c r="GSR131" s="118"/>
      <c r="GSS131" s="118"/>
      <c r="GST131" s="118"/>
      <c r="GSU131" s="118"/>
      <c r="GSV131" s="118"/>
      <c r="GSW131" s="118"/>
      <c r="GSX131" s="118"/>
      <c r="GSY131" s="118"/>
      <c r="GSZ131" s="118"/>
      <c r="GTA131" s="118"/>
      <c r="GTB131" s="118"/>
      <c r="GTC131" s="118"/>
      <c r="GTD131" s="118"/>
      <c r="GTE131" s="118"/>
      <c r="GTF131" s="118"/>
      <c r="GTG131" s="118"/>
      <c r="GTH131" s="118"/>
      <c r="GTI131" s="118"/>
      <c r="GTJ131" s="118"/>
      <c r="GTK131" s="118"/>
      <c r="GTL131" s="118"/>
      <c r="GTM131" s="118"/>
      <c r="GTN131" s="118"/>
      <c r="GTO131" s="118"/>
      <c r="GTP131" s="118"/>
      <c r="GTQ131" s="118"/>
      <c r="GTR131" s="118"/>
      <c r="GTS131" s="118"/>
      <c r="GTT131" s="118"/>
      <c r="GTU131" s="118"/>
      <c r="GTV131" s="118"/>
      <c r="GTW131" s="118"/>
      <c r="GTX131" s="118"/>
      <c r="GTY131" s="118"/>
      <c r="GTZ131" s="118"/>
      <c r="GUA131" s="118"/>
      <c r="GUB131" s="118"/>
      <c r="GUC131" s="118"/>
      <c r="GUD131" s="118"/>
      <c r="GUE131" s="118"/>
      <c r="GUF131" s="118"/>
      <c r="GUG131" s="118"/>
      <c r="GUH131" s="118"/>
      <c r="GUI131" s="118"/>
      <c r="GUJ131" s="118"/>
      <c r="GUK131" s="118"/>
      <c r="GUL131" s="118"/>
      <c r="GUM131" s="118"/>
      <c r="GUN131" s="118"/>
      <c r="GUO131" s="118"/>
      <c r="GUP131" s="118"/>
      <c r="GUQ131" s="118"/>
      <c r="GUR131" s="118"/>
      <c r="GUS131" s="118"/>
      <c r="GUT131" s="118"/>
      <c r="GUU131" s="118"/>
      <c r="GUV131" s="118"/>
      <c r="GUW131" s="118"/>
      <c r="GUX131" s="118"/>
      <c r="GUY131" s="118"/>
      <c r="GUZ131" s="118"/>
      <c r="GVA131" s="118"/>
      <c r="GVB131" s="118"/>
      <c r="GVC131" s="118"/>
      <c r="GVD131" s="118"/>
      <c r="GVE131" s="118"/>
      <c r="GVF131" s="118"/>
      <c r="GVG131" s="118"/>
      <c r="GVH131" s="118"/>
      <c r="GVI131" s="118"/>
      <c r="GVJ131" s="118"/>
      <c r="GVK131" s="118"/>
      <c r="GVL131" s="118"/>
      <c r="GVM131" s="118"/>
      <c r="GVN131" s="118"/>
      <c r="GVO131" s="118"/>
      <c r="GVP131" s="118"/>
      <c r="GVQ131" s="118"/>
      <c r="GVR131" s="118"/>
      <c r="GVS131" s="118"/>
      <c r="GVT131" s="118"/>
      <c r="GVU131" s="118"/>
      <c r="GVV131" s="118"/>
      <c r="GVW131" s="118"/>
      <c r="GVX131" s="118"/>
      <c r="GVY131" s="118"/>
      <c r="GVZ131" s="118"/>
      <c r="GWA131" s="118"/>
      <c r="GWB131" s="118"/>
      <c r="GWC131" s="118"/>
      <c r="GWD131" s="118"/>
      <c r="GWE131" s="118"/>
      <c r="GWF131" s="118"/>
      <c r="GWG131" s="118"/>
      <c r="GWH131" s="118"/>
      <c r="GWI131" s="118"/>
      <c r="GWJ131" s="118"/>
      <c r="GWK131" s="118"/>
      <c r="GWL131" s="118"/>
      <c r="GWM131" s="118"/>
      <c r="GWN131" s="118"/>
      <c r="GWO131" s="118"/>
      <c r="GWP131" s="118"/>
      <c r="GWQ131" s="118"/>
      <c r="GWR131" s="118"/>
      <c r="GWS131" s="118"/>
      <c r="GWT131" s="118"/>
      <c r="GWU131" s="118"/>
      <c r="GWV131" s="118"/>
      <c r="GWW131" s="118"/>
      <c r="GWX131" s="118"/>
      <c r="GWY131" s="118"/>
      <c r="GWZ131" s="118"/>
      <c r="GXA131" s="118"/>
      <c r="GXB131" s="118"/>
      <c r="GXC131" s="118"/>
      <c r="GXD131" s="118"/>
      <c r="GXE131" s="118"/>
      <c r="GXF131" s="118"/>
      <c r="GXG131" s="118"/>
      <c r="GXH131" s="118"/>
      <c r="GXI131" s="118"/>
      <c r="GXJ131" s="118"/>
      <c r="GXK131" s="118"/>
      <c r="GXL131" s="118"/>
      <c r="GXM131" s="118"/>
      <c r="GXN131" s="118"/>
      <c r="GXO131" s="118"/>
      <c r="GXP131" s="118"/>
      <c r="GXQ131" s="118"/>
      <c r="GXR131" s="118"/>
      <c r="GXS131" s="118"/>
      <c r="GXT131" s="118"/>
      <c r="GXU131" s="118"/>
      <c r="GXV131" s="118"/>
      <c r="GXW131" s="118"/>
      <c r="GXX131" s="118"/>
      <c r="GXY131" s="118"/>
      <c r="GXZ131" s="118"/>
      <c r="GYA131" s="118"/>
      <c r="GYB131" s="118"/>
      <c r="GYC131" s="118"/>
      <c r="GYD131" s="118"/>
      <c r="GYE131" s="118"/>
      <c r="GYF131" s="118"/>
      <c r="GYG131" s="118"/>
      <c r="GYH131" s="118"/>
      <c r="GYI131" s="118"/>
      <c r="GYJ131" s="118"/>
      <c r="GYK131" s="118"/>
      <c r="GYL131" s="118"/>
      <c r="GYM131" s="118"/>
      <c r="GYN131" s="118"/>
      <c r="GYO131" s="118"/>
      <c r="GYP131" s="118"/>
      <c r="GYQ131" s="118"/>
      <c r="GYR131" s="118"/>
      <c r="GYS131" s="118"/>
      <c r="GYT131" s="118"/>
      <c r="GYU131" s="118"/>
      <c r="GYV131" s="118"/>
      <c r="GYW131" s="118"/>
      <c r="GYX131" s="118"/>
      <c r="GYY131" s="118"/>
      <c r="GYZ131" s="118"/>
      <c r="GZA131" s="118"/>
      <c r="GZB131" s="118"/>
      <c r="GZC131" s="118"/>
      <c r="GZD131" s="118"/>
      <c r="GZE131" s="118"/>
      <c r="GZF131" s="118"/>
      <c r="GZG131" s="118"/>
      <c r="GZH131" s="118"/>
      <c r="GZI131" s="118"/>
      <c r="GZJ131" s="118"/>
      <c r="GZK131" s="118"/>
      <c r="GZL131" s="118"/>
      <c r="GZM131" s="118"/>
      <c r="GZN131" s="118"/>
      <c r="GZO131" s="118"/>
      <c r="GZP131" s="118"/>
      <c r="GZQ131" s="118"/>
      <c r="GZR131" s="118"/>
      <c r="GZS131" s="118"/>
      <c r="GZT131" s="118"/>
      <c r="GZU131" s="118"/>
      <c r="GZV131" s="118"/>
      <c r="GZW131" s="118"/>
      <c r="GZX131" s="118"/>
      <c r="GZY131" s="118"/>
      <c r="GZZ131" s="118"/>
      <c r="HAA131" s="118"/>
      <c r="HAB131" s="118"/>
      <c r="HAC131" s="118"/>
      <c r="HAD131" s="118"/>
      <c r="HAE131" s="118"/>
      <c r="HAF131" s="118"/>
      <c r="HAG131" s="118"/>
      <c r="HAH131" s="118"/>
      <c r="HAI131" s="118"/>
      <c r="HAJ131" s="118"/>
      <c r="HAK131" s="118"/>
      <c r="HAL131" s="118"/>
      <c r="HAM131" s="118"/>
      <c r="HAN131" s="118"/>
      <c r="HAO131" s="118"/>
      <c r="HAP131" s="118"/>
      <c r="HAQ131" s="118"/>
      <c r="HAR131" s="118"/>
      <c r="HAS131" s="118"/>
      <c r="HAT131" s="118"/>
      <c r="HAU131" s="118"/>
      <c r="HAV131" s="118"/>
      <c r="HAW131" s="118"/>
      <c r="HAX131" s="118"/>
      <c r="HAY131" s="118"/>
      <c r="HAZ131" s="118"/>
      <c r="HBA131" s="118"/>
      <c r="HBB131" s="118"/>
      <c r="HBC131" s="118"/>
      <c r="HBD131" s="118"/>
      <c r="HBE131" s="118"/>
      <c r="HBF131" s="118"/>
      <c r="HBG131" s="118"/>
      <c r="HBH131" s="118"/>
      <c r="HBI131" s="118"/>
      <c r="HBJ131" s="118"/>
      <c r="HBK131" s="118"/>
      <c r="HBL131" s="118"/>
      <c r="HBM131" s="118"/>
      <c r="HBN131" s="118"/>
      <c r="HBO131" s="118"/>
      <c r="HBP131" s="118"/>
      <c r="HBQ131" s="118"/>
      <c r="HBR131" s="118"/>
      <c r="HBS131" s="118"/>
      <c r="HBT131" s="118"/>
      <c r="HBU131" s="118"/>
      <c r="HBV131" s="118"/>
      <c r="HBW131" s="118"/>
      <c r="HBX131" s="118"/>
      <c r="HBY131" s="118"/>
      <c r="HBZ131" s="118"/>
      <c r="HCA131" s="118"/>
      <c r="HCB131" s="118"/>
      <c r="HCC131" s="118"/>
      <c r="HCD131" s="118"/>
      <c r="HCE131" s="118"/>
      <c r="HCF131" s="118"/>
      <c r="HCG131" s="118"/>
      <c r="HCH131" s="118"/>
      <c r="HCI131" s="118"/>
      <c r="HCJ131" s="118"/>
      <c r="HCK131" s="118"/>
      <c r="HCL131" s="118"/>
      <c r="HCM131" s="118"/>
      <c r="HCN131" s="118"/>
      <c r="HCO131" s="118"/>
      <c r="HCP131" s="118"/>
      <c r="HCQ131" s="118"/>
      <c r="HCR131" s="118"/>
      <c r="HCS131" s="118"/>
      <c r="HCT131" s="118"/>
      <c r="HCU131" s="118"/>
      <c r="HCV131" s="118"/>
      <c r="HCW131" s="118"/>
      <c r="HCX131" s="118"/>
      <c r="HCY131" s="118"/>
      <c r="HCZ131" s="118"/>
      <c r="HDA131" s="118"/>
      <c r="HDB131" s="118"/>
      <c r="HDC131" s="118"/>
      <c r="HDD131" s="118"/>
      <c r="HDE131" s="118"/>
      <c r="HDF131" s="118"/>
      <c r="HDG131" s="118"/>
      <c r="HDH131" s="118"/>
      <c r="HDI131" s="118"/>
      <c r="HDJ131" s="118"/>
      <c r="HDK131" s="118"/>
      <c r="HDL131" s="118"/>
      <c r="HDM131" s="118"/>
      <c r="HDN131" s="118"/>
      <c r="HDO131" s="118"/>
      <c r="HDP131" s="118"/>
      <c r="HDQ131" s="118"/>
      <c r="HDR131" s="118"/>
      <c r="HDS131" s="118"/>
      <c r="HDT131" s="118"/>
      <c r="HDU131" s="118"/>
      <c r="HDV131" s="118"/>
      <c r="HDW131" s="118"/>
      <c r="HDX131" s="118"/>
      <c r="HDY131" s="118"/>
      <c r="HDZ131" s="118"/>
      <c r="HEA131" s="118"/>
      <c r="HEB131" s="118"/>
      <c r="HEC131" s="118"/>
      <c r="HED131" s="118"/>
      <c r="HEE131" s="118"/>
      <c r="HEF131" s="118"/>
      <c r="HEG131" s="118"/>
      <c r="HEH131" s="118"/>
      <c r="HEI131" s="118"/>
      <c r="HEJ131" s="118"/>
      <c r="HEK131" s="118"/>
      <c r="HEL131" s="118"/>
      <c r="HEM131" s="118"/>
      <c r="HEN131" s="118"/>
      <c r="HEO131" s="118"/>
      <c r="HEP131" s="118"/>
      <c r="HEQ131" s="118"/>
      <c r="HER131" s="118"/>
      <c r="HES131" s="118"/>
      <c r="HET131" s="118"/>
      <c r="HEU131" s="118"/>
      <c r="HEV131" s="118"/>
      <c r="HEW131" s="118"/>
      <c r="HEX131" s="118"/>
      <c r="HEY131" s="118"/>
      <c r="HEZ131" s="118"/>
      <c r="HFA131" s="118"/>
      <c r="HFB131" s="118"/>
      <c r="HFC131" s="118"/>
      <c r="HFD131" s="118"/>
      <c r="HFE131" s="118"/>
      <c r="HFF131" s="118"/>
      <c r="HFG131" s="118"/>
      <c r="HFH131" s="118"/>
      <c r="HFI131" s="118"/>
      <c r="HFJ131" s="118"/>
      <c r="HFK131" s="118"/>
      <c r="HFL131" s="118"/>
      <c r="HFM131" s="118"/>
      <c r="HFN131" s="118"/>
      <c r="HFO131" s="118"/>
      <c r="HFP131" s="118"/>
      <c r="HFQ131" s="118"/>
      <c r="HFR131" s="118"/>
      <c r="HFS131" s="118"/>
      <c r="HFT131" s="118"/>
      <c r="HFU131" s="118"/>
      <c r="HFV131" s="118"/>
      <c r="HFW131" s="118"/>
      <c r="HFX131" s="118"/>
      <c r="HFY131" s="118"/>
      <c r="HFZ131" s="118"/>
      <c r="HGA131" s="118"/>
      <c r="HGB131" s="118"/>
      <c r="HGC131" s="118"/>
      <c r="HGD131" s="118"/>
      <c r="HGE131" s="118"/>
      <c r="HGF131" s="118"/>
      <c r="HGG131" s="118"/>
      <c r="HGH131" s="118"/>
      <c r="HGI131" s="118"/>
      <c r="HGJ131" s="118"/>
      <c r="HGK131" s="118"/>
      <c r="HGL131" s="118"/>
      <c r="HGM131" s="118"/>
      <c r="HGN131" s="118"/>
      <c r="HGO131" s="118"/>
      <c r="HGP131" s="118"/>
      <c r="HGQ131" s="118"/>
      <c r="HGR131" s="118"/>
      <c r="HGS131" s="118"/>
      <c r="HGT131" s="118"/>
      <c r="HGU131" s="118"/>
      <c r="HGV131" s="118"/>
      <c r="HGW131" s="118"/>
      <c r="HGX131" s="118"/>
      <c r="HGY131" s="118"/>
      <c r="HGZ131" s="118"/>
      <c r="HHA131" s="118"/>
      <c r="HHB131" s="118"/>
      <c r="HHC131" s="118"/>
      <c r="HHD131" s="118"/>
      <c r="HHE131" s="118"/>
      <c r="HHF131" s="118"/>
      <c r="HHG131" s="118"/>
      <c r="HHH131" s="118"/>
      <c r="HHI131" s="118"/>
      <c r="HHJ131" s="118"/>
      <c r="HHK131" s="118"/>
      <c r="HHL131" s="118"/>
      <c r="HHM131" s="118"/>
      <c r="HHN131" s="118"/>
      <c r="HHO131" s="118"/>
      <c r="HHP131" s="118"/>
      <c r="HHQ131" s="118"/>
      <c r="HHR131" s="118"/>
      <c r="HHS131" s="118"/>
      <c r="HHT131" s="118"/>
      <c r="HHU131" s="118"/>
      <c r="HHV131" s="118"/>
      <c r="HHW131" s="118"/>
      <c r="HHX131" s="118"/>
      <c r="HHY131" s="118"/>
      <c r="HHZ131" s="118"/>
      <c r="HIA131" s="118"/>
      <c r="HIB131" s="118"/>
      <c r="HIC131" s="118"/>
      <c r="HID131" s="118"/>
      <c r="HIE131" s="118"/>
      <c r="HIF131" s="118"/>
      <c r="HIG131" s="118"/>
      <c r="HIH131" s="118"/>
      <c r="HII131" s="118"/>
      <c r="HIJ131" s="118"/>
      <c r="HIK131" s="118"/>
      <c r="HIL131" s="118"/>
      <c r="HIM131" s="118"/>
      <c r="HIN131" s="118"/>
      <c r="HIO131" s="118"/>
      <c r="HIP131" s="118"/>
      <c r="HIQ131" s="118"/>
      <c r="HIR131" s="118"/>
      <c r="HIS131" s="118"/>
      <c r="HIT131" s="118"/>
      <c r="HIU131" s="118"/>
      <c r="HIV131" s="118"/>
      <c r="HIW131" s="118"/>
      <c r="HIX131" s="118"/>
      <c r="HIY131" s="118"/>
      <c r="HIZ131" s="118"/>
      <c r="HJA131" s="118"/>
      <c r="HJB131" s="118"/>
      <c r="HJC131" s="118"/>
      <c r="HJD131" s="118"/>
      <c r="HJE131" s="118"/>
      <c r="HJF131" s="118"/>
      <c r="HJG131" s="118"/>
      <c r="HJH131" s="118"/>
      <c r="HJI131" s="118"/>
      <c r="HJJ131" s="118"/>
      <c r="HJK131" s="118"/>
      <c r="HJL131" s="118"/>
      <c r="HJM131" s="118"/>
      <c r="HJN131" s="118"/>
      <c r="HJO131" s="118"/>
      <c r="HJP131" s="118"/>
      <c r="HJQ131" s="118"/>
      <c r="HJR131" s="118"/>
      <c r="HJS131" s="118"/>
      <c r="HJT131" s="118"/>
      <c r="HJU131" s="118"/>
      <c r="HJV131" s="118"/>
      <c r="HJW131" s="118"/>
      <c r="HJX131" s="118"/>
      <c r="HJY131" s="118"/>
      <c r="HJZ131" s="118"/>
      <c r="HKA131" s="118"/>
      <c r="HKB131" s="118"/>
      <c r="HKC131" s="118"/>
      <c r="HKD131" s="118"/>
      <c r="HKE131" s="118"/>
      <c r="HKF131" s="118"/>
      <c r="HKG131" s="118"/>
      <c r="HKH131" s="118"/>
      <c r="HKI131" s="118"/>
      <c r="HKJ131" s="118"/>
      <c r="HKK131" s="118"/>
      <c r="HKL131" s="118"/>
      <c r="HKM131" s="118"/>
      <c r="HKN131" s="118"/>
      <c r="HKO131" s="118"/>
      <c r="HKP131" s="118"/>
      <c r="HKQ131" s="118"/>
      <c r="HKR131" s="118"/>
      <c r="HKS131" s="118"/>
      <c r="HKT131" s="118"/>
      <c r="HKU131" s="118"/>
      <c r="HKV131" s="118"/>
      <c r="HKW131" s="118"/>
      <c r="HKX131" s="118"/>
      <c r="HKY131" s="118"/>
      <c r="HKZ131" s="118"/>
      <c r="HLA131" s="118"/>
      <c r="HLB131" s="118"/>
      <c r="HLC131" s="118"/>
      <c r="HLD131" s="118"/>
      <c r="HLE131" s="118"/>
      <c r="HLF131" s="118"/>
      <c r="HLG131" s="118"/>
      <c r="HLH131" s="118"/>
      <c r="HLI131" s="118"/>
      <c r="HLJ131" s="118"/>
      <c r="HLK131" s="118"/>
      <c r="HLL131" s="118"/>
      <c r="HLM131" s="118"/>
      <c r="HLN131" s="118"/>
      <c r="HLO131" s="118"/>
      <c r="HLP131" s="118"/>
      <c r="HLQ131" s="118"/>
      <c r="HLR131" s="118"/>
      <c r="HLS131" s="118"/>
      <c r="HLT131" s="118"/>
      <c r="HLU131" s="118"/>
      <c r="HLV131" s="118"/>
      <c r="HLW131" s="118"/>
      <c r="HLX131" s="118"/>
      <c r="HLY131" s="118"/>
      <c r="HLZ131" s="118"/>
      <c r="HMA131" s="118"/>
      <c r="HMB131" s="118"/>
      <c r="HMC131" s="118"/>
      <c r="HMD131" s="118"/>
      <c r="HME131" s="118"/>
      <c r="HMF131" s="118"/>
      <c r="HMG131" s="118"/>
      <c r="HMH131" s="118"/>
      <c r="HMI131" s="118"/>
      <c r="HMJ131" s="118"/>
      <c r="HMK131" s="118"/>
      <c r="HML131" s="118"/>
      <c r="HMM131" s="118"/>
      <c r="HMN131" s="118"/>
      <c r="HMO131" s="118"/>
      <c r="HMP131" s="118"/>
      <c r="HMQ131" s="118"/>
      <c r="HMR131" s="118"/>
      <c r="HMS131" s="118"/>
      <c r="HMT131" s="118"/>
      <c r="HMU131" s="118"/>
      <c r="HMV131" s="118"/>
      <c r="HMW131" s="118"/>
      <c r="HMX131" s="118"/>
      <c r="HMY131" s="118"/>
      <c r="HMZ131" s="118"/>
      <c r="HNA131" s="118"/>
      <c r="HNB131" s="118"/>
      <c r="HNC131" s="118"/>
      <c r="HND131" s="118"/>
      <c r="HNE131" s="118"/>
      <c r="HNF131" s="118"/>
      <c r="HNG131" s="118"/>
      <c r="HNH131" s="118"/>
      <c r="HNI131" s="118"/>
      <c r="HNJ131" s="118"/>
      <c r="HNK131" s="118"/>
      <c r="HNL131" s="118"/>
      <c r="HNM131" s="118"/>
      <c r="HNN131" s="118"/>
      <c r="HNO131" s="118"/>
      <c r="HNP131" s="118"/>
      <c r="HNQ131" s="118"/>
      <c r="HNR131" s="118"/>
      <c r="HNS131" s="118"/>
      <c r="HNT131" s="118"/>
      <c r="HNU131" s="118"/>
      <c r="HNV131" s="118"/>
      <c r="HNW131" s="118"/>
      <c r="HNX131" s="118"/>
      <c r="HNY131" s="118"/>
      <c r="HNZ131" s="118"/>
      <c r="HOA131" s="118"/>
      <c r="HOB131" s="118"/>
      <c r="HOC131" s="118"/>
      <c r="HOD131" s="118"/>
      <c r="HOE131" s="118"/>
      <c r="HOF131" s="118"/>
      <c r="HOG131" s="118"/>
      <c r="HOH131" s="118"/>
      <c r="HOI131" s="118"/>
      <c r="HOJ131" s="118"/>
      <c r="HOK131" s="118"/>
      <c r="HOL131" s="118"/>
      <c r="HOM131" s="118"/>
      <c r="HON131" s="118"/>
      <c r="HOO131" s="118"/>
      <c r="HOP131" s="118"/>
      <c r="HOQ131" s="118"/>
      <c r="HOR131" s="118"/>
      <c r="HOS131" s="118"/>
      <c r="HOT131" s="118"/>
      <c r="HOU131" s="118"/>
      <c r="HOV131" s="118"/>
      <c r="HOW131" s="118"/>
      <c r="HOX131" s="118"/>
      <c r="HOY131" s="118"/>
      <c r="HOZ131" s="118"/>
      <c r="HPA131" s="118"/>
      <c r="HPB131" s="118"/>
      <c r="HPC131" s="118"/>
      <c r="HPD131" s="118"/>
      <c r="HPE131" s="118"/>
      <c r="HPF131" s="118"/>
      <c r="HPG131" s="118"/>
      <c r="HPH131" s="118"/>
      <c r="HPI131" s="118"/>
      <c r="HPJ131" s="118"/>
      <c r="HPK131" s="118"/>
      <c r="HPL131" s="118"/>
      <c r="HPM131" s="118"/>
      <c r="HPN131" s="118"/>
      <c r="HPO131" s="118"/>
      <c r="HPP131" s="118"/>
      <c r="HPQ131" s="118"/>
      <c r="HPR131" s="118"/>
      <c r="HPS131" s="118"/>
      <c r="HPT131" s="118"/>
      <c r="HPU131" s="118"/>
      <c r="HPV131" s="118"/>
      <c r="HPW131" s="118"/>
      <c r="HPX131" s="118"/>
      <c r="HPY131" s="118"/>
      <c r="HPZ131" s="118"/>
      <c r="HQA131" s="118"/>
      <c r="HQB131" s="118"/>
      <c r="HQC131" s="118"/>
      <c r="HQD131" s="118"/>
      <c r="HQE131" s="118"/>
      <c r="HQF131" s="118"/>
      <c r="HQG131" s="118"/>
      <c r="HQH131" s="118"/>
      <c r="HQI131" s="118"/>
      <c r="HQJ131" s="118"/>
      <c r="HQK131" s="118"/>
      <c r="HQL131" s="118"/>
      <c r="HQM131" s="118"/>
      <c r="HQN131" s="118"/>
      <c r="HQO131" s="118"/>
      <c r="HQP131" s="118"/>
      <c r="HQQ131" s="118"/>
      <c r="HQR131" s="118"/>
      <c r="HQS131" s="118"/>
      <c r="HQT131" s="118"/>
      <c r="HQU131" s="118"/>
      <c r="HQV131" s="118"/>
      <c r="HQW131" s="118"/>
      <c r="HQX131" s="118"/>
      <c r="HQY131" s="118"/>
      <c r="HQZ131" s="118"/>
      <c r="HRA131" s="118"/>
      <c r="HRB131" s="118"/>
      <c r="HRC131" s="118"/>
      <c r="HRD131" s="118"/>
      <c r="HRE131" s="118"/>
      <c r="HRF131" s="118"/>
      <c r="HRG131" s="118"/>
      <c r="HRH131" s="118"/>
      <c r="HRI131" s="118"/>
      <c r="HRJ131" s="118"/>
      <c r="HRK131" s="118"/>
      <c r="HRL131" s="118"/>
      <c r="HRM131" s="118"/>
      <c r="HRN131" s="118"/>
      <c r="HRO131" s="118"/>
      <c r="HRP131" s="118"/>
      <c r="HRQ131" s="118"/>
      <c r="HRR131" s="118"/>
      <c r="HRS131" s="118"/>
      <c r="HRT131" s="118"/>
      <c r="HRU131" s="118"/>
      <c r="HRV131" s="118"/>
      <c r="HRW131" s="118"/>
      <c r="HRX131" s="118"/>
      <c r="HRY131" s="118"/>
      <c r="HRZ131" s="118"/>
      <c r="HSA131" s="118"/>
      <c r="HSB131" s="118"/>
      <c r="HSC131" s="118"/>
      <c r="HSD131" s="118"/>
      <c r="HSE131" s="118"/>
      <c r="HSF131" s="118"/>
      <c r="HSG131" s="118"/>
      <c r="HSH131" s="118"/>
      <c r="HSI131" s="118"/>
      <c r="HSJ131" s="118"/>
      <c r="HSK131" s="118"/>
      <c r="HSL131" s="118"/>
      <c r="HSM131" s="118"/>
      <c r="HSN131" s="118"/>
      <c r="HSO131" s="118"/>
      <c r="HSP131" s="118"/>
      <c r="HSQ131" s="118"/>
      <c r="HSR131" s="118"/>
      <c r="HSS131" s="118"/>
      <c r="HST131" s="118"/>
      <c r="HSU131" s="118"/>
      <c r="HSV131" s="118"/>
      <c r="HSW131" s="118"/>
      <c r="HSX131" s="118"/>
      <c r="HSY131" s="118"/>
      <c r="HSZ131" s="118"/>
      <c r="HTA131" s="118"/>
      <c r="HTB131" s="118"/>
      <c r="HTC131" s="118"/>
      <c r="HTD131" s="118"/>
      <c r="HTE131" s="118"/>
      <c r="HTF131" s="118"/>
      <c r="HTG131" s="118"/>
      <c r="HTH131" s="118"/>
      <c r="HTI131" s="118"/>
      <c r="HTJ131" s="118"/>
      <c r="HTK131" s="118"/>
      <c r="HTL131" s="118"/>
      <c r="HTM131" s="118"/>
      <c r="HTN131" s="118"/>
      <c r="HTO131" s="118"/>
      <c r="HTP131" s="118"/>
      <c r="HTQ131" s="118"/>
      <c r="HTR131" s="118"/>
      <c r="HTS131" s="118"/>
      <c r="HTT131" s="118"/>
      <c r="HTU131" s="118"/>
      <c r="HTV131" s="118"/>
      <c r="HTW131" s="118"/>
      <c r="HTX131" s="118"/>
      <c r="HTY131" s="118"/>
      <c r="HTZ131" s="118"/>
      <c r="HUA131" s="118"/>
      <c r="HUB131" s="118"/>
      <c r="HUC131" s="118"/>
      <c r="HUD131" s="118"/>
      <c r="HUE131" s="118"/>
      <c r="HUF131" s="118"/>
      <c r="HUG131" s="118"/>
      <c r="HUH131" s="118"/>
      <c r="HUI131" s="118"/>
      <c r="HUJ131" s="118"/>
      <c r="HUK131" s="118"/>
      <c r="HUL131" s="118"/>
      <c r="HUM131" s="118"/>
      <c r="HUN131" s="118"/>
      <c r="HUO131" s="118"/>
      <c r="HUP131" s="118"/>
      <c r="HUQ131" s="118"/>
      <c r="HUR131" s="118"/>
      <c r="HUS131" s="118"/>
      <c r="HUT131" s="118"/>
      <c r="HUU131" s="118"/>
      <c r="HUV131" s="118"/>
      <c r="HUW131" s="118"/>
      <c r="HUX131" s="118"/>
      <c r="HUY131" s="118"/>
      <c r="HUZ131" s="118"/>
      <c r="HVA131" s="118"/>
      <c r="HVB131" s="118"/>
      <c r="HVC131" s="118"/>
      <c r="HVD131" s="118"/>
      <c r="HVE131" s="118"/>
      <c r="HVF131" s="118"/>
      <c r="HVG131" s="118"/>
      <c r="HVH131" s="118"/>
      <c r="HVI131" s="118"/>
      <c r="HVJ131" s="118"/>
      <c r="HVK131" s="118"/>
      <c r="HVL131" s="118"/>
      <c r="HVM131" s="118"/>
      <c r="HVN131" s="118"/>
      <c r="HVO131" s="118"/>
      <c r="HVP131" s="118"/>
      <c r="HVQ131" s="118"/>
      <c r="HVR131" s="118"/>
      <c r="HVS131" s="118"/>
      <c r="HVT131" s="118"/>
      <c r="HVU131" s="118"/>
      <c r="HVV131" s="118"/>
      <c r="HVW131" s="118"/>
      <c r="HVX131" s="118"/>
      <c r="HVY131" s="118"/>
      <c r="HVZ131" s="118"/>
      <c r="HWA131" s="118"/>
      <c r="HWB131" s="118"/>
      <c r="HWC131" s="118"/>
      <c r="HWD131" s="118"/>
      <c r="HWE131" s="118"/>
      <c r="HWF131" s="118"/>
      <c r="HWG131" s="118"/>
      <c r="HWH131" s="118"/>
      <c r="HWI131" s="118"/>
      <c r="HWJ131" s="118"/>
      <c r="HWK131" s="118"/>
      <c r="HWL131" s="118"/>
      <c r="HWM131" s="118"/>
      <c r="HWN131" s="118"/>
      <c r="HWO131" s="118"/>
      <c r="HWP131" s="118"/>
      <c r="HWQ131" s="118"/>
      <c r="HWR131" s="118"/>
      <c r="HWS131" s="118"/>
      <c r="HWT131" s="118"/>
      <c r="HWU131" s="118"/>
      <c r="HWV131" s="118"/>
      <c r="HWW131" s="118"/>
      <c r="HWX131" s="118"/>
      <c r="HWY131" s="118"/>
      <c r="HWZ131" s="118"/>
      <c r="HXA131" s="118"/>
      <c r="HXB131" s="118"/>
      <c r="HXC131" s="118"/>
      <c r="HXD131" s="118"/>
      <c r="HXE131" s="118"/>
      <c r="HXF131" s="118"/>
      <c r="HXG131" s="118"/>
      <c r="HXH131" s="118"/>
      <c r="HXI131" s="118"/>
      <c r="HXJ131" s="118"/>
      <c r="HXK131" s="118"/>
      <c r="HXL131" s="118"/>
      <c r="HXM131" s="118"/>
      <c r="HXN131" s="118"/>
      <c r="HXO131" s="118"/>
      <c r="HXP131" s="118"/>
      <c r="HXQ131" s="118"/>
      <c r="HXR131" s="118"/>
      <c r="HXS131" s="118"/>
      <c r="HXT131" s="118"/>
      <c r="HXU131" s="118"/>
      <c r="HXV131" s="118"/>
      <c r="HXW131" s="118"/>
      <c r="HXX131" s="118"/>
      <c r="HXY131" s="118"/>
      <c r="HXZ131" s="118"/>
      <c r="HYA131" s="118"/>
      <c r="HYB131" s="118"/>
      <c r="HYC131" s="118"/>
      <c r="HYD131" s="118"/>
      <c r="HYE131" s="118"/>
      <c r="HYF131" s="118"/>
      <c r="HYG131" s="118"/>
      <c r="HYH131" s="118"/>
      <c r="HYI131" s="118"/>
      <c r="HYJ131" s="118"/>
      <c r="HYK131" s="118"/>
      <c r="HYL131" s="118"/>
      <c r="HYM131" s="118"/>
      <c r="HYN131" s="118"/>
      <c r="HYO131" s="118"/>
      <c r="HYP131" s="118"/>
      <c r="HYQ131" s="118"/>
      <c r="HYR131" s="118"/>
      <c r="HYS131" s="118"/>
      <c r="HYT131" s="118"/>
      <c r="HYU131" s="118"/>
      <c r="HYV131" s="118"/>
      <c r="HYW131" s="118"/>
      <c r="HYX131" s="118"/>
      <c r="HYY131" s="118"/>
      <c r="HYZ131" s="118"/>
      <c r="HZA131" s="118"/>
      <c r="HZB131" s="118"/>
      <c r="HZC131" s="118"/>
      <c r="HZD131" s="118"/>
      <c r="HZE131" s="118"/>
      <c r="HZF131" s="118"/>
      <c r="HZG131" s="118"/>
      <c r="HZH131" s="118"/>
      <c r="HZI131" s="118"/>
      <c r="HZJ131" s="118"/>
      <c r="HZK131" s="118"/>
      <c r="HZL131" s="118"/>
      <c r="HZM131" s="118"/>
      <c r="HZN131" s="118"/>
      <c r="HZO131" s="118"/>
      <c r="HZP131" s="118"/>
      <c r="HZQ131" s="118"/>
      <c r="HZR131" s="118"/>
      <c r="HZS131" s="118"/>
      <c r="HZT131" s="118"/>
      <c r="HZU131" s="118"/>
      <c r="HZV131" s="118"/>
      <c r="HZW131" s="118"/>
      <c r="HZX131" s="118"/>
      <c r="HZY131" s="118"/>
      <c r="HZZ131" s="118"/>
      <c r="IAA131" s="118"/>
      <c r="IAB131" s="118"/>
      <c r="IAC131" s="118"/>
      <c r="IAD131" s="118"/>
      <c r="IAE131" s="118"/>
      <c r="IAF131" s="118"/>
      <c r="IAG131" s="118"/>
      <c r="IAH131" s="118"/>
      <c r="IAI131" s="118"/>
      <c r="IAJ131" s="118"/>
      <c r="IAK131" s="118"/>
      <c r="IAL131" s="118"/>
      <c r="IAM131" s="118"/>
      <c r="IAN131" s="118"/>
      <c r="IAO131" s="118"/>
      <c r="IAP131" s="118"/>
      <c r="IAQ131" s="118"/>
      <c r="IAR131" s="118"/>
      <c r="IAS131" s="118"/>
      <c r="IAT131" s="118"/>
      <c r="IAU131" s="118"/>
      <c r="IAV131" s="118"/>
      <c r="IAW131" s="118"/>
      <c r="IAX131" s="118"/>
      <c r="IAY131" s="118"/>
      <c r="IAZ131" s="118"/>
      <c r="IBA131" s="118"/>
      <c r="IBB131" s="118"/>
      <c r="IBC131" s="118"/>
      <c r="IBD131" s="118"/>
      <c r="IBE131" s="118"/>
      <c r="IBF131" s="118"/>
      <c r="IBG131" s="118"/>
      <c r="IBH131" s="118"/>
      <c r="IBI131" s="118"/>
      <c r="IBJ131" s="118"/>
      <c r="IBK131" s="118"/>
      <c r="IBL131" s="118"/>
      <c r="IBM131" s="118"/>
      <c r="IBN131" s="118"/>
      <c r="IBO131" s="118"/>
      <c r="IBP131" s="118"/>
      <c r="IBQ131" s="118"/>
      <c r="IBR131" s="118"/>
      <c r="IBS131" s="118"/>
      <c r="IBT131" s="118"/>
      <c r="IBU131" s="118"/>
      <c r="IBV131" s="118"/>
      <c r="IBW131" s="118"/>
      <c r="IBX131" s="118"/>
      <c r="IBY131" s="118"/>
      <c r="IBZ131" s="118"/>
      <c r="ICA131" s="118"/>
      <c r="ICB131" s="118"/>
      <c r="ICC131" s="118"/>
      <c r="ICD131" s="118"/>
      <c r="ICE131" s="118"/>
      <c r="ICF131" s="118"/>
      <c r="ICG131" s="118"/>
      <c r="ICH131" s="118"/>
      <c r="ICI131" s="118"/>
      <c r="ICJ131" s="118"/>
      <c r="ICK131" s="118"/>
      <c r="ICL131" s="118"/>
      <c r="ICM131" s="118"/>
      <c r="ICN131" s="118"/>
      <c r="ICO131" s="118"/>
      <c r="ICP131" s="118"/>
      <c r="ICQ131" s="118"/>
      <c r="ICR131" s="118"/>
      <c r="ICS131" s="118"/>
      <c r="ICT131" s="118"/>
      <c r="ICU131" s="118"/>
      <c r="ICV131" s="118"/>
      <c r="ICW131" s="118"/>
      <c r="ICX131" s="118"/>
      <c r="ICY131" s="118"/>
      <c r="ICZ131" s="118"/>
      <c r="IDA131" s="118"/>
      <c r="IDB131" s="118"/>
      <c r="IDC131" s="118"/>
      <c r="IDD131" s="118"/>
      <c r="IDE131" s="118"/>
      <c r="IDF131" s="118"/>
      <c r="IDG131" s="118"/>
      <c r="IDH131" s="118"/>
      <c r="IDI131" s="118"/>
      <c r="IDJ131" s="118"/>
      <c r="IDK131" s="118"/>
      <c r="IDL131" s="118"/>
      <c r="IDM131" s="118"/>
      <c r="IDN131" s="118"/>
      <c r="IDO131" s="118"/>
      <c r="IDP131" s="118"/>
      <c r="IDQ131" s="118"/>
      <c r="IDR131" s="118"/>
      <c r="IDS131" s="118"/>
      <c r="IDT131" s="118"/>
      <c r="IDU131" s="118"/>
      <c r="IDV131" s="118"/>
      <c r="IDW131" s="118"/>
      <c r="IDX131" s="118"/>
      <c r="IDY131" s="118"/>
      <c r="IDZ131" s="118"/>
      <c r="IEA131" s="118"/>
      <c r="IEB131" s="118"/>
      <c r="IEC131" s="118"/>
      <c r="IED131" s="118"/>
      <c r="IEE131" s="118"/>
      <c r="IEF131" s="118"/>
      <c r="IEG131" s="118"/>
      <c r="IEH131" s="118"/>
      <c r="IEI131" s="118"/>
      <c r="IEJ131" s="118"/>
      <c r="IEK131" s="118"/>
      <c r="IEL131" s="118"/>
      <c r="IEM131" s="118"/>
      <c r="IEN131" s="118"/>
      <c r="IEO131" s="118"/>
      <c r="IEP131" s="118"/>
      <c r="IEQ131" s="118"/>
      <c r="IER131" s="118"/>
      <c r="IES131" s="118"/>
      <c r="IET131" s="118"/>
      <c r="IEU131" s="118"/>
      <c r="IEV131" s="118"/>
      <c r="IEW131" s="118"/>
      <c r="IEX131" s="118"/>
      <c r="IEY131" s="118"/>
      <c r="IEZ131" s="118"/>
      <c r="IFA131" s="118"/>
      <c r="IFB131" s="118"/>
      <c r="IFC131" s="118"/>
      <c r="IFD131" s="118"/>
      <c r="IFE131" s="118"/>
      <c r="IFF131" s="118"/>
      <c r="IFG131" s="118"/>
      <c r="IFH131" s="118"/>
      <c r="IFI131" s="118"/>
      <c r="IFJ131" s="118"/>
      <c r="IFK131" s="118"/>
      <c r="IFL131" s="118"/>
      <c r="IFM131" s="118"/>
      <c r="IFN131" s="118"/>
      <c r="IFO131" s="118"/>
      <c r="IFP131" s="118"/>
      <c r="IFQ131" s="118"/>
      <c r="IFR131" s="118"/>
      <c r="IFS131" s="118"/>
      <c r="IFT131" s="118"/>
      <c r="IFU131" s="118"/>
      <c r="IFV131" s="118"/>
      <c r="IFW131" s="118"/>
      <c r="IFX131" s="118"/>
      <c r="IFY131" s="118"/>
      <c r="IFZ131" s="118"/>
      <c r="IGA131" s="118"/>
      <c r="IGB131" s="118"/>
      <c r="IGC131" s="118"/>
      <c r="IGD131" s="118"/>
      <c r="IGE131" s="118"/>
      <c r="IGF131" s="118"/>
      <c r="IGG131" s="118"/>
      <c r="IGH131" s="118"/>
      <c r="IGI131" s="118"/>
      <c r="IGJ131" s="118"/>
      <c r="IGK131" s="118"/>
      <c r="IGL131" s="118"/>
      <c r="IGM131" s="118"/>
      <c r="IGN131" s="118"/>
      <c r="IGO131" s="118"/>
      <c r="IGP131" s="118"/>
      <c r="IGQ131" s="118"/>
      <c r="IGR131" s="118"/>
      <c r="IGS131" s="118"/>
      <c r="IGT131" s="118"/>
      <c r="IGU131" s="118"/>
      <c r="IGV131" s="118"/>
      <c r="IGW131" s="118"/>
      <c r="IGX131" s="118"/>
      <c r="IGY131" s="118"/>
      <c r="IGZ131" s="118"/>
      <c r="IHA131" s="118"/>
      <c r="IHB131" s="118"/>
      <c r="IHC131" s="118"/>
      <c r="IHD131" s="118"/>
      <c r="IHE131" s="118"/>
      <c r="IHF131" s="118"/>
      <c r="IHG131" s="118"/>
      <c r="IHH131" s="118"/>
      <c r="IHI131" s="118"/>
      <c r="IHJ131" s="118"/>
      <c r="IHK131" s="118"/>
      <c r="IHL131" s="118"/>
      <c r="IHM131" s="118"/>
      <c r="IHN131" s="118"/>
      <c r="IHO131" s="118"/>
      <c r="IHP131" s="118"/>
      <c r="IHQ131" s="118"/>
      <c r="IHR131" s="118"/>
      <c r="IHS131" s="118"/>
      <c r="IHT131" s="118"/>
      <c r="IHU131" s="118"/>
      <c r="IHV131" s="118"/>
      <c r="IHW131" s="118"/>
      <c r="IHX131" s="118"/>
      <c r="IHY131" s="118"/>
      <c r="IHZ131" s="118"/>
      <c r="IIA131" s="118"/>
      <c r="IIB131" s="118"/>
      <c r="IIC131" s="118"/>
      <c r="IID131" s="118"/>
      <c r="IIE131" s="118"/>
      <c r="IIF131" s="118"/>
      <c r="IIG131" s="118"/>
      <c r="IIH131" s="118"/>
      <c r="III131" s="118"/>
      <c r="IIJ131" s="118"/>
      <c r="IIK131" s="118"/>
      <c r="IIL131" s="118"/>
      <c r="IIM131" s="118"/>
      <c r="IIN131" s="118"/>
      <c r="IIO131" s="118"/>
      <c r="IIP131" s="118"/>
      <c r="IIQ131" s="118"/>
      <c r="IIR131" s="118"/>
      <c r="IIS131" s="118"/>
      <c r="IIT131" s="118"/>
      <c r="IIU131" s="118"/>
      <c r="IIV131" s="118"/>
      <c r="IIW131" s="118"/>
      <c r="IIX131" s="118"/>
      <c r="IIY131" s="118"/>
      <c r="IIZ131" s="118"/>
      <c r="IJA131" s="118"/>
      <c r="IJB131" s="118"/>
      <c r="IJC131" s="118"/>
      <c r="IJD131" s="118"/>
      <c r="IJE131" s="118"/>
      <c r="IJF131" s="118"/>
      <c r="IJG131" s="118"/>
      <c r="IJH131" s="118"/>
      <c r="IJI131" s="118"/>
      <c r="IJJ131" s="118"/>
      <c r="IJK131" s="118"/>
      <c r="IJL131" s="118"/>
      <c r="IJM131" s="118"/>
      <c r="IJN131" s="118"/>
      <c r="IJO131" s="118"/>
      <c r="IJP131" s="118"/>
      <c r="IJQ131" s="118"/>
      <c r="IJR131" s="118"/>
      <c r="IJS131" s="118"/>
      <c r="IJT131" s="118"/>
      <c r="IJU131" s="118"/>
      <c r="IJV131" s="118"/>
      <c r="IJW131" s="118"/>
      <c r="IJX131" s="118"/>
      <c r="IJY131" s="118"/>
      <c r="IJZ131" s="118"/>
      <c r="IKA131" s="118"/>
      <c r="IKB131" s="118"/>
      <c r="IKC131" s="118"/>
      <c r="IKD131" s="118"/>
      <c r="IKE131" s="118"/>
      <c r="IKF131" s="118"/>
      <c r="IKG131" s="118"/>
      <c r="IKH131" s="118"/>
      <c r="IKI131" s="118"/>
      <c r="IKJ131" s="118"/>
      <c r="IKK131" s="118"/>
      <c r="IKL131" s="118"/>
      <c r="IKM131" s="118"/>
      <c r="IKN131" s="118"/>
      <c r="IKO131" s="118"/>
      <c r="IKP131" s="118"/>
      <c r="IKQ131" s="118"/>
      <c r="IKR131" s="118"/>
      <c r="IKS131" s="118"/>
      <c r="IKT131" s="118"/>
      <c r="IKU131" s="118"/>
      <c r="IKV131" s="118"/>
      <c r="IKW131" s="118"/>
      <c r="IKX131" s="118"/>
      <c r="IKY131" s="118"/>
      <c r="IKZ131" s="118"/>
      <c r="ILA131" s="118"/>
      <c r="ILB131" s="118"/>
      <c r="ILC131" s="118"/>
      <c r="ILD131" s="118"/>
      <c r="ILE131" s="118"/>
      <c r="ILF131" s="118"/>
      <c r="ILG131" s="118"/>
      <c r="ILH131" s="118"/>
      <c r="ILI131" s="118"/>
      <c r="ILJ131" s="118"/>
      <c r="ILK131" s="118"/>
      <c r="ILL131" s="118"/>
      <c r="ILM131" s="118"/>
      <c r="ILN131" s="118"/>
      <c r="ILO131" s="118"/>
      <c r="ILP131" s="118"/>
      <c r="ILQ131" s="118"/>
      <c r="ILR131" s="118"/>
      <c r="ILS131" s="118"/>
      <c r="ILT131" s="118"/>
      <c r="ILU131" s="118"/>
      <c r="ILV131" s="118"/>
      <c r="ILW131" s="118"/>
      <c r="ILX131" s="118"/>
      <c r="ILY131" s="118"/>
      <c r="ILZ131" s="118"/>
      <c r="IMA131" s="118"/>
      <c r="IMB131" s="118"/>
      <c r="IMC131" s="118"/>
      <c r="IMD131" s="118"/>
      <c r="IME131" s="118"/>
      <c r="IMF131" s="118"/>
      <c r="IMG131" s="118"/>
      <c r="IMH131" s="118"/>
      <c r="IMI131" s="118"/>
      <c r="IMJ131" s="118"/>
      <c r="IMK131" s="118"/>
      <c r="IML131" s="118"/>
      <c r="IMM131" s="118"/>
      <c r="IMN131" s="118"/>
      <c r="IMO131" s="118"/>
      <c r="IMP131" s="118"/>
      <c r="IMQ131" s="118"/>
      <c r="IMR131" s="118"/>
      <c r="IMS131" s="118"/>
      <c r="IMT131" s="118"/>
      <c r="IMU131" s="118"/>
      <c r="IMV131" s="118"/>
      <c r="IMW131" s="118"/>
      <c r="IMX131" s="118"/>
      <c r="IMY131" s="118"/>
      <c r="IMZ131" s="118"/>
      <c r="INA131" s="118"/>
      <c r="INB131" s="118"/>
      <c r="INC131" s="118"/>
      <c r="IND131" s="118"/>
      <c r="INE131" s="118"/>
      <c r="INF131" s="118"/>
      <c r="ING131" s="118"/>
      <c r="INH131" s="118"/>
      <c r="INI131" s="118"/>
      <c r="INJ131" s="118"/>
      <c r="INK131" s="118"/>
      <c r="INL131" s="118"/>
      <c r="INM131" s="118"/>
      <c r="INN131" s="118"/>
      <c r="INO131" s="118"/>
      <c r="INP131" s="118"/>
      <c r="INQ131" s="118"/>
      <c r="INR131" s="118"/>
      <c r="INS131" s="118"/>
      <c r="INT131" s="118"/>
      <c r="INU131" s="118"/>
      <c r="INV131" s="118"/>
      <c r="INW131" s="118"/>
      <c r="INX131" s="118"/>
      <c r="INY131" s="118"/>
      <c r="INZ131" s="118"/>
      <c r="IOA131" s="118"/>
      <c r="IOB131" s="118"/>
      <c r="IOC131" s="118"/>
      <c r="IOD131" s="118"/>
      <c r="IOE131" s="118"/>
      <c r="IOF131" s="118"/>
      <c r="IOG131" s="118"/>
      <c r="IOH131" s="118"/>
      <c r="IOI131" s="118"/>
      <c r="IOJ131" s="118"/>
      <c r="IOK131" s="118"/>
      <c r="IOL131" s="118"/>
      <c r="IOM131" s="118"/>
      <c r="ION131" s="118"/>
      <c r="IOO131" s="118"/>
      <c r="IOP131" s="118"/>
      <c r="IOQ131" s="118"/>
      <c r="IOR131" s="118"/>
      <c r="IOS131" s="118"/>
      <c r="IOT131" s="118"/>
      <c r="IOU131" s="118"/>
      <c r="IOV131" s="118"/>
      <c r="IOW131" s="118"/>
      <c r="IOX131" s="118"/>
      <c r="IOY131" s="118"/>
      <c r="IOZ131" s="118"/>
      <c r="IPA131" s="118"/>
      <c r="IPB131" s="118"/>
      <c r="IPC131" s="118"/>
      <c r="IPD131" s="118"/>
      <c r="IPE131" s="118"/>
      <c r="IPF131" s="118"/>
      <c r="IPG131" s="118"/>
      <c r="IPH131" s="118"/>
      <c r="IPI131" s="118"/>
      <c r="IPJ131" s="118"/>
      <c r="IPK131" s="118"/>
      <c r="IPL131" s="118"/>
      <c r="IPM131" s="118"/>
      <c r="IPN131" s="118"/>
      <c r="IPO131" s="118"/>
      <c r="IPP131" s="118"/>
      <c r="IPQ131" s="118"/>
      <c r="IPR131" s="118"/>
      <c r="IPS131" s="118"/>
      <c r="IPT131" s="118"/>
      <c r="IPU131" s="118"/>
      <c r="IPV131" s="118"/>
      <c r="IPW131" s="118"/>
      <c r="IPX131" s="118"/>
      <c r="IPY131" s="118"/>
      <c r="IPZ131" s="118"/>
      <c r="IQA131" s="118"/>
      <c r="IQB131" s="118"/>
      <c r="IQC131" s="118"/>
      <c r="IQD131" s="118"/>
      <c r="IQE131" s="118"/>
      <c r="IQF131" s="118"/>
      <c r="IQG131" s="118"/>
      <c r="IQH131" s="118"/>
      <c r="IQI131" s="118"/>
      <c r="IQJ131" s="118"/>
      <c r="IQK131" s="118"/>
      <c r="IQL131" s="118"/>
      <c r="IQM131" s="118"/>
      <c r="IQN131" s="118"/>
      <c r="IQO131" s="118"/>
      <c r="IQP131" s="118"/>
      <c r="IQQ131" s="118"/>
      <c r="IQR131" s="118"/>
      <c r="IQS131" s="118"/>
      <c r="IQT131" s="118"/>
      <c r="IQU131" s="118"/>
      <c r="IQV131" s="118"/>
      <c r="IQW131" s="118"/>
      <c r="IQX131" s="118"/>
      <c r="IQY131" s="118"/>
      <c r="IQZ131" s="118"/>
      <c r="IRA131" s="118"/>
      <c r="IRB131" s="118"/>
      <c r="IRC131" s="118"/>
      <c r="IRD131" s="118"/>
      <c r="IRE131" s="118"/>
      <c r="IRF131" s="118"/>
      <c r="IRG131" s="118"/>
      <c r="IRH131" s="118"/>
      <c r="IRI131" s="118"/>
      <c r="IRJ131" s="118"/>
      <c r="IRK131" s="118"/>
      <c r="IRL131" s="118"/>
      <c r="IRM131" s="118"/>
      <c r="IRN131" s="118"/>
      <c r="IRO131" s="118"/>
      <c r="IRP131" s="118"/>
      <c r="IRQ131" s="118"/>
      <c r="IRR131" s="118"/>
      <c r="IRS131" s="118"/>
      <c r="IRT131" s="118"/>
      <c r="IRU131" s="118"/>
      <c r="IRV131" s="118"/>
      <c r="IRW131" s="118"/>
      <c r="IRX131" s="118"/>
      <c r="IRY131" s="118"/>
      <c r="IRZ131" s="118"/>
      <c r="ISA131" s="118"/>
      <c r="ISB131" s="118"/>
      <c r="ISC131" s="118"/>
      <c r="ISD131" s="118"/>
      <c r="ISE131" s="118"/>
      <c r="ISF131" s="118"/>
      <c r="ISG131" s="118"/>
      <c r="ISH131" s="118"/>
      <c r="ISI131" s="118"/>
      <c r="ISJ131" s="118"/>
      <c r="ISK131" s="118"/>
      <c r="ISL131" s="118"/>
      <c r="ISM131" s="118"/>
      <c r="ISN131" s="118"/>
      <c r="ISO131" s="118"/>
      <c r="ISP131" s="118"/>
      <c r="ISQ131" s="118"/>
      <c r="ISR131" s="118"/>
      <c r="ISS131" s="118"/>
      <c r="IST131" s="118"/>
      <c r="ISU131" s="118"/>
      <c r="ISV131" s="118"/>
      <c r="ISW131" s="118"/>
      <c r="ISX131" s="118"/>
      <c r="ISY131" s="118"/>
      <c r="ISZ131" s="118"/>
      <c r="ITA131" s="118"/>
      <c r="ITB131" s="118"/>
      <c r="ITC131" s="118"/>
      <c r="ITD131" s="118"/>
      <c r="ITE131" s="118"/>
      <c r="ITF131" s="118"/>
      <c r="ITG131" s="118"/>
      <c r="ITH131" s="118"/>
      <c r="ITI131" s="118"/>
      <c r="ITJ131" s="118"/>
      <c r="ITK131" s="118"/>
      <c r="ITL131" s="118"/>
      <c r="ITM131" s="118"/>
      <c r="ITN131" s="118"/>
      <c r="ITO131" s="118"/>
      <c r="ITP131" s="118"/>
      <c r="ITQ131" s="118"/>
      <c r="ITR131" s="118"/>
      <c r="ITS131" s="118"/>
      <c r="ITT131" s="118"/>
      <c r="ITU131" s="118"/>
      <c r="ITV131" s="118"/>
      <c r="ITW131" s="118"/>
      <c r="ITX131" s="118"/>
      <c r="ITY131" s="118"/>
      <c r="ITZ131" s="118"/>
      <c r="IUA131" s="118"/>
      <c r="IUB131" s="118"/>
      <c r="IUC131" s="118"/>
      <c r="IUD131" s="118"/>
      <c r="IUE131" s="118"/>
      <c r="IUF131" s="118"/>
      <c r="IUG131" s="118"/>
      <c r="IUH131" s="118"/>
      <c r="IUI131" s="118"/>
      <c r="IUJ131" s="118"/>
      <c r="IUK131" s="118"/>
      <c r="IUL131" s="118"/>
      <c r="IUM131" s="118"/>
      <c r="IUN131" s="118"/>
      <c r="IUO131" s="118"/>
      <c r="IUP131" s="118"/>
      <c r="IUQ131" s="118"/>
      <c r="IUR131" s="118"/>
      <c r="IUS131" s="118"/>
      <c r="IUT131" s="118"/>
      <c r="IUU131" s="118"/>
      <c r="IUV131" s="118"/>
      <c r="IUW131" s="118"/>
      <c r="IUX131" s="118"/>
      <c r="IUY131" s="118"/>
      <c r="IUZ131" s="118"/>
      <c r="IVA131" s="118"/>
      <c r="IVB131" s="118"/>
      <c r="IVC131" s="118"/>
      <c r="IVD131" s="118"/>
      <c r="IVE131" s="118"/>
      <c r="IVF131" s="118"/>
      <c r="IVG131" s="118"/>
      <c r="IVH131" s="118"/>
      <c r="IVI131" s="118"/>
      <c r="IVJ131" s="118"/>
      <c r="IVK131" s="118"/>
      <c r="IVL131" s="118"/>
      <c r="IVM131" s="118"/>
      <c r="IVN131" s="118"/>
      <c r="IVO131" s="118"/>
      <c r="IVP131" s="118"/>
      <c r="IVQ131" s="118"/>
      <c r="IVR131" s="118"/>
      <c r="IVS131" s="118"/>
      <c r="IVT131" s="118"/>
      <c r="IVU131" s="118"/>
      <c r="IVV131" s="118"/>
      <c r="IVW131" s="118"/>
      <c r="IVX131" s="118"/>
      <c r="IVY131" s="118"/>
      <c r="IVZ131" s="118"/>
      <c r="IWA131" s="118"/>
      <c r="IWB131" s="118"/>
      <c r="IWC131" s="118"/>
      <c r="IWD131" s="118"/>
      <c r="IWE131" s="118"/>
      <c r="IWF131" s="118"/>
      <c r="IWG131" s="118"/>
      <c r="IWH131" s="118"/>
      <c r="IWI131" s="118"/>
      <c r="IWJ131" s="118"/>
      <c r="IWK131" s="118"/>
      <c r="IWL131" s="118"/>
      <c r="IWM131" s="118"/>
      <c r="IWN131" s="118"/>
      <c r="IWO131" s="118"/>
      <c r="IWP131" s="118"/>
      <c r="IWQ131" s="118"/>
      <c r="IWR131" s="118"/>
      <c r="IWS131" s="118"/>
      <c r="IWT131" s="118"/>
      <c r="IWU131" s="118"/>
      <c r="IWV131" s="118"/>
      <c r="IWW131" s="118"/>
      <c r="IWX131" s="118"/>
      <c r="IWY131" s="118"/>
      <c r="IWZ131" s="118"/>
      <c r="IXA131" s="118"/>
      <c r="IXB131" s="118"/>
      <c r="IXC131" s="118"/>
      <c r="IXD131" s="118"/>
      <c r="IXE131" s="118"/>
      <c r="IXF131" s="118"/>
      <c r="IXG131" s="118"/>
      <c r="IXH131" s="118"/>
      <c r="IXI131" s="118"/>
      <c r="IXJ131" s="118"/>
      <c r="IXK131" s="118"/>
      <c r="IXL131" s="118"/>
      <c r="IXM131" s="118"/>
      <c r="IXN131" s="118"/>
      <c r="IXO131" s="118"/>
      <c r="IXP131" s="118"/>
      <c r="IXQ131" s="118"/>
      <c r="IXR131" s="118"/>
      <c r="IXS131" s="118"/>
      <c r="IXT131" s="118"/>
      <c r="IXU131" s="118"/>
      <c r="IXV131" s="118"/>
      <c r="IXW131" s="118"/>
      <c r="IXX131" s="118"/>
      <c r="IXY131" s="118"/>
      <c r="IXZ131" s="118"/>
      <c r="IYA131" s="118"/>
      <c r="IYB131" s="118"/>
      <c r="IYC131" s="118"/>
      <c r="IYD131" s="118"/>
      <c r="IYE131" s="118"/>
      <c r="IYF131" s="118"/>
      <c r="IYG131" s="118"/>
      <c r="IYH131" s="118"/>
      <c r="IYI131" s="118"/>
      <c r="IYJ131" s="118"/>
      <c r="IYK131" s="118"/>
      <c r="IYL131" s="118"/>
      <c r="IYM131" s="118"/>
      <c r="IYN131" s="118"/>
      <c r="IYO131" s="118"/>
      <c r="IYP131" s="118"/>
      <c r="IYQ131" s="118"/>
      <c r="IYR131" s="118"/>
      <c r="IYS131" s="118"/>
      <c r="IYT131" s="118"/>
      <c r="IYU131" s="118"/>
      <c r="IYV131" s="118"/>
      <c r="IYW131" s="118"/>
      <c r="IYX131" s="118"/>
      <c r="IYY131" s="118"/>
      <c r="IYZ131" s="118"/>
      <c r="IZA131" s="118"/>
      <c r="IZB131" s="118"/>
      <c r="IZC131" s="118"/>
      <c r="IZD131" s="118"/>
      <c r="IZE131" s="118"/>
      <c r="IZF131" s="118"/>
      <c r="IZG131" s="118"/>
      <c r="IZH131" s="118"/>
      <c r="IZI131" s="118"/>
      <c r="IZJ131" s="118"/>
      <c r="IZK131" s="118"/>
      <c r="IZL131" s="118"/>
      <c r="IZM131" s="118"/>
      <c r="IZN131" s="118"/>
      <c r="IZO131" s="118"/>
      <c r="IZP131" s="118"/>
      <c r="IZQ131" s="118"/>
      <c r="IZR131" s="118"/>
      <c r="IZS131" s="118"/>
      <c r="IZT131" s="118"/>
      <c r="IZU131" s="118"/>
      <c r="IZV131" s="118"/>
      <c r="IZW131" s="118"/>
      <c r="IZX131" s="118"/>
      <c r="IZY131" s="118"/>
      <c r="IZZ131" s="118"/>
      <c r="JAA131" s="118"/>
      <c r="JAB131" s="118"/>
      <c r="JAC131" s="118"/>
      <c r="JAD131" s="118"/>
      <c r="JAE131" s="118"/>
      <c r="JAF131" s="118"/>
      <c r="JAG131" s="118"/>
      <c r="JAH131" s="118"/>
      <c r="JAI131" s="118"/>
      <c r="JAJ131" s="118"/>
      <c r="JAK131" s="118"/>
      <c r="JAL131" s="118"/>
      <c r="JAM131" s="118"/>
      <c r="JAN131" s="118"/>
      <c r="JAO131" s="118"/>
      <c r="JAP131" s="118"/>
      <c r="JAQ131" s="118"/>
      <c r="JAR131" s="118"/>
      <c r="JAS131" s="118"/>
      <c r="JAT131" s="118"/>
      <c r="JAU131" s="118"/>
      <c r="JAV131" s="118"/>
      <c r="JAW131" s="118"/>
      <c r="JAX131" s="118"/>
      <c r="JAY131" s="118"/>
      <c r="JAZ131" s="118"/>
      <c r="JBA131" s="118"/>
      <c r="JBB131" s="118"/>
      <c r="JBC131" s="118"/>
      <c r="JBD131" s="118"/>
      <c r="JBE131" s="118"/>
      <c r="JBF131" s="118"/>
      <c r="JBG131" s="118"/>
      <c r="JBH131" s="118"/>
      <c r="JBI131" s="118"/>
      <c r="JBJ131" s="118"/>
      <c r="JBK131" s="118"/>
      <c r="JBL131" s="118"/>
      <c r="JBM131" s="118"/>
      <c r="JBN131" s="118"/>
      <c r="JBO131" s="118"/>
      <c r="JBP131" s="118"/>
      <c r="JBQ131" s="118"/>
      <c r="JBR131" s="118"/>
      <c r="JBS131" s="118"/>
      <c r="JBT131" s="118"/>
      <c r="JBU131" s="118"/>
      <c r="JBV131" s="118"/>
      <c r="JBW131" s="118"/>
      <c r="JBX131" s="118"/>
      <c r="JBY131" s="118"/>
      <c r="JBZ131" s="118"/>
      <c r="JCA131" s="118"/>
      <c r="JCB131" s="118"/>
      <c r="JCC131" s="118"/>
      <c r="JCD131" s="118"/>
      <c r="JCE131" s="118"/>
      <c r="JCF131" s="118"/>
      <c r="JCG131" s="118"/>
      <c r="JCH131" s="118"/>
      <c r="JCI131" s="118"/>
      <c r="JCJ131" s="118"/>
      <c r="JCK131" s="118"/>
      <c r="JCL131" s="118"/>
      <c r="JCM131" s="118"/>
      <c r="JCN131" s="118"/>
      <c r="JCO131" s="118"/>
      <c r="JCP131" s="118"/>
      <c r="JCQ131" s="118"/>
      <c r="JCR131" s="118"/>
      <c r="JCS131" s="118"/>
      <c r="JCT131" s="118"/>
      <c r="JCU131" s="118"/>
      <c r="JCV131" s="118"/>
      <c r="JCW131" s="118"/>
      <c r="JCX131" s="118"/>
      <c r="JCY131" s="118"/>
      <c r="JCZ131" s="118"/>
      <c r="JDA131" s="118"/>
      <c r="JDB131" s="118"/>
      <c r="JDC131" s="118"/>
      <c r="JDD131" s="118"/>
      <c r="JDE131" s="118"/>
      <c r="JDF131" s="118"/>
      <c r="JDG131" s="118"/>
      <c r="JDH131" s="118"/>
      <c r="JDI131" s="118"/>
      <c r="JDJ131" s="118"/>
      <c r="JDK131" s="118"/>
      <c r="JDL131" s="118"/>
      <c r="JDM131" s="118"/>
      <c r="JDN131" s="118"/>
      <c r="JDO131" s="118"/>
      <c r="JDP131" s="118"/>
      <c r="JDQ131" s="118"/>
      <c r="JDR131" s="118"/>
      <c r="JDS131" s="118"/>
      <c r="JDT131" s="118"/>
      <c r="JDU131" s="118"/>
      <c r="JDV131" s="118"/>
      <c r="JDW131" s="118"/>
      <c r="JDX131" s="118"/>
      <c r="JDY131" s="118"/>
      <c r="JDZ131" s="118"/>
      <c r="JEA131" s="118"/>
      <c r="JEB131" s="118"/>
      <c r="JEC131" s="118"/>
      <c r="JED131" s="118"/>
      <c r="JEE131" s="118"/>
      <c r="JEF131" s="118"/>
      <c r="JEG131" s="118"/>
      <c r="JEH131" s="118"/>
      <c r="JEI131" s="118"/>
      <c r="JEJ131" s="118"/>
      <c r="JEK131" s="118"/>
      <c r="JEL131" s="118"/>
      <c r="JEM131" s="118"/>
      <c r="JEN131" s="118"/>
      <c r="JEO131" s="118"/>
      <c r="JEP131" s="118"/>
      <c r="JEQ131" s="118"/>
      <c r="JER131" s="118"/>
      <c r="JES131" s="118"/>
      <c r="JET131" s="118"/>
      <c r="JEU131" s="118"/>
      <c r="JEV131" s="118"/>
      <c r="JEW131" s="118"/>
      <c r="JEX131" s="118"/>
      <c r="JEY131" s="118"/>
      <c r="JEZ131" s="118"/>
      <c r="JFA131" s="118"/>
      <c r="JFB131" s="118"/>
      <c r="JFC131" s="118"/>
      <c r="JFD131" s="118"/>
      <c r="JFE131" s="118"/>
      <c r="JFF131" s="118"/>
      <c r="JFG131" s="118"/>
      <c r="JFH131" s="118"/>
      <c r="JFI131" s="118"/>
      <c r="JFJ131" s="118"/>
      <c r="JFK131" s="118"/>
      <c r="JFL131" s="118"/>
      <c r="JFM131" s="118"/>
      <c r="JFN131" s="118"/>
      <c r="JFO131" s="118"/>
      <c r="JFP131" s="118"/>
      <c r="JFQ131" s="118"/>
      <c r="JFR131" s="118"/>
      <c r="JFS131" s="118"/>
      <c r="JFT131" s="118"/>
      <c r="JFU131" s="118"/>
      <c r="JFV131" s="118"/>
      <c r="JFW131" s="118"/>
      <c r="JFX131" s="118"/>
      <c r="JFY131" s="118"/>
      <c r="JFZ131" s="118"/>
      <c r="JGA131" s="118"/>
      <c r="JGB131" s="118"/>
      <c r="JGC131" s="118"/>
      <c r="JGD131" s="118"/>
      <c r="JGE131" s="118"/>
      <c r="JGF131" s="118"/>
      <c r="JGG131" s="118"/>
      <c r="JGH131" s="118"/>
      <c r="JGI131" s="118"/>
      <c r="JGJ131" s="118"/>
      <c r="JGK131" s="118"/>
      <c r="JGL131" s="118"/>
      <c r="JGM131" s="118"/>
      <c r="JGN131" s="118"/>
      <c r="JGO131" s="118"/>
      <c r="JGP131" s="118"/>
      <c r="JGQ131" s="118"/>
      <c r="JGR131" s="118"/>
      <c r="JGS131" s="118"/>
      <c r="JGT131" s="118"/>
      <c r="JGU131" s="118"/>
      <c r="JGV131" s="118"/>
      <c r="JGW131" s="118"/>
      <c r="JGX131" s="118"/>
      <c r="JGY131" s="118"/>
      <c r="JGZ131" s="118"/>
      <c r="JHA131" s="118"/>
      <c r="JHB131" s="118"/>
      <c r="JHC131" s="118"/>
      <c r="JHD131" s="118"/>
      <c r="JHE131" s="118"/>
      <c r="JHF131" s="118"/>
      <c r="JHG131" s="118"/>
      <c r="JHH131" s="118"/>
      <c r="JHI131" s="118"/>
      <c r="JHJ131" s="118"/>
      <c r="JHK131" s="118"/>
      <c r="JHL131" s="118"/>
      <c r="JHM131" s="118"/>
      <c r="JHN131" s="118"/>
      <c r="JHO131" s="118"/>
      <c r="JHP131" s="118"/>
      <c r="JHQ131" s="118"/>
      <c r="JHR131" s="118"/>
      <c r="JHS131" s="118"/>
      <c r="JHT131" s="118"/>
      <c r="JHU131" s="118"/>
      <c r="JHV131" s="118"/>
      <c r="JHW131" s="118"/>
      <c r="JHX131" s="118"/>
      <c r="JHY131" s="118"/>
      <c r="JHZ131" s="118"/>
      <c r="JIA131" s="118"/>
      <c r="JIB131" s="118"/>
      <c r="JIC131" s="118"/>
      <c r="JID131" s="118"/>
      <c r="JIE131" s="118"/>
      <c r="JIF131" s="118"/>
      <c r="JIG131" s="118"/>
      <c r="JIH131" s="118"/>
      <c r="JII131" s="118"/>
      <c r="JIJ131" s="118"/>
      <c r="JIK131" s="118"/>
      <c r="JIL131" s="118"/>
      <c r="JIM131" s="118"/>
      <c r="JIN131" s="118"/>
      <c r="JIO131" s="118"/>
      <c r="JIP131" s="118"/>
      <c r="JIQ131" s="118"/>
      <c r="JIR131" s="118"/>
      <c r="JIS131" s="118"/>
      <c r="JIT131" s="118"/>
      <c r="JIU131" s="118"/>
      <c r="JIV131" s="118"/>
      <c r="JIW131" s="118"/>
      <c r="JIX131" s="118"/>
      <c r="JIY131" s="118"/>
      <c r="JIZ131" s="118"/>
      <c r="JJA131" s="118"/>
      <c r="JJB131" s="118"/>
      <c r="JJC131" s="118"/>
      <c r="JJD131" s="118"/>
      <c r="JJE131" s="118"/>
      <c r="JJF131" s="118"/>
      <c r="JJG131" s="118"/>
      <c r="JJH131" s="118"/>
      <c r="JJI131" s="118"/>
      <c r="JJJ131" s="118"/>
      <c r="JJK131" s="118"/>
      <c r="JJL131" s="118"/>
      <c r="JJM131" s="118"/>
      <c r="JJN131" s="118"/>
      <c r="JJO131" s="118"/>
      <c r="JJP131" s="118"/>
      <c r="JJQ131" s="118"/>
      <c r="JJR131" s="118"/>
      <c r="JJS131" s="118"/>
      <c r="JJT131" s="118"/>
      <c r="JJU131" s="118"/>
      <c r="JJV131" s="118"/>
      <c r="JJW131" s="118"/>
      <c r="JJX131" s="118"/>
      <c r="JJY131" s="118"/>
      <c r="JJZ131" s="118"/>
      <c r="JKA131" s="118"/>
      <c r="JKB131" s="118"/>
      <c r="JKC131" s="118"/>
      <c r="JKD131" s="118"/>
      <c r="JKE131" s="118"/>
      <c r="JKF131" s="118"/>
      <c r="JKG131" s="118"/>
      <c r="JKH131" s="118"/>
      <c r="JKI131" s="118"/>
      <c r="JKJ131" s="118"/>
      <c r="JKK131" s="118"/>
      <c r="JKL131" s="118"/>
      <c r="JKM131" s="118"/>
      <c r="JKN131" s="118"/>
      <c r="JKO131" s="118"/>
      <c r="JKP131" s="118"/>
      <c r="JKQ131" s="118"/>
      <c r="JKR131" s="118"/>
      <c r="JKS131" s="118"/>
      <c r="JKT131" s="118"/>
      <c r="JKU131" s="118"/>
      <c r="JKV131" s="118"/>
      <c r="JKW131" s="118"/>
      <c r="JKX131" s="118"/>
      <c r="JKY131" s="118"/>
      <c r="JKZ131" s="118"/>
      <c r="JLA131" s="118"/>
      <c r="JLB131" s="118"/>
      <c r="JLC131" s="118"/>
      <c r="JLD131" s="118"/>
      <c r="JLE131" s="118"/>
      <c r="JLF131" s="118"/>
      <c r="JLG131" s="118"/>
      <c r="JLH131" s="118"/>
      <c r="JLI131" s="118"/>
      <c r="JLJ131" s="118"/>
      <c r="JLK131" s="118"/>
      <c r="JLL131" s="118"/>
      <c r="JLM131" s="118"/>
      <c r="JLN131" s="118"/>
      <c r="JLO131" s="118"/>
      <c r="JLP131" s="118"/>
      <c r="JLQ131" s="118"/>
      <c r="JLR131" s="118"/>
      <c r="JLS131" s="118"/>
      <c r="JLT131" s="118"/>
      <c r="JLU131" s="118"/>
      <c r="JLV131" s="118"/>
      <c r="JLW131" s="118"/>
      <c r="JLX131" s="118"/>
      <c r="JLY131" s="118"/>
      <c r="JLZ131" s="118"/>
      <c r="JMA131" s="118"/>
      <c r="JMB131" s="118"/>
      <c r="JMC131" s="118"/>
      <c r="JMD131" s="118"/>
      <c r="JME131" s="118"/>
      <c r="JMF131" s="118"/>
      <c r="JMG131" s="118"/>
      <c r="JMH131" s="118"/>
      <c r="JMI131" s="118"/>
      <c r="JMJ131" s="118"/>
      <c r="JMK131" s="118"/>
      <c r="JML131" s="118"/>
      <c r="JMM131" s="118"/>
      <c r="JMN131" s="118"/>
      <c r="JMO131" s="118"/>
      <c r="JMP131" s="118"/>
      <c r="JMQ131" s="118"/>
      <c r="JMR131" s="118"/>
      <c r="JMS131" s="118"/>
      <c r="JMT131" s="118"/>
      <c r="JMU131" s="118"/>
      <c r="JMV131" s="118"/>
      <c r="JMW131" s="118"/>
      <c r="JMX131" s="118"/>
      <c r="JMY131" s="118"/>
      <c r="JMZ131" s="118"/>
      <c r="JNA131" s="118"/>
      <c r="JNB131" s="118"/>
      <c r="JNC131" s="118"/>
      <c r="JND131" s="118"/>
      <c r="JNE131" s="118"/>
      <c r="JNF131" s="118"/>
      <c r="JNG131" s="118"/>
      <c r="JNH131" s="118"/>
      <c r="JNI131" s="118"/>
      <c r="JNJ131" s="118"/>
      <c r="JNK131" s="118"/>
      <c r="JNL131" s="118"/>
      <c r="JNM131" s="118"/>
      <c r="JNN131" s="118"/>
      <c r="JNO131" s="118"/>
      <c r="JNP131" s="118"/>
      <c r="JNQ131" s="118"/>
      <c r="JNR131" s="118"/>
      <c r="JNS131" s="118"/>
      <c r="JNT131" s="118"/>
      <c r="JNU131" s="118"/>
      <c r="JNV131" s="118"/>
      <c r="JNW131" s="118"/>
      <c r="JNX131" s="118"/>
      <c r="JNY131" s="118"/>
      <c r="JNZ131" s="118"/>
      <c r="JOA131" s="118"/>
      <c r="JOB131" s="118"/>
      <c r="JOC131" s="118"/>
      <c r="JOD131" s="118"/>
      <c r="JOE131" s="118"/>
      <c r="JOF131" s="118"/>
      <c r="JOG131" s="118"/>
      <c r="JOH131" s="118"/>
      <c r="JOI131" s="118"/>
      <c r="JOJ131" s="118"/>
      <c r="JOK131" s="118"/>
      <c r="JOL131" s="118"/>
      <c r="JOM131" s="118"/>
      <c r="JON131" s="118"/>
      <c r="JOO131" s="118"/>
      <c r="JOP131" s="118"/>
      <c r="JOQ131" s="118"/>
      <c r="JOR131" s="118"/>
      <c r="JOS131" s="118"/>
      <c r="JOT131" s="118"/>
      <c r="JOU131" s="118"/>
      <c r="JOV131" s="118"/>
      <c r="JOW131" s="118"/>
      <c r="JOX131" s="118"/>
      <c r="JOY131" s="118"/>
      <c r="JOZ131" s="118"/>
      <c r="JPA131" s="118"/>
      <c r="JPB131" s="118"/>
      <c r="JPC131" s="118"/>
      <c r="JPD131" s="118"/>
      <c r="JPE131" s="118"/>
      <c r="JPF131" s="118"/>
      <c r="JPG131" s="118"/>
      <c r="JPH131" s="118"/>
      <c r="JPI131" s="118"/>
      <c r="JPJ131" s="118"/>
      <c r="JPK131" s="118"/>
      <c r="JPL131" s="118"/>
      <c r="JPM131" s="118"/>
      <c r="JPN131" s="118"/>
      <c r="JPO131" s="118"/>
      <c r="JPP131" s="118"/>
      <c r="JPQ131" s="118"/>
      <c r="JPR131" s="118"/>
      <c r="JPS131" s="118"/>
      <c r="JPT131" s="118"/>
      <c r="JPU131" s="118"/>
      <c r="JPV131" s="118"/>
      <c r="JPW131" s="118"/>
      <c r="JPX131" s="118"/>
      <c r="JPY131" s="118"/>
      <c r="JPZ131" s="118"/>
      <c r="JQA131" s="118"/>
      <c r="JQB131" s="118"/>
      <c r="JQC131" s="118"/>
      <c r="JQD131" s="118"/>
      <c r="JQE131" s="118"/>
      <c r="JQF131" s="118"/>
      <c r="JQG131" s="118"/>
      <c r="JQH131" s="118"/>
      <c r="JQI131" s="118"/>
      <c r="JQJ131" s="118"/>
      <c r="JQK131" s="118"/>
      <c r="JQL131" s="118"/>
      <c r="JQM131" s="118"/>
      <c r="JQN131" s="118"/>
      <c r="JQO131" s="118"/>
      <c r="JQP131" s="118"/>
      <c r="JQQ131" s="118"/>
      <c r="JQR131" s="118"/>
      <c r="JQS131" s="118"/>
      <c r="JQT131" s="118"/>
      <c r="JQU131" s="118"/>
      <c r="JQV131" s="118"/>
      <c r="JQW131" s="118"/>
      <c r="JQX131" s="118"/>
      <c r="JQY131" s="118"/>
      <c r="JQZ131" s="118"/>
      <c r="JRA131" s="118"/>
      <c r="JRB131" s="118"/>
      <c r="JRC131" s="118"/>
      <c r="JRD131" s="118"/>
      <c r="JRE131" s="118"/>
      <c r="JRF131" s="118"/>
      <c r="JRG131" s="118"/>
      <c r="JRH131" s="118"/>
      <c r="JRI131" s="118"/>
      <c r="JRJ131" s="118"/>
      <c r="JRK131" s="118"/>
      <c r="JRL131" s="118"/>
      <c r="JRM131" s="118"/>
      <c r="JRN131" s="118"/>
      <c r="JRO131" s="118"/>
      <c r="JRP131" s="118"/>
      <c r="JRQ131" s="118"/>
      <c r="JRR131" s="118"/>
      <c r="JRS131" s="118"/>
      <c r="JRT131" s="118"/>
      <c r="JRU131" s="118"/>
      <c r="JRV131" s="118"/>
      <c r="JRW131" s="118"/>
      <c r="JRX131" s="118"/>
      <c r="JRY131" s="118"/>
      <c r="JRZ131" s="118"/>
      <c r="JSA131" s="118"/>
      <c r="JSB131" s="118"/>
      <c r="JSC131" s="118"/>
      <c r="JSD131" s="118"/>
      <c r="JSE131" s="118"/>
      <c r="JSF131" s="118"/>
      <c r="JSG131" s="118"/>
      <c r="JSH131" s="118"/>
      <c r="JSI131" s="118"/>
      <c r="JSJ131" s="118"/>
      <c r="JSK131" s="118"/>
      <c r="JSL131" s="118"/>
      <c r="JSM131" s="118"/>
      <c r="JSN131" s="118"/>
      <c r="JSO131" s="118"/>
      <c r="JSP131" s="118"/>
      <c r="JSQ131" s="118"/>
      <c r="JSR131" s="118"/>
      <c r="JSS131" s="118"/>
      <c r="JST131" s="118"/>
      <c r="JSU131" s="118"/>
      <c r="JSV131" s="118"/>
      <c r="JSW131" s="118"/>
      <c r="JSX131" s="118"/>
      <c r="JSY131" s="118"/>
      <c r="JSZ131" s="118"/>
      <c r="JTA131" s="118"/>
      <c r="JTB131" s="118"/>
      <c r="JTC131" s="118"/>
      <c r="JTD131" s="118"/>
      <c r="JTE131" s="118"/>
      <c r="JTF131" s="118"/>
      <c r="JTG131" s="118"/>
      <c r="JTH131" s="118"/>
      <c r="JTI131" s="118"/>
      <c r="JTJ131" s="118"/>
      <c r="JTK131" s="118"/>
      <c r="JTL131" s="118"/>
      <c r="JTM131" s="118"/>
      <c r="JTN131" s="118"/>
      <c r="JTO131" s="118"/>
      <c r="JTP131" s="118"/>
      <c r="JTQ131" s="118"/>
      <c r="JTR131" s="118"/>
      <c r="JTS131" s="118"/>
      <c r="JTT131" s="118"/>
      <c r="JTU131" s="118"/>
      <c r="JTV131" s="118"/>
      <c r="JTW131" s="118"/>
      <c r="JTX131" s="118"/>
      <c r="JTY131" s="118"/>
      <c r="JTZ131" s="118"/>
      <c r="JUA131" s="118"/>
      <c r="JUB131" s="118"/>
      <c r="JUC131" s="118"/>
      <c r="JUD131" s="118"/>
      <c r="JUE131" s="118"/>
      <c r="JUF131" s="118"/>
      <c r="JUG131" s="118"/>
      <c r="JUH131" s="118"/>
      <c r="JUI131" s="118"/>
      <c r="JUJ131" s="118"/>
      <c r="JUK131" s="118"/>
      <c r="JUL131" s="118"/>
      <c r="JUM131" s="118"/>
      <c r="JUN131" s="118"/>
      <c r="JUO131" s="118"/>
      <c r="JUP131" s="118"/>
      <c r="JUQ131" s="118"/>
      <c r="JUR131" s="118"/>
      <c r="JUS131" s="118"/>
      <c r="JUT131" s="118"/>
      <c r="JUU131" s="118"/>
      <c r="JUV131" s="118"/>
      <c r="JUW131" s="118"/>
      <c r="JUX131" s="118"/>
      <c r="JUY131" s="118"/>
      <c r="JUZ131" s="118"/>
      <c r="JVA131" s="118"/>
      <c r="JVB131" s="118"/>
      <c r="JVC131" s="118"/>
      <c r="JVD131" s="118"/>
      <c r="JVE131" s="118"/>
      <c r="JVF131" s="118"/>
      <c r="JVG131" s="118"/>
      <c r="JVH131" s="118"/>
      <c r="JVI131" s="118"/>
      <c r="JVJ131" s="118"/>
      <c r="JVK131" s="118"/>
      <c r="JVL131" s="118"/>
      <c r="JVM131" s="118"/>
      <c r="JVN131" s="118"/>
      <c r="JVO131" s="118"/>
      <c r="JVP131" s="118"/>
      <c r="JVQ131" s="118"/>
      <c r="JVR131" s="118"/>
      <c r="JVS131" s="118"/>
      <c r="JVT131" s="118"/>
      <c r="JVU131" s="118"/>
      <c r="JVV131" s="118"/>
      <c r="JVW131" s="118"/>
      <c r="JVX131" s="118"/>
      <c r="JVY131" s="118"/>
      <c r="JVZ131" s="118"/>
      <c r="JWA131" s="118"/>
      <c r="JWB131" s="118"/>
      <c r="JWC131" s="118"/>
      <c r="JWD131" s="118"/>
      <c r="JWE131" s="118"/>
      <c r="JWF131" s="118"/>
      <c r="JWG131" s="118"/>
      <c r="JWH131" s="118"/>
      <c r="JWI131" s="118"/>
      <c r="JWJ131" s="118"/>
      <c r="JWK131" s="118"/>
      <c r="JWL131" s="118"/>
      <c r="JWM131" s="118"/>
      <c r="JWN131" s="118"/>
      <c r="JWO131" s="118"/>
      <c r="JWP131" s="118"/>
      <c r="JWQ131" s="118"/>
      <c r="JWR131" s="118"/>
      <c r="JWS131" s="118"/>
      <c r="JWT131" s="118"/>
      <c r="JWU131" s="118"/>
      <c r="JWV131" s="118"/>
      <c r="JWW131" s="118"/>
      <c r="JWX131" s="118"/>
      <c r="JWY131" s="118"/>
      <c r="JWZ131" s="118"/>
      <c r="JXA131" s="118"/>
      <c r="JXB131" s="118"/>
      <c r="JXC131" s="118"/>
      <c r="JXD131" s="118"/>
      <c r="JXE131" s="118"/>
      <c r="JXF131" s="118"/>
      <c r="JXG131" s="118"/>
      <c r="JXH131" s="118"/>
      <c r="JXI131" s="118"/>
      <c r="JXJ131" s="118"/>
      <c r="JXK131" s="118"/>
      <c r="JXL131" s="118"/>
      <c r="JXM131" s="118"/>
      <c r="JXN131" s="118"/>
      <c r="JXO131" s="118"/>
      <c r="JXP131" s="118"/>
      <c r="JXQ131" s="118"/>
      <c r="JXR131" s="118"/>
      <c r="JXS131" s="118"/>
      <c r="JXT131" s="118"/>
      <c r="JXU131" s="118"/>
      <c r="JXV131" s="118"/>
      <c r="JXW131" s="118"/>
      <c r="JXX131" s="118"/>
      <c r="JXY131" s="118"/>
      <c r="JXZ131" s="118"/>
      <c r="JYA131" s="118"/>
      <c r="JYB131" s="118"/>
      <c r="JYC131" s="118"/>
      <c r="JYD131" s="118"/>
      <c r="JYE131" s="118"/>
      <c r="JYF131" s="118"/>
      <c r="JYG131" s="118"/>
      <c r="JYH131" s="118"/>
      <c r="JYI131" s="118"/>
      <c r="JYJ131" s="118"/>
      <c r="JYK131" s="118"/>
      <c r="JYL131" s="118"/>
      <c r="JYM131" s="118"/>
      <c r="JYN131" s="118"/>
      <c r="JYO131" s="118"/>
      <c r="JYP131" s="118"/>
      <c r="JYQ131" s="118"/>
      <c r="JYR131" s="118"/>
      <c r="JYS131" s="118"/>
      <c r="JYT131" s="118"/>
      <c r="JYU131" s="118"/>
      <c r="JYV131" s="118"/>
      <c r="JYW131" s="118"/>
      <c r="JYX131" s="118"/>
      <c r="JYY131" s="118"/>
      <c r="JYZ131" s="118"/>
      <c r="JZA131" s="118"/>
      <c r="JZB131" s="118"/>
      <c r="JZC131" s="118"/>
      <c r="JZD131" s="118"/>
      <c r="JZE131" s="118"/>
      <c r="JZF131" s="118"/>
      <c r="JZG131" s="118"/>
      <c r="JZH131" s="118"/>
      <c r="JZI131" s="118"/>
      <c r="JZJ131" s="118"/>
      <c r="JZK131" s="118"/>
      <c r="JZL131" s="118"/>
      <c r="JZM131" s="118"/>
      <c r="JZN131" s="118"/>
      <c r="JZO131" s="118"/>
      <c r="JZP131" s="118"/>
      <c r="JZQ131" s="118"/>
      <c r="JZR131" s="118"/>
      <c r="JZS131" s="118"/>
      <c r="JZT131" s="118"/>
      <c r="JZU131" s="118"/>
      <c r="JZV131" s="118"/>
      <c r="JZW131" s="118"/>
      <c r="JZX131" s="118"/>
      <c r="JZY131" s="118"/>
      <c r="JZZ131" s="118"/>
      <c r="KAA131" s="118"/>
      <c r="KAB131" s="118"/>
      <c r="KAC131" s="118"/>
      <c r="KAD131" s="118"/>
      <c r="KAE131" s="118"/>
      <c r="KAF131" s="118"/>
      <c r="KAG131" s="118"/>
      <c r="KAH131" s="118"/>
      <c r="KAI131" s="118"/>
      <c r="KAJ131" s="118"/>
      <c r="KAK131" s="118"/>
      <c r="KAL131" s="118"/>
      <c r="KAM131" s="118"/>
      <c r="KAN131" s="118"/>
      <c r="KAO131" s="118"/>
      <c r="KAP131" s="118"/>
      <c r="KAQ131" s="118"/>
      <c r="KAR131" s="118"/>
      <c r="KAS131" s="118"/>
      <c r="KAT131" s="118"/>
      <c r="KAU131" s="118"/>
      <c r="KAV131" s="118"/>
      <c r="KAW131" s="118"/>
      <c r="KAX131" s="118"/>
      <c r="KAY131" s="118"/>
      <c r="KAZ131" s="118"/>
      <c r="KBA131" s="118"/>
      <c r="KBB131" s="118"/>
      <c r="KBC131" s="118"/>
      <c r="KBD131" s="118"/>
      <c r="KBE131" s="118"/>
      <c r="KBF131" s="118"/>
      <c r="KBG131" s="118"/>
      <c r="KBH131" s="118"/>
      <c r="KBI131" s="118"/>
      <c r="KBJ131" s="118"/>
      <c r="KBK131" s="118"/>
      <c r="KBL131" s="118"/>
      <c r="KBM131" s="118"/>
      <c r="KBN131" s="118"/>
      <c r="KBO131" s="118"/>
      <c r="KBP131" s="118"/>
      <c r="KBQ131" s="118"/>
      <c r="KBR131" s="118"/>
      <c r="KBS131" s="118"/>
      <c r="KBT131" s="118"/>
      <c r="KBU131" s="118"/>
      <c r="KBV131" s="118"/>
      <c r="KBW131" s="118"/>
      <c r="KBX131" s="118"/>
      <c r="KBY131" s="118"/>
      <c r="KBZ131" s="118"/>
      <c r="KCA131" s="118"/>
      <c r="KCB131" s="118"/>
      <c r="KCC131" s="118"/>
      <c r="KCD131" s="118"/>
      <c r="KCE131" s="118"/>
      <c r="KCF131" s="118"/>
      <c r="KCG131" s="118"/>
      <c r="KCH131" s="118"/>
      <c r="KCI131" s="118"/>
      <c r="KCJ131" s="118"/>
      <c r="KCK131" s="118"/>
      <c r="KCL131" s="118"/>
      <c r="KCM131" s="118"/>
      <c r="KCN131" s="118"/>
      <c r="KCO131" s="118"/>
      <c r="KCP131" s="118"/>
      <c r="KCQ131" s="118"/>
      <c r="KCR131" s="118"/>
      <c r="KCS131" s="118"/>
      <c r="KCT131" s="118"/>
      <c r="KCU131" s="118"/>
      <c r="KCV131" s="118"/>
      <c r="KCW131" s="118"/>
      <c r="KCX131" s="118"/>
      <c r="KCY131" s="118"/>
      <c r="KCZ131" s="118"/>
      <c r="KDA131" s="118"/>
      <c r="KDB131" s="118"/>
      <c r="KDC131" s="118"/>
      <c r="KDD131" s="118"/>
      <c r="KDE131" s="118"/>
      <c r="KDF131" s="118"/>
      <c r="KDG131" s="118"/>
      <c r="KDH131" s="118"/>
      <c r="KDI131" s="118"/>
      <c r="KDJ131" s="118"/>
      <c r="KDK131" s="118"/>
      <c r="KDL131" s="118"/>
      <c r="KDM131" s="118"/>
      <c r="KDN131" s="118"/>
      <c r="KDO131" s="118"/>
      <c r="KDP131" s="118"/>
      <c r="KDQ131" s="118"/>
      <c r="KDR131" s="118"/>
      <c r="KDS131" s="118"/>
      <c r="KDT131" s="118"/>
      <c r="KDU131" s="118"/>
      <c r="KDV131" s="118"/>
      <c r="KDW131" s="118"/>
      <c r="KDX131" s="118"/>
      <c r="KDY131" s="118"/>
      <c r="KDZ131" s="118"/>
      <c r="KEA131" s="118"/>
      <c r="KEB131" s="118"/>
      <c r="KEC131" s="118"/>
      <c r="KED131" s="118"/>
      <c r="KEE131" s="118"/>
      <c r="KEF131" s="118"/>
      <c r="KEG131" s="118"/>
      <c r="KEH131" s="118"/>
      <c r="KEI131" s="118"/>
      <c r="KEJ131" s="118"/>
      <c r="KEK131" s="118"/>
      <c r="KEL131" s="118"/>
      <c r="KEM131" s="118"/>
      <c r="KEN131" s="118"/>
      <c r="KEO131" s="118"/>
      <c r="KEP131" s="118"/>
      <c r="KEQ131" s="118"/>
      <c r="KER131" s="118"/>
      <c r="KES131" s="118"/>
      <c r="KET131" s="118"/>
      <c r="KEU131" s="118"/>
      <c r="KEV131" s="118"/>
      <c r="KEW131" s="118"/>
      <c r="KEX131" s="118"/>
      <c r="KEY131" s="118"/>
      <c r="KEZ131" s="118"/>
      <c r="KFA131" s="118"/>
      <c r="KFB131" s="118"/>
      <c r="KFC131" s="118"/>
      <c r="KFD131" s="118"/>
      <c r="KFE131" s="118"/>
      <c r="KFF131" s="118"/>
      <c r="KFG131" s="118"/>
      <c r="KFH131" s="118"/>
      <c r="KFI131" s="118"/>
      <c r="KFJ131" s="118"/>
      <c r="KFK131" s="118"/>
      <c r="KFL131" s="118"/>
      <c r="KFM131" s="118"/>
      <c r="KFN131" s="118"/>
      <c r="KFO131" s="118"/>
      <c r="KFP131" s="118"/>
      <c r="KFQ131" s="118"/>
      <c r="KFR131" s="118"/>
      <c r="KFS131" s="118"/>
      <c r="KFT131" s="118"/>
      <c r="KFU131" s="118"/>
      <c r="KFV131" s="118"/>
      <c r="KFW131" s="118"/>
      <c r="KFX131" s="118"/>
      <c r="KFY131" s="118"/>
      <c r="KFZ131" s="118"/>
      <c r="KGA131" s="118"/>
      <c r="KGB131" s="118"/>
      <c r="KGC131" s="118"/>
      <c r="KGD131" s="118"/>
      <c r="KGE131" s="118"/>
      <c r="KGF131" s="118"/>
      <c r="KGG131" s="118"/>
      <c r="KGH131" s="118"/>
      <c r="KGI131" s="118"/>
      <c r="KGJ131" s="118"/>
      <c r="KGK131" s="118"/>
      <c r="KGL131" s="118"/>
      <c r="KGM131" s="118"/>
      <c r="KGN131" s="118"/>
      <c r="KGO131" s="118"/>
      <c r="KGP131" s="118"/>
      <c r="KGQ131" s="118"/>
      <c r="KGR131" s="118"/>
      <c r="KGS131" s="118"/>
      <c r="KGT131" s="118"/>
      <c r="KGU131" s="118"/>
      <c r="KGV131" s="118"/>
      <c r="KGW131" s="118"/>
      <c r="KGX131" s="118"/>
      <c r="KGY131" s="118"/>
      <c r="KGZ131" s="118"/>
      <c r="KHA131" s="118"/>
      <c r="KHB131" s="118"/>
      <c r="KHC131" s="118"/>
      <c r="KHD131" s="118"/>
      <c r="KHE131" s="118"/>
      <c r="KHF131" s="118"/>
      <c r="KHG131" s="118"/>
      <c r="KHH131" s="118"/>
      <c r="KHI131" s="118"/>
      <c r="KHJ131" s="118"/>
      <c r="KHK131" s="118"/>
      <c r="KHL131" s="118"/>
      <c r="KHM131" s="118"/>
      <c r="KHN131" s="118"/>
      <c r="KHO131" s="118"/>
      <c r="KHP131" s="118"/>
      <c r="KHQ131" s="118"/>
      <c r="KHR131" s="118"/>
      <c r="KHS131" s="118"/>
      <c r="KHT131" s="118"/>
      <c r="KHU131" s="118"/>
      <c r="KHV131" s="118"/>
      <c r="KHW131" s="118"/>
      <c r="KHX131" s="118"/>
      <c r="KHY131" s="118"/>
      <c r="KHZ131" s="118"/>
      <c r="KIA131" s="118"/>
      <c r="KIB131" s="118"/>
      <c r="KIC131" s="118"/>
      <c r="KID131" s="118"/>
      <c r="KIE131" s="118"/>
      <c r="KIF131" s="118"/>
      <c r="KIG131" s="118"/>
      <c r="KIH131" s="118"/>
      <c r="KII131" s="118"/>
      <c r="KIJ131" s="118"/>
      <c r="KIK131" s="118"/>
      <c r="KIL131" s="118"/>
      <c r="KIM131" s="118"/>
      <c r="KIN131" s="118"/>
      <c r="KIO131" s="118"/>
      <c r="KIP131" s="118"/>
      <c r="KIQ131" s="118"/>
      <c r="KIR131" s="118"/>
      <c r="KIS131" s="118"/>
      <c r="KIT131" s="118"/>
      <c r="KIU131" s="118"/>
      <c r="KIV131" s="118"/>
      <c r="KIW131" s="118"/>
      <c r="KIX131" s="118"/>
      <c r="KIY131" s="118"/>
      <c r="KIZ131" s="118"/>
      <c r="KJA131" s="118"/>
      <c r="KJB131" s="118"/>
      <c r="KJC131" s="118"/>
      <c r="KJD131" s="118"/>
      <c r="KJE131" s="118"/>
      <c r="KJF131" s="118"/>
      <c r="KJG131" s="118"/>
      <c r="KJH131" s="118"/>
      <c r="KJI131" s="118"/>
      <c r="KJJ131" s="118"/>
      <c r="KJK131" s="118"/>
      <c r="KJL131" s="118"/>
      <c r="KJM131" s="118"/>
      <c r="KJN131" s="118"/>
      <c r="KJO131" s="118"/>
      <c r="KJP131" s="118"/>
      <c r="KJQ131" s="118"/>
      <c r="KJR131" s="118"/>
      <c r="KJS131" s="118"/>
      <c r="KJT131" s="118"/>
      <c r="KJU131" s="118"/>
      <c r="KJV131" s="118"/>
      <c r="KJW131" s="118"/>
      <c r="KJX131" s="118"/>
      <c r="KJY131" s="118"/>
      <c r="KJZ131" s="118"/>
      <c r="KKA131" s="118"/>
      <c r="KKB131" s="118"/>
      <c r="KKC131" s="118"/>
      <c r="KKD131" s="118"/>
      <c r="KKE131" s="118"/>
      <c r="KKF131" s="118"/>
      <c r="KKG131" s="118"/>
      <c r="KKH131" s="118"/>
      <c r="KKI131" s="118"/>
      <c r="KKJ131" s="118"/>
      <c r="KKK131" s="118"/>
      <c r="KKL131" s="118"/>
      <c r="KKM131" s="118"/>
      <c r="KKN131" s="118"/>
      <c r="KKO131" s="118"/>
      <c r="KKP131" s="118"/>
      <c r="KKQ131" s="118"/>
      <c r="KKR131" s="118"/>
      <c r="KKS131" s="118"/>
      <c r="KKT131" s="118"/>
      <c r="KKU131" s="118"/>
      <c r="KKV131" s="118"/>
      <c r="KKW131" s="118"/>
      <c r="KKX131" s="118"/>
      <c r="KKY131" s="118"/>
      <c r="KKZ131" s="118"/>
      <c r="KLA131" s="118"/>
      <c r="KLB131" s="118"/>
      <c r="KLC131" s="118"/>
      <c r="KLD131" s="118"/>
      <c r="KLE131" s="118"/>
      <c r="KLF131" s="118"/>
      <c r="KLG131" s="118"/>
      <c r="KLH131" s="118"/>
      <c r="KLI131" s="118"/>
      <c r="KLJ131" s="118"/>
      <c r="KLK131" s="118"/>
      <c r="KLL131" s="118"/>
      <c r="KLM131" s="118"/>
      <c r="KLN131" s="118"/>
      <c r="KLO131" s="118"/>
      <c r="KLP131" s="118"/>
      <c r="KLQ131" s="118"/>
      <c r="KLR131" s="118"/>
      <c r="KLS131" s="118"/>
      <c r="KLT131" s="118"/>
      <c r="KLU131" s="118"/>
      <c r="KLV131" s="118"/>
      <c r="KLW131" s="118"/>
      <c r="KLX131" s="118"/>
      <c r="KLY131" s="118"/>
      <c r="KLZ131" s="118"/>
      <c r="KMA131" s="118"/>
      <c r="KMB131" s="118"/>
      <c r="KMC131" s="118"/>
      <c r="KMD131" s="118"/>
      <c r="KME131" s="118"/>
      <c r="KMF131" s="118"/>
      <c r="KMG131" s="118"/>
      <c r="KMH131" s="118"/>
      <c r="KMI131" s="118"/>
      <c r="KMJ131" s="118"/>
      <c r="KMK131" s="118"/>
      <c r="KML131" s="118"/>
      <c r="KMM131" s="118"/>
      <c r="KMN131" s="118"/>
      <c r="KMO131" s="118"/>
      <c r="KMP131" s="118"/>
      <c r="KMQ131" s="118"/>
      <c r="KMR131" s="118"/>
      <c r="KMS131" s="118"/>
      <c r="KMT131" s="118"/>
      <c r="KMU131" s="118"/>
      <c r="KMV131" s="118"/>
      <c r="KMW131" s="118"/>
      <c r="KMX131" s="118"/>
      <c r="KMY131" s="118"/>
      <c r="KMZ131" s="118"/>
      <c r="KNA131" s="118"/>
      <c r="KNB131" s="118"/>
      <c r="KNC131" s="118"/>
      <c r="KND131" s="118"/>
      <c r="KNE131" s="118"/>
      <c r="KNF131" s="118"/>
      <c r="KNG131" s="118"/>
      <c r="KNH131" s="118"/>
      <c r="KNI131" s="118"/>
      <c r="KNJ131" s="118"/>
      <c r="KNK131" s="118"/>
      <c r="KNL131" s="118"/>
      <c r="KNM131" s="118"/>
      <c r="KNN131" s="118"/>
      <c r="KNO131" s="118"/>
      <c r="KNP131" s="118"/>
      <c r="KNQ131" s="118"/>
      <c r="KNR131" s="118"/>
      <c r="KNS131" s="118"/>
      <c r="KNT131" s="118"/>
      <c r="KNU131" s="118"/>
      <c r="KNV131" s="118"/>
      <c r="KNW131" s="118"/>
      <c r="KNX131" s="118"/>
      <c r="KNY131" s="118"/>
      <c r="KNZ131" s="118"/>
      <c r="KOA131" s="118"/>
      <c r="KOB131" s="118"/>
      <c r="KOC131" s="118"/>
      <c r="KOD131" s="118"/>
      <c r="KOE131" s="118"/>
      <c r="KOF131" s="118"/>
      <c r="KOG131" s="118"/>
      <c r="KOH131" s="118"/>
      <c r="KOI131" s="118"/>
      <c r="KOJ131" s="118"/>
      <c r="KOK131" s="118"/>
      <c r="KOL131" s="118"/>
      <c r="KOM131" s="118"/>
      <c r="KON131" s="118"/>
      <c r="KOO131" s="118"/>
      <c r="KOP131" s="118"/>
      <c r="KOQ131" s="118"/>
      <c r="KOR131" s="118"/>
      <c r="KOS131" s="118"/>
      <c r="KOT131" s="118"/>
      <c r="KOU131" s="118"/>
      <c r="KOV131" s="118"/>
      <c r="KOW131" s="118"/>
      <c r="KOX131" s="118"/>
      <c r="KOY131" s="118"/>
      <c r="KOZ131" s="118"/>
      <c r="KPA131" s="118"/>
      <c r="KPB131" s="118"/>
      <c r="KPC131" s="118"/>
      <c r="KPD131" s="118"/>
      <c r="KPE131" s="118"/>
      <c r="KPF131" s="118"/>
      <c r="KPG131" s="118"/>
      <c r="KPH131" s="118"/>
      <c r="KPI131" s="118"/>
      <c r="KPJ131" s="118"/>
      <c r="KPK131" s="118"/>
      <c r="KPL131" s="118"/>
      <c r="KPM131" s="118"/>
      <c r="KPN131" s="118"/>
      <c r="KPO131" s="118"/>
      <c r="KPP131" s="118"/>
      <c r="KPQ131" s="118"/>
      <c r="KPR131" s="118"/>
      <c r="KPS131" s="118"/>
      <c r="KPT131" s="118"/>
      <c r="KPU131" s="118"/>
      <c r="KPV131" s="118"/>
      <c r="KPW131" s="118"/>
      <c r="KPX131" s="118"/>
      <c r="KPY131" s="118"/>
      <c r="KPZ131" s="118"/>
      <c r="KQA131" s="118"/>
      <c r="KQB131" s="118"/>
      <c r="KQC131" s="118"/>
      <c r="KQD131" s="118"/>
      <c r="KQE131" s="118"/>
      <c r="KQF131" s="118"/>
      <c r="KQG131" s="118"/>
      <c r="KQH131" s="118"/>
      <c r="KQI131" s="118"/>
      <c r="KQJ131" s="118"/>
      <c r="KQK131" s="118"/>
      <c r="KQL131" s="118"/>
      <c r="KQM131" s="118"/>
      <c r="KQN131" s="118"/>
      <c r="KQO131" s="118"/>
      <c r="KQP131" s="118"/>
      <c r="KQQ131" s="118"/>
      <c r="KQR131" s="118"/>
      <c r="KQS131" s="118"/>
      <c r="KQT131" s="118"/>
      <c r="KQU131" s="118"/>
      <c r="KQV131" s="118"/>
      <c r="KQW131" s="118"/>
      <c r="KQX131" s="118"/>
      <c r="KQY131" s="118"/>
      <c r="KQZ131" s="118"/>
      <c r="KRA131" s="118"/>
      <c r="KRB131" s="118"/>
      <c r="KRC131" s="118"/>
      <c r="KRD131" s="118"/>
      <c r="KRE131" s="118"/>
      <c r="KRF131" s="118"/>
      <c r="KRG131" s="118"/>
      <c r="KRH131" s="118"/>
      <c r="KRI131" s="118"/>
      <c r="KRJ131" s="118"/>
      <c r="KRK131" s="118"/>
      <c r="KRL131" s="118"/>
      <c r="KRM131" s="118"/>
      <c r="KRN131" s="118"/>
      <c r="KRO131" s="118"/>
      <c r="KRP131" s="118"/>
      <c r="KRQ131" s="118"/>
      <c r="KRR131" s="118"/>
      <c r="KRS131" s="118"/>
      <c r="KRT131" s="118"/>
      <c r="KRU131" s="118"/>
      <c r="KRV131" s="118"/>
      <c r="KRW131" s="118"/>
      <c r="KRX131" s="118"/>
      <c r="KRY131" s="118"/>
      <c r="KRZ131" s="118"/>
      <c r="KSA131" s="118"/>
      <c r="KSB131" s="118"/>
      <c r="KSC131" s="118"/>
      <c r="KSD131" s="118"/>
      <c r="KSE131" s="118"/>
      <c r="KSF131" s="118"/>
      <c r="KSG131" s="118"/>
      <c r="KSH131" s="118"/>
      <c r="KSI131" s="118"/>
      <c r="KSJ131" s="118"/>
      <c r="KSK131" s="118"/>
      <c r="KSL131" s="118"/>
      <c r="KSM131" s="118"/>
      <c r="KSN131" s="118"/>
      <c r="KSO131" s="118"/>
      <c r="KSP131" s="118"/>
      <c r="KSQ131" s="118"/>
      <c r="KSR131" s="118"/>
      <c r="KSS131" s="118"/>
      <c r="KST131" s="118"/>
      <c r="KSU131" s="118"/>
      <c r="KSV131" s="118"/>
      <c r="KSW131" s="118"/>
      <c r="KSX131" s="118"/>
      <c r="KSY131" s="118"/>
      <c r="KSZ131" s="118"/>
      <c r="KTA131" s="118"/>
      <c r="KTB131" s="118"/>
      <c r="KTC131" s="118"/>
      <c r="KTD131" s="118"/>
      <c r="KTE131" s="118"/>
      <c r="KTF131" s="118"/>
      <c r="KTG131" s="118"/>
      <c r="KTH131" s="118"/>
      <c r="KTI131" s="118"/>
      <c r="KTJ131" s="118"/>
      <c r="KTK131" s="118"/>
      <c r="KTL131" s="118"/>
      <c r="KTM131" s="118"/>
      <c r="KTN131" s="118"/>
      <c r="KTO131" s="118"/>
      <c r="KTP131" s="118"/>
      <c r="KTQ131" s="118"/>
      <c r="KTR131" s="118"/>
      <c r="KTS131" s="118"/>
      <c r="KTT131" s="118"/>
      <c r="KTU131" s="118"/>
      <c r="KTV131" s="118"/>
      <c r="KTW131" s="118"/>
      <c r="KTX131" s="118"/>
      <c r="KTY131" s="118"/>
      <c r="KTZ131" s="118"/>
      <c r="KUA131" s="118"/>
      <c r="KUB131" s="118"/>
      <c r="KUC131" s="118"/>
      <c r="KUD131" s="118"/>
      <c r="KUE131" s="118"/>
      <c r="KUF131" s="118"/>
      <c r="KUG131" s="118"/>
      <c r="KUH131" s="118"/>
      <c r="KUI131" s="118"/>
      <c r="KUJ131" s="118"/>
      <c r="KUK131" s="118"/>
      <c r="KUL131" s="118"/>
      <c r="KUM131" s="118"/>
      <c r="KUN131" s="118"/>
      <c r="KUO131" s="118"/>
      <c r="KUP131" s="118"/>
      <c r="KUQ131" s="118"/>
      <c r="KUR131" s="118"/>
      <c r="KUS131" s="118"/>
      <c r="KUT131" s="118"/>
      <c r="KUU131" s="118"/>
      <c r="KUV131" s="118"/>
      <c r="KUW131" s="118"/>
      <c r="KUX131" s="118"/>
      <c r="KUY131" s="118"/>
      <c r="KUZ131" s="118"/>
      <c r="KVA131" s="118"/>
      <c r="KVB131" s="118"/>
      <c r="KVC131" s="118"/>
      <c r="KVD131" s="118"/>
      <c r="KVE131" s="118"/>
      <c r="KVF131" s="118"/>
      <c r="KVG131" s="118"/>
      <c r="KVH131" s="118"/>
      <c r="KVI131" s="118"/>
      <c r="KVJ131" s="118"/>
      <c r="KVK131" s="118"/>
      <c r="KVL131" s="118"/>
      <c r="KVM131" s="118"/>
      <c r="KVN131" s="118"/>
      <c r="KVO131" s="118"/>
      <c r="KVP131" s="118"/>
      <c r="KVQ131" s="118"/>
      <c r="KVR131" s="118"/>
      <c r="KVS131" s="118"/>
      <c r="KVT131" s="118"/>
      <c r="KVU131" s="118"/>
      <c r="KVV131" s="118"/>
      <c r="KVW131" s="118"/>
      <c r="KVX131" s="118"/>
      <c r="KVY131" s="118"/>
      <c r="KVZ131" s="118"/>
      <c r="KWA131" s="118"/>
      <c r="KWB131" s="118"/>
      <c r="KWC131" s="118"/>
      <c r="KWD131" s="118"/>
      <c r="KWE131" s="118"/>
      <c r="KWF131" s="118"/>
      <c r="KWG131" s="118"/>
      <c r="KWH131" s="118"/>
      <c r="KWI131" s="118"/>
      <c r="KWJ131" s="118"/>
      <c r="KWK131" s="118"/>
      <c r="KWL131" s="118"/>
      <c r="KWM131" s="118"/>
      <c r="KWN131" s="118"/>
      <c r="KWO131" s="118"/>
      <c r="KWP131" s="118"/>
      <c r="KWQ131" s="118"/>
      <c r="KWR131" s="118"/>
      <c r="KWS131" s="118"/>
      <c r="KWT131" s="118"/>
      <c r="KWU131" s="118"/>
      <c r="KWV131" s="118"/>
      <c r="KWW131" s="118"/>
      <c r="KWX131" s="118"/>
      <c r="KWY131" s="118"/>
      <c r="KWZ131" s="118"/>
      <c r="KXA131" s="118"/>
      <c r="KXB131" s="118"/>
      <c r="KXC131" s="118"/>
      <c r="KXD131" s="118"/>
      <c r="KXE131" s="118"/>
      <c r="KXF131" s="118"/>
      <c r="KXG131" s="118"/>
      <c r="KXH131" s="118"/>
      <c r="KXI131" s="118"/>
      <c r="KXJ131" s="118"/>
      <c r="KXK131" s="118"/>
      <c r="KXL131" s="118"/>
      <c r="KXM131" s="118"/>
      <c r="KXN131" s="118"/>
      <c r="KXO131" s="118"/>
      <c r="KXP131" s="118"/>
      <c r="KXQ131" s="118"/>
      <c r="KXR131" s="118"/>
      <c r="KXS131" s="118"/>
      <c r="KXT131" s="118"/>
      <c r="KXU131" s="118"/>
      <c r="KXV131" s="118"/>
      <c r="KXW131" s="118"/>
      <c r="KXX131" s="118"/>
      <c r="KXY131" s="118"/>
      <c r="KXZ131" s="118"/>
      <c r="KYA131" s="118"/>
      <c r="KYB131" s="118"/>
      <c r="KYC131" s="118"/>
      <c r="KYD131" s="118"/>
      <c r="KYE131" s="118"/>
      <c r="KYF131" s="118"/>
      <c r="KYG131" s="118"/>
      <c r="KYH131" s="118"/>
      <c r="KYI131" s="118"/>
      <c r="KYJ131" s="118"/>
      <c r="KYK131" s="118"/>
      <c r="KYL131" s="118"/>
      <c r="KYM131" s="118"/>
      <c r="KYN131" s="118"/>
      <c r="KYO131" s="118"/>
      <c r="KYP131" s="118"/>
      <c r="KYQ131" s="118"/>
      <c r="KYR131" s="118"/>
      <c r="KYS131" s="118"/>
      <c r="KYT131" s="118"/>
      <c r="KYU131" s="118"/>
      <c r="KYV131" s="118"/>
      <c r="KYW131" s="118"/>
      <c r="KYX131" s="118"/>
      <c r="KYY131" s="118"/>
      <c r="KYZ131" s="118"/>
      <c r="KZA131" s="118"/>
      <c r="KZB131" s="118"/>
      <c r="KZC131" s="118"/>
      <c r="KZD131" s="118"/>
      <c r="KZE131" s="118"/>
      <c r="KZF131" s="118"/>
      <c r="KZG131" s="118"/>
      <c r="KZH131" s="118"/>
      <c r="KZI131" s="118"/>
      <c r="KZJ131" s="118"/>
      <c r="KZK131" s="118"/>
      <c r="KZL131" s="118"/>
      <c r="KZM131" s="118"/>
      <c r="KZN131" s="118"/>
      <c r="KZO131" s="118"/>
      <c r="KZP131" s="118"/>
      <c r="KZQ131" s="118"/>
      <c r="KZR131" s="118"/>
      <c r="KZS131" s="118"/>
      <c r="KZT131" s="118"/>
      <c r="KZU131" s="118"/>
      <c r="KZV131" s="118"/>
      <c r="KZW131" s="118"/>
      <c r="KZX131" s="118"/>
      <c r="KZY131" s="118"/>
      <c r="KZZ131" s="118"/>
      <c r="LAA131" s="118"/>
      <c r="LAB131" s="118"/>
      <c r="LAC131" s="118"/>
      <c r="LAD131" s="118"/>
      <c r="LAE131" s="118"/>
      <c r="LAF131" s="118"/>
      <c r="LAG131" s="118"/>
      <c r="LAH131" s="118"/>
      <c r="LAI131" s="118"/>
      <c r="LAJ131" s="118"/>
      <c r="LAK131" s="118"/>
      <c r="LAL131" s="118"/>
      <c r="LAM131" s="118"/>
      <c r="LAN131" s="118"/>
      <c r="LAO131" s="118"/>
      <c r="LAP131" s="118"/>
      <c r="LAQ131" s="118"/>
      <c r="LAR131" s="118"/>
      <c r="LAS131" s="118"/>
      <c r="LAT131" s="118"/>
      <c r="LAU131" s="118"/>
      <c r="LAV131" s="118"/>
      <c r="LAW131" s="118"/>
      <c r="LAX131" s="118"/>
      <c r="LAY131" s="118"/>
      <c r="LAZ131" s="118"/>
      <c r="LBA131" s="118"/>
      <c r="LBB131" s="118"/>
      <c r="LBC131" s="118"/>
      <c r="LBD131" s="118"/>
      <c r="LBE131" s="118"/>
      <c r="LBF131" s="118"/>
      <c r="LBG131" s="118"/>
      <c r="LBH131" s="118"/>
      <c r="LBI131" s="118"/>
      <c r="LBJ131" s="118"/>
      <c r="LBK131" s="118"/>
      <c r="LBL131" s="118"/>
      <c r="LBM131" s="118"/>
      <c r="LBN131" s="118"/>
      <c r="LBO131" s="118"/>
      <c r="LBP131" s="118"/>
      <c r="LBQ131" s="118"/>
      <c r="LBR131" s="118"/>
      <c r="LBS131" s="118"/>
      <c r="LBT131" s="118"/>
      <c r="LBU131" s="118"/>
      <c r="LBV131" s="118"/>
      <c r="LBW131" s="118"/>
      <c r="LBX131" s="118"/>
      <c r="LBY131" s="118"/>
      <c r="LBZ131" s="118"/>
      <c r="LCA131" s="118"/>
      <c r="LCB131" s="118"/>
      <c r="LCC131" s="118"/>
      <c r="LCD131" s="118"/>
      <c r="LCE131" s="118"/>
      <c r="LCF131" s="118"/>
      <c r="LCG131" s="118"/>
      <c r="LCH131" s="118"/>
      <c r="LCI131" s="118"/>
      <c r="LCJ131" s="118"/>
      <c r="LCK131" s="118"/>
      <c r="LCL131" s="118"/>
      <c r="LCM131" s="118"/>
      <c r="LCN131" s="118"/>
      <c r="LCO131" s="118"/>
      <c r="LCP131" s="118"/>
      <c r="LCQ131" s="118"/>
      <c r="LCR131" s="118"/>
      <c r="LCS131" s="118"/>
      <c r="LCT131" s="118"/>
      <c r="LCU131" s="118"/>
      <c r="LCV131" s="118"/>
      <c r="LCW131" s="118"/>
      <c r="LCX131" s="118"/>
      <c r="LCY131" s="118"/>
      <c r="LCZ131" s="118"/>
      <c r="LDA131" s="118"/>
      <c r="LDB131" s="118"/>
      <c r="LDC131" s="118"/>
      <c r="LDD131" s="118"/>
      <c r="LDE131" s="118"/>
      <c r="LDF131" s="118"/>
      <c r="LDG131" s="118"/>
      <c r="LDH131" s="118"/>
      <c r="LDI131" s="118"/>
      <c r="LDJ131" s="118"/>
      <c r="LDK131" s="118"/>
      <c r="LDL131" s="118"/>
      <c r="LDM131" s="118"/>
      <c r="LDN131" s="118"/>
      <c r="LDO131" s="118"/>
      <c r="LDP131" s="118"/>
      <c r="LDQ131" s="118"/>
      <c r="LDR131" s="118"/>
      <c r="LDS131" s="118"/>
      <c r="LDT131" s="118"/>
      <c r="LDU131" s="118"/>
      <c r="LDV131" s="118"/>
      <c r="LDW131" s="118"/>
      <c r="LDX131" s="118"/>
      <c r="LDY131" s="118"/>
      <c r="LDZ131" s="118"/>
      <c r="LEA131" s="118"/>
      <c r="LEB131" s="118"/>
      <c r="LEC131" s="118"/>
      <c r="LED131" s="118"/>
      <c r="LEE131" s="118"/>
      <c r="LEF131" s="118"/>
      <c r="LEG131" s="118"/>
      <c r="LEH131" s="118"/>
      <c r="LEI131" s="118"/>
      <c r="LEJ131" s="118"/>
      <c r="LEK131" s="118"/>
      <c r="LEL131" s="118"/>
      <c r="LEM131" s="118"/>
      <c r="LEN131" s="118"/>
      <c r="LEO131" s="118"/>
      <c r="LEP131" s="118"/>
      <c r="LEQ131" s="118"/>
      <c r="LER131" s="118"/>
      <c r="LES131" s="118"/>
      <c r="LET131" s="118"/>
      <c r="LEU131" s="118"/>
      <c r="LEV131" s="118"/>
      <c r="LEW131" s="118"/>
      <c r="LEX131" s="118"/>
      <c r="LEY131" s="118"/>
      <c r="LEZ131" s="118"/>
      <c r="LFA131" s="118"/>
      <c r="LFB131" s="118"/>
      <c r="LFC131" s="118"/>
      <c r="LFD131" s="118"/>
      <c r="LFE131" s="118"/>
      <c r="LFF131" s="118"/>
      <c r="LFG131" s="118"/>
      <c r="LFH131" s="118"/>
      <c r="LFI131" s="118"/>
      <c r="LFJ131" s="118"/>
      <c r="LFK131" s="118"/>
      <c r="LFL131" s="118"/>
      <c r="LFM131" s="118"/>
      <c r="LFN131" s="118"/>
      <c r="LFO131" s="118"/>
      <c r="LFP131" s="118"/>
      <c r="LFQ131" s="118"/>
      <c r="LFR131" s="118"/>
      <c r="LFS131" s="118"/>
      <c r="LFT131" s="118"/>
      <c r="LFU131" s="118"/>
      <c r="LFV131" s="118"/>
      <c r="LFW131" s="118"/>
      <c r="LFX131" s="118"/>
      <c r="LFY131" s="118"/>
      <c r="LFZ131" s="118"/>
      <c r="LGA131" s="118"/>
      <c r="LGB131" s="118"/>
      <c r="LGC131" s="118"/>
      <c r="LGD131" s="118"/>
      <c r="LGE131" s="118"/>
      <c r="LGF131" s="118"/>
      <c r="LGG131" s="118"/>
      <c r="LGH131" s="118"/>
      <c r="LGI131" s="118"/>
      <c r="LGJ131" s="118"/>
      <c r="LGK131" s="118"/>
      <c r="LGL131" s="118"/>
      <c r="LGM131" s="118"/>
      <c r="LGN131" s="118"/>
      <c r="LGO131" s="118"/>
      <c r="LGP131" s="118"/>
      <c r="LGQ131" s="118"/>
      <c r="LGR131" s="118"/>
      <c r="LGS131" s="118"/>
      <c r="LGT131" s="118"/>
      <c r="LGU131" s="118"/>
      <c r="LGV131" s="118"/>
      <c r="LGW131" s="118"/>
      <c r="LGX131" s="118"/>
      <c r="LGY131" s="118"/>
      <c r="LGZ131" s="118"/>
      <c r="LHA131" s="118"/>
      <c r="LHB131" s="118"/>
      <c r="LHC131" s="118"/>
      <c r="LHD131" s="118"/>
      <c r="LHE131" s="118"/>
      <c r="LHF131" s="118"/>
      <c r="LHG131" s="118"/>
      <c r="LHH131" s="118"/>
      <c r="LHI131" s="118"/>
      <c r="LHJ131" s="118"/>
      <c r="LHK131" s="118"/>
      <c r="LHL131" s="118"/>
      <c r="LHM131" s="118"/>
      <c r="LHN131" s="118"/>
      <c r="LHO131" s="118"/>
      <c r="LHP131" s="118"/>
      <c r="LHQ131" s="118"/>
      <c r="LHR131" s="118"/>
      <c r="LHS131" s="118"/>
      <c r="LHT131" s="118"/>
      <c r="LHU131" s="118"/>
      <c r="LHV131" s="118"/>
      <c r="LHW131" s="118"/>
      <c r="LHX131" s="118"/>
      <c r="LHY131" s="118"/>
      <c r="LHZ131" s="118"/>
      <c r="LIA131" s="118"/>
      <c r="LIB131" s="118"/>
      <c r="LIC131" s="118"/>
      <c r="LID131" s="118"/>
      <c r="LIE131" s="118"/>
      <c r="LIF131" s="118"/>
      <c r="LIG131" s="118"/>
      <c r="LIH131" s="118"/>
      <c r="LII131" s="118"/>
      <c r="LIJ131" s="118"/>
      <c r="LIK131" s="118"/>
      <c r="LIL131" s="118"/>
      <c r="LIM131" s="118"/>
      <c r="LIN131" s="118"/>
      <c r="LIO131" s="118"/>
      <c r="LIP131" s="118"/>
      <c r="LIQ131" s="118"/>
      <c r="LIR131" s="118"/>
      <c r="LIS131" s="118"/>
      <c r="LIT131" s="118"/>
      <c r="LIU131" s="118"/>
      <c r="LIV131" s="118"/>
      <c r="LIW131" s="118"/>
      <c r="LIX131" s="118"/>
      <c r="LIY131" s="118"/>
      <c r="LIZ131" s="118"/>
      <c r="LJA131" s="118"/>
      <c r="LJB131" s="118"/>
      <c r="LJC131" s="118"/>
      <c r="LJD131" s="118"/>
      <c r="LJE131" s="118"/>
      <c r="LJF131" s="118"/>
      <c r="LJG131" s="118"/>
      <c r="LJH131" s="118"/>
      <c r="LJI131" s="118"/>
      <c r="LJJ131" s="118"/>
      <c r="LJK131" s="118"/>
      <c r="LJL131" s="118"/>
      <c r="LJM131" s="118"/>
      <c r="LJN131" s="118"/>
      <c r="LJO131" s="118"/>
      <c r="LJP131" s="118"/>
      <c r="LJQ131" s="118"/>
      <c r="LJR131" s="118"/>
      <c r="LJS131" s="118"/>
      <c r="LJT131" s="118"/>
      <c r="LJU131" s="118"/>
      <c r="LJV131" s="118"/>
      <c r="LJW131" s="118"/>
      <c r="LJX131" s="118"/>
      <c r="LJY131" s="118"/>
      <c r="LJZ131" s="118"/>
      <c r="LKA131" s="118"/>
      <c r="LKB131" s="118"/>
      <c r="LKC131" s="118"/>
      <c r="LKD131" s="118"/>
      <c r="LKE131" s="118"/>
      <c r="LKF131" s="118"/>
      <c r="LKG131" s="118"/>
      <c r="LKH131" s="118"/>
      <c r="LKI131" s="118"/>
      <c r="LKJ131" s="118"/>
      <c r="LKK131" s="118"/>
      <c r="LKL131" s="118"/>
      <c r="LKM131" s="118"/>
      <c r="LKN131" s="118"/>
      <c r="LKO131" s="118"/>
      <c r="LKP131" s="118"/>
      <c r="LKQ131" s="118"/>
      <c r="LKR131" s="118"/>
      <c r="LKS131" s="118"/>
      <c r="LKT131" s="118"/>
      <c r="LKU131" s="118"/>
      <c r="LKV131" s="118"/>
      <c r="LKW131" s="118"/>
      <c r="LKX131" s="118"/>
      <c r="LKY131" s="118"/>
      <c r="LKZ131" s="118"/>
      <c r="LLA131" s="118"/>
      <c r="LLB131" s="118"/>
      <c r="LLC131" s="118"/>
      <c r="LLD131" s="118"/>
      <c r="LLE131" s="118"/>
      <c r="LLF131" s="118"/>
      <c r="LLG131" s="118"/>
      <c r="LLH131" s="118"/>
      <c r="LLI131" s="118"/>
      <c r="LLJ131" s="118"/>
      <c r="LLK131" s="118"/>
      <c r="LLL131" s="118"/>
      <c r="LLM131" s="118"/>
      <c r="LLN131" s="118"/>
      <c r="LLO131" s="118"/>
      <c r="LLP131" s="118"/>
      <c r="LLQ131" s="118"/>
      <c r="LLR131" s="118"/>
      <c r="LLS131" s="118"/>
      <c r="LLT131" s="118"/>
      <c r="LLU131" s="118"/>
      <c r="LLV131" s="118"/>
      <c r="LLW131" s="118"/>
      <c r="LLX131" s="118"/>
      <c r="LLY131" s="118"/>
      <c r="LLZ131" s="118"/>
      <c r="LMA131" s="118"/>
      <c r="LMB131" s="118"/>
      <c r="LMC131" s="118"/>
      <c r="LMD131" s="118"/>
      <c r="LME131" s="118"/>
      <c r="LMF131" s="118"/>
      <c r="LMG131" s="118"/>
      <c r="LMH131" s="118"/>
      <c r="LMI131" s="118"/>
      <c r="LMJ131" s="118"/>
      <c r="LMK131" s="118"/>
      <c r="LML131" s="118"/>
      <c r="LMM131" s="118"/>
      <c r="LMN131" s="118"/>
      <c r="LMO131" s="118"/>
      <c r="LMP131" s="118"/>
      <c r="LMQ131" s="118"/>
      <c r="LMR131" s="118"/>
      <c r="LMS131" s="118"/>
      <c r="LMT131" s="118"/>
      <c r="LMU131" s="118"/>
      <c r="LMV131" s="118"/>
      <c r="LMW131" s="118"/>
      <c r="LMX131" s="118"/>
      <c r="LMY131" s="118"/>
      <c r="LMZ131" s="118"/>
      <c r="LNA131" s="118"/>
      <c r="LNB131" s="118"/>
      <c r="LNC131" s="118"/>
      <c r="LND131" s="118"/>
      <c r="LNE131" s="118"/>
      <c r="LNF131" s="118"/>
      <c r="LNG131" s="118"/>
      <c r="LNH131" s="118"/>
      <c r="LNI131" s="118"/>
      <c r="LNJ131" s="118"/>
      <c r="LNK131" s="118"/>
      <c r="LNL131" s="118"/>
      <c r="LNM131" s="118"/>
      <c r="LNN131" s="118"/>
      <c r="LNO131" s="118"/>
      <c r="LNP131" s="118"/>
      <c r="LNQ131" s="118"/>
      <c r="LNR131" s="118"/>
      <c r="LNS131" s="118"/>
      <c r="LNT131" s="118"/>
      <c r="LNU131" s="118"/>
      <c r="LNV131" s="118"/>
      <c r="LNW131" s="118"/>
      <c r="LNX131" s="118"/>
      <c r="LNY131" s="118"/>
      <c r="LNZ131" s="118"/>
      <c r="LOA131" s="118"/>
      <c r="LOB131" s="118"/>
      <c r="LOC131" s="118"/>
      <c r="LOD131" s="118"/>
      <c r="LOE131" s="118"/>
      <c r="LOF131" s="118"/>
      <c r="LOG131" s="118"/>
      <c r="LOH131" s="118"/>
      <c r="LOI131" s="118"/>
      <c r="LOJ131" s="118"/>
      <c r="LOK131" s="118"/>
      <c r="LOL131" s="118"/>
      <c r="LOM131" s="118"/>
      <c r="LON131" s="118"/>
      <c r="LOO131" s="118"/>
      <c r="LOP131" s="118"/>
      <c r="LOQ131" s="118"/>
      <c r="LOR131" s="118"/>
      <c r="LOS131" s="118"/>
      <c r="LOT131" s="118"/>
      <c r="LOU131" s="118"/>
      <c r="LOV131" s="118"/>
      <c r="LOW131" s="118"/>
      <c r="LOX131" s="118"/>
      <c r="LOY131" s="118"/>
      <c r="LOZ131" s="118"/>
      <c r="LPA131" s="118"/>
      <c r="LPB131" s="118"/>
      <c r="LPC131" s="118"/>
      <c r="LPD131" s="118"/>
      <c r="LPE131" s="118"/>
      <c r="LPF131" s="118"/>
      <c r="LPG131" s="118"/>
      <c r="LPH131" s="118"/>
      <c r="LPI131" s="118"/>
      <c r="LPJ131" s="118"/>
      <c r="LPK131" s="118"/>
      <c r="LPL131" s="118"/>
      <c r="LPM131" s="118"/>
      <c r="LPN131" s="118"/>
      <c r="LPO131" s="118"/>
      <c r="LPP131" s="118"/>
      <c r="LPQ131" s="118"/>
      <c r="LPR131" s="118"/>
      <c r="LPS131" s="118"/>
      <c r="LPT131" s="118"/>
      <c r="LPU131" s="118"/>
      <c r="LPV131" s="118"/>
      <c r="LPW131" s="118"/>
      <c r="LPX131" s="118"/>
      <c r="LPY131" s="118"/>
      <c r="LPZ131" s="118"/>
      <c r="LQA131" s="118"/>
      <c r="LQB131" s="118"/>
      <c r="LQC131" s="118"/>
      <c r="LQD131" s="118"/>
      <c r="LQE131" s="118"/>
      <c r="LQF131" s="118"/>
      <c r="LQG131" s="118"/>
      <c r="LQH131" s="118"/>
      <c r="LQI131" s="118"/>
      <c r="LQJ131" s="118"/>
      <c r="LQK131" s="118"/>
      <c r="LQL131" s="118"/>
      <c r="LQM131" s="118"/>
      <c r="LQN131" s="118"/>
      <c r="LQO131" s="118"/>
      <c r="LQP131" s="118"/>
      <c r="LQQ131" s="118"/>
      <c r="LQR131" s="118"/>
      <c r="LQS131" s="118"/>
      <c r="LQT131" s="118"/>
      <c r="LQU131" s="118"/>
      <c r="LQV131" s="118"/>
      <c r="LQW131" s="118"/>
      <c r="LQX131" s="118"/>
      <c r="LQY131" s="118"/>
      <c r="LQZ131" s="118"/>
      <c r="LRA131" s="118"/>
      <c r="LRB131" s="118"/>
      <c r="LRC131" s="118"/>
      <c r="LRD131" s="118"/>
      <c r="LRE131" s="118"/>
      <c r="LRF131" s="118"/>
      <c r="LRG131" s="118"/>
      <c r="LRH131" s="118"/>
      <c r="LRI131" s="118"/>
      <c r="LRJ131" s="118"/>
      <c r="LRK131" s="118"/>
      <c r="LRL131" s="118"/>
      <c r="LRM131" s="118"/>
      <c r="LRN131" s="118"/>
      <c r="LRO131" s="118"/>
      <c r="LRP131" s="118"/>
      <c r="LRQ131" s="118"/>
      <c r="LRR131" s="118"/>
      <c r="LRS131" s="118"/>
      <c r="LRT131" s="118"/>
      <c r="LRU131" s="118"/>
      <c r="LRV131" s="118"/>
      <c r="LRW131" s="118"/>
      <c r="LRX131" s="118"/>
      <c r="LRY131" s="118"/>
      <c r="LRZ131" s="118"/>
      <c r="LSA131" s="118"/>
      <c r="LSB131" s="118"/>
      <c r="LSC131" s="118"/>
      <c r="LSD131" s="118"/>
      <c r="LSE131" s="118"/>
      <c r="LSF131" s="118"/>
      <c r="LSG131" s="118"/>
      <c r="LSH131" s="118"/>
      <c r="LSI131" s="118"/>
      <c r="LSJ131" s="118"/>
      <c r="LSK131" s="118"/>
      <c r="LSL131" s="118"/>
      <c r="LSM131" s="118"/>
      <c r="LSN131" s="118"/>
      <c r="LSO131" s="118"/>
      <c r="LSP131" s="118"/>
      <c r="LSQ131" s="118"/>
      <c r="LSR131" s="118"/>
      <c r="LSS131" s="118"/>
      <c r="LST131" s="118"/>
      <c r="LSU131" s="118"/>
      <c r="LSV131" s="118"/>
      <c r="LSW131" s="118"/>
      <c r="LSX131" s="118"/>
      <c r="LSY131" s="118"/>
      <c r="LSZ131" s="118"/>
      <c r="LTA131" s="118"/>
      <c r="LTB131" s="118"/>
      <c r="LTC131" s="118"/>
      <c r="LTD131" s="118"/>
      <c r="LTE131" s="118"/>
      <c r="LTF131" s="118"/>
      <c r="LTG131" s="118"/>
      <c r="LTH131" s="118"/>
      <c r="LTI131" s="118"/>
      <c r="LTJ131" s="118"/>
      <c r="LTK131" s="118"/>
      <c r="LTL131" s="118"/>
      <c r="LTM131" s="118"/>
      <c r="LTN131" s="118"/>
      <c r="LTO131" s="118"/>
      <c r="LTP131" s="118"/>
      <c r="LTQ131" s="118"/>
      <c r="LTR131" s="118"/>
      <c r="LTS131" s="118"/>
      <c r="LTT131" s="118"/>
      <c r="LTU131" s="118"/>
      <c r="LTV131" s="118"/>
      <c r="LTW131" s="118"/>
      <c r="LTX131" s="118"/>
      <c r="LTY131" s="118"/>
      <c r="LTZ131" s="118"/>
      <c r="LUA131" s="118"/>
      <c r="LUB131" s="118"/>
      <c r="LUC131" s="118"/>
      <c r="LUD131" s="118"/>
      <c r="LUE131" s="118"/>
      <c r="LUF131" s="118"/>
      <c r="LUG131" s="118"/>
      <c r="LUH131" s="118"/>
      <c r="LUI131" s="118"/>
      <c r="LUJ131" s="118"/>
      <c r="LUK131" s="118"/>
      <c r="LUL131" s="118"/>
      <c r="LUM131" s="118"/>
      <c r="LUN131" s="118"/>
      <c r="LUO131" s="118"/>
      <c r="LUP131" s="118"/>
      <c r="LUQ131" s="118"/>
      <c r="LUR131" s="118"/>
      <c r="LUS131" s="118"/>
      <c r="LUT131" s="118"/>
      <c r="LUU131" s="118"/>
      <c r="LUV131" s="118"/>
      <c r="LUW131" s="118"/>
      <c r="LUX131" s="118"/>
      <c r="LUY131" s="118"/>
      <c r="LUZ131" s="118"/>
      <c r="LVA131" s="118"/>
      <c r="LVB131" s="118"/>
      <c r="LVC131" s="118"/>
      <c r="LVD131" s="118"/>
      <c r="LVE131" s="118"/>
      <c r="LVF131" s="118"/>
      <c r="LVG131" s="118"/>
      <c r="LVH131" s="118"/>
      <c r="LVI131" s="118"/>
      <c r="LVJ131" s="118"/>
      <c r="LVK131" s="118"/>
      <c r="LVL131" s="118"/>
      <c r="LVM131" s="118"/>
      <c r="LVN131" s="118"/>
      <c r="LVO131" s="118"/>
      <c r="LVP131" s="118"/>
      <c r="LVQ131" s="118"/>
      <c r="LVR131" s="118"/>
      <c r="LVS131" s="118"/>
      <c r="LVT131" s="118"/>
      <c r="LVU131" s="118"/>
      <c r="LVV131" s="118"/>
      <c r="LVW131" s="118"/>
      <c r="LVX131" s="118"/>
      <c r="LVY131" s="118"/>
      <c r="LVZ131" s="118"/>
      <c r="LWA131" s="118"/>
      <c r="LWB131" s="118"/>
      <c r="LWC131" s="118"/>
      <c r="LWD131" s="118"/>
      <c r="LWE131" s="118"/>
      <c r="LWF131" s="118"/>
      <c r="LWG131" s="118"/>
      <c r="LWH131" s="118"/>
      <c r="LWI131" s="118"/>
      <c r="LWJ131" s="118"/>
      <c r="LWK131" s="118"/>
      <c r="LWL131" s="118"/>
      <c r="LWM131" s="118"/>
      <c r="LWN131" s="118"/>
      <c r="LWO131" s="118"/>
      <c r="LWP131" s="118"/>
      <c r="LWQ131" s="118"/>
      <c r="LWR131" s="118"/>
      <c r="LWS131" s="118"/>
      <c r="LWT131" s="118"/>
      <c r="LWU131" s="118"/>
      <c r="LWV131" s="118"/>
      <c r="LWW131" s="118"/>
      <c r="LWX131" s="118"/>
      <c r="LWY131" s="118"/>
      <c r="LWZ131" s="118"/>
      <c r="LXA131" s="118"/>
      <c r="LXB131" s="118"/>
      <c r="LXC131" s="118"/>
      <c r="LXD131" s="118"/>
      <c r="LXE131" s="118"/>
      <c r="LXF131" s="118"/>
      <c r="LXG131" s="118"/>
      <c r="LXH131" s="118"/>
      <c r="LXI131" s="118"/>
      <c r="LXJ131" s="118"/>
      <c r="LXK131" s="118"/>
      <c r="LXL131" s="118"/>
      <c r="LXM131" s="118"/>
      <c r="LXN131" s="118"/>
      <c r="LXO131" s="118"/>
      <c r="LXP131" s="118"/>
      <c r="LXQ131" s="118"/>
      <c r="LXR131" s="118"/>
      <c r="LXS131" s="118"/>
      <c r="LXT131" s="118"/>
      <c r="LXU131" s="118"/>
      <c r="LXV131" s="118"/>
      <c r="LXW131" s="118"/>
      <c r="LXX131" s="118"/>
      <c r="LXY131" s="118"/>
      <c r="LXZ131" s="118"/>
      <c r="LYA131" s="118"/>
      <c r="LYB131" s="118"/>
      <c r="LYC131" s="118"/>
      <c r="LYD131" s="118"/>
      <c r="LYE131" s="118"/>
      <c r="LYF131" s="118"/>
      <c r="LYG131" s="118"/>
      <c r="LYH131" s="118"/>
      <c r="LYI131" s="118"/>
      <c r="LYJ131" s="118"/>
      <c r="LYK131" s="118"/>
      <c r="LYL131" s="118"/>
      <c r="LYM131" s="118"/>
      <c r="LYN131" s="118"/>
      <c r="LYO131" s="118"/>
      <c r="LYP131" s="118"/>
      <c r="LYQ131" s="118"/>
      <c r="LYR131" s="118"/>
      <c r="LYS131" s="118"/>
      <c r="LYT131" s="118"/>
      <c r="LYU131" s="118"/>
      <c r="LYV131" s="118"/>
      <c r="LYW131" s="118"/>
      <c r="LYX131" s="118"/>
      <c r="LYY131" s="118"/>
      <c r="LYZ131" s="118"/>
      <c r="LZA131" s="118"/>
      <c r="LZB131" s="118"/>
      <c r="LZC131" s="118"/>
      <c r="LZD131" s="118"/>
      <c r="LZE131" s="118"/>
      <c r="LZF131" s="118"/>
      <c r="LZG131" s="118"/>
      <c r="LZH131" s="118"/>
      <c r="LZI131" s="118"/>
      <c r="LZJ131" s="118"/>
      <c r="LZK131" s="118"/>
      <c r="LZL131" s="118"/>
      <c r="LZM131" s="118"/>
      <c r="LZN131" s="118"/>
      <c r="LZO131" s="118"/>
      <c r="LZP131" s="118"/>
      <c r="LZQ131" s="118"/>
      <c r="LZR131" s="118"/>
      <c r="LZS131" s="118"/>
      <c r="LZT131" s="118"/>
      <c r="LZU131" s="118"/>
      <c r="LZV131" s="118"/>
      <c r="LZW131" s="118"/>
      <c r="LZX131" s="118"/>
      <c r="LZY131" s="118"/>
      <c r="LZZ131" s="118"/>
      <c r="MAA131" s="118"/>
      <c r="MAB131" s="118"/>
      <c r="MAC131" s="118"/>
      <c r="MAD131" s="118"/>
      <c r="MAE131" s="118"/>
      <c r="MAF131" s="118"/>
      <c r="MAG131" s="118"/>
      <c r="MAH131" s="118"/>
      <c r="MAI131" s="118"/>
      <c r="MAJ131" s="118"/>
      <c r="MAK131" s="118"/>
      <c r="MAL131" s="118"/>
      <c r="MAM131" s="118"/>
      <c r="MAN131" s="118"/>
      <c r="MAO131" s="118"/>
      <c r="MAP131" s="118"/>
      <c r="MAQ131" s="118"/>
      <c r="MAR131" s="118"/>
      <c r="MAS131" s="118"/>
      <c r="MAT131" s="118"/>
      <c r="MAU131" s="118"/>
      <c r="MAV131" s="118"/>
      <c r="MAW131" s="118"/>
      <c r="MAX131" s="118"/>
      <c r="MAY131" s="118"/>
      <c r="MAZ131" s="118"/>
      <c r="MBA131" s="118"/>
      <c r="MBB131" s="118"/>
      <c r="MBC131" s="118"/>
      <c r="MBD131" s="118"/>
      <c r="MBE131" s="118"/>
      <c r="MBF131" s="118"/>
      <c r="MBG131" s="118"/>
      <c r="MBH131" s="118"/>
      <c r="MBI131" s="118"/>
      <c r="MBJ131" s="118"/>
      <c r="MBK131" s="118"/>
      <c r="MBL131" s="118"/>
      <c r="MBM131" s="118"/>
      <c r="MBN131" s="118"/>
      <c r="MBO131" s="118"/>
      <c r="MBP131" s="118"/>
      <c r="MBQ131" s="118"/>
      <c r="MBR131" s="118"/>
      <c r="MBS131" s="118"/>
      <c r="MBT131" s="118"/>
      <c r="MBU131" s="118"/>
      <c r="MBV131" s="118"/>
      <c r="MBW131" s="118"/>
      <c r="MBX131" s="118"/>
      <c r="MBY131" s="118"/>
      <c r="MBZ131" s="118"/>
      <c r="MCA131" s="118"/>
      <c r="MCB131" s="118"/>
      <c r="MCC131" s="118"/>
      <c r="MCD131" s="118"/>
      <c r="MCE131" s="118"/>
      <c r="MCF131" s="118"/>
      <c r="MCG131" s="118"/>
      <c r="MCH131" s="118"/>
      <c r="MCI131" s="118"/>
      <c r="MCJ131" s="118"/>
      <c r="MCK131" s="118"/>
      <c r="MCL131" s="118"/>
      <c r="MCM131" s="118"/>
      <c r="MCN131" s="118"/>
      <c r="MCO131" s="118"/>
      <c r="MCP131" s="118"/>
      <c r="MCQ131" s="118"/>
      <c r="MCR131" s="118"/>
      <c r="MCS131" s="118"/>
      <c r="MCT131" s="118"/>
      <c r="MCU131" s="118"/>
      <c r="MCV131" s="118"/>
      <c r="MCW131" s="118"/>
      <c r="MCX131" s="118"/>
      <c r="MCY131" s="118"/>
      <c r="MCZ131" s="118"/>
      <c r="MDA131" s="118"/>
      <c r="MDB131" s="118"/>
      <c r="MDC131" s="118"/>
      <c r="MDD131" s="118"/>
      <c r="MDE131" s="118"/>
      <c r="MDF131" s="118"/>
      <c r="MDG131" s="118"/>
      <c r="MDH131" s="118"/>
      <c r="MDI131" s="118"/>
      <c r="MDJ131" s="118"/>
      <c r="MDK131" s="118"/>
      <c r="MDL131" s="118"/>
      <c r="MDM131" s="118"/>
      <c r="MDN131" s="118"/>
      <c r="MDO131" s="118"/>
      <c r="MDP131" s="118"/>
      <c r="MDQ131" s="118"/>
      <c r="MDR131" s="118"/>
      <c r="MDS131" s="118"/>
      <c r="MDT131" s="118"/>
      <c r="MDU131" s="118"/>
      <c r="MDV131" s="118"/>
      <c r="MDW131" s="118"/>
      <c r="MDX131" s="118"/>
      <c r="MDY131" s="118"/>
      <c r="MDZ131" s="118"/>
      <c r="MEA131" s="118"/>
      <c r="MEB131" s="118"/>
      <c r="MEC131" s="118"/>
      <c r="MED131" s="118"/>
      <c r="MEE131" s="118"/>
      <c r="MEF131" s="118"/>
      <c r="MEG131" s="118"/>
      <c r="MEH131" s="118"/>
      <c r="MEI131" s="118"/>
      <c r="MEJ131" s="118"/>
      <c r="MEK131" s="118"/>
      <c r="MEL131" s="118"/>
      <c r="MEM131" s="118"/>
      <c r="MEN131" s="118"/>
      <c r="MEO131" s="118"/>
      <c r="MEP131" s="118"/>
      <c r="MEQ131" s="118"/>
      <c r="MER131" s="118"/>
      <c r="MES131" s="118"/>
      <c r="MET131" s="118"/>
      <c r="MEU131" s="118"/>
      <c r="MEV131" s="118"/>
      <c r="MEW131" s="118"/>
      <c r="MEX131" s="118"/>
      <c r="MEY131" s="118"/>
      <c r="MEZ131" s="118"/>
      <c r="MFA131" s="118"/>
      <c r="MFB131" s="118"/>
      <c r="MFC131" s="118"/>
      <c r="MFD131" s="118"/>
      <c r="MFE131" s="118"/>
      <c r="MFF131" s="118"/>
      <c r="MFG131" s="118"/>
      <c r="MFH131" s="118"/>
      <c r="MFI131" s="118"/>
      <c r="MFJ131" s="118"/>
      <c r="MFK131" s="118"/>
      <c r="MFL131" s="118"/>
      <c r="MFM131" s="118"/>
      <c r="MFN131" s="118"/>
      <c r="MFO131" s="118"/>
      <c r="MFP131" s="118"/>
      <c r="MFQ131" s="118"/>
      <c r="MFR131" s="118"/>
      <c r="MFS131" s="118"/>
      <c r="MFT131" s="118"/>
      <c r="MFU131" s="118"/>
      <c r="MFV131" s="118"/>
      <c r="MFW131" s="118"/>
      <c r="MFX131" s="118"/>
      <c r="MFY131" s="118"/>
      <c r="MFZ131" s="118"/>
      <c r="MGA131" s="118"/>
      <c r="MGB131" s="118"/>
      <c r="MGC131" s="118"/>
      <c r="MGD131" s="118"/>
      <c r="MGE131" s="118"/>
      <c r="MGF131" s="118"/>
      <c r="MGG131" s="118"/>
      <c r="MGH131" s="118"/>
      <c r="MGI131" s="118"/>
      <c r="MGJ131" s="118"/>
      <c r="MGK131" s="118"/>
      <c r="MGL131" s="118"/>
      <c r="MGM131" s="118"/>
      <c r="MGN131" s="118"/>
      <c r="MGO131" s="118"/>
      <c r="MGP131" s="118"/>
      <c r="MGQ131" s="118"/>
      <c r="MGR131" s="118"/>
      <c r="MGS131" s="118"/>
      <c r="MGT131" s="118"/>
      <c r="MGU131" s="118"/>
      <c r="MGV131" s="118"/>
      <c r="MGW131" s="118"/>
      <c r="MGX131" s="118"/>
      <c r="MGY131" s="118"/>
      <c r="MGZ131" s="118"/>
      <c r="MHA131" s="118"/>
      <c r="MHB131" s="118"/>
      <c r="MHC131" s="118"/>
      <c r="MHD131" s="118"/>
      <c r="MHE131" s="118"/>
      <c r="MHF131" s="118"/>
      <c r="MHG131" s="118"/>
      <c r="MHH131" s="118"/>
      <c r="MHI131" s="118"/>
      <c r="MHJ131" s="118"/>
      <c r="MHK131" s="118"/>
      <c r="MHL131" s="118"/>
      <c r="MHM131" s="118"/>
      <c r="MHN131" s="118"/>
      <c r="MHO131" s="118"/>
      <c r="MHP131" s="118"/>
      <c r="MHQ131" s="118"/>
      <c r="MHR131" s="118"/>
      <c r="MHS131" s="118"/>
      <c r="MHT131" s="118"/>
      <c r="MHU131" s="118"/>
      <c r="MHV131" s="118"/>
      <c r="MHW131" s="118"/>
      <c r="MHX131" s="118"/>
      <c r="MHY131" s="118"/>
      <c r="MHZ131" s="118"/>
      <c r="MIA131" s="118"/>
      <c r="MIB131" s="118"/>
      <c r="MIC131" s="118"/>
      <c r="MID131" s="118"/>
      <c r="MIE131" s="118"/>
      <c r="MIF131" s="118"/>
      <c r="MIG131" s="118"/>
      <c r="MIH131" s="118"/>
      <c r="MII131" s="118"/>
      <c r="MIJ131" s="118"/>
      <c r="MIK131" s="118"/>
      <c r="MIL131" s="118"/>
      <c r="MIM131" s="118"/>
      <c r="MIN131" s="118"/>
      <c r="MIO131" s="118"/>
      <c r="MIP131" s="118"/>
      <c r="MIQ131" s="118"/>
      <c r="MIR131" s="118"/>
      <c r="MIS131" s="118"/>
      <c r="MIT131" s="118"/>
      <c r="MIU131" s="118"/>
      <c r="MIV131" s="118"/>
      <c r="MIW131" s="118"/>
      <c r="MIX131" s="118"/>
      <c r="MIY131" s="118"/>
      <c r="MIZ131" s="118"/>
      <c r="MJA131" s="118"/>
      <c r="MJB131" s="118"/>
      <c r="MJC131" s="118"/>
      <c r="MJD131" s="118"/>
      <c r="MJE131" s="118"/>
      <c r="MJF131" s="118"/>
      <c r="MJG131" s="118"/>
      <c r="MJH131" s="118"/>
      <c r="MJI131" s="118"/>
      <c r="MJJ131" s="118"/>
      <c r="MJK131" s="118"/>
      <c r="MJL131" s="118"/>
      <c r="MJM131" s="118"/>
      <c r="MJN131" s="118"/>
      <c r="MJO131" s="118"/>
      <c r="MJP131" s="118"/>
      <c r="MJQ131" s="118"/>
      <c r="MJR131" s="118"/>
      <c r="MJS131" s="118"/>
      <c r="MJT131" s="118"/>
      <c r="MJU131" s="118"/>
      <c r="MJV131" s="118"/>
      <c r="MJW131" s="118"/>
      <c r="MJX131" s="118"/>
      <c r="MJY131" s="118"/>
      <c r="MJZ131" s="118"/>
      <c r="MKA131" s="118"/>
      <c r="MKB131" s="118"/>
      <c r="MKC131" s="118"/>
      <c r="MKD131" s="118"/>
      <c r="MKE131" s="118"/>
      <c r="MKF131" s="118"/>
      <c r="MKG131" s="118"/>
      <c r="MKH131" s="118"/>
      <c r="MKI131" s="118"/>
      <c r="MKJ131" s="118"/>
      <c r="MKK131" s="118"/>
      <c r="MKL131" s="118"/>
      <c r="MKM131" s="118"/>
      <c r="MKN131" s="118"/>
      <c r="MKO131" s="118"/>
      <c r="MKP131" s="118"/>
      <c r="MKQ131" s="118"/>
      <c r="MKR131" s="118"/>
      <c r="MKS131" s="118"/>
      <c r="MKT131" s="118"/>
      <c r="MKU131" s="118"/>
      <c r="MKV131" s="118"/>
      <c r="MKW131" s="118"/>
      <c r="MKX131" s="118"/>
      <c r="MKY131" s="118"/>
      <c r="MKZ131" s="118"/>
      <c r="MLA131" s="118"/>
      <c r="MLB131" s="118"/>
      <c r="MLC131" s="118"/>
      <c r="MLD131" s="118"/>
      <c r="MLE131" s="118"/>
      <c r="MLF131" s="118"/>
      <c r="MLG131" s="118"/>
      <c r="MLH131" s="118"/>
      <c r="MLI131" s="118"/>
      <c r="MLJ131" s="118"/>
      <c r="MLK131" s="118"/>
      <c r="MLL131" s="118"/>
      <c r="MLM131" s="118"/>
      <c r="MLN131" s="118"/>
      <c r="MLO131" s="118"/>
      <c r="MLP131" s="118"/>
      <c r="MLQ131" s="118"/>
      <c r="MLR131" s="118"/>
      <c r="MLS131" s="118"/>
      <c r="MLT131" s="118"/>
      <c r="MLU131" s="118"/>
      <c r="MLV131" s="118"/>
      <c r="MLW131" s="118"/>
      <c r="MLX131" s="118"/>
      <c r="MLY131" s="118"/>
      <c r="MLZ131" s="118"/>
      <c r="MMA131" s="118"/>
      <c r="MMB131" s="118"/>
      <c r="MMC131" s="118"/>
      <c r="MMD131" s="118"/>
      <c r="MME131" s="118"/>
      <c r="MMF131" s="118"/>
      <c r="MMG131" s="118"/>
      <c r="MMH131" s="118"/>
      <c r="MMI131" s="118"/>
      <c r="MMJ131" s="118"/>
      <c r="MMK131" s="118"/>
      <c r="MML131" s="118"/>
      <c r="MMM131" s="118"/>
      <c r="MMN131" s="118"/>
      <c r="MMO131" s="118"/>
      <c r="MMP131" s="118"/>
      <c r="MMQ131" s="118"/>
      <c r="MMR131" s="118"/>
      <c r="MMS131" s="118"/>
      <c r="MMT131" s="118"/>
      <c r="MMU131" s="118"/>
      <c r="MMV131" s="118"/>
      <c r="MMW131" s="118"/>
      <c r="MMX131" s="118"/>
      <c r="MMY131" s="118"/>
      <c r="MMZ131" s="118"/>
      <c r="MNA131" s="118"/>
      <c r="MNB131" s="118"/>
      <c r="MNC131" s="118"/>
      <c r="MND131" s="118"/>
      <c r="MNE131" s="118"/>
      <c r="MNF131" s="118"/>
      <c r="MNG131" s="118"/>
      <c r="MNH131" s="118"/>
      <c r="MNI131" s="118"/>
      <c r="MNJ131" s="118"/>
      <c r="MNK131" s="118"/>
      <c r="MNL131" s="118"/>
      <c r="MNM131" s="118"/>
      <c r="MNN131" s="118"/>
      <c r="MNO131" s="118"/>
      <c r="MNP131" s="118"/>
      <c r="MNQ131" s="118"/>
      <c r="MNR131" s="118"/>
      <c r="MNS131" s="118"/>
      <c r="MNT131" s="118"/>
      <c r="MNU131" s="118"/>
      <c r="MNV131" s="118"/>
      <c r="MNW131" s="118"/>
      <c r="MNX131" s="118"/>
      <c r="MNY131" s="118"/>
      <c r="MNZ131" s="118"/>
      <c r="MOA131" s="118"/>
      <c r="MOB131" s="118"/>
      <c r="MOC131" s="118"/>
      <c r="MOD131" s="118"/>
      <c r="MOE131" s="118"/>
      <c r="MOF131" s="118"/>
      <c r="MOG131" s="118"/>
      <c r="MOH131" s="118"/>
      <c r="MOI131" s="118"/>
      <c r="MOJ131" s="118"/>
      <c r="MOK131" s="118"/>
      <c r="MOL131" s="118"/>
      <c r="MOM131" s="118"/>
      <c r="MON131" s="118"/>
      <c r="MOO131" s="118"/>
      <c r="MOP131" s="118"/>
      <c r="MOQ131" s="118"/>
      <c r="MOR131" s="118"/>
      <c r="MOS131" s="118"/>
      <c r="MOT131" s="118"/>
      <c r="MOU131" s="118"/>
      <c r="MOV131" s="118"/>
      <c r="MOW131" s="118"/>
      <c r="MOX131" s="118"/>
      <c r="MOY131" s="118"/>
      <c r="MOZ131" s="118"/>
      <c r="MPA131" s="118"/>
      <c r="MPB131" s="118"/>
      <c r="MPC131" s="118"/>
      <c r="MPD131" s="118"/>
      <c r="MPE131" s="118"/>
      <c r="MPF131" s="118"/>
      <c r="MPG131" s="118"/>
      <c r="MPH131" s="118"/>
      <c r="MPI131" s="118"/>
      <c r="MPJ131" s="118"/>
      <c r="MPK131" s="118"/>
      <c r="MPL131" s="118"/>
      <c r="MPM131" s="118"/>
      <c r="MPN131" s="118"/>
      <c r="MPO131" s="118"/>
      <c r="MPP131" s="118"/>
      <c r="MPQ131" s="118"/>
      <c r="MPR131" s="118"/>
      <c r="MPS131" s="118"/>
      <c r="MPT131" s="118"/>
      <c r="MPU131" s="118"/>
      <c r="MPV131" s="118"/>
      <c r="MPW131" s="118"/>
      <c r="MPX131" s="118"/>
      <c r="MPY131" s="118"/>
      <c r="MPZ131" s="118"/>
      <c r="MQA131" s="118"/>
      <c r="MQB131" s="118"/>
      <c r="MQC131" s="118"/>
      <c r="MQD131" s="118"/>
      <c r="MQE131" s="118"/>
      <c r="MQF131" s="118"/>
      <c r="MQG131" s="118"/>
      <c r="MQH131" s="118"/>
      <c r="MQI131" s="118"/>
      <c r="MQJ131" s="118"/>
      <c r="MQK131" s="118"/>
      <c r="MQL131" s="118"/>
      <c r="MQM131" s="118"/>
      <c r="MQN131" s="118"/>
      <c r="MQO131" s="118"/>
      <c r="MQP131" s="118"/>
      <c r="MQQ131" s="118"/>
      <c r="MQR131" s="118"/>
      <c r="MQS131" s="118"/>
      <c r="MQT131" s="118"/>
      <c r="MQU131" s="118"/>
      <c r="MQV131" s="118"/>
      <c r="MQW131" s="118"/>
      <c r="MQX131" s="118"/>
      <c r="MQY131" s="118"/>
      <c r="MQZ131" s="118"/>
      <c r="MRA131" s="118"/>
      <c r="MRB131" s="118"/>
      <c r="MRC131" s="118"/>
      <c r="MRD131" s="118"/>
      <c r="MRE131" s="118"/>
      <c r="MRF131" s="118"/>
      <c r="MRG131" s="118"/>
      <c r="MRH131" s="118"/>
      <c r="MRI131" s="118"/>
      <c r="MRJ131" s="118"/>
      <c r="MRK131" s="118"/>
      <c r="MRL131" s="118"/>
      <c r="MRM131" s="118"/>
      <c r="MRN131" s="118"/>
      <c r="MRO131" s="118"/>
      <c r="MRP131" s="118"/>
      <c r="MRQ131" s="118"/>
      <c r="MRR131" s="118"/>
      <c r="MRS131" s="118"/>
      <c r="MRT131" s="118"/>
      <c r="MRU131" s="118"/>
      <c r="MRV131" s="118"/>
      <c r="MRW131" s="118"/>
      <c r="MRX131" s="118"/>
      <c r="MRY131" s="118"/>
      <c r="MRZ131" s="118"/>
      <c r="MSA131" s="118"/>
      <c r="MSB131" s="118"/>
      <c r="MSC131" s="118"/>
      <c r="MSD131" s="118"/>
      <c r="MSE131" s="118"/>
      <c r="MSF131" s="118"/>
      <c r="MSG131" s="118"/>
      <c r="MSH131" s="118"/>
      <c r="MSI131" s="118"/>
      <c r="MSJ131" s="118"/>
      <c r="MSK131" s="118"/>
      <c r="MSL131" s="118"/>
      <c r="MSM131" s="118"/>
      <c r="MSN131" s="118"/>
      <c r="MSO131" s="118"/>
      <c r="MSP131" s="118"/>
      <c r="MSQ131" s="118"/>
      <c r="MSR131" s="118"/>
      <c r="MSS131" s="118"/>
      <c r="MST131" s="118"/>
      <c r="MSU131" s="118"/>
      <c r="MSV131" s="118"/>
      <c r="MSW131" s="118"/>
      <c r="MSX131" s="118"/>
      <c r="MSY131" s="118"/>
      <c r="MSZ131" s="118"/>
      <c r="MTA131" s="118"/>
      <c r="MTB131" s="118"/>
      <c r="MTC131" s="118"/>
      <c r="MTD131" s="118"/>
      <c r="MTE131" s="118"/>
      <c r="MTF131" s="118"/>
      <c r="MTG131" s="118"/>
      <c r="MTH131" s="118"/>
      <c r="MTI131" s="118"/>
      <c r="MTJ131" s="118"/>
      <c r="MTK131" s="118"/>
      <c r="MTL131" s="118"/>
      <c r="MTM131" s="118"/>
      <c r="MTN131" s="118"/>
      <c r="MTO131" s="118"/>
      <c r="MTP131" s="118"/>
      <c r="MTQ131" s="118"/>
      <c r="MTR131" s="118"/>
      <c r="MTS131" s="118"/>
      <c r="MTT131" s="118"/>
      <c r="MTU131" s="118"/>
      <c r="MTV131" s="118"/>
      <c r="MTW131" s="118"/>
      <c r="MTX131" s="118"/>
      <c r="MTY131" s="118"/>
      <c r="MTZ131" s="118"/>
      <c r="MUA131" s="118"/>
      <c r="MUB131" s="118"/>
      <c r="MUC131" s="118"/>
      <c r="MUD131" s="118"/>
      <c r="MUE131" s="118"/>
      <c r="MUF131" s="118"/>
      <c r="MUG131" s="118"/>
      <c r="MUH131" s="118"/>
      <c r="MUI131" s="118"/>
      <c r="MUJ131" s="118"/>
      <c r="MUK131" s="118"/>
      <c r="MUL131" s="118"/>
      <c r="MUM131" s="118"/>
      <c r="MUN131" s="118"/>
      <c r="MUO131" s="118"/>
      <c r="MUP131" s="118"/>
      <c r="MUQ131" s="118"/>
      <c r="MUR131" s="118"/>
      <c r="MUS131" s="118"/>
      <c r="MUT131" s="118"/>
      <c r="MUU131" s="118"/>
      <c r="MUV131" s="118"/>
      <c r="MUW131" s="118"/>
      <c r="MUX131" s="118"/>
      <c r="MUY131" s="118"/>
      <c r="MUZ131" s="118"/>
      <c r="MVA131" s="118"/>
      <c r="MVB131" s="118"/>
      <c r="MVC131" s="118"/>
      <c r="MVD131" s="118"/>
      <c r="MVE131" s="118"/>
      <c r="MVF131" s="118"/>
      <c r="MVG131" s="118"/>
      <c r="MVH131" s="118"/>
      <c r="MVI131" s="118"/>
      <c r="MVJ131" s="118"/>
      <c r="MVK131" s="118"/>
      <c r="MVL131" s="118"/>
      <c r="MVM131" s="118"/>
      <c r="MVN131" s="118"/>
      <c r="MVO131" s="118"/>
      <c r="MVP131" s="118"/>
      <c r="MVQ131" s="118"/>
      <c r="MVR131" s="118"/>
      <c r="MVS131" s="118"/>
      <c r="MVT131" s="118"/>
      <c r="MVU131" s="118"/>
      <c r="MVV131" s="118"/>
      <c r="MVW131" s="118"/>
      <c r="MVX131" s="118"/>
      <c r="MVY131" s="118"/>
      <c r="MVZ131" s="118"/>
      <c r="MWA131" s="118"/>
      <c r="MWB131" s="118"/>
      <c r="MWC131" s="118"/>
      <c r="MWD131" s="118"/>
      <c r="MWE131" s="118"/>
      <c r="MWF131" s="118"/>
      <c r="MWG131" s="118"/>
      <c r="MWH131" s="118"/>
      <c r="MWI131" s="118"/>
      <c r="MWJ131" s="118"/>
      <c r="MWK131" s="118"/>
      <c r="MWL131" s="118"/>
      <c r="MWM131" s="118"/>
      <c r="MWN131" s="118"/>
      <c r="MWO131" s="118"/>
      <c r="MWP131" s="118"/>
      <c r="MWQ131" s="118"/>
      <c r="MWR131" s="118"/>
      <c r="MWS131" s="118"/>
      <c r="MWT131" s="118"/>
      <c r="MWU131" s="118"/>
      <c r="MWV131" s="118"/>
      <c r="MWW131" s="118"/>
      <c r="MWX131" s="118"/>
      <c r="MWY131" s="118"/>
      <c r="MWZ131" s="118"/>
      <c r="MXA131" s="118"/>
      <c r="MXB131" s="118"/>
      <c r="MXC131" s="118"/>
      <c r="MXD131" s="118"/>
      <c r="MXE131" s="118"/>
      <c r="MXF131" s="118"/>
      <c r="MXG131" s="118"/>
      <c r="MXH131" s="118"/>
      <c r="MXI131" s="118"/>
      <c r="MXJ131" s="118"/>
      <c r="MXK131" s="118"/>
      <c r="MXL131" s="118"/>
      <c r="MXM131" s="118"/>
      <c r="MXN131" s="118"/>
      <c r="MXO131" s="118"/>
      <c r="MXP131" s="118"/>
      <c r="MXQ131" s="118"/>
      <c r="MXR131" s="118"/>
      <c r="MXS131" s="118"/>
      <c r="MXT131" s="118"/>
      <c r="MXU131" s="118"/>
      <c r="MXV131" s="118"/>
      <c r="MXW131" s="118"/>
      <c r="MXX131" s="118"/>
      <c r="MXY131" s="118"/>
      <c r="MXZ131" s="118"/>
      <c r="MYA131" s="118"/>
      <c r="MYB131" s="118"/>
      <c r="MYC131" s="118"/>
      <c r="MYD131" s="118"/>
      <c r="MYE131" s="118"/>
      <c r="MYF131" s="118"/>
      <c r="MYG131" s="118"/>
      <c r="MYH131" s="118"/>
      <c r="MYI131" s="118"/>
      <c r="MYJ131" s="118"/>
      <c r="MYK131" s="118"/>
      <c r="MYL131" s="118"/>
      <c r="MYM131" s="118"/>
      <c r="MYN131" s="118"/>
      <c r="MYO131" s="118"/>
      <c r="MYP131" s="118"/>
      <c r="MYQ131" s="118"/>
      <c r="MYR131" s="118"/>
      <c r="MYS131" s="118"/>
      <c r="MYT131" s="118"/>
      <c r="MYU131" s="118"/>
      <c r="MYV131" s="118"/>
      <c r="MYW131" s="118"/>
      <c r="MYX131" s="118"/>
      <c r="MYY131" s="118"/>
      <c r="MYZ131" s="118"/>
      <c r="MZA131" s="118"/>
      <c r="MZB131" s="118"/>
      <c r="MZC131" s="118"/>
      <c r="MZD131" s="118"/>
      <c r="MZE131" s="118"/>
      <c r="MZF131" s="118"/>
      <c r="MZG131" s="118"/>
      <c r="MZH131" s="118"/>
      <c r="MZI131" s="118"/>
      <c r="MZJ131" s="118"/>
      <c r="MZK131" s="118"/>
      <c r="MZL131" s="118"/>
      <c r="MZM131" s="118"/>
      <c r="MZN131" s="118"/>
      <c r="MZO131" s="118"/>
      <c r="MZP131" s="118"/>
      <c r="MZQ131" s="118"/>
      <c r="MZR131" s="118"/>
      <c r="MZS131" s="118"/>
      <c r="MZT131" s="118"/>
      <c r="MZU131" s="118"/>
      <c r="MZV131" s="118"/>
      <c r="MZW131" s="118"/>
      <c r="MZX131" s="118"/>
      <c r="MZY131" s="118"/>
      <c r="MZZ131" s="118"/>
      <c r="NAA131" s="118"/>
      <c r="NAB131" s="118"/>
      <c r="NAC131" s="118"/>
      <c r="NAD131" s="118"/>
      <c r="NAE131" s="118"/>
      <c r="NAF131" s="118"/>
      <c r="NAG131" s="118"/>
      <c r="NAH131" s="118"/>
      <c r="NAI131" s="118"/>
      <c r="NAJ131" s="118"/>
      <c r="NAK131" s="118"/>
      <c r="NAL131" s="118"/>
      <c r="NAM131" s="118"/>
      <c r="NAN131" s="118"/>
      <c r="NAO131" s="118"/>
      <c r="NAP131" s="118"/>
      <c r="NAQ131" s="118"/>
      <c r="NAR131" s="118"/>
      <c r="NAS131" s="118"/>
      <c r="NAT131" s="118"/>
      <c r="NAU131" s="118"/>
      <c r="NAV131" s="118"/>
      <c r="NAW131" s="118"/>
      <c r="NAX131" s="118"/>
      <c r="NAY131" s="118"/>
      <c r="NAZ131" s="118"/>
      <c r="NBA131" s="118"/>
      <c r="NBB131" s="118"/>
      <c r="NBC131" s="118"/>
      <c r="NBD131" s="118"/>
      <c r="NBE131" s="118"/>
      <c r="NBF131" s="118"/>
      <c r="NBG131" s="118"/>
      <c r="NBH131" s="118"/>
      <c r="NBI131" s="118"/>
      <c r="NBJ131" s="118"/>
      <c r="NBK131" s="118"/>
      <c r="NBL131" s="118"/>
      <c r="NBM131" s="118"/>
      <c r="NBN131" s="118"/>
      <c r="NBO131" s="118"/>
      <c r="NBP131" s="118"/>
      <c r="NBQ131" s="118"/>
      <c r="NBR131" s="118"/>
      <c r="NBS131" s="118"/>
      <c r="NBT131" s="118"/>
      <c r="NBU131" s="118"/>
      <c r="NBV131" s="118"/>
      <c r="NBW131" s="118"/>
      <c r="NBX131" s="118"/>
      <c r="NBY131" s="118"/>
      <c r="NBZ131" s="118"/>
      <c r="NCA131" s="118"/>
      <c r="NCB131" s="118"/>
      <c r="NCC131" s="118"/>
      <c r="NCD131" s="118"/>
      <c r="NCE131" s="118"/>
      <c r="NCF131" s="118"/>
      <c r="NCG131" s="118"/>
      <c r="NCH131" s="118"/>
      <c r="NCI131" s="118"/>
      <c r="NCJ131" s="118"/>
      <c r="NCK131" s="118"/>
      <c r="NCL131" s="118"/>
      <c r="NCM131" s="118"/>
      <c r="NCN131" s="118"/>
      <c r="NCO131" s="118"/>
      <c r="NCP131" s="118"/>
      <c r="NCQ131" s="118"/>
      <c r="NCR131" s="118"/>
      <c r="NCS131" s="118"/>
      <c r="NCT131" s="118"/>
      <c r="NCU131" s="118"/>
      <c r="NCV131" s="118"/>
      <c r="NCW131" s="118"/>
      <c r="NCX131" s="118"/>
      <c r="NCY131" s="118"/>
      <c r="NCZ131" s="118"/>
      <c r="NDA131" s="118"/>
      <c r="NDB131" s="118"/>
      <c r="NDC131" s="118"/>
      <c r="NDD131" s="118"/>
      <c r="NDE131" s="118"/>
      <c r="NDF131" s="118"/>
      <c r="NDG131" s="118"/>
      <c r="NDH131" s="118"/>
      <c r="NDI131" s="118"/>
      <c r="NDJ131" s="118"/>
      <c r="NDK131" s="118"/>
      <c r="NDL131" s="118"/>
      <c r="NDM131" s="118"/>
      <c r="NDN131" s="118"/>
      <c r="NDO131" s="118"/>
      <c r="NDP131" s="118"/>
      <c r="NDQ131" s="118"/>
      <c r="NDR131" s="118"/>
      <c r="NDS131" s="118"/>
      <c r="NDT131" s="118"/>
      <c r="NDU131" s="118"/>
      <c r="NDV131" s="118"/>
      <c r="NDW131" s="118"/>
      <c r="NDX131" s="118"/>
      <c r="NDY131" s="118"/>
      <c r="NDZ131" s="118"/>
      <c r="NEA131" s="118"/>
      <c r="NEB131" s="118"/>
      <c r="NEC131" s="118"/>
      <c r="NED131" s="118"/>
      <c r="NEE131" s="118"/>
      <c r="NEF131" s="118"/>
      <c r="NEG131" s="118"/>
      <c r="NEH131" s="118"/>
      <c r="NEI131" s="118"/>
      <c r="NEJ131" s="118"/>
      <c r="NEK131" s="118"/>
      <c r="NEL131" s="118"/>
      <c r="NEM131" s="118"/>
      <c r="NEN131" s="118"/>
      <c r="NEO131" s="118"/>
      <c r="NEP131" s="118"/>
      <c r="NEQ131" s="118"/>
      <c r="NER131" s="118"/>
      <c r="NES131" s="118"/>
      <c r="NET131" s="118"/>
      <c r="NEU131" s="118"/>
      <c r="NEV131" s="118"/>
      <c r="NEW131" s="118"/>
      <c r="NEX131" s="118"/>
      <c r="NEY131" s="118"/>
      <c r="NEZ131" s="118"/>
      <c r="NFA131" s="118"/>
      <c r="NFB131" s="118"/>
      <c r="NFC131" s="118"/>
      <c r="NFD131" s="118"/>
      <c r="NFE131" s="118"/>
      <c r="NFF131" s="118"/>
      <c r="NFG131" s="118"/>
      <c r="NFH131" s="118"/>
      <c r="NFI131" s="118"/>
      <c r="NFJ131" s="118"/>
      <c r="NFK131" s="118"/>
      <c r="NFL131" s="118"/>
      <c r="NFM131" s="118"/>
      <c r="NFN131" s="118"/>
      <c r="NFO131" s="118"/>
      <c r="NFP131" s="118"/>
      <c r="NFQ131" s="118"/>
      <c r="NFR131" s="118"/>
      <c r="NFS131" s="118"/>
      <c r="NFT131" s="118"/>
      <c r="NFU131" s="118"/>
      <c r="NFV131" s="118"/>
      <c r="NFW131" s="118"/>
      <c r="NFX131" s="118"/>
      <c r="NFY131" s="118"/>
      <c r="NFZ131" s="118"/>
      <c r="NGA131" s="118"/>
      <c r="NGB131" s="118"/>
      <c r="NGC131" s="118"/>
      <c r="NGD131" s="118"/>
      <c r="NGE131" s="118"/>
      <c r="NGF131" s="118"/>
      <c r="NGG131" s="118"/>
      <c r="NGH131" s="118"/>
      <c r="NGI131" s="118"/>
      <c r="NGJ131" s="118"/>
      <c r="NGK131" s="118"/>
      <c r="NGL131" s="118"/>
      <c r="NGM131" s="118"/>
      <c r="NGN131" s="118"/>
      <c r="NGO131" s="118"/>
      <c r="NGP131" s="118"/>
      <c r="NGQ131" s="118"/>
      <c r="NGR131" s="118"/>
      <c r="NGS131" s="118"/>
      <c r="NGT131" s="118"/>
      <c r="NGU131" s="118"/>
      <c r="NGV131" s="118"/>
      <c r="NGW131" s="118"/>
      <c r="NGX131" s="118"/>
      <c r="NGY131" s="118"/>
      <c r="NGZ131" s="118"/>
      <c r="NHA131" s="118"/>
      <c r="NHB131" s="118"/>
      <c r="NHC131" s="118"/>
      <c r="NHD131" s="118"/>
      <c r="NHE131" s="118"/>
      <c r="NHF131" s="118"/>
      <c r="NHG131" s="118"/>
      <c r="NHH131" s="118"/>
      <c r="NHI131" s="118"/>
      <c r="NHJ131" s="118"/>
      <c r="NHK131" s="118"/>
      <c r="NHL131" s="118"/>
      <c r="NHM131" s="118"/>
      <c r="NHN131" s="118"/>
      <c r="NHO131" s="118"/>
      <c r="NHP131" s="118"/>
      <c r="NHQ131" s="118"/>
      <c r="NHR131" s="118"/>
      <c r="NHS131" s="118"/>
      <c r="NHT131" s="118"/>
      <c r="NHU131" s="118"/>
      <c r="NHV131" s="118"/>
      <c r="NHW131" s="118"/>
      <c r="NHX131" s="118"/>
      <c r="NHY131" s="118"/>
      <c r="NHZ131" s="118"/>
      <c r="NIA131" s="118"/>
      <c r="NIB131" s="118"/>
      <c r="NIC131" s="118"/>
      <c r="NID131" s="118"/>
      <c r="NIE131" s="118"/>
      <c r="NIF131" s="118"/>
      <c r="NIG131" s="118"/>
      <c r="NIH131" s="118"/>
      <c r="NII131" s="118"/>
      <c r="NIJ131" s="118"/>
      <c r="NIK131" s="118"/>
      <c r="NIL131" s="118"/>
      <c r="NIM131" s="118"/>
      <c r="NIN131" s="118"/>
      <c r="NIO131" s="118"/>
      <c r="NIP131" s="118"/>
      <c r="NIQ131" s="118"/>
      <c r="NIR131" s="118"/>
      <c r="NIS131" s="118"/>
      <c r="NIT131" s="118"/>
      <c r="NIU131" s="118"/>
      <c r="NIV131" s="118"/>
      <c r="NIW131" s="118"/>
      <c r="NIX131" s="118"/>
      <c r="NIY131" s="118"/>
      <c r="NIZ131" s="118"/>
      <c r="NJA131" s="118"/>
      <c r="NJB131" s="118"/>
      <c r="NJC131" s="118"/>
      <c r="NJD131" s="118"/>
      <c r="NJE131" s="118"/>
      <c r="NJF131" s="118"/>
      <c r="NJG131" s="118"/>
      <c r="NJH131" s="118"/>
      <c r="NJI131" s="118"/>
      <c r="NJJ131" s="118"/>
      <c r="NJK131" s="118"/>
      <c r="NJL131" s="118"/>
      <c r="NJM131" s="118"/>
      <c r="NJN131" s="118"/>
      <c r="NJO131" s="118"/>
      <c r="NJP131" s="118"/>
      <c r="NJQ131" s="118"/>
      <c r="NJR131" s="118"/>
      <c r="NJS131" s="118"/>
      <c r="NJT131" s="118"/>
      <c r="NJU131" s="118"/>
      <c r="NJV131" s="118"/>
      <c r="NJW131" s="118"/>
      <c r="NJX131" s="118"/>
      <c r="NJY131" s="118"/>
      <c r="NJZ131" s="118"/>
      <c r="NKA131" s="118"/>
      <c r="NKB131" s="118"/>
      <c r="NKC131" s="118"/>
      <c r="NKD131" s="118"/>
      <c r="NKE131" s="118"/>
      <c r="NKF131" s="118"/>
      <c r="NKG131" s="118"/>
      <c r="NKH131" s="118"/>
      <c r="NKI131" s="118"/>
      <c r="NKJ131" s="118"/>
      <c r="NKK131" s="118"/>
      <c r="NKL131" s="118"/>
      <c r="NKM131" s="118"/>
      <c r="NKN131" s="118"/>
      <c r="NKO131" s="118"/>
      <c r="NKP131" s="118"/>
      <c r="NKQ131" s="118"/>
      <c r="NKR131" s="118"/>
      <c r="NKS131" s="118"/>
      <c r="NKT131" s="118"/>
      <c r="NKU131" s="118"/>
      <c r="NKV131" s="118"/>
      <c r="NKW131" s="118"/>
      <c r="NKX131" s="118"/>
      <c r="NKY131" s="118"/>
      <c r="NKZ131" s="118"/>
      <c r="NLA131" s="118"/>
      <c r="NLB131" s="118"/>
      <c r="NLC131" s="118"/>
      <c r="NLD131" s="118"/>
      <c r="NLE131" s="118"/>
      <c r="NLF131" s="118"/>
      <c r="NLG131" s="118"/>
      <c r="NLH131" s="118"/>
      <c r="NLI131" s="118"/>
      <c r="NLJ131" s="118"/>
      <c r="NLK131" s="118"/>
      <c r="NLL131" s="118"/>
      <c r="NLM131" s="118"/>
      <c r="NLN131" s="118"/>
      <c r="NLO131" s="118"/>
      <c r="NLP131" s="118"/>
      <c r="NLQ131" s="118"/>
      <c r="NLR131" s="118"/>
      <c r="NLS131" s="118"/>
      <c r="NLT131" s="118"/>
      <c r="NLU131" s="118"/>
      <c r="NLV131" s="118"/>
      <c r="NLW131" s="118"/>
      <c r="NLX131" s="118"/>
      <c r="NLY131" s="118"/>
      <c r="NLZ131" s="118"/>
      <c r="NMA131" s="118"/>
      <c r="NMB131" s="118"/>
      <c r="NMC131" s="118"/>
      <c r="NMD131" s="118"/>
      <c r="NME131" s="118"/>
      <c r="NMF131" s="118"/>
      <c r="NMG131" s="118"/>
      <c r="NMH131" s="118"/>
      <c r="NMI131" s="118"/>
      <c r="NMJ131" s="118"/>
      <c r="NMK131" s="118"/>
      <c r="NML131" s="118"/>
      <c r="NMM131" s="118"/>
      <c r="NMN131" s="118"/>
      <c r="NMO131" s="118"/>
      <c r="NMP131" s="118"/>
      <c r="NMQ131" s="118"/>
      <c r="NMR131" s="118"/>
      <c r="NMS131" s="118"/>
      <c r="NMT131" s="118"/>
      <c r="NMU131" s="118"/>
      <c r="NMV131" s="118"/>
      <c r="NMW131" s="118"/>
      <c r="NMX131" s="118"/>
      <c r="NMY131" s="118"/>
      <c r="NMZ131" s="118"/>
      <c r="NNA131" s="118"/>
      <c r="NNB131" s="118"/>
      <c r="NNC131" s="118"/>
      <c r="NND131" s="118"/>
      <c r="NNE131" s="118"/>
      <c r="NNF131" s="118"/>
      <c r="NNG131" s="118"/>
      <c r="NNH131" s="118"/>
      <c r="NNI131" s="118"/>
      <c r="NNJ131" s="118"/>
      <c r="NNK131" s="118"/>
      <c r="NNL131" s="118"/>
      <c r="NNM131" s="118"/>
      <c r="NNN131" s="118"/>
      <c r="NNO131" s="118"/>
      <c r="NNP131" s="118"/>
      <c r="NNQ131" s="118"/>
      <c r="NNR131" s="118"/>
      <c r="NNS131" s="118"/>
      <c r="NNT131" s="118"/>
      <c r="NNU131" s="118"/>
      <c r="NNV131" s="118"/>
      <c r="NNW131" s="118"/>
      <c r="NNX131" s="118"/>
      <c r="NNY131" s="118"/>
      <c r="NNZ131" s="118"/>
      <c r="NOA131" s="118"/>
      <c r="NOB131" s="118"/>
      <c r="NOC131" s="118"/>
      <c r="NOD131" s="118"/>
      <c r="NOE131" s="118"/>
      <c r="NOF131" s="118"/>
      <c r="NOG131" s="118"/>
      <c r="NOH131" s="118"/>
      <c r="NOI131" s="118"/>
      <c r="NOJ131" s="118"/>
      <c r="NOK131" s="118"/>
      <c r="NOL131" s="118"/>
      <c r="NOM131" s="118"/>
      <c r="NON131" s="118"/>
      <c r="NOO131" s="118"/>
      <c r="NOP131" s="118"/>
      <c r="NOQ131" s="118"/>
      <c r="NOR131" s="118"/>
      <c r="NOS131" s="118"/>
      <c r="NOT131" s="118"/>
      <c r="NOU131" s="118"/>
      <c r="NOV131" s="118"/>
      <c r="NOW131" s="118"/>
      <c r="NOX131" s="118"/>
      <c r="NOY131" s="118"/>
      <c r="NOZ131" s="118"/>
      <c r="NPA131" s="118"/>
      <c r="NPB131" s="118"/>
      <c r="NPC131" s="118"/>
      <c r="NPD131" s="118"/>
      <c r="NPE131" s="118"/>
      <c r="NPF131" s="118"/>
      <c r="NPG131" s="118"/>
      <c r="NPH131" s="118"/>
      <c r="NPI131" s="118"/>
      <c r="NPJ131" s="118"/>
      <c r="NPK131" s="118"/>
      <c r="NPL131" s="118"/>
      <c r="NPM131" s="118"/>
      <c r="NPN131" s="118"/>
      <c r="NPO131" s="118"/>
      <c r="NPP131" s="118"/>
      <c r="NPQ131" s="118"/>
      <c r="NPR131" s="118"/>
      <c r="NPS131" s="118"/>
      <c r="NPT131" s="118"/>
      <c r="NPU131" s="118"/>
      <c r="NPV131" s="118"/>
      <c r="NPW131" s="118"/>
      <c r="NPX131" s="118"/>
      <c r="NPY131" s="118"/>
      <c r="NPZ131" s="118"/>
      <c r="NQA131" s="118"/>
      <c r="NQB131" s="118"/>
      <c r="NQC131" s="118"/>
      <c r="NQD131" s="118"/>
      <c r="NQE131" s="118"/>
      <c r="NQF131" s="118"/>
      <c r="NQG131" s="118"/>
      <c r="NQH131" s="118"/>
      <c r="NQI131" s="118"/>
      <c r="NQJ131" s="118"/>
      <c r="NQK131" s="118"/>
      <c r="NQL131" s="118"/>
      <c r="NQM131" s="118"/>
      <c r="NQN131" s="118"/>
      <c r="NQO131" s="118"/>
      <c r="NQP131" s="118"/>
      <c r="NQQ131" s="118"/>
      <c r="NQR131" s="118"/>
      <c r="NQS131" s="118"/>
      <c r="NQT131" s="118"/>
      <c r="NQU131" s="118"/>
      <c r="NQV131" s="118"/>
      <c r="NQW131" s="118"/>
      <c r="NQX131" s="118"/>
      <c r="NQY131" s="118"/>
      <c r="NQZ131" s="118"/>
      <c r="NRA131" s="118"/>
      <c r="NRB131" s="118"/>
      <c r="NRC131" s="118"/>
      <c r="NRD131" s="118"/>
      <c r="NRE131" s="118"/>
      <c r="NRF131" s="118"/>
      <c r="NRG131" s="118"/>
      <c r="NRH131" s="118"/>
      <c r="NRI131" s="118"/>
      <c r="NRJ131" s="118"/>
      <c r="NRK131" s="118"/>
      <c r="NRL131" s="118"/>
      <c r="NRM131" s="118"/>
      <c r="NRN131" s="118"/>
      <c r="NRO131" s="118"/>
      <c r="NRP131" s="118"/>
      <c r="NRQ131" s="118"/>
      <c r="NRR131" s="118"/>
      <c r="NRS131" s="118"/>
      <c r="NRT131" s="118"/>
      <c r="NRU131" s="118"/>
      <c r="NRV131" s="118"/>
      <c r="NRW131" s="118"/>
      <c r="NRX131" s="118"/>
      <c r="NRY131" s="118"/>
      <c r="NRZ131" s="118"/>
      <c r="NSA131" s="118"/>
      <c r="NSB131" s="118"/>
      <c r="NSC131" s="118"/>
      <c r="NSD131" s="118"/>
      <c r="NSE131" s="118"/>
      <c r="NSF131" s="118"/>
      <c r="NSG131" s="118"/>
      <c r="NSH131" s="118"/>
      <c r="NSI131" s="118"/>
      <c r="NSJ131" s="118"/>
      <c r="NSK131" s="118"/>
      <c r="NSL131" s="118"/>
      <c r="NSM131" s="118"/>
      <c r="NSN131" s="118"/>
      <c r="NSO131" s="118"/>
      <c r="NSP131" s="118"/>
      <c r="NSQ131" s="118"/>
      <c r="NSR131" s="118"/>
      <c r="NSS131" s="118"/>
      <c r="NST131" s="118"/>
      <c r="NSU131" s="118"/>
      <c r="NSV131" s="118"/>
      <c r="NSW131" s="118"/>
      <c r="NSX131" s="118"/>
      <c r="NSY131" s="118"/>
      <c r="NSZ131" s="118"/>
      <c r="NTA131" s="118"/>
      <c r="NTB131" s="118"/>
      <c r="NTC131" s="118"/>
      <c r="NTD131" s="118"/>
      <c r="NTE131" s="118"/>
      <c r="NTF131" s="118"/>
      <c r="NTG131" s="118"/>
      <c r="NTH131" s="118"/>
      <c r="NTI131" s="118"/>
      <c r="NTJ131" s="118"/>
      <c r="NTK131" s="118"/>
      <c r="NTL131" s="118"/>
      <c r="NTM131" s="118"/>
      <c r="NTN131" s="118"/>
      <c r="NTO131" s="118"/>
      <c r="NTP131" s="118"/>
      <c r="NTQ131" s="118"/>
      <c r="NTR131" s="118"/>
      <c r="NTS131" s="118"/>
      <c r="NTT131" s="118"/>
      <c r="NTU131" s="118"/>
      <c r="NTV131" s="118"/>
      <c r="NTW131" s="118"/>
      <c r="NTX131" s="118"/>
      <c r="NTY131" s="118"/>
      <c r="NTZ131" s="118"/>
      <c r="NUA131" s="118"/>
      <c r="NUB131" s="118"/>
      <c r="NUC131" s="118"/>
      <c r="NUD131" s="118"/>
      <c r="NUE131" s="118"/>
      <c r="NUF131" s="118"/>
      <c r="NUG131" s="118"/>
      <c r="NUH131" s="118"/>
      <c r="NUI131" s="118"/>
      <c r="NUJ131" s="118"/>
      <c r="NUK131" s="118"/>
      <c r="NUL131" s="118"/>
      <c r="NUM131" s="118"/>
      <c r="NUN131" s="118"/>
      <c r="NUO131" s="118"/>
      <c r="NUP131" s="118"/>
      <c r="NUQ131" s="118"/>
      <c r="NUR131" s="118"/>
      <c r="NUS131" s="118"/>
      <c r="NUT131" s="118"/>
      <c r="NUU131" s="118"/>
      <c r="NUV131" s="118"/>
      <c r="NUW131" s="118"/>
      <c r="NUX131" s="118"/>
      <c r="NUY131" s="118"/>
      <c r="NUZ131" s="118"/>
      <c r="NVA131" s="118"/>
      <c r="NVB131" s="118"/>
      <c r="NVC131" s="118"/>
      <c r="NVD131" s="118"/>
      <c r="NVE131" s="118"/>
      <c r="NVF131" s="118"/>
      <c r="NVG131" s="118"/>
      <c r="NVH131" s="118"/>
      <c r="NVI131" s="118"/>
      <c r="NVJ131" s="118"/>
      <c r="NVK131" s="118"/>
      <c r="NVL131" s="118"/>
      <c r="NVM131" s="118"/>
      <c r="NVN131" s="118"/>
      <c r="NVO131" s="118"/>
      <c r="NVP131" s="118"/>
      <c r="NVQ131" s="118"/>
      <c r="NVR131" s="118"/>
      <c r="NVS131" s="118"/>
      <c r="NVT131" s="118"/>
      <c r="NVU131" s="118"/>
      <c r="NVV131" s="118"/>
      <c r="NVW131" s="118"/>
      <c r="NVX131" s="118"/>
      <c r="NVY131" s="118"/>
      <c r="NVZ131" s="118"/>
      <c r="NWA131" s="118"/>
      <c r="NWB131" s="118"/>
      <c r="NWC131" s="118"/>
      <c r="NWD131" s="118"/>
      <c r="NWE131" s="118"/>
      <c r="NWF131" s="118"/>
      <c r="NWG131" s="118"/>
      <c r="NWH131" s="118"/>
      <c r="NWI131" s="118"/>
      <c r="NWJ131" s="118"/>
      <c r="NWK131" s="118"/>
      <c r="NWL131" s="118"/>
      <c r="NWM131" s="118"/>
      <c r="NWN131" s="118"/>
      <c r="NWO131" s="118"/>
      <c r="NWP131" s="118"/>
      <c r="NWQ131" s="118"/>
      <c r="NWR131" s="118"/>
      <c r="NWS131" s="118"/>
      <c r="NWT131" s="118"/>
      <c r="NWU131" s="118"/>
      <c r="NWV131" s="118"/>
      <c r="NWW131" s="118"/>
      <c r="NWX131" s="118"/>
      <c r="NWY131" s="118"/>
      <c r="NWZ131" s="118"/>
      <c r="NXA131" s="118"/>
      <c r="NXB131" s="118"/>
      <c r="NXC131" s="118"/>
      <c r="NXD131" s="118"/>
      <c r="NXE131" s="118"/>
      <c r="NXF131" s="118"/>
      <c r="NXG131" s="118"/>
      <c r="NXH131" s="118"/>
      <c r="NXI131" s="118"/>
      <c r="NXJ131" s="118"/>
      <c r="NXK131" s="118"/>
      <c r="NXL131" s="118"/>
      <c r="NXM131" s="118"/>
      <c r="NXN131" s="118"/>
      <c r="NXO131" s="118"/>
      <c r="NXP131" s="118"/>
      <c r="NXQ131" s="118"/>
      <c r="NXR131" s="118"/>
      <c r="NXS131" s="118"/>
      <c r="NXT131" s="118"/>
      <c r="NXU131" s="118"/>
      <c r="NXV131" s="118"/>
      <c r="NXW131" s="118"/>
      <c r="NXX131" s="118"/>
      <c r="NXY131" s="118"/>
      <c r="NXZ131" s="118"/>
      <c r="NYA131" s="118"/>
      <c r="NYB131" s="118"/>
      <c r="NYC131" s="118"/>
      <c r="NYD131" s="118"/>
      <c r="NYE131" s="118"/>
      <c r="NYF131" s="118"/>
      <c r="NYG131" s="118"/>
      <c r="NYH131" s="118"/>
      <c r="NYI131" s="118"/>
      <c r="NYJ131" s="118"/>
      <c r="NYK131" s="118"/>
      <c r="NYL131" s="118"/>
      <c r="NYM131" s="118"/>
      <c r="NYN131" s="118"/>
      <c r="NYO131" s="118"/>
      <c r="NYP131" s="118"/>
      <c r="NYQ131" s="118"/>
      <c r="NYR131" s="118"/>
      <c r="NYS131" s="118"/>
      <c r="NYT131" s="118"/>
      <c r="NYU131" s="118"/>
      <c r="NYV131" s="118"/>
      <c r="NYW131" s="118"/>
      <c r="NYX131" s="118"/>
      <c r="NYY131" s="118"/>
      <c r="NYZ131" s="118"/>
      <c r="NZA131" s="118"/>
      <c r="NZB131" s="118"/>
      <c r="NZC131" s="118"/>
      <c r="NZD131" s="118"/>
      <c r="NZE131" s="118"/>
      <c r="NZF131" s="118"/>
      <c r="NZG131" s="118"/>
      <c r="NZH131" s="118"/>
      <c r="NZI131" s="118"/>
      <c r="NZJ131" s="118"/>
      <c r="NZK131" s="118"/>
      <c r="NZL131" s="118"/>
      <c r="NZM131" s="118"/>
      <c r="NZN131" s="118"/>
      <c r="NZO131" s="118"/>
      <c r="NZP131" s="118"/>
      <c r="NZQ131" s="118"/>
      <c r="NZR131" s="118"/>
      <c r="NZS131" s="118"/>
      <c r="NZT131" s="118"/>
      <c r="NZU131" s="118"/>
      <c r="NZV131" s="118"/>
      <c r="NZW131" s="118"/>
      <c r="NZX131" s="118"/>
      <c r="NZY131" s="118"/>
      <c r="NZZ131" s="118"/>
      <c r="OAA131" s="118"/>
      <c r="OAB131" s="118"/>
      <c r="OAC131" s="118"/>
      <c r="OAD131" s="118"/>
      <c r="OAE131" s="118"/>
      <c r="OAF131" s="118"/>
      <c r="OAG131" s="118"/>
      <c r="OAH131" s="118"/>
      <c r="OAI131" s="118"/>
      <c r="OAJ131" s="118"/>
      <c r="OAK131" s="118"/>
      <c r="OAL131" s="118"/>
      <c r="OAM131" s="118"/>
      <c r="OAN131" s="118"/>
      <c r="OAO131" s="118"/>
      <c r="OAP131" s="118"/>
      <c r="OAQ131" s="118"/>
      <c r="OAR131" s="118"/>
      <c r="OAS131" s="118"/>
      <c r="OAT131" s="118"/>
      <c r="OAU131" s="118"/>
      <c r="OAV131" s="118"/>
      <c r="OAW131" s="118"/>
      <c r="OAX131" s="118"/>
      <c r="OAY131" s="118"/>
      <c r="OAZ131" s="118"/>
      <c r="OBA131" s="118"/>
      <c r="OBB131" s="118"/>
      <c r="OBC131" s="118"/>
      <c r="OBD131" s="118"/>
      <c r="OBE131" s="118"/>
      <c r="OBF131" s="118"/>
      <c r="OBG131" s="118"/>
      <c r="OBH131" s="118"/>
      <c r="OBI131" s="118"/>
      <c r="OBJ131" s="118"/>
      <c r="OBK131" s="118"/>
      <c r="OBL131" s="118"/>
      <c r="OBM131" s="118"/>
      <c r="OBN131" s="118"/>
      <c r="OBO131" s="118"/>
      <c r="OBP131" s="118"/>
      <c r="OBQ131" s="118"/>
      <c r="OBR131" s="118"/>
      <c r="OBS131" s="118"/>
      <c r="OBT131" s="118"/>
      <c r="OBU131" s="118"/>
      <c r="OBV131" s="118"/>
      <c r="OBW131" s="118"/>
      <c r="OBX131" s="118"/>
      <c r="OBY131" s="118"/>
      <c r="OBZ131" s="118"/>
      <c r="OCA131" s="118"/>
      <c r="OCB131" s="118"/>
      <c r="OCC131" s="118"/>
      <c r="OCD131" s="118"/>
      <c r="OCE131" s="118"/>
      <c r="OCF131" s="118"/>
      <c r="OCG131" s="118"/>
      <c r="OCH131" s="118"/>
      <c r="OCI131" s="118"/>
      <c r="OCJ131" s="118"/>
      <c r="OCK131" s="118"/>
      <c r="OCL131" s="118"/>
      <c r="OCM131" s="118"/>
      <c r="OCN131" s="118"/>
      <c r="OCO131" s="118"/>
      <c r="OCP131" s="118"/>
      <c r="OCQ131" s="118"/>
      <c r="OCR131" s="118"/>
      <c r="OCS131" s="118"/>
      <c r="OCT131" s="118"/>
      <c r="OCU131" s="118"/>
      <c r="OCV131" s="118"/>
      <c r="OCW131" s="118"/>
      <c r="OCX131" s="118"/>
      <c r="OCY131" s="118"/>
      <c r="OCZ131" s="118"/>
      <c r="ODA131" s="118"/>
      <c r="ODB131" s="118"/>
      <c r="ODC131" s="118"/>
      <c r="ODD131" s="118"/>
      <c r="ODE131" s="118"/>
      <c r="ODF131" s="118"/>
      <c r="ODG131" s="118"/>
      <c r="ODH131" s="118"/>
      <c r="ODI131" s="118"/>
      <c r="ODJ131" s="118"/>
      <c r="ODK131" s="118"/>
      <c r="ODL131" s="118"/>
      <c r="ODM131" s="118"/>
      <c r="ODN131" s="118"/>
      <c r="ODO131" s="118"/>
      <c r="ODP131" s="118"/>
      <c r="ODQ131" s="118"/>
      <c r="ODR131" s="118"/>
      <c r="ODS131" s="118"/>
      <c r="ODT131" s="118"/>
      <c r="ODU131" s="118"/>
      <c r="ODV131" s="118"/>
      <c r="ODW131" s="118"/>
      <c r="ODX131" s="118"/>
      <c r="ODY131" s="118"/>
      <c r="ODZ131" s="118"/>
      <c r="OEA131" s="118"/>
      <c r="OEB131" s="118"/>
      <c r="OEC131" s="118"/>
      <c r="OED131" s="118"/>
      <c r="OEE131" s="118"/>
      <c r="OEF131" s="118"/>
      <c r="OEG131" s="118"/>
      <c r="OEH131" s="118"/>
      <c r="OEI131" s="118"/>
      <c r="OEJ131" s="118"/>
      <c r="OEK131" s="118"/>
      <c r="OEL131" s="118"/>
      <c r="OEM131" s="118"/>
      <c r="OEN131" s="118"/>
      <c r="OEO131" s="118"/>
      <c r="OEP131" s="118"/>
      <c r="OEQ131" s="118"/>
      <c r="OER131" s="118"/>
      <c r="OES131" s="118"/>
      <c r="OET131" s="118"/>
      <c r="OEU131" s="118"/>
      <c r="OEV131" s="118"/>
      <c r="OEW131" s="118"/>
      <c r="OEX131" s="118"/>
      <c r="OEY131" s="118"/>
      <c r="OEZ131" s="118"/>
      <c r="OFA131" s="118"/>
      <c r="OFB131" s="118"/>
      <c r="OFC131" s="118"/>
      <c r="OFD131" s="118"/>
      <c r="OFE131" s="118"/>
      <c r="OFF131" s="118"/>
      <c r="OFG131" s="118"/>
      <c r="OFH131" s="118"/>
      <c r="OFI131" s="118"/>
      <c r="OFJ131" s="118"/>
      <c r="OFK131" s="118"/>
      <c r="OFL131" s="118"/>
      <c r="OFM131" s="118"/>
      <c r="OFN131" s="118"/>
      <c r="OFO131" s="118"/>
      <c r="OFP131" s="118"/>
      <c r="OFQ131" s="118"/>
      <c r="OFR131" s="118"/>
      <c r="OFS131" s="118"/>
      <c r="OFT131" s="118"/>
      <c r="OFU131" s="118"/>
      <c r="OFV131" s="118"/>
      <c r="OFW131" s="118"/>
      <c r="OFX131" s="118"/>
      <c r="OFY131" s="118"/>
      <c r="OFZ131" s="118"/>
      <c r="OGA131" s="118"/>
      <c r="OGB131" s="118"/>
      <c r="OGC131" s="118"/>
      <c r="OGD131" s="118"/>
      <c r="OGE131" s="118"/>
      <c r="OGF131" s="118"/>
      <c r="OGG131" s="118"/>
      <c r="OGH131" s="118"/>
      <c r="OGI131" s="118"/>
      <c r="OGJ131" s="118"/>
      <c r="OGK131" s="118"/>
      <c r="OGL131" s="118"/>
      <c r="OGM131" s="118"/>
      <c r="OGN131" s="118"/>
      <c r="OGO131" s="118"/>
      <c r="OGP131" s="118"/>
      <c r="OGQ131" s="118"/>
      <c r="OGR131" s="118"/>
      <c r="OGS131" s="118"/>
      <c r="OGT131" s="118"/>
      <c r="OGU131" s="118"/>
      <c r="OGV131" s="118"/>
      <c r="OGW131" s="118"/>
      <c r="OGX131" s="118"/>
      <c r="OGY131" s="118"/>
      <c r="OGZ131" s="118"/>
      <c r="OHA131" s="118"/>
      <c r="OHB131" s="118"/>
      <c r="OHC131" s="118"/>
      <c r="OHD131" s="118"/>
      <c r="OHE131" s="118"/>
      <c r="OHF131" s="118"/>
      <c r="OHG131" s="118"/>
      <c r="OHH131" s="118"/>
      <c r="OHI131" s="118"/>
      <c r="OHJ131" s="118"/>
      <c r="OHK131" s="118"/>
      <c r="OHL131" s="118"/>
      <c r="OHM131" s="118"/>
      <c r="OHN131" s="118"/>
      <c r="OHO131" s="118"/>
      <c r="OHP131" s="118"/>
      <c r="OHQ131" s="118"/>
      <c r="OHR131" s="118"/>
      <c r="OHS131" s="118"/>
      <c r="OHT131" s="118"/>
      <c r="OHU131" s="118"/>
      <c r="OHV131" s="118"/>
      <c r="OHW131" s="118"/>
      <c r="OHX131" s="118"/>
      <c r="OHY131" s="118"/>
      <c r="OHZ131" s="118"/>
      <c r="OIA131" s="118"/>
      <c r="OIB131" s="118"/>
      <c r="OIC131" s="118"/>
      <c r="OID131" s="118"/>
      <c r="OIE131" s="118"/>
      <c r="OIF131" s="118"/>
      <c r="OIG131" s="118"/>
      <c r="OIH131" s="118"/>
      <c r="OII131" s="118"/>
      <c r="OIJ131" s="118"/>
      <c r="OIK131" s="118"/>
      <c r="OIL131" s="118"/>
      <c r="OIM131" s="118"/>
      <c r="OIN131" s="118"/>
      <c r="OIO131" s="118"/>
      <c r="OIP131" s="118"/>
      <c r="OIQ131" s="118"/>
      <c r="OIR131" s="118"/>
      <c r="OIS131" s="118"/>
      <c r="OIT131" s="118"/>
      <c r="OIU131" s="118"/>
      <c r="OIV131" s="118"/>
      <c r="OIW131" s="118"/>
      <c r="OIX131" s="118"/>
      <c r="OIY131" s="118"/>
      <c r="OIZ131" s="118"/>
      <c r="OJA131" s="118"/>
      <c r="OJB131" s="118"/>
      <c r="OJC131" s="118"/>
      <c r="OJD131" s="118"/>
      <c r="OJE131" s="118"/>
      <c r="OJF131" s="118"/>
      <c r="OJG131" s="118"/>
      <c r="OJH131" s="118"/>
      <c r="OJI131" s="118"/>
      <c r="OJJ131" s="118"/>
      <c r="OJK131" s="118"/>
      <c r="OJL131" s="118"/>
      <c r="OJM131" s="118"/>
      <c r="OJN131" s="118"/>
      <c r="OJO131" s="118"/>
      <c r="OJP131" s="118"/>
      <c r="OJQ131" s="118"/>
      <c r="OJR131" s="118"/>
      <c r="OJS131" s="118"/>
      <c r="OJT131" s="118"/>
      <c r="OJU131" s="118"/>
      <c r="OJV131" s="118"/>
      <c r="OJW131" s="118"/>
      <c r="OJX131" s="118"/>
      <c r="OJY131" s="118"/>
      <c r="OJZ131" s="118"/>
      <c r="OKA131" s="118"/>
      <c r="OKB131" s="118"/>
      <c r="OKC131" s="118"/>
      <c r="OKD131" s="118"/>
      <c r="OKE131" s="118"/>
      <c r="OKF131" s="118"/>
      <c r="OKG131" s="118"/>
      <c r="OKH131" s="118"/>
      <c r="OKI131" s="118"/>
      <c r="OKJ131" s="118"/>
      <c r="OKK131" s="118"/>
      <c r="OKL131" s="118"/>
      <c r="OKM131" s="118"/>
      <c r="OKN131" s="118"/>
      <c r="OKO131" s="118"/>
      <c r="OKP131" s="118"/>
      <c r="OKQ131" s="118"/>
      <c r="OKR131" s="118"/>
      <c r="OKS131" s="118"/>
      <c r="OKT131" s="118"/>
      <c r="OKU131" s="118"/>
      <c r="OKV131" s="118"/>
      <c r="OKW131" s="118"/>
      <c r="OKX131" s="118"/>
      <c r="OKY131" s="118"/>
      <c r="OKZ131" s="118"/>
      <c r="OLA131" s="118"/>
      <c r="OLB131" s="118"/>
      <c r="OLC131" s="118"/>
      <c r="OLD131" s="118"/>
      <c r="OLE131" s="118"/>
      <c r="OLF131" s="118"/>
      <c r="OLG131" s="118"/>
      <c r="OLH131" s="118"/>
      <c r="OLI131" s="118"/>
      <c r="OLJ131" s="118"/>
      <c r="OLK131" s="118"/>
      <c r="OLL131" s="118"/>
      <c r="OLM131" s="118"/>
      <c r="OLN131" s="118"/>
      <c r="OLO131" s="118"/>
      <c r="OLP131" s="118"/>
      <c r="OLQ131" s="118"/>
      <c r="OLR131" s="118"/>
      <c r="OLS131" s="118"/>
      <c r="OLT131" s="118"/>
      <c r="OLU131" s="118"/>
      <c r="OLV131" s="118"/>
      <c r="OLW131" s="118"/>
      <c r="OLX131" s="118"/>
      <c r="OLY131" s="118"/>
      <c r="OLZ131" s="118"/>
      <c r="OMA131" s="118"/>
      <c r="OMB131" s="118"/>
      <c r="OMC131" s="118"/>
      <c r="OMD131" s="118"/>
      <c r="OME131" s="118"/>
      <c r="OMF131" s="118"/>
      <c r="OMG131" s="118"/>
      <c r="OMH131" s="118"/>
      <c r="OMI131" s="118"/>
      <c r="OMJ131" s="118"/>
      <c r="OMK131" s="118"/>
      <c r="OML131" s="118"/>
      <c r="OMM131" s="118"/>
      <c r="OMN131" s="118"/>
      <c r="OMO131" s="118"/>
      <c r="OMP131" s="118"/>
      <c r="OMQ131" s="118"/>
      <c r="OMR131" s="118"/>
      <c r="OMS131" s="118"/>
      <c r="OMT131" s="118"/>
      <c r="OMU131" s="118"/>
      <c r="OMV131" s="118"/>
      <c r="OMW131" s="118"/>
      <c r="OMX131" s="118"/>
      <c r="OMY131" s="118"/>
      <c r="OMZ131" s="118"/>
      <c r="ONA131" s="118"/>
      <c r="ONB131" s="118"/>
      <c r="ONC131" s="118"/>
      <c r="OND131" s="118"/>
      <c r="ONE131" s="118"/>
      <c r="ONF131" s="118"/>
      <c r="ONG131" s="118"/>
      <c r="ONH131" s="118"/>
      <c r="ONI131" s="118"/>
      <c r="ONJ131" s="118"/>
      <c r="ONK131" s="118"/>
      <c r="ONL131" s="118"/>
      <c r="ONM131" s="118"/>
      <c r="ONN131" s="118"/>
      <c r="ONO131" s="118"/>
      <c r="ONP131" s="118"/>
      <c r="ONQ131" s="118"/>
      <c r="ONR131" s="118"/>
      <c r="ONS131" s="118"/>
      <c r="ONT131" s="118"/>
      <c r="ONU131" s="118"/>
      <c r="ONV131" s="118"/>
      <c r="ONW131" s="118"/>
      <c r="ONX131" s="118"/>
      <c r="ONY131" s="118"/>
      <c r="ONZ131" s="118"/>
      <c r="OOA131" s="118"/>
      <c r="OOB131" s="118"/>
      <c r="OOC131" s="118"/>
      <c r="OOD131" s="118"/>
      <c r="OOE131" s="118"/>
      <c r="OOF131" s="118"/>
      <c r="OOG131" s="118"/>
      <c r="OOH131" s="118"/>
      <c r="OOI131" s="118"/>
      <c r="OOJ131" s="118"/>
      <c r="OOK131" s="118"/>
      <c r="OOL131" s="118"/>
      <c r="OOM131" s="118"/>
      <c r="OON131" s="118"/>
      <c r="OOO131" s="118"/>
      <c r="OOP131" s="118"/>
      <c r="OOQ131" s="118"/>
      <c r="OOR131" s="118"/>
      <c r="OOS131" s="118"/>
      <c r="OOT131" s="118"/>
      <c r="OOU131" s="118"/>
      <c r="OOV131" s="118"/>
      <c r="OOW131" s="118"/>
      <c r="OOX131" s="118"/>
      <c r="OOY131" s="118"/>
      <c r="OOZ131" s="118"/>
      <c r="OPA131" s="118"/>
      <c r="OPB131" s="118"/>
      <c r="OPC131" s="118"/>
      <c r="OPD131" s="118"/>
      <c r="OPE131" s="118"/>
      <c r="OPF131" s="118"/>
      <c r="OPG131" s="118"/>
      <c r="OPH131" s="118"/>
      <c r="OPI131" s="118"/>
      <c r="OPJ131" s="118"/>
      <c r="OPK131" s="118"/>
      <c r="OPL131" s="118"/>
      <c r="OPM131" s="118"/>
      <c r="OPN131" s="118"/>
      <c r="OPO131" s="118"/>
      <c r="OPP131" s="118"/>
      <c r="OPQ131" s="118"/>
      <c r="OPR131" s="118"/>
      <c r="OPS131" s="118"/>
      <c r="OPT131" s="118"/>
      <c r="OPU131" s="118"/>
      <c r="OPV131" s="118"/>
      <c r="OPW131" s="118"/>
      <c r="OPX131" s="118"/>
      <c r="OPY131" s="118"/>
      <c r="OPZ131" s="118"/>
      <c r="OQA131" s="118"/>
      <c r="OQB131" s="118"/>
      <c r="OQC131" s="118"/>
      <c r="OQD131" s="118"/>
      <c r="OQE131" s="118"/>
      <c r="OQF131" s="118"/>
      <c r="OQG131" s="118"/>
      <c r="OQH131" s="118"/>
      <c r="OQI131" s="118"/>
      <c r="OQJ131" s="118"/>
      <c r="OQK131" s="118"/>
      <c r="OQL131" s="118"/>
      <c r="OQM131" s="118"/>
      <c r="OQN131" s="118"/>
      <c r="OQO131" s="118"/>
      <c r="OQP131" s="118"/>
      <c r="OQQ131" s="118"/>
      <c r="OQR131" s="118"/>
      <c r="OQS131" s="118"/>
      <c r="OQT131" s="118"/>
      <c r="OQU131" s="118"/>
      <c r="OQV131" s="118"/>
      <c r="OQW131" s="118"/>
      <c r="OQX131" s="118"/>
      <c r="OQY131" s="118"/>
      <c r="OQZ131" s="118"/>
      <c r="ORA131" s="118"/>
      <c r="ORB131" s="118"/>
      <c r="ORC131" s="118"/>
      <c r="ORD131" s="118"/>
      <c r="ORE131" s="118"/>
      <c r="ORF131" s="118"/>
      <c r="ORG131" s="118"/>
      <c r="ORH131" s="118"/>
      <c r="ORI131" s="118"/>
      <c r="ORJ131" s="118"/>
      <c r="ORK131" s="118"/>
      <c r="ORL131" s="118"/>
      <c r="ORM131" s="118"/>
      <c r="ORN131" s="118"/>
      <c r="ORO131" s="118"/>
      <c r="ORP131" s="118"/>
      <c r="ORQ131" s="118"/>
      <c r="ORR131" s="118"/>
      <c r="ORS131" s="118"/>
      <c r="ORT131" s="118"/>
      <c r="ORU131" s="118"/>
      <c r="ORV131" s="118"/>
      <c r="ORW131" s="118"/>
      <c r="ORX131" s="118"/>
      <c r="ORY131" s="118"/>
      <c r="ORZ131" s="118"/>
      <c r="OSA131" s="118"/>
      <c r="OSB131" s="118"/>
      <c r="OSC131" s="118"/>
      <c r="OSD131" s="118"/>
      <c r="OSE131" s="118"/>
      <c r="OSF131" s="118"/>
      <c r="OSG131" s="118"/>
      <c r="OSH131" s="118"/>
      <c r="OSI131" s="118"/>
      <c r="OSJ131" s="118"/>
      <c r="OSK131" s="118"/>
      <c r="OSL131" s="118"/>
      <c r="OSM131" s="118"/>
      <c r="OSN131" s="118"/>
      <c r="OSO131" s="118"/>
      <c r="OSP131" s="118"/>
      <c r="OSQ131" s="118"/>
      <c r="OSR131" s="118"/>
      <c r="OSS131" s="118"/>
      <c r="OST131" s="118"/>
      <c r="OSU131" s="118"/>
      <c r="OSV131" s="118"/>
      <c r="OSW131" s="118"/>
      <c r="OSX131" s="118"/>
      <c r="OSY131" s="118"/>
      <c r="OSZ131" s="118"/>
      <c r="OTA131" s="118"/>
      <c r="OTB131" s="118"/>
      <c r="OTC131" s="118"/>
      <c r="OTD131" s="118"/>
      <c r="OTE131" s="118"/>
      <c r="OTF131" s="118"/>
      <c r="OTG131" s="118"/>
      <c r="OTH131" s="118"/>
      <c r="OTI131" s="118"/>
      <c r="OTJ131" s="118"/>
      <c r="OTK131" s="118"/>
      <c r="OTL131" s="118"/>
      <c r="OTM131" s="118"/>
      <c r="OTN131" s="118"/>
      <c r="OTO131" s="118"/>
      <c r="OTP131" s="118"/>
      <c r="OTQ131" s="118"/>
      <c r="OTR131" s="118"/>
      <c r="OTS131" s="118"/>
      <c r="OTT131" s="118"/>
      <c r="OTU131" s="118"/>
      <c r="OTV131" s="118"/>
      <c r="OTW131" s="118"/>
      <c r="OTX131" s="118"/>
      <c r="OTY131" s="118"/>
      <c r="OTZ131" s="118"/>
      <c r="OUA131" s="118"/>
      <c r="OUB131" s="118"/>
      <c r="OUC131" s="118"/>
      <c r="OUD131" s="118"/>
      <c r="OUE131" s="118"/>
      <c r="OUF131" s="118"/>
      <c r="OUG131" s="118"/>
      <c r="OUH131" s="118"/>
      <c r="OUI131" s="118"/>
      <c r="OUJ131" s="118"/>
      <c r="OUK131" s="118"/>
      <c r="OUL131" s="118"/>
      <c r="OUM131" s="118"/>
      <c r="OUN131" s="118"/>
      <c r="OUO131" s="118"/>
      <c r="OUP131" s="118"/>
      <c r="OUQ131" s="118"/>
      <c r="OUR131" s="118"/>
      <c r="OUS131" s="118"/>
      <c r="OUT131" s="118"/>
      <c r="OUU131" s="118"/>
      <c r="OUV131" s="118"/>
      <c r="OUW131" s="118"/>
      <c r="OUX131" s="118"/>
      <c r="OUY131" s="118"/>
      <c r="OUZ131" s="118"/>
      <c r="OVA131" s="118"/>
      <c r="OVB131" s="118"/>
      <c r="OVC131" s="118"/>
      <c r="OVD131" s="118"/>
      <c r="OVE131" s="118"/>
      <c r="OVF131" s="118"/>
      <c r="OVG131" s="118"/>
      <c r="OVH131" s="118"/>
      <c r="OVI131" s="118"/>
      <c r="OVJ131" s="118"/>
      <c r="OVK131" s="118"/>
      <c r="OVL131" s="118"/>
      <c r="OVM131" s="118"/>
      <c r="OVN131" s="118"/>
      <c r="OVO131" s="118"/>
      <c r="OVP131" s="118"/>
      <c r="OVQ131" s="118"/>
      <c r="OVR131" s="118"/>
      <c r="OVS131" s="118"/>
      <c r="OVT131" s="118"/>
      <c r="OVU131" s="118"/>
      <c r="OVV131" s="118"/>
      <c r="OVW131" s="118"/>
      <c r="OVX131" s="118"/>
      <c r="OVY131" s="118"/>
      <c r="OVZ131" s="118"/>
      <c r="OWA131" s="118"/>
      <c r="OWB131" s="118"/>
      <c r="OWC131" s="118"/>
      <c r="OWD131" s="118"/>
      <c r="OWE131" s="118"/>
      <c r="OWF131" s="118"/>
      <c r="OWG131" s="118"/>
      <c r="OWH131" s="118"/>
      <c r="OWI131" s="118"/>
      <c r="OWJ131" s="118"/>
      <c r="OWK131" s="118"/>
      <c r="OWL131" s="118"/>
      <c r="OWM131" s="118"/>
      <c r="OWN131" s="118"/>
      <c r="OWO131" s="118"/>
      <c r="OWP131" s="118"/>
      <c r="OWQ131" s="118"/>
      <c r="OWR131" s="118"/>
      <c r="OWS131" s="118"/>
      <c r="OWT131" s="118"/>
      <c r="OWU131" s="118"/>
      <c r="OWV131" s="118"/>
      <c r="OWW131" s="118"/>
      <c r="OWX131" s="118"/>
      <c r="OWY131" s="118"/>
      <c r="OWZ131" s="118"/>
      <c r="OXA131" s="118"/>
      <c r="OXB131" s="118"/>
      <c r="OXC131" s="118"/>
      <c r="OXD131" s="118"/>
      <c r="OXE131" s="118"/>
      <c r="OXF131" s="118"/>
      <c r="OXG131" s="118"/>
      <c r="OXH131" s="118"/>
      <c r="OXI131" s="118"/>
      <c r="OXJ131" s="118"/>
      <c r="OXK131" s="118"/>
      <c r="OXL131" s="118"/>
      <c r="OXM131" s="118"/>
      <c r="OXN131" s="118"/>
      <c r="OXO131" s="118"/>
      <c r="OXP131" s="118"/>
      <c r="OXQ131" s="118"/>
      <c r="OXR131" s="118"/>
      <c r="OXS131" s="118"/>
      <c r="OXT131" s="118"/>
      <c r="OXU131" s="118"/>
      <c r="OXV131" s="118"/>
      <c r="OXW131" s="118"/>
      <c r="OXX131" s="118"/>
      <c r="OXY131" s="118"/>
      <c r="OXZ131" s="118"/>
      <c r="OYA131" s="118"/>
      <c r="OYB131" s="118"/>
      <c r="OYC131" s="118"/>
      <c r="OYD131" s="118"/>
      <c r="OYE131" s="118"/>
      <c r="OYF131" s="118"/>
      <c r="OYG131" s="118"/>
      <c r="OYH131" s="118"/>
      <c r="OYI131" s="118"/>
      <c r="OYJ131" s="118"/>
      <c r="OYK131" s="118"/>
      <c r="OYL131" s="118"/>
      <c r="OYM131" s="118"/>
      <c r="OYN131" s="118"/>
      <c r="OYO131" s="118"/>
      <c r="OYP131" s="118"/>
      <c r="OYQ131" s="118"/>
      <c r="OYR131" s="118"/>
      <c r="OYS131" s="118"/>
      <c r="OYT131" s="118"/>
      <c r="OYU131" s="118"/>
      <c r="OYV131" s="118"/>
      <c r="OYW131" s="118"/>
      <c r="OYX131" s="118"/>
      <c r="OYY131" s="118"/>
      <c r="OYZ131" s="118"/>
      <c r="OZA131" s="118"/>
      <c r="OZB131" s="118"/>
      <c r="OZC131" s="118"/>
      <c r="OZD131" s="118"/>
      <c r="OZE131" s="118"/>
      <c r="OZF131" s="118"/>
      <c r="OZG131" s="118"/>
      <c r="OZH131" s="118"/>
      <c r="OZI131" s="118"/>
      <c r="OZJ131" s="118"/>
      <c r="OZK131" s="118"/>
      <c r="OZL131" s="118"/>
      <c r="OZM131" s="118"/>
      <c r="OZN131" s="118"/>
      <c r="OZO131" s="118"/>
      <c r="OZP131" s="118"/>
      <c r="OZQ131" s="118"/>
      <c r="OZR131" s="118"/>
      <c r="OZS131" s="118"/>
      <c r="OZT131" s="118"/>
      <c r="OZU131" s="118"/>
      <c r="OZV131" s="118"/>
      <c r="OZW131" s="118"/>
      <c r="OZX131" s="118"/>
      <c r="OZY131" s="118"/>
      <c r="OZZ131" s="118"/>
      <c r="PAA131" s="118"/>
      <c r="PAB131" s="118"/>
      <c r="PAC131" s="118"/>
      <c r="PAD131" s="118"/>
      <c r="PAE131" s="118"/>
      <c r="PAF131" s="118"/>
      <c r="PAG131" s="118"/>
      <c r="PAH131" s="118"/>
      <c r="PAI131" s="118"/>
      <c r="PAJ131" s="118"/>
      <c r="PAK131" s="118"/>
      <c r="PAL131" s="118"/>
      <c r="PAM131" s="118"/>
      <c r="PAN131" s="118"/>
      <c r="PAO131" s="118"/>
      <c r="PAP131" s="118"/>
      <c r="PAQ131" s="118"/>
      <c r="PAR131" s="118"/>
      <c r="PAS131" s="118"/>
      <c r="PAT131" s="118"/>
      <c r="PAU131" s="118"/>
      <c r="PAV131" s="118"/>
      <c r="PAW131" s="118"/>
      <c r="PAX131" s="118"/>
      <c r="PAY131" s="118"/>
      <c r="PAZ131" s="118"/>
      <c r="PBA131" s="118"/>
      <c r="PBB131" s="118"/>
      <c r="PBC131" s="118"/>
      <c r="PBD131" s="118"/>
      <c r="PBE131" s="118"/>
      <c r="PBF131" s="118"/>
      <c r="PBG131" s="118"/>
      <c r="PBH131" s="118"/>
      <c r="PBI131" s="118"/>
      <c r="PBJ131" s="118"/>
      <c r="PBK131" s="118"/>
      <c r="PBL131" s="118"/>
      <c r="PBM131" s="118"/>
      <c r="PBN131" s="118"/>
      <c r="PBO131" s="118"/>
      <c r="PBP131" s="118"/>
      <c r="PBQ131" s="118"/>
      <c r="PBR131" s="118"/>
      <c r="PBS131" s="118"/>
      <c r="PBT131" s="118"/>
      <c r="PBU131" s="118"/>
      <c r="PBV131" s="118"/>
      <c r="PBW131" s="118"/>
      <c r="PBX131" s="118"/>
      <c r="PBY131" s="118"/>
      <c r="PBZ131" s="118"/>
      <c r="PCA131" s="118"/>
      <c r="PCB131" s="118"/>
      <c r="PCC131" s="118"/>
      <c r="PCD131" s="118"/>
      <c r="PCE131" s="118"/>
      <c r="PCF131" s="118"/>
      <c r="PCG131" s="118"/>
      <c r="PCH131" s="118"/>
      <c r="PCI131" s="118"/>
      <c r="PCJ131" s="118"/>
      <c r="PCK131" s="118"/>
      <c r="PCL131" s="118"/>
      <c r="PCM131" s="118"/>
      <c r="PCN131" s="118"/>
      <c r="PCO131" s="118"/>
      <c r="PCP131" s="118"/>
      <c r="PCQ131" s="118"/>
      <c r="PCR131" s="118"/>
      <c r="PCS131" s="118"/>
      <c r="PCT131" s="118"/>
      <c r="PCU131" s="118"/>
      <c r="PCV131" s="118"/>
      <c r="PCW131" s="118"/>
      <c r="PCX131" s="118"/>
      <c r="PCY131" s="118"/>
      <c r="PCZ131" s="118"/>
      <c r="PDA131" s="118"/>
      <c r="PDB131" s="118"/>
      <c r="PDC131" s="118"/>
      <c r="PDD131" s="118"/>
      <c r="PDE131" s="118"/>
      <c r="PDF131" s="118"/>
      <c r="PDG131" s="118"/>
      <c r="PDH131" s="118"/>
      <c r="PDI131" s="118"/>
      <c r="PDJ131" s="118"/>
      <c r="PDK131" s="118"/>
      <c r="PDL131" s="118"/>
      <c r="PDM131" s="118"/>
      <c r="PDN131" s="118"/>
      <c r="PDO131" s="118"/>
      <c r="PDP131" s="118"/>
      <c r="PDQ131" s="118"/>
      <c r="PDR131" s="118"/>
      <c r="PDS131" s="118"/>
      <c r="PDT131" s="118"/>
      <c r="PDU131" s="118"/>
      <c r="PDV131" s="118"/>
      <c r="PDW131" s="118"/>
      <c r="PDX131" s="118"/>
      <c r="PDY131" s="118"/>
      <c r="PDZ131" s="118"/>
      <c r="PEA131" s="118"/>
      <c r="PEB131" s="118"/>
      <c r="PEC131" s="118"/>
      <c r="PED131" s="118"/>
      <c r="PEE131" s="118"/>
      <c r="PEF131" s="118"/>
      <c r="PEG131" s="118"/>
      <c r="PEH131" s="118"/>
      <c r="PEI131" s="118"/>
      <c r="PEJ131" s="118"/>
      <c r="PEK131" s="118"/>
      <c r="PEL131" s="118"/>
      <c r="PEM131" s="118"/>
      <c r="PEN131" s="118"/>
      <c r="PEO131" s="118"/>
      <c r="PEP131" s="118"/>
      <c r="PEQ131" s="118"/>
      <c r="PER131" s="118"/>
      <c r="PES131" s="118"/>
      <c r="PET131" s="118"/>
      <c r="PEU131" s="118"/>
      <c r="PEV131" s="118"/>
      <c r="PEW131" s="118"/>
      <c r="PEX131" s="118"/>
      <c r="PEY131" s="118"/>
      <c r="PEZ131" s="118"/>
      <c r="PFA131" s="118"/>
      <c r="PFB131" s="118"/>
      <c r="PFC131" s="118"/>
      <c r="PFD131" s="118"/>
      <c r="PFE131" s="118"/>
      <c r="PFF131" s="118"/>
      <c r="PFG131" s="118"/>
      <c r="PFH131" s="118"/>
      <c r="PFI131" s="118"/>
      <c r="PFJ131" s="118"/>
      <c r="PFK131" s="118"/>
      <c r="PFL131" s="118"/>
      <c r="PFM131" s="118"/>
      <c r="PFN131" s="118"/>
      <c r="PFO131" s="118"/>
      <c r="PFP131" s="118"/>
      <c r="PFQ131" s="118"/>
      <c r="PFR131" s="118"/>
      <c r="PFS131" s="118"/>
      <c r="PFT131" s="118"/>
      <c r="PFU131" s="118"/>
      <c r="PFV131" s="118"/>
      <c r="PFW131" s="118"/>
      <c r="PFX131" s="118"/>
      <c r="PFY131" s="118"/>
      <c r="PFZ131" s="118"/>
      <c r="PGA131" s="118"/>
      <c r="PGB131" s="118"/>
      <c r="PGC131" s="118"/>
      <c r="PGD131" s="118"/>
      <c r="PGE131" s="118"/>
      <c r="PGF131" s="118"/>
      <c r="PGG131" s="118"/>
      <c r="PGH131" s="118"/>
      <c r="PGI131" s="118"/>
      <c r="PGJ131" s="118"/>
      <c r="PGK131" s="118"/>
      <c r="PGL131" s="118"/>
      <c r="PGM131" s="118"/>
      <c r="PGN131" s="118"/>
      <c r="PGO131" s="118"/>
      <c r="PGP131" s="118"/>
      <c r="PGQ131" s="118"/>
      <c r="PGR131" s="118"/>
      <c r="PGS131" s="118"/>
      <c r="PGT131" s="118"/>
      <c r="PGU131" s="118"/>
      <c r="PGV131" s="118"/>
      <c r="PGW131" s="118"/>
      <c r="PGX131" s="118"/>
      <c r="PGY131" s="118"/>
      <c r="PGZ131" s="118"/>
      <c r="PHA131" s="118"/>
      <c r="PHB131" s="118"/>
      <c r="PHC131" s="118"/>
      <c r="PHD131" s="118"/>
      <c r="PHE131" s="118"/>
      <c r="PHF131" s="118"/>
      <c r="PHG131" s="118"/>
      <c r="PHH131" s="118"/>
      <c r="PHI131" s="118"/>
      <c r="PHJ131" s="118"/>
      <c r="PHK131" s="118"/>
      <c r="PHL131" s="118"/>
      <c r="PHM131" s="118"/>
      <c r="PHN131" s="118"/>
      <c r="PHO131" s="118"/>
      <c r="PHP131" s="118"/>
      <c r="PHQ131" s="118"/>
      <c r="PHR131" s="118"/>
      <c r="PHS131" s="118"/>
      <c r="PHT131" s="118"/>
      <c r="PHU131" s="118"/>
      <c r="PHV131" s="118"/>
      <c r="PHW131" s="118"/>
      <c r="PHX131" s="118"/>
      <c r="PHY131" s="118"/>
      <c r="PHZ131" s="118"/>
      <c r="PIA131" s="118"/>
      <c r="PIB131" s="118"/>
      <c r="PIC131" s="118"/>
      <c r="PID131" s="118"/>
      <c r="PIE131" s="118"/>
      <c r="PIF131" s="118"/>
      <c r="PIG131" s="118"/>
      <c r="PIH131" s="118"/>
      <c r="PII131" s="118"/>
      <c r="PIJ131" s="118"/>
      <c r="PIK131" s="118"/>
      <c r="PIL131" s="118"/>
      <c r="PIM131" s="118"/>
      <c r="PIN131" s="118"/>
      <c r="PIO131" s="118"/>
      <c r="PIP131" s="118"/>
      <c r="PIQ131" s="118"/>
      <c r="PIR131" s="118"/>
      <c r="PIS131" s="118"/>
      <c r="PIT131" s="118"/>
      <c r="PIU131" s="118"/>
      <c r="PIV131" s="118"/>
      <c r="PIW131" s="118"/>
      <c r="PIX131" s="118"/>
      <c r="PIY131" s="118"/>
      <c r="PIZ131" s="118"/>
      <c r="PJA131" s="118"/>
      <c r="PJB131" s="118"/>
      <c r="PJC131" s="118"/>
      <c r="PJD131" s="118"/>
      <c r="PJE131" s="118"/>
      <c r="PJF131" s="118"/>
      <c r="PJG131" s="118"/>
      <c r="PJH131" s="118"/>
      <c r="PJI131" s="118"/>
      <c r="PJJ131" s="118"/>
      <c r="PJK131" s="118"/>
      <c r="PJL131" s="118"/>
      <c r="PJM131" s="118"/>
      <c r="PJN131" s="118"/>
      <c r="PJO131" s="118"/>
      <c r="PJP131" s="118"/>
      <c r="PJQ131" s="118"/>
      <c r="PJR131" s="118"/>
      <c r="PJS131" s="118"/>
      <c r="PJT131" s="118"/>
      <c r="PJU131" s="118"/>
      <c r="PJV131" s="118"/>
      <c r="PJW131" s="118"/>
      <c r="PJX131" s="118"/>
      <c r="PJY131" s="118"/>
      <c r="PJZ131" s="118"/>
      <c r="PKA131" s="118"/>
      <c r="PKB131" s="118"/>
      <c r="PKC131" s="118"/>
      <c r="PKD131" s="118"/>
      <c r="PKE131" s="118"/>
      <c r="PKF131" s="118"/>
      <c r="PKG131" s="118"/>
      <c r="PKH131" s="118"/>
      <c r="PKI131" s="118"/>
      <c r="PKJ131" s="118"/>
      <c r="PKK131" s="118"/>
      <c r="PKL131" s="118"/>
      <c r="PKM131" s="118"/>
      <c r="PKN131" s="118"/>
      <c r="PKO131" s="118"/>
      <c r="PKP131" s="118"/>
      <c r="PKQ131" s="118"/>
      <c r="PKR131" s="118"/>
      <c r="PKS131" s="118"/>
      <c r="PKT131" s="118"/>
      <c r="PKU131" s="118"/>
      <c r="PKV131" s="118"/>
      <c r="PKW131" s="118"/>
      <c r="PKX131" s="118"/>
      <c r="PKY131" s="118"/>
      <c r="PKZ131" s="118"/>
      <c r="PLA131" s="118"/>
      <c r="PLB131" s="118"/>
      <c r="PLC131" s="118"/>
      <c r="PLD131" s="118"/>
      <c r="PLE131" s="118"/>
      <c r="PLF131" s="118"/>
      <c r="PLG131" s="118"/>
      <c r="PLH131" s="118"/>
      <c r="PLI131" s="118"/>
      <c r="PLJ131" s="118"/>
      <c r="PLK131" s="118"/>
      <c r="PLL131" s="118"/>
      <c r="PLM131" s="118"/>
      <c r="PLN131" s="118"/>
      <c r="PLO131" s="118"/>
      <c r="PLP131" s="118"/>
      <c r="PLQ131" s="118"/>
      <c r="PLR131" s="118"/>
      <c r="PLS131" s="118"/>
      <c r="PLT131" s="118"/>
      <c r="PLU131" s="118"/>
      <c r="PLV131" s="118"/>
      <c r="PLW131" s="118"/>
      <c r="PLX131" s="118"/>
      <c r="PLY131" s="118"/>
      <c r="PLZ131" s="118"/>
      <c r="PMA131" s="118"/>
      <c r="PMB131" s="118"/>
      <c r="PMC131" s="118"/>
      <c r="PMD131" s="118"/>
      <c r="PME131" s="118"/>
      <c r="PMF131" s="118"/>
      <c r="PMG131" s="118"/>
      <c r="PMH131" s="118"/>
      <c r="PMI131" s="118"/>
      <c r="PMJ131" s="118"/>
      <c r="PMK131" s="118"/>
      <c r="PML131" s="118"/>
      <c r="PMM131" s="118"/>
      <c r="PMN131" s="118"/>
      <c r="PMO131" s="118"/>
      <c r="PMP131" s="118"/>
      <c r="PMQ131" s="118"/>
      <c r="PMR131" s="118"/>
      <c r="PMS131" s="118"/>
      <c r="PMT131" s="118"/>
      <c r="PMU131" s="118"/>
      <c r="PMV131" s="118"/>
      <c r="PMW131" s="118"/>
      <c r="PMX131" s="118"/>
      <c r="PMY131" s="118"/>
      <c r="PMZ131" s="118"/>
      <c r="PNA131" s="118"/>
      <c r="PNB131" s="118"/>
      <c r="PNC131" s="118"/>
      <c r="PND131" s="118"/>
      <c r="PNE131" s="118"/>
      <c r="PNF131" s="118"/>
      <c r="PNG131" s="118"/>
      <c r="PNH131" s="118"/>
      <c r="PNI131" s="118"/>
      <c r="PNJ131" s="118"/>
      <c r="PNK131" s="118"/>
      <c r="PNL131" s="118"/>
      <c r="PNM131" s="118"/>
      <c r="PNN131" s="118"/>
      <c r="PNO131" s="118"/>
      <c r="PNP131" s="118"/>
      <c r="PNQ131" s="118"/>
      <c r="PNR131" s="118"/>
      <c r="PNS131" s="118"/>
      <c r="PNT131" s="118"/>
      <c r="PNU131" s="118"/>
      <c r="PNV131" s="118"/>
      <c r="PNW131" s="118"/>
      <c r="PNX131" s="118"/>
      <c r="PNY131" s="118"/>
      <c r="PNZ131" s="118"/>
      <c r="POA131" s="118"/>
      <c r="POB131" s="118"/>
      <c r="POC131" s="118"/>
      <c r="POD131" s="118"/>
      <c r="POE131" s="118"/>
      <c r="POF131" s="118"/>
      <c r="POG131" s="118"/>
      <c r="POH131" s="118"/>
      <c r="POI131" s="118"/>
      <c r="POJ131" s="118"/>
      <c r="POK131" s="118"/>
      <c r="POL131" s="118"/>
      <c r="POM131" s="118"/>
      <c r="PON131" s="118"/>
      <c r="POO131" s="118"/>
      <c r="POP131" s="118"/>
      <c r="POQ131" s="118"/>
      <c r="POR131" s="118"/>
      <c r="POS131" s="118"/>
      <c r="POT131" s="118"/>
      <c r="POU131" s="118"/>
      <c r="POV131" s="118"/>
      <c r="POW131" s="118"/>
      <c r="POX131" s="118"/>
      <c r="POY131" s="118"/>
      <c r="POZ131" s="118"/>
      <c r="PPA131" s="118"/>
      <c r="PPB131" s="118"/>
      <c r="PPC131" s="118"/>
      <c r="PPD131" s="118"/>
      <c r="PPE131" s="118"/>
      <c r="PPF131" s="118"/>
      <c r="PPG131" s="118"/>
      <c r="PPH131" s="118"/>
      <c r="PPI131" s="118"/>
      <c r="PPJ131" s="118"/>
      <c r="PPK131" s="118"/>
      <c r="PPL131" s="118"/>
      <c r="PPM131" s="118"/>
      <c r="PPN131" s="118"/>
      <c r="PPO131" s="118"/>
      <c r="PPP131" s="118"/>
      <c r="PPQ131" s="118"/>
      <c r="PPR131" s="118"/>
      <c r="PPS131" s="118"/>
      <c r="PPT131" s="118"/>
      <c r="PPU131" s="118"/>
      <c r="PPV131" s="118"/>
      <c r="PPW131" s="118"/>
      <c r="PPX131" s="118"/>
      <c r="PPY131" s="118"/>
      <c r="PPZ131" s="118"/>
      <c r="PQA131" s="118"/>
      <c r="PQB131" s="118"/>
      <c r="PQC131" s="118"/>
      <c r="PQD131" s="118"/>
      <c r="PQE131" s="118"/>
      <c r="PQF131" s="118"/>
      <c r="PQG131" s="118"/>
      <c r="PQH131" s="118"/>
      <c r="PQI131" s="118"/>
      <c r="PQJ131" s="118"/>
      <c r="PQK131" s="118"/>
      <c r="PQL131" s="118"/>
      <c r="PQM131" s="118"/>
      <c r="PQN131" s="118"/>
      <c r="PQO131" s="118"/>
      <c r="PQP131" s="118"/>
      <c r="PQQ131" s="118"/>
      <c r="PQR131" s="118"/>
      <c r="PQS131" s="118"/>
      <c r="PQT131" s="118"/>
      <c r="PQU131" s="118"/>
      <c r="PQV131" s="118"/>
      <c r="PQW131" s="118"/>
      <c r="PQX131" s="118"/>
      <c r="PQY131" s="118"/>
      <c r="PQZ131" s="118"/>
      <c r="PRA131" s="118"/>
      <c r="PRB131" s="118"/>
      <c r="PRC131" s="118"/>
      <c r="PRD131" s="118"/>
      <c r="PRE131" s="118"/>
      <c r="PRF131" s="118"/>
      <c r="PRG131" s="118"/>
      <c r="PRH131" s="118"/>
      <c r="PRI131" s="118"/>
      <c r="PRJ131" s="118"/>
      <c r="PRK131" s="118"/>
      <c r="PRL131" s="118"/>
      <c r="PRM131" s="118"/>
      <c r="PRN131" s="118"/>
      <c r="PRO131" s="118"/>
      <c r="PRP131" s="118"/>
      <c r="PRQ131" s="118"/>
      <c r="PRR131" s="118"/>
      <c r="PRS131" s="118"/>
      <c r="PRT131" s="118"/>
      <c r="PRU131" s="118"/>
      <c r="PRV131" s="118"/>
      <c r="PRW131" s="118"/>
      <c r="PRX131" s="118"/>
      <c r="PRY131" s="118"/>
      <c r="PRZ131" s="118"/>
      <c r="PSA131" s="118"/>
      <c r="PSB131" s="118"/>
      <c r="PSC131" s="118"/>
      <c r="PSD131" s="118"/>
      <c r="PSE131" s="118"/>
      <c r="PSF131" s="118"/>
      <c r="PSG131" s="118"/>
      <c r="PSH131" s="118"/>
      <c r="PSI131" s="118"/>
      <c r="PSJ131" s="118"/>
      <c r="PSK131" s="118"/>
      <c r="PSL131" s="118"/>
      <c r="PSM131" s="118"/>
      <c r="PSN131" s="118"/>
      <c r="PSO131" s="118"/>
      <c r="PSP131" s="118"/>
      <c r="PSQ131" s="118"/>
      <c r="PSR131" s="118"/>
      <c r="PSS131" s="118"/>
      <c r="PST131" s="118"/>
      <c r="PSU131" s="118"/>
      <c r="PSV131" s="118"/>
      <c r="PSW131" s="118"/>
      <c r="PSX131" s="118"/>
      <c r="PSY131" s="118"/>
      <c r="PSZ131" s="118"/>
      <c r="PTA131" s="118"/>
      <c r="PTB131" s="118"/>
      <c r="PTC131" s="118"/>
      <c r="PTD131" s="118"/>
      <c r="PTE131" s="118"/>
      <c r="PTF131" s="118"/>
      <c r="PTG131" s="118"/>
      <c r="PTH131" s="118"/>
      <c r="PTI131" s="118"/>
      <c r="PTJ131" s="118"/>
      <c r="PTK131" s="118"/>
      <c r="PTL131" s="118"/>
      <c r="PTM131" s="118"/>
      <c r="PTN131" s="118"/>
      <c r="PTO131" s="118"/>
      <c r="PTP131" s="118"/>
      <c r="PTQ131" s="118"/>
      <c r="PTR131" s="118"/>
      <c r="PTS131" s="118"/>
      <c r="PTT131" s="118"/>
      <c r="PTU131" s="118"/>
      <c r="PTV131" s="118"/>
      <c r="PTW131" s="118"/>
      <c r="PTX131" s="118"/>
      <c r="PTY131" s="118"/>
      <c r="PTZ131" s="118"/>
      <c r="PUA131" s="118"/>
      <c r="PUB131" s="118"/>
      <c r="PUC131" s="118"/>
      <c r="PUD131" s="118"/>
      <c r="PUE131" s="118"/>
      <c r="PUF131" s="118"/>
      <c r="PUG131" s="118"/>
      <c r="PUH131" s="118"/>
      <c r="PUI131" s="118"/>
      <c r="PUJ131" s="118"/>
      <c r="PUK131" s="118"/>
      <c r="PUL131" s="118"/>
      <c r="PUM131" s="118"/>
      <c r="PUN131" s="118"/>
      <c r="PUO131" s="118"/>
      <c r="PUP131" s="118"/>
      <c r="PUQ131" s="118"/>
      <c r="PUR131" s="118"/>
      <c r="PUS131" s="118"/>
      <c r="PUT131" s="118"/>
      <c r="PUU131" s="118"/>
      <c r="PUV131" s="118"/>
      <c r="PUW131" s="118"/>
      <c r="PUX131" s="118"/>
      <c r="PUY131" s="118"/>
      <c r="PUZ131" s="118"/>
      <c r="PVA131" s="118"/>
      <c r="PVB131" s="118"/>
      <c r="PVC131" s="118"/>
      <c r="PVD131" s="118"/>
      <c r="PVE131" s="118"/>
      <c r="PVF131" s="118"/>
      <c r="PVG131" s="118"/>
      <c r="PVH131" s="118"/>
      <c r="PVI131" s="118"/>
      <c r="PVJ131" s="118"/>
      <c r="PVK131" s="118"/>
      <c r="PVL131" s="118"/>
      <c r="PVM131" s="118"/>
      <c r="PVN131" s="118"/>
      <c r="PVO131" s="118"/>
      <c r="PVP131" s="118"/>
      <c r="PVQ131" s="118"/>
      <c r="PVR131" s="118"/>
      <c r="PVS131" s="118"/>
      <c r="PVT131" s="118"/>
      <c r="PVU131" s="118"/>
      <c r="PVV131" s="118"/>
      <c r="PVW131" s="118"/>
      <c r="PVX131" s="118"/>
      <c r="PVY131" s="118"/>
      <c r="PVZ131" s="118"/>
      <c r="PWA131" s="118"/>
      <c r="PWB131" s="118"/>
      <c r="PWC131" s="118"/>
      <c r="PWD131" s="118"/>
      <c r="PWE131" s="118"/>
      <c r="PWF131" s="118"/>
      <c r="PWG131" s="118"/>
      <c r="PWH131" s="118"/>
      <c r="PWI131" s="118"/>
      <c r="PWJ131" s="118"/>
      <c r="PWK131" s="118"/>
      <c r="PWL131" s="118"/>
      <c r="PWM131" s="118"/>
      <c r="PWN131" s="118"/>
      <c r="PWO131" s="118"/>
      <c r="PWP131" s="118"/>
      <c r="PWQ131" s="118"/>
      <c r="PWR131" s="118"/>
      <c r="PWS131" s="118"/>
      <c r="PWT131" s="118"/>
      <c r="PWU131" s="118"/>
      <c r="PWV131" s="118"/>
      <c r="PWW131" s="118"/>
      <c r="PWX131" s="118"/>
      <c r="PWY131" s="118"/>
      <c r="PWZ131" s="118"/>
      <c r="PXA131" s="118"/>
      <c r="PXB131" s="118"/>
      <c r="PXC131" s="118"/>
      <c r="PXD131" s="118"/>
      <c r="PXE131" s="118"/>
      <c r="PXF131" s="118"/>
      <c r="PXG131" s="118"/>
      <c r="PXH131" s="118"/>
      <c r="PXI131" s="118"/>
      <c r="PXJ131" s="118"/>
      <c r="PXK131" s="118"/>
      <c r="PXL131" s="118"/>
      <c r="PXM131" s="118"/>
      <c r="PXN131" s="118"/>
      <c r="PXO131" s="118"/>
      <c r="PXP131" s="118"/>
      <c r="PXQ131" s="118"/>
      <c r="PXR131" s="118"/>
      <c r="PXS131" s="118"/>
      <c r="PXT131" s="118"/>
      <c r="PXU131" s="118"/>
      <c r="PXV131" s="118"/>
      <c r="PXW131" s="118"/>
      <c r="PXX131" s="118"/>
      <c r="PXY131" s="118"/>
      <c r="PXZ131" s="118"/>
      <c r="PYA131" s="118"/>
      <c r="PYB131" s="118"/>
      <c r="PYC131" s="118"/>
      <c r="PYD131" s="118"/>
      <c r="PYE131" s="118"/>
      <c r="PYF131" s="118"/>
      <c r="PYG131" s="118"/>
      <c r="PYH131" s="118"/>
      <c r="PYI131" s="118"/>
      <c r="PYJ131" s="118"/>
      <c r="PYK131" s="118"/>
      <c r="PYL131" s="118"/>
      <c r="PYM131" s="118"/>
      <c r="PYN131" s="118"/>
      <c r="PYO131" s="118"/>
      <c r="PYP131" s="118"/>
      <c r="PYQ131" s="118"/>
      <c r="PYR131" s="118"/>
      <c r="PYS131" s="118"/>
      <c r="PYT131" s="118"/>
      <c r="PYU131" s="118"/>
      <c r="PYV131" s="118"/>
      <c r="PYW131" s="118"/>
      <c r="PYX131" s="118"/>
      <c r="PYY131" s="118"/>
      <c r="PYZ131" s="118"/>
      <c r="PZA131" s="118"/>
      <c r="PZB131" s="118"/>
      <c r="PZC131" s="118"/>
      <c r="PZD131" s="118"/>
      <c r="PZE131" s="118"/>
      <c r="PZF131" s="118"/>
      <c r="PZG131" s="118"/>
      <c r="PZH131" s="118"/>
      <c r="PZI131" s="118"/>
      <c r="PZJ131" s="118"/>
      <c r="PZK131" s="118"/>
      <c r="PZL131" s="118"/>
      <c r="PZM131" s="118"/>
      <c r="PZN131" s="118"/>
      <c r="PZO131" s="118"/>
      <c r="PZP131" s="118"/>
      <c r="PZQ131" s="118"/>
      <c r="PZR131" s="118"/>
      <c r="PZS131" s="118"/>
      <c r="PZT131" s="118"/>
      <c r="PZU131" s="118"/>
      <c r="PZV131" s="118"/>
      <c r="PZW131" s="118"/>
      <c r="PZX131" s="118"/>
      <c r="PZY131" s="118"/>
      <c r="PZZ131" s="118"/>
      <c r="QAA131" s="118"/>
      <c r="QAB131" s="118"/>
      <c r="QAC131" s="118"/>
      <c r="QAD131" s="118"/>
      <c r="QAE131" s="118"/>
      <c r="QAF131" s="118"/>
      <c r="QAG131" s="118"/>
      <c r="QAH131" s="118"/>
      <c r="QAI131" s="118"/>
      <c r="QAJ131" s="118"/>
      <c r="QAK131" s="118"/>
      <c r="QAL131" s="118"/>
      <c r="QAM131" s="118"/>
      <c r="QAN131" s="118"/>
      <c r="QAO131" s="118"/>
      <c r="QAP131" s="118"/>
      <c r="QAQ131" s="118"/>
      <c r="QAR131" s="118"/>
      <c r="QAS131" s="118"/>
      <c r="QAT131" s="118"/>
      <c r="QAU131" s="118"/>
      <c r="QAV131" s="118"/>
      <c r="QAW131" s="118"/>
      <c r="QAX131" s="118"/>
      <c r="QAY131" s="118"/>
      <c r="QAZ131" s="118"/>
      <c r="QBA131" s="118"/>
      <c r="QBB131" s="118"/>
      <c r="QBC131" s="118"/>
      <c r="QBD131" s="118"/>
      <c r="QBE131" s="118"/>
      <c r="QBF131" s="118"/>
      <c r="QBG131" s="118"/>
      <c r="QBH131" s="118"/>
      <c r="QBI131" s="118"/>
      <c r="QBJ131" s="118"/>
      <c r="QBK131" s="118"/>
      <c r="QBL131" s="118"/>
      <c r="QBM131" s="118"/>
      <c r="QBN131" s="118"/>
      <c r="QBO131" s="118"/>
      <c r="QBP131" s="118"/>
      <c r="QBQ131" s="118"/>
      <c r="QBR131" s="118"/>
      <c r="QBS131" s="118"/>
      <c r="QBT131" s="118"/>
      <c r="QBU131" s="118"/>
      <c r="QBV131" s="118"/>
      <c r="QBW131" s="118"/>
      <c r="QBX131" s="118"/>
      <c r="QBY131" s="118"/>
      <c r="QBZ131" s="118"/>
      <c r="QCA131" s="118"/>
      <c r="QCB131" s="118"/>
      <c r="QCC131" s="118"/>
      <c r="QCD131" s="118"/>
      <c r="QCE131" s="118"/>
      <c r="QCF131" s="118"/>
      <c r="QCG131" s="118"/>
      <c r="QCH131" s="118"/>
      <c r="QCI131" s="118"/>
      <c r="QCJ131" s="118"/>
      <c r="QCK131" s="118"/>
      <c r="QCL131" s="118"/>
      <c r="QCM131" s="118"/>
      <c r="QCN131" s="118"/>
      <c r="QCO131" s="118"/>
      <c r="QCP131" s="118"/>
      <c r="QCQ131" s="118"/>
      <c r="QCR131" s="118"/>
      <c r="QCS131" s="118"/>
      <c r="QCT131" s="118"/>
      <c r="QCU131" s="118"/>
      <c r="QCV131" s="118"/>
      <c r="QCW131" s="118"/>
      <c r="QCX131" s="118"/>
      <c r="QCY131" s="118"/>
      <c r="QCZ131" s="118"/>
      <c r="QDA131" s="118"/>
      <c r="QDB131" s="118"/>
      <c r="QDC131" s="118"/>
      <c r="QDD131" s="118"/>
      <c r="QDE131" s="118"/>
      <c r="QDF131" s="118"/>
      <c r="QDG131" s="118"/>
      <c r="QDH131" s="118"/>
      <c r="QDI131" s="118"/>
      <c r="QDJ131" s="118"/>
      <c r="QDK131" s="118"/>
      <c r="QDL131" s="118"/>
      <c r="QDM131" s="118"/>
      <c r="QDN131" s="118"/>
      <c r="QDO131" s="118"/>
      <c r="QDP131" s="118"/>
      <c r="QDQ131" s="118"/>
      <c r="QDR131" s="118"/>
      <c r="QDS131" s="118"/>
      <c r="QDT131" s="118"/>
      <c r="QDU131" s="118"/>
      <c r="QDV131" s="118"/>
      <c r="QDW131" s="118"/>
      <c r="QDX131" s="118"/>
      <c r="QDY131" s="118"/>
      <c r="QDZ131" s="118"/>
      <c r="QEA131" s="118"/>
      <c r="QEB131" s="118"/>
      <c r="QEC131" s="118"/>
      <c r="QED131" s="118"/>
      <c r="QEE131" s="118"/>
      <c r="QEF131" s="118"/>
      <c r="QEG131" s="118"/>
      <c r="QEH131" s="118"/>
      <c r="QEI131" s="118"/>
      <c r="QEJ131" s="118"/>
      <c r="QEK131" s="118"/>
      <c r="QEL131" s="118"/>
      <c r="QEM131" s="118"/>
      <c r="QEN131" s="118"/>
      <c r="QEO131" s="118"/>
      <c r="QEP131" s="118"/>
      <c r="QEQ131" s="118"/>
      <c r="QER131" s="118"/>
      <c r="QES131" s="118"/>
      <c r="QET131" s="118"/>
      <c r="QEU131" s="118"/>
      <c r="QEV131" s="118"/>
      <c r="QEW131" s="118"/>
      <c r="QEX131" s="118"/>
      <c r="QEY131" s="118"/>
      <c r="QEZ131" s="118"/>
      <c r="QFA131" s="118"/>
      <c r="QFB131" s="118"/>
      <c r="QFC131" s="118"/>
      <c r="QFD131" s="118"/>
      <c r="QFE131" s="118"/>
      <c r="QFF131" s="118"/>
      <c r="QFG131" s="118"/>
      <c r="QFH131" s="118"/>
      <c r="QFI131" s="118"/>
      <c r="QFJ131" s="118"/>
      <c r="QFK131" s="118"/>
      <c r="QFL131" s="118"/>
      <c r="QFM131" s="118"/>
      <c r="QFN131" s="118"/>
      <c r="QFO131" s="118"/>
      <c r="QFP131" s="118"/>
      <c r="QFQ131" s="118"/>
      <c r="QFR131" s="118"/>
      <c r="QFS131" s="118"/>
      <c r="QFT131" s="118"/>
      <c r="QFU131" s="118"/>
      <c r="QFV131" s="118"/>
      <c r="QFW131" s="118"/>
      <c r="QFX131" s="118"/>
      <c r="QFY131" s="118"/>
      <c r="QFZ131" s="118"/>
      <c r="QGA131" s="118"/>
      <c r="QGB131" s="118"/>
      <c r="QGC131" s="118"/>
      <c r="QGD131" s="118"/>
      <c r="QGE131" s="118"/>
      <c r="QGF131" s="118"/>
      <c r="QGG131" s="118"/>
      <c r="QGH131" s="118"/>
      <c r="QGI131" s="118"/>
      <c r="QGJ131" s="118"/>
      <c r="QGK131" s="118"/>
      <c r="QGL131" s="118"/>
      <c r="QGM131" s="118"/>
      <c r="QGN131" s="118"/>
      <c r="QGO131" s="118"/>
      <c r="QGP131" s="118"/>
      <c r="QGQ131" s="118"/>
      <c r="QGR131" s="118"/>
      <c r="QGS131" s="118"/>
      <c r="QGT131" s="118"/>
      <c r="QGU131" s="118"/>
      <c r="QGV131" s="118"/>
      <c r="QGW131" s="118"/>
      <c r="QGX131" s="118"/>
      <c r="QGY131" s="118"/>
      <c r="QGZ131" s="118"/>
      <c r="QHA131" s="118"/>
      <c r="QHB131" s="118"/>
      <c r="QHC131" s="118"/>
      <c r="QHD131" s="118"/>
      <c r="QHE131" s="118"/>
      <c r="QHF131" s="118"/>
      <c r="QHG131" s="118"/>
      <c r="QHH131" s="118"/>
      <c r="QHI131" s="118"/>
      <c r="QHJ131" s="118"/>
      <c r="QHK131" s="118"/>
      <c r="QHL131" s="118"/>
      <c r="QHM131" s="118"/>
      <c r="QHN131" s="118"/>
      <c r="QHO131" s="118"/>
      <c r="QHP131" s="118"/>
      <c r="QHQ131" s="118"/>
      <c r="QHR131" s="118"/>
      <c r="QHS131" s="118"/>
      <c r="QHT131" s="118"/>
      <c r="QHU131" s="118"/>
      <c r="QHV131" s="118"/>
      <c r="QHW131" s="118"/>
      <c r="QHX131" s="118"/>
      <c r="QHY131" s="118"/>
      <c r="QHZ131" s="118"/>
      <c r="QIA131" s="118"/>
      <c r="QIB131" s="118"/>
      <c r="QIC131" s="118"/>
      <c r="QID131" s="118"/>
      <c r="QIE131" s="118"/>
      <c r="QIF131" s="118"/>
      <c r="QIG131" s="118"/>
      <c r="QIH131" s="118"/>
      <c r="QII131" s="118"/>
      <c r="QIJ131" s="118"/>
      <c r="QIK131" s="118"/>
      <c r="QIL131" s="118"/>
      <c r="QIM131" s="118"/>
      <c r="QIN131" s="118"/>
      <c r="QIO131" s="118"/>
      <c r="QIP131" s="118"/>
      <c r="QIQ131" s="118"/>
      <c r="QIR131" s="118"/>
      <c r="QIS131" s="118"/>
      <c r="QIT131" s="118"/>
      <c r="QIU131" s="118"/>
      <c r="QIV131" s="118"/>
      <c r="QIW131" s="118"/>
      <c r="QIX131" s="118"/>
      <c r="QIY131" s="118"/>
      <c r="QIZ131" s="118"/>
      <c r="QJA131" s="118"/>
      <c r="QJB131" s="118"/>
      <c r="QJC131" s="118"/>
      <c r="QJD131" s="118"/>
      <c r="QJE131" s="118"/>
      <c r="QJF131" s="118"/>
      <c r="QJG131" s="118"/>
      <c r="QJH131" s="118"/>
      <c r="QJI131" s="118"/>
      <c r="QJJ131" s="118"/>
      <c r="QJK131" s="118"/>
      <c r="QJL131" s="118"/>
      <c r="QJM131" s="118"/>
      <c r="QJN131" s="118"/>
      <c r="QJO131" s="118"/>
      <c r="QJP131" s="118"/>
      <c r="QJQ131" s="118"/>
      <c r="QJR131" s="118"/>
      <c r="QJS131" s="118"/>
      <c r="QJT131" s="118"/>
      <c r="QJU131" s="118"/>
      <c r="QJV131" s="118"/>
      <c r="QJW131" s="118"/>
      <c r="QJX131" s="118"/>
      <c r="QJY131" s="118"/>
      <c r="QJZ131" s="118"/>
      <c r="QKA131" s="118"/>
      <c r="QKB131" s="118"/>
      <c r="QKC131" s="118"/>
      <c r="QKD131" s="118"/>
      <c r="QKE131" s="118"/>
      <c r="QKF131" s="118"/>
      <c r="QKG131" s="118"/>
      <c r="QKH131" s="118"/>
      <c r="QKI131" s="118"/>
      <c r="QKJ131" s="118"/>
      <c r="QKK131" s="118"/>
      <c r="QKL131" s="118"/>
      <c r="QKM131" s="118"/>
      <c r="QKN131" s="118"/>
      <c r="QKO131" s="118"/>
      <c r="QKP131" s="118"/>
      <c r="QKQ131" s="118"/>
      <c r="QKR131" s="118"/>
      <c r="QKS131" s="118"/>
      <c r="QKT131" s="118"/>
      <c r="QKU131" s="118"/>
      <c r="QKV131" s="118"/>
      <c r="QKW131" s="118"/>
      <c r="QKX131" s="118"/>
      <c r="QKY131" s="118"/>
      <c r="QKZ131" s="118"/>
      <c r="QLA131" s="118"/>
      <c r="QLB131" s="118"/>
      <c r="QLC131" s="118"/>
      <c r="QLD131" s="118"/>
      <c r="QLE131" s="118"/>
      <c r="QLF131" s="118"/>
      <c r="QLG131" s="118"/>
      <c r="QLH131" s="118"/>
      <c r="QLI131" s="118"/>
      <c r="QLJ131" s="118"/>
      <c r="QLK131" s="118"/>
      <c r="QLL131" s="118"/>
      <c r="QLM131" s="118"/>
      <c r="QLN131" s="118"/>
      <c r="QLO131" s="118"/>
      <c r="QLP131" s="118"/>
      <c r="QLQ131" s="118"/>
      <c r="QLR131" s="118"/>
      <c r="QLS131" s="118"/>
      <c r="QLT131" s="118"/>
      <c r="QLU131" s="118"/>
      <c r="QLV131" s="118"/>
      <c r="QLW131" s="118"/>
      <c r="QLX131" s="118"/>
      <c r="QLY131" s="118"/>
      <c r="QLZ131" s="118"/>
      <c r="QMA131" s="118"/>
      <c r="QMB131" s="118"/>
      <c r="QMC131" s="118"/>
      <c r="QMD131" s="118"/>
      <c r="QME131" s="118"/>
      <c r="QMF131" s="118"/>
      <c r="QMG131" s="118"/>
      <c r="QMH131" s="118"/>
      <c r="QMI131" s="118"/>
      <c r="QMJ131" s="118"/>
      <c r="QMK131" s="118"/>
      <c r="QML131" s="118"/>
      <c r="QMM131" s="118"/>
      <c r="QMN131" s="118"/>
      <c r="QMO131" s="118"/>
      <c r="QMP131" s="118"/>
      <c r="QMQ131" s="118"/>
      <c r="QMR131" s="118"/>
      <c r="QMS131" s="118"/>
      <c r="QMT131" s="118"/>
      <c r="QMU131" s="118"/>
      <c r="QMV131" s="118"/>
      <c r="QMW131" s="118"/>
      <c r="QMX131" s="118"/>
      <c r="QMY131" s="118"/>
      <c r="QMZ131" s="118"/>
      <c r="QNA131" s="118"/>
      <c r="QNB131" s="118"/>
      <c r="QNC131" s="118"/>
      <c r="QND131" s="118"/>
      <c r="QNE131" s="118"/>
      <c r="QNF131" s="118"/>
      <c r="QNG131" s="118"/>
      <c r="QNH131" s="118"/>
      <c r="QNI131" s="118"/>
      <c r="QNJ131" s="118"/>
      <c r="QNK131" s="118"/>
      <c r="QNL131" s="118"/>
      <c r="QNM131" s="118"/>
      <c r="QNN131" s="118"/>
      <c r="QNO131" s="118"/>
      <c r="QNP131" s="118"/>
      <c r="QNQ131" s="118"/>
      <c r="QNR131" s="118"/>
      <c r="QNS131" s="118"/>
      <c r="QNT131" s="118"/>
      <c r="QNU131" s="118"/>
      <c r="QNV131" s="118"/>
      <c r="QNW131" s="118"/>
      <c r="QNX131" s="118"/>
      <c r="QNY131" s="118"/>
      <c r="QNZ131" s="118"/>
      <c r="QOA131" s="118"/>
      <c r="QOB131" s="118"/>
      <c r="QOC131" s="118"/>
      <c r="QOD131" s="118"/>
      <c r="QOE131" s="118"/>
      <c r="QOF131" s="118"/>
      <c r="QOG131" s="118"/>
      <c r="QOH131" s="118"/>
      <c r="QOI131" s="118"/>
      <c r="QOJ131" s="118"/>
      <c r="QOK131" s="118"/>
      <c r="QOL131" s="118"/>
      <c r="QOM131" s="118"/>
      <c r="QON131" s="118"/>
      <c r="QOO131" s="118"/>
      <c r="QOP131" s="118"/>
      <c r="QOQ131" s="118"/>
      <c r="QOR131" s="118"/>
      <c r="QOS131" s="118"/>
      <c r="QOT131" s="118"/>
      <c r="QOU131" s="118"/>
      <c r="QOV131" s="118"/>
      <c r="QOW131" s="118"/>
      <c r="QOX131" s="118"/>
      <c r="QOY131" s="118"/>
      <c r="QOZ131" s="118"/>
      <c r="QPA131" s="118"/>
      <c r="QPB131" s="118"/>
      <c r="QPC131" s="118"/>
      <c r="QPD131" s="118"/>
      <c r="QPE131" s="118"/>
      <c r="QPF131" s="118"/>
      <c r="QPG131" s="118"/>
      <c r="QPH131" s="118"/>
      <c r="QPI131" s="118"/>
      <c r="QPJ131" s="118"/>
      <c r="QPK131" s="118"/>
      <c r="QPL131" s="118"/>
      <c r="QPM131" s="118"/>
      <c r="QPN131" s="118"/>
      <c r="QPO131" s="118"/>
      <c r="QPP131" s="118"/>
      <c r="QPQ131" s="118"/>
      <c r="QPR131" s="118"/>
      <c r="QPS131" s="118"/>
      <c r="QPT131" s="118"/>
      <c r="QPU131" s="118"/>
      <c r="QPV131" s="118"/>
      <c r="QPW131" s="118"/>
      <c r="QPX131" s="118"/>
      <c r="QPY131" s="118"/>
      <c r="QPZ131" s="118"/>
      <c r="QQA131" s="118"/>
      <c r="QQB131" s="118"/>
      <c r="QQC131" s="118"/>
      <c r="QQD131" s="118"/>
      <c r="QQE131" s="118"/>
      <c r="QQF131" s="118"/>
      <c r="QQG131" s="118"/>
      <c r="QQH131" s="118"/>
      <c r="QQI131" s="118"/>
      <c r="QQJ131" s="118"/>
      <c r="QQK131" s="118"/>
      <c r="QQL131" s="118"/>
      <c r="QQM131" s="118"/>
      <c r="QQN131" s="118"/>
      <c r="QQO131" s="118"/>
      <c r="QQP131" s="118"/>
      <c r="QQQ131" s="118"/>
      <c r="QQR131" s="118"/>
      <c r="QQS131" s="118"/>
      <c r="QQT131" s="118"/>
      <c r="QQU131" s="118"/>
      <c r="QQV131" s="118"/>
      <c r="QQW131" s="118"/>
      <c r="QQX131" s="118"/>
      <c r="QQY131" s="118"/>
      <c r="QQZ131" s="118"/>
      <c r="QRA131" s="118"/>
      <c r="QRB131" s="118"/>
      <c r="QRC131" s="118"/>
      <c r="QRD131" s="118"/>
      <c r="QRE131" s="118"/>
      <c r="QRF131" s="118"/>
      <c r="QRG131" s="118"/>
      <c r="QRH131" s="118"/>
      <c r="QRI131" s="118"/>
      <c r="QRJ131" s="118"/>
      <c r="QRK131" s="118"/>
      <c r="QRL131" s="118"/>
      <c r="QRM131" s="118"/>
      <c r="QRN131" s="118"/>
      <c r="QRO131" s="118"/>
      <c r="QRP131" s="118"/>
      <c r="QRQ131" s="118"/>
      <c r="QRR131" s="118"/>
      <c r="QRS131" s="118"/>
      <c r="QRT131" s="118"/>
      <c r="QRU131" s="118"/>
      <c r="QRV131" s="118"/>
      <c r="QRW131" s="118"/>
      <c r="QRX131" s="118"/>
      <c r="QRY131" s="118"/>
      <c r="QRZ131" s="118"/>
      <c r="QSA131" s="118"/>
      <c r="QSB131" s="118"/>
      <c r="QSC131" s="118"/>
      <c r="QSD131" s="118"/>
      <c r="QSE131" s="118"/>
      <c r="QSF131" s="118"/>
      <c r="QSG131" s="118"/>
      <c r="QSH131" s="118"/>
      <c r="QSI131" s="118"/>
      <c r="QSJ131" s="118"/>
      <c r="QSK131" s="118"/>
      <c r="QSL131" s="118"/>
      <c r="QSM131" s="118"/>
      <c r="QSN131" s="118"/>
      <c r="QSO131" s="118"/>
      <c r="QSP131" s="118"/>
      <c r="QSQ131" s="118"/>
      <c r="QSR131" s="118"/>
      <c r="QSS131" s="118"/>
      <c r="QST131" s="118"/>
      <c r="QSU131" s="118"/>
      <c r="QSV131" s="118"/>
      <c r="QSW131" s="118"/>
      <c r="QSX131" s="118"/>
      <c r="QSY131" s="118"/>
      <c r="QSZ131" s="118"/>
      <c r="QTA131" s="118"/>
      <c r="QTB131" s="118"/>
      <c r="QTC131" s="118"/>
      <c r="QTD131" s="118"/>
      <c r="QTE131" s="118"/>
      <c r="QTF131" s="118"/>
      <c r="QTG131" s="118"/>
      <c r="QTH131" s="118"/>
      <c r="QTI131" s="118"/>
      <c r="QTJ131" s="118"/>
      <c r="QTK131" s="118"/>
      <c r="QTL131" s="118"/>
      <c r="QTM131" s="118"/>
      <c r="QTN131" s="118"/>
      <c r="QTO131" s="118"/>
      <c r="QTP131" s="118"/>
      <c r="QTQ131" s="118"/>
      <c r="QTR131" s="118"/>
      <c r="QTS131" s="118"/>
      <c r="QTT131" s="118"/>
      <c r="QTU131" s="118"/>
      <c r="QTV131" s="118"/>
      <c r="QTW131" s="118"/>
      <c r="QTX131" s="118"/>
      <c r="QTY131" s="118"/>
      <c r="QTZ131" s="118"/>
      <c r="QUA131" s="118"/>
      <c r="QUB131" s="118"/>
      <c r="QUC131" s="118"/>
      <c r="QUD131" s="118"/>
      <c r="QUE131" s="118"/>
      <c r="QUF131" s="118"/>
      <c r="QUG131" s="118"/>
      <c r="QUH131" s="118"/>
      <c r="QUI131" s="118"/>
      <c r="QUJ131" s="118"/>
      <c r="QUK131" s="118"/>
      <c r="QUL131" s="118"/>
      <c r="QUM131" s="118"/>
      <c r="QUN131" s="118"/>
      <c r="QUO131" s="118"/>
      <c r="QUP131" s="118"/>
      <c r="QUQ131" s="118"/>
      <c r="QUR131" s="118"/>
      <c r="QUS131" s="118"/>
      <c r="QUT131" s="118"/>
      <c r="QUU131" s="118"/>
      <c r="QUV131" s="118"/>
      <c r="QUW131" s="118"/>
      <c r="QUX131" s="118"/>
      <c r="QUY131" s="118"/>
      <c r="QUZ131" s="118"/>
      <c r="QVA131" s="118"/>
      <c r="QVB131" s="118"/>
      <c r="QVC131" s="118"/>
      <c r="QVD131" s="118"/>
      <c r="QVE131" s="118"/>
      <c r="QVF131" s="118"/>
      <c r="QVG131" s="118"/>
      <c r="QVH131" s="118"/>
      <c r="QVI131" s="118"/>
      <c r="QVJ131" s="118"/>
      <c r="QVK131" s="118"/>
      <c r="QVL131" s="118"/>
      <c r="QVM131" s="118"/>
      <c r="QVN131" s="118"/>
      <c r="QVO131" s="118"/>
      <c r="QVP131" s="118"/>
      <c r="QVQ131" s="118"/>
      <c r="QVR131" s="118"/>
      <c r="QVS131" s="118"/>
      <c r="QVT131" s="118"/>
      <c r="QVU131" s="118"/>
      <c r="QVV131" s="118"/>
      <c r="QVW131" s="118"/>
      <c r="QVX131" s="118"/>
      <c r="QVY131" s="118"/>
      <c r="QVZ131" s="118"/>
      <c r="QWA131" s="118"/>
      <c r="QWB131" s="118"/>
      <c r="QWC131" s="118"/>
      <c r="QWD131" s="118"/>
      <c r="QWE131" s="118"/>
      <c r="QWF131" s="118"/>
      <c r="QWG131" s="118"/>
      <c r="QWH131" s="118"/>
      <c r="QWI131" s="118"/>
      <c r="QWJ131" s="118"/>
      <c r="QWK131" s="118"/>
      <c r="QWL131" s="118"/>
      <c r="QWM131" s="118"/>
      <c r="QWN131" s="118"/>
      <c r="QWO131" s="118"/>
      <c r="QWP131" s="118"/>
      <c r="QWQ131" s="118"/>
      <c r="QWR131" s="118"/>
      <c r="QWS131" s="118"/>
      <c r="QWT131" s="118"/>
      <c r="QWU131" s="118"/>
      <c r="QWV131" s="118"/>
      <c r="QWW131" s="118"/>
      <c r="QWX131" s="118"/>
      <c r="QWY131" s="118"/>
      <c r="QWZ131" s="118"/>
      <c r="QXA131" s="118"/>
      <c r="QXB131" s="118"/>
      <c r="QXC131" s="118"/>
      <c r="QXD131" s="118"/>
      <c r="QXE131" s="118"/>
      <c r="QXF131" s="118"/>
      <c r="QXG131" s="118"/>
      <c r="QXH131" s="118"/>
      <c r="QXI131" s="118"/>
      <c r="QXJ131" s="118"/>
      <c r="QXK131" s="118"/>
      <c r="QXL131" s="118"/>
      <c r="QXM131" s="118"/>
      <c r="QXN131" s="118"/>
      <c r="QXO131" s="118"/>
      <c r="QXP131" s="118"/>
      <c r="QXQ131" s="118"/>
      <c r="QXR131" s="118"/>
      <c r="QXS131" s="118"/>
      <c r="QXT131" s="118"/>
      <c r="QXU131" s="118"/>
      <c r="QXV131" s="118"/>
      <c r="QXW131" s="118"/>
      <c r="QXX131" s="118"/>
      <c r="QXY131" s="118"/>
      <c r="QXZ131" s="118"/>
      <c r="QYA131" s="118"/>
      <c r="QYB131" s="118"/>
      <c r="QYC131" s="118"/>
      <c r="QYD131" s="118"/>
      <c r="QYE131" s="118"/>
      <c r="QYF131" s="118"/>
      <c r="QYG131" s="118"/>
      <c r="QYH131" s="118"/>
      <c r="QYI131" s="118"/>
      <c r="QYJ131" s="118"/>
      <c r="QYK131" s="118"/>
      <c r="QYL131" s="118"/>
      <c r="QYM131" s="118"/>
      <c r="QYN131" s="118"/>
      <c r="QYO131" s="118"/>
      <c r="QYP131" s="118"/>
      <c r="QYQ131" s="118"/>
      <c r="QYR131" s="118"/>
      <c r="QYS131" s="118"/>
      <c r="QYT131" s="118"/>
      <c r="QYU131" s="118"/>
      <c r="QYV131" s="118"/>
      <c r="QYW131" s="118"/>
      <c r="QYX131" s="118"/>
      <c r="QYY131" s="118"/>
      <c r="QYZ131" s="118"/>
      <c r="QZA131" s="118"/>
      <c r="QZB131" s="118"/>
      <c r="QZC131" s="118"/>
      <c r="QZD131" s="118"/>
      <c r="QZE131" s="118"/>
      <c r="QZF131" s="118"/>
      <c r="QZG131" s="118"/>
      <c r="QZH131" s="118"/>
      <c r="QZI131" s="118"/>
      <c r="QZJ131" s="118"/>
      <c r="QZK131" s="118"/>
      <c r="QZL131" s="118"/>
      <c r="QZM131" s="118"/>
      <c r="QZN131" s="118"/>
      <c r="QZO131" s="118"/>
      <c r="QZP131" s="118"/>
      <c r="QZQ131" s="118"/>
      <c r="QZR131" s="118"/>
      <c r="QZS131" s="118"/>
      <c r="QZT131" s="118"/>
      <c r="QZU131" s="118"/>
      <c r="QZV131" s="118"/>
      <c r="QZW131" s="118"/>
      <c r="QZX131" s="118"/>
      <c r="QZY131" s="118"/>
      <c r="QZZ131" s="118"/>
      <c r="RAA131" s="118"/>
      <c r="RAB131" s="118"/>
      <c r="RAC131" s="118"/>
      <c r="RAD131" s="118"/>
      <c r="RAE131" s="118"/>
      <c r="RAF131" s="118"/>
      <c r="RAG131" s="118"/>
      <c r="RAH131" s="118"/>
      <c r="RAI131" s="118"/>
      <c r="RAJ131" s="118"/>
      <c r="RAK131" s="118"/>
      <c r="RAL131" s="118"/>
      <c r="RAM131" s="118"/>
      <c r="RAN131" s="118"/>
      <c r="RAO131" s="118"/>
      <c r="RAP131" s="118"/>
      <c r="RAQ131" s="118"/>
      <c r="RAR131" s="118"/>
      <c r="RAS131" s="118"/>
      <c r="RAT131" s="118"/>
      <c r="RAU131" s="118"/>
      <c r="RAV131" s="118"/>
      <c r="RAW131" s="118"/>
      <c r="RAX131" s="118"/>
      <c r="RAY131" s="118"/>
      <c r="RAZ131" s="118"/>
      <c r="RBA131" s="118"/>
      <c r="RBB131" s="118"/>
      <c r="RBC131" s="118"/>
      <c r="RBD131" s="118"/>
      <c r="RBE131" s="118"/>
      <c r="RBF131" s="118"/>
      <c r="RBG131" s="118"/>
      <c r="RBH131" s="118"/>
      <c r="RBI131" s="118"/>
      <c r="RBJ131" s="118"/>
      <c r="RBK131" s="118"/>
      <c r="RBL131" s="118"/>
      <c r="RBM131" s="118"/>
      <c r="RBN131" s="118"/>
      <c r="RBO131" s="118"/>
      <c r="RBP131" s="118"/>
      <c r="RBQ131" s="118"/>
      <c r="RBR131" s="118"/>
      <c r="RBS131" s="118"/>
      <c r="RBT131" s="118"/>
      <c r="RBU131" s="118"/>
      <c r="RBV131" s="118"/>
      <c r="RBW131" s="118"/>
      <c r="RBX131" s="118"/>
      <c r="RBY131" s="118"/>
      <c r="RBZ131" s="118"/>
      <c r="RCA131" s="118"/>
      <c r="RCB131" s="118"/>
      <c r="RCC131" s="118"/>
      <c r="RCD131" s="118"/>
      <c r="RCE131" s="118"/>
      <c r="RCF131" s="118"/>
      <c r="RCG131" s="118"/>
      <c r="RCH131" s="118"/>
      <c r="RCI131" s="118"/>
      <c r="RCJ131" s="118"/>
      <c r="RCK131" s="118"/>
      <c r="RCL131" s="118"/>
      <c r="RCM131" s="118"/>
      <c r="RCN131" s="118"/>
      <c r="RCO131" s="118"/>
      <c r="RCP131" s="118"/>
      <c r="RCQ131" s="118"/>
      <c r="RCR131" s="118"/>
      <c r="RCS131" s="118"/>
      <c r="RCT131" s="118"/>
      <c r="RCU131" s="118"/>
      <c r="RCV131" s="118"/>
      <c r="RCW131" s="118"/>
      <c r="RCX131" s="118"/>
      <c r="RCY131" s="118"/>
      <c r="RCZ131" s="118"/>
      <c r="RDA131" s="118"/>
      <c r="RDB131" s="118"/>
      <c r="RDC131" s="118"/>
      <c r="RDD131" s="118"/>
      <c r="RDE131" s="118"/>
      <c r="RDF131" s="118"/>
      <c r="RDG131" s="118"/>
      <c r="RDH131" s="118"/>
      <c r="RDI131" s="118"/>
      <c r="RDJ131" s="118"/>
      <c r="RDK131" s="118"/>
      <c r="RDL131" s="118"/>
      <c r="RDM131" s="118"/>
      <c r="RDN131" s="118"/>
      <c r="RDO131" s="118"/>
      <c r="RDP131" s="118"/>
      <c r="RDQ131" s="118"/>
      <c r="RDR131" s="118"/>
      <c r="RDS131" s="118"/>
      <c r="RDT131" s="118"/>
      <c r="RDU131" s="118"/>
      <c r="RDV131" s="118"/>
      <c r="RDW131" s="118"/>
      <c r="RDX131" s="118"/>
      <c r="RDY131" s="118"/>
      <c r="RDZ131" s="118"/>
      <c r="REA131" s="118"/>
      <c r="REB131" s="118"/>
      <c r="REC131" s="118"/>
      <c r="RED131" s="118"/>
      <c r="REE131" s="118"/>
      <c r="REF131" s="118"/>
      <c r="REG131" s="118"/>
      <c r="REH131" s="118"/>
      <c r="REI131" s="118"/>
      <c r="REJ131" s="118"/>
      <c r="REK131" s="118"/>
      <c r="REL131" s="118"/>
      <c r="REM131" s="118"/>
      <c r="REN131" s="118"/>
      <c r="REO131" s="118"/>
      <c r="REP131" s="118"/>
      <c r="REQ131" s="118"/>
      <c r="RER131" s="118"/>
      <c r="RES131" s="118"/>
      <c r="RET131" s="118"/>
      <c r="REU131" s="118"/>
      <c r="REV131" s="118"/>
      <c r="REW131" s="118"/>
      <c r="REX131" s="118"/>
      <c r="REY131" s="118"/>
      <c r="REZ131" s="118"/>
      <c r="RFA131" s="118"/>
      <c r="RFB131" s="118"/>
      <c r="RFC131" s="118"/>
      <c r="RFD131" s="118"/>
      <c r="RFE131" s="118"/>
      <c r="RFF131" s="118"/>
      <c r="RFG131" s="118"/>
      <c r="RFH131" s="118"/>
      <c r="RFI131" s="118"/>
      <c r="RFJ131" s="118"/>
      <c r="RFK131" s="118"/>
      <c r="RFL131" s="118"/>
      <c r="RFM131" s="118"/>
      <c r="RFN131" s="118"/>
      <c r="RFO131" s="118"/>
      <c r="RFP131" s="118"/>
      <c r="RFQ131" s="118"/>
      <c r="RFR131" s="118"/>
      <c r="RFS131" s="118"/>
      <c r="RFT131" s="118"/>
      <c r="RFU131" s="118"/>
      <c r="RFV131" s="118"/>
      <c r="RFW131" s="118"/>
      <c r="RFX131" s="118"/>
      <c r="RFY131" s="118"/>
      <c r="RFZ131" s="118"/>
      <c r="RGA131" s="118"/>
      <c r="RGB131" s="118"/>
      <c r="RGC131" s="118"/>
      <c r="RGD131" s="118"/>
      <c r="RGE131" s="118"/>
      <c r="RGF131" s="118"/>
      <c r="RGG131" s="118"/>
      <c r="RGH131" s="118"/>
      <c r="RGI131" s="118"/>
      <c r="RGJ131" s="118"/>
      <c r="RGK131" s="118"/>
      <c r="RGL131" s="118"/>
      <c r="RGM131" s="118"/>
      <c r="RGN131" s="118"/>
      <c r="RGO131" s="118"/>
      <c r="RGP131" s="118"/>
      <c r="RGQ131" s="118"/>
      <c r="RGR131" s="118"/>
      <c r="RGS131" s="118"/>
      <c r="RGT131" s="118"/>
      <c r="RGU131" s="118"/>
      <c r="RGV131" s="118"/>
      <c r="RGW131" s="118"/>
      <c r="RGX131" s="118"/>
      <c r="RGY131" s="118"/>
      <c r="RGZ131" s="118"/>
      <c r="RHA131" s="118"/>
      <c r="RHB131" s="118"/>
      <c r="RHC131" s="118"/>
      <c r="RHD131" s="118"/>
      <c r="RHE131" s="118"/>
      <c r="RHF131" s="118"/>
      <c r="RHG131" s="118"/>
      <c r="RHH131" s="118"/>
      <c r="RHI131" s="118"/>
      <c r="RHJ131" s="118"/>
      <c r="RHK131" s="118"/>
      <c r="RHL131" s="118"/>
      <c r="RHM131" s="118"/>
      <c r="RHN131" s="118"/>
      <c r="RHO131" s="118"/>
      <c r="RHP131" s="118"/>
      <c r="RHQ131" s="118"/>
      <c r="RHR131" s="118"/>
      <c r="RHS131" s="118"/>
      <c r="RHT131" s="118"/>
      <c r="RHU131" s="118"/>
      <c r="RHV131" s="118"/>
      <c r="RHW131" s="118"/>
      <c r="RHX131" s="118"/>
      <c r="RHY131" s="118"/>
      <c r="RHZ131" s="118"/>
      <c r="RIA131" s="118"/>
      <c r="RIB131" s="118"/>
      <c r="RIC131" s="118"/>
      <c r="RID131" s="118"/>
      <c r="RIE131" s="118"/>
      <c r="RIF131" s="118"/>
      <c r="RIG131" s="118"/>
      <c r="RIH131" s="118"/>
      <c r="RII131" s="118"/>
      <c r="RIJ131" s="118"/>
      <c r="RIK131" s="118"/>
      <c r="RIL131" s="118"/>
      <c r="RIM131" s="118"/>
      <c r="RIN131" s="118"/>
      <c r="RIO131" s="118"/>
      <c r="RIP131" s="118"/>
      <c r="RIQ131" s="118"/>
      <c r="RIR131" s="118"/>
      <c r="RIS131" s="118"/>
      <c r="RIT131" s="118"/>
      <c r="RIU131" s="118"/>
      <c r="RIV131" s="118"/>
      <c r="RIW131" s="118"/>
      <c r="RIX131" s="118"/>
      <c r="RIY131" s="118"/>
      <c r="RIZ131" s="118"/>
      <c r="RJA131" s="118"/>
      <c r="RJB131" s="118"/>
      <c r="RJC131" s="118"/>
      <c r="RJD131" s="118"/>
      <c r="RJE131" s="118"/>
      <c r="RJF131" s="118"/>
      <c r="RJG131" s="118"/>
      <c r="RJH131" s="118"/>
      <c r="RJI131" s="118"/>
      <c r="RJJ131" s="118"/>
      <c r="RJK131" s="118"/>
      <c r="RJL131" s="118"/>
      <c r="RJM131" s="118"/>
      <c r="RJN131" s="118"/>
      <c r="RJO131" s="118"/>
      <c r="RJP131" s="118"/>
      <c r="RJQ131" s="118"/>
      <c r="RJR131" s="118"/>
      <c r="RJS131" s="118"/>
      <c r="RJT131" s="118"/>
      <c r="RJU131" s="118"/>
      <c r="RJV131" s="118"/>
      <c r="RJW131" s="118"/>
      <c r="RJX131" s="118"/>
      <c r="RJY131" s="118"/>
      <c r="RJZ131" s="118"/>
      <c r="RKA131" s="118"/>
      <c r="RKB131" s="118"/>
      <c r="RKC131" s="118"/>
      <c r="RKD131" s="118"/>
      <c r="RKE131" s="118"/>
      <c r="RKF131" s="118"/>
      <c r="RKG131" s="118"/>
      <c r="RKH131" s="118"/>
      <c r="RKI131" s="118"/>
      <c r="RKJ131" s="118"/>
      <c r="RKK131" s="118"/>
      <c r="RKL131" s="118"/>
      <c r="RKM131" s="118"/>
      <c r="RKN131" s="118"/>
      <c r="RKO131" s="118"/>
      <c r="RKP131" s="118"/>
      <c r="RKQ131" s="118"/>
      <c r="RKR131" s="118"/>
      <c r="RKS131" s="118"/>
      <c r="RKT131" s="118"/>
      <c r="RKU131" s="118"/>
      <c r="RKV131" s="118"/>
      <c r="RKW131" s="118"/>
      <c r="RKX131" s="118"/>
      <c r="RKY131" s="118"/>
      <c r="RKZ131" s="118"/>
      <c r="RLA131" s="118"/>
      <c r="RLB131" s="118"/>
      <c r="RLC131" s="118"/>
      <c r="RLD131" s="118"/>
      <c r="RLE131" s="118"/>
      <c r="RLF131" s="118"/>
      <c r="RLG131" s="118"/>
      <c r="RLH131" s="118"/>
      <c r="RLI131" s="118"/>
      <c r="RLJ131" s="118"/>
      <c r="RLK131" s="118"/>
      <c r="RLL131" s="118"/>
      <c r="RLM131" s="118"/>
      <c r="RLN131" s="118"/>
      <c r="RLO131" s="118"/>
      <c r="RLP131" s="118"/>
      <c r="RLQ131" s="118"/>
      <c r="RLR131" s="118"/>
      <c r="RLS131" s="118"/>
      <c r="RLT131" s="118"/>
      <c r="RLU131" s="118"/>
      <c r="RLV131" s="118"/>
      <c r="RLW131" s="118"/>
      <c r="RLX131" s="118"/>
      <c r="RLY131" s="118"/>
      <c r="RLZ131" s="118"/>
      <c r="RMA131" s="118"/>
      <c r="RMB131" s="118"/>
      <c r="RMC131" s="118"/>
      <c r="RMD131" s="118"/>
      <c r="RME131" s="118"/>
      <c r="RMF131" s="118"/>
      <c r="RMG131" s="118"/>
      <c r="RMH131" s="118"/>
      <c r="RMI131" s="118"/>
      <c r="RMJ131" s="118"/>
      <c r="RMK131" s="118"/>
      <c r="RML131" s="118"/>
      <c r="RMM131" s="118"/>
      <c r="RMN131" s="118"/>
      <c r="RMO131" s="118"/>
      <c r="RMP131" s="118"/>
      <c r="RMQ131" s="118"/>
      <c r="RMR131" s="118"/>
      <c r="RMS131" s="118"/>
      <c r="RMT131" s="118"/>
      <c r="RMU131" s="118"/>
      <c r="RMV131" s="118"/>
      <c r="RMW131" s="118"/>
      <c r="RMX131" s="118"/>
      <c r="RMY131" s="118"/>
      <c r="RMZ131" s="118"/>
      <c r="RNA131" s="118"/>
      <c r="RNB131" s="118"/>
      <c r="RNC131" s="118"/>
      <c r="RND131" s="118"/>
      <c r="RNE131" s="118"/>
      <c r="RNF131" s="118"/>
      <c r="RNG131" s="118"/>
      <c r="RNH131" s="118"/>
      <c r="RNI131" s="118"/>
      <c r="RNJ131" s="118"/>
      <c r="RNK131" s="118"/>
      <c r="RNL131" s="118"/>
      <c r="RNM131" s="118"/>
      <c r="RNN131" s="118"/>
      <c r="RNO131" s="118"/>
      <c r="RNP131" s="118"/>
      <c r="RNQ131" s="118"/>
      <c r="RNR131" s="118"/>
      <c r="RNS131" s="118"/>
      <c r="RNT131" s="118"/>
      <c r="RNU131" s="118"/>
      <c r="RNV131" s="118"/>
      <c r="RNW131" s="118"/>
      <c r="RNX131" s="118"/>
      <c r="RNY131" s="118"/>
      <c r="RNZ131" s="118"/>
      <c r="ROA131" s="118"/>
      <c r="ROB131" s="118"/>
      <c r="ROC131" s="118"/>
      <c r="ROD131" s="118"/>
      <c r="ROE131" s="118"/>
      <c r="ROF131" s="118"/>
      <c r="ROG131" s="118"/>
      <c r="ROH131" s="118"/>
      <c r="ROI131" s="118"/>
      <c r="ROJ131" s="118"/>
      <c r="ROK131" s="118"/>
      <c r="ROL131" s="118"/>
      <c r="ROM131" s="118"/>
      <c r="RON131" s="118"/>
      <c r="ROO131" s="118"/>
      <c r="ROP131" s="118"/>
      <c r="ROQ131" s="118"/>
      <c r="ROR131" s="118"/>
      <c r="ROS131" s="118"/>
      <c r="ROT131" s="118"/>
      <c r="ROU131" s="118"/>
      <c r="ROV131" s="118"/>
      <c r="ROW131" s="118"/>
      <c r="ROX131" s="118"/>
      <c r="ROY131" s="118"/>
      <c r="ROZ131" s="118"/>
      <c r="RPA131" s="118"/>
      <c r="RPB131" s="118"/>
      <c r="RPC131" s="118"/>
      <c r="RPD131" s="118"/>
      <c r="RPE131" s="118"/>
      <c r="RPF131" s="118"/>
      <c r="RPG131" s="118"/>
      <c r="RPH131" s="118"/>
      <c r="RPI131" s="118"/>
      <c r="RPJ131" s="118"/>
      <c r="RPK131" s="118"/>
      <c r="RPL131" s="118"/>
      <c r="RPM131" s="118"/>
      <c r="RPN131" s="118"/>
      <c r="RPO131" s="118"/>
      <c r="RPP131" s="118"/>
      <c r="RPQ131" s="118"/>
      <c r="RPR131" s="118"/>
      <c r="RPS131" s="118"/>
      <c r="RPT131" s="118"/>
      <c r="RPU131" s="118"/>
      <c r="RPV131" s="118"/>
      <c r="RPW131" s="118"/>
      <c r="RPX131" s="118"/>
      <c r="RPY131" s="118"/>
      <c r="RPZ131" s="118"/>
      <c r="RQA131" s="118"/>
      <c r="RQB131" s="118"/>
      <c r="RQC131" s="118"/>
      <c r="RQD131" s="118"/>
      <c r="RQE131" s="118"/>
      <c r="RQF131" s="118"/>
      <c r="RQG131" s="118"/>
      <c r="RQH131" s="118"/>
      <c r="RQI131" s="118"/>
      <c r="RQJ131" s="118"/>
      <c r="RQK131" s="118"/>
      <c r="RQL131" s="118"/>
      <c r="RQM131" s="118"/>
      <c r="RQN131" s="118"/>
      <c r="RQO131" s="118"/>
      <c r="RQP131" s="118"/>
      <c r="RQQ131" s="118"/>
      <c r="RQR131" s="118"/>
      <c r="RQS131" s="118"/>
      <c r="RQT131" s="118"/>
      <c r="RQU131" s="118"/>
      <c r="RQV131" s="118"/>
      <c r="RQW131" s="118"/>
      <c r="RQX131" s="118"/>
      <c r="RQY131" s="118"/>
      <c r="RQZ131" s="118"/>
      <c r="RRA131" s="118"/>
      <c r="RRB131" s="118"/>
      <c r="RRC131" s="118"/>
      <c r="RRD131" s="118"/>
      <c r="RRE131" s="118"/>
      <c r="RRF131" s="118"/>
      <c r="RRG131" s="118"/>
      <c r="RRH131" s="118"/>
      <c r="RRI131" s="118"/>
      <c r="RRJ131" s="118"/>
      <c r="RRK131" s="118"/>
      <c r="RRL131" s="118"/>
      <c r="RRM131" s="118"/>
      <c r="RRN131" s="118"/>
      <c r="RRO131" s="118"/>
      <c r="RRP131" s="118"/>
      <c r="RRQ131" s="118"/>
      <c r="RRR131" s="118"/>
      <c r="RRS131" s="118"/>
      <c r="RRT131" s="118"/>
      <c r="RRU131" s="118"/>
      <c r="RRV131" s="118"/>
      <c r="RRW131" s="118"/>
      <c r="RRX131" s="118"/>
      <c r="RRY131" s="118"/>
      <c r="RRZ131" s="118"/>
      <c r="RSA131" s="118"/>
      <c r="RSB131" s="118"/>
      <c r="RSC131" s="118"/>
      <c r="RSD131" s="118"/>
      <c r="RSE131" s="118"/>
      <c r="RSF131" s="118"/>
      <c r="RSG131" s="118"/>
      <c r="RSH131" s="118"/>
      <c r="RSI131" s="118"/>
      <c r="RSJ131" s="118"/>
      <c r="RSK131" s="118"/>
      <c r="RSL131" s="118"/>
      <c r="RSM131" s="118"/>
      <c r="RSN131" s="118"/>
      <c r="RSO131" s="118"/>
      <c r="RSP131" s="118"/>
      <c r="RSQ131" s="118"/>
      <c r="RSR131" s="118"/>
      <c r="RSS131" s="118"/>
      <c r="RST131" s="118"/>
      <c r="RSU131" s="118"/>
      <c r="RSV131" s="118"/>
      <c r="RSW131" s="118"/>
      <c r="RSX131" s="118"/>
      <c r="RSY131" s="118"/>
      <c r="RSZ131" s="118"/>
      <c r="RTA131" s="118"/>
      <c r="RTB131" s="118"/>
      <c r="RTC131" s="118"/>
      <c r="RTD131" s="118"/>
      <c r="RTE131" s="118"/>
      <c r="RTF131" s="118"/>
      <c r="RTG131" s="118"/>
      <c r="RTH131" s="118"/>
      <c r="RTI131" s="118"/>
      <c r="RTJ131" s="118"/>
      <c r="RTK131" s="118"/>
      <c r="RTL131" s="118"/>
      <c r="RTM131" s="118"/>
      <c r="RTN131" s="118"/>
      <c r="RTO131" s="118"/>
      <c r="RTP131" s="118"/>
      <c r="RTQ131" s="118"/>
      <c r="RTR131" s="118"/>
      <c r="RTS131" s="118"/>
      <c r="RTT131" s="118"/>
      <c r="RTU131" s="118"/>
      <c r="RTV131" s="118"/>
      <c r="RTW131" s="118"/>
      <c r="RTX131" s="118"/>
      <c r="RTY131" s="118"/>
      <c r="RTZ131" s="118"/>
      <c r="RUA131" s="118"/>
      <c r="RUB131" s="118"/>
      <c r="RUC131" s="118"/>
      <c r="RUD131" s="118"/>
      <c r="RUE131" s="118"/>
      <c r="RUF131" s="118"/>
      <c r="RUG131" s="118"/>
      <c r="RUH131" s="118"/>
      <c r="RUI131" s="118"/>
      <c r="RUJ131" s="118"/>
      <c r="RUK131" s="118"/>
      <c r="RUL131" s="118"/>
      <c r="RUM131" s="118"/>
      <c r="RUN131" s="118"/>
      <c r="RUO131" s="118"/>
      <c r="RUP131" s="118"/>
      <c r="RUQ131" s="118"/>
      <c r="RUR131" s="118"/>
      <c r="RUS131" s="118"/>
      <c r="RUT131" s="118"/>
      <c r="RUU131" s="118"/>
      <c r="RUV131" s="118"/>
      <c r="RUW131" s="118"/>
      <c r="RUX131" s="118"/>
      <c r="RUY131" s="118"/>
      <c r="RUZ131" s="118"/>
      <c r="RVA131" s="118"/>
      <c r="RVB131" s="118"/>
      <c r="RVC131" s="118"/>
      <c r="RVD131" s="118"/>
      <c r="RVE131" s="118"/>
      <c r="RVF131" s="118"/>
      <c r="RVG131" s="118"/>
      <c r="RVH131" s="118"/>
      <c r="RVI131" s="118"/>
      <c r="RVJ131" s="118"/>
      <c r="RVK131" s="118"/>
      <c r="RVL131" s="118"/>
      <c r="RVM131" s="118"/>
      <c r="RVN131" s="118"/>
      <c r="RVO131" s="118"/>
      <c r="RVP131" s="118"/>
      <c r="RVQ131" s="118"/>
      <c r="RVR131" s="118"/>
      <c r="RVS131" s="118"/>
      <c r="RVT131" s="118"/>
      <c r="RVU131" s="118"/>
      <c r="RVV131" s="118"/>
      <c r="RVW131" s="118"/>
      <c r="RVX131" s="118"/>
      <c r="RVY131" s="118"/>
      <c r="RVZ131" s="118"/>
      <c r="RWA131" s="118"/>
      <c r="RWB131" s="118"/>
      <c r="RWC131" s="118"/>
      <c r="RWD131" s="118"/>
      <c r="RWE131" s="118"/>
      <c r="RWF131" s="118"/>
      <c r="RWG131" s="118"/>
      <c r="RWH131" s="118"/>
      <c r="RWI131" s="118"/>
      <c r="RWJ131" s="118"/>
      <c r="RWK131" s="118"/>
      <c r="RWL131" s="118"/>
      <c r="RWM131" s="118"/>
      <c r="RWN131" s="118"/>
      <c r="RWO131" s="118"/>
      <c r="RWP131" s="118"/>
      <c r="RWQ131" s="118"/>
      <c r="RWR131" s="118"/>
      <c r="RWS131" s="118"/>
      <c r="RWT131" s="118"/>
      <c r="RWU131" s="118"/>
      <c r="RWV131" s="118"/>
      <c r="RWW131" s="118"/>
      <c r="RWX131" s="118"/>
      <c r="RWY131" s="118"/>
      <c r="RWZ131" s="118"/>
      <c r="RXA131" s="118"/>
      <c r="RXB131" s="118"/>
      <c r="RXC131" s="118"/>
      <c r="RXD131" s="118"/>
      <c r="RXE131" s="118"/>
      <c r="RXF131" s="118"/>
      <c r="RXG131" s="118"/>
      <c r="RXH131" s="118"/>
      <c r="RXI131" s="118"/>
      <c r="RXJ131" s="118"/>
      <c r="RXK131" s="118"/>
      <c r="RXL131" s="118"/>
      <c r="RXM131" s="118"/>
      <c r="RXN131" s="118"/>
      <c r="RXO131" s="118"/>
      <c r="RXP131" s="118"/>
      <c r="RXQ131" s="118"/>
      <c r="RXR131" s="118"/>
      <c r="RXS131" s="118"/>
      <c r="RXT131" s="118"/>
      <c r="RXU131" s="118"/>
      <c r="RXV131" s="118"/>
      <c r="RXW131" s="118"/>
      <c r="RXX131" s="118"/>
      <c r="RXY131" s="118"/>
      <c r="RXZ131" s="118"/>
      <c r="RYA131" s="118"/>
      <c r="RYB131" s="118"/>
      <c r="RYC131" s="118"/>
      <c r="RYD131" s="118"/>
      <c r="RYE131" s="118"/>
      <c r="RYF131" s="118"/>
      <c r="RYG131" s="118"/>
      <c r="RYH131" s="118"/>
      <c r="RYI131" s="118"/>
      <c r="RYJ131" s="118"/>
      <c r="RYK131" s="118"/>
      <c r="RYL131" s="118"/>
      <c r="RYM131" s="118"/>
      <c r="RYN131" s="118"/>
      <c r="RYO131" s="118"/>
      <c r="RYP131" s="118"/>
      <c r="RYQ131" s="118"/>
      <c r="RYR131" s="118"/>
      <c r="RYS131" s="118"/>
      <c r="RYT131" s="118"/>
      <c r="RYU131" s="118"/>
      <c r="RYV131" s="118"/>
      <c r="RYW131" s="118"/>
      <c r="RYX131" s="118"/>
      <c r="RYY131" s="118"/>
      <c r="RYZ131" s="118"/>
      <c r="RZA131" s="118"/>
      <c r="RZB131" s="118"/>
      <c r="RZC131" s="118"/>
      <c r="RZD131" s="118"/>
      <c r="RZE131" s="118"/>
      <c r="RZF131" s="118"/>
      <c r="RZG131" s="118"/>
      <c r="RZH131" s="118"/>
      <c r="RZI131" s="118"/>
      <c r="RZJ131" s="118"/>
      <c r="RZK131" s="118"/>
      <c r="RZL131" s="118"/>
      <c r="RZM131" s="118"/>
      <c r="RZN131" s="118"/>
      <c r="RZO131" s="118"/>
      <c r="RZP131" s="118"/>
      <c r="RZQ131" s="118"/>
      <c r="RZR131" s="118"/>
      <c r="RZS131" s="118"/>
      <c r="RZT131" s="118"/>
      <c r="RZU131" s="118"/>
      <c r="RZV131" s="118"/>
      <c r="RZW131" s="118"/>
      <c r="RZX131" s="118"/>
      <c r="RZY131" s="118"/>
      <c r="RZZ131" s="118"/>
      <c r="SAA131" s="118"/>
      <c r="SAB131" s="118"/>
      <c r="SAC131" s="118"/>
      <c r="SAD131" s="118"/>
      <c r="SAE131" s="118"/>
      <c r="SAF131" s="118"/>
      <c r="SAG131" s="118"/>
      <c r="SAH131" s="118"/>
      <c r="SAI131" s="118"/>
      <c r="SAJ131" s="118"/>
      <c r="SAK131" s="118"/>
      <c r="SAL131" s="118"/>
      <c r="SAM131" s="118"/>
      <c r="SAN131" s="118"/>
      <c r="SAO131" s="118"/>
      <c r="SAP131" s="118"/>
      <c r="SAQ131" s="118"/>
      <c r="SAR131" s="118"/>
      <c r="SAS131" s="118"/>
      <c r="SAT131" s="118"/>
      <c r="SAU131" s="118"/>
      <c r="SAV131" s="118"/>
      <c r="SAW131" s="118"/>
      <c r="SAX131" s="118"/>
      <c r="SAY131" s="118"/>
      <c r="SAZ131" s="118"/>
      <c r="SBA131" s="118"/>
      <c r="SBB131" s="118"/>
      <c r="SBC131" s="118"/>
      <c r="SBD131" s="118"/>
      <c r="SBE131" s="118"/>
      <c r="SBF131" s="118"/>
      <c r="SBG131" s="118"/>
      <c r="SBH131" s="118"/>
      <c r="SBI131" s="118"/>
      <c r="SBJ131" s="118"/>
      <c r="SBK131" s="118"/>
      <c r="SBL131" s="118"/>
      <c r="SBM131" s="118"/>
      <c r="SBN131" s="118"/>
      <c r="SBO131" s="118"/>
      <c r="SBP131" s="118"/>
      <c r="SBQ131" s="118"/>
      <c r="SBR131" s="118"/>
      <c r="SBS131" s="118"/>
      <c r="SBT131" s="118"/>
      <c r="SBU131" s="118"/>
      <c r="SBV131" s="118"/>
      <c r="SBW131" s="118"/>
      <c r="SBX131" s="118"/>
      <c r="SBY131" s="118"/>
      <c r="SBZ131" s="118"/>
      <c r="SCA131" s="118"/>
      <c r="SCB131" s="118"/>
      <c r="SCC131" s="118"/>
      <c r="SCD131" s="118"/>
      <c r="SCE131" s="118"/>
      <c r="SCF131" s="118"/>
      <c r="SCG131" s="118"/>
      <c r="SCH131" s="118"/>
      <c r="SCI131" s="118"/>
      <c r="SCJ131" s="118"/>
      <c r="SCK131" s="118"/>
      <c r="SCL131" s="118"/>
      <c r="SCM131" s="118"/>
      <c r="SCN131" s="118"/>
      <c r="SCO131" s="118"/>
      <c r="SCP131" s="118"/>
      <c r="SCQ131" s="118"/>
      <c r="SCR131" s="118"/>
      <c r="SCS131" s="118"/>
      <c r="SCT131" s="118"/>
      <c r="SCU131" s="118"/>
      <c r="SCV131" s="118"/>
      <c r="SCW131" s="118"/>
      <c r="SCX131" s="118"/>
      <c r="SCY131" s="118"/>
      <c r="SCZ131" s="118"/>
      <c r="SDA131" s="118"/>
      <c r="SDB131" s="118"/>
      <c r="SDC131" s="118"/>
      <c r="SDD131" s="118"/>
      <c r="SDE131" s="118"/>
      <c r="SDF131" s="118"/>
      <c r="SDG131" s="118"/>
      <c r="SDH131" s="118"/>
      <c r="SDI131" s="118"/>
      <c r="SDJ131" s="118"/>
      <c r="SDK131" s="118"/>
      <c r="SDL131" s="118"/>
      <c r="SDM131" s="118"/>
      <c r="SDN131" s="118"/>
      <c r="SDO131" s="118"/>
      <c r="SDP131" s="118"/>
      <c r="SDQ131" s="118"/>
      <c r="SDR131" s="118"/>
      <c r="SDS131" s="118"/>
      <c r="SDT131" s="118"/>
      <c r="SDU131" s="118"/>
      <c r="SDV131" s="118"/>
      <c r="SDW131" s="118"/>
      <c r="SDX131" s="118"/>
      <c r="SDY131" s="118"/>
      <c r="SDZ131" s="118"/>
      <c r="SEA131" s="118"/>
      <c r="SEB131" s="118"/>
      <c r="SEC131" s="118"/>
      <c r="SED131" s="118"/>
      <c r="SEE131" s="118"/>
      <c r="SEF131" s="118"/>
      <c r="SEG131" s="118"/>
      <c r="SEH131" s="118"/>
      <c r="SEI131" s="118"/>
      <c r="SEJ131" s="118"/>
      <c r="SEK131" s="118"/>
      <c r="SEL131" s="118"/>
      <c r="SEM131" s="118"/>
      <c r="SEN131" s="118"/>
      <c r="SEO131" s="118"/>
      <c r="SEP131" s="118"/>
      <c r="SEQ131" s="118"/>
      <c r="SER131" s="118"/>
      <c r="SES131" s="118"/>
      <c r="SET131" s="118"/>
      <c r="SEU131" s="118"/>
      <c r="SEV131" s="118"/>
      <c r="SEW131" s="118"/>
      <c r="SEX131" s="118"/>
      <c r="SEY131" s="118"/>
      <c r="SEZ131" s="118"/>
      <c r="SFA131" s="118"/>
      <c r="SFB131" s="118"/>
      <c r="SFC131" s="118"/>
      <c r="SFD131" s="118"/>
      <c r="SFE131" s="118"/>
      <c r="SFF131" s="118"/>
      <c r="SFG131" s="118"/>
      <c r="SFH131" s="118"/>
      <c r="SFI131" s="118"/>
      <c r="SFJ131" s="118"/>
      <c r="SFK131" s="118"/>
      <c r="SFL131" s="118"/>
      <c r="SFM131" s="118"/>
      <c r="SFN131" s="118"/>
      <c r="SFO131" s="118"/>
      <c r="SFP131" s="118"/>
      <c r="SFQ131" s="118"/>
      <c r="SFR131" s="118"/>
      <c r="SFS131" s="118"/>
      <c r="SFT131" s="118"/>
      <c r="SFU131" s="118"/>
      <c r="SFV131" s="118"/>
      <c r="SFW131" s="118"/>
      <c r="SFX131" s="118"/>
      <c r="SFY131" s="118"/>
      <c r="SFZ131" s="118"/>
      <c r="SGA131" s="118"/>
      <c r="SGB131" s="118"/>
      <c r="SGC131" s="118"/>
      <c r="SGD131" s="118"/>
      <c r="SGE131" s="118"/>
      <c r="SGF131" s="118"/>
      <c r="SGG131" s="118"/>
      <c r="SGH131" s="118"/>
      <c r="SGI131" s="118"/>
      <c r="SGJ131" s="118"/>
      <c r="SGK131" s="118"/>
      <c r="SGL131" s="118"/>
      <c r="SGM131" s="118"/>
      <c r="SGN131" s="118"/>
      <c r="SGO131" s="118"/>
      <c r="SGP131" s="118"/>
      <c r="SGQ131" s="118"/>
      <c r="SGR131" s="118"/>
      <c r="SGS131" s="118"/>
      <c r="SGT131" s="118"/>
      <c r="SGU131" s="118"/>
      <c r="SGV131" s="118"/>
      <c r="SGW131" s="118"/>
      <c r="SGX131" s="118"/>
      <c r="SGY131" s="118"/>
      <c r="SGZ131" s="118"/>
      <c r="SHA131" s="118"/>
      <c r="SHB131" s="118"/>
      <c r="SHC131" s="118"/>
      <c r="SHD131" s="118"/>
      <c r="SHE131" s="118"/>
      <c r="SHF131" s="118"/>
      <c r="SHG131" s="118"/>
      <c r="SHH131" s="118"/>
      <c r="SHI131" s="118"/>
      <c r="SHJ131" s="118"/>
      <c r="SHK131" s="118"/>
      <c r="SHL131" s="118"/>
      <c r="SHM131" s="118"/>
      <c r="SHN131" s="118"/>
      <c r="SHO131" s="118"/>
      <c r="SHP131" s="118"/>
      <c r="SHQ131" s="118"/>
      <c r="SHR131" s="118"/>
      <c r="SHS131" s="118"/>
      <c r="SHT131" s="118"/>
      <c r="SHU131" s="118"/>
      <c r="SHV131" s="118"/>
      <c r="SHW131" s="118"/>
      <c r="SHX131" s="118"/>
      <c r="SHY131" s="118"/>
      <c r="SHZ131" s="118"/>
      <c r="SIA131" s="118"/>
      <c r="SIB131" s="118"/>
      <c r="SIC131" s="118"/>
      <c r="SID131" s="118"/>
      <c r="SIE131" s="118"/>
      <c r="SIF131" s="118"/>
      <c r="SIG131" s="118"/>
      <c r="SIH131" s="118"/>
      <c r="SII131" s="118"/>
      <c r="SIJ131" s="118"/>
      <c r="SIK131" s="118"/>
      <c r="SIL131" s="118"/>
      <c r="SIM131" s="118"/>
      <c r="SIN131" s="118"/>
      <c r="SIO131" s="118"/>
      <c r="SIP131" s="118"/>
      <c r="SIQ131" s="118"/>
      <c r="SIR131" s="118"/>
      <c r="SIS131" s="118"/>
      <c r="SIT131" s="118"/>
      <c r="SIU131" s="118"/>
      <c r="SIV131" s="118"/>
      <c r="SIW131" s="118"/>
      <c r="SIX131" s="118"/>
      <c r="SIY131" s="118"/>
      <c r="SIZ131" s="118"/>
      <c r="SJA131" s="118"/>
      <c r="SJB131" s="118"/>
      <c r="SJC131" s="118"/>
      <c r="SJD131" s="118"/>
      <c r="SJE131" s="118"/>
      <c r="SJF131" s="118"/>
      <c r="SJG131" s="118"/>
      <c r="SJH131" s="118"/>
      <c r="SJI131" s="118"/>
      <c r="SJJ131" s="118"/>
      <c r="SJK131" s="118"/>
      <c r="SJL131" s="118"/>
      <c r="SJM131" s="118"/>
      <c r="SJN131" s="118"/>
      <c r="SJO131" s="118"/>
      <c r="SJP131" s="118"/>
      <c r="SJQ131" s="118"/>
      <c r="SJR131" s="118"/>
      <c r="SJS131" s="118"/>
      <c r="SJT131" s="118"/>
      <c r="SJU131" s="118"/>
      <c r="SJV131" s="118"/>
      <c r="SJW131" s="118"/>
      <c r="SJX131" s="118"/>
      <c r="SJY131" s="118"/>
      <c r="SJZ131" s="118"/>
      <c r="SKA131" s="118"/>
      <c r="SKB131" s="118"/>
      <c r="SKC131" s="118"/>
      <c r="SKD131" s="118"/>
      <c r="SKE131" s="118"/>
      <c r="SKF131" s="118"/>
      <c r="SKG131" s="118"/>
      <c r="SKH131" s="118"/>
      <c r="SKI131" s="118"/>
      <c r="SKJ131" s="118"/>
      <c r="SKK131" s="118"/>
      <c r="SKL131" s="118"/>
      <c r="SKM131" s="118"/>
      <c r="SKN131" s="118"/>
      <c r="SKO131" s="118"/>
      <c r="SKP131" s="118"/>
      <c r="SKQ131" s="118"/>
      <c r="SKR131" s="118"/>
      <c r="SKS131" s="118"/>
      <c r="SKT131" s="118"/>
      <c r="SKU131" s="118"/>
      <c r="SKV131" s="118"/>
      <c r="SKW131" s="118"/>
      <c r="SKX131" s="118"/>
      <c r="SKY131" s="118"/>
      <c r="SKZ131" s="118"/>
      <c r="SLA131" s="118"/>
      <c r="SLB131" s="118"/>
      <c r="SLC131" s="118"/>
      <c r="SLD131" s="118"/>
      <c r="SLE131" s="118"/>
      <c r="SLF131" s="118"/>
      <c r="SLG131" s="118"/>
      <c r="SLH131" s="118"/>
      <c r="SLI131" s="118"/>
      <c r="SLJ131" s="118"/>
      <c r="SLK131" s="118"/>
      <c r="SLL131" s="118"/>
      <c r="SLM131" s="118"/>
      <c r="SLN131" s="118"/>
      <c r="SLO131" s="118"/>
      <c r="SLP131" s="118"/>
      <c r="SLQ131" s="118"/>
      <c r="SLR131" s="118"/>
      <c r="SLS131" s="118"/>
      <c r="SLT131" s="118"/>
      <c r="SLU131" s="118"/>
      <c r="SLV131" s="118"/>
      <c r="SLW131" s="118"/>
      <c r="SLX131" s="118"/>
      <c r="SLY131" s="118"/>
      <c r="SLZ131" s="118"/>
      <c r="SMA131" s="118"/>
      <c r="SMB131" s="118"/>
      <c r="SMC131" s="118"/>
      <c r="SMD131" s="118"/>
      <c r="SME131" s="118"/>
      <c r="SMF131" s="118"/>
      <c r="SMG131" s="118"/>
      <c r="SMH131" s="118"/>
      <c r="SMI131" s="118"/>
      <c r="SMJ131" s="118"/>
      <c r="SMK131" s="118"/>
      <c r="SML131" s="118"/>
      <c r="SMM131" s="118"/>
      <c r="SMN131" s="118"/>
      <c r="SMO131" s="118"/>
      <c r="SMP131" s="118"/>
      <c r="SMQ131" s="118"/>
      <c r="SMR131" s="118"/>
      <c r="SMS131" s="118"/>
      <c r="SMT131" s="118"/>
      <c r="SMU131" s="118"/>
      <c r="SMV131" s="118"/>
      <c r="SMW131" s="118"/>
      <c r="SMX131" s="118"/>
      <c r="SMY131" s="118"/>
      <c r="SMZ131" s="118"/>
      <c r="SNA131" s="118"/>
      <c r="SNB131" s="118"/>
      <c r="SNC131" s="118"/>
      <c r="SND131" s="118"/>
      <c r="SNE131" s="118"/>
      <c r="SNF131" s="118"/>
      <c r="SNG131" s="118"/>
      <c r="SNH131" s="118"/>
      <c r="SNI131" s="118"/>
      <c r="SNJ131" s="118"/>
      <c r="SNK131" s="118"/>
      <c r="SNL131" s="118"/>
      <c r="SNM131" s="118"/>
      <c r="SNN131" s="118"/>
      <c r="SNO131" s="118"/>
      <c r="SNP131" s="118"/>
      <c r="SNQ131" s="118"/>
      <c r="SNR131" s="118"/>
      <c r="SNS131" s="118"/>
      <c r="SNT131" s="118"/>
      <c r="SNU131" s="118"/>
      <c r="SNV131" s="118"/>
      <c r="SNW131" s="118"/>
      <c r="SNX131" s="118"/>
      <c r="SNY131" s="118"/>
      <c r="SNZ131" s="118"/>
      <c r="SOA131" s="118"/>
      <c r="SOB131" s="118"/>
      <c r="SOC131" s="118"/>
      <c r="SOD131" s="118"/>
      <c r="SOE131" s="118"/>
      <c r="SOF131" s="118"/>
      <c r="SOG131" s="118"/>
      <c r="SOH131" s="118"/>
      <c r="SOI131" s="118"/>
      <c r="SOJ131" s="118"/>
      <c r="SOK131" s="118"/>
      <c r="SOL131" s="118"/>
      <c r="SOM131" s="118"/>
      <c r="SON131" s="118"/>
      <c r="SOO131" s="118"/>
      <c r="SOP131" s="118"/>
      <c r="SOQ131" s="118"/>
      <c r="SOR131" s="118"/>
      <c r="SOS131" s="118"/>
      <c r="SOT131" s="118"/>
      <c r="SOU131" s="118"/>
      <c r="SOV131" s="118"/>
      <c r="SOW131" s="118"/>
      <c r="SOX131" s="118"/>
      <c r="SOY131" s="118"/>
      <c r="SOZ131" s="118"/>
      <c r="SPA131" s="118"/>
      <c r="SPB131" s="118"/>
      <c r="SPC131" s="118"/>
      <c r="SPD131" s="118"/>
      <c r="SPE131" s="118"/>
      <c r="SPF131" s="118"/>
      <c r="SPG131" s="118"/>
      <c r="SPH131" s="118"/>
      <c r="SPI131" s="118"/>
      <c r="SPJ131" s="118"/>
      <c r="SPK131" s="118"/>
      <c r="SPL131" s="118"/>
      <c r="SPM131" s="118"/>
      <c r="SPN131" s="118"/>
      <c r="SPO131" s="118"/>
      <c r="SPP131" s="118"/>
      <c r="SPQ131" s="118"/>
      <c r="SPR131" s="118"/>
      <c r="SPS131" s="118"/>
      <c r="SPT131" s="118"/>
      <c r="SPU131" s="118"/>
      <c r="SPV131" s="118"/>
      <c r="SPW131" s="118"/>
      <c r="SPX131" s="118"/>
      <c r="SPY131" s="118"/>
      <c r="SPZ131" s="118"/>
      <c r="SQA131" s="118"/>
      <c r="SQB131" s="118"/>
      <c r="SQC131" s="118"/>
      <c r="SQD131" s="118"/>
      <c r="SQE131" s="118"/>
      <c r="SQF131" s="118"/>
      <c r="SQG131" s="118"/>
      <c r="SQH131" s="118"/>
      <c r="SQI131" s="118"/>
      <c r="SQJ131" s="118"/>
      <c r="SQK131" s="118"/>
      <c r="SQL131" s="118"/>
      <c r="SQM131" s="118"/>
      <c r="SQN131" s="118"/>
      <c r="SQO131" s="118"/>
      <c r="SQP131" s="118"/>
      <c r="SQQ131" s="118"/>
      <c r="SQR131" s="118"/>
      <c r="SQS131" s="118"/>
      <c r="SQT131" s="118"/>
      <c r="SQU131" s="118"/>
      <c r="SQV131" s="118"/>
      <c r="SQW131" s="118"/>
      <c r="SQX131" s="118"/>
      <c r="SQY131" s="118"/>
      <c r="SQZ131" s="118"/>
      <c r="SRA131" s="118"/>
      <c r="SRB131" s="118"/>
      <c r="SRC131" s="118"/>
      <c r="SRD131" s="118"/>
      <c r="SRE131" s="118"/>
      <c r="SRF131" s="118"/>
      <c r="SRG131" s="118"/>
      <c r="SRH131" s="118"/>
      <c r="SRI131" s="118"/>
      <c r="SRJ131" s="118"/>
      <c r="SRK131" s="118"/>
      <c r="SRL131" s="118"/>
      <c r="SRM131" s="118"/>
      <c r="SRN131" s="118"/>
      <c r="SRO131" s="118"/>
      <c r="SRP131" s="118"/>
      <c r="SRQ131" s="118"/>
      <c r="SRR131" s="118"/>
      <c r="SRS131" s="118"/>
      <c r="SRT131" s="118"/>
      <c r="SRU131" s="118"/>
      <c r="SRV131" s="118"/>
      <c r="SRW131" s="118"/>
      <c r="SRX131" s="118"/>
      <c r="SRY131" s="118"/>
      <c r="SRZ131" s="118"/>
      <c r="SSA131" s="118"/>
      <c r="SSB131" s="118"/>
      <c r="SSC131" s="118"/>
      <c r="SSD131" s="118"/>
      <c r="SSE131" s="118"/>
      <c r="SSF131" s="118"/>
      <c r="SSG131" s="118"/>
      <c r="SSH131" s="118"/>
      <c r="SSI131" s="118"/>
      <c r="SSJ131" s="118"/>
      <c r="SSK131" s="118"/>
      <c r="SSL131" s="118"/>
      <c r="SSM131" s="118"/>
      <c r="SSN131" s="118"/>
      <c r="SSO131" s="118"/>
      <c r="SSP131" s="118"/>
      <c r="SSQ131" s="118"/>
      <c r="SSR131" s="118"/>
      <c r="SSS131" s="118"/>
      <c r="SST131" s="118"/>
      <c r="SSU131" s="118"/>
      <c r="SSV131" s="118"/>
      <c r="SSW131" s="118"/>
      <c r="SSX131" s="118"/>
      <c r="SSY131" s="118"/>
      <c r="SSZ131" s="118"/>
      <c r="STA131" s="118"/>
      <c r="STB131" s="118"/>
      <c r="STC131" s="118"/>
      <c r="STD131" s="118"/>
      <c r="STE131" s="118"/>
      <c r="STF131" s="118"/>
      <c r="STG131" s="118"/>
      <c r="STH131" s="118"/>
      <c r="STI131" s="118"/>
      <c r="STJ131" s="118"/>
      <c r="STK131" s="118"/>
      <c r="STL131" s="118"/>
      <c r="STM131" s="118"/>
      <c r="STN131" s="118"/>
      <c r="STO131" s="118"/>
      <c r="STP131" s="118"/>
      <c r="STQ131" s="118"/>
      <c r="STR131" s="118"/>
      <c r="STS131" s="118"/>
      <c r="STT131" s="118"/>
      <c r="STU131" s="118"/>
      <c r="STV131" s="118"/>
      <c r="STW131" s="118"/>
      <c r="STX131" s="118"/>
      <c r="STY131" s="118"/>
      <c r="STZ131" s="118"/>
      <c r="SUA131" s="118"/>
      <c r="SUB131" s="118"/>
      <c r="SUC131" s="118"/>
      <c r="SUD131" s="118"/>
      <c r="SUE131" s="118"/>
      <c r="SUF131" s="118"/>
      <c r="SUG131" s="118"/>
      <c r="SUH131" s="118"/>
      <c r="SUI131" s="118"/>
      <c r="SUJ131" s="118"/>
      <c r="SUK131" s="118"/>
      <c r="SUL131" s="118"/>
      <c r="SUM131" s="118"/>
      <c r="SUN131" s="118"/>
      <c r="SUO131" s="118"/>
      <c r="SUP131" s="118"/>
      <c r="SUQ131" s="118"/>
      <c r="SUR131" s="118"/>
      <c r="SUS131" s="118"/>
      <c r="SUT131" s="118"/>
      <c r="SUU131" s="118"/>
      <c r="SUV131" s="118"/>
      <c r="SUW131" s="118"/>
      <c r="SUX131" s="118"/>
      <c r="SUY131" s="118"/>
      <c r="SUZ131" s="118"/>
      <c r="SVA131" s="118"/>
      <c r="SVB131" s="118"/>
      <c r="SVC131" s="118"/>
      <c r="SVD131" s="118"/>
      <c r="SVE131" s="118"/>
      <c r="SVF131" s="118"/>
      <c r="SVG131" s="118"/>
      <c r="SVH131" s="118"/>
      <c r="SVI131" s="118"/>
      <c r="SVJ131" s="118"/>
      <c r="SVK131" s="118"/>
      <c r="SVL131" s="118"/>
      <c r="SVM131" s="118"/>
      <c r="SVN131" s="118"/>
      <c r="SVO131" s="118"/>
      <c r="SVP131" s="118"/>
      <c r="SVQ131" s="118"/>
      <c r="SVR131" s="118"/>
      <c r="SVS131" s="118"/>
      <c r="SVT131" s="118"/>
      <c r="SVU131" s="118"/>
      <c r="SVV131" s="118"/>
      <c r="SVW131" s="118"/>
      <c r="SVX131" s="118"/>
      <c r="SVY131" s="118"/>
      <c r="SVZ131" s="118"/>
      <c r="SWA131" s="118"/>
      <c r="SWB131" s="118"/>
      <c r="SWC131" s="118"/>
      <c r="SWD131" s="118"/>
      <c r="SWE131" s="118"/>
      <c r="SWF131" s="118"/>
      <c r="SWG131" s="118"/>
      <c r="SWH131" s="118"/>
      <c r="SWI131" s="118"/>
      <c r="SWJ131" s="118"/>
      <c r="SWK131" s="118"/>
      <c r="SWL131" s="118"/>
      <c r="SWM131" s="118"/>
      <c r="SWN131" s="118"/>
      <c r="SWO131" s="118"/>
      <c r="SWP131" s="118"/>
      <c r="SWQ131" s="118"/>
      <c r="SWR131" s="118"/>
      <c r="SWS131" s="118"/>
      <c r="SWT131" s="118"/>
      <c r="SWU131" s="118"/>
      <c r="SWV131" s="118"/>
      <c r="SWW131" s="118"/>
      <c r="SWX131" s="118"/>
      <c r="SWY131" s="118"/>
      <c r="SWZ131" s="118"/>
      <c r="SXA131" s="118"/>
      <c r="SXB131" s="118"/>
      <c r="SXC131" s="118"/>
      <c r="SXD131" s="118"/>
      <c r="SXE131" s="118"/>
      <c r="SXF131" s="118"/>
      <c r="SXG131" s="118"/>
      <c r="SXH131" s="118"/>
      <c r="SXI131" s="118"/>
      <c r="SXJ131" s="118"/>
      <c r="SXK131" s="118"/>
      <c r="SXL131" s="118"/>
      <c r="SXM131" s="118"/>
      <c r="SXN131" s="118"/>
      <c r="SXO131" s="118"/>
      <c r="SXP131" s="118"/>
      <c r="SXQ131" s="118"/>
      <c r="SXR131" s="118"/>
      <c r="SXS131" s="118"/>
      <c r="SXT131" s="118"/>
      <c r="SXU131" s="118"/>
      <c r="SXV131" s="118"/>
      <c r="SXW131" s="118"/>
      <c r="SXX131" s="118"/>
      <c r="SXY131" s="118"/>
      <c r="SXZ131" s="118"/>
      <c r="SYA131" s="118"/>
      <c r="SYB131" s="118"/>
      <c r="SYC131" s="118"/>
      <c r="SYD131" s="118"/>
      <c r="SYE131" s="118"/>
      <c r="SYF131" s="118"/>
      <c r="SYG131" s="118"/>
      <c r="SYH131" s="118"/>
      <c r="SYI131" s="118"/>
      <c r="SYJ131" s="118"/>
      <c r="SYK131" s="118"/>
      <c r="SYL131" s="118"/>
      <c r="SYM131" s="118"/>
      <c r="SYN131" s="118"/>
      <c r="SYO131" s="118"/>
      <c r="SYP131" s="118"/>
      <c r="SYQ131" s="118"/>
      <c r="SYR131" s="118"/>
      <c r="SYS131" s="118"/>
      <c r="SYT131" s="118"/>
      <c r="SYU131" s="118"/>
      <c r="SYV131" s="118"/>
      <c r="SYW131" s="118"/>
      <c r="SYX131" s="118"/>
      <c r="SYY131" s="118"/>
      <c r="SYZ131" s="118"/>
      <c r="SZA131" s="118"/>
      <c r="SZB131" s="118"/>
      <c r="SZC131" s="118"/>
      <c r="SZD131" s="118"/>
      <c r="SZE131" s="118"/>
      <c r="SZF131" s="118"/>
      <c r="SZG131" s="118"/>
      <c r="SZH131" s="118"/>
      <c r="SZI131" s="118"/>
      <c r="SZJ131" s="118"/>
      <c r="SZK131" s="118"/>
      <c r="SZL131" s="118"/>
      <c r="SZM131" s="118"/>
      <c r="SZN131" s="118"/>
      <c r="SZO131" s="118"/>
      <c r="SZP131" s="118"/>
      <c r="SZQ131" s="118"/>
      <c r="SZR131" s="118"/>
      <c r="SZS131" s="118"/>
      <c r="SZT131" s="118"/>
      <c r="SZU131" s="118"/>
      <c r="SZV131" s="118"/>
      <c r="SZW131" s="118"/>
      <c r="SZX131" s="118"/>
      <c r="SZY131" s="118"/>
      <c r="SZZ131" s="118"/>
      <c r="TAA131" s="118"/>
      <c r="TAB131" s="118"/>
      <c r="TAC131" s="118"/>
      <c r="TAD131" s="118"/>
      <c r="TAE131" s="118"/>
      <c r="TAF131" s="118"/>
      <c r="TAG131" s="118"/>
      <c r="TAH131" s="118"/>
      <c r="TAI131" s="118"/>
      <c r="TAJ131" s="118"/>
      <c r="TAK131" s="118"/>
      <c r="TAL131" s="118"/>
      <c r="TAM131" s="118"/>
      <c r="TAN131" s="118"/>
      <c r="TAO131" s="118"/>
      <c r="TAP131" s="118"/>
      <c r="TAQ131" s="118"/>
      <c r="TAR131" s="118"/>
      <c r="TAS131" s="118"/>
      <c r="TAT131" s="118"/>
      <c r="TAU131" s="118"/>
      <c r="TAV131" s="118"/>
      <c r="TAW131" s="118"/>
      <c r="TAX131" s="118"/>
      <c r="TAY131" s="118"/>
      <c r="TAZ131" s="118"/>
      <c r="TBA131" s="118"/>
      <c r="TBB131" s="118"/>
      <c r="TBC131" s="118"/>
      <c r="TBD131" s="118"/>
      <c r="TBE131" s="118"/>
      <c r="TBF131" s="118"/>
      <c r="TBG131" s="118"/>
      <c r="TBH131" s="118"/>
      <c r="TBI131" s="118"/>
      <c r="TBJ131" s="118"/>
      <c r="TBK131" s="118"/>
      <c r="TBL131" s="118"/>
      <c r="TBM131" s="118"/>
      <c r="TBN131" s="118"/>
      <c r="TBO131" s="118"/>
      <c r="TBP131" s="118"/>
      <c r="TBQ131" s="118"/>
      <c r="TBR131" s="118"/>
      <c r="TBS131" s="118"/>
      <c r="TBT131" s="118"/>
      <c r="TBU131" s="118"/>
      <c r="TBV131" s="118"/>
      <c r="TBW131" s="118"/>
      <c r="TBX131" s="118"/>
      <c r="TBY131" s="118"/>
      <c r="TBZ131" s="118"/>
      <c r="TCA131" s="118"/>
      <c r="TCB131" s="118"/>
      <c r="TCC131" s="118"/>
      <c r="TCD131" s="118"/>
      <c r="TCE131" s="118"/>
      <c r="TCF131" s="118"/>
      <c r="TCG131" s="118"/>
      <c r="TCH131" s="118"/>
      <c r="TCI131" s="118"/>
      <c r="TCJ131" s="118"/>
      <c r="TCK131" s="118"/>
      <c r="TCL131" s="118"/>
      <c r="TCM131" s="118"/>
      <c r="TCN131" s="118"/>
      <c r="TCO131" s="118"/>
      <c r="TCP131" s="118"/>
      <c r="TCQ131" s="118"/>
      <c r="TCR131" s="118"/>
      <c r="TCS131" s="118"/>
      <c r="TCT131" s="118"/>
      <c r="TCU131" s="118"/>
      <c r="TCV131" s="118"/>
      <c r="TCW131" s="118"/>
      <c r="TCX131" s="118"/>
      <c r="TCY131" s="118"/>
      <c r="TCZ131" s="118"/>
      <c r="TDA131" s="118"/>
      <c r="TDB131" s="118"/>
      <c r="TDC131" s="118"/>
      <c r="TDD131" s="118"/>
      <c r="TDE131" s="118"/>
      <c r="TDF131" s="118"/>
      <c r="TDG131" s="118"/>
      <c r="TDH131" s="118"/>
      <c r="TDI131" s="118"/>
      <c r="TDJ131" s="118"/>
      <c r="TDK131" s="118"/>
      <c r="TDL131" s="118"/>
      <c r="TDM131" s="118"/>
      <c r="TDN131" s="118"/>
      <c r="TDO131" s="118"/>
      <c r="TDP131" s="118"/>
      <c r="TDQ131" s="118"/>
      <c r="TDR131" s="118"/>
      <c r="TDS131" s="118"/>
      <c r="TDT131" s="118"/>
      <c r="TDU131" s="118"/>
      <c r="TDV131" s="118"/>
      <c r="TDW131" s="118"/>
      <c r="TDX131" s="118"/>
      <c r="TDY131" s="118"/>
      <c r="TDZ131" s="118"/>
      <c r="TEA131" s="118"/>
      <c r="TEB131" s="118"/>
      <c r="TEC131" s="118"/>
      <c r="TED131" s="118"/>
      <c r="TEE131" s="118"/>
      <c r="TEF131" s="118"/>
      <c r="TEG131" s="118"/>
      <c r="TEH131" s="118"/>
      <c r="TEI131" s="118"/>
      <c r="TEJ131" s="118"/>
      <c r="TEK131" s="118"/>
      <c r="TEL131" s="118"/>
      <c r="TEM131" s="118"/>
      <c r="TEN131" s="118"/>
      <c r="TEO131" s="118"/>
      <c r="TEP131" s="118"/>
      <c r="TEQ131" s="118"/>
      <c r="TER131" s="118"/>
      <c r="TES131" s="118"/>
      <c r="TET131" s="118"/>
      <c r="TEU131" s="118"/>
      <c r="TEV131" s="118"/>
      <c r="TEW131" s="118"/>
      <c r="TEX131" s="118"/>
      <c r="TEY131" s="118"/>
      <c r="TEZ131" s="118"/>
      <c r="TFA131" s="118"/>
      <c r="TFB131" s="118"/>
      <c r="TFC131" s="118"/>
      <c r="TFD131" s="118"/>
      <c r="TFE131" s="118"/>
      <c r="TFF131" s="118"/>
      <c r="TFG131" s="118"/>
      <c r="TFH131" s="118"/>
      <c r="TFI131" s="118"/>
      <c r="TFJ131" s="118"/>
      <c r="TFK131" s="118"/>
      <c r="TFL131" s="118"/>
      <c r="TFM131" s="118"/>
      <c r="TFN131" s="118"/>
      <c r="TFO131" s="118"/>
      <c r="TFP131" s="118"/>
      <c r="TFQ131" s="118"/>
      <c r="TFR131" s="118"/>
      <c r="TFS131" s="118"/>
      <c r="TFT131" s="118"/>
      <c r="TFU131" s="118"/>
      <c r="TFV131" s="118"/>
      <c r="TFW131" s="118"/>
      <c r="TFX131" s="118"/>
      <c r="TFY131" s="118"/>
      <c r="TFZ131" s="118"/>
      <c r="TGA131" s="118"/>
      <c r="TGB131" s="118"/>
      <c r="TGC131" s="118"/>
      <c r="TGD131" s="118"/>
      <c r="TGE131" s="118"/>
      <c r="TGF131" s="118"/>
      <c r="TGG131" s="118"/>
      <c r="TGH131" s="118"/>
      <c r="TGI131" s="118"/>
      <c r="TGJ131" s="118"/>
      <c r="TGK131" s="118"/>
      <c r="TGL131" s="118"/>
      <c r="TGM131" s="118"/>
      <c r="TGN131" s="118"/>
      <c r="TGO131" s="118"/>
      <c r="TGP131" s="118"/>
      <c r="TGQ131" s="118"/>
      <c r="TGR131" s="118"/>
      <c r="TGS131" s="118"/>
      <c r="TGT131" s="118"/>
      <c r="TGU131" s="118"/>
      <c r="TGV131" s="118"/>
      <c r="TGW131" s="118"/>
      <c r="TGX131" s="118"/>
      <c r="TGY131" s="118"/>
      <c r="TGZ131" s="118"/>
      <c r="THA131" s="118"/>
      <c r="THB131" s="118"/>
      <c r="THC131" s="118"/>
      <c r="THD131" s="118"/>
      <c r="THE131" s="118"/>
      <c r="THF131" s="118"/>
      <c r="THG131" s="118"/>
      <c r="THH131" s="118"/>
      <c r="THI131" s="118"/>
      <c r="THJ131" s="118"/>
      <c r="THK131" s="118"/>
      <c r="THL131" s="118"/>
      <c r="THM131" s="118"/>
      <c r="THN131" s="118"/>
      <c r="THO131" s="118"/>
      <c r="THP131" s="118"/>
      <c r="THQ131" s="118"/>
      <c r="THR131" s="118"/>
      <c r="THS131" s="118"/>
      <c r="THT131" s="118"/>
      <c r="THU131" s="118"/>
      <c r="THV131" s="118"/>
      <c r="THW131" s="118"/>
      <c r="THX131" s="118"/>
      <c r="THY131" s="118"/>
      <c r="THZ131" s="118"/>
      <c r="TIA131" s="118"/>
      <c r="TIB131" s="118"/>
      <c r="TIC131" s="118"/>
      <c r="TID131" s="118"/>
      <c r="TIE131" s="118"/>
      <c r="TIF131" s="118"/>
      <c r="TIG131" s="118"/>
      <c r="TIH131" s="118"/>
      <c r="TII131" s="118"/>
      <c r="TIJ131" s="118"/>
      <c r="TIK131" s="118"/>
      <c r="TIL131" s="118"/>
      <c r="TIM131" s="118"/>
      <c r="TIN131" s="118"/>
      <c r="TIO131" s="118"/>
      <c r="TIP131" s="118"/>
      <c r="TIQ131" s="118"/>
      <c r="TIR131" s="118"/>
      <c r="TIS131" s="118"/>
      <c r="TIT131" s="118"/>
      <c r="TIU131" s="118"/>
      <c r="TIV131" s="118"/>
      <c r="TIW131" s="118"/>
      <c r="TIX131" s="118"/>
      <c r="TIY131" s="118"/>
      <c r="TIZ131" s="118"/>
      <c r="TJA131" s="118"/>
      <c r="TJB131" s="118"/>
      <c r="TJC131" s="118"/>
      <c r="TJD131" s="118"/>
      <c r="TJE131" s="118"/>
      <c r="TJF131" s="118"/>
      <c r="TJG131" s="118"/>
      <c r="TJH131" s="118"/>
      <c r="TJI131" s="118"/>
      <c r="TJJ131" s="118"/>
      <c r="TJK131" s="118"/>
      <c r="TJL131" s="118"/>
      <c r="TJM131" s="118"/>
      <c r="TJN131" s="118"/>
      <c r="TJO131" s="118"/>
      <c r="TJP131" s="118"/>
      <c r="TJQ131" s="118"/>
      <c r="TJR131" s="118"/>
      <c r="TJS131" s="118"/>
      <c r="TJT131" s="118"/>
      <c r="TJU131" s="118"/>
      <c r="TJV131" s="118"/>
      <c r="TJW131" s="118"/>
      <c r="TJX131" s="118"/>
      <c r="TJY131" s="118"/>
      <c r="TJZ131" s="118"/>
      <c r="TKA131" s="118"/>
      <c r="TKB131" s="118"/>
      <c r="TKC131" s="118"/>
      <c r="TKD131" s="118"/>
      <c r="TKE131" s="118"/>
      <c r="TKF131" s="118"/>
      <c r="TKG131" s="118"/>
      <c r="TKH131" s="118"/>
      <c r="TKI131" s="118"/>
      <c r="TKJ131" s="118"/>
      <c r="TKK131" s="118"/>
      <c r="TKL131" s="118"/>
      <c r="TKM131" s="118"/>
      <c r="TKN131" s="118"/>
      <c r="TKO131" s="118"/>
      <c r="TKP131" s="118"/>
      <c r="TKQ131" s="118"/>
      <c r="TKR131" s="118"/>
      <c r="TKS131" s="118"/>
      <c r="TKT131" s="118"/>
      <c r="TKU131" s="118"/>
      <c r="TKV131" s="118"/>
      <c r="TKW131" s="118"/>
      <c r="TKX131" s="118"/>
      <c r="TKY131" s="118"/>
      <c r="TKZ131" s="118"/>
      <c r="TLA131" s="118"/>
      <c r="TLB131" s="118"/>
      <c r="TLC131" s="118"/>
      <c r="TLD131" s="118"/>
      <c r="TLE131" s="118"/>
      <c r="TLF131" s="118"/>
      <c r="TLG131" s="118"/>
      <c r="TLH131" s="118"/>
      <c r="TLI131" s="118"/>
      <c r="TLJ131" s="118"/>
      <c r="TLK131" s="118"/>
      <c r="TLL131" s="118"/>
      <c r="TLM131" s="118"/>
      <c r="TLN131" s="118"/>
      <c r="TLO131" s="118"/>
      <c r="TLP131" s="118"/>
      <c r="TLQ131" s="118"/>
      <c r="TLR131" s="118"/>
      <c r="TLS131" s="118"/>
      <c r="TLT131" s="118"/>
      <c r="TLU131" s="118"/>
      <c r="TLV131" s="118"/>
      <c r="TLW131" s="118"/>
      <c r="TLX131" s="118"/>
      <c r="TLY131" s="118"/>
      <c r="TLZ131" s="118"/>
      <c r="TMA131" s="118"/>
      <c r="TMB131" s="118"/>
      <c r="TMC131" s="118"/>
      <c r="TMD131" s="118"/>
      <c r="TME131" s="118"/>
      <c r="TMF131" s="118"/>
      <c r="TMG131" s="118"/>
      <c r="TMH131" s="118"/>
      <c r="TMI131" s="118"/>
      <c r="TMJ131" s="118"/>
      <c r="TMK131" s="118"/>
      <c r="TML131" s="118"/>
      <c r="TMM131" s="118"/>
      <c r="TMN131" s="118"/>
      <c r="TMO131" s="118"/>
      <c r="TMP131" s="118"/>
      <c r="TMQ131" s="118"/>
      <c r="TMR131" s="118"/>
      <c r="TMS131" s="118"/>
      <c r="TMT131" s="118"/>
      <c r="TMU131" s="118"/>
      <c r="TMV131" s="118"/>
      <c r="TMW131" s="118"/>
      <c r="TMX131" s="118"/>
      <c r="TMY131" s="118"/>
      <c r="TMZ131" s="118"/>
      <c r="TNA131" s="118"/>
      <c r="TNB131" s="118"/>
      <c r="TNC131" s="118"/>
      <c r="TND131" s="118"/>
      <c r="TNE131" s="118"/>
      <c r="TNF131" s="118"/>
      <c r="TNG131" s="118"/>
      <c r="TNH131" s="118"/>
      <c r="TNI131" s="118"/>
      <c r="TNJ131" s="118"/>
      <c r="TNK131" s="118"/>
      <c r="TNL131" s="118"/>
      <c r="TNM131" s="118"/>
      <c r="TNN131" s="118"/>
      <c r="TNO131" s="118"/>
      <c r="TNP131" s="118"/>
      <c r="TNQ131" s="118"/>
      <c r="TNR131" s="118"/>
      <c r="TNS131" s="118"/>
      <c r="TNT131" s="118"/>
      <c r="TNU131" s="118"/>
      <c r="TNV131" s="118"/>
      <c r="TNW131" s="118"/>
      <c r="TNX131" s="118"/>
      <c r="TNY131" s="118"/>
      <c r="TNZ131" s="118"/>
      <c r="TOA131" s="118"/>
      <c r="TOB131" s="118"/>
      <c r="TOC131" s="118"/>
      <c r="TOD131" s="118"/>
      <c r="TOE131" s="118"/>
      <c r="TOF131" s="118"/>
      <c r="TOG131" s="118"/>
      <c r="TOH131" s="118"/>
      <c r="TOI131" s="118"/>
      <c r="TOJ131" s="118"/>
      <c r="TOK131" s="118"/>
      <c r="TOL131" s="118"/>
      <c r="TOM131" s="118"/>
      <c r="TON131" s="118"/>
      <c r="TOO131" s="118"/>
      <c r="TOP131" s="118"/>
      <c r="TOQ131" s="118"/>
      <c r="TOR131" s="118"/>
      <c r="TOS131" s="118"/>
      <c r="TOT131" s="118"/>
      <c r="TOU131" s="118"/>
      <c r="TOV131" s="118"/>
      <c r="TOW131" s="118"/>
      <c r="TOX131" s="118"/>
      <c r="TOY131" s="118"/>
      <c r="TOZ131" s="118"/>
      <c r="TPA131" s="118"/>
      <c r="TPB131" s="118"/>
      <c r="TPC131" s="118"/>
      <c r="TPD131" s="118"/>
      <c r="TPE131" s="118"/>
      <c r="TPF131" s="118"/>
      <c r="TPG131" s="118"/>
      <c r="TPH131" s="118"/>
      <c r="TPI131" s="118"/>
      <c r="TPJ131" s="118"/>
      <c r="TPK131" s="118"/>
      <c r="TPL131" s="118"/>
      <c r="TPM131" s="118"/>
      <c r="TPN131" s="118"/>
      <c r="TPO131" s="118"/>
      <c r="TPP131" s="118"/>
      <c r="TPQ131" s="118"/>
      <c r="TPR131" s="118"/>
      <c r="TPS131" s="118"/>
      <c r="TPT131" s="118"/>
      <c r="TPU131" s="118"/>
      <c r="TPV131" s="118"/>
      <c r="TPW131" s="118"/>
      <c r="TPX131" s="118"/>
      <c r="TPY131" s="118"/>
      <c r="TPZ131" s="118"/>
      <c r="TQA131" s="118"/>
      <c r="TQB131" s="118"/>
      <c r="TQC131" s="118"/>
      <c r="TQD131" s="118"/>
      <c r="TQE131" s="118"/>
      <c r="TQF131" s="118"/>
      <c r="TQG131" s="118"/>
      <c r="TQH131" s="118"/>
      <c r="TQI131" s="118"/>
      <c r="TQJ131" s="118"/>
      <c r="TQK131" s="118"/>
      <c r="TQL131" s="118"/>
      <c r="TQM131" s="118"/>
      <c r="TQN131" s="118"/>
      <c r="TQO131" s="118"/>
      <c r="TQP131" s="118"/>
      <c r="TQQ131" s="118"/>
      <c r="TQR131" s="118"/>
      <c r="TQS131" s="118"/>
      <c r="TQT131" s="118"/>
      <c r="TQU131" s="118"/>
      <c r="TQV131" s="118"/>
      <c r="TQW131" s="118"/>
      <c r="TQX131" s="118"/>
      <c r="TQY131" s="118"/>
      <c r="TQZ131" s="118"/>
      <c r="TRA131" s="118"/>
      <c r="TRB131" s="118"/>
      <c r="TRC131" s="118"/>
      <c r="TRD131" s="118"/>
      <c r="TRE131" s="118"/>
      <c r="TRF131" s="118"/>
      <c r="TRG131" s="118"/>
      <c r="TRH131" s="118"/>
      <c r="TRI131" s="118"/>
      <c r="TRJ131" s="118"/>
      <c r="TRK131" s="118"/>
      <c r="TRL131" s="118"/>
      <c r="TRM131" s="118"/>
      <c r="TRN131" s="118"/>
      <c r="TRO131" s="118"/>
      <c r="TRP131" s="118"/>
      <c r="TRQ131" s="118"/>
      <c r="TRR131" s="118"/>
      <c r="TRS131" s="118"/>
      <c r="TRT131" s="118"/>
      <c r="TRU131" s="118"/>
      <c r="TRV131" s="118"/>
      <c r="TRW131" s="118"/>
      <c r="TRX131" s="118"/>
      <c r="TRY131" s="118"/>
      <c r="TRZ131" s="118"/>
      <c r="TSA131" s="118"/>
      <c r="TSB131" s="118"/>
      <c r="TSC131" s="118"/>
      <c r="TSD131" s="118"/>
      <c r="TSE131" s="118"/>
      <c r="TSF131" s="118"/>
      <c r="TSG131" s="118"/>
      <c r="TSH131" s="118"/>
      <c r="TSI131" s="118"/>
      <c r="TSJ131" s="118"/>
      <c r="TSK131" s="118"/>
      <c r="TSL131" s="118"/>
      <c r="TSM131" s="118"/>
      <c r="TSN131" s="118"/>
      <c r="TSO131" s="118"/>
      <c r="TSP131" s="118"/>
      <c r="TSQ131" s="118"/>
      <c r="TSR131" s="118"/>
      <c r="TSS131" s="118"/>
      <c r="TST131" s="118"/>
      <c r="TSU131" s="118"/>
      <c r="TSV131" s="118"/>
      <c r="TSW131" s="118"/>
      <c r="TSX131" s="118"/>
      <c r="TSY131" s="118"/>
      <c r="TSZ131" s="118"/>
      <c r="TTA131" s="118"/>
      <c r="TTB131" s="118"/>
      <c r="TTC131" s="118"/>
      <c r="TTD131" s="118"/>
      <c r="TTE131" s="118"/>
      <c r="TTF131" s="118"/>
      <c r="TTG131" s="118"/>
      <c r="TTH131" s="118"/>
      <c r="TTI131" s="118"/>
      <c r="TTJ131" s="118"/>
      <c r="TTK131" s="118"/>
      <c r="TTL131" s="118"/>
      <c r="TTM131" s="118"/>
      <c r="TTN131" s="118"/>
      <c r="TTO131" s="118"/>
      <c r="TTP131" s="118"/>
      <c r="TTQ131" s="118"/>
      <c r="TTR131" s="118"/>
      <c r="TTS131" s="118"/>
      <c r="TTT131" s="118"/>
      <c r="TTU131" s="118"/>
      <c r="TTV131" s="118"/>
      <c r="TTW131" s="118"/>
      <c r="TTX131" s="118"/>
      <c r="TTY131" s="118"/>
      <c r="TTZ131" s="118"/>
      <c r="TUA131" s="118"/>
      <c r="TUB131" s="118"/>
      <c r="TUC131" s="118"/>
      <c r="TUD131" s="118"/>
      <c r="TUE131" s="118"/>
      <c r="TUF131" s="118"/>
      <c r="TUG131" s="118"/>
      <c r="TUH131" s="118"/>
      <c r="TUI131" s="118"/>
      <c r="TUJ131" s="118"/>
      <c r="TUK131" s="118"/>
      <c r="TUL131" s="118"/>
      <c r="TUM131" s="118"/>
      <c r="TUN131" s="118"/>
      <c r="TUO131" s="118"/>
      <c r="TUP131" s="118"/>
      <c r="TUQ131" s="118"/>
      <c r="TUR131" s="118"/>
      <c r="TUS131" s="118"/>
      <c r="TUT131" s="118"/>
      <c r="TUU131" s="118"/>
      <c r="TUV131" s="118"/>
      <c r="TUW131" s="118"/>
      <c r="TUX131" s="118"/>
      <c r="TUY131" s="118"/>
      <c r="TUZ131" s="118"/>
      <c r="TVA131" s="118"/>
      <c r="TVB131" s="118"/>
      <c r="TVC131" s="118"/>
      <c r="TVD131" s="118"/>
      <c r="TVE131" s="118"/>
      <c r="TVF131" s="118"/>
      <c r="TVG131" s="118"/>
      <c r="TVH131" s="118"/>
      <c r="TVI131" s="118"/>
      <c r="TVJ131" s="118"/>
      <c r="TVK131" s="118"/>
      <c r="TVL131" s="118"/>
      <c r="TVM131" s="118"/>
      <c r="TVN131" s="118"/>
      <c r="TVO131" s="118"/>
      <c r="TVP131" s="118"/>
      <c r="TVQ131" s="118"/>
      <c r="TVR131" s="118"/>
      <c r="TVS131" s="118"/>
      <c r="TVT131" s="118"/>
      <c r="TVU131" s="118"/>
      <c r="TVV131" s="118"/>
      <c r="TVW131" s="118"/>
      <c r="TVX131" s="118"/>
      <c r="TVY131" s="118"/>
      <c r="TVZ131" s="118"/>
      <c r="TWA131" s="118"/>
      <c r="TWB131" s="118"/>
      <c r="TWC131" s="118"/>
      <c r="TWD131" s="118"/>
      <c r="TWE131" s="118"/>
      <c r="TWF131" s="118"/>
      <c r="TWG131" s="118"/>
      <c r="TWH131" s="118"/>
      <c r="TWI131" s="118"/>
      <c r="TWJ131" s="118"/>
      <c r="TWK131" s="118"/>
      <c r="TWL131" s="118"/>
      <c r="TWM131" s="118"/>
      <c r="TWN131" s="118"/>
      <c r="TWO131" s="118"/>
      <c r="TWP131" s="118"/>
      <c r="TWQ131" s="118"/>
      <c r="TWR131" s="118"/>
      <c r="TWS131" s="118"/>
      <c r="TWT131" s="118"/>
      <c r="TWU131" s="118"/>
      <c r="TWV131" s="118"/>
      <c r="TWW131" s="118"/>
      <c r="TWX131" s="118"/>
      <c r="TWY131" s="118"/>
      <c r="TWZ131" s="118"/>
      <c r="TXA131" s="118"/>
      <c r="TXB131" s="118"/>
      <c r="TXC131" s="118"/>
      <c r="TXD131" s="118"/>
      <c r="TXE131" s="118"/>
      <c r="TXF131" s="118"/>
      <c r="TXG131" s="118"/>
      <c r="TXH131" s="118"/>
      <c r="TXI131" s="118"/>
      <c r="TXJ131" s="118"/>
      <c r="TXK131" s="118"/>
      <c r="TXL131" s="118"/>
      <c r="TXM131" s="118"/>
      <c r="TXN131" s="118"/>
      <c r="TXO131" s="118"/>
      <c r="TXP131" s="118"/>
      <c r="TXQ131" s="118"/>
      <c r="TXR131" s="118"/>
      <c r="TXS131" s="118"/>
      <c r="TXT131" s="118"/>
      <c r="TXU131" s="118"/>
      <c r="TXV131" s="118"/>
      <c r="TXW131" s="118"/>
      <c r="TXX131" s="118"/>
      <c r="TXY131" s="118"/>
      <c r="TXZ131" s="118"/>
      <c r="TYA131" s="118"/>
      <c r="TYB131" s="118"/>
      <c r="TYC131" s="118"/>
      <c r="TYD131" s="118"/>
      <c r="TYE131" s="118"/>
      <c r="TYF131" s="118"/>
      <c r="TYG131" s="118"/>
      <c r="TYH131" s="118"/>
      <c r="TYI131" s="118"/>
      <c r="TYJ131" s="118"/>
      <c r="TYK131" s="118"/>
      <c r="TYL131" s="118"/>
      <c r="TYM131" s="118"/>
      <c r="TYN131" s="118"/>
      <c r="TYO131" s="118"/>
      <c r="TYP131" s="118"/>
      <c r="TYQ131" s="118"/>
      <c r="TYR131" s="118"/>
      <c r="TYS131" s="118"/>
      <c r="TYT131" s="118"/>
      <c r="TYU131" s="118"/>
      <c r="TYV131" s="118"/>
      <c r="TYW131" s="118"/>
      <c r="TYX131" s="118"/>
      <c r="TYY131" s="118"/>
      <c r="TYZ131" s="118"/>
      <c r="TZA131" s="118"/>
      <c r="TZB131" s="118"/>
      <c r="TZC131" s="118"/>
      <c r="TZD131" s="118"/>
      <c r="TZE131" s="118"/>
      <c r="TZF131" s="118"/>
      <c r="TZG131" s="118"/>
      <c r="TZH131" s="118"/>
      <c r="TZI131" s="118"/>
      <c r="TZJ131" s="118"/>
      <c r="TZK131" s="118"/>
      <c r="TZL131" s="118"/>
      <c r="TZM131" s="118"/>
      <c r="TZN131" s="118"/>
      <c r="TZO131" s="118"/>
      <c r="TZP131" s="118"/>
      <c r="TZQ131" s="118"/>
      <c r="TZR131" s="118"/>
      <c r="TZS131" s="118"/>
      <c r="TZT131" s="118"/>
      <c r="TZU131" s="118"/>
      <c r="TZV131" s="118"/>
      <c r="TZW131" s="118"/>
      <c r="TZX131" s="118"/>
      <c r="TZY131" s="118"/>
      <c r="TZZ131" s="118"/>
      <c r="UAA131" s="118"/>
      <c r="UAB131" s="118"/>
      <c r="UAC131" s="118"/>
      <c r="UAD131" s="118"/>
      <c r="UAE131" s="118"/>
      <c r="UAF131" s="118"/>
      <c r="UAG131" s="118"/>
      <c r="UAH131" s="118"/>
      <c r="UAI131" s="118"/>
      <c r="UAJ131" s="118"/>
      <c r="UAK131" s="118"/>
      <c r="UAL131" s="118"/>
      <c r="UAM131" s="118"/>
      <c r="UAN131" s="118"/>
      <c r="UAO131" s="118"/>
      <c r="UAP131" s="118"/>
      <c r="UAQ131" s="118"/>
      <c r="UAR131" s="118"/>
      <c r="UAS131" s="118"/>
      <c r="UAT131" s="118"/>
      <c r="UAU131" s="118"/>
      <c r="UAV131" s="118"/>
      <c r="UAW131" s="118"/>
      <c r="UAX131" s="118"/>
      <c r="UAY131" s="118"/>
      <c r="UAZ131" s="118"/>
      <c r="UBA131" s="118"/>
      <c r="UBB131" s="118"/>
      <c r="UBC131" s="118"/>
      <c r="UBD131" s="118"/>
      <c r="UBE131" s="118"/>
      <c r="UBF131" s="118"/>
      <c r="UBG131" s="118"/>
      <c r="UBH131" s="118"/>
      <c r="UBI131" s="118"/>
      <c r="UBJ131" s="118"/>
      <c r="UBK131" s="118"/>
      <c r="UBL131" s="118"/>
      <c r="UBM131" s="118"/>
      <c r="UBN131" s="118"/>
      <c r="UBO131" s="118"/>
      <c r="UBP131" s="118"/>
      <c r="UBQ131" s="118"/>
      <c r="UBR131" s="118"/>
      <c r="UBS131" s="118"/>
      <c r="UBT131" s="118"/>
      <c r="UBU131" s="118"/>
      <c r="UBV131" s="118"/>
      <c r="UBW131" s="118"/>
      <c r="UBX131" s="118"/>
      <c r="UBY131" s="118"/>
      <c r="UBZ131" s="118"/>
      <c r="UCA131" s="118"/>
      <c r="UCB131" s="118"/>
      <c r="UCC131" s="118"/>
      <c r="UCD131" s="118"/>
      <c r="UCE131" s="118"/>
      <c r="UCF131" s="118"/>
      <c r="UCG131" s="118"/>
      <c r="UCH131" s="118"/>
      <c r="UCI131" s="118"/>
      <c r="UCJ131" s="118"/>
      <c r="UCK131" s="118"/>
      <c r="UCL131" s="118"/>
      <c r="UCM131" s="118"/>
      <c r="UCN131" s="118"/>
      <c r="UCO131" s="118"/>
      <c r="UCP131" s="118"/>
      <c r="UCQ131" s="118"/>
      <c r="UCR131" s="118"/>
      <c r="UCS131" s="118"/>
      <c r="UCT131" s="118"/>
      <c r="UCU131" s="118"/>
      <c r="UCV131" s="118"/>
      <c r="UCW131" s="118"/>
      <c r="UCX131" s="118"/>
      <c r="UCY131" s="118"/>
      <c r="UCZ131" s="118"/>
      <c r="UDA131" s="118"/>
      <c r="UDB131" s="118"/>
      <c r="UDC131" s="118"/>
      <c r="UDD131" s="118"/>
      <c r="UDE131" s="118"/>
      <c r="UDF131" s="118"/>
      <c r="UDG131" s="118"/>
      <c r="UDH131" s="118"/>
      <c r="UDI131" s="118"/>
      <c r="UDJ131" s="118"/>
      <c r="UDK131" s="118"/>
      <c r="UDL131" s="118"/>
      <c r="UDM131" s="118"/>
      <c r="UDN131" s="118"/>
      <c r="UDO131" s="118"/>
      <c r="UDP131" s="118"/>
      <c r="UDQ131" s="118"/>
      <c r="UDR131" s="118"/>
      <c r="UDS131" s="118"/>
      <c r="UDT131" s="118"/>
      <c r="UDU131" s="118"/>
      <c r="UDV131" s="118"/>
      <c r="UDW131" s="118"/>
      <c r="UDX131" s="118"/>
      <c r="UDY131" s="118"/>
      <c r="UDZ131" s="118"/>
      <c r="UEA131" s="118"/>
      <c r="UEB131" s="118"/>
      <c r="UEC131" s="118"/>
      <c r="UED131" s="118"/>
      <c r="UEE131" s="118"/>
      <c r="UEF131" s="118"/>
      <c r="UEG131" s="118"/>
      <c r="UEH131" s="118"/>
      <c r="UEI131" s="118"/>
      <c r="UEJ131" s="118"/>
      <c r="UEK131" s="118"/>
      <c r="UEL131" s="118"/>
      <c r="UEM131" s="118"/>
      <c r="UEN131" s="118"/>
      <c r="UEO131" s="118"/>
      <c r="UEP131" s="118"/>
      <c r="UEQ131" s="118"/>
      <c r="UER131" s="118"/>
      <c r="UES131" s="118"/>
      <c r="UET131" s="118"/>
      <c r="UEU131" s="118"/>
      <c r="UEV131" s="118"/>
      <c r="UEW131" s="118"/>
      <c r="UEX131" s="118"/>
      <c r="UEY131" s="118"/>
      <c r="UEZ131" s="118"/>
      <c r="UFA131" s="118"/>
      <c r="UFB131" s="118"/>
      <c r="UFC131" s="118"/>
      <c r="UFD131" s="118"/>
      <c r="UFE131" s="118"/>
      <c r="UFF131" s="118"/>
      <c r="UFG131" s="118"/>
      <c r="UFH131" s="118"/>
      <c r="UFI131" s="118"/>
      <c r="UFJ131" s="118"/>
      <c r="UFK131" s="118"/>
      <c r="UFL131" s="118"/>
      <c r="UFM131" s="118"/>
      <c r="UFN131" s="118"/>
      <c r="UFO131" s="118"/>
      <c r="UFP131" s="118"/>
      <c r="UFQ131" s="118"/>
      <c r="UFR131" s="118"/>
      <c r="UFS131" s="118"/>
      <c r="UFT131" s="118"/>
      <c r="UFU131" s="118"/>
      <c r="UFV131" s="118"/>
      <c r="UFW131" s="118"/>
      <c r="UFX131" s="118"/>
      <c r="UFY131" s="118"/>
      <c r="UFZ131" s="118"/>
      <c r="UGA131" s="118"/>
      <c r="UGB131" s="118"/>
      <c r="UGC131" s="118"/>
      <c r="UGD131" s="118"/>
      <c r="UGE131" s="118"/>
      <c r="UGF131" s="118"/>
      <c r="UGG131" s="118"/>
      <c r="UGH131" s="118"/>
      <c r="UGI131" s="118"/>
      <c r="UGJ131" s="118"/>
      <c r="UGK131" s="118"/>
      <c r="UGL131" s="118"/>
      <c r="UGM131" s="118"/>
      <c r="UGN131" s="118"/>
      <c r="UGO131" s="118"/>
      <c r="UGP131" s="118"/>
      <c r="UGQ131" s="118"/>
      <c r="UGR131" s="118"/>
      <c r="UGS131" s="118"/>
      <c r="UGT131" s="118"/>
      <c r="UGU131" s="118"/>
      <c r="UGV131" s="118"/>
      <c r="UGW131" s="118"/>
      <c r="UGX131" s="118"/>
      <c r="UGY131" s="118"/>
      <c r="UGZ131" s="118"/>
      <c r="UHA131" s="118"/>
      <c r="UHB131" s="118"/>
      <c r="UHC131" s="118"/>
      <c r="UHD131" s="118"/>
      <c r="UHE131" s="118"/>
      <c r="UHF131" s="118"/>
      <c r="UHG131" s="118"/>
      <c r="UHH131" s="118"/>
      <c r="UHI131" s="118"/>
      <c r="UHJ131" s="118"/>
      <c r="UHK131" s="118"/>
      <c r="UHL131" s="118"/>
      <c r="UHM131" s="118"/>
      <c r="UHN131" s="118"/>
      <c r="UHO131" s="118"/>
      <c r="UHP131" s="118"/>
      <c r="UHQ131" s="118"/>
      <c r="UHR131" s="118"/>
      <c r="UHS131" s="118"/>
      <c r="UHT131" s="118"/>
      <c r="UHU131" s="118"/>
      <c r="UHV131" s="118"/>
      <c r="UHW131" s="118"/>
      <c r="UHX131" s="118"/>
      <c r="UHY131" s="118"/>
      <c r="UHZ131" s="118"/>
      <c r="UIA131" s="118"/>
      <c r="UIB131" s="118"/>
      <c r="UIC131" s="118"/>
      <c r="UID131" s="118"/>
      <c r="UIE131" s="118"/>
      <c r="UIF131" s="118"/>
      <c r="UIG131" s="118"/>
      <c r="UIH131" s="118"/>
      <c r="UII131" s="118"/>
      <c r="UIJ131" s="118"/>
      <c r="UIK131" s="118"/>
      <c r="UIL131" s="118"/>
      <c r="UIM131" s="118"/>
      <c r="UIN131" s="118"/>
      <c r="UIO131" s="118"/>
      <c r="UIP131" s="118"/>
      <c r="UIQ131" s="118"/>
      <c r="UIR131" s="118"/>
      <c r="UIS131" s="118"/>
      <c r="UIT131" s="118"/>
      <c r="UIU131" s="118"/>
      <c r="UIV131" s="118"/>
      <c r="UIW131" s="118"/>
      <c r="UIX131" s="118"/>
      <c r="UIY131" s="118"/>
      <c r="UIZ131" s="118"/>
      <c r="UJA131" s="118"/>
      <c r="UJB131" s="118"/>
      <c r="UJC131" s="118"/>
      <c r="UJD131" s="118"/>
      <c r="UJE131" s="118"/>
      <c r="UJF131" s="118"/>
      <c r="UJG131" s="118"/>
      <c r="UJH131" s="118"/>
      <c r="UJI131" s="118"/>
      <c r="UJJ131" s="118"/>
      <c r="UJK131" s="118"/>
      <c r="UJL131" s="118"/>
      <c r="UJM131" s="118"/>
      <c r="UJN131" s="118"/>
      <c r="UJO131" s="118"/>
      <c r="UJP131" s="118"/>
      <c r="UJQ131" s="118"/>
      <c r="UJR131" s="118"/>
      <c r="UJS131" s="118"/>
      <c r="UJT131" s="118"/>
      <c r="UJU131" s="118"/>
      <c r="UJV131" s="118"/>
      <c r="UJW131" s="118"/>
      <c r="UJX131" s="118"/>
      <c r="UJY131" s="118"/>
      <c r="UJZ131" s="118"/>
      <c r="UKA131" s="118"/>
      <c r="UKB131" s="118"/>
      <c r="UKC131" s="118"/>
      <c r="UKD131" s="118"/>
      <c r="UKE131" s="118"/>
      <c r="UKF131" s="118"/>
      <c r="UKG131" s="118"/>
      <c r="UKH131" s="118"/>
      <c r="UKI131" s="118"/>
      <c r="UKJ131" s="118"/>
      <c r="UKK131" s="118"/>
      <c r="UKL131" s="118"/>
      <c r="UKM131" s="118"/>
      <c r="UKN131" s="118"/>
      <c r="UKO131" s="118"/>
      <c r="UKP131" s="118"/>
      <c r="UKQ131" s="118"/>
      <c r="UKR131" s="118"/>
      <c r="UKS131" s="118"/>
      <c r="UKT131" s="118"/>
      <c r="UKU131" s="118"/>
      <c r="UKV131" s="118"/>
      <c r="UKW131" s="118"/>
      <c r="UKX131" s="118"/>
      <c r="UKY131" s="118"/>
      <c r="UKZ131" s="118"/>
      <c r="ULA131" s="118"/>
      <c r="ULB131" s="118"/>
      <c r="ULC131" s="118"/>
      <c r="ULD131" s="118"/>
      <c r="ULE131" s="118"/>
      <c r="ULF131" s="118"/>
      <c r="ULG131" s="118"/>
      <c r="ULH131" s="118"/>
      <c r="ULI131" s="118"/>
      <c r="ULJ131" s="118"/>
      <c r="ULK131" s="118"/>
      <c r="ULL131" s="118"/>
      <c r="ULM131" s="118"/>
      <c r="ULN131" s="118"/>
      <c r="ULO131" s="118"/>
      <c r="ULP131" s="118"/>
      <c r="ULQ131" s="118"/>
      <c r="ULR131" s="118"/>
      <c r="ULS131" s="118"/>
      <c r="ULT131" s="118"/>
      <c r="ULU131" s="118"/>
      <c r="ULV131" s="118"/>
      <c r="ULW131" s="118"/>
      <c r="ULX131" s="118"/>
      <c r="ULY131" s="118"/>
      <c r="ULZ131" s="118"/>
      <c r="UMA131" s="118"/>
      <c r="UMB131" s="118"/>
      <c r="UMC131" s="118"/>
      <c r="UMD131" s="118"/>
      <c r="UME131" s="118"/>
      <c r="UMF131" s="118"/>
      <c r="UMG131" s="118"/>
      <c r="UMH131" s="118"/>
      <c r="UMI131" s="118"/>
      <c r="UMJ131" s="118"/>
      <c r="UMK131" s="118"/>
      <c r="UML131" s="118"/>
      <c r="UMM131" s="118"/>
      <c r="UMN131" s="118"/>
      <c r="UMO131" s="118"/>
      <c r="UMP131" s="118"/>
      <c r="UMQ131" s="118"/>
      <c r="UMR131" s="118"/>
      <c r="UMS131" s="118"/>
      <c r="UMT131" s="118"/>
      <c r="UMU131" s="118"/>
      <c r="UMV131" s="118"/>
      <c r="UMW131" s="118"/>
      <c r="UMX131" s="118"/>
      <c r="UMY131" s="118"/>
      <c r="UMZ131" s="118"/>
      <c r="UNA131" s="118"/>
      <c r="UNB131" s="118"/>
      <c r="UNC131" s="118"/>
      <c r="UND131" s="118"/>
      <c r="UNE131" s="118"/>
      <c r="UNF131" s="118"/>
      <c r="UNG131" s="118"/>
      <c r="UNH131" s="118"/>
      <c r="UNI131" s="118"/>
      <c r="UNJ131" s="118"/>
      <c r="UNK131" s="118"/>
      <c r="UNL131" s="118"/>
      <c r="UNM131" s="118"/>
      <c r="UNN131" s="118"/>
      <c r="UNO131" s="118"/>
      <c r="UNP131" s="118"/>
      <c r="UNQ131" s="118"/>
      <c r="UNR131" s="118"/>
      <c r="UNS131" s="118"/>
      <c r="UNT131" s="118"/>
      <c r="UNU131" s="118"/>
      <c r="UNV131" s="118"/>
      <c r="UNW131" s="118"/>
      <c r="UNX131" s="118"/>
      <c r="UNY131" s="118"/>
      <c r="UNZ131" s="118"/>
      <c r="UOA131" s="118"/>
      <c r="UOB131" s="118"/>
      <c r="UOC131" s="118"/>
      <c r="UOD131" s="118"/>
      <c r="UOE131" s="118"/>
      <c r="UOF131" s="118"/>
      <c r="UOG131" s="118"/>
      <c r="UOH131" s="118"/>
      <c r="UOI131" s="118"/>
      <c r="UOJ131" s="118"/>
      <c r="UOK131" s="118"/>
      <c r="UOL131" s="118"/>
      <c r="UOM131" s="118"/>
      <c r="UON131" s="118"/>
      <c r="UOO131" s="118"/>
      <c r="UOP131" s="118"/>
      <c r="UOQ131" s="118"/>
      <c r="UOR131" s="118"/>
      <c r="UOS131" s="118"/>
      <c r="UOT131" s="118"/>
      <c r="UOU131" s="118"/>
      <c r="UOV131" s="118"/>
      <c r="UOW131" s="118"/>
      <c r="UOX131" s="118"/>
      <c r="UOY131" s="118"/>
      <c r="UOZ131" s="118"/>
      <c r="UPA131" s="118"/>
      <c r="UPB131" s="118"/>
      <c r="UPC131" s="118"/>
      <c r="UPD131" s="118"/>
      <c r="UPE131" s="118"/>
      <c r="UPF131" s="118"/>
      <c r="UPG131" s="118"/>
      <c r="UPH131" s="118"/>
      <c r="UPI131" s="118"/>
      <c r="UPJ131" s="118"/>
      <c r="UPK131" s="118"/>
      <c r="UPL131" s="118"/>
      <c r="UPM131" s="118"/>
      <c r="UPN131" s="118"/>
      <c r="UPO131" s="118"/>
      <c r="UPP131" s="118"/>
      <c r="UPQ131" s="118"/>
      <c r="UPR131" s="118"/>
      <c r="UPS131" s="118"/>
      <c r="UPT131" s="118"/>
      <c r="UPU131" s="118"/>
      <c r="UPV131" s="118"/>
      <c r="UPW131" s="118"/>
      <c r="UPX131" s="118"/>
      <c r="UPY131" s="118"/>
      <c r="UPZ131" s="118"/>
      <c r="UQA131" s="118"/>
      <c r="UQB131" s="118"/>
      <c r="UQC131" s="118"/>
      <c r="UQD131" s="118"/>
      <c r="UQE131" s="118"/>
      <c r="UQF131" s="118"/>
      <c r="UQG131" s="118"/>
      <c r="UQH131" s="118"/>
      <c r="UQI131" s="118"/>
      <c r="UQJ131" s="118"/>
      <c r="UQK131" s="118"/>
      <c r="UQL131" s="118"/>
      <c r="UQM131" s="118"/>
      <c r="UQN131" s="118"/>
      <c r="UQO131" s="118"/>
      <c r="UQP131" s="118"/>
      <c r="UQQ131" s="118"/>
      <c r="UQR131" s="118"/>
      <c r="UQS131" s="118"/>
      <c r="UQT131" s="118"/>
      <c r="UQU131" s="118"/>
      <c r="UQV131" s="118"/>
      <c r="UQW131" s="118"/>
      <c r="UQX131" s="118"/>
      <c r="UQY131" s="118"/>
      <c r="UQZ131" s="118"/>
      <c r="URA131" s="118"/>
      <c r="URB131" s="118"/>
      <c r="URC131" s="118"/>
      <c r="URD131" s="118"/>
      <c r="URE131" s="118"/>
      <c r="URF131" s="118"/>
      <c r="URG131" s="118"/>
      <c r="URH131" s="118"/>
      <c r="URI131" s="118"/>
      <c r="URJ131" s="118"/>
      <c r="URK131" s="118"/>
      <c r="URL131" s="118"/>
      <c r="URM131" s="118"/>
      <c r="URN131" s="118"/>
      <c r="URO131" s="118"/>
      <c r="URP131" s="118"/>
      <c r="URQ131" s="118"/>
      <c r="URR131" s="118"/>
      <c r="URS131" s="118"/>
      <c r="URT131" s="118"/>
      <c r="URU131" s="118"/>
      <c r="URV131" s="118"/>
      <c r="URW131" s="118"/>
      <c r="URX131" s="118"/>
      <c r="URY131" s="118"/>
      <c r="URZ131" s="118"/>
      <c r="USA131" s="118"/>
      <c r="USB131" s="118"/>
      <c r="USC131" s="118"/>
      <c r="USD131" s="118"/>
      <c r="USE131" s="118"/>
      <c r="USF131" s="118"/>
      <c r="USG131" s="118"/>
      <c r="USH131" s="118"/>
      <c r="USI131" s="118"/>
      <c r="USJ131" s="118"/>
      <c r="USK131" s="118"/>
      <c r="USL131" s="118"/>
      <c r="USM131" s="118"/>
      <c r="USN131" s="118"/>
      <c r="USO131" s="118"/>
      <c r="USP131" s="118"/>
      <c r="USQ131" s="118"/>
      <c r="USR131" s="118"/>
      <c r="USS131" s="118"/>
      <c r="UST131" s="118"/>
      <c r="USU131" s="118"/>
      <c r="USV131" s="118"/>
      <c r="USW131" s="118"/>
      <c r="USX131" s="118"/>
      <c r="USY131" s="118"/>
      <c r="USZ131" s="118"/>
      <c r="UTA131" s="118"/>
      <c r="UTB131" s="118"/>
      <c r="UTC131" s="118"/>
      <c r="UTD131" s="118"/>
      <c r="UTE131" s="118"/>
      <c r="UTF131" s="118"/>
      <c r="UTG131" s="118"/>
      <c r="UTH131" s="118"/>
      <c r="UTI131" s="118"/>
      <c r="UTJ131" s="118"/>
      <c r="UTK131" s="118"/>
      <c r="UTL131" s="118"/>
      <c r="UTM131" s="118"/>
      <c r="UTN131" s="118"/>
      <c r="UTO131" s="118"/>
      <c r="UTP131" s="118"/>
      <c r="UTQ131" s="118"/>
      <c r="UTR131" s="118"/>
      <c r="UTS131" s="118"/>
      <c r="UTT131" s="118"/>
      <c r="UTU131" s="118"/>
      <c r="UTV131" s="118"/>
      <c r="UTW131" s="118"/>
      <c r="UTX131" s="118"/>
      <c r="UTY131" s="118"/>
      <c r="UTZ131" s="118"/>
      <c r="UUA131" s="118"/>
      <c r="UUB131" s="118"/>
      <c r="UUC131" s="118"/>
      <c r="UUD131" s="118"/>
      <c r="UUE131" s="118"/>
      <c r="UUF131" s="118"/>
      <c r="UUG131" s="118"/>
      <c r="UUH131" s="118"/>
      <c r="UUI131" s="118"/>
      <c r="UUJ131" s="118"/>
      <c r="UUK131" s="118"/>
      <c r="UUL131" s="118"/>
      <c r="UUM131" s="118"/>
      <c r="UUN131" s="118"/>
      <c r="UUO131" s="118"/>
      <c r="UUP131" s="118"/>
      <c r="UUQ131" s="118"/>
      <c r="UUR131" s="118"/>
      <c r="UUS131" s="118"/>
      <c r="UUT131" s="118"/>
      <c r="UUU131" s="118"/>
      <c r="UUV131" s="118"/>
      <c r="UUW131" s="118"/>
      <c r="UUX131" s="118"/>
      <c r="UUY131" s="118"/>
      <c r="UUZ131" s="118"/>
      <c r="UVA131" s="118"/>
      <c r="UVB131" s="118"/>
      <c r="UVC131" s="118"/>
      <c r="UVD131" s="118"/>
      <c r="UVE131" s="118"/>
      <c r="UVF131" s="118"/>
      <c r="UVG131" s="118"/>
      <c r="UVH131" s="118"/>
      <c r="UVI131" s="118"/>
      <c r="UVJ131" s="118"/>
      <c r="UVK131" s="118"/>
      <c r="UVL131" s="118"/>
      <c r="UVM131" s="118"/>
      <c r="UVN131" s="118"/>
      <c r="UVO131" s="118"/>
      <c r="UVP131" s="118"/>
      <c r="UVQ131" s="118"/>
      <c r="UVR131" s="118"/>
      <c r="UVS131" s="118"/>
      <c r="UVT131" s="118"/>
      <c r="UVU131" s="118"/>
      <c r="UVV131" s="118"/>
      <c r="UVW131" s="118"/>
      <c r="UVX131" s="118"/>
      <c r="UVY131" s="118"/>
      <c r="UVZ131" s="118"/>
      <c r="UWA131" s="118"/>
      <c r="UWB131" s="118"/>
      <c r="UWC131" s="118"/>
      <c r="UWD131" s="118"/>
      <c r="UWE131" s="118"/>
      <c r="UWF131" s="118"/>
      <c r="UWG131" s="118"/>
      <c r="UWH131" s="118"/>
      <c r="UWI131" s="118"/>
      <c r="UWJ131" s="118"/>
      <c r="UWK131" s="118"/>
      <c r="UWL131" s="118"/>
      <c r="UWM131" s="118"/>
      <c r="UWN131" s="118"/>
      <c r="UWO131" s="118"/>
      <c r="UWP131" s="118"/>
      <c r="UWQ131" s="118"/>
      <c r="UWR131" s="118"/>
      <c r="UWS131" s="118"/>
      <c r="UWT131" s="118"/>
      <c r="UWU131" s="118"/>
      <c r="UWV131" s="118"/>
      <c r="UWW131" s="118"/>
      <c r="UWX131" s="118"/>
      <c r="UWY131" s="118"/>
      <c r="UWZ131" s="118"/>
      <c r="UXA131" s="118"/>
      <c r="UXB131" s="118"/>
      <c r="UXC131" s="118"/>
      <c r="UXD131" s="118"/>
      <c r="UXE131" s="118"/>
      <c r="UXF131" s="118"/>
      <c r="UXG131" s="118"/>
      <c r="UXH131" s="118"/>
      <c r="UXI131" s="118"/>
      <c r="UXJ131" s="118"/>
      <c r="UXK131" s="118"/>
      <c r="UXL131" s="118"/>
      <c r="UXM131" s="118"/>
      <c r="UXN131" s="118"/>
      <c r="UXO131" s="118"/>
      <c r="UXP131" s="118"/>
      <c r="UXQ131" s="118"/>
      <c r="UXR131" s="118"/>
      <c r="UXS131" s="118"/>
      <c r="UXT131" s="118"/>
      <c r="UXU131" s="118"/>
      <c r="UXV131" s="118"/>
      <c r="UXW131" s="118"/>
      <c r="UXX131" s="118"/>
      <c r="UXY131" s="118"/>
      <c r="UXZ131" s="118"/>
      <c r="UYA131" s="118"/>
      <c r="UYB131" s="118"/>
      <c r="UYC131" s="118"/>
      <c r="UYD131" s="118"/>
      <c r="UYE131" s="118"/>
      <c r="UYF131" s="118"/>
      <c r="UYG131" s="118"/>
      <c r="UYH131" s="118"/>
      <c r="UYI131" s="118"/>
      <c r="UYJ131" s="118"/>
      <c r="UYK131" s="118"/>
      <c r="UYL131" s="118"/>
      <c r="UYM131" s="118"/>
      <c r="UYN131" s="118"/>
      <c r="UYO131" s="118"/>
      <c r="UYP131" s="118"/>
      <c r="UYQ131" s="118"/>
      <c r="UYR131" s="118"/>
      <c r="UYS131" s="118"/>
      <c r="UYT131" s="118"/>
      <c r="UYU131" s="118"/>
      <c r="UYV131" s="118"/>
      <c r="UYW131" s="118"/>
      <c r="UYX131" s="118"/>
      <c r="UYY131" s="118"/>
      <c r="UYZ131" s="118"/>
      <c r="UZA131" s="118"/>
      <c r="UZB131" s="118"/>
      <c r="UZC131" s="118"/>
      <c r="UZD131" s="118"/>
      <c r="UZE131" s="118"/>
      <c r="UZF131" s="118"/>
      <c r="UZG131" s="118"/>
      <c r="UZH131" s="118"/>
      <c r="UZI131" s="118"/>
      <c r="UZJ131" s="118"/>
      <c r="UZK131" s="118"/>
      <c r="UZL131" s="118"/>
      <c r="UZM131" s="118"/>
      <c r="UZN131" s="118"/>
      <c r="UZO131" s="118"/>
      <c r="UZP131" s="118"/>
      <c r="UZQ131" s="118"/>
      <c r="UZR131" s="118"/>
      <c r="UZS131" s="118"/>
      <c r="UZT131" s="118"/>
      <c r="UZU131" s="118"/>
      <c r="UZV131" s="118"/>
      <c r="UZW131" s="118"/>
      <c r="UZX131" s="118"/>
      <c r="UZY131" s="118"/>
      <c r="UZZ131" s="118"/>
      <c r="VAA131" s="118"/>
      <c r="VAB131" s="118"/>
      <c r="VAC131" s="118"/>
      <c r="VAD131" s="118"/>
      <c r="VAE131" s="118"/>
      <c r="VAF131" s="118"/>
      <c r="VAG131" s="118"/>
      <c r="VAH131" s="118"/>
      <c r="VAI131" s="118"/>
      <c r="VAJ131" s="118"/>
      <c r="VAK131" s="118"/>
      <c r="VAL131" s="118"/>
      <c r="VAM131" s="118"/>
      <c r="VAN131" s="118"/>
      <c r="VAO131" s="118"/>
      <c r="VAP131" s="118"/>
      <c r="VAQ131" s="118"/>
      <c r="VAR131" s="118"/>
      <c r="VAS131" s="118"/>
      <c r="VAT131" s="118"/>
      <c r="VAU131" s="118"/>
      <c r="VAV131" s="118"/>
      <c r="VAW131" s="118"/>
      <c r="VAX131" s="118"/>
      <c r="VAY131" s="118"/>
      <c r="VAZ131" s="118"/>
      <c r="VBA131" s="118"/>
      <c r="VBB131" s="118"/>
      <c r="VBC131" s="118"/>
      <c r="VBD131" s="118"/>
      <c r="VBE131" s="118"/>
      <c r="VBF131" s="118"/>
      <c r="VBG131" s="118"/>
      <c r="VBH131" s="118"/>
      <c r="VBI131" s="118"/>
      <c r="VBJ131" s="118"/>
      <c r="VBK131" s="118"/>
      <c r="VBL131" s="118"/>
      <c r="VBM131" s="118"/>
      <c r="VBN131" s="118"/>
      <c r="VBO131" s="118"/>
      <c r="VBP131" s="118"/>
      <c r="VBQ131" s="118"/>
      <c r="VBR131" s="118"/>
      <c r="VBS131" s="118"/>
      <c r="VBT131" s="118"/>
      <c r="VBU131" s="118"/>
      <c r="VBV131" s="118"/>
      <c r="VBW131" s="118"/>
      <c r="VBX131" s="118"/>
      <c r="VBY131" s="118"/>
      <c r="VBZ131" s="118"/>
      <c r="VCA131" s="118"/>
      <c r="VCB131" s="118"/>
      <c r="VCC131" s="118"/>
      <c r="VCD131" s="118"/>
      <c r="VCE131" s="118"/>
      <c r="VCF131" s="118"/>
      <c r="VCG131" s="118"/>
      <c r="VCH131" s="118"/>
      <c r="VCI131" s="118"/>
      <c r="VCJ131" s="118"/>
      <c r="VCK131" s="118"/>
      <c r="VCL131" s="118"/>
      <c r="VCM131" s="118"/>
      <c r="VCN131" s="118"/>
      <c r="VCO131" s="118"/>
      <c r="VCP131" s="118"/>
      <c r="VCQ131" s="118"/>
      <c r="VCR131" s="118"/>
      <c r="VCS131" s="118"/>
      <c r="VCT131" s="118"/>
      <c r="VCU131" s="118"/>
      <c r="VCV131" s="118"/>
      <c r="VCW131" s="118"/>
      <c r="VCX131" s="118"/>
      <c r="VCY131" s="118"/>
      <c r="VCZ131" s="118"/>
      <c r="VDA131" s="118"/>
      <c r="VDB131" s="118"/>
      <c r="VDC131" s="118"/>
      <c r="VDD131" s="118"/>
      <c r="VDE131" s="118"/>
      <c r="VDF131" s="118"/>
      <c r="VDG131" s="118"/>
      <c r="VDH131" s="118"/>
      <c r="VDI131" s="118"/>
      <c r="VDJ131" s="118"/>
      <c r="VDK131" s="118"/>
      <c r="VDL131" s="118"/>
      <c r="VDM131" s="118"/>
      <c r="VDN131" s="118"/>
      <c r="VDO131" s="118"/>
      <c r="VDP131" s="118"/>
      <c r="VDQ131" s="118"/>
      <c r="VDR131" s="118"/>
      <c r="VDS131" s="118"/>
      <c r="VDT131" s="118"/>
      <c r="VDU131" s="118"/>
      <c r="VDV131" s="118"/>
      <c r="VDW131" s="118"/>
      <c r="VDX131" s="118"/>
      <c r="VDY131" s="118"/>
      <c r="VDZ131" s="118"/>
      <c r="VEA131" s="118"/>
      <c r="VEB131" s="118"/>
      <c r="VEC131" s="118"/>
      <c r="VED131" s="118"/>
      <c r="VEE131" s="118"/>
      <c r="VEF131" s="118"/>
      <c r="VEG131" s="118"/>
      <c r="VEH131" s="118"/>
      <c r="VEI131" s="118"/>
      <c r="VEJ131" s="118"/>
      <c r="VEK131" s="118"/>
      <c r="VEL131" s="118"/>
      <c r="VEM131" s="118"/>
      <c r="VEN131" s="118"/>
      <c r="VEO131" s="118"/>
      <c r="VEP131" s="118"/>
      <c r="VEQ131" s="118"/>
      <c r="VER131" s="118"/>
      <c r="VES131" s="118"/>
      <c r="VET131" s="118"/>
      <c r="VEU131" s="118"/>
      <c r="VEV131" s="118"/>
      <c r="VEW131" s="118"/>
      <c r="VEX131" s="118"/>
      <c r="VEY131" s="118"/>
      <c r="VEZ131" s="118"/>
      <c r="VFA131" s="118"/>
      <c r="VFB131" s="118"/>
      <c r="VFC131" s="118"/>
      <c r="VFD131" s="118"/>
      <c r="VFE131" s="118"/>
      <c r="VFF131" s="118"/>
      <c r="VFG131" s="118"/>
      <c r="VFH131" s="118"/>
      <c r="VFI131" s="118"/>
      <c r="VFJ131" s="118"/>
      <c r="VFK131" s="118"/>
      <c r="VFL131" s="118"/>
      <c r="VFM131" s="118"/>
      <c r="VFN131" s="118"/>
      <c r="VFO131" s="118"/>
      <c r="VFP131" s="118"/>
      <c r="VFQ131" s="118"/>
      <c r="VFR131" s="118"/>
      <c r="VFS131" s="118"/>
      <c r="VFT131" s="118"/>
      <c r="VFU131" s="118"/>
      <c r="VFV131" s="118"/>
      <c r="VFW131" s="118"/>
      <c r="VFX131" s="118"/>
      <c r="VFY131" s="118"/>
      <c r="VFZ131" s="118"/>
      <c r="VGA131" s="118"/>
      <c r="VGB131" s="118"/>
      <c r="VGC131" s="118"/>
      <c r="VGD131" s="118"/>
      <c r="VGE131" s="118"/>
      <c r="VGF131" s="118"/>
      <c r="VGG131" s="118"/>
      <c r="VGH131" s="118"/>
      <c r="VGI131" s="118"/>
      <c r="VGJ131" s="118"/>
      <c r="VGK131" s="118"/>
      <c r="VGL131" s="118"/>
      <c r="VGM131" s="118"/>
      <c r="VGN131" s="118"/>
      <c r="VGO131" s="118"/>
      <c r="VGP131" s="118"/>
      <c r="VGQ131" s="118"/>
      <c r="VGR131" s="118"/>
      <c r="VGS131" s="118"/>
      <c r="VGT131" s="118"/>
      <c r="VGU131" s="118"/>
      <c r="VGV131" s="118"/>
      <c r="VGW131" s="118"/>
      <c r="VGX131" s="118"/>
      <c r="VGY131" s="118"/>
      <c r="VGZ131" s="118"/>
      <c r="VHA131" s="118"/>
      <c r="VHB131" s="118"/>
      <c r="VHC131" s="118"/>
      <c r="VHD131" s="118"/>
      <c r="VHE131" s="118"/>
      <c r="VHF131" s="118"/>
      <c r="VHG131" s="118"/>
      <c r="VHH131" s="118"/>
      <c r="VHI131" s="118"/>
      <c r="VHJ131" s="118"/>
      <c r="VHK131" s="118"/>
      <c r="VHL131" s="118"/>
      <c r="VHM131" s="118"/>
      <c r="VHN131" s="118"/>
      <c r="VHO131" s="118"/>
      <c r="VHP131" s="118"/>
      <c r="VHQ131" s="118"/>
      <c r="VHR131" s="118"/>
      <c r="VHS131" s="118"/>
      <c r="VHT131" s="118"/>
      <c r="VHU131" s="118"/>
      <c r="VHV131" s="118"/>
      <c r="VHW131" s="118"/>
      <c r="VHX131" s="118"/>
      <c r="VHY131" s="118"/>
      <c r="VHZ131" s="118"/>
      <c r="VIA131" s="118"/>
      <c r="VIB131" s="118"/>
      <c r="VIC131" s="118"/>
      <c r="VID131" s="118"/>
      <c r="VIE131" s="118"/>
      <c r="VIF131" s="118"/>
      <c r="VIG131" s="118"/>
      <c r="VIH131" s="118"/>
      <c r="VII131" s="118"/>
      <c r="VIJ131" s="118"/>
      <c r="VIK131" s="118"/>
      <c r="VIL131" s="118"/>
      <c r="VIM131" s="118"/>
      <c r="VIN131" s="118"/>
      <c r="VIO131" s="118"/>
      <c r="VIP131" s="118"/>
      <c r="VIQ131" s="118"/>
      <c r="VIR131" s="118"/>
      <c r="VIS131" s="118"/>
      <c r="VIT131" s="118"/>
      <c r="VIU131" s="118"/>
      <c r="VIV131" s="118"/>
      <c r="VIW131" s="118"/>
      <c r="VIX131" s="118"/>
      <c r="VIY131" s="118"/>
      <c r="VIZ131" s="118"/>
      <c r="VJA131" s="118"/>
      <c r="VJB131" s="118"/>
      <c r="VJC131" s="118"/>
      <c r="VJD131" s="118"/>
      <c r="VJE131" s="118"/>
      <c r="VJF131" s="118"/>
      <c r="VJG131" s="118"/>
      <c r="VJH131" s="118"/>
      <c r="VJI131" s="118"/>
      <c r="VJJ131" s="118"/>
      <c r="VJK131" s="118"/>
      <c r="VJL131" s="118"/>
      <c r="VJM131" s="118"/>
      <c r="VJN131" s="118"/>
      <c r="VJO131" s="118"/>
      <c r="VJP131" s="118"/>
      <c r="VJQ131" s="118"/>
      <c r="VJR131" s="118"/>
      <c r="VJS131" s="118"/>
      <c r="VJT131" s="118"/>
      <c r="VJU131" s="118"/>
      <c r="VJV131" s="118"/>
      <c r="VJW131" s="118"/>
      <c r="VJX131" s="118"/>
      <c r="VJY131" s="118"/>
      <c r="VJZ131" s="118"/>
      <c r="VKA131" s="118"/>
      <c r="VKB131" s="118"/>
      <c r="VKC131" s="118"/>
      <c r="VKD131" s="118"/>
      <c r="VKE131" s="118"/>
      <c r="VKF131" s="118"/>
      <c r="VKG131" s="118"/>
      <c r="VKH131" s="118"/>
      <c r="VKI131" s="118"/>
      <c r="VKJ131" s="118"/>
      <c r="VKK131" s="118"/>
      <c r="VKL131" s="118"/>
      <c r="VKM131" s="118"/>
      <c r="VKN131" s="118"/>
      <c r="VKO131" s="118"/>
      <c r="VKP131" s="118"/>
      <c r="VKQ131" s="118"/>
      <c r="VKR131" s="118"/>
      <c r="VKS131" s="118"/>
      <c r="VKT131" s="118"/>
      <c r="VKU131" s="118"/>
      <c r="VKV131" s="118"/>
      <c r="VKW131" s="118"/>
      <c r="VKX131" s="118"/>
      <c r="VKY131" s="118"/>
      <c r="VKZ131" s="118"/>
      <c r="VLA131" s="118"/>
      <c r="VLB131" s="118"/>
      <c r="VLC131" s="118"/>
      <c r="VLD131" s="118"/>
      <c r="VLE131" s="118"/>
      <c r="VLF131" s="118"/>
      <c r="VLG131" s="118"/>
      <c r="VLH131" s="118"/>
      <c r="VLI131" s="118"/>
      <c r="VLJ131" s="118"/>
      <c r="VLK131" s="118"/>
      <c r="VLL131" s="118"/>
      <c r="VLM131" s="118"/>
      <c r="VLN131" s="118"/>
      <c r="VLO131" s="118"/>
      <c r="VLP131" s="118"/>
      <c r="VLQ131" s="118"/>
      <c r="VLR131" s="118"/>
      <c r="VLS131" s="118"/>
      <c r="VLT131" s="118"/>
      <c r="VLU131" s="118"/>
      <c r="VLV131" s="118"/>
      <c r="VLW131" s="118"/>
      <c r="VLX131" s="118"/>
      <c r="VLY131" s="118"/>
      <c r="VLZ131" s="118"/>
      <c r="VMA131" s="118"/>
      <c r="VMB131" s="118"/>
      <c r="VMC131" s="118"/>
      <c r="VMD131" s="118"/>
      <c r="VME131" s="118"/>
      <c r="VMF131" s="118"/>
      <c r="VMG131" s="118"/>
      <c r="VMH131" s="118"/>
      <c r="VMI131" s="118"/>
      <c r="VMJ131" s="118"/>
      <c r="VMK131" s="118"/>
      <c r="VML131" s="118"/>
      <c r="VMM131" s="118"/>
      <c r="VMN131" s="118"/>
      <c r="VMO131" s="118"/>
      <c r="VMP131" s="118"/>
      <c r="VMQ131" s="118"/>
      <c r="VMR131" s="118"/>
      <c r="VMS131" s="118"/>
      <c r="VMT131" s="118"/>
      <c r="VMU131" s="118"/>
      <c r="VMV131" s="118"/>
      <c r="VMW131" s="118"/>
      <c r="VMX131" s="118"/>
      <c r="VMY131" s="118"/>
      <c r="VMZ131" s="118"/>
      <c r="VNA131" s="118"/>
      <c r="VNB131" s="118"/>
      <c r="VNC131" s="118"/>
      <c r="VND131" s="118"/>
      <c r="VNE131" s="118"/>
      <c r="VNF131" s="118"/>
      <c r="VNG131" s="118"/>
      <c r="VNH131" s="118"/>
      <c r="VNI131" s="118"/>
      <c r="VNJ131" s="118"/>
      <c r="VNK131" s="118"/>
      <c r="VNL131" s="118"/>
      <c r="VNM131" s="118"/>
      <c r="VNN131" s="118"/>
      <c r="VNO131" s="118"/>
      <c r="VNP131" s="118"/>
      <c r="VNQ131" s="118"/>
      <c r="VNR131" s="118"/>
      <c r="VNS131" s="118"/>
      <c r="VNT131" s="118"/>
      <c r="VNU131" s="118"/>
      <c r="VNV131" s="118"/>
      <c r="VNW131" s="118"/>
      <c r="VNX131" s="118"/>
      <c r="VNY131" s="118"/>
      <c r="VNZ131" s="118"/>
      <c r="VOA131" s="118"/>
      <c r="VOB131" s="118"/>
      <c r="VOC131" s="118"/>
      <c r="VOD131" s="118"/>
      <c r="VOE131" s="118"/>
      <c r="VOF131" s="118"/>
      <c r="VOG131" s="118"/>
      <c r="VOH131" s="118"/>
      <c r="VOI131" s="118"/>
      <c r="VOJ131" s="118"/>
      <c r="VOK131" s="118"/>
      <c r="VOL131" s="118"/>
      <c r="VOM131" s="118"/>
      <c r="VON131" s="118"/>
      <c r="VOO131" s="118"/>
      <c r="VOP131" s="118"/>
      <c r="VOQ131" s="118"/>
      <c r="VOR131" s="118"/>
      <c r="VOS131" s="118"/>
      <c r="VOT131" s="118"/>
      <c r="VOU131" s="118"/>
      <c r="VOV131" s="118"/>
      <c r="VOW131" s="118"/>
      <c r="VOX131" s="118"/>
      <c r="VOY131" s="118"/>
      <c r="VOZ131" s="118"/>
      <c r="VPA131" s="118"/>
      <c r="VPB131" s="118"/>
      <c r="VPC131" s="118"/>
      <c r="VPD131" s="118"/>
      <c r="VPE131" s="118"/>
      <c r="VPF131" s="118"/>
      <c r="VPG131" s="118"/>
      <c r="VPH131" s="118"/>
      <c r="VPI131" s="118"/>
      <c r="VPJ131" s="118"/>
      <c r="VPK131" s="118"/>
      <c r="VPL131" s="118"/>
      <c r="VPM131" s="118"/>
      <c r="VPN131" s="118"/>
      <c r="VPO131" s="118"/>
      <c r="VPP131" s="118"/>
      <c r="VPQ131" s="118"/>
      <c r="VPR131" s="118"/>
      <c r="VPS131" s="118"/>
      <c r="VPT131" s="118"/>
      <c r="VPU131" s="118"/>
      <c r="VPV131" s="118"/>
      <c r="VPW131" s="118"/>
      <c r="VPX131" s="118"/>
      <c r="VPY131" s="118"/>
      <c r="VPZ131" s="118"/>
      <c r="VQA131" s="118"/>
      <c r="VQB131" s="118"/>
      <c r="VQC131" s="118"/>
      <c r="VQD131" s="118"/>
      <c r="VQE131" s="118"/>
      <c r="VQF131" s="118"/>
      <c r="VQG131" s="118"/>
      <c r="VQH131" s="118"/>
      <c r="VQI131" s="118"/>
      <c r="VQJ131" s="118"/>
      <c r="VQK131" s="118"/>
      <c r="VQL131" s="118"/>
      <c r="VQM131" s="118"/>
      <c r="VQN131" s="118"/>
      <c r="VQO131" s="118"/>
      <c r="VQP131" s="118"/>
      <c r="VQQ131" s="118"/>
      <c r="VQR131" s="118"/>
      <c r="VQS131" s="118"/>
      <c r="VQT131" s="118"/>
      <c r="VQU131" s="118"/>
      <c r="VQV131" s="118"/>
      <c r="VQW131" s="118"/>
      <c r="VQX131" s="118"/>
      <c r="VQY131" s="118"/>
      <c r="VQZ131" s="118"/>
      <c r="VRA131" s="118"/>
      <c r="VRB131" s="118"/>
      <c r="VRC131" s="118"/>
      <c r="VRD131" s="118"/>
      <c r="VRE131" s="118"/>
      <c r="VRF131" s="118"/>
      <c r="VRG131" s="118"/>
      <c r="VRH131" s="118"/>
      <c r="VRI131" s="118"/>
      <c r="VRJ131" s="118"/>
      <c r="VRK131" s="118"/>
      <c r="VRL131" s="118"/>
      <c r="VRM131" s="118"/>
      <c r="VRN131" s="118"/>
      <c r="VRO131" s="118"/>
      <c r="VRP131" s="118"/>
      <c r="VRQ131" s="118"/>
      <c r="VRR131" s="118"/>
      <c r="VRS131" s="118"/>
      <c r="VRT131" s="118"/>
      <c r="VRU131" s="118"/>
      <c r="VRV131" s="118"/>
      <c r="VRW131" s="118"/>
      <c r="VRX131" s="118"/>
      <c r="VRY131" s="118"/>
      <c r="VRZ131" s="118"/>
      <c r="VSA131" s="118"/>
      <c r="VSB131" s="118"/>
      <c r="VSC131" s="118"/>
      <c r="VSD131" s="118"/>
      <c r="VSE131" s="118"/>
      <c r="VSF131" s="118"/>
      <c r="VSG131" s="118"/>
      <c r="VSH131" s="118"/>
      <c r="VSI131" s="118"/>
      <c r="VSJ131" s="118"/>
      <c r="VSK131" s="118"/>
      <c r="VSL131" s="118"/>
      <c r="VSM131" s="118"/>
      <c r="VSN131" s="118"/>
      <c r="VSO131" s="118"/>
      <c r="VSP131" s="118"/>
      <c r="VSQ131" s="118"/>
      <c r="VSR131" s="118"/>
      <c r="VSS131" s="118"/>
      <c r="VST131" s="118"/>
      <c r="VSU131" s="118"/>
      <c r="VSV131" s="118"/>
      <c r="VSW131" s="118"/>
      <c r="VSX131" s="118"/>
      <c r="VSY131" s="118"/>
      <c r="VSZ131" s="118"/>
      <c r="VTA131" s="118"/>
      <c r="VTB131" s="118"/>
      <c r="VTC131" s="118"/>
      <c r="VTD131" s="118"/>
      <c r="VTE131" s="118"/>
      <c r="VTF131" s="118"/>
      <c r="VTG131" s="118"/>
      <c r="VTH131" s="118"/>
      <c r="VTI131" s="118"/>
      <c r="VTJ131" s="118"/>
      <c r="VTK131" s="118"/>
      <c r="VTL131" s="118"/>
      <c r="VTM131" s="118"/>
      <c r="VTN131" s="118"/>
      <c r="VTO131" s="118"/>
      <c r="VTP131" s="118"/>
      <c r="VTQ131" s="118"/>
      <c r="VTR131" s="118"/>
      <c r="VTS131" s="118"/>
      <c r="VTT131" s="118"/>
      <c r="VTU131" s="118"/>
      <c r="VTV131" s="118"/>
      <c r="VTW131" s="118"/>
      <c r="VTX131" s="118"/>
      <c r="VTY131" s="118"/>
      <c r="VTZ131" s="118"/>
      <c r="VUA131" s="118"/>
      <c r="VUB131" s="118"/>
      <c r="VUC131" s="118"/>
      <c r="VUD131" s="118"/>
      <c r="VUE131" s="118"/>
      <c r="VUF131" s="118"/>
      <c r="VUG131" s="118"/>
      <c r="VUH131" s="118"/>
      <c r="VUI131" s="118"/>
      <c r="VUJ131" s="118"/>
      <c r="VUK131" s="118"/>
      <c r="VUL131" s="118"/>
      <c r="VUM131" s="118"/>
      <c r="VUN131" s="118"/>
      <c r="VUO131" s="118"/>
      <c r="VUP131" s="118"/>
      <c r="VUQ131" s="118"/>
      <c r="VUR131" s="118"/>
      <c r="VUS131" s="118"/>
      <c r="VUT131" s="118"/>
      <c r="VUU131" s="118"/>
      <c r="VUV131" s="118"/>
      <c r="VUW131" s="118"/>
      <c r="VUX131" s="118"/>
      <c r="VUY131" s="118"/>
      <c r="VUZ131" s="118"/>
      <c r="VVA131" s="118"/>
      <c r="VVB131" s="118"/>
      <c r="VVC131" s="118"/>
      <c r="VVD131" s="118"/>
      <c r="VVE131" s="118"/>
      <c r="VVF131" s="118"/>
      <c r="VVG131" s="118"/>
      <c r="VVH131" s="118"/>
      <c r="VVI131" s="118"/>
      <c r="VVJ131" s="118"/>
      <c r="VVK131" s="118"/>
      <c r="VVL131" s="118"/>
      <c r="VVM131" s="118"/>
      <c r="VVN131" s="118"/>
      <c r="VVO131" s="118"/>
      <c r="VVP131" s="118"/>
      <c r="VVQ131" s="118"/>
      <c r="VVR131" s="118"/>
      <c r="VVS131" s="118"/>
      <c r="VVT131" s="118"/>
      <c r="VVU131" s="118"/>
      <c r="VVV131" s="118"/>
      <c r="VVW131" s="118"/>
      <c r="VVX131" s="118"/>
      <c r="VVY131" s="118"/>
      <c r="VVZ131" s="118"/>
      <c r="VWA131" s="118"/>
      <c r="VWB131" s="118"/>
      <c r="VWC131" s="118"/>
      <c r="VWD131" s="118"/>
      <c r="VWE131" s="118"/>
      <c r="VWF131" s="118"/>
      <c r="VWG131" s="118"/>
      <c r="VWH131" s="118"/>
      <c r="VWI131" s="118"/>
      <c r="VWJ131" s="118"/>
      <c r="VWK131" s="118"/>
      <c r="VWL131" s="118"/>
      <c r="VWM131" s="118"/>
      <c r="VWN131" s="118"/>
      <c r="VWO131" s="118"/>
      <c r="VWP131" s="118"/>
      <c r="VWQ131" s="118"/>
      <c r="VWR131" s="118"/>
      <c r="VWS131" s="118"/>
      <c r="VWT131" s="118"/>
      <c r="VWU131" s="118"/>
      <c r="VWV131" s="118"/>
      <c r="VWW131" s="118"/>
      <c r="VWX131" s="118"/>
      <c r="VWY131" s="118"/>
      <c r="VWZ131" s="118"/>
      <c r="VXA131" s="118"/>
      <c r="VXB131" s="118"/>
      <c r="VXC131" s="118"/>
      <c r="VXD131" s="118"/>
      <c r="VXE131" s="118"/>
      <c r="VXF131" s="118"/>
      <c r="VXG131" s="118"/>
      <c r="VXH131" s="118"/>
      <c r="VXI131" s="118"/>
      <c r="VXJ131" s="118"/>
      <c r="VXK131" s="118"/>
      <c r="VXL131" s="118"/>
      <c r="VXM131" s="118"/>
      <c r="VXN131" s="118"/>
      <c r="VXO131" s="118"/>
      <c r="VXP131" s="118"/>
      <c r="VXQ131" s="118"/>
      <c r="VXR131" s="118"/>
      <c r="VXS131" s="118"/>
      <c r="VXT131" s="118"/>
      <c r="VXU131" s="118"/>
      <c r="VXV131" s="118"/>
      <c r="VXW131" s="118"/>
      <c r="VXX131" s="118"/>
      <c r="VXY131" s="118"/>
      <c r="VXZ131" s="118"/>
      <c r="VYA131" s="118"/>
      <c r="VYB131" s="118"/>
      <c r="VYC131" s="118"/>
      <c r="VYD131" s="118"/>
      <c r="VYE131" s="118"/>
      <c r="VYF131" s="118"/>
      <c r="VYG131" s="118"/>
      <c r="VYH131" s="118"/>
      <c r="VYI131" s="118"/>
      <c r="VYJ131" s="118"/>
      <c r="VYK131" s="118"/>
      <c r="VYL131" s="118"/>
      <c r="VYM131" s="118"/>
      <c r="VYN131" s="118"/>
      <c r="VYO131" s="118"/>
      <c r="VYP131" s="118"/>
      <c r="VYQ131" s="118"/>
      <c r="VYR131" s="118"/>
      <c r="VYS131" s="118"/>
      <c r="VYT131" s="118"/>
      <c r="VYU131" s="118"/>
      <c r="VYV131" s="118"/>
      <c r="VYW131" s="118"/>
      <c r="VYX131" s="118"/>
      <c r="VYY131" s="118"/>
      <c r="VYZ131" s="118"/>
      <c r="VZA131" s="118"/>
      <c r="VZB131" s="118"/>
      <c r="VZC131" s="118"/>
      <c r="VZD131" s="118"/>
      <c r="VZE131" s="118"/>
      <c r="VZF131" s="118"/>
      <c r="VZG131" s="118"/>
      <c r="VZH131" s="118"/>
      <c r="VZI131" s="118"/>
      <c r="VZJ131" s="118"/>
      <c r="VZK131" s="118"/>
      <c r="VZL131" s="118"/>
      <c r="VZM131" s="118"/>
      <c r="VZN131" s="118"/>
      <c r="VZO131" s="118"/>
      <c r="VZP131" s="118"/>
      <c r="VZQ131" s="118"/>
      <c r="VZR131" s="118"/>
      <c r="VZS131" s="118"/>
      <c r="VZT131" s="118"/>
      <c r="VZU131" s="118"/>
      <c r="VZV131" s="118"/>
      <c r="VZW131" s="118"/>
      <c r="VZX131" s="118"/>
      <c r="VZY131" s="118"/>
      <c r="VZZ131" s="118"/>
      <c r="WAA131" s="118"/>
      <c r="WAB131" s="118"/>
      <c r="WAC131" s="118"/>
      <c r="WAD131" s="118"/>
      <c r="WAE131" s="118"/>
      <c r="WAF131" s="118"/>
      <c r="WAG131" s="118"/>
      <c r="WAH131" s="118"/>
      <c r="WAI131" s="118"/>
      <c r="WAJ131" s="118"/>
      <c r="WAK131" s="118"/>
      <c r="WAL131" s="118"/>
      <c r="WAM131" s="118"/>
      <c r="WAN131" s="118"/>
      <c r="WAO131" s="118"/>
      <c r="WAP131" s="118"/>
      <c r="WAQ131" s="118"/>
      <c r="WAR131" s="118"/>
      <c r="WAS131" s="118"/>
      <c r="WAT131" s="118"/>
      <c r="WAU131" s="118"/>
      <c r="WAV131" s="118"/>
      <c r="WAW131" s="118"/>
      <c r="WAX131" s="118"/>
      <c r="WAY131" s="118"/>
      <c r="WAZ131" s="118"/>
      <c r="WBA131" s="118"/>
      <c r="WBB131" s="118"/>
      <c r="WBC131" s="118"/>
      <c r="WBD131" s="118"/>
      <c r="WBE131" s="118"/>
      <c r="WBF131" s="118"/>
      <c r="WBG131" s="118"/>
      <c r="WBH131" s="118"/>
      <c r="WBI131" s="118"/>
      <c r="WBJ131" s="118"/>
      <c r="WBK131" s="118"/>
      <c r="WBL131" s="118"/>
      <c r="WBM131" s="118"/>
      <c r="WBN131" s="118"/>
      <c r="WBO131" s="118"/>
      <c r="WBP131" s="118"/>
      <c r="WBQ131" s="118"/>
      <c r="WBR131" s="118"/>
      <c r="WBS131" s="118"/>
      <c r="WBT131" s="118"/>
      <c r="WBU131" s="118"/>
      <c r="WBV131" s="118"/>
      <c r="WBW131" s="118"/>
      <c r="WBX131" s="118"/>
      <c r="WBY131" s="118"/>
      <c r="WBZ131" s="118"/>
      <c r="WCA131" s="118"/>
      <c r="WCB131" s="118"/>
      <c r="WCC131" s="118"/>
      <c r="WCD131" s="118"/>
      <c r="WCE131" s="118"/>
      <c r="WCF131" s="118"/>
      <c r="WCG131" s="118"/>
      <c r="WCH131" s="118"/>
      <c r="WCI131" s="118"/>
      <c r="WCJ131" s="118"/>
      <c r="WCK131" s="118"/>
      <c r="WCL131" s="118"/>
      <c r="WCM131" s="118"/>
      <c r="WCN131" s="118"/>
      <c r="WCO131" s="118"/>
      <c r="WCP131" s="118"/>
      <c r="WCQ131" s="118"/>
      <c r="WCR131" s="118"/>
      <c r="WCS131" s="118"/>
      <c r="WCT131" s="118"/>
      <c r="WCU131" s="118"/>
      <c r="WCV131" s="118"/>
      <c r="WCW131" s="118"/>
      <c r="WCX131" s="118"/>
      <c r="WCY131" s="118"/>
      <c r="WCZ131" s="118"/>
      <c r="WDA131" s="118"/>
      <c r="WDB131" s="118"/>
      <c r="WDC131" s="118"/>
      <c r="WDD131" s="118"/>
      <c r="WDE131" s="118"/>
      <c r="WDF131" s="118"/>
      <c r="WDG131" s="118"/>
      <c r="WDH131" s="118"/>
      <c r="WDI131" s="118"/>
      <c r="WDJ131" s="118"/>
      <c r="WDK131" s="118"/>
      <c r="WDL131" s="118"/>
      <c r="WDM131" s="118"/>
      <c r="WDN131" s="118"/>
      <c r="WDO131" s="118"/>
      <c r="WDP131" s="118"/>
      <c r="WDQ131" s="118"/>
      <c r="WDR131" s="118"/>
      <c r="WDS131" s="118"/>
      <c r="WDT131" s="118"/>
      <c r="WDU131" s="118"/>
      <c r="WDV131" s="118"/>
      <c r="WDW131" s="118"/>
      <c r="WDX131" s="118"/>
      <c r="WDY131" s="118"/>
      <c r="WDZ131" s="118"/>
      <c r="WEA131" s="118"/>
      <c r="WEB131" s="118"/>
      <c r="WEC131" s="118"/>
      <c r="WED131" s="118"/>
      <c r="WEE131" s="118"/>
      <c r="WEF131" s="118"/>
      <c r="WEG131" s="118"/>
      <c r="WEH131" s="118"/>
      <c r="WEI131" s="118"/>
      <c r="WEJ131" s="118"/>
      <c r="WEK131" s="118"/>
      <c r="WEL131" s="118"/>
      <c r="WEM131" s="118"/>
      <c r="WEN131" s="118"/>
      <c r="WEO131" s="118"/>
      <c r="WEP131" s="118"/>
      <c r="WEQ131" s="118"/>
      <c r="WER131" s="118"/>
      <c r="WES131" s="118"/>
      <c r="WET131" s="118"/>
      <c r="WEU131" s="118"/>
      <c r="WEV131" s="118"/>
      <c r="WEW131" s="118"/>
      <c r="WEX131" s="118"/>
      <c r="WEY131" s="118"/>
      <c r="WEZ131" s="118"/>
      <c r="WFA131" s="118"/>
      <c r="WFB131" s="118"/>
      <c r="WFC131" s="118"/>
      <c r="WFD131" s="118"/>
      <c r="WFE131" s="118"/>
      <c r="WFF131" s="118"/>
      <c r="WFG131" s="118"/>
      <c r="WFH131" s="118"/>
      <c r="WFI131" s="118"/>
      <c r="WFJ131" s="118"/>
      <c r="WFK131" s="118"/>
      <c r="WFL131" s="118"/>
      <c r="WFM131" s="118"/>
      <c r="WFN131" s="118"/>
      <c r="WFO131" s="118"/>
      <c r="WFP131" s="118"/>
      <c r="WFQ131" s="118"/>
      <c r="WFR131" s="118"/>
      <c r="WFS131" s="118"/>
      <c r="WFT131" s="118"/>
      <c r="WFU131" s="118"/>
      <c r="WFV131" s="118"/>
      <c r="WFW131" s="118"/>
      <c r="WFX131" s="118"/>
      <c r="WFY131" s="118"/>
      <c r="WFZ131" s="118"/>
      <c r="WGA131" s="118"/>
      <c r="WGB131" s="118"/>
      <c r="WGC131" s="118"/>
      <c r="WGD131" s="118"/>
      <c r="WGE131" s="118"/>
      <c r="WGF131" s="118"/>
      <c r="WGG131" s="118"/>
      <c r="WGH131" s="118"/>
      <c r="WGI131" s="118"/>
      <c r="WGJ131" s="118"/>
      <c r="WGK131" s="118"/>
      <c r="WGL131" s="118"/>
      <c r="WGM131" s="118"/>
      <c r="WGN131" s="118"/>
      <c r="WGO131" s="118"/>
      <c r="WGP131" s="118"/>
      <c r="WGQ131" s="118"/>
      <c r="WGR131" s="118"/>
      <c r="WGS131" s="118"/>
      <c r="WGT131" s="118"/>
      <c r="WGU131" s="118"/>
      <c r="WGV131" s="118"/>
      <c r="WGW131" s="118"/>
      <c r="WGX131" s="118"/>
      <c r="WGY131" s="118"/>
      <c r="WGZ131" s="118"/>
      <c r="WHA131" s="118"/>
      <c r="WHB131" s="118"/>
      <c r="WHC131" s="118"/>
      <c r="WHD131" s="118"/>
      <c r="WHE131" s="118"/>
      <c r="WHF131" s="118"/>
      <c r="WHG131" s="118"/>
      <c r="WHH131" s="118"/>
      <c r="WHI131" s="118"/>
      <c r="WHJ131" s="118"/>
      <c r="WHK131" s="118"/>
      <c r="WHL131" s="118"/>
      <c r="WHM131" s="118"/>
      <c r="WHN131" s="118"/>
      <c r="WHO131" s="118"/>
      <c r="WHP131" s="118"/>
      <c r="WHQ131" s="118"/>
      <c r="WHR131" s="118"/>
      <c r="WHS131" s="118"/>
      <c r="WHT131" s="118"/>
      <c r="WHU131" s="118"/>
      <c r="WHV131" s="118"/>
      <c r="WHW131" s="118"/>
      <c r="WHX131" s="118"/>
      <c r="WHY131" s="118"/>
      <c r="WHZ131" s="118"/>
      <c r="WIA131" s="118"/>
      <c r="WIB131" s="118"/>
      <c r="WIC131" s="118"/>
      <c r="WID131" s="118"/>
      <c r="WIE131" s="118"/>
      <c r="WIF131" s="118"/>
      <c r="WIG131" s="118"/>
      <c r="WIH131" s="118"/>
      <c r="WII131" s="118"/>
      <c r="WIJ131" s="118"/>
      <c r="WIK131" s="118"/>
      <c r="WIL131" s="118"/>
      <c r="WIM131" s="118"/>
      <c r="WIN131" s="118"/>
      <c r="WIO131" s="118"/>
      <c r="WIP131" s="118"/>
      <c r="WIQ131" s="118"/>
      <c r="WIR131" s="118"/>
      <c r="WIS131" s="118"/>
      <c r="WIT131" s="118"/>
      <c r="WIU131" s="118"/>
      <c r="WIV131" s="118"/>
      <c r="WIW131" s="118"/>
      <c r="WIX131" s="118"/>
      <c r="WIY131" s="118"/>
      <c r="WIZ131" s="118"/>
      <c r="WJA131" s="118"/>
      <c r="WJB131" s="118"/>
      <c r="WJC131" s="118"/>
      <c r="WJD131" s="118"/>
      <c r="WJE131" s="118"/>
      <c r="WJF131" s="118"/>
      <c r="WJG131" s="118"/>
      <c r="WJH131" s="118"/>
      <c r="WJI131" s="118"/>
      <c r="WJJ131" s="118"/>
      <c r="WJK131" s="118"/>
      <c r="WJL131" s="118"/>
      <c r="WJM131" s="118"/>
      <c r="WJN131" s="118"/>
      <c r="WJO131" s="118"/>
      <c r="WJP131" s="118"/>
      <c r="WJQ131" s="118"/>
      <c r="WJR131" s="118"/>
      <c r="WJS131" s="118"/>
      <c r="WJT131" s="118"/>
      <c r="WJU131" s="118"/>
      <c r="WJV131" s="118"/>
      <c r="WJW131" s="118"/>
      <c r="WJX131" s="118"/>
      <c r="WJY131" s="118"/>
      <c r="WJZ131" s="118"/>
      <c r="WKA131" s="118"/>
      <c r="WKB131" s="118"/>
      <c r="WKC131" s="118"/>
      <c r="WKD131" s="118"/>
      <c r="WKE131" s="118"/>
      <c r="WKF131" s="118"/>
      <c r="WKG131" s="118"/>
      <c r="WKH131" s="118"/>
      <c r="WKI131" s="118"/>
      <c r="WKJ131" s="118"/>
      <c r="WKK131" s="118"/>
      <c r="WKL131" s="118"/>
      <c r="WKM131" s="118"/>
      <c r="WKN131" s="118"/>
      <c r="WKO131" s="118"/>
      <c r="WKP131" s="118"/>
      <c r="WKQ131" s="118"/>
      <c r="WKR131" s="118"/>
      <c r="WKS131" s="118"/>
      <c r="WKT131" s="118"/>
      <c r="WKU131" s="118"/>
      <c r="WKV131" s="118"/>
      <c r="WKW131" s="118"/>
      <c r="WKX131" s="118"/>
      <c r="WKY131" s="118"/>
      <c r="WKZ131" s="118"/>
      <c r="WLA131" s="118"/>
      <c r="WLB131" s="118"/>
      <c r="WLC131" s="118"/>
      <c r="WLD131" s="118"/>
      <c r="WLE131" s="118"/>
      <c r="WLF131" s="118"/>
      <c r="WLG131" s="118"/>
      <c r="WLH131" s="118"/>
      <c r="WLI131" s="118"/>
      <c r="WLJ131" s="118"/>
      <c r="WLK131" s="118"/>
      <c r="WLL131" s="118"/>
      <c r="WLM131" s="118"/>
      <c r="WLN131" s="118"/>
      <c r="WLO131" s="118"/>
      <c r="WLP131" s="118"/>
      <c r="WLQ131" s="118"/>
      <c r="WLR131" s="118"/>
      <c r="WLS131" s="118"/>
      <c r="WLT131" s="118"/>
      <c r="WLU131" s="118"/>
      <c r="WLV131" s="118"/>
      <c r="WLW131" s="118"/>
      <c r="WLX131" s="118"/>
      <c r="WLY131" s="118"/>
      <c r="WLZ131" s="118"/>
      <c r="WMA131" s="118"/>
      <c r="WMB131" s="118"/>
      <c r="WMC131" s="118"/>
      <c r="WMD131" s="118"/>
      <c r="WME131" s="118"/>
      <c r="WMF131" s="118"/>
      <c r="WMG131" s="118"/>
      <c r="WMH131" s="118"/>
      <c r="WMI131" s="118"/>
      <c r="WMJ131" s="118"/>
      <c r="WMK131" s="118"/>
      <c r="WML131" s="118"/>
      <c r="WMM131" s="118"/>
      <c r="WMN131" s="118"/>
      <c r="WMO131" s="118"/>
      <c r="WMP131" s="118"/>
      <c r="WMQ131" s="118"/>
      <c r="WMR131" s="118"/>
      <c r="WMS131" s="118"/>
      <c r="WMT131" s="118"/>
      <c r="WMU131" s="118"/>
      <c r="WMV131" s="118"/>
      <c r="WMW131" s="118"/>
      <c r="WMX131" s="118"/>
      <c r="WMY131" s="118"/>
      <c r="WMZ131" s="118"/>
      <c r="WNA131" s="118"/>
      <c r="WNB131" s="118"/>
      <c r="WNC131" s="118"/>
      <c r="WND131" s="118"/>
      <c r="WNE131" s="118"/>
      <c r="WNF131" s="118"/>
      <c r="WNG131" s="118"/>
      <c r="WNH131" s="118"/>
      <c r="WNI131" s="118"/>
      <c r="WNJ131" s="118"/>
      <c r="WNK131" s="118"/>
      <c r="WNL131" s="118"/>
      <c r="WNM131" s="118"/>
      <c r="WNN131" s="118"/>
      <c r="WNO131" s="118"/>
      <c r="WNP131" s="118"/>
      <c r="WNQ131" s="118"/>
      <c r="WNR131" s="118"/>
      <c r="WNS131" s="118"/>
      <c r="WNT131" s="118"/>
      <c r="WNU131" s="118"/>
      <c r="WNV131" s="118"/>
      <c r="WNW131" s="118"/>
      <c r="WNX131" s="118"/>
      <c r="WNY131" s="118"/>
      <c r="WNZ131" s="118"/>
      <c r="WOA131" s="118"/>
      <c r="WOB131" s="118"/>
      <c r="WOC131" s="118"/>
      <c r="WOD131" s="118"/>
      <c r="WOE131" s="118"/>
      <c r="WOF131" s="118"/>
      <c r="WOG131" s="118"/>
      <c r="WOH131" s="118"/>
      <c r="WOI131" s="118"/>
      <c r="WOJ131" s="118"/>
      <c r="WOK131" s="118"/>
      <c r="WOL131" s="118"/>
      <c r="WOM131" s="118"/>
      <c r="WON131" s="118"/>
      <c r="WOO131" s="118"/>
      <c r="WOP131" s="118"/>
      <c r="WOQ131" s="118"/>
      <c r="WOR131" s="118"/>
      <c r="WOS131" s="118"/>
      <c r="WOT131" s="118"/>
      <c r="WOU131" s="118"/>
      <c r="WOV131" s="118"/>
      <c r="WOW131" s="118"/>
      <c r="WOX131" s="118"/>
      <c r="WOY131" s="118"/>
      <c r="WOZ131" s="118"/>
      <c r="WPA131" s="118"/>
      <c r="WPB131" s="118"/>
      <c r="WPC131" s="118"/>
      <c r="WPD131" s="118"/>
      <c r="WPE131" s="118"/>
      <c r="WPF131" s="118"/>
      <c r="WPG131" s="118"/>
      <c r="WPH131" s="118"/>
      <c r="WPI131" s="118"/>
      <c r="WPJ131" s="118"/>
      <c r="WPK131" s="118"/>
      <c r="WPL131" s="118"/>
      <c r="WPM131" s="118"/>
      <c r="WPN131" s="118"/>
      <c r="WPO131" s="118"/>
      <c r="WPP131" s="118"/>
      <c r="WPQ131" s="118"/>
      <c r="WPR131" s="118"/>
      <c r="WPS131" s="118"/>
      <c r="WPT131" s="118"/>
      <c r="WPU131" s="118"/>
      <c r="WPV131" s="118"/>
      <c r="WPW131" s="118"/>
      <c r="WPX131" s="118"/>
      <c r="WPY131" s="118"/>
      <c r="WPZ131" s="118"/>
      <c r="WQA131" s="118"/>
      <c r="WQB131" s="118"/>
      <c r="WQC131" s="118"/>
      <c r="WQD131" s="118"/>
      <c r="WQE131" s="118"/>
      <c r="WQF131" s="118"/>
      <c r="WQG131" s="118"/>
      <c r="WQH131" s="118"/>
      <c r="WQI131" s="118"/>
      <c r="WQJ131" s="118"/>
      <c r="WQK131" s="118"/>
      <c r="WQL131" s="118"/>
      <c r="WQM131" s="118"/>
      <c r="WQN131" s="118"/>
      <c r="WQO131" s="118"/>
      <c r="WQP131" s="118"/>
      <c r="WQQ131" s="118"/>
      <c r="WQR131" s="118"/>
      <c r="WQS131" s="118"/>
      <c r="WQT131" s="118"/>
      <c r="WQU131" s="118"/>
      <c r="WQV131" s="118"/>
      <c r="WQW131" s="118"/>
      <c r="WQX131" s="118"/>
      <c r="WQY131" s="118"/>
      <c r="WQZ131" s="118"/>
      <c r="WRA131" s="118"/>
      <c r="WRB131" s="118"/>
      <c r="WRC131" s="118"/>
      <c r="WRD131" s="118"/>
      <c r="WRE131" s="118"/>
      <c r="WRF131" s="118"/>
      <c r="WRG131" s="118"/>
      <c r="WRH131" s="118"/>
      <c r="WRI131" s="118"/>
      <c r="WRJ131" s="118"/>
      <c r="WRK131" s="118"/>
      <c r="WRL131" s="118"/>
      <c r="WRM131" s="118"/>
      <c r="WRN131" s="118"/>
      <c r="WRO131" s="118"/>
      <c r="WRP131" s="118"/>
      <c r="WRQ131" s="118"/>
      <c r="WRR131" s="118"/>
      <c r="WRS131" s="118"/>
      <c r="WRT131" s="118"/>
      <c r="WRU131" s="118"/>
      <c r="WRV131" s="118"/>
      <c r="WRW131" s="118"/>
      <c r="WRX131" s="118"/>
      <c r="WRY131" s="118"/>
      <c r="WRZ131" s="118"/>
      <c r="WSA131" s="118"/>
      <c r="WSB131" s="118"/>
      <c r="WSC131" s="118"/>
      <c r="WSD131" s="118"/>
      <c r="WSE131" s="118"/>
      <c r="WSF131" s="118"/>
      <c r="WSG131" s="118"/>
      <c r="WSH131" s="118"/>
      <c r="WSI131" s="118"/>
      <c r="WSJ131" s="118"/>
      <c r="WSK131" s="118"/>
      <c r="WSL131" s="118"/>
      <c r="WSM131" s="118"/>
      <c r="WSN131" s="118"/>
      <c r="WSO131" s="118"/>
      <c r="WSP131" s="118"/>
      <c r="WSQ131" s="118"/>
      <c r="WSR131" s="118"/>
      <c r="WSS131" s="118"/>
      <c r="WST131" s="118"/>
      <c r="WSU131" s="118"/>
      <c r="WSV131" s="118"/>
      <c r="WSW131" s="118"/>
      <c r="WSX131" s="118"/>
      <c r="WSY131" s="118"/>
      <c r="WSZ131" s="118"/>
      <c r="WTA131" s="118"/>
      <c r="WTB131" s="118"/>
      <c r="WTC131" s="118"/>
      <c r="WTD131" s="118"/>
      <c r="WTE131" s="118"/>
      <c r="WTF131" s="118"/>
      <c r="WTG131" s="118"/>
      <c r="WTH131" s="118"/>
      <c r="WTI131" s="118"/>
      <c r="WTJ131" s="118"/>
      <c r="WTK131" s="118"/>
      <c r="WTL131" s="118"/>
      <c r="WTM131" s="118"/>
      <c r="WTN131" s="118"/>
      <c r="WTO131" s="118"/>
      <c r="WTP131" s="118"/>
      <c r="WTQ131" s="118"/>
      <c r="WTR131" s="118"/>
      <c r="WTS131" s="118"/>
      <c r="WTT131" s="118"/>
      <c r="WTU131" s="118"/>
      <c r="WTV131" s="118"/>
      <c r="WTW131" s="118"/>
      <c r="WTX131" s="118"/>
      <c r="WTY131" s="118"/>
      <c r="WTZ131" s="118"/>
      <c r="WUA131" s="118"/>
      <c r="WUB131" s="118"/>
      <c r="WUC131" s="118"/>
      <c r="WUD131" s="118"/>
      <c r="WUE131" s="118"/>
      <c r="WUF131" s="118"/>
      <c r="WUG131" s="118"/>
      <c r="WUH131" s="118"/>
      <c r="WUI131" s="118"/>
      <c r="WUJ131" s="118"/>
      <c r="WUK131" s="118"/>
      <c r="WUL131" s="118"/>
      <c r="WUM131" s="118"/>
      <c r="WUN131" s="118"/>
      <c r="WUO131" s="118"/>
      <c r="WUP131" s="118"/>
      <c r="WUQ131" s="118"/>
      <c r="WUR131" s="118"/>
      <c r="WUS131" s="118"/>
      <c r="WUT131" s="118"/>
      <c r="WUU131" s="118"/>
      <c r="WUV131" s="118"/>
      <c r="WUW131" s="118"/>
      <c r="WUX131" s="118"/>
      <c r="WUY131" s="118"/>
      <c r="WUZ131" s="118"/>
      <c r="WVA131" s="118"/>
      <c r="WVB131" s="118"/>
      <c r="WVC131" s="118"/>
      <c r="WVD131" s="118"/>
      <c r="WVE131" s="118"/>
      <c r="WVF131" s="118"/>
      <c r="WVG131" s="118"/>
      <c r="WVH131" s="118"/>
      <c r="WVI131" s="118"/>
      <c r="WVJ131" s="118"/>
      <c r="WVK131" s="118"/>
      <c r="WVL131" s="118"/>
      <c r="WVM131" s="118"/>
      <c r="WVN131" s="118"/>
      <c r="WVO131" s="118"/>
      <c r="WVP131" s="118"/>
      <c r="WVQ131" s="118"/>
      <c r="WVR131" s="118"/>
      <c r="WVS131" s="118"/>
      <c r="WVT131" s="118"/>
      <c r="WVU131" s="118"/>
      <c r="WVV131" s="118"/>
      <c r="WVW131" s="118"/>
      <c r="WVX131" s="118"/>
      <c r="WVY131" s="118"/>
      <c r="WVZ131" s="118"/>
      <c r="WWA131" s="118"/>
      <c r="WWB131" s="118"/>
      <c r="WWC131" s="118"/>
      <c r="WWD131" s="118"/>
      <c r="WWE131" s="118"/>
      <c r="WWF131" s="118"/>
      <c r="WWG131" s="118"/>
      <c r="WWH131" s="118"/>
      <c r="WWI131" s="118"/>
      <c r="WWJ131" s="118"/>
      <c r="WWK131" s="118"/>
      <c r="WWL131" s="118"/>
      <c r="WWM131" s="118"/>
      <c r="WWN131" s="118"/>
      <c r="WWO131" s="118"/>
      <c r="WWP131" s="118"/>
      <c r="WWQ131" s="118"/>
      <c r="WWR131" s="118"/>
      <c r="WWS131" s="118"/>
      <c r="WWT131" s="118"/>
      <c r="WWU131" s="118"/>
      <c r="WWV131" s="118"/>
      <c r="WWW131" s="118"/>
      <c r="WWX131" s="118"/>
      <c r="WWY131" s="118"/>
      <c r="WWZ131" s="118"/>
      <c r="WXA131" s="118"/>
      <c r="WXB131" s="118"/>
      <c r="WXC131" s="118"/>
      <c r="WXD131" s="118"/>
      <c r="WXE131" s="118"/>
      <c r="WXF131" s="118"/>
      <c r="WXG131" s="118"/>
      <c r="WXH131" s="118"/>
      <c r="WXI131" s="118"/>
      <c r="WXJ131" s="118"/>
      <c r="WXK131" s="118"/>
      <c r="WXL131" s="118"/>
      <c r="WXM131" s="118"/>
      <c r="WXN131" s="118"/>
      <c r="WXO131" s="118"/>
      <c r="WXP131" s="118"/>
      <c r="WXQ131" s="118"/>
      <c r="WXR131" s="118"/>
      <c r="WXS131" s="118"/>
      <c r="WXT131" s="118"/>
      <c r="WXU131" s="118"/>
      <c r="WXV131" s="118"/>
      <c r="WXW131" s="118"/>
      <c r="WXX131" s="118"/>
      <c r="WXY131" s="118"/>
      <c r="WXZ131" s="118"/>
      <c r="WYA131" s="118"/>
      <c r="WYB131" s="118"/>
      <c r="WYC131" s="118"/>
      <c r="WYD131" s="118"/>
      <c r="WYE131" s="118"/>
      <c r="WYF131" s="118"/>
      <c r="WYG131" s="118"/>
      <c r="WYH131" s="118"/>
      <c r="WYI131" s="118"/>
      <c r="WYJ131" s="118"/>
      <c r="WYK131" s="118"/>
      <c r="WYL131" s="118"/>
      <c r="WYM131" s="118"/>
      <c r="WYN131" s="118"/>
      <c r="WYO131" s="118"/>
      <c r="WYP131" s="118"/>
      <c r="WYQ131" s="118"/>
      <c r="WYR131" s="118"/>
      <c r="WYS131" s="118"/>
      <c r="WYT131" s="118"/>
      <c r="WYU131" s="118"/>
      <c r="WYV131" s="118"/>
      <c r="WYW131" s="118"/>
      <c r="WYX131" s="118"/>
      <c r="WYY131" s="118"/>
      <c r="WYZ131" s="118"/>
      <c r="WZA131" s="118"/>
      <c r="WZB131" s="118"/>
      <c r="WZC131" s="118"/>
      <c r="WZD131" s="118"/>
      <c r="WZE131" s="118"/>
      <c r="WZF131" s="118"/>
      <c r="WZG131" s="118"/>
      <c r="WZH131" s="118"/>
      <c r="WZI131" s="118"/>
      <c r="WZJ131" s="118"/>
      <c r="WZK131" s="118"/>
      <c r="WZL131" s="118"/>
      <c r="WZM131" s="118"/>
      <c r="WZN131" s="118"/>
      <c r="WZO131" s="118"/>
      <c r="WZP131" s="118"/>
      <c r="WZQ131" s="118"/>
      <c r="WZR131" s="118"/>
      <c r="WZS131" s="118"/>
      <c r="WZT131" s="118"/>
      <c r="WZU131" s="118"/>
      <c r="WZV131" s="118"/>
      <c r="WZW131" s="118"/>
      <c r="WZX131" s="118"/>
      <c r="WZY131" s="118"/>
      <c r="WZZ131" s="118"/>
      <c r="XAA131" s="118"/>
      <c r="XAB131" s="118"/>
      <c r="XAC131" s="118"/>
      <c r="XAD131" s="118"/>
      <c r="XAE131" s="118"/>
      <c r="XAF131" s="118"/>
      <c r="XAG131" s="118"/>
      <c r="XAH131" s="118"/>
      <c r="XAI131" s="118"/>
      <c r="XAJ131" s="118"/>
      <c r="XAK131" s="118"/>
      <c r="XAL131" s="118"/>
      <c r="XAM131" s="118"/>
      <c r="XAN131" s="118"/>
      <c r="XAO131" s="118"/>
      <c r="XAP131" s="118"/>
      <c r="XAQ131" s="118"/>
      <c r="XAR131" s="118"/>
      <c r="XAS131" s="118"/>
      <c r="XAT131" s="118"/>
      <c r="XAU131" s="118"/>
      <c r="XAV131" s="118"/>
      <c r="XAW131" s="118"/>
      <c r="XAX131" s="118"/>
      <c r="XAY131" s="118"/>
      <c r="XAZ131" s="118"/>
      <c r="XBA131" s="118"/>
      <c r="XBB131" s="118"/>
      <c r="XBC131" s="118"/>
      <c r="XBD131" s="118"/>
      <c r="XBE131" s="118"/>
      <c r="XBF131" s="118"/>
      <c r="XBG131" s="118"/>
      <c r="XBH131" s="118"/>
      <c r="XBI131" s="118"/>
      <c r="XBJ131" s="118"/>
      <c r="XBK131" s="118"/>
      <c r="XBL131" s="118"/>
      <c r="XBM131" s="118"/>
      <c r="XBN131" s="118"/>
      <c r="XBO131" s="118"/>
      <c r="XBP131" s="118"/>
      <c r="XBQ131" s="118"/>
      <c r="XBR131" s="118"/>
      <c r="XBS131" s="118"/>
      <c r="XBT131" s="118"/>
      <c r="XBU131" s="118"/>
      <c r="XBV131" s="118"/>
      <c r="XBW131" s="118"/>
      <c r="XBX131" s="118"/>
      <c r="XBY131" s="118"/>
      <c r="XBZ131" s="118"/>
      <c r="XCA131" s="118"/>
      <c r="XCB131" s="118"/>
      <c r="XCC131" s="118"/>
      <c r="XCD131" s="118"/>
      <c r="XCE131" s="118"/>
      <c r="XCF131" s="118"/>
      <c r="XCG131" s="118"/>
      <c r="XCH131" s="118"/>
      <c r="XCI131" s="118"/>
      <c r="XCJ131" s="118"/>
      <c r="XCK131" s="118"/>
      <c r="XCL131" s="118"/>
      <c r="XCM131" s="118"/>
      <c r="XCN131" s="118"/>
      <c r="XCO131" s="118"/>
      <c r="XCP131" s="118"/>
      <c r="XCQ131" s="118"/>
      <c r="XCR131" s="118"/>
      <c r="XCS131" s="118"/>
      <c r="XCT131" s="118"/>
      <c r="XCU131" s="118"/>
      <c r="XCV131" s="118"/>
      <c r="XCW131" s="118"/>
      <c r="XCX131" s="118"/>
      <c r="XCY131" s="118"/>
      <c r="XCZ131" s="118"/>
      <c r="XDA131" s="118"/>
      <c r="XDB131" s="118"/>
      <c r="XDC131" s="118"/>
      <c r="XDD131" s="118"/>
      <c r="XDE131" s="118"/>
      <c r="XDF131" s="118"/>
      <c r="XDG131" s="118"/>
      <c r="XDH131" s="118"/>
      <c r="XDI131" s="118"/>
      <c r="XDJ131" s="118"/>
      <c r="XDK131" s="118"/>
      <c r="XDL131" s="118"/>
      <c r="XDM131" s="118"/>
      <c r="XDN131" s="118"/>
      <c r="XDO131" s="118"/>
      <c r="XDP131" s="118"/>
      <c r="XDQ131" s="118"/>
      <c r="XDR131" s="118"/>
      <c r="XDS131" s="118"/>
      <c r="XDT131" s="118"/>
      <c r="XDU131" s="118"/>
      <c r="XDV131" s="118"/>
      <c r="XDW131" s="118"/>
      <c r="XDX131" s="118"/>
      <c r="XDY131" s="118"/>
      <c r="XDZ131" s="118"/>
      <c r="XEA131" s="118"/>
      <c r="XEB131" s="118"/>
      <c r="XEC131" s="118"/>
      <c r="XED131" s="118"/>
      <c r="XEE131" s="118"/>
      <c r="XEF131" s="118"/>
      <c r="XEG131" s="118"/>
      <c r="XEH131" s="118"/>
      <c r="XEI131" s="118"/>
      <c r="XEJ131" s="118"/>
      <c r="XEK131" s="118"/>
      <c r="XEL131" s="118"/>
      <c r="XEM131" s="118"/>
      <c r="XEN131" s="118"/>
      <c r="XEO131" s="118"/>
      <c r="XEP131" s="118"/>
      <c r="XEQ131" s="118"/>
      <c r="XER131" s="118"/>
      <c r="XES131" s="118"/>
      <c r="XET131" s="118"/>
      <c r="XEU131" s="118"/>
      <c r="XEV131" s="118"/>
      <c r="XEW131" s="118"/>
      <c r="XEX131" s="118"/>
      <c r="XEY131" s="119"/>
      <c r="XEZ131" s="119"/>
      <c r="XFA131" s="119"/>
      <c r="XFB131" s="119"/>
      <c r="XFC131" s="120"/>
    </row>
    <row r="132" s="7" customFormat="1" ht="31" spans="1:16383">
      <c r="A132" s="42">
        <v>3</v>
      </c>
      <c r="B132" s="43"/>
      <c r="C132" s="34" t="s">
        <v>146</v>
      </c>
      <c r="D132" s="35"/>
      <c r="E132" s="72" t="s">
        <v>25</v>
      </c>
      <c r="F132" s="68">
        <v>0</v>
      </c>
      <c r="G132" s="71">
        <v>480</v>
      </c>
      <c r="H132" s="68">
        <f t="shared" si="7"/>
        <v>0</v>
      </c>
      <c r="I132" s="79" t="s">
        <v>144</v>
      </c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  <c r="AQ132" s="107"/>
      <c r="AR132" s="107"/>
      <c r="AS132" s="107"/>
      <c r="AT132" s="107"/>
      <c r="AU132" s="107"/>
      <c r="AV132" s="107"/>
      <c r="AW132" s="107"/>
      <c r="AX132" s="107"/>
      <c r="AY132" s="107"/>
      <c r="AZ132" s="107"/>
      <c r="BA132" s="107"/>
      <c r="BB132" s="107"/>
      <c r="BC132" s="107"/>
      <c r="BD132" s="107"/>
      <c r="BE132" s="107"/>
      <c r="BF132" s="107"/>
      <c r="BG132" s="107"/>
      <c r="BH132" s="107"/>
      <c r="BI132" s="107"/>
      <c r="BJ132" s="107"/>
      <c r="BK132" s="107"/>
      <c r="BL132" s="107"/>
      <c r="BM132" s="107"/>
      <c r="BN132" s="107"/>
      <c r="BO132" s="107"/>
      <c r="BP132" s="107"/>
      <c r="BQ132" s="107"/>
      <c r="BR132" s="107"/>
      <c r="BS132" s="107"/>
      <c r="BT132" s="107"/>
      <c r="BU132" s="107"/>
      <c r="BV132" s="107"/>
      <c r="BW132" s="107"/>
      <c r="BX132" s="107"/>
      <c r="BY132" s="107"/>
      <c r="BZ132" s="107"/>
      <c r="CA132" s="107"/>
      <c r="CB132" s="107"/>
      <c r="CC132" s="107"/>
      <c r="CD132" s="107"/>
      <c r="CE132" s="107"/>
      <c r="CF132" s="107"/>
      <c r="CG132" s="107"/>
      <c r="CH132" s="107"/>
      <c r="CI132" s="107"/>
      <c r="CJ132" s="107"/>
      <c r="CK132" s="107"/>
      <c r="CL132" s="107"/>
      <c r="CM132" s="107"/>
      <c r="CN132" s="107"/>
      <c r="CO132" s="107"/>
      <c r="CP132" s="107"/>
      <c r="CQ132" s="107"/>
      <c r="CR132" s="107"/>
      <c r="CS132" s="107"/>
      <c r="CT132" s="107"/>
      <c r="CU132" s="107"/>
      <c r="CV132" s="107"/>
      <c r="CW132" s="107"/>
      <c r="CX132" s="107"/>
      <c r="CY132" s="107"/>
      <c r="CZ132" s="107"/>
      <c r="DA132" s="107"/>
      <c r="DB132" s="107"/>
      <c r="DC132" s="107"/>
      <c r="DD132" s="107"/>
      <c r="DE132" s="107"/>
      <c r="DF132" s="107"/>
      <c r="DG132" s="107"/>
      <c r="DH132" s="107"/>
      <c r="DI132" s="107"/>
      <c r="DJ132" s="107"/>
      <c r="DK132" s="107"/>
      <c r="DL132" s="107"/>
      <c r="DM132" s="107"/>
      <c r="DN132" s="107"/>
      <c r="DO132" s="107"/>
      <c r="DP132" s="107"/>
      <c r="DQ132" s="107"/>
      <c r="DR132" s="107"/>
      <c r="DS132" s="107"/>
      <c r="DT132" s="107"/>
      <c r="DU132" s="107"/>
      <c r="DV132" s="107"/>
      <c r="DW132" s="107"/>
      <c r="DX132" s="107"/>
      <c r="DY132" s="107"/>
      <c r="DZ132" s="107"/>
      <c r="EA132" s="107"/>
      <c r="EB132" s="107"/>
      <c r="EC132" s="107"/>
      <c r="ED132" s="107"/>
      <c r="EE132" s="107"/>
      <c r="EF132" s="107"/>
      <c r="EG132" s="107"/>
      <c r="EH132" s="107"/>
      <c r="EI132" s="107"/>
      <c r="EJ132" s="107"/>
      <c r="EK132" s="107"/>
      <c r="EL132" s="107"/>
      <c r="EM132" s="107"/>
      <c r="EN132" s="107"/>
      <c r="EO132" s="107"/>
      <c r="EP132" s="107"/>
      <c r="EQ132" s="107"/>
      <c r="ER132" s="107"/>
      <c r="ES132" s="107"/>
      <c r="ET132" s="107"/>
      <c r="EU132" s="107"/>
      <c r="EV132" s="107"/>
      <c r="EW132" s="107"/>
      <c r="EX132" s="107"/>
      <c r="EY132" s="107"/>
      <c r="EZ132" s="107"/>
      <c r="FA132" s="107"/>
      <c r="FB132" s="107"/>
      <c r="FC132" s="107"/>
      <c r="FD132" s="107"/>
      <c r="FE132" s="107"/>
      <c r="FF132" s="107"/>
      <c r="FG132" s="107"/>
      <c r="FH132" s="107"/>
      <c r="FI132" s="107"/>
      <c r="FJ132" s="107"/>
      <c r="FK132" s="107"/>
      <c r="FL132" s="107"/>
      <c r="FM132" s="107"/>
      <c r="FN132" s="107"/>
      <c r="FO132" s="107"/>
      <c r="FP132" s="107"/>
      <c r="FQ132" s="107"/>
      <c r="FR132" s="107"/>
      <c r="FS132" s="107"/>
      <c r="FT132" s="107"/>
      <c r="FU132" s="107"/>
      <c r="FV132" s="107"/>
      <c r="FW132" s="107"/>
      <c r="FX132" s="107"/>
      <c r="FY132" s="107"/>
      <c r="FZ132" s="107"/>
      <c r="GA132" s="107"/>
      <c r="GB132" s="107"/>
      <c r="GC132" s="107"/>
      <c r="GD132" s="107"/>
      <c r="GE132" s="107"/>
      <c r="GF132" s="107"/>
      <c r="GG132" s="107"/>
      <c r="GH132" s="107"/>
      <c r="GI132" s="107"/>
      <c r="GJ132" s="107"/>
      <c r="GK132" s="107"/>
      <c r="GL132" s="107"/>
      <c r="GM132" s="107"/>
      <c r="GN132" s="107"/>
      <c r="GO132" s="107"/>
      <c r="GP132" s="107"/>
      <c r="GQ132" s="107"/>
      <c r="GR132" s="107"/>
      <c r="GS132" s="107"/>
      <c r="GT132" s="107"/>
      <c r="GU132" s="107"/>
      <c r="GV132" s="107"/>
      <c r="GW132" s="107"/>
      <c r="GX132" s="107"/>
      <c r="GY132" s="107"/>
      <c r="GZ132" s="107"/>
      <c r="HA132" s="107"/>
      <c r="HB132" s="107"/>
      <c r="HC132" s="107"/>
      <c r="HD132" s="107"/>
      <c r="HE132" s="107"/>
      <c r="HF132" s="107"/>
      <c r="HG132" s="107"/>
      <c r="HH132" s="107"/>
      <c r="HI132" s="107"/>
      <c r="HJ132" s="107"/>
      <c r="HK132" s="107"/>
      <c r="HL132" s="107"/>
      <c r="HM132" s="107"/>
      <c r="HN132" s="107"/>
      <c r="HO132" s="107"/>
      <c r="HP132" s="107"/>
      <c r="HQ132" s="107"/>
      <c r="HR132" s="107"/>
      <c r="HS132" s="107"/>
      <c r="HT132" s="107"/>
      <c r="HU132" s="107"/>
      <c r="HV132" s="107"/>
      <c r="HW132" s="107"/>
      <c r="HX132" s="107"/>
      <c r="HY132" s="107"/>
      <c r="HZ132" s="107"/>
      <c r="IA132" s="107"/>
      <c r="IB132" s="107"/>
      <c r="IC132" s="107"/>
      <c r="ID132" s="107"/>
      <c r="IE132" s="107"/>
      <c r="IF132" s="107"/>
      <c r="IG132" s="107"/>
      <c r="IH132" s="107"/>
      <c r="II132" s="107"/>
      <c r="IJ132" s="107"/>
      <c r="IK132" s="107"/>
      <c r="IL132" s="107"/>
      <c r="IM132" s="107"/>
      <c r="IN132" s="107"/>
      <c r="IO132" s="118"/>
      <c r="IP132" s="118"/>
      <c r="IQ132" s="118"/>
      <c r="IR132" s="118"/>
      <c r="IS132" s="118"/>
      <c r="IT132" s="118"/>
      <c r="IU132" s="118"/>
      <c r="IV132" s="118"/>
      <c r="IW132" s="118"/>
      <c r="IX132" s="118"/>
      <c r="IY132" s="118"/>
      <c r="IZ132" s="118"/>
      <c r="JA132" s="118"/>
      <c r="JB132" s="118"/>
      <c r="JC132" s="118"/>
      <c r="JD132" s="118"/>
      <c r="JE132" s="118"/>
      <c r="JF132" s="118"/>
      <c r="JG132" s="118"/>
      <c r="JH132" s="118"/>
      <c r="JI132" s="118"/>
      <c r="JJ132" s="118"/>
      <c r="JK132" s="118"/>
      <c r="JL132" s="118"/>
      <c r="JM132" s="118"/>
      <c r="JN132" s="118"/>
      <c r="JO132" s="118"/>
      <c r="JP132" s="118"/>
      <c r="JQ132" s="118"/>
      <c r="JR132" s="118"/>
      <c r="JS132" s="118"/>
      <c r="JT132" s="118"/>
      <c r="JU132" s="118"/>
      <c r="JV132" s="118"/>
      <c r="JW132" s="118"/>
      <c r="JX132" s="118"/>
      <c r="JY132" s="118"/>
      <c r="JZ132" s="118"/>
      <c r="KA132" s="118"/>
      <c r="KB132" s="118"/>
      <c r="KC132" s="118"/>
      <c r="KD132" s="118"/>
      <c r="KE132" s="118"/>
      <c r="KF132" s="118"/>
      <c r="KG132" s="118"/>
      <c r="KH132" s="118"/>
      <c r="KI132" s="118"/>
      <c r="KJ132" s="118"/>
      <c r="KK132" s="118"/>
      <c r="KL132" s="118"/>
      <c r="KM132" s="118"/>
      <c r="KN132" s="118"/>
      <c r="KO132" s="118"/>
      <c r="KP132" s="118"/>
      <c r="KQ132" s="118"/>
      <c r="KR132" s="118"/>
      <c r="KS132" s="118"/>
      <c r="KT132" s="118"/>
      <c r="KU132" s="118"/>
      <c r="KV132" s="118"/>
      <c r="KW132" s="118"/>
      <c r="KX132" s="118"/>
      <c r="KY132" s="118"/>
      <c r="KZ132" s="118"/>
      <c r="LA132" s="118"/>
      <c r="LB132" s="118"/>
      <c r="LC132" s="118"/>
      <c r="LD132" s="118"/>
      <c r="LE132" s="118"/>
      <c r="LF132" s="118"/>
      <c r="LG132" s="118"/>
      <c r="LH132" s="118"/>
      <c r="LI132" s="118"/>
      <c r="LJ132" s="118"/>
      <c r="LK132" s="118"/>
      <c r="LL132" s="118"/>
      <c r="LM132" s="118"/>
      <c r="LN132" s="118"/>
      <c r="LO132" s="118"/>
      <c r="LP132" s="118"/>
      <c r="LQ132" s="118"/>
      <c r="LR132" s="118"/>
      <c r="LS132" s="118"/>
      <c r="LT132" s="118"/>
      <c r="LU132" s="118"/>
      <c r="LV132" s="118"/>
      <c r="LW132" s="118"/>
      <c r="LX132" s="118"/>
      <c r="LY132" s="118"/>
      <c r="LZ132" s="118"/>
      <c r="MA132" s="118"/>
      <c r="MB132" s="118"/>
      <c r="MC132" s="118"/>
      <c r="MD132" s="118"/>
      <c r="ME132" s="118"/>
      <c r="MF132" s="118"/>
      <c r="MG132" s="118"/>
      <c r="MH132" s="118"/>
      <c r="MI132" s="118"/>
      <c r="MJ132" s="118"/>
      <c r="MK132" s="118"/>
      <c r="ML132" s="118"/>
      <c r="MM132" s="118"/>
      <c r="MN132" s="118"/>
      <c r="MO132" s="118"/>
      <c r="MP132" s="118"/>
      <c r="MQ132" s="118"/>
      <c r="MR132" s="118"/>
      <c r="MS132" s="118"/>
      <c r="MT132" s="118"/>
      <c r="MU132" s="118"/>
      <c r="MV132" s="118"/>
      <c r="MW132" s="118"/>
      <c r="MX132" s="118"/>
      <c r="MY132" s="118"/>
      <c r="MZ132" s="118"/>
      <c r="NA132" s="118"/>
      <c r="NB132" s="118"/>
      <c r="NC132" s="118"/>
      <c r="ND132" s="118"/>
      <c r="NE132" s="118"/>
      <c r="NF132" s="118"/>
      <c r="NG132" s="118"/>
      <c r="NH132" s="118"/>
      <c r="NI132" s="118"/>
      <c r="NJ132" s="118"/>
      <c r="NK132" s="118"/>
      <c r="NL132" s="118"/>
      <c r="NM132" s="118"/>
      <c r="NN132" s="118"/>
      <c r="NO132" s="118"/>
      <c r="NP132" s="118"/>
      <c r="NQ132" s="118"/>
      <c r="NR132" s="118"/>
      <c r="NS132" s="118"/>
      <c r="NT132" s="118"/>
      <c r="NU132" s="118"/>
      <c r="NV132" s="118"/>
      <c r="NW132" s="118"/>
      <c r="NX132" s="118"/>
      <c r="NY132" s="118"/>
      <c r="NZ132" s="118"/>
      <c r="OA132" s="118"/>
      <c r="OB132" s="118"/>
      <c r="OC132" s="118"/>
      <c r="OD132" s="118"/>
      <c r="OE132" s="118"/>
      <c r="OF132" s="118"/>
      <c r="OG132" s="118"/>
      <c r="OH132" s="118"/>
      <c r="OI132" s="118"/>
      <c r="OJ132" s="118"/>
      <c r="OK132" s="118"/>
      <c r="OL132" s="118"/>
      <c r="OM132" s="118"/>
      <c r="ON132" s="118"/>
      <c r="OO132" s="118"/>
      <c r="OP132" s="118"/>
      <c r="OQ132" s="118"/>
      <c r="OR132" s="118"/>
      <c r="OS132" s="118"/>
      <c r="OT132" s="118"/>
      <c r="OU132" s="118"/>
      <c r="OV132" s="118"/>
      <c r="OW132" s="118"/>
      <c r="OX132" s="118"/>
      <c r="OY132" s="118"/>
      <c r="OZ132" s="118"/>
      <c r="PA132" s="118"/>
      <c r="PB132" s="118"/>
      <c r="PC132" s="118"/>
      <c r="PD132" s="118"/>
      <c r="PE132" s="118"/>
      <c r="PF132" s="118"/>
      <c r="PG132" s="118"/>
      <c r="PH132" s="118"/>
      <c r="PI132" s="118"/>
      <c r="PJ132" s="118"/>
      <c r="PK132" s="118"/>
      <c r="PL132" s="118"/>
      <c r="PM132" s="118"/>
      <c r="PN132" s="118"/>
      <c r="PO132" s="118"/>
      <c r="PP132" s="118"/>
      <c r="PQ132" s="118"/>
      <c r="PR132" s="118"/>
      <c r="PS132" s="118"/>
      <c r="PT132" s="118"/>
      <c r="PU132" s="118"/>
      <c r="PV132" s="118"/>
      <c r="PW132" s="118"/>
      <c r="PX132" s="118"/>
      <c r="PY132" s="118"/>
      <c r="PZ132" s="118"/>
      <c r="QA132" s="118"/>
      <c r="QB132" s="118"/>
      <c r="QC132" s="118"/>
      <c r="QD132" s="118"/>
      <c r="QE132" s="118"/>
      <c r="QF132" s="118"/>
      <c r="QG132" s="118"/>
      <c r="QH132" s="118"/>
      <c r="QI132" s="118"/>
      <c r="QJ132" s="118"/>
      <c r="QK132" s="118"/>
      <c r="QL132" s="118"/>
      <c r="QM132" s="118"/>
      <c r="QN132" s="118"/>
      <c r="QO132" s="118"/>
      <c r="QP132" s="118"/>
      <c r="QQ132" s="118"/>
      <c r="QR132" s="118"/>
      <c r="QS132" s="118"/>
      <c r="QT132" s="118"/>
      <c r="QU132" s="118"/>
      <c r="QV132" s="118"/>
      <c r="QW132" s="118"/>
      <c r="QX132" s="118"/>
      <c r="QY132" s="118"/>
      <c r="QZ132" s="118"/>
      <c r="RA132" s="118"/>
      <c r="RB132" s="118"/>
      <c r="RC132" s="118"/>
      <c r="RD132" s="118"/>
      <c r="RE132" s="118"/>
      <c r="RF132" s="118"/>
      <c r="RG132" s="118"/>
      <c r="RH132" s="118"/>
      <c r="RI132" s="118"/>
      <c r="RJ132" s="118"/>
      <c r="RK132" s="118"/>
      <c r="RL132" s="118"/>
      <c r="RM132" s="118"/>
      <c r="RN132" s="118"/>
      <c r="RO132" s="118"/>
      <c r="RP132" s="118"/>
      <c r="RQ132" s="118"/>
      <c r="RR132" s="118"/>
      <c r="RS132" s="118"/>
      <c r="RT132" s="118"/>
      <c r="RU132" s="118"/>
      <c r="RV132" s="118"/>
      <c r="RW132" s="118"/>
      <c r="RX132" s="118"/>
      <c r="RY132" s="118"/>
      <c r="RZ132" s="118"/>
      <c r="SA132" s="118"/>
      <c r="SB132" s="118"/>
      <c r="SC132" s="118"/>
      <c r="SD132" s="118"/>
      <c r="SE132" s="118"/>
      <c r="SF132" s="118"/>
      <c r="SG132" s="118"/>
      <c r="SH132" s="118"/>
      <c r="SI132" s="118"/>
      <c r="SJ132" s="118"/>
      <c r="SK132" s="118"/>
      <c r="SL132" s="118"/>
      <c r="SM132" s="118"/>
      <c r="SN132" s="118"/>
      <c r="SO132" s="118"/>
      <c r="SP132" s="118"/>
      <c r="SQ132" s="118"/>
      <c r="SR132" s="118"/>
      <c r="SS132" s="118"/>
      <c r="ST132" s="118"/>
      <c r="SU132" s="118"/>
      <c r="SV132" s="118"/>
      <c r="SW132" s="118"/>
      <c r="SX132" s="118"/>
      <c r="SY132" s="118"/>
      <c r="SZ132" s="118"/>
      <c r="TA132" s="118"/>
      <c r="TB132" s="118"/>
      <c r="TC132" s="118"/>
      <c r="TD132" s="118"/>
      <c r="TE132" s="118"/>
      <c r="TF132" s="118"/>
      <c r="TG132" s="118"/>
      <c r="TH132" s="118"/>
      <c r="TI132" s="118"/>
      <c r="TJ132" s="118"/>
      <c r="TK132" s="118"/>
      <c r="TL132" s="118"/>
      <c r="TM132" s="118"/>
      <c r="TN132" s="118"/>
      <c r="TO132" s="118"/>
      <c r="TP132" s="118"/>
      <c r="TQ132" s="118"/>
      <c r="TR132" s="118"/>
      <c r="TS132" s="118"/>
      <c r="TT132" s="118"/>
      <c r="TU132" s="118"/>
      <c r="TV132" s="118"/>
      <c r="TW132" s="118"/>
      <c r="TX132" s="118"/>
      <c r="TY132" s="118"/>
      <c r="TZ132" s="118"/>
      <c r="UA132" s="118"/>
      <c r="UB132" s="118"/>
      <c r="UC132" s="118"/>
      <c r="UD132" s="118"/>
      <c r="UE132" s="118"/>
      <c r="UF132" s="118"/>
      <c r="UG132" s="118"/>
      <c r="UH132" s="118"/>
      <c r="UI132" s="118"/>
      <c r="UJ132" s="118"/>
      <c r="UK132" s="118"/>
      <c r="UL132" s="118"/>
      <c r="UM132" s="118"/>
      <c r="UN132" s="118"/>
      <c r="UO132" s="118"/>
      <c r="UP132" s="118"/>
      <c r="UQ132" s="118"/>
      <c r="UR132" s="118"/>
      <c r="US132" s="118"/>
      <c r="UT132" s="118"/>
      <c r="UU132" s="118"/>
      <c r="UV132" s="118"/>
      <c r="UW132" s="118"/>
      <c r="UX132" s="118"/>
      <c r="UY132" s="118"/>
      <c r="UZ132" s="118"/>
      <c r="VA132" s="118"/>
      <c r="VB132" s="118"/>
      <c r="VC132" s="118"/>
      <c r="VD132" s="118"/>
      <c r="VE132" s="118"/>
      <c r="VF132" s="118"/>
      <c r="VG132" s="118"/>
      <c r="VH132" s="118"/>
      <c r="VI132" s="118"/>
      <c r="VJ132" s="118"/>
      <c r="VK132" s="118"/>
      <c r="VL132" s="118"/>
      <c r="VM132" s="118"/>
      <c r="VN132" s="118"/>
      <c r="VO132" s="118"/>
      <c r="VP132" s="118"/>
      <c r="VQ132" s="118"/>
      <c r="VR132" s="118"/>
      <c r="VS132" s="118"/>
      <c r="VT132" s="118"/>
      <c r="VU132" s="118"/>
      <c r="VV132" s="118"/>
      <c r="VW132" s="118"/>
      <c r="VX132" s="118"/>
      <c r="VY132" s="118"/>
      <c r="VZ132" s="118"/>
      <c r="WA132" s="118"/>
      <c r="WB132" s="118"/>
      <c r="WC132" s="118"/>
      <c r="WD132" s="118"/>
      <c r="WE132" s="118"/>
      <c r="WF132" s="118"/>
      <c r="WG132" s="118"/>
      <c r="WH132" s="118"/>
      <c r="WI132" s="118"/>
      <c r="WJ132" s="118"/>
      <c r="WK132" s="118"/>
      <c r="WL132" s="118"/>
      <c r="WM132" s="118"/>
      <c r="WN132" s="118"/>
      <c r="WO132" s="118"/>
      <c r="WP132" s="118"/>
      <c r="WQ132" s="118"/>
      <c r="WR132" s="118"/>
      <c r="WS132" s="118"/>
      <c r="WT132" s="118"/>
      <c r="WU132" s="118"/>
      <c r="WV132" s="118"/>
      <c r="WW132" s="118"/>
      <c r="WX132" s="118"/>
      <c r="WY132" s="118"/>
      <c r="WZ132" s="118"/>
      <c r="XA132" s="118"/>
      <c r="XB132" s="118"/>
      <c r="XC132" s="118"/>
      <c r="XD132" s="118"/>
      <c r="XE132" s="118"/>
      <c r="XF132" s="118"/>
      <c r="XG132" s="118"/>
      <c r="XH132" s="118"/>
      <c r="XI132" s="118"/>
      <c r="XJ132" s="118"/>
      <c r="XK132" s="118"/>
      <c r="XL132" s="118"/>
      <c r="XM132" s="118"/>
      <c r="XN132" s="118"/>
      <c r="XO132" s="118"/>
      <c r="XP132" s="118"/>
      <c r="XQ132" s="118"/>
      <c r="XR132" s="118"/>
      <c r="XS132" s="118"/>
      <c r="XT132" s="118"/>
      <c r="XU132" s="118"/>
      <c r="XV132" s="118"/>
      <c r="XW132" s="118"/>
      <c r="XX132" s="118"/>
      <c r="XY132" s="118"/>
      <c r="XZ132" s="118"/>
      <c r="YA132" s="118"/>
      <c r="YB132" s="118"/>
      <c r="YC132" s="118"/>
      <c r="YD132" s="118"/>
      <c r="YE132" s="118"/>
      <c r="YF132" s="118"/>
      <c r="YG132" s="118"/>
      <c r="YH132" s="118"/>
      <c r="YI132" s="118"/>
      <c r="YJ132" s="118"/>
      <c r="YK132" s="118"/>
      <c r="YL132" s="118"/>
      <c r="YM132" s="118"/>
      <c r="YN132" s="118"/>
      <c r="YO132" s="118"/>
      <c r="YP132" s="118"/>
      <c r="YQ132" s="118"/>
      <c r="YR132" s="118"/>
      <c r="YS132" s="118"/>
      <c r="YT132" s="118"/>
      <c r="YU132" s="118"/>
      <c r="YV132" s="118"/>
      <c r="YW132" s="118"/>
      <c r="YX132" s="118"/>
      <c r="YY132" s="118"/>
      <c r="YZ132" s="118"/>
      <c r="ZA132" s="118"/>
      <c r="ZB132" s="118"/>
      <c r="ZC132" s="118"/>
      <c r="ZD132" s="118"/>
      <c r="ZE132" s="118"/>
      <c r="ZF132" s="118"/>
      <c r="ZG132" s="118"/>
      <c r="ZH132" s="118"/>
      <c r="ZI132" s="118"/>
      <c r="ZJ132" s="118"/>
      <c r="ZK132" s="118"/>
      <c r="ZL132" s="118"/>
      <c r="ZM132" s="118"/>
      <c r="ZN132" s="118"/>
      <c r="ZO132" s="118"/>
      <c r="ZP132" s="118"/>
      <c r="ZQ132" s="118"/>
      <c r="ZR132" s="118"/>
      <c r="ZS132" s="118"/>
      <c r="ZT132" s="118"/>
      <c r="ZU132" s="118"/>
      <c r="ZV132" s="118"/>
      <c r="ZW132" s="118"/>
      <c r="ZX132" s="118"/>
      <c r="ZY132" s="118"/>
      <c r="ZZ132" s="118"/>
      <c r="AAA132" s="118"/>
      <c r="AAB132" s="118"/>
      <c r="AAC132" s="118"/>
      <c r="AAD132" s="118"/>
      <c r="AAE132" s="118"/>
      <c r="AAF132" s="118"/>
      <c r="AAG132" s="118"/>
      <c r="AAH132" s="118"/>
      <c r="AAI132" s="118"/>
      <c r="AAJ132" s="118"/>
      <c r="AAK132" s="118"/>
      <c r="AAL132" s="118"/>
      <c r="AAM132" s="118"/>
      <c r="AAN132" s="118"/>
      <c r="AAO132" s="118"/>
      <c r="AAP132" s="118"/>
      <c r="AAQ132" s="118"/>
      <c r="AAR132" s="118"/>
      <c r="AAS132" s="118"/>
      <c r="AAT132" s="118"/>
      <c r="AAU132" s="118"/>
      <c r="AAV132" s="118"/>
      <c r="AAW132" s="118"/>
      <c r="AAX132" s="118"/>
      <c r="AAY132" s="118"/>
      <c r="AAZ132" s="118"/>
      <c r="ABA132" s="118"/>
      <c r="ABB132" s="118"/>
      <c r="ABC132" s="118"/>
      <c r="ABD132" s="118"/>
      <c r="ABE132" s="118"/>
      <c r="ABF132" s="118"/>
      <c r="ABG132" s="118"/>
      <c r="ABH132" s="118"/>
      <c r="ABI132" s="118"/>
      <c r="ABJ132" s="118"/>
      <c r="ABK132" s="118"/>
      <c r="ABL132" s="118"/>
      <c r="ABM132" s="118"/>
      <c r="ABN132" s="118"/>
      <c r="ABO132" s="118"/>
      <c r="ABP132" s="118"/>
      <c r="ABQ132" s="118"/>
      <c r="ABR132" s="118"/>
      <c r="ABS132" s="118"/>
      <c r="ABT132" s="118"/>
      <c r="ABU132" s="118"/>
      <c r="ABV132" s="118"/>
      <c r="ABW132" s="118"/>
      <c r="ABX132" s="118"/>
      <c r="ABY132" s="118"/>
      <c r="ABZ132" s="118"/>
      <c r="ACA132" s="118"/>
      <c r="ACB132" s="118"/>
      <c r="ACC132" s="118"/>
      <c r="ACD132" s="118"/>
      <c r="ACE132" s="118"/>
      <c r="ACF132" s="118"/>
      <c r="ACG132" s="118"/>
      <c r="ACH132" s="118"/>
      <c r="ACI132" s="118"/>
      <c r="ACJ132" s="118"/>
      <c r="ACK132" s="118"/>
      <c r="ACL132" s="118"/>
      <c r="ACM132" s="118"/>
      <c r="ACN132" s="118"/>
      <c r="ACO132" s="118"/>
      <c r="ACP132" s="118"/>
      <c r="ACQ132" s="118"/>
      <c r="ACR132" s="118"/>
      <c r="ACS132" s="118"/>
      <c r="ACT132" s="118"/>
      <c r="ACU132" s="118"/>
      <c r="ACV132" s="118"/>
      <c r="ACW132" s="118"/>
      <c r="ACX132" s="118"/>
      <c r="ACY132" s="118"/>
      <c r="ACZ132" s="118"/>
      <c r="ADA132" s="118"/>
      <c r="ADB132" s="118"/>
      <c r="ADC132" s="118"/>
      <c r="ADD132" s="118"/>
      <c r="ADE132" s="118"/>
      <c r="ADF132" s="118"/>
      <c r="ADG132" s="118"/>
      <c r="ADH132" s="118"/>
      <c r="ADI132" s="118"/>
      <c r="ADJ132" s="118"/>
      <c r="ADK132" s="118"/>
      <c r="ADL132" s="118"/>
      <c r="ADM132" s="118"/>
      <c r="ADN132" s="118"/>
      <c r="ADO132" s="118"/>
      <c r="ADP132" s="118"/>
      <c r="ADQ132" s="118"/>
      <c r="ADR132" s="118"/>
      <c r="ADS132" s="118"/>
      <c r="ADT132" s="118"/>
      <c r="ADU132" s="118"/>
      <c r="ADV132" s="118"/>
      <c r="ADW132" s="118"/>
      <c r="ADX132" s="118"/>
      <c r="ADY132" s="118"/>
      <c r="ADZ132" s="118"/>
      <c r="AEA132" s="118"/>
      <c r="AEB132" s="118"/>
      <c r="AEC132" s="118"/>
      <c r="AED132" s="118"/>
      <c r="AEE132" s="118"/>
      <c r="AEF132" s="118"/>
      <c r="AEG132" s="118"/>
      <c r="AEH132" s="118"/>
      <c r="AEI132" s="118"/>
      <c r="AEJ132" s="118"/>
      <c r="AEK132" s="118"/>
      <c r="AEL132" s="118"/>
      <c r="AEM132" s="118"/>
      <c r="AEN132" s="118"/>
      <c r="AEO132" s="118"/>
      <c r="AEP132" s="118"/>
      <c r="AEQ132" s="118"/>
      <c r="AER132" s="118"/>
      <c r="AES132" s="118"/>
      <c r="AET132" s="118"/>
      <c r="AEU132" s="118"/>
      <c r="AEV132" s="118"/>
      <c r="AEW132" s="118"/>
      <c r="AEX132" s="118"/>
      <c r="AEY132" s="118"/>
      <c r="AEZ132" s="118"/>
      <c r="AFA132" s="118"/>
      <c r="AFB132" s="118"/>
      <c r="AFC132" s="118"/>
      <c r="AFD132" s="118"/>
      <c r="AFE132" s="118"/>
      <c r="AFF132" s="118"/>
      <c r="AFG132" s="118"/>
      <c r="AFH132" s="118"/>
      <c r="AFI132" s="118"/>
      <c r="AFJ132" s="118"/>
      <c r="AFK132" s="118"/>
      <c r="AFL132" s="118"/>
      <c r="AFM132" s="118"/>
      <c r="AFN132" s="118"/>
      <c r="AFO132" s="118"/>
      <c r="AFP132" s="118"/>
      <c r="AFQ132" s="118"/>
      <c r="AFR132" s="118"/>
      <c r="AFS132" s="118"/>
      <c r="AFT132" s="118"/>
      <c r="AFU132" s="118"/>
      <c r="AFV132" s="118"/>
      <c r="AFW132" s="118"/>
      <c r="AFX132" s="118"/>
      <c r="AFY132" s="118"/>
      <c r="AFZ132" s="118"/>
      <c r="AGA132" s="118"/>
      <c r="AGB132" s="118"/>
      <c r="AGC132" s="118"/>
      <c r="AGD132" s="118"/>
      <c r="AGE132" s="118"/>
      <c r="AGF132" s="118"/>
      <c r="AGG132" s="118"/>
      <c r="AGH132" s="118"/>
      <c r="AGI132" s="118"/>
      <c r="AGJ132" s="118"/>
      <c r="AGK132" s="118"/>
      <c r="AGL132" s="118"/>
      <c r="AGM132" s="118"/>
      <c r="AGN132" s="118"/>
      <c r="AGO132" s="118"/>
      <c r="AGP132" s="118"/>
      <c r="AGQ132" s="118"/>
      <c r="AGR132" s="118"/>
      <c r="AGS132" s="118"/>
      <c r="AGT132" s="118"/>
      <c r="AGU132" s="118"/>
      <c r="AGV132" s="118"/>
      <c r="AGW132" s="118"/>
      <c r="AGX132" s="118"/>
      <c r="AGY132" s="118"/>
      <c r="AGZ132" s="118"/>
      <c r="AHA132" s="118"/>
      <c r="AHB132" s="118"/>
      <c r="AHC132" s="118"/>
      <c r="AHD132" s="118"/>
      <c r="AHE132" s="118"/>
      <c r="AHF132" s="118"/>
      <c r="AHG132" s="118"/>
      <c r="AHH132" s="118"/>
      <c r="AHI132" s="118"/>
      <c r="AHJ132" s="118"/>
      <c r="AHK132" s="118"/>
      <c r="AHL132" s="118"/>
      <c r="AHM132" s="118"/>
      <c r="AHN132" s="118"/>
      <c r="AHO132" s="118"/>
      <c r="AHP132" s="118"/>
      <c r="AHQ132" s="118"/>
      <c r="AHR132" s="118"/>
      <c r="AHS132" s="118"/>
      <c r="AHT132" s="118"/>
      <c r="AHU132" s="118"/>
      <c r="AHV132" s="118"/>
      <c r="AHW132" s="118"/>
      <c r="AHX132" s="118"/>
      <c r="AHY132" s="118"/>
      <c r="AHZ132" s="118"/>
      <c r="AIA132" s="118"/>
      <c r="AIB132" s="118"/>
      <c r="AIC132" s="118"/>
      <c r="AID132" s="118"/>
      <c r="AIE132" s="118"/>
      <c r="AIF132" s="118"/>
      <c r="AIG132" s="118"/>
      <c r="AIH132" s="118"/>
      <c r="AII132" s="118"/>
      <c r="AIJ132" s="118"/>
      <c r="AIK132" s="118"/>
      <c r="AIL132" s="118"/>
      <c r="AIM132" s="118"/>
      <c r="AIN132" s="118"/>
      <c r="AIO132" s="118"/>
      <c r="AIP132" s="118"/>
      <c r="AIQ132" s="118"/>
      <c r="AIR132" s="118"/>
      <c r="AIS132" s="118"/>
      <c r="AIT132" s="118"/>
      <c r="AIU132" s="118"/>
      <c r="AIV132" s="118"/>
      <c r="AIW132" s="118"/>
      <c r="AIX132" s="118"/>
      <c r="AIY132" s="118"/>
      <c r="AIZ132" s="118"/>
      <c r="AJA132" s="118"/>
      <c r="AJB132" s="118"/>
      <c r="AJC132" s="118"/>
      <c r="AJD132" s="118"/>
      <c r="AJE132" s="118"/>
      <c r="AJF132" s="118"/>
      <c r="AJG132" s="118"/>
      <c r="AJH132" s="118"/>
      <c r="AJI132" s="118"/>
      <c r="AJJ132" s="118"/>
      <c r="AJK132" s="118"/>
      <c r="AJL132" s="118"/>
      <c r="AJM132" s="118"/>
      <c r="AJN132" s="118"/>
      <c r="AJO132" s="118"/>
      <c r="AJP132" s="118"/>
      <c r="AJQ132" s="118"/>
      <c r="AJR132" s="118"/>
      <c r="AJS132" s="118"/>
      <c r="AJT132" s="118"/>
      <c r="AJU132" s="118"/>
      <c r="AJV132" s="118"/>
      <c r="AJW132" s="118"/>
      <c r="AJX132" s="118"/>
      <c r="AJY132" s="118"/>
      <c r="AJZ132" s="118"/>
      <c r="AKA132" s="118"/>
      <c r="AKB132" s="118"/>
      <c r="AKC132" s="118"/>
      <c r="AKD132" s="118"/>
      <c r="AKE132" s="118"/>
      <c r="AKF132" s="118"/>
      <c r="AKG132" s="118"/>
      <c r="AKH132" s="118"/>
      <c r="AKI132" s="118"/>
      <c r="AKJ132" s="118"/>
      <c r="AKK132" s="118"/>
      <c r="AKL132" s="118"/>
      <c r="AKM132" s="118"/>
      <c r="AKN132" s="118"/>
      <c r="AKO132" s="118"/>
      <c r="AKP132" s="118"/>
      <c r="AKQ132" s="118"/>
      <c r="AKR132" s="118"/>
      <c r="AKS132" s="118"/>
      <c r="AKT132" s="118"/>
      <c r="AKU132" s="118"/>
      <c r="AKV132" s="118"/>
      <c r="AKW132" s="118"/>
      <c r="AKX132" s="118"/>
      <c r="AKY132" s="118"/>
      <c r="AKZ132" s="118"/>
      <c r="ALA132" s="118"/>
      <c r="ALB132" s="118"/>
      <c r="ALC132" s="118"/>
      <c r="ALD132" s="118"/>
      <c r="ALE132" s="118"/>
      <c r="ALF132" s="118"/>
      <c r="ALG132" s="118"/>
      <c r="ALH132" s="118"/>
      <c r="ALI132" s="118"/>
      <c r="ALJ132" s="118"/>
      <c r="ALK132" s="118"/>
      <c r="ALL132" s="118"/>
      <c r="ALM132" s="118"/>
      <c r="ALN132" s="118"/>
      <c r="ALO132" s="118"/>
      <c r="ALP132" s="118"/>
      <c r="ALQ132" s="118"/>
      <c r="ALR132" s="118"/>
      <c r="ALS132" s="118"/>
      <c r="ALT132" s="118"/>
      <c r="ALU132" s="118"/>
      <c r="ALV132" s="118"/>
      <c r="ALW132" s="118"/>
      <c r="ALX132" s="118"/>
      <c r="ALY132" s="118"/>
      <c r="ALZ132" s="118"/>
      <c r="AMA132" s="118"/>
      <c r="AMB132" s="118"/>
      <c r="AMC132" s="118"/>
      <c r="AMD132" s="118"/>
      <c r="AME132" s="118"/>
      <c r="AMF132" s="118"/>
      <c r="AMG132" s="118"/>
      <c r="AMH132" s="118"/>
      <c r="AMI132" s="118"/>
      <c r="AMJ132" s="118"/>
      <c r="AMK132" s="118"/>
      <c r="AML132" s="118"/>
      <c r="AMM132" s="118"/>
      <c r="AMN132" s="118"/>
      <c r="AMO132" s="118"/>
      <c r="AMP132" s="118"/>
      <c r="AMQ132" s="118"/>
      <c r="AMR132" s="118"/>
      <c r="AMS132" s="118"/>
      <c r="AMT132" s="118"/>
      <c r="AMU132" s="118"/>
      <c r="AMV132" s="118"/>
      <c r="AMW132" s="118"/>
      <c r="AMX132" s="118"/>
      <c r="AMY132" s="118"/>
      <c r="AMZ132" s="118"/>
      <c r="ANA132" s="118"/>
      <c r="ANB132" s="118"/>
      <c r="ANC132" s="118"/>
      <c r="AND132" s="118"/>
      <c r="ANE132" s="118"/>
      <c r="ANF132" s="118"/>
      <c r="ANG132" s="118"/>
      <c r="ANH132" s="118"/>
      <c r="ANI132" s="118"/>
      <c r="ANJ132" s="118"/>
      <c r="ANK132" s="118"/>
      <c r="ANL132" s="118"/>
      <c r="ANM132" s="118"/>
      <c r="ANN132" s="118"/>
      <c r="ANO132" s="118"/>
      <c r="ANP132" s="118"/>
      <c r="ANQ132" s="118"/>
      <c r="ANR132" s="118"/>
      <c r="ANS132" s="118"/>
      <c r="ANT132" s="118"/>
      <c r="ANU132" s="118"/>
      <c r="ANV132" s="118"/>
      <c r="ANW132" s="118"/>
      <c r="ANX132" s="118"/>
      <c r="ANY132" s="118"/>
      <c r="ANZ132" s="118"/>
      <c r="AOA132" s="118"/>
      <c r="AOB132" s="118"/>
      <c r="AOC132" s="118"/>
      <c r="AOD132" s="118"/>
      <c r="AOE132" s="118"/>
      <c r="AOF132" s="118"/>
      <c r="AOG132" s="118"/>
      <c r="AOH132" s="118"/>
      <c r="AOI132" s="118"/>
      <c r="AOJ132" s="118"/>
      <c r="AOK132" s="118"/>
      <c r="AOL132" s="118"/>
      <c r="AOM132" s="118"/>
      <c r="AON132" s="118"/>
      <c r="AOO132" s="118"/>
      <c r="AOP132" s="118"/>
      <c r="AOQ132" s="118"/>
      <c r="AOR132" s="118"/>
      <c r="AOS132" s="118"/>
      <c r="AOT132" s="118"/>
      <c r="AOU132" s="118"/>
      <c r="AOV132" s="118"/>
      <c r="AOW132" s="118"/>
      <c r="AOX132" s="118"/>
      <c r="AOY132" s="118"/>
      <c r="AOZ132" s="118"/>
      <c r="APA132" s="118"/>
      <c r="APB132" s="118"/>
      <c r="APC132" s="118"/>
      <c r="APD132" s="118"/>
      <c r="APE132" s="118"/>
      <c r="APF132" s="118"/>
      <c r="APG132" s="118"/>
      <c r="APH132" s="118"/>
      <c r="API132" s="118"/>
      <c r="APJ132" s="118"/>
      <c r="APK132" s="118"/>
      <c r="APL132" s="118"/>
      <c r="APM132" s="118"/>
      <c r="APN132" s="118"/>
      <c r="APO132" s="118"/>
      <c r="APP132" s="118"/>
      <c r="APQ132" s="118"/>
      <c r="APR132" s="118"/>
      <c r="APS132" s="118"/>
      <c r="APT132" s="118"/>
      <c r="APU132" s="118"/>
      <c r="APV132" s="118"/>
      <c r="APW132" s="118"/>
      <c r="APX132" s="118"/>
      <c r="APY132" s="118"/>
      <c r="APZ132" s="118"/>
      <c r="AQA132" s="118"/>
      <c r="AQB132" s="118"/>
      <c r="AQC132" s="118"/>
      <c r="AQD132" s="118"/>
      <c r="AQE132" s="118"/>
      <c r="AQF132" s="118"/>
      <c r="AQG132" s="118"/>
      <c r="AQH132" s="118"/>
      <c r="AQI132" s="118"/>
      <c r="AQJ132" s="118"/>
      <c r="AQK132" s="118"/>
      <c r="AQL132" s="118"/>
      <c r="AQM132" s="118"/>
      <c r="AQN132" s="118"/>
      <c r="AQO132" s="118"/>
      <c r="AQP132" s="118"/>
      <c r="AQQ132" s="118"/>
      <c r="AQR132" s="118"/>
      <c r="AQS132" s="118"/>
      <c r="AQT132" s="118"/>
      <c r="AQU132" s="118"/>
      <c r="AQV132" s="118"/>
      <c r="AQW132" s="118"/>
      <c r="AQX132" s="118"/>
      <c r="AQY132" s="118"/>
      <c r="AQZ132" s="118"/>
      <c r="ARA132" s="118"/>
      <c r="ARB132" s="118"/>
      <c r="ARC132" s="118"/>
      <c r="ARD132" s="118"/>
      <c r="ARE132" s="118"/>
      <c r="ARF132" s="118"/>
      <c r="ARG132" s="118"/>
      <c r="ARH132" s="118"/>
      <c r="ARI132" s="118"/>
      <c r="ARJ132" s="118"/>
      <c r="ARK132" s="118"/>
      <c r="ARL132" s="118"/>
      <c r="ARM132" s="118"/>
      <c r="ARN132" s="118"/>
      <c r="ARO132" s="118"/>
      <c r="ARP132" s="118"/>
      <c r="ARQ132" s="118"/>
      <c r="ARR132" s="118"/>
      <c r="ARS132" s="118"/>
      <c r="ART132" s="118"/>
      <c r="ARU132" s="118"/>
      <c r="ARV132" s="118"/>
      <c r="ARW132" s="118"/>
      <c r="ARX132" s="118"/>
      <c r="ARY132" s="118"/>
      <c r="ARZ132" s="118"/>
      <c r="ASA132" s="118"/>
      <c r="ASB132" s="118"/>
      <c r="ASC132" s="118"/>
      <c r="ASD132" s="118"/>
      <c r="ASE132" s="118"/>
      <c r="ASF132" s="118"/>
      <c r="ASG132" s="118"/>
      <c r="ASH132" s="118"/>
      <c r="ASI132" s="118"/>
      <c r="ASJ132" s="118"/>
      <c r="ASK132" s="118"/>
      <c r="ASL132" s="118"/>
      <c r="ASM132" s="118"/>
      <c r="ASN132" s="118"/>
      <c r="ASO132" s="118"/>
      <c r="ASP132" s="118"/>
      <c r="ASQ132" s="118"/>
      <c r="ASR132" s="118"/>
      <c r="ASS132" s="118"/>
      <c r="AST132" s="118"/>
      <c r="ASU132" s="118"/>
      <c r="ASV132" s="118"/>
      <c r="ASW132" s="118"/>
      <c r="ASX132" s="118"/>
      <c r="ASY132" s="118"/>
      <c r="ASZ132" s="118"/>
      <c r="ATA132" s="118"/>
      <c r="ATB132" s="118"/>
      <c r="ATC132" s="118"/>
      <c r="ATD132" s="118"/>
      <c r="ATE132" s="118"/>
      <c r="ATF132" s="118"/>
      <c r="ATG132" s="118"/>
      <c r="ATH132" s="118"/>
      <c r="ATI132" s="118"/>
      <c r="ATJ132" s="118"/>
      <c r="ATK132" s="118"/>
      <c r="ATL132" s="118"/>
      <c r="ATM132" s="118"/>
      <c r="ATN132" s="118"/>
      <c r="ATO132" s="118"/>
      <c r="ATP132" s="118"/>
      <c r="ATQ132" s="118"/>
      <c r="ATR132" s="118"/>
      <c r="ATS132" s="118"/>
      <c r="ATT132" s="118"/>
      <c r="ATU132" s="118"/>
      <c r="ATV132" s="118"/>
      <c r="ATW132" s="118"/>
      <c r="ATX132" s="118"/>
      <c r="ATY132" s="118"/>
      <c r="ATZ132" s="118"/>
      <c r="AUA132" s="118"/>
      <c r="AUB132" s="118"/>
      <c r="AUC132" s="118"/>
      <c r="AUD132" s="118"/>
      <c r="AUE132" s="118"/>
      <c r="AUF132" s="118"/>
      <c r="AUG132" s="118"/>
      <c r="AUH132" s="118"/>
      <c r="AUI132" s="118"/>
      <c r="AUJ132" s="118"/>
      <c r="AUK132" s="118"/>
      <c r="AUL132" s="118"/>
      <c r="AUM132" s="118"/>
      <c r="AUN132" s="118"/>
      <c r="AUO132" s="118"/>
      <c r="AUP132" s="118"/>
      <c r="AUQ132" s="118"/>
      <c r="AUR132" s="118"/>
      <c r="AUS132" s="118"/>
      <c r="AUT132" s="118"/>
      <c r="AUU132" s="118"/>
      <c r="AUV132" s="118"/>
      <c r="AUW132" s="118"/>
      <c r="AUX132" s="118"/>
      <c r="AUY132" s="118"/>
      <c r="AUZ132" s="118"/>
      <c r="AVA132" s="118"/>
      <c r="AVB132" s="118"/>
      <c r="AVC132" s="118"/>
      <c r="AVD132" s="118"/>
      <c r="AVE132" s="118"/>
      <c r="AVF132" s="118"/>
      <c r="AVG132" s="118"/>
      <c r="AVH132" s="118"/>
      <c r="AVI132" s="118"/>
      <c r="AVJ132" s="118"/>
      <c r="AVK132" s="118"/>
      <c r="AVL132" s="118"/>
      <c r="AVM132" s="118"/>
      <c r="AVN132" s="118"/>
      <c r="AVO132" s="118"/>
      <c r="AVP132" s="118"/>
      <c r="AVQ132" s="118"/>
      <c r="AVR132" s="118"/>
      <c r="AVS132" s="118"/>
      <c r="AVT132" s="118"/>
      <c r="AVU132" s="118"/>
      <c r="AVV132" s="118"/>
      <c r="AVW132" s="118"/>
      <c r="AVX132" s="118"/>
      <c r="AVY132" s="118"/>
      <c r="AVZ132" s="118"/>
      <c r="AWA132" s="118"/>
      <c r="AWB132" s="118"/>
      <c r="AWC132" s="118"/>
      <c r="AWD132" s="118"/>
      <c r="AWE132" s="118"/>
      <c r="AWF132" s="118"/>
      <c r="AWG132" s="118"/>
      <c r="AWH132" s="118"/>
      <c r="AWI132" s="118"/>
      <c r="AWJ132" s="118"/>
      <c r="AWK132" s="118"/>
      <c r="AWL132" s="118"/>
      <c r="AWM132" s="118"/>
      <c r="AWN132" s="118"/>
      <c r="AWO132" s="118"/>
      <c r="AWP132" s="118"/>
      <c r="AWQ132" s="118"/>
      <c r="AWR132" s="118"/>
      <c r="AWS132" s="118"/>
      <c r="AWT132" s="118"/>
      <c r="AWU132" s="118"/>
      <c r="AWV132" s="118"/>
      <c r="AWW132" s="118"/>
      <c r="AWX132" s="118"/>
      <c r="AWY132" s="118"/>
      <c r="AWZ132" s="118"/>
      <c r="AXA132" s="118"/>
      <c r="AXB132" s="118"/>
      <c r="AXC132" s="118"/>
      <c r="AXD132" s="118"/>
      <c r="AXE132" s="118"/>
      <c r="AXF132" s="118"/>
      <c r="AXG132" s="118"/>
      <c r="AXH132" s="118"/>
      <c r="AXI132" s="118"/>
      <c r="AXJ132" s="118"/>
      <c r="AXK132" s="118"/>
      <c r="AXL132" s="118"/>
      <c r="AXM132" s="118"/>
      <c r="AXN132" s="118"/>
      <c r="AXO132" s="118"/>
      <c r="AXP132" s="118"/>
      <c r="AXQ132" s="118"/>
      <c r="AXR132" s="118"/>
      <c r="AXS132" s="118"/>
      <c r="AXT132" s="118"/>
      <c r="AXU132" s="118"/>
      <c r="AXV132" s="118"/>
      <c r="AXW132" s="118"/>
      <c r="AXX132" s="118"/>
      <c r="AXY132" s="118"/>
      <c r="AXZ132" s="118"/>
      <c r="AYA132" s="118"/>
      <c r="AYB132" s="118"/>
      <c r="AYC132" s="118"/>
      <c r="AYD132" s="118"/>
      <c r="AYE132" s="118"/>
      <c r="AYF132" s="118"/>
      <c r="AYG132" s="118"/>
      <c r="AYH132" s="118"/>
      <c r="AYI132" s="118"/>
      <c r="AYJ132" s="118"/>
      <c r="AYK132" s="118"/>
      <c r="AYL132" s="118"/>
      <c r="AYM132" s="118"/>
      <c r="AYN132" s="118"/>
      <c r="AYO132" s="118"/>
      <c r="AYP132" s="118"/>
      <c r="AYQ132" s="118"/>
      <c r="AYR132" s="118"/>
      <c r="AYS132" s="118"/>
      <c r="AYT132" s="118"/>
      <c r="AYU132" s="118"/>
      <c r="AYV132" s="118"/>
      <c r="AYW132" s="118"/>
      <c r="AYX132" s="118"/>
      <c r="AYY132" s="118"/>
      <c r="AYZ132" s="118"/>
      <c r="AZA132" s="118"/>
      <c r="AZB132" s="118"/>
      <c r="AZC132" s="118"/>
      <c r="AZD132" s="118"/>
      <c r="AZE132" s="118"/>
      <c r="AZF132" s="118"/>
      <c r="AZG132" s="118"/>
      <c r="AZH132" s="118"/>
      <c r="AZI132" s="118"/>
      <c r="AZJ132" s="118"/>
      <c r="AZK132" s="118"/>
      <c r="AZL132" s="118"/>
      <c r="AZM132" s="118"/>
      <c r="AZN132" s="118"/>
      <c r="AZO132" s="118"/>
      <c r="AZP132" s="118"/>
      <c r="AZQ132" s="118"/>
      <c r="AZR132" s="118"/>
      <c r="AZS132" s="118"/>
      <c r="AZT132" s="118"/>
      <c r="AZU132" s="118"/>
      <c r="AZV132" s="118"/>
      <c r="AZW132" s="118"/>
      <c r="AZX132" s="118"/>
      <c r="AZY132" s="118"/>
      <c r="AZZ132" s="118"/>
      <c r="BAA132" s="118"/>
      <c r="BAB132" s="118"/>
      <c r="BAC132" s="118"/>
      <c r="BAD132" s="118"/>
      <c r="BAE132" s="118"/>
      <c r="BAF132" s="118"/>
      <c r="BAG132" s="118"/>
      <c r="BAH132" s="118"/>
      <c r="BAI132" s="118"/>
      <c r="BAJ132" s="118"/>
      <c r="BAK132" s="118"/>
      <c r="BAL132" s="118"/>
      <c r="BAM132" s="118"/>
      <c r="BAN132" s="118"/>
      <c r="BAO132" s="118"/>
      <c r="BAP132" s="118"/>
      <c r="BAQ132" s="118"/>
      <c r="BAR132" s="118"/>
      <c r="BAS132" s="118"/>
      <c r="BAT132" s="118"/>
      <c r="BAU132" s="118"/>
      <c r="BAV132" s="118"/>
      <c r="BAW132" s="118"/>
      <c r="BAX132" s="118"/>
      <c r="BAY132" s="118"/>
      <c r="BAZ132" s="118"/>
      <c r="BBA132" s="118"/>
      <c r="BBB132" s="118"/>
      <c r="BBC132" s="118"/>
      <c r="BBD132" s="118"/>
      <c r="BBE132" s="118"/>
      <c r="BBF132" s="118"/>
      <c r="BBG132" s="118"/>
      <c r="BBH132" s="118"/>
      <c r="BBI132" s="118"/>
      <c r="BBJ132" s="118"/>
      <c r="BBK132" s="118"/>
      <c r="BBL132" s="118"/>
      <c r="BBM132" s="118"/>
      <c r="BBN132" s="118"/>
      <c r="BBO132" s="118"/>
      <c r="BBP132" s="118"/>
      <c r="BBQ132" s="118"/>
      <c r="BBR132" s="118"/>
      <c r="BBS132" s="118"/>
      <c r="BBT132" s="118"/>
      <c r="BBU132" s="118"/>
      <c r="BBV132" s="118"/>
      <c r="BBW132" s="118"/>
      <c r="BBX132" s="118"/>
      <c r="BBY132" s="118"/>
      <c r="BBZ132" s="118"/>
      <c r="BCA132" s="118"/>
      <c r="BCB132" s="118"/>
      <c r="BCC132" s="118"/>
      <c r="BCD132" s="118"/>
      <c r="BCE132" s="118"/>
      <c r="BCF132" s="118"/>
      <c r="BCG132" s="118"/>
      <c r="BCH132" s="118"/>
      <c r="BCI132" s="118"/>
      <c r="BCJ132" s="118"/>
      <c r="BCK132" s="118"/>
      <c r="BCL132" s="118"/>
      <c r="BCM132" s="118"/>
      <c r="BCN132" s="118"/>
      <c r="BCO132" s="118"/>
      <c r="BCP132" s="118"/>
      <c r="BCQ132" s="118"/>
      <c r="BCR132" s="118"/>
      <c r="BCS132" s="118"/>
      <c r="BCT132" s="118"/>
      <c r="BCU132" s="118"/>
      <c r="BCV132" s="118"/>
      <c r="BCW132" s="118"/>
      <c r="BCX132" s="118"/>
      <c r="BCY132" s="118"/>
      <c r="BCZ132" s="118"/>
      <c r="BDA132" s="118"/>
      <c r="BDB132" s="118"/>
      <c r="BDC132" s="118"/>
      <c r="BDD132" s="118"/>
      <c r="BDE132" s="118"/>
      <c r="BDF132" s="118"/>
      <c r="BDG132" s="118"/>
      <c r="BDH132" s="118"/>
      <c r="BDI132" s="118"/>
      <c r="BDJ132" s="118"/>
      <c r="BDK132" s="118"/>
      <c r="BDL132" s="118"/>
      <c r="BDM132" s="118"/>
      <c r="BDN132" s="118"/>
      <c r="BDO132" s="118"/>
      <c r="BDP132" s="118"/>
      <c r="BDQ132" s="118"/>
      <c r="BDR132" s="118"/>
      <c r="BDS132" s="118"/>
      <c r="BDT132" s="118"/>
      <c r="BDU132" s="118"/>
      <c r="BDV132" s="118"/>
      <c r="BDW132" s="118"/>
      <c r="BDX132" s="118"/>
      <c r="BDY132" s="118"/>
      <c r="BDZ132" s="118"/>
      <c r="BEA132" s="118"/>
      <c r="BEB132" s="118"/>
      <c r="BEC132" s="118"/>
      <c r="BED132" s="118"/>
      <c r="BEE132" s="118"/>
      <c r="BEF132" s="118"/>
      <c r="BEG132" s="118"/>
      <c r="BEH132" s="118"/>
      <c r="BEI132" s="118"/>
      <c r="BEJ132" s="118"/>
      <c r="BEK132" s="118"/>
      <c r="BEL132" s="118"/>
      <c r="BEM132" s="118"/>
      <c r="BEN132" s="118"/>
      <c r="BEO132" s="118"/>
      <c r="BEP132" s="118"/>
      <c r="BEQ132" s="118"/>
      <c r="BER132" s="118"/>
      <c r="BES132" s="118"/>
      <c r="BET132" s="118"/>
      <c r="BEU132" s="118"/>
      <c r="BEV132" s="118"/>
      <c r="BEW132" s="118"/>
      <c r="BEX132" s="118"/>
      <c r="BEY132" s="118"/>
      <c r="BEZ132" s="118"/>
      <c r="BFA132" s="118"/>
      <c r="BFB132" s="118"/>
      <c r="BFC132" s="118"/>
      <c r="BFD132" s="118"/>
      <c r="BFE132" s="118"/>
      <c r="BFF132" s="118"/>
      <c r="BFG132" s="118"/>
      <c r="BFH132" s="118"/>
      <c r="BFI132" s="118"/>
      <c r="BFJ132" s="118"/>
      <c r="BFK132" s="118"/>
      <c r="BFL132" s="118"/>
      <c r="BFM132" s="118"/>
      <c r="BFN132" s="118"/>
      <c r="BFO132" s="118"/>
      <c r="BFP132" s="118"/>
      <c r="BFQ132" s="118"/>
      <c r="BFR132" s="118"/>
      <c r="BFS132" s="118"/>
      <c r="BFT132" s="118"/>
      <c r="BFU132" s="118"/>
      <c r="BFV132" s="118"/>
      <c r="BFW132" s="118"/>
      <c r="BFX132" s="118"/>
      <c r="BFY132" s="118"/>
      <c r="BFZ132" s="118"/>
      <c r="BGA132" s="118"/>
      <c r="BGB132" s="118"/>
      <c r="BGC132" s="118"/>
      <c r="BGD132" s="118"/>
      <c r="BGE132" s="118"/>
      <c r="BGF132" s="118"/>
      <c r="BGG132" s="118"/>
      <c r="BGH132" s="118"/>
      <c r="BGI132" s="118"/>
      <c r="BGJ132" s="118"/>
      <c r="BGK132" s="118"/>
      <c r="BGL132" s="118"/>
      <c r="BGM132" s="118"/>
      <c r="BGN132" s="118"/>
      <c r="BGO132" s="118"/>
      <c r="BGP132" s="118"/>
      <c r="BGQ132" s="118"/>
      <c r="BGR132" s="118"/>
      <c r="BGS132" s="118"/>
      <c r="BGT132" s="118"/>
      <c r="BGU132" s="118"/>
      <c r="BGV132" s="118"/>
      <c r="BGW132" s="118"/>
      <c r="BGX132" s="118"/>
      <c r="BGY132" s="118"/>
      <c r="BGZ132" s="118"/>
      <c r="BHA132" s="118"/>
      <c r="BHB132" s="118"/>
      <c r="BHC132" s="118"/>
      <c r="BHD132" s="118"/>
      <c r="BHE132" s="118"/>
      <c r="BHF132" s="118"/>
      <c r="BHG132" s="118"/>
      <c r="BHH132" s="118"/>
      <c r="BHI132" s="118"/>
      <c r="BHJ132" s="118"/>
      <c r="BHK132" s="118"/>
      <c r="BHL132" s="118"/>
      <c r="BHM132" s="118"/>
      <c r="BHN132" s="118"/>
      <c r="BHO132" s="118"/>
      <c r="BHP132" s="118"/>
      <c r="BHQ132" s="118"/>
      <c r="BHR132" s="118"/>
      <c r="BHS132" s="118"/>
      <c r="BHT132" s="118"/>
      <c r="BHU132" s="118"/>
      <c r="BHV132" s="118"/>
      <c r="BHW132" s="118"/>
      <c r="BHX132" s="118"/>
      <c r="BHY132" s="118"/>
      <c r="BHZ132" s="118"/>
      <c r="BIA132" s="118"/>
      <c r="BIB132" s="118"/>
      <c r="BIC132" s="118"/>
      <c r="BID132" s="118"/>
      <c r="BIE132" s="118"/>
      <c r="BIF132" s="118"/>
      <c r="BIG132" s="118"/>
      <c r="BIH132" s="118"/>
      <c r="BII132" s="118"/>
      <c r="BIJ132" s="118"/>
      <c r="BIK132" s="118"/>
      <c r="BIL132" s="118"/>
      <c r="BIM132" s="118"/>
      <c r="BIN132" s="118"/>
      <c r="BIO132" s="118"/>
      <c r="BIP132" s="118"/>
      <c r="BIQ132" s="118"/>
      <c r="BIR132" s="118"/>
      <c r="BIS132" s="118"/>
      <c r="BIT132" s="118"/>
      <c r="BIU132" s="118"/>
      <c r="BIV132" s="118"/>
      <c r="BIW132" s="118"/>
      <c r="BIX132" s="118"/>
      <c r="BIY132" s="118"/>
      <c r="BIZ132" s="118"/>
      <c r="BJA132" s="118"/>
      <c r="BJB132" s="118"/>
      <c r="BJC132" s="118"/>
      <c r="BJD132" s="118"/>
      <c r="BJE132" s="118"/>
      <c r="BJF132" s="118"/>
      <c r="BJG132" s="118"/>
      <c r="BJH132" s="118"/>
      <c r="BJI132" s="118"/>
      <c r="BJJ132" s="118"/>
      <c r="BJK132" s="118"/>
      <c r="BJL132" s="118"/>
      <c r="BJM132" s="118"/>
      <c r="BJN132" s="118"/>
      <c r="BJO132" s="118"/>
      <c r="BJP132" s="118"/>
      <c r="BJQ132" s="118"/>
      <c r="BJR132" s="118"/>
      <c r="BJS132" s="118"/>
      <c r="BJT132" s="118"/>
      <c r="BJU132" s="118"/>
      <c r="BJV132" s="118"/>
      <c r="BJW132" s="118"/>
      <c r="BJX132" s="118"/>
      <c r="BJY132" s="118"/>
      <c r="BJZ132" s="118"/>
      <c r="BKA132" s="118"/>
      <c r="BKB132" s="118"/>
      <c r="BKC132" s="118"/>
      <c r="BKD132" s="118"/>
      <c r="BKE132" s="118"/>
      <c r="BKF132" s="118"/>
      <c r="BKG132" s="118"/>
      <c r="BKH132" s="118"/>
      <c r="BKI132" s="118"/>
      <c r="BKJ132" s="118"/>
      <c r="BKK132" s="118"/>
      <c r="BKL132" s="118"/>
      <c r="BKM132" s="118"/>
      <c r="BKN132" s="118"/>
      <c r="BKO132" s="118"/>
      <c r="BKP132" s="118"/>
      <c r="BKQ132" s="118"/>
      <c r="BKR132" s="118"/>
      <c r="BKS132" s="118"/>
      <c r="BKT132" s="118"/>
      <c r="BKU132" s="118"/>
      <c r="BKV132" s="118"/>
      <c r="BKW132" s="118"/>
      <c r="BKX132" s="118"/>
      <c r="BKY132" s="118"/>
      <c r="BKZ132" s="118"/>
      <c r="BLA132" s="118"/>
      <c r="BLB132" s="118"/>
      <c r="BLC132" s="118"/>
      <c r="BLD132" s="118"/>
      <c r="BLE132" s="118"/>
      <c r="BLF132" s="118"/>
      <c r="BLG132" s="118"/>
      <c r="BLH132" s="118"/>
      <c r="BLI132" s="118"/>
      <c r="BLJ132" s="118"/>
      <c r="BLK132" s="118"/>
      <c r="BLL132" s="118"/>
      <c r="BLM132" s="118"/>
      <c r="BLN132" s="118"/>
      <c r="BLO132" s="118"/>
      <c r="BLP132" s="118"/>
      <c r="BLQ132" s="118"/>
      <c r="BLR132" s="118"/>
      <c r="BLS132" s="118"/>
      <c r="BLT132" s="118"/>
      <c r="BLU132" s="118"/>
      <c r="BLV132" s="118"/>
      <c r="BLW132" s="118"/>
      <c r="BLX132" s="118"/>
      <c r="BLY132" s="118"/>
      <c r="BLZ132" s="118"/>
      <c r="BMA132" s="118"/>
      <c r="BMB132" s="118"/>
      <c r="BMC132" s="118"/>
      <c r="BMD132" s="118"/>
      <c r="BME132" s="118"/>
      <c r="BMF132" s="118"/>
      <c r="BMG132" s="118"/>
      <c r="BMH132" s="118"/>
      <c r="BMI132" s="118"/>
      <c r="BMJ132" s="118"/>
      <c r="BMK132" s="118"/>
      <c r="BML132" s="118"/>
      <c r="BMM132" s="118"/>
      <c r="BMN132" s="118"/>
      <c r="BMO132" s="118"/>
      <c r="BMP132" s="118"/>
      <c r="BMQ132" s="118"/>
      <c r="BMR132" s="118"/>
      <c r="BMS132" s="118"/>
      <c r="BMT132" s="118"/>
      <c r="BMU132" s="118"/>
      <c r="BMV132" s="118"/>
      <c r="BMW132" s="118"/>
      <c r="BMX132" s="118"/>
      <c r="BMY132" s="118"/>
      <c r="BMZ132" s="118"/>
      <c r="BNA132" s="118"/>
      <c r="BNB132" s="118"/>
      <c r="BNC132" s="118"/>
      <c r="BND132" s="118"/>
      <c r="BNE132" s="118"/>
      <c r="BNF132" s="118"/>
      <c r="BNG132" s="118"/>
      <c r="BNH132" s="118"/>
      <c r="BNI132" s="118"/>
      <c r="BNJ132" s="118"/>
      <c r="BNK132" s="118"/>
      <c r="BNL132" s="118"/>
      <c r="BNM132" s="118"/>
      <c r="BNN132" s="118"/>
      <c r="BNO132" s="118"/>
      <c r="BNP132" s="118"/>
      <c r="BNQ132" s="118"/>
      <c r="BNR132" s="118"/>
      <c r="BNS132" s="118"/>
      <c r="BNT132" s="118"/>
      <c r="BNU132" s="118"/>
      <c r="BNV132" s="118"/>
      <c r="BNW132" s="118"/>
      <c r="BNX132" s="118"/>
      <c r="BNY132" s="118"/>
      <c r="BNZ132" s="118"/>
      <c r="BOA132" s="118"/>
      <c r="BOB132" s="118"/>
      <c r="BOC132" s="118"/>
      <c r="BOD132" s="118"/>
      <c r="BOE132" s="118"/>
      <c r="BOF132" s="118"/>
      <c r="BOG132" s="118"/>
      <c r="BOH132" s="118"/>
      <c r="BOI132" s="118"/>
      <c r="BOJ132" s="118"/>
      <c r="BOK132" s="118"/>
      <c r="BOL132" s="118"/>
      <c r="BOM132" s="118"/>
      <c r="BON132" s="118"/>
      <c r="BOO132" s="118"/>
      <c r="BOP132" s="118"/>
      <c r="BOQ132" s="118"/>
      <c r="BOR132" s="118"/>
      <c r="BOS132" s="118"/>
      <c r="BOT132" s="118"/>
      <c r="BOU132" s="118"/>
      <c r="BOV132" s="118"/>
      <c r="BOW132" s="118"/>
      <c r="BOX132" s="118"/>
      <c r="BOY132" s="118"/>
      <c r="BOZ132" s="118"/>
      <c r="BPA132" s="118"/>
      <c r="BPB132" s="118"/>
      <c r="BPC132" s="118"/>
      <c r="BPD132" s="118"/>
      <c r="BPE132" s="118"/>
      <c r="BPF132" s="118"/>
      <c r="BPG132" s="118"/>
      <c r="BPH132" s="118"/>
      <c r="BPI132" s="118"/>
      <c r="BPJ132" s="118"/>
      <c r="BPK132" s="118"/>
      <c r="BPL132" s="118"/>
      <c r="BPM132" s="118"/>
      <c r="BPN132" s="118"/>
      <c r="BPO132" s="118"/>
      <c r="BPP132" s="118"/>
      <c r="BPQ132" s="118"/>
      <c r="BPR132" s="118"/>
      <c r="BPS132" s="118"/>
      <c r="BPT132" s="118"/>
      <c r="BPU132" s="118"/>
      <c r="BPV132" s="118"/>
      <c r="BPW132" s="118"/>
      <c r="BPX132" s="118"/>
      <c r="BPY132" s="118"/>
      <c r="BPZ132" s="118"/>
      <c r="BQA132" s="118"/>
      <c r="BQB132" s="118"/>
      <c r="BQC132" s="118"/>
      <c r="BQD132" s="118"/>
      <c r="BQE132" s="118"/>
      <c r="BQF132" s="118"/>
      <c r="BQG132" s="118"/>
      <c r="BQH132" s="118"/>
      <c r="BQI132" s="118"/>
      <c r="BQJ132" s="118"/>
      <c r="BQK132" s="118"/>
      <c r="BQL132" s="118"/>
      <c r="BQM132" s="118"/>
      <c r="BQN132" s="118"/>
      <c r="BQO132" s="118"/>
      <c r="BQP132" s="118"/>
      <c r="BQQ132" s="118"/>
      <c r="BQR132" s="118"/>
      <c r="BQS132" s="118"/>
      <c r="BQT132" s="118"/>
      <c r="BQU132" s="118"/>
      <c r="BQV132" s="118"/>
      <c r="BQW132" s="118"/>
      <c r="BQX132" s="118"/>
      <c r="BQY132" s="118"/>
      <c r="BQZ132" s="118"/>
      <c r="BRA132" s="118"/>
      <c r="BRB132" s="118"/>
      <c r="BRC132" s="118"/>
      <c r="BRD132" s="118"/>
      <c r="BRE132" s="118"/>
      <c r="BRF132" s="118"/>
      <c r="BRG132" s="118"/>
      <c r="BRH132" s="118"/>
      <c r="BRI132" s="118"/>
      <c r="BRJ132" s="118"/>
      <c r="BRK132" s="118"/>
      <c r="BRL132" s="118"/>
      <c r="BRM132" s="118"/>
      <c r="BRN132" s="118"/>
      <c r="BRO132" s="118"/>
      <c r="BRP132" s="118"/>
      <c r="BRQ132" s="118"/>
      <c r="BRR132" s="118"/>
      <c r="BRS132" s="118"/>
      <c r="BRT132" s="118"/>
      <c r="BRU132" s="118"/>
      <c r="BRV132" s="118"/>
      <c r="BRW132" s="118"/>
      <c r="BRX132" s="118"/>
      <c r="BRY132" s="118"/>
      <c r="BRZ132" s="118"/>
      <c r="BSA132" s="118"/>
      <c r="BSB132" s="118"/>
      <c r="BSC132" s="118"/>
      <c r="BSD132" s="118"/>
      <c r="BSE132" s="118"/>
      <c r="BSF132" s="118"/>
      <c r="BSG132" s="118"/>
      <c r="BSH132" s="118"/>
      <c r="BSI132" s="118"/>
      <c r="BSJ132" s="118"/>
      <c r="BSK132" s="118"/>
      <c r="BSL132" s="118"/>
      <c r="BSM132" s="118"/>
      <c r="BSN132" s="118"/>
      <c r="BSO132" s="118"/>
      <c r="BSP132" s="118"/>
      <c r="BSQ132" s="118"/>
      <c r="BSR132" s="118"/>
      <c r="BSS132" s="118"/>
      <c r="BST132" s="118"/>
      <c r="BSU132" s="118"/>
      <c r="BSV132" s="118"/>
      <c r="BSW132" s="118"/>
      <c r="BSX132" s="118"/>
      <c r="BSY132" s="118"/>
      <c r="BSZ132" s="118"/>
      <c r="BTA132" s="118"/>
      <c r="BTB132" s="118"/>
      <c r="BTC132" s="118"/>
      <c r="BTD132" s="118"/>
      <c r="BTE132" s="118"/>
      <c r="BTF132" s="118"/>
      <c r="BTG132" s="118"/>
      <c r="BTH132" s="118"/>
      <c r="BTI132" s="118"/>
      <c r="BTJ132" s="118"/>
      <c r="BTK132" s="118"/>
      <c r="BTL132" s="118"/>
      <c r="BTM132" s="118"/>
      <c r="BTN132" s="118"/>
      <c r="BTO132" s="118"/>
      <c r="BTP132" s="118"/>
      <c r="BTQ132" s="118"/>
      <c r="BTR132" s="118"/>
      <c r="BTS132" s="118"/>
      <c r="BTT132" s="118"/>
      <c r="BTU132" s="118"/>
      <c r="BTV132" s="118"/>
      <c r="BTW132" s="118"/>
      <c r="BTX132" s="118"/>
      <c r="BTY132" s="118"/>
      <c r="BTZ132" s="118"/>
      <c r="BUA132" s="118"/>
      <c r="BUB132" s="118"/>
      <c r="BUC132" s="118"/>
      <c r="BUD132" s="118"/>
      <c r="BUE132" s="118"/>
      <c r="BUF132" s="118"/>
      <c r="BUG132" s="118"/>
      <c r="BUH132" s="118"/>
      <c r="BUI132" s="118"/>
      <c r="BUJ132" s="118"/>
      <c r="BUK132" s="118"/>
      <c r="BUL132" s="118"/>
      <c r="BUM132" s="118"/>
      <c r="BUN132" s="118"/>
      <c r="BUO132" s="118"/>
      <c r="BUP132" s="118"/>
      <c r="BUQ132" s="118"/>
      <c r="BUR132" s="118"/>
      <c r="BUS132" s="118"/>
      <c r="BUT132" s="118"/>
      <c r="BUU132" s="118"/>
      <c r="BUV132" s="118"/>
      <c r="BUW132" s="118"/>
      <c r="BUX132" s="118"/>
      <c r="BUY132" s="118"/>
      <c r="BUZ132" s="118"/>
      <c r="BVA132" s="118"/>
      <c r="BVB132" s="118"/>
      <c r="BVC132" s="118"/>
      <c r="BVD132" s="118"/>
      <c r="BVE132" s="118"/>
      <c r="BVF132" s="118"/>
      <c r="BVG132" s="118"/>
      <c r="BVH132" s="118"/>
      <c r="BVI132" s="118"/>
      <c r="BVJ132" s="118"/>
      <c r="BVK132" s="118"/>
      <c r="BVL132" s="118"/>
      <c r="BVM132" s="118"/>
      <c r="BVN132" s="118"/>
      <c r="BVO132" s="118"/>
      <c r="BVP132" s="118"/>
      <c r="BVQ132" s="118"/>
      <c r="BVR132" s="118"/>
      <c r="BVS132" s="118"/>
      <c r="BVT132" s="118"/>
      <c r="BVU132" s="118"/>
      <c r="BVV132" s="118"/>
      <c r="BVW132" s="118"/>
      <c r="BVX132" s="118"/>
      <c r="BVY132" s="118"/>
      <c r="BVZ132" s="118"/>
      <c r="BWA132" s="118"/>
      <c r="BWB132" s="118"/>
      <c r="BWC132" s="118"/>
      <c r="BWD132" s="118"/>
      <c r="BWE132" s="118"/>
      <c r="BWF132" s="118"/>
      <c r="BWG132" s="118"/>
      <c r="BWH132" s="118"/>
      <c r="BWI132" s="118"/>
      <c r="BWJ132" s="118"/>
      <c r="BWK132" s="118"/>
      <c r="BWL132" s="118"/>
      <c r="BWM132" s="118"/>
      <c r="BWN132" s="118"/>
      <c r="BWO132" s="118"/>
      <c r="BWP132" s="118"/>
      <c r="BWQ132" s="118"/>
      <c r="BWR132" s="118"/>
      <c r="BWS132" s="118"/>
      <c r="BWT132" s="118"/>
      <c r="BWU132" s="118"/>
      <c r="BWV132" s="118"/>
      <c r="BWW132" s="118"/>
      <c r="BWX132" s="118"/>
      <c r="BWY132" s="118"/>
      <c r="BWZ132" s="118"/>
      <c r="BXA132" s="118"/>
      <c r="BXB132" s="118"/>
      <c r="BXC132" s="118"/>
      <c r="BXD132" s="118"/>
      <c r="BXE132" s="118"/>
      <c r="BXF132" s="118"/>
      <c r="BXG132" s="118"/>
      <c r="BXH132" s="118"/>
      <c r="BXI132" s="118"/>
      <c r="BXJ132" s="118"/>
      <c r="BXK132" s="118"/>
      <c r="BXL132" s="118"/>
      <c r="BXM132" s="118"/>
      <c r="BXN132" s="118"/>
      <c r="BXO132" s="118"/>
      <c r="BXP132" s="118"/>
      <c r="BXQ132" s="118"/>
      <c r="BXR132" s="118"/>
      <c r="BXS132" s="118"/>
      <c r="BXT132" s="118"/>
      <c r="BXU132" s="118"/>
      <c r="BXV132" s="118"/>
      <c r="BXW132" s="118"/>
      <c r="BXX132" s="118"/>
      <c r="BXY132" s="118"/>
      <c r="BXZ132" s="118"/>
      <c r="BYA132" s="118"/>
      <c r="BYB132" s="118"/>
      <c r="BYC132" s="118"/>
      <c r="BYD132" s="118"/>
      <c r="BYE132" s="118"/>
      <c r="BYF132" s="118"/>
      <c r="BYG132" s="118"/>
      <c r="BYH132" s="118"/>
      <c r="BYI132" s="118"/>
      <c r="BYJ132" s="118"/>
      <c r="BYK132" s="118"/>
      <c r="BYL132" s="118"/>
      <c r="BYM132" s="118"/>
      <c r="BYN132" s="118"/>
      <c r="BYO132" s="118"/>
      <c r="BYP132" s="118"/>
      <c r="BYQ132" s="118"/>
      <c r="BYR132" s="118"/>
      <c r="BYS132" s="118"/>
      <c r="BYT132" s="118"/>
      <c r="BYU132" s="118"/>
      <c r="BYV132" s="118"/>
      <c r="BYW132" s="118"/>
      <c r="BYX132" s="118"/>
      <c r="BYY132" s="118"/>
      <c r="BYZ132" s="118"/>
      <c r="BZA132" s="118"/>
      <c r="BZB132" s="118"/>
      <c r="BZC132" s="118"/>
      <c r="BZD132" s="118"/>
      <c r="BZE132" s="118"/>
      <c r="BZF132" s="118"/>
      <c r="BZG132" s="118"/>
      <c r="BZH132" s="118"/>
      <c r="BZI132" s="118"/>
      <c r="BZJ132" s="118"/>
      <c r="BZK132" s="118"/>
      <c r="BZL132" s="118"/>
      <c r="BZM132" s="118"/>
      <c r="BZN132" s="118"/>
      <c r="BZO132" s="118"/>
      <c r="BZP132" s="118"/>
      <c r="BZQ132" s="118"/>
      <c r="BZR132" s="118"/>
      <c r="BZS132" s="118"/>
      <c r="BZT132" s="118"/>
      <c r="BZU132" s="118"/>
      <c r="BZV132" s="118"/>
      <c r="BZW132" s="118"/>
      <c r="BZX132" s="118"/>
      <c r="BZY132" s="118"/>
      <c r="BZZ132" s="118"/>
      <c r="CAA132" s="118"/>
      <c r="CAB132" s="118"/>
      <c r="CAC132" s="118"/>
      <c r="CAD132" s="118"/>
      <c r="CAE132" s="118"/>
      <c r="CAF132" s="118"/>
      <c r="CAG132" s="118"/>
      <c r="CAH132" s="118"/>
      <c r="CAI132" s="118"/>
      <c r="CAJ132" s="118"/>
      <c r="CAK132" s="118"/>
      <c r="CAL132" s="118"/>
      <c r="CAM132" s="118"/>
      <c r="CAN132" s="118"/>
      <c r="CAO132" s="118"/>
      <c r="CAP132" s="118"/>
      <c r="CAQ132" s="118"/>
      <c r="CAR132" s="118"/>
      <c r="CAS132" s="118"/>
      <c r="CAT132" s="118"/>
      <c r="CAU132" s="118"/>
      <c r="CAV132" s="118"/>
      <c r="CAW132" s="118"/>
      <c r="CAX132" s="118"/>
      <c r="CAY132" s="118"/>
      <c r="CAZ132" s="118"/>
      <c r="CBA132" s="118"/>
      <c r="CBB132" s="118"/>
      <c r="CBC132" s="118"/>
      <c r="CBD132" s="118"/>
      <c r="CBE132" s="118"/>
      <c r="CBF132" s="118"/>
      <c r="CBG132" s="118"/>
      <c r="CBH132" s="118"/>
      <c r="CBI132" s="118"/>
      <c r="CBJ132" s="118"/>
      <c r="CBK132" s="118"/>
      <c r="CBL132" s="118"/>
      <c r="CBM132" s="118"/>
      <c r="CBN132" s="118"/>
      <c r="CBO132" s="118"/>
      <c r="CBP132" s="118"/>
      <c r="CBQ132" s="118"/>
      <c r="CBR132" s="118"/>
      <c r="CBS132" s="118"/>
      <c r="CBT132" s="118"/>
      <c r="CBU132" s="118"/>
      <c r="CBV132" s="118"/>
      <c r="CBW132" s="118"/>
      <c r="CBX132" s="118"/>
      <c r="CBY132" s="118"/>
      <c r="CBZ132" s="118"/>
      <c r="CCA132" s="118"/>
      <c r="CCB132" s="118"/>
      <c r="CCC132" s="118"/>
      <c r="CCD132" s="118"/>
      <c r="CCE132" s="118"/>
      <c r="CCF132" s="118"/>
      <c r="CCG132" s="118"/>
      <c r="CCH132" s="118"/>
      <c r="CCI132" s="118"/>
      <c r="CCJ132" s="118"/>
      <c r="CCK132" s="118"/>
      <c r="CCL132" s="118"/>
      <c r="CCM132" s="118"/>
      <c r="CCN132" s="118"/>
      <c r="CCO132" s="118"/>
      <c r="CCP132" s="118"/>
      <c r="CCQ132" s="118"/>
      <c r="CCR132" s="118"/>
      <c r="CCS132" s="118"/>
      <c r="CCT132" s="118"/>
      <c r="CCU132" s="118"/>
      <c r="CCV132" s="118"/>
      <c r="CCW132" s="118"/>
      <c r="CCX132" s="118"/>
      <c r="CCY132" s="118"/>
      <c r="CCZ132" s="118"/>
      <c r="CDA132" s="118"/>
      <c r="CDB132" s="118"/>
      <c r="CDC132" s="118"/>
      <c r="CDD132" s="118"/>
      <c r="CDE132" s="118"/>
      <c r="CDF132" s="118"/>
      <c r="CDG132" s="118"/>
      <c r="CDH132" s="118"/>
      <c r="CDI132" s="118"/>
      <c r="CDJ132" s="118"/>
      <c r="CDK132" s="118"/>
      <c r="CDL132" s="118"/>
      <c r="CDM132" s="118"/>
      <c r="CDN132" s="118"/>
      <c r="CDO132" s="118"/>
      <c r="CDP132" s="118"/>
      <c r="CDQ132" s="118"/>
      <c r="CDR132" s="118"/>
      <c r="CDS132" s="118"/>
      <c r="CDT132" s="118"/>
      <c r="CDU132" s="118"/>
      <c r="CDV132" s="118"/>
      <c r="CDW132" s="118"/>
      <c r="CDX132" s="118"/>
      <c r="CDY132" s="118"/>
      <c r="CDZ132" s="118"/>
      <c r="CEA132" s="118"/>
      <c r="CEB132" s="118"/>
      <c r="CEC132" s="118"/>
      <c r="CED132" s="118"/>
      <c r="CEE132" s="118"/>
      <c r="CEF132" s="118"/>
      <c r="CEG132" s="118"/>
      <c r="CEH132" s="118"/>
      <c r="CEI132" s="118"/>
      <c r="CEJ132" s="118"/>
      <c r="CEK132" s="118"/>
      <c r="CEL132" s="118"/>
      <c r="CEM132" s="118"/>
      <c r="CEN132" s="118"/>
      <c r="CEO132" s="118"/>
      <c r="CEP132" s="118"/>
      <c r="CEQ132" s="118"/>
      <c r="CER132" s="118"/>
      <c r="CES132" s="118"/>
      <c r="CET132" s="118"/>
      <c r="CEU132" s="118"/>
      <c r="CEV132" s="118"/>
      <c r="CEW132" s="118"/>
      <c r="CEX132" s="118"/>
      <c r="CEY132" s="118"/>
      <c r="CEZ132" s="118"/>
      <c r="CFA132" s="118"/>
      <c r="CFB132" s="118"/>
      <c r="CFC132" s="118"/>
      <c r="CFD132" s="118"/>
      <c r="CFE132" s="118"/>
      <c r="CFF132" s="118"/>
      <c r="CFG132" s="118"/>
      <c r="CFH132" s="118"/>
      <c r="CFI132" s="118"/>
      <c r="CFJ132" s="118"/>
      <c r="CFK132" s="118"/>
      <c r="CFL132" s="118"/>
      <c r="CFM132" s="118"/>
      <c r="CFN132" s="118"/>
      <c r="CFO132" s="118"/>
      <c r="CFP132" s="118"/>
      <c r="CFQ132" s="118"/>
      <c r="CFR132" s="118"/>
      <c r="CFS132" s="118"/>
      <c r="CFT132" s="118"/>
      <c r="CFU132" s="118"/>
      <c r="CFV132" s="118"/>
      <c r="CFW132" s="118"/>
      <c r="CFX132" s="118"/>
      <c r="CFY132" s="118"/>
      <c r="CFZ132" s="118"/>
      <c r="CGA132" s="118"/>
      <c r="CGB132" s="118"/>
      <c r="CGC132" s="118"/>
      <c r="CGD132" s="118"/>
      <c r="CGE132" s="118"/>
      <c r="CGF132" s="118"/>
      <c r="CGG132" s="118"/>
      <c r="CGH132" s="118"/>
      <c r="CGI132" s="118"/>
      <c r="CGJ132" s="118"/>
      <c r="CGK132" s="118"/>
      <c r="CGL132" s="118"/>
      <c r="CGM132" s="118"/>
      <c r="CGN132" s="118"/>
      <c r="CGO132" s="118"/>
      <c r="CGP132" s="118"/>
      <c r="CGQ132" s="118"/>
      <c r="CGR132" s="118"/>
      <c r="CGS132" s="118"/>
      <c r="CGT132" s="118"/>
      <c r="CGU132" s="118"/>
      <c r="CGV132" s="118"/>
      <c r="CGW132" s="118"/>
      <c r="CGX132" s="118"/>
      <c r="CGY132" s="118"/>
      <c r="CGZ132" s="118"/>
      <c r="CHA132" s="118"/>
      <c r="CHB132" s="118"/>
      <c r="CHC132" s="118"/>
      <c r="CHD132" s="118"/>
      <c r="CHE132" s="118"/>
      <c r="CHF132" s="118"/>
      <c r="CHG132" s="118"/>
      <c r="CHH132" s="118"/>
      <c r="CHI132" s="118"/>
      <c r="CHJ132" s="118"/>
      <c r="CHK132" s="118"/>
      <c r="CHL132" s="118"/>
      <c r="CHM132" s="118"/>
      <c r="CHN132" s="118"/>
      <c r="CHO132" s="118"/>
      <c r="CHP132" s="118"/>
      <c r="CHQ132" s="118"/>
      <c r="CHR132" s="118"/>
      <c r="CHS132" s="118"/>
      <c r="CHT132" s="118"/>
      <c r="CHU132" s="118"/>
      <c r="CHV132" s="118"/>
      <c r="CHW132" s="118"/>
      <c r="CHX132" s="118"/>
      <c r="CHY132" s="118"/>
      <c r="CHZ132" s="118"/>
      <c r="CIA132" s="118"/>
      <c r="CIB132" s="118"/>
      <c r="CIC132" s="118"/>
      <c r="CID132" s="118"/>
      <c r="CIE132" s="118"/>
      <c r="CIF132" s="118"/>
      <c r="CIG132" s="118"/>
      <c r="CIH132" s="118"/>
      <c r="CII132" s="118"/>
      <c r="CIJ132" s="118"/>
      <c r="CIK132" s="118"/>
      <c r="CIL132" s="118"/>
      <c r="CIM132" s="118"/>
      <c r="CIN132" s="118"/>
      <c r="CIO132" s="118"/>
      <c r="CIP132" s="118"/>
      <c r="CIQ132" s="118"/>
      <c r="CIR132" s="118"/>
      <c r="CIS132" s="118"/>
      <c r="CIT132" s="118"/>
      <c r="CIU132" s="118"/>
      <c r="CIV132" s="118"/>
      <c r="CIW132" s="118"/>
      <c r="CIX132" s="118"/>
      <c r="CIY132" s="118"/>
      <c r="CIZ132" s="118"/>
      <c r="CJA132" s="118"/>
      <c r="CJB132" s="118"/>
      <c r="CJC132" s="118"/>
      <c r="CJD132" s="118"/>
      <c r="CJE132" s="118"/>
      <c r="CJF132" s="118"/>
      <c r="CJG132" s="118"/>
      <c r="CJH132" s="118"/>
      <c r="CJI132" s="118"/>
      <c r="CJJ132" s="118"/>
      <c r="CJK132" s="118"/>
      <c r="CJL132" s="118"/>
      <c r="CJM132" s="118"/>
      <c r="CJN132" s="118"/>
      <c r="CJO132" s="118"/>
      <c r="CJP132" s="118"/>
      <c r="CJQ132" s="118"/>
      <c r="CJR132" s="118"/>
      <c r="CJS132" s="118"/>
      <c r="CJT132" s="118"/>
      <c r="CJU132" s="118"/>
      <c r="CJV132" s="118"/>
      <c r="CJW132" s="118"/>
      <c r="CJX132" s="118"/>
      <c r="CJY132" s="118"/>
      <c r="CJZ132" s="118"/>
      <c r="CKA132" s="118"/>
      <c r="CKB132" s="118"/>
      <c r="CKC132" s="118"/>
      <c r="CKD132" s="118"/>
      <c r="CKE132" s="118"/>
      <c r="CKF132" s="118"/>
      <c r="CKG132" s="118"/>
      <c r="CKH132" s="118"/>
      <c r="CKI132" s="118"/>
      <c r="CKJ132" s="118"/>
      <c r="CKK132" s="118"/>
      <c r="CKL132" s="118"/>
      <c r="CKM132" s="118"/>
      <c r="CKN132" s="118"/>
      <c r="CKO132" s="118"/>
      <c r="CKP132" s="118"/>
      <c r="CKQ132" s="118"/>
      <c r="CKR132" s="118"/>
      <c r="CKS132" s="118"/>
      <c r="CKT132" s="118"/>
      <c r="CKU132" s="118"/>
      <c r="CKV132" s="118"/>
      <c r="CKW132" s="118"/>
      <c r="CKX132" s="118"/>
      <c r="CKY132" s="118"/>
      <c r="CKZ132" s="118"/>
      <c r="CLA132" s="118"/>
      <c r="CLB132" s="118"/>
      <c r="CLC132" s="118"/>
      <c r="CLD132" s="118"/>
      <c r="CLE132" s="118"/>
      <c r="CLF132" s="118"/>
      <c r="CLG132" s="118"/>
      <c r="CLH132" s="118"/>
      <c r="CLI132" s="118"/>
      <c r="CLJ132" s="118"/>
      <c r="CLK132" s="118"/>
      <c r="CLL132" s="118"/>
      <c r="CLM132" s="118"/>
      <c r="CLN132" s="118"/>
      <c r="CLO132" s="118"/>
      <c r="CLP132" s="118"/>
      <c r="CLQ132" s="118"/>
      <c r="CLR132" s="118"/>
      <c r="CLS132" s="118"/>
      <c r="CLT132" s="118"/>
      <c r="CLU132" s="118"/>
      <c r="CLV132" s="118"/>
      <c r="CLW132" s="118"/>
      <c r="CLX132" s="118"/>
      <c r="CLY132" s="118"/>
      <c r="CLZ132" s="118"/>
      <c r="CMA132" s="118"/>
      <c r="CMB132" s="118"/>
      <c r="CMC132" s="118"/>
      <c r="CMD132" s="118"/>
      <c r="CME132" s="118"/>
      <c r="CMF132" s="118"/>
      <c r="CMG132" s="118"/>
      <c r="CMH132" s="118"/>
      <c r="CMI132" s="118"/>
      <c r="CMJ132" s="118"/>
      <c r="CMK132" s="118"/>
      <c r="CML132" s="118"/>
      <c r="CMM132" s="118"/>
      <c r="CMN132" s="118"/>
      <c r="CMO132" s="118"/>
      <c r="CMP132" s="118"/>
      <c r="CMQ132" s="118"/>
      <c r="CMR132" s="118"/>
      <c r="CMS132" s="118"/>
      <c r="CMT132" s="118"/>
      <c r="CMU132" s="118"/>
      <c r="CMV132" s="118"/>
      <c r="CMW132" s="118"/>
      <c r="CMX132" s="118"/>
      <c r="CMY132" s="118"/>
      <c r="CMZ132" s="118"/>
      <c r="CNA132" s="118"/>
      <c r="CNB132" s="118"/>
      <c r="CNC132" s="118"/>
      <c r="CND132" s="118"/>
      <c r="CNE132" s="118"/>
      <c r="CNF132" s="118"/>
      <c r="CNG132" s="118"/>
      <c r="CNH132" s="118"/>
      <c r="CNI132" s="118"/>
      <c r="CNJ132" s="118"/>
      <c r="CNK132" s="118"/>
      <c r="CNL132" s="118"/>
      <c r="CNM132" s="118"/>
      <c r="CNN132" s="118"/>
      <c r="CNO132" s="118"/>
      <c r="CNP132" s="118"/>
      <c r="CNQ132" s="118"/>
      <c r="CNR132" s="118"/>
      <c r="CNS132" s="118"/>
      <c r="CNT132" s="118"/>
      <c r="CNU132" s="118"/>
      <c r="CNV132" s="118"/>
      <c r="CNW132" s="118"/>
      <c r="CNX132" s="118"/>
      <c r="CNY132" s="118"/>
      <c r="CNZ132" s="118"/>
      <c r="COA132" s="118"/>
      <c r="COB132" s="118"/>
      <c r="COC132" s="118"/>
      <c r="COD132" s="118"/>
      <c r="COE132" s="118"/>
      <c r="COF132" s="118"/>
      <c r="COG132" s="118"/>
      <c r="COH132" s="118"/>
      <c r="COI132" s="118"/>
      <c r="COJ132" s="118"/>
      <c r="COK132" s="118"/>
      <c r="COL132" s="118"/>
      <c r="COM132" s="118"/>
      <c r="CON132" s="118"/>
      <c r="COO132" s="118"/>
      <c r="COP132" s="118"/>
      <c r="COQ132" s="118"/>
      <c r="COR132" s="118"/>
      <c r="COS132" s="118"/>
      <c r="COT132" s="118"/>
      <c r="COU132" s="118"/>
      <c r="COV132" s="118"/>
      <c r="COW132" s="118"/>
      <c r="COX132" s="118"/>
      <c r="COY132" s="118"/>
      <c r="COZ132" s="118"/>
      <c r="CPA132" s="118"/>
      <c r="CPB132" s="118"/>
      <c r="CPC132" s="118"/>
      <c r="CPD132" s="118"/>
      <c r="CPE132" s="118"/>
      <c r="CPF132" s="118"/>
      <c r="CPG132" s="118"/>
      <c r="CPH132" s="118"/>
      <c r="CPI132" s="118"/>
      <c r="CPJ132" s="118"/>
      <c r="CPK132" s="118"/>
      <c r="CPL132" s="118"/>
      <c r="CPM132" s="118"/>
      <c r="CPN132" s="118"/>
      <c r="CPO132" s="118"/>
      <c r="CPP132" s="118"/>
      <c r="CPQ132" s="118"/>
      <c r="CPR132" s="118"/>
      <c r="CPS132" s="118"/>
      <c r="CPT132" s="118"/>
      <c r="CPU132" s="118"/>
      <c r="CPV132" s="118"/>
      <c r="CPW132" s="118"/>
      <c r="CPX132" s="118"/>
      <c r="CPY132" s="118"/>
      <c r="CPZ132" s="118"/>
      <c r="CQA132" s="118"/>
      <c r="CQB132" s="118"/>
      <c r="CQC132" s="118"/>
      <c r="CQD132" s="118"/>
      <c r="CQE132" s="118"/>
      <c r="CQF132" s="118"/>
      <c r="CQG132" s="118"/>
      <c r="CQH132" s="118"/>
      <c r="CQI132" s="118"/>
      <c r="CQJ132" s="118"/>
      <c r="CQK132" s="118"/>
      <c r="CQL132" s="118"/>
      <c r="CQM132" s="118"/>
      <c r="CQN132" s="118"/>
      <c r="CQO132" s="118"/>
      <c r="CQP132" s="118"/>
      <c r="CQQ132" s="118"/>
      <c r="CQR132" s="118"/>
      <c r="CQS132" s="118"/>
      <c r="CQT132" s="118"/>
      <c r="CQU132" s="118"/>
      <c r="CQV132" s="118"/>
      <c r="CQW132" s="118"/>
      <c r="CQX132" s="118"/>
      <c r="CQY132" s="118"/>
      <c r="CQZ132" s="118"/>
      <c r="CRA132" s="118"/>
      <c r="CRB132" s="118"/>
      <c r="CRC132" s="118"/>
      <c r="CRD132" s="118"/>
      <c r="CRE132" s="118"/>
      <c r="CRF132" s="118"/>
      <c r="CRG132" s="118"/>
      <c r="CRH132" s="118"/>
      <c r="CRI132" s="118"/>
      <c r="CRJ132" s="118"/>
      <c r="CRK132" s="118"/>
      <c r="CRL132" s="118"/>
      <c r="CRM132" s="118"/>
      <c r="CRN132" s="118"/>
      <c r="CRO132" s="118"/>
      <c r="CRP132" s="118"/>
      <c r="CRQ132" s="118"/>
      <c r="CRR132" s="118"/>
      <c r="CRS132" s="118"/>
      <c r="CRT132" s="118"/>
      <c r="CRU132" s="118"/>
      <c r="CRV132" s="118"/>
      <c r="CRW132" s="118"/>
      <c r="CRX132" s="118"/>
      <c r="CRY132" s="118"/>
      <c r="CRZ132" s="118"/>
      <c r="CSA132" s="118"/>
      <c r="CSB132" s="118"/>
      <c r="CSC132" s="118"/>
      <c r="CSD132" s="118"/>
      <c r="CSE132" s="118"/>
      <c r="CSF132" s="118"/>
      <c r="CSG132" s="118"/>
      <c r="CSH132" s="118"/>
      <c r="CSI132" s="118"/>
      <c r="CSJ132" s="118"/>
      <c r="CSK132" s="118"/>
      <c r="CSL132" s="118"/>
      <c r="CSM132" s="118"/>
      <c r="CSN132" s="118"/>
      <c r="CSO132" s="118"/>
      <c r="CSP132" s="118"/>
      <c r="CSQ132" s="118"/>
      <c r="CSR132" s="118"/>
      <c r="CSS132" s="118"/>
      <c r="CST132" s="118"/>
      <c r="CSU132" s="118"/>
      <c r="CSV132" s="118"/>
      <c r="CSW132" s="118"/>
      <c r="CSX132" s="118"/>
      <c r="CSY132" s="118"/>
      <c r="CSZ132" s="118"/>
      <c r="CTA132" s="118"/>
      <c r="CTB132" s="118"/>
      <c r="CTC132" s="118"/>
      <c r="CTD132" s="118"/>
      <c r="CTE132" s="118"/>
      <c r="CTF132" s="118"/>
      <c r="CTG132" s="118"/>
      <c r="CTH132" s="118"/>
      <c r="CTI132" s="118"/>
      <c r="CTJ132" s="118"/>
      <c r="CTK132" s="118"/>
      <c r="CTL132" s="118"/>
      <c r="CTM132" s="118"/>
      <c r="CTN132" s="118"/>
      <c r="CTO132" s="118"/>
      <c r="CTP132" s="118"/>
      <c r="CTQ132" s="118"/>
      <c r="CTR132" s="118"/>
      <c r="CTS132" s="118"/>
      <c r="CTT132" s="118"/>
      <c r="CTU132" s="118"/>
      <c r="CTV132" s="118"/>
      <c r="CTW132" s="118"/>
      <c r="CTX132" s="118"/>
      <c r="CTY132" s="118"/>
      <c r="CTZ132" s="118"/>
      <c r="CUA132" s="118"/>
      <c r="CUB132" s="118"/>
      <c r="CUC132" s="118"/>
      <c r="CUD132" s="118"/>
      <c r="CUE132" s="118"/>
      <c r="CUF132" s="118"/>
      <c r="CUG132" s="118"/>
      <c r="CUH132" s="118"/>
      <c r="CUI132" s="118"/>
      <c r="CUJ132" s="118"/>
      <c r="CUK132" s="118"/>
      <c r="CUL132" s="118"/>
      <c r="CUM132" s="118"/>
      <c r="CUN132" s="118"/>
      <c r="CUO132" s="118"/>
      <c r="CUP132" s="118"/>
      <c r="CUQ132" s="118"/>
      <c r="CUR132" s="118"/>
      <c r="CUS132" s="118"/>
      <c r="CUT132" s="118"/>
      <c r="CUU132" s="118"/>
      <c r="CUV132" s="118"/>
      <c r="CUW132" s="118"/>
      <c r="CUX132" s="118"/>
      <c r="CUY132" s="118"/>
      <c r="CUZ132" s="118"/>
      <c r="CVA132" s="118"/>
      <c r="CVB132" s="118"/>
      <c r="CVC132" s="118"/>
      <c r="CVD132" s="118"/>
      <c r="CVE132" s="118"/>
      <c r="CVF132" s="118"/>
      <c r="CVG132" s="118"/>
      <c r="CVH132" s="118"/>
      <c r="CVI132" s="118"/>
      <c r="CVJ132" s="118"/>
      <c r="CVK132" s="118"/>
      <c r="CVL132" s="118"/>
      <c r="CVM132" s="118"/>
      <c r="CVN132" s="118"/>
      <c r="CVO132" s="118"/>
      <c r="CVP132" s="118"/>
      <c r="CVQ132" s="118"/>
      <c r="CVR132" s="118"/>
      <c r="CVS132" s="118"/>
      <c r="CVT132" s="118"/>
      <c r="CVU132" s="118"/>
      <c r="CVV132" s="118"/>
      <c r="CVW132" s="118"/>
      <c r="CVX132" s="118"/>
      <c r="CVY132" s="118"/>
      <c r="CVZ132" s="118"/>
      <c r="CWA132" s="118"/>
      <c r="CWB132" s="118"/>
      <c r="CWC132" s="118"/>
      <c r="CWD132" s="118"/>
      <c r="CWE132" s="118"/>
      <c r="CWF132" s="118"/>
      <c r="CWG132" s="118"/>
      <c r="CWH132" s="118"/>
      <c r="CWI132" s="118"/>
      <c r="CWJ132" s="118"/>
      <c r="CWK132" s="118"/>
      <c r="CWL132" s="118"/>
      <c r="CWM132" s="118"/>
      <c r="CWN132" s="118"/>
      <c r="CWO132" s="118"/>
      <c r="CWP132" s="118"/>
      <c r="CWQ132" s="118"/>
      <c r="CWR132" s="118"/>
      <c r="CWS132" s="118"/>
      <c r="CWT132" s="118"/>
      <c r="CWU132" s="118"/>
      <c r="CWV132" s="118"/>
      <c r="CWW132" s="118"/>
      <c r="CWX132" s="118"/>
      <c r="CWY132" s="118"/>
      <c r="CWZ132" s="118"/>
      <c r="CXA132" s="118"/>
      <c r="CXB132" s="118"/>
      <c r="CXC132" s="118"/>
      <c r="CXD132" s="118"/>
      <c r="CXE132" s="118"/>
      <c r="CXF132" s="118"/>
      <c r="CXG132" s="118"/>
      <c r="CXH132" s="118"/>
      <c r="CXI132" s="118"/>
      <c r="CXJ132" s="118"/>
      <c r="CXK132" s="118"/>
      <c r="CXL132" s="118"/>
      <c r="CXM132" s="118"/>
      <c r="CXN132" s="118"/>
      <c r="CXO132" s="118"/>
      <c r="CXP132" s="118"/>
      <c r="CXQ132" s="118"/>
      <c r="CXR132" s="118"/>
      <c r="CXS132" s="118"/>
      <c r="CXT132" s="118"/>
      <c r="CXU132" s="118"/>
      <c r="CXV132" s="118"/>
      <c r="CXW132" s="118"/>
      <c r="CXX132" s="118"/>
      <c r="CXY132" s="118"/>
      <c r="CXZ132" s="118"/>
      <c r="CYA132" s="118"/>
      <c r="CYB132" s="118"/>
      <c r="CYC132" s="118"/>
      <c r="CYD132" s="118"/>
      <c r="CYE132" s="118"/>
      <c r="CYF132" s="118"/>
      <c r="CYG132" s="118"/>
      <c r="CYH132" s="118"/>
      <c r="CYI132" s="118"/>
      <c r="CYJ132" s="118"/>
      <c r="CYK132" s="118"/>
      <c r="CYL132" s="118"/>
      <c r="CYM132" s="118"/>
      <c r="CYN132" s="118"/>
      <c r="CYO132" s="118"/>
      <c r="CYP132" s="118"/>
      <c r="CYQ132" s="118"/>
      <c r="CYR132" s="118"/>
      <c r="CYS132" s="118"/>
      <c r="CYT132" s="118"/>
      <c r="CYU132" s="118"/>
      <c r="CYV132" s="118"/>
      <c r="CYW132" s="118"/>
      <c r="CYX132" s="118"/>
      <c r="CYY132" s="118"/>
      <c r="CYZ132" s="118"/>
      <c r="CZA132" s="118"/>
      <c r="CZB132" s="118"/>
      <c r="CZC132" s="118"/>
      <c r="CZD132" s="118"/>
      <c r="CZE132" s="118"/>
      <c r="CZF132" s="118"/>
      <c r="CZG132" s="118"/>
      <c r="CZH132" s="118"/>
      <c r="CZI132" s="118"/>
      <c r="CZJ132" s="118"/>
      <c r="CZK132" s="118"/>
      <c r="CZL132" s="118"/>
      <c r="CZM132" s="118"/>
      <c r="CZN132" s="118"/>
      <c r="CZO132" s="118"/>
      <c r="CZP132" s="118"/>
      <c r="CZQ132" s="118"/>
      <c r="CZR132" s="118"/>
      <c r="CZS132" s="118"/>
      <c r="CZT132" s="118"/>
      <c r="CZU132" s="118"/>
      <c r="CZV132" s="118"/>
      <c r="CZW132" s="118"/>
      <c r="CZX132" s="118"/>
      <c r="CZY132" s="118"/>
      <c r="CZZ132" s="118"/>
      <c r="DAA132" s="118"/>
      <c r="DAB132" s="118"/>
      <c r="DAC132" s="118"/>
      <c r="DAD132" s="118"/>
      <c r="DAE132" s="118"/>
      <c r="DAF132" s="118"/>
      <c r="DAG132" s="118"/>
      <c r="DAH132" s="118"/>
      <c r="DAI132" s="118"/>
      <c r="DAJ132" s="118"/>
      <c r="DAK132" s="118"/>
      <c r="DAL132" s="118"/>
      <c r="DAM132" s="118"/>
      <c r="DAN132" s="118"/>
      <c r="DAO132" s="118"/>
      <c r="DAP132" s="118"/>
      <c r="DAQ132" s="118"/>
      <c r="DAR132" s="118"/>
      <c r="DAS132" s="118"/>
      <c r="DAT132" s="118"/>
      <c r="DAU132" s="118"/>
      <c r="DAV132" s="118"/>
      <c r="DAW132" s="118"/>
      <c r="DAX132" s="118"/>
      <c r="DAY132" s="118"/>
      <c r="DAZ132" s="118"/>
      <c r="DBA132" s="118"/>
      <c r="DBB132" s="118"/>
      <c r="DBC132" s="118"/>
      <c r="DBD132" s="118"/>
      <c r="DBE132" s="118"/>
      <c r="DBF132" s="118"/>
      <c r="DBG132" s="118"/>
      <c r="DBH132" s="118"/>
      <c r="DBI132" s="118"/>
      <c r="DBJ132" s="118"/>
      <c r="DBK132" s="118"/>
      <c r="DBL132" s="118"/>
      <c r="DBM132" s="118"/>
      <c r="DBN132" s="118"/>
      <c r="DBO132" s="118"/>
      <c r="DBP132" s="118"/>
      <c r="DBQ132" s="118"/>
      <c r="DBR132" s="118"/>
      <c r="DBS132" s="118"/>
      <c r="DBT132" s="118"/>
      <c r="DBU132" s="118"/>
      <c r="DBV132" s="118"/>
      <c r="DBW132" s="118"/>
      <c r="DBX132" s="118"/>
      <c r="DBY132" s="118"/>
      <c r="DBZ132" s="118"/>
      <c r="DCA132" s="118"/>
      <c r="DCB132" s="118"/>
      <c r="DCC132" s="118"/>
      <c r="DCD132" s="118"/>
      <c r="DCE132" s="118"/>
      <c r="DCF132" s="118"/>
      <c r="DCG132" s="118"/>
      <c r="DCH132" s="118"/>
      <c r="DCI132" s="118"/>
      <c r="DCJ132" s="118"/>
      <c r="DCK132" s="118"/>
      <c r="DCL132" s="118"/>
      <c r="DCM132" s="118"/>
      <c r="DCN132" s="118"/>
      <c r="DCO132" s="118"/>
      <c r="DCP132" s="118"/>
      <c r="DCQ132" s="118"/>
      <c r="DCR132" s="118"/>
      <c r="DCS132" s="118"/>
      <c r="DCT132" s="118"/>
      <c r="DCU132" s="118"/>
      <c r="DCV132" s="118"/>
      <c r="DCW132" s="118"/>
      <c r="DCX132" s="118"/>
      <c r="DCY132" s="118"/>
      <c r="DCZ132" s="118"/>
      <c r="DDA132" s="118"/>
      <c r="DDB132" s="118"/>
      <c r="DDC132" s="118"/>
      <c r="DDD132" s="118"/>
      <c r="DDE132" s="118"/>
      <c r="DDF132" s="118"/>
      <c r="DDG132" s="118"/>
      <c r="DDH132" s="118"/>
      <c r="DDI132" s="118"/>
      <c r="DDJ132" s="118"/>
      <c r="DDK132" s="118"/>
      <c r="DDL132" s="118"/>
      <c r="DDM132" s="118"/>
      <c r="DDN132" s="118"/>
      <c r="DDO132" s="118"/>
      <c r="DDP132" s="118"/>
      <c r="DDQ132" s="118"/>
      <c r="DDR132" s="118"/>
      <c r="DDS132" s="118"/>
      <c r="DDT132" s="118"/>
      <c r="DDU132" s="118"/>
      <c r="DDV132" s="118"/>
      <c r="DDW132" s="118"/>
      <c r="DDX132" s="118"/>
      <c r="DDY132" s="118"/>
      <c r="DDZ132" s="118"/>
      <c r="DEA132" s="118"/>
      <c r="DEB132" s="118"/>
      <c r="DEC132" s="118"/>
      <c r="DED132" s="118"/>
      <c r="DEE132" s="118"/>
      <c r="DEF132" s="118"/>
      <c r="DEG132" s="118"/>
      <c r="DEH132" s="118"/>
      <c r="DEI132" s="118"/>
      <c r="DEJ132" s="118"/>
      <c r="DEK132" s="118"/>
      <c r="DEL132" s="118"/>
      <c r="DEM132" s="118"/>
      <c r="DEN132" s="118"/>
      <c r="DEO132" s="118"/>
      <c r="DEP132" s="118"/>
      <c r="DEQ132" s="118"/>
      <c r="DER132" s="118"/>
      <c r="DES132" s="118"/>
      <c r="DET132" s="118"/>
      <c r="DEU132" s="118"/>
      <c r="DEV132" s="118"/>
      <c r="DEW132" s="118"/>
      <c r="DEX132" s="118"/>
      <c r="DEY132" s="118"/>
      <c r="DEZ132" s="118"/>
      <c r="DFA132" s="118"/>
      <c r="DFB132" s="118"/>
      <c r="DFC132" s="118"/>
      <c r="DFD132" s="118"/>
      <c r="DFE132" s="118"/>
      <c r="DFF132" s="118"/>
      <c r="DFG132" s="118"/>
      <c r="DFH132" s="118"/>
      <c r="DFI132" s="118"/>
      <c r="DFJ132" s="118"/>
      <c r="DFK132" s="118"/>
      <c r="DFL132" s="118"/>
      <c r="DFM132" s="118"/>
      <c r="DFN132" s="118"/>
      <c r="DFO132" s="118"/>
      <c r="DFP132" s="118"/>
      <c r="DFQ132" s="118"/>
      <c r="DFR132" s="118"/>
      <c r="DFS132" s="118"/>
      <c r="DFT132" s="118"/>
      <c r="DFU132" s="118"/>
      <c r="DFV132" s="118"/>
      <c r="DFW132" s="118"/>
      <c r="DFX132" s="118"/>
      <c r="DFY132" s="118"/>
      <c r="DFZ132" s="118"/>
      <c r="DGA132" s="118"/>
      <c r="DGB132" s="118"/>
      <c r="DGC132" s="118"/>
      <c r="DGD132" s="118"/>
      <c r="DGE132" s="118"/>
      <c r="DGF132" s="118"/>
      <c r="DGG132" s="118"/>
      <c r="DGH132" s="118"/>
      <c r="DGI132" s="118"/>
      <c r="DGJ132" s="118"/>
      <c r="DGK132" s="118"/>
      <c r="DGL132" s="118"/>
      <c r="DGM132" s="118"/>
      <c r="DGN132" s="118"/>
      <c r="DGO132" s="118"/>
      <c r="DGP132" s="118"/>
      <c r="DGQ132" s="118"/>
      <c r="DGR132" s="118"/>
      <c r="DGS132" s="118"/>
      <c r="DGT132" s="118"/>
      <c r="DGU132" s="118"/>
      <c r="DGV132" s="118"/>
      <c r="DGW132" s="118"/>
      <c r="DGX132" s="118"/>
      <c r="DGY132" s="118"/>
      <c r="DGZ132" s="118"/>
      <c r="DHA132" s="118"/>
      <c r="DHB132" s="118"/>
      <c r="DHC132" s="118"/>
      <c r="DHD132" s="118"/>
      <c r="DHE132" s="118"/>
      <c r="DHF132" s="118"/>
      <c r="DHG132" s="118"/>
      <c r="DHH132" s="118"/>
      <c r="DHI132" s="118"/>
      <c r="DHJ132" s="118"/>
      <c r="DHK132" s="118"/>
      <c r="DHL132" s="118"/>
      <c r="DHM132" s="118"/>
      <c r="DHN132" s="118"/>
      <c r="DHO132" s="118"/>
      <c r="DHP132" s="118"/>
      <c r="DHQ132" s="118"/>
      <c r="DHR132" s="118"/>
      <c r="DHS132" s="118"/>
      <c r="DHT132" s="118"/>
      <c r="DHU132" s="118"/>
      <c r="DHV132" s="118"/>
      <c r="DHW132" s="118"/>
      <c r="DHX132" s="118"/>
      <c r="DHY132" s="118"/>
      <c r="DHZ132" s="118"/>
      <c r="DIA132" s="118"/>
      <c r="DIB132" s="118"/>
      <c r="DIC132" s="118"/>
      <c r="DID132" s="118"/>
      <c r="DIE132" s="118"/>
      <c r="DIF132" s="118"/>
      <c r="DIG132" s="118"/>
      <c r="DIH132" s="118"/>
      <c r="DII132" s="118"/>
      <c r="DIJ132" s="118"/>
      <c r="DIK132" s="118"/>
      <c r="DIL132" s="118"/>
      <c r="DIM132" s="118"/>
      <c r="DIN132" s="118"/>
      <c r="DIO132" s="118"/>
      <c r="DIP132" s="118"/>
      <c r="DIQ132" s="118"/>
      <c r="DIR132" s="118"/>
      <c r="DIS132" s="118"/>
      <c r="DIT132" s="118"/>
      <c r="DIU132" s="118"/>
      <c r="DIV132" s="118"/>
      <c r="DIW132" s="118"/>
      <c r="DIX132" s="118"/>
      <c r="DIY132" s="118"/>
      <c r="DIZ132" s="118"/>
      <c r="DJA132" s="118"/>
      <c r="DJB132" s="118"/>
      <c r="DJC132" s="118"/>
      <c r="DJD132" s="118"/>
      <c r="DJE132" s="118"/>
      <c r="DJF132" s="118"/>
      <c r="DJG132" s="118"/>
      <c r="DJH132" s="118"/>
      <c r="DJI132" s="118"/>
      <c r="DJJ132" s="118"/>
      <c r="DJK132" s="118"/>
      <c r="DJL132" s="118"/>
      <c r="DJM132" s="118"/>
      <c r="DJN132" s="118"/>
      <c r="DJO132" s="118"/>
      <c r="DJP132" s="118"/>
      <c r="DJQ132" s="118"/>
      <c r="DJR132" s="118"/>
      <c r="DJS132" s="118"/>
      <c r="DJT132" s="118"/>
      <c r="DJU132" s="118"/>
      <c r="DJV132" s="118"/>
      <c r="DJW132" s="118"/>
      <c r="DJX132" s="118"/>
      <c r="DJY132" s="118"/>
      <c r="DJZ132" s="118"/>
      <c r="DKA132" s="118"/>
      <c r="DKB132" s="118"/>
      <c r="DKC132" s="118"/>
      <c r="DKD132" s="118"/>
      <c r="DKE132" s="118"/>
      <c r="DKF132" s="118"/>
      <c r="DKG132" s="118"/>
      <c r="DKH132" s="118"/>
      <c r="DKI132" s="118"/>
      <c r="DKJ132" s="118"/>
      <c r="DKK132" s="118"/>
      <c r="DKL132" s="118"/>
      <c r="DKM132" s="118"/>
      <c r="DKN132" s="118"/>
      <c r="DKO132" s="118"/>
      <c r="DKP132" s="118"/>
      <c r="DKQ132" s="118"/>
      <c r="DKR132" s="118"/>
      <c r="DKS132" s="118"/>
      <c r="DKT132" s="118"/>
      <c r="DKU132" s="118"/>
      <c r="DKV132" s="118"/>
      <c r="DKW132" s="118"/>
      <c r="DKX132" s="118"/>
      <c r="DKY132" s="118"/>
      <c r="DKZ132" s="118"/>
      <c r="DLA132" s="118"/>
      <c r="DLB132" s="118"/>
      <c r="DLC132" s="118"/>
      <c r="DLD132" s="118"/>
      <c r="DLE132" s="118"/>
      <c r="DLF132" s="118"/>
      <c r="DLG132" s="118"/>
      <c r="DLH132" s="118"/>
      <c r="DLI132" s="118"/>
      <c r="DLJ132" s="118"/>
      <c r="DLK132" s="118"/>
      <c r="DLL132" s="118"/>
      <c r="DLM132" s="118"/>
      <c r="DLN132" s="118"/>
      <c r="DLO132" s="118"/>
      <c r="DLP132" s="118"/>
      <c r="DLQ132" s="118"/>
      <c r="DLR132" s="118"/>
      <c r="DLS132" s="118"/>
      <c r="DLT132" s="118"/>
      <c r="DLU132" s="118"/>
      <c r="DLV132" s="118"/>
      <c r="DLW132" s="118"/>
      <c r="DLX132" s="118"/>
      <c r="DLY132" s="118"/>
      <c r="DLZ132" s="118"/>
      <c r="DMA132" s="118"/>
      <c r="DMB132" s="118"/>
      <c r="DMC132" s="118"/>
      <c r="DMD132" s="118"/>
      <c r="DME132" s="118"/>
      <c r="DMF132" s="118"/>
      <c r="DMG132" s="118"/>
      <c r="DMH132" s="118"/>
      <c r="DMI132" s="118"/>
      <c r="DMJ132" s="118"/>
      <c r="DMK132" s="118"/>
      <c r="DML132" s="118"/>
      <c r="DMM132" s="118"/>
      <c r="DMN132" s="118"/>
      <c r="DMO132" s="118"/>
      <c r="DMP132" s="118"/>
      <c r="DMQ132" s="118"/>
      <c r="DMR132" s="118"/>
      <c r="DMS132" s="118"/>
      <c r="DMT132" s="118"/>
      <c r="DMU132" s="118"/>
      <c r="DMV132" s="118"/>
      <c r="DMW132" s="118"/>
      <c r="DMX132" s="118"/>
      <c r="DMY132" s="118"/>
      <c r="DMZ132" s="118"/>
      <c r="DNA132" s="118"/>
      <c r="DNB132" s="118"/>
      <c r="DNC132" s="118"/>
      <c r="DND132" s="118"/>
      <c r="DNE132" s="118"/>
      <c r="DNF132" s="118"/>
      <c r="DNG132" s="118"/>
      <c r="DNH132" s="118"/>
      <c r="DNI132" s="118"/>
      <c r="DNJ132" s="118"/>
      <c r="DNK132" s="118"/>
      <c r="DNL132" s="118"/>
      <c r="DNM132" s="118"/>
      <c r="DNN132" s="118"/>
      <c r="DNO132" s="118"/>
      <c r="DNP132" s="118"/>
      <c r="DNQ132" s="118"/>
      <c r="DNR132" s="118"/>
      <c r="DNS132" s="118"/>
      <c r="DNT132" s="118"/>
      <c r="DNU132" s="118"/>
      <c r="DNV132" s="118"/>
      <c r="DNW132" s="118"/>
      <c r="DNX132" s="118"/>
      <c r="DNY132" s="118"/>
      <c r="DNZ132" s="118"/>
      <c r="DOA132" s="118"/>
      <c r="DOB132" s="118"/>
      <c r="DOC132" s="118"/>
      <c r="DOD132" s="118"/>
      <c r="DOE132" s="118"/>
      <c r="DOF132" s="118"/>
      <c r="DOG132" s="118"/>
      <c r="DOH132" s="118"/>
      <c r="DOI132" s="118"/>
      <c r="DOJ132" s="118"/>
      <c r="DOK132" s="118"/>
      <c r="DOL132" s="118"/>
      <c r="DOM132" s="118"/>
      <c r="DON132" s="118"/>
      <c r="DOO132" s="118"/>
      <c r="DOP132" s="118"/>
      <c r="DOQ132" s="118"/>
      <c r="DOR132" s="118"/>
      <c r="DOS132" s="118"/>
      <c r="DOT132" s="118"/>
      <c r="DOU132" s="118"/>
      <c r="DOV132" s="118"/>
      <c r="DOW132" s="118"/>
      <c r="DOX132" s="118"/>
      <c r="DOY132" s="118"/>
      <c r="DOZ132" s="118"/>
      <c r="DPA132" s="118"/>
      <c r="DPB132" s="118"/>
      <c r="DPC132" s="118"/>
      <c r="DPD132" s="118"/>
      <c r="DPE132" s="118"/>
      <c r="DPF132" s="118"/>
      <c r="DPG132" s="118"/>
      <c r="DPH132" s="118"/>
      <c r="DPI132" s="118"/>
      <c r="DPJ132" s="118"/>
      <c r="DPK132" s="118"/>
      <c r="DPL132" s="118"/>
      <c r="DPM132" s="118"/>
      <c r="DPN132" s="118"/>
      <c r="DPO132" s="118"/>
      <c r="DPP132" s="118"/>
      <c r="DPQ132" s="118"/>
      <c r="DPR132" s="118"/>
      <c r="DPS132" s="118"/>
      <c r="DPT132" s="118"/>
      <c r="DPU132" s="118"/>
      <c r="DPV132" s="118"/>
      <c r="DPW132" s="118"/>
      <c r="DPX132" s="118"/>
      <c r="DPY132" s="118"/>
      <c r="DPZ132" s="118"/>
      <c r="DQA132" s="118"/>
      <c r="DQB132" s="118"/>
      <c r="DQC132" s="118"/>
      <c r="DQD132" s="118"/>
      <c r="DQE132" s="118"/>
      <c r="DQF132" s="118"/>
      <c r="DQG132" s="118"/>
      <c r="DQH132" s="118"/>
      <c r="DQI132" s="118"/>
      <c r="DQJ132" s="118"/>
      <c r="DQK132" s="118"/>
      <c r="DQL132" s="118"/>
      <c r="DQM132" s="118"/>
      <c r="DQN132" s="118"/>
      <c r="DQO132" s="118"/>
      <c r="DQP132" s="118"/>
      <c r="DQQ132" s="118"/>
      <c r="DQR132" s="118"/>
      <c r="DQS132" s="118"/>
      <c r="DQT132" s="118"/>
      <c r="DQU132" s="118"/>
      <c r="DQV132" s="118"/>
      <c r="DQW132" s="118"/>
      <c r="DQX132" s="118"/>
      <c r="DQY132" s="118"/>
      <c r="DQZ132" s="118"/>
      <c r="DRA132" s="118"/>
      <c r="DRB132" s="118"/>
      <c r="DRC132" s="118"/>
      <c r="DRD132" s="118"/>
      <c r="DRE132" s="118"/>
      <c r="DRF132" s="118"/>
      <c r="DRG132" s="118"/>
      <c r="DRH132" s="118"/>
      <c r="DRI132" s="118"/>
      <c r="DRJ132" s="118"/>
      <c r="DRK132" s="118"/>
      <c r="DRL132" s="118"/>
      <c r="DRM132" s="118"/>
      <c r="DRN132" s="118"/>
      <c r="DRO132" s="118"/>
      <c r="DRP132" s="118"/>
      <c r="DRQ132" s="118"/>
      <c r="DRR132" s="118"/>
      <c r="DRS132" s="118"/>
      <c r="DRT132" s="118"/>
      <c r="DRU132" s="118"/>
      <c r="DRV132" s="118"/>
      <c r="DRW132" s="118"/>
      <c r="DRX132" s="118"/>
      <c r="DRY132" s="118"/>
      <c r="DRZ132" s="118"/>
      <c r="DSA132" s="118"/>
      <c r="DSB132" s="118"/>
      <c r="DSC132" s="118"/>
      <c r="DSD132" s="118"/>
      <c r="DSE132" s="118"/>
      <c r="DSF132" s="118"/>
      <c r="DSG132" s="118"/>
      <c r="DSH132" s="118"/>
      <c r="DSI132" s="118"/>
      <c r="DSJ132" s="118"/>
      <c r="DSK132" s="118"/>
      <c r="DSL132" s="118"/>
      <c r="DSM132" s="118"/>
      <c r="DSN132" s="118"/>
      <c r="DSO132" s="118"/>
      <c r="DSP132" s="118"/>
      <c r="DSQ132" s="118"/>
      <c r="DSR132" s="118"/>
      <c r="DSS132" s="118"/>
      <c r="DST132" s="118"/>
      <c r="DSU132" s="118"/>
      <c r="DSV132" s="118"/>
      <c r="DSW132" s="118"/>
      <c r="DSX132" s="118"/>
      <c r="DSY132" s="118"/>
      <c r="DSZ132" s="118"/>
      <c r="DTA132" s="118"/>
      <c r="DTB132" s="118"/>
      <c r="DTC132" s="118"/>
      <c r="DTD132" s="118"/>
      <c r="DTE132" s="118"/>
      <c r="DTF132" s="118"/>
      <c r="DTG132" s="118"/>
      <c r="DTH132" s="118"/>
      <c r="DTI132" s="118"/>
      <c r="DTJ132" s="118"/>
      <c r="DTK132" s="118"/>
      <c r="DTL132" s="118"/>
      <c r="DTM132" s="118"/>
      <c r="DTN132" s="118"/>
      <c r="DTO132" s="118"/>
      <c r="DTP132" s="118"/>
      <c r="DTQ132" s="118"/>
      <c r="DTR132" s="118"/>
      <c r="DTS132" s="118"/>
      <c r="DTT132" s="118"/>
      <c r="DTU132" s="118"/>
      <c r="DTV132" s="118"/>
      <c r="DTW132" s="118"/>
      <c r="DTX132" s="118"/>
      <c r="DTY132" s="118"/>
      <c r="DTZ132" s="118"/>
      <c r="DUA132" s="118"/>
      <c r="DUB132" s="118"/>
      <c r="DUC132" s="118"/>
      <c r="DUD132" s="118"/>
      <c r="DUE132" s="118"/>
      <c r="DUF132" s="118"/>
      <c r="DUG132" s="118"/>
      <c r="DUH132" s="118"/>
      <c r="DUI132" s="118"/>
      <c r="DUJ132" s="118"/>
      <c r="DUK132" s="118"/>
      <c r="DUL132" s="118"/>
      <c r="DUM132" s="118"/>
      <c r="DUN132" s="118"/>
      <c r="DUO132" s="118"/>
      <c r="DUP132" s="118"/>
      <c r="DUQ132" s="118"/>
      <c r="DUR132" s="118"/>
      <c r="DUS132" s="118"/>
      <c r="DUT132" s="118"/>
      <c r="DUU132" s="118"/>
      <c r="DUV132" s="118"/>
      <c r="DUW132" s="118"/>
      <c r="DUX132" s="118"/>
      <c r="DUY132" s="118"/>
      <c r="DUZ132" s="118"/>
      <c r="DVA132" s="118"/>
      <c r="DVB132" s="118"/>
      <c r="DVC132" s="118"/>
      <c r="DVD132" s="118"/>
      <c r="DVE132" s="118"/>
      <c r="DVF132" s="118"/>
      <c r="DVG132" s="118"/>
      <c r="DVH132" s="118"/>
      <c r="DVI132" s="118"/>
      <c r="DVJ132" s="118"/>
      <c r="DVK132" s="118"/>
      <c r="DVL132" s="118"/>
      <c r="DVM132" s="118"/>
      <c r="DVN132" s="118"/>
      <c r="DVO132" s="118"/>
      <c r="DVP132" s="118"/>
      <c r="DVQ132" s="118"/>
      <c r="DVR132" s="118"/>
      <c r="DVS132" s="118"/>
      <c r="DVT132" s="118"/>
      <c r="DVU132" s="118"/>
      <c r="DVV132" s="118"/>
      <c r="DVW132" s="118"/>
      <c r="DVX132" s="118"/>
      <c r="DVY132" s="118"/>
      <c r="DVZ132" s="118"/>
      <c r="DWA132" s="118"/>
      <c r="DWB132" s="118"/>
      <c r="DWC132" s="118"/>
      <c r="DWD132" s="118"/>
      <c r="DWE132" s="118"/>
      <c r="DWF132" s="118"/>
      <c r="DWG132" s="118"/>
      <c r="DWH132" s="118"/>
      <c r="DWI132" s="118"/>
      <c r="DWJ132" s="118"/>
      <c r="DWK132" s="118"/>
      <c r="DWL132" s="118"/>
      <c r="DWM132" s="118"/>
      <c r="DWN132" s="118"/>
      <c r="DWO132" s="118"/>
      <c r="DWP132" s="118"/>
      <c r="DWQ132" s="118"/>
      <c r="DWR132" s="118"/>
      <c r="DWS132" s="118"/>
      <c r="DWT132" s="118"/>
      <c r="DWU132" s="118"/>
      <c r="DWV132" s="118"/>
      <c r="DWW132" s="118"/>
      <c r="DWX132" s="118"/>
      <c r="DWY132" s="118"/>
      <c r="DWZ132" s="118"/>
      <c r="DXA132" s="118"/>
      <c r="DXB132" s="118"/>
      <c r="DXC132" s="118"/>
      <c r="DXD132" s="118"/>
      <c r="DXE132" s="118"/>
      <c r="DXF132" s="118"/>
      <c r="DXG132" s="118"/>
      <c r="DXH132" s="118"/>
      <c r="DXI132" s="118"/>
      <c r="DXJ132" s="118"/>
      <c r="DXK132" s="118"/>
      <c r="DXL132" s="118"/>
      <c r="DXM132" s="118"/>
      <c r="DXN132" s="118"/>
      <c r="DXO132" s="118"/>
      <c r="DXP132" s="118"/>
      <c r="DXQ132" s="118"/>
      <c r="DXR132" s="118"/>
      <c r="DXS132" s="118"/>
      <c r="DXT132" s="118"/>
      <c r="DXU132" s="118"/>
      <c r="DXV132" s="118"/>
      <c r="DXW132" s="118"/>
      <c r="DXX132" s="118"/>
      <c r="DXY132" s="118"/>
      <c r="DXZ132" s="118"/>
      <c r="DYA132" s="118"/>
      <c r="DYB132" s="118"/>
      <c r="DYC132" s="118"/>
      <c r="DYD132" s="118"/>
      <c r="DYE132" s="118"/>
      <c r="DYF132" s="118"/>
      <c r="DYG132" s="118"/>
      <c r="DYH132" s="118"/>
      <c r="DYI132" s="118"/>
      <c r="DYJ132" s="118"/>
      <c r="DYK132" s="118"/>
      <c r="DYL132" s="118"/>
      <c r="DYM132" s="118"/>
      <c r="DYN132" s="118"/>
      <c r="DYO132" s="118"/>
      <c r="DYP132" s="118"/>
      <c r="DYQ132" s="118"/>
      <c r="DYR132" s="118"/>
      <c r="DYS132" s="118"/>
      <c r="DYT132" s="118"/>
      <c r="DYU132" s="118"/>
      <c r="DYV132" s="118"/>
      <c r="DYW132" s="118"/>
      <c r="DYX132" s="118"/>
      <c r="DYY132" s="118"/>
      <c r="DYZ132" s="118"/>
      <c r="DZA132" s="118"/>
      <c r="DZB132" s="118"/>
      <c r="DZC132" s="118"/>
      <c r="DZD132" s="118"/>
      <c r="DZE132" s="118"/>
      <c r="DZF132" s="118"/>
      <c r="DZG132" s="118"/>
      <c r="DZH132" s="118"/>
      <c r="DZI132" s="118"/>
      <c r="DZJ132" s="118"/>
      <c r="DZK132" s="118"/>
      <c r="DZL132" s="118"/>
      <c r="DZM132" s="118"/>
      <c r="DZN132" s="118"/>
      <c r="DZO132" s="118"/>
      <c r="DZP132" s="118"/>
      <c r="DZQ132" s="118"/>
      <c r="DZR132" s="118"/>
      <c r="DZS132" s="118"/>
      <c r="DZT132" s="118"/>
      <c r="DZU132" s="118"/>
      <c r="DZV132" s="118"/>
      <c r="DZW132" s="118"/>
      <c r="DZX132" s="118"/>
      <c r="DZY132" s="118"/>
      <c r="DZZ132" s="118"/>
      <c r="EAA132" s="118"/>
      <c r="EAB132" s="118"/>
      <c r="EAC132" s="118"/>
      <c r="EAD132" s="118"/>
      <c r="EAE132" s="118"/>
      <c r="EAF132" s="118"/>
      <c r="EAG132" s="118"/>
      <c r="EAH132" s="118"/>
      <c r="EAI132" s="118"/>
      <c r="EAJ132" s="118"/>
      <c r="EAK132" s="118"/>
      <c r="EAL132" s="118"/>
      <c r="EAM132" s="118"/>
      <c r="EAN132" s="118"/>
      <c r="EAO132" s="118"/>
      <c r="EAP132" s="118"/>
      <c r="EAQ132" s="118"/>
      <c r="EAR132" s="118"/>
      <c r="EAS132" s="118"/>
      <c r="EAT132" s="118"/>
      <c r="EAU132" s="118"/>
      <c r="EAV132" s="118"/>
      <c r="EAW132" s="118"/>
      <c r="EAX132" s="118"/>
      <c r="EAY132" s="118"/>
      <c r="EAZ132" s="118"/>
      <c r="EBA132" s="118"/>
      <c r="EBB132" s="118"/>
      <c r="EBC132" s="118"/>
      <c r="EBD132" s="118"/>
      <c r="EBE132" s="118"/>
      <c r="EBF132" s="118"/>
      <c r="EBG132" s="118"/>
      <c r="EBH132" s="118"/>
      <c r="EBI132" s="118"/>
      <c r="EBJ132" s="118"/>
      <c r="EBK132" s="118"/>
      <c r="EBL132" s="118"/>
      <c r="EBM132" s="118"/>
      <c r="EBN132" s="118"/>
      <c r="EBO132" s="118"/>
      <c r="EBP132" s="118"/>
      <c r="EBQ132" s="118"/>
      <c r="EBR132" s="118"/>
      <c r="EBS132" s="118"/>
      <c r="EBT132" s="118"/>
      <c r="EBU132" s="118"/>
      <c r="EBV132" s="118"/>
      <c r="EBW132" s="118"/>
      <c r="EBX132" s="118"/>
      <c r="EBY132" s="118"/>
      <c r="EBZ132" s="118"/>
      <c r="ECA132" s="118"/>
      <c r="ECB132" s="118"/>
      <c r="ECC132" s="118"/>
      <c r="ECD132" s="118"/>
      <c r="ECE132" s="118"/>
      <c r="ECF132" s="118"/>
      <c r="ECG132" s="118"/>
      <c r="ECH132" s="118"/>
      <c r="ECI132" s="118"/>
      <c r="ECJ132" s="118"/>
      <c r="ECK132" s="118"/>
      <c r="ECL132" s="118"/>
      <c r="ECM132" s="118"/>
      <c r="ECN132" s="118"/>
      <c r="ECO132" s="118"/>
      <c r="ECP132" s="118"/>
      <c r="ECQ132" s="118"/>
      <c r="ECR132" s="118"/>
      <c r="ECS132" s="118"/>
      <c r="ECT132" s="118"/>
      <c r="ECU132" s="118"/>
      <c r="ECV132" s="118"/>
      <c r="ECW132" s="118"/>
      <c r="ECX132" s="118"/>
      <c r="ECY132" s="118"/>
      <c r="ECZ132" s="118"/>
      <c r="EDA132" s="118"/>
      <c r="EDB132" s="118"/>
      <c r="EDC132" s="118"/>
      <c r="EDD132" s="118"/>
      <c r="EDE132" s="118"/>
      <c r="EDF132" s="118"/>
      <c r="EDG132" s="118"/>
      <c r="EDH132" s="118"/>
      <c r="EDI132" s="118"/>
      <c r="EDJ132" s="118"/>
      <c r="EDK132" s="118"/>
      <c r="EDL132" s="118"/>
      <c r="EDM132" s="118"/>
      <c r="EDN132" s="118"/>
      <c r="EDO132" s="118"/>
      <c r="EDP132" s="118"/>
      <c r="EDQ132" s="118"/>
      <c r="EDR132" s="118"/>
      <c r="EDS132" s="118"/>
      <c r="EDT132" s="118"/>
      <c r="EDU132" s="118"/>
      <c r="EDV132" s="118"/>
      <c r="EDW132" s="118"/>
      <c r="EDX132" s="118"/>
      <c r="EDY132" s="118"/>
      <c r="EDZ132" s="118"/>
      <c r="EEA132" s="118"/>
      <c r="EEB132" s="118"/>
      <c r="EEC132" s="118"/>
      <c r="EED132" s="118"/>
      <c r="EEE132" s="118"/>
      <c r="EEF132" s="118"/>
      <c r="EEG132" s="118"/>
      <c r="EEH132" s="118"/>
      <c r="EEI132" s="118"/>
      <c r="EEJ132" s="118"/>
      <c r="EEK132" s="118"/>
      <c r="EEL132" s="118"/>
      <c r="EEM132" s="118"/>
      <c r="EEN132" s="118"/>
      <c r="EEO132" s="118"/>
      <c r="EEP132" s="118"/>
      <c r="EEQ132" s="118"/>
      <c r="EER132" s="118"/>
      <c r="EES132" s="118"/>
      <c r="EET132" s="118"/>
      <c r="EEU132" s="118"/>
      <c r="EEV132" s="118"/>
      <c r="EEW132" s="118"/>
      <c r="EEX132" s="118"/>
      <c r="EEY132" s="118"/>
      <c r="EEZ132" s="118"/>
      <c r="EFA132" s="118"/>
      <c r="EFB132" s="118"/>
      <c r="EFC132" s="118"/>
      <c r="EFD132" s="118"/>
      <c r="EFE132" s="118"/>
      <c r="EFF132" s="118"/>
      <c r="EFG132" s="118"/>
      <c r="EFH132" s="118"/>
      <c r="EFI132" s="118"/>
      <c r="EFJ132" s="118"/>
      <c r="EFK132" s="118"/>
      <c r="EFL132" s="118"/>
      <c r="EFM132" s="118"/>
      <c r="EFN132" s="118"/>
      <c r="EFO132" s="118"/>
      <c r="EFP132" s="118"/>
      <c r="EFQ132" s="118"/>
      <c r="EFR132" s="118"/>
      <c r="EFS132" s="118"/>
      <c r="EFT132" s="118"/>
      <c r="EFU132" s="118"/>
      <c r="EFV132" s="118"/>
      <c r="EFW132" s="118"/>
      <c r="EFX132" s="118"/>
      <c r="EFY132" s="118"/>
      <c r="EFZ132" s="118"/>
      <c r="EGA132" s="118"/>
      <c r="EGB132" s="118"/>
      <c r="EGC132" s="118"/>
      <c r="EGD132" s="118"/>
      <c r="EGE132" s="118"/>
      <c r="EGF132" s="118"/>
      <c r="EGG132" s="118"/>
      <c r="EGH132" s="118"/>
      <c r="EGI132" s="118"/>
      <c r="EGJ132" s="118"/>
      <c r="EGK132" s="118"/>
      <c r="EGL132" s="118"/>
      <c r="EGM132" s="118"/>
      <c r="EGN132" s="118"/>
      <c r="EGO132" s="118"/>
      <c r="EGP132" s="118"/>
      <c r="EGQ132" s="118"/>
      <c r="EGR132" s="118"/>
      <c r="EGS132" s="118"/>
      <c r="EGT132" s="118"/>
      <c r="EGU132" s="118"/>
      <c r="EGV132" s="118"/>
      <c r="EGW132" s="118"/>
      <c r="EGX132" s="118"/>
      <c r="EGY132" s="118"/>
      <c r="EGZ132" s="118"/>
      <c r="EHA132" s="118"/>
      <c r="EHB132" s="118"/>
      <c r="EHC132" s="118"/>
      <c r="EHD132" s="118"/>
      <c r="EHE132" s="118"/>
      <c r="EHF132" s="118"/>
      <c r="EHG132" s="118"/>
      <c r="EHH132" s="118"/>
      <c r="EHI132" s="118"/>
      <c r="EHJ132" s="118"/>
      <c r="EHK132" s="118"/>
      <c r="EHL132" s="118"/>
      <c r="EHM132" s="118"/>
      <c r="EHN132" s="118"/>
      <c r="EHO132" s="118"/>
      <c r="EHP132" s="118"/>
      <c r="EHQ132" s="118"/>
      <c r="EHR132" s="118"/>
      <c r="EHS132" s="118"/>
      <c r="EHT132" s="118"/>
      <c r="EHU132" s="118"/>
      <c r="EHV132" s="118"/>
      <c r="EHW132" s="118"/>
      <c r="EHX132" s="118"/>
      <c r="EHY132" s="118"/>
      <c r="EHZ132" s="118"/>
      <c r="EIA132" s="118"/>
      <c r="EIB132" s="118"/>
      <c r="EIC132" s="118"/>
      <c r="EID132" s="118"/>
      <c r="EIE132" s="118"/>
      <c r="EIF132" s="118"/>
      <c r="EIG132" s="118"/>
      <c r="EIH132" s="118"/>
      <c r="EII132" s="118"/>
      <c r="EIJ132" s="118"/>
      <c r="EIK132" s="118"/>
      <c r="EIL132" s="118"/>
      <c r="EIM132" s="118"/>
      <c r="EIN132" s="118"/>
      <c r="EIO132" s="118"/>
      <c r="EIP132" s="118"/>
      <c r="EIQ132" s="118"/>
      <c r="EIR132" s="118"/>
      <c r="EIS132" s="118"/>
      <c r="EIT132" s="118"/>
      <c r="EIU132" s="118"/>
      <c r="EIV132" s="118"/>
      <c r="EIW132" s="118"/>
      <c r="EIX132" s="118"/>
      <c r="EIY132" s="118"/>
      <c r="EIZ132" s="118"/>
      <c r="EJA132" s="118"/>
      <c r="EJB132" s="118"/>
      <c r="EJC132" s="118"/>
      <c r="EJD132" s="118"/>
      <c r="EJE132" s="118"/>
      <c r="EJF132" s="118"/>
      <c r="EJG132" s="118"/>
      <c r="EJH132" s="118"/>
      <c r="EJI132" s="118"/>
      <c r="EJJ132" s="118"/>
      <c r="EJK132" s="118"/>
      <c r="EJL132" s="118"/>
      <c r="EJM132" s="118"/>
      <c r="EJN132" s="118"/>
      <c r="EJO132" s="118"/>
      <c r="EJP132" s="118"/>
      <c r="EJQ132" s="118"/>
      <c r="EJR132" s="118"/>
      <c r="EJS132" s="118"/>
      <c r="EJT132" s="118"/>
      <c r="EJU132" s="118"/>
      <c r="EJV132" s="118"/>
      <c r="EJW132" s="118"/>
      <c r="EJX132" s="118"/>
      <c r="EJY132" s="118"/>
      <c r="EJZ132" s="118"/>
      <c r="EKA132" s="118"/>
      <c r="EKB132" s="118"/>
      <c r="EKC132" s="118"/>
      <c r="EKD132" s="118"/>
      <c r="EKE132" s="118"/>
      <c r="EKF132" s="118"/>
      <c r="EKG132" s="118"/>
      <c r="EKH132" s="118"/>
      <c r="EKI132" s="118"/>
      <c r="EKJ132" s="118"/>
      <c r="EKK132" s="118"/>
      <c r="EKL132" s="118"/>
      <c r="EKM132" s="118"/>
      <c r="EKN132" s="118"/>
      <c r="EKO132" s="118"/>
      <c r="EKP132" s="118"/>
      <c r="EKQ132" s="118"/>
      <c r="EKR132" s="118"/>
      <c r="EKS132" s="118"/>
      <c r="EKT132" s="118"/>
      <c r="EKU132" s="118"/>
      <c r="EKV132" s="118"/>
      <c r="EKW132" s="118"/>
      <c r="EKX132" s="118"/>
      <c r="EKY132" s="118"/>
      <c r="EKZ132" s="118"/>
      <c r="ELA132" s="118"/>
      <c r="ELB132" s="118"/>
      <c r="ELC132" s="118"/>
      <c r="ELD132" s="118"/>
      <c r="ELE132" s="118"/>
      <c r="ELF132" s="118"/>
      <c r="ELG132" s="118"/>
      <c r="ELH132" s="118"/>
      <c r="ELI132" s="118"/>
      <c r="ELJ132" s="118"/>
      <c r="ELK132" s="118"/>
      <c r="ELL132" s="118"/>
      <c r="ELM132" s="118"/>
      <c r="ELN132" s="118"/>
      <c r="ELO132" s="118"/>
      <c r="ELP132" s="118"/>
      <c r="ELQ132" s="118"/>
      <c r="ELR132" s="118"/>
      <c r="ELS132" s="118"/>
      <c r="ELT132" s="118"/>
      <c r="ELU132" s="118"/>
      <c r="ELV132" s="118"/>
      <c r="ELW132" s="118"/>
      <c r="ELX132" s="118"/>
      <c r="ELY132" s="118"/>
      <c r="ELZ132" s="118"/>
      <c r="EMA132" s="118"/>
      <c r="EMB132" s="118"/>
      <c r="EMC132" s="118"/>
      <c r="EMD132" s="118"/>
      <c r="EME132" s="118"/>
      <c r="EMF132" s="118"/>
      <c r="EMG132" s="118"/>
      <c r="EMH132" s="118"/>
      <c r="EMI132" s="118"/>
      <c r="EMJ132" s="118"/>
      <c r="EMK132" s="118"/>
      <c r="EML132" s="118"/>
      <c r="EMM132" s="118"/>
      <c r="EMN132" s="118"/>
      <c r="EMO132" s="118"/>
      <c r="EMP132" s="118"/>
      <c r="EMQ132" s="118"/>
      <c r="EMR132" s="118"/>
      <c r="EMS132" s="118"/>
      <c r="EMT132" s="118"/>
      <c r="EMU132" s="118"/>
      <c r="EMV132" s="118"/>
      <c r="EMW132" s="118"/>
      <c r="EMX132" s="118"/>
      <c r="EMY132" s="118"/>
      <c r="EMZ132" s="118"/>
      <c r="ENA132" s="118"/>
      <c r="ENB132" s="118"/>
      <c r="ENC132" s="118"/>
      <c r="END132" s="118"/>
      <c r="ENE132" s="118"/>
      <c r="ENF132" s="118"/>
      <c r="ENG132" s="118"/>
      <c r="ENH132" s="118"/>
      <c r="ENI132" s="118"/>
      <c r="ENJ132" s="118"/>
      <c r="ENK132" s="118"/>
      <c r="ENL132" s="118"/>
      <c r="ENM132" s="118"/>
      <c r="ENN132" s="118"/>
      <c r="ENO132" s="118"/>
      <c r="ENP132" s="118"/>
      <c r="ENQ132" s="118"/>
      <c r="ENR132" s="118"/>
      <c r="ENS132" s="118"/>
      <c r="ENT132" s="118"/>
      <c r="ENU132" s="118"/>
      <c r="ENV132" s="118"/>
      <c r="ENW132" s="118"/>
      <c r="ENX132" s="118"/>
      <c r="ENY132" s="118"/>
      <c r="ENZ132" s="118"/>
      <c r="EOA132" s="118"/>
      <c r="EOB132" s="118"/>
      <c r="EOC132" s="118"/>
      <c r="EOD132" s="118"/>
      <c r="EOE132" s="118"/>
      <c r="EOF132" s="118"/>
      <c r="EOG132" s="118"/>
      <c r="EOH132" s="118"/>
      <c r="EOI132" s="118"/>
      <c r="EOJ132" s="118"/>
      <c r="EOK132" s="118"/>
      <c r="EOL132" s="118"/>
      <c r="EOM132" s="118"/>
      <c r="EON132" s="118"/>
      <c r="EOO132" s="118"/>
      <c r="EOP132" s="118"/>
      <c r="EOQ132" s="118"/>
      <c r="EOR132" s="118"/>
      <c r="EOS132" s="118"/>
      <c r="EOT132" s="118"/>
      <c r="EOU132" s="118"/>
      <c r="EOV132" s="118"/>
      <c r="EOW132" s="118"/>
      <c r="EOX132" s="118"/>
      <c r="EOY132" s="118"/>
      <c r="EOZ132" s="118"/>
      <c r="EPA132" s="118"/>
      <c r="EPB132" s="118"/>
      <c r="EPC132" s="118"/>
      <c r="EPD132" s="118"/>
      <c r="EPE132" s="118"/>
      <c r="EPF132" s="118"/>
      <c r="EPG132" s="118"/>
      <c r="EPH132" s="118"/>
      <c r="EPI132" s="118"/>
      <c r="EPJ132" s="118"/>
      <c r="EPK132" s="118"/>
      <c r="EPL132" s="118"/>
      <c r="EPM132" s="118"/>
      <c r="EPN132" s="118"/>
      <c r="EPO132" s="118"/>
      <c r="EPP132" s="118"/>
      <c r="EPQ132" s="118"/>
      <c r="EPR132" s="118"/>
      <c r="EPS132" s="118"/>
      <c r="EPT132" s="118"/>
      <c r="EPU132" s="118"/>
      <c r="EPV132" s="118"/>
      <c r="EPW132" s="118"/>
      <c r="EPX132" s="118"/>
      <c r="EPY132" s="118"/>
      <c r="EPZ132" s="118"/>
      <c r="EQA132" s="118"/>
      <c r="EQB132" s="118"/>
      <c r="EQC132" s="118"/>
      <c r="EQD132" s="118"/>
      <c r="EQE132" s="118"/>
      <c r="EQF132" s="118"/>
      <c r="EQG132" s="118"/>
      <c r="EQH132" s="118"/>
      <c r="EQI132" s="118"/>
      <c r="EQJ132" s="118"/>
      <c r="EQK132" s="118"/>
      <c r="EQL132" s="118"/>
      <c r="EQM132" s="118"/>
      <c r="EQN132" s="118"/>
      <c r="EQO132" s="118"/>
      <c r="EQP132" s="118"/>
      <c r="EQQ132" s="118"/>
      <c r="EQR132" s="118"/>
      <c r="EQS132" s="118"/>
      <c r="EQT132" s="118"/>
      <c r="EQU132" s="118"/>
      <c r="EQV132" s="118"/>
      <c r="EQW132" s="118"/>
      <c r="EQX132" s="118"/>
      <c r="EQY132" s="118"/>
      <c r="EQZ132" s="118"/>
      <c r="ERA132" s="118"/>
      <c r="ERB132" s="118"/>
      <c r="ERC132" s="118"/>
      <c r="ERD132" s="118"/>
      <c r="ERE132" s="118"/>
      <c r="ERF132" s="118"/>
      <c r="ERG132" s="118"/>
      <c r="ERH132" s="118"/>
      <c r="ERI132" s="118"/>
      <c r="ERJ132" s="118"/>
      <c r="ERK132" s="118"/>
      <c r="ERL132" s="118"/>
      <c r="ERM132" s="118"/>
      <c r="ERN132" s="118"/>
      <c r="ERO132" s="118"/>
      <c r="ERP132" s="118"/>
      <c r="ERQ132" s="118"/>
      <c r="ERR132" s="118"/>
      <c r="ERS132" s="118"/>
      <c r="ERT132" s="118"/>
      <c r="ERU132" s="118"/>
      <c r="ERV132" s="118"/>
      <c r="ERW132" s="118"/>
      <c r="ERX132" s="118"/>
      <c r="ERY132" s="118"/>
      <c r="ERZ132" s="118"/>
      <c r="ESA132" s="118"/>
      <c r="ESB132" s="118"/>
      <c r="ESC132" s="118"/>
      <c r="ESD132" s="118"/>
      <c r="ESE132" s="118"/>
      <c r="ESF132" s="118"/>
      <c r="ESG132" s="118"/>
      <c r="ESH132" s="118"/>
      <c r="ESI132" s="118"/>
      <c r="ESJ132" s="118"/>
      <c r="ESK132" s="118"/>
      <c r="ESL132" s="118"/>
      <c r="ESM132" s="118"/>
      <c r="ESN132" s="118"/>
      <c r="ESO132" s="118"/>
      <c r="ESP132" s="118"/>
      <c r="ESQ132" s="118"/>
      <c r="ESR132" s="118"/>
      <c r="ESS132" s="118"/>
      <c r="EST132" s="118"/>
      <c r="ESU132" s="118"/>
      <c r="ESV132" s="118"/>
      <c r="ESW132" s="118"/>
      <c r="ESX132" s="118"/>
      <c r="ESY132" s="118"/>
      <c r="ESZ132" s="118"/>
      <c r="ETA132" s="118"/>
      <c r="ETB132" s="118"/>
      <c r="ETC132" s="118"/>
      <c r="ETD132" s="118"/>
      <c r="ETE132" s="118"/>
      <c r="ETF132" s="118"/>
      <c r="ETG132" s="118"/>
      <c r="ETH132" s="118"/>
      <c r="ETI132" s="118"/>
      <c r="ETJ132" s="118"/>
      <c r="ETK132" s="118"/>
      <c r="ETL132" s="118"/>
      <c r="ETM132" s="118"/>
      <c r="ETN132" s="118"/>
      <c r="ETO132" s="118"/>
      <c r="ETP132" s="118"/>
      <c r="ETQ132" s="118"/>
      <c r="ETR132" s="118"/>
      <c r="ETS132" s="118"/>
      <c r="ETT132" s="118"/>
      <c r="ETU132" s="118"/>
      <c r="ETV132" s="118"/>
      <c r="ETW132" s="118"/>
      <c r="ETX132" s="118"/>
      <c r="ETY132" s="118"/>
      <c r="ETZ132" s="118"/>
      <c r="EUA132" s="118"/>
      <c r="EUB132" s="118"/>
      <c r="EUC132" s="118"/>
      <c r="EUD132" s="118"/>
      <c r="EUE132" s="118"/>
      <c r="EUF132" s="118"/>
      <c r="EUG132" s="118"/>
      <c r="EUH132" s="118"/>
      <c r="EUI132" s="118"/>
      <c r="EUJ132" s="118"/>
      <c r="EUK132" s="118"/>
      <c r="EUL132" s="118"/>
      <c r="EUM132" s="118"/>
      <c r="EUN132" s="118"/>
      <c r="EUO132" s="118"/>
      <c r="EUP132" s="118"/>
      <c r="EUQ132" s="118"/>
      <c r="EUR132" s="118"/>
      <c r="EUS132" s="118"/>
      <c r="EUT132" s="118"/>
      <c r="EUU132" s="118"/>
      <c r="EUV132" s="118"/>
      <c r="EUW132" s="118"/>
      <c r="EUX132" s="118"/>
      <c r="EUY132" s="118"/>
      <c r="EUZ132" s="118"/>
      <c r="EVA132" s="118"/>
      <c r="EVB132" s="118"/>
      <c r="EVC132" s="118"/>
      <c r="EVD132" s="118"/>
      <c r="EVE132" s="118"/>
      <c r="EVF132" s="118"/>
      <c r="EVG132" s="118"/>
      <c r="EVH132" s="118"/>
      <c r="EVI132" s="118"/>
      <c r="EVJ132" s="118"/>
      <c r="EVK132" s="118"/>
      <c r="EVL132" s="118"/>
      <c r="EVM132" s="118"/>
      <c r="EVN132" s="118"/>
      <c r="EVO132" s="118"/>
      <c r="EVP132" s="118"/>
      <c r="EVQ132" s="118"/>
      <c r="EVR132" s="118"/>
      <c r="EVS132" s="118"/>
      <c r="EVT132" s="118"/>
      <c r="EVU132" s="118"/>
      <c r="EVV132" s="118"/>
      <c r="EVW132" s="118"/>
      <c r="EVX132" s="118"/>
      <c r="EVY132" s="118"/>
      <c r="EVZ132" s="118"/>
      <c r="EWA132" s="118"/>
      <c r="EWB132" s="118"/>
      <c r="EWC132" s="118"/>
      <c r="EWD132" s="118"/>
      <c r="EWE132" s="118"/>
      <c r="EWF132" s="118"/>
      <c r="EWG132" s="118"/>
      <c r="EWH132" s="118"/>
      <c r="EWI132" s="118"/>
      <c r="EWJ132" s="118"/>
      <c r="EWK132" s="118"/>
      <c r="EWL132" s="118"/>
      <c r="EWM132" s="118"/>
      <c r="EWN132" s="118"/>
      <c r="EWO132" s="118"/>
      <c r="EWP132" s="118"/>
      <c r="EWQ132" s="118"/>
      <c r="EWR132" s="118"/>
      <c r="EWS132" s="118"/>
      <c r="EWT132" s="118"/>
      <c r="EWU132" s="118"/>
      <c r="EWV132" s="118"/>
      <c r="EWW132" s="118"/>
      <c r="EWX132" s="118"/>
      <c r="EWY132" s="118"/>
      <c r="EWZ132" s="118"/>
      <c r="EXA132" s="118"/>
      <c r="EXB132" s="118"/>
      <c r="EXC132" s="118"/>
      <c r="EXD132" s="118"/>
      <c r="EXE132" s="118"/>
      <c r="EXF132" s="118"/>
      <c r="EXG132" s="118"/>
      <c r="EXH132" s="118"/>
      <c r="EXI132" s="118"/>
      <c r="EXJ132" s="118"/>
      <c r="EXK132" s="118"/>
      <c r="EXL132" s="118"/>
      <c r="EXM132" s="118"/>
      <c r="EXN132" s="118"/>
      <c r="EXO132" s="118"/>
      <c r="EXP132" s="118"/>
      <c r="EXQ132" s="118"/>
      <c r="EXR132" s="118"/>
      <c r="EXS132" s="118"/>
      <c r="EXT132" s="118"/>
      <c r="EXU132" s="118"/>
      <c r="EXV132" s="118"/>
      <c r="EXW132" s="118"/>
      <c r="EXX132" s="118"/>
      <c r="EXY132" s="118"/>
      <c r="EXZ132" s="118"/>
      <c r="EYA132" s="118"/>
      <c r="EYB132" s="118"/>
      <c r="EYC132" s="118"/>
      <c r="EYD132" s="118"/>
      <c r="EYE132" s="118"/>
      <c r="EYF132" s="118"/>
      <c r="EYG132" s="118"/>
      <c r="EYH132" s="118"/>
      <c r="EYI132" s="118"/>
      <c r="EYJ132" s="118"/>
      <c r="EYK132" s="118"/>
      <c r="EYL132" s="118"/>
      <c r="EYM132" s="118"/>
      <c r="EYN132" s="118"/>
      <c r="EYO132" s="118"/>
      <c r="EYP132" s="118"/>
      <c r="EYQ132" s="118"/>
      <c r="EYR132" s="118"/>
      <c r="EYS132" s="118"/>
      <c r="EYT132" s="118"/>
      <c r="EYU132" s="118"/>
      <c r="EYV132" s="118"/>
      <c r="EYW132" s="118"/>
      <c r="EYX132" s="118"/>
      <c r="EYY132" s="118"/>
      <c r="EYZ132" s="118"/>
      <c r="EZA132" s="118"/>
      <c r="EZB132" s="118"/>
      <c r="EZC132" s="118"/>
      <c r="EZD132" s="118"/>
      <c r="EZE132" s="118"/>
      <c r="EZF132" s="118"/>
      <c r="EZG132" s="118"/>
      <c r="EZH132" s="118"/>
      <c r="EZI132" s="118"/>
      <c r="EZJ132" s="118"/>
      <c r="EZK132" s="118"/>
      <c r="EZL132" s="118"/>
      <c r="EZM132" s="118"/>
      <c r="EZN132" s="118"/>
      <c r="EZO132" s="118"/>
      <c r="EZP132" s="118"/>
      <c r="EZQ132" s="118"/>
      <c r="EZR132" s="118"/>
      <c r="EZS132" s="118"/>
      <c r="EZT132" s="118"/>
      <c r="EZU132" s="118"/>
      <c r="EZV132" s="118"/>
      <c r="EZW132" s="118"/>
      <c r="EZX132" s="118"/>
      <c r="EZY132" s="118"/>
      <c r="EZZ132" s="118"/>
      <c r="FAA132" s="118"/>
      <c r="FAB132" s="118"/>
      <c r="FAC132" s="118"/>
      <c r="FAD132" s="118"/>
      <c r="FAE132" s="118"/>
      <c r="FAF132" s="118"/>
      <c r="FAG132" s="118"/>
      <c r="FAH132" s="118"/>
      <c r="FAI132" s="118"/>
      <c r="FAJ132" s="118"/>
      <c r="FAK132" s="118"/>
      <c r="FAL132" s="118"/>
      <c r="FAM132" s="118"/>
      <c r="FAN132" s="118"/>
      <c r="FAO132" s="118"/>
      <c r="FAP132" s="118"/>
      <c r="FAQ132" s="118"/>
      <c r="FAR132" s="118"/>
      <c r="FAS132" s="118"/>
      <c r="FAT132" s="118"/>
      <c r="FAU132" s="118"/>
      <c r="FAV132" s="118"/>
      <c r="FAW132" s="118"/>
      <c r="FAX132" s="118"/>
      <c r="FAY132" s="118"/>
      <c r="FAZ132" s="118"/>
      <c r="FBA132" s="118"/>
      <c r="FBB132" s="118"/>
      <c r="FBC132" s="118"/>
      <c r="FBD132" s="118"/>
      <c r="FBE132" s="118"/>
      <c r="FBF132" s="118"/>
      <c r="FBG132" s="118"/>
      <c r="FBH132" s="118"/>
      <c r="FBI132" s="118"/>
      <c r="FBJ132" s="118"/>
      <c r="FBK132" s="118"/>
      <c r="FBL132" s="118"/>
      <c r="FBM132" s="118"/>
      <c r="FBN132" s="118"/>
      <c r="FBO132" s="118"/>
      <c r="FBP132" s="118"/>
      <c r="FBQ132" s="118"/>
      <c r="FBR132" s="118"/>
      <c r="FBS132" s="118"/>
      <c r="FBT132" s="118"/>
      <c r="FBU132" s="118"/>
      <c r="FBV132" s="118"/>
      <c r="FBW132" s="118"/>
      <c r="FBX132" s="118"/>
      <c r="FBY132" s="118"/>
      <c r="FBZ132" s="118"/>
      <c r="FCA132" s="118"/>
      <c r="FCB132" s="118"/>
      <c r="FCC132" s="118"/>
      <c r="FCD132" s="118"/>
      <c r="FCE132" s="118"/>
      <c r="FCF132" s="118"/>
      <c r="FCG132" s="118"/>
      <c r="FCH132" s="118"/>
      <c r="FCI132" s="118"/>
      <c r="FCJ132" s="118"/>
      <c r="FCK132" s="118"/>
      <c r="FCL132" s="118"/>
      <c r="FCM132" s="118"/>
      <c r="FCN132" s="118"/>
      <c r="FCO132" s="118"/>
      <c r="FCP132" s="118"/>
      <c r="FCQ132" s="118"/>
      <c r="FCR132" s="118"/>
      <c r="FCS132" s="118"/>
      <c r="FCT132" s="118"/>
      <c r="FCU132" s="118"/>
      <c r="FCV132" s="118"/>
      <c r="FCW132" s="118"/>
      <c r="FCX132" s="118"/>
      <c r="FCY132" s="118"/>
      <c r="FCZ132" s="118"/>
      <c r="FDA132" s="118"/>
      <c r="FDB132" s="118"/>
      <c r="FDC132" s="118"/>
      <c r="FDD132" s="118"/>
      <c r="FDE132" s="118"/>
      <c r="FDF132" s="118"/>
      <c r="FDG132" s="118"/>
      <c r="FDH132" s="118"/>
      <c r="FDI132" s="118"/>
      <c r="FDJ132" s="118"/>
      <c r="FDK132" s="118"/>
      <c r="FDL132" s="118"/>
      <c r="FDM132" s="118"/>
      <c r="FDN132" s="118"/>
      <c r="FDO132" s="118"/>
      <c r="FDP132" s="118"/>
      <c r="FDQ132" s="118"/>
      <c r="FDR132" s="118"/>
      <c r="FDS132" s="118"/>
      <c r="FDT132" s="118"/>
      <c r="FDU132" s="118"/>
      <c r="FDV132" s="118"/>
      <c r="FDW132" s="118"/>
      <c r="FDX132" s="118"/>
      <c r="FDY132" s="118"/>
      <c r="FDZ132" s="118"/>
      <c r="FEA132" s="118"/>
      <c r="FEB132" s="118"/>
      <c r="FEC132" s="118"/>
      <c r="FED132" s="118"/>
      <c r="FEE132" s="118"/>
      <c r="FEF132" s="118"/>
      <c r="FEG132" s="118"/>
      <c r="FEH132" s="118"/>
      <c r="FEI132" s="118"/>
      <c r="FEJ132" s="118"/>
      <c r="FEK132" s="118"/>
      <c r="FEL132" s="118"/>
      <c r="FEM132" s="118"/>
      <c r="FEN132" s="118"/>
      <c r="FEO132" s="118"/>
      <c r="FEP132" s="118"/>
      <c r="FEQ132" s="118"/>
      <c r="FER132" s="118"/>
      <c r="FES132" s="118"/>
      <c r="FET132" s="118"/>
      <c r="FEU132" s="118"/>
      <c r="FEV132" s="118"/>
      <c r="FEW132" s="118"/>
      <c r="FEX132" s="118"/>
      <c r="FEY132" s="118"/>
      <c r="FEZ132" s="118"/>
      <c r="FFA132" s="118"/>
      <c r="FFB132" s="118"/>
      <c r="FFC132" s="118"/>
      <c r="FFD132" s="118"/>
      <c r="FFE132" s="118"/>
      <c r="FFF132" s="118"/>
      <c r="FFG132" s="118"/>
      <c r="FFH132" s="118"/>
      <c r="FFI132" s="118"/>
      <c r="FFJ132" s="118"/>
      <c r="FFK132" s="118"/>
      <c r="FFL132" s="118"/>
      <c r="FFM132" s="118"/>
      <c r="FFN132" s="118"/>
      <c r="FFO132" s="118"/>
      <c r="FFP132" s="118"/>
      <c r="FFQ132" s="118"/>
      <c r="FFR132" s="118"/>
      <c r="FFS132" s="118"/>
      <c r="FFT132" s="118"/>
      <c r="FFU132" s="118"/>
      <c r="FFV132" s="118"/>
      <c r="FFW132" s="118"/>
      <c r="FFX132" s="118"/>
      <c r="FFY132" s="118"/>
      <c r="FFZ132" s="118"/>
      <c r="FGA132" s="118"/>
      <c r="FGB132" s="118"/>
      <c r="FGC132" s="118"/>
      <c r="FGD132" s="118"/>
      <c r="FGE132" s="118"/>
      <c r="FGF132" s="118"/>
      <c r="FGG132" s="118"/>
      <c r="FGH132" s="118"/>
      <c r="FGI132" s="118"/>
      <c r="FGJ132" s="118"/>
      <c r="FGK132" s="118"/>
      <c r="FGL132" s="118"/>
      <c r="FGM132" s="118"/>
      <c r="FGN132" s="118"/>
      <c r="FGO132" s="118"/>
      <c r="FGP132" s="118"/>
      <c r="FGQ132" s="118"/>
      <c r="FGR132" s="118"/>
      <c r="FGS132" s="118"/>
      <c r="FGT132" s="118"/>
      <c r="FGU132" s="118"/>
      <c r="FGV132" s="118"/>
      <c r="FGW132" s="118"/>
      <c r="FGX132" s="118"/>
      <c r="FGY132" s="118"/>
      <c r="FGZ132" s="118"/>
      <c r="FHA132" s="118"/>
      <c r="FHB132" s="118"/>
      <c r="FHC132" s="118"/>
      <c r="FHD132" s="118"/>
      <c r="FHE132" s="118"/>
      <c r="FHF132" s="118"/>
      <c r="FHG132" s="118"/>
      <c r="FHH132" s="118"/>
      <c r="FHI132" s="118"/>
      <c r="FHJ132" s="118"/>
      <c r="FHK132" s="118"/>
      <c r="FHL132" s="118"/>
      <c r="FHM132" s="118"/>
      <c r="FHN132" s="118"/>
      <c r="FHO132" s="118"/>
      <c r="FHP132" s="118"/>
      <c r="FHQ132" s="118"/>
      <c r="FHR132" s="118"/>
      <c r="FHS132" s="118"/>
      <c r="FHT132" s="118"/>
      <c r="FHU132" s="118"/>
      <c r="FHV132" s="118"/>
      <c r="FHW132" s="118"/>
      <c r="FHX132" s="118"/>
      <c r="FHY132" s="118"/>
      <c r="FHZ132" s="118"/>
      <c r="FIA132" s="118"/>
      <c r="FIB132" s="118"/>
      <c r="FIC132" s="118"/>
      <c r="FID132" s="118"/>
      <c r="FIE132" s="118"/>
      <c r="FIF132" s="118"/>
      <c r="FIG132" s="118"/>
      <c r="FIH132" s="118"/>
      <c r="FII132" s="118"/>
      <c r="FIJ132" s="118"/>
      <c r="FIK132" s="118"/>
      <c r="FIL132" s="118"/>
      <c r="FIM132" s="118"/>
      <c r="FIN132" s="118"/>
      <c r="FIO132" s="118"/>
      <c r="FIP132" s="118"/>
      <c r="FIQ132" s="118"/>
      <c r="FIR132" s="118"/>
      <c r="FIS132" s="118"/>
      <c r="FIT132" s="118"/>
      <c r="FIU132" s="118"/>
      <c r="FIV132" s="118"/>
      <c r="FIW132" s="118"/>
      <c r="FIX132" s="118"/>
      <c r="FIY132" s="118"/>
      <c r="FIZ132" s="118"/>
      <c r="FJA132" s="118"/>
      <c r="FJB132" s="118"/>
      <c r="FJC132" s="118"/>
      <c r="FJD132" s="118"/>
      <c r="FJE132" s="118"/>
      <c r="FJF132" s="118"/>
      <c r="FJG132" s="118"/>
      <c r="FJH132" s="118"/>
      <c r="FJI132" s="118"/>
      <c r="FJJ132" s="118"/>
      <c r="FJK132" s="118"/>
      <c r="FJL132" s="118"/>
      <c r="FJM132" s="118"/>
      <c r="FJN132" s="118"/>
      <c r="FJO132" s="118"/>
      <c r="FJP132" s="118"/>
      <c r="FJQ132" s="118"/>
      <c r="FJR132" s="118"/>
      <c r="FJS132" s="118"/>
      <c r="FJT132" s="118"/>
      <c r="FJU132" s="118"/>
      <c r="FJV132" s="118"/>
      <c r="FJW132" s="118"/>
      <c r="FJX132" s="118"/>
      <c r="FJY132" s="118"/>
      <c r="FJZ132" s="118"/>
      <c r="FKA132" s="118"/>
      <c r="FKB132" s="118"/>
      <c r="FKC132" s="118"/>
      <c r="FKD132" s="118"/>
      <c r="FKE132" s="118"/>
      <c r="FKF132" s="118"/>
      <c r="FKG132" s="118"/>
      <c r="FKH132" s="118"/>
      <c r="FKI132" s="118"/>
      <c r="FKJ132" s="118"/>
      <c r="FKK132" s="118"/>
      <c r="FKL132" s="118"/>
      <c r="FKM132" s="118"/>
      <c r="FKN132" s="118"/>
      <c r="FKO132" s="118"/>
      <c r="FKP132" s="118"/>
      <c r="FKQ132" s="118"/>
      <c r="FKR132" s="118"/>
      <c r="FKS132" s="118"/>
      <c r="FKT132" s="118"/>
      <c r="FKU132" s="118"/>
      <c r="FKV132" s="118"/>
      <c r="FKW132" s="118"/>
      <c r="FKX132" s="118"/>
      <c r="FKY132" s="118"/>
      <c r="FKZ132" s="118"/>
      <c r="FLA132" s="118"/>
      <c r="FLB132" s="118"/>
      <c r="FLC132" s="118"/>
      <c r="FLD132" s="118"/>
      <c r="FLE132" s="118"/>
      <c r="FLF132" s="118"/>
      <c r="FLG132" s="118"/>
      <c r="FLH132" s="118"/>
      <c r="FLI132" s="118"/>
      <c r="FLJ132" s="118"/>
      <c r="FLK132" s="118"/>
      <c r="FLL132" s="118"/>
      <c r="FLM132" s="118"/>
      <c r="FLN132" s="118"/>
      <c r="FLO132" s="118"/>
      <c r="FLP132" s="118"/>
      <c r="FLQ132" s="118"/>
      <c r="FLR132" s="118"/>
      <c r="FLS132" s="118"/>
      <c r="FLT132" s="118"/>
      <c r="FLU132" s="118"/>
      <c r="FLV132" s="118"/>
      <c r="FLW132" s="118"/>
      <c r="FLX132" s="118"/>
      <c r="FLY132" s="118"/>
      <c r="FLZ132" s="118"/>
      <c r="FMA132" s="118"/>
      <c r="FMB132" s="118"/>
      <c r="FMC132" s="118"/>
      <c r="FMD132" s="118"/>
      <c r="FME132" s="118"/>
      <c r="FMF132" s="118"/>
      <c r="FMG132" s="118"/>
      <c r="FMH132" s="118"/>
      <c r="FMI132" s="118"/>
      <c r="FMJ132" s="118"/>
      <c r="FMK132" s="118"/>
      <c r="FML132" s="118"/>
      <c r="FMM132" s="118"/>
      <c r="FMN132" s="118"/>
      <c r="FMO132" s="118"/>
      <c r="FMP132" s="118"/>
      <c r="FMQ132" s="118"/>
      <c r="FMR132" s="118"/>
      <c r="FMS132" s="118"/>
      <c r="FMT132" s="118"/>
      <c r="FMU132" s="118"/>
      <c r="FMV132" s="118"/>
      <c r="FMW132" s="118"/>
      <c r="FMX132" s="118"/>
      <c r="FMY132" s="118"/>
      <c r="FMZ132" s="118"/>
      <c r="FNA132" s="118"/>
      <c r="FNB132" s="118"/>
      <c r="FNC132" s="118"/>
      <c r="FND132" s="118"/>
      <c r="FNE132" s="118"/>
      <c r="FNF132" s="118"/>
      <c r="FNG132" s="118"/>
      <c r="FNH132" s="118"/>
      <c r="FNI132" s="118"/>
      <c r="FNJ132" s="118"/>
      <c r="FNK132" s="118"/>
      <c r="FNL132" s="118"/>
      <c r="FNM132" s="118"/>
      <c r="FNN132" s="118"/>
      <c r="FNO132" s="118"/>
      <c r="FNP132" s="118"/>
      <c r="FNQ132" s="118"/>
      <c r="FNR132" s="118"/>
      <c r="FNS132" s="118"/>
      <c r="FNT132" s="118"/>
      <c r="FNU132" s="118"/>
      <c r="FNV132" s="118"/>
      <c r="FNW132" s="118"/>
      <c r="FNX132" s="118"/>
      <c r="FNY132" s="118"/>
      <c r="FNZ132" s="118"/>
      <c r="FOA132" s="118"/>
      <c r="FOB132" s="118"/>
      <c r="FOC132" s="118"/>
      <c r="FOD132" s="118"/>
      <c r="FOE132" s="118"/>
      <c r="FOF132" s="118"/>
      <c r="FOG132" s="118"/>
      <c r="FOH132" s="118"/>
      <c r="FOI132" s="118"/>
      <c r="FOJ132" s="118"/>
      <c r="FOK132" s="118"/>
      <c r="FOL132" s="118"/>
      <c r="FOM132" s="118"/>
      <c r="FON132" s="118"/>
      <c r="FOO132" s="118"/>
      <c r="FOP132" s="118"/>
      <c r="FOQ132" s="118"/>
      <c r="FOR132" s="118"/>
      <c r="FOS132" s="118"/>
      <c r="FOT132" s="118"/>
      <c r="FOU132" s="118"/>
      <c r="FOV132" s="118"/>
      <c r="FOW132" s="118"/>
      <c r="FOX132" s="118"/>
      <c r="FOY132" s="118"/>
      <c r="FOZ132" s="118"/>
      <c r="FPA132" s="118"/>
      <c r="FPB132" s="118"/>
      <c r="FPC132" s="118"/>
      <c r="FPD132" s="118"/>
      <c r="FPE132" s="118"/>
      <c r="FPF132" s="118"/>
      <c r="FPG132" s="118"/>
      <c r="FPH132" s="118"/>
      <c r="FPI132" s="118"/>
      <c r="FPJ132" s="118"/>
      <c r="FPK132" s="118"/>
      <c r="FPL132" s="118"/>
      <c r="FPM132" s="118"/>
      <c r="FPN132" s="118"/>
      <c r="FPO132" s="118"/>
      <c r="FPP132" s="118"/>
      <c r="FPQ132" s="118"/>
      <c r="FPR132" s="118"/>
      <c r="FPS132" s="118"/>
      <c r="FPT132" s="118"/>
      <c r="FPU132" s="118"/>
      <c r="FPV132" s="118"/>
      <c r="FPW132" s="118"/>
      <c r="FPX132" s="118"/>
      <c r="FPY132" s="118"/>
      <c r="FPZ132" s="118"/>
      <c r="FQA132" s="118"/>
      <c r="FQB132" s="118"/>
      <c r="FQC132" s="118"/>
      <c r="FQD132" s="118"/>
      <c r="FQE132" s="118"/>
      <c r="FQF132" s="118"/>
      <c r="FQG132" s="118"/>
      <c r="FQH132" s="118"/>
      <c r="FQI132" s="118"/>
      <c r="FQJ132" s="118"/>
      <c r="FQK132" s="118"/>
      <c r="FQL132" s="118"/>
      <c r="FQM132" s="118"/>
      <c r="FQN132" s="118"/>
      <c r="FQO132" s="118"/>
      <c r="FQP132" s="118"/>
      <c r="FQQ132" s="118"/>
      <c r="FQR132" s="118"/>
      <c r="FQS132" s="118"/>
      <c r="FQT132" s="118"/>
      <c r="FQU132" s="118"/>
      <c r="FQV132" s="118"/>
      <c r="FQW132" s="118"/>
      <c r="FQX132" s="118"/>
      <c r="FQY132" s="118"/>
      <c r="FQZ132" s="118"/>
      <c r="FRA132" s="118"/>
      <c r="FRB132" s="118"/>
      <c r="FRC132" s="118"/>
      <c r="FRD132" s="118"/>
      <c r="FRE132" s="118"/>
      <c r="FRF132" s="118"/>
      <c r="FRG132" s="118"/>
      <c r="FRH132" s="118"/>
      <c r="FRI132" s="118"/>
      <c r="FRJ132" s="118"/>
      <c r="FRK132" s="118"/>
      <c r="FRL132" s="118"/>
      <c r="FRM132" s="118"/>
      <c r="FRN132" s="118"/>
      <c r="FRO132" s="118"/>
      <c r="FRP132" s="118"/>
      <c r="FRQ132" s="118"/>
      <c r="FRR132" s="118"/>
      <c r="FRS132" s="118"/>
      <c r="FRT132" s="118"/>
      <c r="FRU132" s="118"/>
      <c r="FRV132" s="118"/>
      <c r="FRW132" s="118"/>
      <c r="FRX132" s="118"/>
      <c r="FRY132" s="118"/>
      <c r="FRZ132" s="118"/>
      <c r="FSA132" s="118"/>
      <c r="FSB132" s="118"/>
      <c r="FSC132" s="118"/>
      <c r="FSD132" s="118"/>
      <c r="FSE132" s="118"/>
      <c r="FSF132" s="118"/>
      <c r="FSG132" s="118"/>
      <c r="FSH132" s="118"/>
      <c r="FSI132" s="118"/>
      <c r="FSJ132" s="118"/>
      <c r="FSK132" s="118"/>
      <c r="FSL132" s="118"/>
      <c r="FSM132" s="118"/>
      <c r="FSN132" s="118"/>
      <c r="FSO132" s="118"/>
      <c r="FSP132" s="118"/>
      <c r="FSQ132" s="118"/>
      <c r="FSR132" s="118"/>
      <c r="FSS132" s="118"/>
      <c r="FST132" s="118"/>
      <c r="FSU132" s="118"/>
      <c r="FSV132" s="118"/>
      <c r="FSW132" s="118"/>
      <c r="FSX132" s="118"/>
      <c r="FSY132" s="118"/>
      <c r="FSZ132" s="118"/>
      <c r="FTA132" s="118"/>
      <c r="FTB132" s="118"/>
      <c r="FTC132" s="118"/>
      <c r="FTD132" s="118"/>
      <c r="FTE132" s="118"/>
      <c r="FTF132" s="118"/>
      <c r="FTG132" s="118"/>
      <c r="FTH132" s="118"/>
      <c r="FTI132" s="118"/>
      <c r="FTJ132" s="118"/>
      <c r="FTK132" s="118"/>
      <c r="FTL132" s="118"/>
      <c r="FTM132" s="118"/>
      <c r="FTN132" s="118"/>
      <c r="FTO132" s="118"/>
      <c r="FTP132" s="118"/>
      <c r="FTQ132" s="118"/>
      <c r="FTR132" s="118"/>
      <c r="FTS132" s="118"/>
      <c r="FTT132" s="118"/>
      <c r="FTU132" s="118"/>
      <c r="FTV132" s="118"/>
      <c r="FTW132" s="118"/>
      <c r="FTX132" s="118"/>
      <c r="FTY132" s="118"/>
      <c r="FTZ132" s="118"/>
      <c r="FUA132" s="118"/>
      <c r="FUB132" s="118"/>
      <c r="FUC132" s="118"/>
      <c r="FUD132" s="118"/>
      <c r="FUE132" s="118"/>
      <c r="FUF132" s="118"/>
      <c r="FUG132" s="118"/>
      <c r="FUH132" s="118"/>
      <c r="FUI132" s="118"/>
      <c r="FUJ132" s="118"/>
      <c r="FUK132" s="118"/>
      <c r="FUL132" s="118"/>
      <c r="FUM132" s="118"/>
      <c r="FUN132" s="118"/>
      <c r="FUO132" s="118"/>
      <c r="FUP132" s="118"/>
      <c r="FUQ132" s="118"/>
      <c r="FUR132" s="118"/>
      <c r="FUS132" s="118"/>
      <c r="FUT132" s="118"/>
      <c r="FUU132" s="118"/>
      <c r="FUV132" s="118"/>
      <c r="FUW132" s="118"/>
      <c r="FUX132" s="118"/>
      <c r="FUY132" s="118"/>
      <c r="FUZ132" s="118"/>
      <c r="FVA132" s="118"/>
      <c r="FVB132" s="118"/>
      <c r="FVC132" s="118"/>
      <c r="FVD132" s="118"/>
      <c r="FVE132" s="118"/>
      <c r="FVF132" s="118"/>
      <c r="FVG132" s="118"/>
      <c r="FVH132" s="118"/>
      <c r="FVI132" s="118"/>
      <c r="FVJ132" s="118"/>
      <c r="FVK132" s="118"/>
      <c r="FVL132" s="118"/>
      <c r="FVM132" s="118"/>
      <c r="FVN132" s="118"/>
      <c r="FVO132" s="118"/>
      <c r="FVP132" s="118"/>
      <c r="FVQ132" s="118"/>
      <c r="FVR132" s="118"/>
      <c r="FVS132" s="118"/>
      <c r="FVT132" s="118"/>
      <c r="FVU132" s="118"/>
      <c r="FVV132" s="118"/>
      <c r="FVW132" s="118"/>
      <c r="FVX132" s="118"/>
      <c r="FVY132" s="118"/>
      <c r="FVZ132" s="118"/>
      <c r="FWA132" s="118"/>
      <c r="FWB132" s="118"/>
      <c r="FWC132" s="118"/>
      <c r="FWD132" s="118"/>
      <c r="FWE132" s="118"/>
      <c r="FWF132" s="118"/>
      <c r="FWG132" s="118"/>
      <c r="FWH132" s="118"/>
      <c r="FWI132" s="118"/>
      <c r="FWJ132" s="118"/>
      <c r="FWK132" s="118"/>
      <c r="FWL132" s="118"/>
      <c r="FWM132" s="118"/>
      <c r="FWN132" s="118"/>
      <c r="FWO132" s="118"/>
      <c r="FWP132" s="118"/>
      <c r="FWQ132" s="118"/>
      <c r="FWR132" s="118"/>
      <c r="FWS132" s="118"/>
      <c r="FWT132" s="118"/>
      <c r="FWU132" s="118"/>
      <c r="FWV132" s="118"/>
      <c r="FWW132" s="118"/>
      <c r="FWX132" s="118"/>
      <c r="FWY132" s="118"/>
      <c r="FWZ132" s="118"/>
      <c r="FXA132" s="118"/>
      <c r="FXB132" s="118"/>
      <c r="FXC132" s="118"/>
      <c r="FXD132" s="118"/>
      <c r="FXE132" s="118"/>
      <c r="FXF132" s="118"/>
      <c r="FXG132" s="118"/>
      <c r="FXH132" s="118"/>
      <c r="FXI132" s="118"/>
      <c r="FXJ132" s="118"/>
      <c r="FXK132" s="118"/>
      <c r="FXL132" s="118"/>
      <c r="FXM132" s="118"/>
      <c r="FXN132" s="118"/>
      <c r="FXO132" s="118"/>
      <c r="FXP132" s="118"/>
      <c r="FXQ132" s="118"/>
      <c r="FXR132" s="118"/>
      <c r="FXS132" s="118"/>
      <c r="FXT132" s="118"/>
      <c r="FXU132" s="118"/>
      <c r="FXV132" s="118"/>
      <c r="FXW132" s="118"/>
      <c r="FXX132" s="118"/>
      <c r="FXY132" s="118"/>
      <c r="FXZ132" s="118"/>
      <c r="FYA132" s="118"/>
      <c r="FYB132" s="118"/>
      <c r="FYC132" s="118"/>
      <c r="FYD132" s="118"/>
      <c r="FYE132" s="118"/>
      <c r="FYF132" s="118"/>
      <c r="FYG132" s="118"/>
      <c r="FYH132" s="118"/>
      <c r="FYI132" s="118"/>
      <c r="FYJ132" s="118"/>
      <c r="FYK132" s="118"/>
      <c r="FYL132" s="118"/>
      <c r="FYM132" s="118"/>
      <c r="FYN132" s="118"/>
      <c r="FYO132" s="118"/>
      <c r="FYP132" s="118"/>
      <c r="FYQ132" s="118"/>
      <c r="FYR132" s="118"/>
      <c r="FYS132" s="118"/>
      <c r="FYT132" s="118"/>
      <c r="FYU132" s="118"/>
      <c r="FYV132" s="118"/>
      <c r="FYW132" s="118"/>
      <c r="FYX132" s="118"/>
      <c r="FYY132" s="118"/>
      <c r="FYZ132" s="118"/>
      <c r="FZA132" s="118"/>
      <c r="FZB132" s="118"/>
      <c r="FZC132" s="118"/>
      <c r="FZD132" s="118"/>
      <c r="FZE132" s="118"/>
      <c r="FZF132" s="118"/>
      <c r="FZG132" s="118"/>
      <c r="FZH132" s="118"/>
      <c r="FZI132" s="118"/>
      <c r="FZJ132" s="118"/>
      <c r="FZK132" s="118"/>
      <c r="FZL132" s="118"/>
      <c r="FZM132" s="118"/>
      <c r="FZN132" s="118"/>
      <c r="FZO132" s="118"/>
      <c r="FZP132" s="118"/>
      <c r="FZQ132" s="118"/>
      <c r="FZR132" s="118"/>
      <c r="FZS132" s="118"/>
      <c r="FZT132" s="118"/>
      <c r="FZU132" s="118"/>
      <c r="FZV132" s="118"/>
      <c r="FZW132" s="118"/>
      <c r="FZX132" s="118"/>
      <c r="FZY132" s="118"/>
      <c r="FZZ132" s="118"/>
      <c r="GAA132" s="118"/>
      <c r="GAB132" s="118"/>
      <c r="GAC132" s="118"/>
      <c r="GAD132" s="118"/>
      <c r="GAE132" s="118"/>
      <c r="GAF132" s="118"/>
      <c r="GAG132" s="118"/>
      <c r="GAH132" s="118"/>
      <c r="GAI132" s="118"/>
      <c r="GAJ132" s="118"/>
      <c r="GAK132" s="118"/>
      <c r="GAL132" s="118"/>
      <c r="GAM132" s="118"/>
      <c r="GAN132" s="118"/>
      <c r="GAO132" s="118"/>
      <c r="GAP132" s="118"/>
      <c r="GAQ132" s="118"/>
      <c r="GAR132" s="118"/>
      <c r="GAS132" s="118"/>
      <c r="GAT132" s="118"/>
      <c r="GAU132" s="118"/>
      <c r="GAV132" s="118"/>
      <c r="GAW132" s="118"/>
      <c r="GAX132" s="118"/>
      <c r="GAY132" s="118"/>
      <c r="GAZ132" s="118"/>
      <c r="GBA132" s="118"/>
      <c r="GBB132" s="118"/>
      <c r="GBC132" s="118"/>
      <c r="GBD132" s="118"/>
      <c r="GBE132" s="118"/>
      <c r="GBF132" s="118"/>
      <c r="GBG132" s="118"/>
      <c r="GBH132" s="118"/>
      <c r="GBI132" s="118"/>
      <c r="GBJ132" s="118"/>
      <c r="GBK132" s="118"/>
      <c r="GBL132" s="118"/>
      <c r="GBM132" s="118"/>
      <c r="GBN132" s="118"/>
      <c r="GBO132" s="118"/>
      <c r="GBP132" s="118"/>
      <c r="GBQ132" s="118"/>
      <c r="GBR132" s="118"/>
      <c r="GBS132" s="118"/>
      <c r="GBT132" s="118"/>
      <c r="GBU132" s="118"/>
      <c r="GBV132" s="118"/>
      <c r="GBW132" s="118"/>
      <c r="GBX132" s="118"/>
      <c r="GBY132" s="118"/>
      <c r="GBZ132" s="118"/>
      <c r="GCA132" s="118"/>
      <c r="GCB132" s="118"/>
      <c r="GCC132" s="118"/>
      <c r="GCD132" s="118"/>
      <c r="GCE132" s="118"/>
      <c r="GCF132" s="118"/>
      <c r="GCG132" s="118"/>
      <c r="GCH132" s="118"/>
      <c r="GCI132" s="118"/>
      <c r="GCJ132" s="118"/>
      <c r="GCK132" s="118"/>
      <c r="GCL132" s="118"/>
      <c r="GCM132" s="118"/>
      <c r="GCN132" s="118"/>
      <c r="GCO132" s="118"/>
      <c r="GCP132" s="118"/>
      <c r="GCQ132" s="118"/>
      <c r="GCR132" s="118"/>
      <c r="GCS132" s="118"/>
      <c r="GCT132" s="118"/>
      <c r="GCU132" s="118"/>
      <c r="GCV132" s="118"/>
      <c r="GCW132" s="118"/>
      <c r="GCX132" s="118"/>
      <c r="GCY132" s="118"/>
      <c r="GCZ132" s="118"/>
      <c r="GDA132" s="118"/>
      <c r="GDB132" s="118"/>
      <c r="GDC132" s="118"/>
      <c r="GDD132" s="118"/>
      <c r="GDE132" s="118"/>
      <c r="GDF132" s="118"/>
      <c r="GDG132" s="118"/>
      <c r="GDH132" s="118"/>
      <c r="GDI132" s="118"/>
      <c r="GDJ132" s="118"/>
      <c r="GDK132" s="118"/>
      <c r="GDL132" s="118"/>
      <c r="GDM132" s="118"/>
      <c r="GDN132" s="118"/>
      <c r="GDO132" s="118"/>
      <c r="GDP132" s="118"/>
      <c r="GDQ132" s="118"/>
      <c r="GDR132" s="118"/>
      <c r="GDS132" s="118"/>
      <c r="GDT132" s="118"/>
      <c r="GDU132" s="118"/>
      <c r="GDV132" s="118"/>
      <c r="GDW132" s="118"/>
      <c r="GDX132" s="118"/>
      <c r="GDY132" s="118"/>
      <c r="GDZ132" s="118"/>
      <c r="GEA132" s="118"/>
      <c r="GEB132" s="118"/>
      <c r="GEC132" s="118"/>
      <c r="GED132" s="118"/>
      <c r="GEE132" s="118"/>
      <c r="GEF132" s="118"/>
      <c r="GEG132" s="118"/>
      <c r="GEH132" s="118"/>
      <c r="GEI132" s="118"/>
      <c r="GEJ132" s="118"/>
      <c r="GEK132" s="118"/>
      <c r="GEL132" s="118"/>
      <c r="GEM132" s="118"/>
      <c r="GEN132" s="118"/>
      <c r="GEO132" s="118"/>
      <c r="GEP132" s="118"/>
      <c r="GEQ132" s="118"/>
      <c r="GER132" s="118"/>
      <c r="GES132" s="118"/>
      <c r="GET132" s="118"/>
      <c r="GEU132" s="118"/>
      <c r="GEV132" s="118"/>
      <c r="GEW132" s="118"/>
      <c r="GEX132" s="118"/>
      <c r="GEY132" s="118"/>
      <c r="GEZ132" s="118"/>
      <c r="GFA132" s="118"/>
      <c r="GFB132" s="118"/>
      <c r="GFC132" s="118"/>
      <c r="GFD132" s="118"/>
      <c r="GFE132" s="118"/>
      <c r="GFF132" s="118"/>
      <c r="GFG132" s="118"/>
      <c r="GFH132" s="118"/>
      <c r="GFI132" s="118"/>
      <c r="GFJ132" s="118"/>
      <c r="GFK132" s="118"/>
      <c r="GFL132" s="118"/>
      <c r="GFM132" s="118"/>
      <c r="GFN132" s="118"/>
      <c r="GFO132" s="118"/>
      <c r="GFP132" s="118"/>
      <c r="GFQ132" s="118"/>
      <c r="GFR132" s="118"/>
      <c r="GFS132" s="118"/>
      <c r="GFT132" s="118"/>
      <c r="GFU132" s="118"/>
      <c r="GFV132" s="118"/>
      <c r="GFW132" s="118"/>
      <c r="GFX132" s="118"/>
      <c r="GFY132" s="118"/>
      <c r="GFZ132" s="118"/>
      <c r="GGA132" s="118"/>
      <c r="GGB132" s="118"/>
      <c r="GGC132" s="118"/>
      <c r="GGD132" s="118"/>
      <c r="GGE132" s="118"/>
      <c r="GGF132" s="118"/>
      <c r="GGG132" s="118"/>
      <c r="GGH132" s="118"/>
      <c r="GGI132" s="118"/>
      <c r="GGJ132" s="118"/>
      <c r="GGK132" s="118"/>
      <c r="GGL132" s="118"/>
      <c r="GGM132" s="118"/>
      <c r="GGN132" s="118"/>
      <c r="GGO132" s="118"/>
      <c r="GGP132" s="118"/>
      <c r="GGQ132" s="118"/>
      <c r="GGR132" s="118"/>
      <c r="GGS132" s="118"/>
      <c r="GGT132" s="118"/>
      <c r="GGU132" s="118"/>
      <c r="GGV132" s="118"/>
      <c r="GGW132" s="118"/>
      <c r="GGX132" s="118"/>
      <c r="GGY132" s="118"/>
      <c r="GGZ132" s="118"/>
      <c r="GHA132" s="118"/>
      <c r="GHB132" s="118"/>
      <c r="GHC132" s="118"/>
      <c r="GHD132" s="118"/>
      <c r="GHE132" s="118"/>
      <c r="GHF132" s="118"/>
      <c r="GHG132" s="118"/>
      <c r="GHH132" s="118"/>
      <c r="GHI132" s="118"/>
      <c r="GHJ132" s="118"/>
      <c r="GHK132" s="118"/>
      <c r="GHL132" s="118"/>
      <c r="GHM132" s="118"/>
      <c r="GHN132" s="118"/>
      <c r="GHO132" s="118"/>
      <c r="GHP132" s="118"/>
      <c r="GHQ132" s="118"/>
      <c r="GHR132" s="118"/>
      <c r="GHS132" s="118"/>
      <c r="GHT132" s="118"/>
      <c r="GHU132" s="118"/>
      <c r="GHV132" s="118"/>
      <c r="GHW132" s="118"/>
      <c r="GHX132" s="118"/>
      <c r="GHY132" s="118"/>
      <c r="GHZ132" s="118"/>
      <c r="GIA132" s="118"/>
      <c r="GIB132" s="118"/>
      <c r="GIC132" s="118"/>
      <c r="GID132" s="118"/>
      <c r="GIE132" s="118"/>
      <c r="GIF132" s="118"/>
      <c r="GIG132" s="118"/>
      <c r="GIH132" s="118"/>
      <c r="GII132" s="118"/>
      <c r="GIJ132" s="118"/>
      <c r="GIK132" s="118"/>
      <c r="GIL132" s="118"/>
      <c r="GIM132" s="118"/>
      <c r="GIN132" s="118"/>
      <c r="GIO132" s="118"/>
      <c r="GIP132" s="118"/>
      <c r="GIQ132" s="118"/>
      <c r="GIR132" s="118"/>
      <c r="GIS132" s="118"/>
      <c r="GIT132" s="118"/>
      <c r="GIU132" s="118"/>
      <c r="GIV132" s="118"/>
      <c r="GIW132" s="118"/>
      <c r="GIX132" s="118"/>
      <c r="GIY132" s="118"/>
      <c r="GIZ132" s="118"/>
      <c r="GJA132" s="118"/>
      <c r="GJB132" s="118"/>
      <c r="GJC132" s="118"/>
      <c r="GJD132" s="118"/>
      <c r="GJE132" s="118"/>
      <c r="GJF132" s="118"/>
      <c r="GJG132" s="118"/>
      <c r="GJH132" s="118"/>
      <c r="GJI132" s="118"/>
      <c r="GJJ132" s="118"/>
      <c r="GJK132" s="118"/>
      <c r="GJL132" s="118"/>
      <c r="GJM132" s="118"/>
      <c r="GJN132" s="118"/>
      <c r="GJO132" s="118"/>
      <c r="GJP132" s="118"/>
      <c r="GJQ132" s="118"/>
      <c r="GJR132" s="118"/>
      <c r="GJS132" s="118"/>
      <c r="GJT132" s="118"/>
      <c r="GJU132" s="118"/>
      <c r="GJV132" s="118"/>
      <c r="GJW132" s="118"/>
      <c r="GJX132" s="118"/>
      <c r="GJY132" s="118"/>
      <c r="GJZ132" s="118"/>
      <c r="GKA132" s="118"/>
      <c r="GKB132" s="118"/>
      <c r="GKC132" s="118"/>
      <c r="GKD132" s="118"/>
      <c r="GKE132" s="118"/>
      <c r="GKF132" s="118"/>
      <c r="GKG132" s="118"/>
      <c r="GKH132" s="118"/>
      <c r="GKI132" s="118"/>
      <c r="GKJ132" s="118"/>
      <c r="GKK132" s="118"/>
      <c r="GKL132" s="118"/>
      <c r="GKM132" s="118"/>
      <c r="GKN132" s="118"/>
      <c r="GKO132" s="118"/>
      <c r="GKP132" s="118"/>
      <c r="GKQ132" s="118"/>
      <c r="GKR132" s="118"/>
      <c r="GKS132" s="118"/>
      <c r="GKT132" s="118"/>
      <c r="GKU132" s="118"/>
      <c r="GKV132" s="118"/>
      <c r="GKW132" s="118"/>
      <c r="GKX132" s="118"/>
      <c r="GKY132" s="118"/>
      <c r="GKZ132" s="118"/>
      <c r="GLA132" s="118"/>
      <c r="GLB132" s="118"/>
      <c r="GLC132" s="118"/>
      <c r="GLD132" s="118"/>
      <c r="GLE132" s="118"/>
      <c r="GLF132" s="118"/>
      <c r="GLG132" s="118"/>
      <c r="GLH132" s="118"/>
      <c r="GLI132" s="118"/>
      <c r="GLJ132" s="118"/>
      <c r="GLK132" s="118"/>
      <c r="GLL132" s="118"/>
      <c r="GLM132" s="118"/>
      <c r="GLN132" s="118"/>
      <c r="GLO132" s="118"/>
      <c r="GLP132" s="118"/>
      <c r="GLQ132" s="118"/>
      <c r="GLR132" s="118"/>
      <c r="GLS132" s="118"/>
      <c r="GLT132" s="118"/>
      <c r="GLU132" s="118"/>
      <c r="GLV132" s="118"/>
      <c r="GLW132" s="118"/>
      <c r="GLX132" s="118"/>
      <c r="GLY132" s="118"/>
      <c r="GLZ132" s="118"/>
      <c r="GMA132" s="118"/>
      <c r="GMB132" s="118"/>
      <c r="GMC132" s="118"/>
      <c r="GMD132" s="118"/>
      <c r="GME132" s="118"/>
      <c r="GMF132" s="118"/>
      <c r="GMG132" s="118"/>
      <c r="GMH132" s="118"/>
      <c r="GMI132" s="118"/>
      <c r="GMJ132" s="118"/>
      <c r="GMK132" s="118"/>
      <c r="GML132" s="118"/>
      <c r="GMM132" s="118"/>
      <c r="GMN132" s="118"/>
      <c r="GMO132" s="118"/>
      <c r="GMP132" s="118"/>
      <c r="GMQ132" s="118"/>
      <c r="GMR132" s="118"/>
      <c r="GMS132" s="118"/>
      <c r="GMT132" s="118"/>
      <c r="GMU132" s="118"/>
      <c r="GMV132" s="118"/>
      <c r="GMW132" s="118"/>
      <c r="GMX132" s="118"/>
      <c r="GMY132" s="118"/>
      <c r="GMZ132" s="118"/>
      <c r="GNA132" s="118"/>
      <c r="GNB132" s="118"/>
      <c r="GNC132" s="118"/>
      <c r="GND132" s="118"/>
      <c r="GNE132" s="118"/>
      <c r="GNF132" s="118"/>
      <c r="GNG132" s="118"/>
      <c r="GNH132" s="118"/>
      <c r="GNI132" s="118"/>
      <c r="GNJ132" s="118"/>
      <c r="GNK132" s="118"/>
      <c r="GNL132" s="118"/>
      <c r="GNM132" s="118"/>
      <c r="GNN132" s="118"/>
      <c r="GNO132" s="118"/>
      <c r="GNP132" s="118"/>
      <c r="GNQ132" s="118"/>
      <c r="GNR132" s="118"/>
      <c r="GNS132" s="118"/>
      <c r="GNT132" s="118"/>
      <c r="GNU132" s="118"/>
      <c r="GNV132" s="118"/>
      <c r="GNW132" s="118"/>
      <c r="GNX132" s="118"/>
      <c r="GNY132" s="118"/>
      <c r="GNZ132" s="118"/>
      <c r="GOA132" s="118"/>
      <c r="GOB132" s="118"/>
      <c r="GOC132" s="118"/>
      <c r="GOD132" s="118"/>
      <c r="GOE132" s="118"/>
      <c r="GOF132" s="118"/>
      <c r="GOG132" s="118"/>
      <c r="GOH132" s="118"/>
      <c r="GOI132" s="118"/>
      <c r="GOJ132" s="118"/>
      <c r="GOK132" s="118"/>
      <c r="GOL132" s="118"/>
      <c r="GOM132" s="118"/>
      <c r="GON132" s="118"/>
      <c r="GOO132" s="118"/>
      <c r="GOP132" s="118"/>
      <c r="GOQ132" s="118"/>
      <c r="GOR132" s="118"/>
      <c r="GOS132" s="118"/>
      <c r="GOT132" s="118"/>
      <c r="GOU132" s="118"/>
      <c r="GOV132" s="118"/>
      <c r="GOW132" s="118"/>
      <c r="GOX132" s="118"/>
      <c r="GOY132" s="118"/>
      <c r="GOZ132" s="118"/>
      <c r="GPA132" s="118"/>
      <c r="GPB132" s="118"/>
      <c r="GPC132" s="118"/>
      <c r="GPD132" s="118"/>
      <c r="GPE132" s="118"/>
      <c r="GPF132" s="118"/>
      <c r="GPG132" s="118"/>
      <c r="GPH132" s="118"/>
      <c r="GPI132" s="118"/>
      <c r="GPJ132" s="118"/>
      <c r="GPK132" s="118"/>
      <c r="GPL132" s="118"/>
      <c r="GPM132" s="118"/>
      <c r="GPN132" s="118"/>
      <c r="GPO132" s="118"/>
      <c r="GPP132" s="118"/>
      <c r="GPQ132" s="118"/>
      <c r="GPR132" s="118"/>
      <c r="GPS132" s="118"/>
      <c r="GPT132" s="118"/>
      <c r="GPU132" s="118"/>
      <c r="GPV132" s="118"/>
      <c r="GPW132" s="118"/>
      <c r="GPX132" s="118"/>
      <c r="GPY132" s="118"/>
      <c r="GPZ132" s="118"/>
      <c r="GQA132" s="118"/>
      <c r="GQB132" s="118"/>
      <c r="GQC132" s="118"/>
      <c r="GQD132" s="118"/>
      <c r="GQE132" s="118"/>
      <c r="GQF132" s="118"/>
      <c r="GQG132" s="118"/>
      <c r="GQH132" s="118"/>
      <c r="GQI132" s="118"/>
      <c r="GQJ132" s="118"/>
      <c r="GQK132" s="118"/>
      <c r="GQL132" s="118"/>
      <c r="GQM132" s="118"/>
      <c r="GQN132" s="118"/>
      <c r="GQO132" s="118"/>
      <c r="GQP132" s="118"/>
      <c r="GQQ132" s="118"/>
      <c r="GQR132" s="118"/>
      <c r="GQS132" s="118"/>
      <c r="GQT132" s="118"/>
      <c r="GQU132" s="118"/>
      <c r="GQV132" s="118"/>
      <c r="GQW132" s="118"/>
      <c r="GQX132" s="118"/>
      <c r="GQY132" s="118"/>
      <c r="GQZ132" s="118"/>
      <c r="GRA132" s="118"/>
      <c r="GRB132" s="118"/>
      <c r="GRC132" s="118"/>
      <c r="GRD132" s="118"/>
      <c r="GRE132" s="118"/>
      <c r="GRF132" s="118"/>
      <c r="GRG132" s="118"/>
      <c r="GRH132" s="118"/>
      <c r="GRI132" s="118"/>
      <c r="GRJ132" s="118"/>
      <c r="GRK132" s="118"/>
      <c r="GRL132" s="118"/>
      <c r="GRM132" s="118"/>
      <c r="GRN132" s="118"/>
      <c r="GRO132" s="118"/>
      <c r="GRP132" s="118"/>
      <c r="GRQ132" s="118"/>
      <c r="GRR132" s="118"/>
      <c r="GRS132" s="118"/>
      <c r="GRT132" s="118"/>
      <c r="GRU132" s="118"/>
      <c r="GRV132" s="118"/>
      <c r="GRW132" s="118"/>
      <c r="GRX132" s="118"/>
      <c r="GRY132" s="118"/>
      <c r="GRZ132" s="118"/>
      <c r="GSA132" s="118"/>
      <c r="GSB132" s="118"/>
      <c r="GSC132" s="118"/>
      <c r="GSD132" s="118"/>
      <c r="GSE132" s="118"/>
      <c r="GSF132" s="118"/>
      <c r="GSG132" s="118"/>
      <c r="GSH132" s="118"/>
      <c r="GSI132" s="118"/>
      <c r="GSJ132" s="118"/>
      <c r="GSK132" s="118"/>
      <c r="GSL132" s="118"/>
      <c r="GSM132" s="118"/>
      <c r="GSN132" s="118"/>
      <c r="GSO132" s="118"/>
      <c r="GSP132" s="118"/>
      <c r="GSQ132" s="118"/>
      <c r="GSR132" s="118"/>
      <c r="GSS132" s="118"/>
      <c r="GST132" s="118"/>
      <c r="GSU132" s="118"/>
      <c r="GSV132" s="118"/>
      <c r="GSW132" s="118"/>
      <c r="GSX132" s="118"/>
      <c r="GSY132" s="118"/>
      <c r="GSZ132" s="118"/>
      <c r="GTA132" s="118"/>
      <c r="GTB132" s="118"/>
      <c r="GTC132" s="118"/>
      <c r="GTD132" s="118"/>
      <c r="GTE132" s="118"/>
      <c r="GTF132" s="118"/>
      <c r="GTG132" s="118"/>
      <c r="GTH132" s="118"/>
      <c r="GTI132" s="118"/>
      <c r="GTJ132" s="118"/>
      <c r="GTK132" s="118"/>
      <c r="GTL132" s="118"/>
      <c r="GTM132" s="118"/>
      <c r="GTN132" s="118"/>
      <c r="GTO132" s="118"/>
      <c r="GTP132" s="118"/>
      <c r="GTQ132" s="118"/>
      <c r="GTR132" s="118"/>
      <c r="GTS132" s="118"/>
      <c r="GTT132" s="118"/>
      <c r="GTU132" s="118"/>
      <c r="GTV132" s="118"/>
      <c r="GTW132" s="118"/>
      <c r="GTX132" s="118"/>
      <c r="GTY132" s="118"/>
      <c r="GTZ132" s="118"/>
      <c r="GUA132" s="118"/>
      <c r="GUB132" s="118"/>
      <c r="GUC132" s="118"/>
      <c r="GUD132" s="118"/>
      <c r="GUE132" s="118"/>
      <c r="GUF132" s="118"/>
      <c r="GUG132" s="118"/>
      <c r="GUH132" s="118"/>
      <c r="GUI132" s="118"/>
      <c r="GUJ132" s="118"/>
      <c r="GUK132" s="118"/>
      <c r="GUL132" s="118"/>
      <c r="GUM132" s="118"/>
      <c r="GUN132" s="118"/>
      <c r="GUO132" s="118"/>
      <c r="GUP132" s="118"/>
      <c r="GUQ132" s="118"/>
      <c r="GUR132" s="118"/>
      <c r="GUS132" s="118"/>
      <c r="GUT132" s="118"/>
      <c r="GUU132" s="118"/>
      <c r="GUV132" s="118"/>
      <c r="GUW132" s="118"/>
      <c r="GUX132" s="118"/>
      <c r="GUY132" s="118"/>
      <c r="GUZ132" s="118"/>
      <c r="GVA132" s="118"/>
      <c r="GVB132" s="118"/>
      <c r="GVC132" s="118"/>
      <c r="GVD132" s="118"/>
      <c r="GVE132" s="118"/>
      <c r="GVF132" s="118"/>
      <c r="GVG132" s="118"/>
      <c r="GVH132" s="118"/>
      <c r="GVI132" s="118"/>
      <c r="GVJ132" s="118"/>
      <c r="GVK132" s="118"/>
      <c r="GVL132" s="118"/>
      <c r="GVM132" s="118"/>
      <c r="GVN132" s="118"/>
      <c r="GVO132" s="118"/>
      <c r="GVP132" s="118"/>
      <c r="GVQ132" s="118"/>
      <c r="GVR132" s="118"/>
      <c r="GVS132" s="118"/>
      <c r="GVT132" s="118"/>
      <c r="GVU132" s="118"/>
      <c r="GVV132" s="118"/>
      <c r="GVW132" s="118"/>
      <c r="GVX132" s="118"/>
      <c r="GVY132" s="118"/>
      <c r="GVZ132" s="118"/>
      <c r="GWA132" s="118"/>
      <c r="GWB132" s="118"/>
      <c r="GWC132" s="118"/>
      <c r="GWD132" s="118"/>
      <c r="GWE132" s="118"/>
      <c r="GWF132" s="118"/>
      <c r="GWG132" s="118"/>
      <c r="GWH132" s="118"/>
      <c r="GWI132" s="118"/>
      <c r="GWJ132" s="118"/>
      <c r="GWK132" s="118"/>
      <c r="GWL132" s="118"/>
      <c r="GWM132" s="118"/>
      <c r="GWN132" s="118"/>
      <c r="GWO132" s="118"/>
      <c r="GWP132" s="118"/>
      <c r="GWQ132" s="118"/>
      <c r="GWR132" s="118"/>
      <c r="GWS132" s="118"/>
      <c r="GWT132" s="118"/>
      <c r="GWU132" s="118"/>
      <c r="GWV132" s="118"/>
      <c r="GWW132" s="118"/>
      <c r="GWX132" s="118"/>
      <c r="GWY132" s="118"/>
      <c r="GWZ132" s="118"/>
      <c r="GXA132" s="118"/>
      <c r="GXB132" s="118"/>
      <c r="GXC132" s="118"/>
      <c r="GXD132" s="118"/>
      <c r="GXE132" s="118"/>
      <c r="GXF132" s="118"/>
      <c r="GXG132" s="118"/>
      <c r="GXH132" s="118"/>
      <c r="GXI132" s="118"/>
      <c r="GXJ132" s="118"/>
      <c r="GXK132" s="118"/>
      <c r="GXL132" s="118"/>
      <c r="GXM132" s="118"/>
      <c r="GXN132" s="118"/>
      <c r="GXO132" s="118"/>
      <c r="GXP132" s="118"/>
      <c r="GXQ132" s="118"/>
      <c r="GXR132" s="118"/>
      <c r="GXS132" s="118"/>
      <c r="GXT132" s="118"/>
      <c r="GXU132" s="118"/>
      <c r="GXV132" s="118"/>
      <c r="GXW132" s="118"/>
      <c r="GXX132" s="118"/>
      <c r="GXY132" s="118"/>
      <c r="GXZ132" s="118"/>
      <c r="GYA132" s="118"/>
      <c r="GYB132" s="118"/>
      <c r="GYC132" s="118"/>
      <c r="GYD132" s="118"/>
      <c r="GYE132" s="118"/>
      <c r="GYF132" s="118"/>
      <c r="GYG132" s="118"/>
      <c r="GYH132" s="118"/>
      <c r="GYI132" s="118"/>
      <c r="GYJ132" s="118"/>
      <c r="GYK132" s="118"/>
      <c r="GYL132" s="118"/>
      <c r="GYM132" s="118"/>
      <c r="GYN132" s="118"/>
      <c r="GYO132" s="118"/>
      <c r="GYP132" s="118"/>
      <c r="GYQ132" s="118"/>
      <c r="GYR132" s="118"/>
      <c r="GYS132" s="118"/>
      <c r="GYT132" s="118"/>
      <c r="GYU132" s="118"/>
      <c r="GYV132" s="118"/>
      <c r="GYW132" s="118"/>
      <c r="GYX132" s="118"/>
      <c r="GYY132" s="118"/>
      <c r="GYZ132" s="118"/>
      <c r="GZA132" s="118"/>
      <c r="GZB132" s="118"/>
      <c r="GZC132" s="118"/>
      <c r="GZD132" s="118"/>
      <c r="GZE132" s="118"/>
      <c r="GZF132" s="118"/>
      <c r="GZG132" s="118"/>
      <c r="GZH132" s="118"/>
      <c r="GZI132" s="118"/>
      <c r="GZJ132" s="118"/>
      <c r="GZK132" s="118"/>
      <c r="GZL132" s="118"/>
      <c r="GZM132" s="118"/>
      <c r="GZN132" s="118"/>
      <c r="GZO132" s="118"/>
      <c r="GZP132" s="118"/>
      <c r="GZQ132" s="118"/>
      <c r="GZR132" s="118"/>
      <c r="GZS132" s="118"/>
      <c r="GZT132" s="118"/>
      <c r="GZU132" s="118"/>
      <c r="GZV132" s="118"/>
      <c r="GZW132" s="118"/>
      <c r="GZX132" s="118"/>
      <c r="GZY132" s="118"/>
      <c r="GZZ132" s="118"/>
      <c r="HAA132" s="118"/>
      <c r="HAB132" s="118"/>
      <c r="HAC132" s="118"/>
      <c r="HAD132" s="118"/>
      <c r="HAE132" s="118"/>
      <c r="HAF132" s="118"/>
      <c r="HAG132" s="118"/>
      <c r="HAH132" s="118"/>
      <c r="HAI132" s="118"/>
      <c r="HAJ132" s="118"/>
      <c r="HAK132" s="118"/>
      <c r="HAL132" s="118"/>
      <c r="HAM132" s="118"/>
      <c r="HAN132" s="118"/>
      <c r="HAO132" s="118"/>
      <c r="HAP132" s="118"/>
      <c r="HAQ132" s="118"/>
      <c r="HAR132" s="118"/>
      <c r="HAS132" s="118"/>
      <c r="HAT132" s="118"/>
      <c r="HAU132" s="118"/>
      <c r="HAV132" s="118"/>
      <c r="HAW132" s="118"/>
      <c r="HAX132" s="118"/>
      <c r="HAY132" s="118"/>
      <c r="HAZ132" s="118"/>
      <c r="HBA132" s="118"/>
      <c r="HBB132" s="118"/>
      <c r="HBC132" s="118"/>
      <c r="HBD132" s="118"/>
      <c r="HBE132" s="118"/>
      <c r="HBF132" s="118"/>
      <c r="HBG132" s="118"/>
      <c r="HBH132" s="118"/>
      <c r="HBI132" s="118"/>
      <c r="HBJ132" s="118"/>
      <c r="HBK132" s="118"/>
      <c r="HBL132" s="118"/>
      <c r="HBM132" s="118"/>
      <c r="HBN132" s="118"/>
      <c r="HBO132" s="118"/>
      <c r="HBP132" s="118"/>
      <c r="HBQ132" s="118"/>
      <c r="HBR132" s="118"/>
      <c r="HBS132" s="118"/>
      <c r="HBT132" s="118"/>
      <c r="HBU132" s="118"/>
      <c r="HBV132" s="118"/>
      <c r="HBW132" s="118"/>
      <c r="HBX132" s="118"/>
      <c r="HBY132" s="118"/>
      <c r="HBZ132" s="118"/>
      <c r="HCA132" s="118"/>
      <c r="HCB132" s="118"/>
      <c r="HCC132" s="118"/>
      <c r="HCD132" s="118"/>
      <c r="HCE132" s="118"/>
      <c r="HCF132" s="118"/>
      <c r="HCG132" s="118"/>
      <c r="HCH132" s="118"/>
      <c r="HCI132" s="118"/>
      <c r="HCJ132" s="118"/>
      <c r="HCK132" s="118"/>
      <c r="HCL132" s="118"/>
      <c r="HCM132" s="118"/>
      <c r="HCN132" s="118"/>
      <c r="HCO132" s="118"/>
      <c r="HCP132" s="118"/>
      <c r="HCQ132" s="118"/>
      <c r="HCR132" s="118"/>
      <c r="HCS132" s="118"/>
      <c r="HCT132" s="118"/>
      <c r="HCU132" s="118"/>
      <c r="HCV132" s="118"/>
      <c r="HCW132" s="118"/>
      <c r="HCX132" s="118"/>
      <c r="HCY132" s="118"/>
      <c r="HCZ132" s="118"/>
      <c r="HDA132" s="118"/>
      <c r="HDB132" s="118"/>
      <c r="HDC132" s="118"/>
      <c r="HDD132" s="118"/>
      <c r="HDE132" s="118"/>
      <c r="HDF132" s="118"/>
      <c r="HDG132" s="118"/>
      <c r="HDH132" s="118"/>
      <c r="HDI132" s="118"/>
      <c r="HDJ132" s="118"/>
      <c r="HDK132" s="118"/>
      <c r="HDL132" s="118"/>
      <c r="HDM132" s="118"/>
      <c r="HDN132" s="118"/>
      <c r="HDO132" s="118"/>
      <c r="HDP132" s="118"/>
      <c r="HDQ132" s="118"/>
      <c r="HDR132" s="118"/>
      <c r="HDS132" s="118"/>
      <c r="HDT132" s="118"/>
      <c r="HDU132" s="118"/>
      <c r="HDV132" s="118"/>
      <c r="HDW132" s="118"/>
      <c r="HDX132" s="118"/>
      <c r="HDY132" s="118"/>
      <c r="HDZ132" s="118"/>
      <c r="HEA132" s="118"/>
      <c r="HEB132" s="118"/>
      <c r="HEC132" s="118"/>
      <c r="HED132" s="118"/>
      <c r="HEE132" s="118"/>
      <c r="HEF132" s="118"/>
      <c r="HEG132" s="118"/>
      <c r="HEH132" s="118"/>
      <c r="HEI132" s="118"/>
      <c r="HEJ132" s="118"/>
      <c r="HEK132" s="118"/>
      <c r="HEL132" s="118"/>
      <c r="HEM132" s="118"/>
      <c r="HEN132" s="118"/>
      <c r="HEO132" s="118"/>
      <c r="HEP132" s="118"/>
      <c r="HEQ132" s="118"/>
      <c r="HER132" s="118"/>
      <c r="HES132" s="118"/>
      <c r="HET132" s="118"/>
      <c r="HEU132" s="118"/>
      <c r="HEV132" s="118"/>
      <c r="HEW132" s="118"/>
      <c r="HEX132" s="118"/>
      <c r="HEY132" s="118"/>
      <c r="HEZ132" s="118"/>
      <c r="HFA132" s="118"/>
      <c r="HFB132" s="118"/>
      <c r="HFC132" s="118"/>
      <c r="HFD132" s="118"/>
      <c r="HFE132" s="118"/>
      <c r="HFF132" s="118"/>
      <c r="HFG132" s="118"/>
      <c r="HFH132" s="118"/>
      <c r="HFI132" s="118"/>
      <c r="HFJ132" s="118"/>
      <c r="HFK132" s="118"/>
      <c r="HFL132" s="118"/>
      <c r="HFM132" s="118"/>
      <c r="HFN132" s="118"/>
      <c r="HFO132" s="118"/>
      <c r="HFP132" s="118"/>
      <c r="HFQ132" s="118"/>
      <c r="HFR132" s="118"/>
      <c r="HFS132" s="118"/>
      <c r="HFT132" s="118"/>
      <c r="HFU132" s="118"/>
      <c r="HFV132" s="118"/>
      <c r="HFW132" s="118"/>
      <c r="HFX132" s="118"/>
      <c r="HFY132" s="118"/>
      <c r="HFZ132" s="118"/>
      <c r="HGA132" s="118"/>
      <c r="HGB132" s="118"/>
      <c r="HGC132" s="118"/>
      <c r="HGD132" s="118"/>
      <c r="HGE132" s="118"/>
      <c r="HGF132" s="118"/>
      <c r="HGG132" s="118"/>
      <c r="HGH132" s="118"/>
      <c r="HGI132" s="118"/>
      <c r="HGJ132" s="118"/>
      <c r="HGK132" s="118"/>
      <c r="HGL132" s="118"/>
      <c r="HGM132" s="118"/>
      <c r="HGN132" s="118"/>
      <c r="HGO132" s="118"/>
      <c r="HGP132" s="118"/>
      <c r="HGQ132" s="118"/>
      <c r="HGR132" s="118"/>
      <c r="HGS132" s="118"/>
      <c r="HGT132" s="118"/>
      <c r="HGU132" s="118"/>
      <c r="HGV132" s="118"/>
      <c r="HGW132" s="118"/>
      <c r="HGX132" s="118"/>
      <c r="HGY132" s="118"/>
      <c r="HGZ132" s="118"/>
      <c r="HHA132" s="118"/>
      <c r="HHB132" s="118"/>
      <c r="HHC132" s="118"/>
      <c r="HHD132" s="118"/>
      <c r="HHE132" s="118"/>
      <c r="HHF132" s="118"/>
      <c r="HHG132" s="118"/>
      <c r="HHH132" s="118"/>
      <c r="HHI132" s="118"/>
      <c r="HHJ132" s="118"/>
      <c r="HHK132" s="118"/>
      <c r="HHL132" s="118"/>
      <c r="HHM132" s="118"/>
      <c r="HHN132" s="118"/>
      <c r="HHO132" s="118"/>
      <c r="HHP132" s="118"/>
      <c r="HHQ132" s="118"/>
      <c r="HHR132" s="118"/>
      <c r="HHS132" s="118"/>
      <c r="HHT132" s="118"/>
      <c r="HHU132" s="118"/>
      <c r="HHV132" s="118"/>
      <c r="HHW132" s="118"/>
      <c r="HHX132" s="118"/>
      <c r="HHY132" s="118"/>
      <c r="HHZ132" s="118"/>
      <c r="HIA132" s="118"/>
      <c r="HIB132" s="118"/>
      <c r="HIC132" s="118"/>
      <c r="HID132" s="118"/>
      <c r="HIE132" s="118"/>
      <c r="HIF132" s="118"/>
      <c r="HIG132" s="118"/>
      <c r="HIH132" s="118"/>
      <c r="HII132" s="118"/>
      <c r="HIJ132" s="118"/>
      <c r="HIK132" s="118"/>
      <c r="HIL132" s="118"/>
      <c r="HIM132" s="118"/>
      <c r="HIN132" s="118"/>
      <c r="HIO132" s="118"/>
      <c r="HIP132" s="118"/>
      <c r="HIQ132" s="118"/>
      <c r="HIR132" s="118"/>
      <c r="HIS132" s="118"/>
      <c r="HIT132" s="118"/>
      <c r="HIU132" s="118"/>
      <c r="HIV132" s="118"/>
      <c r="HIW132" s="118"/>
      <c r="HIX132" s="118"/>
      <c r="HIY132" s="118"/>
      <c r="HIZ132" s="118"/>
      <c r="HJA132" s="118"/>
      <c r="HJB132" s="118"/>
      <c r="HJC132" s="118"/>
      <c r="HJD132" s="118"/>
      <c r="HJE132" s="118"/>
      <c r="HJF132" s="118"/>
      <c r="HJG132" s="118"/>
      <c r="HJH132" s="118"/>
      <c r="HJI132" s="118"/>
      <c r="HJJ132" s="118"/>
      <c r="HJK132" s="118"/>
      <c r="HJL132" s="118"/>
      <c r="HJM132" s="118"/>
      <c r="HJN132" s="118"/>
      <c r="HJO132" s="118"/>
      <c r="HJP132" s="118"/>
      <c r="HJQ132" s="118"/>
      <c r="HJR132" s="118"/>
      <c r="HJS132" s="118"/>
      <c r="HJT132" s="118"/>
      <c r="HJU132" s="118"/>
      <c r="HJV132" s="118"/>
      <c r="HJW132" s="118"/>
      <c r="HJX132" s="118"/>
      <c r="HJY132" s="118"/>
      <c r="HJZ132" s="118"/>
      <c r="HKA132" s="118"/>
      <c r="HKB132" s="118"/>
      <c r="HKC132" s="118"/>
      <c r="HKD132" s="118"/>
      <c r="HKE132" s="118"/>
      <c r="HKF132" s="118"/>
      <c r="HKG132" s="118"/>
      <c r="HKH132" s="118"/>
      <c r="HKI132" s="118"/>
      <c r="HKJ132" s="118"/>
      <c r="HKK132" s="118"/>
      <c r="HKL132" s="118"/>
      <c r="HKM132" s="118"/>
      <c r="HKN132" s="118"/>
      <c r="HKO132" s="118"/>
      <c r="HKP132" s="118"/>
      <c r="HKQ132" s="118"/>
      <c r="HKR132" s="118"/>
      <c r="HKS132" s="118"/>
      <c r="HKT132" s="118"/>
      <c r="HKU132" s="118"/>
      <c r="HKV132" s="118"/>
      <c r="HKW132" s="118"/>
      <c r="HKX132" s="118"/>
      <c r="HKY132" s="118"/>
      <c r="HKZ132" s="118"/>
      <c r="HLA132" s="118"/>
      <c r="HLB132" s="118"/>
      <c r="HLC132" s="118"/>
      <c r="HLD132" s="118"/>
      <c r="HLE132" s="118"/>
      <c r="HLF132" s="118"/>
      <c r="HLG132" s="118"/>
      <c r="HLH132" s="118"/>
      <c r="HLI132" s="118"/>
      <c r="HLJ132" s="118"/>
      <c r="HLK132" s="118"/>
      <c r="HLL132" s="118"/>
      <c r="HLM132" s="118"/>
      <c r="HLN132" s="118"/>
      <c r="HLO132" s="118"/>
      <c r="HLP132" s="118"/>
      <c r="HLQ132" s="118"/>
      <c r="HLR132" s="118"/>
      <c r="HLS132" s="118"/>
      <c r="HLT132" s="118"/>
      <c r="HLU132" s="118"/>
      <c r="HLV132" s="118"/>
      <c r="HLW132" s="118"/>
      <c r="HLX132" s="118"/>
      <c r="HLY132" s="118"/>
      <c r="HLZ132" s="118"/>
      <c r="HMA132" s="118"/>
      <c r="HMB132" s="118"/>
      <c r="HMC132" s="118"/>
      <c r="HMD132" s="118"/>
      <c r="HME132" s="118"/>
      <c r="HMF132" s="118"/>
      <c r="HMG132" s="118"/>
      <c r="HMH132" s="118"/>
      <c r="HMI132" s="118"/>
      <c r="HMJ132" s="118"/>
      <c r="HMK132" s="118"/>
      <c r="HML132" s="118"/>
      <c r="HMM132" s="118"/>
      <c r="HMN132" s="118"/>
      <c r="HMO132" s="118"/>
      <c r="HMP132" s="118"/>
      <c r="HMQ132" s="118"/>
      <c r="HMR132" s="118"/>
      <c r="HMS132" s="118"/>
      <c r="HMT132" s="118"/>
      <c r="HMU132" s="118"/>
      <c r="HMV132" s="118"/>
      <c r="HMW132" s="118"/>
      <c r="HMX132" s="118"/>
      <c r="HMY132" s="118"/>
      <c r="HMZ132" s="118"/>
      <c r="HNA132" s="118"/>
      <c r="HNB132" s="118"/>
      <c r="HNC132" s="118"/>
      <c r="HND132" s="118"/>
      <c r="HNE132" s="118"/>
      <c r="HNF132" s="118"/>
      <c r="HNG132" s="118"/>
      <c r="HNH132" s="118"/>
      <c r="HNI132" s="118"/>
      <c r="HNJ132" s="118"/>
      <c r="HNK132" s="118"/>
      <c r="HNL132" s="118"/>
      <c r="HNM132" s="118"/>
      <c r="HNN132" s="118"/>
      <c r="HNO132" s="118"/>
      <c r="HNP132" s="118"/>
      <c r="HNQ132" s="118"/>
      <c r="HNR132" s="118"/>
      <c r="HNS132" s="118"/>
      <c r="HNT132" s="118"/>
      <c r="HNU132" s="118"/>
      <c r="HNV132" s="118"/>
      <c r="HNW132" s="118"/>
      <c r="HNX132" s="118"/>
      <c r="HNY132" s="118"/>
      <c r="HNZ132" s="118"/>
      <c r="HOA132" s="118"/>
      <c r="HOB132" s="118"/>
      <c r="HOC132" s="118"/>
      <c r="HOD132" s="118"/>
      <c r="HOE132" s="118"/>
      <c r="HOF132" s="118"/>
      <c r="HOG132" s="118"/>
      <c r="HOH132" s="118"/>
      <c r="HOI132" s="118"/>
      <c r="HOJ132" s="118"/>
      <c r="HOK132" s="118"/>
      <c r="HOL132" s="118"/>
      <c r="HOM132" s="118"/>
      <c r="HON132" s="118"/>
      <c r="HOO132" s="118"/>
      <c r="HOP132" s="118"/>
      <c r="HOQ132" s="118"/>
      <c r="HOR132" s="118"/>
      <c r="HOS132" s="118"/>
      <c r="HOT132" s="118"/>
      <c r="HOU132" s="118"/>
      <c r="HOV132" s="118"/>
      <c r="HOW132" s="118"/>
      <c r="HOX132" s="118"/>
      <c r="HOY132" s="118"/>
      <c r="HOZ132" s="118"/>
      <c r="HPA132" s="118"/>
      <c r="HPB132" s="118"/>
      <c r="HPC132" s="118"/>
      <c r="HPD132" s="118"/>
      <c r="HPE132" s="118"/>
      <c r="HPF132" s="118"/>
      <c r="HPG132" s="118"/>
      <c r="HPH132" s="118"/>
      <c r="HPI132" s="118"/>
      <c r="HPJ132" s="118"/>
      <c r="HPK132" s="118"/>
      <c r="HPL132" s="118"/>
      <c r="HPM132" s="118"/>
      <c r="HPN132" s="118"/>
      <c r="HPO132" s="118"/>
      <c r="HPP132" s="118"/>
      <c r="HPQ132" s="118"/>
      <c r="HPR132" s="118"/>
      <c r="HPS132" s="118"/>
      <c r="HPT132" s="118"/>
      <c r="HPU132" s="118"/>
      <c r="HPV132" s="118"/>
      <c r="HPW132" s="118"/>
      <c r="HPX132" s="118"/>
      <c r="HPY132" s="118"/>
      <c r="HPZ132" s="118"/>
      <c r="HQA132" s="118"/>
      <c r="HQB132" s="118"/>
      <c r="HQC132" s="118"/>
      <c r="HQD132" s="118"/>
      <c r="HQE132" s="118"/>
      <c r="HQF132" s="118"/>
      <c r="HQG132" s="118"/>
      <c r="HQH132" s="118"/>
      <c r="HQI132" s="118"/>
      <c r="HQJ132" s="118"/>
      <c r="HQK132" s="118"/>
      <c r="HQL132" s="118"/>
      <c r="HQM132" s="118"/>
      <c r="HQN132" s="118"/>
      <c r="HQO132" s="118"/>
      <c r="HQP132" s="118"/>
      <c r="HQQ132" s="118"/>
      <c r="HQR132" s="118"/>
      <c r="HQS132" s="118"/>
      <c r="HQT132" s="118"/>
      <c r="HQU132" s="118"/>
      <c r="HQV132" s="118"/>
      <c r="HQW132" s="118"/>
      <c r="HQX132" s="118"/>
      <c r="HQY132" s="118"/>
      <c r="HQZ132" s="118"/>
      <c r="HRA132" s="118"/>
      <c r="HRB132" s="118"/>
      <c r="HRC132" s="118"/>
      <c r="HRD132" s="118"/>
      <c r="HRE132" s="118"/>
      <c r="HRF132" s="118"/>
      <c r="HRG132" s="118"/>
      <c r="HRH132" s="118"/>
      <c r="HRI132" s="118"/>
      <c r="HRJ132" s="118"/>
      <c r="HRK132" s="118"/>
      <c r="HRL132" s="118"/>
      <c r="HRM132" s="118"/>
      <c r="HRN132" s="118"/>
      <c r="HRO132" s="118"/>
      <c r="HRP132" s="118"/>
      <c r="HRQ132" s="118"/>
      <c r="HRR132" s="118"/>
      <c r="HRS132" s="118"/>
      <c r="HRT132" s="118"/>
      <c r="HRU132" s="118"/>
      <c r="HRV132" s="118"/>
      <c r="HRW132" s="118"/>
      <c r="HRX132" s="118"/>
      <c r="HRY132" s="118"/>
      <c r="HRZ132" s="118"/>
      <c r="HSA132" s="118"/>
      <c r="HSB132" s="118"/>
      <c r="HSC132" s="118"/>
      <c r="HSD132" s="118"/>
      <c r="HSE132" s="118"/>
      <c r="HSF132" s="118"/>
      <c r="HSG132" s="118"/>
      <c r="HSH132" s="118"/>
      <c r="HSI132" s="118"/>
      <c r="HSJ132" s="118"/>
      <c r="HSK132" s="118"/>
      <c r="HSL132" s="118"/>
      <c r="HSM132" s="118"/>
      <c r="HSN132" s="118"/>
      <c r="HSO132" s="118"/>
      <c r="HSP132" s="118"/>
      <c r="HSQ132" s="118"/>
      <c r="HSR132" s="118"/>
      <c r="HSS132" s="118"/>
      <c r="HST132" s="118"/>
      <c r="HSU132" s="118"/>
      <c r="HSV132" s="118"/>
      <c r="HSW132" s="118"/>
      <c r="HSX132" s="118"/>
      <c r="HSY132" s="118"/>
      <c r="HSZ132" s="118"/>
      <c r="HTA132" s="118"/>
      <c r="HTB132" s="118"/>
      <c r="HTC132" s="118"/>
      <c r="HTD132" s="118"/>
      <c r="HTE132" s="118"/>
      <c r="HTF132" s="118"/>
      <c r="HTG132" s="118"/>
      <c r="HTH132" s="118"/>
      <c r="HTI132" s="118"/>
      <c r="HTJ132" s="118"/>
      <c r="HTK132" s="118"/>
      <c r="HTL132" s="118"/>
      <c r="HTM132" s="118"/>
      <c r="HTN132" s="118"/>
      <c r="HTO132" s="118"/>
      <c r="HTP132" s="118"/>
      <c r="HTQ132" s="118"/>
      <c r="HTR132" s="118"/>
      <c r="HTS132" s="118"/>
      <c r="HTT132" s="118"/>
      <c r="HTU132" s="118"/>
      <c r="HTV132" s="118"/>
      <c r="HTW132" s="118"/>
      <c r="HTX132" s="118"/>
      <c r="HTY132" s="118"/>
      <c r="HTZ132" s="118"/>
      <c r="HUA132" s="118"/>
      <c r="HUB132" s="118"/>
      <c r="HUC132" s="118"/>
      <c r="HUD132" s="118"/>
      <c r="HUE132" s="118"/>
      <c r="HUF132" s="118"/>
      <c r="HUG132" s="118"/>
      <c r="HUH132" s="118"/>
      <c r="HUI132" s="118"/>
      <c r="HUJ132" s="118"/>
      <c r="HUK132" s="118"/>
      <c r="HUL132" s="118"/>
      <c r="HUM132" s="118"/>
      <c r="HUN132" s="118"/>
      <c r="HUO132" s="118"/>
      <c r="HUP132" s="118"/>
      <c r="HUQ132" s="118"/>
      <c r="HUR132" s="118"/>
      <c r="HUS132" s="118"/>
      <c r="HUT132" s="118"/>
      <c r="HUU132" s="118"/>
      <c r="HUV132" s="118"/>
      <c r="HUW132" s="118"/>
      <c r="HUX132" s="118"/>
      <c r="HUY132" s="118"/>
      <c r="HUZ132" s="118"/>
      <c r="HVA132" s="118"/>
      <c r="HVB132" s="118"/>
      <c r="HVC132" s="118"/>
      <c r="HVD132" s="118"/>
      <c r="HVE132" s="118"/>
      <c r="HVF132" s="118"/>
      <c r="HVG132" s="118"/>
      <c r="HVH132" s="118"/>
      <c r="HVI132" s="118"/>
      <c r="HVJ132" s="118"/>
      <c r="HVK132" s="118"/>
      <c r="HVL132" s="118"/>
      <c r="HVM132" s="118"/>
      <c r="HVN132" s="118"/>
      <c r="HVO132" s="118"/>
      <c r="HVP132" s="118"/>
      <c r="HVQ132" s="118"/>
      <c r="HVR132" s="118"/>
      <c r="HVS132" s="118"/>
      <c r="HVT132" s="118"/>
      <c r="HVU132" s="118"/>
      <c r="HVV132" s="118"/>
      <c r="HVW132" s="118"/>
      <c r="HVX132" s="118"/>
      <c r="HVY132" s="118"/>
      <c r="HVZ132" s="118"/>
      <c r="HWA132" s="118"/>
      <c r="HWB132" s="118"/>
      <c r="HWC132" s="118"/>
      <c r="HWD132" s="118"/>
      <c r="HWE132" s="118"/>
      <c r="HWF132" s="118"/>
      <c r="HWG132" s="118"/>
      <c r="HWH132" s="118"/>
      <c r="HWI132" s="118"/>
      <c r="HWJ132" s="118"/>
      <c r="HWK132" s="118"/>
      <c r="HWL132" s="118"/>
      <c r="HWM132" s="118"/>
      <c r="HWN132" s="118"/>
      <c r="HWO132" s="118"/>
      <c r="HWP132" s="118"/>
      <c r="HWQ132" s="118"/>
      <c r="HWR132" s="118"/>
      <c r="HWS132" s="118"/>
      <c r="HWT132" s="118"/>
      <c r="HWU132" s="118"/>
      <c r="HWV132" s="118"/>
      <c r="HWW132" s="118"/>
      <c r="HWX132" s="118"/>
      <c r="HWY132" s="118"/>
      <c r="HWZ132" s="118"/>
      <c r="HXA132" s="118"/>
      <c r="HXB132" s="118"/>
      <c r="HXC132" s="118"/>
      <c r="HXD132" s="118"/>
      <c r="HXE132" s="118"/>
      <c r="HXF132" s="118"/>
      <c r="HXG132" s="118"/>
      <c r="HXH132" s="118"/>
      <c r="HXI132" s="118"/>
      <c r="HXJ132" s="118"/>
      <c r="HXK132" s="118"/>
      <c r="HXL132" s="118"/>
      <c r="HXM132" s="118"/>
      <c r="HXN132" s="118"/>
      <c r="HXO132" s="118"/>
      <c r="HXP132" s="118"/>
      <c r="HXQ132" s="118"/>
      <c r="HXR132" s="118"/>
      <c r="HXS132" s="118"/>
      <c r="HXT132" s="118"/>
      <c r="HXU132" s="118"/>
      <c r="HXV132" s="118"/>
      <c r="HXW132" s="118"/>
      <c r="HXX132" s="118"/>
      <c r="HXY132" s="118"/>
      <c r="HXZ132" s="118"/>
      <c r="HYA132" s="118"/>
      <c r="HYB132" s="118"/>
      <c r="HYC132" s="118"/>
      <c r="HYD132" s="118"/>
      <c r="HYE132" s="118"/>
      <c r="HYF132" s="118"/>
      <c r="HYG132" s="118"/>
      <c r="HYH132" s="118"/>
      <c r="HYI132" s="118"/>
      <c r="HYJ132" s="118"/>
      <c r="HYK132" s="118"/>
      <c r="HYL132" s="118"/>
      <c r="HYM132" s="118"/>
      <c r="HYN132" s="118"/>
      <c r="HYO132" s="118"/>
      <c r="HYP132" s="118"/>
      <c r="HYQ132" s="118"/>
      <c r="HYR132" s="118"/>
      <c r="HYS132" s="118"/>
      <c r="HYT132" s="118"/>
      <c r="HYU132" s="118"/>
      <c r="HYV132" s="118"/>
      <c r="HYW132" s="118"/>
      <c r="HYX132" s="118"/>
      <c r="HYY132" s="118"/>
      <c r="HYZ132" s="118"/>
      <c r="HZA132" s="118"/>
      <c r="HZB132" s="118"/>
      <c r="HZC132" s="118"/>
      <c r="HZD132" s="118"/>
      <c r="HZE132" s="118"/>
      <c r="HZF132" s="118"/>
      <c r="HZG132" s="118"/>
      <c r="HZH132" s="118"/>
      <c r="HZI132" s="118"/>
      <c r="HZJ132" s="118"/>
      <c r="HZK132" s="118"/>
      <c r="HZL132" s="118"/>
      <c r="HZM132" s="118"/>
      <c r="HZN132" s="118"/>
      <c r="HZO132" s="118"/>
      <c r="HZP132" s="118"/>
      <c r="HZQ132" s="118"/>
      <c r="HZR132" s="118"/>
      <c r="HZS132" s="118"/>
      <c r="HZT132" s="118"/>
      <c r="HZU132" s="118"/>
      <c r="HZV132" s="118"/>
      <c r="HZW132" s="118"/>
      <c r="HZX132" s="118"/>
      <c r="HZY132" s="118"/>
      <c r="HZZ132" s="118"/>
      <c r="IAA132" s="118"/>
      <c r="IAB132" s="118"/>
      <c r="IAC132" s="118"/>
      <c r="IAD132" s="118"/>
      <c r="IAE132" s="118"/>
      <c r="IAF132" s="118"/>
      <c r="IAG132" s="118"/>
      <c r="IAH132" s="118"/>
      <c r="IAI132" s="118"/>
      <c r="IAJ132" s="118"/>
      <c r="IAK132" s="118"/>
      <c r="IAL132" s="118"/>
      <c r="IAM132" s="118"/>
      <c r="IAN132" s="118"/>
      <c r="IAO132" s="118"/>
      <c r="IAP132" s="118"/>
      <c r="IAQ132" s="118"/>
      <c r="IAR132" s="118"/>
      <c r="IAS132" s="118"/>
      <c r="IAT132" s="118"/>
      <c r="IAU132" s="118"/>
      <c r="IAV132" s="118"/>
      <c r="IAW132" s="118"/>
      <c r="IAX132" s="118"/>
      <c r="IAY132" s="118"/>
      <c r="IAZ132" s="118"/>
      <c r="IBA132" s="118"/>
      <c r="IBB132" s="118"/>
      <c r="IBC132" s="118"/>
      <c r="IBD132" s="118"/>
      <c r="IBE132" s="118"/>
      <c r="IBF132" s="118"/>
      <c r="IBG132" s="118"/>
      <c r="IBH132" s="118"/>
      <c r="IBI132" s="118"/>
      <c r="IBJ132" s="118"/>
      <c r="IBK132" s="118"/>
      <c r="IBL132" s="118"/>
      <c r="IBM132" s="118"/>
      <c r="IBN132" s="118"/>
      <c r="IBO132" s="118"/>
      <c r="IBP132" s="118"/>
      <c r="IBQ132" s="118"/>
      <c r="IBR132" s="118"/>
      <c r="IBS132" s="118"/>
      <c r="IBT132" s="118"/>
      <c r="IBU132" s="118"/>
      <c r="IBV132" s="118"/>
      <c r="IBW132" s="118"/>
      <c r="IBX132" s="118"/>
      <c r="IBY132" s="118"/>
      <c r="IBZ132" s="118"/>
      <c r="ICA132" s="118"/>
      <c r="ICB132" s="118"/>
      <c r="ICC132" s="118"/>
      <c r="ICD132" s="118"/>
      <c r="ICE132" s="118"/>
      <c r="ICF132" s="118"/>
      <c r="ICG132" s="118"/>
      <c r="ICH132" s="118"/>
      <c r="ICI132" s="118"/>
      <c r="ICJ132" s="118"/>
      <c r="ICK132" s="118"/>
      <c r="ICL132" s="118"/>
      <c r="ICM132" s="118"/>
      <c r="ICN132" s="118"/>
      <c r="ICO132" s="118"/>
      <c r="ICP132" s="118"/>
      <c r="ICQ132" s="118"/>
      <c r="ICR132" s="118"/>
      <c r="ICS132" s="118"/>
      <c r="ICT132" s="118"/>
      <c r="ICU132" s="118"/>
      <c r="ICV132" s="118"/>
      <c r="ICW132" s="118"/>
      <c r="ICX132" s="118"/>
      <c r="ICY132" s="118"/>
      <c r="ICZ132" s="118"/>
      <c r="IDA132" s="118"/>
      <c r="IDB132" s="118"/>
      <c r="IDC132" s="118"/>
      <c r="IDD132" s="118"/>
      <c r="IDE132" s="118"/>
      <c r="IDF132" s="118"/>
      <c r="IDG132" s="118"/>
      <c r="IDH132" s="118"/>
      <c r="IDI132" s="118"/>
      <c r="IDJ132" s="118"/>
      <c r="IDK132" s="118"/>
      <c r="IDL132" s="118"/>
      <c r="IDM132" s="118"/>
      <c r="IDN132" s="118"/>
      <c r="IDO132" s="118"/>
      <c r="IDP132" s="118"/>
      <c r="IDQ132" s="118"/>
      <c r="IDR132" s="118"/>
      <c r="IDS132" s="118"/>
      <c r="IDT132" s="118"/>
      <c r="IDU132" s="118"/>
      <c r="IDV132" s="118"/>
      <c r="IDW132" s="118"/>
      <c r="IDX132" s="118"/>
      <c r="IDY132" s="118"/>
      <c r="IDZ132" s="118"/>
      <c r="IEA132" s="118"/>
      <c r="IEB132" s="118"/>
      <c r="IEC132" s="118"/>
      <c r="IED132" s="118"/>
      <c r="IEE132" s="118"/>
      <c r="IEF132" s="118"/>
      <c r="IEG132" s="118"/>
      <c r="IEH132" s="118"/>
      <c r="IEI132" s="118"/>
      <c r="IEJ132" s="118"/>
      <c r="IEK132" s="118"/>
      <c r="IEL132" s="118"/>
      <c r="IEM132" s="118"/>
      <c r="IEN132" s="118"/>
      <c r="IEO132" s="118"/>
      <c r="IEP132" s="118"/>
      <c r="IEQ132" s="118"/>
      <c r="IER132" s="118"/>
      <c r="IES132" s="118"/>
      <c r="IET132" s="118"/>
      <c r="IEU132" s="118"/>
      <c r="IEV132" s="118"/>
      <c r="IEW132" s="118"/>
      <c r="IEX132" s="118"/>
      <c r="IEY132" s="118"/>
      <c r="IEZ132" s="118"/>
      <c r="IFA132" s="118"/>
      <c r="IFB132" s="118"/>
      <c r="IFC132" s="118"/>
      <c r="IFD132" s="118"/>
      <c r="IFE132" s="118"/>
      <c r="IFF132" s="118"/>
      <c r="IFG132" s="118"/>
      <c r="IFH132" s="118"/>
      <c r="IFI132" s="118"/>
      <c r="IFJ132" s="118"/>
      <c r="IFK132" s="118"/>
      <c r="IFL132" s="118"/>
      <c r="IFM132" s="118"/>
      <c r="IFN132" s="118"/>
      <c r="IFO132" s="118"/>
      <c r="IFP132" s="118"/>
      <c r="IFQ132" s="118"/>
      <c r="IFR132" s="118"/>
      <c r="IFS132" s="118"/>
      <c r="IFT132" s="118"/>
      <c r="IFU132" s="118"/>
      <c r="IFV132" s="118"/>
      <c r="IFW132" s="118"/>
      <c r="IFX132" s="118"/>
      <c r="IFY132" s="118"/>
      <c r="IFZ132" s="118"/>
      <c r="IGA132" s="118"/>
      <c r="IGB132" s="118"/>
      <c r="IGC132" s="118"/>
      <c r="IGD132" s="118"/>
      <c r="IGE132" s="118"/>
      <c r="IGF132" s="118"/>
      <c r="IGG132" s="118"/>
      <c r="IGH132" s="118"/>
      <c r="IGI132" s="118"/>
      <c r="IGJ132" s="118"/>
      <c r="IGK132" s="118"/>
      <c r="IGL132" s="118"/>
      <c r="IGM132" s="118"/>
      <c r="IGN132" s="118"/>
      <c r="IGO132" s="118"/>
      <c r="IGP132" s="118"/>
      <c r="IGQ132" s="118"/>
      <c r="IGR132" s="118"/>
      <c r="IGS132" s="118"/>
      <c r="IGT132" s="118"/>
      <c r="IGU132" s="118"/>
      <c r="IGV132" s="118"/>
      <c r="IGW132" s="118"/>
      <c r="IGX132" s="118"/>
      <c r="IGY132" s="118"/>
      <c r="IGZ132" s="118"/>
      <c r="IHA132" s="118"/>
      <c r="IHB132" s="118"/>
      <c r="IHC132" s="118"/>
      <c r="IHD132" s="118"/>
      <c r="IHE132" s="118"/>
      <c r="IHF132" s="118"/>
      <c r="IHG132" s="118"/>
      <c r="IHH132" s="118"/>
      <c r="IHI132" s="118"/>
      <c r="IHJ132" s="118"/>
      <c r="IHK132" s="118"/>
      <c r="IHL132" s="118"/>
      <c r="IHM132" s="118"/>
      <c r="IHN132" s="118"/>
      <c r="IHO132" s="118"/>
      <c r="IHP132" s="118"/>
      <c r="IHQ132" s="118"/>
      <c r="IHR132" s="118"/>
      <c r="IHS132" s="118"/>
      <c r="IHT132" s="118"/>
      <c r="IHU132" s="118"/>
      <c r="IHV132" s="118"/>
      <c r="IHW132" s="118"/>
      <c r="IHX132" s="118"/>
      <c r="IHY132" s="118"/>
      <c r="IHZ132" s="118"/>
      <c r="IIA132" s="118"/>
      <c r="IIB132" s="118"/>
      <c r="IIC132" s="118"/>
      <c r="IID132" s="118"/>
      <c r="IIE132" s="118"/>
      <c r="IIF132" s="118"/>
      <c r="IIG132" s="118"/>
      <c r="IIH132" s="118"/>
      <c r="III132" s="118"/>
      <c r="IIJ132" s="118"/>
      <c r="IIK132" s="118"/>
      <c r="IIL132" s="118"/>
      <c r="IIM132" s="118"/>
      <c r="IIN132" s="118"/>
      <c r="IIO132" s="118"/>
      <c r="IIP132" s="118"/>
      <c r="IIQ132" s="118"/>
      <c r="IIR132" s="118"/>
      <c r="IIS132" s="118"/>
      <c r="IIT132" s="118"/>
      <c r="IIU132" s="118"/>
      <c r="IIV132" s="118"/>
      <c r="IIW132" s="118"/>
      <c r="IIX132" s="118"/>
      <c r="IIY132" s="118"/>
      <c r="IIZ132" s="118"/>
      <c r="IJA132" s="118"/>
      <c r="IJB132" s="118"/>
      <c r="IJC132" s="118"/>
      <c r="IJD132" s="118"/>
      <c r="IJE132" s="118"/>
      <c r="IJF132" s="118"/>
      <c r="IJG132" s="118"/>
      <c r="IJH132" s="118"/>
      <c r="IJI132" s="118"/>
      <c r="IJJ132" s="118"/>
      <c r="IJK132" s="118"/>
      <c r="IJL132" s="118"/>
      <c r="IJM132" s="118"/>
      <c r="IJN132" s="118"/>
      <c r="IJO132" s="118"/>
      <c r="IJP132" s="118"/>
      <c r="IJQ132" s="118"/>
      <c r="IJR132" s="118"/>
      <c r="IJS132" s="118"/>
      <c r="IJT132" s="118"/>
      <c r="IJU132" s="118"/>
      <c r="IJV132" s="118"/>
      <c r="IJW132" s="118"/>
      <c r="IJX132" s="118"/>
      <c r="IJY132" s="118"/>
      <c r="IJZ132" s="118"/>
      <c r="IKA132" s="118"/>
      <c r="IKB132" s="118"/>
      <c r="IKC132" s="118"/>
      <c r="IKD132" s="118"/>
      <c r="IKE132" s="118"/>
      <c r="IKF132" s="118"/>
      <c r="IKG132" s="118"/>
      <c r="IKH132" s="118"/>
      <c r="IKI132" s="118"/>
      <c r="IKJ132" s="118"/>
      <c r="IKK132" s="118"/>
      <c r="IKL132" s="118"/>
      <c r="IKM132" s="118"/>
      <c r="IKN132" s="118"/>
      <c r="IKO132" s="118"/>
      <c r="IKP132" s="118"/>
      <c r="IKQ132" s="118"/>
      <c r="IKR132" s="118"/>
      <c r="IKS132" s="118"/>
      <c r="IKT132" s="118"/>
      <c r="IKU132" s="118"/>
      <c r="IKV132" s="118"/>
      <c r="IKW132" s="118"/>
      <c r="IKX132" s="118"/>
      <c r="IKY132" s="118"/>
      <c r="IKZ132" s="118"/>
      <c r="ILA132" s="118"/>
      <c r="ILB132" s="118"/>
      <c r="ILC132" s="118"/>
      <c r="ILD132" s="118"/>
      <c r="ILE132" s="118"/>
      <c r="ILF132" s="118"/>
      <c r="ILG132" s="118"/>
      <c r="ILH132" s="118"/>
      <c r="ILI132" s="118"/>
      <c r="ILJ132" s="118"/>
      <c r="ILK132" s="118"/>
      <c r="ILL132" s="118"/>
      <c r="ILM132" s="118"/>
      <c r="ILN132" s="118"/>
      <c r="ILO132" s="118"/>
      <c r="ILP132" s="118"/>
      <c r="ILQ132" s="118"/>
      <c r="ILR132" s="118"/>
      <c r="ILS132" s="118"/>
      <c r="ILT132" s="118"/>
      <c r="ILU132" s="118"/>
      <c r="ILV132" s="118"/>
      <c r="ILW132" s="118"/>
      <c r="ILX132" s="118"/>
      <c r="ILY132" s="118"/>
      <c r="ILZ132" s="118"/>
      <c r="IMA132" s="118"/>
      <c r="IMB132" s="118"/>
      <c r="IMC132" s="118"/>
      <c r="IMD132" s="118"/>
      <c r="IME132" s="118"/>
      <c r="IMF132" s="118"/>
      <c r="IMG132" s="118"/>
      <c r="IMH132" s="118"/>
      <c r="IMI132" s="118"/>
      <c r="IMJ132" s="118"/>
      <c r="IMK132" s="118"/>
      <c r="IML132" s="118"/>
      <c r="IMM132" s="118"/>
      <c r="IMN132" s="118"/>
      <c r="IMO132" s="118"/>
      <c r="IMP132" s="118"/>
      <c r="IMQ132" s="118"/>
      <c r="IMR132" s="118"/>
      <c r="IMS132" s="118"/>
      <c r="IMT132" s="118"/>
      <c r="IMU132" s="118"/>
      <c r="IMV132" s="118"/>
      <c r="IMW132" s="118"/>
      <c r="IMX132" s="118"/>
      <c r="IMY132" s="118"/>
      <c r="IMZ132" s="118"/>
      <c r="INA132" s="118"/>
      <c r="INB132" s="118"/>
      <c r="INC132" s="118"/>
      <c r="IND132" s="118"/>
      <c r="INE132" s="118"/>
      <c r="INF132" s="118"/>
      <c r="ING132" s="118"/>
      <c r="INH132" s="118"/>
      <c r="INI132" s="118"/>
      <c r="INJ132" s="118"/>
      <c r="INK132" s="118"/>
      <c r="INL132" s="118"/>
      <c r="INM132" s="118"/>
      <c r="INN132" s="118"/>
      <c r="INO132" s="118"/>
      <c r="INP132" s="118"/>
      <c r="INQ132" s="118"/>
      <c r="INR132" s="118"/>
      <c r="INS132" s="118"/>
      <c r="INT132" s="118"/>
      <c r="INU132" s="118"/>
      <c r="INV132" s="118"/>
      <c r="INW132" s="118"/>
      <c r="INX132" s="118"/>
      <c r="INY132" s="118"/>
      <c r="INZ132" s="118"/>
      <c r="IOA132" s="118"/>
      <c r="IOB132" s="118"/>
      <c r="IOC132" s="118"/>
      <c r="IOD132" s="118"/>
      <c r="IOE132" s="118"/>
      <c r="IOF132" s="118"/>
      <c r="IOG132" s="118"/>
      <c r="IOH132" s="118"/>
      <c r="IOI132" s="118"/>
      <c r="IOJ132" s="118"/>
      <c r="IOK132" s="118"/>
      <c r="IOL132" s="118"/>
      <c r="IOM132" s="118"/>
      <c r="ION132" s="118"/>
      <c r="IOO132" s="118"/>
      <c r="IOP132" s="118"/>
      <c r="IOQ132" s="118"/>
      <c r="IOR132" s="118"/>
      <c r="IOS132" s="118"/>
      <c r="IOT132" s="118"/>
      <c r="IOU132" s="118"/>
      <c r="IOV132" s="118"/>
      <c r="IOW132" s="118"/>
      <c r="IOX132" s="118"/>
      <c r="IOY132" s="118"/>
      <c r="IOZ132" s="118"/>
      <c r="IPA132" s="118"/>
      <c r="IPB132" s="118"/>
      <c r="IPC132" s="118"/>
      <c r="IPD132" s="118"/>
      <c r="IPE132" s="118"/>
      <c r="IPF132" s="118"/>
      <c r="IPG132" s="118"/>
      <c r="IPH132" s="118"/>
      <c r="IPI132" s="118"/>
      <c r="IPJ132" s="118"/>
      <c r="IPK132" s="118"/>
      <c r="IPL132" s="118"/>
      <c r="IPM132" s="118"/>
      <c r="IPN132" s="118"/>
      <c r="IPO132" s="118"/>
      <c r="IPP132" s="118"/>
      <c r="IPQ132" s="118"/>
      <c r="IPR132" s="118"/>
      <c r="IPS132" s="118"/>
      <c r="IPT132" s="118"/>
      <c r="IPU132" s="118"/>
      <c r="IPV132" s="118"/>
      <c r="IPW132" s="118"/>
      <c r="IPX132" s="118"/>
      <c r="IPY132" s="118"/>
      <c r="IPZ132" s="118"/>
      <c r="IQA132" s="118"/>
      <c r="IQB132" s="118"/>
      <c r="IQC132" s="118"/>
      <c r="IQD132" s="118"/>
      <c r="IQE132" s="118"/>
      <c r="IQF132" s="118"/>
      <c r="IQG132" s="118"/>
      <c r="IQH132" s="118"/>
      <c r="IQI132" s="118"/>
      <c r="IQJ132" s="118"/>
      <c r="IQK132" s="118"/>
      <c r="IQL132" s="118"/>
      <c r="IQM132" s="118"/>
      <c r="IQN132" s="118"/>
      <c r="IQO132" s="118"/>
      <c r="IQP132" s="118"/>
      <c r="IQQ132" s="118"/>
      <c r="IQR132" s="118"/>
      <c r="IQS132" s="118"/>
      <c r="IQT132" s="118"/>
      <c r="IQU132" s="118"/>
      <c r="IQV132" s="118"/>
      <c r="IQW132" s="118"/>
      <c r="IQX132" s="118"/>
      <c r="IQY132" s="118"/>
      <c r="IQZ132" s="118"/>
      <c r="IRA132" s="118"/>
      <c r="IRB132" s="118"/>
      <c r="IRC132" s="118"/>
      <c r="IRD132" s="118"/>
      <c r="IRE132" s="118"/>
      <c r="IRF132" s="118"/>
      <c r="IRG132" s="118"/>
      <c r="IRH132" s="118"/>
      <c r="IRI132" s="118"/>
      <c r="IRJ132" s="118"/>
      <c r="IRK132" s="118"/>
      <c r="IRL132" s="118"/>
      <c r="IRM132" s="118"/>
      <c r="IRN132" s="118"/>
      <c r="IRO132" s="118"/>
      <c r="IRP132" s="118"/>
      <c r="IRQ132" s="118"/>
      <c r="IRR132" s="118"/>
      <c r="IRS132" s="118"/>
      <c r="IRT132" s="118"/>
      <c r="IRU132" s="118"/>
      <c r="IRV132" s="118"/>
      <c r="IRW132" s="118"/>
      <c r="IRX132" s="118"/>
      <c r="IRY132" s="118"/>
      <c r="IRZ132" s="118"/>
      <c r="ISA132" s="118"/>
      <c r="ISB132" s="118"/>
      <c r="ISC132" s="118"/>
      <c r="ISD132" s="118"/>
      <c r="ISE132" s="118"/>
      <c r="ISF132" s="118"/>
      <c r="ISG132" s="118"/>
      <c r="ISH132" s="118"/>
      <c r="ISI132" s="118"/>
      <c r="ISJ132" s="118"/>
      <c r="ISK132" s="118"/>
      <c r="ISL132" s="118"/>
      <c r="ISM132" s="118"/>
      <c r="ISN132" s="118"/>
      <c r="ISO132" s="118"/>
      <c r="ISP132" s="118"/>
      <c r="ISQ132" s="118"/>
      <c r="ISR132" s="118"/>
      <c r="ISS132" s="118"/>
      <c r="IST132" s="118"/>
      <c r="ISU132" s="118"/>
      <c r="ISV132" s="118"/>
      <c r="ISW132" s="118"/>
      <c r="ISX132" s="118"/>
      <c r="ISY132" s="118"/>
      <c r="ISZ132" s="118"/>
      <c r="ITA132" s="118"/>
      <c r="ITB132" s="118"/>
      <c r="ITC132" s="118"/>
      <c r="ITD132" s="118"/>
      <c r="ITE132" s="118"/>
      <c r="ITF132" s="118"/>
      <c r="ITG132" s="118"/>
      <c r="ITH132" s="118"/>
      <c r="ITI132" s="118"/>
      <c r="ITJ132" s="118"/>
      <c r="ITK132" s="118"/>
      <c r="ITL132" s="118"/>
      <c r="ITM132" s="118"/>
      <c r="ITN132" s="118"/>
      <c r="ITO132" s="118"/>
      <c r="ITP132" s="118"/>
      <c r="ITQ132" s="118"/>
      <c r="ITR132" s="118"/>
      <c r="ITS132" s="118"/>
      <c r="ITT132" s="118"/>
      <c r="ITU132" s="118"/>
      <c r="ITV132" s="118"/>
      <c r="ITW132" s="118"/>
      <c r="ITX132" s="118"/>
      <c r="ITY132" s="118"/>
      <c r="ITZ132" s="118"/>
      <c r="IUA132" s="118"/>
      <c r="IUB132" s="118"/>
      <c r="IUC132" s="118"/>
      <c r="IUD132" s="118"/>
      <c r="IUE132" s="118"/>
      <c r="IUF132" s="118"/>
      <c r="IUG132" s="118"/>
      <c r="IUH132" s="118"/>
      <c r="IUI132" s="118"/>
      <c r="IUJ132" s="118"/>
      <c r="IUK132" s="118"/>
      <c r="IUL132" s="118"/>
      <c r="IUM132" s="118"/>
      <c r="IUN132" s="118"/>
      <c r="IUO132" s="118"/>
      <c r="IUP132" s="118"/>
      <c r="IUQ132" s="118"/>
      <c r="IUR132" s="118"/>
      <c r="IUS132" s="118"/>
      <c r="IUT132" s="118"/>
      <c r="IUU132" s="118"/>
      <c r="IUV132" s="118"/>
      <c r="IUW132" s="118"/>
      <c r="IUX132" s="118"/>
      <c r="IUY132" s="118"/>
      <c r="IUZ132" s="118"/>
      <c r="IVA132" s="118"/>
      <c r="IVB132" s="118"/>
      <c r="IVC132" s="118"/>
      <c r="IVD132" s="118"/>
      <c r="IVE132" s="118"/>
      <c r="IVF132" s="118"/>
      <c r="IVG132" s="118"/>
      <c r="IVH132" s="118"/>
      <c r="IVI132" s="118"/>
      <c r="IVJ132" s="118"/>
      <c r="IVK132" s="118"/>
      <c r="IVL132" s="118"/>
      <c r="IVM132" s="118"/>
      <c r="IVN132" s="118"/>
      <c r="IVO132" s="118"/>
      <c r="IVP132" s="118"/>
      <c r="IVQ132" s="118"/>
      <c r="IVR132" s="118"/>
      <c r="IVS132" s="118"/>
      <c r="IVT132" s="118"/>
      <c r="IVU132" s="118"/>
      <c r="IVV132" s="118"/>
      <c r="IVW132" s="118"/>
      <c r="IVX132" s="118"/>
      <c r="IVY132" s="118"/>
      <c r="IVZ132" s="118"/>
      <c r="IWA132" s="118"/>
      <c r="IWB132" s="118"/>
      <c r="IWC132" s="118"/>
      <c r="IWD132" s="118"/>
      <c r="IWE132" s="118"/>
      <c r="IWF132" s="118"/>
      <c r="IWG132" s="118"/>
      <c r="IWH132" s="118"/>
      <c r="IWI132" s="118"/>
      <c r="IWJ132" s="118"/>
      <c r="IWK132" s="118"/>
      <c r="IWL132" s="118"/>
      <c r="IWM132" s="118"/>
      <c r="IWN132" s="118"/>
      <c r="IWO132" s="118"/>
      <c r="IWP132" s="118"/>
      <c r="IWQ132" s="118"/>
      <c r="IWR132" s="118"/>
      <c r="IWS132" s="118"/>
      <c r="IWT132" s="118"/>
      <c r="IWU132" s="118"/>
      <c r="IWV132" s="118"/>
      <c r="IWW132" s="118"/>
      <c r="IWX132" s="118"/>
      <c r="IWY132" s="118"/>
      <c r="IWZ132" s="118"/>
      <c r="IXA132" s="118"/>
      <c r="IXB132" s="118"/>
      <c r="IXC132" s="118"/>
      <c r="IXD132" s="118"/>
      <c r="IXE132" s="118"/>
      <c r="IXF132" s="118"/>
      <c r="IXG132" s="118"/>
      <c r="IXH132" s="118"/>
      <c r="IXI132" s="118"/>
      <c r="IXJ132" s="118"/>
      <c r="IXK132" s="118"/>
      <c r="IXL132" s="118"/>
      <c r="IXM132" s="118"/>
      <c r="IXN132" s="118"/>
      <c r="IXO132" s="118"/>
      <c r="IXP132" s="118"/>
      <c r="IXQ132" s="118"/>
      <c r="IXR132" s="118"/>
      <c r="IXS132" s="118"/>
      <c r="IXT132" s="118"/>
      <c r="IXU132" s="118"/>
      <c r="IXV132" s="118"/>
      <c r="IXW132" s="118"/>
      <c r="IXX132" s="118"/>
      <c r="IXY132" s="118"/>
      <c r="IXZ132" s="118"/>
      <c r="IYA132" s="118"/>
      <c r="IYB132" s="118"/>
      <c r="IYC132" s="118"/>
      <c r="IYD132" s="118"/>
      <c r="IYE132" s="118"/>
      <c r="IYF132" s="118"/>
      <c r="IYG132" s="118"/>
      <c r="IYH132" s="118"/>
      <c r="IYI132" s="118"/>
      <c r="IYJ132" s="118"/>
      <c r="IYK132" s="118"/>
      <c r="IYL132" s="118"/>
      <c r="IYM132" s="118"/>
      <c r="IYN132" s="118"/>
      <c r="IYO132" s="118"/>
      <c r="IYP132" s="118"/>
      <c r="IYQ132" s="118"/>
      <c r="IYR132" s="118"/>
      <c r="IYS132" s="118"/>
      <c r="IYT132" s="118"/>
      <c r="IYU132" s="118"/>
      <c r="IYV132" s="118"/>
      <c r="IYW132" s="118"/>
      <c r="IYX132" s="118"/>
      <c r="IYY132" s="118"/>
      <c r="IYZ132" s="118"/>
      <c r="IZA132" s="118"/>
      <c r="IZB132" s="118"/>
      <c r="IZC132" s="118"/>
      <c r="IZD132" s="118"/>
      <c r="IZE132" s="118"/>
      <c r="IZF132" s="118"/>
      <c r="IZG132" s="118"/>
      <c r="IZH132" s="118"/>
      <c r="IZI132" s="118"/>
      <c r="IZJ132" s="118"/>
      <c r="IZK132" s="118"/>
      <c r="IZL132" s="118"/>
      <c r="IZM132" s="118"/>
      <c r="IZN132" s="118"/>
      <c r="IZO132" s="118"/>
      <c r="IZP132" s="118"/>
      <c r="IZQ132" s="118"/>
      <c r="IZR132" s="118"/>
      <c r="IZS132" s="118"/>
      <c r="IZT132" s="118"/>
      <c r="IZU132" s="118"/>
      <c r="IZV132" s="118"/>
      <c r="IZW132" s="118"/>
      <c r="IZX132" s="118"/>
      <c r="IZY132" s="118"/>
      <c r="IZZ132" s="118"/>
      <c r="JAA132" s="118"/>
      <c r="JAB132" s="118"/>
      <c r="JAC132" s="118"/>
      <c r="JAD132" s="118"/>
      <c r="JAE132" s="118"/>
      <c r="JAF132" s="118"/>
      <c r="JAG132" s="118"/>
      <c r="JAH132" s="118"/>
      <c r="JAI132" s="118"/>
      <c r="JAJ132" s="118"/>
      <c r="JAK132" s="118"/>
      <c r="JAL132" s="118"/>
      <c r="JAM132" s="118"/>
      <c r="JAN132" s="118"/>
      <c r="JAO132" s="118"/>
      <c r="JAP132" s="118"/>
      <c r="JAQ132" s="118"/>
      <c r="JAR132" s="118"/>
      <c r="JAS132" s="118"/>
      <c r="JAT132" s="118"/>
      <c r="JAU132" s="118"/>
      <c r="JAV132" s="118"/>
      <c r="JAW132" s="118"/>
      <c r="JAX132" s="118"/>
      <c r="JAY132" s="118"/>
      <c r="JAZ132" s="118"/>
      <c r="JBA132" s="118"/>
      <c r="JBB132" s="118"/>
      <c r="JBC132" s="118"/>
      <c r="JBD132" s="118"/>
      <c r="JBE132" s="118"/>
      <c r="JBF132" s="118"/>
      <c r="JBG132" s="118"/>
      <c r="JBH132" s="118"/>
      <c r="JBI132" s="118"/>
      <c r="JBJ132" s="118"/>
      <c r="JBK132" s="118"/>
      <c r="JBL132" s="118"/>
      <c r="JBM132" s="118"/>
      <c r="JBN132" s="118"/>
      <c r="JBO132" s="118"/>
      <c r="JBP132" s="118"/>
      <c r="JBQ132" s="118"/>
      <c r="JBR132" s="118"/>
      <c r="JBS132" s="118"/>
      <c r="JBT132" s="118"/>
      <c r="JBU132" s="118"/>
      <c r="JBV132" s="118"/>
      <c r="JBW132" s="118"/>
      <c r="JBX132" s="118"/>
      <c r="JBY132" s="118"/>
      <c r="JBZ132" s="118"/>
      <c r="JCA132" s="118"/>
      <c r="JCB132" s="118"/>
      <c r="JCC132" s="118"/>
      <c r="JCD132" s="118"/>
      <c r="JCE132" s="118"/>
      <c r="JCF132" s="118"/>
      <c r="JCG132" s="118"/>
      <c r="JCH132" s="118"/>
      <c r="JCI132" s="118"/>
      <c r="JCJ132" s="118"/>
      <c r="JCK132" s="118"/>
      <c r="JCL132" s="118"/>
      <c r="JCM132" s="118"/>
      <c r="JCN132" s="118"/>
      <c r="JCO132" s="118"/>
      <c r="JCP132" s="118"/>
      <c r="JCQ132" s="118"/>
      <c r="JCR132" s="118"/>
      <c r="JCS132" s="118"/>
      <c r="JCT132" s="118"/>
      <c r="JCU132" s="118"/>
      <c r="JCV132" s="118"/>
      <c r="JCW132" s="118"/>
      <c r="JCX132" s="118"/>
      <c r="JCY132" s="118"/>
      <c r="JCZ132" s="118"/>
      <c r="JDA132" s="118"/>
      <c r="JDB132" s="118"/>
      <c r="JDC132" s="118"/>
      <c r="JDD132" s="118"/>
      <c r="JDE132" s="118"/>
      <c r="JDF132" s="118"/>
      <c r="JDG132" s="118"/>
      <c r="JDH132" s="118"/>
      <c r="JDI132" s="118"/>
      <c r="JDJ132" s="118"/>
      <c r="JDK132" s="118"/>
      <c r="JDL132" s="118"/>
      <c r="JDM132" s="118"/>
      <c r="JDN132" s="118"/>
      <c r="JDO132" s="118"/>
      <c r="JDP132" s="118"/>
      <c r="JDQ132" s="118"/>
      <c r="JDR132" s="118"/>
      <c r="JDS132" s="118"/>
      <c r="JDT132" s="118"/>
      <c r="JDU132" s="118"/>
      <c r="JDV132" s="118"/>
      <c r="JDW132" s="118"/>
      <c r="JDX132" s="118"/>
      <c r="JDY132" s="118"/>
      <c r="JDZ132" s="118"/>
      <c r="JEA132" s="118"/>
      <c r="JEB132" s="118"/>
      <c r="JEC132" s="118"/>
      <c r="JED132" s="118"/>
      <c r="JEE132" s="118"/>
      <c r="JEF132" s="118"/>
      <c r="JEG132" s="118"/>
      <c r="JEH132" s="118"/>
      <c r="JEI132" s="118"/>
      <c r="JEJ132" s="118"/>
      <c r="JEK132" s="118"/>
      <c r="JEL132" s="118"/>
      <c r="JEM132" s="118"/>
      <c r="JEN132" s="118"/>
      <c r="JEO132" s="118"/>
      <c r="JEP132" s="118"/>
      <c r="JEQ132" s="118"/>
      <c r="JER132" s="118"/>
      <c r="JES132" s="118"/>
      <c r="JET132" s="118"/>
      <c r="JEU132" s="118"/>
      <c r="JEV132" s="118"/>
      <c r="JEW132" s="118"/>
      <c r="JEX132" s="118"/>
      <c r="JEY132" s="118"/>
      <c r="JEZ132" s="118"/>
      <c r="JFA132" s="118"/>
      <c r="JFB132" s="118"/>
      <c r="JFC132" s="118"/>
      <c r="JFD132" s="118"/>
      <c r="JFE132" s="118"/>
      <c r="JFF132" s="118"/>
      <c r="JFG132" s="118"/>
      <c r="JFH132" s="118"/>
      <c r="JFI132" s="118"/>
      <c r="JFJ132" s="118"/>
      <c r="JFK132" s="118"/>
      <c r="JFL132" s="118"/>
      <c r="JFM132" s="118"/>
      <c r="JFN132" s="118"/>
      <c r="JFO132" s="118"/>
      <c r="JFP132" s="118"/>
      <c r="JFQ132" s="118"/>
      <c r="JFR132" s="118"/>
      <c r="JFS132" s="118"/>
      <c r="JFT132" s="118"/>
      <c r="JFU132" s="118"/>
      <c r="JFV132" s="118"/>
      <c r="JFW132" s="118"/>
      <c r="JFX132" s="118"/>
      <c r="JFY132" s="118"/>
      <c r="JFZ132" s="118"/>
      <c r="JGA132" s="118"/>
      <c r="JGB132" s="118"/>
      <c r="JGC132" s="118"/>
      <c r="JGD132" s="118"/>
      <c r="JGE132" s="118"/>
      <c r="JGF132" s="118"/>
      <c r="JGG132" s="118"/>
      <c r="JGH132" s="118"/>
      <c r="JGI132" s="118"/>
      <c r="JGJ132" s="118"/>
      <c r="JGK132" s="118"/>
      <c r="JGL132" s="118"/>
      <c r="JGM132" s="118"/>
      <c r="JGN132" s="118"/>
      <c r="JGO132" s="118"/>
      <c r="JGP132" s="118"/>
      <c r="JGQ132" s="118"/>
      <c r="JGR132" s="118"/>
      <c r="JGS132" s="118"/>
      <c r="JGT132" s="118"/>
      <c r="JGU132" s="118"/>
      <c r="JGV132" s="118"/>
      <c r="JGW132" s="118"/>
      <c r="JGX132" s="118"/>
      <c r="JGY132" s="118"/>
      <c r="JGZ132" s="118"/>
      <c r="JHA132" s="118"/>
      <c r="JHB132" s="118"/>
      <c r="JHC132" s="118"/>
      <c r="JHD132" s="118"/>
      <c r="JHE132" s="118"/>
      <c r="JHF132" s="118"/>
      <c r="JHG132" s="118"/>
      <c r="JHH132" s="118"/>
      <c r="JHI132" s="118"/>
      <c r="JHJ132" s="118"/>
      <c r="JHK132" s="118"/>
      <c r="JHL132" s="118"/>
      <c r="JHM132" s="118"/>
      <c r="JHN132" s="118"/>
      <c r="JHO132" s="118"/>
      <c r="JHP132" s="118"/>
      <c r="JHQ132" s="118"/>
      <c r="JHR132" s="118"/>
      <c r="JHS132" s="118"/>
      <c r="JHT132" s="118"/>
      <c r="JHU132" s="118"/>
      <c r="JHV132" s="118"/>
      <c r="JHW132" s="118"/>
      <c r="JHX132" s="118"/>
      <c r="JHY132" s="118"/>
      <c r="JHZ132" s="118"/>
      <c r="JIA132" s="118"/>
      <c r="JIB132" s="118"/>
      <c r="JIC132" s="118"/>
      <c r="JID132" s="118"/>
      <c r="JIE132" s="118"/>
      <c r="JIF132" s="118"/>
      <c r="JIG132" s="118"/>
      <c r="JIH132" s="118"/>
      <c r="JII132" s="118"/>
      <c r="JIJ132" s="118"/>
      <c r="JIK132" s="118"/>
      <c r="JIL132" s="118"/>
      <c r="JIM132" s="118"/>
      <c r="JIN132" s="118"/>
      <c r="JIO132" s="118"/>
      <c r="JIP132" s="118"/>
      <c r="JIQ132" s="118"/>
      <c r="JIR132" s="118"/>
      <c r="JIS132" s="118"/>
      <c r="JIT132" s="118"/>
      <c r="JIU132" s="118"/>
      <c r="JIV132" s="118"/>
      <c r="JIW132" s="118"/>
      <c r="JIX132" s="118"/>
      <c r="JIY132" s="118"/>
      <c r="JIZ132" s="118"/>
      <c r="JJA132" s="118"/>
      <c r="JJB132" s="118"/>
      <c r="JJC132" s="118"/>
      <c r="JJD132" s="118"/>
      <c r="JJE132" s="118"/>
      <c r="JJF132" s="118"/>
      <c r="JJG132" s="118"/>
      <c r="JJH132" s="118"/>
      <c r="JJI132" s="118"/>
      <c r="JJJ132" s="118"/>
      <c r="JJK132" s="118"/>
      <c r="JJL132" s="118"/>
      <c r="JJM132" s="118"/>
      <c r="JJN132" s="118"/>
      <c r="JJO132" s="118"/>
      <c r="JJP132" s="118"/>
      <c r="JJQ132" s="118"/>
      <c r="JJR132" s="118"/>
      <c r="JJS132" s="118"/>
      <c r="JJT132" s="118"/>
      <c r="JJU132" s="118"/>
      <c r="JJV132" s="118"/>
      <c r="JJW132" s="118"/>
      <c r="JJX132" s="118"/>
      <c r="JJY132" s="118"/>
      <c r="JJZ132" s="118"/>
      <c r="JKA132" s="118"/>
      <c r="JKB132" s="118"/>
      <c r="JKC132" s="118"/>
      <c r="JKD132" s="118"/>
      <c r="JKE132" s="118"/>
      <c r="JKF132" s="118"/>
      <c r="JKG132" s="118"/>
      <c r="JKH132" s="118"/>
      <c r="JKI132" s="118"/>
      <c r="JKJ132" s="118"/>
      <c r="JKK132" s="118"/>
      <c r="JKL132" s="118"/>
      <c r="JKM132" s="118"/>
      <c r="JKN132" s="118"/>
      <c r="JKO132" s="118"/>
      <c r="JKP132" s="118"/>
      <c r="JKQ132" s="118"/>
      <c r="JKR132" s="118"/>
      <c r="JKS132" s="118"/>
      <c r="JKT132" s="118"/>
      <c r="JKU132" s="118"/>
      <c r="JKV132" s="118"/>
      <c r="JKW132" s="118"/>
      <c r="JKX132" s="118"/>
      <c r="JKY132" s="118"/>
      <c r="JKZ132" s="118"/>
      <c r="JLA132" s="118"/>
      <c r="JLB132" s="118"/>
      <c r="JLC132" s="118"/>
      <c r="JLD132" s="118"/>
      <c r="JLE132" s="118"/>
      <c r="JLF132" s="118"/>
      <c r="JLG132" s="118"/>
      <c r="JLH132" s="118"/>
      <c r="JLI132" s="118"/>
      <c r="JLJ132" s="118"/>
      <c r="JLK132" s="118"/>
      <c r="JLL132" s="118"/>
      <c r="JLM132" s="118"/>
      <c r="JLN132" s="118"/>
      <c r="JLO132" s="118"/>
      <c r="JLP132" s="118"/>
      <c r="JLQ132" s="118"/>
      <c r="JLR132" s="118"/>
      <c r="JLS132" s="118"/>
      <c r="JLT132" s="118"/>
      <c r="JLU132" s="118"/>
      <c r="JLV132" s="118"/>
      <c r="JLW132" s="118"/>
      <c r="JLX132" s="118"/>
      <c r="JLY132" s="118"/>
      <c r="JLZ132" s="118"/>
      <c r="JMA132" s="118"/>
      <c r="JMB132" s="118"/>
      <c r="JMC132" s="118"/>
      <c r="JMD132" s="118"/>
      <c r="JME132" s="118"/>
      <c r="JMF132" s="118"/>
      <c r="JMG132" s="118"/>
      <c r="JMH132" s="118"/>
      <c r="JMI132" s="118"/>
      <c r="JMJ132" s="118"/>
      <c r="JMK132" s="118"/>
      <c r="JML132" s="118"/>
      <c r="JMM132" s="118"/>
      <c r="JMN132" s="118"/>
      <c r="JMO132" s="118"/>
      <c r="JMP132" s="118"/>
      <c r="JMQ132" s="118"/>
      <c r="JMR132" s="118"/>
      <c r="JMS132" s="118"/>
      <c r="JMT132" s="118"/>
      <c r="JMU132" s="118"/>
      <c r="JMV132" s="118"/>
      <c r="JMW132" s="118"/>
      <c r="JMX132" s="118"/>
      <c r="JMY132" s="118"/>
      <c r="JMZ132" s="118"/>
      <c r="JNA132" s="118"/>
      <c r="JNB132" s="118"/>
      <c r="JNC132" s="118"/>
      <c r="JND132" s="118"/>
      <c r="JNE132" s="118"/>
      <c r="JNF132" s="118"/>
      <c r="JNG132" s="118"/>
      <c r="JNH132" s="118"/>
      <c r="JNI132" s="118"/>
      <c r="JNJ132" s="118"/>
      <c r="JNK132" s="118"/>
      <c r="JNL132" s="118"/>
      <c r="JNM132" s="118"/>
      <c r="JNN132" s="118"/>
      <c r="JNO132" s="118"/>
      <c r="JNP132" s="118"/>
      <c r="JNQ132" s="118"/>
      <c r="JNR132" s="118"/>
      <c r="JNS132" s="118"/>
      <c r="JNT132" s="118"/>
      <c r="JNU132" s="118"/>
      <c r="JNV132" s="118"/>
      <c r="JNW132" s="118"/>
      <c r="JNX132" s="118"/>
      <c r="JNY132" s="118"/>
      <c r="JNZ132" s="118"/>
      <c r="JOA132" s="118"/>
      <c r="JOB132" s="118"/>
      <c r="JOC132" s="118"/>
      <c r="JOD132" s="118"/>
      <c r="JOE132" s="118"/>
      <c r="JOF132" s="118"/>
      <c r="JOG132" s="118"/>
      <c r="JOH132" s="118"/>
      <c r="JOI132" s="118"/>
      <c r="JOJ132" s="118"/>
      <c r="JOK132" s="118"/>
      <c r="JOL132" s="118"/>
      <c r="JOM132" s="118"/>
      <c r="JON132" s="118"/>
      <c r="JOO132" s="118"/>
      <c r="JOP132" s="118"/>
      <c r="JOQ132" s="118"/>
      <c r="JOR132" s="118"/>
      <c r="JOS132" s="118"/>
      <c r="JOT132" s="118"/>
      <c r="JOU132" s="118"/>
      <c r="JOV132" s="118"/>
      <c r="JOW132" s="118"/>
      <c r="JOX132" s="118"/>
      <c r="JOY132" s="118"/>
      <c r="JOZ132" s="118"/>
      <c r="JPA132" s="118"/>
      <c r="JPB132" s="118"/>
      <c r="JPC132" s="118"/>
      <c r="JPD132" s="118"/>
      <c r="JPE132" s="118"/>
      <c r="JPF132" s="118"/>
      <c r="JPG132" s="118"/>
      <c r="JPH132" s="118"/>
      <c r="JPI132" s="118"/>
      <c r="JPJ132" s="118"/>
      <c r="JPK132" s="118"/>
      <c r="JPL132" s="118"/>
      <c r="JPM132" s="118"/>
      <c r="JPN132" s="118"/>
      <c r="JPO132" s="118"/>
      <c r="JPP132" s="118"/>
      <c r="JPQ132" s="118"/>
      <c r="JPR132" s="118"/>
      <c r="JPS132" s="118"/>
      <c r="JPT132" s="118"/>
      <c r="JPU132" s="118"/>
      <c r="JPV132" s="118"/>
      <c r="JPW132" s="118"/>
      <c r="JPX132" s="118"/>
      <c r="JPY132" s="118"/>
      <c r="JPZ132" s="118"/>
      <c r="JQA132" s="118"/>
      <c r="JQB132" s="118"/>
      <c r="JQC132" s="118"/>
      <c r="JQD132" s="118"/>
      <c r="JQE132" s="118"/>
      <c r="JQF132" s="118"/>
      <c r="JQG132" s="118"/>
      <c r="JQH132" s="118"/>
      <c r="JQI132" s="118"/>
      <c r="JQJ132" s="118"/>
      <c r="JQK132" s="118"/>
      <c r="JQL132" s="118"/>
      <c r="JQM132" s="118"/>
      <c r="JQN132" s="118"/>
      <c r="JQO132" s="118"/>
      <c r="JQP132" s="118"/>
      <c r="JQQ132" s="118"/>
      <c r="JQR132" s="118"/>
      <c r="JQS132" s="118"/>
      <c r="JQT132" s="118"/>
      <c r="JQU132" s="118"/>
      <c r="JQV132" s="118"/>
      <c r="JQW132" s="118"/>
      <c r="JQX132" s="118"/>
      <c r="JQY132" s="118"/>
      <c r="JQZ132" s="118"/>
      <c r="JRA132" s="118"/>
      <c r="JRB132" s="118"/>
      <c r="JRC132" s="118"/>
      <c r="JRD132" s="118"/>
      <c r="JRE132" s="118"/>
      <c r="JRF132" s="118"/>
      <c r="JRG132" s="118"/>
      <c r="JRH132" s="118"/>
      <c r="JRI132" s="118"/>
      <c r="JRJ132" s="118"/>
      <c r="JRK132" s="118"/>
      <c r="JRL132" s="118"/>
      <c r="JRM132" s="118"/>
      <c r="JRN132" s="118"/>
      <c r="JRO132" s="118"/>
      <c r="JRP132" s="118"/>
      <c r="JRQ132" s="118"/>
      <c r="JRR132" s="118"/>
      <c r="JRS132" s="118"/>
      <c r="JRT132" s="118"/>
      <c r="JRU132" s="118"/>
      <c r="JRV132" s="118"/>
      <c r="JRW132" s="118"/>
      <c r="JRX132" s="118"/>
      <c r="JRY132" s="118"/>
      <c r="JRZ132" s="118"/>
      <c r="JSA132" s="118"/>
      <c r="JSB132" s="118"/>
      <c r="JSC132" s="118"/>
      <c r="JSD132" s="118"/>
      <c r="JSE132" s="118"/>
      <c r="JSF132" s="118"/>
      <c r="JSG132" s="118"/>
      <c r="JSH132" s="118"/>
      <c r="JSI132" s="118"/>
      <c r="JSJ132" s="118"/>
      <c r="JSK132" s="118"/>
      <c r="JSL132" s="118"/>
      <c r="JSM132" s="118"/>
      <c r="JSN132" s="118"/>
      <c r="JSO132" s="118"/>
      <c r="JSP132" s="118"/>
      <c r="JSQ132" s="118"/>
      <c r="JSR132" s="118"/>
      <c r="JSS132" s="118"/>
      <c r="JST132" s="118"/>
      <c r="JSU132" s="118"/>
      <c r="JSV132" s="118"/>
      <c r="JSW132" s="118"/>
      <c r="JSX132" s="118"/>
      <c r="JSY132" s="118"/>
      <c r="JSZ132" s="118"/>
      <c r="JTA132" s="118"/>
      <c r="JTB132" s="118"/>
      <c r="JTC132" s="118"/>
      <c r="JTD132" s="118"/>
      <c r="JTE132" s="118"/>
      <c r="JTF132" s="118"/>
      <c r="JTG132" s="118"/>
      <c r="JTH132" s="118"/>
      <c r="JTI132" s="118"/>
      <c r="JTJ132" s="118"/>
      <c r="JTK132" s="118"/>
      <c r="JTL132" s="118"/>
      <c r="JTM132" s="118"/>
      <c r="JTN132" s="118"/>
      <c r="JTO132" s="118"/>
      <c r="JTP132" s="118"/>
      <c r="JTQ132" s="118"/>
      <c r="JTR132" s="118"/>
      <c r="JTS132" s="118"/>
      <c r="JTT132" s="118"/>
      <c r="JTU132" s="118"/>
      <c r="JTV132" s="118"/>
      <c r="JTW132" s="118"/>
      <c r="JTX132" s="118"/>
      <c r="JTY132" s="118"/>
      <c r="JTZ132" s="118"/>
      <c r="JUA132" s="118"/>
      <c r="JUB132" s="118"/>
      <c r="JUC132" s="118"/>
      <c r="JUD132" s="118"/>
      <c r="JUE132" s="118"/>
      <c r="JUF132" s="118"/>
      <c r="JUG132" s="118"/>
      <c r="JUH132" s="118"/>
      <c r="JUI132" s="118"/>
      <c r="JUJ132" s="118"/>
      <c r="JUK132" s="118"/>
      <c r="JUL132" s="118"/>
      <c r="JUM132" s="118"/>
      <c r="JUN132" s="118"/>
      <c r="JUO132" s="118"/>
      <c r="JUP132" s="118"/>
      <c r="JUQ132" s="118"/>
      <c r="JUR132" s="118"/>
      <c r="JUS132" s="118"/>
      <c r="JUT132" s="118"/>
      <c r="JUU132" s="118"/>
      <c r="JUV132" s="118"/>
      <c r="JUW132" s="118"/>
      <c r="JUX132" s="118"/>
      <c r="JUY132" s="118"/>
      <c r="JUZ132" s="118"/>
      <c r="JVA132" s="118"/>
      <c r="JVB132" s="118"/>
      <c r="JVC132" s="118"/>
      <c r="JVD132" s="118"/>
      <c r="JVE132" s="118"/>
      <c r="JVF132" s="118"/>
      <c r="JVG132" s="118"/>
      <c r="JVH132" s="118"/>
      <c r="JVI132" s="118"/>
      <c r="JVJ132" s="118"/>
      <c r="JVK132" s="118"/>
      <c r="JVL132" s="118"/>
      <c r="JVM132" s="118"/>
      <c r="JVN132" s="118"/>
      <c r="JVO132" s="118"/>
      <c r="JVP132" s="118"/>
      <c r="JVQ132" s="118"/>
      <c r="JVR132" s="118"/>
      <c r="JVS132" s="118"/>
      <c r="JVT132" s="118"/>
      <c r="JVU132" s="118"/>
      <c r="JVV132" s="118"/>
      <c r="JVW132" s="118"/>
      <c r="JVX132" s="118"/>
      <c r="JVY132" s="118"/>
      <c r="JVZ132" s="118"/>
      <c r="JWA132" s="118"/>
      <c r="JWB132" s="118"/>
      <c r="JWC132" s="118"/>
      <c r="JWD132" s="118"/>
      <c r="JWE132" s="118"/>
      <c r="JWF132" s="118"/>
      <c r="JWG132" s="118"/>
      <c r="JWH132" s="118"/>
      <c r="JWI132" s="118"/>
      <c r="JWJ132" s="118"/>
      <c r="JWK132" s="118"/>
      <c r="JWL132" s="118"/>
      <c r="JWM132" s="118"/>
      <c r="JWN132" s="118"/>
      <c r="JWO132" s="118"/>
      <c r="JWP132" s="118"/>
      <c r="JWQ132" s="118"/>
      <c r="JWR132" s="118"/>
      <c r="JWS132" s="118"/>
      <c r="JWT132" s="118"/>
      <c r="JWU132" s="118"/>
      <c r="JWV132" s="118"/>
      <c r="JWW132" s="118"/>
      <c r="JWX132" s="118"/>
      <c r="JWY132" s="118"/>
      <c r="JWZ132" s="118"/>
      <c r="JXA132" s="118"/>
      <c r="JXB132" s="118"/>
      <c r="JXC132" s="118"/>
      <c r="JXD132" s="118"/>
      <c r="JXE132" s="118"/>
      <c r="JXF132" s="118"/>
      <c r="JXG132" s="118"/>
      <c r="JXH132" s="118"/>
      <c r="JXI132" s="118"/>
      <c r="JXJ132" s="118"/>
      <c r="JXK132" s="118"/>
      <c r="JXL132" s="118"/>
      <c r="JXM132" s="118"/>
      <c r="JXN132" s="118"/>
      <c r="JXO132" s="118"/>
      <c r="JXP132" s="118"/>
      <c r="JXQ132" s="118"/>
      <c r="JXR132" s="118"/>
      <c r="JXS132" s="118"/>
      <c r="JXT132" s="118"/>
      <c r="JXU132" s="118"/>
      <c r="JXV132" s="118"/>
      <c r="JXW132" s="118"/>
      <c r="JXX132" s="118"/>
      <c r="JXY132" s="118"/>
      <c r="JXZ132" s="118"/>
      <c r="JYA132" s="118"/>
      <c r="JYB132" s="118"/>
      <c r="JYC132" s="118"/>
      <c r="JYD132" s="118"/>
      <c r="JYE132" s="118"/>
      <c r="JYF132" s="118"/>
      <c r="JYG132" s="118"/>
      <c r="JYH132" s="118"/>
      <c r="JYI132" s="118"/>
      <c r="JYJ132" s="118"/>
      <c r="JYK132" s="118"/>
      <c r="JYL132" s="118"/>
      <c r="JYM132" s="118"/>
      <c r="JYN132" s="118"/>
      <c r="JYO132" s="118"/>
      <c r="JYP132" s="118"/>
      <c r="JYQ132" s="118"/>
      <c r="JYR132" s="118"/>
      <c r="JYS132" s="118"/>
      <c r="JYT132" s="118"/>
      <c r="JYU132" s="118"/>
      <c r="JYV132" s="118"/>
      <c r="JYW132" s="118"/>
      <c r="JYX132" s="118"/>
      <c r="JYY132" s="118"/>
      <c r="JYZ132" s="118"/>
      <c r="JZA132" s="118"/>
      <c r="JZB132" s="118"/>
      <c r="JZC132" s="118"/>
      <c r="JZD132" s="118"/>
      <c r="JZE132" s="118"/>
      <c r="JZF132" s="118"/>
      <c r="JZG132" s="118"/>
      <c r="JZH132" s="118"/>
      <c r="JZI132" s="118"/>
      <c r="JZJ132" s="118"/>
      <c r="JZK132" s="118"/>
      <c r="JZL132" s="118"/>
      <c r="JZM132" s="118"/>
      <c r="JZN132" s="118"/>
      <c r="JZO132" s="118"/>
      <c r="JZP132" s="118"/>
      <c r="JZQ132" s="118"/>
      <c r="JZR132" s="118"/>
      <c r="JZS132" s="118"/>
      <c r="JZT132" s="118"/>
      <c r="JZU132" s="118"/>
      <c r="JZV132" s="118"/>
      <c r="JZW132" s="118"/>
      <c r="JZX132" s="118"/>
      <c r="JZY132" s="118"/>
      <c r="JZZ132" s="118"/>
      <c r="KAA132" s="118"/>
      <c r="KAB132" s="118"/>
      <c r="KAC132" s="118"/>
      <c r="KAD132" s="118"/>
      <c r="KAE132" s="118"/>
      <c r="KAF132" s="118"/>
      <c r="KAG132" s="118"/>
      <c r="KAH132" s="118"/>
      <c r="KAI132" s="118"/>
      <c r="KAJ132" s="118"/>
      <c r="KAK132" s="118"/>
      <c r="KAL132" s="118"/>
      <c r="KAM132" s="118"/>
      <c r="KAN132" s="118"/>
      <c r="KAO132" s="118"/>
      <c r="KAP132" s="118"/>
      <c r="KAQ132" s="118"/>
      <c r="KAR132" s="118"/>
      <c r="KAS132" s="118"/>
      <c r="KAT132" s="118"/>
      <c r="KAU132" s="118"/>
      <c r="KAV132" s="118"/>
      <c r="KAW132" s="118"/>
      <c r="KAX132" s="118"/>
      <c r="KAY132" s="118"/>
      <c r="KAZ132" s="118"/>
      <c r="KBA132" s="118"/>
      <c r="KBB132" s="118"/>
      <c r="KBC132" s="118"/>
      <c r="KBD132" s="118"/>
      <c r="KBE132" s="118"/>
      <c r="KBF132" s="118"/>
      <c r="KBG132" s="118"/>
      <c r="KBH132" s="118"/>
      <c r="KBI132" s="118"/>
      <c r="KBJ132" s="118"/>
      <c r="KBK132" s="118"/>
      <c r="KBL132" s="118"/>
      <c r="KBM132" s="118"/>
      <c r="KBN132" s="118"/>
      <c r="KBO132" s="118"/>
      <c r="KBP132" s="118"/>
      <c r="KBQ132" s="118"/>
      <c r="KBR132" s="118"/>
      <c r="KBS132" s="118"/>
      <c r="KBT132" s="118"/>
      <c r="KBU132" s="118"/>
      <c r="KBV132" s="118"/>
      <c r="KBW132" s="118"/>
      <c r="KBX132" s="118"/>
      <c r="KBY132" s="118"/>
      <c r="KBZ132" s="118"/>
      <c r="KCA132" s="118"/>
      <c r="KCB132" s="118"/>
      <c r="KCC132" s="118"/>
      <c r="KCD132" s="118"/>
      <c r="KCE132" s="118"/>
      <c r="KCF132" s="118"/>
      <c r="KCG132" s="118"/>
      <c r="KCH132" s="118"/>
      <c r="KCI132" s="118"/>
      <c r="KCJ132" s="118"/>
      <c r="KCK132" s="118"/>
      <c r="KCL132" s="118"/>
      <c r="KCM132" s="118"/>
      <c r="KCN132" s="118"/>
      <c r="KCO132" s="118"/>
      <c r="KCP132" s="118"/>
      <c r="KCQ132" s="118"/>
      <c r="KCR132" s="118"/>
      <c r="KCS132" s="118"/>
      <c r="KCT132" s="118"/>
      <c r="KCU132" s="118"/>
      <c r="KCV132" s="118"/>
      <c r="KCW132" s="118"/>
      <c r="KCX132" s="118"/>
      <c r="KCY132" s="118"/>
      <c r="KCZ132" s="118"/>
      <c r="KDA132" s="118"/>
      <c r="KDB132" s="118"/>
      <c r="KDC132" s="118"/>
      <c r="KDD132" s="118"/>
      <c r="KDE132" s="118"/>
      <c r="KDF132" s="118"/>
      <c r="KDG132" s="118"/>
      <c r="KDH132" s="118"/>
      <c r="KDI132" s="118"/>
      <c r="KDJ132" s="118"/>
      <c r="KDK132" s="118"/>
      <c r="KDL132" s="118"/>
      <c r="KDM132" s="118"/>
      <c r="KDN132" s="118"/>
      <c r="KDO132" s="118"/>
      <c r="KDP132" s="118"/>
      <c r="KDQ132" s="118"/>
      <c r="KDR132" s="118"/>
      <c r="KDS132" s="118"/>
      <c r="KDT132" s="118"/>
      <c r="KDU132" s="118"/>
      <c r="KDV132" s="118"/>
      <c r="KDW132" s="118"/>
      <c r="KDX132" s="118"/>
      <c r="KDY132" s="118"/>
      <c r="KDZ132" s="118"/>
      <c r="KEA132" s="118"/>
      <c r="KEB132" s="118"/>
      <c r="KEC132" s="118"/>
      <c r="KED132" s="118"/>
      <c r="KEE132" s="118"/>
      <c r="KEF132" s="118"/>
      <c r="KEG132" s="118"/>
      <c r="KEH132" s="118"/>
      <c r="KEI132" s="118"/>
      <c r="KEJ132" s="118"/>
      <c r="KEK132" s="118"/>
      <c r="KEL132" s="118"/>
      <c r="KEM132" s="118"/>
      <c r="KEN132" s="118"/>
      <c r="KEO132" s="118"/>
      <c r="KEP132" s="118"/>
      <c r="KEQ132" s="118"/>
      <c r="KER132" s="118"/>
      <c r="KES132" s="118"/>
      <c r="KET132" s="118"/>
      <c r="KEU132" s="118"/>
      <c r="KEV132" s="118"/>
      <c r="KEW132" s="118"/>
      <c r="KEX132" s="118"/>
      <c r="KEY132" s="118"/>
      <c r="KEZ132" s="118"/>
      <c r="KFA132" s="118"/>
      <c r="KFB132" s="118"/>
      <c r="KFC132" s="118"/>
      <c r="KFD132" s="118"/>
      <c r="KFE132" s="118"/>
      <c r="KFF132" s="118"/>
      <c r="KFG132" s="118"/>
      <c r="KFH132" s="118"/>
      <c r="KFI132" s="118"/>
      <c r="KFJ132" s="118"/>
      <c r="KFK132" s="118"/>
      <c r="KFL132" s="118"/>
      <c r="KFM132" s="118"/>
      <c r="KFN132" s="118"/>
      <c r="KFO132" s="118"/>
      <c r="KFP132" s="118"/>
      <c r="KFQ132" s="118"/>
      <c r="KFR132" s="118"/>
      <c r="KFS132" s="118"/>
      <c r="KFT132" s="118"/>
      <c r="KFU132" s="118"/>
      <c r="KFV132" s="118"/>
      <c r="KFW132" s="118"/>
      <c r="KFX132" s="118"/>
      <c r="KFY132" s="118"/>
      <c r="KFZ132" s="118"/>
      <c r="KGA132" s="118"/>
      <c r="KGB132" s="118"/>
      <c r="KGC132" s="118"/>
      <c r="KGD132" s="118"/>
      <c r="KGE132" s="118"/>
      <c r="KGF132" s="118"/>
      <c r="KGG132" s="118"/>
      <c r="KGH132" s="118"/>
      <c r="KGI132" s="118"/>
      <c r="KGJ132" s="118"/>
      <c r="KGK132" s="118"/>
      <c r="KGL132" s="118"/>
      <c r="KGM132" s="118"/>
      <c r="KGN132" s="118"/>
      <c r="KGO132" s="118"/>
      <c r="KGP132" s="118"/>
      <c r="KGQ132" s="118"/>
      <c r="KGR132" s="118"/>
      <c r="KGS132" s="118"/>
      <c r="KGT132" s="118"/>
      <c r="KGU132" s="118"/>
      <c r="KGV132" s="118"/>
      <c r="KGW132" s="118"/>
      <c r="KGX132" s="118"/>
      <c r="KGY132" s="118"/>
      <c r="KGZ132" s="118"/>
      <c r="KHA132" s="118"/>
      <c r="KHB132" s="118"/>
      <c r="KHC132" s="118"/>
      <c r="KHD132" s="118"/>
      <c r="KHE132" s="118"/>
      <c r="KHF132" s="118"/>
      <c r="KHG132" s="118"/>
      <c r="KHH132" s="118"/>
      <c r="KHI132" s="118"/>
      <c r="KHJ132" s="118"/>
      <c r="KHK132" s="118"/>
      <c r="KHL132" s="118"/>
      <c r="KHM132" s="118"/>
      <c r="KHN132" s="118"/>
      <c r="KHO132" s="118"/>
      <c r="KHP132" s="118"/>
      <c r="KHQ132" s="118"/>
      <c r="KHR132" s="118"/>
      <c r="KHS132" s="118"/>
      <c r="KHT132" s="118"/>
      <c r="KHU132" s="118"/>
      <c r="KHV132" s="118"/>
      <c r="KHW132" s="118"/>
      <c r="KHX132" s="118"/>
      <c r="KHY132" s="118"/>
      <c r="KHZ132" s="118"/>
      <c r="KIA132" s="118"/>
      <c r="KIB132" s="118"/>
      <c r="KIC132" s="118"/>
      <c r="KID132" s="118"/>
      <c r="KIE132" s="118"/>
      <c r="KIF132" s="118"/>
      <c r="KIG132" s="118"/>
      <c r="KIH132" s="118"/>
      <c r="KII132" s="118"/>
      <c r="KIJ132" s="118"/>
      <c r="KIK132" s="118"/>
      <c r="KIL132" s="118"/>
      <c r="KIM132" s="118"/>
      <c r="KIN132" s="118"/>
      <c r="KIO132" s="118"/>
      <c r="KIP132" s="118"/>
      <c r="KIQ132" s="118"/>
      <c r="KIR132" s="118"/>
      <c r="KIS132" s="118"/>
      <c r="KIT132" s="118"/>
      <c r="KIU132" s="118"/>
      <c r="KIV132" s="118"/>
      <c r="KIW132" s="118"/>
      <c r="KIX132" s="118"/>
      <c r="KIY132" s="118"/>
      <c r="KIZ132" s="118"/>
      <c r="KJA132" s="118"/>
      <c r="KJB132" s="118"/>
      <c r="KJC132" s="118"/>
      <c r="KJD132" s="118"/>
      <c r="KJE132" s="118"/>
      <c r="KJF132" s="118"/>
      <c r="KJG132" s="118"/>
      <c r="KJH132" s="118"/>
      <c r="KJI132" s="118"/>
      <c r="KJJ132" s="118"/>
      <c r="KJK132" s="118"/>
      <c r="KJL132" s="118"/>
      <c r="KJM132" s="118"/>
      <c r="KJN132" s="118"/>
      <c r="KJO132" s="118"/>
      <c r="KJP132" s="118"/>
      <c r="KJQ132" s="118"/>
      <c r="KJR132" s="118"/>
      <c r="KJS132" s="118"/>
      <c r="KJT132" s="118"/>
      <c r="KJU132" s="118"/>
      <c r="KJV132" s="118"/>
      <c r="KJW132" s="118"/>
      <c r="KJX132" s="118"/>
      <c r="KJY132" s="118"/>
      <c r="KJZ132" s="118"/>
      <c r="KKA132" s="118"/>
      <c r="KKB132" s="118"/>
      <c r="KKC132" s="118"/>
      <c r="KKD132" s="118"/>
      <c r="KKE132" s="118"/>
      <c r="KKF132" s="118"/>
      <c r="KKG132" s="118"/>
      <c r="KKH132" s="118"/>
      <c r="KKI132" s="118"/>
      <c r="KKJ132" s="118"/>
      <c r="KKK132" s="118"/>
      <c r="KKL132" s="118"/>
      <c r="KKM132" s="118"/>
      <c r="KKN132" s="118"/>
      <c r="KKO132" s="118"/>
      <c r="KKP132" s="118"/>
      <c r="KKQ132" s="118"/>
      <c r="KKR132" s="118"/>
      <c r="KKS132" s="118"/>
      <c r="KKT132" s="118"/>
      <c r="KKU132" s="118"/>
      <c r="KKV132" s="118"/>
      <c r="KKW132" s="118"/>
      <c r="KKX132" s="118"/>
      <c r="KKY132" s="118"/>
      <c r="KKZ132" s="118"/>
      <c r="KLA132" s="118"/>
      <c r="KLB132" s="118"/>
      <c r="KLC132" s="118"/>
      <c r="KLD132" s="118"/>
      <c r="KLE132" s="118"/>
      <c r="KLF132" s="118"/>
      <c r="KLG132" s="118"/>
      <c r="KLH132" s="118"/>
      <c r="KLI132" s="118"/>
      <c r="KLJ132" s="118"/>
      <c r="KLK132" s="118"/>
      <c r="KLL132" s="118"/>
      <c r="KLM132" s="118"/>
      <c r="KLN132" s="118"/>
      <c r="KLO132" s="118"/>
      <c r="KLP132" s="118"/>
      <c r="KLQ132" s="118"/>
      <c r="KLR132" s="118"/>
      <c r="KLS132" s="118"/>
      <c r="KLT132" s="118"/>
      <c r="KLU132" s="118"/>
      <c r="KLV132" s="118"/>
      <c r="KLW132" s="118"/>
      <c r="KLX132" s="118"/>
      <c r="KLY132" s="118"/>
      <c r="KLZ132" s="118"/>
      <c r="KMA132" s="118"/>
      <c r="KMB132" s="118"/>
      <c r="KMC132" s="118"/>
      <c r="KMD132" s="118"/>
      <c r="KME132" s="118"/>
      <c r="KMF132" s="118"/>
      <c r="KMG132" s="118"/>
      <c r="KMH132" s="118"/>
      <c r="KMI132" s="118"/>
      <c r="KMJ132" s="118"/>
      <c r="KMK132" s="118"/>
      <c r="KML132" s="118"/>
      <c r="KMM132" s="118"/>
      <c r="KMN132" s="118"/>
      <c r="KMO132" s="118"/>
      <c r="KMP132" s="118"/>
      <c r="KMQ132" s="118"/>
      <c r="KMR132" s="118"/>
      <c r="KMS132" s="118"/>
      <c r="KMT132" s="118"/>
      <c r="KMU132" s="118"/>
      <c r="KMV132" s="118"/>
      <c r="KMW132" s="118"/>
      <c r="KMX132" s="118"/>
      <c r="KMY132" s="118"/>
      <c r="KMZ132" s="118"/>
      <c r="KNA132" s="118"/>
      <c r="KNB132" s="118"/>
      <c r="KNC132" s="118"/>
      <c r="KND132" s="118"/>
      <c r="KNE132" s="118"/>
      <c r="KNF132" s="118"/>
      <c r="KNG132" s="118"/>
      <c r="KNH132" s="118"/>
      <c r="KNI132" s="118"/>
      <c r="KNJ132" s="118"/>
      <c r="KNK132" s="118"/>
      <c r="KNL132" s="118"/>
      <c r="KNM132" s="118"/>
      <c r="KNN132" s="118"/>
      <c r="KNO132" s="118"/>
      <c r="KNP132" s="118"/>
      <c r="KNQ132" s="118"/>
      <c r="KNR132" s="118"/>
      <c r="KNS132" s="118"/>
      <c r="KNT132" s="118"/>
      <c r="KNU132" s="118"/>
      <c r="KNV132" s="118"/>
      <c r="KNW132" s="118"/>
      <c r="KNX132" s="118"/>
      <c r="KNY132" s="118"/>
      <c r="KNZ132" s="118"/>
      <c r="KOA132" s="118"/>
      <c r="KOB132" s="118"/>
      <c r="KOC132" s="118"/>
      <c r="KOD132" s="118"/>
      <c r="KOE132" s="118"/>
      <c r="KOF132" s="118"/>
      <c r="KOG132" s="118"/>
      <c r="KOH132" s="118"/>
      <c r="KOI132" s="118"/>
      <c r="KOJ132" s="118"/>
      <c r="KOK132" s="118"/>
      <c r="KOL132" s="118"/>
      <c r="KOM132" s="118"/>
      <c r="KON132" s="118"/>
      <c r="KOO132" s="118"/>
      <c r="KOP132" s="118"/>
      <c r="KOQ132" s="118"/>
      <c r="KOR132" s="118"/>
      <c r="KOS132" s="118"/>
      <c r="KOT132" s="118"/>
      <c r="KOU132" s="118"/>
      <c r="KOV132" s="118"/>
      <c r="KOW132" s="118"/>
      <c r="KOX132" s="118"/>
      <c r="KOY132" s="118"/>
      <c r="KOZ132" s="118"/>
      <c r="KPA132" s="118"/>
      <c r="KPB132" s="118"/>
      <c r="KPC132" s="118"/>
      <c r="KPD132" s="118"/>
      <c r="KPE132" s="118"/>
      <c r="KPF132" s="118"/>
      <c r="KPG132" s="118"/>
      <c r="KPH132" s="118"/>
      <c r="KPI132" s="118"/>
      <c r="KPJ132" s="118"/>
      <c r="KPK132" s="118"/>
      <c r="KPL132" s="118"/>
      <c r="KPM132" s="118"/>
      <c r="KPN132" s="118"/>
      <c r="KPO132" s="118"/>
      <c r="KPP132" s="118"/>
      <c r="KPQ132" s="118"/>
      <c r="KPR132" s="118"/>
      <c r="KPS132" s="118"/>
      <c r="KPT132" s="118"/>
      <c r="KPU132" s="118"/>
      <c r="KPV132" s="118"/>
      <c r="KPW132" s="118"/>
      <c r="KPX132" s="118"/>
      <c r="KPY132" s="118"/>
      <c r="KPZ132" s="118"/>
      <c r="KQA132" s="118"/>
      <c r="KQB132" s="118"/>
      <c r="KQC132" s="118"/>
      <c r="KQD132" s="118"/>
      <c r="KQE132" s="118"/>
      <c r="KQF132" s="118"/>
      <c r="KQG132" s="118"/>
      <c r="KQH132" s="118"/>
      <c r="KQI132" s="118"/>
      <c r="KQJ132" s="118"/>
      <c r="KQK132" s="118"/>
      <c r="KQL132" s="118"/>
      <c r="KQM132" s="118"/>
      <c r="KQN132" s="118"/>
      <c r="KQO132" s="118"/>
      <c r="KQP132" s="118"/>
      <c r="KQQ132" s="118"/>
      <c r="KQR132" s="118"/>
      <c r="KQS132" s="118"/>
      <c r="KQT132" s="118"/>
      <c r="KQU132" s="118"/>
      <c r="KQV132" s="118"/>
      <c r="KQW132" s="118"/>
      <c r="KQX132" s="118"/>
      <c r="KQY132" s="118"/>
      <c r="KQZ132" s="118"/>
      <c r="KRA132" s="118"/>
      <c r="KRB132" s="118"/>
      <c r="KRC132" s="118"/>
      <c r="KRD132" s="118"/>
      <c r="KRE132" s="118"/>
      <c r="KRF132" s="118"/>
      <c r="KRG132" s="118"/>
      <c r="KRH132" s="118"/>
      <c r="KRI132" s="118"/>
      <c r="KRJ132" s="118"/>
      <c r="KRK132" s="118"/>
      <c r="KRL132" s="118"/>
      <c r="KRM132" s="118"/>
      <c r="KRN132" s="118"/>
      <c r="KRO132" s="118"/>
      <c r="KRP132" s="118"/>
      <c r="KRQ132" s="118"/>
      <c r="KRR132" s="118"/>
      <c r="KRS132" s="118"/>
      <c r="KRT132" s="118"/>
      <c r="KRU132" s="118"/>
      <c r="KRV132" s="118"/>
      <c r="KRW132" s="118"/>
      <c r="KRX132" s="118"/>
      <c r="KRY132" s="118"/>
      <c r="KRZ132" s="118"/>
      <c r="KSA132" s="118"/>
      <c r="KSB132" s="118"/>
      <c r="KSC132" s="118"/>
      <c r="KSD132" s="118"/>
      <c r="KSE132" s="118"/>
      <c r="KSF132" s="118"/>
      <c r="KSG132" s="118"/>
      <c r="KSH132" s="118"/>
      <c r="KSI132" s="118"/>
      <c r="KSJ132" s="118"/>
      <c r="KSK132" s="118"/>
      <c r="KSL132" s="118"/>
      <c r="KSM132" s="118"/>
      <c r="KSN132" s="118"/>
      <c r="KSO132" s="118"/>
      <c r="KSP132" s="118"/>
      <c r="KSQ132" s="118"/>
      <c r="KSR132" s="118"/>
      <c r="KSS132" s="118"/>
      <c r="KST132" s="118"/>
      <c r="KSU132" s="118"/>
      <c r="KSV132" s="118"/>
      <c r="KSW132" s="118"/>
      <c r="KSX132" s="118"/>
      <c r="KSY132" s="118"/>
      <c r="KSZ132" s="118"/>
      <c r="KTA132" s="118"/>
      <c r="KTB132" s="118"/>
      <c r="KTC132" s="118"/>
      <c r="KTD132" s="118"/>
      <c r="KTE132" s="118"/>
      <c r="KTF132" s="118"/>
      <c r="KTG132" s="118"/>
      <c r="KTH132" s="118"/>
      <c r="KTI132" s="118"/>
      <c r="KTJ132" s="118"/>
      <c r="KTK132" s="118"/>
      <c r="KTL132" s="118"/>
      <c r="KTM132" s="118"/>
      <c r="KTN132" s="118"/>
      <c r="KTO132" s="118"/>
      <c r="KTP132" s="118"/>
      <c r="KTQ132" s="118"/>
      <c r="KTR132" s="118"/>
      <c r="KTS132" s="118"/>
      <c r="KTT132" s="118"/>
      <c r="KTU132" s="118"/>
      <c r="KTV132" s="118"/>
      <c r="KTW132" s="118"/>
      <c r="KTX132" s="118"/>
      <c r="KTY132" s="118"/>
      <c r="KTZ132" s="118"/>
      <c r="KUA132" s="118"/>
      <c r="KUB132" s="118"/>
      <c r="KUC132" s="118"/>
      <c r="KUD132" s="118"/>
      <c r="KUE132" s="118"/>
      <c r="KUF132" s="118"/>
      <c r="KUG132" s="118"/>
      <c r="KUH132" s="118"/>
      <c r="KUI132" s="118"/>
      <c r="KUJ132" s="118"/>
      <c r="KUK132" s="118"/>
      <c r="KUL132" s="118"/>
      <c r="KUM132" s="118"/>
      <c r="KUN132" s="118"/>
      <c r="KUO132" s="118"/>
      <c r="KUP132" s="118"/>
      <c r="KUQ132" s="118"/>
      <c r="KUR132" s="118"/>
      <c r="KUS132" s="118"/>
      <c r="KUT132" s="118"/>
      <c r="KUU132" s="118"/>
      <c r="KUV132" s="118"/>
      <c r="KUW132" s="118"/>
      <c r="KUX132" s="118"/>
      <c r="KUY132" s="118"/>
      <c r="KUZ132" s="118"/>
      <c r="KVA132" s="118"/>
      <c r="KVB132" s="118"/>
      <c r="KVC132" s="118"/>
      <c r="KVD132" s="118"/>
      <c r="KVE132" s="118"/>
      <c r="KVF132" s="118"/>
      <c r="KVG132" s="118"/>
      <c r="KVH132" s="118"/>
      <c r="KVI132" s="118"/>
      <c r="KVJ132" s="118"/>
      <c r="KVK132" s="118"/>
      <c r="KVL132" s="118"/>
      <c r="KVM132" s="118"/>
      <c r="KVN132" s="118"/>
      <c r="KVO132" s="118"/>
      <c r="KVP132" s="118"/>
      <c r="KVQ132" s="118"/>
      <c r="KVR132" s="118"/>
      <c r="KVS132" s="118"/>
      <c r="KVT132" s="118"/>
      <c r="KVU132" s="118"/>
      <c r="KVV132" s="118"/>
      <c r="KVW132" s="118"/>
      <c r="KVX132" s="118"/>
      <c r="KVY132" s="118"/>
      <c r="KVZ132" s="118"/>
      <c r="KWA132" s="118"/>
      <c r="KWB132" s="118"/>
      <c r="KWC132" s="118"/>
      <c r="KWD132" s="118"/>
      <c r="KWE132" s="118"/>
      <c r="KWF132" s="118"/>
      <c r="KWG132" s="118"/>
      <c r="KWH132" s="118"/>
      <c r="KWI132" s="118"/>
      <c r="KWJ132" s="118"/>
      <c r="KWK132" s="118"/>
      <c r="KWL132" s="118"/>
      <c r="KWM132" s="118"/>
      <c r="KWN132" s="118"/>
      <c r="KWO132" s="118"/>
      <c r="KWP132" s="118"/>
      <c r="KWQ132" s="118"/>
      <c r="KWR132" s="118"/>
      <c r="KWS132" s="118"/>
      <c r="KWT132" s="118"/>
      <c r="KWU132" s="118"/>
      <c r="KWV132" s="118"/>
      <c r="KWW132" s="118"/>
      <c r="KWX132" s="118"/>
      <c r="KWY132" s="118"/>
      <c r="KWZ132" s="118"/>
      <c r="KXA132" s="118"/>
      <c r="KXB132" s="118"/>
      <c r="KXC132" s="118"/>
      <c r="KXD132" s="118"/>
      <c r="KXE132" s="118"/>
      <c r="KXF132" s="118"/>
      <c r="KXG132" s="118"/>
      <c r="KXH132" s="118"/>
      <c r="KXI132" s="118"/>
      <c r="KXJ132" s="118"/>
      <c r="KXK132" s="118"/>
      <c r="KXL132" s="118"/>
      <c r="KXM132" s="118"/>
      <c r="KXN132" s="118"/>
      <c r="KXO132" s="118"/>
      <c r="KXP132" s="118"/>
      <c r="KXQ132" s="118"/>
      <c r="KXR132" s="118"/>
      <c r="KXS132" s="118"/>
      <c r="KXT132" s="118"/>
      <c r="KXU132" s="118"/>
      <c r="KXV132" s="118"/>
      <c r="KXW132" s="118"/>
      <c r="KXX132" s="118"/>
      <c r="KXY132" s="118"/>
      <c r="KXZ132" s="118"/>
      <c r="KYA132" s="118"/>
      <c r="KYB132" s="118"/>
      <c r="KYC132" s="118"/>
      <c r="KYD132" s="118"/>
      <c r="KYE132" s="118"/>
      <c r="KYF132" s="118"/>
      <c r="KYG132" s="118"/>
      <c r="KYH132" s="118"/>
      <c r="KYI132" s="118"/>
      <c r="KYJ132" s="118"/>
      <c r="KYK132" s="118"/>
      <c r="KYL132" s="118"/>
      <c r="KYM132" s="118"/>
      <c r="KYN132" s="118"/>
      <c r="KYO132" s="118"/>
      <c r="KYP132" s="118"/>
      <c r="KYQ132" s="118"/>
      <c r="KYR132" s="118"/>
      <c r="KYS132" s="118"/>
      <c r="KYT132" s="118"/>
      <c r="KYU132" s="118"/>
      <c r="KYV132" s="118"/>
      <c r="KYW132" s="118"/>
      <c r="KYX132" s="118"/>
      <c r="KYY132" s="118"/>
      <c r="KYZ132" s="118"/>
      <c r="KZA132" s="118"/>
      <c r="KZB132" s="118"/>
      <c r="KZC132" s="118"/>
      <c r="KZD132" s="118"/>
      <c r="KZE132" s="118"/>
      <c r="KZF132" s="118"/>
      <c r="KZG132" s="118"/>
      <c r="KZH132" s="118"/>
      <c r="KZI132" s="118"/>
      <c r="KZJ132" s="118"/>
      <c r="KZK132" s="118"/>
      <c r="KZL132" s="118"/>
      <c r="KZM132" s="118"/>
      <c r="KZN132" s="118"/>
      <c r="KZO132" s="118"/>
      <c r="KZP132" s="118"/>
      <c r="KZQ132" s="118"/>
      <c r="KZR132" s="118"/>
      <c r="KZS132" s="118"/>
      <c r="KZT132" s="118"/>
      <c r="KZU132" s="118"/>
      <c r="KZV132" s="118"/>
      <c r="KZW132" s="118"/>
      <c r="KZX132" s="118"/>
      <c r="KZY132" s="118"/>
      <c r="KZZ132" s="118"/>
      <c r="LAA132" s="118"/>
      <c r="LAB132" s="118"/>
      <c r="LAC132" s="118"/>
      <c r="LAD132" s="118"/>
      <c r="LAE132" s="118"/>
      <c r="LAF132" s="118"/>
      <c r="LAG132" s="118"/>
      <c r="LAH132" s="118"/>
      <c r="LAI132" s="118"/>
      <c r="LAJ132" s="118"/>
      <c r="LAK132" s="118"/>
      <c r="LAL132" s="118"/>
      <c r="LAM132" s="118"/>
      <c r="LAN132" s="118"/>
      <c r="LAO132" s="118"/>
      <c r="LAP132" s="118"/>
      <c r="LAQ132" s="118"/>
      <c r="LAR132" s="118"/>
      <c r="LAS132" s="118"/>
      <c r="LAT132" s="118"/>
      <c r="LAU132" s="118"/>
      <c r="LAV132" s="118"/>
      <c r="LAW132" s="118"/>
      <c r="LAX132" s="118"/>
      <c r="LAY132" s="118"/>
      <c r="LAZ132" s="118"/>
      <c r="LBA132" s="118"/>
      <c r="LBB132" s="118"/>
      <c r="LBC132" s="118"/>
      <c r="LBD132" s="118"/>
      <c r="LBE132" s="118"/>
      <c r="LBF132" s="118"/>
      <c r="LBG132" s="118"/>
      <c r="LBH132" s="118"/>
      <c r="LBI132" s="118"/>
      <c r="LBJ132" s="118"/>
      <c r="LBK132" s="118"/>
      <c r="LBL132" s="118"/>
      <c r="LBM132" s="118"/>
      <c r="LBN132" s="118"/>
      <c r="LBO132" s="118"/>
      <c r="LBP132" s="118"/>
      <c r="LBQ132" s="118"/>
      <c r="LBR132" s="118"/>
      <c r="LBS132" s="118"/>
      <c r="LBT132" s="118"/>
      <c r="LBU132" s="118"/>
      <c r="LBV132" s="118"/>
      <c r="LBW132" s="118"/>
      <c r="LBX132" s="118"/>
      <c r="LBY132" s="118"/>
      <c r="LBZ132" s="118"/>
      <c r="LCA132" s="118"/>
      <c r="LCB132" s="118"/>
      <c r="LCC132" s="118"/>
      <c r="LCD132" s="118"/>
      <c r="LCE132" s="118"/>
      <c r="LCF132" s="118"/>
      <c r="LCG132" s="118"/>
      <c r="LCH132" s="118"/>
      <c r="LCI132" s="118"/>
      <c r="LCJ132" s="118"/>
      <c r="LCK132" s="118"/>
      <c r="LCL132" s="118"/>
      <c r="LCM132" s="118"/>
      <c r="LCN132" s="118"/>
      <c r="LCO132" s="118"/>
      <c r="LCP132" s="118"/>
      <c r="LCQ132" s="118"/>
      <c r="LCR132" s="118"/>
      <c r="LCS132" s="118"/>
      <c r="LCT132" s="118"/>
      <c r="LCU132" s="118"/>
      <c r="LCV132" s="118"/>
      <c r="LCW132" s="118"/>
      <c r="LCX132" s="118"/>
      <c r="LCY132" s="118"/>
      <c r="LCZ132" s="118"/>
      <c r="LDA132" s="118"/>
      <c r="LDB132" s="118"/>
      <c r="LDC132" s="118"/>
      <c r="LDD132" s="118"/>
      <c r="LDE132" s="118"/>
      <c r="LDF132" s="118"/>
      <c r="LDG132" s="118"/>
      <c r="LDH132" s="118"/>
      <c r="LDI132" s="118"/>
      <c r="LDJ132" s="118"/>
      <c r="LDK132" s="118"/>
      <c r="LDL132" s="118"/>
      <c r="LDM132" s="118"/>
      <c r="LDN132" s="118"/>
      <c r="LDO132" s="118"/>
      <c r="LDP132" s="118"/>
      <c r="LDQ132" s="118"/>
      <c r="LDR132" s="118"/>
      <c r="LDS132" s="118"/>
      <c r="LDT132" s="118"/>
      <c r="LDU132" s="118"/>
      <c r="LDV132" s="118"/>
      <c r="LDW132" s="118"/>
      <c r="LDX132" s="118"/>
      <c r="LDY132" s="118"/>
      <c r="LDZ132" s="118"/>
      <c r="LEA132" s="118"/>
      <c r="LEB132" s="118"/>
      <c r="LEC132" s="118"/>
      <c r="LED132" s="118"/>
      <c r="LEE132" s="118"/>
      <c r="LEF132" s="118"/>
      <c r="LEG132" s="118"/>
      <c r="LEH132" s="118"/>
      <c r="LEI132" s="118"/>
      <c r="LEJ132" s="118"/>
      <c r="LEK132" s="118"/>
      <c r="LEL132" s="118"/>
      <c r="LEM132" s="118"/>
      <c r="LEN132" s="118"/>
      <c r="LEO132" s="118"/>
      <c r="LEP132" s="118"/>
      <c r="LEQ132" s="118"/>
      <c r="LER132" s="118"/>
      <c r="LES132" s="118"/>
      <c r="LET132" s="118"/>
      <c r="LEU132" s="118"/>
      <c r="LEV132" s="118"/>
      <c r="LEW132" s="118"/>
      <c r="LEX132" s="118"/>
      <c r="LEY132" s="118"/>
      <c r="LEZ132" s="118"/>
      <c r="LFA132" s="118"/>
      <c r="LFB132" s="118"/>
      <c r="LFC132" s="118"/>
      <c r="LFD132" s="118"/>
      <c r="LFE132" s="118"/>
      <c r="LFF132" s="118"/>
      <c r="LFG132" s="118"/>
      <c r="LFH132" s="118"/>
      <c r="LFI132" s="118"/>
      <c r="LFJ132" s="118"/>
      <c r="LFK132" s="118"/>
      <c r="LFL132" s="118"/>
      <c r="LFM132" s="118"/>
      <c r="LFN132" s="118"/>
      <c r="LFO132" s="118"/>
      <c r="LFP132" s="118"/>
      <c r="LFQ132" s="118"/>
      <c r="LFR132" s="118"/>
      <c r="LFS132" s="118"/>
      <c r="LFT132" s="118"/>
      <c r="LFU132" s="118"/>
      <c r="LFV132" s="118"/>
      <c r="LFW132" s="118"/>
      <c r="LFX132" s="118"/>
      <c r="LFY132" s="118"/>
      <c r="LFZ132" s="118"/>
      <c r="LGA132" s="118"/>
      <c r="LGB132" s="118"/>
      <c r="LGC132" s="118"/>
      <c r="LGD132" s="118"/>
      <c r="LGE132" s="118"/>
      <c r="LGF132" s="118"/>
      <c r="LGG132" s="118"/>
      <c r="LGH132" s="118"/>
      <c r="LGI132" s="118"/>
      <c r="LGJ132" s="118"/>
      <c r="LGK132" s="118"/>
      <c r="LGL132" s="118"/>
      <c r="LGM132" s="118"/>
      <c r="LGN132" s="118"/>
      <c r="LGO132" s="118"/>
      <c r="LGP132" s="118"/>
      <c r="LGQ132" s="118"/>
      <c r="LGR132" s="118"/>
      <c r="LGS132" s="118"/>
      <c r="LGT132" s="118"/>
      <c r="LGU132" s="118"/>
      <c r="LGV132" s="118"/>
      <c r="LGW132" s="118"/>
      <c r="LGX132" s="118"/>
      <c r="LGY132" s="118"/>
      <c r="LGZ132" s="118"/>
      <c r="LHA132" s="118"/>
      <c r="LHB132" s="118"/>
      <c r="LHC132" s="118"/>
      <c r="LHD132" s="118"/>
      <c r="LHE132" s="118"/>
      <c r="LHF132" s="118"/>
      <c r="LHG132" s="118"/>
      <c r="LHH132" s="118"/>
      <c r="LHI132" s="118"/>
      <c r="LHJ132" s="118"/>
      <c r="LHK132" s="118"/>
      <c r="LHL132" s="118"/>
      <c r="LHM132" s="118"/>
      <c r="LHN132" s="118"/>
      <c r="LHO132" s="118"/>
      <c r="LHP132" s="118"/>
      <c r="LHQ132" s="118"/>
      <c r="LHR132" s="118"/>
      <c r="LHS132" s="118"/>
      <c r="LHT132" s="118"/>
      <c r="LHU132" s="118"/>
      <c r="LHV132" s="118"/>
      <c r="LHW132" s="118"/>
      <c r="LHX132" s="118"/>
      <c r="LHY132" s="118"/>
      <c r="LHZ132" s="118"/>
      <c r="LIA132" s="118"/>
      <c r="LIB132" s="118"/>
      <c r="LIC132" s="118"/>
      <c r="LID132" s="118"/>
      <c r="LIE132" s="118"/>
      <c r="LIF132" s="118"/>
      <c r="LIG132" s="118"/>
      <c r="LIH132" s="118"/>
      <c r="LII132" s="118"/>
      <c r="LIJ132" s="118"/>
      <c r="LIK132" s="118"/>
      <c r="LIL132" s="118"/>
      <c r="LIM132" s="118"/>
      <c r="LIN132" s="118"/>
      <c r="LIO132" s="118"/>
      <c r="LIP132" s="118"/>
      <c r="LIQ132" s="118"/>
      <c r="LIR132" s="118"/>
      <c r="LIS132" s="118"/>
      <c r="LIT132" s="118"/>
      <c r="LIU132" s="118"/>
      <c r="LIV132" s="118"/>
      <c r="LIW132" s="118"/>
      <c r="LIX132" s="118"/>
      <c r="LIY132" s="118"/>
      <c r="LIZ132" s="118"/>
      <c r="LJA132" s="118"/>
      <c r="LJB132" s="118"/>
      <c r="LJC132" s="118"/>
      <c r="LJD132" s="118"/>
      <c r="LJE132" s="118"/>
      <c r="LJF132" s="118"/>
      <c r="LJG132" s="118"/>
      <c r="LJH132" s="118"/>
      <c r="LJI132" s="118"/>
      <c r="LJJ132" s="118"/>
      <c r="LJK132" s="118"/>
      <c r="LJL132" s="118"/>
      <c r="LJM132" s="118"/>
      <c r="LJN132" s="118"/>
      <c r="LJO132" s="118"/>
      <c r="LJP132" s="118"/>
      <c r="LJQ132" s="118"/>
      <c r="LJR132" s="118"/>
      <c r="LJS132" s="118"/>
      <c r="LJT132" s="118"/>
      <c r="LJU132" s="118"/>
      <c r="LJV132" s="118"/>
      <c r="LJW132" s="118"/>
      <c r="LJX132" s="118"/>
      <c r="LJY132" s="118"/>
      <c r="LJZ132" s="118"/>
      <c r="LKA132" s="118"/>
      <c r="LKB132" s="118"/>
      <c r="LKC132" s="118"/>
      <c r="LKD132" s="118"/>
      <c r="LKE132" s="118"/>
      <c r="LKF132" s="118"/>
      <c r="LKG132" s="118"/>
      <c r="LKH132" s="118"/>
      <c r="LKI132" s="118"/>
      <c r="LKJ132" s="118"/>
      <c r="LKK132" s="118"/>
      <c r="LKL132" s="118"/>
      <c r="LKM132" s="118"/>
      <c r="LKN132" s="118"/>
      <c r="LKO132" s="118"/>
      <c r="LKP132" s="118"/>
      <c r="LKQ132" s="118"/>
      <c r="LKR132" s="118"/>
      <c r="LKS132" s="118"/>
      <c r="LKT132" s="118"/>
      <c r="LKU132" s="118"/>
      <c r="LKV132" s="118"/>
      <c r="LKW132" s="118"/>
      <c r="LKX132" s="118"/>
      <c r="LKY132" s="118"/>
      <c r="LKZ132" s="118"/>
      <c r="LLA132" s="118"/>
      <c r="LLB132" s="118"/>
      <c r="LLC132" s="118"/>
      <c r="LLD132" s="118"/>
      <c r="LLE132" s="118"/>
      <c r="LLF132" s="118"/>
      <c r="LLG132" s="118"/>
      <c r="LLH132" s="118"/>
      <c r="LLI132" s="118"/>
      <c r="LLJ132" s="118"/>
      <c r="LLK132" s="118"/>
      <c r="LLL132" s="118"/>
      <c r="LLM132" s="118"/>
      <c r="LLN132" s="118"/>
      <c r="LLO132" s="118"/>
      <c r="LLP132" s="118"/>
      <c r="LLQ132" s="118"/>
      <c r="LLR132" s="118"/>
      <c r="LLS132" s="118"/>
      <c r="LLT132" s="118"/>
      <c r="LLU132" s="118"/>
      <c r="LLV132" s="118"/>
      <c r="LLW132" s="118"/>
      <c r="LLX132" s="118"/>
      <c r="LLY132" s="118"/>
      <c r="LLZ132" s="118"/>
      <c r="LMA132" s="118"/>
      <c r="LMB132" s="118"/>
      <c r="LMC132" s="118"/>
      <c r="LMD132" s="118"/>
      <c r="LME132" s="118"/>
      <c r="LMF132" s="118"/>
      <c r="LMG132" s="118"/>
      <c r="LMH132" s="118"/>
      <c r="LMI132" s="118"/>
      <c r="LMJ132" s="118"/>
      <c r="LMK132" s="118"/>
      <c r="LML132" s="118"/>
      <c r="LMM132" s="118"/>
      <c r="LMN132" s="118"/>
      <c r="LMO132" s="118"/>
      <c r="LMP132" s="118"/>
      <c r="LMQ132" s="118"/>
      <c r="LMR132" s="118"/>
      <c r="LMS132" s="118"/>
      <c r="LMT132" s="118"/>
      <c r="LMU132" s="118"/>
      <c r="LMV132" s="118"/>
      <c r="LMW132" s="118"/>
      <c r="LMX132" s="118"/>
      <c r="LMY132" s="118"/>
      <c r="LMZ132" s="118"/>
      <c r="LNA132" s="118"/>
      <c r="LNB132" s="118"/>
      <c r="LNC132" s="118"/>
      <c r="LND132" s="118"/>
      <c r="LNE132" s="118"/>
      <c r="LNF132" s="118"/>
      <c r="LNG132" s="118"/>
      <c r="LNH132" s="118"/>
      <c r="LNI132" s="118"/>
      <c r="LNJ132" s="118"/>
      <c r="LNK132" s="118"/>
      <c r="LNL132" s="118"/>
      <c r="LNM132" s="118"/>
      <c r="LNN132" s="118"/>
      <c r="LNO132" s="118"/>
      <c r="LNP132" s="118"/>
      <c r="LNQ132" s="118"/>
      <c r="LNR132" s="118"/>
      <c r="LNS132" s="118"/>
      <c r="LNT132" s="118"/>
      <c r="LNU132" s="118"/>
      <c r="LNV132" s="118"/>
      <c r="LNW132" s="118"/>
      <c r="LNX132" s="118"/>
      <c r="LNY132" s="118"/>
      <c r="LNZ132" s="118"/>
      <c r="LOA132" s="118"/>
      <c r="LOB132" s="118"/>
      <c r="LOC132" s="118"/>
      <c r="LOD132" s="118"/>
      <c r="LOE132" s="118"/>
      <c r="LOF132" s="118"/>
      <c r="LOG132" s="118"/>
      <c r="LOH132" s="118"/>
      <c r="LOI132" s="118"/>
      <c r="LOJ132" s="118"/>
      <c r="LOK132" s="118"/>
      <c r="LOL132" s="118"/>
      <c r="LOM132" s="118"/>
      <c r="LON132" s="118"/>
      <c r="LOO132" s="118"/>
      <c r="LOP132" s="118"/>
      <c r="LOQ132" s="118"/>
      <c r="LOR132" s="118"/>
      <c r="LOS132" s="118"/>
      <c r="LOT132" s="118"/>
      <c r="LOU132" s="118"/>
      <c r="LOV132" s="118"/>
      <c r="LOW132" s="118"/>
      <c r="LOX132" s="118"/>
      <c r="LOY132" s="118"/>
      <c r="LOZ132" s="118"/>
      <c r="LPA132" s="118"/>
      <c r="LPB132" s="118"/>
      <c r="LPC132" s="118"/>
      <c r="LPD132" s="118"/>
      <c r="LPE132" s="118"/>
      <c r="LPF132" s="118"/>
      <c r="LPG132" s="118"/>
      <c r="LPH132" s="118"/>
      <c r="LPI132" s="118"/>
      <c r="LPJ132" s="118"/>
      <c r="LPK132" s="118"/>
      <c r="LPL132" s="118"/>
      <c r="LPM132" s="118"/>
      <c r="LPN132" s="118"/>
      <c r="LPO132" s="118"/>
      <c r="LPP132" s="118"/>
      <c r="LPQ132" s="118"/>
      <c r="LPR132" s="118"/>
      <c r="LPS132" s="118"/>
      <c r="LPT132" s="118"/>
      <c r="LPU132" s="118"/>
      <c r="LPV132" s="118"/>
      <c r="LPW132" s="118"/>
      <c r="LPX132" s="118"/>
      <c r="LPY132" s="118"/>
      <c r="LPZ132" s="118"/>
      <c r="LQA132" s="118"/>
      <c r="LQB132" s="118"/>
      <c r="LQC132" s="118"/>
      <c r="LQD132" s="118"/>
      <c r="LQE132" s="118"/>
      <c r="LQF132" s="118"/>
      <c r="LQG132" s="118"/>
      <c r="LQH132" s="118"/>
      <c r="LQI132" s="118"/>
      <c r="LQJ132" s="118"/>
      <c r="LQK132" s="118"/>
      <c r="LQL132" s="118"/>
      <c r="LQM132" s="118"/>
      <c r="LQN132" s="118"/>
      <c r="LQO132" s="118"/>
      <c r="LQP132" s="118"/>
      <c r="LQQ132" s="118"/>
      <c r="LQR132" s="118"/>
      <c r="LQS132" s="118"/>
      <c r="LQT132" s="118"/>
      <c r="LQU132" s="118"/>
      <c r="LQV132" s="118"/>
      <c r="LQW132" s="118"/>
      <c r="LQX132" s="118"/>
      <c r="LQY132" s="118"/>
      <c r="LQZ132" s="118"/>
      <c r="LRA132" s="118"/>
      <c r="LRB132" s="118"/>
      <c r="LRC132" s="118"/>
      <c r="LRD132" s="118"/>
      <c r="LRE132" s="118"/>
      <c r="LRF132" s="118"/>
      <c r="LRG132" s="118"/>
      <c r="LRH132" s="118"/>
      <c r="LRI132" s="118"/>
      <c r="LRJ132" s="118"/>
      <c r="LRK132" s="118"/>
      <c r="LRL132" s="118"/>
      <c r="LRM132" s="118"/>
      <c r="LRN132" s="118"/>
      <c r="LRO132" s="118"/>
      <c r="LRP132" s="118"/>
      <c r="LRQ132" s="118"/>
      <c r="LRR132" s="118"/>
      <c r="LRS132" s="118"/>
      <c r="LRT132" s="118"/>
      <c r="LRU132" s="118"/>
      <c r="LRV132" s="118"/>
      <c r="LRW132" s="118"/>
      <c r="LRX132" s="118"/>
      <c r="LRY132" s="118"/>
      <c r="LRZ132" s="118"/>
      <c r="LSA132" s="118"/>
      <c r="LSB132" s="118"/>
      <c r="LSC132" s="118"/>
      <c r="LSD132" s="118"/>
      <c r="LSE132" s="118"/>
      <c r="LSF132" s="118"/>
      <c r="LSG132" s="118"/>
      <c r="LSH132" s="118"/>
      <c r="LSI132" s="118"/>
      <c r="LSJ132" s="118"/>
      <c r="LSK132" s="118"/>
      <c r="LSL132" s="118"/>
      <c r="LSM132" s="118"/>
      <c r="LSN132" s="118"/>
      <c r="LSO132" s="118"/>
      <c r="LSP132" s="118"/>
      <c r="LSQ132" s="118"/>
      <c r="LSR132" s="118"/>
      <c r="LSS132" s="118"/>
      <c r="LST132" s="118"/>
      <c r="LSU132" s="118"/>
      <c r="LSV132" s="118"/>
      <c r="LSW132" s="118"/>
      <c r="LSX132" s="118"/>
      <c r="LSY132" s="118"/>
      <c r="LSZ132" s="118"/>
      <c r="LTA132" s="118"/>
      <c r="LTB132" s="118"/>
      <c r="LTC132" s="118"/>
      <c r="LTD132" s="118"/>
      <c r="LTE132" s="118"/>
      <c r="LTF132" s="118"/>
      <c r="LTG132" s="118"/>
      <c r="LTH132" s="118"/>
      <c r="LTI132" s="118"/>
      <c r="LTJ132" s="118"/>
      <c r="LTK132" s="118"/>
      <c r="LTL132" s="118"/>
      <c r="LTM132" s="118"/>
      <c r="LTN132" s="118"/>
      <c r="LTO132" s="118"/>
      <c r="LTP132" s="118"/>
      <c r="LTQ132" s="118"/>
      <c r="LTR132" s="118"/>
      <c r="LTS132" s="118"/>
      <c r="LTT132" s="118"/>
      <c r="LTU132" s="118"/>
      <c r="LTV132" s="118"/>
      <c r="LTW132" s="118"/>
      <c r="LTX132" s="118"/>
      <c r="LTY132" s="118"/>
      <c r="LTZ132" s="118"/>
      <c r="LUA132" s="118"/>
      <c r="LUB132" s="118"/>
      <c r="LUC132" s="118"/>
      <c r="LUD132" s="118"/>
      <c r="LUE132" s="118"/>
      <c r="LUF132" s="118"/>
      <c r="LUG132" s="118"/>
      <c r="LUH132" s="118"/>
      <c r="LUI132" s="118"/>
      <c r="LUJ132" s="118"/>
      <c r="LUK132" s="118"/>
      <c r="LUL132" s="118"/>
      <c r="LUM132" s="118"/>
      <c r="LUN132" s="118"/>
      <c r="LUO132" s="118"/>
      <c r="LUP132" s="118"/>
      <c r="LUQ132" s="118"/>
      <c r="LUR132" s="118"/>
      <c r="LUS132" s="118"/>
      <c r="LUT132" s="118"/>
      <c r="LUU132" s="118"/>
      <c r="LUV132" s="118"/>
      <c r="LUW132" s="118"/>
      <c r="LUX132" s="118"/>
      <c r="LUY132" s="118"/>
      <c r="LUZ132" s="118"/>
      <c r="LVA132" s="118"/>
      <c r="LVB132" s="118"/>
      <c r="LVC132" s="118"/>
      <c r="LVD132" s="118"/>
      <c r="LVE132" s="118"/>
      <c r="LVF132" s="118"/>
      <c r="LVG132" s="118"/>
      <c r="LVH132" s="118"/>
      <c r="LVI132" s="118"/>
      <c r="LVJ132" s="118"/>
      <c r="LVK132" s="118"/>
      <c r="LVL132" s="118"/>
      <c r="LVM132" s="118"/>
      <c r="LVN132" s="118"/>
      <c r="LVO132" s="118"/>
      <c r="LVP132" s="118"/>
      <c r="LVQ132" s="118"/>
      <c r="LVR132" s="118"/>
      <c r="LVS132" s="118"/>
      <c r="LVT132" s="118"/>
      <c r="LVU132" s="118"/>
      <c r="LVV132" s="118"/>
      <c r="LVW132" s="118"/>
      <c r="LVX132" s="118"/>
      <c r="LVY132" s="118"/>
      <c r="LVZ132" s="118"/>
      <c r="LWA132" s="118"/>
      <c r="LWB132" s="118"/>
      <c r="LWC132" s="118"/>
      <c r="LWD132" s="118"/>
      <c r="LWE132" s="118"/>
      <c r="LWF132" s="118"/>
      <c r="LWG132" s="118"/>
      <c r="LWH132" s="118"/>
      <c r="LWI132" s="118"/>
      <c r="LWJ132" s="118"/>
      <c r="LWK132" s="118"/>
      <c r="LWL132" s="118"/>
      <c r="LWM132" s="118"/>
      <c r="LWN132" s="118"/>
      <c r="LWO132" s="118"/>
      <c r="LWP132" s="118"/>
      <c r="LWQ132" s="118"/>
      <c r="LWR132" s="118"/>
      <c r="LWS132" s="118"/>
      <c r="LWT132" s="118"/>
      <c r="LWU132" s="118"/>
      <c r="LWV132" s="118"/>
      <c r="LWW132" s="118"/>
      <c r="LWX132" s="118"/>
      <c r="LWY132" s="118"/>
      <c r="LWZ132" s="118"/>
      <c r="LXA132" s="118"/>
      <c r="LXB132" s="118"/>
      <c r="LXC132" s="118"/>
      <c r="LXD132" s="118"/>
      <c r="LXE132" s="118"/>
      <c r="LXF132" s="118"/>
      <c r="LXG132" s="118"/>
      <c r="LXH132" s="118"/>
      <c r="LXI132" s="118"/>
      <c r="LXJ132" s="118"/>
      <c r="LXK132" s="118"/>
      <c r="LXL132" s="118"/>
      <c r="LXM132" s="118"/>
      <c r="LXN132" s="118"/>
      <c r="LXO132" s="118"/>
      <c r="LXP132" s="118"/>
      <c r="LXQ132" s="118"/>
      <c r="LXR132" s="118"/>
      <c r="LXS132" s="118"/>
      <c r="LXT132" s="118"/>
      <c r="LXU132" s="118"/>
      <c r="LXV132" s="118"/>
      <c r="LXW132" s="118"/>
      <c r="LXX132" s="118"/>
      <c r="LXY132" s="118"/>
      <c r="LXZ132" s="118"/>
      <c r="LYA132" s="118"/>
      <c r="LYB132" s="118"/>
      <c r="LYC132" s="118"/>
      <c r="LYD132" s="118"/>
      <c r="LYE132" s="118"/>
      <c r="LYF132" s="118"/>
      <c r="LYG132" s="118"/>
      <c r="LYH132" s="118"/>
      <c r="LYI132" s="118"/>
      <c r="LYJ132" s="118"/>
      <c r="LYK132" s="118"/>
      <c r="LYL132" s="118"/>
      <c r="LYM132" s="118"/>
      <c r="LYN132" s="118"/>
      <c r="LYO132" s="118"/>
      <c r="LYP132" s="118"/>
      <c r="LYQ132" s="118"/>
      <c r="LYR132" s="118"/>
      <c r="LYS132" s="118"/>
      <c r="LYT132" s="118"/>
      <c r="LYU132" s="118"/>
      <c r="LYV132" s="118"/>
      <c r="LYW132" s="118"/>
      <c r="LYX132" s="118"/>
      <c r="LYY132" s="118"/>
      <c r="LYZ132" s="118"/>
      <c r="LZA132" s="118"/>
      <c r="LZB132" s="118"/>
      <c r="LZC132" s="118"/>
      <c r="LZD132" s="118"/>
      <c r="LZE132" s="118"/>
      <c r="LZF132" s="118"/>
      <c r="LZG132" s="118"/>
      <c r="LZH132" s="118"/>
      <c r="LZI132" s="118"/>
      <c r="LZJ132" s="118"/>
      <c r="LZK132" s="118"/>
      <c r="LZL132" s="118"/>
      <c r="LZM132" s="118"/>
      <c r="LZN132" s="118"/>
      <c r="LZO132" s="118"/>
      <c r="LZP132" s="118"/>
      <c r="LZQ132" s="118"/>
      <c r="LZR132" s="118"/>
      <c r="LZS132" s="118"/>
      <c r="LZT132" s="118"/>
      <c r="LZU132" s="118"/>
      <c r="LZV132" s="118"/>
      <c r="LZW132" s="118"/>
      <c r="LZX132" s="118"/>
      <c r="LZY132" s="118"/>
      <c r="LZZ132" s="118"/>
      <c r="MAA132" s="118"/>
      <c r="MAB132" s="118"/>
      <c r="MAC132" s="118"/>
      <c r="MAD132" s="118"/>
      <c r="MAE132" s="118"/>
      <c r="MAF132" s="118"/>
      <c r="MAG132" s="118"/>
      <c r="MAH132" s="118"/>
      <c r="MAI132" s="118"/>
      <c r="MAJ132" s="118"/>
      <c r="MAK132" s="118"/>
      <c r="MAL132" s="118"/>
      <c r="MAM132" s="118"/>
      <c r="MAN132" s="118"/>
      <c r="MAO132" s="118"/>
      <c r="MAP132" s="118"/>
      <c r="MAQ132" s="118"/>
      <c r="MAR132" s="118"/>
      <c r="MAS132" s="118"/>
      <c r="MAT132" s="118"/>
      <c r="MAU132" s="118"/>
      <c r="MAV132" s="118"/>
      <c r="MAW132" s="118"/>
      <c r="MAX132" s="118"/>
      <c r="MAY132" s="118"/>
      <c r="MAZ132" s="118"/>
      <c r="MBA132" s="118"/>
      <c r="MBB132" s="118"/>
      <c r="MBC132" s="118"/>
      <c r="MBD132" s="118"/>
      <c r="MBE132" s="118"/>
      <c r="MBF132" s="118"/>
      <c r="MBG132" s="118"/>
      <c r="MBH132" s="118"/>
      <c r="MBI132" s="118"/>
      <c r="MBJ132" s="118"/>
      <c r="MBK132" s="118"/>
      <c r="MBL132" s="118"/>
      <c r="MBM132" s="118"/>
      <c r="MBN132" s="118"/>
      <c r="MBO132" s="118"/>
      <c r="MBP132" s="118"/>
      <c r="MBQ132" s="118"/>
      <c r="MBR132" s="118"/>
      <c r="MBS132" s="118"/>
      <c r="MBT132" s="118"/>
      <c r="MBU132" s="118"/>
      <c r="MBV132" s="118"/>
      <c r="MBW132" s="118"/>
      <c r="MBX132" s="118"/>
      <c r="MBY132" s="118"/>
      <c r="MBZ132" s="118"/>
      <c r="MCA132" s="118"/>
      <c r="MCB132" s="118"/>
      <c r="MCC132" s="118"/>
      <c r="MCD132" s="118"/>
      <c r="MCE132" s="118"/>
      <c r="MCF132" s="118"/>
      <c r="MCG132" s="118"/>
      <c r="MCH132" s="118"/>
      <c r="MCI132" s="118"/>
      <c r="MCJ132" s="118"/>
      <c r="MCK132" s="118"/>
      <c r="MCL132" s="118"/>
      <c r="MCM132" s="118"/>
      <c r="MCN132" s="118"/>
      <c r="MCO132" s="118"/>
      <c r="MCP132" s="118"/>
      <c r="MCQ132" s="118"/>
      <c r="MCR132" s="118"/>
      <c r="MCS132" s="118"/>
      <c r="MCT132" s="118"/>
      <c r="MCU132" s="118"/>
      <c r="MCV132" s="118"/>
      <c r="MCW132" s="118"/>
      <c r="MCX132" s="118"/>
      <c r="MCY132" s="118"/>
      <c r="MCZ132" s="118"/>
      <c r="MDA132" s="118"/>
      <c r="MDB132" s="118"/>
      <c r="MDC132" s="118"/>
      <c r="MDD132" s="118"/>
      <c r="MDE132" s="118"/>
      <c r="MDF132" s="118"/>
      <c r="MDG132" s="118"/>
      <c r="MDH132" s="118"/>
      <c r="MDI132" s="118"/>
      <c r="MDJ132" s="118"/>
      <c r="MDK132" s="118"/>
      <c r="MDL132" s="118"/>
      <c r="MDM132" s="118"/>
      <c r="MDN132" s="118"/>
      <c r="MDO132" s="118"/>
      <c r="MDP132" s="118"/>
      <c r="MDQ132" s="118"/>
      <c r="MDR132" s="118"/>
      <c r="MDS132" s="118"/>
      <c r="MDT132" s="118"/>
      <c r="MDU132" s="118"/>
      <c r="MDV132" s="118"/>
      <c r="MDW132" s="118"/>
      <c r="MDX132" s="118"/>
      <c r="MDY132" s="118"/>
      <c r="MDZ132" s="118"/>
      <c r="MEA132" s="118"/>
      <c r="MEB132" s="118"/>
      <c r="MEC132" s="118"/>
      <c r="MED132" s="118"/>
      <c r="MEE132" s="118"/>
      <c r="MEF132" s="118"/>
      <c r="MEG132" s="118"/>
      <c r="MEH132" s="118"/>
      <c r="MEI132" s="118"/>
      <c r="MEJ132" s="118"/>
      <c r="MEK132" s="118"/>
      <c r="MEL132" s="118"/>
      <c r="MEM132" s="118"/>
      <c r="MEN132" s="118"/>
      <c r="MEO132" s="118"/>
      <c r="MEP132" s="118"/>
      <c r="MEQ132" s="118"/>
      <c r="MER132" s="118"/>
      <c r="MES132" s="118"/>
      <c r="MET132" s="118"/>
      <c r="MEU132" s="118"/>
      <c r="MEV132" s="118"/>
      <c r="MEW132" s="118"/>
      <c r="MEX132" s="118"/>
      <c r="MEY132" s="118"/>
      <c r="MEZ132" s="118"/>
      <c r="MFA132" s="118"/>
      <c r="MFB132" s="118"/>
      <c r="MFC132" s="118"/>
      <c r="MFD132" s="118"/>
      <c r="MFE132" s="118"/>
      <c r="MFF132" s="118"/>
      <c r="MFG132" s="118"/>
      <c r="MFH132" s="118"/>
      <c r="MFI132" s="118"/>
      <c r="MFJ132" s="118"/>
      <c r="MFK132" s="118"/>
      <c r="MFL132" s="118"/>
      <c r="MFM132" s="118"/>
      <c r="MFN132" s="118"/>
      <c r="MFO132" s="118"/>
      <c r="MFP132" s="118"/>
      <c r="MFQ132" s="118"/>
      <c r="MFR132" s="118"/>
      <c r="MFS132" s="118"/>
      <c r="MFT132" s="118"/>
      <c r="MFU132" s="118"/>
      <c r="MFV132" s="118"/>
      <c r="MFW132" s="118"/>
      <c r="MFX132" s="118"/>
      <c r="MFY132" s="118"/>
      <c r="MFZ132" s="118"/>
      <c r="MGA132" s="118"/>
      <c r="MGB132" s="118"/>
      <c r="MGC132" s="118"/>
      <c r="MGD132" s="118"/>
      <c r="MGE132" s="118"/>
      <c r="MGF132" s="118"/>
      <c r="MGG132" s="118"/>
      <c r="MGH132" s="118"/>
      <c r="MGI132" s="118"/>
      <c r="MGJ132" s="118"/>
      <c r="MGK132" s="118"/>
      <c r="MGL132" s="118"/>
      <c r="MGM132" s="118"/>
      <c r="MGN132" s="118"/>
      <c r="MGO132" s="118"/>
      <c r="MGP132" s="118"/>
      <c r="MGQ132" s="118"/>
      <c r="MGR132" s="118"/>
      <c r="MGS132" s="118"/>
      <c r="MGT132" s="118"/>
      <c r="MGU132" s="118"/>
      <c r="MGV132" s="118"/>
      <c r="MGW132" s="118"/>
      <c r="MGX132" s="118"/>
      <c r="MGY132" s="118"/>
      <c r="MGZ132" s="118"/>
      <c r="MHA132" s="118"/>
      <c r="MHB132" s="118"/>
      <c r="MHC132" s="118"/>
      <c r="MHD132" s="118"/>
      <c r="MHE132" s="118"/>
      <c r="MHF132" s="118"/>
      <c r="MHG132" s="118"/>
      <c r="MHH132" s="118"/>
      <c r="MHI132" s="118"/>
      <c r="MHJ132" s="118"/>
      <c r="MHK132" s="118"/>
      <c r="MHL132" s="118"/>
      <c r="MHM132" s="118"/>
      <c r="MHN132" s="118"/>
      <c r="MHO132" s="118"/>
      <c r="MHP132" s="118"/>
      <c r="MHQ132" s="118"/>
      <c r="MHR132" s="118"/>
      <c r="MHS132" s="118"/>
      <c r="MHT132" s="118"/>
      <c r="MHU132" s="118"/>
      <c r="MHV132" s="118"/>
      <c r="MHW132" s="118"/>
      <c r="MHX132" s="118"/>
      <c r="MHY132" s="118"/>
      <c r="MHZ132" s="118"/>
      <c r="MIA132" s="118"/>
      <c r="MIB132" s="118"/>
      <c r="MIC132" s="118"/>
      <c r="MID132" s="118"/>
      <c r="MIE132" s="118"/>
      <c r="MIF132" s="118"/>
      <c r="MIG132" s="118"/>
      <c r="MIH132" s="118"/>
      <c r="MII132" s="118"/>
      <c r="MIJ132" s="118"/>
      <c r="MIK132" s="118"/>
      <c r="MIL132" s="118"/>
      <c r="MIM132" s="118"/>
      <c r="MIN132" s="118"/>
      <c r="MIO132" s="118"/>
      <c r="MIP132" s="118"/>
      <c r="MIQ132" s="118"/>
      <c r="MIR132" s="118"/>
      <c r="MIS132" s="118"/>
      <c r="MIT132" s="118"/>
      <c r="MIU132" s="118"/>
      <c r="MIV132" s="118"/>
      <c r="MIW132" s="118"/>
      <c r="MIX132" s="118"/>
      <c r="MIY132" s="118"/>
      <c r="MIZ132" s="118"/>
      <c r="MJA132" s="118"/>
      <c r="MJB132" s="118"/>
      <c r="MJC132" s="118"/>
      <c r="MJD132" s="118"/>
      <c r="MJE132" s="118"/>
      <c r="MJF132" s="118"/>
      <c r="MJG132" s="118"/>
      <c r="MJH132" s="118"/>
      <c r="MJI132" s="118"/>
      <c r="MJJ132" s="118"/>
      <c r="MJK132" s="118"/>
      <c r="MJL132" s="118"/>
      <c r="MJM132" s="118"/>
      <c r="MJN132" s="118"/>
      <c r="MJO132" s="118"/>
      <c r="MJP132" s="118"/>
      <c r="MJQ132" s="118"/>
      <c r="MJR132" s="118"/>
      <c r="MJS132" s="118"/>
      <c r="MJT132" s="118"/>
      <c r="MJU132" s="118"/>
      <c r="MJV132" s="118"/>
      <c r="MJW132" s="118"/>
      <c r="MJX132" s="118"/>
      <c r="MJY132" s="118"/>
      <c r="MJZ132" s="118"/>
      <c r="MKA132" s="118"/>
      <c r="MKB132" s="118"/>
      <c r="MKC132" s="118"/>
      <c r="MKD132" s="118"/>
      <c r="MKE132" s="118"/>
      <c r="MKF132" s="118"/>
      <c r="MKG132" s="118"/>
      <c r="MKH132" s="118"/>
      <c r="MKI132" s="118"/>
      <c r="MKJ132" s="118"/>
      <c r="MKK132" s="118"/>
      <c r="MKL132" s="118"/>
      <c r="MKM132" s="118"/>
      <c r="MKN132" s="118"/>
      <c r="MKO132" s="118"/>
      <c r="MKP132" s="118"/>
      <c r="MKQ132" s="118"/>
      <c r="MKR132" s="118"/>
      <c r="MKS132" s="118"/>
      <c r="MKT132" s="118"/>
      <c r="MKU132" s="118"/>
      <c r="MKV132" s="118"/>
      <c r="MKW132" s="118"/>
      <c r="MKX132" s="118"/>
      <c r="MKY132" s="118"/>
      <c r="MKZ132" s="118"/>
      <c r="MLA132" s="118"/>
      <c r="MLB132" s="118"/>
      <c r="MLC132" s="118"/>
      <c r="MLD132" s="118"/>
      <c r="MLE132" s="118"/>
      <c r="MLF132" s="118"/>
      <c r="MLG132" s="118"/>
      <c r="MLH132" s="118"/>
      <c r="MLI132" s="118"/>
      <c r="MLJ132" s="118"/>
      <c r="MLK132" s="118"/>
      <c r="MLL132" s="118"/>
      <c r="MLM132" s="118"/>
      <c r="MLN132" s="118"/>
      <c r="MLO132" s="118"/>
      <c r="MLP132" s="118"/>
      <c r="MLQ132" s="118"/>
      <c r="MLR132" s="118"/>
      <c r="MLS132" s="118"/>
      <c r="MLT132" s="118"/>
      <c r="MLU132" s="118"/>
      <c r="MLV132" s="118"/>
      <c r="MLW132" s="118"/>
      <c r="MLX132" s="118"/>
      <c r="MLY132" s="118"/>
      <c r="MLZ132" s="118"/>
      <c r="MMA132" s="118"/>
      <c r="MMB132" s="118"/>
      <c r="MMC132" s="118"/>
      <c r="MMD132" s="118"/>
      <c r="MME132" s="118"/>
      <c r="MMF132" s="118"/>
      <c r="MMG132" s="118"/>
      <c r="MMH132" s="118"/>
      <c r="MMI132" s="118"/>
      <c r="MMJ132" s="118"/>
      <c r="MMK132" s="118"/>
      <c r="MML132" s="118"/>
      <c r="MMM132" s="118"/>
      <c r="MMN132" s="118"/>
      <c r="MMO132" s="118"/>
      <c r="MMP132" s="118"/>
      <c r="MMQ132" s="118"/>
      <c r="MMR132" s="118"/>
      <c r="MMS132" s="118"/>
      <c r="MMT132" s="118"/>
      <c r="MMU132" s="118"/>
      <c r="MMV132" s="118"/>
      <c r="MMW132" s="118"/>
      <c r="MMX132" s="118"/>
      <c r="MMY132" s="118"/>
      <c r="MMZ132" s="118"/>
      <c r="MNA132" s="118"/>
      <c r="MNB132" s="118"/>
      <c r="MNC132" s="118"/>
      <c r="MND132" s="118"/>
      <c r="MNE132" s="118"/>
      <c r="MNF132" s="118"/>
      <c r="MNG132" s="118"/>
      <c r="MNH132" s="118"/>
      <c r="MNI132" s="118"/>
      <c r="MNJ132" s="118"/>
      <c r="MNK132" s="118"/>
      <c r="MNL132" s="118"/>
      <c r="MNM132" s="118"/>
      <c r="MNN132" s="118"/>
      <c r="MNO132" s="118"/>
      <c r="MNP132" s="118"/>
      <c r="MNQ132" s="118"/>
      <c r="MNR132" s="118"/>
      <c r="MNS132" s="118"/>
      <c r="MNT132" s="118"/>
      <c r="MNU132" s="118"/>
      <c r="MNV132" s="118"/>
      <c r="MNW132" s="118"/>
      <c r="MNX132" s="118"/>
      <c r="MNY132" s="118"/>
      <c r="MNZ132" s="118"/>
      <c r="MOA132" s="118"/>
      <c r="MOB132" s="118"/>
      <c r="MOC132" s="118"/>
      <c r="MOD132" s="118"/>
      <c r="MOE132" s="118"/>
      <c r="MOF132" s="118"/>
      <c r="MOG132" s="118"/>
      <c r="MOH132" s="118"/>
      <c r="MOI132" s="118"/>
      <c r="MOJ132" s="118"/>
      <c r="MOK132" s="118"/>
      <c r="MOL132" s="118"/>
      <c r="MOM132" s="118"/>
      <c r="MON132" s="118"/>
      <c r="MOO132" s="118"/>
      <c r="MOP132" s="118"/>
      <c r="MOQ132" s="118"/>
      <c r="MOR132" s="118"/>
      <c r="MOS132" s="118"/>
      <c r="MOT132" s="118"/>
      <c r="MOU132" s="118"/>
      <c r="MOV132" s="118"/>
      <c r="MOW132" s="118"/>
      <c r="MOX132" s="118"/>
      <c r="MOY132" s="118"/>
      <c r="MOZ132" s="118"/>
      <c r="MPA132" s="118"/>
      <c r="MPB132" s="118"/>
      <c r="MPC132" s="118"/>
      <c r="MPD132" s="118"/>
      <c r="MPE132" s="118"/>
      <c r="MPF132" s="118"/>
      <c r="MPG132" s="118"/>
      <c r="MPH132" s="118"/>
      <c r="MPI132" s="118"/>
      <c r="MPJ132" s="118"/>
      <c r="MPK132" s="118"/>
      <c r="MPL132" s="118"/>
      <c r="MPM132" s="118"/>
      <c r="MPN132" s="118"/>
      <c r="MPO132" s="118"/>
      <c r="MPP132" s="118"/>
      <c r="MPQ132" s="118"/>
      <c r="MPR132" s="118"/>
      <c r="MPS132" s="118"/>
      <c r="MPT132" s="118"/>
      <c r="MPU132" s="118"/>
      <c r="MPV132" s="118"/>
      <c r="MPW132" s="118"/>
      <c r="MPX132" s="118"/>
      <c r="MPY132" s="118"/>
      <c r="MPZ132" s="118"/>
      <c r="MQA132" s="118"/>
      <c r="MQB132" s="118"/>
      <c r="MQC132" s="118"/>
      <c r="MQD132" s="118"/>
      <c r="MQE132" s="118"/>
      <c r="MQF132" s="118"/>
      <c r="MQG132" s="118"/>
      <c r="MQH132" s="118"/>
      <c r="MQI132" s="118"/>
      <c r="MQJ132" s="118"/>
      <c r="MQK132" s="118"/>
      <c r="MQL132" s="118"/>
      <c r="MQM132" s="118"/>
      <c r="MQN132" s="118"/>
      <c r="MQO132" s="118"/>
      <c r="MQP132" s="118"/>
      <c r="MQQ132" s="118"/>
      <c r="MQR132" s="118"/>
      <c r="MQS132" s="118"/>
      <c r="MQT132" s="118"/>
      <c r="MQU132" s="118"/>
      <c r="MQV132" s="118"/>
      <c r="MQW132" s="118"/>
      <c r="MQX132" s="118"/>
      <c r="MQY132" s="118"/>
      <c r="MQZ132" s="118"/>
      <c r="MRA132" s="118"/>
      <c r="MRB132" s="118"/>
      <c r="MRC132" s="118"/>
      <c r="MRD132" s="118"/>
      <c r="MRE132" s="118"/>
      <c r="MRF132" s="118"/>
      <c r="MRG132" s="118"/>
      <c r="MRH132" s="118"/>
      <c r="MRI132" s="118"/>
      <c r="MRJ132" s="118"/>
      <c r="MRK132" s="118"/>
      <c r="MRL132" s="118"/>
      <c r="MRM132" s="118"/>
      <c r="MRN132" s="118"/>
      <c r="MRO132" s="118"/>
      <c r="MRP132" s="118"/>
      <c r="MRQ132" s="118"/>
      <c r="MRR132" s="118"/>
      <c r="MRS132" s="118"/>
      <c r="MRT132" s="118"/>
      <c r="MRU132" s="118"/>
      <c r="MRV132" s="118"/>
      <c r="MRW132" s="118"/>
      <c r="MRX132" s="118"/>
      <c r="MRY132" s="118"/>
      <c r="MRZ132" s="118"/>
      <c r="MSA132" s="118"/>
      <c r="MSB132" s="118"/>
      <c r="MSC132" s="118"/>
      <c r="MSD132" s="118"/>
      <c r="MSE132" s="118"/>
      <c r="MSF132" s="118"/>
      <c r="MSG132" s="118"/>
      <c r="MSH132" s="118"/>
      <c r="MSI132" s="118"/>
      <c r="MSJ132" s="118"/>
      <c r="MSK132" s="118"/>
      <c r="MSL132" s="118"/>
      <c r="MSM132" s="118"/>
      <c r="MSN132" s="118"/>
      <c r="MSO132" s="118"/>
      <c r="MSP132" s="118"/>
      <c r="MSQ132" s="118"/>
      <c r="MSR132" s="118"/>
      <c r="MSS132" s="118"/>
      <c r="MST132" s="118"/>
      <c r="MSU132" s="118"/>
      <c r="MSV132" s="118"/>
      <c r="MSW132" s="118"/>
      <c r="MSX132" s="118"/>
      <c r="MSY132" s="118"/>
      <c r="MSZ132" s="118"/>
      <c r="MTA132" s="118"/>
      <c r="MTB132" s="118"/>
      <c r="MTC132" s="118"/>
      <c r="MTD132" s="118"/>
      <c r="MTE132" s="118"/>
      <c r="MTF132" s="118"/>
      <c r="MTG132" s="118"/>
      <c r="MTH132" s="118"/>
      <c r="MTI132" s="118"/>
      <c r="MTJ132" s="118"/>
      <c r="MTK132" s="118"/>
      <c r="MTL132" s="118"/>
      <c r="MTM132" s="118"/>
      <c r="MTN132" s="118"/>
      <c r="MTO132" s="118"/>
      <c r="MTP132" s="118"/>
      <c r="MTQ132" s="118"/>
      <c r="MTR132" s="118"/>
      <c r="MTS132" s="118"/>
      <c r="MTT132" s="118"/>
      <c r="MTU132" s="118"/>
      <c r="MTV132" s="118"/>
      <c r="MTW132" s="118"/>
      <c r="MTX132" s="118"/>
      <c r="MTY132" s="118"/>
      <c r="MTZ132" s="118"/>
      <c r="MUA132" s="118"/>
      <c r="MUB132" s="118"/>
      <c r="MUC132" s="118"/>
      <c r="MUD132" s="118"/>
      <c r="MUE132" s="118"/>
      <c r="MUF132" s="118"/>
      <c r="MUG132" s="118"/>
      <c r="MUH132" s="118"/>
      <c r="MUI132" s="118"/>
      <c r="MUJ132" s="118"/>
      <c r="MUK132" s="118"/>
      <c r="MUL132" s="118"/>
      <c r="MUM132" s="118"/>
      <c r="MUN132" s="118"/>
      <c r="MUO132" s="118"/>
      <c r="MUP132" s="118"/>
      <c r="MUQ132" s="118"/>
      <c r="MUR132" s="118"/>
      <c r="MUS132" s="118"/>
      <c r="MUT132" s="118"/>
      <c r="MUU132" s="118"/>
      <c r="MUV132" s="118"/>
      <c r="MUW132" s="118"/>
      <c r="MUX132" s="118"/>
      <c r="MUY132" s="118"/>
      <c r="MUZ132" s="118"/>
      <c r="MVA132" s="118"/>
      <c r="MVB132" s="118"/>
      <c r="MVC132" s="118"/>
      <c r="MVD132" s="118"/>
      <c r="MVE132" s="118"/>
      <c r="MVF132" s="118"/>
      <c r="MVG132" s="118"/>
      <c r="MVH132" s="118"/>
      <c r="MVI132" s="118"/>
      <c r="MVJ132" s="118"/>
      <c r="MVK132" s="118"/>
      <c r="MVL132" s="118"/>
      <c r="MVM132" s="118"/>
      <c r="MVN132" s="118"/>
      <c r="MVO132" s="118"/>
      <c r="MVP132" s="118"/>
      <c r="MVQ132" s="118"/>
      <c r="MVR132" s="118"/>
      <c r="MVS132" s="118"/>
      <c r="MVT132" s="118"/>
      <c r="MVU132" s="118"/>
      <c r="MVV132" s="118"/>
      <c r="MVW132" s="118"/>
      <c r="MVX132" s="118"/>
      <c r="MVY132" s="118"/>
      <c r="MVZ132" s="118"/>
      <c r="MWA132" s="118"/>
      <c r="MWB132" s="118"/>
      <c r="MWC132" s="118"/>
      <c r="MWD132" s="118"/>
      <c r="MWE132" s="118"/>
      <c r="MWF132" s="118"/>
      <c r="MWG132" s="118"/>
      <c r="MWH132" s="118"/>
      <c r="MWI132" s="118"/>
      <c r="MWJ132" s="118"/>
      <c r="MWK132" s="118"/>
      <c r="MWL132" s="118"/>
      <c r="MWM132" s="118"/>
      <c r="MWN132" s="118"/>
      <c r="MWO132" s="118"/>
      <c r="MWP132" s="118"/>
      <c r="MWQ132" s="118"/>
      <c r="MWR132" s="118"/>
      <c r="MWS132" s="118"/>
      <c r="MWT132" s="118"/>
      <c r="MWU132" s="118"/>
      <c r="MWV132" s="118"/>
      <c r="MWW132" s="118"/>
      <c r="MWX132" s="118"/>
      <c r="MWY132" s="118"/>
      <c r="MWZ132" s="118"/>
      <c r="MXA132" s="118"/>
      <c r="MXB132" s="118"/>
      <c r="MXC132" s="118"/>
      <c r="MXD132" s="118"/>
      <c r="MXE132" s="118"/>
      <c r="MXF132" s="118"/>
      <c r="MXG132" s="118"/>
      <c r="MXH132" s="118"/>
      <c r="MXI132" s="118"/>
      <c r="MXJ132" s="118"/>
      <c r="MXK132" s="118"/>
      <c r="MXL132" s="118"/>
      <c r="MXM132" s="118"/>
      <c r="MXN132" s="118"/>
      <c r="MXO132" s="118"/>
      <c r="MXP132" s="118"/>
      <c r="MXQ132" s="118"/>
      <c r="MXR132" s="118"/>
      <c r="MXS132" s="118"/>
      <c r="MXT132" s="118"/>
      <c r="MXU132" s="118"/>
      <c r="MXV132" s="118"/>
      <c r="MXW132" s="118"/>
      <c r="MXX132" s="118"/>
      <c r="MXY132" s="118"/>
      <c r="MXZ132" s="118"/>
      <c r="MYA132" s="118"/>
      <c r="MYB132" s="118"/>
      <c r="MYC132" s="118"/>
      <c r="MYD132" s="118"/>
      <c r="MYE132" s="118"/>
      <c r="MYF132" s="118"/>
      <c r="MYG132" s="118"/>
      <c r="MYH132" s="118"/>
      <c r="MYI132" s="118"/>
      <c r="MYJ132" s="118"/>
      <c r="MYK132" s="118"/>
      <c r="MYL132" s="118"/>
      <c r="MYM132" s="118"/>
      <c r="MYN132" s="118"/>
      <c r="MYO132" s="118"/>
      <c r="MYP132" s="118"/>
      <c r="MYQ132" s="118"/>
      <c r="MYR132" s="118"/>
      <c r="MYS132" s="118"/>
      <c r="MYT132" s="118"/>
      <c r="MYU132" s="118"/>
      <c r="MYV132" s="118"/>
      <c r="MYW132" s="118"/>
      <c r="MYX132" s="118"/>
      <c r="MYY132" s="118"/>
      <c r="MYZ132" s="118"/>
      <c r="MZA132" s="118"/>
      <c r="MZB132" s="118"/>
      <c r="MZC132" s="118"/>
      <c r="MZD132" s="118"/>
      <c r="MZE132" s="118"/>
      <c r="MZF132" s="118"/>
      <c r="MZG132" s="118"/>
      <c r="MZH132" s="118"/>
      <c r="MZI132" s="118"/>
      <c r="MZJ132" s="118"/>
      <c r="MZK132" s="118"/>
      <c r="MZL132" s="118"/>
      <c r="MZM132" s="118"/>
      <c r="MZN132" s="118"/>
      <c r="MZO132" s="118"/>
      <c r="MZP132" s="118"/>
      <c r="MZQ132" s="118"/>
      <c r="MZR132" s="118"/>
      <c r="MZS132" s="118"/>
      <c r="MZT132" s="118"/>
      <c r="MZU132" s="118"/>
      <c r="MZV132" s="118"/>
      <c r="MZW132" s="118"/>
      <c r="MZX132" s="118"/>
      <c r="MZY132" s="118"/>
      <c r="MZZ132" s="118"/>
      <c r="NAA132" s="118"/>
      <c r="NAB132" s="118"/>
      <c r="NAC132" s="118"/>
      <c r="NAD132" s="118"/>
      <c r="NAE132" s="118"/>
      <c r="NAF132" s="118"/>
      <c r="NAG132" s="118"/>
      <c r="NAH132" s="118"/>
      <c r="NAI132" s="118"/>
      <c r="NAJ132" s="118"/>
      <c r="NAK132" s="118"/>
      <c r="NAL132" s="118"/>
      <c r="NAM132" s="118"/>
      <c r="NAN132" s="118"/>
      <c r="NAO132" s="118"/>
      <c r="NAP132" s="118"/>
      <c r="NAQ132" s="118"/>
      <c r="NAR132" s="118"/>
      <c r="NAS132" s="118"/>
      <c r="NAT132" s="118"/>
      <c r="NAU132" s="118"/>
      <c r="NAV132" s="118"/>
      <c r="NAW132" s="118"/>
      <c r="NAX132" s="118"/>
      <c r="NAY132" s="118"/>
      <c r="NAZ132" s="118"/>
      <c r="NBA132" s="118"/>
      <c r="NBB132" s="118"/>
      <c r="NBC132" s="118"/>
      <c r="NBD132" s="118"/>
      <c r="NBE132" s="118"/>
      <c r="NBF132" s="118"/>
      <c r="NBG132" s="118"/>
      <c r="NBH132" s="118"/>
      <c r="NBI132" s="118"/>
      <c r="NBJ132" s="118"/>
      <c r="NBK132" s="118"/>
      <c r="NBL132" s="118"/>
      <c r="NBM132" s="118"/>
      <c r="NBN132" s="118"/>
      <c r="NBO132" s="118"/>
      <c r="NBP132" s="118"/>
      <c r="NBQ132" s="118"/>
      <c r="NBR132" s="118"/>
      <c r="NBS132" s="118"/>
      <c r="NBT132" s="118"/>
      <c r="NBU132" s="118"/>
      <c r="NBV132" s="118"/>
      <c r="NBW132" s="118"/>
      <c r="NBX132" s="118"/>
      <c r="NBY132" s="118"/>
      <c r="NBZ132" s="118"/>
      <c r="NCA132" s="118"/>
      <c r="NCB132" s="118"/>
      <c r="NCC132" s="118"/>
      <c r="NCD132" s="118"/>
      <c r="NCE132" s="118"/>
      <c r="NCF132" s="118"/>
      <c r="NCG132" s="118"/>
      <c r="NCH132" s="118"/>
      <c r="NCI132" s="118"/>
      <c r="NCJ132" s="118"/>
      <c r="NCK132" s="118"/>
      <c r="NCL132" s="118"/>
      <c r="NCM132" s="118"/>
      <c r="NCN132" s="118"/>
      <c r="NCO132" s="118"/>
      <c r="NCP132" s="118"/>
      <c r="NCQ132" s="118"/>
      <c r="NCR132" s="118"/>
      <c r="NCS132" s="118"/>
      <c r="NCT132" s="118"/>
      <c r="NCU132" s="118"/>
      <c r="NCV132" s="118"/>
      <c r="NCW132" s="118"/>
      <c r="NCX132" s="118"/>
      <c r="NCY132" s="118"/>
      <c r="NCZ132" s="118"/>
      <c r="NDA132" s="118"/>
      <c r="NDB132" s="118"/>
      <c r="NDC132" s="118"/>
      <c r="NDD132" s="118"/>
      <c r="NDE132" s="118"/>
      <c r="NDF132" s="118"/>
      <c r="NDG132" s="118"/>
      <c r="NDH132" s="118"/>
      <c r="NDI132" s="118"/>
      <c r="NDJ132" s="118"/>
      <c r="NDK132" s="118"/>
      <c r="NDL132" s="118"/>
      <c r="NDM132" s="118"/>
      <c r="NDN132" s="118"/>
      <c r="NDO132" s="118"/>
      <c r="NDP132" s="118"/>
      <c r="NDQ132" s="118"/>
      <c r="NDR132" s="118"/>
      <c r="NDS132" s="118"/>
      <c r="NDT132" s="118"/>
      <c r="NDU132" s="118"/>
      <c r="NDV132" s="118"/>
      <c r="NDW132" s="118"/>
      <c r="NDX132" s="118"/>
      <c r="NDY132" s="118"/>
      <c r="NDZ132" s="118"/>
      <c r="NEA132" s="118"/>
      <c r="NEB132" s="118"/>
      <c r="NEC132" s="118"/>
      <c r="NED132" s="118"/>
      <c r="NEE132" s="118"/>
      <c r="NEF132" s="118"/>
      <c r="NEG132" s="118"/>
      <c r="NEH132" s="118"/>
      <c r="NEI132" s="118"/>
      <c r="NEJ132" s="118"/>
      <c r="NEK132" s="118"/>
      <c r="NEL132" s="118"/>
      <c r="NEM132" s="118"/>
      <c r="NEN132" s="118"/>
      <c r="NEO132" s="118"/>
      <c r="NEP132" s="118"/>
      <c r="NEQ132" s="118"/>
      <c r="NER132" s="118"/>
      <c r="NES132" s="118"/>
      <c r="NET132" s="118"/>
      <c r="NEU132" s="118"/>
      <c r="NEV132" s="118"/>
      <c r="NEW132" s="118"/>
      <c r="NEX132" s="118"/>
      <c r="NEY132" s="118"/>
      <c r="NEZ132" s="118"/>
      <c r="NFA132" s="118"/>
      <c r="NFB132" s="118"/>
      <c r="NFC132" s="118"/>
      <c r="NFD132" s="118"/>
      <c r="NFE132" s="118"/>
      <c r="NFF132" s="118"/>
      <c r="NFG132" s="118"/>
      <c r="NFH132" s="118"/>
      <c r="NFI132" s="118"/>
      <c r="NFJ132" s="118"/>
      <c r="NFK132" s="118"/>
      <c r="NFL132" s="118"/>
      <c r="NFM132" s="118"/>
      <c r="NFN132" s="118"/>
      <c r="NFO132" s="118"/>
      <c r="NFP132" s="118"/>
      <c r="NFQ132" s="118"/>
      <c r="NFR132" s="118"/>
      <c r="NFS132" s="118"/>
      <c r="NFT132" s="118"/>
      <c r="NFU132" s="118"/>
      <c r="NFV132" s="118"/>
      <c r="NFW132" s="118"/>
      <c r="NFX132" s="118"/>
      <c r="NFY132" s="118"/>
      <c r="NFZ132" s="118"/>
      <c r="NGA132" s="118"/>
      <c r="NGB132" s="118"/>
      <c r="NGC132" s="118"/>
      <c r="NGD132" s="118"/>
      <c r="NGE132" s="118"/>
      <c r="NGF132" s="118"/>
      <c r="NGG132" s="118"/>
      <c r="NGH132" s="118"/>
      <c r="NGI132" s="118"/>
      <c r="NGJ132" s="118"/>
      <c r="NGK132" s="118"/>
      <c r="NGL132" s="118"/>
      <c r="NGM132" s="118"/>
      <c r="NGN132" s="118"/>
      <c r="NGO132" s="118"/>
      <c r="NGP132" s="118"/>
      <c r="NGQ132" s="118"/>
      <c r="NGR132" s="118"/>
      <c r="NGS132" s="118"/>
      <c r="NGT132" s="118"/>
      <c r="NGU132" s="118"/>
      <c r="NGV132" s="118"/>
      <c r="NGW132" s="118"/>
      <c r="NGX132" s="118"/>
      <c r="NGY132" s="118"/>
      <c r="NGZ132" s="118"/>
      <c r="NHA132" s="118"/>
      <c r="NHB132" s="118"/>
      <c r="NHC132" s="118"/>
      <c r="NHD132" s="118"/>
      <c r="NHE132" s="118"/>
      <c r="NHF132" s="118"/>
      <c r="NHG132" s="118"/>
      <c r="NHH132" s="118"/>
      <c r="NHI132" s="118"/>
      <c r="NHJ132" s="118"/>
      <c r="NHK132" s="118"/>
      <c r="NHL132" s="118"/>
      <c r="NHM132" s="118"/>
      <c r="NHN132" s="118"/>
      <c r="NHO132" s="118"/>
      <c r="NHP132" s="118"/>
      <c r="NHQ132" s="118"/>
      <c r="NHR132" s="118"/>
      <c r="NHS132" s="118"/>
      <c r="NHT132" s="118"/>
      <c r="NHU132" s="118"/>
      <c r="NHV132" s="118"/>
      <c r="NHW132" s="118"/>
      <c r="NHX132" s="118"/>
      <c r="NHY132" s="118"/>
      <c r="NHZ132" s="118"/>
      <c r="NIA132" s="118"/>
      <c r="NIB132" s="118"/>
      <c r="NIC132" s="118"/>
      <c r="NID132" s="118"/>
      <c r="NIE132" s="118"/>
      <c r="NIF132" s="118"/>
      <c r="NIG132" s="118"/>
      <c r="NIH132" s="118"/>
      <c r="NII132" s="118"/>
      <c r="NIJ132" s="118"/>
      <c r="NIK132" s="118"/>
      <c r="NIL132" s="118"/>
      <c r="NIM132" s="118"/>
      <c r="NIN132" s="118"/>
      <c r="NIO132" s="118"/>
      <c r="NIP132" s="118"/>
      <c r="NIQ132" s="118"/>
      <c r="NIR132" s="118"/>
      <c r="NIS132" s="118"/>
      <c r="NIT132" s="118"/>
      <c r="NIU132" s="118"/>
      <c r="NIV132" s="118"/>
      <c r="NIW132" s="118"/>
      <c r="NIX132" s="118"/>
      <c r="NIY132" s="118"/>
      <c r="NIZ132" s="118"/>
      <c r="NJA132" s="118"/>
      <c r="NJB132" s="118"/>
      <c r="NJC132" s="118"/>
      <c r="NJD132" s="118"/>
      <c r="NJE132" s="118"/>
      <c r="NJF132" s="118"/>
      <c r="NJG132" s="118"/>
      <c r="NJH132" s="118"/>
      <c r="NJI132" s="118"/>
      <c r="NJJ132" s="118"/>
      <c r="NJK132" s="118"/>
      <c r="NJL132" s="118"/>
      <c r="NJM132" s="118"/>
      <c r="NJN132" s="118"/>
      <c r="NJO132" s="118"/>
      <c r="NJP132" s="118"/>
      <c r="NJQ132" s="118"/>
      <c r="NJR132" s="118"/>
      <c r="NJS132" s="118"/>
      <c r="NJT132" s="118"/>
      <c r="NJU132" s="118"/>
      <c r="NJV132" s="118"/>
      <c r="NJW132" s="118"/>
      <c r="NJX132" s="118"/>
      <c r="NJY132" s="118"/>
      <c r="NJZ132" s="118"/>
      <c r="NKA132" s="118"/>
      <c r="NKB132" s="118"/>
      <c r="NKC132" s="118"/>
      <c r="NKD132" s="118"/>
      <c r="NKE132" s="118"/>
      <c r="NKF132" s="118"/>
      <c r="NKG132" s="118"/>
      <c r="NKH132" s="118"/>
      <c r="NKI132" s="118"/>
      <c r="NKJ132" s="118"/>
      <c r="NKK132" s="118"/>
      <c r="NKL132" s="118"/>
      <c r="NKM132" s="118"/>
      <c r="NKN132" s="118"/>
      <c r="NKO132" s="118"/>
      <c r="NKP132" s="118"/>
      <c r="NKQ132" s="118"/>
      <c r="NKR132" s="118"/>
      <c r="NKS132" s="118"/>
      <c r="NKT132" s="118"/>
      <c r="NKU132" s="118"/>
      <c r="NKV132" s="118"/>
      <c r="NKW132" s="118"/>
      <c r="NKX132" s="118"/>
      <c r="NKY132" s="118"/>
      <c r="NKZ132" s="118"/>
      <c r="NLA132" s="118"/>
      <c r="NLB132" s="118"/>
      <c r="NLC132" s="118"/>
      <c r="NLD132" s="118"/>
      <c r="NLE132" s="118"/>
      <c r="NLF132" s="118"/>
      <c r="NLG132" s="118"/>
      <c r="NLH132" s="118"/>
      <c r="NLI132" s="118"/>
      <c r="NLJ132" s="118"/>
      <c r="NLK132" s="118"/>
      <c r="NLL132" s="118"/>
      <c r="NLM132" s="118"/>
      <c r="NLN132" s="118"/>
      <c r="NLO132" s="118"/>
      <c r="NLP132" s="118"/>
      <c r="NLQ132" s="118"/>
      <c r="NLR132" s="118"/>
      <c r="NLS132" s="118"/>
      <c r="NLT132" s="118"/>
      <c r="NLU132" s="118"/>
      <c r="NLV132" s="118"/>
      <c r="NLW132" s="118"/>
      <c r="NLX132" s="118"/>
      <c r="NLY132" s="118"/>
      <c r="NLZ132" s="118"/>
      <c r="NMA132" s="118"/>
      <c r="NMB132" s="118"/>
      <c r="NMC132" s="118"/>
      <c r="NMD132" s="118"/>
      <c r="NME132" s="118"/>
      <c r="NMF132" s="118"/>
      <c r="NMG132" s="118"/>
      <c r="NMH132" s="118"/>
      <c r="NMI132" s="118"/>
      <c r="NMJ132" s="118"/>
      <c r="NMK132" s="118"/>
      <c r="NML132" s="118"/>
      <c r="NMM132" s="118"/>
      <c r="NMN132" s="118"/>
      <c r="NMO132" s="118"/>
      <c r="NMP132" s="118"/>
      <c r="NMQ132" s="118"/>
      <c r="NMR132" s="118"/>
      <c r="NMS132" s="118"/>
      <c r="NMT132" s="118"/>
      <c r="NMU132" s="118"/>
      <c r="NMV132" s="118"/>
      <c r="NMW132" s="118"/>
      <c r="NMX132" s="118"/>
      <c r="NMY132" s="118"/>
      <c r="NMZ132" s="118"/>
      <c r="NNA132" s="118"/>
      <c r="NNB132" s="118"/>
      <c r="NNC132" s="118"/>
      <c r="NND132" s="118"/>
      <c r="NNE132" s="118"/>
      <c r="NNF132" s="118"/>
      <c r="NNG132" s="118"/>
      <c r="NNH132" s="118"/>
      <c r="NNI132" s="118"/>
      <c r="NNJ132" s="118"/>
      <c r="NNK132" s="118"/>
      <c r="NNL132" s="118"/>
      <c r="NNM132" s="118"/>
      <c r="NNN132" s="118"/>
      <c r="NNO132" s="118"/>
      <c r="NNP132" s="118"/>
      <c r="NNQ132" s="118"/>
      <c r="NNR132" s="118"/>
      <c r="NNS132" s="118"/>
      <c r="NNT132" s="118"/>
      <c r="NNU132" s="118"/>
      <c r="NNV132" s="118"/>
      <c r="NNW132" s="118"/>
      <c r="NNX132" s="118"/>
      <c r="NNY132" s="118"/>
      <c r="NNZ132" s="118"/>
      <c r="NOA132" s="118"/>
      <c r="NOB132" s="118"/>
      <c r="NOC132" s="118"/>
      <c r="NOD132" s="118"/>
      <c r="NOE132" s="118"/>
      <c r="NOF132" s="118"/>
      <c r="NOG132" s="118"/>
      <c r="NOH132" s="118"/>
      <c r="NOI132" s="118"/>
      <c r="NOJ132" s="118"/>
      <c r="NOK132" s="118"/>
      <c r="NOL132" s="118"/>
      <c r="NOM132" s="118"/>
      <c r="NON132" s="118"/>
      <c r="NOO132" s="118"/>
      <c r="NOP132" s="118"/>
      <c r="NOQ132" s="118"/>
      <c r="NOR132" s="118"/>
      <c r="NOS132" s="118"/>
      <c r="NOT132" s="118"/>
      <c r="NOU132" s="118"/>
      <c r="NOV132" s="118"/>
      <c r="NOW132" s="118"/>
      <c r="NOX132" s="118"/>
      <c r="NOY132" s="118"/>
      <c r="NOZ132" s="118"/>
      <c r="NPA132" s="118"/>
      <c r="NPB132" s="118"/>
      <c r="NPC132" s="118"/>
      <c r="NPD132" s="118"/>
      <c r="NPE132" s="118"/>
      <c r="NPF132" s="118"/>
      <c r="NPG132" s="118"/>
      <c r="NPH132" s="118"/>
      <c r="NPI132" s="118"/>
      <c r="NPJ132" s="118"/>
      <c r="NPK132" s="118"/>
      <c r="NPL132" s="118"/>
      <c r="NPM132" s="118"/>
      <c r="NPN132" s="118"/>
      <c r="NPO132" s="118"/>
      <c r="NPP132" s="118"/>
      <c r="NPQ132" s="118"/>
      <c r="NPR132" s="118"/>
      <c r="NPS132" s="118"/>
      <c r="NPT132" s="118"/>
      <c r="NPU132" s="118"/>
      <c r="NPV132" s="118"/>
      <c r="NPW132" s="118"/>
      <c r="NPX132" s="118"/>
      <c r="NPY132" s="118"/>
      <c r="NPZ132" s="118"/>
      <c r="NQA132" s="118"/>
      <c r="NQB132" s="118"/>
      <c r="NQC132" s="118"/>
      <c r="NQD132" s="118"/>
      <c r="NQE132" s="118"/>
      <c r="NQF132" s="118"/>
      <c r="NQG132" s="118"/>
      <c r="NQH132" s="118"/>
      <c r="NQI132" s="118"/>
      <c r="NQJ132" s="118"/>
      <c r="NQK132" s="118"/>
      <c r="NQL132" s="118"/>
      <c r="NQM132" s="118"/>
      <c r="NQN132" s="118"/>
      <c r="NQO132" s="118"/>
      <c r="NQP132" s="118"/>
      <c r="NQQ132" s="118"/>
      <c r="NQR132" s="118"/>
      <c r="NQS132" s="118"/>
      <c r="NQT132" s="118"/>
      <c r="NQU132" s="118"/>
      <c r="NQV132" s="118"/>
      <c r="NQW132" s="118"/>
      <c r="NQX132" s="118"/>
      <c r="NQY132" s="118"/>
      <c r="NQZ132" s="118"/>
      <c r="NRA132" s="118"/>
      <c r="NRB132" s="118"/>
      <c r="NRC132" s="118"/>
      <c r="NRD132" s="118"/>
      <c r="NRE132" s="118"/>
      <c r="NRF132" s="118"/>
      <c r="NRG132" s="118"/>
      <c r="NRH132" s="118"/>
      <c r="NRI132" s="118"/>
      <c r="NRJ132" s="118"/>
      <c r="NRK132" s="118"/>
      <c r="NRL132" s="118"/>
      <c r="NRM132" s="118"/>
      <c r="NRN132" s="118"/>
      <c r="NRO132" s="118"/>
      <c r="NRP132" s="118"/>
      <c r="NRQ132" s="118"/>
      <c r="NRR132" s="118"/>
      <c r="NRS132" s="118"/>
      <c r="NRT132" s="118"/>
      <c r="NRU132" s="118"/>
      <c r="NRV132" s="118"/>
      <c r="NRW132" s="118"/>
      <c r="NRX132" s="118"/>
      <c r="NRY132" s="118"/>
      <c r="NRZ132" s="118"/>
      <c r="NSA132" s="118"/>
      <c r="NSB132" s="118"/>
      <c r="NSC132" s="118"/>
      <c r="NSD132" s="118"/>
      <c r="NSE132" s="118"/>
      <c r="NSF132" s="118"/>
      <c r="NSG132" s="118"/>
      <c r="NSH132" s="118"/>
      <c r="NSI132" s="118"/>
      <c r="NSJ132" s="118"/>
      <c r="NSK132" s="118"/>
      <c r="NSL132" s="118"/>
      <c r="NSM132" s="118"/>
      <c r="NSN132" s="118"/>
      <c r="NSO132" s="118"/>
      <c r="NSP132" s="118"/>
      <c r="NSQ132" s="118"/>
      <c r="NSR132" s="118"/>
      <c r="NSS132" s="118"/>
      <c r="NST132" s="118"/>
      <c r="NSU132" s="118"/>
      <c r="NSV132" s="118"/>
      <c r="NSW132" s="118"/>
      <c r="NSX132" s="118"/>
      <c r="NSY132" s="118"/>
      <c r="NSZ132" s="118"/>
      <c r="NTA132" s="118"/>
      <c r="NTB132" s="118"/>
      <c r="NTC132" s="118"/>
      <c r="NTD132" s="118"/>
      <c r="NTE132" s="118"/>
      <c r="NTF132" s="118"/>
      <c r="NTG132" s="118"/>
      <c r="NTH132" s="118"/>
      <c r="NTI132" s="118"/>
      <c r="NTJ132" s="118"/>
      <c r="NTK132" s="118"/>
      <c r="NTL132" s="118"/>
      <c r="NTM132" s="118"/>
      <c r="NTN132" s="118"/>
      <c r="NTO132" s="118"/>
      <c r="NTP132" s="118"/>
      <c r="NTQ132" s="118"/>
      <c r="NTR132" s="118"/>
      <c r="NTS132" s="118"/>
      <c r="NTT132" s="118"/>
      <c r="NTU132" s="118"/>
      <c r="NTV132" s="118"/>
      <c r="NTW132" s="118"/>
      <c r="NTX132" s="118"/>
      <c r="NTY132" s="118"/>
      <c r="NTZ132" s="118"/>
      <c r="NUA132" s="118"/>
      <c r="NUB132" s="118"/>
      <c r="NUC132" s="118"/>
      <c r="NUD132" s="118"/>
      <c r="NUE132" s="118"/>
      <c r="NUF132" s="118"/>
      <c r="NUG132" s="118"/>
      <c r="NUH132" s="118"/>
      <c r="NUI132" s="118"/>
      <c r="NUJ132" s="118"/>
      <c r="NUK132" s="118"/>
      <c r="NUL132" s="118"/>
      <c r="NUM132" s="118"/>
      <c r="NUN132" s="118"/>
      <c r="NUO132" s="118"/>
      <c r="NUP132" s="118"/>
      <c r="NUQ132" s="118"/>
      <c r="NUR132" s="118"/>
      <c r="NUS132" s="118"/>
      <c r="NUT132" s="118"/>
      <c r="NUU132" s="118"/>
      <c r="NUV132" s="118"/>
      <c r="NUW132" s="118"/>
      <c r="NUX132" s="118"/>
      <c r="NUY132" s="118"/>
      <c r="NUZ132" s="118"/>
      <c r="NVA132" s="118"/>
      <c r="NVB132" s="118"/>
      <c r="NVC132" s="118"/>
      <c r="NVD132" s="118"/>
      <c r="NVE132" s="118"/>
      <c r="NVF132" s="118"/>
      <c r="NVG132" s="118"/>
      <c r="NVH132" s="118"/>
      <c r="NVI132" s="118"/>
      <c r="NVJ132" s="118"/>
      <c r="NVK132" s="118"/>
      <c r="NVL132" s="118"/>
      <c r="NVM132" s="118"/>
      <c r="NVN132" s="118"/>
      <c r="NVO132" s="118"/>
      <c r="NVP132" s="118"/>
      <c r="NVQ132" s="118"/>
      <c r="NVR132" s="118"/>
      <c r="NVS132" s="118"/>
      <c r="NVT132" s="118"/>
      <c r="NVU132" s="118"/>
      <c r="NVV132" s="118"/>
      <c r="NVW132" s="118"/>
      <c r="NVX132" s="118"/>
      <c r="NVY132" s="118"/>
      <c r="NVZ132" s="118"/>
      <c r="NWA132" s="118"/>
      <c r="NWB132" s="118"/>
      <c r="NWC132" s="118"/>
      <c r="NWD132" s="118"/>
      <c r="NWE132" s="118"/>
      <c r="NWF132" s="118"/>
      <c r="NWG132" s="118"/>
      <c r="NWH132" s="118"/>
      <c r="NWI132" s="118"/>
      <c r="NWJ132" s="118"/>
      <c r="NWK132" s="118"/>
      <c r="NWL132" s="118"/>
      <c r="NWM132" s="118"/>
      <c r="NWN132" s="118"/>
      <c r="NWO132" s="118"/>
      <c r="NWP132" s="118"/>
      <c r="NWQ132" s="118"/>
      <c r="NWR132" s="118"/>
      <c r="NWS132" s="118"/>
      <c r="NWT132" s="118"/>
      <c r="NWU132" s="118"/>
      <c r="NWV132" s="118"/>
      <c r="NWW132" s="118"/>
      <c r="NWX132" s="118"/>
      <c r="NWY132" s="118"/>
      <c r="NWZ132" s="118"/>
      <c r="NXA132" s="118"/>
      <c r="NXB132" s="118"/>
      <c r="NXC132" s="118"/>
      <c r="NXD132" s="118"/>
      <c r="NXE132" s="118"/>
      <c r="NXF132" s="118"/>
      <c r="NXG132" s="118"/>
      <c r="NXH132" s="118"/>
      <c r="NXI132" s="118"/>
      <c r="NXJ132" s="118"/>
      <c r="NXK132" s="118"/>
      <c r="NXL132" s="118"/>
      <c r="NXM132" s="118"/>
      <c r="NXN132" s="118"/>
      <c r="NXO132" s="118"/>
      <c r="NXP132" s="118"/>
      <c r="NXQ132" s="118"/>
      <c r="NXR132" s="118"/>
      <c r="NXS132" s="118"/>
      <c r="NXT132" s="118"/>
      <c r="NXU132" s="118"/>
      <c r="NXV132" s="118"/>
      <c r="NXW132" s="118"/>
      <c r="NXX132" s="118"/>
      <c r="NXY132" s="118"/>
      <c r="NXZ132" s="118"/>
      <c r="NYA132" s="118"/>
      <c r="NYB132" s="118"/>
      <c r="NYC132" s="118"/>
      <c r="NYD132" s="118"/>
      <c r="NYE132" s="118"/>
      <c r="NYF132" s="118"/>
      <c r="NYG132" s="118"/>
      <c r="NYH132" s="118"/>
      <c r="NYI132" s="118"/>
      <c r="NYJ132" s="118"/>
      <c r="NYK132" s="118"/>
      <c r="NYL132" s="118"/>
      <c r="NYM132" s="118"/>
      <c r="NYN132" s="118"/>
      <c r="NYO132" s="118"/>
      <c r="NYP132" s="118"/>
      <c r="NYQ132" s="118"/>
      <c r="NYR132" s="118"/>
      <c r="NYS132" s="118"/>
      <c r="NYT132" s="118"/>
      <c r="NYU132" s="118"/>
      <c r="NYV132" s="118"/>
      <c r="NYW132" s="118"/>
      <c r="NYX132" s="118"/>
      <c r="NYY132" s="118"/>
      <c r="NYZ132" s="118"/>
      <c r="NZA132" s="118"/>
      <c r="NZB132" s="118"/>
      <c r="NZC132" s="118"/>
      <c r="NZD132" s="118"/>
      <c r="NZE132" s="118"/>
      <c r="NZF132" s="118"/>
      <c r="NZG132" s="118"/>
      <c r="NZH132" s="118"/>
      <c r="NZI132" s="118"/>
      <c r="NZJ132" s="118"/>
      <c r="NZK132" s="118"/>
      <c r="NZL132" s="118"/>
      <c r="NZM132" s="118"/>
      <c r="NZN132" s="118"/>
      <c r="NZO132" s="118"/>
      <c r="NZP132" s="118"/>
      <c r="NZQ132" s="118"/>
      <c r="NZR132" s="118"/>
      <c r="NZS132" s="118"/>
      <c r="NZT132" s="118"/>
      <c r="NZU132" s="118"/>
      <c r="NZV132" s="118"/>
      <c r="NZW132" s="118"/>
      <c r="NZX132" s="118"/>
      <c r="NZY132" s="118"/>
      <c r="NZZ132" s="118"/>
      <c r="OAA132" s="118"/>
      <c r="OAB132" s="118"/>
      <c r="OAC132" s="118"/>
      <c r="OAD132" s="118"/>
      <c r="OAE132" s="118"/>
      <c r="OAF132" s="118"/>
      <c r="OAG132" s="118"/>
      <c r="OAH132" s="118"/>
      <c r="OAI132" s="118"/>
      <c r="OAJ132" s="118"/>
      <c r="OAK132" s="118"/>
      <c r="OAL132" s="118"/>
      <c r="OAM132" s="118"/>
      <c r="OAN132" s="118"/>
      <c r="OAO132" s="118"/>
      <c r="OAP132" s="118"/>
      <c r="OAQ132" s="118"/>
      <c r="OAR132" s="118"/>
      <c r="OAS132" s="118"/>
      <c r="OAT132" s="118"/>
      <c r="OAU132" s="118"/>
      <c r="OAV132" s="118"/>
      <c r="OAW132" s="118"/>
      <c r="OAX132" s="118"/>
      <c r="OAY132" s="118"/>
      <c r="OAZ132" s="118"/>
      <c r="OBA132" s="118"/>
      <c r="OBB132" s="118"/>
      <c r="OBC132" s="118"/>
      <c r="OBD132" s="118"/>
      <c r="OBE132" s="118"/>
      <c r="OBF132" s="118"/>
      <c r="OBG132" s="118"/>
      <c r="OBH132" s="118"/>
      <c r="OBI132" s="118"/>
      <c r="OBJ132" s="118"/>
      <c r="OBK132" s="118"/>
      <c r="OBL132" s="118"/>
      <c r="OBM132" s="118"/>
      <c r="OBN132" s="118"/>
      <c r="OBO132" s="118"/>
      <c r="OBP132" s="118"/>
      <c r="OBQ132" s="118"/>
      <c r="OBR132" s="118"/>
      <c r="OBS132" s="118"/>
      <c r="OBT132" s="118"/>
      <c r="OBU132" s="118"/>
      <c r="OBV132" s="118"/>
      <c r="OBW132" s="118"/>
      <c r="OBX132" s="118"/>
      <c r="OBY132" s="118"/>
      <c r="OBZ132" s="118"/>
      <c r="OCA132" s="118"/>
      <c r="OCB132" s="118"/>
      <c r="OCC132" s="118"/>
      <c r="OCD132" s="118"/>
      <c r="OCE132" s="118"/>
      <c r="OCF132" s="118"/>
      <c r="OCG132" s="118"/>
      <c r="OCH132" s="118"/>
      <c r="OCI132" s="118"/>
      <c r="OCJ132" s="118"/>
      <c r="OCK132" s="118"/>
      <c r="OCL132" s="118"/>
      <c r="OCM132" s="118"/>
      <c r="OCN132" s="118"/>
      <c r="OCO132" s="118"/>
      <c r="OCP132" s="118"/>
      <c r="OCQ132" s="118"/>
      <c r="OCR132" s="118"/>
      <c r="OCS132" s="118"/>
      <c r="OCT132" s="118"/>
      <c r="OCU132" s="118"/>
      <c r="OCV132" s="118"/>
      <c r="OCW132" s="118"/>
      <c r="OCX132" s="118"/>
      <c r="OCY132" s="118"/>
      <c r="OCZ132" s="118"/>
      <c r="ODA132" s="118"/>
      <c r="ODB132" s="118"/>
      <c r="ODC132" s="118"/>
      <c r="ODD132" s="118"/>
      <c r="ODE132" s="118"/>
      <c r="ODF132" s="118"/>
      <c r="ODG132" s="118"/>
      <c r="ODH132" s="118"/>
      <c r="ODI132" s="118"/>
      <c r="ODJ132" s="118"/>
      <c r="ODK132" s="118"/>
      <c r="ODL132" s="118"/>
      <c r="ODM132" s="118"/>
      <c r="ODN132" s="118"/>
      <c r="ODO132" s="118"/>
      <c r="ODP132" s="118"/>
      <c r="ODQ132" s="118"/>
      <c r="ODR132" s="118"/>
      <c r="ODS132" s="118"/>
      <c r="ODT132" s="118"/>
      <c r="ODU132" s="118"/>
      <c r="ODV132" s="118"/>
      <c r="ODW132" s="118"/>
      <c r="ODX132" s="118"/>
      <c r="ODY132" s="118"/>
      <c r="ODZ132" s="118"/>
      <c r="OEA132" s="118"/>
      <c r="OEB132" s="118"/>
      <c r="OEC132" s="118"/>
      <c r="OED132" s="118"/>
      <c r="OEE132" s="118"/>
      <c r="OEF132" s="118"/>
      <c r="OEG132" s="118"/>
      <c r="OEH132" s="118"/>
      <c r="OEI132" s="118"/>
      <c r="OEJ132" s="118"/>
      <c r="OEK132" s="118"/>
      <c r="OEL132" s="118"/>
      <c r="OEM132" s="118"/>
      <c r="OEN132" s="118"/>
      <c r="OEO132" s="118"/>
      <c r="OEP132" s="118"/>
      <c r="OEQ132" s="118"/>
      <c r="OER132" s="118"/>
      <c r="OES132" s="118"/>
      <c r="OET132" s="118"/>
      <c r="OEU132" s="118"/>
      <c r="OEV132" s="118"/>
      <c r="OEW132" s="118"/>
      <c r="OEX132" s="118"/>
      <c r="OEY132" s="118"/>
      <c r="OEZ132" s="118"/>
      <c r="OFA132" s="118"/>
      <c r="OFB132" s="118"/>
      <c r="OFC132" s="118"/>
      <c r="OFD132" s="118"/>
      <c r="OFE132" s="118"/>
      <c r="OFF132" s="118"/>
      <c r="OFG132" s="118"/>
      <c r="OFH132" s="118"/>
      <c r="OFI132" s="118"/>
      <c r="OFJ132" s="118"/>
      <c r="OFK132" s="118"/>
      <c r="OFL132" s="118"/>
      <c r="OFM132" s="118"/>
      <c r="OFN132" s="118"/>
      <c r="OFO132" s="118"/>
      <c r="OFP132" s="118"/>
      <c r="OFQ132" s="118"/>
      <c r="OFR132" s="118"/>
      <c r="OFS132" s="118"/>
      <c r="OFT132" s="118"/>
      <c r="OFU132" s="118"/>
      <c r="OFV132" s="118"/>
      <c r="OFW132" s="118"/>
      <c r="OFX132" s="118"/>
      <c r="OFY132" s="118"/>
      <c r="OFZ132" s="118"/>
      <c r="OGA132" s="118"/>
      <c r="OGB132" s="118"/>
      <c r="OGC132" s="118"/>
      <c r="OGD132" s="118"/>
      <c r="OGE132" s="118"/>
      <c r="OGF132" s="118"/>
      <c r="OGG132" s="118"/>
      <c r="OGH132" s="118"/>
      <c r="OGI132" s="118"/>
      <c r="OGJ132" s="118"/>
      <c r="OGK132" s="118"/>
      <c r="OGL132" s="118"/>
      <c r="OGM132" s="118"/>
      <c r="OGN132" s="118"/>
      <c r="OGO132" s="118"/>
      <c r="OGP132" s="118"/>
      <c r="OGQ132" s="118"/>
      <c r="OGR132" s="118"/>
      <c r="OGS132" s="118"/>
      <c r="OGT132" s="118"/>
      <c r="OGU132" s="118"/>
      <c r="OGV132" s="118"/>
      <c r="OGW132" s="118"/>
      <c r="OGX132" s="118"/>
      <c r="OGY132" s="118"/>
      <c r="OGZ132" s="118"/>
      <c r="OHA132" s="118"/>
      <c r="OHB132" s="118"/>
      <c r="OHC132" s="118"/>
      <c r="OHD132" s="118"/>
      <c r="OHE132" s="118"/>
      <c r="OHF132" s="118"/>
      <c r="OHG132" s="118"/>
      <c r="OHH132" s="118"/>
      <c r="OHI132" s="118"/>
      <c r="OHJ132" s="118"/>
      <c r="OHK132" s="118"/>
      <c r="OHL132" s="118"/>
      <c r="OHM132" s="118"/>
      <c r="OHN132" s="118"/>
      <c r="OHO132" s="118"/>
      <c r="OHP132" s="118"/>
      <c r="OHQ132" s="118"/>
      <c r="OHR132" s="118"/>
      <c r="OHS132" s="118"/>
      <c r="OHT132" s="118"/>
      <c r="OHU132" s="118"/>
      <c r="OHV132" s="118"/>
      <c r="OHW132" s="118"/>
      <c r="OHX132" s="118"/>
      <c r="OHY132" s="118"/>
      <c r="OHZ132" s="118"/>
      <c r="OIA132" s="118"/>
      <c r="OIB132" s="118"/>
      <c r="OIC132" s="118"/>
      <c r="OID132" s="118"/>
      <c r="OIE132" s="118"/>
      <c r="OIF132" s="118"/>
      <c r="OIG132" s="118"/>
      <c r="OIH132" s="118"/>
      <c r="OII132" s="118"/>
      <c r="OIJ132" s="118"/>
      <c r="OIK132" s="118"/>
      <c r="OIL132" s="118"/>
      <c r="OIM132" s="118"/>
      <c r="OIN132" s="118"/>
      <c r="OIO132" s="118"/>
      <c r="OIP132" s="118"/>
      <c r="OIQ132" s="118"/>
      <c r="OIR132" s="118"/>
      <c r="OIS132" s="118"/>
      <c r="OIT132" s="118"/>
      <c r="OIU132" s="118"/>
      <c r="OIV132" s="118"/>
      <c r="OIW132" s="118"/>
      <c r="OIX132" s="118"/>
      <c r="OIY132" s="118"/>
      <c r="OIZ132" s="118"/>
      <c r="OJA132" s="118"/>
      <c r="OJB132" s="118"/>
      <c r="OJC132" s="118"/>
      <c r="OJD132" s="118"/>
      <c r="OJE132" s="118"/>
      <c r="OJF132" s="118"/>
      <c r="OJG132" s="118"/>
      <c r="OJH132" s="118"/>
      <c r="OJI132" s="118"/>
      <c r="OJJ132" s="118"/>
      <c r="OJK132" s="118"/>
      <c r="OJL132" s="118"/>
      <c r="OJM132" s="118"/>
      <c r="OJN132" s="118"/>
      <c r="OJO132" s="118"/>
      <c r="OJP132" s="118"/>
      <c r="OJQ132" s="118"/>
      <c r="OJR132" s="118"/>
      <c r="OJS132" s="118"/>
      <c r="OJT132" s="118"/>
      <c r="OJU132" s="118"/>
      <c r="OJV132" s="118"/>
      <c r="OJW132" s="118"/>
      <c r="OJX132" s="118"/>
      <c r="OJY132" s="118"/>
      <c r="OJZ132" s="118"/>
      <c r="OKA132" s="118"/>
      <c r="OKB132" s="118"/>
      <c r="OKC132" s="118"/>
      <c r="OKD132" s="118"/>
      <c r="OKE132" s="118"/>
      <c r="OKF132" s="118"/>
      <c r="OKG132" s="118"/>
      <c r="OKH132" s="118"/>
      <c r="OKI132" s="118"/>
      <c r="OKJ132" s="118"/>
      <c r="OKK132" s="118"/>
      <c r="OKL132" s="118"/>
      <c r="OKM132" s="118"/>
      <c r="OKN132" s="118"/>
      <c r="OKO132" s="118"/>
      <c r="OKP132" s="118"/>
      <c r="OKQ132" s="118"/>
      <c r="OKR132" s="118"/>
      <c r="OKS132" s="118"/>
      <c r="OKT132" s="118"/>
      <c r="OKU132" s="118"/>
      <c r="OKV132" s="118"/>
      <c r="OKW132" s="118"/>
      <c r="OKX132" s="118"/>
      <c r="OKY132" s="118"/>
      <c r="OKZ132" s="118"/>
      <c r="OLA132" s="118"/>
      <c r="OLB132" s="118"/>
      <c r="OLC132" s="118"/>
      <c r="OLD132" s="118"/>
      <c r="OLE132" s="118"/>
      <c r="OLF132" s="118"/>
      <c r="OLG132" s="118"/>
      <c r="OLH132" s="118"/>
      <c r="OLI132" s="118"/>
      <c r="OLJ132" s="118"/>
      <c r="OLK132" s="118"/>
      <c r="OLL132" s="118"/>
      <c r="OLM132" s="118"/>
      <c r="OLN132" s="118"/>
      <c r="OLO132" s="118"/>
      <c r="OLP132" s="118"/>
      <c r="OLQ132" s="118"/>
      <c r="OLR132" s="118"/>
      <c r="OLS132" s="118"/>
      <c r="OLT132" s="118"/>
      <c r="OLU132" s="118"/>
      <c r="OLV132" s="118"/>
      <c r="OLW132" s="118"/>
      <c r="OLX132" s="118"/>
      <c r="OLY132" s="118"/>
      <c r="OLZ132" s="118"/>
      <c r="OMA132" s="118"/>
      <c r="OMB132" s="118"/>
      <c r="OMC132" s="118"/>
      <c r="OMD132" s="118"/>
      <c r="OME132" s="118"/>
      <c r="OMF132" s="118"/>
      <c r="OMG132" s="118"/>
      <c r="OMH132" s="118"/>
      <c r="OMI132" s="118"/>
      <c r="OMJ132" s="118"/>
      <c r="OMK132" s="118"/>
      <c r="OML132" s="118"/>
      <c r="OMM132" s="118"/>
      <c r="OMN132" s="118"/>
      <c r="OMO132" s="118"/>
      <c r="OMP132" s="118"/>
      <c r="OMQ132" s="118"/>
      <c r="OMR132" s="118"/>
      <c r="OMS132" s="118"/>
      <c r="OMT132" s="118"/>
      <c r="OMU132" s="118"/>
      <c r="OMV132" s="118"/>
      <c r="OMW132" s="118"/>
      <c r="OMX132" s="118"/>
      <c r="OMY132" s="118"/>
      <c r="OMZ132" s="118"/>
      <c r="ONA132" s="118"/>
      <c r="ONB132" s="118"/>
      <c r="ONC132" s="118"/>
      <c r="OND132" s="118"/>
      <c r="ONE132" s="118"/>
      <c r="ONF132" s="118"/>
      <c r="ONG132" s="118"/>
      <c r="ONH132" s="118"/>
      <c r="ONI132" s="118"/>
      <c r="ONJ132" s="118"/>
      <c r="ONK132" s="118"/>
      <c r="ONL132" s="118"/>
      <c r="ONM132" s="118"/>
      <c r="ONN132" s="118"/>
      <c r="ONO132" s="118"/>
      <c r="ONP132" s="118"/>
      <c r="ONQ132" s="118"/>
      <c r="ONR132" s="118"/>
      <c r="ONS132" s="118"/>
      <c r="ONT132" s="118"/>
      <c r="ONU132" s="118"/>
      <c r="ONV132" s="118"/>
      <c r="ONW132" s="118"/>
      <c r="ONX132" s="118"/>
      <c r="ONY132" s="118"/>
      <c r="ONZ132" s="118"/>
      <c r="OOA132" s="118"/>
      <c r="OOB132" s="118"/>
      <c r="OOC132" s="118"/>
      <c r="OOD132" s="118"/>
      <c r="OOE132" s="118"/>
      <c r="OOF132" s="118"/>
      <c r="OOG132" s="118"/>
      <c r="OOH132" s="118"/>
      <c r="OOI132" s="118"/>
      <c r="OOJ132" s="118"/>
      <c r="OOK132" s="118"/>
      <c r="OOL132" s="118"/>
      <c r="OOM132" s="118"/>
      <c r="OON132" s="118"/>
      <c r="OOO132" s="118"/>
      <c r="OOP132" s="118"/>
      <c r="OOQ132" s="118"/>
      <c r="OOR132" s="118"/>
      <c r="OOS132" s="118"/>
      <c r="OOT132" s="118"/>
      <c r="OOU132" s="118"/>
      <c r="OOV132" s="118"/>
      <c r="OOW132" s="118"/>
      <c r="OOX132" s="118"/>
      <c r="OOY132" s="118"/>
      <c r="OOZ132" s="118"/>
      <c r="OPA132" s="118"/>
      <c r="OPB132" s="118"/>
      <c r="OPC132" s="118"/>
      <c r="OPD132" s="118"/>
      <c r="OPE132" s="118"/>
      <c r="OPF132" s="118"/>
      <c r="OPG132" s="118"/>
      <c r="OPH132" s="118"/>
      <c r="OPI132" s="118"/>
      <c r="OPJ132" s="118"/>
      <c r="OPK132" s="118"/>
      <c r="OPL132" s="118"/>
      <c r="OPM132" s="118"/>
      <c r="OPN132" s="118"/>
      <c r="OPO132" s="118"/>
      <c r="OPP132" s="118"/>
      <c r="OPQ132" s="118"/>
      <c r="OPR132" s="118"/>
      <c r="OPS132" s="118"/>
      <c r="OPT132" s="118"/>
      <c r="OPU132" s="118"/>
      <c r="OPV132" s="118"/>
      <c r="OPW132" s="118"/>
      <c r="OPX132" s="118"/>
      <c r="OPY132" s="118"/>
      <c r="OPZ132" s="118"/>
      <c r="OQA132" s="118"/>
      <c r="OQB132" s="118"/>
      <c r="OQC132" s="118"/>
      <c r="OQD132" s="118"/>
      <c r="OQE132" s="118"/>
      <c r="OQF132" s="118"/>
      <c r="OQG132" s="118"/>
      <c r="OQH132" s="118"/>
      <c r="OQI132" s="118"/>
      <c r="OQJ132" s="118"/>
      <c r="OQK132" s="118"/>
      <c r="OQL132" s="118"/>
      <c r="OQM132" s="118"/>
      <c r="OQN132" s="118"/>
      <c r="OQO132" s="118"/>
      <c r="OQP132" s="118"/>
      <c r="OQQ132" s="118"/>
      <c r="OQR132" s="118"/>
      <c r="OQS132" s="118"/>
      <c r="OQT132" s="118"/>
      <c r="OQU132" s="118"/>
      <c r="OQV132" s="118"/>
      <c r="OQW132" s="118"/>
      <c r="OQX132" s="118"/>
      <c r="OQY132" s="118"/>
      <c r="OQZ132" s="118"/>
      <c r="ORA132" s="118"/>
      <c r="ORB132" s="118"/>
      <c r="ORC132" s="118"/>
      <c r="ORD132" s="118"/>
      <c r="ORE132" s="118"/>
      <c r="ORF132" s="118"/>
      <c r="ORG132" s="118"/>
      <c r="ORH132" s="118"/>
      <c r="ORI132" s="118"/>
      <c r="ORJ132" s="118"/>
      <c r="ORK132" s="118"/>
      <c r="ORL132" s="118"/>
      <c r="ORM132" s="118"/>
      <c r="ORN132" s="118"/>
      <c r="ORO132" s="118"/>
      <c r="ORP132" s="118"/>
      <c r="ORQ132" s="118"/>
      <c r="ORR132" s="118"/>
      <c r="ORS132" s="118"/>
      <c r="ORT132" s="118"/>
      <c r="ORU132" s="118"/>
      <c r="ORV132" s="118"/>
      <c r="ORW132" s="118"/>
      <c r="ORX132" s="118"/>
      <c r="ORY132" s="118"/>
      <c r="ORZ132" s="118"/>
      <c r="OSA132" s="118"/>
      <c r="OSB132" s="118"/>
      <c r="OSC132" s="118"/>
      <c r="OSD132" s="118"/>
      <c r="OSE132" s="118"/>
      <c r="OSF132" s="118"/>
      <c r="OSG132" s="118"/>
      <c r="OSH132" s="118"/>
      <c r="OSI132" s="118"/>
      <c r="OSJ132" s="118"/>
      <c r="OSK132" s="118"/>
      <c r="OSL132" s="118"/>
      <c r="OSM132" s="118"/>
      <c r="OSN132" s="118"/>
      <c r="OSO132" s="118"/>
      <c r="OSP132" s="118"/>
      <c r="OSQ132" s="118"/>
      <c r="OSR132" s="118"/>
      <c r="OSS132" s="118"/>
      <c r="OST132" s="118"/>
      <c r="OSU132" s="118"/>
      <c r="OSV132" s="118"/>
      <c r="OSW132" s="118"/>
      <c r="OSX132" s="118"/>
      <c r="OSY132" s="118"/>
      <c r="OSZ132" s="118"/>
      <c r="OTA132" s="118"/>
      <c r="OTB132" s="118"/>
      <c r="OTC132" s="118"/>
      <c r="OTD132" s="118"/>
      <c r="OTE132" s="118"/>
      <c r="OTF132" s="118"/>
      <c r="OTG132" s="118"/>
      <c r="OTH132" s="118"/>
      <c r="OTI132" s="118"/>
      <c r="OTJ132" s="118"/>
      <c r="OTK132" s="118"/>
      <c r="OTL132" s="118"/>
      <c r="OTM132" s="118"/>
      <c r="OTN132" s="118"/>
      <c r="OTO132" s="118"/>
      <c r="OTP132" s="118"/>
      <c r="OTQ132" s="118"/>
      <c r="OTR132" s="118"/>
      <c r="OTS132" s="118"/>
      <c r="OTT132" s="118"/>
      <c r="OTU132" s="118"/>
      <c r="OTV132" s="118"/>
      <c r="OTW132" s="118"/>
      <c r="OTX132" s="118"/>
      <c r="OTY132" s="118"/>
      <c r="OTZ132" s="118"/>
      <c r="OUA132" s="118"/>
      <c r="OUB132" s="118"/>
      <c r="OUC132" s="118"/>
      <c r="OUD132" s="118"/>
      <c r="OUE132" s="118"/>
      <c r="OUF132" s="118"/>
      <c r="OUG132" s="118"/>
      <c r="OUH132" s="118"/>
      <c r="OUI132" s="118"/>
      <c r="OUJ132" s="118"/>
      <c r="OUK132" s="118"/>
      <c r="OUL132" s="118"/>
      <c r="OUM132" s="118"/>
      <c r="OUN132" s="118"/>
      <c r="OUO132" s="118"/>
      <c r="OUP132" s="118"/>
      <c r="OUQ132" s="118"/>
      <c r="OUR132" s="118"/>
      <c r="OUS132" s="118"/>
      <c r="OUT132" s="118"/>
      <c r="OUU132" s="118"/>
      <c r="OUV132" s="118"/>
      <c r="OUW132" s="118"/>
      <c r="OUX132" s="118"/>
      <c r="OUY132" s="118"/>
      <c r="OUZ132" s="118"/>
      <c r="OVA132" s="118"/>
      <c r="OVB132" s="118"/>
      <c r="OVC132" s="118"/>
      <c r="OVD132" s="118"/>
      <c r="OVE132" s="118"/>
      <c r="OVF132" s="118"/>
      <c r="OVG132" s="118"/>
      <c r="OVH132" s="118"/>
      <c r="OVI132" s="118"/>
      <c r="OVJ132" s="118"/>
      <c r="OVK132" s="118"/>
      <c r="OVL132" s="118"/>
      <c r="OVM132" s="118"/>
      <c r="OVN132" s="118"/>
      <c r="OVO132" s="118"/>
      <c r="OVP132" s="118"/>
      <c r="OVQ132" s="118"/>
      <c r="OVR132" s="118"/>
      <c r="OVS132" s="118"/>
      <c r="OVT132" s="118"/>
      <c r="OVU132" s="118"/>
      <c r="OVV132" s="118"/>
      <c r="OVW132" s="118"/>
      <c r="OVX132" s="118"/>
      <c r="OVY132" s="118"/>
      <c r="OVZ132" s="118"/>
      <c r="OWA132" s="118"/>
      <c r="OWB132" s="118"/>
      <c r="OWC132" s="118"/>
      <c r="OWD132" s="118"/>
      <c r="OWE132" s="118"/>
      <c r="OWF132" s="118"/>
      <c r="OWG132" s="118"/>
      <c r="OWH132" s="118"/>
      <c r="OWI132" s="118"/>
      <c r="OWJ132" s="118"/>
      <c r="OWK132" s="118"/>
      <c r="OWL132" s="118"/>
      <c r="OWM132" s="118"/>
      <c r="OWN132" s="118"/>
      <c r="OWO132" s="118"/>
      <c r="OWP132" s="118"/>
      <c r="OWQ132" s="118"/>
      <c r="OWR132" s="118"/>
      <c r="OWS132" s="118"/>
      <c r="OWT132" s="118"/>
      <c r="OWU132" s="118"/>
      <c r="OWV132" s="118"/>
      <c r="OWW132" s="118"/>
      <c r="OWX132" s="118"/>
      <c r="OWY132" s="118"/>
      <c r="OWZ132" s="118"/>
      <c r="OXA132" s="118"/>
      <c r="OXB132" s="118"/>
      <c r="OXC132" s="118"/>
      <c r="OXD132" s="118"/>
      <c r="OXE132" s="118"/>
      <c r="OXF132" s="118"/>
      <c r="OXG132" s="118"/>
      <c r="OXH132" s="118"/>
      <c r="OXI132" s="118"/>
      <c r="OXJ132" s="118"/>
      <c r="OXK132" s="118"/>
      <c r="OXL132" s="118"/>
      <c r="OXM132" s="118"/>
      <c r="OXN132" s="118"/>
      <c r="OXO132" s="118"/>
      <c r="OXP132" s="118"/>
      <c r="OXQ132" s="118"/>
      <c r="OXR132" s="118"/>
      <c r="OXS132" s="118"/>
      <c r="OXT132" s="118"/>
      <c r="OXU132" s="118"/>
      <c r="OXV132" s="118"/>
      <c r="OXW132" s="118"/>
      <c r="OXX132" s="118"/>
      <c r="OXY132" s="118"/>
      <c r="OXZ132" s="118"/>
      <c r="OYA132" s="118"/>
      <c r="OYB132" s="118"/>
      <c r="OYC132" s="118"/>
      <c r="OYD132" s="118"/>
      <c r="OYE132" s="118"/>
      <c r="OYF132" s="118"/>
      <c r="OYG132" s="118"/>
      <c r="OYH132" s="118"/>
      <c r="OYI132" s="118"/>
      <c r="OYJ132" s="118"/>
      <c r="OYK132" s="118"/>
      <c r="OYL132" s="118"/>
      <c r="OYM132" s="118"/>
      <c r="OYN132" s="118"/>
      <c r="OYO132" s="118"/>
      <c r="OYP132" s="118"/>
      <c r="OYQ132" s="118"/>
      <c r="OYR132" s="118"/>
      <c r="OYS132" s="118"/>
      <c r="OYT132" s="118"/>
      <c r="OYU132" s="118"/>
      <c r="OYV132" s="118"/>
      <c r="OYW132" s="118"/>
      <c r="OYX132" s="118"/>
      <c r="OYY132" s="118"/>
      <c r="OYZ132" s="118"/>
      <c r="OZA132" s="118"/>
      <c r="OZB132" s="118"/>
      <c r="OZC132" s="118"/>
      <c r="OZD132" s="118"/>
      <c r="OZE132" s="118"/>
      <c r="OZF132" s="118"/>
      <c r="OZG132" s="118"/>
      <c r="OZH132" s="118"/>
      <c r="OZI132" s="118"/>
      <c r="OZJ132" s="118"/>
      <c r="OZK132" s="118"/>
      <c r="OZL132" s="118"/>
      <c r="OZM132" s="118"/>
      <c r="OZN132" s="118"/>
      <c r="OZO132" s="118"/>
      <c r="OZP132" s="118"/>
      <c r="OZQ132" s="118"/>
      <c r="OZR132" s="118"/>
      <c r="OZS132" s="118"/>
      <c r="OZT132" s="118"/>
      <c r="OZU132" s="118"/>
      <c r="OZV132" s="118"/>
      <c r="OZW132" s="118"/>
      <c r="OZX132" s="118"/>
      <c r="OZY132" s="118"/>
      <c r="OZZ132" s="118"/>
      <c r="PAA132" s="118"/>
      <c r="PAB132" s="118"/>
      <c r="PAC132" s="118"/>
      <c r="PAD132" s="118"/>
      <c r="PAE132" s="118"/>
      <c r="PAF132" s="118"/>
      <c r="PAG132" s="118"/>
      <c r="PAH132" s="118"/>
      <c r="PAI132" s="118"/>
      <c r="PAJ132" s="118"/>
      <c r="PAK132" s="118"/>
      <c r="PAL132" s="118"/>
      <c r="PAM132" s="118"/>
      <c r="PAN132" s="118"/>
      <c r="PAO132" s="118"/>
      <c r="PAP132" s="118"/>
      <c r="PAQ132" s="118"/>
      <c r="PAR132" s="118"/>
      <c r="PAS132" s="118"/>
      <c r="PAT132" s="118"/>
      <c r="PAU132" s="118"/>
      <c r="PAV132" s="118"/>
      <c r="PAW132" s="118"/>
      <c r="PAX132" s="118"/>
      <c r="PAY132" s="118"/>
      <c r="PAZ132" s="118"/>
      <c r="PBA132" s="118"/>
      <c r="PBB132" s="118"/>
      <c r="PBC132" s="118"/>
      <c r="PBD132" s="118"/>
      <c r="PBE132" s="118"/>
      <c r="PBF132" s="118"/>
      <c r="PBG132" s="118"/>
      <c r="PBH132" s="118"/>
      <c r="PBI132" s="118"/>
      <c r="PBJ132" s="118"/>
      <c r="PBK132" s="118"/>
      <c r="PBL132" s="118"/>
      <c r="PBM132" s="118"/>
      <c r="PBN132" s="118"/>
      <c r="PBO132" s="118"/>
      <c r="PBP132" s="118"/>
      <c r="PBQ132" s="118"/>
      <c r="PBR132" s="118"/>
      <c r="PBS132" s="118"/>
      <c r="PBT132" s="118"/>
      <c r="PBU132" s="118"/>
      <c r="PBV132" s="118"/>
      <c r="PBW132" s="118"/>
      <c r="PBX132" s="118"/>
      <c r="PBY132" s="118"/>
      <c r="PBZ132" s="118"/>
      <c r="PCA132" s="118"/>
      <c r="PCB132" s="118"/>
      <c r="PCC132" s="118"/>
      <c r="PCD132" s="118"/>
      <c r="PCE132" s="118"/>
      <c r="PCF132" s="118"/>
      <c r="PCG132" s="118"/>
      <c r="PCH132" s="118"/>
      <c r="PCI132" s="118"/>
      <c r="PCJ132" s="118"/>
      <c r="PCK132" s="118"/>
      <c r="PCL132" s="118"/>
      <c r="PCM132" s="118"/>
      <c r="PCN132" s="118"/>
      <c r="PCO132" s="118"/>
      <c r="PCP132" s="118"/>
      <c r="PCQ132" s="118"/>
      <c r="PCR132" s="118"/>
      <c r="PCS132" s="118"/>
      <c r="PCT132" s="118"/>
      <c r="PCU132" s="118"/>
      <c r="PCV132" s="118"/>
      <c r="PCW132" s="118"/>
      <c r="PCX132" s="118"/>
      <c r="PCY132" s="118"/>
      <c r="PCZ132" s="118"/>
      <c r="PDA132" s="118"/>
      <c r="PDB132" s="118"/>
      <c r="PDC132" s="118"/>
      <c r="PDD132" s="118"/>
      <c r="PDE132" s="118"/>
      <c r="PDF132" s="118"/>
      <c r="PDG132" s="118"/>
      <c r="PDH132" s="118"/>
      <c r="PDI132" s="118"/>
      <c r="PDJ132" s="118"/>
      <c r="PDK132" s="118"/>
      <c r="PDL132" s="118"/>
      <c r="PDM132" s="118"/>
      <c r="PDN132" s="118"/>
      <c r="PDO132" s="118"/>
      <c r="PDP132" s="118"/>
      <c r="PDQ132" s="118"/>
      <c r="PDR132" s="118"/>
      <c r="PDS132" s="118"/>
      <c r="PDT132" s="118"/>
      <c r="PDU132" s="118"/>
      <c r="PDV132" s="118"/>
      <c r="PDW132" s="118"/>
      <c r="PDX132" s="118"/>
      <c r="PDY132" s="118"/>
      <c r="PDZ132" s="118"/>
      <c r="PEA132" s="118"/>
      <c r="PEB132" s="118"/>
      <c r="PEC132" s="118"/>
      <c r="PED132" s="118"/>
      <c r="PEE132" s="118"/>
      <c r="PEF132" s="118"/>
      <c r="PEG132" s="118"/>
      <c r="PEH132" s="118"/>
      <c r="PEI132" s="118"/>
      <c r="PEJ132" s="118"/>
      <c r="PEK132" s="118"/>
      <c r="PEL132" s="118"/>
      <c r="PEM132" s="118"/>
      <c r="PEN132" s="118"/>
      <c r="PEO132" s="118"/>
      <c r="PEP132" s="118"/>
      <c r="PEQ132" s="118"/>
      <c r="PER132" s="118"/>
      <c r="PES132" s="118"/>
      <c r="PET132" s="118"/>
      <c r="PEU132" s="118"/>
      <c r="PEV132" s="118"/>
      <c r="PEW132" s="118"/>
      <c r="PEX132" s="118"/>
      <c r="PEY132" s="118"/>
      <c r="PEZ132" s="118"/>
      <c r="PFA132" s="118"/>
      <c r="PFB132" s="118"/>
      <c r="PFC132" s="118"/>
      <c r="PFD132" s="118"/>
      <c r="PFE132" s="118"/>
      <c r="PFF132" s="118"/>
      <c r="PFG132" s="118"/>
      <c r="PFH132" s="118"/>
      <c r="PFI132" s="118"/>
      <c r="PFJ132" s="118"/>
      <c r="PFK132" s="118"/>
      <c r="PFL132" s="118"/>
      <c r="PFM132" s="118"/>
      <c r="PFN132" s="118"/>
      <c r="PFO132" s="118"/>
      <c r="PFP132" s="118"/>
      <c r="PFQ132" s="118"/>
      <c r="PFR132" s="118"/>
      <c r="PFS132" s="118"/>
      <c r="PFT132" s="118"/>
      <c r="PFU132" s="118"/>
      <c r="PFV132" s="118"/>
      <c r="PFW132" s="118"/>
      <c r="PFX132" s="118"/>
      <c r="PFY132" s="118"/>
      <c r="PFZ132" s="118"/>
      <c r="PGA132" s="118"/>
      <c r="PGB132" s="118"/>
      <c r="PGC132" s="118"/>
      <c r="PGD132" s="118"/>
      <c r="PGE132" s="118"/>
      <c r="PGF132" s="118"/>
      <c r="PGG132" s="118"/>
      <c r="PGH132" s="118"/>
      <c r="PGI132" s="118"/>
      <c r="PGJ132" s="118"/>
      <c r="PGK132" s="118"/>
      <c r="PGL132" s="118"/>
      <c r="PGM132" s="118"/>
      <c r="PGN132" s="118"/>
      <c r="PGO132" s="118"/>
      <c r="PGP132" s="118"/>
      <c r="PGQ132" s="118"/>
      <c r="PGR132" s="118"/>
      <c r="PGS132" s="118"/>
      <c r="PGT132" s="118"/>
      <c r="PGU132" s="118"/>
      <c r="PGV132" s="118"/>
      <c r="PGW132" s="118"/>
      <c r="PGX132" s="118"/>
      <c r="PGY132" s="118"/>
      <c r="PGZ132" s="118"/>
      <c r="PHA132" s="118"/>
      <c r="PHB132" s="118"/>
      <c r="PHC132" s="118"/>
      <c r="PHD132" s="118"/>
      <c r="PHE132" s="118"/>
      <c r="PHF132" s="118"/>
      <c r="PHG132" s="118"/>
      <c r="PHH132" s="118"/>
      <c r="PHI132" s="118"/>
      <c r="PHJ132" s="118"/>
      <c r="PHK132" s="118"/>
      <c r="PHL132" s="118"/>
      <c r="PHM132" s="118"/>
      <c r="PHN132" s="118"/>
      <c r="PHO132" s="118"/>
      <c r="PHP132" s="118"/>
      <c r="PHQ132" s="118"/>
      <c r="PHR132" s="118"/>
      <c r="PHS132" s="118"/>
      <c r="PHT132" s="118"/>
      <c r="PHU132" s="118"/>
      <c r="PHV132" s="118"/>
      <c r="PHW132" s="118"/>
      <c r="PHX132" s="118"/>
      <c r="PHY132" s="118"/>
      <c r="PHZ132" s="118"/>
      <c r="PIA132" s="118"/>
      <c r="PIB132" s="118"/>
      <c r="PIC132" s="118"/>
      <c r="PID132" s="118"/>
      <c r="PIE132" s="118"/>
      <c r="PIF132" s="118"/>
      <c r="PIG132" s="118"/>
      <c r="PIH132" s="118"/>
      <c r="PII132" s="118"/>
      <c r="PIJ132" s="118"/>
      <c r="PIK132" s="118"/>
      <c r="PIL132" s="118"/>
      <c r="PIM132" s="118"/>
      <c r="PIN132" s="118"/>
      <c r="PIO132" s="118"/>
      <c r="PIP132" s="118"/>
      <c r="PIQ132" s="118"/>
      <c r="PIR132" s="118"/>
      <c r="PIS132" s="118"/>
      <c r="PIT132" s="118"/>
      <c r="PIU132" s="118"/>
      <c r="PIV132" s="118"/>
      <c r="PIW132" s="118"/>
      <c r="PIX132" s="118"/>
      <c r="PIY132" s="118"/>
      <c r="PIZ132" s="118"/>
      <c r="PJA132" s="118"/>
      <c r="PJB132" s="118"/>
      <c r="PJC132" s="118"/>
      <c r="PJD132" s="118"/>
      <c r="PJE132" s="118"/>
      <c r="PJF132" s="118"/>
      <c r="PJG132" s="118"/>
      <c r="PJH132" s="118"/>
      <c r="PJI132" s="118"/>
      <c r="PJJ132" s="118"/>
      <c r="PJK132" s="118"/>
      <c r="PJL132" s="118"/>
      <c r="PJM132" s="118"/>
      <c r="PJN132" s="118"/>
      <c r="PJO132" s="118"/>
      <c r="PJP132" s="118"/>
      <c r="PJQ132" s="118"/>
      <c r="PJR132" s="118"/>
      <c r="PJS132" s="118"/>
      <c r="PJT132" s="118"/>
      <c r="PJU132" s="118"/>
      <c r="PJV132" s="118"/>
      <c r="PJW132" s="118"/>
      <c r="PJX132" s="118"/>
      <c r="PJY132" s="118"/>
      <c r="PJZ132" s="118"/>
      <c r="PKA132" s="118"/>
      <c r="PKB132" s="118"/>
      <c r="PKC132" s="118"/>
      <c r="PKD132" s="118"/>
      <c r="PKE132" s="118"/>
      <c r="PKF132" s="118"/>
      <c r="PKG132" s="118"/>
      <c r="PKH132" s="118"/>
      <c r="PKI132" s="118"/>
      <c r="PKJ132" s="118"/>
      <c r="PKK132" s="118"/>
      <c r="PKL132" s="118"/>
      <c r="PKM132" s="118"/>
      <c r="PKN132" s="118"/>
      <c r="PKO132" s="118"/>
      <c r="PKP132" s="118"/>
      <c r="PKQ132" s="118"/>
      <c r="PKR132" s="118"/>
      <c r="PKS132" s="118"/>
      <c r="PKT132" s="118"/>
      <c r="PKU132" s="118"/>
      <c r="PKV132" s="118"/>
      <c r="PKW132" s="118"/>
      <c r="PKX132" s="118"/>
      <c r="PKY132" s="118"/>
      <c r="PKZ132" s="118"/>
      <c r="PLA132" s="118"/>
      <c r="PLB132" s="118"/>
      <c r="PLC132" s="118"/>
      <c r="PLD132" s="118"/>
      <c r="PLE132" s="118"/>
      <c r="PLF132" s="118"/>
      <c r="PLG132" s="118"/>
      <c r="PLH132" s="118"/>
      <c r="PLI132" s="118"/>
      <c r="PLJ132" s="118"/>
      <c r="PLK132" s="118"/>
      <c r="PLL132" s="118"/>
      <c r="PLM132" s="118"/>
      <c r="PLN132" s="118"/>
      <c r="PLO132" s="118"/>
      <c r="PLP132" s="118"/>
      <c r="PLQ132" s="118"/>
      <c r="PLR132" s="118"/>
      <c r="PLS132" s="118"/>
      <c r="PLT132" s="118"/>
      <c r="PLU132" s="118"/>
      <c r="PLV132" s="118"/>
      <c r="PLW132" s="118"/>
      <c r="PLX132" s="118"/>
      <c r="PLY132" s="118"/>
      <c r="PLZ132" s="118"/>
      <c r="PMA132" s="118"/>
      <c r="PMB132" s="118"/>
      <c r="PMC132" s="118"/>
      <c r="PMD132" s="118"/>
      <c r="PME132" s="118"/>
      <c r="PMF132" s="118"/>
      <c r="PMG132" s="118"/>
      <c r="PMH132" s="118"/>
      <c r="PMI132" s="118"/>
      <c r="PMJ132" s="118"/>
      <c r="PMK132" s="118"/>
      <c r="PML132" s="118"/>
      <c r="PMM132" s="118"/>
      <c r="PMN132" s="118"/>
      <c r="PMO132" s="118"/>
      <c r="PMP132" s="118"/>
      <c r="PMQ132" s="118"/>
      <c r="PMR132" s="118"/>
      <c r="PMS132" s="118"/>
      <c r="PMT132" s="118"/>
      <c r="PMU132" s="118"/>
      <c r="PMV132" s="118"/>
      <c r="PMW132" s="118"/>
      <c r="PMX132" s="118"/>
      <c r="PMY132" s="118"/>
      <c r="PMZ132" s="118"/>
      <c r="PNA132" s="118"/>
      <c r="PNB132" s="118"/>
      <c r="PNC132" s="118"/>
      <c r="PND132" s="118"/>
      <c r="PNE132" s="118"/>
      <c r="PNF132" s="118"/>
      <c r="PNG132" s="118"/>
      <c r="PNH132" s="118"/>
      <c r="PNI132" s="118"/>
      <c r="PNJ132" s="118"/>
      <c r="PNK132" s="118"/>
      <c r="PNL132" s="118"/>
      <c r="PNM132" s="118"/>
      <c r="PNN132" s="118"/>
      <c r="PNO132" s="118"/>
      <c r="PNP132" s="118"/>
      <c r="PNQ132" s="118"/>
      <c r="PNR132" s="118"/>
      <c r="PNS132" s="118"/>
      <c r="PNT132" s="118"/>
      <c r="PNU132" s="118"/>
      <c r="PNV132" s="118"/>
      <c r="PNW132" s="118"/>
      <c r="PNX132" s="118"/>
      <c r="PNY132" s="118"/>
      <c r="PNZ132" s="118"/>
      <c r="POA132" s="118"/>
      <c r="POB132" s="118"/>
      <c r="POC132" s="118"/>
      <c r="POD132" s="118"/>
      <c r="POE132" s="118"/>
      <c r="POF132" s="118"/>
      <c r="POG132" s="118"/>
      <c r="POH132" s="118"/>
      <c r="POI132" s="118"/>
      <c r="POJ132" s="118"/>
      <c r="POK132" s="118"/>
      <c r="POL132" s="118"/>
      <c r="POM132" s="118"/>
      <c r="PON132" s="118"/>
      <c r="POO132" s="118"/>
      <c r="POP132" s="118"/>
      <c r="POQ132" s="118"/>
      <c r="POR132" s="118"/>
      <c r="POS132" s="118"/>
      <c r="POT132" s="118"/>
      <c r="POU132" s="118"/>
      <c r="POV132" s="118"/>
      <c r="POW132" s="118"/>
      <c r="POX132" s="118"/>
      <c r="POY132" s="118"/>
      <c r="POZ132" s="118"/>
      <c r="PPA132" s="118"/>
      <c r="PPB132" s="118"/>
      <c r="PPC132" s="118"/>
      <c r="PPD132" s="118"/>
      <c r="PPE132" s="118"/>
      <c r="PPF132" s="118"/>
      <c r="PPG132" s="118"/>
      <c r="PPH132" s="118"/>
      <c r="PPI132" s="118"/>
      <c r="PPJ132" s="118"/>
      <c r="PPK132" s="118"/>
      <c r="PPL132" s="118"/>
      <c r="PPM132" s="118"/>
      <c r="PPN132" s="118"/>
      <c r="PPO132" s="118"/>
      <c r="PPP132" s="118"/>
      <c r="PPQ132" s="118"/>
      <c r="PPR132" s="118"/>
      <c r="PPS132" s="118"/>
      <c r="PPT132" s="118"/>
      <c r="PPU132" s="118"/>
      <c r="PPV132" s="118"/>
      <c r="PPW132" s="118"/>
      <c r="PPX132" s="118"/>
      <c r="PPY132" s="118"/>
      <c r="PPZ132" s="118"/>
      <c r="PQA132" s="118"/>
      <c r="PQB132" s="118"/>
      <c r="PQC132" s="118"/>
      <c r="PQD132" s="118"/>
      <c r="PQE132" s="118"/>
      <c r="PQF132" s="118"/>
      <c r="PQG132" s="118"/>
      <c r="PQH132" s="118"/>
      <c r="PQI132" s="118"/>
      <c r="PQJ132" s="118"/>
      <c r="PQK132" s="118"/>
      <c r="PQL132" s="118"/>
      <c r="PQM132" s="118"/>
      <c r="PQN132" s="118"/>
      <c r="PQO132" s="118"/>
      <c r="PQP132" s="118"/>
      <c r="PQQ132" s="118"/>
      <c r="PQR132" s="118"/>
      <c r="PQS132" s="118"/>
      <c r="PQT132" s="118"/>
      <c r="PQU132" s="118"/>
      <c r="PQV132" s="118"/>
      <c r="PQW132" s="118"/>
      <c r="PQX132" s="118"/>
      <c r="PQY132" s="118"/>
      <c r="PQZ132" s="118"/>
      <c r="PRA132" s="118"/>
      <c r="PRB132" s="118"/>
      <c r="PRC132" s="118"/>
      <c r="PRD132" s="118"/>
      <c r="PRE132" s="118"/>
      <c r="PRF132" s="118"/>
      <c r="PRG132" s="118"/>
      <c r="PRH132" s="118"/>
      <c r="PRI132" s="118"/>
      <c r="PRJ132" s="118"/>
      <c r="PRK132" s="118"/>
      <c r="PRL132" s="118"/>
      <c r="PRM132" s="118"/>
      <c r="PRN132" s="118"/>
      <c r="PRO132" s="118"/>
      <c r="PRP132" s="118"/>
      <c r="PRQ132" s="118"/>
      <c r="PRR132" s="118"/>
      <c r="PRS132" s="118"/>
      <c r="PRT132" s="118"/>
      <c r="PRU132" s="118"/>
      <c r="PRV132" s="118"/>
      <c r="PRW132" s="118"/>
      <c r="PRX132" s="118"/>
      <c r="PRY132" s="118"/>
      <c r="PRZ132" s="118"/>
      <c r="PSA132" s="118"/>
      <c r="PSB132" s="118"/>
      <c r="PSC132" s="118"/>
      <c r="PSD132" s="118"/>
      <c r="PSE132" s="118"/>
      <c r="PSF132" s="118"/>
      <c r="PSG132" s="118"/>
      <c r="PSH132" s="118"/>
      <c r="PSI132" s="118"/>
      <c r="PSJ132" s="118"/>
      <c r="PSK132" s="118"/>
      <c r="PSL132" s="118"/>
      <c r="PSM132" s="118"/>
      <c r="PSN132" s="118"/>
      <c r="PSO132" s="118"/>
      <c r="PSP132" s="118"/>
      <c r="PSQ132" s="118"/>
      <c r="PSR132" s="118"/>
      <c r="PSS132" s="118"/>
      <c r="PST132" s="118"/>
      <c r="PSU132" s="118"/>
      <c r="PSV132" s="118"/>
      <c r="PSW132" s="118"/>
      <c r="PSX132" s="118"/>
      <c r="PSY132" s="118"/>
      <c r="PSZ132" s="118"/>
      <c r="PTA132" s="118"/>
      <c r="PTB132" s="118"/>
      <c r="PTC132" s="118"/>
      <c r="PTD132" s="118"/>
      <c r="PTE132" s="118"/>
      <c r="PTF132" s="118"/>
      <c r="PTG132" s="118"/>
      <c r="PTH132" s="118"/>
      <c r="PTI132" s="118"/>
      <c r="PTJ132" s="118"/>
      <c r="PTK132" s="118"/>
      <c r="PTL132" s="118"/>
      <c r="PTM132" s="118"/>
      <c r="PTN132" s="118"/>
      <c r="PTO132" s="118"/>
      <c r="PTP132" s="118"/>
      <c r="PTQ132" s="118"/>
      <c r="PTR132" s="118"/>
      <c r="PTS132" s="118"/>
      <c r="PTT132" s="118"/>
      <c r="PTU132" s="118"/>
      <c r="PTV132" s="118"/>
      <c r="PTW132" s="118"/>
      <c r="PTX132" s="118"/>
      <c r="PTY132" s="118"/>
      <c r="PTZ132" s="118"/>
      <c r="PUA132" s="118"/>
      <c r="PUB132" s="118"/>
      <c r="PUC132" s="118"/>
      <c r="PUD132" s="118"/>
      <c r="PUE132" s="118"/>
      <c r="PUF132" s="118"/>
      <c r="PUG132" s="118"/>
      <c r="PUH132" s="118"/>
      <c r="PUI132" s="118"/>
      <c r="PUJ132" s="118"/>
      <c r="PUK132" s="118"/>
      <c r="PUL132" s="118"/>
      <c r="PUM132" s="118"/>
      <c r="PUN132" s="118"/>
      <c r="PUO132" s="118"/>
      <c r="PUP132" s="118"/>
      <c r="PUQ132" s="118"/>
      <c r="PUR132" s="118"/>
      <c r="PUS132" s="118"/>
      <c r="PUT132" s="118"/>
      <c r="PUU132" s="118"/>
      <c r="PUV132" s="118"/>
      <c r="PUW132" s="118"/>
      <c r="PUX132" s="118"/>
      <c r="PUY132" s="118"/>
      <c r="PUZ132" s="118"/>
      <c r="PVA132" s="118"/>
      <c r="PVB132" s="118"/>
      <c r="PVC132" s="118"/>
      <c r="PVD132" s="118"/>
      <c r="PVE132" s="118"/>
      <c r="PVF132" s="118"/>
      <c r="PVG132" s="118"/>
      <c r="PVH132" s="118"/>
      <c r="PVI132" s="118"/>
      <c r="PVJ132" s="118"/>
      <c r="PVK132" s="118"/>
      <c r="PVL132" s="118"/>
      <c r="PVM132" s="118"/>
      <c r="PVN132" s="118"/>
      <c r="PVO132" s="118"/>
      <c r="PVP132" s="118"/>
      <c r="PVQ132" s="118"/>
      <c r="PVR132" s="118"/>
      <c r="PVS132" s="118"/>
      <c r="PVT132" s="118"/>
      <c r="PVU132" s="118"/>
      <c r="PVV132" s="118"/>
      <c r="PVW132" s="118"/>
      <c r="PVX132" s="118"/>
      <c r="PVY132" s="118"/>
      <c r="PVZ132" s="118"/>
      <c r="PWA132" s="118"/>
      <c r="PWB132" s="118"/>
      <c r="PWC132" s="118"/>
      <c r="PWD132" s="118"/>
      <c r="PWE132" s="118"/>
      <c r="PWF132" s="118"/>
      <c r="PWG132" s="118"/>
      <c r="PWH132" s="118"/>
      <c r="PWI132" s="118"/>
      <c r="PWJ132" s="118"/>
      <c r="PWK132" s="118"/>
      <c r="PWL132" s="118"/>
      <c r="PWM132" s="118"/>
      <c r="PWN132" s="118"/>
      <c r="PWO132" s="118"/>
      <c r="PWP132" s="118"/>
      <c r="PWQ132" s="118"/>
      <c r="PWR132" s="118"/>
      <c r="PWS132" s="118"/>
      <c r="PWT132" s="118"/>
      <c r="PWU132" s="118"/>
      <c r="PWV132" s="118"/>
      <c r="PWW132" s="118"/>
      <c r="PWX132" s="118"/>
      <c r="PWY132" s="118"/>
      <c r="PWZ132" s="118"/>
      <c r="PXA132" s="118"/>
      <c r="PXB132" s="118"/>
      <c r="PXC132" s="118"/>
      <c r="PXD132" s="118"/>
      <c r="PXE132" s="118"/>
      <c r="PXF132" s="118"/>
      <c r="PXG132" s="118"/>
      <c r="PXH132" s="118"/>
      <c r="PXI132" s="118"/>
      <c r="PXJ132" s="118"/>
      <c r="PXK132" s="118"/>
      <c r="PXL132" s="118"/>
      <c r="PXM132" s="118"/>
      <c r="PXN132" s="118"/>
      <c r="PXO132" s="118"/>
      <c r="PXP132" s="118"/>
      <c r="PXQ132" s="118"/>
      <c r="PXR132" s="118"/>
      <c r="PXS132" s="118"/>
      <c r="PXT132" s="118"/>
      <c r="PXU132" s="118"/>
      <c r="PXV132" s="118"/>
      <c r="PXW132" s="118"/>
      <c r="PXX132" s="118"/>
      <c r="PXY132" s="118"/>
      <c r="PXZ132" s="118"/>
      <c r="PYA132" s="118"/>
      <c r="PYB132" s="118"/>
      <c r="PYC132" s="118"/>
      <c r="PYD132" s="118"/>
      <c r="PYE132" s="118"/>
      <c r="PYF132" s="118"/>
      <c r="PYG132" s="118"/>
      <c r="PYH132" s="118"/>
      <c r="PYI132" s="118"/>
      <c r="PYJ132" s="118"/>
      <c r="PYK132" s="118"/>
      <c r="PYL132" s="118"/>
      <c r="PYM132" s="118"/>
      <c r="PYN132" s="118"/>
      <c r="PYO132" s="118"/>
      <c r="PYP132" s="118"/>
      <c r="PYQ132" s="118"/>
      <c r="PYR132" s="118"/>
      <c r="PYS132" s="118"/>
      <c r="PYT132" s="118"/>
      <c r="PYU132" s="118"/>
      <c r="PYV132" s="118"/>
      <c r="PYW132" s="118"/>
      <c r="PYX132" s="118"/>
      <c r="PYY132" s="118"/>
      <c r="PYZ132" s="118"/>
      <c r="PZA132" s="118"/>
      <c r="PZB132" s="118"/>
      <c r="PZC132" s="118"/>
      <c r="PZD132" s="118"/>
      <c r="PZE132" s="118"/>
      <c r="PZF132" s="118"/>
      <c r="PZG132" s="118"/>
      <c r="PZH132" s="118"/>
      <c r="PZI132" s="118"/>
      <c r="PZJ132" s="118"/>
      <c r="PZK132" s="118"/>
      <c r="PZL132" s="118"/>
      <c r="PZM132" s="118"/>
      <c r="PZN132" s="118"/>
      <c r="PZO132" s="118"/>
      <c r="PZP132" s="118"/>
      <c r="PZQ132" s="118"/>
      <c r="PZR132" s="118"/>
      <c r="PZS132" s="118"/>
      <c r="PZT132" s="118"/>
      <c r="PZU132" s="118"/>
      <c r="PZV132" s="118"/>
      <c r="PZW132" s="118"/>
      <c r="PZX132" s="118"/>
      <c r="PZY132" s="118"/>
      <c r="PZZ132" s="118"/>
      <c r="QAA132" s="118"/>
      <c r="QAB132" s="118"/>
      <c r="QAC132" s="118"/>
      <c r="QAD132" s="118"/>
      <c r="QAE132" s="118"/>
      <c r="QAF132" s="118"/>
      <c r="QAG132" s="118"/>
      <c r="QAH132" s="118"/>
      <c r="QAI132" s="118"/>
      <c r="QAJ132" s="118"/>
      <c r="QAK132" s="118"/>
      <c r="QAL132" s="118"/>
      <c r="QAM132" s="118"/>
      <c r="QAN132" s="118"/>
      <c r="QAO132" s="118"/>
      <c r="QAP132" s="118"/>
      <c r="QAQ132" s="118"/>
      <c r="QAR132" s="118"/>
      <c r="QAS132" s="118"/>
      <c r="QAT132" s="118"/>
      <c r="QAU132" s="118"/>
      <c r="QAV132" s="118"/>
      <c r="QAW132" s="118"/>
      <c r="QAX132" s="118"/>
      <c r="QAY132" s="118"/>
      <c r="QAZ132" s="118"/>
      <c r="QBA132" s="118"/>
      <c r="QBB132" s="118"/>
      <c r="QBC132" s="118"/>
      <c r="QBD132" s="118"/>
      <c r="QBE132" s="118"/>
      <c r="QBF132" s="118"/>
      <c r="QBG132" s="118"/>
      <c r="QBH132" s="118"/>
      <c r="QBI132" s="118"/>
      <c r="QBJ132" s="118"/>
      <c r="QBK132" s="118"/>
      <c r="QBL132" s="118"/>
      <c r="QBM132" s="118"/>
      <c r="QBN132" s="118"/>
      <c r="QBO132" s="118"/>
      <c r="QBP132" s="118"/>
      <c r="QBQ132" s="118"/>
      <c r="QBR132" s="118"/>
      <c r="QBS132" s="118"/>
      <c r="QBT132" s="118"/>
      <c r="QBU132" s="118"/>
      <c r="QBV132" s="118"/>
      <c r="QBW132" s="118"/>
      <c r="QBX132" s="118"/>
      <c r="QBY132" s="118"/>
      <c r="QBZ132" s="118"/>
      <c r="QCA132" s="118"/>
      <c r="QCB132" s="118"/>
      <c r="QCC132" s="118"/>
      <c r="QCD132" s="118"/>
      <c r="QCE132" s="118"/>
      <c r="QCF132" s="118"/>
      <c r="QCG132" s="118"/>
      <c r="QCH132" s="118"/>
      <c r="QCI132" s="118"/>
      <c r="QCJ132" s="118"/>
      <c r="QCK132" s="118"/>
      <c r="QCL132" s="118"/>
      <c r="QCM132" s="118"/>
      <c r="QCN132" s="118"/>
      <c r="QCO132" s="118"/>
      <c r="QCP132" s="118"/>
      <c r="QCQ132" s="118"/>
      <c r="QCR132" s="118"/>
      <c r="QCS132" s="118"/>
      <c r="QCT132" s="118"/>
      <c r="QCU132" s="118"/>
      <c r="QCV132" s="118"/>
      <c r="QCW132" s="118"/>
      <c r="QCX132" s="118"/>
      <c r="QCY132" s="118"/>
      <c r="QCZ132" s="118"/>
      <c r="QDA132" s="118"/>
      <c r="QDB132" s="118"/>
      <c r="QDC132" s="118"/>
      <c r="QDD132" s="118"/>
      <c r="QDE132" s="118"/>
      <c r="QDF132" s="118"/>
      <c r="QDG132" s="118"/>
      <c r="QDH132" s="118"/>
      <c r="QDI132" s="118"/>
      <c r="QDJ132" s="118"/>
      <c r="QDK132" s="118"/>
      <c r="QDL132" s="118"/>
      <c r="QDM132" s="118"/>
      <c r="QDN132" s="118"/>
      <c r="QDO132" s="118"/>
      <c r="QDP132" s="118"/>
      <c r="QDQ132" s="118"/>
      <c r="QDR132" s="118"/>
      <c r="QDS132" s="118"/>
      <c r="QDT132" s="118"/>
      <c r="QDU132" s="118"/>
      <c r="QDV132" s="118"/>
      <c r="QDW132" s="118"/>
      <c r="QDX132" s="118"/>
      <c r="QDY132" s="118"/>
      <c r="QDZ132" s="118"/>
      <c r="QEA132" s="118"/>
      <c r="QEB132" s="118"/>
      <c r="QEC132" s="118"/>
      <c r="QED132" s="118"/>
      <c r="QEE132" s="118"/>
      <c r="QEF132" s="118"/>
      <c r="QEG132" s="118"/>
      <c r="QEH132" s="118"/>
      <c r="QEI132" s="118"/>
      <c r="QEJ132" s="118"/>
      <c r="QEK132" s="118"/>
      <c r="QEL132" s="118"/>
      <c r="QEM132" s="118"/>
      <c r="QEN132" s="118"/>
      <c r="QEO132" s="118"/>
      <c r="QEP132" s="118"/>
      <c r="QEQ132" s="118"/>
      <c r="QER132" s="118"/>
      <c r="QES132" s="118"/>
      <c r="QET132" s="118"/>
      <c r="QEU132" s="118"/>
      <c r="QEV132" s="118"/>
      <c r="QEW132" s="118"/>
      <c r="QEX132" s="118"/>
      <c r="QEY132" s="118"/>
      <c r="QEZ132" s="118"/>
      <c r="QFA132" s="118"/>
      <c r="QFB132" s="118"/>
      <c r="QFC132" s="118"/>
      <c r="QFD132" s="118"/>
      <c r="QFE132" s="118"/>
      <c r="QFF132" s="118"/>
      <c r="QFG132" s="118"/>
      <c r="QFH132" s="118"/>
      <c r="QFI132" s="118"/>
      <c r="QFJ132" s="118"/>
      <c r="QFK132" s="118"/>
      <c r="QFL132" s="118"/>
      <c r="QFM132" s="118"/>
      <c r="QFN132" s="118"/>
      <c r="QFO132" s="118"/>
      <c r="QFP132" s="118"/>
      <c r="QFQ132" s="118"/>
      <c r="QFR132" s="118"/>
      <c r="QFS132" s="118"/>
      <c r="QFT132" s="118"/>
      <c r="QFU132" s="118"/>
      <c r="QFV132" s="118"/>
      <c r="QFW132" s="118"/>
      <c r="QFX132" s="118"/>
      <c r="QFY132" s="118"/>
      <c r="QFZ132" s="118"/>
      <c r="QGA132" s="118"/>
      <c r="QGB132" s="118"/>
      <c r="QGC132" s="118"/>
      <c r="QGD132" s="118"/>
      <c r="QGE132" s="118"/>
      <c r="QGF132" s="118"/>
      <c r="QGG132" s="118"/>
      <c r="QGH132" s="118"/>
      <c r="QGI132" s="118"/>
      <c r="QGJ132" s="118"/>
      <c r="QGK132" s="118"/>
      <c r="QGL132" s="118"/>
      <c r="QGM132" s="118"/>
      <c r="QGN132" s="118"/>
      <c r="QGO132" s="118"/>
      <c r="QGP132" s="118"/>
      <c r="QGQ132" s="118"/>
      <c r="QGR132" s="118"/>
      <c r="QGS132" s="118"/>
      <c r="QGT132" s="118"/>
      <c r="QGU132" s="118"/>
      <c r="QGV132" s="118"/>
      <c r="QGW132" s="118"/>
      <c r="QGX132" s="118"/>
      <c r="QGY132" s="118"/>
      <c r="QGZ132" s="118"/>
      <c r="QHA132" s="118"/>
      <c r="QHB132" s="118"/>
      <c r="QHC132" s="118"/>
      <c r="QHD132" s="118"/>
      <c r="QHE132" s="118"/>
      <c r="QHF132" s="118"/>
      <c r="QHG132" s="118"/>
      <c r="QHH132" s="118"/>
      <c r="QHI132" s="118"/>
      <c r="QHJ132" s="118"/>
      <c r="QHK132" s="118"/>
      <c r="QHL132" s="118"/>
      <c r="QHM132" s="118"/>
      <c r="QHN132" s="118"/>
      <c r="QHO132" s="118"/>
      <c r="QHP132" s="118"/>
      <c r="QHQ132" s="118"/>
      <c r="QHR132" s="118"/>
      <c r="QHS132" s="118"/>
      <c r="QHT132" s="118"/>
      <c r="QHU132" s="118"/>
      <c r="QHV132" s="118"/>
      <c r="QHW132" s="118"/>
      <c r="QHX132" s="118"/>
      <c r="QHY132" s="118"/>
      <c r="QHZ132" s="118"/>
      <c r="QIA132" s="118"/>
      <c r="QIB132" s="118"/>
      <c r="QIC132" s="118"/>
      <c r="QID132" s="118"/>
      <c r="QIE132" s="118"/>
      <c r="QIF132" s="118"/>
      <c r="QIG132" s="118"/>
      <c r="QIH132" s="118"/>
      <c r="QII132" s="118"/>
      <c r="QIJ132" s="118"/>
      <c r="QIK132" s="118"/>
      <c r="QIL132" s="118"/>
      <c r="QIM132" s="118"/>
      <c r="QIN132" s="118"/>
      <c r="QIO132" s="118"/>
      <c r="QIP132" s="118"/>
      <c r="QIQ132" s="118"/>
      <c r="QIR132" s="118"/>
      <c r="QIS132" s="118"/>
      <c r="QIT132" s="118"/>
      <c r="QIU132" s="118"/>
      <c r="QIV132" s="118"/>
      <c r="QIW132" s="118"/>
      <c r="QIX132" s="118"/>
      <c r="QIY132" s="118"/>
      <c r="QIZ132" s="118"/>
      <c r="QJA132" s="118"/>
      <c r="QJB132" s="118"/>
      <c r="QJC132" s="118"/>
      <c r="QJD132" s="118"/>
      <c r="QJE132" s="118"/>
      <c r="QJF132" s="118"/>
      <c r="QJG132" s="118"/>
      <c r="QJH132" s="118"/>
      <c r="QJI132" s="118"/>
      <c r="QJJ132" s="118"/>
      <c r="QJK132" s="118"/>
      <c r="QJL132" s="118"/>
      <c r="QJM132" s="118"/>
      <c r="QJN132" s="118"/>
      <c r="QJO132" s="118"/>
      <c r="QJP132" s="118"/>
      <c r="QJQ132" s="118"/>
      <c r="QJR132" s="118"/>
      <c r="QJS132" s="118"/>
      <c r="QJT132" s="118"/>
      <c r="QJU132" s="118"/>
      <c r="QJV132" s="118"/>
      <c r="QJW132" s="118"/>
      <c r="QJX132" s="118"/>
      <c r="QJY132" s="118"/>
      <c r="QJZ132" s="118"/>
      <c r="QKA132" s="118"/>
      <c r="QKB132" s="118"/>
      <c r="QKC132" s="118"/>
      <c r="QKD132" s="118"/>
      <c r="QKE132" s="118"/>
      <c r="QKF132" s="118"/>
      <c r="QKG132" s="118"/>
      <c r="QKH132" s="118"/>
      <c r="QKI132" s="118"/>
      <c r="QKJ132" s="118"/>
      <c r="QKK132" s="118"/>
      <c r="QKL132" s="118"/>
      <c r="QKM132" s="118"/>
      <c r="QKN132" s="118"/>
      <c r="QKO132" s="118"/>
      <c r="QKP132" s="118"/>
      <c r="QKQ132" s="118"/>
      <c r="QKR132" s="118"/>
      <c r="QKS132" s="118"/>
      <c r="QKT132" s="118"/>
      <c r="QKU132" s="118"/>
      <c r="QKV132" s="118"/>
      <c r="QKW132" s="118"/>
      <c r="QKX132" s="118"/>
      <c r="QKY132" s="118"/>
      <c r="QKZ132" s="118"/>
      <c r="QLA132" s="118"/>
      <c r="QLB132" s="118"/>
      <c r="QLC132" s="118"/>
      <c r="QLD132" s="118"/>
      <c r="QLE132" s="118"/>
      <c r="QLF132" s="118"/>
      <c r="QLG132" s="118"/>
      <c r="QLH132" s="118"/>
      <c r="QLI132" s="118"/>
      <c r="QLJ132" s="118"/>
      <c r="QLK132" s="118"/>
      <c r="QLL132" s="118"/>
      <c r="QLM132" s="118"/>
      <c r="QLN132" s="118"/>
      <c r="QLO132" s="118"/>
      <c r="QLP132" s="118"/>
      <c r="QLQ132" s="118"/>
      <c r="QLR132" s="118"/>
      <c r="QLS132" s="118"/>
      <c r="QLT132" s="118"/>
      <c r="QLU132" s="118"/>
      <c r="QLV132" s="118"/>
      <c r="QLW132" s="118"/>
      <c r="QLX132" s="118"/>
      <c r="QLY132" s="118"/>
      <c r="QLZ132" s="118"/>
      <c r="QMA132" s="118"/>
      <c r="QMB132" s="118"/>
      <c r="QMC132" s="118"/>
      <c r="QMD132" s="118"/>
      <c r="QME132" s="118"/>
      <c r="QMF132" s="118"/>
      <c r="QMG132" s="118"/>
      <c r="QMH132" s="118"/>
      <c r="QMI132" s="118"/>
      <c r="QMJ132" s="118"/>
      <c r="QMK132" s="118"/>
      <c r="QML132" s="118"/>
      <c r="QMM132" s="118"/>
      <c r="QMN132" s="118"/>
      <c r="QMO132" s="118"/>
      <c r="QMP132" s="118"/>
      <c r="QMQ132" s="118"/>
      <c r="QMR132" s="118"/>
      <c r="QMS132" s="118"/>
      <c r="QMT132" s="118"/>
      <c r="QMU132" s="118"/>
      <c r="QMV132" s="118"/>
      <c r="QMW132" s="118"/>
      <c r="QMX132" s="118"/>
      <c r="QMY132" s="118"/>
      <c r="QMZ132" s="118"/>
      <c r="QNA132" s="118"/>
      <c r="QNB132" s="118"/>
      <c r="QNC132" s="118"/>
      <c r="QND132" s="118"/>
      <c r="QNE132" s="118"/>
      <c r="QNF132" s="118"/>
      <c r="QNG132" s="118"/>
      <c r="QNH132" s="118"/>
      <c r="QNI132" s="118"/>
      <c r="QNJ132" s="118"/>
      <c r="QNK132" s="118"/>
      <c r="QNL132" s="118"/>
      <c r="QNM132" s="118"/>
      <c r="QNN132" s="118"/>
      <c r="QNO132" s="118"/>
      <c r="QNP132" s="118"/>
      <c r="QNQ132" s="118"/>
      <c r="QNR132" s="118"/>
      <c r="QNS132" s="118"/>
      <c r="QNT132" s="118"/>
      <c r="QNU132" s="118"/>
      <c r="QNV132" s="118"/>
      <c r="QNW132" s="118"/>
      <c r="QNX132" s="118"/>
      <c r="QNY132" s="118"/>
      <c r="QNZ132" s="118"/>
      <c r="QOA132" s="118"/>
      <c r="QOB132" s="118"/>
      <c r="QOC132" s="118"/>
      <c r="QOD132" s="118"/>
      <c r="QOE132" s="118"/>
      <c r="QOF132" s="118"/>
      <c r="QOG132" s="118"/>
      <c r="QOH132" s="118"/>
      <c r="QOI132" s="118"/>
      <c r="QOJ132" s="118"/>
      <c r="QOK132" s="118"/>
      <c r="QOL132" s="118"/>
      <c r="QOM132" s="118"/>
      <c r="QON132" s="118"/>
      <c r="QOO132" s="118"/>
      <c r="QOP132" s="118"/>
      <c r="QOQ132" s="118"/>
      <c r="QOR132" s="118"/>
      <c r="QOS132" s="118"/>
      <c r="QOT132" s="118"/>
      <c r="QOU132" s="118"/>
      <c r="QOV132" s="118"/>
      <c r="QOW132" s="118"/>
      <c r="QOX132" s="118"/>
      <c r="QOY132" s="118"/>
      <c r="QOZ132" s="118"/>
      <c r="QPA132" s="118"/>
      <c r="QPB132" s="118"/>
      <c r="QPC132" s="118"/>
      <c r="QPD132" s="118"/>
      <c r="QPE132" s="118"/>
      <c r="QPF132" s="118"/>
      <c r="QPG132" s="118"/>
      <c r="QPH132" s="118"/>
      <c r="QPI132" s="118"/>
      <c r="QPJ132" s="118"/>
      <c r="QPK132" s="118"/>
      <c r="QPL132" s="118"/>
      <c r="QPM132" s="118"/>
      <c r="QPN132" s="118"/>
      <c r="QPO132" s="118"/>
      <c r="QPP132" s="118"/>
      <c r="QPQ132" s="118"/>
      <c r="QPR132" s="118"/>
      <c r="QPS132" s="118"/>
      <c r="QPT132" s="118"/>
      <c r="QPU132" s="118"/>
      <c r="QPV132" s="118"/>
      <c r="QPW132" s="118"/>
      <c r="QPX132" s="118"/>
      <c r="QPY132" s="118"/>
      <c r="QPZ132" s="118"/>
      <c r="QQA132" s="118"/>
      <c r="QQB132" s="118"/>
      <c r="QQC132" s="118"/>
      <c r="QQD132" s="118"/>
      <c r="QQE132" s="118"/>
      <c r="QQF132" s="118"/>
      <c r="QQG132" s="118"/>
      <c r="QQH132" s="118"/>
      <c r="QQI132" s="118"/>
      <c r="QQJ132" s="118"/>
      <c r="QQK132" s="118"/>
      <c r="QQL132" s="118"/>
      <c r="QQM132" s="118"/>
      <c r="QQN132" s="118"/>
      <c r="QQO132" s="118"/>
      <c r="QQP132" s="118"/>
      <c r="QQQ132" s="118"/>
      <c r="QQR132" s="118"/>
      <c r="QQS132" s="118"/>
      <c r="QQT132" s="118"/>
      <c r="QQU132" s="118"/>
      <c r="QQV132" s="118"/>
      <c r="QQW132" s="118"/>
      <c r="QQX132" s="118"/>
      <c r="QQY132" s="118"/>
      <c r="QQZ132" s="118"/>
      <c r="QRA132" s="118"/>
      <c r="QRB132" s="118"/>
      <c r="QRC132" s="118"/>
      <c r="QRD132" s="118"/>
      <c r="QRE132" s="118"/>
      <c r="QRF132" s="118"/>
      <c r="QRG132" s="118"/>
      <c r="QRH132" s="118"/>
      <c r="QRI132" s="118"/>
      <c r="QRJ132" s="118"/>
      <c r="QRK132" s="118"/>
      <c r="QRL132" s="118"/>
      <c r="QRM132" s="118"/>
      <c r="QRN132" s="118"/>
      <c r="QRO132" s="118"/>
      <c r="QRP132" s="118"/>
      <c r="QRQ132" s="118"/>
      <c r="QRR132" s="118"/>
      <c r="QRS132" s="118"/>
      <c r="QRT132" s="118"/>
      <c r="QRU132" s="118"/>
      <c r="QRV132" s="118"/>
      <c r="QRW132" s="118"/>
      <c r="QRX132" s="118"/>
      <c r="QRY132" s="118"/>
      <c r="QRZ132" s="118"/>
      <c r="QSA132" s="118"/>
      <c r="QSB132" s="118"/>
      <c r="QSC132" s="118"/>
      <c r="QSD132" s="118"/>
      <c r="QSE132" s="118"/>
      <c r="QSF132" s="118"/>
      <c r="QSG132" s="118"/>
      <c r="QSH132" s="118"/>
      <c r="QSI132" s="118"/>
      <c r="QSJ132" s="118"/>
      <c r="QSK132" s="118"/>
      <c r="QSL132" s="118"/>
      <c r="QSM132" s="118"/>
      <c r="QSN132" s="118"/>
      <c r="QSO132" s="118"/>
      <c r="QSP132" s="118"/>
      <c r="QSQ132" s="118"/>
      <c r="QSR132" s="118"/>
      <c r="QSS132" s="118"/>
      <c r="QST132" s="118"/>
      <c r="QSU132" s="118"/>
      <c r="QSV132" s="118"/>
      <c r="QSW132" s="118"/>
      <c r="QSX132" s="118"/>
      <c r="QSY132" s="118"/>
      <c r="QSZ132" s="118"/>
      <c r="QTA132" s="118"/>
      <c r="QTB132" s="118"/>
      <c r="QTC132" s="118"/>
      <c r="QTD132" s="118"/>
      <c r="QTE132" s="118"/>
      <c r="QTF132" s="118"/>
      <c r="QTG132" s="118"/>
      <c r="QTH132" s="118"/>
      <c r="QTI132" s="118"/>
      <c r="QTJ132" s="118"/>
      <c r="QTK132" s="118"/>
      <c r="QTL132" s="118"/>
      <c r="QTM132" s="118"/>
      <c r="QTN132" s="118"/>
      <c r="QTO132" s="118"/>
      <c r="QTP132" s="118"/>
      <c r="QTQ132" s="118"/>
      <c r="QTR132" s="118"/>
      <c r="QTS132" s="118"/>
      <c r="QTT132" s="118"/>
      <c r="QTU132" s="118"/>
      <c r="QTV132" s="118"/>
      <c r="QTW132" s="118"/>
      <c r="QTX132" s="118"/>
      <c r="QTY132" s="118"/>
      <c r="QTZ132" s="118"/>
      <c r="QUA132" s="118"/>
      <c r="QUB132" s="118"/>
      <c r="QUC132" s="118"/>
      <c r="QUD132" s="118"/>
      <c r="QUE132" s="118"/>
      <c r="QUF132" s="118"/>
      <c r="QUG132" s="118"/>
      <c r="QUH132" s="118"/>
      <c r="QUI132" s="118"/>
      <c r="QUJ132" s="118"/>
      <c r="QUK132" s="118"/>
      <c r="QUL132" s="118"/>
      <c r="QUM132" s="118"/>
      <c r="QUN132" s="118"/>
      <c r="QUO132" s="118"/>
      <c r="QUP132" s="118"/>
      <c r="QUQ132" s="118"/>
      <c r="QUR132" s="118"/>
      <c r="QUS132" s="118"/>
      <c r="QUT132" s="118"/>
      <c r="QUU132" s="118"/>
      <c r="QUV132" s="118"/>
      <c r="QUW132" s="118"/>
      <c r="QUX132" s="118"/>
      <c r="QUY132" s="118"/>
      <c r="QUZ132" s="118"/>
      <c r="QVA132" s="118"/>
      <c r="QVB132" s="118"/>
      <c r="QVC132" s="118"/>
      <c r="QVD132" s="118"/>
      <c r="QVE132" s="118"/>
      <c r="QVF132" s="118"/>
      <c r="QVG132" s="118"/>
      <c r="QVH132" s="118"/>
      <c r="QVI132" s="118"/>
      <c r="QVJ132" s="118"/>
      <c r="QVK132" s="118"/>
      <c r="QVL132" s="118"/>
      <c r="QVM132" s="118"/>
      <c r="QVN132" s="118"/>
      <c r="QVO132" s="118"/>
      <c r="QVP132" s="118"/>
      <c r="QVQ132" s="118"/>
      <c r="QVR132" s="118"/>
      <c r="QVS132" s="118"/>
      <c r="QVT132" s="118"/>
      <c r="QVU132" s="118"/>
      <c r="QVV132" s="118"/>
      <c r="QVW132" s="118"/>
      <c r="QVX132" s="118"/>
      <c r="QVY132" s="118"/>
      <c r="QVZ132" s="118"/>
      <c r="QWA132" s="118"/>
      <c r="QWB132" s="118"/>
      <c r="QWC132" s="118"/>
      <c r="QWD132" s="118"/>
      <c r="QWE132" s="118"/>
      <c r="QWF132" s="118"/>
      <c r="QWG132" s="118"/>
      <c r="QWH132" s="118"/>
      <c r="QWI132" s="118"/>
      <c r="QWJ132" s="118"/>
      <c r="QWK132" s="118"/>
      <c r="QWL132" s="118"/>
      <c r="QWM132" s="118"/>
      <c r="QWN132" s="118"/>
      <c r="QWO132" s="118"/>
      <c r="QWP132" s="118"/>
      <c r="QWQ132" s="118"/>
      <c r="QWR132" s="118"/>
      <c r="QWS132" s="118"/>
      <c r="QWT132" s="118"/>
      <c r="QWU132" s="118"/>
      <c r="QWV132" s="118"/>
      <c r="QWW132" s="118"/>
      <c r="QWX132" s="118"/>
      <c r="QWY132" s="118"/>
      <c r="QWZ132" s="118"/>
      <c r="QXA132" s="118"/>
      <c r="QXB132" s="118"/>
      <c r="QXC132" s="118"/>
      <c r="QXD132" s="118"/>
      <c r="QXE132" s="118"/>
      <c r="QXF132" s="118"/>
      <c r="QXG132" s="118"/>
      <c r="QXH132" s="118"/>
      <c r="QXI132" s="118"/>
      <c r="QXJ132" s="118"/>
      <c r="QXK132" s="118"/>
      <c r="QXL132" s="118"/>
      <c r="QXM132" s="118"/>
      <c r="QXN132" s="118"/>
      <c r="QXO132" s="118"/>
      <c r="QXP132" s="118"/>
      <c r="QXQ132" s="118"/>
      <c r="QXR132" s="118"/>
      <c r="QXS132" s="118"/>
      <c r="QXT132" s="118"/>
      <c r="QXU132" s="118"/>
      <c r="QXV132" s="118"/>
      <c r="QXW132" s="118"/>
      <c r="QXX132" s="118"/>
      <c r="QXY132" s="118"/>
      <c r="QXZ132" s="118"/>
      <c r="QYA132" s="118"/>
      <c r="QYB132" s="118"/>
      <c r="QYC132" s="118"/>
      <c r="QYD132" s="118"/>
      <c r="QYE132" s="118"/>
      <c r="QYF132" s="118"/>
      <c r="QYG132" s="118"/>
      <c r="QYH132" s="118"/>
      <c r="QYI132" s="118"/>
      <c r="QYJ132" s="118"/>
      <c r="QYK132" s="118"/>
      <c r="QYL132" s="118"/>
      <c r="QYM132" s="118"/>
      <c r="QYN132" s="118"/>
      <c r="QYO132" s="118"/>
      <c r="QYP132" s="118"/>
      <c r="QYQ132" s="118"/>
      <c r="QYR132" s="118"/>
      <c r="QYS132" s="118"/>
      <c r="QYT132" s="118"/>
      <c r="QYU132" s="118"/>
      <c r="QYV132" s="118"/>
      <c r="QYW132" s="118"/>
      <c r="QYX132" s="118"/>
      <c r="QYY132" s="118"/>
      <c r="QYZ132" s="118"/>
      <c r="QZA132" s="118"/>
      <c r="QZB132" s="118"/>
      <c r="QZC132" s="118"/>
      <c r="QZD132" s="118"/>
      <c r="QZE132" s="118"/>
      <c r="QZF132" s="118"/>
      <c r="QZG132" s="118"/>
      <c r="QZH132" s="118"/>
      <c r="QZI132" s="118"/>
      <c r="QZJ132" s="118"/>
      <c r="QZK132" s="118"/>
      <c r="QZL132" s="118"/>
      <c r="QZM132" s="118"/>
      <c r="QZN132" s="118"/>
      <c r="QZO132" s="118"/>
      <c r="QZP132" s="118"/>
      <c r="QZQ132" s="118"/>
      <c r="QZR132" s="118"/>
      <c r="QZS132" s="118"/>
      <c r="QZT132" s="118"/>
      <c r="QZU132" s="118"/>
      <c r="QZV132" s="118"/>
      <c r="QZW132" s="118"/>
      <c r="QZX132" s="118"/>
      <c r="QZY132" s="118"/>
      <c r="QZZ132" s="118"/>
      <c r="RAA132" s="118"/>
      <c r="RAB132" s="118"/>
      <c r="RAC132" s="118"/>
      <c r="RAD132" s="118"/>
      <c r="RAE132" s="118"/>
      <c r="RAF132" s="118"/>
      <c r="RAG132" s="118"/>
      <c r="RAH132" s="118"/>
      <c r="RAI132" s="118"/>
      <c r="RAJ132" s="118"/>
      <c r="RAK132" s="118"/>
      <c r="RAL132" s="118"/>
      <c r="RAM132" s="118"/>
      <c r="RAN132" s="118"/>
      <c r="RAO132" s="118"/>
      <c r="RAP132" s="118"/>
      <c r="RAQ132" s="118"/>
      <c r="RAR132" s="118"/>
      <c r="RAS132" s="118"/>
      <c r="RAT132" s="118"/>
      <c r="RAU132" s="118"/>
      <c r="RAV132" s="118"/>
      <c r="RAW132" s="118"/>
      <c r="RAX132" s="118"/>
      <c r="RAY132" s="118"/>
      <c r="RAZ132" s="118"/>
      <c r="RBA132" s="118"/>
      <c r="RBB132" s="118"/>
      <c r="RBC132" s="118"/>
      <c r="RBD132" s="118"/>
      <c r="RBE132" s="118"/>
      <c r="RBF132" s="118"/>
      <c r="RBG132" s="118"/>
      <c r="RBH132" s="118"/>
      <c r="RBI132" s="118"/>
      <c r="RBJ132" s="118"/>
      <c r="RBK132" s="118"/>
      <c r="RBL132" s="118"/>
      <c r="RBM132" s="118"/>
      <c r="RBN132" s="118"/>
      <c r="RBO132" s="118"/>
      <c r="RBP132" s="118"/>
      <c r="RBQ132" s="118"/>
      <c r="RBR132" s="118"/>
      <c r="RBS132" s="118"/>
      <c r="RBT132" s="118"/>
      <c r="RBU132" s="118"/>
      <c r="RBV132" s="118"/>
      <c r="RBW132" s="118"/>
      <c r="RBX132" s="118"/>
      <c r="RBY132" s="118"/>
      <c r="RBZ132" s="118"/>
      <c r="RCA132" s="118"/>
      <c r="RCB132" s="118"/>
      <c r="RCC132" s="118"/>
      <c r="RCD132" s="118"/>
      <c r="RCE132" s="118"/>
      <c r="RCF132" s="118"/>
      <c r="RCG132" s="118"/>
      <c r="RCH132" s="118"/>
      <c r="RCI132" s="118"/>
      <c r="RCJ132" s="118"/>
      <c r="RCK132" s="118"/>
      <c r="RCL132" s="118"/>
      <c r="RCM132" s="118"/>
      <c r="RCN132" s="118"/>
      <c r="RCO132" s="118"/>
      <c r="RCP132" s="118"/>
      <c r="RCQ132" s="118"/>
      <c r="RCR132" s="118"/>
      <c r="RCS132" s="118"/>
      <c r="RCT132" s="118"/>
      <c r="RCU132" s="118"/>
      <c r="RCV132" s="118"/>
      <c r="RCW132" s="118"/>
      <c r="RCX132" s="118"/>
      <c r="RCY132" s="118"/>
      <c r="RCZ132" s="118"/>
      <c r="RDA132" s="118"/>
      <c r="RDB132" s="118"/>
      <c r="RDC132" s="118"/>
      <c r="RDD132" s="118"/>
      <c r="RDE132" s="118"/>
      <c r="RDF132" s="118"/>
      <c r="RDG132" s="118"/>
      <c r="RDH132" s="118"/>
      <c r="RDI132" s="118"/>
      <c r="RDJ132" s="118"/>
      <c r="RDK132" s="118"/>
      <c r="RDL132" s="118"/>
      <c r="RDM132" s="118"/>
      <c r="RDN132" s="118"/>
      <c r="RDO132" s="118"/>
      <c r="RDP132" s="118"/>
      <c r="RDQ132" s="118"/>
      <c r="RDR132" s="118"/>
      <c r="RDS132" s="118"/>
      <c r="RDT132" s="118"/>
      <c r="RDU132" s="118"/>
      <c r="RDV132" s="118"/>
      <c r="RDW132" s="118"/>
      <c r="RDX132" s="118"/>
      <c r="RDY132" s="118"/>
      <c r="RDZ132" s="118"/>
      <c r="REA132" s="118"/>
      <c r="REB132" s="118"/>
      <c r="REC132" s="118"/>
      <c r="RED132" s="118"/>
      <c r="REE132" s="118"/>
      <c r="REF132" s="118"/>
      <c r="REG132" s="118"/>
      <c r="REH132" s="118"/>
      <c r="REI132" s="118"/>
      <c r="REJ132" s="118"/>
      <c r="REK132" s="118"/>
      <c r="REL132" s="118"/>
      <c r="REM132" s="118"/>
      <c r="REN132" s="118"/>
      <c r="REO132" s="118"/>
      <c r="REP132" s="118"/>
      <c r="REQ132" s="118"/>
      <c r="RER132" s="118"/>
      <c r="RES132" s="118"/>
      <c r="RET132" s="118"/>
      <c r="REU132" s="118"/>
      <c r="REV132" s="118"/>
      <c r="REW132" s="118"/>
      <c r="REX132" s="118"/>
      <c r="REY132" s="118"/>
      <c r="REZ132" s="118"/>
      <c r="RFA132" s="118"/>
      <c r="RFB132" s="118"/>
      <c r="RFC132" s="118"/>
      <c r="RFD132" s="118"/>
      <c r="RFE132" s="118"/>
      <c r="RFF132" s="118"/>
      <c r="RFG132" s="118"/>
      <c r="RFH132" s="118"/>
      <c r="RFI132" s="118"/>
      <c r="RFJ132" s="118"/>
      <c r="RFK132" s="118"/>
      <c r="RFL132" s="118"/>
      <c r="RFM132" s="118"/>
      <c r="RFN132" s="118"/>
      <c r="RFO132" s="118"/>
      <c r="RFP132" s="118"/>
      <c r="RFQ132" s="118"/>
      <c r="RFR132" s="118"/>
      <c r="RFS132" s="118"/>
      <c r="RFT132" s="118"/>
      <c r="RFU132" s="118"/>
      <c r="RFV132" s="118"/>
      <c r="RFW132" s="118"/>
      <c r="RFX132" s="118"/>
      <c r="RFY132" s="118"/>
      <c r="RFZ132" s="118"/>
      <c r="RGA132" s="118"/>
      <c r="RGB132" s="118"/>
      <c r="RGC132" s="118"/>
      <c r="RGD132" s="118"/>
      <c r="RGE132" s="118"/>
      <c r="RGF132" s="118"/>
      <c r="RGG132" s="118"/>
      <c r="RGH132" s="118"/>
      <c r="RGI132" s="118"/>
      <c r="RGJ132" s="118"/>
      <c r="RGK132" s="118"/>
      <c r="RGL132" s="118"/>
      <c r="RGM132" s="118"/>
      <c r="RGN132" s="118"/>
      <c r="RGO132" s="118"/>
      <c r="RGP132" s="118"/>
      <c r="RGQ132" s="118"/>
      <c r="RGR132" s="118"/>
      <c r="RGS132" s="118"/>
      <c r="RGT132" s="118"/>
      <c r="RGU132" s="118"/>
      <c r="RGV132" s="118"/>
      <c r="RGW132" s="118"/>
      <c r="RGX132" s="118"/>
      <c r="RGY132" s="118"/>
      <c r="RGZ132" s="118"/>
      <c r="RHA132" s="118"/>
      <c r="RHB132" s="118"/>
      <c r="RHC132" s="118"/>
      <c r="RHD132" s="118"/>
      <c r="RHE132" s="118"/>
      <c r="RHF132" s="118"/>
      <c r="RHG132" s="118"/>
      <c r="RHH132" s="118"/>
      <c r="RHI132" s="118"/>
      <c r="RHJ132" s="118"/>
      <c r="RHK132" s="118"/>
      <c r="RHL132" s="118"/>
      <c r="RHM132" s="118"/>
      <c r="RHN132" s="118"/>
      <c r="RHO132" s="118"/>
      <c r="RHP132" s="118"/>
      <c r="RHQ132" s="118"/>
      <c r="RHR132" s="118"/>
      <c r="RHS132" s="118"/>
      <c r="RHT132" s="118"/>
      <c r="RHU132" s="118"/>
      <c r="RHV132" s="118"/>
      <c r="RHW132" s="118"/>
      <c r="RHX132" s="118"/>
      <c r="RHY132" s="118"/>
      <c r="RHZ132" s="118"/>
      <c r="RIA132" s="118"/>
      <c r="RIB132" s="118"/>
      <c r="RIC132" s="118"/>
      <c r="RID132" s="118"/>
      <c r="RIE132" s="118"/>
      <c r="RIF132" s="118"/>
      <c r="RIG132" s="118"/>
      <c r="RIH132" s="118"/>
      <c r="RII132" s="118"/>
      <c r="RIJ132" s="118"/>
      <c r="RIK132" s="118"/>
      <c r="RIL132" s="118"/>
      <c r="RIM132" s="118"/>
      <c r="RIN132" s="118"/>
      <c r="RIO132" s="118"/>
      <c r="RIP132" s="118"/>
      <c r="RIQ132" s="118"/>
      <c r="RIR132" s="118"/>
      <c r="RIS132" s="118"/>
      <c r="RIT132" s="118"/>
      <c r="RIU132" s="118"/>
      <c r="RIV132" s="118"/>
      <c r="RIW132" s="118"/>
      <c r="RIX132" s="118"/>
      <c r="RIY132" s="118"/>
      <c r="RIZ132" s="118"/>
      <c r="RJA132" s="118"/>
      <c r="RJB132" s="118"/>
      <c r="RJC132" s="118"/>
      <c r="RJD132" s="118"/>
      <c r="RJE132" s="118"/>
      <c r="RJF132" s="118"/>
      <c r="RJG132" s="118"/>
      <c r="RJH132" s="118"/>
      <c r="RJI132" s="118"/>
      <c r="RJJ132" s="118"/>
      <c r="RJK132" s="118"/>
      <c r="RJL132" s="118"/>
      <c r="RJM132" s="118"/>
      <c r="RJN132" s="118"/>
      <c r="RJO132" s="118"/>
      <c r="RJP132" s="118"/>
      <c r="RJQ132" s="118"/>
      <c r="RJR132" s="118"/>
      <c r="RJS132" s="118"/>
      <c r="RJT132" s="118"/>
      <c r="RJU132" s="118"/>
      <c r="RJV132" s="118"/>
      <c r="RJW132" s="118"/>
      <c r="RJX132" s="118"/>
      <c r="RJY132" s="118"/>
      <c r="RJZ132" s="118"/>
      <c r="RKA132" s="118"/>
      <c r="RKB132" s="118"/>
      <c r="RKC132" s="118"/>
      <c r="RKD132" s="118"/>
      <c r="RKE132" s="118"/>
      <c r="RKF132" s="118"/>
      <c r="RKG132" s="118"/>
      <c r="RKH132" s="118"/>
      <c r="RKI132" s="118"/>
      <c r="RKJ132" s="118"/>
      <c r="RKK132" s="118"/>
      <c r="RKL132" s="118"/>
      <c r="RKM132" s="118"/>
      <c r="RKN132" s="118"/>
      <c r="RKO132" s="118"/>
      <c r="RKP132" s="118"/>
      <c r="RKQ132" s="118"/>
      <c r="RKR132" s="118"/>
      <c r="RKS132" s="118"/>
      <c r="RKT132" s="118"/>
      <c r="RKU132" s="118"/>
      <c r="RKV132" s="118"/>
      <c r="RKW132" s="118"/>
      <c r="RKX132" s="118"/>
      <c r="RKY132" s="118"/>
      <c r="RKZ132" s="118"/>
      <c r="RLA132" s="118"/>
      <c r="RLB132" s="118"/>
      <c r="RLC132" s="118"/>
      <c r="RLD132" s="118"/>
      <c r="RLE132" s="118"/>
      <c r="RLF132" s="118"/>
      <c r="RLG132" s="118"/>
      <c r="RLH132" s="118"/>
      <c r="RLI132" s="118"/>
      <c r="RLJ132" s="118"/>
      <c r="RLK132" s="118"/>
      <c r="RLL132" s="118"/>
      <c r="RLM132" s="118"/>
      <c r="RLN132" s="118"/>
      <c r="RLO132" s="118"/>
      <c r="RLP132" s="118"/>
      <c r="RLQ132" s="118"/>
      <c r="RLR132" s="118"/>
      <c r="RLS132" s="118"/>
      <c r="RLT132" s="118"/>
      <c r="RLU132" s="118"/>
      <c r="RLV132" s="118"/>
      <c r="RLW132" s="118"/>
      <c r="RLX132" s="118"/>
      <c r="RLY132" s="118"/>
      <c r="RLZ132" s="118"/>
      <c r="RMA132" s="118"/>
      <c r="RMB132" s="118"/>
      <c r="RMC132" s="118"/>
      <c r="RMD132" s="118"/>
      <c r="RME132" s="118"/>
      <c r="RMF132" s="118"/>
      <c r="RMG132" s="118"/>
      <c r="RMH132" s="118"/>
      <c r="RMI132" s="118"/>
      <c r="RMJ132" s="118"/>
      <c r="RMK132" s="118"/>
      <c r="RML132" s="118"/>
      <c r="RMM132" s="118"/>
      <c r="RMN132" s="118"/>
      <c r="RMO132" s="118"/>
      <c r="RMP132" s="118"/>
      <c r="RMQ132" s="118"/>
      <c r="RMR132" s="118"/>
      <c r="RMS132" s="118"/>
      <c r="RMT132" s="118"/>
      <c r="RMU132" s="118"/>
      <c r="RMV132" s="118"/>
      <c r="RMW132" s="118"/>
      <c r="RMX132" s="118"/>
      <c r="RMY132" s="118"/>
      <c r="RMZ132" s="118"/>
      <c r="RNA132" s="118"/>
      <c r="RNB132" s="118"/>
      <c r="RNC132" s="118"/>
      <c r="RND132" s="118"/>
      <c r="RNE132" s="118"/>
      <c r="RNF132" s="118"/>
      <c r="RNG132" s="118"/>
      <c r="RNH132" s="118"/>
      <c r="RNI132" s="118"/>
      <c r="RNJ132" s="118"/>
      <c r="RNK132" s="118"/>
      <c r="RNL132" s="118"/>
      <c r="RNM132" s="118"/>
      <c r="RNN132" s="118"/>
      <c r="RNO132" s="118"/>
      <c r="RNP132" s="118"/>
      <c r="RNQ132" s="118"/>
      <c r="RNR132" s="118"/>
      <c r="RNS132" s="118"/>
      <c r="RNT132" s="118"/>
      <c r="RNU132" s="118"/>
      <c r="RNV132" s="118"/>
      <c r="RNW132" s="118"/>
      <c r="RNX132" s="118"/>
      <c r="RNY132" s="118"/>
      <c r="RNZ132" s="118"/>
      <c r="ROA132" s="118"/>
      <c r="ROB132" s="118"/>
      <c r="ROC132" s="118"/>
      <c r="ROD132" s="118"/>
      <c r="ROE132" s="118"/>
      <c r="ROF132" s="118"/>
      <c r="ROG132" s="118"/>
      <c r="ROH132" s="118"/>
      <c r="ROI132" s="118"/>
      <c r="ROJ132" s="118"/>
      <c r="ROK132" s="118"/>
      <c r="ROL132" s="118"/>
      <c r="ROM132" s="118"/>
      <c r="RON132" s="118"/>
      <c r="ROO132" s="118"/>
      <c r="ROP132" s="118"/>
      <c r="ROQ132" s="118"/>
      <c r="ROR132" s="118"/>
      <c r="ROS132" s="118"/>
      <c r="ROT132" s="118"/>
      <c r="ROU132" s="118"/>
      <c r="ROV132" s="118"/>
      <c r="ROW132" s="118"/>
      <c r="ROX132" s="118"/>
      <c r="ROY132" s="118"/>
      <c r="ROZ132" s="118"/>
      <c r="RPA132" s="118"/>
      <c r="RPB132" s="118"/>
      <c r="RPC132" s="118"/>
      <c r="RPD132" s="118"/>
      <c r="RPE132" s="118"/>
      <c r="RPF132" s="118"/>
      <c r="RPG132" s="118"/>
      <c r="RPH132" s="118"/>
      <c r="RPI132" s="118"/>
      <c r="RPJ132" s="118"/>
      <c r="RPK132" s="118"/>
      <c r="RPL132" s="118"/>
      <c r="RPM132" s="118"/>
      <c r="RPN132" s="118"/>
      <c r="RPO132" s="118"/>
      <c r="RPP132" s="118"/>
      <c r="RPQ132" s="118"/>
      <c r="RPR132" s="118"/>
      <c r="RPS132" s="118"/>
      <c r="RPT132" s="118"/>
      <c r="RPU132" s="118"/>
      <c r="RPV132" s="118"/>
      <c r="RPW132" s="118"/>
      <c r="RPX132" s="118"/>
      <c r="RPY132" s="118"/>
      <c r="RPZ132" s="118"/>
      <c r="RQA132" s="118"/>
      <c r="RQB132" s="118"/>
      <c r="RQC132" s="118"/>
      <c r="RQD132" s="118"/>
      <c r="RQE132" s="118"/>
      <c r="RQF132" s="118"/>
      <c r="RQG132" s="118"/>
      <c r="RQH132" s="118"/>
      <c r="RQI132" s="118"/>
      <c r="RQJ132" s="118"/>
      <c r="RQK132" s="118"/>
      <c r="RQL132" s="118"/>
      <c r="RQM132" s="118"/>
      <c r="RQN132" s="118"/>
      <c r="RQO132" s="118"/>
      <c r="RQP132" s="118"/>
      <c r="RQQ132" s="118"/>
      <c r="RQR132" s="118"/>
      <c r="RQS132" s="118"/>
      <c r="RQT132" s="118"/>
      <c r="RQU132" s="118"/>
      <c r="RQV132" s="118"/>
      <c r="RQW132" s="118"/>
      <c r="RQX132" s="118"/>
      <c r="RQY132" s="118"/>
      <c r="RQZ132" s="118"/>
      <c r="RRA132" s="118"/>
      <c r="RRB132" s="118"/>
      <c r="RRC132" s="118"/>
      <c r="RRD132" s="118"/>
      <c r="RRE132" s="118"/>
      <c r="RRF132" s="118"/>
      <c r="RRG132" s="118"/>
      <c r="RRH132" s="118"/>
      <c r="RRI132" s="118"/>
      <c r="RRJ132" s="118"/>
      <c r="RRK132" s="118"/>
      <c r="RRL132" s="118"/>
      <c r="RRM132" s="118"/>
      <c r="RRN132" s="118"/>
      <c r="RRO132" s="118"/>
      <c r="RRP132" s="118"/>
      <c r="RRQ132" s="118"/>
      <c r="RRR132" s="118"/>
      <c r="RRS132" s="118"/>
      <c r="RRT132" s="118"/>
      <c r="RRU132" s="118"/>
      <c r="RRV132" s="118"/>
      <c r="RRW132" s="118"/>
      <c r="RRX132" s="118"/>
      <c r="RRY132" s="118"/>
      <c r="RRZ132" s="118"/>
      <c r="RSA132" s="118"/>
      <c r="RSB132" s="118"/>
      <c r="RSC132" s="118"/>
      <c r="RSD132" s="118"/>
      <c r="RSE132" s="118"/>
      <c r="RSF132" s="118"/>
      <c r="RSG132" s="118"/>
      <c r="RSH132" s="118"/>
      <c r="RSI132" s="118"/>
      <c r="RSJ132" s="118"/>
      <c r="RSK132" s="118"/>
      <c r="RSL132" s="118"/>
      <c r="RSM132" s="118"/>
      <c r="RSN132" s="118"/>
      <c r="RSO132" s="118"/>
      <c r="RSP132" s="118"/>
      <c r="RSQ132" s="118"/>
      <c r="RSR132" s="118"/>
      <c r="RSS132" s="118"/>
      <c r="RST132" s="118"/>
      <c r="RSU132" s="118"/>
      <c r="RSV132" s="118"/>
      <c r="RSW132" s="118"/>
      <c r="RSX132" s="118"/>
      <c r="RSY132" s="118"/>
      <c r="RSZ132" s="118"/>
      <c r="RTA132" s="118"/>
      <c r="RTB132" s="118"/>
      <c r="RTC132" s="118"/>
      <c r="RTD132" s="118"/>
      <c r="RTE132" s="118"/>
      <c r="RTF132" s="118"/>
      <c r="RTG132" s="118"/>
      <c r="RTH132" s="118"/>
      <c r="RTI132" s="118"/>
      <c r="RTJ132" s="118"/>
      <c r="RTK132" s="118"/>
      <c r="RTL132" s="118"/>
      <c r="RTM132" s="118"/>
      <c r="RTN132" s="118"/>
      <c r="RTO132" s="118"/>
      <c r="RTP132" s="118"/>
      <c r="RTQ132" s="118"/>
      <c r="RTR132" s="118"/>
      <c r="RTS132" s="118"/>
      <c r="RTT132" s="118"/>
      <c r="RTU132" s="118"/>
      <c r="RTV132" s="118"/>
      <c r="RTW132" s="118"/>
      <c r="RTX132" s="118"/>
      <c r="RTY132" s="118"/>
      <c r="RTZ132" s="118"/>
      <c r="RUA132" s="118"/>
      <c r="RUB132" s="118"/>
      <c r="RUC132" s="118"/>
      <c r="RUD132" s="118"/>
      <c r="RUE132" s="118"/>
      <c r="RUF132" s="118"/>
      <c r="RUG132" s="118"/>
      <c r="RUH132" s="118"/>
      <c r="RUI132" s="118"/>
      <c r="RUJ132" s="118"/>
      <c r="RUK132" s="118"/>
      <c r="RUL132" s="118"/>
      <c r="RUM132" s="118"/>
      <c r="RUN132" s="118"/>
      <c r="RUO132" s="118"/>
      <c r="RUP132" s="118"/>
      <c r="RUQ132" s="118"/>
      <c r="RUR132" s="118"/>
      <c r="RUS132" s="118"/>
      <c r="RUT132" s="118"/>
      <c r="RUU132" s="118"/>
      <c r="RUV132" s="118"/>
      <c r="RUW132" s="118"/>
      <c r="RUX132" s="118"/>
      <c r="RUY132" s="118"/>
      <c r="RUZ132" s="118"/>
      <c r="RVA132" s="118"/>
      <c r="RVB132" s="118"/>
      <c r="RVC132" s="118"/>
      <c r="RVD132" s="118"/>
      <c r="RVE132" s="118"/>
      <c r="RVF132" s="118"/>
      <c r="RVG132" s="118"/>
      <c r="RVH132" s="118"/>
      <c r="RVI132" s="118"/>
      <c r="RVJ132" s="118"/>
      <c r="RVK132" s="118"/>
      <c r="RVL132" s="118"/>
      <c r="RVM132" s="118"/>
      <c r="RVN132" s="118"/>
      <c r="RVO132" s="118"/>
      <c r="RVP132" s="118"/>
      <c r="RVQ132" s="118"/>
      <c r="RVR132" s="118"/>
      <c r="RVS132" s="118"/>
      <c r="RVT132" s="118"/>
      <c r="RVU132" s="118"/>
      <c r="RVV132" s="118"/>
      <c r="RVW132" s="118"/>
      <c r="RVX132" s="118"/>
      <c r="RVY132" s="118"/>
      <c r="RVZ132" s="118"/>
      <c r="RWA132" s="118"/>
      <c r="RWB132" s="118"/>
      <c r="RWC132" s="118"/>
      <c r="RWD132" s="118"/>
      <c r="RWE132" s="118"/>
      <c r="RWF132" s="118"/>
      <c r="RWG132" s="118"/>
      <c r="RWH132" s="118"/>
      <c r="RWI132" s="118"/>
      <c r="RWJ132" s="118"/>
      <c r="RWK132" s="118"/>
      <c r="RWL132" s="118"/>
      <c r="RWM132" s="118"/>
      <c r="RWN132" s="118"/>
      <c r="RWO132" s="118"/>
      <c r="RWP132" s="118"/>
      <c r="RWQ132" s="118"/>
      <c r="RWR132" s="118"/>
      <c r="RWS132" s="118"/>
      <c r="RWT132" s="118"/>
      <c r="RWU132" s="118"/>
      <c r="RWV132" s="118"/>
      <c r="RWW132" s="118"/>
      <c r="RWX132" s="118"/>
      <c r="RWY132" s="118"/>
      <c r="RWZ132" s="118"/>
      <c r="RXA132" s="118"/>
      <c r="RXB132" s="118"/>
      <c r="RXC132" s="118"/>
      <c r="RXD132" s="118"/>
      <c r="RXE132" s="118"/>
      <c r="RXF132" s="118"/>
      <c r="RXG132" s="118"/>
      <c r="RXH132" s="118"/>
      <c r="RXI132" s="118"/>
      <c r="RXJ132" s="118"/>
      <c r="RXK132" s="118"/>
      <c r="RXL132" s="118"/>
      <c r="RXM132" s="118"/>
      <c r="RXN132" s="118"/>
      <c r="RXO132" s="118"/>
      <c r="RXP132" s="118"/>
      <c r="RXQ132" s="118"/>
      <c r="RXR132" s="118"/>
      <c r="RXS132" s="118"/>
      <c r="RXT132" s="118"/>
      <c r="RXU132" s="118"/>
      <c r="RXV132" s="118"/>
      <c r="RXW132" s="118"/>
      <c r="RXX132" s="118"/>
      <c r="RXY132" s="118"/>
      <c r="RXZ132" s="118"/>
      <c r="RYA132" s="118"/>
      <c r="RYB132" s="118"/>
      <c r="RYC132" s="118"/>
      <c r="RYD132" s="118"/>
      <c r="RYE132" s="118"/>
      <c r="RYF132" s="118"/>
      <c r="RYG132" s="118"/>
      <c r="RYH132" s="118"/>
      <c r="RYI132" s="118"/>
      <c r="RYJ132" s="118"/>
      <c r="RYK132" s="118"/>
      <c r="RYL132" s="118"/>
      <c r="RYM132" s="118"/>
      <c r="RYN132" s="118"/>
      <c r="RYO132" s="118"/>
      <c r="RYP132" s="118"/>
      <c r="RYQ132" s="118"/>
      <c r="RYR132" s="118"/>
      <c r="RYS132" s="118"/>
      <c r="RYT132" s="118"/>
      <c r="RYU132" s="118"/>
      <c r="RYV132" s="118"/>
      <c r="RYW132" s="118"/>
      <c r="RYX132" s="118"/>
      <c r="RYY132" s="118"/>
      <c r="RYZ132" s="118"/>
      <c r="RZA132" s="118"/>
      <c r="RZB132" s="118"/>
      <c r="RZC132" s="118"/>
      <c r="RZD132" s="118"/>
      <c r="RZE132" s="118"/>
      <c r="RZF132" s="118"/>
      <c r="RZG132" s="118"/>
      <c r="RZH132" s="118"/>
      <c r="RZI132" s="118"/>
      <c r="RZJ132" s="118"/>
      <c r="RZK132" s="118"/>
      <c r="RZL132" s="118"/>
      <c r="RZM132" s="118"/>
      <c r="RZN132" s="118"/>
      <c r="RZO132" s="118"/>
      <c r="RZP132" s="118"/>
      <c r="RZQ132" s="118"/>
      <c r="RZR132" s="118"/>
      <c r="RZS132" s="118"/>
      <c r="RZT132" s="118"/>
      <c r="RZU132" s="118"/>
      <c r="RZV132" s="118"/>
      <c r="RZW132" s="118"/>
      <c r="RZX132" s="118"/>
      <c r="RZY132" s="118"/>
      <c r="RZZ132" s="118"/>
      <c r="SAA132" s="118"/>
      <c r="SAB132" s="118"/>
      <c r="SAC132" s="118"/>
      <c r="SAD132" s="118"/>
      <c r="SAE132" s="118"/>
      <c r="SAF132" s="118"/>
      <c r="SAG132" s="118"/>
      <c r="SAH132" s="118"/>
      <c r="SAI132" s="118"/>
      <c r="SAJ132" s="118"/>
      <c r="SAK132" s="118"/>
      <c r="SAL132" s="118"/>
      <c r="SAM132" s="118"/>
      <c r="SAN132" s="118"/>
      <c r="SAO132" s="118"/>
      <c r="SAP132" s="118"/>
      <c r="SAQ132" s="118"/>
      <c r="SAR132" s="118"/>
      <c r="SAS132" s="118"/>
      <c r="SAT132" s="118"/>
      <c r="SAU132" s="118"/>
      <c r="SAV132" s="118"/>
      <c r="SAW132" s="118"/>
      <c r="SAX132" s="118"/>
      <c r="SAY132" s="118"/>
      <c r="SAZ132" s="118"/>
      <c r="SBA132" s="118"/>
      <c r="SBB132" s="118"/>
      <c r="SBC132" s="118"/>
      <c r="SBD132" s="118"/>
      <c r="SBE132" s="118"/>
      <c r="SBF132" s="118"/>
      <c r="SBG132" s="118"/>
      <c r="SBH132" s="118"/>
      <c r="SBI132" s="118"/>
      <c r="SBJ132" s="118"/>
      <c r="SBK132" s="118"/>
      <c r="SBL132" s="118"/>
      <c r="SBM132" s="118"/>
      <c r="SBN132" s="118"/>
      <c r="SBO132" s="118"/>
      <c r="SBP132" s="118"/>
      <c r="SBQ132" s="118"/>
      <c r="SBR132" s="118"/>
      <c r="SBS132" s="118"/>
      <c r="SBT132" s="118"/>
      <c r="SBU132" s="118"/>
      <c r="SBV132" s="118"/>
      <c r="SBW132" s="118"/>
      <c r="SBX132" s="118"/>
      <c r="SBY132" s="118"/>
      <c r="SBZ132" s="118"/>
      <c r="SCA132" s="118"/>
      <c r="SCB132" s="118"/>
      <c r="SCC132" s="118"/>
      <c r="SCD132" s="118"/>
      <c r="SCE132" s="118"/>
      <c r="SCF132" s="118"/>
      <c r="SCG132" s="118"/>
      <c r="SCH132" s="118"/>
      <c r="SCI132" s="118"/>
      <c r="SCJ132" s="118"/>
      <c r="SCK132" s="118"/>
      <c r="SCL132" s="118"/>
      <c r="SCM132" s="118"/>
      <c r="SCN132" s="118"/>
      <c r="SCO132" s="118"/>
      <c r="SCP132" s="118"/>
      <c r="SCQ132" s="118"/>
      <c r="SCR132" s="118"/>
      <c r="SCS132" s="118"/>
      <c r="SCT132" s="118"/>
      <c r="SCU132" s="118"/>
      <c r="SCV132" s="118"/>
      <c r="SCW132" s="118"/>
      <c r="SCX132" s="118"/>
      <c r="SCY132" s="118"/>
      <c r="SCZ132" s="118"/>
      <c r="SDA132" s="118"/>
      <c r="SDB132" s="118"/>
      <c r="SDC132" s="118"/>
      <c r="SDD132" s="118"/>
      <c r="SDE132" s="118"/>
      <c r="SDF132" s="118"/>
      <c r="SDG132" s="118"/>
      <c r="SDH132" s="118"/>
      <c r="SDI132" s="118"/>
      <c r="SDJ132" s="118"/>
      <c r="SDK132" s="118"/>
      <c r="SDL132" s="118"/>
      <c r="SDM132" s="118"/>
      <c r="SDN132" s="118"/>
      <c r="SDO132" s="118"/>
      <c r="SDP132" s="118"/>
      <c r="SDQ132" s="118"/>
      <c r="SDR132" s="118"/>
      <c r="SDS132" s="118"/>
      <c r="SDT132" s="118"/>
      <c r="SDU132" s="118"/>
      <c r="SDV132" s="118"/>
      <c r="SDW132" s="118"/>
      <c r="SDX132" s="118"/>
      <c r="SDY132" s="118"/>
      <c r="SDZ132" s="118"/>
      <c r="SEA132" s="118"/>
      <c r="SEB132" s="118"/>
      <c r="SEC132" s="118"/>
      <c r="SED132" s="118"/>
      <c r="SEE132" s="118"/>
      <c r="SEF132" s="118"/>
      <c r="SEG132" s="118"/>
      <c r="SEH132" s="118"/>
      <c r="SEI132" s="118"/>
      <c r="SEJ132" s="118"/>
      <c r="SEK132" s="118"/>
      <c r="SEL132" s="118"/>
      <c r="SEM132" s="118"/>
      <c r="SEN132" s="118"/>
      <c r="SEO132" s="118"/>
      <c r="SEP132" s="118"/>
      <c r="SEQ132" s="118"/>
      <c r="SER132" s="118"/>
      <c r="SES132" s="118"/>
      <c r="SET132" s="118"/>
      <c r="SEU132" s="118"/>
      <c r="SEV132" s="118"/>
      <c r="SEW132" s="118"/>
      <c r="SEX132" s="118"/>
      <c r="SEY132" s="118"/>
      <c r="SEZ132" s="118"/>
      <c r="SFA132" s="118"/>
      <c r="SFB132" s="118"/>
      <c r="SFC132" s="118"/>
      <c r="SFD132" s="118"/>
      <c r="SFE132" s="118"/>
      <c r="SFF132" s="118"/>
      <c r="SFG132" s="118"/>
      <c r="SFH132" s="118"/>
      <c r="SFI132" s="118"/>
      <c r="SFJ132" s="118"/>
      <c r="SFK132" s="118"/>
      <c r="SFL132" s="118"/>
      <c r="SFM132" s="118"/>
      <c r="SFN132" s="118"/>
      <c r="SFO132" s="118"/>
      <c r="SFP132" s="118"/>
      <c r="SFQ132" s="118"/>
      <c r="SFR132" s="118"/>
      <c r="SFS132" s="118"/>
      <c r="SFT132" s="118"/>
      <c r="SFU132" s="118"/>
      <c r="SFV132" s="118"/>
      <c r="SFW132" s="118"/>
      <c r="SFX132" s="118"/>
      <c r="SFY132" s="118"/>
      <c r="SFZ132" s="118"/>
      <c r="SGA132" s="118"/>
      <c r="SGB132" s="118"/>
      <c r="SGC132" s="118"/>
      <c r="SGD132" s="118"/>
      <c r="SGE132" s="118"/>
      <c r="SGF132" s="118"/>
      <c r="SGG132" s="118"/>
      <c r="SGH132" s="118"/>
      <c r="SGI132" s="118"/>
      <c r="SGJ132" s="118"/>
      <c r="SGK132" s="118"/>
      <c r="SGL132" s="118"/>
      <c r="SGM132" s="118"/>
      <c r="SGN132" s="118"/>
      <c r="SGO132" s="118"/>
      <c r="SGP132" s="118"/>
      <c r="SGQ132" s="118"/>
      <c r="SGR132" s="118"/>
      <c r="SGS132" s="118"/>
      <c r="SGT132" s="118"/>
      <c r="SGU132" s="118"/>
      <c r="SGV132" s="118"/>
      <c r="SGW132" s="118"/>
      <c r="SGX132" s="118"/>
      <c r="SGY132" s="118"/>
      <c r="SGZ132" s="118"/>
      <c r="SHA132" s="118"/>
      <c r="SHB132" s="118"/>
      <c r="SHC132" s="118"/>
      <c r="SHD132" s="118"/>
      <c r="SHE132" s="118"/>
      <c r="SHF132" s="118"/>
      <c r="SHG132" s="118"/>
      <c r="SHH132" s="118"/>
      <c r="SHI132" s="118"/>
      <c r="SHJ132" s="118"/>
      <c r="SHK132" s="118"/>
      <c r="SHL132" s="118"/>
      <c r="SHM132" s="118"/>
      <c r="SHN132" s="118"/>
      <c r="SHO132" s="118"/>
      <c r="SHP132" s="118"/>
      <c r="SHQ132" s="118"/>
      <c r="SHR132" s="118"/>
      <c r="SHS132" s="118"/>
      <c r="SHT132" s="118"/>
      <c r="SHU132" s="118"/>
      <c r="SHV132" s="118"/>
      <c r="SHW132" s="118"/>
      <c r="SHX132" s="118"/>
      <c r="SHY132" s="118"/>
      <c r="SHZ132" s="118"/>
      <c r="SIA132" s="118"/>
      <c r="SIB132" s="118"/>
      <c r="SIC132" s="118"/>
      <c r="SID132" s="118"/>
      <c r="SIE132" s="118"/>
      <c r="SIF132" s="118"/>
      <c r="SIG132" s="118"/>
      <c r="SIH132" s="118"/>
      <c r="SII132" s="118"/>
      <c r="SIJ132" s="118"/>
      <c r="SIK132" s="118"/>
      <c r="SIL132" s="118"/>
      <c r="SIM132" s="118"/>
      <c r="SIN132" s="118"/>
      <c r="SIO132" s="118"/>
      <c r="SIP132" s="118"/>
      <c r="SIQ132" s="118"/>
      <c r="SIR132" s="118"/>
      <c r="SIS132" s="118"/>
      <c r="SIT132" s="118"/>
      <c r="SIU132" s="118"/>
      <c r="SIV132" s="118"/>
      <c r="SIW132" s="118"/>
      <c r="SIX132" s="118"/>
      <c r="SIY132" s="118"/>
      <c r="SIZ132" s="118"/>
      <c r="SJA132" s="118"/>
      <c r="SJB132" s="118"/>
      <c r="SJC132" s="118"/>
      <c r="SJD132" s="118"/>
      <c r="SJE132" s="118"/>
      <c r="SJF132" s="118"/>
      <c r="SJG132" s="118"/>
      <c r="SJH132" s="118"/>
      <c r="SJI132" s="118"/>
      <c r="SJJ132" s="118"/>
      <c r="SJK132" s="118"/>
      <c r="SJL132" s="118"/>
      <c r="SJM132" s="118"/>
      <c r="SJN132" s="118"/>
      <c r="SJO132" s="118"/>
      <c r="SJP132" s="118"/>
      <c r="SJQ132" s="118"/>
      <c r="SJR132" s="118"/>
      <c r="SJS132" s="118"/>
      <c r="SJT132" s="118"/>
      <c r="SJU132" s="118"/>
      <c r="SJV132" s="118"/>
      <c r="SJW132" s="118"/>
      <c r="SJX132" s="118"/>
      <c r="SJY132" s="118"/>
      <c r="SJZ132" s="118"/>
      <c r="SKA132" s="118"/>
      <c r="SKB132" s="118"/>
      <c r="SKC132" s="118"/>
      <c r="SKD132" s="118"/>
      <c r="SKE132" s="118"/>
      <c r="SKF132" s="118"/>
      <c r="SKG132" s="118"/>
      <c r="SKH132" s="118"/>
      <c r="SKI132" s="118"/>
      <c r="SKJ132" s="118"/>
      <c r="SKK132" s="118"/>
      <c r="SKL132" s="118"/>
      <c r="SKM132" s="118"/>
      <c r="SKN132" s="118"/>
      <c r="SKO132" s="118"/>
      <c r="SKP132" s="118"/>
      <c r="SKQ132" s="118"/>
      <c r="SKR132" s="118"/>
      <c r="SKS132" s="118"/>
      <c r="SKT132" s="118"/>
      <c r="SKU132" s="118"/>
      <c r="SKV132" s="118"/>
      <c r="SKW132" s="118"/>
      <c r="SKX132" s="118"/>
      <c r="SKY132" s="118"/>
      <c r="SKZ132" s="118"/>
      <c r="SLA132" s="118"/>
      <c r="SLB132" s="118"/>
      <c r="SLC132" s="118"/>
      <c r="SLD132" s="118"/>
      <c r="SLE132" s="118"/>
      <c r="SLF132" s="118"/>
      <c r="SLG132" s="118"/>
      <c r="SLH132" s="118"/>
      <c r="SLI132" s="118"/>
      <c r="SLJ132" s="118"/>
      <c r="SLK132" s="118"/>
      <c r="SLL132" s="118"/>
      <c r="SLM132" s="118"/>
      <c r="SLN132" s="118"/>
      <c r="SLO132" s="118"/>
      <c r="SLP132" s="118"/>
      <c r="SLQ132" s="118"/>
      <c r="SLR132" s="118"/>
      <c r="SLS132" s="118"/>
      <c r="SLT132" s="118"/>
      <c r="SLU132" s="118"/>
      <c r="SLV132" s="118"/>
      <c r="SLW132" s="118"/>
      <c r="SLX132" s="118"/>
      <c r="SLY132" s="118"/>
      <c r="SLZ132" s="118"/>
      <c r="SMA132" s="118"/>
      <c r="SMB132" s="118"/>
      <c r="SMC132" s="118"/>
      <c r="SMD132" s="118"/>
      <c r="SME132" s="118"/>
      <c r="SMF132" s="118"/>
      <c r="SMG132" s="118"/>
      <c r="SMH132" s="118"/>
      <c r="SMI132" s="118"/>
      <c r="SMJ132" s="118"/>
      <c r="SMK132" s="118"/>
      <c r="SML132" s="118"/>
      <c r="SMM132" s="118"/>
      <c r="SMN132" s="118"/>
      <c r="SMO132" s="118"/>
      <c r="SMP132" s="118"/>
      <c r="SMQ132" s="118"/>
      <c r="SMR132" s="118"/>
      <c r="SMS132" s="118"/>
      <c r="SMT132" s="118"/>
      <c r="SMU132" s="118"/>
      <c r="SMV132" s="118"/>
      <c r="SMW132" s="118"/>
      <c r="SMX132" s="118"/>
      <c r="SMY132" s="118"/>
      <c r="SMZ132" s="118"/>
      <c r="SNA132" s="118"/>
      <c r="SNB132" s="118"/>
      <c r="SNC132" s="118"/>
      <c r="SND132" s="118"/>
      <c r="SNE132" s="118"/>
      <c r="SNF132" s="118"/>
      <c r="SNG132" s="118"/>
      <c r="SNH132" s="118"/>
      <c r="SNI132" s="118"/>
      <c r="SNJ132" s="118"/>
      <c r="SNK132" s="118"/>
      <c r="SNL132" s="118"/>
      <c r="SNM132" s="118"/>
      <c r="SNN132" s="118"/>
      <c r="SNO132" s="118"/>
      <c r="SNP132" s="118"/>
      <c r="SNQ132" s="118"/>
      <c r="SNR132" s="118"/>
      <c r="SNS132" s="118"/>
      <c r="SNT132" s="118"/>
      <c r="SNU132" s="118"/>
      <c r="SNV132" s="118"/>
      <c r="SNW132" s="118"/>
      <c r="SNX132" s="118"/>
      <c r="SNY132" s="118"/>
      <c r="SNZ132" s="118"/>
      <c r="SOA132" s="118"/>
      <c r="SOB132" s="118"/>
      <c r="SOC132" s="118"/>
      <c r="SOD132" s="118"/>
      <c r="SOE132" s="118"/>
      <c r="SOF132" s="118"/>
      <c r="SOG132" s="118"/>
      <c r="SOH132" s="118"/>
      <c r="SOI132" s="118"/>
      <c r="SOJ132" s="118"/>
      <c r="SOK132" s="118"/>
      <c r="SOL132" s="118"/>
      <c r="SOM132" s="118"/>
      <c r="SON132" s="118"/>
      <c r="SOO132" s="118"/>
      <c r="SOP132" s="118"/>
      <c r="SOQ132" s="118"/>
      <c r="SOR132" s="118"/>
      <c r="SOS132" s="118"/>
      <c r="SOT132" s="118"/>
      <c r="SOU132" s="118"/>
      <c r="SOV132" s="118"/>
      <c r="SOW132" s="118"/>
      <c r="SOX132" s="118"/>
      <c r="SOY132" s="118"/>
      <c r="SOZ132" s="118"/>
      <c r="SPA132" s="118"/>
      <c r="SPB132" s="118"/>
      <c r="SPC132" s="118"/>
      <c r="SPD132" s="118"/>
      <c r="SPE132" s="118"/>
      <c r="SPF132" s="118"/>
      <c r="SPG132" s="118"/>
      <c r="SPH132" s="118"/>
      <c r="SPI132" s="118"/>
      <c r="SPJ132" s="118"/>
      <c r="SPK132" s="118"/>
      <c r="SPL132" s="118"/>
      <c r="SPM132" s="118"/>
      <c r="SPN132" s="118"/>
      <c r="SPO132" s="118"/>
      <c r="SPP132" s="118"/>
      <c r="SPQ132" s="118"/>
      <c r="SPR132" s="118"/>
      <c r="SPS132" s="118"/>
      <c r="SPT132" s="118"/>
      <c r="SPU132" s="118"/>
      <c r="SPV132" s="118"/>
      <c r="SPW132" s="118"/>
      <c r="SPX132" s="118"/>
      <c r="SPY132" s="118"/>
      <c r="SPZ132" s="118"/>
      <c r="SQA132" s="118"/>
      <c r="SQB132" s="118"/>
      <c r="SQC132" s="118"/>
      <c r="SQD132" s="118"/>
      <c r="SQE132" s="118"/>
      <c r="SQF132" s="118"/>
      <c r="SQG132" s="118"/>
      <c r="SQH132" s="118"/>
      <c r="SQI132" s="118"/>
      <c r="SQJ132" s="118"/>
      <c r="SQK132" s="118"/>
      <c r="SQL132" s="118"/>
      <c r="SQM132" s="118"/>
      <c r="SQN132" s="118"/>
      <c r="SQO132" s="118"/>
      <c r="SQP132" s="118"/>
      <c r="SQQ132" s="118"/>
      <c r="SQR132" s="118"/>
      <c r="SQS132" s="118"/>
      <c r="SQT132" s="118"/>
      <c r="SQU132" s="118"/>
      <c r="SQV132" s="118"/>
      <c r="SQW132" s="118"/>
      <c r="SQX132" s="118"/>
      <c r="SQY132" s="118"/>
      <c r="SQZ132" s="118"/>
      <c r="SRA132" s="118"/>
      <c r="SRB132" s="118"/>
      <c r="SRC132" s="118"/>
      <c r="SRD132" s="118"/>
      <c r="SRE132" s="118"/>
      <c r="SRF132" s="118"/>
      <c r="SRG132" s="118"/>
      <c r="SRH132" s="118"/>
      <c r="SRI132" s="118"/>
      <c r="SRJ132" s="118"/>
      <c r="SRK132" s="118"/>
      <c r="SRL132" s="118"/>
      <c r="SRM132" s="118"/>
      <c r="SRN132" s="118"/>
      <c r="SRO132" s="118"/>
      <c r="SRP132" s="118"/>
      <c r="SRQ132" s="118"/>
      <c r="SRR132" s="118"/>
      <c r="SRS132" s="118"/>
      <c r="SRT132" s="118"/>
      <c r="SRU132" s="118"/>
      <c r="SRV132" s="118"/>
      <c r="SRW132" s="118"/>
      <c r="SRX132" s="118"/>
      <c r="SRY132" s="118"/>
      <c r="SRZ132" s="118"/>
      <c r="SSA132" s="118"/>
      <c r="SSB132" s="118"/>
      <c r="SSC132" s="118"/>
      <c r="SSD132" s="118"/>
      <c r="SSE132" s="118"/>
      <c r="SSF132" s="118"/>
      <c r="SSG132" s="118"/>
      <c r="SSH132" s="118"/>
      <c r="SSI132" s="118"/>
      <c r="SSJ132" s="118"/>
      <c r="SSK132" s="118"/>
      <c r="SSL132" s="118"/>
      <c r="SSM132" s="118"/>
      <c r="SSN132" s="118"/>
      <c r="SSO132" s="118"/>
      <c r="SSP132" s="118"/>
      <c r="SSQ132" s="118"/>
      <c r="SSR132" s="118"/>
      <c r="SSS132" s="118"/>
      <c r="SST132" s="118"/>
      <c r="SSU132" s="118"/>
      <c r="SSV132" s="118"/>
      <c r="SSW132" s="118"/>
      <c r="SSX132" s="118"/>
      <c r="SSY132" s="118"/>
      <c r="SSZ132" s="118"/>
      <c r="STA132" s="118"/>
      <c r="STB132" s="118"/>
      <c r="STC132" s="118"/>
      <c r="STD132" s="118"/>
      <c r="STE132" s="118"/>
      <c r="STF132" s="118"/>
      <c r="STG132" s="118"/>
      <c r="STH132" s="118"/>
      <c r="STI132" s="118"/>
      <c r="STJ132" s="118"/>
      <c r="STK132" s="118"/>
      <c r="STL132" s="118"/>
      <c r="STM132" s="118"/>
      <c r="STN132" s="118"/>
      <c r="STO132" s="118"/>
      <c r="STP132" s="118"/>
      <c r="STQ132" s="118"/>
      <c r="STR132" s="118"/>
      <c r="STS132" s="118"/>
      <c r="STT132" s="118"/>
      <c r="STU132" s="118"/>
      <c r="STV132" s="118"/>
      <c r="STW132" s="118"/>
      <c r="STX132" s="118"/>
      <c r="STY132" s="118"/>
      <c r="STZ132" s="118"/>
      <c r="SUA132" s="118"/>
      <c r="SUB132" s="118"/>
      <c r="SUC132" s="118"/>
      <c r="SUD132" s="118"/>
      <c r="SUE132" s="118"/>
      <c r="SUF132" s="118"/>
      <c r="SUG132" s="118"/>
      <c r="SUH132" s="118"/>
      <c r="SUI132" s="118"/>
      <c r="SUJ132" s="118"/>
      <c r="SUK132" s="118"/>
      <c r="SUL132" s="118"/>
      <c r="SUM132" s="118"/>
      <c r="SUN132" s="118"/>
      <c r="SUO132" s="118"/>
      <c r="SUP132" s="118"/>
      <c r="SUQ132" s="118"/>
      <c r="SUR132" s="118"/>
      <c r="SUS132" s="118"/>
      <c r="SUT132" s="118"/>
      <c r="SUU132" s="118"/>
      <c r="SUV132" s="118"/>
      <c r="SUW132" s="118"/>
      <c r="SUX132" s="118"/>
      <c r="SUY132" s="118"/>
      <c r="SUZ132" s="118"/>
      <c r="SVA132" s="118"/>
      <c r="SVB132" s="118"/>
      <c r="SVC132" s="118"/>
      <c r="SVD132" s="118"/>
      <c r="SVE132" s="118"/>
      <c r="SVF132" s="118"/>
      <c r="SVG132" s="118"/>
      <c r="SVH132" s="118"/>
      <c r="SVI132" s="118"/>
      <c r="SVJ132" s="118"/>
      <c r="SVK132" s="118"/>
      <c r="SVL132" s="118"/>
      <c r="SVM132" s="118"/>
      <c r="SVN132" s="118"/>
      <c r="SVO132" s="118"/>
      <c r="SVP132" s="118"/>
      <c r="SVQ132" s="118"/>
      <c r="SVR132" s="118"/>
      <c r="SVS132" s="118"/>
      <c r="SVT132" s="118"/>
      <c r="SVU132" s="118"/>
      <c r="SVV132" s="118"/>
      <c r="SVW132" s="118"/>
      <c r="SVX132" s="118"/>
      <c r="SVY132" s="118"/>
      <c r="SVZ132" s="118"/>
      <c r="SWA132" s="118"/>
      <c r="SWB132" s="118"/>
      <c r="SWC132" s="118"/>
      <c r="SWD132" s="118"/>
      <c r="SWE132" s="118"/>
      <c r="SWF132" s="118"/>
      <c r="SWG132" s="118"/>
      <c r="SWH132" s="118"/>
      <c r="SWI132" s="118"/>
      <c r="SWJ132" s="118"/>
      <c r="SWK132" s="118"/>
      <c r="SWL132" s="118"/>
      <c r="SWM132" s="118"/>
      <c r="SWN132" s="118"/>
      <c r="SWO132" s="118"/>
      <c r="SWP132" s="118"/>
      <c r="SWQ132" s="118"/>
      <c r="SWR132" s="118"/>
      <c r="SWS132" s="118"/>
      <c r="SWT132" s="118"/>
      <c r="SWU132" s="118"/>
      <c r="SWV132" s="118"/>
      <c r="SWW132" s="118"/>
      <c r="SWX132" s="118"/>
      <c r="SWY132" s="118"/>
      <c r="SWZ132" s="118"/>
      <c r="SXA132" s="118"/>
      <c r="SXB132" s="118"/>
      <c r="SXC132" s="118"/>
      <c r="SXD132" s="118"/>
      <c r="SXE132" s="118"/>
      <c r="SXF132" s="118"/>
      <c r="SXG132" s="118"/>
      <c r="SXH132" s="118"/>
      <c r="SXI132" s="118"/>
      <c r="SXJ132" s="118"/>
      <c r="SXK132" s="118"/>
      <c r="SXL132" s="118"/>
      <c r="SXM132" s="118"/>
      <c r="SXN132" s="118"/>
      <c r="SXO132" s="118"/>
      <c r="SXP132" s="118"/>
      <c r="SXQ132" s="118"/>
      <c r="SXR132" s="118"/>
      <c r="SXS132" s="118"/>
      <c r="SXT132" s="118"/>
      <c r="SXU132" s="118"/>
      <c r="SXV132" s="118"/>
      <c r="SXW132" s="118"/>
      <c r="SXX132" s="118"/>
      <c r="SXY132" s="118"/>
      <c r="SXZ132" s="118"/>
      <c r="SYA132" s="118"/>
      <c r="SYB132" s="118"/>
      <c r="SYC132" s="118"/>
      <c r="SYD132" s="118"/>
      <c r="SYE132" s="118"/>
      <c r="SYF132" s="118"/>
      <c r="SYG132" s="118"/>
      <c r="SYH132" s="118"/>
      <c r="SYI132" s="118"/>
      <c r="SYJ132" s="118"/>
      <c r="SYK132" s="118"/>
      <c r="SYL132" s="118"/>
      <c r="SYM132" s="118"/>
      <c r="SYN132" s="118"/>
      <c r="SYO132" s="118"/>
      <c r="SYP132" s="118"/>
      <c r="SYQ132" s="118"/>
      <c r="SYR132" s="118"/>
      <c r="SYS132" s="118"/>
      <c r="SYT132" s="118"/>
      <c r="SYU132" s="118"/>
      <c r="SYV132" s="118"/>
      <c r="SYW132" s="118"/>
      <c r="SYX132" s="118"/>
      <c r="SYY132" s="118"/>
      <c r="SYZ132" s="118"/>
      <c r="SZA132" s="118"/>
      <c r="SZB132" s="118"/>
      <c r="SZC132" s="118"/>
      <c r="SZD132" s="118"/>
      <c r="SZE132" s="118"/>
      <c r="SZF132" s="118"/>
      <c r="SZG132" s="118"/>
      <c r="SZH132" s="118"/>
      <c r="SZI132" s="118"/>
      <c r="SZJ132" s="118"/>
      <c r="SZK132" s="118"/>
      <c r="SZL132" s="118"/>
      <c r="SZM132" s="118"/>
      <c r="SZN132" s="118"/>
      <c r="SZO132" s="118"/>
      <c r="SZP132" s="118"/>
      <c r="SZQ132" s="118"/>
      <c r="SZR132" s="118"/>
      <c r="SZS132" s="118"/>
      <c r="SZT132" s="118"/>
      <c r="SZU132" s="118"/>
      <c r="SZV132" s="118"/>
      <c r="SZW132" s="118"/>
      <c r="SZX132" s="118"/>
      <c r="SZY132" s="118"/>
      <c r="SZZ132" s="118"/>
      <c r="TAA132" s="118"/>
      <c r="TAB132" s="118"/>
      <c r="TAC132" s="118"/>
      <c r="TAD132" s="118"/>
      <c r="TAE132" s="118"/>
      <c r="TAF132" s="118"/>
      <c r="TAG132" s="118"/>
      <c r="TAH132" s="118"/>
      <c r="TAI132" s="118"/>
      <c r="TAJ132" s="118"/>
      <c r="TAK132" s="118"/>
      <c r="TAL132" s="118"/>
      <c r="TAM132" s="118"/>
      <c r="TAN132" s="118"/>
      <c r="TAO132" s="118"/>
      <c r="TAP132" s="118"/>
      <c r="TAQ132" s="118"/>
      <c r="TAR132" s="118"/>
      <c r="TAS132" s="118"/>
      <c r="TAT132" s="118"/>
      <c r="TAU132" s="118"/>
      <c r="TAV132" s="118"/>
      <c r="TAW132" s="118"/>
      <c r="TAX132" s="118"/>
      <c r="TAY132" s="118"/>
      <c r="TAZ132" s="118"/>
      <c r="TBA132" s="118"/>
      <c r="TBB132" s="118"/>
      <c r="TBC132" s="118"/>
      <c r="TBD132" s="118"/>
      <c r="TBE132" s="118"/>
      <c r="TBF132" s="118"/>
      <c r="TBG132" s="118"/>
      <c r="TBH132" s="118"/>
      <c r="TBI132" s="118"/>
      <c r="TBJ132" s="118"/>
      <c r="TBK132" s="118"/>
      <c r="TBL132" s="118"/>
      <c r="TBM132" s="118"/>
      <c r="TBN132" s="118"/>
      <c r="TBO132" s="118"/>
      <c r="TBP132" s="118"/>
      <c r="TBQ132" s="118"/>
      <c r="TBR132" s="118"/>
      <c r="TBS132" s="118"/>
      <c r="TBT132" s="118"/>
      <c r="TBU132" s="118"/>
      <c r="TBV132" s="118"/>
      <c r="TBW132" s="118"/>
      <c r="TBX132" s="118"/>
      <c r="TBY132" s="118"/>
      <c r="TBZ132" s="118"/>
      <c r="TCA132" s="118"/>
      <c r="TCB132" s="118"/>
      <c r="TCC132" s="118"/>
      <c r="TCD132" s="118"/>
      <c r="TCE132" s="118"/>
      <c r="TCF132" s="118"/>
      <c r="TCG132" s="118"/>
      <c r="TCH132" s="118"/>
      <c r="TCI132" s="118"/>
      <c r="TCJ132" s="118"/>
      <c r="TCK132" s="118"/>
      <c r="TCL132" s="118"/>
      <c r="TCM132" s="118"/>
      <c r="TCN132" s="118"/>
      <c r="TCO132" s="118"/>
      <c r="TCP132" s="118"/>
      <c r="TCQ132" s="118"/>
      <c r="TCR132" s="118"/>
      <c r="TCS132" s="118"/>
      <c r="TCT132" s="118"/>
      <c r="TCU132" s="118"/>
      <c r="TCV132" s="118"/>
      <c r="TCW132" s="118"/>
      <c r="TCX132" s="118"/>
      <c r="TCY132" s="118"/>
      <c r="TCZ132" s="118"/>
      <c r="TDA132" s="118"/>
      <c r="TDB132" s="118"/>
      <c r="TDC132" s="118"/>
      <c r="TDD132" s="118"/>
      <c r="TDE132" s="118"/>
      <c r="TDF132" s="118"/>
      <c r="TDG132" s="118"/>
      <c r="TDH132" s="118"/>
      <c r="TDI132" s="118"/>
      <c r="TDJ132" s="118"/>
      <c r="TDK132" s="118"/>
      <c r="TDL132" s="118"/>
      <c r="TDM132" s="118"/>
      <c r="TDN132" s="118"/>
      <c r="TDO132" s="118"/>
      <c r="TDP132" s="118"/>
      <c r="TDQ132" s="118"/>
      <c r="TDR132" s="118"/>
      <c r="TDS132" s="118"/>
      <c r="TDT132" s="118"/>
      <c r="TDU132" s="118"/>
      <c r="TDV132" s="118"/>
      <c r="TDW132" s="118"/>
      <c r="TDX132" s="118"/>
      <c r="TDY132" s="118"/>
      <c r="TDZ132" s="118"/>
      <c r="TEA132" s="118"/>
      <c r="TEB132" s="118"/>
      <c r="TEC132" s="118"/>
      <c r="TED132" s="118"/>
      <c r="TEE132" s="118"/>
      <c r="TEF132" s="118"/>
      <c r="TEG132" s="118"/>
      <c r="TEH132" s="118"/>
      <c r="TEI132" s="118"/>
      <c r="TEJ132" s="118"/>
      <c r="TEK132" s="118"/>
      <c r="TEL132" s="118"/>
      <c r="TEM132" s="118"/>
      <c r="TEN132" s="118"/>
      <c r="TEO132" s="118"/>
      <c r="TEP132" s="118"/>
      <c r="TEQ132" s="118"/>
      <c r="TER132" s="118"/>
      <c r="TES132" s="118"/>
      <c r="TET132" s="118"/>
      <c r="TEU132" s="118"/>
      <c r="TEV132" s="118"/>
      <c r="TEW132" s="118"/>
      <c r="TEX132" s="118"/>
      <c r="TEY132" s="118"/>
      <c r="TEZ132" s="118"/>
      <c r="TFA132" s="118"/>
      <c r="TFB132" s="118"/>
      <c r="TFC132" s="118"/>
      <c r="TFD132" s="118"/>
      <c r="TFE132" s="118"/>
      <c r="TFF132" s="118"/>
      <c r="TFG132" s="118"/>
      <c r="TFH132" s="118"/>
      <c r="TFI132" s="118"/>
      <c r="TFJ132" s="118"/>
      <c r="TFK132" s="118"/>
      <c r="TFL132" s="118"/>
      <c r="TFM132" s="118"/>
      <c r="TFN132" s="118"/>
      <c r="TFO132" s="118"/>
      <c r="TFP132" s="118"/>
      <c r="TFQ132" s="118"/>
      <c r="TFR132" s="118"/>
      <c r="TFS132" s="118"/>
      <c r="TFT132" s="118"/>
      <c r="TFU132" s="118"/>
      <c r="TFV132" s="118"/>
      <c r="TFW132" s="118"/>
      <c r="TFX132" s="118"/>
      <c r="TFY132" s="118"/>
      <c r="TFZ132" s="118"/>
      <c r="TGA132" s="118"/>
      <c r="TGB132" s="118"/>
      <c r="TGC132" s="118"/>
      <c r="TGD132" s="118"/>
      <c r="TGE132" s="118"/>
      <c r="TGF132" s="118"/>
      <c r="TGG132" s="118"/>
      <c r="TGH132" s="118"/>
      <c r="TGI132" s="118"/>
      <c r="TGJ132" s="118"/>
      <c r="TGK132" s="118"/>
      <c r="TGL132" s="118"/>
      <c r="TGM132" s="118"/>
      <c r="TGN132" s="118"/>
      <c r="TGO132" s="118"/>
      <c r="TGP132" s="118"/>
      <c r="TGQ132" s="118"/>
      <c r="TGR132" s="118"/>
      <c r="TGS132" s="118"/>
      <c r="TGT132" s="118"/>
      <c r="TGU132" s="118"/>
      <c r="TGV132" s="118"/>
      <c r="TGW132" s="118"/>
      <c r="TGX132" s="118"/>
      <c r="TGY132" s="118"/>
      <c r="TGZ132" s="118"/>
      <c r="THA132" s="118"/>
      <c r="THB132" s="118"/>
      <c r="THC132" s="118"/>
      <c r="THD132" s="118"/>
      <c r="THE132" s="118"/>
      <c r="THF132" s="118"/>
      <c r="THG132" s="118"/>
      <c r="THH132" s="118"/>
      <c r="THI132" s="118"/>
      <c r="THJ132" s="118"/>
      <c r="THK132" s="118"/>
      <c r="THL132" s="118"/>
      <c r="THM132" s="118"/>
      <c r="THN132" s="118"/>
      <c r="THO132" s="118"/>
      <c r="THP132" s="118"/>
      <c r="THQ132" s="118"/>
      <c r="THR132" s="118"/>
      <c r="THS132" s="118"/>
      <c r="THT132" s="118"/>
      <c r="THU132" s="118"/>
      <c r="THV132" s="118"/>
      <c r="THW132" s="118"/>
      <c r="THX132" s="118"/>
      <c r="THY132" s="118"/>
      <c r="THZ132" s="118"/>
      <c r="TIA132" s="118"/>
      <c r="TIB132" s="118"/>
      <c r="TIC132" s="118"/>
      <c r="TID132" s="118"/>
      <c r="TIE132" s="118"/>
      <c r="TIF132" s="118"/>
      <c r="TIG132" s="118"/>
      <c r="TIH132" s="118"/>
      <c r="TII132" s="118"/>
      <c r="TIJ132" s="118"/>
      <c r="TIK132" s="118"/>
      <c r="TIL132" s="118"/>
      <c r="TIM132" s="118"/>
      <c r="TIN132" s="118"/>
      <c r="TIO132" s="118"/>
      <c r="TIP132" s="118"/>
      <c r="TIQ132" s="118"/>
      <c r="TIR132" s="118"/>
      <c r="TIS132" s="118"/>
      <c r="TIT132" s="118"/>
      <c r="TIU132" s="118"/>
      <c r="TIV132" s="118"/>
      <c r="TIW132" s="118"/>
      <c r="TIX132" s="118"/>
      <c r="TIY132" s="118"/>
      <c r="TIZ132" s="118"/>
      <c r="TJA132" s="118"/>
      <c r="TJB132" s="118"/>
      <c r="TJC132" s="118"/>
      <c r="TJD132" s="118"/>
      <c r="TJE132" s="118"/>
      <c r="TJF132" s="118"/>
      <c r="TJG132" s="118"/>
      <c r="TJH132" s="118"/>
      <c r="TJI132" s="118"/>
      <c r="TJJ132" s="118"/>
      <c r="TJK132" s="118"/>
      <c r="TJL132" s="118"/>
      <c r="TJM132" s="118"/>
      <c r="TJN132" s="118"/>
      <c r="TJO132" s="118"/>
      <c r="TJP132" s="118"/>
      <c r="TJQ132" s="118"/>
      <c r="TJR132" s="118"/>
      <c r="TJS132" s="118"/>
      <c r="TJT132" s="118"/>
      <c r="TJU132" s="118"/>
      <c r="TJV132" s="118"/>
      <c r="TJW132" s="118"/>
      <c r="TJX132" s="118"/>
      <c r="TJY132" s="118"/>
      <c r="TJZ132" s="118"/>
      <c r="TKA132" s="118"/>
      <c r="TKB132" s="118"/>
      <c r="TKC132" s="118"/>
      <c r="TKD132" s="118"/>
      <c r="TKE132" s="118"/>
      <c r="TKF132" s="118"/>
      <c r="TKG132" s="118"/>
      <c r="TKH132" s="118"/>
      <c r="TKI132" s="118"/>
      <c r="TKJ132" s="118"/>
      <c r="TKK132" s="118"/>
      <c r="TKL132" s="118"/>
      <c r="TKM132" s="118"/>
      <c r="TKN132" s="118"/>
      <c r="TKO132" s="118"/>
      <c r="TKP132" s="118"/>
      <c r="TKQ132" s="118"/>
      <c r="TKR132" s="118"/>
      <c r="TKS132" s="118"/>
      <c r="TKT132" s="118"/>
      <c r="TKU132" s="118"/>
      <c r="TKV132" s="118"/>
      <c r="TKW132" s="118"/>
      <c r="TKX132" s="118"/>
      <c r="TKY132" s="118"/>
      <c r="TKZ132" s="118"/>
      <c r="TLA132" s="118"/>
      <c r="TLB132" s="118"/>
      <c r="TLC132" s="118"/>
      <c r="TLD132" s="118"/>
      <c r="TLE132" s="118"/>
      <c r="TLF132" s="118"/>
      <c r="TLG132" s="118"/>
      <c r="TLH132" s="118"/>
      <c r="TLI132" s="118"/>
      <c r="TLJ132" s="118"/>
      <c r="TLK132" s="118"/>
      <c r="TLL132" s="118"/>
      <c r="TLM132" s="118"/>
      <c r="TLN132" s="118"/>
      <c r="TLO132" s="118"/>
      <c r="TLP132" s="118"/>
      <c r="TLQ132" s="118"/>
      <c r="TLR132" s="118"/>
      <c r="TLS132" s="118"/>
      <c r="TLT132" s="118"/>
      <c r="TLU132" s="118"/>
      <c r="TLV132" s="118"/>
      <c r="TLW132" s="118"/>
      <c r="TLX132" s="118"/>
      <c r="TLY132" s="118"/>
      <c r="TLZ132" s="118"/>
      <c r="TMA132" s="118"/>
      <c r="TMB132" s="118"/>
      <c r="TMC132" s="118"/>
      <c r="TMD132" s="118"/>
      <c r="TME132" s="118"/>
      <c r="TMF132" s="118"/>
      <c r="TMG132" s="118"/>
      <c r="TMH132" s="118"/>
      <c r="TMI132" s="118"/>
      <c r="TMJ132" s="118"/>
      <c r="TMK132" s="118"/>
      <c r="TML132" s="118"/>
      <c r="TMM132" s="118"/>
      <c r="TMN132" s="118"/>
      <c r="TMO132" s="118"/>
      <c r="TMP132" s="118"/>
      <c r="TMQ132" s="118"/>
      <c r="TMR132" s="118"/>
      <c r="TMS132" s="118"/>
      <c r="TMT132" s="118"/>
      <c r="TMU132" s="118"/>
      <c r="TMV132" s="118"/>
      <c r="TMW132" s="118"/>
      <c r="TMX132" s="118"/>
      <c r="TMY132" s="118"/>
      <c r="TMZ132" s="118"/>
      <c r="TNA132" s="118"/>
      <c r="TNB132" s="118"/>
      <c r="TNC132" s="118"/>
      <c r="TND132" s="118"/>
      <c r="TNE132" s="118"/>
      <c r="TNF132" s="118"/>
      <c r="TNG132" s="118"/>
      <c r="TNH132" s="118"/>
      <c r="TNI132" s="118"/>
      <c r="TNJ132" s="118"/>
      <c r="TNK132" s="118"/>
      <c r="TNL132" s="118"/>
      <c r="TNM132" s="118"/>
      <c r="TNN132" s="118"/>
      <c r="TNO132" s="118"/>
      <c r="TNP132" s="118"/>
      <c r="TNQ132" s="118"/>
      <c r="TNR132" s="118"/>
      <c r="TNS132" s="118"/>
      <c r="TNT132" s="118"/>
      <c r="TNU132" s="118"/>
      <c r="TNV132" s="118"/>
      <c r="TNW132" s="118"/>
      <c r="TNX132" s="118"/>
      <c r="TNY132" s="118"/>
      <c r="TNZ132" s="118"/>
      <c r="TOA132" s="118"/>
      <c r="TOB132" s="118"/>
      <c r="TOC132" s="118"/>
      <c r="TOD132" s="118"/>
      <c r="TOE132" s="118"/>
      <c r="TOF132" s="118"/>
      <c r="TOG132" s="118"/>
      <c r="TOH132" s="118"/>
      <c r="TOI132" s="118"/>
      <c r="TOJ132" s="118"/>
      <c r="TOK132" s="118"/>
      <c r="TOL132" s="118"/>
      <c r="TOM132" s="118"/>
      <c r="TON132" s="118"/>
      <c r="TOO132" s="118"/>
      <c r="TOP132" s="118"/>
      <c r="TOQ132" s="118"/>
      <c r="TOR132" s="118"/>
      <c r="TOS132" s="118"/>
      <c r="TOT132" s="118"/>
      <c r="TOU132" s="118"/>
      <c r="TOV132" s="118"/>
      <c r="TOW132" s="118"/>
      <c r="TOX132" s="118"/>
      <c r="TOY132" s="118"/>
      <c r="TOZ132" s="118"/>
      <c r="TPA132" s="118"/>
      <c r="TPB132" s="118"/>
      <c r="TPC132" s="118"/>
      <c r="TPD132" s="118"/>
      <c r="TPE132" s="118"/>
      <c r="TPF132" s="118"/>
      <c r="TPG132" s="118"/>
      <c r="TPH132" s="118"/>
      <c r="TPI132" s="118"/>
      <c r="TPJ132" s="118"/>
      <c r="TPK132" s="118"/>
      <c r="TPL132" s="118"/>
      <c r="TPM132" s="118"/>
      <c r="TPN132" s="118"/>
      <c r="TPO132" s="118"/>
      <c r="TPP132" s="118"/>
      <c r="TPQ132" s="118"/>
      <c r="TPR132" s="118"/>
      <c r="TPS132" s="118"/>
      <c r="TPT132" s="118"/>
      <c r="TPU132" s="118"/>
      <c r="TPV132" s="118"/>
      <c r="TPW132" s="118"/>
      <c r="TPX132" s="118"/>
      <c r="TPY132" s="118"/>
      <c r="TPZ132" s="118"/>
      <c r="TQA132" s="118"/>
      <c r="TQB132" s="118"/>
      <c r="TQC132" s="118"/>
      <c r="TQD132" s="118"/>
      <c r="TQE132" s="118"/>
      <c r="TQF132" s="118"/>
      <c r="TQG132" s="118"/>
      <c r="TQH132" s="118"/>
      <c r="TQI132" s="118"/>
      <c r="TQJ132" s="118"/>
      <c r="TQK132" s="118"/>
      <c r="TQL132" s="118"/>
      <c r="TQM132" s="118"/>
      <c r="TQN132" s="118"/>
      <c r="TQO132" s="118"/>
      <c r="TQP132" s="118"/>
      <c r="TQQ132" s="118"/>
      <c r="TQR132" s="118"/>
      <c r="TQS132" s="118"/>
      <c r="TQT132" s="118"/>
      <c r="TQU132" s="118"/>
      <c r="TQV132" s="118"/>
      <c r="TQW132" s="118"/>
      <c r="TQX132" s="118"/>
      <c r="TQY132" s="118"/>
      <c r="TQZ132" s="118"/>
      <c r="TRA132" s="118"/>
      <c r="TRB132" s="118"/>
      <c r="TRC132" s="118"/>
      <c r="TRD132" s="118"/>
      <c r="TRE132" s="118"/>
      <c r="TRF132" s="118"/>
      <c r="TRG132" s="118"/>
      <c r="TRH132" s="118"/>
      <c r="TRI132" s="118"/>
      <c r="TRJ132" s="118"/>
      <c r="TRK132" s="118"/>
      <c r="TRL132" s="118"/>
      <c r="TRM132" s="118"/>
      <c r="TRN132" s="118"/>
      <c r="TRO132" s="118"/>
      <c r="TRP132" s="118"/>
      <c r="TRQ132" s="118"/>
      <c r="TRR132" s="118"/>
      <c r="TRS132" s="118"/>
      <c r="TRT132" s="118"/>
      <c r="TRU132" s="118"/>
      <c r="TRV132" s="118"/>
      <c r="TRW132" s="118"/>
      <c r="TRX132" s="118"/>
      <c r="TRY132" s="118"/>
      <c r="TRZ132" s="118"/>
      <c r="TSA132" s="118"/>
      <c r="TSB132" s="118"/>
      <c r="TSC132" s="118"/>
      <c r="TSD132" s="118"/>
      <c r="TSE132" s="118"/>
      <c r="TSF132" s="118"/>
      <c r="TSG132" s="118"/>
      <c r="TSH132" s="118"/>
      <c r="TSI132" s="118"/>
      <c r="TSJ132" s="118"/>
      <c r="TSK132" s="118"/>
      <c r="TSL132" s="118"/>
      <c r="TSM132" s="118"/>
      <c r="TSN132" s="118"/>
      <c r="TSO132" s="118"/>
      <c r="TSP132" s="118"/>
      <c r="TSQ132" s="118"/>
      <c r="TSR132" s="118"/>
      <c r="TSS132" s="118"/>
      <c r="TST132" s="118"/>
      <c r="TSU132" s="118"/>
      <c r="TSV132" s="118"/>
      <c r="TSW132" s="118"/>
      <c r="TSX132" s="118"/>
      <c r="TSY132" s="118"/>
      <c r="TSZ132" s="118"/>
      <c r="TTA132" s="118"/>
      <c r="TTB132" s="118"/>
      <c r="TTC132" s="118"/>
      <c r="TTD132" s="118"/>
      <c r="TTE132" s="118"/>
      <c r="TTF132" s="118"/>
      <c r="TTG132" s="118"/>
      <c r="TTH132" s="118"/>
      <c r="TTI132" s="118"/>
      <c r="TTJ132" s="118"/>
      <c r="TTK132" s="118"/>
      <c r="TTL132" s="118"/>
      <c r="TTM132" s="118"/>
      <c r="TTN132" s="118"/>
      <c r="TTO132" s="118"/>
      <c r="TTP132" s="118"/>
      <c r="TTQ132" s="118"/>
      <c r="TTR132" s="118"/>
      <c r="TTS132" s="118"/>
      <c r="TTT132" s="118"/>
      <c r="TTU132" s="118"/>
      <c r="TTV132" s="118"/>
      <c r="TTW132" s="118"/>
      <c r="TTX132" s="118"/>
      <c r="TTY132" s="118"/>
      <c r="TTZ132" s="118"/>
      <c r="TUA132" s="118"/>
      <c r="TUB132" s="118"/>
      <c r="TUC132" s="118"/>
      <c r="TUD132" s="118"/>
      <c r="TUE132" s="118"/>
      <c r="TUF132" s="118"/>
      <c r="TUG132" s="118"/>
      <c r="TUH132" s="118"/>
      <c r="TUI132" s="118"/>
      <c r="TUJ132" s="118"/>
      <c r="TUK132" s="118"/>
      <c r="TUL132" s="118"/>
      <c r="TUM132" s="118"/>
      <c r="TUN132" s="118"/>
      <c r="TUO132" s="118"/>
      <c r="TUP132" s="118"/>
      <c r="TUQ132" s="118"/>
      <c r="TUR132" s="118"/>
      <c r="TUS132" s="118"/>
      <c r="TUT132" s="118"/>
      <c r="TUU132" s="118"/>
      <c r="TUV132" s="118"/>
      <c r="TUW132" s="118"/>
      <c r="TUX132" s="118"/>
      <c r="TUY132" s="118"/>
      <c r="TUZ132" s="118"/>
      <c r="TVA132" s="118"/>
      <c r="TVB132" s="118"/>
      <c r="TVC132" s="118"/>
      <c r="TVD132" s="118"/>
      <c r="TVE132" s="118"/>
      <c r="TVF132" s="118"/>
      <c r="TVG132" s="118"/>
      <c r="TVH132" s="118"/>
      <c r="TVI132" s="118"/>
      <c r="TVJ132" s="118"/>
      <c r="TVK132" s="118"/>
      <c r="TVL132" s="118"/>
      <c r="TVM132" s="118"/>
      <c r="TVN132" s="118"/>
      <c r="TVO132" s="118"/>
      <c r="TVP132" s="118"/>
      <c r="TVQ132" s="118"/>
      <c r="TVR132" s="118"/>
      <c r="TVS132" s="118"/>
      <c r="TVT132" s="118"/>
      <c r="TVU132" s="118"/>
      <c r="TVV132" s="118"/>
      <c r="TVW132" s="118"/>
      <c r="TVX132" s="118"/>
      <c r="TVY132" s="118"/>
      <c r="TVZ132" s="118"/>
      <c r="TWA132" s="118"/>
      <c r="TWB132" s="118"/>
      <c r="TWC132" s="118"/>
      <c r="TWD132" s="118"/>
      <c r="TWE132" s="118"/>
      <c r="TWF132" s="118"/>
      <c r="TWG132" s="118"/>
      <c r="TWH132" s="118"/>
      <c r="TWI132" s="118"/>
      <c r="TWJ132" s="118"/>
      <c r="TWK132" s="118"/>
      <c r="TWL132" s="118"/>
      <c r="TWM132" s="118"/>
      <c r="TWN132" s="118"/>
      <c r="TWO132" s="118"/>
      <c r="TWP132" s="118"/>
      <c r="TWQ132" s="118"/>
      <c r="TWR132" s="118"/>
      <c r="TWS132" s="118"/>
      <c r="TWT132" s="118"/>
      <c r="TWU132" s="118"/>
      <c r="TWV132" s="118"/>
      <c r="TWW132" s="118"/>
      <c r="TWX132" s="118"/>
      <c r="TWY132" s="118"/>
      <c r="TWZ132" s="118"/>
      <c r="TXA132" s="118"/>
      <c r="TXB132" s="118"/>
      <c r="TXC132" s="118"/>
      <c r="TXD132" s="118"/>
      <c r="TXE132" s="118"/>
      <c r="TXF132" s="118"/>
      <c r="TXG132" s="118"/>
      <c r="TXH132" s="118"/>
      <c r="TXI132" s="118"/>
      <c r="TXJ132" s="118"/>
      <c r="TXK132" s="118"/>
      <c r="TXL132" s="118"/>
      <c r="TXM132" s="118"/>
      <c r="TXN132" s="118"/>
      <c r="TXO132" s="118"/>
      <c r="TXP132" s="118"/>
      <c r="TXQ132" s="118"/>
      <c r="TXR132" s="118"/>
      <c r="TXS132" s="118"/>
      <c r="TXT132" s="118"/>
      <c r="TXU132" s="118"/>
      <c r="TXV132" s="118"/>
      <c r="TXW132" s="118"/>
      <c r="TXX132" s="118"/>
      <c r="TXY132" s="118"/>
      <c r="TXZ132" s="118"/>
      <c r="TYA132" s="118"/>
      <c r="TYB132" s="118"/>
      <c r="TYC132" s="118"/>
      <c r="TYD132" s="118"/>
      <c r="TYE132" s="118"/>
      <c r="TYF132" s="118"/>
      <c r="TYG132" s="118"/>
      <c r="TYH132" s="118"/>
      <c r="TYI132" s="118"/>
      <c r="TYJ132" s="118"/>
      <c r="TYK132" s="118"/>
      <c r="TYL132" s="118"/>
      <c r="TYM132" s="118"/>
      <c r="TYN132" s="118"/>
      <c r="TYO132" s="118"/>
      <c r="TYP132" s="118"/>
      <c r="TYQ132" s="118"/>
      <c r="TYR132" s="118"/>
      <c r="TYS132" s="118"/>
      <c r="TYT132" s="118"/>
      <c r="TYU132" s="118"/>
      <c r="TYV132" s="118"/>
      <c r="TYW132" s="118"/>
      <c r="TYX132" s="118"/>
      <c r="TYY132" s="118"/>
      <c r="TYZ132" s="118"/>
      <c r="TZA132" s="118"/>
      <c r="TZB132" s="118"/>
      <c r="TZC132" s="118"/>
      <c r="TZD132" s="118"/>
      <c r="TZE132" s="118"/>
      <c r="TZF132" s="118"/>
      <c r="TZG132" s="118"/>
      <c r="TZH132" s="118"/>
      <c r="TZI132" s="118"/>
      <c r="TZJ132" s="118"/>
      <c r="TZK132" s="118"/>
      <c r="TZL132" s="118"/>
      <c r="TZM132" s="118"/>
      <c r="TZN132" s="118"/>
      <c r="TZO132" s="118"/>
      <c r="TZP132" s="118"/>
      <c r="TZQ132" s="118"/>
      <c r="TZR132" s="118"/>
      <c r="TZS132" s="118"/>
      <c r="TZT132" s="118"/>
      <c r="TZU132" s="118"/>
      <c r="TZV132" s="118"/>
      <c r="TZW132" s="118"/>
      <c r="TZX132" s="118"/>
      <c r="TZY132" s="118"/>
      <c r="TZZ132" s="118"/>
      <c r="UAA132" s="118"/>
      <c r="UAB132" s="118"/>
      <c r="UAC132" s="118"/>
      <c r="UAD132" s="118"/>
      <c r="UAE132" s="118"/>
      <c r="UAF132" s="118"/>
      <c r="UAG132" s="118"/>
      <c r="UAH132" s="118"/>
      <c r="UAI132" s="118"/>
      <c r="UAJ132" s="118"/>
      <c r="UAK132" s="118"/>
      <c r="UAL132" s="118"/>
      <c r="UAM132" s="118"/>
      <c r="UAN132" s="118"/>
      <c r="UAO132" s="118"/>
      <c r="UAP132" s="118"/>
      <c r="UAQ132" s="118"/>
      <c r="UAR132" s="118"/>
      <c r="UAS132" s="118"/>
      <c r="UAT132" s="118"/>
      <c r="UAU132" s="118"/>
      <c r="UAV132" s="118"/>
      <c r="UAW132" s="118"/>
      <c r="UAX132" s="118"/>
      <c r="UAY132" s="118"/>
      <c r="UAZ132" s="118"/>
      <c r="UBA132" s="118"/>
      <c r="UBB132" s="118"/>
      <c r="UBC132" s="118"/>
      <c r="UBD132" s="118"/>
      <c r="UBE132" s="118"/>
      <c r="UBF132" s="118"/>
      <c r="UBG132" s="118"/>
      <c r="UBH132" s="118"/>
      <c r="UBI132" s="118"/>
      <c r="UBJ132" s="118"/>
      <c r="UBK132" s="118"/>
      <c r="UBL132" s="118"/>
      <c r="UBM132" s="118"/>
      <c r="UBN132" s="118"/>
      <c r="UBO132" s="118"/>
      <c r="UBP132" s="118"/>
      <c r="UBQ132" s="118"/>
      <c r="UBR132" s="118"/>
      <c r="UBS132" s="118"/>
      <c r="UBT132" s="118"/>
      <c r="UBU132" s="118"/>
      <c r="UBV132" s="118"/>
      <c r="UBW132" s="118"/>
      <c r="UBX132" s="118"/>
      <c r="UBY132" s="118"/>
      <c r="UBZ132" s="118"/>
      <c r="UCA132" s="118"/>
      <c r="UCB132" s="118"/>
      <c r="UCC132" s="118"/>
      <c r="UCD132" s="118"/>
      <c r="UCE132" s="118"/>
      <c r="UCF132" s="118"/>
      <c r="UCG132" s="118"/>
      <c r="UCH132" s="118"/>
      <c r="UCI132" s="118"/>
      <c r="UCJ132" s="118"/>
      <c r="UCK132" s="118"/>
      <c r="UCL132" s="118"/>
      <c r="UCM132" s="118"/>
      <c r="UCN132" s="118"/>
      <c r="UCO132" s="118"/>
      <c r="UCP132" s="118"/>
      <c r="UCQ132" s="118"/>
      <c r="UCR132" s="118"/>
      <c r="UCS132" s="118"/>
      <c r="UCT132" s="118"/>
      <c r="UCU132" s="118"/>
      <c r="UCV132" s="118"/>
      <c r="UCW132" s="118"/>
      <c r="UCX132" s="118"/>
      <c r="UCY132" s="118"/>
      <c r="UCZ132" s="118"/>
      <c r="UDA132" s="118"/>
      <c r="UDB132" s="118"/>
      <c r="UDC132" s="118"/>
      <c r="UDD132" s="118"/>
      <c r="UDE132" s="118"/>
      <c r="UDF132" s="118"/>
      <c r="UDG132" s="118"/>
      <c r="UDH132" s="118"/>
      <c r="UDI132" s="118"/>
      <c r="UDJ132" s="118"/>
      <c r="UDK132" s="118"/>
      <c r="UDL132" s="118"/>
      <c r="UDM132" s="118"/>
      <c r="UDN132" s="118"/>
      <c r="UDO132" s="118"/>
      <c r="UDP132" s="118"/>
      <c r="UDQ132" s="118"/>
      <c r="UDR132" s="118"/>
      <c r="UDS132" s="118"/>
      <c r="UDT132" s="118"/>
      <c r="UDU132" s="118"/>
      <c r="UDV132" s="118"/>
      <c r="UDW132" s="118"/>
      <c r="UDX132" s="118"/>
      <c r="UDY132" s="118"/>
      <c r="UDZ132" s="118"/>
      <c r="UEA132" s="118"/>
      <c r="UEB132" s="118"/>
      <c r="UEC132" s="118"/>
      <c r="UED132" s="118"/>
      <c r="UEE132" s="118"/>
      <c r="UEF132" s="118"/>
      <c r="UEG132" s="118"/>
      <c r="UEH132" s="118"/>
      <c r="UEI132" s="118"/>
      <c r="UEJ132" s="118"/>
      <c r="UEK132" s="118"/>
      <c r="UEL132" s="118"/>
      <c r="UEM132" s="118"/>
      <c r="UEN132" s="118"/>
      <c r="UEO132" s="118"/>
      <c r="UEP132" s="118"/>
      <c r="UEQ132" s="118"/>
      <c r="UER132" s="118"/>
      <c r="UES132" s="118"/>
      <c r="UET132" s="118"/>
      <c r="UEU132" s="118"/>
      <c r="UEV132" s="118"/>
      <c r="UEW132" s="118"/>
      <c r="UEX132" s="118"/>
      <c r="UEY132" s="118"/>
      <c r="UEZ132" s="118"/>
      <c r="UFA132" s="118"/>
      <c r="UFB132" s="118"/>
      <c r="UFC132" s="118"/>
      <c r="UFD132" s="118"/>
      <c r="UFE132" s="118"/>
      <c r="UFF132" s="118"/>
      <c r="UFG132" s="118"/>
      <c r="UFH132" s="118"/>
      <c r="UFI132" s="118"/>
      <c r="UFJ132" s="118"/>
      <c r="UFK132" s="118"/>
      <c r="UFL132" s="118"/>
      <c r="UFM132" s="118"/>
      <c r="UFN132" s="118"/>
      <c r="UFO132" s="118"/>
      <c r="UFP132" s="118"/>
      <c r="UFQ132" s="118"/>
      <c r="UFR132" s="118"/>
      <c r="UFS132" s="118"/>
      <c r="UFT132" s="118"/>
      <c r="UFU132" s="118"/>
      <c r="UFV132" s="118"/>
      <c r="UFW132" s="118"/>
      <c r="UFX132" s="118"/>
      <c r="UFY132" s="118"/>
      <c r="UFZ132" s="118"/>
      <c r="UGA132" s="118"/>
      <c r="UGB132" s="118"/>
      <c r="UGC132" s="118"/>
      <c r="UGD132" s="118"/>
      <c r="UGE132" s="118"/>
      <c r="UGF132" s="118"/>
      <c r="UGG132" s="118"/>
      <c r="UGH132" s="118"/>
      <c r="UGI132" s="118"/>
      <c r="UGJ132" s="118"/>
      <c r="UGK132" s="118"/>
      <c r="UGL132" s="118"/>
      <c r="UGM132" s="118"/>
      <c r="UGN132" s="118"/>
      <c r="UGO132" s="118"/>
      <c r="UGP132" s="118"/>
      <c r="UGQ132" s="118"/>
      <c r="UGR132" s="118"/>
      <c r="UGS132" s="118"/>
      <c r="UGT132" s="118"/>
      <c r="UGU132" s="118"/>
      <c r="UGV132" s="118"/>
      <c r="UGW132" s="118"/>
      <c r="UGX132" s="118"/>
      <c r="UGY132" s="118"/>
      <c r="UGZ132" s="118"/>
      <c r="UHA132" s="118"/>
      <c r="UHB132" s="118"/>
      <c r="UHC132" s="118"/>
      <c r="UHD132" s="118"/>
      <c r="UHE132" s="118"/>
      <c r="UHF132" s="118"/>
      <c r="UHG132" s="118"/>
      <c r="UHH132" s="118"/>
      <c r="UHI132" s="118"/>
      <c r="UHJ132" s="118"/>
      <c r="UHK132" s="118"/>
      <c r="UHL132" s="118"/>
      <c r="UHM132" s="118"/>
      <c r="UHN132" s="118"/>
      <c r="UHO132" s="118"/>
      <c r="UHP132" s="118"/>
      <c r="UHQ132" s="118"/>
      <c r="UHR132" s="118"/>
      <c r="UHS132" s="118"/>
      <c r="UHT132" s="118"/>
      <c r="UHU132" s="118"/>
      <c r="UHV132" s="118"/>
      <c r="UHW132" s="118"/>
      <c r="UHX132" s="118"/>
      <c r="UHY132" s="118"/>
      <c r="UHZ132" s="118"/>
      <c r="UIA132" s="118"/>
      <c r="UIB132" s="118"/>
      <c r="UIC132" s="118"/>
      <c r="UID132" s="118"/>
      <c r="UIE132" s="118"/>
      <c r="UIF132" s="118"/>
      <c r="UIG132" s="118"/>
      <c r="UIH132" s="118"/>
      <c r="UII132" s="118"/>
      <c r="UIJ132" s="118"/>
      <c r="UIK132" s="118"/>
      <c r="UIL132" s="118"/>
      <c r="UIM132" s="118"/>
      <c r="UIN132" s="118"/>
      <c r="UIO132" s="118"/>
      <c r="UIP132" s="118"/>
      <c r="UIQ132" s="118"/>
      <c r="UIR132" s="118"/>
      <c r="UIS132" s="118"/>
      <c r="UIT132" s="118"/>
      <c r="UIU132" s="118"/>
      <c r="UIV132" s="118"/>
      <c r="UIW132" s="118"/>
      <c r="UIX132" s="118"/>
      <c r="UIY132" s="118"/>
      <c r="UIZ132" s="118"/>
      <c r="UJA132" s="118"/>
      <c r="UJB132" s="118"/>
      <c r="UJC132" s="118"/>
      <c r="UJD132" s="118"/>
      <c r="UJE132" s="118"/>
      <c r="UJF132" s="118"/>
      <c r="UJG132" s="118"/>
      <c r="UJH132" s="118"/>
      <c r="UJI132" s="118"/>
      <c r="UJJ132" s="118"/>
      <c r="UJK132" s="118"/>
      <c r="UJL132" s="118"/>
      <c r="UJM132" s="118"/>
      <c r="UJN132" s="118"/>
      <c r="UJO132" s="118"/>
      <c r="UJP132" s="118"/>
      <c r="UJQ132" s="118"/>
      <c r="UJR132" s="118"/>
      <c r="UJS132" s="118"/>
      <c r="UJT132" s="118"/>
      <c r="UJU132" s="118"/>
      <c r="UJV132" s="118"/>
      <c r="UJW132" s="118"/>
      <c r="UJX132" s="118"/>
      <c r="UJY132" s="118"/>
      <c r="UJZ132" s="118"/>
      <c r="UKA132" s="118"/>
      <c r="UKB132" s="118"/>
      <c r="UKC132" s="118"/>
      <c r="UKD132" s="118"/>
      <c r="UKE132" s="118"/>
      <c r="UKF132" s="118"/>
      <c r="UKG132" s="118"/>
      <c r="UKH132" s="118"/>
      <c r="UKI132" s="118"/>
      <c r="UKJ132" s="118"/>
      <c r="UKK132" s="118"/>
      <c r="UKL132" s="118"/>
      <c r="UKM132" s="118"/>
      <c r="UKN132" s="118"/>
      <c r="UKO132" s="118"/>
      <c r="UKP132" s="118"/>
      <c r="UKQ132" s="118"/>
      <c r="UKR132" s="118"/>
      <c r="UKS132" s="118"/>
      <c r="UKT132" s="118"/>
      <c r="UKU132" s="118"/>
      <c r="UKV132" s="118"/>
      <c r="UKW132" s="118"/>
      <c r="UKX132" s="118"/>
      <c r="UKY132" s="118"/>
      <c r="UKZ132" s="118"/>
      <c r="ULA132" s="118"/>
      <c r="ULB132" s="118"/>
      <c r="ULC132" s="118"/>
      <c r="ULD132" s="118"/>
      <c r="ULE132" s="118"/>
      <c r="ULF132" s="118"/>
      <c r="ULG132" s="118"/>
      <c r="ULH132" s="118"/>
      <c r="ULI132" s="118"/>
      <c r="ULJ132" s="118"/>
      <c r="ULK132" s="118"/>
      <c r="ULL132" s="118"/>
      <c r="ULM132" s="118"/>
      <c r="ULN132" s="118"/>
      <c r="ULO132" s="118"/>
      <c r="ULP132" s="118"/>
      <c r="ULQ132" s="118"/>
      <c r="ULR132" s="118"/>
      <c r="ULS132" s="118"/>
      <c r="ULT132" s="118"/>
      <c r="ULU132" s="118"/>
      <c r="ULV132" s="118"/>
      <c r="ULW132" s="118"/>
      <c r="ULX132" s="118"/>
      <c r="ULY132" s="118"/>
      <c r="ULZ132" s="118"/>
      <c r="UMA132" s="118"/>
      <c r="UMB132" s="118"/>
      <c r="UMC132" s="118"/>
      <c r="UMD132" s="118"/>
      <c r="UME132" s="118"/>
      <c r="UMF132" s="118"/>
      <c r="UMG132" s="118"/>
      <c r="UMH132" s="118"/>
      <c r="UMI132" s="118"/>
      <c r="UMJ132" s="118"/>
      <c r="UMK132" s="118"/>
      <c r="UML132" s="118"/>
      <c r="UMM132" s="118"/>
      <c r="UMN132" s="118"/>
      <c r="UMO132" s="118"/>
      <c r="UMP132" s="118"/>
      <c r="UMQ132" s="118"/>
      <c r="UMR132" s="118"/>
      <c r="UMS132" s="118"/>
      <c r="UMT132" s="118"/>
      <c r="UMU132" s="118"/>
      <c r="UMV132" s="118"/>
      <c r="UMW132" s="118"/>
      <c r="UMX132" s="118"/>
      <c r="UMY132" s="118"/>
      <c r="UMZ132" s="118"/>
      <c r="UNA132" s="118"/>
      <c r="UNB132" s="118"/>
      <c r="UNC132" s="118"/>
      <c r="UND132" s="118"/>
      <c r="UNE132" s="118"/>
      <c r="UNF132" s="118"/>
      <c r="UNG132" s="118"/>
      <c r="UNH132" s="118"/>
      <c r="UNI132" s="118"/>
      <c r="UNJ132" s="118"/>
      <c r="UNK132" s="118"/>
      <c r="UNL132" s="118"/>
      <c r="UNM132" s="118"/>
      <c r="UNN132" s="118"/>
      <c r="UNO132" s="118"/>
      <c r="UNP132" s="118"/>
      <c r="UNQ132" s="118"/>
      <c r="UNR132" s="118"/>
      <c r="UNS132" s="118"/>
      <c r="UNT132" s="118"/>
      <c r="UNU132" s="118"/>
      <c r="UNV132" s="118"/>
      <c r="UNW132" s="118"/>
      <c r="UNX132" s="118"/>
      <c r="UNY132" s="118"/>
      <c r="UNZ132" s="118"/>
      <c r="UOA132" s="118"/>
      <c r="UOB132" s="118"/>
      <c r="UOC132" s="118"/>
      <c r="UOD132" s="118"/>
      <c r="UOE132" s="118"/>
      <c r="UOF132" s="118"/>
      <c r="UOG132" s="118"/>
      <c r="UOH132" s="118"/>
      <c r="UOI132" s="118"/>
      <c r="UOJ132" s="118"/>
      <c r="UOK132" s="118"/>
      <c r="UOL132" s="118"/>
      <c r="UOM132" s="118"/>
      <c r="UON132" s="118"/>
      <c r="UOO132" s="118"/>
      <c r="UOP132" s="118"/>
      <c r="UOQ132" s="118"/>
      <c r="UOR132" s="118"/>
      <c r="UOS132" s="118"/>
      <c r="UOT132" s="118"/>
      <c r="UOU132" s="118"/>
      <c r="UOV132" s="118"/>
      <c r="UOW132" s="118"/>
      <c r="UOX132" s="118"/>
      <c r="UOY132" s="118"/>
      <c r="UOZ132" s="118"/>
      <c r="UPA132" s="118"/>
      <c r="UPB132" s="118"/>
      <c r="UPC132" s="118"/>
      <c r="UPD132" s="118"/>
      <c r="UPE132" s="118"/>
      <c r="UPF132" s="118"/>
      <c r="UPG132" s="118"/>
      <c r="UPH132" s="118"/>
      <c r="UPI132" s="118"/>
      <c r="UPJ132" s="118"/>
      <c r="UPK132" s="118"/>
      <c r="UPL132" s="118"/>
      <c r="UPM132" s="118"/>
      <c r="UPN132" s="118"/>
      <c r="UPO132" s="118"/>
      <c r="UPP132" s="118"/>
      <c r="UPQ132" s="118"/>
      <c r="UPR132" s="118"/>
      <c r="UPS132" s="118"/>
      <c r="UPT132" s="118"/>
      <c r="UPU132" s="118"/>
      <c r="UPV132" s="118"/>
      <c r="UPW132" s="118"/>
      <c r="UPX132" s="118"/>
      <c r="UPY132" s="118"/>
      <c r="UPZ132" s="118"/>
      <c r="UQA132" s="118"/>
      <c r="UQB132" s="118"/>
      <c r="UQC132" s="118"/>
      <c r="UQD132" s="118"/>
      <c r="UQE132" s="118"/>
      <c r="UQF132" s="118"/>
      <c r="UQG132" s="118"/>
      <c r="UQH132" s="118"/>
      <c r="UQI132" s="118"/>
      <c r="UQJ132" s="118"/>
      <c r="UQK132" s="118"/>
      <c r="UQL132" s="118"/>
      <c r="UQM132" s="118"/>
      <c r="UQN132" s="118"/>
      <c r="UQO132" s="118"/>
      <c r="UQP132" s="118"/>
      <c r="UQQ132" s="118"/>
      <c r="UQR132" s="118"/>
      <c r="UQS132" s="118"/>
      <c r="UQT132" s="118"/>
      <c r="UQU132" s="118"/>
      <c r="UQV132" s="118"/>
      <c r="UQW132" s="118"/>
      <c r="UQX132" s="118"/>
      <c r="UQY132" s="118"/>
      <c r="UQZ132" s="118"/>
      <c r="URA132" s="118"/>
      <c r="URB132" s="118"/>
      <c r="URC132" s="118"/>
      <c r="URD132" s="118"/>
      <c r="URE132" s="118"/>
      <c r="URF132" s="118"/>
      <c r="URG132" s="118"/>
      <c r="URH132" s="118"/>
      <c r="URI132" s="118"/>
      <c r="URJ132" s="118"/>
      <c r="URK132" s="118"/>
      <c r="URL132" s="118"/>
      <c r="URM132" s="118"/>
      <c r="URN132" s="118"/>
      <c r="URO132" s="118"/>
      <c r="URP132" s="118"/>
      <c r="URQ132" s="118"/>
      <c r="URR132" s="118"/>
      <c r="URS132" s="118"/>
      <c r="URT132" s="118"/>
      <c r="URU132" s="118"/>
      <c r="URV132" s="118"/>
      <c r="URW132" s="118"/>
      <c r="URX132" s="118"/>
      <c r="URY132" s="118"/>
      <c r="URZ132" s="118"/>
      <c r="USA132" s="118"/>
      <c r="USB132" s="118"/>
      <c r="USC132" s="118"/>
      <c r="USD132" s="118"/>
      <c r="USE132" s="118"/>
      <c r="USF132" s="118"/>
      <c r="USG132" s="118"/>
      <c r="USH132" s="118"/>
      <c r="USI132" s="118"/>
      <c r="USJ132" s="118"/>
      <c r="USK132" s="118"/>
      <c r="USL132" s="118"/>
      <c r="USM132" s="118"/>
      <c r="USN132" s="118"/>
      <c r="USO132" s="118"/>
      <c r="USP132" s="118"/>
      <c r="USQ132" s="118"/>
      <c r="USR132" s="118"/>
      <c r="USS132" s="118"/>
      <c r="UST132" s="118"/>
      <c r="USU132" s="118"/>
      <c r="USV132" s="118"/>
      <c r="USW132" s="118"/>
      <c r="USX132" s="118"/>
      <c r="USY132" s="118"/>
      <c r="USZ132" s="118"/>
      <c r="UTA132" s="118"/>
      <c r="UTB132" s="118"/>
      <c r="UTC132" s="118"/>
      <c r="UTD132" s="118"/>
      <c r="UTE132" s="118"/>
      <c r="UTF132" s="118"/>
      <c r="UTG132" s="118"/>
      <c r="UTH132" s="118"/>
      <c r="UTI132" s="118"/>
      <c r="UTJ132" s="118"/>
      <c r="UTK132" s="118"/>
      <c r="UTL132" s="118"/>
      <c r="UTM132" s="118"/>
      <c r="UTN132" s="118"/>
      <c r="UTO132" s="118"/>
      <c r="UTP132" s="118"/>
      <c r="UTQ132" s="118"/>
      <c r="UTR132" s="118"/>
      <c r="UTS132" s="118"/>
      <c r="UTT132" s="118"/>
      <c r="UTU132" s="118"/>
      <c r="UTV132" s="118"/>
      <c r="UTW132" s="118"/>
      <c r="UTX132" s="118"/>
      <c r="UTY132" s="118"/>
      <c r="UTZ132" s="118"/>
      <c r="UUA132" s="118"/>
      <c r="UUB132" s="118"/>
      <c r="UUC132" s="118"/>
      <c r="UUD132" s="118"/>
      <c r="UUE132" s="118"/>
      <c r="UUF132" s="118"/>
      <c r="UUG132" s="118"/>
      <c r="UUH132" s="118"/>
      <c r="UUI132" s="118"/>
      <c r="UUJ132" s="118"/>
      <c r="UUK132" s="118"/>
      <c r="UUL132" s="118"/>
      <c r="UUM132" s="118"/>
      <c r="UUN132" s="118"/>
      <c r="UUO132" s="118"/>
      <c r="UUP132" s="118"/>
      <c r="UUQ132" s="118"/>
      <c r="UUR132" s="118"/>
      <c r="UUS132" s="118"/>
      <c r="UUT132" s="118"/>
      <c r="UUU132" s="118"/>
      <c r="UUV132" s="118"/>
      <c r="UUW132" s="118"/>
      <c r="UUX132" s="118"/>
      <c r="UUY132" s="118"/>
      <c r="UUZ132" s="118"/>
      <c r="UVA132" s="118"/>
      <c r="UVB132" s="118"/>
      <c r="UVC132" s="118"/>
      <c r="UVD132" s="118"/>
      <c r="UVE132" s="118"/>
      <c r="UVF132" s="118"/>
      <c r="UVG132" s="118"/>
      <c r="UVH132" s="118"/>
      <c r="UVI132" s="118"/>
      <c r="UVJ132" s="118"/>
      <c r="UVK132" s="118"/>
      <c r="UVL132" s="118"/>
      <c r="UVM132" s="118"/>
      <c r="UVN132" s="118"/>
      <c r="UVO132" s="118"/>
      <c r="UVP132" s="118"/>
      <c r="UVQ132" s="118"/>
      <c r="UVR132" s="118"/>
      <c r="UVS132" s="118"/>
      <c r="UVT132" s="118"/>
      <c r="UVU132" s="118"/>
      <c r="UVV132" s="118"/>
      <c r="UVW132" s="118"/>
      <c r="UVX132" s="118"/>
      <c r="UVY132" s="118"/>
      <c r="UVZ132" s="118"/>
      <c r="UWA132" s="118"/>
      <c r="UWB132" s="118"/>
      <c r="UWC132" s="118"/>
      <c r="UWD132" s="118"/>
      <c r="UWE132" s="118"/>
      <c r="UWF132" s="118"/>
      <c r="UWG132" s="118"/>
      <c r="UWH132" s="118"/>
      <c r="UWI132" s="118"/>
      <c r="UWJ132" s="118"/>
      <c r="UWK132" s="118"/>
      <c r="UWL132" s="118"/>
      <c r="UWM132" s="118"/>
      <c r="UWN132" s="118"/>
      <c r="UWO132" s="118"/>
      <c r="UWP132" s="118"/>
      <c r="UWQ132" s="118"/>
      <c r="UWR132" s="118"/>
      <c r="UWS132" s="118"/>
      <c r="UWT132" s="118"/>
      <c r="UWU132" s="118"/>
      <c r="UWV132" s="118"/>
      <c r="UWW132" s="118"/>
      <c r="UWX132" s="118"/>
      <c r="UWY132" s="118"/>
      <c r="UWZ132" s="118"/>
      <c r="UXA132" s="118"/>
      <c r="UXB132" s="118"/>
      <c r="UXC132" s="118"/>
      <c r="UXD132" s="118"/>
      <c r="UXE132" s="118"/>
      <c r="UXF132" s="118"/>
      <c r="UXG132" s="118"/>
      <c r="UXH132" s="118"/>
      <c r="UXI132" s="118"/>
      <c r="UXJ132" s="118"/>
      <c r="UXK132" s="118"/>
      <c r="UXL132" s="118"/>
      <c r="UXM132" s="118"/>
      <c r="UXN132" s="118"/>
      <c r="UXO132" s="118"/>
      <c r="UXP132" s="118"/>
      <c r="UXQ132" s="118"/>
      <c r="UXR132" s="118"/>
      <c r="UXS132" s="118"/>
      <c r="UXT132" s="118"/>
      <c r="UXU132" s="118"/>
      <c r="UXV132" s="118"/>
      <c r="UXW132" s="118"/>
      <c r="UXX132" s="118"/>
      <c r="UXY132" s="118"/>
      <c r="UXZ132" s="118"/>
      <c r="UYA132" s="118"/>
      <c r="UYB132" s="118"/>
      <c r="UYC132" s="118"/>
      <c r="UYD132" s="118"/>
      <c r="UYE132" s="118"/>
      <c r="UYF132" s="118"/>
      <c r="UYG132" s="118"/>
      <c r="UYH132" s="118"/>
      <c r="UYI132" s="118"/>
      <c r="UYJ132" s="118"/>
      <c r="UYK132" s="118"/>
      <c r="UYL132" s="118"/>
      <c r="UYM132" s="118"/>
      <c r="UYN132" s="118"/>
      <c r="UYO132" s="118"/>
      <c r="UYP132" s="118"/>
      <c r="UYQ132" s="118"/>
      <c r="UYR132" s="118"/>
      <c r="UYS132" s="118"/>
      <c r="UYT132" s="118"/>
      <c r="UYU132" s="118"/>
      <c r="UYV132" s="118"/>
      <c r="UYW132" s="118"/>
      <c r="UYX132" s="118"/>
      <c r="UYY132" s="118"/>
      <c r="UYZ132" s="118"/>
      <c r="UZA132" s="118"/>
      <c r="UZB132" s="118"/>
      <c r="UZC132" s="118"/>
      <c r="UZD132" s="118"/>
      <c r="UZE132" s="118"/>
      <c r="UZF132" s="118"/>
      <c r="UZG132" s="118"/>
      <c r="UZH132" s="118"/>
      <c r="UZI132" s="118"/>
      <c r="UZJ132" s="118"/>
      <c r="UZK132" s="118"/>
      <c r="UZL132" s="118"/>
      <c r="UZM132" s="118"/>
      <c r="UZN132" s="118"/>
      <c r="UZO132" s="118"/>
      <c r="UZP132" s="118"/>
      <c r="UZQ132" s="118"/>
      <c r="UZR132" s="118"/>
      <c r="UZS132" s="118"/>
      <c r="UZT132" s="118"/>
      <c r="UZU132" s="118"/>
      <c r="UZV132" s="118"/>
      <c r="UZW132" s="118"/>
      <c r="UZX132" s="118"/>
      <c r="UZY132" s="118"/>
      <c r="UZZ132" s="118"/>
      <c r="VAA132" s="118"/>
      <c r="VAB132" s="118"/>
      <c r="VAC132" s="118"/>
      <c r="VAD132" s="118"/>
      <c r="VAE132" s="118"/>
      <c r="VAF132" s="118"/>
      <c r="VAG132" s="118"/>
      <c r="VAH132" s="118"/>
      <c r="VAI132" s="118"/>
      <c r="VAJ132" s="118"/>
      <c r="VAK132" s="118"/>
      <c r="VAL132" s="118"/>
      <c r="VAM132" s="118"/>
      <c r="VAN132" s="118"/>
      <c r="VAO132" s="118"/>
      <c r="VAP132" s="118"/>
      <c r="VAQ132" s="118"/>
      <c r="VAR132" s="118"/>
      <c r="VAS132" s="118"/>
      <c r="VAT132" s="118"/>
      <c r="VAU132" s="118"/>
      <c r="VAV132" s="118"/>
      <c r="VAW132" s="118"/>
      <c r="VAX132" s="118"/>
      <c r="VAY132" s="118"/>
      <c r="VAZ132" s="118"/>
      <c r="VBA132" s="118"/>
      <c r="VBB132" s="118"/>
      <c r="VBC132" s="118"/>
      <c r="VBD132" s="118"/>
      <c r="VBE132" s="118"/>
      <c r="VBF132" s="118"/>
      <c r="VBG132" s="118"/>
      <c r="VBH132" s="118"/>
      <c r="VBI132" s="118"/>
      <c r="VBJ132" s="118"/>
      <c r="VBK132" s="118"/>
      <c r="VBL132" s="118"/>
      <c r="VBM132" s="118"/>
      <c r="VBN132" s="118"/>
      <c r="VBO132" s="118"/>
      <c r="VBP132" s="118"/>
      <c r="VBQ132" s="118"/>
      <c r="VBR132" s="118"/>
      <c r="VBS132" s="118"/>
      <c r="VBT132" s="118"/>
      <c r="VBU132" s="118"/>
      <c r="VBV132" s="118"/>
      <c r="VBW132" s="118"/>
      <c r="VBX132" s="118"/>
      <c r="VBY132" s="118"/>
      <c r="VBZ132" s="118"/>
      <c r="VCA132" s="118"/>
      <c r="VCB132" s="118"/>
      <c r="VCC132" s="118"/>
      <c r="VCD132" s="118"/>
      <c r="VCE132" s="118"/>
      <c r="VCF132" s="118"/>
      <c r="VCG132" s="118"/>
      <c r="VCH132" s="118"/>
      <c r="VCI132" s="118"/>
      <c r="VCJ132" s="118"/>
      <c r="VCK132" s="118"/>
      <c r="VCL132" s="118"/>
      <c r="VCM132" s="118"/>
      <c r="VCN132" s="118"/>
      <c r="VCO132" s="118"/>
      <c r="VCP132" s="118"/>
      <c r="VCQ132" s="118"/>
      <c r="VCR132" s="118"/>
      <c r="VCS132" s="118"/>
      <c r="VCT132" s="118"/>
      <c r="VCU132" s="118"/>
      <c r="VCV132" s="118"/>
      <c r="VCW132" s="118"/>
      <c r="VCX132" s="118"/>
      <c r="VCY132" s="118"/>
      <c r="VCZ132" s="118"/>
      <c r="VDA132" s="118"/>
      <c r="VDB132" s="118"/>
      <c r="VDC132" s="118"/>
      <c r="VDD132" s="118"/>
      <c r="VDE132" s="118"/>
      <c r="VDF132" s="118"/>
      <c r="VDG132" s="118"/>
      <c r="VDH132" s="118"/>
      <c r="VDI132" s="118"/>
      <c r="VDJ132" s="118"/>
      <c r="VDK132" s="118"/>
      <c r="VDL132" s="118"/>
      <c r="VDM132" s="118"/>
      <c r="VDN132" s="118"/>
      <c r="VDO132" s="118"/>
      <c r="VDP132" s="118"/>
      <c r="VDQ132" s="118"/>
      <c r="VDR132" s="118"/>
      <c r="VDS132" s="118"/>
      <c r="VDT132" s="118"/>
      <c r="VDU132" s="118"/>
      <c r="VDV132" s="118"/>
      <c r="VDW132" s="118"/>
      <c r="VDX132" s="118"/>
      <c r="VDY132" s="118"/>
      <c r="VDZ132" s="118"/>
      <c r="VEA132" s="118"/>
      <c r="VEB132" s="118"/>
      <c r="VEC132" s="118"/>
      <c r="VED132" s="118"/>
      <c r="VEE132" s="118"/>
      <c r="VEF132" s="118"/>
      <c r="VEG132" s="118"/>
      <c r="VEH132" s="118"/>
      <c r="VEI132" s="118"/>
      <c r="VEJ132" s="118"/>
      <c r="VEK132" s="118"/>
      <c r="VEL132" s="118"/>
      <c r="VEM132" s="118"/>
      <c r="VEN132" s="118"/>
      <c r="VEO132" s="118"/>
      <c r="VEP132" s="118"/>
      <c r="VEQ132" s="118"/>
      <c r="VER132" s="118"/>
      <c r="VES132" s="118"/>
      <c r="VET132" s="118"/>
      <c r="VEU132" s="118"/>
      <c r="VEV132" s="118"/>
      <c r="VEW132" s="118"/>
      <c r="VEX132" s="118"/>
      <c r="VEY132" s="118"/>
      <c r="VEZ132" s="118"/>
      <c r="VFA132" s="118"/>
      <c r="VFB132" s="118"/>
      <c r="VFC132" s="118"/>
      <c r="VFD132" s="118"/>
      <c r="VFE132" s="118"/>
      <c r="VFF132" s="118"/>
      <c r="VFG132" s="118"/>
      <c r="VFH132" s="118"/>
      <c r="VFI132" s="118"/>
      <c r="VFJ132" s="118"/>
      <c r="VFK132" s="118"/>
      <c r="VFL132" s="118"/>
      <c r="VFM132" s="118"/>
      <c r="VFN132" s="118"/>
      <c r="VFO132" s="118"/>
      <c r="VFP132" s="118"/>
      <c r="VFQ132" s="118"/>
      <c r="VFR132" s="118"/>
      <c r="VFS132" s="118"/>
      <c r="VFT132" s="118"/>
      <c r="VFU132" s="118"/>
      <c r="VFV132" s="118"/>
      <c r="VFW132" s="118"/>
      <c r="VFX132" s="118"/>
      <c r="VFY132" s="118"/>
      <c r="VFZ132" s="118"/>
      <c r="VGA132" s="118"/>
      <c r="VGB132" s="118"/>
      <c r="VGC132" s="118"/>
      <c r="VGD132" s="118"/>
      <c r="VGE132" s="118"/>
      <c r="VGF132" s="118"/>
      <c r="VGG132" s="118"/>
      <c r="VGH132" s="118"/>
      <c r="VGI132" s="118"/>
      <c r="VGJ132" s="118"/>
      <c r="VGK132" s="118"/>
      <c r="VGL132" s="118"/>
      <c r="VGM132" s="118"/>
      <c r="VGN132" s="118"/>
      <c r="VGO132" s="118"/>
      <c r="VGP132" s="118"/>
      <c r="VGQ132" s="118"/>
      <c r="VGR132" s="118"/>
      <c r="VGS132" s="118"/>
      <c r="VGT132" s="118"/>
      <c r="VGU132" s="118"/>
      <c r="VGV132" s="118"/>
      <c r="VGW132" s="118"/>
      <c r="VGX132" s="118"/>
      <c r="VGY132" s="118"/>
      <c r="VGZ132" s="118"/>
      <c r="VHA132" s="118"/>
      <c r="VHB132" s="118"/>
      <c r="VHC132" s="118"/>
      <c r="VHD132" s="118"/>
      <c r="VHE132" s="118"/>
      <c r="VHF132" s="118"/>
      <c r="VHG132" s="118"/>
      <c r="VHH132" s="118"/>
      <c r="VHI132" s="118"/>
      <c r="VHJ132" s="118"/>
      <c r="VHK132" s="118"/>
      <c r="VHL132" s="118"/>
      <c r="VHM132" s="118"/>
      <c r="VHN132" s="118"/>
      <c r="VHO132" s="118"/>
      <c r="VHP132" s="118"/>
      <c r="VHQ132" s="118"/>
      <c r="VHR132" s="118"/>
      <c r="VHS132" s="118"/>
      <c r="VHT132" s="118"/>
      <c r="VHU132" s="118"/>
      <c r="VHV132" s="118"/>
      <c r="VHW132" s="118"/>
      <c r="VHX132" s="118"/>
      <c r="VHY132" s="118"/>
      <c r="VHZ132" s="118"/>
      <c r="VIA132" s="118"/>
      <c r="VIB132" s="118"/>
      <c r="VIC132" s="118"/>
      <c r="VID132" s="118"/>
      <c r="VIE132" s="118"/>
      <c r="VIF132" s="118"/>
      <c r="VIG132" s="118"/>
      <c r="VIH132" s="118"/>
      <c r="VII132" s="118"/>
      <c r="VIJ132" s="118"/>
      <c r="VIK132" s="118"/>
      <c r="VIL132" s="118"/>
      <c r="VIM132" s="118"/>
      <c r="VIN132" s="118"/>
      <c r="VIO132" s="118"/>
      <c r="VIP132" s="118"/>
      <c r="VIQ132" s="118"/>
      <c r="VIR132" s="118"/>
      <c r="VIS132" s="118"/>
      <c r="VIT132" s="118"/>
      <c r="VIU132" s="118"/>
      <c r="VIV132" s="118"/>
      <c r="VIW132" s="118"/>
      <c r="VIX132" s="118"/>
      <c r="VIY132" s="118"/>
      <c r="VIZ132" s="118"/>
      <c r="VJA132" s="118"/>
      <c r="VJB132" s="118"/>
      <c r="VJC132" s="118"/>
      <c r="VJD132" s="118"/>
      <c r="VJE132" s="118"/>
      <c r="VJF132" s="118"/>
      <c r="VJG132" s="118"/>
      <c r="VJH132" s="118"/>
      <c r="VJI132" s="118"/>
      <c r="VJJ132" s="118"/>
      <c r="VJK132" s="118"/>
      <c r="VJL132" s="118"/>
      <c r="VJM132" s="118"/>
      <c r="VJN132" s="118"/>
      <c r="VJO132" s="118"/>
      <c r="VJP132" s="118"/>
      <c r="VJQ132" s="118"/>
      <c r="VJR132" s="118"/>
      <c r="VJS132" s="118"/>
      <c r="VJT132" s="118"/>
      <c r="VJU132" s="118"/>
      <c r="VJV132" s="118"/>
      <c r="VJW132" s="118"/>
      <c r="VJX132" s="118"/>
      <c r="VJY132" s="118"/>
      <c r="VJZ132" s="118"/>
      <c r="VKA132" s="118"/>
      <c r="VKB132" s="118"/>
      <c r="VKC132" s="118"/>
      <c r="VKD132" s="118"/>
      <c r="VKE132" s="118"/>
      <c r="VKF132" s="118"/>
      <c r="VKG132" s="118"/>
      <c r="VKH132" s="118"/>
      <c r="VKI132" s="118"/>
      <c r="VKJ132" s="118"/>
      <c r="VKK132" s="118"/>
      <c r="VKL132" s="118"/>
      <c r="VKM132" s="118"/>
      <c r="VKN132" s="118"/>
      <c r="VKO132" s="118"/>
      <c r="VKP132" s="118"/>
      <c r="VKQ132" s="118"/>
      <c r="VKR132" s="118"/>
      <c r="VKS132" s="118"/>
      <c r="VKT132" s="118"/>
      <c r="VKU132" s="118"/>
      <c r="VKV132" s="118"/>
      <c r="VKW132" s="118"/>
      <c r="VKX132" s="118"/>
      <c r="VKY132" s="118"/>
      <c r="VKZ132" s="118"/>
      <c r="VLA132" s="118"/>
      <c r="VLB132" s="118"/>
      <c r="VLC132" s="118"/>
      <c r="VLD132" s="118"/>
      <c r="VLE132" s="118"/>
      <c r="VLF132" s="118"/>
      <c r="VLG132" s="118"/>
      <c r="VLH132" s="118"/>
      <c r="VLI132" s="118"/>
      <c r="VLJ132" s="118"/>
      <c r="VLK132" s="118"/>
      <c r="VLL132" s="118"/>
      <c r="VLM132" s="118"/>
      <c r="VLN132" s="118"/>
      <c r="VLO132" s="118"/>
      <c r="VLP132" s="118"/>
      <c r="VLQ132" s="118"/>
      <c r="VLR132" s="118"/>
      <c r="VLS132" s="118"/>
      <c r="VLT132" s="118"/>
      <c r="VLU132" s="118"/>
      <c r="VLV132" s="118"/>
      <c r="VLW132" s="118"/>
      <c r="VLX132" s="118"/>
      <c r="VLY132" s="118"/>
      <c r="VLZ132" s="118"/>
      <c r="VMA132" s="118"/>
      <c r="VMB132" s="118"/>
      <c r="VMC132" s="118"/>
      <c r="VMD132" s="118"/>
      <c r="VME132" s="118"/>
      <c r="VMF132" s="118"/>
      <c r="VMG132" s="118"/>
      <c r="VMH132" s="118"/>
      <c r="VMI132" s="118"/>
      <c r="VMJ132" s="118"/>
      <c r="VMK132" s="118"/>
      <c r="VML132" s="118"/>
      <c r="VMM132" s="118"/>
      <c r="VMN132" s="118"/>
      <c r="VMO132" s="118"/>
      <c r="VMP132" s="118"/>
      <c r="VMQ132" s="118"/>
      <c r="VMR132" s="118"/>
      <c r="VMS132" s="118"/>
      <c r="VMT132" s="118"/>
      <c r="VMU132" s="118"/>
      <c r="VMV132" s="118"/>
      <c r="VMW132" s="118"/>
      <c r="VMX132" s="118"/>
      <c r="VMY132" s="118"/>
      <c r="VMZ132" s="118"/>
      <c r="VNA132" s="118"/>
      <c r="VNB132" s="118"/>
      <c r="VNC132" s="118"/>
      <c r="VND132" s="118"/>
      <c r="VNE132" s="118"/>
      <c r="VNF132" s="118"/>
      <c r="VNG132" s="118"/>
      <c r="VNH132" s="118"/>
      <c r="VNI132" s="118"/>
      <c r="VNJ132" s="118"/>
      <c r="VNK132" s="118"/>
      <c r="VNL132" s="118"/>
      <c r="VNM132" s="118"/>
      <c r="VNN132" s="118"/>
      <c r="VNO132" s="118"/>
      <c r="VNP132" s="118"/>
      <c r="VNQ132" s="118"/>
      <c r="VNR132" s="118"/>
      <c r="VNS132" s="118"/>
      <c r="VNT132" s="118"/>
      <c r="VNU132" s="118"/>
      <c r="VNV132" s="118"/>
      <c r="VNW132" s="118"/>
      <c r="VNX132" s="118"/>
      <c r="VNY132" s="118"/>
      <c r="VNZ132" s="118"/>
      <c r="VOA132" s="118"/>
      <c r="VOB132" s="118"/>
      <c r="VOC132" s="118"/>
      <c r="VOD132" s="118"/>
      <c r="VOE132" s="118"/>
      <c r="VOF132" s="118"/>
      <c r="VOG132" s="118"/>
      <c r="VOH132" s="118"/>
      <c r="VOI132" s="118"/>
      <c r="VOJ132" s="118"/>
      <c r="VOK132" s="118"/>
      <c r="VOL132" s="118"/>
      <c r="VOM132" s="118"/>
      <c r="VON132" s="118"/>
      <c r="VOO132" s="118"/>
      <c r="VOP132" s="118"/>
      <c r="VOQ132" s="118"/>
      <c r="VOR132" s="118"/>
      <c r="VOS132" s="118"/>
      <c r="VOT132" s="118"/>
      <c r="VOU132" s="118"/>
      <c r="VOV132" s="118"/>
      <c r="VOW132" s="118"/>
      <c r="VOX132" s="118"/>
      <c r="VOY132" s="118"/>
      <c r="VOZ132" s="118"/>
      <c r="VPA132" s="118"/>
      <c r="VPB132" s="118"/>
      <c r="VPC132" s="118"/>
      <c r="VPD132" s="118"/>
      <c r="VPE132" s="118"/>
      <c r="VPF132" s="118"/>
      <c r="VPG132" s="118"/>
      <c r="VPH132" s="118"/>
      <c r="VPI132" s="118"/>
      <c r="VPJ132" s="118"/>
      <c r="VPK132" s="118"/>
      <c r="VPL132" s="118"/>
      <c r="VPM132" s="118"/>
      <c r="VPN132" s="118"/>
      <c r="VPO132" s="118"/>
      <c r="VPP132" s="118"/>
      <c r="VPQ132" s="118"/>
      <c r="VPR132" s="118"/>
      <c r="VPS132" s="118"/>
      <c r="VPT132" s="118"/>
      <c r="VPU132" s="118"/>
      <c r="VPV132" s="118"/>
      <c r="VPW132" s="118"/>
      <c r="VPX132" s="118"/>
      <c r="VPY132" s="118"/>
      <c r="VPZ132" s="118"/>
      <c r="VQA132" s="118"/>
      <c r="VQB132" s="118"/>
      <c r="VQC132" s="118"/>
      <c r="VQD132" s="118"/>
      <c r="VQE132" s="118"/>
      <c r="VQF132" s="118"/>
      <c r="VQG132" s="118"/>
      <c r="VQH132" s="118"/>
      <c r="VQI132" s="118"/>
      <c r="VQJ132" s="118"/>
      <c r="VQK132" s="118"/>
      <c r="VQL132" s="118"/>
      <c r="VQM132" s="118"/>
      <c r="VQN132" s="118"/>
      <c r="VQO132" s="118"/>
      <c r="VQP132" s="118"/>
      <c r="VQQ132" s="118"/>
      <c r="VQR132" s="118"/>
      <c r="VQS132" s="118"/>
      <c r="VQT132" s="118"/>
      <c r="VQU132" s="118"/>
      <c r="VQV132" s="118"/>
      <c r="VQW132" s="118"/>
      <c r="VQX132" s="118"/>
      <c r="VQY132" s="118"/>
      <c r="VQZ132" s="118"/>
      <c r="VRA132" s="118"/>
      <c r="VRB132" s="118"/>
      <c r="VRC132" s="118"/>
      <c r="VRD132" s="118"/>
      <c r="VRE132" s="118"/>
      <c r="VRF132" s="118"/>
      <c r="VRG132" s="118"/>
      <c r="VRH132" s="118"/>
      <c r="VRI132" s="118"/>
      <c r="VRJ132" s="118"/>
      <c r="VRK132" s="118"/>
      <c r="VRL132" s="118"/>
      <c r="VRM132" s="118"/>
      <c r="VRN132" s="118"/>
      <c r="VRO132" s="118"/>
      <c r="VRP132" s="118"/>
      <c r="VRQ132" s="118"/>
      <c r="VRR132" s="118"/>
      <c r="VRS132" s="118"/>
      <c r="VRT132" s="118"/>
      <c r="VRU132" s="118"/>
      <c r="VRV132" s="118"/>
      <c r="VRW132" s="118"/>
      <c r="VRX132" s="118"/>
      <c r="VRY132" s="118"/>
      <c r="VRZ132" s="118"/>
      <c r="VSA132" s="118"/>
      <c r="VSB132" s="118"/>
      <c r="VSC132" s="118"/>
      <c r="VSD132" s="118"/>
      <c r="VSE132" s="118"/>
      <c r="VSF132" s="118"/>
      <c r="VSG132" s="118"/>
      <c r="VSH132" s="118"/>
      <c r="VSI132" s="118"/>
      <c r="VSJ132" s="118"/>
      <c r="VSK132" s="118"/>
      <c r="VSL132" s="118"/>
      <c r="VSM132" s="118"/>
      <c r="VSN132" s="118"/>
      <c r="VSO132" s="118"/>
      <c r="VSP132" s="118"/>
      <c r="VSQ132" s="118"/>
      <c r="VSR132" s="118"/>
      <c r="VSS132" s="118"/>
      <c r="VST132" s="118"/>
      <c r="VSU132" s="118"/>
      <c r="VSV132" s="118"/>
      <c r="VSW132" s="118"/>
      <c r="VSX132" s="118"/>
      <c r="VSY132" s="118"/>
      <c r="VSZ132" s="118"/>
      <c r="VTA132" s="118"/>
      <c r="VTB132" s="118"/>
      <c r="VTC132" s="118"/>
      <c r="VTD132" s="118"/>
      <c r="VTE132" s="118"/>
      <c r="VTF132" s="118"/>
      <c r="VTG132" s="118"/>
      <c r="VTH132" s="118"/>
      <c r="VTI132" s="118"/>
      <c r="VTJ132" s="118"/>
      <c r="VTK132" s="118"/>
      <c r="VTL132" s="118"/>
      <c r="VTM132" s="118"/>
      <c r="VTN132" s="118"/>
      <c r="VTO132" s="118"/>
      <c r="VTP132" s="118"/>
      <c r="VTQ132" s="118"/>
      <c r="VTR132" s="118"/>
      <c r="VTS132" s="118"/>
      <c r="VTT132" s="118"/>
      <c r="VTU132" s="118"/>
      <c r="VTV132" s="118"/>
      <c r="VTW132" s="118"/>
      <c r="VTX132" s="118"/>
      <c r="VTY132" s="118"/>
      <c r="VTZ132" s="118"/>
      <c r="VUA132" s="118"/>
      <c r="VUB132" s="118"/>
      <c r="VUC132" s="118"/>
      <c r="VUD132" s="118"/>
      <c r="VUE132" s="118"/>
      <c r="VUF132" s="118"/>
      <c r="VUG132" s="118"/>
      <c r="VUH132" s="118"/>
      <c r="VUI132" s="118"/>
      <c r="VUJ132" s="118"/>
      <c r="VUK132" s="118"/>
      <c r="VUL132" s="118"/>
      <c r="VUM132" s="118"/>
      <c r="VUN132" s="118"/>
      <c r="VUO132" s="118"/>
      <c r="VUP132" s="118"/>
      <c r="VUQ132" s="118"/>
      <c r="VUR132" s="118"/>
      <c r="VUS132" s="118"/>
      <c r="VUT132" s="118"/>
      <c r="VUU132" s="118"/>
      <c r="VUV132" s="118"/>
      <c r="VUW132" s="118"/>
      <c r="VUX132" s="118"/>
      <c r="VUY132" s="118"/>
      <c r="VUZ132" s="118"/>
      <c r="VVA132" s="118"/>
      <c r="VVB132" s="118"/>
      <c r="VVC132" s="118"/>
      <c r="VVD132" s="118"/>
      <c r="VVE132" s="118"/>
      <c r="VVF132" s="118"/>
      <c r="VVG132" s="118"/>
      <c r="VVH132" s="118"/>
      <c r="VVI132" s="118"/>
      <c r="VVJ132" s="118"/>
      <c r="VVK132" s="118"/>
      <c r="VVL132" s="118"/>
      <c r="VVM132" s="118"/>
      <c r="VVN132" s="118"/>
      <c r="VVO132" s="118"/>
      <c r="VVP132" s="118"/>
      <c r="VVQ132" s="118"/>
      <c r="VVR132" s="118"/>
      <c r="VVS132" s="118"/>
      <c r="VVT132" s="118"/>
      <c r="VVU132" s="118"/>
      <c r="VVV132" s="118"/>
      <c r="VVW132" s="118"/>
      <c r="VVX132" s="118"/>
      <c r="VVY132" s="118"/>
      <c r="VVZ132" s="118"/>
      <c r="VWA132" s="118"/>
      <c r="VWB132" s="118"/>
      <c r="VWC132" s="118"/>
      <c r="VWD132" s="118"/>
      <c r="VWE132" s="118"/>
      <c r="VWF132" s="118"/>
      <c r="VWG132" s="118"/>
      <c r="VWH132" s="118"/>
      <c r="VWI132" s="118"/>
      <c r="VWJ132" s="118"/>
      <c r="VWK132" s="118"/>
      <c r="VWL132" s="118"/>
      <c r="VWM132" s="118"/>
      <c r="VWN132" s="118"/>
      <c r="VWO132" s="118"/>
      <c r="VWP132" s="118"/>
      <c r="VWQ132" s="118"/>
      <c r="VWR132" s="118"/>
      <c r="VWS132" s="118"/>
      <c r="VWT132" s="118"/>
      <c r="VWU132" s="118"/>
      <c r="VWV132" s="118"/>
      <c r="VWW132" s="118"/>
      <c r="VWX132" s="118"/>
      <c r="VWY132" s="118"/>
      <c r="VWZ132" s="118"/>
      <c r="VXA132" s="118"/>
      <c r="VXB132" s="118"/>
      <c r="VXC132" s="118"/>
      <c r="VXD132" s="118"/>
      <c r="VXE132" s="118"/>
      <c r="VXF132" s="118"/>
      <c r="VXG132" s="118"/>
      <c r="VXH132" s="118"/>
      <c r="VXI132" s="118"/>
      <c r="VXJ132" s="118"/>
      <c r="VXK132" s="118"/>
      <c r="VXL132" s="118"/>
      <c r="VXM132" s="118"/>
      <c r="VXN132" s="118"/>
      <c r="VXO132" s="118"/>
      <c r="VXP132" s="118"/>
      <c r="VXQ132" s="118"/>
      <c r="VXR132" s="118"/>
      <c r="VXS132" s="118"/>
      <c r="VXT132" s="118"/>
      <c r="VXU132" s="118"/>
      <c r="VXV132" s="118"/>
      <c r="VXW132" s="118"/>
      <c r="VXX132" s="118"/>
      <c r="VXY132" s="118"/>
      <c r="VXZ132" s="118"/>
      <c r="VYA132" s="118"/>
      <c r="VYB132" s="118"/>
      <c r="VYC132" s="118"/>
      <c r="VYD132" s="118"/>
      <c r="VYE132" s="118"/>
      <c r="VYF132" s="118"/>
      <c r="VYG132" s="118"/>
      <c r="VYH132" s="118"/>
      <c r="VYI132" s="118"/>
      <c r="VYJ132" s="118"/>
      <c r="VYK132" s="118"/>
      <c r="VYL132" s="118"/>
      <c r="VYM132" s="118"/>
      <c r="VYN132" s="118"/>
      <c r="VYO132" s="118"/>
      <c r="VYP132" s="118"/>
      <c r="VYQ132" s="118"/>
      <c r="VYR132" s="118"/>
      <c r="VYS132" s="118"/>
      <c r="VYT132" s="118"/>
      <c r="VYU132" s="118"/>
      <c r="VYV132" s="118"/>
      <c r="VYW132" s="118"/>
      <c r="VYX132" s="118"/>
      <c r="VYY132" s="118"/>
      <c r="VYZ132" s="118"/>
      <c r="VZA132" s="118"/>
      <c r="VZB132" s="118"/>
      <c r="VZC132" s="118"/>
      <c r="VZD132" s="118"/>
      <c r="VZE132" s="118"/>
      <c r="VZF132" s="118"/>
      <c r="VZG132" s="118"/>
      <c r="VZH132" s="118"/>
      <c r="VZI132" s="118"/>
      <c r="VZJ132" s="118"/>
      <c r="VZK132" s="118"/>
      <c r="VZL132" s="118"/>
      <c r="VZM132" s="118"/>
      <c r="VZN132" s="118"/>
      <c r="VZO132" s="118"/>
      <c r="VZP132" s="118"/>
      <c r="VZQ132" s="118"/>
      <c r="VZR132" s="118"/>
      <c r="VZS132" s="118"/>
      <c r="VZT132" s="118"/>
      <c r="VZU132" s="118"/>
      <c r="VZV132" s="118"/>
      <c r="VZW132" s="118"/>
      <c r="VZX132" s="118"/>
      <c r="VZY132" s="118"/>
      <c r="VZZ132" s="118"/>
      <c r="WAA132" s="118"/>
      <c r="WAB132" s="118"/>
      <c r="WAC132" s="118"/>
      <c r="WAD132" s="118"/>
      <c r="WAE132" s="118"/>
      <c r="WAF132" s="118"/>
      <c r="WAG132" s="118"/>
      <c r="WAH132" s="118"/>
      <c r="WAI132" s="118"/>
      <c r="WAJ132" s="118"/>
      <c r="WAK132" s="118"/>
      <c r="WAL132" s="118"/>
      <c r="WAM132" s="118"/>
      <c r="WAN132" s="118"/>
      <c r="WAO132" s="118"/>
      <c r="WAP132" s="118"/>
      <c r="WAQ132" s="118"/>
      <c r="WAR132" s="118"/>
      <c r="WAS132" s="118"/>
      <c r="WAT132" s="118"/>
      <c r="WAU132" s="118"/>
      <c r="WAV132" s="118"/>
      <c r="WAW132" s="118"/>
      <c r="WAX132" s="118"/>
      <c r="WAY132" s="118"/>
      <c r="WAZ132" s="118"/>
      <c r="WBA132" s="118"/>
      <c r="WBB132" s="118"/>
      <c r="WBC132" s="118"/>
      <c r="WBD132" s="118"/>
      <c r="WBE132" s="118"/>
      <c r="WBF132" s="118"/>
      <c r="WBG132" s="118"/>
      <c r="WBH132" s="118"/>
      <c r="WBI132" s="118"/>
      <c r="WBJ132" s="118"/>
      <c r="WBK132" s="118"/>
      <c r="WBL132" s="118"/>
      <c r="WBM132" s="118"/>
      <c r="WBN132" s="118"/>
      <c r="WBO132" s="118"/>
      <c r="WBP132" s="118"/>
      <c r="WBQ132" s="118"/>
      <c r="WBR132" s="118"/>
      <c r="WBS132" s="118"/>
      <c r="WBT132" s="118"/>
      <c r="WBU132" s="118"/>
      <c r="WBV132" s="118"/>
      <c r="WBW132" s="118"/>
      <c r="WBX132" s="118"/>
      <c r="WBY132" s="118"/>
      <c r="WBZ132" s="118"/>
      <c r="WCA132" s="118"/>
      <c r="WCB132" s="118"/>
      <c r="WCC132" s="118"/>
      <c r="WCD132" s="118"/>
      <c r="WCE132" s="118"/>
      <c r="WCF132" s="118"/>
      <c r="WCG132" s="118"/>
      <c r="WCH132" s="118"/>
      <c r="WCI132" s="118"/>
      <c r="WCJ132" s="118"/>
      <c r="WCK132" s="118"/>
      <c r="WCL132" s="118"/>
      <c r="WCM132" s="118"/>
      <c r="WCN132" s="118"/>
      <c r="WCO132" s="118"/>
      <c r="WCP132" s="118"/>
      <c r="WCQ132" s="118"/>
      <c r="WCR132" s="118"/>
      <c r="WCS132" s="118"/>
      <c r="WCT132" s="118"/>
      <c r="WCU132" s="118"/>
      <c r="WCV132" s="118"/>
      <c r="WCW132" s="118"/>
      <c r="WCX132" s="118"/>
      <c r="WCY132" s="118"/>
      <c r="WCZ132" s="118"/>
      <c r="WDA132" s="118"/>
      <c r="WDB132" s="118"/>
      <c r="WDC132" s="118"/>
      <c r="WDD132" s="118"/>
      <c r="WDE132" s="118"/>
      <c r="WDF132" s="118"/>
      <c r="WDG132" s="118"/>
      <c r="WDH132" s="118"/>
      <c r="WDI132" s="118"/>
      <c r="WDJ132" s="118"/>
      <c r="WDK132" s="118"/>
      <c r="WDL132" s="118"/>
      <c r="WDM132" s="118"/>
      <c r="WDN132" s="118"/>
      <c r="WDO132" s="118"/>
      <c r="WDP132" s="118"/>
      <c r="WDQ132" s="118"/>
      <c r="WDR132" s="118"/>
      <c r="WDS132" s="118"/>
      <c r="WDT132" s="118"/>
      <c r="WDU132" s="118"/>
      <c r="WDV132" s="118"/>
      <c r="WDW132" s="118"/>
      <c r="WDX132" s="118"/>
      <c r="WDY132" s="118"/>
      <c r="WDZ132" s="118"/>
      <c r="WEA132" s="118"/>
      <c r="WEB132" s="118"/>
      <c r="WEC132" s="118"/>
      <c r="WED132" s="118"/>
      <c r="WEE132" s="118"/>
      <c r="WEF132" s="118"/>
      <c r="WEG132" s="118"/>
      <c r="WEH132" s="118"/>
      <c r="WEI132" s="118"/>
      <c r="WEJ132" s="118"/>
      <c r="WEK132" s="118"/>
      <c r="WEL132" s="118"/>
      <c r="WEM132" s="118"/>
      <c r="WEN132" s="118"/>
      <c r="WEO132" s="118"/>
      <c r="WEP132" s="118"/>
      <c r="WEQ132" s="118"/>
      <c r="WER132" s="118"/>
      <c r="WES132" s="118"/>
      <c r="WET132" s="118"/>
      <c r="WEU132" s="118"/>
      <c r="WEV132" s="118"/>
      <c r="WEW132" s="118"/>
      <c r="WEX132" s="118"/>
      <c r="WEY132" s="118"/>
      <c r="WEZ132" s="118"/>
      <c r="WFA132" s="118"/>
      <c r="WFB132" s="118"/>
      <c r="WFC132" s="118"/>
      <c r="WFD132" s="118"/>
      <c r="WFE132" s="118"/>
      <c r="WFF132" s="118"/>
      <c r="WFG132" s="118"/>
      <c r="WFH132" s="118"/>
      <c r="WFI132" s="118"/>
      <c r="WFJ132" s="118"/>
      <c r="WFK132" s="118"/>
      <c r="WFL132" s="118"/>
      <c r="WFM132" s="118"/>
      <c r="WFN132" s="118"/>
      <c r="WFO132" s="118"/>
      <c r="WFP132" s="118"/>
      <c r="WFQ132" s="118"/>
      <c r="WFR132" s="118"/>
      <c r="WFS132" s="118"/>
      <c r="WFT132" s="118"/>
      <c r="WFU132" s="118"/>
      <c r="WFV132" s="118"/>
      <c r="WFW132" s="118"/>
      <c r="WFX132" s="118"/>
      <c r="WFY132" s="118"/>
      <c r="WFZ132" s="118"/>
      <c r="WGA132" s="118"/>
      <c r="WGB132" s="118"/>
      <c r="WGC132" s="118"/>
      <c r="WGD132" s="118"/>
      <c r="WGE132" s="118"/>
      <c r="WGF132" s="118"/>
      <c r="WGG132" s="118"/>
      <c r="WGH132" s="118"/>
      <c r="WGI132" s="118"/>
      <c r="WGJ132" s="118"/>
      <c r="WGK132" s="118"/>
      <c r="WGL132" s="118"/>
      <c r="WGM132" s="118"/>
      <c r="WGN132" s="118"/>
      <c r="WGO132" s="118"/>
      <c r="WGP132" s="118"/>
      <c r="WGQ132" s="118"/>
      <c r="WGR132" s="118"/>
      <c r="WGS132" s="118"/>
      <c r="WGT132" s="118"/>
      <c r="WGU132" s="118"/>
      <c r="WGV132" s="118"/>
      <c r="WGW132" s="118"/>
      <c r="WGX132" s="118"/>
      <c r="WGY132" s="118"/>
      <c r="WGZ132" s="118"/>
      <c r="WHA132" s="118"/>
      <c r="WHB132" s="118"/>
      <c r="WHC132" s="118"/>
      <c r="WHD132" s="118"/>
      <c r="WHE132" s="118"/>
      <c r="WHF132" s="118"/>
      <c r="WHG132" s="118"/>
      <c r="WHH132" s="118"/>
      <c r="WHI132" s="118"/>
      <c r="WHJ132" s="118"/>
      <c r="WHK132" s="118"/>
      <c r="WHL132" s="118"/>
      <c r="WHM132" s="118"/>
      <c r="WHN132" s="118"/>
      <c r="WHO132" s="118"/>
      <c r="WHP132" s="118"/>
      <c r="WHQ132" s="118"/>
      <c r="WHR132" s="118"/>
      <c r="WHS132" s="118"/>
      <c r="WHT132" s="118"/>
      <c r="WHU132" s="118"/>
      <c r="WHV132" s="118"/>
      <c r="WHW132" s="118"/>
      <c r="WHX132" s="118"/>
      <c r="WHY132" s="118"/>
      <c r="WHZ132" s="118"/>
      <c r="WIA132" s="118"/>
      <c r="WIB132" s="118"/>
      <c r="WIC132" s="118"/>
      <c r="WID132" s="118"/>
      <c r="WIE132" s="118"/>
      <c r="WIF132" s="118"/>
      <c r="WIG132" s="118"/>
      <c r="WIH132" s="118"/>
      <c r="WII132" s="118"/>
      <c r="WIJ132" s="118"/>
      <c r="WIK132" s="118"/>
      <c r="WIL132" s="118"/>
      <c r="WIM132" s="118"/>
      <c r="WIN132" s="118"/>
      <c r="WIO132" s="118"/>
      <c r="WIP132" s="118"/>
      <c r="WIQ132" s="118"/>
      <c r="WIR132" s="118"/>
      <c r="WIS132" s="118"/>
      <c r="WIT132" s="118"/>
      <c r="WIU132" s="118"/>
      <c r="WIV132" s="118"/>
      <c r="WIW132" s="118"/>
      <c r="WIX132" s="118"/>
      <c r="WIY132" s="118"/>
      <c r="WIZ132" s="118"/>
      <c r="WJA132" s="118"/>
      <c r="WJB132" s="118"/>
      <c r="WJC132" s="118"/>
      <c r="WJD132" s="118"/>
      <c r="WJE132" s="118"/>
      <c r="WJF132" s="118"/>
      <c r="WJG132" s="118"/>
      <c r="WJH132" s="118"/>
      <c r="WJI132" s="118"/>
      <c r="WJJ132" s="118"/>
      <c r="WJK132" s="118"/>
      <c r="WJL132" s="118"/>
      <c r="WJM132" s="118"/>
      <c r="WJN132" s="118"/>
      <c r="WJO132" s="118"/>
      <c r="WJP132" s="118"/>
      <c r="WJQ132" s="118"/>
      <c r="WJR132" s="118"/>
      <c r="WJS132" s="118"/>
      <c r="WJT132" s="118"/>
      <c r="WJU132" s="118"/>
      <c r="WJV132" s="118"/>
      <c r="WJW132" s="118"/>
      <c r="WJX132" s="118"/>
      <c r="WJY132" s="118"/>
      <c r="WJZ132" s="118"/>
      <c r="WKA132" s="118"/>
      <c r="WKB132" s="118"/>
      <c r="WKC132" s="118"/>
      <c r="WKD132" s="118"/>
      <c r="WKE132" s="118"/>
      <c r="WKF132" s="118"/>
      <c r="WKG132" s="118"/>
      <c r="WKH132" s="118"/>
      <c r="WKI132" s="118"/>
      <c r="WKJ132" s="118"/>
      <c r="WKK132" s="118"/>
      <c r="WKL132" s="118"/>
      <c r="WKM132" s="118"/>
      <c r="WKN132" s="118"/>
      <c r="WKO132" s="118"/>
      <c r="WKP132" s="118"/>
      <c r="WKQ132" s="118"/>
      <c r="WKR132" s="118"/>
      <c r="WKS132" s="118"/>
      <c r="WKT132" s="118"/>
      <c r="WKU132" s="118"/>
      <c r="WKV132" s="118"/>
      <c r="WKW132" s="118"/>
      <c r="WKX132" s="118"/>
      <c r="WKY132" s="118"/>
      <c r="WKZ132" s="118"/>
      <c r="WLA132" s="118"/>
      <c r="WLB132" s="118"/>
      <c r="WLC132" s="118"/>
      <c r="WLD132" s="118"/>
      <c r="WLE132" s="118"/>
      <c r="WLF132" s="118"/>
      <c r="WLG132" s="118"/>
      <c r="WLH132" s="118"/>
      <c r="WLI132" s="118"/>
      <c r="WLJ132" s="118"/>
      <c r="WLK132" s="118"/>
      <c r="WLL132" s="118"/>
      <c r="WLM132" s="118"/>
      <c r="WLN132" s="118"/>
      <c r="WLO132" s="118"/>
      <c r="WLP132" s="118"/>
      <c r="WLQ132" s="118"/>
      <c r="WLR132" s="118"/>
      <c r="WLS132" s="118"/>
      <c r="WLT132" s="118"/>
      <c r="WLU132" s="118"/>
      <c r="WLV132" s="118"/>
      <c r="WLW132" s="118"/>
      <c r="WLX132" s="118"/>
      <c r="WLY132" s="118"/>
      <c r="WLZ132" s="118"/>
      <c r="WMA132" s="118"/>
      <c r="WMB132" s="118"/>
      <c r="WMC132" s="118"/>
      <c r="WMD132" s="118"/>
      <c r="WME132" s="118"/>
      <c r="WMF132" s="118"/>
      <c r="WMG132" s="118"/>
      <c r="WMH132" s="118"/>
      <c r="WMI132" s="118"/>
      <c r="WMJ132" s="118"/>
      <c r="WMK132" s="118"/>
      <c r="WML132" s="118"/>
      <c r="WMM132" s="118"/>
      <c r="WMN132" s="118"/>
      <c r="WMO132" s="118"/>
      <c r="WMP132" s="118"/>
      <c r="WMQ132" s="118"/>
      <c r="WMR132" s="118"/>
      <c r="WMS132" s="118"/>
      <c r="WMT132" s="118"/>
      <c r="WMU132" s="118"/>
      <c r="WMV132" s="118"/>
      <c r="WMW132" s="118"/>
      <c r="WMX132" s="118"/>
      <c r="WMY132" s="118"/>
      <c r="WMZ132" s="118"/>
      <c r="WNA132" s="118"/>
      <c r="WNB132" s="118"/>
      <c r="WNC132" s="118"/>
      <c r="WND132" s="118"/>
      <c r="WNE132" s="118"/>
      <c r="WNF132" s="118"/>
      <c r="WNG132" s="118"/>
      <c r="WNH132" s="118"/>
      <c r="WNI132" s="118"/>
      <c r="WNJ132" s="118"/>
      <c r="WNK132" s="118"/>
      <c r="WNL132" s="118"/>
      <c r="WNM132" s="118"/>
      <c r="WNN132" s="118"/>
      <c r="WNO132" s="118"/>
      <c r="WNP132" s="118"/>
      <c r="WNQ132" s="118"/>
      <c r="WNR132" s="118"/>
      <c r="WNS132" s="118"/>
      <c r="WNT132" s="118"/>
      <c r="WNU132" s="118"/>
      <c r="WNV132" s="118"/>
      <c r="WNW132" s="118"/>
      <c r="WNX132" s="118"/>
      <c r="WNY132" s="118"/>
      <c r="WNZ132" s="118"/>
      <c r="WOA132" s="118"/>
      <c r="WOB132" s="118"/>
      <c r="WOC132" s="118"/>
      <c r="WOD132" s="118"/>
      <c r="WOE132" s="118"/>
      <c r="WOF132" s="118"/>
      <c r="WOG132" s="118"/>
      <c r="WOH132" s="118"/>
      <c r="WOI132" s="118"/>
      <c r="WOJ132" s="118"/>
      <c r="WOK132" s="118"/>
      <c r="WOL132" s="118"/>
      <c r="WOM132" s="118"/>
      <c r="WON132" s="118"/>
      <c r="WOO132" s="118"/>
      <c r="WOP132" s="118"/>
      <c r="WOQ132" s="118"/>
      <c r="WOR132" s="118"/>
      <c r="WOS132" s="118"/>
      <c r="WOT132" s="118"/>
      <c r="WOU132" s="118"/>
      <c r="WOV132" s="118"/>
      <c r="WOW132" s="118"/>
      <c r="WOX132" s="118"/>
      <c r="WOY132" s="118"/>
      <c r="WOZ132" s="118"/>
      <c r="WPA132" s="118"/>
      <c r="WPB132" s="118"/>
      <c r="WPC132" s="118"/>
      <c r="WPD132" s="118"/>
      <c r="WPE132" s="118"/>
      <c r="WPF132" s="118"/>
      <c r="WPG132" s="118"/>
      <c r="WPH132" s="118"/>
      <c r="WPI132" s="118"/>
      <c r="WPJ132" s="118"/>
      <c r="WPK132" s="118"/>
      <c r="WPL132" s="118"/>
      <c r="WPM132" s="118"/>
      <c r="WPN132" s="118"/>
      <c r="WPO132" s="118"/>
      <c r="WPP132" s="118"/>
      <c r="WPQ132" s="118"/>
      <c r="WPR132" s="118"/>
      <c r="WPS132" s="118"/>
      <c r="WPT132" s="118"/>
      <c r="WPU132" s="118"/>
      <c r="WPV132" s="118"/>
      <c r="WPW132" s="118"/>
      <c r="WPX132" s="118"/>
      <c r="WPY132" s="118"/>
      <c r="WPZ132" s="118"/>
      <c r="WQA132" s="118"/>
      <c r="WQB132" s="118"/>
      <c r="WQC132" s="118"/>
      <c r="WQD132" s="118"/>
      <c r="WQE132" s="118"/>
      <c r="WQF132" s="118"/>
      <c r="WQG132" s="118"/>
      <c r="WQH132" s="118"/>
      <c r="WQI132" s="118"/>
      <c r="WQJ132" s="118"/>
      <c r="WQK132" s="118"/>
      <c r="WQL132" s="118"/>
      <c r="WQM132" s="118"/>
      <c r="WQN132" s="118"/>
      <c r="WQO132" s="118"/>
      <c r="WQP132" s="118"/>
      <c r="WQQ132" s="118"/>
      <c r="WQR132" s="118"/>
      <c r="WQS132" s="118"/>
      <c r="WQT132" s="118"/>
      <c r="WQU132" s="118"/>
      <c r="WQV132" s="118"/>
      <c r="WQW132" s="118"/>
      <c r="WQX132" s="118"/>
      <c r="WQY132" s="118"/>
      <c r="WQZ132" s="118"/>
      <c r="WRA132" s="118"/>
      <c r="WRB132" s="118"/>
      <c r="WRC132" s="118"/>
      <c r="WRD132" s="118"/>
      <c r="WRE132" s="118"/>
      <c r="WRF132" s="118"/>
      <c r="WRG132" s="118"/>
      <c r="WRH132" s="118"/>
      <c r="WRI132" s="118"/>
      <c r="WRJ132" s="118"/>
      <c r="WRK132" s="118"/>
      <c r="WRL132" s="118"/>
      <c r="WRM132" s="118"/>
      <c r="WRN132" s="118"/>
      <c r="WRO132" s="118"/>
      <c r="WRP132" s="118"/>
      <c r="WRQ132" s="118"/>
      <c r="WRR132" s="118"/>
      <c r="WRS132" s="118"/>
      <c r="WRT132" s="118"/>
      <c r="WRU132" s="118"/>
      <c r="WRV132" s="118"/>
      <c r="WRW132" s="118"/>
      <c r="WRX132" s="118"/>
      <c r="WRY132" s="118"/>
      <c r="WRZ132" s="118"/>
      <c r="WSA132" s="118"/>
      <c r="WSB132" s="118"/>
      <c r="WSC132" s="118"/>
      <c r="WSD132" s="118"/>
      <c r="WSE132" s="118"/>
      <c r="WSF132" s="118"/>
      <c r="WSG132" s="118"/>
      <c r="WSH132" s="118"/>
      <c r="WSI132" s="118"/>
      <c r="WSJ132" s="118"/>
      <c r="WSK132" s="118"/>
      <c r="WSL132" s="118"/>
      <c r="WSM132" s="118"/>
      <c r="WSN132" s="118"/>
      <c r="WSO132" s="118"/>
      <c r="WSP132" s="118"/>
      <c r="WSQ132" s="118"/>
      <c r="WSR132" s="118"/>
      <c r="WSS132" s="118"/>
      <c r="WST132" s="118"/>
      <c r="WSU132" s="118"/>
      <c r="WSV132" s="118"/>
      <c r="WSW132" s="118"/>
      <c r="WSX132" s="118"/>
      <c r="WSY132" s="118"/>
      <c r="WSZ132" s="118"/>
      <c r="WTA132" s="118"/>
      <c r="WTB132" s="118"/>
      <c r="WTC132" s="118"/>
      <c r="WTD132" s="118"/>
      <c r="WTE132" s="118"/>
      <c r="WTF132" s="118"/>
      <c r="WTG132" s="118"/>
      <c r="WTH132" s="118"/>
      <c r="WTI132" s="118"/>
      <c r="WTJ132" s="118"/>
      <c r="WTK132" s="118"/>
      <c r="WTL132" s="118"/>
      <c r="WTM132" s="118"/>
      <c r="WTN132" s="118"/>
      <c r="WTO132" s="118"/>
      <c r="WTP132" s="118"/>
      <c r="WTQ132" s="118"/>
      <c r="WTR132" s="118"/>
      <c r="WTS132" s="118"/>
      <c r="WTT132" s="118"/>
      <c r="WTU132" s="118"/>
      <c r="WTV132" s="118"/>
      <c r="WTW132" s="118"/>
      <c r="WTX132" s="118"/>
      <c r="WTY132" s="118"/>
      <c r="WTZ132" s="118"/>
      <c r="WUA132" s="118"/>
      <c r="WUB132" s="118"/>
      <c r="WUC132" s="118"/>
      <c r="WUD132" s="118"/>
      <c r="WUE132" s="118"/>
      <c r="WUF132" s="118"/>
      <c r="WUG132" s="118"/>
      <c r="WUH132" s="118"/>
      <c r="WUI132" s="118"/>
      <c r="WUJ132" s="118"/>
      <c r="WUK132" s="118"/>
      <c r="WUL132" s="118"/>
      <c r="WUM132" s="118"/>
      <c r="WUN132" s="118"/>
      <c r="WUO132" s="118"/>
      <c r="WUP132" s="118"/>
      <c r="WUQ132" s="118"/>
      <c r="WUR132" s="118"/>
      <c r="WUS132" s="118"/>
      <c r="WUT132" s="118"/>
      <c r="WUU132" s="118"/>
      <c r="WUV132" s="118"/>
      <c r="WUW132" s="118"/>
      <c r="WUX132" s="118"/>
      <c r="WUY132" s="118"/>
      <c r="WUZ132" s="118"/>
      <c r="WVA132" s="118"/>
      <c r="WVB132" s="118"/>
      <c r="WVC132" s="118"/>
      <c r="WVD132" s="118"/>
      <c r="WVE132" s="118"/>
      <c r="WVF132" s="118"/>
      <c r="WVG132" s="118"/>
      <c r="WVH132" s="118"/>
      <c r="WVI132" s="118"/>
      <c r="WVJ132" s="118"/>
      <c r="WVK132" s="118"/>
      <c r="WVL132" s="118"/>
      <c r="WVM132" s="118"/>
      <c r="WVN132" s="118"/>
      <c r="WVO132" s="118"/>
      <c r="WVP132" s="118"/>
      <c r="WVQ132" s="118"/>
      <c r="WVR132" s="118"/>
      <c r="WVS132" s="118"/>
      <c r="WVT132" s="118"/>
      <c r="WVU132" s="118"/>
      <c r="WVV132" s="118"/>
      <c r="WVW132" s="118"/>
      <c r="WVX132" s="118"/>
      <c r="WVY132" s="118"/>
      <c r="WVZ132" s="118"/>
      <c r="WWA132" s="118"/>
      <c r="WWB132" s="118"/>
      <c r="WWC132" s="118"/>
      <c r="WWD132" s="118"/>
      <c r="WWE132" s="118"/>
      <c r="WWF132" s="118"/>
      <c r="WWG132" s="118"/>
      <c r="WWH132" s="118"/>
      <c r="WWI132" s="118"/>
      <c r="WWJ132" s="118"/>
      <c r="WWK132" s="118"/>
      <c r="WWL132" s="118"/>
      <c r="WWM132" s="118"/>
      <c r="WWN132" s="118"/>
      <c r="WWO132" s="118"/>
      <c r="WWP132" s="118"/>
      <c r="WWQ132" s="118"/>
      <c r="WWR132" s="118"/>
      <c r="WWS132" s="118"/>
      <c r="WWT132" s="118"/>
      <c r="WWU132" s="118"/>
      <c r="WWV132" s="118"/>
      <c r="WWW132" s="118"/>
      <c r="WWX132" s="118"/>
      <c r="WWY132" s="118"/>
      <c r="WWZ132" s="118"/>
      <c r="WXA132" s="118"/>
      <c r="WXB132" s="118"/>
      <c r="WXC132" s="118"/>
      <c r="WXD132" s="118"/>
      <c r="WXE132" s="118"/>
      <c r="WXF132" s="118"/>
      <c r="WXG132" s="118"/>
      <c r="WXH132" s="118"/>
      <c r="WXI132" s="118"/>
      <c r="WXJ132" s="118"/>
      <c r="WXK132" s="118"/>
      <c r="WXL132" s="118"/>
      <c r="WXM132" s="118"/>
      <c r="WXN132" s="118"/>
      <c r="WXO132" s="118"/>
      <c r="WXP132" s="118"/>
      <c r="WXQ132" s="118"/>
      <c r="WXR132" s="118"/>
      <c r="WXS132" s="118"/>
      <c r="WXT132" s="118"/>
      <c r="WXU132" s="118"/>
      <c r="WXV132" s="118"/>
      <c r="WXW132" s="118"/>
      <c r="WXX132" s="118"/>
      <c r="WXY132" s="118"/>
      <c r="WXZ132" s="118"/>
      <c r="WYA132" s="118"/>
      <c r="WYB132" s="118"/>
      <c r="WYC132" s="118"/>
      <c r="WYD132" s="118"/>
      <c r="WYE132" s="118"/>
      <c r="WYF132" s="118"/>
      <c r="WYG132" s="118"/>
      <c r="WYH132" s="118"/>
      <c r="WYI132" s="118"/>
      <c r="WYJ132" s="118"/>
      <c r="WYK132" s="118"/>
      <c r="WYL132" s="118"/>
      <c r="WYM132" s="118"/>
      <c r="WYN132" s="118"/>
      <c r="WYO132" s="118"/>
      <c r="WYP132" s="118"/>
      <c r="WYQ132" s="118"/>
      <c r="WYR132" s="118"/>
      <c r="WYS132" s="118"/>
      <c r="WYT132" s="118"/>
      <c r="WYU132" s="118"/>
      <c r="WYV132" s="118"/>
      <c r="WYW132" s="118"/>
      <c r="WYX132" s="118"/>
      <c r="WYY132" s="118"/>
      <c r="WYZ132" s="118"/>
      <c r="WZA132" s="118"/>
      <c r="WZB132" s="118"/>
      <c r="WZC132" s="118"/>
      <c r="WZD132" s="118"/>
      <c r="WZE132" s="118"/>
      <c r="WZF132" s="118"/>
      <c r="WZG132" s="118"/>
      <c r="WZH132" s="118"/>
      <c r="WZI132" s="118"/>
      <c r="WZJ132" s="118"/>
      <c r="WZK132" s="118"/>
      <c r="WZL132" s="118"/>
      <c r="WZM132" s="118"/>
      <c r="WZN132" s="118"/>
      <c r="WZO132" s="118"/>
      <c r="WZP132" s="118"/>
      <c r="WZQ132" s="118"/>
      <c r="WZR132" s="118"/>
      <c r="WZS132" s="118"/>
      <c r="WZT132" s="118"/>
      <c r="WZU132" s="118"/>
      <c r="WZV132" s="118"/>
      <c r="WZW132" s="118"/>
      <c r="WZX132" s="118"/>
      <c r="WZY132" s="118"/>
      <c r="WZZ132" s="118"/>
      <c r="XAA132" s="118"/>
      <c r="XAB132" s="118"/>
      <c r="XAC132" s="118"/>
      <c r="XAD132" s="118"/>
      <c r="XAE132" s="118"/>
      <c r="XAF132" s="118"/>
      <c r="XAG132" s="118"/>
      <c r="XAH132" s="118"/>
      <c r="XAI132" s="118"/>
      <c r="XAJ132" s="118"/>
      <c r="XAK132" s="118"/>
      <c r="XAL132" s="118"/>
      <c r="XAM132" s="118"/>
      <c r="XAN132" s="118"/>
      <c r="XAO132" s="118"/>
      <c r="XAP132" s="118"/>
      <c r="XAQ132" s="118"/>
      <c r="XAR132" s="118"/>
      <c r="XAS132" s="118"/>
      <c r="XAT132" s="118"/>
      <c r="XAU132" s="118"/>
      <c r="XAV132" s="118"/>
      <c r="XAW132" s="118"/>
      <c r="XAX132" s="118"/>
      <c r="XAY132" s="118"/>
      <c r="XAZ132" s="118"/>
      <c r="XBA132" s="118"/>
      <c r="XBB132" s="118"/>
      <c r="XBC132" s="118"/>
      <c r="XBD132" s="118"/>
      <c r="XBE132" s="118"/>
      <c r="XBF132" s="118"/>
      <c r="XBG132" s="118"/>
      <c r="XBH132" s="118"/>
      <c r="XBI132" s="118"/>
      <c r="XBJ132" s="118"/>
      <c r="XBK132" s="118"/>
      <c r="XBL132" s="118"/>
      <c r="XBM132" s="118"/>
      <c r="XBN132" s="118"/>
      <c r="XBO132" s="118"/>
      <c r="XBP132" s="118"/>
      <c r="XBQ132" s="118"/>
      <c r="XBR132" s="118"/>
      <c r="XBS132" s="118"/>
      <c r="XBT132" s="118"/>
      <c r="XBU132" s="118"/>
      <c r="XBV132" s="118"/>
      <c r="XBW132" s="118"/>
      <c r="XBX132" s="118"/>
      <c r="XBY132" s="118"/>
      <c r="XBZ132" s="118"/>
      <c r="XCA132" s="118"/>
      <c r="XCB132" s="118"/>
      <c r="XCC132" s="118"/>
      <c r="XCD132" s="118"/>
      <c r="XCE132" s="118"/>
      <c r="XCF132" s="118"/>
      <c r="XCG132" s="118"/>
      <c r="XCH132" s="118"/>
      <c r="XCI132" s="118"/>
      <c r="XCJ132" s="118"/>
      <c r="XCK132" s="118"/>
      <c r="XCL132" s="118"/>
      <c r="XCM132" s="118"/>
      <c r="XCN132" s="118"/>
      <c r="XCO132" s="118"/>
      <c r="XCP132" s="118"/>
      <c r="XCQ132" s="118"/>
      <c r="XCR132" s="118"/>
      <c r="XCS132" s="118"/>
      <c r="XCT132" s="118"/>
      <c r="XCU132" s="118"/>
      <c r="XCV132" s="118"/>
      <c r="XCW132" s="118"/>
      <c r="XCX132" s="118"/>
      <c r="XCY132" s="118"/>
      <c r="XCZ132" s="118"/>
      <c r="XDA132" s="118"/>
      <c r="XDB132" s="118"/>
      <c r="XDC132" s="118"/>
      <c r="XDD132" s="118"/>
      <c r="XDE132" s="118"/>
      <c r="XDF132" s="118"/>
      <c r="XDG132" s="118"/>
      <c r="XDH132" s="118"/>
      <c r="XDI132" s="118"/>
      <c r="XDJ132" s="118"/>
      <c r="XDK132" s="118"/>
      <c r="XDL132" s="118"/>
      <c r="XDM132" s="118"/>
      <c r="XDN132" s="118"/>
      <c r="XDO132" s="118"/>
      <c r="XDP132" s="118"/>
      <c r="XDQ132" s="118"/>
      <c r="XDR132" s="118"/>
      <c r="XDS132" s="118"/>
      <c r="XDT132" s="118"/>
      <c r="XDU132" s="118"/>
      <c r="XDV132" s="118"/>
      <c r="XDW132" s="118"/>
      <c r="XDX132" s="118"/>
      <c r="XDY132" s="118"/>
      <c r="XDZ132" s="118"/>
      <c r="XEA132" s="118"/>
      <c r="XEB132" s="118"/>
      <c r="XEC132" s="118"/>
      <c r="XED132" s="118"/>
      <c r="XEE132" s="118"/>
      <c r="XEF132" s="118"/>
      <c r="XEG132" s="118"/>
      <c r="XEH132" s="118"/>
      <c r="XEI132" s="118"/>
      <c r="XEJ132" s="118"/>
      <c r="XEK132" s="118"/>
      <c r="XEL132" s="118"/>
      <c r="XEM132" s="118"/>
      <c r="XEN132" s="118"/>
      <c r="XEO132" s="118"/>
      <c r="XEP132" s="118"/>
      <c r="XEQ132" s="118"/>
      <c r="XER132" s="118"/>
      <c r="XES132" s="118"/>
      <c r="XET132" s="118"/>
      <c r="XEU132" s="118"/>
      <c r="XEV132" s="118"/>
      <c r="XEW132" s="118"/>
      <c r="XEX132" s="118"/>
      <c r="XEY132" s="119"/>
      <c r="XEZ132" s="119"/>
      <c r="XFA132" s="119"/>
      <c r="XFB132" s="119"/>
      <c r="XFC132" s="120"/>
    </row>
    <row r="133" ht="25" customHeight="1" spans="1:9">
      <c r="A133" s="36" t="s">
        <v>56</v>
      </c>
      <c r="B133" s="37"/>
      <c r="C133" s="38"/>
      <c r="D133" s="38"/>
      <c r="E133" s="37"/>
      <c r="F133" s="37"/>
      <c r="G133" s="37"/>
      <c r="H133" s="73">
        <f>SUM(H130:H132)</f>
        <v>0</v>
      </c>
      <c r="I133" s="83"/>
    </row>
    <row r="134" s="3" customFormat="1" ht="25" customHeight="1" spans="1:248">
      <c r="A134" s="39" t="s">
        <v>151</v>
      </c>
      <c r="B134" s="40"/>
      <c r="C134" s="40"/>
      <c r="D134" s="41" t="s">
        <v>13</v>
      </c>
      <c r="E134" s="41">
        <v>5.8</v>
      </c>
      <c r="F134" s="41" t="s">
        <v>14</v>
      </c>
      <c r="G134" s="41">
        <v>12</v>
      </c>
      <c r="H134" s="41" t="s">
        <v>15</v>
      </c>
      <c r="I134" s="84">
        <f>I5-0.36-0.1</f>
        <v>2.45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</row>
    <row r="135" s="4" customFormat="1" ht="25" customHeight="1" spans="1:248">
      <c r="A135" s="42">
        <v>1</v>
      </c>
      <c r="B135" s="43"/>
      <c r="C135" s="34" t="s">
        <v>58</v>
      </c>
      <c r="D135" s="35"/>
      <c r="E135" s="67" t="s">
        <v>27</v>
      </c>
      <c r="F135" s="68">
        <v>0</v>
      </c>
      <c r="G135" s="71">
        <v>100</v>
      </c>
      <c r="H135" s="71">
        <f t="shared" ref="H135:H142" si="8">F135*G135</f>
        <v>0</v>
      </c>
      <c r="I135" s="80" t="s">
        <v>59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</row>
    <row r="136" s="4" customFormat="1" ht="25" customHeight="1" spans="1:248">
      <c r="A136" s="42">
        <v>2</v>
      </c>
      <c r="B136" s="43"/>
      <c r="C136" s="34" t="s">
        <v>62</v>
      </c>
      <c r="D136" s="35"/>
      <c r="E136" s="67" t="s">
        <v>17</v>
      </c>
      <c r="F136" s="68">
        <v>0</v>
      </c>
      <c r="G136" s="71">
        <v>12</v>
      </c>
      <c r="H136" s="71">
        <f t="shared" si="8"/>
        <v>0</v>
      </c>
      <c r="I136" s="79" t="s">
        <v>63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</row>
    <row r="137" s="4" customFormat="1" ht="25" customHeight="1" spans="1:248">
      <c r="A137" s="42">
        <v>2</v>
      </c>
      <c r="B137" s="43"/>
      <c r="C137" s="34" t="s">
        <v>152</v>
      </c>
      <c r="D137" s="35"/>
      <c r="E137" s="67" t="s">
        <v>17</v>
      </c>
      <c r="F137" s="68">
        <v>0</v>
      </c>
      <c r="G137" s="71">
        <v>228</v>
      </c>
      <c r="H137" s="68">
        <f t="shared" si="8"/>
        <v>0</v>
      </c>
      <c r="I137" s="108" t="s">
        <v>153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</row>
    <row r="138" s="4" customFormat="1" ht="25" customHeight="1" spans="1:248">
      <c r="A138" s="42">
        <v>3</v>
      </c>
      <c r="B138" s="43"/>
      <c r="C138" s="34" t="s">
        <v>154</v>
      </c>
      <c r="D138" s="35"/>
      <c r="E138" s="67" t="s">
        <v>17</v>
      </c>
      <c r="F138" s="68">
        <v>0</v>
      </c>
      <c r="G138" s="71">
        <v>58</v>
      </c>
      <c r="H138" s="68">
        <f t="shared" si="8"/>
        <v>0</v>
      </c>
      <c r="I138" s="108" t="s">
        <v>155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</row>
    <row r="139" s="4" customFormat="1" ht="76" spans="1:248">
      <c r="A139" s="92" t="s">
        <v>64</v>
      </c>
      <c r="B139" s="60"/>
      <c r="C139" s="34" t="s">
        <v>65</v>
      </c>
      <c r="D139" s="35"/>
      <c r="E139" s="67" t="s">
        <v>17</v>
      </c>
      <c r="F139" s="68">
        <v>0</v>
      </c>
      <c r="G139" s="71">
        <v>65</v>
      </c>
      <c r="H139" s="71">
        <f t="shared" si="8"/>
        <v>0</v>
      </c>
      <c r="I139" s="80" t="s">
        <v>66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</row>
    <row r="140" s="4" customFormat="1" ht="76" spans="1:248">
      <c r="A140" s="90"/>
      <c r="B140" s="91"/>
      <c r="C140" s="34" t="s">
        <v>67</v>
      </c>
      <c r="D140" s="35"/>
      <c r="E140" s="67" t="s">
        <v>17</v>
      </c>
      <c r="F140" s="68">
        <v>0</v>
      </c>
      <c r="G140" s="71">
        <v>65</v>
      </c>
      <c r="H140" s="71">
        <f t="shared" si="8"/>
        <v>0</v>
      </c>
      <c r="I140" s="80" t="s">
        <v>68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</row>
    <row r="141" s="4" customFormat="1" ht="31" customHeight="1" spans="1:248">
      <c r="A141" s="56" t="s">
        <v>92</v>
      </c>
      <c r="B141" s="45"/>
      <c r="C141" s="34" t="s">
        <v>93</v>
      </c>
      <c r="D141" s="35"/>
      <c r="E141" s="67" t="s">
        <v>17</v>
      </c>
      <c r="F141" s="68">
        <v>0</v>
      </c>
      <c r="G141" s="71">
        <v>58</v>
      </c>
      <c r="H141" s="71">
        <f t="shared" si="8"/>
        <v>0</v>
      </c>
      <c r="I141" s="85" t="s">
        <v>94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</row>
    <row r="142" s="4" customFormat="1" ht="25" customHeight="1" spans="1:248">
      <c r="A142" s="57"/>
      <c r="B142" s="58"/>
      <c r="C142" s="34" t="s">
        <v>95</v>
      </c>
      <c r="D142" s="35"/>
      <c r="E142" s="67" t="s">
        <v>17</v>
      </c>
      <c r="F142" s="68">
        <v>0</v>
      </c>
      <c r="G142" s="71">
        <v>78</v>
      </c>
      <c r="H142" s="71">
        <f t="shared" si="8"/>
        <v>0</v>
      </c>
      <c r="I142" s="85" t="s">
        <v>156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</row>
    <row r="143" s="4" customFormat="1" ht="25" customHeight="1" spans="1:248">
      <c r="A143" s="46"/>
      <c r="B143" s="47"/>
      <c r="C143" s="34" t="s">
        <v>97</v>
      </c>
      <c r="D143" s="35"/>
      <c r="E143" s="67" t="s">
        <v>17</v>
      </c>
      <c r="F143" s="68">
        <v>0</v>
      </c>
      <c r="G143" s="71">
        <v>98</v>
      </c>
      <c r="H143" s="71">
        <f t="shared" ref="H143:H154" si="9">F143*G143</f>
        <v>0</v>
      </c>
      <c r="I143" s="85" t="s">
        <v>98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</row>
    <row r="144" s="4" customFormat="1" ht="25" customHeight="1" spans="1:248">
      <c r="A144" s="92" t="s">
        <v>69</v>
      </c>
      <c r="B144" s="60"/>
      <c r="C144" s="34" t="s">
        <v>70</v>
      </c>
      <c r="D144" s="35"/>
      <c r="E144" s="67" t="s">
        <v>17</v>
      </c>
      <c r="F144" s="68">
        <v>0</v>
      </c>
      <c r="G144" s="71">
        <v>150</v>
      </c>
      <c r="H144" s="71">
        <f t="shared" si="9"/>
        <v>0</v>
      </c>
      <c r="I144" s="80" t="s">
        <v>71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</row>
    <row r="145" s="4" customFormat="1" ht="25" customHeight="1" spans="1:248">
      <c r="A145" s="61"/>
      <c r="B145" s="62"/>
      <c r="C145" s="34" t="s">
        <v>72</v>
      </c>
      <c r="D145" s="35"/>
      <c r="E145" s="67" t="s">
        <v>17</v>
      </c>
      <c r="F145" s="68">
        <v>0</v>
      </c>
      <c r="G145" s="71">
        <v>160</v>
      </c>
      <c r="H145" s="71">
        <f t="shared" si="9"/>
        <v>0</v>
      </c>
      <c r="I145" s="80" t="s">
        <v>71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</row>
    <row r="146" s="4" customFormat="1" ht="25" customHeight="1" spans="1:248">
      <c r="A146" s="61"/>
      <c r="B146" s="62"/>
      <c r="C146" s="52" t="s">
        <v>73</v>
      </c>
      <c r="D146" s="53"/>
      <c r="E146" s="67" t="s">
        <v>17</v>
      </c>
      <c r="F146" s="68">
        <v>0</v>
      </c>
      <c r="G146" s="71">
        <v>170</v>
      </c>
      <c r="H146" s="71">
        <f t="shared" si="9"/>
        <v>0</v>
      </c>
      <c r="I146" s="80" t="s">
        <v>71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</row>
    <row r="147" s="4" customFormat="1" ht="25" customHeight="1" spans="1:248">
      <c r="A147" s="61"/>
      <c r="B147" s="62"/>
      <c r="C147" s="52" t="s">
        <v>74</v>
      </c>
      <c r="D147" s="53"/>
      <c r="E147" s="67" t="s">
        <v>17</v>
      </c>
      <c r="F147" s="68">
        <v>0</v>
      </c>
      <c r="G147" s="71">
        <v>200</v>
      </c>
      <c r="H147" s="71">
        <f t="shared" si="9"/>
        <v>0</v>
      </c>
      <c r="I147" s="80" t="s">
        <v>71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</row>
    <row r="148" s="4" customFormat="1" ht="46" spans="1:248">
      <c r="A148" s="50"/>
      <c r="B148" s="51"/>
      <c r="C148" s="52" t="s">
        <v>75</v>
      </c>
      <c r="D148" s="53"/>
      <c r="E148" s="67" t="s">
        <v>17</v>
      </c>
      <c r="F148" s="68">
        <v>0</v>
      </c>
      <c r="G148" s="71">
        <v>185</v>
      </c>
      <c r="H148" s="71">
        <f t="shared" si="9"/>
        <v>0</v>
      </c>
      <c r="I148" s="80" t="s">
        <v>76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</row>
    <row r="149" s="4" customFormat="1" ht="31" spans="1:248">
      <c r="A149" s="50"/>
      <c r="B149" s="51"/>
      <c r="C149" s="52" t="s">
        <v>77</v>
      </c>
      <c r="D149" s="53"/>
      <c r="E149" s="67" t="s">
        <v>17</v>
      </c>
      <c r="F149" s="68">
        <v>0</v>
      </c>
      <c r="G149" s="71">
        <v>195</v>
      </c>
      <c r="H149" s="71">
        <f t="shared" si="9"/>
        <v>0</v>
      </c>
      <c r="I149" s="80" t="s">
        <v>71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</row>
    <row r="150" s="4" customFormat="1" ht="31" spans="1:248">
      <c r="A150" s="50"/>
      <c r="B150" s="51"/>
      <c r="C150" s="52" t="s">
        <v>78</v>
      </c>
      <c r="D150" s="53"/>
      <c r="E150" s="67" t="s">
        <v>17</v>
      </c>
      <c r="F150" s="68">
        <v>0</v>
      </c>
      <c r="G150" s="71">
        <v>190</v>
      </c>
      <c r="H150" s="71">
        <f t="shared" si="9"/>
        <v>0</v>
      </c>
      <c r="I150" s="80" t="s">
        <v>71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</row>
    <row r="151" s="4" customFormat="1" ht="31" spans="1:248">
      <c r="A151" s="50"/>
      <c r="B151" s="51"/>
      <c r="C151" s="52" t="s">
        <v>79</v>
      </c>
      <c r="D151" s="53"/>
      <c r="E151" s="67" t="s">
        <v>17</v>
      </c>
      <c r="F151" s="68">
        <v>0</v>
      </c>
      <c r="G151" s="71">
        <v>200</v>
      </c>
      <c r="H151" s="71">
        <f t="shared" si="9"/>
        <v>0</v>
      </c>
      <c r="I151" s="79" t="s">
        <v>80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</row>
    <row r="152" s="4" customFormat="1" ht="31" spans="1:248">
      <c r="A152" s="50"/>
      <c r="B152" s="51"/>
      <c r="C152" s="52" t="s">
        <v>81</v>
      </c>
      <c r="D152" s="53"/>
      <c r="E152" s="67" t="s">
        <v>17</v>
      </c>
      <c r="F152" s="68">
        <v>0</v>
      </c>
      <c r="G152" s="71">
        <v>200</v>
      </c>
      <c r="H152" s="71">
        <f t="shared" si="9"/>
        <v>0</v>
      </c>
      <c r="I152" s="79" t="s">
        <v>80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</row>
    <row r="153" s="4" customFormat="1" ht="31" spans="1:248">
      <c r="A153" s="50"/>
      <c r="B153" s="51"/>
      <c r="C153" s="52" t="s">
        <v>82</v>
      </c>
      <c r="D153" s="53"/>
      <c r="E153" s="67" t="s">
        <v>17</v>
      </c>
      <c r="F153" s="68">
        <v>0</v>
      </c>
      <c r="G153" s="71">
        <v>200</v>
      </c>
      <c r="H153" s="71">
        <f t="shared" si="9"/>
        <v>0</v>
      </c>
      <c r="I153" s="79" t="s">
        <v>80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</row>
    <row r="154" s="4" customFormat="1" ht="31" spans="1:248">
      <c r="A154" s="50"/>
      <c r="B154" s="51"/>
      <c r="C154" s="52" t="s">
        <v>83</v>
      </c>
      <c r="D154" s="53"/>
      <c r="E154" s="67" t="s">
        <v>17</v>
      </c>
      <c r="F154" s="68">
        <v>0</v>
      </c>
      <c r="G154" s="71">
        <v>180</v>
      </c>
      <c r="H154" s="71">
        <f t="shared" si="9"/>
        <v>0</v>
      </c>
      <c r="I154" s="79" t="s">
        <v>80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</row>
    <row r="155" s="4" customFormat="1" ht="25" customHeight="1" spans="1:248">
      <c r="A155" s="61"/>
      <c r="B155" s="62"/>
      <c r="C155" s="34" t="s">
        <v>84</v>
      </c>
      <c r="D155" s="35"/>
      <c r="E155" s="67" t="s">
        <v>17</v>
      </c>
      <c r="F155" s="68">
        <v>0</v>
      </c>
      <c r="G155" s="71">
        <v>160</v>
      </c>
      <c r="H155" s="71">
        <f t="shared" ref="H155:H159" si="10">F155*G155</f>
        <v>0</v>
      </c>
      <c r="I155" s="79" t="s">
        <v>80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</row>
    <row r="156" s="4" customFormat="1" ht="25" customHeight="1" spans="1:248">
      <c r="A156" s="61"/>
      <c r="B156" s="62"/>
      <c r="C156" s="52" t="s">
        <v>85</v>
      </c>
      <c r="D156" s="53"/>
      <c r="E156" s="67" t="s">
        <v>17</v>
      </c>
      <c r="F156" s="68">
        <v>0</v>
      </c>
      <c r="G156" s="71">
        <v>170</v>
      </c>
      <c r="H156" s="71">
        <f t="shared" si="10"/>
        <v>0</v>
      </c>
      <c r="I156" s="79" t="s">
        <v>80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</row>
    <row r="157" s="4" customFormat="1" ht="25" customHeight="1" spans="1:248">
      <c r="A157" s="61"/>
      <c r="B157" s="62"/>
      <c r="C157" s="52" t="s">
        <v>86</v>
      </c>
      <c r="D157" s="53"/>
      <c r="E157" s="67" t="s">
        <v>17</v>
      </c>
      <c r="F157" s="68">
        <v>0</v>
      </c>
      <c r="G157" s="71">
        <v>180</v>
      </c>
      <c r="H157" s="71">
        <f t="shared" si="10"/>
        <v>0</v>
      </c>
      <c r="I157" s="79" t="s">
        <v>80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</row>
    <row r="158" s="4" customFormat="1" ht="25" customHeight="1" spans="1:248">
      <c r="A158" s="61"/>
      <c r="B158" s="62"/>
      <c r="C158" s="52" t="s">
        <v>87</v>
      </c>
      <c r="D158" s="53"/>
      <c r="E158" s="67" t="s">
        <v>17</v>
      </c>
      <c r="F158" s="68">
        <v>0</v>
      </c>
      <c r="G158" s="71">
        <v>220</v>
      </c>
      <c r="H158" s="71">
        <f t="shared" si="10"/>
        <v>0</v>
      </c>
      <c r="I158" s="79" t="s">
        <v>80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</row>
    <row r="159" s="4" customFormat="1" ht="17.6" spans="1:248">
      <c r="A159" s="50"/>
      <c r="B159" s="51"/>
      <c r="C159" s="52" t="s">
        <v>88</v>
      </c>
      <c r="D159" s="53"/>
      <c r="E159" s="67" t="s">
        <v>17</v>
      </c>
      <c r="F159" s="68">
        <v>0</v>
      </c>
      <c r="G159" s="71">
        <v>10</v>
      </c>
      <c r="H159" s="71">
        <f t="shared" si="10"/>
        <v>0</v>
      </c>
      <c r="I159" s="80" t="s">
        <v>89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</row>
    <row r="160" s="4" customFormat="1" ht="25" customHeight="1" spans="1:248">
      <c r="A160" s="61"/>
      <c r="B160" s="62"/>
      <c r="C160" s="52" t="s">
        <v>90</v>
      </c>
      <c r="D160" s="53"/>
      <c r="E160" s="67" t="s">
        <v>17</v>
      </c>
      <c r="F160" s="68">
        <v>0</v>
      </c>
      <c r="G160" s="71">
        <v>20</v>
      </c>
      <c r="H160" s="71">
        <f t="shared" ref="H160:H168" si="11">F160*G160</f>
        <v>0</v>
      </c>
      <c r="I160" s="85" t="s">
        <v>91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</row>
    <row r="161" s="4" customFormat="1" ht="25" customHeight="1" spans="1:248">
      <c r="A161" s="61"/>
      <c r="B161" s="62"/>
      <c r="C161" s="34" t="s">
        <v>157</v>
      </c>
      <c r="D161" s="35"/>
      <c r="E161" s="67" t="s">
        <v>27</v>
      </c>
      <c r="F161" s="71">
        <v>0.9</v>
      </c>
      <c r="G161" s="71">
        <v>100</v>
      </c>
      <c r="H161" s="71">
        <f t="shared" si="11"/>
        <v>90</v>
      </c>
      <c r="I161" s="80" t="s">
        <v>59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</row>
    <row r="162" s="4" customFormat="1" ht="25" customHeight="1" spans="1:248">
      <c r="A162" s="90"/>
      <c r="B162" s="91"/>
      <c r="C162" s="52" t="s">
        <v>158</v>
      </c>
      <c r="D162" s="53"/>
      <c r="E162" s="72" t="s">
        <v>25</v>
      </c>
      <c r="F162" s="71">
        <v>1</v>
      </c>
      <c r="G162" s="71">
        <v>499</v>
      </c>
      <c r="H162" s="71">
        <f t="shared" si="11"/>
        <v>499</v>
      </c>
      <c r="I162" s="79" t="s">
        <v>159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</row>
    <row r="163" s="4" customFormat="1" ht="46" spans="1:248">
      <c r="A163" s="42"/>
      <c r="B163" s="43"/>
      <c r="C163" s="34" t="s">
        <v>111</v>
      </c>
      <c r="D163" s="35"/>
      <c r="E163" s="67" t="s">
        <v>17</v>
      </c>
      <c r="F163" s="71">
        <f>E134</f>
        <v>5.8</v>
      </c>
      <c r="G163" s="71">
        <v>198</v>
      </c>
      <c r="H163" s="71">
        <f t="shared" si="11"/>
        <v>1148.4</v>
      </c>
      <c r="I163" s="80" t="s">
        <v>101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</row>
    <row r="164" s="4" customFormat="1" ht="76" spans="1:248">
      <c r="A164" s="42"/>
      <c r="B164" s="43"/>
      <c r="C164" s="34" t="s">
        <v>160</v>
      </c>
      <c r="D164" s="35"/>
      <c r="E164" s="67" t="s">
        <v>17</v>
      </c>
      <c r="F164" s="71">
        <f>F163</f>
        <v>5.8</v>
      </c>
      <c r="G164" s="71">
        <v>57</v>
      </c>
      <c r="H164" s="71">
        <f t="shared" si="11"/>
        <v>330.6</v>
      </c>
      <c r="I164" s="86" t="s">
        <v>136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</row>
    <row r="165" s="4" customFormat="1" ht="17.6" spans="1:248">
      <c r="A165" s="42"/>
      <c r="B165" s="43"/>
      <c r="C165" s="34" t="s">
        <v>161</v>
      </c>
      <c r="D165" s="35"/>
      <c r="E165" s="70" t="s">
        <v>162</v>
      </c>
      <c r="F165" s="71">
        <v>1</v>
      </c>
      <c r="G165" s="71">
        <v>700</v>
      </c>
      <c r="H165" s="71">
        <f t="shared" si="11"/>
        <v>700</v>
      </c>
      <c r="I165" s="109" t="s">
        <v>163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</row>
    <row r="166" s="4" customFormat="1" ht="31" spans="1:248">
      <c r="A166" s="42"/>
      <c r="B166" s="43"/>
      <c r="C166" s="34" t="s">
        <v>143</v>
      </c>
      <c r="D166" s="35"/>
      <c r="E166" s="72" t="s">
        <v>25</v>
      </c>
      <c r="F166" s="68">
        <v>0</v>
      </c>
      <c r="G166" s="71">
        <v>280</v>
      </c>
      <c r="H166" s="68">
        <f t="shared" si="11"/>
        <v>0</v>
      </c>
      <c r="I166" s="79" t="s">
        <v>144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</row>
    <row r="167" s="4" customFormat="1" ht="31" spans="1:248">
      <c r="A167" s="42"/>
      <c r="B167" s="43"/>
      <c r="C167" s="34" t="s">
        <v>145</v>
      </c>
      <c r="D167" s="35"/>
      <c r="E167" s="72" t="s">
        <v>25</v>
      </c>
      <c r="F167" s="71">
        <v>1</v>
      </c>
      <c r="G167" s="71">
        <v>380</v>
      </c>
      <c r="H167" s="68">
        <f t="shared" si="11"/>
        <v>380</v>
      </c>
      <c r="I167" s="79" t="s">
        <v>144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</row>
    <row r="168" s="4" customFormat="1" ht="31" spans="1:248">
      <c r="A168" s="42"/>
      <c r="B168" s="43"/>
      <c r="C168" s="34" t="s">
        <v>146</v>
      </c>
      <c r="D168" s="35"/>
      <c r="E168" s="72" t="s">
        <v>25</v>
      </c>
      <c r="F168" s="68">
        <v>0</v>
      </c>
      <c r="G168" s="71">
        <v>480</v>
      </c>
      <c r="H168" s="68">
        <f t="shared" si="11"/>
        <v>0</v>
      </c>
      <c r="I168" s="79" t="s">
        <v>144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</row>
    <row r="169" ht="25" customHeight="1" spans="1:9">
      <c r="A169" s="36" t="s">
        <v>56</v>
      </c>
      <c r="B169" s="37"/>
      <c r="C169" s="38"/>
      <c r="D169" s="38"/>
      <c r="E169" s="37"/>
      <c r="F169" s="37"/>
      <c r="G169" s="37"/>
      <c r="H169" s="73">
        <f>SUM(H135:H168)</f>
        <v>3148</v>
      </c>
      <c r="I169" s="83"/>
    </row>
    <row r="170" s="8" customFormat="1" ht="25" customHeight="1" spans="1:248">
      <c r="A170" s="95"/>
      <c r="B170" s="96"/>
      <c r="C170" s="16" t="s">
        <v>164</v>
      </c>
      <c r="D170" s="97"/>
      <c r="E170" s="97"/>
      <c r="F170" s="97"/>
      <c r="G170" s="97"/>
      <c r="H170" s="97"/>
      <c r="I170" s="110"/>
      <c r="J170" s="1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</row>
    <row r="171" s="3" customFormat="1" ht="25" customHeight="1" spans="1:248">
      <c r="A171" s="39" t="s">
        <v>165</v>
      </c>
      <c r="B171" s="40"/>
      <c r="C171" s="40"/>
      <c r="D171" s="41"/>
      <c r="E171" s="41"/>
      <c r="F171" s="41"/>
      <c r="G171" s="41"/>
      <c r="H171" s="41"/>
      <c r="I171" s="84"/>
      <c r="J171" s="1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/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</row>
    <row r="172" s="9" customFormat="1" ht="25" customHeight="1" spans="1:9">
      <c r="A172" s="98">
        <v>1</v>
      </c>
      <c r="B172" s="99"/>
      <c r="C172" s="100" t="s">
        <v>166</v>
      </c>
      <c r="D172" s="100"/>
      <c r="E172" s="67" t="s">
        <v>17</v>
      </c>
      <c r="F172" s="68">
        <f>G2</f>
        <v>130</v>
      </c>
      <c r="G172" s="104">
        <v>12</v>
      </c>
      <c r="H172" s="104">
        <f>SUM(F172*G172)</f>
        <v>1560</v>
      </c>
      <c r="I172" s="112" t="s">
        <v>167</v>
      </c>
    </row>
    <row r="173" s="4" customFormat="1" ht="31" spans="1:248">
      <c r="A173" s="98">
        <v>2</v>
      </c>
      <c r="B173" s="99"/>
      <c r="C173" s="101" t="s">
        <v>168</v>
      </c>
      <c r="D173" s="102"/>
      <c r="E173" s="67" t="s">
        <v>17</v>
      </c>
      <c r="F173" s="71">
        <f>G2</f>
        <v>130</v>
      </c>
      <c r="G173" s="71">
        <v>8</v>
      </c>
      <c r="H173" s="71">
        <f t="shared" ref="H173:H182" si="12">F173*G173</f>
        <v>1040</v>
      </c>
      <c r="I173" s="113" t="s">
        <v>169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</row>
    <row r="174" s="4" customFormat="1" ht="31" spans="1:248">
      <c r="A174" s="98">
        <v>3</v>
      </c>
      <c r="B174" s="99"/>
      <c r="C174" s="103" t="s">
        <v>170</v>
      </c>
      <c r="D174" s="33"/>
      <c r="E174" s="67" t="s">
        <v>17</v>
      </c>
      <c r="F174" s="71">
        <f>SUM(G2)</f>
        <v>130</v>
      </c>
      <c r="G174" s="71">
        <v>5</v>
      </c>
      <c r="H174" s="71">
        <f t="shared" si="12"/>
        <v>650</v>
      </c>
      <c r="I174" s="113" t="s">
        <v>171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</row>
    <row r="175" ht="25" customHeight="1" spans="1:9">
      <c r="A175" s="36" t="s">
        <v>56</v>
      </c>
      <c r="B175" s="37"/>
      <c r="C175" s="38"/>
      <c r="D175" s="38"/>
      <c r="E175" s="37"/>
      <c r="F175" s="37"/>
      <c r="G175" s="37"/>
      <c r="H175" s="73">
        <f>SUM(H172:H174)</f>
        <v>3250</v>
      </c>
      <c r="I175" s="83"/>
    </row>
    <row r="176" s="3" customFormat="1" ht="25" customHeight="1" spans="1:248">
      <c r="A176" s="39" t="s">
        <v>172</v>
      </c>
      <c r="B176" s="40"/>
      <c r="C176" s="40"/>
      <c r="D176" s="41"/>
      <c r="E176" s="41"/>
      <c r="F176" s="41"/>
      <c r="G176" s="41"/>
      <c r="H176" s="41"/>
      <c r="I176" s="84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/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</row>
    <row r="177" s="9" customFormat="1" ht="36" customHeight="1" spans="1:9">
      <c r="A177" s="98">
        <v>1</v>
      </c>
      <c r="B177" s="99"/>
      <c r="C177" s="100" t="s">
        <v>173</v>
      </c>
      <c r="D177" s="100"/>
      <c r="E177" s="67" t="s">
        <v>17</v>
      </c>
      <c r="F177" s="68">
        <f>SUM(G2)</f>
        <v>130</v>
      </c>
      <c r="G177" s="68">
        <v>15.5</v>
      </c>
      <c r="H177" s="68">
        <f t="shared" si="12"/>
        <v>2015</v>
      </c>
      <c r="I177" s="113" t="s">
        <v>174</v>
      </c>
    </row>
    <row r="178" s="9" customFormat="1" ht="36" customHeight="1" spans="1:9">
      <c r="A178" s="98">
        <v>2</v>
      </c>
      <c r="B178" s="99"/>
      <c r="C178" s="100" t="s">
        <v>175</v>
      </c>
      <c r="D178" s="100"/>
      <c r="E178" s="67" t="s">
        <v>17</v>
      </c>
      <c r="F178" s="68">
        <f>SUM(G2)</f>
        <v>130</v>
      </c>
      <c r="G178" s="68">
        <v>15.5</v>
      </c>
      <c r="H178" s="68">
        <f t="shared" si="12"/>
        <v>2015</v>
      </c>
      <c r="I178" s="113" t="s">
        <v>176</v>
      </c>
    </row>
    <row r="179" s="9" customFormat="1" ht="46" spans="1:9">
      <c r="A179" s="98">
        <v>3</v>
      </c>
      <c r="B179" s="99"/>
      <c r="C179" s="100" t="s">
        <v>177</v>
      </c>
      <c r="D179" s="100"/>
      <c r="E179" s="67" t="s">
        <v>17</v>
      </c>
      <c r="F179" s="68">
        <f>G2</f>
        <v>130</v>
      </c>
      <c r="G179" s="68">
        <v>70</v>
      </c>
      <c r="H179" s="68">
        <f t="shared" si="12"/>
        <v>9100</v>
      </c>
      <c r="I179" s="114" t="s">
        <v>178</v>
      </c>
    </row>
    <row r="180" s="9" customFormat="1" ht="21.95" customHeight="1" spans="1:9">
      <c r="A180" s="98">
        <v>4</v>
      </c>
      <c r="B180" s="99"/>
      <c r="C180" s="100" t="s">
        <v>179</v>
      </c>
      <c r="D180" s="100"/>
      <c r="E180" s="67" t="s">
        <v>17</v>
      </c>
      <c r="F180" s="68">
        <f>G2</f>
        <v>130</v>
      </c>
      <c r="G180" s="68">
        <v>33.5</v>
      </c>
      <c r="H180" s="68">
        <f t="shared" si="12"/>
        <v>4355</v>
      </c>
      <c r="I180" s="114" t="s">
        <v>180</v>
      </c>
    </row>
    <row r="181" s="9" customFormat="1" ht="26" customHeight="1" spans="1:9">
      <c r="A181" s="98">
        <v>5</v>
      </c>
      <c r="B181" s="99"/>
      <c r="C181" s="100" t="s">
        <v>181</v>
      </c>
      <c r="D181" s="100"/>
      <c r="E181" s="67" t="s">
        <v>17</v>
      </c>
      <c r="F181" s="68">
        <f>G2</f>
        <v>130</v>
      </c>
      <c r="G181" s="68">
        <v>84.8</v>
      </c>
      <c r="H181" s="68">
        <f t="shared" si="12"/>
        <v>11024</v>
      </c>
      <c r="I181" s="114" t="s">
        <v>182</v>
      </c>
    </row>
    <row r="182" s="9" customFormat="1" ht="26" customHeight="1" spans="1:9">
      <c r="A182" s="98">
        <v>6</v>
      </c>
      <c r="B182" s="99"/>
      <c r="C182" s="100" t="s">
        <v>183</v>
      </c>
      <c r="D182" s="100"/>
      <c r="E182" s="67" t="s">
        <v>17</v>
      </c>
      <c r="F182" s="68">
        <f>G2</f>
        <v>130</v>
      </c>
      <c r="G182" s="68">
        <v>10.7</v>
      </c>
      <c r="H182" s="68">
        <f t="shared" si="12"/>
        <v>1391</v>
      </c>
      <c r="I182" s="114" t="s">
        <v>184</v>
      </c>
    </row>
    <row r="183" s="9" customFormat="1" ht="31" spans="1:9">
      <c r="A183" s="98">
        <v>7</v>
      </c>
      <c r="B183" s="99"/>
      <c r="C183" s="100" t="s">
        <v>185</v>
      </c>
      <c r="D183" s="100"/>
      <c r="E183" s="105" t="s">
        <v>25</v>
      </c>
      <c r="F183" s="68">
        <v>1</v>
      </c>
      <c r="G183" s="104">
        <v>480</v>
      </c>
      <c r="H183" s="104">
        <f t="shared" ref="H183:H188" si="13">SUM(F183*G183)</f>
        <v>480</v>
      </c>
      <c r="I183" s="115" t="s">
        <v>186</v>
      </c>
    </row>
    <row r="184" s="9" customFormat="1" ht="27" customHeight="1" spans="1:9">
      <c r="A184" s="98">
        <v>8</v>
      </c>
      <c r="B184" s="99"/>
      <c r="C184" s="100" t="s">
        <v>187</v>
      </c>
      <c r="D184" s="100"/>
      <c r="E184" s="67" t="s">
        <v>17</v>
      </c>
      <c r="F184" s="68">
        <v>0</v>
      </c>
      <c r="G184" s="68">
        <v>10</v>
      </c>
      <c r="H184" s="68">
        <f>F184*G184</f>
        <v>0</v>
      </c>
      <c r="I184" s="114"/>
    </row>
    <row r="185" s="9" customFormat="1" ht="31" spans="1:9">
      <c r="A185" s="98">
        <v>9</v>
      </c>
      <c r="B185" s="99"/>
      <c r="C185" s="100" t="s">
        <v>188</v>
      </c>
      <c r="D185" s="100"/>
      <c r="E185" s="67" t="s">
        <v>17</v>
      </c>
      <c r="F185" s="68">
        <f>G2</f>
        <v>130</v>
      </c>
      <c r="G185" s="68">
        <v>8</v>
      </c>
      <c r="H185" s="68">
        <f t="shared" si="13"/>
        <v>1040</v>
      </c>
      <c r="I185" s="113" t="s">
        <v>189</v>
      </c>
    </row>
    <row r="186" s="9" customFormat="1" ht="31" spans="1:9">
      <c r="A186" s="98">
        <v>10</v>
      </c>
      <c r="B186" s="99"/>
      <c r="C186" s="100" t="s">
        <v>190</v>
      </c>
      <c r="D186" s="100"/>
      <c r="E186" s="67" t="s">
        <v>17</v>
      </c>
      <c r="F186" s="68">
        <v>0</v>
      </c>
      <c r="G186" s="68">
        <v>22</v>
      </c>
      <c r="H186" s="68"/>
      <c r="I186" s="113" t="s">
        <v>191</v>
      </c>
    </row>
    <row r="187" s="9" customFormat="1" ht="21.95" customHeight="1" spans="1:9">
      <c r="A187" s="98">
        <v>11</v>
      </c>
      <c r="B187" s="99"/>
      <c r="C187" s="100" t="s">
        <v>192</v>
      </c>
      <c r="D187" s="100"/>
      <c r="E187" s="67" t="s">
        <v>17</v>
      </c>
      <c r="F187" s="68">
        <v>0</v>
      </c>
      <c r="G187" s="104">
        <v>25</v>
      </c>
      <c r="H187" s="104">
        <f t="shared" si="13"/>
        <v>0</v>
      </c>
      <c r="I187" s="116" t="s">
        <v>193</v>
      </c>
    </row>
    <row r="188" s="9" customFormat="1" ht="21.95" customHeight="1" spans="1:9">
      <c r="A188" s="98">
        <v>12</v>
      </c>
      <c r="B188" s="99"/>
      <c r="C188" s="100" t="s">
        <v>194</v>
      </c>
      <c r="D188" s="100"/>
      <c r="E188" s="67" t="s">
        <v>17</v>
      </c>
      <c r="F188" s="68">
        <v>0</v>
      </c>
      <c r="G188" s="104">
        <v>35</v>
      </c>
      <c r="H188" s="104">
        <f t="shared" si="13"/>
        <v>0</v>
      </c>
      <c r="I188" s="116" t="s">
        <v>193</v>
      </c>
    </row>
    <row r="189" s="9" customFormat="1" ht="21.95" customHeight="1" spans="1:9">
      <c r="A189" s="98">
        <v>13</v>
      </c>
      <c r="B189" s="99"/>
      <c r="C189" s="100" t="s">
        <v>195</v>
      </c>
      <c r="D189" s="100"/>
      <c r="E189" s="105" t="s">
        <v>196</v>
      </c>
      <c r="F189" s="68">
        <v>1</v>
      </c>
      <c r="G189" s="68">
        <v>785</v>
      </c>
      <c r="H189" s="104">
        <f>F189*G189</f>
        <v>785</v>
      </c>
      <c r="I189" s="112" t="s">
        <v>197</v>
      </c>
    </row>
    <row r="190" s="9" customFormat="1" ht="21.95" customHeight="1" spans="1:9">
      <c r="A190" s="98">
        <v>14</v>
      </c>
      <c r="B190" s="99"/>
      <c r="C190" s="100" t="s">
        <v>198</v>
      </c>
      <c r="D190" s="100"/>
      <c r="E190" s="105" t="s">
        <v>196</v>
      </c>
      <c r="F190" s="68">
        <v>0</v>
      </c>
      <c r="G190" s="68">
        <v>585</v>
      </c>
      <c r="H190" s="104">
        <f>F190*G190</f>
        <v>0</v>
      </c>
      <c r="I190" s="112" t="s">
        <v>197</v>
      </c>
    </row>
    <row r="191" s="9" customFormat="1" ht="25" customHeight="1" spans="1:9">
      <c r="A191" s="98">
        <v>15</v>
      </c>
      <c r="B191" s="99"/>
      <c r="C191" s="100" t="s">
        <v>199</v>
      </c>
      <c r="D191" s="100"/>
      <c r="E191" s="105" t="s">
        <v>200</v>
      </c>
      <c r="F191" s="68">
        <v>0</v>
      </c>
      <c r="G191" s="104">
        <v>300</v>
      </c>
      <c r="H191" s="104">
        <f t="shared" ref="H191:H193" si="14">SUM(F191*G191)</f>
        <v>0</v>
      </c>
      <c r="I191" s="117" t="s">
        <v>201</v>
      </c>
    </row>
    <row r="192" s="9" customFormat="1" ht="25" customHeight="1" spans="1:9">
      <c r="A192" s="98">
        <v>16</v>
      </c>
      <c r="B192" s="99"/>
      <c r="C192" s="100" t="s">
        <v>202</v>
      </c>
      <c r="D192" s="100"/>
      <c r="E192" s="105" t="s">
        <v>200</v>
      </c>
      <c r="F192" s="68">
        <v>0</v>
      </c>
      <c r="G192" s="104">
        <v>300</v>
      </c>
      <c r="H192" s="104">
        <f t="shared" si="14"/>
        <v>0</v>
      </c>
      <c r="I192" s="117" t="s">
        <v>201</v>
      </c>
    </row>
    <row r="193" s="9" customFormat="1" ht="21.95" customHeight="1" spans="1:9">
      <c r="A193" s="98">
        <v>17</v>
      </c>
      <c r="B193" s="99"/>
      <c r="C193" s="100" t="s">
        <v>203</v>
      </c>
      <c r="D193" s="100"/>
      <c r="E193" s="129" t="s">
        <v>162</v>
      </c>
      <c r="F193" s="68">
        <v>4</v>
      </c>
      <c r="G193" s="104">
        <v>220</v>
      </c>
      <c r="H193" s="104">
        <f t="shared" si="14"/>
        <v>880</v>
      </c>
      <c r="I193" s="113" t="s">
        <v>204</v>
      </c>
    </row>
    <row r="194" ht="25" customHeight="1" spans="1:9">
      <c r="A194" s="36" t="s">
        <v>56</v>
      </c>
      <c r="B194" s="37"/>
      <c r="C194" s="38"/>
      <c r="D194" s="38"/>
      <c r="E194" s="37"/>
      <c r="F194" s="37"/>
      <c r="G194" s="37"/>
      <c r="H194" s="73">
        <f>SUM(H177:H193)</f>
        <v>33085</v>
      </c>
      <c r="I194" s="83"/>
    </row>
    <row r="195" s="3" customFormat="1" ht="25" customHeight="1" spans="1:248">
      <c r="A195" s="39" t="s">
        <v>205</v>
      </c>
      <c r="B195" s="40"/>
      <c r="C195" s="40"/>
      <c r="D195" s="41"/>
      <c r="E195" s="41"/>
      <c r="F195" s="41"/>
      <c r="G195" s="41"/>
      <c r="H195" s="41"/>
      <c r="I195" s="84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</row>
    <row r="196" s="4" customFormat="1" ht="25" customHeight="1" spans="1:248">
      <c r="A196" s="32">
        <v>1</v>
      </c>
      <c r="B196" s="33"/>
      <c r="C196" s="34" t="s">
        <v>206</v>
      </c>
      <c r="D196" s="35"/>
      <c r="E196" s="72" t="s">
        <v>207</v>
      </c>
      <c r="F196" s="68">
        <v>0</v>
      </c>
      <c r="G196" s="69">
        <v>500</v>
      </c>
      <c r="H196" s="68">
        <f t="shared" ref="H196:H198" si="15">F196*G196</f>
        <v>0</v>
      </c>
      <c r="I196" s="79" t="s">
        <v>208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</row>
    <row r="197" s="4" customFormat="1" ht="25" customHeight="1" spans="1:248">
      <c r="A197" s="32">
        <v>2</v>
      </c>
      <c r="B197" s="33"/>
      <c r="C197" s="34" t="s">
        <v>209</v>
      </c>
      <c r="D197" s="35"/>
      <c r="E197" s="67" t="s">
        <v>17</v>
      </c>
      <c r="F197" s="71">
        <f>G2</f>
        <v>130</v>
      </c>
      <c r="G197" s="71">
        <v>15</v>
      </c>
      <c r="H197" s="71">
        <f t="shared" si="15"/>
        <v>1950</v>
      </c>
      <c r="I197" s="113" t="s">
        <v>210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</row>
    <row r="198" s="4" customFormat="1" ht="25" customHeight="1" spans="1:248">
      <c r="A198" s="32">
        <v>3</v>
      </c>
      <c r="B198" s="33"/>
      <c r="C198" s="34" t="s">
        <v>211</v>
      </c>
      <c r="D198" s="35"/>
      <c r="E198" s="67" t="s">
        <v>17</v>
      </c>
      <c r="F198" s="71">
        <f>G2</f>
        <v>130</v>
      </c>
      <c r="G198" s="71">
        <v>15</v>
      </c>
      <c r="H198" s="71">
        <f t="shared" si="15"/>
        <v>1950</v>
      </c>
      <c r="I198" s="79" t="s">
        <v>212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</row>
    <row r="199" ht="25" customHeight="1" spans="1:9">
      <c r="A199" s="36" t="s">
        <v>56</v>
      </c>
      <c r="B199" s="37"/>
      <c r="C199" s="38"/>
      <c r="D199" s="38"/>
      <c r="E199" s="37"/>
      <c r="F199" s="37"/>
      <c r="G199" s="37"/>
      <c r="H199" s="73">
        <f>SUM(H196:H198)</f>
        <v>3900</v>
      </c>
      <c r="I199" s="83"/>
    </row>
    <row r="200" s="3" customFormat="1" ht="25" customHeight="1" spans="1:248">
      <c r="A200" s="39" t="s">
        <v>213</v>
      </c>
      <c r="B200" s="40"/>
      <c r="C200" s="40"/>
      <c r="D200" s="41"/>
      <c r="E200" s="41"/>
      <c r="F200" s="41"/>
      <c r="G200" s="41"/>
      <c r="H200" s="41"/>
      <c r="I200" s="84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</row>
    <row r="201" ht="25" customHeight="1" spans="1:9">
      <c r="A201" s="121"/>
      <c r="B201" s="122" t="s">
        <v>214</v>
      </c>
      <c r="C201" s="123" t="s">
        <v>215</v>
      </c>
      <c r="D201" s="124"/>
      <c r="E201" s="130" t="s">
        <v>216</v>
      </c>
      <c r="F201" s="131"/>
      <c r="G201" s="132">
        <f>SUM(H199+H194+H175+H169+H133+H128+H79+H25)</f>
        <v>113124.766</v>
      </c>
      <c r="H201" s="132"/>
      <c r="I201" s="137"/>
    </row>
    <row r="202" ht="25" customHeight="1" spans="1:9">
      <c r="A202" s="121"/>
      <c r="B202" s="122" t="s">
        <v>217</v>
      </c>
      <c r="C202" s="123" t="s">
        <v>218</v>
      </c>
      <c r="D202" s="124"/>
      <c r="E202" s="130" t="s">
        <v>216</v>
      </c>
      <c r="F202" s="131"/>
      <c r="G202" s="132" cm="1">
        <f t="array" ref="G202">SUM(G201:G201*0.1)</f>
        <v>11312.4766</v>
      </c>
      <c r="H202" s="132"/>
      <c r="I202" s="138" t="s">
        <v>219</v>
      </c>
    </row>
    <row r="203" ht="25" customHeight="1" spans="1:9">
      <c r="A203" s="121"/>
      <c r="B203" s="122" t="s">
        <v>220</v>
      </c>
      <c r="C203" s="123" t="s">
        <v>221</v>
      </c>
      <c r="D203" s="124"/>
      <c r="E203" s="130" t="s">
        <v>216</v>
      </c>
      <c r="F203" s="131"/>
      <c r="G203" s="132"/>
      <c r="H203" s="132"/>
      <c r="I203" s="137" t="s">
        <v>222</v>
      </c>
    </row>
    <row r="204" ht="25" customHeight="1" spans="1:9">
      <c r="A204" s="125"/>
      <c r="B204" s="126" t="s">
        <v>223</v>
      </c>
      <c r="C204" s="127" t="s">
        <v>224</v>
      </c>
      <c r="D204" s="128"/>
      <c r="E204" s="133" t="s">
        <v>216</v>
      </c>
      <c r="F204" s="134"/>
      <c r="G204" s="135">
        <f>SUM(G201+G202)</f>
        <v>124437.2426</v>
      </c>
      <c r="H204" s="135"/>
      <c r="I204" s="139"/>
    </row>
    <row r="208" customHeight="1" spans="5:5">
      <c r="E208" s="136"/>
    </row>
  </sheetData>
  <mergeCells count="275">
    <mergeCell ref="A1:I1"/>
    <mergeCell ref="A2:B2"/>
    <mergeCell ref="C2:D2"/>
    <mergeCell ref="E2:F2"/>
    <mergeCell ref="G3:H3"/>
    <mergeCell ref="A5:C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G25"/>
    <mergeCell ref="A26:C26"/>
    <mergeCell ref="A27:B27"/>
    <mergeCell ref="C27:D27"/>
    <mergeCell ref="A28:B28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A79:G79"/>
    <mergeCell ref="A80:C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A128:G128"/>
    <mergeCell ref="A129:C129"/>
    <mergeCell ref="A130:B130"/>
    <mergeCell ref="C130:D130"/>
    <mergeCell ref="A131:B131"/>
    <mergeCell ref="C131:D131"/>
    <mergeCell ref="A132:B132"/>
    <mergeCell ref="C132:D132"/>
    <mergeCell ref="A133:G133"/>
    <mergeCell ref="A134:C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B168"/>
    <mergeCell ref="C168:D168"/>
    <mergeCell ref="A169:G169"/>
    <mergeCell ref="A171:C171"/>
    <mergeCell ref="A172:B172"/>
    <mergeCell ref="C172:D172"/>
    <mergeCell ref="A173:B173"/>
    <mergeCell ref="C173:D173"/>
    <mergeCell ref="A174:B174"/>
    <mergeCell ref="C174:D174"/>
    <mergeCell ref="A175:G175"/>
    <mergeCell ref="A176:C176"/>
    <mergeCell ref="A177:B177"/>
    <mergeCell ref="C177:D177"/>
    <mergeCell ref="A178:B178"/>
    <mergeCell ref="C178:D178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A187:B187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A192:B192"/>
    <mergeCell ref="C192:D192"/>
    <mergeCell ref="A193:B193"/>
    <mergeCell ref="C193:D193"/>
    <mergeCell ref="A194:G194"/>
    <mergeCell ref="A195:C195"/>
    <mergeCell ref="A196:B196"/>
    <mergeCell ref="C196:D196"/>
    <mergeCell ref="A197:B197"/>
    <mergeCell ref="C197:D197"/>
    <mergeCell ref="A198:B198"/>
    <mergeCell ref="C198:D198"/>
    <mergeCell ref="A199:G199"/>
    <mergeCell ref="A200:C200"/>
    <mergeCell ref="E3:E4"/>
    <mergeCell ref="F3:F4"/>
    <mergeCell ref="I3:I4"/>
    <mergeCell ref="A3:B4"/>
    <mergeCell ref="C3:D4"/>
    <mergeCell ref="A30:B31"/>
    <mergeCell ref="A32:B48"/>
    <mergeCell ref="A49:B51"/>
    <mergeCell ref="A52:B71"/>
    <mergeCell ref="A72:B75"/>
    <mergeCell ref="A76:B78"/>
    <mergeCell ref="A101:B103"/>
    <mergeCell ref="A104:B123"/>
    <mergeCell ref="A124:B127"/>
    <mergeCell ref="A139:B140"/>
    <mergeCell ref="A141:B143"/>
    <mergeCell ref="A84:B100"/>
    <mergeCell ref="A144:B162"/>
  </mergeCells>
  <conditionalFormatting sqref="E3">
    <cfRule type="cellIs" dxfId="0" priority="633" stopIfTrue="1" operator="equal">
      <formula>0</formula>
    </cfRule>
  </conditionalFormatting>
  <conditionalFormatting sqref="J5:IQ5">
    <cfRule type="cellIs" dxfId="0" priority="632" stopIfTrue="1" operator="equal">
      <formula>0</formula>
    </cfRule>
  </conditionalFormatting>
  <conditionalFormatting sqref="E7">
    <cfRule type="cellIs" dxfId="0" priority="628" stopIfTrue="1" operator="equal">
      <formula>0</formula>
    </cfRule>
  </conditionalFormatting>
  <conditionalFormatting sqref="J7:IQ7">
    <cfRule type="cellIs" dxfId="0" priority="629" stopIfTrue="1" operator="equal">
      <formula>0</formula>
    </cfRule>
  </conditionalFormatting>
  <conditionalFormatting sqref="E8">
    <cfRule type="cellIs" dxfId="0" priority="596" stopIfTrue="1" operator="equal">
      <formula>0</formula>
    </cfRule>
  </conditionalFormatting>
  <conditionalFormatting sqref="J8:IQ8">
    <cfRule type="cellIs" dxfId="0" priority="597" stopIfTrue="1" operator="equal">
      <formula>0</formula>
    </cfRule>
  </conditionalFormatting>
  <conditionalFormatting sqref="E9">
    <cfRule type="cellIs" dxfId="0" priority="460" stopIfTrue="1" operator="equal">
      <formula>0</formula>
    </cfRule>
  </conditionalFormatting>
  <conditionalFormatting sqref="J9:IQ9">
    <cfRule type="cellIs" dxfId="0" priority="461" stopIfTrue="1" operator="equal">
      <formula>0</formula>
    </cfRule>
  </conditionalFormatting>
  <conditionalFormatting sqref="E10">
    <cfRule type="cellIs" dxfId="0" priority="454" stopIfTrue="1" operator="equal">
      <formula>0</formula>
    </cfRule>
  </conditionalFormatting>
  <conditionalFormatting sqref="J10:IQ10">
    <cfRule type="cellIs" dxfId="0" priority="455" stopIfTrue="1" operator="equal">
      <formula>0</formula>
    </cfRule>
  </conditionalFormatting>
  <conditionalFormatting sqref="A14">
    <cfRule type="cellIs" dxfId="0" priority="433" stopIfTrue="1" operator="equal">
      <formula>0</formula>
    </cfRule>
  </conditionalFormatting>
  <conditionalFormatting sqref="I16">
    <cfRule type="cellIs" dxfId="0" priority="442" stopIfTrue="1" operator="equal">
      <formula>0</formula>
    </cfRule>
  </conditionalFormatting>
  <conditionalFormatting sqref="A17">
    <cfRule type="cellIs" dxfId="0" priority="399" stopIfTrue="1" operator="equal">
      <formula>0</formula>
    </cfRule>
  </conditionalFormatting>
  <conditionalFormatting sqref="I17">
    <cfRule type="cellIs" dxfId="0" priority="397" stopIfTrue="1" operator="equal">
      <formula>0</formula>
    </cfRule>
  </conditionalFormatting>
  <conditionalFormatting sqref="A18">
    <cfRule type="cellIs" dxfId="0" priority="396" stopIfTrue="1" operator="equal">
      <formula>0</formula>
    </cfRule>
  </conditionalFormatting>
  <conditionalFormatting sqref="I18">
    <cfRule type="cellIs" dxfId="0" priority="394" stopIfTrue="1" operator="equal">
      <formula>0</formula>
    </cfRule>
  </conditionalFormatting>
  <conditionalFormatting sqref="F20">
    <cfRule type="cellIs" dxfId="0" priority="475" stopIfTrue="1" operator="equal">
      <formula>0</formula>
    </cfRule>
  </conditionalFormatting>
  <conditionalFormatting sqref="I20">
    <cfRule type="cellIs" dxfId="0" priority="393" stopIfTrue="1" operator="equal">
      <formula>0</formula>
    </cfRule>
  </conditionalFormatting>
  <conditionalFormatting sqref="F21">
    <cfRule type="cellIs" dxfId="0" priority="444" stopIfTrue="1" operator="equal">
      <formula>0</formula>
    </cfRule>
  </conditionalFormatting>
  <conditionalFormatting sqref="F23">
    <cfRule type="cellIs" dxfId="0" priority="410" stopIfTrue="1" operator="equal">
      <formula>0</formula>
    </cfRule>
  </conditionalFormatting>
  <conditionalFormatting sqref="J26:IQ26">
    <cfRule type="cellIs" dxfId="0" priority="630" stopIfTrue="1" operator="equal">
      <formula>0</formula>
    </cfRule>
  </conditionalFormatting>
  <conditionalFormatting sqref="C27">
    <cfRule type="cellIs" dxfId="0" priority="623" stopIfTrue="1" operator="equal">
      <formula>0</formula>
    </cfRule>
  </conditionalFormatting>
  <conditionalFormatting sqref="C28">
    <cfRule type="cellIs" dxfId="0" priority="377" stopIfTrue="1" operator="equal">
      <formula>0</formula>
    </cfRule>
  </conditionalFormatting>
  <conditionalFormatting sqref="H28">
    <cfRule type="cellIs" dxfId="0" priority="376" stopIfTrue="1" operator="equal">
      <formula>0</formula>
    </cfRule>
  </conditionalFormatting>
  <conditionalFormatting sqref="C29">
    <cfRule type="cellIs" dxfId="0" priority="374" stopIfTrue="1" operator="equal">
      <formula>0</formula>
    </cfRule>
  </conditionalFormatting>
  <conditionalFormatting sqref="H29">
    <cfRule type="cellIs" dxfId="0" priority="373" stopIfTrue="1" operator="equal">
      <formula>0</formula>
    </cfRule>
  </conditionalFormatting>
  <conditionalFormatting sqref="C30">
    <cfRule type="cellIs" dxfId="0" priority="621" stopIfTrue="1" operator="equal">
      <formula>0</formula>
    </cfRule>
  </conditionalFormatting>
  <conditionalFormatting sqref="C31">
    <cfRule type="cellIs" dxfId="0" priority="619" stopIfTrue="1" operator="equal">
      <formula>0</formula>
    </cfRule>
  </conditionalFormatting>
  <conditionalFormatting sqref="C32">
    <cfRule type="cellIs" dxfId="0" priority="472" stopIfTrue="1" operator="equal">
      <formula>0</formula>
    </cfRule>
  </conditionalFormatting>
  <conditionalFormatting sqref="I32">
    <cfRule type="cellIs" dxfId="0" priority="422" stopIfTrue="1" operator="equal">
      <formula>0</formula>
    </cfRule>
  </conditionalFormatting>
  <conditionalFormatting sqref="C33">
    <cfRule type="cellIs" dxfId="0" priority="617" stopIfTrue="1" operator="equal">
      <formula>0</formula>
    </cfRule>
  </conditionalFormatting>
  <conditionalFormatting sqref="I33">
    <cfRule type="cellIs" dxfId="0" priority="423" stopIfTrue="1" operator="equal">
      <formula>0</formula>
    </cfRule>
  </conditionalFormatting>
  <conditionalFormatting sqref="C34">
    <cfRule type="cellIs" dxfId="0" priority="467" stopIfTrue="1" operator="equal">
      <formula>0</formula>
    </cfRule>
  </conditionalFormatting>
  <conditionalFormatting sqref="H34">
    <cfRule type="cellIs" dxfId="0" priority="466" stopIfTrue="1" operator="equal">
      <formula>0</formula>
    </cfRule>
  </conditionalFormatting>
  <conditionalFormatting sqref="I34">
    <cfRule type="cellIs" dxfId="0" priority="424" stopIfTrue="1" operator="equal">
      <formula>0</formula>
    </cfRule>
  </conditionalFormatting>
  <conditionalFormatting sqref="C35">
    <cfRule type="cellIs" dxfId="0" priority="427" stopIfTrue="1" operator="equal">
      <formula>0</formula>
    </cfRule>
  </conditionalFormatting>
  <conditionalFormatting sqref="H35">
    <cfRule type="cellIs" dxfId="0" priority="426" stopIfTrue="1" operator="equal">
      <formula>0</formula>
    </cfRule>
  </conditionalFormatting>
  <conditionalFormatting sqref="I35">
    <cfRule type="cellIs" dxfId="0" priority="425" stopIfTrue="1" operator="equal">
      <formula>0</formula>
    </cfRule>
  </conditionalFormatting>
  <conditionalFormatting sqref="C36">
    <cfRule type="cellIs" dxfId="0" priority="70" stopIfTrue="1" operator="equal">
      <formula>0</formula>
    </cfRule>
  </conditionalFormatting>
  <conditionalFormatting sqref="E36">
    <cfRule type="cellIs" dxfId="0" priority="69" stopIfTrue="1" operator="equal">
      <formula>0</formula>
    </cfRule>
  </conditionalFormatting>
  <conditionalFormatting sqref="G36">
    <cfRule type="cellIs" dxfId="0" priority="73" stopIfTrue="1" operator="equal">
      <formula>0</formula>
    </cfRule>
  </conditionalFormatting>
  <conditionalFormatting sqref="H36">
    <cfRule type="cellIs" dxfId="0" priority="72" stopIfTrue="1" operator="equal">
      <formula>0</formula>
    </cfRule>
  </conditionalFormatting>
  <conditionalFormatting sqref="I36">
    <cfRule type="cellIs" dxfId="0" priority="71" stopIfTrue="1" operator="equal">
      <formula>0</formula>
    </cfRule>
  </conditionalFormatting>
  <conditionalFormatting sqref="J36:IQ36">
    <cfRule type="cellIs" dxfId="0" priority="74" stopIfTrue="1" operator="equal">
      <formula>0</formula>
    </cfRule>
  </conditionalFormatting>
  <conditionalFormatting sqref="C37">
    <cfRule type="cellIs" dxfId="0" priority="83" stopIfTrue="1" operator="equal">
      <formula>0</formula>
    </cfRule>
  </conditionalFormatting>
  <conditionalFormatting sqref="E37">
    <cfRule type="cellIs" dxfId="0" priority="79" stopIfTrue="1" operator="equal">
      <formula>0</formula>
    </cfRule>
  </conditionalFormatting>
  <conditionalFormatting sqref="H37">
    <cfRule type="cellIs" dxfId="0" priority="77" stopIfTrue="1" operator="equal">
      <formula>0</formula>
    </cfRule>
  </conditionalFormatting>
  <conditionalFormatting sqref="C38">
    <cfRule type="cellIs" dxfId="0" priority="82" stopIfTrue="1" operator="equal">
      <formula>0</formula>
    </cfRule>
  </conditionalFormatting>
  <conditionalFormatting sqref="E38">
    <cfRule type="cellIs" dxfId="0" priority="78" stopIfTrue="1" operator="equal">
      <formula>0</formula>
    </cfRule>
  </conditionalFormatting>
  <conditionalFormatting sqref="H38">
    <cfRule type="cellIs" dxfId="0" priority="76" stopIfTrue="1" operator="equal">
      <formula>0</formula>
    </cfRule>
  </conditionalFormatting>
  <conditionalFormatting sqref="C39">
    <cfRule type="cellIs" dxfId="0" priority="501" stopIfTrue="1" operator="equal">
      <formula>0</formula>
    </cfRule>
  </conditionalFormatting>
  <conditionalFormatting sqref="G39">
    <cfRule type="cellIs" dxfId="0" priority="485" stopIfTrue="1" operator="equal">
      <formula>0</formula>
    </cfRule>
  </conditionalFormatting>
  <conditionalFormatting sqref="H39">
    <cfRule type="cellIs" dxfId="0" priority="500" stopIfTrue="1" operator="equal">
      <formula>0</formula>
    </cfRule>
  </conditionalFormatting>
  <conditionalFormatting sqref="C40">
    <cfRule type="cellIs" dxfId="0" priority="96" stopIfTrue="1" operator="equal">
      <formula>0</formula>
    </cfRule>
  </conditionalFormatting>
  <conditionalFormatting sqref="G40">
    <cfRule type="cellIs" dxfId="0" priority="94" stopIfTrue="1" operator="equal">
      <formula>0</formula>
    </cfRule>
  </conditionalFormatting>
  <conditionalFormatting sqref="H40">
    <cfRule type="cellIs" dxfId="0" priority="95" stopIfTrue="1" operator="equal">
      <formula>0</formula>
    </cfRule>
  </conditionalFormatting>
  <conditionalFormatting sqref="C41">
    <cfRule type="cellIs" dxfId="0" priority="105" stopIfTrue="1" operator="equal">
      <formula>0</formula>
    </cfRule>
  </conditionalFormatting>
  <conditionalFormatting sqref="G41">
    <cfRule type="cellIs" dxfId="0" priority="101" stopIfTrue="1" operator="equal">
      <formula>0</formula>
    </cfRule>
  </conditionalFormatting>
  <conditionalFormatting sqref="H41">
    <cfRule type="cellIs" dxfId="0" priority="102" stopIfTrue="1" operator="equal">
      <formula>0</formula>
    </cfRule>
  </conditionalFormatting>
  <conditionalFormatting sqref="C42">
    <cfRule type="cellIs" dxfId="0" priority="104" stopIfTrue="1" operator="equal">
      <formula>0</formula>
    </cfRule>
  </conditionalFormatting>
  <conditionalFormatting sqref="G42">
    <cfRule type="cellIs" dxfId="0" priority="98" stopIfTrue="1" operator="equal">
      <formula>0</formula>
    </cfRule>
  </conditionalFormatting>
  <conditionalFormatting sqref="H42">
    <cfRule type="cellIs" dxfId="0" priority="99" stopIfTrue="1" operator="equal">
      <formula>0</formula>
    </cfRule>
  </conditionalFormatting>
  <conditionalFormatting sqref="C43">
    <cfRule type="cellIs" dxfId="0" priority="464" stopIfTrue="1" operator="equal">
      <formula>0</formula>
    </cfRule>
  </conditionalFormatting>
  <conditionalFormatting sqref="I43">
    <cfRule type="cellIs" dxfId="0" priority="421" stopIfTrue="1" operator="equal">
      <formula>0</formula>
    </cfRule>
  </conditionalFormatting>
  <conditionalFormatting sqref="C44">
    <cfRule type="cellIs" dxfId="0" priority="479" stopIfTrue="1" operator="equal">
      <formula>0</formula>
    </cfRule>
  </conditionalFormatting>
  <conditionalFormatting sqref="H44">
    <cfRule type="cellIs" dxfId="0" priority="478" stopIfTrue="1" operator="equal">
      <formula>0</formula>
    </cfRule>
  </conditionalFormatting>
  <conditionalFormatting sqref="I44">
    <cfRule type="cellIs" dxfId="0" priority="420" stopIfTrue="1" operator="equal">
      <formula>0</formula>
    </cfRule>
  </conditionalFormatting>
  <conditionalFormatting sqref="C45">
    <cfRule type="cellIs" dxfId="0" priority="470" stopIfTrue="1" operator="equal">
      <formula>0</formula>
    </cfRule>
  </conditionalFormatting>
  <conditionalFormatting sqref="H45">
    <cfRule type="cellIs" dxfId="0" priority="469" stopIfTrue="1" operator="equal">
      <formula>0</formula>
    </cfRule>
  </conditionalFormatting>
  <conditionalFormatting sqref="I45">
    <cfRule type="cellIs" dxfId="0" priority="419" stopIfTrue="1" operator="equal">
      <formula>0</formula>
    </cfRule>
  </conditionalFormatting>
  <conditionalFormatting sqref="C46">
    <cfRule type="cellIs" dxfId="0" priority="417" stopIfTrue="1" operator="equal">
      <formula>0</formula>
    </cfRule>
  </conditionalFormatting>
  <conditionalFormatting sqref="H46">
    <cfRule type="cellIs" dxfId="0" priority="416" stopIfTrue="1" operator="equal">
      <formula>0</formula>
    </cfRule>
  </conditionalFormatting>
  <conditionalFormatting sqref="I46">
    <cfRule type="cellIs" dxfId="0" priority="415" stopIfTrue="1" operator="equal">
      <formula>0</formula>
    </cfRule>
  </conditionalFormatting>
  <conditionalFormatting sqref="C47">
    <cfRule type="cellIs" dxfId="0" priority="65" stopIfTrue="1" operator="equal">
      <formula>0</formula>
    </cfRule>
  </conditionalFormatting>
  <conditionalFormatting sqref="E47">
    <cfRule type="cellIs" dxfId="0" priority="63" stopIfTrue="1" operator="equal">
      <formula>0</formula>
    </cfRule>
  </conditionalFormatting>
  <conditionalFormatting sqref="G47">
    <cfRule type="cellIs" dxfId="0" priority="66" stopIfTrue="1" operator="equal">
      <formula>0</formula>
    </cfRule>
  </conditionalFormatting>
  <conditionalFormatting sqref="H47">
    <cfRule type="cellIs" dxfId="0" priority="62" stopIfTrue="1" operator="equal">
      <formula>0</formula>
    </cfRule>
  </conditionalFormatting>
  <conditionalFormatting sqref="I47">
    <cfRule type="cellIs" dxfId="0" priority="61" stopIfTrue="1" operator="equal">
      <formula>0</formula>
    </cfRule>
  </conditionalFormatting>
  <conditionalFormatting sqref="J47:IQ47">
    <cfRule type="cellIs" dxfId="0" priority="68" stopIfTrue="1" operator="equal">
      <formula>0</formula>
    </cfRule>
  </conditionalFormatting>
  <conditionalFormatting sqref="C48">
    <cfRule type="cellIs" dxfId="0" priority="391" stopIfTrue="1" operator="equal">
      <formula>0</formula>
    </cfRule>
  </conditionalFormatting>
  <conditionalFormatting sqref="E48">
    <cfRule type="cellIs" dxfId="0" priority="392" stopIfTrue="1" operator="equal">
      <formula>0</formula>
    </cfRule>
  </conditionalFormatting>
  <conditionalFormatting sqref="G48">
    <cfRule type="cellIs" dxfId="0" priority="382" stopIfTrue="1" operator="equal">
      <formula>0</formula>
    </cfRule>
  </conditionalFormatting>
  <conditionalFormatting sqref="H48">
    <cfRule type="cellIs" dxfId="0" priority="383" stopIfTrue="1" operator="equal">
      <formula>0</formula>
    </cfRule>
  </conditionalFormatting>
  <conditionalFormatting sqref="I48">
    <cfRule type="cellIs" dxfId="0" priority="381" stopIfTrue="1" operator="equal">
      <formula>0</formula>
    </cfRule>
  </conditionalFormatting>
  <conditionalFormatting sqref="C49">
    <cfRule type="cellIs" dxfId="0" priority="388" stopIfTrue="1" operator="equal">
      <formula>0</formula>
    </cfRule>
  </conditionalFormatting>
  <conditionalFormatting sqref="G49">
    <cfRule type="cellIs" dxfId="0" priority="389" stopIfTrue="1" operator="equal">
      <formula>0</formula>
    </cfRule>
  </conditionalFormatting>
  <conditionalFormatting sqref="I49">
    <cfRule type="cellIs" dxfId="0" priority="387" stopIfTrue="1" operator="equal">
      <formula>0</formula>
    </cfRule>
  </conditionalFormatting>
  <conditionalFormatting sqref="C50">
    <cfRule type="cellIs" dxfId="0" priority="434" stopIfTrue="1" operator="equal">
      <formula>0</formula>
    </cfRule>
  </conditionalFormatting>
  <conditionalFormatting sqref="I50">
    <cfRule type="cellIs" dxfId="0" priority="429" stopIfTrue="1" operator="equal">
      <formula>0</formula>
    </cfRule>
  </conditionalFormatting>
  <conditionalFormatting sqref="C51">
    <cfRule type="cellIs" dxfId="0" priority="430" stopIfTrue="1" operator="equal">
      <formula>0</formula>
    </cfRule>
  </conditionalFormatting>
  <conditionalFormatting sqref="J51:IQ51">
    <cfRule type="cellIs" dxfId="0" priority="477" stopIfTrue="1" operator="equal">
      <formula>0</formula>
    </cfRule>
  </conditionalFormatting>
  <conditionalFormatting sqref="C52">
    <cfRule type="cellIs" dxfId="0" priority="615" stopIfTrue="1" operator="equal">
      <formula>0</formula>
    </cfRule>
  </conditionalFormatting>
  <conditionalFormatting sqref="C53">
    <cfRule type="cellIs" dxfId="0" priority="371" stopIfTrue="1" operator="equal">
      <formula>0</formula>
    </cfRule>
  </conditionalFormatting>
  <conditionalFormatting sqref="E53">
    <cfRule type="cellIs" dxfId="0" priority="369" stopIfTrue="1" operator="equal">
      <formula>0</formula>
    </cfRule>
  </conditionalFormatting>
  <conditionalFormatting sqref="G53">
    <cfRule type="cellIs" dxfId="0" priority="372" stopIfTrue="1" operator="equal">
      <formula>0</formula>
    </cfRule>
  </conditionalFormatting>
  <conditionalFormatting sqref="H53">
    <cfRule type="cellIs" dxfId="0" priority="370" stopIfTrue="1" operator="equal">
      <formula>0</formula>
    </cfRule>
  </conditionalFormatting>
  <conditionalFormatting sqref="I53">
    <cfRule type="cellIs" dxfId="0" priority="367" stopIfTrue="1" operator="equal">
      <formula>0</formula>
    </cfRule>
  </conditionalFormatting>
  <conditionalFormatting sqref="C54">
    <cfRule type="cellIs" dxfId="0" priority="354" stopIfTrue="1" operator="equal">
      <formula>0</formula>
    </cfRule>
  </conditionalFormatting>
  <conditionalFormatting sqref="H54">
    <cfRule type="cellIs" dxfId="0" priority="353" stopIfTrue="1" operator="equal">
      <formula>0</formula>
    </cfRule>
  </conditionalFormatting>
  <conditionalFormatting sqref="C55">
    <cfRule type="cellIs" dxfId="0" priority="357" stopIfTrue="1" operator="equal">
      <formula>0</formula>
    </cfRule>
  </conditionalFormatting>
  <conditionalFormatting sqref="H55">
    <cfRule type="cellIs" dxfId="0" priority="356" stopIfTrue="1" operator="equal">
      <formula>0</formula>
    </cfRule>
  </conditionalFormatting>
  <conditionalFormatting sqref="C56">
    <cfRule type="cellIs" dxfId="0" priority="360" stopIfTrue="1" operator="equal">
      <formula>0</formula>
    </cfRule>
  </conditionalFormatting>
  <conditionalFormatting sqref="H56">
    <cfRule type="cellIs" dxfId="0" priority="359" stopIfTrue="1" operator="equal">
      <formula>0</formula>
    </cfRule>
  </conditionalFormatting>
  <conditionalFormatting sqref="C57">
    <cfRule type="cellIs" dxfId="0" priority="458" stopIfTrue="1" operator="equal">
      <formula>0</formula>
    </cfRule>
  </conditionalFormatting>
  <conditionalFormatting sqref="H57">
    <cfRule type="cellIs" dxfId="0" priority="457" stopIfTrue="1" operator="equal">
      <formula>0</formula>
    </cfRule>
  </conditionalFormatting>
  <conditionalFormatting sqref="C58">
    <cfRule type="cellIs" dxfId="0" priority="483" stopIfTrue="1" operator="equal">
      <formula>0</formula>
    </cfRule>
  </conditionalFormatting>
  <conditionalFormatting sqref="H58">
    <cfRule type="cellIs" dxfId="0" priority="482" stopIfTrue="1" operator="equal">
      <formula>0</formula>
    </cfRule>
  </conditionalFormatting>
  <conditionalFormatting sqref="J58:M58">
    <cfRule type="cellIs" dxfId="0" priority="456" stopIfTrue="1" operator="equal">
      <formula>0</formula>
    </cfRule>
  </conditionalFormatting>
  <conditionalFormatting sqref="C59">
    <cfRule type="cellIs" dxfId="0" priority="614" stopIfTrue="1" operator="equal">
      <formula>0</formula>
    </cfRule>
  </conditionalFormatting>
  <conditionalFormatting sqref="C60">
    <cfRule type="cellIs" dxfId="0" priority="613" stopIfTrue="1" operator="equal">
      <formula>0</formula>
    </cfRule>
  </conditionalFormatting>
  <conditionalFormatting sqref="C61">
    <cfRule type="cellIs" dxfId="0" priority="488" stopIfTrue="1" operator="equal">
      <formula>0</formula>
    </cfRule>
  </conditionalFormatting>
  <conditionalFormatting sqref="H61">
    <cfRule type="cellIs" dxfId="0" priority="487" stopIfTrue="1" operator="equal">
      <formula>0</formula>
    </cfRule>
  </conditionalFormatting>
  <conditionalFormatting sqref="C62">
    <cfRule type="cellIs" dxfId="0" priority="611" stopIfTrue="1" operator="equal">
      <formula>0</formula>
    </cfRule>
  </conditionalFormatting>
  <conditionalFormatting sqref="C63">
    <cfRule type="cellIs" dxfId="0" priority="364" stopIfTrue="1" operator="equal">
      <formula>0</formula>
    </cfRule>
  </conditionalFormatting>
  <conditionalFormatting sqref="E63">
    <cfRule type="cellIs" dxfId="0" priority="362" stopIfTrue="1" operator="equal">
      <formula>0</formula>
    </cfRule>
  </conditionalFormatting>
  <conditionalFormatting sqref="H63">
    <cfRule type="cellIs" dxfId="0" priority="363" stopIfTrue="1" operator="equal">
      <formula>0</formula>
    </cfRule>
  </conditionalFormatting>
  <conditionalFormatting sqref="J63">
    <cfRule type="cellIs" dxfId="0" priority="366" stopIfTrue="1" operator="equal">
      <formula>0</formula>
    </cfRule>
  </conditionalFormatting>
  <conditionalFormatting sqref="C64">
    <cfRule type="cellIs" dxfId="0" priority="610" stopIfTrue="1" operator="equal">
      <formula>0</formula>
    </cfRule>
  </conditionalFormatting>
  <conditionalFormatting sqref="C65">
    <cfRule type="cellIs" dxfId="0" priority="608" stopIfTrue="1" operator="equal">
      <formula>0</formula>
    </cfRule>
  </conditionalFormatting>
  <conditionalFormatting sqref="F65">
    <cfRule type="cellIs" dxfId="0" priority="438" stopIfTrue="1" operator="equal">
      <formula>0</formula>
    </cfRule>
  </conditionalFormatting>
  <conditionalFormatting sqref="C66">
    <cfRule type="cellIs" dxfId="0" priority="606" stopIfTrue="1" operator="equal">
      <formula>0</formula>
    </cfRule>
  </conditionalFormatting>
  <conditionalFormatting sqref="C68">
    <cfRule type="cellIs" dxfId="0" priority="385" stopIfTrue="1" operator="equal">
      <formula>0</formula>
    </cfRule>
  </conditionalFormatting>
  <conditionalFormatting sqref="H68">
    <cfRule type="cellIs" dxfId="0" priority="384" stopIfTrue="1" operator="equal">
      <formula>0</formula>
    </cfRule>
  </conditionalFormatting>
  <conditionalFormatting sqref="J68:IQ68">
    <cfRule type="cellIs" dxfId="0" priority="453" stopIfTrue="1" operator="equal">
      <formula>0</formula>
    </cfRule>
  </conditionalFormatting>
  <conditionalFormatting sqref="C69">
    <cfRule type="cellIs" dxfId="0" priority="495" stopIfTrue="1" operator="equal">
      <formula>0</formula>
    </cfRule>
  </conditionalFormatting>
  <conditionalFormatting sqref="H69">
    <cfRule type="cellIs" dxfId="0" priority="494" stopIfTrue="1" operator="equal">
      <formula>0</formula>
    </cfRule>
  </conditionalFormatting>
  <conditionalFormatting sqref="C70">
    <cfRule type="cellIs" dxfId="0" priority="498" stopIfTrue="1" operator="equal">
      <formula>0</formula>
    </cfRule>
  </conditionalFormatting>
  <conditionalFormatting sqref="H70">
    <cfRule type="cellIs" dxfId="0" priority="497" stopIfTrue="1" operator="equal">
      <formula>0</formula>
    </cfRule>
  </conditionalFormatting>
  <conditionalFormatting sqref="C71">
    <cfRule type="cellIs" dxfId="0" priority="503" stopIfTrue="1" operator="equal">
      <formula>0</formula>
    </cfRule>
  </conditionalFormatting>
  <conditionalFormatting sqref="C73">
    <cfRule type="cellIs" dxfId="0" priority="603" stopIfTrue="1" operator="equal">
      <formula>0</formula>
    </cfRule>
  </conditionalFormatting>
  <conditionalFormatting sqref="I73">
    <cfRule type="cellIs" dxfId="0" priority="602" stopIfTrue="1" operator="equal">
      <formula>0</formula>
    </cfRule>
  </conditionalFormatting>
  <conditionalFormatting sqref="I74">
    <cfRule type="cellIs" dxfId="0" priority="599" stopIfTrue="1" operator="equal">
      <formula>0</formula>
    </cfRule>
  </conditionalFormatting>
  <conditionalFormatting sqref="C75">
    <cfRule type="cellIs" dxfId="0" priority="600" stopIfTrue="1" operator="equal">
      <formula>0</formula>
    </cfRule>
  </conditionalFormatting>
  <conditionalFormatting sqref="I75">
    <cfRule type="cellIs" dxfId="0" priority="598" stopIfTrue="1" operator="equal">
      <formula>0</formula>
    </cfRule>
  </conditionalFormatting>
  <conditionalFormatting sqref="H79:IQ79">
    <cfRule type="cellIs" dxfId="0" priority="631" stopIfTrue="1" operator="equal">
      <formula>0</formula>
    </cfRule>
  </conditionalFormatting>
  <conditionalFormatting sqref="J80:IQ80">
    <cfRule type="cellIs" dxfId="0" priority="592" stopIfTrue="1" operator="equal">
      <formula>0</formula>
    </cfRule>
  </conditionalFormatting>
  <conditionalFormatting sqref="C81">
    <cfRule type="cellIs" dxfId="0" priority="220" stopIfTrue="1" operator="equal">
      <formula>0</formula>
    </cfRule>
  </conditionalFormatting>
  <conditionalFormatting sqref="E81">
    <cfRule type="cellIs" dxfId="0" priority="219" stopIfTrue="1" operator="equal">
      <formula>0</formula>
    </cfRule>
  </conditionalFormatting>
  <conditionalFormatting sqref="G81:I81">
    <cfRule type="cellIs" dxfId="0" priority="221" stopIfTrue="1" operator="equal">
      <formula>0</formula>
    </cfRule>
  </conditionalFormatting>
  <conditionalFormatting sqref="C82">
    <cfRule type="cellIs" dxfId="0" priority="222" stopIfTrue="1" operator="equal">
      <formula>0</formula>
    </cfRule>
  </conditionalFormatting>
  <conditionalFormatting sqref="E82:I82">
    <cfRule type="cellIs" dxfId="0" priority="223" stopIfTrue="1" operator="equal">
      <formula>0</formula>
    </cfRule>
  </conditionalFormatting>
  <conditionalFormatting sqref="C83">
    <cfRule type="cellIs" dxfId="0" priority="350" stopIfTrue="1" operator="equal">
      <formula>0</formula>
    </cfRule>
  </conditionalFormatting>
  <conditionalFormatting sqref="H83">
    <cfRule type="cellIs" dxfId="0" priority="349" stopIfTrue="1" operator="equal">
      <formula>0</formula>
    </cfRule>
  </conditionalFormatting>
  <conditionalFormatting sqref="C84">
    <cfRule type="cellIs" dxfId="0" priority="335" stopIfTrue="1" operator="equal">
      <formula>0</formula>
    </cfRule>
  </conditionalFormatting>
  <conditionalFormatting sqref="I84">
    <cfRule type="cellIs" dxfId="0" priority="315" stopIfTrue="1" operator="equal">
      <formula>0</formula>
    </cfRule>
  </conditionalFormatting>
  <conditionalFormatting sqref="C85">
    <cfRule type="cellIs" dxfId="0" priority="346" stopIfTrue="1" operator="equal">
      <formula>0</formula>
    </cfRule>
  </conditionalFormatting>
  <conditionalFormatting sqref="E85:G85">
    <cfRule type="cellIs" dxfId="0" priority="347" stopIfTrue="1" operator="equal">
      <formula>0</formula>
    </cfRule>
  </conditionalFormatting>
  <conditionalFormatting sqref="H85">
    <cfRule type="cellIs" dxfId="0" priority="345" stopIfTrue="1" operator="equal">
      <formula>0</formula>
    </cfRule>
  </conditionalFormatting>
  <conditionalFormatting sqref="I85">
    <cfRule type="cellIs" dxfId="0" priority="316" stopIfTrue="1" operator="equal">
      <formula>0</formula>
    </cfRule>
  </conditionalFormatting>
  <conditionalFormatting sqref="C86">
    <cfRule type="cellIs" dxfId="0" priority="330" stopIfTrue="1" operator="equal">
      <formula>0</formula>
    </cfRule>
  </conditionalFormatting>
  <conditionalFormatting sqref="H86">
    <cfRule type="cellIs" dxfId="0" priority="329" stopIfTrue="1" operator="equal">
      <formula>0</formula>
    </cfRule>
  </conditionalFormatting>
  <conditionalFormatting sqref="I86">
    <cfRule type="cellIs" dxfId="0" priority="317" stopIfTrue="1" operator="equal">
      <formula>0</formula>
    </cfRule>
  </conditionalFormatting>
  <conditionalFormatting sqref="C87">
    <cfRule type="cellIs" dxfId="0" priority="320" stopIfTrue="1" operator="equal">
      <formula>0</formula>
    </cfRule>
  </conditionalFormatting>
  <conditionalFormatting sqref="H87">
    <cfRule type="cellIs" dxfId="0" priority="319" stopIfTrue="1" operator="equal">
      <formula>0</formula>
    </cfRule>
  </conditionalFormatting>
  <conditionalFormatting sqref="I87">
    <cfRule type="cellIs" dxfId="0" priority="318" stopIfTrue="1" operator="equal">
      <formula>0</formula>
    </cfRule>
  </conditionalFormatting>
  <conditionalFormatting sqref="C88">
    <cfRule type="cellIs" dxfId="0" priority="88" stopIfTrue="1" operator="equal">
      <formula>0</formula>
    </cfRule>
  </conditionalFormatting>
  <conditionalFormatting sqref="E88">
    <cfRule type="cellIs" dxfId="0" priority="87" stopIfTrue="1" operator="equal">
      <formula>0</formula>
    </cfRule>
  </conditionalFormatting>
  <conditionalFormatting sqref="G88">
    <cfRule type="cellIs" dxfId="0" priority="91" stopIfTrue="1" operator="equal">
      <formula>0</formula>
    </cfRule>
  </conditionalFormatting>
  <conditionalFormatting sqref="H88">
    <cfRule type="cellIs" dxfId="0" priority="90" stopIfTrue="1" operator="equal">
      <formula>0</formula>
    </cfRule>
  </conditionalFormatting>
  <conditionalFormatting sqref="I88">
    <cfRule type="cellIs" dxfId="0" priority="89" stopIfTrue="1" operator="equal">
      <formula>0</formula>
    </cfRule>
  </conditionalFormatting>
  <conditionalFormatting sqref="J88:IQ88">
    <cfRule type="cellIs" dxfId="0" priority="92" stopIfTrue="1" operator="equal">
      <formula>0</formula>
    </cfRule>
  </conditionalFormatting>
  <conditionalFormatting sqref="C89">
    <cfRule type="cellIs" dxfId="0" priority="157" stopIfTrue="1" operator="equal">
      <formula>0</formula>
    </cfRule>
  </conditionalFormatting>
  <conditionalFormatting sqref="E89">
    <cfRule type="cellIs" dxfId="0" priority="119" stopIfTrue="1" operator="equal">
      <formula>0</formula>
    </cfRule>
  </conditionalFormatting>
  <conditionalFormatting sqref="H89">
    <cfRule type="cellIs" dxfId="0" priority="117" stopIfTrue="1" operator="equal">
      <formula>0</formula>
    </cfRule>
  </conditionalFormatting>
  <conditionalFormatting sqref="C90">
    <cfRule type="cellIs" dxfId="0" priority="122" stopIfTrue="1" operator="equal">
      <formula>0</formula>
    </cfRule>
  </conditionalFormatting>
  <conditionalFormatting sqref="E90">
    <cfRule type="cellIs" dxfId="0" priority="118" stopIfTrue="1" operator="equal">
      <formula>0</formula>
    </cfRule>
  </conditionalFormatting>
  <conditionalFormatting sqref="H90">
    <cfRule type="cellIs" dxfId="0" priority="116" stopIfTrue="1" operator="equal">
      <formula>0</formula>
    </cfRule>
  </conditionalFormatting>
  <conditionalFormatting sqref="C91">
    <cfRule type="cellIs" dxfId="0" priority="343" stopIfTrue="1" operator="equal">
      <formula>0</formula>
    </cfRule>
  </conditionalFormatting>
  <conditionalFormatting sqref="G91">
    <cfRule type="cellIs" dxfId="0" priority="341" stopIfTrue="1" operator="equal">
      <formula>0</formula>
    </cfRule>
  </conditionalFormatting>
  <conditionalFormatting sqref="H91">
    <cfRule type="cellIs" dxfId="0" priority="342" stopIfTrue="1" operator="equal">
      <formula>0</formula>
    </cfRule>
  </conditionalFormatting>
  <conditionalFormatting sqref="C92">
    <cfRule type="cellIs" dxfId="0" priority="48" stopIfTrue="1" operator="equal">
      <formula>0</formula>
    </cfRule>
  </conditionalFormatting>
  <conditionalFormatting sqref="G92">
    <cfRule type="cellIs" dxfId="0" priority="46" stopIfTrue="1" operator="equal">
      <formula>0</formula>
    </cfRule>
  </conditionalFormatting>
  <conditionalFormatting sqref="H92">
    <cfRule type="cellIs" dxfId="0" priority="47" stopIfTrue="1" operator="equal">
      <formula>0</formula>
    </cfRule>
  </conditionalFormatting>
  <conditionalFormatting sqref="C93">
    <cfRule type="cellIs" dxfId="0" priority="57" stopIfTrue="1" operator="equal">
      <formula>0</formula>
    </cfRule>
  </conditionalFormatting>
  <conditionalFormatting sqref="G93">
    <cfRule type="cellIs" dxfId="0" priority="53" stopIfTrue="1" operator="equal">
      <formula>0</formula>
    </cfRule>
  </conditionalFormatting>
  <conditionalFormatting sqref="H93">
    <cfRule type="cellIs" dxfId="0" priority="54" stopIfTrue="1" operator="equal">
      <formula>0</formula>
    </cfRule>
  </conditionalFormatting>
  <conditionalFormatting sqref="C94">
    <cfRule type="cellIs" dxfId="0" priority="56" stopIfTrue="1" operator="equal">
      <formula>0</formula>
    </cfRule>
  </conditionalFormatting>
  <conditionalFormatting sqref="G94">
    <cfRule type="cellIs" dxfId="0" priority="50" stopIfTrue="1" operator="equal">
      <formula>0</formula>
    </cfRule>
  </conditionalFormatting>
  <conditionalFormatting sqref="H94">
    <cfRule type="cellIs" dxfId="0" priority="51" stopIfTrue="1" operator="equal">
      <formula>0</formula>
    </cfRule>
  </conditionalFormatting>
  <conditionalFormatting sqref="C95">
    <cfRule type="cellIs" dxfId="0" priority="327" stopIfTrue="1" operator="equal">
      <formula>0</formula>
    </cfRule>
  </conditionalFormatting>
  <conditionalFormatting sqref="I95">
    <cfRule type="cellIs" dxfId="0" priority="314" stopIfTrue="1" operator="equal">
      <formula>0</formula>
    </cfRule>
  </conditionalFormatting>
  <conditionalFormatting sqref="C96">
    <cfRule type="cellIs" dxfId="0" priority="339" stopIfTrue="1" operator="equal">
      <formula>0</formula>
    </cfRule>
  </conditionalFormatting>
  <conditionalFormatting sqref="H96">
    <cfRule type="cellIs" dxfId="0" priority="338" stopIfTrue="1" operator="equal">
      <formula>0</formula>
    </cfRule>
  </conditionalFormatting>
  <conditionalFormatting sqref="I96">
    <cfRule type="cellIs" dxfId="0" priority="313" stopIfTrue="1" operator="equal">
      <formula>0</formula>
    </cfRule>
  </conditionalFormatting>
  <conditionalFormatting sqref="C97">
    <cfRule type="cellIs" dxfId="0" priority="333" stopIfTrue="1" operator="equal">
      <formula>0</formula>
    </cfRule>
  </conditionalFormatting>
  <conditionalFormatting sqref="H97">
    <cfRule type="cellIs" dxfId="0" priority="332" stopIfTrue="1" operator="equal">
      <formula>0</formula>
    </cfRule>
  </conditionalFormatting>
  <conditionalFormatting sqref="I97">
    <cfRule type="cellIs" dxfId="0" priority="312" stopIfTrue="1" operator="equal">
      <formula>0</formula>
    </cfRule>
  </conditionalFormatting>
  <conditionalFormatting sqref="C98">
    <cfRule type="cellIs" dxfId="0" priority="310" stopIfTrue="1" operator="equal">
      <formula>0</formula>
    </cfRule>
  </conditionalFormatting>
  <conditionalFormatting sqref="H98">
    <cfRule type="cellIs" dxfId="0" priority="309" stopIfTrue="1" operator="equal">
      <formula>0</formula>
    </cfRule>
  </conditionalFormatting>
  <conditionalFormatting sqref="I98">
    <cfRule type="cellIs" dxfId="0" priority="308" stopIfTrue="1" operator="equal">
      <formula>0</formula>
    </cfRule>
  </conditionalFormatting>
  <conditionalFormatting sqref="C99">
    <cfRule type="cellIs" dxfId="0" priority="110" stopIfTrue="1" operator="equal">
      <formula>0</formula>
    </cfRule>
  </conditionalFormatting>
  <conditionalFormatting sqref="E99">
    <cfRule type="cellIs" dxfId="0" priority="108" stopIfTrue="1" operator="equal">
      <formula>0</formula>
    </cfRule>
  </conditionalFormatting>
  <conditionalFormatting sqref="G99">
    <cfRule type="cellIs" dxfId="0" priority="111" stopIfTrue="1" operator="equal">
      <formula>0</formula>
    </cfRule>
  </conditionalFormatting>
  <conditionalFormatting sqref="H99">
    <cfRule type="cellIs" dxfId="0" priority="107" stopIfTrue="1" operator="equal">
      <formula>0</formula>
    </cfRule>
  </conditionalFormatting>
  <conditionalFormatting sqref="I99">
    <cfRule type="cellIs" dxfId="0" priority="106" stopIfTrue="1" operator="equal">
      <formula>0</formula>
    </cfRule>
  </conditionalFormatting>
  <conditionalFormatting sqref="J99:IQ99">
    <cfRule type="cellIs" dxfId="0" priority="113" stopIfTrue="1" operator="equal">
      <formula>0</formula>
    </cfRule>
  </conditionalFormatting>
  <conditionalFormatting sqref="C100">
    <cfRule type="cellIs" dxfId="0" priority="306" stopIfTrue="1" operator="equal">
      <formula>0</formula>
    </cfRule>
  </conditionalFormatting>
  <conditionalFormatting sqref="E100">
    <cfRule type="cellIs" dxfId="0" priority="307" stopIfTrue="1" operator="equal">
      <formula>0</formula>
    </cfRule>
  </conditionalFormatting>
  <conditionalFormatting sqref="G100">
    <cfRule type="cellIs" dxfId="0" priority="300" stopIfTrue="1" operator="equal">
      <formula>0</formula>
    </cfRule>
  </conditionalFormatting>
  <conditionalFormatting sqref="H100">
    <cfRule type="cellIs" dxfId="0" priority="301" stopIfTrue="1" operator="equal">
      <formula>0</formula>
    </cfRule>
  </conditionalFormatting>
  <conditionalFormatting sqref="I100">
    <cfRule type="cellIs" dxfId="0" priority="59" stopIfTrue="1" operator="equal">
      <formula>0</formula>
    </cfRule>
  </conditionalFormatting>
  <conditionalFormatting sqref="J100:IQ100">
    <cfRule type="cellIs" dxfId="0" priority="463" stopIfTrue="1" operator="equal">
      <formula>0</formula>
    </cfRule>
  </conditionalFormatting>
  <conditionalFormatting sqref="C101">
    <cfRule type="cellIs" dxfId="0" priority="303" stopIfTrue="1" operator="equal">
      <formula>0</formula>
    </cfRule>
  </conditionalFormatting>
  <conditionalFormatting sqref="G101">
    <cfRule type="cellIs" dxfId="0" priority="304" stopIfTrue="1" operator="equal">
      <formula>0</formula>
    </cfRule>
  </conditionalFormatting>
  <conditionalFormatting sqref="I101">
    <cfRule type="cellIs" dxfId="0" priority="302" stopIfTrue="1" operator="equal">
      <formula>0</formula>
    </cfRule>
  </conditionalFormatting>
  <conditionalFormatting sqref="J101:IQ101">
    <cfRule type="cellIs" dxfId="0" priority="481" stopIfTrue="1" operator="equal">
      <formula>0</formula>
    </cfRule>
  </conditionalFormatting>
  <conditionalFormatting sqref="C102">
    <cfRule type="cellIs" dxfId="0" priority="325" stopIfTrue="1" operator="equal">
      <formula>0</formula>
    </cfRule>
  </conditionalFormatting>
  <conditionalFormatting sqref="I102">
    <cfRule type="cellIs" dxfId="0" priority="60" stopIfTrue="1" operator="equal">
      <formula>0</formula>
    </cfRule>
  </conditionalFormatting>
  <conditionalFormatting sqref="J102:IQ102">
    <cfRule type="cellIs" dxfId="0" priority="441" stopIfTrue="1" operator="equal">
      <formula>0</formula>
    </cfRule>
  </conditionalFormatting>
  <conditionalFormatting sqref="C103">
    <cfRule type="cellIs" dxfId="0" priority="323" stopIfTrue="1" operator="equal">
      <formula>0</formula>
    </cfRule>
  </conditionalFormatting>
  <conditionalFormatting sqref="J103:IQ103">
    <cfRule type="cellIs" dxfId="0" priority="462" stopIfTrue="1" operator="equal">
      <formula>0</formula>
    </cfRule>
  </conditionalFormatting>
  <conditionalFormatting sqref="C104">
    <cfRule type="cellIs" dxfId="0" priority="296" stopIfTrue="1" operator="equal">
      <formula>0</formula>
    </cfRule>
  </conditionalFormatting>
  <conditionalFormatting sqref="C105">
    <cfRule type="cellIs" dxfId="0" priority="260" stopIfTrue="1" operator="equal">
      <formula>0</formula>
    </cfRule>
  </conditionalFormatting>
  <conditionalFormatting sqref="E105">
    <cfRule type="cellIs" dxfId="0" priority="258" stopIfTrue="1" operator="equal">
      <formula>0</formula>
    </cfRule>
  </conditionalFormatting>
  <conditionalFormatting sqref="G105">
    <cfRule type="cellIs" dxfId="0" priority="261" stopIfTrue="1" operator="equal">
      <formula>0</formula>
    </cfRule>
  </conditionalFormatting>
  <conditionalFormatting sqref="H105">
    <cfRule type="cellIs" dxfId="0" priority="259" stopIfTrue="1" operator="equal">
      <formula>0</formula>
    </cfRule>
  </conditionalFormatting>
  <conditionalFormatting sqref="I105">
    <cfRule type="cellIs" dxfId="0" priority="256" stopIfTrue="1" operator="equal">
      <formula>0</formula>
    </cfRule>
  </conditionalFormatting>
  <conditionalFormatting sqref="C106">
    <cfRule type="cellIs" dxfId="0" priority="244" stopIfTrue="1" operator="equal">
      <formula>0</formula>
    </cfRule>
  </conditionalFormatting>
  <conditionalFormatting sqref="H106">
    <cfRule type="cellIs" dxfId="0" priority="243" stopIfTrue="1" operator="equal">
      <formula>0</formula>
    </cfRule>
  </conditionalFormatting>
  <conditionalFormatting sqref="C107">
    <cfRule type="cellIs" dxfId="0" priority="247" stopIfTrue="1" operator="equal">
      <formula>0</formula>
    </cfRule>
  </conditionalFormatting>
  <conditionalFormatting sqref="H107">
    <cfRule type="cellIs" dxfId="0" priority="246" stopIfTrue="1" operator="equal">
      <formula>0</formula>
    </cfRule>
  </conditionalFormatting>
  <conditionalFormatting sqref="C108">
    <cfRule type="cellIs" dxfId="0" priority="250" stopIfTrue="1" operator="equal">
      <formula>0</formula>
    </cfRule>
  </conditionalFormatting>
  <conditionalFormatting sqref="H108">
    <cfRule type="cellIs" dxfId="0" priority="249" stopIfTrue="1" operator="equal">
      <formula>0</formula>
    </cfRule>
  </conditionalFormatting>
  <conditionalFormatting sqref="C109">
    <cfRule type="cellIs" dxfId="0" priority="269" stopIfTrue="1" operator="equal">
      <formula>0</formula>
    </cfRule>
  </conditionalFormatting>
  <conditionalFormatting sqref="H109">
    <cfRule type="cellIs" dxfId="0" priority="268" stopIfTrue="1" operator="equal">
      <formula>0</formula>
    </cfRule>
  </conditionalFormatting>
  <conditionalFormatting sqref="C110">
    <cfRule type="cellIs" dxfId="0" priority="272" stopIfTrue="1" operator="equal">
      <formula>0</formula>
    </cfRule>
  </conditionalFormatting>
  <conditionalFormatting sqref="H110">
    <cfRule type="cellIs" dxfId="0" priority="271" stopIfTrue="1" operator="equal">
      <formula>0</formula>
    </cfRule>
  </conditionalFormatting>
  <conditionalFormatting sqref="C111">
    <cfRule type="cellIs" dxfId="0" priority="295" stopIfTrue="1" operator="equal">
      <formula>0</formula>
    </cfRule>
  </conditionalFormatting>
  <conditionalFormatting sqref="C112">
    <cfRule type="cellIs" dxfId="0" priority="294" stopIfTrue="1" operator="equal">
      <formula>0</formula>
    </cfRule>
  </conditionalFormatting>
  <conditionalFormatting sqref="C113">
    <cfRule type="cellIs" dxfId="0" priority="275" stopIfTrue="1" operator="equal">
      <formula>0</formula>
    </cfRule>
  </conditionalFormatting>
  <conditionalFormatting sqref="H113">
    <cfRule type="cellIs" dxfId="0" priority="274" stopIfTrue="1" operator="equal">
      <formula>0</formula>
    </cfRule>
  </conditionalFormatting>
  <conditionalFormatting sqref="C114">
    <cfRule type="cellIs" dxfId="0" priority="292" stopIfTrue="1" operator="equal">
      <formula>0</formula>
    </cfRule>
  </conditionalFormatting>
  <conditionalFormatting sqref="C115">
    <cfRule type="cellIs" dxfId="0" priority="254" stopIfTrue="1" operator="equal">
      <formula>0</formula>
    </cfRule>
  </conditionalFormatting>
  <conditionalFormatting sqref="E115">
    <cfRule type="cellIs" dxfId="0" priority="252" stopIfTrue="1" operator="equal">
      <formula>0</formula>
    </cfRule>
  </conditionalFormatting>
  <conditionalFormatting sqref="H115">
    <cfRule type="cellIs" dxfId="0" priority="253" stopIfTrue="1" operator="equal">
      <formula>0</formula>
    </cfRule>
  </conditionalFormatting>
  <conditionalFormatting sqref="C116">
    <cfRule type="cellIs" dxfId="0" priority="291" stopIfTrue="1" operator="equal">
      <formula>0</formula>
    </cfRule>
  </conditionalFormatting>
  <conditionalFormatting sqref="J116:IQ116">
    <cfRule type="cellIs" dxfId="0" priority="437" stopIfTrue="1" operator="equal">
      <formula>0</formula>
    </cfRule>
  </conditionalFormatting>
  <conditionalFormatting sqref="C117">
    <cfRule type="cellIs" dxfId="0" priority="289" stopIfTrue="1" operator="equal">
      <formula>0</formula>
    </cfRule>
  </conditionalFormatting>
  <conditionalFormatting sqref="F117">
    <cfRule type="cellIs" dxfId="0" priority="265" stopIfTrue="1" operator="equal">
      <formula>0</formula>
    </cfRule>
  </conditionalFormatting>
  <conditionalFormatting sqref="C118">
    <cfRule type="cellIs" dxfId="0" priority="287" stopIfTrue="1" operator="equal">
      <formula>0</formula>
    </cfRule>
  </conditionalFormatting>
  <conditionalFormatting sqref="J119:IQ119">
    <cfRule type="cellIs" dxfId="0" priority="486" stopIfTrue="1" operator="equal">
      <formula>0</formula>
    </cfRule>
  </conditionalFormatting>
  <conditionalFormatting sqref="C120">
    <cfRule type="cellIs" dxfId="0" priority="263" stopIfTrue="1" operator="equal">
      <formula>0</formula>
    </cfRule>
  </conditionalFormatting>
  <conditionalFormatting sqref="H120">
    <cfRule type="cellIs" dxfId="0" priority="262" stopIfTrue="1" operator="equal">
      <formula>0</formula>
    </cfRule>
  </conditionalFormatting>
  <conditionalFormatting sqref="C121">
    <cfRule type="cellIs" dxfId="0" priority="278" stopIfTrue="1" operator="equal">
      <formula>0</formula>
    </cfRule>
  </conditionalFormatting>
  <conditionalFormatting sqref="H121">
    <cfRule type="cellIs" dxfId="0" priority="277" stopIfTrue="1" operator="equal">
      <formula>0</formula>
    </cfRule>
  </conditionalFormatting>
  <conditionalFormatting sqref="J121:IQ121">
    <cfRule type="cellIs" dxfId="0" priority="402" stopIfTrue="1" operator="equal">
      <formula>0</formula>
    </cfRule>
  </conditionalFormatting>
  <conditionalFormatting sqref="C122">
    <cfRule type="cellIs" dxfId="0" priority="281" stopIfTrue="1" operator="equal">
      <formula>0</formula>
    </cfRule>
  </conditionalFormatting>
  <conditionalFormatting sqref="H122">
    <cfRule type="cellIs" dxfId="0" priority="280" stopIfTrue="1" operator="equal">
      <formula>0</formula>
    </cfRule>
  </conditionalFormatting>
  <conditionalFormatting sqref="C123">
    <cfRule type="cellIs" dxfId="0" priority="283" stopIfTrue="1" operator="equal">
      <formula>0</formula>
    </cfRule>
  </conditionalFormatting>
  <conditionalFormatting sqref="J123:IQ123">
    <cfRule type="cellIs" dxfId="0" priority="587" stopIfTrue="1" operator="equal">
      <formula>0</formula>
    </cfRule>
  </conditionalFormatting>
  <conditionalFormatting sqref="A124">
    <cfRule type="cellIs" dxfId="0" priority="242" stopIfTrue="1" operator="equal">
      <formula>0</formula>
    </cfRule>
  </conditionalFormatting>
  <conditionalFormatting sqref="C125">
    <cfRule type="cellIs" dxfId="0" priority="240" stopIfTrue="1" operator="equal">
      <formula>0</formula>
    </cfRule>
  </conditionalFormatting>
  <conditionalFormatting sqref="I125">
    <cfRule type="cellIs" dxfId="0" priority="239" stopIfTrue="1" operator="equal">
      <formula>0</formula>
    </cfRule>
  </conditionalFormatting>
  <conditionalFormatting sqref="I126">
    <cfRule type="cellIs" dxfId="0" priority="236" stopIfTrue="1" operator="equal">
      <formula>0</formula>
    </cfRule>
  </conditionalFormatting>
  <conditionalFormatting sqref="C127">
    <cfRule type="cellIs" dxfId="0" priority="237" stopIfTrue="1" operator="equal">
      <formula>0</formula>
    </cfRule>
  </conditionalFormatting>
  <conditionalFormatting sqref="I127">
    <cfRule type="cellIs" dxfId="0" priority="235" stopIfTrue="1" operator="equal">
      <formula>0</formula>
    </cfRule>
  </conditionalFormatting>
  <conditionalFormatting sqref="H128:IQ128">
    <cfRule type="cellIs" dxfId="0" priority="584" stopIfTrue="1" operator="equal">
      <formula>0</formula>
    </cfRule>
  </conditionalFormatting>
  <conditionalFormatting sqref="J129:IQ129">
    <cfRule type="cellIs" dxfId="0" priority="583" stopIfTrue="1" operator="equal">
      <formula>0</formula>
    </cfRule>
  </conditionalFormatting>
  <conditionalFormatting sqref="H133:IQ133">
    <cfRule type="cellIs" dxfId="0" priority="582" stopIfTrue="1" operator="equal">
      <formula>0</formula>
    </cfRule>
  </conditionalFormatting>
  <conditionalFormatting sqref="J134:IQ134">
    <cfRule type="cellIs" dxfId="0" priority="581" stopIfTrue="1" operator="equal">
      <formula>0</formula>
    </cfRule>
  </conditionalFormatting>
  <conditionalFormatting sqref="C135">
    <cfRule type="cellIs" dxfId="0" priority="579" stopIfTrue="1" operator="equal">
      <formula>0</formula>
    </cfRule>
  </conditionalFormatting>
  <conditionalFormatting sqref="A136">
    <cfRule type="cellIs" dxfId="0" priority="229" stopIfTrue="1" operator="equal">
      <formula>0</formula>
    </cfRule>
  </conditionalFormatting>
  <conditionalFormatting sqref="C136">
    <cfRule type="cellIs" dxfId="0" priority="227" stopIfTrue="1" operator="equal">
      <formula>0</formula>
    </cfRule>
  </conditionalFormatting>
  <conditionalFormatting sqref="C139">
    <cfRule type="cellIs" dxfId="0" priority="217" stopIfTrue="1" operator="equal">
      <formula>0</formula>
    </cfRule>
  </conditionalFormatting>
  <conditionalFormatting sqref="J139:IQ139">
    <cfRule type="cellIs" dxfId="0" priority="578" stopIfTrue="1" operator="equal">
      <formula>0</formula>
    </cfRule>
  </conditionalFormatting>
  <conditionalFormatting sqref="C140">
    <cfRule type="cellIs" dxfId="0" priority="215" stopIfTrue="1" operator="equal">
      <formula>0</formula>
    </cfRule>
  </conditionalFormatting>
  <conditionalFormatting sqref="J140:IQ140">
    <cfRule type="cellIs" dxfId="0" priority="577" stopIfTrue="1" operator="equal">
      <formula>0</formula>
    </cfRule>
  </conditionalFormatting>
  <conditionalFormatting sqref="A141">
    <cfRule type="cellIs" dxfId="0" priority="213" stopIfTrue="1" operator="equal">
      <formula>0</formula>
    </cfRule>
  </conditionalFormatting>
  <conditionalFormatting sqref="C141">
    <cfRule type="cellIs" dxfId="0" priority="205" stopIfTrue="1" operator="equal">
      <formula>0</formula>
    </cfRule>
  </conditionalFormatting>
  <conditionalFormatting sqref="G141">
    <cfRule type="cellIs" dxfId="0" priority="206" stopIfTrue="1" operator="equal">
      <formula>0</formula>
    </cfRule>
  </conditionalFormatting>
  <conditionalFormatting sqref="I141">
    <cfRule type="cellIs" dxfId="0" priority="204" stopIfTrue="1" operator="equal">
      <formula>0</formula>
    </cfRule>
  </conditionalFormatting>
  <conditionalFormatting sqref="C142">
    <cfRule type="cellIs" dxfId="0" priority="211" stopIfTrue="1" operator="equal">
      <formula>0</formula>
    </cfRule>
  </conditionalFormatting>
  <conditionalFormatting sqref="I142">
    <cfRule type="cellIs" dxfId="0" priority="208" stopIfTrue="1" operator="equal">
      <formula>0</formula>
    </cfRule>
  </conditionalFormatting>
  <conditionalFormatting sqref="C143">
    <cfRule type="cellIs" dxfId="0" priority="209" stopIfTrue="1" operator="equal">
      <formula>0</formula>
    </cfRule>
  </conditionalFormatting>
  <conditionalFormatting sqref="C144">
    <cfRule type="cellIs" dxfId="0" priority="192" stopIfTrue="1" operator="equal">
      <formula>0</formula>
    </cfRule>
  </conditionalFormatting>
  <conditionalFormatting sqref="I144">
    <cfRule type="cellIs" dxfId="0" priority="177" stopIfTrue="1" operator="equal">
      <formula>0</formula>
    </cfRule>
  </conditionalFormatting>
  <conditionalFormatting sqref="J144:IQ144">
    <cfRule type="cellIs" dxfId="0" priority="409" stopIfTrue="1" operator="equal">
      <formula>0</formula>
    </cfRule>
  </conditionalFormatting>
  <conditionalFormatting sqref="C145">
    <cfRule type="cellIs" dxfId="0" priority="202" stopIfTrue="1" operator="equal">
      <formula>0</formula>
    </cfRule>
  </conditionalFormatting>
  <conditionalFormatting sqref="H145">
    <cfRule type="cellIs" dxfId="0" priority="201" stopIfTrue="1" operator="equal">
      <formula>0</formula>
    </cfRule>
  </conditionalFormatting>
  <conditionalFormatting sqref="I145">
    <cfRule type="cellIs" dxfId="0" priority="178" stopIfTrue="1" operator="equal">
      <formula>0</formula>
    </cfRule>
  </conditionalFormatting>
  <conditionalFormatting sqref="J145:IQ145">
    <cfRule type="cellIs" dxfId="0" priority="493" stopIfTrue="1" operator="equal">
      <formula>0</formula>
    </cfRule>
  </conditionalFormatting>
  <conditionalFormatting sqref="C146">
    <cfRule type="cellIs" dxfId="0" priority="187" stopIfTrue="1" operator="equal">
      <formula>0</formula>
    </cfRule>
  </conditionalFormatting>
  <conditionalFormatting sqref="H146">
    <cfRule type="cellIs" dxfId="0" priority="186" stopIfTrue="1" operator="equal">
      <formula>0</formula>
    </cfRule>
  </conditionalFormatting>
  <conditionalFormatting sqref="I146">
    <cfRule type="cellIs" dxfId="0" priority="179" stopIfTrue="1" operator="equal">
      <formula>0</formula>
    </cfRule>
  </conditionalFormatting>
  <conditionalFormatting sqref="C147">
    <cfRule type="cellIs" dxfId="0" priority="182" stopIfTrue="1" operator="equal">
      <formula>0</formula>
    </cfRule>
  </conditionalFormatting>
  <conditionalFormatting sqref="H147">
    <cfRule type="cellIs" dxfId="0" priority="181" stopIfTrue="1" operator="equal">
      <formula>0</formula>
    </cfRule>
  </conditionalFormatting>
  <conditionalFormatting sqref="I147">
    <cfRule type="cellIs" dxfId="0" priority="180" stopIfTrue="1" operator="equal">
      <formula>0</formula>
    </cfRule>
  </conditionalFormatting>
  <conditionalFormatting sqref="C148">
    <cfRule type="cellIs" dxfId="0" priority="11" stopIfTrue="1" operator="equal">
      <formula>0</formula>
    </cfRule>
  </conditionalFormatting>
  <conditionalFormatting sqref="E148">
    <cfRule type="cellIs" dxfId="0" priority="10" stopIfTrue="1" operator="equal">
      <formula>0</formula>
    </cfRule>
  </conditionalFormatting>
  <conditionalFormatting sqref="G148">
    <cfRule type="cellIs" dxfId="0" priority="14" stopIfTrue="1" operator="equal">
      <formula>0</formula>
    </cfRule>
  </conditionalFormatting>
  <conditionalFormatting sqref="H148">
    <cfRule type="cellIs" dxfId="0" priority="13" stopIfTrue="1" operator="equal">
      <formula>0</formula>
    </cfRule>
  </conditionalFormatting>
  <conditionalFormatting sqref="I148">
    <cfRule type="cellIs" dxfId="0" priority="12" stopIfTrue="1" operator="equal">
      <formula>0</formula>
    </cfRule>
  </conditionalFormatting>
  <conditionalFormatting sqref="J148:IQ148">
    <cfRule type="cellIs" dxfId="0" priority="15" stopIfTrue="1" operator="equal">
      <formula>0</formula>
    </cfRule>
  </conditionalFormatting>
  <conditionalFormatting sqref="C149">
    <cfRule type="cellIs" dxfId="0" priority="24" stopIfTrue="1" operator="equal">
      <formula>0</formula>
    </cfRule>
  </conditionalFormatting>
  <conditionalFormatting sqref="E149">
    <cfRule type="cellIs" dxfId="0" priority="20" stopIfTrue="1" operator="equal">
      <formula>0</formula>
    </cfRule>
  </conditionalFormatting>
  <conditionalFormatting sqref="H149">
    <cfRule type="cellIs" dxfId="0" priority="18" stopIfTrue="1" operator="equal">
      <formula>0</formula>
    </cfRule>
  </conditionalFormatting>
  <conditionalFormatting sqref="C150">
    <cfRule type="cellIs" dxfId="0" priority="23" stopIfTrue="1" operator="equal">
      <formula>0</formula>
    </cfRule>
  </conditionalFormatting>
  <conditionalFormatting sqref="E150">
    <cfRule type="cellIs" dxfId="0" priority="19" stopIfTrue="1" operator="equal">
      <formula>0</formula>
    </cfRule>
  </conditionalFormatting>
  <conditionalFormatting sqref="H150">
    <cfRule type="cellIs" dxfId="0" priority="17" stopIfTrue="1" operator="equal">
      <formula>0</formula>
    </cfRule>
  </conditionalFormatting>
  <conditionalFormatting sqref="C151">
    <cfRule type="cellIs" dxfId="0" priority="43" stopIfTrue="1" operator="equal">
      <formula>0</formula>
    </cfRule>
  </conditionalFormatting>
  <conditionalFormatting sqref="G151">
    <cfRule type="cellIs" dxfId="0" priority="41" stopIfTrue="1" operator="equal">
      <formula>0</formula>
    </cfRule>
  </conditionalFormatting>
  <conditionalFormatting sqref="H151">
    <cfRule type="cellIs" dxfId="0" priority="42" stopIfTrue="1" operator="equal">
      <formula>0</formula>
    </cfRule>
  </conditionalFormatting>
  <conditionalFormatting sqref="C152">
    <cfRule type="cellIs" dxfId="0" priority="31" stopIfTrue="1" operator="equal">
      <formula>0</formula>
    </cfRule>
  </conditionalFormatting>
  <conditionalFormatting sqref="G152">
    <cfRule type="cellIs" dxfId="0" priority="29" stopIfTrue="1" operator="equal">
      <formula>0</formula>
    </cfRule>
  </conditionalFormatting>
  <conditionalFormatting sqref="H152">
    <cfRule type="cellIs" dxfId="0" priority="30" stopIfTrue="1" operator="equal">
      <formula>0</formula>
    </cfRule>
  </conditionalFormatting>
  <conditionalFormatting sqref="C153">
    <cfRule type="cellIs" dxfId="0" priority="40" stopIfTrue="1" operator="equal">
      <formula>0</formula>
    </cfRule>
  </conditionalFormatting>
  <conditionalFormatting sqref="G153">
    <cfRule type="cellIs" dxfId="0" priority="36" stopIfTrue="1" operator="equal">
      <formula>0</formula>
    </cfRule>
  </conditionalFormatting>
  <conditionalFormatting sqref="H153">
    <cfRule type="cellIs" dxfId="0" priority="37" stopIfTrue="1" operator="equal">
      <formula>0</formula>
    </cfRule>
  </conditionalFormatting>
  <conditionalFormatting sqref="C154">
    <cfRule type="cellIs" dxfId="0" priority="39" stopIfTrue="1" operator="equal">
      <formula>0</formula>
    </cfRule>
  </conditionalFormatting>
  <conditionalFormatting sqref="G154">
    <cfRule type="cellIs" dxfId="0" priority="33" stopIfTrue="1" operator="equal">
      <formula>0</formula>
    </cfRule>
  </conditionalFormatting>
  <conditionalFormatting sqref="H154">
    <cfRule type="cellIs" dxfId="0" priority="34" stopIfTrue="1" operator="equal">
      <formula>0</formula>
    </cfRule>
  </conditionalFormatting>
  <conditionalFormatting sqref="C155">
    <cfRule type="cellIs" dxfId="0" priority="184" stopIfTrue="1" operator="equal">
      <formula>0</formula>
    </cfRule>
  </conditionalFormatting>
  <conditionalFormatting sqref="I155">
    <cfRule type="cellIs" dxfId="0" priority="176" stopIfTrue="1" operator="equal">
      <formula>0</formula>
    </cfRule>
  </conditionalFormatting>
  <conditionalFormatting sqref="C156">
    <cfRule type="cellIs" dxfId="0" priority="195" stopIfTrue="1" operator="equal">
      <formula>0</formula>
    </cfRule>
  </conditionalFormatting>
  <conditionalFormatting sqref="H156">
    <cfRule type="cellIs" dxfId="0" priority="194" stopIfTrue="1" operator="equal">
      <formula>0</formula>
    </cfRule>
  </conditionalFormatting>
  <conditionalFormatting sqref="I156">
    <cfRule type="cellIs" dxfId="0" priority="175" stopIfTrue="1" operator="equal">
      <formula>0</formula>
    </cfRule>
  </conditionalFormatting>
  <conditionalFormatting sqref="C157">
    <cfRule type="cellIs" dxfId="0" priority="190" stopIfTrue="1" operator="equal">
      <formula>0</formula>
    </cfRule>
  </conditionalFormatting>
  <conditionalFormatting sqref="H157">
    <cfRule type="cellIs" dxfId="0" priority="189" stopIfTrue="1" operator="equal">
      <formula>0</formula>
    </cfRule>
  </conditionalFormatting>
  <conditionalFormatting sqref="I157">
    <cfRule type="cellIs" dxfId="0" priority="174" stopIfTrue="1" operator="equal">
      <formula>0</formula>
    </cfRule>
  </conditionalFormatting>
  <conditionalFormatting sqref="C158">
    <cfRule type="cellIs" dxfId="0" priority="172" stopIfTrue="1" operator="equal">
      <formula>0</formula>
    </cfRule>
  </conditionalFormatting>
  <conditionalFormatting sqref="H158">
    <cfRule type="cellIs" dxfId="0" priority="171" stopIfTrue="1" operator="equal">
      <formula>0</formula>
    </cfRule>
  </conditionalFormatting>
  <conditionalFormatting sqref="I158">
    <cfRule type="cellIs" dxfId="0" priority="170" stopIfTrue="1" operator="equal">
      <formula>0</formula>
    </cfRule>
  </conditionalFormatting>
  <conditionalFormatting sqref="C159">
    <cfRule type="cellIs" dxfId="0" priority="5" stopIfTrue="1" operator="equal">
      <formula>0</formula>
    </cfRule>
  </conditionalFormatting>
  <conditionalFormatting sqref="E159">
    <cfRule type="cellIs" dxfId="0" priority="3" stopIfTrue="1" operator="equal">
      <formula>0</formula>
    </cfRule>
  </conditionalFormatting>
  <conditionalFormatting sqref="G159">
    <cfRule type="cellIs" dxfId="0" priority="6" stopIfTrue="1" operator="equal">
      <formula>0</formula>
    </cfRule>
  </conditionalFormatting>
  <conditionalFormatting sqref="H159">
    <cfRule type="cellIs" dxfId="0" priority="2" stopIfTrue="1" operator="equal">
      <formula>0</formula>
    </cfRule>
  </conditionalFormatting>
  <conditionalFormatting sqref="I159">
    <cfRule type="cellIs" dxfId="0" priority="1" stopIfTrue="1" operator="equal">
      <formula>0</formula>
    </cfRule>
  </conditionalFormatting>
  <conditionalFormatting sqref="J159:IQ159">
    <cfRule type="cellIs" dxfId="0" priority="8" stopIfTrue="1" operator="equal">
      <formula>0</formula>
    </cfRule>
  </conditionalFormatting>
  <conditionalFormatting sqref="C160">
    <cfRule type="cellIs" dxfId="0" priority="168" stopIfTrue="1" operator="equal">
      <formula>0</formula>
    </cfRule>
  </conditionalFormatting>
  <conditionalFormatting sqref="E160">
    <cfRule type="cellIs" dxfId="0" priority="169" stopIfTrue="1" operator="equal">
      <formula>0</formula>
    </cfRule>
  </conditionalFormatting>
  <conditionalFormatting sqref="G160">
    <cfRule type="cellIs" dxfId="0" priority="166" stopIfTrue="1" operator="equal">
      <formula>0</formula>
    </cfRule>
  </conditionalFormatting>
  <conditionalFormatting sqref="H160">
    <cfRule type="cellIs" dxfId="0" priority="167" stopIfTrue="1" operator="equal">
      <formula>0</formula>
    </cfRule>
  </conditionalFormatting>
  <conditionalFormatting sqref="I160">
    <cfRule type="cellIs" dxfId="0" priority="9" stopIfTrue="1" operator="equal">
      <formula>0</formula>
    </cfRule>
  </conditionalFormatting>
  <conditionalFormatting sqref="C161">
    <cfRule type="cellIs" dxfId="0" priority="490" stopIfTrue="1" operator="equal">
      <formula>0</formula>
    </cfRule>
  </conditionalFormatting>
  <conditionalFormatting sqref="E161:IQ161">
    <cfRule type="cellIs" dxfId="0" priority="491" stopIfTrue="1" operator="equal">
      <formula>0</formula>
    </cfRule>
  </conditionalFormatting>
  <conditionalFormatting sqref="C162">
    <cfRule type="cellIs" dxfId="0" priority="574" stopIfTrue="1" operator="equal">
      <formula>0</formula>
    </cfRule>
  </conditionalFormatting>
  <conditionalFormatting sqref="H162">
    <cfRule type="cellIs" dxfId="0" priority="573" stopIfTrue="1" operator="equal">
      <formula>0</formula>
    </cfRule>
  </conditionalFormatting>
  <conditionalFormatting sqref="C163">
    <cfRule type="cellIs" dxfId="0" priority="570" stopIfTrue="1" operator="equal">
      <formula>0</formula>
    </cfRule>
  </conditionalFormatting>
  <conditionalFormatting sqref="H163">
    <cfRule type="cellIs" dxfId="0" priority="569" stopIfTrue="1" operator="equal">
      <formula>0</formula>
    </cfRule>
  </conditionalFormatting>
  <conditionalFormatting sqref="C164">
    <cfRule type="cellIs" dxfId="0" priority="407" stopIfTrue="1" operator="equal">
      <formula>0</formula>
    </cfRule>
  </conditionalFormatting>
  <conditionalFormatting sqref="I164">
    <cfRule type="cellIs" dxfId="0" priority="405" stopIfTrue="1" operator="equal">
      <formula>0</formula>
    </cfRule>
  </conditionalFormatting>
  <conditionalFormatting sqref="C165">
    <cfRule type="cellIs" dxfId="0" priority="406" stopIfTrue="1" operator="equal">
      <formula>0</formula>
    </cfRule>
  </conditionalFormatting>
  <conditionalFormatting sqref="I165">
    <cfRule type="cellIs" dxfId="0" priority="404" stopIfTrue="1" operator="equal">
      <formula>0</formula>
    </cfRule>
  </conditionalFormatting>
  <conditionalFormatting sqref="C170">
    <cfRule type="cellIs" dxfId="0" priority="161" stopIfTrue="1" operator="equal">
      <formula>0</formula>
    </cfRule>
  </conditionalFormatting>
  <conditionalFormatting sqref="J171:IQ171">
    <cfRule type="cellIs" dxfId="0" priority="568" stopIfTrue="1" operator="equal">
      <formula>0</formula>
    </cfRule>
  </conditionalFormatting>
  <conditionalFormatting sqref="C172">
    <cfRule type="cellIs" dxfId="0" priority="566" stopIfTrue="1" operator="equal">
      <formula>0</formula>
    </cfRule>
  </conditionalFormatting>
  <conditionalFormatting sqref="E172">
    <cfRule type="cellIs" dxfId="0" priority="565" stopIfTrue="1" operator="equal">
      <formula>0</formula>
    </cfRule>
  </conditionalFormatting>
  <conditionalFormatting sqref="H172">
    <cfRule type="cellIs" dxfId="0" priority="567" stopIfTrue="1" operator="equal">
      <formula>0</formula>
    </cfRule>
  </conditionalFormatting>
  <conditionalFormatting sqref="C173">
    <cfRule type="cellIs" dxfId="0" priority="563" stopIfTrue="1" operator="equal">
      <formula>0</formula>
    </cfRule>
  </conditionalFormatting>
  <conditionalFormatting sqref="H173">
    <cfRule type="cellIs" dxfId="0" priority="561" stopIfTrue="1" operator="equal">
      <formula>0</formula>
    </cfRule>
  </conditionalFormatting>
  <conditionalFormatting sqref="I173">
    <cfRule type="cellIs" dxfId="0" priority="562" stopIfTrue="1" operator="equal">
      <formula>0</formula>
    </cfRule>
  </conditionalFormatting>
  <conditionalFormatting sqref="A174">
    <cfRule type="cellIs" dxfId="0" priority="560" stopIfTrue="1" operator="equal">
      <formula>0</formula>
    </cfRule>
  </conditionalFormatting>
  <conditionalFormatting sqref="C174">
    <cfRule type="cellIs" dxfId="0" priority="558" stopIfTrue="1" operator="equal">
      <formula>0</formula>
    </cfRule>
  </conditionalFormatting>
  <conditionalFormatting sqref="E174:F174">
    <cfRule type="cellIs" dxfId="0" priority="557" stopIfTrue="1" operator="equal">
      <formula>0</formula>
    </cfRule>
  </conditionalFormatting>
  <conditionalFormatting sqref="G174">
    <cfRule type="cellIs" dxfId="0" priority="556" stopIfTrue="1" operator="equal">
      <formula>0</formula>
    </cfRule>
  </conditionalFormatting>
  <conditionalFormatting sqref="H174">
    <cfRule type="cellIs" dxfId="0" priority="554" stopIfTrue="1" operator="equal">
      <formula>0</formula>
    </cfRule>
  </conditionalFormatting>
  <conditionalFormatting sqref="I174">
    <cfRule type="cellIs" dxfId="0" priority="555" stopIfTrue="1" operator="equal">
      <formula>0</formula>
    </cfRule>
  </conditionalFormatting>
  <conditionalFormatting sqref="J174:IQ174">
    <cfRule type="cellIs" dxfId="0" priority="559" stopIfTrue="1" operator="equal">
      <formula>0</formula>
    </cfRule>
  </conditionalFormatting>
  <conditionalFormatting sqref="H175:IQ175">
    <cfRule type="cellIs" dxfId="0" priority="553" stopIfTrue="1" operator="equal">
      <formula>0</formula>
    </cfRule>
  </conditionalFormatting>
  <conditionalFormatting sqref="J176:IQ176">
    <cfRule type="cellIs" dxfId="0" priority="552" stopIfTrue="1" operator="equal">
      <formula>0</formula>
    </cfRule>
  </conditionalFormatting>
  <conditionalFormatting sqref="C177">
    <cfRule type="cellIs" dxfId="0" priority="551" stopIfTrue="1" operator="equal">
      <formula>0</formula>
    </cfRule>
  </conditionalFormatting>
  <conditionalFormatting sqref="E177">
    <cfRule type="cellIs" dxfId="0" priority="550" stopIfTrue="1" operator="equal">
      <formula>0</formula>
    </cfRule>
  </conditionalFormatting>
  <conditionalFormatting sqref="C178">
    <cfRule type="cellIs" dxfId="0" priority="549" stopIfTrue="1" operator="equal">
      <formula>0</formula>
    </cfRule>
  </conditionalFormatting>
  <conditionalFormatting sqref="E178">
    <cfRule type="cellIs" dxfId="0" priority="548" stopIfTrue="1" operator="equal">
      <formula>0</formula>
    </cfRule>
  </conditionalFormatting>
  <conditionalFormatting sqref="C179">
    <cfRule type="cellIs" dxfId="0" priority="545" stopIfTrue="1" operator="equal">
      <formula>0</formula>
    </cfRule>
  </conditionalFormatting>
  <conditionalFormatting sqref="C180">
    <cfRule type="cellIs" dxfId="0" priority="544" stopIfTrue="1" operator="equal">
      <formula>0</formula>
    </cfRule>
  </conditionalFormatting>
  <conditionalFormatting sqref="I180">
    <cfRule type="cellIs" dxfId="0" priority="546" stopIfTrue="1" operator="equal">
      <formula>0</formula>
    </cfRule>
  </conditionalFormatting>
  <conditionalFormatting sqref="C181">
    <cfRule type="cellIs" dxfId="0" priority="543" stopIfTrue="1" operator="equal">
      <formula>0</formula>
    </cfRule>
  </conditionalFormatting>
  <conditionalFormatting sqref="I181">
    <cfRule type="cellIs" dxfId="0" priority="411" stopIfTrue="1" operator="equal">
      <formula>0</formula>
    </cfRule>
  </conditionalFormatting>
  <conditionalFormatting sqref="C182">
    <cfRule type="cellIs" dxfId="0" priority="542" stopIfTrue="1" operator="equal">
      <formula>0</formula>
    </cfRule>
  </conditionalFormatting>
  <conditionalFormatting sqref="C183">
    <cfRule type="cellIs" dxfId="0" priority="539" stopIfTrue="1" operator="equal">
      <formula>0</formula>
    </cfRule>
  </conditionalFormatting>
  <conditionalFormatting sqref="I183">
    <cfRule type="cellIs" dxfId="0" priority="540" stopIfTrue="1" operator="equal">
      <formula>0</formula>
    </cfRule>
  </conditionalFormatting>
  <conditionalFormatting sqref="C184">
    <cfRule type="cellIs" dxfId="0" priority="159" stopIfTrue="1" operator="equal">
      <formula>0</formula>
    </cfRule>
  </conditionalFormatting>
  <conditionalFormatting sqref="E184">
    <cfRule type="cellIs" dxfId="0" priority="158" stopIfTrue="1" operator="equal">
      <formula>0</formula>
    </cfRule>
  </conditionalFormatting>
  <conditionalFormatting sqref="I184">
    <cfRule type="cellIs" dxfId="0" priority="160" stopIfTrue="1" operator="equal">
      <formula>0</formula>
    </cfRule>
  </conditionalFormatting>
  <conditionalFormatting sqref="C185">
    <cfRule type="cellIs" dxfId="0" priority="538" stopIfTrue="1" operator="equal">
      <formula>0</formula>
    </cfRule>
  </conditionalFormatting>
  <conditionalFormatting sqref="E185">
    <cfRule type="cellIs" dxfId="0" priority="537" stopIfTrue="1" operator="equal">
      <formula>0</formula>
    </cfRule>
  </conditionalFormatting>
  <conditionalFormatting sqref="C186">
    <cfRule type="cellIs" dxfId="0" priority="436" stopIfTrue="1" operator="equal">
      <formula>0</formula>
    </cfRule>
  </conditionalFormatting>
  <conditionalFormatting sqref="E186">
    <cfRule type="cellIs" dxfId="0" priority="435" stopIfTrue="1" operator="equal">
      <formula>0</formula>
    </cfRule>
  </conditionalFormatting>
  <conditionalFormatting sqref="C187">
    <cfRule type="cellIs" dxfId="0" priority="225" stopIfTrue="1" operator="equal">
      <formula>0</formula>
    </cfRule>
  </conditionalFormatting>
  <conditionalFormatting sqref="E187">
    <cfRule type="cellIs" dxfId="0" priority="224" stopIfTrue="1" operator="equal">
      <formula>0</formula>
    </cfRule>
  </conditionalFormatting>
  <conditionalFormatting sqref="H187">
    <cfRule type="cellIs" dxfId="0" priority="226" stopIfTrue="1" operator="equal">
      <formula>0</formula>
    </cfRule>
  </conditionalFormatting>
  <conditionalFormatting sqref="C188">
    <cfRule type="cellIs" dxfId="0" priority="413" stopIfTrue="1" operator="equal">
      <formula>0</formula>
    </cfRule>
  </conditionalFormatting>
  <conditionalFormatting sqref="E188">
    <cfRule type="cellIs" dxfId="0" priority="412" stopIfTrue="1" operator="equal">
      <formula>0</formula>
    </cfRule>
  </conditionalFormatting>
  <conditionalFormatting sqref="H188">
    <cfRule type="cellIs" dxfId="0" priority="414" stopIfTrue="1" operator="equal">
      <formula>0</formula>
    </cfRule>
  </conditionalFormatting>
  <conditionalFormatting sqref="C189">
    <cfRule type="cellIs" dxfId="0" priority="533" stopIfTrue="1" operator="equal">
      <formula>0</formula>
    </cfRule>
  </conditionalFormatting>
  <conditionalFormatting sqref="I189">
    <cfRule type="cellIs" dxfId="0" priority="534" stopIfTrue="1" operator="equal">
      <formula>0</formula>
    </cfRule>
  </conditionalFormatting>
  <conditionalFormatting sqref="C190">
    <cfRule type="cellIs" dxfId="0" priority="532" stopIfTrue="1" operator="equal">
      <formula>0</formula>
    </cfRule>
  </conditionalFormatting>
  <conditionalFormatting sqref="I190">
    <cfRule type="cellIs" dxfId="0" priority="535" stopIfTrue="1" operator="equal">
      <formula>0</formula>
    </cfRule>
  </conditionalFormatting>
  <conditionalFormatting sqref="C191">
    <cfRule type="cellIs" dxfId="0" priority="447" stopIfTrue="1" operator="equal">
      <formula>0</formula>
    </cfRule>
  </conditionalFormatting>
  <conditionalFormatting sqref="C192">
    <cfRule type="cellIs" dxfId="0" priority="446" stopIfTrue="1" operator="equal">
      <formula>0</formula>
    </cfRule>
  </conditionalFormatting>
  <conditionalFormatting sqref="C193">
    <cfRule type="cellIs" dxfId="0" priority="530" stopIfTrue="1" operator="equal">
      <formula>0</formula>
    </cfRule>
  </conditionalFormatting>
  <conditionalFormatting sqref="I193">
    <cfRule type="cellIs" dxfId="0" priority="531" stopIfTrue="1" operator="equal">
      <formula>0</formula>
    </cfRule>
  </conditionalFormatting>
  <conditionalFormatting sqref="H194:IQ194">
    <cfRule type="cellIs" dxfId="0" priority="526" stopIfTrue="1" operator="equal">
      <formula>0</formula>
    </cfRule>
  </conditionalFormatting>
  <conditionalFormatting sqref="J195:IQ195">
    <cfRule type="cellIs" dxfId="0" priority="525" stopIfTrue="1" operator="equal">
      <formula>0</formula>
    </cfRule>
  </conditionalFormatting>
  <conditionalFormatting sqref="C197">
    <cfRule type="cellIs" dxfId="0" priority="522" stopIfTrue="1" operator="equal">
      <formula>0</formula>
    </cfRule>
  </conditionalFormatting>
  <conditionalFormatting sqref="C198">
    <cfRule type="cellIs" dxfId="0" priority="520" stopIfTrue="1" operator="equal">
      <formula>0</formula>
    </cfRule>
  </conditionalFormatting>
  <conditionalFormatting sqref="E198:IQ198">
    <cfRule type="cellIs" dxfId="0" priority="521" stopIfTrue="1" operator="equal">
      <formula>0</formula>
    </cfRule>
  </conditionalFormatting>
  <conditionalFormatting sqref="H199:IQ199">
    <cfRule type="cellIs" dxfId="0" priority="519" stopIfTrue="1" operator="equal">
      <formula>0</formula>
    </cfRule>
  </conditionalFormatting>
  <conditionalFormatting sqref="J200:IQ200">
    <cfRule type="cellIs" dxfId="0" priority="518" stopIfTrue="1" operator="equal">
      <formula>0</formula>
    </cfRule>
  </conditionalFormatting>
  <conditionalFormatting sqref="B202">
    <cfRule type="cellIs" dxfId="0" priority="509" stopIfTrue="1" operator="equal">
      <formula>0</formula>
    </cfRule>
  </conditionalFormatting>
  <conditionalFormatting sqref="C202">
    <cfRule type="cellIs" dxfId="0" priority="508" stopIfTrue="1" operator="equal">
      <formula>0</formula>
    </cfRule>
  </conditionalFormatting>
  <conditionalFormatting sqref="E202">
    <cfRule type="cellIs" dxfId="0" priority="514" stopIfTrue="1" operator="equal">
      <formula>0</formula>
    </cfRule>
  </conditionalFormatting>
  <conditionalFormatting sqref="I202">
    <cfRule type="cellIs" dxfId="0" priority="507" stopIfTrue="1" operator="equal">
      <formula>0</formula>
    </cfRule>
  </conditionalFormatting>
  <conditionalFormatting sqref="A28:A29">
    <cfRule type="cellIs" dxfId="0" priority="379" stopIfTrue="1" operator="equal">
      <formula>0</formula>
    </cfRule>
  </conditionalFormatting>
  <conditionalFormatting sqref="A81:A83">
    <cfRule type="cellIs" dxfId="0" priority="591" stopIfTrue="1" operator="equal">
      <formula>0</formula>
    </cfRule>
  </conditionalFormatting>
  <conditionalFormatting sqref="A104:A108">
    <cfRule type="cellIs" dxfId="0" priority="298" stopIfTrue="1" operator="equal">
      <formula>0</formula>
    </cfRule>
  </conditionalFormatting>
  <conditionalFormatting sqref="A130:A132">
    <cfRule type="cellIs" dxfId="0" priority="439" stopIfTrue="1" operator="equal">
      <formula>0</formula>
    </cfRule>
  </conditionalFormatting>
  <conditionalFormatting sqref="E179:E182">
    <cfRule type="cellIs" dxfId="0" priority="541" stopIfTrue="1" operator="equal">
      <formula>0</formula>
    </cfRule>
  </conditionalFormatting>
  <conditionalFormatting sqref="G37:G38">
    <cfRule type="cellIs" dxfId="0" priority="84" stopIfTrue="1" operator="equal">
      <formula>0</formula>
    </cfRule>
  </conditionalFormatting>
  <conditionalFormatting sqref="G72:G73">
    <cfRule type="cellIs" dxfId="0" priority="401" stopIfTrue="1" operator="equal">
      <formula>0</formula>
    </cfRule>
  </conditionalFormatting>
  <conditionalFormatting sqref="G74:G75">
    <cfRule type="cellIs" dxfId="0" priority="400" stopIfTrue="1" operator="equal">
      <formula>0</formula>
    </cfRule>
  </conditionalFormatting>
  <conditionalFormatting sqref="G124:G125">
    <cfRule type="cellIs" dxfId="0" priority="233" stopIfTrue="1" operator="equal">
      <formula>0</formula>
    </cfRule>
  </conditionalFormatting>
  <conditionalFormatting sqref="G126:G127">
    <cfRule type="cellIs" dxfId="0" priority="232" stopIfTrue="1" operator="equal">
      <formula>0</formula>
    </cfRule>
  </conditionalFormatting>
  <conditionalFormatting sqref="G149:G150">
    <cfRule type="cellIs" dxfId="0" priority="25" stopIfTrue="1" operator="equal">
      <formula>0</formula>
    </cfRule>
  </conditionalFormatting>
  <conditionalFormatting sqref="H124:H127">
    <cfRule type="cellIs" dxfId="0" priority="234" stopIfTrue="1" operator="equal">
      <formula>0</formula>
    </cfRule>
  </conditionalFormatting>
  <conditionalFormatting sqref="H139:H140">
    <cfRule type="cellIs" dxfId="0" priority="214" stopIfTrue="1" operator="equal">
      <formula>0</formula>
    </cfRule>
  </conditionalFormatting>
  <conditionalFormatting sqref="H164:H165">
    <cfRule type="cellIs" dxfId="0" priority="403" stopIfTrue="1" operator="equal">
      <formula>0</formula>
    </cfRule>
  </conditionalFormatting>
  <conditionalFormatting sqref="H189:H190">
    <cfRule type="cellIs" dxfId="0" priority="536" stopIfTrue="1" operator="equal">
      <formula>0</formula>
    </cfRule>
  </conditionalFormatting>
  <conditionalFormatting sqref="H191:H192">
    <cfRule type="cellIs" dxfId="0" priority="448" stopIfTrue="1" operator="equal">
      <formula>0</formula>
    </cfRule>
  </conditionalFormatting>
  <conditionalFormatting sqref="I37:I38">
    <cfRule type="cellIs" dxfId="0" priority="75" stopIfTrue="1" operator="equal">
      <formula>0</formula>
    </cfRule>
  </conditionalFormatting>
  <conditionalFormatting sqref="I89:I90">
    <cfRule type="cellIs" dxfId="0" priority="115" stopIfTrue="1" operator="equal">
      <formula>0</formula>
    </cfRule>
  </conditionalFormatting>
  <conditionalFormatting sqref="I149:I150">
    <cfRule type="cellIs" dxfId="0" priority="16" stopIfTrue="1" operator="equal">
      <formula>0</formula>
    </cfRule>
  </conditionalFormatting>
  <conditionalFormatting sqref="K28:K29">
    <cfRule type="cellIs" dxfId="0" priority="380" stopIfTrue="1" operator="equal">
      <formula>0</formula>
    </cfRule>
  </conditionalFormatting>
  <conditionalFormatting sqref="F3 G4:H4 J3:IQ4">
    <cfRule type="cellIs" dxfId="0" priority="634" stopIfTrue="1" operator="equal">
      <formula>0</formula>
    </cfRule>
  </conditionalFormatting>
  <conditionalFormatting sqref="E6 G6 I6:IQ6">
    <cfRule type="cellIs" dxfId="0" priority="594" stopIfTrue="1" operator="equal">
      <formula>0</formula>
    </cfRule>
  </conditionalFormatting>
  <conditionalFormatting sqref="A7 A15:A16 A19:A24 H25:IQ25 B206:F206 I206 B205:I205 B207:I65374 J205:IQ65374">
    <cfRule type="cellIs" dxfId="0" priority="635" stopIfTrue="1" operator="equal">
      <formula>0</formula>
    </cfRule>
  </conditionalFormatting>
  <conditionalFormatting sqref="E11 G11 I11:J11 M11:IQ11">
    <cfRule type="cellIs" dxfId="0" priority="505" stopIfTrue="1" operator="equal">
      <formula>0</formula>
    </cfRule>
  </conditionalFormatting>
  <conditionalFormatting sqref="E12:E13 G12:G13 I12:I13 K12:IQ14">
    <cfRule type="cellIs" dxfId="0" priority="474" stopIfTrue="1" operator="equal">
      <formula>0</formula>
    </cfRule>
  </conditionalFormatting>
  <conditionalFormatting sqref="E14:G14 I14">
    <cfRule type="cellIs" dxfId="0" priority="432" stopIfTrue="1" operator="equal">
      <formula>0</formula>
    </cfRule>
  </conditionalFormatting>
  <conditionalFormatting sqref="E15 G15 I15:IQ15">
    <cfRule type="cellIs" dxfId="0" priority="627" stopIfTrue="1" operator="equal">
      <formula>0</formula>
    </cfRule>
  </conditionalFormatting>
  <conditionalFormatting sqref="E16 G16 J16:IQ18">
    <cfRule type="cellIs" dxfId="0" priority="626" stopIfTrue="1" operator="equal">
      <formula>0</formula>
    </cfRule>
  </conditionalFormatting>
  <conditionalFormatting sqref="E17 G17">
    <cfRule type="cellIs" dxfId="0" priority="398" stopIfTrue="1" operator="equal">
      <formula>0</formula>
    </cfRule>
  </conditionalFormatting>
  <conditionalFormatting sqref="E18 G18">
    <cfRule type="cellIs" dxfId="0" priority="395" stopIfTrue="1" operator="equal">
      <formula>0</formula>
    </cfRule>
  </conditionalFormatting>
  <conditionalFormatting sqref="E19:G19 I19:IQ19">
    <cfRule type="cellIs" dxfId="0" priority="595" stopIfTrue="1" operator="equal">
      <formula>0</formula>
    </cfRule>
  </conditionalFormatting>
  <conditionalFormatting sqref="E20 G20 J20:IQ20">
    <cfRule type="cellIs" dxfId="0" priority="625" stopIfTrue="1" operator="equal">
      <formula>0</formula>
    </cfRule>
  </conditionalFormatting>
  <conditionalFormatting sqref="E21 G21 I21:IQ21">
    <cfRule type="cellIs" dxfId="0" priority="445" stopIfTrue="1" operator="equal">
      <formula>0</formula>
    </cfRule>
  </conditionalFormatting>
  <conditionalFormatting sqref="E22:G22 I22:IQ22">
    <cfRule type="cellIs" dxfId="0" priority="443" stopIfTrue="1" operator="equal">
      <formula>0</formula>
    </cfRule>
  </conditionalFormatting>
  <conditionalFormatting sqref="E23 G23 I23:IQ23">
    <cfRule type="cellIs" dxfId="0" priority="452" stopIfTrue="1" operator="equal">
      <formula>0</formula>
    </cfRule>
  </conditionalFormatting>
  <conditionalFormatting sqref="E24:G24 I24:IQ24">
    <cfRule type="cellIs" dxfId="0" priority="593" stopIfTrue="1" operator="equal">
      <formula>0</formula>
    </cfRule>
  </conditionalFormatting>
  <conditionalFormatting sqref="A27 E27:G27 I27:IQ27 A76 A72 A52:A56 A30 A32 A49 L28:IQ29">
    <cfRule type="cellIs" dxfId="0" priority="624" stopIfTrue="1" operator="equal">
      <formula>0</formula>
    </cfRule>
  </conditionalFormatting>
  <conditionalFormatting sqref="H27 H30:H31 H33 H52 H59:H60 H62 H64:H67 H72:H78">
    <cfRule type="cellIs" dxfId="0" priority="506" stopIfTrue="1" operator="equal">
      <formula>0</formula>
    </cfRule>
  </conditionalFormatting>
  <conditionalFormatting sqref="E28:G28 I28 J28:J29">
    <cfRule type="cellIs" dxfId="0" priority="378" stopIfTrue="1" operator="equal">
      <formula>0</formula>
    </cfRule>
  </conditionalFormatting>
  <conditionalFormatting sqref="E29:G29 I29">
    <cfRule type="cellIs" dxfId="0" priority="375" stopIfTrue="1" operator="equal">
      <formula>0</formula>
    </cfRule>
  </conditionalFormatting>
  <conditionalFormatting sqref="E30 G30 I30:IQ30">
    <cfRule type="cellIs" dxfId="0" priority="622" stopIfTrue="1" operator="equal">
      <formula>0</formula>
    </cfRule>
  </conditionalFormatting>
  <conditionalFormatting sqref="E31 G31 I31:IQ31">
    <cfRule type="cellIs" dxfId="0" priority="620" stopIfTrue="1" operator="equal">
      <formula>0</formula>
    </cfRule>
  </conditionalFormatting>
  <conditionalFormatting sqref="E32 G32:H32 J32:IQ32">
    <cfRule type="cellIs" dxfId="0" priority="473" stopIfTrue="1" operator="equal">
      <formula>0</formula>
    </cfRule>
  </conditionalFormatting>
  <conditionalFormatting sqref="E33:G33 J33:IQ33">
    <cfRule type="cellIs" dxfId="0" priority="618" stopIfTrue="1" operator="equal">
      <formula>0</formula>
    </cfRule>
  </conditionalFormatting>
  <conditionalFormatting sqref="E34 G34 J34:IQ35">
    <cfRule type="cellIs" dxfId="0" priority="468" stopIfTrue="1" operator="equal">
      <formula>0</formula>
    </cfRule>
  </conditionalFormatting>
  <conditionalFormatting sqref="E35 G35">
    <cfRule type="cellIs" dxfId="0" priority="428" stopIfTrue="1" operator="equal">
      <formula>0</formula>
    </cfRule>
  </conditionalFormatting>
  <conditionalFormatting sqref="J37:IQ38">
    <cfRule type="cellIs" dxfId="0" priority="86" stopIfTrue="1" operator="equal">
      <formula>0</formula>
    </cfRule>
  </conditionalFormatting>
  <conditionalFormatting sqref="E39 I39:IQ39 J41:IQ42">
    <cfRule type="cellIs" dxfId="0" priority="502" stopIfTrue="1" operator="equal">
      <formula>0</formula>
    </cfRule>
  </conditionalFormatting>
  <conditionalFormatting sqref="E40 I40:IQ40">
    <cfRule type="cellIs" dxfId="0" priority="97" stopIfTrue="1" operator="equal">
      <formula>0</formula>
    </cfRule>
  </conditionalFormatting>
  <conditionalFormatting sqref="E41 I41">
    <cfRule type="cellIs" dxfId="0" priority="103" stopIfTrue="1" operator="equal">
      <formula>0</formula>
    </cfRule>
  </conditionalFormatting>
  <conditionalFormatting sqref="E42 I42">
    <cfRule type="cellIs" dxfId="0" priority="100" stopIfTrue="1" operator="equal">
      <formula>0</formula>
    </cfRule>
  </conditionalFormatting>
  <conditionalFormatting sqref="E43 G43:H43 J43:IQ43">
    <cfRule type="cellIs" dxfId="0" priority="465" stopIfTrue="1" operator="equal">
      <formula>0</formula>
    </cfRule>
  </conditionalFormatting>
  <conditionalFormatting sqref="E44 G44 J44:IQ44">
    <cfRule type="cellIs" dxfId="0" priority="480" stopIfTrue="1" operator="equal">
      <formula>0</formula>
    </cfRule>
  </conditionalFormatting>
  <conditionalFormatting sqref="E45 G45 J48:IQ49 J45:IQ46">
    <cfRule type="cellIs" dxfId="0" priority="471" stopIfTrue="1" operator="equal">
      <formula>0</formula>
    </cfRule>
  </conditionalFormatting>
  <conditionalFormatting sqref="E46 G46">
    <cfRule type="cellIs" dxfId="0" priority="418" stopIfTrue="1" operator="equal">
      <formula>0</formula>
    </cfRule>
  </conditionalFormatting>
  <conditionalFormatting sqref="E49 H49">
    <cfRule type="cellIs" dxfId="0" priority="390" stopIfTrue="1" operator="equal">
      <formula>0</formula>
    </cfRule>
  </conditionalFormatting>
  <conditionalFormatting sqref="E50 G50:H50 J50:IQ50">
    <cfRule type="cellIs" dxfId="0" priority="449" stopIfTrue="1" operator="equal">
      <formula>0</formula>
    </cfRule>
  </conditionalFormatting>
  <conditionalFormatting sqref="E51 G51:I51">
    <cfRule type="cellIs" dxfId="0" priority="431" stopIfTrue="1" operator="equal">
      <formula>0</formula>
    </cfRule>
  </conditionalFormatting>
  <conditionalFormatting sqref="E52:G52 I52 I59:I60 E59:G59 E60 G60 J60:IQ60 N52:IQ56 J57:M57 N59:IQ59">
    <cfRule type="cellIs" dxfId="0" priority="616" stopIfTrue="1" operator="equal">
      <formula>0</formula>
    </cfRule>
  </conditionalFormatting>
  <conditionalFormatting sqref="E54 G54 I54">
    <cfRule type="cellIs" dxfId="0" priority="355" stopIfTrue="1" operator="equal">
      <formula>0</formula>
    </cfRule>
  </conditionalFormatting>
  <conditionalFormatting sqref="E55 G55 I55">
    <cfRule type="cellIs" dxfId="0" priority="358" stopIfTrue="1" operator="equal">
      <formula>0</formula>
    </cfRule>
  </conditionalFormatting>
  <conditionalFormatting sqref="E56 G56 I56">
    <cfRule type="cellIs" dxfId="0" priority="361" stopIfTrue="1" operator="equal">
      <formula>0</formula>
    </cfRule>
  </conditionalFormatting>
  <conditionalFormatting sqref="E57 G57 I57 N57:IQ57">
    <cfRule type="cellIs" dxfId="0" priority="459" stopIfTrue="1" operator="equal">
      <formula>0</formula>
    </cfRule>
  </conditionalFormatting>
  <conditionalFormatting sqref="E58 G58 I58 J59:M59 N58:IQ58">
    <cfRule type="cellIs" dxfId="0" priority="484" stopIfTrue="1" operator="equal">
      <formula>0</formula>
    </cfRule>
  </conditionalFormatting>
  <conditionalFormatting sqref="E61:G61 I61:IQ61">
    <cfRule type="cellIs" dxfId="0" priority="489" stopIfTrue="1" operator="equal">
      <formula>0</formula>
    </cfRule>
  </conditionalFormatting>
  <conditionalFormatting sqref="E62 G62 I62:IQ62 I64:IQ64 E64:G64 K63:IQ63">
    <cfRule type="cellIs" dxfId="0" priority="612" stopIfTrue="1" operator="equal">
      <formula>0</formula>
    </cfRule>
  </conditionalFormatting>
  <conditionalFormatting sqref="G63 I63">
    <cfRule type="cellIs" dxfId="0" priority="365" stopIfTrue="1" operator="equal">
      <formula>0</formula>
    </cfRule>
  </conditionalFormatting>
  <conditionalFormatting sqref="E65 G65 I65:IQ65">
    <cfRule type="cellIs" dxfId="0" priority="609" stopIfTrue="1" operator="equal">
      <formula>0</formula>
    </cfRule>
  </conditionalFormatting>
  <conditionalFormatting sqref="E66:G66 I66:IQ66">
    <cfRule type="cellIs" dxfId="0" priority="607" stopIfTrue="1" operator="equal">
      <formula>0</formula>
    </cfRule>
  </conditionalFormatting>
  <conditionalFormatting sqref="C67 E67:G67 I67:IQ67">
    <cfRule type="cellIs" dxfId="0" priority="605" stopIfTrue="1" operator="equal">
      <formula>0</formula>
    </cfRule>
  </conditionalFormatting>
  <conditionalFormatting sqref="E68:G68 I68">
    <cfRule type="cellIs" dxfId="0" priority="386" stopIfTrue="1" operator="equal">
      <formula>0</formula>
    </cfRule>
  </conditionalFormatting>
  <conditionalFormatting sqref="E69 G69 I69:IQ69">
    <cfRule type="cellIs" dxfId="0" priority="496" stopIfTrue="1" operator="equal">
      <formula>0</formula>
    </cfRule>
  </conditionalFormatting>
  <conditionalFormatting sqref="E70 G70 I70:IQ70">
    <cfRule type="cellIs" dxfId="0" priority="499" stopIfTrue="1" operator="equal">
      <formula>0</formula>
    </cfRule>
  </conditionalFormatting>
  <conditionalFormatting sqref="E71 G71:IQ71">
    <cfRule type="cellIs" dxfId="0" priority="504" stopIfTrue="1" operator="equal">
      <formula>0</formula>
    </cfRule>
  </conditionalFormatting>
  <conditionalFormatting sqref="C72 I72 E72:F73 J72:IQ73">
    <cfRule type="cellIs" dxfId="0" priority="604" stopIfTrue="1" operator="equal">
      <formula>0</formula>
    </cfRule>
  </conditionalFormatting>
  <conditionalFormatting sqref="C74 E74:F75 J74:IQ75">
    <cfRule type="cellIs" dxfId="0" priority="601" stopIfTrue="1" operator="equal">
      <formula>0</formula>
    </cfRule>
  </conditionalFormatting>
  <conditionalFormatting sqref="E76:E78 G76:G78 I76:IQ78">
    <cfRule type="cellIs" dxfId="0" priority="527" stopIfTrue="1" operator="equal">
      <formula>0</formula>
    </cfRule>
  </conditionalFormatting>
  <conditionalFormatting sqref="J81:IQ83">
    <cfRule type="cellIs" dxfId="0" priority="590" stopIfTrue="1" operator="equal">
      <formula>0</formula>
    </cfRule>
  </conditionalFormatting>
  <conditionalFormatting sqref="E83 G83 I83">
    <cfRule type="cellIs" dxfId="0" priority="351" stopIfTrue="1" operator="equal">
      <formula>0</formula>
    </cfRule>
  </conditionalFormatting>
  <conditionalFormatting sqref="A84 A101">
    <cfRule type="cellIs" dxfId="0" priority="348" stopIfTrue="1" operator="equal">
      <formula>0</formula>
    </cfRule>
  </conditionalFormatting>
  <conditionalFormatting sqref="E84 G84:H84">
    <cfRule type="cellIs" dxfId="0" priority="336" stopIfTrue="1" operator="equal">
      <formula>0</formula>
    </cfRule>
  </conditionalFormatting>
  <conditionalFormatting sqref="J84:IQ87 J95:IQ96 J89:IQ91">
    <cfRule type="cellIs" dxfId="0" priority="476" stopIfTrue="1" operator="equal">
      <formula>0</formula>
    </cfRule>
  </conditionalFormatting>
  <conditionalFormatting sqref="E86 G86">
    <cfRule type="cellIs" dxfId="0" priority="331" stopIfTrue="1" operator="equal">
      <formula>0</formula>
    </cfRule>
  </conditionalFormatting>
  <conditionalFormatting sqref="E87 G87 G89:G90">
    <cfRule type="cellIs" dxfId="0" priority="321" stopIfTrue="1" operator="equal">
      <formula>0</formula>
    </cfRule>
  </conditionalFormatting>
  <conditionalFormatting sqref="E91 I91">
    <cfRule type="cellIs" dxfId="0" priority="344" stopIfTrue="1" operator="equal">
      <formula>0</formula>
    </cfRule>
  </conditionalFormatting>
  <conditionalFormatting sqref="E92 I92:IQ92">
    <cfRule type="cellIs" dxfId="0" priority="49" stopIfTrue="1" operator="equal">
      <formula>0</formula>
    </cfRule>
  </conditionalFormatting>
  <conditionalFormatting sqref="E93 I93">
    <cfRule type="cellIs" dxfId="0" priority="55" stopIfTrue="1" operator="equal">
      <formula>0</formula>
    </cfRule>
  </conditionalFormatting>
  <conditionalFormatting sqref="J93:IQ94">
    <cfRule type="cellIs" dxfId="0" priority="58" stopIfTrue="1" operator="equal">
      <formula>0</formula>
    </cfRule>
  </conditionalFormatting>
  <conditionalFormatting sqref="E94 I94">
    <cfRule type="cellIs" dxfId="0" priority="52" stopIfTrue="1" operator="equal">
      <formula>0</formula>
    </cfRule>
  </conditionalFormatting>
  <conditionalFormatting sqref="E95 G95:H95">
    <cfRule type="cellIs" dxfId="0" priority="328" stopIfTrue="1" operator="equal">
      <formula>0</formula>
    </cfRule>
  </conditionalFormatting>
  <conditionalFormatting sqref="E96 G96">
    <cfRule type="cellIs" dxfId="0" priority="340" stopIfTrue="1" operator="equal">
      <formula>0</formula>
    </cfRule>
  </conditionalFormatting>
  <conditionalFormatting sqref="E97 G97">
    <cfRule type="cellIs" dxfId="0" priority="334" stopIfTrue="1" operator="equal">
      <formula>0</formula>
    </cfRule>
  </conditionalFormatting>
  <conditionalFormatting sqref="J97:IQ98">
    <cfRule type="cellIs" dxfId="0" priority="450" stopIfTrue="1" operator="equal">
      <formula>0</formula>
    </cfRule>
  </conditionalFormatting>
  <conditionalFormatting sqref="E98 G98">
    <cfRule type="cellIs" dxfId="0" priority="311" stopIfTrue="1" operator="equal">
      <formula>0</formula>
    </cfRule>
  </conditionalFormatting>
  <conditionalFormatting sqref="E101 H101">
    <cfRule type="cellIs" dxfId="0" priority="305" stopIfTrue="1" operator="equal">
      <formula>0</formula>
    </cfRule>
  </conditionalFormatting>
  <conditionalFormatting sqref="E102 G102:H102">
    <cfRule type="cellIs" dxfId="0" priority="326" stopIfTrue="1" operator="equal">
      <formula>0</formula>
    </cfRule>
  </conditionalFormatting>
  <conditionalFormatting sqref="E103 G103:I103">
    <cfRule type="cellIs" dxfId="0" priority="324" stopIfTrue="1" operator="equal">
      <formula>0</formula>
    </cfRule>
  </conditionalFormatting>
  <conditionalFormatting sqref="E104 G104 I104 I111:I112 E111:G111 E112 G112">
    <cfRule type="cellIs" dxfId="0" priority="297" stopIfTrue="1" operator="equal">
      <formula>0</formula>
    </cfRule>
  </conditionalFormatting>
  <conditionalFormatting sqref="H104 H111:H112 H114 H116:H119">
    <cfRule type="cellIs" dxfId="0" priority="285" stopIfTrue="1" operator="equal">
      <formula>0</formula>
    </cfRule>
  </conditionalFormatting>
  <conditionalFormatting sqref="J104:IQ115 J117:IQ118">
    <cfRule type="cellIs" dxfId="0" priority="589" stopIfTrue="1" operator="equal">
      <formula>0</formula>
    </cfRule>
  </conditionalFormatting>
  <conditionalFormatting sqref="E106 G106 I106">
    <cfRule type="cellIs" dxfId="0" priority="245" stopIfTrue="1" operator="equal">
      <formula>0</formula>
    </cfRule>
  </conditionalFormatting>
  <conditionalFormatting sqref="E107 G107 I107">
    <cfRule type="cellIs" dxfId="0" priority="248" stopIfTrue="1" operator="equal">
      <formula>0</formula>
    </cfRule>
  </conditionalFormatting>
  <conditionalFormatting sqref="E108 G108 I108">
    <cfRule type="cellIs" dxfId="0" priority="251" stopIfTrue="1" operator="equal">
      <formula>0</formula>
    </cfRule>
  </conditionalFormatting>
  <conditionalFormatting sqref="E109 G109 I109">
    <cfRule type="cellIs" dxfId="0" priority="270" stopIfTrue="1" operator="equal">
      <formula>0</formula>
    </cfRule>
  </conditionalFormatting>
  <conditionalFormatting sqref="E110 G110 I110">
    <cfRule type="cellIs" dxfId="0" priority="273" stopIfTrue="1" operator="equal">
      <formula>0</formula>
    </cfRule>
  </conditionalFormatting>
  <conditionalFormatting sqref="E113:G113 I113">
    <cfRule type="cellIs" dxfId="0" priority="276" stopIfTrue="1" operator="equal">
      <formula>0</formula>
    </cfRule>
  </conditionalFormatting>
  <conditionalFormatting sqref="E114 G114 I114 I116 E116:G116">
    <cfRule type="cellIs" dxfId="0" priority="293" stopIfTrue="1" operator="equal">
      <formula>0</formula>
    </cfRule>
  </conditionalFormatting>
  <conditionalFormatting sqref="G115 I115">
    <cfRule type="cellIs" dxfId="0" priority="255" stopIfTrue="1" operator="equal">
      <formula>0</formula>
    </cfRule>
  </conditionalFormatting>
  <conditionalFormatting sqref="E117 G117 I117">
    <cfRule type="cellIs" dxfId="0" priority="290" stopIfTrue="1" operator="equal">
      <formula>0</formula>
    </cfRule>
  </conditionalFormatting>
  <conditionalFormatting sqref="E118:G118 I118">
    <cfRule type="cellIs" dxfId="0" priority="288" stopIfTrue="1" operator="equal">
      <formula>0</formula>
    </cfRule>
  </conditionalFormatting>
  <conditionalFormatting sqref="C119 E119:G119 I119">
    <cfRule type="cellIs" dxfId="0" priority="286" stopIfTrue="1" operator="equal">
      <formula>0</formula>
    </cfRule>
  </conditionalFormatting>
  <conditionalFormatting sqref="E120:G120 I120">
    <cfRule type="cellIs" dxfId="0" priority="264" stopIfTrue="1" operator="equal">
      <formula>0</formula>
    </cfRule>
  </conditionalFormatting>
  <conditionalFormatting sqref="J120:IQ120 J122:IQ122">
    <cfRule type="cellIs" dxfId="0" priority="588" stopIfTrue="1" operator="equal">
      <formula>0</formula>
    </cfRule>
  </conditionalFormatting>
  <conditionalFormatting sqref="E121 G121 I121">
    <cfRule type="cellIs" dxfId="0" priority="279" stopIfTrue="1" operator="equal">
      <formula>0</formula>
    </cfRule>
  </conditionalFormatting>
  <conditionalFormatting sqref="E122 G122 I122">
    <cfRule type="cellIs" dxfId="0" priority="282" stopIfTrue="1" operator="equal">
      <formula>0</formula>
    </cfRule>
  </conditionalFormatting>
  <conditionalFormatting sqref="E123 G123:I123">
    <cfRule type="cellIs" dxfId="0" priority="284" stopIfTrue="1" operator="equal">
      <formula>0</formula>
    </cfRule>
  </conditionalFormatting>
  <conditionalFormatting sqref="C124 I124 E124:F125">
    <cfRule type="cellIs" dxfId="0" priority="241" stopIfTrue="1" operator="equal">
      <formula>0</formula>
    </cfRule>
  </conditionalFormatting>
  <conditionalFormatting sqref="J124:IQ125">
    <cfRule type="cellIs" dxfId="0" priority="586" stopIfTrue="1" operator="equal">
      <formula>0</formula>
    </cfRule>
  </conditionalFormatting>
  <conditionalFormatting sqref="C126 E126:F127">
    <cfRule type="cellIs" dxfId="0" priority="238" stopIfTrue="1" operator="equal">
      <formula>0</formula>
    </cfRule>
  </conditionalFormatting>
  <conditionalFormatting sqref="J126:IQ127">
    <cfRule type="cellIs" dxfId="0" priority="585" stopIfTrue="1" operator="equal">
      <formula>0</formula>
    </cfRule>
  </conditionalFormatting>
  <conditionalFormatting sqref="E130:E132 G130:G132 I130:IQ132">
    <cfRule type="cellIs" dxfId="0" priority="529" stopIfTrue="1" operator="equal">
      <formula>0</formula>
    </cfRule>
  </conditionalFormatting>
  <conditionalFormatting sqref="A135 E135 G135:I135 A163:A168 A144 A137:A139 J135:IQ136">
    <cfRule type="cellIs" dxfId="0" priority="580" stopIfTrue="1" operator="equal">
      <formula>0</formula>
    </cfRule>
  </conditionalFormatting>
  <conditionalFormatting sqref="E136 G136:I136">
    <cfRule type="cellIs" dxfId="0" priority="228" stopIfTrue="1" operator="equal">
      <formula>0</formula>
    </cfRule>
  </conditionalFormatting>
  <conditionalFormatting sqref="E137:E138 G137:G138 I137:IQ138">
    <cfRule type="cellIs" dxfId="0" priority="440" stopIfTrue="1" operator="equal">
      <formula>0</formula>
    </cfRule>
  </conditionalFormatting>
  <conditionalFormatting sqref="E139 G139 I139">
    <cfRule type="cellIs" dxfId="0" priority="218" stopIfTrue="1" operator="equal">
      <formula>0</formula>
    </cfRule>
  </conditionalFormatting>
  <conditionalFormatting sqref="E140 G140 I140">
    <cfRule type="cellIs" dxfId="0" priority="216" stopIfTrue="1" operator="equal">
      <formula>0</formula>
    </cfRule>
  </conditionalFormatting>
  <conditionalFormatting sqref="E141 H141">
    <cfRule type="cellIs" dxfId="0" priority="207" stopIfTrue="1" operator="equal">
      <formula>0</formula>
    </cfRule>
  </conditionalFormatting>
  <conditionalFormatting sqref="J141:IQ143">
    <cfRule type="cellIs" dxfId="0" priority="576" stopIfTrue="1" operator="equal">
      <formula>0</formula>
    </cfRule>
  </conditionalFormatting>
  <conditionalFormatting sqref="E142 G142:H142">
    <cfRule type="cellIs" dxfId="0" priority="212" stopIfTrue="1" operator="equal">
      <formula>0</formula>
    </cfRule>
  </conditionalFormatting>
  <conditionalFormatting sqref="E143 G143:I143">
    <cfRule type="cellIs" dxfId="0" priority="210" stopIfTrue="1" operator="equal">
      <formula>0</formula>
    </cfRule>
  </conditionalFormatting>
  <conditionalFormatting sqref="E144 G144:H144">
    <cfRule type="cellIs" dxfId="0" priority="193" stopIfTrue="1" operator="equal">
      <formula>0</formula>
    </cfRule>
  </conditionalFormatting>
  <conditionalFormatting sqref="E145 G145">
    <cfRule type="cellIs" dxfId="0" priority="203" stopIfTrue="1" operator="equal">
      <formula>0</formula>
    </cfRule>
  </conditionalFormatting>
  <conditionalFormatting sqref="E146 G146">
    <cfRule type="cellIs" dxfId="0" priority="188" stopIfTrue="1" operator="equal">
      <formula>0</formula>
    </cfRule>
  </conditionalFormatting>
  <conditionalFormatting sqref="J146:IQ147 J160:IQ160 J155:IQ158">
    <cfRule type="cellIs" dxfId="0" priority="492" stopIfTrue="1" operator="equal">
      <formula>0</formula>
    </cfRule>
  </conditionalFormatting>
  <conditionalFormatting sqref="E147 G147">
    <cfRule type="cellIs" dxfId="0" priority="183" stopIfTrue="1" operator="equal">
      <formula>0</formula>
    </cfRule>
  </conditionalFormatting>
  <conditionalFormatting sqref="J149:IQ150">
    <cfRule type="cellIs" dxfId="0" priority="27" stopIfTrue="1" operator="equal">
      <formula>0</formula>
    </cfRule>
  </conditionalFormatting>
  <conditionalFormatting sqref="E151 I151:IQ151 J153:IQ154">
    <cfRule type="cellIs" dxfId="0" priority="44" stopIfTrue="1" operator="equal">
      <formula>0</formula>
    </cfRule>
  </conditionalFormatting>
  <conditionalFormatting sqref="E152 I152:IQ152">
    <cfRule type="cellIs" dxfId="0" priority="32" stopIfTrue="1" operator="equal">
      <formula>0</formula>
    </cfRule>
  </conditionalFormatting>
  <conditionalFormatting sqref="E153 I153">
    <cfRule type="cellIs" dxfId="0" priority="38" stopIfTrue="1" operator="equal">
      <formula>0</formula>
    </cfRule>
  </conditionalFormatting>
  <conditionalFormatting sqref="E154 I154">
    <cfRule type="cellIs" dxfId="0" priority="35" stopIfTrue="1" operator="equal">
      <formula>0</formula>
    </cfRule>
  </conditionalFormatting>
  <conditionalFormatting sqref="E155 G155:H155">
    <cfRule type="cellIs" dxfId="0" priority="185" stopIfTrue="1" operator="equal">
      <formula>0</formula>
    </cfRule>
  </conditionalFormatting>
  <conditionalFormatting sqref="E156 G156">
    <cfRule type="cellIs" dxfId="0" priority="196" stopIfTrue="1" operator="equal">
      <formula>0</formula>
    </cfRule>
  </conditionalFormatting>
  <conditionalFormatting sqref="E157 G157">
    <cfRule type="cellIs" dxfId="0" priority="191" stopIfTrue="1" operator="equal">
      <formula>0</formula>
    </cfRule>
  </conditionalFormatting>
  <conditionalFormatting sqref="E158 G158">
    <cfRule type="cellIs" dxfId="0" priority="173" stopIfTrue="1" operator="equal">
      <formula>0</formula>
    </cfRule>
  </conditionalFormatting>
  <conditionalFormatting sqref="E162:G162 I162:IQ162">
    <cfRule type="cellIs" dxfId="0" priority="575" stopIfTrue="1" operator="equal">
      <formula>0</formula>
    </cfRule>
  </conditionalFormatting>
  <conditionalFormatting sqref="E163:G163 I163:IQ163">
    <cfRule type="cellIs" dxfId="0" priority="571" stopIfTrue="1" operator="equal">
      <formula>0</formula>
    </cfRule>
  </conditionalFormatting>
  <conditionalFormatting sqref="E164:G165 J164:IQ165">
    <cfRule type="cellIs" dxfId="0" priority="408" stopIfTrue="1" operator="equal">
      <formula>0</formula>
    </cfRule>
  </conditionalFormatting>
  <conditionalFormatting sqref="E166 G166 E167:G167 E168 G168 I166:IQ168">
    <cfRule type="cellIs" dxfId="0" priority="528" stopIfTrue="1" operator="equal">
      <formula>0</formula>
    </cfRule>
  </conditionalFormatting>
  <conditionalFormatting sqref="H169:IQ170">
    <cfRule type="cellIs" dxfId="0" priority="572" stopIfTrue="1" operator="equal">
      <formula>0</formula>
    </cfRule>
  </conditionalFormatting>
  <conditionalFormatting sqref="A173 E173:G173 J173:IQ173">
    <cfRule type="cellIs" dxfId="0" priority="564" stopIfTrue="1" operator="equal">
      <formula>0</formula>
    </cfRule>
  </conditionalFormatting>
  <conditionalFormatting sqref="I179 I182">
    <cfRule type="cellIs" dxfId="0" priority="547" stopIfTrue="1" operator="equal">
      <formula>0</formula>
    </cfRule>
  </conditionalFormatting>
  <conditionalFormatting sqref="E196 G196 I196:IQ196">
    <cfRule type="cellIs" dxfId="0" priority="524" stopIfTrue="1" operator="equal">
      <formula>0</formula>
    </cfRule>
  </conditionalFormatting>
  <conditionalFormatting sqref="A197:B198 E197:IQ197">
    <cfRule type="cellIs" dxfId="0" priority="523" stopIfTrue="1" operator="equal">
      <formula>0</formula>
    </cfRule>
  </conditionalFormatting>
  <conditionalFormatting sqref="B201:C201 E201">
    <cfRule type="cellIs" dxfId="0" priority="516" stopIfTrue="1" operator="equal">
      <formula>0</formula>
    </cfRule>
  </conditionalFormatting>
  <conditionalFormatting sqref="G201 I201:IQ201">
    <cfRule type="cellIs" dxfId="0" priority="517" stopIfTrue="1" operator="equal">
      <formula>0</formula>
    </cfRule>
  </conditionalFormatting>
  <conditionalFormatting sqref="G202 J202:IQ202">
    <cfRule type="cellIs" dxfId="0" priority="515" stopIfTrue="1" operator="equal">
      <formula>0</formula>
    </cfRule>
  </conditionalFormatting>
  <conditionalFormatting sqref="B203:C203 E203">
    <cfRule type="cellIs" dxfId="0" priority="512" stopIfTrue="1" operator="equal">
      <formula>0</formula>
    </cfRule>
  </conditionalFormatting>
  <conditionalFormatting sqref="G203 I203:IQ203">
    <cfRule type="cellIs" dxfId="0" priority="513" stopIfTrue="1" operator="equal">
      <formula>0</formula>
    </cfRule>
  </conditionalFormatting>
  <conditionalFormatting sqref="B204:C204 E204">
    <cfRule type="cellIs" dxfId="0" priority="510" stopIfTrue="1" operator="equal">
      <formula>0</formula>
    </cfRule>
  </conditionalFormatting>
  <conditionalFormatting sqref="G204 I204:IQ204">
    <cfRule type="cellIs" dxfId="0" priority="511" stopIfTrue="1" operator="equal">
      <formula>0</formula>
    </cfRule>
  </conditionalFormatting>
  <printOptions horizontalCentered="1"/>
  <pageMargins left="0.432638888888889" right="0.393055555555556" top="0.354166666666667" bottom="0.393055555555556" header="0.275" footer="0.196527777777778"/>
  <pageSetup paperSize="9" scale="88" orientation="landscape" horizontalDpi="600"/>
  <headerFooter>
    <oddFooter>&amp;L编制日期:&amp;D共&amp;N页  第&amp;P页&amp;C嘉兴山屿装饰设计有限公司&amp;R客户签名:______________</oddFooter>
  </headerFooter>
  <colBreaks count="1" manualBreakCount="1">
    <brk id="9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半包报价模板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ChenDi</dc:creator>
  <cp:lastModifiedBy>ChenDi</cp:lastModifiedBy>
  <dcterms:created xsi:type="dcterms:W3CDTF">2026-08-30T00:43:00Z</dcterms:created>
  <dcterms:modified xsi:type="dcterms:W3CDTF">2026-09-05T06:29:15Z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9AD5E9F34320E801A72B9A6A59EDD737_43</vt:lpwstr>
  </property>
  <property fmtid="{D5CDD505-2E9C-101B-9397-08002B2CF9AE}" pid="3" name="KSOProductBuildVer">
    <vt:lpwstr>2052-6.14.0.8924</vt:lpwstr>
  </property>
</Properties>
</file>