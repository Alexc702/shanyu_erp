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封面" state="visible" r:id="rId4"/>
    <sheet sheetId="2" name="半包报价模板" state="visible" r:id="rId5"/>
  </sheets>
  <definedNames>
    <definedName name="_xlnm.Print_Area" localSheetId="0">'封面'!$A1:$D7</definedName>
    <definedName name="_xlnm.Print_Area" localSheetId="1">'半包报价模板'!$A1:$I349</definedName>
  </definedNames>
  <calcPr calcId="171027"/>
</workbook>
</file>

<file path=xl/sharedStrings.xml><?xml version="1.0" encoding="utf-8"?>
<sst xmlns="http://schemas.openxmlformats.org/spreadsheetml/2006/main" count="1037" uniqueCount="267">
  <si>
    <r>
      <rPr>
        <charset val="134"/>
        <sz val="22"/>
        <rFont val="宋体"/>
      </rPr>
      <t xml:space="preserve">
</t>
    </r>
    <r>
      <rPr>
        <charset val="134"/>
        <color rgb="FFFF0000"/>
        <sz val="22"/>
        <rFont val="宋体"/>
      </rPr>
      <t xml:space="preserve">
</t>
    </r>
    <r>
      <rPr>
        <charset val="134"/>
        <sz val="26"/>
        <rFont val="宋体"/>
      </rPr>
      <t xml:space="preserve">
</t>
    </r>
    <r>
      <rPr>
        <charset val="134"/>
        <sz val="36"/>
        <rFont val="宋体"/>
      </rPr>
      <t xml:space="preserve">
</t>
    </r>
  </si>
  <si>
    <t xml:space="preserve">                                                         全 包 设 计</t>
  </si>
  <si>
    <t xml:space="preserve">                                                                                               项目：金地天元鸣望-8-2-602</t>
  </si>
  <si>
    <t xml:space="preserve">                                                                                             日期：     年    月    日</t>
  </si>
  <si>
    <t>基础报价明细表</t>
  </si>
  <si>
    <t>客户名称：</t>
  </si>
  <si>
    <t>建筑面积（㎡）：</t>
  </si>
  <si>
    <t>工程地址：</t>
  </si>
  <si>
    <t>编号</t>
  </si>
  <si>
    <t>工程项目</t>
  </si>
  <si>
    <t>单位</t>
  </si>
  <si>
    <t>数量</t>
  </si>
  <si>
    <t>工 程 造 价</t>
  </si>
  <si>
    <t>备       注</t>
  </si>
  <si>
    <t>单价</t>
  </si>
  <si>
    <t>金额</t>
  </si>
  <si>
    <t xml:space="preserve">【一、砌墙工程】 </t>
  </si>
  <si>
    <t>面积（㎡)：</t>
  </si>
  <si>
    <t>周长（m):</t>
  </si>
  <si>
    <t>层高（m):</t>
  </si>
  <si>
    <t>内墙顶涂料铲除及打毛处理</t>
  </si>
  <si>
    <r>
      <rPr>
        <sz val="10"/>
        <rFont val="Times New Roman"/>
      </rPr>
      <t>M</t>
    </r>
    <r>
      <rPr>
        <vertAlign val="superscript"/>
        <sz val="10"/>
        <rFont val="Times New Roman"/>
      </rPr>
      <t>2</t>
    </r>
  </si>
  <si>
    <t xml:space="preserve">1、人工费；                                                               2、垃圾装袋运至小区指定点，如需要运到小区外费用另计。 </t>
  </si>
  <si>
    <t>120墙体拆除</t>
  </si>
  <si>
    <t xml:space="preserve">1、指不违反物业规定的非承重墙；                                                 2、人工费；                                                                    3、垃圾装袋运至小区指定点，如需要运到小区外费用另计。 </t>
  </si>
  <si>
    <t>240墙体拆除</t>
  </si>
  <si>
    <t>构造墙切割</t>
  </si>
  <si>
    <t>处</t>
  </si>
  <si>
    <t>横梁剥皮</t>
  </si>
  <si>
    <t>项</t>
  </si>
  <si>
    <t>原有飘窗拆除</t>
  </si>
  <si>
    <t>M</t>
  </si>
  <si>
    <t>1、人工费；                                                              2、垃圾装袋运至小区指定点，如需要运到小区外费用另计。                         3、如遇混凝土及钢结构飘窗费用另计</t>
  </si>
  <si>
    <t>敲半墙</t>
  </si>
  <si>
    <t>1、指不违反物业规定的非承重墙；                                                   2、人工费；                                                                     3、垃圾装袋运至小区指定点，如需要运到小区外费用另计。                         4、如遇轻质砖墙或空斗砖墙，需整体拆墙后，再重新砌墙粉刷，费用另计</t>
  </si>
  <si>
    <t>挖半墙后墙面修补抹灰</t>
  </si>
  <si>
    <t>水泥砂浆粉面抹灰</t>
  </si>
  <si>
    <t>普通地梁浇筑</t>
  </si>
  <si>
    <t xml:space="preserve">1、强度32.5普通硅酸盐水泥；             
2、瓜子片浇筑； 钢筋植入，打入植筋胶                        
3、现浇地梁高度≥200mm</t>
  </si>
  <si>
    <t>地梁浇筑</t>
  </si>
  <si>
    <t xml:space="preserve">1、强度32.5普通硅酸盐水泥；             
2、瓜子片浇筑； 钢筋植入，打入植筋胶                        
3、地板支模现浇地梁高度≥200mm</t>
  </si>
  <si>
    <t>快装龙骨隔墙（防水板/干湿区砌墙专用）</t>
  </si>
  <si>
    <t xml:space="preserve">
1、使用快装龙骨+背衬板打底 （免焊龙骨规格34*34）                     2、墙厚≤60mm，工程量按单面立面面积计。</t>
  </si>
  <si>
    <t>快装龙骨隔墙（石膏板饰面）</t>
  </si>
  <si>
    <t xml:space="preserve">
1、使用快装龙骨+石膏板 （免焊龙骨规格34*34）                     2、墙厚≤80mm，工程量按单面立面面积计。</t>
  </si>
  <si>
    <t>快装龙骨隔墙（欧松板打底/石膏板饰面）</t>
  </si>
  <si>
    <t xml:space="preserve">
1、使用快装龙骨+石膏板+欧松板打底 （免焊龙骨规格34*34）                     2、墙厚≤100mm，工程量按单面立面面积计。</t>
  </si>
  <si>
    <t>多孔120红砖砌墙</t>
  </si>
  <si>
    <t xml:space="preserve">
1、使用多孔砖，强度32.5普通硅酸盐水泥砂浆砌筑；                               2、墙厚≤120mm，工程量按单面立面面积计。4：墙面水泥砂浆抹灰</t>
  </si>
  <si>
    <t>多孔240红砖砌墙</t>
  </si>
  <si>
    <t xml:space="preserve">
1、使用多孔砖，强度32.5普通硅酸盐水泥砂浆砌筑；                               2、墙厚≤60mm，工程量按单面立面面积计。4：墙面水泥砂浆抹灰</t>
  </si>
  <si>
    <t>砌墙弧形墙造型</t>
  </si>
  <si>
    <t>个</t>
  </si>
  <si>
    <t xml:space="preserve">1、弧形墙人工费； </t>
  </si>
  <si>
    <t>双面石膏板隔墙</t>
  </si>
  <si>
    <t xml:space="preserve">1、轻钢龙骨基架，间距≤400mm，双面封9.5mm厚纸面石膏板，全封闭不带门窗，墙厚950mm; 
2、石膏板自攻螺丝钉固定，钉帽涂防锈漆，板接缝处填嵌缝石膏，粘帖专用绷带；     
</t>
  </si>
  <si>
    <t>石膏板隔墙隔音棉</t>
  </si>
  <si>
    <t xml:space="preserve">1、轻钢龙骨基架，间距≤400mm，双面封9mm厚纸面石膏板，全封闭不带门窗，墙厚120mm; 
2、石膏板自攻螺丝钉固定，钉帽涂防锈漆，板接缝处填嵌缝石膏，粘帖专用绷带；     
3、批腻子和面层装饰另计；               
4、隔断内填充保温隔音材料费用另计；     
5、工程量按单面立面面积计算；           
6、弧形工艺上浮30%。
7、15MM欧松板找平，打底。</t>
  </si>
  <si>
    <t>砖墙门洞过梁</t>
  </si>
  <si>
    <t>混凝土过梁或4号角铁过梁1.0米以内为一个</t>
  </si>
  <si>
    <t>小计：</t>
  </si>
  <si>
    <t>【二、客餐厅工程】</t>
  </si>
  <si>
    <t>门槛石安装</t>
  </si>
  <si>
    <t>水泥黄沙铺贴（不足1米按1米算）</t>
  </si>
  <si>
    <t>石材窗台板铺设</t>
  </si>
  <si>
    <t xml:space="preserve">1、轻工辅料，宽度≤300mm;                               
2、干性水泥砂浆铺贴，玻璃胶填缝；       
3、不含抛光打蜡。</t>
  </si>
  <si>
    <t>成品保护</t>
  </si>
  <si>
    <t>乙方提供成品保护材料对于施工完成的半成品及成品进行保护。</t>
  </si>
  <si>
    <t>防水</t>
  </si>
  <si>
    <t>地面水性防水涂料（地暖地面要算2遍）</t>
  </si>
  <si>
    <t xml:space="preserve">1、地面清理，四周防水带，内外角防水贴，淋浴水管根套             
2、一般墙面上返300mm
3、做24小时蓄水试验（甲方验收签字）；                   
4、不包含原地面装饰层拆除；
5、按实际涂刷面积计算工程量。</t>
  </si>
  <si>
    <t>墙面水性防水涂料</t>
  </si>
  <si>
    <t xml:space="preserve">1、墙面清理，四周防水带，内外角防水贴，淋浴水管根套                 
2、卫生间墙面涂刷2000mm；                     
3、做24小时蓄水试验（甲方验收签字）；                   
4、不包含原地面装饰层拆除；
5、按实际涂刷面积计算工程量。</t>
  </si>
  <si>
    <t>泥工贴砖</t>
  </si>
  <si>
    <t>800*800mm地砖（水泥砂浆粘贴）</t>
  </si>
  <si>
    <r>
      <rPr>
        <color rgb="FFFF0000"/>
        <sz val="10"/>
        <rFont val="Times New Roman"/>
      </rPr>
      <t>M</t>
    </r>
    <r>
      <rPr>
        <color rgb="FFFF0000"/>
        <vertAlign val="superscript"/>
        <sz val="10"/>
        <rFont val="Times New Roman"/>
      </rPr>
      <t>2</t>
    </r>
  </si>
  <si>
    <t>水泥黄沙铺贴，斜铺、错缝、不规则、走边铺贴费用另计，不含美缝、胶泥。</t>
  </si>
  <si>
    <t>600*1200mm地砖（水泥砂浆粘贴）</t>
  </si>
  <si>
    <t>750*1500mm地砖（水泥砂浆粘贴）</t>
  </si>
  <si>
    <t>900*1800mm地砖（水泥砂浆粘贴）</t>
  </si>
  <si>
    <t>200*700mm小砖（胶泥粘帖）</t>
  </si>
  <si>
    <t xml:space="preserve">1、轻工辅料，
2、马贝胶泥铺贴； </t>
  </si>
  <si>
    <t>800*800mm墙砖（胶泥粘帖）</t>
  </si>
  <si>
    <t>600*1200mm墙砖（胶泥粘帖）</t>
  </si>
  <si>
    <t>750*1500mm墙砖（胶泥粘帖）</t>
  </si>
  <si>
    <t>900*1800mm墙砖（胶泥粘帖）</t>
  </si>
  <si>
    <t>（薄贴）瓷砖增加人工费</t>
  </si>
  <si>
    <t>水泥黄沙瓜子片地暖找平，厚度≤50mm</t>
  </si>
  <si>
    <t>找平</t>
  </si>
  <si>
    <t>粗找平</t>
  </si>
  <si>
    <t>瓜子片豆石精找平</t>
  </si>
  <si>
    <t>水泥黄沙瓜子片豆石精找平（地砖博贴专用，误差3mm）（厚度3到5cm）</t>
  </si>
  <si>
    <t>半干成品砂浆找平</t>
  </si>
  <si>
    <t>半干砂浆找平（地板找平专用，误差3mm以内）（厚度3到5cm）</t>
  </si>
  <si>
    <t>木工吊顶</t>
  </si>
  <si>
    <t>石膏板吊平顶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</si>
  <si>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                       </t>
  </si>
  <si>
    <t>欧松板基层处理</t>
  </si>
  <si>
    <t>千年舟12/15MM欧松板基础打底</t>
  </si>
  <si>
    <t>欧松板基层石膏板饰面</t>
  </si>
  <si>
    <t xml:space="preserve">1、15MM欧松板找平，打底。
2、9mm厚纸面石膏板罩面，自攻螺丝钉固定，钉眼点涂防锈漆，石膏板接缝处填嵌石膏，粘帖专用绷带；</t>
  </si>
  <si>
    <t>双层石膏板（墙面找平）</t>
  </si>
  <si>
    <r>
      <rPr>
        <color theme="1"/>
        <sz val="10"/>
        <rFont val="Times New Roman"/>
      </rPr>
      <t>M</t>
    </r>
    <r>
      <rPr>
        <color theme="1"/>
        <vertAlign val="superscript"/>
        <sz val="10"/>
        <rFont val="Times New Roman"/>
      </rPr>
      <t>2</t>
    </r>
  </si>
  <si>
    <t xml:space="preserve">墙面木楔找平                       </t>
  </si>
  <si>
    <t>双层石膏板吊顶（顶面）</t>
  </si>
  <si>
    <t xml:space="preserve">1、轻钢骨架，间距一般为400mm,打孔下膨胀螺栓固定；                           2、9.5mm厚纸面石膏板罩面，加欧松板自攻螺丝钉固定，钉眼点涂防锈漆，石膏板接缝处填嵌石膏，粘帖专用绷带；                         </t>
  </si>
  <si>
    <t>石膏板吊斜顶</t>
  </si>
  <si>
    <t>防水石膏板吊平顶</t>
  </si>
  <si>
    <t>石膏板异性造型吊顶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</si>
  <si>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</t>
  </si>
  <si>
    <t>石膏板普通单层边吊（≤300mm）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</si>
  <si>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
3、宽度不大于60mm。                          </t>
  </si>
  <si>
    <t>石膏板单级走边（≤200mm）</t>
  </si>
  <si>
    <t>木板基层，石膏板封边，宽度少于20mm</t>
  </si>
  <si>
    <t>石膏板双级走边/双眼皮走边</t>
  </si>
  <si>
    <t>禅翼型材灯线安装</t>
  </si>
  <si>
    <t>吊顶凹槽造型/线型灯</t>
  </si>
  <si>
    <t>留槽工艺</t>
  </si>
  <si>
    <t>反光灯槽吊顶</t>
  </si>
  <si>
    <t>木工板基层，石膏板封边</t>
  </si>
  <si>
    <t>空调出风或回风口框架</t>
  </si>
  <si>
    <t>欧松板框架，龙骨角条固定长度≤2000mm</t>
  </si>
  <si>
    <t>窗帘盒</t>
  </si>
  <si>
    <t xml:space="preserve">1、优等欧松板做底板与立板，石膏板贴面                          2、宽度≤280mm；                        
</t>
  </si>
  <si>
    <t>石膏板弧形造型（按人工补差）</t>
  </si>
  <si>
    <t>圆弧造型补差人工费</t>
  </si>
  <si>
    <t>电视背景反光灯槽</t>
  </si>
  <si>
    <t xml:space="preserve">1、15MM欧松板找平，打底。
2、9.5mm厚纸面石膏板罩面，自攻螺丝钉固定，钉眼点涂防锈漆，石膏板接缝处填嵌石膏，粘帖专用绷带；</t>
  </si>
  <si>
    <t>木制地台（一级细木工板）</t>
  </si>
  <si>
    <t xml:space="preserve">1、松木方或优等细木工板开条做骨架，上铺优等细木工板，抽屉另计；               
2、地板、地毯、石塑等面层铺设另计；     
3、按平面面积计算工程量，高度≤200mm。</t>
  </si>
  <si>
    <t>油漆</t>
  </si>
  <si>
    <t>顶面基层处理</t>
  </si>
  <si>
    <t xml:space="preserve">1、刷界面剂一遍，批刮腻子三遍，打磨平整；                                   2、顶面水泥砂浆处理、沙灰墙铲除、原顶面涂层铲除及贴布等费用另计；             
3、原顶面平整度误差超过1.5cm、垂直误差超过1.5cm需找平，费用另计。</t>
  </si>
  <si>
    <t>顶面乳胶漆</t>
  </si>
  <si>
    <t xml:space="preserve">1、一遍底涂
2、两遍面涂及人工。</t>
  </si>
  <si>
    <t>墙面基层处理</t>
  </si>
  <si>
    <t xml:space="preserve">1、刷界面剂一遍，批刮腻子三遍，打磨平整；                                   2、顶面水泥砂浆处理、沙灰墙铲除、原顶面涂层铲除及贴布等费用另计；
3、原顶面平整度误差超过1.5cm、垂直误差超过1.5cm需找平，费用另计。</t>
  </si>
  <si>
    <t>墙面乳胶漆</t>
  </si>
  <si>
    <t>包管</t>
  </si>
  <si>
    <t>包管道（1根）</t>
  </si>
  <si>
    <t xml:space="preserve">1、成品现浇混凝土或红砖包管，含人工、辅料，
2、未包管部分下水管采用EVA材料保护、专用扎带固定</t>
  </si>
  <si>
    <t>包管道（2根）</t>
  </si>
  <si>
    <t>包管道（3根）</t>
  </si>
  <si>
    <t>【三、主卧工程】</t>
  </si>
  <si>
    <t>飘窗台铺设</t>
  </si>
  <si>
    <t>【四、南次卧工程】</t>
  </si>
  <si>
    <t>石材窗台板铺设（飘窗）</t>
  </si>
  <si>
    <t xml:space="preserve">1、轻工辅料，，宽度≤800mm;                               
2、干性水泥砂浆铺贴，玻璃胶填缝；       
3、不含抛光打蜡。</t>
  </si>
  <si>
    <t>欧松板打底 背景基层处理（飘窗）</t>
  </si>
  <si>
    <t>（千年舟/兔宝宝15MM欧松板找平，打底)</t>
  </si>
  <si>
    <t>地暖地面精找平</t>
  </si>
  <si>
    <t>水泥黄沙瓜子片精找平（平铺地板/地砖博贴专用，误差3mm）（厚度3cm）</t>
  </si>
  <si>
    <t>水泥黄沙找平垫层，厚度≤50mm</t>
  </si>
  <si>
    <t>半干砂浆找平</t>
  </si>
  <si>
    <t>水泥黄沙铺贴，斜铺、错缝、不规则、走边铺贴费用另计，不含美缝、背胶胶泥。</t>
  </si>
  <si>
    <t>1500*750mm地砖（水泥砂浆粘贴）</t>
  </si>
  <si>
    <t>弧形造型工艺费补差</t>
  </si>
  <si>
    <t>根据尺寸决定，长度不超过2.4米</t>
  </si>
  <si>
    <t>松木档框架，长度≤2000mm</t>
  </si>
  <si>
    <t xml:space="preserve">1、优等欧松板做底板与立板，石膏板贴面，外面批腻子、刷漆；                          2、宽度≤280mm；                        
</t>
  </si>
  <si>
    <t>欧松板打底 背景基层处理</t>
  </si>
  <si>
    <t>【五、北次卧工程】</t>
  </si>
  <si>
    <t xml:space="preserve">1、优等欧松板衬底，优等饰面板或石膏板贴面，同木质实木线条收口，厚度≤35mm；
</t>
  </si>
  <si>
    <t>（千年舟/兔宝宝12MM欧松板找平，打底)</t>
  </si>
  <si>
    <t>【六、衣帽间工程】</t>
  </si>
  <si>
    <t>移门轨道槽欧松板基层处理</t>
  </si>
  <si>
    <t>15MM欧松板基础，打底</t>
  </si>
  <si>
    <t>【六、北客房工程】</t>
  </si>
  <si>
    <t>水泥黄沙铺贴，斜铺、错缝、不规则、走边铺贴费用另计，不含美缝。</t>
  </si>
  <si>
    <t xml:space="preserve">1、优等欧松板做底板与立板，石膏板贴面，外面批腻子、刷漆；                          2、宽度≤280mm；                        
3、此为一般形式的做法，特殊做法具体情况确定。</t>
  </si>
  <si>
    <t>【七、阳台工程】</t>
  </si>
  <si>
    <t>半干砂浆找平（增加马贝sp700增强乳液）</t>
  </si>
  <si>
    <t>400*800mm墙砖（胶泥粘帖）</t>
  </si>
  <si>
    <t>1200*600mm墙砖（胶泥粘帖）</t>
  </si>
  <si>
    <t>【八、主卫工程】</t>
  </si>
  <si>
    <t>下沉式卫生间地面填充</t>
  </si>
  <si>
    <t>陶粒填充</t>
  </si>
  <si>
    <t>填充后细石砼地面找平</t>
  </si>
  <si>
    <t xml:space="preserve">水泥砂浆找平，厚度≤5cm，放6mm钢筋，间距15cm*15cm   </t>
  </si>
  <si>
    <r>
      <rPr>
        <charset val="134"/>
        <sz val="10"/>
        <rFont val="新宋体"/>
      </rPr>
      <t>地面水性防水涂料</t>
    </r>
    <r>
      <rPr>
        <charset val="134"/>
        <color rgb="FFFF0000"/>
        <sz val="10"/>
        <rFont val="新宋体"/>
      </rPr>
      <t>（地暖地面要算2遍）</t>
    </r>
  </si>
  <si>
    <t xml:space="preserve">1、地面清理，涂刷水性防水涂料1遍；                 
2、一般墙面上返300mm。
3、做24小时蓄水试验（甲方验收签字）；                   
4、不包含原地面装饰层拆除；
5、按实际涂刷面积计算工程量。</t>
  </si>
  <si>
    <t xml:space="preserve">1、墙面清理，涂刷水性防水涂料1遍；                 
2、卫生间墙面涂刷1800mm；                     
3、做24小时蓄水试验（甲方验收签字）；                   
4、不包含原地面装饰层拆除；
5、按实际涂刷面积计算工程量。</t>
  </si>
  <si>
    <t>≤200*200mm地砖以内</t>
  </si>
  <si>
    <t xml:space="preserve">1、轻工辅料，
2、胶泥铺贴； </t>
  </si>
  <si>
    <t>1500*750mm墙砖（胶泥粘帖）</t>
  </si>
  <si>
    <t>下沉式淋浴房工艺</t>
  </si>
  <si>
    <t>壁龛工艺增加</t>
  </si>
  <si>
    <t>人工费</t>
  </si>
  <si>
    <t>顶面基层处理(防水腻子）</t>
  </si>
  <si>
    <t>顶面防水乳胶漆</t>
  </si>
  <si>
    <t>简</t>
  </si>
  <si>
    <t>防水乳胶漆</t>
  </si>
  <si>
    <t>【九、公卫工程】</t>
  </si>
  <si>
    <t>下沉式卫生间初期工艺</t>
  </si>
  <si>
    <t>水泥砂浆做斜坡，刷防水剂，红砖砌“田”字格</t>
  </si>
  <si>
    <t>水泥黄沙瓜子片自流平精找平（平铺地板/地砖博贴专用，误差3mm）（厚度3cm）</t>
  </si>
  <si>
    <t>填充后地面重新防漏处理</t>
  </si>
  <si>
    <t xml:space="preserve">防水灰浆两遍，地面及翻边12cm左右满刷      </t>
  </si>
  <si>
    <r>
      <rPr>
        <charset val="134"/>
        <sz val="10"/>
        <rFont val="新宋体"/>
      </rPr>
      <t>墙面水性防水涂料</t>
    </r>
    <r>
      <rPr>
        <charset val="134"/>
        <color rgb="FFFF0000"/>
        <sz val="10"/>
        <rFont val="新宋体"/>
      </rPr>
      <t>（地暖地面要算2遍）</t>
    </r>
  </si>
  <si>
    <t>水泥黄沙浇筑，贴砖工艺人工费</t>
  </si>
  <si>
    <t>【七、厨房工程】</t>
  </si>
  <si>
    <t>水泥黄沙铺贴，斜铺、错缝、不规则、走边铺贴费用另计，不含美缝，胶泥。</t>
  </si>
  <si>
    <t>水泥黄沙铺贴，斜铺、错缝、不规则、走边铺贴费用另计，不含美缝，瓷砖胶。</t>
  </si>
  <si>
    <t>≤200*200mm墙砖以内</t>
  </si>
  <si>
    <t xml:space="preserve">1、12MM欧松板找平打底。
2、9.5mm厚纸面石膏板罩面，自攻螺丝钉固定，钉眼点涂防锈漆，石膏板接缝处填嵌石膏，粘帖专用绷带；</t>
  </si>
  <si>
    <t>墙面基层处理(防水腻子）</t>
  </si>
  <si>
    <t>【十、油漆工程】</t>
  </si>
  <si>
    <t>3D放样</t>
  </si>
  <si>
    <t>人工费及辅料费</t>
  </si>
  <si>
    <t>PVC常规型阴阳角线</t>
  </si>
  <si>
    <t xml:space="preserve">1、专业阴阳角线条处理。
2、按内墙面积计算</t>
  </si>
  <si>
    <t>吊顶石膏板接缝、干壁钉防锈处理</t>
  </si>
  <si>
    <t xml:space="preserve">1、接缝纸接石膏板接缝、干壁钉防锈漆处理。
2、按外框面积计算</t>
  </si>
  <si>
    <t>【十一、水电工程】</t>
  </si>
  <si>
    <t>开管线槽</t>
  </si>
  <si>
    <t>1 切割片 垃圾袋。</t>
  </si>
  <si>
    <t>打孔穿线</t>
  </si>
  <si>
    <t>1 人工费 垃圾袋。</t>
  </si>
  <si>
    <t>给水工程（PPR）</t>
  </si>
  <si>
    <t xml:space="preserve">1、【保利橙色管25直径，壁厚4.2】ppr水管热熔连接；
2、开槽、定位； 
3、冷热水管EVA保温防潮工艺（顶面走向）</t>
  </si>
  <si>
    <t>排水工程（PVC）</t>
  </si>
  <si>
    <t>保利PVC排水管、定位.</t>
  </si>
  <si>
    <t>智能布线</t>
  </si>
  <si>
    <t>强电工程（1.5；2.5BV线；4.0Bvr线）</t>
  </si>
  <si>
    <t>【正泰】阻燃电线、86底盒、定位.</t>
  </si>
  <si>
    <t>弱电工程（6类网线，电视线）</t>
  </si>
  <si>
    <t>【正泰】超六类网线、86底盒、定位.</t>
  </si>
  <si>
    <t>风管机/中央空调外机强电穿线</t>
  </si>
  <si>
    <t xml:space="preserve">1、国标单芯铜线 
2、PVC阻燃双色线管开槽铺设安装（4-6平方布线）                                                                                                                                                               </t>
  </si>
  <si>
    <t>正泰空开更换</t>
  </si>
  <si>
    <t>正泰（含总开、漏电保护器、空开，单个电箱配置）按外框面积计算</t>
  </si>
  <si>
    <t>施耐德空开更换</t>
  </si>
  <si>
    <t>施耐德（含总开、漏电保护器、空开，单个电箱配置）按外框面积计算</t>
  </si>
  <si>
    <t>小热水循环水布管</t>
  </si>
  <si>
    <t>按建筑面积外框计算</t>
  </si>
  <si>
    <t>大热水循环水布管</t>
  </si>
  <si>
    <t>强电箱移位</t>
  </si>
  <si>
    <t>只</t>
  </si>
  <si>
    <t>含PVC管、开槽，敷设人工,含箱子</t>
  </si>
  <si>
    <t>弱电箱移位</t>
  </si>
  <si>
    <t>暗藏花洒预埋</t>
  </si>
  <si>
    <t>套</t>
  </si>
  <si>
    <t>人工费，不含主材、辅材</t>
  </si>
  <si>
    <t>暗藏龙头预埋</t>
  </si>
  <si>
    <t>下水管隔音处理（卫生间、阳台）</t>
  </si>
  <si>
    <t>间</t>
  </si>
  <si>
    <t>1、包管部分下水管采用黄金阻尼片，隔音棉材料保护、专用扎带固定</t>
  </si>
  <si>
    <t>【十二、其他工程】</t>
  </si>
  <si>
    <t>装修建筑垃圾外运</t>
  </si>
  <si>
    <t>车</t>
  </si>
  <si>
    <t>遇物业不负责垃圾外运时，装修所产生的建筑垃圾外运费用。</t>
  </si>
  <si>
    <t>装潢垃圾清理费</t>
  </si>
  <si>
    <t>施工现场的垃圾物业指定堆放处（不含其它材料商产生的垃圾）</t>
  </si>
  <si>
    <t>室内家政服务费</t>
  </si>
  <si>
    <t>完工时对工地进行室内家政服务。</t>
  </si>
  <si>
    <t>【十三、工程汇总】</t>
  </si>
  <si>
    <t>（1）</t>
  </si>
  <si>
    <t>直接费</t>
  </si>
  <si>
    <t>元</t>
  </si>
  <si>
    <r>
      <rPr>
        <charset val="134"/>
        <color theme="1"/>
        <sz val="11"/>
        <rFont val="宋体"/>
      </rPr>
      <t>（</t>
    </r>
    <r>
      <rPr>
        <color indexed="8"/>
        <sz val="11"/>
        <rFont val="Times New Roman"/>
      </rPr>
      <t>2</t>
    </r>
    <r>
      <rPr>
        <charset val="134"/>
        <color indexed="8"/>
        <sz val="11"/>
        <rFont val="宋体"/>
      </rPr>
      <t>）</t>
    </r>
  </si>
  <si>
    <t>管理费</t>
  </si>
  <si>
    <t>管理费统一按工程总价10%计算。</t>
  </si>
  <si>
    <t>（3）</t>
  </si>
  <si>
    <t>税金</t>
  </si>
  <si>
    <t>税金统一按工程总价6%计算。</t>
  </si>
  <si>
    <t>（4）</t>
  </si>
  <si>
    <t>总造价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</si>
</sst>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);[Red](0.00)"/>
    <numFmt numFmtId="165" formatCode="0.00_ "/>
    <numFmt numFmtId="166" formatCode="0.00;[Red]0.00"/>
  </numFmts>
  <fonts count="30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22"/>
      <name val="宋体"/>
    </font>
    <font>
      <b/>
      <charset val="134"/>
      <sz val="20"/>
      <name val="宋体"/>
    </font>
    <font>
      <b/>
      <charset val="134"/>
      <sz val="12"/>
      <name val="宋体"/>
    </font>
    <font>
      <charset val="134"/>
      <color theme="1"/>
      <scheme val="minor"/>
      <sz val="11"/>
      <name val="宋体"/>
    </font>
    <font>
      <charset val="134"/>
      <sz val="10"/>
      <name val="宋体"/>
    </font>
    <font>
      <b/>
      <charset val="134"/>
      <sz val="11"/>
      <name val="宋体"/>
    </font>
    <font>
      <sz val="10"/>
      <name val="Times New Roman"/>
    </font>
    <font>
      <charset val="134"/>
      <color indexed="12"/>
      <sz val="10"/>
      <name val="宋体"/>
    </font>
    <font>
      <b/>
      <charset val="134"/>
      <color indexed="8"/>
      <sz val="24"/>
      <name val="宋体"/>
    </font>
    <font>
      <b/>
      <charset val="134"/>
      <color indexed="8"/>
      <sz val="11"/>
      <name val="宋体"/>
    </font>
    <font>
      <charset val="134"/>
      <sz val="10"/>
      <name val="新宋体"/>
    </font>
    <font>
      <sz val="10"/>
      <name val="宋体"/>
    </font>
    <font>
      <b/>
      <charset val="134"/>
      <scheme val="minor"/>
      <sz val="10"/>
      <name val="宋体"/>
    </font>
    <font>
      <charset val="134"/>
      <sz val="24"/>
      <name val="宋体"/>
    </font>
    <font>
      <charset val="134"/>
      <sz val="14"/>
      <name val="宋体"/>
    </font>
    <font>
      <charset val="134"/>
      <color rgb="FFFF0000"/>
      <sz val="10"/>
      <name val="新宋体"/>
    </font>
    <font>
      <color rgb="FFFF0000"/>
      <sz val="10"/>
      <name val="Times New Roman"/>
    </font>
    <font>
      <charset val="134"/>
      <color rgb="FFFF0000"/>
      <sz val="10"/>
      <name val="宋体"/>
    </font>
    <font>
      <charset val="134"/>
      <color rgb="FFFF0000"/>
      <sz val="9"/>
      <name val="宋体"/>
    </font>
    <font>
      <charset val="134"/>
      <sz val="16"/>
      <name val="宋体"/>
    </font>
    <font>
      <charset val="134"/>
      <color theme="1"/>
      <sz val="10"/>
      <name val="新宋体"/>
    </font>
    <font>
      <color theme="1"/>
      <sz val="10"/>
      <name val="Times New Roman"/>
    </font>
    <font>
      <charset val="134"/>
      <color theme="1"/>
      <sz val="10"/>
      <name val="宋体"/>
    </font>
    <font>
      <b/>
      <charset val="134"/>
      <color theme="1"/>
      <scheme val="minor"/>
      <sz val="10"/>
      <name val="宋体"/>
    </font>
    <font>
      <charset val="134"/>
      <sz val="9"/>
      <name val="宋体"/>
    </font>
    <font>
      <b/>
      <charset val="134"/>
      <sz val="10"/>
      <name val="宋体"/>
    </font>
    <font>
      <charset val="134"/>
      <color theme="1"/>
      <sz val="11"/>
      <name val="宋体"/>
    </font>
    <font>
      <b/>
      <charset val="134"/>
      <color theme="1"/>
      <sz val="11"/>
      <name val="宋体"/>
    </font>
  </fonts>
  <fills count="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</fills>
  <borders count="24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hair"/>
      <right style="medium"/>
      <top style="hair"/>
      <bottom style="hair"/>
      <diagonal/>
    </border>
    <border>
      <left/>
      <right style="thin"/>
      <top style="thin"/>
      <bottom style="thin"/>
      <diagonal/>
    </border>
    <border>
      <left style="hair"/>
      <right style="hair"/>
      <top style="hair"/>
      <bottom style="hair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 applyProtection="1">
      <alignment horizontal="left" vertical="center" wrapText="1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left" vertical="center"/>
      <protection hidden="1"/>
    </xf>
    <xf numFmtId="0" fontId="6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3" borderId="13" xfId="0" applyFont="1" applyFill="1" applyBorder="1" applyAlignment="1" applyProtection="1">
      <alignment horizontal="left" vertical="center" wrapText="1"/>
      <protection hidden="1"/>
    </xf>
    <xf numFmtId="0" fontId="7" fillId="3" borderId="14" xfId="0" applyFont="1" applyFill="1" applyBorder="1" applyAlignment="1" applyProtection="1">
      <alignment horizontal="center" vertical="center"/>
      <protection hidden="1"/>
    </xf>
    <xf numFmtId="0" fontId="7" fillId="3" borderId="15" xfId="0" applyFont="1" applyFill="1" applyBorder="1" applyAlignment="1" applyProtection="1">
      <alignment horizontal="left" vertical="center"/>
      <protection hidden="1"/>
    </xf>
    <xf numFmtId="0" fontId="6" fillId="3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 wrapText="1"/>
    </xf>
    <xf numFmtId="0" fontId="15" fillId="3" borderId="16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16" fillId="3" borderId="1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164" fontId="20" fillId="0" borderId="5" xfId="0" applyNumberFormat="1" applyFont="1" applyBorder="1" applyAlignment="1">
      <alignment horizontal="left" vertical="center" wrapText="1"/>
    </xf>
    <xf numFmtId="0" fontId="6" fillId="3" borderId="16" xfId="0" applyFont="1" applyFill="1" applyBorder="1" applyAlignment="1">
      <alignment vertical="center"/>
    </xf>
    <xf numFmtId="0" fontId="17" fillId="3" borderId="3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center" vertical="center"/>
    </xf>
    <xf numFmtId="164" fontId="19" fillId="3" borderId="4" xfId="0" applyNumberFormat="1" applyFont="1" applyFill="1" applyBorder="1" applyAlignment="1">
      <alignment horizontal="center" vertical="center"/>
    </xf>
    <xf numFmtId="164" fontId="20" fillId="3" borderId="5" xfId="0" applyNumberFormat="1" applyFont="1" applyFill="1" applyBorder="1" applyAlignment="1">
      <alignment horizontal="left" vertical="center" wrapText="1"/>
    </xf>
    <xf numFmtId="0" fontId="21" fillId="3" borderId="16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center" vertical="center"/>
    </xf>
    <xf numFmtId="164" fontId="24" fillId="3" borderId="4" xfId="0" applyNumberFormat="1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center" vertical="center"/>
    </xf>
    <xf numFmtId="164" fontId="26" fillId="3" borderId="5" xfId="0" applyNumberFormat="1" applyFont="1" applyFill="1" applyBorder="1" applyAlignment="1">
      <alignment horizontal="left" vertical="center" wrapText="1"/>
    </xf>
    <xf numFmtId="0" fontId="7" fillId="2" borderId="13" xfId="0" applyFont="1" applyFill="1" applyBorder="1" applyAlignment="1" applyProtection="1">
      <alignment horizontal="left" vertical="center" wrapText="1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left" vertical="center"/>
      <protection hidden="1"/>
    </xf>
    <xf numFmtId="0" fontId="6" fillId="0" borderId="10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/>
    </xf>
    <xf numFmtId="164" fontId="26" fillId="0" borderId="5" xfId="0" applyNumberFormat="1" applyFont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25" fillId="6" borderId="10" xfId="0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 wrapText="1"/>
    </xf>
    <xf numFmtId="164" fontId="27" fillId="0" borderId="4" xfId="0" applyNumberFormat="1" applyFont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left" vertical="center" wrapText="1"/>
    </xf>
    <xf numFmtId="164" fontId="24" fillId="3" borderId="4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 shrinkToFit="1"/>
    </xf>
    <xf numFmtId="0" fontId="24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166" fontId="6" fillId="3" borderId="5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 shrinkToFit="1"/>
    </xf>
    <xf numFmtId="0" fontId="6" fillId="3" borderId="4" xfId="0" applyFont="1" applyFill="1" applyBorder="1" applyAlignment="1">
      <alignment horizontal="left" vertical="center" wrapText="1" shrinkToFit="1"/>
    </xf>
    <xf numFmtId="0" fontId="25" fillId="7" borderId="10" xfId="0" applyFont="1" applyFill="1" applyBorder="1" applyAlignment="1">
      <alignment vertical="center"/>
    </xf>
    <xf numFmtId="49" fontId="28" fillId="7" borderId="11" xfId="0" applyNumberFormat="1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left" vertical="center"/>
    </xf>
    <xf numFmtId="0" fontId="28" fillId="7" borderId="11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vertical="center"/>
    </xf>
    <xf numFmtId="164" fontId="6" fillId="7" borderId="11" xfId="0" applyNumberFormat="1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left" vertical="center"/>
    </xf>
    <xf numFmtId="0" fontId="28" fillId="7" borderId="12" xfId="0" applyFont="1" applyFill="1" applyBorder="1" applyAlignment="1">
      <alignment horizontal="left" vertical="center" wrapText="1"/>
    </xf>
    <xf numFmtId="0" fontId="25" fillId="7" borderId="21" xfId="0" applyFont="1" applyFill="1" applyBorder="1" applyAlignment="1">
      <alignment vertical="center"/>
    </xf>
    <xf numFmtId="49" fontId="28" fillId="7" borderId="22" xfId="0" applyNumberFormat="1" applyFont="1" applyFill="1" applyBorder="1" applyAlignment="1">
      <alignment horizontal="center" vertical="center"/>
    </xf>
    <xf numFmtId="0" fontId="29" fillId="7" borderId="22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vertical="center"/>
    </xf>
    <xf numFmtId="164" fontId="6" fillId="7" borderId="22" xfId="0" applyNumberFormat="1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1057275</xdr:rowOff>
    </xdr:from>
    <xdr:to>
      <xdr:col>1</xdr:col>
      <xdr:colOff>0</xdr:colOff>
      <xdr:row>0</xdr:row>
      <xdr:rowOff>4419600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48260</xdr:rowOff>
    </xdr:from>
    <xdr:to>
      <xdr:col>2</xdr:col>
      <xdr:colOff>878205</xdr:colOff>
      <xdr:row>0</xdr:row>
      <xdr:rowOff>580390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 view="pageBreakPreview">
      <selection activeCell="A1" sqref="A1"/>
    </sheetView>
  </sheetViews>
  <sheetFormatPr defaultRowHeight="17.6" outlineLevelRow="6" outlineLevelCol="3" x14ac:dyDescent="0" defaultColWidth="9" customHeight="1"/>
  <cols>
    <col min="1" max="1" width="112.625" style="1" customWidth="1"/>
    <col min="2" max="3" width="9" style="2" customWidth="1"/>
    <col min="4" max="4" width="17.9134615384615" style="2" customWidth="1"/>
  </cols>
  <sheetData>
    <row r="1" ht="408" customHeight="1" spans="1:4" x14ac:dyDescent="0.25">
      <c r="A1" s="3" t="s">
        <v>0</v>
      </c>
      <c r="B1" s="3"/>
      <c r="C1" s="3"/>
      <c r="D1" s="3"/>
    </row>
    <row r="2" ht="25" customHeight="1" spans="1:4" x14ac:dyDescent="0.25">
      <c r="A2" s="4" t="s">
        <v>1</v>
      </c>
      <c r="B2" s="4"/>
      <c r="C2" s="4"/>
      <c r="D2" s="4"/>
    </row>
    <row r="3" ht="10" customHeight="1" spans="1:4" x14ac:dyDescent="0.25">
      <c r="A3" s="5"/>
      <c r="B3" s="5"/>
      <c r="C3" s="5"/>
      <c r="D3" s="5"/>
    </row>
    <row r="4" ht="25" customHeight="1" spans="1:4" x14ac:dyDescent="0.25">
      <c r="A4" s="6" t="s">
        <v>2</v>
      </c>
      <c r="B4" s="6"/>
      <c r="C4" s="6"/>
      <c r="D4" s="6"/>
    </row>
    <row r="5" ht="10" customHeight="1" spans="1:4" x14ac:dyDescent="0.25">
      <c r="A5" s="5"/>
      <c r="B5" s="5"/>
      <c r="C5" s="5"/>
      <c r="D5" s="5"/>
    </row>
    <row r="6" ht="25" customHeight="1" spans="1:4" x14ac:dyDescent="0.25">
      <c r="A6" s="6" t="s">
        <v>3</v>
      </c>
      <c r="B6" s="6"/>
      <c r="C6" s="6"/>
      <c r="D6" s="6"/>
    </row>
    <row r="7" ht="15" customHeight="1" spans="1:4" x14ac:dyDescent="0.25">
      <c r="A7" s="5"/>
      <c r="B7" s="5"/>
      <c r="C7" s="5"/>
      <c r="D7" s="5"/>
    </row>
  </sheetData>
  <mergeCells count="7">
    <mergeCell ref="A1:D1"/>
    <mergeCell ref="A2:D2"/>
    <mergeCell ref="A3:D3"/>
    <mergeCell ref="A4:D4"/>
    <mergeCell ref="A5:D5"/>
    <mergeCell ref="A6:D6"/>
    <mergeCell ref="A7:D7"/>
  </mergeCells>
  <dataValidations count="28">
    <dataValidation sqref="A1"/>
    <dataValidation sqref="A2"/>
    <dataValidation sqref="A3"/>
    <dataValidation sqref="A4"/>
    <dataValidation sqref="A5"/>
    <dataValidation sqref="A6"/>
    <dataValidation sqref="A7"/>
    <dataValidation sqref="B1"/>
    <dataValidation sqref="B2"/>
    <dataValidation sqref="B3"/>
    <dataValidation sqref="B4"/>
    <dataValidation sqref="B5"/>
    <dataValidation sqref="B6"/>
    <dataValidation sqref="B7"/>
    <dataValidation sqref="C1"/>
    <dataValidation sqref="C2"/>
    <dataValidation sqref="C3"/>
    <dataValidation sqref="C4"/>
    <dataValidation sqref="C5"/>
    <dataValidation sqref="C6"/>
    <dataValidation sqref="C7"/>
    <dataValidation sqref="D1"/>
    <dataValidation sqref="D2"/>
    <dataValidation sqref="D3"/>
    <dataValidation sqref="D4"/>
    <dataValidation sqref="D5"/>
    <dataValidation sqref="D6"/>
    <dataValidation sqref="D7"/>
  </dataValidations>
  <printOptions horizontalCentered="1" verticalCentered="1"/>
  <pageMargins left="0.196527777777778" right="0.196527777777778" top="0.196527777777778" bottom="0.196527777777778" header="0.196527777777778" footer="1.02361111111111"/>
  <pageSetup paperSize="9" orientation="landscape" horizontalDpi="600" verticalDpi="4294967295" scale="99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3"/>
  <sheetViews>
    <sheetView workbookViewId="0" zoomScale="100" zoomScaleNormal="100" view="pageBreakPreview">
      <selection activeCell="F33" sqref="F33"/>
    </sheetView>
  </sheetViews>
  <sheetFormatPr defaultRowHeight="15.95" outlineLevelRow="0" outlineLevelCol="0" x14ac:dyDescent="0" defaultColWidth="9" customHeight="1"/>
  <cols>
    <col min="1" max="1" width="5.625" style="7" customWidth="1"/>
    <col min="2" max="2" width="5.625" style="8" customWidth="1"/>
    <col min="3" max="3" width="20.625" style="9" customWidth="1"/>
    <col min="4" max="4" width="20.7788461538462" style="9" customWidth="1"/>
    <col min="5" max="5" width="12.625" style="10" customWidth="1"/>
    <col min="6" max="6" width="12.625" style="11" customWidth="1"/>
    <col min="7" max="7" width="12.625" style="12" customWidth="1"/>
    <col min="8" max="8" width="12.625" style="11" customWidth="1"/>
    <col min="9" max="9" width="55.625" style="13" customWidth="1"/>
  </cols>
  <sheetData>
    <row r="1" ht="50" customHeight="1" spans="1:9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ht="30" customHeight="1" spans="1:9" x14ac:dyDescent="0.25">
      <c r="A2" s="15" t="s">
        <v>5</v>
      </c>
      <c r="B2" s="15"/>
      <c r="C2" s="16"/>
      <c r="D2" s="16"/>
      <c r="E2" s="17" t="s">
        <v>6</v>
      </c>
      <c r="F2" s="17"/>
      <c r="G2" s="17">
        <v>130</v>
      </c>
      <c r="H2" s="17" t="s">
        <v>7</v>
      </c>
      <c r="I2" s="18"/>
    </row>
    <row r="3" ht="15" customHeight="1" spans="1:9" x14ac:dyDescent="0.25">
      <c r="A3" s="15" t="s">
        <v>8</v>
      </c>
      <c r="B3" s="15"/>
      <c r="C3" s="19" t="s">
        <v>9</v>
      </c>
      <c r="D3" s="19"/>
      <c r="E3" s="20" t="s">
        <v>10</v>
      </c>
      <c r="F3" s="20" t="s">
        <v>11</v>
      </c>
      <c r="G3" s="21" t="s">
        <v>12</v>
      </c>
      <c r="H3" s="21"/>
      <c r="I3" s="22" t="s">
        <v>13</v>
      </c>
    </row>
    <row r="4" ht="15" customHeight="1" spans="1:9" x14ac:dyDescent="0.25">
      <c r="A4" s="15"/>
      <c r="B4" s="15"/>
      <c r="C4" s="19"/>
      <c r="D4" s="19"/>
      <c r="E4" s="20"/>
      <c r="F4" s="20"/>
      <c r="G4" s="23" t="s">
        <v>14</v>
      </c>
      <c r="H4" s="23" t="s">
        <v>15</v>
      </c>
      <c r="I4" s="22"/>
    </row>
    <row r="5" ht="25" customHeight="1" spans="1:9" x14ac:dyDescent="0.25">
      <c r="A5" s="24" t="s">
        <v>16</v>
      </c>
      <c r="B5" s="24"/>
      <c r="C5" s="24"/>
      <c r="D5" s="25" t="s">
        <v>17</v>
      </c>
      <c r="E5" s="25"/>
      <c r="F5" s="25" t="s">
        <v>18</v>
      </c>
      <c r="G5" s="25"/>
      <c r="H5" s="25" t="s">
        <v>19</v>
      </c>
      <c r="I5" s="26">
        <v>2.91</v>
      </c>
    </row>
    <row r="6" ht="31" customHeight="1" spans="1:9" x14ac:dyDescent="0.25">
      <c r="A6" s="27">
        <v>1</v>
      </c>
      <c r="B6" s="27"/>
      <c r="C6" s="28" t="s">
        <v>20</v>
      </c>
      <c r="D6" s="28"/>
      <c r="E6" s="29" t="s">
        <v>21</v>
      </c>
      <c r="F6" s="30">
        <v>0</v>
      </c>
      <c r="G6" s="31">
        <v>8</v>
      </c>
      <c r="H6" s="32">
        <f t="shared" ref="H6:H23" si="0">F6*G6</f>
      </c>
      <c r="I6" s="33" t="s">
        <v>22</v>
      </c>
    </row>
    <row r="7" ht="46" customHeight="1" spans="1:9" x14ac:dyDescent="0.25">
      <c r="A7" s="27">
        <v>2</v>
      </c>
      <c r="B7" s="27"/>
      <c r="C7" s="28" t="s">
        <v>23</v>
      </c>
      <c r="D7" s="28"/>
      <c r="E7" s="29" t="s">
        <v>21</v>
      </c>
      <c r="F7" s="32">
        <v>0</v>
      </c>
      <c r="G7" s="31">
        <v>62</v>
      </c>
      <c r="H7" s="32">
        <f t="shared" si="0"/>
      </c>
      <c r="I7" s="33" t="s">
        <v>24</v>
      </c>
    </row>
    <row r="8" ht="46" customHeight="1" spans="1:9" x14ac:dyDescent="0.25">
      <c r="A8" s="27">
        <v>3</v>
      </c>
      <c r="B8" s="27"/>
      <c r="C8" s="28" t="s">
        <v>25</v>
      </c>
      <c r="D8" s="28"/>
      <c r="E8" s="29" t="s">
        <v>21</v>
      </c>
      <c r="F8" s="32">
        <v>0</v>
      </c>
      <c r="G8" s="31">
        <v>72</v>
      </c>
      <c r="H8" s="32">
        <f t="shared" si="0"/>
      </c>
      <c r="I8" s="33" t="s">
        <v>24</v>
      </c>
    </row>
    <row r="9" ht="46" customHeight="1" spans="1:9" x14ac:dyDescent="0.25">
      <c r="A9" s="27">
        <v>4</v>
      </c>
      <c r="B9" s="27"/>
      <c r="C9" s="28" t="s">
        <v>26</v>
      </c>
      <c r="D9" s="28"/>
      <c r="E9" s="34" t="s">
        <v>27</v>
      </c>
      <c r="F9" s="32">
        <v>0</v>
      </c>
      <c r="G9" s="31">
        <v>1000</v>
      </c>
      <c r="H9" s="32">
        <f t="shared" si="0"/>
      </c>
      <c r="I9" s="33" t="s">
        <v>24</v>
      </c>
    </row>
    <row r="10" ht="46" customHeight="1" spans="1:9" x14ac:dyDescent="0.25">
      <c r="A10" s="27">
        <v>5</v>
      </c>
      <c r="B10" s="27"/>
      <c r="C10" s="28" t="s">
        <v>28</v>
      </c>
      <c r="D10" s="28"/>
      <c r="E10" s="34" t="s">
        <v>29</v>
      </c>
      <c r="F10" s="32">
        <v>0</v>
      </c>
      <c r="G10" s="31">
        <v>500</v>
      </c>
      <c r="H10" s="32">
        <f t="shared" si="0"/>
      </c>
      <c r="I10" s="33" t="s">
        <v>24</v>
      </c>
    </row>
    <row r="11" ht="46" customHeight="1" spans="1:9" x14ac:dyDescent="0.25">
      <c r="A11" s="27">
        <v>6</v>
      </c>
      <c r="B11" s="27"/>
      <c r="C11" s="28" t="s">
        <v>30</v>
      </c>
      <c r="D11" s="28"/>
      <c r="E11" s="29" t="s">
        <v>31</v>
      </c>
      <c r="F11" s="30">
        <v>0</v>
      </c>
      <c r="G11" s="31">
        <v>260</v>
      </c>
      <c r="H11" s="32">
        <f t="shared" si="0"/>
      </c>
      <c r="I11" s="33" t="s">
        <v>32</v>
      </c>
    </row>
    <row r="12" ht="76" customHeight="1" spans="1:9" x14ac:dyDescent="0.25">
      <c r="A12" s="27">
        <v>7</v>
      </c>
      <c r="B12" s="27"/>
      <c r="C12" s="28" t="s">
        <v>33</v>
      </c>
      <c r="D12" s="28"/>
      <c r="E12" s="29" t="s">
        <v>21</v>
      </c>
      <c r="F12" s="32">
        <v>0</v>
      </c>
      <c r="G12" s="31">
        <v>118</v>
      </c>
      <c r="H12" s="32">
        <f t="shared" si="0"/>
      </c>
      <c r="I12" s="33" t="s">
        <v>34</v>
      </c>
    </row>
    <row r="13" ht="25" customHeight="1" spans="1:9" x14ac:dyDescent="0.25">
      <c r="A13" s="27">
        <v>8</v>
      </c>
      <c r="B13" s="27"/>
      <c r="C13" s="28" t="s">
        <v>35</v>
      </c>
      <c r="D13" s="28"/>
      <c r="E13" s="29" t="s">
        <v>21</v>
      </c>
      <c r="F13" s="32">
        <v>0</v>
      </c>
      <c r="G13" s="31">
        <v>50</v>
      </c>
      <c r="H13" s="32">
        <f t="shared" si="0"/>
      </c>
      <c r="I13" s="33" t="s">
        <v>36</v>
      </c>
    </row>
    <row r="14" ht="25" customHeight="1" spans="1:9" x14ac:dyDescent="0.25">
      <c r="A14" s="27">
        <v>9</v>
      </c>
      <c r="B14" s="27"/>
      <c r="C14" s="28" t="s">
        <v>37</v>
      </c>
      <c r="D14" s="28"/>
      <c r="E14" s="29" t="s">
        <v>31</v>
      </c>
      <c r="F14" s="30">
        <f>0.41+0.66+0.98+0.94+0.5+0.36</f>
        <v>3.85</v>
      </c>
      <c r="G14" s="30">
        <v>50</v>
      </c>
      <c r="H14" s="32">
        <f t="shared" si="0"/>
        <v>192.5</v>
      </c>
      <c r="I14" s="33" t="s">
        <v>38</v>
      </c>
    </row>
    <row r="15" ht="46" customHeight="1" spans="1:9" x14ac:dyDescent="0.25">
      <c r="A15" s="27">
        <v>10</v>
      </c>
      <c r="B15" s="27"/>
      <c r="C15" s="28" t="s">
        <v>39</v>
      </c>
      <c r="D15" s="28"/>
      <c r="E15" s="29" t="s">
        <v>31</v>
      </c>
      <c r="F15" s="30">
        <v>0</v>
      </c>
      <c r="G15" s="30">
        <v>220</v>
      </c>
      <c r="H15" s="32">
        <f t="shared" si="0"/>
      </c>
      <c r="I15" s="33" t="s">
        <v>40</v>
      </c>
    </row>
    <row r="16" ht="46" customHeight="1" spans="1:9" x14ac:dyDescent="0.25">
      <c r="A16" s="27">
        <v>11</v>
      </c>
      <c r="B16" s="27"/>
      <c r="C16" s="28" t="s">
        <v>41</v>
      </c>
      <c r="D16" s="28"/>
      <c r="E16" s="29" t="s">
        <v>21</v>
      </c>
      <c r="F16" s="30">
        <v>0</v>
      </c>
      <c r="G16" s="30">
        <v>258</v>
      </c>
      <c r="H16" s="32">
        <f t="shared" si="0"/>
      </c>
      <c r="I16" s="33" t="s">
        <v>42</v>
      </c>
    </row>
    <row r="17" ht="46" customHeight="1" spans="1:9" x14ac:dyDescent="0.25">
      <c r="A17" s="27">
        <v>12</v>
      </c>
      <c r="B17" s="27"/>
      <c r="C17" s="28" t="s">
        <v>43</v>
      </c>
      <c r="D17" s="28"/>
      <c r="E17" s="29" t="s">
        <v>21</v>
      </c>
      <c r="F17" s="30">
        <v>0</v>
      </c>
      <c r="G17" s="30">
        <v>208</v>
      </c>
      <c r="H17" s="32">
        <f t="shared" si="0"/>
      </c>
      <c r="I17" s="33" t="s">
        <v>44</v>
      </c>
    </row>
    <row r="18" ht="46" customHeight="1" spans="1:9" x14ac:dyDescent="0.25">
      <c r="A18" s="27">
        <v>13</v>
      </c>
      <c r="B18" s="27"/>
      <c r="C18" s="28" t="s">
        <v>45</v>
      </c>
      <c r="D18" s="28"/>
      <c r="E18" s="29" t="s">
        <v>21</v>
      </c>
      <c r="F18" s="30">
        <v>0</v>
      </c>
      <c r="G18" s="30">
        <v>328</v>
      </c>
      <c r="H18" s="32">
        <f t="shared" si="0"/>
      </c>
      <c r="I18" s="33" t="s">
        <v>46</v>
      </c>
    </row>
    <row r="19" ht="61" customHeight="1" spans="1:9" x14ac:dyDescent="0.25">
      <c r="A19" s="27">
        <v>14</v>
      </c>
      <c r="B19" s="27"/>
      <c r="C19" s="28" t="s">
        <v>47</v>
      </c>
      <c r="D19" s="28"/>
      <c r="E19" s="29" t="s">
        <v>21</v>
      </c>
      <c r="F19" s="30">
        <f>(0.41+0.66+0.92+0.9+0.36+3.1+1.28+1.51+1.58+1.06+0.38+0.33+0.35+1.88+0.56+0.84+0.38+1.44+0.56+1.58)*I5</f>
        <v>58.4328</v>
      </c>
      <c r="G19" s="30">
        <v>188</v>
      </c>
      <c r="H19" s="32">
        <f t="shared" si="0"/>
        <v>10985.3664</v>
      </c>
      <c r="I19" s="33" t="s">
        <v>48</v>
      </c>
    </row>
    <row r="20" ht="61" customHeight="1" spans="1:9" x14ac:dyDescent="0.25">
      <c r="A20" s="27">
        <v>15</v>
      </c>
      <c r="B20" s="27"/>
      <c r="C20" s="28" t="s">
        <v>49</v>
      </c>
      <c r="D20" s="28"/>
      <c r="E20" s="29" t="s">
        <v>21</v>
      </c>
      <c r="F20" s="30">
        <f>(0.22)*I5</f>
        <v>0.6402</v>
      </c>
      <c r="G20" s="30">
        <v>288</v>
      </c>
      <c r="H20" s="32">
        <f t="shared" si="0"/>
        <v>184.3776</v>
      </c>
      <c r="I20" s="33" t="s">
        <v>50</v>
      </c>
    </row>
    <row r="21" ht="30" customHeight="1" spans="1:9" x14ac:dyDescent="0.25">
      <c r="A21" s="27">
        <v>16</v>
      </c>
      <c r="B21" s="27"/>
      <c r="C21" s="28" t="s">
        <v>51</v>
      </c>
      <c r="D21" s="28"/>
      <c r="E21" s="34" t="s">
        <v>52</v>
      </c>
      <c r="F21" s="30">
        <v>1</v>
      </c>
      <c r="G21" s="30">
        <v>400</v>
      </c>
      <c r="H21" s="32">
        <f t="shared" si="0"/>
        <v>400</v>
      </c>
      <c r="I21" s="33" t="s">
        <v>53</v>
      </c>
    </row>
    <row r="22" ht="76" customHeight="1" spans="1:9" x14ac:dyDescent="0.25">
      <c r="A22" s="27">
        <v>17</v>
      </c>
      <c r="B22" s="27"/>
      <c r="C22" s="28" t="s">
        <v>54</v>
      </c>
      <c r="D22" s="28"/>
      <c r="E22" s="29" t="s">
        <v>21</v>
      </c>
      <c r="F22" s="30">
        <f>(0.33+0.21+0.26+0.66)*2.41</f>
        <v>3.5186</v>
      </c>
      <c r="G22" s="30">
        <v>138</v>
      </c>
      <c r="H22" s="32">
        <f t="shared" si="0"/>
        <v>485.5668</v>
      </c>
      <c r="I22" s="33" t="s">
        <v>55</v>
      </c>
    </row>
    <row r="23" ht="137" customHeight="1" spans="1:9" x14ac:dyDescent="0.25">
      <c r="A23" s="27">
        <v>18</v>
      </c>
      <c r="B23" s="27"/>
      <c r="C23" s="28" t="s">
        <v>56</v>
      </c>
      <c r="D23" s="28"/>
      <c r="E23" s="29" t="s">
        <v>21</v>
      </c>
      <c r="F23" s="30">
        <f>SUM(F22)</f>
        <v>3.5186</v>
      </c>
      <c r="G23" s="30">
        <v>30</v>
      </c>
      <c r="H23" s="32">
        <f t="shared" ref="H23:H32" si="1">F23*G23</f>
        <v>105.558</v>
      </c>
      <c r="I23" s="33" t="s">
        <v>57</v>
      </c>
    </row>
    <row r="24" ht="25" customHeight="1" spans="1:9" x14ac:dyDescent="0.25">
      <c r="A24" s="27">
        <v>20</v>
      </c>
      <c r="B24" s="27"/>
      <c r="C24" s="28" t="s">
        <v>58</v>
      </c>
      <c r="D24" s="28"/>
      <c r="E24" s="35" t="s">
        <v>52</v>
      </c>
      <c r="F24" s="30">
        <v>5</v>
      </c>
      <c r="G24" s="30">
        <v>100</v>
      </c>
      <c r="H24" s="32">
        <f t="shared" si="1"/>
        <v>500</v>
      </c>
      <c r="I24" s="33" t="s">
        <v>59</v>
      </c>
    </row>
    <row r="25" ht="25" customHeight="1" spans="1:9" x14ac:dyDescent="0.25">
      <c r="A25" s="36" t="s">
        <v>60</v>
      </c>
      <c r="B25" s="36"/>
      <c r="C25" s="36"/>
      <c r="D25" s="36"/>
      <c r="E25" s="36"/>
      <c r="F25" s="36"/>
      <c r="G25" s="36"/>
      <c r="H25" s="37">
        <f>SUM(H6:H24)</f>
        <v>12853.3688</v>
      </c>
      <c r="I25" s="38"/>
    </row>
    <row r="26" ht="25" customHeight="1" spans="1:9" x14ac:dyDescent="0.25">
      <c r="A26" s="39" t="s">
        <v>61</v>
      </c>
      <c r="B26" s="39"/>
      <c r="C26" s="39"/>
      <c r="D26" s="40" t="s">
        <v>17</v>
      </c>
      <c r="E26" s="40">
        <v>50</v>
      </c>
      <c r="F26" s="40" t="s">
        <v>18</v>
      </c>
      <c r="G26" s="40">
        <v>40</v>
      </c>
      <c r="H26" s="40" t="s">
        <v>19</v>
      </c>
      <c r="I26" s="41">
        <v>2.8</v>
      </c>
    </row>
    <row r="27" ht="25" customHeight="1" spans="1:9" x14ac:dyDescent="0.25">
      <c r="A27" s="42"/>
      <c r="B27" s="42"/>
      <c r="C27" s="43" t="s">
        <v>62</v>
      </c>
      <c r="D27" s="43"/>
      <c r="E27" s="44" t="s">
        <v>31</v>
      </c>
      <c r="F27" s="45"/>
      <c r="G27" s="45">
        <v>120</v>
      </c>
      <c r="H27" s="45">
        <f t="shared" si="1"/>
      </c>
      <c r="I27" s="46" t="s">
        <v>63</v>
      </c>
    </row>
    <row r="28" ht="46" customHeight="1" spans="1:9" x14ac:dyDescent="0.25">
      <c r="A28" s="42"/>
      <c r="B28" s="42"/>
      <c r="C28" s="43" t="s">
        <v>64</v>
      </c>
      <c r="D28" s="43"/>
      <c r="E28" s="44" t="s">
        <v>31</v>
      </c>
      <c r="F28" s="45"/>
      <c r="G28" s="45">
        <v>100</v>
      </c>
      <c r="H28" s="45">
        <f t="shared" si="1"/>
      </c>
      <c r="I28" s="46" t="s">
        <v>65</v>
      </c>
    </row>
    <row r="29" ht="34.4" customHeight="1" spans="1:9" x14ac:dyDescent="0.25">
      <c r="A29" s="47"/>
      <c r="B29" s="48"/>
      <c r="C29" s="43" t="s">
        <v>66</v>
      </c>
      <c r="D29" s="43"/>
      <c r="E29" s="44" t="s">
        <v>21</v>
      </c>
      <c r="F29" s="45">
        <f>SUM(E26)</f>
        <v>50</v>
      </c>
      <c r="G29" s="45">
        <v>12</v>
      </c>
      <c r="H29" s="45">
        <f t="shared" si="1"/>
        <v>600</v>
      </c>
      <c r="I29" s="46" t="s">
        <v>67</v>
      </c>
    </row>
    <row r="30" ht="76" customHeight="1" spans="1:9" x14ac:dyDescent="0.25">
      <c r="A30" s="47" t="s">
        <v>68</v>
      </c>
      <c r="B30" s="47"/>
      <c r="C30" s="43" t="s">
        <v>69</v>
      </c>
      <c r="D30" s="43"/>
      <c r="E30" s="44" t="s">
        <v>21</v>
      </c>
      <c r="F30" s="45"/>
      <c r="G30" s="45">
        <v>65</v>
      </c>
      <c r="H30" s="45">
        <f t="shared" si="1"/>
      </c>
      <c r="I30" s="46" t="s">
        <v>70</v>
      </c>
    </row>
    <row r="31" ht="76" customHeight="1" spans="1:9" x14ac:dyDescent="0.25">
      <c r="A31" s="47"/>
      <c r="B31" s="47"/>
      <c r="C31" s="43" t="s">
        <v>71</v>
      </c>
      <c r="D31" s="43"/>
      <c r="E31" s="44" t="s">
        <v>21</v>
      </c>
      <c r="F31" s="45"/>
      <c r="G31" s="45">
        <v>65</v>
      </c>
      <c r="H31" s="45">
        <f t="shared" si="1"/>
      </c>
      <c r="I31" s="46" t="s">
        <v>72</v>
      </c>
    </row>
    <row r="32" ht="31" customHeight="1" spans="1:9" x14ac:dyDescent="0.25">
      <c r="A32" s="49" t="s">
        <v>73</v>
      </c>
      <c r="B32" s="49"/>
      <c r="C32" s="50" t="s">
        <v>74</v>
      </c>
      <c r="D32" s="50"/>
      <c r="E32" s="51" t="s">
        <v>75</v>
      </c>
      <c r="F32" s="52">
        <v>0</v>
      </c>
      <c r="G32" s="52">
        <v>150</v>
      </c>
      <c r="H32" s="52">
        <f t="shared" si="1"/>
      </c>
      <c r="I32" s="53" t="s">
        <v>76</v>
      </c>
    </row>
    <row r="33" ht="31" customHeight="1" spans="1:9" x14ac:dyDescent="0.25">
      <c r="A33" s="49"/>
      <c r="B33" s="49"/>
      <c r="C33" s="50" t="s">
        <v>77</v>
      </c>
      <c r="D33" s="50"/>
      <c r="E33" s="51" t="s">
        <v>75</v>
      </c>
      <c r="F33" s="52">
        <f>E26</f>
        <v>50</v>
      </c>
      <c r="G33" s="52">
        <v>160</v>
      </c>
      <c r="H33" s="52">
        <f t="shared" ref="H33:H35" si="2">F33*G33</f>
        <v>8000</v>
      </c>
      <c r="I33" s="53" t="s">
        <v>76</v>
      </c>
    </row>
    <row r="34" ht="31" customHeight="1" spans="1:9" x14ac:dyDescent="0.25">
      <c r="A34" s="49"/>
      <c r="B34" s="49"/>
      <c r="C34" s="54" t="s">
        <v>78</v>
      </c>
      <c r="D34" s="54"/>
      <c r="E34" s="51" t="s">
        <v>75</v>
      </c>
      <c r="F34" s="52">
        <v>0</v>
      </c>
      <c r="G34" s="52">
        <v>170</v>
      </c>
      <c r="H34" s="52">
        <f t="shared" si="2"/>
      </c>
      <c r="I34" s="53" t="s">
        <v>76</v>
      </c>
    </row>
    <row r="35" ht="31" customHeight="1" spans="1:9" x14ac:dyDescent="0.25">
      <c r="A35" s="49"/>
      <c r="B35" s="49"/>
      <c r="C35" s="54" t="s">
        <v>79</v>
      </c>
      <c r="D35" s="54"/>
      <c r="E35" s="51" t="s">
        <v>75</v>
      </c>
      <c r="F35" s="52">
        <v>0</v>
      </c>
      <c r="G35" s="52">
        <v>200</v>
      </c>
      <c r="H35" s="52">
        <f t="shared" si="2"/>
      </c>
      <c r="I35" s="53" t="s">
        <v>76</v>
      </c>
    </row>
    <row r="36" ht="31" customHeight="1" spans="1:9" x14ac:dyDescent="0.25">
      <c r="A36" s="49"/>
      <c r="B36" s="49"/>
      <c r="C36" s="54" t="s">
        <v>80</v>
      </c>
      <c r="D36" s="54"/>
      <c r="E36" s="51" t="s">
        <v>75</v>
      </c>
      <c r="F36" s="52">
        <v>0</v>
      </c>
      <c r="G36" s="52">
        <v>200</v>
      </c>
      <c r="H36" s="52">
        <f t="shared" ref="H36:H42" si="3">F36*G36</f>
      </c>
      <c r="I36" s="53" t="s">
        <v>81</v>
      </c>
    </row>
    <row r="37" ht="31" customHeight="1" spans="1:9" x14ac:dyDescent="0.25">
      <c r="A37" s="49"/>
      <c r="B37" s="49"/>
      <c r="C37" s="50" t="s">
        <v>82</v>
      </c>
      <c r="D37" s="50"/>
      <c r="E37" s="51" t="s">
        <v>75</v>
      </c>
      <c r="F37" s="52">
        <v>0</v>
      </c>
      <c r="G37" s="52">
        <v>160</v>
      </c>
      <c r="H37" s="52">
        <f t="shared" si="3"/>
      </c>
      <c r="I37" s="53" t="s">
        <v>81</v>
      </c>
    </row>
    <row r="38" ht="31" customHeight="1" spans="1:9" x14ac:dyDescent="0.25">
      <c r="A38" s="49"/>
      <c r="B38" s="49"/>
      <c r="C38" s="54" t="s">
        <v>83</v>
      </c>
      <c r="D38" s="54"/>
      <c r="E38" s="51" t="s">
        <v>75</v>
      </c>
      <c r="F38" s="52">
        <v>0</v>
      </c>
      <c r="G38" s="52">
        <v>170</v>
      </c>
      <c r="H38" s="52">
        <f t="shared" si="3"/>
      </c>
      <c r="I38" s="53" t="s">
        <v>81</v>
      </c>
    </row>
    <row r="39" ht="31" customHeight="1" spans="1:9" x14ac:dyDescent="0.25">
      <c r="A39" s="49"/>
      <c r="B39" s="49"/>
      <c r="C39" s="54" t="s">
        <v>84</v>
      </c>
      <c r="D39" s="54"/>
      <c r="E39" s="51" t="s">
        <v>75</v>
      </c>
      <c r="F39" s="52">
        <v>0</v>
      </c>
      <c r="G39" s="52">
        <v>180</v>
      </c>
      <c r="H39" s="52">
        <f t="shared" si="3"/>
      </c>
      <c r="I39" s="53" t="s">
        <v>81</v>
      </c>
    </row>
    <row r="40" ht="31" customHeight="1" spans="1:9" x14ac:dyDescent="0.25">
      <c r="A40" s="49"/>
      <c r="B40" s="49"/>
      <c r="C40" s="54" t="s">
        <v>85</v>
      </c>
      <c r="D40" s="54"/>
      <c r="E40" s="51" t="s">
        <v>75</v>
      </c>
      <c r="F40" s="52">
        <v>0</v>
      </c>
      <c r="G40" s="52">
        <v>220</v>
      </c>
      <c r="H40" s="52">
        <f t="shared" si="3"/>
      </c>
      <c r="I40" s="53" t="s">
        <v>81</v>
      </c>
    </row>
    <row r="41" ht="17.6" customHeight="1" spans="1:9" x14ac:dyDescent="0.25">
      <c r="A41" s="49"/>
      <c r="B41" s="49"/>
      <c r="C41" s="54" t="s">
        <v>86</v>
      </c>
      <c r="D41" s="54"/>
      <c r="E41" s="51" t="s">
        <v>75</v>
      </c>
      <c r="F41" s="52"/>
      <c r="G41" s="52">
        <v>20</v>
      </c>
      <c r="H41" s="52">
        <f t="shared" si="3"/>
      </c>
      <c r="I41" s="55" t="s">
        <v>87</v>
      </c>
    </row>
    <row r="42" ht="31" customHeight="1" spans="1:9" x14ac:dyDescent="0.25">
      <c r="A42" s="56" t="s">
        <v>88</v>
      </c>
      <c r="B42" s="56"/>
      <c r="C42" s="57" t="s">
        <v>89</v>
      </c>
      <c r="D42" s="57"/>
      <c r="E42" s="58" t="s">
        <v>75</v>
      </c>
      <c r="F42" s="59">
        <v>0</v>
      </c>
      <c r="G42" s="59">
        <v>58</v>
      </c>
      <c r="H42" s="59">
        <f t="shared" si="3"/>
      </c>
      <c r="I42" s="60" t="s">
        <v>87</v>
      </c>
    </row>
    <row r="43" ht="31" customHeight="1" spans="1:9" x14ac:dyDescent="0.25">
      <c r="A43" s="56"/>
      <c r="B43" s="56"/>
      <c r="C43" s="57" t="s">
        <v>90</v>
      </c>
      <c r="D43" s="57"/>
      <c r="E43" s="58" t="s">
        <v>75</v>
      </c>
      <c r="F43" s="59">
        <v>0</v>
      </c>
      <c r="G43" s="59">
        <v>78</v>
      </c>
      <c r="H43" s="59">
        <f t="shared" ref="H43:H64" si="4">F43*G43</f>
      </c>
      <c r="I43" s="60" t="s">
        <v>91</v>
      </c>
    </row>
    <row r="44" ht="25" customHeight="1" spans="1:9" x14ac:dyDescent="0.25">
      <c r="A44" s="56"/>
      <c r="B44" s="56"/>
      <c r="C44" s="57" t="s">
        <v>92</v>
      </c>
      <c r="D44" s="57"/>
      <c r="E44" s="58" t="s">
        <v>75</v>
      </c>
      <c r="F44" s="59">
        <v>0</v>
      </c>
      <c r="G44" s="59">
        <v>98</v>
      </c>
      <c r="H44" s="59">
        <f t="shared" si="4"/>
      </c>
      <c r="I44" s="60" t="s">
        <v>93</v>
      </c>
    </row>
    <row r="45" ht="46" customHeight="1" spans="1:9" x14ac:dyDescent="0.25">
      <c r="A45" s="61" t="s">
        <v>94</v>
      </c>
      <c r="B45" s="61"/>
      <c r="C45" s="43" t="s">
        <v>95</v>
      </c>
      <c r="D45" s="43"/>
      <c r="E45" s="44" t="s">
        <v>21</v>
      </c>
      <c r="F45" s="45">
        <f>E26-11.6</f>
        <v>38.4</v>
      </c>
      <c r="G45" s="45">
        <v>168</v>
      </c>
      <c r="H45" s="45">
        <f t="shared" si="4"/>
        <v>6451.2</v>
      </c>
      <c r="I45" s="46" t="s">
        <v>96</v>
      </c>
    </row>
    <row r="46" ht="17.6" customHeight="1" spans="1:9" x14ac:dyDescent="0.25">
      <c r="A46" s="61"/>
      <c r="B46" s="61"/>
      <c r="C46" s="62" t="s">
        <v>97</v>
      </c>
      <c r="D46" s="62"/>
      <c r="E46" s="44" t="s">
        <v>31</v>
      </c>
      <c r="F46" s="45">
        <v>0</v>
      </c>
      <c r="G46" s="45">
        <v>168</v>
      </c>
      <c r="H46" s="45">
        <f t="shared" si="4"/>
      </c>
      <c r="I46" s="46" t="s">
        <v>98</v>
      </c>
    </row>
    <row r="47" ht="46" customHeight="1" spans="1:9" x14ac:dyDescent="0.25">
      <c r="A47" s="61"/>
      <c r="B47" s="61"/>
      <c r="C47" s="62" t="s">
        <v>99</v>
      </c>
      <c r="D47" s="62"/>
      <c r="E47" s="44" t="s">
        <v>21</v>
      </c>
      <c r="F47" s="45">
        <v>0</v>
      </c>
      <c r="G47" s="45">
        <v>240</v>
      </c>
      <c r="H47" s="45">
        <f t="shared" si="4"/>
      </c>
      <c r="I47" s="46" t="s">
        <v>100</v>
      </c>
    </row>
    <row r="48" ht="17.6" customHeight="1" spans="1:9" x14ac:dyDescent="0.25">
      <c r="A48" s="61"/>
      <c r="B48" s="61"/>
      <c r="C48" s="63" t="s">
        <v>101</v>
      </c>
      <c r="D48" s="63"/>
      <c r="E48" s="64" t="s">
        <v>102</v>
      </c>
      <c r="F48" s="65"/>
      <c r="G48" s="65">
        <v>188</v>
      </c>
      <c r="H48" s="65">
        <f t="shared" si="4"/>
      </c>
      <c r="I48" s="66" t="s">
        <v>103</v>
      </c>
    </row>
    <row r="49" ht="46" customHeight="1" spans="1:9" x14ac:dyDescent="0.25">
      <c r="A49" s="61"/>
      <c r="B49" s="61"/>
      <c r="C49" s="63" t="s">
        <v>104</v>
      </c>
      <c r="D49" s="63"/>
      <c r="E49" s="64" t="s">
        <v>102</v>
      </c>
      <c r="F49" s="65"/>
      <c r="G49" s="65">
        <v>238</v>
      </c>
      <c r="H49" s="65">
        <f t="shared" si="4"/>
      </c>
      <c r="I49" s="66" t="s">
        <v>105</v>
      </c>
    </row>
    <row r="50" ht="46" customHeight="1" spans="1:9" x14ac:dyDescent="0.25">
      <c r="A50" s="61"/>
      <c r="B50" s="61"/>
      <c r="C50" s="43" t="s">
        <v>106</v>
      </c>
      <c r="D50" s="43"/>
      <c r="E50" s="44" t="s">
        <v>21</v>
      </c>
      <c r="F50" s="45">
        <v>0</v>
      </c>
      <c r="G50" s="45">
        <v>188</v>
      </c>
      <c r="H50" s="45">
        <f t="shared" si="4"/>
      </c>
      <c r="I50" s="46" t="s">
        <v>96</v>
      </c>
    </row>
    <row r="51" ht="46" customHeight="1" spans="1:9" x14ac:dyDescent="0.25">
      <c r="A51" s="61"/>
      <c r="B51" s="61"/>
      <c r="C51" s="43" t="s">
        <v>107</v>
      </c>
      <c r="D51" s="43"/>
      <c r="E51" s="44" t="s">
        <v>21</v>
      </c>
      <c r="F51" s="45">
        <v>0</v>
      </c>
      <c r="G51" s="45">
        <v>198</v>
      </c>
      <c r="H51" s="45">
        <f t="shared" si="4"/>
      </c>
      <c r="I51" s="46" t="s">
        <v>96</v>
      </c>
    </row>
    <row r="52" ht="46" customHeight="1" spans="1:9" x14ac:dyDescent="0.25">
      <c r="A52" s="61"/>
      <c r="B52" s="61"/>
      <c r="C52" s="43" t="s">
        <v>108</v>
      </c>
      <c r="D52" s="43"/>
      <c r="E52" s="44" t="s">
        <v>21</v>
      </c>
      <c r="F52" s="45">
        <f>0.9*7.71+1.57*3.21+0.13*11.1</f>
        <v>13.4217</v>
      </c>
      <c r="G52" s="45">
        <v>258</v>
      </c>
      <c r="H52" s="45">
        <f t="shared" si="4"/>
        <v>3462.7986</v>
      </c>
      <c r="I52" s="46" t="s">
        <v>109</v>
      </c>
    </row>
    <row r="53" ht="61" customHeight="1" spans="1:9" x14ac:dyDescent="0.25">
      <c r="A53" s="61"/>
      <c r="B53" s="61"/>
      <c r="C53" s="43" t="s">
        <v>110</v>
      </c>
      <c r="D53" s="43"/>
      <c r="E53" s="44" t="s">
        <v>31</v>
      </c>
      <c r="F53" s="45">
        <v>0</v>
      </c>
      <c r="G53" s="45">
        <v>208</v>
      </c>
      <c r="H53" s="45">
        <f t="shared" si="4"/>
      </c>
      <c r="I53" s="46" t="s">
        <v>111</v>
      </c>
    </row>
    <row r="54" ht="25" customHeight="1" spans="1:9" x14ac:dyDescent="0.25">
      <c r="A54" s="61"/>
      <c r="B54" s="61"/>
      <c r="C54" s="43" t="s">
        <v>112</v>
      </c>
      <c r="D54" s="43"/>
      <c r="E54" s="44" t="s">
        <v>31</v>
      </c>
      <c r="F54" s="45">
        <f>9.8+6.9</f>
        <v>16.7</v>
      </c>
      <c r="G54" s="45">
        <v>80</v>
      </c>
      <c r="H54" s="45">
        <f t="shared" si="4"/>
        <v>1336</v>
      </c>
      <c r="I54" s="46" t="s">
        <v>113</v>
      </c>
    </row>
    <row r="55" ht="25" customHeight="1" spans="1:9" x14ac:dyDescent="0.25">
      <c r="A55" s="61"/>
      <c r="B55" s="61"/>
      <c r="C55" s="43" t="s">
        <v>114</v>
      </c>
      <c r="D55" s="43"/>
      <c r="E55" s="44" t="s">
        <v>31</v>
      </c>
      <c r="F55" s="45">
        <v>0</v>
      </c>
      <c r="G55" s="45">
        <v>100</v>
      </c>
      <c r="H55" s="45">
        <f t="shared" si="4"/>
      </c>
      <c r="I55" s="46" t="s">
        <v>113</v>
      </c>
    </row>
    <row r="56" ht="25" customHeight="1" spans="1:9" x14ac:dyDescent="0.25">
      <c r="A56" s="61"/>
      <c r="B56" s="61"/>
      <c r="C56" s="43" t="s">
        <v>115</v>
      </c>
      <c r="D56" s="43"/>
      <c r="E56" s="44" t="s">
        <v>31</v>
      </c>
      <c r="F56" s="45">
        <v>0</v>
      </c>
      <c r="G56" s="45">
        <v>40</v>
      </c>
      <c r="H56" s="45">
        <f t="shared" si="4"/>
      </c>
      <c r="I56" s="46"/>
    </row>
    <row r="57" ht="25" customHeight="1" spans="1:9" x14ac:dyDescent="0.25">
      <c r="A57" s="61"/>
      <c r="B57" s="61"/>
      <c r="C57" s="43" t="s">
        <v>116</v>
      </c>
      <c r="D57" s="43"/>
      <c r="E57" s="44" t="s">
        <v>31</v>
      </c>
      <c r="F57" s="45">
        <f>13+1.89+11</f>
        <v>25.89</v>
      </c>
      <c r="G57" s="45">
        <v>50</v>
      </c>
      <c r="H57" s="45">
        <f t="shared" si="4"/>
        <v>1294.5</v>
      </c>
      <c r="I57" s="46" t="s">
        <v>117</v>
      </c>
    </row>
    <row r="58" ht="25" customHeight="1" spans="1:9" x14ac:dyDescent="0.25">
      <c r="A58" s="61"/>
      <c r="B58" s="61"/>
      <c r="C58" s="43" t="s">
        <v>118</v>
      </c>
      <c r="D58" s="43"/>
      <c r="E58" s="44" t="s">
        <v>31</v>
      </c>
      <c r="F58" s="45">
        <f>7.7</f>
        <v>7.7</v>
      </c>
      <c r="G58" s="45">
        <v>60</v>
      </c>
      <c r="H58" s="45">
        <f t="shared" si="4"/>
        <v>462</v>
      </c>
      <c r="I58" s="46" t="s">
        <v>119</v>
      </c>
    </row>
    <row r="59" ht="25" customHeight="1" spans="1:9" x14ac:dyDescent="0.25">
      <c r="A59" s="61"/>
      <c r="B59" s="61"/>
      <c r="C59" s="43" t="s">
        <v>120</v>
      </c>
      <c r="D59" s="43"/>
      <c r="E59" s="44" t="s">
        <v>31</v>
      </c>
      <c r="F59" s="45">
        <v>6</v>
      </c>
      <c r="G59" s="45">
        <v>200</v>
      </c>
      <c r="H59" s="45">
        <f t="shared" si="4"/>
        <v>1200</v>
      </c>
      <c r="I59" s="46" t="s">
        <v>121</v>
      </c>
    </row>
    <row r="60" ht="46" customHeight="1" spans="1:9" x14ac:dyDescent="0.25">
      <c r="A60" s="61"/>
      <c r="B60" s="61"/>
      <c r="C60" s="62" t="s">
        <v>122</v>
      </c>
      <c r="D60" s="62"/>
      <c r="E60" s="44" t="s">
        <v>31</v>
      </c>
      <c r="F60" s="45">
        <v>6.1</v>
      </c>
      <c r="G60" s="45">
        <v>208</v>
      </c>
      <c r="H60" s="45">
        <f t="shared" si="4"/>
        <v>1268.8</v>
      </c>
      <c r="I60" s="46" t="s">
        <v>123</v>
      </c>
    </row>
    <row r="61" ht="42" customHeight="1" spans="1:9" x14ac:dyDescent="0.25">
      <c r="A61" s="61"/>
      <c r="B61" s="61"/>
      <c r="C61" s="62" t="s">
        <v>124</v>
      </c>
      <c r="D61" s="62"/>
      <c r="E61" s="67" t="s">
        <v>52</v>
      </c>
      <c r="F61" s="45">
        <v>4</v>
      </c>
      <c r="G61" s="45">
        <v>600</v>
      </c>
      <c r="H61" s="45">
        <f t="shared" si="4"/>
        <v>2400</v>
      </c>
      <c r="I61" s="46" t="s">
        <v>125</v>
      </c>
    </row>
    <row r="62" ht="25" customHeight="1" spans="1:9" x14ac:dyDescent="0.25">
      <c r="A62" s="61"/>
      <c r="B62" s="61"/>
      <c r="C62" s="43" t="s">
        <v>126</v>
      </c>
      <c r="D62" s="43"/>
      <c r="E62" s="44" t="s">
        <v>31</v>
      </c>
      <c r="F62" s="45">
        <v>0</v>
      </c>
      <c r="G62" s="45">
        <v>60</v>
      </c>
      <c r="H62" s="45">
        <f t="shared" si="4"/>
      </c>
      <c r="I62" s="46" t="s">
        <v>119</v>
      </c>
    </row>
    <row r="63" ht="42" customHeight="1" spans="1:9" x14ac:dyDescent="0.25">
      <c r="A63" s="61"/>
      <c r="B63" s="61"/>
      <c r="C63" s="62" t="s">
        <v>99</v>
      </c>
      <c r="D63" s="62"/>
      <c r="E63" s="44" t="s">
        <v>21</v>
      </c>
      <c r="F63" s="45">
        <v>0</v>
      </c>
      <c r="G63" s="45">
        <v>240</v>
      </c>
      <c r="H63" s="45">
        <f t="shared" si="4"/>
      </c>
      <c r="I63" s="46" t="s">
        <v>127</v>
      </c>
    </row>
    <row r="64" ht="61" customHeight="1" spans="1:9" x14ac:dyDescent="0.25">
      <c r="A64" s="61"/>
      <c r="B64" s="61"/>
      <c r="C64" s="43" t="s">
        <v>128</v>
      </c>
      <c r="D64" s="43"/>
      <c r="E64" s="44" t="s">
        <v>21</v>
      </c>
      <c r="F64" s="45">
        <v>0</v>
      </c>
      <c r="G64" s="45">
        <v>208</v>
      </c>
      <c r="H64" s="45">
        <f t="shared" si="4"/>
      </c>
      <c r="I64" s="46" t="s">
        <v>129</v>
      </c>
    </row>
    <row r="65" ht="76" customHeight="1" spans="1:9" x14ac:dyDescent="0.25">
      <c r="A65" s="68" t="s">
        <v>130</v>
      </c>
      <c r="B65" s="68"/>
      <c r="C65" s="43" t="s">
        <v>131</v>
      </c>
      <c r="D65" s="43"/>
      <c r="E65" s="44" t="s">
        <v>21</v>
      </c>
      <c r="F65" s="45">
        <f>SUM(E26)</f>
        <v>50</v>
      </c>
      <c r="G65" s="45">
        <v>47</v>
      </c>
      <c r="H65" s="45">
        <f t="shared" ref="H65:H71" si="5">F65*G65</f>
        <v>2350</v>
      </c>
      <c r="I65" s="46" t="s">
        <v>132</v>
      </c>
    </row>
    <row r="66" ht="31" customHeight="1" spans="1:9" x14ac:dyDescent="0.25">
      <c r="A66" s="68"/>
      <c r="B66" s="68"/>
      <c r="C66" s="43" t="s">
        <v>133</v>
      </c>
      <c r="D66" s="43"/>
      <c r="E66" s="44" t="s">
        <v>21</v>
      </c>
      <c r="F66" s="45">
        <f>F65</f>
        <v>50</v>
      </c>
      <c r="G66" s="45">
        <v>18</v>
      </c>
      <c r="H66" s="45">
        <f t="shared" si="5"/>
        <v>900</v>
      </c>
      <c r="I66" s="69" t="s">
        <v>134</v>
      </c>
    </row>
    <row r="67" ht="76" customHeight="1" spans="1:9" x14ac:dyDescent="0.25">
      <c r="A67" s="68"/>
      <c r="B67" s="68"/>
      <c r="C67" s="70" t="s">
        <v>135</v>
      </c>
      <c r="D67" s="70"/>
      <c r="E67" s="44" t="s">
        <v>21</v>
      </c>
      <c r="F67" s="45">
        <f>SUM(G26*I26)</f>
        <v>112</v>
      </c>
      <c r="G67" s="45">
        <v>47</v>
      </c>
      <c r="H67" s="45">
        <f t="shared" si="5"/>
        <v>5264</v>
      </c>
      <c r="I67" s="46" t="s">
        <v>136</v>
      </c>
    </row>
    <row r="68" ht="25" customHeight="1" spans="1:9" x14ac:dyDescent="0.25">
      <c r="A68" s="68"/>
      <c r="B68" s="68"/>
      <c r="C68" s="70" t="s">
        <v>137</v>
      </c>
      <c r="D68" s="70"/>
      <c r="E68" s="44" t="s">
        <v>21</v>
      </c>
      <c r="F68" s="45">
        <f>SUM(F67:F67)</f>
        <v>112</v>
      </c>
      <c r="G68" s="45">
        <v>18</v>
      </c>
      <c r="H68" s="45">
        <f t="shared" si="5"/>
        <v>2016</v>
      </c>
      <c r="I68" s="69" t="s">
        <v>134</v>
      </c>
    </row>
    <row r="69" ht="31" customHeight="1" spans="1:9" x14ac:dyDescent="0.25">
      <c r="A69" s="56" t="s">
        <v>138</v>
      </c>
      <c r="B69" s="56"/>
      <c r="C69" s="43" t="s">
        <v>139</v>
      </c>
      <c r="D69" s="43"/>
      <c r="E69" s="71" t="s">
        <v>29</v>
      </c>
      <c r="F69" s="45">
        <v>0</v>
      </c>
      <c r="G69" s="45">
        <v>280</v>
      </c>
      <c r="H69" s="45">
        <f t="shared" si="5"/>
      </c>
      <c r="I69" s="46" t="s">
        <v>140</v>
      </c>
    </row>
    <row r="70" ht="31" customHeight="1" spans="1:9" x14ac:dyDescent="0.25">
      <c r="A70" s="56"/>
      <c r="B70" s="56"/>
      <c r="C70" s="43" t="s">
        <v>141</v>
      </c>
      <c r="D70" s="43"/>
      <c r="E70" s="71" t="s">
        <v>29</v>
      </c>
      <c r="F70" s="45">
        <v>0</v>
      </c>
      <c r="G70" s="45">
        <v>380</v>
      </c>
      <c r="H70" s="45">
        <f t="shared" si="5"/>
      </c>
      <c r="I70" s="46" t="s">
        <v>140</v>
      </c>
    </row>
    <row r="71" ht="31" customHeight="1" spans="1:9" x14ac:dyDescent="0.25">
      <c r="A71" s="56"/>
      <c r="B71" s="56"/>
      <c r="C71" s="43" t="s">
        <v>142</v>
      </c>
      <c r="D71" s="43"/>
      <c r="E71" s="71" t="s">
        <v>29</v>
      </c>
      <c r="F71" s="45">
        <v>0</v>
      </c>
      <c r="G71" s="45">
        <v>480</v>
      </c>
      <c r="H71" s="45">
        <f t="shared" si="5"/>
      </c>
      <c r="I71" s="46" t="s">
        <v>140</v>
      </c>
    </row>
    <row r="72" ht="25" customHeight="1" spans="1:9" x14ac:dyDescent="0.25">
      <c r="A72" s="72" t="s">
        <v>60</v>
      </c>
      <c r="B72" s="72"/>
      <c r="C72" s="72"/>
      <c r="D72" s="72"/>
      <c r="E72" s="72"/>
      <c r="F72" s="72"/>
      <c r="G72" s="72"/>
      <c r="H72" s="73">
        <f>SUM(H27:H71)</f>
        <v>37005.2986</v>
      </c>
      <c r="I72" s="74"/>
    </row>
    <row r="73" ht="25" customHeight="1" spans="1:9" x14ac:dyDescent="0.25">
      <c r="A73" s="39" t="s">
        <v>143</v>
      </c>
      <c r="B73" s="39"/>
      <c r="C73" s="39"/>
      <c r="D73" s="40" t="s">
        <v>17</v>
      </c>
      <c r="E73" s="40">
        <v>20</v>
      </c>
      <c r="F73" s="40" t="s">
        <v>18</v>
      </c>
      <c r="G73" s="40">
        <v>20</v>
      </c>
      <c r="H73" s="40" t="s">
        <v>19</v>
      </c>
      <c r="I73" s="41">
        <v>2.91</v>
      </c>
    </row>
    <row r="74" ht="46" customHeight="1" spans="1:9" x14ac:dyDescent="0.25">
      <c r="A74" s="42"/>
      <c r="B74" s="75"/>
      <c r="C74" s="43" t="s">
        <v>144</v>
      </c>
      <c r="D74" s="43"/>
      <c r="E74" s="44" t="s">
        <v>31</v>
      </c>
      <c r="F74" s="45">
        <v>3</v>
      </c>
      <c r="G74" s="45">
        <v>160</v>
      </c>
      <c r="H74" s="45">
        <f t="shared" ref="H74:H112" si="6">F74*G74</f>
        <v>480</v>
      </c>
      <c r="I74" s="46" t="s">
        <v>65</v>
      </c>
    </row>
    <row r="75" ht="17.6" customHeight="1" spans="1:9" x14ac:dyDescent="0.25">
      <c r="A75" s="42"/>
      <c r="B75" s="75"/>
      <c r="C75" s="43" t="s">
        <v>66</v>
      </c>
      <c r="D75" s="43"/>
      <c r="E75" s="44" t="s">
        <v>21</v>
      </c>
      <c r="F75" s="45" t="str">
        <f>E57</f>
        <v>M</v>
      </c>
      <c r="G75" s="45">
        <v>12</v>
      </c>
      <c r="H75" s="45" t="e">
        <f t="shared" si="6"/>
        <v>#VALUE!</v>
      </c>
      <c r="I75" s="46" t="s">
        <v>67</v>
      </c>
    </row>
    <row r="76" ht="31" customHeight="1" spans="1:9" x14ac:dyDescent="0.25">
      <c r="A76" s="49" t="s">
        <v>73</v>
      </c>
      <c r="B76" s="49"/>
      <c r="C76" s="43" t="s">
        <v>74</v>
      </c>
      <c r="D76" s="43"/>
      <c r="E76" s="44" t="s">
        <v>21</v>
      </c>
      <c r="F76" s="45">
        <v>0</v>
      </c>
      <c r="G76" s="45">
        <v>150</v>
      </c>
      <c r="H76" s="45">
        <f t="shared" si="6"/>
      </c>
      <c r="I76" s="46" t="s">
        <v>76</v>
      </c>
    </row>
    <row r="77" ht="31" customHeight="1" spans="1:9" x14ac:dyDescent="0.25">
      <c r="A77" s="49"/>
      <c r="B77" s="49"/>
      <c r="C77" s="43" t="s">
        <v>77</v>
      </c>
      <c r="D77" s="43"/>
      <c r="E77" s="44" t="s">
        <v>21</v>
      </c>
      <c r="F77" s="45">
        <f>SUM(E73)</f>
        <v>20</v>
      </c>
      <c r="G77" s="45">
        <v>160</v>
      </c>
      <c r="H77" s="45">
        <f t="shared" si="6"/>
        <v>3200</v>
      </c>
      <c r="I77" s="46" t="s">
        <v>76</v>
      </c>
    </row>
    <row r="78" ht="31" customHeight="1" spans="1:9" x14ac:dyDescent="0.25">
      <c r="A78" s="49"/>
      <c r="B78" s="49"/>
      <c r="C78" s="70" t="s">
        <v>78</v>
      </c>
      <c r="D78" s="70"/>
      <c r="E78" s="44" t="s">
        <v>21</v>
      </c>
      <c r="F78" s="45">
        <v>0</v>
      </c>
      <c r="G78" s="45">
        <v>170</v>
      </c>
      <c r="H78" s="45">
        <f t="shared" si="6"/>
      </c>
      <c r="I78" s="46" t="s">
        <v>76</v>
      </c>
    </row>
    <row r="79" ht="31" customHeight="1" spans="1:9" x14ac:dyDescent="0.25">
      <c r="A79" s="49"/>
      <c r="B79" s="49"/>
      <c r="C79" s="70" t="s">
        <v>79</v>
      </c>
      <c r="D79" s="70"/>
      <c r="E79" s="44" t="s">
        <v>21</v>
      </c>
      <c r="F79" s="45">
        <v>0</v>
      </c>
      <c r="G79" s="45">
        <v>200</v>
      </c>
      <c r="H79" s="45">
        <f t="shared" si="6"/>
      </c>
      <c r="I79" s="46" t="s">
        <v>76</v>
      </c>
    </row>
    <row r="80" ht="31" customHeight="1" spans="1:9" x14ac:dyDescent="0.25">
      <c r="A80" s="49"/>
      <c r="B80" s="49"/>
      <c r="C80" s="70" t="s">
        <v>80</v>
      </c>
      <c r="D80" s="70"/>
      <c r="E80" s="44" t="s">
        <v>21</v>
      </c>
      <c r="F80" s="45">
        <v>0</v>
      </c>
      <c r="G80" s="45">
        <v>200</v>
      </c>
      <c r="H80" s="45">
        <f t="shared" si="6"/>
      </c>
      <c r="I80" s="46" t="s">
        <v>81</v>
      </c>
    </row>
    <row r="81" ht="31" customHeight="1" spans="1:9" x14ac:dyDescent="0.25">
      <c r="A81" s="49"/>
      <c r="B81" s="49"/>
      <c r="C81" s="43" t="s">
        <v>82</v>
      </c>
      <c r="D81" s="43"/>
      <c r="E81" s="44" t="s">
        <v>21</v>
      </c>
      <c r="F81" s="45">
        <v>0</v>
      </c>
      <c r="G81" s="45">
        <v>160</v>
      </c>
      <c r="H81" s="45">
        <f t="shared" si="6"/>
      </c>
      <c r="I81" s="46" t="s">
        <v>81</v>
      </c>
    </row>
    <row r="82" ht="31" customHeight="1" spans="1:9" x14ac:dyDescent="0.25">
      <c r="A82" s="49"/>
      <c r="B82" s="49"/>
      <c r="C82" s="70" t="s">
        <v>83</v>
      </c>
      <c r="D82" s="70"/>
      <c r="E82" s="44" t="s">
        <v>21</v>
      </c>
      <c r="F82" s="45">
        <v>0</v>
      </c>
      <c r="G82" s="45">
        <v>170</v>
      </c>
      <c r="H82" s="45">
        <f t="shared" si="6"/>
      </c>
      <c r="I82" s="46" t="s">
        <v>81</v>
      </c>
    </row>
    <row r="83" ht="31" customHeight="1" spans="1:9" x14ac:dyDescent="0.25">
      <c r="A83" s="49"/>
      <c r="B83" s="49"/>
      <c r="C83" s="70" t="s">
        <v>84</v>
      </c>
      <c r="D83" s="70"/>
      <c r="E83" s="44" t="s">
        <v>21</v>
      </c>
      <c r="F83" s="45">
        <v>0</v>
      </c>
      <c r="G83" s="45">
        <v>180</v>
      </c>
      <c r="H83" s="45">
        <f t="shared" si="6"/>
      </c>
      <c r="I83" s="46" t="s">
        <v>81</v>
      </c>
    </row>
    <row r="84" ht="31" customHeight="1" spans="1:9" x14ac:dyDescent="0.25">
      <c r="A84" s="49"/>
      <c r="B84" s="49"/>
      <c r="C84" s="70" t="s">
        <v>85</v>
      </c>
      <c r="D84" s="70"/>
      <c r="E84" s="44" t="s">
        <v>21</v>
      </c>
      <c r="F84" s="45">
        <v>0</v>
      </c>
      <c r="G84" s="45">
        <v>220</v>
      </c>
      <c r="H84" s="45">
        <f t="shared" si="6"/>
      </c>
      <c r="I84" s="46" t="s">
        <v>81</v>
      </c>
    </row>
    <row r="85" ht="17.6" customHeight="1" spans="1:9" x14ac:dyDescent="0.25">
      <c r="A85" s="49"/>
      <c r="B85" s="49"/>
      <c r="C85" s="70" t="s">
        <v>86</v>
      </c>
      <c r="D85" s="70"/>
      <c r="E85" s="44" t="s">
        <v>21</v>
      </c>
      <c r="F85" s="45"/>
      <c r="G85" s="45">
        <v>20</v>
      </c>
      <c r="H85" s="45">
        <f t="shared" si="6"/>
      </c>
      <c r="I85" s="76" t="s">
        <v>87</v>
      </c>
    </row>
    <row r="86" ht="25" customHeight="1" spans="1:9" x14ac:dyDescent="0.25">
      <c r="A86" s="56" t="s">
        <v>88</v>
      </c>
      <c r="B86" s="56"/>
      <c r="C86" s="43" t="s">
        <v>89</v>
      </c>
      <c r="D86" s="43"/>
      <c r="E86" s="44" t="s">
        <v>21</v>
      </c>
      <c r="F86" s="45"/>
      <c r="G86" s="45">
        <v>58</v>
      </c>
      <c r="H86" s="45">
        <f t="shared" si="6"/>
      </c>
      <c r="I86" s="76" t="s">
        <v>87</v>
      </c>
    </row>
    <row r="87" ht="25" customHeight="1" spans="1:9" x14ac:dyDescent="0.25">
      <c r="A87" s="56"/>
      <c r="B87" s="56"/>
      <c r="C87" s="43" t="s">
        <v>90</v>
      </c>
      <c r="D87" s="43"/>
      <c r="E87" s="44" t="s">
        <v>21</v>
      </c>
      <c r="F87" s="45">
        <v>0</v>
      </c>
      <c r="G87" s="45">
        <v>78</v>
      </c>
      <c r="H87" s="45">
        <f t="shared" si="6"/>
      </c>
      <c r="I87" s="76" t="s">
        <v>91</v>
      </c>
    </row>
    <row r="88" ht="25" customHeight="1" spans="1:9" x14ac:dyDescent="0.25">
      <c r="A88" s="56"/>
      <c r="B88" s="56"/>
      <c r="C88" s="43" t="s">
        <v>92</v>
      </c>
      <c r="D88" s="43"/>
      <c r="E88" s="44" t="s">
        <v>21</v>
      </c>
      <c r="F88" s="45">
        <v>0</v>
      </c>
      <c r="G88" s="45">
        <v>98</v>
      </c>
      <c r="H88" s="45">
        <f t="shared" si="6"/>
      </c>
      <c r="I88" s="76" t="s">
        <v>93</v>
      </c>
    </row>
    <row r="89" ht="46" customHeight="1" spans="1:9" x14ac:dyDescent="0.25">
      <c r="A89" s="61" t="s">
        <v>94</v>
      </c>
      <c r="B89" s="61"/>
      <c r="C89" s="43" t="s">
        <v>95</v>
      </c>
      <c r="D89" s="43"/>
      <c r="E89" s="44" t="s">
        <v>21</v>
      </c>
      <c r="F89" s="45">
        <v>0</v>
      </c>
      <c r="G89" s="45">
        <v>168</v>
      </c>
      <c r="H89" s="45">
        <f t="shared" si="6"/>
      </c>
      <c r="I89" s="46" t="s">
        <v>96</v>
      </c>
    </row>
    <row r="90" ht="42" customHeight="1" spans="1:9" x14ac:dyDescent="0.25">
      <c r="A90" s="61"/>
      <c r="B90" s="61"/>
      <c r="C90" s="62" t="s">
        <v>97</v>
      </c>
      <c r="D90" s="62"/>
      <c r="E90" s="44" t="s">
        <v>31</v>
      </c>
      <c r="F90" s="45">
        <v>0</v>
      </c>
      <c r="G90" s="45">
        <v>168</v>
      </c>
      <c r="H90" s="45">
        <f t="shared" si="6"/>
      </c>
      <c r="I90" s="46" t="s">
        <v>98</v>
      </c>
    </row>
    <row r="91" ht="42" customHeight="1" spans="1:9" x14ac:dyDescent="0.25">
      <c r="A91" s="61"/>
      <c r="B91" s="61"/>
      <c r="C91" s="62" t="s">
        <v>99</v>
      </c>
      <c r="D91" s="62"/>
      <c r="E91" s="44" t="s">
        <v>21</v>
      </c>
      <c r="F91" s="45">
        <v>0</v>
      </c>
      <c r="G91" s="45">
        <v>240</v>
      </c>
      <c r="H91" s="45">
        <f t="shared" si="6"/>
      </c>
      <c r="I91" s="46" t="s">
        <v>100</v>
      </c>
    </row>
    <row r="92" ht="42" customHeight="1" spans="1:9" x14ac:dyDescent="0.25">
      <c r="A92" s="61"/>
      <c r="B92" s="61"/>
      <c r="C92" s="63" t="s">
        <v>101</v>
      </c>
      <c r="D92" s="63"/>
      <c r="E92" s="64" t="s">
        <v>102</v>
      </c>
      <c r="F92" s="65"/>
      <c r="G92" s="65">
        <v>188</v>
      </c>
      <c r="H92" s="65">
        <f t="shared" si="6"/>
      </c>
      <c r="I92" s="66" t="s">
        <v>103</v>
      </c>
    </row>
    <row r="93" ht="42" customHeight="1" spans="1:9" x14ac:dyDescent="0.25">
      <c r="A93" s="61"/>
      <c r="B93" s="61"/>
      <c r="C93" s="63" t="s">
        <v>104</v>
      </c>
      <c r="D93" s="63"/>
      <c r="E93" s="64" t="s">
        <v>102</v>
      </c>
      <c r="F93" s="65"/>
      <c r="G93" s="65">
        <v>238</v>
      </c>
      <c r="H93" s="65">
        <f t="shared" si="6"/>
      </c>
      <c r="I93" s="66" t="s">
        <v>105</v>
      </c>
    </row>
    <row r="94" ht="42" customHeight="1" spans="1:9" x14ac:dyDescent="0.25">
      <c r="A94" s="61"/>
      <c r="B94" s="61"/>
      <c r="C94" s="43" t="s">
        <v>106</v>
      </c>
      <c r="D94" s="43"/>
      <c r="E94" s="44" t="s">
        <v>21</v>
      </c>
      <c r="F94" s="45">
        <v>0</v>
      </c>
      <c r="G94" s="45">
        <v>188</v>
      </c>
      <c r="H94" s="45">
        <f t="shared" si="6"/>
      </c>
      <c r="I94" s="46" t="s">
        <v>96</v>
      </c>
    </row>
    <row r="95" ht="42" customHeight="1" spans="1:9" x14ac:dyDescent="0.25">
      <c r="A95" s="61"/>
      <c r="B95" s="61"/>
      <c r="C95" s="43" t="s">
        <v>107</v>
      </c>
      <c r="D95" s="43"/>
      <c r="E95" s="44" t="s">
        <v>21</v>
      </c>
      <c r="F95" s="45">
        <v>0</v>
      </c>
      <c r="G95" s="45">
        <v>198</v>
      </c>
      <c r="H95" s="45">
        <f t="shared" si="6"/>
      </c>
      <c r="I95" s="46" t="s">
        <v>96</v>
      </c>
    </row>
    <row r="96" ht="42" customHeight="1" spans="1:9" x14ac:dyDescent="0.25">
      <c r="A96" s="61"/>
      <c r="B96" s="61"/>
      <c r="C96" s="43" t="s">
        <v>108</v>
      </c>
      <c r="D96" s="43"/>
      <c r="E96" s="44" t="s">
        <v>21</v>
      </c>
      <c r="F96" s="45">
        <f>0.9*7.71+1.57*3.21+0.13*11.1</f>
        <v>13.4217</v>
      </c>
      <c r="G96" s="45">
        <v>258</v>
      </c>
      <c r="H96" s="45">
        <f t="shared" si="6"/>
        <v>3462.7986</v>
      </c>
      <c r="I96" s="46" t="s">
        <v>109</v>
      </c>
    </row>
    <row r="97" ht="42" customHeight="1" spans="1:9" x14ac:dyDescent="0.25">
      <c r="A97" s="61"/>
      <c r="B97" s="61"/>
      <c r="C97" s="43" t="s">
        <v>110</v>
      </c>
      <c r="D97" s="43"/>
      <c r="E97" s="44" t="s">
        <v>31</v>
      </c>
      <c r="F97" s="45">
        <v>0</v>
      </c>
      <c r="G97" s="45">
        <v>208</v>
      </c>
      <c r="H97" s="45">
        <f t="shared" si="6"/>
      </c>
      <c r="I97" s="46" t="s">
        <v>111</v>
      </c>
    </row>
    <row r="98" ht="42" customHeight="1" spans="1:9" x14ac:dyDescent="0.25">
      <c r="A98" s="61"/>
      <c r="B98" s="61"/>
      <c r="C98" s="43" t="s">
        <v>112</v>
      </c>
      <c r="D98" s="43"/>
      <c r="E98" s="44" t="s">
        <v>31</v>
      </c>
      <c r="F98" s="45">
        <f>9.8+6.9</f>
        <v>16.7</v>
      </c>
      <c r="G98" s="45">
        <v>80</v>
      </c>
      <c r="H98" s="45">
        <f t="shared" si="6"/>
        <v>1336</v>
      </c>
      <c r="I98" s="46" t="s">
        <v>113</v>
      </c>
    </row>
    <row r="99" ht="42" customHeight="1" spans="1:9" x14ac:dyDescent="0.25">
      <c r="A99" s="61"/>
      <c r="B99" s="61"/>
      <c r="C99" s="43" t="s">
        <v>114</v>
      </c>
      <c r="D99" s="43"/>
      <c r="E99" s="44" t="s">
        <v>31</v>
      </c>
      <c r="F99" s="45">
        <v>0</v>
      </c>
      <c r="G99" s="45">
        <v>100</v>
      </c>
      <c r="H99" s="45">
        <f t="shared" si="6"/>
      </c>
      <c r="I99" s="46" t="s">
        <v>113</v>
      </c>
    </row>
    <row r="100" ht="42" customHeight="1" spans="1:9" x14ac:dyDescent="0.25">
      <c r="A100" s="61"/>
      <c r="B100" s="61"/>
      <c r="C100" s="43" t="s">
        <v>115</v>
      </c>
      <c r="D100" s="43"/>
      <c r="E100" s="44" t="s">
        <v>31</v>
      </c>
      <c r="F100" s="45">
        <v>0</v>
      </c>
      <c r="G100" s="45">
        <v>40</v>
      </c>
      <c r="H100" s="45">
        <f t="shared" si="6"/>
      </c>
      <c r="I100" s="46"/>
    </row>
    <row r="101" ht="42" customHeight="1" spans="1:9" x14ac:dyDescent="0.25">
      <c r="A101" s="61"/>
      <c r="B101" s="61"/>
      <c r="C101" s="43" t="s">
        <v>116</v>
      </c>
      <c r="D101" s="43"/>
      <c r="E101" s="44" t="s">
        <v>31</v>
      </c>
      <c r="F101" s="45">
        <f>13+1.89+11</f>
        <v>25.89</v>
      </c>
      <c r="G101" s="45">
        <v>50</v>
      </c>
      <c r="H101" s="45">
        <f t="shared" si="6"/>
        <v>1294.5</v>
      </c>
      <c r="I101" s="46" t="s">
        <v>117</v>
      </c>
    </row>
    <row r="102" ht="17.6" customHeight="1" spans="1:9" x14ac:dyDescent="0.25">
      <c r="A102" s="61"/>
      <c r="B102" s="61"/>
      <c r="C102" s="43" t="s">
        <v>118</v>
      </c>
      <c r="D102" s="43"/>
      <c r="E102" s="44" t="s">
        <v>31</v>
      </c>
      <c r="F102" s="45">
        <f>7.7</f>
        <v>7.7</v>
      </c>
      <c r="G102" s="45">
        <v>60</v>
      </c>
      <c r="H102" s="45">
        <f t="shared" si="6"/>
        <v>462</v>
      </c>
      <c r="I102" s="46" t="s">
        <v>119</v>
      </c>
    </row>
    <row r="103" ht="17.6" customHeight="1" spans="1:9" x14ac:dyDescent="0.25">
      <c r="A103" s="61"/>
      <c r="B103" s="61"/>
      <c r="C103" s="43" t="s">
        <v>120</v>
      </c>
      <c r="D103" s="43"/>
      <c r="E103" s="44" t="s">
        <v>31</v>
      </c>
      <c r="F103" s="45">
        <v>6</v>
      </c>
      <c r="G103" s="45">
        <v>200</v>
      </c>
      <c r="H103" s="45">
        <f t="shared" si="6"/>
        <v>1200</v>
      </c>
      <c r="I103" s="46" t="s">
        <v>121</v>
      </c>
    </row>
    <row r="104" ht="25" customHeight="1" spans="1:9" x14ac:dyDescent="0.25">
      <c r="A104" s="61"/>
      <c r="B104" s="61"/>
      <c r="C104" s="62" t="s">
        <v>122</v>
      </c>
      <c r="D104" s="62"/>
      <c r="E104" s="44" t="s">
        <v>31</v>
      </c>
      <c r="F104" s="45">
        <v>6.1</v>
      </c>
      <c r="G104" s="45">
        <v>208</v>
      </c>
      <c r="H104" s="45">
        <f t="shared" si="6"/>
        <v>1268.8</v>
      </c>
      <c r="I104" s="46" t="s">
        <v>123</v>
      </c>
    </row>
    <row r="105" ht="25" customHeight="1" spans="1:9" x14ac:dyDescent="0.25">
      <c r="A105" s="61"/>
      <c r="B105" s="61"/>
      <c r="C105" s="62" t="s">
        <v>124</v>
      </c>
      <c r="D105" s="62"/>
      <c r="E105" s="67" t="s">
        <v>52</v>
      </c>
      <c r="F105" s="45">
        <v>4</v>
      </c>
      <c r="G105" s="45">
        <v>600</v>
      </c>
      <c r="H105" s="45">
        <f t="shared" si="6"/>
        <v>2400</v>
      </c>
      <c r="I105" s="46" t="s">
        <v>125</v>
      </c>
    </row>
    <row r="106" ht="25" customHeight="1" spans="1:9" x14ac:dyDescent="0.25">
      <c r="A106" s="61"/>
      <c r="B106" s="61"/>
      <c r="C106" s="43" t="s">
        <v>126</v>
      </c>
      <c r="D106" s="43"/>
      <c r="E106" s="44" t="s">
        <v>31</v>
      </c>
      <c r="F106" s="45">
        <v>0</v>
      </c>
      <c r="G106" s="45">
        <v>60</v>
      </c>
      <c r="H106" s="45">
        <f t="shared" si="6"/>
      </c>
      <c r="I106" s="46" t="s">
        <v>119</v>
      </c>
    </row>
    <row r="107" ht="25" customHeight="1" spans="1:9" x14ac:dyDescent="0.25">
      <c r="A107" s="61"/>
      <c r="B107" s="61"/>
      <c r="C107" s="62" t="s">
        <v>99</v>
      </c>
      <c r="D107" s="62"/>
      <c r="E107" s="44" t="s">
        <v>21</v>
      </c>
      <c r="F107" s="45">
        <v>0</v>
      </c>
      <c r="G107" s="45">
        <v>240</v>
      </c>
      <c r="H107" s="45">
        <f t="shared" si="6"/>
      </c>
      <c r="I107" s="46" t="s">
        <v>127</v>
      </c>
    </row>
    <row r="108" ht="25" customHeight="1" spans="1:9" x14ac:dyDescent="0.25">
      <c r="A108" s="61"/>
      <c r="B108" s="61"/>
      <c r="C108" s="43" t="s">
        <v>128</v>
      </c>
      <c r="D108" s="43"/>
      <c r="E108" s="44" t="s">
        <v>21</v>
      </c>
      <c r="F108" s="45">
        <v>0</v>
      </c>
      <c r="G108" s="45">
        <v>208</v>
      </c>
      <c r="H108" s="45">
        <f t="shared" si="6"/>
      </c>
      <c r="I108" s="46" t="s">
        <v>129</v>
      </c>
    </row>
    <row r="109" ht="76" customHeight="1" spans="1:9" x14ac:dyDescent="0.25">
      <c r="A109" s="68" t="s">
        <v>130</v>
      </c>
      <c r="B109" s="68"/>
      <c r="C109" s="43" t="s">
        <v>131</v>
      </c>
      <c r="D109" s="43"/>
      <c r="E109" s="44" t="s">
        <v>21</v>
      </c>
      <c r="F109" s="45">
        <f>SUM(E73)</f>
        <v>20</v>
      </c>
      <c r="G109" s="45">
        <v>47</v>
      </c>
      <c r="H109" s="45">
        <f t="shared" si="6"/>
        <v>940</v>
      </c>
      <c r="I109" s="46" t="s">
        <v>132</v>
      </c>
    </row>
    <row r="110" ht="31" customHeight="1" spans="1:9" x14ac:dyDescent="0.25">
      <c r="A110" s="68"/>
      <c r="B110" s="68"/>
      <c r="C110" s="43" t="s">
        <v>133</v>
      </c>
      <c r="D110" s="43"/>
      <c r="E110" s="44" t="s">
        <v>21</v>
      </c>
      <c r="F110" s="45">
        <f>SUM(F109:F109)</f>
        <v>20</v>
      </c>
      <c r="G110" s="45">
        <v>18</v>
      </c>
      <c r="H110" s="45">
        <f t="shared" si="6"/>
        <v>360</v>
      </c>
      <c r="I110" s="69" t="s">
        <v>134</v>
      </c>
    </row>
    <row r="111" ht="76" customHeight="1" spans="1:9" x14ac:dyDescent="0.25">
      <c r="A111" s="68"/>
      <c r="B111" s="68"/>
      <c r="C111" s="70" t="s">
        <v>135</v>
      </c>
      <c r="D111" s="70"/>
      <c r="E111" s="44" t="s">
        <v>21</v>
      </c>
      <c r="F111" s="45">
        <f>SUM(G73*I73)</f>
        <v>58.2</v>
      </c>
      <c r="G111" s="45">
        <v>47</v>
      </c>
      <c r="H111" s="45">
        <f t="shared" si="6"/>
        <v>2735.4</v>
      </c>
      <c r="I111" s="46" t="s">
        <v>136</v>
      </c>
    </row>
    <row r="112" ht="25" customHeight="1" spans="1:9" x14ac:dyDescent="0.25">
      <c r="A112" s="68"/>
      <c r="B112" s="68"/>
      <c r="C112" s="70" t="s">
        <v>137</v>
      </c>
      <c r="D112" s="70"/>
      <c r="E112" s="44" t="s">
        <v>21</v>
      </c>
      <c r="F112" s="45">
        <f>SUM(F111:F111)</f>
        <v>58.2</v>
      </c>
      <c r="G112" s="45">
        <v>18</v>
      </c>
      <c r="H112" s="45">
        <f t="shared" si="6"/>
        <v>1047.6</v>
      </c>
      <c r="I112" s="69" t="s">
        <v>134</v>
      </c>
    </row>
    <row r="113" ht="25" customHeight="1" spans="1:9" x14ac:dyDescent="0.25">
      <c r="A113" s="72" t="s">
        <v>60</v>
      </c>
      <c r="B113" s="72"/>
      <c r="C113" s="72"/>
      <c r="D113" s="72"/>
      <c r="E113" s="72"/>
      <c r="F113" s="72"/>
      <c r="G113" s="72"/>
      <c r="H113" s="73" t="e">
        <f>SUM(H74:H112)</f>
        <v>#VALUE!</v>
      </c>
      <c r="I113" s="74"/>
    </row>
    <row r="114" ht="25" customHeight="1" spans="1:9" x14ac:dyDescent="0.25">
      <c r="A114" s="77" t="s">
        <v>145</v>
      </c>
      <c r="B114" s="77"/>
      <c r="C114" s="77"/>
      <c r="D114" s="78" t="s">
        <v>17</v>
      </c>
      <c r="E114" s="78">
        <v>12.7</v>
      </c>
      <c r="F114" s="78" t="s">
        <v>18</v>
      </c>
      <c r="G114" s="78">
        <v>14.5</v>
      </c>
      <c r="H114" s="78" t="s">
        <v>19</v>
      </c>
      <c r="I114" s="79">
        <f>I5</f>
        <v>2.91</v>
      </c>
    </row>
    <row r="115" ht="46" customHeight="1" spans="1:9" x14ac:dyDescent="0.25">
      <c r="A115" s="80">
        <v>1</v>
      </c>
      <c r="B115" s="80"/>
      <c r="C115" s="81" t="s">
        <v>64</v>
      </c>
      <c r="D115" s="81"/>
      <c r="E115" s="29" t="s">
        <v>31</v>
      </c>
      <c r="F115" s="30">
        <v>1.76</v>
      </c>
      <c r="G115" s="30">
        <v>100</v>
      </c>
      <c r="H115" s="30">
        <f t="shared" ref="H115:H120" si="7">F115*G115</f>
        <v>176</v>
      </c>
      <c r="I115" s="82" t="s">
        <v>65</v>
      </c>
    </row>
    <row r="116" ht="46" customHeight="1" spans="1:9" x14ac:dyDescent="0.25">
      <c r="A116" s="80">
        <v>2</v>
      </c>
      <c r="B116" s="80"/>
      <c r="C116" s="81" t="s">
        <v>146</v>
      </c>
      <c r="D116" s="81"/>
      <c r="E116" s="29" t="s">
        <v>31</v>
      </c>
      <c r="F116" s="30">
        <v>0</v>
      </c>
      <c r="G116" s="30">
        <v>160</v>
      </c>
      <c r="H116" s="30">
        <f t="shared" si="7"/>
      </c>
      <c r="I116" s="82" t="s">
        <v>147</v>
      </c>
    </row>
    <row r="117" ht="25" customHeight="1" spans="1:9" x14ac:dyDescent="0.25">
      <c r="A117" s="80">
        <v>3</v>
      </c>
      <c r="B117" s="80"/>
      <c r="C117" s="83" t="s">
        <v>148</v>
      </c>
      <c r="D117" s="83"/>
      <c r="E117" s="29" t="s">
        <v>21</v>
      </c>
      <c r="F117" s="30">
        <v>0</v>
      </c>
      <c r="G117" s="30">
        <v>208</v>
      </c>
      <c r="H117" s="30">
        <f t="shared" si="7"/>
      </c>
      <c r="I117" s="82" t="s">
        <v>149</v>
      </c>
    </row>
    <row r="118" ht="25" customHeight="1" spans="1:9" x14ac:dyDescent="0.25">
      <c r="A118" s="80">
        <v>4</v>
      </c>
      <c r="B118" s="80"/>
      <c r="C118" s="81" t="s">
        <v>150</v>
      </c>
      <c r="D118" s="81"/>
      <c r="E118" s="29" t="s">
        <v>21</v>
      </c>
      <c r="F118" s="30">
        <v>0</v>
      </c>
      <c r="G118" s="30">
        <v>78</v>
      </c>
      <c r="H118" s="30">
        <f t="shared" si="7"/>
      </c>
      <c r="I118" s="84" t="s">
        <v>151</v>
      </c>
    </row>
    <row r="119" ht="31" customHeight="1" spans="1:9" x14ac:dyDescent="0.25">
      <c r="A119" s="80">
        <v>5</v>
      </c>
      <c r="B119" s="80"/>
      <c r="C119" s="81" t="s">
        <v>89</v>
      </c>
      <c r="D119" s="81"/>
      <c r="E119" s="29" t="s">
        <v>21</v>
      </c>
      <c r="F119" s="30">
        <f>E114</f>
        <v>12.7</v>
      </c>
      <c r="G119" s="30">
        <v>58</v>
      </c>
      <c r="H119" s="30">
        <f t="shared" si="7"/>
        <v>736.6</v>
      </c>
      <c r="I119" s="84" t="s">
        <v>152</v>
      </c>
    </row>
    <row r="120" ht="25" customHeight="1" spans="1:9" x14ac:dyDescent="0.25">
      <c r="A120" s="80">
        <v>6</v>
      </c>
      <c r="B120" s="80"/>
      <c r="C120" s="81" t="s">
        <v>153</v>
      </c>
      <c r="D120" s="81"/>
      <c r="E120" s="29" t="s">
        <v>21</v>
      </c>
      <c r="F120" s="30">
        <v>0</v>
      </c>
      <c r="G120" s="30">
        <v>98</v>
      </c>
      <c r="H120" s="30">
        <f t="shared" si="7"/>
      </c>
      <c r="I120" s="84" t="s">
        <v>153</v>
      </c>
    </row>
    <row r="121" ht="25" customHeight="1" spans="1:9" x14ac:dyDescent="0.25">
      <c r="A121" s="80">
        <v>7</v>
      </c>
      <c r="B121" s="80"/>
      <c r="C121" s="81" t="s">
        <v>74</v>
      </c>
      <c r="D121" s="81"/>
      <c r="E121" s="29" t="s">
        <v>21</v>
      </c>
      <c r="F121" s="30">
        <v>0</v>
      </c>
      <c r="G121" s="30">
        <v>150</v>
      </c>
      <c r="H121" s="30">
        <f t="shared" ref="H121:H124" si="8">F121*G121</f>
      </c>
      <c r="I121" s="82" t="s">
        <v>154</v>
      </c>
    </row>
    <row r="122" ht="25" customHeight="1" spans="1:9" x14ac:dyDescent="0.25">
      <c r="A122" s="80">
        <v>8</v>
      </c>
      <c r="B122" s="80"/>
      <c r="C122" s="81" t="s">
        <v>77</v>
      </c>
      <c r="D122" s="81"/>
      <c r="E122" s="29" t="s">
        <v>21</v>
      </c>
      <c r="F122" s="30">
        <f>E114</f>
        <v>12.7</v>
      </c>
      <c r="G122" s="30">
        <v>160</v>
      </c>
      <c r="H122" s="30">
        <f t="shared" si="8"/>
        <v>2032</v>
      </c>
      <c r="I122" s="82" t="s">
        <v>154</v>
      </c>
    </row>
    <row r="123" ht="25" customHeight="1" spans="1:9" x14ac:dyDescent="0.25">
      <c r="A123" s="80">
        <v>9</v>
      </c>
      <c r="B123" s="80"/>
      <c r="C123" s="85" t="s">
        <v>155</v>
      </c>
      <c r="D123" s="85"/>
      <c r="E123" s="29" t="s">
        <v>21</v>
      </c>
      <c r="F123" s="30">
        <v>0</v>
      </c>
      <c r="G123" s="30">
        <v>170</v>
      </c>
      <c r="H123" s="30">
        <f t="shared" si="8"/>
      </c>
      <c r="I123" s="82" t="s">
        <v>154</v>
      </c>
    </row>
    <row r="124" ht="25" customHeight="1" spans="1:9" x14ac:dyDescent="0.25">
      <c r="A124" s="80">
        <v>10</v>
      </c>
      <c r="B124" s="80"/>
      <c r="C124" s="85" t="s">
        <v>79</v>
      </c>
      <c r="D124" s="85"/>
      <c r="E124" s="29" t="s">
        <v>21</v>
      </c>
      <c r="F124" s="30">
        <v>0</v>
      </c>
      <c r="G124" s="30">
        <v>200</v>
      </c>
      <c r="H124" s="30">
        <f t="shared" si="8"/>
      </c>
      <c r="I124" s="82" t="s">
        <v>76</v>
      </c>
    </row>
    <row r="125" ht="25" customHeight="1" spans="1:9" x14ac:dyDescent="0.25">
      <c r="A125" s="80">
        <v>11</v>
      </c>
      <c r="B125" s="80"/>
      <c r="C125" s="81" t="s">
        <v>66</v>
      </c>
      <c r="D125" s="81"/>
      <c r="E125" s="29" t="s">
        <v>21</v>
      </c>
      <c r="F125" s="30">
        <f>E114</f>
        <v>12.7</v>
      </c>
      <c r="G125" s="30">
        <v>12</v>
      </c>
      <c r="H125" s="30">
        <f t="shared" ref="H125:H129" si="9">F125*G125</f>
        <v>152.4</v>
      </c>
      <c r="I125" s="33" t="s">
        <v>67</v>
      </c>
    </row>
    <row r="126" ht="46" customHeight="1" spans="1:9" x14ac:dyDescent="0.25">
      <c r="A126" s="80">
        <v>12</v>
      </c>
      <c r="B126" s="80"/>
      <c r="C126" s="28" t="s">
        <v>95</v>
      </c>
      <c r="D126" s="28"/>
      <c r="E126" s="29" t="s">
        <v>21</v>
      </c>
      <c r="F126" s="30">
        <f>1.7+2.45</f>
        <v>4.15</v>
      </c>
      <c r="G126" s="30">
        <v>168</v>
      </c>
      <c r="H126" s="30">
        <f t="shared" si="9"/>
        <v>697.2</v>
      </c>
      <c r="I126" s="33" t="s">
        <v>96</v>
      </c>
    </row>
    <row r="127" ht="46" customHeight="1" spans="1:9" x14ac:dyDescent="0.25">
      <c r="A127" s="80">
        <v>13</v>
      </c>
      <c r="B127" s="80"/>
      <c r="C127" s="28" t="s">
        <v>108</v>
      </c>
      <c r="D127" s="28"/>
      <c r="E127" s="29" t="s">
        <v>21</v>
      </c>
      <c r="F127" s="30">
        <v>0</v>
      </c>
      <c r="G127" s="30">
        <v>258</v>
      </c>
      <c r="H127" s="30">
        <f t="shared" si="9"/>
      </c>
      <c r="I127" s="33" t="s">
        <v>109</v>
      </c>
    </row>
    <row r="128" ht="61" customHeight="1" spans="1:9" x14ac:dyDescent="0.25">
      <c r="A128" s="80">
        <v>14</v>
      </c>
      <c r="B128" s="80"/>
      <c r="C128" s="28" t="s">
        <v>110</v>
      </c>
      <c r="D128" s="28"/>
      <c r="E128" s="29" t="s">
        <v>21</v>
      </c>
      <c r="F128" s="30">
        <v>0</v>
      </c>
      <c r="G128" s="30">
        <v>208</v>
      </c>
      <c r="H128" s="30">
        <f t="shared" si="9"/>
      </c>
      <c r="I128" s="33" t="s">
        <v>111</v>
      </c>
    </row>
    <row r="129" ht="25" customHeight="1" spans="1:9" x14ac:dyDescent="0.25">
      <c r="A129" s="80">
        <v>15</v>
      </c>
      <c r="B129" s="80"/>
      <c r="C129" s="83" t="s">
        <v>156</v>
      </c>
      <c r="D129" s="83"/>
      <c r="E129" s="34" t="s">
        <v>29</v>
      </c>
      <c r="F129" s="30">
        <v>0</v>
      </c>
      <c r="G129" s="30">
        <v>800</v>
      </c>
      <c r="H129" s="30">
        <f t="shared" si="9"/>
      </c>
      <c r="I129" s="86" t="s">
        <v>157</v>
      </c>
    </row>
    <row r="130" ht="25" customHeight="1" spans="1:9" x14ac:dyDescent="0.25">
      <c r="A130" s="80">
        <v>16</v>
      </c>
      <c r="B130" s="80"/>
      <c r="C130" s="28" t="s">
        <v>112</v>
      </c>
      <c r="D130" s="28"/>
      <c r="E130" s="29" t="s">
        <v>31</v>
      </c>
      <c r="F130" s="30">
        <f>2.46*2+2.36*2</f>
        <v>9.64</v>
      </c>
      <c r="G130" s="30">
        <v>80</v>
      </c>
      <c r="H130" s="30">
        <f t="shared" ref="H130:H141" si="10">F130*G130</f>
        <v>771.2</v>
      </c>
      <c r="I130" s="33" t="s">
        <v>113</v>
      </c>
    </row>
    <row r="131" ht="25" customHeight="1" spans="1:9" x14ac:dyDescent="0.25">
      <c r="A131" s="80">
        <v>17</v>
      </c>
      <c r="B131" s="80"/>
      <c r="C131" s="28" t="s">
        <v>114</v>
      </c>
      <c r="D131" s="28"/>
      <c r="E131" s="29" t="s">
        <v>31</v>
      </c>
      <c r="F131" s="30"/>
      <c r="G131" s="30">
        <v>100</v>
      </c>
      <c r="H131" s="30">
        <f t="shared" si="10"/>
      </c>
      <c r="I131" s="33" t="s">
        <v>113</v>
      </c>
    </row>
    <row r="132" ht="25" customHeight="1" spans="1:9" x14ac:dyDescent="0.25">
      <c r="A132" s="80">
        <v>18</v>
      </c>
      <c r="B132" s="80"/>
      <c r="C132" s="28" t="s">
        <v>116</v>
      </c>
      <c r="D132" s="28"/>
      <c r="E132" s="29" t="s">
        <v>31</v>
      </c>
      <c r="F132" s="30">
        <v>0.6</v>
      </c>
      <c r="G132" s="30">
        <v>50</v>
      </c>
      <c r="H132" s="30">
        <f t="shared" si="10"/>
        <v>30</v>
      </c>
      <c r="I132" s="33" t="s">
        <v>117</v>
      </c>
    </row>
    <row r="133" ht="25" customHeight="1" spans="1:9" x14ac:dyDescent="0.25">
      <c r="A133" s="80">
        <v>19</v>
      </c>
      <c r="B133" s="80"/>
      <c r="C133" s="28" t="s">
        <v>118</v>
      </c>
      <c r="D133" s="28"/>
      <c r="E133" s="29" t="s">
        <v>31</v>
      </c>
      <c r="F133" s="30">
        <v>0</v>
      </c>
      <c r="G133" s="30">
        <v>60</v>
      </c>
      <c r="H133" s="30">
        <f t="shared" si="10"/>
      </c>
      <c r="I133" s="33" t="s">
        <v>119</v>
      </c>
    </row>
    <row r="134" ht="25" customHeight="1" spans="1:9" x14ac:dyDescent="0.25">
      <c r="A134" s="80">
        <v>20</v>
      </c>
      <c r="B134" s="80"/>
      <c r="C134" s="28" t="s">
        <v>120</v>
      </c>
      <c r="D134" s="28"/>
      <c r="E134" s="29" t="s">
        <v>31</v>
      </c>
      <c r="F134" s="30">
        <f>2.36+1.1</f>
        <v>3.46</v>
      </c>
      <c r="G134" s="30">
        <v>200</v>
      </c>
      <c r="H134" s="30">
        <f t="shared" si="10"/>
        <v>692</v>
      </c>
      <c r="I134" s="33" t="s">
        <v>158</v>
      </c>
    </row>
    <row r="135" ht="46" customHeight="1" spans="1:9" x14ac:dyDescent="0.25">
      <c r="A135" s="80">
        <v>21</v>
      </c>
      <c r="B135" s="80"/>
      <c r="C135" s="83" t="s">
        <v>122</v>
      </c>
      <c r="D135" s="83"/>
      <c r="E135" s="29" t="s">
        <v>31</v>
      </c>
      <c r="F135" s="30">
        <v>2.79</v>
      </c>
      <c r="G135" s="30">
        <v>208</v>
      </c>
      <c r="H135" s="30">
        <f t="shared" si="10"/>
        <v>580.32</v>
      </c>
      <c r="I135" s="82" t="s">
        <v>159</v>
      </c>
    </row>
    <row r="136" ht="25" customHeight="1" spans="1:9" x14ac:dyDescent="0.25">
      <c r="A136" s="80">
        <v>22</v>
      </c>
      <c r="B136" s="80"/>
      <c r="C136" s="83" t="s">
        <v>160</v>
      </c>
      <c r="D136" s="83"/>
      <c r="E136" s="29" t="s">
        <v>21</v>
      </c>
      <c r="F136" s="30">
        <f>5.8*1</f>
        <v>5.8</v>
      </c>
      <c r="G136" s="30">
        <v>138</v>
      </c>
      <c r="H136" s="30">
        <f t="shared" si="10"/>
        <v>800.4</v>
      </c>
      <c r="I136" s="82" t="s">
        <v>149</v>
      </c>
    </row>
    <row r="137" ht="76" customHeight="1" spans="1:9" x14ac:dyDescent="0.25">
      <c r="A137" s="80">
        <v>23</v>
      </c>
      <c r="B137" s="80"/>
      <c r="C137" s="28" t="s">
        <v>131</v>
      </c>
      <c r="D137" s="28"/>
      <c r="E137" s="29" t="s">
        <v>21</v>
      </c>
      <c r="F137" s="30">
        <f>E114</f>
        <v>12.7</v>
      </c>
      <c r="G137" s="30">
        <v>47</v>
      </c>
      <c r="H137" s="30">
        <f t="shared" si="10"/>
        <v>596.9</v>
      </c>
      <c r="I137" s="33" t="s">
        <v>132</v>
      </c>
    </row>
    <row r="138" ht="31" customHeight="1" spans="1:9" x14ac:dyDescent="0.25">
      <c r="A138" s="80">
        <v>24</v>
      </c>
      <c r="B138" s="80"/>
      <c r="C138" s="28" t="s">
        <v>133</v>
      </c>
      <c r="D138" s="28"/>
      <c r="E138" s="29" t="s">
        <v>21</v>
      </c>
      <c r="F138" s="30">
        <f>F137</f>
        <v>12.7</v>
      </c>
      <c r="G138" s="30">
        <v>18</v>
      </c>
      <c r="H138" s="30">
        <f t="shared" si="10"/>
        <v>228.6</v>
      </c>
      <c r="I138" s="87" t="s">
        <v>134</v>
      </c>
    </row>
    <row r="139" ht="76" customHeight="1" spans="1:9" x14ac:dyDescent="0.25">
      <c r="A139" s="80">
        <v>25</v>
      </c>
      <c r="B139" s="80"/>
      <c r="C139" s="85" t="s">
        <v>135</v>
      </c>
      <c r="D139" s="85"/>
      <c r="E139" s="29" t="s">
        <v>21</v>
      </c>
      <c r="F139" s="30">
        <f>G114*(I114-0.46)-F136</f>
        <v>29.725</v>
      </c>
      <c r="G139" s="30">
        <v>47</v>
      </c>
      <c r="H139" s="30">
        <f t="shared" si="10"/>
        <v>1397.075</v>
      </c>
      <c r="I139" s="33" t="s">
        <v>136</v>
      </c>
    </row>
    <row r="140" ht="25" customHeight="1" spans="1:9" x14ac:dyDescent="0.25">
      <c r="A140" s="80">
        <v>26</v>
      </c>
      <c r="B140" s="80"/>
      <c r="C140" s="85" t="s">
        <v>137</v>
      </c>
      <c r="D140" s="85"/>
      <c r="E140" s="29" t="s">
        <v>21</v>
      </c>
      <c r="F140" s="30">
        <f>F139</f>
        <v>29.725</v>
      </c>
      <c r="G140" s="30">
        <v>18</v>
      </c>
      <c r="H140" s="30">
        <f t="shared" si="10"/>
        <v>535.05</v>
      </c>
      <c r="I140" s="87" t="s">
        <v>134</v>
      </c>
    </row>
    <row r="141" ht="25" customHeight="1" spans="1:9" x14ac:dyDescent="0.25">
      <c r="A141" s="88" t="s">
        <v>60</v>
      </c>
      <c r="B141" s="88"/>
      <c r="C141" s="88"/>
      <c r="D141" s="88"/>
      <c r="E141" s="88"/>
      <c r="F141" s="88"/>
      <c r="G141" s="88"/>
      <c r="H141" s="89">
        <f>SUM(H115:H140)</f>
        <v>9425.745</v>
      </c>
      <c r="I141" s="90"/>
    </row>
    <row r="142" ht="25" customHeight="1" spans="1:9" x14ac:dyDescent="0.25">
      <c r="A142" s="77" t="s">
        <v>161</v>
      </c>
      <c r="B142" s="77"/>
      <c r="C142" s="77"/>
      <c r="D142" s="78" t="s">
        <v>17</v>
      </c>
      <c r="E142" s="78">
        <v>6.5</v>
      </c>
      <c r="F142" s="78" t="s">
        <v>18</v>
      </c>
      <c r="G142" s="78">
        <v>10.4</v>
      </c>
      <c r="H142" s="78" t="s">
        <v>19</v>
      </c>
      <c r="I142" s="79">
        <f>I114</f>
        <v>2.91</v>
      </c>
    </row>
    <row r="143" ht="46" customHeight="1" spans="1:9" x14ac:dyDescent="0.25">
      <c r="A143" s="80">
        <v>1</v>
      </c>
      <c r="B143" s="80"/>
      <c r="C143" s="81" t="s">
        <v>64</v>
      </c>
      <c r="D143" s="81"/>
      <c r="E143" s="29" t="s">
        <v>31</v>
      </c>
      <c r="F143" s="30">
        <v>1.44</v>
      </c>
      <c r="G143" s="30">
        <v>100</v>
      </c>
      <c r="H143" s="30">
        <f t="shared" ref="H143:H145" si="11">F143*G143</f>
        <v>144</v>
      </c>
      <c r="I143" s="82" t="s">
        <v>65</v>
      </c>
    </row>
    <row r="144" ht="46" customHeight="1" spans="1:9" x14ac:dyDescent="0.25">
      <c r="A144" s="80">
        <v>2</v>
      </c>
      <c r="B144" s="80"/>
      <c r="C144" s="81" t="s">
        <v>146</v>
      </c>
      <c r="D144" s="81"/>
      <c r="E144" s="29" t="s">
        <v>31</v>
      </c>
      <c r="F144" s="30">
        <v>0</v>
      </c>
      <c r="G144" s="30">
        <v>160</v>
      </c>
      <c r="H144" s="30">
        <f t="shared" si="11"/>
      </c>
      <c r="I144" s="82" t="s">
        <v>147</v>
      </c>
    </row>
    <row r="145" ht="25" customHeight="1" spans="1:9" x14ac:dyDescent="0.25">
      <c r="A145" s="80">
        <v>3</v>
      </c>
      <c r="B145" s="80"/>
      <c r="C145" s="83" t="s">
        <v>148</v>
      </c>
      <c r="D145" s="83"/>
      <c r="E145" s="29" t="s">
        <v>21</v>
      </c>
      <c r="F145" s="30">
        <v>0</v>
      </c>
      <c r="G145" s="30">
        <v>208</v>
      </c>
      <c r="H145" s="30">
        <f t="shared" si="11"/>
      </c>
      <c r="I145" s="82" t="s">
        <v>149</v>
      </c>
    </row>
    <row r="146" ht="25" customHeight="1" spans="1:9" x14ac:dyDescent="0.25">
      <c r="A146" s="80">
        <v>4</v>
      </c>
      <c r="B146" s="80"/>
      <c r="C146" s="81" t="s">
        <v>150</v>
      </c>
      <c r="D146" s="81"/>
      <c r="E146" s="29" t="s">
        <v>21</v>
      </c>
      <c r="F146" s="30">
        <v>0</v>
      </c>
      <c r="G146" s="30">
        <v>78</v>
      </c>
      <c r="H146" s="30">
        <f t="shared" ref="H146:H156" si="12">F146*G146</f>
      </c>
      <c r="I146" s="84" t="s">
        <v>151</v>
      </c>
    </row>
    <row r="147" ht="31" customHeight="1" spans="1:9" x14ac:dyDescent="0.25">
      <c r="A147" s="80">
        <v>5</v>
      </c>
      <c r="B147" s="80"/>
      <c r="C147" s="81" t="s">
        <v>89</v>
      </c>
      <c r="D147" s="81"/>
      <c r="E147" s="29" t="s">
        <v>21</v>
      </c>
      <c r="F147" s="30">
        <f>E142</f>
        <v>6.5</v>
      </c>
      <c r="G147" s="30">
        <v>58</v>
      </c>
      <c r="H147" s="30">
        <f t="shared" si="12"/>
        <v>377</v>
      </c>
      <c r="I147" s="84" t="s">
        <v>152</v>
      </c>
    </row>
    <row r="148" ht="25" customHeight="1" spans="1:9" x14ac:dyDescent="0.25">
      <c r="A148" s="80">
        <v>6</v>
      </c>
      <c r="B148" s="80"/>
      <c r="C148" s="81" t="s">
        <v>153</v>
      </c>
      <c r="D148" s="81"/>
      <c r="E148" s="29" t="s">
        <v>21</v>
      </c>
      <c r="F148" s="30">
        <v>0</v>
      </c>
      <c r="G148" s="30">
        <v>98</v>
      </c>
      <c r="H148" s="30">
        <f t="shared" si="12"/>
      </c>
      <c r="I148" s="84" t="s">
        <v>153</v>
      </c>
    </row>
    <row r="149" ht="25" customHeight="1" spans="1:9" x14ac:dyDescent="0.25">
      <c r="A149" s="80">
        <v>7</v>
      </c>
      <c r="B149" s="80"/>
      <c r="C149" s="81" t="s">
        <v>74</v>
      </c>
      <c r="D149" s="81"/>
      <c r="E149" s="29" t="s">
        <v>21</v>
      </c>
      <c r="F149" s="30">
        <v>0</v>
      </c>
      <c r="G149" s="30">
        <v>150</v>
      </c>
      <c r="H149" s="30">
        <f t="shared" si="12"/>
      </c>
      <c r="I149" s="82" t="s">
        <v>76</v>
      </c>
    </row>
    <row r="150" ht="25" customHeight="1" spans="1:9" x14ac:dyDescent="0.25">
      <c r="A150" s="80">
        <v>8</v>
      </c>
      <c r="B150" s="80"/>
      <c r="C150" s="81" t="s">
        <v>77</v>
      </c>
      <c r="D150" s="81"/>
      <c r="E150" s="29" t="s">
        <v>21</v>
      </c>
      <c r="F150" s="30">
        <f>E142</f>
        <v>6.5</v>
      </c>
      <c r="G150" s="30">
        <v>160</v>
      </c>
      <c r="H150" s="30">
        <f t="shared" si="12"/>
        <v>1040</v>
      </c>
      <c r="I150" s="82" t="s">
        <v>76</v>
      </c>
    </row>
    <row r="151" ht="25" customHeight="1" spans="1:9" x14ac:dyDescent="0.25">
      <c r="A151" s="80">
        <v>9</v>
      </c>
      <c r="B151" s="80"/>
      <c r="C151" s="85" t="s">
        <v>155</v>
      </c>
      <c r="D151" s="85"/>
      <c r="E151" s="29" t="s">
        <v>21</v>
      </c>
      <c r="F151" s="30">
        <v>0</v>
      </c>
      <c r="G151" s="30">
        <v>170</v>
      </c>
      <c r="H151" s="30">
        <f t="shared" si="12"/>
      </c>
      <c r="I151" s="82" t="s">
        <v>76</v>
      </c>
    </row>
    <row r="152" ht="25" customHeight="1" spans="1:9" x14ac:dyDescent="0.25">
      <c r="A152" s="80">
        <v>10</v>
      </c>
      <c r="B152" s="80"/>
      <c r="C152" s="85" t="s">
        <v>79</v>
      </c>
      <c r="D152" s="85"/>
      <c r="E152" s="29" t="s">
        <v>21</v>
      </c>
      <c r="F152" s="30">
        <v>0</v>
      </c>
      <c r="G152" s="30">
        <v>200</v>
      </c>
      <c r="H152" s="30">
        <f t="shared" si="12"/>
      </c>
      <c r="I152" s="82" t="s">
        <v>76</v>
      </c>
    </row>
    <row r="153" ht="25" customHeight="1" spans="1:9" x14ac:dyDescent="0.25">
      <c r="A153" s="80">
        <v>11</v>
      </c>
      <c r="B153" s="80"/>
      <c r="C153" s="81" t="s">
        <v>66</v>
      </c>
      <c r="D153" s="81"/>
      <c r="E153" s="29" t="s">
        <v>21</v>
      </c>
      <c r="F153" s="30">
        <f>E142</f>
        <v>6.5</v>
      </c>
      <c r="G153" s="30">
        <v>12</v>
      </c>
      <c r="H153" s="30">
        <f t="shared" si="12"/>
        <v>78</v>
      </c>
      <c r="I153" s="33" t="s">
        <v>67</v>
      </c>
    </row>
    <row r="154" ht="46" customHeight="1" spans="1:9" x14ac:dyDescent="0.25">
      <c r="A154" s="80">
        <v>12</v>
      </c>
      <c r="B154" s="80"/>
      <c r="C154" s="28" t="s">
        <v>95</v>
      </c>
      <c r="D154" s="28"/>
      <c r="E154" s="29" t="s">
        <v>21</v>
      </c>
      <c r="F154" s="30">
        <f>1.9</f>
        <v>1.9</v>
      </c>
      <c r="G154" s="30">
        <v>168</v>
      </c>
      <c r="H154" s="30">
        <f t="shared" si="12"/>
        <v>319.2</v>
      </c>
      <c r="I154" s="33" t="s">
        <v>96</v>
      </c>
    </row>
    <row r="155" ht="46" customHeight="1" spans="1:9" x14ac:dyDescent="0.25">
      <c r="A155" s="80">
        <v>13</v>
      </c>
      <c r="B155" s="80"/>
      <c r="C155" s="28" t="s">
        <v>108</v>
      </c>
      <c r="D155" s="28"/>
      <c r="E155" s="29" t="s">
        <v>21</v>
      </c>
      <c r="F155" s="30">
        <v>0</v>
      </c>
      <c r="G155" s="30">
        <v>258</v>
      </c>
      <c r="H155" s="30">
        <f t="shared" si="12"/>
      </c>
      <c r="I155" s="33" t="s">
        <v>109</v>
      </c>
    </row>
    <row r="156" ht="61" customHeight="1" spans="1:9" x14ac:dyDescent="0.25">
      <c r="A156" s="80">
        <v>14</v>
      </c>
      <c r="B156" s="80"/>
      <c r="C156" s="28" t="s">
        <v>110</v>
      </c>
      <c r="D156" s="28"/>
      <c r="E156" s="29" t="s">
        <v>21</v>
      </c>
      <c r="F156" s="30">
        <v>0</v>
      </c>
      <c r="G156" s="30">
        <v>208</v>
      </c>
      <c r="H156" s="30">
        <f t="shared" si="12"/>
      </c>
      <c r="I156" s="33" t="s">
        <v>111</v>
      </c>
    </row>
    <row r="157" ht="25" customHeight="1" spans="1:9" x14ac:dyDescent="0.25">
      <c r="A157" s="80">
        <v>15</v>
      </c>
      <c r="B157" s="80"/>
      <c r="C157" s="28" t="s">
        <v>112</v>
      </c>
      <c r="D157" s="28"/>
      <c r="E157" s="29" t="s">
        <v>31</v>
      </c>
      <c r="F157" s="30">
        <f>8.4</f>
        <v>8.4</v>
      </c>
      <c r="G157" s="30">
        <v>80</v>
      </c>
      <c r="H157" s="30">
        <f t="shared" ref="H157:H168" si="13">F157*G157</f>
        <v>672</v>
      </c>
      <c r="I157" s="33" t="s">
        <v>113</v>
      </c>
    </row>
    <row r="158" ht="25" customHeight="1" spans="1:9" x14ac:dyDescent="0.25">
      <c r="A158" s="80">
        <v>16</v>
      </c>
      <c r="B158" s="80"/>
      <c r="C158" s="28" t="s">
        <v>114</v>
      </c>
      <c r="D158" s="28"/>
      <c r="E158" s="29" t="s">
        <v>31</v>
      </c>
      <c r="F158" s="30"/>
      <c r="G158" s="30">
        <v>100</v>
      </c>
      <c r="H158" s="30">
        <f t="shared" si="13"/>
      </c>
      <c r="I158" s="33" t="s">
        <v>113</v>
      </c>
    </row>
    <row r="159" ht="25" customHeight="1" spans="1:9" x14ac:dyDescent="0.25">
      <c r="A159" s="80">
        <v>17</v>
      </c>
      <c r="B159" s="80"/>
      <c r="C159" s="28" t="s">
        <v>116</v>
      </c>
      <c r="D159" s="28"/>
      <c r="E159" s="29" t="s">
        <v>31</v>
      </c>
      <c r="F159" s="30">
        <v>0</v>
      </c>
      <c r="G159" s="30">
        <v>50</v>
      </c>
      <c r="H159" s="30">
        <f t="shared" si="13"/>
      </c>
      <c r="I159" s="33" t="s">
        <v>117</v>
      </c>
    </row>
    <row r="160" ht="25" customHeight="1" spans="1:9" x14ac:dyDescent="0.25">
      <c r="A160" s="80">
        <v>18</v>
      </c>
      <c r="B160" s="80"/>
      <c r="C160" s="28" t="s">
        <v>118</v>
      </c>
      <c r="D160" s="28"/>
      <c r="E160" s="29" t="s">
        <v>31</v>
      </c>
      <c r="F160" s="30">
        <v>0</v>
      </c>
      <c r="G160" s="30">
        <v>60</v>
      </c>
      <c r="H160" s="30">
        <f t="shared" si="13"/>
      </c>
      <c r="I160" s="33" t="s">
        <v>119</v>
      </c>
    </row>
    <row r="161" ht="25" customHeight="1" spans="1:9" x14ac:dyDescent="0.25">
      <c r="A161" s="80">
        <v>19</v>
      </c>
      <c r="B161" s="80"/>
      <c r="C161" s="28" t="s">
        <v>120</v>
      </c>
      <c r="D161" s="28"/>
      <c r="E161" s="29" t="s">
        <v>31</v>
      </c>
      <c r="F161" s="30">
        <v>2.2</v>
      </c>
      <c r="G161" s="30">
        <v>200</v>
      </c>
      <c r="H161" s="30">
        <f t="shared" si="13"/>
        <v>440</v>
      </c>
      <c r="I161" s="33" t="s">
        <v>158</v>
      </c>
    </row>
    <row r="162" ht="46" customHeight="1" spans="1:9" x14ac:dyDescent="0.25">
      <c r="A162" s="80">
        <v>20</v>
      </c>
      <c r="B162" s="80"/>
      <c r="C162" s="83" t="s">
        <v>122</v>
      </c>
      <c r="D162" s="83"/>
      <c r="E162" s="29" t="s">
        <v>31</v>
      </c>
      <c r="F162" s="30">
        <v>2.02</v>
      </c>
      <c r="G162" s="30">
        <v>208</v>
      </c>
      <c r="H162" s="30">
        <f t="shared" si="13"/>
        <v>420.16</v>
      </c>
      <c r="I162" s="82" t="s">
        <v>162</v>
      </c>
    </row>
    <row r="163" ht="25" customHeight="1" spans="1:9" x14ac:dyDescent="0.25">
      <c r="A163" s="80">
        <v>21</v>
      </c>
      <c r="B163" s="80"/>
      <c r="C163" s="83" t="s">
        <v>160</v>
      </c>
      <c r="D163" s="83"/>
      <c r="E163" s="29" t="s">
        <v>21</v>
      </c>
      <c r="F163" s="30">
        <f>2.4*1.1+2.57*1.1</f>
        <v>5.467</v>
      </c>
      <c r="G163" s="30">
        <v>138</v>
      </c>
      <c r="H163" s="30">
        <f t="shared" si="13"/>
        <v>754.446</v>
      </c>
      <c r="I163" s="82" t="s">
        <v>163</v>
      </c>
    </row>
    <row r="164" ht="76" customHeight="1" spans="1:9" x14ac:dyDescent="0.25">
      <c r="A164" s="80">
        <v>22</v>
      </c>
      <c r="B164" s="80"/>
      <c r="C164" s="28" t="s">
        <v>131</v>
      </c>
      <c r="D164" s="28"/>
      <c r="E164" s="29" t="s">
        <v>21</v>
      </c>
      <c r="F164" s="30">
        <f>E142</f>
        <v>6.5</v>
      </c>
      <c r="G164" s="30">
        <v>47</v>
      </c>
      <c r="H164" s="30">
        <f t="shared" si="13"/>
        <v>305.5</v>
      </c>
      <c r="I164" s="33" t="s">
        <v>132</v>
      </c>
    </row>
    <row r="165" ht="31" customHeight="1" spans="1:9" x14ac:dyDescent="0.25">
      <c r="A165" s="80">
        <v>23</v>
      </c>
      <c r="B165" s="80"/>
      <c r="C165" s="28" t="s">
        <v>133</v>
      </c>
      <c r="D165" s="28"/>
      <c r="E165" s="29" t="s">
        <v>21</v>
      </c>
      <c r="F165" s="30">
        <f>F164</f>
        <v>6.5</v>
      </c>
      <c r="G165" s="30">
        <v>18</v>
      </c>
      <c r="H165" s="30">
        <f t="shared" si="13"/>
        <v>117</v>
      </c>
      <c r="I165" s="87" t="s">
        <v>134</v>
      </c>
    </row>
    <row r="166" ht="76" customHeight="1" spans="1:9" x14ac:dyDescent="0.25">
      <c r="A166" s="80">
        <v>24</v>
      </c>
      <c r="B166" s="80"/>
      <c r="C166" s="85" t="s">
        <v>135</v>
      </c>
      <c r="D166" s="85"/>
      <c r="E166" s="29" t="s">
        <v>21</v>
      </c>
      <c r="F166" s="30">
        <f>G142*(I142-0.3)-F163</f>
        <v>21.677</v>
      </c>
      <c r="G166" s="30">
        <v>47</v>
      </c>
      <c r="H166" s="30">
        <f t="shared" si="13"/>
        <v>1018.819</v>
      </c>
      <c r="I166" s="33" t="s">
        <v>136</v>
      </c>
    </row>
    <row r="167" ht="25" customHeight="1" spans="1:9" x14ac:dyDescent="0.25">
      <c r="A167" s="80">
        <v>25</v>
      </c>
      <c r="B167" s="80"/>
      <c r="C167" s="85" t="s">
        <v>137</v>
      </c>
      <c r="D167" s="85"/>
      <c r="E167" s="29" t="s">
        <v>21</v>
      </c>
      <c r="F167" s="30">
        <f>F166</f>
        <v>21.677</v>
      </c>
      <c r="G167" s="30">
        <v>18</v>
      </c>
      <c r="H167" s="30">
        <f t="shared" si="13"/>
        <v>390.186</v>
      </c>
      <c r="I167" s="87" t="s">
        <v>134</v>
      </c>
    </row>
    <row r="168" ht="25" customHeight="1" spans="1:9" x14ac:dyDescent="0.25">
      <c r="A168" s="88" t="s">
        <v>60</v>
      </c>
      <c r="B168" s="88"/>
      <c r="C168" s="88"/>
      <c r="D168" s="88"/>
      <c r="E168" s="88"/>
      <c r="F168" s="88"/>
      <c r="G168" s="88"/>
      <c r="H168" s="89">
        <f>SUM(H143:H167)</f>
        <v>6076.311</v>
      </c>
      <c r="I168" s="90"/>
    </row>
    <row r="169" ht="25" customHeight="1" spans="1:9" x14ac:dyDescent="0.25">
      <c r="A169" s="77" t="s">
        <v>164</v>
      </c>
      <c r="B169" s="77"/>
      <c r="C169" s="77"/>
      <c r="D169" s="78" t="s">
        <v>17</v>
      </c>
      <c r="E169" s="78">
        <v>0</v>
      </c>
      <c r="F169" s="78" t="s">
        <v>18</v>
      </c>
      <c r="G169" s="78">
        <v>0</v>
      </c>
      <c r="H169" s="78" t="s">
        <v>19</v>
      </c>
      <c r="I169" s="79">
        <f>I5</f>
        <v>2.91</v>
      </c>
    </row>
    <row r="170" ht="46" customHeight="1" spans="1:9" x14ac:dyDescent="0.25">
      <c r="A170" s="80">
        <v>1</v>
      </c>
      <c r="B170" s="80"/>
      <c r="C170" s="81" t="s">
        <v>64</v>
      </c>
      <c r="D170" s="81"/>
      <c r="E170" s="29" t="s">
        <v>31</v>
      </c>
      <c r="F170" s="30">
        <v>0</v>
      </c>
      <c r="G170" s="30">
        <v>153</v>
      </c>
      <c r="H170" s="30">
        <f t="shared" ref="H170:H175" si="14">F170*G170</f>
      </c>
      <c r="I170" s="82" t="s">
        <v>65</v>
      </c>
    </row>
    <row r="171" ht="46" customHeight="1" spans="1:9" x14ac:dyDescent="0.25">
      <c r="A171" s="80">
        <v>2</v>
      </c>
      <c r="B171" s="80"/>
      <c r="C171" s="81" t="s">
        <v>146</v>
      </c>
      <c r="D171" s="81"/>
      <c r="E171" s="29" t="s">
        <v>31</v>
      </c>
      <c r="F171" s="30">
        <v>0</v>
      </c>
      <c r="G171" s="30">
        <v>160</v>
      </c>
      <c r="H171" s="30">
        <f t="shared" si="14"/>
      </c>
      <c r="I171" s="82" t="s">
        <v>147</v>
      </c>
    </row>
    <row r="172" ht="31" customHeight="1" spans="1:9" x14ac:dyDescent="0.25">
      <c r="A172" s="80">
        <v>3</v>
      </c>
      <c r="B172" s="80"/>
      <c r="C172" s="83" t="s">
        <v>148</v>
      </c>
      <c r="D172" s="83"/>
      <c r="E172" s="29" t="s">
        <v>21</v>
      </c>
      <c r="F172" s="30">
        <v>0</v>
      </c>
      <c r="G172" s="30">
        <v>208</v>
      </c>
      <c r="H172" s="30">
        <f t="shared" si="14"/>
      </c>
      <c r="I172" s="82" t="s">
        <v>163</v>
      </c>
    </row>
    <row r="173" ht="31" customHeight="1" spans="1:9" x14ac:dyDescent="0.25">
      <c r="A173" s="80">
        <v>4</v>
      </c>
      <c r="B173" s="80"/>
      <c r="C173" s="81" t="s">
        <v>150</v>
      </c>
      <c r="D173" s="81"/>
      <c r="E173" s="29" t="s">
        <v>21</v>
      </c>
      <c r="F173" s="30">
        <v>0</v>
      </c>
      <c r="G173" s="30">
        <v>78</v>
      </c>
      <c r="H173" s="30">
        <f t="shared" si="14"/>
      </c>
      <c r="I173" s="84" t="s">
        <v>151</v>
      </c>
    </row>
    <row r="174" ht="25" customHeight="1" spans="1:9" x14ac:dyDescent="0.25">
      <c r="A174" s="80">
        <v>5</v>
      </c>
      <c r="B174" s="80"/>
      <c r="C174" s="81" t="s">
        <v>89</v>
      </c>
      <c r="D174" s="81"/>
      <c r="E174" s="29" t="s">
        <v>21</v>
      </c>
      <c r="F174" s="30">
        <v>0</v>
      </c>
      <c r="G174" s="30">
        <v>58</v>
      </c>
      <c r="H174" s="30">
        <f t="shared" si="14"/>
      </c>
      <c r="I174" s="84" t="s">
        <v>152</v>
      </c>
    </row>
    <row r="175" ht="25" customHeight="1" spans="1:9" x14ac:dyDescent="0.25">
      <c r="A175" s="80">
        <v>6</v>
      </c>
      <c r="B175" s="80"/>
      <c r="C175" s="81" t="s">
        <v>153</v>
      </c>
      <c r="D175" s="81"/>
      <c r="E175" s="29" t="s">
        <v>21</v>
      </c>
      <c r="F175" s="30">
        <v>0</v>
      </c>
      <c r="G175" s="30">
        <v>98</v>
      </c>
      <c r="H175" s="30">
        <f t="shared" si="14"/>
      </c>
      <c r="I175" s="84" t="s">
        <v>153</v>
      </c>
    </row>
    <row r="176" ht="25" customHeight="1" spans="1:9" x14ac:dyDescent="0.25">
      <c r="A176" s="80">
        <v>7</v>
      </c>
      <c r="B176" s="80"/>
      <c r="C176" s="81" t="s">
        <v>74</v>
      </c>
      <c r="D176" s="81"/>
      <c r="E176" s="29" t="s">
        <v>21</v>
      </c>
      <c r="F176" s="30">
        <v>0</v>
      </c>
      <c r="G176" s="30">
        <v>150</v>
      </c>
      <c r="H176" s="30">
        <f t="shared" ref="H176:H179" si="15">F176*G176</f>
      </c>
      <c r="I176" s="82" t="s">
        <v>76</v>
      </c>
    </row>
    <row r="177" ht="25" customHeight="1" spans="1:9" x14ac:dyDescent="0.25">
      <c r="A177" s="80">
        <v>8</v>
      </c>
      <c r="B177" s="80"/>
      <c r="C177" s="81" t="s">
        <v>77</v>
      </c>
      <c r="D177" s="81"/>
      <c r="E177" s="29" t="s">
        <v>21</v>
      </c>
      <c r="F177" s="30">
        <v>0</v>
      </c>
      <c r="G177" s="30">
        <v>160</v>
      </c>
      <c r="H177" s="30">
        <f t="shared" si="15"/>
      </c>
      <c r="I177" s="82" t="s">
        <v>76</v>
      </c>
    </row>
    <row r="178" ht="25" customHeight="1" spans="1:9" x14ac:dyDescent="0.25">
      <c r="A178" s="80">
        <v>9</v>
      </c>
      <c r="B178" s="80"/>
      <c r="C178" s="85" t="s">
        <v>155</v>
      </c>
      <c r="D178" s="85"/>
      <c r="E178" s="29" t="s">
        <v>21</v>
      </c>
      <c r="F178" s="30">
        <f>E169</f>
      </c>
      <c r="G178" s="30">
        <v>170</v>
      </c>
      <c r="H178" s="30">
        <f t="shared" si="15"/>
      </c>
      <c r="I178" s="82" t="s">
        <v>76</v>
      </c>
    </row>
    <row r="179" ht="25" customHeight="1" spans="1:9" x14ac:dyDescent="0.25">
      <c r="A179" s="80">
        <v>10</v>
      </c>
      <c r="B179" s="80"/>
      <c r="C179" s="85" t="s">
        <v>79</v>
      </c>
      <c r="D179" s="85"/>
      <c r="E179" s="29" t="s">
        <v>21</v>
      </c>
      <c r="F179" s="30">
        <v>0</v>
      </c>
      <c r="G179" s="30">
        <v>200</v>
      </c>
      <c r="H179" s="30">
        <f t="shared" si="15"/>
      </c>
      <c r="I179" s="82" t="s">
        <v>76</v>
      </c>
    </row>
    <row r="180" ht="25" customHeight="1" spans="1:9" x14ac:dyDescent="0.25">
      <c r="A180" s="80">
        <v>11</v>
      </c>
      <c r="B180" s="80"/>
      <c r="C180" s="81" t="s">
        <v>66</v>
      </c>
      <c r="D180" s="81"/>
      <c r="E180" s="29" t="s">
        <v>21</v>
      </c>
      <c r="F180" s="30">
        <f>E169</f>
      </c>
      <c r="G180" s="30">
        <v>12</v>
      </c>
      <c r="H180" s="30">
        <f t="shared" ref="H180:H190" si="16">F180*G180</f>
      </c>
      <c r="I180" s="33" t="s">
        <v>67</v>
      </c>
    </row>
    <row r="181" ht="46" customHeight="1" spans="1:9" x14ac:dyDescent="0.25">
      <c r="A181" s="80">
        <v>12</v>
      </c>
      <c r="B181" s="80"/>
      <c r="C181" s="28" t="s">
        <v>95</v>
      </c>
      <c r="D181" s="28"/>
      <c r="E181" s="29" t="s">
        <v>21</v>
      </c>
      <c r="F181" s="30">
        <f>E169</f>
      </c>
      <c r="G181" s="30">
        <v>168</v>
      </c>
      <c r="H181" s="30">
        <f t="shared" si="16"/>
      </c>
      <c r="I181" s="33" t="s">
        <v>96</v>
      </c>
    </row>
    <row r="182" ht="46" customHeight="1" spans="1:9" x14ac:dyDescent="0.25">
      <c r="A182" s="80">
        <v>13</v>
      </c>
      <c r="B182" s="80"/>
      <c r="C182" s="28" t="s">
        <v>108</v>
      </c>
      <c r="D182" s="28"/>
      <c r="E182" s="29" t="s">
        <v>21</v>
      </c>
      <c r="F182" s="30">
        <v>0</v>
      </c>
      <c r="G182" s="30">
        <v>258</v>
      </c>
      <c r="H182" s="30">
        <f t="shared" si="16"/>
      </c>
      <c r="I182" s="33" t="s">
        <v>109</v>
      </c>
    </row>
    <row r="183" ht="61" customHeight="1" spans="1:9" x14ac:dyDescent="0.25">
      <c r="A183" s="80">
        <v>14</v>
      </c>
      <c r="B183" s="80"/>
      <c r="C183" s="28" t="s">
        <v>110</v>
      </c>
      <c r="D183" s="28"/>
      <c r="E183" s="29" t="s">
        <v>21</v>
      </c>
      <c r="F183" s="30">
        <v>0</v>
      </c>
      <c r="G183" s="30">
        <v>208</v>
      </c>
      <c r="H183" s="30">
        <f t="shared" si="16"/>
      </c>
      <c r="I183" s="33" t="s">
        <v>111</v>
      </c>
    </row>
    <row r="184" ht="25" customHeight="1" spans="1:9" x14ac:dyDescent="0.25">
      <c r="A184" s="80">
        <v>15</v>
      </c>
      <c r="B184" s="80"/>
      <c r="C184" s="28" t="s">
        <v>112</v>
      </c>
      <c r="D184" s="28"/>
      <c r="E184" s="29" t="s">
        <v>31</v>
      </c>
      <c r="F184" s="30">
        <v>0</v>
      </c>
      <c r="G184" s="30">
        <v>80</v>
      </c>
      <c r="H184" s="30">
        <f t="shared" si="16"/>
      </c>
      <c r="I184" s="33" t="s">
        <v>113</v>
      </c>
    </row>
    <row r="185" ht="25" customHeight="1" spans="1:9" x14ac:dyDescent="0.25">
      <c r="A185" s="80">
        <v>16</v>
      </c>
      <c r="B185" s="80"/>
      <c r="C185" s="28" t="s">
        <v>114</v>
      </c>
      <c r="D185" s="28"/>
      <c r="E185" s="29" t="s">
        <v>31</v>
      </c>
      <c r="F185" s="30"/>
      <c r="G185" s="30">
        <v>80</v>
      </c>
      <c r="H185" s="30">
        <f t="shared" si="16"/>
      </c>
      <c r="I185" s="33" t="s">
        <v>113</v>
      </c>
    </row>
    <row r="186" ht="25" customHeight="1" spans="1:9" x14ac:dyDescent="0.25">
      <c r="A186" s="80">
        <v>17</v>
      </c>
      <c r="B186" s="80"/>
      <c r="C186" s="28" t="s">
        <v>116</v>
      </c>
      <c r="D186" s="28"/>
      <c r="E186" s="29" t="s">
        <v>31</v>
      </c>
      <c r="F186" s="30"/>
      <c r="G186" s="30">
        <v>50</v>
      </c>
      <c r="H186" s="30">
        <f t="shared" si="16"/>
      </c>
      <c r="I186" s="33" t="s">
        <v>117</v>
      </c>
    </row>
    <row r="187" ht="25" customHeight="1" spans="1:9" x14ac:dyDescent="0.25">
      <c r="A187" s="80">
        <v>18</v>
      </c>
      <c r="B187" s="80"/>
      <c r="C187" s="28" t="s">
        <v>118</v>
      </c>
      <c r="D187" s="28"/>
      <c r="E187" s="29" t="s">
        <v>31</v>
      </c>
      <c r="F187" s="30"/>
      <c r="G187" s="30">
        <v>60</v>
      </c>
      <c r="H187" s="30">
        <f t="shared" si="16"/>
      </c>
      <c r="I187" s="33" t="s">
        <v>119</v>
      </c>
    </row>
    <row r="188" ht="25" customHeight="1" spans="1:9" x14ac:dyDescent="0.25">
      <c r="A188" s="80">
        <v>19</v>
      </c>
      <c r="B188" s="80"/>
      <c r="C188" s="28" t="s">
        <v>120</v>
      </c>
      <c r="D188" s="28"/>
      <c r="E188" s="29" t="s">
        <v>31</v>
      </c>
      <c r="F188" s="30">
        <v>0</v>
      </c>
      <c r="G188" s="30">
        <v>200</v>
      </c>
      <c r="H188" s="30">
        <f t="shared" si="16"/>
      </c>
      <c r="I188" s="33" t="s">
        <v>158</v>
      </c>
    </row>
    <row r="189" ht="46" customHeight="1" spans="1:9" x14ac:dyDescent="0.25">
      <c r="A189" s="80">
        <v>20</v>
      </c>
      <c r="B189" s="80"/>
      <c r="C189" s="83" t="s">
        <v>122</v>
      </c>
      <c r="D189" s="83"/>
      <c r="E189" s="29" t="s">
        <v>31</v>
      </c>
      <c r="F189" s="30">
        <v>0</v>
      </c>
      <c r="G189" s="30">
        <v>208</v>
      </c>
      <c r="H189" s="30">
        <f t="shared" si="16"/>
      </c>
      <c r="I189" s="82" t="s">
        <v>162</v>
      </c>
    </row>
    <row r="190" ht="25" customHeight="1" spans="1:9" x14ac:dyDescent="0.25">
      <c r="A190" s="80">
        <v>21</v>
      </c>
      <c r="B190" s="80"/>
      <c r="C190" s="83" t="s">
        <v>165</v>
      </c>
      <c r="D190" s="83"/>
      <c r="E190" s="29" t="s">
        <v>31</v>
      </c>
      <c r="F190" s="30">
        <v>0</v>
      </c>
      <c r="G190" s="30">
        <v>208</v>
      </c>
      <c r="H190" s="30">
        <f t="shared" si="16"/>
      </c>
      <c r="I190" s="82" t="s">
        <v>166</v>
      </c>
    </row>
    <row r="191" ht="25" customHeight="1" spans="1:9" x14ac:dyDescent="0.25">
      <c r="A191" s="80">
        <v>22</v>
      </c>
      <c r="B191" s="80"/>
      <c r="C191" s="83" t="s">
        <v>160</v>
      </c>
      <c r="D191" s="83"/>
      <c r="E191" s="29" t="s">
        <v>21</v>
      </c>
      <c r="F191" s="30"/>
      <c r="G191" s="30">
        <v>138</v>
      </c>
      <c r="H191" s="30">
        <f t="shared" ref="H191:H198" si="17">F191*G191</f>
      </c>
      <c r="I191" s="82" t="s">
        <v>149</v>
      </c>
    </row>
    <row r="192" ht="76" customHeight="1" spans="1:9" x14ac:dyDescent="0.25">
      <c r="A192" s="80">
        <v>23</v>
      </c>
      <c r="B192" s="80"/>
      <c r="C192" s="28" t="s">
        <v>131</v>
      </c>
      <c r="D192" s="28"/>
      <c r="E192" s="29" t="s">
        <v>21</v>
      </c>
      <c r="F192" s="30">
        <f>E169</f>
      </c>
      <c r="G192" s="30">
        <v>47</v>
      </c>
      <c r="H192" s="30">
        <f t="shared" si="17"/>
      </c>
      <c r="I192" s="33" t="s">
        <v>132</v>
      </c>
    </row>
    <row r="193" ht="31" customHeight="1" spans="1:9" x14ac:dyDescent="0.25">
      <c r="A193" s="80">
        <v>24</v>
      </c>
      <c r="B193" s="80"/>
      <c r="C193" s="28" t="s">
        <v>133</v>
      </c>
      <c r="D193" s="28"/>
      <c r="E193" s="29" t="s">
        <v>21</v>
      </c>
      <c r="F193" s="30">
        <f>F192</f>
      </c>
      <c r="G193" s="30">
        <v>18</v>
      </c>
      <c r="H193" s="30">
        <f t="shared" si="17"/>
      </c>
      <c r="I193" s="87" t="s">
        <v>134</v>
      </c>
    </row>
    <row r="194" ht="76" customHeight="1" spans="1:9" x14ac:dyDescent="0.25">
      <c r="A194" s="80">
        <v>25</v>
      </c>
      <c r="B194" s="80"/>
      <c r="C194" s="85" t="s">
        <v>135</v>
      </c>
      <c r="D194" s="85"/>
      <c r="E194" s="29" t="s">
        <v>21</v>
      </c>
      <c r="F194" s="30">
        <f>(G169)*(I169-0.3)</f>
      </c>
      <c r="G194" s="30">
        <v>47</v>
      </c>
      <c r="H194" s="30">
        <f t="shared" si="17"/>
      </c>
      <c r="I194" s="33" t="s">
        <v>136</v>
      </c>
    </row>
    <row r="195" ht="25" customHeight="1" spans="1:9" x14ac:dyDescent="0.25">
      <c r="A195" s="80">
        <v>26</v>
      </c>
      <c r="B195" s="80"/>
      <c r="C195" s="85" t="s">
        <v>137</v>
      </c>
      <c r="D195" s="85"/>
      <c r="E195" s="29" t="s">
        <v>21</v>
      </c>
      <c r="F195" s="30">
        <f>F194</f>
      </c>
      <c r="G195" s="30">
        <v>18</v>
      </c>
      <c r="H195" s="30">
        <f t="shared" si="17"/>
      </c>
      <c r="I195" s="87" t="s">
        <v>134</v>
      </c>
    </row>
    <row r="196" ht="25" customHeight="1" spans="1:9" x14ac:dyDescent="0.25">
      <c r="A196" s="88" t="s">
        <v>60</v>
      </c>
      <c r="B196" s="88"/>
      <c r="C196" s="88"/>
      <c r="D196" s="88"/>
      <c r="E196" s="88"/>
      <c r="F196" s="88"/>
      <c r="G196" s="88"/>
      <c r="H196" s="89">
        <f>SUM(H170:H195)</f>
      </c>
      <c r="I196" s="90"/>
    </row>
    <row r="197" ht="25" customHeight="1" spans="1:9" x14ac:dyDescent="0.25">
      <c r="A197" s="77" t="s">
        <v>167</v>
      </c>
      <c r="B197" s="77"/>
      <c r="C197" s="77"/>
      <c r="D197" s="78" t="s">
        <v>17</v>
      </c>
      <c r="E197" s="78">
        <v>0</v>
      </c>
      <c r="F197" s="78" t="s">
        <v>18</v>
      </c>
      <c r="G197" s="78">
        <v>0</v>
      </c>
      <c r="H197" s="78" t="s">
        <v>19</v>
      </c>
      <c r="I197" s="79">
        <f>I5</f>
        <v>2.91</v>
      </c>
    </row>
    <row r="198" ht="46" customHeight="1" spans="1:9" x14ac:dyDescent="0.25">
      <c r="A198" s="80">
        <v>1</v>
      </c>
      <c r="B198" s="80"/>
      <c r="C198" s="81" t="s">
        <v>64</v>
      </c>
      <c r="D198" s="81"/>
      <c r="E198" s="29" t="s">
        <v>31</v>
      </c>
      <c r="F198" s="30">
        <v>0</v>
      </c>
      <c r="G198" s="30">
        <v>100</v>
      </c>
      <c r="H198" s="30">
        <f t="shared" ref="H198:H203" si="18">F198*G198</f>
      </c>
      <c r="I198" s="82" t="s">
        <v>65</v>
      </c>
    </row>
    <row r="199" ht="46" customHeight="1" spans="1:9" x14ac:dyDescent="0.25">
      <c r="A199" s="80">
        <v>2</v>
      </c>
      <c r="B199" s="80"/>
      <c r="C199" s="81" t="s">
        <v>146</v>
      </c>
      <c r="D199" s="81"/>
      <c r="E199" s="29" t="s">
        <v>31</v>
      </c>
      <c r="F199" s="30">
        <v>0</v>
      </c>
      <c r="G199" s="30">
        <v>160</v>
      </c>
      <c r="H199" s="30">
        <f t="shared" si="18"/>
      </c>
      <c r="I199" s="82" t="s">
        <v>147</v>
      </c>
    </row>
    <row r="200" ht="25" customHeight="1" spans="1:9" x14ac:dyDescent="0.25">
      <c r="A200" s="80">
        <v>3</v>
      </c>
      <c r="B200" s="80"/>
      <c r="C200" s="83" t="s">
        <v>148</v>
      </c>
      <c r="D200" s="83"/>
      <c r="E200" s="29" t="s">
        <v>21</v>
      </c>
      <c r="F200" s="30">
        <v>0</v>
      </c>
      <c r="G200" s="30">
        <v>208</v>
      </c>
      <c r="H200" s="30">
        <f t="shared" si="18"/>
      </c>
      <c r="I200" s="82" t="s">
        <v>163</v>
      </c>
    </row>
    <row r="201" ht="25" customHeight="1" spans="1:9" x14ac:dyDescent="0.25">
      <c r="A201" s="80">
        <v>4</v>
      </c>
      <c r="B201" s="80"/>
      <c r="C201" s="81" t="s">
        <v>150</v>
      </c>
      <c r="D201" s="81"/>
      <c r="E201" s="29" t="s">
        <v>21</v>
      </c>
      <c r="F201" s="30">
        <v>0</v>
      </c>
      <c r="G201" s="30">
        <v>78</v>
      </c>
      <c r="H201" s="30">
        <f t="shared" si="18"/>
      </c>
      <c r="I201" s="84" t="s">
        <v>151</v>
      </c>
    </row>
    <row r="202" ht="25" customHeight="1" spans="1:9" x14ac:dyDescent="0.25">
      <c r="A202" s="80">
        <v>5</v>
      </c>
      <c r="B202" s="80"/>
      <c r="C202" s="81" t="s">
        <v>89</v>
      </c>
      <c r="D202" s="81"/>
      <c r="E202" s="29" t="s">
        <v>21</v>
      </c>
      <c r="F202" s="30">
        <v>0</v>
      </c>
      <c r="G202" s="30">
        <v>58</v>
      </c>
      <c r="H202" s="30">
        <f t="shared" si="18"/>
      </c>
      <c r="I202" s="84" t="s">
        <v>152</v>
      </c>
    </row>
    <row r="203" ht="25" customHeight="1" spans="1:9" x14ac:dyDescent="0.25">
      <c r="A203" s="80">
        <v>6</v>
      </c>
      <c r="B203" s="80"/>
      <c r="C203" s="81" t="s">
        <v>153</v>
      </c>
      <c r="D203" s="81"/>
      <c r="E203" s="29" t="s">
        <v>21</v>
      </c>
      <c r="F203" s="30">
        <v>0</v>
      </c>
      <c r="G203" s="30">
        <v>108</v>
      </c>
      <c r="H203" s="30">
        <f t="shared" si="18"/>
      </c>
      <c r="I203" s="84" t="s">
        <v>153</v>
      </c>
    </row>
    <row r="204" ht="25" customHeight="1" spans="1:9" x14ac:dyDescent="0.25">
      <c r="A204" s="80">
        <v>7</v>
      </c>
      <c r="B204" s="80"/>
      <c r="C204" s="81" t="s">
        <v>74</v>
      </c>
      <c r="D204" s="81"/>
      <c r="E204" s="29" t="s">
        <v>21</v>
      </c>
      <c r="F204" s="30">
        <v>0</v>
      </c>
      <c r="G204" s="30">
        <v>150</v>
      </c>
      <c r="H204" s="30">
        <f t="shared" ref="H204:H216" si="19">F204*G204</f>
      </c>
      <c r="I204" s="91" t="s">
        <v>168</v>
      </c>
    </row>
    <row r="205" ht="25" customHeight="1" spans="1:9" x14ac:dyDescent="0.25">
      <c r="A205" s="80">
        <v>8</v>
      </c>
      <c r="B205" s="80"/>
      <c r="C205" s="81" t="s">
        <v>77</v>
      </c>
      <c r="D205" s="81"/>
      <c r="E205" s="29" t="s">
        <v>21</v>
      </c>
      <c r="F205" s="30">
        <v>0</v>
      </c>
      <c r="G205" s="30">
        <v>160</v>
      </c>
      <c r="H205" s="30">
        <f t="shared" si="19"/>
      </c>
      <c r="I205" s="82" t="s">
        <v>168</v>
      </c>
    </row>
    <row r="206" ht="25" customHeight="1" spans="1:9" x14ac:dyDescent="0.25">
      <c r="A206" s="80">
        <v>9</v>
      </c>
      <c r="B206" s="80"/>
      <c r="C206" s="85" t="s">
        <v>155</v>
      </c>
      <c r="D206" s="85"/>
      <c r="E206" s="29" t="s">
        <v>21</v>
      </c>
      <c r="F206" s="30">
        <v>0</v>
      </c>
      <c r="G206" s="30">
        <v>170</v>
      </c>
      <c r="H206" s="30">
        <f t="shared" si="19"/>
      </c>
      <c r="I206" s="82" t="s">
        <v>168</v>
      </c>
    </row>
    <row r="207" ht="25" customHeight="1" spans="1:9" x14ac:dyDescent="0.25">
      <c r="A207" s="80">
        <v>10</v>
      </c>
      <c r="B207" s="80"/>
      <c r="C207" s="81" t="s">
        <v>66</v>
      </c>
      <c r="D207" s="81"/>
      <c r="E207" s="29" t="s">
        <v>21</v>
      </c>
      <c r="F207" s="30">
        <f>E197</f>
      </c>
      <c r="G207" s="30">
        <v>10</v>
      </c>
      <c r="H207" s="30">
        <f t="shared" si="19"/>
      </c>
      <c r="I207" s="33" t="s">
        <v>67</v>
      </c>
    </row>
    <row r="208" ht="46" customHeight="1" spans="1:9" x14ac:dyDescent="0.25">
      <c r="A208" s="80">
        <v>11</v>
      </c>
      <c r="B208" s="80"/>
      <c r="C208" s="28" t="s">
        <v>95</v>
      </c>
      <c r="D208" s="28"/>
      <c r="E208" s="29" t="s">
        <v>21</v>
      </c>
      <c r="F208" s="30">
        <v>0</v>
      </c>
      <c r="G208" s="30">
        <v>168</v>
      </c>
      <c r="H208" s="30">
        <f t="shared" si="19"/>
      </c>
      <c r="I208" s="33" t="s">
        <v>96</v>
      </c>
    </row>
    <row r="209" ht="46" customHeight="1" spans="1:9" x14ac:dyDescent="0.25">
      <c r="A209" s="80">
        <v>12</v>
      </c>
      <c r="B209" s="80"/>
      <c r="C209" s="28" t="s">
        <v>108</v>
      </c>
      <c r="D209" s="28"/>
      <c r="E209" s="29" t="s">
        <v>21</v>
      </c>
      <c r="F209" s="30">
        <v>0</v>
      </c>
      <c r="G209" s="30">
        <v>258</v>
      </c>
      <c r="H209" s="30">
        <f t="shared" si="19"/>
      </c>
      <c r="I209" s="33" t="s">
        <v>109</v>
      </c>
    </row>
    <row r="210" ht="61" customHeight="1" spans="1:9" x14ac:dyDescent="0.25">
      <c r="A210" s="80">
        <v>13</v>
      </c>
      <c r="B210" s="80"/>
      <c r="C210" s="28" t="s">
        <v>110</v>
      </c>
      <c r="D210" s="28"/>
      <c r="E210" s="29" t="s">
        <v>21</v>
      </c>
      <c r="F210" s="30">
        <v>0</v>
      </c>
      <c r="G210" s="30">
        <v>208</v>
      </c>
      <c r="H210" s="30">
        <f t="shared" si="19"/>
      </c>
      <c r="I210" s="33" t="s">
        <v>111</v>
      </c>
    </row>
    <row r="211" ht="25" customHeight="1" spans="1:9" x14ac:dyDescent="0.25">
      <c r="A211" s="80">
        <v>14</v>
      </c>
      <c r="B211" s="80"/>
      <c r="C211" s="28" t="s">
        <v>112</v>
      </c>
      <c r="D211" s="28"/>
      <c r="E211" s="29" t="s">
        <v>31</v>
      </c>
      <c r="F211" s="30">
        <v>0</v>
      </c>
      <c r="G211" s="30">
        <v>80</v>
      </c>
      <c r="H211" s="30">
        <f t="shared" si="19"/>
      </c>
      <c r="I211" s="33" t="s">
        <v>113</v>
      </c>
    </row>
    <row r="212" ht="25" customHeight="1" spans="1:9" x14ac:dyDescent="0.25">
      <c r="A212" s="80">
        <v>15</v>
      </c>
      <c r="B212" s="80"/>
      <c r="C212" s="28" t="s">
        <v>114</v>
      </c>
      <c r="D212" s="28"/>
      <c r="E212" s="29" t="s">
        <v>31</v>
      </c>
      <c r="F212" s="30">
        <v>0</v>
      </c>
      <c r="G212" s="30">
        <v>80</v>
      </c>
      <c r="H212" s="30">
        <f t="shared" si="19"/>
      </c>
      <c r="I212" s="33" t="s">
        <v>113</v>
      </c>
    </row>
    <row r="213" ht="25" customHeight="1" spans="1:9" x14ac:dyDescent="0.25">
      <c r="A213" s="80">
        <v>16</v>
      </c>
      <c r="B213" s="80"/>
      <c r="C213" s="28" t="s">
        <v>116</v>
      </c>
      <c r="D213" s="28"/>
      <c r="E213" s="29" t="s">
        <v>31</v>
      </c>
      <c r="F213" s="30">
        <v>0</v>
      </c>
      <c r="G213" s="30">
        <v>50</v>
      </c>
      <c r="H213" s="30">
        <f t="shared" si="19"/>
      </c>
      <c r="I213" s="33" t="s">
        <v>117</v>
      </c>
    </row>
    <row r="214" ht="25" customHeight="1" spans="1:9" x14ac:dyDescent="0.25">
      <c r="A214" s="80">
        <v>17</v>
      </c>
      <c r="B214" s="80"/>
      <c r="C214" s="28" t="s">
        <v>118</v>
      </c>
      <c r="D214" s="28"/>
      <c r="E214" s="29" t="s">
        <v>31</v>
      </c>
      <c r="F214" s="30"/>
      <c r="G214" s="30">
        <v>60</v>
      </c>
      <c r="H214" s="30">
        <f t="shared" si="19"/>
      </c>
      <c r="I214" s="33" t="s">
        <v>119</v>
      </c>
    </row>
    <row r="215" ht="25" customHeight="1" spans="1:9" x14ac:dyDescent="0.25">
      <c r="A215" s="80">
        <v>18</v>
      </c>
      <c r="B215" s="80"/>
      <c r="C215" s="28" t="s">
        <v>120</v>
      </c>
      <c r="D215" s="28"/>
      <c r="E215" s="29" t="s">
        <v>31</v>
      </c>
      <c r="F215" s="30">
        <v>0</v>
      </c>
      <c r="G215" s="30">
        <v>100</v>
      </c>
      <c r="H215" s="30">
        <f t="shared" si="19"/>
      </c>
      <c r="I215" s="33" t="s">
        <v>158</v>
      </c>
    </row>
    <row r="216" ht="46" customHeight="1" spans="1:9" x14ac:dyDescent="0.25">
      <c r="A216" s="80">
        <v>19</v>
      </c>
      <c r="B216" s="80"/>
      <c r="C216" s="83" t="s">
        <v>122</v>
      </c>
      <c r="D216" s="83"/>
      <c r="E216" s="29" t="s">
        <v>31</v>
      </c>
      <c r="F216" s="30"/>
      <c r="G216" s="30">
        <v>188</v>
      </c>
      <c r="H216" s="30">
        <f t="shared" si="19"/>
      </c>
      <c r="I216" s="82" t="s">
        <v>169</v>
      </c>
    </row>
    <row r="217" ht="25" customHeight="1" spans="1:9" x14ac:dyDescent="0.25">
      <c r="A217" s="80">
        <v>20</v>
      </c>
      <c r="B217" s="80"/>
      <c r="C217" s="83" t="s">
        <v>160</v>
      </c>
      <c r="D217" s="83"/>
      <c r="E217" s="29" t="s">
        <v>21</v>
      </c>
      <c r="F217" s="30">
        <v>0</v>
      </c>
      <c r="G217" s="30">
        <v>208</v>
      </c>
      <c r="H217" s="30">
        <f t="shared" ref="H217:H224" si="20">F217*G217</f>
      </c>
      <c r="I217" s="82" t="s">
        <v>163</v>
      </c>
    </row>
    <row r="218" ht="76" customHeight="1" spans="1:9" x14ac:dyDescent="0.25">
      <c r="A218" s="80">
        <v>21</v>
      </c>
      <c r="B218" s="80"/>
      <c r="C218" s="28" t="s">
        <v>131</v>
      </c>
      <c r="D218" s="28"/>
      <c r="E218" s="29" t="s">
        <v>21</v>
      </c>
      <c r="F218" s="30">
        <f>E197</f>
      </c>
      <c r="G218" s="92">
        <v>47</v>
      </c>
      <c r="H218" s="30">
        <f t="shared" si="20"/>
      </c>
      <c r="I218" s="33" t="s">
        <v>132</v>
      </c>
    </row>
    <row r="219" ht="31" customHeight="1" spans="1:9" x14ac:dyDescent="0.25">
      <c r="A219" s="80">
        <v>22</v>
      </c>
      <c r="B219" s="80"/>
      <c r="C219" s="28" t="s">
        <v>133</v>
      </c>
      <c r="D219" s="28"/>
      <c r="E219" s="29" t="s">
        <v>21</v>
      </c>
      <c r="F219" s="30">
        <f>F218</f>
      </c>
      <c r="G219" s="92">
        <v>18</v>
      </c>
      <c r="H219" s="30">
        <f t="shared" si="20"/>
      </c>
      <c r="I219" s="87" t="s">
        <v>134</v>
      </c>
    </row>
    <row r="220" ht="76" customHeight="1" spans="1:9" x14ac:dyDescent="0.25">
      <c r="A220" s="80">
        <v>23</v>
      </c>
      <c r="B220" s="80"/>
      <c r="C220" s="85" t="s">
        <v>135</v>
      </c>
      <c r="D220" s="85"/>
      <c r="E220" s="29" t="s">
        <v>21</v>
      </c>
      <c r="F220" s="30">
        <f>(G197)*(I197-0.3)</f>
      </c>
      <c r="G220" s="92">
        <v>47</v>
      </c>
      <c r="H220" s="30">
        <f t="shared" si="20"/>
      </c>
      <c r="I220" s="33" t="s">
        <v>136</v>
      </c>
    </row>
    <row r="221" ht="25" customHeight="1" spans="1:9" x14ac:dyDescent="0.25">
      <c r="A221" s="80">
        <v>24</v>
      </c>
      <c r="B221" s="80"/>
      <c r="C221" s="85" t="s">
        <v>137</v>
      </c>
      <c r="D221" s="85"/>
      <c r="E221" s="29" t="s">
        <v>21</v>
      </c>
      <c r="F221" s="30">
        <f>F220</f>
      </c>
      <c r="G221" s="92">
        <v>18</v>
      </c>
      <c r="H221" s="30">
        <f t="shared" si="20"/>
      </c>
      <c r="I221" s="87" t="s">
        <v>134</v>
      </c>
    </row>
    <row r="222" ht="25" customHeight="1" spans="1:9" x14ac:dyDescent="0.25">
      <c r="A222" s="88" t="s">
        <v>60</v>
      </c>
      <c r="B222" s="88"/>
      <c r="C222" s="88"/>
      <c r="D222" s="88"/>
      <c r="E222" s="88"/>
      <c r="F222" s="88"/>
      <c r="G222" s="88"/>
      <c r="H222" s="89">
        <f>SUM(H198:H221)</f>
      </c>
      <c r="I222" s="90"/>
    </row>
    <row r="223" ht="25" customHeight="1" spans="1:9" x14ac:dyDescent="0.25">
      <c r="A223" s="77" t="s">
        <v>170</v>
      </c>
      <c r="B223" s="77"/>
      <c r="C223" s="77"/>
      <c r="D223" s="78" t="s">
        <v>17</v>
      </c>
      <c r="E223" s="78">
        <v>0</v>
      </c>
      <c r="F223" s="78" t="s">
        <v>18</v>
      </c>
      <c r="G223" s="78">
        <v>0</v>
      </c>
      <c r="H223" s="78" t="s">
        <v>19</v>
      </c>
      <c r="I223" s="79">
        <v>2.45</v>
      </c>
    </row>
    <row r="224" ht="46" customHeight="1" spans="1:9" x14ac:dyDescent="0.25">
      <c r="A224" s="80">
        <v>1</v>
      </c>
      <c r="B224" s="80"/>
      <c r="C224" s="81" t="s">
        <v>64</v>
      </c>
      <c r="D224" s="81"/>
      <c r="E224" s="29" t="s">
        <v>31</v>
      </c>
      <c r="F224" s="30">
        <v>0</v>
      </c>
      <c r="G224" s="30">
        <v>100</v>
      </c>
      <c r="H224" s="30">
        <f t="shared" ref="H224:H236" si="21">F224*G224</f>
      </c>
      <c r="I224" s="82" t="s">
        <v>65</v>
      </c>
    </row>
    <row r="225" ht="25" customHeight="1" spans="1:9" x14ac:dyDescent="0.25">
      <c r="A225" s="80">
        <v>2</v>
      </c>
      <c r="B225" s="80"/>
      <c r="C225" s="81" t="s">
        <v>150</v>
      </c>
      <c r="D225" s="81"/>
      <c r="E225" s="29" t="s">
        <v>21</v>
      </c>
      <c r="F225" s="30">
        <v>0</v>
      </c>
      <c r="G225" s="30">
        <v>78</v>
      </c>
      <c r="H225" s="30">
        <f t="shared" si="21"/>
      </c>
      <c r="I225" s="84" t="s">
        <v>151</v>
      </c>
    </row>
    <row r="226" ht="25" customHeight="1" spans="1:9" x14ac:dyDescent="0.25">
      <c r="A226" s="80">
        <v>3</v>
      </c>
      <c r="B226" s="80"/>
      <c r="C226" s="81" t="s">
        <v>89</v>
      </c>
      <c r="D226" s="81"/>
      <c r="E226" s="29" t="s">
        <v>21</v>
      </c>
      <c r="F226" s="30">
        <v>0</v>
      </c>
      <c r="G226" s="30">
        <v>58</v>
      </c>
      <c r="H226" s="30">
        <f t="shared" si="21"/>
      </c>
      <c r="I226" s="84" t="s">
        <v>152</v>
      </c>
    </row>
    <row r="227" ht="31" customHeight="1" spans="1:9" x14ac:dyDescent="0.25">
      <c r="A227" s="80">
        <v>4</v>
      </c>
      <c r="B227" s="80"/>
      <c r="C227" s="81" t="s">
        <v>153</v>
      </c>
      <c r="D227" s="81"/>
      <c r="E227" s="29" t="s">
        <v>21</v>
      </c>
      <c r="F227" s="30">
        <v>0</v>
      </c>
      <c r="G227" s="30">
        <v>98</v>
      </c>
      <c r="H227" s="30">
        <f t="shared" si="21"/>
      </c>
      <c r="I227" s="84" t="s">
        <v>171</v>
      </c>
    </row>
    <row r="228" ht="25" customHeight="1" spans="1:9" x14ac:dyDescent="0.25">
      <c r="A228" s="80">
        <v>5</v>
      </c>
      <c r="B228" s="80"/>
      <c r="C228" s="81" t="s">
        <v>74</v>
      </c>
      <c r="D228" s="81"/>
      <c r="E228" s="29" t="s">
        <v>21</v>
      </c>
      <c r="F228" s="30">
        <v>0</v>
      </c>
      <c r="G228" s="30">
        <v>150</v>
      </c>
      <c r="H228" s="30">
        <f t="shared" si="21"/>
      </c>
      <c r="I228" s="82" t="s">
        <v>76</v>
      </c>
    </row>
    <row r="229" ht="25" customHeight="1" spans="1:9" x14ac:dyDescent="0.25">
      <c r="A229" s="80">
        <v>6</v>
      </c>
      <c r="B229" s="80"/>
      <c r="C229" s="81" t="s">
        <v>77</v>
      </c>
      <c r="D229" s="81"/>
      <c r="E229" s="29" t="s">
        <v>21</v>
      </c>
      <c r="F229" s="30">
        <v>0</v>
      </c>
      <c r="G229" s="30">
        <v>160</v>
      </c>
      <c r="H229" s="30">
        <f t="shared" si="21"/>
      </c>
      <c r="I229" s="82" t="s">
        <v>76</v>
      </c>
    </row>
    <row r="230" ht="25" customHeight="1" spans="1:9" x14ac:dyDescent="0.25">
      <c r="A230" s="80">
        <v>7</v>
      </c>
      <c r="B230" s="80"/>
      <c r="C230" s="85" t="s">
        <v>155</v>
      </c>
      <c r="D230" s="85"/>
      <c r="E230" s="29" t="s">
        <v>21</v>
      </c>
      <c r="F230" s="30">
        <f>E223</f>
      </c>
      <c r="G230" s="30">
        <v>170</v>
      </c>
      <c r="H230" s="30">
        <f t="shared" si="21"/>
      </c>
      <c r="I230" s="82" t="s">
        <v>76</v>
      </c>
    </row>
    <row r="231" ht="25" customHeight="1" spans="1:9" x14ac:dyDescent="0.25">
      <c r="A231" s="80">
        <v>8</v>
      </c>
      <c r="B231" s="80"/>
      <c r="C231" s="85" t="s">
        <v>79</v>
      </c>
      <c r="D231" s="85"/>
      <c r="E231" s="29" t="s">
        <v>21</v>
      </c>
      <c r="F231" s="30">
        <v>0</v>
      </c>
      <c r="G231" s="30">
        <v>200</v>
      </c>
      <c r="H231" s="30">
        <f t="shared" si="21"/>
      </c>
      <c r="I231" s="82" t="s">
        <v>76</v>
      </c>
    </row>
    <row r="232" ht="25" customHeight="1" spans="1:9" x14ac:dyDescent="0.25">
      <c r="A232" s="80">
        <v>9</v>
      </c>
      <c r="B232" s="80"/>
      <c r="C232" s="85" t="s">
        <v>172</v>
      </c>
      <c r="D232" s="85"/>
      <c r="E232" s="29" t="s">
        <v>21</v>
      </c>
      <c r="F232" s="30">
        <v>0</v>
      </c>
      <c r="G232" s="30">
        <v>160</v>
      </c>
      <c r="H232" s="30">
        <f t="shared" si="21"/>
      </c>
      <c r="I232" s="33" t="s">
        <v>81</v>
      </c>
    </row>
    <row r="233" ht="25" customHeight="1" spans="1:9" x14ac:dyDescent="0.25">
      <c r="A233" s="80">
        <v>10</v>
      </c>
      <c r="B233" s="80"/>
      <c r="C233" s="81" t="s">
        <v>82</v>
      </c>
      <c r="D233" s="81"/>
      <c r="E233" s="29" t="s">
        <v>21</v>
      </c>
      <c r="F233" s="30">
        <v>0</v>
      </c>
      <c r="G233" s="30">
        <v>170</v>
      </c>
      <c r="H233" s="30">
        <f t="shared" si="21"/>
      </c>
      <c r="I233" s="33" t="s">
        <v>81</v>
      </c>
    </row>
    <row r="234" ht="25" customHeight="1" spans="1:9" x14ac:dyDescent="0.25">
      <c r="A234" s="80">
        <v>11</v>
      </c>
      <c r="B234" s="80"/>
      <c r="C234" s="85" t="s">
        <v>173</v>
      </c>
      <c r="D234" s="85"/>
      <c r="E234" s="29" t="s">
        <v>21</v>
      </c>
      <c r="F234" s="30">
        <v>0</v>
      </c>
      <c r="G234" s="30">
        <v>170</v>
      </c>
      <c r="H234" s="30">
        <f t="shared" si="21"/>
      </c>
      <c r="I234" s="33" t="s">
        <v>81</v>
      </c>
    </row>
    <row r="235" ht="46" customHeight="1" spans="1:9" x14ac:dyDescent="0.25">
      <c r="A235" s="80">
        <v>12</v>
      </c>
      <c r="B235" s="80"/>
      <c r="C235" s="28" t="s">
        <v>107</v>
      </c>
      <c r="D235" s="28"/>
      <c r="E235" s="29" t="s">
        <v>21</v>
      </c>
      <c r="F235" s="30">
        <f>E223</f>
      </c>
      <c r="G235" s="30">
        <v>268</v>
      </c>
      <c r="H235" s="30">
        <f t="shared" si="21"/>
      </c>
      <c r="I235" s="33" t="s">
        <v>96</v>
      </c>
    </row>
    <row r="236" ht="25" customHeight="1" spans="1:9" x14ac:dyDescent="0.25">
      <c r="A236" s="80">
        <v>13</v>
      </c>
      <c r="B236" s="80"/>
      <c r="C236" s="83" t="s">
        <v>165</v>
      </c>
      <c r="D236" s="83"/>
      <c r="E236" s="29" t="s">
        <v>31</v>
      </c>
      <c r="F236" s="30">
        <v>0</v>
      </c>
      <c r="G236" s="30">
        <v>208</v>
      </c>
      <c r="H236" s="30">
        <f t="shared" si="21"/>
      </c>
      <c r="I236" s="82" t="s">
        <v>166</v>
      </c>
    </row>
    <row r="237" ht="76" customHeight="1" spans="1:9" x14ac:dyDescent="0.25">
      <c r="A237" s="80">
        <v>14</v>
      </c>
      <c r="B237" s="80"/>
      <c r="C237" s="28" t="s">
        <v>131</v>
      </c>
      <c r="D237" s="28"/>
      <c r="E237" s="29" t="s">
        <v>21</v>
      </c>
      <c r="F237" s="30">
        <f>E223</f>
      </c>
      <c r="G237" s="92">
        <v>47</v>
      </c>
      <c r="H237" s="30">
        <f t="shared" ref="H237:H244" si="22">F237*G237</f>
      </c>
      <c r="I237" s="33" t="s">
        <v>132</v>
      </c>
    </row>
    <row r="238" ht="31" customHeight="1" spans="1:9" x14ac:dyDescent="0.25">
      <c r="A238" s="80">
        <v>15</v>
      </c>
      <c r="B238" s="80"/>
      <c r="C238" s="28" t="s">
        <v>133</v>
      </c>
      <c r="D238" s="28"/>
      <c r="E238" s="29" t="s">
        <v>21</v>
      </c>
      <c r="F238" s="30">
        <f>F237</f>
      </c>
      <c r="G238" s="92">
        <v>18</v>
      </c>
      <c r="H238" s="30">
        <f t="shared" si="22"/>
      </c>
      <c r="I238" s="87" t="s">
        <v>134</v>
      </c>
    </row>
    <row r="239" ht="76" customHeight="1" spans="1:9" x14ac:dyDescent="0.25">
      <c r="A239" s="80">
        <v>16</v>
      </c>
      <c r="B239" s="80"/>
      <c r="C239" s="85" t="s">
        <v>135</v>
      </c>
      <c r="D239" s="85"/>
      <c r="E239" s="29" t="s">
        <v>21</v>
      </c>
      <c r="F239" s="30">
        <v>0</v>
      </c>
      <c r="G239" s="92">
        <v>47</v>
      </c>
      <c r="H239" s="30">
        <f t="shared" si="22"/>
      </c>
      <c r="I239" s="33" t="s">
        <v>136</v>
      </c>
    </row>
    <row r="240" ht="25" customHeight="1" spans="1:9" x14ac:dyDescent="0.25">
      <c r="A240" s="80">
        <v>17</v>
      </c>
      <c r="B240" s="80"/>
      <c r="C240" s="85" t="s">
        <v>137</v>
      </c>
      <c r="D240" s="85"/>
      <c r="E240" s="29" t="s">
        <v>21</v>
      </c>
      <c r="F240" s="30">
        <f>F239</f>
      </c>
      <c r="G240" s="92">
        <v>18</v>
      </c>
      <c r="H240" s="30">
        <f t="shared" si="22"/>
      </c>
      <c r="I240" s="87" t="s">
        <v>134</v>
      </c>
    </row>
    <row r="241" ht="25" customHeight="1" spans="1:9" x14ac:dyDescent="0.25">
      <c r="A241" s="80">
        <v>18</v>
      </c>
      <c r="B241" s="80"/>
      <c r="C241" s="81" t="s">
        <v>66</v>
      </c>
      <c r="D241" s="81"/>
      <c r="E241" s="29" t="s">
        <v>21</v>
      </c>
      <c r="F241" s="30">
        <f>E223</f>
      </c>
      <c r="G241" s="30">
        <v>12</v>
      </c>
      <c r="H241" s="30">
        <f t="shared" si="22"/>
      </c>
      <c r="I241" s="33" t="s">
        <v>67</v>
      </c>
    </row>
    <row r="242" ht="31" customHeight="1" spans="1:9" x14ac:dyDescent="0.25">
      <c r="A242" s="80">
        <v>19</v>
      </c>
      <c r="B242" s="80"/>
      <c r="C242" s="81" t="s">
        <v>139</v>
      </c>
      <c r="D242" s="81"/>
      <c r="E242" s="35" t="s">
        <v>29</v>
      </c>
      <c r="F242" s="30">
        <v>0</v>
      </c>
      <c r="G242" s="30">
        <v>280</v>
      </c>
      <c r="H242" s="32">
        <f t="shared" si="22"/>
      </c>
      <c r="I242" s="33" t="s">
        <v>140</v>
      </c>
    </row>
    <row r="243" ht="31" customHeight="1" spans="1:9" x14ac:dyDescent="0.25">
      <c r="A243" s="80">
        <v>20</v>
      </c>
      <c r="B243" s="80"/>
      <c r="C243" s="81" t="s">
        <v>141</v>
      </c>
      <c r="D243" s="81"/>
      <c r="E243" s="35" t="s">
        <v>29</v>
      </c>
      <c r="F243" s="30">
        <v>0</v>
      </c>
      <c r="G243" s="30">
        <v>380</v>
      </c>
      <c r="H243" s="32">
        <f t="shared" si="22"/>
      </c>
      <c r="I243" s="33" t="s">
        <v>140</v>
      </c>
    </row>
    <row r="244" ht="31" customHeight="1" spans="1:9" x14ac:dyDescent="0.25">
      <c r="A244" s="80">
        <v>21</v>
      </c>
      <c r="B244" s="80"/>
      <c r="C244" s="81" t="s">
        <v>142</v>
      </c>
      <c r="D244" s="81"/>
      <c r="E244" s="35" t="s">
        <v>29</v>
      </c>
      <c r="F244" s="30"/>
      <c r="G244" s="30">
        <v>480</v>
      </c>
      <c r="H244" s="32">
        <f t="shared" si="22"/>
      </c>
      <c r="I244" s="33" t="s">
        <v>140</v>
      </c>
    </row>
    <row r="245" ht="25" customHeight="1" spans="1:9" x14ac:dyDescent="0.25">
      <c r="A245" s="88" t="s">
        <v>60</v>
      </c>
      <c r="B245" s="88"/>
      <c r="C245" s="88"/>
      <c r="D245" s="88"/>
      <c r="E245" s="88"/>
      <c r="F245" s="88"/>
      <c r="G245" s="88"/>
      <c r="H245" s="89">
        <f>SUM(H224:H244)</f>
      </c>
      <c r="I245" s="90"/>
    </row>
    <row r="246" ht="25" customHeight="1" spans="1:9" x14ac:dyDescent="0.25">
      <c r="A246" s="77" t="s">
        <v>174</v>
      </c>
      <c r="B246" s="77"/>
      <c r="C246" s="77"/>
      <c r="D246" s="78" t="s">
        <v>17</v>
      </c>
      <c r="E246" s="78">
        <v>5.8</v>
      </c>
      <c r="F246" s="78" t="s">
        <v>18</v>
      </c>
      <c r="G246" s="78">
        <v>12</v>
      </c>
      <c r="H246" s="78" t="s">
        <v>19</v>
      </c>
      <c r="I246" s="79">
        <f>I5-0.36-0.1</f>
        <v>2.45</v>
      </c>
    </row>
    <row r="247" ht="25" customHeight="1" spans="1:9" x14ac:dyDescent="0.25">
      <c r="A247" s="93">
        <v>1</v>
      </c>
      <c r="B247" s="93"/>
      <c r="C247" s="63" t="s">
        <v>62</v>
      </c>
      <c r="D247" s="63"/>
      <c r="E247" s="64" t="s">
        <v>31</v>
      </c>
      <c r="F247" s="65">
        <v>0</v>
      </c>
      <c r="G247" s="65">
        <v>100</v>
      </c>
      <c r="H247" s="65">
        <f>F247*G247</f>
      </c>
      <c r="I247" s="94" t="s">
        <v>63</v>
      </c>
    </row>
    <row r="248" ht="25" customHeight="1" spans="1:9" x14ac:dyDescent="0.25">
      <c r="A248" s="93">
        <v>2</v>
      </c>
      <c r="B248" s="93"/>
      <c r="C248" s="63" t="s">
        <v>66</v>
      </c>
      <c r="D248" s="63"/>
      <c r="E248" s="64" t="s">
        <v>102</v>
      </c>
      <c r="F248" s="65">
        <v>0</v>
      </c>
      <c r="G248" s="65">
        <v>12</v>
      </c>
      <c r="H248" s="65">
        <f>F248*G248</f>
      </c>
      <c r="I248" s="94" t="s">
        <v>67</v>
      </c>
    </row>
    <row r="249" ht="25" customHeight="1" spans="1:9" x14ac:dyDescent="0.25">
      <c r="A249" s="93">
        <v>2</v>
      </c>
      <c r="B249" s="93"/>
      <c r="C249" s="63" t="s">
        <v>175</v>
      </c>
      <c r="D249" s="63"/>
      <c r="E249" s="64" t="s">
        <v>102</v>
      </c>
      <c r="F249" s="65">
        <v>0</v>
      </c>
      <c r="G249" s="65">
        <v>228</v>
      </c>
      <c r="H249" s="95">
        <f>F249*G249</f>
      </c>
      <c r="I249" s="66" t="s">
        <v>176</v>
      </c>
    </row>
    <row r="250" ht="25" customHeight="1" spans="1:9" x14ac:dyDescent="0.25">
      <c r="A250" s="93">
        <v>3</v>
      </c>
      <c r="B250" s="93"/>
      <c r="C250" s="63" t="s">
        <v>177</v>
      </c>
      <c r="D250" s="63"/>
      <c r="E250" s="64" t="s">
        <v>102</v>
      </c>
      <c r="F250" s="65">
        <f>F249</f>
      </c>
      <c r="G250" s="65">
        <v>58</v>
      </c>
      <c r="H250" s="95">
        <f>F250*G250</f>
      </c>
      <c r="I250" s="66" t="s">
        <v>178</v>
      </c>
    </row>
    <row r="251" ht="76" customHeight="1" spans="1:9" x14ac:dyDescent="0.25">
      <c r="A251" s="68" t="s">
        <v>68</v>
      </c>
      <c r="B251" s="68"/>
      <c r="C251" s="43" t="s">
        <v>179</v>
      </c>
      <c r="D251" s="43"/>
      <c r="E251" s="44" t="s">
        <v>21</v>
      </c>
      <c r="F251" s="45">
        <f>E246*2</f>
        <v>11.6</v>
      </c>
      <c r="G251" s="45">
        <v>65</v>
      </c>
      <c r="H251" s="45">
        <f t="shared" ref="H251:H261" si="23">F251*G251</f>
        <v>754</v>
      </c>
      <c r="I251" s="46" t="s">
        <v>180</v>
      </c>
    </row>
    <row r="252" ht="76" customHeight="1" spans="1:9" x14ac:dyDescent="0.25">
      <c r="A252" s="68"/>
      <c r="B252" s="68"/>
      <c r="C252" s="43" t="s">
        <v>71</v>
      </c>
      <c r="D252" s="43"/>
      <c r="E252" s="44" t="s">
        <v>21</v>
      </c>
      <c r="F252" s="45">
        <f>SUM(G246*2)</f>
        <v>24</v>
      </c>
      <c r="G252" s="45">
        <v>65</v>
      </c>
      <c r="H252" s="45">
        <f t="shared" si="23"/>
        <v>1560</v>
      </c>
      <c r="I252" s="46" t="s">
        <v>181</v>
      </c>
    </row>
    <row r="253" ht="31" customHeight="1" spans="1:9" x14ac:dyDescent="0.25">
      <c r="A253" s="96" t="s">
        <v>88</v>
      </c>
      <c r="B253" s="96"/>
      <c r="C253" s="81" t="s">
        <v>150</v>
      </c>
      <c r="D253" s="81"/>
      <c r="E253" s="29" t="s">
        <v>21</v>
      </c>
      <c r="F253" s="30">
        <v>0</v>
      </c>
      <c r="G253" s="30">
        <v>78</v>
      </c>
      <c r="H253" s="30">
        <f t="shared" si="23"/>
      </c>
      <c r="I253" s="84" t="s">
        <v>151</v>
      </c>
    </row>
    <row r="254" ht="25" customHeight="1" spans="1:9" x14ac:dyDescent="0.25">
      <c r="A254" s="96"/>
      <c r="B254" s="96"/>
      <c r="C254" s="81" t="s">
        <v>89</v>
      </c>
      <c r="D254" s="81"/>
      <c r="E254" s="29" t="s">
        <v>21</v>
      </c>
      <c r="F254" s="30">
        <v>0</v>
      </c>
      <c r="G254" s="30">
        <v>58</v>
      </c>
      <c r="H254" s="30">
        <f t="shared" si="23"/>
      </c>
      <c r="I254" s="84" t="s">
        <v>152</v>
      </c>
    </row>
    <row r="255" ht="25" customHeight="1" spans="1:9" x14ac:dyDescent="0.25">
      <c r="A255" s="96"/>
      <c r="B255" s="96"/>
      <c r="C255" s="81" t="s">
        <v>153</v>
      </c>
      <c r="D255" s="81"/>
      <c r="E255" s="29" t="s">
        <v>21</v>
      </c>
      <c r="F255" s="30">
        <v>0</v>
      </c>
      <c r="G255" s="30">
        <v>98</v>
      </c>
      <c r="H255" s="30">
        <f t="shared" si="23"/>
      </c>
      <c r="I255" s="84" t="s">
        <v>153</v>
      </c>
    </row>
    <row r="256" ht="25" customHeight="1" spans="1:9" x14ac:dyDescent="0.25">
      <c r="A256" s="96" t="s">
        <v>73</v>
      </c>
      <c r="B256" s="96"/>
      <c r="C256" s="85" t="s">
        <v>182</v>
      </c>
      <c r="D256" s="85"/>
      <c r="E256" s="29" t="s">
        <v>21</v>
      </c>
      <c r="F256" s="30"/>
      <c r="G256" s="30">
        <v>230</v>
      </c>
      <c r="H256" s="30">
        <f t="shared" si="23"/>
      </c>
      <c r="I256" s="97" t="s">
        <v>183</v>
      </c>
    </row>
    <row r="257" ht="25" customHeight="1" spans="1:9" x14ac:dyDescent="0.25">
      <c r="A257" s="96"/>
      <c r="B257" s="96"/>
      <c r="C257" s="81" t="s">
        <v>77</v>
      </c>
      <c r="D257" s="81"/>
      <c r="E257" s="29" t="s">
        <v>21</v>
      </c>
      <c r="F257" s="30">
        <v>0</v>
      </c>
      <c r="G257" s="30">
        <v>160</v>
      </c>
      <c r="H257" s="30">
        <f t="shared" si="23"/>
      </c>
      <c r="I257" s="82" t="s">
        <v>76</v>
      </c>
    </row>
    <row r="258" ht="25" customHeight="1" spans="1:9" x14ac:dyDescent="0.25">
      <c r="A258" s="96"/>
      <c r="B258" s="96"/>
      <c r="C258" s="85" t="s">
        <v>173</v>
      </c>
      <c r="D258" s="85"/>
      <c r="E258" s="29" t="s">
        <v>21</v>
      </c>
      <c r="F258" s="30"/>
      <c r="G258" s="30">
        <v>170</v>
      </c>
      <c r="H258" s="30">
        <f t="shared" si="23"/>
      </c>
      <c r="I258" s="33" t="s">
        <v>81</v>
      </c>
    </row>
    <row r="259" ht="25" customHeight="1" spans="1:9" x14ac:dyDescent="0.25">
      <c r="A259" s="96"/>
      <c r="B259" s="96"/>
      <c r="C259" s="85" t="s">
        <v>184</v>
      </c>
      <c r="D259" s="85"/>
      <c r="E259" s="29" t="s">
        <v>21</v>
      </c>
      <c r="F259" s="30"/>
      <c r="G259" s="30">
        <v>180</v>
      </c>
      <c r="H259" s="30">
        <f t="shared" si="23"/>
      </c>
      <c r="I259" s="33" t="s">
        <v>81</v>
      </c>
    </row>
    <row r="260" ht="25" customHeight="1" spans="1:9" x14ac:dyDescent="0.25">
      <c r="A260" s="80">
        <v>13</v>
      </c>
      <c r="B260" s="80"/>
      <c r="C260" s="43" t="s">
        <v>185</v>
      </c>
      <c r="D260" s="43"/>
      <c r="E260" s="44" t="s">
        <v>31</v>
      </c>
      <c r="F260" s="45">
        <v>0.9</v>
      </c>
      <c r="G260" s="45">
        <v>100</v>
      </c>
      <c r="H260" s="45">
        <f t="shared" si="23"/>
        <v>90</v>
      </c>
      <c r="I260" s="46" t="s">
        <v>63</v>
      </c>
    </row>
    <row r="261" ht="25" customHeight="1" spans="1:9" x14ac:dyDescent="0.25">
      <c r="A261" s="80">
        <v>14</v>
      </c>
      <c r="B261" s="80"/>
      <c r="C261" s="70" t="s">
        <v>186</v>
      </c>
      <c r="D261" s="70"/>
      <c r="E261" s="71" t="s">
        <v>29</v>
      </c>
      <c r="F261" s="45">
        <v>1</v>
      </c>
      <c r="G261" s="45">
        <v>499</v>
      </c>
      <c r="H261" s="45">
        <f t="shared" si="23"/>
        <v>499</v>
      </c>
      <c r="I261" s="46" t="s">
        <v>187</v>
      </c>
    </row>
    <row r="262" ht="46" customHeight="1" spans="1:9" x14ac:dyDescent="0.25">
      <c r="A262" s="80">
        <v>17</v>
      </c>
      <c r="B262" s="80"/>
      <c r="C262" s="43" t="s">
        <v>107</v>
      </c>
      <c r="D262" s="43"/>
      <c r="E262" s="44" t="s">
        <v>21</v>
      </c>
      <c r="F262" s="45">
        <f>E246</f>
        <v>5.8</v>
      </c>
      <c r="G262" s="45">
        <v>268</v>
      </c>
      <c r="H262" s="45">
        <f t="shared" ref="H262:H267" si="24">F262*G262</f>
        <v>1554.4</v>
      </c>
      <c r="I262" s="46" t="s">
        <v>96</v>
      </c>
    </row>
    <row r="263" ht="76" customHeight="1" spans="1:9" x14ac:dyDescent="0.25">
      <c r="A263" s="80">
        <v>18</v>
      </c>
      <c r="B263" s="80"/>
      <c r="C263" s="43" t="s">
        <v>188</v>
      </c>
      <c r="D263" s="43"/>
      <c r="E263" s="44" t="s">
        <v>21</v>
      </c>
      <c r="F263" s="45">
        <f>F262</f>
        <v>5.8</v>
      </c>
      <c r="G263" s="45">
        <v>57</v>
      </c>
      <c r="H263" s="45">
        <f t="shared" si="24"/>
        <v>330.6</v>
      </c>
      <c r="I263" s="98" t="s">
        <v>132</v>
      </c>
    </row>
    <row r="264" ht="17.6" customHeight="1" spans="1:9" x14ac:dyDescent="0.25">
      <c r="A264" s="80">
        <v>19</v>
      </c>
      <c r="B264" s="80"/>
      <c r="C264" s="43" t="s">
        <v>189</v>
      </c>
      <c r="D264" s="43"/>
      <c r="E264" s="67" t="s">
        <v>190</v>
      </c>
      <c r="F264" s="45">
        <v>1</v>
      </c>
      <c r="G264" s="45">
        <v>700</v>
      </c>
      <c r="H264" s="45">
        <f t="shared" si="24"/>
        <v>700</v>
      </c>
      <c r="I264" s="99" t="s">
        <v>191</v>
      </c>
    </row>
    <row r="265" ht="31" customHeight="1" spans="1:9" x14ac:dyDescent="0.25">
      <c r="A265" s="80">
        <v>20</v>
      </c>
      <c r="B265" s="80"/>
      <c r="C265" s="81" t="s">
        <v>139</v>
      </c>
      <c r="D265" s="81"/>
      <c r="E265" s="35" t="s">
        <v>29</v>
      </c>
      <c r="F265" s="30">
        <v>0</v>
      </c>
      <c r="G265" s="30">
        <v>280</v>
      </c>
      <c r="H265" s="32">
        <f t="shared" si="24"/>
      </c>
      <c r="I265" s="33" t="s">
        <v>140</v>
      </c>
    </row>
    <row r="266" ht="31" customHeight="1" spans="1:9" x14ac:dyDescent="0.25">
      <c r="A266" s="80">
        <v>21</v>
      </c>
      <c r="B266" s="80"/>
      <c r="C266" s="81" t="s">
        <v>141</v>
      </c>
      <c r="D266" s="81"/>
      <c r="E266" s="35" t="s">
        <v>29</v>
      </c>
      <c r="F266" s="30">
        <v>1</v>
      </c>
      <c r="G266" s="30">
        <v>380</v>
      </c>
      <c r="H266" s="32">
        <f t="shared" si="24"/>
        <v>380</v>
      </c>
      <c r="I266" s="33" t="s">
        <v>140</v>
      </c>
    </row>
    <row r="267" ht="31" customHeight="1" spans="1:9" x14ac:dyDescent="0.25">
      <c r="A267" s="80">
        <v>22</v>
      </c>
      <c r="B267" s="80"/>
      <c r="C267" s="81" t="s">
        <v>142</v>
      </c>
      <c r="D267" s="81"/>
      <c r="E267" s="35" t="s">
        <v>29</v>
      </c>
      <c r="F267" s="30">
        <v>0</v>
      </c>
      <c r="G267" s="30">
        <v>480</v>
      </c>
      <c r="H267" s="32">
        <f t="shared" si="24"/>
      </c>
      <c r="I267" s="33" t="s">
        <v>140</v>
      </c>
    </row>
    <row r="268" ht="25" customHeight="1" spans="1:9" x14ac:dyDescent="0.25">
      <c r="A268" s="88" t="s">
        <v>60</v>
      </c>
      <c r="B268" s="88"/>
      <c r="C268" s="88"/>
      <c r="D268" s="88"/>
      <c r="E268" s="88"/>
      <c r="F268" s="88"/>
      <c r="G268" s="88"/>
      <c r="H268" s="89">
        <f>SUM(H247:H267)</f>
        <v>5868</v>
      </c>
      <c r="I268" s="90"/>
    </row>
    <row r="269" ht="25" customHeight="1" spans="1:9" x14ac:dyDescent="0.25">
      <c r="A269" s="77" t="s">
        <v>192</v>
      </c>
      <c r="B269" s="77"/>
      <c r="C269" s="77"/>
      <c r="D269" s="78" t="s">
        <v>17</v>
      </c>
      <c r="E269" s="78">
        <v>2.5</v>
      </c>
      <c r="F269" s="78" t="s">
        <v>18</v>
      </c>
      <c r="G269" s="78">
        <v>7.1</v>
      </c>
      <c r="H269" s="78" t="s">
        <v>19</v>
      </c>
      <c r="I269" s="79">
        <v>2.45</v>
      </c>
    </row>
    <row r="270" ht="25" customHeight="1" spans="1:9" x14ac:dyDescent="0.25">
      <c r="A270" s="80">
        <v>1</v>
      </c>
      <c r="B270" s="80"/>
      <c r="C270" s="81" t="s">
        <v>62</v>
      </c>
      <c r="D270" s="81"/>
      <c r="E270" s="29" t="s">
        <v>31</v>
      </c>
      <c r="F270" s="30">
        <v>0</v>
      </c>
      <c r="G270" s="30">
        <v>80</v>
      </c>
      <c r="H270" s="30">
        <f t="shared" ref="H270:H278" si="25">F270*G270</f>
      </c>
      <c r="I270" s="82" t="s">
        <v>63</v>
      </c>
    </row>
    <row r="271" ht="25" customHeight="1" spans="1:9" x14ac:dyDescent="0.25">
      <c r="A271" s="80">
        <v>2</v>
      </c>
      <c r="B271" s="80"/>
      <c r="C271" s="81" t="s">
        <v>193</v>
      </c>
      <c r="D271" s="81"/>
      <c r="E271" s="29" t="s">
        <v>21</v>
      </c>
      <c r="F271" s="30">
        <v>0</v>
      </c>
      <c r="G271" s="30">
        <v>128</v>
      </c>
      <c r="H271" s="32">
        <f t="shared" si="25"/>
      </c>
      <c r="I271" s="97" t="s">
        <v>194</v>
      </c>
    </row>
    <row r="272" ht="25" customHeight="1" spans="1:9" x14ac:dyDescent="0.25">
      <c r="A272" s="80">
        <v>3</v>
      </c>
      <c r="B272" s="80"/>
      <c r="C272" s="81" t="s">
        <v>175</v>
      </c>
      <c r="D272" s="81"/>
      <c r="E272" s="29" t="s">
        <v>21</v>
      </c>
      <c r="F272" s="30">
        <f>F271</f>
      </c>
      <c r="G272" s="30">
        <v>228</v>
      </c>
      <c r="H272" s="32">
        <f t="shared" si="25"/>
      </c>
      <c r="I272" s="97" t="s">
        <v>176</v>
      </c>
    </row>
    <row r="273" ht="25" customHeight="1" spans="1:9" x14ac:dyDescent="0.25">
      <c r="A273" s="80">
        <v>4</v>
      </c>
      <c r="B273" s="80"/>
      <c r="C273" s="81" t="s">
        <v>150</v>
      </c>
      <c r="D273" s="81"/>
      <c r="E273" s="29" t="s">
        <v>21</v>
      </c>
      <c r="F273" s="30">
        <v>0</v>
      </c>
      <c r="G273" s="30">
        <v>78</v>
      </c>
      <c r="H273" s="30">
        <f t="shared" si="25"/>
      </c>
      <c r="I273" s="84" t="s">
        <v>195</v>
      </c>
    </row>
    <row r="274" ht="25" customHeight="1" spans="1:9" x14ac:dyDescent="0.25">
      <c r="A274" s="80">
        <v>5</v>
      </c>
      <c r="B274" s="80"/>
      <c r="C274" s="81" t="s">
        <v>89</v>
      </c>
      <c r="D274" s="81"/>
      <c r="E274" s="29" t="s">
        <v>21</v>
      </c>
      <c r="F274" s="30">
        <f>E269</f>
        <v>2.5</v>
      </c>
      <c r="G274" s="30">
        <v>58</v>
      </c>
      <c r="H274" s="30">
        <f t="shared" si="25"/>
        <v>145</v>
      </c>
      <c r="I274" s="84" t="s">
        <v>152</v>
      </c>
    </row>
    <row r="275" ht="25" customHeight="1" spans="1:9" x14ac:dyDescent="0.25">
      <c r="A275" s="80">
        <v>6</v>
      </c>
      <c r="B275" s="80"/>
      <c r="C275" s="81" t="s">
        <v>153</v>
      </c>
      <c r="D275" s="81"/>
      <c r="E275" s="29" t="s">
        <v>21</v>
      </c>
      <c r="F275" s="30">
        <v>0</v>
      </c>
      <c r="G275" s="30">
        <v>98</v>
      </c>
      <c r="H275" s="30">
        <f t="shared" si="25"/>
      </c>
      <c r="I275" s="84" t="s">
        <v>153</v>
      </c>
    </row>
    <row r="276" ht="25" customHeight="1" spans="1:9" x14ac:dyDescent="0.25">
      <c r="A276" s="80">
        <v>7</v>
      </c>
      <c r="B276" s="80"/>
      <c r="C276" s="81" t="s">
        <v>196</v>
      </c>
      <c r="D276" s="81"/>
      <c r="E276" s="29" t="s">
        <v>21</v>
      </c>
      <c r="F276" s="30">
        <f>F275</f>
      </c>
      <c r="G276" s="30">
        <v>65</v>
      </c>
      <c r="H276" s="32">
        <f t="shared" si="25"/>
      </c>
      <c r="I276" s="97" t="s">
        <v>197</v>
      </c>
    </row>
    <row r="277" ht="76" customHeight="1" spans="1:9" x14ac:dyDescent="0.25">
      <c r="A277" s="80">
        <v>8</v>
      </c>
      <c r="B277" s="80"/>
      <c r="C277" s="81" t="s">
        <v>179</v>
      </c>
      <c r="D277" s="81"/>
      <c r="E277" s="29" t="s">
        <v>21</v>
      </c>
      <c r="F277" s="30">
        <f>E269*2</f>
        <v>5</v>
      </c>
      <c r="G277" s="30">
        <v>65</v>
      </c>
      <c r="H277" s="30">
        <f t="shared" si="25"/>
        <v>325</v>
      </c>
      <c r="I277" s="82" t="s">
        <v>180</v>
      </c>
    </row>
    <row r="278" ht="76" customHeight="1" spans="1:9" x14ac:dyDescent="0.25">
      <c r="A278" s="80">
        <v>9</v>
      </c>
      <c r="B278" s="80"/>
      <c r="C278" s="81" t="s">
        <v>198</v>
      </c>
      <c r="D278" s="81"/>
      <c r="E278" s="29" t="s">
        <v>21</v>
      </c>
      <c r="F278" s="30">
        <f>(G269)*1.8</f>
        <v>12.78</v>
      </c>
      <c r="G278" s="30">
        <v>65</v>
      </c>
      <c r="H278" s="30">
        <f t="shared" si="25"/>
        <v>830.7</v>
      </c>
      <c r="I278" s="82" t="s">
        <v>181</v>
      </c>
    </row>
    <row r="279" ht="25" customHeight="1" spans="1:9" x14ac:dyDescent="0.25">
      <c r="A279" s="80">
        <v>10</v>
      </c>
      <c r="B279" s="80"/>
      <c r="C279" s="81" t="s">
        <v>77</v>
      </c>
      <c r="D279" s="81"/>
      <c r="E279" s="29" t="s">
        <v>21</v>
      </c>
      <c r="F279" s="30">
        <f>E269</f>
        <v>2.5</v>
      </c>
      <c r="G279" s="30">
        <v>160</v>
      </c>
      <c r="H279" s="30">
        <f t="shared" ref="H279:H291" si="26">F279*G279</f>
        <v>400</v>
      </c>
      <c r="I279" s="100"/>
    </row>
    <row r="280" ht="25" customHeight="1" spans="1:9" x14ac:dyDescent="0.25">
      <c r="A280" s="80">
        <v>11</v>
      </c>
      <c r="B280" s="80"/>
      <c r="C280" s="81" t="s">
        <v>82</v>
      </c>
      <c r="D280" s="81"/>
      <c r="E280" s="29" t="s">
        <v>21</v>
      </c>
      <c r="F280" s="30">
        <v>0</v>
      </c>
      <c r="G280" s="30">
        <v>170</v>
      </c>
      <c r="H280" s="30">
        <f t="shared" si="26"/>
      </c>
      <c r="I280" s="33" t="s">
        <v>81</v>
      </c>
    </row>
    <row r="281" ht="25" customHeight="1" spans="1:9" x14ac:dyDescent="0.25">
      <c r="A281" s="80">
        <v>12</v>
      </c>
      <c r="B281" s="80"/>
      <c r="C281" s="85" t="s">
        <v>173</v>
      </c>
      <c r="D281" s="85"/>
      <c r="E281" s="29" t="s">
        <v>21</v>
      </c>
      <c r="F281" s="30">
        <f>(G269+4.8)*I269-0.75*2.1-1.1*2.41</f>
        <v>24.929</v>
      </c>
      <c r="G281" s="30">
        <v>170</v>
      </c>
      <c r="H281" s="30">
        <f t="shared" si="26"/>
        <v>4237.93</v>
      </c>
      <c r="I281" s="33" t="s">
        <v>81</v>
      </c>
    </row>
    <row r="282" ht="25" customHeight="1" spans="1:9" x14ac:dyDescent="0.25">
      <c r="A282" s="80">
        <v>13</v>
      </c>
      <c r="B282" s="80"/>
      <c r="C282" s="85" t="s">
        <v>184</v>
      </c>
      <c r="D282" s="85"/>
      <c r="E282" s="29" t="s">
        <v>21</v>
      </c>
      <c r="F282" s="30"/>
      <c r="G282" s="30">
        <v>180</v>
      </c>
      <c r="H282" s="30">
        <f t="shared" si="26"/>
      </c>
      <c r="I282" s="33" t="s">
        <v>81</v>
      </c>
    </row>
    <row r="283" ht="25" customHeight="1" spans="1:9" x14ac:dyDescent="0.25">
      <c r="A283" s="80">
        <v>14</v>
      </c>
      <c r="B283" s="80"/>
      <c r="C283" s="81" t="s">
        <v>185</v>
      </c>
      <c r="D283" s="81"/>
      <c r="E283" s="29" t="s">
        <v>31</v>
      </c>
      <c r="F283" s="30">
        <v>1.29</v>
      </c>
      <c r="G283" s="30">
        <v>100</v>
      </c>
      <c r="H283" s="30">
        <f t="shared" si="26"/>
        <v>129</v>
      </c>
      <c r="I283" s="82" t="s">
        <v>63</v>
      </c>
    </row>
    <row r="284" ht="25" customHeight="1" spans="1:9" x14ac:dyDescent="0.25">
      <c r="A284" s="80">
        <v>15</v>
      </c>
      <c r="B284" s="80"/>
      <c r="C284" s="85" t="s">
        <v>186</v>
      </c>
      <c r="D284" s="85"/>
      <c r="E284" s="35" t="s">
        <v>29</v>
      </c>
      <c r="F284" s="30">
        <v>1</v>
      </c>
      <c r="G284" s="30">
        <v>499</v>
      </c>
      <c r="H284" s="30">
        <f t="shared" si="26"/>
        <v>499</v>
      </c>
      <c r="I284" s="33" t="s">
        <v>199</v>
      </c>
    </row>
    <row r="285" ht="25" customHeight="1" spans="1:9" x14ac:dyDescent="0.25">
      <c r="A285" s="80">
        <v>16</v>
      </c>
      <c r="B285" s="80"/>
      <c r="C285" s="81" t="s">
        <v>66</v>
      </c>
      <c r="D285" s="81"/>
      <c r="E285" s="29" t="s">
        <v>21</v>
      </c>
      <c r="F285" s="30">
        <f>E269</f>
        <v>2.5</v>
      </c>
      <c r="G285" s="30">
        <v>12</v>
      </c>
      <c r="H285" s="30">
        <f t="shared" si="26"/>
        <v>30</v>
      </c>
      <c r="I285" s="33" t="s">
        <v>67</v>
      </c>
    </row>
    <row r="286" ht="46" customHeight="1" spans="1:9" x14ac:dyDescent="0.25">
      <c r="A286" s="80">
        <v>17</v>
      </c>
      <c r="B286" s="80"/>
      <c r="C286" s="28" t="s">
        <v>107</v>
      </c>
      <c r="D286" s="28"/>
      <c r="E286" s="29" t="s">
        <v>21</v>
      </c>
      <c r="F286" s="30">
        <f>E269</f>
        <v>2.5</v>
      </c>
      <c r="G286" s="30">
        <v>268</v>
      </c>
      <c r="H286" s="30">
        <f t="shared" si="26"/>
        <v>670</v>
      </c>
      <c r="I286" s="33" t="s">
        <v>96</v>
      </c>
    </row>
    <row r="287" ht="76" customHeight="1" spans="1:9" x14ac:dyDescent="0.25">
      <c r="A287" s="80">
        <v>18</v>
      </c>
      <c r="B287" s="80"/>
      <c r="C287" s="28" t="s">
        <v>188</v>
      </c>
      <c r="D287" s="28"/>
      <c r="E287" s="29" t="s">
        <v>21</v>
      </c>
      <c r="F287" s="30">
        <f>F286</f>
        <v>2.5</v>
      </c>
      <c r="G287" s="30">
        <v>57</v>
      </c>
      <c r="H287" s="30">
        <f t="shared" si="26"/>
        <v>142.5</v>
      </c>
      <c r="I287" s="97" t="s">
        <v>132</v>
      </c>
    </row>
    <row r="288" ht="17.6" customHeight="1" spans="1:9" x14ac:dyDescent="0.25">
      <c r="A288" s="80">
        <v>19</v>
      </c>
      <c r="B288" s="80"/>
      <c r="C288" s="28" t="s">
        <v>189</v>
      </c>
      <c r="D288" s="28"/>
      <c r="E288" s="34" t="s">
        <v>190</v>
      </c>
      <c r="F288" s="30">
        <v>1</v>
      </c>
      <c r="G288" s="30">
        <v>700</v>
      </c>
      <c r="H288" s="30">
        <f t="shared" si="26"/>
        <v>700</v>
      </c>
      <c r="I288" s="101" t="s">
        <v>191</v>
      </c>
    </row>
    <row r="289" ht="31" customHeight="1" spans="1:9" x14ac:dyDescent="0.25">
      <c r="A289" s="80">
        <v>20</v>
      </c>
      <c r="B289" s="80"/>
      <c r="C289" s="81" t="s">
        <v>139</v>
      </c>
      <c r="D289" s="81"/>
      <c r="E289" s="35" t="s">
        <v>29</v>
      </c>
      <c r="F289" s="30">
        <v>0</v>
      </c>
      <c r="G289" s="30">
        <v>280</v>
      </c>
      <c r="H289" s="32">
        <f t="shared" si="26"/>
      </c>
      <c r="I289" s="33" t="s">
        <v>140</v>
      </c>
    </row>
    <row r="290" ht="31" customHeight="1" spans="1:9" x14ac:dyDescent="0.25">
      <c r="A290" s="80">
        <v>21</v>
      </c>
      <c r="B290" s="80"/>
      <c r="C290" s="81" t="s">
        <v>141</v>
      </c>
      <c r="D290" s="81"/>
      <c r="E290" s="35" t="s">
        <v>29</v>
      </c>
      <c r="F290" s="30">
        <v>0</v>
      </c>
      <c r="G290" s="30">
        <v>380</v>
      </c>
      <c r="H290" s="32">
        <f t="shared" si="26"/>
      </c>
      <c r="I290" s="33" t="s">
        <v>140</v>
      </c>
    </row>
    <row r="291" ht="31" customHeight="1" spans="1:9" x14ac:dyDescent="0.25">
      <c r="A291" s="80">
        <v>22</v>
      </c>
      <c r="B291" s="80"/>
      <c r="C291" s="81" t="s">
        <v>142</v>
      </c>
      <c r="D291" s="81"/>
      <c r="E291" s="35" t="s">
        <v>29</v>
      </c>
      <c r="F291" s="30">
        <v>1</v>
      </c>
      <c r="G291" s="30">
        <v>480</v>
      </c>
      <c r="H291" s="32">
        <f t="shared" si="26"/>
        <v>480</v>
      </c>
      <c r="I291" s="33" t="s">
        <v>140</v>
      </c>
    </row>
    <row r="292" ht="25" customHeight="1" spans="1:9" x14ac:dyDescent="0.25">
      <c r="A292" s="88" t="s">
        <v>60</v>
      </c>
      <c r="B292" s="88"/>
      <c r="C292" s="88"/>
      <c r="D292" s="88"/>
      <c r="E292" s="88"/>
      <c r="F292" s="88"/>
      <c r="G292" s="88"/>
      <c r="H292" s="89">
        <f>SUM(H270:H291)</f>
        <v>8589.13</v>
      </c>
      <c r="I292" s="90"/>
    </row>
    <row r="293" ht="25" customHeight="1" spans="1:9" x14ac:dyDescent="0.25">
      <c r="A293" s="77" t="s">
        <v>200</v>
      </c>
      <c r="B293" s="77"/>
      <c r="C293" s="77"/>
      <c r="D293" s="78" t="s">
        <v>17</v>
      </c>
      <c r="E293" s="78">
        <v>8.77</v>
      </c>
      <c r="F293" s="78" t="s">
        <v>18</v>
      </c>
      <c r="G293" s="78">
        <v>14.8</v>
      </c>
      <c r="H293" s="78" t="s">
        <v>19</v>
      </c>
      <c r="I293" s="79">
        <f>I5-0.1-0.4</f>
        <v>2.41</v>
      </c>
    </row>
    <row r="294" ht="25" customHeight="1" spans="1:9" x14ac:dyDescent="0.25">
      <c r="A294" s="102">
        <v>1</v>
      </c>
      <c r="B294" s="102"/>
      <c r="C294" s="81" t="s">
        <v>74</v>
      </c>
      <c r="D294" s="81"/>
      <c r="E294" s="29" t="s">
        <v>21</v>
      </c>
      <c r="F294" s="30">
        <v>0</v>
      </c>
      <c r="G294" s="30">
        <v>150</v>
      </c>
      <c r="H294" s="30">
        <f t="shared" ref="H294:H308" si="27">F294*G294</f>
      </c>
      <c r="I294" s="82" t="s">
        <v>201</v>
      </c>
    </row>
    <row r="295" ht="25" customHeight="1" spans="1:9" x14ac:dyDescent="0.25">
      <c r="A295" s="102">
        <v>2</v>
      </c>
      <c r="B295" s="102"/>
      <c r="C295" s="81" t="s">
        <v>77</v>
      </c>
      <c r="D295" s="81"/>
      <c r="E295" s="29" t="s">
        <v>21</v>
      </c>
      <c r="F295" s="30">
        <f>E293</f>
        <v>8.77</v>
      </c>
      <c r="G295" s="30">
        <v>160</v>
      </c>
      <c r="H295" s="30">
        <f t="shared" si="27"/>
        <v>1403.2</v>
      </c>
      <c r="I295" s="82" t="s">
        <v>201</v>
      </c>
    </row>
    <row r="296" ht="31" customHeight="1" spans="1:9" x14ac:dyDescent="0.25">
      <c r="A296" s="102">
        <v>3</v>
      </c>
      <c r="B296" s="102"/>
      <c r="C296" s="81" t="s">
        <v>150</v>
      </c>
      <c r="D296" s="81"/>
      <c r="E296" s="29" t="s">
        <v>21</v>
      </c>
      <c r="F296" s="30">
        <v>0</v>
      </c>
      <c r="G296" s="30">
        <v>78</v>
      </c>
      <c r="H296" s="30">
        <f t="shared" si="27"/>
      </c>
      <c r="I296" s="84" t="s">
        <v>151</v>
      </c>
    </row>
    <row r="297" ht="25" customHeight="1" spans="1:9" x14ac:dyDescent="0.25">
      <c r="A297" s="102">
        <v>4</v>
      </c>
      <c r="B297" s="102"/>
      <c r="C297" s="81" t="s">
        <v>89</v>
      </c>
      <c r="D297" s="81"/>
      <c r="E297" s="29" t="s">
        <v>21</v>
      </c>
      <c r="F297" s="30">
        <f>E293</f>
        <v>8.77</v>
      </c>
      <c r="G297" s="30">
        <v>58</v>
      </c>
      <c r="H297" s="30">
        <f t="shared" si="27"/>
        <v>508.66</v>
      </c>
      <c r="I297" s="84" t="s">
        <v>152</v>
      </c>
    </row>
    <row r="298" ht="25" customHeight="1" spans="1:9" x14ac:dyDescent="0.25">
      <c r="A298" s="102">
        <v>5</v>
      </c>
      <c r="B298" s="102"/>
      <c r="C298" s="81" t="s">
        <v>153</v>
      </c>
      <c r="D298" s="81"/>
      <c r="E298" s="29" t="s">
        <v>21</v>
      </c>
      <c r="F298" s="30">
        <v>0</v>
      </c>
      <c r="G298" s="30">
        <v>98</v>
      </c>
      <c r="H298" s="30">
        <f t="shared" si="27"/>
      </c>
      <c r="I298" s="84" t="s">
        <v>153</v>
      </c>
    </row>
    <row r="299" ht="25" customHeight="1" spans="1:9" x14ac:dyDescent="0.25">
      <c r="A299" s="102">
        <v>6</v>
      </c>
      <c r="B299" s="102"/>
      <c r="C299" s="85" t="s">
        <v>155</v>
      </c>
      <c r="D299" s="85"/>
      <c r="E299" s="29" t="s">
        <v>21</v>
      </c>
      <c r="F299" s="30">
        <v>0</v>
      </c>
      <c r="G299" s="30">
        <v>170</v>
      </c>
      <c r="H299" s="30">
        <f t="shared" si="27"/>
      </c>
      <c r="I299" s="82" t="s">
        <v>202</v>
      </c>
    </row>
    <row r="300" ht="25" customHeight="1" spans="1:9" x14ac:dyDescent="0.25">
      <c r="A300" s="102">
        <v>7</v>
      </c>
      <c r="B300" s="102"/>
      <c r="C300" s="81" t="s">
        <v>82</v>
      </c>
      <c r="D300" s="81"/>
      <c r="E300" s="29" t="s">
        <v>21</v>
      </c>
      <c r="F300" s="30">
        <v>0</v>
      </c>
      <c r="G300" s="30">
        <v>160</v>
      </c>
      <c r="H300" s="30">
        <f t="shared" si="27"/>
      </c>
      <c r="I300" s="33" t="s">
        <v>81</v>
      </c>
    </row>
    <row r="301" ht="25" customHeight="1" spans="1:9" x14ac:dyDescent="0.25">
      <c r="A301" s="102">
        <v>8</v>
      </c>
      <c r="B301" s="102"/>
      <c r="C301" s="85" t="s">
        <v>173</v>
      </c>
      <c r="D301" s="85"/>
      <c r="E301" s="29" t="s">
        <v>21</v>
      </c>
      <c r="F301" s="30">
        <f>7*0.85+(3+0.42)*0.8</f>
        <v>8.686</v>
      </c>
      <c r="G301" s="30">
        <v>170</v>
      </c>
      <c r="H301" s="30">
        <f t="shared" si="27"/>
        <v>1476.62</v>
      </c>
      <c r="I301" s="33" t="s">
        <v>81</v>
      </c>
    </row>
    <row r="302" ht="25" customHeight="1" spans="1:9" x14ac:dyDescent="0.25">
      <c r="A302" s="102">
        <v>9</v>
      </c>
      <c r="B302" s="102"/>
      <c r="C302" s="85" t="s">
        <v>203</v>
      </c>
      <c r="D302" s="85"/>
      <c r="E302" s="29" t="s">
        <v>21</v>
      </c>
      <c r="F302" s="30">
        <v>0</v>
      </c>
      <c r="G302" s="30">
        <v>230</v>
      </c>
      <c r="H302" s="30">
        <f t="shared" si="27"/>
      </c>
      <c r="I302" s="97" t="s">
        <v>183</v>
      </c>
    </row>
    <row r="303" ht="25" customHeight="1" spans="1:9" x14ac:dyDescent="0.25">
      <c r="A303" s="102">
        <v>10</v>
      </c>
      <c r="B303" s="102"/>
      <c r="C303" s="83" t="s">
        <v>165</v>
      </c>
      <c r="D303" s="83"/>
      <c r="E303" s="29" t="s">
        <v>31</v>
      </c>
      <c r="F303" s="30">
        <v>0</v>
      </c>
      <c r="G303" s="30">
        <v>208</v>
      </c>
      <c r="H303" s="30">
        <f t="shared" si="27"/>
      </c>
      <c r="I303" s="82" t="s">
        <v>166</v>
      </c>
    </row>
    <row r="304" ht="42" customHeight="1" spans="1:9" x14ac:dyDescent="0.25">
      <c r="A304" s="102">
        <v>11</v>
      </c>
      <c r="B304" s="102"/>
      <c r="C304" s="83" t="s">
        <v>99</v>
      </c>
      <c r="D304" s="83"/>
      <c r="E304" s="29" t="s">
        <v>21</v>
      </c>
      <c r="F304" s="30">
        <f>(0.5+0.5+1)*0.84</f>
        <v>1.68</v>
      </c>
      <c r="G304" s="30">
        <v>240</v>
      </c>
      <c r="H304" s="30">
        <f t="shared" si="27"/>
        <v>403.2</v>
      </c>
      <c r="I304" s="82" t="s">
        <v>204</v>
      </c>
    </row>
    <row r="305" ht="46" customHeight="1" spans="1:9" x14ac:dyDescent="0.25">
      <c r="A305" s="102">
        <v>12</v>
      </c>
      <c r="B305" s="102"/>
      <c r="C305" s="28" t="s">
        <v>107</v>
      </c>
      <c r="D305" s="28"/>
      <c r="E305" s="29" t="s">
        <v>21</v>
      </c>
      <c r="F305" s="30">
        <f>E293+7*0.4</f>
        <v>11.57</v>
      </c>
      <c r="G305" s="30">
        <v>268</v>
      </c>
      <c r="H305" s="30">
        <f t="shared" si="27"/>
        <v>3100.76</v>
      </c>
      <c r="I305" s="33" t="s">
        <v>96</v>
      </c>
    </row>
    <row r="306" ht="76" customHeight="1" spans="1:9" x14ac:dyDescent="0.25">
      <c r="A306" s="102">
        <v>13</v>
      </c>
      <c r="B306" s="102"/>
      <c r="C306" s="28" t="s">
        <v>188</v>
      </c>
      <c r="D306" s="28"/>
      <c r="E306" s="29" t="s">
        <v>21</v>
      </c>
      <c r="F306" s="30">
        <f>F305</f>
        <v>11.57</v>
      </c>
      <c r="G306" s="92">
        <v>57</v>
      </c>
      <c r="H306" s="30">
        <f t="shared" si="27"/>
        <v>659.49</v>
      </c>
      <c r="I306" s="97" t="s">
        <v>132</v>
      </c>
    </row>
    <row r="307" ht="17.6" customHeight="1" spans="1:9" x14ac:dyDescent="0.25">
      <c r="A307" s="102">
        <v>14</v>
      </c>
      <c r="B307" s="102"/>
      <c r="C307" s="28" t="s">
        <v>189</v>
      </c>
      <c r="D307" s="28"/>
      <c r="E307" s="34" t="s">
        <v>190</v>
      </c>
      <c r="F307" s="30">
        <v>1</v>
      </c>
      <c r="G307" s="30">
        <v>700</v>
      </c>
      <c r="H307" s="30">
        <f t="shared" si="27"/>
        <v>700</v>
      </c>
      <c r="I307" s="101" t="s">
        <v>191</v>
      </c>
    </row>
    <row r="308" ht="76" customHeight="1" spans="1:9" x14ac:dyDescent="0.25">
      <c r="A308" s="102">
        <v>15</v>
      </c>
      <c r="B308" s="102"/>
      <c r="C308" s="103" t="s">
        <v>205</v>
      </c>
      <c r="D308" s="103"/>
      <c r="E308" s="104" t="s">
        <v>102</v>
      </c>
      <c r="F308" s="105">
        <f>(G293-0.75-2.56)*I293-F302-F309</f>
        <v>16.7254</v>
      </c>
      <c r="G308" s="92">
        <v>57</v>
      </c>
      <c r="H308" s="105">
        <f t="shared" si="27"/>
        <v>953.3478</v>
      </c>
      <c r="I308" s="106" t="s">
        <v>136</v>
      </c>
    </row>
    <row r="309" ht="76" customHeight="1" spans="1:9" x14ac:dyDescent="0.25">
      <c r="A309" s="102">
        <v>16</v>
      </c>
      <c r="B309" s="102"/>
      <c r="C309" s="107" t="s">
        <v>135</v>
      </c>
      <c r="D309" s="107"/>
      <c r="E309" s="29" t="s">
        <v>21</v>
      </c>
      <c r="F309" s="30">
        <f>(3.15+1.4)*I293</f>
        <v>10.9655</v>
      </c>
      <c r="G309" s="30">
        <v>42</v>
      </c>
      <c r="H309" s="30">
        <f t="shared" ref="H309:H314" si="28">F309*G309</f>
        <v>460.551</v>
      </c>
      <c r="I309" s="33" t="s">
        <v>136</v>
      </c>
    </row>
    <row r="310" ht="25" customHeight="1" spans="1:9" x14ac:dyDescent="0.25">
      <c r="A310" s="102">
        <v>17</v>
      </c>
      <c r="B310" s="102"/>
      <c r="C310" s="107" t="s">
        <v>137</v>
      </c>
      <c r="D310" s="107"/>
      <c r="E310" s="29" t="s">
        <v>21</v>
      </c>
      <c r="F310" s="30">
        <f>F309</f>
        <v>10.9655</v>
      </c>
      <c r="G310" s="30">
        <v>22</v>
      </c>
      <c r="H310" s="30">
        <f t="shared" si="28"/>
        <v>241.241</v>
      </c>
      <c r="I310" s="87" t="s">
        <v>134</v>
      </c>
    </row>
    <row r="311" ht="25" customHeight="1" spans="1:9" x14ac:dyDescent="0.25">
      <c r="A311" s="102">
        <v>18</v>
      </c>
      <c r="B311" s="102"/>
      <c r="C311" s="81" t="s">
        <v>66</v>
      </c>
      <c r="D311" s="81"/>
      <c r="E311" s="29" t="s">
        <v>21</v>
      </c>
      <c r="F311" s="30">
        <f>E293</f>
        <v>8.77</v>
      </c>
      <c r="G311" s="30">
        <v>12</v>
      </c>
      <c r="H311" s="30">
        <f t="shared" si="28"/>
        <v>105.24</v>
      </c>
      <c r="I311" s="33" t="s">
        <v>67</v>
      </c>
    </row>
    <row r="312" ht="31" customHeight="1" spans="1:9" x14ac:dyDescent="0.25">
      <c r="A312" s="102">
        <v>19</v>
      </c>
      <c r="B312" s="102"/>
      <c r="C312" s="81" t="s">
        <v>139</v>
      </c>
      <c r="D312" s="81"/>
      <c r="E312" s="35" t="s">
        <v>29</v>
      </c>
      <c r="F312" s="30">
        <v>0</v>
      </c>
      <c r="G312" s="30">
        <v>280</v>
      </c>
      <c r="H312" s="32">
        <f t="shared" si="28"/>
      </c>
      <c r="I312" s="33" t="s">
        <v>140</v>
      </c>
    </row>
    <row r="313" ht="31" customHeight="1" spans="1:9" x14ac:dyDescent="0.25">
      <c r="A313" s="102">
        <v>20</v>
      </c>
      <c r="B313" s="102"/>
      <c r="C313" s="81" t="s">
        <v>141</v>
      </c>
      <c r="D313" s="81"/>
      <c r="E313" s="35" t="s">
        <v>29</v>
      </c>
      <c r="F313" s="30">
        <v>0</v>
      </c>
      <c r="G313" s="30">
        <v>380</v>
      </c>
      <c r="H313" s="32">
        <f t="shared" si="28"/>
      </c>
      <c r="I313" s="33" t="s">
        <v>140</v>
      </c>
    </row>
    <row r="314" ht="31" customHeight="1" spans="1:9" x14ac:dyDescent="0.25">
      <c r="A314" s="102">
        <v>21</v>
      </c>
      <c r="B314" s="102"/>
      <c r="C314" s="81" t="s">
        <v>142</v>
      </c>
      <c r="D314" s="81"/>
      <c r="E314" s="35" t="s">
        <v>29</v>
      </c>
      <c r="F314" s="30">
        <v>0</v>
      </c>
      <c r="G314" s="30">
        <v>480</v>
      </c>
      <c r="H314" s="32">
        <f t="shared" si="28"/>
      </c>
      <c r="I314" s="33" t="s">
        <v>140</v>
      </c>
    </row>
    <row r="315" ht="25" customHeight="1" spans="1:9" x14ac:dyDescent="0.25">
      <c r="A315" s="88" t="s">
        <v>60</v>
      </c>
      <c r="B315" s="88"/>
      <c r="C315" s="88"/>
      <c r="D315" s="88"/>
      <c r="E315" s="88"/>
      <c r="F315" s="88"/>
      <c r="G315" s="88"/>
      <c r="H315" s="89">
        <f>SUM(H294:H314)</f>
        <v>10012.3098</v>
      </c>
      <c r="I315" s="90"/>
    </row>
    <row r="316" ht="25" customHeight="1" spans="1:9" x14ac:dyDescent="0.25">
      <c r="A316" s="77" t="s">
        <v>206</v>
      </c>
      <c r="B316" s="77"/>
      <c r="C316" s="77"/>
      <c r="D316" s="78"/>
      <c r="E316" s="78"/>
      <c r="F316" s="78"/>
      <c r="G316" s="78"/>
      <c r="H316" s="78"/>
      <c r="I316" s="79"/>
    </row>
    <row r="317" ht="25" customHeight="1" spans="1:9" x14ac:dyDescent="0.25">
      <c r="A317" s="108">
        <v>1</v>
      </c>
      <c r="B317" s="108"/>
      <c r="C317" s="109" t="s">
        <v>207</v>
      </c>
      <c r="D317" s="109"/>
      <c r="E317" s="29" t="s">
        <v>21</v>
      </c>
      <c r="F317" s="32">
        <f>G2</f>
        <v>130</v>
      </c>
      <c r="G317" s="32">
        <v>12</v>
      </c>
      <c r="H317" s="32">
        <f>SUM(F317*G317)</f>
        <v>1560</v>
      </c>
      <c r="I317" s="110" t="s">
        <v>208</v>
      </c>
    </row>
    <row r="318" ht="31" customHeight="1" spans="1:9" x14ac:dyDescent="0.25">
      <c r="A318" s="108">
        <v>2</v>
      </c>
      <c r="B318" s="108"/>
      <c r="C318" s="111" t="s">
        <v>209</v>
      </c>
      <c r="D318" s="111"/>
      <c r="E318" s="29" t="s">
        <v>21</v>
      </c>
      <c r="F318" s="30">
        <f>G2</f>
        <v>130</v>
      </c>
      <c r="G318" s="30">
        <v>8</v>
      </c>
      <c r="H318" s="30">
        <f>F318*G318</f>
        <v>1040</v>
      </c>
      <c r="I318" s="112" t="s">
        <v>210</v>
      </c>
    </row>
    <row r="319" ht="31" customHeight="1" spans="1:9" x14ac:dyDescent="0.25">
      <c r="A319" s="108">
        <v>3</v>
      </c>
      <c r="B319" s="108"/>
      <c r="C319" s="113" t="s">
        <v>211</v>
      </c>
      <c r="D319" s="113"/>
      <c r="E319" s="29" t="s">
        <v>21</v>
      </c>
      <c r="F319" s="30">
        <f>SUM(G2)</f>
        <v>130</v>
      </c>
      <c r="G319" s="30">
        <v>5</v>
      </c>
      <c r="H319" s="30">
        <f>F319*G319</f>
        <v>650</v>
      </c>
      <c r="I319" s="112" t="s">
        <v>212</v>
      </c>
    </row>
    <row r="320" ht="25" customHeight="1" spans="1:9" x14ac:dyDescent="0.25">
      <c r="A320" s="88" t="s">
        <v>60</v>
      </c>
      <c r="B320" s="88"/>
      <c r="C320" s="88"/>
      <c r="D320" s="88"/>
      <c r="E320" s="88"/>
      <c r="F320" s="88"/>
      <c r="G320" s="88"/>
      <c r="H320" s="89">
        <f>SUM(H317:H319)</f>
        <v>3250</v>
      </c>
      <c r="I320" s="90"/>
    </row>
    <row r="321" ht="25" customHeight="1" spans="1:9" x14ac:dyDescent="0.25">
      <c r="A321" s="77" t="s">
        <v>213</v>
      </c>
      <c r="B321" s="77"/>
      <c r="C321" s="77"/>
      <c r="D321" s="78"/>
      <c r="E321" s="78"/>
      <c r="F321" s="78"/>
      <c r="G321" s="78"/>
      <c r="H321" s="78"/>
      <c r="I321" s="79"/>
    </row>
    <row r="322" ht="36" customHeight="1" spans="1:9" x14ac:dyDescent="0.25">
      <c r="A322" s="114">
        <v>1</v>
      </c>
      <c r="B322" s="114"/>
      <c r="C322" s="115" t="s">
        <v>214</v>
      </c>
      <c r="D322" s="115"/>
      <c r="E322" s="44" t="s">
        <v>21</v>
      </c>
      <c r="F322" s="116">
        <f>SUM(G2)</f>
        <v>130</v>
      </c>
      <c r="G322" s="116">
        <v>15.5</v>
      </c>
      <c r="H322" s="116">
        <f t="shared" ref="H322:H328" si="29">F322*G322</f>
        <v>2015</v>
      </c>
      <c r="I322" s="117" t="s">
        <v>215</v>
      </c>
    </row>
    <row r="323" ht="36" customHeight="1" spans="1:9" x14ac:dyDescent="0.25">
      <c r="A323" s="114">
        <v>2</v>
      </c>
      <c r="B323" s="114"/>
      <c r="C323" s="115" t="s">
        <v>216</v>
      </c>
      <c r="D323" s="115"/>
      <c r="E323" s="44" t="s">
        <v>21</v>
      </c>
      <c r="F323" s="116">
        <f>SUM(G2)</f>
        <v>130</v>
      </c>
      <c r="G323" s="116">
        <v>15.5</v>
      </c>
      <c r="H323" s="116">
        <f t="shared" si="29"/>
        <v>2015</v>
      </c>
      <c r="I323" s="117" t="s">
        <v>217</v>
      </c>
    </row>
    <row r="324" ht="46" customHeight="1" spans="1:9" x14ac:dyDescent="0.25">
      <c r="A324" s="114">
        <v>3</v>
      </c>
      <c r="B324" s="114"/>
      <c r="C324" s="115" t="s">
        <v>218</v>
      </c>
      <c r="D324" s="115"/>
      <c r="E324" s="44" t="s">
        <v>21</v>
      </c>
      <c r="F324" s="116">
        <f>G2</f>
        <v>130</v>
      </c>
      <c r="G324" s="116">
        <v>70</v>
      </c>
      <c r="H324" s="116">
        <f t="shared" si="29"/>
        <v>9100</v>
      </c>
      <c r="I324" s="118" t="s">
        <v>219</v>
      </c>
    </row>
    <row r="325" ht="21.95" customHeight="1" spans="1:9" x14ac:dyDescent="0.25">
      <c r="A325" s="114">
        <v>4</v>
      </c>
      <c r="B325" s="114"/>
      <c r="C325" s="115" t="s">
        <v>220</v>
      </c>
      <c r="D325" s="115"/>
      <c r="E325" s="44" t="s">
        <v>21</v>
      </c>
      <c r="F325" s="116">
        <f>G2</f>
        <v>130</v>
      </c>
      <c r="G325" s="116">
        <v>33.5</v>
      </c>
      <c r="H325" s="116">
        <f t="shared" si="29"/>
        <v>4355</v>
      </c>
      <c r="I325" s="118" t="s">
        <v>221</v>
      </c>
    </row>
    <row r="326" ht="26" customHeight="1" spans="1:9" x14ac:dyDescent="0.25">
      <c r="A326" s="114">
        <v>5</v>
      </c>
      <c r="B326" s="114"/>
      <c r="C326" s="115" t="s">
        <v>222</v>
      </c>
      <c r="D326" s="115"/>
      <c r="E326" s="44" t="s">
        <v>21</v>
      </c>
      <c r="F326" s="116">
        <f>G2</f>
        <v>130</v>
      </c>
      <c r="G326" s="116">
        <v>10</v>
      </c>
      <c r="H326" s="116">
        <f t="shared" si="29"/>
        <v>1300</v>
      </c>
      <c r="I326" s="118"/>
    </row>
    <row r="327" ht="26" customHeight="1" spans="1:9" x14ac:dyDescent="0.25">
      <c r="A327" s="114">
        <v>5</v>
      </c>
      <c r="B327" s="114"/>
      <c r="C327" s="115" t="s">
        <v>223</v>
      </c>
      <c r="D327" s="115"/>
      <c r="E327" s="44" t="s">
        <v>21</v>
      </c>
      <c r="F327" s="116">
        <f>G2</f>
        <v>130</v>
      </c>
      <c r="G327" s="116">
        <v>74.8</v>
      </c>
      <c r="H327" s="116">
        <f t="shared" si="29"/>
        <v>9724</v>
      </c>
      <c r="I327" s="118" t="s">
        <v>224</v>
      </c>
    </row>
    <row r="328" ht="26" customHeight="1" spans="1:9" x14ac:dyDescent="0.25">
      <c r="A328" s="114">
        <v>6</v>
      </c>
      <c r="B328" s="114"/>
      <c r="C328" s="115" t="s">
        <v>225</v>
      </c>
      <c r="D328" s="115"/>
      <c r="E328" s="44" t="s">
        <v>21</v>
      </c>
      <c r="F328" s="116">
        <f>G2</f>
        <v>130</v>
      </c>
      <c r="G328" s="116">
        <v>10.7</v>
      </c>
      <c r="H328" s="116">
        <f t="shared" si="29"/>
        <v>1391</v>
      </c>
      <c r="I328" s="118" t="s">
        <v>226</v>
      </c>
    </row>
    <row r="329" ht="31" customHeight="1" spans="1:9" x14ac:dyDescent="0.25">
      <c r="A329" s="114">
        <v>7</v>
      </c>
      <c r="B329" s="114"/>
      <c r="C329" s="115" t="s">
        <v>227</v>
      </c>
      <c r="D329" s="115"/>
      <c r="E329" s="119" t="s">
        <v>29</v>
      </c>
      <c r="F329" s="116">
        <v>1</v>
      </c>
      <c r="G329" s="116">
        <v>480</v>
      </c>
      <c r="H329" s="116">
        <f t="shared" ref="H329:H331" si="30">SUM(F329*G329)</f>
        <v>480</v>
      </c>
      <c r="I329" s="117" t="s">
        <v>228</v>
      </c>
    </row>
    <row r="330" ht="31" customHeight="1" spans="1:9" x14ac:dyDescent="0.25">
      <c r="A330" s="114">
        <v>8</v>
      </c>
      <c r="B330" s="114"/>
      <c r="C330" s="115" t="s">
        <v>229</v>
      </c>
      <c r="D330" s="115"/>
      <c r="E330" s="44" t="s">
        <v>21</v>
      </c>
      <c r="F330" s="116">
        <f>G2</f>
        <v>130</v>
      </c>
      <c r="G330" s="116">
        <v>8</v>
      </c>
      <c r="H330" s="116">
        <f t="shared" si="30"/>
        <v>1040</v>
      </c>
      <c r="I330" s="117" t="s">
        <v>230</v>
      </c>
    </row>
    <row r="331" ht="31" customHeight="1" spans="1:9" x14ac:dyDescent="0.25">
      <c r="A331" s="114">
        <v>9</v>
      </c>
      <c r="B331" s="114"/>
      <c r="C331" s="115" t="s">
        <v>231</v>
      </c>
      <c r="D331" s="115"/>
      <c r="E331" s="44" t="s">
        <v>21</v>
      </c>
      <c r="F331" s="116"/>
      <c r="G331" s="116">
        <v>22</v>
      </c>
      <c r="H331" s="116"/>
      <c r="I331" s="117" t="s">
        <v>232</v>
      </c>
    </row>
    <row r="332" ht="21.95" customHeight="1" spans="1:9" x14ac:dyDescent="0.25">
      <c r="A332" s="114">
        <v>10</v>
      </c>
      <c r="B332" s="114"/>
      <c r="C332" s="115" t="s">
        <v>233</v>
      </c>
      <c r="D332" s="115"/>
      <c r="E332" s="44" t="s">
        <v>21</v>
      </c>
      <c r="F332" s="116">
        <v>0</v>
      </c>
      <c r="G332" s="116">
        <v>25</v>
      </c>
      <c r="H332" s="116">
        <f>SUM(F332*G332)</f>
      </c>
      <c r="I332" s="120" t="s">
        <v>234</v>
      </c>
    </row>
    <row r="333" ht="21.95" customHeight="1" spans="1:9" x14ac:dyDescent="0.25">
      <c r="A333" s="114">
        <v>11</v>
      </c>
      <c r="B333" s="114"/>
      <c r="C333" s="115" t="s">
        <v>235</v>
      </c>
      <c r="D333" s="115"/>
      <c r="E333" s="44" t="s">
        <v>21</v>
      </c>
      <c r="F333" s="116">
        <v>0</v>
      </c>
      <c r="G333" s="116">
        <v>35</v>
      </c>
      <c r="H333" s="116">
        <f>SUM(F333*G333)</f>
      </c>
      <c r="I333" s="120" t="s">
        <v>234</v>
      </c>
    </row>
    <row r="334" ht="21.95" customHeight="1" spans="1:9" x14ac:dyDescent="0.25">
      <c r="A334" s="114">
        <v>12</v>
      </c>
      <c r="B334" s="114"/>
      <c r="C334" s="115" t="s">
        <v>236</v>
      </c>
      <c r="D334" s="115"/>
      <c r="E334" s="119" t="s">
        <v>237</v>
      </c>
      <c r="F334" s="116">
        <v>1</v>
      </c>
      <c r="G334" s="116">
        <v>785</v>
      </c>
      <c r="H334" s="116">
        <f>F334*G334</f>
        <v>785</v>
      </c>
      <c r="I334" s="121" t="s">
        <v>238</v>
      </c>
    </row>
    <row r="335" ht="21.95" customHeight="1" spans="1:9" x14ac:dyDescent="0.25">
      <c r="A335" s="114">
        <v>13</v>
      </c>
      <c r="B335" s="114"/>
      <c r="C335" s="115" t="s">
        <v>239</v>
      </c>
      <c r="D335" s="115"/>
      <c r="E335" s="119" t="s">
        <v>237</v>
      </c>
      <c r="F335" s="116">
        <v>0</v>
      </c>
      <c r="G335" s="116">
        <v>585</v>
      </c>
      <c r="H335" s="116">
        <f>F335*G335</f>
      </c>
      <c r="I335" s="121" t="s">
        <v>238</v>
      </c>
    </row>
    <row r="336" ht="25" customHeight="1" spans="1:9" x14ac:dyDescent="0.25">
      <c r="A336" s="114">
        <v>14</v>
      </c>
      <c r="B336" s="114"/>
      <c r="C336" s="115" t="s">
        <v>240</v>
      </c>
      <c r="D336" s="115"/>
      <c r="E336" s="119" t="s">
        <v>241</v>
      </c>
      <c r="F336" s="116">
        <v>0</v>
      </c>
      <c r="G336" s="116">
        <v>300</v>
      </c>
      <c r="H336" s="116">
        <f>SUM(F336*G336)</f>
      </c>
      <c r="I336" s="122" t="s">
        <v>242</v>
      </c>
    </row>
    <row r="337" ht="25" customHeight="1" spans="1:9" x14ac:dyDescent="0.25">
      <c r="A337" s="114">
        <v>15</v>
      </c>
      <c r="B337" s="114"/>
      <c r="C337" s="115" t="s">
        <v>243</v>
      </c>
      <c r="D337" s="115"/>
      <c r="E337" s="119" t="s">
        <v>241</v>
      </c>
      <c r="F337" s="116">
        <v>0</v>
      </c>
      <c r="G337" s="116">
        <v>300</v>
      </c>
      <c r="H337" s="116">
        <f>SUM(F337*G337)</f>
      </c>
      <c r="I337" s="122" t="s">
        <v>242</v>
      </c>
    </row>
    <row r="338" ht="21.95" customHeight="1" spans="1:9" x14ac:dyDescent="0.25">
      <c r="A338" s="114">
        <v>16</v>
      </c>
      <c r="B338" s="114"/>
      <c r="C338" s="115" t="s">
        <v>244</v>
      </c>
      <c r="D338" s="115"/>
      <c r="E338" s="119" t="s">
        <v>245</v>
      </c>
      <c r="F338" s="116">
        <v>4</v>
      </c>
      <c r="G338" s="116">
        <v>220</v>
      </c>
      <c r="H338" s="116">
        <f>SUM(F338*G338)</f>
        <v>880</v>
      </c>
      <c r="I338" s="117" t="s">
        <v>246</v>
      </c>
    </row>
    <row r="339" ht="25" customHeight="1" spans="1:9" x14ac:dyDescent="0.25">
      <c r="A339" s="88" t="s">
        <v>60</v>
      </c>
      <c r="B339" s="88"/>
      <c r="C339" s="88"/>
      <c r="D339" s="88"/>
      <c r="E339" s="88"/>
      <c r="F339" s="88"/>
      <c r="G339" s="88"/>
      <c r="H339" s="89">
        <f>SUM(H322:H338)</f>
        <v>33085</v>
      </c>
      <c r="I339" s="90"/>
    </row>
    <row r="340" ht="25" customHeight="1" spans="1:9" x14ac:dyDescent="0.25">
      <c r="A340" s="77" t="s">
        <v>247</v>
      </c>
      <c r="B340" s="77"/>
      <c r="C340" s="77"/>
      <c r="D340" s="78"/>
      <c r="E340" s="78"/>
      <c r="F340" s="78"/>
      <c r="G340" s="78"/>
      <c r="H340" s="78"/>
      <c r="I340" s="79"/>
    </row>
    <row r="341" ht="25" customHeight="1" spans="1:9" x14ac:dyDescent="0.25">
      <c r="A341" s="27">
        <v>1</v>
      </c>
      <c r="B341" s="27"/>
      <c r="C341" s="81" t="s">
        <v>248</v>
      </c>
      <c r="D341" s="81"/>
      <c r="E341" s="35" t="s">
        <v>249</v>
      </c>
      <c r="F341" s="30"/>
      <c r="G341" s="31">
        <v>500</v>
      </c>
      <c r="H341" s="32">
        <f>F341*G341</f>
      </c>
      <c r="I341" s="33" t="s">
        <v>250</v>
      </c>
    </row>
    <row r="342" ht="25" customHeight="1" spans="1:9" x14ac:dyDescent="0.25">
      <c r="A342" s="27">
        <v>2</v>
      </c>
      <c r="B342" s="27"/>
      <c r="C342" s="81" t="s">
        <v>251</v>
      </c>
      <c r="D342" s="81"/>
      <c r="E342" s="29" t="s">
        <v>21</v>
      </c>
      <c r="F342" s="30">
        <f>G2</f>
        <v>130</v>
      </c>
      <c r="G342" s="30">
        <v>15</v>
      </c>
      <c r="H342" s="30">
        <f>F342*G342</f>
        <v>1950</v>
      </c>
      <c r="I342" s="112" t="s">
        <v>252</v>
      </c>
    </row>
    <row r="343" ht="25" customHeight="1" spans="1:9" x14ac:dyDescent="0.25">
      <c r="A343" s="27">
        <v>3</v>
      </c>
      <c r="B343" s="27"/>
      <c r="C343" s="81" t="s">
        <v>253</v>
      </c>
      <c r="D343" s="81"/>
      <c r="E343" s="29" t="s">
        <v>21</v>
      </c>
      <c r="F343" s="30">
        <f>G2</f>
        <v>130</v>
      </c>
      <c r="G343" s="30">
        <v>15</v>
      </c>
      <c r="H343" s="30">
        <f>F343*G343</f>
        <v>1950</v>
      </c>
      <c r="I343" s="33" t="s">
        <v>254</v>
      </c>
    </row>
    <row r="344" ht="25" customHeight="1" spans="1:9" x14ac:dyDescent="0.25">
      <c r="A344" s="88" t="s">
        <v>60</v>
      </c>
      <c r="B344" s="88"/>
      <c r="C344" s="88"/>
      <c r="D344" s="88"/>
      <c r="E344" s="88"/>
      <c r="F344" s="88"/>
      <c r="G344" s="88"/>
      <c r="H344" s="89">
        <f>SUM(H341:H343)</f>
        <v>3900</v>
      </c>
      <c r="I344" s="90"/>
    </row>
    <row r="345" ht="25" customHeight="1" spans="1:9" x14ac:dyDescent="0.25">
      <c r="A345" s="77" t="s">
        <v>255</v>
      </c>
      <c r="B345" s="77"/>
      <c r="C345" s="77"/>
      <c r="D345" s="78"/>
      <c r="E345" s="78"/>
      <c r="F345" s="78"/>
      <c r="G345" s="78"/>
      <c r="H345" s="78"/>
      <c r="I345" s="79"/>
    </row>
    <row r="346" ht="25" customHeight="1" spans="1:9" x14ac:dyDescent="0.25">
      <c r="A346" s="123"/>
      <c r="B346" s="124" t="s">
        <v>256</v>
      </c>
      <c r="C346" s="125" t="s">
        <v>257</v>
      </c>
      <c r="D346" s="126"/>
      <c r="E346" s="127" t="s">
        <v>258</v>
      </c>
      <c r="F346" s="128"/>
      <c r="G346" s="129" t="e">
        <f>H25+H72+H113+H141+H196+H222+H245+H268+H320+H339+H344+H315+H168+H292</f>
        <v>#VALUE!</v>
      </c>
      <c r="H346" s="129"/>
      <c r="I346" s="130"/>
    </row>
    <row r="347" ht="25" customHeight="1" spans="1:9" x14ac:dyDescent="0.25">
      <c r="A347" s="123"/>
      <c r="B347" s="124" t="s">
        <v>259</v>
      </c>
      <c r="C347" s="125" t="s">
        <v>260</v>
      </c>
      <c r="D347" s="126"/>
      <c r="E347" s="127" t="s">
        <v>258</v>
      </c>
      <c r="F347" s="128"/>
      <c r="G347" s="129" t="e">
        <f>G346*0.1</f>
        <v>#VALUE!</v>
      </c>
      <c r="H347" s="129"/>
      <c r="I347" s="131" t="s">
        <v>261</v>
      </c>
    </row>
    <row r="348" ht="25" customHeight="1" spans="1:9" x14ac:dyDescent="0.25">
      <c r="A348" s="123"/>
      <c r="B348" s="124" t="s">
        <v>262</v>
      </c>
      <c r="C348" s="125" t="s">
        <v>263</v>
      </c>
      <c r="D348" s="126"/>
      <c r="E348" s="127" t="s">
        <v>258</v>
      </c>
      <c r="F348" s="128"/>
      <c r="G348" s="129"/>
      <c r="H348" s="129"/>
      <c r="I348" s="130" t="s">
        <v>264</v>
      </c>
    </row>
    <row r="349" ht="25" customHeight="1" spans="1:9" x14ac:dyDescent="0.25">
      <c r="A349" s="132"/>
      <c r="B349" s="133" t="s">
        <v>265</v>
      </c>
      <c r="C349" s="134" t="s">
        <v>266</v>
      </c>
      <c r="D349" s="135"/>
      <c r="E349" s="136" t="s">
        <v>258</v>
      </c>
      <c r="F349" s="137"/>
      <c r="G349" s="138" t="e">
        <f>SUM(G346:G348)</f>
        <v>#VALUE!</v>
      </c>
      <c r="H349" s="138"/>
      <c r="I349" s="139"/>
    </row>
    <row r="350" spans="1:9" x14ac:dyDescent="0.25">
      <c r="A350" s="7"/>
      <c r="B350" s="8"/>
      <c r="C350" s="9"/>
      <c r="D350" s="9"/>
      <c r="E350" s="10"/>
      <c r="F350" s="11"/>
      <c r="G350" s="12" t="e">
        <f t="array" ref="G350">SUM(G349:G349/G2)</f>
        <v>#VALUE!</v>
      </c>
      <c r="H350" s="11"/>
      <c r="I350" s="13"/>
    </row>
    <row r="351" spans="1:9" x14ac:dyDescent="0.25">
      <c r="A351" s="7"/>
      <c r="B351" s="8"/>
      <c r="C351" s="9"/>
      <c r="D351" s="9"/>
      <c r="E351" s="10"/>
      <c r="F351" s="11"/>
      <c r="G351" s="12"/>
      <c r="H351" s="11"/>
      <c r="I351" s="13"/>
    </row>
    <row r="352" spans="1:9" x14ac:dyDescent="0.25">
      <c r="A352" s="7"/>
      <c r="B352" s="8"/>
      <c r="C352" s="9"/>
      <c r="D352" s="9"/>
      <c r="E352" s="10"/>
      <c r="F352" s="11"/>
      <c r="G352" s="12"/>
      <c r="H352" s="11"/>
      <c r="I352" s="13"/>
    </row>
    <row r="353" spans="1:9" x14ac:dyDescent="0.25">
      <c r="A353" s="7"/>
      <c r="B353" s="8"/>
      <c r="C353" s="9"/>
      <c r="D353" s="9"/>
      <c r="E353" s="140"/>
      <c r="F353" s="11"/>
      <c r="G353" s="12"/>
      <c r="H353" s="11"/>
      <c r="I353" s="13"/>
    </row>
  </sheetData>
  <mergeCells count="585">
    <mergeCell ref="A1:I1"/>
    <mergeCell ref="A2:B2"/>
    <mergeCell ref="C2:D2"/>
    <mergeCell ref="E2:F2"/>
    <mergeCell ref="A3:B4"/>
    <mergeCell ref="C3:D4"/>
    <mergeCell ref="G3:H3"/>
    <mergeCell ref="E3:E4"/>
    <mergeCell ref="F3:F4"/>
    <mergeCell ref="I3:I4"/>
    <mergeCell ref="A5:C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G25"/>
    <mergeCell ref="A26:C26"/>
    <mergeCell ref="A27:B27"/>
    <mergeCell ref="C27:D27"/>
    <mergeCell ref="A28:B28"/>
    <mergeCell ref="C28:D28"/>
    <mergeCell ref="C29:D29"/>
    <mergeCell ref="A30:B31"/>
    <mergeCell ref="C30:D30"/>
    <mergeCell ref="C31:D31"/>
    <mergeCell ref="A32:B4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A42:B44"/>
    <mergeCell ref="C42:D42"/>
    <mergeCell ref="C43:D43"/>
    <mergeCell ref="C44:D44"/>
    <mergeCell ref="A45:B6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A65:B68"/>
    <mergeCell ref="C65:D65"/>
    <mergeCell ref="C66:D66"/>
    <mergeCell ref="C67:D67"/>
    <mergeCell ref="C68:D68"/>
    <mergeCell ref="A69:B71"/>
    <mergeCell ref="C69:D69"/>
    <mergeCell ref="C70:D70"/>
    <mergeCell ref="C71:D71"/>
    <mergeCell ref="A72:G72"/>
    <mergeCell ref="A73:C73"/>
    <mergeCell ref="C74:D74"/>
    <mergeCell ref="C75:D75"/>
    <mergeCell ref="A76:B8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A86:B88"/>
    <mergeCell ref="C86:D86"/>
    <mergeCell ref="C87:D87"/>
    <mergeCell ref="C88:D88"/>
    <mergeCell ref="A89:B10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A109:B112"/>
    <mergeCell ref="C109:D109"/>
    <mergeCell ref="C110:D110"/>
    <mergeCell ref="C111:D111"/>
    <mergeCell ref="C112:D112"/>
    <mergeCell ref="A113:G113"/>
    <mergeCell ref="A114:C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G141"/>
    <mergeCell ref="A142:C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G168"/>
    <mergeCell ref="A169:C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G196"/>
    <mergeCell ref="A197:C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G222"/>
    <mergeCell ref="A223:C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G245"/>
    <mergeCell ref="A246:C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2"/>
    <mergeCell ref="C251:D251"/>
    <mergeCell ref="C252:D252"/>
    <mergeCell ref="A253:B255"/>
    <mergeCell ref="C253:D253"/>
    <mergeCell ref="C254:D254"/>
    <mergeCell ref="C255:D255"/>
    <mergeCell ref="A256:B259"/>
    <mergeCell ref="C256:D256"/>
    <mergeCell ref="C257:D257"/>
    <mergeCell ref="C258:D258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G268"/>
    <mergeCell ref="A269:C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G292"/>
    <mergeCell ref="A293:C293"/>
    <mergeCell ref="A294:B294"/>
    <mergeCell ref="C294:D294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315:G315"/>
    <mergeCell ref="A316:C316"/>
    <mergeCell ref="A317:B317"/>
    <mergeCell ref="C317:D317"/>
    <mergeCell ref="A318:B318"/>
    <mergeCell ref="C318:D318"/>
    <mergeCell ref="A319:B319"/>
    <mergeCell ref="C319:D319"/>
    <mergeCell ref="A320:G320"/>
    <mergeCell ref="A321:C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G339"/>
    <mergeCell ref="A340:C340"/>
    <mergeCell ref="A341:B341"/>
    <mergeCell ref="C341:D341"/>
    <mergeCell ref="A342:B342"/>
    <mergeCell ref="C342:D342"/>
    <mergeCell ref="A343:B343"/>
    <mergeCell ref="C343:D343"/>
    <mergeCell ref="A344:G344"/>
    <mergeCell ref="A345:C345"/>
  </mergeCells>
  <dataValidations count="3177">
    <dataValidation sqref="A1"/>
    <dataValidation sqref="A10"/>
    <dataValidation sqref="A100"/>
    <dataValidation sqref="A101"/>
    <dataValidation sqref="A102"/>
    <dataValidation sqref="A103"/>
    <dataValidation sqref="A104"/>
    <dataValidation sqref="A105"/>
    <dataValidation sqref="A106"/>
    <dataValidation sqref="A107"/>
    <dataValidation sqref="A108"/>
    <dataValidation sqref="A109"/>
    <dataValidation sqref="A11"/>
    <dataValidation sqref="A110"/>
    <dataValidation sqref="A111"/>
    <dataValidation sqref="A112"/>
    <dataValidation sqref="A113"/>
    <dataValidation sqref="A114"/>
    <dataValidation sqref="A115"/>
    <dataValidation sqref="A116"/>
    <dataValidation sqref="A117"/>
    <dataValidation sqref="A118"/>
    <dataValidation sqref="A119"/>
    <dataValidation sqref="A12"/>
    <dataValidation sqref="A120"/>
    <dataValidation sqref="A121"/>
    <dataValidation sqref="A122"/>
    <dataValidation sqref="A123"/>
    <dataValidation sqref="A124"/>
    <dataValidation sqref="A125"/>
    <dataValidation sqref="A126"/>
    <dataValidation sqref="A127"/>
    <dataValidation sqref="A128"/>
    <dataValidation sqref="A129"/>
    <dataValidation sqref="A13"/>
    <dataValidation sqref="A130"/>
    <dataValidation sqref="A131"/>
    <dataValidation sqref="A132"/>
    <dataValidation sqref="A133"/>
    <dataValidation sqref="A134"/>
    <dataValidation sqref="A135"/>
    <dataValidation sqref="A136"/>
    <dataValidation sqref="A137"/>
    <dataValidation sqref="A138"/>
    <dataValidation sqref="A139"/>
    <dataValidation sqref="A14"/>
    <dataValidation sqref="A140"/>
    <dataValidation sqref="A141"/>
    <dataValidation sqref="A142"/>
    <dataValidation sqref="A143"/>
    <dataValidation sqref="A144"/>
    <dataValidation sqref="A145"/>
    <dataValidation sqref="A146"/>
    <dataValidation sqref="A147"/>
    <dataValidation sqref="A148"/>
    <dataValidation sqref="A149"/>
    <dataValidation sqref="A15"/>
    <dataValidation sqref="A150"/>
    <dataValidation sqref="A151"/>
    <dataValidation sqref="A152"/>
    <dataValidation sqref="A153"/>
    <dataValidation sqref="A154"/>
    <dataValidation sqref="A155"/>
    <dataValidation sqref="A156"/>
    <dataValidation sqref="A157"/>
    <dataValidation sqref="A158"/>
    <dataValidation sqref="A159"/>
    <dataValidation sqref="A16"/>
    <dataValidation sqref="A160"/>
    <dataValidation sqref="A161"/>
    <dataValidation sqref="A162"/>
    <dataValidation sqref="A163"/>
    <dataValidation sqref="A164"/>
    <dataValidation sqref="A165"/>
    <dataValidation sqref="A166"/>
    <dataValidation sqref="A167"/>
    <dataValidation sqref="A168"/>
    <dataValidation sqref="A169"/>
    <dataValidation sqref="A17"/>
    <dataValidation sqref="A170"/>
    <dataValidation sqref="A171"/>
    <dataValidation sqref="A172"/>
    <dataValidation sqref="A173"/>
    <dataValidation sqref="A174"/>
    <dataValidation sqref="A175"/>
    <dataValidation sqref="A176"/>
    <dataValidation sqref="A177"/>
    <dataValidation sqref="A178"/>
    <dataValidation sqref="A179"/>
    <dataValidation sqref="A18"/>
    <dataValidation sqref="A180"/>
    <dataValidation sqref="A181"/>
    <dataValidation sqref="A182"/>
    <dataValidation sqref="A183"/>
    <dataValidation sqref="A184"/>
    <dataValidation sqref="A185"/>
    <dataValidation sqref="A186"/>
    <dataValidation sqref="A187"/>
    <dataValidation sqref="A188"/>
    <dataValidation sqref="A189"/>
    <dataValidation sqref="A19"/>
    <dataValidation sqref="A190"/>
    <dataValidation sqref="A191"/>
    <dataValidation sqref="A192"/>
    <dataValidation sqref="A193"/>
    <dataValidation sqref="A194"/>
    <dataValidation sqref="A195"/>
    <dataValidation sqref="A196"/>
    <dataValidation sqref="A197"/>
    <dataValidation sqref="A198"/>
    <dataValidation sqref="A199"/>
    <dataValidation sqref="A2"/>
    <dataValidation sqref="A20"/>
    <dataValidation sqref="A200"/>
    <dataValidation sqref="A201"/>
    <dataValidation sqref="A202"/>
    <dataValidation sqref="A203"/>
    <dataValidation sqref="A204"/>
    <dataValidation sqref="A205"/>
    <dataValidation sqref="A206"/>
    <dataValidation sqref="A207"/>
    <dataValidation sqref="A208"/>
    <dataValidation sqref="A209"/>
    <dataValidation sqref="A21"/>
    <dataValidation sqref="A210"/>
    <dataValidation sqref="A211"/>
    <dataValidation sqref="A212"/>
    <dataValidation sqref="A213"/>
    <dataValidation sqref="A214"/>
    <dataValidation sqref="A215"/>
    <dataValidation sqref="A216"/>
    <dataValidation sqref="A217"/>
    <dataValidation sqref="A218"/>
    <dataValidation sqref="A219"/>
    <dataValidation sqref="A22"/>
    <dataValidation sqref="A220"/>
    <dataValidation sqref="A221"/>
    <dataValidation sqref="A222"/>
    <dataValidation sqref="A223"/>
    <dataValidation sqref="A224"/>
    <dataValidation sqref="A225"/>
    <dataValidation sqref="A226"/>
    <dataValidation sqref="A227"/>
    <dataValidation sqref="A228"/>
    <dataValidation sqref="A229"/>
    <dataValidation sqref="A23"/>
    <dataValidation sqref="A230"/>
    <dataValidation sqref="A231"/>
    <dataValidation sqref="A232"/>
    <dataValidation sqref="A233"/>
    <dataValidation sqref="A234"/>
    <dataValidation sqref="A235"/>
    <dataValidation sqref="A236"/>
    <dataValidation sqref="A237"/>
    <dataValidation sqref="A238"/>
    <dataValidation sqref="A239"/>
    <dataValidation sqref="A24"/>
    <dataValidation sqref="A240"/>
    <dataValidation sqref="A241"/>
    <dataValidation sqref="A242"/>
    <dataValidation sqref="A243"/>
    <dataValidation sqref="A244"/>
    <dataValidation sqref="A245"/>
    <dataValidation sqref="A246"/>
    <dataValidation sqref="A247"/>
    <dataValidation sqref="A248"/>
    <dataValidation sqref="A249"/>
    <dataValidation sqref="A25"/>
    <dataValidation sqref="A250"/>
    <dataValidation sqref="A251"/>
    <dataValidation sqref="A252"/>
    <dataValidation sqref="A253"/>
    <dataValidation sqref="A254"/>
    <dataValidation sqref="A255"/>
    <dataValidation sqref="A256"/>
    <dataValidation sqref="A257"/>
    <dataValidation sqref="A258"/>
    <dataValidation sqref="A259"/>
    <dataValidation sqref="A26"/>
    <dataValidation sqref="A260"/>
    <dataValidation sqref="A261"/>
    <dataValidation sqref="A262"/>
    <dataValidation sqref="A263"/>
    <dataValidation sqref="A264"/>
    <dataValidation sqref="A265"/>
    <dataValidation sqref="A266"/>
    <dataValidation sqref="A267"/>
    <dataValidation sqref="A268"/>
    <dataValidation sqref="A269"/>
    <dataValidation sqref="A27"/>
    <dataValidation sqref="A270"/>
    <dataValidation sqref="A271"/>
    <dataValidation sqref="A272"/>
    <dataValidation sqref="A273"/>
    <dataValidation sqref="A274"/>
    <dataValidation sqref="A275"/>
    <dataValidation sqref="A276"/>
    <dataValidation sqref="A277"/>
    <dataValidation sqref="A278"/>
    <dataValidation sqref="A279"/>
    <dataValidation sqref="A28"/>
    <dataValidation sqref="A280"/>
    <dataValidation sqref="A281"/>
    <dataValidation sqref="A282"/>
    <dataValidation sqref="A283"/>
    <dataValidation sqref="A284"/>
    <dataValidation sqref="A285"/>
    <dataValidation sqref="A286"/>
    <dataValidation sqref="A287"/>
    <dataValidation sqref="A288"/>
    <dataValidation sqref="A289"/>
    <dataValidation sqref="A29"/>
    <dataValidation sqref="A290"/>
    <dataValidation sqref="A291"/>
    <dataValidation sqref="A292"/>
    <dataValidation sqref="A293"/>
    <dataValidation sqref="A294"/>
    <dataValidation sqref="A295"/>
    <dataValidation sqref="A296"/>
    <dataValidation sqref="A297"/>
    <dataValidation sqref="A298"/>
    <dataValidation sqref="A299"/>
    <dataValidation sqref="A3"/>
    <dataValidation sqref="A30"/>
    <dataValidation sqref="A300"/>
    <dataValidation sqref="A301"/>
    <dataValidation sqref="A302"/>
    <dataValidation sqref="A303"/>
    <dataValidation sqref="A304"/>
    <dataValidation sqref="A305"/>
    <dataValidation sqref="A306"/>
    <dataValidation sqref="A307"/>
    <dataValidation sqref="A308"/>
    <dataValidation sqref="A309"/>
    <dataValidation sqref="A31"/>
    <dataValidation sqref="A310"/>
    <dataValidation sqref="A311"/>
    <dataValidation sqref="A312"/>
    <dataValidation sqref="A313"/>
    <dataValidation sqref="A314"/>
    <dataValidation sqref="A315"/>
    <dataValidation sqref="A316"/>
    <dataValidation sqref="A317"/>
    <dataValidation sqref="A318"/>
    <dataValidation sqref="A319"/>
    <dataValidation sqref="A32"/>
    <dataValidation sqref="A320"/>
    <dataValidation sqref="A321"/>
    <dataValidation sqref="A322"/>
    <dataValidation sqref="A323"/>
    <dataValidation sqref="A324"/>
    <dataValidation sqref="A325"/>
    <dataValidation sqref="A326"/>
    <dataValidation sqref="A327"/>
    <dataValidation sqref="A328"/>
    <dataValidation sqref="A329"/>
    <dataValidation sqref="A33"/>
    <dataValidation sqref="A330"/>
    <dataValidation sqref="A331"/>
    <dataValidation sqref="A332"/>
    <dataValidation sqref="A333"/>
    <dataValidation sqref="A334"/>
    <dataValidation sqref="A335"/>
    <dataValidation sqref="A336"/>
    <dataValidation sqref="A337"/>
    <dataValidation sqref="A338"/>
    <dataValidation sqref="A339"/>
    <dataValidation sqref="A34"/>
    <dataValidation sqref="A340"/>
    <dataValidation sqref="A341"/>
    <dataValidation sqref="A342"/>
    <dataValidation sqref="A343"/>
    <dataValidation sqref="A344"/>
    <dataValidation sqref="A345"/>
    <dataValidation sqref="A346"/>
    <dataValidation sqref="A347"/>
    <dataValidation sqref="A348"/>
    <dataValidation sqref="A349"/>
    <dataValidation sqref="A35"/>
    <dataValidation sqref="A350"/>
    <dataValidation sqref="A351"/>
    <dataValidation sqref="A352"/>
    <dataValidation sqref="A353"/>
    <dataValidation sqref="A36"/>
    <dataValidation sqref="A37"/>
    <dataValidation sqref="A38"/>
    <dataValidation sqref="A39"/>
    <dataValidation sqref="A4"/>
    <dataValidation sqref="A40"/>
    <dataValidation sqref="A41"/>
    <dataValidation sqref="A42"/>
    <dataValidation sqref="A43"/>
    <dataValidation sqref="A44"/>
    <dataValidation sqref="A45"/>
    <dataValidation sqref="A46"/>
    <dataValidation sqref="A47"/>
    <dataValidation sqref="A48"/>
    <dataValidation sqref="A49"/>
    <dataValidation sqref="A5"/>
    <dataValidation sqref="A50"/>
    <dataValidation sqref="A51"/>
    <dataValidation sqref="A52"/>
    <dataValidation sqref="A53"/>
    <dataValidation sqref="A54"/>
    <dataValidation sqref="A55"/>
    <dataValidation sqref="A56"/>
    <dataValidation sqref="A57"/>
    <dataValidation sqref="A58"/>
    <dataValidation sqref="A59"/>
    <dataValidation sqref="A6"/>
    <dataValidation sqref="A60"/>
    <dataValidation sqref="A61"/>
    <dataValidation sqref="A62"/>
    <dataValidation sqref="A63"/>
    <dataValidation sqref="A64"/>
    <dataValidation sqref="A65"/>
    <dataValidation sqref="A66"/>
    <dataValidation sqref="A67"/>
    <dataValidation sqref="A68"/>
    <dataValidation sqref="A69"/>
    <dataValidation sqref="A7"/>
    <dataValidation sqref="A70"/>
    <dataValidation sqref="A71"/>
    <dataValidation sqref="A72"/>
    <dataValidation sqref="A73"/>
    <dataValidation sqref="A74"/>
    <dataValidation sqref="A75"/>
    <dataValidation sqref="A76"/>
    <dataValidation sqref="A77"/>
    <dataValidation sqref="A78"/>
    <dataValidation sqref="A79"/>
    <dataValidation sqref="A8"/>
    <dataValidation sqref="A80"/>
    <dataValidation sqref="A81"/>
    <dataValidation sqref="A82"/>
    <dataValidation sqref="A83"/>
    <dataValidation sqref="A84"/>
    <dataValidation sqref="A85"/>
    <dataValidation sqref="A86"/>
    <dataValidation sqref="A87"/>
    <dataValidation sqref="A88"/>
    <dataValidation sqref="A89"/>
    <dataValidation sqref="A9"/>
    <dataValidation sqref="A90"/>
    <dataValidation sqref="A91"/>
    <dataValidation sqref="A92"/>
    <dataValidation sqref="A93"/>
    <dataValidation sqref="A94"/>
    <dataValidation sqref="A95"/>
    <dataValidation sqref="A96"/>
    <dataValidation sqref="A97"/>
    <dataValidation sqref="A98"/>
    <dataValidation sqref="A99"/>
    <dataValidation sqref="B1"/>
    <dataValidation sqref="B10"/>
    <dataValidation sqref="B100"/>
    <dataValidation sqref="B101"/>
    <dataValidation sqref="B102"/>
    <dataValidation sqref="B103"/>
    <dataValidation sqref="B104"/>
    <dataValidation sqref="B105"/>
    <dataValidation sqref="B106"/>
    <dataValidation sqref="B107"/>
    <dataValidation sqref="B108"/>
    <dataValidation sqref="B109"/>
    <dataValidation sqref="B11"/>
    <dataValidation sqref="B110"/>
    <dataValidation sqref="B111"/>
    <dataValidation sqref="B112"/>
    <dataValidation sqref="B113"/>
    <dataValidation sqref="B114"/>
    <dataValidation sqref="B115"/>
    <dataValidation sqref="B116"/>
    <dataValidation sqref="B117"/>
    <dataValidation sqref="B118"/>
    <dataValidation sqref="B119"/>
    <dataValidation sqref="B12"/>
    <dataValidation sqref="B120"/>
    <dataValidation sqref="B121"/>
    <dataValidation sqref="B122"/>
    <dataValidation sqref="B123"/>
    <dataValidation sqref="B124"/>
    <dataValidation sqref="B125"/>
    <dataValidation sqref="B126"/>
    <dataValidation sqref="B127"/>
    <dataValidation sqref="B128"/>
    <dataValidation sqref="B129"/>
    <dataValidation sqref="B13"/>
    <dataValidation sqref="B130"/>
    <dataValidation sqref="B131"/>
    <dataValidation sqref="B132"/>
    <dataValidation sqref="B133"/>
    <dataValidation sqref="B134"/>
    <dataValidation sqref="B135"/>
    <dataValidation sqref="B136"/>
    <dataValidation sqref="B137"/>
    <dataValidation sqref="B138"/>
    <dataValidation sqref="B139"/>
    <dataValidation sqref="B14"/>
    <dataValidation sqref="B140"/>
    <dataValidation sqref="B141"/>
    <dataValidation sqref="B142"/>
    <dataValidation sqref="B143"/>
    <dataValidation sqref="B144"/>
    <dataValidation sqref="B145"/>
    <dataValidation sqref="B146"/>
    <dataValidation sqref="B147"/>
    <dataValidation sqref="B148"/>
    <dataValidation sqref="B149"/>
    <dataValidation sqref="B15"/>
    <dataValidation sqref="B150"/>
    <dataValidation sqref="B151"/>
    <dataValidation sqref="B152"/>
    <dataValidation sqref="B153"/>
    <dataValidation sqref="B154"/>
    <dataValidation sqref="B155"/>
    <dataValidation sqref="B156"/>
    <dataValidation sqref="B157"/>
    <dataValidation sqref="B158"/>
    <dataValidation sqref="B159"/>
    <dataValidation sqref="B16"/>
    <dataValidation sqref="B160"/>
    <dataValidation sqref="B161"/>
    <dataValidation sqref="B162"/>
    <dataValidation sqref="B163"/>
    <dataValidation sqref="B164"/>
    <dataValidation sqref="B165"/>
    <dataValidation sqref="B166"/>
    <dataValidation sqref="B167"/>
    <dataValidation sqref="B168"/>
    <dataValidation sqref="B169"/>
    <dataValidation sqref="B17"/>
    <dataValidation sqref="B170"/>
    <dataValidation sqref="B171"/>
    <dataValidation sqref="B172"/>
    <dataValidation sqref="B173"/>
    <dataValidation sqref="B174"/>
    <dataValidation sqref="B175"/>
    <dataValidation sqref="B176"/>
    <dataValidation sqref="B177"/>
    <dataValidation sqref="B178"/>
    <dataValidation sqref="B179"/>
    <dataValidation sqref="B18"/>
    <dataValidation sqref="B180"/>
    <dataValidation sqref="B181"/>
    <dataValidation sqref="B182"/>
    <dataValidation sqref="B183"/>
    <dataValidation sqref="B184"/>
    <dataValidation sqref="B185"/>
    <dataValidation sqref="B186"/>
    <dataValidation sqref="B187"/>
    <dataValidation sqref="B188"/>
    <dataValidation sqref="B189"/>
    <dataValidation sqref="B19"/>
    <dataValidation sqref="B190"/>
    <dataValidation sqref="B191"/>
    <dataValidation sqref="B192"/>
    <dataValidation sqref="B193"/>
    <dataValidation sqref="B194"/>
    <dataValidation sqref="B195"/>
    <dataValidation sqref="B196"/>
    <dataValidation sqref="B197"/>
    <dataValidation sqref="B198"/>
    <dataValidation sqref="B199"/>
    <dataValidation sqref="B2"/>
    <dataValidation sqref="B20"/>
    <dataValidation sqref="B200"/>
    <dataValidation sqref="B201"/>
    <dataValidation sqref="B202"/>
    <dataValidation sqref="B203"/>
    <dataValidation sqref="B204"/>
    <dataValidation sqref="B205"/>
    <dataValidation sqref="B206"/>
    <dataValidation sqref="B207"/>
    <dataValidation sqref="B208"/>
    <dataValidation sqref="B209"/>
    <dataValidation sqref="B21"/>
    <dataValidation sqref="B210"/>
    <dataValidation sqref="B211"/>
    <dataValidation sqref="B212"/>
    <dataValidation sqref="B213"/>
    <dataValidation sqref="B214"/>
    <dataValidation sqref="B215"/>
    <dataValidation sqref="B216"/>
    <dataValidation sqref="B217"/>
    <dataValidation sqref="B218"/>
    <dataValidation sqref="B219"/>
    <dataValidation sqref="B22"/>
    <dataValidation sqref="B220"/>
    <dataValidation sqref="B221"/>
    <dataValidation sqref="B222"/>
    <dataValidation sqref="B223"/>
    <dataValidation sqref="B224"/>
    <dataValidation sqref="B225"/>
    <dataValidation sqref="B226"/>
    <dataValidation sqref="B227"/>
    <dataValidation sqref="B228"/>
    <dataValidation sqref="B229"/>
    <dataValidation sqref="B23"/>
    <dataValidation sqref="B230"/>
    <dataValidation sqref="B231"/>
    <dataValidation sqref="B232"/>
    <dataValidation sqref="B233"/>
    <dataValidation sqref="B234"/>
    <dataValidation sqref="B235"/>
    <dataValidation sqref="B236"/>
    <dataValidation sqref="B237"/>
    <dataValidation sqref="B238"/>
    <dataValidation sqref="B239"/>
    <dataValidation sqref="B24"/>
    <dataValidation sqref="B240"/>
    <dataValidation sqref="B241"/>
    <dataValidation sqref="B242"/>
    <dataValidation sqref="B243"/>
    <dataValidation sqref="B244"/>
    <dataValidation sqref="B245"/>
    <dataValidation sqref="B246"/>
    <dataValidation sqref="B247"/>
    <dataValidation sqref="B248"/>
    <dataValidation sqref="B249"/>
    <dataValidation sqref="B25"/>
    <dataValidation sqref="B250"/>
    <dataValidation sqref="B251"/>
    <dataValidation sqref="B252"/>
    <dataValidation sqref="B253"/>
    <dataValidation sqref="B254"/>
    <dataValidation sqref="B255"/>
    <dataValidation sqref="B256"/>
    <dataValidation sqref="B257"/>
    <dataValidation sqref="B258"/>
    <dataValidation sqref="B259"/>
    <dataValidation sqref="B26"/>
    <dataValidation sqref="B260"/>
    <dataValidation sqref="B261"/>
    <dataValidation sqref="B262"/>
    <dataValidation sqref="B263"/>
    <dataValidation sqref="B264"/>
    <dataValidation sqref="B265"/>
    <dataValidation sqref="B266"/>
    <dataValidation sqref="B267"/>
    <dataValidation sqref="B268"/>
    <dataValidation sqref="B269"/>
    <dataValidation sqref="B27"/>
    <dataValidation sqref="B270"/>
    <dataValidation sqref="B271"/>
    <dataValidation sqref="B272"/>
    <dataValidation sqref="B273"/>
    <dataValidation sqref="B274"/>
    <dataValidation sqref="B275"/>
    <dataValidation sqref="B276"/>
    <dataValidation sqref="B277"/>
    <dataValidation sqref="B278"/>
    <dataValidation sqref="B279"/>
    <dataValidation sqref="B28"/>
    <dataValidation sqref="B280"/>
    <dataValidation sqref="B281"/>
    <dataValidation sqref="B282"/>
    <dataValidation sqref="B283"/>
    <dataValidation sqref="B284"/>
    <dataValidation sqref="B285"/>
    <dataValidation sqref="B286"/>
    <dataValidation sqref="B287"/>
    <dataValidation sqref="B288"/>
    <dataValidation sqref="B289"/>
    <dataValidation sqref="B29"/>
    <dataValidation sqref="B290"/>
    <dataValidation sqref="B291"/>
    <dataValidation sqref="B292"/>
    <dataValidation sqref="B293"/>
    <dataValidation sqref="B294"/>
    <dataValidation sqref="B295"/>
    <dataValidation sqref="B296"/>
    <dataValidation sqref="B297"/>
    <dataValidation sqref="B298"/>
    <dataValidation sqref="B299"/>
    <dataValidation sqref="B3"/>
    <dataValidation sqref="B30"/>
    <dataValidation sqref="B300"/>
    <dataValidation sqref="B301"/>
    <dataValidation sqref="B302"/>
    <dataValidation sqref="B303"/>
    <dataValidation sqref="B304"/>
    <dataValidation sqref="B305"/>
    <dataValidation sqref="B306"/>
    <dataValidation sqref="B307"/>
    <dataValidation sqref="B308"/>
    <dataValidation sqref="B309"/>
    <dataValidation sqref="B31"/>
    <dataValidation sqref="B310"/>
    <dataValidation sqref="B311"/>
    <dataValidation sqref="B312"/>
    <dataValidation sqref="B313"/>
    <dataValidation sqref="B314"/>
    <dataValidation sqref="B315"/>
    <dataValidation sqref="B316"/>
    <dataValidation sqref="B317"/>
    <dataValidation sqref="B318"/>
    <dataValidation sqref="B319"/>
    <dataValidation sqref="B32"/>
    <dataValidation sqref="B320"/>
    <dataValidation sqref="B321"/>
    <dataValidation sqref="B322"/>
    <dataValidation sqref="B323"/>
    <dataValidation sqref="B324"/>
    <dataValidation sqref="B325"/>
    <dataValidation sqref="B326"/>
    <dataValidation sqref="B327"/>
    <dataValidation sqref="B328"/>
    <dataValidation sqref="B329"/>
    <dataValidation sqref="B33"/>
    <dataValidation sqref="B330"/>
    <dataValidation sqref="B331"/>
    <dataValidation sqref="B332"/>
    <dataValidation sqref="B333"/>
    <dataValidation sqref="B334"/>
    <dataValidation sqref="B335"/>
    <dataValidation sqref="B336"/>
    <dataValidation sqref="B337"/>
    <dataValidation sqref="B338"/>
    <dataValidation sqref="B339"/>
    <dataValidation sqref="B34"/>
    <dataValidation sqref="B340"/>
    <dataValidation sqref="B341"/>
    <dataValidation sqref="B342"/>
    <dataValidation sqref="B343"/>
    <dataValidation sqref="B344"/>
    <dataValidation sqref="B345"/>
    <dataValidation sqref="B346"/>
    <dataValidation sqref="B347"/>
    <dataValidation sqref="B348"/>
    <dataValidation sqref="B349"/>
    <dataValidation sqref="B35"/>
    <dataValidation sqref="B350"/>
    <dataValidation sqref="B351"/>
    <dataValidation sqref="B352"/>
    <dataValidation sqref="B353"/>
    <dataValidation sqref="B36"/>
    <dataValidation sqref="B37"/>
    <dataValidation sqref="B38"/>
    <dataValidation sqref="B39"/>
    <dataValidation sqref="B4"/>
    <dataValidation sqref="B40"/>
    <dataValidation sqref="B41"/>
    <dataValidation sqref="B42"/>
    <dataValidation sqref="B43"/>
    <dataValidation sqref="B44"/>
    <dataValidation sqref="B45"/>
    <dataValidation sqref="B46"/>
    <dataValidation sqref="B47"/>
    <dataValidation sqref="B48"/>
    <dataValidation sqref="B49"/>
    <dataValidation sqref="B5"/>
    <dataValidation sqref="B50"/>
    <dataValidation sqref="B51"/>
    <dataValidation sqref="B52"/>
    <dataValidation sqref="B53"/>
    <dataValidation sqref="B54"/>
    <dataValidation sqref="B55"/>
    <dataValidation sqref="B56"/>
    <dataValidation sqref="B57"/>
    <dataValidation sqref="B58"/>
    <dataValidation sqref="B59"/>
    <dataValidation sqref="B6"/>
    <dataValidation sqref="B60"/>
    <dataValidation sqref="B61"/>
    <dataValidation sqref="B62"/>
    <dataValidation sqref="B63"/>
    <dataValidation sqref="B64"/>
    <dataValidation sqref="B65"/>
    <dataValidation sqref="B66"/>
    <dataValidation sqref="B67"/>
    <dataValidation sqref="B68"/>
    <dataValidation sqref="B69"/>
    <dataValidation sqref="B7"/>
    <dataValidation sqref="B70"/>
    <dataValidation sqref="B71"/>
    <dataValidation sqref="B72"/>
    <dataValidation sqref="B73"/>
    <dataValidation sqref="B74"/>
    <dataValidation sqref="B75"/>
    <dataValidation sqref="B76"/>
    <dataValidation sqref="B77"/>
    <dataValidation sqref="B78"/>
    <dataValidation sqref="B79"/>
    <dataValidation sqref="B8"/>
    <dataValidation sqref="B80"/>
    <dataValidation sqref="B81"/>
    <dataValidation sqref="B82"/>
    <dataValidation sqref="B83"/>
    <dataValidation sqref="B84"/>
    <dataValidation sqref="B85"/>
    <dataValidation sqref="B86"/>
    <dataValidation sqref="B87"/>
    <dataValidation sqref="B88"/>
    <dataValidation sqref="B89"/>
    <dataValidation sqref="B9"/>
    <dataValidation sqref="B90"/>
    <dataValidation sqref="B91"/>
    <dataValidation sqref="B92"/>
    <dataValidation sqref="B93"/>
    <dataValidation sqref="B94"/>
    <dataValidation sqref="B95"/>
    <dataValidation sqref="B96"/>
    <dataValidation sqref="B97"/>
    <dataValidation sqref="B98"/>
    <dataValidation sqref="B99"/>
    <dataValidation sqref="C1"/>
    <dataValidation sqref="C10"/>
    <dataValidation sqref="C100"/>
    <dataValidation sqref="C101"/>
    <dataValidation sqref="C102"/>
    <dataValidation sqref="C103"/>
    <dataValidation sqref="C104"/>
    <dataValidation sqref="C105"/>
    <dataValidation sqref="C106"/>
    <dataValidation sqref="C107"/>
    <dataValidation sqref="C108"/>
    <dataValidation sqref="C109"/>
    <dataValidation sqref="C11"/>
    <dataValidation sqref="C110"/>
    <dataValidation sqref="C111"/>
    <dataValidation sqref="C112"/>
    <dataValidation sqref="C113"/>
    <dataValidation sqref="C114"/>
    <dataValidation sqref="C115"/>
    <dataValidation sqref="C116"/>
    <dataValidation sqref="C117"/>
    <dataValidation sqref="C118"/>
    <dataValidation sqref="C119"/>
    <dataValidation sqref="C12"/>
    <dataValidation sqref="C120"/>
    <dataValidation sqref="C121"/>
    <dataValidation sqref="C122"/>
    <dataValidation sqref="C123"/>
    <dataValidation sqref="C124"/>
    <dataValidation sqref="C125"/>
    <dataValidation sqref="C126"/>
    <dataValidation sqref="C127"/>
    <dataValidation sqref="C128"/>
    <dataValidation sqref="C129"/>
    <dataValidation sqref="C13"/>
    <dataValidation sqref="C130"/>
    <dataValidation sqref="C131"/>
    <dataValidation sqref="C132"/>
    <dataValidation sqref="C133"/>
    <dataValidation sqref="C134"/>
    <dataValidation sqref="C135"/>
    <dataValidation sqref="C136"/>
    <dataValidation sqref="C137"/>
    <dataValidation sqref="C138"/>
    <dataValidation sqref="C139"/>
    <dataValidation sqref="C14"/>
    <dataValidation sqref="C140"/>
    <dataValidation sqref="C141"/>
    <dataValidation sqref="C142"/>
    <dataValidation sqref="C143"/>
    <dataValidation sqref="C144"/>
    <dataValidation sqref="C145"/>
    <dataValidation sqref="C146"/>
    <dataValidation sqref="C147"/>
    <dataValidation sqref="C148"/>
    <dataValidation sqref="C149"/>
    <dataValidation sqref="C15"/>
    <dataValidation sqref="C150"/>
    <dataValidation sqref="C151"/>
    <dataValidation sqref="C152"/>
    <dataValidation sqref="C153"/>
    <dataValidation sqref="C154"/>
    <dataValidation sqref="C155"/>
    <dataValidation sqref="C156"/>
    <dataValidation sqref="C157"/>
    <dataValidation sqref="C158"/>
    <dataValidation sqref="C159"/>
    <dataValidation sqref="C16"/>
    <dataValidation sqref="C160"/>
    <dataValidation sqref="C161"/>
    <dataValidation sqref="C162"/>
    <dataValidation sqref="C163"/>
    <dataValidation sqref="C164"/>
    <dataValidation sqref="C165"/>
    <dataValidation sqref="C166"/>
    <dataValidation sqref="C167"/>
    <dataValidation sqref="C168"/>
    <dataValidation sqref="C169"/>
    <dataValidation sqref="C17"/>
    <dataValidation sqref="C170"/>
    <dataValidation sqref="C171"/>
    <dataValidation sqref="C172"/>
    <dataValidation sqref="C173"/>
    <dataValidation sqref="C174"/>
    <dataValidation sqref="C175"/>
    <dataValidation sqref="C176"/>
    <dataValidation sqref="C177"/>
    <dataValidation sqref="C178"/>
    <dataValidation sqref="C179"/>
    <dataValidation sqref="C18"/>
    <dataValidation sqref="C180"/>
    <dataValidation sqref="C181"/>
    <dataValidation sqref="C182"/>
    <dataValidation sqref="C183"/>
    <dataValidation sqref="C184"/>
    <dataValidation sqref="C185"/>
    <dataValidation sqref="C186"/>
    <dataValidation sqref="C187"/>
    <dataValidation sqref="C188"/>
    <dataValidation sqref="C189"/>
    <dataValidation sqref="C19"/>
    <dataValidation sqref="C190"/>
    <dataValidation sqref="C191"/>
    <dataValidation sqref="C192"/>
    <dataValidation sqref="C193"/>
    <dataValidation sqref="C194"/>
    <dataValidation sqref="C195"/>
    <dataValidation sqref="C196"/>
    <dataValidation sqref="C197"/>
    <dataValidation sqref="C198"/>
    <dataValidation sqref="C199"/>
    <dataValidation sqref="C2"/>
    <dataValidation sqref="C20"/>
    <dataValidation sqref="C200"/>
    <dataValidation sqref="C201"/>
    <dataValidation sqref="C202"/>
    <dataValidation sqref="C203"/>
    <dataValidation sqref="C204"/>
    <dataValidation sqref="C205"/>
    <dataValidation sqref="C206"/>
    <dataValidation sqref="C207"/>
    <dataValidation sqref="C208"/>
    <dataValidation sqref="C209"/>
    <dataValidation sqref="C21"/>
    <dataValidation sqref="C210"/>
    <dataValidation sqref="C211"/>
    <dataValidation sqref="C212"/>
    <dataValidation sqref="C213"/>
    <dataValidation sqref="C214"/>
    <dataValidation sqref="C215"/>
    <dataValidation sqref="C216"/>
    <dataValidation sqref="C217"/>
    <dataValidation sqref="C218"/>
    <dataValidation sqref="C219"/>
    <dataValidation sqref="C22"/>
    <dataValidation sqref="C220"/>
    <dataValidation sqref="C221"/>
    <dataValidation sqref="C222"/>
    <dataValidation sqref="C223"/>
    <dataValidation sqref="C224"/>
    <dataValidation sqref="C225"/>
    <dataValidation sqref="C226"/>
    <dataValidation sqref="C227"/>
    <dataValidation sqref="C228"/>
    <dataValidation sqref="C229"/>
    <dataValidation sqref="C23"/>
    <dataValidation sqref="C230"/>
    <dataValidation sqref="C231"/>
    <dataValidation sqref="C232"/>
    <dataValidation sqref="C233"/>
    <dataValidation sqref="C234"/>
    <dataValidation sqref="C235"/>
    <dataValidation sqref="C236"/>
    <dataValidation sqref="C237"/>
    <dataValidation sqref="C238"/>
    <dataValidation sqref="C239"/>
    <dataValidation sqref="C24"/>
    <dataValidation sqref="C240"/>
    <dataValidation sqref="C241"/>
    <dataValidation sqref="C242"/>
    <dataValidation sqref="C243"/>
    <dataValidation sqref="C244"/>
    <dataValidation sqref="C245"/>
    <dataValidation sqref="C246"/>
    <dataValidation sqref="C247"/>
    <dataValidation sqref="C248"/>
    <dataValidation sqref="C249"/>
    <dataValidation sqref="C25"/>
    <dataValidation sqref="C250"/>
    <dataValidation sqref="C251"/>
    <dataValidation sqref="C252"/>
    <dataValidation sqref="C253"/>
    <dataValidation sqref="C254"/>
    <dataValidation sqref="C255"/>
    <dataValidation sqref="C256"/>
    <dataValidation sqref="C257"/>
    <dataValidation sqref="C258"/>
    <dataValidation sqref="C259"/>
    <dataValidation sqref="C26"/>
    <dataValidation sqref="C260"/>
    <dataValidation sqref="C261"/>
    <dataValidation sqref="C262"/>
    <dataValidation sqref="C263"/>
    <dataValidation sqref="C264"/>
    <dataValidation sqref="C265"/>
    <dataValidation sqref="C266"/>
    <dataValidation sqref="C267"/>
    <dataValidation sqref="C268"/>
    <dataValidation sqref="C269"/>
    <dataValidation sqref="C27"/>
    <dataValidation sqref="C270"/>
    <dataValidation sqref="C271"/>
    <dataValidation sqref="C272"/>
    <dataValidation sqref="C273"/>
    <dataValidation sqref="C274"/>
    <dataValidation sqref="C275"/>
    <dataValidation sqref="C276"/>
    <dataValidation sqref="C277"/>
    <dataValidation sqref="C278"/>
    <dataValidation sqref="C279"/>
    <dataValidation sqref="C28"/>
    <dataValidation sqref="C280"/>
    <dataValidation sqref="C281"/>
    <dataValidation sqref="C282"/>
    <dataValidation sqref="C283"/>
    <dataValidation sqref="C284"/>
    <dataValidation sqref="C285"/>
    <dataValidation sqref="C286"/>
    <dataValidation sqref="C287"/>
    <dataValidation sqref="C288"/>
    <dataValidation sqref="C289"/>
    <dataValidation sqref="C29"/>
    <dataValidation sqref="C290"/>
    <dataValidation sqref="C291"/>
    <dataValidation sqref="C292"/>
    <dataValidation sqref="C293"/>
    <dataValidation sqref="C294"/>
    <dataValidation sqref="C295"/>
    <dataValidation sqref="C296"/>
    <dataValidation sqref="C297"/>
    <dataValidation sqref="C298"/>
    <dataValidation sqref="C299"/>
    <dataValidation sqref="C3"/>
    <dataValidation sqref="C30"/>
    <dataValidation sqref="C300"/>
    <dataValidation sqref="C301"/>
    <dataValidation sqref="C302"/>
    <dataValidation sqref="C303"/>
    <dataValidation sqref="C304"/>
    <dataValidation sqref="C305"/>
    <dataValidation sqref="C306"/>
    <dataValidation sqref="C307"/>
    <dataValidation sqref="C308"/>
    <dataValidation sqref="C309"/>
    <dataValidation sqref="C31"/>
    <dataValidation sqref="C310"/>
    <dataValidation sqref="C311"/>
    <dataValidation sqref="C312"/>
    <dataValidation sqref="C313"/>
    <dataValidation sqref="C314"/>
    <dataValidation sqref="C315"/>
    <dataValidation sqref="C316"/>
    <dataValidation sqref="C317"/>
    <dataValidation sqref="C318"/>
    <dataValidation sqref="C319"/>
    <dataValidation sqref="C32"/>
    <dataValidation sqref="C320"/>
    <dataValidation sqref="C321"/>
    <dataValidation sqref="C322"/>
    <dataValidation sqref="C323"/>
    <dataValidation sqref="C324"/>
    <dataValidation sqref="C325"/>
    <dataValidation sqref="C326"/>
    <dataValidation sqref="C327"/>
    <dataValidation sqref="C328"/>
    <dataValidation sqref="C329"/>
    <dataValidation sqref="C33"/>
    <dataValidation sqref="C330"/>
    <dataValidation sqref="C331"/>
    <dataValidation sqref="C332"/>
    <dataValidation sqref="C333"/>
    <dataValidation sqref="C334"/>
    <dataValidation sqref="C335"/>
    <dataValidation sqref="C336"/>
    <dataValidation sqref="C337"/>
    <dataValidation sqref="C338"/>
    <dataValidation sqref="C339"/>
    <dataValidation sqref="C34"/>
    <dataValidation sqref="C340"/>
    <dataValidation sqref="C341"/>
    <dataValidation sqref="C342"/>
    <dataValidation sqref="C343"/>
    <dataValidation sqref="C344"/>
    <dataValidation sqref="C345"/>
    <dataValidation sqref="C346"/>
    <dataValidation sqref="C347"/>
    <dataValidation sqref="C348"/>
    <dataValidation sqref="C349"/>
    <dataValidation sqref="C35"/>
    <dataValidation sqref="C350"/>
    <dataValidation sqref="C351"/>
    <dataValidation sqref="C352"/>
    <dataValidation sqref="C353"/>
    <dataValidation sqref="C36"/>
    <dataValidation sqref="C37"/>
    <dataValidation sqref="C38"/>
    <dataValidation sqref="C39"/>
    <dataValidation sqref="C4"/>
    <dataValidation sqref="C40"/>
    <dataValidation sqref="C41"/>
    <dataValidation sqref="C42"/>
    <dataValidation sqref="C43"/>
    <dataValidation sqref="C44"/>
    <dataValidation sqref="C45"/>
    <dataValidation sqref="C46"/>
    <dataValidation sqref="C47"/>
    <dataValidation sqref="C48"/>
    <dataValidation sqref="C49"/>
    <dataValidation sqref="C5"/>
    <dataValidation sqref="C50"/>
    <dataValidation sqref="C51"/>
    <dataValidation sqref="C52"/>
    <dataValidation sqref="C53"/>
    <dataValidation sqref="C54"/>
    <dataValidation sqref="C55"/>
    <dataValidation sqref="C56"/>
    <dataValidation sqref="C57"/>
    <dataValidation sqref="C58"/>
    <dataValidation sqref="C59"/>
    <dataValidation sqref="C6"/>
    <dataValidation sqref="C60"/>
    <dataValidation sqref="C61"/>
    <dataValidation sqref="C62"/>
    <dataValidation sqref="C63"/>
    <dataValidation sqref="C64"/>
    <dataValidation sqref="C65"/>
    <dataValidation sqref="C66"/>
    <dataValidation sqref="C67"/>
    <dataValidation sqref="C68"/>
    <dataValidation sqref="C69"/>
    <dataValidation sqref="C7"/>
    <dataValidation sqref="C70"/>
    <dataValidation sqref="C71"/>
    <dataValidation sqref="C72"/>
    <dataValidation sqref="C73"/>
    <dataValidation sqref="C74"/>
    <dataValidation sqref="C75"/>
    <dataValidation sqref="C76"/>
    <dataValidation sqref="C77"/>
    <dataValidation sqref="C78"/>
    <dataValidation sqref="C79"/>
    <dataValidation sqref="C8"/>
    <dataValidation sqref="C80"/>
    <dataValidation sqref="C81"/>
    <dataValidation sqref="C82"/>
    <dataValidation sqref="C83"/>
    <dataValidation sqref="C84"/>
    <dataValidation sqref="C85"/>
    <dataValidation sqref="C86"/>
    <dataValidation sqref="C87"/>
    <dataValidation sqref="C88"/>
    <dataValidation sqref="C89"/>
    <dataValidation sqref="C9"/>
    <dataValidation sqref="C90"/>
    <dataValidation sqref="C91"/>
    <dataValidation sqref="C92"/>
    <dataValidation sqref="C93"/>
    <dataValidation sqref="C94"/>
    <dataValidation sqref="C95"/>
    <dataValidation sqref="C96"/>
    <dataValidation sqref="C97"/>
    <dataValidation sqref="C98"/>
    <dataValidation sqref="C99"/>
    <dataValidation sqref="D1"/>
    <dataValidation sqref="D10"/>
    <dataValidation sqref="D100"/>
    <dataValidation sqref="D101"/>
    <dataValidation sqref="D102"/>
    <dataValidation sqref="D103"/>
    <dataValidation sqref="D104"/>
    <dataValidation sqref="D105"/>
    <dataValidation sqref="D106"/>
    <dataValidation sqref="D107"/>
    <dataValidation sqref="D108"/>
    <dataValidation sqref="D109"/>
    <dataValidation sqref="D11"/>
    <dataValidation sqref="D110"/>
    <dataValidation sqref="D111"/>
    <dataValidation sqref="D112"/>
    <dataValidation sqref="D113"/>
    <dataValidation sqref="D114"/>
    <dataValidation sqref="D115"/>
    <dataValidation sqref="D116"/>
    <dataValidation sqref="D117"/>
    <dataValidation sqref="D118"/>
    <dataValidation sqref="D119"/>
    <dataValidation sqref="D12"/>
    <dataValidation sqref="D120"/>
    <dataValidation sqref="D121"/>
    <dataValidation sqref="D122"/>
    <dataValidation sqref="D123"/>
    <dataValidation sqref="D124"/>
    <dataValidation sqref="D125"/>
    <dataValidation sqref="D126"/>
    <dataValidation sqref="D127"/>
    <dataValidation sqref="D128"/>
    <dataValidation sqref="D129"/>
    <dataValidation sqref="D13"/>
    <dataValidation sqref="D130"/>
    <dataValidation sqref="D131"/>
    <dataValidation sqref="D132"/>
    <dataValidation sqref="D133"/>
    <dataValidation sqref="D134"/>
    <dataValidation sqref="D135"/>
    <dataValidation sqref="D136"/>
    <dataValidation sqref="D137"/>
    <dataValidation sqref="D138"/>
    <dataValidation sqref="D139"/>
    <dataValidation sqref="D14"/>
    <dataValidation sqref="D140"/>
    <dataValidation sqref="D141"/>
    <dataValidation sqref="D142"/>
    <dataValidation sqref="D143"/>
    <dataValidation sqref="D144"/>
    <dataValidation sqref="D145"/>
    <dataValidation sqref="D146"/>
    <dataValidation sqref="D147"/>
    <dataValidation sqref="D148"/>
    <dataValidation sqref="D149"/>
    <dataValidation sqref="D15"/>
    <dataValidation sqref="D150"/>
    <dataValidation sqref="D151"/>
    <dataValidation sqref="D152"/>
    <dataValidation sqref="D153"/>
    <dataValidation sqref="D154"/>
    <dataValidation sqref="D155"/>
    <dataValidation sqref="D156"/>
    <dataValidation sqref="D157"/>
    <dataValidation sqref="D158"/>
    <dataValidation sqref="D159"/>
    <dataValidation sqref="D16"/>
    <dataValidation sqref="D160"/>
    <dataValidation sqref="D161"/>
    <dataValidation sqref="D162"/>
    <dataValidation sqref="D163"/>
    <dataValidation sqref="D164"/>
    <dataValidation sqref="D165"/>
    <dataValidation sqref="D166"/>
    <dataValidation sqref="D167"/>
    <dataValidation sqref="D168"/>
    <dataValidation sqref="D169"/>
    <dataValidation sqref="D17"/>
    <dataValidation sqref="D170"/>
    <dataValidation sqref="D171"/>
    <dataValidation sqref="D172"/>
    <dataValidation sqref="D173"/>
    <dataValidation sqref="D174"/>
    <dataValidation sqref="D175"/>
    <dataValidation sqref="D176"/>
    <dataValidation sqref="D177"/>
    <dataValidation sqref="D178"/>
    <dataValidation sqref="D179"/>
    <dataValidation sqref="D18"/>
    <dataValidation sqref="D180"/>
    <dataValidation sqref="D181"/>
    <dataValidation sqref="D182"/>
    <dataValidation sqref="D183"/>
    <dataValidation sqref="D184"/>
    <dataValidation sqref="D185"/>
    <dataValidation sqref="D186"/>
    <dataValidation sqref="D187"/>
    <dataValidation sqref="D188"/>
    <dataValidation sqref="D189"/>
    <dataValidation sqref="D19"/>
    <dataValidation sqref="D190"/>
    <dataValidation sqref="D191"/>
    <dataValidation sqref="D192"/>
    <dataValidation sqref="D193"/>
    <dataValidation sqref="D194"/>
    <dataValidation sqref="D195"/>
    <dataValidation sqref="D196"/>
    <dataValidation sqref="D197"/>
    <dataValidation sqref="D198"/>
    <dataValidation sqref="D199"/>
    <dataValidation sqref="D2"/>
    <dataValidation sqref="D20"/>
    <dataValidation sqref="D200"/>
    <dataValidation sqref="D201"/>
    <dataValidation sqref="D202"/>
    <dataValidation sqref="D203"/>
    <dataValidation sqref="D204"/>
    <dataValidation sqref="D205"/>
    <dataValidation sqref="D206"/>
    <dataValidation sqref="D207"/>
    <dataValidation sqref="D208"/>
    <dataValidation sqref="D209"/>
    <dataValidation sqref="D21"/>
    <dataValidation sqref="D210"/>
    <dataValidation sqref="D211"/>
    <dataValidation sqref="D212"/>
    <dataValidation sqref="D213"/>
    <dataValidation sqref="D214"/>
    <dataValidation sqref="D215"/>
    <dataValidation sqref="D216"/>
    <dataValidation sqref="D217"/>
    <dataValidation sqref="D218"/>
    <dataValidation sqref="D219"/>
    <dataValidation sqref="D22"/>
    <dataValidation sqref="D220"/>
    <dataValidation sqref="D221"/>
    <dataValidation sqref="D222"/>
    <dataValidation sqref="D223"/>
    <dataValidation sqref="D224"/>
    <dataValidation sqref="D225"/>
    <dataValidation sqref="D226"/>
    <dataValidation sqref="D227"/>
    <dataValidation sqref="D228"/>
    <dataValidation sqref="D229"/>
    <dataValidation sqref="D23"/>
    <dataValidation sqref="D230"/>
    <dataValidation sqref="D231"/>
    <dataValidation sqref="D232"/>
    <dataValidation sqref="D233"/>
    <dataValidation sqref="D234"/>
    <dataValidation sqref="D235"/>
    <dataValidation sqref="D236"/>
    <dataValidation sqref="D237"/>
    <dataValidation sqref="D238"/>
    <dataValidation sqref="D239"/>
    <dataValidation sqref="D24"/>
    <dataValidation sqref="D240"/>
    <dataValidation sqref="D241"/>
    <dataValidation sqref="D242"/>
    <dataValidation sqref="D243"/>
    <dataValidation sqref="D244"/>
    <dataValidation sqref="D245"/>
    <dataValidation sqref="D246"/>
    <dataValidation sqref="D247"/>
    <dataValidation sqref="D248"/>
    <dataValidation sqref="D249"/>
    <dataValidation sqref="D25"/>
    <dataValidation sqref="D250"/>
    <dataValidation sqref="D251"/>
    <dataValidation sqref="D252"/>
    <dataValidation sqref="D253"/>
    <dataValidation sqref="D254"/>
    <dataValidation sqref="D255"/>
    <dataValidation sqref="D256"/>
    <dataValidation sqref="D257"/>
    <dataValidation sqref="D258"/>
    <dataValidation sqref="D259"/>
    <dataValidation sqref="D26"/>
    <dataValidation sqref="D260"/>
    <dataValidation sqref="D261"/>
    <dataValidation sqref="D262"/>
    <dataValidation sqref="D263"/>
    <dataValidation sqref="D264"/>
    <dataValidation sqref="D265"/>
    <dataValidation sqref="D266"/>
    <dataValidation sqref="D267"/>
    <dataValidation sqref="D268"/>
    <dataValidation sqref="D269"/>
    <dataValidation sqref="D27"/>
    <dataValidation sqref="D270"/>
    <dataValidation sqref="D271"/>
    <dataValidation sqref="D272"/>
    <dataValidation sqref="D273"/>
    <dataValidation sqref="D274"/>
    <dataValidation sqref="D275"/>
    <dataValidation sqref="D276"/>
    <dataValidation sqref="D277"/>
    <dataValidation sqref="D278"/>
    <dataValidation sqref="D279"/>
    <dataValidation sqref="D28"/>
    <dataValidation sqref="D280"/>
    <dataValidation sqref="D281"/>
    <dataValidation sqref="D282"/>
    <dataValidation sqref="D283"/>
    <dataValidation sqref="D284"/>
    <dataValidation sqref="D285"/>
    <dataValidation sqref="D286"/>
    <dataValidation sqref="D287"/>
    <dataValidation sqref="D288"/>
    <dataValidation sqref="D289"/>
    <dataValidation sqref="D29"/>
    <dataValidation sqref="D290"/>
    <dataValidation sqref="D291"/>
    <dataValidation sqref="D292"/>
    <dataValidation sqref="D293"/>
    <dataValidation sqref="D294"/>
    <dataValidation sqref="D295"/>
    <dataValidation sqref="D296"/>
    <dataValidation sqref="D297"/>
    <dataValidation sqref="D298"/>
    <dataValidation sqref="D299"/>
    <dataValidation sqref="D3"/>
    <dataValidation sqref="D30"/>
    <dataValidation sqref="D300"/>
    <dataValidation sqref="D301"/>
    <dataValidation sqref="D302"/>
    <dataValidation sqref="D303"/>
    <dataValidation sqref="D304"/>
    <dataValidation sqref="D305"/>
    <dataValidation sqref="D306"/>
    <dataValidation sqref="D307"/>
    <dataValidation sqref="D308"/>
    <dataValidation sqref="D309"/>
    <dataValidation sqref="D31"/>
    <dataValidation sqref="D310"/>
    <dataValidation sqref="D311"/>
    <dataValidation sqref="D312"/>
    <dataValidation sqref="D313"/>
    <dataValidation sqref="D314"/>
    <dataValidation sqref="D315"/>
    <dataValidation sqref="D316"/>
    <dataValidation sqref="D317"/>
    <dataValidation sqref="D318"/>
    <dataValidation sqref="D319"/>
    <dataValidation sqref="D32"/>
    <dataValidation sqref="D320"/>
    <dataValidation sqref="D321"/>
    <dataValidation sqref="D322"/>
    <dataValidation sqref="D323"/>
    <dataValidation sqref="D324"/>
    <dataValidation sqref="D325"/>
    <dataValidation sqref="D326"/>
    <dataValidation sqref="D327"/>
    <dataValidation sqref="D328"/>
    <dataValidation sqref="D329"/>
    <dataValidation sqref="D33"/>
    <dataValidation sqref="D330"/>
    <dataValidation sqref="D331"/>
    <dataValidation sqref="D332"/>
    <dataValidation sqref="D333"/>
    <dataValidation sqref="D334"/>
    <dataValidation sqref="D335"/>
    <dataValidation sqref="D336"/>
    <dataValidation sqref="D337"/>
    <dataValidation sqref="D338"/>
    <dataValidation sqref="D339"/>
    <dataValidation sqref="D34"/>
    <dataValidation sqref="D340"/>
    <dataValidation sqref="D341"/>
    <dataValidation sqref="D342"/>
    <dataValidation sqref="D343"/>
    <dataValidation sqref="D344"/>
    <dataValidation sqref="D345"/>
    <dataValidation sqref="D346"/>
    <dataValidation sqref="D347"/>
    <dataValidation sqref="D348"/>
    <dataValidation sqref="D349"/>
    <dataValidation sqref="D35"/>
    <dataValidation sqref="D350"/>
    <dataValidation sqref="D351"/>
    <dataValidation sqref="D352"/>
    <dataValidation sqref="D353"/>
    <dataValidation sqref="D36"/>
    <dataValidation sqref="D37"/>
    <dataValidation sqref="D38"/>
    <dataValidation sqref="D39"/>
    <dataValidation sqref="D4"/>
    <dataValidation sqref="D40"/>
    <dataValidation sqref="D41"/>
    <dataValidation sqref="D42"/>
    <dataValidation sqref="D43"/>
    <dataValidation sqref="D44"/>
    <dataValidation sqref="D45"/>
    <dataValidation sqref="D46"/>
    <dataValidation sqref="D47"/>
    <dataValidation sqref="D48"/>
    <dataValidation sqref="D49"/>
    <dataValidation sqref="D5"/>
    <dataValidation sqref="D50"/>
    <dataValidation sqref="D51"/>
    <dataValidation sqref="D52"/>
    <dataValidation sqref="D53"/>
    <dataValidation sqref="D54"/>
    <dataValidation sqref="D55"/>
    <dataValidation sqref="D56"/>
    <dataValidation sqref="D57"/>
    <dataValidation sqref="D58"/>
    <dataValidation sqref="D59"/>
    <dataValidation sqref="D6"/>
    <dataValidation sqref="D60"/>
    <dataValidation sqref="D61"/>
    <dataValidation sqref="D62"/>
    <dataValidation sqref="D63"/>
    <dataValidation sqref="D64"/>
    <dataValidation sqref="D65"/>
    <dataValidation sqref="D66"/>
    <dataValidation sqref="D67"/>
    <dataValidation sqref="D68"/>
    <dataValidation sqref="D69"/>
    <dataValidation sqref="D7"/>
    <dataValidation sqref="D70"/>
    <dataValidation sqref="D71"/>
    <dataValidation sqref="D72"/>
    <dataValidation sqref="D73"/>
    <dataValidation sqref="D74"/>
    <dataValidation sqref="D75"/>
    <dataValidation sqref="D76"/>
    <dataValidation sqref="D77"/>
    <dataValidation sqref="D78"/>
    <dataValidation sqref="D79"/>
    <dataValidation sqref="D8"/>
    <dataValidation sqref="D80"/>
    <dataValidation sqref="D81"/>
    <dataValidation sqref="D82"/>
    <dataValidation sqref="D83"/>
    <dataValidation sqref="D84"/>
    <dataValidation sqref="D85"/>
    <dataValidation sqref="D86"/>
    <dataValidation sqref="D87"/>
    <dataValidation sqref="D88"/>
    <dataValidation sqref="D89"/>
    <dataValidation sqref="D9"/>
    <dataValidation sqref="D90"/>
    <dataValidation sqref="D91"/>
    <dataValidation sqref="D92"/>
    <dataValidation sqref="D93"/>
    <dataValidation sqref="D94"/>
    <dataValidation sqref="D95"/>
    <dataValidation sqref="D96"/>
    <dataValidation sqref="D97"/>
    <dataValidation sqref="D98"/>
    <dataValidation sqref="D99"/>
    <dataValidation sqref="E1"/>
    <dataValidation sqref="E10"/>
    <dataValidation sqref="E100"/>
    <dataValidation sqref="E101"/>
    <dataValidation sqref="E102"/>
    <dataValidation sqref="E103"/>
    <dataValidation sqref="E104"/>
    <dataValidation sqref="E105"/>
    <dataValidation sqref="E106"/>
    <dataValidation sqref="E107"/>
    <dataValidation sqref="E108"/>
    <dataValidation sqref="E109"/>
    <dataValidation sqref="E11"/>
    <dataValidation sqref="E110"/>
    <dataValidation sqref="E111"/>
    <dataValidation sqref="E112"/>
    <dataValidation sqref="E113"/>
    <dataValidation sqref="E114"/>
    <dataValidation sqref="E115"/>
    <dataValidation sqref="E116"/>
    <dataValidation sqref="E117"/>
    <dataValidation sqref="E118"/>
    <dataValidation sqref="E119"/>
    <dataValidation sqref="E12"/>
    <dataValidation sqref="E120"/>
    <dataValidation sqref="E121"/>
    <dataValidation sqref="E122"/>
    <dataValidation sqref="E123"/>
    <dataValidation sqref="E124"/>
    <dataValidation sqref="E125"/>
    <dataValidation sqref="E126"/>
    <dataValidation sqref="E127"/>
    <dataValidation sqref="E128"/>
    <dataValidation sqref="E129"/>
    <dataValidation sqref="E13"/>
    <dataValidation sqref="E130"/>
    <dataValidation sqref="E131"/>
    <dataValidation sqref="E132"/>
    <dataValidation sqref="E133"/>
    <dataValidation sqref="E134"/>
    <dataValidation sqref="E135"/>
    <dataValidation sqref="E136"/>
    <dataValidation sqref="E137"/>
    <dataValidation sqref="E138"/>
    <dataValidation sqref="E139"/>
    <dataValidation sqref="E14"/>
    <dataValidation sqref="E140"/>
    <dataValidation sqref="E141"/>
    <dataValidation sqref="E142"/>
    <dataValidation sqref="E143"/>
    <dataValidation sqref="E144"/>
    <dataValidation sqref="E145"/>
    <dataValidation sqref="E146"/>
    <dataValidation sqref="E147"/>
    <dataValidation sqref="E148"/>
    <dataValidation sqref="E149"/>
    <dataValidation sqref="E15"/>
    <dataValidation sqref="E150"/>
    <dataValidation sqref="E151"/>
    <dataValidation sqref="E152"/>
    <dataValidation sqref="E153"/>
    <dataValidation sqref="E154"/>
    <dataValidation sqref="E155"/>
    <dataValidation sqref="E156"/>
    <dataValidation sqref="E157"/>
    <dataValidation sqref="E158"/>
    <dataValidation sqref="E159"/>
    <dataValidation sqref="E16"/>
    <dataValidation sqref="E160"/>
    <dataValidation sqref="E161"/>
    <dataValidation sqref="E162"/>
    <dataValidation sqref="E163"/>
    <dataValidation sqref="E164"/>
    <dataValidation sqref="E165"/>
    <dataValidation sqref="E166"/>
    <dataValidation sqref="E167"/>
    <dataValidation sqref="E168"/>
    <dataValidation sqref="E169"/>
    <dataValidation sqref="E17"/>
    <dataValidation sqref="E170"/>
    <dataValidation sqref="E171"/>
    <dataValidation sqref="E172"/>
    <dataValidation sqref="E173"/>
    <dataValidation sqref="E174"/>
    <dataValidation sqref="E175"/>
    <dataValidation sqref="E176"/>
    <dataValidation sqref="E177"/>
    <dataValidation sqref="E178"/>
    <dataValidation sqref="E179"/>
    <dataValidation sqref="E18"/>
    <dataValidation sqref="E180"/>
    <dataValidation sqref="E181"/>
    <dataValidation sqref="E182"/>
    <dataValidation sqref="E183"/>
    <dataValidation sqref="E184"/>
    <dataValidation sqref="E185"/>
    <dataValidation sqref="E186"/>
    <dataValidation sqref="E187"/>
    <dataValidation sqref="E188"/>
    <dataValidation sqref="E189"/>
    <dataValidation sqref="E19"/>
    <dataValidation sqref="E190"/>
    <dataValidation sqref="E191"/>
    <dataValidation sqref="E192"/>
    <dataValidation sqref="E193"/>
    <dataValidation sqref="E194"/>
    <dataValidation sqref="E195"/>
    <dataValidation sqref="E196"/>
    <dataValidation sqref="E197"/>
    <dataValidation sqref="E198"/>
    <dataValidation sqref="E199"/>
    <dataValidation sqref="E2"/>
    <dataValidation sqref="E20"/>
    <dataValidation sqref="E200"/>
    <dataValidation sqref="E201"/>
    <dataValidation sqref="E202"/>
    <dataValidation sqref="E203"/>
    <dataValidation sqref="E204"/>
    <dataValidation sqref="E205"/>
    <dataValidation sqref="E206"/>
    <dataValidation sqref="E207"/>
    <dataValidation sqref="E208"/>
    <dataValidation sqref="E209"/>
    <dataValidation sqref="E21"/>
    <dataValidation sqref="E210"/>
    <dataValidation sqref="E211"/>
    <dataValidation sqref="E212"/>
    <dataValidation sqref="E213"/>
    <dataValidation sqref="E214"/>
    <dataValidation sqref="E215"/>
    <dataValidation sqref="E216"/>
    <dataValidation sqref="E217"/>
    <dataValidation sqref="E218"/>
    <dataValidation sqref="E219"/>
    <dataValidation sqref="E22"/>
    <dataValidation sqref="E220"/>
    <dataValidation sqref="E221"/>
    <dataValidation sqref="E222"/>
    <dataValidation sqref="E223"/>
    <dataValidation sqref="E224"/>
    <dataValidation sqref="E225"/>
    <dataValidation sqref="E226"/>
    <dataValidation sqref="E227"/>
    <dataValidation sqref="E228"/>
    <dataValidation sqref="E229"/>
    <dataValidation sqref="E23"/>
    <dataValidation sqref="E230"/>
    <dataValidation sqref="E231"/>
    <dataValidation sqref="E232"/>
    <dataValidation sqref="E233"/>
    <dataValidation sqref="E234"/>
    <dataValidation sqref="E235"/>
    <dataValidation sqref="E236"/>
    <dataValidation sqref="E237"/>
    <dataValidation sqref="E238"/>
    <dataValidation sqref="E239"/>
    <dataValidation sqref="E24"/>
    <dataValidation sqref="E240"/>
    <dataValidation sqref="E241"/>
    <dataValidation sqref="E242"/>
    <dataValidation sqref="E243"/>
    <dataValidation sqref="E244"/>
    <dataValidation sqref="E245"/>
    <dataValidation sqref="E246"/>
    <dataValidation sqref="E247"/>
    <dataValidation sqref="E248"/>
    <dataValidation sqref="E249"/>
    <dataValidation sqref="E25"/>
    <dataValidation sqref="E250"/>
    <dataValidation sqref="E251"/>
    <dataValidation sqref="E252"/>
    <dataValidation sqref="E253"/>
    <dataValidation sqref="E254"/>
    <dataValidation sqref="E255"/>
    <dataValidation sqref="E256"/>
    <dataValidation sqref="E257"/>
    <dataValidation sqref="E258"/>
    <dataValidation sqref="E259"/>
    <dataValidation sqref="E26"/>
    <dataValidation sqref="E260"/>
    <dataValidation sqref="E261"/>
    <dataValidation sqref="E262"/>
    <dataValidation sqref="E263"/>
    <dataValidation sqref="E264"/>
    <dataValidation sqref="E265"/>
    <dataValidation sqref="E266"/>
    <dataValidation sqref="E267"/>
    <dataValidation sqref="E268"/>
    <dataValidation sqref="E269"/>
    <dataValidation sqref="E27"/>
    <dataValidation sqref="E270"/>
    <dataValidation sqref="E271"/>
    <dataValidation sqref="E272"/>
    <dataValidation sqref="E273"/>
    <dataValidation sqref="E274"/>
    <dataValidation sqref="E275"/>
    <dataValidation sqref="E276"/>
    <dataValidation sqref="E277"/>
    <dataValidation sqref="E278"/>
    <dataValidation sqref="E279"/>
    <dataValidation sqref="E28"/>
    <dataValidation sqref="E280"/>
    <dataValidation sqref="E281"/>
    <dataValidation sqref="E282"/>
    <dataValidation sqref="E283"/>
    <dataValidation sqref="E284"/>
    <dataValidation sqref="E285"/>
    <dataValidation sqref="E286"/>
    <dataValidation sqref="E287"/>
    <dataValidation sqref="E288"/>
    <dataValidation sqref="E289"/>
    <dataValidation sqref="E29"/>
    <dataValidation sqref="E290"/>
    <dataValidation sqref="E291"/>
    <dataValidation sqref="E292"/>
    <dataValidation sqref="E293"/>
    <dataValidation sqref="E294"/>
    <dataValidation sqref="E295"/>
    <dataValidation sqref="E296"/>
    <dataValidation sqref="E297"/>
    <dataValidation sqref="E298"/>
    <dataValidation sqref="E299"/>
    <dataValidation sqref="E3"/>
    <dataValidation sqref="E30"/>
    <dataValidation sqref="E300"/>
    <dataValidation sqref="E301"/>
    <dataValidation sqref="E302"/>
    <dataValidation sqref="E303"/>
    <dataValidation sqref="E304"/>
    <dataValidation sqref="E305"/>
    <dataValidation sqref="E306"/>
    <dataValidation sqref="E307"/>
    <dataValidation sqref="E308"/>
    <dataValidation sqref="E309"/>
    <dataValidation sqref="E31"/>
    <dataValidation sqref="E310"/>
    <dataValidation sqref="E311"/>
    <dataValidation sqref="E312"/>
    <dataValidation sqref="E313"/>
    <dataValidation sqref="E314"/>
    <dataValidation sqref="E315"/>
    <dataValidation sqref="E316"/>
    <dataValidation sqref="E317"/>
    <dataValidation sqref="E318"/>
    <dataValidation sqref="E319"/>
    <dataValidation sqref="E32"/>
    <dataValidation sqref="E320"/>
    <dataValidation sqref="E321"/>
    <dataValidation sqref="E322"/>
    <dataValidation sqref="E323"/>
    <dataValidation sqref="E324"/>
    <dataValidation sqref="E325"/>
    <dataValidation sqref="E326"/>
    <dataValidation sqref="E327"/>
    <dataValidation sqref="E328"/>
    <dataValidation sqref="E329"/>
    <dataValidation sqref="E33"/>
    <dataValidation sqref="E330"/>
    <dataValidation sqref="E331"/>
    <dataValidation sqref="E332"/>
    <dataValidation sqref="E333"/>
    <dataValidation sqref="E334"/>
    <dataValidation sqref="E335"/>
    <dataValidation sqref="E336"/>
    <dataValidation sqref="E337"/>
    <dataValidation sqref="E338"/>
    <dataValidation sqref="E339"/>
    <dataValidation sqref="E34"/>
    <dataValidation sqref="E340"/>
    <dataValidation sqref="E341"/>
    <dataValidation sqref="E342"/>
    <dataValidation sqref="E343"/>
    <dataValidation sqref="E344"/>
    <dataValidation sqref="E345"/>
    <dataValidation sqref="E346"/>
    <dataValidation sqref="E347"/>
    <dataValidation sqref="E348"/>
    <dataValidation sqref="E349"/>
    <dataValidation sqref="E35"/>
    <dataValidation sqref="E350"/>
    <dataValidation sqref="E351"/>
    <dataValidation sqref="E352"/>
    <dataValidation sqref="E353"/>
    <dataValidation sqref="E36"/>
    <dataValidation sqref="E37"/>
    <dataValidation sqref="E38"/>
    <dataValidation sqref="E39"/>
    <dataValidation sqref="E4"/>
    <dataValidation sqref="E40"/>
    <dataValidation sqref="E41"/>
    <dataValidation sqref="E42"/>
    <dataValidation sqref="E43"/>
    <dataValidation sqref="E44"/>
    <dataValidation sqref="E45"/>
    <dataValidation sqref="E46"/>
    <dataValidation sqref="E47"/>
    <dataValidation sqref="E48"/>
    <dataValidation sqref="E49"/>
    <dataValidation sqref="E5"/>
    <dataValidation sqref="E50"/>
    <dataValidation sqref="E51"/>
    <dataValidation sqref="E52"/>
    <dataValidation sqref="E53"/>
    <dataValidation sqref="E54"/>
    <dataValidation sqref="E55"/>
    <dataValidation sqref="E56"/>
    <dataValidation sqref="E57"/>
    <dataValidation sqref="E58"/>
    <dataValidation sqref="E59"/>
    <dataValidation sqref="E6"/>
    <dataValidation sqref="E60"/>
    <dataValidation sqref="E61"/>
    <dataValidation sqref="E62"/>
    <dataValidation sqref="E63"/>
    <dataValidation sqref="E64"/>
    <dataValidation sqref="E65"/>
    <dataValidation sqref="E66"/>
    <dataValidation sqref="E67"/>
    <dataValidation sqref="E68"/>
    <dataValidation sqref="E69"/>
    <dataValidation sqref="E7"/>
    <dataValidation sqref="E70"/>
    <dataValidation sqref="E71"/>
    <dataValidation sqref="E72"/>
    <dataValidation sqref="E73"/>
    <dataValidation sqref="E74"/>
    <dataValidation sqref="E75"/>
    <dataValidation sqref="E76"/>
    <dataValidation sqref="E77"/>
    <dataValidation sqref="E78"/>
    <dataValidation sqref="E79"/>
    <dataValidation sqref="E8"/>
    <dataValidation sqref="E80"/>
    <dataValidation sqref="E81"/>
    <dataValidation sqref="E82"/>
    <dataValidation sqref="E83"/>
    <dataValidation sqref="E84"/>
    <dataValidation sqref="E85"/>
    <dataValidation sqref="E86"/>
    <dataValidation sqref="E87"/>
    <dataValidation sqref="E88"/>
    <dataValidation sqref="E89"/>
    <dataValidation sqref="E9"/>
    <dataValidation sqref="E90"/>
    <dataValidation sqref="E91"/>
    <dataValidation sqref="E92"/>
    <dataValidation sqref="E93"/>
    <dataValidation sqref="E94"/>
    <dataValidation sqref="E95"/>
    <dataValidation sqref="E96"/>
    <dataValidation sqref="E97"/>
    <dataValidation sqref="E98"/>
    <dataValidation sqref="E99"/>
    <dataValidation sqref="F1"/>
    <dataValidation sqref="F10"/>
    <dataValidation sqref="F100"/>
    <dataValidation sqref="F101"/>
    <dataValidation sqref="F102"/>
    <dataValidation sqref="F103"/>
    <dataValidation sqref="F104"/>
    <dataValidation sqref="F105"/>
    <dataValidation sqref="F106"/>
    <dataValidation sqref="F107"/>
    <dataValidation sqref="F108"/>
    <dataValidation sqref="F109"/>
    <dataValidation sqref="F11"/>
    <dataValidation sqref="F110"/>
    <dataValidation sqref="F111"/>
    <dataValidation sqref="F112"/>
    <dataValidation sqref="F113"/>
    <dataValidation sqref="F114"/>
    <dataValidation sqref="F115"/>
    <dataValidation sqref="F116"/>
    <dataValidation sqref="F117"/>
    <dataValidation sqref="F118"/>
    <dataValidation sqref="F119"/>
    <dataValidation sqref="F12"/>
    <dataValidation sqref="F120"/>
    <dataValidation sqref="F121"/>
    <dataValidation sqref="F122"/>
    <dataValidation sqref="F123"/>
    <dataValidation sqref="F124"/>
    <dataValidation sqref="F125"/>
    <dataValidation sqref="F126"/>
    <dataValidation sqref="F127"/>
    <dataValidation sqref="F128"/>
    <dataValidation sqref="F129"/>
    <dataValidation sqref="F13"/>
    <dataValidation sqref="F130"/>
    <dataValidation sqref="F131"/>
    <dataValidation sqref="F132"/>
    <dataValidation sqref="F133"/>
    <dataValidation sqref="F134"/>
    <dataValidation sqref="F135"/>
    <dataValidation sqref="F136"/>
    <dataValidation sqref="F137"/>
    <dataValidation sqref="F138"/>
    <dataValidation sqref="F139"/>
    <dataValidation sqref="F14"/>
    <dataValidation sqref="F140"/>
    <dataValidation sqref="F141"/>
    <dataValidation sqref="F142"/>
    <dataValidation sqref="F143"/>
    <dataValidation sqref="F144"/>
    <dataValidation sqref="F145"/>
    <dataValidation sqref="F146"/>
    <dataValidation sqref="F147"/>
    <dataValidation sqref="F148"/>
    <dataValidation sqref="F149"/>
    <dataValidation sqref="F15"/>
    <dataValidation sqref="F150"/>
    <dataValidation sqref="F151"/>
    <dataValidation sqref="F152"/>
    <dataValidation sqref="F153"/>
    <dataValidation sqref="F154"/>
    <dataValidation sqref="F155"/>
    <dataValidation sqref="F156"/>
    <dataValidation sqref="F157"/>
    <dataValidation sqref="F158"/>
    <dataValidation sqref="F159"/>
    <dataValidation sqref="F16"/>
    <dataValidation sqref="F160"/>
    <dataValidation sqref="F161"/>
    <dataValidation sqref="F162"/>
    <dataValidation sqref="F163"/>
    <dataValidation sqref="F164"/>
    <dataValidation sqref="F165"/>
    <dataValidation sqref="F166"/>
    <dataValidation sqref="F167"/>
    <dataValidation sqref="F168"/>
    <dataValidation sqref="F169"/>
    <dataValidation sqref="F17"/>
    <dataValidation sqref="F170"/>
    <dataValidation sqref="F171"/>
    <dataValidation sqref="F172"/>
    <dataValidation sqref="F173"/>
    <dataValidation sqref="F174"/>
    <dataValidation sqref="F175"/>
    <dataValidation sqref="F176"/>
    <dataValidation sqref="F177"/>
    <dataValidation sqref="F178"/>
    <dataValidation sqref="F179"/>
    <dataValidation sqref="F18"/>
    <dataValidation sqref="F180"/>
    <dataValidation sqref="F181"/>
    <dataValidation sqref="F182"/>
    <dataValidation sqref="F183"/>
    <dataValidation sqref="F184"/>
    <dataValidation sqref="F185"/>
    <dataValidation sqref="F186"/>
    <dataValidation sqref="F187"/>
    <dataValidation sqref="F188"/>
    <dataValidation sqref="F189"/>
    <dataValidation sqref="F19"/>
    <dataValidation sqref="F190"/>
    <dataValidation sqref="F191"/>
    <dataValidation sqref="F192"/>
    <dataValidation sqref="F193"/>
    <dataValidation sqref="F194"/>
    <dataValidation sqref="F195"/>
    <dataValidation sqref="F196"/>
    <dataValidation sqref="F197"/>
    <dataValidation sqref="F198"/>
    <dataValidation sqref="F199"/>
    <dataValidation sqref="F2"/>
    <dataValidation sqref="F20"/>
    <dataValidation sqref="F200"/>
    <dataValidation sqref="F201"/>
    <dataValidation sqref="F202"/>
    <dataValidation sqref="F203"/>
    <dataValidation sqref="F204"/>
    <dataValidation sqref="F205"/>
    <dataValidation sqref="F206"/>
    <dataValidation sqref="F207"/>
    <dataValidation sqref="F208"/>
    <dataValidation sqref="F209"/>
    <dataValidation sqref="F21"/>
    <dataValidation sqref="F210"/>
    <dataValidation sqref="F211"/>
    <dataValidation sqref="F212"/>
    <dataValidation sqref="F213"/>
    <dataValidation sqref="F214"/>
    <dataValidation sqref="F215"/>
    <dataValidation sqref="F216"/>
    <dataValidation sqref="F217"/>
    <dataValidation sqref="F218"/>
    <dataValidation sqref="F219"/>
    <dataValidation sqref="F22"/>
    <dataValidation sqref="F220"/>
    <dataValidation sqref="F221"/>
    <dataValidation sqref="F222"/>
    <dataValidation sqref="F223"/>
    <dataValidation sqref="F224"/>
    <dataValidation sqref="F225"/>
    <dataValidation sqref="F226"/>
    <dataValidation sqref="F227"/>
    <dataValidation sqref="F228"/>
    <dataValidation sqref="F229"/>
    <dataValidation sqref="F23"/>
    <dataValidation sqref="F230"/>
    <dataValidation sqref="F231"/>
    <dataValidation sqref="F232"/>
    <dataValidation sqref="F233"/>
    <dataValidation sqref="F234"/>
    <dataValidation sqref="F235"/>
    <dataValidation sqref="F236"/>
    <dataValidation sqref="F237"/>
    <dataValidation sqref="F238"/>
    <dataValidation sqref="F239"/>
    <dataValidation sqref="F24"/>
    <dataValidation sqref="F240"/>
    <dataValidation sqref="F241"/>
    <dataValidation sqref="F242"/>
    <dataValidation sqref="F243"/>
    <dataValidation sqref="F244"/>
    <dataValidation sqref="F245"/>
    <dataValidation sqref="F246"/>
    <dataValidation sqref="F247"/>
    <dataValidation sqref="F248"/>
    <dataValidation sqref="F249"/>
    <dataValidation sqref="F25"/>
    <dataValidation sqref="F250"/>
    <dataValidation sqref="F251"/>
    <dataValidation sqref="F252"/>
    <dataValidation sqref="F253"/>
    <dataValidation sqref="F254"/>
    <dataValidation sqref="F255"/>
    <dataValidation sqref="F256"/>
    <dataValidation sqref="F257"/>
    <dataValidation sqref="F258"/>
    <dataValidation sqref="F259"/>
    <dataValidation sqref="F26"/>
    <dataValidation sqref="F260"/>
    <dataValidation sqref="F261"/>
    <dataValidation sqref="F262"/>
    <dataValidation sqref="F263"/>
    <dataValidation sqref="F264"/>
    <dataValidation sqref="F265"/>
    <dataValidation sqref="F266"/>
    <dataValidation sqref="F267"/>
    <dataValidation sqref="F268"/>
    <dataValidation sqref="F269"/>
    <dataValidation sqref="F27"/>
    <dataValidation sqref="F270"/>
    <dataValidation sqref="F271"/>
    <dataValidation sqref="F272"/>
    <dataValidation sqref="F273"/>
    <dataValidation sqref="F274"/>
    <dataValidation sqref="F275"/>
    <dataValidation sqref="F276"/>
    <dataValidation sqref="F277"/>
    <dataValidation sqref="F278"/>
    <dataValidation sqref="F279"/>
    <dataValidation sqref="F28"/>
    <dataValidation sqref="F280"/>
    <dataValidation sqref="F281"/>
    <dataValidation sqref="F282"/>
    <dataValidation sqref="F283"/>
    <dataValidation sqref="F284"/>
    <dataValidation sqref="F285"/>
    <dataValidation sqref="F286"/>
    <dataValidation sqref="F287"/>
    <dataValidation sqref="F288"/>
    <dataValidation sqref="F289"/>
    <dataValidation sqref="F29"/>
    <dataValidation sqref="F290"/>
    <dataValidation sqref="F291"/>
    <dataValidation sqref="F292"/>
    <dataValidation sqref="F293"/>
    <dataValidation sqref="F294"/>
    <dataValidation sqref="F295"/>
    <dataValidation sqref="F296"/>
    <dataValidation sqref="F297"/>
    <dataValidation sqref="F298"/>
    <dataValidation sqref="F299"/>
    <dataValidation sqref="F3"/>
    <dataValidation sqref="F30"/>
    <dataValidation sqref="F300"/>
    <dataValidation sqref="F301"/>
    <dataValidation sqref="F302"/>
    <dataValidation sqref="F303"/>
    <dataValidation sqref="F304"/>
    <dataValidation sqref="F305"/>
    <dataValidation sqref="F306"/>
    <dataValidation sqref="F307"/>
    <dataValidation sqref="F308"/>
    <dataValidation sqref="F309"/>
    <dataValidation sqref="F31"/>
    <dataValidation sqref="F310"/>
    <dataValidation sqref="F311"/>
    <dataValidation sqref="F312"/>
    <dataValidation sqref="F313"/>
    <dataValidation sqref="F314"/>
    <dataValidation sqref="F315"/>
    <dataValidation sqref="F316"/>
    <dataValidation sqref="F317"/>
    <dataValidation sqref="F318"/>
    <dataValidation sqref="F319"/>
    <dataValidation sqref="F32"/>
    <dataValidation sqref="F320"/>
    <dataValidation sqref="F321"/>
    <dataValidation sqref="F322"/>
    <dataValidation sqref="F323"/>
    <dataValidation sqref="F324"/>
    <dataValidation sqref="F325"/>
    <dataValidation sqref="F326"/>
    <dataValidation sqref="F327"/>
    <dataValidation sqref="F328"/>
    <dataValidation sqref="F329"/>
    <dataValidation sqref="F33"/>
    <dataValidation sqref="F330"/>
    <dataValidation sqref="F331"/>
    <dataValidation sqref="F332"/>
    <dataValidation sqref="F333"/>
    <dataValidation sqref="F334"/>
    <dataValidation sqref="F335"/>
    <dataValidation sqref="F336"/>
    <dataValidation sqref="F337"/>
    <dataValidation sqref="F338"/>
    <dataValidation sqref="F339"/>
    <dataValidation sqref="F34"/>
    <dataValidation sqref="F340"/>
    <dataValidation sqref="F341"/>
    <dataValidation sqref="F342"/>
    <dataValidation sqref="F343"/>
    <dataValidation sqref="F344"/>
    <dataValidation sqref="F345"/>
    <dataValidation sqref="F346"/>
    <dataValidation sqref="F347"/>
    <dataValidation sqref="F348"/>
    <dataValidation sqref="F349"/>
    <dataValidation sqref="F35"/>
    <dataValidation sqref="F350"/>
    <dataValidation sqref="F351"/>
    <dataValidation sqref="F352"/>
    <dataValidation sqref="F353"/>
    <dataValidation sqref="F36"/>
    <dataValidation sqref="F37"/>
    <dataValidation sqref="F38"/>
    <dataValidation sqref="F39"/>
    <dataValidation sqref="F4"/>
    <dataValidation sqref="F40"/>
    <dataValidation sqref="F41"/>
    <dataValidation sqref="F42"/>
    <dataValidation sqref="F43"/>
    <dataValidation sqref="F44"/>
    <dataValidation sqref="F45"/>
    <dataValidation sqref="F46"/>
    <dataValidation sqref="F47"/>
    <dataValidation sqref="F48"/>
    <dataValidation sqref="F49"/>
    <dataValidation sqref="F5"/>
    <dataValidation sqref="F50"/>
    <dataValidation sqref="F51"/>
    <dataValidation sqref="F52"/>
    <dataValidation sqref="F53"/>
    <dataValidation sqref="F54"/>
    <dataValidation sqref="F55"/>
    <dataValidation sqref="F56"/>
    <dataValidation sqref="F57"/>
    <dataValidation sqref="F58"/>
    <dataValidation sqref="F59"/>
    <dataValidation sqref="F6"/>
    <dataValidation sqref="F60"/>
    <dataValidation sqref="F61"/>
    <dataValidation sqref="F62"/>
    <dataValidation sqref="F63"/>
    <dataValidation sqref="F64"/>
    <dataValidation sqref="F65"/>
    <dataValidation sqref="F66"/>
    <dataValidation sqref="F67"/>
    <dataValidation sqref="F68"/>
    <dataValidation sqref="F69"/>
    <dataValidation sqref="F7"/>
    <dataValidation sqref="F70"/>
    <dataValidation sqref="F71"/>
    <dataValidation sqref="F72"/>
    <dataValidation sqref="F73"/>
    <dataValidation sqref="F74"/>
    <dataValidation sqref="F75"/>
    <dataValidation sqref="F76"/>
    <dataValidation sqref="F77"/>
    <dataValidation sqref="F78"/>
    <dataValidation sqref="F79"/>
    <dataValidation sqref="F8"/>
    <dataValidation sqref="F80"/>
    <dataValidation sqref="F81"/>
    <dataValidation sqref="F82"/>
    <dataValidation sqref="F83"/>
    <dataValidation sqref="F84"/>
    <dataValidation sqref="F85"/>
    <dataValidation sqref="F86"/>
    <dataValidation sqref="F87"/>
    <dataValidation sqref="F88"/>
    <dataValidation sqref="F89"/>
    <dataValidation sqref="F9"/>
    <dataValidation sqref="F90"/>
    <dataValidation sqref="F91"/>
    <dataValidation sqref="F92"/>
    <dataValidation sqref="F93"/>
    <dataValidation sqref="F94"/>
    <dataValidation sqref="F95"/>
    <dataValidation sqref="F96"/>
    <dataValidation sqref="F97"/>
    <dataValidation sqref="F98"/>
    <dataValidation sqref="F99"/>
    <dataValidation sqref="G1"/>
    <dataValidation sqref="G10"/>
    <dataValidation sqref="G100"/>
    <dataValidation sqref="G101"/>
    <dataValidation sqref="G102"/>
    <dataValidation sqref="G103"/>
    <dataValidation sqref="G104"/>
    <dataValidation sqref="G105"/>
    <dataValidation sqref="G106"/>
    <dataValidation sqref="G107"/>
    <dataValidation sqref="G108"/>
    <dataValidation sqref="G109"/>
    <dataValidation sqref="G11"/>
    <dataValidation sqref="G110"/>
    <dataValidation sqref="G111"/>
    <dataValidation sqref="G112"/>
    <dataValidation sqref="G113"/>
    <dataValidation sqref="G114"/>
    <dataValidation sqref="G115"/>
    <dataValidation sqref="G116"/>
    <dataValidation sqref="G117"/>
    <dataValidation sqref="G118"/>
    <dataValidation sqref="G119"/>
    <dataValidation sqref="G12"/>
    <dataValidation sqref="G120"/>
    <dataValidation sqref="G121"/>
    <dataValidation sqref="G122"/>
    <dataValidation sqref="G123"/>
    <dataValidation sqref="G124"/>
    <dataValidation sqref="G125"/>
    <dataValidation sqref="G126"/>
    <dataValidation sqref="G127"/>
    <dataValidation sqref="G128"/>
    <dataValidation sqref="G129"/>
    <dataValidation sqref="G13"/>
    <dataValidation sqref="G130"/>
    <dataValidation sqref="G131"/>
    <dataValidation sqref="G132"/>
    <dataValidation sqref="G133"/>
    <dataValidation sqref="G134"/>
    <dataValidation sqref="G135"/>
    <dataValidation sqref="G136"/>
    <dataValidation sqref="G137"/>
    <dataValidation sqref="G138"/>
    <dataValidation sqref="G139"/>
    <dataValidation sqref="G14"/>
    <dataValidation sqref="G140"/>
    <dataValidation sqref="G141"/>
    <dataValidation sqref="G142"/>
    <dataValidation sqref="G143"/>
    <dataValidation sqref="G144"/>
    <dataValidation sqref="G145"/>
    <dataValidation sqref="G146"/>
    <dataValidation sqref="G147"/>
    <dataValidation sqref="G148"/>
    <dataValidation sqref="G149"/>
    <dataValidation sqref="G15"/>
    <dataValidation sqref="G150"/>
    <dataValidation sqref="G151"/>
    <dataValidation sqref="G152"/>
    <dataValidation sqref="G153"/>
    <dataValidation sqref="G154"/>
    <dataValidation sqref="G155"/>
    <dataValidation sqref="G156"/>
    <dataValidation sqref="G157"/>
    <dataValidation sqref="G158"/>
    <dataValidation sqref="G159"/>
    <dataValidation sqref="G16"/>
    <dataValidation sqref="G160"/>
    <dataValidation sqref="G161"/>
    <dataValidation sqref="G162"/>
    <dataValidation sqref="G163"/>
    <dataValidation sqref="G164"/>
    <dataValidation sqref="G165"/>
    <dataValidation sqref="G166"/>
    <dataValidation sqref="G167"/>
    <dataValidation sqref="G168"/>
    <dataValidation sqref="G169"/>
    <dataValidation sqref="G17"/>
    <dataValidation sqref="G170"/>
    <dataValidation sqref="G171"/>
    <dataValidation sqref="G172"/>
    <dataValidation sqref="G173"/>
    <dataValidation sqref="G174"/>
    <dataValidation sqref="G175"/>
    <dataValidation sqref="G176"/>
    <dataValidation sqref="G177"/>
    <dataValidation sqref="G178"/>
    <dataValidation sqref="G179"/>
    <dataValidation sqref="G18"/>
    <dataValidation sqref="G180"/>
    <dataValidation sqref="G181"/>
    <dataValidation sqref="G182"/>
    <dataValidation sqref="G183"/>
    <dataValidation sqref="G184"/>
    <dataValidation sqref="G185"/>
    <dataValidation sqref="G186"/>
    <dataValidation sqref="G187"/>
    <dataValidation sqref="G188"/>
    <dataValidation sqref="G189"/>
    <dataValidation sqref="G19"/>
    <dataValidation sqref="G190"/>
    <dataValidation sqref="G191"/>
    <dataValidation sqref="G192"/>
    <dataValidation sqref="G193"/>
    <dataValidation sqref="G194"/>
    <dataValidation sqref="G195"/>
    <dataValidation sqref="G196"/>
    <dataValidation sqref="G197"/>
    <dataValidation sqref="G198"/>
    <dataValidation sqref="G199"/>
    <dataValidation sqref="G2"/>
    <dataValidation sqref="G20"/>
    <dataValidation sqref="G200"/>
    <dataValidation sqref="G201"/>
    <dataValidation sqref="G202"/>
    <dataValidation sqref="G203"/>
    <dataValidation sqref="G204"/>
    <dataValidation sqref="G205"/>
    <dataValidation sqref="G206"/>
    <dataValidation sqref="G207"/>
    <dataValidation sqref="G208"/>
    <dataValidation sqref="G209"/>
    <dataValidation sqref="G21"/>
    <dataValidation sqref="G210"/>
    <dataValidation sqref="G211"/>
    <dataValidation sqref="G212"/>
    <dataValidation sqref="G213"/>
    <dataValidation sqref="G214"/>
    <dataValidation sqref="G215"/>
    <dataValidation sqref="G216"/>
    <dataValidation sqref="G217"/>
    <dataValidation sqref="G218"/>
    <dataValidation sqref="G219"/>
    <dataValidation sqref="G22"/>
    <dataValidation sqref="G220"/>
    <dataValidation sqref="G221"/>
    <dataValidation sqref="G222"/>
    <dataValidation sqref="G223"/>
    <dataValidation sqref="G224"/>
    <dataValidation sqref="G225"/>
    <dataValidation sqref="G226"/>
    <dataValidation sqref="G227"/>
    <dataValidation sqref="G228"/>
    <dataValidation sqref="G229"/>
    <dataValidation sqref="G23"/>
    <dataValidation sqref="G230"/>
    <dataValidation sqref="G231"/>
    <dataValidation sqref="G232"/>
    <dataValidation sqref="G233"/>
    <dataValidation sqref="G234"/>
    <dataValidation sqref="G235"/>
    <dataValidation sqref="G236"/>
    <dataValidation sqref="G237"/>
    <dataValidation sqref="G238"/>
    <dataValidation sqref="G239"/>
    <dataValidation sqref="G24"/>
    <dataValidation sqref="G240"/>
    <dataValidation sqref="G241"/>
    <dataValidation sqref="G242"/>
    <dataValidation sqref="G243"/>
    <dataValidation sqref="G244"/>
    <dataValidation sqref="G245"/>
    <dataValidation sqref="G246"/>
    <dataValidation sqref="G247"/>
    <dataValidation sqref="G248"/>
    <dataValidation sqref="G249"/>
    <dataValidation sqref="G25"/>
    <dataValidation sqref="G250"/>
    <dataValidation sqref="G251"/>
    <dataValidation sqref="G252"/>
    <dataValidation sqref="G253"/>
    <dataValidation sqref="G254"/>
    <dataValidation sqref="G255"/>
    <dataValidation sqref="G256"/>
    <dataValidation sqref="G257"/>
    <dataValidation sqref="G258"/>
    <dataValidation sqref="G259"/>
    <dataValidation sqref="G26"/>
    <dataValidation sqref="G260"/>
    <dataValidation sqref="G261"/>
    <dataValidation sqref="G262"/>
    <dataValidation sqref="G263"/>
    <dataValidation sqref="G264"/>
    <dataValidation sqref="G265"/>
    <dataValidation sqref="G266"/>
    <dataValidation sqref="G267"/>
    <dataValidation sqref="G268"/>
    <dataValidation sqref="G269"/>
    <dataValidation sqref="G27"/>
    <dataValidation sqref="G270"/>
    <dataValidation sqref="G271"/>
    <dataValidation sqref="G272"/>
    <dataValidation sqref="G273"/>
    <dataValidation sqref="G274"/>
    <dataValidation sqref="G275"/>
    <dataValidation sqref="G276"/>
    <dataValidation sqref="G277"/>
    <dataValidation sqref="G278"/>
    <dataValidation sqref="G279"/>
    <dataValidation sqref="G28"/>
    <dataValidation sqref="G280"/>
    <dataValidation sqref="G281"/>
    <dataValidation sqref="G282"/>
    <dataValidation sqref="G283"/>
    <dataValidation sqref="G284"/>
    <dataValidation sqref="G285"/>
    <dataValidation sqref="G286"/>
    <dataValidation sqref="G287"/>
    <dataValidation sqref="G288"/>
    <dataValidation sqref="G289"/>
    <dataValidation sqref="G29"/>
    <dataValidation sqref="G290"/>
    <dataValidation sqref="G291"/>
    <dataValidation sqref="G292"/>
    <dataValidation sqref="G293"/>
    <dataValidation sqref="G294"/>
    <dataValidation sqref="G295"/>
    <dataValidation sqref="G296"/>
    <dataValidation sqref="G297"/>
    <dataValidation sqref="G298"/>
    <dataValidation sqref="G299"/>
    <dataValidation sqref="G3"/>
    <dataValidation sqref="G30"/>
    <dataValidation sqref="G300"/>
    <dataValidation sqref="G301"/>
    <dataValidation sqref="G302"/>
    <dataValidation sqref="G303"/>
    <dataValidation sqref="G304"/>
    <dataValidation sqref="G305"/>
    <dataValidation sqref="G306"/>
    <dataValidation sqref="G307"/>
    <dataValidation sqref="G308"/>
    <dataValidation sqref="G309"/>
    <dataValidation sqref="G31"/>
    <dataValidation sqref="G310"/>
    <dataValidation sqref="G311"/>
    <dataValidation sqref="G312"/>
    <dataValidation sqref="G313"/>
    <dataValidation sqref="G314"/>
    <dataValidation sqref="G315"/>
    <dataValidation sqref="G316"/>
    <dataValidation sqref="G317"/>
    <dataValidation sqref="G318"/>
    <dataValidation sqref="G319"/>
    <dataValidation sqref="G32"/>
    <dataValidation sqref="G320"/>
    <dataValidation sqref="G321"/>
    <dataValidation sqref="G322"/>
    <dataValidation sqref="G323"/>
    <dataValidation sqref="G324"/>
    <dataValidation sqref="G325"/>
    <dataValidation sqref="G326"/>
    <dataValidation sqref="G327"/>
    <dataValidation sqref="G328"/>
    <dataValidation sqref="G329"/>
    <dataValidation sqref="G33"/>
    <dataValidation sqref="G330"/>
    <dataValidation sqref="G331"/>
    <dataValidation sqref="G332"/>
    <dataValidation sqref="G333"/>
    <dataValidation sqref="G334"/>
    <dataValidation sqref="G335"/>
    <dataValidation sqref="G336"/>
    <dataValidation sqref="G337"/>
    <dataValidation sqref="G338"/>
    <dataValidation sqref="G339"/>
    <dataValidation sqref="G34"/>
    <dataValidation sqref="G340"/>
    <dataValidation sqref="G341"/>
    <dataValidation sqref="G342"/>
    <dataValidation sqref="G343"/>
    <dataValidation sqref="G344"/>
    <dataValidation sqref="G345"/>
    <dataValidation sqref="G346"/>
    <dataValidation sqref="G347"/>
    <dataValidation sqref="G348"/>
    <dataValidation sqref="G349"/>
    <dataValidation sqref="G35"/>
    <dataValidation sqref="G350"/>
    <dataValidation sqref="G351"/>
    <dataValidation sqref="G352"/>
    <dataValidation sqref="G353"/>
    <dataValidation sqref="G36"/>
    <dataValidation sqref="G37"/>
    <dataValidation sqref="G38"/>
    <dataValidation sqref="G39"/>
    <dataValidation sqref="G4"/>
    <dataValidation sqref="G40"/>
    <dataValidation sqref="G41"/>
    <dataValidation sqref="G42"/>
    <dataValidation sqref="G43"/>
    <dataValidation sqref="G44"/>
    <dataValidation sqref="G45"/>
    <dataValidation sqref="G46"/>
    <dataValidation sqref="G47"/>
    <dataValidation sqref="G48"/>
    <dataValidation sqref="G49"/>
    <dataValidation sqref="G5"/>
    <dataValidation sqref="G50"/>
    <dataValidation sqref="G51"/>
    <dataValidation sqref="G52"/>
    <dataValidation sqref="G53"/>
    <dataValidation sqref="G54"/>
    <dataValidation sqref="G55"/>
    <dataValidation sqref="G56"/>
    <dataValidation sqref="G57"/>
    <dataValidation sqref="G58"/>
    <dataValidation sqref="G59"/>
    <dataValidation sqref="G6"/>
    <dataValidation sqref="G60"/>
    <dataValidation sqref="G61"/>
    <dataValidation sqref="G62"/>
    <dataValidation sqref="G63"/>
    <dataValidation sqref="G64"/>
    <dataValidation sqref="G65"/>
    <dataValidation sqref="G66"/>
    <dataValidation sqref="G67"/>
    <dataValidation sqref="G68"/>
    <dataValidation sqref="G69"/>
    <dataValidation sqref="G7"/>
    <dataValidation sqref="G70"/>
    <dataValidation sqref="G71"/>
    <dataValidation sqref="G72"/>
    <dataValidation sqref="G73"/>
    <dataValidation sqref="G74"/>
    <dataValidation sqref="G75"/>
    <dataValidation sqref="G76"/>
    <dataValidation sqref="G77"/>
    <dataValidation sqref="G78"/>
    <dataValidation sqref="G79"/>
    <dataValidation sqref="G8"/>
    <dataValidation sqref="G80"/>
    <dataValidation sqref="G81"/>
    <dataValidation sqref="G82"/>
    <dataValidation sqref="G83"/>
    <dataValidation sqref="G84"/>
    <dataValidation sqref="G85"/>
    <dataValidation sqref="G86"/>
    <dataValidation sqref="G87"/>
    <dataValidation sqref="G88"/>
    <dataValidation sqref="G89"/>
    <dataValidation sqref="G9"/>
    <dataValidation sqref="G90"/>
    <dataValidation sqref="G91"/>
    <dataValidation sqref="G92"/>
    <dataValidation sqref="G93"/>
    <dataValidation sqref="G94"/>
    <dataValidation sqref="G95"/>
    <dataValidation sqref="G96"/>
    <dataValidation sqref="G97"/>
    <dataValidation sqref="G98"/>
    <dataValidation sqref="G99"/>
    <dataValidation sqref="H1"/>
    <dataValidation sqref="H10"/>
    <dataValidation sqref="H100"/>
    <dataValidation sqref="H101"/>
    <dataValidation sqref="H102"/>
    <dataValidation sqref="H103"/>
    <dataValidation sqref="H104"/>
    <dataValidation sqref="H105"/>
    <dataValidation sqref="H106"/>
    <dataValidation sqref="H107"/>
    <dataValidation sqref="H108"/>
    <dataValidation sqref="H109"/>
    <dataValidation sqref="H11"/>
    <dataValidation sqref="H110"/>
    <dataValidation sqref="H111"/>
    <dataValidation sqref="H112"/>
    <dataValidation sqref="H113"/>
    <dataValidation sqref="H114"/>
    <dataValidation sqref="H115"/>
    <dataValidation sqref="H116"/>
    <dataValidation sqref="H117"/>
    <dataValidation sqref="H118"/>
    <dataValidation sqref="H119"/>
    <dataValidation sqref="H12"/>
    <dataValidation sqref="H120"/>
    <dataValidation sqref="H121"/>
    <dataValidation sqref="H122"/>
    <dataValidation sqref="H123"/>
    <dataValidation sqref="H124"/>
    <dataValidation sqref="H125"/>
    <dataValidation sqref="H126"/>
    <dataValidation sqref="H127"/>
    <dataValidation sqref="H128"/>
    <dataValidation sqref="H129"/>
    <dataValidation sqref="H13"/>
    <dataValidation sqref="H130"/>
    <dataValidation sqref="H131"/>
    <dataValidation sqref="H132"/>
    <dataValidation sqref="H133"/>
    <dataValidation sqref="H134"/>
    <dataValidation sqref="H135"/>
    <dataValidation sqref="H136"/>
    <dataValidation sqref="H137"/>
    <dataValidation sqref="H138"/>
    <dataValidation sqref="H139"/>
    <dataValidation sqref="H14"/>
    <dataValidation sqref="H140"/>
    <dataValidation sqref="H141"/>
    <dataValidation sqref="H142"/>
    <dataValidation sqref="H143"/>
    <dataValidation sqref="H144"/>
    <dataValidation sqref="H145"/>
    <dataValidation sqref="H146"/>
    <dataValidation sqref="H147"/>
    <dataValidation sqref="H148"/>
    <dataValidation sqref="H149"/>
    <dataValidation sqref="H15"/>
    <dataValidation sqref="H150"/>
    <dataValidation sqref="H151"/>
    <dataValidation sqref="H152"/>
    <dataValidation sqref="H153"/>
    <dataValidation sqref="H154"/>
    <dataValidation sqref="H155"/>
    <dataValidation sqref="H156"/>
    <dataValidation sqref="H157"/>
    <dataValidation sqref="H158"/>
    <dataValidation sqref="H159"/>
    <dataValidation sqref="H16"/>
    <dataValidation sqref="H160"/>
    <dataValidation sqref="H161"/>
    <dataValidation sqref="H162"/>
    <dataValidation sqref="H163"/>
    <dataValidation sqref="H164"/>
    <dataValidation sqref="H165"/>
    <dataValidation sqref="H166"/>
    <dataValidation sqref="H167"/>
    <dataValidation sqref="H168"/>
    <dataValidation sqref="H169"/>
    <dataValidation sqref="H17"/>
    <dataValidation sqref="H170"/>
    <dataValidation sqref="H171"/>
    <dataValidation sqref="H172"/>
    <dataValidation sqref="H173"/>
    <dataValidation sqref="H174"/>
    <dataValidation sqref="H175"/>
    <dataValidation sqref="H176"/>
    <dataValidation sqref="H177"/>
    <dataValidation sqref="H178"/>
    <dataValidation sqref="H179"/>
    <dataValidation sqref="H18"/>
    <dataValidation sqref="H180"/>
    <dataValidation sqref="H181"/>
    <dataValidation sqref="H182"/>
    <dataValidation sqref="H183"/>
    <dataValidation sqref="H184"/>
    <dataValidation sqref="H185"/>
    <dataValidation sqref="H186"/>
    <dataValidation sqref="H187"/>
    <dataValidation sqref="H188"/>
    <dataValidation sqref="H189"/>
    <dataValidation sqref="H19"/>
    <dataValidation sqref="H190"/>
    <dataValidation sqref="H191"/>
    <dataValidation sqref="H192"/>
    <dataValidation sqref="H193"/>
    <dataValidation sqref="H194"/>
    <dataValidation sqref="H195"/>
    <dataValidation sqref="H196"/>
    <dataValidation sqref="H197"/>
    <dataValidation sqref="H198"/>
    <dataValidation sqref="H199"/>
    <dataValidation sqref="H2"/>
    <dataValidation sqref="H20"/>
    <dataValidation sqref="H200"/>
    <dataValidation sqref="H201"/>
    <dataValidation sqref="H202"/>
    <dataValidation sqref="H203"/>
    <dataValidation sqref="H204"/>
    <dataValidation sqref="H205"/>
    <dataValidation sqref="H206"/>
    <dataValidation sqref="H207"/>
    <dataValidation sqref="H208"/>
    <dataValidation sqref="H209"/>
    <dataValidation sqref="H21"/>
    <dataValidation sqref="H210"/>
    <dataValidation sqref="H211"/>
    <dataValidation sqref="H212"/>
    <dataValidation sqref="H213"/>
    <dataValidation sqref="H214"/>
    <dataValidation sqref="H215"/>
    <dataValidation sqref="H216"/>
    <dataValidation sqref="H217"/>
    <dataValidation sqref="H218"/>
    <dataValidation sqref="H219"/>
    <dataValidation sqref="H22"/>
    <dataValidation sqref="H220"/>
    <dataValidation sqref="H221"/>
    <dataValidation sqref="H222"/>
    <dataValidation sqref="H223"/>
    <dataValidation sqref="H224"/>
    <dataValidation sqref="H225"/>
    <dataValidation sqref="H226"/>
    <dataValidation sqref="H227"/>
    <dataValidation sqref="H228"/>
    <dataValidation sqref="H229"/>
    <dataValidation sqref="H23"/>
    <dataValidation sqref="H230"/>
    <dataValidation sqref="H231"/>
    <dataValidation sqref="H232"/>
    <dataValidation sqref="H233"/>
    <dataValidation sqref="H234"/>
    <dataValidation sqref="H235"/>
    <dataValidation sqref="H236"/>
    <dataValidation sqref="H237"/>
    <dataValidation sqref="H238"/>
    <dataValidation sqref="H239"/>
    <dataValidation sqref="H24"/>
    <dataValidation sqref="H240"/>
    <dataValidation sqref="H241"/>
    <dataValidation sqref="H242"/>
    <dataValidation sqref="H243"/>
    <dataValidation sqref="H244"/>
    <dataValidation sqref="H245"/>
    <dataValidation sqref="H246"/>
    <dataValidation sqref="H247"/>
    <dataValidation sqref="H248"/>
    <dataValidation sqref="H249"/>
    <dataValidation sqref="H25"/>
    <dataValidation sqref="H250"/>
    <dataValidation sqref="H251"/>
    <dataValidation sqref="H252"/>
    <dataValidation sqref="H253"/>
    <dataValidation sqref="H254"/>
    <dataValidation sqref="H255"/>
    <dataValidation sqref="H256"/>
    <dataValidation sqref="H257"/>
    <dataValidation sqref="H258"/>
    <dataValidation sqref="H259"/>
    <dataValidation sqref="H26"/>
    <dataValidation sqref="H260"/>
    <dataValidation sqref="H261"/>
    <dataValidation sqref="H262"/>
    <dataValidation sqref="H263"/>
    <dataValidation sqref="H264"/>
    <dataValidation sqref="H265"/>
    <dataValidation sqref="H266"/>
    <dataValidation sqref="H267"/>
    <dataValidation sqref="H268"/>
    <dataValidation sqref="H269"/>
    <dataValidation sqref="H27"/>
    <dataValidation sqref="H270"/>
    <dataValidation sqref="H271"/>
    <dataValidation sqref="H272"/>
    <dataValidation sqref="H273"/>
    <dataValidation sqref="H274"/>
    <dataValidation sqref="H275"/>
    <dataValidation sqref="H276"/>
    <dataValidation sqref="H277"/>
    <dataValidation sqref="H278"/>
    <dataValidation sqref="H279"/>
    <dataValidation sqref="H28"/>
    <dataValidation sqref="H280"/>
    <dataValidation sqref="H281"/>
    <dataValidation sqref="H282"/>
    <dataValidation sqref="H283"/>
    <dataValidation sqref="H284"/>
    <dataValidation sqref="H285"/>
    <dataValidation sqref="H286"/>
    <dataValidation sqref="H287"/>
    <dataValidation sqref="H288"/>
    <dataValidation sqref="H289"/>
    <dataValidation sqref="H29"/>
    <dataValidation sqref="H290"/>
    <dataValidation sqref="H291"/>
    <dataValidation sqref="H292"/>
    <dataValidation sqref="H293"/>
    <dataValidation sqref="H294"/>
    <dataValidation sqref="H295"/>
    <dataValidation sqref="H296"/>
    <dataValidation sqref="H297"/>
    <dataValidation sqref="H298"/>
    <dataValidation sqref="H299"/>
    <dataValidation sqref="H3"/>
    <dataValidation sqref="H30"/>
    <dataValidation sqref="H300"/>
    <dataValidation sqref="H301"/>
    <dataValidation sqref="H302"/>
    <dataValidation sqref="H303"/>
    <dataValidation sqref="H304"/>
    <dataValidation sqref="H305"/>
    <dataValidation sqref="H306"/>
    <dataValidation sqref="H307"/>
    <dataValidation sqref="H308"/>
    <dataValidation sqref="H309"/>
    <dataValidation sqref="H31"/>
    <dataValidation sqref="H310"/>
    <dataValidation sqref="H311"/>
    <dataValidation sqref="H312"/>
    <dataValidation sqref="H313"/>
    <dataValidation sqref="H314"/>
    <dataValidation sqref="H315"/>
    <dataValidation sqref="H316"/>
    <dataValidation sqref="H317"/>
    <dataValidation sqref="H318"/>
    <dataValidation sqref="H319"/>
    <dataValidation sqref="H32"/>
    <dataValidation sqref="H320"/>
    <dataValidation sqref="H321"/>
    <dataValidation sqref="H322"/>
    <dataValidation sqref="H323"/>
    <dataValidation sqref="H324"/>
    <dataValidation sqref="H325"/>
    <dataValidation sqref="H326"/>
    <dataValidation sqref="H327"/>
    <dataValidation sqref="H328"/>
    <dataValidation sqref="H329"/>
    <dataValidation sqref="H33"/>
    <dataValidation sqref="H330"/>
    <dataValidation sqref="H331"/>
    <dataValidation sqref="H332"/>
    <dataValidation sqref="H333"/>
    <dataValidation sqref="H334"/>
    <dataValidation sqref="H335"/>
    <dataValidation sqref="H336"/>
    <dataValidation sqref="H337"/>
    <dataValidation sqref="H338"/>
    <dataValidation sqref="H339"/>
    <dataValidation sqref="H34"/>
    <dataValidation sqref="H340"/>
    <dataValidation sqref="H341"/>
    <dataValidation sqref="H342"/>
    <dataValidation sqref="H343"/>
    <dataValidation sqref="H344"/>
    <dataValidation sqref="H345"/>
    <dataValidation sqref="H346"/>
    <dataValidation sqref="H347"/>
    <dataValidation sqref="H348"/>
    <dataValidation sqref="H349"/>
    <dataValidation sqref="H35"/>
    <dataValidation sqref="H350"/>
    <dataValidation sqref="H351"/>
    <dataValidation sqref="H352"/>
    <dataValidation sqref="H353"/>
    <dataValidation sqref="H36"/>
    <dataValidation sqref="H37"/>
    <dataValidation sqref="H38"/>
    <dataValidation sqref="H39"/>
    <dataValidation sqref="H4"/>
    <dataValidation sqref="H40"/>
    <dataValidation sqref="H41"/>
    <dataValidation sqref="H42"/>
    <dataValidation sqref="H43"/>
    <dataValidation sqref="H44"/>
    <dataValidation sqref="H45"/>
    <dataValidation sqref="H46"/>
    <dataValidation sqref="H47"/>
    <dataValidation sqref="H48"/>
    <dataValidation sqref="H49"/>
    <dataValidation sqref="H5"/>
    <dataValidation sqref="H50"/>
    <dataValidation sqref="H51"/>
    <dataValidation sqref="H52"/>
    <dataValidation sqref="H53"/>
    <dataValidation sqref="H54"/>
    <dataValidation sqref="H55"/>
    <dataValidation sqref="H56"/>
    <dataValidation sqref="H57"/>
    <dataValidation sqref="H58"/>
    <dataValidation sqref="H59"/>
    <dataValidation sqref="H6"/>
    <dataValidation sqref="H60"/>
    <dataValidation sqref="H61"/>
    <dataValidation sqref="H62"/>
    <dataValidation sqref="H63"/>
    <dataValidation sqref="H64"/>
    <dataValidation sqref="H65"/>
    <dataValidation sqref="H66"/>
    <dataValidation sqref="H67"/>
    <dataValidation sqref="H68"/>
    <dataValidation sqref="H69"/>
    <dataValidation sqref="H7"/>
    <dataValidation sqref="H70"/>
    <dataValidation sqref="H71"/>
    <dataValidation sqref="H72"/>
    <dataValidation sqref="H73"/>
    <dataValidation sqref="H74"/>
    <dataValidation sqref="H75"/>
    <dataValidation sqref="H76"/>
    <dataValidation sqref="H77"/>
    <dataValidation sqref="H78"/>
    <dataValidation sqref="H79"/>
    <dataValidation sqref="H8"/>
    <dataValidation sqref="H80"/>
    <dataValidation sqref="H81"/>
    <dataValidation sqref="H82"/>
    <dataValidation sqref="H83"/>
    <dataValidation sqref="H84"/>
    <dataValidation sqref="H85"/>
    <dataValidation sqref="H86"/>
    <dataValidation sqref="H87"/>
    <dataValidation sqref="H88"/>
    <dataValidation sqref="H89"/>
    <dataValidation sqref="H9"/>
    <dataValidation sqref="H90"/>
    <dataValidation sqref="H91"/>
    <dataValidation sqref="H92"/>
    <dataValidation sqref="H93"/>
    <dataValidation sqref="H94"/>
    <dataValidation sqref="H95"/>
    <dataValidation sqref="H96"/>
    <dataValidation sqref="H97"/>
    <dataValidation sqref="H98"/>
    <dataValidation sqref="H99"/>
    <dataValidation sqref="I1"/>
    <dataValidation sqref="I10"/>
    <dataValidation sqref="I100"/>
    <dataValidation sqref="I101"/>
    <dataValidation sqref="I102"/>
    <dataValidation sqref="I103"/>
    <dataValidation sqref="I104"/>
    <dataValidation sqref="I105"/>
    <dataValidation sqref="I106"/>
    <dataValidation sqref="I107"/>
    <dataValidation sqref="I108"/>
    <dataValidation sqref="I109"/>
    <dataValidation sqref="I11"/>
    <dataValidation sqref="I110"/>
    <dataValidation sqref="I111"/>
    <dataValidation sqref="I112"/>
    <dataValidation sqref="I113"/>
    <dataValidation sqref="I114"/>
    <dataValidation sqref="I115"/>
    <dataValidation sqref="I116"/>
    <dataValidation sqref="I117"/>
    <dataValidation sqref="I118"/>
    <dataValidation sqref="I119"/>
    <dataValidation sqref="I12"/>
    <dataValidation sqref="I120"/>
    <dataValidation sqref="I121"/>
    <dataValidation sqref="I122"/>
    <dataValidation sqref="I123"/>
    <dataValidation sqref="I124"/>
    <dataValidation sqref="I125"/>
    <dataValidation sqref="I126"/>
    <dataValidation sqref="I127"/>
    <dataValidation sqref="I128"/>
    <dataValidation sqref="I129"/>
    <dataValidation sqref="I13"/>
    <dataValidation sqref="I130"/>
    <dataValidation sqref="I131"/>
    <dataValidation sqref="I132"/>
    <dataValidation sqref="I133"/>
    <dataValidation sqref="I134"/>
    <dataValidation sqref="I135"/>
    <dataValidation sqref="I136"/>
    <dataValidation sqref="I137"/>
    <dataValidation sqref="I138"/>
    <dataValidation sqref="I139"/>
    <dataValidation sqref="I14"/>
    <dataValidation sqref="I140"/>
    <dataValidation sqref="I141"/>
    <dataValidation sqref="I142"/>
    <dataValidation sqref="I143"/>
    <dataValidation sqref="I144"/>
    <dataValidation sqref="I145"/>
    <dataValidation sqref="I146"/>
    <dataValidation sqref="I147"/>
    <dataValidation sqref="I148"/>
    <dataValidation sqref="I149"/>
    <dataValidation sqref="I15"/>
    <dataValidation sqref="I150"/>
    <dataValidation sqref="I151"/>
    <dataValidation sqref="I152"/>
    <dataValidation sqref="I153"/>
    <dataValidation sqref="I154"/>
    <dataValidation sqref="I155"/>
    <dataValidation sqref="I156"/>
    <dataValidation sqref="I157"/>
    <dataValidation sqref="I158"/>
    <dataValidation sqref="I159"/>
    <dataValidation sqref="I16"/>
    <dataValidation sqref="I160"/>
    <dataValidation sqref="I161"/>
    <dataValidation sqref="I162"/>
    <dataValidation sqref="I163"/>
    <dataValidation sqref="I164"/>
    <dataValidation sqref="I165"/>
    <dataValidation sqref="I166"/>
    <dataValidation sqref="I167"/>
    <dataValidation sqref="I168"/>
    <dataValidation sqref="I169"/>
    <dataValidation sqref="I17"/>
    <dataValidation sqref="I170"/>
    <dataValidation sqref="I171"/>
    <dataValidation sqref="I172"/>
    <dataValidation sqref="I173"/>
    <dataValidation sqref="I174"/>
    <dataValidation sqref="I175"/>
    <dataValidation sqref="I176"/>
    <dataValidation sqref="I177"/>
    <dataValidation sqref="I178"/>
    <dataValidation sqref="I179"/>
    <dataValidation sqref="I18"/>
    <dataValidation sqref="I180"/>
    <dataValidation sqref="I181"/>
    <dataValidation sqref="I182"/>
    <dataValidation sqref="I183"/>
    <dataValidation sqref="I184"/>
    <dataValidation sqref="I185"/>
    <dataValidation sqref="I186"/>
    <dataValidation sqref="I187"/>
    <dataValidation sqref="I188"/>
    <dataValidation sqref="I189"/>
    <dataValidation sqref="I19"/>
    <dataValidation sqref="I190"/>
    <dataValidation sqref="I191"/>
    <dataValidation sqref="I192"/>
    <dataValidation sqref="I193"/>
    <dataValidation sqref="I194"/>
    <dataValidation sqref="I195"/>
    <dataValidation sqref="I196"/>
    <dataValidation sqref="I197"/>
    <dataValidation sqref="I198"/>
    <dataValidation sqref="I199"/>
    <dataValidation sqref="I2"/>
    <dataValidation sqref="I20"/>
    <dataValidation sqref="I200"/>
    <dataValidation sqref="I201"/>
    <dataValidation sqref="I202"/>
    <dataValidation sqref="I203"/>
    <dataValidation sqref="I204"/>
    <dataValidation sqref="I205"/>
    <dataValidation sqref="I206"/>
    <dataValidation sqref="I207"/>
    <dataValidation sqref="I208"/>
    <dataValidation sqref="I209"/>
    <dataValidation sqref="I21"/>
    <dataValidation sqref="I210"/>
    <dataValidation sqref="I211"/>
    <dataValidation sqref="I212"/>
    <dataValidation sqref="I213"/>
    <dataValidation sqref="I214"/>
    <dataValidation sqref="I215"/>
    <dataValidation sqref="I216"/>
    <dataValidation sqref="I217"/>
    <dataValidation sqref="I218"/>
    <dataValidation sqref="I219"/>
    <dataValidation sqref="I22"/>
    <dataValidation sqref="I220"/>
    <dataValidation sqref="I221"/>
    <dataValidation sqref="I222"/>
    <dataValidation sqref="I223"/>
    <dataValidation sqref="I224"/>
    <dataValidation sqref="I225"/>
    <dataValidation sqref="I226"/>
    <dataValidation sqref="I227"/>
    <dataValidation sqref="I228"/>
    <dataValidation sqref="I229"/>
    <dataValidation sqref="I23"/>
    <dataValidation sqref="I230"/>
    <dataValidation sqref="I231"/>
    <dataValidation sqref="I232"/>
    <dataValidation sqref="I233"/>
    <dataValidation sqref="I234"/>
    <dataValidation sqref="I235"/>
    <dataValidation sqref="I236"/>
    <dataValidation sqref="I237"/>
    <dataValidation sqref="I238"/>
    <dataValidation sqref="I239"/>
    <dataValidation sqref="I24"/>
    <dataValidation sqref="I240"/>
    <dataValidation sqref="I241"/>
    <dataValidation sqref="I242"/>
    <dataValidation sqref="I243"/>
    <dataValidation sqref="I244"/>
    <dataValidation sqref="I245"/>
    <dataValidation sqref="I246"/>
    <dataValidation sqref="I247"/>
    <dataValidation sqref="I248"/>
    <dataValidation sqref="I249"/>
    <dataValidation sqref="I25"/>
    <dataValidation sqref="I250"/>
    <dataValidation sqref="I251"/>
    <dataValidation sqref="I252"/>
    <dataValidation sqref="I253"/>
    <dataValidation sqref="I254"/>
    <dataValidation sqref="I255"/>
    <dataValidation sqref="I256"/>
    <dataValidation sqref="I257"/>
    <dataValidation sqref="I258"/>
    <dataValidation sqref="I259"/>
    <dataValidation sqref="I26"/>
    <dataValidation sqref="I260"/>
    <dataValidation sqref="I261"/>
    <dataValidation sqref="I262"/>
    <dataValidation sqref="I263"/>
    <dataValidation sqref="I264"/>
    <dataValidation sqref="I265"/>
    <dataValidation sqref="I266"/>
    <dataValidation sqref="I267"/>
    <dataValidation sqref="I268"/>
    <dataValidation sqref="I269"/>
    <dataValidation sqref="I27"/>
    <dataValidation sqref="I270"/>
    <dataValidation sqref="I271"/>
    <dataValidation sqref="I272"/>
    <dataValidation sqref="I273"/>
    <dataValidation sqref="I274"/>
    <dataValidation sqref="I275"/>
    <dataValidation sqref="I276"/>
    <dataValidation sqref="I277"/>
    <dataValidation sqref="I278"/>
    <dataValidation sqref="I279"/>
    <dataValidation sqref="I28"/>
    <dataValidation sqref="I280"/>
    <dataValidation sqref="I281"/>
    <dataValidation sqref="I282"/>
    <dataValidation sqref="I283"/>
    <dataValidation sqref="I284"/>
    <dataValidation sqref="I285"/>
    <dataValidation sqref="I286"/>
    <dataValidation sqref="I287"/>
    <dataValidation sqref="I288"/>
    <dataValidation sqref="I289"/>
    <dataValidation sqref="I29"/>
    <dataValidation sqref="I290"/>
    <dataValidation sqref="I291"/>
    <dataValidation sqref="I292"/>
    <dataValidation sqref="I293"/>
    <dataValidation sqref="I294"/>
    <dataValidation sqref="I295"/>
    <dataValidation sqref="I296"/>
    <dataValidation sqref="I297"/>
    <dataValidation sqref="I298"/>
    <dataValidation sqref="I299"/>
    <dataValidation sqref="I3"/>
    <dataValidation sqref="I30"/>
    <dataValidation sqref="I300"/>
    <dataValidation sqref="I301"/>
    <dataValidation sqref="I302"/>
    <dataValidation sqref="I303"/>
    <dataValidation sqref="I304"/>
    <dataValidation sqref="I305"/>
    <dataValidation sqref="I306"/>
    <dataValidation sqref="I307"/>
    <dataValidation sqref="I308"/>
    <dataValidation sqref="I309"/>
    <dataValidation sqref="I31"/>
    <dataValidation sqref="I310"/>
    <dataValidation sqref="I311"/>
    <dataValidation sqref="I312"/>
    <dataValidation sqref="I313"/>
    <dataValidation sqref="I314"/>
    <dataValidation sqref="I315"/>
    <dataValidation sqref="I316"/>
    <dataValidation sqref="I317"/>
    <dataValidation sqref="I318"/>
    <dataValidation sqref="I319"/>
    <dataValidation sqref="I32"/>
    <dataValidation sqref="I320"/>
    <dataValidation sqref="I321"/>
    <dataValidation sqref="I322"/>
    <dataValidation sqref="I323"/>
    <dataValidation sqref="I324"/>
    <dataValidation sqref="I325"/>
    <dataValidation sqref="I326"/>
    <dataValidation sqref="I327"/>
    <dataValidation sqref="I328"/>
    <dataValidation sqref="I329"/>
    <dataValidation sqref="I33"/>
    <dataValidation sqref="I330"/>
    <dataValidation sqref="I331"/>
    <dataValidation sqref="I332"/>
    <dataValidation sqref="I333"/>
    <dataValidation sqref="I334"/>
    <dataValidation sqref="I335"/>
    <dataValidation sqref="I336"/>
    <dataValidation sqref="I337"/>
    <dataValidation sqref="I338"/>
    <dataValidation sqref="I339"/>
    <dataValidation sqref="I34"/>
    <dataValidation sqref="I340"/>
    <dataValidation sqref="I341"/>
    <dataValidation sqref="I342"/>
    <dataValidation sqref="I343"/>
    <dataValidation sqref="I344"/>
    <dataValidation sqref="I345"/>
    <dataValidation sqref="I346"/>
    <dataValidation sqref="I347"/>
    <dataValidation sqref="I348"/>
    <dataValidation sqref="I349"/>
    <dataValidation sqref="I35"/>
    <dataValidation sqref="I350"/>
    <dataValidation sqref="I351"/>
    <dataValidation sqref="I352"/>
    <dataValidation sqref="I353"/>
    <dataValidation sqref="I36"/>
    <dataValidation sqref="I37"/>
    <dataValidation sqref="I38"/>
    <dataValidation sqref="I39"/>
    <dataValidation sqref="I4"/>
    <dataValidation sqref="I40"/>
    <dataValidation sqref="I41"/>
    <dataValidation sqref="I42"/>
    <dataValidation sqref="I43"/>
    <dataValidation sqref="I44"/>
    <dataValidation sqref="I45"/>
    <dataValidation sqref="I46"/>
    <dataValidation sqref="I47"/>
    <dataValidation sqref="I48"/>
    <dataValidation sqref="I49"/>
    <dataValidation sqref="I5"/>
    <dataValidation sqref="I50"/>
    <dataValidation sqref="I51"/>
    <dataValidation sqref="I52"/>
    <dataValidation sqref="I53"/>
    <dataValidation sqref="I54"/>
    <dataValidation sqref="I55"/>
    <dataValidation sqref="I56"/>
    <dataValidation sqref="I57"/>
    <dataValidation sqref="I58"/>
    <dataValidation sqref="I59"/>
    <dataValidation sqref="I6"/>
    <dataValidation sqref="I60"/>
    <dataValidation sqref="I61"/>
    <dataValidation sqref="I62"/>
    <dataValidation sqref="I63"/>
    <dataValidation sqref="I64"/>
    <dataValidation sqref="I65"/>
    <dataValidation sqref="I66"/>
    <dataValidation sqref="I67"/>
    <dataValidation sqref="I68"/>
    <dataValidation sqref="I69"/>
    <dataValidation sqref="I7"/>
    <dataValidation sqref="I70"/>
    <dataValidation sqref="I71"/>
    <dataValidation sqref="I72"/>
    <dataValidation sqref="I73"/>
    <dataValidation sqref="I74"/>
    <dataValidation sqref="I75"/>
    <dataValidation sqref="I76"/>
    <dataValidation sqref="I77"/>
    <dataValidation sqref="I78"/>
    <dataValidation sqref="I79"/>
    <dataValidation sqref="I8"/>
    <dataValidation sqref="I80"/>
    <dataValidation sqref="I81"/>
    <dataValidation sqref="I82"/>
    <dataValidation sqref="I83"/>
    <dataValidation sqref="I84"/>
    <dataValidation sqref="I85"/>
    <dataValidation sqref="I86"/>
    <dataValidation sqref="I87"/>
    <dataValidation sqref="I88"/>
    <dataValidation sqref="I89"/>
    <dataValidation sqref="I9"/>
    <dataValidation sqref="I90"/>
    <dataValidation sqref="I91"/>
    <dataValidation sqref="I92"/>
    <dataValidation sqref="I93"/>
    <dataValidation sqref="I94"/>
    <dataValidation sqref="I95"/>
    <dataValidation sqref="I96"/>
    <dataValidation sqref="I97"/>
    <dataValidation sqref="I98"/>
    <dataValidation sqref="I99"/>
  </dataValidations>
  <printOptions horizontalCentered="1"/>
  <pageMargins left="0.432638888888889" right="0.393055555555556" top="0.354166666666667" bottom="0.393055555555556" header="0.275" footer="0.196527777777778"/>
  <pageSetup paperSize="9" orientation="landscape" horizontalDpi="600" verticalDpi="4294967295" scale="88" fitToWidth="1" fitToHeight="1" firstPageNumber="1" useFirstPageNumber="1" copies="1"/>
  <headerFooter>
    <oddFooter>&amp;L编制日期:&amp;D共&amp;N页  第&amp;P页&amp;C嘉兴山屿装饰设计有限公司&amp;R客户签名:______________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封面</vt:lpstr>
      <vt:lpstr>半包报价模板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山屿 ERP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2026-09-13T03:11:38Z</dcterms:modified>
</cp:coreProperties>
</file>